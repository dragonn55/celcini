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Belgeler" sheetId="2" state="visible" r:id="rId4"/>
    <sheet name="Özet" sheetId="3" state="visible" r:id="rId5"/>
    <sheet name="AI Komutlar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<sst xmlns="http://schemas.openxmlformats.org/spreadsheetml/2006/main" count="119" uniqueCount="103">
  <si>
    <t xml:space="preserve">EXCEL KLİNİĞİ</t>
  </si>
  <si>
    <t xml:space="preserve">ÇEK  |  Çek ve senet takibi</t>
  </si>
  <si>
    <t xml:space="preserve">Elindeki ve verdiğin çeklerin vadesi ne zaman, hangi ay ne kadar tahsil edecek, ne kadar ödeyeceksin.</t>
  </si>
  <si>
    <t xml:space="preserve">NASIL KULLANILIR</t>
  </si>
  <si>
    <t xml:space="preserve">1. Belgeler</t>
  </si>
  <si>
    <t xml:space="preserve">Aldığın ve verdiğin çek ve senetleri vade ve tutarıyla yaz.</t>
  </si>
  <si>
    <t xml:space="preserve">2. Durum</t>
  </si>
  <si>
    <t xml:space="preserve">Tahsil edince, ödeyince, ciro edince ya da karşılıksız çıkınca durumu değiştir.</t>
  </si>
  <si>
    <t xml:space="preserve">3. Özet</t>
  </si>
  <si>
    <t xml:space="preserve">Bekleyen tutarlar, bu hafta tahsil edilecek ve ödenecekler, vade dilimleri ve aylık takvim.</t>
  </si>
  <si>
    <t xml:space="preserve">BİLMEN GEREKENLER</t>
  </si>
  <si>
    <t xml:space="preserve">Bekleyen</t>
  </si>
  <si>
    <t xml:space="preserve">Yalnızca durumu Bekliyor olan belgeler toplamlara ve takvime girer.</t>
  </si>
  <si>
    <t xml:space="preserve">Ciro</t>
  </si>
  <si>
    <t xml:space="preserve">Ciro ettiğin çeki Ciro edildi yap; karşılıksız çıkarsa sorumluluğun sürebilir, dosya bunu izlemez.</t>
  </si>
  <si>
    <t xml:space="preserve">Kapasite</t>
  </si>
  <si>
    <t xml:space="preserve">Belgeler: 1000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</si>
  <si>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</si>
  <si>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</si>
  <si>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</si>
  <si>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</si>
  <si>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</si>
  <si>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Çek ve Senetler</t>
  </si>
  <si>
    <t xml:space="preserve">Aldığın ve verdiğin her çek ya da senet bir satır. Tahsil edince ya da ödeyince durumu değiştir.</t>
  </si>
  <si>
    <t xml:space="preserve">Tür</t>
  </si>
  <si>
    <t xml:space="preserve">Belge</t>
  </si>
  <si>
    <t xml:space="preserve">Kişi ya da firma</t>
  </si>
  <si>
    <t xml:space="preserve">Banka</t>
  </si>
  <si>
    <t xml:space="preserve">Belge no</t>
  </si>
  <si>
    <t xml:space="preserve">Vade</t>
  </si>
  <si>
    <t xml:space="preserve">Tutar (₺)</t>
  </si>
  <si>
    <t xml:space="preserve">Durum</t>
  </si>
  <si>
    <t xml:space="preserve">Kalan gün</t>
  </si>
  <si>
    <t xml:space="preserve">Uyarı</t>
  </si>
  <si>
    <t xml:space="preserve">y</t>
  </si>
  <si>
    <t xml:space="preserve">Alınan</t>
  </si>
  <si>
    <t xml:space="preserve">Çek</t>
  </si>
  <si>
    <t xml:space="preserve">Müşteri Alfa</t>
  </si>
  <si>
    <t xml:space="preserve">Banka Alfa</t>
  </si>
  <si>
    <t xml:space="preserve">001</t>
  </si>
  <si>
    <t xml:space="preserve">Bekliyor</t>
  </si>
  <si>
    <t xml:space="preserve">Senet</t>
  </si>
  <si>
    <t xml:space="preserve">Müşteri Beta</t>
  </si>
  <si>
    <t xml:space="preserve">S-7</t>
  </si>
  <si>
    <t xml:space="preserve">Verilen</t>
  </si>
  <si>
    <t xml:space="preserve">Tedarikçi Alfa</t>
  </si>
  <si>
    <t xml:space="preserve">Banka Beta</t>
  </si>
  <si>
    <t xml:space="preserve">104</t>
  </si>
  <si>
    <t xml:space="preserve">Müşteri Gama</t>
  </si>
  <si>
    <t xml:space="preserve">002</t>
  </si>
  <si>
    <t xml:space="preserve">Karşılıksız</t>
  </si>
  <si>
    <t xml:space="preserve">Tedarikçi Beta</t>
  </si>
  <si>
    <t xml:space="preserve">105</t>
  </si>
  <si>
    <t xml:space="preserve">000</t>
  </si>
  <si>
    <t xml:space="preserve">Tahsil edildi</t>
  </si>
  <si>
    <t xml:space="preserve">Özet</t>
  </si>
  <si>
    <t xml:space="preserve">Yıl, aylık vade takvimi içindir.</t>
  </si>
  <si>
    <t xml:space="preserve">Yıl</t>
  </si>
  <si>
    <t xml:space="preserve">Bekleyen alınan</t>
  </si>
  <si>
    <t xml:space="preserve">Bekleyen verilen</t>
  </si>
  <si>
    <t xml:space="preserve">Net</t>
  </si>
  <si>
    <t xml:space="preserve">7 günde tahsil edilecek</t>
  </si>
  <si>
    <t xml:space="preserve">7 günde ödenecek</t>
  </si>
  <si>
    <t xml:space="preserve">Vade takvimi (bekleyenler)</t>
  </si>
  <si>
    <t xml:space="preserve">Vade dilimleri (bekleyenler)</t>
  </si>
  <si>
    <t xml:space="preserve">Ay</t>
  </si>
  <si>
    <t xml:space="preserve">Tahsil edilecek (₺)</t>
  </si>
  <si>
    <t xml:space="preserve">Ödenecek (₺)</t>
  </si>
  <si>
    <t xml:space="preserve">Net (₺)</t>
  </si>
  <si>
    <t xml:space="preserve">Dilim</t>
  </si>
  <si>
    <t xml:space="preserve">Alınan (₺)</t>
  </si>
  <si>
    <t xml:space="preserve">Verilen (₺)</t>
  </si>
  <si>
    <t xml:space="preserve">Ocak</t>
  </si>
  <si>
    <t xml:space="preserve">Vadesi geçmiş</t>
  </si>
  <si>
    <t xml:space="preserve">Şubat</t>
  </si>
  <si>
    <t xml:space="preserve">0-30 gün</t>
  </si>
  <si>
    <t xml:space="preserve">Mart</t>
  </si>
  <si>
    <t xml:space="preserve">31-60 gün</t>
  </si>
  <si>
    <t xml:space="preserve">Nisan</t>
  </si>
  <si>
    <t xml:space="preserve">61-90 gün</t>
  </si>
  <si>
    <t xml:space="preserve">Mayıs</t>
  </si>
  <si>
    <t xml:space="preserve">90 günden uzun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</si>
  <si>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</si>
  <si>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</si>
  <si>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</si>
  <si>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</si>
  <si>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</si>
  <si>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</si>
  <si>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</si>
  <si>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</si>
  <si>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</si>
  <si>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</si>
  <si>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Kişi, firma ve hesap bilgilerini takma adla değiştir. Yapay zekanın verdiği rakamları dosyadaki özet sayfasıyla karşılaştır.</t>
  </si>
  <si>
    <t xml:space="preserve">Ne için</t>
  </si>
  <si>
    <t xml:space="preserve">Komut (kopyala, yapıştır)</t>
  </si>
  <si>
    <t xml:space="preserve">Nakit planı</t>
  </si>
  <si>
    <t xml:space="preserve">[Özet sayfasındaki vade takvimi] Hangi aylarda ödeyeceğim tahsil edeceğimden fazla? O aylar için ne yapabilirim?</t>
  </si>
  <si>
    <t xml:space="preserve">Risk</t>
  </si>
  <si>
    <t xml:space="preserve">[Belgeler sayfası] Tek bir kişiden aldığım çeklerin toplamı çok yüksek mi? Yoğunlaşmayı göster.</t>
  </si>
  <si>
    <t xml:space="preserve">Hatırlatma</t>
  </si>
  <si>
    <t xml:space="preserve">Vadesi yaklaşan senet için borçluya gönderilecek kısa bir hatırlatma yaz.</t>
  </si>
  <si>
    <t xml:space="preserve">Karşılıksız çek</t>
  </si>
  <si>
    <t xml:space="preserve">Karşılıksız çıkan çek için atılabilecek ilk adımları genel hatlarıyla anlat; hukuki kesinlik için avukata danışmam gerektiğini biliyorum.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</si>
</sst>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&quot; ₺&quot;"/>
    <numFmt numFmtId="167" formatCode="#,##0;[RED]\-#,##0;\-"/>
    <numFmt numFmtId="168" formatCode="General"/>
    <numFmt numFmtId="169" formatCode="0"/>
    <numFmt numFmtId="170" formatCode="#,##0.00&quot; ₺&quot;;[RED]\-#,##0.00&quot; ₺&quot;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true" outlineLevel="0" max="11" min="11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1" t="s">
        <v>32</v>
      </c>
      <c r="J4" s="11" t="s">
        <v>33</v>
      </c>
      <c r="K4" s="11" t="s">
        <v>34</v>
      </c>
    </row>
    <row r="5" customFormat="false" ht="15" hidden="false" customHeight="false" outlineLevel="0" collapsed="false">
      <c r="A5" s="12" t="s">
        <v>35</v>
      </c>
      <c r="B5" s="12" t="s">
        <v>36</v>
      </c>
      <c r="C5" s="13" t="s">
        <v>37</v>
      </c>
      <c r="D5" s="13" t="s">
        <v>38</v>
      </c>
      <c r="E5" s="13" t="s">
        <v>39</v>
      </c>
      <c r="F5" s="14" t="n">
        <v>46304</v>
      </c>
      <c r="G5" s="15" t="n">
        <v>40000</v>
      </c>
      <c r="H5" s="12" t="s">
        <v>40</v>
      </c>
      <c r="I5" s="16" t="n">
        <f aca="true">IF(OR(F5="",H5&lt;&gt;"Bekliyor"),"",F5-TODAY())</f>
        <v>5</v>
      </c>
      <c r="J5" s="17" t="str">
        <f aca="false">IF(I5="","",IF(I5&lt;0,"Vadesi geçti",IF(I5&lt;=7,"Bu hafta","")))</f>
        <v>Bu hafta</v>
      </c>
      <c r="K5" s="18" t="n">
        <f aca="false">IF(H5="Bekliyor",G5,0)</f>
        <v>40000</v>
      </c>
    </row>
    <row r="6" customFormat="false" ht="15" hidden="false" customHeight="false" outlineLevel="0" collapsed="false">
      <c r="A6" s="12" t="s">
        <v>35</v>
      </c>
      <c r="B6" s="12" t="s">
        <v>41</v>
      </c>
      <c r="C6" s="13" t="s">
        <v>42</v>
      </c>
      <c r="D6" s="13"/>
      <c r="E6" s="13" t="s">
        <v>43</v>
      </c>
      <c r="F6" s="14" t="n">
        <v>46344</v>
      </c>
      <c r="G6" s="15" t="n">
        <v>25000</v>
      </c>
      <c r="H6" s="12" t="s">
        <v>40</v>
      </c>
      <c r="I6" s="16" t="n">
        <f aca="true">IF(OR(F6="",H6&lt;&gt;"Bekliyor"),"",F6-TODAY())</f>
        <v>45</v>
      </c>
      <c r="J6" s="17" t="str">
        <f aca="false">IF(I6="","",IF(I6&lt;0,"Vadesi geçti",IF(I6&lt;=7,"Bu hafta","")))</f>
        <v/>
      </c>
      <c r="K6" s="18" t="n">
        <f aca="false">IF(H6="Bekliyor",G6,0)</f>
        <v>25000</v>
      </c>
    </row>
    <row r="7" customFormat="false" ht="15" hidden="false" customHeight="false" outlineLevel="0" collapsed="false">
      <c r="A7" s="12" t="s">
        <v>44</v>
      </c>
      <c r="B7" s="12" t="s">
        <v>36</v>
      </c>
      <c r="C7" s="13" t="s">
        <v>45</v>
      </c>
      <c r="D7" s="13" t="s">
        <v>46</v>
      </c>
      <c r="E7" s="13" t="s">
        <v>47</v>
      </c>
      <c r="F7" s="14" t="n">
        <v>46319</v>
      </c>
      <c r="G7" s="15" t="n">
        <v>30000</v>
      </c>
      <c r="H7" s="12" t="s">
        <v>40</v>
      </c>
      <c r="I7" s="16" t="n">
        <f aca="true">IF(OR(F7="",H7&lt;&gt;"Bekliyor"),"",F7-TODAY())</f>
        <v>20</v>
      </c>
      <c r="J7" s="17" t="str">
        <f aca="false">IF(I7="","",IF(I7&lt;0,"Vadesi geçti",IF(I7&lt;=7,"Bu hafta","")))</f>
        <v/>
      </c>
      <c r="K7" s="18" t="n">
        <f aca="false">IF(H7="Bekliyor",G7,0)</f>
        <v>30000</v>
      </c>
    </row>
    <row r="8" customFormat="false" ht="15" hidden="false" customHeight="false" outlineLevel="0" collapsed="false">
      <c r="A8" s="12" t="s">
        <v>35</v>
      </c>
      <c r="B8" s="12" t="s">
        <v>36</v>
      </c>
      <c r="C8" s="13" t="s">
        <v>48</v>
      </c>
      <c r="D8" s="13" t="s">
        <v>38</v>
      </c>
      <c r="E8" s="13" t="s">
        <v>49</v>
      </c>
      <c r="F8" s="14" t="n">
        <v>46289</v>
      </c>
      <c r="G8" s="15" t="n">
        <v>15000</v>
      </c>
      <c r="H8" s="12" t="s">
        <v>50</v>
      </c>
      <c r="I8" s="16" t="str">
        <f aca="true">IF(OR(F8="",H8&lt;&gt;"Bekliyor"),"",F8-TODAY())</f>
        <v/>
      </c>
      <c r="J8" s="17" t="str">
        <f aca="false">IF(I8="","",IF(I8&lt;0,"Vadesi geçti",IF(I8&lt;=7,"Bu hafta","")))</f>
        <v/>
      </c>
      <c r="K8" s="19" t="n">
        <f aca="false">IF(H8="Bekliyor",G8,0)</f>
        <v>0</v>
      </c>
    </row>
    <row r="9" customFormat="false" ht="15" hidden="false" customHeight="false" outlineLevel="0" collapsed="false">
      <c r="A9" s="12" t="s">
        <v>44</v>
      </c>
      <c r="B9" s="12" t="s">
        <v>36</v>
      </c>
      <c r="C9" s="13" t="s">
        <v>51</v>
      </c>
      <c r="D9" s="13" t="s">
        <v>46</v>
      </c>
      <c r="E9" s="13" t="s">
        <v>52</v>
      </c>
      <c r="F9" s="14" t="n">
        <v>46297</v>
      </c>
      <c r="G9" s="15" t="n">
        <v>12000</v>
      </c>
      <c r="H9" s="12" t="s">
        <v>40</v>
      </c>
      <c r="I9" s="16" t="n">
        <f aca="true">IF(OR(F9="",H9&lt;&gt;"Bekliyor"),"",F9-TODAY())</f>
        <v>-2</v>
      </c>
      <c r="J9" s="17" t="str">
        <f aca="false">IF(I9="","",IF(I9&lt;0,"Vadesi geçti",IF(I9&lt;=7,"Bu hafta","")))</f>
        <v>Vadesi geçti</v>
      </c>
      <c r="K9" s="18" t="n">
        <f aca="false">IF(H9="Bekliyor",G9,0)</f>
        <v>12000</v>
      </c>
    </row>
    <row r="10" customFormat="false" ht="15" hidden="false" customHeight="false" outlineLevel="0" collapsed="false">
      <c r="A10" s="12" t="s">
        <v>35</v>
      </c>
      <c r="B10" s="12" t="s">
        <v>36</v>
      </c>
      <c r="C10" s="13" t="s">
        <v>37</v>
      </c>
      <c r="D10" s="13" t="s">
        <v>38</v>
      </c>
      <c r="E10" s="13" t="s">
        <v>53</v>
      </c>
      <c r="F10" s="14" t="n">
        <v>46269</v>
      </c>
      <c r="G10" s="15" t="n">
        <v>20000</v>
      </c>
      <c r="H10" s="12" t="s">
        <v>54</v>
      </c>
      <c r="I10" s="16" t="str">
        <f aca="true">IF(OR(F10="",H10&lt;&gt;"Bekliyor"),"",F10-TODAY())</f>
        <v/>
      </c>
      <c r="J10" s="17" t="str">
        <f aca="false">IF(I10="","",IF(I10&lt;0,"Vadesi geçti",IF(I10&lt;=7,"Bu hafta","")))</f>
        <v/>
      </c>
      <c r="K10" s="19" t="n">
        <f aca="false">IF(H10="Bekliyor",G10,0)</f>
        <v>0</v>
      </c>
    </row>
    <row r="11" customFormat="false" ht="15" hidden="false" customHeight="false" outlineLevel="0" collapsed="false">
      <c r="A11" s="12"/>
      <c r="B11" s="12"/>
      <c r="C11" s="13"/>
      <c r="D11" s="13"/>
      <c r="E11" s="13"/>
      <c r="F11" s="14"/>
      <c r="G11" s="15"/>
      <c r="H11" s="12"/>
      <c r="I11" s="16" t="str">
        <f aca="true">IF(OR(F11="",H11&lt;&gt;"Bekliyor"),"",F11-TODAY())</f>
        <v/>
      </c>
      <c r="J11" s="17" t="str">
        <f aca="false">IF(I11="","",IF(I11&lt;0,"Vadesi geçti",IF(I11&lt;=7,"Bu hafta","")))</f>
        <v/>
      </c>
      <c r="K11" s="19" t="n">
        <f aca="false">IF(H11="Bekliyor",G11,0)</f>
        <v>0</v>
      </c>
    </row>
    <row r="12" customFormat="false" ht="15" hidden="false" customHeight="false" outlineLevel="0" collapsed="false">
      <c r="A12" s="12"/>
      <c r="B12" s="12"/>
      <c r="C12" s="13"/>
      <c r="D12" s="13"/>
      <c r="E12" s="13"/>
      <c r="F12" s="14"/>
      <c r="G12" s="15"/>
      <c r="H12" s="12"/>
      <c r="I12" s="16" t="str">
        <f aca="true">IF(OR(F12="",H12&lt;&gt;"Bekliyor"),"",F12-TODAY())</f>
        <v/>
      </c>
      <c r="J12" s="17" t="str">
        <f aca="false">IF(I12="","",IF(I12&lt;0,"Vadesi geçti",IF(I12&lt;=7,"Bu hafta","")))</f>
        <v/>
      </c>
      <c r="K12" s="19" t="n">
        <f aca="false">IF(H12="Bekliyor",G12,0)</f>
        <v>0</v>
      </c>
    </row>
    <row r="13" customFormat="false" ht="15" hidden="false" customHeight="false" outlineLevel="0" collapsed="false">
      <c r="A13" s="12"/>
      <c r="B13" s="12"/>
      <c r="C13" s="13"/>
      <c r="D13" s="13"/>
      <c r="E13" s="13"/>
      <c r="F13" s="14"/>
      <c r="G13" s="15"/>
      <c r="H13" s="12"/>
      <c r="I13" s="16" t="str">
        <f aca="true">IF(OR(F13="",H13&lt;&gt;"Bekliyor"),"",F13-TODAY())</f>
        <v/>
      </c>
      <c r="J13" s="17" t="str">
        <f aca="false">IF(I13="","",IF(I13&lt;0,"Vadesi geçti",IF(I13&lt;=7,"Bu hafta","")))</f>
        <v/>
      </c>
      <c r="K13" s="19" t="n">
        <f aca="false">IF(H13="Bekliyor",G13,0)</f>
        <v>0</v>
      </c>
    </row>
    <row r="14" customFormat="false" ht="15" hidden="false" customHeight="false" outlineLevel="0" collapsed="false">
      <c r="A14" s="12"/>
      <c r="B14" s="12"/>
      <c r="C14" s="13"/>
      <c r="D14" s="13"/>
      <c r="E14" s="13"/>
      <c r="F14" s="14"/>
      <c r="G14" s="15"/>
      <c r="H14" s="12"/>
      <c r="I14" s="16" t="str">
        <f aca="true">IF(OR(F14="",H14&lt;&gt;"Bekliyor"),"",F14-TODAY())</f>
        <v/>
      </c>
      <c r="J14" s="17" t="str">
        <f aca="false">IF(I14="","",IF(I14&lt;0,"Vadesi geçti",IF(I14&lt;=7,"Bu hafta","")))</f>
        <v/>
      </c>
      <c r="K14" s="19" t="n">
        <f aca="false">IF(H14="Bekliyor",G14,0)</f>
        <v>0</v>
      </c>
    </row>
    <row r="15" customFormat="false" ht="15" hidden="false" customHeight="false" outlineLevel="0" collapsed="false">
      <c r="A15" s="12"/>
      <c r="B15" s="12"/>
      <c r="C15" s="13"/>
      <c r="D15" s="13"/>
      <c r="E15" s="13"/>
      <c r="F15" s="14"/>
      <c r="G15" s="15"/>
      <c r="H15" s="12"/>
      <c r="I15" s="16" t="str">
        <f aca="true">IF(OR(F15="",H15&lt;&gt;"Bekliyor"),"",F15-TODAY())</f>
        <v/>
      </c>
      <c r="J15" s="17" t="str">
        <f aca="false">IF(I15="","",IF(I15&lt;0,"Vadesi geçti",IF(I15&lt;=7,"Bu hafta","")))</f>
        <v/>
      </c>
      <c r="K15" s="19" t="n">
        <f aca="false">IF(H15="Bekliyor",G15,0)</f>
        <v>0</v>
      </c>
    </row>
    <row r="16" customFormat="false" ht="15" hidden="false" customHeight="false" outlineLevel="0" collapsed="false">
      <c r="A16" s="12"/>
      <c r="B16" s="12"/>
      <c r="C16" s="13"/>
      <c r="D16" s="13"/>
      <c r="E16" s="13"/>
      <c r="F16" s="14"/>
      <c r="G16" s="15"/>
      <c r="H16" s="12"/>
      <c r="I16" s="16" t="str">
        <f aca="true">IF(OR(F16="",H16&lt;&gt;"Bekliyor"),"",F16-TODAY())</f>
        <v/>
      </c>
      <c r="J16" s="17" t="str">
        <f aca="false">IF(I16="","",IF(I16&lt;0,"Vadesi geçti",IF(I16&lt;=7,"Bu hafta","")))</f>
        <v/>
      </c>
      <c r="K16" s="19" t="n">
        <f aca="false">IF(H16="Bekliyor",G16,0)</f>
        <v>0</v>
      </c>
    </row>
    <row r="17" customFormat="false" ht="15" hidden="false" customHeight="false" outlineLevel="0" collapsed="false">
      <c r="A17" s="12"/>
      <c r="B17" s="12"/>
      <c r="C17" s="13"/>
      <c r="D17" s="13"/>
      <c r="E17" s="13"/>
      <c r="F17" s="14"/>
      <c r="G17" s="15"/>
      <c r="H17" s="12"/>
      <c r="I17" s="16" t="str">
        <f aca="true">IF(OR(F17="",H17&lt;&gt;"Bekliyor"),"",F17-TODAY())</f>
        <v/>
      </c>
      <c r="J17" s="17" t="str">
        <f aca="false">IF(I17="","",IF(I17&lt;0,"Vadesi geçti",IF(I17&lt;=7,"Bu hafta","")))</f>
        <v/>
      </c>
      <c r="K17" s="19" t="n">
        <f aca="false">IF(H17="Bekliyor",G17,0)</f>
        <v>0</v>
      </c>
    </row>
    <row r="18" customFormat="false" ht="15" hidden="false" customHeight="false" outlineLevel="0" collapsed="false">
      <c r="A18" s="12"/>
      <c r="B18" s="12"/>
      <c r="C18" s="13"/>
      <c r="D18" s="13"/>
      <c r="E18" s="13"/>
      <c r="F18" s="14"/>
      <c r="G18" s="15"/>
      <c r="H18" s="12"/>
      <c r="I18" s="16" t="str">
        <f aca="true">IF(OR(F18="",H18&lt;&gt;"Bekliyor"),"",F18-TODAY())</f>
        <v/>
      </c>
      <c r="J18" s="17" t="str">
        <f aca="false">IF(I18="","",IF(I18&lt;0,"Vadesi geçti",IF(I18&lt;=7,"Bu hafta","")))</f>
        <v/>
      </c>
      <c r="K18" s="19" t="n">
        <f aca="false">IF(H18="Bekliyor",G18,0)</f>
        <v>0</v>
      </c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4"/>
      <c r="G19" s="15"/>
      <c r="H19" s="12"/>
      <c r="I19" s="16" t="str">
        <f aca="true">IF(OR(F19="",H19&lt;&gt;"Bekliyor"),"",F19-TODAY())</f>
        <v/>
      </c>
      <c r="J19" s="17" t="str">
        <f aca="false">IF(I19="","",IF(I19&lt;0,"Vadesi geçti",IF(I19&lt;=7,"Bu hafta","")))</f>
        <v/>
      </c>
      <c r="K19" s="19" t="n">
        <f aca="false">IF(H19="Bekliyor",G19,0)</f>
        <v>0</v>
      </c>
    </row>
    <row r="20" customFormat="false" ht="15" hidden="false" customHeight="false" outlineLevel="0" collapsed="false">
      <c r="A20" s="12"/>
      <c r="B20" s="12"/>
      <c r="C20" s="13"/>
      <c r="D20" s="13"/>
      <c r="E20" s="13"/>
      <c r="F20" s="14"/>
      <c r="G20" s="15"/>
      <c r="H20" s="12"/>
      <c r="I20" s="16" t="str">
        <f aca="true">IF(OR(F20="",H20&lt;&gt;"Bekliyor"),"",F20-TODAY())</f>
        <v/>
      </c>
      <c r="J20" s="17" t="str">
        <f aca="false">IF(I20="","",IF(I20&lt;0,"Vadesi geçti",IF(I20&lt;=7,"Bu hafta","")))</f>
        <v/>
      </c>
      <c r="K20" s="19" t="n">
        <f aca="false">IF(H20="Bekliyor",G20,0)</f>
        <v>0</v>
      </c>
    </row>
    <row r="21" customFormat="false" ht="15" hidden="false" customHeight="false" outlineLevel="0" collapsed="false">
      <c r="A21" s="12"/>
      <c r="B21" s="12"/>
      <c r="C21" s="13"/>
      <c r="D21" s="13"/>
      <c r="E21" s="13"/>
      <c r="F21" s="14"/>
      <c r="G21" s="15"/>
      <c r="H21" s="12"/>
      <c r="I21" s="16" t="str">
        <f aca="true">IF(OR(F21="",H21&lt;&gt;"Bekliyor"),"",F21-TODAY())</f>
        <v/>
      </c>
      <c r="J21" s="17" t="str">
        <f aca="false">IF(I21="","",IF(I21&lt;0,"Vadesi geçti",IF(I21&lt;=7,"Bu hafta","")))</f>
        <v/>
      </c>
      <c r="K21" s="19" t="n">
        <f aca="false">IF(H21="Bekliyor",G21,0)</f>
        <v>0</v>
      </c>
    </row>
    <row r="22" customFormat="false" ht="15" hidden="false" customHeight="false" outlineLevel="0" collapsed="false">
      <c r="A22" s="12"/>
      <c r="B22" s="12"/>
      <c r="C22" s="13"/>
      <c r="D22" s="13"/>
      <c r="E22" s="13"/>
      <c r="F22" s="14"/>
      <c r="G22" s="15"/>
      <c r="H22" s="12"/>
      <c r="I22" s="16" t="str">
        <f aca="true">IF(OR(F22="",H22&lt;&gt;"Bekliyor"),"",F22-TODAY())</f>
        <v/>
      </c>
      <c r="J22" s="17" t="str">
        <f aca="false">IF(I22="","",IF(I22&lt;0,"Vadesi geçti",IF(I22&lt;=7,"Bu hafta","")))</f>
        <v/>
      </c>
      <c r="K22" s="19" t="n">
        <f aca="false">IF(H22="Bekliyor",G22,0)</f>
        <v>0</v>
      </c>
    </row>
    <row r="23" customFormat="false" ht="15" hidden="false" customHeight="false" outlineLevel="0" collapsed="false">
      <c r="A23" s="12"/>
      <c r="B23" s="12"/>
      <c r="C23" s="13"/>
      <c r="D23" s="13"/>
      <c r="E23" s="13"/>
      <c r="F23" s="14"/>
      <c r="G23" s="15"/>
      <c r="H23" s="12"/>
      <c r="I23" s="16" t="str">
        <f aca="true">IF(OR(F23="",H23&lt;&gt;"Bekliyor"),"",F23-TODAY())</f>
        <v/>
      </c>
      <c r="J23" s="17" t="str">
        <f aca="false">IF(I23="","",IF(I23&lt;0,"Vadesi geçti",IF(I23&lt;=7,"Bu hafta","")))</f>
        <v/>
      </c>
      <c r="K23" s="19" t="n">
        <f aca="false">IF(H23="Bekliyor",G23,0)</f>
        <v>0</v>
      </c>
    </row>
    <row r="24" customFormat="false" ht="15" hidden="false" customHeight="false" outlineLevel="0" collapsed="false">
      <c r="A24" s="12"/>
      <c r="B24" s="12"/>
      <c r="C24" s="13"/>
      <c r="D24" s="13"/>
      <c r="E24" s="13"/>
      <c r="F24" s="14"/>
      <c r="G24" s="15"/>
      <c r="H24" s="12"/>
      <c r="I24" s="16" t="str">
        <f aca="true">IF(OR(F24="",H24&lt;&gt;"Bekliyor"),"",F24-TODAY())</f>
        <v/>
      </c>
      <c r="J24" s="17" t="str">
        <f aca="false">IF(I24="","",IF(I24&lt;0,"Vadesi geçti",IF(I24&lt;=7,"Bu hafta","")))</f>
        <v/>
      </c>
      <c r="K24" s="19" t="n">
        <f aca="false">IF(H24="Bekliyor",G24,0)</f>
        <v>0</v>
      </c>
    </row>
    <row r="25" customFormat="false" ht="15" hidden="false" customHeight="false" outlineLevel="0" collapsed="false">
      <c r="A25" s="12"/>
      <c r="B25" s="12"/>
      <c r="C25" s="13"/>
      <c r="D25" s="13"/>
      <c r="E25" s="13"/>
      <c r="F25" s="14"/>
      <c r="G25" s="15"/>
      <c r="H25" s="12"/>
      <c r="I25" s="16" t="str">
        <f aca="true">IF(OR(F25="",H25&lt;&gt;"Bekliyor"),"",F25-TODAY())</f>
        <v/>
      </c>
      <c r="J25" s="17" t="str">
        <f aca="false">IF(I25="","",IF(I25&lt;0,"Vadesi geçti",IF(I25&lt;=7,"Bu hafta","")))</f>
        <v/>
      </c>
      <c r="K25" s="19" t="n">
        <f aca="false">IF(H25="Bekliyor",G25,0)</f>
        <v>0</v>
      </c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4"/>
      <c r="G26" s="15"/>
      <c r="H26" s="12"/>
      <c r="I26" s="16" t="str">
        <f aca="true">IF(OR(F26="",H26&lt;&gt;"Bekliyor"),"",F26-TODAY())</f>
        <v/>
      </c>
      <c r="J26" s="17" t="str">
        <f aca="false">IF(I26="","",IF(I26&lt;0,"Vadesi geçti",IF(I26&lt;=7,"Bu hafta","")))</f>
        <v/>
      </c>
      <c r="K26" s="19" t="n">
        <f aca="false">IF(H26="Bekliyor",G26,0)</f>
        <v>0</v>
      </c>
    </row>
    <row r="27" customFormat="false" ht="15" hidden="false" customHeight="false" outlineLevel="0" collapsed="false">
      <c r="A27" s="12"/>
      <c r="B27" s="12"/>
      <c r="C27" s="13"/>
      <c r="D27" s="13"/>
      <c r="E27" s="13"/>
      <c r="F27" s="14"/>
      <c r="G27" s="15"/>
      <c r="H27" s="12"/>
      <c r="I27" s="16" t="str">
        <f aca="true">IF(OR(F27="",H27&lt;&gt;"Bekliyor"),"",F27-TODAY())</f>
        <v/>
      </c>
      <c r="J27" s="17" t="str">
        <f aca="false">IF(I27="","",IF(I27&lt;0,"Vadesi geçti",IF(I27&lt;=7,"Bu hafta","")))</f>
        <v/>
      </c>
      <c r="K27" s="19" t="n">
        <f aca="false">IF(H27="Bekliyor",G27,0)</f>
        <v>0</v>
      </c>
    </row>
    <row r="28" customFormat="false" ht="15" hidden="false" customHeight="false" outlineLevel="0" collapsed="false">
      <c r="A28" s="12"/>
      <c r="B28" s="12"/>
      <c r="C28" s="13"/>
      <c r="D28" s="13"/>
      <c r="E28" s="13"/>
      <c r="F28" s="14"/>
      <c r="G28" s="15"/>
      <c r="H28" s="12"/>
      <c r="I28" s="16" t="str">
        <f aca="true">IF(OR(F28="",H28&lt;&gt;"Bekliyor"),"",F28-TODAY())</f>
        <v/>
      </c>
      <c r="J28" s="17" t="str">
        <f aca="false">IF(I28="","",IF(I28&lt;0,"Vadesi geçti",IF(I28&lt;=7,"Bu hafta","")))</f>
        <v/>
      </c>
      <c r="K28" s="19" t="n">
        <f aca="false">IF(H28="Bekliyor",G28,0)</f>
        <v>0</v>
      </c>
    </row>
    <row r="29" customFormat="false" ht="15" hidden="false" customHeight="false" outlineLevel="0" collapsed="false">
      <c r="A29" s="12"/>
      <c r="B29" s="12"/>
      <c r="C29" s="13"/>
      <c r="D29" s="13"/>
      <c r="E29" s="13"/>
      <c r="F29" s="14"/>
      <c r="G29" s="15"/>
      <c r="H29" s="12"/>
      <c r="I29" s="16" t="str">
        <f aca="true">IF(OR(F29="",H29&lt;&gt;"Bekliyor"),"",F29-TODAY())</f>
        <v/>
      </c>
      <c r="J29" s="17" t="str">
        <f aca="false">IF(I29="","",IF(I29&lt;0,"Vadesi geçti",IF(I29&lt;=7,"Bu hafta","")))</f>
        <v/>
      </c>
      <c r="K29" s="19" t="n">
        <f aca="false">IF(H29="Bekliyor",G29,0)</f>
        <v>0</v>
      </c>
    </row>
    <row r="30" customFormat="false" ht="15" hidden="false" customHeight="false" outlineLevel="0" collapsed="false">
      <c r="A30" s="12"/>
      <c r="B30" s="12"/>
      <c r="C30" s="13"/>
      <c r="D30" s="13"/>
      <c r="E30" s="13"/>
      <c r="F30" s="14"/>
      <c r="G30" s="15"/>
      <c r="H30" s="12"/>
      <c r="I30" s="16" t="str">
        <f aca="true">IF(OR(F30="",H30&lt;&gt;"Bekliyor"),"",F30-TODAY())</f>
        <v/>
      </c>
      <c r="J30" s="17" t="str">
        <f aca="false">IF(I30="","",IF(I30&lt;0,"Vadesi geçti",IF(I30&lt;=7,"Bu hafta","")))</f>
        <v/>
      </c>
      <c r="K30" s="19" t="n">
        <f aca="false">IF(H30="Bekliyor",G30,0)</f>
        <v>0</v>
      </c>
    </row>
    <row r="31" customFormat="false" ht="15" hidden="false" customHeight="false" outlineLevel="0" collapsed="false">
      <c r="A31" s="12"/>
      <c r="B31" s="12"/>
      <c r="C31" s="13"/>
      <c r="D31" s="13"/>
      <c r="E31" s="13"/>
      <c r="F31" s="14"/>
      <c r="G31" s="15"/>
      <c r="H31" s="12"/>
      <c r="I31" s="16" t="str">
        <f aca="true">IF(OR(F31="",H31&lt;&gt;"Bekliyor"),"",F31-TODAY())</f>
        <v/>
      </c>
      <c r="J31" s="17" t="str">
        <f aca="false">IF(I31="","",IF(I31&lt;0,"Vadesi geçti",IF(I31&lt;=7,"Bu hafta","")))</f>
        <v/>
      </c>
      <c r="K31" s="19" t="n">
        <f aca="false">IF(H31="Bekliyor",G31,0)</f>
        <v>0</v>
      </c>
    </row>
    <row r="32" customFormat="false" ht="15" hidden="false" customHeight="false" outlineLevel="0" collapsed="false">
      <c r="A32" s="12"/>
      <c r="B32" s="12"/>
      <c r="C32" s="13"/>
      <c r="D32" s="13"/>
      <c r="E32" s="13"/>
      <c r="F32" s="14"/>
      <c r="G32" s="15"/>
      <c r="H32" s="12"/>
      <c r="I32" s="16" t="str">
        <f aca="true">IF(OR(F32="",H32&lt;&gt;"Bekliyor"),"",F32-TODAY())</f>
        <v/>
      </c>
      <c r="J32" s="17" t="str">
        <f aca="false">IF(I32="","",IF(I32&lt;0,"Vadesi geçti",IF(I32&lt;=7,"Bu hafta","")))</f>
        <v/>
      </c>
      <c r="K32" s="19" t="n">
        <f aca="false">IF(H32="Bekliyor",G32,0)</f>
        <v>0</v>
      </c>
    </row>
    <row r="33" customFormat="false" ht="15" hidden="false" customHeight="false" outlineLevel="0" collapsed="false">
      <c r="A33" s="12"/>
      <c r="B33" s="12"/>
      <c r="C33" s="13"/>
      <c r="D33" s="13"/>
      <c r="E33" s="13"/>
      <c r="F33" s="14"/>
      <c r="G33" s="15"/>
      <c r="H33" s="12"/>
      <c r="I33" s="16" t="str">
        <f aca="true">IF(OR(F33="",H33&lt;&gt;"Bekliyor"),"",F33-TODAY())</f>
        <v/>
      </c>
      <c r="J33" s="17" t="str">
        <f aca="false">IF(I33="","",IF(I33&lt;0,"Vadesi geçti",IF(I33&lt;=7,"Bu hafta","")))</f>
        <v/>
      </c>
      <c r="K33" s="19" t="n">
        <f aca="false">IF(H33="Bekliyor",G33,0)</f>
        <v>0</v>
      </c>
    </row>
    <row r="34" customFormat="false" ht="15" hidden="false" customHeight="false" outlineLevel="0" collapsed="false">
      <c r="A34" s="12"/>
      <c r="B34" s="12"/>
      <c r="C34" s="13"/>
      <c r="D34" s="13"/>
      <c r="E34" s="13"/>
      <c r="F34" s="14"/>
      <c r="G34" s="15"/>
      <c r="H34" s="12"/>
      <c r="I34" s="16" t="str">
        <f aca="true">IF(OR(F34="",H34&lt;&gt;"Bekliyor"),"",F34-TODAY())</f>
        <v/>
      </c>
      <c r="J34" s="17" t="str">
        <f aca="false">IF(I34="","",IF(I34&lt;0,"Vadesi geçti",IF(I34&lt;=7,"Bu hafta","")))</f>
        <v/>
      </c>
      <c r="K34" s="19" t="n">
        <f aca="false">IF(H34="Bekliyor",G34,0)</f>
        <v>0</v>
      </c>
    </row>
    <row r="35" customFormat="false" ht="15" hidden="false" customHeight="false" outlineLevel="0" collapsed="false">
      <c r="A35" s="12"/>
      <c r="B35" s="12"/>
      <c r="C35" s="13"/>
      <c r="D35" s="13"/>
      <c r="E35" s="13"/>
      <c r="F35" s="14"/>
      <c r="G35" s="15"/>
      <c r="H35" s="12"/>
      <c r="I35" s="16" t="str">
        <f aca="true">IF(OR(F35="",H35&lt;&gt;"Bekliyor"),"",F35-TODAY())</f>
        <v/>
      </c>
      <c r="J35" s="17" t="str">
        <f aca="false">IF(I35="","",IF(I35&lt;0,"Vadesi geçti",IF(I35&lt;=7,"Bu hafta","")))</f>
        <v/>
      </c>
      <c r="K35" s="19" t="n">
        <f aca="false">IF(H35="Bekliyor",G35,0)</f>
        <v>0</v>
      </c>
    </row>
    <row r="36" customFormat="false" ht="15" hidden="false" customHeight="false" outlineLevel="0" collapsed="false">
      <c r="A36" s="12"/>
      <c r="B36" s="12"/>
      <c r="C36" s="13"/>
      <c r="D36" s="13"/>
      <c r="E36" s="13"/>
      <c r="F36" s="14"/>
      <c r="G36" s="15"/>
      <c r="H36" s="12"/>
      <c r="I36" s="16" t="str">
        <f aca="true">IF(OR(F36="",H36&lt;&gt;"Bekliyor"),"",F36-TODAY())</f>
        <v/>
      </c>
      <c r="J36" s="17" t="str">
        <f aca="false">IF(I36="","",IF(I36&lt;0,"Vadesi geçti",IF(I36&lt;=7,"Bu hafta","")))</f>
        <v/>
      </c>
      <c r="K36" s="19" t="n">
        <f aca="false">IF(H36="Bekliyor",G36,0)</f>
        <v>0</v>
      </c>
    </row>
    <row r="37" customFormat="false" ht="15" hidden="false" customHeight="false" outlineLevel="0" collapsed="false">
      <c r="A37" s="12"/>
      <c r="B37" s="12"/>
      <c r="C37" s="13"/>
      <c r="D37" s="13"/>
      <c r="E37" s="13"/>
      <c r="F37" s="14"/>
      <c r="G37" s="15"/>
      <c r="H37" s="12"/>
      <c r="I37" s="16" t="str">
        <f aca="true">IF(OR(F37="",H37&lt;&gt;"Bekliyor"),"",F37-TODAY())</f>
        <v/>
      </c>
      <c r="J37" s="17" t="str">
        <f aca="false">IF(I37="","",IF(I37&lt;0,"Vadesi geçti",IF(I37&lt;=7,"Bu hafta","")))</f>
        <v/>
      </c>
      <c r="K37" s="19" t="n">
        <f aca="false">IF(H37="Bekliyor",G37,0)</f>
        <v>0</v>
      </c>
    </row>
    <row r="38" customFormat="false" ht="15" hidden="false" customHeight="false" outlineLevel="0" collapsed="false">
      <c r="A38" s="12"/>
      <c r="B38" s="12"/>
      <c r="C38" s="13"/>
      <c r="D38" s="13"/>
      <c r="E38" s="13"/>
      <c r="F38" s="14"/>
      <c r="G38" s="15"/>
      <c r="H38" s="12"/>
      <c r="I38" s="16" t="str">
        <f aca="true">IF(OR(F38="",H38&lt;&gt;"Bekliyor"),"",F38-TODAY())</f>
        <v/>
      </c>
      <c r="J38" s="17" t="str">
        <f aca="false">IF(I38="","",IF(I38&lt;0,"Vadesi geçti",IF(I38&lt;=7,"Bu hafta","")))</f>
        <v/>
      </c>
      <c r="K38" s="19" t="n">
        <f aca="false">IF(H38="Bekliyor",G38,0)</f>
        <v>0</v>
      </c>
    </row>
    <row r="39" customFormat="false" ht="15" hidden="false" customHeight="false" outlineLevel="0" collapsed="false">
      <c r="A39" s="12"/>
      <c r="B39" s="12"/>
      <c r="C39" s="13"/>
      <c r="D39" s="13"/>
      <c r="E39" s="13"/>
      <c r="F39" s="14"/>
      <c r="G39" s="15"/>
      <c r="H39" s="12"/>
      <c r="I39" s="16" t="str">
        <f aca="true">IF(OR(F39="",H39&lt;&gt;"Bekliyor"),"",F39-TODAY())</f>
        <v/>
      </c>
      <c r="J39" s="17" t="str">
        <f aca="false">IF(I39="","",IF(I39&lt;0,"Vadesi geçti",IF(I39&lt;=7,"Bu hafta","")))</f>
        <v/>
      </c>
      <c r="K39" s="19" t="n">
        <f aca="false">IF(H39="Bekliyor",G39,0)</f>
        <v>0</v>
      </c>
    </row>
    <row r="40" customFormat="false" ht="15" hidden="false" customHeight="false" outlineLevel="0" collapsed="false">
      <c r="A40" s="12"/>
      <c r="B40" s="12"/>
      <c r="C40" s="13"/>
      <c r="D40" s="13"/>
      <c r="E40" s="13"/>
      <c r="F40" s="14"/>
      <c r="G40" s="15"/>
      <c r="H40" s="12"/>
      <c r="I40" s="16" t="str">
        <f aca="true">IF(OR(F40="",H40&lt;&gt;"Bekliyor"),"",F40-TODAY())</f>
        <v/>
      </c>
      <c r="J40" s="17" t="str">
        <f aca="false">IF(I40="","",IF(I40&lt;0,"Vadesi geçti",IF(I40&lt;=7,"Bu hafta","")))</f>
        <v/>
      </c>
      <c r="K40" s="19" t="n">
        <f aca="false">IF(H40="Bekliyor",G40,0)</f>
        <v>0</v>
      </c>
    </row>
    <row r="41" customFormat="false" ht="15" hidden="false" customHeight="false" outlineLevel="0" collapsed="false">
      <c r="A41" s="12"/>
      <c r="B41" s="12"/>
      <c r="C41" s="13"/>
      <c r="D41" s="13"/>
      <c r="E41" s="13"/>
      <c r="F41" s="14"/>
      <c r="G41" s="15"/>
      <c r="H41" s="12"/>
      <c r="I41" s="16" t="str">
        <f aca="true">IF(OR(F41="",H41&lt;&gt;"Bekliyor"),"",F41-TODAY())</f>
        <v/>
      </c>
      <c r="J41" s="17" t="str">
        <f aca="false">IF(I41="","",IF(I41&lt;0,"Vadesi geçti",IF(I41&lt;=7,"Bu hafta","")))</f>
        <v/>
      </c>
      <c r="K41" s="19" t="n">
        <f aca="false">IF(H41="Bekliyor",G41,0)</f>
        <v>0</v>
      </c>
    </row>
    <row r="42" customFormat="false" ht="15" hidden="false" customHeight="false" outlineLevel="0" collapsed="false">
      <c r="A42" s="12"/>
      <c r="B42" s="12"/>
      <c r="C42" s="13"/>
      <c r="D42" s="13"/>
      <c r="E42" s="13"/>
      <c r="F42" s="14"/>
      <c r="G42" s="15"/>
      <c r="H42" s="12"/>
      <c r="I42" s="16" t="str">
        <f aca="true">IF(OR(F42="",H42&lt;&gt;"Bekliyor"),"",F42-TODAY())</f>
        <v/>
      </c>
      <c r="J42" s="17" t="str">
        <f aca="false">IF(I42="","",IF(I42&lt;0,"Vadesi geçti",IF(I42&lt;=7,"Bu hafta","")))</f>
        <v/>
      </c>
      <c r="K42" s="19" t="n">
        <f aca="false">IF(H42="Bekliyor",G42,0)</f>
        <v>0</v>
      </c>
    </row>
    <row r="43" customFormat="false" ht="15" hidden="false" customHeight="false" outlineLevel="0" collapsed="false">
      <c r="A43" s="12"/>
      <c r="B43" s="12"/>
      <c r="C43" s="13"/>
      <c r="D43" s="13"/>
      <c r="E43" s="13"/>
      <c r="F43" s="14"/>
      <c r="G43" s="15"/>
      <c r="H43" s="12"/>
      <c r="I43" s="16" t="str">
        <f aca="true">IF(OR(F43="",H43&lt;&gt;"Bekliyor"),"",F43-TODAY())</f>
        <v/>
      </c>
      <c r="J43" s="17" t="str">
        <f aca="false">IF(I43="","",IF(I43&lt;0,"Vadesi geçti",IF(I43&lt;=7,"Bu hafta","")))</f>
        <v/>
      </c>
      <c r="K43" s="19" t="n">
        <f aca="false">IF(H43="Bekliyor",G43,0)</f>
        <v>0</v>
      </c>
    </row>
    <row r="44" customFormat="false" ht="15" hidden="false" customHeight="false" outlineLevel="0" collapsed="false">
      <c r="A44" s="12"/>
      <c r="B44" s="12"/>
      <c r="C44" s="13"/>
      <c r="D44" s="13"/>
      <c r="E44" s="13"/>
      <c r="F44" s="14"/>
      <c r="G44" s="15"/>
      <c r="H44" s="12"/>
      <c r="I44" s="16" t="str">
        <f aca="true">IF(OR(F44="",H44&lt;&gt;"Bekliyor"),"",F44-TODAY())</f>
        <v/>
      </c>
      <c r="J44" s="17" t="str">
        <f aca="false">IF(I44="","",IF(I44&lt;0,"Vadesi geçti",IF(I44&lt;=7,"Bu hafta","")))</f>
        <v/>
      </c>
      <c r="K44" s="19" t="n">
        <f aca="false">IF(H44="Bekliyor",G44,0)</f>
        <v>0</v>
      </c>
    </row>
    <row r="45" customFormat="false" ht="15" hidden="false" customHeight="false" outlineLevel="0" collapsed="false">
      <c r="A45" s="12"/>
      <c r="B45" s="12"/>
      <c r="C45" s="13"/>
      <c r="D45" s="13"/>
      <c r="E45" s="13"/>
      <c r="F45" s="14"/>
      <c r="G45" s="15"/>
      <c r="H45" s="12"/>
      <c r="I45" s="16" t="str">
        <f aca="true">IF(OR(F45="",H45&lt;&gt;"Bekliyor"),"",F45-TODAY())</f>
        <v/>
      </c>
      <c r="J45" s="17" t="str">
        <f aca="false">IF(I45="","",IF(I45&lt;0,"Vadesi geçti",IF(I45&lt;=7,"Bu hafta","")))</f>
        <v/>
      </c>
      <c r="K45" s="19" t="n">
        <f aca="false">IF(H45="Bekliyor",G45,0)</f>
        <v>0</v>
      </c>
    </row>
    <row r="46" customFormat="false" ht="15" hidden="false" customHeight="false" outlineLevel="0" collapsed="false">
      <c r="A46" s="12"/>
      <c r="B46" s="12"/>
      <c r="C46" s="13"/>
      <c r="D46" s="13"/>
      <c r="E46" s="13"/>
      <c r="F46" s="14"/>
      <c r="G46" s="15"/>
      <c r="H46" s="12"/>
      <c r="I46" s="16" t="str">
        <f aca="true">IF(OR(F46="",H46&lt;&gt;"Bekliyor"),"",F46-TODAY())</f>
        <v/>
      </c>
      <c r="J46" s="17" t="str">
        <f aca="false">IF(I46="","",IF(I46&lt;0,"Vadesi geçti",IF(I46&lt;=7,"Bu hafta","")))</f>
        <v/>
      </c>
      <c r="K46" s="19" t="n">
        <f aca="false">IF(H46="Bekliyor",G46,0)</f>
        <v>0</v>
      </c>
    </row>
    <row r="47" customFormat="false" ht="15" hidden="false" customHeight="false" outlineLevel="0" collapsed="false">
      <c r="A47" s="12"/>
      <c r="B47" s="12"/>
      <c r="C47" s="13"/>
      <c r="D47" s="13"/>
      <c r="E47" s="13"/>
      <c r="F47" s="14"/>
      <c r="G47" s="15"/>
      <c r="H47" s="12"/>
      <c r="I47" s="16" t="str">
        <f aca="true">IF(OR(F47="",H47&lt;&gt;"Bekliyor"),"",F47-TODAY())</f>
        <v/>
      </c>
      <c r="J47" s="17" t="str">
        <f aca="false">IF(I47="","",IF(I47&lt;0,"Vadesi geçti",IF(I47&lt;=7,"Bu hafta","")))</f>
        <v/>
      </c>
      <c r="K47" s="19" t="n">
        <f aca="false">IF(H47="Bekliyor",G47,0)</f>
        <v>0</v>
      </c>
    </row>
    <row r="48" customFormat="false" ht="15" hidden="false" customHeight="false" outlineLevel="0" collapsed="false">
      <c r="A48" s="12"/>
      <c r="B48" s="12"/>
      <c r="C48" s="13"/>
      <c r="D48" s="13"/>
      <c r="E48" s="13"/>
      <c r="F48" s="14"/>
      <c r="G48" s="15"/>
      <c r="H48" s="12"/>
      <c r="I48" s="16" t="str">
        <f aca="true">IF(OR(F48="",H48&lt;&gt;"Bekliyor"),"",F48-TODAY())</f>
        <v/>
      </c>
      <c r="J48" s="17" t="str">
        <f aca="false">IF(I48="","",IF(I48&lt;0,"Vadesi geçti",IF(I48&lt;=7,"Bu hafta","")))</f>
        <v/>
      </c>
      <c r="K48" s="19" t="n">
        <f aca="false">IF(H48="Bekliyor",G48,0)</f>
        <v>0</v>
      </c>
    </row>
    <row r="49" customFormat="false" ht="15" hidden="false" customHeight="false" outlineLevel="0" collapsed="false">
      <c r="A49" s="12"/>
      <c r="B49" s="12"/>
      <c r="C49" s="13"/>
      <c r="D49" s="13"/>
      <c r="E49" s="13"/>
      <c r="F49" s="14"/>
      <c r="G49" s="15"/>
      <c r="H49" s="12"/>
      <c r="I49" s="16" t="str">
        <f aca="true">IF(OR(F49="",H49&lt;&gt;"Bekliyor"),"",F49-TODAY())</f>
        <v/>
      </c>
      <c r="J49" s="17" t="str">
        <f aca="false">IF(I49="","",IF(I49&lt;0,"Vadesi geçti",IF(I49&lt;=7,"Bu hafta","")))</f>
        <v/>
      </c>
      <c r="K49" s="19" t="n">
        <f aca="false">IF(H49="Bekliyor",G49,0)</f>
        <v>0</v>
      </c>
    </row>
    <row r="50" customFormat="false" ht="15" hidden="false" customHeight="false" outlineLevel="0" collapsed="false">
      <c r="A50" s="12"/>
      <c r="B50" s="12"/>
      <c r="C50" s="13"/>
      <c r="D50" s="13"/>
      <c r="E50" s="13"/>
      <c r="F50" s="14"/>
      <c r="G50" s="15"/>
      <c r="H50" s="12"/>
      <c r="I50" s="16" t="str">
        <f aca="true">IF(OR(F50="",H50&lt;&gt;"Bekliyor"),"",F50-TODAY())</f>
        <v/>
      </c>
      <c r="J50" s="17" t="str">
        <f aca="false">IF(I50="","",IF(I50&lt;0,"Vadesi geçti",IF(I50&lt;=7,"Bu hafta","")))</f>
        <v/>
      </c>
      <c r="K50" s="19" t="n">
        <f aca="false">IF(H50="Bekliyor",G50,0)</f>
        <v>0</v>
      </c>
    </row>
    <row r="51" customFormat="false" ht="15" hidden="false" customHeight="false" outlineLevel="0" collapsed="false">
      <c r="A51" s="12"/>
      <c r="B51" s="12"/>
      <c r="C51" s="13"/>
      <c r="D51" s="13"/>
      <c r="E51" s="13"/>
      <c r="F51" s="14"/>
      <c r="G51" s="15"/>
      <c r="H51" s="12"/>
      <c r="I51" s="16" t="str">
        <f aca="true">IF(OR(F51="",H51&lt;&gt;"Bekliyor"),"",F51-TODAY())</f>
        <v/>
      </c>
      <c r="J51" s="17" t="str">
        <f aca="false">IF(I51="","",IF(I51&lt;0,"Vadesi geçti",IF(I51&lt;=7,"Bu hafta","")))</f>
        <v/>
      </c>
      <c r="K51" s="19" t="n">
        <f aca="false">IF(H51="Bekliyor",G51,0)</f>
        <v>0</v>
      </c>
    </row>
    <row r="52" customFormat="false" ht="15" hidden="false" customHeight="false" outlineLevel="0" collapsed="false">
      <c r="A52" s="12"/>
      <c r="B52" s="12"/>
      <c r="C52" s="13"/>
      <c r="D52" s="13"/>
      <c r="E52" s="13"/>
      <c r="F52" s="14"/>
      <c r="G52" s="15"/>
      <c r="H52" s="12"/>
      <c r="I52" s="16" t="str">
        <f aca="true">IF(OR(F52="",H52&lt;&gt;"Bekliyor"),"",F52-TODAY())</f>
        <v/>
      </c>
      <c r="J52" s="17" t="str">
        <f aca="false">IF(I52="","",IF(I52&lt;0,"Vadesi geçti",IF(I52&lt;=7,"Bu hafta","")))</f>
        <v/>
      </c>
      <c r="K52" s="19" t="n">
        <f aca="false">IF(H52="Bekliyor",G52,0)</f>
        <v>0</v>
      </c>
    </row>
    <row r="53" customFormat="false" ht="15" hidden="false" customHeight="false" outlineLevel="0" collapsed="false">
      <c r="A53" s="12"/>
      <c r="B53" s="12"/>
      <c r="C53" s="13"/>
      <c r="D53" s="13"/>
      <c r="E53" s="13"/>
      <c r="F53" s="14"/>
      <c r="G53" s="15"/>
      <c r="H53" s="12"/>
      <c r="I53" s="16" t="str">
        <f aca="true">IF(OR(F53="",H53&lt;&gt;"Bekliyor"),"",F53-TODAY())</f>
        <v/>
      </c>
      <c r="J53" s="17" t="str">
        <f aca="false">IF(I53="","",IF(I53&lt;0,"Vadesi geçti",IF(I53&lt;=7,"Bu hafta","")))</f>
        <v/>
      </c>
      <c r="K53" s="19" t="n">
        <f aca="false">IF(H53="Bekliyor",G53,0)</f>
        <v>0</v>
      </c>
    </row>
    <row r="54" customFormat="false" ht="15" hidden="false" customHeight="false" outlineLevel="0" collapsed="false">
      <c r="A54" s="12"/>
      <c r="B54" s="12"/>
      <c r="C54" s="13"/>
      <c r="D54" s="13"/>
      <c r="E54" s="13"/>
      <c r="F54" s="14"/>
      <c r="G54" s="15"/>
      <c r="H54" s="12"/>
      <c r="I54" s="16" t="str">
        <f aca="true">IF(OR(F54="",H54&lt;&gt;"Bekliyor"),"",F54-TODAY())</f>
        <v/>
      </c>
      <c r="J54" s="17" t="str">
        <f aca="false">IF(I54="","",IF(I54&lt;0,"Vadesi geçti",IF(I54&lt;=7,"Bu hafta","")))</f>
        <v/>
      </c>
      <c r="K54" s="19" t="n">
        <f aca="false">IF(H54="Bekliyor",G54,0)</f>
        <v>0</v>
      </c>
    </row>
    <row r="55" customFormat="false" ht="15" hidden="false" customHeight="false" outlineLevel="0" collapsed="false">
      <c r="A55" s="12"/>
      <c r="B55" s="12"/>
      <c r="C55" s="13"/>
      <c r="D55" s="13"/>
      <c r="E55" s="13"/>
      <c r="F55" s="14"/>
      <c r="G55" s="15"/>
      <c r="H55" s="12"/>
      <c r="I55" s="16" t="str">
        <f aca="true">IF(OR(F55="",H55&lt;&gt;"Bekliyor"),"",F55-TODAY())</f>
        <v/>
      </c>
      <c r="J55" s="17" t="str">
        <f aca="false">IF(I55="","",IF(I55&lt;0,"Vadesi geçti",IF(I55&lt;=7,"Bu hafta","")))</f>
        <v/>
      </c>
      <c r="K55" s="19" t="n">
        <f aca="false">IF(H55="Bekliyor",G55,0)</f>
        <v>0</v>
      </c>
    </row>
    <row r="56" customFormat="false" ht="15" hidden="false" customHeight="false" outlineLevel="0" collapsed="false">
      <c r="A56" s="12"/>
      <c r="B56" s="12"/>
      <c r="C56" s="13"/>
      <c r="D56" s="13"/>
      <c r="E56" s="13"/>
      <c r="F56" s="14"/>
      <c r="G56" s="15"/>
      <c r="H56" s="12"/>
      <c r="I56" s="16" t="str">
        <f aca="true">IF(OR(F56="",H56&lt;&gt;"Bekliyor"),"",F56-TODAY())</f>
        <v/>
      </c>
      <c r="J56" s="17" t="str">
        <f aca="false">IF(I56="","",IF(I56&lt;0,"Vadesi geçti",IF(I56&lt;=7,"Bu hafta","")))</f>
        <v/>
      </c>
      <c r="K56" s="19" t="n">
        <f aca="false">IF(H56="Bekliyor",G56,0)</f>
        <v>0</v>
      </c>
    </row>
    <row r="57" customFormat="false" ht="15" hidden="false" customHeight="false" outlineLevel="0" collapsed="false">
      <c r="A57" s="12"/>
      <c r="B57" s="12"/>
      <c r="C57" s="13"/>
      <c r="D57" s="13"/>
      <c r="E57" s="13"/>
      <c r="F57" s="14"/>
      <c r="G57" s="15"/>
      <c r="H57" s="12"/>
      <c r="I57" s="16" t="str">
        <f aca="true">IF(OR(F57="",H57&lt;&gt;"Bekliyor"),"",F57-TODAY())</f>
        <v/>
      </c>
      <c r="J57" s="17" t="str">
        <f aca="false">IF(I57="","",IF(I57&lt;0,"Vadesi geçti",IF(I57&lt;=7,"Bu hafta","")))</f>
        <v/>
      </c>
      <c r="K57" s="19" t="n">
        <f aca="false">IF(H57="Bekliyor",G57,0)</f>
        <v>0</v>
      </c>
    </row>
    <row r="58" customFormat="false" ht="15" hidden="false" customHeight="false" outlineLevel="0" collapsed="false">
      <c r="A58" s="12"/>
      <c r="B58" s="12"/>
      <c r="C58" s="13"/>
      <c r="D58" s="13"/>
      <c r="E58" s="13"/>
      <c r="F58" s="14"/>
      <c r="G58" s="15"/>
      <c r="H58" s="12"/>
      <c r="I58" s="16" t="str">
        <f aca="true">IF(OR(F58="",H58&lt;&gt;"Bekliyor"),"",F58-TODAY())</f>
        <v/>
      </c>
      <c r="J58" s="17" t="str">
        <f aca="false">IF(I58="","",IF(I58&lt;0,"Vadesi geçti",IF(I58&lt;=7,"Bu hafta","")))</f>
        <v/>
      </c>
      <c r="K58" s="19" t="n">
        <f aca="false">IF(H58="Bekliyor",G58,0)</f>
        <v>0</v>
      </c>
    </row>
    <row r="59" customFormat="false" ht="15" hidden="false" customHeight="false" outlineLevel="0" collapsed="false">
      <c r="A59" s="12"/>
      <c r="B59" s="12"/>
      <c r="C59" s="13"/>
      <c r="D59" s="13"/>
      <c r="E59" s="13"/>
      <c r="F59" s="14"/>
      <c r="G59" s="15"/>
      <c r="H59" s="12"/>
      <c r="I59" s="16" t="str">
        <f aca="true">IF(OR(F59="",H59&lt;&gt;"Bekliyor"),"",F59-TODAY())</f>
        <v/>
      </c>
      <c r="J59" s="17" t="str">
        <f aca="false">IF(I59="","",IF(I59&lt;0,"Vadesi geçti",IF(I59&lt;=7,"Bu hafta","")))</f>
        <v/>
      </c>
      <c r="K59" s="19" t="n">
        <f aca="false">IF(H59="Bekliyor",G59,0)</f>
        <v>0</v>
      </c>
    </row>
    <row r="60" customFormat="false" ht="15" hidden="false" customHeight="false" outlineLevel="0" collapsed="false">
      <c r="A60" s="12"/>
      <c r="B60" s="12"/>
      <c r="C60" s="13"/>
      <c r="D60" s="13"/>
      <c r="E60" s="13"/>
      <c r="F60" s="14"/>
      <c r="G60" s="15"/>
      <c r="H60" s="12"/>
      <c r="I60" s="16" t="str">
        <f aca="true">IF(OR(F60="",H60&lt;&gt;"Bekliyor"),"",F60-TODAY())</f>
        <v/>
      </c>
      <c r="J60" s="17" t="str">
        <f aca="false">IF(I60="","",IF(I60&lt;0,"Vadesi geçti",IF(I60&lt;=7,"Bu hafta","")))</f>
        <v/>
      </c>
      <c r="K60" s="19" t="n">
        <f aca="false">IF(H60="Bekliyor",G60,0)</f>
        <v>0</v>
      </c>
    </row>
    <row r="61" customFormat="false" ht="15" hidden="false" customHeight="false" outlineLevel="0" collapsed="false">
      <c r="A61" s="12"/>
      <c r="B61" s="12"/>
      <c r="C61" s="13"/>
      <c r="D61" s="13"/>
      <c r="E61" s="13"/>
      <c r="F61" s="14"/>
      <c r="G61" s="15"/>
      <c r="H61" s="12"/>
      <c r="I61" s="16" t="str">
        <f aca="true">IF(OR(F61="",H61&lt;&gt;"Bekliyor"),"",F61-TODAY())</f>
        <v/>
      </c>
      <c r="J61" s="17" t="str">
        <f aca="false">IF(I61="","",IF(I61&lt;0,"Vadesi geçti",IF(I61&lt;=7,"Bu hafta","")))</f>
        <v/>
      </c>
      <c r="K61" s="19" t="n">
        <f aca="false">IF(H61="Bekliyor",G61,0)</f>
        <v>0</v>
      </c>
    </row>
    <row r="62" customFormat="false" ht="15" hidden="false" customHeight="false" outlineLevel="0" collapsed="false">
      <c r="A62" s="12"/>
      <c r="B62" s="12"/>
      <c r="C62" s="13"/>
      <c r="D62" s="13"/>
      <c r="E62" s="13"/>
      <c r="F62" s="14"/>
      <c r="G62" s="15"/>
      <c r="H62" s="12"/>
      <c r="I62" s="16" t="str">
        <f aca="true">IF(OR(F62="",H62&lt;&gt;"Bekliyor"),"",F62-TODAY())</f>
        <v/>
      </c>
      <c r="J62" s="17" t="str">
        <f aca="false">IF(I62="","",IF(I62&lt;0,"Vadesi geçti",IF(I62&lt;=7,"Bu hafta","")))</f>
        <v/>
      </c>
      <c r="K62" s="19" t="n">
        <f aca="false">IF(H62="Bekliyor",G62,0)</f>
        <v>0</v>
      </c>
    </row>
    <row r="63" customFormat="false" ht="15" hidden="false" customHeight="false" outlineLevel="0" collapsed="false">
      <c r="A63" s="12"/>
      <c r="B63" s="12"/>
      <c r="C63" s="13"/>
      <c r="D63" s="13"/>
      <c r="E63" s="13"/>
      <c r="F63" s="14"/>
      <c r="G63" s="15"/>
      <c r="H63" s="12"/>
      <c r="I63" s="16" t="str">
        <f aca="true">IF(OR(F63="",H63&lt;&gt;"Bekliyor"),"",F63-TODAY())</f>
        <v/>
      </c>
      <c r="J63" s="17" t="str">
        <f aca="false">IF(I63="","",IF(I63&lt;0,"Vadesi geçti",IF(I63&lt;=7,"Bu hafta","")))</f>
        <v/>
      </c>
      <c r="K63" s="19" t="n">
        <f aca="false">IF(H63="Bekliyor",G63,0)</f>
        <v>0</v>
      </c>
    </row>
    <row r="64" customFormat="false" ht="15" hidden="false" customHeight="false" outlineLevel="0" collapsed="false">
      <c r="A64" s="12"/>
      <c r="B64" s="12"/>
      <c r="C64" s="13"/>
      <c r="D64" s="13"/>
      <c r="E64" s="13"/>
      <c r="F64" s="14"/>
      <c r="G64" s="15"/>
      <c r="H64" s="12"/>
      <c r="I64" s="16" t="str">
        <f aca="true">IF(OR(F64="",H64&lt;&gt;"Bekliyor"),"",F64-TODAY())</f>
        <v/>
      </c>
      <c r="J64" s="17" t="str">
        <f aca="false">IF(I64="","",IF(I64&lt;0,"Vadesi geçti",IF(I64&lt;=7,"Bu hafta","")))</f>
        <v/>
      </c>
      <c r="K64" s="19" t="n">
        <f aca="false">IF(H64="Bekliyor",G64,0)</f>
        <v>0</v>
      </c>
    </row>
    <row r="65" customFormat="false" ht="15" hidden="false" customHeight="false" outlineLevel="0" collapsed="false">
      <c r="A65" s="12"/>
      <c r="B65" s="12"/>
      <c r="C65" s="13"/>
      <c r="D65" s="13"/>
      <c r="E65" s="13"/>
      <c r="F65" s="14"/>
      <c r="G65" s="15"/>
      <c r="H65" s="12"/>
      <c r="I65" s="16" t="str">
        <f aca="true">IF(OR(F65="",H65&lt;&gt;"Bekliyor"),"",F65-TODAY())</f>
        <v/>
      </c>
      <c r="J65" s="17" t="str">
        <f aca="false">IF(I65="","",IF(I65&lt;0,"Vadesi geçti",IF(I65&lt;=7,"Bu hafta","")))</f>
        <v/>
      </c>
      <c r="K65" s="19" t="n">
        <f aca="false">IF(H65="Bekliyor",G65,0)</f>
        <v>0</v>
      </c>
    </row>
    <row r="66" customFormat="false" ht="15" hidden="false" customHeight="false" outlineLevel="0" collapsed="false">
      <c r="A66" s="12"/>
      <c r="B66" s="12"/>
      <c r="C66" s="13"/>
      <c r="D66" s="13"/>
      <c r="E66" s="13"/>
      <c r="F66" s="14"/>
      <c r="G66" s="15"/>
      <c r="H66" s="12"/>
      <c r="I66" s="16" t="str">
        <f aca="true">IF(OR(F66="",H66&lt;&gt;"Bekliyor"),"",F66-TODAY())</f>
        <v/>
      </c>
      <c r="J66" s="17" t="str">
        <f aca="false">IF(I66="","",IF(I66&lt;0,"Vadesi geçti",IF(I66&lt;=7,"Bu hafta","")))</f>
        <v/>
      </c>
      <c r="K66" s="19" t="n">
        <f aca="false">IF(H66="Bekliyor",G66,0)</f>
        <v>0</v>
      </c>
    </row>
    <row r="67" customFormat="false" ht="15" hidden="false" customHeight="false" outlineLevel="0" collapsed="false">
      <c r="A67" s="12"/>
      <c r="B67" s="12"/>
      <c r="C67" s="13"/>
      <c r="D67" s="13"/>
      <c r="E67" s="13"/>
      <c r="F67" s="14"/>
      <c r="G67" s="15"/>
      <c r="H67" s="12"/>
      <c r="I67" s="16" t="str">
        <f aca="true">IF(OR(F67="",H67&lt;&gt;"Bekliyor"),"",F67-TODAY())</f>
        <v/>
      </c>
      <c r="J67" s="17" t="str">
        <f aca="false">IF(I67="","",IF(I67&lt;0,"Vadesi geçti",IF(I67&lt;=7,"Bu hafta","")))</f>
        <v/>
      </c>
      <c r="K67" s="19" t="n">
        <f aca="false">IF(H67="Bekliyor",G67,0)</f>
        <v>0</v>
      </c>
    </row>
    <row r="68" customFormat="false" ht="15" hidden="false" customHeight="false" outlineLevel="0" collapsed="false">
      <c r="A68" s="12"/>
      <c r="B68" s="12"/>
      <c r="C68" s="13"/>
      <c r="D68" s="13"/>
      <c r="E68" s="13"/>
      <c r="F68" s="14"/>
      <c r="G68" s="15"/>
      <c r="H68" s="12"/>
      <c r="I68" s="16" t="str">
        <f aca="true">IF(OR(F68="",H68&lt;&gt;"Bekliyor"),"",F68-TODAY())</f>
        <v/>
      </c>
      <c r="J68" s="17" t="str">
        <f aca="false">IF(I68="","",IF(I68&lt;0,"Vadesi geçti",IF(I68&lt;=7,"Bu hafta","")))</f>
        <v/>
      </c>
      <c r="K68" s="19" t="n">
        <f aca="false">IF(H68="Bekliyor",G68,0)</f>
        <v>0</v>
      </c>
    </row>
    <row r="69" customFormat="false" ht="15" hidden="false" customHeight="false" outlineLevel="0" collapsed="false">
      <c r="A69" s="12"/>
      <c r="B69" s="12"/>
      <c r="C69" s="13"/>
      <c r="D69" s="13"/>
      <c r="E69" s="13"/>
      <c r="F69" s="14"/>
      <c r="G69" s="15"/>
      <c r="H69" s="12"/>
      <c r="I69" s="16" t="str">
        <f aca="true">IF(OR(F69="",H69&lt;&gt;"Bekliyor"),"",F69-TODAY())</f>
        <v/>
      </c>
      <c r="J69" s="17" t="str">
        <f aca="false">IF(I69="","",IF(I69&lt;0,"Vadesi geçti",IF(I69&lt;=7,"Bu hafta","")))</f>
        <v/>
      </c>
      <c r="K69" s="19" t="n">
        <f aca="false">IF(H69="Bekliyor",G69,0)</f>
        <v>0</v>
      </c>
    </row>
    <row r="70" customFormat="false" ht="15" hidden="false" customHeight="false" outlineLevel="0" collapsed="false">
      <c r="A70" s="12"/>
      <c r="B70" s="12"/>
      <c r="C70" s="13"/>
      <c r="D70" s="13"/>
      <c r="E70" s="13"/>
      <c r="F70" s="14"/>
      <c r="G70" s="15"/>
      <c r="H70" s="12"/>
      <c r="I70" s="16" t="str">
        <f aca="true">IF(OR(F70="",H70&lt;&gt;"Bekliyor"),"",F70-TODAY())</f>
        <v/>
      </c>
      <c r="J70" s="17" t="str">
        <f aca="false">IF(I70="","",IF(I70&lt;0,"Vadesi geçti",IF(I70&lt;=7,"Bu hafta","")))</f>
        <v/>
      </c>
      <c r="K70" s="19" t="n">
        <f aca="false">IF(H70="Bekliyor",G70,0)</f>
        <v>0</v>
      </c>
    </row>
    <row r="71" customFormat="false" ht="15" hidden="false" customHeight="false" outlineLevel="0" collapsed="false">
      <c r="A71" s="12"/>
      <c r="B71" s="12"/>
      <c r="C71" s="13"/>
      <c r="D71" s="13"/>
      <c r="E71" s="13"/>
      <c r="F71" s="14"/>
      <c r="G71" s="15"/>
      <c r="H71" s="12"/>
      <c r="I71" s="16" t="str">
        <f aca="true">IF(OR(F71="",H71&lt;&gt;"Bekliyor"),"",F71-TODAY())</f>
        <v/>
      </c>
      <c r="J71" s="17" t="str">
        <f aca="false">IF(I71="","",IF(I71&lt;0,"Vadesi geçti",IF(I71&lt;=7,"Bu hafta","")))</f>
        <v/>
      </c>
      <c r="K71" s="19" t="n">
        <f aca="false">IF(H71="Bekliyor",G71,0)</f>
        <v>0</v>
      </c>
    </row>
    <row r="72" customFormat="false" ht="15" hidden="false" customHeight="false" outlineLevel="0" collapsed="false">
      <c r="A72" s="12"/>
      <c r="B72" s="12"/>
      <c r="C72" s="13"/>
      <c r="D72" s="13"/>
      <c r="E72" s="13"/>
      <c r="F72" s="14"/>
      <c r="G72" s="15"/>
      <c r="H72" s="12"/>
      <c r="I72" s="16" t="str">
        <f aca="true">IF(OR(F72="",H72&lt;&gt;"Bekliyor"),"",F72-TODAY())</f>
        <v/>
      </c>
      <c r="J72" s="17" t="str">
        <f aca="false">IF(I72="","",IF(I72&lt;0,"Vadesi geçti",IF(I72&lt;=7,"Bu hafta","")))</f>
        <v/>
      </c>
      <c r="K72" s="19" t="n">
        <f aca="false">IF(H72="Bekliyor",G72,0)</f>
        <v>0</v>
      </c>
    </row>
    <row r="73" customFormat="false" ht="15" hidden="false" customHeight="false" outlineLevel="0" collapsed="false">
      <c r="A73" s="12"/>
      <c r="B73" s="12"/>
      <c r="C73" s="13"/>
      <c r="D73" s="13"/>
      <c r="E73" s="13"/>
      <c r="F73" s="14"/>
      <c r="G73" s="15"/>
      <c r="H73" s="12"/>
      <c r="I73" s="16" t="str">
        <f aca="true">IF(OR(F73="",H73&lt;&gt;"Bekliyor"),"",F73-TODAY())</f>
        <v/>
      </c>
      <c r="J73" s="17" t="str">
        <f aca="false">IF(I73="","",IF(I73&lt;0,"Vadesi geçti",IF(I73&lt;=7,"Bu hafta","")))</f>
        <v/>
      </c>
      <c r="K73" s="19" t="n">
        <f aca="false">IF(H73="Bekliyor",G73,0)</f>
        <v>0</v>
      </c>
    </row>
    <row r="74" customFormat="false" ht="15" hidden="false" customHeight="false" outlineLevel="0" collapsed="false">
      <c r="A74" s="12"/>
      <c r="B74" s="12"/>
      <c r="C74" s="13"/>
      <c r="D74" s="13"/>
      <c r="E74" s="13"/>
      <c r="F74" s="14"/>
      <c r="G74" s="15"/>
      <c r="H74" s="12"/>
      <c r="I74" s="16" t="str">
        <f aca="true">IF(OR(F74="",H74&lt;&gt;"Bekliyor"),"",F74-TODAY())</f>
        <v/>
      </c>
      <c r="J74" s="17" t="str">
        <f aca="false">IF(I74="","",IF(I74&lt;0,"Vadesi geçti",IF(I74&lt;=7,"Bu hafta","")))</f>
        <v/>
      </c>
      <c r="K74" s="19" t="n">
        <f aca="false">IF(H74="Bekliyor",G74,0)</f>
        <v>0</v>
      </c>
    </row>
    <row r="75" customFormat="false" ht="15" hidden="false" customHeight="false" outlineLevel="0" collapsed="false">
      <c r="A75" s="12"/>
      <c r="B75" s="12"/>
      <c r="C75" s="13"/>
      <c r="D75" s="13"/>
      <c r="E75" s="13"/>
      <c r="F75" s="14"/>
      <c r="G75" s="15"/>
      <c r="H75" s="12"/>
      <c r="I75" s="16" t="str">
        <f aca="true">IF(OR(F75="",H75&lt;&gt;"Bekliyor"),"",F75-TODAY())</f>
        <v/>
      </c>
      <c r="J75" s="17" t="str">
        <f aca="false">IF(I75="","",IF(I75&lt;0,"Vadesi geçti",IF(I75&lt;=7,"Bu hafta","")))</f>
        <v/>
      </c>
      <c r="K75" s="19" t="n">
        <f aca="false">IF(H75="Bekliyor",G75,0)</f>
        <v>0</v>
      </c>
    </row>
    <row r="76" customFormat="false" ht="15" hidden="false" customHeight="false" outlineLevel="0" collapsed="false">
      <c r="A76" s="12"/>
      <c r="B76" s="12"/>
      <c r="C76" s="13"/>
      <c r="D76" s="13"/>
      <c r="E76" s="13"/>
      <c r="F76" s="14"/>
      <c r="G76" s="15"/>
      <c r="H76" s="12"/>
      <c r="I76" s="16" t="str">
        <f aca="true">IF(OR(F76="",H76&lt;&gt;"Bekliyor"),"",F76-TODAY())</f>
        <v/>
      </c>
      <c r="J76" s="17" t="str">
        <f aca="false">IF(I76="","",IF(I76&lt;0,"Vadesi geçti",IF(I76&lt;=7,"Bu hafta","")))</f>
        <v/>
      </c>
      <c r="K76" s="19" t="n">
        <f aca="false">IF(H76="Bekliyor",G76,0)</f>
        <v>0</v>
      </c>
    </row>
    <row r="77" customFormat="false" ht="15" hidden="false" customHeight="false" outlineLevel="0" collapsed="false">
      <c r="A77" s="12"/>
      <c r="B77" s="12"/>
      <c r="C77" s="13"/>
      <c r="D77" s="13"/>
      <c r="E77" s="13"/>
      <c r="F77" s="14"/>
      <c r="G77" s="15"/>
      <c r="H77" s="12"/>
      <c r="I77" s="16" t="str">
        <f aca="true">IF(OR(F77="",H77&lt;&gt;"Bekliyor"),"",F77-TODAY())</f>
        <v/>
      </c>
      <c r="J77" s="17" t="str">
        <f aca="false">IF(I77="","",IF(I77&lt;0,"Vadesi geçti",IF(I77&lt;=7,"Bu hafta","")))</f>
        <v/>
      </c>
      <c r="K77" s="19" t="n">
        <f aca="false">IF(H77="Bekliyor",G77,0)</f>
        <v>0</v>
      </c>
    </row>
    <row r="78" customFormat="false" ht="15" hidden="false" customHeight="false" outlineLevel="0" collapsed="false">
      <c r="A78" s="12"/>
      <c r="B78" s="12"/>
      <c r="C78" s="13"/>
      <c r="D78" s="13"/>
      <c r="E78" s="13"/>
      <c r="F78" s="14"/>
      <c r="G78" s="15"/>
      <c r="H78" s="12"/>
      <c r="I78" s="16" t="str">
        <f aca="true">IF(OR(F78="",H78&lt;&gt;"Bekliyor"),"",F78-TODAY())</f>
        <v/>
      </c>
      <c r="J78" s="17" t="str">
        <f aca="false">IF(I78="","",IF(I78&lt;0,"Vadesi geçti",IF(I78&lt;=7,"Bu hafta","")))</f>
        <v/>
      </c>
      <c r="K78" s="19" t="n">
        <f aca="false">IF(H78="Bekliyor",G78,0)</f>
        <v>0</v>
      </c>
    </row>
    <row r="79" customFormat="false" ht="15" hidden="false" customHeight="false" outlineLevel="0" collapsed="false">
      <c r="A79" s="12"/>
      <c r="B79" s="12"/>
      <c r="C79" s="13"/>
      <c r="D79" s="13"/>
      <c r="E79" s="13"/>
      <c r="F79" s="14"/>
      <c r="G79" s="15"/>
      <c r="H79" s="12"/>
      <c r="I79" s="16" t="str">
        <f aca="true">IF(OR(F79="",H79&lt;&gt;"Bekliyor"),"",F79-TODAY())</f>
        <v/>
      </c>
      <c r="J79" s="17" t="str">
        <f aca="false">IF(I79="","",IF(I79&lt;0,"Vadesi geçti",IF(I79&lt;=7,"Bu hafta","")))</f>
        <v/>
      </c>
      <c r="K79" s="19" t="n">
        <f aca="false">IF(H79="Bekliyor",G79,0)</f>
        <v>0</v>
      </c>
    </row>
    <row r="80" customFormat="false" ht="15" hidden="false" customHeight="false" outlineLevel="0" collapsed="false">
      <c r="A80" s="12"/>
      <c r="B80" s="12"/>
      <c r="C80" s="13"/>
      <c r="D80" s="13"/>
      <c r="E80" s="13"/>
      <c r="F80" s="14"/>
      <c r="G80" s="15"/>
      <c r="H80" s="12"/>
      <c r="I80" s="16" t="str">
        <f aca="true">IF(OR(F80="",H80&lt;&gt;"Bekliyor"),"",F80-TODAY())</f>
        <v/>
      </c>
      <c r="J80" s="17" t="str">
        <f aca="false">IF(I80="","",IF(I80&lt;0,"Vadesi geçti",IF(I80&lt;=7,"Bu hafta","")))</f>
        <v/>
      </c>
      <c r="K80" s="19" t="n">
        <f aca="false">IF(H80="Bekliyor",G80,0)</f>
        <v>0</v>
      </c>
    </row>
    <row r="81" customFormat="false" ht="15" hidden="false" customHeight="false" outlineLevel="0" collapsed="false">
      <c r="A81" s="12"/>
      <c r="B81" s="12"/>
      <c r="C81" s="13"/>
      <c r="D81" s="13"/>
      <c r="E81" s="13"/>
      <c r="F81" s="14"/>
      <c r="G81" s="15"/>
      <c r="H81" s="12"/>
      <c r="I81" s="16" t="str">
        <f aca="true">IF(OR(F81="",H81&lt;&gt;"Bekliyor"),"",F81-TODAY())</f>
        <v/>
      </c>
      <c r="J81" s="17" t="str">
        <f aca="false">IF(I81="","",IF(I81&lt;0,"Vadesi geçti",IF(I81&lt;=7,"Bu hafta","")))</f>
        <v/>
      </c>
      <c r="K81" s="19" t="n">
        <f aca="false">IF(H81="Bekliyor",G81,0)</f>
        <v>0</v>
      </c>
    </row>
    <row r="82" customFormat="false" ht="15" hidden="false" customHeight="false" outlineLevel="0" collapsed="false">
      <c r="A82" s="12"/>
      <c r="B82" s="12"/>
      <c r="C82" s="13"/>
      <c r="D82" s="13"/>
      <c r="E82" s="13"/>
      <c r="F82" s="14"/>
      <c r="G82" s="15"/>
      <c r="H82" s="12"/>
      <c r="I82" s="16" t="str">
        <f aca="true">IF(OR(F82="",H82&lt;&gt;"Bekliyor"),"",F82-TODAY())</f>
        <v/>
      </c>
      <c r="J82" s="17" t="str">
        <f aca="false">IF(I82="","",IF(I82&lt;0,"Vadesi geçti",IF(I82&lt;=7,"Bu hafta","")))</f>
        <v/>
      </c>
      <c r="K82" s="19" t="n">
        <f aca="false">IF(H82="Bekliyor",G82,0)</f>
        <v>0</v>
      </c>
    </row>
    <row r="83" customFormat="false" ht="15" hidden="false" customHeight="false" outlineLevel="0" collapsed="false">
      <c r="A83" s="12"/>
      <c r="B83" s="12"/>
      <c r="C83" s="13"/>
      <c r="D83" s="13"/>
      <c r="E83" s="13"/>
      <c r="F83" s="14"/>
      <c r="G83" s="15"/>
      <c r="H83" s="12"/>
      <c r="I83" s="16" t="str">
        <f aca="true">IF(OR(F83="",H83&lt;&gt;"Bekliyor"),"",F83-TODAY())</f>
        <v/>
      </c>
      <c r="J83" s="17" t="str">
        <f aca="false">IF(I83="","",IF(I83&lt;0,"Vadesi geçti",IF(I83&lt;=7,"Bu hafta","")))</f>
        <v/>
      </c>
      <c r="K83" s="19" t="n">
        <f aca="false">IF(H83="Bekliyor",G83,0)</f>
        <v>0</v>
      </c>
    </row>
    <row r="84" customFormat="false" ht="15" hidden="false" customHeight="false" outlineLevel="0" collapsed="false">
      <c r="A84" s="12"/>
      <c r="B84" s="12"/>
      <c r="C84" s="13"/>
      <c r="D84" s="13"/>
      <c r="E84" s="13"/>
      <c r="F84" s="14"/>
      <c r="G84" s="15"/>
      <c r="H84" s="12"/>
      <c r="I84" s="16" t="str">
        <f aca="true">IF(OR(F84="",H84&lt;&gt;"Bekliyor"),"",F84-TODAY())</f>
        <v/>
      </c>
      <c r="J84" s="17" t="str">
        <f aca="false">IF(I84="","",IF(I84&lt;0,"Vadesi geçti",IF(I84&lt;=7,"Bu hafta","")))</f>
        <v/>
      </c>
      <c r="K84" s="19" t="n">
        <f aca="false">IF(H84="Bekliyor",G84,0)</f>
        <v>0</v>
      </c>
    </row>
    <row r="85" customFormat="false" ht="15" hidden="false" customHeight="false" outlineLevel="0" collapsed="false">
      <c r="A85" s="12"/>
      <c r="B85" s="12"/>
      <c r="C85" s="13"/>
      <c r="D85" s="13"/>
      <c r="E85" s="13"/>
      <c r="F85" s="14"/>
      <c r="G85" s="15"/>
      <c r="H85" s="12"/>
      <c r="I85" s="16" t="str">
        <f aca="true">IF(OR(F85="",H85&lt;&gt;"Bekliyor"),"",F85-TODAY())</f>
        <v/>
      </c>
      <c r="J85" s="17" t="str">
        <f aca="false">IF(I85="","",IF(I85&lt;0,"Vadesi geçti",IF(I85&lt;=7,"Bu hafta","")))</f>
        <v/>
      </c>
      <c r="K85" s="19" t="n">
        <f aca="false">IF(H85="Bekliyor",G85,0)</f>
        <v>0</v>
      </c>
    </row>
    <row r="86" customFormat="false" ht="15" hidden="false" customHeight="false" outlineLevel="0" collapsed="false">
      <c r="A86" s="12"/>
      <c r="B86" s="12"/>
      <c r="C86" s="13"/>
      <c r="D86" s="13"/>
      <c r="E86" s="13"/>
      <c r="F86" s="14"/>
      <c r="G86" s="15"/>
      <c r="H86" s="12"/>
      <c r="I86" s="16" t="str">
        <f aca="true">IF(OR(F86="",H86&lt;&gt;"Bekliyor"),"",F86-TODAY())</f>
        <v/>
      </c>
      <c r="J86" s="17" t="str">
        <f aca="false">IF(I86="","",IF(I86&lt;0,"Vadesi geçti",IF(I86&lt;=7,"Bu hafta","")))</f>
        <v/>
      </c>
      <c r="K86" s="19" t="n">
        <f aca="false">IF(H86="Bekliyor",G86,0)</f>
        <v>0</v>
      </c>
    </row>
    <row r="87" customFormat="false" ht="15" hidden="false" customHeight="false" outlineLevel="0" collapsed="false">
      <c r="A87" s="12"/>
      <c r="B87" s="12"/>
      <c r="C87" s="13"/>
      <c r="D87" s="13"/>
      <c r="E87" s="13"/>
      <c r="F87" s="14"/>
      <c r="G87" s="15"/>
      <c r="H87" s="12"/>
      <c r="I87" s="16" t="str">
        <f aca="true">IF(OR(F87="",H87&lt;&gt;"Bekliyor"),"",F87-TODAY())</f>
        <v/>
      </c>
      <c r="J87" s="17" t="str">
        <f aca="false">IF(I87="","",IF(I87&lt;0,"Vadesi geçti",IF(I87&lt;=7,"Bu hafta","")))</f>
        <v/>
      </c>
      <c r="K87" s="19" t="n">
        <f aca="false">IF(H87="Bekliyor",G87,0)</f>
        <v>0</v>
      </c>
    </row>
    <row r="88" customFormat="false" ht="15" hidden="false" customHeight="false" outlineLevel="0" collapsed="false">
      <c r="A88" s="12"/>
      <c r="B88" s="12"/>
      <c r="C88" s="13"/>
      <c r="D88" s="13"/>
      <c r="E88" s="13"/>
      <c r="F88" s="14"/>
      <c r="G88" s="15"/>
      <c r="H88" s="12"/>
      <c r="I88" s="16" t="str">
        <f aca="true">IF(OR(F88="",H88&lt;&gt;"Bekliyor"),"",F88-TODAY())</f>
        <v/>
      </c>
      <c r="J88" s="17" t="str">
        <f aca="false">IF(I88="","",IF(I88&lt;0,"Vadesi geçti",IF(I88&lt;=7,"Bu hafta","")))</f>
        <v/>
      </c>
      <c r="K88" s="19" t="n">
        <f aca="false">IF(H88="Bekliyor",G88,0)</f>
        <v>0</v>
      </c>
    </row>
    <row r="89" customFormat="false" ht="15" hidden="false" customHeight="false" outlineLevel="0" collapsed="false">
      <c r="A89" s="12"/>
      <c r="B89" s="12"/>
      <c r="C89" s="13"/>
      <c r="D89" s="13"/>
      <c r="E89" s="13"/>
      <c r="F89" s="14"/>
      <c r="G89" s="15"/>
      <c r="H89" s="12"/>
      <c r="I89" s="16" t="str">
        <f aca="true">IF(OR(F89="",H89&lt;&gt;"Bekliyor"),"",F89-TODAY())</f>
        <v/>
      </c>
      <c r="J89" s="17" t="str">
        <f aca="false">IF(I89="","",IF(I89&lt;0,"Vadesi geçti",IF(I89&lt;=7,"Bu hafta","")))</f>
        <v/>
      </c>
      <c r="K89" s="19" t="n">
        <f aca="false">IF(H89="Bekliyor",G89,0)</f>
        <v>0</v>
      </c>
    </row>
    <row r="90" customFormat="false" ht="15" hidden="false" customHeight="false" outlineLevel="0" collapsed="false">
      <c r="A90" s="12"/>
      <c r="B90" s="12"/>
      <c r="C90" s="13"/>
      <c r="D90" s="13"/>
      <c r="E90" s="13"/>
      <c r="F90" s="14"/>
      <c r="G90" s="15"/>
      <c r="H90" s="12"/>
      <c r="I90" s="16" t="str">
        <f aca="true">IF(OR(F90="",H90&lt;&gt;"Bekliyor"),"",F90-TODAY())</f>
        <v/>
      </c>
      <c r="J90" s="17" t="str">
        <f aca="false">IF(I90="","",IF(I90&lt;0,"Vadesi geçti",IF(I90&lt;=7,"Bu hafta","")))</f>
        <v/>
      </c>
      <c r="K90" s="19" t="n">
        <f aca="false">IF(H90="Bekliyor",G90,0)</f>
        <v>0</v>
      </c>
    </row>
    <row r="91" customFormat="false" ht="15" hidden="false" customHeight="false" outlineLevel="0" collapsed="false">
      <c r="A91" s="12"/>
      <c r="B91" s="12"/>
      <c r="C91" s="13"/>
      <c r="D91" s="13"/>
      <c r="E91" s="13"/>
      <c r="F91" s="14"/>
      <c r="G91" s="15"/>
      <c r="H91" s="12"/>
      <c r="I91" s="16" t="str">
        <f aca="true">IF(OR(F91="",H91&lt;&gt;"Bekliyor"),"",F91-TODAY())</f>
        <v/>
      </c>
      <c r="J91" s="17" t="str">
        <f aca="false">IF(I91="","",IF(I91&lt;0,"Vadesi geçti",IF(I91&lt;=7,"Bu hafta","")))</f>
        <v/>
      </c>
      <c r="K91" s="19" t="n">
        <f aca="false">IF(H91="Bekliyor",G91,0)</f>
        <v>0</v>
      </c>
    </row>
    <row r="92" customFormat="false" ht="15" hidden="false" customHeight="false" outlineLevel="0" collapsed="false">
      <c r="A92" s="12"/>
      <c r="B92" s="12"/>
      <c r="C92" s="13"/>
      <c r="D92" s="13"/>
      <c r="E92" s="13"/>
      <c r="F92" s="14"/>
      <c r="G92" s="15"/>
      <c r="H92" s="12"/>
      <c r="I92" s="16" t="str">
        <f aca="true">IF(OR(F92="",H92&lt;&gt;"Bekliyor"),"",F92-TODAY())</f>
        <v/>
      </c>
      <c r="J92" s="17" t="str">
        <f aca="false">IF(I92="","",IF(I92&lt;0,"Vadesi geçti",IF(I92&lt;=7,"Bu hafta","")))</f>
        <v/>
      </c>
      <c r="K92" s="19" t="n">
        <f aca="false">IF(H92="Bekliyor",G92,0)</f>
        <v>0</v>
      </c>
    </row>
    <row r="93" customFormat="false" ht="15" hidden="false" customHeight="false" outlineLevel="0" collapsed="false">
      <c r="A93" s="12"/>
      <c r="B93" s="12"/>
      <c r="C93" s="13"/>
      <c r="D93" s="13"/>
      <c r="E93" s="13"/>
      <c r="F93" s="14"/>
      <c r="G93" s="15"/>
      <c r="H93" s="12"/>
      <c r="I93" s="16" t="str">
        <f aca="true">IF(OR(F93="",H93&lt;&gt;"Bekliyor"),"",F93-TODAY())</f>
        <v/>
      </c>
      <c r="J93" s="17" t="str">
        <f aca="false">IF(I93="","",IF(I93&lt;0,"Vadesi geçti",IF(I93&lt;=7,"Bu hafta","")))</f>
        <v/>
      </c>
      <c r="K93" s="19" t="n">
        <f aca="false">IF(H93="Bekliyor",G93,0)</f>
        <v>0</v>
      </c>
    </row>
    <row r="94" customFormat="false" ht="15" hidden="false" customHeight="false" outlineLevel="0" collapsed="false">
      <c r="A94" s="12"/>
      <c r="B94" s="12"/>
      <c r="C94" s="13"/>
      <c r="D94" s="13"/>
      <c r="E94" s="13"/>
      <c r="F94" s="14"/>
      <c r="G94" s="15"/>
      <c r="H94" s="12"/>
      <c r="I94" s="16" t="str">
        <f aca="true">IF(OR(F94="",H94&lt;&gt;"Bekliyor"),"",F94-TODAY())</f>
        <v/>
      </c>
      <c r="J94" s="17" t="str">
        <f aca="false">IF(I94="","",IF(I94&lt;0,"Vadesi geçti",IF(I94&lt;=7,"Bu hafta","")))</f>
        <v/>
      </c>
      <c r="K94" s="19" t="n">
        <f aca="false">IF(H94="Bekliyor",G94,0)</f>
        <v>0</v>
      </c>
    </row>
    <row r="95" customFormat="false" ht="15" hidden="false" customHeight="false" outlineLevel="0" collapsed="false">
      <c r="A95" s="12"/>
      <c r="B95" s="12"/>
      <c r="C95" s="13"/>
      <c r="D95" s="13"/>
      <c r="E95" s="13"/>
      <c r="F95" s="14"/>
      <c r="G95" s="15"/>
      <c r="H95" s="12"/>
      <c r="I95" s="16" t="str">
        <f aca="true">IF(OR(F95="",H95&lt;&gt;"Bekliyor"),"",F95-TODAY())</f>
        <v/>
      </c>
      <c r="J95" s="17" t="str">
        <f aca="false">IF(I95="","",IF(I95&lt;0,"Vadesi geçti",IF(I95&lt;=7,"Bu hafta","")))</f>
        <v/>
      </c>
      <c r="K95" s="19" t="n">
        <f aca="false">IF(H95="Bekliyor",G95,0)</f>
        <v>0</v>
      </c>
    </row>
    <row r="96" customFormat="false" ht="15" hidden="false" customHeight="false" outlineLevel="0" collapsed="false">
      <c r="A96" s="12"/>
      <c r="B96" s="12"/>
      <c r="C96" s="13"/>
      <c r="D96" s="13"/>
      <c r="E96" s="13"/>
      <c r="F96" s="14"/>
      <c r="G96" s="15"/>
      <c r="H96" s="12"/>
      <c r="I96" s="16" t="str">
        <f aca="true">IF(OR(F96="",H96&lt;&gt;"Bekliyor"),"",F96-TODAY())</f>
        <v/>
      </c>
      <c r="J96" s="17" t="str">
        <f aca="false">IF(I96="","",IF(I96&lt;0,"Vadesi geçti",IF(I96&lt;=7,"Bu hafta","")))</f>
        <v/>
      </c>
      <c r="K96" s="19" t="n">
        <f aca="false">IF(H96="Bekliyor",G96,0)</f>
        <v>0</v>
      </c>
    </row>
    <row r="97" customFormat="false" ht="15" hidden="false" customHeight="false" outlineLevel="0" collapsed="false">
      <c r="A97" s="12"/>
      <c r="B97" s="12"/>
      <c r="C97" s="13"/>
      <c r="D97" s="13"/>
      <c r="E97" s="13"/>
      <c r="F97" s="14"/>
      <c r="G97" s="15"/>
      <c r="H97" s="12"/>
      <c r="I97" s="16" t="str">
        <f aca="true">IF(OR(F97="",H97&lt;&gt;"Bekliyor"),"",F97-TODAY())</f>
        <v/>
      </c>
      <c r="J97" s="17" t="str">
        <f aca="false">IF(I97="","",IF(I97&lt;0,"Vadesi geçti",IF(I97&lt;=7,"Bu hafta","")))</f>
        <v/>
      </c>
      <c r="K97" s="19" t="n">
        <f aca="false">IF(H97="Bekliyor",G97,0)</f>
        <v>0</v>
      </c>
    </row>
    <row r="98" customFormat="false" ht="15" hidden="false" customHeight="false" outlineLevel="0" collapsed="false">
      <c r="A98" s="12"/>
      <c r="B98" s="12"/>
      <c r="C98" s="13"/>
      <c r="D98" s="13"/>
      <c r="E98" s="13"/>
      <c r="F98" s="14"/>
      <c r="G98" s="15"/>
      <c r="H98" s="12"/>
      <c r="I98" s="16" t="str">
        <f aca="true">IF(OR(F98="",H98&lt;&gt;"Bekliyor"),"",F98-TODAY())</f>
        <v/>
      </c>
      <c r="J98" s="17" t="str">
        <f aca="false">IF(I98="","",IF(I98&lt;0,"Vadesi geçti",IF(I98&lt;=7,"Bu hafta","")))</f>
        <v/>
      </c>
      <c r="K98" s="19" t="n">
        <f aca="false">IF(H98="Bekliyor",G98,0)</f>
        <v>0</v>
      </c>
    </row>
    <row r="99" customFormat="false" ht="15" hidden="false" customHeight="false" outlineLevel="0" collapsed="false">
      <c r="A99" s="12"/>
      <c r="B99" s="12"/>
      <c r="C99" s="13"/>
      <c r="D99" s="13"/>
      <c r="E99" s="13"/>
      <c r="F99" s="14"/>
      <c r="G99" s="15"/>
      <c r="H99" s="12"/>
      <c r="I99" s="16" t="str">
        <f aca="true">IF(OR(F99="",H99&lt;&gt;"Bekliyor"),"",F99-TODAY())</f>
        <v/>
      </c>
      <c r="J99" s="17" t="str">
        <f aca="false">IF(I99="","",IF(I99&lt;0,"Vadesi geçti",IF(I99&lt;=7,"Bu hafta","")))</f>
        <v/>
      </c>
      <c r="K99" s="19" t="n">
        <f aca="false">IF(H99="Bekliyor",G99,0)</f>
        <v>0</v>
      </c>
    </row>
    <row r="100" customFormat="false" ht="15" hidden="false" customHeight="false" outlineLevel="0" collapsed="false">
      <c r="A100" s="12"/>
      <c r="B100" s="12"/>
      <c r="C100" s="13"/>
      <c r="D100" s="13"/>
      <c r="E100" s="13"/>
      <c r="F100" s="14"/>
      <c r="G100" s="15"/>
      <c r="H100" s="12"/>
      <c r="I100" s="16" t="str">
        <f aca="true">IF(OR(F100="",H100&lt;&gt;"Bekliyor"),"",F100-TODAY())</f>
        <v/>
      </c>
      <c r="J100" s="17" t="str">
        <f aca="false">IF(I100="","",IF(I100&lt;0,"Vadesi geçti",IF(I100&lt;=7,"Bu hafta","")))</f>
        <v/>
      </c>
      <c r="K100" s="19" t="n">
        <f aca="false">IF(H100="Bekliyor",G100,0)</f>
        <v>0</v>
      </c>
    </row>
    <row r="101" customFormat="false" ht="15" hidden="false" customHeight="false" outlineLevel="0" collapsed="false">
      <c r="A101" s="12"/>
      <c r="B101" s="12"/>
      <c r="C101" s="13"/>
      <c r="D101" s="13"/>
      <c r="E101" s="13"/>
      <c r="F101" s="14"/>
      <c r="G101" s="15"/>
      <c r="H101" s="12"/>
      <c r="I101" s="16" t="str">
        <f aca="true">IF(OR(F101="",H101&lt;&gt;"Bekliyor"),"",F101-TODAY())</f>
        <v/>
      </c>
      <c r="J101" s="17" t="str">
        <f aca="false">IF(I101="","",IF(I101&lt;0,"Vadesi geçti",IF(I101&lt;=7,"Bu hafta","")))</f>
        <v/>
      </c>
      <c r="K101" s="19" t="n">
        <f aca="false">IF(H101="Bekliyor",G101,0)</f>
        <v>0</v>
      </c>
    </row>
    <row r="102" customFormat="false" ht="15" hidden="false" customHeight="false" outlineLevel="0" collapsed="false">
      <c r="A102" s="12"/>
      <c r="B102" s="12"/>
      <c r="C102" s="13"/>
      <c r="D102" s="13"/>
      <c r="E102" s="13"/>
      <c r="F102" s="14"/>
      <c r="G102" s="15"/>
      <c r="H102" s="12"/>
      <c r="I102" s="16" t="str">
        <f aca="true">IF(OR(F102="",H102&lt;&gt;"Bekliyor"),"",F102-TODAY())</f>
        <v/>
      </c>
      <c r="J102" s="17" t="str">
        <f aca="false">IF(I102="","",IF(I102&lt;0,"Vadesi geçti",IF(I102&lt;=7,"Bu hafta","")))</f>
        <v/>
      </c>
      <c r="K102" s="19" t="n">
        <f aca="false">IF(H102="Bekliyor",G102,0)</f>
        <v>0</v>
      </c>
    </row>
    <row r="103" customFormat="false" ht="15" hidden="false" customHeight="false" outlineLevel="0" collapsed="false">
      <c r="A103" s="12"/>
      <c r="B103" s="12"/>
      <c r="C103" s="13"/>
      <c r="D103" s="13"/>
      <c r="E103" s="13"/>
      <c r="F103" s="14"/>
      <c r="G103" s="15"/>
      <c r="H103" s="12"/>
      <c r="I103" s="16" t="str">
        <f aca="true">IF(OR(F103="",H103&lt;&gt;"Bekliyor"),"",F103-TODAY())</f>
        <v/>
      </c>
      <c r="J103" s="17" t="str">
        <f aca="false">IF(I103="","",IF(I103&lt;0,"Vadesi geçti",IF(I103&lt;=7,"Bu hafta","")))</f>
        <v/>
      </c>
      <c r="K103" s="19" t="n">
        <f aca="false">IF(H103="Bekliyor",G103,0)</f>
        <v>0</v>
      </c>
    </row>
    <row r="104" customFormat="false" ht="15" hidden="false" customHeight="false" outlineLevel="0" collapsed="false">
      <c r="A104" s="12"/>
      <c r="B104" s="12"/>
      <c r="C104" s="13"/>
      <c r="D104" s="13"/>
      <c r="E104" s="13"/>
      <c r="F104" s="14"/>
      <c r="G104" s="15"/>
      <c r="H104" s="12"/>
      <c r="I104" s="16" t="str">
        <f aca="true">IF(OR(F104="",H104&lt;&gt;"Bekliyor"),"",F104-TODAY())</f>
        <v/>
      </c>
      <c r="J104" s="17" t="str">
        <f aca="false">IF(I104="","",IF(I104&lt;0,"Vadesi geçti",IF(I104&lt;=7,"Bu hafta","")))</f>
        <v/>
      </c>
      <c r="K104" s="19" t="n">
        <f aca="false">IF(H104="Bekliyor",G104,0)</f>
        <v>0</v>
      </c>
    </row>
    <row r="105" customFormat="false" ht="15" hidden="false" customHeight="false" outlineLevel="0" collapsed="false">
      <c r="A105" s="12"/>
      <c r="B105" s="12"/>
      <c r="C105" s="13"/>
      <c r="D105" s="13"/>
      <c r="E105" s="13"/>
      <c r="F105" s="14"/>
      <c r="G105" s="15"/>
      <c r="H105" s="12"/>
      <c r="I105" s="16" t="str">
        <f aca="true">IF(OR(F105="",H105&lt;&gt;"Bekliyor"),"",F105-TODAY())</f>
        <v/>
      </c>
      <c r="J105" s="17" t="str">
        <f aca="false">IF(I105="","",IF(I105&lt;0,"Vadesi geçti",IF(I105&lt;=7,"Bu hafta","")))</f>
        <v/>
      </c>
      <c r="K105" s="19" t="n">
        <f aca="false">IF(H105="Bekliyor",G105,0)</f>
        <v>0</v>
      </c>
    </row>
    <row r="106" customFormat="false" ht="15" hidden="false" customHeight="false" outlineLevel="0" collapsed="false">
      <c r="A106" s="12"/>
      <c r="B106" s="12"/>
      <c r="C106" s="13"/>
      <c r="D106" s="13"/>
      <c r="E106" s="13"/>
      <c r="F106" s="14"/>
      <c r="G106" s="15"/>
      <c r="H106" s="12"/>
      <c r="I106" s="16" t="str">
        <f aca="true">IF(OR(F106="",H106&lt;&gt;"Bekliyor"),"",F106-TODAY())</f>
        <v/>
      </c>
      <c r="J106" s="17" t="str">
        <f aca="false">IF(I106="","",IF(I106&lt;0,"Vadesi geçti",IF(I106&lt;=7,"Bu hafta","")))</f>
        <v/>
      </c>
      <c r="K106" s="19" t="n">
        <f aca="false">IF(H106="Bekliyor",G106,0)</f>
        <v>0</v>
      </c>
    </row>
    <row r="107" customFormat="false" ht="15" hidden="false" customHeight="false" outlineLevel="0" collapsed="false">
      <c r="A107" s="12"/>
      <c r="B107" s="12"/>
      <c r="C107" s="13"/>
      <c r="D107" s="13"/>
      <c r="E107" s="13"/>
      <c r="F107" s="14"/>
      <c r="G107" s="15"/>
      <c r="H107" s="12"/>
      <c r="I107" s="16" t="str">
        <f aca="true">IF(OR(F107="",H107&lt;&gt;"Bekliyor"),"",F107-TODAY())</f>
        <v/>
      </c>
      <c r="J107" s="17" t="str">
        <f aca="false">IF(I107="","",IF(I107&lt;0,"Vadesi geçti",IF(I107&lt;=7,"Bu hafta","")))</f>
        <v/>
      </c>
      <c r="K107" s="19" t="n">
        <f aca="false">IF(H107="Bekliyor",G107,0)</f>
        <v>0</v>
      </c>
    </row>
    <row r="108" customFormat="false" ht="15" hidden="false" customHeight="false" outlineLevel="0" collapsed="false">
      <c r="A108" s="12"/>
      <c r="B108" s="12"/>
      <c r="C108" s="13"/>
      <c r="D108" s="13"/>
      <c r="E108" s="13"/>
      <c r="F108" s="14"/>
      <c r="G108" s="15"/>
      <c r="H108" s="12"/>
      <c r="I108" s="16" t="str">
        <f aca="true">IF(OR(F108="",H108&lt;&gt;"Bekliyor"),"",F108-TODAY())</f>
        <v/>
      </c>
      <c r="J108" s="17" t="str">
        <f aca="false">IF(I108="","",IF(I108&lt;0,"Vadesi geçti",IF(I108&lt;=7,"Bu hafta","")))</f>
        <v/>
      </c>
      <c r="K108" s="19" t="n">
        <f aca="false">IF(H108="Bekliyor",G108,0)</f>
        <v>0</v>
      </c>
    </row>
    <row r="109" customFormat="false" ht="15" hidden="false" customHeight="false" outlineLevel="0" collapsed="false">
      <c r="A109" s="12"/>
      <c r="B109" s="12"/>
      <c r="C109" s="13"/>
      <c r="D109" s="13"/>
      <c r="E109" s="13"/>
      <c r="F109" s="14"/>
      <c r="G109" s="15"/>
      <c r="H109" s="12"/>
      <c r="I109" s="16" t="str">
        <f aca="true">IF(OR(F109="",H109&lt;&gt;"Bekliyor"),"",F109-TODAY())</f>
        <v/>
      </c>
      <c r="J109" s="17" t="str">
        <f aca="false">IF(I109="","",IF(I109&lt;0,"Vadesi geçti",IF(I109&lt;=7,"Bu hafta","")))</f>
        <v/>
      </c>
      <c r="K109" s="19" t="n">
        <f aca="false">IF(H109="Bekliyor",G109,0)</f>
        <v>0</v>
      </c>
    </row>
    <row r="110" customFormat="false" ht="15" hidden="false" customHeight="false" outlineLevel="0" collapsed="false">
      <c r="A110" s="12"/>
      <c r="B110" s="12"/>
      <c r="C110" s="13"/>
      <c r="D110" s="13"/>
      <c r="E110" s="13"/>
      <c r="F110" s="14"/>
      <c r="G110" s="15"/>
      <c r="H110" s="12"/>
      <c r="I110" s="16" t="str">
        <f aca="true">IF(OR(F110="",H110&lt;&gt;"Bekliyor"),"",F110-TODAY())</f>
        <v/>
      </c>
      <c r="J110" s="17" t="str">
        <f aca="false">IF(I110="","",IF(I110&lt;0,"Vadesi geçti",IF(I110&lt;=7,"Bu hafta","")))</f>
        <v/>
      </c>
      <c r="K110" s="19" t="n">
        <f aca="false">IF(H110="Bekliyor",G110,0)</f>
        <v>0</v>
      </c>
    </row>
    <row r="111" customFormat="false" ht="15" hidden="false" customHeight="false" outlineLevel="0" collapsed="false">
      <c r="A111" s="12"/>
      <c r="B111" s="12"/>
      <c r="C111" s="13"/>
      <c r="D111" s="13"/>
      <c r="E111" s="13"/>
      <c r="F111" s="14"/>
      <c r="G111" s="15"/>
      <c r="H111" s="12"/>
      <c r="I111" s="16" t="str">
        <f aca="true">IF(OR(F111="",H111&lt;&gt;"Bekliyor"),"",F111-TODAY())</f>
        <v/>
      </c>
      <c r="J111" s="17" t="str">
        <f aca="false">IF(I111="","",IF(I111&lt;0,"Vadesi geçti",IF(I111&lt;=7,"Bu hafta","")))</f>
        <v/>
      </c>
      <c r="K111" s="19" t="n">
        <f aca="false">IF(H111="Bekliyor",G111,0)</f>
        <v>0</v>
      </c>
    </row>
    <row r="112" customFormat="false" ht="15" hidden="false" customHeight="false" outlineLevel="0" collapsed="false">
      <c r="A112" s="12"/>
      <c r="B112" s="12"/>
      <c r="C112" s="13"/>
      <c r="D112" s="13"/>
      <c r="E112" s="13"/>
      <c r="F112" s="14"/>
      <c r="G112" s="15"/>
      <c r="H112" s="12"/>
      <c r="I112" s="16" t="str">
        <f aca="true">IF(OR(F112="",H112&lt;&gt;"Bekliyor"),"",F112-TODAY())</f>
        <v/>
      </c>
      <c r="J112" s="17" t="str">
        <f aca="false">IF(I112="","",IF(I112&lt;0,"Vadesi geçti",IF(I112&lt;=7,"Bu hafta","")))</f>
        <v/>
      </c>
      <c r="K112" s="19" t="n">
        <f aca="false">IF(H112="Bekliyor",G112,0)</f>
        <v>0</v>
      </c>
    </row>
    <row r="113" customFormat="false" ht="15" hidden="false" customHeight="false" outlineLevel="0" collapsed="false">
      <c r="A113" s="12"/>
      <c r="B113" s="12"/>
      <c r="C113" s="13"/>
      <c r="D113" s="13"/>
      <c r="E113" s="13"/>
      <c r="F113" s="14"/>
      <c r="G113" s="15"/>
      <c r="H113" s="12"/>
      <c r="I113" s="16" t="str">
        <f aca="true">IF(OR(F113="",H113&lt;&gt;"Bekliyor"),"",F113-TODAY())</f>
        <v/>
      </c>
      <c r="J113" s="17" t="str">
        <f aca="false">IF(I113="","",IF(I113&lt;0,"Vadesi geçti",IF(I113&lt;=7,"Bu hafta","")))</f>
        <v/>
      </c>
      <c r="K113" s="19" t="n">
        <f aca="false">IF(H113="Bekliyor",G113,0)</f>
        <v>0</v>
      </c>
    </row>
    <row r="114" customFormat="false" ht="15" hidden="false" customHeight="false" outlineLevel="0" collapsed="false">
      <c r="A114" s="12"/>
      <c r="B114" s="12"/>
      <c r="C114" s="13"/>
      <c r="D114" s="13"/>
      <c r="E114" s="13"/>
      <c r="F114" s="14"/>
      <c r="G114" s="15"/>
      <c r="H114" s="12"/>
      <c r="I114" s="16" t="str">
        <f aca="true">IF(OR(F114="",H114&lt;&gt;"Bekliyor"),"",F114-TODAY())</f>
        <v/>
      </c>
      <c r="J114" s="17" t="str">
        <f aca="false">IF(I114="","",IF(I114&lt;0,"Vadesi geçti",IF(I114&lt;=7,"Bu hafta","")))</f>
        <v/>
      </c>
      <c r="K114" s="19" t="n">
        <f aca="false">IF(H114="Bekliyor",G114,0)</f>
        <v>0</v>
      </c>
    </row>
    <row r="115" customFormat="false" ht="15" hidden="false" customHeight="false" outlineLevel="0" collapsed="false">
      <c r="A115" s="12"/>
      <c r="B115" s="12"/>
      <c r="C115" s="13"/>
      <c r="D115" s="13"/>
      <c r="E115" s="13"/>
      <c r="F115" s="14"/>
      <c r="G115" s="15"/>
      <c r="H115" s="12"/>
      <c r="I115" s="16" t="str">
        <f aca="true">IF(OR(F115="",H115&lt;&gt;"Bekliyor"),"",F115-TODAY())</f>
        <v/>
      </c>
      <c r="J115" s="17" t="str">
        <f aca="false">IF(I115="","",IF(I115&lt;0,"Vadesi geçti",IF(I115&lt;=7,"Bu hafta","")))</f>
        <v/>
      </c>
      <c r="K115" s="19" t="n">
        <f aca="false">IF(H115="Bekliyor",G115,0)</f>
        <v>0</v>
      </c>
    </row>
    <row r="116" customFormat="false" ht="15" hidden="false" customHeight="false" outlineLevel="0" collapsed="false">
      <c r="A116" s="12"/>
      <c r="B116" s="12"/>
      <c r="C116" s="13"/>
      <c r="D116" s="13"/>
      <c r="E116" s="13"/>
      <c r="F116" s="14"/>
      <c r="G116" s="15"/>
      <c r="H116" s="12"/>
      <c r="I116" s="16" t="str">
        <f aca="true">IF(OR(F116="",H116&lt;&gt;"Bekliyor"),"",F116-TODAY())</f>
        <v/>
      </c>
      <c r="J116" s="17" t="str">
        <f aca="false">IF(I116="","",IF(I116&lt;0,"Vadesi geçti",IF(I116&lt;=7,"Bu hafta","")))</f>
        <v/>
      </c>
      <c r="K116" s="19" t="n">
        <f aca="false">IF(H116="Bekliyor",G116,0)</f>
        <v>0</v>
      </c>
    </row>
    <row r="117" customFormat="false" ht="15" hidden="false" customHeight="false" outlineLevel="0" collapsed="false">
      <c r="A117" s="12"/>
      <c r="B117" s="12"/>
      <c r="C117" s="13"/>
      <c r="D117" s="13"/>
      <c r="E117" s="13"/>
      <c r="F117" s="14"/>
      <c r="G117" s="15"/>
      <c r="H117" s="12"/>
      <c r="I117" s="16" t="str">
        <f aca="true">IF(OR(F117="",H117&lt;&gt;"Bekliyor"),"",F117-TODAY())</f>
        <v/>
      </c>
      <c r="J117" s="17" t="str">
        <f aca="false">IF(I117="","",IF(I117&lt;0,"Vadesi geçti",IF(I117&lt;=7,"Bu hafta","")))</f>
        <v/>
      </c>
      <c r="K117" s="19" t="n">
        <f aca="false">IF(H117="Bekliyor",G117,0)</f>
        <v>0</v>
      </c>
    </row>
    <row r="118" customFormat="false" ht="15" hidden="false" customHeight="false" outlineLevel="0" collapsed="false">
      <c r="A118" s="12"/>
      <c r="B118" s="12"/>
      <c r="C118" s="13"/>
      <c r="D118" s="13"/>
      <c r="E118" s="13"/>
      <c r="F118" s="14"/>
      <c r="G118" s="15"/>
      <c r="H118" s="12"/>
      <c r="I118" s="16" t="str">
        <f aca="true">IF(OR(F118="",H118&lt;&gt;"Bekliyor"),"",F118-TODAY())</f>
        <v/>
      </c>
      <c r="J118" s="17" t="str">
        <f aca="false">IF(I118="","",IF(I118&lt;0,"Vadesi geçti",IF(I118&lt;=7,"Bu hafta","")))</f>
        <v/>
      </c>
      <c r="K118" s="19" t="n">
        <f aca="false">IF(H118="Bekliyor",G118,0)</f>
        <v>0</v>
      </c>
    </row>
    <row r="119" customFormat="false" ht="15" hidden="false" customHeight="false" outlineLevel="0" collapsed="false">
      <c r="A119" s="12"/>
      <c r="B119" s="12"/>
      <c r="C119" s="13"/>
      <c r="D119" s="13"/>
      <c r="E119" s="13"/>
      <c r="F119" s="14"/>
      <c r="G119" s="15"/>
      <c r="H119" s="12"/>
      <c r="I119" s="16" t="str">
        <f aca="true">IF(OR(F119="",H119&lt;&gt;"Bekliyor"),"",F119-TODAY())</f>
        <v/>
      </c>
      <c r="J119" s="17" t="str">
        <f aca="false">IF(I119="","",IF(I119&lt;0,"Vadesi geçti",IF(I119&lt;=7,"Bu hafta","")))</f>
        <v/>
      </c>
      <c r="K119" s="19" t="n">
        <f aca="false">IF(H119="Bekliyor",G119,0)</f>
        <v>0</v>
      </c>
    </row>
    <row r="120" customFormat="false" ht="15" hidden="false" customHeight="false" outlineLevel="0" collapsed="false">
      <c r="A120" s="12"/>
      <c r="B120" s="12"/>
      <c r="C120" s="13"/>
      <c r="D120" s="13"/>
      <c r="E120" s="13"/>
      <c r="F120" s="14"/>
      <c r="G120" s="15"/>
      <c r="H120" s="12"/>
      <c r="I120" s="16" t="str">
        <f aca="true">IF(OR(F120="",H120&lt;&gt;"Bekliyor"),"",F120-TODAY())</f>
        <v/>
      </c>
      <c r="J120" s="17" t="str">
        <f aca="false">IF(I120="","",IF(I120&lt;0,"Vadesi geçti",IF(I120&lt;=7,"Bu hafta","")))</f>
        <v/>
      </c>
      <c r="K120" s="19" t="n">
        <f aca="false">IF(H120="Bekliyor",G120,0)</f>
        <v>0</v>
      </c>
    </row>
    <row r="121" customFormat="false" ht="15" hidden="false" customHeight="false" outlineLevel="0" collapsed="false">
      <c r="A121" s="12"/>
      <c r="B121" s="12"/>
      <c r="C121" s="13"/>
      <c r="D121" s="13"/>
      <c r="E121" s="13"/>
      <c r="F121" s="14"/>
      <c r="G121" s="15"/>
      <c r="H121" s="12"/>
      <c r="I121" s="16" t="str">
        <f aca="true">IF(OR(F121="",H121&lt;&gt;"Bekliyor"),"",F121-TODAY())</f>
        <v/>
      </c>
      <c r="J121" s="17" t="str">
        <f aca="false">IF(I121="","",IF(I121&lt;0,"Vadesi geçti",IF(I121&lt;=7,"Bu hafta","")))</f>
        <v/>
      </c>
      <c r="K121" s="19" t="n">
        <f aca="false">IF(H121="Bekliyor",G121,0)</f>
        <v>0</v>
      </c>
    </row>
    <row r="122" customFormat="false" ht="15" hidden="false" customHeight="false" outlineLevel="0" collapsed="false">
      <c r="A122" s="12"/>
      <c r="B122" s="12"/>
      <c r="C122" s="13"/>
      <c r="D122" s="13"/>
      <c r="E122" s="13"/>
      <c r="F122" s="14"/>
      <c r="G122" s="15"/>
      <c r="H122" s="12"/>
      <c r="I122" s="16" t="str">
        <f aca="true">IF(OR(F122="",H122&lt;&gt;"Bekliyor"),"",F122-TODAY())</f>
        <v/>
      </c>
      <c r="J122" s="17" t="str">
        <f aca="false">IF(I122="","",IF(I122&lt;0,"Vadesi geçti",IF(I122&lt;=7,"Bu hafta","")))</f>
        <v/>
      </c>
      <c r="K122" s="19" t="n">
        <f aca="false">IF(H122="Bekliyor",G122,0)</f>
        <v>0</v>
      </c>
    </row>
    <row r="123" customFormat="false" ht="15" hidden="false" customHeight="false" outlineLevel="0" collapsed="false">
      <c r="A123" s="12"/>
      <c r="B123" s="12"/>
      <c r="C123" s="13"/>
      <c r="D123" s="13"/>
      <c r="E123" s="13"/>
      <c r="F123" s="14"/>
      <c r="G123" s="15"/>
      <c r="H123" s="12"/>
      <c r="I123" s="16" t="str">
        <f aca="true">IF(OR(F123="",H123&lt;&gt;"Bekliyor"),"",F123-TODAY())</f>
        <v/>
      </c>
      <c r="J123" s="17" t="str">
        <f aca="false">IF(I123="","",IF(I123&lt;0,"Vadesi geçti",IF(I123&lt;=7,"Bu hafta","")))</f>
        <v/>
      </c>
      <c r="K123" s="19" t="n">
        <f aca="false">IF(H123="Bekliyor",G123,0)</f>
        <v>0</v>
      </c>
    </row>
    <row r="124" customFormat="false" ht="15" hidden="false" customHeight="false" outlineLevel="0" collapsed="false">
      <c r="A124" s="12"/>
      <c r="B124" s="12"/>
      <c r="C124" s="13"/>
      <c r="D124" s="13"/>
      <c r="E124" s="13"/>
      <c r="F124" s="14"/>
      <c r="G124" s="15"/>
      <c r="H124" s="12"/>
      <c r="I124" s="16" t="str">
        <f aca="true">IF(OR(F124="",H124&lt;&gt;"Bekliyor"),"",F124-TODAY())</f>
        <v/>
      </c>
      <c r="J124" s="17" t="str">
        <f aca="false">IF(I124="","",IF(I124&lt;0,"Vadesi geçti",IF(I124&lt;=7,"Bu hafta","")))</f>
        <v/>
      </c>
      <c r="K124" s="19" t="n">
        <f aca="false">IF(H124="Bekliyor",G124,0)</f>
        <v>0</v>
      </c>
    </row>
    <row r="125" customFormat="false" ht="15" hidden="false" customHeight="false" outlineLevel="0" collapsed="false">
      <c r="A125" s="12"/>
      <c r="B125" s="12"/>
      <c r="C125" s="13"/>
      <c r="D125" s="13"/>
      <c r="E125" s="13"/>
      <c r="F125" s="14"/>
      <c r="G125" s="15"/>
      <c r="H125" s="12"/>
      <c r="I125" s="16" t="str">
        <f aca="true">IF(OR(F125="",H125&lt;&gt;"Bekliyor"),"",F125-TODAY())</f>
        <v/>
      </c>
      <c r="J125" s="17" t="str">
        <f aca="false">IF(I125="","",IF(I125&lt;0,"Vadesi geçti",IF(I125&lt;=7,"Bu hafta","")))</f>
        <v/>
      </c>
      <c r="K125" s="19" t="n">
        <f aca="false">IF(H125="Bekliyor",G125,0)</f>
        <v>0</v>
      </c>
    </row>
    <row r="126" customFormat="false" ht="15" hidden="false" customHeight="false" outlineLevel="0" collapsed="false">
      <c r="A126" s="12"/>
      <c r="B126" s="12"/>
      <c r="C126" s="13"/>
      <c r="D126" s="13"/>
      <c r="E126" s="13"/>
      <c r="F126" s="14"/>
      <c r="G126" s="15"/>
      <c r="H126" s="12"/>
      <c r="I126" s="16" t="str">
        <f aca="true">IF(OR(F126="",H126&lt;&gt;"Bekliyor"),"",F126-TODAY())</f>
        <v/>
      </c>
      <c r="J126" s="17" t="str">
        <f aca="false">IF(I126="","",IF(I126&lt;0,"Vadesi geçti",IF(I126&lt;=7,"Bu hafta","")))</f>
        <v/>
      </c>
      <c r="K126" s="19" t="n">
        <f aca="false">IF(H126="Bekliyor",G126,0)</f>
        <v>0</v>
      </c>
    </row>
    <row r="127" customFormat="false" ht="15" hidden="false" customHeight="false" outlineLevel="0" collapsed="false">
      <c r="A127" s="12"/>
      <c r="B127" s="12"/>
      <c r="C127" s="13"/>
      <c r="D127" s="13"/>
      <c r="E127" s="13"/>
      <c r="F127" s="14"/>
      <c r="G127" s="15"/>
      <c r="H127" s="12"/>
      <c r="I127" s="16" t="str">
        <f aca="true">IF(OR(F127="",H127&lt;&gt;"Bekliyor"),"",F127-TODAY())</f>
        <v/>
      </c>
      <c r="J127" s="17" t="str">
        <f aca="false">IF(I127="","",IF(I127&lt;0,"Vadesi geçti",IF(I127&lt;=7,"Bu hafta","")))</f>
        <v/>
      </c>
      <c r="K127" s="19" t="n">
        <f aca="false">IF(H127="Bekliyor",G127,0)</f>
        <v>0</v>
      </c>
    </row>
    <row r="128" customFormat="false" ht="15" hidden="false" customHeight="false" outlineLevel="0" collapsed="false">
      <c r="A128" s="12"/>
      <c r="B128" s="12"/>
      <c r="C128" s="13"/>
      <c r="D128" s="13"/>
      <c r="E128" s="13"/>
      <c r="F128" s="14"/>
      <c r="G128" s="15"/>
      <c r="H128" s="12"/>
      <c r="I128" s="16" t="str">
        <f aca="true">IF(OR(F128="",H128&lt;&gt;"Bekliyor"),"",F128-TODAY())</f>
        <v/>
      </c>
      <c r="J128" s="17" t="str">
        <f aca="false">IF(I128="","",IF(I128&lt;0,"Vadesi geçti",IF(I128&lt;=7,"Bu hafta","")))</f>
        <v/>
      </c>
      <c r="K128" s="19" t="n">
        <f aca="false">IF(H128="Bekliyor",G128,0)</f>
        <v>0</v>
      </c>
    </row>
    <row r="129" customFormat="false" ht="15" hidden="false" customHeight="false" outlineLevel="0" collapsed="false">
      <c r="A129" s="12"/>
      <c r="B129" s="12"/>
      <c r="C129" s="13"/>
      <c r="D129" s="13"/>
      <c r="E129" s="13"/>
      <c r="F129" s="14"/>
      <c r="G129" s="15"/>
      <c r="H129" s="12"/>
      <c r="I129" s="16" t="str">
        <f aca="true">IF(OR(F129="",H129&lt;&gt;"Bekliyor"),"",F129-TODAY())</f>
        <v/>
      </c>
      <c r="J129" s="17" t="str">
        <f aca="false">IF(I129="","",IF(I129&lt;0,"Vadesi geçti",IF(I129&lt;=7,"Bu hafta","")))</f>
        <v/>
      </c>
      <c r="K129" s="19" t="n">
        <f aca="false">IF(H129="Bekliyor",G129,0)</f>
        <v>0</v>
      </c>
    </row>
    <row r="130" customFormat="false" ht="15" hidden="false" customHeight="false" outlineLevel="0" collapsed="false">
      <c r="A130" s="12"/>
      <c r="B130" s="12"/>
      <c r="C130" s="13"/>
      <c r="D130" s="13"/>
      <c r="E130" s="13"/>
      <c r="F130" s="14"/>
      <c r="G130" s="15"/>
      <c r="H130" s="12"/>
      <c r="I130" s="16" t="str">
        <f aca="true">IF(OR(F130="",H130&lt;&gt;"Bekliyor"),"",F130-TODAY())</f>
        <v/>
      </c>
      <c r="J130" s="17" t="str">
        <f aca="false">IF(I130="","",IF(I130&lt;0,"Vadesi geçti",IF(I130&lt;=7,"Bu hafta","")))</f>
        <v/>
      </c>
      <c r="K130" s="19" t="n">
        <f aca="false">IF(H130="Bekliyor",G130,0)</f>
        <v>0</v>
      </c>
    </row>
    <row r="131" customFormat="false" ht="15" hidden="false" customHeight="false" outlineLevel="0" collapsed="false">
      <c r="A131" s="12"/>
      <c r="B131" s="12"/>
      <c r="C131" s="13"/>
      <c r="D131" s="13"/>
      <c r="E131" s="13"/>
      <c r="F131" s="14"/>
      <c r="G131" s="15"/>
      <c r="H131" s="12"/>
      <c r="I131" s="16" t="str">
        <f aca="true">IF(OR(F131="",H131&lt;&gt;"Bekliyor"),"",F131-TODAY())</f>
        <v/>
      </c>
      <c r="J131" s="17" t="str">
        <f aca="false">IF(I131="","",IF(I131&lt;0,"Vadesi geçti",IF(I131&lt;=7,"Bu hafta","")))</f>
        <v/>
      </c>
      <c r="K131" s="19" t="n">
        <f aca="false">IF(H131="Bekliyor",G131,0)</f>
        <v>0</v>
      </c>
    </row>
    <row r="132" customFormat="false" ht="15" hidden="false" customHeight="false" outlineLevel="0" collapsed="false">
      <c r="A132" s="12"/>
      <c r="B132" s="12"/>
      <c r="C132" s="13"/>
      <c r="D132" s="13"/>
      <c r="E132" s="13"/>
      <c r="F132" s="14"/>
      <c r="G132" s="15"/>
      <c r="H132" s="12"/>
      <c r="I132" s="16" t="str">
        <f aca="true">IF(OR(F132="",H132&lt;&gt;"Bekliyor"),"",F132-TODAY())</f>
        <v/>
      </c>
      <c r="J132" s="17" t="str">
        <f aca="false">IF(I132="","",IF(I132&lt;0,"Vadesi geçti",IF(I132&lt;=7,"Bu hafta","")))</f>
        <v/>
      </c>
      <c r="K132" s="19" t="n">
        <f aca="false">IF(H132="Bekliyor",G132,0)</f>
        <v>0</v>
      </c>
    </row>
    <row r="133" customFormat="false" ht="15" hidden="false" customHeight="false" outlineLevel="0" collapsed="false">
      <c r="A133" s="12"/>
      <c r="B133" s="12"/>
      <c r="C133" s="13"/>
      <c r="D133" s="13"/>
      <c r="E133" s="13"/>
      <c r="F133" s="14"/>
      <c r="G133" s="15"/>
      <c r="H133" s="12"/>
      <c r="I133" s="16" t="str">
        <f aca="true">IF(OR(F133="",H133&lt;&gt;"Bekliyor"),"",F133-TODAY())</f>
        <v/>
      </c>
      <c r="J133" s="17" t="str">
        <f aca="false">IF(I133="","",IF(I133&lt;0,"Vadesi geçti",IF(I133&lt;=7,"Bu hafta","")))</f>
        <v/>
      </c>
      <c r="K133" s="19" t="n">
        <f aca="false">IF(H133="Bekliyor",G133,0)</f>
        <v>0</v>
      </c>
    </row>
    <row r="134" customFormat="false" ht="15" hidden="false" customHeight="false" outlineLevel="0" collapsed="false">
      <c r="A134" s="12"/>
      <c r="B134" s="12"/>
      <c r="C134" s="13"/>
      <c r="D134" s="13"/>
      <c r="E134" s="13"/>
      <c r="F134" s="14"/>
      <c r="G134" s="15"/>
      <c r="H134" s="12"/>
      <c r="I134" s="16" t="str">
        <f aca="true">IF(OR(F134="",H134&lt;&gt;"Bekliyor"),"",F134-TODAY())</f>
        <v/>
      </c>
      <c r="J134" s="17" t="str">
        <f aca="false">IF(I134="","",IF(I134&lt;0,"Vadesi geçti",IF(I134&lt;=7,"Bu hafta","")))</f>
        <v/>
      </c>
      <c r="K134" s="19" t="n">
        <f aca="false">IF(H134="Bekliyor",G134,0)</f>
        <v>0</v>
      </c>
    </row>
    <row r="135" customFormat="false" ht="15" hidden="false" customHeight="false" outlineLevel="0" collapsed="false">
      <c r="A135" s="12"/>
      <c r="B135" s="12"/>
      <c r="C135" s="13"/>
      <c r="D135" s="13"/>
      <c r="E135" s="13"/>
      <c r="F135" s="14"/>
      <c r="G135" s="15"/>
      <c r="H135" s="12"/>
      <c r="I135" s="16" t="str">
        <f aca="true">IF(OR(F135="",H135&lt;&gt;"Bekliyor"),"",F135-TODAY())</f>
        <v/>
      </c>
      <c r="J135" s="17" t="str">
        <f aca="false">IF(I135="","",IF(I135&lt;0,"Vadesi geçti",IF(I135&lt;=7,"Bu hafta","")))</f>
        <v/>
      </c>
      <c r="K135" s="19" t="n">
        <f aca="false">IF(H135="Bekliyor",G135,0)</f>
        <v>0</v>
      </c>
    </row>
    <row r="136" customFormat="false" ht="15" hidden="false" customHeight="false" outlineLevel="0" collapsed="false">
      <c r="A136" s="12"/>
      <c r="B136" s="12"/>
      <c r="C136" s="13"/>
      <c r="D136" s="13"/>
      <c r="E136" s="13"/>
      <c r="F136" s="14"/>
      <c r="G136" s="15"/>
      <c r="H136" s="12"/>
      <c r="I136" s="16" t="str">
        <f aca="true">IF(OR(F136="",H136&lt;&gt;"Bekliyor"),"",F136-TODAY())</f>
        <v/>
      </c>
      <c r="J136" s="17" t="str">
        <f aca="false">IF(I136="","",IF(I136&lt;0,"Vadesi geçti",IF(I136&lt;=7,"Bu hafta","")))</f>
        <v/>
      </c>
      <c r="K136" s="19" t="n">
        <f aca="false">IF(H136="Bekliyor",G136,0)</f>
        <v>0</v>
      </c>
    </row>
    <row r="137" customFormat="false" ht="15" hidden="false" customHeight="false" outlineLevel="0" collapsed="false">
      <c r="A137" s="12"/>
      <c r="B137" s="12"/>
      <c r="C137" s="13"/>
      <c r="D137" s="13"/>
      <c r="E137" s="13"/>
      <c r="F137" s="14"/>
      <c r="G137" s="15"/>
      <c r="H137" s="12"/>
      <c r="I137" s="16" t="str">
        <f aca="true">IF(OR(F137="",H137&lt;&gt;"Bekliyor"),"",F137-TODAY())</f>
        <v/>
      </c>
      <c r="J137" s="17" t="str">
        <f aca="false">IF(I137="","",IF(I137&lt;0,"Vadesi geçti",IF(I137&lt;=7,"Bu hafta","")))</f>
        <v/>
      </c>
      <c r="K137" s="19" t="n">
        <f aca="false">IF(H137="Bekliyor",G137,0)</f>
        <v>0</v>
      </c>
    </row>
    <row r="138" customFormat="false" ht="15" hidden="false" customHeight="false" outlineLevel="0" collapsed="false">
      <c r="A138" s="12"/>
      <c r="B138" s="12"/>
      <c r="C138" s="13"/>
      <c r="D138" s="13"/>
      <c r="E138" s="13"/>
      <c r="F138" s="14"/>
      <c r="G138" s="15"/>
      <c r="H138" s="12"/>
      <c r="I138" s="16" t="str">
        <f aca="true">IF(OR(F138="",H138&lt;&gt;"Bekliyor"),"",F138-TODAY())</f>
        <v/>
      </c>
      <c r="J138" s="17" t="str">
        <f aca="false">IF(I138="","",IF(I138&lt;0,"Vadesi geçti",IF(I138&lt;=7,"Bu hafta","")))</f>
        <v/>
      </c>
      <c r="K138" s="19" t="n">
        <f aca="false">IF(H138="Bekliyor",G138,0)</f>
        <v>0</v>
      </c>
    </row>
    <row r="139" customFormat="false" ht="15" hidden="false" customHeight="false" outlineLevel="0" collapsed="false">
      <c r="A139" s="12"/>
      <c r="B139" s="12"/>
      <c r="C139" s="13"/>
      <c r="D139" s="13"/>
      <c r="E139" s="13"/>
      <c r="F139" s="14"/>
      <c r="G139" s="15"/>
      <c r="H139" s="12"/>
      <c r="I139" s="16" t="str">
        <f aca="true">IF(OR(F139="",H139&lt;&gt;"Bekliyor"),"",F139-TODAY())</f>
        <v/>
      </c>
      <c r="J139" s="17" t="str">
        <f aca="false">IF(I139="","",IF(I139&lt;0,"Vadesi geçti",IF(I139&lt;=7,"Bu hafta","")))</f>
        <v/>
      </c>
      <c r="K139" s="19" t="n">
        <f aca="false">IF(H139="Bekliyor",G139,0)</f>
        <v>0</v>
      </c>
    </row>
    <row r="140" customFormat="false" ht="15" hidden="false" customHeight="false" outlineLevel="0" collapsed="false">
      <c r="A140" s="12"/>
      <c r="B140" s="12"/>
      <c r="C140" s="13"/>
      <c r="D140" s="13"/>
      <c r="E140" s="13"/>
      <c r="F140" s="14"/>
      <c r="G140" s="15"/>
      <c r="H140" s="12"/>
      <c r="I140" s="16" t="str">
        <f aca="true">IF(OR(F140="",H140&lt;&gt;"Bekliyor"),"",F140-TODAY())</f>
        <v/>
      </c>
      <c r="J140" s="17" t="str">
        <f aca="false">IF(I140="","",IF(I140&lt;0,"Vadesi geçti",IF(I140&lt;=7,"Bu hafta","")))</f>
        <v/>
      </c>
      <c r="K140" s="19" t="n">
        <f aca="false">IF(H140="Bekliyor",G140,0)</f>
        <v>0</v>
      </c>
    </row>
    <row r="141" customFormat="false" ht="15" hidden="false" customHeight="false" outlineLevel="0" collapsed="false">
      <c r="A141" s="12"/>
      <c r="B141" s="12"/>
      <c r="C141" s="13"/>
      <c r="D141" s="13"/>
      <c r="E141" s="13"/>
      <c r="F141" s="14"/>
      <c r="G141" s="15"/>
      <c r="H141" s="12"/>
      <c r="I141" s="16" t="str">
        <f aca="true">IF(OR(F141="",H141&lt;&gt;"Bekliyor"),"",F141-TODAY())</f>
        <v/>
      </c>
      <c r="J141" s="17" t="str">
        <f aca="false">IF(I141="","",IF(I141&lt;0,"Vadesi geçti",IF(I141&lt;=7,"Bu hafta","")))</f>
        <v/>
      </c>
      <c r="K141" s="19" t="n">
        <f aca="false">IF(H141="Bekliyor",G141,0)</f>
        <v>0</v>
      </c>
    </row>
    <row r="142" customFormat="false" ht="15" hidden="false" customHeight="false" outlineLevel="0" collapsed="false">
      <c r="A142" s="12"/>
      <c r="B142" s="12"/>
      <c r="C142" s="13"/>
      <c r="D142" s="13"/>
      <c r="E142" s="13"/>
      <c r="F142" s="14"/>
      <c r="G142" s="15"/>
      <c r="H142" s="12"/>
      <c r="I142" s="16" t="str">
        <f aca="true">IF(OR(F142="",H142&lt;&gt;"Bekliyor"),"",F142-TODAY())</f>
        <v/>
      </c>
      <c r="J142" s="17" t="str">
        <f aca="false">IF(I142="","",IF(I142&lt;0,"Vadesi geçti",IF(I142&lt;=7,"Bu hafta","")))</f>
        <v/>
      </c>
      <c r="K142" s="19" t="n">
        <f aca="false">IF(H142="Bekliyor",G142,0)</f>
        <v>0</v>
      </c>
    </row>
    <row r="143" customFormat="false" ht="15" hidden="false" customHeight="false" outlineLevel="0" collapsed="false">
      <c r="A143" s="12"/>
      <c r="B143" s="12"/>
      <c r="C143" s="13"/>
      <c r="D143" s="13"/>
      <c r="E143" s="13"/>
      <c r="F143" s="14"/>
      <c r="G143" s="15"/>
      <c r="H143" s="12"/>
      <c r="I143" s="16" t="str">
        <f aca="true">IF(OR(F143="",H143&lt;&gt;"Bekliyor"),"",F143-TODAY())</f>
        <v/>
      </c>
      <c r="J143" s="17" t="str">
        <f aca="false">IF(I143="","",IF(I143&lt;0,"Vadesi geçti",IF(I143&lt;=7,"Bu hafta","")))</f>
        <v/>
      </c>
      <c r="K143" s="19" t="n">
        <f aca="false">IF(H143="Bekliyor",G143,0)</f>
        <v>0</v>
      </c>
    </row>
    <row r="144" customFormat="false" ht="15" hidden="false" customHeight="false" outlineLevel="0" collapsed="false">
      <c r="A144" s="12"/>
      <c r="B144" s="12"/>
      <c r="C144" s="13"/>
      <c r="D144" s="13"/>
      <c r="E144" s="13"/>
      <c r="F144" s="14"/>
      <c r="G144" s="15"/>
      <c r="H144" s="12"/>
      <c r="I144" s="16" t="str">
        <f aca="true">IF(OR(F144="",H144&lt;&gt;"Bekliyor"),"",F144-TODAY())</f>
        <v/>
      </c>
      <c r="J144" s="17" t="str">
        <f aca="false">IF(I144="","",IF(I144&lt;0,"Vadesi geçti",IF(I144&lt;=7,"Bu hafta","")))</f>
        <v/>
      </c>
      <c r="K144" s="19" t="n">
        <f aca="false">IF(H144="Bekliyor",G144,0)</f>
        <v>0</v>
      </c>
    </row>
    <row r="145" customFormat="false" ht="15" hidden="false" customHeight="false" outlineLevel="0" collapsed="false">
      <c r="A145" s="12"/>
      <c r="B145" s="12"/>
      <c r="C145" s="13"/>
      <c r="D145" s="13"/>
      <c r="E145" s="13"/>
      <c r="F145" s="14"/>
      <c r="G145" s="15"/>
      <c r="H145" s="12"/>
      <c r="I145" s="16" t="str">
        <f aca="true">IF(OR(F145="",H145&lt;&gt;"Bekliyor"),"",F145-TODAY())</f>
        <v/>
      </c>
      <c r="J145" s="17" t="str">
        <f aca="false">IF(I145="","",IF(I145&lt;0,"Vadesi geçti",IF(I145&lt;=7,"Bu hafta","")))</f>
        <v/>
      </c>
      <c r="K145" s="19" t="n">
        <f aca="false">IF(H145="Bekliyor",G145,0)</f>
        <v>0</v>
      </c>
    </row>
    <row r="146" customFormat="false" ht="15" hidden="false" customHeight="false" outlineLevel="0" collapsed="false">
      <c r="A146" s="12"/>
      <c r="B146" s="12"/>
      <c r="C146" s="13"/>
      <c r="D146" s="13"/>
      <c r="E146" s="13"/>
      <c r="F146" s="14"/>
      <c r="G146" s="15"/>
      <c r="H146" s="12"/>
      <c r="I146" s="16" t="str">
        <f aca="true">IF(OR(F146="",H146&lt;&gt;"Bekliyor"),"",F146-TODAY())</f>
        <v/>
      </c>
      <c r="J146" s="17" t="str">
        <f aca="false">IF(I146="","",IF(I146&lt;0,"Vadesi geçti",IF(I146&lt;=7,"Bu hafta","")))</f>
        <v/>
      </c>
      <c r="K146" s="19" t="n">
        <f aca="false">IF(H146="Bekliyor",G146,0)</f>
        <v>0</v>
      </c>
    </row>
    <row r="147" customFormat="false" ht="15" hidden="false" customHeight="false" outlineLevel="0" collapsed="false">
      <c r="A147" s="12"/>
      <c r="B147" s="12"/>
      <c r="C147" s="13"/>
      <c r="D147" s="13"/>
      <c r="E147" s="13"/>
      <c r="F147" s="14"/>
      <c r="G147" s="15"/>
      <c r="H147" s="12"/>
      <c r="I147" s="16" t="str">
        <f aca="true">IF(OR(F147="",H147&lt;&gt;"Bekliyor"),"",F147-TODAY())</f>
        <v/>
      </c>
      <c r="J147" s="17" t="str">
        <f aca="false">IF(I147="","",IF(I147&lt;0,"Vadesi geçti",IF(I147&lt;=7,"Bu hafta","")))</f>
        <v/>
      </c>
      <c r="K147" s="19" t="n">
        <f aca="false">IF(H147="Bekliyor",G147,0)</f>
        <v>0</v>
      </c>
    </row>
    <row r="148" customFormat="false" ht="15" hidden="false" customHeight="false" outlineLevel="0" collapsed="false">
      <c r="A148" s="12"/>
      <c r="B148" s="12"/>
      <c r="C148" s="13"/>
      <c r="D148" s="13"/>
      <c r="E148" s="13"/>
      <c r="F148" s="14"/>
      <c r="G148" s="15"/>
      <c r="H148" s="12"/>
      <c r="I148" s="16" t="str">
        <f aca="true">IF(OR(F148="",H148&lt;&gt;"Bekliyor"),"",F148-TODAY())</f>
        <v/>
      </c>
      <c r="J148" s="17" t="str">
        <f aca="false">IF(I148="","",IF(I148&lt;0,"Vadesi geçti",IF(I148&lt;=7,"Bu hafta","")))</f>
        <v/>
      </c>
      <c r="K148" s="19" t="n">
        <f aca="false">IF(H148="Bekliyor",G148,0)</f>
        <v>0</v>
      </c>
    </row>
    <row r="149" customFormat="false" ht="15" hidden="false" customHeight="false" outlineLevel="0" collapsed="false">
      <c r="A149" s="12"/>
      <c r="B149" s="12"/>
      <c r="C149" s="13"/>
      <c r="D149" s="13"/>
      <c r="E149" s="13"/>
      <c r="F149" s="14"/>
      <c r="G149" s="15"/>
      <c r="H149" s="12"/>
      <c r="I149" s="16" t="str">
        <f aca="true">IF(OR(F149="",H149&lt;&gt;"Bekliyor"),"",F149-TODAY())</f>
        <v/>
      </c>
      <c r="J149" s="17" t="str">
        <f aca="false">IF(I149="","",IF(I149&lt;0,"Vadesi geçti",IF(I149&lt;=7,"Bu hafta","")))</f>
        <v/>
      </c>
      <c r="K149" s="19" t="n">
        <f aca="false">IF(H149="Bekliyor",G149,0)</f>
        <v>0</v>
      </c>
    </row>
    <row r="150" customFormat="false" ht="15" hidden="false" customHeight="false" outlineLevel="0" collapsed="false">
      <c r="A150" s="12"/>
      <c r="B150" s="12"/>
      <c r="C150" s="13"/>
      <c r="D150" s="13"/>
      <c r="E150" s="13"/>
      <c r="F150" s="14"/>
      <c r="G150" s="15"/>
      <c r="H150" s="12"/>
      <c r="I150" s="16" t="str">
        <f aca="true">IF(OR(F150="",H150&lt;&gt;"Bekliyor"),"",F150-TODAY())</f>
        <v/>
      </c>
      <c r="J150" s="17" t="str">
        <f aca="false">IF(I150="","",IF(I150&lt;0,"Vadesi geçti",IF(I150&lt;=7,"Bu hafta","")))</f>
        <v/>
      </c>
      <c r="K150" s="19" t="n">
        <f aca="false">IF(H150="Bekliyor",G150,0)</f>
        <v>0</v>
      </c>
    </row>
    <row r="151" customFormat="false" ht="15" hidden="false" customHeight="false" outlineLevel="0" collapsed="false">
      <c r="A151" s="12"/>
      <c r="B151" s="12"/>
      <c r="C151" s="13"/>
      <c r="D151" s="13"/>
      <c r="E151" s="13"/>
      <c r="F151" s="14"/>
      <c r="G151" s="15"/>
      <c r="H151" s="12"/>
      <c r="I151" s="16" t="str">
        <f aca="true">IF(OR(F151="",H151&lt;&gt;"Bekliyor"),"",F151-TODAY())</f>
        <v/>
      </c>
      <c r="J151" s="17" t="str">
        <f aca="false">IF(I151="","",IF(I151&lt;0,"Vadesi geçti",IF(I151&lt;=7,"Bu hafta","")))</f>
        <v/>
      </c>
      <c r="K151" s="19" t="n">
        <f aca="false">IF(H151="Bekliyor",G151,0)</f>
        <v>0</v>
      </c>
    </row>
    <row r="152" customFormat="false" ht="15" hidden="false" customHeight="false" outlineLevel="0" collapsed="false">
      <c r="A152" s="12"/>
      <c r="B152" s="12"/>
      <c r="C152" s="13"/>
      <c r="D152" s="13"/>
      <c r="E152" s="13"/>
      <c r="F152" s="14"/>
      <c r="G152" s="15"/>
      <c r="H152" s="12"/>
      <c r="I152" s="16" t="str">
        <f aca="true">IF(OR(F152="",H152&lt;&gt;"Bekliyor"),"",F152-TODAY())</f>
        <v/>
      </c>
      <c r="J152" s="17" t="str">
        <f aca="false">IF(I152="","",IF(I152&lt;0,"Vadesi geçti",IF(I152&lt;=7,"Bu hafta","")))</f>
        <v/>
      </c>
      <c r="K152" s="19" t="n">
        <f aca="false">IF(H152="Bekliyor",G152,0)</f>
        <v>0</v>
      </c>
    </row>
    <row r="153" customFormat="false" ht="15" hidden="false" customHeight="false" outlineLevel="0" collapsed="false">
      <c r="A153" s="12"/>
      <c r="B153" s="12"/>
      <c r="C153" s="13"/>
      <c r="D153" s="13"/>
      <c r="E153" s="13"/>
      <c r="F153" s="14"/>
      <c r="G153" s="15"/>
      <c r="H153" s="12"/>
      <c r="I153" s="16" t="str">
        <f aca="true">IF(OR(F153="",H153&lt;&gt;"Bekliyor"),"",F153-TODAY())</f>
        <v/>
      </c>
      <c r="J153" s="17" t="str">
        <f aca="false">IF(I153="","",IF(I153&lt;0,"Vadesi geçti",IF(I153&lt;=7,"Bu hafta","")))</f>
        <v/>
      </c>
      <c r="K153" s="19" t="n">
        <f aca="false">IF(H153="Bekliyor",G153,0)</f>
        <v>0</v>
      </c>
    </row>
    <row r="154" customFormat="false" ht="15" hidden="false" customHeight="false" outlineLevel="0" collapsed="false">
      <c r="A154" s="12"/>
      <c r="B154" s="12"/>
      <c r="C154" s="13"/>
      <c r="D154" s="13"/>
      <c r="E154" s="13"/>
      <c r="F154" s="14"/>
      <c r="G154" s="15"/>
      <c r="H154" s="12"/>
      <c r="I154" s="16" t="str">
        <f aca="true">IF(OR(F154="",H154&lt;&gt;"Bekliyor"),"",F154-TODAY())</f>
        <v/>
      </c>
      <c r="J154" s="17" t="str">
        <f aca="false">IF(I154="","",IF(I154&lt;0,"Vadesi geçti",IF(I154&lt;=7,"Bu hafta","")))</f>
        <v/>
      </c>
      <c r="K154" s="19" t="n">
        <f aca="false">IF(H154="Bekliyor",G154,0)</f>
        <v>0</v>
      </c>
    </row>
    <row r="155" customFormat="false" ht="15" hidden="false" customHeight="false" outlineLevel="0" collapsed="false">
      <c r="A155" s="12"/>
      <c r="B155" s="12"/>
      <c r="C155" s="13"/>
      <c r="D155" s="13"/>
      <c r="E155" s="13"/>
      <c r="F155" s="14"/>
      <c r="G155" s="15"/>
      <c r="H155" s="12"/>
      <c r="I155" s="16" t="str">
        <f aca="true">IF(OR(F155="",H155&lt;&gt;"Bekliyor"),"",F155-TODAY())</f>
        <v/>
      </c>
      <c r="J155" s="17" t="str">
        <f aca="false">IF(I155="","",IF(I155&lt;0,"Vadesi geçti",IF(I155&lt;=7,"Bu hafta","")))</f>
        <v/>
      </c>
      <c r="K155" s="19" t="n">
        <f aca="false">IF(H155="Bekliyor",G155,0)</f>
        <v>0</v>
      </c>
    </row>
    <row r="156" customFormat="false" ht="15" hidden="false" customHeight="false" outlineLevel="0" collapsed="false">
      <c r="A156" s="12"/>
      <c r="B156" s="12"/>
      <c r="C156" s="13"/>
      <c r="D156" s="13"/>
      <c r="E156" s="13"/>
      <c r="F156" s="14"/>
      <c r="G156" s="15"/>
      <c r="H156" s="12"/>
      <c r="I156" s="16" t="str">
        <f aca="true">IF(OR(F156="",H156&lt;&gt;"Bekliyor"),"",F156-TODAY())</f>
        <v/>
      </c>
      <c r="J156" s="17" t="str">
        <f aca="false">IF(I156="","",IF(I156&lt;0,"Vadesi geçti",IF(I156&lt;=7,"Bu hafta","")))</f>
        <v/>
      </c>
      <c r="K156" s="19" t="n">
        <f aca="false">IF(H156="Bekliyor",G156,0)</f>
        <v>0</v>
      </c>
    </row>
    <row r="157" customFormat="false" ht="15" hidden="false" customHeight="false" outlineLevel="0" collapsed="false">
      <c r="A157" s="12"/>
      <c r="B157" s="12"/>
      <c r="C157" s="13"/>
      <c r="D157" s="13"/>
      <c r="E157" s="13"/>
      <c r="F157" s="14"/>
      <c r="G157" s="15"/>
      <c r="H157" s="12"/>
      <c r="I157" s="16" t="str">
        <f aca="true">IF(OR(F157="",H157&lt;&gt;"Bekliyor"),"",F157-TODAY())</f>
        <v/>
      </c>
      <c r="J157" s="17" t="str">
        <f aca="false">IF(I157="","",IF(I157&lt;0,"Vadesi geçti",IF(I157&lt;=7,"Bu hafta","")))</f>
        <v/>
      </c>
      <c r="K157" s="19" t="n">
        <f aca="false">IF(H157="Bekliyor",G157,0)</f>
        <v>0</v>
      </c>
    </row>
    <row r="158" customFormat="false" ht="15" hidden="false" customHeight="false" outlineLevel="0" collapsed="false">
      <c r="A158" s="12"/>
      <c r="B158" s="12"/>
      <c r="C158" s="13"/>
      <c r="D158" s="13"/>
      <c r="E158" s="13"/>
      <c r="F158" s="14"/>
      <c r="G158" s="15"/>
      <c r="H158" s="12"/>
      <c r="I158" s="16" t="str">
        <f aca="true">IF(OR(F158="",H158&lt;&gt;"Bekliyor"),"",F158-TODAY())</f>
        <v/>
      </c>
      <c r="J158" s="17" t="str">
        <f aca="false">IF(I158="","",IF(I158&lt;0,"Vadesi geçti",IF(I158&lt;=7,"Bu hafta","")))</f>
        <v/>
      </c>
      <c r="K158" s="19" t="n">
        <f aca="false">IF(H158="Bekliyor",G158,0)</f>
        <v>0</v>
      </c>
    </row>
    <row r="159" customFormat="false" ht="15" hidden="false" customHeight="false" outlineLevel="0" collapsed="false">
      <c r="A159" s="12"/>
      <c r="B159" s="12"/>
      <c r="C159" s="13"/>
      <c r="D159" s="13"/>
      <c r="E159" s="13"/>
      <c r="F159" s="14"/>
      <c r="G159" s="15"/>
      <c r="H159" s="12"/>
      <c r="I159" s="16" t="str">
        <f aca="true">IF(OR(F159="",H159&lt;&gt;"Bekliyor"),"",F159-TODAY())</f>
        <v/>
      </c>
      <c r="J159" s="17" t="str">
        <f aca="false">IF(I159="","",IF(I159&lt;0,"Vadesi geçti",IF(I159&lt;=7,"Bu hafta","")))</f>
        <v/>
      </c>
      <c r="K159" s="19" t="n">
        <f aca="false">IF(H159="Bekliyor",G159,0)</f>
        <v>0</v>
      </c>
    </row>
    <row r="160" customFormat="false" ht="15" hidden="false" customHeight="false" outlineLevel="0" collapsed="false">
      <c r="A160" s="12"/>
      <c r="B160" s="12"/>
      <c r="C160" s="13"/>
      <c r="D160" s="13"/>
      <c r="E160" s="13"/>
      <c r="F160" s="14"/>
      <c r="G160" s="15"/>
      <c r="H160" s="12"/>
      <c r="I160" s="16" t="str">
        <f aca="true">IF(OR(F160="",H160&lt;&gt;"Bekliyor"),"",F160-TODAY())</f>
        <v/>
      </c>
      <c r="J160" s="17" t="str">
        <f aca="false">IF(I160="","",IF(I160&lt;0,"Vadesi geçti",IF(I160&lt;=7,"Bu hafta","")))</f>
        <v/>
      </c>
      <c r="K160" s="19" t="n">
        <f aca="false">IF(H160="Bekliyor",G160,0)</f>
        <v>0</v>
      </c>
    </row>
    <row r="161" customFormat="false" ht="15" hidden="false" customHeight="false" outlineLevel="0" collapsed="false">
      <c r="A161" s="12"/>
      <c r="B161" s="12"/>
      <c r="C161" s="13"/>
      <c r="D161" s="13"/>
      <c r="E161" s="13"/>
      <c r="F161" s="14"/>
      <c r="G161" s="15"/>
      <c r="H161" s="12"/>
      <c r="I161" s="16" t="str">
        <f aca="true">IF(OR(F161="",H161&lt;&gt;"Bekliyor"),"",F161-TODAY())</f>
        <v/>
      </c>
      <c r="J161" s="17" t="str">
        <f aca="false">IF(I161="","",IF(I161&lt;0,"Vadesi geçti",IF(I161&lt;=7,"Bu hafta","")))</f>
        <v/>
      </c>
      <c r="K161" s="19" t="n">
        <f aca="false">IF(H161="Bekliyor",G161,0)</f>
        <v>0</v>
      </c>
    </row>
    <row r="162" customFormat="false" ht="15" hidden="false" customHeight="false" outlineLevel="0" collapsed="false">
      <c r="A162" s="12"/>
      <c r="B162" s="12"/>
      <c r="C162" s="13"/>
      <c r="D162" s="13"/>
      <c r="E162" s="13"/>
      <c r="F162" s="14"/>
      <c r="G162" s="15"/>
      <c r="H162" s="12"/>
      <c r="I162" s="16" t="str">
        <f aca="true">IF(OR(F162="",H162&lt;&gt;"Bekliyor"),"",F162-TODAY())</f>
        <v/>
      </c>
      <c r="J162" s="17" t="str">
        <f aca="false">IF(I162="","",IF(I162&lt;0,"Vadesi geçti",IF(I162&lt;=7,"Bu hafta","")))</f>
        <v/>
      </c>
      <c r="K162" s="19" t="n">
        <f aca="false">IF(H162="Bekliyor",G162,0)</f>
        <v>0</v>
      </c>
    </row>
    <row r="163" customFormat="false" ht="15" hidden="false" customHeight="false" outlineLevel="0" collapsed="false">
      <c r="A163" s="12"/>
      <c r="B163" s="12"/>
      <c r="C163" s="13"/>
      <c r="D163" s="13"/>
      <c r="E163" s="13"/>
      <c r="F163" s="14"/>
      <c r="G163" s="15"/>
      <c r="H163" s="12"/>
      <c r="I163" s="16" t="str">
        <f aca="true">IF(OR(F163="",H163&lt;&gt;"Bekliyor"),"",F163-TODAY())</f>
        <v/>
      </c>
      <c r="J163" s="17" t="str">
        <f aca="false">IF(I163="","",IF(I163&lt;0,"Vadesi geçti",IF(I163&lt;=7,"Bu hafta","")))</f>
        <v/>
      </c>
      <c r="K163" s="19" t="n">
        <f aca="false">IF(H163="Bekliyor",G163,0)</f>
        <v>0</v>
      </c>
    </row>
    <row r="164" customFormat="false" ht="15" hidden="false" customHeight="false" outlineLevel="0" collapsed="false">
      <c r="A164" s="12"/>
      <c r="B164" s="12"/>
      <c r="C164" s="13"/>
      <c r="D164" s="13"/>
      <c r="E164" s="13"/>
      <c r="F164" s="14"/>
      <c r="G164" s="15"/>
      <c r="H164" s="12"/>
      <c r="I164" s="16" t="str">
        <f aca="true">IF(OR(F164="",H164&lt;&gt;"Bekliyor"),"",F164-TODAY())</f>
        <v/>
      </c>
      <c r="J164" s="17" t="str">
        <f aca="false">IF(I164="","",IF(I164&lt;0,"Vadesi geçti",IF(I164&lt;=7,"Bu hafta","")))</f>
        <v/>
      </c>
      <c r="K164" s="19" t="n">
        <f aca="false">IF(H164="Bekliyor",G164,0)</f>
        <v>0</v>
      </c>
    </row>
    <row r="165" customFormat="false" ht="15" hidden="false" customHeight="false" outlineLevel="0" collapsed="false">
      <c r="A165" s="12"/>
      <c r="B165" s="12"/>
      <c r="C165" s="13"/>
      <c r="D165" s="13"/>
      <c r="E165" s="13"/>
      <c r="F165" s="14"/>
      <c r="G165" s="15"/>
      <c r="H165" s="12"/>
      <c r="I165" s="16" t="str">
        <f aca="true">IF(OR(F165="",H165&lt;&gt;"Bekliyor"),"",F165-TODAY())</f>
        <v/>
      </c>
      <c r="J165" s="17" t="str">
        <f aca="false">IF(I165="","",IF(I165&lt;0,"Vadesi geçti",IF(I165&lt;=7,"Bu hafta","")))</f>
        <v/>
      </c>
      <c r="K165" s="19" t="n">
        <f aca="false">IF(H165="Bekliyor",G165,0)</f>
        <v>0</v>
      </c>
    </row>
    <row r="166" customFormat="false" ht="15" hidden="false" customHeight="false" outlineLevel="0" collapsed="false">
      <c r="A166" s="12"/>
      <c r="B166" s="12"/>
      <c r="C166" s="13"/>
      <c r="D166" s="13"/>
      <c r="E166" s="13"/>
      <c r="F166" s="14"/>
      <c r="G166" s="15"/>
      <c r="H166" s="12"/>
      <c r="I166" s="16" t="str">
        <f aca="true">IF(OR(F166="",H166&lt;&gt;"Bekliyor"),"",F166-TODAY())</f>
        <v/>
      </c>
      <c r="J166" s="17" t="str">
        <f aca="false">IF(I166="","",IF(I166&lt;0,"Vadesi geçti",IF(I166&lt;=7,"Bu hafta","")))</f>
        <v/>
      </c>
      <c r="K166" s="19" t="n">
        <f aca="false">IF(H166="Bekliyor",G166,0)</f>
        <v>0</v>
      </c>
    </row>
    <row r="167" customFormat="false" ht="15" hidden="false" customHeight="false" outlineLevel="0" collapsed="false">
      <c r="A167" s="12"/>
      <c r="B167" s="12"/>
      <c r="C167" s="13"/>
      <c r="D167" s="13"/>
      <c r="E167" s="13"/>
      <c r="F167" s="14"/>
      <c r="G167" s="15"/>
      <c r="H167" s="12"/>
      <c r="I167" s="16" t="str">
        <f aca="true">IF(OR(F167="",H167&lt;&gt;"Bekliyor"),"",F167-TODAY())</f>
        <v/>
      </c>
      <c r="J167" s="17" t="str">
        <f aca="false">IF(I167="","",IF(I167&lt;0,"Vadesi geçti",IF(I167&lt;=7,"Bu hafta","")))</f>
        <v/>
      </c>
      <c r="K167" s="19" t="n">
        <f aca="false">IF(H167="Bekliyor",G167,0)</f>
        <v>0</v>
      </c>
    </row>
    <row r="168" customFormat="false" ht="15" hidden="false" customHeight="false" outlineLevel="0" collapsed="false">
      <c r="A168" s="12"/>
      <c r="B168" s="12"/>
      <c r="C168" s="13"/>
      <c r="D168" s="13"/>
      <c r="E168" s="13"/>
      <c r="F168" s="14"/>
      <c r="G168" s="15"/>
      <c r="H168" s="12"/>
      <c r="I168" s="16" t="str">
        <f aca="true">IF(OR(F168="",H168&lt;&gt;"Bekliyor"),"",F168-TODAY())</f>
        <v/>
      </c>
      <c r="J168" s="17" t="str">
        <f aca="false">IF(I168="","",IF(I168&lt;0,"Vadesi geçti",IF(I168&lt;=7,"Bu hafta","")))</f>
        <v/>
      </c>
      <c r="K168" s="19" t="n">
        <f aca="false">IF(H168="Bekliyor",G168,0)</f>
        <v>0</v>
      </c>
    </row>
    <row r="169" customFormat="false" ht="15" hidden="false" customHeight="false" outlineLevel="0" collapsed="false">
      <c r="A169" s="12"/>
      <c r="B169" s="12"/>
      <c r="C169" s="13"/>
      <c r="D169" s="13"/>
      <c r="E169" s="13"/>
      <c r="F169" s="14"/>
      <c r="G169" s="15"/>
      <c r="H169" s="12"/>
      <c r="I169" s="16" t="str">
        <f aca="true">IF(OR(F169="",H169&lt;&gt;"Bekliyor"),"",F169-TODAY())</f>
        <v/>
      </c>
      <c r="J169" s="17" t="str">
        <f aca="false">IF(I169="","",IF(I169&lt;0,"Vadesi geçti",IF(I169&lt;=7,"Bu hafta","")))</f>
        <v/>
      </c>
      <c r="K169" s="19" t="n">
        <f aca="false">IF(H169="Bekliyor",G169,0)</f>
        <v>0</v>
      </c>
    </row>
    <row r="170" customFormat="false" ht="15" hidden="false" customHeight="false" outlineLevel="0" collapsed="false">
      <c r="A170" s="12"/>
      <c r="B170" s="12"/>
      <c r="C170" s="13"/>
      <c r="D170" s="13"/>
      <c r="E170" s="13"/>
      <c r="F170" s="14"/>
      <c r="G170" s="15"/>
      <c r="H170" s="12"/>
      <c r="I170" s="16" t="str">
        <f aca="true">IF(OR(F170="",H170&lt;&gt;"Bekliyor"),"",F170-TODAY())</f>
        <v/>
      </c>
      <c r="J170" s="17" t="str">
        <f aca="false">IF(I170="","",IF(I170&lt;0,"Vadesi geçti",IF(I170&lt;=7,"Bu hafta","")))</f>
        <v/>
      </c>
      <c r="K170" s="19" t="n">
        <f aca="false">IF(H170="Bekliyor",G170,0)</f>
        <v>0</v>
      </c>
    </row>
    <row r="171" customFormat="false" ht="15" hidden="false" customHeight="false" outlineLevel="0" collapsed="false">
      <c r="A171" s="12"/>
      <c r="B171" s="12"/>
      <c r="C171" s="13"/>
      <c r="D171" s="13"/>
      <c r="E171" s="13"/>
      <c r="F171" s="14"/>
      <c r="G171" s="15"/>
      <c r="H171" s="12"/>
      <c r="I171" s="16" t="str">
        <f aca="true">IF(OR(F171="",H171&lt;&gt;"Bekliyor"),"",F171-TODAY())</f>
        <v/>
      </c>
      <c r="J171" s="17" t="str">
        <f aca="false">IF(I171="","",IF(I171&lt;0,"Vadesi geçti",IF(I171&lt;=7,"Bu hafta","")))</f>
        <v/>
      </c>
      <c r="K171" s="19" t="n">
        <f aca="false">IF(H171="Bekliyor",G171,0)</f>
        <v>0</v>
      </c>
    </row>
    <row r="172" customFormat="false" ht="15" hidden="false" customHeight="false" outlineLevel="0" collapsed="false">
      <c r="A172" s="12"/>
      <c r="B172" s="12"/>
      <c r="C172" s="13"/>
      <c r="D172" s="13"/>
      <c r="E172" s="13"/>
      <c r="F172" s="14"/>
      <c r="G172" s="15"/>
      <c r="H172" s="12"/>
      <c r="I172" s="16" t="str">
        <f aca="true">IF(OR(F172="",H172&lt;&gt;"Bekliyor"),"",F172-TODAY())</f>
        <v/>
      </c>
      <c r="J172" s="17" t="str">
        <f aca="false">IF(I172="","",IF(I172&lt;0,"Vadesi geçti",IF(I172&lt;=7,"Bu hafta","")))</f>
        <v/>
      </c>
      <c r="K172" s="19" t="n">
        <f aca="false">IF(H172="Bekliyor",G172,0)</f>
        <v>0</v>
      </c>
    </row>
    <row r="173" customFormat="false" ht="15" hidden="false" customHeight="false" outlineLevel="0" collapsed="false">
      <c r="A173" s="12"/>
      <c r="B173" s="12"/>
      <c r="C173" s="13"/>
      <c r="D173" s="13"/>
      <c r="E173" s="13"/>
      <c r="F173" s="14"/>
      <c r="G173" s="15"/>
      <c r="H173" s="12"/>
      <c r="I173" s="16" t="str">
        <f aca="true">IF(OR(F173="",H173&lt;&gt;"Bekliyor"),"",F173-TODAY())</f>
        <v/>
      </c>
      <c r="J173" s="17" t="str">
        <f aca="false">IF(I173="","",IF(I173&lt;0,"Vadesi geçti",IF(I173&lt;=7,"Bu hafta","")))</f>
        <v/>
      </c>
      <c r="K173" s="19" t="n">
        <f aca="false">IF(H173="Bekliyor",G173,0)</f>
        <v>0</v>
      </c>
    </row>
    <row r="174" customFormat="false" ht="15" hidden="false" customHeight="false" outlineLevel="0" collapsed="false">
      <c r="A174" s="12"/>
      <c r="B174" s="12"/>
      <c r="C174" s="13"/>
      <c r="D174" s="13"/>
      <c r="E174" s="13"/>
      <c r="F174" s="14"/>
      <c r="G174" s="15"/>
      <c r="H174" s="12"/>
      <c r="I174" s="16" t="str">
        <f aca="true">IF(OR(F174="",H174&lt;&gt;"Bekliyor"),"",F174-TODAY())</f>
        <v/>
      </c>
      <c r="J174" s="17" t="str">
        <f aca="false">IF(I174="","",IF(I174&lt;0,"Vadesi geçti",IF(I174&lt;=7,"Bu hafta","")))</f>
        <v/>
      </c>
      <c r="K174" s="19" t="n">
        <f aca="false">IF(H174="Bekliyor",G174,0)</f>
        <v>0</v>
      </c>
    </row>
    <row r="175" customFormat="false" ht="15" hidden="false" customHeight="false" outlineLevel="0" collapsed="false">
      <c r="A175" s="12"/>
      <c r="B175" s="12"/>
      <c r="C175" s="13"/>
      <c r="D175" s="13"/>
      <c r="E175" s="13"/>
      <c r="F175" s="14"/>
      <c r="G175" s="15"/>
      <c r="H175" s="12"/>
      <c r="I175" s="16" t="str">
        <f aca="true">IF(OR(F175="",H175&lt;&gt;"Bekliyor"),"",F175-TODAY())</f>
        <v/>
      </c>
      <c r="J175" s="17" t="str">
        <f aca="false">IF(I175="","",IF(I175&lt;0,"Vadesi geçti",IF(I175&lt;=7,"Bu hafta","")))</f>
        <v/>
      </c>
      <c r="K175" s="19" t="n">
        <f aca="false">IF(H175="Bekliyor",G175,0)</f>
        <v>0</v>
      </c>
    </row>
    <row r="176" customFormat="false" ht="15" hidden="false" customHeight="false" outlineLevel="0" collapsed="false">
      <c r="A176" s="12"/>
      <c r="B176" s="12"/>
      <c r="C176" s="13"/>
      <c r="D176" s="13"/>
      <c r="E176" s="13"/>
      <c r="F176" s="14"/>
      <c r="G176" s="15"/>
      <c r="H176" s="12"/>
      <c r="I176" s="16" t="str">
        <f aca="true">IF(OR(F176="",H176&lt;&gt;"Bekliyor"),"",F176-TODAY())</f>
        <v/>
      </c>
      <c r="J176" s="17" t="str">
        <f aca="false">IF(I176="","",IF(I176&lt;0,"Vadesi geçti",IF(I176&lt;=7,"Bu hafta","")))</f>
        <v/>
      </c>
      <c r="K176" s="19" t="n">
        <f aca="false">IF(H176="Bekliyor",G176,0)</f>
        <v>0</v>
      </c>
    </row>
    <row r="177" customFormat="false" ht="15" hidden="false" customHeight="false" outlineLevel="0" collapsed="false">
      <c r="A177" s="12"/>
      <c r="B177" s="12"/>
      <c r="C177" s="13"/>
      <c r="D177" s="13"/>
      <c r="E177" s="13"/>
      <c r="F177" s="14"/>
      <c r="G177" s="15"/>
      <c r="H177" s="12"/>
      <c r="I177" s="16" t="str">
        <f aca="true">IF(OR(F177="",H177&lt;&gt;"Bekliyor"),"",F177-TODAY())</f>
        <v/>
      </c>
      <c r="J177" s="17" t="str">
        <f aca="false">IF(I177="","",IF(I177&lt;0,"Vadesi geçti",IF(I177&lt;=7,"Bu hafta","")))</f>
        <v/>
      </c>
      <c r="K177" s="19" t="n">
        <f aca="false">IF(H177="Bekliyor",G177,0)</f>
        <v>0</v>
      </c>
    </row>
    <row r="178" customFormat="false" ht="15" hidden="false" customHeight="false" outlineLevel="0" collapsed="false">
      <c r="A178" s="12"/>
      <c r="B178" s="12"/>
      <c r="C178" s="13"/>
      <c r="D178" s="13"/>
      <c r="E178" s="13"/>
      <c r="F178" s="14"/>
      <c r="G178" s="15"/>
      <c r="H178" s="12"/>
      <c r="I178" s="16" t="str">
        <f aca="true">IF(OR(F178="",H178&lt;&gt;"Bekliyor"),"",F178-TODAY())</f>
        <v/>
      </c>
      <c r="J178" s="17" t="str">
        <f aca="false">IF(I178="","",IF(I178&lt;0,"Vadesi geçti",IF(I178&lt;=7,"Bu hafta","")))</f>
        <v/>
      </c>
      <c r="K178" s="19" t="n">
        <f aca="false">IF(H178="Bekliyor",G178,0)</f>
        <v>0</v>
      </c>
    </row>
    <row r="179" customFormat="false" ht="15" hidden="false" customHeight="false" outlineLevel="0" collapsed="false">
      <c r="A179" s="12"/>
      <c r="B179" s="12"/>
      <c r="C179" s="13"/>
      <c r="D179" s="13"/>
      <c r="E179" s="13"/>
      <c r="F179" s="14"/>
      <c r="G179" s="15"/>
      <c r="H179" s="12"/>
      <c r="I179" s="16" t="str">
        <f aca="true">IF(OR(F179="",H179&lt;&gt;"Bekliyor"),"",F179-TODAY())</f>
        <v/>
      </c>
      <c r="J179" s="17" t="str">
        <f aca="false">IF(I179="","",IF(I179&lt;0,"Vadesi geçti",IF(I179&lt;=7,"Bu hafta","")))</f>
        <v/>
      </c>
      <c r="K179" s="19" t="n">
        <f aca="false">IF(H179="Bekliyor",G179,0)</f>
        <v>0</v>
      </c>
    </row>
    <row r="180" customFormat="false" ht="15" hidden="false" customHeight="false" outlineLevel="0" collapsed="false">
      <c r="A180" s="12"/>
      <c r="B180" s="12"/>
      <c r="C180" s="13"/>
      <c r="D180" s="13"/>
      <c r="E180" s="13"/>
      <c r="F180" s="14"/>
      <c r="G180" s="15"/>
      <c r="H180" s="12"/>
      <c r="I180" s="16" t="str">
        <f aca="true">IF(OR(F180="",H180&lt;&gt;"Bekliyor"),"",F180-TODAY())</f>
        <v/>
      </c>
      <c r="J180" s="17" t="str">
        <f aca="false">IF(I180="","",IF(I180&lt;0,"Vadesi geçti",IF(I180&lt;=7,"Bu hafta","")))</f>
        <v/>
      </c>
      <c r="K180" s="19" t="n">
        <f aca="false">IF(H180="Bekliyor",G180,0)</f>
        <v>0</v>
      </c>
    </row>
    <row r="181" customFormat="false" ht="15" hidden="false" customHeight="false" outlineLevel="0" collapsed="false">
      <c r="A181" s="12"/>
      <c r="B181" s="12"/>
      <c r="C181" s="13"/>
      <c r="D181" s="13"/>
      <c r="E181" s="13"/>
      <c r="F181" s="14"/>
      <c r="G181" s="15"/>
      <c r="H181" s="12"/>
      <c r="I181" s="16" t="str">
        <f aca="true">IF(OR(F181="",H181&lt;&gt;"Bekliyor"),"",F181-TODAY())</f>
        <v/>
      </c>
      <c r="J181" s="17" t="str">
        <f aca="false">IF(I181="","",IF(I181&lt;0,"Vadesi geçti",IF(I181&lt;=7,"Bu hafta","")))</f>
        <v/>
      </c>
      <c r="K181" s="19" t="n">
        <f aca="false">IF(H181="Bekliyor",G181,0)</f>
        <v>0</v>
      </c>
    </row>
    <row r="182" customFormat="false" ht="15" hidden="false" customHeight="false" outlineLevel="0" collapsed="false">
      <c r="A182" s="12"/>
      <c r="B182" s="12"/>
      <c r="C182" s="13"/>
      <c r="D182" s="13"/>
      <c r="E182" s="13"/>
      <c r="F182" s="14"/>
      <c r="G182" s="15"/>
      <c r="H182" s="12"/>
      <c r="I182" s="16" t="str">
        <f aca="true">IF(OR(F182="",H182&lt;&gt;"Bekliyor"),"",F182-TODAY())</f>
        <v/>
      </c>
      <c r="J182" s="17" t="str">
        <f aca="false">IF(I182="","",IF(I182&lt;0,"Vadesi geçti",IF(I182&lt;=7,"Bu hafta","")))</f>
        <v/>
      </c>
      <c r="K182" s="19" t="n">
        <f aca="false">IF(H182="Bekliyor",G182,0)</f>
        <v>0</v>
      </c>
    </row>
    <row r="183" customFormat="false" ht="15" hidden="false" customHeight="false" outlineLevel="0" collapsed="false">
      <c r="A183" s="12"/>
      <c r="B183" s="12"/>
      <c r="C183" s="13"/>
      <c r="D183" s="13"/>
      <c r="E183" s="13"/>
      <c r="F183" s="14"/>
      <c r="G183" s="15"/>
      <c r="H183" s="12"/>
      <c r="I183" s="16" t="str">
        <f aca="true">IF(OR(F183="",H183&lt;&gt;"Bekliyor"),"",F183-TODAY())</f>
        <v/>
      </c>
      <c r="J183" s="17" t="str">
        <f aca="false">IF(I183="","",IF(I183&lt;0,"Vadesi geçti",IF(I183&lt;=7,"Bu hafta","")))</f>
        <v/>
      </c>
      <c r="K183" s="19" t="n">
        <f aca="false">IF(H183="Bekliyor",G183,0)</f>
        <v>0</v>
      </c>
    </row>
    <row r="184" customFormat="false" ht="15" hidden="false" customHeight="false" outlineLevel="0" collapsed="false">
      <c r="A184" s="12"/>
      <c r="B184" s="12"/>
      <c r="C184" s="13"/>
      <c r="D184" s="13"/>
      <c r="E184" s="13"/>
      <c r="F184" s="14"/>
      <c r="G184" s="15"/>
      <c r="H184" s="12"/>
      <c r="I184" s="16" t="str">
        <f aca="true">IF(OR(F184="",H184&lt;&gt;"Bekliyor"),"",F184-TODAY())</f>
        <v/>
      </c>
      <c r="J184" s="17" t="str">
        <f aca="false">IF(I184="","",IF(I184&lt;0,"Vadesi geçti",IF(I184&lt;=7,"Bu hafta","")))</f>
        <v/>
      </c>
      <c r="K184" s="19" t="n">
        <f aca="false">IF(H184="Bekliyor",G184,0)</f>
        <v>0</v>
      </c>
    </row>
    <row r="185" customFormat="false" ht="15" hidden="false" customHeight="false" outlineLevel="0" collapsed="false">
      <c r="A185" s="12"/>
      <c r="B185" s="12"/>
      <c r="C185" s="13"/>
      <c r="D185" s="13"/>
      <c r="E185" s="13"/>
      <c r="F185" s="14"/>
      <c r="G185" s="15"/>
      <c r="H185" s="12"/>
      <c r="I185" s="16" t="str">
        <f aca="true">IF(OR(F185="",H185&lt;&gt;"Bekliyor"),"",F185-TODAY())</f>
        <v/>
      </c>
      <c r="J185" s="17" t="str">
        <f aca="false">IF(I185="","",IF(I185&lt;0,"Vadesi geçti",IF(I185&lt;=7,"Bu hafta","")))</f>
        <v/>
      </c>
      <c r="K185" s="19" t="n">
        <f aca="false">IF(H185="Bekliyor",G185,0)</f>
        <v>0</v>
      </c>
    </row>
    <row r="186" customFormat="false" ht="15" hidden="false" customHeight="false" outlineLevel="0" collapsed="false">
      <c r="A186" s="12"/>
      <c r="B186" s="12"/>
      <c r="C186" s="13"/>
      <c r="D186" s="13"/>
      <c r="E186" s="13"/>
      <c r="F186" s="14"/>
      <c r="G186" s="15"/>
      <c r="H186" s="12"/>
      <c r="I186" s="16" t="str">
        <f aca="true">IF(OR(F186="",H186&lt;&gt;"Bekliyor"),"",F186-TODAY())</f>
        <v/>
      </c>
      <c r="J186" s="17" t="str">
        <f aca="false">IF(I186="","",IF(I186&lt;0,"Vadesi geçti",IF(I186&lt;=7,"Bu hafta","")))</f>
        <v/>
      </c>
      <c r="K186" s="19" t="n">
        <f aca="false">IF(H186="Bekliyor",G186,0)</f>
        <v>0</v>
      </c>
    </row>
    <row r="187" customFormat="false" ht="15" hidden="false" customHeight="false" outlineLevel="0" collapsed="false">
      <c r="A187" s="12"/>
      <c r="B187" s="12"/>
      <c r="C187" s="13"/>
      <c r="D187" s="13"/>
      <c r="E187" s="13"/>
      <c r="F187" s="14"/>
      <c r="G187" s="15"/>
      <c r="H187" s="12"/>
      <c r="I187" s="16" t="str">
        <f aca="true">IF(OR(F187="",H187&lt;&gt;"Bekliyor"),"",F187-TODAY())</f>
        <v/>
      </c>
      <c r="J187" s="17" t="str">
        <f aca="false">IF(I187="","",IF(I187&lt;0,"Vadesi geçti",IF(I187&lt;=7,"Bu hafta","")))</f>
        <v/>
      </c>
      <c r="K187" s="19" t="n">
        <f aca="false">IF(H187="Bekliyor",G187,0)</f>
        <v>0</v>
      </c>
    </row>
    <row r="188" customFormat="false" ht="15" hidden="false" customHeight="false" outlineLevel="0" collapsed="false">
      <c r="A188" s="12"/>
      <c r="B188" s="12"/>
      <c r="C188" s="13"/>
      <c r="D188" s="13"/>
      <c r="E188" s="13"/>
      <c r="F188" s="14"/>
      <c r="G188" s="15"/>
      <c r="H188" s="12"/>
      <c r="I188" s="16" t="str">
        <f aca="true">IF(OR(F188="",H188&lt;&gt;"Bekliyor"),"",F188-TODAY())</f>
        <v/>
      </c>
      <c r="J188" s="17" t="str">
        <f aca="false">IF(I188="","",IF(I188&lt;0,"Vadesi geçti",IF(I188&lt;=7,"Bu hafta","")))</f>
        <v/>
      </c>
      <c r="K188" s="19" t="n">
        <f aca="false">IF(H188="Bekliyor",G188,0)</f>
        <v>0</v>
      </c>
    </row>
    <row r="189" customFormat="false" ht="15" hidden="false" customHeight="false" outlineLevel="0" collapsed="false">
      <c r="A189" s="12"/>
      <c r="B189" s="12"/>
      <c r="C189" s="13"/>
      <c r="D189" s="13"/>
      <c r="E189" s="13"/>
      <c r="F189" s="14"/>
      <c r="G189" s="15"/>
      <c r="H189" s="12"/>
      <c r="I189" s="16" t="str">
        <f aca="true">IF(OR(F189="",H189&lt;&gt;"Bekliyor"),"",F189-TODAY())</f>
        <v/>
      </c>
      <c r="J189" s="17" t="str">
        <f aca="false">IF(I189="","",IF(I189&lt;0,"Vadesi geçti",IF(I189&lt;=7,"Bu hafta","")))</f>
        <v/>
      </c>
      <c r="K189" s="19" t="n">
        <f aca="false">IF(H189="Bekliyor",G189,0)</f>
        <v>0</v>
      </c>
    </row>
    <row r="190" customFormat="false" ht="15" hidden="false" customHeight="false" outlineLevel="0" collapsed="false">
      <c r="A190" s="12"/>
      <c r="B190" s="12"/>
      <c r="C190" s="13"/>
      <c r="D190" s="13"/>
      <c r="E190" s="13"/>
      <c r="F190" s="14"/>
      <c r="G190" s="15"/>
      <c r="H190" s="12"/>
      <c r="I190" s="16" t="str">
        <f aca="true">IF(OR(F190="",H190&lt;&gt;"Bekliyor"),"",F190-TODAY())</f>
        <v/>
      </c>
      <c r="J190" s="17" t="str">
        <f aca="false">IF(I190="","",IF(I190&lt;0,"Vadesi geçti",IF(I190&lt;=7,"Bu hafta","")))</f>
        <v/>
      </c>
      <c r="K190" s="19" t="n">
        <f aca="false">IF(H190="Bekliyor",G190,0)</f>
        <v>0</v>
      </c>
    </row>
    <row r="191" customFormat="false" ht="15" hidden="false" customHeight="false" outlineLevel="0" collapsed="false">
      <c r="A191" s="12"/>
      <c r="B191" s="12"/>
      <c r="C191" s="13"/>
      <c r="D191" s="13"/>
      <c r="E191" s="13"/>
      <c r="F191" s="14"/>
      <c r="G191" s="15"/>
      <c r="H191" s="12"/>
      <c r="I191" s="16" t="str">
        <f aca="true">IF(OR(F191="",H191&lt;&gt;"Bekliyor"),"",F191-TODAY())</f>
        <v/>
      </c>
      <c r="J191" s="17" t="str">
        <f aca="false">IF(I191="","",IF(I191&lt;0,"Vadesi geçti",IF(I191&lt;=7,"Bu hafta","")))</f>
        <v/>
      </c>
      <c r="K191" s="19" t="n">
        <f aca="false">IF(H191="Bekliyor",G191,0)</f>
        <v>0</v>
      </c>
    </row>
    <row r="192" customFormat="false" ht="15" hidden="false" customHeight="false" outlineLevel="0" collapsed="false">
      <c r="A192" s="12"/>
      <c r="B192" s="12"/>
      <c r="C192" s="13"/>
      <c r="D192" s="13"/>
      <c r="E192" s="13"/>
      <c r="F192" s="14"/>
      <c r="G192" s="15"/>
      <c r="H192" s="12"/>
      <c r="I192" s="16" t="str">
        <f aca="true">IF(OR(F192="",H192&lt;&gt;"Bekliyor"),"",F192-TODAY())</f>
        <v/>
      </c>
      <c r="J192" s="17" t="str">
        <f aca="false">IF(I192="","",IF(I192&lt;0,"Vadesi geçti",IF(I192&lt;=7,"Bu hafta","")))</f>
        <v/>
      </c>
      <c r="K192" s="19" t="n">
        <f aca="false">IF(H192="Bekliyor",G192,0)</f>
        <v>0</v>
      </c>
    </row>
    <row r="193" customFormat="false" ht="15" hidden="false" customHeight="false" outlineLevel="0" collapsed="false">
      <c r="A193" s="12"/>
      <c r="B193" s="12"/>
      <c r="C193" s="13"/>
      <c r="D193" s="13"/>
      <c r="E193" s="13"/>
      <c r="F193" s="14"/>
      <c r="G193" s="15"/>
      <c r="H193" s="12"/>
      <c r="I193" s="16" t="str">
        <f aca="true">IF(OR(F193="",H193&lt;&gt;"Bekliyor"),"",F193-TODAY())</f>
        <v/>
      </c>
      <c r="J193" s="17" t="str">
        <f aca="false">IF(I193="","",IF(I193&lt;0,"Vadesi geçti",IF(I193&lt;=7,"Bu hafta","")))</f>
        <v/>
      </c>
      <c r="K193" s="19" t="n">
        <f aca="false">IF(H193="Bekliyor",G193,0)</f>
        <v>0</v>
      </c>
    </row>
    <row r="194" customFormat="false" ht="15" hidden="false" customHeight="false" outlineLevel="0" collapsed="false">
      <c r="A194" s="12"/>
      <c r="B194" s="12"/>
      <c r="C194" s="13"/>
      <c r="D194" s="13"/>
      <c r="E194" s="13"/>
      <c r="F194" s="14"/>
      <c r="G194" s="15"/>
      <c r="H194" s="12"/>
      <c r="I194" s="16" t="str">
        <f aca="true">IF(OR(F194="",H194&lt;&gt;"Bekliyor"),"",F194-TODAY())</f>
        <v/>
      </c>
      <c r="J194" s="17" t="str">
        <f aca="false">IF(I194="","",IF(I194&lt;0,"Vadesi geçti",IF(I194&lt;=7,"Bu hafta","")))</f>
        <v/>
      </c>
      <c r="K194" s="19" t="n">
        <f aca="false">IF(H194="Bekliyor",G194,0)</f>
        <v>0</v>
      </c>
    </row>
    <row r="195" customFormat="false" ht="15" hidden="false" customHeight="false" outlineLevel="0" collapsed="false">
      <c r="A195" s="12"/>
      <c r="B195" s="12"/>
      <c r="C195" s="13"/>
      <c r="D195" s="13"/>
      <c r="E195" s="13"/>
      <c r="F195" s="14"/>
      <c r="G195" s="15"/>
      <c r="H195" s="12"/>
      <c r="I195" s="16" t="str">
        <f aca="true">IF(OR(F195="",H195&lt;&gt;"Bekliyor"),"",F195-TODAY())</f>
        <v/>
      </c>
      <c r="J195" s="17" t="str">
        <f aca="false">IF(I195="","",IF(I195&lt;0,"Vadesi geçti",IF(I195&lt;=7,"Bu hafta","")))</f>
        <v/>
      </c>
      <c r="K195" s="19" t="n">
        <f aca="false">IF(H195="Bekliyor",G195,0)</f>
        <v>0</v>
      </c>
    </row>
    <row r="196" customFormat="false" ht="15" hidden="false" customHeight="false" outlineLevel="0" collapsed="false">
      <c r="A196" s="12"/>
      <c r="B196" s="12"/>
      <c r="C196" s="13"/>
      <c r="D196" s="13"/>
      <c r="E196" s="13"/>
      <c r="F196" s="14"/>
      <c r="G196" s="15"/>
      <c r="H196" s="12"/>
      <c r="I196" s="16" t="str">
        <f aca="true">IF(OR(F196="",H196&lt;&gt;"Bekliyor"),"",F196-TODAY())</f>
        <v/>
      </c>
      <c r="J196" s="17" t="str">
        <f aca="false">IF(I196="","",IF(I196&lt;0,"Vadesi geçti",IF(I196&lt;=7,"Bu hafta","")))</f>
        <v/>
      </c>
      <c r="K196" s="19" t="n">
        <f aca="false">IF(H196="Bekliyor",G196,0)</f>
        <v>0</v>
      </c>
    </row>
    <row r="197" customFormat="false" ht="15" hidden="false" customHeight="false" outlineLevel="0" collapsed="false">
      <c r="A197" s="12"/>
      <c r="B197" s="12"/>
      <c r="C197" s="13"/>
      <c r="D197" s="13"/>
      <c r="E197" s="13"/>
      <c r="F197" s="14"/>
      <c r="G197" s="15"/>
      <c r="H197" s="12"/>
      <c r="I197" s="16" t="str">
        <f aca="true">IF(OR(F197="",H197&lt;&gt;"Bekliyor"),"",F197-TODAY())</f>
        <v/>
      </c>
      <c r="J197" s="17" t="str">
        <f aca="false">IF(I197="","",IF(I197&lt;0,"Vadesi geçti",IF(I197&lt;=7,"Bu hafta","")))</f>
        <v/>
      </c>
      <c r="K197" s="19" t="n">
        <f aca="false">IF(H197="Bekliyor",G197,0)</f>
        <v>0</v>
      </c>
    </row>
    <row r="198" customFormat="false" ht="15" hidden="false" customHeight="false" outlineLevel="0" collapsed="false">
      <c r="A198" s="12"/>
      <c r="B198" s="12"/>
      <c r="C198" s="13"/>
      <c r="D198" s="13"/>
      <c r="E198" s="13"/>
      <c r="F198" s="14"/>
      <c r="G198" s="15"/>
      <c r="H198" s="12"/>
      <c r="I198" s="16" t="str">
        <f aca="true">IF(OR(F198="",H198&lt;&gt;"Bekliyor"),"",F198-TODAY())</f>
        <v/>
      </c>
      <c r="J198" s="17" t="str">
        <f aca="false">IF(I198="","",IF(I198&lt;0,"Vadesi geçti",IF(I198&lt;=7,"Bu hafta","")))</f>
        <v/>
      </c>
      <c r="K198" s="19" t="n">
        <f aca="false">IF(H198="Bekliyor",G198,0)</f>
        <v>0</v>
      </c>
    </row>
    <row r="199" customFormat="false" ht="15" hidden="false" customHeight="false" outlineLevel="0" collapsed="false">
      <c r="A199" s="12"/>
      <c r="B199" s="12"/>
      <c r="C199" s="13"/>
      <c r="D199" s="13"/>
      <c r="E199" s="13"/>
      <c r="F199" s="14"/>
      <c r="G199" s="15"/>
      <c r="H199" s="12"/>
      <c r="I199" s="16" t="str">
        <f aca="true">IF(OR(F199="",H199&lt;&gt;"Bekliyor"),"",F199-TODAY())</f>
        <v/>
      </c>
      <c r="J199" s="17" t="str">
        <f aca="false">IF(I199="","",IF(I199&lt;0,"Vadesi geçti",IF(I199&lt;=7,"Bu hafta","")))</f>
        <v/>
      </c>
      <c r="K199" s="19" t="n">
        <f aca="false">IF(H199="Bekliyor",G199,0)</f>
        <v>0</v>
      </c>
    </row>
    <row r="200" customFormat="false" ht="15" hidden="false" customHeight="false" outlineLevel="0" collapsed="false">
      <c r="A200" s="12"/>
      <c r="B200" s="12"/>
      <c r="C200" s="13"/>
      <c r="D200" s="13"/>
      <c r="E200" s="13"/>
      <c r="F200" s="14"/>
      <c r="G200" s="15"/>
      <c r="H200" s="12"/>
      <c r="I200" s="16" t="str">
        <f aca="true">IF(OR(F200="",H200&lt;&gt;"Bekliyor"),"",F200-TODAY())</f>
        <v/>
      </c>
      <c r="J200" s="17" t="str">
        <f aca="false">IF(I200="","",IF(I200&lt;0,"Vadesi geçti",IF(I200&lt;=7,"Bu hafta","")))</f>
        <v/>
      </c>
      <c r="K200" s="19" t="n">
        <f aca="false">IF(H200="Bekliyor",G200,0)</f>
        <v>0</v>
      </c>
    </row>
    <row r="201" customFormat="false" ht="15" hidden="false" customHeight="false" outlineLevel="0" collapsed="false">
      <c r="A201" s="12"/>
      <c r="B201" s="12"/>
      <c r="C201" s="13"/>
      <c r="D201" s="13"/>
      <c r="E201" s="13"/>
      <c r="F201" s="14"/>
      <c r="G201" s="15"/>
      <c r="H201" s="12"/>
      <c r="I201" s="16" t="str">
        <f aca="true">IF(OR(F201="",H201&lt;&gt;"Bekliyor"),"",F201-TODAY())</f>
        <v/>
      </c>
      <c r="J201" s="17" t="str">
        <f aca="false">IF(I201="","",IF(I201&lt;0,"Vadesi geçti",IF(I201&lt;=7,"Bu hafta","")))</f>
        <v/>
      </c>
      <c r="K201" s="19" t="n">
        <f aca="false">IF(H201="Bekliyor",G201,0)</f>
        <v>0</v>
      </c>
    </row>
    <row r="202" customFormat="false" ht="15" hidden="false" customHeight="false" outlineLevel="0" collapsed="false">
      <c r="A202" s="12"/>
      <c r="B202" s="12"/>
      <c r="C202" s="13"/>
      <c r="D202" s="13"/>
      <c r="E202" s="13"/>
      <c r="F202" s="14"/>
      <c r="G202" s="15"/>
      <c r="H202" s="12"/>
      <c r="I202" s="16" t="str">
        <f aca="true">IF(OR(F202="",H202&lt;&gt;"Bekliyor"),"",F202-TODAY())</f>
        <v/>
      </c>
      <c r="J202" s="17" t="str">
        <f aca="false">IF(I202="","",IF(I202&lt;0,"Vadesi geçti",IF(I202&lt;=7,"Bu hafta","")))</f>
        <v/>
      </c>
      <c r="K202" s="19" t="n">
        <f aca="false">IF(H202="Bekliyor",G202,0)</f>
        <v>0</v>
      </c>
    </row>
    <row r="203" customFormat="false" ht="15" hidden="false" customHeight="false" outlineLevel="0" collapsed="false">
      <c r="A203" s="12"/>
      <c r="B203" s="12"/>
      <c r="C203" s="13"/>
      <c r="D203" s="13"/>
      <c r="E203" s="13"/>
      <c r="F203" s="14"/>
      <c r="G203" s="15"/>
      <c r="H203" s="12"/>
      <c r="I203" s="16" t="str">
        <f aca="true">IF(OR(F203="",H203&lt;&gt;"Bekliyor"),"",F203-TODAY())</f>
        <v/>
      </c>
      <c r="J203" s="17" t="str">
        <f aca="false">IF(I203="","",IF(I203&lt;0,"Vadesi geçti",IF(I203&lt;=7,"Bu hafta","")))</f>
        <v/>
      </c>
      <c r="K203" s="19" t="n">
        <f aca="false">IF(H203="Bekliyor",G203,0)</f>
        <v>0</v>
      </c>
    </row>
    <row r="204" customFormat="false" ht="15" hidden="false" customHeight="false" outlineLevel="0" collapsed="false">
      <c r="A204" s="12"/>
      <c r="B204" s="12"/>
      <c r="C204" s="13"/>
      <c r="D204" s="13"/>
      <c r="E204" s="13"/>
      <c r="F204" s="14"/>
      <c r="G204" s="15"/>
      <c r="H204" s="12"/>
      <c r="I204" s="16" t="str">
        <f aca="true">IF(OR(F204="",H204&lt;&gt;"Bekliyor"),"",F204-TODAY())</f>
        <v/>
      </c>
      <c r="J204" s="17" t="str">
        <f aca="false">IF(I204="","",IF(I204&lt;0,"Vadesi geçti",IF(I204&lt;=7,"Bu hafta","")))</f>
        <v/>
      </c>
      <c r="K204" s="19" t="n">
        <f aca="false">IF(H204="Bekliyor",G204,0)</f>
        <v>0</v>
      </c>
    </row>
    <row r="205" customFormat="false" ht="15" hidden="false" customHeight="false" outlineLevel="0" collapsed="false">
      <c r="A205" s="12"/>
      <c r="B205" s="12"/>
      <c r="C205" s="13"/>
      <c r="D205" s="13"/>
      <c r="E205" s="13"/>
      <c r="F205" s="14"/>
      <c r="G205" s="15"/>
      <c r="H205" s="12"/>
      <c r="I205" s="16" t="str">
        <f aca="true">IF(OR(F205="",H205&lt;&gt;"Bekliyor"),"",F205-TODAY())</f>
        <v/>
      </c>
      <c r="J205" s="17" t="str">
        <f aca="false">IF(I205="","",IF(I205&lt;0,"Vadesi geçti",IF(I205&lt;=7,"Bu hafta","")))</f>
        <v/>
      </c>
      <c r="K205" s="19" t="n">
        <f aca="false">IF(H205="Bekliyor",G205,0)</f>
        <v>0</v>
      </c>
    </row>
    <row r="206" customFormat="false" ht="15" hidden="false" customHeight="false" outlineLevel="0" collapsed="false">
      <c r="A206" s="12"/>
      <c r="B206" s="12"/>
      <c r="C206" s="13"/>
      <c r="D206" s="13"/>
      <c r="E206" s="13"/>
      <c r="F206" s="14"/>
      <c r="G206" s="15"/>
      <c r="H206" s="12"/>
      <c r="I206" s="16" t="str">
        <f aca="true">IF(OR(F206="",H206&lt;&gt;"Bekliyor"),"",F206-TODAY())</f>
        <v/>
      </c>
      <c r="J206" s="17" t="str">
        <f aca="false">IF(I206="","",IF(I206&lt;0,"Vadesi geçti",IF(I206&lt;=7,"Bu hafta","")))</f>
        <v/>
      </c>
      <c r="K206" s="19" t="n">
        <f aca="false">IF(H206="Bekliyor",G206,0)</f>
        <v>0</v>
      </c>
    </row>
    <row r="207" customFormat="false" ht="15" hidden="false" customHeight="false" outlineLevel="0" collapsed="false">
      <c r="A207" s="12"/>
      <c r="B207" s="12"/>
      <c r="C207" s="13"/>
      <c r="D207" s="13"/>
      <c r="E207" s="13"/>
      <c r="F207" s="14"/>
      <c r="G207" s="15"/>
      <c r="H207" s="12"/>
      <c r="I207" s="16" t="str">
        <f aca="true">IF(OR(F207="",H207&lt;&gt;"Bekliyor"),"",F207-TODAY())</f>
        <v/>
      </c>
      <c r="J207" s="17" t="str">
        <f aca="false">IF(I207="","",IF(I207&lt;0,"Vadesi geçti",IF(I207&lt;=7,"Bu hafta","")))</f>
        <v/>
      </c>
      <c r="K207" s="19" t="n">
        <f aca="false">IF(H207="Bekliyor",G207,0)</f>
        <v>0</v>
      </c>
    </row>
    <row r="208" customFormat="false" ht="15" hidden="false" customHeight="false" outlineLevel="0" collapsed="false">
      <c r="A208" s="12"/>
      <c r="B208" s="12"/>
      <c r="C208" s="13"/>
      <c r="D208" s="13"/>
      <c r="E208" s="13"/>
      <c r="F208" s="14"/>
      <c r="G208" s="15"/>
      <c r="H208" s="12"/>
      <c r="I208" s="16" t="str">
        <f aca="true">IF(OR(F208="",H208&lt;&gt;"Bekliyor"),"",F208-TODAY())</f>
        <v/>
      </c>
      <c r="J208" s="17" t="str">
        <f aca="false">IF(I208="","",IF(I208&lt;0,"Vadesi geçti",IF(I208&lt;=7,"Bu hafta","")))</f>
        <v/>
      </c>
      <c r="K208" s="19" t="n">
        <f aca="false">IF(H208="Bekliyor",G208,0)</f>
        <v>0</v>
      </c>
    </row>
    <row r="209" customFormat="false" ht="15" hidden="false" customHeight="false" outlineLevel="0" collapsed="false">
      <c r="A209" s="12"/>
      <c r="B209" s="12"/>
      <c r="C209" s="13"/>
      <c r="D209" s="13"/>
      <c r="E209" s="13"/>
      <c r="F209" s="14"/>
      <c r="G209" s="15"/>
      <c r="H209" s="12"/>
      <c r="I209" s="16" t="str">
        <f aca="true">IF(OR(F209="",H209&lt;&gt;"Bekliyor"),"",F209-TODAY())</f>
        <v/>
      </c>
      <c r="J209" s="17" t="str">
        <f aca="false">IF(I209="","",IF(I209&lt;0,"Vadesi geçti",IF(I209&lt;=7,"Bu hafta","")))</f>
        <v/>
      </c>
      <c r="K209" s="19" t="n">
        <f aca="false">IF(H209="Bekliyor",G209,0)</f>
        <v>0</v>
      </c>
    </row>
    <row r="210" customFormat="false" ht="15" hidden="false" customHeight="false" outlineLevel="0" collapsed="false">
      <c r="A210" s="12"/>
      <c r="B210" s="12"/>
      <c r="C210" s="13"/>
      <c r="D210" s="13"/>
      <c r="E210" s="13"/>
      <c r="F210" s="14"/>
      <c r="G210" s="15"/>
      <c r="H210" s="12"/>
      <c r="I210" s="16" t="str">
        <f aca="true">IF(OR(F210="",H210&lt;&gt;"Bekliyor"),"",F210-TODAY())</f>
        <v/>
      </c>
      <c r="J210" s="17" t="str">
        <f aca="false">IF(I210="","",IF(I210&lt;0,"Vadesi geçti",IF(I210&lt;=7,"Bu hafta","")))</f>
        <v/>
      </c>
      <c r="K210" s="19" t="n">
        <f aca="false">IF(H210="Bekliyor",G210,0)</f>
        <v>0</v>
      </c>
    </row>
    <row r="211" customFormat="false" ht="15" hidden="false" customHeight="false" outlineLevel="0" collapsed="false">
      <c r="A211" s="12"/>
      <c r="B211" s="12"/>
      <c r="C211" s="13"/>
      <c r="D211" s="13"/>
      <c r="E211" s="13"/>
      <c r="F211" s="14"/>
      <c r="G211" s="15"/>
      <c r="H211" s="12"/>
      <c r="I211" s="16" t="str">
        <f aca="true">IF(OR(F211="",H211&lt;&gt;"Bekliyor"),"",F211-TODAY())</f>
        <v/>
      </c>
      <c r="J211" s="17" t="str">
        <f aca="false">IF(I211="","",IF(I211&lt;0,"Vadesi geçti",IF(I211&lt;=7,"Bu hafta","")))</f>
        <v/>
      </c>
      <c r="K211" s="19" t="n">
        <f aca="false">IF(H211="Bekliyor",G211,0)</f>
        <v>0</v>
      </c>
    </row>
    <row r="212" customFormat="false" ht="15" hidden="false" customHeight="false" outlineLevel="0" collapsed="false">
      <c r="A212" s="12"/>
      <c r="B212" s="12"/>
      <c r="C212" s="13"/>
      <c r="D212" s="13"/>
      <c r="E212" s="13"/>
      <c r="F212" s="14"/>
      <c r="G212" s="15"/>
      <c r="H212" s="12"/>
      <c r="I212" s="16" t="str">
        <f aca="true">IF(OR(F212="",H212&lt;&gt;"Bekliyor"),"",F212-TODAY())</f>
        <v/>
      </c>
      <c r="J212" s="17" t="str">
        <f aca="false">IF(I212="","",IF(I212&lt;0,"Vadesi geçti",IF(I212&lt;=7,"Bu hafta","")))</f>
        <v/>
      </c>
      <c r="K212" s="19" t="n">
        <f aca="false">IF(H212="Bekliyor",G212,0)</f>
        <v>0</v>
      </c>
    </row>
    <row r="213" customFormat="false" ht="15" hidden="false" customHeight="false" outlineLevel="0" collapsed="false">
      <c r="A213" s="12"/>
      <c r="B213" s="12"/>
      <c r="C213" s="13"/>
      <c r="D213" s="13"/>
      <c r="E213" s="13"/>
      <c r="F213" s="14"/>
      <c r="G213" s="15"/>
      <c r="H213" s="12"/>
      <c r="I213" s="16" t="str">
        <f aca="true">IF(OR(F213="",H213&lt;&gt;"Bekliyor"),"",F213-TODAY())</f>
        <v/>
      </c>
      <c r="J213" s="17" t="str">
        <f aca="false">IF(I213="","",IF(I213&lt;0,"Vadesi geçti",IF(I213&lt;=7,"Bu hafta","")))</f>
        <v/>
      </c>
      <c r="K213" s="19" t="n">
        <f aca="false">IF(H213="Bekliyor",G213,0)</f>
        <v>0</v>
      </c>
    </row>
    <row r="214" customFormat="false" ht="15" hidden="false" customHeight="false" outlineLevel="0" collapsed="false">
      <c r="A214" s="12"/>
      <c r="B214" s="12"/>
      <c r="C214" s="13"/>
      <c r="D214" s="13"/>
      <c r="E214" s="13"/>
      <c r="F214" s="14"/>
      <c r="G214" s="15"/>
      <c r="H214" s="12"/>
      <c r="I214" s="16" t="str">
        <f aca="true">IF(OR(F214="",H214&lt;&gt;"Bekliyor"),"",F214-TODAY())</f>
        <v/>
      </c>
      <c r="J214" s="17" t="str">
        <f aca="false">IF(I214="","",IF(I214&lt;0,"Vadesi geçti",IF(I214&lt;=7,"Bu hafta","")))</f>
        <v/>
      </c>
      <c r="K214" s="19" t="n">
        <f aca="false">IF(H214="Bekliyor",G214,0)</f>
        <v>0</v>
      </c>
    </row>
    <row r="215" customFormat="false" ht="15" hidden="false" customHeight="false" outlineLevel="0" collapsed="false">
      <c r="A215" s="12"/>
      <c r="B215" s="12"/>
      <c r="C215" s="13"/>
      <c r="D215" s="13"/>
      <c r="E215" s="13"/>
      <c r="F215" s="14"/>
      <c r="G215" s="15"/>
      <c r="H215" s="12"/>
      <c r="I215" s="16" t="str">
        <f aca="true">IF(OR(F215="",H215&lt;&gt;"Bekliyor"),"",F215-TODAY())</f>
        <v/>
      </c>
      <c r="J215" s="17" t="str">
        <f aca="false">IF(I215="","",IF(I215&lt;0,"Vadesi geçti",IF(I215&lt;=7,"Bu hafta","")))</f>
        <v/>
      </c>
      <c r="K215" s="19" t="n">
        <f aca="false">IF(H215="Bekliyor",G215,0)</f>
        <v>0</v>
      </c>
    </row>
    <row r="216" customFormat="false" ht="15" hidden="false" customHeight="false" outlineLevel="0" collapsed="false">
      <c r="A216" s="12"/>
      <c r="B216" s="12"/>
      <c r="C216" s="13"/>
      <c r="D216" s="13"/>
      <c r="E216" s="13"/>
      <c r="F216" s="14"/>
      <c r="G216" s="15"/>
      <c r="H216" s="12"/>
      <c r="I216" s="16" t="str">
        <f aca="true">IF(OR(F216="",H216&lt;&gt;"Bekliyor"),"",F216-TODAY())</f>
        <v/>
      </c>
      <c r="J216" s="17" t="str">
        <f aca="false">IF(I216="","",IF(I216&lt;0,"Vadesi geçti",IF(I216&lt;=7,"Bu hafta","")))</f>
        <v/>
      </c>
      <c r="K216" s="19" t="n">
        <f aca="false">IF(H216="Bekliyor",G216,0)</f>
        <v>0</v>
      </c>
    </row>
    <row r="217" customFormat="false" ht="15" hidden="false" customHeight="false" outlineLevel="0" collapsed="false">
      <c r="A217" s="12"/>
      <c r="B217" s="12"/>
      <c r="C217" s="13"/>
      <c r="D217" s="13"/>
      <c r="E217" s="13"/>
      <c r="F217" s="14"/>
      <c r="G217" s="15"/>
      <c r="H217" s="12"/>
      <c r="I217" s="16" t="str">
        <f aca="true">IF(OR(F217="",H217&lt;&gt;"Bekliyor"),"",F217-TODAY())</f>
        <v/>
      </c>
      <c r="J217" s="17" t="str">
        <f aca="false">IF(I217="","",IF(I217&lt;0,"Vadesi geçti",IF(I217&lt;=7,"Bu hafta","")))</f>
        <v/>
      </c>
      <c r="K217" s="19" t="n">
        <f aca="false">IF(H217="Bekliyor",G217,0)</f>
        <v>0</v>
      </c>
    </row>
    <row r="218" customFormat="false" ht="15" hidden="false" customHeight="false" outlineLevel="0" collapsed="false">
      <c r="A218" s="12"/>
      <c r="B218" s="12"/>
      <c r="C218" s="13"/>
      <c r="D218" s="13"/>
      <c r="E218" s="13"/>
      <c r="F218" s="14"/>
      <c r="G218" s="15"/>
      <c r="H218" s="12"/>
      <c r="I218" s="16" t="str">
        <f aca="true">IF(OR(F218="",H218&lt;&gt;"Bekliyor"),"",F218-TODAY())</f>
        <v/>
      </c>
      <c r="J218" s="17" t="str">
        <f aca="false">IF(I218="","",IF(I218&lt;0,"Vadesi geçti",IF(I218&lt;=7,"Bu hafta","")))</f>
        <v/>
      </c>
      <c r="K218" s="19" t="n">
        <f aca="false">IF(H218="Bekliyor",G218,0)</f>
        <v>0</v>
      </c>
    </row>
    <row r="219" customFormat="false" ht="15" hidden="false" customHeight="false" outlineLevel="0" collapsed="false">
      <c r="A219" s="12"/>
      <c r="B219" s="12"/>
      <c r="C219" s="13"/>
      <c r="D219" s="13"/>
      <c r="E219" s="13"/>
      <c r="F219" s="14"/>
      <c r="G219" s="15"/>
      <c r="H219" s="12"/>
      <c r="I219" s="16" t="str">
        <f aca="true">IF(OR(F219="",H219&lt;&gt;"Bekliyor"),"",F219-TODAY())</f>
        <v/>
      </c>
      <c r="J219" s="17" t="str">
        <f aca="false">IF(I219="","",IF(I219&lt;0,"Vadesi geçti",IF(I219&lt;=7,"Bu hafta","")))</f>
        <v/>
      </c>
      <c r="K219" s="19" t="n">
        <f aca="false">IF(H219="Bekliyor",G219,0)</f>
        <v>0</v>
      </c>
    </row>
    <row r="220" customFormat="false" ht="15" hidden="false" customHeight="false" outlineLevel="0" collapsed="false">
      <c r="A220" s="12"/>
      <c r="B220" s="12"/>
      <c r="C220" s="13"/>
      <c r="D220" s="13"/>
      <c r="E220" s="13"/>
      <c r="F220" s="14"/>
      <c r="G220" s="15"/>
      <c r="H220" s="12"/>
      <c r="I220" s="16" t="str">
        <f aca="true">IF(OR(F220="",H220&lt;&gt;"Bekliyor"),"",F220-TODAY())</f>
        <v/>
      </c>
      <c r="J220" s="17" t="str">
        <f aca="false">IF(I220="","",IF(I220&lt;0,"Vadesi geçti",IF(I220&lt;=7,"Bu hafta","")))</f>
        <v/>
      </c>
      <c r="K220" s="19" t="n">
        <f aca="false">IF(H220="Bekliyor",G220,0)</f>
        <v>0</v>
      </c>
    </row>
    <row r="221" customFormat="false" ht="15" hidden="false" customHeight="false" outlineLevel="0" collapsed="false">
      <c r="A221" s="12"/>
      <c r="B221" s="12"/>
      <c r="C221" s="13"/>
      <c r="D221" s="13"/>
      <c r="E221" s="13"/>
      <c r="F221" s="14"/>
      <c r="G221" s="15"/>
      <c r="H221" s="12"/>
      <c r="I221" s="16" t="str">
        <f aca="true">IF(OR(F221="",H221&lt;&gt;"Bekliyor"),"",F221-TODAY())</f>
        <v/>
      </c>
      <c r="J221" s="17" t="str">
        <f aca="false">IF(I221="","",IF(I221&lt;0,"Vadesi geçti",IF(I221&lt;=7,"Bu hafta","")))</f>
        <v/>
      </c>
      <c r="K221" s="19" t="n">
        <f aca="false">IF(H221="Bekliyor",G221,0)</f>
        <v>0</v>
      </c>
    </row>
    <row r="222" customFormat="false" ht="15" hidden="false" customHeight="false" outlineLevel="0" collapsed="false">
      <c r="A222" s="12"/>
      <c r="B222" s="12"/>
      <c r="C222" s="13"/>
      <c r="D222" s="13"/>
      <c r="E222" s="13"/>
      <c r="F222" s="14"/>
      <c r="G222" s="15"/>
      <c r="H222" s="12"/>
      <c r="I222" s="16" t="str">
        <f aca="true">IF(OR(F222="",H222&lt;&gt;"Bekliyor"),"",F222-TODAY())</f>
        <v/>
      </c>
      <c r="J222" s="17" t="str">
        <f aca="false">IF(I222="","",IF(I222&lt;0,"Vadesi geçti",IF(I222&lt;=7,"Bu hafta","")))</f>
        <v/>
      </c>
      <c r="K222" s="19" t="n">
        <f aca="false">IF(H222="Bekliyor",G222,0)</f>
        <v>0</v>
      </c>
    </row>
    <row r="223" customFormat="false" ht="15" hidden="false" customHeight="false" outlineLevel="0" collapsed="false">
      <c r="A223" s="12"/>
      <c r="B223" s="12"/>
      <c r="C223" s="13"/>
      <c r="D223" s="13"/>
      <c r="E223" s="13"/>
      <c r="F223" s="14"/>
      <c r="G223" s="15"/>
      <c r="H223" s="12"/>
      <c r="I223" s="16" t="str">
        <f aca="true">IF(OR(F223="",H223&lt;&gt;"Bekliyor"),"",F223-TODAY())</f>
        <v/>
      </c>
      <c r="J223" s="17" t="str">
        <f aca="false">IF(I223="","",IF(I223&lt;0,"Vadesi geçti",IF(I223&lt;=7,"Bu hafta","")))</f>
        <v/>
      </c>
      <c r="K223" s="19" t="n">
        <f aca="false">IF(H223="Bekliyor",G223,0)</f>
        <v>0</v>
      </c>
    </row>
    <row r="224" customFormat="false" ht="15" hidden="false" customHeight="false" outlineLevel="0" collapsed="false">
      <c r="A224" s="12"/>
      <c r="B224" s="12"/>
      <c r="C224" s="13"/>
      <c r="D224" s="13"/>
      <c r="E224" s="13"/>
      <c r="F224" s="14"/>
      <c r="G224" s="15"/>
      <c r="H224" s="12"/>
      <c r="I224" s="16" t="str">
        <f aca="true">IF(OR(F224="",H224&lt;&gt;"Bekliyor"),"",F224-TODAY())</f>
        <v/>
      </c>
      <c r="J224" s="17" t="str">
        <f aca="false">IF(I224="","",IF(I224&lt;0,"Vadesi geçti",IF(I224&lt;=7,"Bu hafta","")))</f>
        <v/>
      </c>
      <c r="K224" s="19" t="n">
        <f aca="false">IF(H224="Bekliyor",G224,0)</f>
        <v>0</v>
      </c>
    </row>
    <row r="225" customFormat="false" ht="15" hidden="false" customHeight="false" outlineLevel="0" collapsed="false">
      <c r="A225" s="12"/>
      <c r="B225" s="12"/>
      <c r="C225" s="13"/>
      <c r="D225" s="13"/>
      <c r="E225" s="13"/>
      <c r="F225" s="14"/>
      <c r="G225" s="15"/>
      <c r="H225" s="12"/>
      <c r="I225" s="16" t="str">
        <f aca="true">IF(OR(F225="",H225&lt;&gt;"Bekliyor"),"",F225-TODAY())</f>
        <v/>
      </c>
      <c r="J225" s="17" t="str">
        <f aca="false">IF(I225="","",IF(I225&lt;0,"Vadesi geçti",IF(I225&lt;=7,"Bu hafta","")))</f>
        <v/>
      </c>
      <c r="K225" s="19" t="n">
        <f aca="false">IF(H225="Bekliyor",G225,0)</f>
        <v>0</v>
      </c>
    </row>
    <row r="226" customFormat="false" ht="15" hidden="false" customHeight="false" outlineLevel="0" collapsed="false">
      <c r="A226" s="12"/>
      <c r="B226" s="12"/>
      <c r="C226" s="13"/>
      <c r="D226" s="13"/>
      <c r="E226" s="13"/>
      <c r="F226" s="14"/>
      <c r="G226" s="15"/>
      <c r="H226" s="12"/>
      <c r="I226" s="16" t="str">
        <f aca="true">IF(OR(F226="",H226&lt;&gt;"Bekliyor"),"",F226-TODAY())</f>
        <v/>
      </c>
      <c r="J226" s="17" t="str">
        <f aca="false">IF(I226="","",IF(I226&lt;0,"Vadesi geçti",IF(I226&lt;=7,"Bu hafta","")))</f>
        <v/>
      </c>
      <c r="K226" s="19" t="n">
        <f aca="false">IF(H226="Bekliyor",G226,0)</f>
        <v>0</v>
      </c>
    </row>
    <row r="227" customFormat="false" ht="15" hidden="false" customHeight="false" outlineLevel="0" collapsed="false">
      <c r="A227" s="12"/>
      <c r="B227" s="12"/>
      <c r="C227" s="13"/>
      <c r="D227" s="13"/>
      <c r="E227" s="13"/>
      <c r="F227" s="14"/>
      <c r="G227" s="15"/>
      <c r="H227" s="12"/>
      <c r="I227" s="16" t="str">
        <f aca="true">IF(OR(F227="",H227&lt;&gt;"Bekliyor"),"",F227-TODAY())</f>
        <v/>
      </c>
      <c r="J227" s="17" t="str">
        <f aca="false">IF(I227="","",IF(I227&lt;0,"Vadesi geçti",IF(I227&lt;=7,"Bu hafta","")))</f>
        <v/>
      </c>
      <c r="K227" s="19" t="n">
        <f aca="false">IF(H227="Bekliyor",G227,0)</f>
        <v>0</v>
      </c>
    </row>
    <row r="228" customFormat="false" ht="15" hidden="false" customHeight="false" outlineLevel="0" collapsed="false">
      <c r="A228" s="12"/>
      <c r="B228" s="12"/>
      <c r="C228" s="13"/>
      <c r="D228" s="13"/>
      <c r="E228" s="13"/>
      <c r="F228" s="14"/>
      <c r="G228" s="15"/>
      <c r="H228" s="12"/>
      <c r="I228" s="16" t="str">
        <f aca="true">IF(OR(F228="",H228&lt;&gt;"Bekliyor"),"",F228-TODAY())</f>
        <v/>
      </c>
      <c r="J228" s="17" t="str">
        <f aca="false">IF(I228="","",IF(I228&lt;0,"Vadesi geçti",IF(I228&lt;=7,"Bu hafta","")))</f>
        <v/>
      </c>
      <c r="K228" s="19" t="n">
        <f aca="false">IF(H228="Bekliyor",G228,0)</f>
        <v>0</v>
      </c>
    </row>
    <row r="229" customFormat="false" ht="15" hidden="false" customHeight="false" outlineLevel="0" collapsed="false">
      <c r="A229" s="12"/>
      <c r="B229" s="12"/>
      <c r="C229" s="13"/>
      <c r="D229" s="13"/>
      <c r="E229" s="13"/>
      <c r="F229" s="14"/>
      <c r="G229" s="15"/>
      <c r="H229" s="12"/>
      <c r="I229" s="16" t="str">
        <f aca="true">IF(OR(F229="",H229&lt;&gt;"Bekliyor"),"",F229-TODAY())</f>
        <v/>
      </c>
      <c r="J229" s="17" t="str">
        <f aca="false">IF(I229="","",IF(I229&lt;0,"Vadesi geçti",IF(I229&lt;=7,"Bu hafta","")))</f>
        <v/>
      </c>
      <c r="K229" s="19" t="n">
        <f aca="false">IF(H229="Bekliyor",G229,0)</f>
        <v>0</v>
      </c>
    </row>
    <row r="230" customFormat="false" ht="15" hidden="false" customHeight="false" outlineLevel="0" collapsed="false">
      <c r="A230" s="12"/>
      <c r="B230" s="12"/>
      <c r="C230" s="13"/>
      <c r="D230" s="13"/>
      <c r="E230" s="13"/>
      <c r="F230" s="14"/>
      <c r="G230" s="15"/>
      <c r="H230" s="12"/>
      <c r="I230" s="16" t="str">
        <f aca="true">IF(OR(F230="",H230&lt;&gt;"Bekliyor"),"",F230-TODAY())</f>
        <v/>
      </c>
      <c r="J230" s="17" t="str">
        <f aca="false">IF(I230="","",IF(I230&lt;0,"Vadesi geçti",IF(I230&lt;=7,"Bu hafta","")))</f>
        <v/>
      </c>
      <c r="K230" s="19" t="n">
        <f aca="false">IF(H230="Bekliyor",G230,0)</f>
        <v>0</v>
      </c>
    </row>
    <row r="231" customFormat="false" ht="15" hidden="false" customHeight="false" outlineLevel="0" collapsed="false">
      <c r="A231" s="12"/>
      <c r="B231" s="12"/>
      <c r="C231" s="13"/>
      <c r="D231" s="13"/>
      <c r="E231" s="13"/>
      <c r="F231" s="14"/>
      <c r="G231" s="15"/>
      <c r="H231" s="12"/>
      <c r="I231" s="16" t="str">
        <f aca="true">IF(OR(F231="",H231&lt;&gt;"Bekliyor"),"",F231-TODAY())</f>
        <v/>
      </c>
      <c r="J231" s="17" t="str">
        <f aca="false">IF(I231="","",IF(I231&lt;0,"Vadesi geçti",IF(I231&lt;=7,"Bu hafta","")))</f>
        <v/>
      </c>
      <c r="K231" s="19" t="n">
        <f aca="false">IF(H231="Bekliyor",G231,0)</f>
        <v>0</v>
      </c>
    </row>
    <row r="232" customFormat="false" ht="15" hidden="false" customHeight="false" outlineLevel="0" collapsed="false">
      <c r="A232" s="12"/>
      <c r="B232" s="12"/>
      <c r="C232" s="13"/>
      <c r="D232" s="13"/>
      <c r="E232" s="13"/>
      <c r="F232" s="14"/>
      <c r="G232" s="15"/>
      <c r="H232" s="12"/>
      <c r="I232" s="16" t="str">
        <f aca="true">IF(OR(F232="",H232&lt;&gt;"Bekliyor"),"",F232-TODAY())</f>
        <v/>
      </c>
      <c r="J232" s="17" t="str">
        <f aca="false">IF(I232="","",IF(I232&lt;0,"Vadesi geçti",IF(I232&lt;=7,"Bu hafta","")))</f>
        <v/>
      </c>
      <c r="K232" s="19" t="n">
        <f aca="false">IF(H232="Bekliyor",G232,0)</f>
        <v>0</v>
      </c>
    </row>
    <row r="233" customFormat="false" ht="15" hidden="false" customHeight="false" outlineLevel="0" collapsed="false">
      <c r="A233" s="12"/>
      <c r="B233" s="12"/>
      <c r="C233" s="13"/>
      <c r="D233" s="13"/>
      <c r="E233" s="13"/>
      <c r="F233" s="14"/>
      <c r="G233" s="15"/>
      <c r="H233" s="12"/>
      <c r="I233" s="16" t="str">
        <f aca="true">IF(OR(F233="",H233&lt;&gt;"Bekliyor"),"",F233-TODAY())</f>
        <v/>
      </c>
      <c r="J233" s="17" t="str">
        <f aca="false">IF(I233="","",IF(I233&lt;0,"Vadesi geçti",IF(I233&lt;=7,"Bu hafta","")))</f>
        <v/>
      </c>
      <c r="K233" s="19" t="n">
        <f aca="false">IF(H233="Bekliyor",G233,0)</f>
        <v>0</v>
      </c>
    </row>
    <row r="234" customFormat="false" ht="15" hidden="false" customHeight="false" outlineLevel="0" collapsed="false">
      <c r="A234" s="12"/>
      <c r="B234" s="12"/>
      <c r="C234" s="13"/>
      <c r="D234" s="13"/>
      <c r="E234" s="13"/>
      <c r="F234" s="14"/>
      <c r="G234" s="15"/>
      <c r="H234" s="12"/>
      <c r="I234" s="16" t="str">
        <f aca="true">IF(OR(F234="",H234&lt;&gt;"Bekliyor"),"",F234-TODAY())</f>
        <v/>
      </c>
      <c r="J234" s="17" t="str">
        <f aca="false">IF(I234="","",IF(I234&lt;0,"Vadesi geçti",IF(I234&lt;=7,"Bu hafta","")))</f>
        <v/>
      </c>
      <c r="K234" s="19" t="n">
        <f aca="false">IF(H234="Bekliyor",G234,0)</f>
        <v>0</v>
      </c>
    </row>
    <row r="235" customFormat="false" ht="15" hidden="false" customHeight="false" outlineLevel="0" collapsed="false">
      <c r="A235" s="12"/>
      <c r="B235" s="12"/>
      <c r="C235" s="13"/>
      <c r="D235" s="13"/>
      <c r="E235" s="13"/>
      <c r="F235" s="14"/>
      <c r="G235" s="15"/>
      <c r="H235" s="12"/>
      <c r="I235" s="16" t="str">
        <f aca="true">IF(OR(F235="",H235&lt;&gt;"Bekliyor"),"",F235-TODAY())</f>
        <v/>
      </c>
      <c r="J235" s="17" t="str">
        <f aca="false">IF(I235="","",IF(I235&lt;0,"Vadesi geçti",IF(I235&lt;=7,"Bu hafta","")))</f>
        <v/>
      </c>
      <c r="K235" s="19" t="n">
        <f aca="false">IF(H235="Bekliyor",G235,0)</f>
        <v>0</v>
      </c>
    </row>
    <row r="236" customFormat="false" ht="15" hidden="false" customHeight="false" outlineLevel="0" collapsed="false">
      <c r="A236" s="12"/>
      <c r="B236" s="12"/>
      <c r="C236" s="13"/>
      <c r="D236" s="13"/>
      <c r="E236" s="13"/>
      <c r="F236" s="14"/>
      <c r="G236" s="15"/>
      <c r="H236" s="12"/>
      <c r="I236" s="16" t="str">
        <f aca="true">IF(OR(F236="",H236&lt;&gt;"Bekliyor"),"",F236-TODAY())</f>
        <v/>
      </c>
      <c r="J236" s="17" t="str">
        <f aca="false">IF(I236="","",IF(I236&lt;0,"Vadesi geçti",IF(I236&lt;=7,"Bu hafta","")))</f>
        <v/>
      </c>
      <c r="K236" s="19" t="n">
        <f aca="false">IF(H236="Bekliyor",G236,0)</f>
        <v>0</v>
      </c>
    </row>
    <row r="237" customFormat="false" ht="15" hidden="false" customHeight="false" outlineLevel="0" collapsed="false">
      <c r="A237" s="12"/>
      <c r="B237" s="12"/>
      <c r="C237" s="13"/>
      <c r="D237" s="13"/>
      <c r="E237" s="13"/>
      <c r="F237" s="14"/>
      <c r="G237" s="15"/>
      <c r="H237" s="12"/>
      <c r="I237" s="16" t="str">
        <f aca="true">IF(OR(F237="",H237&lt;&gt;"Bekliyor"),"",F237-TODAY())</f>
        <v/>
      </c>
      <c r="J237" s="17" t="str">
        <f aca="false">IF(I237="","",IF(I237&lt;0,"Vadesi geçti",IF(I237&lt;=7,"Bu hafta","")))</f>
        <v/>
      </c>
      <c r="K237" s="19" t="n">
        <f aca="false">IF(H237="Bekliyor",G237,0)</f>
        <v>0</v>
      </c>
    </row>
    <row r="238" customFormat="false" ht="15" hidden="false" customHeight="false" outlineLevel="0" collapsed="false">
      <c r="A238" s="12"/>
      <c r="B238" s="12"/>
      <c r="C238" s="13"/>
      <c r="D238" s="13"/>
      <c r="E238" s="13"/>
      <c r="F238" s="14"/>
      <c r="G238" s="15"/>
      <c r="H238" s="12"/>
      <c r="I238" s="16" t="str">
        <f aca="true">IF(OR(F238="",H238&lt;&gt;"Bekliyor"),"",F238-TODAY())</f>
        <v/>
      </c>
      <c r="J238" s="17" t="str">
        <f aca="false">IF(I238="","",IF(I238&lt;0,"Vadesi geçti",IF(I238&lt;=7,"Bu hafta","")))</f>
        <v/>
      </c>
      <c r="K238" s="19" t="n">
        <f aca="false">IF(H238="Bekliyor",G238,0)</f>
        <v>0</v>
      </c>
    </row>
    <row r="239" customFormat="false" ht="15" hidden="false" customHeight="false" outlineLevel="0" collapsed="false">
      <c r="A239" s="12"/>
      <c r="B239" s="12"/>
      <c r="C239" s="13"/>
      <c r="D239" s="13"/>
      <c r="E239" s="13"/>
      <c r="F239" s="14"/>
      <c r="G239" s="15"/>
      <c r="H239" s="12"/>
      <c r="I239" s="16" t="str">
        <f aca="true">IF(OR(F239="",H239&lt;&gt;"Bekliyor"),"",F239-TODAY())</f>
        <v/>
      </c>
      <c r="J239" s="17" t="str">
        <f aca="false">IF(I239="","",IF(I239&lt;0,"Vadesi geçti",IF(I239&lt;=7,"Bu hafta","")))</f>
        <v/>
      </c>
      <c r="K239" s="19" t="n">
        <f aca="false">IF(H239="Bekliyor",G239,0)</f>
        <v>0</v>
      </c>
    </row>
    <row r="240" customFormat="false" ht="15" hidden="false" customHeight="false" outlineLevel="0" collapsed="false">
      <c r="A240" s="12"/>
      <c r="B240" s="12"/>
      <c r="C240" s="13"/>
      <c r="D240" s="13"/>
      <c r="E240" s="13"/>
      <c r="F240" s="14"/>
      <c r="G240" s="15"/>
      <c r="H240" s="12"/>
      <c r="I240" s="16" t="str">
        <f aca="true">IF(OR(F240="",H240&lt;&gt;"Bekliyor"),"",F240-TODAY())</f>
        <v/>
      </c>
      <c r="J240" s="17" t="str">
        <f aca="false">IF(I240="","",IF(I240&lt;0,"Vadesi geçti",IF(I240&lt;=7,"Bu hafta","")))</f>
        <v/>
      </c>
      <c r="K240" s="19" t="n">
        <f aca="false">IF(H240="Bekliyor",G240,0)</f>
        <v>0</v>
      </c>
    </row>
    <row r="241" customFormat="false" ht="15" hidden="false" customHeight="false" outlineLevel="0" collapsed="false">
      <c r="A241" s="12"/>
      <c r="B241" s="12"/>
      <c r="C241" s="13"/>
      <c r="D241" s="13"/>
      <c r="E241" s="13"/>
      <c r="F241" s="14"/>
      <c r="G241" s="15"/>
      <c r="H241" s="12"/>
      <c r="I241" s="16" t="str">
        <f aca="true">IF(OR(F241="",H241&lt;&gt;"Bekliyor"),"",F241-TODAY())</f>
        <v/>
      </c>
      <c r="J241" s="17" t="str">
        <f aca="false">IF(I241="","",IF(I241&lt;0,"Vadesi geçti",IF(I241&lt;=7,"Bu hafta","")))</f>
        <v/>
      </c>
      <c r="K241" s="19" t="n">
        <f aca="false">IF(H241="Bekliyor",G241,0)</f>
        <v>0</v>
      </c>
    </row>
    <row r="242" customFormat="false" ht="15" hidden="false" customHeight="false" outlineLevel="0" collapsed="false">
      <c r="A242" s="12"/>
      <c r="B242" s="12"/>
      <c r="C242" s="13"/>
      <c r="D242" s="13"/>
      <c r="E242" s="13"/>
      <c r="F242" s="14"/>
      <c r="G242" s="15"/>
      <c r="H242" s="12"/>
      <c r="I242" s="16" t="str">
        <f aca="true">IF(OR(F242="",H242&lt;&gt;"Bekliyor"),"",F242-TODAY())</f>
        <v/>
      </c>
      <c r="J242" s="17" t="str">
        <f aca="false">IF(I242="","",IF(I242&lt;0,"Vadesi geçti",IF(I242&lt;=7,"Bu hafta","")))</f>
        <v/>
      </c>
      <c r="K242" s="19" t="n">
        <f aca="false">IF(H242="Bekliyor",G242,0)</f>
        <v>0</v>
      </c>
    </row>
    <row r="243" customFormat="false" ht="15" hidden="false" customHeight="false" outlineLevel="0" collapsed="false">
      <c r="A243" s="12"/>
      <c r="B243" s="12"/>
      <c r="C243" s="13"/>
      <c r="D243" s="13"/>
      <c r="E243" s="13"/>
      <c r="F243" s="14"/>
      <c r="G243" s="15"/>
      <c r="H243" s="12"/>
      <c r="I243" s="16" t="str">
        <f aca="true">IF(OR(F243="",H243&lt;&gt;"Bekliyor"),"",F243-TODAY())</f>
        <v/>
      </c>
      <c r="J243" s="17" t="str">
        <f aca="false">IF(I243="","",IF(I243&lt;0,"Vadesi geçti",IF(I243&lt;=7,"Bu hafta","")))</f>
        <v/>
      </c>
      <c r="K243" s="19" t="n">
        <f aca="false">IF(H243="Bekliyor",G243,0)</f>
        <v>0</v>
      </c>
    </row>
    <row r="244" customFormat="false" ht="15" hidden="false" customHeight="false" outlineLevel="0" collapsed="false">
      <c r="A244" s="12"/>
      <c r="B244" s="12"/>
      <c r="C244" s="13"/>
      <c r="D244" s="13"/>
      <c r="E244" s="13"/>
      <c r="F244" s="14"/>
      <c r="G244" s="15"/>
      <c r="H244" s="12"/>
      <c r="I244" s="16" t="str">
        <f aca="true">IF(OR(F244="",H244&lt;&gt;"Bekliyor"),"",F244-TODAY())</f>
        <v/>
      </c>
      <c r="J244" s="17" t="str">
        <f aca="false">IF(I244="","",IF(I244&lt;0,"Vadesi geçti",IF(I244&lt;=7,"Bu hafta","")))</f>
        <v/>
      </c>
      <c r="K244" s="19" t="n">
        <f aca="false">IF(H244="Bekliyor",G244,0)</f>
        <v>0</v>
      </c>
    </row>
    <row r="245" customFormat="false" ht="15" hidden="false" customHeight="false" outlineLevel="0" collapsed="false">
      <c r="A245" s="12"/>
      <c r="B245" s="12"/>
      <c r="C245" s="13"/>
      <c r="D245" s="13"/>
      <c r="E245" s="13"/>
      <c r="F245" s="14"/>
      <c r="G245" s="15"/>
      <c r="H245" s="12"/>
      <c r="I245" s="16" t="str">
        <f aca="true">IF(OR(F245="",H245&lt;&gt;"Bekliyor"),"",F245-TODAY())</f>
        <v/>
      </c>
      <c r="J245" s="17" t="str">
        <f aca="false">IF(I245="","",IF(I245&lt;0,"Vadesi geçti",IF(I245&lt;=7,"Bu hafta","")))</f>
        <v/>
      </c>
      <c r="K245" s="19" t="n">
        <f aca="false">IF(H245="Bekliyor",G245,0)</f>
        <v>0</v>
      </c>
    </row>
    <row r="246" customFormat="false" ht="15" hidden="false" customHeight="false" outlineLevel="0" collapsed="false">
      <c r="A246" s="12"/>
      <c r="B246" s="12"/>
      <c r="C246" s="13"/>
      <c r="D246" s="13"/>
      <c r="E246" s="13"/>
      <c r="F246" s="14"/>
      <c r="G246" s="15"/>
      <c r="H246" s="12"/>
      <c r="I246" s="16" t="str">
        <f aca="true">IF(OR(F246="",H246&lt;&gt;"Bekliyor"),"",F246-TODAY())</f>
        <v/>
      </c>
      <c r="J246" s="17" t="str">
        <f aca="false">IF(I246="","",IF(I246&lt;0,"Vadesi geçti",IF(I246&lt;=7,"Bu hafta","")))</f>
        <v/>
      </c>
      <c r="K246" s="19" t="n">
        <f aca="false">IF(H246="Bekliyor",G246,0)</f>
        <v>0</v>
      </c>
    </row>
    <row r="247" customFormat="false" ht="15" hidden="false" customHeight="false" outlineLevel="0" collapsed="false">
      <c r="A247" s="12"/>
      <c r="B247" s="12"/>
      <c r="C247" s="13"/>
      <c r="D247" s="13"/>
      <c r="E247" s="13"/>
      <c r="F247" s="14"/>
      <c r="G247" s="15"/>
      <c r="H247" s="12"/>
      <c r="I247" s="16" t="str">
        <f aca="true">IF(OR(F247="",H247&lt;&gt;"Bekliyor"),"",F247-TODAY())</f>
        <v/>
      </c>
      <c r="J247" s="17" t="str">
        <f aca="false">IF(I247="","",IF(I247&lt;0,"Vadesi geçti",IF(I247&lt;=7,"Bu hafta","")))</f>
        <v/>
      </c>
      <c r="K247" s="19" t="n">
        <f aca="false">IF(H247="Bekliyor",G247,0)</f>
        <v>0</v>
      </c>
    </row>
    <row r="248" customFormat="false" ht="15" hidden="false" customHeight="false" outlineLevel="0" collapsed="false">
      <c r="A248" s="12"/>
      <c r="B248" s="12"/>
      <c r="C248" s="13"/>
      <c r="D248" s="13"/>
      <c r="E248" s="13"/>
      <c r="F248" s="14"/>
      <c r="G248" s="15"/>
      <c r="H248" s="12"/>
      <c r="I248" s="16" t="str">
        <f aca="true">IF(OR(F248="",H248&lt;&gt;"Bekliyor"),"",F248-TODAY())</f>
        <v/>
      </c>
      <c r="J248" s="17" t="str">
        <f aca="false">IF(I248="","",IF(I248&lt;0,"Vadesi geçti",IF(I248&lt;=7,"Bu hafta","")))</f>
        <v/>
      </c>
      <c r="K248" s="19" t="n">
        <f aca="false">IF(H248="Bekliyor",G248,0)</f>
        <v>0</v>
      </c>
    </row>
    <row r="249" customFormat="false" ht="15" hidden="false" customHeight="false" outlineLevel="0" collapsed="false">
      <c r="A249" s="12"/>
      <c r="B249" s="12"/>
      <c r="C249" s="13"/>
      <c r="D249" s="13"/>
      <c r="E249" s="13"/>
      <c r="F249" s="14"/>
      <c r="G249" s="15"/>
      <c r="H249" s="12"/>
      <c r="I249" s="16" t="str">
        <f aca="true">IF(OR(F249="",H249&lt;&gt;"Bekliyor"),"",F249-TODAY())</f>
        <v/>
      </c>
      <c r="J249" s="17" t="str">
        <f aca="false">IF(I249="","",IF(I249&lt;0,"Vadesi geçti",IF(I249&lt;=7,"Bu hafta","")))</f>
        <v/>
      </c>
      <c r="K249" s="19" t="n">
        <f aca="false">IF(H249="Bekliyor",G249,0)</f>
        <v>0</v>
      </c>
    </row>
    <row r="250" customFormat="false" ht="15" hidden="false" customHeight="false" outlineLevel="0" collapsed="false">
      <c r="A250" s="12"/>
      <c r="B250" s="12"/>
      <c r="C250" s="13"/>
      <c r="D250" s="13"/>
      <c r="E250" s="13"/>
      <c r="F250" s="14"/>
      <c r="G250" s="15"/>
      <c r="H250" s="12"/>
      <c r="I250" s="16" t="str">
        <f aca="true">IF(OR(F250="",H250&lt;&gt;"Bekliyor"),"",F250-TODAY())</f>
        <v/>
      </c>
      <c r="J250" s="17" t="str">
        <f aca="false">IF(I250="","",IF(I250&lt;0,"Vadesi geçti",IF(I250&lt;=7,"Bu hafta","")))</f>
        <v/>
      </c>
      <c r="K250" s="19" t="n">
        <f aca="false">IF(H250="Bekliyor",G250,0)</f>
        <v>0</v>
      </c>
    </row>
    <row r="251" customFormat="false" ht="15" hidden="false" customHeight="false" outlineLevel="0" collapsed="false">
      <c r="A251" s="12"/>
      <c r="B251" s="12"/>
      <c r="C251" s="13"/>
      <c r="D251" s="13"/>
      <c r="E251" s="13"/>
      <c r="F251" s="14"/>
      <c r="G251" s="15"/>
      <c r="H251" s="12"/>
      <c r="I251" s="16" t="str">
        <f aca="true">IF(OR(F251="",H251&lt;&gt;"Bekliyor"),"",F251-TODAY())</f>
        <v/>
      </c>
      <c r="J251" s="17" t="str">
        <f aca="false">IF(I251="","",IF(I251&lt;0,"Vadesi geçti",IF(I251&lt;=7,"Bu hafta","")))</f>
        <v/>
      </c>
      <c r="K251" s="19" t="n">
        <f aca="false">IF(H251="Bekliyor",G251,0)</f>
        <v>0</v>
      </c>
    </row>
    <row r="252" customFormat="false" ht="15" hidden="false" customHeight="false" outlineLevel="0" collapsed="false">
      <c r="A252" s="12"/>
      <c r="B252" s="12"/>
      <c r="C252" s="13"/>
      <c r="D252" s="13"/>
      <c r="E252" s="13"/>
      <c r="F252" s="14"/>
      <c r="G252" s="15"/>
      <c r="H252" s="12"/>
      <c r="I252" s="16" t="str">
        <f aca="true">IF(OR(F252="",H252&lt;&gt;"Bekliyor"),"",F252-TODAY())</f>
        <v/>
      </c>
      <c r="J252" s="17" t="str">
        <f aca="false">IF(I252="","",IF(I252&lt;0,"Vadesi geçti",IF(I252&lt;=7,"Bu hafta","")))</f>
        <v/>
      </c>
      <c r="K252" s="19" t="n">
        <f aca="false">IF(H252="Bekliyor",G252,0)</f>
        <v>0</v>
      </c>
    </row>
    <row r="253" customFormat="false" ht="15" hidden="false" customHeight="false" outlineLevel="0" collapsed="false">
      <c r="A253" s="12"/>
      <c r="B253" s="12"/>
      <c r="C253" s="13"/>
      <c r="D253" s="13"/>
      <c r="E253" s="13"/>
      <c r="F253" s="14"/>
      <c r="G253" s="15"/>
      <c r="H253" s="12"/>
      <c r="I253" s="16" t="str">
        <f aca="true">IF(OR(F253="",H253&lt;&gt;"Bekliyor"),"",F253-TODAY())</f>
        <v/>
      </c>
      <c r="J253" s="17" t="str">
        <f aca="false">IF(I253="","",IF(I253&lt;0,"Vadesi geçti",IF(I253&lt;=7,"Bu hafta","")))</f>
        <v/>
      </c>
      <c r="K253" s="19" t="n">
        <f aca="false">IF(H253="Bekliyor",G253,0)</f>
        <v>0</v>
      </c>
    </row>
    <row r="254" customFormat="false" ht="15" hidden="false" customHeight="false" outlineLevel="0" collapsed="false">
      <c r="A254" s="12"/>
      <c r="B254" s="12"/>
      <c r="C254" s="13"/>
      <c r="D254" s="13"/>
      <c r="E254" s="13"/>
      <c r="F254" s="14"/>
      <c r="G254" s="15"/>
      <c r="H254" s="12"/>
      <c r="I254" s="16" t="str">
        <f aca="true">IF(OR(F254="",H254&lt;&gt;"Bekliyor"),"",F254-TODAY())</f>
        <v/>
      </c>
      <c r="J254" s="17" t="str">
        <f aca="false">IF(I254="","",IF(I254&lt;0,"Vadesi geçti",IF(I254&lt;=7,"Bu hafta","")))</f>
        <v/>
      </c>
      <c r="K254" s="19" t="n">
        <f aca="false">IF(H254="Bekliyor",G254,0)</f>
        <v>0</v>
      </c>
    </row>
    <row r="255" customFormat="false" ht="15" hidden="false" customHeight="false" outlineLevel="0" collapsed="false">
      <c r="A255" s="12"/>
      <c r="B255" s="12"/>
      <c r="C255" s="13"/>
      <c r="D255" s="13"/>
      <c r="E255" s="13"/>
      <c r="F255" s="14"/>
      <c r="G255" s="15"/>
      <c r="H255" s="12"/>
      <c r="I255" s="16" t="str">
        <f aca="true">IF(OR(F255="",H255&lt;&gt;"Bekliyor"),"",F255-TODAY())</f>
        <v/>
      </c>
      <c r="J255" s="17" t="str">
        <f aca="false">IF(I255="","",IF(I255&lt;0,"Vadesi geçti",IF(I255&lt;=7,"Bu hafta","")))</f>
        <v/>
      </c>
      <c r="K255" s="19" t="n">
        <f aca="false">IF(H255="Bekliyor",G255,0)</f>
        <v>0</v>
      </c>
    </row>
    <row r="256" customFormat="false" ht="15" hidden="false" customHeight="false" outlineLevel="0" collapsed="false">
      <c r="A256" s="12"/>
      <c r="B256" s="12"/>
      <c r="C256" s="13"/>
      <c r="D256" s="13"/>
      <c r="E256" s="13"/>
      <c r="F256" s="14"/>
      <c r="G256" s="15"/>
      <c r="H256" s="12"/>
      <c r="I256" s="16" t="str">
        <f aca="true">IF(OR(F256="",H256&lt;&gt;"Bekliyor"),"",F256-TODAY())</f>
        <v/>
      </c>
      <c r="J256" s="17" t="str">
        <f aca="false">IF(I256="","",IF(I256&lt;0,"Vadesi geçti",IF(I256&lt;=7,"Bu hafta","")))</f>
        <v/>
      </c>
      <c r="K256" s="19" t="n">
        <f aca="false">IF(H256="Bekliyor",G256,0)</f>
        <v>0</v>
      </c>
    </row>
    <row r="257" customFormat="false" ht="15" hidden="false" customHeight="false" outlineLevel="0" collapsed="false">
      <c r="A257" s="12"/>
      <c r="B257" s="12"/>
      <c r="C257" s="13"/>
      <c r="D257" s="13"/>
      <c r="E257" s="13"/>
      <c r="F257" s="14"/>
      <c r="G257" s="15"/>
      <c r="H257" s="12"/>
      <c r="I257" s="16" t="str">
        <f aca="true">IF(OR(F257="",H257&lt;&gt;"Bekliyor"),"",F257-TODAY())</f>
        <v/>
      </c>
      <c r="J257" s="17" t="str">
        <f aca="false">IF(I257="","",IF(I257&lt;0,"Vadesi geçti",IF(I257&lt;=7,"Bu hafta","")))</f>
        <v/>
      </c>
      <c r="K257" s="19" t="n">
        <f aca="false">IF(H257="Bekliyor",G257,0)</f>
        <v>0</v>
      </c>
    </row>
    <row r="258" customFormat="false" ht="15" hidden="false" customHeight="false" outlineLevel="0" collapsed="false">
      <c r="A258" s="12"/>
      <c r="B258" s="12"/>
      <c r="C258" s="13"/>
      <c r="D258" s="13"/>
      <c r="E258" s="13"/>
      <c r="F258" s="14"/>
      <c r="G258" s="15"/>
      <c r="H258" s="12"/>
      <c r="I258" s="16" t="str">
        <f aca="true">IF(OR(F258="",H258&lt;&gt;"Bekliyor"),"",F258-TODAY())</f>
        <v/>
      </c>
      <c r="J258" s="17" t="str">
        <f aca="false">IF(I258="","",IF(I258&lt;0,"Vadesi geçti",IF(I258&lt;=7,"Bu hafta","")))</f>
        <v/>
      </c>
      <c r="K258" s="19" t="n">
        <f aca="false">IF(H258="Bekliyor",G258,0)</f>
        <v>0</v>
      </c>
    </row>
    <row r="259" customFormat="false" ht="15" hidden="false" customHeight="false" outlineLevel="0" collapsed="false">
      <c r="A259" s="12"/>
      <c r="B259" s="12"/>
      <c r="C259" s="13"/>
      <c r="D259" s="13"/>
      <c r="E259" s="13"/>
      <c r="F259" s="14"/>
      <c r="G259" s="15"/>
      <c r="H259" s="12"/>
      <c r="I259" s="16" t="str">
        <f aca="true">IF(OR(F259="",H259&lt;&gt;"Bekliyor"),"",F259-TODAY())</f>
        <v/>
      </c>
      <c r="J259" s="17" t="str">
        <f aca="false">IF(I259="","",IF(I259&lt;0,"Vadesi geçti",IF(I259&lt;=7,"Bu hafta","")))</f>
        <v/>
      </c>
      <c r="K259" s="19" t="n">
        <f aca="false">IF(H259="Bekliyor",G259,0)</f>
        <v>0</v>
      </c>
    </row>
    <row r="260" customFormat="false" ht="15" hidden="false" customHeight="false" outlineLevel="0" collapsed="false">
      <c r="A260" s="12"/>
      <c r="B260" s="12"/>
      <c r="C260" s="13"/>
      <c r="D260" s="13"/>
      <c r="E260" s="13"/>
      <c r="F260" s="14"/>
      <c r="G260" s="15"/>
      <c r="H260" s="12"/>
      <c r="I260" s="16" t="str">
        <f aca="true">IF(OR(F260="",H260&lt;&gt;"Bekliyor"),"",F260-TODAY())</f>
        <v/>
      </c>
      <c r="J260" s="17" t="str">
        <f aca="false">IF(I260="","",IF(I260&lt;0,"Vadesi geçti",IF(I260&lt;=7,"Bu hafta","")))</f>
        <v/>
      </c>
      <c r="K260" s="19" t="n">
        <f aca="false">IF(H260="Bekliyor",G260,0)</f>
        <v>0</v>
      </c>
    </row>
    <row r="261" customFormat="false" ht="15" hidden="false" customHeight="false" outlineLevel="0" collapsed="false">
      <c r="A261" s="12"/>
      <c r="B261" s="12"/>
      <c r="C261" s="13"/>
      <c r="D261" s="13"/>
      <c r="E261" s="13"/>
      <c r="F261" s="14"/>
      <c r="G261" s="15"/>
      <c r="H261" s="12"/>
      <c r="I261" s="16" t="str">
        <f aca="true">IF(OR(F261="",H261&lt;&gt;"Bekliyor"),"",F261-TODAY())</f>
        <v/>
      </c>
      <c r="J261" s="17" t="str">
        <f aca="false">IF(I261="","",IF(I261&lt;0,"Vadesi geçti",IF(I261&lt;=7,"Bu hafta","")))</f>
        <v/>
      </c>
      <c r="K261" s="19" t="n">
        <f aca="false">IF(H261="Bekliyor",G261,0)</f>
        <v>0</v>
      </c>
    </row>
    <row r="262" customFormat="false" ht="15" hidden="false" customHeight="false" outlineLevel="0" collapsed="false">
      <c r="A262" s="12"/>
      <c r="B262" s="12"/>
      <c r="C262" s="13"/>
      <c r="D262" s="13"/>
      <c r="E262" s="13"/>
      <c r="F262" s="14"/>
      <c r="G262" s="15"/>
      <c r="H262" s="12"/>
      <c r="I262" s="16" t="str">
        <f aca="true">IF(OR(F262="",H262&lt;&gt;"Bekliyor"),"",F262-TODAY())</f>
        <v/>
      </c>
      <c r="J262" s="17" t="str">
        <f aca="false">IF(I262="","",IF(I262&lt;0,"Vadesi geçti",IF(I262&lt;=7,"Bu hafta","")))</f>
        <v/>
      </c>
      <c r="K262" s="19" t="n">
        <f aca="false">IF(H262="Bekliyor",G262,0)</f>
        <v>0</v>
      </c>
    </row>
    <row r="263" customFormat="false" ht="15" hidden="false" customHeight="false" outlineLevel="0" collapsed="false">
      <c r="A263" s="12"/>
      <c r="B263" s="12"/>
      <c r="C263" s="13"/>
      <c r="D263" s="13"/>
      <c r="E263" s="13"/>
      <c r="F263" s="14"/>
      <c r="G263" s="15"/>
      <c r="H263" s="12"/>
      <c r="I263" s="16" t="str">
        <f aca="true">IF(OR(F263="",H263&lt;&gt;"Bekliyor"),"",F263-TODAY())</f>
        <v/>
      </c>
      <c r="J263" s="17" t="str">
        <f aca="false">IF(I263="","",IF(I263&lt;0,"Vadesi geçti",IF(I263&lt;=7,"Bu hafta","")))</f>
        <v/>
      </c>
      <c r="K263" s="19" t="n">
        <f aca="false">IF(H263="Bekliyor",G263,0)</f>
        <v>0</v>
      </c>
    </row>
    <row r="264" customFormat="false" ht="15" hidden="false" customHeight="false" outlineLevel="0" collapsed="false">
      <c r="A264" s="12"/>
      <c r="B264" s="12"/>
      <c r="C264" s="13"/>
      <c r="D264" s="13"/>
      <c r="E264" s="13"/>
      <c r="F264" s="14"/>
      <c r="G264" s="15"/>
      <c r="H264" s="12"/>
      <c r="I264" s="16" t="str">
        <f aca="true">IF(OR(F264="",H264&lt;&gt;"Bekliyor"),"",F264-TODAY())</f>
        <v/>
      </c>
      <c r="J264" s="17" t="str">
        <f aca="false">IF(I264="","",IF(I264&lt;0,"Vadesi geçti",IF(I264&lt;=7,"Bu hafta","")))</f>
        <v/>
      </c>
      <c r="K264" s="19" t="n">
        <f aca="false">IF(H264="Bekliyor",G264,0)</f>
        <v>0</v>
      </c>
    </row>
    <row r="265" customFormat="false" ht="15" hidden="false" customHeight="false" outlineLevel="0" collapsed="false">
      <c r="A265" s="12"/>
      <c r="B265" s="12"/>
      <c r="C265" s="13"/>
      <c r="D265" s="13"/>
      <c r="E265" s="13"/>
      <c r="F265" s="14"/>
      <c r="G265" s="15"/>
      <c r="H265" s="12"/>
      <c r="I265" s="16" t="str">
        <f aca="true">IF(OR(F265="",H265&lt;&gt;"Bekliyor"),"",F265-TODAY())</f>
        <v/>
      </c>
      <c r="J265" s="17" t="str">
        <f aca="false">IF(I265="","",IF(I265&lt;0,"Vadesi geçti",IF(I265&lt;=7,"Bu hafta","")))</f>
        <v/>
      </c>
      <c r="K265" s="19" t="n">
        <f aca="false">IF(H265="Bekliyor",G265,0)</f>
        <v>0</v>
      </c>
    </row>
    <row r="266" customFormat="false" ht="15" hidden="false" customHeight="false" outlineLevel="0" collapsed="false">
      <c r="A266" s="12"/>
      <c r="B266" s="12"/>
      <c r="C266" s="13"/>
      <c r="D266" s="13"/>
      <c r="E266" s="13"/>
      <c r="F266" s="14"/>
      <c r="G266" s="15"/>
      <c r="H266" s="12"/>
      <c r="I266" s="16" t="str">
        <f aca="true">IF(OR(F266="",H266&lt;&gt;"Bekliyor"),"",F266-TODAY())</f>
        <v/>
      </c>
      <c r="J266" s="17" t="str">
        <f aca="false">IF(I266="","",IF(I266&lt;0,"Vadesi geçti",IF(I266&lt;=7,"Bu hafta","")))</f>
        <v/>
      </c>
      <c r="K266" s="19" t="n">
        <f aca="false">IF(H266="Bekliyor",G266,0)</f>
        <v>0</v>
      </c>
    </row>
    <row r="267" customFormat="false" ht="15" hidden="false" customHeight="false" outlineLevel="0" collapsed="false">
      <c r="A267" s="12"/>
      <c r="B267" s="12"/>
      <c r="C267" s="13"/>
      <c r="D267" s="13"/>
      <c r="E267" s="13"/>
      <c r="F267" s="14"/>
      <c r="G267" s="15"/>
      <c r="H267" s="12"/>
      <c r="I267" s="16" t="str">
        <f aca="true">IF(OR(F267="",H267&lt;&gt;"Bekliyor"),"",F267-TODAY())</f>
        <v/>
      </c>
      <c r="J267" s="17" t="str">
        <f aca="false">IF(I267="","",IF(I267&lt;0,"Vadesi geçti",IF(I267&lt;=7,"Bu hafta","")))</f>
        <v/>
      </c>
      <c r="K267" s="19" t="n">
        <f aca="false">IF(H267="Bekliyor",G267,0)</f>
        <v>0</v>
      </c>
    </row>
    <row r="268" customFormat="false" ht="15" hidden="false" customHeight="false" outlineLevel="0" collapsed="false">
      <c r="A268" s="12"/>
      <c r="B268" s="12"/>
      <c r="C268" s="13"/>
      <c r="D268" s="13"/>
      <c r="E268" s="13"/>
      <c r="F268" s="14"/>
      <c r="G268" s="15"/>
      <c r="H268" s="12"/>
      <c r="I268" s="16" t="str">
        <f aca="true">IF(OR(F268="",H268&lt;&gt;"Bekliyor"),"",F268-TODAY())</f>
        <v/>
      </c>
      <c r="J268" s="17" t="str">
        <f aca="false">IF(I268="","",IF(I268&lt;0,"Vadesi geçti",IF(I268&lt;=7,"Bu hafta","")))</f>
        <v/>
      </c>
      <c r="K268" s="19" t="n">
        <f aca="false">IF(H268="Bekliyor",G268,0)</f>
        <v>0</v>
      </c>
    </row>
    <row r="269" customFormat="false" ht="15" hidden="false" customHeight="false" outlineLevel="0" collapsed="false">
      <c r="A269" s="12"/>
      <c r="B269" s="12"/>
      <c r="C269" s="13"/>
      <c r="D269" s="13"/>
      <c r="E269" s="13"/>
      <c r="F269" s="14"/>
      <c r="G269" s="15"/>
      <c r="H269" s="12"/>
      <c r="I269" s="16" t="str">
        <f aca="true">IF(OR(F269="",H269&lt;&gt;"Bekliyor"),"",F269-TODAY())</f>
        <v/>
      </c>
      <c r="J269" s="17" t="str">
        <f aca="false">IF(I269="","",IF(I269&lt;0,"Vadesi geçti",IF(I269&lt;=7,"Bu hafta","")))</f>
        <v/>
      </c>
      <c r="K269" s="19" t="n">
        <f aca="false">IF(H269="Bekliyor",G269,0)</f>
        <v>0</v>
      </c>
    </row>
    <row r="270" customFormat="false" ht="15" hidden="false" customHeight="false" outlineLevel="0" collapsed="false">
      <c r="A270" s="12"/>
      <c r="B270" s="12"/>
      <c r="C270" s="13"/>
      <c r="D270" s="13"/>
      <c r="E270" s="13"/>
      <c r="F270" s="14"/>
      <c r="G270" s="15"/>
      <c r="H270" s="12"/>
      <c r="I270" s="16" t="str">
        <f aca="true">IF(OR(F270="",H270&lt;&gt;"Bekliyor"),"",F270-TODAY())</f>
        <v/>
      </c>
      <c r="J270" s="17" t="str">
        <f aca="false">IF(I270="","",IF(I270&lt;0,"Vadesi geçti",IF(I270&lt;=7,"Bu hafta","")))</f>
        <v/>
      </c>
      <c r="K270" s="19" t="n">
        <f aca="false">IF(H270="Bekliyor",G270,0)</f>
        <v>0</v>
      </c>
    </row>
    <row r="271" customFormat="false" ht="15" hidden="false" customHeight="false" outlineLevel="0" collapsed="false">
      <c r="A271" s="12"/>
      <c r="B271" s="12"/>
      <c r="C271" s="13"/>
      <c r="D271" s="13"/>
      <c r="E271" s="13"/>
      <c r="F271" s="14"/>
      <c r="G271" s="15"/>
      <c r="H271" s="12"/>
      <c r="I271" s="16" t="str">
        <f aca="true">IF(OR(F271="",H271&lt;&gt;"Bekliyor"),"",F271-TODAY())</f>
        <v/>
      </c>
      <c r="J271" s="17" t="str">
        <f aca="false">IF(I271="","",IF(I271&lt;0,"Vadesi geçti",IF(I271&lt;=7,"Bu hafta","")))</f>
        <v/>
      </c>
      <c r="K271" s="19" t="n">
        <f aca="false">IF(H271="Bekliyor",G271,0)</f>
        <v>0</v>
      </c>
    </row>
    <row r="272" customFormat="false" ht="15" hidden="false" customHeight="false" outlineLevel="0" collapsed="false">
      <c r="A272" s="12"/>
      <c r="B272" s="12"/>
      <c r="C272" s="13"/>
      <c r="D272" s="13"/>
      <c r="E272" s="13"/>
      <c r="F272" s="14"/>
      <c r="G272" s="15"/>
      <c r="H272" s="12"/>
      <c r="I272" s="16" t="str">
        <f aca="true">IF(OR(F272="",H272&lt;&gt;"Bekliyor"),"",F272-TODAY())</f>
        <v/>
      </c>
      <c r="J272" s="17" t="str">
        <f aca="false">IF(I272="","",IF(I272&lt;0,"Vadesi geçti",IF(I272&lt;=7,"Bu hafta","")))</f>
        <v/>
      </c>
      <c r="K272" s="19" t="n">
        <f aca="false">IF(H272="Bekliyor",G272,0)</f>
        <v>0</v>
      </c>
    </row>
    <row r="273" customFormat="false" ht="15" hidden="false" customHeight="false" outlineLevel="0" collapsed="false">
      <c r="A273" s="12"/>
      <c r="B273" s="12"/>
      <c r="C273" s="13"/>
      <c r="D273" s="13"/>
      <c r="E273" s="13"/>
      <c r="F273" s="14"/>
      <c r="G273" s="15"/>
      <c r="H273" s="12"/>
      <c r="I273" s="16" t="str">
        <f aca="true">IF(OR(F273="",H273&lt;&gt;"Bekliyor"),"",F273-TODAY())</f>
        <v/>
      </c>
      <c r="J273" s="17" t="str">
        <f aca="false">IF(I273="","",IF(I273&lt;0,"Vadesi geçti",IF(I273&lt;=7,"Bu hafta","")))</f>
        <v/>
      </c>
      <c r="K273" s="19" t="n">
        <f aca="false">IF(H273="Bekliyor",G273,0)</f>
        <v>0</v>
      </c>
    </row>
    <row r="274" customFormat="false" ht="15" hidden="false" customHeight="false" outlineLevel="0" collapsed="false">
      <c r="A274" s="12"/>
      <c r="B274" s="12"/>
      <c r="C274" s="13"/>
      <c r="D274" s="13"/>
      <c r="E274" s="13"/>
      <c r="F274" s="14"/>
      <c r="G274" s="15"/>
      <c r="H274" s="12"/>
      <c r="I274" s="16" t="str">
        <f aca="true">IF(OR(F274="",H274&lt;&gt;"Bekliyor"),"",F274-TODAY())</f>
        <v/>
      </c>
      <c r="J274" s="17" t="str">
        <f aca="false">IF(I274="","",IF(I274&lt;0,"Vadesi geçti",IF(I274&lt;=7,"Bu hafta","")))</f>
        <v/>
      </c>
      <c r="K274" s="19" t="n">
        <f aca="false">IF(H274="Bekliyor",G274,0)</f>
        <v>0</v>
      </c>
    </row>
    <row r="275" customFormat="false" ht="15" hidden="false" customHeight="false" outlineLevel="0" collapsed="false">
      <c r="A275" s="12"/>
      <c r="B275" s="12"/>
      <c r="C275" s="13"/>
      <c r="D275" s="13"/>
      <c r="E275" s="13"/>
      <c r="F275" s="14"/>
      <c r="G275" s="15"/>
      <c r="H275" s="12"/>
      <c r="I275" s="16" t="str">
        <f aca="true">IF(OR(F275="",H275&lt;&gt;"Bekliyor"),"",F275-TODAY())</f>
        <v/>
      </c>
      <c r="J275" s="17" t="str">
        <f aca="false">IF(I275="","",IF(I275&lt;0,"Vadesi geçti",IF(I275&lt;=7,"Bu hafta","")))</f>
        <v/>
      </c>
      <c r="K275" s="19" t="n">
        <f aca="false">IF(H275="Bekliyor",G275,0)</f>
        <v>0</v>
      </c>
    </row>
    <row r="276" customFormat="false" ht="15" hidden="false" customHeight="false" outlineLevel="0" collapsed="false">
      <c r="A276" s="12"/>
      <c r="B276" s="12"/>
      <c r="C276" s="13"/>
      <c r="D276" s="13"/>
      <c r="E276" s="13"/>
      <c r="F276" s="14"/>
      <c r="G276" s="15"/>
      <c r="H276" s="12"/>
      <c r="I276" s="16" t="str">
        <f aca="true">IF(OR(F276="",H276&lt;&gt;"Bekliyor"),"",F276-TODAY())</f>
        <v/>
      </c>
      <c r="J276" s="17" t="str">
        <f aca="false">IF(I276="","",IF(I276&lt;0,"Vadesi geçti",IF(I276&lt;=7,"Bu hafta","")))</f>
        <v/>
      </c>
      <c r="K276" s="19" t="n">
        <f aca="false">IF(H276="Bekliyor",G276,0)</f>
        <v>0</v>
      </c>
    </row>
    <row r="277" customFormat="false" ht="15" hidden="false" customHeight="false" outlineLevel="0" collapsed="false">
      <c r="A277" s="12"/>
      <c r="B277" s="12"/>
      <c r="C277" s="13"/>
      <c r="D277" s="13"/>
      <c r="E277" s="13"/>
      <c r="F277" s="14"/>
      <c r="G277" s="15"/>
      <c r="H277" s="12"/>
      <c r="I277" s="16" t="str">
        <f aca="true">IF(OR(F277="",H277&lt;&gt;"Bekliyor"),"",F277-TODAY())</f>
        <v/>
      </c>
      <c r="J277" s="17" t="str">
        <f aca="false">IF(I277="","",IF(I277&lt;0,"Vadesi geçti",IF(I277&lt;=7,"Bu hafta","")))</f>
        <v/>
      </c>
      <c r="K277" s="19" t="n">
        <f aca="false">IF(H277="Bekliyor",G277,0)</f>
        <v>0</v>
      </c>
    </row>
    <row r="278" customFormat="false" ht="15" hidden="false" customHeight="false" outlineLevel="0" collapsed="false">
      <c r="A278" s="12"/>
      <c r="B278" s="12"/>
      <c r="C278" s="13"/>
      <c r="D278" s="13"/>
      <c r="E278" s="13"/>
      <c r="F278" s="14"/>
      <c r="G278" s="15"/>
      <c r="H278" s="12"/>
      <c r="I278" s="16" t="str">
        <f aca="true">IF(OR(F278="",H278&lt;&gt;"Bekliyor"),"",F278-TODAY())</f>
        <v/>
      </c>
      <c r="J278" s="17" t="str">
        <f aca="false">IF(I278="","",IF(I278&lt;0,"Vadesi geçti",IF(I278&lt;=7,"Bu hafta","")))</f>
        <v/>
      </c>
      <c r="K278" s="19" t="n">
        <f aca="false">IF(H278="Bekliyor",G278,0)</f>
        <v>0</v>
      </c>
    </row>
    <row r="279" customFormat="false" ht="15" hidden="false" customHeight="false" outlineLevel="0" collapsed="false">
      <c r="A279" s="12"/>
      <c r="B279" s="12"/>
      <c r="C279" s="13"/>
      <c r="D279" s="13"/>
      <c r="E279" s="13"/>
      <c r="F279" s="14"/>
      <c r="G279" s="15"/>
      <c r="H279" s="12"/>
      <c r="I279" s="16" t="str">
        <f aca="true">IF(OR(F279="",H279&lt;&gt;"Bekliyor"),"",F279-TODAY())</f>
        <v/>
      </c>
      <c r="J279" s="17" t="str">
        <f aca="false">IF(I279="","",IF(I279&lt;0,"Vadesi geçti",IF(I279&lt;=7,"Bu hafta","")))</f>
        <v/>
      </c>
      <c r="K279" s="19" t="n">
        <f aca="false">IF(H279="Bekliyor",G279,0)</f>
        <v>0</v>
      </c>
    </row>
    <row r="280" customFormat="false" ht="15" hidden="false" customHeight="false" outlineLevel="0" collapsed="false">
      <c r="A280" s="12"/>
      <c r="B280" s="12"/>
      <c r="C280" s="13"/>
      <c r="D280" s="13"/>
      <c r="E280" s="13"/>
      <c r="F280" s="14"/>
      <c r="G280" s="15"/>
      <c r="H280" s="12"/>
      <c r="I280" s="16" t="str">
        <f aca="true">IF(OR(F280="",H280&lt;&gt;"Bekliyor"),"",F280-TODAY())</f>
        <v/>
      </c>
      <c r="J280" s="17" t="str">
        <f aca="false">IF(I280="","",IF(I280&lt;0,"Vadesi geçti",IF(I280&lt;=7,"Bu hafta","")))</f>
        <v/>
      </c>
      <c r="K280" s="19" t="n">
        <f aca="false">IF(H280="Bekliyor",G280,0)</f>
        <v>0</v>
      </c>
    </row>
    <row r="281" customFormat="false" ht="15" hidden="false" customHeight="false" outlineLevel="0" collapsed="false">
      <c r="A281" s="12"/>
      <c r="B281" s="12"/>
      <c r="C281" s="13"/>
      <c r="D281" s="13"/>
      <c r="E281" s="13"/>
      <c r="F281" s="14"/>
      <c r="G281" s="15"/>
      <c r="H281" s="12"/>
      <c r="I281" s="16" t="str">
        <f aca="true">IF(OR(F281="",H281&lt;&gt;"Bekliyor"),"",F281-TODAY())</f>
        <v/>
      </c>
      <c r="J281" s="17" t="str">
        <f aca="false">IF(I281="","",IF(I281&lt;0,"Vadesi geçti",IF(I281&lt;=7,"Bu hafta","")))</f>
        <v/>
      </c>
      <c r="K281" s="19" t="n">
        <f aca="false">IF(H281="Bekliyor",G281,0)</f>
        <v>0</v>
      </c>
    </row>
    <row r="282" customFormat="false" ht="15" hidden="false" customHeight="false" outlineLevel="0" collapsed="false">
      <c r="A282" s="12"/>
      <c r="B282" s="12"/>
      <c r="C282" s="13"/>
      <c r="D282" s="13"/>
      <c r="E282" s="13"/>
      <c r="F282" s="14"/>
      <c r="G282" s="15"/>
      <c r="H282" s="12"/>
      <c r="I282" s="16" t="str">
        <f aca="true">IF(OR(F282="",H282&lt;&gt;"Bekliyor"),"",F282-TODAY())</f>
        <v/>
      </c>
      <c r="J282" s="17" t="str">
        <f aca="false">IF(I282="","",IF(I282&lt;0,"Vadesi geçti",IF(I282&lt;=7,"Bu hafta","")))</f>
        <v/>
      </c>
      <c r="K282" s="19" t="n">
        <f aca="false">IF(H282="Bekliyor",G282,0)</f>
        <v>0</v>
      </c>
    </row>
    <row r="283" customFormat="false" ht="15" hidden="false" customHeight="false" outlineLevel="0" collapsed="false">
      <c r="A283" s="12"/>
      <c r="B283" s="12"/>
      <c r="C283" s="13"/>
      <c r="D283" s="13"/>
      <c r="E283" s="13"/>
      <c r="F283" s="14"/>
      <c r="G283" s="15"/>
      <c r="H283" s="12"/>
      <c r="I283" s="16" t="str">
        <f aca="true">IF(OR(F283="",H283&lt;&gt;"Bekliyor"),"",F283-TODAY())</f>
        <v/>
      </c>
      <c r="J283" s="17" t="str">
        <f aca="false">IF(I283="","",IF(I283&lt;0,"Vadesi geçti",IF(I283&lt;=7,"Bu hafta","")))</f>
        <v/>
      </c>
      <c r="K283" s="19" t="n">
        <f aca="false">IF(H283="Bekliyor",G283,0)</f>
        <v>0</v>
      </c>
    </row>
    <row r="284" customFormat="false" ht="15" hidden="false" customHeight="false" outlineLevel="0" collapsed="false">
      <c r="A284" s="12"/>
      <c r="B284" s="12"/>
      <c r="C284" s="13"/>
      <c r="D284" s="13"/>
      <c r="E284" s="13"/>
      <c r="F284" s="14"/>
      <c r="G284" s="15"/>
      <c r="H284" s="12"/>
      <c r="I284" s="16" t="str">
        <f aca="true">IF(OR(F284="",H284&lt;&gt;"Bekliyor"),"",F284-TODAY())</f>
        <v/>
      </c>
      <c r="J284" s="17" t="str">
        <f aca="false">IF(I284="","",IF(I284&lt;0,"Vadesi geçti",IF(I284&lt;=7,"Bu hafta","")))</f>
        <v/>
      </c>
      <c r="K284" s="19" t="n">
        <f aca="false">IF(H284="Bekliyor",G284,0)</f>
        <v>0</v>
      </c>
    </row>
    <row r="285" customFormat="false" ht="15" hidden="false" customHeight="false" outlineLevel="0" collapsed="false">
      <c r="A285" s="12"/>
      <c r="B285" s="12"/>
      <c r="C285" s="13"/>
      <c r="D285" s="13"/>
      <c r="E285" s="13"/>
      <c r="F285" s="14"/>
      <c r="G285" s="15"/>
      <c r="H285" s="12"/>
      <c r="I285" s="16" t="str">
        <f aca="true">IF(OR(F285="",H285&lt;&gt;"Bekliyor"),"",F285-TODAY())</f>
        <v/>
      </c>
      <c r="J285" s="17" t="str">
        <f aca="false">IF(I285="","",IF(I285&lt;0,"Vadesi geçti",IF(I285&lt;=7,"Bu hafta","")))</f>
        <v/>
      </c>
      <c r="K285" s="19" t="n">
        <f aca="false">IF(H285="Bekliyor",G285,0)</f>
        <v>0</v>
      </c>
    </row>
    <row r="286" customFormat="false" ht="15" hidden="false" customHeight="false" outlineLevel="0" collapsed="false">
      <c r="A286" s="12"/>
      <c r="B286" s="12"/>
      <c r="C286" s="13"/>
      <c r="D286" s="13"/>
      <c r="E286" s="13"/>
      <c r="F286" s="14"/>
      <c r="G286" s="15"/>
      <c r="H286" s="12"/>
      <c r="I286" s="16" t="str">
        <f aca="true">IF(OR(F286="",H286&lt;&gt;"Bekliyor"),"",F286-TODAY())</f>
        <v/>
      </c>
      <c r="J286" s="17" t="str">
        <f aca="false">IF(I286="","",IF(I286&lt;0,"Vadesi geçti",IF(I286&lt;=7,"Bu hafta","")))</f>
        <v/>
      </c>
      <c r="K286" s="19" t="n">
        <f aca="false">IF(H286="Bekliyor",G286,0)</f>
        <v>0</v>
      </c>
    </row>
    <row r="287" customFormat="false" ht="15" hidden="false" customHeight="false" outlineLevel="0" collapsed="false">
      <c r="A287" s="12"/>
      <c r="B287" s="12"/>
      <c r="C287" s="13"/>
      <c r="D287" s="13"/>
      <c r="E287" s="13"/>
      <c r="F287" s="14"/>
      <c r="G287" s="15"/>
      <c r="H287" s="12"/>
      <c r="I287" s="16" t="str">
        <f aca="true">IF(OR(F287="",H287&lt;&gt;"Bekliyor"),"",F287-TODAY())</f>
        <v/>
      </c>
      <c r="J287" s="17" t="str">
        <f aca="false">IF(I287="","",IF(I287&lt;0,"Vadesi geçti",IF(I287&lt;=7,"Bu hafta","")))</f>
        <v/>
      </c>
      <c r="K287" s="19" t="n">
        <f aca="false">IF(H287="Bekliyor",G287,0)</f>
        <v>0</v>
      </c>
    </row>
    <row r="288" customFormat="false" ht="15" hidden="false" customHeight="false" outlineLevel="0" collapsed="false">
      <c r="A288" s="12"/>
      <c r="B288" s="12"/>
      <c r="C288" s="13"/>
      <c r="D288" s="13"/>
      <c r="E288" s="13"/>
      <c r="F288" s="14"/>
      <c r="G288" s="15"/>
      <c r="H288" s="12"/>
      <c r="I288" s="16" t="str">
        <f aca="true">IF(OR(F288="",H288&lt;&gt;"Bekliyor"),"",F288-TODAY())</f>
        <v/>
      </c>
      <c r="J288" s="17" t="str">
        <f aca="false">IF(I288="","",IF(I288&lt;0,"Vadesi geçti",IF(I288&lt;=7,"Bu hafta","")))</f>
        <v/>
      </c>
      <c r="K288" s="19" t="n">
        <f aca="false">IF(H288="Bekliyor",G288,0)</f>
        <v>0</v>
      </c>
    </row>
    <row r="289" customFormat="false" ht="15" hidden="false" customHeight="false" outlineLevel="0" collapsed="false">
      <c r="A289" s="12"/>
      <c r="B289" s="12"/>
      <c r="C289" s="13"/>
      <c r="D289" s="13"/>
      <c r="E289" s="13"/>
      <c r="F289" s="14"/>
      <c r="G289" s="15"/>
      <c r="H289" s="12"/>
      <c r="I289" s="16" t="str">
        <f aca="true">IF(OR(F289="",H289&lt;&gt;"Bekliyor"),"",F289-TODAY())</f>
        <v/>
      </c>
      <c r="J289" s="17" t="str">
        <f aca="false">IF(I289="","",IF(I289&lt;0,"Vadesi geçti",IF(I289&lt;=7,"Bu hafta","")))</f>
        <v/>
      </c>
      <c r="K289" s="19" t="n">
        <f aca="false">IF(H289="Bekliyor",G289,0)</f>
        <v>0</v>
      </c>
    </row>
    <row r="290" customFormat="false" ht="15" hidden="false" customHeight="false" outlineLevel="0" collapsed="false">
      <c r="A290" s="12"/>
      <c r="B290" s="12"/>
      <c r="C290" s="13"/>
      <c r="D290" s="13"/>
      <c r="E290" s="13"/>
      <c r="F290" s="14"/>
      <c r="G290" s="15"/>
      <c r="H290" s="12"/>
      <c r="I290" s="16" t="str">
        <f aca="true">IF(OR(F290="",H290&lt;&gt;"Bekliyor"),"",F290-TODAY())</f>
        <v/>
      </c>
      <c r="J290" s="17" t="str">
        <f aca="false">IF(I290="","",IF(I290&lt;0,"Vadesi geçti",IF(I290&lt;=7,"Bu hafta","")))</f>
        <v/>
      </c>
      <c r="K290" s="19" t="n">
        <f aca="false">IF(H290="Bekliyor",G290,0)</f>
        <v>0</v>
      </c>
    </row>
    <row r="291" customFormat="false" ht="15" hidden="false" customHeight="false" outlineLevel="0" collapsed="false">
      <c r="A291" s="12"/>
      <c r="B291" s="12"/>
      <c r="C291" s="13"/>
      <c r="D291" s="13"/>
      <c r="E291" s="13"/>
      <c r="F291" s="14"/>
      <c r="G291" s="15"/>
      <c r="H291" s="12"/>
      <c r="I291" s="16" t="str">
        <f aca="true">IF(OR(F291="",H291&lt;&gt;"Bekliyor"),"",F291-TODAY())</f>
        <v/>
      </c>
      <c r="J291" s="17" t="str">
        <f aca="false">IF(I291="","",IF(I291&lt;0,"Vadesi geçti",IF(I291&lt;=7,"Bu hafta","")))</f>
        <v/>
      </c>
      <c r="K291" s="19" t="n">
        <f aca="false">IF(H291="Bekliyor",G291,0)</f>
        <v>0</v>
      </c>
    </row>
    <row r="292" customFormat="false" ht="15" hidden="false" customHeight="false" outlineLevel="0" collapsed="false">
      <c r="A292" s="12"/>
      <c r="B292" s="12"/>
      <c r="C292" s="13"/>
      <c r="D292" s="13"/>
      <c r="E292" s="13"/>
      <c r="F292" s="14"/>
      <c r="G292" s="15"/>
      <c r="H292" s="12"/>
      <c r="I292" s="16" t="str">
        <f aca="true">IF(OR(F292="",H292&lt;&gt;"Bekliyor"),"",F292-TODAY())</f>
        <v/>
      </c>
      <c r="J292" s="17" t="str">
        <f aca="false">IF(I292="","",IF(I292&lt;0,"Vadesi geçti",IF(I292&lt;=7,"Bu hafta","")))</f>
        <v/>
      </c>
      <c r="K292" s="19" t="n">
        <f aca="false">IF(H292="Bekliyor",G292,0)</f>
        <v>0</v>
      </c>
    </row>
    <row r="293" customFormat="false" ht="15" hidden="false" customHeight="false" outlineLevel="0" collapsed="false">
      <c r="A293" s="12"/>
      <c r="B293" s="12"/>
      <c r="C293" s="13"/>
      <c r="D293" s="13"/>
      <c r="E293" s="13"/>
      <c r="F293" s="14"/>
      <c r="G293" s="15"/>
      <c r="H293" s="12"/>
      <c r="I293" s="16" t="str">
        <f aca="true">IF(OR(F293="",H293&lt;&gt;"Bekliyor"),"",F293-TODAY())</f>
        <v/>
      </c>
      <c r="J293" s="17" t="str">
        <f aca="false">IF(I293="","",IF(I293&lt;0,"Vadesi geçti",IF(I293&lt;=7,"Bu hafta","")))</f>
        <v/>
      </c>
      <c r="K293" s="19" t="n">
        <f aca="false">IF(H293="Bekliyor",G293,0)</f>
        <v>0</v>
      </c>
    </row>
    <row r="294" customFormat="false" ht="15" hidden="false" customHeight="false" outlineLevel="0" collapsed="false">
      <c r="A294" s="12"/>
      <c r="B294" s="12"/>
      <c r="C294" s="13"/>
      <c r="D294" s="13"/>
      <c r="E294" s="13"/>
      <c r="F294" s="14"/>
      <c r="G294" s="15"/>
      <c r="H294" s="12"/>
      <c r="I294" s="16" t="str">
        <f aca="true">IF(OR(F294="",H294&lt;&gt;"Bekliyor"),"",F294-TODAY())</f>
        <v/>
      </c>
      <c r="J294" s="17" t="str">
        <f aca="false">IF(I294="","",IF(I294&lt;0,"Vadesi geçti",IF(I294&lt;=7,"Bu hafta","")))</f>
        <v/>
      </c>
      <c r="K294" s="19" t="n">
        <f aca="false">IF(H294="Bekliyor",G294,0)</f>
        <v>0</v>
      </c>
    </row>
    <row r="295" customFormat="false" ht="15" hidden="false" customHeight="false" outlineLevel="0" collapsed="false">
      <c r="A295" s="12"/>
      <c r="B295" s="12"/>
      <c r="C295" s="13"/>
      <c r="D295" s="13"/>
      <c r="E295" s="13"/>
      <c r="F295" s="14"/>
      <c r="G295" s="15"/>
      <c r="H295" s="12"/>
      <c r="I295" s="16" t="str">
        <f aca="true">IF(OR(F295="",H295&lt;&gt;"Bekliyor"),"",F295-TODAY())</f>
        <v/>
      </c>
      <c r="J295" s="17" t="str">
        <f aca="false">IF(I295="","",IF(I295&lt;0,"Vadesi geçti",IF(I295&lt;=7,"Bu hafta","")))</f>
        <v/>
      </c>
      <c r="K295" s="19" t="n">
        <f aca="false">IF(H295="Bekliyor",G295,0)</f>
        <v>0</v>
      </c>
    </row>
    <row r="296" customFormat="false" ht="15" hidden="false" customHeight="false" outlineLevel="0" collapsed="false">
      <c r="A296" s="12"/>
      <c r="B296" s="12"/>
      <c r="C296" s="13"/>
      <c r="D296" s="13"/>
      <c r="E296" s="13"/>
      <c r="F296" s="14"/>
      <c r="G296" s="15"/>
      <c r="H296" s="12"/>
      <c r="I296" s="16" t="str">
        <f aca="true">IF(OR(F296="",H296&lt;&gt;"Bekliyor"),"",F296-TODAY())</f>
        <v/>
      </c>
      <c r="J296" s="17" t="str">
        <f aca="false">IF(I296="","",IF(I296&lt;0,"Vadesi geçti",IF(I296&lt;=7,"Bu hafta","")))</f>
        <v/>
      </c>
      <c r="K296" s="19" t="n">
        <f aca="false">IF(H296="Bekliyor",G296,0)</f>
        <v>0</v>
      </c>
    </row>
    <row r="297" customFormat="false" ht="15" hidden="false" customHeight="false" outlineLevel="0" collapsed="false">
      <c r="A297" s="12"/>
      <c r="B297" s="12"/>
      <c r="C297" s="13"/>
      <c r="D297" s="13"/>
      <c r="E297" s="13"/>
      <c r="F297" s="14"/>
      <c r="G297" s="15"/>
      <c r="H297" s="12"/>
      <c r="I297" s="16" t="str">
        <f aca="true">IF(OR(F297="",H297&lt;&gt;"Bekliyor"),"",F297-TODAY())</f>
        <v/>
      </c>
      <c r="J297" s="17" t="str">
        <f aca="false">IF(I297="","",IF(I297&lt;0,"Vadesi geçti",IF(I297&lt;=7,"Bu hafta","")))</f>
        <v/>
      </c>
      <c r="K297" s="19" t="n">
        <f aca="false">IF(H297="Bekliyor",G297,0)</f>
        <v>0</v>
      </c>
    </row>
    <row r="298" customFormat="false" ht="15" hidden="false" customHeight="false" outlineLevel="0" collapsed="false">
      <c r="A298" s="12"/>
      <c r="B298" s="12"/>
      <c r="C298" s="13"/>
      <c r="D298" s="13"/>
      <c r="E298" s="13"/>
      <c r="F298" s="14"/>
      <c r="G298" s="15"/>
      <c r="H298" s="12"/>
      <c r="I298" s="16" t="str">
        <f aca="true">IF(OR(F298="",H298&lt;&gt;"Bekliyor"),"",F298-TODAY())</f>
        <v/>
      </c>
      <c r="J298" s="17" t="str">
        <f aca="false">IF(I298="","",IF(I298&lt;0,"Vadesi geçti",IF(I298&lt;=7,"Bu hafta","")))</f>
        <v/>
      </c>
      <c r="K298" s="19" t="n">
        <f aca="false">IF(H298="Bekliyor",G298,0)</f>
        <v>0</v>
      </c>
    </row>
    <row r="299" customFormat="false" ht="15" hidden="false" customHeight="false" outlineLevel="0" collapsed="false">
      <c r="A299" s="12"/>
      <c r="B299" s="12"/>
      <c r="C299" s="13"/>
      <c r="D299" s="13"/>
      <c r="E299" s="13"/>
      <c r="F299" s="14"/>
      <c r="G299" s="15"/>
      <c r="H299" s="12"/>
      <c r="I299" s="16" t="str">
        <f aca="true">IF(OR(F299="",H299&lt;&gt;"Bekliyor"),"",F299-TODAY())</f>
        <v/>
      </c>
      <c r="J299" s="17" t="str">
        <f aca="false">IF(I299="","",IF(I299&lt;0,"Vadesi geçti",IF(I299&lt;=7,"Bu hafta","")))</f>
        <v/>
      </c>
      <c r="K299" s="19" t="n">
        <f aca="false">IF(H299="Bekliyor",G299,0)</f>
        <v>0</v>
      </c>
    </row>
    <row r="300" customFormat="false" ht="15" hidden="false" customHeight="false" outlineLevel="0" collapsed="false">
      <c r="A300" s="12"/>
      <c r="B300" s="12"/>
      <c r="C300" s="13"/>
      <c r="D300" s="13"/>
      <c r="E300" s="13"/>
      <c r="F300" s="14"/>
      <c r="G300" s="15"/>
      <c r="H300" s="12"/>
      <c r="I300" s="16" t="str">
        <f aca="true">IF(OR(F300="",H300&lt;&gt;"Bekliyor"),"",F300-TODAY())</f>
        <v/>
      </c>
      <c r="J300" s="17" t="str">
        <f aca="false">IF(I300="","",IF(I300&lt;0,"Vadesi geçti",IF(I300&lt;=7,"Bu hafta","")))</f>
        <v/>
      </c>
      <c r="K300" s="19" t="n">
        <f aca="false">IF(H300="Bekliyor",G300,0)</f>
        <v>0</v>
      </c>
    </row>
    <row r="301" customFormat="false" ht="15" hidden="false" customHeight="false" outlineLevel="0" collapsed="false">
      <c r="A301" s="12"/>
      <c r="B301" s="12"/>
      <c r="C301" s="13"/>
      <c r="D301" s="13"/>
      <c r="E301" s="13"/>
      <c r="F301" s="14"/>
      <c r="G301" s="15"/>
      <c r="H301" s="12"/>
      <c r="I301" s="16" t="str">
        <f aca="true">IF(OR(F301="",H301&lt;&gt;"Bekliyor"),"",F301-TODAY())</f>
        <v/>
      </c>
      <c r="J301" s="17" t="str">
        <f aca="false">IF(I301="","",IF(I301&lt;0,"Vadesi geçti",IF(I301&lt;=7,"Bu hafta","")))</f>
        <v/>
      </c>
      <c r="K301" s="19" t="n">
        <f aca="false">IF(H301="Bekliyor",G301,0)</f>
        <v>0</v>
      </c>
    </row>
    <row r="302" customFormat="false" ht="15" hidden="false" customHeight="false" outlineLevel="0" collapsed="false">
      <c r="A302" s="12"/>
      <c r="B302" s="12"/>
      <c r="C302" s="13"/>
      <c r="D302" s="13"/>
      <c r="E302" s="13"/>
      <c r="F302" s="14"/>
      <c r="G302" s="15"/>
      <c r="H302" s="12"/>
      <c r="I302" s="16" t="str">
        <f aca="true">IF(OR(F302="",H302&lt;&gt;"Bekliyor"),"",F302-TODAY())</f>
        <v/>
      </c>
      <c r="J302" s="17" t="str">
        <f aca="false">IF(I302="","",IF(I302&lt;0,"Vadesi geçti",IF(I302&lt;=7,"Bu hafta","")))</f>
        <v/>
      </c>
      <c r="K302" s="19" t="n">
        <f aca="false">IF(H302="Bekliyor",G302,0)</f>
        <v>0</v>
      </c>
    </row>
    <row r="303" customFormat="false" ht="15" hidden="false" customHeight="false" outlineLevel="0" collapsed="false">
      <c r="A303" s="12"/>
      <c r="B303" s="12"/>
      <c r="C303" s="13"/>
      <c r="D303" s="13"/>
      <c r="E303" s="13"/>
      <c r="F303" s="14"/>
      <c r="G303" s="15"/>
      <c r="H303" s="12"/>
      <c r="I303" s="16" t="str">
        <f aca="true">IF(OR(F303="",H303&lt;&gt;"Bekliyor"),"",F303-TODAY())</f>
        <v/>
      </c>
      <c r="J303" s="17" t="str">
        <f aca="false">IF(I303="","",IF(I303&lt;0,"Vadesi geçti",IF(I303&lt;=7,"Bu hafta","")))</f>
        <v/>
      </c>
      <c r="K303" s="19" t="n">
        <f aca="false">IF(H303="Bekliyor",G303,0)</f>
        <v>0</v>
      </c>
    </row>
    <row r="304" customFormat="false" ht="15" hidden="false" customHeight="false" outlineLevel="0" collapsed="false">
      <c r="A304" s="12"/>
      <c r="B304" s="12"/>
      <c r="C304" s="13"/>
      <c r="D304" s="13"/>
      <c r="E304" s="13"/>
      <c r="F304" s="14"/>
      <c r="G304" s="15"/>
      <c r="H304" s="12"/>
      <c r="I304" s="16" t="str">
        <f aca="true">IF(OR(F304="",H304&lt;&gt;"Bekliyor"),"",F304-TODAY())</f>
        <v/>
      </c>
      <c r="J304" s="17" t="str">
        <f aca="false">IF(I304="","",IF(I304&lt;0,"Vadesi geçti",IF(I304&lt;=7,"Bu hafta","")))</f>
        <v/>
      </c>
      <c r="K304" s="19" t="n">
        <f aca="false">IF(H304="Bekliyor",G304,0)</f>
        <v>0</v>
      </c>
    </row>
    <row r="305" customFormat="false" ht="15" hidden="false" customHeight="false" outlineLevel="0" collapsed="false">
      <c r="A305" s="12"/>
      <c r="B305" s="12"/>
      <c r="C305" s="13"/>
      <c r="D305" s="13"/>
      <c r="E305" s="13"/>
      <c r="F305" s="14"/>
      <c r="G305" s="15"/>
      <c r="H305" s="12"/>
      <c r="I305" s="16" t="str">
        <f aca="true">IF(OR(F305="",H305&lt;&gt;"Bekliyor"),"",F305-TODAY())</f>
        <v/>
      </c>
      <c r="J305" s="17" t="str">
        <f aca="false">IF(I305="","",IF(I305&lt;0,"Vadesi geçti",IF(I305&lt;=7,"Bu hafta","")))</f>
        <v/>
      </c>
      <c r="K305" s="19" t="n">
        <f aca="false">IF(H305="Bekliyor",G305,0)</f>
        <v>0</v>
      </c>
    </row>
    <row r="306" customFormat="false" ht="15" hidden="false" customHeight="false" outlineLevel="0" collapsed="false">
      <c r="A306" s="12"/>
      <c r="B306" s="12"/>
      <c r="C306" s="13"/>
      <c r="D306" s="13"/>
      <c r="E306" s="13"/>
      <c r="F306" s="14"/>
      <c r="G306" s="15"/>
      <c r="H306" s="12"/>
      <c r="I306" s="16" t="str">
        <f aca="true">IF(OR(F306="",H306&lt;&gt;"Bekliyor"),"",F306-TODAY())</f>
        <v/>
      </c>
      <c r="J306" s="17" t="str">
        <f aca="false">IF(I306="","",IF(I306&lt;0,"Vadesi geçti",IF(I306&lt;=7,"Bu hafta","")))</f>
        <v/>
      </c>
      <c r="K306" s="19" t="n">
        <f aca="false">IF(H306="Bekliyor",G306,0)</f>
        <v>0</v>
      </c>
    </row>
    <row r="307" customFormat="false" ht="15" hidden="false" customHeight="false" outlineLevel="0" collapsed="false">
      <c r="A307" s="12"/>
      <c r="B307" s="12"/>
      <c r="C307" s="13"/>
      <c r="D307" s="13"/>
      <c r="E307" s="13"/>
      <c r="F307" s="14"/>
      <c r="G307" s="15"/>
      <c r="H307" s="12"/>
      <c r="I307" s="16" t="str">
        <f aca="true">IF(OR(F307="",H307&lt;&gt;"Bekliyor"),"",F307-TODAY())</f>
        <v/>
      </c>
      <c r="J307" s="17" t="str">
        <f aca="false">IF(I307="","",IF(I307&lt;0,"Vadesi geçti",IF(I307&lt;=7,"Bu hafta","")))</f>
        <v/>
      </c>
      <c r="K307" s="19" t="n">
        <f aca="false">IF(H307="Bekliyor",G307,0)</f>
        <v>0</v>
      </c>
    </row>
    <row r="308" customFormat="false" ht="15" hidden="false" customHeight="false" outlineLevel="0" collapsed="false">
      <c r="A308" s="12"/>
      <c r="B308" s="12"/>
      <c r="C308" s="13"/>
      <c r="D308" s="13"/>
      <c r="E308" s="13"/>
      <c r="F308" s="14"/>
      <c r="G308" s="15"/>
      <c r="H308" s="12"/>
      <c r="I308" s="16" t="str">
        <f aca="true">IF(OR(F308="",H308&lt;&gt;"Bekliyor"),"",F308-TODAY())</f>
        <v/>
      </c>
      <c r="J308" s="17" t="str">
        <f aca="false">IF(I308="","",IF(I308&lt;0,"Vadesi geçti",IF(I308&lt;=7,"Bu hafta","")))</f>
        <v/>
      </c>
      <c r="K308" s="19" t="n">
        <f aca="false">IF(H308="Bekliyor",G308,0)</f>
        <v>0</v>
      </c>
    </row>
    <row r="309" customFormat="false" ht="15" hidden="false" customHeight="false" outlineLevel="0" collapsed="false">
      <c r="A309" s="12"/>
      <c r="B309" s="12"/>
      <c r="C309" s="13"/>
      <c r="D309" s="13"/>
      <c r="E309" s="13"/>
      <c r="F309" s="14"/>
      <c r="G309" s="15"/>
      <c r="H309" s="12"/>
      <c r="I309" s="16" t="str">
        <f aca="true">IF(OR(F309="",H309&lt;&gt;"Bekliyor"),"",F309-TODAY())</f>
        <v/>
      </c>
      <c r="J309" s="17" t="str">
        <f aca="false">IF(I309="","",IF(I309&lt;0,"Vadesi geçti",IF(I309&lt;=7,"Bu hafta","")))</f>
        <v/>
      </c>
      <c r="K309" s="19" t="n">
        <f aca="false">IF(H309="Bekliyor",G309,0)</f>
        <v>0</v>
      </c>
    </row>
    <row r="310" customFormat="false" ht="15" hidden="false" customHeight="false" outlineLevel="0" collapsed="false">
      <c r="A310" s="12"/>
      <c r="B310" s="12"/>
      <c r="C310" s="13"/>
      <c r="D310" s="13"/>
      <c r="E310" s="13"/>
      <c r="F310" s="14"/>
      <c r="G310" s="15"/>
      <c r="H310" s="12"/>
      <c r="I310" s="16" t="str">
        <f aca="true">IF(OR(F310="",H310&lt;&gt;"Bekliyor"),"",F310-TODAY())</f>
        <v/>
      </c>
      <c r="J310" s="17" t="str">
        <f aca="false">IF(I310="","",IF(I310&lt;0,"Vadesi geçti",IF(I310&lt;=7,"Bu hafta","")))</f>
        <v/>
      </c>
      <c r="K310" s="19" t="n">
        <f aca="false">IF(H310="Bekliyor",G310,0)</f>
        <v>0</v>
      </c>
    </row>
    <row r="311" customFormat="false" ht="15" hidden="false" customHeight="false" outlineLevel="0" collapsed="false">
      <c r="A311" s="12"/>
      <c r="B311" s="12"/>
      <c r="C311" s="13"/>
      <c r="D311" s="13"/>
      <c r="E311" s="13"/>
      <c r="F311" s="14"/>
      <c r="G311" s="15"/>
      <c r="H311" s="12"/>
      <c r="I311" s="16" t="str">
        <f aca="true">IF(OR(F311="",H311&lt;&gt;"Bekliyor"),"",F311-TODAY())</f>
        <v/>
      </c>
      <c r="J311" s="17" t="str">
        <f aca="false">IF(I311="","",IF(I311&lt;0,"Vadesi geçti",IF(I311&lt;=7,"Bu hafta","")))</f>
        <v/>
      </c>
      <c r="K311" s="19" t="n">
        <f aca="false">IF(H311="Bekliyor",G311,0)</f>
        <v>0</v>
      </c>
    </row>
    <row r="312" customFormat="false" ht="15" hidden="false" customHeight="false" outlineLevel="0" collapsed="false">
      <c r="A312" s="12"/>
      <c r="B312" s="12"/>
      <c r="C312" s="13"/>
      <c r="D312" s="13"/>
      <c r="E312" s="13"/>
      <c r="F312" s="14"/>
      <c r="G312" s="15"/>
      <c r="H312" s="12"/>
      <c r="I312" s="16" t="str">
        <f aca="true">IF(OR(F312="",H312&lt;&gt;"Bekliyor"),"",F312-TODAY())</f>
        <v/>
      </c>
      <c r="J312" s="17" t="str">
        <f aca="false">IF(I312="","",IF(I312&lt;0,"Vadesi geçti",IF(I312&lt;=7,"Bu hafta","")))</f>
        <v/>
      </c>
      <c r="K312" s="19" t="n">
        <f aca="false">IF(H312="Bekliyor",G312,0)</f>
        <v>0</v>
      </c>
    </row>
    <row r="313" customFormat="false" ht="15" hidden="false" customHeight="false" outlineLevel="0" collapsed="false">
      <c r="A313" s="12"/>
      <c r="B313" s="12"/>
      <c r="C313" s="13"/>
      <c r="D313" s="13"/>
      <c r="E313" s="13"/>
      <c r="F313" s="14"/>
      <c r="G313" s="15"/>
      <c r="H313" s="12"/>
      <c r="I313" s="16" t="str">
        <f aca="true">IF(OR(F313="",H313&lt;&gt;"Bekliyor"),"",F313-TODAY())</f>
        <v/>
      </c>
      <c r="J313" s="17" t="str">
        <f aca="false">IF(I313="","",IF(I313&lt;0,"Vadesi geçti",IF(I313&lt;=7,"Bu hafta","")))</f>
        <v/>
      </c>
      <c r="K313" s="19" t="n">
        <f aca="false">IF(H313="Bekliyor",G313,0)</f>
        <v>0</v>
      </c>
    </row>
    <row r="314" customFormat="false" ht="15" hidden="false" customHeight="false" outlineLevel="0" collapsed="false">
      <c r="A314" s="12"/>
      <c r="B314" s="12"/>
      <c r="C314" s="13"/>
      <c r="D314" s="13"/>
      <c r="E314" s="13"/>
      <c r="F314" s="14"/>
      <c r="G314" s="15"/>
      <c r="H314" s="12"/>
      <c r="I314" s="16" t="str">
        <f aca="true">IF(OR(F314="",H314&lt;&gt;"Bekliyor"),"",F314-TODAY())</f>
        <v/>
      </c>
      <c r="J314" s="17" t="str">
        <f aca="false">IF(I314="","",IF(I314&lt;0,"Vadesi geçti",IF(I314&lt;=7,"Bu hafta","")))</f>
        <v/>
      </c>
      <c r="K314" s="19" t="n">
        <f aca="false">IF(H314="Bekliyor",G314,0)</f>
        <v>0</v>
      </c>
    </row>
    <row r="315" customFormat="false" ht="15" hidden="false" customHeight="false" outlineLevel="0" collapsed="false">
      <c r="A315" s="12"/>
      <c r="B315" s="12"/>
      <c r="C315" s="13"/>
      <c r="D315" s="13"/>
      <c r="E315" s="13"/>
      <c r="F315" s="14"/>
      <c r="G315" s="15"/>
      <c r="H315" s="12"/>
      <c r="I315" s="16" t="str">
        <f aca="true">IF(OR(F315="",H315&lt;&gt;"Bekliyor"),"",F315-TODAY())</f>
        <v/>
      </c>
      <c r="J315" s="17" t="str">
        <f aca="false">IF(I315="","",IF(I315&lt;0,"Vadesi geçti",IF(I315&lt;=7,"Bu hafta","")))</f>
        <v/>
      </c>
      <c r="K315" s="19" t="n">
        <f aca="false">IF(H315="Bekliyor",G315,0)</f>
        <v>0</v>
      </c>
    </row>
    <row r="316" customFormat="false" ht="15" hidden="false" customHeight="false" outlineLevel="0" collapsed="false">
      <c r="A316" s="12"/>
      <c r="B316" s="12"/>
      <c r="C316" s="13"/>
      <c r="D316" s="13"/>
      <c r="E316" s="13"/>
      <c r="F316" s="14"/>
      <c r="G316" s="15"/>
      <c r="H316" s="12"/>
      <c r="I316" s="16" t="str">
        <f aca="true">IF(OR(F316="",H316&lt;&gt;"Bekliyor"),"",F316-TODAY())</f>
        <v/>
      </c>
      <c r="J316" s="17" t="str">
        <f aca="false">IF(I316="","",IF(I316&lt;0,"Vadesi geçti",IF(I316&lt;=7,"Bu hafta","")))</f>
        <v/>
      </c>
      <c r="K316" s="19" t="n">
        <f aca="false">IF(H316="Bekliyor",G316,0)</f>
        <v>0</v>
      </c>
    </row>
    <row r="317" customFormat="false" ht="15" hidden="false" customHeight="false" outlineLevel="0" collapsed="false">
      <c r="A317" s="12"/>
      <c r="B317" s="12"/>
      <c r="C317" s="13"/>
      <c r="D317" s="13"/>
      <c r="E317" s="13"/>
      <c r="F317" s="14"/>
      <c r="G317" s="15"/>
      <c r="H317" s="12"/>
      <c r="I317" s="16" t="str">
        <f aca="true">IF(OR(F317="",H317&lt;&gt;"Bekliyor"),"",F317-TODAY())</f>
        <v/>
      </c>
      <c r="J317" s="17" t="str">
        <f aca="false">IF(I317="","",IF(I317&lt;0,"Vadesi geçti",IF(I317&lt;=7,"Bu hafta","")))</f>
        <v/>
      </c>
      <c r="K317" s="19" t="n">
        <f aca="false">IF(H317="Bekliyor",G317,0)</f>
        <v>0</v>
      </c>
    </row>
    <row r="318" customFormat="false" ht="15" hidden="false" customHeight="false" outlineLevel="0" collapsed="false">
      <c r="A318" s="12"/>
      <c r="B318" s="12"/>
      <c r="C318" s="13"/>
      <c r="D318" s="13"/>
      <c r="E318" s="13"/>
      <c r="F318" s="14"/>
      <c r="G318" s="15"/>
      <c r="H318" s="12"/>
      <c r="I318" s="16" t="str">
        <f aca="true">IF(OR(F318="",H318&lt;&gt;"Bekliyor"),"",F318-TODAY())</f>
        <v/>
      </c>
      <c r="J318" s="17" t="str">
        <f aca="false">IF(I318="","",IF(I318&lt;0,"Vadesi geçti",IF(I318&lt;=7,"Bu hafta","")))</f>
        <v/>
      </c>
      <c r="K318" s="19" t="n">
        <f aca="false">IF(H318="Bekliyor",G318,0)</f>
        <v>0</v>
      </c>
    </row>
    <row r="319" customFormat="false" ht="15" hidden="false" customHeight="false" outlineLevel="0" collapsed="false">
      <c r="A319" s="12"/>
      <c r="B319" s="12"/>
      <c r="C319" s="13"/>
      <c r="D319" s="13"/>
      <c r="E319" s="13"/>
      <c r="F319" s="14"/>
      <c r="G319" s="15"/>
      <c r="H319" s="12"/>
      <c r="I319" s="16" t="str">
        <f aca="true">IF(OR(F319="",H319&lt;&gt;"Bekliyor"),"",F319-TODAY())</f>
        <v/>
      </c>
      <c r="J319" s="17" t="str">
        <f aca="false">IF(I319="","",IF(I319&lt;0,"Vadesi geçti",IF(I319&lt;=7,"Bu hafta","")))</f>
        <v/>
      </c>
      <c r="K319" s="19" t="n">
        <f aca="false">IF(H319="Bekliyor",G319,0)</f>
        <v>0</v>
      </c>
    </row>
    <row r="320" customFormat="false" ht="15" hidden="false" customHeight="false" outlineLevel="0" collapsed="false">
      <c r="A320" s="12"/>
      <c r="B320" s="12"/>
      <c r="C320" s="13"/>
      <c r="D320" s="13"/>
      <c r="E320" s="13"/>
      <c r="F320" s="14"/>
      <c r="G320" s="15"/>
      <c r="H320" s="12"/>
      <c r="I320" s="16" t="str">
        <f aca="true">IF(OR(F320="",H320&lt;&gt;"Bekliyor"),"",F320-TODAY())</f>
        <v/>
      </c>
      <c r="J320" s="17" t="str">
        <f aca="false">IF(I320="","",IF(I320&lt;0,"Vadesi geçti",IF(I320&lt;=7,"Bu hafta","")))</f>
        <v/>
      </c>
      <c r="K320" s="19" t="n">
        <f aca="false">IF(H320="Bekliyor",G320,0)</f>
        <v>0</v>
      </c>
    </row>
    <row r="321" customFormat="false" ht="15" hidden="false" customHeight="false" outlineLevel="0" collapsed="false">
      <c r="A321" s="12"/>
      <c r="B321" s="12"/>
      <c r="C321" s="13"/>
      <c r="D321" s="13"/>
      <c r="E321" s="13"/>
      <c r="F321" s="14"/>
      <c r="G321" s="15"/>
      <c r="H321" s="12"/>
      <c r="I321" s="16" t="str">
        <f aca="true">IF(OR(F321="",H321&lt;&gt;"Bekliyor"),"",F321-TODAY())</f>
        <v/>
      </c>
      <c r="J321" s="17" t="str">
        <f aca="false">IF(I321="","",IF(I321&lt;0,"Vadesi geçti",IF(I321&lt;=7,"Bu hafta","")))</f>
        <v/>
      </c>
      <c r="K321" s="19" t="n">
        <f aca="false">IF(H321="Bekliyor",G321,0)</f>
        <v>0</v>
      </c>
    </row>
    <row r="322" customFormat="false" ht="15" hidden="false" customHeight="false" outlineLevel="0" collapsed="false">
      <c r="A322" s="12"/>
      <c r="B322" s="12"/>
      <c r="C322" s="13"/>
      <c r="D322" s="13"/>
      <c r="E322" s="13"/>
      <c r="F322" s="14"/>
      <c r="G322" s="15"/>
      <c r="H322" s="12"/>
      <c r="I322" s="16" t="str">
        <f aca="true">IF(OR(F322="",H322&lt;&gt;"Bekliyor"),"",F322-TODAY())</f>
        <v/>
      </c>
      <c r="J322" s="17" t="str">
        <f aca="false">IF(I322="","",IF(I322&lt;0,"Vadesi geçti",IF(I322&lt;=7,"Bu hafta","")))</f>
        <v/>
      </c>
      <c r="K322" s="19" t="n">
        <f aca="false">IF(H322="Bekliyor",G322,0)</f>
        <v>0</v>
      </c>
    </row>
    <row r="323" customFormat="false" ht="15" hidden="false" customHeight="false" outlineLevel="0" collapsed="false">
      <c r="A323" s="12"/>
      <c r="B323" s="12"/>
      <c r="C323" s="13"/>
      <c r="D323" s="13"/>
      <c r="E323" s="13"/>
      <c r="F323" s="14"/>
      <c r="G323" s="15"/>
      <c r="H323" s="12"/>
      <c r="I323" s="16" t="str">
        <f aca="true">IF(OR(F323="",H323&lt;&gt;"Bekliyor"),"",F323-TODAY())</f>
        <v/>
      </c>
      <c r="J323" s="17" t="str">
        <f aca="false">IF(I323="","",IF(I323&lt;0,"Vadesi geçti",IF(I323&lt;=7,"Bu hafta","")))</f>
        <v/>
      </c>
      <c r="K323" s="19" t="n">
        <f aca="false">IF(H323="Bekliyor",G323,0)</f>
        <v>0</v>
      </c>
    </row>
    <row r="324" customFormat="false" ht="15" hidden="false" customHeight="false" outlineLevel="0" collapsed="false">
      <c r="A324" s="12"/>
      <c r="B324" s="12"/>
      <c r="C324" s="13"/>
      <c r="D324" s="13"/>
      <c r="E324" s="13"/>
      <c r="F324" s="14"/>
      <c r="G324" s="15"/>
      <c r="H324" s="12"/>
      <c r="I324" s="16" t="str">
        <f aca="true">IF(OR(F324="",H324&lt;&gt;"Bekliyor"),"",F324-TODAY())</f>
        <v/>
      </c>
      <c r="J324" s="17" t="str">
        <f aca="false">IF(I324="","",IF(I324&lt;0,"Vadesi geçti",IF(I324&lt;=7,"Bu hafta","")))</f>
        <v/>
      </c>
      <c r="K324" s="19" t="n">
        <f aca="false">IF(H324="Bekliyor",G324,0)</f>
        <v>0</v>
      </c>
    </row>
    <row r="325" customFormat="false" ht="15" hidden="false" customHeight="false" outlineLevel="0" collapsed="false">
      <c r="A325" s="12"/>
      <c r="B325" s="12"/>
      <c r="C325" s="13"/>
      <c r="D325" s="13"/>
      <c r="E325" s="13"/>
      <c r="F325" s="14"/>
      <c r="G325" s="15"/>
      <c r="H325" s="12"/>
      <c r="I325" s="16" t="str">
        <f aca="true">IF(OR(F325="",H325&lt;&gt;"Bekliyor"),"",F325-TODAY())</f>
        <v/>
      </c>
      <c r="J325" s="17" t="str">
        <f aca="false">IF(I325="","",IF(I325&lt;0,"Vadesi geçti",IF(I325&lt;=7,"Bu hafta","")))</f>
        <v/>
      </c>
      <c r="K325" s="19" t="n">
        <f aca="false">IF(H325="Bekliyor",G325,0)</f>
        <v>0</v>
      </c>
    </row>
    <row r="326" customFormat="false" ht="15" hidden="false" customHeight="false" outlineLevel="0" collapsed="false">
      <c r="A326" s="12"/>
      <c r="B326" s="12"/>
      <c r="C326" s="13"/>
      <c r="D326" s="13"/>
      <c r="E326" s="13"/>
      <c r="F326" s="14"/>
      <c r="G326" s="15"/>
      <c r="H326" s="12"/>
      <c r="I326" s="16" t="str">
        <f aca="true">IF(OR(F326="",H326&lt;&gt;"Bekliyor"),"",F326-TODAY())</f>
        <v/>
      </c>
      <c r="J326" s="17" t="str">
        <f aca="false">IF(I326="","",IF(I326&lt;0,"Vadesi geçti",IF(I326&lt;=7,"Bu hafta","")))</f>
        <v/>
      </c>
      <c r="K326" s="19" t="n">
        <f aca="false">IF(H326="Bekliyor",G326,0)</f>
        <v>0</v>
      </c>
    </row>
    <row r="327" customFormat="false" ht="15" hidden="false" customHeight="false" outlineLevel="0" collapsed="false">
      <c r="A327" s="12"/>
      <c r="B327" s="12"/>
      <c r="C327" s="13"/>
      <c r="D327" s="13"/>
      <c r="E327" s="13"/>
      <c r="F327" s="14"/>
      <c r="G327" s="15"/>
      <c r="H327" s="12"/>
      <c r="I327" s="16" t="str">
        <f aca="true">IF(OR(F327="",H327&lt;&gt;"Bekliyor"),"",F327-TODAY())</f>
        <v/>
      </c>
      <c r="J327" s="17" t="str">
        <f aca="false">IF(I327="","",IF(I327&lt;0,"Vadesi geçti",IF(I327&lt;=7,"Bu hafta","")))</f>
        <v/>
      </c>
      <c r="K327" s="19" t="n">
        <f aca="false">IF(H327="Bekliyor",G327,0)</f>
        <v>0</v>
      </c>
    </row>
    <row r="328" customFormat="false" ht="15" hidden="false" customHeight="false" outlineLevel="0" collapsed="false">
      <c r="A328" s="12"/>
      <c r="B328" s="12"/>
      <c r="C328" s="13"/>
      <c r="D328" s="13"/>
      <c r="E328" s="13"/>
      <c r="F328" s="14"/>
      <c r="G328" s="15"/>
      <c r="H328" s="12"/>
      <c r="I328" s="16" t="str">
        <f aca="true">IF(OR(F328="",H328&lt;&gt;"Bekliyor"),"",F328-TODAY())</f>
        <v/>
      </c>
      <c r="J328" s="17" t="str">
        <f aca="false">IF(I328="","",IF(I328&lt;0,"Vadesi geçti",IF(I328&lt;=7,"Bu hafta","")))</f>
        <v/>
      </c>
      <c r="K328" s="19" t="n">
        <f aca="false">IF(H328="Bekliyor",G328,0)</f>
        <v>0</v>
      </c>
    </row>
    <row r="329" customFormat="false" ht="15" hidden="false" customHeight="false" outlineLevel="0" collapsed="false">
      <c r="A329" s="12"/>
      <c r="B329" s="12"/>
      <c r="C329" s="13"/>
      <c r="D329" s="13"/>
      <c r="E329" s="13"/>
      <c r="F329" s="14"/>
      <c r="G329" s="15"/>
      <c r="H329" s="12"/>
      <c r="I329" s="16" t="str">
        <f aca="true">IF(OR(F329="",H329&lt;&gt;"Bekliyor"),"",F329-TODAY())</f>
        <v/>
      </c>
      <c r="J329" s="17" t="str">
        <f aca="false">IF(I329="","",IF(I329&lt;0,"Vadesi geçti",IF(I329&lt;=7,"Bu hafta","")))</f>
        <v/>
      </c>
      <c r="K329" s="19" t="n">
        <f aca="false">IF(H329="Bekliyor",G329,0)</f>
        <v>0</v>
      </c>
    </row>
    <row r="330" customFormat="false" ht="15" hidden="false" customHeight="false" outlineLevel="0" collapsed="false">
      <c r="A330" s="12"/>
      <c r="B330" s="12"/>
      <c r="C330" s="13"/>
      <c r="D330" s="13"/>
      <c r="E330" s="13"/>
      <c r="F330" s="14"/>
      <c r="G330" s="15"/>
      <c r="H330" s="12"/>
      <c r="I330" s="16" t="str">
        <f aca="true">IF(OR(F330="",H330&lt;&gt;"Bekliyor"),"",F330-TODAY())</f>
        <v/>
      </c>
      <c r="J330" s="17" t="str">
        <f aca="false">IF(I330="","",IF(I330&lt;0,"Vadesi geçti",IF(I330&lt;=7,"Bu hafta","")))</f>
        <v/>
      </c>
      <c r="K330" s="19" t="n">
        <f aca="false">IF(H330="Bekliyor",G330,0)</f>
        <v>0</v>
      </c>
    </row>
    <row r="331" customFormat="false" ht="15" hidden="false" customHeight="false" outlineLevel="0" collapsed="false">
      <c r="A331" s="12"/>
      <c r="B331" s="12"/>
      <c r="C331" s="13"/>
      <c r="D331" s="13"/>
      <c r="E331" s="13"/>
      <c r="F331" s="14"/>
      <c r="G331" s="15"/>
      <c r="H331" s="12"/>
      <c r="I331" s="16" t="str">
        <f aca="true">IF(OR(F331="",H331&lt;&gt;"Bekliyor"),"",F331-TODAY())</f>
        <v/>
      </c>
      <c r="J331" s="17" t="str">
        <f aca="false">IF(I331="","",IF(I331&lt;0,"Vadesi geçti",IF(I331&lt;=7,"Bu hafta","")))</f>
        <v/>
      </c>
      <c r="K331" s="19" t="n">
        <f aca="false">IF(H331="Bekliyor",G331,0)</f>
        <v>0</v>
      </c>
    </row>
    <row r="332" customFormat="false" ht="15" hidden="false" customHeight="false" outlineLevel="0" collapsed="false">
      <c r="A332" s="12"/>
      <c r="B332" s="12"/>
      <c r="C332" s="13"/>
      <c r="D332" s="13"/>
      <c r="E332" s="13"/>
      <c r="F332" s="14"/>
      <c r="G332" s="15"/>
      <c r="H332" s="12"/>
      <c r="I332" s="16" t="str">
        <f aca="true">IF(OR(F332="",H332&lt;&gt;"Bekliyor"),"",F332-TODAY())</f>
        <v/>
      </c>
      <c r="J332" s="17" t="str">
        <f aca="false">IF(I332="","",IF(I332&lt;0,"Vadesi geçti",IF(I332&lt;=7,"Bu hafta","")))</f>
        <v/>
      </c>
      <c r="K332" s="19" t="n">
        <f aca="false">IF(H332="Bekliyor",G332,0)</f>
        <v>0</v>
      </c>
    </row>
    <row r="333" customFormat="false" ht="15" hidden="false" customHeight="false" outlineLevel="0" collapsed="false">
      <c r="A333" s="12"/>
      <c r="B333" s="12"/>
      <c r="C333" s="13"/>
      <c r="D333" s="13"/>
      <c r="E333" s="13"/>
      <c r="F333" s="14"/>
      <c r="G333" s="15"/>
      <c r="H333" s="12"/>
      <c r="I333" s="16" t="str">
        <f aca="true">IF(OR(F333="",H333&lt;&gt;"Bekliyor"),"",F333-TODAY())</f>
        <v/>
      </c>
      <c r="J333" s="17" t="str">
        <f aca="false">IF(I333="","",IF(I333&lt;0,"Vadesi geçti",IF(I333&lt;=7,"Bu hafta","")))</f>
        <v/>
      </c>
      <c r="K333" s="19" t="n">
        <f aca="false">IF(H333="Bekliyor",G333,0)</f>
        <v>0</v>
      </c>
    </row>
    <row r="334" customFormat="false" ht="15" hidden="false" customHeight="false" outlineLevel="0" collapsed="false">
      <c r="A334" s="12"/>
      <c r="B334" s="12"/>
      <c r="C334" s="13"/>
      <c r="D334" s="13"/>
      <c r="E334" s="13"/>
      <c r="F334" s="14"/>
      <c r="G334" s="15"/>
      <c r="H334" s="12"/>
      <c r="I334" s="16" t="str">
        <f aca="true">IF(OR(F334="",H334&lt;&gt;"Bekliyor"),"",F334-TODAY())</f>
        <v/>
      </c>
      <c r="J334" s="17" t="str">
        <f aca="false">IF(I334="","",IF(I334&lt;0,"Vadesi geçti",IF(I334&lt;=7,"Bu hafta","")))</f>
        <v/>
      </c>
      <c r="K334" s="19" t="n">
        <f aca="false">IF(H334="Bekliyor",G334,0)</f>
        <v>0</v>
      </c>
    </row>
    <row r="335" customFormat="false" ht="15" hidden="false" customHeight="false" outlineLevel="0" collapsed="false">
      <c r="A335" s="12"/>
      <c r="B335" s="12"/>
      <c r="C335" s="13"/>
      <c r="D335" s="13"/>
      <c r="E335" s="13"/>
      <c r="F335" s="14"/>
      <c r="G335" s="15"/>
      <c r="H335" s="12"/>
      <c r="I335" s="16" t="str">
        <f aca="true">IF(OR(F335="",H335&lt;&gt;"Bekliyor"),"",F335-TODAY())</f>
        <v/>
      </c>
      <c r="J335" s="17" t="str">
        <f aca="false">IF(I335="","",IF(I335&lt;0,"Vadesi geçti",IF(I335&lt;=7,"Bu hafta","")))</f>
        <v/>
      </c>
      <c r="K335" s="19" t="n">
        <f aca="false">IF(H335="Bekliyor",G335,0)</f>
        <v>0</v>
      </c>
    </row>
    <row r="336" customFormat="false" ht="15" hidden="false" customHeight="false" outlineLevel="0" collapsed="false">
      <c r="A336" s="12"/>
      <c r="B336" s="12"/>
      <c r="C336" s="13"/>
      <c r="D336" s="13"/>
      <c r="E336" s="13"/>
      <c r="F336" s="14"/>
      <c r="G336" s="15"/>
      <c r="H336" s="12"/>
      <c r="I336" s="16" t="str">
        <f aca="true">IF(OR(F336="",H336&lt;&gt;"Bekliyor"),"",F336-TODAY())</f>
        <v/>
      </c>
      <c r="J336" s="17" t="str">
        <f aca="false">IF(I336="","",IF(I336&lt;0,"Vadesi geçti",IF(I336&lt;=7,"Bu hafta","")))</f>
        <v/>
      </c>
      <c r="K336" s="19" t="n">
        <f aca="false">IF(H336="Bekliyor",G336,0)</f>
        <v>0</v>
      </c>
    </row>
    <row r="337" customFormat="false" ht="15" hidden="false" customHeight="false" outlineLevel="0" collapsed="false">
      <c r="A337" s="12"/>
      <c r="B337" s="12"/>
      <c r="C337" s="13"/>
      <c r="D337" s="13"/>
      <c r="E337" s="13"/>
      <c r="F337" s="14"/>
      <c r="G337" s="15"/>
      <c r="H337" s="12"/>
      <c r="I337" s="16" t="str">
        <f aca="true">IF(OR(F337="",H337&lt;&gt;"Bekliyor"),"",F337-TODAY())</f>
        <v/>
      </c>
      <c r="J337" s="17" t="str">
        <f aca="false">IF(I337="","",IF(I337&lt;0,"Vadesi geçti",IF(I337&lt;=7,"Bu hafta","")))</f>
        <v/>
      </c>
      <c r="K337" s="19" t="n">
        <f aca="false">IF(H337="Bekliyor",G337,0)</f>
        <v>0</v>
      </c>
    </row>
    <row r="338" customFormat="false" ht="15" hidden="false" customHeight="false" outlineLevel="0" collapsed="false">
      <c r="A338" s="12"/>
      <c r="B338" s="12"/>
      <c r="C338" s="13"/>
      <c r="D338" s="13"/>
      <c r="E338" s="13"/>
      <c r="F338" s="14"/>
      <c r="G338" s="15"/>
      <c r="H338" s="12"/>
      <c r="I338" s="16" t="str">
        <f aca="true">IF(OR(F338="",H338&lt;&gt;"Bekliyor"),"",F338-TODAY())</f>
        <v/>
      </c>
      <c r="J338" s="17" t="str">
        <f aca="false">IF(I338="","",IF(I338&lt;0,"Vadesi geçti",IF(I338&lt;=7,"Bu hafta","")))</f>
        <v/>
      </c>
      <c r="K338" s="19" t="n">
        <f aca="false">IF(H338="Bekliyor",G338,0)</f>
        <v>0</v>
      </c>
    </row>
    <row r="339" customFormat="false" ht="15" hidden="false" customHeight="false" outlineLevel="0" collapsed="false">
      <c r="A339" s="12"/>
      <c r="B339" s="12"/>
      <c r="C339" s="13"/>
      <c r="D339" s="13"/>
      <c r="E339" s="13"/>
      <c r="F339" s="14"/>
      <c r="G339" s="15"/>
      <c r="H339" s="12"/>
      <c r="I339" s="16" t="str">
        <f aca="true">IF(OR(F339="",H339&lt;&gt;"Bekliyor"),"",F339-TODAY())</f>
        <v/>
      </c>
      <c r="J339" s="17" t="str">
        <f aca="false">IF(I339="","",IF(I339&lt;0,"Vadesi geçti",IF(I339&lt;=7,"Bu hafta","")))</f>
        <v/>
      </c>
      <c r="K339" s="19" t="n">
        <f aca="false">IF(H339="Bekliyor",G339,0)</f>
        <v>0</v>
      </c>
    </row>
    <row r="340" customFormat="false" ht="15" hidden="false" customHeight="false" outlineLevel="0" collapsed="false">
      <c r="A340" s="12"/>
      <c r="B340" s="12"/>
      <c r="C340" s="13"/>
      <c r="D340" s="13"/>
      <c r="E340" s="13"/>
      <c r="F340" s="14"/>
      <c r="G340" s="15"/>
      <c r="H340" s="12"/>
      <c r="I340" s="16" t="str">
        <f aca="true">IF(OR(F340="",H340&lt;&gt;"Bekliyor"),"",F340-TODAY())</f>
        <v/>
      </c>
      <c r="J340" s="17" t="str">
        <f aca="false">IF(I340="","",IF(I340&lt;0,"Vadesi geçti",IF(I340&lt;=7,"Bu hafta","")))</f>
        <v/>
      </c>
      <c r="K340" s="19" t="n">
        <f aca="false">IF(H340="Bekliyor",G340,0)</f>
        <v>0</v>
      </c>
    </row>
    <row r="341" customFormat="false" ht="15" hidden="false" customHeight="false" outlineLevel="0" collapsed="false">
      <c r="A341" s="12"/>
      <c r="B341" s="12"/>
      <c r="C341" s="13"/>
      <c r="D341" s="13"/>
      <c r="E341" s="13"/>
      <c r="F341" s="14"/>
      <c r="G341" s="15"/>
      <c r="H341" s="12"/>
      <c r="I341" s="16" t="str">
        <f aca="true">IF(OR(F341="",H341&lt;&gt;"Bekliyor"),"",F341-TODAY())</f>
        <v/>
      </c>
      <c r="J341" s="17" t="str">
        <f aca="false">IF(I341="","",IF(I341&lt;0,"Vadesi geçti",IF(I341&lt;=7,"Bu hafta","")))</f>
        <v/>
      </c>
      <c r="K341" s="19" t="n">
        <f aca="false">IF(H341="Bekliyor",G341,0)</f>
        <v>0</v>
      </c>
    </row>
    <row r="342" customFormat="false" ht="15" hidden="false" customHeight="false" outlineLevel="0" collapsed="false">
      <c r="A342" s="12"/>
      <c r="B342" s="12"/>
      <c r="C342" s="13"/>
      <c r="D342" s="13"/>
      <c r="E342" s="13"/>
      <c r="F342" s="14"/>
      <c r="G342" s="15"/>
      <c r="H342" s="12"/>
      <c r="I342" s="16" t="str">
        <f aca="true">IF(OR(F342="",H342&lt;&gt;"Bekliyor"),"",F342-TODAY())</f>
        <v/>
      </c>
      <c r="J342" s="17" t="str">
        <f aca="false">IF(I342="","",IF(I342&lt;0,"Vadesi geçti",IF(I342&lt;=7,"Bu hafta","")))</f>
        <v/>
      </c>
      <c r="K342" s="19" t="n">
        <f aca="false">IF(H342="Bekliyor",G342,0)</f>
        <v>0</v>
      </c>
    </row>
    <row r="343" customFormat="false" ht="15" hidden="false" customHeight="false" outlineLevel="0" collapsed="false">
      <c r="A343" s="12"/>
      <c r="B343" s="12"/>
      <c r="C343" s="13"/>
      <c r="D343" s="13"/>
      <c r="E343" s="13"/>
      <c r="F343" s="14"/>
      <c r="G343" s="15"/>
      <c r="H343" s="12"/>
      <c r="I343" s="16" t="str">
        <f aca="true">IF(OR(F343="",H343&lt;&gt;"Bekliyor"),"",F343-TODAY())</f>
        <v/>
      </c>
      <c r="J343" s="17" t="str">
        <f aca="false">IF(I343="","",IF(I343&lt;0,"Vadesi geçti",IF(I343&lt;=7,"Bu hafta","")))</f>
        <v/>
      </c>
      <c r="K343" s="19" t="n">
        <f aca="false">IF(H343="Bekliyor",G343,0)</f>
        <v>0</v>
      </c>
    </row>
    <row r="344" customFormat="false" ht="15" hidden="false" customHeight="false" outlineLevel="0" collapsed="false">
      <c r="A344" s="12"/>
      <c r="B344" s="12"/>
      <c r="C344" s="13"/>
      <c r="D344" s="13"/>
      <c r="E344" s="13"/>
      <c r="F344" s="14"/>
      <c r="G344" s="15"/>
      <c r="H344" s="12"/>
      <c r="I344" s="16" t="str">
        <f aca="true">IF(OR(F344="",H344&lt;&gt;"Bekliyor"),"",F344-TODAY())</f>
        <v/>
      </c>
      <c r="J344" s="17" t="str">
        <f aca="false">IF(I344="","",IF(I344&lt;0,"Vadesi geçti",IF(I344&lt;=7,"Bu hafta","")))</f>
        <v/>
      </c>
      <c r="K344" s="19" t="n">
        <f aca="false">IF(H344="Bekliyor",G344,0)</f>
        <v>0</v>
      </c>
    </row>
    <row r="345" customFormat="false" ht="15" hidden="false" customHeight="false" outlineLevel="0" collapsed="false">
      <c r="A345" s="12"/>
      <c r="B345" s="12"/>
      <c r="C345" s="13"/>
      <c r="D345" s="13"/>
      <c r="E345" s="13"/>
      <c r="F345" s="14"/>
      <c r="G345" s="15"/>
      <c r="H345" s="12"/>
      <c r="I345" s="16" t="str">
        <f aca="true">IF(OR(F345="",H345&lt;&gt;"Bekliyor"),"",F345-TODAY())</f>
        <v/>
      </c>
      <c r="J345" s="17" t="str">
        <f aca="false">IF(I345="","",IF(I345&lt;0,"Vadesi geçti",IF(I345&lt;=7,"Bu hafta","")))</f>
        <v/>
      </c>
      <c r="K345" s="19" t="n">
        <f aca="false">IF(H345="Bekliyor",G345,0)</f>
        <v>0</v>
      </c>
    </row>
    <row r="346" customFormat="false" ht="15" hidden="false" customHeight="false" outlineLevel="0" collapsed="false">
      <c r="A346" s="12"/>
      <c r="B346" s="12"/>
      <c r="C346" s="13"/>
      <c r="D346" s="13"/>
      <c r="E346" s="13"/>
      <c r="F346" s="14"/>
      <c r="G346" s="15"/>
      <c r="H346" s="12"/>
      <c r="I346" s="16" t="str">
        <f aca="true">IF(OR(F346="",H346&lt;&gt;"Bekliyor"),"",F346-TODAY())</f>
        <v/>
      </c>
      <c r="J346" s="17" t="str">
        <f aca="false">IF(I346="","",IF(I346&lt;0,"Vadesi geçti",IF(I346&lt;=7,"Bu hafta","")))</f>
        <v/>
      </c>
      <c r="K346" s="19" t="n">
        <f aca="false">IF(H346="Bekliyor",G346,0)</f>
        <v>0</v>
      </c>
    </row>
    <row r="347" customFormat="false" ht="15" hidden="false" customHeight="false" outlineLevel="0" collapsed="false">
      <c r="A347" s="12"/>
      <c r="B347" s="12"/>
      <c r="C347" s="13"/>
      <c r="D347" s="13"/>
      <c r="E347" s="13"/>
      <c r="F347" s="14"/>
      <c r="G347" s="15"/>
      <c r="H347" s="12"/>
      <c r="I347" s="16" t="str">
        <f aca="true">IF(OR(F347="",H347&lt;&gt;"Bekliyor"),"",F347-TODAY())</f>
        <v/>
      </c>
      <c r="J347" s="17" t="str">
        <f aca="false">IF(I347="","",IF(I347&lt;0,"Vadesi geçti",IF(I347&lt;=7,"Bu hafta","")))</f>
        <v/>
      </c>
      <c r="K347" s="19" t="n">
        <f aca="false">IF(H347="Bekliyor",G347,0)</f>
        <v>0</v>
      </c>
    </row>
    <row r="348" customFormat="false" ht="15" hidden="false" customHeight="false" outlineLevel="0" collapsed="false">
      <c r="A348" s="12"/>
      <c r="B348" s="12"/>
      <c r="C348" s="13"/>
      <c r="D348" s="13"/>
      <c r="E348" s="13"/>
      <c r="F348" s="14"/>
      <c r="G348" s="15"/>
      <c r="H348" s="12"/>
      <c r="I348" s="16" t="str">
        <f aca="true">IF(OR(F348="",H348&lt;&gt;"Bekliyor"),"",F348-TODAY())</f>
        <v/>
      </c>
      <c r="J348" s="17" t="str">
        <f aca="false">IF(I348="","",IF(I348&lt;0,"Vadesi geçti",IF(I348&lt;=7,"Bu hafta","")))</f>
        <v/>
      </c>
      <c r="K348" s="19" t="n">
        <f aca="false">IF(H348="Bekliyor",G348,0)</f>
        <v>0</v>
      </c>
    </row>
    <row r="349" customFormat="false" ht="15" hidden="false" customHeight="false" outlineLevel="0" collapsed="false">
      <c r="A349" s="12"/>
      <c r="B349" s="12"/>
      <c r="C349" s="13"/>
      <c r="D349" s="13"/>
      <c r="E349" s="13"/>
      <c r="F349" s="14"/>
      <c r="G349" s="15"/>
      <c r="H349" s="12"/>
      <c r="I349" s="16" t="str">
        <f aca="true">IF(OR(F349="",H349&lt;&gt;"Bekliyor"),"",F349-TODAY())</f>
        <v/>
      </c>
      <c r="J349" s="17" t="str">
        <f aca="false">IF(I349="","",IF(I349&lt;0,"Vadesi geçti",IF(I349&lt;=7,"Bu hafta","")))</f>
        <v/>
      </c>
      <c r="K349" s="19" t="n">
        <f aca="false">IF(H349="Bekliyor",G349,0)</f>
        <v>0</v>
      </c>
    </row>
    <row r="350" customFormat="false" ht="15" hidden="false" customHeight="false" outlineLevel="0" collapsed="false">
      <c r="A350" s="12"/>
      <c r="B350" s="12"/>
      <c r="C350" s="13"/>
      <c r="D350" s="13"/>
      <c r="E350" s="13"/>
      <c r="F350" s="14"/>
      <c r="G350" s="15"/>
      <c r="H350" s="12"/>
      <c r="I350" s="16" t="str">
        <f aca="true">IF(OR(F350="",H350&lt;&gt;"Bekliyor"),"",F350-TODAY())</f>
        <v/>
      </c>
      <c r="J350" s="17" t="str">
        <f aca="false">IF(I350="","",IF(I350&lt;0,"Vadesi geçti",IF(I350&lt;=7,"Bu hafta","")))</f>
        <v/>
      </c>
      <c r="K350" s="19" t="n">
        <f aca="false">IF(H350="Bekliyor",G350,0)</f>
        <v>0</v>
      </c>
    </row>
    <row r="351" customFormat="false" ht="15" hidden="false" customHeight="false" outlineLevel="0" collapsed="false">
      <c r="A351" s="12"/>
      <c r="B351" s="12"/>
      <c r="C351" s="13"/>
      <c r="D351" s="13"/>
      <c r="E351" s="13"/>
      <c r="F351" s="14"/>
      <c r="G351" s="15"/>
      <c r="H351" s="12"/>
      <c r="I351" s="16" t="str">
        <f aca="true">IF(OR(F351="",H351&lt;&gt;"Bekliyor"),"",F351-TODAY())</f>
        <v/>
      </c>
      <c r="J351" s="17" t="str">
        <f aca="false">IF(I351="","",IF(I351&lt;0,"Vadesi geçti",IF(I351&lt;=7,"Bu hafta","")))</f>
        <v/>
      </c>
      <c r="K351" s="19" t="n">
        <f aca="false">IF(H351="Bekliyor",G351,0)</f>
        <v>0</v>
      </c>
    </row>
    <row r="352" customFormat="false" ht="15" hidden="false" customHeight="false" outlineLevel="0" collapsed="false">
      <c r="A352" s="12"/>
      <c r="B352" s="12"/>
      <c r="C352" s="13"/>
      <c r="D352" s="13"/>
      <c r="E352" s="13"/>
      <c r="F352" s="14"/>
      <c r="G352" s="15"/>
      <c r="H352" s="12"/>
      <c r="I352" s="16" t="str">
        <f aca="true">IF(OR(F352="",H352&lt;&gt;"Bekliyor"),"",F352-TODAY())</f>
        <v/>
      </c>
      <c r="J352" s="17" t="str">
        <f aca="false">IF(I352="","",IF(I352&lt;0,"Vadesi geçti",IF(I352&lt;=7,"Bu hafta","")))</f>
        <v/>
      </c>
      <c r="K352" s="19" t="n">
        <f aca="false">IF(H352="Bekliyor",G352,0)</f>
        <v>0</v>
      </c>
    </row>
    <row r="353" customFormat="false" ht="15" hidden="false" customHeight="false" outlineLevel="0" collapsed="false">
      <c r="A353" s="12"/>
      <c r="B353" s="12"/>
      <c r="C353" s="13"/>
      <c r="D353" s="13"/>
      <c r="E353" s="13"/>
      <c r="F353" s="14"/>
      <c r="G353" s="15"/>
      <c r="H353" s="12"/>
      <c r="I353" s="16" t="str">
        <f aca="true">IF(OR(F353="",H353&lt;&gt;"Bekliyor"),"",F353-TODAY())</f>
        <v/>
      </c>
      <c r="J353" s="17" t="str">
        <f aca="false">IF(I353="","",IF(I353&lt;0,"Vadesi geçti",IF(I353&lt;=7,"Bu hafta","")))</f>
        <v/>
      </c>
      <c r="K353" s="19" t="n">
        <f aca="false">IF(H353="Bekliyor",G353,0)</f>
        <v>0</v>
      </c>
    </row>
    <row r="354" customFormat="false" ht="15" hidden="false" customHeight="false" outlineLevel="0" collapsed="false">
      <c r="A354" s="12"/>
      <c r="B354" s="12"/>
      <c r="C354" s="13"/>
      <c r="D354" s="13"/>
      <c r="E354" s="13"/>
      <c r="F354" s="14"/>
      <c r="G354" s="15"/>
      <c r="H354" s="12"/>
      <c r="I354" s="16" t="str">
        <f aca="true">IF(OR(F354="",H354&lt;&gt;"Bekliyor"),"",F354-TODAY())</f>
        <v/>
      </c>
      <c r="J354" s="17" t="str">
        <f aca="false">IF(I354="","",IF(I354&lt;0,"Vadesi geçti",IF(I354&lt;=7,"Bu hafta","")))</f>
        <v/>
      </c>
      <c r="K354" s="19" t="n">
        <f aca="false">IF(H354="Bekliyor",G354,0)</f>
        <v>0</v>
      </c>
    </row>
    <row r="355" customFormat="false" ht="15" hidden="false" customHeight="false" outlineLevel="0" collapsed="false">
      <c r="A355" s="12"/>
      <c r="B355" s="12"/>
      <c r="C355" s="13"/>
      <c r="D355" s="13"/>
      <c r="E355" s="13"/>
      <c r="F355" s="14"/>
      <c r="G355" s="15"/>
      <c r="H355" s="12"/>
      <c r="I355" s="16" t="str">
        <f aca="true">IF(OR(F355="",H355&lt;&gt;"Bekliyor"),"",F355-TODAY())</f>
        <v/>
      </c>
      <c r="J355" s="17" t="str">
        <f aca="false">IF(I355="","",IF(I355&lt;0,"Vadesi geçti",IF(I355&lt;=7,"Bu hafta","")))</f>
        <v/>
      </c>
      <c r="K355" s="19" t="n">
        <f aca="false">IF(H355="Bekliyor",G355,0)</f>
        <v>0</v>
      </c>
    </row>
    <row r="356" customFormat="false" ht="15" hidden="false" customHeight="false" outlineLevel="0" collapsed="false">
      <c r="A356" s="12"/>
      <c r="B356" s="12"/>
      <c r="C356" s="13"/>
      <c r="D356" s="13"/>
      <c r="E356" s="13"/>
      <c r="F356" s="14"/>
      <c r="G356" s="15"/>
      <c r="H356" s="12"/>
      <c r="I356" s="16" t="str">
        <f aca="true">IF(OR(F356="",H356&lt;&gt;"Bekliyor"),"",F356-TODAY())</f>
        <v/>
      </c>
      <c r="J356" s="17" t="str">
        <f aca="false">IF(I356="","",IF(I356&lt;0,"Vadesi geçti",IF(I356&lt;=7,"Bu hafta","")))</f>
        <v/>
      </c>
      <c r="K356" s="19" t="n">
        <f aca="false">IF(H356="Bekliyor",G356,0)</f>
        <v>0</v>
      </c>
    </row>
    <row r="357" customFormat="false" ht="15" hidden="false" customHeight="false" outlineLevel="0" collapsed="false">
      <c r="A357" s="12"/>
      <c r="B357" s="12"/>
      <c r="C357" s="13"/>
      <c r="D357" s="13"/>
      <c r="E357" s="13"/>
      <c r="F357" s="14"/>
      <c r="G357" s="15"/>
      <c r="H357" s="12"/>
      <c r="I357" s="16" t="str">
        <f aca="true">IF(OR(F357="",H357&lt;&gt;"Bekliyor"),"",F357-TODAY())</f>
        <v/>
      </c>
      <c r="J357" s="17" t="str">
        <f aca="false">IF(I357="","",IF(I357&lt;0,"Vadesi geçti",IF(I357&lt;=7,"Bu hafta","")))</f>
        <v/>
      </c>
      <c r="K357" s="19" t="n">
        <f aca="false">IF(H357="Bekliyor",G357,0)</f>
        <v>0</v>
      </c>
    </row>
    <row r="358" customFormat="false" ht="15" hidden="false" customHeight="false" outlineLevel="0" collapsed="false">
      <c r="A358" s="12"/>
      <c r="B358" s="12"/>
      <c r="C358" s="13"/>
      <c r="D358" s="13"/>
      <c r="E358" s="13"/>
      <c r="F358" s="14"/>
      <c r="G358" s="15"/>
      <c r="H358" s="12"/>
      <c r="I358" s="16" t="str">
        <f aca="true">IF(OR(F358="",H358&lt;&gt;"Bekliyor"),"",F358-TODAY())</f>
        <v/>
      </c>
      <c r="J358" s="17" t="str">
        <f aca="false">IF(I358="","",IF(I358&lt;0,"Vadesi geçti",IF(I358&lt;=7,"Bu hafta","")))</f>
        <v/>
      </c>
      <c r="K358" s="19" t="n">
        <f aca="false">IF(H358="Bekliyor",G358,0)</f>
        <v>0</v>
      </c>
    </row>
    <row r="359" customFormat="false" ht="15" hidden="false" customHeight="false" outlineLevel="0" collapsed="false">
      <c r="A359" s="12"/>
      <c r="B359" s="12"/>
      <c r="C359" s="13"/>
      <c r="D359" s="13"/>
      <c r="E359" s="13"/>
      <c r="F359" s="14"/>
      <c r="G359" s="15"/>
      <c r="H359" s="12"/>
      <c r="I359" s="16" t="str">
        <f aca="true">IF(OR(F359="",H359&lt;&gt;"Bekliyor"),"",F359-TODAY())</f>
        <v/>
      </c>
      <c r="J359" s="17" t="str">
        <f aca="false">IF(I359="","",IF(I359&lt;0,"Vadesi geçti",IF(I359&lt;=7,"Bu hafta","")))</f>
        <v/>
      </c>
      <c r="K359" s="19" t="n">
        <f aca="false">IF(H359="Bekliyor",G359,0)</f>
        <v>0</v>
      </c>
    </row>
    <row r="360" customFormat="false" ht="15" hidden="false" customHeight="false" outlineLevel="0" collapsed="false">
      <c r="A360" s="12"/>
      <c r="B360" s="12"/>
      <c r="C360" s="13"/>
      <c r="D360" s="13"/>
      <c r="E360" s="13"/>
      <c r="F360" s="14"/>
      <c r="G360" s="15"/>
      <c r="H360" s="12"/>
      <c r="I360" s="16" t="str">
        <f aca="true">IF(OR(F360="",H360&lt;&gt;"Bekliyor"),"",F360-TODAY())</f>
        <v/>
      </c>
      <c r="J360" s="17" t="str">
        <f aca="false">IF(I360="","",IF(I360&lt;0,"Vadesi geçti",IF(I360&lt;=7,"Bu hafta","")))</f>
        <v/>
      </c>
      <c r="K360" s="19" t="n">
        <f aca="false">IF(H360="Bekliyor",G360,0)</f>
        <v>0</v>
      </c>
    </row>
    <row r="361" customFormat="false" ht="15" hidden="false" customHeight="false" outlineLevel="0" collapsed="false">
      <c r="A361" s="12"/>
      <c r="B361" s="12"/>
      <c r="C361" s="13"/>
      <c r="D361" s="13"/>
      <c r="E361" s="13"/>
      <c r="F361" s="14"/>
      <c r="G361" s="15"/>
      <c r="H361" s="12"/>
      <c r="I361" s="16" t="str">
        <f aca="true">IF(OR(F361="",H361&lt;&gt;"Bekliyor"),"",F361-TODAY())</f>
        <v/>
      </c>
      <c r="J361" s="17" t="str">
        <f aca="false">IF(I361="","",IF(I361&lt;0,"Vadesi geçti",IF(I361&lt;=7,"Bu hafta","")))</f>
        <v/>
      </c>
      <c r="K361" s="19" t="n">
        <f aca="false">IF(H361="Bekliyor",G361,0)</f>
        <v>0</v>
      </c>
    </row>
    <row r="362" customFormat="false" ht="15" hidden="false" customHeight="false" outlineLevel="0" collapsed="false">
      <c r="A362" s="12"/>
      <c r="B362" s="12"/>
      <c r="C362" s="13"/>
      <c r="D362" s="13"/>
      <c r="E362" s="13"/>
      <c r="F362" s="14"/>
      <c r="G362" s="15"/>
      <c r="H362" s="12"/>
      <c r="I362" s="16" t="str">
        <f aca="true">IF(OR(F362="",H362&lt;&gt;"Bekliyor"),"",F362-TODAY())</f>
        <v/>
      </c>
      <c r="J362" s="17" t="str">
        <f aca="false">IF(I362="","",IF(I362&lt;0,"Vadesi geçti",IF(I362&lt;=7,"Bu hafta","")))</f>
        <v/>
      </c>
      <c r="K362" s="19" t="n">
        <f aca="false">IF(H362="Bekliyor",G362,0)</f>
        <v>0</v>
      </c>
    </row>
    <row r="363" customFormat="false" ht="15" hidden="false" customHeight="false" outlineLevel="0" collapsed="false">
      <c r="A363" s="12"/>
      <c r="B363" s="12"/>
      <c r="C363" s="13"/>
      <c r="D363" s="13"/>
      <c r="E363" s="13"/>
      <c r="F363" s="14"/>
      <c r="G363" s="15"/>
      <c r="H363" s="12"/>
      <c r="I363" s="16" t="str">
        <f aca="true">IF(OR(F363="",H363&lt;&gt;"Bekliyor"),"",F363-TODAY())</f>
        <v/>
      </c>
      <c r="J363" s="17" t="str">
        <f aca="false">IF(I363="","",IF(I363&lt;0,"Vadesi geçti",IF(I363&lt;=7,"Bu hafta","")))</f>
        <v/>
      </c>
      <c r="K363" s="19" t="n">
        <f aca="false">IF(H363="Bekliyor",G363,0)</f>
        <v>0</v>
      </c>
    </row>
    <row r="364" customFormat="false" ht="15" hidden="false" customHeight="false" outlineLevel="0" collapsed="false">
      <c r="A364" s="12"/>
      <c r="B364" s="12"/>
      <c r="C364" s="13"/>
      <c r="D364" s="13"/>
      <c r="E364" s="13"/>
      <c r="F364" s="14"/>
      <c r="G364" s="15"/>
      <c r="H364" s="12"/>
      <c r="I364" s="16" t="str">
        <f aca="true">IF(OR(F364="",H364&lt;&gt;"Bekliyor"),"",F364-TODAY())</f>
        <v/>
      </c>
      <c r="J364" s="17" t="str">
        <f aca="false">IF(I364="","",IF(I364&lt;0,"Vadesi geçti",IF(I364&lt;=7,"Bu hafta","")))</f>
        <v/>
      </c>
      <c r="K364" s="19" t="n">
        <f aca="false">IF(H364="Bekliyor",G364,0)</f>
        <v>0</v>
      </c>
    </row>
    <row r="365" customFormat="false" ht="15" hidden="false" customHeight="false" outlineLevel="0" collapsed="false">
      <c r="A365" s="12"/>
      <c r="B365" s="12"/>
      <c r="C365" s="13"/>
      <c r="D365" s="13"/>
      <c r="E365" s="13"/>
      <c r="F365" s="14"/>
      <c r="G365" s="15"/>
      <c r="H365" s="12"/>
      <c r="I365" s="16" t="str">
        <f aca="true">IF(OR(F365="",H365&lt;&gt;"Bekliyor"),"",F365-TODAY())</f>
        <v/>
      </c>
      <c r="J365" s="17" t="str">
        <f aca="false">IF(I365="","",IF(I365&lt;0,"Vadesi geçti",IF(I365&lt;=7,"Bu hafta","")))</f>
        <v/>
      </c>
      <c r="K365" s="19" t="n">
        <f aca="false">IF(H365="Bekliyor",G365,0)</f>
        <v>0</v>
      </c>
    </row>
    <row r="366" customFormat="false" ht="15" hidden="false" customHeight="false" outlineLevel="0" collapsed="false">
      <c r="A366" s="12"/>
      <c r="B366" s="12"/>
      <c r="C366" s="13"/>
      <c r="D366" s="13"/>
      <c r="E366" s="13"/>
      <c r="F366" s="14"/>
      <c r="G366" s="15"/>
      <c r="H366" s="12"/>
      <c r="I366" s="16" t="str">
        <f aca="true">IF(OR(F366="",H366&lt;&gt;"Bekliyor"),"",F366-TODAY())</f>
        <v/>
      </c>
      <c r="J366" s="17" t="str">
        <f aca="false">IF(I366="","",IF(I366&lt;0,"Vadesi geçti",IF(I366&lt;=7,"Bu hafta","")))</f>
        <v/>
      </c>
      <c r="K366" s="19" t="n">
        <f aca="false">IF(H366="Bekliyor",G366,0)</f>
        <v>0</v>
      </c>
    </row>
    <row r="367" customFormat="false" ht="15" hidden="false" customHeight="false" outlineLevel="0" collapsed="false">
      <c r="A367" s="12"/>
      <c r="B367" s="12"/>
      <c r="C367" s="13"/>
      <c r="D367" s="13"/>
      <c r="E367" s="13"/>
      <c r="F367" s="14"/>
      <c r="G367" s="15"/>
      <c r="H367" s="12"/>
      <c r="I367" s="16" t="str">
        <f aca="true">IF(OR(F367="",H367&lt;&gt;"Bekliyor"),"",F367-TODAY())</f>
        <v/>
      </c>
      <c r="J367" s="17" t="str">
        <f aca="false">IF(I367="","",IF(I367&lt;0,"Vadesi geçti",IF(I367&lt;=7,"Bu hafta","")))</f>
        <v/>
      </c>
      <c r="K367" s="19" t="n">
        <f aca="false">IF(H367="Bekliyor",G367,0)</f>
        <v>0</v>
      </c>
    </row>
    <row r="368" customFormat="false" ht="15" hidden="false" customHeight="false" outlineLevel="0" collapsed="false">
      <c r="A368" s="12"/>
      <c r="B368" s="12"/>
      <c r="C368" s="13"/>
      <c r="D368" s="13"/>
      <c r="E368" s="13"/>
      <c r="F368" s="14"/>
      <c r="G368" s="15"/>
      <c r="H368" s="12"/>
      <c r="I368" s="16" t="str">
        <f aca="true">IF(OR(F368="",H368&lt;&gt;"Bekliyor"),"",F368-TODAY())</f>
        <v/>
      </c>
      <c r="J368" s="17" t="str">
        <f aca="false">IF(I368="","",IF(I368&lt;0,"Vadesi geçti",IF(I368&lt;=7,"Bu hafta","")))</f>
        <v/>
      </c>
      <c r="K368" s="19" t="n">
        <f aca="false">IF(H368="Bekliyor",G368,0)</f>
        <v>0</v>
      </c>
    </row>
    <row r="369" customFormat="false" ht="15" hidden="false" customHeight="false" outlineLevel="0" collapsed="false">
      <c r="A369" s="12"/>
      <c r="B369" s="12"/>
      <c r="C369" s="13"/>
      <c r="D369" s="13"/>
      <c r="E369" s="13"/>
      <c r="F369" s="14"/>
      <c r="G369" s="15"/>
      <c r="H369" s="12"/>
      <c r="I369" s="16" t="str">
        <f aca="true">IF(OR(F369="",H369&lt;&gt;"Bekliyor"),"",F369-TODAY())</f>
        <v/>
      </c>
      <c r="J369" s="17" t="str">
        <f aca="false">IF(I369="","",IF(I369&lt;0,"Vadesi geçti",IF(I369&lt;=7,"Bu hafta","")))</f>
        <v/>
      </c>
      <c r="K369" s="19" t="n">
        <f aca="false">IF(H369="Bekliyor",G369,0)</f>
        <v>0</v>
      </c>
    </row>
    <row r="370" customFormat="false" ht="15" hidden="false" customHeight="false" outlineLevel="0" collapsed="false">
      <c r="A370" s="12"/>
      <c r="B370" s="12"/>
      <c r="C370" s="13"/>
      <c r="D370" s="13"/>
      <c r="E370" s="13"/>
      <c r="F370" s="14"/>
      <c r="G370" s="15"/>
      <c r="H370" s="12"/>
      <c r="I370" s="16" t="str">
        <f aca="true">IF(OR(F370="",H370&lt;&gt;"Bekliyor"),"",F370-TODAY())</f>
        <v/>
      </c>
      <c r="J370" s="17" t="str">
        <f aca="false">IF(I370="","",IF(I370&lt;0,"Vadesi geçti",IF(I370&lt;=7,"Bu hafta","")))</f>
        <v/>
      </c>
      <c r="K370" s="19" t="n">
        <f aca="false">IF(H370="Bekliyor",G370,0)</f>
        <v>0</v>
      </c>
    </row>
    <row r="371" customFormat="false" ht="15" hidden="false" customHeight="false" outlineLevel="0" collapsed="false">
      <c r="A371" s="12"/>
      <c r="B371" s="12"/>
      <c r="C371" s="13"/>
      <c r="D371" s="13"/>
      <c r="E371" s="13"/>
      <c r="F371" s="14"/>
      <c r="G371" s="15"/>
      <c r="H371" s="12"/>
      <c r="I371" s="16" t="str">
        <f aca="true">IF(OR(F371="",H371&lt;&gt;"Bekliyor"),"",F371-TODAY())</f>
        <v/>
      </c>
      <c r="J371" s="17" t="str">
        <f aca="false">IF(I371="","",IF(I371&lt;0,"Vadesi geçti",IF(I371&lt;=7,"Bu hafta","")))</f>
        <v/>
      </c>
      <c r="K371" s="19" t="n">
        <f aca="false">IF(H371="Bekliyor",G371,0)</f>
        <v>0</v>
      </c>
    </row>
    <row r="372" customFormat="false" ht="15" hidden="false" customHeight="false" outlineLevel="0" collapsed="false">
      <c r="A372" s="12"/>
      <c r="B372" s="12"/>
      <c r="C372" s="13"/>
      <c r="D372" s="13"/>
      <c r="E372" s="13"/>
      <c r="F372" s="14"/>
      <c r="G372" s="15"/>
      <c r="H372" s="12"/>
      <c r="I372" s="16" t="str">
        <f aca="true">IF(OR(F372="",H372&lt;&gt;"Bekliyor"),"",F372-TODAY())</f>
        <v/>
      </c>
      <c r="J372" s="17" t="str">
        <f aca="false">IF(I372="","",IF(I372&lt;0,"Vadesi geçti",IF(I372&lt;=7,"Bu hafta","")))</f>
        <v/>
      </c>
      <c r="K372" s="19" t="n">
        <f aca="false">IF(H372="Bekliyor",G372,0)</f>
        <v>0</v>
      </c>
    </row>
    <row r="373" customFormat="false" ht="15" hidden="false" customHeight="false" outlineLevel="0" collapsed="false">
      <c r="A373" s="12"/>
      <c r="B373" s="12"/>
      <c r="C373" s="13"/>
      <c r="D373" s="13"/>
      <c r="E373" s="13"/>
      <c r="F373" s="14"/>
      <c r="G373" s="15"/>
      <c r="H373" s="12"/>
      <c r="I373" s="16" t="str">
        <f aca="true">IF(OR(F373="",H373&lt;&gt;"Bekliyor"),"",F373-TODAY())</f>
        <v/>
      </c>
      <c r="J373" s="17" t="str">
        <f aca="false">IF(I373="","",IF(I373&lt;0,"Vadesi geçti",IF(I373&lt;=7,"Bu hafta","")))</f>
        <v/>
      </c>
      <c r="K373" s="19" t="n">
        <f aca="false">IF(H373="Bekliyor",G373,0)</f>
        <v>0</v>
      </c>
    </row>
    <row r="374" customFormat="false" ht="15" hidden="false" customHeight="false" outlineLevel="0" collapsed="false">
      <c r="A374" s="12"/>
      <c r="B374" s="12"/>
      <c r="C374" s="13"/>
      <c r="D374" s="13"/>
      <c r="E374" s="13"/>
      <c r="F374" s="14"/>
      <c r="G374" s="15"/>
      <c r="H374" s="12"/>
      <c r="I374" s="16" t="str">
        <f aca="true">IF(OR(F374="",H374&lt;&gt;"Bekliyor"),"",F374-TODAY())</f>
        <v/>
      </c>
      <c r="J374" s="17" t="str">
        <f aca="false">IF(I374="","",IF(I374&lt;0,"Vadesi geçti",IF(I374&lt;=7,"Bu hafta","")))</f>
        <v/>
      </c>
      <c r="K374" s="19" t="n">
        <f aca="false">IF(H374="Bekliyor",G374,0)</f>
        <v>0</v>
      </c>
    </row>
    <row r="375" customFormat="false" ht="15" hidden="false" customHeight="false" outlineLevel="0" collapsed="false">
      <c r="A375" s="12"/>
      <c r="B375" s="12"/>
      <c r="C375" s="13"/>
      <c r="D375" s="13"/>
      <c r="E375" s="13"/>
      <c r="F375" s="14"/>
      <c r="G375" s="15"/>
      <c r="H375" s="12"/>
      <c r="I375" s="16" t="str">
        <f aca="true">IF(OR(F375="",H375&lt;&gt;"Bekliyor"),"",F375-TODAY())</f>
        <v/>
      </c>
      <c r="J375" s="17" t="str">
        <f aca="false">IF(I375="","",IF(I375&lt;0,"Vadesi geçti",IF(I375&lt;=7,"Bu hafta","")))</f>
        <v/>
      </c>
      <c r="K375" s="19" t="n">
        <f aca="false">IF(H375="Bekliyor",G375,0)</f>
        <v>0</v>
      </c>
    </row>
    <row r="376" customFormat="false" ht="15" hidden="false" customHeight="false" outlineLevel="0" collapsed="false">
      <c r="A376" s="12"/>
      <c r="B376" s="12"/>
      <c r="C376" s="13"/>
      <c r="D376" s="13"/>
      <c r="E376" s="13"/>
      <c r="F376" s="14"/>
      <c r="G376" s="15"/>
      <c r="H376" s="12"/>
      <c r="I376" s="16" t="str">
        <f aca="true">IF(OR(F376="",H376&lt;&gt;"Bekliyor"),"",F376-TODAY())</f>
        <v/>
      </c>
      <c r="J376" s="17" t="str">
        <f aca="false">IF(I376="","",IF(I376&lt;0,"Vadesi geçti",IF(I376&lt;=7,"Bu hafta","")))</f>
        <v/>
      </c>
      <c r="K376" s="19" t="n">
        <f aca="false">IF(H376="Bekliyor",G376,0)</f>
        <v>0</v>
      </c>
    </row>
    <row r="377" customFormat="false" ht="15" hidden="false" customHeight="false" outlineLevel="0" collapsed="false">
      <c r="A377" s="12"/>
      <c r="B377" s="12"/>
      <c r="C377" s="13"/>
      <c r="D377" s="13"/>
      <c r="E377" s="13"/>
      <c r="F377" s="14"/>
      <c r="G377" s="15"/>
      <c r="H377" s="12"/>
      <c r="I377" s="16" t="str">
        <f aca="true">IF(OR(F377="",H377&lt;&gt;"Bekliyor"),"",F377-TODAY())</f>
        <v/>
      </c>
      <c r="J377" s="17" t="str">
        <f aca="false">IF(I377="","",IF(I377&lt;0,"Vadesi geçti",IF(I377&lt;=7,"Bu hafta","")))</f>
        <v/>
      </c>
      <c r="K377" s="19" t="n">
        <f aca="false">IF(H377="Bekliyor",G377,0)</f>
        <v>0</v>
      </c>
    </row>
    <row r="378" customFormat="false" ht="15" hidden="false" customHeight="false" outlineLevel="0" collapsed="false">
      <c r="A378" s="12"/>
      <c r="B378" s="12"/>
      <c r="C378" s="13"/>
      <c r="D378" s="13"/>
      <c r="E378" s="13"/>
      <c r="F378" s="14"/>
      <c r="G378" s="15"/>
      <c r="H378" s="12"/>
      <c r="I378" s="16" t="str">
        <f aca="true">IF(OR(F378="",H378&lt;&gt;"Bekliyor"),"",F378-TODAY())</f>
        <v/>
      </c>
      <c r="J378" s="17" t="str">
        <f aca="false">IF(I378="","",IF(I378&lt;0,"Vadesi geçti",IF(I378&lt;=7,"Bu hafta","")))</f>
        <v/>
      </c>
      <c r="K378" s="19" t="n">
        <f aca="false">IF(H378="Bekliyor",G378,0)</f>
        <v>0</v>
      </c>
    </row>
    <row r="379" customFormat="false" ht="15" hidden="false" customHeight="false" outlineLevel="0" collapsed="false">
      <c r="A379" s="12"/>
      <c r="B379" s="12"/>
      <c r="C379" s="13"/>
      <c r="D379" s="13"/>
      <c r="E379" s="13"/>
      <c r="F379" s="14"/>
      <c r="G379" s="15"/>
      <c r="H379" s="12"/>
      <c r="I379" s="16" t="str">
        <f aca="true">IF(OR(F379="",H379&lt;&gt;"Bekliyor"),"",F379-TODAY())</f>
        <v/>
      </c>
      <c r="J379" s="17" t="str">
        <f aca="false">IF(I379="","",IF(I379&lt;0,"Vadesi geçti",IF(I379&lt;=7,"Bu hafta","")))</f>
        <v/>
      </c>
      <c r="K379" s="19" t="n">
        <f aca="false">IF(H379="Bekliyor",G379,0)</f>
        <v>0</v>
      </c>
    </row>
    <row r="380" customFormat="false" ht="15" hidden="false" customHeight="false" outlineLevel="0" collapsed="false">
      <c r="A380" s="12"/>
      <c r="B380" s="12"/>
      <c r="C380" s="13"/>
      <c r="D380" s="13"/>
      <c r="E380" s="13"/>
      <c r="F380" s="14"/>
      <c r="G380" s="15"/>
      <c r="H380" s="12"/>
      <c r="I380" s="16" t="str">
        <f aca="true">IF(OR(F380="",H380&lt;&gt;"Bekliyor"),"",F380-TODAY())</f>
        <v/>
      </c>
      <c r="J380" s="17" t="str">
        <f aca="false">IF(I380="","",IF(I380&lt;0,"Vadesi geçti",IF(I380&lt;=7,"Bu hafta","")))</f>
        <v/>
      </c>
      <c r="K380" s="19" t="n">
        <f aca="false">IF(H380="Bekliyor",G380,0)</f>
        <v>0</v>
      </c>
    </row>
    <row r="381" customFormat="false" ht="15" hidden="false" customHeight="false" outlineLevel="0" collapsed="false">
      <c r="A381" s="12"/>
      <c r="B381" s="12"/>
      <c r="C381" s="13"/>
      <c r="D381" s="13"/>
      <c r="E381" s="13"/>
      <c r="F381" s="14"/>
      <c r="G381" s="15"/>
      <c r="H381" s="12"/>
      <c r="I381" s="16" t="str">
        <f aca="true">IF(OR(F381="",H381&lt;&gt;"Bekliyor"),"",F381-TODAY())</f>
        <v/>
      </c>
      <c r="J381" s="17" t="str">
        <f aca="false">IF(I381="","",IF(I381&lt;0,"Vadesi geçti",IF(I381&lt;=7,"Bu hafta","")))</f>
        <v/>
      </c>
      <c r="K381" s="19" t="n">
        <f aca="false">IF(H381="Bekliyor",G381,0)</f>
        <v>0</v>
      </c>
    </row>
    <row r="382" customFormat="false" ht="15" hidden="false" customHeight="false" outlineLevel="0" collapsed="false">
      <c r="A382" s="12"/>
      <c r="B382" s="12"/>
      <c r="C382" s="13"/>
      <c r="D382" s="13"/>
      <c r="E382" s="13"/>
      <c r="F382" s="14"/>
      <c r="G382" s="15"/>
      <c r="H382" s="12"/>
      <c r="I382" s="16" t="str">
        <f aca="true">IF(OR(F382="",H382&lt;&gt;"Bekliyor"),"",F382-TODAY())</f>
        <v/>
      </c>
      <c r="J382" s="17" t="str">
        <f aca="false">IF(I382="","",IF(I382&lt;0,"Vadesi geçti",IF(I382&lt;=7,"Bu hafta","")))</f>
        <v/>
      </c>
      <c r="K382" s="19" t="n">
        <f aca="false">IF(H382="Bekliyor",G382,0)</f>
        <v>0</v>
      </c>
    </row>
    <row r="383" customFormat="false" ht="15" hidden="false" customHeight="false" outlineLevel="0" collapsed="false">
      <c r="A383" s="12"/>
      <c r="B383" s="12"/>
      <c r="C383" s="13"/>
      <c r="D383" s="13"/>
      <c r="E383" s="13"/>
      <c r="F383" s="14"/>
      <c r="G383" s="15"/>
      <c r="H383" s="12"/>
      <c r="I383" s="16" t="str">
        <f aca="true">IF(OR(F383="",H383&lt;&gt;"Bekliyor"),"",F383-TODAY())</f>
        <v/>
      </c>
      <c r="J383" s="17" t="str">
        <f aca="false">IF(I383="","",IF(I383&lt;0,"Vadesi geçti",IF(I383&lt;=7,"Bu hafta","")))</f>
        <v/>
      </c>
      <c r="K383" s="19" t="n">
        <f aca="false">IF(H383="Bekliyor",G383,0)</f>
        <v>0</v>
      </c>
    </row>
    <row r="384" customFormat="false" ht="15" hidden="false" customHeight="false" outlineLevel="0" collapsed="false">
      <c r="A384" s="12"/>
      <c r="B384" s="12"/>
      <c r="C384" s="13"/>
      <c r="D384" s="13"/>
      <c r="E384" s="13"/>
      <c r="F384" s="14"/>
      <c r="G384" s="15"/>
      <c r="H384" s="12"/>
      <c r="I384" s="16" t="str">
        <f aca="true">IF(OR(F384="",H384&lt;&gt;"Bekliyor"),"",F384-TODAY())</f>
        <v/>
      </c>
      <c r="J384" s="17" t="str">
        <f aca="false">IF(I384="","",IF(I384&lt;0,"Vadesi geçti",IF(I384&lt;=7,"Bu hafta","")))</f>
        <v/>
      </c>
      <c r="K384" s="19" t="n">
        <f aca="false">IF(H384="Bekliyor",G384,0)</f>
        <v>0</v>
      </c>
    </row>
    <row r="385" customFormat="false" ht="15" hidden="false" customHeight="false" outlineLevel="0" collapsed="false">
      <c r="A385" s="12"/>
      <c r="B385" s="12"/>
      <c r="C385" s="13"/>
      <c r="D385" s="13"/>
      <c r="E385" s="13"/>
      <c r="F385" s="14"/>
      <c r="G385" s="15"/>
      <c r="H385" s="12"/>
      <c r="I385" s="16" t="str">
        <f aca="true">IF(OR(F385="",H385&lt;&gt;"Bekliyor"),"",F385-TODAY())</f>
        <v/>
      </c>
      <c r="J385" s="17" t="str">
        <f aca="false">IF(I385="","",IF(I385&lt;0,"Vadesi geçti",IF(I385&lt;=7,"Bu hafta","")))</f>
        <v/>
      </c>
      <c r="K385" s="19" t="n">
        <f aca="false">IF(H385="Bekliyor",G385,0)</f>
        <v>0</v>
      </c>
    </row>
    <row r="386" customFormat="false" ht="15" hidden="false" customHeight="false" outlineLevel="0" collapsed="false">
      <c r="A386" s="12"/>
      <c r="B386" s="12"/>
      <c r="C386" s="13"/>
      <c r="D386" s="13"/>
      <c r="E386" s="13"/>
      <c r="F386" s="14"/>
      <c r="G386" s="15"/>
      <c r="H386" s="12"/>
      <c r="I386" s="16" t="str">
        <f aca="true">IF(OR(F386="",H386&lt;&gt;"Bekliyor"),"",F386-TODAY())</f>
        <v/>
      </c>
      <c r="J386" s="17" t="str">
        <f aca="false">IF(I386="","",IF(I386&lt;0,"Vadesi geçti",IF(I386&lt;=7,"Bu hafta","")))</f>
        <v/>
      </c>
      <c r="K386" s="19" t="n">
        <f aca="false">IF(H386="Bekliyor",G386,0)</f>
        <v>0</v>
      </c>
    </row>
    <row r="387" customFormat="false" ht="15" hidden="false" customHeight="false" outlineLevel="0" collapsed="false">
      <c r="A387" s="12"/>
      <c r="B387" s="12"/>
      <c r="C387" s="13"/>
      <c r="D387" s="13"/>
      <c r="E387" s="13"/>
      <c r="F387" s="14"/>
      <c r="G387" s="15"/>
      <c r="H387" s="12"/>
      <c r="I387" s="16" t="str">
        <f aca="true">IF(OR(F387="",H387&lt;&gt;"Bekliyor"),"",F387-TODAY())</f>
        <v/>
      </c>
      <c r="J387" s="17" t="str">
        <f aca="false">IF(I387="","",IF(I387&lt;0,"Vadesi geçti",IF(I387&lt;=7,"Bu hafta","")))</f>
        <v/>
      </c>
      <c r="K387" s="19" t="n">
        <f aca="false">IF(H387="Bekliyor",G387,0)</f>
        <v>0</v>
      </c>
    </row>
    <row r="388" customFormat="false" ht="15" hidden="false" customHeight="false" outlineLevel="0" collapsed="false">
      <c r="A388" s="12"/>
      <c r="B388" s="12"/>
      <c r="C388" s="13"/>
      <c r="D388" s="13"/>
      <c r="E388" s="13"/>
      <c r="F388" s="14"/>
      <c r="G388" s="15"/>
      <c r="H388" s="12"/>
      <c r="I388" s="16" t="str">
        <f aca="true">IF(OR(F388="",H388&lt;&gt;"Bekliyor"),"",F388-TODAY())</f>
        <v/>
      </c>
      <c r="J388" s="17" t="str">
        <f aca="false">IF(I388="","",IF(I388&lt;0,"Vadesi geçti",IF(I388&lt;=7,"Bu hafta","")))</f>
        <v/>
      </c>
      <c r="K388" s="19" t="n">
        <f aca="false">IF(H388="Bekliyor",G388,0)</f>
        <v>0</v>
      </c>
    </row>
    <row r="389" customFormat="false" ht="15" hidden="false" customHeight="false" outlineLevel="0" collapsed="false">
      <c r="A389" s="12"/>
      <c r="B389" s="12"/>
      <c r="C389" s="13"/>
      <c r="D389" s="13"/>
      <c r="E389" s="13"/>
      <c r="F389" s="14"/>
      <c r="G389" s="15"/>
      <c r="H389" s="12"/>
      <c r="I389" s="16" t="str">
        <f aca="true">IF(OR(F389="",H389&lt;&gt;"Bekliyor"),"",F389-TODAY())</f>
        <v/>
      </c>
      <c r="J389" s="17" t="str">
        <f aca="false">IF(I389="","",IF(I389&lt;0,"Vadesi geçti",IF(I389&lt;=7,"Bu hafta","")))</f>
        <v/>
      </c>
      <c r="K389" s="19" t="n">
        <f aca="false">IF(H389="Bekliyor",G389,0)</f>
        <v>0</v>
      </c>
    </row>
    <row r="390" customFormat="false" ht="15" hidden="false" customHeight="false" outlineLevel="0" collapsed="false">
      <c r="A390" s="12"/>
      <c r="B390" s="12"/>
      <c r="C390" s="13"/>
      <c r="D390" s="13"/>
      <c r="E390" s="13"/>
      <c r="F390" s="14"/>
      <c r="G390" s="15"/>
      <c r="H390" s="12"/>
      <c r="I390" s="16" t="str">
        <f aca="true">IF(OR(F390="",H390&lt;&gt;"Bekliyor"),"",F390-TODAY())</f>
        <v/>
      </c>
      <c r="J390" s="17" t="str">
        <f aca="false">IF(I390="","",IF(I390&lt;0,"Vadesi geçti",IF(I390&lt;=7,"Bu hafta","")))</f>
        <v/>
      </c>
      <c r="K390" s="19" t="n">
        <f aca="false">IF(H390="Bekliyor",G390,0)</f>
        <v>0</v>
      </c>
    </row>
    <row r="391" customFormat="false" ht="15" hidden="false" customHeight="false" outlineLevel="0" collapsed="false">
      <c r="A391" s="12"/>
      <c r="B391" s="12"/>
      <c r="C391" s="13"/>
      <c r="D391" s="13"/>
      <c r="E391" s="13"/>
      <c r="F391" s="14"/>
      <c r="G391" s="15"/>
      <c r="H391" s="12"/>
      <c r="I391" s="16" t="str">
        <f aca="true">IF(OR(F391="",H391&lt;&gt;"Bekliyor"),"",F391-TODAY())</f>
        <v/>
      </c>
      <c r="J391" s="17" t="str">
        <f aca="false">IF(I391="","",IF(I391&lt;0,"Vadesi geçti",IF(I391&lt;=7,"Bu hafta","")))</f>
        <v/>
      </c>
      <c r="K391" s="19" t="n">
        <f aca="false">IF(H391="Bekliyor",G391,0)</f>
        <v>0</v>
      </c>
    </row>
    <row r="392" customFormat="false" ht="15" hidden="false" customHeight="false" outlineLevel="0" collapsed="false">
      <c r="A392" s="12"/>
      <c r="B392" s="12"/>
      <c r="C392" s="13"/>
      <c r="D392" s="13"/>
      <c r="E392" s="13"/>
      <c r="F392" s="14"/>
      <c r="G392" s="15"/>
      <c r="H392" s="12"/>
      <c r="I392" s="16" t="str">
        <f aca="true">IF(OR(F392="",H392&lt;&gt;"Bekliyor"),"",F392-TODAY())</f>
        <v/>
      </c>
      <c r="J392" s="17" t="str">
        <f aca="false">IF(I392="","",IF(I392&lt;0,"Vadesi geçti",IF(I392&lt;=7,"Bu hafta","")))</f>
        <v/>
      </c>
      <c r="K392" s="19" t="n">
        <f aca="false">IF(H392="Bekliyor",G392,0)</f>
        <v>0</v>
      </c>
    </row>
    <row r="393" customFormat="false" ht="15" hidden="false" customHeight="false" outlineLevel="0" collapsed="false">
      <c r="A393" s="12"/>
      <c r="B393" s="12"/>
      <c r="C393" s="13"/>
      <c r="D393" s="13"/>
      <c r="E393" s="13"/>
      <c r="F393" s="14"/>
      <c r="G393" s="15"/>
      <c r="H393" s="12"/>
      <c r="I393" s="16" t="str">
        <f aca="true">IF(OR(F393="",H393&lt;&gt;"Bekliyor"),"",F393-TODAY())</f>
        <v/>
      </c>
      <c r="J393" s="17" t="str">
        <f aca="false">IF(I393="","",IF(I393&lt;0,"Vadesi geçti",IF(I393&lt;=7,"Bu hafta","")))</f>
        <v/>
      </c>
      <c r="K393" s="19" t="n">
        <f aca="false">IF(H393="Bekliyor",G393,0)</f>
        <v>0</v>
      </c>
    </row>
    <row r="394" customFormat="false" ht="15" hidden="false" customHeight="false" outlineLevel="0" collapsed="false">
      <c r="A394" s="12"/>
      <c r="B394" s="12"/>
      <c r="C394" s="13"/>
      <c r="D394" s="13"/>
      <c r="E394" s="13"/>
      <c r="F394" s="14"/>
      <c r="G394" s="15"/>
      <c r="H394" s="12"/>
      <c r="I394" s="16" t="str">
        <f aca="true">IF(OR(F394="",H394&lt;&gt;"Bekliyor"),"",F394-TODAY())</f>
        <v/>
      </c>
      <c r="J394" s="17" t="str">
        <f aca="false">IF(I394="","",IF(I394&lt;0,"Vadesi geçti",IF(I394&lt;=7,"Bu hafta","")))</f>
        <v/>
      </c>
      <c r="K394" s="19" t="n">
        <f aca="false">IF(H394="Bekliyor",G394,0)</f>
        <v>0</v>
      </c>
    </row>
    <row r="395" customFormat="false" ht="15" hidden="false" customHeight="false" outlineLevel="0" collapsed="false">
      <c r="A395" s="12"/>
      <c r="B395" s="12"/>
      <c r="C395" s="13"/>
      <c r="D395" s="13"/>
      <c r="E395" s="13"/>
      <c r="F395" s="14"/>
      <c r="G395" s="15"/>
      <c r="H395" s="12"/>
      <c r="I395" s="16" t="str">
        <f aca="true">IF(OR(F395="",H395&lt;&gt;"Bekliyor"),"",F395-TODAY())</f>
        <v/>
      </c>
      <c r="J395" s="17" t="str">
        <f aca="false">IF(I395="","",IF(I395&lt;0,"Vadesi geçti",IF(I395&lt;=7,"Bu hafta","")))</f>
        <v/>
      </c>
      <c r="K395" s="19" t="n">
        <f aca="false">IF(H395="Bekliyor",G395,0)</f>
        <v>0</v>
      </c>
    </row>
    <row r="396" customFormat="false" ht="15" hidden="false" customHeight="false" outlineLevel="0" collapsed="false">
      <c r="A396" s="12"/>
      <c r="B396" s="12"/>
      <c r="C396" s="13"/>
      <c r="D396" s="13"/>
      <c r="E396" s="13"/>
      <c r="F396" s="14"/>
      <c r="G396" s="15"/>
      <c r="H396" s="12"/>
      <c r="I396" s="16" t="str">
        <f aca="true">IF(OR(F396="",H396&lt;&gt;"Bekliyor"),"",F396-TODAY())</f>
        <v/>
      </c>
      <c r="J396" s="17" t="str">
        <f aca="false">IF(I396="","",IF(I396&lt;0,"Vadesi geçti",IF(I396&lt;=7,"Bu hafta","")))</f>
        <v/>
      </c>
      <c r="K396" s="19" t="n">
        <f aca="false">IF(H396="Bekliyor",G396,0)</f>
        <v>0</v>
      </c>
    </row>
    <row r="397" customFormat="false" ht="15" hidden="false" customHeight="false" outlineLevel="0" collapsed="false">
      <c r="A397" s="12"/>
      <c r="B397" s="12"/>
      <c r="C397" s="13"/>
      <c r="D397" s="13"/>
      <c r="E397" s="13"/>
      <c r="F397" s="14"/>
      <c r="G397" s="15"/>
      <c r="H397" s="12"/>
      <c r="I397" s="16" t="str">
        <f aca="true">IF(OR(F397="",H397&lt;&gt;"Bekliyor"),"",F397-TODAY())</f>
        <v/>
      </c>
      <c r="J397" s="17" t="str">
        <f aca="false">IF(I397="","",IF(I397&lt;0,"Vadesi geçti",IF(I397&lt;=7,"Bu hafta","")))</f>
        <v/>
      </c>
      <c r="K397" s="19" t="n">
        <f aca="false">IF(H397="Bekliyor",G397,0)</f>
        <v>0</v>
      </c>
    </row>
    <row r="398" customFormat="false" ht="15" hidden="false" customHeight="false" outlineLevel="0" collapsed="false">
      <c r="A398" s="12"/>
      <c r="B398" s="12"/>
      <c r="C398" s="13"/>
      <c r="D398" s="13"/>
      <c r="E398" s="13"/>
      <c r="F398" s="14"/>
      <c r="G398" s="15"/>
      <c r="H398" s="12"/>
      <c r="I398" s="16" t="str">
        <f aca="true">IF(OR(F398="",H398&lt;&gt;"Bekliyor"),"",F398-TODAY())</f>
        <v/>
      </c>
      <c r="J398" s="17" t="str">
        <f aca="false">IF(I398="","",IF(I398&lt;0,"Vadesi geçti",IF(I398&lt;=7,"Bu hafta","")))</f>
        <v/>
      </c>
      <c r="K398" s="19" t="n">
        <f aca="false">IF(H398="Bekliyor",G398,0)</f>
        <v>0</v>
      </c>
    </row>
    <row r="399" customFormat="false" ht="15" hidden="false" customHeight="false" outlineLevel="0" collapsed="false">
      <c r="A399" s="12"/>
      <c r="B399" s="12"/>
      <c r="C399" s="13"/>
      <c r="D399" s="13"/>
      <c r="E399" s="13"/>
      <c r="F399" s="14"/>
      <c r="G399" s="15"/>
      <c r="H399" s="12"/>
      <c r="I399" s="16" t="str">
        <f aca="true">IF(OR(F399="",H399&lt;&gt;"Bekliyor"),"",F399-TODAY())</f>
        <v/>
      </c>
      <c r="J399" s="17" t="str">
        <f aca="false">IF(I399="","",IF(I399&lt;0,"Vadesi geçti",IF(I399&lt;=7,"Bu hafta","")))</f>
        <v/>
      </c>
      <c r="K399" s="19" t="n">
        <f aca="false">IF(H399="Bekliyor",G399,0)</f>
        <v>0</v>
      </c>
    </row>
    <row r="400" customFormat="false" ht="15" hidden="false" customHeight="false" outlineLevel="0" collapsed="false">
      <c r="A400" s="12"/>
      <c r="B400" s="12"/>
      <c r="C400" s="13"/>
      <c r="D400" s="13"/>
      <c r="E400" s="13"/>
      <c r="F400" s="14"/>
      <c r="G400" s="15"/>
      <c r="H400" s="12"/>
      <c r="I400" s="16" t="str">
        <f aca="true">IF(OR(F400="",H400&lt;&gt;"Bekliyor"),"",F400-TODAY())</f>
        <v/>
      </c>
      <c r="J400" s="17" t="str">
        <f aca="false">IF(I400="","",IF(I400&lt;0,"Vadesi geçti",IF(I400&lt;=7,"Bu hafta","")))</f>
        <v/>
      </c>
      <c r="K400" s="19" t="n">
        <f aca="false">IF(H400="Bekliyor",G400,0)</f>
        <v>0</v>
      </c>
    </row>
    <row r="401" customFormat="false" ht="15" hidden="false" customHeight="false" outlineLevel="0" collapsed="false">
      <c r="A401" s="12"/>
      <c r="B401" s="12"/>
      <c r="C401" s="13"/>
      <c r="D401" s="13"/>
      <c r="E401" s="13"/>
      <c r="F401" s="14"/>
      <c r="G401" s="15"/>
      <c r="H401" s="12"/>
      <c r="I401" s="16" t="str">
        <f aca="true">IF(OR(F401="",H401&lt;&gt;"Bekliyor"),"",F401-TODAY())</f>
        <v/>
      </c>
      <c r="J401" s="17" t="str">
        <f aca="false">IF(I401="","",IF(I401&lt;0,"Vadesi geçti",IF(I401&lt;=7,"Bu hafta","")))</f>
        <v/>
      </c>
      <c r="K401" s="19" t="n">
        <f aca="false">IF(H401="Bekliyor",G401,0)</f>
        <v>0</v>
      </c>
    </row>
    <row r="402" customFormat="false" ht="15" hidden="false" customHeight="false" outlineLevel="0" collapsed="false">
      <c r="A402" s="12"/>
      <c r="B402" s="12"/>
      <c r="C402" s="13"/>
      <c r="D402" s="13"/>
      <c r="E402" s="13"/>
      <c r="F402" s="14"/>
      <c r="G402" s="15"/>
      <c r="H402" s="12"/>
      <c r="I402" s="16" t="str">
        <f aca="true">IF(OR(F402="",H402&lt;&gt;"Bekliyor"),"",F402-TODAY())</f>
        <v/>
      </c>
      <c r="J402" s="17" t="str">
        <f aca="false">IF(I402="","",IF(I402&lt;0,"Vadesi geçti",IF(I402&lt;=7,"Bu hafta","")))</f>
        <v/>
      </c>
      <c r="K402" s="19" t="n">
        <f aca="false">IF(H402="Bekliyor",G402,0)</f>
        <v>0</v>
      </c>
    </row>
    <row r="403" customFormat="false" ht="15" hidden="false" customHeight="false" outlineLevel="0" collapsed="false">
      <c r="A403" s="12"/>
      <c r="B403" s="12"/>
      <c r="C403" s="13"/>
      <c r="D403" s="13"/>
      <c r="E403" s="13"/>
      <c r="F403" s="14"/>
      <c r="G403" s="15"/>
      <c r="H403" s="12"/>
      <c r="I403" s="16" t="str">
        <f aca="true">IF(OR(F403="",H403&lt;&gt;"Bekliyor"),"",F403-TODAY())</f>
        <v/>
      </c>
      <c r="J403" s="17" t="str">
        <f aca="false">IF(I403="","",IF(I403&lt;0,"Vadesi geçti",IF(I403&lt;=7,"Bu hafta","")))</f>
        <v/>
      </c>
      <c r="K403" s="19" t="n">
        <f aca="false">IF(H403="Bekliyor",G403,0)</f>
        <v>0</v>
      </c>
    </row>
    <row r="404" customFormat="false" ht="15" hidden="false" customHeight="false" outlineLevel="0" collapsed="false">
      <c r="A404" s="12"/>
      <c r="B404" s="12"/>
      <c r="C404" s="13"/>
      <c r="D404" s="13"/>
      <c r="E404" s="13"/>
      <c r="F404" s="14"/>
      <c r="G404" s="15"/>
      <c r="H404" s="12"/>
      <c r="I404" s="16" t="str">
        <f aca="true">IF(OR(F404="",H404&lt;&gt;"Bekliyor"),"",F404-TODAY())</f>
        <v/>
      </c>
      <c r="J404" s="17" t="str">
        <f aca="false">IF(I404="","",IF(I404&lt;0,"Vadesi geçti",IF(I404&lt;=7,"Bu hafta","")))</f>
        <v/>
      </c>
      <c r="K404" s="19" t="n">
        <f aca="false">IF(H404="Bekliyor",G404,0)</f>
        <v>0</v>
      </c>
    </row>
    <row r="405" customFormat="false" ht="15" hidden="false" customHeight="false" outlineLevel="0" collapsed="false">
      <c r="A405" s="12"/>
      <c r="B405" s="12"/>
      <c r="C405" s="13"/>
      <c r="D405" s="13"/>
      <c r="E405" s="13"/>
      <c r="F405" s="14"/>
      <c r="G405" s="15"/>
      <c r="H405" s="12"/>
      <c r="I405" s="16" t="str">
        <f aca="true">IF(OR(F405="",H405&lt;&gt;"Bekliyor"),"",F405-TODAY())</f>
        <v/>
      </c>
      <c r="J405" s="17" t="str">
        <f aca="false">IF(I405="","",IF(I405&lt;0,"Vadesi geçti",IF(I405&lt;=7,"Bu hafta","")))</f>
        <v/>
      </c>
      <c r="K405" s="19" t="n">
        <f aca="false">IF(H405="Bekliyor",G405,0)</f>
        <v>0</v>
      </c>
    </row>
    <row r="406" customFormat="false" ht="15" hidden="false" customHeight="false" outlineLevel="0" collapsed="false">
      <c r="A406" s="12"/>
      <c r="B406" s="12"/>
      <c r="C406" s="13"/>
      <c r="D406" s="13"/>
      <c r="E406" s="13"/>
      <c r="F406" s="14"/>
      <c r="G406" s="15"/>
      <c r="H406" s="12"/>
      <c r="I406" s="16" t="str">
        <f aca="true">IF(OR(F406="",H406&lt;&gt;"Bekliyor"),"",F406-TODAY())</f>
        <v/>
      </c>
      <c r="J406" s="17" t="str">
        <f aca="false">IF(I406="","",IF(I406&lt;0,"Vadesi geçti",IF(I406&lt;=7,"Bu hafta","")))</f>
        <v/>
      </c>
      <c r="K406" s="19" t="n">
        <f aca="false">IF(H406="Bekliyor",G406,0)</f>
        <v>0</v>
      </c>
    </row>
    <row r="407" customFormat="false" ht="15" hidden="false" customHeight="false" outlineLevel="0" collapsed="false">
      <c r="A407" s="12"/>
      <c r="B407" s="12"/>
      <c r="C407" s="13"/>
      <c r="D407" s="13"/>
      <c r="E407" s="13"/>
      <c r="F407" s="14"/>
      <c r="G407" s="15"/>
      <c r="H407" s="12"/>
      <c r="I407" s="16" t="str">
        <f aca="true">IF(OR(F407="",H407&lt;&gt;"Bekliyor"),"",F407-TODAY())</f>
        <v/>
      </c>
      <c r="J407" s="17" t="str">
        <f aca="false">IF(I407="","",IF(I407&lt;0,"Vadesi geçti",IF(I407&lt;=7,"Bu hafta","")))</f>
        <v/>
      </c>
      <c r="K407" s="19" t="n">
        <f aca="false">IF(H407="Bekliyor",G407,0)</f>
        <v>0</v>
      </c>
    </row>
    <row r="408" customFormat="false" ht="15" hidden="false" customHeight="false" outlineLevel="0" collapsed="false">
      <c r="A408" s="12"/>
      <c r="B408" s="12"/>
      <c r="C408" s="13"/>
      <c r="D408" s="13"/>
      <c r="E408" s="13"/>
      <c r="F408" s="14"/>
      <c r="G408" s="15"/>
      <c r="H408" s="12"/>
      <c r="I408" s="16" t="str">
        <f aca="true">IF(OR(F408="",H408&lt;&gt;"Bekliyor"),"",F408-TODAY())</f>
        <v/>
      </c>
      <c r="J408" s="17" t="str">
        <f aca="false">IF(I408="","",IF(I408&lt;0,"Vadesi geçti",IF(I408&lt;=7,"Bu hafta","")))</f>
        <v/>
      </c>
      <c r="K408" s="19" t="n">
        <f aca="false">IF(H408="Bekliyor",G408,0)</f>
        <v>0</v>
      </c>
    </row>
    <row r="409" customFormat="false" ht="15" hidden="false" customHeight="false" outlineLevel="0" collapsed="false">
      <c r="A409" s="12"/>
      <c r="B409" s="12"/>
      <c r="C409" s="13"/>
      <c r="D409" s="13"/>
      <c r="E409" s="13"/>
      <c r="F409" s="14"/>
      <c r="G409" s="15"/>
      <c r="H409" s="12"/>
      <c r="I409" s="16" t="str">
        <f aca="true">IF(OR(F409="",H409&lt;&gt;"Bekliyor"),"",F409-TODAY())</f>
        <v/>
      </c>
      <c r="J409" s="17" t="str">
        <f aca="false">IF(I409="","",IF(I409&lt;0,"Vadesi geçti",IF(I409&lt;=7,"Bu hafta","")))</f>
        <v/>
      </c>
      <c r="K409" s="19" t="n">
        <f aca="false">IF(H409="Bekliyor",G409,0)</f>
        <v>0</v>
      </c>
    </row>
    <row r="410" customFormat="false" ht="15" hidden="false" customHeight="false" outlineLevel="0" collapsed="false">
      <c r="A410" s="12"/>
      <c r="B410" s="12"/>
      <c r="C410" s="13"/>
      <c r="D410" s="13"/>
      <c r="E410" s="13"/>
      <c r="F410" s="14"/>
      <c r="G410" s="15"/>
      <c r="H410" s="12"/>
      <c r="I410" s="16" t="str">
        <f aca="true">IF(OR(F410="",H410&lt;&gt;"Bekliyor"),"",F410-TODAY())</f>
        <v/>
      </c>
      <c r="J410" s="17" t="str">
        <f aca="false">IF(I410="","",IF(I410&lt;0,"Vadesi geçti",IF(I410&lt;=7,"Bu hafta","")))</f>
        <v/>
      </c>
      <c r="K410" s="19" t="n">
        <f aca="false">IF(H410="Bekliyor",G410,0)</f>
        <v>0</v>
      </c>
    </row>
    <row r="411" customFormat="false" ht="15" hidden="false" customHeight="false" outlineLevel="0" collapsed="false">
      <c r="A411" s="12"/>
      <c r="B411" s="12"/>
      <c r="C411" s="13"/>
      <c r="D411" s="13"/>
      <c r="E411" s="13"/>
      <c r="F411" s="14"/>
      <c r="G411" s="15"/>
      <c r="H411" s="12"/>
      <c r="I411" s="16" t="str">
        <f aca="true">IF(OR(F411="",H411&lt;&gt;"Bekliyor"),"",F411-TODAY())</f>
        <v/>
      </c>
      <c r="J411" s="17" t="str">
        <f aca="false">IF(I411="","",IF(I411&lt;0,"Vadesi geçti",IF(I411&lt;=7,"Bu hafta","")))</f>
        <v/>
      </c>
      <c r="K411" s="19" t="n">
        <f aca="false">IF(H411="Bekliyor",G411,0)</f>
        <v>0</v>
      </c>
    </row>
    <row r="412" customFormat="false" ht="15" hidden="false" customHeight="false" outlineLevel="0" collapsed="false">
      <c r="A412" s="12"/>
      <c r="B412" s="12"/>
      <c r="C412" s="13"/>
      <c r="D412" s="13"/>
      <c r="E412" s="13"/>
      <c r="F412" s="14"/>
      <c r="G412" s="15"/>
      <c r="H412" s="12"/>
      <c r="I412" s="16" t="str">
        <f aca="true">IF(OR(F412="",H412&lt;&gt;"Bekliyor"),"",F412-TODAY())</f>
        <v/>
      </c>
      <c r="J412" s="17" t="str">
        <f aca="false">IF(I412="","",IF(I412&lt;0,"Vadesi geçti",IF(I412&lt;=7,"Bu hafta","")))</f>
        <v/>
      </c>
      <c r="K412" s="19" t="n">
        <f aca="false">IF(H412="Bekliyor",G412,0)</f>
        <v>0</v>
      </c>
    </row>
    <row r="413" customFormat="false" ht="15" hidden="false" customHeight="false" outlineLevel="0" collapsed="false">
      <c r="A413" s="12"/>
      <c r="B413" s="12"/>
      <c r="C413" s="13"/>
      <c r="D413" s="13"/>
      <c r="E413" s="13"/>
      <c r="F413" s="14"/>
      <c r="G413" s="15"/>
      <c r="H413" s="12"/>
      <c r="I413" s="16" t="str">
        <f aca="true">IF(OR(F413="",H413&lt;&gt;"Bekliyor"),"",F413-TODAY())</f>
        <v/>
      </c>
      <c r="J413" s="17" t="str">
        <f aca="false">IF(I413="","",IF(I413&lt;0,"Vadesi geçti",IF(I413&lt;=7,"Bu hafta","")))</f>
        <v/>
      </c>
      <c r="K413" s="19" t="n">
        <f aca="false">IF(H413="Bekliyor",G413,0)</f>
        <v>0</v>
      </c>
    </row>
    <row r="414" customFormat="false" ht="15" hidden="false" customHeight="false" outlineLevel="0" collapsed="false">
      <c r="A414" s="12"/>
      <c r="B414" s="12"/>
      <c r="C414" s="13"/>
      <c r="D414" s="13"/>
      <c r="E414" s="13"/>
      <c r="F414" s="14"/>
      <c r="G414" s="15"/>
      <c r="H414" s="12"/>
      <c r="I414" s="16" t="str">
        <f aca="true">IF(OR(F414="",H414&lt;&gt;"Bekliyor"),"",F414-TODAY())</f>
        <v/>
      </c>
      <c r="J414" s="17" t="str">
        <f aca="false">IF(I414="","",IF(I414&lt;0,"Vadesi geçti",IF(I414&lt;=7,"Bu hafta","")))</f>
        <v/>
      </c>
      <c r="K414" s="19" t="n">
        <f aca="false">IF(H414="Bekliyor",G414,0)</f>
        <v>0</v>
      </c>
    </row>
    <row r="415" customFormat="false" ht="15" hidden="false" customHeight="false" outlineLevel="0" collapsed="false">
      <c r="A415" s="12"/>
      <c r="B415" s="12"/>
      <c r="C415" s="13"/>
      <c r="D415" s="13"/>
      <c r="E415" s="13"/>
      <c r="F415" s="14"/>
      <c r="G415" s="15"/>
      <c r="H415" s="12"/>
      <c r="I415" s="16" t="str">
        <f aca="true">IF(OR(F415="",H415&lt;&gt;"Bekliyor"),"",F415-TODAY())</f>
        <v/>
      </c>
      <c r="J415" s="17" t="str">
        <f aca="false">IF(I415="","",IF(I415&lt;0,"Vadesi geçti",IF(I415&lt;=7,"Bu hafta","")))</f>
        <v/>
      </c>
      <c r="K415" s="19" t="n">
        <f aca="false">IF(H415="Bekliyor",G415,0)</f>
        <v>0</v>
      </c>
    </row>
    <row r="416" customFormat="false" ht="15" hidden="false" customHeight="false" outlineLevel="0" collapsed="false">
      <c r="A416" s="12"/>
      <c r="B416" s="12"/>
      <c r="C416" s="13"/>
      <c r="D416" s="13"/>
      <c r="E416" s="13"/>
      <c r="F416" s="14"/>
      <c r="G416" s="15"/>
      <c r="H416" s="12"/>
      <c r="I416" s="16" t="str">
        <f aca="true">IF(OR(F416="",H416&lt;&gt;"Bekliyor"),"",F416-TODAY())</f>
        <v/>
      </c>
      <c r="J416" s="17" t="str">
        <f aca="false">IF(I416="","",IF(I416&lt;0,"Vadesi geçti",IF(I416&lt;=7,"Bu hafta","")))</f>
        <v/>
      </c>
      <c r="K416" s="19" t="n">
        <f aca="false">IF(H416="Bekliyor",G416,0)</f>
        <v>0</v>
      </c>
    </row>
    <row r="417" customFormat="false" ht="15" hidden="false" customHeight="false" outlineLevel="0" collapsed="false">
      <c r="A417" s="12"/>
      <c r="B417" s="12"/>
      <c r="C417" s="13"/>
      <c r="D417" s="13"/>
      <c r="E417" s="13"/>
      <c r="F417" s="14"/>
      <c r="G417" s="15"/>
      <c r="H417" s="12"/>
      <c r="I417" s="16" t="str">
        <f aca="true">IF(OR(F417="",H417&lt;&gt;"Bekliyor"),"",F417-TODAY())</f>
        <v/>
      </c>
      <c r="J417" s="17" t="str">
        <f aca="false">IF(I417="","",IF(I417&lt;0,"Vadesi geçti",IF(I417&lt;=7,"Bu hafta","")))</f>
        <v/>
      </c>
      <c r="K417" s="19" t="n">
        <f aca="false">IF(H417="Bekliyor",G417,0)</f>
        <v>0</v>
      </c>
    </row>
    <row r="418" customFormat="false" ht="15" hidden="false" customHeight="false" outlineLevel="0" collapsed="false">
      <c r="A418" s="12"/>
      <c r="B418" s="12"/>
      <c r="C418" s="13"/>
      <c r="D418" s="13"/>
      <c r="E418" s="13"/>
      <c r="F418" s="14"/>
      <c r="G418" s="15"/>
      <c r="H418" s="12"/>
      <c r="I418" s="16" t="str">
        <f aca="true">IF(OR(F418="",H418&lt;&gt;"Bekliyor"),"",F418-TODAY())</f>
        <v/>
      </c>
      <c r="J418" s="17" t="str">
        <f aca="false">IF(I418="","",IF(I418&lt;0,"Vadesi geçti",IF(I418&lt;=7,"Bu hafta","")))</f>
        <v/>
      </c>
      <c r="K418" s="19" t="n">
        <f aca="false">IF(H418="Bekliyor",G418,0)</f>
        <v>0</v>
      </c>
    </row>
    <row r="419" customFormat="false" ht="15" hidden="false" customHeight="false" outlineLevel="0" collapsed="false">
      <c r="A419" s="12"/>
      <c r="B419" s="12"/>
      <c r="C419" s="13"/>
      <c r="D419" s="13"/>
      <c r="E419" s="13"/>
      <c r="F419" s="14"/>
      <c r="G419" s="15"/>
      <c r="H419" s="12"/>
      <c r="I419" s="16" t="str">
        <f aca="true">IF(OR(F419="",H419&lt;&gt;"Bekliyor"),"",F419-TODAY())</f>
        <v/>
      </c>
      <c r="J419" s="17" t="str">
        <f aca="false">IF(I419="","",IF(I419&lt;0,"Vadesi geçti",IF(I419&lt;=7,"Bu hafta","")))</f>
        <v/>
      </c>
      <c r="K419" s="19" t="n">
        <f aca="false">IF(H419="Bekliyor",G419,0)</f>
        <v>0</v>
      </c>
    </row>
    <row r="420" customFormat="false" ht="15" hidden="false" customHeight="false" outlineLevel="0" collapsed="false">
      <c r="A420" s="12"/>
      <c r="B420" s="12"/>
      <c r="C420" s="13"/>
      <c r="D420" s="13"/>
      <c r="E420" s="13"/>
      <c r="F420" s="14"/>
      <c r="G420" s="15"/>
      <c r="H420" s="12"/>
      <c r="I420" s="16" t="str">
        <f aca="true">IF(OR(F420="",H420&lt;&gt;"Bekliyor"),"",F420-TODAY())</f>
        <v/>
      </c>
      <c r="J420" s="17" t="str">
        <f aca="false">IF(I420="","",IF(I420&lt;0,"Vadesi geçti",IF(I420&lt;=7,"Bu hafta","")))</f>
        <v/>
      </c>
      <c r="K420" s="19" t="n">
        <f aca="false">IF(H420="Bekliyor",G420,0)</f>
        <v>0</v>
      </c>
    </row>
    <row r="421" customFormat="false" ht="15" hidden="false" customHeight="false" outlineLevel="0" collapsed="false">
      <c r="A421" s="12"/>
      <c r="B421" s="12"/>
      <c r="C421" s="13"/>
      <c r="D421" s="13"/>
      <c r="E421" s="13"/>
      <c r="F421" s="14"/>
      <c r="G421" s="15"/>
      <c r="H421" s="12"/>
      <c r="I421" s="16" t="str">
        <f aca="true">IF(OR(F421="",H421&lt;&gt;"Bekliyor"),"",F421-TODAY())</f>
        <v/>
      </c>
      <c r="J421" s="17" t="str">
        <f aca="false">IF(I421="","",IF(I421&lt;0,"Vadesi geçti",IF(I421&lt;=7,"Bu hafta","")))</f>
        <v/>
      </c>
      <c r="K421" s="19" t="n">
        <f aca="false">IF(H421="Bekliyor",G421,0)</f>
        <v>0</v>
      </c>
    </row>
    <row r="422" customFormat="false" ht="15" hidden="false" customHeight="false" outlineLevel="0" collapsed="false">
      <c r="A422" s="12"/>
      <c r="B422" s="12"/>
      <c r="C422" s="13"/>
      <c r="D422" s="13"/>
      <c r="E422" s="13"/>
      <c r="F422" s="14"/>
      <c r="G422" s="15"/>
      <c r="H422" s="12"/>
      <c r="I422" s="16" t="str">
        <f aca="true">IF(OR(F422="",H422&lt;&gt;"Bekliyor"),"",F422-TODAY())</f>
        <v/>
      </c>
      <c r="J422" s="17" t="str">
        <f aca="false">IF(I422="","",IF(I422&lt;0,"Vadesi geçti",IF(I422&lt;=7,"Bu hafta","")))</f>
        <v/>
      </c>
      <c r="K422" s="19" t="n">
        <f aca="false">IF(H422="Bekliyor",G422,0)</f>
        <v>0</v>
      </c>
    </row>
    <row r="423" customFormat="false" ht="15" hidden="false" customHeight="false" outlineLevel="0" collapsed="false">
      <c r="A423" s="12"/>
      <c r="B423" s="12"/>
      <c r="C423" s="13"/>
      <c r="D423" s="13"/>
      <c r="E423" s="13"/>
      <c r="F423" s="14"/>
      <c r="G423" s="15"/>
      <c r="H423" s="12"/>
      <c r="I423" s="16" t="str">
        <f aca="true">IF(OR(F423="",H423&lt;&gt;"Bekliyor"),"",F423-TODAY())</f>
        <v/>
      </c>
      <c r="J423" s="17" t="str">
        <f aca="false">IF(I423="","",IF(I423&lt;0,"Vadesi geçti",IF(I423&lt;=7,"Bu hafta","")))</f>
        <v/>
      </c>
      <c r="K423" s="19" t="n">
        <f aca="false">IF(H423="Bekliyor",G423,0)</f>
        <v>0</v>
      </c>
    </row>
    <row r="424" customFormat="false" ht="15" hidden="false" customHeight="false" outlineLevel="0" collapsed="false">
      <c r="A424" s="12"/>
      <c r="B424" s="12"/>
      <c r="C424" s="13"/>
      <c r="D424" s="13"/>
      <c r="E424" s="13"/>
      <c r="F424" s="14"/>
      <c r="G424" s="15"/>
      <c r="H424" s="12"/>
      <c r="I424" s="16" t="str">
        <f aca="true">IF(OR(F424="",H424&lt;&gt;"Bekliyor"),"",F424-TODAY())</f>
        <v/>
      </c>
      <c r="J424" s="17" t="str">
        <f aca="false">IF(I424="","",IF(I424&lt;0,"Vadesi geçti",IF(I424&lt;=7,"Bu hafta","")))</f>
        <v/>
      </c>
      <c r="K424" s="19" t="n">
        <f aca="false">IF(H424="Bekliyor",G424,0)</f>
        <v>0</v>
      </c>
    </row>
    <row r="425" customFormat="false" ht="15" hidden="false" customHeight="false" outlineLevel="0" collapsed="false">
      <c r="A425" s="12"/>
      <c r="B425" s="12"/>
      <c r="C425" s="13"/>
      <c r="D425" s="13"/>
      <c r="E425" s="13"/>
      <c r="F425" s="14"/>
      <c r="G425" s="15"/>
      <c r="H425" s="12"/>
      <c r="I425" s="16" t="str">
        <f aca="true">IF(OR(F425="",H425&lt;&gt;"Bekliyor"),"",F425-TODAY())</f>
        <v/>
      </c>
      <c r="J425" s="17" t="str">
        <f aca="false">IF(I425="","",IF(I425&lt;0,"Vadesi geçti",IF(I425&lt;=7,"Bu hafta","")))</f>
        <v/>
      </c>
      <c r="K425" s="19" t="n">
        <f aca="false">IF(H425="Bekliyor",G425,0)</f>
        <v>0</v>
      </c>
    </row>
    <row r="426" customFormat="false" ht="15" hidden="false" customHeight="false" outlineLevel="0" collapsed="false">
      <c r="A426" s="12"/>
      <c r="B426" s="12"/>
      <c r="C426" s="13"/>
      <c r="D426" s="13"/>
      <c r="E426" s="13"/>
      <c r="F426" s="14"/>
      <c r="G426" s="15"/>
      <c r="H426" s="12"/>
      <c r="I426" s="16" t="str">
        <f aca="true">IF(OR(F426="",H426&lt;&gt;"Bekliyor"),"",F426-TODAY())</f>
        <v/>
      </c>
      <c r="J426" s="17" t="str">
        <f aca="false">IF(I426="","",IF(I426&lt;0,"Vadesi geçti",IF(I426&lt;=7,"Bu hafta","")))</f>
        <v/>
      </c>
      <c r="K426" s="19" t="n">
        <f aca="false">IF(H426="Bekliyor",G426,0)</f>
        <v>0</v>
      </c>
    </row>
    <row r="427" customFormat="false" ht="15" hidden="false" customHeight="false" outlineLevel="0" collapsed="false">
      <c r="A427" s="12"/>
      <c r="B427" s="12"/>
      <c r="C427" s="13"/>
      <c r="D427" s="13"/>
      <c r="E427" s="13"/>
      <c r="F427" s="14"/>
      <c r="G427" s="15"/>
      <c r="H427" s="12"/>
      <c r="I427" s="16" t="str">
        <f aca="true">IF(OR(F427="",H427&lt;&gt;"Bekliyor"),"",F427-TODAY())</f>
        <v/>
      </c>
      <c r="J427" s="17" t="str">
        <f aca="false">IF(I427="","",IF(I427&lt;0,"Vadesi geçti",IF(I427&lt;=7,"Bu hafta","")))</f>
        <v/>
      </c>
      <c r="K427" s="19" t="n">
        <f aca="false">IF(H427="Bekliyor",G427,0)</f>
        <v>0</v>
      </c>
    </row>
    <row r="428" customFormat="false" ht="15" hidden="false" customHeight="false" outlineLevel="0" collapsed="false">
      <c r="A428" s="12"/>
      <c r="B428" s="12"/>
      <c r="C428" s="13"/>
      <c r="D428" s="13"/>
      <c r="E428" s="13"/>
      <c r="F428" s="14"/>
      <c r="G428" s="15"/>
      <c r="H428" s="12"/>
      <c r="I428" s="16" t="str">
        <f aca="true">IF(OR(F428="",H428&lt;&gt;"Bekliyor"),"",F428-TODAY())</f>
        <v/>
      </c>
      <c r="J428" s="17" t="str">
        <f aca="false">IF(I428="","",IF(I428&lt;0,"Vadesi geçti",IF(I428&lt;=7,"Bu hafta","")))</f>
        <v/>
      </c>
      <c r="K428" s="19" t="n">
        <f aca="false">IF(H428="Bekliyor",G428,0)</f>
        <v>0</v>
      </c>
    </row>
    <row r="429" customFormat="false" ht="15" hidden="false" customHeight="false" outlineLevel="0" collapsed="false">
      <c r="A429" s="12"/>
      <c r="B429" s="12"/>
      <c r="C429" s="13"/>
      <c r="D429" s="13"/>
      <c r="E429" s="13"/>
      <c r="F429" s="14"/>
      <c r="G429" s="15"/>
      <c r="H429" s="12"/>
      <c r="I429" s="16" t="str">
        <f aca="true">IF(OR(F429="",H429&lt;&gt;"Bekliyor"),"",F429-TODAY())</f>
        <v/>
      </c>
      <c r="J429" s="17" t="str">
        <f aca="false">IF(I429="","",IF(I429&lt;0,"Vadesi geçti",IF(I429&lt;=7,"Bu hafta","")))</f>
        <v/>
      </c>
      <c r="K429" s="19" t="n">
        <f aca="false">IF(H429="Bekliyor",G429,0)</f>
        <v>0</v>
      </c>
    </row>
    <row r="430" customFormat="false" ht="15" hidden="false" customHeight="false" outlineLevel="0" collapsed="false">
      <c r="A430" s="12"/>
      <c r="B430" s="12"/>
      <c r="C430" s="13"/>
      <c r="D430" s="13"/>
      <c r="E430" s="13"/>
      <c r="F430" s="14"/>
      <c r="G430" s="15"/>
      <c r="H430" s="12"/>
      <c r="I430" s="16" t="str">
        <f aca="true">IF(OR(F430="",H430&lt;&gt;"Bekliyor"),"",F430-TODAY())</f>
        <v/>
      </c>
      <c r="J430" s="17" t="str">
        <f aca="false">IF(I430="","",IF(I430&lt;0,"Vadesi geçti",IF(I430&lt;=7,"Bu hafta","")))</f>
        <v/>
      </c>
      <c r="K430" s="19" t="n">
        <f aca="false">IF(H430="Bekliyor",G430,0)</f>
        <v>0</v>
      </c>
    </row>
    <row r="431" customFormat="false" ht="15" hidden="false" customHeight="false" outlineLevel="0" collapsed="false">
      <c r="A431" s="12"/>
      <c r="B431" s="12"/>
      <c r="C431" s="13"/>
      <c r="D431" s="13"/>
      <c r="E431" s="13"/>
      <c r="F431" s="14"/>
      <c r="G431" s="15"/>
      <c r="H431" s="12"/>
      <c r="I431" s="16" t="str">
        <f aca="true">IF(OR(F431="",H431&lt;&gt;"Bekliyor"),"",F431-TODAY())</f>
        <v/>
      </c>
      <c r="J431" s="17" t="str">
        <f aca="false">IF(I431="","",IF(I431&lt;0,"Vadesi geçti",IF(I431&lt;=7,"Bu hafta","")))</f>
        <v/>
      </c>
      <c r="K431" s="19" t="n">
        <f aca="false">IF(H431="Bekliyor",G431,0)</f>
        <v>0</v>
      </c>
    </row>
    <row r="432" customFormat="false" ht="15" hidden="false" customHeight="false" outlineLevel="0" collapsed="false">
      <c r="A432" s="12"/>
      <c r="B432" s="12"/>
      <c r="C432" s="13"/>
      <c r="D432" s="13"/>
      <c r="E432" s="13"/>
      <c r="F432" s="14"/>
      <c r="G432" s="15"/>
      <c r="H432" s="12"/>
      <c r="I432" s="16" t="str">
        <f aca="true">IF(OR(F432="",H432&lt;&gt;"Bekliyor"),"",F432-TODAY())</f>
        <v/>
      </c>
      <c r="J432" s="17" t="str">
        <f aca="false">IF(I432="","",IF(I432&lt;0,"Vadesi geçti",IF(I432&lt;=7,"Bu hafta","")))</f>
        <v/>
      </c>
      <c r="K432" s="19" t="n">
        <f aca="false">IF(H432="Bekliyor",G432,0)</f>
        <v>0</v>
      </c>
    </row>
    <row r="433" customFormat="false" ht="15" hidden="false" customHeight="false" outlineLevel="0" collapsed="false">
      <c r="A433" s="12"/>
      <c r="B433" s="12"/>
      <c r="C433" s="13"/>
      <c r="D433" s="13"/>
      <c r="E433" s="13"/>
      <c r="F433" s="14"/>
      <c r="G433" s="15"/>
      <c r="H433" s="12"/>
      <c r="I433" s="16" t="str">
        <f aca="true">IF(OR(F433="",H433&lt;&gt;"Bekliyor"),"",F433-TODAY())</f>
        <v/>
      </c>
      <c r="J433" s="17" t="str">
        <f aca="false">IF(I433="","",IF(I433&lt;0,"Vadesi geçti",IF(I433&lt;=7,"Bu hafta","")))</f>
        <v/>
      </c>
      <c r="K433" s="19" t="n">
        <f aca="false">IF(H433="Bekliyor",G433,0)</f>
        <v>0</v>
      </c>
    </row>
    <row r="434" customFormat="false" ht="15" hidden="false" customHeight="false" outlineLevel="0" collapsed="false">
      <c r="A434" s="12"/>
      <c r="B434" s="12"/>
      <c r="C434" s="13"/>
      <c r="D434" s="13"/>
      <c r="E434" s="13"/>
      <c r="F434" s="14"/>
      <c r="G434" s="15"/>
      <c r="H434" s="12"/>
      <c r="I434" s="16" t="str">
        <f aca="true">IF(OR(F434="",H434&lt;&gt;"Bekliyor"),"",F434-TODAY())</f>
        <v/>
      </c>
      <c r="J434" s="17" t="str">
        <f aca="false">IF(I434="","",IF(I434&lt;0,"Vadesi geçti",IF(I434&lt;=7,"Bu hafta","")))</f>
        <v/>
      </c>
      <c r="K434" s="19" t="n">
        <f aca="false">IF(H434="Bekliyor",G434,0)</f>
        <v>0</v>
      </c>
    </row>
    <row r="435" customFormat="false" ht="15" hidden="false" customHeight="false" outlineLevel="0" collapsed="false">
      <c r="A435" s="12"/>
      <c r="B435" s="12"/>
      <c r="C435" s="13"/>
      <c r="D435" s="13"/>
      <c r="E435" s="13"/>
      <c r="F435" s="14"/>
      <c r="G435" s="15"/>
      <c r="H435" s="12"/>
      <c r="I435" s="16" t="str">
        <f aca="true">IF(OR(F435="",H435&lt;&gt;"Bekliyor"),"",F435-TODAY())</f>
        <v/>
      </c>
      <c r="J435" s="17" t="str">
        <f aca="false">IF(I435="","",IF(I435&lt;0,"Vadesi geçti",IF(I435&lt;=7,"Bu hafta","")))</f>
        <v/>
      </c>
      <c r="K435" s="19" t="n">
        <f aca="false">IF(H435="Bekliyor",G435,0)</f>
        <v>0</v>
      </c>
    </row>
    <row r="436" customFormat="false" ht="15" hidden="false" customHeight="false" outlineLevel="0" collapsed="false">
      <c r="A436" s="12"/>
      <c r="B436" s="12"/>
      <c r="C436" s="13"/>
      <c r="D436" s="13"/>
      <c r="E436" s="13"/>
      <c r="F436" s="14"/>
      <c r="G436" s="15"/>
      <c r="H436" s="12"/>
      <c r="I436" s="16" t="str">
        <f aca="true">IF(OR(F436="",H436&lt;&gt;"Bekliyor"),"",F436-TODAY())</f>
        <v/>
      </c>
      <c r="J436" s="17" t="str">
        <f aca="false">IF(I436="","",IF(I436&lt;0,"Vadesi geçti",IF(I436&lt;=7,"Bu hafta","")))</f>
        <v/>
      </c>
      <c r="K436" s="19" t="n">
        <f aca="false">IF(H436="Bekliyor",G436,0)</f>
        <v>0</v>
      </c>
    </row>
    <row r="437" customFormat="false" ht="15" hidden="false" customHeight="false" outlineLevel="0" collapsed="false">
      <c r="A437" s="12"/>
      <c r="B437" s="12"/>
      <c r="C437" s="13"/>
      <c r="D437" s="13"/>
      <c r="E437" s="13"/>
      <c r="F437" s="14"/>
      <c r="G437" s="15"/>
      <c r="H437" s="12"/>
      <c r="I437" s="16" t="str">
        <f aca="true">IF(OR(F437="",H437&lt;&gt;"Bekliyor"),"",F437-TODAY())</f>
        <v/>
      </c>
      <c r="J437" s="17" t="str">
        <f aca="false">IF(I437="","",IF(I437&lt;0,"Vadesi geçti",IF(I437&lt;=7,"Bu hafta","")))</f>
        <v/>
      </c>
      <c r="K437" s="19" t="n">
        <f aca="false">IF(H437="Bekliyor",G437,0)</f>
        <v>0</v>
      </c>
    </row>
    <row r="438" customFormat="false" ht="15" hidden="false" customHeight="false" outlineLevel="0" collapsed="false">
      <c r="A438" s="12"/>
      <c r="B438" s="12"/>
      <c r="C438" s="13"/>
      <c r="D438" s="13"/>
      <c r="E438" s="13"/>
      <c r="F438" s="14"/>
      <c r="G438" s="15"/>
      <c r="H438" s="12"/>
      <c r="I438" s="16" t="str">
        <f aca="true">IF(OR(F438="",H438&lt;&gt;"Bekliyor"),"",F438-TODAY())</f>
        <v/>
      </c>
      <c r="J438" s="17" t="str">
        <f aca="false">IF(I438="","",IF(I438&lt;0,"Vadesi geçti",IF(I438&lt;=7,"Bu hafta","")))</f>
        <v/>
      </c>
      <c r="K438" s="19" t="n">
        <f aca="false">IF(H438="Bekliyor",G438,0)</f>
        <v>0</v>
      </c>
    </row>
    <row r="439" customFormat="false" ht="15" hidden="false" customHeight="false" outlineLevel="0" collapsed="false">
      <c r="A439" s="12"/>
      <c r="B439" s="12"/>
      <c r="C439" s="13"/>
      <c r="D439" s="13"/>
      <c r="E439" s="13"/>
      <c r="F439" s="14"/>
      <c r="G439" s="15"/>
      <c r="H439" s="12"/>
      <c r="I439" s="16" t="str">
        <f aca="true">IF(OR(F439="",H439&lt;&gt;"Bekliyor"),"",F439-TODAY())</f>
        <v/>
      </c>
      <c r="J439" s="17" t="str">
        <f aca="false">IF(I439="","",IF(I439&lt;0,"Vadesi geçti",IF(I439&lt;=7,"Bu hafta","")))</f>
        <v/>
      </c>
      <c r="K439" s="19" t="n">
        <f aca="false">IF(H439="Bekliyor",G439,0)</f>
        <v>0</v>
      </c>
    </row>
    <row r="440" customFormat="false" ht="15" hidden="false" customHeight="false" outlineLevel="0" collapsed="false">
      <c r="A440" s="12"/>
      <c r="B440" s="12"/>
      <c r="C440" s="13"/>
      <c r="D440" s="13"/>
      <c r="E440" s="13"/>
      <c r="F440" s="14"/>
      <c r="G440" s="15"/>
      <c r="H440" s="12"/>
      <c r="I440" s="16" t="str">
        <f aca="true">IF(OR(F440="",H440&lt;&gt;"Bekliyor"),"",F440-TODAY())</f>
        <v/>
      </c>
      <c r="J440" s="17" t="str">
        <f aca="false">IF(I440="","",IF(I440&lt;0,"Vadesi geçti",IF(I440&lt;=7,"Bu hafta","")))</f>
        <v/>
      </c>
      <c r="K440" s="19" t="n">
        <f aca="false">IF(H440="Bekliyor",G440,0)</f>
        <v>0</v>
      </c>
    </row>
    <row r="441" customFormat="false" ht="15" hidden="false" customHeight="false" outlineLevel="0" collapsed="false">
      <c r="A441" s="12"/>
      <c r="B441" s="12"/>
      <c r="C441" s="13"/>
      <c r="D441" s="13"/>
      <c r="E441" s="13"/>
      <c r="F441" s="14"/>
      <c r="G441" s="15"/>
      <c r="H441" s="12"/>
      <c r="I441" s="16" t="str">
        <f aca="true">IF(OR(F441="",H441&lt;&gt;"Bekliyor"),"",F441-TODAY())</f>
        <v/>
      </c>
      <c r="J441" s="17" t="str">
        <f aca="false">IF(I441="","",IF(I441&lt;0,"Vadesi geçti",IF(I441&lt;=7,"Bu hafta","")))</f>
        <v/>
      </c>
      <c r="K441" s="19" t="n">
        <f aca="false">IF(H441="Bekliyor",G441,0)</f>
        <v>0</v>
      </c>
    </row>
    <row r="442" customFormat="false" ht="15" hidden="false" customHeight="false" outlineLevel="0" collapsed="false">
      <c r="A442" s="12"/>
      <c r="B442" s="12"/>
      <c r="C442" s="13"/>
      <c r="D442" s="13"/>
      <c r="E442" s="13"/>
      <c r="F442" s="14"/>
      <c r="G442" s="15"/>
      <c r="H442" s="12"/>
      <c r="I442" s="16" t="str">
        <f aca="true">IF(OR(F442="",H442&lt;&gt;"Bekliyor"),"",F442-TODAY())</f>
        <v/>
      </c>
      <c r="J442" s="17" t="str">
        <f aca="false">IF(I442="","",IF(I442&lt;0,"Vadesi geçti",IF(I442&lt;=7,"Bu hafta","")))</f>
        <v/>
      </c>
      <c r="K442" s="19" t="n">
        <f aca="false">IF(H442="Bekliyor",G442,0)</f>
        <v>0</v>
      </c>
    </row>
    <row r="443" customFormat="false" ht="15" hidden="false" customHeight="false" outlineLevel="0" collapsed="false">
      <c r="A443" s="12"/>
      <c r="B443" s="12"/>
      <c r="C443" s="13"/>
      <c r="D443" s="13"/>
      <c r="E443" s="13"/>
      <c r="F443" s="14"/>
      <c r="G443" s="15"/>
      <c r="H443" s="12"/>
      <c r="I443" s="16" t="str">
        <f aca="true">IF(OR(F443="",H443&lt;&gt;"Bekliyor"),"",F443-TODAY())</f>
        <v/>
      </c>
      <c r="J443" s="17" t="str">
        <f aca="false">IF(I443="","",IF(I443&lt;0,"Vadesi geçti",IF(I443&lt;=7,"Bu hafta","")))</f>
        <v/>
      </c>
      <c r="K443" s="19" t="n">
        <f aca="false">IF(H443="Bekliyor",G443,0)</f>
        <v>0</v>
      </c>
    </row>
    <row r="444" customFormat="false" ht="15" hidden="false" customHeight="false" outlineLevel="0" collapsed="false">
      <c r="A444" s="12"/>
      <c r="B444" s="12"/>
      <c r="C444" s="13"/>
      <c r="D444" s="13"/>
      <c r="E444" s="13"/>
      <c r="F444" s="14"/>
      <c r="G444" s="15"/>
      <c r="H444" s="12"/>
      <c r="I444" s="16" t="str">
        <f aca="true">IF(OR(F444="",H444&lt;&gt;"Bekliyor"),"",F444-TODAY())</f>
        <v/>
      </c>
      <c r="J444" s="17" t="str">
        <f aca="false">IF(I444="","",IF(I444&lt;0,"Vadesi geçti",IF(I444&lt;=7,"Bu hafta","")))</f>
        <v/>
      </c>
      <c r="K444" s="19" t="n">
        <f aca="false">IF(H444="Bekliyor",G444,0)</f>
        <v>0</v>
      </c>
    </row>
    <row r="445" customFormat="false" ht="15" hidden="false" customHeight="false" outlineLevel="0" collapsed="false">
      <c r="A445" s="12"/>
      <c r="B445" s="12"/>
      <c r="C445" s="13"/>
      <c r="D445" s="13"/>
      <c r="E445" s="13"/>
      <c r="F445" s="14"/>
      <c r="G445" s="15"/>
      <c r="H445" s="12"/>
      <c r="I445" s="16" t="str">
        <f aca="true">IF(OR(F445="",H445&lt;&gt;"Bekliyor"),"",F445-TODAY())</f>
        <v/>
      </c>
      <c r="J445" s="17" t="str">
        <f aca="false">IF(I445="","",IF(I445&lt;0,"Vadesi geçti",IF(I445&lt;=7,"Bu hafta","")))</f>
        <v/>
      </c>
      <c r="K445" s="19" t="n">
        <f aca="false">IF(H445="Bekliyor",G445,0)</f>
        <v>0</v>
      </c>
    </row>
    <row r="446" customFormat="false" ht="15" hidden="false" customHeight="false" outlineLevel="0" collapsed="false">
      <c r="A446" s="12"/>
      <c r="B446" s="12"/>
      <c r="C446" s="13"/>
      <c r="D446" s="13"/>
      <c r="E446" s="13"/>
      <c r="F446" s="14"/>
      <c r="G446" s="15"/>
      <c r="H446" s="12"/>
      <c r="I446" s="16" t="str">
        <f aca="true">IF(OR(F446="",H446&lt;&gt;"Bekliyor"),"",F446-TODAY())</f>
        <v/>
      </c>
      <c r="J446" s="17" t="str">
        <f aca="false">IF(I446="","",IF(I446&lt;0,"Vadesi geçti",IF(I446&lt;=7,"Bu hafta","")))</f>
        <v/>
      </c>
      <c r="K446" s="19" t="n">
        <f aca="false">IF(H446="Bekliyor",G446,0)</f>
        <v>0</v>
      </c>
    </row>
    <row r="447" customFormat="false" ht="15" hidden="false" customHeight="false" outlineLevel="0" collapsed="false">
      <c r="A447" s="12"/>
      <c r="B447" s="12"/>
      <c r="C447" s="13"/>
      <c r="D447" s="13"/>
      <c r="E447" s="13"/>
      <c r="F447" s="14"/>
      <c r="G447" s="15"/>
      <c r="H447" s="12"/>
      <c r="I447" s="16" t="str">
        <f aca="true">IF(OR(F447="",H447&lt;&gt;"Bekliyor"),"",F447-TODAY())</f>
        <v/>
      </c>
      <c r="J447" s="17" t="str">
        <f aca="false">IF(I447="","",IF(I447&lt;0,"Vadesi geçti",IF(I447&lt;=7,"Bu hafta","")))</f>
        <v/>
      </c>
      <c r="K447" s="19" t="n">
        <f aca="false">IF(H447="Bekliyor",G447,0)</f>
        <v>0</v>
      </c>
    </row>
    <row r="448" customFormat="false" ht="15" hidden="false" customHeight="false" outlineLevel="0" collapsed="false">
      <c r="A448" s="12"/>
      <c r="B448" s="12"/>
      <c r="C448" s="13"/>
      <c r="D448" s="13"/>
      <c r="E448" s="13"/>
      <c r="F448" s="14"/>
      <c r="G448" s="15"/>
      <c r="H448" s="12"/>
      <c r="I448" s="16" t="str">
        <f aca="true">IF(OR(F448="",H448&lt;&gt;"Bekliyor"),"",F448-TODAY())</f>
        <v/>
      </c>
      <c r="J448" s="17" t="str">
        <f aca="false">IF(I448="","",IF(I448&lt;0,"Vadesi geçti",IF(I448&lt;=7,"Bu hafta","")))</f>
        <v/>
      </c>
      <c r="K448" s="19" t="n">
        <f aca="false">IF(H448="Bekliyor",G448,0)</f>
        <v>0</v>
      </c>
    </row>
    <row r="449" customFormat="false" ht="15" hidden="false" customHeight="false" outlineLevel="0" collapsed="false">
      <c r="A449" s="12"/>
      <c r="B449" s="12"/>
      <c r="C449" s="13"/>
      <c r="D449" s="13"/>
      <c r="E449" s="13"/>
      <c r="F449" s="14"/>
      <c r="G449" s="15"/>
      <c r="H449" s="12"/>
      <c r="I449" s="16" t="str">
        <f aca="true">IF(OR(F449="",H449&lt;&gt;"Bekliyor"),"",F449-TODAY())</f>
        <v/>
      </c>
      <c r="J449" s="17" t="str">
        <f aca="false">IF(I449="","",IF(I449&lt;0,"Vadesi geçti",IF(I449&lt;=7,"Bu hafta","")))</f>
        <v/>
      </c>
      <c r="K449" s="19" t="n">
        <f aca="false">IF(H449="Bekliyor",G449,0)</f>
        <v>0</v>
      </c>
    </row>
    <row r="450" customFormat="false" ht="15" hidden="false" customHeight="false" outlineLevel="0" collapsed="false">
      <c r="A450" s="12"/>
      <c r="B450" s="12"/>
      <c r="C450" s="13"/>
      <c r="D450" s="13"/>
      <c r="E450" s="13"/>
      <c r="F450" s="14"/>
      <c r="G450" s="15"/>
      <c r="H450" s="12"/>
      <c r="I450" s="16" t="str">
        <f aca="true">IF(OR(F450="",H450&lt;&gt;"Bekliyor"),"",F450-TODAY())</f>
        <v/>
      </c>
      <c r="J450" s="17" t="str">
        <f aca="false">IF(I450="","",IF(I450&lt;0,"Vadesi geçti",IF(I450&lt;=7,"Bu hafta","")))</f>
        <v/>
      </c>
      <c r="K450" s="19" t="n">
        <f aca="false">IF(H450="Bekliyor",G450,0)</f>
        <v>0</v>
      </c>
    </row>
    <row r="451" customFormat="false" ht="15" hidden="false" customHeight="false" outlineLevel="0" collapsed="false">
      <c r="A451" s="12"/>
      <c r="B451" s="12"/>
      <c r="C451" s="13"/>
      <c r="D451" s="13"/>
      <c r="E451" s="13"/>
      <c r="F451" s="14"/>
      <c r="G451" s="15"/>
      <c r="H451" s="12"/>
      <c r="I451" s="16" t="str">
        <f aca="true">IF(OR(F451="",H451&lt;&gt;"Bekliyor"),"",F451-TODAY())</f>
        <v/>
      </c>
      <c r="J451" s="17" t="str">
        <f aca="false">IF(I451="","",IF(I451&lt;0,"Vadesi geçti",IF(I451&lt;=7,"Bu hafta","")))</f>
        <v/>
      </c>
      <c r="K451" s="19" t="n">
        <f aca="false">IF(H451="Bekliyor",G451,0)</f>
        <v>0</v>
      </c>
    </row>
    <row r="452" customFormat="false" ht="15" hidden="false" customHeight="false" outlineLevel="0" collapsed="false">
      <c r="A452" s="12"/>
      <c r="B452" s="12"/>
      <c r="C452" s="13"/>
      <c r="D452" s="13"/>
      <c r="E452" s="13"/>
      <c r="F452" s="14"/>
      <c r="G452" s="15"/>
      <c r="H452" s="12"/>
      <c r="I452" s="16" t="str">
        <f aca="true">IF(OR(F452="",H452&lt;&gt;"Bekliyor"),"",F452-TODAY())</f>
        <v/>
      </c>
      <c r="J452" s="17" t="str">
        <f aca="false">IF(I452="","",IF(I452&lt;0,"Vadesi geçti",IF(I452&lt;=7,"Bu hafta","")))</f>
        <v/>
      </c>
      <c r="K452" s="19" t="n">
        <f aca="false">IF(H452="Bekliyor",G452,0)</f>
        <v>0</v>
      </c>
    </row>
    <row r="453" customFormat="false" ht="15" hidden="false" customHeight="false" outlineLevel="0" collapsed="false">
      <c r="A453" s="12"/>
      <c r="B453" s="12"/>
      <c r="C453" s="13"/>
      <c r="D453" s="13"/>
      <c r="E453" s="13"/>
      <c r="F453" s="14"/>
      <c r="G453" s="15"/>
      <c r="H453" s="12"/>
      <c r="I453" s="16" t="str">
        <f aca="true">IF(OR(F453="",H453&lt;&gt;"Bekliyor"),"",F453-TODAY())</f>
        <v/>
      </c>
      <c r="J453" s="17" t="str">
        <f aca="false">IF(I453="","",IF(I453&lt;0,"Vadesi geçti",IF(I453&lt;=7,"Bu hafta","")))</f>
        <v/>
      </c>
      <c r="K453" s="19" t="n">
        <f aca="false">IF(H453="Bekliyor",G453,0)</f>
        <v>0</v>
      </c>
    </row>
    <row r="454" customFormat="false" ht="15" hidden="false" customHeight="false" outlineLevel="0" collapsed="false">
      <c r="A454" s="12"/>
      <c r="B454" s="12"/>
      <c r="C454" s="13"/>
      <c r="D454" s="13"/>
      <c r="E454" s="13"/>
      <c r="F454" s="14"/>
      <c r="G454" s="15"/>
      <c r="H454" s="12"/>
      <c r="I454" s="16" t="str">
        <f aca="true">IF(OR(F454="",H454&lt;&gt;"Bekliyor"),"",F454-TODAY())</f>
        <v/>
      </c>
      <c r="J454" s="17" t="str">
        <f aca="false">IF(I454="","",IF(I454&lt;0,"Vadesi geçti",IF(I454&lt;=7,"Bu hafta","")))</f>
        <v/>
      </c>
      <c r="K454" s="19" t="n">
        <f aca="false">IF(H454="Bekliyor",G454,0)</f>
        <v>0</v>
      </c>
    </row>
    <row r="455" customFormat="false" ht="15" hidden="false" customHeight="false" outlineLevel="0" collapsed="false">
      <c r="A455" s="12"/>
      <c r="B455" s="12"/>
      <c r="C455" s="13"/>
      <c r="D455" s="13"/>
      <c r="E455" s="13"/>
      <c r="F455" s="14"/>
      <c r="G455" s="15"/>
      <c r="H455" s="12"/>
      <c r="I455" s="16" t="str">
        <f aca="true">IF(OR(F455="",H455&lt;&gt;"Bekliyor"),"",F455-TODAY())</f>
        <v/>
      </c>
      <c r="J455" s="17" t="str">
        <f aca="false">IF(I455="","",IF(I455&lt;0,"Vadesi geçti",IF(I455&lt;=7,"Bu hafta","")))</f>
        <v/>
      </c>
      <c r="K455" s="19" t="n">
        <f aca="false">IF(H455="Bekliyor",G455,0)</f>
        <v>0</v>
      </c>
    </row>
    <row r="456" customFormat="false" ht="15" hidden="false" customHeight="false" outlineLevel="0" collapsed="false">
      <c r="A456" s="12"/>
      <c r="B456" s="12"/>
      <c r="C456" s="13"/>
      <c r="D456" s="13"/>
      <c r="E456" s="13"/>
      <c r="F456" s="14"/>
      <c r="G456" s="15"/>
      <c r="H456" s="12"/>
      <c r="I456" s="16" t="str">
        <f aca="true">IF(OR(F456="",H456&lt;&gt;"Bekliyor"),"",F456-TODAY())</f>
        <v/>
      </c>
      <c r="J456" s="17" t="str">
        <f aca="false">IF(I456="","",IF(I456&lt;0,"Vadesi geçti",IF(I456&lt;=7,"Bu hafta","")))</f>
        <v/>
      </c>
      <c r="K456" s="19" t="n">
        <f aca="false">IF(H456="Bekliyor",G456,0)</f>
        <v>0</v>
      </c>
    </row>
    <row r="457" customFormat="false" ht="15" hidden="false" customHeight="false" outlineLevel="0" collapsed="false">
      <c r="A457" s="12"/>
      <c r="B457" s="12"/>
      <c r="C457" s="13"/>
      <c r="D457" s="13"/>
      <c r="E457" s="13"/>
      <c r="F457" s="14"/>
      <c r="G457" s="15"/>
      <c r="H457" s="12"/>
      <c r="I457" s="16" t="str">
        <f aca="true">IF(OR(F457="",H457&lt;&gt;"Bekliyor"),"",F457-TODAY())</f>
        <v/>
      </c>
      <c r="J457" s="17" t="str">
        <f aca="false">IF(I457="","",IF(I457&lt;0,"Vadesi geçti",IF(I457&lt;=7,"Bu hafta","")))</f>
        <v/>
      </c>
      <c r="K457" s="19" t="n">
        <f aca="false">IF(H457="Bekliyor",G457,0)</f>
        <v>0</v>
      </c>
    </row>
    <row r="458" customFormat="false" ht="15" hidden="false" customHeight="false" outlineLevel="0" collapsed="false">
      <c r="A458" s="12"/>
      <c r="B458" s="12"/>
      <c r="C458" s="13"/>
      <c r="D458" s="13"/>
      <c r="E458" s="13"/>
      <c r="F458" s="14"/>
      <c r="G458" s="15"/>
      <c r="H458" s="12"/>
      <c r="I458" s="16" t="str">
        <f aca="true">IF(OR(F458="",H458&lt;&gt;"Bekliyor"),"",F458-TODAY())</f>
        <v/>
      </c>
      <c r="J458" s="17" t="str">
        <f aca="false">IF(I458="","",IF(I458&lt;0,"Vadesi geçti",IF(I458&lt;=7,"Bu hafta","")))</f>
        <v/>
      </c>
      <c r="K458" s="19" t="n">
        <f aca="false">IF(H458="Bekliyor",G458,0)</f>
        <v>0</v>
      </c>
    </row>
    <row r="459" customFormat="false" ht="15" hidden="false" customHeight="false" outlineLevel="0" collapsed="false">
      <c r="A459" s="12"/>
      <c r="B459" s="12"/>
      <c r="C459" s="13"/>
      <c r="D459" s="13"/>
      <c r="E459" s="13"/>
      <c r="F459" s="14"/>
      <c r="G459" s="15"/>
      <c r="H459" s="12"/>
      <c r="I459" s="16" t="str">
        <f aca="true">IF(OR(F459="",H459&lt;&gt;"Bekliyor"),"",F459-TODAY())</f>
        <v/>
      </c>
      <c r="J459" s="17" t="str">
        <f aca="false">IF(I459="","",IF(I459&lt;0,"Vadesi geçti",IF(I459&lt;=7,"Bu hafta","")))</f>
        <v/>
      </c>
      <c r="K459" s="19" t="n">
        <f aca="false">IF(H459="Bekliyor",G459,0)</f>
        <v>0</v>
      </c>
    </row>
    <row r="460" customFormat="false" ht="15" hidden="false" customHeight="false" outlineLevel="0" collapsed="false">
      <c r="A460" s="12"/>
      <c r="B460" s="12"/>
      <c r="C460" s="13"/>
      <c r="D460" s="13"/>
      <c r="E460" s="13"/>
      <c r="F460" s="14"/>
      <c r="G460" s="15"/>
      <c r="H460" s="12"/>
      <c r="I460" s="16" t="str">
        <f aca="true">IF(OR(F460="",H460&lt;&gt;"Bekliyor"),"",F460-TODAY())</f>
        <v/>
      </c>
      <c r="J460" s="17" t="str">
        <f aca="false">IF(I460="","",IF(I460&lt;0,"Vadesi geçti",IF(I460&lt;=7,"Bu hafta","")))</f>
        <v/>
      </c>
      <c r="K460" s="19" t="n">
        <f aca="false">IF(H460="Bekliyor",G460,0)</f>
        <v>0</v>
      </c>
    </row>
    <row r="461" customFormat="false" ht="15" hidden="false" customHeight="false" outlineLevel="0" collapsed="false">
      <c r="A461" s="12"/>
      <c r="B461" s="12"/>
      <c r="C461" s="13"/>
      <c r="D461" s="13"/>
      <c r="E461" s="13"/>
      <c r="F461" s="14"/>
      <c r="G461" s="15"/>
      <c r="H461" s="12"/>
      <c r="I461" s="16" t="str">
        <f aca="true">IF(OR(F461="",H461&lt;&gt;"Bekliyor"),"",F461-TODAY())</f>
        <v/>
      </c>
      <c r="J461" s="17" t="str">
        <f aca="false">IF(I461="","",IF(I461&lt;0,"Vadesi geçti",IF(I461&lt;=7,"Bu hafta","")))</f>
        <v/>
      </c>
      <c r="K461" s="19" t="n">
        <f aca="false">IF(H461="Bekliyor",G461,0)</f>
        <v>0</v>
      </c>
    </row>
    <row r="462" customFormat="false" ht="15" hidden="false" customHeight="false" outlineLevel="0" collapsed="false">
      <c r="A462" s="12"/>
      <c r="B462" s="12"/>
      <c r="C462" s="13"/>
      <c r="D462" s="13"/>
      <c r="E462" s="13"/>
      <c r="F462" s="14"/>
      <c r="G462" s="15"/>
      <c r="H462" s="12"/>
      <c r="I462" s="16" t="str">
        <f aca="true">IF(OR(F462="",H462&lt;&gt;"Bekliyor"),"",F462-TODAY())</f>
        <v/>
      </c>
      <c r="J462" s="17" t="str">
        <f aca="false">IF(I462="","",IF(I462&lt;0,"Vadesi geçti",IF(I462&lt;=7,"Bu hafta","")))</f>
        <v/>
      </c>
      <c r="K462" s="19" t="n">
        <f aca="false">IF(H462="Bekliyor",G462,0)</f>
        <v>0</v>
      </c>
    </row>
    <row r="463" customFormat="false" ht="15" hidden="false" customHeight="false" outlineLevel="0" collapsed="false">
      <c r="A463" s="12"/>
      <c r="B463" s="12"/>
      <c r="C463" s="13"/>
      <c r="D463" s="13"/>
      <c r="E463" s="13"/>
      <c r="F463" s="14"/>
      <c r="G463" s="15"/>
      <c r="H463" s="12"/>
      <c r="I463" s="16" t="str">
        <f aca="true">IF(OR(F463="",H463&lt;&gt;"Bekliyor"),"",F463-TODAY())</f>
        <v/>
      </c>
      <c r="J463" s="17" t="str">
        <f aca="false">IF(I463="","",IF(I463&lt;0,"Vadesi geçti",IF(I463&lt;=7,"Bu hafta","")))</f>
        <v/>
      </c>
      <c r="K463" s="19" t="n">
        <f aca="false">IF(H463="Bekliyor",G463,0)</f>
        <v>0</v>
      </c>
    </row>
    <row r="464" customFormat="false" ht="15" hidden="false" customHeight="false" outlineLevel="0" collapsed="false">
      <c r="A464" s="12"/>
      <c r="B464" s="12"/>
      <c r="C464" s="13"/>
      <c r="D464" s="13"/>
      <c r="E464" s="13"/>
      <c r="F464" s="14"/>
      <c r="G464" s="15"/>
      <c r="H464" s="12"/>
      <c r="I464" s="16" t="str">
        <f aca="true">IF(OR(F464="",H464&lt;&gt;"Bekliyor"),"",F464-TODAY())</f>
        <v/>
      </c>
      <c r="J464" s="17" t="str">
        <f aca="false">IF(I464="","",IF(I464&lt;0,"Vadesi geçti",IF(I464&lt;=7,"Bu hafta","")))</f>
        <v/>
      </c>
      <c r="K464" s="19" t="n">
        <f aca="false">IF(H464="Bekliyor",G464,0)</f>
        <v>0</v>
      </c>
    </row>
    <row r="465" customFormat="false" ht="15" hidden="false" customHeight="false" outlineLevel="0" collapsed="false">
      <c r="A465" s="12"/>
      <c r="B465" s="12"/>
      <c r="C465" s="13"/>
      <c r="D465" s="13"/>
      <c r="E465" s="13"/>
      <c r="F465" s="14"/>
      <c r="G465" s="15"/>
      <c r="H465" s="12"/>
      <c r="I465" s="16" t="str">
        <f aca="true">IF(OR(F465="",H465&lt;&gt;"Bekliyor"),"",F465-TODAY())</f>
        <v/>
      </c>
      <c r="J465" s="17" t="str">
        <f aca="false">IF(I465="","",IF(I465&lt;0,"Vadesi geçti",IF(I465&lt;=7,"Bu hafta","")))</f>
        <v/>
      </c>
      <c r="K465" s="19" t="n">
        <f aca="false">IF(H465="Bekliyor",G465,0)</f>
        <v>0</v>
      </c>
    </row>
    <row r="466" customFormat="false" ht="15" hidden="false" customHeight="false" outlineLevel="0" collapsed="false">
      <c r="A466" s="12"/>
      <c r="B466" s="12"/>
      <c r="C466" s="13"/>
      <c r="D466" s="13"/>
      <c r="E466" s="13"/>
      <c r="F466" s="14"/>
      <c r="G466" s="15"/>
      <c r="H466" s="12"/>
      <c r="I466" s="16" t="str">
        <f aca="true">IF(OR(F466="",H466&lt;&gt;"Bekliyor"),"",F466-TODAY())</f>
        <v/>
      </c>
      <c r="J466" s="17" t="str">
        <f aca="false">IF(I466="","",IF(I466&lt;0,"Vadesi geçti",IF(I466&lt;=7,"Bu hafta","")))</f>
        <v/>
      </c>
      <c r="K466" s="19" t="n">
        <f aca="false">IF(H466="Bekliyor",G466,0)</f>
        <v>0</v>
      </c>
    </row>
    <row r="467" customFormat="false" ht="15" hidden="false" customHeight="false" outlineLevel="0" collapsed="false">
      <c r="A467" s="12"/>
      <c r="B467" s="12"/>
      <c r="C467" s="13"/>
      <c r="D467" s="13"/>
      <c r="E467" s="13"/>
      <c r="F467" s="14"/>
      <c r="G467" s="15"/>
      <c r="H467" s="12"/>
      <c r="I467" s="16" t="str">
        <f aca="true">IF(OR(F467="",H467&lt;&gt;"Bekliyor"),"",F467-TODAY())</f>
        <v/>
      </c>
      <c r="J467" s="17" t="str">
        <f aca="false">IF(I467="","",IF(I467&lt;0,"Vadesi geçti",IF(I467&lt;=7,"Bu hafta","")))</f>
        <v/>
      </c>
      <c r="K467" s="19" t="n">
        <f aca="false">IF(H467="Bekliyor",G467,0)</f>
        <v>0</v>
      </c>
    </row>
    <row r="468" customFormat="false" ht="15" hidden="false" customHeight="false" outlineLevel="0" collapsed="false">
      <c r="A468" s="12"/>
      <c r="B468" s="12"/>
      <c r="C468" s="13"/>
      <c r="D468" s="13"/>
      <c r="E468" s="13"/>
      <c r="F468" s="14"/>
      <c r="G468" s="15"/>
      <c r="H468" s="12"/>
      <c r="I468" s="16" t="str">
        <f aca="true">IF(OR(F468="",H468&lt;&gt;"Bekliyor"),"",F468-TODAY())</f>
        <v/>
      </c>
      <c r="J468" s="17" t="str">
        <f aca="false">IF(I468="","",IF(I468&lt;0,"Vadesi geçti",IF(I468&lt;=7,"Bu hafta","")))</f>
        <v/>
      </c>
      <c r="K468" s="19" t="n">
        <f aca="false">IF(H468="Bekliyor",G468,0)</f>
        <v>0</v>
      </c>
    </row>
    <row r="469" customFormat="false" ht="15" hidden="false" customHeight="false" outlineLevel="0" collapsed="false">
      <c r="A469" s="12"/>
      <c r="B469" s="12"/>
      <c r="C469" s="13"/>
      <c r="D469" s="13"/>
      <c r="E469" s="13"/>
      <c r="F469" s="14"/>
      <c r="G469" s="15"/>
      <c r="H469" s="12"/>
      <c r="I469" s="16" t="str">
        <f aca="true">IF(OR(F469="",H469&lt;&gt;"Bekliyor"),"",F469-TODAY())</f>
        <v/>
      </c>
      <c r="J469" s="17" t="str">
        <f aca="false">IF(I469="","",IF(I469&lt;0,"Vadesi geçti",IF(I469&lt;=7,"Bu hafta","")))</f>
        <v/>
      </c>
      <c r="K469" s="19" t="n">
        <f aca="false">IF(H469="Bekliyor",G469,0)</f>
        <v>0</v>
      </c>
    </row>
    <row r="470" customFormat="false" ht="15" hidden="false" customHeight="false" outlineLevel="0" collapsed="false">
      <c r="A470" s="12"/>
      <c r="B470" s="12"/>
      <c r="C470" s="13"/>
      <c r="D470" s="13"/>
      <c r="E470" s="13"/>
      <c r="F470" s="14"/>
      <c r="G470" s="15"/>
      <c r="H470" s="12"/>
      <c r="I470" s="16" t="str">
        <f aca="true">IF(OR(F470="",H470&lt;&gt;"Bekliyor"),"",F470-TODAY())</f>
        <v/>
      </c>
      <c r="J470" s="17" t="str">
        <f aca="false">IF(I470="","",IF(I470&lt;0,"Vadesi geçti",IF(I470&lt;=7,"Bu hafta","")))</f>
        <v/>
      </c>
      <c r="K470" s="19" t="n">
        <f aca="false">IF(H470="Bekliyor",G470,0)</f>
        <v>0</v>
      </c>
    </row>
    <row r="471" customFormat="false" ht="15" hidden="false" customHeight="false" outlineLevel="0" collapsed="false">
      <c r="A471" s="12"/>
      <c r="B471" s="12"/>
      <c r="C471" s="13"/>
      <c r="D471" s="13"/>
      <c r="E471" s="13"/>
      <c r="F471" s="14"/>
      <c r="G471" s="15"/>
      <c r="H471" s="12"/>
      <c r="I471" s="16" t="str">
        <f aca="true">IF(OR(F471="",H471&lt;&gt;"Bekliyor"),"",F471-TODAY())</f>
        <v/>
      </c>
      <c r="J471" s="17" t="str">
        <f aca="false">IF(I471="","",IF(I471&lt;0,"Vadesi geçti",IF(I471&lt;=7,"Bu hafta","")))</f>
        <v/>
      </c>
      <c r="K471" s="19" t="n">
        <f aca="false">IF(H471="Bekliyor",G471,0)</f>
        <v>0</v>
      </c>
    </row>
    <row r="472" customFormat="false" ht="15" hidden="false" customHeight="false" outlineLevel="0" collapsed="false">
      <c r="A472" s="12"/>
      <c r="B472" s="12"/>
      <c r="C472" s="13"/>
      <c r="D472" s="13"/>
      <c r="E472" s="13"/>
      <c r="F472" s="14"/>
      <c r="G472" s="15"/>
      <c r="H472" s="12"/>
      <c r="I472" s="16" t="str">
        <f aca="true">IF(OR(F472="",H472&lt;&gt;"Bekliyor"),"",F472-TODAY())</f>
        <v/>
      </c>
      <c r="J472" s="17" t="str">
        <f aca="false">IF(I472="","",IF(I472&lt;0,"Vadesi geçti",IF(I472&lt;=7,"Bu hafta","")))</f>
        <v/>
      </c>
      <c r="K472" s="19" t="n">
        <f aca="false">IF(H472="Bekliyor",G472,0)</f>
        <v>0</v>
      </c>
    </row>
    <row r="473" customFormat="false" ht="15" hidden="false" customHeight="false" outlineLevel="0" collapsed="false">
      <c r="A473" s="12"/>
      <c r="B473" s="12"/>
      <c r="C473" s="13"/>
      <c r="D473" s="13"/>
      <c r="E473" s="13"/>
      <c r="F473" s="14"/>
      <c r="G473" s="15"/>
      <c r="H473" s="12"/>
      <c r="I473" s="16" t="str">
        <f aca="true">IF(OR(F473="",H473&lt;&gt;"Bekliyor"),"",F473-TODAY())</f>
        <v/>
      </c>
      <c r="J473" s="17" t="str">
        <f aca="false">IF(I473="","",IF(I473&lt;0,"Vadesi geçti",IF(I473&lt;=7,"Bu hafta","")))</f>
        <v/>
      </c>
      <c r="K473" s="19" t="n">
        <f aca="false">IF(H473="Bekliyor",G473,0)</f>
        <v>0</v>
      </c>
    </row>
    <row r="474" customFormat="false" ht="15" hidden="false" customHeight="false" outlineLevel="0" collapsed="false">
      <c r="A474" s="12"/>
      <c r="B474" s="12"/>
      <c r="C474" s="13"/>
      <c r="D474" s="13"/>
      <c r="E474" s="13"/>
      <c r="F474" s="14"/>
      <c r="G474" s="15"/>
      <c r="H474" s="12"/>
      <c r="I474" s="16" t="str">
        <f aca="true">IF(OR(F474="",H474&lt;&gt;"Bekliyor"),"",F474-TODAY())</f>
        <v/>
      </c>
      <c r="J474" s="17" t="str">
        <f aca="false">IF(I474="","",IF(I474&lt;0,"Vadesi geçti",IF(I474&lt;=7,"Bu hafta","")))</f>
        <v/>
      </c>
      <c r="K474" s="19" t="n">
        <f aca="false">IF(H474="Bekliyor",G474,0)</f>
        <v>0</v>
      </c>
    </row>
    <row r="475" customFormat="false" ht="15" hidden="false" customHeight="false" outlineLevel="0" collapsed="false">
      <c r="A475" s="12"/>
      <c r="B475" s="12"/>
      <c r="C475" s="13"/>
      <c r="D475" s="13"/>
      <c r="E475" s="13"/>
      <c r="F475" s="14"/>
      <c r="G475" s="15"/>
      <c r="H475" s="12"/>
      <c r="I475" s="16" t="str">
        <f aca="true">IF(OR(F475="",H475&lt;&gt;"Bekliyor"),"",F475-TODAY())</f>
        <v/>
      </c>
      <c r="J475" s="17" t="str">
        <f aca="false">IF(I475="","",IF(I475&lt;0,"Vadesi geçti",IF(I475&lt;=7,"Bu hafta","")))</f>
        <v/>
      </c>
      <c r="K475" s="19" t="n">
        <f aca="false">IF(H475="Bekliyor",G475,0)</f>
        <v>0</v>
      </c>
    </row>
    <row r="476" customFormat="false" ht="15" hidden="false" customHeight="false" outlineLevel="0" collapsed="false">
      <c r="A476" s="12"/>
      <c r="B476" s="12"/>
      <c r="C476" s="13"/>
      <c r="D476" s="13"/>
      <c r="E476" s="13"/>
      <c r="F476" s="14"/>
      <c r="G476" s="15"/>
      <c r="H476" s="12"/>
      <c r="I476" s="16" t="str">
        <f aca="true">IF(OR(F476="",H476&lt;&gt;"Bekliyor"),"",F476-TODAY())</f>
        <v/>
      </c>
      <c r="J476" s="17" t="str">
        <f aca="false">IF(I476="","",IF(I476&lt;0,"Vadesi geçti",IF(I476&lt;=7,"Bu hafta","")))</f>
        <v/>
      </c>
      <c r="K476" s="19" t="n">
        <f aca="false">IF(H476="Bekliyor",G476,0)</f>
        <v>0</v>
      </c>
    </row>
    <row r="477" customFormat="false" ht="15" hidden="false" customHeight="false" outlineLevel="0" collapsed="false">
      <c r="A477" s="12"/>
      <c r="B477" s="12"/>
      <c r="C477" s="13"/>
      <c r="D477" s="13"/>
      <c r="E477" s="13"/>
      <c r="F477" s="14"/>
      <c r="G477" s="15"/>
      <c r="H477" s="12"/>
      <c r="I477" s="16" t="str">
        <f aca="true">IF(OR(F477="",H477&lt;&gt;"Bekliyor"),"",F477-TODAY())</f>
        <v/>
      </c>
      <c r="J477" s="17" t="str">
        <f aca="false">IF(I477="","",IF(I477&lt;0,"Vadesi geçti",IF(I477&lt;=7,"Bu hafta","")))</f>
        <v/>
      </c>
      <c r="K477" s="19" t="n">
        <f aca="false">IF(H477="Bekliyor",G477,0)</f>
        <v>0</v>
      </c>
    </row>
    <row r="478" customFormat="false" ht="15" hidden="false" customHeight="false" outlineLevel="0" collapsed="false">
      <c r="A478" s="12"/>
      <c r="B478" s="12"/>
      <c r="C478" s="13"/>
      <c r="D478" s="13"/>
      <c r="E478" s="13"/>
      <c r="F478" s="14"/>
      <c r="G478" s="15"/>
      <c r="H478" s="12"/>
      <c r="I478" s="16" t="str">
        <f aca="true">IF(OR(F478="",H478&lt;&gt;"Bekliyor"),"",F478-TODAY())</f>
        <v/>
      </c>
      <c r="J478" s="17" t="str">
        <f aca="false">IF(I478="","",IF(I478&lt;0,"Vadesi geçti",IF(I478&lt;=7,"Bu hafta","")))</f>
        <v/>
      </c>
      <c r="K478" s="19" t="n">
        <f aca="false">IF(H478="Bekliyor",G478,0)</f>
        <v>0</v>
      </c>
    </row>
    <row r="479" customFormat="false" ht="15" hidden="false" customHeight="false" outlineLevel="0" collapsed="false">
      <c r="A479" s="12"/>
      <c r="B479" s="12"/>
      <c r="C479" s="13"/>
      <c r="D479" s="13"/>
      <c r="E479" s="13"/>
      <c r="F479" s="14"/>
      <c r="G479" s="15"/>
      <c r="H479" s="12"/>
      <c r="I479" s="16" t="str">
        <f aca="true">IF(OR(F479="",H479&lt;&gt;"Bekliyor"),"",F479-TODAY())</f>
        <v/>
      </c>
      <c r="J479" s="17" t="str">
        <f aca="false">IF(I479="","",IF(I479&lt;0,"Vadesi geçti",IF(I479&lt;=7,"Bu hafta","")))</f>
        <v/>
      </c>
      <c r="K479" s="19" t="n">
        <f aca="false">IF(H479="Bekliyor",G479,0)</f>
        <v>0</v>
      </c>
    </row>
    <row r="480" customFormat="false" ht="15" hidden="false" customHeight="false" outlineLevel="0" collapsed="false">
      <c r="A480" s="12"/>
      <c r="B480" s="12"/>
      <c r="C480" s="13"/>
      <c r="D480" s="13"/>
      <c r="E480" s="13"/>
      <c r="F480" s="14"/>
      <c r="G480" s="15"/>
      <c r="H480" s="12"/>
      <c r="I480" s="16" t="str">
        <f aca="true">IF(OR(F480="",H480&lt;&gt;"Bekliyor"),"",F480-TODAY())</f>
        <v/>
      </c>
      <c r="J480" s="17" t="str">
        <f aca="false">IF(I480="","",IF(I480&lt;0,"Vadesi geçti",IF(I480&lt;=7,"Bu hafta","")))</f>
        <v/>
      </c>
      <c r="K480" s="19" t="n">
        <f aca="false">IF(H480="Bekliyor",G480,0)</f>
        <v>0</v>
      </c>
    </row>
    <row r="481" customFormat="false" ht="15" hidden="false" customHeight="false" outlineLevel="0" collapsed="false">
      <c r="A481" s="12"/>
      <c r="B481" s="12"/>
      <c r="C481" s="13"/>
      <c r="D481" s="13"/>
      <c r="E481" s="13"/>
      <c r="F481" s="14"/>
      <c r="G481" s="15"/>
      <c r="H481" s="12"/>
      <c r="I481" s="16" t="str">
        <f aca="true">IF(OR(F481="",H481&lt;&gt;"Bekliyor"),"",F481-TODAY())</f>
        <v/>
      </c>
      <c r="J481" s="17" t="str">
        <f aca="false">IF(I481="","",IF(I481&lt;0,"Vadesi geçti",IF(I481&lt;=7,"Bu hafta","")))</f>
        <v/>
      </c>
      <c r="K481" s="19" t="n">
        <f aca="false">IF(H481="Bekliyor",G481,0)</f>
        <v>0</v>
      </c>
    </row>
    <row r="482" customFormat="false" ht="15" hidden="false" customHeight="false" outlineLevel="0" collapsed="false">
      <c r="A482" s="12"/>
      <c r="B482" s="12"/>
      <c r="C482" s="13"/>
      <c r="D482" s="13"/>
      <c r="E482" s="13"/>
      <c r="F482" s="14"/>
      <c r="G482" s="15"/>
      <c r="H482" s="12"/>
      <c r="I482" s="16" t="str">
        <f aca="true">IF(OR(F482="",H482&lt;&gt;"Bekliyor"),"",F482-TODAY())</f>
        <v/>
      </c>
      <c r="J482" s="17" t="str">
        <f aca="false">IF(I482="","",IF(I482&lt;0,"Vadesi geçti",IF(I482&lt;=7,"Bu hafta","")))</f>
        <v/>
      </c>
      <c r="K482" s="19" t="n">
        <f aca="false">IF(H482="Bekliyor",G482,0)</f>
        <v>0</v>
      </c>
    </row>
    <row r="483" customFormat="false" ht="15" hidden="false" customHeight="false" outlineLevel="0" collapsed="false">
      <c r="A483" s="12"/>
      <c r="B483" s="12"/>
      <c r="C483" s="13"/>
      <c r="D483" s="13"/>
      <c r="E483" s="13"/>
      <c r="F483" s="14"/>
      <c r="G483" s="15"/>
      <c r="H483" s="12"/>
      <c r="I483" s="16" t="str">
        <f aca="true">IF(OR(F483="",H483&lt;&gt;"Bekliyor"),"",F483-TODAY())</f>
        <v/>
      </c>
      <c r="J483" s="17" t="str">
        <f aca="false">IF(I483="","",IF(I483&lt;0,"Vadesi geçti",IF(I483&lt;=7,"Bu hafta","")))</f>
        <v/>
      </c>
      <c r="K483" s="19" t="n">
        <f aca="false">IF(H483="Bekliyor",G483,0)</f>
        <v>0</v>
      </c>
    </row>
    <row r="484" customFormat="false" ht="15" hidden="false" customHeight="false" outlineLevel="0" collapsed="false">
      <c r="A484" s="12"/>
      <c r="B484" s="12"/>
      <c r="C484" s="13"/>
      <c r="D484" s="13"/>
      <c r="E484" s="13"/>
      <c r="F484" s="14"/>
      <c r="G484" s="15"/>
      <c r="H484" s="12"/>
      <c r="I484" s="16" t="str">
        <f aca="true">IF(OR(F484="",H484&lt;&gt;"Bekliyor"),"",F484-TODAY())</f>
        <v/>
      </c>
      <c r="J484" s="17" t="str">
        <f aca="false">IF(I484="","",IF(I484&lt;0,"Vadesi geçti",IF(I484&lt;=7,"Bu hafta","")))</f>
        <v/>
      </c>
      <c r="K484" s="19" t="n">
        <f aca="false">IF(H484="Bekliyor",G484,0)</f>
        <v>0</v>
      </c>
    </row>
    <row r="485" customFormat="false" ht="15" hidden="false" customHeight="false" outlineLevel="0" collapsed="false">
      <c r="A485" s="12"/>
      <c r="B485" s="12"/>
      <c r="C485" s="13"/>
      <c r="D485" s="13"/>
      <c r="E485" s="13"/>
      <c r="F485" s="14"/>
      <c r="G485" s="15"/>
      <c r="H485" s="12"/>
      <c r="I485" s="16" t="str">
        <f aca="true">IF(OR(F485="",H485&lt;&gt;"Bekliyor"),"",F485-TODAY())</f>
        <v/>
      </c>
      <c r="J485" s="17" t="str">
        <f aca="false">IF(I485="","",IF(I485&lt;0,"Vadesi geçti",IF(I485&lt;=7,"Bu hafta","")))</f>
        <v/>
      </c>
      <c r="K485" s="19" t="n">
        <f aca="false">IF(H485="Bekliyor",G485,0)</f>
        <v>0</v>
      </c>
    </row>
    <row r="486" customFormat="false" ht="15" hidden="false" customHeight="false" outlineLevel="0" collapsed="false">
      <c r="A486" s="12"/>
      <c r="B486" s="12"/>
      <c r="C486" s="13"/>
      <c r="D486" s="13"/>
      <c r="E486" s="13"/>
      <c r="F486" s="14"/>
      <c r="G486" s="15"/>
      <c r="H486" s="12"/>
      <c r="I486" s="16" t="str">
        <f aca="true">IF(OR(F486="",H486&lt;&gt;"Bekliyor"),"",F486-TODAY())</f>
        <v/>
      </c>
      <c r="J486" s="17" t="str">
        <f aca="false">IF(I486="","",IF(I486&lt;0,"Vadesi geçti",IF(I486&lt;=7,"Bu hafta","")))</f>
        <v/>
      </c>
      <c r="K486" s="19" t="n">
        <f aca="false">IF(H486="Bekliyor",G486,0)</f>
        <v>0</v>
      </c>
    </row>
    <row r="487" customFormat="false" ht="15" hidden="false" customHeight="false" outlineLevel="0" collapsed="false">
      <c r="A487" s="12"/>
      <c r="B487" s="12"/>
      <c r="C487" s="13"/>
      <c r="D487" s="13"/>
      <c r="E487" s="13"/>
      <c r="F487" s="14"/>
      <c r="G487" s="15"/>
      <c r="H487" s="12"/>
      <c r="I487" s="16" t="str">
        <f aca="true">IF(OR(F487="",H487&lt;&gt;"Bekliyor"),"",F487-TODAY())</f>
        <v/>
      </c>
      <c r="J487" s="17" t="str">
        <f aca="false">IF(I487="","",IF(I487&lt;0,"Vadesi geçti",IF(I487&lt;=7,"Bu hafta","")))</f>
        <v/>
      </c>
      <c r="K487" s="19" t="n">
        <f aca="false">IF(H487="Bekliyor",G487,0)</f>
        <v>0</v>
      </c>
    </row>
    <row r="488" customFormat="false" ht="15" hidden="false" customHeight="false" outlineLevel="0" collapsed="false">
      <c r="A488" s="12"/>
      <c r="B488" s="12"/>
      <c r="C488" s="13"/>
      <c r="D488" s="13"/>
      <c r="E488" s="13"/>
      <c r="F488" s="14"/>
      <c r="G488" s="15"/>
      <c r="H488" s="12"/>
      <c r="I488" s="16" t="str">
        <f aca="true">IF(OR(F488="",H488&lt;&gt;"Bekliyor"),"",F488-TODAY())</f>
        <v/>
      </c>
      <c r="J488" s="17" t="str">
        <f aca="false">IF(I488="","",IF(I488&lt;0,"Vadesi geçti",IF(I488&lt;=7,"Bu hafta","")))</f>
        <v/>
      </c>
      <c r="K488" s="19" t="n">
        <f aca="false">IF(H488="Bekliyor",G488,0)</f>
        <v>0</v>
      </c>
    </row>
    <row r="489" customFormat="false" ht="15" hidden="false" customHeight="false" outlineLevel="0" collapsed="false">
      <c r="A489" s="12"/>
      <c r="B489" s="12"/>
      <c r="C489" s="13"/>
      <c r="D489" s="13"/>
      <c r="E489" s="13"/>
      <c r="F489" s="14"/>
      <c r="G489" s="15"/>
      <c r="H489" s="12"/>
      <c r="I489" s="16" t="str">
        <f aca="true">IF(OR(F489="",H489&lt;&gt;"Bekliyor"),"",F489-TODAY())</f>
        <v/>
      </c>
      <c r="J489" s="17" t="str">
        <f aca="false">IF(I489="","",IF(I489&lt;0,"Vadesi geçti",IF(I489&lt;=7,"Bu hafta","")))</f>
        <v/>
      </c>
      <c r="K489" s="19" t="n">
        <f aca="false">IF(H489="Bekliyor",G489,0)</f>
        <v>0</v>
      </c>
    </row>
    <row r="490" customFormat="false" ht="15" hidden="false" customHeight="false" outlineLevel="0" collapsed="false">
      <c r="A490" s="12"/>
      <c r="B490" s="12"/>
      <c r="C490" s="13"/>
      <c r="D490" s="13"/>
      <c r="E490" s="13"/>
      <c r="F490" s="14"/>
      <c r="G490" s="15"/>
      <c r="H490" s="12"/>
      <c r="I490" s="16" t="str">
        <f aca="true">IF(OR(F490="",H490&lt;&gt;"Bekliyor"),"",F490-TODAY())</f>
        <v/>
      </c>
      <c r="J490" s="17" t="str">
        <f aca="false">IF(I490="","",IF(I490&lt;0,"Vadesi geçti",IF(I490&lt;=7,"Bu hafta","")))</f>
        <v/>
      </c>
      <c r="K490" s="19" t="n">
        <f aca="false">IF(H490="Bekliyor",G490,0)</f>
        <v>0</v>
      </c>
    </row>
    <row r="491" customFormat="false" ht="15" hidden="false" customHeight="false" outlineLevel="0" collapsed="false">
      <c r="A491" s="12"/>
      <c r="B491" s="12"/>
      <c r="C491" s="13"/>
      <c r="D491" s="13"/>
      <c r="E491" s="13"/>
      <c r="F491" s="14"/>
      <c r="G491" s="15"/>
      <c r="H491" s="12"/>
      <c r="I491" s="16" t="str">
        <f aca="true">IF(OR(F491="",H491&lt;&gt;"Bekliyor"),"",F491-TODAY())</f>
        <v/>
      </c>
      <c r="J491" s="17" t="str">
        <f aca="false">IF(I491="","",IF(I491&lt;0,"Vadesi geçti",IF(I491&lt;=7,"Bu hafta","")))</f>
        <v/>
      </c>
      <c r="K491" s="19" t="n">
        <f aca="false">IF(H491="Bekliyor",G491,0)</f>
        <v>0</v>
      </c>
    </row>
    <row r="492" customFormat="false" ht="15" hidden="false" customHeight="false" outlineLevel="0" collapsed="false">
      <c r="A492" s="12"/>
      <c r="B492" s="12"/>
      <c r="C492" s="13"/>
      <c r="D492" s="13"/>
      <c r="E492" s="13"/>
      <c r="F492" s="14"/>
      <c r="G492" s="15"/>
      <c r="H492" s="12"/>
      <c r="I492" s="16" t="str">
        <f aca="true">IF(OR(F492="",H492&lt;&gt;"Bekliyor"),"",F492-TODAY())</f>
        <v/>
      </c>
      <c r="J492" s="17" t="str">
        <f aca="false">IF(I492="","",IF(I492&lt;0,"Vadesi geçti",IF(I492&lt;=7,"Bu hafta","")))</f>
        <v/>
      </c>
      <c r="K492" s="19" t="n">
        <f aca="false">IF(H492="Bekliyor",G492,0)</f>
        <v>0</v>
      </c>
    </row>
    <row r="493" customFormat="false" ht="15" hidden="false" customHeight="false" outlineLevel="0" collapsed="false">
      <c r="A493" s="12"/>
      <c r="B493" s="12"/>
      <c r="C493" s="13"/>
      <c r="D493" s="13"/>
      <c r="E493" s="13"/>
      <c r="F493" s="14"/>
      <c r="G493" s="15"/>
      <c r="H493" s="12"/>
      <c r="I493" s="16" t="str">
        <f aca="true">IF(OR(F493="",H493&lt;&gt;"Bekliyor"),"",F493-TODAY())</f>
        <v/>
      </c>
      <c r="J493" s="17" t="str">
        <f aca="false">IF(I493="","",IF(I493&lt;0,"Vadesi geçti",IF(I493&lt;=7,"Bu hafta","")))</f>
        <v/>
      </c>
      <c r="K493" s="19" t="n">
        <f aca="false">IF(H493="Bekliyor",G493,0)</f>
        <v>0</v>
      </c>
    </row>
    <row r="494" customFormat="false" ht="15" hidden="false" customHeight="false" outlineLevel="0" collapsed="false">
      <c r="A494" s="12"/>
      <c r="B494" s="12"/>
      <c r="C494" s="13"/>
      <c r="D494" s="13"/>
      <c r="E494" s="13"/>
      <c r="F494" s="14"/>
      <c r="G494" s="15"/>
      <c r="H494" s="12"/>
      <c r="I494" s="16" t="str">
        <f aca="true">IF(OR(F494="",H494&lt;&gt;"Bekliyor"),"",F494-TODAY())</f>
        <v/>
      </c>
      <c r="J494" s="17" t="str">
        <f aca="false">IF(I494="","",IF(I494&lt;0,"Vadesi geçti",IF(I494&lt;=7,"Bu hafta","")))</f>
        <v/>
      </c>
      <c r="K494" s="19" t="n">
        <f aca="false">IF(H494="Bekliyor",G494,0)</f>
        <v>0</v>
      </c>
    </row>
    <row r="495" customFormat="false" ht="15" hidden="false" customHeight="false" outlineLevel="0" collapsed="false">
      <c r="A495" s="12"/>
      <c r="B495" s="12"/>
      <c r="C495" s="13"/>
      <c r="D495" s="13"/>
      <c r="E495" s="13"/>
      <c r="F495" s="14"/>
      <c r="G495" s="15"/>
      <c r="H495" s="12"/>
      <c r="I495" s="16" t="str">
        <f aca="true">IF(OR(F495="",H495&lt;&gt;"Bekliyor"),"",F495-TODAY())</f>
        <v/>
      </c>
      <c r="J495" s="17" t="str">
        <f aca="false">IF(I495="","",IF(I495&lt;0,"Vadesi geçti",IF(I495&lt;=7,"Bu hafta","")))</f>
        <v/>
      </c>
      <c r="K495" s="19" t="n">
        <f aca="false">IF(H495="Bekliyor",G495,0)</f>
        <v>0</v>
      </c>
    </row>
    <row r="496" customFormat="false" ht="15" hidden="false" customHeight="false" outlineLevel="0" collapsed="false">
      <c r="A496" s="12"/>
      <c r="B496" s="12"/>
      <c r="C496" s="13"/>
      <c r="D496" s="13"/>
      <c r="E496" s="13"/>
      <c r="F496" s="14"/>
      <c r="G496" s="15"/>
      <c r="H496" s="12"/>
      <c r="I496" s="16" t="str">
        <f aca="true">IF(OR(F496="",H496&lt;&gt;"Bekliyor"),"",F496-TODAY())</f>
        <v/>
      </c>
      <c r="J496" s="17" t="str">
        <f aca="false">IF(I496="","",IF(I496&lt;0,"Vadesi geçti",IF(I496&lt;=7,"Bu hafta","")))</f>
        <v/>
      </c>
      <c r="K496" s="19" t="n">
        <f aca="false">IF(H496="Bekliyor",G496,0)</f>
        <v>0</v>
      </c>
    </row>
    <row r="497" customFormat="false" ht="15" hidden="false" customHeight="false" outlineLevel="0" collapsed="false">
      <c r="A497" s="12"/>
      <c r="B497" s="12"/>
      <c r="C497" s="13"/>
      <c r="D497" s="13"/>
      <c r="E497" s="13"/>
      <c r="F497" s="14"/>
      <c r="G497" s="15"/>
      <c r="H497" s="12"/>
      <c r="I497" s="16" t="str">
        <f aca="true">IF(OR(F497="",H497&lt;&gt;"Bekliyor"),"",F497-TODAY())</f>
        <v/>
      </c>
      <c r="J497" s="17" t="str">
        <f aca="false">IF(I497="","",IF(I497&lt;0,"Vadesi geçti",IF(I497&lt;=7,"Bu hafta","")))</f>
        <v/>
      </c>
      <c r="K497" s="19" t="n">
        <f aca="false">IF(H497="Bekliyor",G497,0)</f>
        <v>0</v>
      </c>
    </row>
    <row r="498" customFormat="false" ht="15" hidden="false" customHeight="false" outlineLevel="0" collapsed="false">
      <c r="A498" s="12"/>
      <c r="B498" s="12"/>
      <c r="C498" s="13"/>
      <c r="D498" s="13"/>
      <c r="E498" s="13"/>
      <c r="F498" s="14"/>
      <c r="G498" s="15"/>
      <c r="H498" s="12"/>
      <c r="I498" s="16" t="str">
        <f aca="true">IF(OR(F498="",H498&lt;&gt;"Bekliyor"),"",F498-TODAY())</f>
        <v/>
      </c>
      <c r="J498" s="17" t="str">
        <f aca="false">IF(I498="","",IF(I498&lt;0,"Vadesi geçti",IF(I498&lt;=7,"Bu hafta","")))</f>
        <v/>
      </c>
      <c r="K498" s="19" t="n">
        <f aca="false">IF(H498="Bekliyor",G498,0)</f>
        <v>0</v>
      </c>
    </row>
    <row r="499" customFormat="false" ht="15" hidden="false" customHeight="false" outlineLevel="0" collapsed="false">
      <c r="A499" s="12"/>
      <c r="B499" s="12"/>
      <c r="C499" s="13"/>
      <c r="D499" s="13"/>
      <c r="E499" s="13"/>
      <c r="F499" s="14"/>
      <c r="G499" s="15"/>
      <c r="H499" s="12"/>
      <c r="I499" s="16" t="str">
        <f aca="true">IF(OR(F499="",H499&lt;&gt;"Bekliyor"),"",F499-TODAY())</f>
        <v/>
      </c>
      <c r="J499" s="17" t="str">
        <f aca="false">IF(I499="","",IF(I499&lt;0,"Vadesi geçti",IF(I499&lt;=7,"Bu hafta","")))</f>
        <v/>
      </c>
      <c r="K499" s="19" t="n">
        <f aca="false">IF(H499="Bekliyor",G499,0)</f>
        <v>0</v>
      </c>
    </row>
    <row r="500" customFormat="false" ht="15" hidden="false" customHeight="false" outlineLevel="0" collapsed="false">
      <c r="A500" s="12"/>
      <c r="B500" s="12"/>
      <c r="C500" s="13"/>
      <c r="D500" s="13"/>
      <c r="E500" s="13"/>
      <c r="F500" s="14"/>
      <c r="G500" s="15"/>
      <c r="H500" s="12"/>
      <c r="I500" s="16" t="str">
        <f aca="true">IF(OR(F500="",H500&lt;&gt;"Bekliyor"),"",F500-TODAY())</f>
        <v/>
      </c>
      <c r="J500" s="17" t="str">
        <f aca="false">IF(I500="","",IF(I500&lt;0,"Vadesi geçti",IF(I500&lt;=7,"Bu hafta","")))</f>
        <v/>
      </c>
      <c r="K500" s="19" t="n">
        <f aca="false">IF(H500="Bekliyor",G500,0)</f>
        <v>0</v>
      </c>
    </row>
    <row r="501" customFormat="false" ht="15" hidden="false" customHeight="false" outlineLevel="0" collapsed="false">
      <c r="A501" s="12"/>
      <c r="B501" s="12"/>
      <c r="C501" s="13"/>
      <c r="D501" s="13"/>
      <c r="E501" s="13"/>
      <c r="F501" s="14"/>
      <c r="G501" s="15"/>
      <c r="H501" s="12"/>
      <c r="I501" s="16" t="str">
        <f aca="true">IF(OR(F501="",H501&lt;&gt;"Bekliyor"),"",F501-TODAY())</f>
        <v/>
      </c>
      <c r="J501" s="17" t="str">
        <f aca="false">IF(I501="","",IF(I501&lt;0,"Vadesi geçti",IF(I501&lt;=7,"Bu hafta","")))</f>
        <v/>
      </c>
      <c r="K501" s="19" t="n">
        <f aca="false">IF(H501="Bekliyor",G501,0)</f>
        <v>0</v>
      </c>
    </row>
    <row r="502" customFormat="false" ht="15" hidden="false" customHeight="false" outlineLevel="0" collapsed="false">
      <c r="A502" s="12"/>
      <c r="B502" s="12"/>
      <c r="C502" s="13"/>
      <c r="D502" s="13"/>
      <c r="E502" s="13"/>
      <c r="F502" s="14"/>
      <c r="G502" s="15"/>
      <c r="H502" s="12"/>
      <c r="I502" s="16" t="str">
        <f aca="true">IF(OR(F502="",H502&lt;&gt;"Bekliyor"),"",F502-TODAY())</f>
        <v/>
      </c>
      <c r="J502" s="17" t="str">
        <f aca="false">IF(I502="","",IF(I502&lt;0,"Vadesi geçti",IF(I502&lt;=7,"Bu hafta","")))</f>
        <v/>
      </c>
      <c r="K502" s="19" t="n">
        <f aca="false">IF(H502="Bekliyor",G502,0)</f>
        <v>0</v>
      </c>
    </row>
    <row r="503" customFormat="false" ht="15" hidden="false" customHeight="false" outlineLevel="0" collapsed="false">
      <c r="A503" s="12"/>
      <c r="B503" s="12"/>
      <c r="C503" s="13"/>
      <c r="D503" s="13"/>
      <c r="E503" s="13"/>
      <c r="F503" s="14"/>
      <c r="G503" s="15"/>
      <c r="H503" s="12"/>
      <c r="I503" s="16" t="str">
        <f aca="true">IF(OR(F503="",H503&lt;&gt;"Bekliyor"),"",F503-TODAY())</f>
        <v/>
      </c>
      <c r="J503" s="17" t="str">
        <f aca="false">IF(I503="","",IF(I503&lt;0,"Vadesi geçti",IF(I503&lt;=7,"Bu hafta","")))</f>
        <v/>
      </c>
      <c r="K503" s="19" t="n">
        <f aca="false">IF(H503="Bekliyor",G503,0)</f>
        <v>0</v>
      </c>
    </row>
    <row r="504" customFormat="false" ht="15" hidden="false" customHeight="false" outlineLevel="0" collapsed="false">
      <c r="A504" s="12"/>
      <c r="B504" s="12"/>
      <c r="C504" s="13"/>
      <c r="D504" s="13"/>
      <c r="E504" s="13"/>
      <c r="F504" s="14"/>
      <c r="G504" s="15"/>
      <c r="H504" s="12"/>
      <c r="I504" s="16" t="str">
        <f aca="true">IF(OR(F504="",H504&lt;&gt;"Bekliyor"),"",F504-TODAY())</f>
        <v/>
      </c>
      <c r="J504" s="17" t="str">
        <f aca="false">IF(I504="","",IF(I504&lt;0,"Vadesi geçti",IF(I504&lt;=7,"Bu hafta","")))</f>
        <v/>
      </c>
      <c r="K504" s="19" t="n">
        <f aca="false">IF(H504="Bekliyor",G504,0)</f>
        <v>0</v>
      </c>
    </row>
    <row r="505" customFormat="false" ht="15" hidden="false" customHeight="false" outlineLevel="0" collapsed="false">
      <c r="A505" s="12"/>
      <c r="B505" s="12"/>
      <c r="C505" s="13"/>
      <c r="D505" s="13"/>
      <c r="E505" s="13"/>
      <c r="F505" s="14"/>
      <c r="G505" s="15"/>
      <c r="H505" s="12"/>
      <c r="I505" s="16" t="str">
        <f aca="true">IF(OR(F505="",H505&lt;&gt;"Bekliyor"),"",F505-TODAY())</f>
        <v/>
      </c>
      <c r="J505" s="17" t="str">
        <f aca="false">IF(I505="","",IF(I505&lt;0,"Vadesi geçti",IF(I505&lt;=7,"Bu hafta","")))</f>
        <v/>
      </c>
      <c r="K505" s="19" t="n">
        <f aca="false">IF(H505="Bekliyor",G505,0)</f>
        <v>0</v>
      </c>
    </row>
    <row r="506" customFormat="false" ht="15" hidden="false" customHeight="false" outlineLevel="0" collapsed="false">
      <c r="A506" s="12"/>
      <c r="B506" s="12"/>
      <c r="C506" s="13"/>
      <c r="D506" s="13"/>
      <c r="E506" s="13"/>
      <c r="F506" s="14"/>
      <c r="G506" s="15"/>
      <c r="H506" s="12"/>
      <c r="I506" s="16" t="str">
        <f aca="true">IF(OR(F506="",H506&lt;&gt;"Bekliyor"),"",F506-TODAY())</f>
        <v/>
      </c>
      <c r="J506" s="17" t="str">
        <f aca="false">IF(I506="","",IF(I506&lt;0,"Vadesi geçti",IF(I506&lt;=7,"Bu hafta","")))</f>
        <v/>
      </c>
      <c r="K506" s="19" t="n">
        <f aca="false">IF(H506="Bekliyor",G506,0)</f>
        <v>0</v>
      </c>
    </row>
    <row r="507" customFormat="false" ht="15" hidden="false" customHeight="false" outlineLevel="0" collapsed="false">
      <c r="A507" s="12"/>
      <c r="B507" s="12"/>
      <c r="C507" s="13"/>
      <c r="D507" s="13"/>
      <c r="E507" s="13"/>
      <c r="F507" s="14"/>
      <c r="G507" s="15"/>
      <c r="H507" s="12"/>
      <c r="I507" s="16" t="str">
        <f aca="true">IF(OR(F507="",H507&lt;&gt;"Bekliyor"),"",F507-TODAY())</f>
        <v/>
      </c>
      <c r="J507" s="17" t="str">
        <f aca="false">IF(I507="","",IF(I507&lt;0,"Vadesi geçti",IF(I507&lt;=7,"Bu hafta","")))</f>
        <v/>
      </c>
      <c r="K507" s="19" t="n">
        <f aca="false">IF(H507="Bekliyor",G507,0)</f>
        <v>0</v>
      </c>
    </row>
    <row r="508" customFormat="false" ht="15" hidden="false" customHeight="false" outlineLevel="0" collapsed="false">
      <c r="A508" s="12"/>
      <c r="B508" s="12"/>
      <c r="C508" s="13"/>
      <c r="D508" s="13"/>
      <c r="E508" s="13"/>
      <c r="F508" s="14"/>
      <c r="G508" s="15"/>
      <c r="H508" s="12"/>
      <c r="I508" s="16" t="str">
        <f aca="true">IF(OR(F508="",H508&lt;&gt;"Bekliyor"),"",F508-TODAY())</f>
        <v/>
      </c>
      <c r="J508" s="17" t="str">
        <f aca="false">IF(I508="","",IF(I508&lt;0,"Vadesi geçti",IF(I508&lt;=7,"Bu hafta","")))</f>
        <v/>
      </c>
      <c r="K508" s="19" t="n">
        <f aca="false">IF(H508="Bekliyor",G508,0)</f>
        <v>0</v>
      </c>
    </row>
    <row r="509" customFormat="false" ht="15" hidden="false" customHeight="false" outlineLevel="0" collapsed="false">
      <c r="A509" s="12"/>
      <c r="B509" s="12"/>
      <c r="C509" s="13"/>
      <c r="D509" s="13"/>
      <c r="E509" s="13"/>
      <c r="F509" s="14"/>
      <c r="G509" s="15"/>
      <c r="H509" s="12"/>
      <c r="I509" s="16" t="str">
        <f aca="true">IF(OR(F509="",H509&lt;&gt;"Bekliyor"),"",F509-TODAY())</f>
        <v/>
      </c>
      <c r="J509" s="17" t="str">
        <f aca="false">IF(I509="","",IF(I509&lt;0,"Vadesi geçti",IF(I509&lt;=7,"Bu hafta","")))</f>
        <v/>
      </c>
      <c r="K509" s="19" t="n">
        <f aca="false">IF(H509="Bekliyor",G509,0)</f>
        <v>0</v>
      </c>
    </row>
    <row r="510" customFormat="false" ht="15" hidden="false" customHeight="false" outlineLevel="0" collapsed="false">
      <c r="A510" s="12"/>
      <c r="B510" s="12"/>
      <c r="C510" s="13"/>
      <c r="D510" s="13"/>
      <c r="E510" s="13"/>
      <c r="F510" s="14"/>
      <c r="G510" s="15"/>
      <c r="H510" s="12"/>
      <c r="I510" s="16" t="str">
        <f aca="true">IF(OR(F510="",H510&lt;&gt;"Bekliyor"),"",F510-TODAY())</f>
        <v/>
      </c>
      <c r="J510" s="17" t="str">
        <f aca="false">IF(I510="","",IF(I510&lt;0,"Vadesi geçti",IF(I510&lt;=7,"Bu hafta","")))</f>
        <v/>
      </c>
      <c r="K510" s="19" t="n">
        <f aca="false">IF(H510="Bekliyor",G510,0)</f>
        <v>0</v>
      </c>
    </row>
    <row r="511" customFormat="false" ht="15" hidden="false" customHeight="false" outlineLevel="0" collapsed="false">
      <c r="A511" s="12"/>
      <c r="B511" s="12"/>
      <c r="C511" s="13"/>
      <c r="D511" s="13"/>
      <c r="E511" s="13"/>
      <c r="F511" s="14"/>
      <c r="G511" s="15"/>
      <c r="H511" s="12"/>
      <c r="I511" s="16" t="str">
        <f aca="true">IF(OR(F511="",H511&lt;&gt;"Bekliyor"),"",F511-TODAY())</f>
        <v/>
      </c>
      <c r="J511" s="17" t="str">
        <f aca="false">IF(I511="","",IF(I511&lt;0,"Vadesi geçti",IF(I511&lt;=7,"Bu hafta","")))</f>
        <v/>
      </c>
      <c r="K511" s="19" t="n">
        <f aca="false">IF(H511="Bekliyor",G511,0)</f>
        <v>0</v>
      </c>
    </row>
    <row r="512" customFormat="false" ht="15" hidden="false" customHeight="false" outlineLevel="0" collapsed="false">
      <c r="A512" s="12"/>
      <c r="B512" s="12"/>
      <c r="C512" s="13"/>
      <c r="D512" s="13"/>
      <c r="E512" s="13"/>
      <c r="F512" s="14"/>
      <c r="G512" s="15"/>
      <c r="H512" s="12"/>
      <c r="I512" s="16" t="str">
        <f aca="true">IF(OR(F512="",H512&lt;&gt;"Bekliyor"),"",F512-TODAY())</f>
        <v/>
      </c>
      <c r="J512" s="17" t="str">
        <f aca="false">IF(I512="","",IF(I512&lt;0,"Vadesi geçti",IF(I512&lt;=7,"Bu hafta","")))</f>
        <v/>
      </c>
      <c r="K512" s="19" t="n">
        <f aca="false">IF(H512="Bekliyor",G512,0)</f>
        <v>0</v>
      </c>
    </row>
    <row r="513" customFormat="false" ht="15" hidden="false" customHeight="false" outlineLevel="0" collapsed="false">
      <c r="A513" s="12"/>
      <c r="B513" s="12"/>
      <c r="C513" s="13"/>
      <c r="D513" s="13"/>
      <c r="E513" s="13"/>
      <c r="F513" s="14"/>
      <c r="G513" s="15"/>
      <c r="H513" s="12"/>
      <c r="I513" s="16" t="str">
        <f aca="true">IF(OR(F513="",H513&lt;&gt;"Bekliyor"),"",F513-TODAY())</f>
        <v/>
      </c>
      <c r="J513" s="17" t="str">
        <f aca="false">IF(I513="","",IF(I513&lt;0,"Vadesi geçti",IF(I513&lt;=7,"Bu hafta","")))</f>
        <v/>
      </c>
      <c r="K513" s="19" t="n">
        <f aca="false">IF(H513="Bekliyor",G513,0)</f>
        <v>0</v>
      </c>
    </row>
    <row r="514" customFormat="false" ht="15" hidden="false" customHeight="false" outlineLevel="0" collapsed="false">
      <c r="A514" s="12"/>
      <c r="B514" s="12"/>
      <c r="C514" s="13"/>
      <c r="D514" s="13"/>
      <c r="E514" s="13"/>
      <c r="F514" s="14"/>
      <c r="G514" s="15"/>
      <c r="H514" s="12"/>
      <c r="I514" s="16" t="str">
        <f aca="true">IF(OR(F514="",H514&lt;&gt;"Bekliyor"),"",F514-TODAY())</f>
        <v/>
      </c>
      <c r="J514" s="17" t="str">
        <f aca="false">IF(I514="","",IF(I514&lt;0,"Vadesi geçti",IF(I514&lt;=7,"Bu hafta","")))</f>
        <v/>
      </c>
      <c r="K514" s="19" t="n">
        <f aca="false">IF(H514="Bekliyor",G514,0)</f>
        <v>0</v>
      </c>
    </row>
    <row r="515" customFormat="false" ht="15" hidden="false" customHeight="false" outlineLevel="0" collapsed="false">
      <c r="A515" s="12"/>
      <c r="B515" s="12"/>
      <c r="C515" s="13"/>
      <c r="D515" s="13"/>
      <c r="E515" s="13"/>
      <c r="F515" s="14"/>
      <c r="G515" s="15"/>
      <c r="H515" s="12"/>
      <c r="I515" s="16" t="str">
        <f aca="true">IF(OR(F515="",H515&lt;&gt;"Bekliyor"),"",F515-TODAY())</f>
        <v/>
      </c>
      <c r="J515" s="17" t="str">
        <f aca="false">IF(I515="","",IF(I515&lt;0,"Vadesi geçti",IF(I515&lt;=7,"Bu hafta","")))</f>
        <v/>
      </c>
      <c r="K515" s="19" t="n">
        <f aca="false">IF(H515="Bekliyor",G515,0)</f>
        <v>0</v>
      </c>
    </row>
    <row r="516" customFormat="false" ht="15" hidden="false" customHeight="false" outlineLevel="0" collapsed="false">
      <c r="A516" s="12"/>
      <c r="B516" s="12"/>
      <c r="C516" s="13"/>
      <c r="D516" s="13"/>
      <c r="E516" s="13"/>
      <c r="F516" s="14"/>
      <c r="G516" s="15"/>
      <c r="H516" s="12"/>
      <c r="I516" s="16" t="str">
        <f aca="true">IF(OR(F516="",H516&lt;&gt;"Bekliyor"),"",F516-TODAY())</f>
        <v/>
      </c>
      <c r="J516" s="17" t="str">
        <f aca="false">IF(I516="","",IF(I516&lt;0,"Vadesi geçti",IF(I516&lt;=7,"Bu hafta","")))</f>
        <v/>
      </c>
      <c r="K516" s="19" t="n">
        <f aca="false">IF(H516="Bekliyor",G516,0)</f>
        <v>0</v>
      </c>
    </row>
    <row r="517" customFormat="false" ht="15" hidden="false" customHeight="false" outlineLevel="0" collapsed="false">
      <c r="A517" s="12"/>
      <c r="B517" s="12"/>
      <c r="C517" s="13"/>
      <c r="D517" s="13"/>
      <c r="E517" s="13"/>
      <c r="F517" s="14"/>
      <c r="G517" s="15"/>
      <c r="H517" s="12"/>
      <c r="I517" s="16" t="str">
        <f aca="true">IF(OR(F517="",H517&lt;&gt;"Bekliyor"),"",F517-TODAY())</f>
        <v/>
      </c>
      <c r="J517" s="17" t="str">
        <f aca="false">IF(I517="","",IF(I517&lt;0,"Vadesi geçti",IF(I517&lt;=7,"Bu hafta","")))</f>
        <v/>
      </c>
      <c r="K517" s="19" t="n">
        <f aca="false">IF(H517="Bekliyor",G517,0)</f>
        <v>0</v>
      </c>
    </row>
    <row r="518" customFormat="false" ht="15" hidden="false" customHeight="false" outlineLevel="0" collapsed="false">
      <c r="A518" s="12"/>
      <c r="B518" s="12"/>
      <c r="C518" s="13"/>
      <c r="D518" s="13"/>
      <c r="E518" s="13"/>
      <c r="F518" s="14"/>
      <c r="G518" s="15"/>
      <c r="H518" s="12"/>
      <c r="I518" s="16" t="str">
        <f aca="true">IF(OR(F518="",H518&lt;&gt;"Bekliyor"),"",F518-TODAY())</f>
        <v/>
      </c>
      <c r="J518" s="17" t="str">
        <f aca="false">IF(I518="","",IF(I518&lt;0,"Vadesi geçti",IF(I518&lt;=7,"Bu hafta","")))</f>
        <v/>
      </c>
      <c r="K518" s="19" t="n">
        <f aca="false">IF(H518="Bekliyor",G518,0)</f>
        <v>0</v>
      </c>
    </row>
    <row r="519" customFormat="false" ht="15" hidden="false" customHeight="false" outlineLevel="0" collapsed="false">
      <c r="A519" s="12"/>
      <c r="B519" s="12"/>
      <c r="C519" s="13"/>
      <c r="D519" s="13"/>
      <c r="E519" s="13"/>
      <c r="F519" s="14"/>
      <c r="G519" s="15"/>
      <c r="H519" s="12"/>
      <c r="I519" s="16" t="str">
        <f aca="true">IF(OR(F519="",H519&lt;&gt;"Bekliyor"),"",F519-TODAY())</f>
        <v/>
      </c>
      <c r="J519" s="17" t="str">
        <f aca="false">IF(I519="","",IF(I519&lt;0,"Vadesi geçti",IF(I519&lt;=7,"Bu hafta","")))</f>
        <v/>
      </c>
      <c r="K519" s="19" t="n">
        <f aca="false">IF(H519="Bekliyor",G519,0)</f>
        <v>0</v>
      </c>
    </row>
    <row r="520" customFormat="false" ht="15" hidden="false" customHeight="false" outlineLevel="0" collapsed="false">
      <c r="A520" s="12"/>
      <c r="B520" s="12"/>
      <c r="C520" s="13"/>
      <c r="D520" s="13"/>
      <c r="E520" s="13"/>
      <c r="F520" s="14"/>
      <c r="G520" s="15"/>
      <c r="H520" s="12"/>
      <c r="I520" s="16" t="str">
        <f aca="true">IF(OR(F520="",H520&lt;&gt;"Bekliyor"),"",F520-TODAY())</f>
        <v/>
      </c>
      <c r="J520" s="17" t="str">
        <f aca="false">IF(I520="","",IF(I520&lt;0,"Vadesi geçti",IF(I520&lt;=7,"Bu hafta","")))</f>
        <v/>
      </c>
      <c r="K520" s="19" t="n">
        <f aca="false">IF(H520="Bekliyor",G520,0)</f>
        <v>0</v>
      </c>
    </row>
    <row r="521" customFormat="false" ht="15" hidden="false" customHeight="false" outlineLevel="0" collapsed="false">
      <c r="A521" s="12"/>
      <c r="B521" s="12"/>
      <c r="C521" s="13"/>
      <c r="D521" s="13"/>
      <c r="E521" s="13"/>
      <c r="F521" s="14"/>
      <c r="G521" s="15"/>
      <c r="H521" s="12"/>
      <c r="I521" s="16" t="str">
        <f aca="true">IF(OR(F521="",H521&lt;&gt;"Bekliyor"),"",F521-TODAY())</f>
        <v/>
      </c>
      <c r="J521" s="17" t="str">
        <f aca="false">IF(I521="","",IF(I521&lt;0,"Vadesi geçti",IF(I521&lt;=7,"Bu hafta","")))</f>
        <v/>
      </c>
      <c r="K521" s="19" t="n">
        <f aca="false">IF(H521="Bekliyor",G521,0)</f>
        <v>0</v>
      </c>
    </row>
    <row r="522" customFormat="false" ht="15" hidden="false" customHeight="false" outlineLevel="0" collapsed="false">
      <c r="A522" s="12"/>
      <c r="B522" s="12"/>
      <c r="C522" s="13"/>
      <c r="D522" s="13"/>
      <c r="E522" s="13"/>
      <c r="F522" s="14"/>
      <c r="G522" s="15"/>
      <c r="H522" s="12"/>
      <c r="I522" s="16" t="str">
        <f aca="true">IF(OR(F522="",H522&lt;&gt;"Bekliyor"),"",F522-TODAY())</f>
        <v/>
      </c>
      <c r="J522" s="17" t="str">
        <f aca="false">IF(I522="","",IF(I522&lt;0,"Vadesi geçti",IF(I522&lt;=7,"Bu hafta","")))</f>
        <v/>
      </c>
      <c r="K522" s="19" t="n">
        <f aca="false">IF(H522="Bekliyor",G522,0)</f>
        <v>0</v>
      </c>
    </row>
    <row r="523" customFormat="false" ht="15" hidden="false" customHeight="false" outlineLevel="0" collapsed="false">
      <c r="A523" s="12"/>
      <c r="B523" s="12"/>
      <c r="C523" s="13"/>
      <c r="D523" s="13"/>
      <c r="E523" s="13"/>
      <c r="F523" s="14"/>
      <c r="G523" s="15"/>
      <c r="H523" s="12"/>
      <c r="I523" s="16" t="str">
        <f aca="true">IF(OR(F523="",H523&lt;&gt;"Bekliyor"),"",F523-TODAY())</f>
        <v/>
      </c>
      <c r="J523" s="17" t="str">
        <f aca="false">IF(I523="","",IF(I523&lt;0,"Vadesi geçti",IF(I523&lt;=7,"Bu hafta","")))</f>
        <v/>
      </c>
      <c r="K523" s="19" t="n">
        <f aca="false">IF(H523="Bekliyor",G523,0)</f>
        <v>0</v>
      </c>
    </row>
    <row r="524" customFormat="false" ht="15" hidden="false" customHeight="false" outlineLevel="0" collapsed="false">
      <c r="A524" s="12"/>
      <c r="B524" s="12"/>
      <c r="C524" s="13"/>
      <c r="D524" s="13"/>
      <c r="E524" s="13"/>
      <c r="F524" s="14"/>
      <c r="G524" s="15"/>
      <c r="H524" s="12"/>
      <c r="I524" s="16" t="str">
        <f aca="true">IF(OR(F524="",H524&lt;&gt;"Bekliyor"),"",F524-TODAY())</f>
        <v/>
      </c>
      <c r="J524" s="17" t="str">
        <f aca="false">IF(I524="","",IF(I524&lt;0,"Vadesi geçti",IF(I524&lt;=7,"Bu hafta","")))</f>
        <v/>
      </c>
      <c r="K524" s="19" t="n">
        <f aca="false">IF(H524="Bekliyor",G524,0)</f>
        <v>0</v>
      </c>
    </row>
    <row r="525" customFormat="false" ht="15" hidden="false" customHeight="false" outlineLevel="0" collapsed="false">
      <c r="A525" s="12"/>
      <c r="B525" s="12"/>
      <c r="C525" s="13"/>
      <c r="D525" s="13"/>
      <c r="E525" s="13"/>
      <c r="F525" s="14"/>
      <c r="G525" s="15"/>
      <c r="H525" s="12"/>
      <c r="I525" s="16" t="str">
        <f aca="true">IF(OR(F525="",H525&lt;&gt;"Bekliyor"),"",F525-TODAY())</f>
        <v/>
      </c>
      <c r="J525" s="17" t="str">
        <f aca="false">IF(I525="","",IF(I525&lt;0,"Vadesi geçti",IF(I525&lt;=7,"Bu hafta","")))</f>
        <v/>
      </c>
      <c r="K525" s="19" t="n">
        <f aca="false">IF(H525="Bekliyor",G525,0)</f>
        <v>0</v>
      </c>
    </row>
    <row r="526" customFormat="false" ht="15" hidden="false" customHeight="false" outlineLevel="0" collapsed="false">
      <c r="A526" s="12"/>
      <c r="B526" s="12"/>
      <c r="C526" s="13"/>
      <c r="D526" s="13"/>
      <c r="E526" s="13"/>
      <c r="F526" s="14"/>
      <c r="G526" s="15"/>
      <c r="H526" s="12"/>
      <c r="I526" s="16" t="str">
        <f aca="true">IF(OR(F526="",H526&lt;&gt;"Bekliyor"),"",F526-TODAY())</f>
        <v/>
      </c>
      <c r="J526" s="17" t="str">
        <f aca="false">IF(I526="","",IF(I526&lt;0,"Vadesi geçti",IF(I526&lt;=7,"Bu hafta","")))</f>
        <v/>
      </c>
      <c r="K526" s="19" t="n">
        <f aca="false">IF(H526="Bekliyor",G526,0)</f>
        <v>0</v>
      </c>
    </row>
    <row r="527" customFormat="false" ht="15" hidden="false" customHeight="false" outlineLevel="0" collapsed="false">
      <c r="A527" s="12"/>
      <c r="B527" s="12"/>
      <c r="C527" s="13"/>
      <c r="D527" s="13"/>
      <c r="E527" s="13"/>
      <c r="F527" s="14"/>
      <c r="G527" s="15"/>
      <c r="H527" s="12"/>
      <c r="I527" s="16" t="str">
        <f aca="true">IF(OR(F527="",H527&lt;&gt;"Bekliyor"),"",F527-TODAY())</f>
        <v/>
      </c>
      <c r="J527" s="17" t="str">
        <f aca="false">IF(I527="","",IF(I527&lt;0,"Vadesi geçti",IF(I527&lt;=7,"Bu hafta","")))</f>
        <v/>
      </c>
      <c r="K527" s="19" t="n">
        <f aca="false">IF(H527="Bekliyor",G527,0)</f>
        <v>0</v>
      </c>
    </row>
    <row r="528" customFormat="false" ht="15" hidden="false" customHeight="false" outlineLevel="0" collapsed="false">
      <c r="A528" s="12"/>
      <c r="B528" s="12"/>
      <c r="C528" s="13"/>
      <c r="D528" s="13"/>
      <c r="E528" s="13"/>
      <c r="F528" s="14"/>
      <c r="G528" s="15"/>
      <c r="H528" s="12"/>
      <c r="I528" s="16" t="str">
        <f aca="true">IF(OR(F528="",H528&lt;&gt;"Bekliyor"),"",F528-TODAY())</f>
        <v/>
      </c>
      <c r="J528" s="17" t="str">
        <f aca="false">IF(I528="","",IF(I528&lt;0,"Vadesi geçti",IF(I528&lt;=7,"Bu hafta","")))</f>
        <v/>
      </c>
      <c r="K528" s="19" t="n">
        <f aca="false">IF(H528="Bekliyor",G528,0)</f>
        <v>0</v>
      </c>
    </row>
    <row r="529" customFormat="false" ht="15" hidden="false" customHeight="false" outlineLevel="0" collapsed="false">
      <c r="A529" s="12"/>
      <c r="B529" s="12"/>
      <c r="C529" s="13"/>
      <c r="D529" s="13"/>
      <c r="E529" s="13"/>
      <c r="F529" s="14"/>
      <c r="G529" s="15"/>
      <c r="H529" s="12"/>
      <c r="I529" s="16" t="str">
        <f aca="true">IF(OR(F529="",H529&lt;&gt;"Bekliyor"),"",F529-TODAY())</f>
        <v/>
      </c>
      <c r="J529" s="17" t="str">
        <f aca="false">IF(I529="","",IF(I529&lt;0,"Vadesi geçti",IF(I529&lt;=7,"Bu hafta","")))</f>
        <v/>
      </c>
      <c r="K529" s="19" t="n">
        <f aca="false">IF(H529="Bekliyor",G529,0)</f>
        <v>0</v>
      </c>
    </row>
    <row r="530" customFormat="false" ht="15" hidden="false" customHeight="false" outlineLevel="0" collapsed="false">
      <c r="A530" s="12"/>
      <c r="B530" s="12"/>
      <c r="C530" s="13"/>
      <c r="D530" s="13"/>
      <c r="E530" s="13"/>
      <c r="F530" s="14"/>
      <c r="G530" s="15"/>
      <c r="H530" s="12"/>
      <c r="I530" s="16" t="str">
        <f aca="true">IF(OR(F530="",H530&lt;&gt;"Bekliyor"),"",F530-TODAY())</f>
        <v/>
      </c>
      <c r="J530" s="17" t="str">
        <f aca="false">IF(I530="","",IF(I530&lt;0,"Vadesi geçti",IF(I530&lt;=7,"Bu hafta","")))</f>
        <v/>
      </c>
      <c r="K530" s="19" t="n">
        <f aca="false">IF(H530="Bekliyor",G530,0)</f>
        <v>0</v>
      </c>
    </row>
    <row r="531" customFormat="false" ht="15" hidden="false" customHeight="false" outlineLevel="0" collapsed="false">
      <c r="A531" s="12"/>
      <c r="B531" s="12"/>
      <c r="C531" s="13"/>
      <c r="D531" s="13"/>
      <c r="E531" s="13"/>
      <c r="F531" s="14"/>
      <c r="G531" s="15"/>
      <c r="H531" s="12"/>
      <c r="I531" s="16" t="str">
        <f aca="true">IF(OR(F531="",H531&lt;&gt;"Bekliyor"),"",F531-TODAY())</f>
        <v/>
      </c>
      <c r="J531" s="17" t="str">
        <f aca="false">IF(I531="","",IF(I531&lt;0,"Vadesi geçti",IF(I531&lt;=7,"Bu hafta","")))</f>
        <v/>
      </c>
      <c r="K531" s="19" t="n">
        <f aca="false">IF(H531="Bekliyor",G531,0)</f>
        <v>0</v>
      </c>
    </row>
    <row r="532" customFormat="false" ht="15" hidden="false" customHeight="false" outlineLevel="0" collapsed="false">
      <c r="A532" s="12"/>
      <c r="B532" s="12"/>
      <c r="C532" s="13"/>
      <c r="D532" s="13"/>
      <c r="E532" s="13"/>
      <c r="F532" s="14"/>
      <c r="G532" s="15"/>
      <c r="H532" s="12"/>
      <c r="I532" s="16" t="str">
        <f aca="true">IF(OR(F532="",H532&lt;&gt;"Bekliyor"),"",F532-TODAY())</f>
        <v/>
      </c>
      <c r="J532" s="17" t="str">
        <f aca="false">IF(I532="","",IF(I532&lt;0,"Vadesi geçti",IF(I532&lt;=7,"Bu hafta","")))</f>
        <v/>
      </c>
      <c r="K532" s="19" t="n">
        <f aca="false">IF(H532="Bekliyor",G532,0)</f>
        <v>0</v>
      </c>
    </row>
    <row r="533" customFormat="false" ht="15" hidden="false" customHeight="false" outlineLevel="0" collapsed="false">
      <c r="A533" s="12"/>
      <c r="B533" s="12"/>
      <c r="C533" s="13"/>
      <c r="D533" s="13"/>
      <c r="E533" s="13"/>
      <c r="F533" s="14"/>
      <c r="G533" s="15"/>
      <c r="H533" s="12"/>
      <c r="I533" s="16" t="str">
        <f aca="true">IF(OR(F533="",H533&lt;&gt;"Bekliyor"),"",F533-TODAY())</f>
        <v/>
      </c>
      <c r="J533" s="17" t="str">
        <f aca="false">IF(I533="","",IF(I533&lt;0,"Vadesi geçti",IF(I533&lt;=7,"Bu hafta","")))</f>
        <v/>
      </c>
      <c r="K533" s="19" t="n">
        <f aca="false">IF(H533="Bekliyor",G533,0)</f>
        <v>0</v>
      </c>
    </row>
    <row r="534" customFormat="false" ht="15" hidden="false" customHeight="false" outlineLevel="0" collapsed="false">
      <c r="A534" s="12"/>
      <c r="B534" s="12"/>
      <c r="C534" s="13"/>
      <c r="D534" s="13"/>
      <c r="E534" s="13"/>
      <c r="F534" s="14"/>
      <c r="G534" s="15"/>
      <c r="H534" s="12"/>
      <c r="I534" s="16" t="str">
        <f aca="true">IF(OR(F534="",H534&lt;&gt;"Bekliyor"),"",F534-TODAY())</f>
        <v/>
      </c>
      <c r="J534" s="17" t="str">
        <f aca="false">IF(I534="","",IF(I534&lt;0,"Vadesi geçti",IF(I534&lt;=7,"Bu hafta","")))</f>
        <v/>
      </c>
      <c r="K534" s="19" t="n">
        <f aca="false">IF(H534="Bekliyor",G534,0)</f>
        <v>0</v>
      </c>
    </row>
    <row r="535" customFormat="false" ht="15" hidden="false" customHeight="false" outlineLevel="0" collapsed="false">
      <c r="A535" s="12"/>
      <c r="B535" s="12"/>
      <c r="C535" s="13"/>
      <c r="D535" s="13"/>
      <c r="E535" s="13"/>
      <c r="F535" s="14"/>
      <c r="G535" s="15"/>
      <c r="H535" s="12"/>
      <c r="I535" s="16" t="str">
        <f aca="true">IF(OR(F535="",H535&lt;&gt;"Bekliyor"),"",F535-TODAY())</f>
        <v/>
      </c>
      <c r="J535" s="17" t="str">
        <f aca="false">IF(I535="","",IF(I535&lt;0,"Vadesi geçti",IF(I535&lt;=7,"Bu hafta","")))</f>
        <v/>
      </c>
      <c r="K535" s="19" t="n">
        <f aca="false">IF(H535="Bekliyor",G535,0)</f>
        <v>0</v>
      </c>
    </row>
    <row r="536" customFormat="false" ht="15" hidden="false" customHeight="false" outlineLevel="0" collapsed="false">
      <c r="A536" s="12"/>
      <c r="B536" s="12"/>
      <c r="C536" s="13"/>
      <c r="D536" s="13"/>
      <c r="E536" s="13"/>
      <c r="F536" s="14"/>
      <c r="G536" s="15"/>
      <c r="H536" s="12"/>
      <c r="I536" s="16" t="str">
        <f aca="true">IF(OR(F536="",H536&lt;&gt;"Bekliyor"),"",F536-TODAY())</f>
        <v/>
      </c>
      <c r="J536" s="17" t="str">
        <f aca="false">IF(I536="","",IF(I536&lt;0,"Vadesi geçti",IF(I536&lt;=7,"Bu hafta","")))</f>
        <v/>
      </c>
      <c r="K536" s="19" t="n">
        <f aca="false">IF(H536="Bekliyor",G536,0)</f>
        <v>0</v>
      </c>
    </row>
    <row r="537" customFormat="false" ht="15" hidden="false" customHeight="false" outlineLevel="0" collapsed="false">
      <c r="A537" s="12"/>
      <c r="B537" s="12"/>
      <c r="C537" s="13"/>
      <c r="D537" s="13"/>
      <c r="E537" s="13"/>
      <c r="F537" s="14"/>
      <c r="G537" s="15"/>
      <c r="H537" s="12"/>
      <c r="I537" s="16" t="str">
        <f aca="true">IF(OR(F537="",H537&lt;&gt;"Bekliyor"),"",F537-TODAY())</f>
        <v/>
      </c>
      <c r="J537" s="17" t="str">
        <f aca="false">IF(I537="","",IF(I537&lt;0,"Vadesi geçti",IF(I537&lt;=7,"Bu hafta","")))</f>
        <v/>
      </c>
      <c r="K537" s="19" t="n">
        <f aca="false">IF(H537="Bekliyor",G537,0)</f>
        <v>0</v>
      </c>
    </row>
    <row r="538" customFormat="false" ht="15" hidden="false" customHeight="false" outlineLevel="0" collapsed="false">
      <c r="A538" s="12"/>
      <c r="B538" s="12"/>
      <c r="C538" s="13"/>
      <c r="D538" s="13"/>
      <c r="E538" s="13"/>
      <c r="F538" s="14"/>
      <c r="G538" s="15"/>
      <c r="H538" s="12"/>
      <c r="I538" s="16" t="str">
        <f aca="true">IF(OR(F538="",H538&lt;&gt;"Bekliyor"),"",F538-TODAY())</f>
        <v/>
      </c>
      <c r="J538" s="17" t="str">
        <f aca="false">IF(I538="","",IF(I538&lt;0,"Vadesi geçti",IF(I538&lt;=7,"Bu hafta","")))</f>
        <v/>
      </c>
      <c r="K538" s="19" t="n">
        <f aca="false">IF(H538="Bekliyor",G538,0)</f>
        <v>0</v>
      </c>
    </row>
    <row r="539" customFormat="false" ht="15" hidden="false" customHeight="false" outlineLevel="0" collapsed="false">
      <c r="A539" s="12"/>
      <c r="B539" s="12"/>
      <c r="C539" s="13"/>
      <c r="D539" s="13"/>
      <c r="E539" s="13"/>
      <c r="F539" s="14"/>
      <c r="G539" s="15"/>
      <c r="H539" s="12"/>
      <c r="I539" s="16" t="str">
        <f aca="true">IF(OR(F539="",H539&lt;&gt;"Bekliyor"),"",F539-TODAY())</f>
        <v/>
      </c>
      <c r="J539" s="17" t="str">
        <f aca="false">IF(I539="","",IF(I539&lt;0,"Vadesi geçti",IF(I539&lt;=7,"Bu hafta","")))</f>
        <v/>
      </c>
      <c r="K539" s="19" t="n">
        <f aca="false">IF(H539="Bekliyor",G539,0)</f>
        <v>0</v>
      </c>
    </row>
    <row r="540" customFormat="false" ht="15" hidden="false" customHeight="false" outlineLevel="0" collapsed="false">
      <c r="A540" s="12"/>
      <c r="B540" s="12"/>
      <c r="C540" s="13"/>
      <c r="D540" s="13"/>
      <c r="E540" s="13"/>
      <c r="F540" s="14"/>
      <c r="G540" s="15"/>
      <c r="H540" s="12"/>
      <c r="I540" s="16" t="str">
        <f aca="true">IF(OR(F540="",H540&lt;&gt;"Bekliyor"),"",F540-TODAY())</f>
        <v/>
      </c>
      <c r="J540" s="17" t="str">
        <f aca="false">IF(I540="","",IF(I540&lt;0,"Vadesi geçti",IF(I540&lt;=7,"Bu hafta","")))</f>
        <v/>
      </c>
      <c r="K540" s="19" t="n">
        <f aca="false">IF(H540="Bekliyor",G540,0)</f>
        <v>0</v>
      </c>
    </row>
    <row r="541" customFormat="false" ht="15" hidden="false" customHeight="false" outlineLevel="0" collapsed="false">
      <c r="A541" s="12"/>
      <c r="B541" s="12"/>
      <c r="C541" s="13"/>
      <c r="D541" s="13"/>
      <c r="E541" s="13"/>
      <c r="F541" s="14"/>
      <c r="G541" s="15"/>
      <c r="H541" s="12"/>
      <c r="I541" s="16" t="str">
        <f aca="true">IF(OR(F541="",H541&lt;&gt;"Bekliyor"),"",F541-TODAY())</f>
        <v/>
      </c>
      <c r="J541" s="17" t="str">
        <f aca="false">IF(I541="","",IF(I541&lt;0,"Vadesi geçti",IF(I541&lt;=7,"Bu hafta","")))</f>
        <v/>
      </c>
      <c r="K541" s="19" t="n">
        <f aca="false">IF(H541="Bekliyor",G541,0)</f>
        <v>0</v>
      </c>
    </row>
    <row r="542" customFormat="false" ht="15" hidden="false" customHeight="false" outlineLevel="0" collapsed="false">
      <c r="A542" s="12"/>
      <c r="B542" s="12"/>
      <c r="C542" s="13"/>
      <c r="D542" s="13"/>
      <c r="E542" s="13"/>
      <c r="F542" s="14"/>
      <c r="G542" s="15"/>
      <c r="H542" s="12"/>
      <c r="I542" s="16" t="str">
        <f aca="true">IF(OR(F542="",H542&lt;&gt;"Bekliyor"),"",F542-TODAY())</f>
        <v/>
      </c>
      <c r="J542" s="17" t="str">
        <f aca="false">IF(I542="","",IF(I542&lt;0,"Vadesi geçti",IF(I542&lt;=7,"Bu hafta","")))</f>
        <v/>
      </c>
      <c r="K542" s="19" t="n">
        <f aca="false">IF(H542="Bekliyor",G542,0)</f>
        <v>0</v>
      </c>
    </row>
    <row r="543" customFormat="false" ht="15" hidden="false" customHeight="false" outlineLevel="0" collapsed="false">
      <c r="A543" s="12"/>
      <c r="B543" s="12"/>
      <c r="C543" s="13"/>
      <c r="D543" s="13"/>
      <c r="E543" s="13"/>
      <c r="F543" s="14"/>
      <c r="G543" s="15"/>
      <c r="H543" s="12"/>
      <c r="I543" s="16" t="str">
        <f aca="true">IF(OR(F543="",H543&lt;&gt;"Bekliyor"),"",F543-TODAY())</f>
        <v/>
      </c>
      <c r="J543" s="17" t="str">
        <f aca="false">IF(I543="","",IF(I543&lt;0,"Vadesi geçti",IF(I543&lt;=7,"Bu hafta","")))</f>
        <v/>
      </c>
      <c r="K543" s="19" t="n">
        <f aca="false">IF(H543="Bekliyor",G543,0)</f>
        <v>0</v>
      </c>
    </row>
    <row r="544" customFormat="false" ht="15" hidden="false" customHeight="false" outlineLevel="0" collapsed="false">
      <c r="A544" s="12"/>
      <c r="B544" s="12"/>
      <c r="C544" s="13"/>
      <c r="D544" s="13"/>
      <c r="E544" s="13"/>
      <c r="F544" s="14"/>
      <c r="G544" s="15"/>
      <c r="H544" s="12"/>
      <c r="I544" s="16" t="str">
        <f aca="true">IF(OR(F544="",H544&lt;&gt;"Bekliyor"),"",F544-TODAY())</f>
        <v/>
      </c>
      <c r="J544" s="17" t="str">
        <f aca="false">IF(I544="","",IF(I544&lt;0,"Vadesi geçti",IF(I544&lt;=7,"Bu hafta","")))</f>
        <v/>
      </c>
      <c r="K544" s="19" t="n">
        <f aca="false">IF(H544="Bekliyor",G544,0)</f>
        <v>0</v>
      </c>
    </row>
    <row r="545" customFormat="false" ht="15" hidden="false" customHeight="false" outlineLevel="0" collapsed="false">
      <c r="A545" s="12"/>
      <c r="B545" s="12"/>
      <c r="C545" s="13"/>
      <c r="D545" s="13"/>
      <c r="E545" s="13"/>
      <c r="F545" s="14"/>
      <c r="G545" s="15"/>
      <c r="H545" s="12"/>
      <c r="I545" s="16" t="str">
        <f aca="true">IF(OR(F545="",H545&lt;&gt;"Bekliyor"),"",F545-TODAY())</f>
        <v/>
      </c>
      <c r="J545" s="17" t="str">
        <f aca="false">IF(I545="","",IF(I545&lt;0,"Vadesi geçti",IF(I545&lt;=7,"Bu hafta","")))</f>
        <v/>
      </c>
      <c r="K545" s="19" t="n">
        <f aca="false">IF(H545="Bekliyor",G545,0)</f>
        <v>0</v>
      </c>
    </row>
    <row r="546" customFormat="false" ht="15" hidden="false" customHeight="false" outlineLevel="0" collapsed="false">
      <c r="A546" s="12"/>
      <c r="B546" s="12"/>
      <c r="C546" s="13"/>
      <c r="D546" s="13"/>
      <c r="E546" s="13"/>
      <c r="F546" s="14"/>
      <c r="G546" s="15"/>
      <c r="H546" s="12"/>
      <c r="I546" s="16" t="str">
        <f aca="true">IF(OR(F546="",H546&lt;&gt;"Bekliyor"),"",F546-TODAY())</f>
        <v/>
      </c>
      <c r="J546" s="17" t="str">
        <f aca="false">IF(I546="","",IF(I546&lt;0,"Vadesi geçti",IF(I546&lt;=7,"Bu hafta","")))</f>
        <v/>
      </c>
      <c r="K546" s="19" t="n">
        <f aca="false">IF(H546="Bekliyor",G546,0)</f>
        <v>0</v>
      </c>
    </row>
    <row r="547" customFormat="false" ht="15" hidden="false" customHeight="false" outlineLevel="0" collapsed="false">
      <c r="A547" s="12"/>
      <c r="B547" s="12"/>
      <c r="C547" s="13"/>
      <c r="D547" s="13"/>
      <c r="E547" s="13"/>
      <c r="F547" s="14"/>
      <c r="G547" s="15"/>
      <c r="H547" s="12"/>
      <c r="I547" s="16" t="str">
        <f aca="true">IF(OR(F547="",H547&lt;&gt;"Bekliyor"),"",F547-TODAY())</f>
        <v/>
      </c>
      <c r="J547" s="17" t="str">
        <f aca="false">IF(I547="","",IF(I547&lt;0,"Vadesi geçti",IF(I547&lt;=7,"Bu hafta","")))</f>
        <v/>
      </c>
      <c r="K547" s="19" t="n">
        <f aca="false">IF(H547="Bekliyor",G547,0)</f>
        <v>0</v>
      </c>
    </row>
    <row r="548" customFormat="false" ht="15" hidden="false" customHeight="false" outlineLevel="0" collapsed="false">
      <c r="A548" s="12"/>
      <c r="B548" s="12"/>
      <c r="C548" s="13"/>
      <c r="D548" s="13"/>
      <c r="E548" s="13"/>
      <c r="F548" s="14"/>
      <c r="G548" s="15"/>
      <c r="H548" s="12"/>
      <c r="I548" s="16" t="str">
        <f aca="true">IF(OR(F548="",H548&lt;&gt;"Bekliyor"),"",F548-TODAY())</f>
        <v/>
      </c>
      <c r="J548" s="17" t="str">
        <f aca="false">IF(I548="","",IF(I548&lt;0,"Vadesi geçti",IF(I548&lt;=7,"Bu hafta","")))</f>
        <v/>
      </c>
      <c r="K548" s="19" t="n">
        <f aca="false">IF(H548="Bekliyor",G548,0)</f>
        <v>0</v>
      </c>
    </row>
    <row r="549" customFormat="false" ht="15" hidden="false" customHeight="false" outlineLevel="0" collapsed="false">
      <c r="A549" s="12"/>
      <c r="B549" s="12"/>
      <c r="C549" s="13"/>
      <c r="D549" s="13"/>
      <c r="E549" s="13"/>
      <c r="F549" s="14"/>
      <c r="G549" s="15"/>
      <c r="H549" s="12"/>
      <c r="I549" s="16" t="str">
        <f aca="true">IF(OR(F549="",H549&lt;&gt;"Bekliyor"),"",F549-TODAY())</f>
        <v/>
      </c>
      <c r="J549" s="17" t="str">
        <f aca="false">IF(I549="","",IF(I549&lt;0,"Vadesi geçti",IF(I549&lt;=7,"Bu hafta","")))</f>
        <v/>
      </c>
      <c r="K549" s="19" t="n">
        <f aca="false">IF(H549="Bekliyor",G549,0)</f>
        <v>0</v>
      </c>
    </row>
    <row r="550" customFormat="false" ht="15" hidden="false" customHeight="false" outlineLevel="0" collapsed="false">
      <c r="A550" s="12"/>
      <c r="B550" s="12"/>
      <c r="C550" s="13"/>
      <c r="D550" s="13"/>
      <c r="E550" s="13"/>
      <c r="F550" s="14"/>
      <c r="G550" s="15"/>
      <c r="H550" s="12"/>
      <c r="I550" s="16" t="str">
        <f aca="true">IF(OR(F550="",H550&lt;&gt;"Bekliyor"),"",F550-TODAY())</f>
        <v/>
      </c>
      <c r="J550" s="17" t="str">
        <f aca="false">IF(I550="","",IF(I550&lt;0,"Vadesi geçti",IF(I550&lt;=7,"Bu hafta","")))</f>
        <v/>
      </c>
      <c r="K550" s="19" t="n">
        <f aca="false">IF(H550="Bekliyor",G550,0)</f>
        <v>0</v>
      </c>
    </row>
    <row r="551" customFormat="false" ht="15" hidden="false" customHeight="false" outlineLevel="0" collapsed="false">
      <c r="A551" s="12"/>
      <c r="B551" s="12"/>
      <c r="C551" s="13"/>
      <c r="D551" s="13"/>
      <c r="E551" s="13"/>
      <c r="F551" s="14"/>
      <c r="G551" s="15"/>
      <c r="H551" s="12"/>
      <c r="I551" s="16" t="str">
        <f aca="true">IF(OR(F551="",H551&lt;&gt;"Bekliyor"),"",F551-TODAY())</f>
        <v/>
      </c>
      <c r="J551" s="17" t="str">
        <f aca="false">IF(I551="","",IF(I551&lt;0,"Vadesi geçti",IF(I551&lt;=7,"Bu hafta","")))</f>
        <v/>
      </c>
      <c r="K551" s="19" t="n">
        <f aca="false">IF(H551="Bekliyor",G551,0)</f>
        <v>0</v>
      </c>
    </row>
    <row r="552" customFormat="false" ht="15" hidden="false" customHeight="false" outlineLevel="0" collapsed="false">
      <c r="A552" s="12"/>
      <c r="B552" s="12"/>
      <c r="C552" s="13"/>
      <c r="D552" s="13"/>
      <c r="E552" s="13"/>
      <c r="F552" s="14"/>
      <c r="G552" s="15"/>
      <c r="H552" s="12"/>
      <c r="I552" s="16" t="str">
        <f aca="true">IF(OR(F552="",H552&lt;&gt;"Bekliyor"),"",F552-TODAY())</f>
        <v/>
      </c>
      <c r="J552" s="17" t="str">
        <f aca="false">IF(I552="","",IF(I552&lt;0,"Vadesi geçti",IF(I552&lt;=7,"Bu hafta","")))</f>
        <v/>
      </c>
      <c r="K552" s="19" t="n">
        <f aca="false">IF(H552="Bekliyor",G552,0)</f>
        <v>0</v>
      </c>
    </row>
    <row r="553" customFormat="false" ht="15" hidden="false" customHeight="false" outlineLevel="0" collapsed="false">
      <c r="A553" s="12"/>
      <c r="B553" s="12"/>
      <c r="C553" s="13"/>
      <c r="D553" s="13"/>
      <c r="E553" s="13"/>
      <c r="F553" s="14"/>
      <c r="G553" s="15"/>
      <c r="H553" s="12"/>
      <c r="I553" s="16" t="str">
        <f aca="true">IF(OR(F553="",H553&lt;&gt;"Bekliyor"),"",F553-TODAY())</f>
        <v/>
      </c>
      <c r="J553" s="17" t="str">
        <f aca="false">IF(I553="","",IF(I553&lt;0,"Vadesi geçti",IF(I553&lt;=7,"Bu hafta","")))</f>
        <v/>
      </c>
      <c r="K553" s="19" t="n">
        <f aca="false">IF(H553="Bekliyor",G553,0)</f>
        <v>0</v>
      </c>
    </row>
    <row r="554" customFormat="false" ht="15" hidden="false" customHeight="false" outlineLevel="0" collapsed="false">
      <c r="A554" s="12"/>
      <c r="B554" s="12"/>
      <c r="C554" s="13"/>
      <c r="D554" s="13"/>
      <c r="E554" s="13"/>
      <c r="F554" s="14"/>
      <c r="G554" s="15"/>
      <c r="H554" s="12"/>
      <c r="I554" s="16" t="str">
        <f aca="true">IF(OR(F554="",H554&lt;&gt;"Bekliyor"),"",F554-TODAY())</f>
        <v/>
      </c>
      <c r="J554" s="17" t="str">
        <f aca="false">IF(I554="","",IF(I554&lt;0,"Vadesi geçti",IF(I554&lt;=7,"Bu hafta","")))</f>
        <v/>
      </c>
      <c r="K554" s="19" t="n">
        <f aca="false">IF(H554="Bekliyor",G554,0)</f>
        <v>0</v>
      </c>
    </row>
    <row r="555" customFormat="false" ht="15" hidden="false" customHeight="false" outlineLevel="0" collapsed="false">
      <c r="A555" s="12"/>
      <c r="B555" s="12"/>
      <c r="C555" s="13"/>
      <c r="D555" s="13"/>
      <c r="E555" s="13"/>
      <c r="F555" s="14"/>
      <c r="G555" s="15"/>
      <c r="H555" s="12"/>
      <c r="I555" s="16" t="str">
        <f aca="true">IF(OR(F555="",H555&lt;&gt;"Bekliyor"),"",F555-TODAY())</f>
        <v/>
      </c>
      <c r="J555" s="17" t="str">
        <f aca="false">IF(I555="","",IF(I555&lt;0,"Vadesi geçti",IF(I555&lt;=7,"Bu hafta","")))</f>
        <v/>
      </c>
      <c r="K555" s="19" t="n">
        <f aca="false">IF(H555="Bekliyor",G555,0)</f>
        <v>0</v>
      </c>
    </row>
    <row r="556" customFormat="false" ht="15" hidden="false" customHeight="false" outlineLevel="0" collapsed="false">
      <c r="A556" s="12"/>
      <c r="B556" s="12"/>
      <c r="C556" s="13"/>
      <c r="D556" s="13"/>
      <c r="E556" s="13"/>
      <c r="F556" s="14"/>
      <c r="G556" s="15"/>
      <c r="H556" s="12"/>
      <c r="I556" s="16" t="str">
        <f aca="true">IF(OR(F556="",H556&lt;&gt;"Bekliyor"),"",F556-TODAY())</f>
        <v/>
      </c>
      <c r="J556" s="17" t="str">
        <f aca="false">IF(I556="","",IF(I556&lt;0,"Vadesi geçti",IF(I556&lt;=7,"Bu hafta","")))</f>
        <v/>
      </c>
      <c r="K556" s="19" t="n">
        <f aca="false">IF(H556="Bekliyor",G556,0)</f>
        <v>0</v>
      </c>
    </row>
    <row r="557" customFormat="false" ht="15" hidden="false" customHeight="false" outlineLevel="0" collapsed="false">
      <c r="A557" s="12"/>
      <c r="B557" s="12"/>
      <c r="C557" s="13"/>
      <c r="D557" s="13"/>
      <c r="E557" s="13"/>
      <c r="F557" s="14"/>
      <c r="G557" s="15"/>
      <c r="H557" s="12"/>
      <c r="I557" s="16" t="str">
        <f aca="true">IF(OR(F557="",H557&lt;&gt;"Bekliyor"),"",F557-TODAY())</f>
        <v/>
      </c>
      <c r="J557" s="17" t="str">
        <f aca="false">IF(I557="","",IF(I557&lt;0,"Vadesi geçti",IF(I557&lt;=7,"Bu hafta","")))</f>
        <v/>
      </c>
      <c r="K557" s="19" t="n">
        <f aca="false">IF(H557="Bekliyor",G557,0)</f>
        <v>0</v>
      </c>
    </row>
    <row r="558" customFormat="false" ht="15" hidden="false" customHeight="false" outlineLevel="0" collapsed="false">
      <c r="A558" s="12"/>
      <c r="B558" s="12"/>
      <c r="C558" s="13"/>
      <c r="D558" s="13"/>
      <c r="E558" s="13"/>
      <c r="F558" s="14"/>
      <c r="G558" s="15"/>
      <c r="H558" s="12"/>
      <c r="I558" s="16" t="str">
        <f aca="true">IF(OR(F558="",H558&lt;&gt;"Bekliyor"),"",F558-TODAY())</f>
        <v/>
      </c>
      <c r="J558" s="17" t="str">
        <f aca="false">IF(I558="","",IF(I558&lt;0,"Vadesi geçti",IF(I558&lt;=7,"Bu hafta","")))</f>
        <v/>
      </c>
      <c r="K558" s="19" t="n">
        <f aca="false">IF(H558="Bekliyor",G558,0)</f>
        <v>0</v>
      </c>
    </row>
    <row r="559" customFormat="false" ht="15" hidden="false" customHeight="false" outlineLevel="0" collapsed="false">
      <c r="A559" s="12"/>
      <c r="B559" s="12"/>
      <c r="C559" s="13"/>
      <c r="D559" s="13"/>
      <c r="E559" s="13"/>
      <c r="F559" s="14"/>
      <c r="G559" s="15"/>
      <c r="H559" s="12"/>
      <c r="I559" s="16" t="str">
        <f aca="true">IF(OR(F559="",H559&lt;&gt;"Bekliyor"),"",F559-TODAY())</f>
        <v/>
      </c>
      <c r="J559" s="17" t="str">
        <f aca="false">IF(I559="","",IF(I559&lt;0,"Vadesi geçti",IF(I559&lt;=7,"Bu hafta","")))</f>
        <v/>
      </c>
      <c r="K559" s="19" t="n">
        <f aca="false">IF(H559="Bekliyor",G559,0)</f>
        <v>0</v>
      </c>
    </row>
    <row r="560" customFormat="false" ht="15" hidden="false" customHeight="false" outlineLevel="0" collapsed="false">
      <c r="A560" s="12"/>
      <c r="B560" s="12"/>
      <c r="C560" s="13"/>
      <c r="D560" s="13"/>
      <c r="E560" s="13"/>
      <c r="F560" s="14"/>
      <c r="G560" s="15"/>
      <c r="H560" s="12"/>
      <c r="I560" s="16" t="str">
        <f aca="true">IF(OR(F560="",H560&lt;&gt;"Bekliyor"),"",F560-TODAY())</f>
        <v/>
      </c>
      <c r="J560" s="17" t="str">
        <f aca="false">IF(I560="","",IF(I560&lt;0,"Vadesi geçti",IF(I560&lt;=7,"Bu hafta","")))</f>
        <v/>
      </c>
      <c r="K560" s="19" t="n">
        <f aca="false">IF(H560="Bekliyor",G560,0)</f>
        <v>0</v>
      </c>
    </row>
    <row r="561" customFormat="false" ht="15" hidden="false" customHeight="false" outlineLevel="0" collapsed="false">
      <c r="A561" s="12"/>
      <c r="B561" s="12"/>
      <c r="C561" s="13"/>
      <c r="D561" s="13"/>
      <c r="E561" s="13"/>
      <c r="F561" s="14"/>
      <c r="G561" s="15"/>
      <c r="H561" s="12"/>
      <c r="I561" s="16" t="str">
        <f aca="true">IF(OR(F561="",H561&lt;&gt;"Bekliyor"),"",F561-TODAY())</f>
        <v/>
      </c>
      <c r="J561" s="17" t="str">
        <f aca="false">IF(I561="","",IF(I561&lt;0,"Vadesi geçti",IF(I561&lt;=7,"Bu hafta","")))</f>
        <v/>
      </c>
      <c r="K561" s="19" t="n">
        <f aca="false">IF(H561="Bekliyor",G561,0)</f>
        <v>0</v>
      </c>
    </row>
    <row r="562" customFormat="false" ht="15" hidden="false" customHeight="false" outlineLevel="0" collapsed="false">
      <c r="A562" s="12"/>
      <c r="B562" s="12"/>
      <c r="C562" s="13"/>
      <c r="D562" s="13"/>
      <c r="E562" s="13"/>
      <c r="F562" s="14"/>
      <c r="G562" s="15"/>
      <c r="H562" s="12"/>
      <c r="I562" s="16" t="str">
        <f aca="true">IF(OR(F562="",H562&lt;&gt;"Bekliyor"),"",F562-TODAY())</f>
        <v/>
      </c>
      <c r="J562" s="17" t="str">
        <f aca="false">IF(I562="","",IF(I562&lt;0,"Vadesi geçti",IF(I562&lt;=7,"Bu hafta","")))</f>
        <v/>
      </c>
      <c r="K562" s="19" t="n">
        <f aca="false">IF(H562="Bekliyor",G562,0)</f>
        <v>0</v>
      </c>
    </row>
    <row r="563" customFormat="false" ht="15" hidden="false" customHeight="false" outlineLevel="0" collapsed="false">
      <c r="A563" s="12"/>
      <c r="B563" s="12"/>
      <c r="C563" s="13"/>
      <c r="D563" s="13"/>
      <c r="E563" s="13"/>
      <c r="F563" s="14"/>
      <c r="G563" s="15"/>
      <c r="H563" s="12"/>
      <c r="I563" s="16" t="str">
        <f aca="true">IF(OR(F563="",H563&lt;&gt;"Bekliyor"),"",F563-TODAY())</f>
        <v/>
      </c>
      <c r="J563" s="17" t="str">
        <f aca="false">IF(I563="","",IF(I563&lt;0,"Vadesi geçti",IF(I563&lt;=7,"Bu hafta","")))</f>
        <v/>
      </c>
      <c r="K563" s="19" t="n">
        <f aca="false">IF(H563="Bekliyor",G563,0)</f>
        <v>0</v>
      </c>
    </row>
    <row r="564" customFormat="false" ht="15" hidden="false" customHeight="false" outlineLevel="0" collapsed="false">
      <c r="A564" s="12"/>
      <c r="B564" s="12"/>
      <c r="C564" s="13"/>
      <c r="D564" s="13"/>
      <c r="E564" s="13"/>
      <c r="F564" s="14"/>
      <c r="G564" s="15"/>
      <c r="H564" s="12"/>
      <c r="I564" s="16" t="str">
        <f aca="true">IF(OR(F564="",H564&lt;&gt;"Bekliyor"),"",F564-TODAY())</f>
        <v/>
      </c>
      <c r="J564" s="17" t="str">
        <f aca="false">IF(I564="","",IF(I564&lt;0,"Vadesi geçti",IF(I564&lt;=7,"Bu hafta","")))</f>
        <v/>
      </c>
      <c r="K564" s="19" t="n">
        <f aca="false">IF(H564="Bekliyor",G564,0)</f>
        <v>0</v>
      </c>
    </row>
    <row r="565" customFormat="false" ht="15" hidden="false" customHeight="false" outlineLevel="0" collapsed="false">
      <c r="A565" s="12"/>
      <c r="B565" s="12"/>
      <c r="C565" s="13"/>
      <c r="D565" s="13"/>
      <c r="E565" s="13"/>
      <c r="F565" s="14"/>
      <c r="G565" s="15"/>
      <c r="H565" s="12"/>
      <c r="I565" s="16" t="str">
        <f aca="true">IF(OR(F565="",H565&lt;&gt;"Bekliyor"),"",F565-TODAY())</f>
        <v/>
      </c>
      <c r="J565" s="17" t="str">
        <f aca="false">IF(I565="","",IF(I565&lt;0,"Vadesi geçti",IF(I565&lt;=7,"Bu hafta","")))</f>
        <v/>
      </c>
      <c r="K565" s="19" t="n">
        <f aca="false">IF(H565="Bekliyor",G565,0)</f>
        <v>0</v>
      </c>
    </row>
    <row r="566" customFormat="false" ht="15" hidden="false" customHeight="false" outlineLevel="0" collapsed="false">
      <c r="A566" s="12"/>
      <c r="B566" s="12"/>
      <c r="C566" s="13"/>
      <c r="D566" s="13"/>
      <c r="E566" s="13"/>
      <c r="F566" s="14"/>
      <c r="G566" s="15"/>
      <c r="H566" s="12"/>
      <c r="I566" s="16" t="str">
        <f aca="true">IF(OR(F566="",H566&lt;&gt;"Bekliyor"),"",F566-TODAY())</f>
        <v/>
      </c>
      <c r="J566" s="17" t="str">
        <f aca="false">IF(I566="","",IF(I566&lt;0,"Vadesi geçti",IF(I566&lt;=7,"Bu hafta","")))</f>
        <v/>
      </c>
      <c r="K566" s="19" t="n">
        <f aca="false">IF(H566="Bekliyor",G566,0)</f>
        <v>0</v>
      </c>
    </row>
    <row r="567" customFormat="false" ht="15" hidden="false" customHeight="false" outlineLevel="0" collapsed="false">
      <c r="A567" s="12"/>
      <c r="B567" s="12"/>
      <c r="C567" s="13"/>
      <c r="D567" s="13"/>
      <c r="E567" s="13"/>
      <c r="F567" s="14"/>
      <c r="G567" s="15"/>
      <c r="H567" s="12"/>
      <c r="I567" s="16" t="str">
        <f aca="true">IF(OR(F567="",H567&lt;&gt;"Bekliyor"),"",F567-TODAY())</f>
        <v/>
      </c>
      <c r="J567" s="17" t="str">
        <f aca="false">IF(I567="","",IF(I567&lt;0,"Vadesi geçti",IF(I567&lt;=7,"Bu hafta","")))</f>
        <v/>
      </c>
      <c r="K567" s="19" t="n">
        <f aca="false">IF(H567="Bekliyor",G567,0)</f>
        <v>0</v>
      </c>
    </row>
    <row r="568" customFormat="false" ht="15" hidden="false" customHeight="false" outlineLevel="0" collapsed="false">
      <c r="A568" s="12"/>
      <c r="B568" s="12"/>
      <c r="C568" s="13"/>
      <c r="D568" s="13"/>
      <c r="E568" s="13"/>
      <c r="F568" s="14"/>
      <c r="G568" s="15"/>
      <c r="H568" s="12"/>
      <c r="I568" s="16" t="str">
        <f aca="true">IF(OR(F568="",H568&lt;&gt;"Bekliyor"),"",F568-TODAY())</f>
        <v/>
      </c>
      <c r="J568" s="17" t="str">
        <f aca="false">IF(I568="","",IF(I568&lt;0,"Vadesi geçti",IF(I568&lt;=7,"Bu hafta","")))</f>
        <v/>
      </c>
      <c r="K568" s="19" t="n">
        <f aca="false">IF(H568="Bekliyor",G568,0)</f>
        <v>0</v>
      </c>
    </row>
    <row r="569" customFormat="false" ht="15" hidden="false" customHeight="false" outlineLevel="0" collapsed="false">
      <c r="A569" s="12"/>
      <c r="B569" s="12"/>
      <c r="C569" s="13"/>
      <c r="D569" s="13"/>
      <c r="E569" s="13"/>
      <c r="F569" s="14"/>
      <c r="G569" s="15"/>
      <c r="H569" s="12"/>
      <c r="I569" s="16" t="str">
        <f aca="true">IF(OR(F569="",H569&lt;&gt;"Bekliyor"),"",F569-TODAY())</f>
        <v/>
      </c>
      <c r="J569" s="17" t="str">
        <f aca="false">IF(I569="","",IF(I569&lt;0,"Vadesi geçti",IF(I569&lt;=7,"Bu hafta","")))</f>
        <v/>
      </c>
      <c r="K569" s="19" t="n">
        <f aca="false">IF(H569="Bekliyor",G569,0)</f>
        <v>0</v>
      </c>
    </row>
    <row r="570" customFormat="false" ht="15" hidden="false" customHeight="false" outlineLevel="0" collapsed="false">
      <c r="A570" s="12"/>
      <c r="B570" s="12"/>
      <c r="C570" s="13"/>
      <c r="D570" s="13"/>
      <c r="E570" s="13"/>
      <c r="F570" s="14"/>
      <c r="G570" s="15"/>
      <c r="H570" s="12"/>
      <c r="I570" s="16" t="str">
        <f aca="true">IF(OR(F570="",H570&lt;&gt;"Bekliyor"),"",F570-TODAY())</f>
        <v/>
      </c>
      <c r="J570" s="17" t="str">
        <f aca="false">IF(I570="","",IF(I570&lt;0,"Vadesi geçti",IF(I570&lt;=7,"Bu hafta","")))</f>
        <v/>
      </c>
      <c r="K570" s="19" t="n">
        <f aca="false">IF(H570="Bekliyor",G570,0)</f>
        <v>0</v>
      </c>
    </row>
    <row r="571" customFormat="false" ht="15" hidden="false" customHeight="false" outlineLevel="0" collapsed="false">
      <c r="A571" s="12"/>
      <c r="B571" s="12"/>
      <c r="C571" s="13"/>
      <c r="D571" s="13"/>
      <c r="E571" s="13"/>
      <c r="F571" s="14"/>
      <c r="G571" s="15"/>
      <c r="H571" s="12"/>
      <c r="I571" s="16" t="str">
        <f aca="true">IF(OR(F571="",H571&lt;&gt;"Bekliyor"),"",F571-TODAY())</f>
        <v/>
      </c>
      <c r="J571" s="17" t="str">
        <f aca="false">IF(I571="","",IF(I571&lt;0,"Vadesi geçti",IF(I571&lt;=7,"Bu hafta","")))</f>
        <v/>
      </c>
      <c r="K571" s="19" t="n">
        <f aca="false">IF(H571="Bekliyor",G571,0)</f>
        <v>0</v>
      </c>
    </row>
    <row r="572" customFormat="false" ht="15" hidden="false" customHeight="false" outlineLevel="0" collapsed="false">
      <c r="A572" s="12"/>
      <c r="B572" s="12"/>
      <c r="C572" s="13"/>
      <c r="D572" s="13"/>
      <c r="E572" s="13"/>
      <c r="F572" s="14"/>
      <c r="G572" s="15"/>
      <c r="H572" s="12"/>
      <c r="I572" s="16" t="str">
        <f aca="true">IF(OR(F572="",H572&lt;&gt;"Bekliyor"),"",F572-TODAY())</f>
        <v/>
      </c>
      <c r="J572" s="17" t="str">
        <f aca="false">IF(I572="","",IF(I572&lt;0,"Vadesi geçti",IF(I572&lt;=7,"Bu hafta","")))</f>
        <v/>
      </c>
      <c r="K572" s="19" t="n">
        <f aca="false">IF(H572="Bekliyor",G572,0)</f>
        <v>0</v>
      </c>
    </row>
    <row r="573" customFormat="false" ht="15" hidden="false" customHeight="false" outlineLevel="0" collapsed="false">
      <c r="A573" s="12"/>
      <c r="B573" s="12"/>
      <c r="C573" s="13"/>
      <c r="D573" s="13"/>
      <c r="E573" s="13"/>
      <c r="F573" s="14"/>
      <c r="G573" s="15"/>
      <c r="H573" s="12"/>
      <c r="I573" s="16" t="str">
        <f aca="true">IF(OR(F573="",H573&lt;&gt;"Bekliyor"),"",F573-TODAY())</f>
        <v/>
      </c>
      <c r="J573" s="17" t="str">
        <f aca="false">IF(I573="","",IF(I573&lt;0,"Vadesi geçti",IF(I573&lt;=7,"Bu hafta","")))</f>
        <v/>
      </c>
      <c r="K573" s="19" t="n">
        <f aca="false">IF(H573="Bekliyor",G573,0)</f>
        <v>0</v>
      </c>
    </row>
    <row r="574" customFormat="false" ht="15" hidden="false" customHeight="false" outlineLevel="0" collapsed="false">
      <c r="A574" s="12"/>
      <c r="B574" s="12"/>
      <c r="C574" s="13"/>
      <c r="D574" s="13"/>
      <c r="E574" s="13"/>
      <c r="F574" s="14"/>
      <c r="G574" s="15"/>
      <c r="H574" s="12"/>
      <c r="I574" s="16" t="str">
        <f aca="true">IF(OR(F574="",H574&lt;&gt;"Bekliyor"),"",F574-TODAY())</f>
        <v/>
      </c>
      <c r="J574" s="17" t="str">
        <f aca="false">IF(I574="","",IF(I574&lt;0,"Vadesi geçti",IF(I574&lt;=7,"Bu hafta","")))</f>
        <v/>
      </c>
      <c r="K574" s="19" t="n">
        <f aca="false">IF(H574="Bekliyor",G574,0)</f>
        <v>0</v>
      </c>
    </row>
    <row r="575" customFormat="false" ht="15" hidden="false" customHeight="false" outlineLevel="0" collapsed="false">
      <c r="A575" s="12"/>
      <c r="B575" s="12"/>
      <c r="C575" s="13"/>
      <c r="D575" s="13"/>
      <c r="E575" s="13"/>
      <c r="F575" s="14"/>
      <c r="G575" s="15"/>
      <c r="H575" s="12"/>
      <c r="I575" s="16" t="str">
        <f aca="true">IF(OR(F575="",H575&lt;&gt;"Bekliyor"),"",F575-TODAY())</f>
        <v/>
      </c>
      <c r="J575" s="17" t="str">
        <f aca="false">IF(I575="","",IF(I575&lt;0,"Vadesi geçti",IF(I575&lt;=7,"Bu hafta","")))</f>
        <v/>
      </c>
      <c r="K575" s="19" t="n">
        <f aca="false">IF(H575="Bekliyor",G575,0)</f>
        <v>0</v>
      </c>
    </row>
    <row r="576" customFormat="false" ht="15" hidden="false" customHeight="false" outlineLevel="0" collapsed="false">
      <c r="A576" s="12"/>
      <c r="B576" s="12"/>
      <c r="C576" s="13"/>
      <c r="D576" s="13"/>
      <c r="E576" s="13"/>
      <c r="F576" s="14"/>
      <c r="G576" s="15"/>
      <c r="H576" s="12"/>
      <c r="I576" s="16" t="str">
        <f aca="true">IF(OR(F576="",H576&lt;&gt;"Bekliyor"),"",F576-TODAY())</f>
        <v/>
      </c>
      <c r="J576" s="17" t="str">
        <f aca="false">IF(I576="","",IF(I576&lt;0,"Vadesi geçti",IF(I576&lt;=7,"Bu hafta","")))</f>
        <v/>
      </c>
      <c r="K576" s="19" t="n">
        <f aca="false">IF(H576="Bekliyor",G576,0)</f>
        <v>0</v>
      </c>
    </row>
    <row r="577" customFormat="false" ht="15" hidden="false" customHeight="false" outlineLevel="0" collapsed="false">
      <c r="A577" s="12"/>
      <c r="B577" s="12"/>
      <c r="C577" s="13"/>
      <c r="D577" s="13"/>
      <c r="E577" s="13"/>
      <c r="F577" s="14"/>
      <c r="G577" s="15"/>
      <c r="H577" s="12"/>
      <c r="I577" s="16" t="str">
        <f aca="true">IF(OR(F577="",H577&lt;&gt;"Bekliyor"),"",F577-TODAY())</f>
        <v/>
      </c>
      <c r="J577" s="17" t="str">
        <f aca="false">IF(I577="","",IF(I577&lt;0,"Vadesi geçti",IF(I577&lt;=7,"Bu hafta","")))</f>
        <v/>
      </c>
      <c r="K577" s="19" t="n">
        <f aca="false">IF(H577="Bekliyor",G577,0)</f>
        <v>0</v>
      </c>
    </row>
    <row r="578" customFormat="false" ht="15" hidden="false" customHeight="false" outlineLevel="0" collapsed="false">
      <c r="A578" s="12"/>
      <c r="B578" s="12"/>
      <c r="C578" s="13"/>
      <c r="D578" s="13"/>
      <c r="E578" s="13"/>
      <c r="F578" s="14"/>
      <c r="G578" s="15"/>
      <c r="H578" s="12"/>
      <c r="I578" s="16" t="str">
        <f aca="true">IF(OR(F578="",H578&lt;&gt;"Bekliyor"),"",F578-TODAY())</f>
        <v/>
      </c>
      <c r="J578" s="17" t="str">
        <f aca="false">IF(I578="","",IF(I578&lt;0,"Vadesi geçti",IF(I578&lt;=7,"Bu hafta","")))</f>
        <v/>
      </c>
      <c r="K578" s="19" t="n">
        <f aca="false">IF(H578="Bekliyor",G578,0)</f>
        <v>0</v>
      </c>
    </row>
    <row r="579" customFormat="false" ht="15" hidden="false" customHeight="false" outlineLevel="0" collapsed="false">
      <c r="A579" s="12"/>
      <c r="B579" s="12"/>
      <c r="C579" s="13"/>
      <c r="D579" s="13"/>
      <c r="E579" s="13"/>
      <c r="F579" s="14"/>
      <c r="G579" s="15"/>
      <c r="H579" s="12"/>
      <c r="I579" s="16" t="str">
        <f aca="true">IF(OR(F579="",H579&lt;&gt;"Bekliyor"),"",F579-TODAY())</f>
        <v/>
      </c>
      <c r="J579" s="17" t="str">
        <f aca="false">IF(I579="","",IF(I579&lt;0,"Vadesi geçti",IF(I579&lt;=7,"Bu hafta","")))</f>
        <v/>
      </c>
      <c r="K579" s="19" t="n">
        <f aca="false">IF(H579="Bekliyor",G579,0)</f>
        <v>0</v>
      </c>
    </row>
    <row r="580" customFormat="false" ht="15" hidden="false" customHeight="false" outlineLevel="0" collapsed="false">
      <c r="A580" s="12"/>
      <c r="B580" s="12"/>
      <c r="C580" s="13"/>
      <c r="D580" s="13"/>
      <c r="E580" s="13"/>
      <c r="F580" s="14"/>
      <c r="G580" s="15"/>
      <c r="H580" s="12"/>
      <c r="I580" s="16" t="str">
        <f aca="true">IF(OR(F580="",H580&lt;&gt;"Bekliyor"),"",F580-TODAY())</f>
        <v/>
      </c>
      <c r="J580" s="17" t="str">
        <f aca="false">IF(I580="","",IF(I580&lt;0,"Vadesi geçti",IF(I580&lt;=7,"Bu hafta","")))</f>
        <v/>
      </c>
      <c r="K580" s="19" t="n">
        <f aca="false">IF(H580="Bekliyor",G580,0)</f>
        <v>0</v>
      </c>
    </row>
    <row r="581" customFormat="false" ht="15" hidden="false" customHeight="false" outlineLevel="0" collapsed="false">
      <c r="A581" s="12"/>
      <c r="B581" s="12"/>
      <c r="C581" s="13"/>
      <c r="D581" s="13"/>
      <c r="E581" s="13"/>
      <c r="F581" s="14"/>
      <c r="G581" s="15"/>
      <c r="H581" s="12"/>
      <c r="I581" s="16" t="str">
        <f aca="true">IF(OR(F581="",H581&lt;&gt;"Bekliyor"),"",F581-TODAY())</f>
        <v/>
      </c>
      <c r="J581" s="17" t="str">
        <f aca="false">IF(I581="","",IF(I581&lt;0,"Vadesi geçti",IF(I581&lt;=7,"Bu hafta","")))</f>
        <v/>
      </c>
      <c r="K581" s="19" t="n">
        <f aca="false">IF(H581="Bekliyor",G581,0)</f>
        <v>0</v>
      </c>
    </row>
    <row r="582" customFormat="false" ht="15" hidden="false" customHeight="false" outlineLevel="0" collapsed="false">
      <c r="A582" s="12"/>
      <c r="B582" s="12"/>
      <c r="C582" s="13"/>
      <c r="D582" s="13"/>
      <c r="E582" s="13"/>
      <c r="F582" s="14"/>
      <c r="G582" s="15"/>
      <c r="H582" s="12"/>
      <c r="I582" s="16" t="str">
        <f aca="true">IF(OR(F582="",H582&lt;&gt;"Bekliyor"),"",F582-TODAY())</f>
        <v/>
      </c>
      <c r="J582" s="17" t="str">
        <f aca="false">IF(I582="","",IF(I582&lt;0,"Vadesi geçti",IF(I582&lt;=7,"Bu hafta","")))</f>
        <v/>
      </c>
      <c r="K582" s="19" t="n">
        <f aca="false">IF(H582="Bekliyor",G582,0)</f>
        <v>0</v>
      </c>
    </row>
    <row r="583" customFormat="false" ht="15" hidden="false" customHeight="false" outlineLevel="0" collapsed="false">
      <c r="A583" s="12"/>
      <c r="B583" s="12"/>
      <c r="C583" s="13"/>
      <c r="D583" s="13"/>
      <c r="E583" s="13"/>
      <c r="F583" s="14"/>
      <c r="G583" s="15"/>
      <c r="H583" s="12"/>
      <c r="I583" s="16" t="str">
        <f aca="true">IF(OR(F583="",H583&lt;&gt;"Bekliyor"),"",F583-TODAY())</f>
        <v/>
      </c>
      <c r="J583" s="17" t="str">
        <f aca="false">IF(I583="","",IF(I583&lt;0,"Vadesi geçti",IF(I583&lt;=7,"Bu hafta","")))</f>
        <v/>
      </c>
      <c r="K583" s="19" t="n">
        <f aca="false">IF(H583="Bekliyor",G583,0)</f>
        <v>0</v>
      </c>
    </row>
    <row r="584" customFormat="false" ht="15" hidden="false" customHeight="false" outlineLevel="0" collapsed="false">
      <c r="A584" s="12"/>
      <c r="B584" s="12"/>
      <c r="C584" s="13"/>
      <c r="D584" s="13"/>
      <c r="E584" s="13"/>
      <c r="F584" s="14"/>
      <c r="G584" s="15"/>
      <c r="H584" s="12"/>
      <c r="I584" s="16" t="str">
        <f aca="true">IF(OR(F584="",H584&lt;&gt;"Bekliyor"),"",F584-TODAY())</f>
        <v/>
      </c>
      <c r="J584" s="17" t="str">
        <f aca="false">IF(I584="","",IF(I584&lt;0,"Vadesi geçti",IF(I584&lt;=7,"Bu hafta","")))</f>
        <v/>
      </c>
      <c r="K584" s="19" t="n">
        <f aca="false">IF(H584="Bekliyor",G584,0)</f>
        <v>0</v>
      </c>
    </row>
    <row r="585" customFormat="false" ht="15" hidden="false" customHeight="false" outlineLevel="0" collapsed="false">
      <c r="A585" s="12"/>
      <c r="B585" s="12"/>
      <c r="C585" s="13"/>
      <c r="D585" s="13"/>
      <c r="E585" s="13"/>
      <c r="F585" s="14"/>
      <c r="G585" s="15"/>
      <c r="H585" s="12"/>
      <c r="I585" s="16" t="str">
        <f aca="true">IF(OR(F585="",H585&lt;&gt;"Bekliyor"),"",F585-TODAY())</f>
        <v/>
      </c>
      <c r="J585" s="17" t="str">
        <f aca="false">IF(I585="","",IF(I585&lt;0,"Vadesi geçti",IF(I585&lt;=7,"Bu hafta","")))</f>
        <v/>
      </c>
      <c r="K585" s="19" t="n">
        <f aca="false">IF(H585="Bekliyor",G585,0)</f>
        <v>0</v>
      </c>
    </row>
    <row r="586" customFormat="false" ht="15" hidden="false" customHeight="false" outlineLevel="0" collapsed="false">
      <c r="A586" s="12"/>
      <c r="B586" s="12"/>
      <c r="C586" s="13"/>
      <c r="D586" s="13"/>
      <c r="E586" s="13"/>
      <c r="F586" s="14"/>
      <c r="G586" s="15"/>
      <c r="H586" s="12"/>
      <c r="I586" s="16" t="str">
        <f aca="true">IF(OR(F586="",H586&lt;&gt;"Bekliyor"),"",F586-TODAY())</f>
        <v/>
      </c>
      <c r="J586" s="17" t="str">
        <f aca="false">IF(I586="","",IF(I586&lt;0,"Vadesi geçti",IF(I586&lt;=7,"Bu hafta","")))</f>
        <v/>
      </c>
      <c r="K586" s="19" t="n">
        <f aca="false">IF(H586="Bekliyor",G586,0)</f>
        <v>0</v>
      </c>
    </row>
    <row r="587" customFormat="false" ht="15" hidden="false" customHeight="false" outlineLevel="0" collapsed="false">
      <c r="A587" s="12"/>
      <c r="B587" s="12"/>
      <c r="C587" s="13"/>
      <c r="D587" s="13"/>
      <c r="E587" s="13"/>
      <c r="F587" s="14"/>
      <c r="G587" s="15"/>
      <c r="H587" s="12"/>
      <c r="I587" s="16" t="str">
        <f aca="true">IF(OR(F587="",H587&lt;&gt;"Bekliyor"),"",F587-TODAY())</f>
        <v/>
      </c>
      <c r="J587" s="17" t="str">
        <f aca="false">IF(I587="","",IF(I587&lt;0,"Vadesi geçti",IF(I587&lt;=7,"Bu hafta","")))</f>
        <v/>
      </c>
      <c r="K587" s="19" t="n">
        <f aca="false">IF(H587="Bekliyor",G587,0)</f>
        <v>0</v>
      </c>
    </row>
    <row r="588" customFormat="false" ht="15" hidden="false" customHeight="false" outlineLevel="0" collapsed="false">
      <c r="A588" s="12"/>
      <c r="B588" s="12"/>
      <c r="C588" s="13"/>
      <c r="D588" s="13"/>
      <c r="E588" s="13"/>
      <c r="F588" s="14"/>
      <c r="G588" s="15"/>
      <c r="H588" s="12"/>
      <c r="I588" s="16" t="str">
        <f aca="true">IF(OR(F588="",H588&lt;&gt;"Bekliyor"),"",F588-TODAY())</f>
        <v/>
      </c>
      <c r="J588" s="17" t="str">
        <f aca="false">IF(I588="","",IF(I588&lt;0,"Vadesi geçti",IF(I588&lt;=7,"Bu hafta","")))</f>
        <v/>
      </c>
      <c r="K588" s="19" t="n">
        <f aca="false">IF(H588="Bekliyor",G588,0)</f>
        <v>0</v>
      </c>
    </row>
    <row r="589" customFormat="false" ht="15" hidden="false" customHeight="false" outlineLevel="0" collapsed="false">
      <c r="A589" s="12"/>
      <c r="B589" s="12"/>
      <c r="C589" s="13"/>
      <c r="D589" s="13"/>
      <c r="E589" s="13"/>
      <c r="F589" s="14"/>
      <c r="G589" s="15"/>
      <c r="H589" s="12"/>
      <c r="I589" s="16" t="str">
        <f aca="true">IF(OR(F589="",H589&lt;&gt;"Bekliyor"),"",F589-TODAY())</f>
        <v/>
      </c>
      <c r="J589" s="17" t="str">
        <f aca="false">IF(I589="","",IF(I589&lt;0,"Vadesi geçti",IF(I589&lt;=7,"Bu hafta","")))</f>
        <v/>
      </c>
      <c r="K589" s="19" t="n">
        <f aca="false">IF(H589="Bekliyor",G589,0)</f>
        <v>0</v>
      </c>
    </row>
    <row r="590" customFormat="false" ht="15" hidden="false" customHeight="false" outlineLevel="0" collapsed="false">
      <c r="A590" s="12"/>
      <c r="B590" s="12"/>
      <c r="C590" s="13"/>
      <c r="D590" s="13"/>
      <c r="E590" s="13"/>
      <c r="F590" s="14"/>
      <c r="G590" s="15"/>
      <c r="H590" s="12"/>
      <c r="I590" s="16" t="str">
        <f aca="true">IF(OR(F590="",H590&lt;&gt;"Bekliyor"),"",F590-TODAY())</f>
        <v/>
      </c>
      <c r="J590" s="17" t="str">
        <f aca="false">IF(I590="","",IF(I590&lt;0,"Vadesi geçti",IF(I590&lt;=7,"Bu hafta","")))</f>
        <v/>
      </c>
      <c r="K590" s="19" t="n">
        <f aca="false">IF(H590="Bekliyor",G590,0)</f>
        <v>0</v>
      </c>
    </row>
    <row r="591" customFormat="false" ht="15" hidden="false" customHeight="false" outlineLevel="0" collapsed="false">
      <c r="A591" s="12"/>
      <c r="B591" s="12"/>
      <c r="C591" s="13"/>
      <c r="D591" s="13"/>
      <c r="E591" s="13"/>
      <c r="F591" s="14"/>
      <c r="G591" s="15"/>
      <c r="H591" s="12"/>
      <c r="I591" s="16" t="str">
        <f aca="true">IF(OR(F591="",H591&lt;&gt;"Bekliyor"),"",F591-TODAY())</f>
        <v/>
      </c>
      <c r="J591" s="17" t="str">
        <f aca="false">IF(I591="","",IF(I591&lt;0,"Vadesi geçti",IF(I591&lt;=7,"Bu hafta","")))</f>
        <v/>
      </c>
      <c r="K591" s="19" t="n">
        <f aca="false">IF(H591="Bekliyor",G591,0)</f>
        <v>0</v>
      </c>
    </row>
    <row r="592" customFormat="false" ht="15" hidden="false" customHeight="false" outlineLevel="0" collapsed="false">
      <c r="A592" s="12"/>
      <c r="B592" s="12"/>
      <c r="C592" s="13"/>
      <c r="D592" s="13"/>
      <c r="E592" s="13"/>
      <c r="F592" s="14"/>
      <c r="G592" s="15"/>
      <c r="H592" s="12"/>
      <c r="I592" s="16" t="str">
        <f aca="true">IF(OR(F592="",H592&lt;&gt;"Bekliyor"),"",F592-TODAY())</f>
        <v/>
      </c>
      <c r="J592" s="17" t="str">
        <f aca="false">IF(I592="","",IF(I592&lt;0,"Vadesi geçti",IF(I592&lt;=7,"Bu hafta","")))</f>
        <v/>
      </c>
      <c r="K592" s="19" t="n">
        <f aca="false">IF(H592="Bekliyor",G592,0)</f>
        <v>0</v>
      </c>
    </row>
    <row r="593" customFormat="false" ht="15" hidden="false" customHeight="false" outlineLevel="0" collapsed="false">
      <c r="A593" s="12"/>
      <c r="B593" s="12"/>
      <c r="C593" s="13"/>
      <c r="D593" s="13"/>
      <c r="E593" s="13"/>
      <c r="F593" s="14"/>
      <c r="G593" s="15"/>
      <c r="H593" s="12"/>
      <c r="I593" s="16" t="str">
        <f aca="true">IF(OR(F593="",H593&lt;&gt;"Bekliyor"),"",F593-TODAY())</f>
        <v/>
      </c>
      <c r="J593" s="17" t="str">
        <f aca="false">IF(I593="","",IF(I593&lt;0,"Vadesi geçti",IF(I593&lt;=7,"Bu hafta","")))</f>
        <v/>
      </c>
      <c r="K593" s="19" t="n">
        <f aca="false">IF(H593="Bekliyor",G593,0)</f>
        <v>0</v>
      </c>
    </row>
    <row r="594" customFormat="false" ht="15" hidden="false" customHeight="false" outlineLevel="0" collapsed="false">
      <c r="A594" s="12"/>
      <c r="B594" s="12"/>
      <c r="C594" s="13"/>
      <c r="D594" s="13"/>
      <c r="E594" s="13"/>
      <c r="F594" s="14"/>
      <c r="G594" s="15"/>
      <c r="H594" s="12"/>
      <c r="I594" s="16" t="str">
        <f aca="true">IF(OR(F594="",H594&lt;&gt;"Bekliyor"),"",F594-TODAY())</f>
        <v/>
      </c>
      <c r="J594" s="17" t="str">
        <f aca="false">IF(I594="","",IF(I594&lt;0,"Vadesi geçti",IF(I594&lt;=7,"Bu hafta","")))</f>
        <v/>
      </c>
      <c r="K594" s="19" t="n">
        <f aca="false">IF(H594="Bekliyor",G594,0)</f>
        <v>0</v>
      </c>
    </row>
    <row r="595" customFormat="false" ht="15" hidden="false" customHeight="false" outlineLevel="0" collapsed="false">
      <c r="A595" s="12"/>
      <c r="B595" s="12"/>
      <c r="C595" s="13"/>
      <c r="D595" s="13"/>
      <c r="E595" s="13"/>
      <c r="F595" s="14"/>
      <c r="G595" s="15"/>
      <c r="H595" s="12"/>
      <c r="I595" s="16" t="str">
        <f aca="true">IF(OR(F595="",H595&lt;&gt;"Bekliyor"),"",F595-TODAY())</f>
        <v/>
      </c>
      <c r="J595" s="17" t="str">
        <f aca="false">IF(I595="","",IF(I595&lt;0,"Vadesi geçti",IF(I595&lt;=7,"Bu hafta","")))</f>
        <v/>
      </c>
      <c r="K595" s="19" t="n">
        <f aca="false">IF(H595="Bekliyor",G595,0)</f>
        <v>0</v>
      </c>
    </row>
    <row r="596" customFormat="false" ht="15" hidden="false" customHeight="false" outlineLevel="0" collapsed="false">
      <c r="A596" s="12"/>
      <c r="B596" s="12"/>
      <c r="C596" s="13"/>
      <c r="D596" s="13"/>
      <c r="E596" s="13"/>
      <c r="F596" s="14"/>
      <c r="G596" s="15"/>
      <c r="H596" s="12"/>
      <c r="I596" s="16" t="str">
        <f aca="true">IF(OR(F596="",H596&lt;&gt;"Bekliyor"),"",F596-TODAY())</f>
        <v/>
      </c>
      <c r="J596" s="17" t="str">
        <f aca="false">IF(I596="","",IF(I596&lt;0,"Vadesi geçti",IF(I596&lt;=7,"Bu hafta","")))</f>
        <v/>
      </c>
      <c r="K596" s="19" t="n">
        <f aca="false">IF(H596="Bekliyor",G596,0)</f>
        <v>0</v>
      </c>
    </row>
    <row r="597" customFormat="false" ht="15" hidden="false" customHeight="false" outlineLevel="0" collapsed="false">
      <c r="A597" s="12"/>
      <c r="B597" s="12"/>
      <c r="C597" s="13"/>
      <c r="D597" s="13"/>
      <c r="E597" s="13"/>
      <c r="F597" s="14"/>
      <c r="G597" s="15"/>
      <c r="H597" s="12"/>
      <c r="I597" s="16" t="str">
        <f aca="true">IF(OR(F597="",H597&lt;&gt;"Bekliyor"),"",F597-TODAY())</f>
        <v/>
      </c>
      <c r="J597" s="17" t="str">
        <f aca="false">IF(I597="","",IF(I597&lt;0,"Vadesi geçti",IF(I597&lt;=7,"Bu hafta","")))</f>
        <v/>
      </c>
      <c r="K597" s="19" t="n">
        <f aca="false">IF(H597="Bekliyor",G597,0)</f>
        <v>0</v>
      </c>
    </row>
    <row r="598" customFormat="false" ht="15" hidden="false" customHeight="false" outlineLevel="0" collapsed="false">
      <c r="A598" s="12"/>
      <c r="B598" s="12"/>
      <c r="C598" s="13"/>
      <c r="D598" s="13"/>
      <c r="E598" s="13"/>
      <c r="F598" s="14"/>
      <c r="G598" s="15"/>
      <c r="H598" s="12"/>
      <c r="I598" s="16" t="str">
        <f aca="true">IF(OR(F598="",H598&lt;&gt;"Bekliyor"),"",F598-TODAY())</f>
        <v/>
      </c>
      <c r="J598" s="17" t="str">
        <f aca="false">IF(I598="","",IF(I598&lt;0,"Vadesi geçti",IF(I598&lt;=7,"Bu hafta","")))</f>
        <v/>
      </c>
      <c r="K598" s="19" t="n">
        <f aca="false">IF(H598="Bekliyor",G598,0)</f>
        <v>0</v>
      </c>
    </row>
    <row r="599" customFormat="false" ht="15" hidden="false" customHeight="false" outlineLevel="0" collapsed="false">
      <c r="A599" s="12"/>
      <c r="B599" s="12"/>
      <c r="C599" s="13"/>
      <c r="D599" s="13"/>
      <c r="E599" s="13"/>
      <c r="F599" s="14"/>
      <c r="G599" s="15"/>
      <c r="H599" s="12"/>
      <c r="I599" s="16" t="str">
        <f aca="true">IF(OR(F599="",H599&lt;&gt;"Bekliyor"),"",F599-TODAY())</f>
        <v/>
      </c>
      <c r="J599" s="17" t="str">
        <f aca="false">IF(I599="","",IF(I599&lt;0,"Vadesi geçti",IF(I599&lt;=7,"Bu hafta","")))</f>
        <v/>
      </c>
      <c r="K599" s="19" t="n">
        <f aca="false">IF(H599="Bekliyor",G599,0)</f>
        <v>0</v>
      </c>
    </row>
    <row r="600" customFormat="false" ht="15" hidden="false" customHeight="false" outlineLevel="0" collapsed="false">
      <c r="A600" s="12"/>
      <c r="B600" s="12"/>
      <c r="C600" s="13"/>
      <c r="D600" s="13"/>
      <c r="E600" s="13"/>
      <c r="F600" s="14"/>
      <c r="G600" s="15"/>
      <c r="H600" s="12"/>
      <c r="I600" s="16" t="str">
        <f aca="true">IF(OR(F600="",H600&lt;&gt;"Bekliyor"),"",F600-TODAY())</f>
        <v/>
      </c>
      <c r="J600" s="17" t="str">
        <f aca="false">IF(I600="","",IF(I600&lt;0,"Vadesi geçti",IF(I600&lt;=7,"Bu hafta","")))</f>
        <v/>
      </c>
      <c r="K600" s="19" t="n">
        <f aca="false">IF(H600="Bekliyor",G600,0)</f>
        <v>0</v>
      </c>
    </row>
    <row r="601" customFormat="false" ht="15" hidden="false" customHeight="false" outlineLevel="0" collapsed="false">
      <c r="A601" s="12"/>
      <c r="B601" s="12"/>
      <c r="C601" s="13"/>
      <c r="D601" s="13"/>
      <c r="E601" s="13"/>
      <c r="F601" s="14"/>
      <c r="G601" s="15"/>
      <c r="H601" s="12"/>
      <c r="I601" s="16" t="str">
        <f aca="true">IF(OR(F601="",H601&lt;&gt;"Bekliyor"),"",F601-TODAY())</f>
        <v/>
      </c>
      <c r="J601" s="17" t="str">
        <f aca="false">IF(I601="","",IF(I601&lt;0,"Vadesi geçti",IF(I601&lt;=7,"Bu hafta","")))</f>
        <v/>
      </c>
      <c r="K601" s="19" t="n">
        <f aca="false">IF(H601="Bekliyor",G601,0)</f>
        <v>0</v>
      </c>
    </row>
    <row r="602" customFormat="false" ht="15" hidden="false" customHeight="false" outlineLevel="0" collapsed="false">
      <c r="A602" s="12"/>
      <c r="B602" s="12"/>
      <c r="C602" s="13"/>
      <c r="D602" s="13"/>
      <c r="E602" s="13"/>
      <c r="F602" s="14"/>
      <c r="G602" s="15"/>
      <c r="H602" s="12"/>
      <c r="I602" s="16" t="str">
        <f aca="true">IF(OR(F602="",H602&lt;&gt;"Bekliyor"),"",F602-TODAY())</f>
        <v/>
      </c>
      <c r="J602" s="17" t="str">
        <f aca="false">IF(I602="","",IF(I602&lt;0,"Vadesi geçti",IF(I602&lt;=7,"Bu hafta","")))</f>
        <v/>
      </c>
      <c r="K602" s="19" t="n">
        <f aca="false">IF(H602="Bekliyor",G602,0)</f>
        <v>0</v>
      </c>
    </row>
    <row r="603" customFormat="false" ht="15" hidden="false" customHeight="false" outlineLevel="0" collapsed="false">
      <c r="A603" s="12"/>
      <c r="B603" s="12"/>
      <c r="C603" s="13"/>
      <c r="D603" s="13"/>
      <c r="E603" s="13"/>
      <c r="F603" s="14"/>
      <c r="G603" s="15"/>
      <c r="H603" s="12"/>
      <c r="I603" s="16" t="str">
        <f aca="true">IF(OR(F603="",H603&lt;&gt;"Bekliyor"),"",F603-TODAY())</f>
        <v/>
      </c>
      <c r="J603" s="17" t="str">
        <f aca="false">IF(I603="","",IF(I603&lt;0,"Vadesi geçti",IF(I603&lt;=7,"Bu hafta","")))</f>
        <v/>
      </c>
      <c r="K603" s="19" t="n">
        <f aca="false">IF(H603="Bekliyor",G603,0)</f>
        <v>0</v>
      </c>
    </row>
    <row r="604" customFormat="false" ht="15" hidden="false" customHeight="false" outlineLevel="0" collapsed="false">
      <c r="A604" s="12"/>
      <c r="B604" s="12"/>
      <c r="C604" s="13"/>
      <c r="D604" s="13"/>
      <c r="E604" s="13"/>
      <c r="F604" s="14"/>
      <c r="G604" s="15"/>
      <c r="H604" s="12"/>
      <c r="I604" s="16" t="str">
        <f aca="true">IF(OR(F604="",H604&lt;&gt;"Bekliyor"),"",F604-TODAY())</f>
        <v/>
      </c>
      <c r="J604" s="17" t="str">
        <f aca="false">IF(I604="","",IF(I604&lt;0,"Vadesi geçti",IF(I604&lt;=7,"Bu hafta","")))</f>
        <v/>
      </c>
      <c r="K604" s="19" t="n">
        <f aca="false">IF(H604="Bekliyor",G604,0)</f>
        <v>0</v>
      </c>
    </row>
    <row r="605" customFormat="false" ht="15" hidden="false" customHeight="false" outlineLevel="0" collapsed="false">
      <c r="A605" s="12"/>
      <c r="B605" s="12"/>
      <c r="C605" s="13"/>
      <c r="D605" s="13"/>
      <c r="E605" s="13"/>
      <c r="F605" s="14"/>
      <c r="G605" s="15"/>
      <c r="H605" s="12"/>
      <c r="I605" s="16" t="str">
        <f aca="true">IF(OR(F605="",H605&lt;&gt;"Bekliyor"),"",F605-TODAY())</f>
        <v/>
      </c>
      <c r="J605" s="17" t="str">
        <f aca="false">IF(I605="","",IF(I605&lt;0,"Vadesi geçti",IF(I605&lt;=7,"Bu hafta","")))</f>
        <v/>
      </c>
      <c r="K605" s="19" t="n">
        <f aca="false">IF(H605="Bekliyor",G605,0)</f>
        <v>0</v>
      </c>
    </row>
    <row r="606" customFormat="false" ht="15" hidden="false" customHeight="false" outlineLevel="0" collapsed="false">
      <c r="A606" s="12"/>
      <c r="B606" s="12"/>
      <c r="C606" s="13"/>
      <c r="D606" s="13"/>
      <c r="E606" s="13"/>
      <c r="F606" s="14"/>
      <c r="G606" s="15"/>
      <c r="H606" s="12"/>
      <c r="I606" s="16" t="str">
        <f aca="true">IF(OR(F606="",H606&lt;&gt;"Bekliyor"),"",F606-TODAY())</f>
        <v/>
      </c>
      <c r="J606" s="17" t="str">
        <f aca="false">IF(I606="","",IF(I606&lt;0,"Vadesi geçti",IF(I606&lt;=7,"Bu hafta","")))</f>
        <v/>
      </c>
      <c r="K606" s="19" t="n">
        <f aca="false">IF(H606="Bekliyor",G606,0)</f>
        <v>0</v>
      </c>
    </row>
    <row r="607" customFormat="false" ht="15" hidden="false" customHeight="false" outlineLevel="0" collapsed="false">
      <c r="A607" s="12"/>
      <c r="B607" s="12"/>
      <c r="C607" s="13"/>
      <c r="D607" s="13"/>
      <c r="E607" s="13"/>
      <c r="F607" s="14"/>
      <c r="G607" s="15"/>
      <c r="H607" s="12"/>
      <c r="I607" s="16" t="str">
        <f aca="true">IF(OR(F607="",H607&lt;&gt;"Bekliyor"),"",F607-TODAY())</f>
        <v/>
      </c>
      <c r="J607" s="17" t="str">
        <f aca="false">IF(I607="","",IF(I607&lt;0,"Vadesi geçti",IF(I607&lt;=7,"Bu hafta","")))</f>
        <v/>
      </c>
      <c r="K607" s="19" t="n">
        <f aca="false">IF(H607="Bekliyor",G607,0)</f>
        <v>0</v>
      </c>
    </row>
    <row r="608" customFormat="false" ht="15" hidden="false" customHeight="false" outlineLevel="0" collapsed="false">
      <c r="A608" s="12"/>
      <c r="B608" s="12"/>
      <c r="C608" s="13"/>
      <c r="D608" s="13"/>
      <c r="E608" s="13"/>
      <c r="F608" s="14"/>
      <c r="G608" s="15"/>
      <c r="H608" s="12"/>
      <c r="I608" s="16" t="str">
        <f aca="true">IF(OR(F608="",H608&lt;&gt;"Bekliyor"),"",F608-TODAY())</f>
        <v/>
      </c>
      <c r="J608" s="17" t="str">
        <f aca="false">IF(I608="","",IF(I608&lt;0,"Vadesi geçti",IF(I608&lt;=7,"Bu hafta","")))</f>
        <v/>
      </c>
      <c r="K608" s="19" t="n">
        <f aca="false">IF(H608="Bekliyor",G608,0)</f>
        <v>0</v>
      </c>
    </row>
    <row r="609" customFormat="false" ht="15" hidden="false" customHeight="false" outlineLevel="0" collapsed="false">
      <c r="A609" s="12"/>
      <c r="B609" s="12"/>
      <c r="C609" s="13"/>
      <c r="D609" s="13"/>
      <c r="E609" s="13"/>
      <c r="F609" s="14"/>
      <c r="G609" s="15"/>
      <c r="H609" s="12"/>
      <c r="I609" s="16" t="str">
        <f aca="true">IF(OR(F609="",H609&lt;&gt;"Bekliyor"),"",F609-TODAY())</f>
        <v/>
      </c>
      <c r="J609" s="17" t="str">
        <f aca="false">IF(I609="","",IF(I609&lt;0,"Vadesi geçti",IF(I609&lt;=7,"Bu hafta","")))</f>
        <v/>
      </c>
      <c r="K609" s="19" t="n">
        <f aca="false">IF(H609="Bekliyor",G609,0)</f>
        <v>0</v>
      </c>
    </row>
    <row r="610" customFormat="false" ht="15" hidden="false" customHeight="false" outlineLevel="0" collapsed="false">
      <c r="A610" s="12"/>
      <c r="B610" s="12"/>
      <c r="C610" s="13"/>
      <c r="D610" s="13"/>
      <c r="E610" s="13"/>
      <c r="F610" s="14"/>
      <c r="G610" s="15"/>
      <c r="H610" s="12"/>
      <c r="I610" s="16" t="str">
        <f aca="true">IF(OR(F610="",H610&lt;&gt;"Bekliyor"),"",F610-TODAY())</f>
        <v/>
      </c>
      <c r="J610" s="17" t="str">
        <f aca="false">IF(I610="","",IF(I610&lt;0,"Vadesi geçti",IF(I610&lt;=7,"Bu hafta","")))</f>
        <v/>
      </c>
      <c r="K610" s="19" t="n">
        <f aca="false">IF(H610="Bekliyor",G610,0)</f>
        <v>0</v>
      </c>
    </row>
    <row r="611" customFormat="false" ht="15" hidden="false" customHeight="false" outlineLevel="0" collapsed="false">
      <c r="A611" s="12"/>
      <c r="B611" s="12"/>
      <c r="C611" s="13"/>
      <c r="D611" s="13"/>
      <c r="E611" s="13"/>
      <c r="F611" s="14"/>
      <c r="G611" s="15"/>
      <c r="H611" s="12"/>
      <c r="I611" s="16" t="str">
        <f aca="true">IF(OR(F611="",H611&lt;&gt;"Bekliyor"),"",F611-TODAY())</f>
        <v/>
      </c>
      <c r="J611" s="17" t="str">
        <f aca="false">IF(I611="","",IF(I611&lt;0,"Vadesi geçti",IF(I611&lt;=7,"Bu hafta","")))</f>
        <v/>
      </c>
      <c r="K611" s="19" t="n">
        <f aca="false">IF(H611="Bekliyor",G611,0)</f>
        <v>0</v>
      </c>
    </row>
    <row r="612" customFormat="false" ht="15" hidden="false" customHeight="false" outlineLevel="0" collapsed="false">
      <c r="A612" s="12"/>
      <c r="B612" s="12"/>
      <c r="C612" s="13"/>
      <c r="D612" s="13"/>
      <c r="E612" s="13"/>
      <c r="F612" s="14"/>
      <c r="G612" s="15"/>
      <c r="H612" s="12"/>
      <c r="I612" s="16" t="str">
        <f aca="true">IF(OR(F612="",H612&lt;&gt;"Bekliyor"),"",F612-TODAY())</f>
        <v/>
      </c>
      <c r="J612" s="17" t="str">
        <f aca="false">IF(I612="","",IF(I612&lt;0,"Vadesi geçti",IF(I612&lt;=7,"Bu hafta","")))</f>
        <v/>
      </c>
      <c r="K612" s="19" t="n">
        <f aca="false">IF(H612="Bekliyor",G612,0)</f>
        <v>0</v>
      </c>
    </row>
    <row r="613" customFormat="false" ht="15" hidden="false" customHeight="false" outlineLevel="0" collapsed="false">
      <c r="A613" s="12"/>
      <c r="B613" s="12"/>
      <c r="C613" s="13"/>
      <c r="D613" s="13"/>
      <c r="E613" s="13"/>
      <c r="F613" s="14"/>
      <c r="G613" s="15"/>
      <c r="H613" s="12"/>
      <c r="I613" s="16" t="str">
        <f aca="true">IF(OR(F613="",H613&lt;&gt;"Bekliyor"),"",F613-TODAY())</f>
        <v/>
      </c>
      <c r="J613" s="17" t="str">
        <f aca="false">IF(I613="","",IF(I613&lt;0,"Vadesi geçti",IF(I613&lt;=7,"Bu hafta","")))</f>
        <v/>
      </c>
      <c r="K613" s="19" t="n">
        <f aca="false">IF(H613="Bekliyor",G613,0)</f>
        <v>0</v>
      </c>
    </row>
    <row r="614" customFormat="false" ht="15" hidden="false" customHeight="false" outlineLevel="0" collapsed="false">
      <c r="A614" s="12"/>
      <c r="B614" s="12"/>
      <c r="C614" s="13"/>
      <c r="D614" s="13"/>
      <c r="E614" s="13"/>
      <c r="F614" s="14"/>
      <c r="G614" s="15"/>
      <c r="H614" s="12"/>
      <c r="I614" s="16" t="str">
        <f aca="true">IF(OR(F614="",H614&lt;&gt;"Bekliyor"),"",F614-TODAY())</f>
        <v/>
      </c>
      <c r="J614" s="17" t="str">
        <f aca="false">IF(I614="","",IF(I614&lt;0,"Vadesi geçti",IF(I614&lt;=7,"Bu hafta","")))</f>
        <v/>
      </c>
      <c r="K614" s="19" t="n">
        <f aca="false">IF(H614="Bekliyor",G614,0)</f>
        <v>0</v>
      </c>
    </row>
    <row r="615" customFormat="false" ht="15" hidden="false" customHeight="false" outlineLevel="0" collapsed="false">
      <c r="A615" s="12"/>
      <c r="B615" s="12"/>
      <c r="C615" s="13"/>
      <c r="D615" s="13"/>
      <c r="E615" s="13"/>
      <c r="F615" s="14"/>
      <c r="G615" s="15"/>
      <c r="H615" s="12"/>
      <c r="I615" s="16" t="str">
        <f aca="true">IF(OR(F615="",H615&lt;&gt;"Bekliyor"),"",F615-TODAY())</f>
        <v/>
      </c>
      <c r="J615" s="17" t="str">
        <f aca="false">IF(I615="","",IF(I615&lt;0,"Vadesi geçti",IF(I615&lt;=7,"Bu hafta","")))</f>
        <v/>
      </c>
      <c r="K615" s="19" t="n">
        <f aca="false">IF(H615="Bekliyor",G615,0)</f>
        <v>0</v>
      </c>
    </row>
    <row r="616" customFormat="false" ht="15" hidden="false" customHeight="false" outlineLevel="0" collapsed="false">
      <c r="A616" s="12"/>
      <c r="B616" s="12"/>
      <c r="C616" s="13"/>
      <c r="D616" s="13"/>
      <c r="E616" s="13"/>
      <c r="F616" s="14"/>
      <c r="G616" s="15"/>
      <c r="H616" s="12"/>
      <c r="I616" s="16" t="str">
        <f aca="true">IF(OR(F616="",H616&lt;&gt;"Bekliyor"),"",F616-TODAY())</f>
        <v/>
      </c>
      <c r="J616" s="17" t="str">
        <f aca="false">IF(I616="","",IF(I616&lt;0,"Vadesi geçti",IF(I616&lt;=7,"Bu hafta","")))</f>
        <v/>
      </c>
      <c r="K616" s="19" t="n">
        <f aca="false">IF(H616="Bekliyor",G616,0)</f>
        <v>0</v>
      </c>
    </row>
    <row r="617" customFormat="false" ht="15" hidden="false" customHeight="false" outlineLevel="0" collapsed="false">
      <c r="A617" s="12"/>
      <c r="B617" s="12"/>
      <c r="C617" s="13"/>
      <c r="D617" s="13"/>
      <c r="E617" s="13"/>
      <c r="F617" s="14"/>
      <c r="G617" s="15"/>
      <c r="H617" s="12"/>
      <c r="I617" s="16" t="str">
        <f aca="true">IF(OR(F617="",H617&lt;&gt;"Bekliyor"),"",F617-TODAY())</f>
        <v/>
      </c>
      <c r="J617" s="17" t="str">
        <f aca="false">IF(I617="","",IF(I617&lt;0,"Vadesi geçti",IF(I617&lt;=7,"Bu hafta","")))</f>
        <v/>
      </c>
      <c r="K617" s="19" t="n">
        <f aca="false">IF(H617="Bekliyor",G617,0)</f>
        <v>0</v>
      </c>
    </row>
    <row r="618" customFormat="false" ht="15" hidden="false" customHeight="false" outlineLevel="0" collapsed="false">
      <c r="A618" s="12"/>
      <c r="B618" s="12"/>
      <c r="C618" s="13"/>
      <c r="D618" s="13"/>
      <c r="E618" s="13"/>
      <c r="F618" s="14"/>
      <c r="G618" s="15"/>
      <c r="H618" s="12"/>
      <c r="I618" s="16" t="str">
        <f aca="true">IF(OR(F618="",H618&lt;&gt;"Bekliyor"),"",F618-TODAY())</f>
        <v/>
      </c>
      <c r="J618" s="17" t="str">
        <f aca="false">IF(I618="","",IF(I618&lt;0,"Vadesi geçti",IF(I618&lt;=7,"Bu hafta","")))</f>
        <v/>
      </c>
      <c r="K618" s="19" t="n">
        <f aca="false">IF(H618="Bekliyor",G618,0)</f>
        <v>0</v>
      </c>
    </row>
    <row r="619" customFormat="false" ht="15" hidden="false" customHeight="false" outlineLevel="0" collapsed="false">
      <c r="A619" s="12"/>
      <c r="B619" s="12"/>
      <c r="C619" s="13"/>
      <c r="D619" s="13"/>
      <c r="E619" s="13"/>
      <c r="F619" s="14"/>
      <c r="G619" s="15"/>
      <c r="H619" s="12"/>
      <c r="I619" s="16" t="str">
        <f aca="true">IF(OR(F619="",H619&lt;&gt;"Bekliyor"),"",F619-TODAY())</f>
        <v/>
      </c>
      <c r="J619" s="17" t="str">
        <f aca="false">IF(I619="","",IF(I619&lt;0,"Vadesi geçti",IF(I619&lt;=7,"Bu hafta","")))</f>
        <v/>
      </c>
      <c r="K619" s="19" t="n">
        <f aca="false">IF(H619="Bekliyor",G619,0)</f>
        <v>0</v>
      </c>
    </row>
    <row r="620" customFormat="false" ht="15" hidden="false" customHeight="false" outlineLevel="0" collapsed="false">
      <c r="A620" s="12"/>
      <c r="B620" s="12"/>
      <c r="C620" s="13"/>
      <c r="D620" s="13"/>
      <c r="E620" s="13"/>
      <c r="F620" s="14"/>
      <c r="G620" s="15"/>
      <c r="H620" s="12"/>
      <c r="I620" s="16" t="str">
        <f aca="true">IF(OR(F620="",H620&lt;&gt;"Bekliyor"),"",F620-TODAY())</f>
        <v/>
      </c>
      <c r="J620" s="17" t="str">
        <f aca="false">IF(I620="","",IF(I620&lt;0,"Vadesi geçti",IF(I620&lt;=7,"Bu hafta","")))</f>
        <v/>
      </c>
      <c r="K620" s="19" t="n">
        <f aca="false">IF(H620="Bekliyor",G620,0)</f>
        <v>0</v>
      </c>
    </row>
    <row r="621" customFormat="false" ht="15" hidden="false" customHeight="false" outlineLevel="0" collapsed="false">
      <c r="A621" s="12"/>
      <c r="B621" s="12"/>
      <c r="C621" s="13"/>
      <c r="D621" s="13"/>
      <c r="E621" s="13"/>
      <c r="F621" s="14"/>
      <c r="G621" s="15"/>
      <c r="H621" s="12"/>
      <c r="I621" s="16" t="str">
        <f aca="true">IF(OR(F621="",H621&lt;&gt;"Bekliyor"),"",F621-TODAY())</f>
        <v/>
      </c>
      <c r="J621" s="17" t="str">
        <f aca="false">IF(I621="","",IF(I621&lt;0,"Vadesi geçti",IF(I621&lt;=7,"Bu hafta","")))</f>
        <v/>
      </c>
      <c r="K621" s="19" t="n">
        <f aca="false">IF(H621="Bekliyor",G621,0)</f>
        <v>0</v>
      </c>
    </row>
    <row r="622" customFormat="false" ht="15" hidden="false" customHeight="false" outlineLevel="0" collapsed="false">
      <c r="A622" s="12"/>
      <c r="B622" s="12"/>
      <c r="C622" s="13"/>
      <c r="D622" s="13"/>
      <c r="E622" s="13"/>
      <c r="F622" s="14"/>
      <c r="G622" s="15"/>
      <c r="H622" s="12"/>
      <c r="I622" s="16" t="str">
        <f aca="true">IF(OR(F622="",H622&lt;&gt;"Bekliyor"),"",F622-TODAY())</f>
        <v/>
      </c>
      <c r="J622" s="17" t="str">
        <f aca="false">IF(I622="","",IF(I622&lt;0,"Vadesi geçti",IF(I622&lt;=7,"Bu hafta","")))</f>
        <v/>
      </c>
      <c r="K622" s="19" t="n">
        <f aca="false">IF(H622="Bekliyor",G622,0)</f>
        <v>0</v>
      </c>
    </row>
    <row r="623" customFormat="false" ht="15" hidden="false" customHeight="false" outlineLevel="0" collapsed="false">
      <c r="A623" s="12"/>
      <c r="B623" s="12"/>
      <c r="C623" s="13"/>
      <c r="D623" s="13"/>
      <c r="E623" s="13"/>
      <c r="F623" s="14"/>
      <c r="G623" s="15"/>
      <c r="H623" s="12"/>
      <c r="I623" s="16" t="str">
        <f aca="true">IF(OR(F623="",H623&lt;&gt;"Bekliyor"),"",F623-TODAY())</f>
        <v/>
      </c>
      <c r="J623" s="17" t="str">
        <f aca="false">IF(I623="","",IF(I623&lt;0,"Vadesi geçti",IF(I623&lt;=7,"Bu hafta","")))</f>
        <v/>
      </c>
      <c r="K623" s="19" t="n">
        <f aca="false">IF(H623="Bekliyor",G623,0)</f>
        <v>0</v>
      </c>
    </row>
    <row r="624" customFormat="false" ht="15" hidden="false" customHeight="false" outlineLevel="0" collapsed="false">
      <c r="A624" s="12"/>
      <c r="B624" s="12"/>
      <c r="C624" s="13"/>
      <c r="D624" s="13"/>
      <c r="E624" s="13"/>
      <c r="F624" s="14"/>
      <c r="G624" s="15"/>
      <c r="H624" s="12"/>
      <c r="I624" s="16" t="str">
        <f aca="true">IF(OR(F624="",H624&lt;&gt;"Bekliyor"),"",F624-TODAY())</f>
        <v/>
      </c>
      <c r="J624" s="17" t="str">
        <f aca="false">IF(I624="","",IF(I624&lt;0,"Vadesi geçti",IF(I624&lt;=7,"Bu hafta","")))</f>
        <v/>
      </c>
      <c r="K624" s="19" t="n">
        <f aca="false">IF(H624="Bekliyor",G624,0)</f>
        <v>0</v>
      </c>
    </row>
    <row r="625" customFormat="false" ht="15" hidden="false" customHeight="false" outlineLevel="0" collapsed="false">
      <c r="A625" s="12"/>
      <c r="B625" s="12"/>
      <c r="C625" s="13"/>
      <c r="D625" s="13"/>
      <c r="E625" s="13"/>
      <c r="F625" s="14"/>
      <c r="G625" s="15"/>
      <c r="H625" s="12"/>
      <c r="I625" s="16" t="str">
        <f aca="true">IF(OR(F625="",H625&lt;&gt;"Bekliyor"),"",F625-TODAY())</f>
        <v/>
      </c>
      <c r="J625" s="17" t="str">
        <f aca="false">IF(I625="","",IF(I625&lt;0,"Vadesi geçti",IF(I625&lt;=7,"Bu hafta","")))</f>
        <v/>
      </c>
      <c r="K625" s="19" t="n">
        <f aca="false">IF(H625="Bekliyor",G625,0)</f>
        <v>0</v>
      </c>
    </row>
    <row r="626" customFormat="false" ht="15" hidden="false" customHeight="false" outlineLevel="0" collapsed="false">
      <c r="A626" s="12"/>
      <c r="B626" s="12"/>
      <c r="C626" s="13"/>
      <c r="D626" s="13"/>
      <c r="E626" s="13"/>
      <c r="F626" s="14"/>
      <c r="G626" s="15"/>
      <c r="H626" s="12"/>
      <c r="I626" s="16" t="str">
        <f aca="true">IF(OR(F626="",H626&lt;&gt;"Bekliyor"),"",F626-TODAY())</f>
        <v/>
      </c>
      <c r="J626" s="17" t="str">
        <f aca="false">IF(I626="","",IF(I626&lt;0,"Vadesi geçti",IF(I626&lt;=7,"Bu hafta","")))</f>
        <v/>
      </c>
      <c r="K626" s="19" t="n">
        <f aca="false">IF(H626="Bekliyor",G626,0)</f>
        <v>0</v>
      </c>
    </row>
    <row r="627" customFormat="false" ht="15" hidden="false" customHeight="false" outlineLevel="0" collapsed="false">
      <c r="A627" s="12"/>
      <c r="B627" s="12"/>
      <c r="C627" s="13"/>
      <c r="D627" s="13"/>
      <c r="E627" s="13"/>
      <c r="F627" s="14"/>
      <c r="G627" s="15"/>
      <c r="H627" s="12"/>
      <c r="I627" s="16" t="str">
        <f aca="true">IF(OR(F627="",H627&lt;&gt;"Bekliyor"),"",F627-TODAY())</f>
        <v/>
      </c>
      <c r="J627" s="17" t="str">
        <f aca="false">IF(I627="","",IF(I627&lt;0,"Vadesi geçti",IF(I627&lt;=7,"Bu hafta","")))</f>
        <v/>
      </c>
      <c r="K627" s="19" t="n">
        <f aca="false">IF(H627="Bekliyor",G627,0)</f>
        <v>0</v>
      </c>
    </row>
    <row r="628" customFormat="false" ht="15" hidden="false" customHeight="false" outlineLevel="0" collapsed="false">
      <c r="A628" s="12"/>
      <c r="B628" s="12"/>
      <c r="C628" s="13"/>
      <c r="D628" s="13"/>
      <c r="E628" s="13"/>
      <c r="F628" s="14"/>
      <c r="G628" s="15"/>
      <c r="H628" s="12"/>
      <c r="I628" s="16" t="str">
        <f aca="true">IF(OR(F628="",H628&lt;&gt;"Bekliyor"),"",F628-TODAY())</f>
        <v/>
      </c>
      <c r="J628" s="17" t="str">
        <f aca="false">IF(I628="","",IF(I628&lt;0,"Vadesi geçti",IF(I628&lt;=7,"Bu hafta","")))</f>
        <v/>
      </c>
      <c r="K628" s="19" t="n">
        <f aca="false">IF(H628="Bekliyor",G628,0)</f>
        <v>0</v>
      </c>
    </row>
    <row r="629" customFormat="false" ht="15" hidden="false" customHeight="false" outlineLevel="0" collapsed="false">
      <c r="A629" s="12"/>
      <c r="B629" s="12"/>
      <c r="C629" s="13"/>
      <c r="D629" s="13"/>
      <c r="E629" s="13"/>
      <c r="F629" s="14"/>
      <c r="G629" s="15"/>
      <c r="H629" s="12"/>
      <c r="I629" s="16" t="str">
        <f aca="true">IF(OR(F629="",H629&lt;&gt;"Bekliyor"),"",F629-TODAY())</f>
        <v/>
      </c>
      <c r="J629" s="17" t="str">
        <f aca="false">IF(I629="","",IF(I629&lt;0,"Vadesi geçti",IF(I629&lt;=7,"Bu hafta","")))</f>
        <v/>
      </c>
      <c r="K629" s="19" t="n">
        <f aca="false">IF(H629="Bekliyor",G629,0)</f>
        <v>0</v>
      </c>
    </row>
    <row r="630" customFormat="false" ht="15" hidden="false" customHeight="false" outlineLevel="0" collapsed="false">
      <c r="A630" s="12"/>
      <c r="B630" s="12"/>
      <c r="C630" s="13"/>
      <c r="D630" s="13"/>
      <c r="E630" s="13"/>
      <c r="F630" s="14"/>
      <c r="G630" s="15"/>
      <c r="H630" s="12"/>
      <c r="I630" s="16" t="str">
        <f aca="true">IF(OR(F630="",H630&lt;&gt;"Bekliyor"),"",F630-TODAY())</f>
        <v/>
      </c>
      <c r="J630" s="17" t="str">
        <f aca="false">IF(I630="","",IF(I630&lt;0,"Vadesi geçti",IF(I630&lt;=7,"Bu hafta","")))</f>
        <v/>
      </c>
      <c r="K630" s="19" t="n">
        <f aca="false">IF(H630="Bekliyor",G630,0)</f>
        <v>0</v>
      </c>
    </row>
    <row r="631" customFormat="false" ht="15" hidden="false" customHeight="false" outlineLevel="0" collapsed="false">
      <c r="A631" s="12"/>
      <c r="B631" s="12"/>
      <c r="C631" s="13"/>
      <c r="D631" s="13"/>
      <c r="E631" s="13"/>
      <c r="F631" s="14"/>
      <c r="G631" s="15"/>
      <c r="H631" s="12"/>
      <c r="I631" s="16" t="str">
        <f aca="true">IF(OR(F631="",H631&lt;&gt;"Bekliyor"),"",F631-TODAY())</f>
        <v/>
      </c>
      <c r="J631" s="17" t="str">
        <f aca="false">IF(I631="","",IF(I631&lt;0,"Vadesi geçti",IF(I631&lt;=7,"Bu hafta","")))</f>
        <v/>
      </c>
      <c r="K631" s="19" t="n">
        <f aca="false">IF(H631="Bekliyor",G631,0)</f>
        <v>0</v>
      </c>
    </row>
    <row r="632" customFormat="false" ht="15" hidden="false" customHeight="false" outlineLevel="0" collapsed="false">
      <c r="A632" s="12"/>
      <c r="B632" s="12"/>
      <c r="C632" s="13"/>
      <c r="D632" s="13"/>
      <c r="E632" s="13"/>
      <c r="F632" s="14"/>
      <c r="G632" s="15"/>
      <c r="H632" s="12"/>
      <c r="I632" s="16" t="str">
        <f aca="true">IF(OR(F632="",H632&lt;&gt;"Bekliyor"),"",F632-TODAY())</f>
        <v/>
      </c>
      <c r="J632" s="17" t="str">
        <f aca="false">IF(I632="","",IF(I632&lt;0,"Vadesi geçti",IF(I632&lt;=7,"Bu hafta","")))</f>
        <v/>
      </c>
      <c r="K632" s="19" t="n">
        <f aca="false">IF(H632="Bekliyor",G632,0)</f>
        <v>0</v>
      </c>
    </row>
    <row r="633" customFormat="false" ht="15" hidden="false" customHeight="false" outlineLevel="0" collapsed="false">
      <c r="A633" s="12"/>
      <c r="B633" s="12"/>
      <c r="C633" s="13"/>
      <c r="D633" s="13"/>
      <c r="E633" s="13"/>
      <c r="F633" s="14"/>
      <c r="G633" s="15"/>
      <c r="H633" s="12"/>
      <c r="I633" s="16" t="str">
        <f aca="true">IF(OR(F633="",H633&lt;&gt;"Bekliyor"),"",F633-TODAY())</f>
        <v/>
      </c>
      <c r="J633" s="17" t="str">
        <f aca="false">IF(I633="","",IF(I633&lt;0,"Vadesi geçti",IF(I633&lt;=7,"Bu hafta","")))</f>
        <v/>
      </c>
      <c r="K633" s="19" t="n">
        <f aca="false">IF(H633="Bekliyor",G633,0)</f>
        <v>0</v>
      </c>
    </row>
    <row r="634" customFormat="false" ht="15" hidden="false" customHeight="false" outlineLevel="0" collapsed="false">
      <c r="A634" s="12"/>
      <c r="B634" s="12"/>
      <c r="C634" s="13"/>
      <c r="D634" s="13"/>
      <c r="E634" s="13"/>
      <c r="F634" s="14"/>
      <c r="G634" s="15"/>
      <c r="H634" s="12"/>
      <c r="I634" s="16" t="str">
        <f aca="true">IF(OR(F634="",H634&lt;&gt;"Bekliyor"),"",F634-TODAY())</f>
        <v/>
      </c>
      <c r="J634" s="17" t="str">
        <f aca="false">IF(I634="","",IF(I634&lt;0,"Vadesi geçti",IF(I634&lt;=7,"Bu hafta","")))</f>
        <v/>
      </c>
      <c r="K634" s="19" t="n">
        <f aca="false">IF(H634="Bekliyor",G634,0)</f>
        <v>0</v>
      </c>
    </row>
    <row r="635" customFormat="false" ht="15" hidden="false" customHeight="false" outlineLevel="0" collapsed="false">
      <c r="A635" s="12"/>
      <c r="B635" s="12"/>
      <c r="C635" s="13"/>
      <c r="D635" s="13"/>
      <c r="E635" s="13"/>
      <c r="F635" s="14"/>
      <c r="G635" s="15"/>
      <c r="H635" s="12"/>
      <c r="I635" s="16" t="str">
        <f aca="true">IF(OR(F635="",H635&lt;&gt;"Bekliyor"),"",F635-TODAY())</f>
        <v/>
      </c>
      <c r="J635" s="17" t="str">
        <f aca="false">IF(I635="","",IF(I635&lt;0,"Vadesi geçti",IF(I635&lt;=7,"Bu hafta","")))</f>
        <v/>
      </c>
      <c r="K635" s="19" t="n">
        <f aca="false">IF(H635="Bekliyor",G635,0)</f>
        <v>0</v>
      </c>
    </row>
    <row r="636" customFormat="false" ht="15" hidden="false" customHeight="false" outlineLevel="0" collapsed="false">
      <c r="A636" s="12"/>
      <c r="B636" s="12"/>
      <c r="C636" s="13"/>
      <c r="D636" s="13"/>
      <c r="E636" s="13"/>
      <c r="F636" s="14"/>
      <c r="G636" s="15"/>
      <c r="H636" s="12"/>
      <c r="I636" s="16" t="str">
        <f aca="true">IF(OR(F636="",H636&lt;&gt;"Bekliyor"),"",F636-TODAY())</f>
        <v/>
      </c>
      <c r="J636" s="17" t="str">
        <f aca="false">IF(I636="","",IF(I636&lt;0,"Vadesi geçti",IF(I636&lt;=7,"Bu hafta","")))</f>
        <v/>
      </c>
      <c r="K636" s="19" t="n">
        <f aca="false">IF(H636="Bekliyor",G636,0)</f>
        <v>0</v>
      </c>
    </row>
    <row r="637" customFormat="false" ht="15" hidden="false" customHeight="false" outlineLevel="0" collapsed="false">
      <c r="A637" s="12"/>
      <c r="B637" s="12"/>
      <c r="C637" s="13"/>
      <c r="D637" s="13"/>
      <c r="E637" s="13"/>
      <c r="F637" s="14"/>
      <c r="G637" s="15"/>
      <c r="H637" s="12"/>
      <c r="I637" s="16" t="str">
        <f aca="true">IF(OR(F637="",H637&lt;&gt;"Bekliyor"),"",F637-TODAY())</f>
        <v/>
      </c>
      <c r="J637" s="17" t="str">
        <f aca="false">IF(I637="","",IF(I637&lt;0,"Vadesi geçti",IF(I637&lt;=7,"Bu hafta","")))</f>
        <v/>
      </c>
      <c r="K637" s="19" t="n">
        <f aca="false">IF(H637="Bekliyor",G637,0)</f>
        <v>0</v>
      </c>
    </row>
    <row r="638" customFormat="false" ht="15" hidden="false" customHeight="false" outlineLevel="0" collapsed="false">
      <c r="A638" s="12"/>
      <c r="B638" s="12"/>
      <c r="C638" s="13"/>
      <c r="D638" s="13"/>
      <c r="E638" s="13"/>
      <c r="F638" s="14"/>
      <c r="G638" s="15"/>
      <c r="H638" s="12"/>
      <c r="I638" s="16" t="str">
        <f aca="true">IF(OR(F638="",H638&lt;&gt;"Bekliyor"),"",F638-TODAY())</f>
        <v/>
      </c>
      <c r="J638" s="17" t="str">
        <f aca="false">IF(I638="","",IF(I638&lt;0,"Vadesi geçti",IF(I638&lt;=7,"Bu hafta","")))</f>
        <v/>
      </c>
      <c r="K638" s="19" t="n">
        <f aca="false">IF(H638="Bekliyor",G638,0)</f>
        <v>0</v>
      </c>
    </row>
    <row r="639" customFormat="false" ht="15" hidden="false" customHeight="false" outlineLevel="0" collapsed="false">
      <c r="A639" s="12"/>
      <c r="B639" s="12"/>
      <c r="C639" s="13"/>
      <c r="D639" s="13"/>
      <c r="E639" s="13"/>
      <c r="F639" s="14"/>
      <c r="G639" s="15"/>
      <c r="H639" s="12"/>
      <c r="I639" s="16" t="str">
        <f aca="true">IF(OR(F639="",H639&lt;&gt;"Bekliyor"),"",F639-TODAY())</f>
        <v/>
      </c>
      <c r="J639" s="17" t="str">
        <f aca="false">IF(I639="","",IF(I639&lt;0,"Vadesi geçti",IF(I639&lt;=7,"Bu hafta","")))</f>
        <v/>
      </c>
      <c r="K639" s="19" t="n">
        <f aca="false">IF(H639="Bekliyor",G639,0)</f>
        <v>0</v>
      </c>
    </row>
    <row r="640" customFormat="false" ht="15" hidden="false" customHeight="false" outlineLevel="0" collapsed="false">
      <c r="A640" s="12"/>
      <c r="B640" s="12"/>
      <c r="C640" s="13"/>
      <c r="D640" s="13"/>
      <c r="E640" s="13"/>
      <c r="F640" s="14"/>
      <c r="G640" s="15"/>
      <c r="H640" s="12"/>
      <c r="I640" s="16" t="str">
        <f aca="true">IF(OR(F640="",H640&lt;&gt;"Bekliyor"),"",F640-TODAY())</f>
        <v/>
      </c>
      <c r="J640" s="17" t="str">
        <f aca="false">IF(I640="","",IF(I640&lt;0,"Vadesi geçti",IF(I640&lt;=7,"Bu hafta","")))</f>
        <v/>
      </c>
      <c r="K640" s="19" t="n">
        <f aca="false">IF(H640="Bekliyor",G640,0)</f>
        <v>0</v>
      </c>
    </row>
    <row r="641" customFormat="false" ht="15" hidden="false" customHeight="false" outlineLevel="0" collapsed="false">
      <c r="A641" s="12"/>
      <c r="B641" s="12"/>
      <c r="C641" s="13"/>
      <c r="D641" s="13"/>
      <c r="E641" s="13"/>
      <c r="F641" s="14"/>
      <c r="G641" s="15"/>
      <c r="H641" s="12"/>
      <c r="I641" s="16" t="str">
        <f aca="true">IF(OR(F641="",H641&lt;&gt;"Bekliyor"),"",F641-TODAY())</f>
        <v/>
      </c>
      <c r="J641" s="17" t="str">
        <f aca="false">IF(I641="","",IF(I641&lt;0,"Vadesi geçti",IF(I641&lt;=7,"Bu hafta","")))</f>
        <v/>
      </c>
      <c r="K641" s="19" t="n">
        <f aca="false">IF(H641="Bekliyor",G641,0)</f>
        <v>0</v>
      </c>
    </row>
    <row r="642" customFormat="false" ht="15" hidden="false" customHeight="false" outlineLevel="0" collapsed="false">
      <c r="A642" s="12"/>
      <c r="B642" s="12"/>
      <c r="C642" s="13"/>
      <c r="D642" s="13"/>
      <c r="E642" s="13"/>
      <c r="F642" s="14"/>
      <c r="G642" s="15"/>
      <c r="H642" s="12"/>
      <c r="I642" s="16" t="str">
        <f aca="true">IF(OR(F642="",H642&lt;&gt;"Bekliyor"),"",F642-TODAY())</f>
        <v/>
      </c>
      <c r="J642" s="17" t="str">
        <f aca="false">IF(I642="","",IF(I642&lt;0,"Vadesi geçti",IF(I642&lt;=7,"Bu hafta","")))</f>
        <v/>
      </c>
      <c r="K642" s="19" t="n">
        <f aca="false">IF(H642="Bekliyor",G642,0)</f>
        <v>0</v>
      </c>
    </row>
    <row r="643" customFormat="false" ht="15" hidden="false" customHeight="false" outlineLevel="0" collapsed="false">
      <c r="A643" s="12"/>
      <c r="B643" s="12"/>
      <c r="C643" s="13"/>
      <c r="D643" s="13"/>
      <c r="E643" s="13"/>
      <c r="F643" s="14"/>
      <c r="G643" s="15"/>
      <c r="H643" s="12"/>
      <c r="I643" s="16" t="str">
        <f aca="true">IF(OR(F643="",H643&lt;&gt;"Bekliyor"),"",F643-TODAY())</f>
        <v/>
      </c>
      <c r="J643" s="17" t="str">
        <f aca="false">IF(I643="","",IF(I643&lt;0,"Vadesi geçti",IF(I643&lt;=7,"Bu hafta","")))</f>
        <v/>
      </c>
      <c r="K643" s="19" t="n">
        <f aca="false">IF(H643="Bekliyor",G643,0)</f>
        <v>0</v>
      </c>
    </row>
    <row r="644" customFormat="false" ht="15" hidden="false" customHeight="false" outlineLevel="0" collapsed="false">
      <c r="A644" s="12"/>
      <c r="B644" s="12"/>
      <c r="C644" s="13"/>
      <c r="D644" s="13"/>
      <c r="E644" s="13"/>
      <c r="F644" s="14"/>
      <c r="G644" s="15"/>
      <c r="H644" s="12"/>
      <c r="I644" s="16" t="str">
        <f aca="true">IF(OR(F644="",H644&lt;&gt;"Bekliyor"),"",F644-TODAY())</f>
        <v/>
      </c>
      <c r="J644" s="17" t="str">
        <f aca="false">IF(I644="","",IF(I644&lt;0,"Vadesi geçti",IF(I644&lt;=7,"Bu hafta","")))</f>
        <v/>
      </c>
      <c r="K644" s="19" t="n">
        <f aca="false">IF(H644="Bekliyor",G644,0)</f>
        <v>0</v>
      </c>
    </row>
    <row r="645" customFormat="false" ht="15" hidden="false" customHeight="false" outlineLevel="0" collapsed="false">
      <c r="A645" s="12"/>
      <c r="B645" s="12"/>
      <c r="C645" s="13"/>
      <c r="D645" s="13"/>
      <c r="E645" s="13"/>
      <c r="F645" s="14"/>
      <c r="G645" s="15"/>
      <c r="H645" s="12"/>
      <c r="I645" s="16" t="str">
        <f aca="true">IF(OR(F645="",H645&lt;&gt;"Bekliyor"),"",F645-TODAY())</f>
        <v/>
      </c>
      <c r="J645" s="17" t="str">
        <f aca="false">IF(I645="","",IF(I645&lt;0,"Vadesi geçti",IF(I645&lt;=7,"Bu hafta","")))</f>
        <v/>
      </c>
      <c r="K645" s="19" t="n">
        <f aca="false">IF(H645="Bekliyor",G645,0)</f>
        <v>0</v>
      </c>
    </row>
    <row r="646" customFormat="false" ht="15" hidden="false" customHeight="false" outlineLevel="0" collapsed="false">
      <c r="A646" s="12"/>
      <c r="B646" s="12"/>
      <c r="C646" s="13"/>
      <c r="D646" s="13"/>
      <c r="E646" s="13"/>
      <c r="F646" s="14"/>
      <c r="G646" s="15"/>
      <c r="H646" s="12"/>
      <c r="I646" s="16" t="str">
        <f aca="true">IF(OR(F646="",H646&lt;&gt;"Bekliyor"),"",F646-TODAY())</f>
        <v/>
      </c>
      <c r="J646" s="17" t="str">
        <f aca="false">IF(I646="","",IF(I646&lt;0,"Vadesi geçti",IF(I646&lt;=7,"Bu hafta","")))</f>
        <v/>
      </c>
      <c r="K646" s="19" t="n">
        <f aca="false">IF(H646="Bekliyor",G646,0)</f>
        <v>0</v>
      </c>
    </row>
    <row r="647" customFormat="false" ht="15" hidden="false" customHeight="false" outlineLevel="0" collapsed="false">
      <c r="A647" s="12"/>
      <c r="B647" s="12"/>
      <c r="C647" s="13"/>
      <c r="D647" s="13"/>
      <c r="E647" s="13"/>
      <c r="F647" s="14"/>
      <c r="G647" s="15"/>
      <c r="H647" s="12"/>
      <c r="I647" s="16" t="str">
        <f aca="true">IF(OR(F647="",H647&lt;&gt;"Bekliyor"),"",F647-TODAY())</f>
        <v/>
      </c>
      <c r="J647" s="17" t="str">
        <f aca="false">IF(I647="","",IF(I647&lt;0,"Vadesi geçti",IF(I647&lt;=7,"Bu hafta","")))</f>
        <v/>
      </c>
      <c r="K647" s="19" t="n">
        <f aca="false">IF(H647="Bekliyor",G647,0)</f>
        <v>0</v>
      </c>
    </row>
    <row r="648" customFormat="false" ht="15" hidden="false" customHeight="false" outlineLevel="0" collapsed="false">
      <c r="A648" s="12"/>
      <c r="B648" s="12"/>
      <c r="C648" s="13"/>
      <c r="D648" s="13"/>
      <c r="E648" s="13"/>
      <c r="F648" s="14"/>
      <c r="G648" s="15"/>
      <c r="H648" s="12"/>
      <c r="I648" s="16" t="str">
        <f aca="true">IF(OR(F648="",H648&lt;&gt;"Bekliyor"),"",F648-TODAY())</f>
        <v/>
      </c>
      <c r="J648" s="17" t="str">
        <f aca="false">IF(I648="","",IF(I648&lt;0,"Vadesi geçti",IF(I648&lt;=7,"Bu hafta","")))</f>
        <v/>
      </c>
      <c r="K648" s="19" t="n">
        <f aca="false">IF(H648="Bekliyor",G648,0)</f>
        <v>0</v>
      </c>
    </row>
    <row r="649" customFormat="false" ht="15" hidden="false" customHeight="false" outlineLevel="0" collapsed="false">
      <c r="A649" s="12"/>
      <c r="B649" s="12"/>
      <c r="C649" s="13"/>
      <c r="D649" s="13"/>
      <c r="E649" s="13"/>
      <c r="F649" s="14"/>
      <c r="G649" s="15"/>
      <c r="H649" s="12"/>
      <c r="I649" s="16" t="str">
        <f aca="true">IF(OR(F649="",H649&lt;&gt;"Bekliyor"),"",F649-TODAY())</f>
        <v/>
      </c>
      <c r="J649" s="17" t="str">
        <f aca="false">IF(I649="","",IF(I649&lt;0,"Vadesi geçti",IF(I649&lt;=7,"Bu hafta","")))</f>
        <v/>
      </c>
      <c r="K649" s="19" t="n">
        <f aca="false">IF(H649="Bekliyor",G649,0)</f>
        <v>0</v>
      </c>
    </row>
    <row r="650" customFormat="false" ht="15" hidden="false" customHeight="false" outlineLevel="0" collapsed="false">
      <c r="A650" s="12"/>
      <c r="B650" s="12"/>
      <c r="C650" s="13"/>
      <c r="D650" s="13"/>
      <c r="E650" s="13"/>
      <c r="F650" s="14"/>
      <c r="G650" s="15"/>
      <c r="H650" s="12"/>
      <c r="I650" s="16" t="str">
        <f aca="true">IF(OR(F650="",H650&lt;&gt;"Bekliyor"),"",F650-TODAY())</f>
        <v/>
      </c>
      <c r="J650" s="17" t="str">
        <f aca="false">IF(I650="","",IF(I650&lt;0,"Vadesi geçti",IF(I650&lt;=7,"Bu hafta","")))</f>
        <v/>
      </c>
      <c r="K650" s="19" t="n">
        <f aca="false">IF(H650="Bekliyor",G650,0)</f>
        <v>0</v>
      </c>
    </row>
    <row r="651" customFormat="false" ht="15" hidden="false" customHeight="false" outlineLevel="0" collapsed="false">
      <c r="A651" s="12"/>
      <c r="B651" s="12"/>
      <c r="C651" s="13"/>
      <c r="D651" s="13"/>
      <c r="E651" s="13"/>
      <c r="F651" s="14"/>
      <c r="G651" s="15"/>
      <c r="H651" s="12"/>
      <c r="I651" s="16" t="str">
        <f aca="true">IF(OR(F651="",H651&lt;&gt;"Bekliyor"),"",F651-TODAY())</f>
        <v/>
      </c>
      <c r="J651" s="17" t="str">
        <f aca="false">IF(I651="","",IF(I651&lt;0,"Vadesi geçti",IF(I651&lt;=7,"Bu hafta","")))</f>
        <v/>
      </c>
      <c r="K651" s="19" t="n">
        <f aca="false">IF(H651="Bekliyor",G651,0)</f>
        <v>0</v>
      </c>
    </row>
    <row r="652" customFormat="false" ht="15" hidden="false" customHeight="false" outlineLevel="0" collapsed="false">
      <c r="A652" s="12"/>
      <c r="B652" s="12"/>
      <c r="C652" s="13"/>
      <c r="D652" s="13"/>
      <c r="E652" s="13"/>
      <c r="F652" s="14"/>
      <c r="G652" s="15"/>
      <c r="H652" s="12"/>
      <c r="I652" s="16" t="str">
        <f aca="true">IF(OR(F652="",H652&lt;&gt;"Bekliyor"),"",F652-TODAY())</f>
        <v/>
      </c>
      <c r="J652" s="17" t="str">
        <f aca="false">IF(I652="","",IF(I652&lt;0,"Vadesi geçti",IF(I652&lt;=7,"Bu hafta","")))</f>
        <v/>
      </c>
      <c r="K652" s="19" t="n">
        <f aca="false">IF(H652="Bekliyor",G652,0)</f>
        <v>0</v>
      </c>
    </row>
    <row r="653" customFormat="false" ht="15" hidden="false" customHeight="false" outlineLevel="0" collapsed="false">
      <c r="A653" s="12"/>
      <c r="B653" s="12"/>
      <c r="C653" s="13"/>
      <c r="D653" s="13"/>
      <c r="E653" s="13"/>
      <c r="F653" s="14"/>
      <c r="G653" s="15"/>
      <c r="H653" s="12"/>
      <c r="I653" s="16" t="str">
        <f aca="true">IF(OR(F653="",H653&lt;&gt;"Bekliyor"),"",F653-TODAY())</f>
        <v/>
      </c>
      <c r="J653" s="17" t="str">
        <f aca="false">IF(I653="","",IF(I653&lt;0,"Vadesi geçti",IF(I653&lt;=7,"Bu hafta","")))</f>
        <v/>
      </c>
      <c r="K653" s="19" t="n">
        <f aca="false">IF(H653="Bekliyor",G653,0)</f>
        <v>0</v>
      </c>
    </row>
    <row r="654" customFormat="false" ht="15" hidden="false" customHeight="false" outlineLevel="0" collapsed="false">
      <c r="A654" s="12"/>
      <c r="B654" s="12"/>
      <c r="C654" s="13"/>
      <c r="D654" s="13"/>
      <c r="E654" s="13"/>
      <c r="F654" s="14"/>
      <c r="G654" s="15"/>
      <c r="H654" s="12"/>
      <c r="I654" s="16" t="str">
        <f aca="true">IF(OR(F654="",H654&lt;&gt;"Bekliyor"),"",F654-TODAY())</f>
        <v/>
      </c>
      <c r="J654" s="17" t="str">
        <f aca="false">IF(I654="","",IF(I654&lt;0,"Vadesi geçti",IF(I654&lt;=7,"Bu hafta","")))</f>
        <v/>
      </c>
      <c r="K654" s="19" t="n">
        <f aca="false">IF(H654="Bekliyor",G654,0)</f>
        <v>0</v>
      </c>
    </row>
    <row r="655" customFormat="false" ht="15" hidden="false" customHeight="false" outlineLevel="0" collapsed="false">
      <c r="A655" s="12"/>
      <c r="B655" s="12"/>
      <c r="C655" s="13"/>
      <c r="D655" s="13"/>
      <c r="E655" s="13"/>
      <c r="F655" s="14"/>
      <c r="G655" s="15"/>
      <c r="H655" s="12"/>
      <c r="I655" s="16" t="str">
        <f aca="true">IF(OR(F655="",H655&lt;&gt;"Bekliyor"),"",F655-TODAY())</f>
        <v/>
      </c>
      <c r="J655" s="17" t="str">
        <f aca="false">IF(I655="","",IF(I655&lt;0,"Vadesi geçti",IF(I655&lt;=7,"Bu hafta","")))</f>
        <v/>
      </c>
      <c r="K655" s="19" t="n">
        <f aca="false">IF(H655="Bekliyor",G655,0)</f>
        <v>0</v>
      </c>
    </row>
    <row r="656" customFormat="false" ht="15" hidden="false" customHeight="false" outlineLevel="0" collapsed="false">
      <c r="A656" s="12"/>
      <c r="B656" s="12"/>
      <c r="C656" s="13"/>
      <c r="D656" s="13"/>
      <c r="E656" s="13"/>
      <c r="F656" s="14"/>
      <c r="G656" s="15"/>
      <c r="H656" s="12"/>
      <c r="I656" s="16" t="str">
        <f aca="true">IF(OR(F656="",H656&lt;&gt;"Bekliyor"),"",F656-TODAY())</f>
        <v/>
      </c>
      <c r="J656" s="17" t="str">
        <f aca="false">IF(I656="","",IF(I656&lt;0,"Vadesi geçti",IF(I656&lt;=7,"Bu hafta","")))</f>
        <v/>
      </c>
      <c r="K656" s="19" t="n">
        <f aca="false">IF(H656="Bekliyor",G656,0)</f>
        <v>0</v>
      </c>
    </row>
    <row r="657" customFormat="false" ht="15" hidden="false" customHeight="false" outlineLevel="0" collapsed="false">
      <c r="A657" s="12"/>
      <c r="B657" s="12"/>
      <c r="C657" s="13"/>
      <c r="D657" s="13"/>
      <c r="E657" s="13"/>
      <c r="F657" s="14"/>
      <c r="G657" s="15"/>
      <c r="H657" s="12"/>
      <c r="I657" s="16" t="str">
        <f aca="true">IF(OR(F657="",H657&lt;&gt;"Bekliyor"),"",F657-TODAY())</f>
        <v/>
      </c>
      <c r="J657" s="17" t="str">
        <f aca="false">IF(I657="","",IF(I657&lt;0,"Vadesi geçti",IF(I657&lt;=7,"Bu hafta","")))</f>
        <v/>
      </c>
      <c r="K657" s="19" t="n">
        <f aca="false">IF(H657="Bekliyor",G657,0)</f>
        <v>0</v>
      </c>
    </row>
    <row r="658" customFormat="false" ht="15" hidden="false" customHeight="false" outlineLevel="0" collapsed="false">
      <c r="A658" s="12"/>
      <c r="B658" s="12"/>
      <c r="C658" s="13"/>
      <c r="D658" s="13"/>
      <c r="E658" s="13"/>
      <c r="F658" s="14"/>
      <c r="G658" s="15"/>
      <c r="H658" s="12"/>
      <c r="I658" s="16" t="str">
        <f aca="true">IF(OR(F658="",H658&lt;&gt;"Bekliyor"),"",F658-TODAY())</f>
        <v/>
      </c>
      <c r="J658" s="17" t="str">
        <f aca="false">IF(I658="","",IF(I658&lt;0,"Vadesi geçti",IF(I658&lt;=7,"Bu hafta","")))</f>
        <v/>
      </c>
      <c r="K658" s="19" t="n">
        <f aca="false">IF(H658="Bekliyor",G658,0)</f>
        <v>0</v>
      </c>
    </row>
    <row r="659" customFormat="false" ht="15" hidden="false" customHeight="false" outlineLevel="0" collapsed="false">
      <c r="A659" s="12"/>
      <c r="B659" s="12"/>
      <c r="C659" s="13"/>
      <c r="D659" s="13"/>
      <c r="E659" s="13"/>
      <c r="F659" s="14"/>
      <c r="G659" s="15"/>
      <c r="H659" s="12"/>
      <c r="I659" s="16" t="str">
        <f aca="true">IF(OR(F659="",H659&lt;&gt;"Bekliyor"),"",F659-TODAY())</f>
        <v/>
      </c>
      <c r="J659" s="17" t="str">
        <f aca="false">IF(I659="","",IF(I659&lt;0,"Vadesi geçti",IF(I659&lt;=7,"Bu hafta","")))</f>
        <v/>
      </c>
      <c r="K659" s="19" t="n">
        <f aca="false">IF(H659="Bekliyor",G659,0)</f>
        <v>0</v>
      </c>
    </row>
    <row r="660" customFormat="false" ht="15" hidden="false" customHeight="false" outlineLevel="0" collapsed="false">
      <c r="A660" s="12"/>
      <c r="B660" s="12"/>
      <c r="C660" s="13"/>
      <c r="D660" s="13"/>
      <c r="E660" s="13"/>
      <c r="F660" s="14"/>
      <c r="G660" s="15"/>
      <c r="H660" s="12"/>
      <c r="I660" s="16" t="str">
        <f aca="true">IF(OR(F660="",H660&lt;&gt;"Bekliyor"),"",F660-TODAY())</f>
        <v/>
      </c>
      <c r="J660" s="17" t="str">
        <f aca="false">IF(I660="","",IF(I660&lt;0,"Vadesi geçti",IF(I660&lt;=7,"Bu hafta","")))</f>
        <v/>
      </c>
      <c r="K660" s="19" t="n">
        <f aca="false">IF(H660="Bekliyor",G660,0)</f>
        <v>0</v>
      </c>
    </row>
    <row r="661" customFormat="false" ht="15" hidden="false" customHeight="false" outlineLevel="0" collapsed="false">
      <c r="A661" s="12"/>
      <c r="B661" s="12"/>
      <c r="C661" s="13"/>
      <c r="D661" s="13"/>
      <c r="E661" s="13"/>
      <c r="F661" s="14"/>
      <c r="G661" s="15"/>
      <c r="H661" s="12"/>
      <c r="I661" s="16" t="str">
        <f aca="true">IF(OR(F661="",H661&lt;&gt;"Bekliyor"),"",F661-TODAY())</f>
        <v/>
      </c>
      <c r="J661" s="17" t="str">
        <f aca="false">IF(I661="","",IF(I661&lt;0,"Vadesi geçti",IF(I661&lt;=7,"Bu hafta","")))</f>
        <v/>
      </c>
      <c r="K661" s="19" t="n">
        <f aca="false">IF(H661="Bekliyor",G661,0)</f>
        <v>0</v>
      </c>
    </row>
    <row r="662" customFormat="false" ht="15" hidden="false" customHeight="false" outlineLevel="0" collapsed="false">
      <c r="A662" s="12"/>
      <c r="B662" s="12"/>
      <c r="C662" s="13"/>
      <c r="D662" s="13"/>
      <c r="E662" s="13"/>
      <c r="F662" s="14"/>
      <c r="G662" s="15"/>
      <c r="H662" s="12"/>
      <c r="I662" s="16" t="str">
        <f aca="true">IF(OR(F662="",H662&lt;&gt;"Bekliyor"),"",F662-TODAY())</f>
        <v/>
      </c>
      <c r="J662" s="17" t="str">
        <f aca="false">IF(I662="","",IF(I662&lt;0,"Vadesi geçti",IF(I662&lt;=7,"Bu hafta","")))</f>
        <v/>
      </c>
      <c r="K662" s="19" t="n">
        <f aca="false">IF(H662="Bekliyor",G662,0)</f>
        <v>0</v>
      </c>
    </row>
    <row r="663" customFormat="false" ht="15" hidden="false" customHeight="false" outlineLevel="0" collapsed="false">
      <c r="A663" s="12"/>
      <c r="B663" s="12"/>
      <c r="C663" s="13"/>
      <c r="D663" s="13"/>
      <c r="E663" s="13"/>
      <c r="F663" s="14"/>
      <c r="G663" s="15"/>
      <c r="H663" s="12"/>
      <c r="I663" s="16" t="str">
        <f aca="true">IF(OR(F663="",H663&lt;&gt;"Bekliyor"),"",F663-TODAY())</f>
        <v/>
      </c>
      <c r="J663" s="17" t="str">
        <f aca="false">IF(I663="","",IF(I663&lt;0,"Vadesi geçti",IF(I663&lt;=7,"Bu hafta","")))</f>
        <v/>
      </c>
      <c r="K663" s="19" t="n">
        <f aca="false">IF(H663="Bekliyor",G663,0)</f>
        <v>0</v>
      </c>
    </row>
    <row r="664" customFormat="false" ht="15" hidden="false" customHeight="false" outlineLevel="0" collapsed="false">
      <c r="A664" s="12"/>
      <c r="B664" s="12"/>
      <c r="C664" s="13"/>
      <c r="D664" s="13"/>
      <c r="E664" s="13"/>
      <c r="F664" s="14"/>
      <c r="G664" s="15"/>
      <c r="H664" s="12"/>
      <c r="I664" s="16" t="str">
        <f aca="true">IF(OR(F664="",H664&lt;&gt;"Bekliyor"),"",F664-TODAY())</f>
        <v/>
      </c>
      <c r="J664" s="17" t="str">
        <f aca="false">IF(I664="","",IF(I664&lt;0,"Vadesi geçti",IF(I664&lt;=7,"Bu hafta","")))</f>
        <v/>
      </c>
      <c r="K664" s="19" t="n">
        <f aca="false">IF(H664="Bekliyor",G664,0)</f>
        <v>0</v>
      </c>
    </row>
    <row r="665" customFormat="false" ht="15" hidden="false" customHeight="false" outlineLevel="0" collapsed="false">
      <c r="A665" s="12"/>
      <c r="B665" s="12"/>
      <c r="C665" s="13"/>
      <c r="D665" s="13"/>
      <c r="E665" s="13"/>
      <c r="F665" s="14"/>
      <c r="G665" s="15"/>
      <c r="H665" s="12"/>
      <c r="I665" s="16" t="str">
        <f aca="true">IF(OR(F665="",H665&lt;&gt;"Bekliyor"),"",F665-TODAY())</f>
        <v/>
      </c>
      <c r="J665" s="17" t="str">
        <f aca="false">IF(I665="","",IF(I665&lt;0,"Vadesi geçti",IF(I665&lt;=7,"Bu hafta","")))</f>
        <v/>
      </c>
      <c r="K665" s="19" t="n">
        <f aca="false">IF(H665="Bekliyor",G665,0)</f>
        <v>0</v>
      </c>
    </row>
    <row r="666" customFormat="false" ht="15" hidden="false" customHeight="false" outlineLevel="0" collapsed="false">
      <c r="A666" s="12"/>
      <c r="B666" s="12"/>
      <c r="C666" s="13"/>
      <c r="D666" s="13"/>
      <c r="E666" s="13"/>
      <c r="F666" s="14"/>
      <c r="G666" s="15"/>
      <c r="H666" s="12"/>
      <c r="I666" s="16" t="str">
        <f aca="true">IF(OR(F666="",H666&lt;&gt;"Bekliyor"),"",F666-TODAY())</f>
        <v/>
      </c>
      <c r="J666" s="17" t="str">
        <f aca="false">IF(I666="","",IF(I666&lt;0,"Vadesi geçti",IF(I666&lt;=7,"Bu hafta","")))</f>
        <v/>
      </c>
      <c r="K666" s="19" t="n">
        <f aca="false">IF(H666="Bekliyor",G666,0)</f>
        <v>0</v>
      </c>
    </row>
    <row r="667" customFormat="false" ht="15" hidden="false" customHeight="false" outlineLevel="0" collapsed="false">
      <c r="A667" s="12"/>
      <c r="B667" s="12"/>
      <c r="C667" s="13"/>
      <c r="D667" s="13"/>
      <c r="E667" s="13"/>
      <c r="F667" s="14"/>
      <c r="G667" s="15"/>
      <c r="H667" s="12"/>
      <c r="I667" s="16" t="str">
        <f aca="true">IF(OR(F667="",H667&lt;&gt;"Bekliyor"),"",F667-TODAY())</f>
        <v/>
      </c>
      <c r="J667" s="17" t="str">
        <f aca="false">IF(I667="","",IF(I667&lt;0,"Vadesi geçti",IF(I667&lt;=7,"Bu hafta","")))</f>
        <v/>
      </c>
      <c r="K667" s="19" t="n">
        <f aca="false">IF(H667="Bekliyor",G667,0)</f>
        <v>0</v>
      </c>
    </row>
    <row r="668" customFormat="false" ht="15" hidden="false" customHeight="false" outlineLevel="0" collapsed="false">
      <c r="A668" s="12"/>
      <c r="B668" s="12"/>
      <c r="C668" s="13"/>
      <c r="D668" s="13"/>
      <c r="E668" s="13"/>
      <c r="F668" s="14"/>
      <c r="G668" s="15"/>
      <c r="H668" s="12"/>
      <c r="I668" s="16" t="str">
        <f aca="true">IF(OR(F668="",H668&lt;&gt;"Bekliyor"),"",F668-TODAY())</f>
        <v/>
      </c>
      <c r="J668" s="17" t="str">
        <f aca="false">IF(I668="","",IF(I668&lt;0,"Vadesi geçti",IF(I668&lt;=7,"Bu hafta","")))</f>
        <v/>
      </c>
      <c r="K668" s="19" t="n">
        <f aca="false">IF(H668="Bekliyor",G668,0)</f>
        <v>0</v>
      </c>
    </row>
    <row r="669" customFormat="false" ht="15" hidden="false" customHeight="false" outlineLevel="0" collapsed="false">
      <c r="A669" s="12"/>
      <c r="B669" s="12"/>
      <c r="C669" s="13"/>
      <c r="D669" s="13"/>
      <c r="E669" s="13"/>
      <c r="F669" s="14"/>
      <c r="G669" s="15"/>
      <c r="H669" s="12"/>
      <c r="I669" s="16" t="str">
        <f aca="true">IF(OR(F669="",H669&lt;&gt;"Bekliyor"),"",F669-TODAY())</f>
        <v/>
      </c>
      <c r="J669" s="17" t="str">
        <f aca="false">IF(I669="","",IF(I669&lt;0,"Vadesi geçti",IF(I669&lt;=7,"Bu hafta","")))</f>
        <v/>
      </c>
      <c r="K669" s="19" t="n">
        <f aca="false">IF(H669="Bekliyor",G669,0)</f>
        <v>0</v>
      </c>
    </row>
    <row r="670" customFormat="false" ht="15" hidden="false" customHeight="false" outlineLevel="0" collapsed="false">
      <c r="A670" s="12"/>
      <c r="B670" s="12"/>
      <c r="C670" s="13"/>
      <c r="D670" s="13"/>
      <c r="E670" s="13"/>
      <c r="F670" s="14"/>
      <c r="G670" s="15"/>
      <c r="H670" s="12"/>
      <c r="I670" s="16" t="str">
        <f aca="true">IF(OR(F670="",H670&lt;&gt;"Bekliyor"),"",F670-TODAY())</f>
        <v/>
      </c>
      <c r="J670" s="17" t="str">
        <f aca="false">IF(I670="","",IF(I670&lt;0,"Vadesi geçti",IF(I670&lt;=7,"Bu hafta","")))</f>
        <v/>
      </c>
      <c r="K670" s="19" t="n">
        <f aca="false">IF(H670="Bekliyor",G670,0)</f>
        <v>0</v>
      </c>
    </row>
    <row r="671" customFormat="false" ht="15" hidden="false" customHeight="false" outlineLevel="0" collapsed="false">
      <c r="A671" s="12"/>
      <c r="B671" s="12"/>
      <c r="C671" s="13"/>
      <c r="D671" s="13"/>
      <c r="E671" s="13"/>
      <c r="F671" s="14"/>
      <c r="G671" s="15"/>
      <c r="H671" s="12"/>
      <c r="I671" s="16" t="str">
        <f aca="true">IF(OR(F671="",H671&lt;&gt;"Bekliyor"),"",F671-TODAY())</f>
        <v/>
      </c>
      <c r="J671" s="17" t="str">
        <f aca="false">IF(I671="","",IF(I671&lt;0,"Vadesi geçti",IF(I671&lt;=7,"Bu hafta","")))</f>
        <v/>
      </c>
      <c r="K671" s="19" t="n">
        <f aca="false">IF(H671="Bekliyor",G671,0)</f>
        <v>0</v>
      </c>
    </row>
    <row r="672" customFormat="false" ht="15" hidden="false" customHeight="false" outlineLevel="0" collapsed="false">
      <c r="A672" s="12"/>
      <c r="B672" s="12"/>
      <c r="C672" s="13"/>
      <c r="D672" s="13"/>
      <c r="E672" s="13"/>
      <c r="F672" s="14"/>
      <c r="G672" s="15"/>
      <c r="H672" s="12"/>
      <c r="I672" s="16" t="str">
        <f aca="true">IF(OR(F672="",H672&lt;&gt;"Bekliyor"),"",F672-TODAY())</f>
        <v/>
      </c>
      <c r="J672" s="17" t="str">
        <f aca="false">IF(I672="","",IF(I672&lt;0,"Vadesi geçti",IF(I672&lt;=7,"Bu hafta","")))</f>
        <v/>
      </c>
      <c r="K672" s="19" t="n">
        <f aca="false">IF(H672="Bekliyor",G672,0)</f>
        <v>0</v>
      </c>
    </row>
    <row r="673" customFormat="false" ht="15" hidden="false" customHeight="false" outlineLevel="0" collapsed="false">
      <c r="A673" s="12"/>
      <c r="B673" s="12"/>
      <c r="C673" s="13"/>
      <c r="D673" s="13"/>
      <c r="E673" s="13"/>
      <c r="F673" s="14"/>
      <c r="G673" s="15"/>
      <c r="H673" s="12"/>
      <c r="I673" s="16" t="str">
        <f aca="true">IF(OR(F673="",H673&lt;&gt;"Bekliyor"),"",F673-TODAY())</f>
        <v/>
      </c>
      <c r="J673" s="17" t="str">
        <f aca="false">IF(I673="","",IF(I673&lt;0,"Vadesi geçti",IF(I673&lt;=7,"Bu hafta","")))</f>
        <v/>
      </c>
      <c r="K673" s="19" t="n">
        <f aca="false">IF(H673="Bekliyor",G673,0)</f>
        <v>0</v>
      </c>
    </row>
    <row r="674" customFormat="false" ht="15" hidden="false" customHeight="false" outlineLevel="0" collapsed="false">
      <c r="A674" s="12"/>
      <c r="B674" s="12"/>
      <c r="C674" s="13"/>
      <c r="D674" s="13"/>
      <c r="E674" s="13"/>
      <c r="F674" s="14"/>
      <c r="G674" s="15"/>
      <c r="H674" s="12"/>
      <c r="I674" s="16" t="str">
        <f aca="true">IF(OR(F674="",H674&lt;&gt;"Bekliyor"),"",F674-TODAY())</f>
        <v/>
      </c>
      <c r="J674" s="17" t="str">
        <f aca="false">IF(I674="","",IF(I674&lt;0,"Vadesi geçti",IF(I674&lt;=7,"Bu hafta","")))</f>
        <v/>
      </c>
      <c r="K674" s="19" t="n">
        <f aca="false">IF(H674="Bekliyor",G674,0)</f>
        <v>0</v>
      </c>
    </row>
    <row r="675" customFormat="false" ht="15" hidden="false" customHeight="false" outlineLevel="0" collapsed="false">
      <c r="A675" s="12"/>
      <c r="B675" s="12"/>
      <c r="C675" s="13"/>
      <c r="D675" s="13"/>
      <c r="E675" s="13"/>
      <c r="F675" s="14"/>
      <c r="G675" s="15"/>
      <c r="H675" s="12"/>
      <c r="I675" s="16" t="str">
        <f aca="true">IF(OR(F675="",H675&lt;&gt;"Bekliyor"),"",F675-TODAY())</f>
        <v/>
      </c>
      <c r="J675" s="17" t="str">
        <f aca="false">IF(I675="","",IF(I675&lt;0,"Vadesi geçti",IF(I675&lt;=7,"Bu hafta","")))</f>
        <v/>
      </c>
      <c r="K675" s="19" t="n">
        <f aca="false">IF(H675="Bekliyor",G675,0)</f>
        <v>0</v>
      </c>
    </row>
    <row r="676" customFormat="false" ht="15" hidden="false" customHeight="false" outlineLevel="0" collapsed="false">
      <c r="A676" s="12"/>
      <c r="B676" s="12"/>
      <c r="C676" s="13"/>
      <c r="D676" s="13"/>
      <c r="E676" s="13"/>
      <c r="F676" s="14"/>
      <c r="G676" s="15"/>
      <c r="H676" s="12"/>
      <c r="I676" s="16" t="str">
        <f aca="true">IF(OR(F676="",H676&lt;&gt;"Bekliyor"),"",F676-TODAY())</f>
        <v/>
      </c>
      <c r="J676" s="17" t="str">
        <f aca="false">IF(I676="","",IF(I676&lt;0,"Vadesi geçti",IF(I676&lt;=7,"Bu hafta","")))</f>
        <v/>
      </c>
      <c r="K676" s="19" t="n">
        <f aca="false">IF(H676="Bekliyor",G676,0)</f>
        <v>0</v>
      </c>
    </row>
    <row r="677" customFormat="false" ht="15" hidden="false" customHeight="false" outlineLevel="0" collapsed="false">
      <c r="A677" s="12"/>
      <c r="B677" s="12"/>
      <c r="C677" s="13"/>
      <c r="D677" s="13"/>
      <c r="E677" s="13"/>
      <c r="F677" s="14"/>
      <c r="G677" s="15"/>
      <c r="H677" s="12"/>
      <c r="I677" s="16" t="str">
        <f aca="true">IF(OR(F677="",H677&lt;&gt;"Bekliyor"),"",F677-TODAY())</f>
        <v/>
      </c>
      <c r="J677" s="17" t="str">
        <f aca="false">IF(I677="","",IF(I677&lt;0,"Vadesi geçti",IF(I677&lt;=7,"Bu hafta","")))</f>
        <v/>
      </c>
      <c r="K677" s="19" t="n">
        <f aca="false">IF(H677="Bekliyor",G677,0)</f>
        <v>0</v>
      </c>
    </row>
    <row r="678" customFormat="false" ht="15" hidden="false" customHeight="false" outlineLevel="0" collapsed="false">
      <c r="A678" s="12"/>
      <c r="B678" s="12"/>
      <c r="C678" s="13"/>
      <c r="D678" s="13"/>
      <c r="E678" s="13"/>
      <c r="F678" s="14"/>
      <c r="G678" s="15"/>
      <c r="H678" s="12"/>
      <c r="I678" s="16" t="str">
        <f aca="true">IF(OR(F678="",H678&lt;&gt;"Bekliyor"),"",F678-TODAY())</f>
        <v/>
      </c>
      <c r="J678" s="17" t="str">
        <f aca="false">IF(I678="","",IF(I678&lt;0,"Vadesi geçti",IF(I678&lt;=7,"Bu hafta","")))</f>
        <v/>
      </c>
      <c r="K678" s="19" t="n">
        <f aca="false">IF(H678="Bekliyor",G678,0)</f>
        <v>0</v>
      </c>
    </row>
    <row r="679" customFormat="false" ht="15" hidden="false" customHeight="false" outlineLevel="0" collapsed="false">
      <c r="A679" s="12"/>
      <c r="B679" s="12"/>
      <c r="C679" s="13"/>
      <c r="D679" s="13"/>
      <c r="E679" s="13"/>
      <c r="F679" s="14"/>
      <c r="G679" s="15"/>
      <c r="H679" s="12"/>
      <c r="I679" s="16" t="str">
        <f aca="true">IF(OR(F679="",H679&lt;&gt;"Bekliyor"),"",F679-TODAY())</f>
        <v/>
      </c>
      <c r="J679" s="17" t="str">
        <f aca="false">IF(I679="","",IF(I679&lt;0,"Vadesi geçti",IF(I679&lt;=7,"Bu hafta","")))</f>
        <v/>
      </c>
      <c r="K679" s="19" t="n">
        <f aca="false">IF(H679="Bekliyor",G679,0)</f>
        <v>0</v>
      </c>
    </row>
    <row r="680" customFormat="false" ht="15" hidden="false" customHeight="false" outlineLevel="0" collapsed="false">
      <c r="A680" s="12"/>
      <c r="B680" s="12"/>
      <c r="C680" s="13"/>
      <c r="D680" s="13"/>
      <c r="E680" s="13"/>
      <c r="F680" s="14"/>
      <c r="G680" s="15"/>
      <c r="H680" s="12"/>
      <c r="I680" s="16" t="str">
        <f aca="true">IF(OR(F680="",H680&lt;&gt;"Bekliyor"),"",F680-TODAY())</f>
        <v/>
      </c>
      <c r="J680" s="17" t="str">
        <f aca="false">IF(I680="","",IF(I680&lt;0,"Vadesi geçti",IF(I680&lt;=7,"Bu hafta","")))</f>
        <v/>
      </c>
      <c r="K680" s="19" t="n">
        <f aca="false">IF(H680="Bekliyor",G680,0)</f>
        <v>0</v>
      </c>
    </row>
    <row r="681" customFormat="false" ht="15" hidden="false" customHeight="false" outlineLevel="0" collapsed="false">
      <c r="A681" s="12"/>
      <c r="B681" s="12"/>
      <c r="C681" s="13"/>
      <c r="D681" s="13"/>
      <c r="E681" s="13"/>
      <c r="F681" s="14"/>
      <c r="G681" s="15"/>
      <c r="H681" s="12"/>
      <c r="I681" s="16" t="str">
        <f aca="true">IF(OR(F681="",H681&lt;&gt;"Bekliyor"),"",F681-TODAY())</f>
        <v/>
      </c>
      <c r="J681" s="17" t="str">
        <f aca="false">IF(I681="","",IF(I681&lt;0,"Vadesi geçti",IF(I681&lt;=7,"Bu hafta","")))</f>
        <v/>
      </c>
      <c r="K681" s="19" t="n">
        <f aca="false">IF(H681="Bekliyor",G681,0)</f>
        <v>0</v>
      </c>
    </row>
    <row r="682" customFormat="false" ht="15" hidden="false" customHeight="false" outlineLevel="0" collapsed="false">
      <c r="A682" s="12"/>
      <c r="B682" s="12"/>
      <c r="C682" s="13"/>
      <c r="D682" s="13"/>
      <c r="E682" s="13"/>
      <c r="F682" s="14"/>
      <c r="G682" s="15"/>
      <c r="H682" s="12"/>
      <c r="I682" s="16" t="str">
        <f aca="true">IF(OR(F682="",H682&lt;&gt;"Bekliyor"),"",F682-TODAY())</f>
        <v/>
      </c>
      <c r="J682" s="17" t="str">
        <f aca="false">IF(I682="","",IF(I682&lt;0,"Vadesi geçti",IF(I682&lt;=7,"Bu hafta","")))</f>
        <v/>
      </c>
      <c r="K682" s="19" t="n">
        <f aca="false">IF(H682="Bekliyor",G682,0)</f>
        <v>0</v>
      </c>
    </row>
    <row r="683" customFormat="false" ht="15" hidden="false" customHeight="false" outlineLevel="0" collapsed="false">
      <c r="A683" s="12"/>
      <c r="B683" s="12"/>
      <c r="C683" s="13"/>
      <c r="D683" s="13"/>
      <c r="E683" s="13"/>
      <c r="F683" s="14"/>
      <c r="G683" s="15"/>
      <c r="H683" s="12"/>
      <c r="I683" s="16" t="str">
        <f aca="true">IF(OR(F683="",H683&lt;&gt;"Bekliyor"),"",F683-TODAY())</f>
        <v/>
      </c>
      <c r="J683" s="17" t="str">
        <f aca="false">IF(I683="","",IF(I683&lt;0,"Vadesi geçti",IF(I683&lt;=7,"Bu hafta","")))</f>
        <v/>
      </c>
      <c r="K683" s="19" t="n">
        <f aca="false">IF(H683="Bekliyor",G683,0)</f>
        <v>0</v>
      </c>
    </row>
    <row r="684" customFormat="false" ht="15" hidden="false" customHeight="false" outlineLevel="0" collapsed="false">
      <c r="A684" s="12"/>
      <c r="B684" s="12"/>
      <c r="C684" s="13"/>
      <c r="D684" s="13"/>
      <c r="E684" s="13"/>
      <c r="F684" s="14"/>
      <c r="G684" s="15"/>
      <c r="H684" s="12"/>
      <c r="I684" s="16" t="str">
        <f aca="true">IF(OR(F684="",H684&lt;&gt;"Bekliyor"),"",F684-TODAY())</f>
        <v/>
      </c>
      <c r="J684" s="17" t="str">
        <f aca="false">IF(I684="","",IF(I684&lt;0,"Vadesi geçti",IF(I684&lt;=7,"Bu hafta","")))</f>
        <v/>
      </c>
      <c r="K684" s="19" t="n">
        <f aca="false">IF(H684="Bekliyor",G684,0)</f>
        <v>0</v>
      </c>
    </row>
    <row r="685" customFormat="false" ht="15" hidden="false" customHeight="false" outlineLevel="0" collapsed="false">
      <c r="A685" s="12"/>
      <c r="B685" s="12"/>
      <c r="C685" s="13"/>
      <c r="D685" s="13"/>
      <c r="E685" s="13"/>
      <c r="F685" s="14"/>
      <c r="G685" s="15"/>
      <c r="H685" s="12"/>
      <c r="I685" s="16" t="str">
        <f aca="true">IF(OR(F685="",H685&lt;&gt;"Bekliyor"),"",F685-TODAY())</f>
        <v/>
      </c>
      <c r="J685" s="17" t="str">
        <f aca="false">IF(I685="","",IF(I685&lt;0,"Vadesi geçti",IF(I685&lt;=7,"Bu hafta","")))</f>
        <v/>
      </c>
      <c r="K685" s="19" t="n">
        <f aca="false">IF(H685="Bekliyor",G685,0)</f>
        <v>0</v>
      </c>
    </row>
    <row r="686" customFormat="false" ht="15" hidden="false" customHeight="false" outlineLevel="0" collapsed="false">
      <c r="A686" s="12"/>
      <c r="B686" s="12"/>
      <c r="C686" s="13"/>
      <c r="D686" s="13"/>
      <c r="E686" s="13"/>
      <c r="F686" s="14"/>
      <c r="G686" s="15"/>
      <c r="H686" s="12"/>
      <c r="I686" s="16" t="str">
        <f aca="true">IF(OR(F686="",H686&lt;&gt;"Bekliyor"),"",F686-TODAY())</f>
        <v/>
      </c>
      <c r="J686" s="17" t="str">
        <f aca="false">IF(I686="","",IF(I686&lt;0,"Vadesi geçti",IF(I686&lt;=7,"Bu hafta","")))</f>
        <v/>
      </c>
      <c r="K686" s="19" t="n">
        <f aca="false">IF(H686="Bekliyor",G686,0)</f>
        <v>0</v>
      </c>
    </row>
    <row r="687" customFormat="false" ht="15" hidden="false" customHeight="false" outlineLevel="0" collapsed="false">
      <c r="A687" s="12"/>
      <c r="B687" s="12"/>
      <c r="C687" s="13"/>
      <c r="D687" s="13"/>
      <c r="E687" s="13"/>
      <c r="F687" s="14"/>
      <c r="G687" s="15"/>
      <c r="H687" s="12"/>
      <c r="I687" s="16" t="str">
        <f aca="true">IF(OR(F687="",H687&lt;&gt;"Bekliyor"),"",F687-TODAY())</f>
        <v/>
      </c>
      <c r="J687" s="17" t="str">
        <f aca="false">IF(I687="","",IF(I687&lt;0,"Vadesi geçti",IF(I687&lt;=7,"Bu hafta","")))</f>
        <v/>
      </c>
      <c r="K687" s="19" t="n">
        <f aca="false">IF(H687="Bekliyor",G687,0)</f>
        <v>0</v>
      </c>
    </row>
    <row r="688" customFormat="false" ht="15" hidden="false" customHeight="false" outlineLevel="0" collapsed="false">
      <c r="A688" s="12"/>
      <c r="B688" s="12"/>
      <c r="C688" s="13"/>
      <c r="D688" s="13"/>
      <c r="E688" s="13"/>
      <c r="F688" s="14"/>
      <c r="G688" s="15"/>
      <c r="H688" s="12"/>
      <c r="I688" s="16" t="str">
        <f aca="true">IF(OR(F688="",H688&lt;&gt;"Bekliyor"),"",F688-TODAY())</f>
        <v/>
      </c>
      <c r="J688" s="17" t="str">
        <f aca="false">IF(I688="","",IF(I688&lt;0,"Vadesi geçti",IF(I688&lt;=7,"Bu hafta","")))</f>
        <v/>
      </c>
      <c r="K688" s="19" t="n">
        <f aca="false">IF(H688="Bekliyor",G688,0)</f>
        <v>0</v>
      </c>
    </row>
    <row r="689" customFormat="false" ht="15" hidden="false" customHeight="false" outlineLevel="0" collapsed="false">
      <c r="A689" s="12"/>
      <c r="B689" s="12"/>
      <c r="C689" s="13"/>
      <c r="D689" s="13"/>
      <c r="E689" s="13"/>
      <c r="F689" s="14"/>
      <c r="G689" s="15"/>
      <c r="H689" s="12"/>
      <c r="I689" s="16" t="str">
        <f aca="true">IF(OR(F689="",H689&lt;&gt;"Bekliyor"),"",F689-TODAY())</f>
        <v/>
      </c>
      <c r="J689" s="17" t="str">
        <f aca="false">IF(I689="","",IF(I689&lt;0,"Vadesi geçti",IF(I689&lt;=7,"Bu hafta","")))</f>
        <v/>
      </c>
      <c r="K689" s="19" t="n">
        <f aca="false">IF(H689="Bekliyor",G689,0)</f>
        <v>0</v>
      </c>
    </row>
    <row r="690" customFormat="false" ht="15" hidden="false" customHeight="false" outlineLevel="0" collapsed="false">
      <c r="A690" s="12"/>
      <c r="B690" s="12"/>
      <c r="C690" s="13"/>
      <c r="D690" s="13"/>
      <c r="E690" s="13"/>
      <c r="F690" s="14"/>
      <c r="G690" s="15"/>
      <c r="H690" s="12"/>
      <c r="I690" s="16" t="str">
        <f aca="true">IF(OR(F690="",H690&lt;&gt;"Bekliyor"),"",F690-TODAY())</f>
        <v/>
      </c>
      <c r="J690" s="17" t="str">
        <f aca="false">IF(I690="","",IF(I690&lt;0,"Vadesi geçti",IF(I690&lt;=7,"Bu hafta","")))</f>
        <v/>
      </c>
      <c r="K690" s="19" t="n">
        <f aca="false">IF(H690="Bekliyor",G690,0)</f>
        <v>0</v>
      </c>
    </row>
    <row r="691" customFormat="false" ht="15" hidden="false" customHeight="false" outlineLevel="0" collapsed="false">
      <c r="A691" s="12"/>
      <c r="B691" s="12"/>
      <c r="C691" s="13"/>
      <c r="D691" s="13"/>
      <c r="E691" s="13"/>
      <c r="F691" s="14"/>
      <c r="G691" s="15"/>
      <c r="H691" s="12"/>
      <c r="I691" s="16" t="str">
        <f aca="true">IF(OR(F691="",H691&lt;&gt;"Bekliyor"),"",F691-TODAY())</f>
        <v/>
      </c>
      <c r="J691" s="17" t="str">
        <f aca="false">IF(I691="","",IF(I691&lt;0,"Vadesi geçti",IF(I691&lt;=7,"Bu hafta","")))</f>
        <v/>
      </c>
      <c r="K691" s="19" t="n">
        <f aca="false">IF(H691="Bekliyor",G691,0)</f>
        <v>0</v>
      </c>
    </row>
    <row r="692" customFormat="false" ht="15" hidden="false" customHeight="false" outlineLevel="0" collapsed="false">
      <c r="A692" s="12"/>
      <c r="B692" s="12"/>
      <c r="C692" s="13"/>
      <c r="D692" s="13"/>
      <c r="E692" s="13"/>
      <c r="F692" s="14"/>
      <c r="G692" s="15"/>
      <c r="H692" s="12"/>
      <c r="I692" s="16" t="str">
        <f aca="true">IF(OR(F692="",H692&lt;&gt;"Bekliyor"),"",F692-TODAY())</f>
        <v/>
      </c>
      <c r="J692" s="17" t="str">
        <f aca="false">IF(I692="","",IF(I692&lt;0,"Vadesi geçti",IF(I692&lt;=7,"Bu hafta","")))</f>
        <v/>
      </c>
      <c r="K692" s="19" t="n">
        <f aca="false">IF(H692="Bekliyor",G692,0)</f>
        <v>0</v>
      </c>
    </row>
    <row r="693" customFormat="false" ht="15" hidden="false" customHeight="false" outlineLevel="0" collapsed="false">
      <c r="A693" s="12"/>
      <c r="B693" s="12"/>
      <c r="C693" s="13"/>
      <c r="D693" s="13"/>
      <c r="E693" s="13"/>
      <c r="F693" s="14"/>
      <c r="G693" s="15"/>
      <c r="H693" s="12"/>
      <c r="I693" s="16" t="str">
        <f aca="true">IF(OR(F693="",H693&lt;&gt;"Bekliyor"),"",F693-TODAY())</f>
        <v/>
      </c>
      <c r="J693" s="17" t="str">
        <f aca="false">IF(I693="","",IF(I693&lt;0,"Vadesi geçti",IF(I693&lt;=7,"Bu hafta","")))</f>
        <v/>
      </c>
      <c r="K693" s="19" t="n">
        <f aca="false">IF(H693="Bekliyor",G693,0)</f>
        <v>0</v>
      </c>
    </row>
    <row r="694" customFormat="false" ht="15" hidden="false" customHeight="false" outlineLevel="0" collapsed="false">
      <c r="A694" s="12"/>
      <c r="B694" s="12"/>
      <c r="C694" s="13"/>
      <c r="D694" s="13"/>
      <c r="E694" s="13"/>
      <c r="F694" s="14"/>
      <c r="G694" s="15"/>
      <c r="H694" s="12"/>
      <c r="I694" s="16" t="str">
        <f aca="true">IF(OR(F694="",H694&lt;&gt;"Bekliyor"),"",F694-TODAY())</f>
        <v/>
      </c>
      <c r="J694" s="17" t="str">
        <f aca="false">IF(I694="","",IF(I694&lt;0,"Vadesi geçti",IF(I694&lt;=7,"Bu hafta","")))</f>
        <v/>
      </c>
      <c r="K694" s="19" t="n">
        <f aca="false">IF(H694="Bekliyor",G694,0)</f>
        <v>0</v>
      </c>
    </row>
    <row r="695" customFormat="false" ht="15" hidden="false" customHeight="false" outlineLevel="0" collapsed="false">
      <c r="A695" s="12"/>
      <c r="B695" s="12"/>
      <c r="C695" s="13"/>
      <c r="D695" s="13"/>
      <c r="E695" s="13"/>
      <c r="F695" s="14"/>
      <c r="G695" s="15"/>
      <c r="H695" s="12"/>
      <c r="I695" s="16" t="str">
        <f aca="true">IF(OR(F695="",H695&lt;&gt;"Bekliyor"),"",F695-TODAY())</f>
        <v/>
      </c>
      <c r="J695" s="17" t="str">
        <f aca="false">IF(I695="","",IF(I695&lt;0,"Vadesi geçti",IF(I695&lt;=7,"Bu hafta","")))</f>
        <v/>
      </c>
      <c r="K695" s="19" t="n">
        <f aca="false">IF(H695="Bekliyor",G695,0)</f>
        <v>0</v>
      </c>
    </row>
    <row r="696" customFormat="false" ht="15" hidden="false" customHeight="false" outlineLevel="0" collapsed="false">
      <c r="A696" s="12"/>
      <c r="B696" s="12"/>
      <c r="C696" s="13"/>
      <c r="D696" s="13"/>
      <c r="E696" s="13"/>
      <c r="F696" s="14"/>
      <c r="G696" s="15"/>
      <c r="H696" s="12"/>
      <c r="I696" s="16" t="str">
        <f aca="true">IF(OR(F696="",H696&lt;&gt;"Bekliyor"),"",F696-TODAY())</f>
        <v/>
      </c>
      <c r="J696" s="17" t="str">
        <f aca="false">IF(I696="","",IF(I696&lt;0,"Vadesi geçti",IF(I696&lt;=7,"Bu hafta","")))</f>
        <v/>
      </c>
      <c r="K696" s="19" t="n">
        <f aca="false">IF(H696="Bekliyor",G696,0)</f>
        <v>0</v>
      </c>
    </row>
    <row r="697" customFormat="false" ht="15" hidden="false" customHeight="false" outlineLevel="0" collapsed="false">
      <c r="A697" s="12"/>
      <c r="B697" s="12"/>
      <c r="C697" s="13"/>
      <c r="D697" s="13"/>
      <c r="E697" s="13"/>
      <c r="F697" s="14"/>
      <c r="G697" s="15"/>
      <c r="H697" s="12"/>
      <c r="I697" s="16" t="str">
        <f aca="true">IF(OR(F697="",H697&lt;&gt;"Bekliyor"),"",F697-TODAY())</f>
        <v/>
      </c>
      <c r="J697" s="17" t="str">
        <f aca="false">IF(I697="","",IF(I697&lt;0,"Vadesi geçti",IF(I697&lt;=7,"Bu hafta","")))</f>
        <v/>
      </c>
      <c r="K697" s="19" t="n">
        <f aca="false">IF(H697="Bekliyor",G697,0)</f>
        <v>0</v>
      </c>
    </row>
    <row r="698" customFormat="false" ht="15" hidden="false" customHeight="false" outlineLevel="0" collapsed="false">
      <c r="A698" s="12"/>
      <c r="B698" s="12"/>
      <c r="C698" s="13"/>
      <c r="D698" s="13"/>
      <c r="E698" s="13"/>
      <c r="F698" s="14"/>
      <c r="G698" s="15"/>
      <c r="H698" s="12"/>
      <c r="I698" s="16" t="str">
        <f aca="true">IF(OR(F698="",H698&lt;&gt;"Bekliyor"),"",F698-TODAY())</f>
        <v/>
      </c>
      <c r="J698" s="17" t="str">
        <f aca="false">IF(I698="","",IF(I698&lt;0,"Vadesi geçti",IF(I698&lt;=7,"Bu hafta","")))</f>
        <v/>
      </c>
      <c r="K698" s="19" t="n">
        <f aca="false">IF(H698="Bekliyor",G698,0)</f>
        <v>0</v>
      </c>
    </row>
    <row r="699" customFormat="false" ht="15" hidden="false" customHeight="false" outlineLevel="0" collapsed="false">
      <c r="A699" s="12"/>
      <c r="B699" s="12"/>
      <c r="C699" s="13"/>
      <c r="D699" s="13"/>
      <c r="E699" s="13"/>
      <c r="F699" s="14"/>
      <c r="G699" s="15"/>
      <c r="H699" s="12"/>
      <c r="I699" s="16" t="str">
        <f aca="true">IF(OR(F699="",H699&lt;&gt;"Bekliyor"),"",F699-TODAY())</f>
        <v/>
      </c>
      <c r="J699" s="17" t="str">
        <f aca="false">IF(I699="","",IF(I699&lt;0,"Vadesi geçti",IF(I699&lt;=7,"Bu hafta","")))</f>
        <v/>
      </c>
      <c r="K699" s="19" t="n">
        <f aca="false">IF(H699="Bekliyor",G699,0)</f>
        <v>0</v>
      </c>
    </row>
    <row r="700" customFormat="false" ht="15" hidden="false" customHeight="false" outlineLevel="0" collapsed="false">
      <c r="A700" s="12"/>
      <c r="B700" s="12"/>
      <c r="C700" s="13"/>
      <c r="D700" s="13"/>
      <c r="E700" s="13"/>
      <c r="F700" s="14"/>
      <c r="G700" s="15"/>
      <c r="H700" s="12"/>
      <c r="I700" s="16" t="str">
        <f aca="true">IF(OR(F700="",H700&lt;&gt;"Bekliyor"),"",F700-TODAY())</f>
        <v/>
      </c>
      <c r="J700" s="17" t="str">
        <f aca="false">IF(I700="","",IF(I700&lt;0,"Vadesi geçti",IF(I700&lt;=7,"Bu hafta","")))</f>
        <v/>
      </c>
      <c r="K700" s="19" t="n">
        <f aca="false">IF(H700="Bekliyor",G700,0)</f>
        <v>0</v>
      </c>
    </row>
    <row r="701" customFormat="false" ht="15" hidden="false" customHeight="false" outlineLevel="0" collapsed="false">
      <c r="A701" s="12"/>
      <c r="B701" s="12"/>
      <c r="C701" s="13"/>
      <c r="D701" s="13"/>
      <c r="E701" s="13"/>
      <c r="F701" s="14"/>
      <c r="G701" s="15"/>
      <c r="H701" s="12"/>
      <c r="I701" s="16" t="str">
        <f aca="true">IF(OR(F701="",H701&lt;&gt;"Bekliyor"),"",F701-TODAY())</f>
        <v/>
      </c>
      <c r="J701" s="17" t="str">
        <f aca="false">IF(I701="","",IF(I701&lt;0,"Vadesi geçti",IF(I701&lt;=7,"Bu hafta","")))</f>
        <v/>
      </c>
      <c r="K701" s="19" t="n">
        <f aca="false">IF(H701="Bekliyor",G701,0)</f>
        <v>0</v>
      </c>
    </row>
    <row r="702" customFormat="false" ht="15" hidden="false" customHeight="false" outlineLevel="0" collapsed="false">
      <c r="A702" s="12"/>
      <c r="B702" s="12"/>
      <c r="C702" s="13"/>
      <c r="D702" s="13"/>
      <c r="E702" s="13"/>
      <c r="F702" s="14"/>
      <c r="G702" s="15"/>
      <c r="H702" s="12"/>
      <c r="I702" s="16" t="str">
        <f aca="true">IF(OR(F702="",H702&lt;&gt;"Bekliyor"),"",F702-TODAY())</f>
        <v/>
      </c>
      <c r="J702" s="17" t="str">
        <f aca="false">IF(I702="","",IF(I702&lt;0,"Vadesi geçti",IF(I702&lt;=7,"Bu hafta","")))</f>
        <v/>
      </c>
      <c r="K702" s="19" t="n">
        <f aca="false">IF(H702="Bekliyor",G702,0)</f>
        <v>0</v>
      </c>
    </row>
    <row r="703" customFormat="false" ht="15" hidden="false" customHeight="false" outlineLevel="0" collapsed="false">
      <c r="A703" s="12"/>
      <c r="B703" s="12"/>
      <c r="C703" s="13"/>
      <c r="D703" s="13"/>
      <c r="E703" s="13"/>
      <c r="F703" s="14"/>
      <c r="G703" s="15"/>
      <c r="H703" s="12"/>
      <c r="I703" s="16" t="str">
        <f aca="true">IF(OR(F703="",H703&lt;&gt;"Bekliyor"),"",F703-TODAY())</f>
        <v/>
      </c>
      <c r="J703" s="17" t="str">
        <f aca="false">IF(I703="","",IF(I703&lt;0,"Vadesi geçti",IF(I703&lt;=7,"Bu hafta","")))</f>
        <v/>
      </c>
      <c r="K703" s="19" t="n">
        <f aca="false">IF(H703="Bekliyor",G703,0)</f>
        <v>0</v>
      </c>
    </row>
    <row r="704" customFormat="false" ht="15" hidden="false" customHeight="false" outlineLevel="0" collapsed="false">
      <c r="A704" s="12"/>
      <c r="B704" s="12"/>
      <c r="C704" s="13"/>
      <c r="D704" s="13"/>
      <c r="E704" s="13"/>
      <c r="F704" s="14"/>
      <c r="G704" s="15"/>
      <c r="H704" s="12"/>
      <c r="I704" s="16" t="str">
        <f aca="true">IF(OR(F704="",H704&lt;&gt;"Bekliyor"),"",F704-TODAY())</f>
        <v/>
      </c>
      <c r="J704" s="17" t="str">
        <f aca="false">IF(I704="","",IF(I704&lt;0,"Vadesi geçti",IF(I704&lt;=7,"Bu hafta","")))</f>
        <v/>
      </c>
      <c r="K704" s="19" t="n">
        <f aca="false">IF(H704="Bekliyor",G704,0)</f>
        <v>0</v>
      </c>
    </row>
    <row r="705" customFormat="false" ht="15" hidden="false" customHeight="false" outlineLevel="0" collapsed="false">
      <c r="A705" s="12"/>
      <c r="B705" s="12"/>
      <c r="C705" s="13"/>
      <c r="D705" s="13"/>
      <c r="E705" s="13"/>
      <c r="F705" s="14"/>
      <c r="G705" s="15"/>
      <c r="H705" s="12"/>
      <c r="I705" s="16" t="str">
        <f aca="true">IF(OR(F705="",H705&lt;&gt;"Bekliyor"),"",F705-TODAY())</f>
        <v/>
      </c>
      <c r="J705" s="17" t="str">
        <f aca="false">IF(I705="","",IF(I705&lt;0,"Vadesi geçti",IF(I705&lt;=7,"Bu hafta","")))</f>
        <v/>
      </c>
      <c r="K705" s="19" t="n">
        <f aca="false">IF(H705="Bekliyor",G705,0)</f>
        <v>0</v>
      </c>
    </row>
    <row r="706" customFormat="false" ht="15" hidden="false" customHeight="false" outlineLevel="0" collapsed="false">
      <c r="A706" s="12"/>
      <c r="B706" s="12"/>
      <c r="C706" s="13"/>
      <c r="D706" s="13"/>
      <c r="E706" s="13"/>
      <c r="F706" s="14"/>
      <c r="G706" s="15"/>
      <c r="H706" s="12"/>
      <c r="I706" s="16" t="str">
        <f aca="true">IF(OR(F706="",H706&lt;&gt;"Bekliyor"),"",F706-TODAY())</f>
        <v/>
      </c>
      <c r="J706" s="17" t="str">
        <f aca="false">IF(I706="","",IF(I706&lt;0,"Vadesi geçti",IF(I706&lt;=7,"Bu hafta","")))</f>
        <v/>
      </c>
      <c r="K706" s="19" t="n">
        <f aca="false">IF(H706="Bekliyor",G706,0)</f>
        <v>0</v>
      </c>
    </row>
    <row r="707" customFormat="false" ht="15" hidden="false" customHeight="false" outlineLevel="0" collapsed="false">
      <c r="A707" s="12"/>
      <c r="B707" s="12"/>
      <c r="C707" s="13"/>
      <c r="D707" s="13"/>
      <c r="E707" s="13"/>
      <c r="F707" s="14"/>
      <c r="G707" s="15"/>
      <c r="H707" s="12"/>
      <c r="I707" s="16" t="str">
        <f aca="true">IF(OR(F707="",H707&lt;&gt;"Bekliyor"),"",F707-TODAY())</f>
        <v/>
      </c>
      <c r="J707" s="17" t="str">
        <f aca="false">IF(I707="","",IF(I707&lt;0,"Vadesi geçti",IF(I707&lt;=7,"Bu hafta","")))</f>
        <v/>
      </c>
      <c r="K707" s="19" t="n">
        <f aca="false">IF(H707="Bekliyor",G707,0)</f>
        <v>0</v>
      </c>
    </row>
    <row r="708" customFormat="false" ht="15" hidden="false" customHeight="false" outlineLevel="0" collapsed="false">
      <c r="A708" s="12"/>
      <c r="B708" s="12"/>
      <c r="C708" s="13"/>
      <c r="D708" s="13"/>
      <c r="E708" s="13"/>
      <c r="F708" s="14"/>
      <c r="G708" s="15"/>
      <c r="H708" s="12"/>
      <c r="I708" s="16" t="str">
        <f aca="true">IF(OR(F708="",H708&lt;&gt;"Bekliyor"),"",F708-TODAY())</f>
        <v/>
      </c>
      <c r="J708" s="17" t="str">
        <f aca="false">IF(I708="","",IF(I708&lt;0,"Vadesi geçti",IF(I708&lt;=7,"Bu hafta","")))</f>
        <v/>
      </c>
      <c r="K708" s="19" t="n">
        <f aca="false">IF(H708="Bekliyor",G708,0)</f>
        <v>0</v>
      </c>
    </row>
    <row r="709" customFormat="false" ht="15" hidden="false" customHeight="false" outlineLevel="0" collapsed="false">
      <c r="A709" s="12"/>
      <c r="B709" s="12"/>
      <c r="C709" s="13"/>
      <c r="D709" s="13"/>
      <c r="E709" s="13"/>
      <c r="F709" s="14"/>
      <c r="G709" s="15"/>
      <c r="H709" s="12"/>
      <c r="I709" s="16" t="str">
        <f aca="true">IF(OR(F709="",H709&lt;&gt;"Bekliyor"),"",F709-TODAY())</f>
        <v/>
      </c>
      <c r="J709" s="17" t="str">
        <f aca="false">IF(I709="","",IF(I709&lt;0,"Vadesi geçti",IF(I709&lt;=7,"Bu hafta","")))</f>
        <v/>
      </c>
      <c r="K709" s="19" t="n">
        <f aca="false">IF(H709="Bekliyor",G709,0)</f>
        <v>0</v>
      </c>
    </row>
    <row r="710" customFormat="false" ht="15" hidden="false" customHeight="false" outlineLevel="0" collapsed="false">
      <c r="A710" s="12"/>
      <c r="B710" s="12"/>
      <c r="C710" s="13"/>
      <c r="D710" s="13"/>
      <c r="E710" s="13"/>
      <c r="F710" s="14"/>
      <c r="G710" s="15"/>
      <c r="H710" s="12"/>
      <c r="I710" s="16" t="str">
        <f aca="true">IF(OR(F710="",H710&lt;&gt;"Bekliyor"),"",F710-TODAY())</f>
        <v/>
      </c>
      <c r="J710" s="17" t="str">
        <f aca="false">IF(I710="","",IF(I710&lt;0,"Vadesi geçti",IF(I710&lt;=7,"Bu hafta","")))</f>
        <v/>
      </c>
      <c r="K710" s="19" t="n">
        <f aca="false">IF(H710="Bekliyor",G710,0)</f>
        <v>0</v>
      </c>
    </row>
    <row r="711" customFormat="false" ht="15" hidden="false" customHeight="false" outlineLevel="0" collapsed="false">
      <c r="A711" s="12"/>
      <c r="B711" s="12"/>
      <c r="C711" s="13"/>
      <c r="D711" s="13"/>
      <c r="E711" s="13"/>
      <c r="F711" s="14"/>
      <c r="G711" s="15"/>
      <c r="H711" s="12"/>
      <c r="I711" s="16" t="str">
        <f aca="true">IF(OR(F711="",H711&lt;&gt;"Bekliyor"),"",F711-TODAY())</f>
        <v/>
      </c>
      <c r="J711" s="17" t="str">
        <f aca="false">IF(I711="","",IF(I711&lt;0,"Vadesi geçti",IF(I711&lt;=7,"Bu hafta","")))</f>
        <v/>
      </c>
      <c r="K711" s="19" t="n">
        <f aca="false">IF(H711="Bekliyor",G711,0)</f>
        <v>0</v>
      </c>
    </row>
    <row r="712" customFormat="false" ht="15" hidden="false" customHeight="false" outlineLevel="0" collapsed="false">
      <c r="A712" s="12"/>
      <c r="B712" s="12"/>
      <c r="C712" s="13"/>
      <c r="D712" s="13"/>
      <c r="E712" s="13"/>
      <c r="F712" s="14"/>
      <c r="G712" s="15"/>
      <c r="H712" s="12"/>
      <c r="I712" s="16" t="str">
        <f aca="true">IF(OR(F712="",H712&lt;&gt;"Bekliyor"),"",F712-TODAY())</f>
        <v/>
      </c>
      <c r="J712" s="17" t="str">
        <f aca="false">IF(I712="","",IF(I712&lt;0,"Vadesi geçti",IF(I712&lt;=7,"Bu hafta","")))</f>
        <v/>
      </c>
      <c r="K712" s="19" t="n">
        <f aca="false">IF(H712="Bekliyor",G712,0)</f>
        <v>0</v>
      </c>
    </row>
    <row r="713" customFormat="false" ht="15" hidden="false" customHeight="false" outlineLevel="0" collapsed="false">
      <c r="A713" s="12"/>
      <c r="B713" s="12"/>
      <c r="C713" s="13"/>
      <c r="D713" s="13"/>
      <c r="E713" s="13"/>
      <c r="F713" s="14"/>
      <c r="G713" s="15"/>
      <c r="H713" s="12"/>
      <c r="I713" s="16" t="str">
        <f aca="true">IF(OR(F713="",H713&lt;&gt;"Bekliyor"),"",F713-TODAY())</f>
        <v/>
      </c>
      <c r="J713" s="17" t="str">
        <f aca="false">IF(I713="","",IF(I713&lt;0,"Vadesi geçti",IF(I713&lt;=7,"Bu hafta","")))</f>
        <v/>
      </c>
      <c r="K713" s="19" t="n">
        <f aca="false">IF(H713="Bekliyor",G713,0)</f>
        <v>0</v>
      </c>
    </row>
    <row r="714" customFormat="false" ht="15" hidden="false" customHeight="false" outlineLevel="0" collapsed="false">
      <c r="A714" s="12"/>
      <c r="B714" s="12"/>
      <c r="C714" s="13"/>
      <c r="D714" s="13"/>
      <c r="E714" s="13"/>
      <c r="F714" s="14"/>
      <c r="G714" s="15"/>
      <c r="H714" s="12"/>
      <c r="I714" s="16" t="str">
        <f aca="true">IF(OR(F714="",H714&lt;&gt;"Bekliyor"),"",F714-TODAY())</f>
        <v/>
      </c>
      <c r="J714" s="17" t="str">
        <f aca="false">IF(I714="","",IF(I714&lt;0,"Vadesi geçti",IF(I714&lt;=7,"Bu hafta","")))</f>
        <v/>
      </c>
      <c r="K714" s="19" t="n">
        <f aca="false">IF(H714="Bekliyor",G714,0)</f>
        <v>0</v>
      </c>
    </row>
    <row r="715" customFormat="false" ht="15" hidden="false" customHeight="false" outlineLevel="0" collapsed="false">
      <c r="A715" s="12"/>
      <c r="B715" s="12"/>
      <c r="C715" s="13"/>
      <c r="D715" s="13"/>
      <c r="E715" s="13"/>
      <c r="F715" s="14"/>
      <c r="G715" s="15"/>
      <c r="H715" s="12"/>
      <c r="I715" s="16" t="str">
        <f aca="true">IF(OR(F715="",H715&lt;&gt;"Bekliyor"),"",F715-TODAY())</f>
        <v/>
      </c>
      <c r="J715" s="17" t="str">
        <f aca="false">IF(I715="","",IF(I715&lt;0,"Vadesi geçti",IF(I715&lt;=7,"Bu hafta","")))</f>
        <v/>
      </c>
      <c r="K715" s="19" t="n">
        <f aca="false">IF(H715="Bekliyor",G715,0)</f>
        <v>0</v>
      </c>
    </row>
    <row r="716" customFormat="false" ht="15" hidden="false" customHeight="false" outlineLevel="0" collapsed="false">
      <c r="A716" s="12"/>
      <c r="B716" s="12"/>
      <c r="C716" s="13"/>
      <c r="D716" s="13"/>
      <c r="E716" s="13"/>
      <c r="F716" s="14"/>
      <c r="G716" s="15"/>
      <c r="H716" s="12"/>
      <c r="I716" s="16" t="str">
        <f aca="true">IF(OR(F716="",H716&lt;&gt;"Bekliyor"),"",F716-TODAY())</f>
        <v/>
      </c>
      <c r="J716" s="17" t="str">
        <f aca="false">IF(I716="","",IF(I716&lt;0,"Vadesi geçti",IF(I716&lt;=7,"Bu hafta","")))</f>
        <v/>
      </c>
      <c r="K716" s="19" t="n">
        <f aca="false">IF(H716="Bekliyor",G716,0)</f>
        <v>0</v>
      </c>
    </row>
    <row r="717" customFormat="false" ht="15" hidden="false" customHeight="false" outlineLevel="0" collapsed="false">
      <c r="A717" s="12"/>
      <c r="B717" s="12"/>
      <c r="C717" s="13"/>
      <c r="D717" s="13"/>
      <c r="E717" s="13"/>
      <c r="F717" s="14"/>
      <c r="G717" s="15"/>
      <c r="H717" s="12"/>
      <c r="I717" s="16" t="str">
        <f aca="true">IF(OR(F717="",H717&lt;&gt;"Bekliyor"),"",F717-TODAY())</f>
        <v/>
      </c>
      <c r="J717" s="17" t="str">
        <f aca="false">IF(I717="","",IF(I717&lt;0,"Vadesi geçti",IF(I717&lt;=7,"Bu hafta","")))</f>
        <v/>
      </c>
      <c r="K717" s="19" t="n">
        <f aca="false">IF(H717="Bekliyor",G717,0)</f>
        <v>0</v>
      </c>
    </row>
    <row r="718" customFormat="false" ht="15" hidden="false" customHeight="false" outlineLevel="0" collapsed="false">
      <c r="A718" s="12"/>
      <c r="B718" s="12"/>
      <c r="C718" s="13"/>
      <c r="D718" s="13"/>
      <c r="E718" s="13"/>
      <c r="F718" s="14"/>
      <c r="G718" s="15"/>
      <c r="H718" s="12"/>
      <c r="I718" s="16" t="str">
        <f aca="true">IF(OR(F718="",H718&lt;&gt;"Bekliyor"),"",F718-TODAY())</f>
        <v/>
      </c>
      <c r="J718" s="17" t="str">
        <f aca="false">IF(I718="","",IF(I718&lt;0,"Vadesi geçti",IF(I718&lt;=7,"Bu hafta","")))</f>
        <v/>
      </c>
      <c r="K718" s="19" t="n">
        <f aca="false">IF(H718="Bekliyor",G718,0)</f>
        <v>0</v>
      </c>
    </row>
    <row r="719" customFormat="false" ht="15" hidden="false" customHeight="false" outlineLevel="0" collapsed="false">
      <c r="A719" s="12"/>
      <c r="B719" s="12"/>
      <c r="C719" s="13"/>
      <c r="D719" s="13"/>
      <c r="E719" s="13"/>
      <c r="F719" s="14"/>
      <c r="G719" s="15"/>
      <c r="H719" s="12"/>
      <c r="I719" s="16" t="str">
        <f aca="true">IF(OR(F719="",H719&lt;&gt;"Bekliyor"),"",F719-TODAY())</f>
        <v/>
      </c>
      <c r="J719" s="17" t="str">
        <f aca="false">IF(I719="","",IF(I719&lt;0,"Vadesi geçti",IF(I719&lt;=7,"Bu hafta","")))</f>
        <v/>
      </c>
      <c r="K719" s="19" t="n">
        <f aca="false">IF(H719="Bekliyor",G719,0)</f>
        <v>0</v>
      </c>
    </row>
    <row r="720" customFormat="false" ht="15" hidden="false" customHeight="false" outlineLevel="0" collapsed="false">
      <c r="A720" s="12"/>
      <c r="B720" s="12"/>
      <c r="C720" s="13"/>
      <c r="D720" s="13"/>
      <c r="E720" s="13"/>
      <c r="F720" s="14"/>
      <c r="G720" s="15"/>
      <c r="H720" s="12"/>
      <c r="I720" s="16" t="str">
        <f aca="true">IF(OR(F720="",H720&lt;&gt;"Bekliyor"),"",F720-TODAY())</f>
        <v/>
      </c>
      <c r="J720" s="17" t="str">
        <f aca="false">IF(I720="","",IF(I720&lt;0,"Vadesi geçti",IF(I720&lt;=7,"Bu hafta","")))</f>
        <v/>
      </c>
      <c r="K720" s="19" t="n">
        <f aca="false">IF(H720="Bekliyor",G720,0)</f>
        <v>0</v>
      </c>
    </row>
    <row r="721" customFormat="false" ht="15" hidden="false" customHeight="false" outlineLevel="0" collapsed="false">
      <c r="A721" s="12"/>
      <c r="B721" s="12"/>
      <c r="C721" s="13"/>
      <c r="D721" s="13"/>
      <c r="E721" s="13"/>
      <c r="F721" s="14"/>
      <c r="G721" s="15"/>
      <c r="H721" s="12"/>
      <c r="I721" s="16" t="str">
        <f aca="true">IF(OR(F721="",H721&lt;&gt;"Bekliyor"),"",F721-TODAY())</f>
        <v/>
      </c>
      <c r="J721" s="17" t="str">
        <f aca="false">IF(I721="","",IF(I721&lt;0,"Vadesi geçti",IF(I721&lt;=7,"Bu hafta","")))</f>
        <v/>
      </c>
      <c r="K721" s="19" t="n">
        <f aca="false">IF(H721="Bekliyor",G721,0)</f>
        <v>0</v>
      </c>
    </row>
    <row r="722" customFormat="false" ht="15" hidden="false" customHeight="false" outlineLevel="0" collapsed="false">
      <c r="A722" s="12"/>
      <c r="B722" s="12"/>
      <c r="C722" s="13"/>
      <c r="D722" s="13"/>
      <c r="E722" s="13"/>
      <c r="F722" s="14"/>
      <c r="G722" s="15"/>
      <c r="H722" s="12"/>
      <c r="I722" s="16" t="str">
        <f aca="true">IF(OR(F722="",H722&lt;&gt;"Bekliyor"),"",F722-TODAY())</f>
        <v/>
      </c>
      <c r="J722" s="17" t="str">
        <f aca="false">IF(I722="","",IF(I722&lt;0,"Vadesi geçti",IF(I722&lt;=7,"Bu hafta","")))</f>
        <v/>
      </c>
      <c r="K722" s="19" t="n">
        <f aca="false">IF(H722="Bekliyor",G722,0)</f>
        <v>0</v>
      </c>
    </row>
    <row r="723" customFormat="false" ht="15" hidden="false" customHeight="false" outlineLevel="0" collapsed="false">
      <c r="A723" s="12"/>
      <c r="B723" s="12"/>
      <c r="C723" s="13"/>
      <c r="D723" s="13"/>
      <c r="E723" s="13"/>
      <c r="F723" s="14"/>
      <c r="G723" s="15"/>
      <c r="H723" s="12"/>
      <c r="I723" s="16" t="str">
        <f aca="true">IF(OR(F723="",H723&lt;&gt;"Bekliyor"),"",F723-TODAY())</f>
        <v/>
      </c>
      <c r="J723" s="17" t="str">
        <f aca="false">IF(I723="","",IF(I723&lt;0,"Vadesi geçti",IF(I723&lt;=7,"Bu hafta","")))</f>
        <v/>
      </c>
      <c r="K723" s="19" t="n">
        <f aca="false">IF(H723="Bekliyor",G723,0)</f>
        <v>0</v>
      </c>
    </row>
    <row r="724" customFormat="false" ht="15" hidden="false" customHeight="false" outlineLevel="0" collapsed="false">
      <c r="A724" s="12"/>
      <c r="B724" s="12"/>
      <c r="C724" s="13"/>
      <c r="D724" s="13"/>
      <c r="E724" s="13"/>
      <c r="F724" s="14"/>
      <c r="G724" s="15"/>
      <c r="H724" s="12"/>
      <c r="I724" s="16" t="str">
        <f aca="true">IF(OR(F724="",H724&lt;&gt;"Bekliyor"),"",F724-TODAY())</f>
        <v/>
      </c>
      <c r="J724" s="17" t="str">
        <f aca="false">IF(I724="","",IF(I724&lt;0,"Vadesi geçti",IF(I724&lt;=7,"Bu hafta","")))</f>
        <v/>
      </c>
      <c r="K724" s="19" t="n">
        <f aca="false">IF(H724="Bekliyor",G724,0)</f>
        <v>0</v>
      </c>
    </row>
    <row r="725" customFormat="false" ht="15" hidden="false" customHeight="false" outlineLevel="0" collapsed="false">
      <c r="A725" s="12"/>
      <c r="B725" s="12"/>
      <c r="C725" s="13"/>
      <c r="D725" s="13"/>
      <c r="E725" s="13"/>
      <c r="F725" s="14"/>
      <c r="G725" s="15"/>
      <c r="H725" s="12"/>
      <c r="I725" s="16" t="str">
        <f aca="true">IF(OR(F725="",H725&lt;&gt;"Bekliyor"),"",F725-TODAY())</f>
        <v/>
      </c>
      <c r="J725" s="17" t="str">
        <f aca="false">IF(I725="","",IF(I725&lt;0,"Vadesi geçti",IF(I725&lt;=7,"Bu hafta","")))</f>
        <v/>
      </c>
      <c r="K725" s="19" t="n">
        <f aca="false">IF(H725="Bekliyor",G725,0)</f>
        <v>0</v>
      </c>
    </row>
    <row r="726" customFormat="false" ht="15" hidden="false" customHeight="false" outlineLevel="0" collapsed="false">
      <c r="A726" s="12"/>
      <c r="B726" s="12"/>
      <c r="C726" s="13"/>
      <c r="D726" s="13"/>
      <c r="E726" s="13"/>
      <c r="F726" s="14"/>
      <c r="G726" s="15"/>
      <c r="H726" s="12"/>
      <c r="I726" s="16" t="str">
        <f aca="true">IF(OR(F726="",H726&lt;&gt;"Bekliyor"),"",F726-TODAY())</f>
        <v/>
      </c>
      <c r="J726" s="17" t="str">
        <f aca="false">IF(I726="","",IF(I726&lt;0,"Vadesi geçti",IF(I726&lt;=7,"Bu hafta","")))</f>
        <v/>
      </c>
      <c r="K726" s="19" t="n">
        <f aca="false">IF(H726="Bekliyor",G726,0)</f>
        <v>0</v>
      </c>
    </row>
    <row r="727" customFormat="false" ht="15" hidden="false" customHeight="false" outlineLevel="0" collapsed="false">
      <c r="A727" s="12"/>
      <c r="B727" s="12"/>
      <c r="C727" s="13"/>
      <c r="D727" s="13"/>
      <c r="E727" s="13"/>
      <c r="F727" s="14"/>
      <c r="G727" s="15"/>
      <c r="H727" s="12"/>
      <c r="I727" s="16" t="str">
        <f aca="true">IF(OR(F727="",H727&lt;&gt;"Bekliyor"),"",F727-TODAY())</f>
        <v/>
      </c>
      <c r="J727" s="17" t="str">
        <f aca="false">IF(I727="","",IF(I727&lt;0,"Vadesi geçti",IF(I727&lt;=7,"Bu hafta","")))</f>
        <v/>
      </c>
      <c r="K727" s="19" t="n">
        <f aca="false">IF(H727="Bekliyor",G727,0)</f>
        <v>0</v>
      </c>
    </row>
    <row r="728" customFormat="false" ht="15" hidden="false" customHeight="false" outlineLevel="0" collapsed="false">
      <c r="A728" s="12"/>
      <c r="B728" s="12"/>
      <c r="C728" s="13"/>
      <c r="D728" s="13"/>
      <c r="E728" s="13"/>
      <c r="F728" s="14"/>
      <c r="G728" s="15"/>
      <c r="H728" s="12"/>
      <c r="I728" s="16" t="str">
        <f aca="true">IF(OR(F728="",H728&lt;&gt;"Bekliyor"),"",F728-TODAY())</f>
        <v/>
      </c>
      <c r="J728" s="17" t="str">
        <f aca="false">IF(I728="","",IF(I728&lt;0,"Vadesi geçti",IF(I728&lt;=7,"Bu hafta","")))</f>
        <v/>
      </c>
      <c r="K728" s="19" t="n">
        <f aca="false">IF(H728="Bekliyor",G728,0)</f>
        <v>0</v>
      </c>
    </row>
    <row r="729" customFormat="false" ht="15" hidden="false" customHeight="false" outlineLevel="0" collapsed="false">
      <c r="A729" s="12"/>
      <c r="B729" s="12"/>
      <c r="C729" s="13"/>
      <c r="D729" s="13"/>
      <c r="E729" s="13"/>
      <c r="F729" s="14"/>
      <c r="G729" s="15"/>
      <c r="H729" s="12"/>
      <c r="I729" s="16" t="str">
        <f aca="true">IF(OR(F729="",H729&lt;&gt;"Bekliyor"),"",F729-TODAY())</f>
        <v/>
      </c>
      <c r="J729" s="17" t="str">
        <f aca="false">IF(I729="","",IF(I729&lt;0,"Vadesi geçti",IF(I729&lt;=7,"Bu hafta","")))</f>
        <v/>
      </c>
      <c r="K729" s="19" t="n">
        <f aca="false">IF(H729="Bekliyor",G729,0)</f>
        <v>0</v>
      </c>
    </row>
    <row r="730" customFormat="false" ht="15" hidden="false" customHeight="false" outlineLevel="0" collapsed="false">
      <c r="A730" s="12"/>
      <c r="B730" s="12"/>
      <c r="C730" s="13"/>
      <c r="D730" s="13"/>
      <c r="E730" s="13"/>
      <c r="F730" s="14"/>
      <c r="G730" s="15"/>
      <c r="H730" s="12"/>
      <c r="I730" s="16" t="str">
        <f aca="true">IF(OR(F730="",H730&lt;&gt;"Bekliyor"),"",F730-TODAY())</f>
        <v/>
      </c>
      <c r="J730" s="17" t="str">
        <f aca="false">IF(I730="","",IF(I730&lt;0,"Vadesi geçti",IF(I730&lt;=7,"Bu hafta","")))</f>
        <v/>
      </c>
      <c r="K730" s="19" t="n">
        <f aca="false">IF(H730="Bekliyor",G730,0)</f>
        <v>0</v>
      </c>
    </row>
    <row r="731" customFormat="false" ht="15" hidden="false" customHeight="false" outlineLevel="0" collapsed="false">
      <c r="A731" s="12"/>
      <c r="B731" s="12"/>
      <c r="C731" s="13"/>
      <c r="D731" s="13"/>
      <c r="E731" s="13"/>
      <c r="F731" s="14"/>
      <c r="G731" s="15"/>
      <c r="H731" s="12"/>
      <c r="I731" s="16" t="str">
        <f aca="true">IF(OR(F731="",H731&lt;&gt;"Bekliyor"),"",F731-TODAY())</f>
        <v/>
      </c>
      <c r="J731" s="17" t="str">
        <f aca="false">IF(I731="","",IF(I731&lt;0,"Vadesi geçti",IF(I731&lt;=7,"Bu hafta","")))</f>
        <v/>
      </c>
      <c r="K731" s="19" t="n">
        <f aca="false">IF(H731="Bekliyor",G731,0)</f>
        <v>0</v>
      </c>
    </row>
    <row r="732" customFormat="false" ht="15" hidden="false" customHeight="false" outlineLevel="0" collapsed="false">
      <c r="A732" s="12"/>
      <c r="B732" s="12"/>
      <c r="C732" s="13"/>
      <c r="D732" s="13"/>
      <c r="E732" s="13"/>
      <c r="F732" s="14"/>
      <c r="G732" s="15"/>
      <c r="H732" s="12"/>
      <c r="I732" s="16" t="str">
        <f aca="true">IF(OR(F732="",H732&lt;&gt;"Bekliyor"),"",F732-TODAY())</f>
        <v/>
      </c>
      <c r="J732" s="17" t="str">
        <f aca="false">IF(I732="","",IF(I732&lt;0,"Vadesi geçti",IF(I732&lt;=7,"Bu hafta","")))</f>
        <v/>
      </c>
      <c r="K732" s="19" t="n">
        <f aca="false">IF(H732="Bekliyor",G732,0)</f>
        <v>0</v>
      </c>
    </row>
    <row r="733" customFormat="false" ht="15" hidden="false" customHeight="false" outlineLevel="0" collapsed="false">
      <c r="A733" s="12"/>
      <c r="B733" s="12"/>
      <c r="C733" s="13"/>
      <c r="D733" s="13"/>
      <c r="E733" s="13"/>
      <c r="F733" s="14"/>
      <c r="G733" s="15"/>
      <c r="H733" s="12"/>
      <c r="I733" s="16" t="str">
        <f aca="true">IF(OR(F733="",H733&lt;&gt;"Bekliyor"),"",F733-TODAY())</f>
        <v/>
      </c>
      <c r="J733" s="17" t="str">
        <f aca="false">IF(I733="","",IF(I733&lt;0,"Vadesi geçti",IF(I733&lt;=7,"Bu hafta","")))</f>
        <v/>
      </c>
      <c r="K733" s="19" t="n">
        <f aca="false">IF(H733="Bekliyor",G733,0)</f>
        <v>0</v>
      </c>
    </row>
    <row r="734" customFormat="false" ht="15" hidden="false" customHeight="false" outlineLevel="0" collapsed="false">
      <c r="A734" s="12"/>
      <c r="B734" s="12"/>
      <c r="C734" s="13"/>
      <c r="D734" s="13"/>
      <c r="E734" s="13"/>
      <c r="F734" s="14"/>
      <c r="G734" s="15"/>
      <c r="H734" s="12"/>
      <c r="I734" s="16" t="str">
        <f aca="true">IF(OR(F734="",H734&lt;&gt;"Bekliyor"),"",F734-TODAY())</f>
        <v/>
      </c>
      <c r="J734" s="17" t="str">
        <f aca="false">IF(I734="","",IF(I734&lt;0,"Vadesi geçti",IF(I734&lt;=7,"Bu hafta","")))</f>
        <v/>
      </c>
      <c r="K734" s="19" t="n">
        <f aca="false">IF(H734="Bekliyor",G734,0)</f>
        <v>0</v>
      </c>
    </row>
    <row r="735" customFormat="false" ht="15" hidden="false" customHeight="false" outlineLevel="0" collapsed="false">
      <c r="A735" s="12"/>
      <c r="B735" s="12"/>
      <c r="C735" s="13"/>
      <c r="D735" s="13"/>
      <c r="E735" s="13"/>
      <c r="F735" s="14"/>
      <c r="G735" s="15"/>
      <c r="H735" s="12"/>
      <c r="I735" s="16" t="str">
        <f aca="true">IF(OR(F735="",H735&lt;&gt;"Bekliyor"),"",F735-TODAY())</f>
        <v/>
      </c>
      <c r="J735" s="17" t="str">
        <f aca="false">IF(I735="","",IF(I735&lt;0,"Vadesi geçti",IF(I735&lt;=7,"Bu hafta","")))</f>
        <v/>
      </c>
      <c r="K735" s="19" t="n">
        <f aca="false">IF(H735="Bekliyor",G735,0)</f>
        <v>0</v>
      </c>
    </row>
    <row r="736" customFormat="false" ht="15" hidden="false" customHeight="false" outlineLevel="0" collapsed="false">
      <c r="A736" s="12"/>
      <c r="B736" s="12"/>
      <c r="C736" s="13"/>
      <c r="D736" s="13"/>
      <c r="E736" s="13"/>
      <c r="F736" s="14"/>
      <c r="G736" s="15"/>
      <c r="H736" s="12"/>
      <c r="I736" s="16" t="str">
        <f aca="true">IF(OR(F736="",H736&lt;&gt;"Bekliyor"),"",F736-TODAY())</f>
        <v/>
      </c>
      <c r="J736" s="17" t="str">
        <f aca="false">IF(I736="","",IF(I736&lt;0,"Vadesi geçti",IF(I736&lt;=7,"Bu hafta","")))</f>
        <v/>
      </c>
      <c r="K736" s="19" t="n">
        <f aca="false">IF(H736="Bekliyor",G736,0)</f>
        <v>0</v>
      </c>
    </row>
    <row r="737" customFormat="false" ht="15" hidden="false" customHeight="false" outlineLevel="0" collapsed="false">
      <c r="A737" s="12"/>
      <c r="B737" s="12"/>
      <c r="C737" s="13"/>
      <c r="D737" s="13"/>
      <c r="E737" s="13"/>
      <c r="F737" s="14"/>
      <c r="G737" s="15"/>
      <c r="H737" s="12"/>
      <c r="I737" s="16" t="str">
        <f aca="true">IF(OR(F737="",H737&lt;&gt;"Bekliyor"),"",F737-TODAY())</f>
        <v/>
      </c>
      <c r="J737" s="17" t="str">
        <f aca="false">IF(I737="","",IF(I737&lt;0,"Vadesi geçti",IF(I737&lt;=7,"Bu hafta","")))</f>
        <v/>
      </c>
      <c r="K737" s="19" t="n">
        <f aca="false">IF(H737="Bekliyor",G737,0)</f>
        <v>0</v>
      </c>
    </row>
    <row r="738" customFormat="false" ht="15" hidden="false" customHeight="false" outlineLevel="0" collapsed="false">
      <c r="A738" s="12"/>
      <c r="B738" s="12"/>
      <c r="C738" s="13"/>
      <c r="D738" s="13"/>
      <c r="E738" s="13"/>
      <c r="F738" s="14"/>
      <c r="G738" s="15"/>
      <c r="H738" s="12"/>
      <c r="I738" s="16" t="str">
        <f aca="true">IF(OR(F738="",H738&lt;&gt;"Bekliyor"),"",F738-TODAY())</f>
        <v/>
      </c>
      <c r="J738" s="17" t="str">
        <f aca="false">IF(I738="","",IF(I738&lt;0,"Vadesi geçti",IF(I738&lt;=7,"Bu hafta","")))</f>
        <v/>
      </c>
      <c r="K738" s="19" t="n">
        <f aca="false">IF(H738="Bekliyor",G738,0)</f>
        <v>0</v>
      </c>
    </row>
    <row r="739" customFormat="false" ht="15" hidden="false" customHeight="false" outlineLevel="0" collapsed="false">
      <c r="A739" s="12"/>
      <c r="B739" s="12"/>
      <c r="C739" s="13"/>
      <c r="D739" s="13"/>
      <c r="E739" s="13"/>
      <c r="F739" s="14"/>
      <c r="G739" s="15"/>
      <c r="H739" s="12"/>
      <c r="I739" s="16" t="str">
        <f aca="true">IF(OR(F739="",H739&lt;&gt;"Bekliyor"),"",F739-TODAY())</f>
        <v/>
      </c>
      <c r="J739" s="17" t="str">
        <f aca="false">IF(I739="","",IF(I739&lt;0,"Vadesi geçti",IF(I739&lt;=7,"Bu hafta","")))</f>
        <v/>
      </c>
      <c r="K739" s="19" t="n">
        <f aca="false">IF(H739="Bekliyor",G739,0)</f>
        <v>0</v>
      </c>
    </row>
    <row r="740" customFormat="false" ht="15" hidden="false" customHeight="false" outlineLevel="0" collapsed="false">
      <c r="A740" s="12"/>
      <c r="B740" s="12"/>
      <c r="C740" s="13"/>
      <c r="D740" s="13"/>
      <c r="E740" s="13"/>
      <c r="F740" s="14"/>
      <c r="G740" s="15"/>
      <c r="H740" s="12"/>
      <c r="I740" s="16" t="str">
        <f aca="true">IF(OR(F740="",H740&lt;&gt;"Bekliyor"),"",F740-TODAY())</f>
        <v/>
      </c>
      <c r="J740" s="17" t="str">
        <f aca="false">IF(I740="","",IF(I740&lt;0,"Vadesi geçti",IF(I740&lt;=7,"Bu hafta","")))</f>
        <v/>
      </c>
      <c r="K740" s="19" t="n">
        <f aca="false">IF(H740="Bekliyor",G740,0)</f>
        <v>0</v>
      </c>
    </row>
    <row r="741" customFormat="false" ht="15" hidden="false" customHeight="false" outlineLevel="0" collapsed="false">
      <c r="A741" s="12"/>
      <c r="B741" s="12"/>
      <c r="C741" s="13"/>
      <c r="D741" s="13"/>
      <c r="E741" s="13"/>
      <c r="F741" s="14"/>
      <c r="G741" s="15"/>
      <c r="H741" s="12"/>
      <c r="I741" s="16" t="str">
        <f aca="true">IF(OR(F741="",H741&lt;&gt;"Bekliyor"),"",F741-TODAY())</f>
        <v/>
      </c>
      <c r="J741" s="17" t="str">
        <f aca="false">IF(I741="","",IF(I741&lt;0,"Vadesi geçti",IF(I741&lt;=7,"Bu hafta","")))</f>
        <v/>
      </c>
      <c r="K741" s="19" t="n">
        <f aca="false">IF(H741="Bekliyor",G741,0)</f>
        <v>0</v>
      </c>
    </row>
    <row r="742" customFormat="false" ht="15" hidden="false" customHeight="false" outlineLevel="0" collapsed="false">
      <c r="A742" s="12"/>
      <c r="B742" s="12"/>
      <c r="C742" s="13"/>
      <c r="D742" s="13"/>
      <c r="E742" s="13"/>
      <c r="F742" s="14"/>
      <c r="G742" s="15"/>
      <c r="H742" s="12"/>
      <c r="I742" s="16" t="str">
        <f aca="true">IF(OR(F742="",H742&lt;&gt;"Bekliyor"),"",F742-TODAY())</f>
        <v/>
      </c>
      <c r="J742" s="17" t="str">
        <f aca="false">IF(I742="","",IF(I742&lt;0,"Vadesi geçti",IF(I742&lt;=7,"Bu hafta","")))</f>
        <v/>
      </c>
      <c r="K742" s="19" t="n">
        <f aca="false">IF(H742="Bekliyor",G742,0)</f>
        <v>0</v>
      </c>
    </row>
    <row r="743" customFormat="false" ht="15" hidden="false" customHeight="false" outlineLevel="0" collapsed="false">
      <c r="A743" s="12"/>
      <c r="B743" s="12"/>
      <c r="C743" s="13"/>
      <c r="D743" s="13"/>
      <c r="E743" s="13"/>
      <c r="F743" s="14"/>
      <c r="G743" s="15"/>
      <c r="H743" s="12"/>
      <c r="I743" s="16" t="str">
        <f aca="true">IF(OR(F743="",H743&lt;&gt;"Bekliyor"),"",F743-TODAY())</f>
        <v/>
      </c>
      <c r="J743" s="17" t="str">
        <f aca="false">IF(I743="","",IF(I743&lt;0,"Vadesi geçti",IF(I743&lt;=7,"Bu hafta","")))</f>
        <v/>
      </c>
      <c r="K743" s="19" t="n">
        <f aca="false">IF(H743="Bekliyor",G743,0)</f>
        <v>0</v>
      </c>
    </row>
    <row r="744" customFormat="false" ht="15" hidden="false" customHeight="false" outlineLevel="0" collapsed="false">
      <c r="A744" s="12"/>
      <c r="B744" s="12"/>
      <c r="C744" s="13"/>
      <c r="D744" s="13"/>
      <c r="E744" s="13"/>
      <c r="F744" s="14"/>
      <c r="G744" s="15"/>
      <c r="H744" s="12"/>
      <c r="I744" s="16" t="str">
        <f aca="true">IF(OR(F744="",H744&lt;&gt;"Bekliyor"),"",F744-TODAY())</f>
        <v/>
      </c>
      <c r="J744" s="17" t="str">
        <f aca="false">IF(I744="","",IF(I744&lt;0,"Vadesi geçti",IF(I744&lt;=7,"Bu hafta","")))</f>
        <v/>
      </c>
      <c r="K744" s="19" t="n">
        <f aca="false">IF(H744="Bekliyor",G744,0)</f>
        <v>0</v>
      </c>
    </row>
    <row r="745" customFormat="false" ht="15" hidden="false" customHeight="false" outlineLevel="0" collapsed="false">
      <c r="A745" s="12"/>
      <c r="B745" s="12"/>
      <c r="C745" s="13"/>
      <c r="D745" s="13"/>
      <c r="E745" s="13"/>
      <c r="F745" s="14"/>
      <c r="G745" s="15"/>
      <c r="H745" s="12"/>
      <c r="I745" s="16" t="str">
        <f aca="true">IF(OR(F745="",H745&lt;&gt;"Bekliyor"),"",F745-TODAY())</f>
        <v/>
      </c>
      <c r="J745" s="17" t="str">
        <f aca="false">IF(I745="","",IF(I745&lt;0,"Vadesi geçti",IF(I745&lt;=7,"Bu hafta","")))</f>
        <v/>
      </c>
      <c r="K745" s="19" t="n">
        <f aca="false">IF(H745="Bekliyor",G745,0)</f>
        <v>0</v>
      </c>
    </row>
    <row r="746" customFormat="false" ht="15" hidden="false" customHeight="false" outlineLevel="0" collapsed="false">
      <c r="A746" s="12"/>
      <c r="B746" s="12"/>
      <c r="C746" s="13"/>
      <c r="D746" s="13"/>
      <c r="E746" s="13"/>
      <c r="F746" s="14"/>
      <c r="G746" s="15"/>
      <c r="H746" s="12"/>
      <c r="I746" s="16" t="str">
        <f aca="true">IF(OR(F746="",H746&lt;&gt;"Bekliyor"),"",F746-TODAY())</f>
        <v/>
      </c>
      <c r="J746" s="17" t="str">
        <f aca="false">IF(I746="","",IF(I746&lt;0,"Vadesi geçti",IF(I746&lt;=7,"Bu hafta","")))</f>
        <v/>
      </c>
      <c r="K746" s="19" t="n">
        <f aca="false">IF(H746="Bekliyor",G746,0)</f>
        <v>0</v>
      </c>
    </row>
    <row r="747" customFormat="false" ht="15" hidden="false" customHeight="false" outlineLevel="0" collapsed="false">
      <c r="A747" s="12"/>
      <c r="B747" s="12"/>
      <c r="C747" s="13"/>
      <c r="D747" s="13"/>
      <c r="E747" s="13"/>
      <c r="F747" s="14"/>
      <c r="G747" s="15"/>
      <c r="H747" s="12"/>
      <c r="I747" s="16" t="str">
        <f aca="true">IF(OR(F747="",H747&lt;&gt;"Bekliyor"),"",F747-TODAY())</f>
        <v/>
      </c>
      <c r="J747" s="17" t="str">
        <f aca="false">IF(I747="","",IF(I747&lt;0,"Vadesi geçti",IF(I747&lt;=7,"Bu hafta","")))</f>
        <v/>
      </c>
      <c r="K747" s="19" t="n">
        <f aca="false">IF(H747="Bekliyor",G747,0)</f>
        <v>0</v>
      </c>
    </row>
    <row r="748" customFormat="false" ht="15" hidden="false" customHeight="false" outlineLevel="0" collapsed="false">
      <c r="A748" s="12"/>
      <c r="B748" s="12"/>
      <c r="C748" s="13"/>
      <c r="D748" s="13"/>
      <c r="E748" s="13"/>
      <c r="F748" s="14"/>
      <c r="G748" s="15"/>
      <c r="H748" s="12"/>
      <c r="I748" s="16" t="str">
        <f aca="true">IF(OR(F748="",H748&lt;&gt;"Bekliyor"),"",F748-TODAY())</f>
        <v/>
      </c>
      <c r="J748" s="17" t="str">
        <f aca="false">IF(I748="","",IF(I748&lt;0,"Vadesi geçti",IF(I748&lt;=7,"Bu hafta","")))</f>
        <v/>
      </c>
      <c r="K748" s="19" t="n">
        <f aca="false">IF(H748="Bekliyor",G748,0)</f>
        <v>0</v>
      </c>
    </row>
    <row r="749" customFormat="false" ht="15" hidden="false" customHeight="false" outlineLevel="0" collapsed="false">
      <c r="A749" s="12"/>
      <c r="B749" s="12"/>
      <c r="C749" s="13"/>
      <c r="D749" s="13"/>
      <c r="E749" s="13"/>
      <c r="F749" s="14"/>
      <c r="G749" s="15"/>
      <c r="H749" s="12"/>
      <c r="I749" s="16" t="str">
        <f aca="true">IF(OR(F749="",H749&lt;&gt;"Bekliyor"),"",F749-TODAY())</f>
        <v/>
      </c>
      <c r="J749" s="17" t="str">
        <f aca="false">IF(I749="","",IF(I749&lt;0,"Vadesi geçti",IF(I749&lt;=7,"Bu hafta","")))</f>
        <v/>
      </c>
      <c r="K749" s="19" t="n">
        <f aca="false">IF(H749="Bekliyor",G749,0)</f>
        <v>0</v>
      </c>
    </row>
    <row r="750" customFormat="false" ht="15" hidden="false" customHeight="false" outlineLevel="0" collapsed="false">
      <c r="A750" s="12"/>
      <c r="B750" s="12"/>
      <c r="C750" s="13"/>
      <c r="D750" s="13"/>
      <c r="E750" s="13"/>
      <c r="F750" s="14"/>
      <c r="G750" s="15"/>
      <c r="H750" s="12"/>
      <c r="I750" s="16" t="str">
        <f aca="true">IF(OR(F750="",H750&lt;&gt;"Bekliyor"),"",F750-TODAY())</f>
        <v/>
      </c>
      <c r="J750" s="17" t="str">
        <f aca="false">IF(I750="","",IF(I750&lt;0,"Vadesi geçti",IF(I750&lt;=7,"Bu hafta","")))</f>
        <v/>
      </c>
      <c r="K750" s="19" t="n">
        <f aca="false">IF(H750="Bekliyor",G750,0)</f>
        <v>0</v>
      </c>
    </row>
    <row r="751" customFormat="false" ht="15" hidden="false" customHeight="false" outlineLevel="0" collapsed="false">
      <c r="A751" s="12"/>
      <c r="B751" s="12"/>
      <c r="C751" s="13"/>
      <c r="D751" s="13"/>
      <c r="E751" s="13"/>
      <c r="F751" s="14"/>
      <c r="G751" s="15"/>
      <c r="H751" s="12"/>
      <c r="I751" s="16" t="str">
        <f aca="true">IF(OR(F751="",H751&lt;&gt;"Bekliyor"),"",F751-TODAY())</f>
        <v/>
      </c>
      <c r="J751" s="17" t="str">
        <f aca="false">IF(I751="","",IF(I751&lt;0,"Vadesi geçti",IF(I751&lt;=7,"Bu hafta","")))</f>
        <v/>
      </c>
      <c r="K751" s="19" t="n">
        <f aca="false">IF(H751="Bekliyor",G751,0)</f>
        <v>0</v>
      </c>
    </row>
    <row r="752" customFormat="false" ht="15" hidden="false" customHeight="false" outlineLevel="0" collapsed="false">
      <c r="A752" s="12"/>
      <c r="B752" s="12"/>
      <c r="C752" s="13"/>
      <c r="D752" s="13"/>
      <c r="E752" s="13"/>
      <c r="F752" s="14"/>
      <c r="G752" s="15"/>
      <c r="H752" s="12"/>
      <c r="I752" s="16" t="str">
        <f aca="true">IF(OR(F752="",H752&lt;&gt;"Bekliyor"),"",F752-TODAY())</f>
        <v/>
      </c>
      <c r="J752" s="17" t="str">
        <f aca="false">IF(I752="","",IF(I752&lt;0,"Vadesi geçti",IF(I752&lt;=7,"Bu hafta","")))</f>
        <v/>
      </c>
      <c r="K752" s="19" t="n">
        <f aca="false">IF(H752="Bekliyor",G752,0)</f>
        <v>0</v>
      </c>
    </row>
    <row r="753" customFormat="false" ht="15" hidden="false" customHeight="false" outlineLevel="0" collapsed="false">
      <c r="A753" s="12"/>
      <c r="B753" s="12"/>
      <c r="C753" s="13"/>
      <c r="D753" s="13"/>
      <c r="E753" s="13"/>
      <c r="F753" s="14"/>
      <c r="G753" s="15"/>
      <c r="H753" s="12"/>
      <c r="I753" s="16" t="str">
        <f aca="true">IF(OR(F753="",H753&lt;&gt;"Bekliyor"),"",F753-TODAY())</f>
        <v/>
      </c>
      <c r="J753" s="17" t="str">
        <f aca="false">IF(I753="","",IF(I753&lt;0,"Vadesi geçti",IF(I753&lt;=7,"Bu hafta","")))</f>
        <v/>
      </c>
      <c r="K753" s="19" t="n">
        <f aca="false">IF(H753="Bekliyor",G753,0)</f>
        <v>0</v>
      </c>
    </row>
    <row r="754" customFormat="false" ht="15" hidden="false" customHeight="false" outlineLevel="0" collapsed="false">
      <c r="A754" s="12"/>
      <c r="B754" s="12"/>
      <c r="C754" s="13"/>
      <c r="D754" s="13"/>
      <c r="E754" s="13"/>
      <c r="F754" s="14"/>
      <c r="G754" s="15"/>
      <c r="H754" s="12"/>
      <c r="I754" s="16" t="str">
        <f aca="true">IF(OR(F754="",H754&lt;&gt;"Bekliyor"),"",F754-TODAY())</f>
        <v/>
      </c>
      <c r="J754" s="17" t="str">
        <f aca="false">IF(I754="","",IF(I754&lt;0,"Vadesi geçti",IF(I754&lt;=7,"Bu hafta","")))</f>
        <v/>
      </c>
      <c r="K754" s="19" t="n">
        <f aca="false">IF(H754="Bekliyor",G754,0)</f>
        <v>0</v>
      </c>
    </row>
    <row r="755" customFormat="false" ht="15" hidden="false" customHeight="false" outlineLevel="0" collapsed="false">
      <c r="A755" s="12"/>
      <c r="B755" s="12"/>
      <c r="C755" s="13"/>
      <c r="D755" s="13"/>
      <c r="E755" s="13"/>
      <c r="F755" s="14"/>
      <c r="G755" s="15"/>
      <c r="H755" s="12"/>
      <c r="I755" s="16" t="str">
        <f aca="true">IF(OR(F755="",H755&lt;&gt;"Bekliyor"),"",F755-TODAY())</f>
        <v/>
      </c>
      <c r="J755" s="17" t="str">
        <f aca="false">IF(I755="","",IF(I755&lt;0,"Vadesi geçti",IF(I755&lt;=7,"Bu hafta","")))</f>
        <v/>
      </c>
      <c r="K755" s="19" t="n">
        <f aca="false">IF(H755="Bekliyor",G755,0)</f>
        <v>0</v>
      </c>
    </row>
    <row r="756" customFormat="false" ht="15" hidden="false" customHeight="false" outlineLevel="0" collapsed="false">
      <c r="A756" s="12"/>
      <c r="B756" s="12"/>
      <c r="C756" s="13"/>
      <c r="D756" s="13"/>
      <c r="E756" s="13"/>
      <c r="F756" s="14"/>
      <c r="G756" s="15"/>
      <c r="H756" s="12"/>
      <c r="I756" s="16" t="str">
        <f aca="true">IF(OR(F756="",H756&lt;&gt;"Bekliyor"),"",F756-TODAY())</f>
        <v/>
      </c>
      <c r="J756" s="17" t="str">
        <f aca="false">IF(I756="","",IF(I756&lt;0,"Vadesi geçti",IF(I756&lt;=7,"Bu hafta","")))</f>
        <v/>
      </c>
      <c r="K756" s="19" t="n">
        <f aca="false">IF(H756="Bekliyor",G756,0)</f>
        <v>0</v>
      </c>
    </row>
    <row r="757" customFormat="false" ht="15" hidden="false" customHeight="false" outlineLevel="0" collapsed="false">
      <c r="A757" s="12"/>
      <c r="B757" s="12"/>
      <c r="C757" s="13"/>
      <c r="D757" s="13"/>
      <c r="E757" s="13"/>
      <c r="F757" s="14"/>
      <c r="G757" s="15"/>
      <c r="H757" s="12"/>
      <c r="I757" s="16" t="str">
        <f aca="true">IF(OR(F757="",H757&lt;&gt;"Bekliyor"),"",F757-TODAY())</f>
        <v/>
      </c>
      <c r="J757" s="17" t="str">
        <f aca="false">IF(I757="","",IF(I757&lt;0,"Vadesi geçti",IF(I757&lt;=7,"Bu hafta","")))</f>
        <v/>
      </c>
      <c r="K757" s="19" t="n">
        <f aca="false">IF(H757="Bekliyor",G757,0)</f>
        <v>0</v>
      </c>
    </row>
    <row r="758" customFormat="false" ht="15" hidden="false" customHeight="false" outlineLevel="0" collapsed="false">
      <c r="A758" s="12"/>
      <c r="B758" s="12"/>
      <c r="C758" s="13"/>
      <c r="D758" s="13"/>
      <c r="E758" s="13"/>
      <c r="F758" s="14"/>
      <c r="G758" s="15"/>
      <c r="H758" s="12"/>
      <c r="I758" s="16" t="str">
        <f aca="true">IF(OR(F758="",H758&lt;&gt;"Bekliyor"),"",F758-TODAY())</f>
        <v/>
      </c>
      <c r="J758" s="17" t="str">
        <f aca="false">IF(I758="","",IF(I758&lt;0,"Vadesi geçti",IF(I758&lt;=7,"Bu hafta","")))</f>
        <v/>
      </c>
      <c r="K758" s="19" t="n">
        <f aca="false">IF(H758="Bekliyor",G758,0)</f>
        <v>0</v>
      </c>
    </row>
    <row r="759" customFormat="false" ht="15" hidden="false" customHeight="false" outlineLevel="0" collapsed="false">
      <c r="A759" s="12"/>
      <c r="B759" s="12"/>
      <c r="C759" s="13"/>
      <c r="D759" s="13"/>
      <c r="E759" s="13"/>
      <c r="F759" s="14"/>
      <c r="G759" s="15"/>
      <c r="H759" s="12"/>
      <c r="I759" s="16" t="str">
        <f aca="true">IF(OR(F759="",H759&lt;&gt;"Bekliyor"),"",F759-TODAY())</f>
        <v/>
      </c>
      <c r="J759" s="17" t="str">
        <f aca="false">IF(I759="","",IF(I759&lt;0,"Vadesi geçti",IF(I759&lt;=7,"Bu hafta","")))</f>
        <v/>
      </c>
      <c r="K759" s="19" t="n">
        <f aca="false">IF(H759="Bekliyor",G759,0)</f>
        <v>0</v>
      </c>
    </row>
    <row r="760" customFormat="false" ht="15" hidden="false" customHeight="false" outlineLevel="0" collapsed="false">
      <c r="A760" s="12"/>
      <c r="B760" s="12"/>
      <c r="C760" s="13"/>
      <c r="D760" s="13"/>
      <c r="E760" s="13"/>
      <c r="F760" s="14"/>
      <c r="G760" s="15"/>
      <c r="H760" s="12"/>
      <c r="I760" s="16" t="str">
        <f aca="true">IF(OR(F760="",H760&lt;&gt;"Bekliyor"),"",F760-TODAY())</f>
        <v/>
      </c>
      <c r="J760" s="17" t="str">
        <f aca="false">IF(I760="","",IF(I760&lt;0,"Vadesi geçti",IF(I760&lt;=7,"Bu hafta","")))</f>
        <v/>
      </c>
      <c r="K760" s="19" t="n">
        <f aca="false">IF(H760="Bekliyor",G760,0)</f>
        <v>0</v>
      </c>
    </row>
    <row r="761" customFormat="false" ht="15" hidden="false" customHeight="false" outlineLevel="0" collapsed="false">
      <c r="A761" s="12"/>
      <c r="B761" s="12"/>
      <c r="C761" s="13"/>
      <c r="D761" s="13"/>
      <c r="E761" s="13"/>
      <c r="F761" s="14"/>
      <c r="G761" s="15"/>
      <c r="H761" s="12"/>
      <c r="I761" s="16" t="str">
        <f aca="true">IF(OR(F761="",H761&lt;&gt;"Bekliyor"),"",F761-TODAY())</f>
        <v/>
      </c>
      <c r="J761" s="17" t="str">
        <f aca="false">IF(I761="","",IF(I761&lt;0,"Vadesi geçti",IF(I761&lt;=7,"Bu hafta","")))</f>
        <v/>
      </c>
      <c r="K761" s="19" t="n">
        <f aca="false">IF(H761="Bekliyor",G761,0)</f>
        <v>0</v>
      </c>
    </row>
    <row r="762" customFormat="false" ht="15" hidden="false" customHeight="false" outlineLevel="0" collapsed="false">
      <c r="A762" s="12"/>
      <c r="B762" s="12"/>
      <c r="C762" s="13"/>
      <c r="D762" s="13"/>
      <c r="E762" s="13"/>
      <c r="F762" s="14"/>
      <c r="G762" s="15"/>
      <c r="H762" s="12"/>
      <c r="I762" s="16" t="str">
        <f aca="true">IF(OR(F762="",H762&lt;&gt;"Bekliyor"),"",F762-TODAY())</f>
        <v/>
      </c>
      <c r="J762" s="17" t="str">
        <f aca="false">IF(I762="","",IF(I762&lt;0,"Vadesi geçti",IF(I762&lt;=7,"Bu hafta","")))</f>
        <v/>
      </c>
      <c r="K762" s="19" t="n">
        <f aca="false">IF(H762="Bekliyor",G762,0)</f>
        <v>0</v>
      </c>
    </row>
    <row r="763" customFormat="false" ht="15" hidden="false" customHeight="false" outlineLevel="0" collapsed="false">
      <c r="A763" s="12"/>
      <c r="B763" s="12"/>
      <c r="C763" s="13"/>
      <c r="D763" s="13"/>
      <c r="E763" s="13"/>
      <c r="F763" s="14"/>
      <c r="G763" s="15"/>
      <c r="H763" s="12"/>
      <c r="I763" s="16" t="str">
        <f aca="true">IF(OR(F763="",H763&lt;&gt;"Bekliyor"),"",F763-TODAY())</f>
        <v/>
      </c>
      <c r="J763" s="17" t="str">
        <f aca="false">IF(I763="","",IF(I763&lt;0,"Vadesi geçti",IF(I763&lt;=7,"Bu hafta","")))</f>
        <v/>
      </c>
      <c r="K763" s="19" t="n">
        <f aca="false">IF(H763="Bekliyor",G763,0)</f>
        <v>0</v>
      </c>
    </row>
    <row r="764" customFormat="false" ht="15" hidden="false" customHeight="false" outlineLevel="0" collapsed="false">
      <c r="A764" s="12"/>
      <c r="B764" s="12"/>
      <c r="C764" s="13"/>
      <c r="D764" s="13"/>
      <c r="E764" s="13"/>
      <c r="F764" s="14"/>
      <c r="G764" s="15"/>
      <c r="H764" s="12"/>
      <c r="I764" s="16" t="str">
        <f aca="true">IF(OR(F764="",H764&lt;&gt;"Bekliyor"),"",F764-TODAY())</f>
        <v/>
      </c>
      <c r="J764" s="17" t="str">
        <f aca="false">IF(I764="","",IF(I764&lt;0,"Vadesi geçti",IF(I764&lt;=7,"Bu hafta","")))</f>
        <v/>
      </c>
      <c r="K764" s="19" t="n">
        <f aca="false">IF(H764="Bekliyor",G764,0)</f>
        <v>0</v>
      </c>
    </row>
    <row r="765" customFormat="false" ht="15" hidden="false" customHeight="false" outlineLevel="0" collapsed="false">
      <c r="A765" s="12"/>
      <c r="B765" s="12"/>
      <c r="C765" s="13"/>
      <c r="D765" s="13"/>
      <c r="E765" s="13"/>
      <c r="F765" s="14"/>
      <c r="G765" s="15"/>
      <c r="H765" s="12"/>
      <c r="I765" s="16" t="str">
        <f aca="true">IF(OR(F765="",H765&lt;&gt;"Bekliyor"),"",F765-TODAY())</f>
        <v/>
      </c>
      <c r="J765" s="17" t="str">
        <f aca="false">IF(I765="","",IF(I765&lt;0,"Vadesi geçti",IF(I765&lt;=7,"Bu hafta","")))</f>
        <v/>
      </c>
      <c r="K765" s="19" t="n">
        <f aca="false">IF(H765="Bekliyor",G765,0)</f>
        <v>0</v>
      </c>
    </row>
    <row r="766" customFormat="false" ht="15" hidden="false" customHeight="false" outlineLevel="0" collapsed="false">
      <c r="A766" s="12"/>
      <c r="B766" s="12"/>
      <c r="C766" s="13"/>
      <c r="D766" s="13"/>
      <c r="E766" s="13"/>
      <c r="F766" s="14"/>
      <c r="G766" s="15"/>
      <c r="H766" s="12"/>
      <c r="I766" s="16" t="str">
        <f aca="true">IF(OR(F766="",H766&lt;&gt;"Bekliyor"),"",F766-TODAY())</f>
        <v/>
      </c>
      <c r="J766" s="17" t="str">
        <f aca="false">IF(I766="","",IF(I766&lt;0,"Vadesi geçti",IF(I766&lt;=7,"Bu hafta","")))</f>
        <v/>
      </c>
      <c r="K766" s="19" t="n">
        <f aca="false">IF(H766="Bekliyor",G766,0)</f>
        <v>0</v>
      </c>
    </row>
    <row r="767" customFormat="false" ht="15" hidden="false" customHeight="false" outlineLevel="0" collapsed="false">
      <c r="A767" s="12"/>
      <c r="B767" s="12"/>
      <c r="C767" s="13"/>
      <c r="D767" s="13"/>
      <c r="E767" s="13"/>
      <c r="F767" s="14"/>
      <c r="G767" s="15"/>
      <c r="H767" s="12"/>
      <c r="I767" s="16" t="str">
        <f aca="true">IF(OR(F767="",H767&lt;&gt;"Bekliyor"),"",F767-TODAY())</f>
        <v/>
      </c>
      <c r="J767" s="17" t="str">
        <f aca="false">IF(I767="","",IF(I767&lt;0,"Vadesi geçti",IF(I767&lt;=7,"Bu hafta","")))</f>
        <v/>
      </c>
      <c r="K767" s="19" t="n">
        <f aca="false">IF(H767="Bekliyor",G767,0)</f>
        <v>0</v>
      </c>
    </row>
    <row r="768" customFormat="false" ht="15" hidden="false" customHeight="false" outlineLevel="0" collapsed="false">
      <c r="A768" s="12"/>
      <c r="B768" s="12"/>
      <c r="C768" s="13"/>
      <c r="D768" s="13"/>
      <c r="E768" s="13"/>
      <c r="F768" s="14"/>
      <c r="G768" s="15"/>
      <c r="H768" s="12"/>
      <c r="I768" s="16" t="str">
        <f aca="true">IF(OR(F768="",H768&lt;&gt;"Bekliyor"),"",F768-TODAY())</f>
        <v/>
      </c>
      <c r="J768" s="17" t="str">
        <f aca="false">IF(I768="","",IF(I768&lt;0,"Vadesi geçti",IF(I768&lt;=7,"Bu hafta","")))</f>
        <v/>
      </c>
      <c r="K768" s="19" t="n">
        <f aca="false">IF(H768="Bekliyor",G768,0)</f>
        <v>0</v>
      </c>
    </row>
    <row r="769" customFormat="false" ht="15" hidden="false" customHeight="false" outlineLevel="0" collapsed="false">
      <c r="A769" s="12"/>
      <c r="B769" s="12"/>
      <c r="C769" s="13"/>
      <c r="D769" s="13"/>
      <c r="E769" s="13"/>
      <c r="F769" s="14"/>
      <c r="G769" s="15"/>
      <c r="H769" s="12"/>
      <c r="I769" s="16" t="str">
        <f aca="true">IF(OR(F769="",H769&lt;&gt;"Bekliyor"),"",F769-TODAY())</f>
        <v/>
      </c>
      <c r="J769" s="17" t="str">
        <f aca="false">IF(I769="","",IF(I769&lt;0,"Vadesi geçti",IF(I769&lt;=7,"Bu hafta","")))</f>
        <v/>
      </c>
      <c r="K769" s="19" t="n">
        <f aca="false">IF(H769="Bekliyor",G769,0)</f>
        <v>0</v>
      </c>
    </row>
    <row r="770" customFormat="false" ht="15" hidden="false" customHeight="false" outlineLevel="0" collapsed="false">
      <c r="A770" s="12"/>
      <c r="B770" s="12"/>
      <c r="C770" s="13"/>
      <c r="D770" s="13"/>
      <c r="E770" s="13"/>
      <c r="F770" s="14"/>
      <c r="G770" s="15"/>
      <c r="H770" s="12"/>
      <c r="I770" s="16" t="str">
        <f aca="true">IF(OR(F770="",H770&lt;&gt;"Bekliyor"),"",F770-TODAY())</f>
        <v/>
      </c>
      <c r="J770" s="17" t="str">
        <f aca="false">IF(I770="","",IF(I770&lt;0,"Vadesi geçti",IF(I770&lt;=7,"Bu hafta","")))</f>
        <v/>
      </c>
      <c r="K770" s="19" t="n">
        <f aca="false">IF(H770="Bekliyor",G770,0)</f>
        <v>0</v>
      </c>
    </row>
    <row r="771" customFormat="false" ht="15" hidden="false" customHeight="false" outlineLevel="0" collapsed="false">
      <c r="A771" s="12"/>
      <c r="B771" s="12"/>
      <c r="C771" s="13"/>
      <c r="D771" s="13"/>
      <c r="E771" s="13"/>
      <c r="F771" s="14"/>
      <c r="G771" s="15"/>
      <c r="H771" s="12"/>
      <c r="I771" s="16" t="str">
        <f aca="true">IF(OR(F771="",H771&lt;&gt;"Bekliyor"),"",F771-TODAY())</f>
        <v/>
      </c>
      <c r="J771" s="17" t="str">
        <f aca="false">IF(I771="","",IF(I771&lt;0,"Vadesi geçti",IF(I771&lt;=7,"Bu hafta","")))</f>
        <v/>
      </c>
      <c r="K771" s="19" t="n">
        <f aca="false">IF(H771="Bekliyor",G771,0)</f>
        <v>0</v>
      </c>
    </row>
    <row r="772" customFormat="false" ht="15" hidden="false" customHeight="false" outlineLevel="0" collapsed="false">
      <c r="A772" s="12"/>
      <c r="B772" s="12"/>
      <c r="C772" s="13"/>
      <c r="D772" s="13"/>
      <c r="E772" s="13"/>
      <c r="F772" s="14"/>
      <c r="G772" s="15"/>
      <c r="H772" s="12"/>
      <c r="I772" s="16" t="str">
        <f aca="true">IF(OR(F772="",H772&lt;&gt;"Bekliyor"),"",F772-TODAY())</f>
        <v/>
      </c>
      <c r="J772" s="17" t="str">
        <f aca="false">IF(I772="","",IF(I772&lt;0,"Vadesi geçti",IF(I772&lt;=7,"Bu hafta","")))</f>
        <v/>
      </c>
      <c r="K772" s="19" t="n">
        <f aca="false">IF(H772="Bekliyor",G772,0)</f>
        <v>0</v>
      </c>
    </row>
    <row r="773" customFormat="false" ht="15" hidden="false" customHeight="false" outlineLevel="0" collapsed="false">
      <c r="A773" s="12"/>
      <c r="B773" s="12"/>
      <c r="C773" s="13"/>
      <c r="D773" s="13"/>
      <c r="E773" s="13"/>
      <c r="F773" s="14"/>
      <c r="G773" s="15"/>
      <c r="H773" s="12"/>
      <c r="I773" s="16" t="str">
        <f aca="true">IF(OR(F773="",H773&lt;&gt;"Bekliyor"),"",F773-TODAY())</f>
        <v/>
      </c>
      <c r="J773" s="17" t="str">
        <f aca="false">IF(I773="","",IF(I773&lt;0,"Vadesi geçti",IF(I773&lt;=7,"Bu hafta","")))</f>
        <v/>
      </c>
      <c r="K773" s="19" t="n">
        <f aca="false">IF(H773="Bekliyor",G773,0)</f>
        <v>0</v>
      </c>
    </row>
    <row r="774" customFormat="false" ht="15" hidden="false" customHeight="false" outlineLevel="0" collapsed="false">
      <c r="A774" s="12"/>
      <c r="B774" s="12"/>
      <c r="C774" s="13"/>
      <c r="D774" s="13"/>
      <c r="E774" s="13"/>
      <c r="F774" s="14"/>
      <c r="G774" s="15"/>
      <c r="H774" s="12"/>
      <c r="I774" s="16" t="str">
        <f aca="true">IF(OR(F774="",H774&lt;&gt;"Bekliyor"),"",F774-TODAY())</f>
        <v/>
      </c>
      <c r="J774" s="17" t="str">
        <f aca="false">IF(I774="","",IF(I774&lt;0,"Vadesi geçti",IF(I774&lt;=7,"Bu hafta","")))</f>
        <v/>
      </c>
      <c r="K774" s="19" t="n">
        <f aca="false">IF(H774="Bekliyor",G774,0)</f>
        <v>0</v>
      </c>
    </row>
    <row r="775" customFormat="false" ht="15" hidden="false" customHeight="false" outlineLevel="0" collapsed="false">
      <c r="A775" s="12"/>
      <c r="B775" s="12"/>
      <c r="C775" s="13"/>
      <c r="D775" s="13"/>
      <c r="E775" s="13"/>
      <c r="F775" s="14"/>
      <c r="G775" s="15"/>
      <c r="H775" s="12"/>
      <c r="I775" s="16" t="str">
        <f aca="true">IF(OR(F775="",H775&lt;&gt;"Bekliyor"),"",F775-TODAY())</f>
        <v/>
      </c>
      <c r="J775" s="17" t="str">
        <f aca="false">IF(I775="","",IF(I775&lt;0,"Vadesi geçti",IF(I775&lt;=7,"Bu hafta","")))</f>
        <v/>
      </c>
      <c r="K775" s="19" t="n">
        <f aca="false">IF(H775="Bekliyor",G775,0)</f>
        <v>0</v>
      </c>
    </row>
    <row r="776" customFormat="false" ht="15" hidden="false" customHeight="false" outlineLevel="0" collapsed="false">
      <c r="A776" s="12"/>
      <c r="B776" s="12"/>
      <c r="C776" s="13"/>
      <c r="D776" s="13"/>
      <c r="E776" s="13"/>
      <c r="F776" s="14"/>
      <c r="G776" s="15"/>
      <c r="H776" s="12"/>
      <c r="I776" s="16" t="str">
        <f aca="true">IF(OR(F776="",H776&lt;&gt;"Bekliyor"),"",F776-TODAY())</f>
        <v/>
      </c>
      <c r="J776" s="17" t="str">
        <f aca="false">IF(I776="","",IF(I776&lt;0,"Vadesi geçti",IF(I776&lt;=7,"Bu hafta","")))</f>
        <v/>
      </c>
      <c r="K776" s="19" t="n">
        <f aca="false">IF(H776="Bekliyor",G776,0)</f>
        <v>0</v>
      </c>
    </row>
    <row r="777" customFormat="false" ht="15" hidden="false" customHeight="false" outlineLevel="0" collapsed="false">
      <c r="A777" s="12"/>
      <c r="B777" s="12"/>
      <c r="C777" s="13"/>
      <c r="D777" s="13"/>
      <c r="E777" s="13"/>
      <c r="F777" s="14"/>
      <c r="G777" s="15"/>
      <c r="H777" s="12"/>
      <c r="I777" s="16" t="str">
        <f aca="true">IF(OR(F777="",H777&lt;&gt;"Bekliyor"),"",F777-TODAY())</f>
        <v/>
      </c>
      <c r="J777" s="17" t="str">
        <f aca="false">IF(I777="","",IF(I777&lt;0,"Vadesi geçti",IF(I777&lt;=7,"Bu hafta","")))</f>
        <v/>
      </c>
      <c r="K777" s="19" t="n">
        <f aca="false">IF(H777="Bekliyor",G777,0)</f>
        <v>0</v>
      </c>
    </row>
    <row r="778" customFormat="false" ht="15" hidden="false" customHeight="false" outlineLevel="0" collapsed="false">
      <c r="A778" s="12"/>
      <c r="B778" s="12"/>
      <c r="C778" s="13"/>
      <c r="D778" s="13"/>
      <c r="E778" s="13"/>
      <c r="F778" s="14"/>
      <c r="G778" s="15"/>
      <c r="H778" s="12"/>
      <c r="I778" s="16" t="str">
        <f aca="true">IF(OR(F778="",H778&lt;&gt;"Bekliyor"),"",F778-TODAY())</f>
        <v/>
      </c>
      <c r="J778" s="17" t="str">
        <f aca="false">IF(I778="","",IF(I778&lt;0,"Vadesi geçti",IF(I778&lt;=7,"Bu hafta","")))</f>
        <v/>
      </c>
      <c r="K778" s="19" t="n">
        <f aca="false">IF(H778="Bekliyor",G778,0)</f>
        <v>0</v>
      </c>
    </row>
    <row r="779" customFormat="false" ht="15" hidden="false" customHeight="false" outlineLevel="0" collapsed="false">
      <c r="A779" s="12"/>
      <c r="B779" s="12"/>
      <c r="C779" s="13"/>
      <c r="D779" s="13"/>
      <c r="E779" s="13"/>
      <c r="F779" s="14"/>
      <c r="G779" s="15"/>
      <c r="H779" s="12"/>
      <c r="I779" s="16" t="str">
        <f aca="true">IF(OR(F779="",H779&lt;&gt;"Bekliyor"),"",F779-TODAY())</f>
        <v/>
      </c>
      <c r="J779" s="17" t="str">
        <f aca="false">IF(I779="","",IF(I779&lt;0,"Vadesi geçti",IF(I779&lt;=7,"Bu hafta","")))</f>
        <v/>
      </c>
      <c r="K779" s="19" t="n">
        <f aca="false">IF(H779="Bekliyor",G779,0)</f>
        <v>0</v>
      </c>
    </row>
    <row r="780" customFormat="false" ht="15" hidden="false" customHeight="false" outlineLevel="0" collapsed="false">
      <c r="A780" s="12"/>
      <c r="B780" s="12"/>
      <c r="C780" s="13"/>
      <c r="D780" s="13"/>
      <c r="E780" s="13"/>
      <c r="F780" s="14"/>
      <c r="G780" s="15"/>
      <c r="H780" s="12"/>
      <c r="I780" s="16" t="str">
        <f aca="true">IF(OR(F780="",H780&lt;&gt;"Bekliyor"),"",F780-TODAY())</f>
        <v/>
      </c>
      <c r="J780" s="17" t="str">
        <f aca="false">IF(I780="","",IF(I780&lt;0,"Vadesi geçti",IF(I780&lt;=7,"Bu hafta","")))</f>
        <v/>
      </c>
      <c r="K780" s="19" t="n">
        <f aca="false">IF(H780="Bekliyor",G780,0)</f>
        <v>0</v>
      </c>
    </row>
    <row r="781" customFormat="false" ht="15" hidden="false" customHeight="false" outlineLevel="0" collapsed="false">
      <c r="A781" s="12"/>
      <c r="B781" s="12"/>
      <c r="C781" s="13"/>
      <c r="D781" s="13"/>
      <c r="E781" s="13"/>
      <c r="F781" s="14"/>
      <c r="G781" s="15"/>
      <c r="H781" s="12"/>
      <c r="I781" s="16" t="str">
        <f aca="true">IF(OR(F781="",H781&lt;&gt;"Bekliyor"),"",F781-TODAY())</f>
        <v/>
      </c>
      <c r="J781" s="17" t="str">
        <f aca="false">IF(I781="","",IF(I781&lt;0,"Vadesi geçti",IF(I781&lt;=7,"Bu hafta","")))</f>
        <v/>
      </c>
      <c r="K781" s="19" t="n">
        <f aca="false">IF(H781="Bekliyor",G781,0)</f>
        <v>0</v>
      </c>
    </row>
    <row r="782" customFormat="false" ht="15" hidden="false" customHeight="false" outlineLevel="0" collapsed="false">
      <c r="A782" s="12"/>
      <c r="B782" s="12"/>
      <c r="C782" s="13"/>
      <c r="D782" s="13"/>
      <c r="E782" s="13"/>
      <c r="F782" s="14"/>
      <c r="G782" s="15"/>
      <c r="H782" s="12"/>
      <c r="I782" s="16" t="str">
        <f aca="true">IF(OR(F782="",H782&lt;&gt;"Bekliyor"),"",F782-TODAY())</f>
        <v/>
      </c>
      <c r="J782" s="17" t="str">
        <f aca="false">IF(I782="","",IF(I782&lt;0,"Vadesi geçti",IF(I782&lt;=7,"Bu hafta","")))</f>
        <v/>
      </c>
      <c r="K782" s="19" t="n">
        <f aca="false">IF(H782="Bekliyor",G782,0)</f>
        <v>0</v>
      </c>
    </row>
    <row r="783" customFormat="false" ht="15" hidden="false" customHeight="false" outlineLevel="0" collapsed="false">
      <c r="A783" s="12"/>
      <c r="B783" s="12"/>
      <c r="C783" s="13"/>
      <c r="D783" s="13"/>
      <c r="E783" s="13"/>
      <c r="F783" s="14"/>
      <c r="G783" s="15"/>
      <c r="H783" s="12"/>
      <c r="I783" s="16" t="str">
        <f aca="true">IF(OR(F783="",H783&lt;&gt;"Bekliyor"),"",F783-TODAY())</f>
        <v/>
      </c>
      <c r="J783" s="17" t="str">
        <f aca="false">IF(I783="","",IF(I783&lt;0,"Vadesi geçti",IF(I783&lt;=7,"Bu hafta","")))</f>
        <v/>
      </c>
      <c r="K783" s="19" t="n">
        <f aca="false">IF(H783="Bekliyor",G783,0)</f>
        <v>0</v>
      </c>
    </row>
    <row r="784" customFormat="false" ht="15" hidden="false" customHeight="false" outlineLevel="0" collapsed="false">
      <c r="A784" s="12"/>
      <c r="B784" s="12"/>
      <c r="C784" s="13"/>
      <c r="D784" s="13"/>
      <c r="E784" s="13"/>
      <c r="F784" s="14"/>
      <c r="G784" s="15"/>
      <c r="H784" s="12"/>
      <c r="I784" s="16" t="str">
        <f aca="true">IF(OR(F784="",H784&lt;&gt;"Bekliyor"),"",F784-TODAY())</f>
        <v/>
      </c>
      <c r="J784" s="17" t="str">
        <f aca="false">IF(I784="","",IF(I784&lt;0,"Vadesi geçti",IF(I784&lt;=7,"Bu hafta","")))</f>
        <v/>
      </c>
      <c r="K784" s="19" t="n">
        <f aca="false">IF(H784="Bekliyor",G784,0)</f>
        <v>0</v>
      </c>
    </row>
    <row r="785" customFormat="false" ht="15" hidden="false" customHeight="false" outlineLevel="0" collapsed="false">
      <c r="A785" s="12"/>
      <c r="B785" s="12"/>
      <c r="C785" s="13"/>
      <c r="D785" s="13"/>
      <c r="E785" s="13"/>
      <c r="F785" s="14"/>
      <c r="G785" s="15"/>
      <c r="H785" s="12"/>
      <c r="I785" s="16" t="str">
        <f aca="true">IF(OR(F785="",H785&lt;&gt;"Bekliyor"),"",F785-TODAY())</f>
        <v/>
      </c>
      <c r="J785" s="17" t="str">
        <f aca="false">IF(I785="","",IF(I785&lt;0,"Vadesi geçti",IF(I785&lt;=7,"Bu hafta","")))</f>
        <v/>
      </c>
      <c r="K785" s="19" t="n">
        <f aca="false">IF(H785="Bekliyor",G785,0)</f>
        <v>0</v>
      </c>
    </row>
    <row r="786" customFormat="false" ht="15" hidden="false" customHeight="false" outlineLevel="0" collapsed="false">
      <c r="A786" s="12"/>
      <c r="B786" s="12"/>
      <c r="C786" s="13"/>
      <c r="D786" s="13"/>
      <c r="E786" s="13"/>
      <c r="F786" s="14"/>
      <c r="G786" s="15"/>
      <c r="H786" s="12"/>
      <c r="I786" s="16" t="str">
        <f aca="true">IF(OR(F786="",H786&lt;&gt;"Bekliyor"),"",F786-TODAY())</f>
        <v/>
      </c>
      <c r="J786" s="17" t="str">
        <f aca="false">IF(I786="","",IF(I786&lt;0,"Vadesi geçti",IF(I786&lt;=7,"Bu hafta","")))</f>
        <v/>
      </c>
      <c r="K786" s="19" t="n">
        <f aca="false">IF(H786="Bekliyor",G786,0)</f>
        <v>0</v>
      </c>
    </row>
    <row r="787" customFormat="false" ht="15" hidden="false" customHeight="false" outlineLevel="0" collapsed="false">
      <c r="A787" s="12"/>
      <c r="B787" s="12"/>
      <c r="C787" s="13"/>
      <c r="D787" s="13"/>
      <c r="E787" s="13"/>
      <c r="F787" s="14"/>
      <c r="G787" s="15"/>
      <c r="H787" s="12"/>
      <c r="I787" s="16" t="str">
        <f aca="true">IF(OR(F787="",H787&lt;&gt;"Bekliyor"),"",F787-TODAY())</f>
        <v/>
      </c>
      <c r="J787" s="17" t="str">
        <f aca="false">IF(I787="","",IF(I787&lt;0,"Vadesi geçti",IF(I787&lt;=7,"Bu hafta","")))</f>
        <v/>
      </c>
      <c r="K787" s="19" t="n">
        <f aca="false">IF(H787="Bekliyor",G787,0)</f>
        <v>0</v>
      </c>
    </row>
    <row r="788" customFormat="false" ht="15" hidden="false" customHeight="false" outlineLevel="0" collapsed="false">
      <c r="A788" s="12"/>
      <c r="B788" s="12"/>
      <c r="C788" s="13"/>
      <c r="D788" s="13"/>
      <c r="E788" s="13"/>
      <c r="F788" s="14"/>
      <c r="G788" s="15"/>
      <c r="H788" s="12"/>
      <c r="I788" s="16" t="str">
        <f aca="true">IF(OR(F788="",H788&lt;&gt;"Bekliyor"),"",F788-TODAY())</f>
        <v/>
      </c>
      <c r="J788" s="17" t="str">
        <f aca="false">IF(I788="","",IF(I788&lt;0,"Vadesi geçti",IF(I788&lt;=7,"Bu hafta","")))</f>
        <v/>
      </c>
      <c r="K788" s="19" t="n">
        <f aca="false">IF(H788="Bekliyor",G788,0)</f>
        <v>0</v>
      </c>
    </row>
    <row r="789" customFormat="false" ht="15" hidden="false" customHeight="false" outlineLevel="0" collapsed="false">
      <c r="A789" s="12"/>
      <c r="B789" s="12"/>
      <c r="C789" s="13"/>
      <c r="D789" s="13"/>
      <c r="E789" s="13"/>
      <c r="F789" s="14"/>
      <c r="G789" s="15"/>
      <c r="H789" s="12"/>
      <c r="I789" s="16" t="str">
        <f aca="true">IF(OR(F789="",H789&lt;&gt;"Bekliyor"),"",F789-TODAY())</f>
        <v/>
      </c>
      <c r="J789" s="17" t="str">
        <f aca="false">IF(I789="","",IF(I789&lt;0,"Vadesi geçti",IF(I789&lt;=7,"Bu hafta","")))</f>
        <v/>
      </c>
      <c r="K789" s="19" t="n">
        <f aca="false">IF(H789="Bekliyor",G789,0)</f>
        <v>0</v>
      </c>
    </row>
    <row r="790" customFormat="false" ht="15" hidden="false" customHeight="false" outlineLevel="0" collapsed="false">
      <c r="A790" s="12"/>
      <c r="B790" s="12"/>
      <c r="C790" s="13"/>
      <c r="D790" s="13"/>
      <c r="E790" s="13"/>
      <c r="F790" s="14"/>
      <c r="G790" s="15"/>
      <c r="H790" s="12"/>
      <c r="I790" s="16" t="str">
        <f aca="true">IF(OR(F790="",H790&lt;&gt;"Bekliyor"),"",F790-TODAY())</f>
        <v/>
      </c>
      <c r="J790" s="17" t="str">
        <f aca="false">IF(I790="","",IF(I790&lt;0,"Vadesi geçti",IF(I790&lt;=7,"Bu hafta","")))</f>
        <v/>
      </c>
      <c r="K790" s="19" t="n">
        <f aca="false">IF(H790="Bekliyor",G790,0)</f>
        <v>0</v>
      </c>
    </row>
    <row r="791" customFormat="false" ht="15" hidden="false" customHeight="false" outlineLevel="0" collapsed="false">
      <c r="A791" s="12"/>
      <c r="B791" s="12"/>
      <c r="C791" s="13"/>
      <c r="D791" s="13"/>
      <c r="E791" s="13"/>
      <c r="F791" s="14"/>
      <c r="G791" s="15"/>
      <c r="H791" s="12"/>
      <c r="I791" s="16" t="str">
        <f aca="true">IF(OR(F791="",H791&lt;&gt;"Bekliyor"),"",F791-TODAY())</f>
        <v/>
      </c>
      <c r="J791" s="17" t="str">
        <f aca="false">IF(I791="","",IF(I791&lt;0,"Vadesi geçti",IF(I791&lt;=7,"Bu hafta","")))</f>
        <v/>
      </c>
      <c r="K791" s="19" t="n">
        <f aca="false">IF(H791="Bekliyor",G791,0)</f>
        <v>0</v>
      </c>
    </row>
    <row r="792" customFormat="false" ht="15" hidden="false" customHeight="false" outlineLevel="0" collapsed="false">
      <c r="A792" s="12"/>
      <c r="B792" s="12"/>
      <c r="C792" s="13"/>
      <c r="D792" s="13"/>
      <c r="E792" s="13"/>
      <c r="F792" s="14"/>
      <c r="G792" s="15"/>
      <c r="H792" s="12"/>
      <c r="I792" s="16" t="str">
        <f aca="true">IF(OR(F792="",H792&lt;&gt;"Bekliyor"),"",F792-TODAY())</f>
        <v/>
      </c>
      <c r="J792" s="17" t="str">
        <f aca="false">IF(I792="","",IF(I792&lt;0,"Vadesi geçti",IF(I792&lt;=7,"Bu hafta","")))</f>
        <v/>
      </c>
      <c r="K792" s="19" t="n">
        <f aca="false">IF(H792="Bekliyor",G792,0)</f>
        <v>0</v>
      </c>
    </row>
    <row r="793" customFormat="false" ht="15" hidden="false" customHeight="false" outlineLevel="0" collapsed="false">
      <c r="A793" s="12"/>
      <c r="B793" s="12"/>
      <c r="C793" s="13"/>
      <c r="D793" s="13"/>
      <c r="E793" s="13"/>
      <c r="F793" s="14"/>
      <c r="G793" s="15"/>
      <c r="H793" s="12"/>
      <c r="I793" s="16" t="str">
        <f aca="true">IF(OR(F793="",H793&lt;&gt;"Bekliyor"),"",F793-TODAY())</f>
        <v/>
      </c>
      <c r="J793" s="17" t="str">
        <f aca="false">IF(I793="","",IF(I793&lt;0,"Vadesi geçti",IF(I793&lt;=7,"Bu hafta","")))</f>
        <v/>
      </c>
      <c r="K793" s="19" t="n">
        <f aca="false">IF(H793="Bekliyor",G793,0)</f>
        <v>0</v>
      </c>
    </row>
    <row r="794" customFormat="false" ht="15" hidden="false" customHeight="false" outlineLevel="0" collapsed="false">
      <c r="A794" s="12"/>
      <c r="B794" s="12"/>
      <c r="C794" s="13"/>
      <c r="D794" s="13"/>
      <c r="E794" s="13"/>
      <c r="F794" s="14"/>
      <c r="G794" s="15"/>
      <c r="H794" s="12"/>
      <c r="I794" s="16" t="str">
        <f aca="true">IF(OR(F794="",H794&lt;&gt;"Bekliyor"),"",F794-TODAY())</f>
        <v/>
      </c>
      <c r="J794" s="17" t="str">
        <f aca="false">IF(I794="","",IF(I794&lt;0,"Vadesi geçti",IF(I794&lt;=7,"Bu hafta","")))</f>
        <v/>
      </c>
      <c r="K794" s="19" t="n">
        <f aca="false">IF(H794="Bekliyor",G794,0)</f>
        <v>0</v>
      </c>
    </row>
    <row r="795" customFormat="false" ht="15" hidden="false" customHeight="false" outlineLevel="0" collapsed="false">
      <c r="A795" s="12"/>
      <c r="B795" s="12"/>
      <c r="C795" s="13"/>
      <c r="D795" s="13"/>
      <c r="E795" s="13"/>
      <c r="F795" s="14"/>
      <c r="G795" s="15"/>
      <c r="H795" s="12"/>
      <c r="I795" s="16" t="str">
        <f aca="true">IF(OR(F795="",H795&lt;&gt;"Bekliyor"),"",F795-TODAY())</f>
        <v/>
      </c>
      <c r="J795" s="17" t="str">
        <f aca="false">IF(I795="","",IF(I795&lt;0,"Vadesi geçti",IF(I795&lt;=7,"Bu hafta","")))</f>
        <v/>
      </c>
      <c r="K795" s="19" t="n">
        <f aca="false">IF(H795="Bekliyor",G795,0)</f>
        <v>0</v>
      </c>
    </row>
    <row r="796" customFormat="false" ht="15" hidden="false" customHeight="false" outlineLevel="0" collapsed="false">
      <c r="A796" s="12"/>
      <c r="B796" s="12"/>
      <c r="C796" s="13"/>
      <c r="D796" s="13"/>
      <c r="E796" s="13"/>
      <c r="F796" s="14"/>
      <c r="G796" s="15"/>
      <c r="H796" s="12"/>
      <c r="I796" s="16" t="str">
        <f aca="true">IF(OR(F796="",H796&lt;&gt;"Bekliyor"),"",F796-TODAY())</f>
        <v/>
      </c>
      <c r="J796" s="17" t="str">
        <f aca="false">IF(I796="","",IF(I796&lt;0,"Vadesi geçti",IF(I796&lt;=7,"Bu hafta","")))</f>
        <v/>
      </c>
      <c r="K796" s="19" t="n">
        <f aca="false">IF(H796="Bekliyor",G796,0)</f>
        <v>0</v>
      </c>
    </row>
    <row r="797" customFormat="false" ht="15" hidden="false" customHeight="false" outlineLevel="0" collapsed="false">
      <c r="A797" s="12"/>
      <c r="B797" s="12"/>
      <c r="C797" s="13"/>
      <c r="D797" s="13"/>
      <c r="E797" s="13"/>
      <c r="F797" s="14"/>
      <c r="G797" s="15"/>
      <c r="H797" s="12"/>
      <c r="I797" s="16" t="str">
        <f aca="true">IF(OR(F797="",H797&lt;&gt;"Bekliyor"),"",F797-TODAY())</f>
        <v/>
      </c>
      <c r="J797" s="17" t="str">
        <f aca="false">IF(I797="","",IF(I797&lt;0,"Vadesi geçti",IF(I797&lt;=7,"Bu hafta","")))</f>
        <v/>
      </c>
      <c r="K797" s="19" t="n">
        <f aca="false">IF(H797="Bekliyor",G797,0)</f>
        <v>0</v>
      </c>
    </row>
    <row r="798" customFormat="false" ht="15" hidden="false" customHeight="false" outlineLevel="0" collapsed="false">
      <c r="A798" s="12"/>
      <c r="B798" s="12"/>
      <c r="C798" s="13"/>
      <c r="D798" s="13"/>
      <c r="E798" s="13"/>
      <c r="F798" s="14"/>
      <c r="G798" s="15"/>
      <c r="H798" s="12"/>
      <c r="I798" s="16" t="str">
        <f aca="true">IF(OR(F798="",H798&lt;&gt;"Bekliyor"),"",F798-TODAY())</f>
        <v/>
      </c>
      <c r="J798" s="17" t="str">
        <f aca="false">IF(I798="","",IF(I798&lt;0,"Vadesi geçti",IF(I798&lt;=7,"Bu hafta","")))</f>
        <v/>
      </c>
      <c r="K798" s="19" t="n">
        <f aca="false">IF(H798="Bekliyor",G798,0)</f>
        <v>0</v>
      </c>
    </row>
    <row r="799" customFormat="false" ht="15" hidden="false" customHeight="false" outlineLevel="0" collapsed="false">
      <c r="A799" s="12"/>
      <c r="B799" s="12"/>
      <c r="C799" s="13"/>
      <c r="D799" s="13"/>
      <c r="E799" s="13"/>
      <c r="F799" s="14"/>
      <c r="G799" s="15"/>
      <c r="H799" s="12"/>
      <c r="I799" s="16" t="str">
        <f aca="true">IF(OR(F799="",H799&lt;&gt;"Bekliyor"),"",F799-TODAY())</f>
        <v/>
      </c>
      <c r="J799" s="17" t="str">
        <f aca="false">IF(I799="","",IF(I799&lt;0,"Vadesi geçti",IF(I799&lt;=7,"Bu hafta","")))</f>
        <v/>
      </c>
      <c r="K799" s="19" t="n">
        <f aca="false">IF(H799="Bekliyor",G799,0)</f>
        <v>0</v>
      </c>
    </row>
    <row r="800" customFormat="false" ht="15" hidden="false" customHeight="false" outlineLevel="0" collapsed="false">
      <c r="A800" s="12"/>
      <c r="B800" s="12"/>
      <c r="C800" s="13"/>
      <c r="D800" s="13"/>
      <c r="E800" s="13"/>
      <c r="F800" s="14"/>
      <c r="G800" s="15"/>
      <c r="H800" s="12"/>
      <c r="I800" s="16" t="str">
        <f aca="true">IF(OR(F800="",H800&lt;&gt;"Bekliyor"),"",F800-TODAY())</f>
        <v/>
      </c>
      <c r="J800" s="17" t="str">
        <f aca="false">IF(I800="","",IF(I800&lt;0,"Vadesi geçti",IF(I800&lt;=7,"Bu hafta","")))</f>
        <v/>
      </c>
      <c r="K800" s="19" t="n">
        <f aca="false">IF(H800="Bekliyor",G800,0)</f>
        <v>0</v>
      </c>
    </row>
    <row r="801" customFormat="false" ht="15" hidden="false" customHeight="false" outlineLevel="0" collapsed="false">
      <c r="A801" s="12"/>
      <c r="B801" s="12"/>
      <c r="C801" s="13"/>
      <c r="D801" s="13"/>
      <c r="E801" s="13"/>
      <c r="F801" s="14"/>
      <c r="G801" s="15"/>
      <c r="H801" s="12"/>
      <c r="I801" s="16" t="str">
        <f aca="true">IF(OR(F801="",H801&lt;&gt;"Bekliyor"),"",F801-TODAY())</f>
        <v/>
      </c>
      <c r="J801" s="17" t="str">
        <f aca="false">IF(I801="","",IF(I801&lt;0,"Vadesi geçti",IF(I801&lt;=7,"Bu hafta","")))</f>
        <v/>
      </c>
      <c r="K801" s="19" t="n">
        <f aca="false">IF(H801="Bekliyor",G801,0)</f>
        <v>0</v>
      </c>
    </row>
    <row r="802" customFormat="false" ht="15" hidden="false" customHeight="false" outlineLevel="0" collapsed="false">
      <c r="A802" s="12"/>
      <c r="B802" s="12"/>
      <c r="C802" s="13"/>
      <c r="D802" s="13"/>
      <c r="E802" s="13"/>
      <c r="F802" s="14"/>
      <c r="G802" s="15"/>
      <c r="H802" s="12"/>
      <c r="I802" s="16" t="str">
        <f aca="true">IF(OR(F802="",H802&lt;&gt;"Bekliyor"),"",F802-TODAY())</f>
        <v/>
      </c>
      <c r="J802" s="17" t="str">
        <f aca="false">IF(I802="","",IF(I802&lt;0,"Vadesi geçti",IF(I802&lt;=7,"Bu hafta","")))</f>
        <v/>
      </c>
      <c r="K802" s="19" t="n">
        <f aca="false">IF(H802="Bekliyor",G802,0)</f>
        <v>0</v>
      </c>
    </row>
    <row r="803" customFormat="false" ht="15" hidden="false" customHeight="false" outlineLevel="0" collapsed="false">
      <c r="A803" s="12"/>
      <c r="B803" s="12"/>
      <c r="C803" s="13"/>
      <c r="D803" s="13"/>
      <c r="E803" s="13"/>
      <c r="F803" s="14"/>
      <c r="G803" s="15"/>
      <c r="H803" s="12"/>
      <c r="I803" s="16" t="str">
        <f aca="true">IF(OR(F803="",H803&lt;&gt;"Bekliyor"),"",F803-TODAY())</f>
        <v/>
      </c>
      <c r="J803" s="17" t="str">
        <f aca="false">IF(I803="","",IF(I803&lt;0,"Vadesi geçti",IF(I803&lt;=7,"Bu hafta","")))</f>
        <v/>
      </c>
      <c r="K803" s="19" t="n">
        <f aca="false">IF(H803="Bekliyor",G803,0)</f>
        <v>0</v>
      </c>
    </row>
    <row r="804" customFormat="false" ht="15" hidden="false" customHeight="false" outlineLevel="0" collapsed="false">
      <c r="A804" s="12"/>
      <c r="B804" s="12"/>
      <c r="C804" s="13"/>
      <c r="D804" s="13"/>
      <c r="E804" s="13"/>
      <c r="F804" s="14"/>
      <c r="G804" s="15"/>
      <c r="H804" s="12"/>
      <c r="I804" s="16" t="str">
        <f aca="true">IF(OR(F804="",H804&lt;&gt;"Bekliyor"),"",F804-TODAY())</f>
        <v/>
      </c>
      <c r="J804" s="17" t="str">
        <f aca="false">IF(I804="","",IF(I804&lt;0,"Vadesi geçti",IF(I804&lt;=7,"Bu hafta","")))</f>
        <v/>
      </c>
      <c r="K804" s="19" t="n">
        <f aca="false">IF(H804="Bekliyor",G804,0)</f>
        <v>0</v>
      </c>
    </row>
    <row r="805" customFormat="false" ht="15" hidden="false" customHeight="false" outlineLevel="0" collapsed="false">
      <c r="A805" s="12"/>
      <c r="B805" s="12"/>
      <c r="C805" s="13"/>
      <c r="D805" s="13"/>
      <c r="E805" s="13"/>
      <c r="F805" s="14"/>
      <c r="G805" s="15"/>
      <c r="H805" s="12"/>
      <c r="I805" s="16" t="str">
        <f aca="true">IF(OR(F805="",H805&lt;&gt;"Bekliyor"),"",F805-TODAY())</f>
        <v/>
      </c>
      <c r="J805" s="17" t="str">
        <f aca="false">IF(I805="","",IF(I805&lt;0,"Vadesi geçti",IF(I805&lt;=7,"Bu hafta","")))</f>
        <v/>
      </c>
      <c r="K805" s="19" t="n">
        <f aca="false">IF(H805="Bekliyor",G805,0)</f>
        <v>0</v>
      </c>
    </row>
    <row r="806" customFormat="false" ht="15" hidden="false" customHeight="false" outlineLevel="0" collapsed="false">
      <c r="A806" s="12"/>
      <c r="B806" s="12"/>
      <c r="C806" s="13"/>
      <c r="D806" s="13"/>
      <c r="E806" s="13"/>
      <c r="F806" s="14"/>
      <c r="G806" s="15"/>
      <c r="H806" s="12"/>
      <c r="I806" s="16" t="str">
        <f aca="true">IF(OR(F806="",H806&lt;&gt;"Bekliyor"),"",F806-TODAY())</f>
        <v/>
      </c>
      <c r="J806" s="17" t="str">
        <f aca="false">IF(I806="","",IF(I806&lt;0,"Vadesi geçti",IF(I806&lt;=7,"Bu hafta","")))</f>
        <v/>
      </c>
      <c r="K806" s="19" t="n">
        <f aca="false">IF(H806="Bekliyor",G806,0)</f>
        <v>0</v>
      </c>
    </row>
    <row r="807" customFormat="false" ht="15" hidden="false" customHeight="false" outlineLevel="0" collapsed="false">
      <c r="A807" s="12"/>
      <c r="B807" s="12"/>
      <c r="C807" s="13"/>
      <c r="D807" s="13"/>
      <c r="E807" s="13"/>
      <c r="F807" s="14"/>
      <c r="G807" s="15"/>
      <c r="H807" s="12"/>
      <c r="I807" s="16" t="str">
        <f aca="true">IF(OR(F807="",H807&lt;&gt;"Bekliyor"),"",F807-TODAY())</f>
        <v/>
      </c>
      <c r="J807" s="17" t="str">
        <f aca="false">IF(I807="","",IF(I807&lt;0,"Vadesi geçti",IF(I807&lt;=7,"Bu hafta","")))</f>
        <v/>
      </c>
      <c r="K807" s="19" t="n">
        <f aca="false">IF(H807="Bekliyor",G807,0)</f>
        <v>0</v>
      </c>
    </row>
    <row r="808" customFormat="false" ht="15" hidden="false" customHeight="false" outlineLevel="0" collapsed="false">
      <c r="A808" s="12"/>
      <c r="B808" s="12"/>
      <c r="C808" s="13"/>
      <c r="D808" s="13"/>
      <c r="E808" s="13"/>
      <c r="F808" s="14"/>
      <c r="G808" s="15"/>
      <c r="H808" s="12"/>
      <c r="I808" s="16" t="str">
        <f aca="true">IF(OR(F808="",H808&lt;&gt;"Bekliyor"),"",F808-TODAY())</f>
        <v/>
      </c>
      <c r="J808" s="17" t="str">
        <f aca="false">IF(I808="","",IF(I808&lt;0,"Vadesi geçti",IF(I808&lt;=7,"Bu hafta","")))</f>
        <v/>
      </c>
      <c r="K808" s="19" t="n">
        <f aca="false">IF(H808="Bekliyor",G808,0)</f>
        <v>0</v>
      </c>
    </row>
    <row r="809" customFormat="false" ht="15" hidden="false" customHeight="false" outlineLevel="0" collapsed="false">
      <c r="A809" s="12"/>
      <c r="B809" s="12"/>
      <c r="C809" s="13"/>
      <c r="D809" s="13"/>
      <c r="E809" s="13"/>
      <c r="F809" s="14"/>
      <c r="G809" s="15"/>
      <c r="H809" s="12"/>
      <c r="I809" s="16" t="str">
        <f aca="true">IF(OR(F809="",H809&lt;&gt;"Bekliyor"),"",F809-TODAY())</f>
        <v/>
      </c>
      <c r="J809" s="17" t="str">
        <f aca="false">IF(I809="","",IF(I809&lt;0,"Vadesi geçti",IF(I809&lt;=7,"Bu hafta","")))</f>
        <v/>
      </c>
      <c r="K809" s="19" t="n">
        <f aca="false">IF(H809="Bekliyor",G809,0)</f>
        <v>0</v>
      </c>
    </row>
    <row r="810" customFormat="false" ht="15" hidden="false" customHeight="false" outlineLevel="0" collapsed="false">
      <c r="A810" s="12"/>
      <c r="B810" s="12"/>
      <c r="C810" s="13"/>
      <c r="D810" s="13"/>
      <c r="E810" s="13"/>
      <c r="F810" s="14"/>
      <c r="G810" s="15"/>
      <c r="H810" s="12"/>
      <c r="I810" s="16" t="str">
        <f aca="true">IF(OR(F810="",H810&lt;&gt;"Bekliyor"),"",F810-TODAY())</f>
        <v/>
      </c>
      <c r="J810" s="17" t="str">
        <f aca="false">IF(I810="","",IF(I810&lt;0,"Vadesi geçti",IF(I810&lt;=7,"Bu hafta","")))</f>
        <v/>
      </c>
      <c r="K810" s="19" t="n">
        <f aca="false">IF(H810="Bekliyor",G810,0)</f>
        <v>0</v>
      </c>
    </row>
    <row r="811" customFormat="false" ht="15" hidden="false" customHeight="false" outlineLevel="0" collapsed="false">
      <c r="A811" s="12"/>
      <c r="B811" s="12"/>
      <c r="C811" s="13"/>
      <c r="D811" s="13"/>
      <c r="E811" s="13"/>
      <c r="F811" s="14"/>
      <c r="G811" s="15"/>
      <c r="H811" s="12"/>
      <c r="I811" s="16" t="str">
        <f aca="true">IF(OR(F811="",H811&lt;&gt;"Bekliyor"),"",F811-TODAY())</f>
        <v/>
      </c>
      <c r="J811" s="17" t="str">
        <f aca="false">IF(I811="","",IF(I811&lt;0,"Vadesi geçti",IF(I811&lt;=7,"Bu hafta","")))</f>
        <v/>
      </c>
      <c r="K811" s="19" t="n">
        <f aca="false">IF(H811="Bekliyor",G811,0)</f>
        <v>0</v>
      </c>
    </row>
    <row r="812" customFormat="false" ht="15" hidden="false" customHeight="false" outlineLevel="0" collapsed="false">
      <c r="A812" s="12"/>
      <c r="B812" s="12"/>
      <c r="C812" s="13"/>
      <c r="D812" s="13"/>
      <c r="E812" s="13"/>
      <c r="F812" s="14"/>
      <c r="G812" s="15"/>
      <c r="H812" s="12"/>
      <c r="I812" s="16" t="str">
        <f aca="true">IF(OR(F812="",H812&lt;&gt;"Bekliyor"),"",F812-TODAY())</f>
        <v/>
      </c>
      <c r="J812" s="17" t="str">
        <f aca="false">IF(I812="","",IF(I812&lt;0,"Vadesi geçti",IF(I812&lt;=7,"Bu hafta","")))</f>
        <v/>
      </c>
      <c r="K812" s="19" t="n">
        <f aca="false">IF(H812="Bekliyor",G812,0)</f>
        <v>0</v>
      </c>
    </row>
    <row r="813" customFormat="false" ht="15" hidden="false" customHeight="false" outlineLevel="0" collapsed="false">
      <c r="A813" s="12"/>
      <c r="B813" s="12"/>
      <c r="C813" s="13"/>
      <c r="D813" s="13"/>
      <c r="E813" s="13"/>
      <c r="F813" s="14"/>
      <c r="G813" s="15"/>
      <c r="H813" s="12"/>
      <c r="I813" s="16" t="str">
        <f aca="true">IF(OR(F813="",H813&lt;&gt;"Bekliyor"),"",F813-TODAY())</f>
        <v/>
      </c>
      <c r="J813" s="17" t="str">
        <f aca="false">IF(I813="","",IF(I813&lt;0,"Vadesi geçti",IF(I813&lt;=7,"Bu hafta","")))</f>
        <v/>
      </c>
      <c r="K813" s="19" t="n">
        <f aca="false">IF(H813="Bekliyor",G813,0)</f>
        <v>0</v>
      </c>
    </row>
    <row r="814" customFormat="false" ht="15" hidden="false" customHeight="false" outlineLevel="0" collapsed="false">
      <c r="A814" s="12"/>
      <c r="B814" s="12"/>
      <c r="C814" s="13"/>
      <c r="D814" s="13"/>
      <c r="E814" s="13"/>
      <c r="F814" s="14"/>
      <c r="G814" s="15"/>
      <c r="H814" s="12"/>
      <c r="I814" s="16" t="str">
        <f aca="true">IF(OR(F814="",H814&lt;&gt;"Bekliyor"),"",F814-TODAY())</f>
        <v/>
      </c>
      <c r="J814" s="17" t="str">
        <f aca="false">IF(I814="","",IF(I814&lt;0,"Vadesi geçti",IF(I814&lt;=7,"Bu hafta","")))</f>
        <v/>
      </c>
      <c r="K814" s="19" t="n">
        <f aca="false">IF(H814="Bekliyor",G814,0)</f>
        <v>0</v>
      </c>
    </row>
    <row r="815" customFormat="false" ht="15" hidden="false" customHeight="false" outlineLevel="0" collapsed="false">
      <c r="A815" s="12"/>
      <c r="B815" s="12"/>
      <c r="C815" s="13"/>
      <c r="D815" s="13"/>
      <c r="E815" s="13"/>
      <c r="F815" s="14"/>
      <c r="G815" s="15"/>
      <c r="H815" s="12"/>
      <c r="I815" s="16" t="str">
        <f aca="true">IF(OR(F815="",H815&lt;&gt;"Bekliyor"),"",F815-TODAY())</f>
        <v/>
      </c>
      <c r="J815" s="17" t="str">
        <f aca="false">IF(I815="","",IF(I815&lt;0,"Vadesi geçti",IF(I815&lt;=7,"Bu hafta","")))</f>
        <v/>
      </c>
      <c r="K815" s="19" t="n">
        <f aca="false">IF(H815="Bekliyor",G815,0)</f>
        <v>0</v>
      </c>
    </row>
    <row r="816" customFormat="false" ht="15" hidden="false" customHeight="false" outlineLevel="0" collapsed="false">
      <c r="A816" s="12"/>
      <c r="B816" s="12"/>
      <c r="C816" s="13"/>
      <c r="D816" s="13"/>
      <c r="E816" s="13"/>
      <c r="F816" s="14"/>
      <c r="G816" s="15"/>
      <c r="H816" s="12"/>
      <c r="I816" s="16" t="str">
        <f aca="true">IF(OR(F816="",H816&lt;&gt;"Bekliyor"),"",F816-TODAY())</f>
        <v/>
      </c>
      <c r="J816" s="17" t="str">
        <f aca="false">IF(I816="","",IF(I816&lt;0,"Vadesi geçti",IF(I816&lt;=7,"Bu hafta","")))</f>
        <v/>
      </c>
      <c r="K816" s="19" t="n">
        <f aca="false">IF(H816="Bekliyor",G816,0)</f>
        <v>0</v>
      </c>
    </row>
    <row r="817" customFormat="false" ht="15" hidden="false" customHeight="false" outlineLevel="0" collapsed="false">
      <c r="A817" s="12"/>
      <c r="B817" s="12"/>
      <c r="C817" s="13"/>
      <c r="D817" s="13"/>
      <c r="E817" s="13"/>
      <c r="F817" s="14"/>
      <c r="G817" s="15"/>
      <c r="H817" s="12"/>
      <c r="I817" s="16" t="str">
        <f aca="true">IF(OR(F817="",H817&lt;&gt;"Bekliyor"),"",F817-TODAY())</f>
        <v/>
      </c>
      <c r="J817" s="17" t="str">
        <f aca="false">IF(I817="","",IF(I817&lt;0,"Vadesi geçti",IF(I817&lt;=7,"Bu hafta","")))</f>
        <v/>
      </c>
      <c r="K817" s="19" t="n">
        <f aca="false">IF(H817="Bekliyor",G817,0)</f>
        <v>0</v>
      </c>
    </row>
    <row r="818" customFormat="false" ht="15" hidden="false" customHeight="false" outlineLevel="0" collapsed="false">
      <c r="A818" s="12"/>
      <c r="B818" s="12"/>
      <c r="C818" s="13"/>
      <c r="D818" s="13"/>
      <c r="E818" s="13"/>
      <c r="F818" s="14"/>
      <c r="G818" s="15"/>
      <c r="H818" s="12"/>
      <c r="I818" s="16" t="str">
        <f aca="true">IF(OR(F818="",H818&lt;&gt;"Bekliyor"),"",F818-TODAY())</f>
        <v/>
      </c>
      <c r="J818" s="17" t="str">
        <f aca="false">IF(I818="","",IF(I818&lt;0,"Vadesi geçti",IF(I818&lt;=7,"Bu hafta","")))</f>
        <v/>
      </c>
      <c r="K818" s="19" t="n">
        <f aca="false">IF(H818="Bekliyor",G818,0)</f>
        <v>0</v>
      </c>
    </row>
    <row r="819" customFormat="false" ht="15" hidden="false" customHeight="false" outlineLevel="0" collapsed="false">
      <c r="A819" s="12"/>
      <c r="B819" s="12"/>
      <c r="C819" s="13"/>
      <c r="D819" s="13"/>
      <c r="E819" s="13"/>
      <c r="F819" s="14"/>
      <c r="G819" s="15"/>
      <c r="H819" s="12"/>
      <c r="I819" s="16" t="str">
        <f aca="true">IF(OR(F819="",H819&lt;&gt;"Bekliyor"),"",F819-TODAY())</f>
        <v/>
      </c>
      <c r="J819" s="17" t="str">
        <f aca="false">IF(I819="","",IF(I819&lt;0,"Vadesi geçti",IF(I819&lt;=7,"Bu hafta","")))</f>
        <v/>
      </c>
      <c r="K819" s="19" t="n">
        <f aca="false">IF(H819="Bekliyor",G819,0)</f>
        <v>0</v>
      </c>
    </row>
    <row r="820" customFormat="false" ht="15" hidden="false" customHeight="false" outlineLevel="0" collapsed="false">
      <c r="A820" s="12"/>
      <c r="B820" s="12"/>
      <c r="C820" s="13"/>
      <c r="D820" s="13"/>
      <c r="E820" s="13"/>
      <c r="F820" s="14"/>
      <c r="G820" s="15"/>
      <c r="H820" s="12"/>
      <c r="I820" s="16" t="str">
        <f aca="true">IF(OR(F820="",H820&lt;&gt;"Bekliyor"),"",F820-TODAY())</f>
        <v/>
      </c>
      <c r="J820" s="17" t="str">
        <f aca="false">IF(I820="","",IF(I820&lt;0,"Vadesi geçti",IF(I820&lt;=7,"Bu hafta","")))</f>
        <v/>
      </c>
      <c r="K820" s="19" t="n">
        <f aca="false">IF(H820="Bekliyor",G820,0)</f>
        <v>0</v>
      </c>
    </row>
    <row r="821" customFormat="false" ht="15" hidden="false" customHeight="false" outlineLevel="0" collapsed="false">
      <c r="A821" s="12"/>
      <c r="B821" s="12"/>
      <c r="C821" s="13"/>
      <c r="D821" s="13"/>
      <c r="E821" s="13"/>
      <c r="F821" s="14"/>
      <c r="G821" s="15"/>
      <c r="H821" s="12"/>
      <c r="I821" s="16" t="str">
        <f aca="true">IF(OR(F821="",H821&lt;&gt;"Bekliyor"),"",F821-TODAY())</f>
        <v/>
      </c>
      <c r="J821" s="17" t="str">
        <f aca="false">IF(I821="","",IF(I821&lt;0,"Vadesi geçti",IF(I821&lt;=7,"Bu hafta","")))</f>
        <v/>
      </c>
      <c r="K821" s="19" t="n">
        <f aca="false">IF(H821="Bekliyor",G821,0)</f>
        <v>0</v>
      </c>
    </row>
    <row r="822" customFormat="false" ht="15" hidden="false" customHeight="false" outlineLevel="0" collapsed="false">
      <c r="A822" s="12"/>
      <c r="B822" s="12"/>
      <c r="C822" s="13"/>
      <c r="D822" s="13"/>
      <c r="E822" s="13"/>
      <c r="F822" s="14"/>
      <c r="G822" s="15"/>
      <c r="H822" s="12"/>
      <c r="I822" s="16" t="str">
        <f aca="true">IF(OR(F822="",H822&lt;&gt;"Bekliyor"),"",F822-TODAY())</f>
        <v/>
      </c>
      <c r="J822" s="17" t="str">
        <f aca="false">IF(I822="","",IF(I822&lt;0,"Vadesi geçti",IF(I822&lt;=7,"Bu hafta","")))</f>
        <v/>
      </c>
      <c r="K822" s="19" t="n">
        <f aca="false">IF(H822="Bekliyor",G822,0)</f>
        <v>0</v>
      </c>
    </row>
    <row r="823" customFormat="false" ht="15" hidden="false" customHeight="false" outlineLevel="0" collapsed="false">
      <c r="A823" s="12"/>
      <c r="B823" s="12"/>
      <c r="C823" s="13"/>
      <c r="D823" s="13"/>
      <c r="E823" s="13"/>
      <c r="F823" s="14"/>
      <c r="G823" s="15"/>
      <c r="H823" s="12"/>
      <c r="I823" s="16" t="str">
        <f aca="true">IF(OR(F823="",H823&lt;&gt;"Bekliyor"),"",F823-TODAY())</f>
        <v/>
      </c>
      <c r="J823" s="17" t="str">
        <f aca="false">IF(I823="","",IF(I823&lt;0,"Vadesi geçti",IF(I823&lt;=7,"Bu hafta","")))</f>
        <v/>
      </c>
      <c r="K823" s="19" t="n">
        <f aca="false">IF(H823="Bekliyor",G823,0)</f>
        <v>0</v>
      </c>
    </row>
    <row r="824" customFormat="false" ht="15" hidden="false" customHeight="false" outlineLevel="0" collapsed="false">
      <c r="A824" s="12"/>
      <c r="B824" s="12"/>
      <c r="C824" s="13"/>
      <c r="D824" s="13"/>
      <c r="E824" s="13"/>
      <c r="F824" s="14"/>
      <c r="G824" s="15"/>
      <c r="H824" s="12"/>
      <c r="I824" s="16" t="str">
        <f aca="true">IF(OR(F824="",H824&lt;&gt;"Bekliyor"),"",F824-TODAY())</f>
        <v/>
      </c>
      <c r="J824" s="17" t="str">
        <f aca="false">IF(I824="","",IF(I824&lt;0,"Vadesi geçti",IF(I824&lt;=7,"Bu hafta","")))</f>
        <v/>
      </c>
      <c r="K824" s="19" t="n">
        <f aca="false">IF(H824="Bekliyor",G824,0)</f>
        <v>0</v>
      </c>
    </row>
    <row r="825" customFormat="false" ht="15" hidden="false" customHeight="false" outlineLevel="0" collapsed="false">
      <c r="A825" s="12"/>
      <c r="B825" s="12"/>
      <c r="C825" s="13"/>
      <c r="D825" s="13"/>
      <c r="E825" s="13"/>
      <c r="F825" s="14"/>
      <c r="G825" s="15"/>
      <c r="H825" s="12"/>
      <c r="I825" s="16" t="str">
        <f aca="true">IF(OR(F825="",H825&lt;&gt;"Bekliyor"),"",F825-TODAY())</f>
        <v/>
      </c>
      <c r="J825" s="17" t="str">
        <f aca="false">IF(I825="","",IF(I825&lt;0,"Vadesi geçti",IF(I825&lt;=7,"Bu hafta","")))</f>
        <v/>
      </c>
      <c r="K825" s="19" t="n">
        <f aca="false">IF(H825="Bekliyor",G825,0)</f>
        <v>0</v>
      </c>
    </row>
    <row r="826" customFormat="false" ht="15" hidden="false" customHeight="false" outlineLevel="0" collapsed="false">
      <c r="A826" s="12"/>
      <c r="B826" s="12"/>
      <c r="C826" s="13"/>
      <c r="D826" s="13"/>
      <c r="E826" s="13"/>
      <c r="F826" s="14"/>
      <c r="G826" s="15"/>
      <c r="H826" s="12"/>
      <c r="I826" s="16" t="str">
        <f aca="true">IF(OR(F826="",H826&lt;&gt;"Bekliyor"),"",F826-TODAY())</f>
        <v/>
      </c>
      <c r="J826" s="17" t="str">
        <f aca="false">IF(I826="","",IF(I826&lt;0,"Vadesi geçti",IF(I826&lt;=7,"Bu hafta","")))</f>
        <v/>
      </c>
      <c r="K826" s="19" t="n">
        <f aca="false">IF(H826="Bekliyor",G826,0)</f>
        <v>0</v>
      </c>
    </row>
    <row r="827" customFormat="false" ht="15" hidden="false" customHeight="false" outlineLevel="0" collapsed="false">
      <c r="A827" s="12"/>
      <c r="B827" s="12"/>
      <c r="C827" s="13"/>
      <c r="D827" s="13"/>
      <c r="E827" s="13"/>
      <c r="F827" s="14"/>
      <c r="G827" s="15"/>
      <c r="H827" s="12"/>
      <c r="I827" s="16" t="str">
        <f aca="true">IF(OR(F827="",H827&lt;&gt;"Bekliyor"),"",F827-TODAY())</f>
        <v/>
      </c>
      <c r="J827" s="17" t="str">
        <f aca="false">IF(I827="","",IF(I827&lt;0,"Vadesi geçti",IF(I827&lt;=7,"Bu hafta","")))</f>
        <v/>
      </c>
      <c r="K827" s="19" t="n">
        <f aca="false">IF(H827="Bekliyor",G827,0)</f>
        <v>0</v>
      </c>
    </row>
    <row r="828" customFormat="false" ht="15" hidden="false" customHeight="false" outlineLevel="0" collapsed="false">
      <c r="A828" s="12"/>
      <c r="B828" s="12"/>
      <c r="C828" s="13"/>
      <c r="D828" s="13"/>
      <c r="E828" s="13"/>
      <c r="F828" s="14"/>
      <c r="G828" s="15"/>
      <c r="H828" s="12"/>
      <c r="I828" s="16" t="str">
        <f aca="true">IF(OR(F828="",H828&lt;&gt;"Bekliyor"),"",F828-TODAY())</f>
        <v/>
      </c>
      <c r="J828" s="17" t="str">
        <f aca="false">IF(I828="","",IF(I828&lt;0,"Vadesi geçti",IF(I828&lt;=7,"Bu hafta","")))</f>
        <v/>
      </c>
      <c r="K828" s="19" t="n">
        <f aca="false">IF(H828="Bekliyor",G828,0)</f>
        <v>0</v>
      </c>
    </row>
    <row r="829" customFormat="false" ht="15" hidden="false" customHeight="false" outlineLevel="0" collapsed="false">
      <c r="A829" s="12"/>
      <c r="B829" s="12"/>
      <c r="C829" s="13"/>
      <c r="D829" s="13"/>
      <c r="E829" s="13"/>
      <c r="F829" s="14"/>
      <c r="G829" s="15"/>
      <c r="H829" s="12"/>
      <c r="I829" s="16" t="str">
        <f aca="true">IF(OR(F829="",H829&lt;&gt;"Bekliyor"),"",F829-TODAY())</f>
        <v/>
      </c>
      <c r="J829" s="17" t="str">
        <f aca="false">IF(I829="","",IF(I829&lt;0,"Vadesi geçti",IF(I829&lt;=7,"Bu hafta","")))</f>
        <v/>
      </c>
      <c r="K829" s="19" t="n">
        <f aca="false">IF(H829="Bekliyor",G829,0)</f>
        <v>0</v>
      </c>
    </row>
    <row r="830" customFormat="false" ht="15" hidden="false" customHeight="false" outlineLevel="0" collapsed="false">
      <c r="A830" s="12"/>
      <c r="B830" s="12"/>
      <c r="C830" s="13"/>
      <c r="D830" s="13"/>
      <c r="E830" s="13"/>
      <c r="F830" s="14"/>
      <c r="G830" s="15"/>
      <c r="H830" s="12"/>
      <c r="I830" s="16" t="str">
        <f aca="true">IF(OR(F830="",H830&lt;&gt;"Bekliyor"),"",F830-TODAY())</f>
        <v/>
      </c>
      <c r="J830" s="17" t="str">
        <f aca="false">IF(I830="","",IF(I830&lt;0,"Vadesi geçti",IF(I830&lt;=7,"Bu hafta","")))</f>
        <v/>
      </c>
      <c r="K830" s="19" t="n">
        <f aca="false">IF(H830="Bekliyor",G830,0)</f>
        <v>0</v>
      </c>
    </row>
    <row r="831" customFormat="false" ht="15" hidden="false" customHeight="false" outlineLevel="0" collapsed="false">
      <c r="A831" s="12"/>
      <c r="B831" s="12"/>
      <c r="C831" s="13"/>
      <c r="D831" s="13"/>
      <c r="E831" s="13"/>
      <c r="F831" s="14"/>
      <c r="G831" s="15"/>
      <c r="H831" s="12"/>
      <c r="I831" s="16" t="str">
        <f aca="true">IF(OR(F831="",H831&lt;&gt;"Bekliyor"),"",F831-TODAY())</f>
        <v/>
      </c>
      <c r="J831" s="17" t="str">
        <f aca="false">IF(I831="","",IF(I831&lt;0,"Vadesi geçti",IF(I831&lt;=7,"Bu hafta","")))</f>
        <v/>
      </c>
      <c r="K831" s="19" t="n">
        <f aca="false">IF(H831="Bekliyor",G831,0)</f>
        <v>0</v>
      </c>
    </row>
    <row r="832" customFormat="false" ht="15" hidden="false" customHeight="false" outlineLevel="0" collapsed="false">
      <c r="A832" s="12"/>
      <c r="B832" s="12"/>
      <c r="C832" s="13"/>
      <c r="D832" s="13"/>
      <c r="E832" s="13"/>
      <c r="F832" s="14"/>
      <c r="G832" s="15"/>
      <c r="H832" s="12"/>
      <c r="I832" s="16" t="str">
        <f aca="true">IF(OR(F832="",H832&lt;&gt;"Bekliyor"),"",F832-TODAY())</f>
        <v/>
      </c>
      <c r="J832" s="17" t="str">
        <f aca="false">IF(I832="","",IF(I832&lt;0,"Vadesi geçti",IF(I832&lt;=7,"Bu hafta","")))</f>
        <v/>
      </c>
      <c r="K832" s="19" t="n">
        <f aca="false">IF(H832="Bekliyor",G832,0)</f>
        <v>0</v>
      </c>
    </row>
    <row r="833" customFormat="false" ht="15" hidden="false" customHeight="false" outlineLevel="0" collapsed="false">
      <c r="A833" s="12"/>
      <c r="B833" s="12"/>
      <c r="C833" s="13"/>
      <c r="D833" s="13"/>
      <c r="E833" s="13"/>
      <c r="F833" s="14"/>
      <c r="G833" s="15"/>
      <c r="H833" s="12"/>
      <c r="I833" s="16" t="str">
        <f aca="true">IF(OR(F833="",H833&lt;&gt;"Bekliyor"),"",F833-TODAY())</f>
        <v/>
      </c>
      <c r="J833" s="17" t="str">
        <f aca="false">IF(I833="","",IF(I833&lt;0,"Vadesi geçti",IF(I833&lt;=7,"Bu hafta","")))</f>
        <v/>
      </c>
      <c r="K833" s="19" t="n">
        <f aca="false">IF(H833="Bekliyor",G833,0)</f>
        <v>0</v>
      </c>
    </row>
    <row r="834" customFormat="false" ht="15" hidden="false" customHeight="false" outlineLevel="0" collapsed="false">
      <c r="A834" s="12"/>
      <c r="B834" s="12"/>
      <c r="C834" s="13"/>
      <c r="D834" s="13"/>
      <c r="E834" s="13"/>
      <c r="F834" s="14"/>
      <c r="G834" s="15"/>
      <c r="H834" s="12"/>
      <c r="I834" s="16" t="str">
        <f aca="true">IF(OR(F834="",H834&lt;&gt;"Bekliyor"),"",F834-TODAY())</f>
        <v/>
      </c>
      <c r="J834" s="17" t="str">
        <f aca="false">IF(I834="","",IF(I834&lt;0,"Vadesi geçti",IF(I834&lt;=7,"Bu hafta","")))</f>
        <v/>
      </c>
      <c r="K834" s="19" t="n">
        <f aca="false">IF(H834="Bekliyor",G834,0)</f>
        <v>0</v>
      </c>
    </row>
    <row r="835" customFormat="false" ht="15" hidden="false" customHeight="false" outlineLevel="0" collapsed="false">
      <c r="A835" s="12"/>
      <c r="B835" s="12"/>
      <c r="C835" s="13"/>
      <c r="D835" s="13"/>
      <c r="E835" s="13"/>
      <c r="F835" s="14"/>
      <c r="G835" s="15"/>
      <c r="H835" s="12"/>
      <c r="I835" s="16" t="str">
        <f aca="true">IF(OR(F835="",H835&lt;&gt;"Bekliyor"),"",F835-TODAY())</f>
        <v/>
      </c>
      <c r="J835" s="17" t="str">
        <f aca="false">IF(I835="","",IF(I835&lt;0,"Vadesi geçti",IF(I835&lt;=7,"Bu hafta","")))</f>
        <v/>
      </c>
      <c r="K835" s="19" t="n">
        <f aca="false">IF(H835="Bekliyor",G835,0)</f>
        <v>0</v>
      </c>
    </row>
    <row r="836" customFormat="false" ht="15" hidden="false" customHeight="false" outlineLevel="0" collapsed="false">
      <c r="A836" s="12"/>
      <c r="B836" s="12"/>
      <c r="C836" s="13"/>
      <c r="D836" s="13"/>
      <c r="E836" s="13"/>
      <c r="F836" s="14"/>
      <c r="G836" s="15"/>
      <c r="H836" s="12"/>
      <c r="I836" s="16" t="str">
        <f aca="true">IF(OR(F836="",H836&lt;&gt;"Bekliyor"),"",F836-TODAY())</f>
        <v/>
      </c>
      <c r="J836" s="17" t="str">
        <f aca="false">IF(I836="","",IF(I836&lt;0,"Vadesi geçti",IF(I836&lt;=7,"Bu hafta","")))</f>
        <v/>
      </c>
      <c r="K836" s="19" t="n">
        <f aca="false">IF(H836="Bekliyor",G836,0)</f>
        <v>0</v>
      </c>
    </row>
    <row r="837" customFormat="false" ht="15" hidden="false" customHeight="false" outlineLevel="0" collapsed="false">
      <c r="A837" s="12"/>
      <c r="B837" s="12"/>
      <c r="C837" s="13"/>
      <c r="D837" s="13"/>
      <c r="E837" s="13"/>
      <c r="F837" s="14"/>
      <c r="G837" s="15"/>
      <c r="H837" s="12"/>
      <c r="I837" s="16" t="str">
        <f aca="true">IF(OR(F837="",H837&lt;&gt;"Bekliyor"),"",F837-TODAY())</f>
        <v/>
      </c>
      <c r="J837" s="17" t="str">
        <f aca="false">IF(I837="","",IF(I837&lt;0,"Vadesi geçti",IF(I837&lt;=7,"Bu hafta","")))</f>
        <v/>
      </c>
      <c r="K837" s="19" t="n">
        <f aca="false">IF(H837="Bekliyor",G837,0)</f>
        <v>0</v>
      </c>
    </row>
    <row r="838" customFormat="false" ht="15" hidden="false" customHeight="false" outlineLevel="0" collapsed="false">
      <c r="A838" s="12"/>
      <c r="B838" s="12"/>
      <c r="C838" s="13"/>
      <c r="D838" s="13"/>
      <c r="E838" s="13"/>
      <c r="F838" s="14"/>
      <c r="G838" s="15"/>
      <c r="H838" s="12"/>
      <c r="I838" s="16" t="str">
        <f aca="true">IF(OR(F838="",H838&lt;&gt;"Bekliyor"),"",F838-TODAY())</f>
        <v/>
      </c>
      <c r="J838" s="17" t="str">
        <f aca="false">IF(I838="","",IF(I838&lt;0,"Vadesi geçti",IF(I838&lt;=7,"Bu hafta","")))</f>
        <v/>
      </c>
      <c r="K838" s="19" t="n">
        <f aca="false">IF(H838="Bekliyor",G838,0)</f>
        <v>0</v>
      </c>
    </row>
    <row r="839" customFormat="false" ht="15" hidden="false" customHeight="false" outlineLevel="0" collapsed="false">
      <c r="A839" s="12"/>
      <c r="B839" s="12"/>
      <c r="C839" s="13"/>
      <c r="D839" s="13"/>
      <c r="E839" s="13"/>
      <c r="F839" s="14"/>
      <c r="G839" s="15"/>
      <c r="H839" s="12"/>
      <c r="I839" s="16" t="str">
        <f aca="true">IF(OR(F839="",H839&lt;&gt;"Bekliyor"),"",F839-TODAY())</f>
        <v/>
      </c>
      <c r="J839" s="17" t="str">
        <f aca="false">IF(I839="","",IF(I839&lt;0,"Vadesi geçti",IF(I839&lt;=7,"Bu hafta","")))</f>
        <v/>
      </c>
      <c r="K839" s="19" t="n">
        <f aca="false">IF(H839="Bekliyor",G839,0)</f>
        <v>0</v>
      </c>
    </row>
    <row r="840" customFormat="false" ht="15" hidden="false" customHeight="false" outlineLevel="0" collapsed="false">
      <c r="A840" s="12"/>
      <c r="B840" s="12"/>
      <c r="C840" s="13"/>
      <c r="D840" s="13"/>
      <c r="E840" s="13"/>
      <c r="F840" s="14"/>
      <c r="G840" s="15"/>
      <c r="H840" s="12"/>
      <c r="I840" s="16" t="str">
        <f aca="true">IF(OR(F840="",H840&lt;&gt;"Bekliyor"),"",F840-TODAY())</f>
        <v/>
      </c>
      <c r="J840" s="17" t="str">
        <f aca="false">IF(I840="","",IF(I840&lt;0,"Vadesi geçti",IF(I840&lt;=7,"Bu hafta","")))</f>
        <v/>
      </c>
      <c r="K840" s="19" t="n">
        <f aca="false">IF(H840="Bekliyor",G840,0)</f>
        <v>0</v>
      </c>
    </row>
    <row r="841" customFormat="false" ht="15" hidden="false" customHeight="false" outlineLevel="0" collapsed="false">
      <c r="A841" s="12"/>
      <c r="B841" s="12"/>
      <c r="C841" s="13"/>
      <c r="D841" s="13"/>
      <c r="E841" s="13"/>
      <c r="F841" s="14"/>
      <c r="G841" s="15"/>
      <c r="H841" s="12"/>
      <c r="I841" s="16" t="str">
        <f aca="true">IF(OR(F841="",H841&lt;&gt;"Bekliyor"),"",F841-TODAY())</f>
        <v/>
      </c>
      <c r="J841" s="17" t="str">
        <f aca="false">IF(I841="","",IF(I841&lt;0,"Vadesi geçti",IF(I841&lt;=7,"Bu hafta","")))</f>
        <v/>
      </c>
      <c r="K841" s="19" t="n">
        <f aca="false">IF(H841="Bekliyor",G841,0)</f>
        <v>0</v>
      </c>
    </row>
    <row r="842" customFormat="false" ht="15" hidden="false" customHeight="false" outlineLevel="0" collapsed="false">
      <c r="A842" s="12"/>
      <c r="B842" s="12"/>
      <c r="C842" s="13"/>
      <c r="D842" s="13"/>
      <c r="E842" s="13"/>
      <c r="F842" s="14"/>
      <c r="G842" s="15"/>
      <c r="H842" s="12"/>
      <c r="I842" s="16" t="str">
        <f aca="true">IF(OR(F842="",H842&lt;&gt;"Bekliyor"),"",F842-TODAY())</f>
        <v/>
      </c>
      <c r="J842" s="17" t="str">
        <f aca="false">IF(I842="","",IF(I842&lt;0,"Vadesi geçti",IF(I842&lt;=7,"Bu hafta","")))</f>
        <v/>
      </c>
      <c r="K842" s="19" t="n">
        <f aca="false">IF(H842="Bekliyor",G842,0)</f>
        <v>0</v>
      </c>
    </row>
    <row r="843" customFormat="false" ht="15" hidden="false" customHeight="false" outlineLevel="0" collapsed="false">
      <c r="A843" s="12"/>
      <c r="B843" s="12"/>
      <c r="C843" s="13"/>
      <c r="D843" s="13"/>
      <c r="E843" s="13"/>
      <c r="F843" s="14"/>
      <c r="G843" s="15"/>
      <c r="H843" s="12"/>
      <c r="I843" s="16" t="str">
        <f aca="true">IF(OR(F843="",H843&lt;&gt;"Bekliyor"),"",F843-TODAY())</f>
        <v/>
      </c>
      <c r="J843" s="17" t="str">
        <f aca="false">IF(I843="","",IF(I843&lt;0,"Vadesi geçti",IF(I843&lt;=7,"Bu hafta","")))</f>
        <v/>
      </c>
      <c r="K843" s="19" t="n">
        <f aca="false">IF(H843="Bekliyor",G843,0)</f>
        <v>0</v>
      </c>
    </row>
    <row r="844" customFormat="false" ht="15" hidden="false" customHeight="false" outlineLevel="0" collapsed="false">
      <c r="A844" s="12"/>
      <c r="B844" s="12"/>
      <c r="C844" s="13"/>
      <c r="D844" s="13"/>
      <c r="E844" s="13"/>
      <c r="F844" s="14"/>
      <c r="G844" s="15"/>
      <c r="H844" s="12"/>
      <c r="I844" s="16" t="str">
        <f aca="true">IF(OR(F844="",H844&lt;&gt;"Bekliyor"),"",F844-TODAY())</f>
        <v/>
      </c>
      <c r="J844" s="17" t="str">
        <f aca="false">IF(I844="","",IF(I844&lt;0,"Vadesi geçti",IF(I844&lt;=7,"Bu hafta","")))</f>
        <v/>
      </c>
      <c r="K844" s="19" t="n">
        <f aca="false">IF(H844="Bekliyor",G844,0)</f>
        <v>0</v>
      </c>
    </row>
    <row r="845" customFormat="false" ht="15" hidden="false" customHeight="false" outlineLevel="0" collapsed="false">
      <c r="A845" s="12"/>
      <c r="B845" s="12"/>
      <c r="C845" s="13"/>
      <c r="D845" s="13"/>
      <c r="E845" s="13"/>
      <c r="F845" s="14"/>
      <c r="G845" s="15"/>
      <c r="H845" s="12"/>
      <c r="I845" s="16" t="str">
        <f aca="true">IF(OR(F845="",H845&lt;&gt;"Bekliyor"),"",F845-TODAY())</f>
        <v/>
      </c>
      <c r="J845" s="17" t="str">
        <f aca="false">IF(I845="","",IF(I845&lt;0,"Vadesi geçti",IF(I845&lt;=7,"Bu hafta","")))</f>
        <v/>
      </c>
      <c r="K845" s="19" t="n">
        <f aca="false">IF(H845="Bekliyor",G845,0)</f>
        <v>0</v>
      </c>
    </row>
    <row r="846" customFormat="false" ht="15" hidden="false" customHeight="false" outlineLevel="0" collapsed="false">
      <c r="A846" s="12"/>
      <c r="B846" s="12"/>
      <c r="C846" s="13"/>
      <c r="D846" s="13"/>
      <c r="E846" s="13"/>
      <c r="F846" s="14"/>
      <c r="G846" s="15"/>
      <c r="H846" s="12"/>
      <c r="I846" s="16" t="str">
        <f aca="true">IF(OR(F846="",H846&lt;&gt;"Bekliyor"),"",F846-TODAY())</f>
        <v/>
      </c>
      <c r="J846" s="17" t="str">
        <f aca="false">IF(I846="","",IF(I846&lt;0,"Vadesi geçti",IF(I846&lt;=7,"Bu hafta","")))</f>
        <v/>
      </c>
      <c r="K846" s="19" t="n">
        <f aca="false">IF(H846="Bekliyor",G846,0)</f>
        <v>0</v>
      </c>
    </row>
    <row r="847" customFormat="false" ht="15" hidden="false" customHeight="false" outlineLevel="0" collapsed="false">
      <c r="A847" s="12"/>
      <c r="B847" s="12"/>
      <c r="C847" s="13"/>
      <c r="D847" s="13"/>
      <c r="E847" s="13"/>
      <c r="F847" s="14"/>
      <c r="G847" s="15"/>
      <c r="H847" s="12"/>
      <c r="I847" s="16" t="str">
        <f aca="true">IF(OR(F847="",H847&lt;&gt;"Bekliyor"),"",F847-TODAY())</f>
        <v/>
      </c>
      <c r="J847" s="17" t="str">
        <f aca="false">IF(I847="","",IF(I847&lt;0,"Vadesi geçti",IF(I847&lt;=7,"Bu hafta","")))</f>
        <v/>
      </c>
      <c r="K847" s="19" t="n">
        <f aca="false">IF(H847="Bekliyor",G847,0)</f>
        <v>0</v>
      </c>
    </row>
    <row r="848" customFormat="false" ht="15" hidden="false" customHeight="false" outlineLevel="0" collapsed="false">
      <c r="A848" s="12"/>
      <c r="B848" s="12"/>
      <c r="C848" s="13"/>
      <c r="D848" s="13"/>
      <c r="E848" s="13"/>
      <c r="F848" s="14"/>
      <c r="G848" s="15"/>
      <c r="H848" s="12"/>
      <c r="I848" s="16" t="str">
        <f aca="true">IF(OR(F848="",H848&lt;&gt;"Bekliyor"),"",F848-TODAY())</f>
        <v/>
      </c>
      <c r="J848" s="17" t="str">
        <f aca="false">IF(I848="","",IF(I848&lt;0,"Vadesi geçti",IF(I848&lt;=7,"Bu hafta","")))</f>
        <v/>
      </c>
      <c r="K848" s="19" t="n">
        <f aca="false">IF(H848="Bekliyor",G848,0)</f>
        <v>0</v>
      </c>
    </row>
    <row r="849" customFormat="false" ht="15" hidden="false" customHeight="false" outlineLevel="0" collapsed="false">
      <c r="A849" s="12"/>
      <c r="B849" s="12"/>
      <c r="C849" s="13"/>
      <c r="D849" s="13"/>
      <c r="E849" s="13"/>
      <c r="F849" s="14"/>
      <c r="G849" s="15"/>
      <c r="H849" s="12"/>
      <c r="I849" s="16" t="str">
        <f aca="true">IF(OR(F849="",H849&lt;&gt;"Bekliyor"),"",F849-TODAY())</f>
        <v/>
      </c>
      <c r="J849" s="17" t="str">
        <f aca="false">IF(I849="","",IF(I849&lt;0,"Vadesi geçti",IF(I849&lt;=7,"Bu hafta","")))</f>
        <v/>
      </c>
      <c r="K849" s="19" t="n">
        <f aca="false">IF(H849="Bekliyor",G849,0)</f>
        <v>0</v>
      </c>
    </row>
    <row r="850" customFormat="false" ht="15" hidden="false" customHeight="false" outlineLevel="0" collapsed="false">
      <c r="A850" s="12"/>
      <c r="B850" s="12"/>
      <c r="C850" s="13"/>
      <c r="D850" s="13"/>
      <c r="E850" s="13"/>
      <c r="F850" s="14"/>
      <c r="G850" s="15"/>
      <c r="H850" s="12"/>
      <c r="I850" s="16" t="str">
        <f aca="true">IF(OR(F850="",H850&lt;&gt;"Bekliyor"),"",F850-TODAY())</f>
        <v/>
      </c>
      <c r="J850" s="17" t="str">
        <f aca="false">IF(I850="","",IF(I850&lt;0,"Vadesi geçti",IF(I850&lt;=7,"Bu hafta","")))</f>
        <v/>
      </c>
      <c r="K850" s="19" t="n">
        <f aca="false">IF(H850="Bekliyor",G850,0)</f>
        <v>0</v>
      </c>
    </row>
    <row r="851" customFormat="false" ht="15" hidden="false" customHeight="false" outlineLevel="0" collapsed="false">
      <c r="A851" s="12"/>
      <c r="B851" s="12"/>
      <c r="C851" s="13"/>
      <c r="D851" s="13"/>
      <c r="E851" s="13"/>
      <c r="F851" s="14"/>
      <c r="G851" s="15"/>
      <c r="H851" s="12"/>
      <c r="I851" s="16" t="str">
        <f aca="true">IF(OR(F851="",H851&lt;&gt;"Bekliyor"),"",F851-TODAY())</f>
        <v/>
      </c>
      <c r="J851" s="17" t="str">
        <f aca="false">IF(I851="","",IF(I851&lt;0,"Vadesi geçti",IF(I851&lt;=7,"Bu hafta","")))</f>
        <v/>
      </c>
      <c r="K851" s="19" t="n">
        <f aca="false">IF(H851="Bekliyor",G851,0)</f>
        <v>0</v>
      </c>
    </row>
    <row r="852" customFormat="false" ht="15" hidden="false" customHeight="false" outlineLevel="0" collapsed="false">
      <c r="A852" s="12"/>
      <c r="B852" s="12"/>
      <c r="C852" s="13"/>
      <c r="D852" s="13"/>
      <c r="E852" s="13"/>
      <c r="F852" s="14"/>
      <c r="G852" s="15"/>
      <c r="H852" s="12"/>
      <c r="I852" s="16" t="str">
        <f aca="true">IF(OR(F852="",H852&lt;&gt;"Bekliyor"),"",F852-TODAY())</f>
        <v/>
      </c>
      <c r="J852" s="17" t="str">
        <f aca="false">IF(I852="","",IF(I852&lt;0,"Vadesi geçti",IF(I852&lt;=7,"Bu hafta","")))</f>
        <v/>
      </c>
      <c r="K852" s="19" t="n">
        <f aca="false">IF(H852="Bekliyor",G852,0)</f>
        <v>0</v>
      </c>
    </row>
    <row r="853" customFormat="false" ht="15" hidden="false" customHeight="false" outlineLevel="0" collapsed="false">
      <c r="A853" s="12"/>
      <c r="B853" s="12"/>
      <c r="C853" s="13"/>
      <c r="D853" s="13"/>
      <c r="E853" s="13"/>
      <c r="F853" s="14"/>
      <c r="G853" s="15"/>
      <c r="H853" s="12"/>
      <c r="I853" s="16" t="str">
        <f aca="true">IF(OR(F853="",H853&lt;&gt;"Bekliyor"),"",F853-TODAY())</f>
        <v/>
      </c>
      <c r="J853" s="17" t="str">
        <f aca="false">IF(I853="","",IF(I853&lt;0,"Vadesi geçti",IF(I853&lt;=7,"Bu hafta","")))</f>
        <v/>
      </c>
      <c r="K853" s="19" t="n">
        <f aca="false">IF(H853="Bekliyor",G853,0)</f>
        <v>0</v>
      </c>
    </row>
    <row r="854" customFormat="false" ht="15" hidden="false" customHeight="false" outlineLevel="0" collapsed="false">
      <c r="A854" s="12"/>
      <c r="B854" s="12"/>
      <c r="C854" s="13"/>
      <c r="D854" s="13"/>
      <c r="E854" s="13"/>
      <c r="F854" s="14"/>
      <c r="G854" s="15"/>
      <c r="H854" s="12"/>
      <c r="I854" s="16" t="str">
        <f aca="true">IF(OR(F854="",H854&lt;&gt;"Bekliyor"),"",F854-TODAY())</f>
        <v/>
      </c>
      <c r="J854" s="17" t="str">
        <f aca="false">IF(I854="","",IF(I854&lt;0,"Vadesi geçti",IF(I854&lt;=7,"Bu hafta","")))</f>
        <v/>
      </c>
      <c r="K854" s="19" t="n">
        <f aca="false">IF(H854="Bekliyor",G854,0)</f>
        <v>0</v>
      </c>
    </row>
    <row r="855" customFormat="false" ht="15" hidden="false" customHeight="false" outlineLevel="0" collapsed="false">
      <c r="A855" s="12"/>
      <c r="B855" s="12"/>
      <c r="C855" s="13"/>
      <c r="D855" s="13"/>
      <c r="E855" s="13"/>
      <c r="F855" s="14"/>
      <c r="G855" s="15"/>
      <c r="H855" s="12"/>
      <c r="I855" s="16" t="str">
        <f aca="true">IF(OR(F855="",H855&lt;&gt;"Bekliyor"),"",F855-TODAY())</f>
        <v/>
      </c>
      <c r="J855" s="17" t="str">
        <f aca="false">IF(I855="","",IF(I855&lt;0,"Vadesi geçti",IF(I855&lt;=7,"Bu hafta","")))</f>
        <v/>
      </c>
      <c r="K855" s="19" t="n">
        <f aca="false">IF(H855="Bekliyor",G855,0)</f>
        <v>0</v>
      </c>
    </row>
    <row r="856" customFormat="false" ht="15" hidden="false" customHeight="false" outlineLevel="0" collapsed="false">
      <c r="A856" s="12"/>
      <c r="B856" s="12"/>
      <c r="C856" s="13"/>
      <c r="D856" s="13"/>
      <c r="E856" s="13"/>
      <c r="F856" s="14"/>
      <c r="G856" s="15"/>
      <c r="H856" s="12"/>
      <c r="I856" s="16" t="str">
        <f aca="true">IF(OR(F856="",H856&lt;&gt;"Bekliyor"),"",F856-TODAY())</f>
        <v/>
      </c>
      <c r="J856" s="17" t="str">
        <f aca="false">IF(I856="","",IF(I856&lt;0,"Vadesi geçti",IF(I856&lt;=7,"Bu hafta","")))</f>
        <v/>
      </c>
      <c r="K856" s="19" t="n">
        <f aca="false">IF(H856="Bekliyor",G856,0)</f>
        <v>0</v>
      </c>
    </row>
    <row r="857" customFormat="false" ht="15" hidden="false" customHeight="false" outlineLevel="0" collapsed="false">
      <c r="A857" s="12"/>
      <c r="B857" s="12"/>
      <c r="C857" s="13"/>
      <c r="D857" s="13"/>
      <c r="E857" s="13"/>
      <c r="F857" s="14"/>
      <c r="G857" s="15"/>
      <c r="H857" s="12"/>
      <c r="I857" s="16" t="str">
        <f aca="true">IF(OR(F857="",H857&lt;&gt;"Bekliyor"),"",F857-TODAY())</f>
        <v/>
      </c>
      <c r="J857" s="17" t="str">
        <f aca="false">IF(I857="","",IF(I857&lt;0,"Vadesi geçti",IF(I857&lt;=7,"Bu hafta","")))</f>
        <v/>
      </c>
      <c r="K857" s="19" t="n">
        <f aca="false">IF(H857="Bekliyor",G857,0)</f>
        <v>0</v>
      </c>
    </row>
    <row r="858" customFormat="false" ht="15" hidden="false" customHeight="false" outlineLevel="0" collapsed="false">
      <c r="A858" s="12"/>
      <c r="B858" s="12"/>
      <c r="C858" s="13"/>
      <c r="D858" s="13"/>
      <c r="E858" s="13"/>
      <c r="F858" s="14"/>
      <c r="G858" s="15"/>
      <c r="H858" s="12"/>
      <c r="I858" s="16" t="str">
        <f aca="true">IF(OR(F858="",H858&lt;&gt;"Bekliyor"),"",F858-TODAY())</f>
        <v/>
      </c>
      <c r="J858" s="17" t="str">
        <f aca="false">IF(I858="","",IF(I858&lt;0,"Vadesi geçti",IF(I858&lt;=7,"Bu hafta","")))</f>
        <v/>
      </c>
      <c r="K858" s="19" t="n">
        <f aca="false">IF(H858="Bekliyor",G858,0)</f>
        <v>0</v>
      </c>
    </row>
    <row r="859" customFormat="false" ht="15" hidden="false" customHeight="false" outlineLevel="0" collapsed="false">
      <c r="A859" s="12"/>
      <c r="B859" s="12"/>
      <c r="C859" s="13"/>
      <c r="D859" s="13"/>
      <c r="E859" s="13"/>
      <c r="F859" s="14"/>
      <c r="G859" s="15"/>
      <c r="H859" s="12"/>
      <c r="I859" s="16" t="str">
        <f aca="true">IF(OR(F859="",H859&lt;&gt;"Bekliyor"),"",F859-TODAY())</f>
        <v/>
      </c>
      <c r="J859" s="17" t="str">
        <f aca="false">IF(I859="","",IF(I859&lt;0,"Vadesi geçti",IF(I859&lt;=7,"Bu hafta","")))</f>
        <v/>
      </c>
      <c r="K859" s="19" t="n">
        <f aca="false">IF(H859="Bekliyor",G859,0)</f>
        <v>0</v>
      </c>
    </row>
    <row r="860" customFormat="false" ht="15" hidden="false" customHeight="false" outlineLevel="0" collapsed="false">
      <c r="A860" s="12"/>
      <c r="B860" s="12"/>
      <c r="C860" s="13"/>
      <c r="D860" s="13"/>
      <c r="E860" s="13"/>
      <c r="F860" s="14"/>
      <c r="G860" s="15"/>
      <c r="H860" s="12"/>
      <c r="I860" s="16" t="str">
        <f aca="true">IF(OR(F860="",H860&lt;&gt;"Bekliyor"),"",F860-TODAY())</f>
        <v/>
      </c>
      <c r="J860" s="17" t="str">
        <f aca="false">IF(I860="","",IF(I860&lt;0,"Vadesi geçti",IF(I860&lt;=7,"Bu hafta","")))</f>
        <v/>
      </c>
      <c r="K860" s="19" t="n">
        <f aca="false">IF(H860="Bekliyor",G860,0)</f>
        <v>0</v>
      </c>
    </row>
    <row r="861" customFormat="false" ht="15" hidden="false" customHeight="false" outlineLevel="0" collapsed="false">
      <c r="A861" s="12"/>
      <c r="B861" s="12"/>
      <c r="C861" s="13"/>
      <c r="D861" s="13"/>
      <c r="E861" s="13"/>
      <c r="F861" s="14"/>
      <c r="G861" s="15"/>
      <c r="H861" s="12"/>
      <c r="I861" s="16" t="str">
        <f aca="true">IF(OR(F861="",H861&lt;&gt;"Bekliyor"),"",F861-TODAY())</f>
        <v/>
      </c>
      <c r="J861" s="17" t="str">
        <f aca="false">IF(I861="","",IF(I861&lt;0,"Vadesi geçti",IF(I861&lt;=7,"Bu hafta","")))</f>
        <v/>
      </c>
      <c r="K861" s="19" t="n">
        <f aca="false">IF(H861="Bekliyor",G861,0)</f>
        <v>0</v>
      </c>
    </row>
    <row r="862" customFormat="false" ht="15" hidden="false" customHeight="false" outlineLevel="0" collapsed="false">
      <c r="A862" s="12"/>
      <c r="B862" s="12"/>
      <c r="C862" s="13"/>
      <c r="D862" s="13"/>
      <c r="E862" s="13"/>
      <c r="F862" s="14"/>
      <c r="G862" s="15"/>
      <c r="H862" s="12"/>
      <c r="I862" s="16" t="str">
        <f aca="true">IF(OR(F862="",H862&lt;&gt;"Bekliyor"),"",F862-TODAY())</f>
        <v/>
      </c>
      <c r="J862" s="17" t="str">
        <f aca="false">IF(I862="","",IF(I862&lt;0,"Vadesi geçti",IF(I862&lt;=7,"Bu hafta","")))</f>
        <v/>
      </c>
      <c r="K862" s="19" t="n">
        <f aca="false">IF(H862="Bekliyor",G862,0)</f>
        <v>0</v>
      </c>
    </row>
    <row r="863" customFormat="false" ht="15" hidden="false" customHeight="false" outlineLevel="0" collapsed="false">
      <c r="A863" s="12"/>
      <c r="B863" s="12"/>
      <c r="C863" s="13"/>
      <c r="D863" s="13"/>
      <c r="E863" s="13"/>
      <c r="F863" s="14"/>
      <c r="G863" s="15"/>
      <c r="H863" s="12"/>
      <c r="I863" s="16" t="str">
        <f aca="true">IF(OR(F863="",H863&lt;&gt;"Bekliyor"),"",F863-TODAY())</f>
        <v/>
      </c>
      <c r="J863" s="17" t="str">
        <f aca="false">IF(I863="","",IF(I863&lt;0,"Vadesi geçti",IF(I863&lt;=7,"Bu hafta","")))</f>
        <v/>
      </c>
      <c r="K863" s="19" t="n">
        <f aca="false">IF(H863="Bekliyor",G863,0)</f>
        <v>0</v>
      </c>
    </row>
    <row r="864" customFormat="false" ht="15" hidden="false" customHeight="false" outlineLevel="0" collapsed="false">
      <c r="A864" s="12"/>
      <c r="B864" s="12"/>
      <c r="C864" s="13"/>
      <c r="D864" s="13"/>
      <c r="E864" s="13"/>
      <c r="F864" s="14"/>
      <c r="G864" s="15"/>
      <c r="H864" s="12"/>
      <c r="I864" s="16" t="str">
        <f aca="true">IF(OR(F864="",H864&lt;&gt;"Bekliyor"),"",F864-TODAY())</f>
        <v/>
      </c>
      <c r="J864" s="17" t="str">
        <f aca="false">IF(I864="","",IF(I864&lt;0,"Vadesi geçti",IF(I864&lt;=7,"Bu hafta","")))</f>
        <v/>
      </c>
      <c r="K864" s="19" t="n">
        <f aca="false">IF(H864="Bekliyor",G864,0)</f>
        <v>0</v>
      </c>
    </row>
    <row r="865" customFormat="false" ht="15" hidden="false" customHeight="false" outlineLevel="0" collapsed="false">
      <c r="A865" s="12"/>
      <c r="B865" s="12"/>
      <c r="C865" s="13"/>
      <c r="D865" s="13"/>
      <c r="E865" s="13"/>
      <c r="F865" s="14"/>
      <c r="G865" s="15"/>
      <c r="H865" s="12"/>
      <c r="I865" s="16" t="str">
        <f aca="true">IF(OR(F865="",H865&lt;&gt;"Bekliyor"),"",F865-TODAY())</f>
        <v/>
      </c>
      <c r="J865" s="17" t="str">
        <f aca="false">IF(I865="","",IF(I865&lt;0,"Vadesi geçti",IF(I865&lt;=7,"Bu hafta","")))</f>
        <v/>
      </c>
      <c r="K865" s="19" t="n">
        <f aca="false">IF(H865="Bekliyor",G865,0)</f>
        <v>0</v>
      </c>
    </row>
    <row r="866" customFormat="false" ht="15" hidden="false" customHeight="false" outlineLevel="0" collapsed="false">
      <c r="A866" s="12"/>
      <c r="B866" s="12"/>
      <c r="C866" s="13"/>
      <c r="D866" s="13"/>
      <c r="E866" s="13"/>
      <c r="F866" s="14"/>
      <c r="G866" s="15"/>
      <c r="H866" s="12"/>
      <c r="I866" s="16" t="str">
        <f aca="true">IF(OR(F866="",H866&lt;&gt;"Bekliyor"),"",F866-TODAY())</f>
        <v/>
      </c>
      <c r="J866" s="17" t="str">
        <f aca="false">IF(I866="","",IF(I866&lt;0,"Vadesi geçti",IF(I866&lt;=7,"Bu hafta","")))</f>
        <v/>
      </c>
      <c r="K866" s="19" t="n">
        <f aca="false">IF(H866="Bekliyor",G866,0)</f>
        <v>0</v>
      </c>
    </row>
    <row r="867" customFormat="false" ht="15" hidden="false" customHeight="false" outlineLevel="0" collapsed="false">
      <c r="A867" s="12"/>
      <c r="B867" s="12"/>
      <c r="C867" s="13"/>
      <c r="D867" s="13"/>
      <c r="E867" s="13"/>
      <c r="F867" s="14"/>
      <c r="G867" s="15"/>
      <c r="H867" s="12"/>
      <c r="I867" s="16" t="str">
        <f aca="true">IF(OR(F867="",H867&lt;&gt;"Bekliyor"),"",F867-TODAY())</f>
        <v/>
      </c>
      <c r="J867" s="17" t="str">
        <f aca="false">IF(I867="","",IF(I867&lt;0,"Vadesi geçti",IF(I867&lt;=7,"Bu hafta","")))</f>
        <v/>
      </c>
      <c r="K867" s="19" t="n">
        <f aca="false">IF(H867="Bekliyor",G867,0)</f>
        <v>0</v>
      </c>
    </row>
    <row r="868" customFormat="false" ht="15" hidden="false" customHeight="false" outlineLevel="0" collapsed="false">
      <c r="A868" s="12"/>
      <c r="B868" s="12"/>
      <c r="C868" s="13"/>
      <c r="D868" s="13"/>
      <c r="E868" s="13"/>
      <c r="F868" s="14"/>
      <c r="G868" s="15"/>
      <c r="H868" s="12"/>
      <c r="I868" s="16" t="str">
        <f aca="true">IF(OR(F868="",H868&lt;&gt;"Bekliyor"),"",F868-TODAY())</f>
        <v/>
      </c>
      <c r="J868" s="17" t="str">
        <f aca="false">IF(I868="","",IF(I868&lt;0,"Vadesi geçti",IF(I868&lt;=7,"Bu hafta","")))</f>
        <v/>
      </c>
      <c r="K868" s="19" t="n">
        <f aca="false">IF(H868="Bekliyor",G868,0)</f>
        <v>0</v>
      </c>
    </row>
    <row r="869" customFormat="false" ht="15" hidden="false" customHeight="false" outlineLevel="0" collapsed="false">
      <c r="A869" s="12"/>
      <c r="B869" s="12"/>
      <c r="C869" s="13"/>
      <c r="D869" s="13"/>
      <c r="E869" s="13"/>
      <c r="F869" s="14"/>
      <c r="G869" s="15"/>
      <c r="H869" s="12"/>
      <c r="I869" s="16" t="str">
        <f aca="true">IF(OR(F869="",H869&lt;&gt;"Bekliyor"),"",F869-TODAY())</f>
        <v/>
      </c>
      <c r="J869" s="17" t="str">
        <f aca="false">IF(I869="","",IF(I869&lt;0,"Vadesi geçti",IF(I869&lt;=7,"Bu hafta","")))</f>
        <v/>
      </c>
      <c r="K869" s="19" t="n">
        <f aca="false">IF(H869="Bekliyor",G869,0)</f>
        <v>0</v>
      </c>
    </row>
    <row r="870" customFormat="false" ht="15" hidden="false" customHeight="false" outlineLevel="0" collapsed="false">
      <c r="A870" s="12"/>
      <c r="B870" s="12"/>
      <c r="C870" s="13"/>
      <c r="D870" s="13"/>
      <c r="E870" s="13"/>
      <c r="F870" s="14"/>
      <c r="G870" s="15"/>
      <c r="H870" s="12"/>
      <c r="I870" s="16" t="str">
        <f aca="true">IF(OR(F870="",H870&lt;&gt;"Bekliyor"),"",F870-TODAY())</f>
        <v/>
      </c>
      <c r="J870" s="17" t="str">
        <f aca="false">IF(I870="","",IF(I870&lt;0,"Vadesi geçti",IF(I870&lt;=7,"Bu hafta","")))</f>
        <v/>
      </c>
      <c r="K870" s="19" t="n">
        <f aca="false">IF(H870="Bekliyor",G870,0)</f>
        <v>0</v>
      </c>
    </row>
    <row r="871" customFormat="false" ht="15" hidden="false" customHeight="false" outlineLevel="0" collapsed="false">
      <c r="A871" s="12"/>
      <c r="B871" s="12"/>
      <c r="C871" s="13"/>
      <c r="D871" s="13"/>
      <c r="E871" s="13"/>
      <c r="F871" s="14"/>
      <c r="G871" s="15"/>
      <c r="H871" s="12"/>
      <c r="I871" s="16" t="str">
        <f aca="true">IF(OR(F871="",H871&lt;&gt;"Bekliyor"),"",F871-TODAY())</f>
        <v/>
      </c>
      <c r="J871" s="17" t="str">
        <f aca="false">IF(I871="","",IF(I871&lt;0,"Vadesi geçti",IF(I871&lt;=7,"Bu hafta","")))</f>
        <v/>
      </c>
      <c r="K871" s="19" t="n">
        <f aca="false">IF(H871="Bekliyor",G871,0)</f>
        <v>0</v>
      </c>
    </row>
    <row r="872" customFormat="false" ht="15" hidden="false" customHeight="false" outlineLevel="0" collapsed="false">
      <c r="A872" s="12"/>
      <c r="B872" s="12"/>
      <c r="C872" s="13"/>
      <c r="D872" s="13"/>
      <c r="E872" s="13"/>
      <c r="F872" s="14"/>
      <c r="G872" s="15"/>
      <c r="H872" s="12"/>
      <c r="I872" s="16" t="str">
        <f aca="true">IF(OR(F872="",H872&lt;&gt;"Bekliyor"),"",F872-TODAY())</f>
        <v/>
      </c>
      <c r="J872" s="17" t="str">
        <f aca="false">IF(I872="","",IF(I872&lt;0,"Vadesi geçti",IF(I872&lt;=7,"Bu hafta","")))</f>
        <v/>
      </c>
      <c r="K872" s="19" t="n">
        <f aca="false">IF(H872="Bekliyor",G872,0)</f>
        <v>0</v>
      </c>
    </row>
    <row r="873" customFormat="false" ht="15" hidden="false" customHeight="false" outlineLevel="0" collapsed="false">
      <c r="A873" s="12"/>
      <c r="B873" s="12"/>
      <c r="C873" s="13"/>
      <c r="D873" s="13"/>
      <c r="E873" s="13"/>
      <c r="F873" s="14"/>
      <c r="G873" s="15"/>
      <c r="H873" s="12"/>
      <c r="I873" s="16" t="str">
        <f aca="true">IF(OR(F873="",H873&lt;&gt;"Bekliyor"),"",F873-TODAY())</f>
        <v/>
      </c>
      <c r="J873" s="17" t="str">
        <f aca="false">IF(I873="","",IF(I873&lt;0,"Vadesi geçti",IF(I873&lt;=7,"Bu hafta","")))</f>
        <v/>
      </c>
      <c r="K873" s="19" t="n">
        <f aca="false">IF(H873="Bekliyor",G873,0)</f>
        <v>0</v>
      </c>
    </row>
    <row r="874" customFormat="false" ht="15" hidden="false" customHeight="false" outlineLevel="0" collapsed="false">
      <c r="A874" s="12"/>
      <c r="B874" s="12"/>
      <c r="C874" s="13"/>
      <c r="D874" s="13"/>
      <c r="E874" s="13"/>
      <c r="F874" s="14"/>
      <c r="G874" s="15"/>
      <c r="H874" s="12"/>
      <c r="I874" s="16" t="str">
        <f aca="true">IF(OR(F874="",H874&lt;&gt;"Bekliyor"),"",F874-TODAY())</f>
        <v/>
      </c>
      <c r="J874" s="17" t="str">
        <f aca="false">IF(I874="","",IF(I874&lt;0,"Vadesi geçti",IF(I874&lt;=7,"Bu hafta","")))</f>
        <v/>
      </c>
      <c r="K874" s="19" t="n">
        <f aca="false">IF(H874="Bekliyor",G874,0)</f>
        <v>0</v>
      </c>
    </row>
    <row r="875" customFormat="false" ht="15" hidden="false" customHeight="false" outlineLevel="0" collapsed="false">
      <c r="A875" s="12"/>
      <c r="B875" s="12"/>
      <c r="C875" s="13"/>
      <c r="D875" s="13"/>
      <c r="E875" s="13"/>
      <c r="F875" s="14"/>
      <c r="G875" s="15"/>
      <c r="H875" s="12"/>
      <c r="I875" s="16" t="str">
        <f aca="true">IF(OR(F875="",H875&lt;&gt;"Bekliyor"),"",F875-TODAY())</f>
        <v/>
      </c>
      <c r="J875" s="17" t="str">
        <f aca="false">IF(I875="","",IF(I875&lt;0,"Vadesi geçti",IF(I875&lt;=7,"Bu hafta","")))</f>
        <v/>
      </c>
      <c r="K875" s="19" t="n">
        <f aca="false">IF(H875="Bekliyor",G875,0)</f>
        <v>0</v>
      </c>
    </row>
    <row r="876" customFormat="false" ht="15" hidden="false" customHeight="false" outlineLevel="0" collapsed="false">
      <c r="A876" s="12"/>
      <c r="B876" s="12"/>
      <c r="C876" s="13"/>
      <c r="D876" s="13"/>
      <c r="E876" s="13"/>
      <c r="F876" s="14"/>
      <c r="G876" s="15"/>
      <c r="H876" s="12"/>
      <c r="I876" s="16" t="str">
        <f aca="true">IF(OR(F876="",H876&lt;&gt;"Bekliyor"),"",F876-TODAY())</f>
        <v/>
      </c>
      <c r="J876" s="17" t="str">
        <f aca="false">IF(I876="","",IF(I876&lt;0,"Vadesi geçti",IF(I876&lt;=7,"Bu hafta","")))</f>
        <v/>
      </c>
      <c r="K876" s="19" t="n">
        <f aca="false">IF(H876="Bekliyor",G876,0)</f>
        <v>0</v>
      </c>
    </row>
    <row r="877" customFormat="false" ht="15" hidden="false" customHeight="false" outlineLevel="0" collapsed="false">
      <c r="A877" s="12"/>
      <c r="B877" s="12"/>
      <c r="C877" s="13"/>
      <c r="D877" s="13"/>
      <c r="E877" s="13"/>
      <c r="F877" s="14"/>
      <c r="G877" s="15"/>
      <c r="H877" s="12"/>
      <c r="I877" s="16" t="str">
        <f aca="true">IF(OR(F877="",H877&lt;&gt;"Bekliyor"),"",F877-TODAY())</f>
        <v/>
      </c>
      <c r="J877" s="17" t="str">
        <f aca="false">IF(I877="","",IF(I877&lt;0,"Vadesi geçti",IF(I877&lt;=7,"Bu hafta","")))</f>
        <v/>
      </c>
      <c r="K877" s="19" t="n">
        <f aca="false">IF(H877="Bekliyor",G877,0)</f>
        <v>0</v>
      </c>
    </row>
    <row r="878" customFormat="false" ht="15" hidden="false" customHeight="false" outlineLevel="0" collapsed="false">
      <c r="A878" s="12"/>
      <c r="B878" s="12"/>
      <c r="C878" s="13"/>
      <c r="D878" s="13"/>
      <c r="E878" s="13"/>
      <c r="F878" s="14"/>
      <c r="G878" s="15"/>
      <c r="H878" s="12"/>
      <c r="I878" s="16" t="str">
        <f aca="true">IF(OR(F878="",H878&lt;&gt;"Bekliyor"),"",F878-TODAY())</f>
        <v/>
      </c>
      <c r="J878" s="17" t="str">
        <f aca="false">IF(I878="","",IF(I878&lt;0,"Vadesi geçti",IF(I878&lt;=7,"Bu hafta","")))</f>
        <v/>
      </c>
      <c r="K878" s="19" t="n">
        <f aca="false">IF(H878="Bekliyor",G878,0)</f>
        <v>0</v>
      </c>
    </row>
    <row r="879" customFormat="false" ht="15" hidden="false" customHeight="false" outlineLevel="0" collapsed="false">
      <c r="A879" s="12"/>
      <c r="B879" s="12"/>
      <c r="C879" s="13"/>
      <c r="D879" s="13"/>
      <c r="E879" s="13"/>
      <c r="F879" s="14"/>
      <c r="G879" s="15"/>
      <c r="H879" s="12"/>
      <c r="I879" s="16" t="str">
        <f aca="true">IF(OR(F879="",H879&lt;&gt;"Bekliyor"),"",F879-TODAY())</f>
        <v/>
      </c>
      <c r="J879" s="17" t="str">
        <f aca="false">IF(I879="","",IF(I879&lt;0,"Vadesi geçti",IF(I879&lt;=7,"Bu hafta","")))</f>
        <v/>
      </c>
      <c r="K879" s="19" t="n">
        <f aca="false">IF(H879="Bekliyor",G879,0)</f>
        <v>0</v>
      </c>
    </row>
    <row r="880" customFormat="false" ht="15" hidden="false" customHeight="false" outlineLevel="0" collapsed="false">
      <c r="A880" s="12"/>
      <c r="B880" s="12"/>
      <c r="C880" s="13"/>
      <c r="D880" s="13"/>
      <c r="E880" s="13"/>
      <c r="F880" s="14"/>
      <c r="G880" s="15"/>
      <c r="H880" s="12"/>
      <c r="I880" s="16" t="str">
        <f aca="true">IF(OR(F880="",H880&lt;&gt;"Bekliyor"),"",F880-TODAY())</f>
        <v/>
      </c>
      <c r="J880" s="17" t="str">
        <f aca="false">IF(I880="","",IF(I880&lt;0,"Vadesi geçti",IF(I880&lt;=7,"Bu hafta","")))</f>
        <v/>
      </c>
      <c r="K880" s="19" t="n">
        <f aca="false">IF(H880="Bekliyor",G880,0)</f>
        <v>0</v>
      </c>
    </row>
    <row r="881" customFormat="false" ht="15" hidden="false" customHeight="false" outlineLevel="0" collapsed="false">
      <c r="A881" s="12"/>
      <c r="B881" s="12"/>
      <c r="C881" s="13"/>
      <c r="D881" s="13"/>
      <c r="E881" s="13"/>
      <c r="F881" s="14"/>
      <c r="G881" s="15"/>
      <c r="H881" s="12"/>
      <c r="I881" s="16" t="str">
        <f aca="true">IF(OR(F881="",H881&lt;&gt;"Bekliyor"),"",F881-TODAY())</f>
        <v/>
      </c>
      <c r="J881" s="17" t="str">
        <f aca="false">IF(I881="","",IF(I881&lt;0,"Vadesi geçti",IF(I881&lt;=7,"Bu hafta","")))</f>
        <v/>
      </c>
      <c r="K881" s="19" t="n">
        <f aca="false">IF(H881="Bekliyor",G881,0)</f>
        <v>0</v>
      </c>
    </row>
    <row r="882" customFormat="false" ht="15" hidden="false" customHeight="false" outlineLevel="0" collapsed="false">
      <c r="A882" s="12"/>
      <c r="B882" s="12"/>
      <c r="C882" s="13"/>
      <c r="D882" s="13"/>
      <c r="E882" s="13"/>
      <c r="F882" s="14"/>
      <c r="G882" s="15"/>
      <c r="H882" s="12"/>
      <c r="I882" s="16" t="str">
        <f aca="true">IF(OR(F882="",H882&lt;&gt;"Bekliyor"),"",F882-TODAY())</f>
        <v/>
      </c>
      <c r="J882" s="17" t="str">
        <f aca="false">IF(I882="","",IF(I882&lt;0,"Vadesi geçti",IF(I882&lt;=7,"Bu hafta","")))</f>
        <v/>
      </c>
      <c r="K882" s="19" t="n">
        <f aca="false">IF(H882="Bekliyor",G882,0)</f>
        <v>0</v>
      </c>
    </row>
    <row r="883" customFormat="false" ht="15" hidden="false" customHeight="false" outlineLevel="0" collapsed="false">
      <c r="A883" s="12"/>
      <c r="B883" s="12"/>
      <c r="C883" s="13"/>
      <c r="D883" s="13"/>
      <c r="E883" s="13"/>
      <c r="F883" s="14"/>
      <c r="G883" s="15"/>
      <c r="H883" s="12"/>
      <c r="I883" s="16" t="str">
        <f aca="true">IF(OR(F883="",H883&lt;&gt;"Bekliyor"),"",F883-TODAY())</f>
        <v/>
      </c>
      <c r="J883" s="17" t="str">
        <f aca="false">IF(I883="","",IF(I883&lt;0,"Vadesi geçti",IF(I883&lt;=7,"Bu hafta","")))</f>
        <v/>
      </c>
      <c r="K883" s="19" t="n">
        <f aca="false">IF(H883="Bekliyor",G883,0)</f>
        <v>0</v>
      </c>
    </row>
    <row r="884" customFormat="false" ht="15" hidden="false" customHeight="false" outlineLevel="0" collapsed="false">
      <c r="A884" s="12"/>
      <c r="B884" s="12"/>
      <c r="C884" s="13"/>
      <c r="D884" s="13"/>
      <c r="E884" s="13"/>
      <c r="F884" s="14"/>
      <c r="G884" s="15"/>
      <c r="H884" s="12"/>
      <c r="I884" s="16" t="str">
        <f aca="true">IF(OR(F884="",H884&lt;&gt;"Bekliyor"),"",F884-TODAY())</f>
        <v/>
      </c>
      <c r="J884" s="17" t="str">
        <f aca="false">IF(I884="","",IF(I884&lt;0,"Vadesi geçti",IF(I884&lt;=7,"Bu hafta","")))</f>
        <v/>
      </c>
      <c r="K884" s="19" t="n">
        <f aca="false">IF(H884="Bekliyor",G884,0)</f>
        <v>0</v>
      </c>
    </row>
    <row r="885" customFormat="false" ht="15" hidden="false" customHeight="false" outlineLevel="0" collapsed="false">
      <c r="A885" s="12"/>
      <c r="B885" s="12"/>
      <c r="C885" s="13"/>
      <c r="D885" s="13"/>
      <c r="E885" s="13"/>
      <c r="F885" s="14"/>
      <c r="G885" s="15"/>
      <c r="H885" s="12"/>
      <c r="I885" s="16" t="str">
        <f aca="true">IF(OR(F885="",H885&lt;&gt;"Bekliyor"),"",F885-TODAY())</f>
        <v/>
      </c>
      <c r="J885" s="17" t="str">
        <f aca="false">IF(I885="","",IF(I885&lt;0,"Vadesi geçti",IF(I885&lt;=7,"Bu hafta","")))</f>
        <v/>
      </c>
      <c r="K885" s="19" t="n">
        <f aca="false">IF(H885="Bekliyor",G885,0)</f>
        <v>0</v>
      </c>
    </row>
    <row r="886" customFormat="false" ht="15" hidden="false" customHeight="false" outlineLevel="0" collapsed="false">
      <c r="A886" s="12"/>
      <c r="B886" s="12"/>
      <c r="C886" s="13"/>
      <c r="D886" s="13"/>
      <c r="E886" s="13"/>
      <c r="F886" s="14"/>
      <c r="G886" s="15"/>
      <c r="H886" s="12"/>
      <c r="I886" s="16" t="str">
        <f aca="true">IF(OR(F886="",H886&lt;&gt;"Bekliyor"),"",F886-TODAY())</f>
        <v/>
      </c>
      <c r="J886" s="17" t="str">
        <f aca="false">IF(I886="","",IF(I886&lt;0,"Vadesi geçti",IF(I886&lt;=7,"Bu hafta","")))</f>
        <v/>
      </c>
      <c r="K886" s="19" t="n">
        <f aca="false">IF(H886="Bekliyor",G886,0)</f>
        <v>0</v>
      </c>
    </row>
    <row r="887" customFormat="false" ht="15" hidden="false" customHeight="false" outlineLevel="0" collapsed="false">
      <c r="A887" s="12"/>
      <c r="B887" s="12"/>
      <c r="C887" s="13"/>
      <c r="D887" s="13"/>
      <c r="E887" s="13"/>
      <c r="F887" s="14"/>
      <c r="G887" s="15"/>
      <c r="H887" s="12"/>
      <c r="I887" s="16" t="str">
        <f aca="true">IF(OR(F887="",H887&lt;&gt;"Bekliyor"),"",F887-TODAY())</f>
        <v/>
      </c>
      <c r="J887" s="17" t="str">
        <f aca="false">IF(I887="","",IF(I887&lt;0,"Vadesi geçti",IF(I887&lt;=7,"Bu hafta","")))</f>
        <v/>
      </c>
      <c r="K887" s="19" t="n">
        <f aca="false">IF(H887="Bekliyor",G887,0)</f>
        <v>0</v>
      </c>
    </row>
    <row r="888" customFormat="false" ht="15" hidden="false" customHeight="false" outlineLevel="0" collapsed="false">
      <c r="A888" s="12"/>
      <c r="B888" s="12"/>
      <c r="C888" s="13"/>
      <c r="D888" s="13"/>
      <c r="E888" s="13"/>
      <c r="F888" s="14"/>
      <c r="G888" s="15"/>
      <c r="H888" s="12"/>
      <c r="I888" s="16" t="str">
        <f aca="true">IF(OR(F888="",H888&lt;&gt;"Bekliyor"),"",F888-TODAY())</f>
        <v/>
      </c>
      <c r="J888" s="17" t="str">
        <f aca="false">IF(I888="","",IF(I888&lt;0,"Vadesi geçti",IF(I888&lt;=7,"Bu hafta","")))</f>
        <v/>
      </c>
      <c r="K888" s="19" t="n">
        <f aca="false">IF(H888="Bekliyor",G888,0)</f>
        <v>0</v>
      </c>
    </row>
    <row r="889" customFormat="false" ht="15" hidden="false" customHeight="false" outlineLevel="0" collapsed="false">
      <c r="A889" s="12"/>
      <c r="B889" s="12"/>
      <c r="C889" s="13"/>
      <c r="D889" s="13"/>
      <c r="E889" s="13"/>
      <c r="F889" s="14"/>
      <c r="G889" s="15"/>
      <c r="H889" s="12"/>
      <c r="I889" s="16" t="str">
        <f aca="true">IF(OR(F889="",H889&lt;&gt;"Bekliyor"),"",F889-TODAY())</f>
        <v/>
      </c>
      <c r="J889" s="17" t="str">
        <f aca="false">IF(I889="","",IF(I889&lt;0,"Vadesi geçti",IF(I889&lt;=7,"Bu hafta","")))</f>
        <v/>
      </c>
      <c r="K889" s="19" t="n">
        <f aca="false">IF(H889="Bekliyor",G889,0)</f>
        <v>0</v>
      </c>
    </row>
    <row r="890" customFormat="false" ht="15" hidden="false" customHeight="false" outlineLevel="0" collapsed="false">
      <c r="A890" s="12"/>
      <c r="B890" s="12"/>
      <c r="C890" s="13"/>
      <c r="D890" s="13"/>
      <c r="E890" s="13"/>
      <c r="F890" s="14"/>
      <c r="G890" s="15"/>
      <c r="H890" s="12"/>
      <c r="I890" s="16" t="str">
        <f aca="true">IF(OR(F890="",H890&lt;&gt;"Bekliyor"),"",F890-TODAY())</f>
        <v/>
      </c>
      <c r="J890" s="17" t="str">
        <f aca="false">IF(I890="","",IF(I890&lt;0,"Vadesi geçti",IF(I890&lt;=7,"Bu hafta","")))</f>
        <v/>
      </c>
      <c r="K890" s="19" t="n">
        <f aca="false">IF(H890="Bekliyor",G890,0)</f>
        <v>0</v>
      </c>
    </row>
    <row r="891" customFormat="false" ht="15" hidden="false" customHeight="false" outlineLevel="0" collapsed="false">
      <c r="A891" s="12"/>
      <c r="B891" s="12"/>
      <c r="C891" s="13"/>
      <c r="D891" s="13"/>
      <c r="E891" s="13"/>
      <c r="F891" s="14"/>
      <c r="G891" s="15"/>
      <c r="H891" s="12"/>
      <c r="I891" s="16" t="str">
        <f aca="true">IF(OR(F891="",H891&lt;&gt;"Bekliyor"),"",F891-TODAY())</f>
        <v/>
      </c>
      <c r="J891" s="17" t="str">
        <f aca="false">IF(I891="","",IF(I891&lt;0,"Vadesi geçti",IF(I891&lt;=7,"Bu hafta","")))</f>
        <v/>
      </c>
      <c r="K891" s="19" t="n">
        <f aca="false">IF(H891="Bekliyor",G891,0)</f>
        <v>0</v>
      </c>
    </row>
    <row r="892" customFormat="false" ht="15" hidden="false" customHeight="false" outlineLevel="0" collapsed="false">
      <c r="A892" s="12"/>
      <c r="B892" s="12"/>
      <c r="C892" s="13"/>
      <c r="D892" s="13"/>
      <c r="E892" s="13"/>
      <c r="F892" s="14"/>
      <c r="G892" s="15"/>
      <c r="H892" s="12"/>
      <c r="I892" s="16" t="str">
        <f aca="true">IF(OR(F892="",H892&lt;&gt;"Bekliyor"),"",F892-TODAY())</f>
        <v/>
      </c>
      <c r="J892" s="17" t="str">
        <f aca="false">IF(I892="","",IF(I892&lt;0,"Vadesi geçti",IF(I892&lt;=7,"Bu hafta","")))</f>
        <v/>
      </c>
      <c r="K892" s="19" t="n">
        <f aca="false">IF(H892="Bekliyor",G892,0)</f>
        <v>0</v>
      </c>
    </row>
    <row r="893" customFormat="false" ht="15" hidden="false" customHeight="false" outlineLevel="0" collapsed="false">
      <c r="A893" s="12"/>
      <c r="B893" s="12"/>
      <c r="C893" s="13"/>
      <c r="D893" s="13"/>
      <c r="E893" s="13"/>
      <c r="F893" s="14"/>
      <c r="G893" s="15"/>
      <c r="H893" s="12"/>
      <c r="I893" s="16" t="str">
        <f aca="true">IF(OR(F893="",H893&lt;&gt;"Bekliyor"),"",F893-TODAY())</f>
        <v/>
      </c>
      <c r="J893" s="17" t="str">
        <f aca="false">IF(I893="","",IF(I893&lt;0,"Vadesi geçti",IF(I893&lt;=7,"Bu hafta","")))</f>
        <v/>
      </c>
      <c r="K893" s="19" t="n">
        <f aca="false">IF(H893="Bekliyor",G893,0)</f>
        <v>0</v>
      </c>
    </row>
    <row r="894" customFormat="false" ht="15" hidden="false" customHeight="false" outlineLevel="0" collapsed="false">
      <c r="A894" s="12"/>
      <c r="B894" s="12"/>
      <c r="C894" s="13"/>
      <c r="D894" s="13"/>
      <c r="E894" s="13"/>
      <c r="F894" s="14"/>
      <c r="G894" s="15"/>
      <c r="H894" s="12"/>
      <c r="I894" s="16" t="str">
        <f aca="true">IF(OR(F894="",H894&lt;&gt;"Bekliyor"),"",F894-TODAY())</f>
        <v/>
      </c>
      <c r="J894" s="17" t="str">
        <f aca="false">IF(I894="","",IF(I894&lt;0,"Vadesi geçti",IF(I894&lt;=7,"Bu hafta","")))</f>
        <v/>
      </c>
      <c r="K894" s="19" t="n">
        <f aca="false">IF(H894="Bekliyor",G894,0)</f>
        <v>0</v>
      </c>
    </row>
    <row r="895" customFormat="false" ht="15" hidden="false" customHeight="false" outlineLevel="0" collapsed="false">
      <c r="A895" s="12"/>
      <c r="B895" s="12"/>
      <c r="C895" s="13"/>
      <c r="D895" s="13"/>
      <c r="E895" s="13"/>
      <c r="F895" s="14"/>
      <c r="G895" s="15"/>
      <c r="H895" s="12"/>
      <c r="I895" s="16" t="str">
        <f aca="true">IF(OR(F895="",H895&lt;&gt;"Bekliyor"),"",F895-TODAY())</f>
        <v/>
      </c>
      <c r="J895" s="17" t="str">
        <f aca="false">IF(I895="","",IF(I895&lt;0,"Vadesi geçti",IF(I895&lt;=7,"Bu hafta","")))</f>
        <v/>
      </c>
      <c r="K895" s="19" t="n">
        <f aca="false">IF(H895="Bekliyor",G895,0)</f>
        <v>0</v>
      </c>
    </row>
    <row r="896" customFormat="false" ht="15" hidden="false" customHeight="false" outlineLevel="0" collapsed="false">
      <c r="A896" s="12"/>
      <c r="B896" s="12"/>
      <c r="C896" s="13"/>
      <c r="D896" s="13"/>
      <c r="E896" s="13"/>
      <c r="F896" s="14"/>
      <c r="G896" s="15"/>
      <c r="H896" s="12"/>
      <c r="I896" s="16" t="str">
        <f aca="true">IF(OR(F896="",H896&lt;&gt;"Bekliyor"),"",F896-TODAY())</f>
        <v/>
      </c>
      <c r="J896" s="17" t="str">
        <f aca="false">IF(I896="","",IF(I896&lt;0,"Vadesi geçti",IF(I896&lt;=7,"Bu hafta","")))</f>
        <v/>
      </c>
      <c r="K896" s="19" t="n">
        <f aca="false">IF(H896="Bekliyor",G896,0)</f>
        <v>0</v>
      </c>
    </row>
    <row r="897" customFormat="false" ht="15" hidden="false" customHeight="false" outlineLevel="0" collapsed="false">
      <c r="A897" s="12"/>
      <c r="B897" s="12"/>
      <c r="C897" s="13"/>
      <c r="D897" s="13"/>
      <c r="E897" s="13"/>
      <c r="F897" s="14"/>
      <c r="G897" s="15"/>
      <c r="H897" s="12"/>
      <c r="I897" s="16" t="str">
        <f aca="true">IF(OR(F897="",H897&lt;&gt;"Bekliyor"),"",F897-TODAY())</f>
        <v/>
      </c>
      <c r="J897" s="17" t="str">
        <f aca="false">IF(I897="","",IF(I897&lt;0,"Vadesi geçti",IF(I897&lt;=7,"Bu hafta","")))</f>
        <v/>
      </c>
      <c r="K897" s="19" t="n">
        <f aca="false">IF(H897="Bekliyor",G897,0)</f>
        <v>0</v>
      </c>
    </row>
    <row r="898" customFormat="false" ht="15" hidden="false" customHeight="false" outlineLevel="0" collapsed="false">
      <c r="A898" s="12"/>
      <c r="B898" s="12"/>
      <c r="C898" s="13"/>
      <c r="D898" s="13"/>
      <c r="E898" s="13"/>
      <c r="F898" s="14"/>
      <c r="G898" s="15"/>
      <c r="H898" s="12"/>
      <c r="I898" s="16" t="str">
        <f aca="true">IF(OR(F898="",H898&lt;&gt;"Bekliyor"),"",F898-TODAY())</f>
        <v/>
      </c>
      <c r="J898" s="17" t="str">
        <f aca="false">IF(I898="","",IF(I898&lt;0,"Vadesi geçti",IF(I898&lt;=7,"Bu hafta","")))</f>
        <v/>
      </c>
      <c r="K898" s="19" t="n">
        <f aca="false">IF(H898="Bekliyor",G898,0)</f>
        <v>0</v>
      </c>
    </row>
    <row r="899" customFormat="false" ht="15" hidden="false" customHeight="false" outlineLevel="0" collapsed="false">
      <c r="A899" s="12"/>
      <c r="B899" s="12"/>
      <c r="C899" s="13"/>
      <c r="D899" s="13"/>
      <c r="E899" s="13"/>
      <c r="F899" s="14"/>
      <c r="G899" s="15"/>
      <c r="H899" s="12"/>
      <c r="I899" s="16" t="str">
        <f aca="true">IF(OR(F899="",H899&lt;&gt;"Bekliyor"),"",F899-TODAY())</f>
        <v/>
      </c>
      <c r="J899" s="17" t="str">
        <f aca="false">IF(I899="","",IF(I899&lt;0,"Vadesi geçti",IF(I899&lt;=7,"Bu hafta","")))</f>
        <v/>
      </c>
      <c r="K899" s="19" t="n">
        <f aca="false">IF(H899="Bekliyor",G899,0)</f>
        <v>0</v>
      </c>
    </row>
    <row r="900" customFormat="false" ht="15" hidden="false" customHeight="false" outlineLevel="0" collapsed="false">
      <c r="A900" s="12"/>
      <c r="B900" s="12"/>
      <c r="C900" s="13"/>
      <c r="D900" s="13"/>
      <c r="E900" s="13"/>
      <c r="F900" s="14"/>
      <c r="G900" s="15"/>
      <c r="H900" s="12"/>
      <c r="I900" s="16" t="str">
        <f aca="true">IF(OR(F900="",H900&lt;&gt;"Bekliyor"),"",F900-TODAY())</f>
        <v/>
      </c>
      <c r="J900" s="17" t="str">
        <f aca="false">IF(I900="","",IF(I900&lt;0,"Vadesi geçti",IF(I900&lt;=7,"Bu hafta","")))</f>
        <v/>
      </c>
      <c r="K900" s="19" t="n">
        <f aca="false">IF(H900="Bekliyor",G900,0)</f>
        <v>0</v>
      </c>
    </row>
    <row r="901" customFormat="false" ht="15" hidden="false" customHeight="false" outlineLevel="0" collapsed="false">
      <c r="A901" s="12"/>
      <c r="B901" s="12"/>
      <c r="C901" s="13"/>
      <c r="D901" s="13"/>
      <c r="E901" s="13"/>
      <c r="F901" s="14"/>
      <c r="G901" s="15"/>
      <c r="H901" s="12"/>
      <c r="I901" s="16" t="str">
        <f aca="true">IF(OR(F901="",H901&lt;&gt;"Bekliyor"),"",F901-TODAY())</f>
        <v/>
      </c>
      <c r="J901" s="17" t="str">
        <f aca="false">IF(I901="","",IF(I901&lt;0,"Vadesi geçti",IF(I901&lt;=7,"Bu hafta","")))</f>
        <v/>
      </c>
      <c r="K901" s="19" t="n">
        <f aca="false">IF(H901="Bekliyor",G901,0)</f>
        <v>0</v>
      </c>
    </row>
    <row r="902" customFormat="false" ht="15" hidden="false" customHeight="false" outlineLevel="0" collapsed="false">
      <c r="A902" s="12"/>
      <c r="B902" s="12"/>
      <c r="C902" s="13"/>
      <c r="D902" s="13"/>
      <c r="E902" s="13"/>
      <c r="F902" s="14"/>
      <c r="G902" s="15"/>
      <c r="H902" s="12"/>
      <c r="I902" s="16" t="str">
        <f aca="true">IF(OR(F902="",H902&lt;&gt;"Bekliyor"),"",F902-TODAY())</f>
        <v/>
      </c>
      <c r="J902" s="17" t="str">
        <f aca="false">IF(I902="","",IF(I902&lt;0,"Vadesi geçti",IF(I902&lt;=7,"Bu hafta","")))</f>
        <v/>
      </c>
      <c r="K902" s="19" t="n">
        <f aca="false">IF(H902="Bekliyor",G902,0)</f>
        <v>0</v>
      </c>
    </row>
    <row r="903" customFormat="false" ht="15" hidden="false" customHeight="false" outlineLevel="0" collapsed="false">
      <c r="A903" s="12"/>
      <c r="B903" s="12"/>
      <c r="C903" s="13"/>
      <c r="D903" s="13"/>
      <c r="E903" s="13"/>
      <c r="F903" s="14"/>
      <c r="G903" s="15"/>
      <c r="H903" s="12"/>
      <c r="I903" s="16" t="str">
        <f aca="true">IF(OR(F903="",H903&lt;&gt;"Bekliyor"),"",F903-TODAY())</f>
        <v/>
      </c>
      <c r="J903" s="17" t="str">
        <f aca="false">IF(I903="","",IF(I903&lt;0,"Vadesi geçti",IF(I903&lt;=7,"Bu hafta","")))</f>
        <v/>
      </c>
      <c r="K903" s="19" t="n">
        <f aca="false">IF(H903="Bekliyor",G903,0)</f>
        <v>0</v>
      </c>
    </row>
    <row r="904" customFormat="false" ht="15" hidden="false" customHeight="false" outlineLevel="0" collapsed="false">
      <c r="A904" s="12"/>
      <c r="B904" s="12"/>
      <c r="C904" s="13"/>
      <c r="D904" s="13"/>
      <c r="E904" s="13"/>
      <c r="F904" s="14"/>
      <c r="G904" s="15"/>
      <c r="H904" s="12"/>
      <c r="I904" s="16" t="str">
        <f aca="true">IF(OR(F904="",H904&lt;&gt;"Bekliyor"),"",F904-TODAY())</f>
        <v/>
      </c>
      <c r="J904" s="17" t="str">
        <f aca="false">IF(I904="","",IF(I904&lt;0,"Vadesi geçti",IF(I904&lt;=7,"Bu hafta","")))</f>
        <v/>
      </c>
      <c r="K904" s="19" t="n">
        <f aca="false">IF(H904="Bekliyor",G904,0)</f>
        <v>0</v>
      </c>
    </row>
    <row r="905" customFormat="false" ht="15" hidden="false" customHeight="false" outlineLevel="0" collapsed="false">
      <c r="A905" s="12"/>
      <c r="B905" s="12"/>
      <c r="C905" s="13"/>
      <c r="D905" s="13"/>
      <c r="E905" s="13"/>
      <c r="F905" s="14"/>
      <c r="G905" s="15"/>
      <c r="H905" s="12"/>
      <c r="I905" s="16" t="str">
        <f aca="true">IF(OR(F905="",H905&lt;&gt;"Bekliyor"),"",F905-TODAY())</f>
        <v/>
      </c>
      <c r="J905" s="17" t="str">
        <f aca="false">IF(I905="","",IF(I905&lt;0,"Vadesi geçti",IF(I905&lt;=7,"Bu hafta","")))</f>
        <v/>
      </c>
      <c r="K905" s="19" t="n">
        <f aca="false">IF(H905="Bekliyor",G905,0)</f>
        <v>0</v>
      </c>
    </row>
    <row r="906" customFormat="false" ht="15" hidden="false" customHeight="false" outlineLevel="0" collapsed="false">
      <c r="A906" s="12"/>
      <c r="B906" s="12"/>
      <c r="C906" s="13"/>
      <c r="D906" s="13"/>
      <c r="E906" s="13"/>
      <c r="F906" s="14"/>
      <c r="G906" s="15"/>
      <c r="H906" s="12"/>
      <c r="I906" s="16" t="str">
        <f aca="true">IF(OR(F906="",H906&lt;&gt;"Bekliyor"),"",F906-TODAY())</f>
        <v/>
      </c>
      <c r="J906" s="17" t="str">
        <f aca="false">IF(I906="","",IF(I906&lt;0,"Vadesi geçti",IF(I906&lt;=7,"Bu hafta","")))</f>
        <v/>
      </c>
      <c r="K906" s="19" t="n">
        <f aca="false">IF(H906="Bekliyor",G906,0)</f>
        <v>0</v>
      </c>
    </row>
    <row r="907" customFormat="false" ht="15" hidden="false" customHeight="false" outlineLevel="0" collapsed="false">
      <c r="A907" s="12"/>
      <c r="B907" s="12"/>
      <c r="C907" s="13"/>
      <c r="D907" s="13"/>
      <c r="E907" s="13"/>
      <c r="F907" s="14"/>
      <c r="G907" s="15"/>
      <c r="H907" s="12"/>
      <c r="I907" s="16" t="str">
        <f aca="true">IF(OR(F907="",H907&lt;&gt;"Bekliyor"),"",F907-TODAY())</f>
        <v/>
      </c>
      <c r="J907" s="17" t="str">
        <f aca="false">IF(I907="","",IF(I907&lt;0,"Vadesi geçti",IF(I907&lt;=7,"Bu hafta","")))</f>
        <v/>
      </c>
      <c r="K907" s="19" t="n">
        <f aca="false">IF(H907="Bekliyor",G907,0)</f>
        <v>0</v>
      </c>
    </row>
    <row r="908" customFormat="false" ht="15" hidden="false" customHeight="false" outlineLevel="0" collapsed="false">
      <c r="A908" s="12"/>
      <c r="B908" s="12"/>
      <c r="C908" s="13"/>
      <c r="D908" s="13"/>
      <c r="E908" s="13"/>
      <c r="F908" s="14"/>
      <c r="G908" s="15"/>
      <c r="H908" s="12"/>
      <c r="I908" s="16" t="str">
        <f aca="true">IF(OR(F908="",H908&lt;&gt;"Bekliyor"),"",F908-TODAY())</f>
        <v/>
      </c>
      <c r="J908" s="17" t="str">
        <f aca="false">IF(I908="","",IF(I908&lt;0,"Vadesi geçti",IF(I908&lt;=7,"Bu hafta","")))</f>
        <v/>
      </c>
      <c r="K908" s="19" t="n">
        <f aca="false">IF(H908="Bekliyor",G908,0)</f>
        <v>0</v>
      </c>
    </row>
    <row r="909" customFormat="false" ht="15" hidden="false" customHeight="false" outlineLevel="0" collapsed="false">
      <c r="A909" s="12"/>
      <c r="B909" s="12"/>
      <c r="C909" s="13"/>
      <c r="D909" s="13"/>
      <c r="E909" s="13"/>
      <c r="F909" s="14"/>
      <c r="G909" s="15"/>
      <c r="H909" s="12"/>
      <c r="I909" s="16" t="str">
        <f aca="true">IF(OR(F909="",H909&lt;&gt;"Bekliyor"),"",F909-TODAY())</f>
        <v/>
      </c>
      <c r="J909" s="17" t="str">
        <f aca="false">IF(I909="","",IF(I909&lt;0,"Vadesi geçti",IF(I909&lt;=7,"Bu hafta","")))</f>
        <v/>
      </c>
      <c r="K909" s="19" t="n">
        <f aca="false">IF(H909="Bekliyor",G909,0)</f>
        <v>0</v>
      </c>
    </row>
    <row r="910" customFormat="false" ht="15" hidden="false" customHeight="false" outlineLevel="0" collapsed="false">
      <c r="A910" s="12"/>
      <c r="B910" s="12"/>
      <c r="C910" s="13"/>
      <c r="D910" s="13"/>
      <c r="E910" s="13"/>
      <c r="F910" s="14"/>
      <c r="G910" s="15"/>
      <c r="H910" s="12"/>
      <c r="I910" s="16" t="str">
        <f aca="true">IF(OR(F910="",H910&lt;&gt;"Bekliyor"),"",F910-TODAY())</f>
        <v/>
      </c>
      <c r="J910" s="17" t="str">
        <f aca="false">IF(I910="","",IF(I910&lt;0,"Vadesi geçti",IF(I910&lt;=7,"Bu hafta","")))</f>
        <v/>
      </c>
      <c r="K910" s="19" t="n">
        <f aca="false">IF(H910="Bekliyor",G910,0)</f>
        <v>0</v>
      </c>
    </row>
    <row r="911" customFormat="false" ht="15" hidden="false" customHeight="false" outlineLevel="0" collapsed="false">
      <c r="A911" s="12"/>
      <c r="B911" s="12"/>
      <c r="C911" s="13"/>
      <c r="D911" s="13"/>
      <c r="E911" s="13"/>
      <c r="F911" s="14"/>
      <c r="G911" s="15"/>
      <c r="H911" s="12"/>
      <c r="I911" s="16" t="str">
        <f aca="true">IF(OR(F911="",H911&lt;&gt;"Bekliyor"),"",F911-TODAY())</f>
        <v/>
      </c>
      <c r="J911" s="17" t="str">
        <f aca="false">IF(I911="","",IF(I911&lt;0,"Vadesi geçti",IF(I911&lt;=7,"Bu hafta","")))</f>
        <v/>
      </c>
      <c r="K911" s="19" t="n">
        <f aca="false">IF(H911="Bekliyor",G911,0)</f>
        <v>0</v>
      </c>
    </row>
    <row r="912" customFormat="false" ht="15" hidden="false" customHeight="false" outlineLevel="0" collapsed="false">
      <c r="A912" s="12"/>
      <c r="B912" s="12"/>
      <c r="C912" s="13"/>
      <c r="D912" s="13"/>
      <c r="E912" s="13"/>
      <c r="F912" s="14"/>
      <c r="G912" s="15"/>
      <c r="H912" s="12"/>
      <c r="I912" s="16" t="str">
        <f aca="true">IF(OR(F912="",H912&lt;&gt;"Bekliyor"),"",F912-TODAY())</f>
        <v/>
      </c>
      <c r="J912" s="17" t="str">
        <f aca="false">IF(I912="","",IF(I912&lt;0,"Vadesi geçti",IF(I912&lt;=7,"Bu hafta","")))</f>
        <v/>
      </c>
      <c r="K912" s="19" t="n">
        <f aca="false">IF(H912="Bekliyor",G912,0)</f>
        <v>0</v>
      </c>
    </row>
    <row r="913" customFormat="false" ht="15" hidden="false" customHeight="false" outlineLevel="0" collapsed="false">
      <c r="A913" s="12"/>
      <c r="B913" s="12"/>
      <c r="C913" s="13"/>
      <c r="D913" s="13"/>
      <c r="E913" s="13"/>
      <c r="F913" s="14"/>
      <c r="G913" s="15"/>
      <c r="H913" s="12"/>
      <c r="I913" s="16" t="str">
        <f aca="true">IF(OR(F913="",H913&lt;&gt;"Bekliyor"),"",F913-TODAY())</f>
        <v/>
      </c>
      <c r="J913" s="17" t="str">
        <f aca="false">IF(I913="","",IF(I913&lt;0,"Vadesi geçti",IF(I913&lt;=7,"Bu hafta","")))</f>
        <v/>
      </c>
      <c r="K913" s="19" t="n">
        <f aca="false">IF(H913="Bekliyor",G913,0)</f>
        <v>0</v>
      </c>
    </row>
    <row r="914" customFormat="false" ht="15" hidden="false" customHeight="false" outlineLevel="0" collapsed="false">
      <c r="A914" s="12"/>
      <c r="B914" s="12"/>
      <c r="C914" s="13"/>
      <c r="D914" s="13"/>
      <c r="E914" s="13"/>
      <c r="F914" s="14"/>
      <c r="G914" s="15"/>
      <c r="H914" s="12"/>
      <c r="I914" s="16" t="str">
        <f aca="true">IF(OR(F914="",H914&lt;&gt;"Bekliyor"),"",F914-TODAY())</f>
        <v/>
      </c>
      <c r="J914" s="17" t="str">
        <f aca="false">IF(I914="","",IF(I914&lt;0,"Vadesi geçti",IF(I914&lt;=7,"Bu hafta","")))</f>
        <v/>
      </c>
      <c r="K914" s="19" t="n">
        <f aca="false">IF(H914="Bekliyor",G914,0)</f>
        <v>0</v>
      </c>
    </row>
    <row r="915" customFormat="false" ht="15" hidden="false" customHeight="false" outlineLevel="0" collapsed="false">
      <c r="A915" s="12"/>
      <c r="B915" s="12"/>
      <c r="C915" s="13"/>
      <c r="D915" s="13"/>
      <c r="E915" s="13"/>
      <c r="F915" s="14"/>
      <c r="G915" s="15"/>
      <c r="H915" s="12"/>
      <c r="I915" s="16" t="str">
        <f aca="true">IF(OR(F915="",H915&lt;&gt;"Bekliyor"),"",F915-TODAY())</f>
        <v/>
      </c>
      <c r="J915" s="17" t="str">
        <f aca="false">IF(I915="","",IF(I915&lt;0,"Vadesi geçti",IF(I915&lt;=7,"Bu hafta","")))</f>
        <v/>
      </c>
      <c r="K915" s="19" t="n">
        <f aca="false">IF(H915="Bekliyor",G915,0)</f>
        <v>0</v>
      </c>
    </row>
    <row r="916" customFormat="false" ht="15" hidden="false" customHeight="false" outlineLevel="0" collapsed="false">
      <c r="A916" s="12"/>
      <c r="B916" s="12"/>
      <c r="C916" s="13"/>
      <c r="D916" s="13"/>
      <c r="E916" s="13"/>
      <c r="F916" s="14"/>
      <c r="G916" s="15"/>
      <c r="H916" s="12"/>
      <c r="I916" s="16" t="str">
        <f aca="true">IF(OR(F916="",H916&lt;&gt;"Bekliyor"),"",F916-TODAY())</f>
        <v/>
      </c>
      <c r="J916" s="17" t="str">
        <f aca="false">IF(I916="","",IF(I916&lt;0,"Vadesi geçti",IF(I916&lt;=7,"Bu hafta","")))</f>
        <v/>
      </c>
      <c r="K916" s="19" t="n">
        <f aca="false">IF(H916="Bekliyor",G916,0)</f>
        <v>0</v>
      </c>
    </row>
    <row r="917" customFormat="false" ht="15" hidden="false" customHeight="false" outlineLevel="0" collapsed="false">
      <c r="A917" s="12"/>
      <c r="B917" s="12"/>
      <c r="C917" s="13"/>
      <c r="D917" s="13"/>
      <c r="E917" s="13"/>
      <c r="F917" s="14"/>
      <c r="G917" s="15"/>
      <c r="H917" s="12"/>
      <c r="I917" s="16" t="str">
        <f aca="true">IF(OR(F917="",H917&lt;&gt;"Bekliyor"),"",F917-TODAY())</f>
        <v/>
      </c>
      <c r="J917" s="17" t="str">
        <f aca="false">IF(I917="","",IF(I917&lt;0,"Vadesi geçti",IF(I917&lt;=7,"Bu hafta","")))</f>
        <v/>
      </c>
      <c r="K917" s="19" t="n">
        <f aca="false">IF(H917="Bekliyor",G917,0)</f>
        <v>0</v>
      </c>
    </row>
    <row r="918" customFormat="false" ht="15" hidden="false" customHeight="false" outlineLevel="0" collapsed="false">
      <c r="A918" s="12"/>
      <c r="B918" s="12"/>
      <c r="C918" s="13"/>
      <c r="D918" s="13"/>
      <c r="E918" s="13"/>
      <c r="F918" s="14"/>
      <c r="G918" s="15"/>
      <c r="H918" s="12"/>
      <c r="I918" s="16" t="str">
        <f aca="true">IF(OR(F918="",H918&lt;&gt;"Bekliyor"),"",F918-TODAY())</f>
        <v/>
      </c>
      <c r="J918" s="17" t="str">
        <f aca="false">IF(I918="","",IF(I918&lt;0,"Vadesi geçti",IF(I918&lt;=7,"Bu hafta","")))</f>
        <v/>
      </c>
      <c r="K918" s="19" t="n">
        <f aca="false">IF(H918="Bekliyor",G918,0)</f>
        <v>0</v>
      </c>
    </row>
    <row r="919" customFormat="false" ht="15" hidden="false" customHeight="false" outlineLevel="0" collapsed="false">
      <c r="A919" s="12"/>
      <c r="B919" s="12"/>
      <c r="C919" s="13"/>
      <c r="D919" s="13"/>
      <c r="E919" s="13"/>
      <c r="F919" s="14"/>
      <c r="G919" s="15"/>
      <c r="H919" s="12"/>
      <c r="I919" s="16" t="str">
        <f aca="true">IF(OR(F919="",H919&lt;&gt;"Bekliyor"),"",F919-TODAY())</f>
        <v/>
      </c>
      <c r="J919" s="17" t="str">
        <f aca="false">IF(I919="","",IF(I919&lt;0,"Vadesi geçti",IF(I919&lt;=7,"Bu hafta","")))</f>
        <v/>
      </c>
      <c r="K919" s="19" t="n">
        <f aca="false">IF(H919="Bekliyor",G919,0)</f>
        <v>0</v>
      </c>
    </row>
    <row r="920" customFormat="false" ht="15" hidden="false" customHeight="false" outlineLevel="0" collapsed="false">
      <c r="A920" s="12"/>
      <c r="B920" s="12"/>
      <c r="C920" s="13"/>
      <c r="D920" s="13"/>
      <c r="E920" s="13"/>
      <c r="F920" s="14"/>
      <c r="G920" s="15"/>
      <c r="H920" s="12"/>
      <c r="I920" s="16" t="str">
        <f aca="true">IF(OR(F920="",H920&lt;&gt;"Bekliyor"),"",F920-TODAY())</f>
        <v/>
      </c>
      <c r="J920" s="17" t="str">
        <f aca="false">IF(I920="","",IF(I920&lt;0,"Vadesi geçti",IF(I920&lt;=7,"Bu hafta","")))</f>
        <v/>
      </c>
      <c r="K920" s="19" t="n">
        <f aca="false">IF(H920="Bekliyor",G920,0)</f>
        <v>0</v>
      </c>
    </row>
    <row r="921" customFormat="false" ht="15" hidden="false" customHeight="false" outlineLevel="0" collapsed="false">
      <c r="A921" s="12"/>
      <c r="B921" s="12"/>
      <c r="C921" s="13"/>
      <c r="D921" s="13"/>
      <c r="E921" s="13"/>
      <c r="F921" s="14"/>
      <c r="G921" s="15"/>
      <c r="H921" s="12"/>
      <c r="I921" s="16" t="str">
        <f aca="true">IF(OR(F921="",H921&lt;&gt;"Bekliyor"),"",F921-TODAY())</f>
        <v/>
      </c>
      <c r="J921" s="17" t="str">
        <f aca="false">IF(I921="","",IF(I921&lt;0,"Vadesi geçti",IF(I921&lt;=7,"Bu hafta","")))</f>
        <v/>
      </c>
      <c r="K921" s="19" t="n">
        <f aca="false">IF(H921="Bekliyor",G921,0)</f>
        <v>0</v>
      </c>
    </row>
    <row r="922" customFormat="false" ht="15" hidden="false" customHeight="false" outlineLevel="0" collapsed="false">
      <c r="A922" s="12"/>
      <c r="B922" s="12"/>
      <c r="C922" s="13"/>
      <c r="D922" s="13"/>
      <c r="E922" s="13"/>
      <c r="F922" s="14"/>
      <c r="G922" s="15"/>
      <c r="H922" s="12"/>
      <c r="I922" s="16" t="str">
        <f aca="true">IF(OR(F922="",H922&lt;&gt;"Bekliyor"),"",F922-TODAY())</f>
        <v/>
      </c>
      <c r="J922" s="17" t="str">
        <f aca="false">IF(I922="","",IF(I922&lt;0,"Vadesi geçti",IF(I922&lt;=7,"Bu hafta","")))</f>
        <v/>
      </c>
      <c r="K922" s="19" t="n">
        <f aca="false">IF(H922="Bekliyor",G922,0)</f>
        <v>0</v>
      </c>
    </row>
    <row r="923" customFormat="false" ht="15" hidden="false" customHeight="false" outlineLevel="0" collapsed="false">
      <c r="A923" s="12"/>
      <c r="B923" s="12"/>
      <c r="C923" s="13"/>
      <c r="D923" s="13"/>
      <c r="E923" s="13"/>
      <c r="F923" s="14"/>
      <c r="G923" s="15"/>
      <c r="H923" s="12"/>
      <c r="I923" s="16" t="str">
        <f aca="true">IF(OR(F923="",H923&lt;&gt;"Bekliyor"),"",F923-TODAY())</f>
        <v/>
      </c>
      <c r="J923" s="17" t="str">
        <f aca="false">IF(I923="","",IF(I923&lt;0,"Vadesi geçti",IF(I923&lt;=7,"Bu hafta","")))</f>
        <v/>
      </c>
      <c r="K923" s="19" t="n">
        <f aca="false">IF(H923="Bekliyor",G923,0)</f>
        <v>0</v>
      </c>
    </row>
    <row r="924" customFormat="false" ht="15" hidden="false" customHeight="false" outlineLevel="0" collapsed="false">
      <c r="A924" s="12"/>
      <c r="B924" s="12"/>
      <c r="C924" s="13"/>
      <c r="D924" s="13"/>
      <c r="E924" s="13"/>
      <c r="F924" s="14"/>
      <c r="G924" s="15"/>
      <c r="H924" s="12"/>
      <c r="I924" s="16" t="str">
        <f aca="true">IF(OR(F924="",H924&lt;&gt;"Bekliyor"),"",F924-TODAY())</f>
        <v/>
      </c>
      <c r="J924" s="17" t="str">
        <f aca="false">IF(I924="","",IF(I924&lt;0,"Vadesi geçti",IF(I924&lt;=7,"Bu hafta","")))</f>
        <v/>
      </c>
      <c r="K924" s="19" t="n">
        <f aca="false">IF(H924="Bekliyor",G924,0)</f>
        <v>0</v>
      </c>
    </row>
    <row r="925" customFormat="false" ht="15" hidden="false" customHeight="false" outlineLevel="0" collapsed="false">
      <c r="A925" s="12"/>
      <c r="B925" s="12"/>
      <c r="C925" s="13"/>
      <c r="D925" s="13"/>
      <c r="E925" s="13"/>
      <c r="F925" s="14"/>
      <c r="G925" s="15"/>
      <c r="H925" s="12"/>
      <c r="I925" s="16" t="str">
        <f aca="true">IF(OR(F925="",H925&lt;&gt;"Bekliyor"),"",F925-TODAY())</f>
        <v/>
      </c>
      <c r="J925" s="17" t="str">
        <f aca="false">IF(I925="","",IF(I925&lt;0,"Vadesi geçti",IF(I925&lt;=7,"Bu hafta","")))</f>
        <v/>
      </c>
      <c r="K925" s="19" t="n">
        <f aca="false">IF(H925="Bekliyor",G925,0)</f>
        <v>0</v>
      </c>
    </row>
    <row r="926" customFormat="false" ht="15" hidden="false" customHeight="false" outlineLevel="0" collapsed="false">
      <c r="A926" s="12"/>
      <c r="B926" s="12"/>
      <c r="C926" s="13"/>
      <c r="D926" s="13"/>
      <c r="E926" s="13"/>
      <c r="F926" s="14"/>
      <c r="G926" s="15"/>
      <c r="H926" s="12"/>
      <c r="I926" s="16" t="str">
        <f aca="true">IF(OR(F926="",H926&lt;&gt;"Bekliyor"),"",F926-TODAY())</f>
        <v/>
      </c>
      <c r="J926" s="17" t="str">
        <f aca="false">IF(I926="","",IF(I926&lt;0,"Vadesi geçti",IF(I926&lt;=7,"Bu hafta","")))</f>
        <v/>
      </c>
      <c r="K926" s="19" t="n">
        <f aca="false">IF(H926="Bekliyor",G926,0)</f>
        <v>0</v>
      </c>
    </row>
    <row r="927" customFormat="false" ht="15" hidden="false" customHeight="false" outlineLevel="0" collapsed="false">
      <c r="A927" s="12"/>
      <c r="B927" s="12"/>
      <c r="C927" s="13"/>
      <c r="D927" s="13"/>
      <c r="E927" s="13"/>
      <c r="F927" s="14"/>
      <c r="G927" s="15"/>
      <c r="H927" s="12"/>
      <c r="I927" s="16" t="str">
        <f aca="true">IF(OR(F927="",H927&lt;&gt;"Bekliyor"),"",F927-TODAY())</f>
        <v/>
      </c>
      <c r="J927" s="17" t="str">
        <f aca="false">IF(I927="","",IF(I927&lt;0,"Vadesi geçti",IF(I927&lt;=7,"Bu hafta","")))</f>
        <v/>
      </c>
      <c r="K927" s="19" t="n">
        <f aca="false">IF(H927="Bekliyor",G927,0)</f>
        <v>0</v>
      </c>
    </row>
    <row r="928" customFormat="false" ht="15" hidden="false" customHeight="false" outlineLevel="0" collapsed="false">
      <c r="A928" s="12"/>
      <c r="B928" s="12"/>
      <c r="C928" s="13"/>
      <c r="D928" s="13"/>
      <c r="E928" s="13"/>
      <c r="F928" s="14"/>
      <c r="G928" s="15"/>
      <c r="H928" s="12"/>
      <c r="I928" s="16" t="str">
        <f aca="true">IF(OR(F928="",H928&lt;&gt;"Bekliyor"),"",F928-TODAY())</f>
        <v/>
      </c>
      <c r="J928" s="17" t="str">
        <f aca="false">IF(I928="","",IF(I928&lt;0,"Vadesi geçti",IF(I928&lt;=7,"Bu hafta","")))</f>
        <v/>
      </c>
      <c r="K928" s="19" t="n">
        <f aca="false">IF(H928="Bekliyor",G928,0)</f>
        <v>0</v>
      </c>
    </row>
    <row r="929" customFormat="false" ht="15" hidden="false" customHeight="false" outlineLevel="0" collapsed="false">
      <c r="A929" s="12"/>
      <c r="B929" s="12"/>
      <c r="C929" s="13"/>
      <c r="D929" s="13"/>
      <c r="E929" s="13"/>
      <c r="F929" s="14"/>
      <c r="G929" s="15"/>
      <c r="H929" s="12"/>
      <c r="I929" s="16" t="str">
        <f aca="true">IF(OR(F929="",H929&lt;&gt;"Bekliyor"),"",F929-TODAY())</f>
        <v/>
      </c>
      <c r="J929" s="17" t="str">
        <f aca="false">IF(I929="","",IF(I929&lt;0,"Vadesi geçti",IF(I929&lt;=7,"Bu hafta","")))</f>
        <v/>
      </c>
      <c r="K929" s="19" t="n">
        <f aca="false">IF(H929="Bekliyor",G929,0)</f>
        <v>0</v>
      </c>
    </row>
    <row r="930" customFormat="false" ht="15" hidden="false" customHeight="false" outlineLevel="0" collapsed="false">
      <c r="A930" s="12"/>
      <c r="B930" s="12"/>
      <c r="C930" s="13"/>
      <c r="D930" s="13"/>
      <c r="E930" s="13"/>
      <c r="F930" s="14"/>
      <c r="G930" s="15"/>
      <c r="H930" s="12"/>
      <c r="I930" s="16" t="str">
        <f aca="true">IF(OR(F930="",H930&lt;&gt;"Bekliyor"),"",F930-TODAY())</f>
        <v/>
      </c>
      <c r="J930" s="17" t="str">
        <f aca="false">IF(I930="","",IF(I930&lt;0,"Vadesi geçti",IF(I930&lt;=7,"Bu hafta","")))</f>
        <v/>
      </c>
      <c r="K930" s="19" t="n">
        <f aca="false">IF(H930="Bekliyor",G930,0)</f>
        <v>0</v>
      </c>
    </row>
    <row r="931" customFormat="false" ht="15" hidden="false" customHeight="false" outlineLevel="0" collapsed="false">
      <c r="A931" s="12"/>
      <c r="B931" s="12"/>
      <c r="C931" s="13"/>
      <c r="D931" s="13"/>
      <c r="E931" s="13"/>
      <c r="F931" s="14"/>
      <c r="G931" s="15"/>
      <c r="H931" s="12"/>
      <c r="I931" s="16" t="str">
        <f aca="true">IF(OR(F931="",H931&lt;&gt;"Bekliyor"),"",F931-TODAY())</f>
        <v/>
      </c>
      <c r="J931" s="17" t="str">
        <f aca="false">IF(I931="","",IF(I931&lt;0,"Vadesi geçti",IF(I931&lt;=7,"Bu hafta","")))</f>
        <v/>
      </c>
      <c r="K931" s="19" t="n">
        <f aca="false">IF(H931="Bekliyor",G931,0)</f>
        <v>0</v>
      </c>
    </row>
    <row r="932" customFormat="false" ht="15" hidden="false" customHeight="false" outlineLevel="0" collapsed="false">
      <c r="A932" s="12"/>
      <c r="B932" s="12"/>
      <c r="C932" s="13"/>
      <c r="D932" s="13"/>
      <c r="E932" s="13"/>
      <c r="F932" s="14"/>
      <c r="G932" s="15"/>
      <c r="H932" s="12"/>
      <c r="I932" s="16" t="str">
        <f aca="true">IF(OR(F932="",H932&lt;&gt;"Bekliyor"),"",F932-TODAY())</f>
        <v/>
      </c>
      <c r="J932" s="17" t="str">
        <f aca="false">IF(I932="","",IF(I932&lt;0,"Vadesi geçti",IF(I932&lt;=7,"Bu hafta","")))</f>
        <v/>
      </c>
      <c r="K932" s="19" t="n">
        <f aca="false">IF(H932="Bekliyor",G932,0)</f>
        <v>0</v>
      </c>
    </row>
    <row r="933" customFormat="false" ht="15" hidden="false" customHeight="false" outlineLevel="0" collapsed="false">
      <c r="A933" s="12"/>
      <c r="B933" s="12"/>
      <c r="C933" s="13"/>
      <c r="D933" s="13"/>
      <c r="E933" s="13"/>
      <c r="F933" s="14"/>
      <c r="G933" s="15"/>
      <c r="H933" s="12"/>
      <c r="I933" s="16" t="str">
        <f aca="true">IF(OR(F933="",H933&lt;&gt;"Bekliyor"),"",F933-TODAY())</f>
        <v/>
      </c>
      <c r="J933" s="17" t="str">
        <f aca="false">IF(I933="","",IF(I933&lt;0,"Vadesi geçti",IF(I933&lt;=7,"Bu hafta","")))</f>
        <v/>
      </c>
      <c r="K933" s="19" t="n">
        <f aca="false">IF(H933="Bekliyor",G933,0)</f>
        <v>0</v>
      </c>
    </row>
    <row r="934" customFormat="false" ht="15" hidden="false" customHeight="false" outlineLevel="0" collapsed="false">
      <c r="A934" s="12"/>
      <c r="B934" s="12"/>
      <c r="C934" s="13"/>
      <c r="D934" s="13"/>
      <c r="E934" s="13"/>
      <c r="F934" s="14"/>
      <c r="G934" s="15"/>
      <c r="H934" s="12"/>
      <c r="I934" s="16" t="str">
        <f aca="true">IF(OR(F934="",H934&lt;&gt;"Bekliyor"),"",F934-TODAY())</f>
        <v/>
      </c>
      <c r="J934" s="17" t="str">
        <f aca="false">IF(I934="","",IF(I934&lt;0,"Vadesi geçti",IF(I934&lt;=7,"Bu hafta","")))</f>
        <v/>
      </c>
      <c r="K934" s="19" t="n">
        <f aca="false">IF(H934="Bekliyor",G934,0)</f>
        <v>0</v>
      </c>
    </row>
    <row r="935" customFormat="false" ht="15" hidden="false" customHeight="false" outlineLevel="0" collapsed="false">
      <c r="A935" s="12"/>
      <c r="B935" s="12"/>
      <c r="C935" s="13"/>
      <c r="D935" s="13"/>
      <c r="E935" s="13"/>
      <c r="F935" s="14"/>
      <c r="G935" s="15"/>
      <c r="H935" s="12"/>
      <c r="I935" s="16" t="str">
        <f aca="true">IF(OR(F935="",H935&lt;&gt;"Bekliyor"),"",F935-TODAY())</f>
        <v/>
      </c>
      <c r="J935" s="17" t="str">
        <f aca="false">IF(I935="","",IF(I935&lt;0,"Vadesi geçti",IF(I935&lt;=7,"Bu hafta","")))</f>
        <v/>
      </c>
      <c r="K935" s="19" t="n">
        <f aca="false">IF(H935="Bekliyor",G935,0)</f>
        <v>0</v>
      </c>
    </row>
    <row r="936" customFormat="false" ht="15" hidden="false" customHeight="false" outlineLevel="0" collapsed="false">
      <c r="A936" s="12"/>
      <c r="B936" s="12"/>
      <c r="C936" s="13"/>
      <c r="D936" s="13"/>
      <c r="E936" s="13"/>
      <c r="F936" s="14"/>
      <c r="G936" s="15"/>
      <c r="H936" s="12"/>
      <c r="I936" s="16" t="str">
        <f aca="true">IF(OR(F936="",H936&lt;&gt;"Bekliyor"),"",F936-TODAY())</f>
        <v/>
      </c>
      <c r="J936" s="17" t="str">
        <f aca="false">IF(I936="","",IF(I936&lt;0,"Vadesi geçti",IF(I936&lt;=7,"Bu hafta","")))</f>
        <v/>
      </c>
      <c r="K936" s="19" t="n">
        <f aca="false">IF(H936="Bekliyor",G936,0)</f>
        <v>0</v>
      </c>
    </row>
    <row r="937" customFormat="false" ht="15" hidden="false" customHeight="false" outlineLevel="0" collapsed="false">
      <c r="A937" s="12"/>
      <c r="B937" s="12"/>
      <c r="C937" s="13"/>
      <c r="D937" s="13"/>
      <c r="E937" s="13"/>
      <c r="F937" s="14"/>
      <c r="G937" s="15"/>
      <c r="H937" s="12"/>
      <c r="I937" s="16" t="str">
        <f aca="true">IF(OR(F937="",H937&lt;&gt;"Bekliyor"),"",F937-TODAY())</f>
        <v/>
      </c>
      <c r="J937" s="17" t="str">
        <f aca="false">IF(I937="","",IF(I937&lt;0,"Vadesi geçti",IF(I937&lt;=7,"Bu hafta","")))</f>
        <v/>
      </c>
      <c r="K937" s="19" t="n">
        <f aca="false">IF(H937="Bekliyor",G937,0)</f>
        <v>0</v>
      </c>
    </row>
    <row r="938" customFormat="false" ht="15" hidden="false" customHeight="false" outlineLevel="0" collapsed="false">
      <c r="A938" s="12"/>
      <c r="B938" s="12"/>
      <c r="C938" s="13"/>
      <c r="D938" s="13"/>
      <c r="E938" s="13"/>
      <c r="F938" s="14"/>
      <c r="G938" s="15"/>
      <c r="H938" s="12"/>
      <c r="I938" s="16" t="str">
        <f aca="true">IF(OR(F938="",H938&lt;&gt;"Bekliyor"),"",F938-TODAY())</f>
        <v/>
      </c>
      <c r="J938" s="17" t="str">
        <f aca="false">IF(I938="","",IF(I938&lt;0,"Vadesi geçti",IF(I938&lt;=7,"Bu hafta","")))</f>
        <v/>
      </c>
      <c r="K938" s="19" t="n">
        <f aca="false">IF(H938="Bekliyor",G938,0)</f>
        <v>0</v>
      </c>
    </row>
    <row r="939" customFormat="false" ht="15" hidden="false" customHeight="false" outlineLevel="0" collapsed="false">
      <c r="A939" s="12"/>
      <c r="B939" s="12"/>
      <c r="C939" s="13"/>
      <c r="D939" s="13"/>
      <c r="E939" s="13"/>
      <c r="F939" s="14"/>
      <c r="G939" s="15"/>
      <c r="H939" s="12"/>
      <c r="I939" s="16" t="str">
        <f aca="true">IF(OR(F939="",H939&lt;&gt;"Bekliyor"),"",F939-TODAY())</f>
        <v/>
      </c>
      <c r="J939" s="17" t="str">
        <f aca="false">IF(I939="","",IF(I939&lt;0,"Vadesi geçti",IF(I939&lt;=7,"Bu hafta","")))</f>
        <v/>
      </c>
      <c r="K939" s="19" t="n">
        <f aca="false">IF(H939="Bekliyor",G939,0)</f>
        <v>0</v>
      </c>
    </row>
    <row r="940" customFormat="false" ht="15" hidden="false" customHeight="false" outlineLevel="0" collapsed="false">
      <c r="A940" s="12"/>
      <c r="B940" s="12"/>
      <c r="C940" s="13"/>
      <c r="D940" s="13"/>
      <c r="E940" s="13"/>
      <c r="F940" s="14"/>
      <c r="G940" s="15"/>
      <c r="H940" s="12"/>
      <c r="I940" s="16" t="str">
        <f aca="true">IF(OR(F940="",H940&lt;&gt;"Bekliyor"),"",F940-TODAY())</f>
        <v/>
      </c>
      <c r="J940" s="17" t="str">
        <f aca="false">IF(I940="","",IF(I940&lt;0,"Vadesi geçti",IF(I940&lt;=7,"Bu hafta","")))</f>
        <v/>
      </c>
      <c r="K940" s="19" t="n">
        <f aca="false">IF(H940="Bekliyor",G940,0)</f>
        <v>0</v>
      </c>
    </row>
    <row r="941" customFormat="false" ht="15" hidden="false" customHeight="false" outlineLevel="0" collapsed="false">
      <c r="A941" s="12"/>
      <c r="B941" s="12"/>
      <c r="C941" s="13"/>
      <c r="D941" s="13"/>
      <c r="E941" s="13"/>
      <c r="F941" s="14"/>
      <c r="G941" s="15"/>
      <c r="H941" s="12"/>
      <c r="I941" s="16" t="str">
        <f aca="true">IF(OR(F941="",H941&lt;&gt;"Bekliyor"),"",F941-TODAY())</f>
        <v/>
      </c>
      <c r="J941" s="17" t="str">
        <f aca="false">IF(I941="","",IF(I941&lt;0,"Vadesi geçti",IF(I941&lt;=7,"Bu hafta","")))</f>
        <v/>
      </c>
      <c r="K941" s="19" t="n">
        <f aca="false">IF(H941="Bekliyor",G941,0)</f>
        <v>0</v>
      </c>
    </row>
    <row r="942" customFormat="false" ht="15" hidden="false" customHeight="false" outlineLevel="0" collapsed="false">
      <c r="A942" s="12"/>
      <c r="B942" s="12"/>
      <c r="C942" s="13"/>
      <c r="D942" s="13"/>
      <c r="E942" s="13"/>
      <c r="F942" s="14"/>
      <c r="G942" s="15"/>
      <c r="H942" s="12"/>
      <c r="I942" s="16" t="str">
        <f aca="true">IF(OR(F942="",H942&lt;&gt;"Bekliyor"),"",F942-TODAY())</f>
        <v/>
      </c>
      <c r="J942" s="17" t="str">
        <f aca="false">IF(I942="","",IF(I942&lt;0,"Vadesi geçti",IF(I942&lt;=7,"Bu hafta","")))</f>
        <v/>
      </c>
      <c r="K942" s="19" t="n">
        <f aca="false">IF(H942="Bekliyor",G942,0)</f>
        <v>0</v>
      </c>
    </row>
    <row r="943" customFormat="false" ht="15" hidden="false" customHeight="false" outlineLevel="0" collapsed="false">
      <c r="A943" s="12"/>
      <c r="B943" s="12"/>
      <c r="C943" s="13"/>
      <c r="D943" s="13"/>
      <c r="E943" s="13"/>
      <c r="F943" s="14"/>
      <c r="G943" s="15"/>
      <c r="H943" s="12"/>
      <c r="I943" s="16" t="str">
        <f aca="true">IF(OR(F943="",H943&lt;&gt;"Bekliyor"),"",F943-TODAY())</f>
        <v/>
      </c>
      <c r="J943" s="17" t="str">
        <f aca="false">IF(I943="","",IF(I943&lt;0,"Vadesi geçti",IF(I943&lt;=7,"Bu hafta","")))</f>
        <v/>
      </c>
      <c r="K943" s="19" t="n">
        <f aca="false">IF(H943="Bekliyor",G943,0)</f>
        <v>0</v>
      </c>
    </row>
    <row r="944" customFormat="false" ht="15" hidden="false" customHeight="false" outlineLevel="0" collapsed="false">
      <c r="A944" s="12"/>
      <c r="B944" s="12"/>
      <c r="C944" s="13"/>
      <c r="D944" s="13"/>
      <c r="E944" s="13"/>
      <c r="F944" s="14"/>
      <c r="G944" s="15"/>
      <c r="H944" s="12"/>
      <c r="I944" s="16" t="str">
        <f aca="true">IF(OR(F944="",H944&lt;&gt;"Bekliyor"),"",F944-TODAY())</f>
        <v/>
      </c>
      <c r="J944" s="17" t="str">
        <f aca="false">IF(I944="","",IF(I944&lt;0,"Vadesi geçti",IF(I944&lt;=7,"Bu hafta","")))</f>
        <v/>
      </c>
      <c r="K944" s="19" t="n">
        <f aca="false">IF(H944="Bekliyor",G944,0)</f>
        <v>0</v>
      </c>
    </row>
    <row r="945" customFormat="false" ht="15" hidden="false" customHeight="false" outlineLevel="0" collapsed="false">
      <c r="A945" s="12"/>
      <c r="B945" s="12"/>
      <c r="C945" s="13"/>
      <c r="D945" s="13"/>
      <c r="E945" s="13"/>
      <c r="F945" s="14"/>
      <c r="G945" s="15"/>
      <c r="H945" s="12"/>
      <c r="I945" s="16" t="str">
        <f aca="true">IF(OR(F945="",H945&lt;&gt;"Bekliyor"),"",F945-TODAY())</f>
        <v/>
      </c>
      <c r="J945" s="17" t="str">
        <f aca="false">IF(I945="","",IF(I945&lt;0,"Vadesi geçti",IF(I945&lt;=7,"Bu hafta","")))</f>
        <v/>
      </c>
      <c r="K945" s="19" t="n">
        <f aca="false">IF(H945="Bekliyor",G945,0)</f>
        <v>0</v>
      </c>
    </row>
    <row r="946" customFormat="false" ht="15" hidden="false" customHeight="false" outlineLevel="0" collapsed="false">
      <c r="A946" s="12"/>
      <c r="B946" s="12"/>
      <c r="C946" s="13"/>
      <c r="D946" s="13"/>
      <c r="E946" s="13"/>
      <c r="F946" s="14"/>
      <c r="G946" s="15"/>
      <c r="H946" s="12"/>
      <c r="I946" s="16" t="str">
        <f aca="true">IF(OR(F946="",H946&lt;&gt;"Bekliyor"),"",F946-TODAY())</f>
        <v/>
      </c>
      <c r="J946" s="17" t="str">
        <f aca="false">IF(I946="","",IF(I946&lt;0,"Vadesi geçti",IF(I946&lt;=7,"Bu hafta","")))</f>
        <v/>
      </c>
      <c r="K946" s="19" t="n">
        <f aca="false">IF(H946="Bekliyor",G946,0)</f>
        <v>0</v>
      </c>
    </row>
    <row r="947" customFormat="false" ht="15" hidden="false" customHeight="false" outlineLevel="0" collapsed="false">
      <c r="A947" s="12"/>
      <c r="B947" s="12"/>
      <c r="C947" s="13"/>
      <c r="D947" s="13"/>
      <c r="E947" s="13"/>
      <c r="F947" s="14"/>
      <c r="G947" s="15"/>
      <c r="H947" s="12"/>
      <c r="I947" s="16" t="str">
        <f aca="true">IF(OR(F947="",H947&lt;&gt;"Bekliyor"),"",F947-TODAY())</f>
        <v/>
      </c>
      <c r="J947" s="17" t="str">
        <f aca="false">IF(I947="","",IF(I947&lt;0,"Vadesi geçti",IF(I947&lt;=7,"Bu hafta","")))</f>
        <v/>
      </c>
      <c r="K947" s="19" t="n">
        <f aca="false">IF(H947="Bekliyor",G947,0)</f>
        <v>0</v>
      </c>
    </row>
    <row r="948" customFormat="false" ht="15" hidden="false" customHeight="false" outlineLevel="0" collapsed="false">
      <c r="A948" s="12"/>
      <c r="B948" s="12"/>
      <c r="C948" s="13"/>
      <c r="D948" s="13"/>
      <c r="E948" s="13"/>
      <c r="F948" s="14"/>
      <c r="G948" s="15"/>
      <c r="H948" s="12"/>
      <c r="I948" s="16" t="str">
        <f aca="true">IF(OR(F948="",H948&lt;&gt;"Bekliyor"),"",F948-TODAY())</f>
        <v/>
      </c>
      <c r="J948" s="17" t="str">
        <f aca="false">IF(I948="","",IF(I948&lt;0,"Vadesi geçti",IF(I948&lt;=7,"Bu hafta","")))</f>
        <v/>
      </c>
      <c r="K948" s="19" t="n">
        <f aca="false">IF(H948="Bekliyor",G948,0)</f>
        <v>0</v>
      </c>
    </row>
    <row r="949" customFormat="false" ht="15" hidden="false" customHeight="false" outlineLevel="0" collapsed="false">
      <c r="A949" s="12"/>
      <c r="B949" s="12"/>
      <c r="C949" s="13"/>
      <c r="D949" s="13"/>
      <c r="E949" s="13"/>
      <c r="F949" s="14"/>
      <c r="G949" s="15"/>
      <c r="H949" s="12"/>
      <c r="I949" s="16" t="str">
        <f aca="true">IF(OR(F949="",H949&lt;&gt;"Bekliyor"),"",F949-TODAY())</f>
        <v/>
      </c>
      <c r="J949" s="17" t="str">
        <f aca="false">IF(I949="","",IF(I949&lt;0,"Vadesi geçti",IF(I949&lt;=7,"Bu hafta","")))</f>
        <v/>
      </c>
      <c r="K949" s="19" t="n">
        <f aca="false">IF(H949="Bekliyor",G949,0)</f>
        <v>0</v>
      </c>
    </row>
    <row r="950" customFormat="false" ht="15" hidden="false" customHeight="false" outlineLevel="0" collapsed="false">
      <c r="A950" s="12"/>
      <c r="B950" s="12"/>
      <c r="C950" s="13"/>
      <c r="D950" s="13"/>
      <c r="E950" s="13"/>
      <c r="F950" s="14"/>
      <c r="G950" s="15"/>
      <c r="H950" s="12"/>
      <c r="I950" s="16" t="str">
        <f aca="true">IF(OR(F950="",H950&lt;&gt;"Bekliyor"),"",F950-TODAY())</f>
        <v/>
      </c>
      <c r="J950" s="17" t="str">
        <f aca="false">IF(I950="","",IF(I950&lt;0,"Vadesi geçti",IF(I950&lt;=7,"Bu hafta","")))</f>
        <v/>
      </c>
      <c r="K950" s="19" t="n">
        <f aca="false">IF(H950="Bekliyor",G950,0)</f>
        <v>0</v>
      </c>
    </row>
    <row r="951" customFormat="false" ht="15" hidden="false" customHeight="false" outlineLevel="0" collapsed="false">
      <c r="A951" s="12"/>
      <c r="B951" s="12"/>
      <c r="C951" s="13"/>
      <c r="D951" s="13"/>
      <c r="E951" s="13"/>
      <c r="F951" s="14"/>
      <c r="G951" s="15"/>
      <c r="H951" s="12"/>
      <c r="I951" s="16" t="str">
        <f aca="true">IF(OR(F951="",H951&lt;&gt;"Bekliyor"),"",F951-TODAY())</f>
        <v/>
      </c>
      <c r="J951" s="17" t="str">
        <f aca="false">IF(I951="","",IF(I951&lt;0,"Vadesi geçti",IF(I951&lt;=7,"Bu hafta","")))</f>
        <v/>
      </c>
      <c r="K951" s="19" t="n">
        <f aca="false">IF(H951="Bekliyor",G951,0)</f>
        <v>0</v>
      </c>
    </row>
    <row r="952" customFormat="false" ht="15" hidden="false" customHeight="false" outlineLevel="0" collapsed="false">
      <c r="A952" s="12"/>
      <c r="B952" s="12"/>
      <c r="C952" s="13"/>
      <c r="D952" s="13"/>
      <c r="E952" s="13"/>
      <c r="F952" s="14"/>
      <c r="G952" s="15"/>
      <c r="H952" s="12"/>
      <c r="I952" s="16" t="str">
        <f aca="true">IF(OR(F952="",H952&lt;&gt;"Bekliyor"),"",F952-TODAY())</f>
        <v/>
      </c>
      <c r="J952" s="17" t="str">
        <f aca="false">IF(I952="","",IF(I952&lt;0,"Vadesi geçti",IF(I952&lt;=7,"Bu hafta","")))</f>
        <v/>
      </c>
      <c r="K952" s="19" t="n">
        <f aca="false">IF(H952="Bekliyor",G952,0)</f>
        <v>0</v>
      </c>
    </row>
    <row r="953" customFormat="false" ht="15" hidden="false" customHeight="false" outlineLevel="0" collapsed="false">
      <c r="A953" s="12"/>
      <c r="B953" s="12"/>
      <c r="C953" s="13"/>
      <c r="D953" s="13"/>
      <c r="E953" s="13"/>
      <c r="F953" s="14"/>
      <c r="G953" s="15"/>
      <c r="H953" s="12"/>
      <c r="I953" s="16" t="str">
        <f aca="true">IF(OR(F953="",H953&lt;&gt;"Bekliyor"),"",F953-TODAY())</f>
        <v/>
      </c>
      <c r="J953" s="17" t="str">
        <f aca="false">IF(I953="","",IF(I953&lt;0,"Vadesi geçti",IF(I953&lt;=7,"Bu hafta","")))</f>
        <v/>
      </c>
      <c r="K953" s="19" t="n">
        <f aca="false">IF(H953="Bekliyor",G953,0)</f>
        <v>0</v>
      </c>
    </row>
    <row r="954" customFormat="false" ht="15" hidden="false" customHeight="false" outlineLevel="0" collapsed="false">
      <c r="A954" s="12"/>
      <c r="B954" s="12"/>
      <c r="C954" s="13"/>
      <c r="D954" s="13"/>
      <c r="E954" s="13"/>
      <c r="F954" s="14"/>
      <c r="G954" s="15"/>
      <c r="H954" s="12"/>
      <c r="I954" s="16" t="str">
        <f aca="true">IF(OR(F954="",H954&lt;&gt;"Bekliyor"),"",F954-TODAY())</f>
        <v/>
      </c>
      <c r="J954" s="17" t="str">
        <f aca="false">IF(I954="","",IF(I954&lt;0,"Vadesi geçti",IF(I954&lt;=7,"Bu hafta","")))</f>
        <v/>
      </c>
      <c r="K954" s="19" t="n">
        <f aca="false">IF(H954="Bekliyor",G954,0)</f>
        <v>0</v>
      </c>
    </row>
    <row r="955" customFormat="false" ht="15" hidden="false" customHeight="false" outlineLevel="0" collapsed="false">
      <c r="A955" s="12"/>
      <c r="B955" s="12"/>
      <c r="C955" s="13"/>
      <c r="D955" s="13"/>
      <c r="E955" s="13"/>
      <c r="F955" s="14"/>
      <c r="G955" s="15"/>
      <c r="H955" s="12"/>
      <c r="I955" s="16" t="str">
        <f aca="true">IF(OR(F955="",H955&lt;&gt;"Bekliyor"),"",F955-TODAY())</f>
        <v/>
      </c>
      <c r="J955" s="17" t="str">
        <f aca="false">IF(I955="","",IF(I955&lt;0,"Vadesi geçti",IF(I955&lt;=7,"Bu hafta","")))</f>
        <v/>
      </c>
      <c r="K955" s="19" t="n">
        <f aca="false">IF(H955="Bekliyor",G955,0)</f>
        <v>0</v>
      </c>
    </row>
    <row r="956" customFormat="false" ht="15" hidden="false" customHeight="false" outlineLevel="0" collapsed="false">
      <c r="A956" s="12"/>
      <c r="B956" s="12"/>
      <c r="C956" s="13"/>
      <c r="D956" s="13"/>
      <c r="E956" s="13"/>
      <c r="F956" s="14"/>
      <c r="G956" s="15"/>
      <c r="H956" s="12"/>
      <c r="I956" s="16" t="str">
        <f aca="true">IF(OR(F956="",H956&lt;&gt;"Bekliyor"),"",F956-TODAY())</f>
        <v/>
      </c>
      <c r="J956" s="17" t="str">
        <f aca="false">IF(I956="","",IF(I956&lt;0,"Vadesi geçti",IF(I956&lt;=7,"Bu hafta","")))</f>
        <v/>
      </c>
      <c r="K956" s="19" t="n">
        <f aca="false">IF(H956="Bekliyor",G956,0)</f>
        <v>0</v>
      </c>
    </row>
    <row r="957" customFormat="false" ht="15" hidden="false" customHeight="false" outlineLevel="0" collapsed="false">
      <c r="A957" s="12"/>
      <c r="B957" s="12"/>
      <c r="C957" s="13"/>
      <c r="D957" s="13"/>
      <c r="E957" s="13"/>
      <c r="F957" s="14"/>
      <c r="G957" s="15"/>
      <c r="H957" s="12"/>
      <c r="I957" s="16" t="str">
        <f aca="true">IF(OR(F957="",H957&lt;&gt;"Bekliyor"),"",F957-TODAY())</f>
        <v/>
      </c>
      <c r="J957" s="17" t="str">
        <f aca="false">IF(I957="","",IF(I957&lt;0,"Vadesi geçti",IF(I957&lt;=7,"Bu hafta","")))</f>
        <v/>
      </c>
      <c r="K957" s="19" t="n">
        <f aca="false">IF(H957="Bekliyor",G957,0)</f>
        <v>0</v>
      </c>
    </row>
    <row r="958" customFormat="false" ht="15" hidden="false" customHeight="false" outlineLevel="0" collapsed="false">
      <c r="A958" s="12"/>
      <c r="B958" s="12"/>
      <c r="C958" s="13"/>
      <c r="D958" s="13"/>
      <c r="E958" s="13"/>
      <c r="F958" s="14"/>
      <c r="G958" s="15"/>
      <c r="H958" s="12"/>
      <c r="I958" s="16" t="str">
        <f aca="true">IF(OR(F958="",H958&lt;&gt;"Bekliyor"),"",F958-TODAY())</f>
        <v/>
      </c>
      <c r="J958" s="17" t="str">
        <f aca="false">IF(I958="","",IF(I958&lt;0,"Vadesi geçti",IF(I958&lt;=7,"Bu hafta","")))</f>
        <v/>
      </c>
      <c r="K958" s="19" t="n">
        <f aca="false">IF(H958="Bekliyor",G958,0)</f>
        <v>0</v>
      </c>
    </row>
    <row r="959" customFormat="false" ht="15" hidden="false" customHeight="false" outlineLevel="0" collapsed="false">
      <c r="A959" s="12"/>
      <c r="B959" s="12"/>
      <c r="C959" s="13"/>
      <c r="D959" s="13"/>
      <c r="E959" s="13"/>
      <c r="F959" s="14"/>
      <c r="G959" s="15"/>
      <c r="H959" s="12"/>
      <c r="I959" s="16" t="str">
        <f aca="true">IF(OR(F959="",H959&lt;&gt;"Bekliyor"),"",F959-TODAY())</f>
        <v/>
      </c>
      <c r="J959" s="17" t="str">
        <f aca="false">IF(I959="","",IF(I959&lt;0,"Vadesi geçti",IF(I959&lt;=7,"Bu hafta","")))</f>
        <v/>
      </c>
      <c r="K959" s="19" t="n">
        <f aca="false">IF(H959="Bekliyor",G959,0)</f>
        <v>0</v>
      </c>
    </row>
    <row r="960" customFormat="false" ht="15" hidden="false" customHeight="false" outlineLevel="0" collapsed="false">
      <c r="A960" s="12"/>
      <c r="B960" s="12"/>
      <c r="C960" s="13"/>
      <c r="D960" s="13"/>
      <c r="E960" s="13"/>
      <c r="F960" s="14"/>
      <c r="G960" s="15"/>
      <c r="H960" s="12"/>
      <c r="I960" s="16" t="str">
        <f aca="true">IF(OR(F960="",H960&lt;&gt;"Bekliyor"),"",F960-TODAY())</f>
        <v/>
      </c>
      <c r="J960" s="17" t="str">
        <f aca="false">IF(I960="","",IF(I960&lt;0,"Vadesi geçti",IF(I960&lt;=7,"Bu hafta","")))</f>
        <v/>
      </c>
      <c r="K960" s="19" t="n">
        <f aca="false">IF(H960="Bekliyor",G960,0)</f>
        <v>0</v>
      </c>
    </row>
    <row r="961" customFormat="false" ht="15" hidden="false" customHeight="false" outlineLevel="0" collapsed="false">
      <c r="A961" s="12"/>
      <c r="B961" s="12"/>
      <c r="C961" s="13"/>
      <c r="D961" s="13"/>
      <c r="E961" s="13"/>
      <c r="F961" s="14"/>
      <c r="G961" s="15"/>
      <c r="H961" s="12"/>
      <c r="I961" s="16" t="str">
        <f aca="true">IF(OR(F961="",H961&lt;&gt;"Bekliyor"),"",F961-TODAY())</f>
        <v/>
      </c>
      <c r="J961" s="17" t="str">
        <f aca="false">IF(I961="","",IF(I961&lt;0,"Vadesi geçti",IF(I961&lt;=7,"Bu hafta","")))</f>
        <v/>
      </c>
      <c r="K961" s="19" t="n">
        <f aca="false">IF(H961="Bekliyor",G961,0)</f>
        <v>0</v>
      </c>
    </row>
    <row r="962" customFormat="false" ht="15" hidden="false" customHeight="false" outlineLevel="0" collapsed="false">
      <c r="A962" s="12"/>
      <c r="B962" s="12"/>
      <c r="C962" s="13"/>
      <c r="D962" s="13"/>
      <c r="E962" s="13"/>
      <c r="F962" s="14"/>
      <c r="G962" s="15"/>
      <c r="H962" s="12"/>
      <c r="I962" s="16" t="str">
        <f aca="true">IF(OR(F962="",H962&lt;&gt;"Bekliyor"),"",F962-TODAY())</f>
        <v/>
      </c>
      <c r="J962" s="17" t="str">
        <f aca="false">IF(I962="","",IF(I962&lt;0,"Vadesi geçti",IF(I962&lt;=7,"Bu hafta","")))</f>
        <v/>
      </c>
      <c r="K962" s="19" t="n">
        <f aca="false">IF(H962="Bekliyor",G962,0)</f>
        <v>0</v>
      </c>
    </row>
    <row r="963" customFormat="false" ht="15" hidden="false" customHeight="false" outlineLevel="0" collapsed="false">
      <c r="A963" s="12"/>
      <c r="B963" s="12"/>
      <c r="C963" s="13"/>
      <c r="D963" s="13"/>
      <c r="E963" s="13"/>
      <c r="F963" s="14"/>
      <c r="G963" s="15"/>
      <c r="H963" s="12"/>
      <c r="I963" s="16" t="str">
        <f aca="true">IF(OR(F963="",H963&lt;&gt;"Bekliyor"),"",F963-TODAY())</f>
        <v/>
      </c>
      <c r="J963" s="17" t="str">
        <f aca="false">IF(I963="","",IF(I963&lt;0,"Vadesi geçti",IF(I963&lt;=7,"Bu hafta","")))</f>
        <v/>
      </c>
      <c r="K963" s="19" t="n">
        <f aca="false">IF(H963="Bekliyor",G963,0)</f>
        <v>0</v>
      </c>
    </row>
    <row r="964" customFormat="false" ht="15" hidden="false" customHeight="false" outlineLevel="0" collapsed="false">
      <c r="A964" s="12"/>
      <c r="B964" s="12"/>
      <c r="C964" s="13"/>
      <c r="D964" s="13"/>
      <c r="E964" s="13"/>
      <c r="F964" s="14"/>
      <c r="G964" s="15"/>
      <c r="H964" s="12"/>
      <c r="I964" s="16" t="str">
        <f aca="true">IF(OR(F964="",H964&lt;&gt;"Bekliyor"),"",F964-TODAY())</f>
        <v/>
      </c>
      <c r="J964" s="17" t="str">
        <f aca="false">IF(I964="","",IF(I964&lt;0,"Vadesi geçti",IF(I964&lt;=7,"Bu hafta","")))</f>
        <v/>
      </c>
      <c r="K964" s="19" t="n">
        <f aca="false">IF(H964="Bekliyor",G964,0)</f>
        <v>0</v>
      </c>
    </row>
    <row r="965" customFormat="false" ht="15" hidden="false" customHeight="false" outlineLevel="0" collapsed="false">
      <c r="A965" s="12"/>
      <c r="B965" s="12"/>
      <c r="C965" s="13"/>
      <c r="D965" s="13"/>
      <c r="E965" s="13"/>
      <c r="F965" s="14"/>
      <c r="G965" s="15"/>
      <c r="H965" s="12"/>
      <c r="I965" s="16" t="str">
        <f aca="true">IF(OR(F965="",H965&lt;&gt;"Bekliyor"),"",F965-TODAY())</f>
        <v/>
      </c>
      <c r="J965" s="17" t="str">
        <f aca="false">IF(I965="","",IF(I965&lt;0,"Vadesi geçti",IF(I965&lt;=7,"Bu hafta","")))</f>
        <v/>
      </c>
      <c r="K965" s="19" t="n">
        <f aca="false">IF(H965="Bekliyor",G965,0)</f>
        <v>0</v>
      </c>
    </row>
    <row r="966" customFormat="false" ht="15" hidden="false" customHeight="false" outlineLevel="0" collapsed="false">
      <c r="A966" s="12"/>
      <c r="B966" s="12"/>
      <c r="C966" s="13"/>
      <c r="D966" s="13"/>
      <c r="E966" s="13"/>
      <c r="F966" s="14"/>
      <c r="G966" s="15"/>
      <c r="H966" s="12"/>
      <c r="I966" s="16" t="str">
        <f aca="true">IF(OR(F966="",H966&lt;&gt;"Bekliyor"),"",F966-TODAY())</f>
        <v/>
      </c>
      <c r="J966" s="17" t="str">
        <f aca="false">IF(I966="","",IF(I966&lt;0,"Vadesi geçti",IF(I966&lt;=7,"Bu hafta","")))</f>
        <v/>
      </c>
      <c r="K966" s="19" t="n">
        <f aca="false">IF(H966="Bekliyor",G966,0)</f>
        <v>0</v>
      </c>
    </row>
    <row r="967" customFormat="false" ht="15" hidden="false" customHeight="false" outlineLevel="0" collapsed="false">
      <c r="A967" s="12"/>
      <c r="B967" s="12"/>
      <c r="C967" s="13"/>
      <c r="D967" s="13"/>
      <c r="E967" s="13"/>
      <c r="F967" s="14"/>
      <c r="G967" s="15"/>
      <c r="H967" s="12"/>
      <c r="I967" s="16" t="str">
        <f aca="true">IF(OR(F967="",H967&lt;&gt;"Bekliyor"),"",F967-TODAY())</f>
        <v/>
      </c>
      <c r="J967" s="17" t="str">
        <f aca="false">IF(I967="","",IF(I967&lt;0,"Vadesi geçti",IF(I967&lt;=7,"Bu hafta","")))</f>
        <v/>
      </c>
      <c r="K967" s="19" t="n">
        <f aca="false">IF(H967="Bekliyor",G967,0)</f>
        <v>0</v>
      </c>
    </row>
    <row r="968" customFormat="false" ht="15" hidden="false" customHeight="false" outlineLevel="0" collapsed="false">
      <c r="A968" s="12"/>
      <c r="B968" s="12"/>
      <c r="C968" s="13"/>
      <c r="D968" s="13"/>
      <c r="E968" s="13"/>
      <c r="F968" s="14"/>
      <c r="G968" s="15"/>
      <c r="H968" s="12"/>
      <c r="I968" s="16" t="str">
        <f aca="true">IF(OR(F968="",H968&lt;&gt;"Bekliyor"),"",F968-TODAY())</f>
        <v/>
      </c>
      <c r="J968" s="17" t="str">
        <f aca="false">IF(I968="","",IF(I968&lt;0,"Vadesi geçti",IF(I968&lt;=7,"Bu hafta","")))</f>
        <v/>
      </c>
      <c r="K968" s="19" t="n">
        <f aca="false">IF(H968="Bekliyor",G968,0)</f>
        <v>0</v>
      </c>
    </row>
    <row r="969" customFormat="false" ht="15" hidden="false" customHeight="false" outlineLevel="0" collapsed="false">
      <c r="A969" s="12"/>
      <c r="B969" s="12"/>
      <c r="C969" s="13"/>
      <c r="D969" s="13"/>
      <c r="E969" s="13"/>
      <c r="F969" s="14"/>
      <c r="G969" s="15"/>
      <c r="H969" s="12"/>
      <c r="I969" s="16" t="str">
        <f aca="true">IF(OR(F969="",H969&lt;&gt;"Bekliyor"),"",F969-TODAY())</f>
        <v/>
      </c>
      <c r="J969" s="17" t="str">
        <f aca="false">IF(I969="","",IF(I969&lt;0,"Vadesi geçti",IF(I969&lt;=7,"Bu hafta","")))</f>
        <v/>
      </c>
      <c r="K969" s="19" t="n">
        <f aca="false">IF(H969="Bekliyor",G969,0)</f>
        <v>0</v>
      </c>
    </row>
    <row r="970" customFormat="false" ht="15" hidden="false" customHeight="false" outlineLevel="0" collapsed="false">
      <c r="A970" s="12"/>
      <c r="B970" s="12"/>
      <c r="C970" s="13"/>
      <c r="D970" s="13"/>
      <c r="E970" s="13"/>
      <c r="F970" s="14"/>
      <c r="G970" s="15"/>
      <c r="H970" s="12"/>
      <c r="I970" s="16" t="str">
        <f aca="true">IF(OR(F970="",H970&lt;&gt;"Bekliyor"),"",F970-TODAY())</f>
        <v/>
      </c>
      <c r="J970" s="17" t="str">
        <f aca="false">IF(I970="","",IF(I970&lt;0,"Vadesi geçti",IF(I970&lt;=7,"Bu hafta","")))</f>
        <v/>
      </c>
      <c r="K970" s="19" t="n">
        <f aca="false">IF(H970="Bekliyor",G970,0)</f>
        <v>0</v>
      </c>
    </row>
    <row r="971" customFormat="false" ht="15" hidden="false" customHeight="false" outlineLevel="0" collapsed="false">
      <c r="A971" s="12"/>
      <c r="B971" s="12"/>
      <c r="C971" s="13"/>
      <c r="D971" s="13"/>
      <c r="E971" s="13"/>
      <c r="F971" s="14"/>
      <c r="G971" s="15"/>
      <c r="H971" s="12"/>
      <c r="I971" s="16" t="str">
        <f aca="true">IF(OR(F971="",H971&lt;&gt;"Bekliyor"),"",F971-TODAY())</f>
        <v/>
      </c>
      <c r="J971" s="17" t="str">
        <f aca="false">IF(I971="","",IF(I971&lt;0,"Vadesi geçti",IF(I971&lt;=7,"Bu hafta","")))</f>
        <v/>
      </c>
      <c r="K971" s="19" t="n">
        <f aca="false">IF(H971="Bekliyor",G971,0)</f>
        <v>0</v>
      </c>
    </row>
    <row r="972" customFormat="false" ht="15" hidden="false" customHeight="false" outlineLevel="0" collapsed="false">
      <c r="A972" s="12"/>
      <c r="B972" s="12"/>
      <c r="C972" s="13"/>
      <c r="D972" s="13"/>
      <c r="E972" s="13"/>
      <c r="F972" s="14"/>
      <c r="G972" s="15"/>
      <c r="H972" s="12"/>
      <c r="I972" s="16" t="str">
        <f aca="true">IF(OR(F972="",H972&lt;&gt;"Bekliyor"),"",F972-TODAY())</f>
        <v/>
      </c>
      <c r="J972" s="17" t="str">
        <f aca="false">IF(I972="","",IF(I972&lt;0,"Vadesi geçti",IF(I972&lt;=7,"Bu hafta","")))</f>
        <v/>
      </c>
      <c r="K972" s="19" t="n">
        <f aca="false">IF(H972="Bekliyor",G972,0)</f>
        <v>0</v>
      </c>
    </row>
    <row r="973" customFormat="false" ht="15" hidden="false" customHeight="false" outlineLevel="0" collapsed="false">
      <c r="A973" s="12"/>
      <c r="B973" s="12"/>
      <c r="C973" s="13"/>
      <c r="D973" s="13"/>
      <c r="E973" s="13"/>
      <c r="F973" s="14"/>
      <c r="G973" s="15"/>
      <c r="H973" s="12"/>
      <c r="I973" s="16" t="str">
        <f aca="true">IF(OR(F973="",H973&lt;&gt;"Bekliyor"),"",F973-TODAY())</f>
        <v/>
      </c>
      <c r="J973" s="17" t="str">
        <f aca="false">IF(I973="","",IF(I973&lt;0,"Vadesi geçti",IF(I973&lt;=7,"Bu hafta","")))</f>
        <v/>
      </c>
      <c r="K973" s="19" t="n">
        <f aca="false">IF(H973="Bekliyor",G973,0)</f>
        <v>0</v>
      </c>
    </row>
    <row r="974" customFormat="false" ht="15" hidden="false" customHeight="false" outlineLevel="0" collapsed="false">
      <c r="A974" s="12"/>
      <c r="B974" s="12"/>
      <c r="C974" s="13"/>
      <c r="D974" s="13"/>
      <c r="E974" s="13"/>
      <c r="F974" s="14"/>
      <c r="G974" s="15"/>
      <c r="H974" s="12"/>
      <c r="I974" s="16" t="str">
        <f aca="true">IF(OR(F974="",H974&lt;&gt;"Bekliyor"),"",F974-TODAY())</f>
        <v/>
      </c>
      <c r="J974" s="17" t="str">
        <f aca="false">IF(I974="","",IF(I974&lt;0,"Vadesi geçti",IF(I974&lt;=7,"Bu hafta","")))</f>
        <v/>
      </c>
      <c r="K974" s="19" t="n">
        <f aca="false">IF(H974="Bekliyor",G974,0)</f>
        <v>0</v>
      </c>
    </row>
    <row r="975" customFormat="false" ht="15" hidden="false" customHeight="false" outlineLevel="0" collapsed="false">
      <c r="A975" s="12"/>
      <c r="B975" s="12"/>
      <c r="C975" s="13"/>
      <c r="D975" s="13"/>
      <c r="E975" s="13"/>
      <c r="F975" s="14"/>
      <c r="G975" s="15"/>
      <c r="H975" s="12"/>
      <c r="I975" s="16" t="str">
        <f aca="true">IF(OR(F975="",H975&lt;&gt;"Bekliyor"),"",F975-TODAY())</f>
        <v/>
      </c>
      <c r="J975" s="17" t="str">
        <f aca="false">IF(I975="","",IF(I975&lt;0,"Vadesi geçti",IF(I975&lt;=7,"Bu hafta","")))</f>
        <v/>
      </c>
      <c r="K975" s="19" t="n">
        <f aca="false">IF(H975="Bekliyor",G975,0)</f>
        <v>0</v>
      </c>
    </row>
    <row r="976" customFormat="false" ht="15" hidden="false" customHeight="false" outlineLevel="0" collapsed="false">
      <c r="A976" s="12"/>
      <c r="B976" s="12"/>
      <c r="C976" s="13"/>
      <c r="D976" s="13"/>
      <c r="E976" s="13"/>
      <c r="F976" s="14"/>
      <c r="G976" s="15"/>
      <c r="H976" s="12"/>
      <c r="I976" s="16" t="str">
        <f aca="true">IF(OR(F976="",H976&lt;&gt;"Bekliyor"),"",F976-TODAY())</f>
        <v/>
      </c>
      <c r="J976" s="17" t="str">
        <f aca="false">IF(I976="","",IF(I976&lt;0,"Vadesi geçti",IF(I976&lt;=7,"Bu hafta","")))</f>
        <v/>
      </c>
      <c r="K976" s="19" t="n">
        <f aca="false">IF(H976="Bekliyor",G976,0)</f>
        <v>0</v>
      </c>
    </row>
    <row r="977" customFormat="false" ht="15" hidden="false" customHeight="false" outlineLevel="0" collapsed="false">
      <c r="A977" s="12"/>
      <c r="B977" s="12"/>
      <c r="C977" s="13"/>
      <c r="D977" s="13"/>
      <c r="E977" s="13"/>
      <c r="F977" s="14"/>
      <c r="G977" s="15"/>
      <c r="H977" s="12"/>
      <c r="I977" s="16" t="str">
        <f aca="true">IF(OR(F977="",H977&lt;&gt;"Bekliyor"),"",F977-TODAY())</f>
        <v/>
      </c>
      <c r="J977" s="17" t="str">
        <f aca="false">IF(I977="","",IF(I977&lt;0,"Vadesi geçti",IF(I977&lt;=7,"Bu hafta","")))</f>
        <v/>
      </c>
      <c r="K977" s="19" t="n">
        <f aca="false">IF(H977="Bekliyor",G977,0)</f>
        <v>0</v>
      </c>
    </row>
    <row r="978" customFormat="false" ht="15" hidden="false" customHeight="false" outlineLevel="0" collapsed="false">
      <c r="A978" s="12"/>
      <c r="B978" s="12"/>
      <c r="C978" s="13"/>
      <c r="D978" s="13"/>
      <c r="E978" s="13"/>
      <c r="F978" s="14"/>
      <c r="G978" s="15"/>
      <c r="H978" s="12"/>
      <c r="I978" s="16" t="str">
        <f aca="true">IF(OR(F978="",H978&lt;&gt;"Bekliyor"),"",F978-TODAY())</f>
        <v/>
      </c>
      <c r="J978" s="17" t="str">
        <f aca="false">IF(I978="","",IF(I978&lt;0,"Vadesi geçti",IF(I978&lt;=7,"Bu hafta","")))</f>
        <v/>
      </c>
      <c r="K978" s="19" t="n">
        <f aca="false">IF(H978="Bekliyor",G978,0)</f>
        <v>0</v>
      </c>
    </row>
    <row r="979" customFormat="false" ht="15" hidden="false" customHeight="false" outlineLevel="0" collapsed="false">
      <c r="A979" s="12"/>
      <c r="B979" s="12"/>
      <c r="C979" s="13"/>
      <c r="D979" s="13"/>
      <c r="E979" s="13"/>
      <c r="F979" s="14"/>
      <c r="G979" s="15"/>
      <c r="H979" s="12"/>
      <c r="I979" s="16" t="str">
        <f aca="true">IF(OR(F979="",H979&lt;&gt;"Bekliyor"),"",F979-TODAY())</f>
        <v/>
      </c>
      <c r="J979" s="17" t="str">
        <f aca="false">IF(I979="","",IF(I979&lt;0,"Vadesi geçti",IF(I979&lt;=7,"Bu hafta","")))</f>
        <v/>
      </c>
      <c r="K979" s="19" t="n">
        <f aca="false">IF(H979="Bekliyor",G979,0)</f>
        <v>0</v>
      </c>
    </row>
    <row r="980" customFormat="false" ht="15" hidden="false" customHeight="false" outlineLevel="0" collapsed="false">
      <c r="A980" s="12"/>
      <c r="B980" s="12"/>
      <c r="C980" s="13"/>
      <c r="D980" s="13"/>
      <c r="E980" s="13"/>
      <c r="F980" s="14"/>
      <c r="G980" s="15"/>
      <c r="H980" s="12"/>
      <c r="I980" s="16" t="str">
        <f aca="true">IF(OR(F980="",H980&lt;&gt;"Bekliyor"),"",F980-TODAY())</f>
        <v/>
      </c>
      <c r="J980" s="17" t="str">
        <f aca="false">IF(I980="","",IF(I980&lt;0,"Vadesi geçti",IF(I980&lt;=7,"Bu hafta","")))</f>
        <v/>
      </c>
      <c r="K980" s="19" t="n">
        <f aca="false">IF(H980="Bekliyor",G980,0)</f>
        <v>0</v>
      </c>
    </row>
    <row r="981" customFormat="false" ht="15" hidden="false" customHeight="false" outlineLevel="0" collapsed="false">
      <c r="A981" s="12"/>
      <c r="B981" s="12"/>
      <c r="C981" s="13"/>
      <c r="D981" s="13"/>
      <c r="E981" s="13"/>
      <c r="F981" s="14"/>
      <c r="G981" s="15"/>
      <c r="H981" s="12"/>
      <c r="I981" s="16" t="str">
        <f aca="true">IF(OR(F981="",H981&lt;&gt;"Bekliyor"),"",F981-TODAY())</f>
        <v/>
      </c>
      <c r="J981" s="17" t="str">
        <f aca="false">IF(I981="","",IF(I981&lt;0,"Vadesi geçti",IF(I981&lt;=7,"Bu hafta","")))</f>
        <v/>
      </c>
      <c r="K981" s="19" t="n">
        <f aca="false">IF(H981="Bekliyor",G981,0)</f>
        <v>0</v>
      </c>
    </row>
    <row r="982" customFormat="false" ht="15" hidden="false" customHeight="false" outlineLevel="0" collapsed="false">
      <c r="A982" s="12"/>
      <c r="B982" s="12"/>
      <c r="C982" s="13"/>
      <c r="D982" s="13"/>
      <c r="E982" s="13"/>
      <c r="F982" s="14"/>
      <c r="G982" s="15"/>
      <c r="H982" s="12"/>
      <c r="I982" s="16" t="str">
        <f aca="true">IF(OR(F982="",H982&lt;&gt;"Bekliyor"),"",F982-TODAY())</f>
        <v/>
      </c>
      <c r="J982" s="17" t="str">
        <f aca="false">IF(I982="","",IF(I982&lt;0,"Vadesi geçti",IF(I982&lt;=7,"Bu hafta","")))</f>
        <v/>
      </c>
      <c r="K982" s="19" t="n">
        <f aca="false">IF(H982="Bekliyor",G982,0)</f>
        <v>0</v>
      </c>
    </row>
    <row r="983" customFormat="false" ht="15" hidden="false" customHeight="false" outlineLevel="0" collapsed="false">
      <c r="A983" s="12"/>
      <c r="B983" s="12"/>
      <c r="C983" s="13"/>
      <c r="D983" s="13"/>
      <c r="E983" s="13"/>
      <c r="F983" s="14"/>
      <c r="G983" s="15"/>
      <c r="H983" s="12"/>
      <c r="I983" s="16" t="str">
        <f aca="true">IF(OR(F983="",H983&lt;&gt;"Bekliyor"),"",F983-TODAY())</f>
        <v/>
      </c>
      <c r="J983" s="17" t="str">
        <f aca="false">IF(I983="","",IF(I983&lt;0,"Vadesi geçti",IF(I983&lt;=7,"Bu hafta","")))</f>
        <v/>
      </c>
      <c r="K983" s="19" t="n">
        <f aca="false">IF(H983="Bekliyor",G983,0)</f>
        <v>0</v>
      </c>
    </row>
    <row r="984" customFormat="false" ht="15" hidden="false" customHeight="false" outlineLevel="0" collapsed="false">
      <c r="A984" s="12"/>
      <c r="B984" s="12"/>
      <c r="C984" s="13"/>
      <c r="D984" s="13"/>
      <c r="E984" s="13"/>
      <c r="F984" s="14"/>
      <c r="G984" s="15"/>
      <c r="H984" s="12"/>
      <c r="I984" s="16" t="str">
        <f aca="true">IF(OR(F984="",H984&lt;&gt;"Bekliyor"),"",F984-TODAY())</f>
        <v/>
      </c>
      <c r="J984" s="17" t="str">
        <f aca="false">IF(I984="","",IF(I984&lt;0,"Vadesi geçti",IF(I984&lt;=7,"Bu hafta","")))</f>
        <v/>
      </c>
      <c r="K984" s="19" t="n">
        <f aca="false">IF(H984="Bekliyor",G984,0)</f>
        <v>0</v>
      </c>
    </row>
    <row r="985" customFormat="false" ht="15" hidden="false" customHeight="false" outlineLevel="0" collapsed="false">
      <c r="A985" s="12"/>
      <c r="B985" s="12"/>
      <c r="C985" s="13"/>
      <c r="D985" s="13"/>
      <c r="E985" s="13"/>
      <c r="F985" s="14"/>
      <c r="G985" s="15"/>
      <c r="H985" s="12"/>
      <c r="I985" s="16" t="str">
        <f aca="true">IF(OR(F985="",H985&lt;&gt;"Bekliyor"),"",F985-TODAY())</f>
        <v/>
      </c>
      <c r="J985" s="17" t="str">
        <f aca="false">IF(I985="","",IF(I985&lt;0,"Vadesi geçti",IF(I985&lt;=7,"Bu hafta","")))</f>
        <v/>
      </c>
      <c r="K985" s="19" t="n">
        <f aca="false">IF(H985="Bekliyor",G985,0)</f>
        <v>0</v>
      </c>
    </row>
    <row r="986" customFormat="false" ht="15" hidden="false" customHeight="false" outlineLevel="0" collapsed="false">
      <c r="A986" s="12"/>
      <c r="B986" s="12"/>
      <c r="C986" s="13"/>
      <c r="D986" s="13"/>
      <c r="E986" s="13"/>
      <c r="F986" s="14"/>
      <c r="G986" s="15"/>
      <c r="H986" s="12"/>
      <c r="I986" s="16" t="str">
        <f aca="true">IF(OR(F986="",H986&lt;&gt;"Bekliyor"),"",F986-TODAY())</f>
        <v/>
      </c>
      <c r="J986" s="17" t="str">
        <f aca="false">IF(I986="","",IF(I986&lt;0,"Vadesi geçti",IF(I986&lt;=7,"Bu hafta","")))</f>
        <v/>
      </c>
      <c r="K986" s="19" t="n">
        <f aca="false">IF(H986="Bekliyor",G986,0)</f>
        <v>0</v>
      </c>
    </row>
    <row r="987" customFormat="false" ht="15" hidden="false" customHeight="false" outlineLevel="0" collapsed="false">
      <c r="A987" s="12"/>
      <c r="B987" s="12"/>
      <c r="C987" s="13"/>
      <c r="D987" s="13"/>
      <c r="E987" s="13"/>
      <c r="F987" s="14"/>
      <c r="G987" s="15"/>
      <c r="H987" s="12"/>
      <c r="I987" s="16" t="str">
        <f aca="true">IF(OR(F987="",H987&lt;&gt;"Bekliyor"),"",F987-TODAY())</f>
        <v/>
      </c>
      <c r="J987" s="17" t="str">
        <f aca="false">IF(I987="","",IF(I987&lt;0,"Vadesi geçti",IF(I987&lt;=7,"Bu hafta","")))</f>
        <v/>
      </c>
      <c r="K987" s="19" t="n">
        <f aca="false">IF(H987="Bekliyor",G987,0)</f>
        <v>0</v>
      </c>
    </row>
    <row r="988" customFormat="false" ht="15" hidden="false" customHeight="false" outlineLevel="0" collapsed="false">
      <c r="A988" s="12"/>
      <c r="B988" s="12"/>
      <c r="C988" s="13"/>
      <c r="D988" s="13"/>
      <c r="E988" s="13"/>
      <c r="F988" s="14"/>
      <c r="G988" s="15"/>
      <c r="H988" s="12"/>
      <c r="I988" s="16" t="str">
        <f aca="true">IF(OR(F988="",H988&lt;&gt;"Bekliyor"),"",F988-TODAY())</f>
        <v/>
      </c>
      <c r="J988" s="17" t="str">
        <f aca="false">IF(I988="","",IF(I988&lt;0,"Vadesi geçti",IF(I988&lt;=7,"Bu hafta","")))</f>
        <v/>
      </c>
      <c r="K988" s="19" t="n">
        <f aca="false">IF(H988="Bekliyor",G988,0)</f>
        <v>0</v>
      </c>
    </row>
    <row r="989" customFormat="false" ht="15" hidden="false" customHeight="false" outlineLevel="0" collapsed="false">
      <c r="A989" s="12"/>
      <c r="B989" s="12"/>
      <c r="C989" s="13"/>
      <c r="D989" s="13"/>
      <c r="E989" s="13"/>
      <c r="F989" s="14"/>
      <c r="G989" s="15"/>
      <c r="H989" s="12"/>
      <c r="I989" s="16" t="str">
        <f aca="true">IF(OR(F989="",H989&lt;&gt;"Bekliyor"),"",F989-TODAY())</f>
        <v/>
      </c>
      <c r="J989" s="17" t="str">
        <f aca="false">IF(I989="","",IF(I989&lt;0,"Vadesi geçti",IF(I989&lt;=7,"Bu hafta","")))</f>
        <v/>
      </c>
      <c r="K989" s="19" t="n">
        <f aca="false">IF(H989="Bekliyor",G989,0)</f>
        <v>0</v>
      </c>
    </row>
    <row r="990" customFormat="false" ht="15" hidden="false" customHeight="false" outlineLevel="0" collapsed="false">
      <c r="A990" s="12"/>
      <c r="B990" s="12"/>
      <c r="C990" s="13"/>
      <c r="D990" s="13"/>
      <c r="E990" s="13"/>
      <c r="F990" s="14"/>
      <c r="G990" s="15"/>
      <c r="H990" s="12"/>
      <c r="I990" s="16" t="str">
        <f aca="true">IF(OR(F990="",H990&lt;&gt;"Bekliyor"),"",F990-TODAY())</f>
        <v/>
      </c>
      <c r="J990" s="17" t="str">
        <f aca="false">IF(I990="","",IF(I990&lt;0,"Vadesi geçti",IF(I990&lt;=7,"Bu hafta","")))</f>
        <v/>
      </c>
      <c r="K990" s="19" t="n">
        <f aca="false">IF(H990="Bekliyor",G990,0)</f>
        <v>0</v>
      </c>
    </row>
    <row r="991" customFormat="false" ht="15" hidden="false" customHeight="false" outlineLevel="0" collapsed="false">
      <c r="A991" s="12"/>
      <c r="B991" s="12"/>
      <c r="C991" s="13"/>
      <c r="D991" s="13"/>
      <c r="E991" s="13"/>
      <c r="F991" s="14"/>
      <c r="G991" s="15"/>
      <c r="H991" s="12"/>
      <c r="I991" s="16" t="str">
        <f aca="true">IF(OR(F991="",H991&lt;&gt;"Bekliyor"),"",F991-TODAY())</f>
        <v/>
      </c>
      <c r="J991" s="17" t="str">
        <f aca="false">IF(I991="","",IF(I991&lt;0,"Vadesi geçti",IF(I991&lt;=7,"Bu hafta","")))</f>
        <v/>
      </c>
      <c r="K991" s="19" t="n">
        <f aca="false">IF(H991="Bekliyor",G991,0)</f>
        <v>0</v>
      </c>
    </row>
    <row r="992" customFormat="false" ht="15" hidden="false" customHeight="false" outlineLevel="0" collapsed="false">
      <c r="A992" s="12"/>
      <c r="B992" s="12"/>
      <c r="C992" s="13"/>
      <c r="D992" s="13"/>
      <c r="E992" s="13"/>
      <c r="F992" s="14"/>
      <c r="G992" s="15"/>
      <c r="H992" s="12"/>
      <c r="I992" s="16" t="str">
        <f aca="true">IF(OR(F992="",H992&lt;&gt;"Bekliyor"),"",F992-TODAY())</f>
        <v/>
      </c>
      <c r="J992" s="17" t="str">
        <f aca="false">IF(I992="","",IF(I992&lt;0,"Vadesi geçti",IF(I992&lt;=7,"Bu hafta","")))</f>
        <v/>
      </c>
      <c r="K992" s="19" t="n">
        <f aca="false">IF(H992="Bekliyor",G992,0)</f>
        <v>0</v>
      </c>
    </row>
    <row r="993" customFormat="false" ht="15" hidden="false" customHeight="false" outlineLevel="0" collapsed="false">
      <c r="A993" s="12"/>
      <c r="B993" s="12"/>
      <c r="C993" s="13"/>
      <c r="D993" s="13"/>
      <c r="E993" s="13"/>
      <c r="F993" s="14"/>
      <c r="G993" s="15"/>
      <c r="H993" s="12"/>
      <c r="I993" s="16" t="str">
        <f aca="true">IF(OR(F993="",H993&lt;&gt;"Bekliyor"),"",F993-TODAY())</f>
        <v/>
      </c>
      <c r="J993" s="17" t="str">
        <f aca="false">IF(I993="","",IF(I993&lt;0,"Vadesi geçti",IF(I993&lt;=7,"Bu hafta","")))</f>
        <v/>
      </c>
      <c r="K993" s="19" t="n">
        <f aca="false">IF(H993="Bekliyor",G993,0)</f>
        <v>0</v>
      </c>
    </row>
    <row r="994" customFormat="false" ht="15" hidden="false" customHeight="false" outlineLevel="0" collapsed="false">
      <c r="A994" s="12"/>
      <c r="B994" s="12"/>
      <c r="C994" s="13"/>
      <c r="D994" s="13"/>
      <c r="E994" s="13"/>
      <c r="F994" s="14"/>
      <c r="G994" s="15"/>
      <c r="H994" s="12"/>
      <c r="I994" s="16" t="str">
        <f aca="true">IF(OR(F994="",H994&lt;&gt;"Bekliyor"),"",F994-TODAY())</f>
        <v/>
      </c>
      <c r="J994" s="17" t="str">
        <f aca="false">IF(I994="","",IF(I994&lt;0,"Vadesi geçti",IF(I994&lt;=7,"Bu hafta","")))</f>
        <v/>
      </c>
      <c r="K994" s="19" t="n">
        <f aca="false">IF(H994="Bekliyor",G994,0)</f>
        <v>0</v>
      </c>
    </row>
    <row r="995" customFormat="false" ht="15" hidden="false" customHeight="false" outlineLevel="0" collapsed="false">
      <c r="A995" s="12"/>
      <c r="B995" s="12"/>
      <c r="C995" s="13"/>
      <c r="D995" s="13"/>
      <c r="E995" s="13"/>
      <c r="F995" s="14"/>
      <c r="G995" s="15"/>
      <c r="H995" s="12"/>
      <c r="I995" s="16" t="str">
        <f aca="true">IF(OR(F995="",H995&lt;&gt;"Bekliyor"),"",F995-TODAY())</f>
        <v/>
      </c>
      <c r="J995" s="17" t="str">
        <f aca="false">IF(I995="","",IF(I995&lt;0,"Vadesi geçti",IF(I995&lt;=7,"Bu hafta","")))</f>
        <v/>
      </c>
      <c r="K995" s="19" t="n">
        <f aca="false">IF(H995="Bekliyor",G995,0)</f>
        <v>0</v>
      </c>
    </row>
    <row r="996" customFormat="false" ht="15" hidden="false" customHeight="false" outlineLevel="0" collapsed="false">
      <c r="A996" s="12"/>
      <c r="B996" s="12"/>
      <c r="C996" s="13"/>
      <c r="D996" s="13"/>
      <c r="E996" s="13"/>
      <c r="F996" s="14"/>
      <c r="G996" s="15"/>
      <c r="H996" s="12"/>
      <c r="I996" s="16" t="str">
        <f aca="true">IF(OR(F996="",H996&lt;&gt;"Bekliyor"),"",F996-TODAY())</f>
        <v/>
      </c>
      <c r="J996" s="17" t="str">
        <f aca="false">IF(I996="","",IF(I996&lt;0,"Vadesi geçti",IF(I996&lt;=7,"Bu hafta","")))</f>
        <v/>
      </c>
      <c r="K996" s="19" t="n">
        <f aca="false">IF(H996="Bekliyor",G996,0)</f>
        <v>0</v>
      </c>
    </row>
    <row r="997" customFormat="false" ht="15" hidden="false" customHeight="false" outlineLevel="0" collapsed="false">
      <c r="A997" s="12"/>
      <c r="B997" s="12"/>
      <c r="C997" s="13"/>
      <c r="D997" s="13"/>
      <c r="E997" s="13"/>
      <c r="F997" s="14"/>
      <c r="G997" s="15"/>
      <c r="H997" s="12"/>
      <c r="I997" s="16" t="str">
        <f aca="true">IF(OR(F997="",H997&lt;&gt;"Bekliyor"),"",F997-TODAY())</f>
        <v/>
      </c>
      <c r="J997" s="17" t="str">
        <f aca="false">IF(I997="","",IF(I997&lt;0,"Vadesi geçti",IF(I997&lt;=7,"Bu hafta","")))</f>
        <v/>
      </c>
      <c r="K997" s="19" t="n">
        <f aca="false">IF(H997="Bekliyor",G997,0)</f>
        <v>0</v>
      </c>
    </row>
    <row r="998" customFormat="false" ht="15" hidden="false" customHeight="false" outlineLevel="0" collapsed="false">
      <c r="A998" s="12"/>
      <c r="B998" s="12"/>
      <c r="C998" s="13"/>
      <c r="D998" s="13"/>
      <c r="E998" s="13"/>
      <c r="F998" s="14"/>
      <c r="G998" s="15"/>
      <c r="H998" s="12"/>
      <c r="I998" s="16" t="str">
        <f aca="true">IF(OR(F998="",H998&lt;&gt;"Bekliyor"),"",F998-TODAY())</f>
        <v/>
      </c>
      <c r="J998" s="17" t="str">
        <f aca="false">IF(I998="","",IF(I998&lt;0,"Vadesi geçti",IF(I998&lt;=7,"Bu hafta","")))</f>
        <v/>
      </c>
      <c r="K998" s="19" t="n">
        <f aca="false">IF(H998="Bekliyor",G998,0)</f>
        <v>0</v>
      </c>
    </row>
    <row r="999" customFormat="false" ht="15" hidden="false" customHeight="false" outlineLevel="0" collapsed="false">
      <c r="A999" s="12"/>
      <c r="B999" s="12"/>
      <c r="C999" s="13"/>
      <c r="D999" s="13"/>
      <c r="E999" s="13"/>
      <c r="F999" s="14"/>
      <c r="G999" s="15"/>
      <c r="H999" s="12"/>
      <c r="I999" s="16" t="str">
        <f aca="true">IF(OR(F999="",H999&lt;&gt;"Bekliyor"),"",F999-TODAY())</f>
        <v/>
      </c>
      <c r="J999" s="17" t="str">
        <f aca="false">IF(I999="","",IF(I999&lt;0,"Vadesi geçti",IF(I999&lt;=7,"Bu hafta","")))</f>
        <v/>
      </c>
      <c r="K999" s="19" t="n">
        <f aca="false">IF(H999="Bekliyor",G999,0)</f>
        <v>0</v>
      </c>
    </row>
    <row r="1000" customFormat="false" ht="15" hidden="false" customHeight="false" outlineLevel="0" collapsed="false">
      <c r="A1000" s="12"/>
      <c r="B1000" s="12"/>
      <c r="C1000" s="13"/>
      <c r="D1000" s="13"/>
      <c r="E1000" s="13"/>
      <c r="F1000" s="14"/>
      <c r="G1000" s="15"/>
      <c r="H1000" s="12"/>
      <c r="I1000" s="16" t="str">
        <f aca="true">IF(OR(F1000="",H1000&lt;&gt;"Bekliyor"),"",F1000-TODAY())</f>
        <v/>
      </c>
      <c r="J1000" s="17" t="str">
        <f aca="false">IF(I1000="","",IF(I1000&lt;0,"Vadesi geçti",IF(I1000&lt;=7,"Bu hafta","")))</f>
        <v/>
      </c>
      <c r="K1000" s="19" t="n">
        <f aca="false">IF(H1000="Bekliyor",G1000,0)</f>
        <v>0</v>
      </c>
    </row>
    <row r="1001" customFormat="false" ht="15" hidden="false" customHeight="false" outlineLevel="0" collapsed="false">
      <c r="A1001" s="12"/>
      <c r="B1001" s="12"/>
      <c r="C1001" s="13"/>
      <c r="D1001" s="13"/>
      <c r="E1001" s="13"/>
      <c r="F1001" s="14"/>
      <c r="G1001" s="15"/>
      <c r="H1001" s="12"/>
      <c r="I1001" s="16" t="str">
        <f aca="true">IF(OR(F1001="",H1001&lt;&gt;"Bekliyor"),"",F1001-TODAY())</f>
        <v/>
      </c>
      <c r="J1001" s="17" t="str">
        <f aca="false">IF(I1001="","",IF(I1001&lt;0,"Vadesi geçti",IF(I1001&lt;=7,"Bu hafta","")))</f>
        <v/>
      </c>
      <c r="K1001" s="19" t="n">
        <f aca="false">IF(H1001="Bekliyor",G1001,0)</f>
        <v>0</v>
      </c>
    </row>
    <row r="1002" customFormat="false" ht="15" hidden="false" customHeight="false" outlineLevel="0" collapsed="false">
      <c r="A1002" s="12"/>
      <c r="B1002" s="12"/>
      <c r="C1002" s="13"/>
      <c r="D1002" s="13"/>
      <c r="E1002" s="13"/>
      <c r="F1002" s="14"/>
      <c r="G1002" s="15"/>
      <c r="H1002" s="12"/>
      <c r="I1002" s="16" t="str">
        <f aca="true">IF(OR(F1002="",H1002&lt;&gt;"Bekliyor"),"",F1002-TODAY())</f>
        <v/>
      </c>
      <c r="J1002" s="17" t="str">
        <f aca="false">IF(I1002="","",IF(I1002&lt;0,"Vadesi geçti",IF(I1002&lt;=7,"Bu hafta","")))</f>
        <v/>
      </c>
      <c r="K1002" s="19" t="n">
        <f aca="false">IF(H1002="Bekliyor",G1002,0)</f>
        <v>0</v>
      </c>
    </row>
    <row r="1003" customFormat="false" ht="15" hidden="false" customHeight="false" outlineLevel="0" collapsed="false">
      <c r="A1003" s="12"/>
      <c r="B1003" s="12"/>
      <c r="C1003" s="13"/>
      <c r="D1003" s="13"/>
      <c r="E1003" s="13"/>
      <c r="F1003" s="14"/>
      <c r="G1003" s="15"/>
      <c r="H1003" s="12"/>
      <c r="I1003" s="16" t="str">
        <f aca="true">IF(OR(F1003="",H1003&lt;&gt;"Bekliyor"),"",F1003-TODAY())</f>
        <v/>
      </c>
      <c r="J1003" s="17" t="str">
        <f aca="false">IF(I1003="","",IF(I1003&lt;0,"Vadesi geçti",IF(I1003&lt;=7,"Bu hafta","")))</f>
        <v/>
      </c>
      <c r="K1003" s="19" t="n">
        <f aca="false">IF(H1003="Bekliyor",G1003,0)</f>
        <v>0</v>
      </c>
    </row>
    <row r="1004" customFormat="false" ht="15" hidden="false" customHeight="false" outlineLevel="0" collapsed="false">
      <c r="A1004" s="12"/>
      <c r="B1004" s="12"/>
      <c r="C1004" s="13"/>
      <c r="D1004" s="13"/>
      <c r="E1004" s="13"/>
      <c r="F1004" s="14"/>
      <c r="G1004" s="15"/>
      <c r="H1004" s="12"/>
      <c r="I1004" s="16" t="str">
        <f aca="true">IF(OR(F1004="",H1004&lt;&gt;"Bekliyor"),"",F1004-TODAY())</f>
        <v/>
      </c>
      <c r="J1004" s="17" t="str">
        <f aca="false">IF(I1004="","",IF(I1004&lt;0,"Vadesi geçti",IF(I1004&lt;=7,"Bu hafta","")))</f>
        <v/>
      </c>
      <c r="K1004" s="19" t="n">
        <f aca="false">IF(H1004="Bekliyor",G1004,0)</f>
        <v>0</v>
      </c>
    </row>
  </sheetData>
  <conditionalFormatting sqref="J5:J1004">
    <cfRule type="cellIs" priority="2" operator="equal" aboveAverage="0" equalAverage="0" bottom="0" percent="0" rank="0" text="" dxfId="0">
      <formula>"Vadesi geçti"</formula>
    </cfRule>
    <cfRule type="cellIs" priority="3" operator="equal" aboveAverage="0" equalAverage="0" bottom="0" percent="0" rank="0" text="" dxfId="1">
      <formula>"Bu hafta"</formula>
    </cfRule>
  </conditionalFormatting>
  <conditionalFormatting sqref="H5:H1004">
    <cfRule type="cellIs" priority="4" operator="equal" aboveAverage="0" equalAverage="0" bottom="0" percent="0" rank="0" text="" dxfId="0">
      <formula>"Karşılıksız"</formula>
    </cfRule>
  </conditionalFormatting>
  <dataValidations count="5">
    <dataValidation allowBlank="true" error="Listeden seç." errorStyle="stop" errorTitle="Kontrol" operator="between" showDropDown="false" showErrorMessage="true" showInputMessage="false" sqref="A5:A1004" type="list">
      <formula1>"Alınan,Verilen"</formula1>
      <formula2>0</formula2>
    </dataValidation>
    <dataValidation allowBlank="true" error="Listeden seç." errorStyle="stop" errorTitle="Kontrol" operator="between" showDropDown="false" showErrorMessage="true" showInputMessage="false" sqref="B5:B1004" type="list">
      <formula1>"Çek,Senet"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F5:F1004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G5:G10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H5:H1004" type="list">
      <formula1>"Bekliyor,Tahsil edildi,Ödendi,Ciro edildi,Karşılıksız"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55</v>
      </c>
    </row>
    <row r="2" customFormat="false" ht="15" hidden="false" customHeight="false" outlineLevel="0" collapsed="false">
      <c r="A2" s="9" t="s">
        <v>56</v>
      </c>
    </row>
    <row r="3" customFormat="false" ht="15" hidden="false" customHeight="false" outlineLevel="0" collapsed="false">
      <c r="B3" s="20" t="s">
        <v>57</v>
      </c>
      <c r="C3" s="21" t="n">
        <v>2026</v>
      </c>
    </row>
    <row r="5" customFormat="false" ht="30" hidden="false" customHeight="true" outlineLevel="0" collapsed="false">
      <c r="B5" s="22" t="s">
        <v>58</v>
      </c>
      <c r="C5" s="22" t="s">
        <v>59</v>
      </c>
      <c r="D5" s="22" t="s">
        <v>60</v>
      </c>
      <c r="E5" s="22" t="s">
        <v>61</v>
      </c>
      <c r="F5" s="22" t="s">
        <v>62</v>
      </c>
      <c r="G5" s="22" t="s">
        <v>50</v>
      </c>
    </row>
    <row r="6" customFormat="false" ht="27.75" hidden="false" customHeight="true" outlineLevel="0" collapsed="false">
      <c r="B6" s="23" t="n">
        <f aca="false">SUMIFS(Belgeler!$K$5:$K$1004,Belgeler!$A$5:$A$1004,"Alınan")</f>
        <v>65000</v>
      </c>
      <c r="C6" s="24" t="n">
        <f aca="false">SUMIFS(Belgeler!$K$5:$K$1004,Belgeler!$A$5:$A$1004,"Verilen")</f>
        <v>42000</v>
      </c>
      <c r="D6" s="23" t="n">
        <f aca="false">B6-C6</f>
        <v>23000</v>
      </c>
      <c r="E6" s="23" t="n">
        <f aca="false">SUMIFS(Belgeler!$K$5:$K$1004,Belgeler!$A$5:$A$1004,"Alınan",Belgeler!$I$5:$I$1004,"&gt;=0",Belgeler!$I$5:$I$1004,"&lt;=7")</f>
        <v>40000</v>
      </c>
      <c r="F6" s="24" t="n">
        <f aca="false">SUMIFS(Belgeler!$K$5:$K$1004,Belgeler!$A$5:$A$1004,"Verilen",Belgeler!$I$5:$I$1004,"&gt;=0",Belgeler!$I$5:$I$1004,"&lt;=7")</f>
        <v>0</v>
      </c>
      <c r="G6" s="24" t="n">
        <f aca="false">SUMIFS(Belgeler!$G$5:$G$1004,Belgeler!$H$5:$H$1004,"Karşılıksız")</f>
        <v>15000</v>
      </c>
    </row>
    <row r="9" customFormat="false" ht="15" hidden="false" customHeight="false" outlineLevel="0" collapsed="false">
      <c r="B9" s="25" t="s">
        <v>63</v>
      </c>
      <c r="I9" s="25" t="s">
        <v>64</v>
      </c>
    </row>
    <row r="10" customFormat="false" ht="21.75" hidden="false" customHeight="true" outlineLevel="0" collapsed="false">
      <c r="B10" s="10" t="s">
        <v>65</v>
      </c>
      <c r="C10" s="10" t="s">
        <v>66</v>
      </c>
      <c r="D10" s="10" t="s">
        <v>67</v>
      </c>
      <c r="E10" s="10" t="s">
        <v>68</v>
      </c>
      <c r="I10" s="10" t="s">
        <v>69</v>
      </c>
      <c r="J10" s="10" t="s">
        <v>70</v>
      </c>
      <c r="K10" s="10" t="s">
        <v>71</v>
      </c>
    </row>
    <row r="11" customFormat="false" ht="15" hidden="false" customHeight="false" outlineLevel="0" collapsed="false">
      <c r="B11" s="26" t="s">
        <v>72</v>
      </c>
      <c r="C11" s="27" t="n">
        <f aca="false">SUMIFS(Belgeler!$K$5:$K$1004,Belgeler!$F$5:$F$1004,"&gt;="&amp;DATE($C$3,1,1),Belgeler!$F$5:$F$1004,"&lt;"&amp;DATE($C$3,2,1),Belgeler!$A$5:$A$1004,"Alınan")</f>
        <v>0</v>
      </c>
      <c r="D11" s="27" t="n">
        <f aca="false">SUMIFS(Belgeler!$K$5:$K$1004,Belgeler!$F$5:$F$1004,"&gt;="&amp;DATE($C$3,1,1),Belgeler!$F$5:$F$1004,"&lt;"&amp;DATE($C$3,2,1),Belgeler!$A$5:$A$1004,"Verilen")</f>
        <v>0</v>
      </c>
      <c r="E11" s="27" t="n">
        <f aca="false">C11-D11</f>
        <v>0</v>
      </c>
      <c r="I11" s="26" t="s">
        <v>73</v>
      </c>
      <c r="J11" s="27" t="n">
        <f aca="false">SUMIFS(Belgeler!$K$5:$K$1004,Belgeler!$A$5:$A$1004,"Alınan",Belgeler!$I$5:$I$1004,"&lt;=-1")</f>
        <v>0</v>
      </c>
      <c r="K11" s="27" t="n">
        <f aca="false">SUMIFS(Belgeler!$K$5:$K$1004,Belgeler!$A$5:$A$1004,"Verilen",Belgeler!$I$5:$I$1004,"&lt;=-1")</f>
        <v>12000</v>
      </c>
    </row>
    <row r="12" customFormat="false" ht="15" hidden="false" customHeight="false" outlineLevel="0" collapsed="false">
      <c r="B12" s="28" t="s">
        <v>74</v>
      </c>
      <c r="C12" s="29" t="n">
        <f aca="false">SUMIFS(Belgeler!$K$5:$K$1004,Belgeler!$F$5:$F$1004,"&gt;="&amp;DATE($C$3,2,1),Belgeler!$F$5:$F$1004,"&lt;"&amp;DATE($C$3,3,1),Belgeler!$A$5:$A$1004,"Alınan")</f>
        <v>0</v>
      </c>
      <c r="D12" s="29" t="n">
        <f aca="false">SUMIFS(Belgeler!$K$5:$K$1004,Belgeler!$F$5:$F$1004,"&gt;="&amp;DATE($C$3,2,1),Belgeler!$F$5:$F$1004,"&lt;"&amp;DATE($C$3,3,1),Belgeler!$A$5:$A$1004,"Verilen")</f>
        <v>0</v>
      </c>
      <c r="E12" s="29" t="n">
        <f aca="false">C12-D12</f>
        <v>0</v>
      </c>
      <c r="I12" s="28" t="s">
        <v>75</v>
      </c>
      <c r="J12" s="29" t="n">
        <f aca="false">SUMIFS(Belgeler!$K$5:$K$1004,Belgeler!$A$5:$A$1004,"Alınan",Belgeler!$I$5:$I$1004,"&gt;=0",Belgeler!$I$5:$I$1004,"&lt;=30")</f>
        <v>40000</v>
      </c>
      <c r="K12" s="29" t="n">
        <f aca="false">SUMIFS(Belgeler!$K$5:$K$1004,Belgeler!$A$5:$A$1004,"Verilen",Belgeler!$I$5:$I$1004,"&gt;=0",Belgeler!$I$5:$I$1004,"&lt;=30")</f>
        <v>30000</v>
      </c>
    </row>
    <row r="13" customFormat="false" ht="15" hidden="false" customHeight="false" outlineLevel="0" collapsed="false">
      <c r="B13" s="26" t="s">
        <v>76</v>
      </c>
      <c r="C13" s="27" t="n">
        <f aca="false">SUMIFS(Belgeler!$K$5:$K$1004,Belgeler!$F$5:$F$1004,"&gt;="&amp;DATE($C$3,3,1),Belgeler!$F$5:$F$1004,"&lt;"&amp;DATE($C$3,4,1),Belgeler!$A$5:$A$1004,"Alınan")</f>
        <v>0</v>
      </c>
      <c r="D13" s="27" t="n">
        <f aca="false">SUMIFS(Belgeler!$K$5:$K$1004,Belgeler!$F$5:$F$1004,"&gt;="&amp;DATE($C$3,3,1),Belgeler!$F$5:$F$1004,"&lt;"&amp;DATE($C$3,4,1),Belgeler!$A$5:$A$1004,"Verilen")</f>
        <v>0</v>
      </c>
      <c r="E13" s="27" t="n">
        <f aca="false">C13-D13</f>
        <v>0</v>
      </c>
      <c r="I13" s="26" t="s">
        <v>77</v>
      </c>
      <c r="J13" s="27" t="n">
        <f aca="false">SUMIFS(Belgeler!$K$5:$K$1004,Belgeler!$A$5:$A$1004,"Alınan",Belgeler!$I$5:$I$1004,"&gt;=31",Belgeler!$I$5:$I$1004,"&lt;=60")</f>
        <v>25000</v>
      </c>
      <c r="K13" s="27" t="n">
        <f aca="false">SUMIFS(Belgeler!$K$5:$K$1004,Belgeler!$A$5:$A$1004,"Verilen",Belgeler!$I$5:$I$1004,"&gt;=31",Belgeler!$I$5:$I$1004,"&lt;=60")</f>
        <v>0</v>
      </c>
    </row>
    <row r="14" customFormat="false" ht="15" hidden="false" customHeight="false" outlineLevel="0" collapsed="false">
      <c r="B14" s="28" t="s">
        <v>78</v>
      </c>
      <c r="C14" s="29" t="n">
        <f aca="false">SUMIFS(Belgeler!$K$5:$K$1004,Belgeler!$F$5:$F$1004,"&gt;="&amp;DATE($C$3,4,1),Belgeler!$F$5:$F$1004,"&lt;"&amp;DATE($C$3,5,1),Belgeler!$A$5:$A$1004,"Alınan")</f>
        <v>0</v>
      </c>
      <c r="D14" s="29" t="n">
        <f aca="false">SUMIFS(Belgeler!$K$5:$K$1004,Belgeler!$F$5:$F$1004,"&gt;="&amp;DATE($C$3,4,1),Belgeler!$F$5:$F$1004,"&lt;"&amp;DATE($C$3,5,1),Belgeler!$A$5:$A$1004,"Verilen")</f>
        <v>0</v>
      </c>
      <c r="E14" s="29" t="n">
        <f aca="false">C14-D14</f>
        <v>0</v>
      </c>
      <c r="I14" s="28" t="s">
        <v>79</v>
      </c>
      <c r="J14" s="29" t="n">
        <f aca="false">SUMIFS(Belgeler!$K$5:$K$1004,Belgeler!$A$5:$A$1004,"Alınan",Belgeler!$I$5:$I$1004,"&gt;=61",Belgeler!$I$5:$I$1004,"&lt;=90")</f>
        <v>0</v>
      </c>
      <c r="K14" s="29" t="n">
        <f aca="false">SUMIFS(Belgeler!$K$5:$K$1004,Belgeler!$A$5:$A$1004,"Verilen",Belgeler!$I$5:$I$1004,"&gt;=61",Belgeler!$I$5:$I$1004,"&lt;=90")</f>
        <v>0</v>
      </c>
    </row>
    <row r="15" customFormat="false" ht="15" hidden="false" customHeight="false" outlineLevel="0" collapsed="false">
      <c r="B15" s="26" t="s">
        <v>80</v>
      </c>
      <c r="C15" s="27" t="n">
        <f aca="false">SUMIFS(Belgeler!$K$5:$K$1004,Belgeler!$F$5:$F$1004,"&gt;="&amp;DATE($C$3,5,1),Belgeler!$F$5:$F$1004,"&lt;"&amp;DATE($C$3,6,1),Belgeler!$A$5:$A$1004,"Alınan")</f>
        <v>0</v>
      </c>
      <c r="D15" s="27" t="n">
        <f aca="false">SUMIFS(Belgeler!$K$5:$K$1004,Belgeler!$F$5:$F$1004,"&gt;="&amp;DATE($C$3,5,1),Belgeler!$F$5:$F$1004,"&lt;"&amp;DATE($C$3,6,1),Belgeler!$A$5:$A$1004,"Verilen")</f>
        <v>0</v>
      </c>
      <c r="E15" s="27" t="n">
        <f aca="false">C15-D15</f>
        <v>0</v>
      </c>
      <c r="I15" s="26" t="s">
        <v>81</v>
      </c>
      <c r="J15" s="27" t="n">
        <f aca="false">SUMIFS(Belgeler!$K$5:$K$1004,Belgeler!$A$5:$A$1004,"Alınan",Belgeler!$I$5:$I$1004,"&gt;=91")</f>
        <v>0</v>
      </c>
      <c r="K15" s="27" t="n">
        <f aca="false">SUMIFS(Belgeler!$K$5:$K$1004,Belgeler!$A$5:$A$1004,"Verilen",Belgeler!$I$5:$I$1004,"&gt;=91")</f>
        <v>0</v>
      </c>
    </row>
    <row r="16" customFormat="false" ht="15" hidden="false" customHeight="false" outlineLevel="0" collapsed="false">
      <c r="B16" s="28" t="s">
        <v>82</v>
      </c>
      <c r="C16" s="29" t="n">
        <f aca="false">SUMIFS(Belgeler!$K$5:$K$1004,Belgeler!$F$5:$F$1004,"&gt;="&amp;DATE($C$3,6,1),Belgeler!$F$5:$F$1004,"&lt;"&amp;DATE($C$3,7,1),Belgeler!$A$5:$A$1004,"Alınan")</f>
        <v>0</v>
      </c>
      <c r="D16" s="29" t="n">
        <f aca="false">SUMIFS(Belgeler!$K$5:$K$1004,Belgeler!$F$5:$F$1004,"&gt;="&amp;DATE($C$3,6,1),Belgeler!$F$5:$F$1004,"&lt;"&amp;DATE($C$3,7,1),Belgeler!$A$5:$A$1004,"Verilen")</f>
        <v>0</v>
      </c>
      <c r="E16" s="29" t="n">
        <f aca="false">C16-D16</f>
        <v>0</v>
      </c>
    </row>
    <row r="17" customFormat="false" ht="15" hidden="false" customHeight="false" outlineLevel="0" collapsed="false">
      <c r="B17" s="26" t="s">
        <v>83</v>
      </c>
      <c r="C17" s="27" t="n">
        <f aca="false">SUMIFS(Belgeler!$K$5:$K$1004,Belgeler!$F$5:$F$1004,"&gt;="&amp;DATE($C$3,7,1),Belgeler!$F$5:$F$1004,"&lt;"&amp;DATE($C$3,8,1),Belgeler!$A$5:$A$1004,"Alınan")</f>
        <v>0</v>
      </c>
      <c r="D17" s="27" t="n">
        <f aca="false">SUMIFS(Belgeler!$K$5:$K$1004,Belgeler!$F$5:$F$1004,"&gt;="&amp;DATE($C$3,7,1),Belgeler!$F$5:$F$1004,"&lt;"&amp;DATE($C$3,8,1),Belgeler!$A$5:$A$1004,"Verilen")</f>
        <v>0</v>
      </c>
      <c r="E17" s="27" t="n">
        <f aca="false">C17-D17</f>
        <v>0</v>
      </c>
    </row>
    <row r="18" customFormat="false" ht="15" hidden="false" customHeight="false" outlineLevel="0" collapsed="false">
      <c r="B18" s="28" t="s">
        <v>84</v>
      </c>
      <c r="C18" s="29" t="n">
        <f aca="false">SUMIFS(Belgeler!$K$5:$K$1004,Belgeler!$F$5:$F$1004,"&gt;="&amp;DATE($C$3,8,1),Belgeler!$F$5:$F$1004,"&lt;"&amp;DATE($C$3,9,1),Belgeler!$A$5:$A$1004,"Alınan")</f>
        <v>0</v>
      </c>
      <c r="D18" s="29" t="n">
        <f aca="false">SUMIFS(Belgeler!$K$5:$K$1004,Belgeler!$F$5:$F$1004,"&gt;="&amp;DATE($C$3,8,1),Belgeler!$F$5:$F$1004,"&lt;"&amp;DATE($C$3,9,1),Belgeler!$A$5:$A$1004,"Verilen")</f>
        <v>0</v>
      </c>
      <c r="E18" s="29" t="n">
        <f aca="false">C18-D18</f>
        <v>0</v>
      </c>
    </row>
    <row r="19" customFormat="false" ht="15" hidden="false" customHeight="false" outlineLevel="0" collapsed="false">
      <c r="B19" s="26" t="s">
        <v>85</v>
      </c>
      <c r="C19" s="27" t="n">
        <f aca="false">SUMIFS(Belgeler!$K$5:$K$1004,Belgeler!$F$5:$F$1004,"&gt;="&amp;DATE($C$3,9,1),Belgeler!$F$5:$F$1004,"&lt;"&amp;DATE($C$3,10,1),Belgeler!$A$5:$A$1004,"Alınan")</f>
        <v>0</v>
      </c>
      <c r="D19" s="27" t="n">
        <f aca="false">SUMIFS(Belgeler!$K$5:$K$1004,Belgeler!$F$5:$F$1004,"&gt;="&amp;DATE($C$3,9,1),Belgeler!$F$5:$F$1004,"&lt;"&amp;DATE($C$3,10,1),Belgeler!$A$5:$A$1004,"Verilen")</f>
        <v>0</v>
      </c>
      <c r="E19" s="27" t="n">
        <f aca="false">C19-D19</f>
        <v>0</v>
      </c>
    </row>
    <row r="20" customFormat="false" ht="15" hidden="false" customHeight="false" outlineLevel="0" collapsed="false">
      <c r="B20" s="28" t="s">
        <v>86</v>
      </c>
      <c r="C20" s="29" t="n">
        <f aca="false">SUMIFS(Belgeler!$K$5:$K$1004,Belgeler!$F$5:$F$1004,"&gt;="&amp;DATE($C$3,10,1),Belgeler!$F$5:$F$1004,"&lt;"&amp;DATE($C$3,11,1),Belgeler!$A$5:$A$1004,"Alınan")</f>
        <v>40000</v>
      </c>
      <c r="D20" s="29" t="n">
        <f aca="false">SUMIFS(Belgeler!$K$5:$K$1004,Belgeler!$F$5:$F$1004,"&gt;="&amp;DATE($C$3,10,1),Belgeler!$F$5:$F$1004,"&lt;"&amp;DATE($C$3,11,1),Belgeler!$A$5:$A$1004,"Verilen")</f>
        <v>42000</v>
      </c>
      <c r="E20" s="29" t="n">
        <f aca="false">C20-D20</f>
        <v>-2000</v>
      </c>
    </row>
    <row r="21" customFormat="false" ht="15" hidden="false" customHeight="false" outlineLevel="0" collapsed="false">
      <c r="B21" s="26" t="s">
        <v>87</v>
      </c>
      <c r="C21" s="27" t="n">
        <f aca="false">SUMIFS(Belgeler!$K$5:$K$1004,Belgeler!$F$5:$F$1004,"&gt;="&amp;DATE($C$3,11,1),Belgeler!$F$5:$F$1004,"&lt;"&amp;DATE($C$3,12,1),Belgeler!$A$5:$A$1004,"Alınan")</f>
        <v>25000</v>
      </c>
      <c r="D21" s="27" t="n">
        <f aca="false">SUMIFS(Belgeler!$K$5:$K$1004,Belgeler!$F$5:$F$1004,"&gt;="&amp;DATE($C$3,11,1),Belgeler!$F$5:$F$1004,"&lt;"&amp;DATE($C$3,12,1),Belgeler!$A$5:$A$1004,"Verilen")</f>
        <v>0</v>
      </c>
      <c r="E21" s="27" t="n">
        <f aca="false">C21-D21</f>
        <v>25000</v>
      </c>
    </row>
    <row r="22" customFormat="false" ht="15" hidden="false" customHeight="false" outlineLevel="0" collapsed="false">
      <c r="B22" s="28" t="s">
        <v>88</v>
      </c>
      <c r="C22" s="29" t="n">
        <f aca="false">SUMIFS(Belgeler!$K$5:$K$1004,Belgeler!$F$5:$F$1004,"&gt;="&amp;DATE($C$3,12,1),Belgeler!$F$5:$F$1004,"&lt;"&amp;DATE($C$3,13,1),Belgeler!$A$5:$A$1004,"Alınan")</f>
        <v>0</v>
      </c>
      <c r="D22" s="29" t="n">
        <f aca="false">SUMIFS(Belgeler!$K$5:$K$1004,Belgeler!$F$5:$F$1004,"&gt;="&amp;DATE($C$3,12,1),Belgeler!$F$5:$F$1004,"&lt;"&amp;DATE($C$3,13,1),Belgeler!$A$5:$A$1004,"Verilen")</f>
        <v>0</v>
      </c>
      <c r="E22" s="29" t="n">
        <f aca="false">C22-D22</f>
        <v>0</v>
      </c>
    </row>
    <row r="23" customFormat="false" ht="15" hidden="false" customHeight="false" outlineLevel="0" collapsed="false">
      <c r="B23" s="30" t="s">
        <v>89</v>
      </c>
      <c r="C23" s="31" t="n">
        <f aca="false">SUM(C11:C22)</f>
        <v>65000</v>
      </c>
      <c r="D23" s="31" t="n">
        <f aca="false">SUM(D11:D22)</f>
        <v>42000</v>
      </c>
      <c r="E23" s="31" t="n">
        <f aca="false">SUM(E11:E22)</f>
        <v>23000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90</v>
      </c>
    </row>
    <row r="2" customFormat="false" ht="30" hidden="false" customHeight="true" outlineLevel="0" collapsed="false">
      <c r="B2" s="32" t="s">
        <v>91</v>
      </c>
      <c r="C2" s="32"/>
    </row>
    <row r="3" customFormat="false" ht="31.5" hidden="false" customHeight="true" outlineLevel="0" collapsed="false">
      <c r="B3" s="33" t="s">
        <v>92</v>
      </c>
      <c r="C3" s="33"/>
    </row>
    <row r="5" customFormat="false" ht="15" hidden="false" customHeight="false" outlineLevel="0" collapsed="false">
      <c r="B5" s="34" t="s">
        <v>93</v>
      </c>
      <c r="C5" s="34" t="s">
        <v>94</v>
      </c>
    </row>
    <row r="6" customFormat="false" ht="31.5" hidden="false" customHeight="true" outlineLevel="0" collapsed="false">
      <c r="B6" s="35" t="s">
        <v>95</v>
      </c>
      <c r="C6" s="36" t="s">
        <v>96</v>
      </c>
    </row>
    <row r="7" customFormat="false" ht="31.5" hidden="false" customHeight="true" outlineLevel="0" collapsed="false">
      <c r="B7" s="37" t="s">
        <v>97</v>
      </c>
      <c r="C7" s="38" t="s">
        <v>98</v>
      </c>
    </row>
    <row r="8" customFormat="false" ht="31.5" hidden="false" customHeight="true" outlineLevel="0" collapsed="false">
      <c r="B8" s="35" t="s">
        <v>99</v>
      </c>
      <c r="C8" s="36" t="s">
        <v>100</v>
      </c>
    </row>
    <row r="9" customFormat="false" ht="31.5" hidden="false" customHeight="true" outlineLevel="0" collapsed="false">
      <c r="B9" s="37" t="s">
        <v>101</v>
      </c>
      <c r="C9" s="38" t="s">
        <v>102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2026-10-04T22:00:08Z</dcterms:created>
  <dc:creator>openpyxl</dc:creator>
  <dc:description/>
  <dc:language>en-US</dc:language>
  <cp:lastModifiedBy/>
  <dcterms:modified xsi:type="dcterms:W3CDTF">2026-10-04T22:00:08Z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