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Kayıtlar" sheetId="2" state="visible" r:id="rId4"/>
    <sheet name="Özet" sheetId="3" state="visible" r:id="rId5"/>
    <sheet name="Kişiler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<sst xmlns="http://schemas.openxmlformats.org/spreadsheetml/2006/main" count="142" uniqueCount="115">
  <si>
    <t xml:space="preserve">EXCEL KLİNİĞİ</t>
  </si>
  <si>
    <t xml:space="preserve">TANSİYON  |  Alacak Borç Takibi</t>
  </si>
  <si>
    <t xml:space="preserve">Kim sana borçlu, sen kime borçlusun, hangisi gecikti. Kaydı gir, durumu dosya söylesin.</t>
  </si>
  <si>
    <t xml:space="preserve">NASIL KULLANILIR</t>
  </si>
  <si>
    <t xml:space="preserve">1. Kişiler</t>
  </si>
  <si>
    <t xml:space="preserve">Müşterilerini ve borçlu olduğun kişi ya da firmaları yaz. Buraya eklediğin her ad, kayıt girerken açılır listede görünür.</t>
  </si>
  <si>
    <t xml:space="preserve">2. Kayıtlar</t>
  </si>
  <si>
    <t xml:space="preserve">Her alacak ya da borç için bir satır gir: tür, kişi, açıklama, belge tarihi, vade tarihi, tutar. Para geldikçe ya da ödedikçe Ödenen sütununu güncelle.</t>
  </si>
  <si>
    <t xml:space="preserve">3. Özet</t>
  </si>
  <si>
    <t xml:space="preserve">Hiçbir şey yazma, yalnızca bak. Toplam alacak ve borç, gecikenler, önümüzdeki 7 gün, vade tablosu ve kişi bazında durum kendiliğinden hesaplanır.</t>
  </si>
  <si>
    <t xml:space="preserve">4. AI Komutları</t>
  </si>
  <si>
    <t xml:space="preserve">Kayıtlarını bir yapay zeka asistanına yapıştırıp kullanabileceğin hazır komutlar; hatırlatma mesajı yazdırma dahil.</t>
  </si>
  <si>
    <t xml:space="preserve">DURUM NE DEMEK</t>
  </si>
  <si>
    <t xml:space="preserve">Ödendi</t>
  </si>
  <si>
    <t xml:space="preserve">Kalan tutar sıfır.</t>
  </si>
  <si>
    <t xml:space="preserve">Gecikti</t>
  </si>
  <si>
    <t xml:space="preserve">Vade tarihi geçmiş ve hâlâ kalan var. Gecikme sütunu kaç gün geçtiğini gösterir.</t>
  </si>
  <si>
    <t xml:space="preserve">Bu hafta</t>
  </si>
  <si>
    <t xml:space="preserve">Vadesi bugün ya da önümüzdeki 7 gün içinde.</t>
  </si>
  <si>
    <t xml:space="preserve">Bekliyor</t>
  </si>
  <si>
    <t xml:space="preserve">Vadesine 7 günden fazla var.</t>
  </si>
  <si>
    <t xml:space="preserve">Vadesiz</t>
  </si>
  <si>
    <t xml:space="preserve">Vade tarihi girilmemiş. Gecikme hesaplanamaz, mümkünse vade yaz.</t>
  </si>
  <si>
    <t xml:space="preserve">RENKLER</t>
  </si>
  <si>
    <t xml:space="preserve">Sarı hücre</t>
  </si>
  <si>
    <t xml:space="preserve">Senin dolduracağın hücre.</t>
  </si>
  <si>
    <t xml:space="preserve">Beyaz / yeşil hücre</t>
  </si>
  <si>
    <t xml:space="preserve">Formül ya da başlık. Değiştirme, kendiliğinden hesaplanır.</t>
  </si>
  <si>
    <t xml:space="preserve">ÖNEMLİ</t>
  </si>
  <si>
    <t xml:space="preserve">Örnek kayıtlar</t>
  </si>
  <si>
    <t xml:space="preserve">Kayıtlar sayfasındaki 8 satır ve Kişiler sayfasındaki 5 ad örnektir. Başlamadan önce yalnızca sarı hücrelerdeki içeriği sil; Kalan, Durum ve Gecikme sütunlarına dokunma.</t>
  </si>
  <si>
    <t xml:space="preserve">Tarih</t>
  </si>
  <si>
    <t xml:space="preserve">Durumlar bilgisayarının bugünkü tarihine göre hesaplanır ve dosyayı her açtığında güncellenir.</t>
  </si>
  <si>
    <t xml:space="preserve">Kapasite</t>
  </si>
  <si>
    <t xml:space="preserve">Kayıtlar sayfası 300 satıra, Kişiler sayfası 40 ada kadar hesaplanır.</t>
  </si>
  <si>
    <t xml:space="preserve">Kişi adı değişirse</t>
  </si>
  <si>
    <t xml:space="preserve">Bir kişinin adını sonradan değiştirirsen eski kayıtlardaki ad aynı kalır. Eski kayıtları da güncelle, yoksa kişi tablosunda görünmez.</t>
  </si>
  <si>
    <t xml:space="preserve">Kayıtlar</t>
  </si>
  <si>
    <t xml:space="preserve">Her satıra bir alacak ya da borç. Sarı sütunları doldur; Kalan, Durum ve Gecikme kendiliğinden hesaplanır.</t>
  </si>
  <si>
    <t xml:space="preserve">Tür</t>
  </si>
  <si>
    <t xml:space="preserve">Kişi / Firma</t>
  </si>
  <si>
    <t xml:space="preserve">Açıklama</t>
  </si>
  <si>
    <t xml:space="preserve">Belge Tarihi</t>
  </si>
  <si>
    <t xml:space="preserve">Vade Tarihi</t>
  </si>
  <si>
    <t xml:space="preserve">Tutar (₺)</t>
  </si>
  <si>
    <t xml:space="preserve">Ödenen (₺)</t>
  </si>
  <si>
    <t xml:space="preserve">Kalan (₺)</t>
  </si>
  <si>
    <t xml:space="preserve">Durum</t>
  </si>
  <si>
    <t xml:space="preserve">Gecikme (gün)</t>
  </si>
  <si>
    <t xml:space="preserve">Not</t>
  </si>
  <si>
    <t xml:space="preserve">Alacak</t>
  </si>
  <si>
    <t xml:space="preserve">Müşteri Alfa</t>
  </si>
  <si>
    <t xml:space="preserve">Örnek: Eylül mal teslimi</t>
  </si>
  <si>
    <t xml:space="preserve">Müşteri Beta</t>
  </si>
  <si>
    <t xml:space="preserve">Örnek: Kurulum hizmeti</t>
  </si>
  <si>
    <t xml:space="preserve">Müşteri Gama</t>
  </si>
  <si>
    <t xml:space="preserve">Örnek: Toptan satış</t>
  </si>
  <si>
    <t xml:space="preserve">Örnek: Temmuz faturası</t>
  </si>
  <si>
    <t xml:space="preserve">Örnek: Haziran bakım işi</t>
  </si>
  <si>
    <t xml:space="preserve">Borç</t>
  </si>
  <si>
    <t xml:space="preserve">Tedarikçi Alfa</t>
  </si>
  <si>
    <t xml:space="preserve">Örnek: Ürün alımı</t>
  </si>
  <si>
    <t xml:space="preserve">Örnek: Ağustos alımı</t>
  </si>
  <si>
    <t xml:space="preserve">Ofis Kirası</t>
  </si>
  <si>
    <t xml:space="preserve">Örnek: Kasım kirası</t>
  </si>
  <si>
    <t xml:space="preserve">Özet</t>
  </si>
  <si>
    <t xml:space="preserve">Bugün</t>
  </si>
  <si>
    <t xml:space="preserve">← Kendiliğinden güncellenir, dokunma</t>
  </si>
  <si>
    <t xml:space="preserve">Toplam Alacak</t>
  </si>
  <si>
    <t xml:space="preserve">Geciken Alacak</t>
  </si>
  <si>
    <t xml:space="preserve">Toplam Borç</t>
  </si>
  <si>
    <t xml:space="preserve">Geciken Borç</t>
  </si>
  <si>
    <t xml:space="preserve">Net (Alacak − Borç)</t>
  </si>
  <si>
    <t xml:space="preserve">Önümüzdeki 7 gün (bugün dahil)</t>
  </si>
  <si>
    <t xml:space="preserve">Tahsil edilecek</t>
  </si>
  <si>
    <t xml:space="preserve">Ödenecek</t>
  </si>
  <si>
    <t xml:space="preserve">Vade Tablosu (kalan tutarlar)</t>
  </si>
  <si>
    <t xml:space="preserve">Kişi Bazında Durum</t>
  </si>
  <si>
    <t xml:space="preserve">Vade Durumu</t>
  </si>
  <si>
    <t xml:space="preserve">Net</t>
  </si>
  <si>
    <t xml:space="preserve">Vadesi gelmemiş</t>
  </si>
  <si>
    <t xml:space="preserve">1-30 gün gecikmiş</t>
  </si>
  <si>
    <t xml:space="preserve">31-60 gün gecikmiş</t>
  </si>
  <si>
    <t xml:space="preserve">61-90 gün gecikmiş</t>
  </si>
  <si>
    <t xml:space="preserve">90 günden fazla</t>
  </si>
  <si>
    <t xml:space="preserve">TOPLAM</t>
  </si>
  <si>
    <t xml:space="preserve">Kişiler</t>
  </si>
  <si>
    <t xml:space="preserve">Müşteri, tedarikçi, kiracı, kim varsa. Ad sütunu zorunlu, diğerleri isteğe bağlı.</t>
  </si>
  <si>
    <t xml:space="preserve">Telefon</t>
  </si>
  <si>
    <t xml:space="preserve">Örnek kişi, silebilirsin</t>
  </si>
  <si>
    <t xml:space="preserve">Yapay Zeka Komutları</t>
  </si>
  <si>
    <t xml:space="preserve">Kayıtlar sayfasında başlık satırıyla birlikte kayıtlarını seç, kopyala, kullandığın yapay zeka asistanına yapıştır ve altına aşağıdaki komutlardan birini ekle.</t>
  </si>
  <si>
    <t xml:space="preserve">Dikkat: Bu sayfada gerçek kişi ve firma adları var. Yapıştırmadan önce adları Müşteri Alfa, Müşteri Beta gibi takma adlarla değiştir; telefon ve IBAN paylaşma. Yapay zekanın verdiği rakamları Özet sayfasıyla karşılaştır.</t>
  </si>
  <si>
    <t xml:space="preserve">Ne için</t>
  </si>
  <si>
    <t xml:space="preserve">Komut (kopyala, yapıştır)</t>
  </si>
  <si>
    <t xml:space="preserve">Genel durum</t>
  </si>
  <si>
    <t xml:space="preserve">Yukarıdaki tablo benim alacak ve borç kayıtlarım. Toplam alacağımı, toplam borcumu ve gecikenleri hesapla, durumumu üç cümleyle özetle.</t>
  </si>
  <si>
    <t xml:space="preserve">Kibar hatırlatma</t>
  </si>
  <si>
    <t xml:space="preserve">Durumu Gecikti olan her alacak için müşteriye gönderebileceğim kısa ve kibar bir hatırlatma mesajı yaz. Mesajda tutar ve vade tarihi geçsin, suçlayıcı olmasın.</t>
  </si>
  <si>
    <t xml:space="preserve">Sert hatırlatma</t>
  </si>
  <si>
    <t xml:space="preserve">60 günden fazla gecikmiş alacaklar için daha net ama saygılı ikinci bir hatırlatma mesajı yaz. Son ödeme için bir tarih iste.</t>
  </si>
  <si>
    <t xml:space="preserve">Kimi önce aramalıyım</t>
  </si>
  <si>
    <t xml:space="preserve">Geciken alacakları tutar ve gecikme gününe göre sırala. Bugün ilk hangi üç kişiyle konuşmam gerektiğini nedenleriyle söyle.</t>
  </si>
  <si>
    <t xml:space="preserve">Ödeme sırası</t>
  </si>
  <si>
    <t xml:space="preserve">Borçlarımı vade tarihine göre sırala ve önümüzdeki 30 gün için hafta hafta bir ödeme planı çıkar.</t>
  </si>
  <si>
    <t xml:space="preserve">Nakit dengesi</t>
  </si>
  <si>
    <t xml:space="preserve">Önümüzdeki 30 günde tahsil etmeyi beklediğim tutarla ödemem gereken tutarı hafta hafta karşılaştır. Açık veren hafta varsa belirt.</t>
  </si>
  <si>
    <t xml:space="preserve">Riskli müşteri</t>
  </si>
  <si>
    <t xml:space="preserve">Hangi müşteriler sürekli geç ödüyor ya da birden fazla gecikmiş kaydı var? Yalnızca tablodaki verilere dayanarak listele.</t>
  </si>
  <si>
    <t xml:space="preserve">Taksit önerisi</t>
  </si>
  <si>
    <t xml:space="preserve">En büyük gecikmiş alacak için müşteriye sunabileceğim iki farklı taksit planı öner ve bunu anlatan kısa bir mesaj yaz.</t>
  </si>
  <si>
    <t xml:space="preserve">Haftalık rapor</t>
  </si>
  <si>
    <t xml:space="preserve">Bu tablodan bana tek sayfalık haftalık özet hazırla: tahsil edilenler, gecikenler, bu hafta vadesi gelenler.</t>
  </si>
  <si>
    <t xml:space="preserve">Kayıt kontrolü</t>
  </si>
  <si>
    <t xml:space="preserve">Bu kayıtlarda eksik ya da tutarsız görünen satır var mı? Vadesi belge tarihinden önce olan, tutarı boş kalan ya da iki kez girilmiş gibi duranları göster.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</si>
</sst>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.00&quot; ₺&quot;"/>
    <numFmt numFmtId="167" formatCode="#,##0.00&quot; ₺&quot;;[RED]\-#,##0.00&quot; ₺&quot;;\-"/>
    <numFmt numFmtId="168" formatCode="0"/>
    <numFmt numFmtId="169" formatCode="#,##0"/>
    <numFmt numFmtId="170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B4231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F43"/>
        <bgColor rgb="FF008080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1F6F43"/>
      </font>
    </dxf>
    <dxf>
      <font>
        <name val="Arial"/>
        <charset val="1"/>
        <family val="0"/>
        <b val="1"/>
        <color rgb="FFB42318"/>
      </font>
    </dxf>
    <dxf>
      <fill>
        <patternFill>
          <bgColor rgb="FFFDE2E0"/>
        </patternFill>
      </fill>
    </dxf>
    <dxf>
      <font>
        <name val="Arial"/>
        <charset val="1"/>
        <family val="0"/>
        <b val="1"/>
        <color rgb="FFB42318"/>
        <sz val="12"/>
      </font>
    </dxf>
  </dxfs>
  <colors>
    <indexedColors>
      <rgbColor rgb="FF000000"/>
      <rgbColor rgb="FFFFFFFF"/>
      <rgbColor rgb="FFD92D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D9D9D9"/>
      <rgbColor rgb="FF878787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39966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Vadeye Göre Alacak ve Borç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Özet!C12</c:f>
              <c:strCache>
                <c:ptCount val="1"/>
                <c:pt idx="0">
                  <c:v>Alacak</c:v>
                </c:pt>
              </c:strCache>
            </c:strRef>
          </c:tx>
          <c:spPr>
            <a:solidFill>
              <a:srgbClr val="1f6f4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Özet!$B$13:$B$18</c:f>
              <c:strCache>
                <c:ptCount val="6"/>
                <c:pt idx="0">
                  <c:v>Vadesi gelmemiş</c:v>
                </c:pt>
                <c:pt idx="1">
                  <c:v>1-30 gün gecikmiş</c:v>
                </c:pt>
                <c:pt idx="2">
                  <c:v>31-60 gün gecikmiş</c:v>
                </c:pt>
                <c:pt idx="3">
                  <c:v>61-90 gün gecikmiş</c:v>
                </c:pt>
                <c:pt idx="4">
                  <c:v>90 günden fazla</c:v>
                </c:pt>
                <c:pt idx="5">
                  <c:v>Vadesiz</c:v>
                </c:pt>
              </c:strCache>
            </c:strRef>
          </c:cat>
          <c:val>
            <c:numRef>
              <c:f>Özet!$C$13:$C$18</c:f>
              <c:numCache>
                <c:formatCode>#,##0.00" ₺";[RED]\-#,##0.00" ₺";\-</c:formatCode>
                <c:ptCount val="6"/>
                <c:pt idx="0">
                  <c:v>19400</c:v>
                </c:pt>
                <c:pt idx="1">
                  <c:v>13500</c:v>
                </c:pt>
                <c:pt idx="2">
                  <c:v>0</c:v>
                </c:pt>
                <c:pt idx="3">
                  <c:v>0</c:v>
                </c:pt>
                <c:pt idx="4">
                  <c:v>4200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Özet!D12</c:f>
              <c:strCache>
                <c:ptCount val="1"/>
                <c:pt idx="0">
                  <c:v>Borç</c:v>
                </c:pt>
              </c:strCache>
            </c:strRef>
          </c:tx>
          <c:spPr>
            <a:solidFill>
              <a:srgbClr val="d92d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Özet!$B$13:$B$18</c:f>
              <c:strCache>
                <c:ptCount val="6"/>
                <c:pt idx="0">
                  <c:v>Vadesi gelmemiş</c:v>
                </c:pt>
                <c:pt idx="1">
                  <c:v>1-30 gün gecikmiş</c:v>
                </c:pt>
                <c:pt idx="2">
                  <c:v>31-60 gün gecikmiş</c:v>
                </c:pt>
                <c:pt idx="3">
                  <c:v>61-90 gün gecikmiş</c:v>
                </c:pt>
                <c:pt idx="4">
                  <c:v>90 günden fazla</c:v>
                </c:pt>
                <c:pt idx="5">
                  <c:v>Vadesiz</c:v>
                </c:pt>
              </c:strCache>
            </c:strRef>
          </c:cat>
          <c:val>
            <c:numRef>
              <c:f>Özet!$D$13:$D$18</c:f>
              <c:numCache>
                <c:formatCode>#,##0.00" ₺";[RED]\-#,##0.00" ₺";\-</c:formatCode>
                <c:ptCount val="6"/>
                <c:pt idx="0">
                  <c:v>24000</c:v>
                </c:pt>
                <c:pt idx="1">
                  <c:v>6500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37898916"/>
        <c:axId val="40424365"/>
      </c:barChart>
      <c:catAx>
        <c:axId val="37898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24365"/>
        <c:crosses val="autoZero"/>
        <c:auto val="1"/>
        <c:lblAlgn val="ctr"/>
        <c:lblOffset val="100"/>
        <c:noMultiLvlLbl val="0"/>
      </c:catAx>
      <c:valAx>
        <c:axId val="4042436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989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130680</xdr:rowOff>
    </xdr:from>
    <xdr:to>
      <xdr:col>5</xdr:col>
      <xdr:colOff>762480</xdr:colOff>
      <xdr:row>33</xdr:row>
      <xdr:rowOff>163440</xdr:rowOff>
    </xdr:to>
    <xdr:graphicFrame>
      <xdr:nvGraphicFramePr>
        <xdr:cNvPr id="0" name="Chart 1"/>
        <xdr:cNvGraphicFramePr/>
      </xdr:nvGraphicFramePr>
      <xdr:xfrm>
        <a:off x="211320" y="39718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0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30" hidden="false" customHeight="true" outlineLevel="0" collapsed="false">
      <c r="B7" s="5" t="s">
        <v>4</v>
      </c>
      <c r="C7" s="6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0" customFormat="false" ht="30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6" customFormat="false" ht="18" hidden="false" customHeight="true" outlineLevel="0" collapsed="false">
      <c r="B16" s="5" t="s">
        <v>19</v>
      </c>
      <c r="C16" s="6" t="s">
        <v>20</v>
      </c>
    </row>
    <row r="17" customFormat="false" ht="18" hidden="false" customHeight="true" outlineLevel="0" collapsed="false">
      <c r="B17" s="5" t="s">
        <v>21</v>
      </c>
      <c r="C17" s="6" t="s">
        <v>22</v>
      </c>
    </row>
    <row r="19" customFormat="false" ht="19.5" hidden="false" customHeight="true" outlineLevel="0" collapsed="false">
      <c r="B19" s="4" t="s">
        <v>23</v>
      </c>
      <c r="C19" s="4"/>
    </row>
    <row r="20" customFormat="false" ht="18" hidden="false" customHeight="true" outlineLevel="0" collapsed="false">
      <c r="B20" s="7" t="s">
        <v>24</v>
      </c>
      <c r="C20" s="6" t="s">
        <v>25</v>
      </c>
    </row>
    <row r="21" customFormat="false" ht="18" hidden="false" customHeight="true" outlineLevel="0" collapsed="false">
      <c r="B21" s="5" t="s">
        <v>26</v>
      </c>
      <c r="C21" s="6" t="s">
        <v>27</v>
      </c>
    </row>
    <row r="23" customFormat="false" ht="19.5" hidden="false" customHeight="true" outlineLevel="0" collapsed="false">
      <c r="B23" s="4" t="s">
        <v>28</v>
      </c>
      <c r="C23" s="4"/>
    </row>
    <row r="24" customFormat="false" ht="30" hidden="false" customHeight="true" outlineLevel="0" collapsed="false">
      <c r="B24" s="5" t="s">
        <v>29</v>
      </c>
      <c r="C24" s="6" t="s">
        <v>30</v>
      </c>
    </row>
    <row r="25" customFormat="false" ht="30" hidden="false" customHeight="true" outlineLevel="0" collapsed="false">
      <c r="B25" s="5" t="s">
        <v>31</v>
      </c>
      <c r="C25" s="6" t="s">
        <v>32</v>
      </c>
    </row>
    <row r="26" customFormat="false" ht="18" hidden="false" customHeight="true" outlineLevel="0" collapsed="false">
      <c r="B26" s="5" t="s">
        <v>33</v>
      </c>
      <c r="C26" s="6" t="s">
        <v>34</v>
      </c>
    </row>
    <row r="27" customFormat="false" ht="30" hidden="false" customHeight="true" outlineLevel="0" collapsed="false">
      <c r="B27" s="5" t="s">
        <v>35</v>
      </c>
      <c r="C27" s="6" t="s">
        <v>36</v>
      </c>
    </row>
  </sheetData>
  <mergeCells count="7">
    <mergeCell ref="B2:C2"/>
    <mergeCell ref="B3:C3"/>
    <mergeCell ref="B4:C4"/>
    <mergeCell ref="B6:C6"/>
    <mergeCell ref="B12:C12"/>
    <mergeCell ref="B19:C19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5" min="4" style="0" width="13"/>
    <col collapsed="false" customWidth="true" hidden="false" outlineLevel="0" max="8" min="6" style="0" width="15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28"/>
  </cols>
  <sheetData>
    <row r="1" customFormat="false" ht="19.7" hidden="false" customHeight="false" outlineLevel="0" collapsed="false">
      <c r="A1" s="8" t="s">
        <v>37</v>
      </c>
    </row>
    <row r="2" customFormat="false" ht="15" hidden="false" customHeight="false" outlineLevel="0" collapsed="false">
      <c r="A2" s="9" t="s">
        <v>38</v>
      </c>
    </row>
    <row r="4" customFormat="false" ht="24" hidden="false" customHeight="true" outlineLevel="0" collapsed="false">
      <c r="A4" s="10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</row>
    <row r="5" customFormat="false" ht="15" hidden="false" customHeight="false" outlineLevel="0" collapsed="false">
      <c r="A5" s="11" t="s">
        <v>50</v>
      </c>
      <c r="B5" s="12" t="s">
        <v>51</v>
      </c>
      <c r="C5" s="12" t="s">
        <v>52</v>
      </c>
      <c r="D5" s="13" t="n">
        <v>46254</v>
      </c>
      <c r="E5" s="13" t="n">
        <v>46285</v>
      </c>
      <c r="F5" s="14" t="n">
        <v>18500</v>
      </c>
      <c r="G5" s="14" t="n">
        <v>5000</v>
      </c>
      <c r="H5" s="15" t="n">
        <f aca="false">IF(F5="","",F5-G5)</f>
        <v>13500</v>
      </c>
      <c r="I5" s="16" t="str">
        <f aca="false">IF(F5="","",IF(H5&lt;=0,"Ödendi",IF(E5="","Vadesiz",IF(E5&lt;Özet!$C$3,"Gecikti",IF(E5&lt;=Özet!$C$3+7,"Bu hafta","Bekliyor")))))</f>
        <v>Gecikti</v>
      </c>
      <c r="J5" s="17" t="n">
        <f aca="false">IF(I5="Gecikti",Özet!$C$3-E5,"")</f>
        <v>14</v>
      </c>
      <c r="K5" s="12"/>
    </row>
    <row r="6" customFormat="false" ht="15" hidden="false" customHeight="false" outlineLevel="0" collapsed="false">
      <c r="A6" s="11" t="s">
        <v>50</v>
      </c>
      <c r="B6" s="12" t="s">
        <v>53</v>
      </c>
      <c r="C6" s="12" t="s">
        <v>54</v>
      </c>
      <c r="D6" s="13" t="n">
        <v>46275</v>
      </c>
      <c r="E6" s="13" t="n">
        <v>46303</v>
      </c>
      <c r="F6" s="14" t="n">
        <v>12000</v>
      </c>
      <c r="G6" s="14"/>
      <c r="H6" s="15" t="n">
        <f aca="false">IF(F6="","",F6-G6)</f>
        <v>12000</v>
      </c>
      <c r="I6" s="16" t="str">
        <f aca="false">IF(F6="","",IF(H6&lt;=0,"Ödendi",IF(E6="","Vadesiz",IF(E6&lt;Özet!$C$3,"Gecikti",IF(E6&lt;=Özet!$C$3+7,"Bu hafta","Bekliyor")))))</f>
        <v>Bu hafta</v>
      </c>
      <c r="J6" s="17" t="str">
        <f aca="false">IF(I6="Gecikti",Özet!$C$3-E6,"")</f>
        <v/>
      </c>
      <c r="K6" s="12"/>
    </row>
    <row r="7" customFormat="false" ht="15" hidden="false" customHeight="false" outlineLevel="0" collapsed="false">
      <c r="A7" s="11" t="s">
        <v>50</v>
      </c>
      <c r="B7" s="12" t="s">
        <v>55</v>
      </c>
      <c r="C7" s="12" t="s">
        <v>56</v>
      </c>
      <c r="D7" s="13" t="n">
        <v>46290</v>
      </c>
      <c r="E7" s="13" t="n">
        <v>46341</v>
      </c>
      <c r="F7" s="14" t="n">
        <v>7400</v>
      </c>
      <c r="G7" s="14"/>
      <c r="H7" s="15" t="n">
        <f aca="false">IF(F7="","",F7-G7)</f>
        <v>7400</v>
      </c>
      <c r="I7" s="16" t="str">
        <f aca="false">IF(F7="","",IF(H7&lt;=0,"Ödendi",IF(E7="","Vadesiz",IF(E7&lt;Özet!$C$3,"Gecikti",IF(E7&lt;=Özet!$C$3+7,"Bu hafta","Bekliyor")))))</f>
        <v>Bekliyor</v>
      </c>
      <c r="J7" s="17" t="str">
        <f aca="false">IF(I7="Gecikti",Özet!$C$3-E7,"")</f>
        <v/>
      </c>
      <c r="K7" s="12"/>
    </row>
    <row r="8" customFormat="false" ht="15" hidden="false" customHeight="false" outlineLevel="0" collapsed="false">
      <c r="A8" s="11" t="s">
        <v>50</v>
      </c>
      <c r="B8" s="12" t="s">
        <v>51</v>
      </c>
      <c r="C8" s="12" t="s">
        <v>57</v>
      </c>
      <c r="D8" s="13" t="n">
        <v>46188</v>
      </c>
      <c r="E8" s="13" t="n">
        <v>46218</v>
      </c>
      <c r="F8" s="14" t="n">
        <v>9000</v>
      </c>
      <c r="G8" s="14" t="n">
        <v>9000</v>
      </c>
      <c r="H8" s="15" t="n">
        <f aca="false">IF(F8="","",F8-G8)</f>
        <v>0</v>
      </c>
      <c r="I8" s="16" t="str">
        <f aca="false">IF(F8="","",IF(H8&lt;=0,"Ödendi",IF(E8="","Vadesiz",IF(E8&lt;Özet!$C$3,"Gecikti",IF(E8&lt;=Özet!$C$3+7,"Bu hafta","Bekliyor")))))</f>
        <v>Ödendi</v>
      </c>
      <c r="J8" s="17" t="str">
        <f aca="false">IF(I8="Gecikti",Özet!$C$3-E8,"")</f>
        <v/>
      </c>
      <c r="K8" s="12"/>
    </row>
    <row r="9" customFormat="false" ht="15" hidden="false" customHeight="false" outlineLevel="0" collapsed="false">
      <c r="A9" s="11" t="s">
        <v>50</v>
      </c>
      <c r="B9" s="12" t="s">
        <v>53</v>
      </c>
      <c r="C9" s="12" t="s">
        <v>58</v>
      </c>
      <c r="D9" s="13" t="n">
        <v>46174</v>
      </c>
      <c r="E9" s="13" t="n">
        <v>46203</v>
      </c>
      <c r="F9" s="14" t="n">
        <v>4200</v>
      </c>
      <c r="G9" s="14"/>
      <c r="H9" s="15" t="n">
        <f aca="false">IF(F9="","",F9-G9)</f>
        <v>4200</v>
      </c>
      <c r="I9" s="16" t="str">
        <f aca="false">IF(F9="","",IF(H9&lt;=0,"Ödendi",IF(E9="","Vadesiz",IF(E9&lt;Özet!$C$3,"Gecikti",IF(E9&lt;=Özet!$C$3+7,"Bu hafta","Bekliyor")))))</f>
        <v>Gecikti</v>
      </c>
      <c r="J9" s="17" t="n">
        <f aca="false">IF(I9="Gecikti",Özet!$C$3-E9,"")</f>
        <v>96</v>
      </c>
      <c r="K9" s="12"/>
    </row>
    <row r="10" customFormat="false" ht="15" hidden="false" customHeight="false" outlineLevel="0" collapsed="false">
      <c r="A10" s="11" t="s">
        <v>59</v>
      </c>
      <c r="B10" s="12" t="s">
        <v>60</v>
      </c>
      <c r="C10" s="12" t="s">
        <v>61</v>
      </c>
      <c r="D10" s="13" t="n">
        <v>46280</v>
      </c>
      <c r="E10" s="13" t="n">
        <v>46305</v>
      </c>
      <c r="F10" s="14" t="n">
        <v>22000</v>
      </c>
      <c r="G10" s="14" t="n">
        <v>10000</v>
      </c>
      <c r="H10" s="15" t="n">
        <f aca="false">IF(F10="","",F10-G10)</f>
        <v>12000</v>
      </c>
      <c r="I10" s="16" t="str">
        <f aca="false">IF(F10="","",IF(H10&lt;=0,"Ödendi",IF(E10="","Vadesiz",IF(E10&lt;Özet!$C$3,"Gecikti",IF(E10&lt;=Özet!$C$3+7,"Bu hafta","Bekliyor")))))</f>
        <v>Bu hafta</v>
      </c>
      <c r="J10" s="17" t="str">
        <f aca="false">IF(I10="Gecikti",Özet!$C$3-E10,"")</f>
        <v/>
      </c>
      <c r="K10" s="12"/>
    </row>
    <row r="11" customFormat="false" ht="15" hidden="false" customHeight="false" outlineLevel="0" collapsed="false">
      <c r="A11" s="11" t="s">
        <v>59</v>
      </c>
      <c r="B11" s="12" t="s">
        <v>60</v>
      </c>
      <c r="C11" s="12" t="s">
        <v>62</v>
      </c>
      <c r="D11" s="13" t="n">
        <v>46244</v>
      </c>
      <c r="E11" s="13" t="n">
        <v>46293</v>
      </c>
      <c r="F11" s="14" t="n">
        <v>6500</v>
      </c>
      <c r="G11" s="14"/>
      <c r="H11" s="15" t="n">
        <f aca="false">IF(F11="","",F11-G11)</f>
        <v>6500</v>
      </c>
      <c r="I11" s="16" t="str">
        <f aca="false">IF(F11="","",IF(H11&lt;=0,"Ödendi",IF(E11="","Vadesiz",IF(E11&lt;Özet!$C$3,"Gecikti",IF(E11&lt;=Özet!$C$3+7,"Bu hafta","Bekliyor")))))</f>
        <v>Gecikti</v>
      </c>
      <c r="J11" s="17" t="n">
        <f aca="false">IF(I11="Gecikti",Özet!$C$3-E11,"")</f>
        <v>6</v>
      </c>
      <c r="K11" s="12"/>
    </row>
    <row r="12" customFormat="false" ht="15" hidden="false" customHeight="false" outlineLevel="0" collapsed="false">
      <c r="A12" s="11" t="s">
        <v>59</v>
      </c>
      <c r="B12" s="12" t="s">
        <v>63</v>
      </c>
      <c r="C12" s="12" t="s">
        <v>64</v>
      </c>
      <c r="D12" s="13" t="n">
        <v>46296</v>
      </c>
      <c r="E12" s="13" t="n">
        <v>46327</v>
      </c>
      <c r="F12" s="14" t="n">
        <v>12000</v>
      </c>
      <c r="G12" s="14"/>
      <c r="H12" s="15" t="n">
        <f aca="false">IF(F12="","",F12-G12)</f>
        <v>12000</v>
      </c>
      <c r="I12" s="16" t="str">
        <f aca="false">IF(F12="","",IF(H12&lt;=0,"Ödendi",IF(E12="","Vadesiz",IF(E12&lt;Özet!$C$3,"Gecikti",IF(E12&lt;=Özet!$C$3+7,"Bu hafta","Bekliyor")))))</f>
        <v>Bekliyor</v>
      </c>
      <c r="J12" s="17" t="str">
        <f aca="false">IF(I12="Gecikti",Özet!$C$3-E12,"")</f>
        <v/>
      </c>
      <c r="K12" s="12"/>
    </row>
    <row r="13" customFormat="false" ht="15" hidden="false" customHeight="false" outlineLevel="0" collapsed="false">
      <c r="A13" s="11"/>
      <c r="B13" s="12"/>
      <c r="C13" s="12"/>
      <c r="D13" s="13"/>
      <c r="E13" s="13"/>
      <c r="F13" s="14"/>
      <c r="G13" s="14"/>
      <c r="H13" s="15" t="str">
        <f aca="false">IF(F13="","",F13-G13)</f>
        <v/>
      </c>
      <c r="I13" s="16" t="str">
        <f aca="false">IF(F13="","",IF(H13&lt;=0,"Ödendi",IF(E13="","Vadesiz",IF(E13&lt;Özet!$C$3,"Gecikti",IF(E13&lt;=Özet!$C$3+7,"Bu hafta","Bekliyor")))))</f>
        <v/>
      </c>
      <c r="J13" s="17" t="str">
        <f aca="false">IF(I13="Gecikti",Özet!$C$3-E13,"")</f>
        <v/>
      </c>
      <c r="K13" s="12"/>
    </row>
    <row r="14" customFormat="false" ht="15" hidden="false" customHeight="false" outlineLevel="0" collapsed="false">
      <c r="A14" s="11"/>
      <c r="B14" s="12"/>
      <c r="C14" s="12"/>
      <c r="D14" s="13"/>
      <c r="E14" s="13"/>
      <c r="F14" s="14"/>
      <c r="G14" s="14"/>
      <c r="H14" s="15" t="str">
        <f aca="false">IF(F14="","",F14-G14)</f>
        <v/>
      </c>
      <c r="I14" s="16" t="str">
        <f aca="false">IF(F14="","",IF(H14&lt;=0,"Ödendi",IF(E14="","Vadesiz",IF(E14&lt;Özet!$C$3,"Gecikti",IF(E14&lt;=Özet!$C$3+7,"Bu hafta","Bekliyor")))))</f>
        <v/>
      </c>
      <c r="J14" s="17" t="str">
        <f aca="false">IF(I14="Gecikti",Özet!$C$3-E14,"")</f>
        <v/>
      </c>
      <c r="K14" s="12"/>
    </row>
    <row r="15" customFormat="false" ht="15" hidden="false" customHeight="false" outlineLevel="0" collapsed="false">
      <c r="A15" s="11"/>
      <c r="B15" s="12"/>
      <c r="C15" s="12"/>
      <c r="D15" s="13"/>
      <c r="E15" s="13"/>
      <c r="F15" s="14"/>
      <c r="G15" s="14"/>
      <c r="H15" s="15" t="str">
        <f aca="false">IF(F15="","",F15-G15)</f>
        <v/>
      </c>
      <c r="I15" s="16" t="str">
        <f aca="false">IF(F15="","",IF(H15&lt;=0,"Ödendi",IF(E15="","Vadesiz",IF(E15&lt;Özet!$C$3,"Gecikti",IF(E15&lt;=Özet!$C$3+7,"Bu hafta","Bekliyor")))))</f>
        <v/>
      </c>
      <c r="J15" s="17" t="str">
        <f aca="false">IF(I15="Gecikti",Özet!$C$3-E15,"")</f>
        <v/>
      </c>
      <c r="K15" s="12"/>
    </row>
    <row r="16" customFormat="false" ht="15" hidden="false" customHeight="false" outlineLevel="0" collapsed="false">
      <c r="A16" s="11"/>
      <c r="B16" s="12"/>
      <c r="C16" s="12"/>
      <c r="D16" s="13"/>
      <c r="E16" s="13"/>
      <c r="F16" s="14"/>
      <c r="G16" s="14"/>
      <c r="H16" s="15" t="str">
        <f aca="false">IF(F16="","",F16-G16)</f>
        <v/>
      </c>
      <c r="I16" s="16" t="str">
        <f aca="false">IF(F16="","",IF(H16&lt;=0,"Ödendi",IF(E16="","Vadesiz",IF(E16&lt;Özet!$C$3,"Gecikti",IF(E16&lt;=Özet!$C$3+7,"Bu hafta","Bekliyor")))))</f>
        <v/>
      </c>
      <c r="J16" s="17" t="str">
        <f aca="false">IF(I16="Gecikti",Özet!$C$3-E16,"")</f>
        <v/>
      </c>
      <c r="K16" s="12"/>
    </row>
    <row r="17" customFormat="false" ht="15" hidden="false" customHeight="false" outlineLevel="0" collapsed="false">
      <c r="A17" s="11"/>
      <c r="B17" s="12"/>
      <c r="C17" s="12"/>
      <c r="D17" s="13"/>
      <c r="E17" s="13"/>
      <c r="F17" s="14"/>
      <c r="G17" s="14"/>
      <c r="H17" s="15" t="str">
        <f aca="false">IF(F17="","",F17-G17)</f>
        <v/>
      </c>
      <c r="I17" s="16" t="str">
        <f aca="false">IF(F17="","",IF(H17&lt;=0,"Ödendi",IF(E17="","Vadesiz",IF(E17&lt;Özet!$C$3,"Gecikti",IF(E17&lt;=Özet!$C$3+7,"Bu hafta","Bekliyor")))))</f>
        <v/>
      </c>
      <c r="J17" s="17" t="str">
        <f aca="false">IF(I17="Gecikti",Özet!$C$3-E17,"")</f>
        <v/>
      </c>
      <c r="K17" s="12"/>
    </row>
    <row r="18" customFormat="false" ht="15" hidden="false" customHeight="false" outlineLevel="0" collapsed="false">
      <c r="A18" s="11"/>
      <c r="B18" s="12"/>
      <c r="C18" s="12"/>
      <c r="D18" s="13"/>
      <c r="E18" s="13"/>
      <c r="F18" s="14"/>
      <c r="G18" s="14"/>
      <c r="H18" s="15" t="str">
        <f aca="false">IF(F18="","",F18-G18)</f>
        <v/>
      </c>
      <c r="I18" s="16" t="str">
        <f aca="false">IF(F18="","",IF(H18&lt;=0,"Ödendi",IF(E18="","Vadesiz",IF(E18&lt;Özet!$C$3,"Gecikti",IF(E18&lt;=Özet!$C$3+7,"Bu hafta","Bekliyor")))))</f>
        <v/>
      </c>
      <c r="J18" s="17" t="str">
        <f aca="false">IF(I18="Gecikti",Özet!$C$3-E18,"")</f>
        <v/>
      </c>
      <c r="K18" s="12"/>
    </row>
    <row r="19" customFormat="false" ht="15" hidden="false" customHeight="false" outlineLevel="0" collapsed="false">
      <c r="A19" s="11"/>
      <c r="B19" s="12"/>
      <c r="C19" s="12"/>
      <c r="D19" s="13"/>
      <c r="E19" s="13"/>
      <c r="F19" s="14"/>
      <c r="G19" s="14"/>
      <c r="H19" s="15" t="str">
        <f aca="false">IF(F19="","",F19-G19)</f>
        <v/>
      </c>
      <c r="I19" s="16" t="str">
        <f aca="false">IF(F19="","",IF(H19&lt;=0,"Ödendi",IF(E19="","Vadesiz",IF(E19&lt;Özet!$C$3,"Gecikti",IF(E19&lt;=Özet!$C$3+7,"Bu hafta","Bekliyor")))))</f>
        <v/>
      </c>
      <c r="J19" s="17" t="str">
        <f aca="false">IF(I19="Gecikti",Özet!$C$3-E19,"")</f>
        <v/>
      </c>
      <c r="K19" s="12"/>
    </row>
    <row r="20" customFormat="false" ht="15" hidden="false" customHeight="false" outlineLevel="0" collapsed="false">
      <c r="A20" s="11"/>
      <c r="B20" s="12"/>
      <c r="C20" s="12"/>
      <c r="D20" s="13"/>
      <c r="E20" s="13"/>
      <c r="F20" s="14"/>
      <c r="G20" s="14"/>
      <c r="H20" s="15" t="str">
        <f aca="false">IF(F20="","",F20-G20)</f>
        <v/>
      </c>
      <c r="I20" s="16" t="str">
        <f aca="false">IF(F20="","",IF(H20&lt;=0,"Ödendi",IF(E20="","Vadesiz",IF(E20&lt;Özet!$C$3,"Gecikti",IF(E20&lt;=Özet!$C$3+7,"Bu hafta","Bekliyor")))))</f>
        <v/>
      </c>
      <c r="J20" s="17" t="str">
        <f aca="false">IF(I20="Gecikti",Özet!$C$3-E20,"")</f>
        <v/>
      </c>
      <c r="K20" s="12"/>
    </row>
    <row r="21" customFormat="false" ht="15" hidden="false" customHeight="false" outlineLevel="0" collapsed="false">
      <c r="A21" s="11"/>
      <c r="B21" s="12"/>
      <c r="C21" s="12"/>
      <c r="D21" s="13"/>
      <c r="E21" s="13"/>
      <c r="F21" s="14"/>
      <c r="G21" s="14"/>
      <c r="H21" s="15" t="str">
        <f aca="false">IF(F21="","",F21-G21)</f>
        <v/>
      </c>
      <c r="I21" s="16" t="str">
        <f aca="false">IF(F21="","",IF(H21&lt;=0,"Ödendi",IF(E21="","Vadesiz",IF(E21&lt;Özet!$C$3,"Gecikti",IF(E21&lt;=Özet!$C$3+7,"Bu hafta","Bekliyor")))))</f>
        <v/>
      </c>
      <c r="J21" s="17" t="str">
        <f aca="false">IF(I21="Gecikti",Özet!$C$3-E21,"")</f>
        <v/>
      </c>
      <c r="K21" s="12"/>
    </row>
    <row r="22" customFormat="false" ht="15" hidden="false" customHeight="false" outlineLevel="0" collapsed="false">
      <c r="A22" s="11"/>
      <c r="B22" s="12"/>
      <c r="C22" s="12"/>
      <c r="D22" s="13"/>
      <c r="E22" s="13"/>
      <c r="F22" s="14"/>
      <c r="G22" s="14"/>
      <c r="H22" s="15" t="str">
        <f aca="false">IF(F22="","",F22-G22)</f>
        <v/>
      </c>
      <c r="I22" s="16" t="str">
        <f aca="false">IF(F22="","",IF(H22&lt;=0,"Ödendi",IF(E22="","Vadesiz",IF(E22&lt;Özet!$C$3,"Gecikti",IF(E22&lt;=Özet!$C$3+7,"Bu hafta","Bekliyor")))))</f>
        <v/>
      </c>
      <c r="J22" s="17" t="str">
        <f aca="false">IF(I22="Gecikti",Özet!$C$3-E22,"")</f>
        <v/>
      </c>
      <c r="K22" s="12"/>
    </row>
    <row r="23" customFormat="false" ht="15" hidden="false" customHeight="false" outlineLevel="0" collapsed="false">
      <c r="A23" s="11"/>
      <c r="B23" s="12"/>
      <c r="C23" s="12"/>
      <c r="D23" s="13"/>
      <c r="E23" s="13"/>
      <c r="F23" s="14"/>
      <c r="G23" s="14"/>
      <c r="H23" s="15" t="str">
        <f aca="false">IF(F23="","",F23-G23)</f>
        <v/>
      </c>
      <c r="I23" s="16" t="str">
        <f aca="false">IF(F23="","",IF(H23&lt;=0,"Ödendi",IF(E23="","Vadesiz",IF(E23&lt;Özet!$C$3,"Gecikti",IF(E23&lt;=Özet!$C$3+7,"Bu hafta","Bekliyor")))))</f>
        <v/>
      </c>
      <c r="J23" s="17" t="str">
        <f aca="false">IF(I23="Gecikti",Özet!$C$3-E23,"")</f>
        <v/>
      </c>
      <c r="K23" s="12"/>
    </row>
    <row r="24" customFormat="false" ht="15" hidden="false" customHeight="false" outlineLevel="0" collapsed="false">
      <c r="A24" s="11"/>
      <c r="B24" s="12"/>
      <c r="C24" s="12"/>
      <c r="D24" s="13"/>
      <c r="E24" s="13"/>
      <c r="F24" s="14"/>
      <c r="G24" s="14"/>
      <c r="H24" s="15" t="str">
        <f aca="false">IF(F24="","",F24-G24)</f>
        <v/>
      </c>
      <c r="I24" s="16" t="str">
        <f aca="false">IF(F24="","",IF(H24&lt;=0,"Ödendi",IF(E24="","Vadesiz",IF(E24&lt;Özet!$C$3,"Gecikti",IF(E24&lt;=Özet!$C$3+7,"Bu hafta","Bekliyor")))))</f>
        <v/>
      </c>
      <c r="J24" s="17" t="str">
        <f aca="false">IF(I24="Gecikti",Özet!$C$3-E24,"")</f>
        <v/>
      </c>
      <c r="K24" s="12"/>
    </row>
    <row r="25" customFormat="false" ht="15" hidden="false" customHeight="false" outlineLevel="0" collapsed="false">
      <c r="A25" s="11"/>
      <c r="B25" s="12"/>
      <c r="C25" s="12"/>
      <c r="D25" s="13"/>
      <c r="E25" s="13"/>
      <c r="F25" s="14"/>
      <c r="G25" s="14"/>
      <c r="H25" s="15" t="str">
        <f aca="false">IF(F25="","",F25-G25)</f>
        <v/>
      </c>
      <c r="I25" s="16" t="str">
        <f aca="false">IF(F25="","",IF(H25&lt;=0,"Ödendi",IF(E25="","Vadesiz",IF(E25&lt;Özet!$C$3,"Gecikti",IF(E25&lt;=Özet!$C$3+7,"Bu hafta","Bekliyor")))))</f>
        <v/>
      </c>
      <c r="J25" s="17" t="str">
        <f aca="false">IF(I25="Gecikti",Özet!$C$3-E25,"")</f>
        <v/>
      </c>
      <c r="K25" s="12"/>
    </row>
    <row r="26" customFormat="false" ht="15" hidden="false" customHeight="false" outlineLevel="0" collapsed="false">
      <c r="A26" s="11"/>
      <c r="B26" s="12"/>
      <c r="C26" s="12"/>
      <c r="D26" s="13"/>
      <c r="E26" s="13"/>
      <c r="F26" s="14"/>
      <c r="G26" s="14"/>
      <c r="H26" s="15" t="str">
        <f aca="false">IF(F26="","",F26-G26)</f>
        <v/>
      </c>
      <c r="I26" s="16" t="str">
        <f aca="false">IF(F26="","",IF(H26&lt;=0,"Ödendi",IF(E26="","Vadesiz",IF(E26&lt;Özet!$C$3,"Gecikti",IF(E26&lt;=Özet!$C$3+7,"Bu hafta","Bekliyor")))))</f>
        <v/>
      </c>
      <c r="J26" s="17" t="str">
        <f aca="false">IF(I26="Gecikti",Özet!$C$3-E26,"")</f>
        <v/>
      </c>
      <c r="K26" s="12"/>
    </row>
    <row r="27" customFormat="false" ht="15" hidden="false" customHeight="false" outlineLevel="0" collapsed="false">
      <c r="A27" s="11"/>
      <c r="B27" s="12"/>
      <c r="C27" s="12"/>
      <c r="D27" s="13"/>
      <c r="E27" s="13"/>
      <c r="F27" s="14"/>
      <c r="G27" s="14"/>
      <c r="H27" s="15" t="str">
        <f aca="false">IF(F27="","",F27-G27)</f>
        <v/>
      </c>
      <c r="I27" s="16" t="str">
        <f aca="false">IF(F27="","",IF(H27&lt;=0,"Ödendi",IF(E27="","Vadesiz",IF(E27&lt;Özet!$C$3,"Gecikti",IF(E27&lt;=Özet!$C$3+7,"Bu hafta","Bekliyor")))))</f>
        <v/>
      </c>
      <c r="J27" s="17" t="str">
        <f aca="false">IF(I27="Gecikti",Özet!$C$3-E27,"")</f>
        <v/>
      </c>
      <c r="K27" s="12"/>
    </row>
    <row r="28" customFormat="false" ht="15" hidden="false" customHeight="false" outlineLevel="0" collapsed="false">
      <c r="A28" s="11"/>
      <c r="B28" s="12"/>
      <c r="C28" s="12"/>
      <c r="D28" s="13"/>
      <c r="E28" s="13"/>
      <c r="F28" s="14"/>
      <c r="G28" s="14"/>
      <c r="H28" s="15" t="str">
        <f aca="false">IF(F28="","",F28-G28)</f>
        <v/>
      </c>
      <c r="I28" s="16" t="str">
        <f aca="false">IF(F28="","",IF(H28&lt;=0,"Ödendi",IF(E28="","Vadesiz",IF(E28&lt;Özet!$C$3,"Gecikti",IF(E28&lt;=Özet!$C$3+7,"Bu hafta","Bekliyor")))))</f>
        <v/>
      </c>
      <c r="J28" s="17" t="str">
        <f aca="false">IF(I28="Gecikti",Özet!$C$3-E28,"")</f>
        <v/>
      </c>
      <c r="K28" s="12"/>
    </row>
    <row r="29" customFormat="false" ht="15" hidden="false" customHeight="false" outlineLevel="0" collapsed="false">
      <c r="A29" s="11"/>
      <c r="B29" s="12"/>
      <c r="C29" s="12"/>
      <c r="D29" s="13"/>
      <c r="E29" s="13"/>
      <c r="F29" s="14"/>
      <c r="G29" s="14"/>
      <c r="H29" s="15" t="str">
        <f aca="false">IF(F29="","",F29-G29)</f>
        <v/>
      </c>
      <c r="I29" s="16" t="str">
        <f aca="false">IF(F29="","",IF(H29&lt;=0,"Ödendi",IF(E29="","Vadesiz",IF(E29&lt;Özet!$C$3,"Gecikti",IF(E29&lt;=Özet!$C$3+7,"Bu hafta","Bekliyor")))))</f>
        <v/>
      </c>
      <c r="J29" s="17" t="str">
        <f aca="false">IF(I29="Gecikti",Özet!$C$3-E29,"")</f>
        <v/>
      </c>
      <c r="K29" s="12"/>
    </row>
    <row r="30" customFormat="false" ht="15" hidden="false" customHeight="false" outlineLevel="0" collapsed="false">
      <c r="A30" s="11"/>
      <c r="B30" s="12"/>
      <c r="C30" s="12"/>
      <c r="D30" s="13"/>
      <c r="E30" s="13"/>
      <c r="F30" s="14"/>
      <c r="G30" s="14"/>
      <c r="H30" s="15" t="str">
        <f aca="false">IF(F30="","",F30-G30)</f>
        <v/>
      </c>
      <c r="I30" s="16" t="str">
        <f aca="false">IF(F30="","",IF(H30&lt;=0,"Ödendi",IF(E30="","Vadesiz",IF(E30&lt;Özet!$C$3,"Gecikti",IF(E30&lt;=Özet!$C$3+7,"Bu hafta","Bekliyor")))))</f>
        <v/>
      </c>
      <c r="J30" s="17" t="str">
        <f aca="false">IF(I30="Gecikti",Özet!$C$3-E30,"")</f>
        <v/>
      </c>
      <c r="K30" s="12"/>
    </row>
    <row r="31" customFormat="false" ht="15" hidden="false" customHeight="false" outlineLevel="0" collapsed="false">
      <c r="A31" s="11"/>
      <c r="B31" s="12"/>
      <c r="C31" s="12"/>
      <c r="D31" s="13"/>
      <c r="E31" s="13"/>
      <c r="F31" s="14"/>
      <c r="G31" s="14"/>
      <c r="H31" s="15" t="str">
        <f aca="false">IF(F31="","",F31-G31)</f>
        <v/>
      </c>
      <c r="I31" s="16" t="str">
        <f aca="false">IF(F31="","",IF(H31&lt;=0,"Ödendi",IF(E31="","Vadesiz",IF(E31&lt;Özet!$C$3,"Gecikti",IF(E31&lt;=Özet!$C$3+7,"Bu hafta","Bekliyor")))))</f>
        <v/>
      </c>
      <c r="J31" s="17" t="str">
        <f aca="false">IF(I31="Gecikti",Özet!$C$3-E31,"")</f>
        <v/>
      </c>
      <c r="K31" s="12"/>
    </row>
    <row r="32" customFormat="false" ht="15" hidden="false" customHeight="false" outlineLevel="0" collapsed="false">
      <c r="A32" s="11"/>
      <c r="B32" s="12"/>
      <c r="C32" s="12"/>
      <c r="D32" s="13"/>
      <c r="E32" s="13"/>
      <c r="F32" s="14"/>
      <c r="G32" s="14"/>
      <c r="H32" s="15" t="str">
        <f aca="false">IF(F32="","",F32-G32)</f>
        <v/>
      </c>
      <c r="I32" s="16" t="str">
        <f aca="false">IF(F32="","",IF(H32&lt;=0,"Ödendi",IF(E32="","Vadesiz",IF(E32&lt;Özet!$C$3,"Gecikti",IF(E32&lt;=Özet!$C$3+7,"Bu hafta","Bekliyor")))))</f>
        <v/>
      </c>
      <c r="J32" s="17" t="str">
        <f aca="false">IF(I32="Gecikti",Özet!$C$3-E32,"")</f>
        <v/>
      </c>
      <c r="K32" s="12"/>
    </row>
    <row r="33" customFormat="false" ht="15" hidden="false" customHeight="false" outlineLevel="0" collapsed="false">
      <c r="A33" s="11"/>
      <c r="B33" s="12"/>
      <c r="C33" s="12"/>
      <c r="D33" s="13"/>
      <c r="E33" s="13"/>
      <c r="F33" s="14"/>
      <c r="G33" s="14"/>
      <c r="H33" s="15" t="str">
        <f aca="false">IF(F33="","",F33-G33)</f>
        <v/>
      </c>
      <c r="I33" s="16" t="str">
        <f aca="false">IF(F33="","",IF(H33&lt;=0,"Ödendi",IF(E33="","Vadesiz",IF(E33&lt;Özet!$C$3,"Gecikti",IF(E33&lt;=Özet!$C$3+7,"Bu hafta","Bekliyor")))))</f>
        <v/>
      </c>
      <c r="J33" s="17" t="str">
        <f aca="false">IF(I33="Gecikti",Özet!$C$3-E33,"")</f>
        <v/>
      </c>
      <c r="K33" s="12"/>
    </row>
    <row r="34" customFormat="false" ht="15" hidden="false" customHeight="false" outlineLevel="0" collapsed="false">
      <c r="A34" s="11"/>
      <c r="B34" s="12"/>
      <c r="C34" s="12"/>
      <c r="D34" s="13"/>
      <c r="E34" s="13"/>
      <c r="F34" s="14"/>
      <c r="G34" s="14"/>
      <c r="H34" s="15" t="str">
        <f aca="false">IF(F34="","",F34-G34)</f>
        <v/>
      </c>
      <c r="I34" s="16" t="str">
        <f aca="false">IF(F34="","",IF(H34&lt;=0,"Ödendi",IF(E34="","Vadesiz",IF(E34&lt;Özet!$C$3,"Gecikti",IF(E34&lt;=Özet!$C$3+7,"Bu hafta","Bekliyor")))))</f>
        <v/>
      </c>
      <c r="J34" s="17" t="str">
        <f aca="false">IF(I34="Gecikti",Özet!$C$3-E34,"")</f>
        <v/>
      </c>
      <c r="K34" s="12"/>
    </row>
    <row r="35" customFormat="false" ht="15" hidden="false" customHeight="false" outlineLevel="0" collapsed="false">
      <c r="A35" s="11"/>
      <c r="B35" s="12"/>
      <c r="C35" s="12"/>
      <c r="D35" s="13"/>
      <c r="E35" s="13"/>
      <c r="F35" s="14"/>
      <c r="G35" s="14"/>
      <c r="H35" s="15" t="str">
        <f aca="false">IF(F35="","",F35-G35)</f>
        <v/>
      </c>
      <c r="I35" s="16" t="str">
        <f aca="false">IF(F35="","",IF(H35&lt;=0,"Ödendi",IF(E35="","Vadesiz",IF(E35&lt;Özet!$C$3,"Gecikti",IF(E35&lt;=Özet!$C$3+7,"Bu hafta","Bekliyor")))))</f>
        <v/>
      </c>
      <c r="J35" s="17" t="str">
        <f aca="false">IF(I35="Gecikti",Özet!$C$3-E35,"")</f>
        <v/>
      </c>
      <c r="K35" s="12"/>
    </row>
    <row r="36" customFormat="false" ht="15" hidden="false" customHeight="false" outlineLevel="0" collapsed="false">
      <c r="A36" s="11"/>
      <c r="B36" s="12"/>
      <c r="C36" s="12"/>
      <c r="D36" s="13"/>
      <c r="E36" s="13"/>
      <c r="F36" s="14"/>
      <c r="G36" s="14"/>
      <c r="H36" s="15" t="str">
        <f aca="false">IF(F36="","",F36-G36)</f>
        <v/>
      </c>
      <c r="I36" s="16" t="str">
        <f aca="false">IF(F36="","",IF(H36&lt;=0,"Ödendi",IF(E36="","Vadesiz",IF(E36&lt;Özet!$C$3,"Gecikti",IF(E36&lt;=Özet!$C$3+7,"Bu hafta","Bekliyor")))))</f>
        <v/>
      </c>
      <c r="J36" s="17" t="str">
        <f aca="false">IF(I36="Gecikti",Özet!$C$3-E36,"")</f>
        <v/>
      </c>
      <c r="K36" s="12"/>
    </row>
    <row r="37" customFormat="false" ht="15" hidden="false" customHeight="false" outlineLevel="0" collapsed="false">
      <c r="A37" s="11"/>
      <c r="B37" s="12"/>
      <c r="C37" s="12"/>
      <c r="D37" s="13"/>
      <c r="E37" s="13"/>
      <c r="F37" s="14"/>
      <c r="G37" s="14"/>
      <c r="H37" s="15" t="str">
        <f aca="false">IF(F37="","",F37-G37)</f>
        <v/>
      </c>
      <c r="I37" s="16" t="str">
        <f aca="false">IF(F37="","",IF(H37&lt;=0,"Ödendi",IF(E37="","Vadesiz",IF(E37&lt;Özet!$C$3,"Gecikti",IF(E37&lt;=Özet!$C$3+7,"Bu hafta","Bekliyor")))))</f>
        <v/>
      </c>
      <c r="J37" s="17" t="str">
        <f aca="false">IF(I37="Gecikti",Özet!$C$3-E37,"")</f>
        <v/>
      </c>
      <c r="K37" s="12"/>
    </row>
    <row r="38" customFormat="false" ht="15" hidden="false" customHeight="false" outlineLevel="0" collapsed="false">
      <c r="A38" s="11"/>
      <c r="B38" s="12"/>
      <c r="C38" s="12"/>
      <c r="D38" s="13"/>
      <c r="E38" s="13"/>
      <c r="F38" s="14"/>
      <c r="G38" s="14"/>
      <c r="H38" s="15" t="str">
        <f aca="false">IF(F38="","",F38-G38)</f>
        <v/>
      </c>
      <c r="I38" s="16" t="str">
        <f aca="false">IF(F38="","",IF(H38&lt;=0,"Ödendi",IF(E38="","Vadesiz",IF(E38&lt;Özet!$C$3,"Gecikti",IF(E38&lt;=Özet!$C$3+7,"Bu hafta","Bekliyor")))))</f>
        <v/>
      </c>
      <c r="J38" s="17" t="str">
        <f aca="false">IF(I38="Gecikti",Özet!$C$3-E38,"")</f>
        <v/>
      </c>
      <c r="K38" s="12"/>
    </row>
    <row r="39" customFormat="false" ht="15" hidden="false" customHeight="false" outlineLevel="0" collapsed="false">
      <c r="A39" s="11"/>
      <c r="B39" s="12"/>
      <c r="C39" s="12"/>
      <c r="D39" s="13"/>
      <c r="E39" s="13"/>
      <c r="F39" s="14"/>
      <c r="G39" s="14"/>
      <c r="H39" s="15" t="str">
        <f aca="false">IF(F39="","",F39-G39)</f>
        <v/>
      </c>
      <c r="I39" s="16" t="str">
        <f aca="false">IF(F39="","",IF(H39&lt;=0,"Ödendi",IF(E39="","Vadesiz",IF(E39&lt;Özet!$C$3,"Gecikti",IF(E39&lt;=Özet!$C$3+7,"Bu hafta","Bekliyor")))))</f>
        <v/>
      </c>
      <c r="J39" s="17" t="str">
        <f aca="false">IF(I39="Gecikti",Özet!$C$3-E39,"")</f>
        <v/>
      </c>
      <c r="K39" s="12"/>
    </row>
    <row r="40" customFormat="false" ht="15" hidden="false" customHeight="false" outlineLevel="0" collapsed="false">
      <c r="A40" s="11"/>
      <c r="B40" s="12"/>
      <c r="C40" s="12"/>
      <c r="D40" s="13"/>
      <c r="E40" s="13"/>
      <c r="F40" s="14"/>
      <c r="G40" s="14"/>
      <c r="H40" s="15" t="str">
        <f aca="false">IF(F40="","",F40-G40)</f>
        <v/>
      </c>
      <c r="I40" s="16" t="str">
        <f aca="false">IF(F40="","",IF(H40&lt;=0,"Ödendi",IF(E40="","Vadesiz",IF(E40&lt;Özet!$C$3,"Gecikti",IF(E40&lt;=Özet!$C$3+7,"Bu hafta","Bekliyor")))))</f>
        <v/>
      </c>
      <c r="J40" s="17" t="str">
        <f aca="false">IF(I40="Gecikti",Özet!$C$3-E40,"")</f>
        <v/>
      </c>
      <c r="K40" s="12"/>
    </row>
    <row r="41" customFormat="false" ht="15" hidden="false" customHeight="false" outlineLevel="0" collapsed="false">
      <c r="A41" s="11"/>
      <c r="B41" s="12"/>
      <c r="C41" s="12"/>
      <c r="D41" s="13"/>
      <c r="E41" s="13"/>
      <c r="F41" s="14"/>
      <c r="G41" s="14"/>
      <c r="H41" s="15" t="str">
        <f aca="false">IF(F41="","",F41-G41)</f>
        <v/>
      </c>
      <c r="I41" s="16" t="str">
        <f aca="false">IF(F41="","",IF(H41&lt;=0,"Ödendi",IF(E41="","Vadesiz",IF(E41&lt;Özet!$C$3,"Gecikti",IF(E41&lt;=Özet!$C$3+7,"Bu hafta","Bekliyor")))))</f>
        <v/>
      </c>
      <c r="J41" s="17" t="str">
        <f aca="false">IF(I41="Gecikti",Özet!$C$3-E41,"")</f>
        <v/>
      </c>
      <c r="K41" s="12"/>
    </row>
    <row r="42" customFormat="false" ht="15" hidden="false" customHeight="false" outlineLevel="0" collapsed="false">
      <c r="A42" s="11"/>
      <c r="B42" s="12"/>
      <c r="C42" s="12"/>
      <c r="D42" s="13"/>
      <c r="E42" s="13"/>
      <c r="F42" s="14"/>
      <c r="G42" s="14"/>
      <c r="H42" s="15" t="str">
        <f aca="false">IF(F42="","",F42-G42)</f>
        <v/>
      </c>
      <c r="I42" s="16" t="str">
        <f aca="false">IF(F42="","",IF(H42&lt;=0,"Ödendi",IF(E42="","Vadesiz",IF(E42&lt;Özet!$C$3,"Gecikti",IF(E42&lt;=Özet!$C$3+7,"Bu hafta","Bekliyor")))))</f>
        <v/>
      </c>
      <c r="J42" s="17" t="str">
        <f aca="false">IF(I42="Gecikti",Özet!$C$3-E42,"")</f>
        <v/>
      </c>
      <c r="K42" s="12"/>
    </row>
    <row r="43" customFormat="false" ht="15" hidden="false" customHeight="false" outlineLevel="0" collapsed="false">
      <c r="A43" s="11"/>
      <c r="B43" s="12"/>
      <c r="C43" s="12"/>
      <c r="D43" s="13"/>
      <c r="E43" s="13"/>
      <c r="F43" s="14"/>
      <c r="G43" s="14"/>
      <c r="H43" s="15" t="str">
        <f aca="false">IF(F43="","",F43-G43)</f>
        <v/>
      </c>
      <c r="I43" s="16" t="str">
        <f aca="false">IF(F43="","",IF(H43&lt;=0,"Ödendi",IF(E43="","Vadesiz",IF(E43&lt;Özet!$C$3,"Gecikti",IF(E43&lt;=Özet!$C$3+7,"Bu hafta","Bekliyor")))))</f>
        <v/>
      </c>
      <c r="J43" s="17" t="str">
        <f aca="false">IF(I43="Gecikti",Özet!$C$3-E43,"")</f>
        <v/>
      </c>
      <c r="K43" s="12"/>
    </row>
    <row r="44" customFormat="false" ht="15" hidden="false" customHeight="false" outlineLevel="0" collapsed="false">
      <c r="A44" s="11"/>
      <c r="B44" s="12"/>
      <c r="C44" s="12"/>
      <c r="D44" s="13"/>
      <c r="E44" s="13"/>
      <c r="F44" s="14"/>
      <c r="G44" s="14"/>
      <c r="H44" s="15" t="str">
        <f aca="false">IF(F44="","",F44-G44)</f>
        <v/>
      </c>
      <c r="I44" s="16" t="str">
        <f aca="false">IF(F44="","",IF(H44&lt;=0,"Ödendi",IF(E44="","Vadesiz",IF(E44&lt;Özet!$C$3,"Gecikti",IF(E44&lt;=Özet!$C$3+7,"Bu hafta","Bekliyor")))))</f>
        <v/>
      </c>
      <c r="J44" s="17" t="str">
        <f aca="false">IF(I44="Gecikti",Özet!$C$3-E44,"")</f>
        <v/>
      </c>
      <c r="K44" s="12"/>
    </row>
    <row r="45" customFormat="false" ht="15" hidden="false" customHeight="false" outlineLevel="0" collapsed="false">
      <c r="A45" s="11"/>
      <c r="B45" s="12"/>
      <c r="C45" s="12"/>
      <c r="D45" s="13"/>
      <c r="E45" s="13"/>
      <c r="F45" s="14"/>
      <c r="G45" s="14"/>
      <c r="H45" s="15" t="str">
        <f aca="false">IF(F45="","",F45-G45)</f>
        <v/>
      </c>
      <c r="I45" s="16" t="str">
        <f aca="false">IF(F45="","",IF(H45&lt;=0,"Ödendi",IF(E45="","Vadesiz",IF(E45&lt;Özet!$C$3,"Gecikti",IF(E45&lt;=Özet!$C$3+7,"Bu hafta","Bekliyor")))))</f>
        <v/>
      </c>
      <c r="J45" s="17" t="str">
        <f aca="false">IF(I45="Gecikti",Özet!$C$3-E45,"")</f>
        <v/>
      </c>
      <c r="K45" s="12"/>
    </row>
    <row r="46" customFormat="false" ht="15" hidden="false" customHeight="false" outlineLevel="0" collapsed="false">
      <c r="A46" s="11"/>
      <c r="B46" s="12"/>
      <c r="C46" s="12"/>
      <c r="D46" s="13"/>
      <c r="E46" s="13"/>
      <c r="F46" s="14"/>
      <c r="G46" s="14"/>
      <c r="H46" s="15" t="str">
        <f aca="false">IF(F46="","",F46-G46)</f>
        <v/>
      </c>
      <c r="I46" s="16" t="str">
        <f aca="false">IF(F46="","",IF(H46&lt;=0,"Ödendi",IF(E46="","Vadesiz",IF(E46&lt;Özet!$C$3,"Gecikti",IF(E46&lt;=Özet!$C$3+7,"Bu hafta","Bekliyor")))))</f>
        <v/>
      </c>
      <c r="J46" s="17" t="str">
        <f aca="false">IF(I46="Gecikti",Özet!$C$3-E46,"")</f>
        <v/>
      </c>
      <c r="K46" s="12"/>
    </row>
    <row r="47" customFormat="false" ht="15" hidden="false" customHeight="false" outlineLevel="0" collapsed="false">
      <c r="A47" s="11"/>
      <c r="B47" s="12"/>
      <c r="C47" s="12"/>
      <c r="D47" s="13"/>
      <c r="E47" s="13"/>
      <c r="F47" s="14"/>
      <c r="G47" s="14"/>
      <c r="H47" s="15" t="str">
        <f aca="false">IF(F47="","",F47-G47)</f>
        <v/>
      </c>
      <c r="I47" s="16" t="str">
        <f aca="false">IF(F47="","",IF(H47&lt;=0,"Ödendi",IF(E47="","Vadesiz",IF(E47&lt;Özet!$C$3,"Gecikti",IF(E47&lt;=Özet!$C$3+7,"Bu hafta","Bekliyor")))))</f>
        <v/>
      </c>
      <c r="J47" s="17" t="str">
        <f aca="false">IF(I47="Gecikti",Özet!$C$3-E47,"")</f>
        <v/>
      </c>
      <c r="K47" s="12"/>
    </row>
    <row r="48" customFormat="false" ht="15" hidden="false" customHeight="false" outlineLevel="0" collapsed="false">
      <c r="A48" s="11"/>
      <c r="B48" s="12"/>
      <c r="C48" s="12"/>
      <c r="D48" s="13"/>
      <c r="E48" s="13"/>
      <c r="F48" s="14"/>
      <c r="G48" s="14"/>
      <c r="H48" s="15" t="str">
        <f aca="false">IF(F48="","",F48-G48)</f>
        <v/>
      </c>
      <c r="I48" s="16" t="str">
        <f aca="false">IF(F48="","",IF(H48&lt;=0,"Ödendi",IF(E48="","Vadesiz",IF(E48&lt;Özet!$C$3,"Gecikti",IF(E48&lt;=Özet!$C$3+7,"Bu hafta","Bekliyor")))))</f>
        <v/>
      </c>
      <c r="J48" s="17" t="str">
        <f aca="false">IF(I48="Gecikti",Özet!$C$3-E48,"")</f>
        <v/>
      </c>
      <c r="K48" s="12"/>
    </row>
    <row r="49" customFormat="false" ht="15" hidden="false" customHeight="false" outlineLevel="0" collapsed="false">
      <c r="A49" s="11"/>
      <c r="B49" s="12"/>
      <c r="C49" s="12"/>
      <c r="D49" s="13"/>
      <c r="E49" s="13"/>
      <c r="F49" s="14"/>
      <c r="G49" s="14"/>
      <c r="H49" s="15" t="str">
        <f aca="false">IF(F49="","",F49-G49)</f>
        <v/>
      </c>
      <c r="I49" s="16" t="str">
        <f aca="false">IF(F49="","",IF(H49&lt;=0,"Ödendi",IF(E49="","Vadesiz",IF(E49&lt;Özet!$C$3,"Gecikti",IF(E49&lt;=Özet!$C$3+7,"Bu hafta","Bekliyor")))))</f>
        <v/>
      </c>
      <c r="J49" s="17" t="str">
        <f aca="false">IF(I49="Gecikti",Özet!$C$3-E49,"")</f>
        <v/>
      </c>
      <c r="K49" s="12"/>
    </row>
    <row r="50" customFormat="false" ht="15" hidden="false" customHeight="false" outlineLevel="0" collapsed="false">
      <c r="A50" s="11"/>
      <c r="B50" s="12"/>
      <c r="C50" s="12"/>
      <c r="D50" s="13"/>
      <c r="E50" s="13"/>
      <c r="F50" s="14"/>
      <c r="G50" s="14"/>
      <c r="H50" s="15" t="str">
        <f aca="false">IF(F50="","",F50-G50)</f>
        <v/>
      </c>
      <c r="I50" s="16" t="str">
        <f aca="false">IF(F50="","",IF(H50&lt;=0,"Ödendi",IF(E50="","Vadesiz",IF(E50&lt;Özet!$C$3,"Gecikti",IF(E50&lt;=Özet!$C$3+7,"Bu hafta","Bekliyor")))))</f>
        <v/>
      </c>
      <c r="J50" s="17" t="str">
        <f aca="false">IF(I50="Gecikti",Özet!$C$3-E50,"")</f>
        <v/>
      </c>
      <c r="K50" s="12"/>
    </row>
    <row r="51" customFormat="false" ht="15" hidden="false" customHeight="false" outlineLevel="0" collapsed="false">
      <c r="A51" s="11"/>
      <c r="B51" s="12"/>
      <c r="C51" s="12"/>
      <c r="D51" s="13"/>
      <c r="E51" s="13"/>
      <c r="F51" s="14"/>
      <c r="G51" s="14"/>
      <c r="H51" s="15" t="str">
        <f aca="false">IF(F51="","",F51-G51)</f>
        <v/>
      </c>
      <c r="I51" s="16" t="str">
        <f aca="false">IF(F51="","",IF(H51&lt;=0,"Ödendi",IF(E51="","Vadesiz",IF(E51&lt;Özet!$C$3,"Gecikti",IF(E51&lt;=Özet!$C$3+7,"Bu hafta","Bekliyor")))))</f>
        <v/>
      </c>
      <c r="J51" s="17" t="str">
        <f aca="false">IF(I51="Gecikti",Özet!$C$3-E51,"")</f>
        <v/>
      </c>
      <c r="K51" s="12"/>
    </row>
    <row r="52" customFormat="false" ht="15" hidden="false" customHeight="false" outlineLevel="0" collapsed="false">
      <c r="A52" s="11"/>
      <c r="B52" s="12"/>
      <c r="C52" s="12"/>
      <c r="D52" s="13"/>
      <c r="E52" s="13"/>
      <c r="F52" s="14"/>
      <c r="G52" s="14"/>
      <c r="H52" s="15" t="str">
        <f aca="false">IF(F52="","",F52-G52)</f>
        <v/>
      </c>
      <c r="I52" s="16" t="str">
        <f aca="false">IF(F52="","",IF(H52&lt;=0,"Ödendi",IF(E52="","Vadesiz",IF(E52&lt;Özet!$C$3,"Gecikti",IF(E52&lt;=Özet!$C$3+7,"Bu hafta","Bekliyor")))))</f>
        <v/>
      </c>
      <c r="J52" s="17" t="str">
        <f aca="false">IF(I52="Gecikti",Özet!$C$3-E52,"")</f>
        <v/>
      </c>
      <c r="K52" s="12"/>
    </row>
    <row r="53" customFormat="false" ht="15" hidden="false" customHeight="false" outlineLevel="0" collapsed="false">
      <c r="A53" s="11"/>
      <c r="B53" s="12"/>
      <c r="C53" s="12"/>
      <c r="D53" s="13"/>
      <c r="E53" s="13"/>
      <c r="F53" s="14"/>
      <c r="G53" s="14"/>
      <c r="H53" s="15" t="str">
        <f aca="false">IF(F53="","",F53-G53)</f>
        <v/>
      </c>
      <c r="I53" s="16" t="str">
        <f aca="false">IF(F53="","",IF(H53&lt;=0,"Ödendi",IF(E53="","Vadesiz",IF(E53&lt;Özet!$C$3,"Gecikti",IF(E53&lt;=Özet!$C$3+7,"Bu hafta","Bekliyor")))))</f>
        <v/>
      </c>
      <c r="J53" s="17" t="str">
        <f aca="false">IF(I53="Gecikti",Özet!$C$3-E53,"")</f>
        <v/>
      </c>
      <c r="K53" s="12"/>
    </row>
    <row r="54" customFormat="false" ht="15" hidden="false" customHeight="false" outlineLevel="0" collapsed="false">
      <c r="A54" s="11"/>
      <c r="B54" s="12"/>
      <c r="C54" s="12"/>
      <c r="D54" s="13"/>
      <c r="E54" s="13"/>
      <c r="F54" s="14"/>
      <c r="G54" s="14"/>
      <c r="H54" s="15" t="str">
        <f aca="false">IF(F54="","",F54-G54)</f>
        <v/>
      </c>
      <c r="I54" s="16" t="str">
        <f aca="false">IF(F54="","",IF(H54&lt;=0,"Ödendi",IF(E54="","Vadesiz",IF(E54&lt;Özet!$C$3,"Gecikti",IF(E54&lt;=Özet!$C$3+7,"Bu hafta","Bekliyor")))))</f>
        <v/>
      </c>
      <c r="J54" s="17" t="str">
        <f aca="false">IF(I54="Gecikti",Özet!$C$3-E54,"")</f>
        <v/>
      </c>
      <c r="K54" s="12"/>
    </row>
    <row r="55" customFormat="false" ht="15" hidden="false" customHeight="false" outlineLevel="0" collapsed="false">
      <c r="A55" s="11"/>
      <c r="B55" s="12"/>
      <c r="C55" s="12"/>
      <c r="D55" s="13"/>
      <c r="E55" s="13"/>
      <c r="F55" s="14"/>
      <c r="G55" s="14"/>
      <c r="H55" s="15" t="str">
        <f aca="false">IF(F55="","",F55-G55)</f>
        <v/>
      </c>
      <c r="I55" s="16" t="str">
        <f aca="false">IF(F55="","",IF(H55&lt;=0,"Ödendi",IF(E55="","Vadesiz",IF(E55&lt;Özet!$C$3,"Gecikti",IF(E55&lt;=Özet!$C$3+7,"Bu hafta","Bekliyor")))))</f>
        <v/>
      </c>
      <c r="J55" s="17" t="str">
        <f aca="false">IF(I55="Gecikti",Özet!$C$3-E55,"")</f>
        <v/>
      </c>
      <c r="K55" s="12"/>
    </row>
    <row r="56" customFormat="false" ht="15" hidden="false" customHeight="false" outlineLevel="0" collapsed="false">
      <c r="A56" s="11"/>
      <c r="B56" s="12"/>
      <c r="C56" s="12"/>
      <c r="D56" s="13"/>
      <c r="E56" s="13"/>
      <c r="F56" s="14"/>
      <c r="G56" s="14"/>
      <c r="H56" s="15" t="str">
        <f aca="false">IF(F56="","",F56-G56)</f>
        <v/>
      </c>
      <c r="I56" s="16" t="str">
        <f aca="false">IF(F56="","",IF(H56&lt;=0,"Ödendi",IF(E56="","Vadesiz",IF(E56&lt;Özet!$C$3,"Gecikti",IF(E56&lt;=Özet!$C$3+7,"Bu hafta","Bekliyor")))))</f>
        <v/>
      </c>
      <c r="J56" s="17" t="str">
        <f aca="false">IF(I56="Gecikti",Özet!$C$3-E56,"")</f>
        <v/>
      </c>
      <c r="K56" s="12"/>
    </row>
    <row r="57" customFormat="false" ht="15" hidden="false" customHeight="false" outlineLevel="0" collapsed="false">
      <c r="A57" s="11"/>
      <c r="B57" s="12"/>
      <c r="C57" s="12"/>
      <c r="D57" s="13"/>
      <c r="E57" s="13"/>
      <c r="F57" s="14"/>
      <c r="G57" s="14"/>
      <c r="H57" s="15" t="str">
        <f aca="false">IF(F57="","",F57-G57)</f>
        <v/>
      </c>
      <c r="I57" s="16" t="str">
        <f aca="false">IF(F57="","",IF(H57&lt;=0,"Ödendi",IF(E57="","Vadesiz",IF(E57&lt;Özet!$C$3,"Gecikti",IF(E57&lt;=Özet!$C$3+7,"Bu hafta","Bekliyor")))))</f>
        <v/>
      </c>
      <c r="J57" s="17" t="str">
        <f aca="false">IF(I57="Gecikti",Özet!$C$3-E57,"")</f>
        <v/>
      </c>
      <c r="K57" s="12"/>
    </row>
    <row r="58" customFormat="false" ht="15" hidden="false" customHeight="false" outlineLevel="0" collapsed="false">
      <c r="A58" s="11"/>
      <c r="B58" s="12"/>
      <c r="C58" s="12"/>
      <c r="D58" s="13"/>
      <c r="E58" s="13"/>
      <c r="F58" s="14"/>
      <c r="G58" s="14"/>
      <c r="H58" s="15" t="str">
        <f aca="false">IF(F58="","",F58-G58)</f>
        <v/>
      </c>
      <c r="I58" s="16" t="str">
        <f aca="false">IF(F58="","",IF(H58&lt;=0,"Ödendi",IF(E58="","Vadesiz",IF(E58&lt;Özet!$C$3,"Gecikti",IF(E58&lt;=Özet!$C$3+7,"Bu hafta","Bekliyor")))))</f>
        <v/>
      </c>
      <c r="J58" s="17" t="str">
        <f aca="false">IF(I58="Gecikti",Özet!$C$3-E58,"")</f>
        <v/>
      </c>
      <c r="K58" s="12"/>
    </row>
    <row r="59" customFormat="false" ht="15" hidden="false" customHeight="false" outlineLevel="0" collapsed="false">
      <c r="A59" s="11"/>
      <c r="B59" s="12"/>
      <c r="C59" s="12"/>
      <c r="D59" s="13"/>
      <c r="E59" s="13"/>
      <c r="F59" s="14"/>
      <c r="G59" s="14"/>
      <c r="H59" s="15" t="str">
        <f aca="false">IF(F59="","",F59-G59)</f>
        <v/>
      </c>
      <c r="I59" s="16" t="str">
        <f aca="false">IF(F59="","",IF(H59&lt;=0,"Ödendi",IF(E59="","Vadesiz",IF(E59&lt;Özet!$C$3,"Gecikti",IF(E59&lt;=Özet!$C$3+7,"Bu hafta","Bekliyor")))))</f>
        <v/>
      </c>
      <c r="J59" s="17" t="str">
        <f aca="false">IF(I59="Gecikti",Özet!$C$3-E59,"")</f>
        <v/>
      </c>
      <c r="K59" s="12"/>
    </row>
    <row r="60" customFormat="false" ht="15" hidden="false" customHeight="false" outlineLevel="0" collapsed="false">
      <c r="A60" s="11"/>
      <c r="B60" s="12"/>
      <c r="C60" s="12"/>
      <c r="D60" s="13"/>
      <c r="E60" s="13"/>
      <c r="F60" s="14"/>
      <c r="G60" s="14"/>
      <c r="H60" s="15" t="str">
        <f aca="false">IF(F60="","",F60-G60)</f>
        <v/>
      </c>
      <c r="I60" s="16" t="str">
        <f aca="false">IF(F60="","",IF(H60&lt;=0,"Ödendi",IF(E60="","Vadesiz",IF(E60&lt;Özet!$C$3,"Gecikti",IF(E60&lt;=Özet!$C$3+7,"Bu hafta","Bekliyor")))))</f>
        <v/>
      </c>
      <c r="J60" s="17" t="str">
        <f aca="false">IF(I60="Gecikti",Özet!$C$3-E60,"")</f>
        <v/>
      </c>
      <c r="K60" s="12"/>
    </row>
    <row r="61" customFormat="false" ht="15" hidden="false" customHeight="false" outlineLevel="0" collapsed="false">
      <c r="A61" s="11"/>
      <c r="B61" s="12"/>
      <c r="C61" s="12"/>
      <c r="D61" s="13"/>
      <c r="E61" s="13"/>
      <c r="F61" s="14"/>
      <c r="G61" s="14"/>
      <c r="H61" s="15" t="str">
        <f aca="false">IF(F61="","",F61-G61)</f>
        <v/>
      </c>
      <c r="I61" s="16" t="str">
        <f aca="false">IF(F61="","",IF(H61&lt;=0,"Ödendi",IF(E61="","Vadesiz",IF(E61&lt;Özet!$C$3,"Gecikti",IF(E61&lt;=Özet!$C$3+7,"Bu hafta","Bekliyor")))))</f>
        <v/>
      </c>
      <c r="J61" s="17" t="str">
        <f aca="false">IF(I61="Gecikti",Özet!$C$3-E61,"")</f>
        <v/>
      </c>
      <c r="K61" s="12"/>
    </row>
    <row r="62" customFormat="false" ht="15" hidden="false" customHeight="false" outlineLevel="0" collapsed="false">
      <c r="A62" s="11"/>
      <c r="B62" s="12"/>
      <c r="C62" s="12"/>
      <c r="D62" s="13"/>
      <c r="E62" s="13"/>
      <c r="F62" s="14"/>
      <c r="G62" s="14"/>
      <c r="H62" s="15" t="str">
        <f aca="false">IF(F62="","",F62-G62)</f>
        <v/>
      </c>
      <c r="I62" s="16" t="str">
        <f aca="false">IF(F62="","",IF(H62&lt;=0,"Ödendi",IF(E62="","Vadesiz",IF(E62&lt;Özet!$C$3,"Gecikti",IF(E62&lt;=Özet!$C$3+7,"Bu hafta","Bekliyor")))))</f>
        <v/>
      </c>
      <c r="J62" s="17" t="str">
        <f aca="false">IF(I62="Gecikti",Özet!$C$3-E62,"")</f>
        <v/>
      </c>
      <c r="K62" s="12"/>
    </row>
    <row r="63" customFormat="false" ht="15" hidden="false" customHeight="false" outlineLevel="0" collapsed="false">
      <c r="A63" s="11"/>
      <c r="B63" s="12"/>
      <c r="C63" s="12"/>
      <c r="D63" s="13"/>
      <c r="E63" s="13"/>
      <c r="F63" s="14"/>
      <c r="G63" s="14"/>
      <c r="H63" s="15" t="str">
        <f aca="false">IF(F63="","",F63-G63)</f>
        <v/>
      </c>
      <c r="I63" s="16" t="str">
        <f aca="false">IF(F63="","",IF(H63&lt;=0,"Ödendi",IF(E63="","Vadesiz",IF(E63&lt;Özet!$C$3,"Gecikti",IF(E63&lt;=Özet!$C$3+7,"Bu hafta","Bekliyor")))))</f>
        <v/>
      </c>
      <c r="J63" s="17" t="str">
        <f aca="false">IF(I63="Gecikti",Özet!$C$3-E63,"")</f>
        <v/>
      </c>
      <c r="K63" s="12"/>
    </row>
    <row r="64" customFormat="false" ht="15" hidden="false" customHeight="false" outlineLevel="0" collapsed="false">
      <c r="A64" s="11"/>
      <c r="B64" s="12"/>
      <c r="C64" s="12"/>
      <c r="D64" s="13"/>
      <c r="E64" s="13"/>
      <c r="F64" s="14"/>
      <c r="G64" s="14"/>
      <c r="H64" s="15" t="str">
        <f aca="false">IF(F64="","",F64-G64)</f>
        <v/>
      </c>
      <c r="I64" s="16" t="str">
        <f aca="false">IF(F64="","",IF(H64&lt;=0,"Ödendi",IF(E64="","Vadesiz",IF(E64&lt;Özet!$C$3,"Gecikti",IF(E64&lt;=Özet!$C$3+7,"Bu hafta","Bekliyor")))))</f>
        <v/>
      </c>
      <c r="J64" s="17" t="str">
        <f aca="false">IF(I64="Gecikti",Özet!$C$3-E64,"")</f>
        <v/>
      </c>
      <c r="K64" s="12"/>
    </row>
    <row r="65" customFormat="false" ht="15" hidden="false" customHeight="false" outlineLevel="0" collapsed="false">
      <c r="A65" s="11"/>
      <c r="B65" s="12"/>
      <c r="C65" s="12"/>
      <c r="D65" s="13"/>
      <c r="E65" s="13"/>
      <c r="F65" s="14"/>
      <c r="G65" s="14"/>
      <c r="H65" s="15" t="str">
        <f aca="false">IF(F65="","",F65-G65)</f>
        <v/>
      </c>
      <c r="I65" s="16" t="str">
        <f aca="false">IF(F65="","",IF(H65&lt;=0,"Ödendi",IF(E65="","Vadesiz",IF(E65&lt;Özet!$C$3,"Gecikti",IF(E65&lt;=Özet!$C$3+7,"Bu hafta","Bekliyor")))))</f>
        <v/>
      </c>
      <c r="J65" s="17" t="str">
        <f aca="false">IF(I65="Gecikti",Özet!$C$3-E65,"")</f>
        <v/>
      </c>
      <c r="K65" s="12"/>
    </row>
    <row r="66" customFormat="false" ht="15" hidden="false" customHeight="false" outlineLevel="0" collapsed="false">
      <c r="A66" s="11"/>
      <c r="B66" s="12"/>
      <c r="C66" s="12"/>
      <c r="D66" s="13"/>
      <c r="E66" s="13"/>
      <c r="F66" s="14"/>
      <c r="G66" s="14"/>
      <c r="H66" s="15" t="str">
        <f aca="false">IF(F66="","",F66-G66)</f>
        <v/>
      </c>
      <c r="I66" s="16" t="str">
        <f aca="false">IF(F66="","",IF(H66&lt;=0,"Ödendi",IF(E66="","Vadesiz",IF(E66&lt;Özet!$C$3,"Gecikti",IF(E66&lt;=Özet!$C$3+7,"Bu hafta","Bekliyor")))))</f>
        <v/>
      </c>
      <c r="J66" s="17" t="str">
        <f aca="false">IF(I66="Gecikti",Özet!$C$3-E66,"")</f>
        <v/>
      </c>
      <c r="K66" s="12"/>
    </row>
    <row r="67" customFormat="false" ht="15" hidden="false" customHeight="false" outlineLevel="0" collapsed="false">
      <c r="A67" s="11"/>
      <c r="B67" s="12"/>
      <c r="C67" s="12"/>
      <c r="D67" s="13"/>
      <c r="E67" s="13"/>
      <c r="F67" s="14"/>
      <c r="G67" s="14"/>
      <c r="H67" s="15" t="str">
        <f aca="false">IF(F67="","",F67-G67)</f>
        <v/>
      </c>
      <c r="I67" s="16" t="str">
        <f aca="false">IF(F67="","",IF(H67&lt;=0,"Ödendi",IF(E67="","Vadesiz",IF(E67&lt;Özet!$C$3,"Gecikti",IF(E67&lt;=Özet!$C$3+7,"Bu hafta","Bekliyor")))))</f>
        <v/>
      </c>
      <c r="J67" s="17" t="str">
        <f aca="false">IF(I67="Gecikti",Özet!$C$3-E67,"")</f>
        <v/>
      </c>
      <c r="K67" s="12"/>
    </row>
    <row r="68" customFormat="false" ht="15" hidden="false" customHeight="false" outlineLevel="0" collapsed="false">
      <c r="A68" s="11"/>
      <c r="B68" s="12"/>
      <c r="C68" s="12"/>
      <c r="D68" s="13"/>
      <c r="E68" s="13"/>
      <c r="F68" s="14"/>
      <c r="G68" s="14"/>
      <c r="H68" s="15" t="str">
        <f aca="false">IF(F68="","",F68-G68)</f>
        <v/>
      </c>
      <c r="I68" s="16" t="str">
        <f aca="false">IF(F68="","",IF(H68&lt;=0,"Ödendi",IF(E68="","Vadesiz",IF(E68&lt;Özet!$C$3,"Gecikti",IF(E68&lt;=Özet!$C$3+7,"Bu hafta","Bekliyor")))))</f>
        <v/>
      </c>
      <c r="J68" s="17" t="str">
        <f aca="false">IF(I68="Gecikti",Özet!$C$3-E68,"")</f>
        <v/>
      </c>
      <c r="K68" s="12"/>
    </row>
    <row r="69" customFormat="false" ht="15" hidden="false" customHeight="false" outlineLevel="0" collapsed="false">
      <c r="A69" s="11"/>
      <c r="B69" s="12"/>
      <c r="C69" s="12"/>
      <c r="D69" s="13"/>
      <c r="E69" s="13"/>
      <c r="F69" s="14"/>
      <c r="G69" s="14"/>
      <c r="H69" s="15" t="str">
        <f aca="false">IF(F69="","",F69-G69)</f>
        <v/>
      </c>
      <c r="I69" s="16" t="str">
        <f aca="false">IF(F69="","",IF(H69&lt;=0,"Ödendi",IF(E69="","Vadesiz",IF(E69&lt;Özet!$C$3,"Gecikti",IF(E69&lt;=Özet!$C$3+7,"Bu hafta","Bekliyor")))))</f>
        <v/>
      </c>
      <c r="J69" s="17" t="str">
        <f aca="false">IF(I69="Gecikti",Özet!$C$3-E69,"")</f>
        <v/>
      </c>
      <c r="K69" s="12"/>
    </row>
    <row r="70" customFormat="false" ht="15" hidden="false" customHeight="false" outlineLevel="0" collapsed="false">
      <c r="A70" s="11"/>
      <c r="B70" s="12"/>
      <c r="C70" s="12"/>
      <c r="D70" s="13"/>
      <c r="E70" s="13"/>
      <c r="F70" s="14"/>
      <c r="G70" s="14"/>
      <c r="H70" s="15" t="str">
        <f aca="false">IF(F70="","",F70-G70)</f>
        <v/>
      </c>
      <c r="I70" s="16" t="str">
        <f aca="false">IF(F70="","",IF(H70&lt;=0,"Ödendi",IF(E70="","Vadesiz",IF(E70&lt;Özet!$C$3,"Gecikti",IF(E70&lt;=Özet!$C$3+7,"Bu hafta","Bekliyor")))))</f>
        <v/>
      </c>
      <c r="J70" s="17" t="str">
        <f aca="false">IF(I70="Gecikti",Özet!$C$3-E70,"")</f>
        <v/>
      </c>
      <c r="K70" s="12"/>
    </row>
    <row r="71" customFormat="false" ht="15" hidden="false" customHeight="false" outlineLevel="0" collapsed="false">
      <c r="A71" s="11"/>
      <c r="B71" s="12"/>
      <c r="C71" s="12"/>
      <c r="D71" s="13"/>
      <c r="E71" s="13"/>
      <c r="F71" s="14"/>
      <c r="G71" s="14"/>
      <c r="H71" s="15" t="str">
        <f aca="false">IF(F71="","",F71-G71)</f>
        <v/>
      </c>
      <c r="I71" s="16" t="str">
        <f aca="false">IF(F71="","",IF(H71&lt;=0,"Ödendi",IF(E71="","Vadesiz",IF(E71&lt;Özet!$C$3,"Gecikti",IF(E71&lt;=Özet!$C$3+7,"Bu hafta","Bekliyor")))))</f>
        <v/>
      </c>
      <c r="J71" s="17" t="str">
        <f aca="false">IF(I71="Gecikti",Özet!$C$3-E71,"")</f>
        <v/>
      </c>
      <c r="K71" s="12"/>
    </row>
    <row r="72" customFormat="false" ht="15" hidden="false" customHeight="false" outlineLevel="0" collapsed="false">
      <c r="A72" s="11"/>
      <c r="B72" s="12"/>
      <c r="C72" s="12"/>
      <c r="D72" s="13"/>
      <c r="E72" s="13"/>
      <c r="F72" s="14"/>
      <c r="G72" s="14"/>
      <c r="H72" s="15" t="str">
        <f aca="false">IF(F72="","",F72-G72)</f>
        <v/>
      </c>
      <c r="I72" s="16" t="str">
        <f aca="false">IF(F72="","",IF(H72&lt;=0,"Ödendi",IF(E72="","Vadesiz",IF(E72&lt;Özet!$C$3,"Gecikti",IF(E72&lt;=Özet!$C$3+7,"Bu hafta","Bekliyor")))))</f>
        <v/>
      </c>
      <c r="J72" s="17" t="str">
        <f aca="false">IF(I72="Gecikti",Özet!$C$3-E72,"")</f>
        <v/>
      </c>
      <c r="K72" s="12"/>
    </row>
    <row r="73" customFormat="false" ht="15" hidden="false" customHeight="false" outlineLevel="0" collapsed="false">
      <c r="A73" s="11"/>
      <c r="B73" s="12"/>
      <c r="C73" s="12"/>
      <c r="D73" s="13"/>
      <c r="E73" s="13"/>
      <c r="F73" s="14"/>
      <c r="G73" s="14"/>
      <c r="H73" s="15" t="str">
        <f aca="false">IF(F73="","",F73-G73)</f>
        <v/>
      </c>
      <c r="I73" s="16" t="str">
        <f aca="false">IF(F73="","",IF(H73&lt;=0,"Ödendi",IF(E73="","Vadesiz",IF(E73&lt;Özet!$C$3,"Gecikti",IF(E73&lt;=Özet!$C$3+7,"Bu hafta","Bekliyor")))))</f>
        <v/>
      </c>
      <c r="J73" s="17" t="str">
        <f aca="false">IF(I73="Gecikti",Özet!$C$3-E73,"")</f>
        <v/>
      </c>
      <c r="K73" s="12"/>
    </row>
    <row r="74" customFormat="false" ht="15" hidden="false" customHeight="false" outlineLevel="0" collapsed="false">
      <c r="A74" s="11"/>
      <c r="B74" s="12"/>
      <c r="C74" s="12"/>
      <c r="D74" s="13"/>
      <c r="E74" s="13"/>
      <c r="F74" s="14"/>
      <c r="G74" s="14"/>
      <c r="H74" s="15" t="str">
        <f aca="false">IF(F74="","",F74-G74)</f>
        <v/>
      </c>
      <c r="I74" s="16" t="str">
        <f aca="false">IF(F74="","",IF(H74&lt;=0,"Ödendi",IF(E74="","Vadesiz",IF(E74&lt;Özet!$C$3,"Gecikti",IF(E74&lt;=Özet!$C$3+7,"Bu hafta","Bekliyor")))))</f>
        <v/>
      </c>
      <c r="J74" s="17" t="str">
        <f aca="false">IF(I74="Gecikti",Özet!$C$3-E74,"")</f>
        <v/>
      </c>
      <c r="K74" s="12"/>
    </row>
    <row r="75" customFormat="false" ht="15" hidden="false" customHeight="false" outlineLevel="0" collapsed="false">
      <c r="A75" s="11"/>
      <c r="B75" s="12"/>
      <c r="C75" s="12"/>
      <c r="D75" s="13"/>
      <c r="E75" s="13"/>
      <c r="F75" s="14"/>
      <c r="G75" s="14"/>
      <c r="H75" s="15" t="str">
        <f aca="false">IF(F75="","",F75-G75)</f>
        <v/>
      </c>
      <c r="I75" s="16" t="str">
        <f aca="false">IF(F75="","",IF(H75&lt;=0,"Ödendi",IF(E75="","Vadesiz",IF(E75&lt;Özet!$C$3,"Gecikti",IF(E75&lt;=Özet!$C$3+7,"Bu hafta","Bekliyor")))))</f>
        <v/>
      </c>
      <c r="J75" s="17" t="str">
        <f aca="false">IF(I75="Gecikti",Özet!$C$3-E75,"")</f>
        <v/>
      </c>
      <c r="K75" s="12"/>
    </row>
    <row r="76" customFormat="false" ht="15" hidden="false" customHeight="false" outlineLevel="0" collapsed="false">
      <c r="A76" s="11"/>
      <c r="B76" s="12"/>
      <c r="C76" s="12"/>
      <c r="D76" s="13"/>
      <c r="E76" s="13"/>
      <c r="F76" s="14"/>
      <c r="G76" s="14"/>
      <c r="H76" s="15" t="str">
        <f aca="false">IF(F76="","",F76-G76)</f>
        <v/>
      </c>
      <c r="I76" s="16" t="str">
        <f aca="false">IF(F76="","",IF(H76&lt;=0,"Ödendi",IF(E76="","Vadesiz",IF(E76&lt;Özet!$C$3,"Gecikti",IF(E76&lt;=Özet!$C$3+7,"Bu hafta","Bekliyor")))))</f>
        <v/>
      </c>
      <c r="J76" s="17" t="str">
        <f aca="false">IF(I76="Gecikti",Özet!$C$3-E76,"")</f>
        <v/>
      </c>
      <c r="K76" s="12"/>
    </row>
    <row r="77" customFormat="false" ht="15" hidden="false" customHeight="false" outlineLevel="0" collapsed="false">
      <c r="A77" s="11"/>
      <c r="B77" s="12"/>
      <c r="C77" s="12"/>
      <c r="D77" s="13"/>
      <c r="E77" s="13"/>
      <c r="F77" s="14"/>
      <c r="G77" s="14"/>
      <c r="H77" s="15" t="str">
        <f aca="false">IF(F77="","",F77-G77)</f>
        <v/>
      </c>
      <c r="I77" s="16" t="str">
        <f aca="false">IF(F77="","",IF(H77&lt;=0,"Ödendi",IF(E77="","Vadesiz",IF(E77&lt;Özet!$C$3,"Gecikti",IF(E77&lt;=Özet!$C$3+7,"Bu hafta","Bekliyor")))))</f>
        <v/>
      </c>
      <c r="J77" s="17" t="str">
        <f aca="false">IF(I77="Gecikti",Özet!$C$3-E77,"")</f>
        <v/>
      </c>
      <c r="K77" s="12"/>
    </row>
    <row r="78" customFormat="false" ht="15" hidden="false" customHeight="false" outlineLevel="0" collapsed="false">
      <c r="A78" s="11"/>
      <c r="B78" s="12"/>
      <c r="C78" s="12"/>
      <c r="D78" s="13"/>
      <c r="E78" s="13"/>
      <c r="F78" s="14"/>
      <c r="G78" s="14"/>
      <c r="H78" s="15" t="str">
        <f aca="false">IF(F78="","",F78-G78)</f>
        <v/>
      </c>
      <c r="I78" s="16" t="str">
        <f aca="false">IF(F78="","",IF(H78&lt;=0,"Ödendi",IF(E78="","Vadesiz",IF(E78&lt;Özet!$C$3,"Gecikti",IF(E78&lt;=Özet!$C$3+7,"Bu hafta","Bekliyor")))))</f>
        <v/>
      </c>
      <c r="J78" s="17" t="str">
        <f aca="false">IF(I78="Gecikti",Özet!$C$3-E78,"")</f>
        <v/>
      </c>
      <c r="K78" s="12"/>
    </row>
    <row r="79" customFormat="false" ht="15" hidden="false" customHeight="false" outlineLevel="0" collapsed="false">
      <c r="A79" s="11"/>
      <c r="B79" s="12"/>
      <c r="C79" s="12"/>
      <c r="D79" s="13"/>
      <c r="E79" s="13"/>
      <c r="F79" s="14"/>
      <c r="G79" s="14"/>
      <c r="H79" s="15" t="str">
        <f aca="false">IF(F79="","",F79-G79)</f>
        <v/>
      </c>
      <c r="I79" s="16" t="str">
        <f aca="false">IF(F79="","",IF(H79&lt;=0,"Ödendi",IF(E79="","Vadesiz",IF(E79&lt;Özet!$C$3,"Gecikti",IF(E79&lt;=Özet!$C$3+7,"Bu hafta","Bekliyor")))))</f>
        <v/>
      </c>
      <c r="J79" s="17" t="str">
        <f aca="false">IF(I79="Gecikti",Özet!$C$3-E79,"")</f>
        <v/>
      </c>
      <c r="K79" s="12"/>
    </row>
    <row r="80" customFormat="false" ht="15" hidden="false" customHeight="false" outlineLevel="0" collapsed="false">
      <c r="A80" s="11"/>
      <c r="B80" s="12"/>
      <c r="C80" s="12"/>
      <c r="D80" s="13"/>
      <c r="E80" s="13"/>
      <c r="F80" s="14"/>
      <c r="G80" s="14"/>
      <c r="H80" s="15" t="str">
        <f aca="false">IF(F80="","",F80-G80)</f>
        <v/>
      </c>
      <c r="I80" s="16" t="str">
        <f aca="false">IF(F80="","",IF(H80&lt;=0,"Ödendi",IF(E80="","Vadesiz",IF(E80&lt;Özet!$C$3,"Gecikti",IF(E80&lt;=Özet!$C$3+7,"Bu hafta","Bekliyor")))))</f>
        <v/>
      </c>
      <c r="J80" s="17" t="str">
        <f aca="false">IF(I80="Gecikti",Özet!$C$3-E80,"")</f>
        <v/>
      </c>
      <c r="K80" s="12"/>
    </row>
    <row r="81" customFormat="false" ht="15" hidden="false" customHeight="false" outlineLevel="0" collapsed="false">
      <c r="A81" s="11"/>
      <c r="B81" s="12"/>
      <c r="C81" s="12"/>
      <c r="D81" s="13"/>
      <c r="E81" s="13"/>
      <c r="F81" s="14"/>
      <c r="G81" s="14"/>
      <c r="H81" s="15" t="str">
        <f aca="false">IF(F81="","",F81-G81)</f>
        <v/>
      </c>
      <c r="I81" s="16" t="str">
        <f aca="false">IF(F81="","",IF(H81&lt;=0,"Ödendi",IF(E81="","Vadesiz",IF(E81&lt;Özet!$C$3,"Gecikti",IF(E81&lt;=Özet!$C$3+7,"Bu hafta","Bekliyor")))))</f>
        <v/>
      </c>
      <c r="J81" s="17" t="str">
        <f aca="false">IF(I81="Gecikti",Özet!$C$3-E81,"")</f>
        <v/>
      </c>
      <c r="K81" s="12"/>
    </row>
    <row r="82" customFormat="false" ht="15" hidden="false" customHeight="false" outlineLevel="0" collapsed="false">
      <c r="A82" s="11"/>
      <c r="B82" s="12"/>
      <c r="C82" s="12"/>
      <c r="D82" s="13"/>
      <c r="E82" s="13"/>
      <c r="F82" s="14"/>
      <c r="G82" s="14"/>
      <c r="H82" s="15" t="str">
        <f aca="false">IF(F82="","",F82-G82)</f>
        <v/>
      </c>
      <c r="I82" s="16" t="str">
        <f aca="false">IF(F82="","",IF(H82&lt;=0,"Ödendi",IF(E82="","Vadesiz",IF(E82&lt;Özet!$C$3,"Gecikti",IF(E82&lt;=Özet!$C$3+7,"Bu hafta","Bekliyor")))))</f>
        <v/>
      </c>
      <c r="J82" s="17" t="str">
        <f aca="false">IF(I82="Gecikti",Özet!$C$3-E82,"")</f>
        <v/>
      </c>
      <c r="K82" s="12"/>
    </row>
    <row r="83" customFormat="false" ht="15" hidden="false" customHeight="false" outlineLevel="0" collapsed="false">
      <c r="A83" s="11"/>
      <c r="B83" s="12"/>
      <c r="C83" s="12"/>
      <c r="D83" s="13"/>
      <c r="E83" s="13"/>
      <c r="F83" s="14"/>
      <c r="G83" s="14"/>
      <c r="H83" s="15" t="str">
        <f aca="false">IF(F83="","",F83-G83)</f>
        <v/>
      </c>
      <c r="I83" s="16" t="str">
        <f aca="false">IF(F83="","",IF(H83&lt;=0,"Ödendi",IF(E83="","Vadesiz",IF(E83&lt;Özet!$C$3,"Gecikti",IF(E83&lt;=Özet!$C$3+7,"Bu hafta","Bekliyor")))))</f>
        <v/>
      </c>
      <c r="J83" s="17" t="str">
        <f aca="false">IF(I83="Gecikti",Özet!$C$3-E83,"")</f>
        <v/>
      </c>
      <c r="K83" s="12"/>
    </row>
    <row r="84" customFormat="false" ht="15" hidden="false" customHeight="false" outlineLevel="0" collapsed="false">
      <c r="A84" s="11"/>
      <c r="B84" s="12"/>
      <c r="C84" s="12"/>
      <c r="D84" s="13"/>
      <c r="E84" s="13"/>
      <c r="F84" s="14"/>
      <c r="G84" s="14"/>
      <c r="H84" s="15" t="str">
        <f aca="false">IF(F84="","",F84-G84)</f>
        <v/>
      </c>
      <c r="I84" s="16" t="str">
        <f aca="false">IF(F84="","",IF(H84&lt;=0,"Ödendi",IF(E84="","Vadesiz",IF(E84&lt;Özet!$C$3,"Gecikti",IF(E84&lt;=Özet!$C$3+7,"Bu hafta","Bekliyor")))))</f>
        <v/>
      </c>
      <c r="J84" s="17" t="str">
        <f aca="false">IF(I84="Gecikti",Özet!$C$3-E84,"")</f>
        <v/>
      </c>
      <c r="K84" s="12"/>
    </row>
    <row r="85" customFormat="false" ht="15" hidden="false" customHeight="false" outlineLevel="0" collapsed="false">
      <c r="A85" s="11"/>
      <c r="B85" s="12"/>
      <c r="C85" s="12"/>
      <c r="D85" s="13"/>
      <c r="E85" s="13"/>
      <c r="F85" s="14"/>
      <c r="G85" s="14"/>
      <c r="H85" s="15" t="str">
        <f aca="false">IF(F85="","",F85-G85)</f>
        <v/>
      </c>
      <c r="I85" s="16" t="str">
        <f aca="false">IF(F85="","",IF(H85&lt;=0,"Ödendi",IF(E85="","Vadesiz",IF(E85&lt;Özet!$C$3,"Gecikti",IF(E85&lt;=Özet!$C$3+7,"Bu hafta","Bekliyor")))))</f>
        <v/>
      </c>
      <c r="J85" s="17" t="str">
        <f aca="false">IF(I85="Gecikti",Özet!$C$3-E85,"")</f>
        <v/>
      </c>
      <c r="K85" s="12"/>
    </row>
    <row r="86" customFormat="false" ht="15" hidden="false" customHeight="false" outlineLevel="0" collapsed="false">
      <c r="A86" s="11"/>
      <c r="B86" s="12"/>
      <c r="C86" s="12"/>
      <c r="D86" s="13"/>
      <c r="E86" s="13"/>
      <c r="F86" s="14"/>
      <c r="G86" s="14"/>
      <c r="H86" s="15" t="str">
        <f aca="false">IF(F86="","",F86-G86)</f>
        <v/>
      </c>
      <c r="I86" s="16" t="str">
        <f aca="false">IF(F86="","",IF(H86&lt;=0,"Ödendi",IF(E86="","Vadesiz",IF(E86&lt;Özet!$C$3,"Gecikti",IF(E86&lt;=Özet!$C$3+7,"Bu hafta","Bekliyor")))))</f>
        <v/>
      </c>
      <c r="J86" s="17" t="str">
        <f aca="false">IF(I86="Gecikti",Özet!$C$3-E86,"")</f>
        <v/>
      </c>
      <c r="K86" s="12"/>
    </row>
    <row r="87" customFormat="false" ht="15" hidden="false" customHeight="false" outlineLevel="0" collapsed="false">
      <c r="A87" s="11"/>
      <c r="B87" s="12"/>
      <c r="C87" s="12"/>
      <c r="D87" s="13"/>
      <c r="E87" s="13"/>
      <c r="F87" s="14"/>
      <c r="G87" s="14"/>
      <c r="H87" s="15" t="str">
        <f aca="false">IF(F87="","",F87-G87)</f>
        <v/>
      </c>
      <c r="I87" s="16" t="str">
        <f aca="false">IF(F87="","",IF(H87&lt;=0,"Ödendi",IF(E87="","Vadesiz",IF(E87&lt;Özet!$C$3,"Gecikti",IF(E87&lt;=Özet!$C$3+7,"Bu hafta","Bekliyor")))))</f>
        <v/>
      </c>
      <c r="J87" s="17" t="str">
        <f aca="false">IF(I87="Gecikti",Özet!$C$3-E87,"")</f>
        <v/>
      </c>
      <c r="K87" s="12"/>
    </row>
    <row r="88" customFormat="false" ht="15" hidden="false" customHeight="false" outlineLevel="0" collapsed="false">
      <c r="A88" s="11"/>
      <c r="B88" s="12"/>
      <c r="C88" s="12"/>
      <c r="D88" s="13"/>
      <c r="E88" s="13"/>
      <c r="F88" s="14"/>
      <c r="G88" s="14"/>
      <c r="H88" s="15" t="str">
        <f aca="false">IF(F88="","",F88-G88)</f>
        <v/>
      </c>
      <c r="I88" s="16" t="str">
        <f aca="false">IF(F88="","",IF(H88&lt;=0,"Ödendi",IF(E88="","Vadesiz",IF(E88&lt;Özet!$C$3,"Gecikti",IF(E88&lt;=Özet!$C$3+7,"Bu hafta","Bekliyor")))))</f>
        <v/>
      </c>
      <c r="J88" s="17" t="str">
        <f aca="false">IF(I88="Gecikti",Özet!$C$3-E88,"")</f>
        <v/>
      </c>
      <c r="K88" s="12"/>
    </row>
    <row r="89" customFormat="false" ht="15" hidden="false" customHeight="false" outlineLevel="0" collapsed="false">
      <c r="A89" s="11"/>
      <c r="B89" s="12"/>
      <c r="C89" s="12"/>
      <c r="D89" s="13"/>
      <c r="E89" s="13"/>
      <c r="F89" s="14"/>
      <c r="G89" s="14"/>
      <c r="H89" s="15" t="str">
        <f aca="false">IF(F89="","",F89-G89)</f>
        <v/>
      </c>
      <c r="I89" s="16" t="str">
        <f aca="false">IF(F89="","",IF(H89&lt;=0,"Ödendi",IF(E89="","Vadesiz",IF(E89&lt;Özet!$C$3,"Gecikti",IF(E89&lt;=Özet!$C$3+7,"Bu hafta","Bekliyor")))))</f>
        <v/>
      </c>
      <c r="J89" s="17" t="str">
        <f aca="false">IF(I89="Gecikti",Özet!$C$3-E89,"")</f>
        <v/>
      </c>
      <c r="K89" s="12"/>
    </row>
    <row r="90" customFormat="false" ht="15" hidden="false" customHeight="false" outlineLevel="0" collapsed="false">
      <c r="A90" s="11"/>
      <c r="B90" s="12"/>
      <c r="C90" s="12"/>
      <c r="D90" s="13"/>
      <c r="E90" s="13"/>
      <c r="F90" s="14"/>
      <c r="G90" s="14"/>
      <c r="H90" s="15" t="str">
        <f aca="false">IF(F90="","",F90-G90)</f>
        <v/>
      </c>
      <c r="I90" s="16" t="str">
        <f aca="false">IF(F90="","",IF(H90&lt;=0,"Ödendi",IF(E90="","Vadesiz",IF(E90&lt;Özet!$C$3,"Gecikti",IF(E90&lt;=Özet!$C$3+7,"Bu hafta","Bekliyor")))))</f>
        <v/>
      </c>
      <c r="J90" s="17" t="str">
        <f aca="false">IF(I90="Gecikti",Özet!$C$3-E90,"")</f>
        <v/>
      </c>
      <c r="K90" s="12"/>
    </row>
    <row r="91" customFormat="false" ht="15" hidden="false" customHeight="false" outlineLevel="0" collapsed="false">
      <c r="A91" s="11"/>
      <c r="B91" s="12"/>
      <c r="C91" s="12"/>
      <c r="D91" s="13"/>
      <c r="E91" s="13"/>
      <c r="F91" s="14"/>
      <c r="G91" s="14"/>
      <c r="H91" s="15" t="str">
        <f aca="false">IF(F91="","",F91-G91)</f>
        <v/>
      </c>
      <c r="I91" s="16" t="str">
        <f aca="false">IF(F91="","",IF(H91&lt;=0,"Ödendi",IF(E91="","Vadesiz",IF(E91&lt;Özet!$C$3,"Gecikti",IF(E91&lt;=Özet!$C$3+7,"Bu hafta","Bekliyor")))))</f>
        <v/>
      </c>
      <c r="J91" s="17" t="str">
        <f aca="false">IF(I91="Gecikti",Özet!$C$3-E91,"")</f>
        <v/>
      </c>
      <c r="K91" s="12"/>
    </row>
    <row r="92" customFormat="false" ht="15" hidden="false" customHeight="false" outlineLevel="0" collapsed="false">
      <c r="A92" s="11"/>
      <c r="B92" s="12"/>
      <c r="C92" s="12"/>
      <c r="D92" s="13"/>
      <c r="E92" s="13"/>
      <c r="F92" s="14"/>
      <c r="G92" s="14"/>
      <c r="H92" s="15" t="str">
        <f aca="false">IF(F92="","",F92-G92)</f>
        <v/>
      </c>
      <c r="I92" s="16" t="str">
        <f aca="false">IF(F92="","",IF(H92&lt;=0,"Ödendi",IF(E92="","Vadesiz",IF(E92&lt;Özet!$C$3,"Gecikti",IF(E92&lt;=Özet!$C$3+7,"Bu hafta","Bekliyor")))))</f>
        <v/>
      </c>
      <c r="J92" s="17" t="str">
        <f aca="false">IF(I92="Gecikti",Özet!$C$3-E92,"")</f>
        <v/>
      </c>
      <c r="K92" s="12"/>
    </row>
    <row r="93" customFormat="false" ht="15" hidden="false" customHeight="false" outlineLevel="0" collapsed="false">
      <c r="A93" s="11"/>
      <c r="B93" s="12"/>
      <c r="C93" s="12"/>
      <c r="D93" s="13"/>
      <c r="E93" s="13"/>
      <c r="F93" s="14"/>
      <c r="G93" s="14"/>
      <c r="H93" s="15" t="str">
        <f aca="false">IF(F93="","",F93-G93)</f>
        <v/>
      </c>
      <c r="I93" s="16" t="str">
        <f aca="false">IF(F93="","",IF(H93&lt;=0,"Ödendi",IF(E93="","Vadesiz",IF(E93&lt;Özet!$C$3,"Gecikti",IF(E93&lt;=Özet!$C$3+7,"Bu hafta","Bekliyor")))))</f>
        <v/>
      </c>
      <c r="J93" s="17" t="str">
        <f aca="false">IF(I93="Gecikti",Özet!$C$3-E93,"")</f>
        <v/>
      </c>
      <c r="K93" s="12"/>
    </row>
    <row r="94" customFormat="false" ht="15" hidden="false" customHeight="false" outlineLevel="0" collapsed="false">
      <c r="A94" s="11"/>
      <c r="B94" s="12"/>
      <c r="C94" s="12"/>
      <c r="D94" s="13"/>
      <c r="E94" s="13"/>
      <c r="F94" s="14"/>
      <c r="G94" s="14"/>
      <c r="H94" s="15" t="str">
        <f aca="false">IF(F94="","",F94-G94)</f>
        <v/>
      </c>
      <c r="I94" s="16" t="str">
        <f aca="false">IF(F94="","",IF(H94&lt;=0,"Ödendi",IF(E94="","Vadesiz",IF(E94&lt;Özet!$C$3,"Gecikti",IF(E94&lt;=Özet!$C$3+7,"Bu hafta","Bekliyor")))))</f>
        <v/>
      </c>
      <c r="J94" s="17" t="str">
        <f aca="false">IF(I94="Gecikti",Özet!$C$3-E94,"")</f>
        <v/>
      </c>
      <c r="K94" s="12"/>
    </row>
    <row r="95" customFormat="false" ht="15" hidden="false" customHeight="false" outlineLevel="0" collapsed="false">
      <c r="A95" s="11"/>
      <c r="B95" s="12"/>
      <c r="C95" s="12"/>
      <c r="D95" s="13"/>
      <c r="E95" s="13"/>
      <c r="F95" s="14"/>
      <c r="G95" s="14"/>
      <c r="H95" s="15" t="str">
        <f aca="false">IF(F95="","",F95-G95)</f>
        <v/>
      </c>
      <c r="I95" s="16" t="str">
        <f aca="false">IF(F95="","",IF(H95&lt;=0,"Ödendi",IF(E95="","Vadesiz",IF(E95&lt;Özet!$C$3,"Gecikti",IF(E95&lt;=Özet!$C$3+7,"Bu hafta","Bekliyor")))))</f>
        <v/>
      </c>
      <c r="J95" s="17" t="str">
        <f aca="false">IF(I95="Gecikti",Özet!$C$3-E95,"")</f>
        <v/>
      </c>
      <c r="K95" s="12"/>
    </row>
    <row r="96" customFormat="false" ht="15" hidden="false" customHeight="false" outlineLevel="0" collapsed="false">
      <c r="A96" s="11"/>
      <c r="B96" s="12"/>
      <c r="C96" s="12"/>
      <c r="D96" s="13"/>
      <c r="E96" s="13"/>
      <c r="F96" s="14"/>
      <c r="G96" s="14"/>
      <c r="H96" s="15" t="str">
        <f aca="false">IF(F96="","",F96-G96)</f>
        <v/>
      </c>
      <c r="I96" s="16" t="str">
        <f aca="false">IF(F96="","",IF(H96&lt;=0,"Ödendi",IF(E96="","Vadesiz",IF(E96&lt;Özet!$C$3,"Gecikti",IF(E96&lt;=Özet!$C$3+7,"Bu hafta","Bekliyor")))))</f>
        <v/>
      </c>
      <c r="J96" s="17" t="str">
        <f aca="false">IF(I96="Gecikti",Özet!$C$3-E96,"")</f>
        <v/>
      </c>
      <c r="K96" s="12"/>
    </row>
    <row r="97" customFormat="false" ht="15" hidden="false" customHeight="false" outlineLevel="0" collapsed="false">
      <c r="A97" s="11"/>
      <c r="B97" s="12"/>
      <c r="C97" s="12"/>
      <c r="D97" s="13"/>
      <c r="E97" s="13"/>
      <c r="F97" s="14"/>
      <c r="G97" s="14"/>
      <c r="H97" s="15" t="str">
        <f aca="false">IF(F97="","",F97-G97)</f>
        <v/>
      </c>
      <c r="I97" s="16" t="str">
        <f aca="false">IF(F97="","",IF(H97&lt;=0,"Ödendi",IF(E97="","Vadesiz",IF(E97&lt;Özet!$C$3,"Gecikti",IF(E97&lt;=Özet!$C$3+7,"Bu hafta","Bekliyor")))))</f>
        <v/>
      </c>
      <c r="J97" s="17" t="str">
        <f aca="false">IF(I97="Gecikti",Özet!$C$3-E97,"")</f>
        <v/>
      </c>
      <c r="K97" s="12"/>
    </row>
    <row r="98" customFormat="false" ht="15" hidden="false" customHeight="false" outlineLevel="0" collapsed="false">
      <c r="A98" s="11"/>
      <c r="B98" s="12"/>
      <c r="C98" s="12"/>
      <c r="D98" s="13"/>
      <c r="E98" s="13"/>
      <c r="F98" s="14"/>
      <c r="G98" s="14"/>
      <c r="H98" s="15" t="str">
        <f aca="false">IF(F98="","",F98-G98)</f>
        <v/>
      </c>
      <c r="I98" s="16" t="str">
        <f aca="false">IF(F98="","",IF(H98&lt;=0,"Ödendi",IF(E98="","Vadesiz",IF(E98&lt;Özet!$C$3,"Gecikti",IF(E98&lt;=Özet!$C$3+7,"Bu hafta","Bekliyor")))))</f>
        <v/>
      </c>
      <c r="J98" s="17" t="str">
        <f aca="false">IF(I98="Gecikti",Özet!$C$3-E98,"")</f>
        <v/>
      </c>
      <c r="K98" s="12"/>
    </row>
    <row r="99" customFormat="false" ht="15" hidden="false" customHeight="false" outlineLevel="0" collapsed="false">
      <c r="A99" s="11"/>
      <c r="B99" s="12"/>
      <c r="C99" s="12"/>
      <c r="D99" s="13"/>
      <c r="E99" s="13"/>
      <c r="F99" s="14"/>
      <c r="G99" s="14"/>
      <c r="H99" s="15" t="str">
        <f aca="false">IF(F99="","",F99-G99)</f>
        <v/>
      </c>
      <c r="I99" s="16" t="str">
        <f aca="false">IF(F99="","",IF(H99&lt;=0,"Ödendi",IF(E99="","Vadesiz",IF(E99&lt;Özet!$C$3,"Gecikti",IF(E99&lt;=Özet!$C$3+7,"Bu hafta","Bekliyor")))))</f>
        <v/>
      </c>
      <c r="J99" s="17" t="str">
        <f aca="false">IF(I99="Gecikti",Özet!$C$3-E99,"")</f>
        <v/>
      </c>
      <c r="K99" s="12"/>
    </row>
    <row r="100" customFormat="false" ht="15" hidden="false" customHeight="false" outlineLevel="0" collapsed="false">
      <c r="A100" s="11"/>
      <c r="B100" s="12"/>
      <c r="C100" s="12"/>
      <c r="D100" s="13"/>
      <c r="E100" s="13"/>
      <c r="F100" s="14"/>
      <c r="G100" s="14"/>
      <c r="H100" s="15" t="str">
        <f aca="false">IF(F100="","",F100-G100)</f>
        <v/>
      </c>
      <c r="I100" s="16" t="str">
        <f aca="false">IF(F100="","",IF(H100&lt;=0,"Ödendi",IF(E100="","Vadesiz",IF(E100&lt;Özet!$C$3,"Gecikti",IF(E100&lt;=Özet!$C$3+7,"Bu hafta","Bekliyor")))))</f>
        <v/>
      </c>
      <c r="J100" s="17" t="str">
        <f aca="false">IF(I100="Gecikti",Özet!$C$3-E100,"")</f>
        <v/>
      </c>
      <c r="K100" s="12"/>
    </row>
    <row r="101" customFormat="false" ht="15" hidden="false" customHeight="false" outlineLevel="0" collapsed="false">
      <c r="A101" s="11"/>
      <c r="B101" s="12"/>
      <c r="C101" s="12"/>
      <c r="D101" s="13"/>
      <c r="E101" s="13"/>
      <c r="F101" s="14"/>
      <c r="G101" s="14"/>
      <c r="H101" s="15" t="str">
        <f aca="false">IF(F101="","",F101-G101)</f>
        <v/>
      </c>
      <c r="I101" s="16" t="str">
        <f aca="false">IF(F101="","",IF(H101&lt;=0,"Ödendi",IF(E101="","Vadesiz",IF(E101&lt;Özet!$C$3,"Gecikti",IF(E101&lt;=Özet!$C$3+7,"Bu hafta","Bekliyor")))))</f>
        <v/>
      </c>
      <c r="J101" s="17" t="str">
        <f aca="false">IF(I101="Gecikti",Özet!$C$3-E101,"")</f>
        <v/>
      </c>
      <c r="K101" s="12"/>
    </row>
    <row r="102" customFormat="false" ht="15" hidden="false" customHeight="false" outlineLevel="0" collapsed="false">
      <c r="A102" s="11"/>
      <c r="B102" s="12"/>
      <c r="C102" s="12"/>
      <c r="D102" s="13"/>
      <c r="E102" s="13"/>
      <c r="F102" s="14"/>
      <c r="G102" s="14"/>
      <c r="H102" s="15" t="str">
        <f aca="false">IF(F102="","",F102-G102)</f>
        <v/>
      </c>
      <c r="I102" s="16" t="str">
        <f aca="false">IF(F102="","",IF(H102&lt;=0,"Ödendi",IF(E102="","Vadesiz",IF(E102&lt;Özet!$C$3,"Gecikti",IF(E102&lt;=Özet!$C$3+7,"Bu hafta","Bekliyor")))))</f>
        <v/>
      </c>
      <c r="J102" s="17" t="str">
        <f aca="false">IF(I102="Gecikti",Özet!$C$3-E102,"")</f>
        <v/>
      </c>
      <c r="K102" s="12"/>
    </row>
    <row r="103" customFormat="false" ht="15" hidden="false" customHeight="false" outlineLevel="0" collapsed="false">
      <c r="A103" s="11"/>
      <c r="B103" s="12"/>
      <c r="C103" s="12"/>
      <c r="D103" s="13"/>
      <c r="E103" s="13"/>
      <c r="F103" s="14"/>
      <c r="G103" s="14"/>
      <c r="H103" s="15" t="str">
        <f aca="false">IF(F103="","",F103-G103)</f>
        <v/>
      </c>
      <c r="I103" s="16" t="str">
        <f aca="false">IF(F103="","",IF(H103&lt;=0,"Ödendi",IF(E103="","Vadesiz",IF(E103&lt;Özet!$C$3,"Gecikti",IF(E103&lt;=Özet!$C$3+7,"Bu hafta","Bekliyor")))))</f>
        <v/>
      </c>
      <c r="J103" s="17" t="str">
        <f aca="false">IF(I103="Gecikti",Özet!$C$3-E103,"")</f>
        <v/>
      </c>
      <c r="K103" s="12"/>
    </row>
    <row r="104" customFormat="false" ht="15" hidden="false" customHeight="false" outlineLevel="0" collapsed="false">
      <c r="A104" s="11"/>
      <c r="B104" s="12"/>
      <c r="C104" s="12"/>
      <c r="D104" s="13"/>
      <c r="E104" s="13"/>
      <c r="F104" s="14"/>
      <c r="G104" s="14"/>
      <c r="H104" s="15" t="str">
        <f aca="false">IF(F104="","",F104-G104)</f>
        <v/>
      </c>
      <c r="I104" s="16" t="str">
        <f aca="false">IF(F104="","",IF(H104&lt;=0,"Ödendi",IF(E104="","Vadesiz",IF(E104&lt;Özet!$C$3,"Gecikti",IF(E104&lt;=Özet!$C$3+7,"Bu hafta","Bekliyor")))))</f>
        <v/>
      </c>
      <c r="J104" s="17" t="str">
        <f aca="false">IF(I104="Gecikti",Özet!$C$3-E104,"")</f>
        <v/>
      </c>
      <c r="K104" s="12"/>
    </row>
    <row r="105" customFormat="false" ht="15" hidden="false" customHeight="false" outlineLevel="0" collapsed="false">
      <c r="A105" s="11"/>
      <c r="B105" s="12"/>
      <c r="C105" s="12"/>
      <c r="D105" s="13"/>
      <c r="E105" s="13"/>
      <c r="F105" s="14"/>
      <c r="G105" s="14"/>
      <c r="H105" s="15" t="str">
        <f aca="false">IF(F105="","",F105-G105)</f>
        <v/>
      </c>
      <c r="I105" s="16" t="str">
        <f aca="false">IF(F105="","",IF(H105&lt;=0,"Ödendi",IF(E105="","Vadesiz",IF(E105&lt;Özet!$C$3,"Gecikti",IF(E105&lt;=Özet!$C$3+7,"Bu hafta","Bekliyor")))))</f>
        <v/>
      </c>
      <c r="J105" s="17" t="str">
        <f aca="false">IF(I105="Gecikti",Özet!$C$3-E105,"")</f>
        <v/>
      </c>
      <c r="K105" s="12"/>
    </row>
    <row r="106" customFormat="false" ht="15" hidden="false" customHeight="false" outlineLevel="0" collapsed="false">
      <c r="A106" s="11"/>
      <c r="B106" s="12"/>
      <c r="C106" s="12"/>
      <c r="D106" s="13"/>
      <c r="E106" s="13"/>
      <c r="F106" s="14"/>
      <c r="G106" s="14"/>
      <c r="H106" s="15" t="str">
        <f aca="false">IF(F106="","",F106-G106)</f>
        <v/>
      </c>
      <c r="I106" s="16" t="str">
        <f aca="false">IF(F106="","",IF(H106&lt;=0,"Ödendi",IF(E106="","Vadesiz",IF(E106&lt;Özet!$C$3,"Gecikti",IF(E106&lt;=Özet!$C$3+7,"Bu hafta","Bekliyor")))))</f>
        <v/>
      </c>
      <c r="J106" s="17" t="str">
        <f aca="false">IF(I106="Gecikti",Özet!$C$3-E106,"")</f>
        <v/>
      </c>
      <c r="K106" s="12"/>
    </row>
    <row r="107" customFormat="false" ht="15" hidden="false" customHeight="false" outlineLevel="0" collapsed="false">
      <c r="A107" s="11"/>
      <c r="B107" s="12"/>
      <c r="C107" s="12"/>
      <c r="D107" s="13"/>
      <c r="E107" s="13"/>
      <c r="F107" s="14"/>
      <c r="G107" s="14"/>
      <c r="H107" s="15" t="str">
        <f aca="false">IF(F107="","",F107-G107)</f>
        <v/>
      </c>
      <c r="I107" s="16" t="str">
        <f aca="false">IF(F107="","",IF(H107&lt;=0,"Ödendi",IF(E107="","Vadesiz",IF(E107&lt;Özet!$C$3,"Gecikti",IF(E107&lt;=Özet!$C$3+7,"Bu hafta","Bekliyor")))))</f>
        <v/>
      </c>
      <c r="J107" s="17" t="str">
        <f aca="false">IF(I107="Gecikti",Özet!$C$3-E107,"")</f>
        <v/>
      </c>
      <c r="K107" s="12"/>
    </row>
    <row r="108" customFormat="false" ht="15" hidden="false" customHeight="false" outlineLevel="0" collapsed="false">
      <c r="A108" s="11"/>
      <c r="B108" s="12"/>
      <c r="C108" s="12"/>
      <c r="D108" s="13"/>
      <c r="E108" s="13"/>
      <c r="F108" s="14"/>
      <c r="G108" s="14"/>
      <c r="H108" s="15" t="str">
        <f aca="false">IF(F108="","",F108-G108)</f>
        <v/>
      </c>
      <c r="I108" s="16" t="str">
        <f aca="false">IF(F108="","",IF(H108&lt;=0,"Ödendi",IF(E108="","Vadesiz",IF(E108&lt;Özet!$C$3,"Gecikti",IF(E108&lt;=Özet!$C$3+7,"Bu hafta","Bekliyor")))))</f>
        <v/>
      </c>
      <c r="J108" s="17" t="str">
        <f aca="false">IF(I108="Gecikti",Özet!$C$3-E108,"")</f>
        <v/>
      </c>
      <c r="K108" s="12"/>
    </row>
    <row r="109" customFormat="false" ht="15" hidden="false" customHeight="false" outlineLevel="0" collapsed="false">
      <c r="A109" s="11"/>
      <c r="B109" s="12"/>
      <c r="C109" s="12"/>
      <c r="D109" s="13"/>
      <c r="E109" s="13"/>
      <c r="F109" s="14"/>
      <c r="G109" s="14"/>
      <c r="H109" s="15" t="str">
        <f aca="false">IF(F109="","",F109-G109)</f>
        <v/>
      </c>
      <c r="I109" s="16" t="str">
        <f aca="false">IF(F109="","",IF(H109&lt;=0,"Ödendi",IF(E109="","Vadesiz",IF(E109&lt;Özet!$C$3,"Gecikti",IF(E109&lt;=Özet!$C$3+7,"Bu hafta","Bekliyor")))))</f>
        <v/>
      </c>
      <c r="J109" s="17" t="str">
        <f aca="false">IF(I109="Gecikti",Özet!$C$3-E109,"")</f>
        <v/>
      </c>
      <c r="K109" s="12"/>
    </row>
    <row r="110" customFormat="false" ht="15" hidden="false" customHeight="false" outlineLevel="0" collapsed="false">
      <c r="A110" s="11"/>
      <c r="B110" s="12"/>
      <c r="C110" s="12"/>
      <c r="D110" s="13"/>
      <c r="E110" s="13"/>
      <c r="F110" s="14"/>
      <c r="G110" s="14"/>
      <c r="H110" s="15" t="str">
        <f aca="false">IF(F110="","",F110-G110)</f>
        <v/>
      </c>
      <c r="I110" s="16" t="str">
        <f aca="false">IF(F110="","",IF(H110&lt;=0,"Ödendi",IF(E110="","Vadesiz",IF(E110&lt;Özet!$C$3,"Gecikti",IF(E110&lt;=Özet!$C$3+7,"Bu hafta","Bekliyor")))))</f>
        <v/>
      </c>
      <c r="J110" s="17" t="str">
        <f aca="false">IF(I110="Gecikti",Özet!$C$3-E110,"")</f>
        <v/>
      </c>
      <c r="K110" s="12"/>
    </row>
    <row r="111" customFormat="false" ht="15" hidden="false" customHeight="false" outlineLevel="0" collapsed="false">
      <c r="A111" s="11"/>
      <c r="B111" s="12"/>
      <c r="C111" s="12"/>
      <c r="D111" s="13"/>
      <c r="E111" s="13"/>
      <c r="F111" s="14"/>
      <c r="G111" s="14"/>
      <c r="H111" s="15" t="str">
        <f aca="false">IF(F111="","",F111-G111)</f>
        <v/>
      </c>
      <c r="I111" s="16" t="str">
        <f aca="false">IF(F111="","",IF(H111&lt;=0,"Ödendi",IF(E111="","Vadesiz",IF(E111&lt;Özet!$C$3,"Gecikti",IF(E111&lt;=Özet!$C$3+7,"Bu hafta","Bekliyor")))))</f>
        <v/>
      </c>
      <c r="J111" s="17" t="str">
        <f aca="false">IF(I111="Gecikti",Özet!$C$3-E111,"")</f>
        <v/>
      </c>
      <c r="K111" s="12"/>
    </row>
    <row r="112" customFormat="false" ht="15" hidden="false" customHeight="false" outlineLevel="0" collapsed="false">
      <c r="A112" s="11"/>
      <c r="B112" s="12"/>
      <c r="C112" s="12"/>
      <c r="D112" s="13"/>
      <c r="E112" s="13"/>
      <c r="F112" s="14"/>
      <c r="G112" s="14"/>
      <c r="H112" s="15" t="str">
        <f aca="false">IF(F112="","",F112-G112)</f>
        <v/>
      </c>
      <c r="I112" s="16" t="str">
        <f aca="false">IF(F112="","",IF(H112&lt;=0,"Ödendi",IF(E112="","Vadesiz",IF(E112&lt;Özet!$C$3,"Gecikti",IF(E112&lt;=Özet!$C$3+7,"Bu hafta","Bekliyor")))))</f>
        <v/>
      </c>
      <c r="J112" s="17" t="str">
        <f aca="false">IF(I112="Gecikti",Özet!$C$3-E112,"")</f>
        <v/>
      </c>
      <c r="K112" s="12"/>
    </row>
    <row r="113" customFormat="false" ht="15" hidden="false" customHeight="false" outlineLevel="0" collapsed="false">
      <c r="A113" s="11"/>
      <c r="B113" s="12"/>
      <c r="C113" s="12"/>
      <c r="D113" s="13"/>
      <c r="E113" s="13"/>
      <c r="F113" s="14"/>
      <c r="G113" s="14"/>
      <c r="H113" s="15" t="str">
        <f aca="false">IF(F113="","",F113-G113)</f>
        <v/>
      </c>
      <c r="I113" s="16" t="str">
        <f aca="false">IF(F113="","",IF(H113&lt;=0,"Ödendi",IF(E113="","Vadesiz",IF(E113&lt;Özet!$C$3,"Gecikti",IF(E113&lt;=Özet!$C$3+7,"Bu hafta","Bekliyor")))))</f>
        <v/>
      </c>
      <c r="J113" s="17" t="str">
        <f aca="false">IF(I113="Gecikti",Özet!$C$3-E113,"")</f>
        <v/>
      </c>
      <c r="K113" s="12"/>
    </row>
    <row r="114" customFormat="false" ht="15" hidden="false" customHeight="false" outlineLevel="0" collapsed="false">
      <c r="A114" s="11"/>
      <c r="B114" s="12"/>
      <c r="C114" s="12"/>
      <c r="D114" s="13"/>
      <c r="E114" s="13"/>
      <c r="F114" s="14"/>
      <c r="G114" s="14"/>
      <c r="H114" s="15" t="str">
        <f aca="false">IF(F114="","",F114-G114)</f>
        <v/>
      </c>
      <c r="I114" s="16" t="str">
        <f aca="false">IF(F114="","",IF(H114&lt;=0,"Ödendi",IF(E114="","Vadesiz",IF(E114&lt;Özet!$C$3,"Gecikti",IF(E114&lt;=Özet!$C$3+7,"Bu hafta","Bekliyor")))))</f>
        <v/>
      </c>
      <c r="J114" s="17" t="str">
        <f aca="false">IF(I114="Gecikti",Özet!$C$3-E114,"")</f>
        <v/>
      </c>
      <c r="K114" s="12"/>
    </row>
    <row r="115" customFormat="false" ht="15" hidden="false" customHeight="false" outlineLevel="0" collapsed="false">
      <c r="A115" s="11"/>
      <c r="B115" s="12"/>
      <c r="C115" s="12"/>
      <c r="D115" s="13"/>
      <c r="E115" s="13"/>
      <c r="F115" s="14"/>
      <c r="G115" s="14"/>
      <c r="H115" s="15" t="str">
        <f aca="false">IF(F115="","",F115-G115)</f>
        <v/>
      </c>
      <c r="I115" s="16" t="str">
        <f aca="false">IF(F115="","",IF(H115&lt;=0,"Ödendi",IF(E115="","Vadesiz",IF(E115&lt;Özet!$C$3,"Gecikti",IF(E115&lt;=Özet!$C$3+7,"Bu hafta","Bekliyor")))))</f>
        <v/>
      </c>
      <c r="J115" s="17" t="str">
        <f aca="false">IF(I115="Gecikti",Özet!$C$3-E115,"")</f>
        <v/>
      </c>
      <c r="K115" s="12"/>
    </row>
    <row r="116" customFormat="false" ht="15" hidden="false" customHeight="false" outlineLevel="0" collapsed="false">
      <c r="A116" s="11"/>
      <c r="B116" s="12"/>
      <c r="C116" s="12"/>
      <c r="D116" s="13"/>
      <c r="E116" s="13"/>
      <c r="F116" s="14"/>
      <c r="G116" s="14"/>
      <c r="H116" s="15" t="str">
        <f aca="false">IF(F116="","",F116-G116)</f>
        <v/>
      </c>
      <c r="I116" s="16" t="str">
        <f aca="false">IF(F116="","",IF(H116&lt;=0,"Ödendi",IF(E116="","Vadesiz",IF(E116&lt;Özet!$C$3,"Gecikti",IF(E116&lt;=Özet!$C$3+7,"Bu hafta","Bekliyor")))))</f>
        <v/>
      </c>
      <c r="J116" s="17" t="str">
        <f aca="false">IF(I116="Gecikti",Özet!$C$3-E116,"")</f>
        <v/>
      </c>
      <c r="K116" s="12"/>
    </row>
    <row r="117" customFormat="false" ht="15" hidden="false" customHeight="false" outlineLevel="0" collapsed="false">
      <c r="A117" s="11"/>
      <c r="B117" s="12"/>
      <c r="C117" s="12"/>
      <c r="D117" s="13"/>
      <c r="E117" s="13"/>
      <c r="F117" s="14"/>
      <c r="G117" s="14"/>
      <c r="H117" s="15" t="str">
        <f aca="false">IF(F117="","",F117-G117)</f>
        <v/>
      </c>
      <c r="I117" s="16" t="str">
        <f aca="false">IF(F117="","",IF(H117&lt;=0,"Ödendi",IF(E117="","Vadesiz",IF(E117&lt;Özet!$C$3,"Gecikti",IF(E117&lt;=Özet!$C$3+7,"Bu hafta","Bekliyor")))))</f>
        <v/>
      </c>
      <c r="J117" s="17" t="str">
        <f aca="false">IF(I117="Gecikti",Özet!$C$3-E117,"")</f>
        <v/>
      </c>
      <c r="K117" s="12"/>
    </row>
    <row r="118" customFormat="false" ht="15" hidden="false" customHeight="false" outlineLevel="0" collapsed="false">
      <c r="A118" s="11"/>
      <c r="B118" s="12"/>
      <c r="C118" s="12"/>
      <c r="D118" s="13"/>
      <c r="E118" s="13"/>
      <c r="F118" s="14"/>
      <c r="G118" s="14"/>
      <c r="H118" s="15" t="str">
        <f aca="false">IF(F118="","",F118-G118)</f>
        <v/>
      </c>
      <c r="I118" s="16" t="str">
        <f aca="false">IF(F118="","",IF(H118&lt;=0,"Ödendi",IF(E118="","Vadesiz",IF(E118&lt;Özet!$C$3,"Gecikti",IF(E118&lt;=Özet!$C$3+7,"Bu hafta","Bekliyor")))))</f>
        <v/>
      </c>
      <c r="J118" s="17" t="str">
        <f aca="false">IF(I118="Gecikti",Özet!$C$3-E118,"")</f>
        <v/>
      </c>
      <c r="K118" s="12"/>
    </row>
    <row r="119" customFormat="false" ht="15" hidden="false" customHeight="false" outlineLevel="0" collapsed="false">
      <c r="A119" s="11"/>
      <c r="B119" s="12"/>
      <c r="C119" s="12"/>
      <c r="D119" s="13"/>
      <c r="E119" s="13"/>
      <c r="F119" s="14"/>
      <c r="G119" s="14"/>
      <c r="H119" s="15" t="str">
        <f aca="false">IF(F119="","",F119-G119)</f>
        <v/>
      </c>
      <c r="I119" s="16" t="str">
        <f aca="false">IF(F119="","",IF(H119&lt;=0,"Ödendi",IF(E119="","Vadesiz",IF(E119&lt;Özet!$C$3,"Gecikti",IF(E119&lt;=Özet!$C$3+7,"Bu hafta","Bekliyor")))))</f>
        <v/>
      </c>
      <c r="J119" s="17" t="str">
        <f aca="false">IF(I119="Gecikti",Özet!$C$3-E119,"")</f>
        <v/>
      </c>
      <c r="K119" s="12"/>
    </row>
    <row r="120" customFormat="false" ht="15" hidden="false" customHeight="false" outlineLevel="0" collapsed="false">
      <c r="A120" s="11"/>
      <c r="B120" s="12"/>
      <c r="C120" s="12"/>
      <c r="D120" s="13"/>
      <c r="E120" s="13"/>
      <c r="F120" s="14"/>
      <c r="G120" s="14"/>
      <c r="H120" s="15" t="str">
        <f aca="false">IF(F120="","",F120-G120)</f>
        <v/>
      </c>
      <c r="I120" s="16" t="str">
        <f aca="false">IF(F120="","",IF(H120&lt;=0,"Ödendi",IF(E120="","Vadesiz",IF(E120&lt;Özet!$C$3,"Gecikti",IF(E120&lt;=Özet!$C$3+7,"Bu hafta","Bekliyor")))))</f>
        <v/>
      </c>
      <c r="J120" s="17" t="str">
        <f aca="false">IF(I120="Gecikti",Özet!$C$3-E120,"")</f>
        <v/>
      </c>
      <c r="K120" s="12"/>
    </row>
    <row r="121" customFormat="false" ht="15" hidden="false" customHeight="false" outlineLevel="0" collapsed="false">
      <c r="A121" s="11"/>
      <c r="B121" s="12"/>
      <c r="C121" s="12"/>
      <c r="D121" s="13"/>
      <c r="E121" s="13"/>
      <c r="F121" s="14"/>
      <c r="G121" s="14"/>
      <c r="H121" s="15" t="str">
        <f aca="false">IF(F121="","",F121-G121)</f>
        <v/>
      </c>
      <c r="I121" s="16" t="str">
        <f aca="false">IF(F121="","",IF(H121&lt;=0,"Ödendi",IF(E121="","Vadesiz",IF(E121&lt;Özet!$C$3,"Gecikti",IF(E121&lt;=Özet!$C$3+7,"Bu hafta","Bekliyor")))))</f>
        <v/>
      </c>
      <c r="J121" s="17" t="str">
        <f aca="false">IF(I121="Gecikti",Özet!$C$3-E121,"")</f>
        <v/>
      </c>
      <c r="K121" s="12"/>
    </row>
    <row r="122" customFormat="false" ht="15" hidden="false" customHeight="false" outlineLevel="0" collapsed="false">
      <c r="A122" s="11"/>
      <c r="B122" s="12"/>
      <c r="C122" s="12"/>
      <c r="D122" s="13"/>
      <c r="E122" s="13"/>
      <c r="F122" s="14"/>
      <c r="G122" s="14"/>
      <c r="H122" s="15" t="str">
        <f aca="false">IF(F122="","",F122-G122)</f>
        <v/>
      </c>
      <c r="I122" s="16" t="str">
        <f aca="false">IF(F122="","",IF(H122&lt;=0,"Ödendi",IF(E122="","Vadesiz",IF(E122&lt;Özet!$C$3,"Gecikti",IF(E122&lt;=Özet!$C$3+7,"Bu hafta","Bekliyor")))))</f>
        <v/>
      </c>
      <c r="J122" s="17" t="str">
        <f aca="false">IF(I122="Gecikti",Özet!$C$3-E122,"")</f>
        <v/>
      </c>
      <c r="K122" s="12"/>
    </row>
    <row r="123" customFormat="false" ht="15" hidden="false" customHeight="false" outlineLevel="0" collapsed="false">
      <c r="A123" s="11"/>
      <c r="B123" s="12"/>
      <c r="C123" s="12"/>
      <c r="D123" s="13"/>
      <c r="E123" s="13"/>
      <c r="F123" s="14"/>
      <c r="G123" s="14"/>
      <c r="H123" s="15" t="str">
        <f aca="false">IF(F123="","",F123-G123)</f>
        <v/>
      </c>
      <c r="I123" s="16" t="str">
        <f aca="false">IF(F123="","",IF(H123&lt;=0,"Ödendi",IF(E123="","Vadesiz",IF(E123&lt;Özet!$C$3,"Gecikti",IF(E123&lt;=Özet!$C$3+7,"Bu hafta","Bekliyor")))))</f>
        <v/>
      </c>
      <c r="J123" s="17" t="str">
        <f aca="false">IF(I123="Gecikti",Özet!$C$3-E123,"")</f>
        <v/>
      </c>
      <c r="K123" s="12"/>
    </row>
    <row r="124" customFormat="false" ht="15" hidden="false" customHeight="false" outlineLevel="0" collapsed="false">
      <c r="A124" s="11"/>
      <c r="B124" s="12"/>
      <c r="C124" s="12"/>
      <c r="D124" s="13"/>
      <c r="E124" s="13"/>
      <c r="F124" s="14"/>
      <c r="G124" s="14"/>
      <c r="H124" s="15" t="str">
        <f aca="false">IF(F124="","",F124-G124)</f>
        <v/>
      </c>
      <c r="I124" s="16" t="str">
        <f aca="false">IF(F124="","",IF(H124&lt;=0,"Ödendi",IF(E124="","Vadesiz",IF(E124&lt;Özet!$C$3,"Gecikti",IF(E124&lt;=Özet!$C$3+7,"Bu hafta","Bekliyor")))))</f>
        <v/>
      </c>
      <c r="J124" s="17" t="str">
        <f aca="false">IF(I124="Gecikti",Özet!$C$3-E124,"")</f>
        <v/>
      </c>
      <c r="K124" s="12"/>
    </row>
    <row r="125" customFormat="false" ht="15" hidden="false" customHeight="false" outlineLevel="0" collapsed="false">
      <c r="A125" s="11"/>
      <c r="B125" s="12"/>
      <c r="C125" s="12"/>
      <c r="D125" s="13"/>
      <c r="E125" s="13"/>
      <c r="F125" s="14"/>
      <c r="G125" s="14"/>
      <c r="H125" s="15" t="str">
        <f aca="false">IF(F125="","",F125-G125)</f>
        <v/>
      </c>
      <c r="I125" s="16" t="str">
        <f aca="false">IF(F125="","",IF(H125&lt;=0,"Ödendi",IF(E125="","Vadesiz",IF(E125&lt;Özet!$C$3,"Gecikti",IF(E125&lt;=Özet!$C$3+7,"Bu hafta","Bekliyor")))))</f>
        <v/>
      </c>
      <c r="J125" s="17" t="str">
        <f aca="false">IF(I125="Gecikti",Özet!$C$3-E125,"")</f>
        <v/>
      </c>
      <c r="K125" s="12"/>
    </row>
    <row r="126" customFormat="false" ht="15" hidden="false" customHeight="false" outlineLevel="0" collapsed="false">
      <c r="A126" s="11"/>
      <c r="B126" s="12"/>
      <c r="C126" s="12"/>
      <c r="D126" s="13"/>
      <c r="E126" s="13"/>
      <c r="F126" s="14"/>
      <c r="G126" s="14"/>
      <c r="H126" s="15" t="str">
        <f aca="false">IF(F126="","",F126-G126)</f>
        <v/>
      </c>
      <c r="I126" s="16" t="str">
        <f aca="false">IF(F126="","",IF(H126&lt;=0,"Ödendi",IF(E126="","Vadesiz",IF(E126&lt;Özet!$C$3,"Gecikti",IF(E126&lt;=Özet!$C$3+7,"Bu hafta","Bekliyor")))))</f>
        <v/>
      </c>
      <c r="J126" s="17" t="str">
        <f aca="false">IF(I126="Gecikti",Özet!$C$3-E126,"")</f>
        <v/>
      </c>
      <c r="K126" s="12"/>
    </row>
    <row r="127" customFormat="false" ht="15" hidden="false" customHeight="false" outlineLevel="0" collapsed="false">
      <c r="A127" s="11"/>
      <c r="B127" s="12"/>
      <c r="C127" s="12"/>
      <c r="D127" s="13"/>
      <c r="E127" s="13"/>
      <c r="F127" s="14"/>
      <c r="G127" s="14"/>
      <c r="H127" s="15" t="str">
        <f aca="false">IF(F127="","",F127-G127)</f>
        <v/>
      </c>
      <c r="I127" s="16" t="str">
        <f aca="false">IF(F127="","",IF(H127&lt;=0,"Ödendi",IF(E127="","Vadesiz",IF(E127&lt;Özet!$C$3,"Gecikti",IF(E127&lt;=Özet!$C$3+7,"Bu hafta","Bekliyor")))))</f>
        <v/>
      </c>
      <c r="J127" s="17" t="str">
        <f aca="false">IF(I127="Gecikti",Özet!$C$3-E127,"")</f>
        <v/>
      </c>
      <c r="K127" s="12"/>
    </row>
    <row r="128" customFormat="false" ht="15" hidden="false" customHeight="false" outlineLevel="0" collapsed="false">
      <c r="A128" s="11"/>
      <c r="B128" s="12"/>
      <c r="C128" s="12"/>
      <c r="D128" s="13"/>
      <c r="E128" s="13"/>
      <c r="F128" s="14"/>
      <c r="G128" s="14"/>
      <c r="H128" s="15" t="str">
        <f aca="false">IF(F128="","",F128-G128)</f>
        <v/>
      </c>
      <c r="I128" s="16" t="str">
        <f aca="false">IF(F128="","",IF(H128&lt;=0,"Ödendi",IF(E128="","Vadesiz",IF(E128&lt;Özet!$C$3,"Gecikti",IF(E128&lt;=Özet!$C$3+7,"Bu hafta","Bekliyor")))))</f>
        <v/>
      </c>
      <c r="J128" s="17" t="str">
        <f aca="false">IF(I128="Gecikti",Özet!$C$3-E128,"")</f>
        <v/>
      </c>
      <c r="K128" s="12"/>
    </row>
    <row r="129" customFormat="false" ht="15" hidden="false" customHeight="false" outlineLevel="0" collapsed="false">
      <c r="A129" s="11"/>
      <c r="B129" s="12"/>
      <c r="C129" s="12"/>
      <c r="D129" s="13"/>
      <c r="E129" s="13"/>
      <c r="F129" s="14"/>
      <c r="G129" s="14"/>
      <c r="H129" s="15" t="str">
        <f aca="false">IF(F129="","",F129-G129)</f>
        <v/>
      </c>
      <c r="I129" s="16" t="str">
        <f aca="false">IF(F129="","",IF(H129&lt;=0,"Ödendi",IF(E129="","Vadesiz",IF(E129&lt;Özet!$C$3,"Gecikti",IF(E129&lt;=Özet!$C$3+7,"Bu hafta","Bekliyor")))))</f>
        <v/>
      </c>
      <c r="J129" s="17" t="str">
        <f aca="false">IF(I129="Gecikti",Özet!$C$3-E129,"")</f>
        <v/>
      </c>
      <c r="K129" s="12"/>
    </row>
    <row r="130" customFormat="false" ht="15" hidden="false" customHeight="false" outlineLevel="0" collapsed="false">
      <c r="A130" s="11"/>
      <c r="B130" s="12"/>
      <c r="C130" s="12"/>
      <c r="D130" s="13"/>
      <c r="E130" s="13"/>
      <c r="F130" s="14"/>
      <c r="G130" s="14"/>
      <c r="H130" s="15" t="str">
        <f aca="false">IF(F130="","",F130-G130)</f>
        <v/>
      </c>
      <c r="I130" s="16" t="str">
        <f aca="false">IF(F130="","",IF(H130&lt;=0,"Ödendi",IF(E130="","Vadesiz",IF(E130&lt;Özet!$C$3,"Gecikti",IF(E130&lt;=Özet!$C$3+7,"Bu hafta","Bekliyor")))))</f>
        <v/>
      </c>
      <c r="J130" s="17" t="str">
        <f aca="false">IF(I130="Gecikti",Özet!$C$3-E130,"")</f>
        <v/>
      </c>
      <c r="K130" s="12"/>
    </row>
    <row r="131" customFormat="false" ht="15" hidden="false" customHeight="false" outlineLevel="0" collapsed="false">
      <c r="A131" s="11"/>
      <c r="B131" s="12"/>
      <c r="C131" s="12"/>
      <c r="D131" s="13"/>
      <c r="E131" s="13"/>
      <c r="F131" s="14"/>
      <c r="G131" s="14"/>
      <c r="H131" s="15" t="str">
        <f aca="false">IF(F131="","",F131-G131)</f>
        <v/>
      </c>
      <c r="I131" s="16" t="str">
        <f aca="false">IF(F131="","",IF(H131&lt;=0,"Ödendi",IF(E131="","Vadesiz",IF(E131&lt;Özet!$C$3,"Gecikti",IF(E131&lt;=Özet!$C$3+7,"Bu hafta","Bekliyor")))))</f>
        <v/>
      </c>
      <c r="J131" s="17" t="str">
        <f aca="false">IF(I131="Gecikti",Özet!$C$3-E131,"")</f>
        <v/>
      </c>
      <c r="K131" s="12"/>
    </row>
    <row r="132" customFormat="false" ht="15" hidden="false" customHeight="false" outlineLevel="0" collapsed="false">
      <c r="A132" s="11"/>
      <c r="B132" s="12"/>
      <c r="C132" s="12"/>
      <c r="D132" s="13"/>
      <c r="E132" s="13"/>
      <c r="F132" s="14"/>
      <c r="G132" s="14"/>
      <c r="H132" s="15" t="str">
        <f aca="false">IF(F132="","",F132-G132)</f>
        <v/>
      </c>
      <c r="I132" s="16" t="str">
        <f aca="false">IF(F132="","",IF(H132&lt;=0,"Ödendi",IF(E132="","Vadesiz",IF(E132&lt;Özet!$C$3,"Gecikti",IF(E132&lt;=Özet!$C$3+7,"Bu hafta","Bekliyor")))))</f>
        <v/>
      </c>
      <c r="J132" s="17" t="str">
        <f aca="false">IF(I132="Gecikti",Özet!$C$3-E132,"")</f>
        <v/>
      </c>
      <c r="K132" s="12"/>
    </row>
    <row r="133" customFormat="false" ht="15" hidden="false" customHeight="false" outlineLevel="0" collapsed="false">
      <c r="A133" s="11"/>
      <c r="B133" s="12"/>
      <c r="C133" s="12"/>
      <c r="D133" s="13"/>
      <c r="E133" s="13"/>
      <c r="F133" s="14"/>
      <c r="G133" s="14"/>
      <c r="H133" s="15" t="str">
        <f aca="false">IF(F133="","",F133-G133)</f>
        <v/>
      </c>
      <c r="I133" s="16" t="str">
        <f aca="false">IF(F133="","",IF(H133&lt;=0,"Ödendi",IF(E133="","Vadesiz",IF(E133&lt;Özet!$C$3,"Gecikti",IF(E133&lt;=Özet!$C$3+7,"Bu hafta","Bekliyor")))))</f>
        <v/>
      </c>
      <c r="J133" s="17" t="str">
        <f aca="false">IF(I133="Gecikti",Özet!$C$3-E133,"")</f>
        <v/>
      </c>
      <c r="K133" s="12"/>
    </row>
    <row r="134" customFormat="false" ht="15" hidden="false" customHeight="false" outlineLevel="0" collapsed="false">
      <c r="A134" s="11"/>
      <c r="B134" s="12"/>
      <c r="C134" s="12"/>
      <c r="D134" s="13"/>
      <c r="E134" s="13"/>
      <c r="F134" s="14"/>
      <c r="G134" s="14"/>
      <c r="H134" s="15" t="str">
        <f aca="false">IF(F134="","",F134-G134)</f>
        <v/>
      </c>
      <c r="I134" s="16" t="str">
        <f aca="false">IF(F134="","",IF(H134&lt;=0,"Ödendi",IF(E134="","Vadesiz",IF(E134&lt;Özet!$C$3,"Gecikti",IF(E134&lt;=Özet!$C$3+7,"Bu hafta","Bekliyor")))))</f>
        <v/>
      </c>
      <c r="J134" s="17" t="str">
        <f aca="false">IF(I134="Gecikti",Özet!$C$3-E134,"")</f>
        <v/>
      </c>
      <c r="K134" s="12"/>
    </row>
    <row r="135" customFormat="false" ht="15" hidden="false" customHeight="false" outlineLevel="0" collapsed="false">
      <c r="A135" s="11"/>
      <c r="B135" s="12"/>
      <c r="C135" s="12"/>
      <c r="D135" s="13"/>
      <c r="E135" s="13"/>
      <c r="F135" s="14"/>
      <c r="G135" s="14"/>
      <c r="H135" s="15" t="str">
        <f aca="false">IF(F135="","",F135-G135)</f>
        <v/>
      </c>
      <c r="I135" s="16" t="str">
        <f aca="false">IF(F135="","",IF(H135&lt;=0,"Ödendi",IF(E135="","Vadesiz",IF(E135&lt;Özet!$C$3,"Gecikti",IF(E135&lt;=Özet!$C$3+7,"Bu hafta","Bekliyor")))))</f>
        <v/>
      </c>
      <c r="J135" s="17" t="str">
        <f aca="false">IF(I135="Gecikti",Özet!$C$3-E135,"")</f>
        <v/>
      </c>
      <c r="K135" s="12"/>
    </row>
    <row r="136" customFormat="false" ht="15" hidden="false" customHeight="false" outlineLevel="0" collapsed="false">
      <c r="A136" s="11"/>
      <c r="B136" s="12"/>
      <c r="C136" s="12"/>
      <c r="D136" s="13"/>
      <c r="E136" s="13"/>
      <c r="F136" s="14"/>
      <c r="G136" s="14"/>
      <c r="H136" s="15" t="str">
        <f aca="false">IF(F136="","",F136-G136)</f>
        <v/>
      </c>
      <c r="I136" s="16" t="str">
        <f aca="false">IF(F136="","",IF(H136&lt;=0,"Ödendi",IF(E136="","Vadesiz",IF(E136&lt;Özet!$C$3,"Gecikti",IF(E136&lt;=Özet!$C$3+7,"Bu hafta","Bekliyor")))))</f>
        <v/>
      </c>
      <c r="J136" s="17" t="str">
        <f aca="false">IF(I136="Gecikti",Özet!$C$3-E136,"")</f>
        <v/>
      </c>
      <c r="K136" s="12"/>
    </row>
    <row r="137" customFormat="false" ht="15" hidden="false" customHeight="false" outlineLevel="0" collapsed="false">
      <c r="A137" s="11"/>
      <c r="B137" s="12"/>
      <c r="C137" s="12"/>
      <c r="D137" s="13"/>
      <c r="E137" s="13"/>
      <c r="F137" s="14"/>
      <c r="G137" s="14"/>
      <c r="H137" s="15" t="str">
        <f aca="false">IF(F137="","",F137-G137)</f>
        <v/>
      </c>
      <c r="I137" s="16" t="str">
        <f aca="false">IF(F137="","",IF(H137&lt;=0,"Ödendi",IF(E137="","Vadesiz",IF(E137&lt;Özet!$C$3,"Gecikti",IF(E137&lt;=Özet!$C$3+7,"Bu hafta","Bekliyor")))))</f>
        <v/>
      </c>
      <c r="J137" s="17" t="str">
        <f aca="false">IF(I137="Gecikti",Özet!$C$3-E137,"")</f>
        <v/>
      </c>
      <c r="K137" s="12"/>
    </row>
    <row r="138" customFormat="false" ht="15" hidden="false" customHeight="false" outlineLevel="0" collapsed="false">
      <c r="A138" s="11"/>
      <c r="B138" s="12"/>
      <c r="C138" s="12"/>
      <c r="D138" s="13"/>
      <c r="E138" s="13"/>
      <c r="F138" s="14"/>
      <c r="G138" s="14"/>
      <c r="H138" s="15" t="str">
        <f aca="false">IF(F138="","",F138-G138)</f>
        <v/>
      </c>
      <c r="I138" s="16" t="str">
        <f aca="false">IF(F138="","",IF(H138&lt;=0,"Ödendi",IF(E138="","Vadesiz",IF(E138&lt;Özet!$C$3,"Gecikti",IF(E138&lt;=Özet!$C$3+7,"Bu hafta","Bekliyor")))))</f>
        <v/>
      </c>
      <c r="J138" s="17" t="str">
        <f aca="false">IF(I138="Gecikti",Özet!$C$3-E138,"")</f>
        <v/>
      </c>
      <c r="K138" s="12"/>
    </row>
    <row r="139" customFormat="false" ht="15" hidden="false" customHeight="false" outlineLevel="0" collapsed="false">
      <c r="A139" s="11"/>
      <c r="B139" s="12"/>
      <c r="C139" s="12"/>
      <c r="D139" s="13"/>
      <c r="E139" s="13"/>
      <c r="F139" s="14"/>
      <c r="G139" s="14"/>
      <c r="H139" s="15" t="str">
        <f aca="false">IF(F139="","",F139-G139)</f>
        <v/>
      </c>
      <c r="I139" s="16" t="str">
        <f aca="false">IF(F139="","",IF(H139&lt;=0,"Ödendi",IF(E139="","Vadesiz",IF(E139&lt;Özet!$C$3,"Gecikti",IF(E139&lt;=Özet!$C$3+7,"Bu hafta","Bekliyor")))))</f>
        <v/>
      </c>
      <c r="J139" s="17" t="str">
        <f aca="false">IF(I139="Gecikti",Özet!$C$3-E139,"")</f>
        <v/>
      </c>
      <c r="K139" s="12"/>
    </row>
    <row r="140" customFormat="false" ht="15" hidden="false" customHeight="false" outlineLevel="0" collapsed="false">
      <c r="A140" s="11"/>
      <c r="B140" s="12"/>
      <c r="C140" s="12"/>
      <c r="D140" s="13"/>
      <c r="E140" s="13"/>
      <c r="F140" s="14"/>
      <c r="G140" s="14"/>
      <c r="H140" s="15" t="str">
        <f aca="false">IF(F140="","",F140-G140)</f>
        <v/>
      </c>
      <c r="I140" s="16" t="str">
        <f aca="false">IF(F140="","",IF(H140&lt;=0,"Ödendi",IF(E140="","Vadesiz",IF(E140&lt;Özet!$C$3,"Gecikti",IF(E140&lt;=Özet!$C$3+7,"Bu hafta","Bekliyor")))))</f>
        <v/>
      </c>
      <c r="J140" s="17" t="str">
        <f aca="false">IF(I140="Gecikti",Özet!$C$3-E140,"")</f>
        <v/>
      </c>
      <c r="K140" s="12"/>
    </row>
    <row r="141" customFormat="false" ht="15" hidden="false" customHeight="false" outlineLevel="0" collapsed="false">
      <c r="A141" s="11"/>
      <c r="B141" s="12"/>
      <c r="C141" s="12"/>
      <c r="D141" s="13"/>
      <c r="E141" s="13"/>
      <c r="F141" s="14"/>
      <c r="G141" s="14"/>
      <c r="H141" s="15" t="str">
        <f aca="false">IF(F141="","",F141-G141)</f>
        <v/>
      </c>
      <c r="I141" s="16" t="str">
        <f aca="false">IF(F141="","",IF(H141&lt;=0,"Ödendi",IF(E141="","Vadesiz",IF(E141&lt;Özet!$C$3,"Gecikti",IF(E141&lt;=Özet!$C$3+7,"Bu hafta","Bekliyor")))))</f>
        <v/>
      </c>
      <c r="J141" s="17" t="str">
        <f aca="false">IF(I141="Gecikti",Özet!$C$3-E141,"")</f>
        <v/>
      </c>
      <c r="K141" s="12"/>
    </row>
    <row r="142" customFormat="false" ht="15" hidden="false" customHeight="false" outlineLevel="0" collapsed="false">
      <c r="A142" s="11"/>
      <c r="B142" s="12"/>
      <c r="C142" s="12"/>
      <c r="D142" s="13"/>
      <c r="E142" s="13"/>
      <c r="F142" s="14"/>
      <c r="G142" s="14"/>
      <c r="H142" s="15" t="str">
        <f aca="false">IF(F142="","",F142-G142)</f>
        <v/>
      </c>
      <c r="I142" s="16" t="str">
        <f aca="false">IF(F142="","",IF(H142&lt;=0,"Ödendi",IF(E142="","Vadesiz",IF(E142&lt;Özet!$C$3,"Gecikti",IF(E142&lt;=Özet!$C$3+7,"Bu hafta","Bekliyor")))))</f>
        <v/>
      </c>
      <c r="J142" s="17" t="str">
        <f aca="false">IF(I142="Gecikti",Özet!$C$3-E142,"")</f>
        <v/>
      </c>
      <c r="K142" s="12"/>
    </row>
    <row r="143" customFormat="false" ht="15" hidden="false" customHeight="false" outlineLevel="0" collapsed="false">
      <c r="A143" s="11"/>
      <c r="B143" s="12"/>
      <c r="C143" s="12"/>
      <c r="D143" s="13"/>
      <c r="E143" s="13"/>
      <c r="F143" s="14"/>
      <c r="G143" s="14"/>
      <c r="H143" s="15" t="str">
        <f aca="false">IF(F143="","",F143-G143)</f>
        <v/>
      </c>
      <c r="I143" s="16" t="str">
        <f aca="false">IF(F143="","",IF(H143&lt;=0,"Ödendi",IF(E143="","Vadesiz",IF(E143&lt;Özet!$C$3,"Gecikti",IF(E143&lt;=Özet!$C$3+7,"Bu hafta","Bekliyor")))))</f>
        <v/>
      </c>
      <c r="J143" s="17" t="str">
        <f aca="false">IF(I143="Gecikti",Özet!$C$3-E143,"")</f>
        <v/>
      </c>
      <c r="K143" s="12"/>
    </row>
    <row r="144" customFormat="false" ht="15" hidden="false" customHeight="false" outlineLevel="0" collapsed="false">
      <c r="A144" s="11"/>
      <c r="B144" s="12"/>
      <c r="C144" s="12"/>
      <c r="D144" s="13"/>
      <c r="E144" s="13"/>
      <c r="F144" s="14"/>
      <c r="G144" s="14"/>
      <c r="H144" s="15" t="str">
        <f aca="false">IF(F144="","",F144-G144)</f>
        <v/>
      </c>
      <c r="I144" s="16" t="str">
        <f aca="false">IF(F144="","",IF(H144&lt;=0,"Ödendi",IF(E144="","Vadesiz",IF(E144&lt;Özet!$C$3,"Gecikti",IF(E144&lt;=Özet!$C$3+7,"Bu hafta","Bekliyor")))))</f>
        <v/>
      </c>
      <c r="J144" s="17" t="str">
        <f aca="false">IF(I144="Gecikti",Özet!$C$3-E144,"")</f>
        <v/>
      </c>
      <c r="K144" s="12"/>
    </row>
    <row r="145" customFormat="false" ht="15" hidden="false" customHeight="false" outlineLevel="0" collapsed="false">
      <c r="A145" s="11"/>
      <c r="B145" s="12"/>
      <c r="C145" s="12"/>
      <c r="D145" s="13"/>
      <c r="E145" s="13"/>
      <c r="F145" s="14"/>
      <c r="G145" s="14"/>
      <c r="H145" s="15" t="str">
        <f aca="false">IF(F145="","",F145-G145)</f>
        <v/>
      </c>
      <c r="I145" s="16" t="str">
        <f aca="false">IF(F145="","",IF(H145&lt;=0,"Ödendi",IF(E145="","Vadesiz",IF(E145&lt;Özet!$C$3,"Gecikti",IF(E145&lt;=Özet!$C$3+7,"Bu hafta","Bekliyor")))))</f>
        <v/>
      </c>
      <c r="J145" s="17" t="str">
        <f aca="false">IF(I145="Gecikti",Özet!$C$3-E145,"")</f>
        <v/>
      </c>
      <c r="K145" s="12"/>
    </row>
    <row r="146" customFormat="false" ht="15" hidden="false" customHeight="false" outlineLevel="0" collapsed="false">
      <c r="A146" s="11"/>
      <c r="B146" s="12"/>
      <c r="C146" s="12"/>
      <c r="D146" s="13"/>
      <c r="E146" s="13"/>
      <c r="F146" s="14"/>
      <c r="G146" s="14"/>
      <c r="H146" s="15" t="str">
        <f aca="false">IF(F146="","",F146-G146)</f>
        <v/>
      </c>
      <c r="I146" s="16" t="str">
        <f aca="false">IF(F146="","",IF(H146&lt;=0,"Ödendi",IF(E146="","Vadesiz",IF(E146&lt;Özet!$C$3,"Gecikti",IF(E146&lt;=Özet!$C$3+7,"Bu hafta","Bekliyor")))))</f>
        <v/>
      </c>
      <c r="J146" s="17" t="str">
        <f aca="false">IF(I146="Gecikti",Özet!$C$3-E146,"")</f>
        <v/>
      </c>
      <c r="K146" s="12"/>
    </row>
    <row r="147" customFormat="false" ht="15" hidden="false" customHeight="false" outlineLevel="0" collapsed="false">
      <c r="A147" s="11"/>
      <c r="B147" s="12"/>
      <c r="C147" s="12"/>
      <c r="D147" s="13"/>
      <c r="E147" s="13"/>
      <c r="F147" s="14"/>
      <c r="G147" s="14"/>
      <c r="H147" s="15" t="str">
        <f aca="false">IF(F147="","",F147-G147)</f>
        <v/>
      </c>
      <c r="I147" s="16" t="str">
        <f aca="false">IF(F147="","",IF(H147&lt;=0,"Ödendi",IF(E147="","Vadesiz",IF(E147&lt;Özet!$C$3,"Gecikti",IF(E147&lt;=Özet!$C$3+7,"Bu hafta","Bekliyor")))))</f>
        <v/>
      </c>
      <c r="J147" s="17" t="str">
        <f aca="false">IF(I147="Gecikti",Özet!$C$3-E147,"")</f>
        <v/>
      </c>
      <c r="K147" s="12"/>
    </row>
    <row r="148" customFormat="false" ht="15" hidden="false" customHeight="false" outlineLevel="0" collapsed="false">
      <c r="A148" s="11"/>
      <c r="B148" s="12"/>
      <c r="C148" s="12"/>
      <c r="D148" s="13"/>
      <c r="E148" s="13"/>
      <c r="F148" s="14"/>
      <c r="G148" s="14"/>
      <c r="H148" s="15" t="str">
        <f aca="false">IF(F148="","",F148-G148)</f>
        <v/>
      </c>
      <c r="I148" s="16" t="str">
        <f aca="false">IF(F148="","",IF(H148&lt;=0,"Ödendi",IF(E148="","Vadesiz",IF(E148&lt;Özet!$C$3,"Gecikti",IF(E148&lt;=Özet!$C$3+7,"Bu hafta","Bekliyor")))))</f>
        <v/>
      </c>
      <c r="J148" s="17" t="str">
        <f aca="false">IF(I148="Gecikti",Özet!$C$3-E148,"")</f>
        <v/>
      </c>
      <c r="K148" s="12"/>
    </row>
    <row r="149" customFormat="false" ht="15" hidden="false" customHeight="false" outlineLevel="0" collapsed="false">
      <c r="A149" s="11"/>
      <c r="B149" s="12"/>
      <c r="C149" s="12"/>
      <c r="D149" s="13"/>
      <c r="E149" s="13"/>
      <c r="F149" s="14"/>
      <c r="G149" s="14"/>
      <c r="H149" s="15" t="str">
        <f aca="false">IF(F149="","",F149-G149)</f>
        <v/>
      </c>
      <c r="I149" s="16" t="str">
        <f aca="false">IF(F149="","",IF(H149&lt;=0,"Ödendi",IF(E149="","Vadesiz",IF(E149&lt;Özet!$C$3,"Gecikti",IF(E149&lt;=Özet!$C$3+7,"Bu hafta","Bekliyor")))))</f>
        <v/>
      </c>
      <c r="J149" s="17" t="str">
        <f aca="false">IF(I149="Gecikti",Özet!$C$3-E149,"")</f>
        <v/>
      </c>
      <c r="K149" s="12"/>
    </row>
    <row r="150" customFormat="false" ht="15" hidden="false" customHeight="false" outlineLevel="0" collapsed="false">
      <c r="A150" s="11"/>
      <c r="B150" s="12"/>
      <c r="C150" s="12"/>
      <c r="D150" s="13"/>
      <c r="E150" s="13"/>
      <c r="F150" s="14"/>
      <c r="G150" s="14"/>
      <c r="H150" s="15" t="str">
        <f aca="false">IF(F150="","",F150-G150)</f>
        <v/>
      </c>
      <c r="I150" s="16" t="str">
        <f aca="false">IF(F150="","",IF(H150&lt;=0,"Ödendi",IF(E150="","Vadesiz",IF(E150&lt;Özet!$C$3,"Gecikti",IF(E150&lt;=Özet!$C$3+7,"Bu hafta","Bekliyor")))))</f>
        <v/>
      </c>
      <c r="J150" s="17" t="str">
        <f aca="false">IF(I150="Gecikti",Özet!$C$3-E150,"")</f>
        <v/>
      </c>
      <c r="K150" s="12"/>
    </row>
    <row r="151" customFormat="false" ht="15" hidden="false" customHeight="false" outlineLevel="0" collapsed="false">
      <c r="A151" s="11"/>
      <c r="B151" s="12"/>
      <c r="C151" s="12"/>
      <c r="D151" s="13"/>
      <c r="E151" s="13"/>
      <c r="F151" s="14"/>
      <c r="G151" s="14"/>
      <c r="H151" s="15" t="str">
        <f aca="false">IF(F151="","",F151-G151)</f>
        <v/>
      </c>
      <c r="I151" s="16" t="str">
        <f aca="false">IF(F151="","",IF(H151&lt;=0,"Ödendi",IF(E151="","Vadesiz",IF(E151&lt;Özet!$C$3,"Gecikti",IF(E151&lt;=Özet!$C$3+7,"Bu hafta","Bekliyor")))))</f>
        <v/>
      </c>
      <c r="J151" s="17" t="str">
        <f aca="false">IF(I151="Gecikti",Özet!$C$3-E151,"")</f>
        <v/>
      </c>
      <c r="K151" s="12"/>
    </row>
    <row r="152" customFormat="false" ht="15" hidden="false" customHeight="false" outlineLevel="0" collapsed="false">
      <c r="A152" s="11"/>
      <c r="B152" s="12"/>
      <c r="C152" s="12"/>
      <c r="D152" s="13"/>
      <c r="E152" s="13"/>
      <c r="F152" s="14"/>
      <c r="G152" s="14"/>
      <c r="H152" s="15" t="str">
        <f aca="false">IF(F152="","",F152-G152)</f>
        <v/>
      </c>
      <c r="I152" s="16" t="str">
        <f aca="false">IF(F152="","",IF(H152&lt;=0,"Ödendi",IF(E152="","Vadesiz",IF(E152&lt;Özet!$C$3,"Gecikti",IF(E152&lt;=Özet!$C$3+7,"Bu hafta","Bekliyor")))))</f>
        <v/>
      </c>
      <c r="J152" s="17" t="str">
        <f aca="false">IF(I152="Gecikti",Özet!$C$3-E152,"")</f>
        <v/>
      </c>
      <c r="K152" s="12"/>
    </row>
    <row r="153" customFormat="false" ht="15" hidden="false" customHeight="false" outlineLevel="0" collapsed="false">
      <c r="A153" s="11"/>
      <c r="B153" s="12"/>
      <c r="C153" s="12"/>
      <c r="D153" s="13"/>
      <c r="E153" s="13"/>
      <c r="F153" s="14"/>
      <c r="G153" s="14"/>
      <c r="H153" s="15" t="str">
        <f aca="false">IF(F153="","",F153-G153)</f>
        <v/>
      </c>
      <c r="I153" s="16" t="str">
        <f aca="false">IF(F153="","",IF(H153&lt;=0,"Ödendi",IF(E153="","Vadesiz",IF(E153&lt;Özet!$C$3,"Gecikti",IF(E153&lt;=Özet!$C$3+7,"Bu hafta","Bekliyor")))))</f>
        <v/>
      </c>
      <c r="J153" s="17" t="str">
        <f aca="false">IF(I153="Gecikti",Özet!$C$3-E153,"")</f>
        <v/>
      </c>
      <c r="K153" s="12"/>
    </row>
    <row r="154" customFormat="false" ht="15" hidden="false" customHeight="false" outlineLevel="0" collapsed="false">
      <c r="A154" s="11"/>
      <c r="B154" s="12"/>
      <c r="C154" s="12"/>
      <c r="D154" s="13"/>
      <c r="E154" s="13"/>
      <c r="F154" s="14"/>
      <c r="G154" s="14"/>
      <c r="H154" s="15" t="str">
        <f aca="false">IF(F154="","",F154-G154)</f>
        <v/>
      </c>
      <c r="I154" s="16" t="str">
        <f aca="false">IF(F154="","",IF(H154&lt;=0,"Ödendi",IF(E154="","Vadesiz",IF(E154&lt;Özet!$C$3,"Gecikti",IF(E154&lt;=Özet!$C$3+7,"Bu hafta","Bekliyor")))))</f>
        <v/>
      </c>
      <c r="J154" s="17" t="str">
        <f aca="false">IF(I154="Gecikti",Özet!$C$3-E154,"")</f>
        <v/>
      </c>
      <c r="K154" s="12"/>
    </row>
    <row r="155" customFormat="false" ht="15" hidden="false" customHeight="false" outlineLevel="0" collapsed="false">
      <c r="A155" s="11"/>
      <c r="B155" s="12"/>
      <c r="C155" s="12"/>
      <c r="D155" s="13"/>
      <c r="E155" s="13"/>
      <c r="F155" s="14"/>
      <c r="G155" s="14"/>
      <c r="H155" s="15" t="str">
        <f aca="false">IF(F155="","",F155-G155)</f>
        <v/>
      </c>
      <c r="I155" s="16" t="str">
        <f aca="false">IF(F155="","",IF(H155&lt;=0,"Ödendi",IF(E155="","Vadesiz",IF(E155&lt;Özet!$C$3,"Gecikti",IF(E155&lt;=Özet!$C$3+7,"Bu hafta","Bekliyor")))))</f>
        <v/>
      </c>
      <c r="J155" s="17" t="str">
        <f aca="false">IF(I155="Gecikti",Özet!$C$3-E155,"")</f>
        <v/>
      </c>
      <c r="K155" s="12"/>
    </row>
    <row r="156" customFormat="false" ht="15" hidden="false" customHeight="false" outlineLevel="0" collapsed="false">
      <c r="A156" s="11"/>
      <c r="B156" s="12"/>
      <c r="C156" s="12"/>
      <c r="D156" s="13"/>
      <c r="E156" s="13"/>
      <c r="F156" s="14"/>
      <c r="G156" s="14"/>
      <c r="H156" s="15" t="str">
        <f aca="false">IF(F156="","",F156-G156)</f>
        <v/>
      </c>
      <c r="I156" s="16" t="str">
        <f aca="false">IF(F156="","",IF(H156&lt;=0,"Ödendi",IF(E156="","Vadesiz",IF(E156&lt;Özet!$C$3,"Gecikti",IF(E156&lt;=Özet!$C$3+7,"Bu hafta","Bekliyor")))))</f>
        <v/>
      </c>
      <c r="J156" s="17" t="str">
        <f aca="false">IF(I156="Gecikti",Özet!$C$3-E156,"")</f>
        <v/>
      </c>
      <c r="K156" s="12"/>
    </row>
    <row r="157" customFormat="false" ht="15" hidden="false" customHeight="false" outlineLevel="0" collapsed="false">
      <c r="A157" s="11"/>
      <c r="B157" s="12"/>
      <c r="C157" s="12"/>
      <c r="D157" s="13"/>
      <c r="E157" s="13"/>
      <c r="F157" s="14"/>
      <c r="G157" s="14"/>
      <c r="H157" s="15" t="str">
        <f aca="false">IF(F157="","",F157-G157)</f>
        <v/>
      </c>
      <c r="I157" s="16" t="str">
        <f aca="false">IF(F157="","",IF(H157&lt;=0,"Ödendi",IF(E157="","Vadesiz",IF(E157&lt;Özet!$C$3,"Gecikti",IF(E157&lt;=Özet!$C$3+7,"Bu hafta","Bekliyor")))))</f>
        <v/>
      </c>
      <c r="J157" s="17" t="str">
        <f aca="false">IF(I157="Gecikti",Özet!$C$3-E157,"")</f>
        <v/>
      </c>
      <c r="K157" s="12"/>
    </row>
    <row r="158" customFormat="false" ht="15" hidden="false" customHeight="false" outlineLevel="0" collapsed="false">
      <c r="A158" s="11"/>
      <c r="B158" s="12"/>
      <c r="C158" s="12"/>
      <c r="D158" s="13"/>
      <c r="E158" s="13"/>
      <c r="F158" s="14"/>
      <c r="G158" s="14"/>
      <c r="H158" s="15" t="str">
        <f aca="false">IF(F158="","",F158-G158)</f>
        <v/>
      </c>
      <c r="I158" s="16" t="str">
        <f aca="false">IF(F158="","",IF(H158&lt;=0,"Ödendi",IF(E158="","Vadesiz",IF(E158&lt;Özet!$C$3,"Gecikti",IF(E158&lt;=Özet!$C$3+7,"Bu hafta","Bekliyor")))))</f>
        <v/>
      </c>
      <c r="J158" s="17" t="str">
        <f aca="false">IF(I158="Gecikti",Özet!$C$3-E158,"")</f>
        <v/>
      </c>
      <c r="K158" s="12"/>
    </row>
    <row r="159" customFormat="false" ht="15" hidden="false" customHeight="false" outlineLevel="0" collapsed="false">
      <c r="A159" s="11"/>
      <c r="B159" s="12"/>
      <c r="C159" s="12"/>
      <c r="D159" s="13"/>
      <c r="E159" s="13"/>
      <c r="F159" s="14"/>
      <c r="G159" s="14"/>
      <c r="H159" s="15" t="str">
        <f aca="false">IF(F159="","",F159-G159)</f>
        <v/>
      </c>
      <c r="I159" s="16" t="str">
        <f aca="false">IF(F159="","",IF(H159&lt;=0,"Ödendi",IF(E159="","Vadesiz",IF(E159&lt;Özet!$C$3,"Gecikti",IF(E159&lt;=Özet!$C$3+7,"Bu hafta","Bekliyor")))))</f>
        <v/>
      </c>
      <c r="J159" s="17" t="str">
        <f aca="false">IF(I159="Gecikti",Özet!$C$3-E159,"")</f>
        <v/>
      </c>
      <c r="K159" s="12"/>
    </row>
    <row r="160" customFormat="false" ht="15" hidden="false" customHeight="false" outlineLevel="0" collapsed="false">
      <c r="A160" s="11"/>
      <c r="B160" s="12"/>
      <c r="C160" s="12"/>
      <c r="D160" s="13"/>
      <c r="E160" s="13"/>
      <c r="F160" s="14"/>
      <c r="G160" s="14"/>
      <c r="H160" s="15" t="str">
        <f aca="false">IF(F160="","",F160-G160)</f>
        <v/>
      </c>
      <c r="I160" s="16" t="str">
        <f aca="false">IF(F160="","",IF(H160&lt;=0,"Ödendi",IF(E160="","Vadesiz",IF(E160&lt;Özet!$C$3,"Gecikti",IF(E160&lt;=Özet!$C$3+7,"Bu hafta","Bekliyor")))))</f>
        <v/>
      </c>
      <c r="J160" s="17" t="str">
        <f aca="false">IF(I160="Gecikti",Özet!$C$3-E160,"")</f>
        <v/>
      </c>
      <c r="K160" s="12"/>
    </row>
    <row r="161" customFormat="false" ht="15" hidden="false" customHeight="false" outlineLevel="0" collapsed="false">
      <c r="A161" s="11"/>
      <c r="B161" s="12"/>
      <c r="C161" s="12"/>
      <c r="D161" s="13"/>
      <c r="E161" s="13"/>
      <c r="F161" s="14"/>
      <c r="G161" s="14"/>
      <c r="H161" s="15" t="str">
        <f aca="false">IF(F161="","",F161-G161)</f>
        <v/>
      </c>
      <c r="I161" s="16" t="str">
        <f aca="false">IF(F161="","",IF(H161&lt;=0,"Ödendi",IF(E161="","Vadesiz",IF(E161&lt;Özet!$C$3,"Gecikti",IF(E161&lt;=Özet!$C$3+7,"Bu hafta","Bekliyor")))))</f>
        <v/>
      </c>
      <c r="J161" s="17" t="str">
        <f aca="false">IF(I161="Gecikti",Özet!$C$3-E161,"")</f>
        <v/>
      </c>
      <c r="K161" s="12"/>
    </row>
    <row r="162" customFormat="false" ht="15" hidden="false" customHeight="false" outlineLevel="0" collapsed="false">
      <c r="A162" s="11"/>
      <c r="B162" s="12"/>
      <c r="C162" s="12"/>
      <c r="D162" s="13"/>
      <c r="E162" s="13"/>
      <c r="F162" s="14"/>
      <c r="G162" s="14"/>
      <c r="H162" s="15" t="str">
        <f aca="false">IF(F162="","",F162-G162)</f>
        <v/>
      </c>
      <c r="I162" s="16" t="str">
        <f aca="false">IF(F162="","",IF(H162&lt;=0,"Ödendi",IF(E162="","Vadesiz",IF(E162&lt;Özet!$C$3,"Gecikti",IF(E162&lt;=Özet!$C$3+7,"Bu hafta","Bekliyor")))))</f>
        <v/>
      </c>
      <c r="J162" s="17" t="str">
        <f aca="false">IF(I162="Gecikti",Özet!$C$3-E162,"")</f>
        <v/>
      </c>
      <c r="K162" s="12"/>
    </row>
    <row r="163" customFormat="false" ht="15" hidden="false" customHeight="false" outlineLevel="0" collapsed="false">
      <c r="A163" s="11"/>
      <c r="B163" s="12"/>
      <c r="C163" s="12"/>
      <c r="D163" s="13"/>
      <c r="E163" s="13"/>
      <c r="F163" s="14"/>
      <c r="G163" s="14"/>
      <c r="H163" s="15" t="str">
        <f aca="false">IF(F163="","",F163-G163)</f>
        <v/>
      </c>
      <c r="I163" s="16" t="str">
        <f aca="false">IF(F163="","",IF(H163&lt;=0,"Ödendi",IF(E163="","Vadesiz",IF(E163&lt;Özet!$C$3,"Gecikti",IF(E163&lt;=Özet!$C$3+7,"Bu hafta","Bekliyor")))))</f>
        <v/>
      </c>
      <c r="J163" s="17" t="str">
        <f aca="false">IF(I163="Gecikti",Özet!$C$3-E163,"")</f>
        <v/>
      </c>
      <c r="K163" s="12"/>
    </row>
    <row r="164" customFormat="false" ht="15" hidden="false" customHeight="false" outlineLevel="0" collapsed="false">
      <c r="A164" s="11"/>
      <c r="B164" s="12"/>
      <c r="C164" s="12"/>
      <c r="D164" s="13"/>
      <c r="E164" s="13"/>
      <c r="F164" s="14"/>
      <c r="G164" s="14"/>
      <c r="H164" s="15" t="str">
        <f aca="false">IF(F164="","",F164-G164)</f>
        <v/>
      </c>
      <c r="I164" s="16" t="str">
        <f aca="false">IF(F164="","",IF(H164&lt;=0,"Ödendi",IF(E164="","Vadesiz",IF(E164&lt;Özet!$C$3,"Gecikti",IF(E164&lt;=Özet!$C$3+7,"Bu hafta","Bekliyor")))))</f>
        <v/>
      </c>
      <c r="J164" s="17" t="str">
        <f aca="false">IF(I164="Gecikti",Özet!$C$3-E164,"")</f>
        <v/>
      </c>
      <c r="K164" s="12"/>
    </row>
    <row r="165" customFormat="false" ht="15" hidden="false" customHeight="false" outlineLevel="0" collapsed="false">
      <c r="A165" s="11"/>
      <c r="B165" s="12"/>
      <c r="C165" s="12"/>
      <c r="D165" s="13"/>
      <c r="E165" s="13"/>
      <c r="F165" s="14"/>
      <c r="G165" s="14"/>
      <c r="H165" s="15" t="str">
        <f aca="false">IF(F165="","",F165-G165)</f>
        <v/>
      </c>
      <c r="I165" s="16" t="str">
        <f aca="false">IF(F165="","",IF(H165&lt;=0,"Ödendi",IF(E165="","Vadesiz",IF(E165&lt;Özet!$C$3,"Gecikti",IF(E165&lt;=Özet!$C$3+7,"Bu hafta","Bekliyor")))))</f>
        <v/>
      </c>
      <c r="J165" s="17" t="str">
        <f aca="false">IF(I165="Gecikti",Özet!$C$3-E165,"")</f>
        <v/>
      </c>
      <c r="K165" s="12"/>
    </row>
    <row r="166" customFormat="false" ht="15" hidden="false" customHeight="false" outlineLevel="0" collapsed="false">
      <c r="A166" s="11"/>
      <c r="B166" s="12"/>
      <c r="C166" s="12"/>
      <c r="D166" s="13"/>
      <c r="E166" s="13"/>
      <c r="F166" s="14"/>
      <c r="G166" s="14"/>
      <c r="H166" s="15" t="str">
        <f aca="false">IF(F166="","",F166-G166)</f>
        <v/>
      </c>
      <c r="I166" s="16" t="str">
        <f aca="false">IF(F166="","",IF(H166&lt;=0,"Ödendi",IF(E166="","Vadesiz",IF(E166&lt;Özet!$C$3,"Gecikti",IF(E166&lt;=Özet!$C$3+7,"Bu hafta","Bekliyor")))))</f>
        <v/>
      </c>
      <c r="J166" s="17" t="str">
        <f aca="false">IF(I166="Gecikti",Özet!$C$3-E166,"")</f>
        <v/>
      </c>
      <c r="K166" s="12"/>
    </row>
    <row r="167" customFormat="false" ht="15" hidden="false" customHeight="false" outlineLevel="0" collapsed="false">
      <c r="A167" s="11"/>
      <c r="B167" s="12"/>
      <c r="C167" s="12"/>
      <c r="D167" s="13"/>
      <c r="E167" s="13"/>
      <c r="F167" s="14"/>
      <c r="G167" s="14"/>
      <c r="H167" s="15" t="str">
        <f aca="false">IF(F167="","",F167-G167)</f>
        <v/>
      </c>
      <c r="I167" s="16" t="str">
        <f aca="false">IF(F167="","",IF(H167&lt;=0,"Ödendi",IF(E167="","Vadesiz",IF(E167&lt;Özet!$C$3,"Gecikti",IF(E167&lt;=Özet!$C$3+7,"Bu hafta","Bekliyor")))))</f>
        <v/>
      </c>
      <c r="J167" s="17" t="str">
        <f aca="false">IF(I167="Gecikti",Özet!$C$3-E167,"")</f>
        <v/>
      </c>
      <c r="K167" s="12"/>
    </row>
    <row r="168" customFormat="false" ht="15" hidden="false" customHeight="false" outlineLevel="0" collapsed="false">
      <c r="A168" s="11"/>
      <c r="B168" s="12"/>
      <c r="C168" s="12"/>
      <c r="D168" s="13"/>
      <c r="E168" s="13"/>
      <c r="F168" s="14"/>
      <c r="G168" s="14"/>
      <c r="H168" s="15" t="str">
        <f aca="false">IF(F168="","",F168-G168)</f>
        <v/>
      </c>
      <c r="I168" s="16" t="str">
        <f aca="false">IF(F168="","",IF(H168&lt;=0,"Ödendi",IF(E168="","Vadesiz",IF(E168&lt;Özet!$C$3,"Gecikti",IF(E168&lt;=Özet!$C$3+7,"Bu hafta","Bekliyor")))))</f>
        <v/>
      </c>
      <c r="J168" s="17" t="str">
        <f aca="false">IF(I168="Gecikti",Özet!$C$3-E168,"")</f>
        <v/>
      </c>
      <c r="K168" s="12"/>
    </row>
    <row r="169" customFormat="false" ht="15" hidden="false" customHeight="false" outlineLevel="0" collapsed="false">
      <c r="A169" s="11"/>
      <c r="B169" s="12"/>
      <c r="C169" s="12"/>
      <c r="D169" s="13"/>
      <c r="E169" s="13"/>
      <c r="F169" s="14"/>
      <c r="G169" s="14"/>
      <c r="H169" s="15" t="str">
        <f aca="false">IF(F169="","",F169-G169)</f>
        <v/>
      </c>
      <c r="I169" s="16" t="str">
        <f aca="false">IF(F169="","",IF(H169&lt;=0,"Ödendi",IF(E169="","Vadesiz",IF(E169&lt;Özet!$C$3,"Gecikti",IF(E169&lt;=Özet!$C$3+7,"Bu hafta","Bekliyor")))))</f>
        <v/>
      </c>
      <c r="J169" s="17" t="str">
        <f aca="false">IF(I169="Gecikti",Özet!$C$3-E169,"")</f>
        <v/>
      </c>
      <c r="K169" s="12"/>
    </row>
    <row r="170" customFormat="false" ht="15" hidden="false" customHeight="false" outlineLevel="0" collapsed="false">
      <c r="A170" s="11"/>
      <c r="B170" s="12"/>
      <c r="C170" s="12"/>
      <c r="D170" s="13"/>
      <c r="E170" s="13"/>
      <c r="F170" s="14"/>
      <c r="G170" s="14"/>
      <c r="H170" s="15" t="str">
        <f aca="false">IF(F170="","",F170-G170)</f>
        <v/>
      </c>
      <c r="I170" s="16" t="str">
        <f aca="false">IF(F170="","",IF(H170&lt;=0,"Ödendi",IF(E170="","Vadesiz",IF(E170&lt;Özet!$C$3,"Gecikti",IF(E170&lt;=Özet!$C$3+7,"Bu hafta","Bekliyor")))))</f>
        <v/>
      </c>
      <c r="J170" s="17" t="str">
        <f aca="false">IF(I170="Gecikti",Özet!$C$3-E170,"")</f>
        <v/>
      </c>
      <c r="K170" s="12"/>
    </row>
    <row r="171" customFormat="false" ht="15" hidden="false" customHeight="false" outlineLevel="0" collapsed="false">
      <c r="A171" s="11"/>
      <c r="B171" s="12"/>
      <c r="C171" s="12"/>
      <c r="D171" s="13"/>
      <c r="E171" s="13"/>
      <c r="F171" s="14"/>
      <c r="G171" s="14"/>
      <c r="H171" s="15" t="str">
        <f aca="false">IF(F171="","",F171-G171)</f>
        <v/>
      </c>
      <c r="I171" s="16" t="str">
        <f aca="false">IF(F171="","",IF(H171&lt;=0,"Ödendi",IF(E171="","Vadesiz",IF(E171&lt;Özet!$C$3,"Gecikti",IF(E171&lt;=Özet!$C$3+7,"Bu hafta","Bekliyor")))))</f>
        <v/>
      </c>
      <c r="J171" s="17" t="str">
        <f aca="false">IF(I171="Gecikti",Özet!$C$3-E171,"")</f>
        <v/>
      </c>
      <c r="K171" s="12"/>
    </row>
    <row r="172" customFormat="false" ht="15" hidden="false" customHeight="false" outlineLevel="0" collapsed="false">
      <c r="A172" s="11"/>
      <c r="B172" s="12"/>
      <c r="C172" s="12"/>
      <c r="D172" s="13"/>
      <c r="E172" s="13"/>
      <c r="F172" s="14"/>
      <c r="G172" s="14"/>
      <c r="H172" s="15" t="str">
        <f aca="false">IF(F172="","",F172-G172)</f>
        <v/>
      </c>
      <c r="I172" s="16" t="str">
        <f aca="false">IF(F172="","",IF(H172&lt;=0,"Ödendi",IF(E172="","Vadesiz",IF(E172&lt;Özet!$C$3,"Gecikti",IF(E172&lt;=Özet!$C$3+7,"Bu hafta","Bekliyor")))))</f>
        <v/>
      </c>
      <c r="J172" s="17" t="str">
        <f aca="false">IF(I172="Gecikti",Özet!$C$3-E172,"")</f>
        <v/>
      </c>
      <c r="K172" s="12"/>
    </row>
    <row r="173" customFormat="false" ht="15" hidden="false" customHeight="false" outlineLevel="0" collapsed="false">
      <c r="A173" s="11"/>
      <c r="B173" s="12"/>
      <c r="C173" s="12"/>
      <c r="D173" s="13"/>
      <c r="E173" s="13"/>
      <c r="F173" s="14"/>
      <c r="G173" s="14"/>
      <c r="H173" s="15" t="str">
        <f aca="false">IF(F173="","",F173-G173)</f>
        <v/>
      </c>
      <c r="I173" s="16" t="str">
        <f aca="false">IF(F173="","",IF(H173&lt;=0,"Ödendi",IF(E173="","Vadesiz",IF(E173&lt;Özet!$C$3,"Gecikti",IF(E173&lt;=Özet!$C$3+7,"Bu hafta","Bekliyor")))))</f>
        <v/>
      </c>
      <c r="J173" s="17" t="str">
        <f aca="false">IF(I173="Gecikti",Özet!$C$3-E173,"")</f>
        <v/>
      </c>
      <c r="K173" s="12"/>
    </row>
    <row r="174" customFormat="false" ht="15" hidden="false" customHeight="false" outlineLevel="0" collapsed="false">
      <c r="A174" s="11"/>
      <c r="B174" s="12"/>
      <c r="C174" s="12"/>
      <c r="D174" s="13"/>
      <c r="E174" s="13"/>
      <c r="F174" s="14"/>
      <c r="G174" s="14"/>
      <c r="H174" s="15" t="str">
        <f aca="false">IF(F174="","",F174-G174)</f>
        <v/>
      </c>
      <c r="I174" s="16" t="str">
        <f aca="false">IF(F174="","",IF(H174&lt;=0,"Ödendi",IF(E174="","Vadesiz",IF(E174&lt;Özet!$C$3,"Gecikti",IF(E174&lt;=Özet!$C$3+7,"Bu hafta","Bekliyor")))))</f>
        <v/>
      </c>
      <c r="J174" s="17" t="str">
        <f aca="false">IF(I174="Gecikti",Özet!$C$3-E174,"")</f>
        <v/>
      </c>
      <c r="K174" s="12"/>
    </row>
    <row r="175" customFormat="false" ht="15" hidden="false" customHeight="false" outlineLevel="0" collapsed="false">
      <c r="A175" s="11"/>
      <c r="B175" s="12"/>
      <c r="C175" s="12"/>
      <c r="D175" s="13"/>
      <c r="E175" s="13"/>
      <c r="F175" s="14"/>
      <c r="G175" s="14"/>
      <c r="H175" s="15" t="str">
        <f aca="false">IF(F175="","",F175-G175)</f>
        <v/>
      </c>
      <c r="I175" s="16" t="str">
        <f aca="false">IF(F175="","",IF(H175&lt;=0,"Ödendi",IF(E175="","Vadesiz",IF(E175&lt;Özet!$C$3,"Gecikti",IF(E175&lt;=Özet!$C$3+7,"Bu hafta","Bekliyor")))))</f>
        <v/>
      </c>
      <c r="J175" s="17" t="str">
        <f aca="false">IF(I175="Gecikti",Özet!$C$3-E175,"")</f>
        <v/>
      </c>
      <c r="K175" s="12"/>
    </row>
    <row r="176" customFormat="false" ht="15" hidden="false" customHeight="false" outlineLevel="0" collapsed="false">
      <c r="A176" s="11"/>
      <c r="B176" s="12"/>
      <c r="C176" s="12"/>
      <c r="D176" s="13"/>
      <c r="E176" s="13"/>
      <c r="F176" s="14"/>
      <c r="G176" s="14"/>
      <c r="H176" s="15" t="str">
        <f aca="false">IF(F176="","",F176-G176)</f>
        <v/>
      </c>
      <c r="I176" s="16" t="str">
        <f aca="false">IF(F176="","",IF(H176&lt;=0,"Ödendi",IF(E176="","Vadesiz",IF(E176&lt;Özet!$C$3,"Gecikti",IF(E176&lt;=Özet!$C$3+7,"Bu hafta","Bekliyor")))))</f>
        <v/>
      </c>
      <c r="J176" s="17" t="str">
        <f aca="false">IF(I176="Gecikti",Özet!$C$3-E176,"")</f>
        <v/>
      </c>
      <c r="K176" s="12"/>
    </row>
    <row r="177" customFormat="false" ht="15" hidden="false" customHeight="false" outlineLevel="0" collapsed="false">
      <c r="A177" s="11"/>
      <c r="B177" s="12"/>
      <c r="C177" s="12"/>
      <c r="D177" s="13"/>
      <c r="E177" s="13"/>
      <c r="F177" s="14"/>
      <c r="G177" s="14"/>
      <c r="H177" s="15" t="str">
        <f aca="false">IF(F177="","",F177-G177)</f>
        <v/>
      </c>
      <c r="I177" s="16" t="str">
        <f aca="false">IF(F177="","",IF(H177&lt;=0,"Ödendi",IF(E177="","Vadesiz",IF(E177&lt;Özet!$C$3,"Gecikti",IF(E177&lt;=Özet!$C$3+7,"Bu hafta","Bekliyor")))))</f>
        <v/>
      </c>
      <c r="J177" s="17" t="str">
        <f aca="false">IF(I177="Gecikti",Özet!$C$3-E177,"")</f>
        <v/>
      </c>
      <c r="K177" s="12"/>
    </row>
    <row r="178" customFormat="false" ht="15" hidden="false" customHeight="false" outlineLevel="0" collapsed="false">
      <c r="A178" s="11"/>
      <c r="B178" s="12"/>
      <c r="C178" s="12"/>
      <c r="D178" s="13"/>
      <c r="E178" s="13"/>
      <c r="F178" s="14"/>
      <c r="G178" s="14"/>
      <c r="H178" s="15" t="str">
        <f aca="false">IF(F178="","",F178-G178)</f>
        <v/>
      </c>
      <c r="I178" s="16" t="str">
        <f aca="false">IF(F178="","",IF(H178&lt;=0,"Ödendi",IF(E178="","Vadesiz",IF(E178&lt;Özet!$C$3,"Gecikti",IF(E178&lt;=Özet!$C$3+7,"Bu hafta","Bekliyor")))))</f>
        <v/>
      </c>
      <c r="J178" s="17" t="str">
        <f aca="false">IF(I178="Gecikti",Özet!$C$3-E178,"")</f>
        <v/>
      </c>
      <c r="K178" s="12"/>
    </row>
    <row r="179" customFormat="false" ht="15" hidden="false" customHeight="false" outlineLevel="0" collapsed="false">
      <c r="A179" s="11"/>
      <c r="B179" s="12"/>
      <c r="C179" s="12"/>
      <c r="D179" s="13"/>
      <c r="E179" s="13"/>
      <c r="F179" s="14"/>
      <c r="G179" s="14"/>
      <c r="H179" s="15" t="str">
        <f aca="false">IF(F179="","",F179-G179)</f>
        <v/>
      </c>
      <c r="I179" s="16" t="str">
        <f aca="false">IF(F179="","",IF(H179&lt;=0,"Ödendi",IF(E179="","Vadesiz",IF(E179&lt;Özet!$C$3,"Gecikti",IF(E179&lt;=Özet!$C$3+7,"Bu hafta","Bekliyor")))))</f>
        <v/>
      </c>
      <c r="J179" s="17" t="str">
        <f aca="false">IF(I179="Gecikti",Özet!$C$3-E179,"")</f>
        <v/>
      </c>
      <c r="K179" s="12"/>
    </row>
    <row r="180" customFormat="false" ht="15" hidden="false" customHeight="false" outlineLevel="0" collapsed="false">
      <c r="A180" s="11"/>
      <c r="B180" s="12"/>
      <c r="C180" s="12"/>
      <c r="D180" s="13"/>
      <c r="E180" s="13"/>
      <c r="F180" s="14"/>
      <c r="G180" s="14"/>
      <c r="H180" s="15" t="str">
        <f aca="false">IF(F180="","",F180-G180)</f>
        <v/>
      </c>
      <c r="I180" s="16" t="str">
        <f aca="false">IF(F180="","",IF(H180&lt;=0,"Ödendi",IF(E180="","Vadesiz",IF(E180&lt;Özet!$C$3,"Gecikti",IF(E180&lt;=Özet!$C$3+7,"Bu hafta","Bekliyor")))))</f>
        <v/>
      </c>
      <c r="J180" s="17" t="str">
        <f aca="false">IF(I180="Gecikti",Özet!$C$3-E180,"")</f>
        <v/>
      </c>
      <c r="K180" s="12"/>
    </row>
    <row r="181" customFormat="false" ht="15" hidden="false" customHeight="false" outlineLevel="0" collapsed="false">
      <c r="A181" s="11"/>
      <c r="B181" s="12"/>
      <c r="C181" s="12"/>
      <c r="D181" s="13"/>
      <c r="E181" s="13"/>
      <c r="F181" s="14"/>
      <c r="G181" s="14"/>
      <c r="H181" s="15" t="str">
        <f aca="false">IF(F181="","",F181-G181)</f>
        <v/>
      </c>
      <c r="I181" s="16" t="str">
        <f aca="false">IF(F181="","",IF(H181&lt;=0,"Ödendi",IF(E181="","Vadesiz",IF(E181&lt;Özet!$C$3,"Gecikti",IF(E181&lt;=Özet!$C$3+7,"Bu hafta","Bekliyor")))))</f>
        <v/>
      </c>
      <c r="J181" s="17" t="str">
        <f aca="false">IF(I181="Gecikti",Özet!$C$3-E181,"")</f>
        <v/>
      </c>
      <c r="K181" s="12"/>
    </row>
    <row r="182" customFormat="false" ht="15" hidden="false" customHeight="false" outlineLevel="0" collapsed="false">
      <c r="A182" s="11"/>
      <c r="B182" s="12"/>
      <c r="C182" s="12"/>
      <c r="D182" s="13"/>
      <c r="E182" s="13"/>
      <c r="F182" s="14"/>
      <c r="G182" s="14"/>
      <c r="H182" s="15" t="str">
        <f aca="false">IF(F182="","",F182-G182)</f>
        <v/>
      </c>
      <c r="I182" s="16" t="str">
        <f aca="false">IF(F182="","",IF(H182&lt;=0,"Ödendi",IF(E182="","Vadesiz",IF(E182&lt;Özet!$C$3,"Gecikti",IF(E182&lt;=Özet!$C$3+7,"Bu hafta","Bekliyor")))))</f>
        <v/>
      </c>
      <c r="J182" s="17" t="str">
        <f aca="false">IF(I182="Gecikti",Özet!$C$3-E182,"")</f>
        <v/>
      </c>
      <c r="K182" s="12"/>
    </row>
    <row r="183" customFormat="false" ht="15" hidden="false" customHeight="false" outlineLevel="0" collapsed="false">
      <c r="A183" s="11"/>
      <c r="B183" s="12"/>
      <c r="C183" s="12"/>
      <c r="D183" s="13"/>
      <c r="E183" s="13"/>
      <c r="F183" s="14"/>
      <c r="G183" s="14"/>
      <c r="H183" s="15" t="str">
        <f aca="false">IF(F183="","",F183-G183)</f>
        <v/>
      </c>
      <c r="I183" s="16" t="str">
        <f aca="false">IF(F183="","",IF(H183&lt;=0,"Ödendi",IF(E183="","Vadesiz",IF(E183&lt;Özet!$C$3,"Gecikti",IF(E183&lt;=Özet!$C$3+7,"Bu hafta","Bekliyor")))))</f>
        <v/>
      </c>
      <c r="J183" s="17" t="str">
        <f aca="false">IF(I183="Gecikti",Özet!$C$3-E183,"")</f>
        <v/>
      </c>
      <c r="K183" s="12"/>
    </row>
    <row r="184" customFormat="false" ht="15" hidden="false" customHeight="false" outlineLevel="0" collapsed="false">
      <c r="A184" s="11"/>
      <c r="B184" s="12"/>
      <c r="C184" s="12"/>
      <c r="D184" s="13"/>
      <c r="E184" s="13"/>
      <c r="F184" s="14"/>
      <c r="G184" s="14"/>
      <c r="H184" s="15" t="str">
        <f aca="false">IF(F184="","",F184-G184)</f>
        <v/>
      </c>
      <c r="I184" s="16" t="str">
        <f aca="false">IF(F184="","",IF(H184&lt;=0,"Ödendi",IF(E184="","Vadesiz",IF(E184&lt;Özet!$C$3,"Gecikti",IF(E184&lt;=Özet!$C$3+7,"Bu hafta","Bekliyor")))))</f>
        <v/>
      </c>
      <c r="J184" s="17" t="str">
        <f aca="false">IF(I184="Gecikti",Özet!$C$3-E184,"")</f>
        <v/>
      </c>
      <c r="K184" s="12"/>
    </row>
    <row r="185" customFormat="false" ht="15" hidden="false" customHeight="false" outlineLevel="0" collapsed="false">
      <c r="A185" s="11"/>
      <c r="B185" s="12"/>
      <c r="C185" s="12"/>
      <c r="D185" s="13"/>
      <c r="E185" s="13"/>
      <c r="F185" s="14"/>
      <c r="G185" s="14"/>
      <c r="H185" s="15" t="str">
        <f aca="false">IF(F185="","",F185-G185)</f>
        <v/>
      </c>
      <c r="I185" s="16" t="str">
        <f aca="false">IF(F185="","",IF(H185&lt;=0,"Ödendi",IF(E185="","Vadesiz",IF(E185&lt;Özet!$C$3,"Gecikti",IF(E185&lt;=Özet!$C$3+7,"Bu hafta","Bekliyor")))))</f>
        <v/>
      </c>
      <c r="J185" s="17" t="str">
        <f aca="false">IF(I185="Gecikti",Özet!$C$3-E185,"")</f>
        <v/>
      </c>
      <c r="K185" s="12"/>
    </row>
    <row r="186" customFormat="false" ht="15" hidden="false" customHeight="false" outlineLevel="0" collapsed="false">
      <c r="A186" s="11"/>
      <c r="B186" s="12"/>
      <c r="C186" s="12"/>
      <c r="D186" s="13"/>
      <c r="E186" s="13"/>
      <c r="F186" s="14"/>
      <c r="G186" s="14"/>
      <c r="H186" s="15" t="str">
        <f aca="false">IF(F186="","",F186-G186)</f>
        <v/>
      </c>
      <c r="I186" s="16" t="str">
        <f aca="false">IF(F186="","",IF(H186&lt;=0,"Ödendi",IF(E186="","Vadesiz",IF(E186&lt;Özet!$C$3,"Gecikti",IF(E186&lt;=Özet!$C$3+7,"Bu hafta","Bekliyor")))))</f>
        <v/>
      </c>
      <c r="J186" s="17" t="str">
        <f aca="false">IF(I186="Gecikti",Özet!$C$3-E186,"")</f>
        <v/>
      </c>
      <c r="K186" s="12"/>
    </row>
    <row r="187" customFormat="false" ht="15" hidden="false" customHeight="false" outlineLevel="0" collapsed="false">
      <c r="A187" s="11"/>
      <c r="B187" s="12"/>
      <c r="C187" s="12"/>
      <c r="D187" s="13"/>
      <c r="E187" s="13"/>
      <c r="F187" s="14"/>
      <c r="G187" s="14"/>
      <c r="H187" s="15" t="str">
        <f aca="false">IF(F187="","",F187-G187)</f>
        <v/>
      </c>
      <c r="I187" s="16" t="str">
        <f aca="false">IF(F187="","",IF(H187&lt;=0,"Ödendi",IF(E187="","Vadesiz",IF(E187&lt;Özet!$C$3,"Gecikti",IF(E187&lt;=Özet!$C$3+7,"Bu hafta","Bekliyor")))))</f>
        <v/>
      </c>
      <c r="J187" s="17" t="str">
        <f aca="false">IF(I187="Gecikti",Özet!$C$3-E187,"")</f>
        <v/>
      </c>
      <c r="K187" s="12"/>
    </row>
    <row r="188" customFormat="false" ht="15" hidden="false" customHeight="false" outlineLevel="0" collapsed="false">
      <c r="A188" s="11"/>
      <c r="B188" s="12"/>
      <c r="C188" s="12"/>
      <c r="D188" s="13"/>
      <c r="E188" s="13"/>
      <c r="F188" s="14"/>
      <c r="G188" s="14"/>
      <c r="H188" s="15" t="str">
        <f aca="false">IF(F188="","",F188-G188)</f>
        <v/>
      </c>
      <c r="I188" s="16" t="str">
        <f aca="false">IF(F188="","",IF(H188&lt;=0,"Ödendi",IF(E188="","Vadesiz",IF(E188&lt;Özet!$C$3,"Gecikti",IF(E188&lt;=Özet!$C$3+7,"Bu hafta","Bekliyor")))))</f>
        <v/>
      </c>
      <c r="J188" s="17" t="str">
        <f aca="false">IF(I188="Gecikti",Özet!$C$3-E188,"")</f>
        <v/>
      </c>
      <c r="K188" s="12"/>
    </row>
    <row r="189" customFormat="false" ht="15" hidden="false" customHeight="false" outlineLevel="0" collapsed="false">
      <c r="A189" s="11"/>
      <c r="B189" s="12"/>
      <c r="C189" s="12"/>
      <c r="D189" s="13"/>
      <c r="E189" s="13"/>
      <c r="F189" s="14"/>
      <c r="G189" s="14"/>
      <c r="H189" s="15" t="str">
        <f aca="false">IF(F189="","",F189-G189)</f>
        <v/>
      </c>
      <c r="I189" s="16" t="str">
        <f aca="false">IF(F189="","",IF(H189&lt;=0,"Ödendi",IF(E189="","Vadesiz",IF(E189&lt;Özet!$C$3,"Gecikti",IF(E189&lt;=Özet!$C$3+7,"Bu hafta","Bekliyor")))))</f>
        <v/>
      </c>
      <c r="J189" s="17" t="str">
        <f aca="false">IF(I189="Gecikti",Özet!$C$3-E189,"")</f>
        <v/>
      </c>
      <c r="K189" s="12"/>
    </row>
    <row r="190" customFormat="false" ht="15" hidden="false" customHeight="false" outlineLevel="0" collapsed="false">
      <c r="A190" s="11"/>
      <c r="B190" s="12"/>
      <c r="C190" s="12"/>
      <c r="D190" s="13"/>
      <c r="E190" s="13"/>
      <c r="F190" s="14"/>
      <c r="G190" s="14"/>
      <c r="H190" s="15" t="str">
        <f aca="false">IF(F190="","",F190-G190)</f>
        <v/>
      </c>
      <c r="I190" s="16" t="str">
        <f aca="false">IF(F190="","",IF(H190&lt;=0,"Ödendi",IF(E190="","Vadesiz",IF(E190&lt;Özet!$C$3,"Gecikti",IF(E190&lt;=Özet!$C$3+7,"Bu hafta","Bekliyor")))))</f>
        <v/>
      </c>
      <c r="J190" s="17" t="str">
        <f aca="false">IF(I190="Gecikti",Özet!$C$3-E190,"")</f>
        <v/>
      </c>
      <c r="K190" s="12"/>
    </row>
    <row r="191" customFormat="false" ht="15" hidden="false" customHeight="false" outlineLevel="0" collapsed="false">
      <c r="A191" s="11"/>
      <c r="B191" s="12"/>
      <c r="C191" s="12"/>
      <c r="D191" s="13"/>
      <c r="E191" s="13"/>
      <c r="F191" s="14"/>
      <c r="G191" s="14"/>
      <c r="H191" s="15" t="str">
        <f aca="false">IF(F191="","",F191-G191)</f>
        <v/>
      </c>
      <c r="I191" s="16" t="str">
        <f aca="false">IF(F191="","",IF(H191&lt;=0,"Ödendi",IF(E191="","Vadesiz",IF(E191&lt;Özet!$C$3,"Gecikti",IF(E191&lt;=Özet!$C$3+7,"Bu hafta","Bekliyor")))))</f>
        <v/>
      </c>
      <c r="J191" s="17" t="str">
        <f aca="false">IF(I191="Gecikti",Özet!$C$3-E191,"")</f>
        <v/>
      </c>
      <c r="K191" s="12"/>
    </row>
    <row r="192" customFormat="false" ht="15" hidden="false" customHeight="false" outlineLevel="0" collapsed="false">
      <c r="A192" s="11"/>
      <c r="B192" s="12"/>
      <c r="C192" s="12"/>
      <c r="D192" s="13"/>
      <c r="E192" s="13"/>
      <c r="F192" s="14"/>
      <c r="G192" s="14"/>
      <c r="H192" s="15" t="str">
        <f aca="false">IF(F192="","",F192-G192)</f>
        <v/>
      </c>
      <c r="I192" s="16" t="str">
        <f aca="false">IF(F192="","",IF(H192&lt;=0,"Ödendi",IF(E192="","Vadesiz",IF(E192&lt;Özet!$C$3,"Gecikti",IF(E192&lt;=Özet!$C$3+7,"Bu hafta","Bekliyor")))))</f>
        <v/>
      </c>
      <c r="J192" s="17" t="str">
        <f aca="false">IF(I192="Gecikti",Özet!$C$3-E192,"")</f>
        <v/>
      </c>
      <c r="K192" s="12"/>
    </row>
    <row r="193" customFormat="false" ht="15" hidden="false" customHeight="false" outlineLevel="0" collapsed="false">
      <c r="A193" s="11"/>
      <c r="B193" s="12"/>
      <c r="C193" s="12"/>
      <c r="D193" s="13"/>
      <c r="E193" s="13"/>
      <c r="F193" s="14"/>
      <c r="G193" s="14"/>
      <c r="H193" s="15" t="str">
        <f aca="false">IF(F193="","",F193-G193)</f>
        <v/>
      </c>
      <c r="I193" s="16" t="str">
        <f aca="false">IF(F193="","",IF(H193&lt;=0,"Ödendi",IF(E193="","Vadesiz",IF(E193&lt;Özet!$C$3,"Gecikti",IF(E193&lt;=Özet!$C$3+7,"Bu hafta","Bekliyor")))))</f>
        <v/>
      </c>
      <c r="J193" s="17" t="str">
        <f aca="false">IF(I193="Gecikti",Özet!$C$3-E193,"")</f>
        <v/>
      </c>
      <c r="K193" s="12"/>
    </row>
    <row r="194" customFormat="false" ht="15" hidden="false" customHeight="false" outlineLevel="0" collapsed="false">
      <c r="A194" s="11"/>
      <c r="B194" s="12"/>
      <c r="C194" s="12"/>
      <c r="D194" s="13"/>
      <c r="E194" s="13"/>
      <c r="F194" s="14"/>
      <c r="G194" s="14"/>
      <c r="H194" s="15" t="str">
        <f aca="false">IF(F194="","",F194-G194)</f>
        <v/>
      </c>
      <c r="I194" s="16" t="str">
        <f aca="false">IF(F194="","",IF(H194&lt;=0,"Ödendi",IF(E194="","Vadesiz",IF(E194&lt;Özet!$C$3,"Gecikti",IF(E194&lt;=Özet!$C$3+7,"Bu hafta","Bekliyor")))))</f>
        <v/>
      </c>
      <c r="J194" s="17" t="str">
        <f aca="false">IF(I194="Gecikti",Özet!$C$3-E194,"")</f>
        <v/>
      </c>
      <c r="K194" s="12"/>
    </row>
    <row r="195" customFormat="false" ht="15" hidden="false" customHeight="false" outlineLevel="0" collapsed="false">
      <c r="A195" s="11"/>
      <c r="B195" s="12"/>
      <c r="C195" s="12"/>
      <c r="D195" s="13"/>
      <c r="E195" s="13"/>
      <c r="F195" s="14"/>
      <c r="G195" s="14"/>
      <c r="H195" s="15" t="str">
        <f aca="false">IF(F195="","",F195-G195)</f>
        <v/>
      </c>
      <c r="I195" s="16" t="str">
        <f aca="false">IF(F195="","",IF(H195&lt;=0,"Ödendi",IF(E195="","Vadesiz",IF(E195&lt;Özet!$C$3,"Gecikti",IF(E195&lt;=Özet!$C$3+7,"Bu hafta","Bekliyor")))))</f>
        <v/>
      </c>
      <c r="J195" s="17" t="str">
        <f aca="false">IF(I195="Gecikti",Özet!$C$3-E195,"")</f>
        <v/>
      </c>
      <c r="K195" s="12"/>
    </row>
    <row r="196" customFormat="false" ht="15" hidden="false" customHeight="false" outlineLevel="0" collapsed="false">
      <c r="A196" s="11"/>
      <c r="B196" s="12"/>
      <c r="C196" s="12"/>
      <c r="D196" s="13"/>
      <c r="E196" s="13"/>
      <c r="F196" s="14"/>
      <c r="G196" s="14"/>
      <c r="H196" s="15" t="str">
        <f aca="false">IF(F196="","",F196-G196)</f>
        <v/>
      </c>
      <c r="I196" s="16" t="str">
        <f aca="false">IF(F196="","",IF(H196&lt;=0,"Ödendi",IF(E196="","Vadesiz",IF(E196&lt;Özet!$C$3,"Gecikti",IF(E196&lt;=Özet!$C$3+7,"Bu hafta","Bekliyor")))))</f>
        <v/>
      </c>
      <c r="J196" s="17" t="str">
        <f aca="false">IF(I196="Gecikti",Özet!$C$3-E196,"")</f>
        <v/>
      </c>
      <c r="K196" s="12"/>
    </row>
    <row r="197" customFormat="false" ht="15" hidden="false" customHeight="false" outlineLevel="0" collapsed="false">
      <c r="A197" s="11"/>
      <c r="B197" s="12"/>
      <c r="C197" s="12"/>
      <c r="D197" s="13"/>
      <c r="E197" s="13"/>
      <c r="F197" s="14"/>
      <c r="G197" s="14"/>
      <c r="H197" s="15" t="str">
        <f aca="false">IF(F197="","",F197-G197)</f>
        <v/>
      </c>
      <c r="I197" s="16" t="str">
        <f aca="false">IF(F197="","",IF(H197&lt;=0,"Ödendi",IF(E197="","Vadesiz",IF(E197&lt;Özet!$C$3,"Gecikti",IF(E197&lt;=Özet!$C$3+7,"Bu hafta","Bekliyor")))))</f>
        <v/>
      </c>
      <c r="J197" s="17" t="str">
        <f aca="false">IF(I197="Gecikti",Özet!$C$3-E197,"")</f>
        <v/>
      </c>
      <c r="K197" s="12"/>
    </row>
    <row r="198" customFormat="false" ht="15" hidden="false" customHeight="false" outlineLevel="0" collapsed="false">
      <c r="A198" s="11"/>
      <c r="B198" s="12"/>
      <c r="C198" s="12"/>
      <c r="D198" s="13"/>
      <c r="E198" s="13"/>
      <c r="F198" s="14"/>
      <c r="G198" s="14"/>
      <c r="H198" s="15" t="str">
        <f aca="false">IF(F198="","",F198-G198)</f>
        <v/>
      </c>
      <c r="I198" s="16" t="str">
        <f aca="false">IF(F198="","",IF(H198&lt;=0,"Ödendi",IF(E198="","Vadesiz",IF(E198&lt;Özet!$C$3,"Gecikti",IF(E198&lt;=Özet!$C$3+7,"Bu hafta","Bekliyor")))))</f>
        <v/>
      </c>
      <c r="J198" s="17" t="str">
        <f aca="false">IF(I198="Gecikti",Özet!$C$3-E198,"")</f>
        <v/>
      </c>
      <c r="K198" s="12"/>
    </row>
    <row r="199" customFormat="false" ht="15" hidden="false" customHeight="false" outlineLevel="0" collapsed="false">
      <c r="A199" s="11"/>
      <c r="B199" s="12"/>
      <c r="C199" s="12"/>
      <c r="D199" s="13"/>
      <c r="E199" s="13"/>
      <c r="F199" s="14"/>
      <c r="G199" s="14"/>
      <c r="H199" s="15" t="str">
        <f aca="false">IF(F199="","",F199-G199)</f>
        <v/>
      </c>
      <c r="I199" s="16" t="str">
        <f aca="false">IF(F199="","",IF(H199&lt;=0,"Ödendi",IF(E199="","Vadesiz",IF(E199&lt;Özet!$C$3,"Gecikti",IF(E199&lt;=Özet!$C$3+7,"Bu hafta","Bekliyor")))))</f>
        <v/>
      </c>
      <c r="J199" s="17" t="str">
        <f aca="false">IF(I199="Gecikti",Özet!$C$3-E199,"")</f>
        <v/>
      </c>
      <c r="K199" s="12"/>
    </row>
    <row r="200" customFormat="false" ht="15" hidden="false" customHeight="false" outlineLevel="0" collapsed="false">
      <c r="A200" s="11"/>
      <c r="B200" s="12"/>
      <c r="C200" s="12"/>
      <c r="D200" s="13"/>
      <c r="E200" s="13"/>
      <c r="F200" s="14"/>
      <c r="G200" s="14"/>
      <c r="H200" s="15" t="str">
        <f aca="false">IF(F200="","",F200-G200)</f>
        <v/>
      </c>
      <c r="I200" s="16" t="str">
        <f aca="false">IF(F200="","",IF(H200&lt;=0,"Ödendi",IF(E200="","Vadesiz",IF(E200&lt;Özet!$C$3,"Gecikti",IF(E200&lt;=Özet!$C$3+7,"Bu hafta","Bekliyor")))))</f>
        <v/>
      </c>
      <c r="J200" s="17" t="str">
        <f aca="false">IF(I200="Gecikti",Özet!$C$3-E200,"")</f>
        <v/>
      </c>
      <c r="K200" s="12"/>
    </row>
    <row r="201" customFormat="false" ht="15" hidden="false" customHeight="false" outlineLevel="0" collapsed="false">
      <c r="A201" s="11"/>
      <c r="B201" s="12"/>
      <c r="C201" s="12"/>
      <c r="D201" s="13"/>
      <c r="E201" s="13"/>
      <c r="F201" s="14"/>
      <c r="G201" s="14"/>
      <c r="H201" s="15" t="str">
        <f aca="false">IF(F201="","",F201-G201)</f>
        <v/>
      </c>
      <c r="I201" s="16" t="str">
        <f aca="false">IF(F201="","",IF(H201&lt;=0,"Ödendi",IF(E201="","Vadesiz",IF(E201&lt;Özet!$C$3,"Gecikti",IF(E201&lt;=Özet!$C$3+7,"Bu hafta","Bekliyor")))))</f>
        <v/>
      </c>
      <c r="J201" s="17" t="str">
        <f aca="false">IF(I201="Gecikti",Özet!$C$3-E201,"")</f>
        <v/>
      </c>
      <c r="K201" s="12"/>
    </row>
    <row r="202" customFormat="false" ht="15" hidden="false" customHeight="false" outlineLevel="0" collapsed="false">
      <c r="A202" s="11"/>
      <c r="B202" s="12"/>
      <c r="C202" s="12"/>
      <c r="D202" s="13"/>
      <c r="E202" s="13"/>
      <c r="F202" s="14"/>
      <c r="G202" s="14"/>
      <c r="H202" s="15" t="str">
        <f aca="false">IF(F202="","",F202-G202)</f>
        <v/>
      </c>
      <c r="I202" s="16" t="str">
        <f aca="false">IF(F202="","",IF(H202&lt;=0,"Ödendi",IF(E202="","Vadesiz",IF(E202&lt;Özet!$C$3,"Gecikti",IF(E202&lt;=Özet!$C$3+7,"Bu hafta","Bekliyor")))))</f>
        <v/>
      </c>
      <c r="J202" s="17" t="str">
        <f aca="false">IF(I202="Gecikti",Özet!$C$3-E202,"")</f>
        <v/>
      </c>
      <c r="K202" s="12"/>
    </row>
    <row r="203" customFormat="false" ht="15" hidden="false" customHeight="false" outlineLevel="0" collapsed="false">
      <c r="A203" s="11"/>
      <c r="B203" s="12"/>
      <c r="C203" s="12"/>
      <c r="D203" s="13"/>
      <c r="E203" s="13"/>
      <c r="F203" s="14"/>
      <c r="G203" s="14"/>
      <c r="H203" s="15" t="str">
        <f aca="false">IF(F203="","",F203-G203)</f>
        <v/>
      </c>
      <c r="I203" s="16" t="str">
        <f aca="false">IF(F203="","",IF(H203&lt;=0,"Ödendi",IF(E203="","Vadesiz",IF(E203&lt;Özet!$C$3,"Gecikti",IF(E203&lt;=Özet!$C$3+7,"Bu hafta","Bekliyor")))))</f>
        <v/>
      </c>
      <c r="J203" s="17" t="str">
        <f aca="false">IF(I203="Gecikti",Özet!$C$3-E203,"")</f>
        <v/>
      </c>
      <c r="K203" s="12"/>
    </row>
    <row r="204" customFormat="false" ht="15" hidden="false" customHeight="false" outlineLevel="0" collapsed="false">
      <c r="A204" s="11"/>
      <c r="B204" s="12"/>
      <c r="C204" s="12"/>
      <c r="D204" s="13"/>
      <c r="E204" s="13"/>
      <c r="F204" s="14"/>
      <c r="G204" s="14"/>
      <c r="H204" s="15" t="str">
        <f aca="false">IF(F204="","",F204-G204)</f>
        <v/>
      </c>
      <c r="I204" s="16" t="str">
        <f aca="false">IF(F204="","",IF(H204&lt;=0,"Ödendi",IF(E204="","Vadesiz",IF(E204&lt;Özet!$C$3,"Gecikti",IF(E204&lt;=Özet!$C$3+7,"Bu hafta","Bekliyor")))))</f>
        <v/>
      </c>
      <c r="J204" s="17" t="str">
        <f aca="false">IF(I204="Gecikti",Özet!$C$3-E204,"")</f>
        <v/>
      </c>
      <c r="K204" s="12"/>
    </row>
    <row r="205" customFormat="false" ht="15" hidden="false" customHeight="false" outlineLevel="0" collapsed="false">
      <c r="A205" s="11"/>
      <c r="B205" s="12"/>
      <c r="C205" s="12"/>
      <c r="D205" s="13"/>
      <c r="E205" s="13"/>
      <c r="F205" s="14"/>
      <c r="G205" s="14"/>
      <c r="H205" s="15" t="str">
        <f aca="false">IF(F205="","",F205-G205)</f>
        <v/>
      </c>
      <c r="I205" s="16" t="str">
        <f aca="false">IF(F205="","",IF(H205&lt;=0,"Ödendi",IF(E205="","Vadesiz",IF(E205&lt;Özet!$C$3,"Gecikti",IF(E205&lt;=Özet!$C$3+7,"Bu hafta","Bekliyor")))))</f>
        <v/>
      </c>
      <c r="J205" s="17" t="str">
        <f aca="false">IF(I205="Gecikti",Özet!$C$3-E205,"")</f>
        <v/>
      </c>
      <c r="K205" s="12"/>
    </row>
    <row r="206" customFormat="false" ht="15" hidden="false" customHeight="false" outlineLevel="0" collapsed="false">
      <c r="A206" s="11"/>
      <c r="B206" s="12"/>
      <c r="C206" s="12"/>
      <c r="D206" s="13"/>
      <c r="E206" s="13"/>
      <c r="F206" s="14"/>
      <c r="G206" s="14"/>
      <c r="H206" s="15" t="str">
        <f aca="false">IF(F206="","",F206-G206)</f>
        <v/>
      </c>
      <c r="I206" s="16" t="str">
        <f aca="false">IF(F206="","",IF(H206&lt;=0,"Ödendi",IF(E206="","Vadesiz",IF(E206&lt;Özet!$C$3,"Gecikti",IF(E206&lt;=Özet!$C$3+7,"Bu hafta","Bekliyor")))))</f>
        <v/>
      </c>
      <c r="J206" s="17" t="str">
        <f aca="false">IF(I206="Gecikti",Özet!$C$3-E206,"")</f>
        <v/>
      </c>
      <c r="K206" s="12"/>
    </row>
    <row r="207" customFormat="false" ht="15" hidden="false" customHeight="false" outlineLevel="0" collapsed="false">
      <c r="A207" s="11"/>
      <c r="B207" s="12"/>
      <c r="C207" s="12"/>
      <c r="D207" s="13"/>
      <c r="E207" s="13"/>
      <c r="F207" s="14"/>
      <c r="G207" s="14"/>
      <c r="H207" s="15" t="str">
        <f aca="false">IF(F207="","",F207-G207)</f>
        <v/>
      </c>
      <c r="I207" s="16" t="str">
        <f aca="false">IF(F207="","",IF(H207&lt;=0,"Ödendi",IF(E207="","Vadesiz",IF(E207&lt;Özet!$C$3,"Gecikti",IF(E207&lt;=Özet!$C$3+7,"Bu hafta","Bekliyor")))))</f>
        <v/>
      </c>
      <c r="J207" s="17" t="str">
        <f aca="false">IF(I207="Gecikti",Özet!$C$3-E207,"")</f>
        <v/>
      </c>
      <c r="K207" s="12"/>
    </row>
    <row r="208" customFormat="false" ht="15" hidden="false" customHeight="false" outlineLevel="0" collapsed="false">
      <c r="A208" s="11"/>
      <c r="B208" s="12"/>
      <c r="C208" s="12"/>
      <c r="D208" s="13"/>
      <c r="E208" s="13"/>
      <c r="F208" s="14"/>
      <c r="G208" s="14"/>
      <c r="H208" s="15" t="str">
        <f aca="false">IF(F208="","",F208-G208)</f>
        <v/>
      </c>
      <c r="I208" s="16" t="str">
        <f aca="false">IF(F208="","",IF(H208&lt;=0,"Ödendi",IF(E208="","Vadesiz",IF(E208&lt;Özet!$C$3,"Gecikti",IF(E208&lt;=Özet!$C$3+7,"Bu hafta","Bekliyor")))))</f>
        <v/>
      </c>
      <c r="J208" s="17" t="str">
        <f aca="false">IF(I208="Gecikti",Özet!$C$3-E208,"")</f>
        <v/>
      </c>
      <c r="K208" s="12"/>
    </row>
    <row r="209" customFormat="false" ht="15" hidden="false" customHeight="false" outlineLevel="0" collapsed="false">
      <c r="A209" s="11"/>
      <c r="B209" s="12"/>
      <c r="C209" s="12"/>
      <c r="D209" s="13"/>
      <c r="E209" s="13"/>
      <c r="F209" s="14"/>
      <c r="G209" s="14"/>
      <c r="H209" s="15" t="str">
        <f aca="false">IF(F209="","",F209-G209)</f>
        <v/>
      </c>
      <c r="I209" s="16" t="str">
        <f aca="false">IF(F209="","",IF(H209&lt;=0,"Ödendi",IF(E209="","Vadesiz",IF(E209&lt;Özet!$C$3,"Gecikti",IF(E209&lt;=Özet!$C$3+7,"Bu hafta","Bekliyor")))))</f>
        <v/>
      </c>
      <c r="J209" s="17" t="str">
        <f aca="false">IF(I209="Gecikti",Özet!$C$3-E209,"")</f>
        <v/>
      </c>
      <c r="K209" s="12"/>
    </row>
    <row r="210" customFormat="false" ht="15" hidden="false" customHeight="false" outlineLevel="0" collapsed="false">
      <c r="A210" s="11"/>
      <c r="B210" s="12"/>
      <c r="C210" s="12"/>
      <c r="D210" s="13"/>
      <c r="E210" s="13"/>
      <c r="F210" s="14"/>
      <c r="G210" s="14"/>
      <c r="H210" s="15" t="str">
        <f aca="false">IF(F210="","",F210-G210)</f>
        <v/>
      </c>
      <c r="I210" s="16" t="str">
        <f aca="false">IF(F210="","",IF(H210&lt;=0,"Ödendi",IF(E210="","Vadesiz",IF(E210&lt;Özet!$C$3,"Gecikti",IF(E210&lt;=Özet!$C$3+7,"Bu hafta","Bekliyor")))))</f>
        <v/>
      </c>
      <c r="J210" s="17" t="str">
        <f aca="false">IF(I210="Gecikti",Özet!$C$3-E210,"")</f>
        <v/>
      </c>
      <c r="K210" s="12"/>
    </row>
    <row r="211" customFormat="false" ht="15" hidden="false" customHeight="false" outlineLevel="0" collapsed="false">
      <c r="A211" s="11"/>
      <c r="B211" s="12"/>
      <c r="C211" s="12"/>
      <c r="D211" s="13"/>
      <c r="E211" s="13"/>
      <c r="F211" s="14"/>
      <c r="G211" s="14"/>
      <c r="H211" s="15" t="str">
        <f aca="false">IF(F211="","",F211-G211)</f>
        <v/>
      </c>
      <c r="I211" s="16" t="str">
        <f aca="false">IF(F211="","",IF(H211&lt;=0,"Ödendi",IF(E211="","Vadesiz",IF(E211&lt;Özet!$C$3,"Gecikti",IF(E211&lt;=Özet!$C$3+7,"Bu hafta","Bekliyor")))))</f>
        <v/>
      </c>
      <c r="J211" s="17" t="str">
        <f aca="false">IF(I211="Gecikti",Özet!$C$3-E211,"")</f>
        <v/>
      </c>
      <c r="K211" s="12"/>
    </row>
    <row r="212" customFormat="false" ht="15" hidden="false" customHeight="false" outlineLevel="0" collapsed="false">
      <c r="A212" s="11"/>
      <c r="B212" s="12"/>
      <c r="C212" s="12"/>
      <c r="D212" s="13"/>
      <c r="E212" s="13"/>
      <c r="F212" s="14"/>
      <c r="G212" s="14"/>
      <c r="H212" s="15" t="str">
        <f aca="false">IF(F212="","",F212-G212)</f>
        <v/>
      </c>
      <c r="I212" s="16" t="str">
        <f aca="false">IF(F212="","",IF(H212&lt;=0,"Ödendi",IF(E212="","Vadesiz",IF(E212&lt;Özet!$C$3,"Gecikti",IF(E212&lt;=Özet!$C$3+7,"Bu hafta","Bekliyor")))))</f>
        <v/>
      </c>
      <c r="J212" s="17" t="str">
        <f aca="false">IF(I212="Gecikti",Özet!$C$3-E212,"")</f>
        <v/>
      </c>
      <c r="K212" s="12"/>
    </row>
    <row r="213" customFormat="false" ht="15" hidden="false" customHeight="false" outlineLevel="0" collapsed="false">
      <c r="A213" s="11"/>
      <c r="B213" s="12"/>
      <c r="C213" s="12"/>
      <c r="D213" s="13"/>
      <c r="E213" s="13"/>
      <c r="F213" s="14"/>
      <c r="G213" s="14"/>
      <c r="H213" s="15" t="str">
        <f aca="false">IF(F213="","",F213-G213)</f>
        <v/>
      </c>
      <c r="I213" s="16" t="str">
        <f aca="false">IF(F213="","",IF(H213&lt;=0,"Ödendi",IF(E213="","Vadesiz",IF(E213&lt;Özet!$C$3,"Gecikti",IF(E213&lt;=Özet!$C$3+7,"Bu hafta","Bekliyor")))))</f>
        <v/>
      </c>
      <c r="J213" s="17" t="str">
        <f aca="false">IF(I213="Gecikti",Özet!$C$3-E213,"")</f>
        <v/>
      </c>
      <c r="K213" s="12"/>
    </row>
    <row r="214" customFormat="false" ht="15" hidden="false" customHeight="false" outlineLevel="0" collapsed="false">
      <c r="A214" s="11"/>
      <c r="B214" s="12"/>
      <c r="C214" s="12"/>
      <c r="D214" s="13"/>
      <c r="E214" s="13"/>
      <c r="F214" s="14"/>
      <c r="G214" s="14"/>
      <c r="H214" s="15" t="str">
        <f aca="false">IF(F214="","",F214-G214)</f>
        <v/>
      </c>
      <c r="I214" s="16" t="str">
        <f aca="false">IF(F214="","",IF(H214&lt;=0,"Ödendi",IF(E214="","Vadesiz",IF(E214&lt;Özet!$C$3,"Gecikti",IF(E214&lt;=Özet!$C$3+7,"Bu hafta","Bekliyor")))))</f>
        <v/>
      </c>
      <c r="J214" s="17" t="str">
        <f aca="false">IF(I214="Gecikti",Özet!$C$3-E214,"")</f>
        <v/>
      </c>
      <c r="K214" s="12"/>
    </row>
    <row r="215" customFormat="false" ht="15" hidden="false" customHeight="false" outlineLevel="0" collapsed="false">
      <c r="A215" s="11"/>
      <c r="B215" s="12"/>
      <c r="C215" s="12"/>
      <c r="D215" s="13"/>
      <c r="E215" s="13"/>
      <c r="F215" s="14"/>
      <c r="G215" s="14"/>
      <c r="H215" s="15" t="str">
        <f aca="false">IF(F215="","",F215-G215)</f>
        <v/>
      </c>
      <c r="I215" s="16" t="str">
        <f aca="false">IF(F215="","",IF(H215&lt;=0,"Ödendi",IF(E215="","Vadesiz",IF(E215&lt;Özet!$C$3,"Gecikti",IF(E215&lt;=Özet!$C$3+7,"Bu hafta","Bekliyor")))))</f>
        <v/>
      </c>
      <c r="J215" s="17" t="str">
        <f aca="false">IF(I215="Gecikti",Özet!$C$3-E215,"")</f>
        <v/>
      </c>
      <c r="K215" s="12"/>
    </row>
    <row r="216" customFormat="false" ht="15" hidden="false" customHeight="false" outlineLevel="0" collapsed="false">
      <c r="A216" s="11"/>
      <c r="B216" s="12"/>
      <c r="C216" s="12"/>
      <c r="D216" s="13"/>
      <c r="E216" s="13"/>
      <c r="F216" s="14"/>
      <c r="G216" s="14"/>
      <c r="H216" s="15" t="str">
        <f aca="false">IF(F216="","",F216-G216)</f>
        <v/>
      </c>
      <c r="I216" s="16" t="str">
        <f aca="false">IF(F216="","",IF(H216&lt;=0,"Ödendi",IF(E216="","Vadesiz",IF(E216&lt;Özet!$C$3,"Gecikti",IF(E216&lt;=Özet!$C$3+7,"Bu hafta","Bekliyor")))))</f>
        <v/>
      </c>
      <c r="J216" s="17" t="str">
        <f aca="false">IF(I216="Gecikti",Özet!$C$3-E216,"")</f>
        <v/>
      </c>
      <c r="K216" s="12"/>
    </row>
    <row r="217" customFormat="false" ht="15" hidden="false" customHeight="false" outlineLevel="0" collapsed="false">
      <c r="A217" s="11"/>
      <c r="B217" s="12"/>
      <c r="C217" s="12"/>
      <c r="D217" s="13"/>
      <c r="E217" s="13"/>
      <c r="F217" s="14"/>
      <c r="G217" s="14"/>
      <c r="H217" s="15" t="str">
        <f aca="false">IF(F217="","",F217-G217)</f>
        <v/>
      </c>
      <c r="I217" s="16" t="str">
        <f aca="false">IF(F217="","",IF(H217&lt;=0,"Ödendi",IF(E217="","Vadesiz",IF(E217&lt;Özet!$C$3,"Gecikti",IF(E217&lt;=Özet!$C$3+7,"Bu hafta","Bekliyor")))))</f>
        <v/>
      </c>
      <c r="J217" s="17" t="str">
        <f aca="false">IF(I217="Gecikti",Özet!$C$3-E217,"")</f>
        <v/>
      </c>
      <c r="K217" s="12"/>
    </row>
    <row r="218" customFormat="false" ht="15" hidden="false" customHeight="false" outlineLevel="0" collapsed="false">
      <c r="A218" s="11"/>
      <c r="B218" s="12"/>
      <c r="C218" s="12"/>
      <c r="D218" s="13"/>
      <c r="E218" s="13"/>
      <c r="F218" s="14"/>
      <c r="G218" s="14"/>
      <c r="H218" s="15" t="str">
        <f aca="false">IF(F218="","",F218-G218)</f>
        <v/>
      </c>
      <c r="I218" s="16" t="str">
        <f aca="false">IF(F218="","",IF(H218&lt;=0,"Ödendi",IF(E218="","Vadesiz",IF(E218&lt;Özet!$C$3,"Gecikti",IF(E218&lt;=Özet!$C$3+7,"Bu hafta","Bekliyor")))))</f>
        <v/>
      </c>
      <c r="J218" s="17" t="str">
        <f aca="false">IF(I218="Gecikti",Özet!$C$3-E218,"")</f>
        <v/>
      </c>
      <c r="K218" s="12"/>
    </row>
    <row r="219" customFormat="false" ht="15" hidden="false" customHeight="false" outlineLevel="0" collapsed="false">
      <c r="A219" s="11"/>
      <c r="B219" s="12"/>
      <c r="C219" s="12"/>
      <c r="D219" s="13"/>
      <c r="E219" s="13"/>
      <c r="F219" s="14"/>
      <c r="G219" s="14"/>
      <c r="H219" s="15" t="str">
        <f aca="false">IF(F219="","",F219-G219)</f>
        <v/>
      </c>
      <c r="I219" s="16" t="str">
        <f aca="false">IF(F219="","",IF(H219&lt;=0,"Ödendi",IF(E219="","Vadesiz",IF(E219&lt;Özet!$C$3,"Gecikti",IF(E219&lt;=Özet!$C$3+7,"Bu hafta","Bekliyor")))))</f>
        <v/>
      </c>
      <c r="J219" s="17" t="str">
        <f aca="false">IF(I219="Gecikti",Özet!$C$3-E219,"")</f>
        <v/>
      </c>
      <c r="K219" s="12"/>
    </row>
    <row r="220" customFormat="false" ht="15" hidden="false" customHeight="false" outlineLevel="0" collapsed="false">
      <c r="A220" s="11"/>
      <c r="B220" s="12"/>
      <c r="C220" s="12"/>
      <c r="D220" s="13"/>
      <c r="E220" s="13"/>
      <c r="F220" s="14"/>
      <c r="G220" s="14"/>
      <c r="H220" s="15" t="str">
        <f aca="false">IF(F220="","",F220-G220)</f>
        <v/>
      </c>
      <c r="I220" s="16" t="str">
        <f aca="false">IF(F220="","",IF(H220&lt;=0,"Ödendi",IF(E220="","Vadesiz",IF(E220&lt;Özet!$C$3,"Gecikti",IF(E220&lt;=Özet!$C$3+7,"Bu hafta","Bekliyor")))))</f>
        <v/>
      </c>
      <c r="J220" s="17" t="str">
        <f aca="false">IF(I220="Gecikti",Özet!$C$3-E220,"")</f>
        <v/>
      </c>
      <c r="K220" s="12"/>
    </row>
    <row r="221" customFormat="false" ht="15" hidden="false" customHeight="false" outlineLevel="0" collapsed="false">
      <c r="A221" s="11"/>
      <c r="B221" s="12"/>
      <c r="C221" s="12"/>
      <c r="D221" s="13"/>
      <c r="E221" s="13"/>
      <c r="F221" s="14"/>
      <c r="G221" s="14"/>
      <c r="H221" s="15" t="str">
        <f aca="false">IF(F221="","",F221-G221)</f>
        <v/>
      </c>
      <c r="I221" s="16" t="str">
        <f aca="false">IF(F221="","",IF(H221&lt;=0,"Ödendi",IF(E221="","Vadesiz",IF(E221&lt;Özet!$C$3,"Gecikti",IF(E221&lt;=Özet!$C$3+7,"Bu hafta","Bekliyor")))))</f>
        <v/>
      </c>
      <c r="J221" s="17" t="str">
        <f aca="false">IF(I221="Gecikti",Özet!$C$3-E221,"")</f>
        <v/>
      </c>
      <c r="K221" s="12"/>
    </row>
    <row r="222" customFormat="false" ht="15" hidden="false" customHeight="false" outlineLevel="0" collapsed="false">
      <c r="A222" s="11"/>
      <c r="B222" s="12"/>
      <c r="C222" s="12"/>
      <c r="D222" s="13"/>
      <c r="E222" s="13"/>
      <c r="F222" s="14"/>
      <c r="G222" s="14"/>
      <c r="H222" s="15" t="str">
        <f aca="false">IF(F222="","",F222-G222)</f>
        <v/>
      </c>
      <c r="I222" s="16" t="str">
        <f aca="false">IF(F222="","",IF(H222&lt;=0,"Ödendi",IF(E222="","Vadesiz",IF(E222&lt;Özet!$C$3,"Gecikti",IF(E222&lt;=Özet!$C$3+7,"Bu hafta","Bekliyor")))))</f>
        <v/>
      </c>
      <c r="J222" s="17" t="str">
        <f aca="false">IF(I222="Gecikti",Özet!$C$3-E222,"")</f>
        <v/>
      </c>
      <c r="K222" s="12"/>
    </row>
    <row r="223" customFormat="false" ht="15" hidden="false" customHeight="false" outlineLevel="0" collapsed="false">
      <c r="A223" s="11"/>
      <c r="B223" s="12"/>
      <c r="C223" s="12"/>
      <c r="D223" s="13"/>
      <c r="E223" s="13"/>
      <c r="F223" s="14"/>
      <c r="G223" s="14"/>
      <c r="H223" s="15" t="str">
        <f aca="false">IF(F223="","",F223-G223)</f>
        <v/>
      </c>
      <c r="I223" s="16" t="str">
        <f aca="false">IF(F223="","",IF(H223&lt;=0,"Ödendi",IF(E223="","Vadesiz",IF(E223&lt;Özet!$C$3,"Gecikti",IF(E223&lt;=Özet!$C$3+7,"Bu hafta","Bekliyor")))))</f>
        <v/>
      </c>
      <c r="J223" s="17" t="str">
        <f aca="false">IF(I223="Gecikti",Özet!$C$3-E223,"")</f>
        <v/>
      </c>
      <c r="K223" s="12"/>
    </row>
    <row r="224" customFormat="false" ht="15" hidden="false" customHeight="false" outlineLevel="0" collapsed="false">
      <c r="A224" s="11"/>
      <c r="B224" s="12"/>
      <c r="C224" s="12"/>
      <c r="D224" s="13"/>
      <c r="E224" s="13"/>
      <c r="F224" s="14"/>
      <c r="G224" s="14"/>
      <c r="H224" s="15" t="str">
        <f aca="false">IF(F224="","",F224-G224)</f>
        <v/>
      </c>
      <c r="I224" s="16" t="str">
        <f aca="false">IF(F224="","",IF(H224&lt;=0,"Ödendi",IF(E224="","Vadesiz",IF(E224&lt;Özet!$C$3,"Gecikti",IF(E224&lt;=Özet!$C$3+7,"Bu hafta","Bekliyor")))))</f>
        <v/>
      </c>
      <c r="J224" s="17" t="str">
        <f aca="false">IF(I224="Gecikti",Özet!$C$3-E224,"")</f>
        <v/>
      </c>
      <c r="K224" s="12"/>
    </row>
    <row r="225" customFormat="false" ht="15" hidden="false" customHeight="false" outlineLevel="0" collapsed="false">
      <c r="A225" s="11"/>
      <c r="B225" s="12"/>
      <c r="C225" s="12"/>
      <c r="D225" s="13"/>
      <c r="E225" s="13"/>
      <c r="F225" s="14"/>
      <c r="G225" s="14"/>
      <c r="H225" s="15" t="str">
        <f aca="false">IF(F225="","",F225-G225)</f>
        <v/>
      </c>
      <c r="I225" s="16" t="str">
        <f aca="false">IF(F225="","",IF(H225&lt;=0,"Ödendi",IF(E225="","Vadesiz",IF(E225&lt;Özet!$C$3,"Gecikti",IF(E225&lt;=Özet!$C$3+7,"Bu hafta","Bekliyor")))))</f>
        <v/>
      </c>
      <c r="J225" s="17" t="str">
        <f aca="false">IF(I225="Gecikti",Özet!$C$3-E225,"")</f>
        <v/>
      </c>
      <c r="K225" s="12"/>
    </row>
    <row r="226" customFormat="false" ht="15" hidden="false" customHeight="false" outlineLevel="0" collapsed="false">
      <c r="A226" s="11"/>
      <c r="B226" s="12"/>
      <c r="C226" s="12"/>
      <c r="D226" s="13"/>
      <c r="E226" s="13"/>
      <c r="F226" s="14"/>
      <c r="G226" s="14"/>
      <c r="H226" s="15" t="str">
        <f aca="false">IF(F226="","",F226-G226)</f>
        <v/>
      </c>
      <c r="I226" s="16" t="str">
        <f aca="false">IF(F226="","",IF(H226&lt;=0,"Ödendi",IF(E226="","Vadesiz",IF(E226&lt;Özet!$C$3,"Gecikti",IF(E226&lt;=Özet!$C$3+7,"Bu hafta","Bekliyor")))))</f>
        <v/>
      </c>
      <c r="J226" s="17" t="str">
        <f aca="false">IF(I226="Gecikti",Özet!$C$3-E226,"")</f>
        <v/>
      </c>
      <c r="K226" s="12"/>
    </row>
    <row r="227" customFormat="false" ht="15" hidden="false" customHeight="false" outlineLevel="0" collapsed="false">
      <c r="A227" s="11"/>
      <c r="B227" s="12"/>
      <c r="C227" s="12"/>
      <c r="D227" s="13"/>
      <c r="E227" s="13"/>
      <c r="F227" s="14"/>
      <c r="G227" s="14"/>
      <c r="H227" s="15" t="str">
        <f aca="false">IF(F227="","",F227-G227)</f>
        <v/>
      </c>
      <c r="I227" s="16" t="str">
        <f aca="false">IF(F227="","",IF(H227&lt;=0,"Ödendi",IF(E227="","Vadesiz",IF(E227&lt;Özet!$C$3,"Gecikti",IF(E227&lt;=Özet!$C$3+7,"Bu hafta","Bekliyor")))))</f>
        <v/>
      </c>
      <c r="J227" s="17" t="str">
        <f aca="false">IF(I227="Gecikti",Özet!$C$3-E227,"")</f>
        <v/>
      </c>
      <c r="K227" s="12"/>
    </row>
    <row r="228" customFormat="false" ht="15" hidden="false" customHeight="false" outlineLevel="0" collapsed="false">
      <c r="A228" s="11"/>
      <c r="B228" s="12"/>
      <c r="C228" s="12"/>
      <c r="D228" s="13"/>
      <c r="E228" s="13"/>
      <c r="F228" s="14"/>
      <c r="G228" s="14"/>
      <c r="H228" s="15" t="str">
        <f aca="false">IF(F228="","",F228-G228)</f>
        <v/>
      </c>
      <c r="I228" s="16" t="str">
        <f aca="false">IF(F228="","",IF(H228&lt;=0,"Ödendi",IF(E228="","Vadesiz",IF(E228&lt;Özet!$C$3,"Gecikti",IF(E228&lt;=Özet!$C$3+7,"Bu hafta","Bekliyor")))))</f>
        <v/>
      </c>
      <c r="J228" s="17" t="str">
        <f aca="false">IF(I228="Gecikti",Özet!$C$3-E228,"")</f>
        <v/>
      </c>
      <c r="K228" s="12"/>
    </row>
    <row r="229" customFormat="false" ht="15" hidden="false" customHeight="false" outlineLevel="0" collapsed="false">
      <c r="A229" s="11"/>
      <c r="B229" s="12"/>
      <c r="C229" s="12"/>
      <c r="D229" s="13"/>
      <c r="E229" s="13"/>
      <c r="F229" s="14"/>
      <c r="G229" s="14"/>
      <c r="H229" s="15" t="str">
        <f aca="false">IF(F229="","",F229-G229)</f>
        <v/>
      </c>
      <c r="I229" s="16" t="str">
        <f aca="false">IF(F229="","",IF(H229&lt;=0,"Ödendi",IF(E229="","Vadesiz",IF(E229&lt;Özet!$C$3,"Gecikti",IF(E229&lt;=Özet!$C$3+7,"Bu hafta","Bekliyor")))))</f>
        <v/>
      </c>
      <c r="J229" s="17" t="str">
        <f aca="false">IF(I229="Gecikti",Özet!$C$3-E229,"")</f>
        <v/>
      </c>
      <c r="K229" s="12"/>
    </row>
    <row r="230" customFormat="false" ht="15" hidden="false" customHeight="false" outlineLevel="0" collapsed="false">
      <c r="A230" s="11"/>
      <c r="B230" s="12"/>
      <c r="C230" s="12"/>
      <c r="D230" s="13"/>
      <c r="E230" s="13"/>
      <c r="F230" s="14"/>
      <c r="G230" s="14"/>
      <c r="H230" s="15" t="str">
        <f aca="false">IF(F230="","",F230-G230)</f>
        <v/>
      </c>
      <c r="I230" s="16" t="str">
        <f aca="false">IF(F230="","",IF(H230&lt;=0,"Ödendi",IF(E230="","Vadesiz",IF(E230&lt;Özet!$C$3,"Gecikti",IF(E230&lt;=Özet!$C$3+7,"Bu hafta","Bekliyor")))))</f>
        <v/>
      </c>
      <c r="J230" s="17" t="str">
        <f aca="false">IF(I230="Gecikti",Özet!$C$3-E230,"")</f>
        <v/>
      </c>
      <c r="K230" s="12"/>
    </row>
    <row r="231" customFormat="false" ht="15" hidden="false" customHeight="false" outlineLevel="0" collapsed="false">
      <c r="A231" s="11"/>
      <c r="B231" s="12"/>
      <c r="C231" s="12"/>
      <c r="D231" s="13"/>
      <c r="E231" s="13"/>
      <c r="F231" s="14"/>
      <c r="G231" s="14"/>
      <c r="H231" s="15" t="str">
        <f aca="false">IF(F231="","",F231-G231)</f>
        <v/>
      </c>
      <c r="I231" s="16" t="str">
        <f aca="false">IF(F231="","",IF(H231&lt;=0,"Ödendi",IF(E231="","Vadesiz",IF(E231&lt;Özet!$C$3,"Gecikti",IF(E231&lt;=Özet!$C$3+7,"Bu hafta","Bekliyor")))))</f>
        <v/>
      </c>
      <c r="J231" s="17" t="str">
        <f aca="false">IF(I231="Gecikti",Özet!$C$3-E231,"")</f>
        <v/>
      </c>
      <c r="K231" s="12"/>
    </row>
    <row r="232" customFormat="false" ht="15" hidden="false" customHeight="false" outlineLevel="0" collapsed="false">
      <c r="A232" s="11"/>
      <c r="B232" s="12"/>
      <c r="C232" s="12"/>
      <c r="D232" s="13"/>
      <c r="E232" s="13"/>
      <c r="F232" s="14"/>
      <c r="G232" s="14"/>
      <c r="H232" s="15" t="str">
        <f aca="false">IF(F232="","",F232-G232)</f>
        <v/>
      </c>
      <c r="I232" s="16" t="str">
        <f aca="false">IF(F232="","",IF(H232&lt;=0,"Ödendi",IF(E232="","Vadesiz",IF(E232&lt;Özet!$C$3,"Gecikti",IF(E232&lt;=Özet!$C$3+7,"Bu hafta","Bekliyor")))))</f>
        <v/>
      </c>
      <c r="J232" s="17" t="str">
        <f aca="false">IF(I232="Gecikti",Özet!$C$3-E232,"")</f>
        <v/>
      </c>
      <c r="K232" s="12"/>
    </row>
    <row r="233" customFormat="false" ht="15" hidden="false" customHeight="false" outlineLevel="0" collapsed="false">
      <c r="A233" s="11"/>
      <c r="B233" s="12"/>
      <c r="C233" s="12"/>
      <c r="D233" s="13"/>
      <c r="E233" s="13"/>
      <c r="F233" s="14"/>
      <c r="G233" s="14"/>
      <c r="H233" s="15" t="str">
        <f aca="false">IF(F233="","",F233-G233)</f>
        <v/>
      </c>
      <c r="I233" s="16" t="str">
        <f aca="false">IF(F233="","",IF(H233&lt;=0,"Ödendi",IF(E233="","Vadesiz",IF(E233&lt;Özet!$C$3,"Gecikti",IF(E233&lt;=Özet!$C$3+7,"Bu hafta","Bekliyor")))))</f>
        <v/>
      </c>
      <c r="J233" s="17" t="str">
        <f aca="false">IF(I233="Gecikti",Özet!$C$3-E233,"")</f>
        <v/>
      </c>
      <c r="K233" s="12"/>
    </row>
    <row r="234" customFormat="false" ht="15" hidden="false" customHeight="false" outlineLevel="0" collapsed="false">
      <c r="A234" s="11"/>
      <c r="B234" s="12"/>
      <c r="C234" s="12"/>
      <c r="D234" s="13"/>
      <c r="E234" s="13"/>
      <c r="F234" s="14"/>
      <c r="G234" s="14"/>
      <c r="H234" s="15" t="str">
        <f aca="false">IF(F234="","",F234-G234)</f>
        <v/>
      </c>
      <c r="I234" s="16" t="str">
        <f aca="false">IF(F234="","",IF(H234&lt;=0,"Ödendi",IF(E234="","Vadesiz",IF(E234&lt;Özet!$C$3,"Gecikti",IF(E234&lt;=Özet!$C$3+7,"Bu hafta","Bekliyor")))))</f>
        <v/>
      </c>
      <c r="J234" s="17" t="str">
        <f aca="false">IF(I234="Gecikti",Özet!$C$3-E234,"")</f>
        <v/>
      </c>
      <c r="K234" s="12"/>
    </row>
    <row r="235" customFormat="false" ht="15" hidden="false" customHeight="false" outlineLevel="0" collapsed="false">
      <c r="A235" s="11"/>
      <c r="B235" s="12"/>
      <c r="C235" s="12"/>
      <c r="D235" s="13"/>
      <c r="E235" s="13"/>
      <c r="F235" s="14"/>
      <c r="G235" s="14"/>
      <c r="H235" s="15" t="str">
        <f aca="false">IF(F235="","",F235-G235)</f>
        <v/>
      </c>
      <c r="I235" s="16" t="str">
        <f aca="false">IF(F235="","",IF(H235&lt;=0,"Ödendi",IF(E235="","Vadesiz",IF(E235&lt;Özet!$C$3,"Gecikti",IF(E235&lt;=Özet!$C$3+7,"Bu hafta","Bekliyor")))))</f>
        <v/>
      </c>
      <c r="J235" s="17" t="str">
        <f aca="false">IF(I235="Gecikti",Özet!$C$3-E235,"")</f>
        <v/>
      </c>
      <c r="K235" s="12"/>
    </row>
    <row r="236" customFormat="false" ht="15" hidden="false" customHeight="false" outlineLevel="0" collapsed="false">
      <c r="A236" s="11"/>
      <c r="B236" s="12"/>
      <c r="C236" s="12"/>
      <c r="D236" s="13"/>
      <c r="E236" s="13"/>
      <c r="F236" s="14"/>
      <c r="G236" s="14"/>
      <c r="H236" s="15" t="str">
        <f aca="false">IF(F236="","",F236-G236)</f>
        <v/>
      </c>
      <c r="I236" s="16" t="str">
        <f aca="false">IF(F236="","",IF(H236&lt;=0,"Ödendi",IF(E236="","Vadesiz",IF(E236&lt;Özet!$C$3,"Gecikti",IF(E236&lt;=Özet!$C$3+7,"Bu hafta","Bekliyor")))))</f>
        <v/>
      </c>
      <c r="J236" s="17" t="str">
        <f aca="false">IF(I236="Gecikti",Özet!$C$3-E236,"")</f>
        <v/>
      </c>
      <c r="K236" s="12"/>
    </row>
    <row r="237" customFormat="false" ht="15" hidden="false" customHeight="false" outlineLevel="0" collapsed="false">
      <c r="A237" s="11"/>
      <c r="B237" s="12"/>
      <c r="C237" s="12"/>
      <c r="D237" s="13"/>
      <c r="E237" s="13"/>
      <c r="F237" s="14"/>
      <c r="G237" s="14"/>
      <c r="H237" s="15" t="str">
        <f aca="false">IF(F237="","",F237-G237)</f>
        <v/>
      </c>
      <c r="I237" s="16" t="str">
        <f aca="false">IF(F237="","",IF(H237&lt;=0,"Ödendi",IF(E237="","Vadesiz",IF(E237&lt;Özet!$C$3,"Gecikti",IF(E237&lt;=Özet!$C$3+7,"Bu hafta","Bekliyor")))))</f>
        <v/>
      </c>
      <c r="J237" s="17" t="str">
        <f aca="false">IF(I237="Gecikti",Özet!$C$3-E237,"")</f>
        <v/>
      </c>
      <c r="K237" s="12"/>
    </row>
    <row r="238" customFormat="false" ht="15" hidden="false" customHeight="false" outlineLevel="0" collapsed="false">
      <c r="A238" s="11"/>
      <c r="B238" s="12"/>
      <c r="C238" s="12"/>
      <c r="D238" s="13"/>
      <c r="E238" s="13"/>
      <c r="F238" s="14"/>
      <c r="G238" s="14"/>
      <c r="H238" s="15" t="str">
        <f aca="false">IF(F238="","",F238-G238)</f>
        <v/>
      </c>
      <c r="I238" s="16" t="str">
        <f aca="false">IF(F238="","",IF(H238&lt;=0,"Ödendi",IF(E238="","Vadesiz",IF(E238&lt;Özet!$C$3,"Gecikti",IF(E238&lt;=Özet!$C$3+7,"Bu hafta","Bekliyor")))))</f>
        <v/>
      </c>
      <c r="J238" s="17" t="str">
        <f aca="false">IF(I238="Gecikti",Özet!$C$3-E238,"")</f>
        <v/>
      </c>
      <c r="K238" s="12"/>
    </row>
    <row r="239" customFormat="false" ht="15" hidden="false" customHeight="false" outlineLevel="0" collapsed="false">
      <c r="A239" s="11"/>
      <c r="B239" s="12"/>
      <c r="C239" s="12"/>
      <c r="D239" s="13"/>
      <c r="E239" s="13"/>
      <c r="F239" s="14"/>
      <c r="G239" s="14"/>
      <c r="H239" s="15" t="str">
        <f aca="false">IF(F239="","",F239-G239)</f>
        <v/>
      </c>
      <c r="I239" s="16" t="str">
        <f aca="false">IF(F239="","",IF(H239&lt;=0,"Ödendi",IF(E239="","Vadesiz",IF(E239&lt;Özet!$C$3,"Gecikti",IF(E239&lt;=Özet!$C$3+7,"Bu hafta","Bekliyor")))))</f>
        <v/>
      </c>
      <c r="J239" s="17" t="str">
        <f aca="false">IF(I239="Gecikti",Özet!$C$3-E239,"")</f>
        <v/>
      </c>
      <c r="K239" s="12"/>
    </row>
    <row r="240" customFormat="false" ht="15" hidden="false" customHeight="false" outlineLevel="0" collapsed="false">
      <c r="A240" s="11"/>
      <c r="B240" s="12"/>
      <c r="C240" s="12"/>
      <c r="D240" s="13"/>
      <c r="E240" s="13"/>
      <c r="F240" s="14"/>
      <c r="G240" s="14"/>
      <c r="H240" s="15" t="str">
        <f aca="false">IF(F240="","",F240-G240)</f>
        <v/>
      </c>
      <c r="I240" s="16" t="str">
        <f aca="false">IF(F240="","",IF(H240&lt;=0,"Ödendi",IF(E240="","Vadesiz",IF(E240&lt;Özet!$C$3,"Gecikti",IF(E240&lt;=Özet!$C$3+7,"Bu hafta","Bekliyor")))))</f>
        <v/>
      </c>
      <c r="J240" s="17" t="str">
        <f aca="false">IF(I240="Gecikti",Özet!$C$3-E240,"")</f>
        <v/>
      </c>
      <c r="K240" s="12"/>
    </row>
    <row r="241" customFormat="false" ht="15" hidden="false" customHeight="false" outlineLevel="0" collapsed="false">
      <c r="A241" s="11"/>
      <c r="B241" s="12"/>
      <c r="C241" s="12"/>
      <c r="D241" s="13"/>
      <c r="E241" s="13"/>
      <c r="F241" s="14"/>
      <c r="G241" s="14"/>
      <c r="H241" s="15" t="str">
        <f aca="false">IF(F241="","",F241-G241)</f>
        <v/>
      </c>
      <c r="I241" s="16" t="str">
        <f aca="false">IF(F241="","",IF(H241&lt;=0,"Ödendi",IF(E241="","Vadesiz",IF(E241&lt;Özet!$C$3,"Gecikti",IF(E241&lt;=Özet!$C$3+7,"Bu hafta","Bekliyor")))))</f>
        <v/>
      </c>
      <c r="J241" s="17" t="str">
        <f aca="false">IF(I241="Gecikti",Özet!$C$3-E241,"")</f>
        <v/>
      </c>
      <c r="K241" s="12"/>
    </row>
    <row r="242" customFormat="false" ht="15" hidden="false" customHeight="false" outlineLevel="0" collapsed="false">
      <c r="A242" s="11"/>
      <c r="B242" s="12"/>
      <c r="C242" s="12"/>
      <c r="D242" s="13"/>
      <c r="E242" s="13"/>
      <c r="F242" s="14"/>
      <c r="G242" s="14"/>
      <c r="H242" s="15" t="str">
        <f aca="false">IF(F242="","",F242-G242)</f>
        <v/>
      </c>
      <c r="I242" s="16" t="str">
        <f aca="false">IF(F242="","",IF(H242&lt;=0,"Ödendi",IF(E242="","Vadesiz",IF(E242&lt;Özet!$C$3,"Gecikti",IF(E242&lt;=Özet!$C$3+7,"Bu hafta","Bekliyor")))))</f>
        <v/>
      </c>
      <c r="J242" s="17" t="str">
        <f aca="false">IF(I242="Gecikti",Özet!$C$3-E242,"")</f>
        <v/>
      </c>
      <c r="K242" s="12"/>
    </row>
    <row r="243" customFormat="false" ht="15" hidden="false" customHeight="false" outlineLevel="0" collapsed="false">
      <c r="A243" s="11"/>
      <c r="B243" s="12"/>
      <c r="C243" s="12"/>
      <c r="D243" s="13"/>
      <c r="E243" s="13"/>
      <c r="F243" s="14"/>
      <c r="G243" s="14"/>
      <c r="H243" s="15" t="str">
        <f aca="false">IF(F243="","",F243-G243)</f>
        <v/>
      </c>
      <c r="I243" s="16" t="str">
        <f aca="false">IF(F243="","",IF(H243&lt;=0,"Ödendi",IF(E243="","Vadesiz",IF(E243&lt;Özet!$C$3,"Gecikti",IF(E243&lt;=Özet!$C$3+7,"Bu hafta","Bekliyor")))))</f>
        <v/>
      </c>
      <c r="J243" s="17" t="str">
        <f aca="false">IF(I243="Gecikti",Özet!$C$3-E243,"")</f>
        <v/>
      </c>
      <c r="K243" s="12"/>
    </row>
    <row r="244" customFormat="false" ht="15" hidden="false" customHeight="false" outlineLevel="0" collapsed="false">
      <c r="A244" s="11"/>
      <c r="B244" s="12"/>
      <c r="C244" s="12"/>
      <c r="D244" s="13"/>
      <c r="E244" s="13"/>
      <c r="F244" s="14"/>
      <c r="G244" s="14"/>
      <c r="H244" s="15" t="str">
        <f aca="false">IF(F244="","",F244-G244)</f>
        <v/>
      </c>
      <c r="I244" s="16" t="str">
        <f aca="false">IF(F244="","",IF(H244&lt;=0,"Ödendi",IF(E244="","Vadesiz",IF(E244&lt;Özet!$C$3,"Gecikti",IF(E244&lt;=Özet!$C$3+7,"Bu hafta","Bekliyor")))))</f>
        <v/>
      </c>
      <c r="J244" s="17" t="str">
        <f aca="false">IF(I244="Gecikti",Özet!$C$3-E244,"")</f>
        <v/>
      </c>
      <c r="K244" s="12"/>
    </row>
    <row r="245" customFormat="false" ht="15" hidden="false" customHeight="false" outlineLevel="0" collapsed="false">
      <c r="A245" s="11"/>
      <c r="B245" s="12"/>
      <c r="C245" s="12"/>
      <c r="D245" s="13"/>
      <c r="E245" s="13"/>
      <c r="F245" s="14"/>
      <c r="G245" s="14"/>
      <c r="H245" s="15" t="str">
        <f aca="false">IF(F245="","",F245-G245)</f>
        <v/>
      </c>
      <c r="I245" s="16" t="str">
        <f aca="false">IF(F245="","",IF(H245&lt;=0,"Ödendi",IF(E245="","Vadesiz",IF(E245&lt;Özet!$C$3,"Gecikti",IF(E245&lt;=Özet!$C$3+7,"Bu hafta","Bekliyor")))))</f>
        <v/>
      </c>
      <c r="J245" s="17" t="str">
        <f aca="false">IF(I245="Gecikti",Özet!$C$3-E245,"")</f>
        <v/>
      </c>
      <c r="K245" s="12"/>
    </row>
    <row r="246" customFormat="false" ht="15" hidden="false" customHeight="false" outlineLevel="0" collapsed="false">
      <c r="A246" s="11"/>
      <c r="B246" s="12"/>
      <c r="C246" s="12"/>
      <c r="D246" s="13"/>
      <c r="E246" s="13"/>
      <c r="F246" s="14"/>
      <c r="G246" s="14"/>
      <c r="H246" s="15" t="str">
        <f aca="false">IF(F246="","",F246-G246)</f>
        <v/>
      </c>
      <c r="I246" s="16" t="str">
        <f aca="false">IF(F246="","",IF(H246&lt;=0,"Ödendi",IF(E246="","Vadesiz",IF(E246&lt;Özet!$C$3,"Gecikti",IF(E246&lt;=Özet!$C$3+7,"Bu hafta","Bekliyor")))))</f>
        <v/>
      </c>
      <c r="J246" s="17" t="str">
        <f aca="false">IF(I246="Gecikti",Özet!$C$3-E246,"")</f>
        <v/>
      </c>
      <c r="K246" s="12"/>
    </row>
    <row r="247" customFormat="false" ht="15" hidden="false" customHeight="false" outlineLevel="0" collapsed="false">
      <c r="A247" s="11"/>
      <c r="B247" s="12"/>
      <c r="C247" s="12"/>
      <c r="D247" s="13"/>
      <c r="E247" s="13"/>
      <c r="F247" s="14"/>
      <c r="G247" s="14"/>
      <c r="H247" s="15" t="str">
        <f aca="false">IF(F247="","",F247-G247)</f>
        <v/>
      </c>
      <c r="I247" s="16" t="str">
        <f aca="false">IF(F247="","",IF(H247&lt;=0,"Ödendi",IF(E247="","Vadesiz",IF(E247&lt;Özet!$C$3,"Gecikti",IF(E247&lt;=Özet!$C$3+7,"Bu hafta","Bekliyor")))))</f>
        <v/>
      </c>
      <c r="J247" s="17" t="str">
        <f aca="false">IF(I247="Gecikti",Özet!$C$3-E247,"")</f>
        <v/>
      </c>
      <c r="K247" s="12"/>
    </row>
    <row r="248" customFormat="false" ht="15" hidden="false" customHeight="false" outlineLevel="0" collapsed="false">
      <c r="A248" s="11"/>
      <c r="B248" s="12"/>
      <c r="C248" s="12"/>
      <c r="D248" s="13"/>
      <c r="E248" s="13"/>
      <c r="F248" s="14"/>
      <c r="G248" s="14"/>
      <c r="H248" s="15" t="str">
        <f aca="false">IF(F248="","",F248-G248)</f>
        <v/>
      </c>
      <c r="I248" s="16" t="str">
        <f aca="false">IF(F248="","",IF(H248&lt;=0,"Ödendi",IF(E248="","Vadesiz",IF(E248&lt;Özet!$C$3,"Gecikti",IF(E248&lt;=Özet!$C$3+7,"Bu hafta","Bekliyor")))))</f>
        <v/>
      </c>
      <c r="J248" s="17" t="str">
        <f aca="false">IF(I248="Gecikti",Özet!$C$3-E248,"")</f>
        <v/>
      </c>
      <c r="K248" s="12"/>
    </row>
    <row r="249" customFormat="false" ht="15" hidden="false" customHeight="false" outlineLevel="0" collapsed="false">
      <c r="A249" s="11"/>
      <c r="B249" s="12"/>
      <c r="C249" s="12"/>
      <c r="D249" s="13"/>
      <c r="E249" s="13"/>
      <c r="F249" s="14"/>
      <c r="G249" s="14"/>
      <c r="H249" s="15" t="str">
        <f aca="false">IF(F249="","",F249-G249)</f>
        <v/>
      </c>
      <c r="I249" s="16" t="str">
        <f aca="false">IF(F249="","",IF(H249&lt;=0,"Ödendi",IF(E249="","Vadesiz",IF(E249&lt;Özet!$C$3,"Gecikti",IF(E249&lt;=Özet!$C$3+7,"Bu hafta","Bekliyor")))))</f>
        <v/>
      </c>
      <c r="J249" s="17" t="str">
        <f aca="false">IF(I249="Gecikti",Özet!$C$3-E249,"")</f>
        <v/>
      </c>
      <c r="K249" s="12"/>
    </row>
    <row r="250" customFormat="false" ht="15" hidden="false" customHeight="false" outlineLevel="0" collapsed="false">
      <c r="A250" s="11"/>
      <c r="B250" s="12"/>
      <c r="C250" s="12"/>
      <c r="D250" s="13"/>
      <c r="E250" s="13"/>
      <c r="F250" s="14"/>
      <c r="G250" s="14"/>
      <c r="H250" s="15" t="str">
        <f aca="false">IF(F250="","",F250-G250)</f>
        <v/>
      </c>
      <c r="I250" s="16" t="str">
        <f aca="false">IF(F250="","",IF(H250&lt;=0,"Ödendi",IF(E250="","Vadesiz",IF(E250&lt;Özet!$C$3,"Gecikti",IF(E250&lt;=Özet!$C$3+7,"Bu hafta","Bekliyor")))))</f>
        <v/>
      </c>
      <c r="J250" s="17" t="str">
        <f aca="false">IF(I250="Gecikti",Özet!$C$3-E250,"")</f>
        <v/>
      </c>
      <c r="K250" s="12"/>
    </row>
    <row r="251" customFormat="false" ht="15" hidden="false" customHeight="false" outlineLevel="0" collapsed="false">
      <c r="A251" s="11"/>
      <c r="B251" s="12"/>
      <c r="C251" s="12"/>
      <c r="D251" s="13"/>
      <c r="E251" s="13"/>
      <c r="F251" s="14"/>
      <c r="G251" s="14"/>
      <c r="H251" s="15" t="str">
        <f aca="false">IF(F251="","",F251-G251)</f>
        <v/>
      </c>
      <c r="I251" s="16" t="str">
        <f aca="false">IF(F251="","",IF(H251&lt;=0,"Ödendi",IF(E251="","Vadesiz",IF(E251&lt;Özet!$C$3,"Gecikti",IF(E251&lt;=Özet!$C$3+7,"Bu hafta","Bekliyor")))))</f>
        <v/>
      </c>
      <c r="J251" s="17" t="str">
        <f aca="false">IF(I251="Gecikti",Özet!$C$3-E251,"")</f>
        <v/>
      </c>
      <c r="K251" s="12"/>
    </row>
    <row r="252" customFormat="false" ht="15" hidden="false" customHeight="false" outlineLevel="0" collapsed="false">
      <c r="A252" s="11"/>
      <c r="B252" s="12"/>
      <c r="C252" s="12"/>
      <c r="D252" s="13"/>
      <c r="E252" s="13"/>
      <c r="F252" s="14"/>
      <c r="G252" s="14"/>
      <c r="H252" s="15" t="str">
        <f aca="false">IF(F252="","",F252-G252)</f>
        <v/>
      </c>
      <c r="I252" s="16" t="str">
        <f aca="false">IF(F252="","",IF(H252&lt;=0,"Ödendi",IF(E252="","Vadesiz",IF(E252&lt;Özet!$C$3,"Gecikti",IF(E252&lt;=Özet!$C$3+7,"Bu hafta","Bekliyor")))))</f>
        <v/>
      </c>
      <c r="J252" s="17" t="str">
        <f aca="false">IF(I252="Gecikti",Özet!$C$3-E252,"")</f>
        <v/>
      </c>
      <c r="K252" s="12"/>
    </row>
    <row r="253" customFormat="false" ht="15" hidden="false" customHeight="false" outlineLevel="0" collapsed="false">
      <c r="A253" s="11"/>
      <c r="B253" s="12"/>
      <c r="C253" s="12"/>
      <c r="D253" s="13"/>
      <c r="E253" s="13"/>
      <c r="F253" s="14"/>
      <c r="G253" s="14"/>
      <c r="H253" s="15" t="str">
        <f aca="false">IF(F253="","",F253-G253)</f>
        <v/>
      </c>
      <c r="I253" s="16" t="str">
        <f aca="false">IF(F253="","",IF(H253&lt;=0,"Ödendi",IF(E253="","Vadesiz",IF(E253&lt;Özet!$C$3,"Gecikti",IF(E253&lt;=Özet!$C$3+7,"Bu hafta","Bekliyor")))))</f>
        <v/>
      </c>
      <c r="J253" s="17" t="str">
        <f aca="false">IF(I253="Gecikti",Özet!$C$3-E253,"")</f>
        <v/>
      </c>
      <c r="K253" s="12"/>
    </row>
    <row r="254" customFormat="false" ht="15" hidden="false" customHeight="false" outlineLevel="0" collapsed="false">
      <c r="A254" s="11"/>
      <c r="B254" s="12"/>
      <c r="C254" s="12"/>
      <c r="D254" s="13"/>
      <c r="E254" s="13"/>
      <c r="F254" s="14"/>
      <c r="G254" s="14"/>
      <c r="H254" s="15" t="str">
        <f aca="false">IF(F254="","",F254-G254)</f>
        <v/>
      </c>
      <c r="I254" s="16" t="str">
        <f aca="false">IF(F254="","",IF(H254&lt;=0,"Ödendi",IF(E254="","Vadesiz",IF(E254&lt;Özet!$C$3,"Gecikti",IF(E254&lt;=Özet!$C$3+7,"Bu hafta","Bekliyor")))))</f>
        <v/>
      </c>
      <c r="J254" s="17" t="str">
        <f aca="false">IF(I254="Gecikti",Özet!$C$3-E254,"")</f>
        <v/>
      </c>
      <c r="K254" s="12"/>
    </row>
    <row r="255" customFormat="false" ht="15" hidden="false" customHeight="false" outlineLevel="0" collapsed="false">
      <c r="A255" s="11"/>
      <c r="B255" s="12"/>
      <c r="C255" s="12"/>
      <c r="D255" s="13"/>
      <c r="E255" s="13"/>
      <c r="F255" s="14"/>
      <c r="G255" s="14"/>
      <c r="H255" s="15" t="str">
        <f aca="false">IF(F255="","",F255-G255)</f>
        <v/>
      </c>
      <c r="I255" s="16" t="str">
        <f aca="false">IF(F255="","",IF(H255&lt;=0,"Ödendi",IF(E255="","Vadesiz",IF(E255&lt;Özet!$C$3,"Gecikti",IF(E255&lt;=Özet!$C$3+7,"Bu hafta","Bekliyor")))))</f>
        <v/>
      </c>
      <c r="J255" s="17" t="str">
        <f aca="false">IF(I255="Gecikti",Özet!$C$3-E255,"")</f>
        <v/>
      </c>
      <c r="K255" s="12"/>
    </row>
    <row r="256" customFormat="false" ht="15" hidden="false" customHeight="false" outlineLevel="0" collapsed="false">
      <c r="A256" s="11"/>
      <c r="B256" s="12"/>
      <c r="C256" s="12"/>
      <c r="D256" s="13"/>
      <c r="E256" s="13"/>
      <c r="F256" s="14"/>
      <c r="G256" s="14"/>
      <c r="H256" s="15" t="str">
        <f aca="false">IF(F256="","",F256-G256)</f>
        <v/>
      </c>
      <c r="I256" s="16" t="str">
        <f aca="false">IF(F256="","",IF(H256&lt;=0,"Ödendi",IF(E256="","Vadesiz",IF(E256&lt;Özet!$C$3,"Gecikti",IF(E256&lt;=Özet!$C$3+7,"Bu hafta","Bekliyor")))))</f>
        <v/>
      </c>
      <c r="J256" s="17" t="str">
        <f aca="false">IF(I256="Gecikti",Özet!$C$3-E256,"")</f>
        <v/>
      </c>
      <c r="K256" s="12"/>
    </row>
    <row r="257" customFormat="false" ht="15" hidden="false" customHeight="false" outlineLevel="0" collapsed="false">
      <c r="A257" s="11"/>
      <c r="B257" s="12"/>
      <c r="C257" s="12"/>
      <c r="D257" s="13"/>
      <c r="E257" s="13"/>
      <c r="F257" s="14"/>
      <c r="G257" s="14"/>
      <c r="H257" s="15" t="str">
        <f aca="false">IF(F257="","",F257-G257)</f>
        <v/>
      </c>
      <c r="I257" s="16" t="str">
        <f aca="false">IF(F257="","",IF(H257&lt;=0,"Ödendi",IF(E257="","Vadesiz",IF(E257&lt;Özet!$C$3,"Gecikti",IF(E257&lt;=Özet!$C$3+7,"Bu hafta","Bekliyor")))))</f>
        <v/>
      </c>
      <c r="J257" s="17" t="str">
        <f aca="false">IF(I257="Gecikti",Özet!$C$3-E257,"")</f>
        <v/>
      </c>
      <c r="K257" s="12"/>
    </row>
    <row r="258" customFormat="false" ht="15" hidden="false" customHeight="false" outlineLevel="0" collapsed="false">
      <c r="A258" s="11"/>
      <c r="B258" s="12"/>
      <c r="C258" s="12"/>
      <c r="D258" s="13"/>
      <c r="E258" s="13"/>
      <c r="F258" s="14"/>
      <c r="G258" s="14"/>
      <c r="H258" s="15" t="str">
        <f aca="false">IF(F258="","",F258-G258)</f>
        <v/>
      </c>
      <c r="I258" s="16" t="str">
        <f aca="false">IF(F258="","",IF(H258&lt;=0,"Ödendi",IF(E258="","Vadesiz",IF(E258&lt;Özet!$C$3,"Gecikti",IF(E258&lt;=Özet!$C$3+7,"Bu hafta","Bekliyor")))))</f>
        <v/>
      </c>
      <c r="J258" s="17" t="str">
        <f aca="false">IF(I258="Gecikti",Özet!$C$3-E258,"")</f>
        <v/>
      </c>
      <c r="K258" s="12"/>
    </row>
    <row r="259" customFormat="false" ht="15" hidden="false" customHeight="false" outlineLevel="0" collapsed="false">
      <c r="A259" s="11"/>
      <c r="B259" s="12"/>
      <c r="C259" s="12"/>
      <c r="D259" s="13"/>
      <c r="E259" s="13"/>
      <c r="F259" s="14"/>
      <c r="G259" s="14"/>
      <c r="H259" s="15" t="str">
        <f aca="false">IF(F259="","",F259-G259)</f>
        <v/>
      </c>
      <c r="I259" s="16" t="str">
        <f aca="false">IF(F259="","",IF(H259&lt;=0,"Ödendi",IF(E259="","Vadesiz",IF(E259&lt;Özet!$C$3,"Gecikti",IF(E259&lt;=Özet!$C$3+7,"Bu hafta","Bekliyor")))))</f>
        <v/>
      </c>
      <c r="J259" s="17" t="str">
        <f aca="false">IF(I259="Gecikti",Özet!$C$3-E259,"")</f>
        <v/>
      </c>
      <c r="K259" s="12"/>
    </row>
    <row r="260" customFormat="false" ht="15" hidden="false" customHeight="false" outlineLevel="0" collapsed="false">
      <c r="A260" s="11"/>
      <c r="B260" s="12"/>
      <c r="C260" s="12"/>
      <c r="D260" s="13"/>
      <c r="E260" s="13"/>
      <c r="F260" s="14"/>
      <c r="G260" s="14"/>
      <c r="H260" s="15" t="str">
        <f aca="false">IF(F260="","",F260-G260)</f>
        <v/>
      </c>
      <c r="I260" s="16" t="str">
        <f aca="false">IF(F260="","",IF(H260&lt;=0,"Ödendi",IF(E260="","Vadesiz",IF(E260&lt;Özet!$C$3,"Gecikti",IF(E260&lt;=Özet!$C$3+7,"Bu hafta","Bekliyor")))))</f>
        <v/>
      </c>
      <c r="J260" s="17" t="str">
        <f aca="false">IF(I260="Gecikti",Özet!$C$3-E260,"")</f>
        <v/>
      </c>
      <c r="K260" s="12"/>
    </row>
    <row r="261" customFormat="false" ht="15" hidden="false" customHeight="false" outlineLevel="0" collapsed="false">
      <c r="A261" s="11"/>
      <c r="B261" s="12"/>
      <c r="C261" s="12"/>
      <c r="D261" s="13"/>
      <c r="E261" s="13"/>
      <c r="F261" s="14"/>
      <c r="G261" s="14"/>
      <c r="H261" s="15" t="str">
        <f aca="false">IF(F261="","",F261-G261)</f>
        <v/>
      </c>
      <c r="I261" s="16" t="str">
        <f aca="false">IF(F261="","",IF(H261&lt;=0,"Ödendi",IF(E261="","Vadesiz",IF(E261&lt;Özet!$C$3,"Gecikti",IF(E261&lt;=Özet!$C$3+7,"Bu hafta","Bekliyor")))))</f>
        <v/>
      </c>
      <c r="J261" s="17" t="str">
        <f aca="false">IF(I261="Gecikti",Özet!$C$3-E261,"")</f>
        <v/>
      </c>
      <c r="K261" s="12"/>
    </row>
    <row r="262" customFormat="false" ht="15" hidden="false" customHeight="false" outlineLevel="0" collapsed="false">
      <c r="A262" s="11"/>
      <c r="B262" s="12"/>
      <c r="C262" s="12"/>
      <c r="D262" s="13"/>
      <c r="E262" s="13"/>
      <c r="F262" s="14"/>
      <c r="G262" s="14"/>
      <c r="H262" s="15" t="str">
        <f aca="false">IF(F262="","",F262-G262)</f>
        <v/>
      </c>
      <c r="I262" s="16" t="str">
        <f aca="false">IF(F262="","",IF(H262&lt;=0,"Ödendi",IF(E262="","Vadesiz",IF(E262&lt;Özet!$C$3,"Gecikti",IF(E262&lt;=Özet!$C$3+7,"Bu hafta","Bekliyor")))))</f>
        <v/>
      </c>
      <c r="J262" s="17" t="str">
        <f aca="false">IF(I262="Gecikti",Özet!$C$3-E262,"")</f>
        <v/>
      </c>
      <c r="K262" s="12"/>
    </row>
    <row r="263" customFormat="false" ht="15" hidden="false" customHeight="false" outlineLevel="0" collapsed="false">
      <c r="A263" s="11"/>
      <c r="B263" s="12"/>
      <c r="C263" s="12"/>
      <c r="D263" s="13"/>
      <c r="E263" s="13"/>
      <c r="F263" s="14"/>
      <c r="G263" s="14"/>
      <c r="H263" s="15" t="str">
        <f aca="false">IF(F263="","",F263-G263)</f>
        <v/>
      </c>
      <c r="I263" s="16" t="str">
        <f aca="false">IF(F263="","",IF(H263&lt;=0,"Ödendi",IF(E263="","Vadesiz",IF(E263&lt;Özet!$C$3,"Gecikti",IF(E263&lt;=Özet!$C$3+7,"Bu hafta","Bekliyor")))))</f>
        <v/>
      </c>
      <c r="J263" s="17" t="str">
        <f aca="false">IF(I263="Gecikti",Özet!$C$3-E263,"")</f>
        <v/>
      </c>
      <c r="K263" s="12"/>
    </row>
    <row r="264" customFormat="false" ht="15" hidden="false" customHeight="false" outlineLevel="0" collapsed="false">
      <c r="A264" s="11"/>
      <c r="B264" s="12"/>
      <c r="C264" s="12"/>
      <c r="D264" s="13"/>
      <c r="E264" s="13"/>
      <c r="F264" s="14"/>
      <c r="G264" s="14"/>
      <c r="H264" s="15" t="str">
        <f aca="false">IF(F264="","",F264-G264)</f>
        <v/>
      </c>
      <c r="I264" s="16" t="str">
        <f aca="false">IF(F264="","",IF(H264&lt;=0,"Ödendi",IF(E264="","Vadesiz",IF(E264&lt;Özet!$C$3,"Gecikti",IF(E264&lt;=Özet!$C$3+7,"Bu hafta","Bekliyor")))))</f>
        <v/>
      </c>
      <c r="J264" s="17" t="str">
        <f aca="false">IF(I264="Gecikti",Özet!$C$3-E264,"")</f>
        <v/>
      </c>
      <c r="K264" s="12"/>
    </row>
    <row r="265" customFormat="false" ht="15" hidden="false" customHeight="false" outlineLevel="0" collapsed="false">
      <c r="A265" s="11"/>
      <c r="B265" s="12"/>
      <c r="C265" s="12"/>
      <c r="D265" s="13"/>
      <c r="E265" s="13"/>
      <c r="F265" s="14"/>
      <c r="G265" s="14"/>
      <c r="H265" s="15" t="str">
        <f aca="false">IF(F265="","",F265-G265)</f>
        <v/>
      </c>
      <c r="I265" s="16" t="str">
        <f aca="false">IF(F265="","",IF(H265&lt;=0,"Ödendi",IF(E265="","Vadesiz",IF(E265&lt;Özet!$C$3,"Gecikti",IF(E265&lt;=Özet!$C$3+7,"Bu hafta","Bekliyor")))))</f>
        <v/>
      </c>
      <c r="J265" s="17" t="str">
        <f aca="false">IF(I265="Gecikti",Özet!$C$3-E265,"")</f>
        <v/>
      </c>
      <c r="K265" s="12"/>
    </row>
    <row r="266" customFormat="false" ht="15" hidden="false" customHeight="false" outlineLevel="0" collapsed="false">
      <c r="A266" s="11"/>
      <c r="B266" s="12"/>
      <c r="C266" s="12"/>
      <c r="D266" s="13"/>
      <c r="E266" s="13"/>
      <c r="F266" s="14"/>
      <c r="G266" s="14"/>
      <c r="H266" s="15" t="str">
        <f aca="false">IF(F266="","",F266-G266)</f>
        <v/>
      </c>
      <c r="I266" s="16" t="str">
        <f aca="false">IF(F266="","",IF(H266&lt;=0,"Ödendi",IF(E266="","Vadesiz",IF(E266&lt;Özet!$C$3,"Gecikti",IF(E266&lt;=Özet!$C$3+7,"Bu hafta","Bekliyor")))))</f>
        <v/>
      </c>
      <c r="J266" s="17" t="str">
        <f aca="false">IF(I266="Gecikti",Özet!$C$3-E266,"")</f>
        <v/>
      </c>
      <c r="K266" s="12"/>
    </row>
    <row r="267" customFormat="false" ht="15" hidden="false" customHeight="false" outlineLevel="0" collapsed="false">
      <c r="A267" s="11"/>
      <c r="B267" s="12"/>
      <c r="C267" s="12"/>
      <c r="D267" s="13"/>
      <c r="E267" s="13"/>
      <c r="F267" s="14"/>
      <c r="G267" s="14"/>
      <c r="H267" s="15" t="str">
        <f aca="false">IF(F267="","",F267-G267)</f>
        <v/>
      </c>
      <c r="I267" s="16" t="str">
        <f aca="false">IF(F267="","",IF(H267&lt;=0,"Ödendi",IF(E267="","Vadesiz",IF(E267&lt;Özet!$C$3,"Gecikti",IF(E267&lt;=Özet!$C$3+7,"Bu hafta","Bekliyor")))))</f>
        <v/>
      </c>
      <c r="J267" s="17" t="str">
        <f aca="false">IF(I267="Gecikti",Özet!$C$3-E267,"")</f>
        <v/>
      </c>
      <c r="K267" s="12"/>
    </row>
    <row r="268" customFormat="false" ht="15" hidden="false" customHeight="false" outlineLevel="0" collapsed="false">
      <c r="A268" s="11"/>
      <c r="B268" s="12"/>
      <c r="C268" s="12"/>
      <c r="D268" s="13"/>
      <c r="E268" s="13"/>
      <c r="F268" s="14"/>
      <c r="G268" s="14"/>
      <c r="H268" s="15" t="str">
        <f aca="false">IF(F268="","",F268-G268)</f>
        <v/>
      </c>
      <c r="I268" s="16" t="str">
        <f aca="false">IF(F268="","",IF(H268&lt;=0,"Ödendi",IF(E268="","Vadesiz",IF(E268&lt;Özet!$C$3,"Gecikti",IF(E268&lt;=Özet!$C$3+7,"Bu hafta","Bekliyor")))))</f>
        <v/>
      </c>
      <c r="J268" s="17" t="str">
        <f aca="false">IF(I268="Gecikti",Özet!$C$3-E268,"")</f>
        <v/>
      </c>
      <c r="K268" s="12"/>
    </row>
    <row r="269" customFormat="false" ht="15" hidden="false" customHeight="false" outlineLevel="0" collapsed="false">
      <c r="A269" s="11"/>
      <c r="B269" s="12"/>
      <c r="C269" s="12"/>
      <c r="D269" s="13"/>
      <c r="E269" s="13"/>
      <c r="F269" s="14"/>
      <c r="G269" s="14"/>
      <c r="H269" s="15" t="str">
        <f aca="false">IF(F269="","",F269-G269)</f>
        <v/>
      </c>
      <c r="I269" s="16" t="str">
        <f aca="false">IF(F269="","",IF(H269&lt;=0,"Ödendi",IF(E269="","Vadesiz",IF(E269&lt;Özet!$C$3,"Gecikti",IF(E269&lt;=Özet!$C$3+7,"Bu hafta","Bekliyor")))))</f>
        <v/>
      </c>
      <c r="J269" s="17" t="str">
        <f aca="false">IF(I269="Gecikti",Özet!$C$3-E269,"")</f>
        <v/>
      </c>
      <c r="K269" s="12"/>
    </row>
    <row r="270" customFormat="false" ht="15" hidden="false" customHeight="false" outlineLevel="0" collapsed="false">
      <c r="A270" s="11"/>
      <c r="B270" s="12"/>
      <c r="C270" s="12"/>
      <c r="D270" s="13"/>
      <c r="E270" s="13"/>
      <c r="F270" s="14"/>
      <c r="G270" s="14"/>
      <c r="H270" s="15" t="str">
        <f aca="false">IF(F270="","",F270-G270)</f>
        <v/>
      </c>
      <c r="I270" s="16" t="str">
        <f aca="false">IF(F270="","",IF(H270&lt;=0,"Ödendi",IF(E270="","Vadesiz",IF(E270&lt;Özet!$C$3,"Gecikti",IF(E270&lt;=Özet!$C$3+7,"Bu hafta","Bekliyor")))))</f>
        <v/>
      </c>
      <c r="J270" s="17" t="str">
        <f aca="false">IF(I270="Gecikti",Özet!$C$3-E270,"")</f>
        <v/>
      </c>
      <c r="K270" s="12"/>
    </row>
    <row r="271" customFormat="false" ht="15" hidden="false" customHeight="false" outlineLevel="0" collapsed="false">
      <c r="A271" s="11"/>
      <c r="B271" s="12"/>
      <c r="C271" s="12"/>
      <c r="D271" s="13"/>
      <c r="E271" s="13"/>
      <c r="F271" s="14"/>
      <c r="G271" s="14"/>
      <c r="H271" s="15" t="str">
        <f aca="false">IF(F271="","",F271-G271)</f>
        <v/>
      </c>
      <c r="I271" s="16" t="str">
        <f aca="false">IF(F271="","",IF(H271&lt;=0,"Ödendi",IF(E271="","Vadesiz",IF(E271&lt;Özet!$C$3,"Gecikti",IF(E271&lt;=Özet!$C$3+7,"Bu hafta","Bekliyor")))))</f>
        <v/>
      </c>
      <c r="J271" s="17" t="str">
        <f aca="false">IF(I271="Gecikti",Özet!$C$3-E271,"")</f>
        <v/>
      </c>
      <c r="K271" s="12"/>
    </row>
    <row r="272" customFormat="false" ht="15" hidden="false" customHeight="false" outlineLevel="0" collapsed="false">
      <c r="A272" s="11"/>
      <c r="B272" s="12"/>
      <c r="C272" s="12"/>
      <c r="D272" s="13"/>
      <c r="E272" s="13"/>
      <c r="F272" s="14"/>
      <c r="G272" s="14"/>
      <c r="H272" s="15" t="str">
        <f aca="false">IF(F272="","",F272-G272)</f>
        <v/>
      </c>
      <c r="I272" s="16" t="str">
        <f aca="false">IF(F272="","",IF(H272&lt;=0,"Ödendi",IF(E272="","Vadesiz",IF(E272&lt;Özet!$C$3,"Gecikti",IF(E272&lt;=Özet!$C$3+7,"Bu hafta","Bekliyor")))))</f>
        <v/>
      </c>
      <c r="J272" s="17" t="str">
        <f aca="false">IF(I272="Gecikti",Özet!$C$3-E272,"")</f>
        <v/>
      </c>
      <c r="K272" s="12"/>
    </row>
    <row r="273" customFormat="false" ht="15" hidden="false" customHeight="false" outlineLevel="0" collapsed="false">
      <c r="A273" s="11"/>
      <c r="B273" s="12"/>
      <c r="C273" s="12"/>
      <c r="D273" s="13"/>
      <c r="E273" s="13"/>
      <c r="F273" s="14"/>
      <c r="G273" s="14"/>
      <c r="H273" s="15" t="str">
        <f aca="false">IF(F273="","",F273-G273)</f>
        <v/>
      </c>
      <c r="I273" s="16" t="str">
        <f aca="false">IF(F273="","",IF(H273&lt;=0,"Ödendi",IF(E273="","Vadesiz",IF(E273&lt;Özet!$C$3,"Gecikti",IF(E273&lt;=Özet!$C$3+7,"Bu hafta","Bekliyor")))))</f>
        <v/>
      </c>
      <c r="J273" s="17" t="str">
        <f aca="false">IF(I273="Gecikti",Özet!$C$3-E273,"")</f>
        <v/>
      </c>
      <c r="K273" s="12"/>
    </row>
    <row r="274" customFormat="false" ht="15" hidden="false" customHeight="false" outlineLevel="0" collapsed="false">
      <c r="A274" s="11"/>
      <c r="B274" s="12"/>
      <c r="C274" s="12"/>
      <c r="D274" s="13"/>
      <c r="E274" s="13"/>
      <c r="F274" s="14"/>
      <c r="G274" s="14"/>
      <c r="H274" s="15" t="str">
        <f aca="false">IF(F274="","",F274-G274)</f>
        <v/>
      </c>
      <c r="I274" s="16" t="str">
        <f aca="false">IF(F274="","",IF(H274&lt;=0,"Ödendi",IF(E274="","Vadesiz",IF(E274&lt;Özet!$C$3,"Gecikti",IF(E274&lt;=Özet!$C$3+7,"Bu hafta","Bekliyor")))))</f>
        <v/>
      </c>
      <c r="J274" s="17" t="str">
        <f aca="false">IF(I274="Gecikti",Özet!$C$3-E274,"")</f>
        <v/>
      </c>
      <c r="K274" s="12"/>
    </row>
    <row r="275" customFormat="false" ht="15" hidden="false" customHeight="false" outlineLevel="0" collapsed="false">
      <c r="A275" s="11"/>
      <c r="B275" s="12"/>
      <c r="C275" s="12"/>
      <c r="D275" s="13"/>
      <c r="E275" s="13"/>
      <c r="F275" s="14"/>
      <c r="G275" s="14"/>
      <c r="H275" s="15" t="str">
        <f aca="false">IF(F275="","",F275-G275)</f>
        <v/>
      </c>
      <c r="I275" s="16" t="str">
        <f aca="false">IF(F275="","",IF(H275&lt;=0,"Ödendi",IF(E275="","Vadesiz",IF(E275&lt;Özet!$C$3,"Gecikti",IF(E275&lt;=Özet!$C$3+7,"Bu hafta","Bekliyor")))))</f>
        <v/>
      </c>
      <c r="J275" s="17" t="str">
        <f aca="false">IF(I275="Gecikti",Özet!$C$3-E275,"")</f>
        <v/>
      </c>
      <c r="K275" s="12"/>
    </row>
    <row r="276" customFormat="false" ht="15" hidden="false" customHeight="false" outlineLevel="0" collapsed="false">
      <c r="A276" s="11"/>
      <c r="B276" s="12"/>
      <c r="C276" s="12"/>
      <c r="D276" s="13"/>
      <c r="E276" s="13"/>
      <c r="F276" s="14"/>
      <c r="G276" s="14"/>
      <c r="H276" s="15" t="str">
        <f aca="false">IF(F276="","",F276-G276)</f>
        <v/>
      </c>
      <c r="I276" s="16" t="str">
        <f aca="false">IF(F276="","",IF(H276&lt;=0,"Ödendi",IF(E276="","Vadesiz",IF(E276&lt;Özet!$C$3,"Gecikti",IF(E276&lt;=Özet!$C$3+7,"Bu hafta","Bekliyor")))))</f>
        <v/>
      </c>
      <c r="J276" s="17" t="str">
        <f aca="false">IF(I276="Gecikti",Özet!$C$3-E276,"")</f>
        <v/>
      </c>
      <c r="K276" s="12"/>
    </row>
    <row r="277" customFormat="false" ht="15" hidden="false" customHeight="false" outlineLevel="0" collapsed="false">
      <c r="A277" s="11"/>
      <c r="B277" s="12"/>
      <c r="C277" s="12"/>
      <c r="D277" s="13"/>
      <c r="E277" s="13"/>
      <c r="F277" s="14"/>
      <c r="G277" s="14"/>
      <c r="H277" s="15" t="str">
        <f aca="false">IF(F277="","",F277-G277)</f>
        <v/>
      </c>
      <c r="I277" s="16" t="str">
        <f aca="false">IF(F277="","",IF(H277&lt;=0,"Ödendi",IF(E277="","Vadesiz",IF(E277&lt;Özet!$C$3,"Gecikti",IF(E277&lt;=Özet!$C$3+7,"Bu hafta","Bekliyor")))))</f>
        <v/>
      </c>
      <c r="J277" s="17" t="str">
        <f aca="false">IF(I277="Gecikti",Özet!$C$3-E277,"")</f>
        <v/>
      </c>
      <c r="K277" s="12"/>
    </row>
    <row r="278" customFormat="false" ht="15" hidden="false" customHeight="false" outlineLevel="0" collapsed="false">
      <c r="A278" s="11"/>
      <c r="B278" s="12"/>
      <c r="C278" s="12"/>
      <c r="D278" s="13"/>
      <c r="E278" s="13"/>
      <c r="F278" s="14"/>
      <c r="G278" s="14"/>
      <c r="H278" s="15" t="str">
        <f aca="false">IF(F278="","",F278-G278)</f>
        <v/>
      </c>
      <c r="I278" s="16" t="str">
        <f aca="false">IF(F278="","",IF(H278&lt;=0,"Ödendi",IF(E278="","Vadesiz",IF(E278&lt;Özet!$C$3,"Gecikti",IF(E278&lt;=Özet!$C$3+7,"Bu hafta","Bekliyor")))))</f>
        <v/>
      </c>
      <c r="J278" s="17" t="str">
        <f aca="false">IF(I278="Gecikti",Özet!$C$3-E278,"")</f>
        <v/>
      </c>
      <c r="K278" s="12"/>
    </row>
    <row r="279" customFormat="false" ht="15" hidden="false" customHeight="false" outlineLevel="0" collapsed="false">
      <c r="A279" s="11"/>
      <c r="B279" s="12"/>
      <c r="C279" s="12"/>
      <c r="D279" s="13"/>
      <c r="E279" s="13"/>
      <c r="F279" s="14"/>
      <c r="G279" s="14"/>
      <c r="H279" s="15" t="str">
        <f aca="false">IF(F279="","",F279-G279)</f>
        <v/>
      </c>
      <c r="I279" s="16" t="str">
        <f aca="false">IF(F279="","",IF(H279&lt;=0,"Ödendi",IF(E279="","Vadesiz",IF(E279&lt;Özet!$C$3,"Gecikti",IF(E279&lt;=Özet!$C$3+7,"Bu hafta","Bekliyor")))))</f>
        <v/>
      </c>
      <c r="J279" s="17" t="str">
        <f aca="false">IF(I279="Gecikti",Özet!$C$3-E279,"")</f>
        <v/>
      </c>
      <c r="K279" s="12"/>
    </row>
    <row r="280" customFormat="false" ht="15" hidden="false" customHeight="false" outlineLevel="0" collapsed="false">
      <c r="A280" s="11"/>
      <c r="B280" s="12"/>
      <c r="C280" s="12"/>
      <c r="D280" s="13"/>
      <c r="E280" s="13"/>
      <c r="F280" s="14"/>
      <c r="G280" s="14"/>
      <c r="H280" s="15" t="str">
        <f aca="false">IF(F280="","",F280-G280)</f>
        <v/>
      </c>
      <c r="I280" s="16" t="str">
        <f aca="false">IF(F280="","",IF(H280&lt;=0,"Ödendi",IF(E280="","Vadesiz",IF(E280&lt;Özet!$C$3,"Gecikti",IF(E280&lt;=Özet!$C$3+7,"Bu hafta","Bekliyor")))))</f>
        <v/>
      </c>
      <c r="J280" s="17" t="str">
        <f aca="false">IF(I280="Gecikti",Özet!$C$3-E280,"")</f>
        <v/>
      </c>
      <c r="K280" s="12"/>
    </row>
    <row r="281" customFormat="false" ht="15" hidden="false" customHeight="false" outlineLevel="0" collapsed="false">
      <c r="A281" s="11"/>
      <c r="B281" s="12"/>
      <c r="C281" s="12"/>
      <c r="D281" s="13"/>
      <c r="E281" s="13"/>
      <c r="F281" s="14"/>
      <c r="G281" s="14"/>
      <c r="H281" s="15" t="str">
        <f aca="false">IF(F281="","",F281-G281)</f>
        <v/>
      </c>
      <c r="I281" s="16" t="str">
        <f aca="false">IF(F281="","",IF(H281&lt;=0,"Ödendi",IF(E281="","Vadesiz",IF(E281&lt;Özet!$C$3,"Gecikti",IF(E281&lt;=Özet!$C$3+7,"Bu hafta","Bekliyor")))))</f>
        <v/>
      </c>
      <c r="J281" s="17" t="str">
        <f aca="false">IF(I281="Gecikti",Özet!$C$3-E281,"")</f>
        <v/>
      </c>
      <c r="K281" s="12"/>
    </row>
    <row r="282" customFormat="false" ht="15" hidden="false" customHeight="false" outlineLevel="0" collapsed="false">
      <c r="A282" s="11"/>
      <c r="B282" s="12"/>
      <c r="C282" s="12"/>
      <c r="D282" s="13"/>
      <c r="E282" s="13"/>
      <c r="F282" s="14"/>
      <c r="G282" s="14"/>
      <c r="H282" s="15" t="str">
        <f aca="false">IF(F282="","",F282-G282)</f>
        <v/>
      </c>
      <c r="I282" s="16" t="str">
        <f aca="false">IF(F282="","",IF(H282&lt;=0,"Ödendi",IF(E282="","Vadesiz",IF(E282&lt;Özet!$C$3,"Gecikti",IF(E282&lt;=Özet!$C$3+7,"Bu hafta","Bekliyor")))))</f>
        <v/>
      </c>
      <c r="J282" s="17" t="str">
        <f aca="false">IF(I282="Gecikti",Özet!$C$3-E282,"")</f>
        <v/>
      </c>
      <c r="K282" s="12"/>
    </row>
    <row r="283" customFormat="false" ht="15" hidden="false" customHeight="false" outlineLevel="0" collapsed="false">
      <c r="A283" s="11"/>
      <c r="B283" s="12"/>
      <c r="C283" s="12"/>
      <c r="D283" s="13"/>
      <c r="E283" s="13"/>
      <c r="F283" s="14"/>
      <c r="G283" s="14"/>
      <c r="H283" s="15" t="str">
        <f aca="false">IF(F283="","",F283-G283)</f>
        <v/>
      </c>
      <c r="I283" s="16" t="str">
        <f aca="false">IF(F283="","",IF(H283&lt;=0,"Ödendi",IF(E283="","Vadesiz",IF(E283&lt;Özet!$C$3,"Gecikti",IF(E283&lt;=Özet!$C$3+7,"Bu hafta","Bekliyor")))))</f>
        <v/>
      </c>
      <c r="J283" s="17" t="str">
        <f aca="false">IF(I283="Gecikti",Özet!$C$3-E283,"")</f>
        <v/>
      </c>
      <c r="K283" s="12"/>
    </row>
    <row r="284" customFormat="false" ht="15" hidden="false" customHeight="false" outlineLevel="0" collapsed="false">
      <c r="A284" s="11"/>
      <c r="B284" s="12"/>
      <c r="C284" s="12"/>
      <c r="D284" s="13"/>
      <c r="E284" s="13"/>
      <c r="F284" s="14"/>
      <c r="G284" s="14"/>
      <c r="H284" s="15" t="str">
        <f aca="false">IF(F284="","",F284-G284)</f>
        <v/>
      </c>
      <c r="I284" s="16" t="str">
        <f aca="false">IF(F284="","",IF(H284&lt;=0,"Ödendi",IF(E284="","Vadesiz",IF(E284&lt;Özet!$C$3,"Gecikti",IF(E284&lt;=Özet!$C$3+7,"Bu hafta","Bekliyor")))))</f>
        <v/>
      </c>
      <c r="J284" s="17" t="str">
        <f aca="false">IF(I284="Gecikti",Özet!$C$3-E284,"")</f>
        <v/>
      </c>
      <c r="K284" s="12"/>
    </row>
    <row r="285" customFormat="false" ht="15" hidden="false" customHeight="false" outlineLevel="0" collapsed="false">
      <c r="A285" s="11"/>
      <c r="B285" s="12"/>
      <c r="C285" s="12"/>
      <c r="D285" s="13"/>
      <c r="E285" s="13"/>
      <c r="F285" s="14"/>
      <c r="G285" s="14"/>
      <c r="H285" s="15" t="str">
        <f aca="false">IF(F285="","",F285-G285)</f>
        <v/>
      </c>
      <c r="I285" s="16" t="str">
        <f aca="false">IF(F285="","",IF(H285&lt;=0,"Ödendi",IF(E285="","Vadesiz",IF(E285&lt;Özet!$C$3,"Gecikti",IF(E285&lt;=Özet!$C$3+7,"Bu hafta","Bekliyor")))))</f>
        <v/>
      </c>
      <c r="J285" s="17" t="str">
        <f aca="false">IF(I285="Gecikti",Özet!$C$3-E285,"")</f>
        <v/>
      </c>
      <c r="K285" s="12"/>
    </row>
    <row r="286" customFormat="false" ht="15" hidden="false" customHeight="false" outlineLevel="0" collapsed="false">
      <c r="A286" s="11"/>
      <c r="B286" s="12"/>
      <c r="C286" s="12"/>
      <c r="D286" s="13"/>
      <c r="E286" s="13"/>
      <c r="F286" s="14"/>
      <c r="G286" s="14"/>
      <c r="H286" s="15" t="str">
        <f aca="false">IF(F286="","",F286-G286)</f>
        <v/>
      </c>
      <c r="I286" s="16" t="str">
        <f aca="false">IF(F286="","",IF(H286&lt;=0,"Ödendi",IF(E286="","Vadesiz",IF(E286&lt;Özet!$C$3,"Gecikti",IF(E286&lt;=Özet!$C$3+7,"Bu hafta","Bekliyor")))))</f>
        <v/>
      </c>
      <c r="J286" s="17" t="str">
        <f aca="false">IF(I286="Gecikti",Özet!$C$3-E286,"")</f>
        <v/>
      </c>
      <c r="K286" s="12"/>
    </row>
    <row r="287" customFormat="false" ht="15" hidden="false" customHeight="false" outlineLevel="0" collapsed="false">
      <c r="A287" s="11"/>
      <c r="B287" s="12"/>
      <c r="C287" s="12"/>
      <c r="D287" s="13"/>
      <c r="E287" s="13"/>
      <c r="F287" s="14"/>
      <c r="G287" s="14"/>
      <c r="H287" s="15" t="str">
        <f aca="false">IF(F287="","",F287-G287)</f>
        <v/>
      </c>
      <c r="I287" s="16" t="str">
        <f aca="false">IF(F287="","",IF(H287&lt;=0,"Ödendi",IF(E287="","Vadesiz",IF(E287&lt;Özet!$C$3,"Gecikti",IF(E287&lt;=Özet!$C$3+7,"Bu hafta","Bekliyor")))))</f>
        <v/>
      </c>
      <c r="J287" s="17" t="str">
        <f aca="false">IF(I287="Gecikti",Özet!$C$3-E287,"")</f>
        <v/>
      </c>
      <c r="K287" s="12"/>
    </row>
    <row r="288" customFormat="false" ht="15" hidden="false" customHeight="false" outlineLevel="0" collapsed="false">
      <c r="A288" s="11"/>
      <c r="B288" s="12"/>
      <c r="C288" s="12"/>
      <c r="D288" s="13"/>
      <c r="E288" s="13"/>
      <c r="F288" s="14"/>
      <c r="G288" s="14"/>
      <c r="H288" s="15" t="str">
        <f aca="false">IF(F288="","",F288-G288)</f>
        <v/>
      </c>
      <c r="I288" s="16" t="str">
        <f aca="false">IF(F288="","",IF(H288&lt;=0,"Ödendi",IF(E288="","Vadesiz",IF(E288&lt;Özet!$C$3,"Gecikti",IF(E288&lt;=Özet!$C$3+7,"Bu hafta","Bekliyor")))))</f>
        <v/>
      </c>
      <c r="J288" s="17" t="str">
        <f aca="false">IF(I288="Gecikti",Özet!$C$3-E288,"")</f>
        <v/>
      </c>
      <c r="K288" s="12"/>
    </row>
    <row r="289" customFormat="false" ht="15" hidden="false" customHeight="false" outlineLevel="0" collapsed="false">
      <c r="A289" s="11"/>
      <c r="B289" s="12"/>
      <c r="C289" s="12"/>
      <c r="D289" s="13"/>
      <c r="E289" s="13"/>
      <c r="F289" s="14"/>
      <c r="G289" s="14"/>
      <c r="H289" s="15" t="str">
        <f aca="false">IF(F289="","",F289-G289)</f>
        <v/>
      </c>
      <c r="I289" s="16" t="str">
        <f aca="false">IF(F289="","",IF(H289&lt;=0,"Ödendi",IF(E289="","Vadesiz",IF(E289&lt;Özet!$C$3,"Gecikti",IF(E289&lt;=Özet!$C$3+7,"Bu hafta","Bekliyor")))))</f>
        <v/>
      </c>
      <c r="J289" s="17" t="str">
        <f aca="false">IF(I289="Gecikti",Özet!$C$3-E289,"")</f>
        <v/>
      </c>
      <c r="K289" s="12"/>
    </row>
    <row r="290" customFormat="false" ht="15" hidden="false" customHeight="false" outlineLevel="0" collapsed="false">
      <c r="A290" s="11"/>
      <c r="B290" s="12"/>
      <c r="C290" s="12"/>
      <c r="D290" s="13"/>
      <c r="E290" s="13"/>
      <c r="F290" s="14"/>
      <c r="G290" s="14"/>
      <c r="H290" s="15" t="str">
        <f aca="false">IF(F290="","",F290-G290)</f>
        <v/>
      </c>
      <c r="I290" s="16" t="str">
        <f aca="false">IF(F290="","",IF(H290&lt;=0,"Ödendi",IF(E290="","Vadesiz",IF(E290&lt;Özet!$C$3,"Gecikti",IF(E290&lt;=Özet!$C$3+7,"Bu hafta","Bekliyor")))))</f>
        <v/>
      </c>
      <c r="J290" s="17" t="str">
        <f aca="false">IF(I290="Gecikti",Özet!$C$3-E290,"")</f>
        <v/>
      </c>
      <c r="K290" s="12"/>
    </row>
    <row r="291" customFormat="false" ht="15" hidden="false" customHeight="false" outlineLevel="0" collapsed="false">
      <c r="A291" s="11"/>
      <c r="B291" s="12"/>
      <c r="C291" s="12"/>
      <c r="D291" s="13"/>
      <c r="E291" s="13"/>
      <c r="F291" s="14"/>
      <c r="G291" s="14"/>
      <c r="H291" s="15" t="str">
        <f aca="false">IF(F291="","",F291-G291)</f>
        <v/>
      </c>
      <c r="I291" s="16" t="str">
        <f aca="false">IF(F291="","",IF(H291&lt;=0,"Ödendi",IF(E291="","Vadesiz",IF(E291&lt;Özet!$C$3,"Gecikti",IF(E291&lt;=Özet!$C$3+7,"Bu hafta","Bekliyor")))))</f>
        <v/>
      </c>
      <c r="J291" s="17" t="str">
        <f aca="false">IF(I291="Gecikti",Özet!$C$3-E291,"")</f>
        <v/>
      </c>
      <c r="K291" s="12"/>
    </row>
    <row r="292" customFormat="false" ht="15" hidden="false" customHeight="false" outlineLevel="0" collapsed="false">
      <c r="A292" s="11"/>
      <c r="B292" s="12"/>
      <c r="C292" s="12"/>
      <c r="D292" s="13"/>
      <c r="E292" s="13"/>
      <c r="F292" s="14"/>
      <c r="G292" s="14"/>
      <c r="H292" s="15" t="str">
        <f aca="false">IF(F292="","",F292-G292)</f>
        <v/>
      </c>
      <c r="I292" s="16" t="str">
        <f aca="false">IF(F292="","",IF(H292&lt;=0,"Ödendi",IF(E292="","Vadesiz",IF(E292&lt;Özet!$C$3,"Gecikti",IF(E292&lt;=Özet!$C$3+7,"Bu hafta","Bekliyor")))))</f>
        <v/>
      </c>
      <c r="J292" s="17" t="str">
        <f aca="false">IF(I292="Gecikti",Özet!$C$3-E292,"")</f>
        <v/>
      </c>
      <c r="K292" s="12"/>
    </row>
    <row r="293" customFormat="false" ht="15" hidden="false" customHeight="false" outlineLevel="0" collapsed="false">
      <c r="A293" s="11"/>
      <c r="B293" s="12"/>
      <c r="C293" s="12"/>
      <c r="D293" s="13"/>
      <c r="E293" s="13"/>
      <c r="F293" s="14"/>
      <c r="G293" s="14"/>
      <c r="H293" s="15" t="str">
        <f aca="false">IF(F293="","",F293-G293)</f>
        <v/>
      </c>
      <c r="I293" s="16" t="str">
        <f aca="false">IF(F293="","",IF(H293&lt;=0,"Ödendi",IF(E293="","Vadesiz",IF(E293&lt;Özet!$C$3,"Gecikti",IF(E293&lt;=Özet!$C$3+7,"Bu hafta","Bekliyor")))))</f>
        <v/>
      </c>
      <c r="J293" s="17" t="str">
        <f aca="false">IF(I293="Gecikti",Özet!$C$3-E293,"")</f>
        <v/>
      </c>
      <c r="K293" s="12"/>
    </row>
    <row r="294" customFormat="false" ht="15" hidden="false" customHeight="false" outlineLevel="0" collapsed="false">
      <c r="A294" s="11"/>
      <c r="B294" s="12"/>
      <c r="C294" s="12"/>
      <c r="D294" s="13"/>
      <c r="E294" s="13"/>
      <c r="F294" s="14"/>
      <c r="G294" s="14"/>
      <c r="H294" s="15" t="str">
        <f aca="false">IF(F294="","",F294-G294)</f>
        <v/>
      </c>
      <c r="I294" s="16" t="str">
        <f aca="false">IF(F294="","",IF(H294&lt;=0,"Ödendi",IF(E294="","Vadesiz",IF(E294&lt;Özet!$C$3,"Gecikti",IF(E294&lt;=Özet!$C$3+7,"Bu hafta","Bekliyor")))))</f>
        <v/>
      </c>
      <c r="J294" s="17" t="str">
        <f aca="false">IF(I294="Gecikti",Özet!$C$3-E294,"")</f>
        <v/>
      </c>
      <c r="K294" s="12"/>
    </row>
    <row r="295" customFormat="false" ht="15" hidden="false" customHeight="false" outlineLevel="0" collapsed="false">
      <c r="A295" s="11"/>
      <c r="B295" s="12"/>
      <c r="C295" s="12"/>
      <c r="D295" s="13"/>
      <c r="E295" s="13"/>
      <c r="F295" s="14"/>
      <c r="G295" s="14"/>
      <c r="H295" s="15" t="str">
        <f aca="false">IF(F295="","",F295-G295)</f>
        <v/>
      </c>
      <c r="I295" s="16" t="str">
        <f aca="false">IF(F295="","",IF(H295&lt;=0,"Ödendi",IF(E295="","Vadesiz",IF(E295&lt;Özet!$C$3,"Gecikti",IF(E295&lt;=Özet!$C$3+7,"Bu hafta","Bekliyor")))))</f>
        <v/>
      </c>
      <c r="J295" s="17" t="str">
        <f aca="false">IF(I295="Gecikti",Özet!$C$3-E295,"")</f>
        <v/>
      </c>
      <c r="K295" s="12"/>
    </row>
    <row r="296" customFormat="false" ht="15" hidden="false" customHeight="false" outlineLevel="0" collapsed="false">
      <c r="A296" s="11"/>
      <c r="B296" s="12"/>
      <c r="C296" s="12"/>
      <c r="D296" s="13"/>
      <c r="E296" s="13"/>
      <c r="F296" s="14"/>
      <c r="G296" s="14"/>
      <c r="H296" s="15" t="str">
        <f aca="false">IF(F296="","",F296-G296)</f>
        <v/>
      </c>
      <c r="I296" s="16" t="str">
        <f aca="false">IF(F296="","",IF(H296&lt;=0,"Ödendi",IF(E296="","Vadesiz",IF(E296&lt;Özet!$C$3,"Gecikti",IF(E296&lt;=Özet!$C$3+7,"Bu hafta","Bekliyor")))))</f>
        <v/>
      </c>
      <c r="J296" s="17" t="str">
        <f aca="false">IF(I296="Gecikti",Özet!$C$3-E296,"")</f>
        <v/>
      </c>
      <c r="K296" s="12"/>
    </row>
    <row r="297" customFormat="false" ht="15" hidden="false" customHeight="false" outlineLevel="0" collapsed="false">
      <c r="A297" s="11"/>
      <c r="B297" s="12"/>
      <c r="C297" s="12"/>
      <c r="D297" s="13"/>
      <c r="E297" s="13"/>
      <c r="F297" s="14"/>
      <c r="G297" s="14"/>
      <c r="H297" s="15" t="str">
        <f aca="false">IF(F297="","",F297-G297)</f>
        <v/>
      </c>
      <c r="I297" s="16" t="str">
        <f aca="false">IF(F297="","",IF(H297&lt;=0,"Ödendi",IF(E297="","Vadesiz",IF(E297&lt;Özet!$C$3,"Gecikti",IF(E297&lt;=Özet!$C$3+7,"Bu hafta","Bekliyor")))))</f>
        <v/>
      </c>
      <c r="J297" s="17" t="str">
        <f aca="false">IF(I297="Gecikti",Özet!$C$3-E297,"")</f>
        <v/>
      </c>
      <c r="K297" s="12"/>
    </row>
    <row r="298" customFormat="false" ht="15" hidden="false" customHeight="false" outlineLevel="0" collapsed="false">
      <c r="A298" s="11"/>
      <c r="B298" s="12"/>
      <c r="C298" s="12"/>
      <c r="D298" s="13"/>
      <c r="E298" s="13"/>
      <c r="F298" s="14"/>
      <c r="G298" s="14"/>
      <c r="H298" s="15" t="str">
        <f aca="false">IF(F298="","",F298-G298)</f>
        <v/>
      </c>
      <c r="I298" s="16" t="str">
        <f aca="false">IF(F298="","",IF(H298&lt;=0,"Ödendi",IF(E298="","Vadesiz",IF(E298&lt;Özet!$C$3,"Gecikti",IF(E298&lt;=Özet!$C$3+7,"Bu hafta","Bekliyor")))))</f>
        <v/>
      </c>
      <c r="J298" s="17" t="str">
        <f aca="false">IF(I298="Gecikti",Özet!$C$3-E298,"")</f>
        <v/>
      </c>
      <c r="K298" s="12"/>
    </row>
    <row r="299" customFormat="false" ht="15" hidden="false" customHeight="false" outlineLevel="0" collapsed="false">
      <c r="A299" s="11"/>
      <c r="B299" s="12"/>
      <c r="C299" s="12"/>
      <c r="D299" s="13"/>
      <c r="E299" s="13"/>
      <c r="F299" s="14"/>
      <c r="G299" s="14"/>
      <c r="H299" s="15" t="str">
        <f aca="false">IF(F299="","",F299-G299)</f>
        <v/>
      </c>
      <c r="I299" s="16" t="str">
        <f aca="false">IF(F299="","",IF(H299&lt;=0,"Ödendi",IF(E299="","Vadesiz",IF(E299&lt;Özet!$C$3,"Gecikti",IF(E299&lt;=Özet!$C$3+7,"Bu hafta","Bekliyor")))))</f>
        <v/>
      </c>
      <c r="J299" s="17" t="str">
        <f aca="false">IF(I299="Gecikti",Özet!$C$3-E299,"")</f>
        <v/>
      </c>
      <c r="K299" s="12"/>
    </row>
    <row r="300" customFormat="false" ht="15" hidden="false" customHeight="false" outlineLevel="0" collapsed="false">
      <c r="A300" s="11"/>
      <c r="B300" s="12"/>
      <c r="C300" s="12"/>
      <c r="D300" s="13"/>
      <c r="E300" s="13"/>
      <c r="F300" s="14"/>
      <c r="G300" s="14"/>
      <c r="H300" s="15" t="str">
        <f aca="false">IF(F300="","",F300-G300)</f>
        <v/>
      </c>
      <c r="I300" s="16" t="str">
        <f aca="false">IF(F300="","",IF(H300&lt;=0,"Ödendi",IF(E300="","Vadesiz",IF(E300&lt;Özet!$C$3,"Gecikti",IF(E300&lt;=Özet!$C$3+7,"Bu hafta","Bekliyor")))))</f>
        <v/>
      </c>
      <c r="J300" s="17" t="str">
        <f aca="false">IF(I300="Gecikti",Özet!$C$3-E300,"")</f>
        <v/>
      </c>
      <c r="K300" s="12"/>
    </row>
    <row r="301" customFormat="false" ht="15" hidden="false" customHeight="false" outlineLevel="0" collapsed="false">
      <c r="A301" s="11"/>
      <c r="B301" s="12"/>
      <c r="C301" s="12"/>
      <c r="D301" s="13"/>
      <c r="E301" s="13"/>
      <c r="F301" s="14"/>
      <c r="G301" s="14"/>
      <c r="H301" s="15" t="str">
        <f aca="false">IF(F301="","",F301-G301)</f>
        <v/>
      </c>
      <c r="I301" s="16" t="str">
        <f aca="false">IF(F301="","",IF(H301&lt;=0,"Ödendi",IF(E301="","Vadesiz",IF(E301&lt;Özet!$C$3,"Gecikti",IF(E301&lt;=Özet!$C$3+7,"Bu hafta","Bekliyor")))))</f>
        <v/>
      </c>
      <c r="J301" s="17" t="str">
        <f aca="false">IF(I301="Gecikti",Özet!$C$3-E301,"")</f>
        <v/>
      </c>
      <c r="K301" s="12"/>
    </row>
    <row r="302" customFormat="false" ht="15" hidden="false" customHeight="false" outlineLevel="0" collapsed="false">
      <c r="A302" s="11"/>
      <c r="B302" s="12"/>
      <c r="C302" s="12"/>
      <c r="D302" s="13"/>
      <c r="E302" s="13"/>
      <c r="F302" s="14"/>
      <c r="G302" s="14"/>
      <c r="H302" s="15" t="str">
        <f aca="false">IF(F302="","",F302-G302)</f>
        <v/>
      </c>
      <c r="I302" s="16" t="str">
        <f aca="false">IF(F302="","",IF(H302&lt;=0,"Ödendi",IF(E302="","Vadesiz",IF(E302&lt;Özet!$C$3,"Gecikti",IF(E302&lt;=Özet!$C$3+7,"Bu hafta","Bekliyor")))))</f>
        <v/>
      </c>
      <c r="J302" s="17" t="str">
        <f aca="false">IF(I302="Gecikti",Özet!$C$3-E302,"")</f>
        <v/>
      </c>
      <c r="K302" s="12"/>
    </row>
    <row r="303" customFormat="false" ht="15" hidden="false" customHeight="false" outlineLevel="0" collapsed="false">
      <c r="A303" s="11"/>
      <c r="B303" s="12"/>
      <c r="C303" s="12"/>
      <c r="D303" s="13"/>
      <c r="E303" s="13"/>
      <c r="F303" s="14"/>
      <c r="G303" s="14"/>
      <c r="H303" s="15" t="str">
        <f aca="false">IF(F303="","",F303-G303)</f>
        <v/>
      </c>
      <c r="I303" s="16" t="str">
        <f aca="false">IF(F303="","",IF(H303&lt;=0,"Ödendi",IF(E303="","Vadesiz",IF(E303&lt;Özet!$C$3,"Gecikti",IF(E303&lt;=Özet!$C$3+7,"Bu hafta","Bekliyor")))))</f>
        <v/>
      </c>
      <c r="J303" s="17" t="str">
        <f aca="false">IF(I303="Gecikti",Özet!$C$3-E303,"")</f>
        <v/>
      </c>
      <c r="K303" s="12"/>
    </row>
    <row r="304" customFormat="false" ht="15" hidden="false" customHeight="false" outlineLevel="0" collapsed="false">
      <c r="A304" s="11"/>
      <c r="B304" s="12"/>
      <c r="C304" s="12"/>
      <c r="D304" s="13"/>
      <c r="E304" s="13"/>
      <c r="F304" s="14"/>
      <c r="G304" s="14"/>
      <c r="H304" s="15" t="str">
        <f aca="false">IF(F304="","",F304-G304)</f>
        <v/>
      </c>
      <c r="I304" s="16" t="str">
        <f aca="false">IF(F304="","",IF(H304&lt;=0,"Ödendi",IF(E304="","Vadesiz",IF(E304&lt;Özet!$C$3,"Gecikti",IF(E304&lt;=Özet!$C$3+7,"Bu hafta","Bekliyor")))))</f>
        <v/>
      </c>
      <c r="J304" s="17" t="str">
        <f aca="false">IF(I304="Gecikti",Özet!$C$3-E304,"")</f>
        <v/>
      </c>
      <c r="K304" s="12"/>
    </row>
  </sheetData>
  <conditionalFormatting sqref="I5:I304">
    <cfRule type="cellIs" priority="2" operator="equal" aboveAverage="0" equalAverage="0" bottom="0" percent="0" rank="0" text="" dxfId="0">
      <formula>"Gecikti"</formula>
    </cfRule>
    <cfRule type="cellIs" priority="3" operator="equal" aboveAverage="0" equalAverage="0" bottom="0" percent="0" rank="0" text="" dxfId="1">
      <formula>"Bu hafta"</formula>
    </cfRule>
    <cfRule type="cellIs" priority="4" operator="equal" aboveAverage="0" equalAverage="0" bottom="0" percent="0" rank="0" text="" dxfId="2">
      <formula>"Ödendi"</formula>
    </cfRule>
  </conditionalFormatting>
  <conditionalFormatting sqref="A5:A304">
    <cfRule type="cellIs" priority="5" operator="equal" aboveAverage="0" equalAverage="0" bottom="0" percent="0" rank="0" text="" dxfId="3">
      <formula>"Alacak"</formula>
    </cfRule>
    <cfRule type="cellIs" priority="6" operator="equal" aboveAverage="0" equalAverage="0" bottom="0" percent="0" rank="0" text="" dxfId="4">
      <formula>"Borç"</formula>
    </cfRule>
  </conditionalFormatting>
  <conditionalFormatting sqref="A5:B304">
    <cfRule type="expression" priority="7" aboveAverage="0" equalAverage="0" bottom="0" percent="0" rank="0" text="" dxfId="5">
      <formula>AND($F5&lt;&gt;"",OR($A5="",$B5=""))</formula>
    </cfRule>
  </conditionalFormatting>
  <dataValidations count="5">
    <dataValidation allowBlank="true" error="Listeden Alacak ya da Borç seç." errorStyle="stop" errorTitle="Tür" operator="between" showDropDown="false" showErrorMessage="true" showInputMessage="false" sqref="A5:A304" type="list">
      <formula1>"Alacak,Borç"</formula1>
      <formula2>0</formula2>
    </dataValidation>
    <dataValidation allowBlank="true" error="Kişiyi listeden seç. Yeni kişi için önce Kişiler sayfasına ekle." errorStyle="stop" errorTitle="Kişi" operator="between" showDropDown="false" showErrorMessage="true" showInputMessage="false" sqref="B5:B304" type="list">
      <formula1>Kişiler!$A$4:$A$43</formula1>
      <formula2>0</formula2>
    </dataValidation>
    <dataValidation allowBlank="true" error="Geçerli bir tarih gir (örnek: 04.10.2026)." errorStyle="stop" errorTitle="Tarih" operator="greaterThan" showDropDown="false" showErrorMessage="true" showInputMessage="false" sqref="D5:E304" type="date">
      <formula1>36526</formula1>
      <formula2>0</formula2>
    </dataValidation>
    <dataValidation allowBlank="true" error="Tutarı sıfırdan büyük bir sayı olarak gir." errorStyle="stop" errorTitle="Tutar" operator="greaterThan" showDropDown="false" showErrorMessage="true" showInputMessage="false" sqref="F5:F304" type="decimal">
      <formula1>0</formula1>
      <formula2>0</formula2>
    </dataValidation>
    <dataValidation allowBlank="true" error="Ödenen tutar sıfırdan küçük ya da toplam tutardan büyük olamaz." errorStyle="stop" errorTitle="Ödenen" operator="between" showDropDown="false" showErrorMessage="true" showInputMessage="false" sqref="G5:G304" type="custom">
      <formula1>AND(ISNUMBER(G5),G5&gt;=0,G5&lt;=F5)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7" min="7" style="0" width="3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2" min="11" style="0" width="16"/>
  </cols>
  <sheetData>
    <row r="1" customFormat="false" ht="19.7" hidden="false" customHeight="false" outlineLevel="0" collapsed="false">
      <c r="B1" s="8" t="s">
        <v>65</v>
      </c>
    </row>
    <row r="3" customFormat="false" ht="15" hidden="false" customHeight="false" outlineLevel="0" collapsed="false">
      <c r="B3" s="18" t="s">
        <v>66</v>
      </c>
      <c r="C3" s="19" t="n">
        <f aca="true">TODAY()</f>
        <v>46299</v>
      </c>
      <c r="D3" s="9" t="s">
        <v>67</v>
      </c>
    </row>
    <row r="5" customFormat="false" ht="15" hidden="false" customHeight="false" outlineLevel="0" collapsed="false">
      <c r="B5" s="20" t="s">
        <v>68</v>
      </c>
      <c r="C5" s="20" t="s">
        <v>69</v>
      </c>
      <c r="D5" s="20" t="s">
        <v>70</v>
      </c>
      <c r="E5" s="20" t="s">
        <v>71</v>
      </c>
      <c r="F5" s="20" t="s">
        <v>72</v>
      </c>
    </row>
    <row r="6" customFormat="false" ht="27.75" hidden="false" customHeight="true" outlineLevel="0" collapsed="false">
      <c r="B6" s="21" t="n">
        <f aca="false">SUMIFS(Kayıtlar!$H$5:$H$304,Kayıtlar!$A$5:$A$304,"Alacak")</f>
        <v>37100</v>
      </c>
      <c r="C6" s="22" t="n">
        <f aca="false">SUMIFS(Kayıtlar!$H$5:$H$304,Kayıtlar!$A$5:$A$304,"Alacak",Kayıtlar!$E$5:$E$304,"&lt;"&amp;$C$3)</f>
        <v>17700</v>
      </c>
      <c r="D6" s="21" t="n">
        <f aca="false">SUMIFS(Kayıtlar!$H$5:$H$304,Kayıtlar!$A$5:$A$304,"Borç")</f>
        <v>30500</v>
      </c>
      <c r="E6" s="22" t="n">
        <f aca="false">SUMIFS(Kayıtlar!$H$5:$H$304,Kayıtlar!$A$5:$A$304,"Borç",Kayıtlar!$E$5:$E$304,"&lt;"&amp;$C$3)</f>
        <v>6500</v>
      </c>
      <c r="F6" s="21" t="n">
        <f aca="false">B6-D6</f>
        <v>6600</v>
      </c>
    </row>
    <row r="8" customFormat="false" ht="15" hidden="false" customHeight="false" outlineLevel="0" collapsed="false">
      <c r="B8" s="23" t="s">
        <v>73</v>
      </c>
    </row>
    <row r="9" customFormat="false" ht="15" hidden="false" customHeight="false" outlineLevel="0" collapsed="false">
      <c r="B9" s="24" t="s">
        <v>74</v>
      </c>
      <c r="C9" s="25" t="n">
        <f aca="false">SUMIFS(Kayıtlar!$H$5:$H$304,Kayıtlar!$A$5:$A$304,"Alacak",Kayıtlar!$E$5:$E$304,"&gt;="&amp;$C$3,Kayıtlar!$E$5:$E$304,"&lt;="&amp;$C$3+7)</f>
        <v>12000</v>
      </c>
      <c r="D9" s="24" t="s">
        <v>75</v>
      </c>
      <c r="E9" s="25" t="n">
        <f aca="false">SUMIFS(Kayıtlar!$H$5:$H$304,Kayıtlar!$A$5:$A$304,"Borç",Kayıtlar!$E$5:$E$304,"&gt;="&amp;$C$3,Kayıtlar!$E$5:$E$304,"&lt;="&amp;$C$3+7)</f>
        <v>12000</v>
      </c>
    </row>
    <row r="11" customFormat="false" ht="15" hidden="false" customHeight="false" outlineLevel="0" collapsed="false">
      <c r="B11" s="23" t="s">
        <v>76</v>
      </c>
      <c r="H11" s="23" t="s">
        <v>77</v>
      </c>
    </row>
    <row r="12" customFormat="false" ht="15" hidden="false" customHeight="false" outlineLevel="0" collapsed="false">
      <c r="B12" s="26" t="s">
        <v>78</v>
      </c>
      <c r="C12" s="26" t="s">
        <v>50</v>
      </c>
      <c r="D12" s="26" t="s">
        <v>59</v>
      </c>
      <c r="H12" s="26" t="s">
        <v>40</v>
      </c>
      <c r="I12" s="26" t="s">
        <v>50</v>
      </c>
      <c r="J12" s="26" t="s">
        <v>69</v>
      </c>
      <c r="K12" s="26" t="s">
        <v>59</v>
      </c>
      <c r="L12" s="26" t="s">
        <v>79</v>
      </c>
    </row>
    <row r="13" customFormat="false" ht="15" hidden="false" customHeight="false" outlineLevel="0" collapsed="false">
      <c r="B13" s="27" t="s">
        <v>80</v>
      </c>
      <c r="C13" s="28" t="n">
        <f aca="false">SUMIFS(Kayıtlar!$H$5:$H$304,Kayıtlar!$A$5:$A$304,"Alacak",Kayıtlar!$E$5:$E$304,"&gt;="&amp;$C$3-0)</f>
        <v>19400</v>
      </c>
      <c r="D13" s="28" t="n">
        <f aca="false">SUMIFS(Kayıtlar!$H$5:$H$304,Kayıtlar!$A$5:$A$304,"Borç",Kayıtlar!$E$5:$E$304,"&gt;="&amp;$C$3-0)</f>
        <v>24000</v>
      </c>
      <c r="H13" s="27" t="str">
        <f aca="false">IF(Kişiler!A4="","",Kişiler!A4)</f>
        <v>Müşteri Alfa</v>
      </c>
      <c r="I13" s="28" t="n">
        <f aca="false">IF(H13="","",SUMIFS(Kayıtlar!$H$5:$H$304,Kayıtlar!$A$5:$A$304,"Alacak",Kayıtlar!$B$5:$B$304,H13))</f>
        <v>13500</v>
      </c>
      <c r="J13" s="28" t="n">
        <f aca="false">IF(H13="","",SUMIFS(Kayıtlar!$H$5:$H$304,Kayıtlar!$A$5:$A$304,"Alacak",Kayıtlar!$B$5:$B$304,H13,Kayıtlar!$E$5:$E$304,"&lt;"&amp;$C$3))</f>
        <v>13500</v>
      </c>
      <c r="K13" s="28" t="n">
        <f aca="false">IF(H13="","",SUMIFS(Kayıtlar!$H$5:$H$304,Kayıtlar!$A$5:$A$304,"Borç",Kayıtlar!$B$5:$B$304,H13))</f>
        <v>0</v>
      </c>
      <c r="L13" s="28" t="n">
        <f aca="false">IF(H13="","",I13-K13)</f>
        <v>13500</v>
      </c>
    </row>
    <row r="14" customFormat="false" ht="15" hidden="false" customHeight="false" outlineLevel="0" collapsed="false">
      <c r="B14" s="29" t="s">
        <v>81</v>
      </c>
      <c r="C14" s="30" t="n">
        <f aca="false">SUMIFS(Kayıtlar!$H$5:$H$304,Kayıtlar!$A$5:$A$304,"Alacak",Kayıtlar!$E$5:$E$304,"&lt;="&amp;$C$3-1,Kayıtlar!$E$5:$E$304,"&gt;="&amp;$C$3-30)</f>
        <v>13500</v>
      </c>
      <c r="D14" s="30" t="n">
        <f aca="false">SUMIFS(Kayıtlar!$H$5:$H$304,Kayıtlar!$A$5:$A$304,"Borç",Kayıtlar!$E$5:$E$304,"&lt;="&amp;$C$3-1,Kayıtlar!$E$5:$E$304,"&gt;="&amp;$C$3-30)</f>
        <v>6500</v>
      </c>
      <c r="H14" s="29" t="str">
        <f aca="false">IF(Kişiler!A5="","",Kişiler!A5)</f>
        <v>Müşteri Beta</v>
      </c>
      <c r="I14" s="30" t="n">
        <f aca="false">IF(H14="","",SUMIFS(Kayıtlar!$H$5:$H$304,Kayıtlar!$A$5:$A$304,"Alacak",Kayıtlar!$B$5:$B$304,H14))</f>
        <v>16200</v>
      </c>
      <c r="J14" s="30" t="n">
        <f aca="false">IF(H14="","",SUMIFS(Kayıtlar!$H$5:$H$304,Kayıtlar!$A$5:$A$304,"Alacak",Kayıtlar!$B$5:$B$304,H14,Kayıtlar!$E$5:$E$304,"&lt;"&amp;$C$3))</f>
        <v>4200</v>
      </c>
      <c r="K14" s="30" t="n">
        <f aca="false">IF(H14="","",SUMIFS(Kayıtlar!$H$5:$H$304,Kayıtlar!$A$5:$A$304,"Borç",Kayıtlar!$B$5:$B$304,H14))</f>
        <v>0</v>
      </c>
      <c r="L14" s="30" t="n">
        <f aca="false">IF(H14="","",I14-K14)</f>
        <v>16200</v>
      </c>
    </row>
    <row r="15" customFormat="false" ht="15" hidden="false" customHeight="false" outlineLevel="0" collapsed="false">
      <c r="B15" s="27" t="s">
        <v>82</v>
      </c>
      <c r="C15" s="28" t="n">
        <f aca="false">SUMIFS(Kayıtlar!$H$5:$H$304,Kayıtlar!$A$5:$A$304,"Alacak",Kayıtlar!$E$5:$E$304,"&lt;="&amp;$C$3-31,Kayıtlar!$E$5:$E$304,"&gt;="&amp;$C$3-60)</f>
        <v>0</v>
      </c>
      <c r="D15" s="28" t="n">
        <f aca="false">SUMIFS(Kayıtlar!$H$5:$H$304,Kayıtlar!$A$5:$A$304,"Borç",Kayıtlar!$E$5:$E$304,"&lt;="&amp;$C$3-31,Kayıtlar!$E$5:$E$304,"&gt;="&amp;$C$3-60)</f>
        <v>0</v>
      </c>
      <c r="H15" s="27" t="str">
        <f aca="false">IF(Kişiler!A6="","",Kişiler!A6)</f>
        <v>Müşteri Gama</v>
      </c>
      <c r="I15" s="28" t="n">
        <f aca="false">IF(H15="","",SUMIFS(Kayıtlar!$H$5:$H$304,Kayıtlar!$A$5:$A$304,"Alacak",Kayıtlar!$B$5:$B$304,H15))</f>
        <v>7400</v>
      </c>
      <c r="J15" s="28" t="n">
        <f aca="false">IF(H15="","",SUMIFS(Kayıtlar!$H$5:$H$304,Kayıtlar!$A$5:$A$304,"Alacak",Kayıtlar!$B$5:$B$304,H15,Kayıtlar!$E$5:$E$304,"&lt;"&amp;$C$3))</f>
        <v>0</v>
      </c>
      <c r="K15" s="28" t="n">
        <f aca="false">IF(H15="","",SUMIFS(Kayıtlar!$H$5:$H$304,Kayıtlar!$A$5:$A$304,"Borç",Kayıtlar!$B$5:$B$304,H15))</f>
        <v>0</v>
      </c>
      <c r="L15" s="28" t="n">
        <f aca="false">IF(H15="","",I15-K15)</f>
        <v>7400</v>
      </c>
    </row>
    <row r="16" customFormat="false" ht="15" hidden="false" customHeight="false" outlineLevel="0" collapsed="false">
      <c r="B16" s="29" t="s">
        <v>83</v>
      </c>
      <c r="C16" s="30" t="n">
        <f aca="false">SUMIFS(Kayıtlar!$H$5:$H$304,Kayıtlar!$A$5:$A$304,"Alacak",Kayıtlar!$E$5:$E$304,"&lt;="&amp;$C$3-61,Kayıtlar!$E$5:$E$304,"&gt;="&amp;$C$3-90)</f>
        <v>0</v>
      </c>
      <c r="D16" s="30" t="n">
        <f aca="false">SUMIFS(Kayıtlar!$H$5:$H$304,Kayıtlar!$A$5:$A$304,"Borç",Kayıtlar!$E$5:$E$304,"&lt;="&amp;$C$3-61,Kayıtlar!$E$5:$E$304,"&gt;="&amp;$C$3-90)</f>
        <v>0</v>
      </c>
      <c r="H16" s="29" t="str">
        <f aca="false">IF(Kişiler!A7="","",Kişiler!A7)</f>
        <v>Tedarikçi Alfa</v>
      </c>
      <c r="I16" s="30" t="n">
        <f aca="false">IF(H16="","",SUMIFS(Kayıtlar!$H$5:$H$304,Kayıtlar!$A$5:$A$304,"Alacak",Kayıtlar!$B$5:$B$304,H16))</f>
        <v>0</v>
      </c>
      <c r="J16" s="30" t="n">
        <f aca="false">IF(H16="","",SUMIFS(Kayıtlar!$H$5:$H$304,Kayıtlar!$A$5:$A$304,"Alacak",Kayıtlar!$B$5:$B$304,H16,Kayıtlar!$E$5:$E$304,"&lt;"&amp;$C$3))</f>
        <v>0</v>
      </c>
      <c r="K16" s="30" t="n">
        <f aca="false">IF(H16="","",SUMIFS(Kayıtlar!$H$5:$H$304,Kayıtlar!$A$5:$A$304,"Borç",Kayıtlar!$B$5:$B$304,H16))</f>
        <v>18500</v>
      </c>
      <c r="L16" s="30" t="n">
        <f aca="false">IF(H16="","",I16-K16)</f>
        <v>-18500</v>
      </c>
    </row>
    <row r="17" customFormat="false" ht="15" hidden="false" customHeight="false" outlineLevel="0" collapsed="false">
      <c r="B17" s="27" t="s">
        <v>84</v>
      </c>
      <c r="C17" s="28" t="n">
        <f aca="false">SUMIFS(Kayıtlar!$H$5:$H$304,Kayıtlar!$A$5:$A$304,"Alacak",Kayıtlar!$E$5:$E$304,"&lt;="&amp;$C$3-91)</f>
        <v>4200</v>
      </c>
      <c r="D17" s="28" t="n">
        <f aca="false">SUMIFS(Kayıtlar!$H$5:$H$304,Kayıtlar!$A$5:$A$304,"Borç",Kayıtlar!$E$5:$E$304,"&lt;="&amp;$C$3-91)</f>
        <v>0</v>
      </c>
      <c r="H17" s="27" t="str">
        <f aca="false">IF(Kişiler!A8="","",Kişiler!A8)</f>
        <v>Ofis Kirası</v>
      </c>
      <c r="I17" s="28" t="n">
        <f aca="false">IF(H17="","",SUMIFS(Kayıtlar!$H$5:$H$304,Kayıtlar!$A$5:$A$304,"Alacak",Kayıtlar!$B$5:$B$304,H17))</f>
        <v>0</v>
      </c>
      <c r="J17" s="28" t="n">
        <f aca="false">IF(H17="","",SUMIFS(Kayıtlar!$H$5:$H$304,Kayıtlar!$A$5:$A$304,"Alacak",Kayıtlar!$B$5:$B$304,H17,Kayıtlar!$E$5:$E$304,"&lt;"&amp;$C$3))</f>
        <v>0</v>
      </c>
      <c r="K17" s="28" t="n">
        <f aca="false">IF(H17="","",SUMIFS(Kayıtlar!$H$5:$H$304,Kayıtlar!$A$5:$A$304,"Borç",Kayıtlar!$B$5:$B$304,H17))</f>
        <v>12000</v>
      </c>
      <c r="L17" s="28" t="n">
        <f aca="false">IF(H17="","",I17-K17)</f>
        <v>-12000</v>
      </c>
    </row>
    <row r="18" customFormat="false" ht="15" hidden="false" customHeight="false" outlineLevel="0" collapsed="false">
      <c r="B18" s="29" t="s">
        <v>21</v>
      </c>
      <c r="C18" s="30" t="n">
        <f aca="false">C19-SUM(C13:C17)</f>
        <v>0</v>
      </c>
      <c r="D18" s="30" t="n">
        <f aca="false">D19-SUM(D13:D17)</f>
        <v>0</v>
      </c>
      <c r="H18" s="29" t="str">
        <f aca="false">IF(Kişiler!A9="","",Kişiler!A9)</f>
        <v/>
      </c>
      <c r="I18" s="30" t="str">
        <f aca="false">IF(H18="","",SUMIFS(Kayıtlar!$H$5:$H$304,Kayıtlar!$A$5:$A$304,"Alacak",Kayıtlar!$B$5:$B$304,H18))</f>
        <v/>
      </c>
      <c r="J18" s="30" t="str">
        <f aca="false">IF(H18="","",SUMIFS(Kayıtlar!$H$5:$H$304,Kayıtlar!$A$5:$A$304,"Alacak",Kayıtlar!$B$5:$B$304,H18,Kayıtlar!$E$5:$E$304,"&lt;"&amp;$C$3))</f>
        <v/>
      </c>
      <c r="K18" s="30" t="str">
        <f aca="false">IF(H18="","",SUMIFS(Kayıtlar!$H$5:$H$304,Kayıtlar!$A$5:$A$304,"Borç",Kayıtlar!$B$5:$B$304,H18))</f>
        <v/>
      </c>
      <c r="L18" s="30" t="str">
        <f aca="false">IF(H18="","",I18-K18)</f>
        <v/>
      </c>
    </row>
    <row r="19" customFormat="false" ht="15" hidden="false" customHeight="false" outlineLevel="0" collapsed="false">
      <c r="B19" s="31" t="s">
        <v>85</v>
      </c>
      <c r="C19" s="32" t="n">
        <f aca="false">B6</f>
        <v>37100</v>
      </c>
      <c r="D19" s="32" t="n">
        <f aca="false">D6</f>
        <v>30500</v>
      </c>
      <c r="H19" s="27" t="str">
        <f aca="false">IF(Kişiler!A10="","",Kişiler!A10)</f>
        <v/>
      </c>
      <c r="I19" s="28" t="str">
        <f aca="false">IF(H19="","",SUMIFS(Kayıtlar!$H$5:$H$304,Kayıtlar!$A$5:$A$304,"Alacak",Kayıtlar!$B$5:$B$304,H19))</f>
        <v/>
      </c>
      <c r="J19" s="28" t="str">
        <f aca="false">IF(H19="","",SUMIFS(Kayıtlar!$H$5:$H$304,Kayıtlar!$A$5:$A$304,"Alacak",Kayıtlar!$B$5:$B$304,H19,Kayıtlar!$E$5:$E$304,"&lt;"&amp;$C$3))</f>
        <v/>
      </c>
      <c r="K19" s="28" t="str">
        <f aca="false">IF(H19="","",SUMIFS(Kayıtlar!$H$5:$H$304,Kayıtlar!$A$5:$A$304,"Borç",Kayıtlar!$B$5:$B$304,H19))</f>
        <v/>
      </c>
      <c r="L19" s="28" t="str">
        <f aca="false">IF(H19="","",I19-K19)</f>
        <v/>
      </c>
    </row>
    <row r="20" customFormat="false" ht="15" hidden="false" customHeight="false" outlineLevel="0" collapsed="false">
      <c r="H20" s="29" t="str">
        <f aca="false">IF(Kişiler!A11="","",Kişiler!A11)</f>
        <v/>
      </c>
      <c r="I20" s="30" t="str">
        <f aca="false">IF(H20="","",SUMIFS(Kayıtlar!$H$5:$H$304,Kayıtlar!$A$5:$A$304,"Alacak",Kayıtlar!$B$5:$B$304,H20))</f>
        <v/>
      </c>
      <c r="J20" s="30" t="str">
        <f aca="false">IF(H20="","",SUMIFS(Kayıtlar!$H$5:$H$304,Kayıtlar!$A$5:$A$304,"Alacak",Kayıtlar!$B$5:$B$304,H20,Kayıtlar!$E$5:$E$304,"&lt;"&amp;$C$3))</f>
        <v/>
      </c>
      <c r="K20" s="30" t="str">
        <f aca="false">IF(H20="","",SUMIFS(Kayıtlar!$H$5:$H$304,Kayıtlar!$A$5:$A$304,"Borç",Kayıtlar!$B$5:$B$304,H20))</f>
        <v/>
      </c>
      <c r="L20" s="30" t="str">
        <f aca="false">IF(H20="","",I20-K20)</f>
        <v/>
      </c>
    </row>
    <row r="21" customFormat="false" ht="15" hidden="false" customHeight="false" outlineLevel="0" collapsed="false">
      <c r="H21" s="27" t="str">
        <f aca="false">IF(Kişiler!A12="","",Kişiler!A12)</f>
        <v/>
      </c>
      <c r="I21" s="28" t="str">
        <f aca="false">IF(H21="","",SUMIFS(Kayıtlar!$H$5:$H$304,Kayıtlar!$A$5:$A$304,"Alacak",Kayıtlar!$B$5:$B$304,H21))</f>
        <v/>
      </c>
      <c r="J21" s="28" t="str">
        <f aca="false">IF(H21="","",SUMIFS(Kayıtlar!$H$5:$H$304,Kayıtlar!$A$5:$A$304,"Alacak",Kayıtlar!$B$5:$B$304,H21,Kayıtlar!$E$5:$E$304,"&lt;"&amp;$C$3))</f>
        <v/>
      </c>
      <c r="K21" s="28" t="str">
        <f aca="false">IF(H21="","",SUMIFS(Kayıtlar!$H$5:$H$304,Kayıtlar!$A$5:$A$304,"Borç",Kayıtlar!$B$5:$B$304,H21))</f>
        <v/>
      </c>
      <c r="L21" s="28" t="str">
        <f aca="false">IF(H21="","",I21-K21)</f>
        <v/>
      </c>
    </row>
    <row r="22" customFormat="false" ht="15" hidden="false" customHeight="false" outlineLevel="0" collapsed="false">
      <c r="H22" s="29" t="str">
        <f aca="false">IF(Kişiler!A13="","",Kişiler!A13)</f>
        <v/>
      </c>
      <c r="I22" s="30" t="str">
        <f aca="false">IF(H22="","",SUMIFS(Kayıtlar!$H$5:$H$304,Kayıtlar!$A$5:$A$304,"Alacak",Kayıtlar!$B$5:$B$304,H22))</f>
        <v/>
      </c>
      <c r="J22" s="30" t="str">
        <f aca="false">IF(H22="","",SUMIFS(Kayıtlar!$H$5:$H$304,Kayıtlar!$A$5:$A$304,"Alacak",Kayıtlar!$B$5:$B$304,H22,Kayıtlar!$E$5:$E$304,"&lt;"&amp;$C$3))</f>
        <v/>
      </c>
      <c r="K22" s="30" t="str">
        <f aca="false">IF(H22="","",SUMIFS(Kayıtlar!$H$5:$H$304,Kayıtlar!$A$5:$A$304,"Borç",Kayıtlar!$B$5:$B$304,H22))</f>
        <v/>
      </c>
      <c r="L22" s="30" t="str">
        <f aca="false">IF(H22="","",I22-K22)</f>
        <v/>
      </c>
    </row>
    <row r="23" customFormat="false" ht="15" hidden="false" customHeight="false" outlineLevel="0" collapsed="false">
      <c r="H23" s="27" t="str">
        <f aca="false">IF(Kişiler!A14="","",Kişiler!A14)</f>
        <v/>
      </c>
      <c r="I23" s="28" t="str">
        <f aca="false">IF(H23="","",SUMIFS(Kayıtlar!$H$5:$H$304,Kayıtlar!$A$5:$A$304,"Alacak",Kayıtlar!$B$5:$B$304,H23))</f>
        <v/>
      </c>
      <c r="J23" s="28" t="str">
        <f aca="false">IF(H23="","",SUMIFS(Kayıtlar!$H$5:$H$304,Kayıtlar!$A$5:$A$304,"Alacak",Kayıtlar!$B$5:$B$304,H23,Kayıtlar!$E$5:$E$304,"&lt;"&amp;$C$3))</f>
        <v/>
      </c>
      <c r="K23" s="28" t="str">
        <f aca="false">IF(H23="","",SUMIFS(Kayıtlar!$H$5:$H$304,Kayıtlar!$A$5:$A$304,"Borç",Kayıtlar!$B$5:$B$304,H23))</f>
        <v/>
      </c>
      <c r="L23" s="28" t="str">
        <f aca="false">IF(H23="","",I23-K23)</f>
        <v/>
      </c>
    </row>
    <row r="24" customFormat="false" ht="15" hidden="false" customHeight="false" outlineLevel="0" collapsed="false">
      <c r="H24" s="29" t="str">
        <f aca="false">IF(Kişiler!A15="","",Kişiler!A15)</f>
        <v/>
      </c>
      <c r="I24" s="30" t="str">
        <f aca="false">IF(H24="","",SUMIFS(Kayıtlar!$H$5:$H$304,Kayıtlar!$A$5:$A$304,"Alacak",Kayıtlar!$B$5:$B$304,H24))</f>
        <v/>
      </c>
      <c r="J24" s="30" t="str">
        <f aca="false">IF(H24="","",SUMIFS(Kayıtlar!$H$5:$H$304,Kayıtlar!$A$5:$A$304,"Alacak",Kayıtlar!$B$5:$B$304,H24,Kayıtlar!$E$5:$E$304,"&lt;"&amp;$C$3))</f>
        <v/>
      </c>
      <c r="K24" s="30" t="str">
        <f aca="false">IF(H24="","",SUMIFS(Kayıtlar!$H$5:$H$304,Kayıtlar!$A$5:$A$304,"Borç",Kayıtlar!$B$5:$B$304,H24))</f>
        <v/>
      </c>
      <c r="L24" s="30" t="str">
        <f aca="false">IF(H24="","",I24-K24)</f>
        <v/>
      </c>
    </row>
    <row r="25" customFormat="false" ht="15" hidden="false" customHeight="false" outlineLevel="0" collapsed="false">
      <c r="H25" s="27" t="str">
        <f aca="false">IF(Kişiler!A16="","",Kişiler!A16)</f>
        <v/>
      </c>
      <c r="I25" s="28" t="str">
        <f aca="false">IF(H25="","",SUMIFS(Kayıtlar!$H$5:$H$304,Kayıtlar!$A$5:$A$304,"Alacak",Kayıtlar!$B$5:$B$304,H25))</f>
        <v/>
      </c>
      <c r="J25" s="28" t="str">
        <f aca="false">IF(H25="","",SUMIFS(Kayıtlar!$H$5:$H$304,Kayıtlar!$A$5:$A$304,"Alacak",Kayıtlar!$B$5:$B$304,H25,Kayıtlar!$E$5:$E$304,"&lt;"&amp;$C$3))</f>
        <v/>
      </c>
      <c r="K25" s="28" t="str">
        <f aca="false">IF(H25="","",SUMIFS(Kayıtlar!$H$5:$H$304,Kayıtlar!$A$5:$A$304,"Borç",Kayıtlar!$B$5:$B$304,H25))</f>
        <v/>
      </c>
      <c r="L25" s="28" t="str">
        <f aca="false">IF(H25="","",I25-K25)</f>
        <v/>
      </c>
    </row>
    <row r="26" customFormat="false" ht="15" hidden="false" customHeight="false" outlineLevel="0" collapsed="false">
      <c r="H26" s="29" t="str">
        <f aca="false">IF(Kişiler!A17="","",Kişiler!A17)</f>
        <v/>
      </c>
      <c r="I26" s="30" t="str">
        <f aca="false">IF(H26="","",SUMIFS(Kayıtlar!$H$5:$H$304,Kayıtlar!$A$5:$A$304,"Alacak",Kayıtlar!$B$5:$B$304,H26))</f>
        <v/>
      </c>
      <c r="J26" s="30" t="str">
        <f aca="false">IF(H26="","",SUMIFS(Kayıtlar!$H$5:$H$304,Kayıtlar!$A$5:$A$304,"Alacak",Kayıtlar!$B$5:$B$304,H26,Kayıtlar!$E$5:$E$304,"&lt;"&amp;$C$3))</f>
        <v/>
      </c>
      <c r="K26" s="30" t="str">
        <f aca="false">IF(H26="","",SUMIFS(Kayıtlar!$H$5:$H$304,Kayıtlar!$A$5:$A$304,"Borç",Kayıtlar!$B$5:$B$304,H26))</f>
        <v/>
      </c>
      <c r="L26" s="30" t="str">
        <f aca="false">IF(H26="","",I26-K26)</f>
        <v/>
      </c>
    </row>
    <row r="27" customFormat="false" ht="15" hidden="false" customHeight="false" outlineLevel="0" collapsed="false">
      <c r="H27" s="27" t="str">
        <f aca="false">IF(Kişiler!A18="","",Kişiler!A18)</f>
        <v/>
      </c>
      <c r="I27" s="28" t="str">
        <f aca="false">IF(H27="","",SUMIFS(Kayıtlar!$H$5:$H$304,Kayıtlar!$A$5:$A$304,"Alacak",Kayıtlar!$B$5:$B$304,H27))</f>
        <v/>
      </c>
      <c r="J27" s="28" t="str">
        <f aca="false">IF(H27="","",SUMIFS(Kayıtlar!$H$5:$H$304,Kayıtlar!$A$5:$A$304,"Alacak",Kayıtlar!$B$5:$B$304,H27,Kayıtlar!$E$5:$E$304,"&lt;"&amp;$C$3))</f>
        <v/>
      </c>
      <c r="K27" s="28" t="str">
        <f aca="false">IF(H27="","",SUMIFS(Kayıtlar!$H$5:$H$304,Kayıtlar!$A$5:$A$304,"Borç",Kayıtlar!$B$5:$B$304,H27))</f>
        <v/>
      </c>
      <c r="L27" s="28" t="str">
        <f aca="false">IF(H27="","",I27-K27)</f>
        <v/>
      </c>
    </row>
    <row r="28" customFormat="false" ht="15" hidden="false" customHeight="false" outlineLevel="0" collapsed="false">
      <c r="H28" s="29" t="str">
        <f aca="false">IF(Kişiler!A19="","",Kişiler!A19)</f>
        <v/>
      </c>
      <c r="I28" s="30" t="str">
        <f aca="false">IF(H28="","",SUMIFS(Kayıtlar!$H$5:$H$304,Kayıtlar!$A$5:$A$304,"Alacak",Kayıtlar!$B$5:$B$304,H28))</f>
        <v/>
      </c>
      <c r="J28" s="30" t="str">
        <f aca="false">IF(H28="","",SUMIFS(Kayıtlar!$H$5:$H$304,Kayıtlar!$A$5:$A$304,"Alacak",Kayıtlar!$B$5:$B$304,H28,Kayıtlar!$E$5:$E$304,"&lt;"&amp;$C$3))</f>
        <v/>
      </c>
      <c r="K28" s="30" t="str">
        <f aca="false">IF(H28="","",SUMIFS(Kayıtlar!$H$5:$H$304,Kayıtlar!$A$5:$A$304,"Borç",Kayıtlar!$B$5:$B$304,H28))</f>
        <v/>
      </c>
      <c r="L28" s="30" t="str">
        <f aca="false">IF(H28="","",I28-K28)</f>
        <v/>
      </c>
    </row>
    <row r="29" customFormat="false" ht="15" hidden="false" customHeight="false" outlineLevel="0" collapsed="false">
      <c r="H29" s="27" t="str">
        <f aca="false">IF(Kişiler!A20="","",Kişiler!A20)</f>
        <v/>
      </c>
      <c r="I29" s="28" t="str">
        <f aca="false">IF(H29="","",SUMIFS(Kayıtlar!$H$5:$H$304,Kayıtlar!$A$5:$A$304,"Alacak",Kayıtlar!$B$5:$B$304,H29))</f>
        <v/>
      </c>
      <c r="J29" s="28" t="str">
        <f aca="false">IF(H29="","",SUMIFS(Kayıtlar!$H$5:$H$304,Kayıtlar!$A$5:$A$304,"Alacak",Kayıtlar!$B$5:$B$304,H29,Kayıtlar!$E$5:$E$304,"&lt;"&amp;$C$3))</f>
        <v/>
      </c>
      <c r="K29" s="28" t="str">
        <f aca="false">IF(H29="","",SUMIFS(Kayıtlar!$H$5:$H$304,Kayıtlar!$A$5:$A$304,"Borç",Kayıtlar!$B$5:$B$304,H29))</f>
        <v/>
      </c>
      <c r="L29" s="28" t="str">
        <f aca="false">IF(H29="","",I29-K29)</f>
        <v/>
      </c>
    </row>
    <row r="30" customFormat="false" ht="15" hidden="false" customHeight="false" outlineLevel="0" collapsed="false">
      <c r="H30" s="29" t="str">
        <f aca="false">IF(Kişiler!A21="","",Kişiler!A21)</f>
        <v/>
      </c>
      <c r="I30" s="30" t="str">
        <f aca="false">IF(H30="","",SUMIFS(Kayıtlar!$H$5:$H$304,Kayıtlar!$A$5:$A$304,"Alacak",Kayıtlar!$B$5:$B$304,H30))</f>
        <v/>
      </c>
      <c r="J30" s="30" t="str">
        <f aca="false">IF(H30="","",SUMIFS(Kayıtlar!$H$5:$H$304,Kayıtlar!$A$5:$A$304,"Alacak",Kayıtlar!$B$5:$B$304,H30,Kayıtlar!$E$5:$E$304,"&lt;"&amp;$C$3))</f>
        <v/>
      </c>
      <c r="K30" s="30" t="str">
        <f aca="false">IF(H30="","",SUMIFS(Kayıtlar!$H$5:$H$304,Kayıtlar!$A$5:$A$304,"Borç",Kayıtlar!$B$5:$B$304,H30))</f>
        <v/>
      </c>
      <c r="L30" s="30" t="str">
        <f aca="false">IF(H30="","",I30-K30)</f>
        <v/>
      </c>
    </row>
    <row r="31" customFormat="false" ht="15" hidden="false" customHeight="false" outlineLevel="0" collapsed="false">
      <c r="H31" s="27" t="str">
        <f aca="false">IF(Kişiler!A22="","",Kişiler!A22)</f>
        <v/>
      </c>
      <c r="I31" s="28" t="str">
        <f aca="false">IF(H31="","",SUMIFS(Kayıtlar!$H$5:$H$304,Kayıtlar!$A$5:$A$304,"Alacak",Kayıtlar!$B$5:$B$304,H31))</f>
        <v/>
      </c>
      <c r="J31" s="28" t="str">
        <f aca="false">IF(H31="","",SUMIFS(Kayıtlar!$H$5:$H$304,Kayıtlar!$A$5:$A$304,"Alacak",Kayıtlar!$B$5:$B$304,H31,Kayıtlar!$E$5:$E$304,"&lt;"&amp;$C$3))</f>
        <v/>
      </c>
      <c r="K31" s="28" t="str">
        <f aca="false">IF(H31="","",SUMIFS(Kayıtlar!$H$5:$H$304,Kayıtlar!$A$5:$A$304,"Borç",Kayıtlar!$B$5:$B$304,H31))</f>
        <v/>
      </c>
      <c r="L31" s="28" t="str">
        <f aca="false">IF(H31="","",I31-K31)</f>
        <v/>
      </c>
    </row>
    <row r="32" customFormat="false" ht="15" hidden="false" customHeight="false" outlineLevel="0" collapsed="false">
      <c r="H32" s="29" t="str">
        <f aca="false">IF(Kişiler!A23="","",Kişiler!A23)</f>
        <v/>
      </c>
      <c r="I32" s="30" t="str">
        <f aca="false">IF(H32="","",SUMIFS(Kayıtlar!$H$5:$H$304,Kayıtlar!$A$5:$A$304,"Alacak",Kayıtlar!$B$5:$B$304,H32))</f>
        <v/>
      </c>
      <c r="J32" s="30" t="str">
        <f aca="false">IF(H32="","",SUMIFS(Kayıtlar!$H$5:$H$304,Kayıtlar!$A$5:$A$304,"Alacak",Kayıtlar!$B$5:$B$304,H32,Kayıtlar!$E$5:$E$304,"&lt;"&amp;$C$3))</f>
        <v/>
      </c>
      <c r="K32" s="30" t="str">
        <f aca="false">IF(H32="","",SUMIFS(Kayıtlar!$H$5:$H$304,Kayıtlar!$A$5:$A$304,"Borç",Kayıtlar!$B$5:$B$304,H32))</f>
        <v/>
      </c>
      <c r="L32" s="30" t="str">
        <f aca="false">IF(H32="","",I32-K32)</f>
        <v/>
      </c>
    </row>
    <row r="33" customFormat="false" ht="15" hidden="false" customHeight="false" outlineLevel="0" collapsed="false">
      <c r="H33" s="27" t="str">
        <f aca="false">IF(Kişiler!A24="","",Kişiler!A24)</f>
        <v/>
      </c>
      <c r="I33" s="28" t="str">
        <f aca="false">IF(H33="","",SUMIFS(Kayıtlar!$H$5:$H$304,Kayıtlar!$A$5:$A$304,"Alacak",Kayıtlar!$B$5:$B$304,H33))</f>
        <v/>
      </c>
      <c r="J33" s="28" t="str">
        <f aca="false">IF(H33="","",SUMIFS(Kayıtlar!$H$5:$H$304,Kayıtlar!$A$5:$A$304,"Alacak",Kayıtlar!$B$5:$B$304,H33,Kayıtlar!$E$5:$E$304,"&lt;"&amp;$C$3))</f>
        <v/>
      </c>
      <c r="K33" s="28" t="str">
        <f aca="false">IF(H33="","",SUMIFS(Kayıtlar!$H$5:$H$304,Kayıtlar!$A$5:$A$304,"Borç",Kayıtlar!$B$5:$B$304,H33))</f>
        <v/>
      </c>
      <c r="L33" s="28" t="str">
        <f aca="false">IF(H33="","",I33-K33)</f>
        <v/>
      </c>
    </row>
    <row r="34" customFormat="false" ht="15" hidden="false" customHeight="false" outlineLevel="0" collapsed="false">
      <c r="H34" s="29" t="str">
        <f aca="false">IF(Kişiler!A25="","",Kişiler!A25)</f>
        <v/>
      </c>
      <c r="I34" s="30" t="str">
        <f aca="false">IF(H34="","",SUMIFS(Kayıtlar!$H$5:$H$304,Kayıtlar!$A$5:$A$304,"Alacak",Kayıtlar!$B$5:$B$304,H34))</f>
        <v/>
      </c>
      <c r="J34" s="30" t="str">
        <f aca="false">IF(H34="","",SUMIFS(Kayıtlar!$H$5:$H$304,Kayıtlar!$A$5:$A$304,"Alacak",Kayıtlar!$B$5:$B$304,H34,Kayıtlar!$E$5:$E$304,"&lt;"&amp;$C$3))</f>
        <v/>
      </c>
      <c r="K34" s="30" t="str">
        <f aca="false">IF(H34="","",SUMIFS(Kayıtlar!$H$5:$H$304,Kayıtlar!$A$5:$A$304,"Borç",Kayıtlar!$B$5:$B$304,H34))</f>
        <v/>
      </c>
      <c r="L34" s="30" t="str">
        <f aca="false">IF(H34="","",I34-K34)</f>
        <v/>
      </c>
    </row>
    <row r="35" customFormat="false" ht="15" hidden="false" customHeight="false" outlineLevel="0" collapsed="false">
      <c r="H35" s="27" t="str">
        <f aca="false">IF(Kişiler!A26="","",Kişiler!A26)</f>
        <v/>
      </c>
      <c r="I35" s="28" t="str">
        <f aca="false">IF(H35="","",SUMIFS(Kayıtlar!$H$5:$H$304,Kayıtlar!$A$5:$A$304,"Alacak",Kayıtlar!$B$5:$B$304,H35))</f>
        <v/>
      </c>
      <c r="J35" s="28" t="str">
        <f aca="false">IF(H35="","",SUMIFS(Kayıtlar!$H$5:$H$304,Kayıtlar!$A$5:$A$304,"Alacak",Kayıtlar!$B$5:$B$304,H35,Kayıtlar!$E$5:$E$304,"&lt;"&amp;$C$3))</f>
        <v/>
      </c>
      <c r="K35" s="28" t="str">
        <f aca="false">IF(H35="","",SUMIFS(Kayıtlar!$H$5:$H$304,Kayıtlar!$A$5:$A$304,"Borç",Kayıtlar!$B$5:$B$304,H35))</f>
        <v/>
      </c>
      <c r="L35" s="28" t="str">
        <f aca="false">IF(H35="","",I35-K35)</f>
        <v/>
      </c>
    </row>
    <row r="36" customFormat="false" ht="15" hidden="false" customHeight="false" outlineLevel="0" collapsed="false">
      <c r="H36" s="29" t="str">
        <f aca="false">IF(Kişiler!A27="","",Kişiler!A27)</f>
        <v/>
      </c>
      <c r="I36" s="30" t="str">
        <f aca="false">IF(H36="","",SUMIFS(Kayıtlar!$H$5:$H$304,Kayıtlar!$A$5:$A$304,"Alacak",Kayıtlar!$B$5:$B$304,H36))</f>
        <v/>
      </c>
      <c r="J36" s="30" t="str">
        <f aca="false">IF(H36="","",SUMIFS(Kayıtlar!$H$5:$H$304,Kayıtlar!$A$5:$A$304,"Alacak",Kayıtlar!$B$5:$B$304,H36,Kayıtlar!$E$5:$E$304,"&lt;"&amp;$C$3))</f>
        <v/>
      </c>
      <c r="K36" s="30" t="str">
        <f aca="false">IF(H36="","",SUMIFS(Kayıtlar!$H$5:$H$304,Kayıtlar!$A$5:$A$304,"Borç",Kayıtlar!$B$5:$B$304,H36))</f>
        <v/>
      </c>
      <c r="L36" s="30" t="str">
        <f aca="false">IF(H36="","",I36-K36)</f>
        <v/>
      </c>
    </row>
    <row r="37" customFormat="false" ht="15" hidden="false" customHeight="false" outlineLevel="0" collapsed="false">
      <c r="H37" s="27" t="str">
        <f aca="false">IF(Kişiler!A28="","",Kişiler!A28)</f>
        <v/>
      </c>
      <c r="I37" s="28" t="str">
        <f aca="false">IF(H37="","",SUMIFS(Kayıtlar!$H$5:$H$304,Kayıtlar!$A$5:$A$304,"Alacak",Kayıtlar!$B$5:$B$304,H37))</f>
        <v/>
      </c>
      <c r="J37" s="28" t="str">
        <f aca="false">IF(H37="","",SUMIFS(Kayıtlar!$H$5:$H$304,Kayıtlar!$A$5:$A$304,"Alacak",Kayıtlar!$B$5:$B$304,H37,Kayıtlar!$E$5:$E$304,"&lt;"&amp;$C$3))</f>
        <v/>
      </c>
      <c r="K37" s="28" t="str">
        <f aca="false">IF(H37="","",SUMIFS(Kayıtlar!$H$5:$H$304,Kayıtlar!$A$5:$A$304,"Borç",Kayıtlar!$B$5:$B$304,H37))</f>
        <v/>
      </c>
      <c r="L37" s="28" t="str">
        <f aca="false">IF(H37="","",I37-K37)</f>
        <v/>
      </c>
    </row>
    <row r="38" customFormat="false" ht="15" hidden="false" customHeight="false" outlineLevel="0" collapsed="false">
      <c r="H38" s="29" t="str">
        <f aca="false">IF(Kişiler!A29="","",Kişiler!A29)</f>
        <v/>
      </c>
      <c r="I38" s="30" t="str">
        <f aca="false">IF(H38="","",SUMIFS(Kayıtlar!$H$5:$H$304,Kayıtlar!$A$5:$A$304,"Alacak",Kayıtlar!$B$5:$B$304,H38))</f>
        <v/>
      </c>
      <c r="J38" s="30" t="str">
        <f aca="false">IF(H38="","",SUMIFS(Kayıtlar!$H$5:$H$304,Kayıtlar!$A$5:$A$304,"Alacak",Kayıtlar!$B$5:$B$304,H38,Kayıtlar!$E$5:$E$304,"&lt;"&amp;$C$3))</f>
        <v/>
      </c>
      <c r="K38" s="30" t="str">
        <f aca="false">IF(H38="","",SUMIFS(Kayıtlar!$H$5:$H$304,Kayıtlar!$A$5:$A$304,"Borç",Kayıtlar!$B$5:$B$304,H38))</f>
        <v/>
      </c>
      <c r="L38" s="30" t="str">
        <f aca="false">IF(H38="","",I38-K38)</f>
        <v/>
      </c>
    </row>
    <row r="39" customFormat="false" ht="15" hidden="false" customHeight="false" outlineLevel="0" collapsed="false">
      <c r="H39" s="27" t="str">
        <f aca="false">IF(Kişiler!A30="","",Kişiler!A30)</f>
        <v/>
      </c>
      <c r="I39" s="28" t="str">
        <f aca="false">IF(H39="","",SUMIFS(Kayıtlar!$H$5:$H$304,Kayıtlar!$A$5:$A$304,"Alacak",Kayıtlar!$B$5:$B$304,H39))</f>
        <v/>
      </c>
      <c r="J39" s="28" t="str">
        <f aca="false">IF(H39="","",SUMIFS(Kayıtlar!$H$5:$H$304,Kayıtlar!$A$5:$A$304,"Alacak",Kayıtlar!$B$5:$B$304,H39,Kayıtlar!$E$5:$E$304,"&lt;"&amp;$C$3))</f>
        <v/>
      </c>
      <c r="K39" s="28" t="str">
        <f aca="false">IF(H39="","",SUMIFS(Kayıtlar!$H$5:$H$304,Kayıtlar!$A$5:$A$304,"Borç",Kayıtlar!$B$5:$B$304,H39))</f>
        <v/>
      </c>
      <c r="L39" s="28" t="str">
        <f aca="false">IF(H39="","",I39-K39)</f>
        <v/>
      </c>
    </row>
    <row r="40" customFormat="false" ht="15" hidden="false" customHeight="false" outlineLevel="0" collapsed="false">
      <c r="H40" s="29" t="str">
        <f aca="false">IF(Kişiler!A31="","",Kişiler!A31)</f>
        <v/>
      </c>
      <c r="I40" s="30" t="str">
        <f aca="false">IF(H40="","",SUMIFS(Kayıtlar!$H$5:$H$304,Kayıtlar!$A$5:$A$304,"Alacak",Kayıtlar!$B$5:$B$304,H40))</f>
        <v/>
      </c>
      <c r="J40" s="30" t="str">
        <f aca="false">IF(H40="","",SUMIFS(Kayıtlar!$H$5:$H$304,Kayıtlar!$A$5:$A$304,"Alacak",Kayıtlar!$B$5:$B$304,H40,Kayıtlar!$E$5:$E$304,"&lt;"&amp;$C$3))</f>
        <v/>
      </c>
      <c r="K40" s="30" t="str">
        <f aca="false">IF(H40="","",SUMIFS(Kayıtlar!$H$5:$H$304,Kayıtlar!$A$5:$A$304,"Borç",Kayıtlar!$B$5:$B$304,H40))</f>
        <v/>
      </c>
      <c r="L40" s="30" t="str">
        <f aca="false">IF(H40="","",I40-K40)</f>
        <v/>
      </c>
    </row>
    <row r="41" customFormat="false" ht="15" hidden="false" customHeight="false" outlineLevel="0" collapsed="false">
      <c r="H41" s="27" t="str">
        <f aca="false">IF(Kişiler!A32="","",Kişiler!A32)</f>
        <v/>
      </c>
      <c r="I41" s="28" t="str">
        <f aca="false">IF(H41="","",SUMIFS(Kayıtlar!$H$5:$H$304,Kayıtlar!$A$5:$A$304,"Alacak",Kayıtlar!$B$5:$B$304,H41))</f>
        <v/>
      </c>
      <c r="J41" s="28" t="str">
        <f aca="false">IF(H41="","",SUMIFS(Kayıtlar!$H$5:$H$304,Kayıtlar!$A$5:$A$304,"Alacak",Kayıtlar!$B$5:$B$304,H41,Kayıtlar!$E$5:$E$304,"&lt;"&amp;$C$3))</f>
        <v/>
      </c>
      <c r="K41" s="28" t="str">
        <f aca="false">IF(H41="","",SUMIFS(Kayıtlar!$H$5:$H$304,Kayıtlar!$A$5:$A$304,"Borç",Kayıtlar!$B$5:$B$304,H41))</f>
        <v/>
      </c>
      <c r="L41" s="28" t="str">
        <f aca="false">IF(H41="","",I41-K41)</f>
        <v/>
      </c>
    </row>
    <row r="42" customFormat="false" ht="15" hidden="false" customHeight="false" outlineLevel="0" collapsed="false">
      <c r="H42" s="29" t="str">
        <f aca="false">IF(Kişiler!A33="","",Kişiler!A33)</f>
        <v/>
      </c>
      <c r="I42" s="30" t="str">
        <f aca="false">IF(H42="","",SUMIFS(Kayıtlar!$H$5:$H$304,Kayıtlar!$A$5:$A$304,"Alacak",Kayıtlar!$B$5:$B$304,H42))</f>
        <v/>
      </c>
      <c r="J42" s="30" t="str">
        <f aca="false">IF(H42="","",SUMIFS(Kayıtlar!$H$5:$H$304,Kayıtlar!$A$5:$A$304,"Alacak",Kayıtlar!$B$5:$B$304,H42,Kayıtlar!$E$5:$E$304,"&lt;"&amp;$C$3))</f>
        <v/>
      </c>
      <c r="K42" s="30" t="str">
        <f aca="false">IF(H42="","",SUMIFS(Kayıtlar!$H$5:$H$304,Kayıtlar!$A$5:$A$304,"Borç",Kayıtlar!$B$5:$B$304,H42))</f>
        <v/>
      </c>
      <c r="L42" s="30" t="str">
        <f aca="false">IF(H42="","",I42-K42)</f>
        <v/>
      </c>
    </row>
    <row r="43" customFormat="false" ht="15" hidden="false" customHeight="false" outlineLevel="0" collapsed="false">
      <c r="H43" s="27" t="str">
        <f aca="false">IF(Kişiler!A34="","",Kişiler!A34)</f>
        <v/>
      </c>
      <c r="I43" s="28" t="str">
        <f aca="false">IF(H43="","",SUMIFS(Kayıtlar!$H$5:$H$304,Kayıtlar!$A$5:$A$304,"Alacak",Kayıtlar!$B$5:$B$304,H43))</f>
        <v/>
      </c>
      <c r="J43" s="28" t="str">
        <f aca="false">IF(H43="","",SUMIFS(Kayıtlar!$H$5:$H$304,Kayıtlar!$A$5:$A$304,"Alacak",Kayıtlar!$B$5:$B$304,H43,Kayıtlar!$E$5:$E$304,"&lt;"&amp;$C$3))</f>
        <v/>
      </c>
      <c r="K43" s="28" t="str">
        <f aca="false">IF(H43="","",SUMIFS(Kayıtlar!$H$5:$H$304,Kayıtlar!$A$5:$A$304,"Borç",Kayıtlar!$B$5:$B$304,H43))</f>
        <v/>
      </c>
      <c r="L43" s="28" t="str">
        <f aca="false">IF(H43="","",I43-K43)</f>
        <v/>
      </c>
    </row>
    <row r="44" customFormat="false" ht="15" hidden="false" customHeight="false" outlineLevel="0" collapsed="false">
      <c r="H44" s="29" t="str">
        <f aca="false">IF(Kişiler!A35="","",Kişiler!A35)</f>
        <v/>
      </c>
      <c r="I44" s="30" t="str">
        <f aca="false">IF(H44="","",SUMIFS(Kayıtlar!$H$5:$H$304,Kayıtlar!$A$5:$A$304,"Alacak",Kayıtlar!$B$5:$B$304,H44))</f>
        <v/>
      </c>
      <c r="J44" s="30" t="str">
        <f aca="false">IF(H44="","",SUMIFS(Kayıtlar!$H$5:$H$304,Kayıtlar!$A$5:$A$304,"Alacak",Kayıtlar!$B$5:$B$304,H44,Kayıtlar!$E$5:$E$304,"&lt;"&amp;$C$3))</f>
        <v/>
      </c>
      <c r="K44" s="30" t="str">
        <f aca="false">IF(H44="","",SUMIFS(Kayıtlar!$H$5:$H$304,Kayıtlar!$A$5:$A$304,"Borç",Kayıtlar!$B$5:$B$304,H44))</f>
        <v/>
      </c>
      <c r="L44" s="30" t="str">
        <f aca="false">IF(H44="","",I44-K44)</f>
        <v/>
      </c>
    </row>
    <row r="45" customFormat="false" ht="15" hidden="false" customHeight="false" outlineLevel="0" collapsed="false">
      <c r="H45" s="27" t="str">
        <f aca="false">IF(Kişiler!A36="","",Kişiler!A36)</f>
        <v/>
      </c>
      <c r="I45" s="28" t="str">
        <f aca="false">IF(H45="","",SUMIFS(Kayıtlar!$H$5:$H$304,Kayıtlar!$A$5:$A$304,"Alacak",Kayıtlar!$B$5:$B$304,H45))</f>
        <v/>
      </c>
      <c r="J45" s="28" t="str">
        <f aca="false">IF(H45="","",SUMIFS(Kayıtlar!$H$5:$H$304,Kayıtlar!$A$5:$A$304,"Alacak",Kayıtlar!$B$5:$B$304,H45,Kayıtlar!$E$5:$E$304,"&lt;"&amp;$C$3))</f>
        <v/>
      </c>
      <c r="K45" s="28" t="str">
        <f aca="false">IF(H45="","",SUMIFS(Kayıtlar!$H$5:$H$304,Kayıtlar!$A$5:$A$304,"Borç",Kayıtlar!$B$5:$B$304,H45))</f>
        <v/>
      </c>
      <c r="L45" s="28" t="str">
        <f aca="false">IF(H45="","",I45-K45)</f>
        <v/>
      </c>
    </row>
    <row r="46" customFormat="false" ht="15" hidden="false" customHeight="false" outlineLevel="0" collapsed="false">
      <c r="H46" s="29" t="str">
        <f aca="false">IF(Kişiler!A37="","",Kişiler!A37)</f>
        <v/>
      </c>
      <c r="I46" s="30" t="str">
        <f aca="false">IF(H46="","",SUMIFS(Kayıtlar!$H$5:$H$304,Kayıtlar!$A$5:$A$304,"Alacak",Kayıtlar!$B$5:$B$304,H46))</f>
        <v/>
      </c>
      <c r="J46" s="30" t="str">
        <f aca="false">IF(H46="","",SUMIFS(Kayıtlar!$H$5:$H$304,Kayıtlar!$A$5:$A$304,"Alacak",Kayıtlar!$B$5:$B$304,H46,Kayıtlar!$E$5:$E$304,"&lt;"&amp;$C$3))</f>
        <v/>
      </c>
      <c r="K46" s="30" t="str">
        <f aca="false">IF(H46="","",SUMIFS(Kayıtlar!$H$5:$H$304,Kayıtlar!$A$5:$A$304,"Borç",Kayıtlar!$B$5:$B$304,H46))</f>
        <v/>
      </c>
      <c r="L46" s="30" t="str">
        <f aca="false">IF(H46="","",I46-K46)</f>
        <v/>
      </c>
    </row>
    <row r="47" customFormat="false" ht="15" hidden="false" customHeight="false" outlineLevel="0" collapsed="false">
      <c r="H47" s="27" t="str">
        <f aca="false">IF(Kişiler!A38="","",Kişiler!A38)</f>
        <v/>
      </c>
      <c r="I47" s="28" t="str">
        <f aca="false">IF(H47="","",SUMIFS(Kayıtlar!$H$5:$H$304,Kayıtlar!$A$5:$A$304,"Alacak",Kayıtlar!$B$5:$B$304,H47))</f>
        <v/>
      </c>
      <c r="J47" s="28" t="str">
        <f aca="false">IF(H47="","",SUMIFS(Kayıtlar!$H$5:$H$304,Kayıtlar!$A$5:$A$304,"Alacak",Kayıtlar!$B$5:$B$304,H47,Kayıtlar!$E$5:$E$304,"&lt;"&amp;$C$3))</f>
        <v/>
      </c>
      <c r="K47" s="28" t="str">
        <f aca="false">IF(H47="","",SUMIFS(Kayıtlar!$H$5:$H$304,Kayıtlar!$A$5:$A$304,"Borç",Kayıtlar!$B$5:$B$304,H47))</f>
        <v/>
      </c>
      <c r="L47" s="28" t="str">
        <f aca="false">IF(H47="","",I47-K47)</f>
        <v/>
      </c>
    </row>
    <row r="48" customFormat="false" ht="15" hidden="false" customHeight="false" outlineLevel="0" collapsed="false">
      <c r="H48" s="29" t="str">
        <f aca="false">IF(Kişiler!A39="","",Kişiler!A39)</f>
        <v/>
      </c>
      <c r="I48" s="30" t="str">
        <f aca="false">IF(H48="","",SUMIFS(Kayıtlar!$H$5:$H$304,Kayıtlar!$A$5:$A$304,"Alacak",Kayıtlar!$B$5:$B$304,H48))</f>
        <v/>
      </c>
      <c r="J48" s="30" t="str">
        <f aca="false">IF(H48="","",SUMIFS(Kayıtlar!$H$5:$H$304,Kayıtlar!$A$5:$A$304,"Alacak",Kayıtlar!$B$5:$B$304,H48,Kayıtlar!$E$5:$E$304,"&lt;"&amp;$C$3))</f>
        <v/>
      </c>
      <c r="K48" s="30" t="str">
        <f aca="false">IF(H48="","",SUMIFS(Kayıtlar!$H$5:$H$304,Kayıtlar!$A$5:$A$304,"Borç",Kayıtlar!$B$5:$B$304,H48))</f>
        <v/>
      </c>
      <c r="L48" s="30" t="str">
        <f aca="false">IF(H48="","",I48-K48)</f>
        <v/>
      </c>
    </row>
    <row r="49" customFormat="false" ht="15" hidden="false" customHeight="false" outlineLevel="0" collapsed="false">
      <c r="H49" s="27" t="str">
        <f aca="false">IF(Kişiler!A40="","",Kişiler!A40)</f>
        <v/>
      </c>
      <c r="I49" s="28" t="str">
        <f aca="false">IF(H49="","",SUMIFS(Kayıtlar!$H$5:$H$304,Kayıtlar!$A$5:$A$304,"Alacak",Kayıtlar!$B$5:$B$304,H49))</f>
        <v/>
      </c>
      <c r="J49" s="28" t="str">
        <f aca="false">IF(H49="","",SUMIFS(Kayıtlar!$H$5:$H$304,Kayıtlar!$A$5:$A$304,"Alacak",Kayıtlar!$B$5:$B$304,H49,Kayıtlar!$E$5:$E$304,"&lt;"&amp;$C$3))</f>
        <v/>
      </c>
      <c r="K49" s="28" t="str">
        <f aca="false">IF(H49="","",SUMIFS(Kayıtlar!$H$5:$H$304,Kayıtlar!$A$5:$A$304,"Borç",Kayıtlar!$B$5:$B$304,H49))</f>
        <v/>
      </c>
      <c r="L49" s="28" t="str">
        <f aca="false">IF(H49="","",I49-K49)</f>
        <v/>
      </c>
    </row>
    <row r="50" customFormat="false" ht="15" hidden="false" customHeight="false" outlineLevel="0" collapsed="false">
      <c r="H50" s="29" t="str">
        <f aca="false">IF(Kişiler!A41="","",Kişiler!A41)</f>
        <v/>
      </c>
      <c r="I50" s="30" t="str">
        <f aca="false">IF(H50="","",SUMIFS(Kayıtlar!$H$5:$H$304,Kayıtlar!$A$5:$A$304,"Alacak",Kayıtlar!$B$5:$B$304,H50))</f>
        <v/>
      </c>
      <c r="J50" s="30" t="str">
        <f aca="false">IF(H50="","",SUMIFS(Kayıtlar!$H$5:$H$304,Kayıtlar!$A$5:$A$304,"Alacak",Kayıtlar!$B$5:$B$304,H50,Kayıtlar!$E$5:$E$304,"&lt;"&amp;$C$3))</f>
        <v/>
      </c>
      <c r="K50" s="30" t="str">
        <f aca="false">IF(H50="","",SUMIFS(Kayıtlar!$H$5:$H$304,Kayıtlar!$A$5:$A$304,"Borç",Kayıtlar!$B$5:$B$304,H50))</f>
        <v/>
      </c>
      <c r="L50" s="30" t="str">
        <f aca="false">IF(H50="","",I50-K50)</f>
        <v/>
      </c>
    </row>
    <row r="51" customFormat="false" ht="15" hidden="false" customHeight="false" outlineLevel="0" collapsed="false">
      <c r="H51" s="27" t="str">
        <f aca="false">IF(Kişiler!A42="","",Kişiler!A42)</f>
        <v/>
      </c>
      <c r="I51" s="28" t="str">
        <f aca="false">IF(H51="","",SUMIFS(Kayıtlar!$H$5:$H$304,Kayıtlar!$A$5:$A$304,"Alacak",Kayıtlar!$B$5:$B$304,H51))</f>
        <v/>
      </c>
      <c r="J51" s="28" t="str">
        <f aca="false">IF(H51="","",SUMIFS(Kayıtlar!$H$5:$H$304,Kayıtlar!$A$5:$A$304,"Alacak",Kayıtlar!$B$5:$B$304,H51,Kayıtlar!$E$5:$E$304,"&lt;"&amp;$C$3))</f>
        <v/>
      </c>
      <c r="K51" s="28" t="str">
        <f aca="false">IF(H51="","",SUMIFS(Kayıtlar!$H$5:$H$304,Kayıtlar!$A$5:$A$304,"Borç",Kayıtlar!$B$5:$B$304,H51))</f>
        <v/>
      </c>
      <c r="L51" s="28" t="str">
        <f aca="false">IF(H51="","",I51-K51)</f>
        <v/>
      </c>
    </row>
    <row r="52" customFormat="false" ht="15" hidden="false" customHeight="false" outlineLevel="0" collapsed="false">
      <c r="H52" s="29" t="str">
        <f aca="false">IF(Kişiler!A43="","",Kişiler!A43)</f>
        <v/>
      </c>
      <c r="I52" s="30" t="str">
        <f aca="false">IF(H52="","",SUMIFS(Kayıtlar!$H$5:$H$304,Kayıtlar!$A$5:$A$304,"Alacak",Kayıtlar!$B$5:$B$304,H52))</f>
        <v/>
      </c>
      <c r="J52" s="30" t="str">
        <f aca="false">IF(H52="","",SUMIFS(Kayıtlar!$H$5:$H$304,Kayıtlar!$A$5:$A$304,"Alacak",Kayıtlar!$B$5:$B$304,H52,Kayıtlar!$E$5:$E$304,"&lt;"&amp;$C$3))</f>
        <v/>
      </c>
      <c r="K52" s="30" t="str">
        <f aca="false">IF(H52="","",SUMIFS(Kayıtlar!$H$5:$H$304,Kayıtlar!$A$5:$A$304,"Borç",Kayıtlar!$B$5:$B$304,H52))</f>
        <v/>
      </c>
      <c r="L52" s="30" t="str">
        <f aca="false">IF(H52="","",I52-K52)</f>
        <v/>
      </c>
    </row>
  </sheetData>
  <conditionalFormatting sqref="J13:J52">
    <cfRule type="cellIs" priority="2" operator="greaterThan" aboveAverage="0" equalAverage="0" bottom="0" percent="0" rank="0" text="" dxfId="4">
      <formula>0</formula>
    </cfRule>
  </conditionalFormatting>
  <conditionalFormatting sqref="L13:L52">
    <cfRule type="cellIs" priority="3" operator="lessThan" aboveAverage="0" equalAverage="0" bottom="0" percent="0" rank="0" text="" dxfId="4">
      <formula>0</formula>
    </cfRule>
  </conditionalFormatting>
  <conditionalFormatting sqref="F6">
    <cfRule type="cellIs" priority="4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8" t="s">
        <v>86</v>
      </c>
    </row>
    <row r="2" customFormat="false" ht="15" hidden="false" customHeight="false" outlineLevel="0" collapsed="false">
      <c r="A2" s="9" t="s">
        <v>87</v>
      </c>
    </row>
    <row r="3" customFormat="false" ht="15" hidden="false" customHeight="false" outlineLevel="0" collapsed="false">
      <c r="A3" s="33" t="s">
        <v>40</v>
      </c>
      <c r="B3" s="33" t="s">
        <v>88</v>
      </c>
      <c r="C3" s="33" t="s">
        <v>49</v>
      </c>
    </row>
    <row r="4" customFormat="false" ht="15" hidden="false" customHeight="false" outlineLevel="0" collapsed="false">
      <c r="A4" s="34" t="s">
        <v>51</v>
      </c>
      <c r="B4" s="35"/>
      <c r="C4" s="34" t="s">
        <v>89</v>
      </c>
    </row>
    <row r="5" customFormat="false" ht="15" hidden="false" customHeight="false" outlineLevel="0" collapsed="false">
      <c r="A5" s="34" t="s">
        <v>53</v>
      </c>
      <c r="B5" s="35"/>
      <c r="C5" s="34" t="s">
        <v>89</v>
      </c>
    </row>
    <row r="6" customFormat="false" ht="15" hidden="false" customHeight="false" outlineLevel="0" collapsed="false">
      <c r="A6" s="34" t="s">
        <v>55</v>
      </c>
      <c r="B6" s="35"/>
      <c r="C6" s="34" t="s">
        <v>89</v>
      </c>
    </row>
    <row r="7" customFormat="false" ht="15" hidden="false" customHeight="false" outlineLevel="0" collapsed="false">
      <c r="A7" s="34" t="s">
        <v>60</v>
      </c>
      <c r="B7" s="35"/>
      <c r="C7" s="34" t="s">
        <v>89</v>
      </c>
    </row>
    <row r="8" customFormat="false" ht="15" hidden="false" customHeight="false" outlineLevel="0" collapsed="false">
      <c r="A8" s="34" t="s">
        <v>63</v>
      </c>
      <c r="B8" s="35"/>
      <c r="C8" s="34" t="s">
        <v>89</v>
      </c>
    </row>
    <row r="9" customFormat="false" ht="15" hidden="false" customHeight="false" outlineLevel="0" collapsed="false">
      <c r="A9" s="34"/>
      <c r="B9" s="35"/>
      <c r="C9" s="34"/>
    </row>
    <row r="10" customFormat="false" ht="15" hidden="false" customHeight="false" outlineLevel="0" collapsed="false">
      <c r="A10" s="34"/>
      <c r="B10" s="35"/>
      <c r="C10" s="34"/>
    </row>
    <row r="11" customFormat="false" ht="15" hidden="false" customHeight="false" outlineLevel="0" collapsed="false">
      <c r="A11" s="34"/>
      <c r="B11" s="35"/>
      <c r="C11" s="34"/>
    </row>
    <row r="12" customFormat="false" ht="15" hidden="false" customHeight="false" outlineLevel="0" collapsed="false">
      <c r="A12" s="34"/>
      <c r="B12" s="35"/>
      <c r="C12" s="34"/>
    </row>
    <row r="13" customFormat="false" ht="15" hidden="false" customHeight="false" outlineLevel="0" collapsed="false">
      <c r="A13" s="34"/>
      <c r="B13" s="35"/>
      <c r="C13" s="34"/>
    </row>
    <row r="14" customFormat="false" ht="15" hidden="false" customHeight="false" outlineLevel="0" collapsed="false">
      <c r="A14" s="34"/>
      <c r="B14" s="35"/>
      <c r="C14" s="34"/>
    </row>
    <row r="15" customFormat="false" ht="15" hidden="false" customHeight="false" outlineLevel="0" collapsed="false">
      <c r="A15" s="34"/>
      <c r="B15" s="35"/>
      <c r="C15" s="34"/>
    </row>
    <row r="16" customFormat="false" ht="15" hidden="false" customHeight="false" outlineLevel="0" collapsed="false">
      <c r="A16" s="34"/>
      <c r="B16" s="35"/>
      <c r="C16" s="34"/>
    </row>
    <row r="17" customFormat="false" ht="15" hidden="false" customHeight="false" outlineLevel="0" collapsed="false">
      <c r="A17" s="34"/>
      <c r="B17" s="35"/>
      <c r="C17" s="34"/>
    </row>
    <row r="18" customFormat="false" ht="15" hidden="false" customHeight="false" outlineLevel="0" collapsed="false">
      <c r="A18" s="34"/>
      <c r="B18" s="35"/>
      <c r="C18" s="34"/>
    </row>
    <row r="19" customFormat="false" ht="15" hidden="false" customHeight="false" outlineLevel="0" collapsed="false">
      <c r="A19" s="34"/>
      <c r="B19" s="35"/>
      <c r="C19" s="34"/>
    </row>
    <row r="20" customFormat="false" ht="15" hidden="false" customHeight="false" outlineLevel="0" collapsed="false">
      <c r="A20" s="34"/>
      <c r="B20" s="35"/>
      <c r="C20" s="34"/>
    </row>
    <row r="21" customFormat="false" ht="15" hidden="false" customHeight="false" outlineLevel="0" collapsed="false">
      <c r="A21" s="34"/>
      <c r="B21" s="35"/>
      <c r="C21" s="34"/>
    </row>
    <row r="22" customFormat="false" ht="15" hidden="false" customHeight="false" outlineLevel="0" collapsed="false">
      <c r="A22" s="34"/>
      <c r="B22" s="35"/>
      <c r="C22" s="34"/>
    </row>
    <row r="23" customFormat="false" ht="15" hidden="false" customHeight="false" outlineLevel="0" collapsed="false">
      <c r="A23" s="34"/>
      <c r="B23" s="35"/>
      <c r="C23" s="34"/>
    </row>
    <row r="24" customFormat="false" ht="15" hidden="false" customHeight="false" outlineLevel="0" collapsed="false">
      <c r="A24" s="34"/>
      <c r="B24" s="35"/>
      <c r="C24" s="34"/>
    </row>
    <row r="25" customFormat="false" ht="15" hidden="false" customHeight="false" outlineLevel="0" collapsed="false">
      <c r="A25" s="34"/>
      <c r="B25" s="35"/>
      <c r="C25" s="34"/>
    </row>
    <row r="26" customFormat="false" ht="15" hidden="false" customHeight="false" outlineLevel="0" collapsed="false">
      <c r="A26" s="34"/>
      <c r="B26" s="35"/>
      <c r="C26" s="34"/>
    </row>
    <row r="27" customFormat="false" ht="15" hidden="false" customHeight="false" outlineLevel="0" collapsed="false">
      <c r="A27" s="34"/>
      <c r="B27" s="35"/>
      <c r="C27" s="34"/>
    </row>
    <row r="28" customFormat="false" ht="15" hidden="false" customHeight="false" outlineLevel="0" collapsed="false">
      <c r="A28" s="34"/>
      <c r="B28" s="35"/>
      <c r="C28" s="34"/>
    </row>
    <row r="29" customFormat="false" ht="15" hidden="false" customHeight="false" outlineLevel="0" collapsed="false">
      <c r="A29" s="34"/>
      <c r="B29" s="35"/>
      <c r="C29" s="34"/>
    </row>
    <row r="30" customFormat="false" ht="15" hidden="false" customHeight="false" outlineLevel="0" collapsed="false">
      <c r="A30" s="34"/>
      <c r="B30" s="35"/>
      <c r="C30" s="34"/>
    </row>
    <row r="31" customFormat="false" ht="15" hidden="false" customHeight="false" outlineLevel="0" collapsed="false">
      <c r="A31" s="34"/>
      <c r="B31" s="35"/>
      <c r="C31" s="34"/>
    </row>
    <row r="32" customFormat="false" ht="15" hidden="false" customHeight="false" outlineLevel="0" collapsed="false">
      <c r="A32" s="34"/>
      <c r="B32" s="35"/>
      <c r="C32" s="34"/>
    </row>
    <row r="33" customFormat="false" ht="15" hidden="false" customHeight="false" outlineLevel="0" collapsed="false">
      <c r="A33" s="34"/>
      <c r="B33" s="35"/>
      <c r="C33" s="34"/>
    </row>
    <row r="34" customFormat="false" ht="15" hidden="false" customHeight="false" outlineLevel="0" collapsed="false">
      <c r="A34" s="34"/>
      <c r="B34" s="35"/>
      <c r="C34" s="34"/>
    </row>
    <row r="35" customFormat="false" ht="15" hidden="false" customHeight="false" outlineLevel="0" collapsed="false">
      <c r="A35" s="34"/>
      <c r="B35" s="35"/>
      <c r="C35" s="34"/>
    </row>
    <row r="36" customFormat="false" ht="15" hidden="false" customHeight="false" outlineLevel="0" collapsed="false">
      <c r="A36" s="34"/>
      <c r="B36" s="35"/>
      <c r="C36" s="34"/>
    </row>
    <row r="37" customFormat="false" ht="15" hidden="false" customHeight="false" outlineLevel="0" collapsed="false">
      <c r="A37" s="34"/>
      <c r="B37" s="35"/>
      <c r="C37" s="34"/>
    </row>
    <row r="38" customFormat="false" ht="15" hidden="false" customHeight="false" outlineLevel="0" collapsed="false">
      <c r="A38" s="34"/>
      <c r="B38" s="35"/>
      <c r="C38" s="34"/>
    </row>
    <row r="39" customFormat="false" ht="15" hidden="false" customHeight="false" outlineLevel="0" collapsed="false">
      <c r="A39" s="34"/>
      <c r="B39" s="35"/>
      <c r="C39" s="34"/>
    </row>
    <row r="40" customFormat="false" ht="15" hidden="false" customHeight="false" outlineLevel="0" collapsed="false">
      <c r="A40" s="34"/>
      <c r="B40" s="35"/>
      <c r="C40" s="34"/>
    </row>
    <row r="41" customFormat="false" ht="15" hidden="false" customHeight="false" outlineLevel="0" collapsed="false">
      <c r="A41" s="34"/>
      <c r="B41" s="35"/>
      <c r="C41" s="34"/>
    </row>
    <row r="42" customFormat="false" ht="15" hidden="false" customHeight="false" outlineLevel="0" collapsed="false">
      <c r="A42" s="34"/>
      <c r="B42" s="35"/>
      <c r="C42" s="34"/>
    </row>
    <row r="43" customFormat="false" ht="15" hidden="false" customHeight="false" outlineLevel="0" collapsed="false">
      <c r="A43" s="34"/>
      <c r="B43" s="35"/>
      <c r="C4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4"/>
  </cols>
  <sheetData>
    <row r="1" customFormat="false" ht="19.7" hidden="false" customHeight="false" outlineLevel="0" collapsed="false">
      <c r="B1" s="8" t="s">
        <v>90</v>
      </c>
    </row>
    <row r="2" customFormat="false" ht="30" hidden="false" customHeight="true" outlineLevel="0" collapsed="false">
      <c r="B2" s="36" t="s">
        <v>91</v>
      </c>
      <c r="C2" s="36"/>
    </row>
    <row r="3" customFormat="false" ht="43.5" hidden="false" customHeight="true" outlineLevel="0" collapsed="false">
      <c r="B3" s="37" t="s">
        <v>92</v>
      </c>
      <c r="C3" s="37"/>
    </row>
    <row r="5" customFormat="false" ht="15" hidden="false" customHeight="false" outlineLevel="0" collapsed="false">
      <c r="B5" s="33" t="s">
        <v>93</v>
      </c>
      <c r="C5" s="33" t="s">
        <v>94</v>
      </c>
    </row>
    <row r="6" customFormat="false" ht="31.5" hidden="false" customHeight="true" outlineLevel="0" collapsed="false">
      <c r="B6" s="38" t="s">
        <v>95</v>
      </c>
      <c r="C6" s="39" t="s">
        <v>96</v>
      </c>
    </row>
    <row r="7" customFormat="false" ht="31.5" hidden="false" customHeight="true" outlineLevel="0" collapsed="false">
      <c r="B7" s="40" t="s">
        <v>97</v>
      </c>
      <c r="C7" s="41" t="s">
        <v>98</v>
      </c>
    </row>
    <row r="8" customFormat="false" ht="31.5" hidden="false" customHeight="true" outlineLevel="0" collapsed="false">
      <c r="B8" s="38" t="s">
        <v>99</v>
      </c>
      <c r="C8" s="39" t="s">
        <v>100</v>
      </c>
    </row>
    <row r="9" customFormat="false" ht="31.5" hidden="false" customHeight="true" outlineLevel="0" collapsed="false">
      <c r="B9" s="40" t="s">
        <v>101</v>
      </c>
      <c r="C9" s="41" t="s">
        <v>102</v>
      </c>
    </row>
    <row r="10" customFormat="false" ht="31.5" hidden="false" customHeight="true" outlineLevel="0" collapsed="false">
      <c r="B10" s="38" t="s">
        <v>103</v>
      </c>
      <c r="C10" s="39" t="s">
        <v>104</v>
      </c>
    </row>
    <row r="11" customFormat="false" ht="31.5" hidden="false" customHeight="true" outlineLevel="0" collapsed="false">
      <c r="B11" s="40" t="s">
        <v>105</v>
      </c>
      <c r="C11" s="41" t="s">
        <v>106</v>
      </c>
    </row>
    <row r="12" customFormat="false" ht="31.5" hidden="false" customHeight="true" outlineLevel="0" collapsed="false">
      <c r="B12" s="38" t="s">
        <v>107</v>
      </c>
      <c r="C12" s="39" t="s">
        <v>108</v>
      </c>
    </row>
    <row r="13" customFormat="false" ht="31.5" hidden="false" customHeight="true" outlineLevel="0" collapsed="false">
      <c r="B13" s="40" t="s">
        <v>109</v>
      </c>
      <c r="C13" s="41" t="s">
        <v>110</v>
      </c>
    </row>
    <row r="14" customFormat="false" ht="31.5" hidden="false" customHeight="true" outlineLevel="0" collapsed="false">
      <c r="B14" s="38" t="s">
        <v>111</v>
      </c>
      <c r="C14" s="39" t="s">
        <v>112</v>
      </c>
    </row>
    <row r="15" customFormat="false" ht="31.5" hidden="false" customHeight="true" outlineLevel="0" collapsed="false">
      <c r="B15" s="40" t="s">
        <v>113</v>
      </c>
      <c r="C15" s="41" t="s">
        <v>114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2026-10-04T18:00:00Z</dcterms:created>
  <dc:creator>openpyxl</dc:creator>
  <dc:description/>
  <dc:language>en-US</dc:language>
  <cp:lastModifiedBy/>
  <dcterms:modified xsi:type="dcterms:W3CDTF">2026-10-04T18:00:02Z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