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Rezervasyonlar" sheetId="2" state="visible" r:id="rId4"/>
    <sheet name="Ürünler" sheetId="3" state="visible" r:id="rId5"/>
    <sheet name="Özet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<sst xmlns="http://schemas.openxmlformats.org/spreadsheetml/2006/main" count="100" uniqueCount="90">
  <si>
    <t xml:space="preserve">EXCEL KLİNİĞİ</t>
  </si>
  <si>
    <t xml:space="preserve">KİRALAMA  |  Kiralama ve rezervasyon takibi</t>
  </si>
  <si>
    <t xml:space="preserve">Hangi ürün hangi tarihte kimde, aynı güne iki rezervasyon var mı, hangi ürün ne kadar kazandırdı.</t>
  </si>
  <si>
    <t xml:space="preserve">NASIL KULLANILIR</t>
  </si>
  <si>
    <t xml:space="preserve">1. Ürünler</t>
  </si>
  <si>
    <t xml:space="preserve">Kiralık ürünleri, günlük ücreti ve depozitoyu yaz.</t>
  </si>
  <si>
    <t xml:space="preserve">2. Rezervasyonlar</t>
  </si>
  <si>
    <t xml:space="preserve">Her kiralamayı ürün, başlangıç ve bitiş tarihiyle gir; teslim edince ve geri alınca durumu güncelle.</t>
  </si>
  <si>
    <t xml:space="preserve">3. Özet</t>
  </si>
  <si>
    <t xml:space="preserve">Aylık kiralama ve ciro, şu an dışarıda olanlar, yarın teslim edilecekler.</t>
  </si>
  <si>
    <t xml:space="preserve">BİLMEN GEREKENLER</t>
  </si>
  <si>
    <t xml:space="preserve">Çakışma</t>
  </si>
  <si>
    <t xml:space="preserve">Aynı ürünün tarihleri kesişen ve iptal olmayan iki kaydı varsa ikisi de Çakışıyor yazar. Aynı üründen birden fazla adet varsa her adedi ayrı ürün olarak yaz.</t>
  </si>
  <si>
    <t xml:space="preserve">Depozito</t>
  </si>
  <si>
    <t xml:space="preserve">Depozito bilgi amaçlıdır; ciroya girmez.</t>
  </si>
  <si>
    <t xml:space="preserve">Kapasite</t>
  </si>
  <si>
    <t xml:space="preserve">Ürünler: 60 satır; Rezervasyonlar: 1500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</si>
  <si>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</si>
  <si>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</si>
  <si>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</si>
  <si>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</si>
  <si>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</si>
  <si>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Rezervasyonlar</t>
  </si>
  <si>
    <t xml:space="preserve">Her kiralama bir satır. Aynı ürün aynı günlere iki kez yazılırsa Çakışıyor uyarısı çıkar.</t>
  </si>
  <si>
    <t xml:space="preserve">Müşteri</t>
  </si>
  <si>
    <t xml:space="preserve">Telefon</t>
  </si>
  <si>
    <t xml:space="preserve">Ürün</t>
  </si>
  <si>
    <t xml:space="preserve">Başlangıç</t>
  </si>
  <si>
    <t xml:space="preserve">Bitiş (dahil)</t>
  </si>
  <si>
    <t xml:space="preserve">Durum</t>
  </si>
  <si>
    <t xml:space="preserve">İndirim (₺)</t>
  </si>
  <si>
    <t xml:space="preserve">Gün</t>
  </si>
  <si>
    <t xml:space="preserve">Tutar (₺)</t>
  </si>
  <si>
    <t xml:space="preserve">Müşteri Alfa</t>
  </si>
  <si>
    <t xml:space="preserve">Ses sistemi</t>
  </si>
  <si>
    <t xml:space="preserve">Teslim edildi</t>
  </si>
  <si>
    <t xml:space="preserve">Müşteri Beta</t>
  </si>
  <si>
    <t xml:space="preserve">Rezerve</t>
  </si>
  <si>
    <t xml:space="preserve">Müşteri Gama</t>
  </si>
  <si>
    <t xml:space="preserve">Projeksiyon</t>
  </si>
  <si>
    <t xml:space="preserve">Müşteri Delta</t>
  </si>
  <si>
    <t xml:space="preserve">Çadır 5x5</t>
  </si>
  <si>
    <t xml:space="preserve">İade alındı</t>
  </si>
  <si>
    <t xml:space="preserve">Müşteri Epsilon</t>
  </si>
  <si>
    <t xml:space="preserve">İptal</t>
  </si>
  <si>
    <t xml:space="preserve">Kiralık Ürünler</t>
  </si>
  <si>
    <t xml:space="preserve">Kiraya verdiğin her ürünü günlük ücreti ve depozitosuyla yaz.</t>
  </si>
  <si>
    <t xml:space="preserve">Günlük ücret (₺)</t>
  </si>
  <si>
    <t xml:space="preserve">Depozito (₺)</t>
  </si>
  <si>
    <t xml:space="preserve">Kiralanan gün (yıl)</t>
  </si>
  <si>
    <t xml:space="preserve">Ciro (yıl, ₺)</t>
  </si>
  <si>
    <t xml:space="preserve">Doluluk</t>
  </si>
  <si>
    <t xml:space="preserve">Şu an</t>
  </si>
  <si>
    <t xml:space="preserve">Özet</t>
  </si>
  <si>
    <t xml:space="preserve">Yılı değiştir. Kiralama, başladığı aya yazılır.</t>
  </si>
  <si>
    <t xml:space="preserve">Yıl</t>
  </si>
  <si>
    <t xml:space="preserve">Yıl cirosu</t>
  </si>
  <si>
    <t xml:space="preserve">Şu an dışarıda</t>
  </si>
  <si>
    <t xml:space="preserve">Yarın teslim edilecek</t>
  </si>
  <si>
    <t xml:space="preserve">Bugün dönecek</t>
  </si>
  <si>
    <t xml:space="preserve">Çakışan rezervasyon</t>
  </si>
  <si>
    <t xml:space="preserve">Aylık tablo</t>
  </si>
  <si>
    <t xml:space="preserve">Ay</t>
  </si>
  <si>
    <t xml:space="preserve">Kiralama</t>
  </si>
  <si>
    <t xml:space="preserve">Ciro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</si>
  <si>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</si>
  <si>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</si>
  <si>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</si>
  <si>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</si>
  <si>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</si>
  <si>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</si>
  <si>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</si>
  <si>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</si>
  <si>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</si>
  <si>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</si>
  <si>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</si>
  <si>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</si>
  <si>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</si>
  <si>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</si>
  <si>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</si>
  <si>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Müşteri adlarını ve telefonlarını paylaşma. Yapay zekanın verdiği rakamları dosyadaki özet sayfasıyla karşılaştır.</t>
  </si>
  <si>
    <t xml:space="preserve">Ne için</t>
  </si>
  <si>
    <t xml:space="preserve">Komut (kopyala, yapıştır)</t>
  </si>
  <si>
    <t xml:space="preserve">Teslim listesi</t>
  </si>
  <si>
    <t xml:space="preserve">[Rezervasyonlar sayfası] Yarın teslim edilecek ve geri alınacak ürünleri saat sırası için liste haline getir.</t>
  </si>
  <si>
    <t xml:space="preserve">[Ürünler sayfası] Doluluk oranı düşük ürünler için fiyat ya da paket önerisi ver.</t>
  </si>
  <si>
    <t xml:space="preserve">Sözleşme</t>
  </si>
  <si>
    <t xml:space="preserve">Kısa bir kiralama teslim tutanağı taslağı hazırla: ürün, tarih, depozito, hasar durumu.</t>
  </si>
  <si>
    <t xml:space="preserve">Hatırlatma</t>
  </si>
  <si>
    <t xml:space="preserve">Ürünü yarın getirmesi gereken müşteriye kibar bir hatırlatma yaz.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</si>
</sst>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&quot; ₺&quot;"/>
    <numFmt numFmtId="167" formatCode="#,##0;[RED]\-#,##0;\-"/>
    <numFmt numFmtId="168" formatCode="#,##0.00&quot; ₺&quot;;[RED]\-#,##0.00&quot; ₺&quot;;\-"/>
    <numFmt numFmtId="169" formatCode="0%"/>
    <numFmt numFmtId="170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2"/>
      <color rgb="FFB42318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EF0C7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  <dxf>
      <font>
        <name val="Arial"/>
        <charset val="1"/>
        <family val="0"/>
        <b val="1"/>
        <color rgb="FF93370D"/>
      </font>
      <fill>
        <patternFill>
          <bgColor rgb="FFFEF0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B42318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EF0C7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93370D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1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10" min="4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1" t="s">
        <v>31</v>
      </c>
      <c r="I4" s="11" t="s">
        <v>32</v>
      </c>
      <c r="J4" s="11" t="s">
        <v>11</v>
      </c>
    </row>
    <row r="5" customFormat="false" ht="15" hidden="false" customHeight="false" outlineLevel="0" collapsed="false">
      <c r="A5" s="12" t="s">
        <v>33</v>
      </c>
      <c r="B5" s="12"/>
      <c r="C5" s="13" t="s">
        <v>34</v>
      </c>
      <c r="D5" s="14" t="n">
        <v>46298</v>
      </c>
      <c r="E5" s="14" t="n">
        <v>46300</v>
      </c>
      <c r="F5" s="13" t="s">
        <v>35</v>
      </c>
      <c r="G5" s="15" t="n">
        <v>0</v>
      </c>
      <c r="H5" s="16" t="n">
        <f aca="false">IF(OR(D5="",E5="",E5&lt;D5),"",E5-D5+1)</f>
        <v>3</v>
      </c>
      <c r="I5" s="17" t="n">
        <f aca="false">IF(OR(H5="",C5=""),"",IF(F5="İptal",0,H5*IFERROR(INDEX(Ürünler!$B$5:$B$64,MATCH(C5,Ürünler!$A$5:$A$64,0)),0)-G5))</f>
        <v>7500</v>
      </c>
      <c r="J5" s="18" t="str">
        <f aca="false">IF(OR(H5="",C5="",F5="İptal"),"",IF(COUNTIFS($C$5:$C$1504,C5,$D$5:$D$1504,"&lt;="&amp;E5,$E$5:$E$1504,"&gt;="&amp;D5,$F$5:$F$1504,"&lt;&gt;İptal")&gt;1,"Çakışıyor",""))</f>
        <v>Çakışıyor</v>
      </c>
    </row>
    <row r="6" customFormat="false" ht="15" hidden="false" customHeight="false" outlineLevel="0" collapsed="false">
      <c r="A6" s="12" t="s">
        <v>36</v>
      </c>
      <c r="B6" s="12"/>
      <c r="C6" s="13" t="s">
        <v>34</v>
      </c>
      <c r="D6" s="14" t="n">
        <v>46300</v>
      </c>
      <c r="E6" s="14" t="n">
        <v>46301</v>
      </c>
      <c r="F6" s="13" t="s">
        <v>37</v>
      </c>
      <c r="G6" s="15" t="n">
        <v>0</v>
      </c>
      <c r="H6" s="16" t="n">
        <f aca="false">IF(OR(D6="",E6="",E6&lt;D6),"",E6-D6+1)</f>
        <v>2</v>
      </c>
      <c r="I6" s="17" t="n">
        <f aca="false">IF(OR(H6="",C6=""),"",IF(F6="İptal",0,H6*IFERROR(INDEX(Ürünler!$B$5:$B$64,MATCH(C6,Ürünler!$A$5:$A$64,0)),0)-G6))</f>
        <v>5000</v>
      </c>
      <c r="J6" s="18" t="str">
        <f aca="false">IF(OR(H6="",C6="",F6="İptal"),"",IF(COUNTIFS($C$5:$C$1504,C6,$D$5:$D$1504,"&lt;="&amp;E6,$E$5:$E$1504,"&gt;="&amp;D6,$F$5:$F$1504,"&lt;&gt;İptal")&gt;1,"Çakışıyor",""))</f>
        <v>Çakışıyor</v>
      </c>
    </row>
    <row r="7" customFormat="false" ht="15" hidden="false" customHeight="false" outlineLevel="0" collapsed="false">
      <c r="A7" s="12" t="s">
        <v>38</v>
      </c>
      <c r="B7" s="12"/>
      <c r="C7" s="13" t="s">
        <v>39</v>
      </c>
      <c r="D7" s="14" t="n">
        <v>46300</v>
      </c>
      <c r="E7" s="14" t="n">
        <v>46300</v>
      </c>
      <c r="F7" s="13" t="s">
        <v>37</v>
      </c>
      <c r="G7" s="15" t="n">
        <v>200</v>
      </c>
      <c r="H7" s="16" t="n">
        <f aca="false">IF(OR(D7="",E7="",E7&lt;D7),"",E7-D7+1)</f>
        <v>1</v>
      </c>
      <c r="I7" s="17" t="n">
        <f aca="false">IF(OR(H7="",C7=""),"",IF(F7="İptal",0,H7*IFERROR(INDEX(Ürünler!$B$5:$B$64,MATCH(C7,Ürünler!$A$5:$A$64,0)),0)-G7))</f>
        <v>1000</v>
      </c>
      <c r="J7" s="18" t="str">
        <f aca="false">IF(OR(H7="",C7="",F7="İptal"),"",IF(COUNTIFS($C$5:$C$1504,C7,$D$5:$D$1504,"&lt;="&amp;E7,$E$5:$E$1504,"&gt;="&amp;D7,$F$5:$F$1504,"&lt;&gt;İptal")&gt;1,"Çakışıyor",""))</f>
        <v/>
      </c>
    </row>
    <row r="8" customFormat="false" ht="15" hidden="false" customHeight="false" outlineLevel="0" collapsed="false">
      <c r="A8" s="12" t="s">
        <v>40</v>
      </c>
      <c r="B8" s="12"/>
      <c r="C8" s="13" t="s">
        <v>41</v>
      </c>
      <c r="D8" s="14" t="n">
        <v>46244</v>
      </c>
      <c r="E8" s="14" t="n">
        <v>46246</v>
      </c>
      <c r="F8" s="13" t="s">
        <v>42</v>
      </c>
      <c r="G8" s="15" t="n">
        <v>0</v>
      </c>
      <c r="H8" s="16" t="n">
        <f aca="false">IF(OR(D8="",E8="",E8&lt;D8),"",E8-D8+1)</f>
        <v>3</v>
      </c>
      <c r="I8" s="17" t="n">
        <f aca="false">IF(OR(H8="",C8=""),"",IF(F8="İptal",0,H8*IFERROR(INDEX(Ürünler!$B$5:$B$64,MATCH(C8,Ürünler!$A$5:$A$64,0)),0)-G8))</f>
        <v>12000</v>
      </c>
      <c r="J8" s="18" t="str">
        <f aca="false">IF(OR(H8="",C8="",F8="İptal"),"",IF(COUNTIFS($C$5:$C$1504,C8,$D$5:$D$1504,"&lt;="&amp;E8,$E$5:$E$1504,"&gt;="&amp;D8,$F$5:$F$1504,"&lt;&gt;İptal")&gt;1,"Çakışıyor",""))</f>
        <v/>
      </c>
    </row>
    <row r="9" customFormat="false" ht="15" hidden="false" customHeight="false" outlineLevel="0" collapsed="false">
      <c r="A9" s="12" t="s">
        <v>43</v>
      </c>
      <c r="B9" s="12"/>
      <c r="C9" s="13" t="s">
        <v>41</v>
      </c>
      <c r="D9" s="14" t="n">
        <v>46245</v>
      </c>
      <c r="E9" s="14" t="n">
        <v>46245</v>
      </c>
      <c r="F9" s="13" t="s">
        <v>44</v>
      </c>
      <c r="G9" s="15" t="n">
        <v>0</v>
      </c>
      <c r="H9" s="16" t="n">
        <f aca="false">IF(OR(D9="",E9="",E9&lt;D9),"",E9-D9+1)</f>
        <v>1</v>
      </c>
      <c r="I9" s="17" t="n">
        <f aca="false">IF(OR(H9="",C9=""),"",IF(F9="İptal",0,H9*IFERROR(INDEX(Ürünler!$B$5:$B$64,MATCH(C9,Ürünler!$A$5:$A$64,0)),0)-G9))</f>
        <v>0</v>
      </c>
      <c r="J9" s="18" t="str">
        <f aca="false">IF(OR(H9="",C9="",F9="İptal"),"",IF(COUNTIFS($C$5:$C$1504,C9,$D$5:$D$1504,"&lt;="&amp;E9,$E$5:$E$1504,"&gt;="&amp;D9,$F$5:$F$1504,"&lt;&gt;İptal")&gt;1,"Çakışıyor",""))</f>
        <v/>
      </c>
    </row>
    <row r="10" customFormat="false" ht="15" hidden="false" customHeight="false" outlineLevel="0" collapsed="false">
      <c r="A10" s="12"/>
      <c r="B10" s="12"/>
      <c r="C10" s="13"/>
      <c r="D10" s="14"/>
      <c r="E10" s="14"/>
      <c r="F10" s="13"/>
      <c r="G10" s="15"/>
      <c r="H10" s="16" t="str">
        <f aca="false">IF(OR(D10="",E10="",E10&lt;D10),"",E10-D10+1)</f>
        <v/>
      </c>
      <c r="I10" s="17" t="str">
        <f aca="false">IF(OR(H10="",C10=""),"",IF(F10="İptal",0,H10*IFERROR(INDEX(Ürünler!$B$5:$B$64,MATCH(C10,Ürünler!$A$5:$A$64,0)),0)-G10))</f>
        <v/>
      </c>
      <c r="J10" s="18" t="str">
        <f aca="false">IF(OR(H10="",C10="",F10="İptal"),"",IF(COUNTIFS($C$5:$C$1504,C10,$D$5:$D$1504,"&lt;="&amp;E10,$E$5:$E$1504,"&gt;="&amp;D10,$F$5:$F$1504,"&lt;&gt;İptal")&gt;1,"Çakışıyor",""))</f>
        <v/>
      </c>
    </row>
    <row r="11" customFormat="false" ht="15" hidden="false" customHeight="false" outlineLevel="0" collapsed="false">
      <c r="A11" s="12"/>
      <c r="B11" s="12"/>
      <c r="C11" s="13"/>
      <c r="D11" s="14"/>
      <c r="E11" s="14"/>
      <c r="F11" s="13"/>
      <c r="G11" s="15"/>
      <c r="H11" s="16" t="str">
        <f aca="false">IF(OR(D11="",E11="",E11&lt;D11),"",E11-D11+1)</f>
        <v/>
      </c>
      <c r="I11" s="17" t="str">
        <f aca="false">IF(OR(H11="",C11=""),"",IF(F11="İptal",0,H11*IFERROR(INDEX(Ürünler!$B$5:$B$64,MATCH(C11,Ürünler!$A$5:$A$64,0)),0)-G11))</f>
        <v/>
      </c>
      <c r="J11" s="18" t="str">
        <f aca="false">IF(OR(H11="",C11="",F11="İptal"),"",IF(COUNTIFS($C$5:$C$1504,C11,$D$5:$D$1504,"&lt;="&amp;E11,$E$5:$E$1504,"&gt;="&amp;D11,$F$5:$F$1504,"&lt;&gt;İptal")&gt;1,"Çakışıyor",""))</f>
        <v/>
      </c>
    </row>
    <row r="12" customFormat="false" ht="15" hidden="false" customHeight="false" outlineLevel="0" collapsed="false">
      <c r="A12" s="12"/>
      <c r="B12" s="12"/>
      <c r="C12" s="13"/>
      <c r="D12" s="14"/>
      <c r="E12" s="14"/>
      <c r="F12" s="13"/>
      <c r="G12" s="15"/>
      <c r="H12" s="16" t="str">
        <f aca="false">IF(OR(D12="",E12="",E12&lt;D12),"",E12-D12+1)</f>
        <v/>
      </c>
      <c r="I12" s="17" t="str">
        <f aca="false">IF(OR(H12="",C12=""),"",IF(F12="İptal",0,H12*IFERROR(INDEX(Ürünler!$B$5:$B$64,MATCH(C12,Ürünler!$A$5:$A$64,0)),0)-G12))</f>
        <v/>
      </c>
      <c r="J12" s="18" t="str">
        <f aca="false">IF(OR(H12="",C12="",F12="İptal"),"",IF(COUNTIFS($C$5:$C$1504,C12,$D$5:$D$1504,"&lt;="&amp;E12,$E$5:$E$1504,"&gt;="&amp;D12,$F$5:$F$1504,"&lt;&gt;İptal")&gt;1,"Çakışıyor",""))</f>
        <v/>
      </c>
    </row>
    <row r="13" customFormat="false" ht="15" hidden="false" customHeight="false" outlineLevel="0" collapsed="false">
      <c r="A13" s="12"/>
      <c r="B13" s="12"/>
      <c r="C13" s="13"/>
      <c r="D13" s="14"/>
      <c r="E13" s="14"/>
      <c r="F13" s="13"/>
      <c r="G13" s="15"/>
      <c r="H13" s="16" t="str">
        <f aca="false">IF(OR(D13="",E13="",E13&lt;D13),"",E13-D13+1)</f>
        <v/>
      </c>
      <c r="I13" s="17" t="str">
        <f aca="false">IF(OR(H13="",C13=""),"",IF(F13="İptal",0,H13*IFERROR(INDEX(Ürünler!$B$5:$B$64,MATCH(C13,Ürünler!$A$5:$A$64,0)),0)-G13))</f>
        <v/>
      </c>
      <c r="J13" s="18" t="str">
        <f aca="false">IF(OR(H13="",C13="",F13="İptal"),"",IF(COUNTIFS($C$5:$C$1504,C13,$D$5:$D$1504,"&lt;="&amp;E13,$E$5:$E$1504,"&gt;="&amp;D13,$F$5:$F$1504,"&lt;&gt;İptal")&gt;1,"Çakışıyor",""))</f>
        <v/>
      </c>
    </row>
    <row r="14" customFormat="false" ht="15" hidden="false" customHeight="false" outlineLevel="0" collapsed="false">
      <c r="A14" s="12"/>
      <c r="B14" s="12"/>
      <c r="C14" s="13"/>
      <c r="D14" s="14"/>
      <c r="E14" s="14"/>
      <c r="F14" s="13"/>
      <c r="G14" s="15"/>
      <c r="H14" s="16" t="str">
        <f aca="false">IF(OR(D14="",E14="",E14&lt;D14),"",E14-D14+1)</f>
        <v/>
      </c>
      <c r="I14" s="17" t="str">
        <f aca="false">IF(OR(H14="",C14=""),"",IF(F14="İptal",0,H14*IFERROR(INDEX(Ürünler!$B$5:$B$64,MATCH(C14,Ürünler!$A$5:$A$64,0)),0)-G14))</f>
        <v/>
      </c>
      <c r="J14" s="18" t="str">
        <f aca="false">IF(OR(H14="",C14="",F14="İptal"),"",IF(COUNTIFS($C$5:$C$1504,C14,$D$5:$D$1504,"&lt;="&amp;E14,$E$5:$E$1504,"&gt;="&amp;D14,$F$5:$F$1504,"&lt;&gt;İptal")&gt;1,"Çakışıyor",""))</f>
        <v/>
      </c>
    </row>
    <row r="15" customFormat="false" ht="15" hidden="false" customHeight="false" outlineLevel="0" collapsed="false">
      <c r="A15" s="12"/>
      <c r="B15" s="12"/>
      <c r="C15" s="13"/>
      <c r="D15" s="14"/>
      <c r="E15" s="14"/>
      <c r="F15" s="13"/>
      <c r="G15" s="15"/>
      <c r="H15" s="16" t="str">
        <f aca="false">IF(OR(D15="",E15="",E15&lt;D15),"",E15-D15+1)</f>
        <v/>
      </c>
      <c r="I15" s="17" t="str">
        <f aca="false">IF(OR(H15="",C15=""),"",IF(F15="İptal",0,H15*IFERROR(INDEX(Ürünler!$B$5:$B$64,MATCH(C15,Ürünler!$A$5:$A$64,0)),0)-G15))</f>
        <v/>
      </c>
      <c r="J15" s="18" t="str">
        <f aca="false">IF(OR(H15="",C15="",F15="İptal"),"",IF(COUNTIFS($C$5:$C$1504,C15,$D$5:$D$1504,"&lt;="&amp;E15,$E$5:$E$1504,"&gt;="&amp;D15,$F$5:$F$1504,"&lt;&gt;İptal")&gt;1,"Çakışıyor",""))</f>
        <v/>
      </c>
    </row>
    <row r="16" customFormat="false" ht="15" hidden="false" customHeight="false" outlineLevel="0" collapsed="false">
      <c r="A16" s="12"/>
      <c r="B16" s="12"/>
      <c r="C16" s="13"/>
      <c r="D16" s="14"/>
      <c r="E16" s="14"/>
      <c r="F16" s="13"/>
      <c r="G16" s="15"/>
      <c r="H16" s="16" t="str">
        <f aca="false">IF(OR(D16="",E16="",E16&lt;D16),"",E16-D16+1)</f>
        <v/>
      </c>
      <c r="I16" s="17" t="str">
        <f aca="false">IF(OR(H16="",C16=""),"",IF(F16="İptal",0,H16*IFERROR(INDEX(Ürünler!$B$5:$B$64,MATCH(C16,Ürünler!$A$5:$A$64,0)),0)-G16))</f>
        <v/>
      </c>
      <c r="J16" s="18" t="str">
        <f aca="false">IF(OR(H16="",C16="",F16="İptal"),"",IF(COUNTIFS($C$5:$C$1504,C16,$D$5:$D$1504,"&lt;="&amp;E16,$E$5:$E$1504,"&gt;="&amp;D16,$F$5:$F$1504,"&lt;&gt;İptal")&gt;1,"Çakışıyor",""))</f>
        <v/>
      </c>
    </row>
    <row r="17" customFormat="false" ht="15" hidden="false" customHeight="false" outlineLevel="0" collapsed="false">
      <c r="A17" s="12"/>
      <c r="B17" s="12"/>
      <c r="C17" s="13"/>
      <c r="D17" s="14"/>
      <c r="E17" s="14"/>
      <c r="F17" s="13"/>
      <c r="G17" s="15"/>
      <c r="H17" s="16" t="str">
        <f aca="false">IF(OR(D17="",E17="",E17&lt;D17),"",E17-D17+1)</f>
        <v/>
      </c>
      <c r="I17" s="17" t="str">
        <f aca="false">IF(OR(H17="",C17=""),"",IF(F17="İptal",0,H17*IFERROR(INDEX(Ürünler!$B$5:$B$64,MATCH(C17,Ürünler!$A$5:$A$64,0)),0)-G17))</f>
        <v/>
      </c>
      <c r="J17" s="18" t="str">
        <f aca="false">IF(OR(H17="",C17="",F17="İptal"),"",IF(COUNTIFS($C$5:$C$1504,C17,$D$5:$D$1504,"&lt;="&amp;E17,$E$5:$E$1504,"&gt;="&amp;D17,$F$5:$F$1504,"&lt;&gt;İptal")&gt;1,"Çakışıyor",""))</f>
        <v/>
      </c>
    </row>
    <row r="18" customFormat="false" ht="15" hidden="false" customHeight="false" outlineLevel="0" collapsed="false">
      <c r="A18" s="12"/>
      <c r="B18" s="12"/>
      <c r="C18" s="13"/>
      <c r="D18" s="14"/>
      <c r="E18" s="14"/>
      <c r="F18" s="13"/>
      <c r="G18" s="15"/>
      <c r="H18" s="16" t="str">
        <f aca="false">IF(OR(D18="",E18="",E18&lt;D18),"",E18-D18+1)</f>
        <v/>
      </c>
      <c r="I18" s="17" t="str">
        <f aca="false">IF(OR(H18="",C18=""),"",IF(F18="İptal",0,H18*IFERROR(INDEX(Ürünler!$B$5:$B$64,MATCH(C18,Ürünler!$A$5:$A$64,0)),0)-G18))</f>
        <v/>
      </c>
      <c r="J18" s="18" t="str">
        <f aca="false">IF(OR(H18="",C18="",F18="İptal"),"",IF(COUNTIFS($C$5:$C$1504,C18,$D$5:$D$1504,"&lt;="&amp;E18,$E$5:$E$1504,"&gt;="&amp;D18,$F$5:$F$1504,"&lt;&gt;İptal")&gt;1,"Çakışıyor",""))</f>
        <v/>
      </c>
    </row>
    <row r="19" customFormat="false" ht="15" hidden="false" customHeight="false" outlineLevel="0" collapsed="false">
      <c r="A19" s="12"/>
      <c r="B19" s="12"/>
      <c r="C19" s="13"/>
      <c r="D19" s="14"/>
      <c r="E19" s="14"/>
      <c r="F19" s="13"/>
      <c r="G19" s="15"/>
      <c r="H19" s="16" t="str">
        <f aca="false">IF(OR(D19="",E19="",E19&lt;D19),"",E19-D19+1)</f>
        <v/>
      </c>
      <c r="I19" s="17" t="str">
        <f aca="false">IF(OR(H19="",C19=""),"",IF(F19="İptal",0,H19*IFERROR(INDEX(Ürünler!$B$5:$B$64,MATCH(C19,Ürünler!$A$5:$A$64,0)),0)-G19))</f>
        <v/>
      </c>
      <c r="J19" s="18" t="str">
        <f aca="false">IF(OR(H19="",C19="",F19="İptal"),"",IF(COUNTIFS($C$5:$C$1504,C19,$D$5:$D$1504,"&lt;="&amp;E19,$E$5:$E$1504,"&gt;="&amp;D19,$F$5:$F$1504,"&lt;&gt;İptal")&gt;1,"Çakışıyor",""))</f>
        <v/>
      </c>
    </row>
    <row r="20" customFormat="false" ht="15" hidden="false" customHeight="false" outlineLevel="0" collapsed="false">
      <c r="A20" s="12"/>
      <c r="B20" s="12"/>
      <c r="C20" s="13"/>
      <c r="D20" s="14"/>
      <c r="E20" s="14"/>
      <c r="F20" s="13"/>
      <c r="G20" s="15"/>
      <c r="H20" s="16" t="str">
        <f aca="false">IF(OR(D20="",E20="",E20&lt;D20),"",E20-D20+1)</f>
        <v/>
      </c>
      <c r="I20" s="17" t="str">
        <f aca="false">IF(OR(H20="",C20=""),"",IF(F20="İptal",0,H20*IFERROR(INDEX(Ürünler!$B$5:$B$64,MATCH(C20,Ürünler!$A$5:$A$64,0)),0)-G20))</f>
        <v/>
      </c>
      <c r="J20" s="18" t="str">
        <f aca="false">IF(OR(H20="",C20="",F20="İptal"),"",IF(COUNTIFS($C$5:$C$1504,C20,$D$5:$D$1504,"&lt;="&amp;E20,$E$5:$E$1504,"&gt;="&amp;D20,$F$5:$F$1504,"&lt;&gt;İptal")&gt;1,"Çakışıyor",""))</f>
        <v/>
      </c>
    </row>
    <row r="21" customFormat="false" ht="15" hidden="false" customHeight="false" outlineLevel="0" collapsed="false">
      <c r="A21" s="12"/>
      <c r="B21" s="12"/>
      <c r="C21" s="13"/>
      <c r="D21" s="14"/>
      <c r="E21" s="14"/>
      <c r="F21" s="13"/>
      <c r="G21" s="15"/>
      <c r="H21" s="16" t="str">
        <f aca="false">IF(OR(D21="",E21="",E21&lt;D21),"",E21-D21+1)</f>
        <v/>
      </c>
      <c r="I21" s="17" t="str">
        <f aca="false">IF(OR(H21="",C21=""),"",IF(F21="İptal",0,H21*IFERROR(INDEX(Ürünler!$B$5:$B$64,MATCH(C21,Ürünler!$A$5:$A$64,0)),0)-G21))</f>
        <v/>
      </c>
      <c r="J21" s="18" t="str">
        <f aca="false">IF(OR(H21="",C21="",F21="İptal"),"",IF(COUNTIFS($C$5:$C$1504,C21,$D$5:$D$1504,"&lt;="&amp;E21,$E$5:$E$1504,"&gt;="&amp;D21,$F$5:$F$1504,"&lt;&gt;İptal")&gt;1,"Çakışıyor",""))</f>
        <v/>
      </c>
    </row>
    <row r="22" customFormat="false" ht="15" hidden="false" customHeight="false" outlineLevel="0" collapsed="false">
      <c r="A22" s="12"/>
      <c r="B22" s="12"/>
      <c r="C22" s="13"/>
      <c r="D22" s="14"/>
      <c r="E22" s="14"/>
      <c r="F22" s="13"/>
      <c r="G22" s="15"/>
      <c r="H22" s="16" t="str">
        <f aca="false">IF(OR(D22="",E22="",E22&lt;D22),"",E22-D22+1)</f>
        <v/>
      </c>
      <c r="I22" s="17" t="str">
        <f aca="false">IF(OR(H22="",C22=""),"",IF(F22="İptal",0,H22*IFERROR(INDEX(Ürünler!$B$5:$B$64,MATCH(C22,Ürünler!$A$5:$A$64,0)),0)-G22))</f>
        <v/>
      </c>
      <c r="J22" s="18" t="str">
        <f aca="false">IF(OR(H22="",C22="",F22="İptal"),"",IF(COUNTIFS($C$5:$C$1504,C22,$D$5:$D$1504,"&lt;="&amp;E22,$E$5:$E$1504,"&gt;="&amp;D22,$F$5:$F$1504,"&lt;&gt;İptal")&gt;1,"Çakışıyor",""))</f>
        <v/>
      </c>
    </row>
    <row r="23" customFormat="false" ht="15" hidden="false" customHeight="false" outlineLevel="0" collapsed="false">
      <c r="A23" s="12"/>
      <c r="B23" s="12"/>
      <c r="C23" s="13"/>
      <c r="D23" s="14"/>
      <c r="E23" s="14"/>
      <c r="F23" s="13"/>
      <c r="G23" s="15"/>
      <c r="H23" s="16" t="str">
        <f aca="false">IF(OR(D23="",E23="",E23&lt;D23),"",E23-D23+1)</f>
        <v/>
      </c>
      <c r="I23" s="17" t="str">
        <f aca="false">IF(OR(H23="",C23=""),"",IF(F23="İptal",0,H23*IFERROR(INDEX(Ürünler!$B$5:$B$64,MATCH(C23,Ürünler!$A$5:$A$64,0)),0)-G23))</f>
        <v/>
      </c>
      <c r="J23" s="18" t="str">
        <f aca="false">IF(OR(H23="",C23="",F23="İptal"),"",IF(COUNTIFS($C$5:$C$1504,C23,$D$5:$D$1504,"&lt;="&amp;E23,$E$5:$E$1504,"&gt;="&amp;D23,$F$5:$F$1504,"&lt;&gt;İptal")&gt;1,"Çakışıyor",""))</f>
        <v/>
      </c>
    </row>
    <row r="24" customFormat="false" ht="15" hidden="false" customHeight="false" outlineLevel="0" collapsed="false">
      <c r="A24" s="12"/>
      <c r="B24" s="12"/>
      <c r="C24" s="13"/>
      <c r="D24" s="14"/>
      <c r="E24" s="14"/>
      <c r="F24" s="13"/>
      <c r="G24" s="15"/>
      <c r="H24" s="16" t="str">
        <f aca="false">IF(OR(D24="",E24="",E24&lt;D24),"",E24-D24+1)</f>
        <v/>
      </c>
      <c r="I24" s="17" t="str">
        <f aca="false">IF(OR(H24="",C24=""),"",IF(F24="İptal",0,H24*IFERROR(INDEX(Ürünler!$B$5:$B$64,MATCH(C24,Ürünler!$A$5:$A$64,0)),0)-G24))</f>
        <v/>
      </c>
      <c r="J24" s="18" t="str">
        <f aca="false">IF(OR(H24="",C24="",F24="İptal"),"",IF(COUNTIFS($C$5:$C$1504,C24,$D$5:$D$1504,"&lt;="&amp;E24,$E$5:$E$1504,"&gt;="&amp;D24,$F$5:$F$1504,"&lt;&gt;İptal")&gt;1,"Çakışıyor",""))</f>
        <v/>
      </c>
    </row>
    <row r="25" customFormat="false" ht="15" hidden="false" customHeight="false" outlineLevel="0" collapsed="false">
      <c r="A25" s="12"/>
      <c r="B25" s="12"/>
      <c r="C25" s="13"/>
      <c r="D25" s="14"/>
      <c r="E25" s="14"/>
      <c r="F25" s="13"/>
      <c r="G25" s="15"/>
      <c r="H25" s="16" t="str">
        <f aca="false">IF(OR(D25="",E25="",E25&lt;D25),"",E25-D25+1)</f>
        <v/>
      </c>
      <c r="I25" s="17" t="str">
        <f aca="false">IF(OR(H25="",C25=""),"",IF(F25="İptal",0,H25*IFERROR(INDEX(Ürünler!$B$5:$B$64,MATCH(C25,Ürünler!$A$5:$A$64,0)),0)-G25))</f>
        <v/>
      </c>
      <c r="J25" s="18" t="str">
        <f aca="false">IF(OR(H25="",C25="",F25="İptal"),"",IF(COUNTIFS($C$5:$C$1504,C25,$D$5:$D$1504,"&lt;="&amp;E25,$E$5:$E$1504,"&gt;="&amp;D25,$F$5:$F$1504,"&lt;&gt;İptal")&gt;1,"Çakışıyor",""))</f>
        <v/>
      </c>
    </row>
    <row r="26" customFormat="false" ht="15" hidden="false" customHeight="false" outlineLevel="0" collapsed="false">
      <c r="A26" s="12"/>
      <c r="B26" s="12"/>
      <c r="C26" s="13"/>
      <c r="D26" s="14"/>
      <c r="E26" s="14"/>
      <c r="F26" s="13"/>
      <c r="G26" s="15"/>
      <c r="H26" s="16" t="str">
        <f aca="false">IF(OR(D26="",E26="",E26&lt;D26),"",E26-D26+1)</f>
        <v/>
      </c>
      <c r="I26" s="17" t="str">
        <f aca="false">IF(OR(H26="",C26=""),"",IF(F26="İptal",0,H26*IFERROR(INDEX(Ürünler!$B$5:$B$64,MATCH(C26,Ürünler!$A$5:$A$64,0)),0)-G26))</f>
        <v/>
      </c>
      <c r="J26" s="18" t="str">
        <f aca="false">IF(OR(H26="",C26="",F26="İptal"),"",IF(COUNTIFS($C$5:$C$1504,C26,$D$5:$D$1504,"&lt;="&amp;E26,$E$5:$E$1504,"&gt;="&amp;D26,$F$5:$F$1504,"&lt;&gt;İptal")&gt;1,"Çakışıyor",""))</f>
        <v/>
      </c>
    </row>
    <row r="27" customFormat="false" ht="15" hidden="false" customHeight="false" outlineLevel="0" collapsed="false">
      <c r="A27" s="12"/>
      <c r="B27" s="12"/>
      <c r="C27" s="13"/>
      <c r="D27" s="14"/>
      <c r="E27" s="14"/>
      <c r="F27" s="13"/>
      <c r="G27" s="15"/>
      <c r="H27" s="16" t="str">
        <f aca="false">IF(OR(D27="",E27="",E27&lt;D27),"",E27-D27+1)</f>
        <v/>
      </c>
      <c r="I27" s="17" t="str">
        <f aca="false">IF(OR(H27="",C27=""),"",IF(F27="İptal",0,H27*IFERROR(INDEX(Ürünler!$B$5:$B$64,MATCH(C27,Ürünler!$A$5:$A$64,0)),0)-G27))</f>
        <v/>
      </c>
      <c r="J27" s="18" t="str">
        <f aca="false">IF(OR(H27="",C27="",F27="İptal"),"",IF(COUNTIFS($C$5:$C$1504,C27,$D$5:$D$1504,"&lt;="&amp;E27,$E$5:$E$1504,"&gt;="&amp;D27,$F$5:$F$1504,"&lt;&gt;İptal")&gt;1,"Çakışıyor",""))</f>
        <v/>
      </c>
    </row>
    <row r="28" customFormat="false" ht="15" hidden="false" customHeight="false" outlineLevel="0" collapsed="false">
      <c r="A28" s="12"/>
      <c r="B28" s="12"/>
      <c r="C28" s="13"/>
      <c r="D28" s="14"/>
      <c r="E28" s="14"/>
      <c r="F28" s="13"/>
      <c r="G28" s="15"/>
      <c r="H28" s="16" t="str">
        <f aca="false">IF(OR(D28="",E28="",E28&lt;D28),"",E28-D28+1)</f>
        <v/>
      </c>
      <c r="I28" s="17" t="str">
        <f aca="false">IF(OR(H28="",C28=""),"",IF(F28="İptal",0,H28*IFERROR(INDEX(Ürünler!$B$5:$B$64,MATCH(C28,Ürünler!$A$5:$A$64,0)),0)-G28))</f>
        <v/>
      </c>
      <c r="J28" s="18" t="str">
        <f aca="false">IF(OR(H28="",C28="",F28="İptal"),"",IF(COUNTIFS($C$5:$C$1504,C28,$D$5:$D$1504,"&lt;="&amp;E28,$E$5:$E$1504,"&gt;="&amp;D28,$F$5:$F$1504,"&lt;&gt;İptal")&gt;1,"Çakışıyor",""))</f>
        <v/>
      </c>
    </row>
    <row r="29" customFormat="false" ht="15" hidden="false" customHeight="false" outlineLevel="0" collapsed="false">
      <c r="A29" s="12"/>
      <c r="B29" s="12"/>
      <c r="C29" s="13"/>
      <c r="D29" s="14"/>
      <c r="E29" s="14"/>
      <c r="F29" s="13"/>
      <c r="G29" s="15"/>
      <c r="H29" s="16" t="str">
        <f aca="false">IF(OR(D29="",E29="",E29&lt;D29),"",E29-D29+1)</f>
        <v/>
      </c>
      <c r="I29" s="17" t="str">
        <f aca="false">IF(OR(H29="",C29=""),"",IF(F29="İptal",0,H29*IFERROR(INDEX(Ürünler!$B$5:$B$64,MATCH(C29,Ürünler!$A$5:$A$64,0)),0)-G29))</f>
        <v/>
      </c>
      <c r="J29" s="18" t="str">
        <f aca="false">IF(OR(H29="",C29="",F29="İptal"),"",IF(COUNTIFS($C$5:$C$1504,C29,$D$5:$D$1504,"&lt;="&amp;E29,$E$5:$E$1504,"&gt;="&amp;D29,$F$5:$F$1504,"&lt;&gt;İptal")&gt;1,"Çakışıyor",""))</f>
        <v/>
      </c>
    </row>
    <row r="30" customFormat="false" ht="15" hidden="false" customHeight="false" outlineLevel="0" collapsed="false">
      <c r="A30" s="12"/>
      <c r="B30" s="12"/>
      <c r="C30" s="13"/>
      <c r="D30" s="14"/>
      <c r="E30" s="14"/>
      <c r="F30" s="13"/>
      <c r="G30" s="15"/>
      <c r="H30" s="16" t="str">
        <f aca="false">IF(OR(D30="",E30="",E30&lt;D30),"",E30-D30+1)</f>
        <v/>
      </c>
      <c r="I30" s="17" t="str">
        <f aca="false">IF(OR(H30="",C30=""),"",IF(F30="İptal",0,H30*IFERROR(INDEX(Ürünler!$B$5:$B$64,MATCH(C30,Ürünler!$A$5:$A$64,0)),0)-G30))</f>
        <v/>
      </c>
      <c r="J30" s="18" t="str">
        <f aca="false">IF(OR(H30="",C30="",F30="İptal"),"",IF(COUNTIFS($C$5:$C$1504,C30,$D$5:$D$1504,"&lt;="&amp;E30,$E$5:$E$1504,"&gt;="&amp;D30,$F$5:$F$1504,"&lt;&gt;İptal")&gt;1,"Çakışıyor",""))</f>
        <v/>
      </c>
    </row>
    <row r="31" customFormat="false" ht="15" hidden="false" customHeight="false" outlineLevel="0" collapsed="false">
      <c r="A31" s="12"/>
      <c r="B31" s="12"/>
      <c r="C31" s="13"/>
      <c r="D31" s="14"/>
      <c r="E31" s="14"/>
      <c r="F31" s="13"/>
      <c r="G31" s="15"/>
      <c r="H31" s="16" t="str">
        <f aca="false">IF(OR(D31="",E31="",E31&lt;D31),"",E31-D31+1)</f>
        <v/>
      </c>
      <c r="I31" s="17" t="str">
        <f aca="false">IF(OR(H31="",C31=""),"",IF(F31="İptal",0,H31*IFERROR(INDEX(Ürünler!$B$5:$B$64,MATCH(C31,Ürünler!$A$5:$A$64,0)),0)-G31))</f>
        <v/>
      </c>
      <c r="J31" s="18" t="str">
        <f aca="false">IF(OR(H31="",C31="",F31="İptal"),"",IF(COUNTIFS($C$5:$C$1504,C31,$D$5:$D$1504,"&lt;="&amp;E31,$E$5:$E$1504,"&gt;="&amp;D31,$F$5:$F$1504,"&lt;&gt;İptal")&gt;1,"Çakışıyor",""))</f>
        <v/>
      </c>
    </row>
    <row r="32" customFormat="false" ht="15" hidden="false" customHeight="false" outlineLevel="0" collapsed="false">
      <c r="A32" s="12"/>
      <c r="B32" s="12"/>
      <c r="C32" s="13"/>
      <c r="D32" s="14"/>
      <c r="E32" s="14"/>
      <c r="F32" s="13"/>
      <c r="G32" s="15"/>
      <c r="H32" s="16" t="str">
        <f aca="false">IF(OR(D32="",E32="",E32&lt;D32),"",E32-D32+1)</f>
        <v/>
      </c>
      <c r="I32" s="17" t="str">
        <f aca="false">IF(OR(H32="",C32=""),"",IF(F32="İptal",0,H32*IFERROR(INDEX(Ürünler!$B$5:$B$64,MATCH(C32,Ürünler!$A$5:$A$64,0)),0)-G32))</f>
        <v/>
      </c>
      <c r="J32" s="18" t="str">
        <f aca="false">IF(OR(H32="",C32="",F32="İptal"),"",IF(COUNTIFS($C$5:$C$1504,C32,$D$5:$D$1504,"&lt;="&amp;E32,$E$5:$E$1504,"&gt;="&amp;D32,$F$5:$F$1504,"&lt;&gt;İptal")&gt;1,"Çakışıyor",""))</f>
        <v/>
      </c>
    </row>
    <row r="33" customFormat="false" ht="15" hidden="false" customHeight="false" outlineLevel="0" collapsed="false">
      <c r="A33" s="12"/>
      <c r="B33" s="12"/>
      <c r="C33" s="13"/>
      <c r="D33" s="14"/>
      <c r="E33" s="14"/>
      <c r="F33" s="13"/>
      <c r="G33" s="15"/>
      <c r="H33" s="16" t="str">
        <f aca="false">IF(OR(D33="",E33="",E33&lt;D33),"",E33-D33+1)</f>
        <v/>
      </c>
      <c r="I33" s="17" t="str">
        <f aca="false">IF(OR(H33="",C33=""),"",IF(F33="İptal",0,H33*IFERROR(INDEX(Ürünler!$B$5:$B$64,MATCH(C33,Ürünler!$A$5:$A$64,0)),0)-G33))</f>
        <v/>
      </c>
      <c r="J33" s="18" t="str">
        <f aca="false">IF(OR(H33="",C33="",F33="İptal"),"",IF(COUNTIFS($C$5:$C$1504,C33,$D$5:$D$1504,"&lt;="&amp;E33,$E$5:$E$1504,"&gt;="&amp;D33,$F$5:$F$1504,"&lt;&gt;İptal")&gt;1,"Çakışıyor",""))</f>
        <v/>
      </c>
    </row>
    <row r="34" customFormat="false" ht="15" hidden="false" customHeight="false" outlineLevel="0" collapsed="false">
      <c r="A34" s="12"/>
      <c r="B34" s="12"/>
      <c r="C34" s="13"/>
      <c r="D34" s="14"/>
      <c r="E34" s="14"/>
      <c r="F34" s="13"/>
      <c r="G34" s="15"/>
      <c r="H34" s="16" t="str">
        <f aca="false">IF(OR(D34="",E34="",E34&lt;D34),"",E34-D34+1)</f>
        <v/>
      </c>
      <c r="I34" s="17" t="str">
        <f aca="false">IF(OR(H34="",C34=""),"",IF(F34="İptal",0,H34*IFERROR(INDEX(Ürünler!$B$5:$B$64,MATCH(C34,Ürünler!$A$5:$A$64,0)),0)-G34))</f>
        <v/>
      </c>
      <c r="J34" s="18" t="str">
        <f aca="false">IF(OR(H34="",C34="",F34="İptal"),"",IF(COUNTIFS($C$5:$C$1504,C34,$D$5:$D$1504,"&lt;="&amp;E34,$E$5:$E$1504,"&gt;="&amp;D34,$F$5:$F$1504,"&lt;&gt;İptal")&gt;1,"Çakışıyor",""))</f>
        <v/>
      </c>
    </row>
    <row r="35" customFormat="false" ht="15" hidden="false" customHeight="false" outlineLevel="0" collapsed="false">
      <c r="A35" s="12"/>
      <c r="B35" s="12"/>
      <c r="C35" s="13"/>
      <c r="D35" s="14"/>
      <c r="E35" s="14"/>
      <c r="F35" s="13"/>
      <c r="G35" s="15"/>
      <c r="H35" s="16" t="str">
        <f aca="false">IF(OR(D35="",E35="",E35&lt;D35),"",E35-D35+1)</f>
        <v/>
      </c>
      <c r="I35" s="17" t="str">
        <f aca="false">IF(OR(H35="",C35=""),"",IF(F35="İptal",0,H35*IFERROR(INDEX(Ürünler!$B$5:$B$64,MATCH(C35,Ürünler!$A$5:$A$64,0)),0)-G35))</f>
        <v/>
      </c>
      <c r="J35" s="18" t="str">
        <f aca="false">IF(OR(H35="",C35="",F35="İptal"),"",IF(COUNTIFS($C$5:$C$1504,C35,$D$5:$D$1504,"&lt;="&amp;E35,$E$5:$E$1504,"&gt;="&amp;D35,$F$5:$F$1504,"&lt;&gt;İptal")&gt;1,"Çakışıyor",""))</f>
        <v/>
      </c>
    </row>
    <row r="36" customFormat="false" ht="15" hidden="false" customHeight="false" outlineLevel="0" collapsed="false">
      <c r="A36" s="12"/>
      <c r="B36" s="12"/>
      <c r="C36" s="13"/>
      <c r="D36" s="14"/>
      <c r="E36" s="14"/>
      <c r="F36" s="13"/>
      <c r="G36" s="15"/>
      <c r="H36" s="16" t="str">
        <f aca="false">IF(OR(D36="",E36="",E36&lt;D36),"",E36-D36+1)</f>
        <v/>
      </c>
      <c r="I36" s="17" t="str">
        <f aca="false">IF(OR(H36="",C36=""),"",IF(F36="İptal",0,H36*IFERROR(INDEX(Ürünler!$B$5:$B$64,MATCH(C36,Ürünler!$A$5:$A$64,0)),0)-G36))</f>
        <v/>
      </c>
      <c r="J36" s="18" t="str">
        <f aca="false">IF(OR(H36="",C36="",F36="İptal"),"",IF(COUNTIFS($C$5:$C$1504,C36,$D$5:$D$1504,"&lt;="&amp;E36,$E$5:$E$1504,"&gt;="&amp;D36,$F$5:$F$1504,"&lt;&gt;İptal")&gt;1,"Çakışıyor",""))</f>
        <v/>
      </c>
    </row>
    <row r="37" customFormat="false" ht="15" hidden="false" customHeight="false" outlineLevel="0" collapsed="false">
      <c r="A37" s="12"/>
      <c r="B37" s="12"/>
      <c r="C37" s="13"/>
      <c r="D37" s="14"/>
      <c r="E37" s="14"/>
      <c r="F37" s="13"/>
      <c r="G37" s="15"/>
      <c r="H37" s="16" t="str">
        <f aca="false">IF(OR(D37="",E37="",E37&lt;D37),"",E37-D37+1)</f>
        <v/>
      </c>
      <c r="I37" s="17" t="str">
        <f aca="false">IF(OR(H37="",C37=""),"",IF(F37="İptal",0,H37*IFERROR(INDEX(Ürünler!$B$5:$B$64,MATCH(C37,Ürünler!$A$5:$A$64,0)),0)-G37))</f>
        <v/>
      </c>
      <c r="J37" s="18" t="str">
        <f aca="false">IF(OR(H37="",C37="",F37="İptal"),"",IF(COUNTIFS($C$5:$C$1504,C37,$D$5:$D$1504,"&lt;="&amp;E37,$E$5:$E$1504,"&gt;="&amp;D37,$F$5:$F$1504,"&lt;&gt;İptal")&gt;1,"Çakışıyor",""))</f>
        <v/>
      </c>
    </row>
    <row r="38" customFormat="false" ht="15" hidden="false" customHeight="false" outlineLevel="0" collapsed="false">
      <c r="A38" s="12"/>
      <c r="B38" s="12"/>
      <c r="C38" s="13"/>
      <c r="D38" s="14"/>
      <c r="E38" s="14"/>
      <c r="F38" s="13"/>
      <c r="G38" s="15"/>
      <c r="H38" s="16" t="str">
        <f aca="false">IF(OR(D38="",E38="",E38&lt;D38),"",E38-D38+1)</f>
        <v/>
      </c>
      <c r="I38" s="17" t="str">
        <f aca="false">IF(OR(H38="",C38=""),"",IF(F38="İptal",0,H38*IFERROR(INDEX(Ürünler!$B$5:$B$64,MATCH(C38,Ürünler!$A$5:$A$64,0)),0)-G38))</f>
        <v/>
      </c>
      <c r="J38" s="18" t="str">
        <f aca="false">IF(OR(H38="",C38="",F38="İptal"),"",IF(COUNTIFS($C$5:$C$1504,C38,$D$5:$D$1504,"&lt;="&amp;E38,$E$5:$E$1504,"&gt;="&amp;D38,$F$5:$F$1504,"&lt;&gt;İptal")&gt;1,"Çakışıyor",""))</f>
        <v/>
      </c>
    </row>
    <row r="39" customFormat="false" ht="15" hidden="false" customHeight="false" outlineLevel="0" collapsed="false">
      <c r="A39" s="12"/>
      <c r="B39" s="12"/>
      <c r="C39" s="13"/>
      <c r="D39" s="14"/>
      <c r="E39" s="14"/>
      <c r="F39" s="13"/>
      <c r="G39" s="15"/>
      <c r="H39" s="16" t="str">
        <f aca="false">IF(OR(D39="",E39="",E39&lt;D39),"",E39-D39+1)</f>
        <v/>
      </c>
      <c r="I39" s="17" t="str">
        <f aca="false">IF(OR(H39="",C39=""),"",IF(F39="İptal",0,H39*IFERROR(INDEX(Ürünler!$B$5:$B$64,MATCH(C39,Ürünler!$A$5:$A$64,0)),0)-G39))</f>
        <v/>
      </c>
      <c r="J39" s="18" t="str">
        <f aca="false">IF(OR(H39="",C39="",F39="İptal"),"",IF(COUNTIFS($C$5:$C$1504,C39,$D$5:$D$1504,"&lt;="&amp;E39,$E$5:$E$1504,"&gt;="&amp;D39,$F$5:$F$1504,"&lt;&gt;İptal")&gt;1,"Çakışıyor",""))</f>
        <v/>
      </c>
    </row>
    <row r="40" customFormat="false" ht="15" hidden="false" customHeight="false" outlineLevel="0" collapsed="false">
      <c r="A40" s="12"/>
      <c r="B40" s="12"/>
      <c r="C40" s="13"/>
      <c r="D40" s="14"/>
      <c r="E40" s="14"/>
      <c r="F40" s="13"/>
      <c r="G40" s="15"/>
      <c r="H40" s="16" t="str">
        <f aca="false">IF(OR(D40="",E40="",E40&lt;D40),"",E40-D40+1)</f>
        <v/>
      </c>
      <c r="I40" s="17" t="str">
        <f aca="false">IF(OR(H40="",C40=""),"",IF(F40="İptal",0,H40*IFERROR(INDEX(Ürünler!$B$5:$B$64,MATCH(C40,Ürünler!$A$5:$A$64,0)),0)-G40))</f>
        <v/>
      </c>
      <c r="J40" s="18" t="str">
        <f aca="false">IF(OR(H40="",C40="",F40="İptal"),"",IF(COUNTIFS($C$5:$C$1504,C40,$D$5:$D$1504,"&lt;="&amp;E40,$E$5:$E$1504,"&gt;="&amp;D40,$F$5:$F$1504,"&lt;&gt;İptal")&gt;1,"Çakışıyor",""))</f>
        <v/>
      </c>
    </row>
    <row r="41" customFormat="false" ht="15" hidden="false" customHeight="false" outlineLevel="0" collapsed="false">
      <c r="A41" s="12"/>
      <c r="B41" s="12"/>
      <c r="C41" s="13"/>
      <c r="D41" s="14"/>
      <c r="E41" s="14"/>
      <c r="F41" s="13"/>
      <c r="G41" s="15"/>
      <c r="H41" s="16" t="str">
        <f aca="false">IF(OR(D41="",E41="",E41&lt;D41),"",E41-D41+1)</f>
        <v/>
      </c>
      <c r="I41" s="17" t="str">
        <f aca="false">IF(OR(H41="",C41=""),"",IF(F41="İptal",0,H41*IFERROR(INDEX(Ürünler!$B$5:$B$64,MATCH(C41,Ürünler!$A$5:$A$64,0)),0)-G41))</f>
        <v/>
      </c>
      <c r="J41" s="18" t="str">
        <f aca="false">IF(OR(H41="",C41="",F41="İptal"),"",IF(COUNTIFS($C$5:$C$1504,C41,$D$5:$D$1504,"&lt;="&amp;E41,$E$5:$E$1504,"&gt;="&amp;D41,$F$5:$F$1504,"&lt;&gt;İptal")&gt;1,"Çakışıyor",""))</f>
        <v/>
      </c>
    </row>
    <row r="42" customFormat="false" ht="15" hidden="false" customHeight="false" outlineLevel="0" collapsed="false">
      <c r="A42" s="12"/>
      <c r="B42" s="12"/>
      <c r="C42" s="13"/>
      <c r="D42" s="14"/>
      <c r="E42" s="14"/>
      <c r="F42" s="13"/>
      <c r="G42" s="15"/>
      <c r="H42" s="16" t="str">
        <f aca="false">IF(OR(D42="",E42="",E42&lt;D42),"",E42-D42+1)</f>
        <v/>
      </c>
      <c r="I42" s="17" t="str">
        <f aca="false">IF(OR(H42="",C42=""),"",IF(F42="İptal",0,H42*IFERROR(INDEX(Ürünler!$B$5:$B$64,MATCH(C42,Ürünler!$A$5:$A$64,0)),0)-G42))</f>
        <v/>
      </c>
      <c r="J42" s="18" t="str">
        <f aca="false">IF(OR(H42="",C42="",F42="İptal"),"",IF(COUNTIFS($C$5:$C$1504,C42,$D$5:$D$1504,"&lt;="&amp;E42,$E$5:$E$1504,"&gt;="&amp;D42,$F$5:$F$1504,"&lt;&gt;İptal")&gt;1,"Çakışıyor",""))</f>
        <v/>
      </c>
    </row>
    <row r="43" customFormat="false" ht="15" hidden="false" customHeight="false" outlineLevel="0" collapsed="false">
      <c r="A43" s="12"/>
      <c r="B43" s="12"/>
      <c r="C43" s="13"/>
      <c r="D43" s="14"/>
      <c r="E43" s="14"/>
      <c r="F43" s="13"/>
      <c r="G43" s="15"/>
      <c r="H43" s="16" t="str">
        <f aca="false">IF(OR(D43="",E43="",E43&lt;D43),"",E43-D43+1)</f>
        <v/>
      </c>
      <c r="I43" s="17" t="str">
        <f aca="false">IF(OR(H43="",C43=""),"",IF(F43="İptal",0,H43*IFERROR(INDEX(Ürünler!$B$5:$B$64,MATCH(C43,Ürünler!$A$5:$A$64,0)),0)-G43))</f>
        <v/>
      </c>
      <c r="J43" s="18" t="str">
        <f aca="false">IF(OR(H43="",C43="",F43="İptal"),"",IF(COUNTIFS($C$5:$C$1504,C43,$D$5:$D$1504,"&lt;="&amp;E43,$E$5:$E$1504,"&gt;="&amp;D43,$F$5:$F$1504,"&lt;&gt;İptal")&gt;1,"Çakışıyor",""))</f>
        <v/>
      </c>
    </row>
    <row r="44" customFormat="false" ht="15" hidden="false" customHeight="false" outlineLevel="0" collapsed="false">
      <c r="A44" s="12"/>
      <c r="B44" s="12"/>
      <c r="C44" s="13"/>
      <c r="D44" s="14"/>
      <c r="E44" s="14"/>
      <c r="F44" s="13"/>
      <c r="G44" s="15"/>
      <c r="H44" s="16" t="str">
        <f aca="false">IF(OR(D44="",E44="",E44&lt;D44),"",E44-D44+1)</f>
        <v/>
      </c>
      <c r="I44" s="17" t="str">
        <f aca="false">IF(OR(H44="",C44=""),"",IF(F44="İptal",0,H44*IFERROR(INDEX(Ürünler!$B$5:$B$64,MATCH(C44,Ürünler!$A$5:$A$64,0)),0)-G44))</f>
        <v/>
      </c>
      <c r="J44" s="18" t="str">
        <f aca="false">IF(OR(H44="",C44="",F44="İptal"),"",IF(COUNTIFS($C$5:$C$1504,C44,$D$5:$D$1504,"&lt;="&amp;E44,$E$5:$E$1504,"&gt;="&amp;D44,$F$5:$F$1504,"&lt;&gt;İptal")&gt;1,"Çakışıyor",""))</f>
        <v/>
      </c>
    </row>
    <row r="45" customFormat="false" ht="15" hidden="false" customHeight="false" outlineLevel="0" collapsed="false">
      <c r="A45" s="12"/>
      <c r="B45" s="12"/>
      <c r="C45" s="13"/>
      <c r="D45" s="14"/>
      <c r="E45" s="14"/>
      <c r="F45" s="13"/>
      <c r="G45" s="15"/>
      <c r="H45" s="16" t="str">
        <f aca="false">IF(OR(D45="",E45="",E45&lt;D45),"",E45-D45+1)</f>
        <v/>
      </c>
      <c r="I45" s="17" t="str">
        <f aca="false">IF(OR(H45="",C45=""),"",IF(F45="İptal",0,H45*IFERROR(INDEX(Ürünler!$B$5:$B$64,MATCH(C45,Ürünler!$A$5:$A$64,0)),0)-G45))</f>
        <v/>
      </c>
      <c r="J45" s="18" t="str">
        <f aca="false">IF(OR(H45="",C45="",F45="İptal"),"",IF(COUNTIFS($C$5:$C$1504,C45,$D$5:$D$1504,"&lt;="&amp;E45,$E$5:$E$1504,"&gt;="&amp;D45,$F$5:$F$1504,"&lt;&gt;İptal")&gt;1,"Çakışıyor",""))</f>
        <v/>
      </c>
    </row>
    <row r="46" customFormat="false" ht="15" hidden="false" customHeight="false" outlineLevel="0" collapsed="false">
      <c r="A46" s="12"/>
      <c r="B46" s="12"/>
      <c r="C46" s="13"/>
      <c r="D46" s="14"/>
      <c r="E46" s="14"/>
      <c r="F46" s="13"/>
      <c r="G46" s="15"/>
      <c r="H46" s="16" t="str">
        <f aca="false">IF(OR(D46="",E46="",E46&lt;D46),"",E46-D46+1)</f>
        <v/>
      </c>
      <c r="I46" s="17" t="str">
        <f aca="false">IF(OR(H46="",C46=""),"",IF(F46="İptal",0,H46*IFERROR(INDEX(Ürünler!$B$5:$B$64,MATCH(C46,Ürünler!$A$5:$A$64,0)),0)-G46))</f>
        <v/>
      </c>
      <c r="J46" s="18" t="str">
        <f aca="false">IF(OR(H46="",C46="",F46="İptal"),"",IF(COUNTIFS($C$5:$C$1504,C46,$D$5:$D$1504,"&lt;="&amp;E46,$E$5:$E$1504,"&gt;="&amp;D46,$F$5:$F$1504,"&lt;&gt;İptal")&gt;1,"Çakışıyor",""))</f>
        <v/>
      </c>
    </row>
    <row r="47" customFormat="false" ht="15" hidden="false" customHeight="false" outlineLevel="0" collapsed="false">
      <c r="A47" s="12"/>
      <c r="B47" s="12"/>
      <c r="C47" s="13"/>
      <c r="D47" s="14"/>
      <c r="E47" s="14"/>
      <c r="F47" s="13"/>
      <c r="G47" s="15"/>
      <c r="H47" s="16" t="str">
        <f aca="false">IF(OR(D47="",E47="",E47&lt;D47),"",E47-D47+1)</f>
        <v/>
      </c>
      <c r="I47" s="17" t="str">
        <f aca="false">IF(OR(H47="",C47=""),"",IF(F47="İptal",0,H47*IFERROR(INDEX(Ürünler!$B$5:$B$64,MATCH(C47,Ürünler!$A$5:$A$64,0)),0)-G47))</f>
        <v/>
      </c>
      <c r="J47" s="18" t="str">
        <f aca="false">IF(OR(H47="",C47="",F47="İptal"),"",IF(COUNTIFS($C$5:$C$1504,C47,$D$5:$D$1504,"&lt;="&amp;E47,$E$5:$E$1504,"&gt;="&amp;D47,$F$5:$F$1504,"&lt;&gt;İptal")&gt;1,"Çakışıyor",""))</f>
        <v/>
      </c>
    </row>
    <row r="48" customFormat="false" ht="15" hidden="false" customHeight="false" outlineLevel="0" collapsed="false">
      <c r="A48" s="12"/>
      <c r="B48" s="12"/>
      <c r="C48" s="13"/>
      <c r="D48" s="14"/>
      <c r="E48" s="14"/>
      <c r="F48" s="13"/>
      <c r="G48" s="15"/>
      <c r="H48" s="16" t="str">
        <f aca="false">IF(OR(D48="",E48="",E48&lt;D48),"",E48-D48+1)</f>
        <v/>
      </c>
      <c r="I48" s="17" t="str">
        <f aca="false">IF(OR(H48="",C48=""),"",IF(F48="İptal",0,H48*IFERROR(INDEX(Ürünler!$B$5:$B$64,MATCH(C48,Ürünler!$A$5:$A$64,0)),0)-G48))</f>
        <v/>
      </c>
      <c r="J48" s="18" t="str">
        <f aca="false">IF(OR(H48="",C48="",F48="İptal"),"",IF(COUNTIFS($C$5:$C$1504,C48,$D$5:$D$1504,"&lt;="&amp;E48,$E$5:$E$1504,"&gt;="&amp;D48,$F$5:$F$1504,"&lt;&gt;İptal")&gt;1,"Çakışıyor",""))</f>
        <v/>
      </c>
    </row>
    <row r="49" customFormat="false" ht="15" hidden="false" customHeight="false" outlineLevel="0" collapsed="false">
      <c r="A49" s="12"/>
      <c r="B49" s="12"/>
      <c r="C49" s="13"/>
      <c r="D49" s="14"/>
      <c r="E49" s="14"/>
      <c r="F49" s="13"/>
      <c r="G49" s="15"/>
      <c r="H49" s="16" t="str">
        <f aca="false">IF(OR(D49="",E49="",E49&lt;D49),"",E49-D49+1)</f>
        <v/>
      </c>
      <c r="I49" s="17" t="str">
        <f aca="false">IF(OR(H49="",C49=""),"",IF(F49="İptal",0,H49*IFERROR(INDEX(Ürünler!$B$5:$B$64,MATCH(C49,Ürünler!$A$5:$A$64,0)),0)-G49))</f>
        <v/>
      </c>
      <c r="J49" s="18" t="str">
        <f aca="false">IF(OR(H49="",C49="",F49="İptal"),"",IF(COUNTIFS($C$5:$C$1504,C49,$D$5:$D$1504,"&lt;="&amp;E49,$E$5:$E$1504,"&gt;="&amp;D49,$F$5:$F$1504,"&lt;&gt;İptal")&gt;1,"Çakışıyor",""))</f>
        <v/>
      </c>
    </row>
    <row r="50" customFormat="false" ht="15" hidden="false" customHeight="false" outlineLevel="0" collapsed="false">
      <c r="A50" s="12"/>
      <c r="B50" s="12"/>
      <c r="C50" s="13"/>
      <c r="D50" s="14"/>
      <c r="E50" s="14"/>
      <c r="F50" s="13"/>
      <c r="G50" s="15"/>
      <c r="H50" s="16" t="str">
        <f aca="false">IF(OR(D50="",E50="",E50&lt;D50),"",E50-D50+1)</f>
        <v/>
      </c>
      <c r="I50" s="17" t="str">
        <f aca="false">IF(OR(H50="",C50=""),"",IF(F50="İptal",0,H50*IFERROR(INDEX(Ürünler!$B$5:$B$64,MATCH(C50,Ürünler!$A$5:$A$64,0)),0)-G50))</f>
        <v/>
      </c>
      <c r="J50" s="18" t="str">
        <f aca="false">IF(OR(H50="",C50="",F50="İptal"),"",IF(COUNTIFS($C$5:$C$1504,C50,$D$5:$D$1504,"&lt;="&amp;E50,$E$5:$E$1504,"&gt;="&amp;D50,$F$5:$F$1504,"&lt;&gt;İptal")&gt;1,"Çakışıyor",""))</f>
        <v/>
      </c>
    </row>
    <row r="51" customFormat="false" ht="15" hidden="false" customHeight="false" outlineLevel="0" collapsed="false">
      <c r="A51" s="12"/>
      <c r="B51" s="12"/>
      <c r="C51" s="13"/>
      <c r="D51" s="14"/>
      <c r="E51" s="14"/>
      <c r="F51" s="13"/>
      <c r="G51" s="15"/>
      <c r="H51" s="16" t="str">
        <f aca="false">IF(OR(D51="",E51="",E51&lt;D51),"",E51-D51+1)</f>
        <v/>
      </c>
      <c r="I51" s="17" t="str">
        <f aca="false">IF(OR(H51="",C51=""),"",IF(F51="İptal",0,H51*IFERROR(INDEX(Ürünler!$B$5:$B$64,MATCH(C51,Ürünler!$A$5:$A$64,0)),0)-G51))</f>
        <v/>
      </c>
      <c r="J51" s="18" t="str">
        <f aca="false">IF(OR(H51="",C51="",F51="İptal"),"",IF(COUNTIFS($C$5:$C$1504,C51,$D$5:$D$1504,"&lt;="&amp;E51,$E$5:$E$1504,"&gt;="&amp;D51,$F$5:$F$1504,"&lt;&gt;İptal")&gt;1,"Çakışıyor",""))</f>
        <v/>
      </c>
    </row>
    <row r="52" customFormat="false" ht="15" hidden="false" customHeight="false" outlineLevel="0" collapsed="false">
      <c r="A52" s="12"/>
      <c r="B52" s="12"/>
      <c r="C52" s="13"/>
      <c r="D52" s="14"/>
      <c r="E52" s="14"/>
      <c r="F52" s="13"/>
      <c r="G52" s="15"/>
      <c r="H52" s="16" t="str">
        <f aca="false">IF(OR(D52="",E52="",E52&lt;D52),"",E52-D52+1)</f>
        <v/>
      </c>
      <c r="I52" s="17" t="str">
        <f aca="false">IF(OR(H52="",C52=""),"",IF(F52="İptal",0,H52*IFERROR(INDEX(Ürünler!$B$5:$B$64,MATCH(C52,Ürünler!$A$5:$A$64,0)),0)-G52))</f>
        <v/>
      </c>
      <c r="J52" s="18" t="str">
        <f aca="false">IF(OR(H52="",C52="",F52="İptal"),"",IF(COUNTIFS($C$5:$C$1504,C52,$D$5:$D$1504,"&lt;="&amp;E52,$E$5:$E$1504,"&gt;="&amp;D52,$F$5:$F$1504,"&lt;&gt;İptal")&gt;1,"Çakışıyor",""))</f>
        <v/>
      </c>
    </row>
    <row r="53" customFormat="false" ht="15" hidden="false" customHeight="false" outlineLevel="0" collapsed="false">
      <c r="A53" s="12"/>
      <c r="B53" s="12"/>
      <c r="C53" s="13"/>
      <c r="D53" s="14"/>
      <c r="E53" s="14"/>
      <c r="F53" s="13"/>
      <c r="G53" s="15"/>
      <c r="H53" s="16" t="str">
        <f aca="false">IF(OR(D53="",E53="",E53&lt;D53),"",E53-D53+1)</f>
        <v/>
      </c>
      <c r="I53" s="17" t="str">
        <f aca="false">IF(OR(H53="",C53=""),"",IF(F53="İptal",0,H53*IFERROR(INDEX(Ürünler!$B$5:$B$64,MATCH(C53,Ürünler!$A$5:$A$64,0)),0)-G53))</f>
        <v/>
      </c>
      <c r="J53" s="18" t="str">
        <f aca="false">IF(OR(H53="",C53="",F53="İptal"),"",IF(COUNTIFS($C$5:$C$1504,C53,$D$5:$D$1504,"&lt;="&amp;E53,$E$5:$E$1504,"&gt;="&amp;D53,$F$5:$F$1504,"&lt;&gt;İptal")&gt;1,"Çakışıyor",""))</f>
        <v/>
      </c>
    </row>
    <row r="54" customFormat="false" ht="15" hidden="false" customHeight="false" outlineLevel="0" collapsed="false">
      <c r="A54" s="12"/>
      <c r="B54" s="12"/>
      <c r="C54" s="13"/>
      <c r="D54" s="14"/>
      <c r="E54" s="14"/>
      <c r="F54" s="13"/>
      <c r="G54" s="15"/>
      <c r="H54" s="16" t="str">
        <f aca="false">IF(OR(D54="",E54="",E54&lt;D54),"",E54-D54+1)</f>
        <v/>
      </c>
      <c r="I54" s="17" t="str">
        <f aca="false">IF(OR(H54="",C54=""),"",IF(F54="İptal",0,H54*IFERROR(INDEX(Ürünler!$B$5:$B$64,MATCH(C54,Ürünler!$A$5:$A$64,0)),0)-G54))</f>
        <v/>
      </c>
      <c r="J54" s="18" t="str">
        <f aca="false">IF(OR(H54="",C54="",F54="İptal"),"",IF(COUNTIFS($C$5:$C$1504,C54,$D$5:$D$1504,"&lt;="&amp;E54,$E$5:$E$1504,"&gt;="&amp;D54,$F$5:$F$1504,"&lt;&gt;İptal")&gt;1,"Çakışıyor",""))</f>
        <v/>
      </c>
    </row>
    <row r="55" customFormat="false" ht="15" hidden="false" customHeight="false" outlineLevel="0" collapsed="false">
      <c r="A55" s="12"/>
      <c r="B55" s="12"/>
      <c r="C55" s="13"/>
      <c r="D55" s="14"/>
      <c r="E55" s="14"/>
      <c r="F55" s="13"/>
      <c r="G55" s="15"/>
      <c r="H55" s="16" t="str">
        <f aca="false">IF(OR(D55="",E55="",E55&lt;D55),"",E55-D55+1)</f>
        <v/>
      </c>
      <c r="I55" s="17" t="str">
        <f aca="false">IF(OR(H55="",C55=""),"",IF(F55="İptal",0,H55*IFERROR(INDEX(Ürünler!$B$5:$B$64,MATCH(C55,Ürünler!$A$5:$A$64,0)),0)-G55))</f>
        <v/>
      </c>
      <c r="J55" s="18" t="str">
        <f aca="false">IF(OR(H55="",C55="",F55="İptal"),"",IF(COUNTIFS($C$5:$C$1504,C55,$D$5:$D$1504,"&lt;="&amp;E55,$E$5:$E$1504,"&gt;="&amp;D55,$F$5:$F$1504,"&lt;&gt;İptal")&gt;1,"Çakışıyor",""))</f>
        <v/>
      </c>
    </row>
    <row r="56" customFormat="false" ht="15" hidden="false" customHeight="false" outlineLevel="0" collapsed="false">
      <c r="A56" s="12"/>
      <c r="B56" s="12"/>
      <c r="C56" s="13"/>
      <c r="D56" s="14"/>
      <c r="E56" s="14"/>
      <c r="F56" s="13"/>
      <c r="G56" s="15"/>
      <c r="H56" s="16" t="str">
        <f aca="false">IF(OR(D56="",E56="",E56&lt;D56),"",E56-D56+1)</f>
        <v/>
      </c>
      <c r="I56" s="17" t="str">
        <f aca="false">IF(OR(H56="",C56=""),"",IF(F56="İptal",0,H56*IFERROR(INDEX(Ürünler!$B$5:$B$64,MATCH(C56,Ürünler!$A$5:$A$64,0)),0)-G56))</f>
        <v/>
      </c>
      <c r="J56" s="18" t="str">
        <f aca="false">IF(OR(H56="",C56="",F56="İptal"),"",IF(COUNTIFS($C$5:$C$1504,C56,$D$5:$D$1504,"&lt;="&amp;E56,$E$5:$E$1504,"&gt;="&amp;D56,$F$5:$F$1504,"&lt;&gt;İptal")&gt;1,"Çakışıyor",""))</f>
        <v/>
      </c>
    </row>
    <row r="57" customFormat="false" ht="15" hidden="false" customHeight="false" outlineLevel="0" collapsed="false">
      <c r="A57" s="12"/>
      <c r="B57" s="12"/>
      <c r="C57" s="13"/>
      <c r="D57" s="14"/>
      <c r="E57" s="14"/>
      <c r="F57" s="13"/>
      <c r="G57" s="15"/>
      <c r="H57" s="16" t="str">
        <f aca="false">IF(OR(D57="",E57="",E57&lt;D57),"",E57-D57+1)</f>
        <v/>
      </c>
      <c r="I57" s="17" t="str">
        <f aca="false">IF(OR(H57="",C57=""),"",IF(F57="İptal",0,H57*IFERROR(INDEX(Ürünler!$B$5:$B$64,MATCH(C57,Ürünler!$A$5:$A$64,0)),0)-G57))</f>
        <v/>
      </c>
      <c r="J57" s="18" t="str">
        <f aca="false">IF(OR(H57="",C57="",F57="İptal"),"",IF(COUNTIFS($C$5:$C$1504,C57,$D$5:$D$1504,"&lt;="&amp;E57,$E$5:$E$1504,"&gt;="&amp;D57,$F$5:$F$1504,"&lt;&gt;İptal")&gt;1,"Çakışıyor",""))</f>
        <v/>
      </c>
    </row>
    <row r="58" customFormat="false" ht="15" hidden="false" customHeight="false" outlineLevel="0" collapsed="false">
      <c r="A58" s="12"/>
      <c r="B58" s="12"/>
      <c r="C58" s="13"/>
      <c r="D58" s="14"/>
      <c r="E58" s="14"/>
      <c r="F58" s="13"/>
      <c r="G58" s="15"/>
      <c r="H58" s="16" t="str">
        <f aca="false">IF(OR(D58="",E58="",E58&lt;D58),"",E58-D58+1)</f>
        <v/>
      </c>
      <c r="I58" s="17" t="str">
        <f aca="false">IF(OR(H58="",C58=""),"",IF(F58="İptal",0,H58*IFERROR(INDEX(Ürünler!$B$5:$B$64,MATCH(C58,Ürünler!$A$5:$A$64,0)),0)-G58))</f>
        <v/>
      </c>
      <c r="J58" s="18" t="str">
        <f aca="false">IF(OR(H58="",C58="",F58="İptal"),"",IF(COUNTIFS($C$5:$C$1504,C58,$D$5:$D$1504,"&lt;="&amp;E58,$E$5:$E$1504,"&gt;="&amp;D58,$F$5:$F$1504,"&lt;&gt;İptal")&gt;1,"Çakışıyor",""))</f>
        <v/>
      </c>
    </row>
    <row r="59" customFormat="false" ht="15" hidden="false" customHeight="false" outlineLevel="0" collapsed="false">
      <c r="A59" s="12"/>
      <c r="B59" s="12"/>
      <c r="C59" s="13"/>
      <c r="D59" s="14"/>
      <c r="E59" s="14"/>
      <c r="F59" s="13"/>
      <c r="G59" s="15"/>
      <c r="H59" s="16" t="str">
        <f aca="false">IF(OR(D59="",E59="",E59&lt;D59),"",E59-D59+1)</f>
        <v/>
      </c>
      <c r="I59" s="17" t="str">
        <f aca="false">IF(OR(H59="",C59=""),"",IF(F59="İptal",0,H59*IFERROR(INDEX(Ürünler!$B$5:$B$64,MATCH(C59,Ürünler!$A$5:$A$64,0)),0)-G59))</f>
        <v/>
      </c>
      <c r="J59" s="18" t="str">
        <f aca="false">IF(OR(H59="",C59="",F59="İptal"),"",IF(COUNTIFS($C$5:$C$1504,C59,$D$5:$D$1504,"&lt;="&amp;E59,$E$5:$E$1504,"&gt;="&amp;D59,$F$5:$F$1504,"&lt;&gt;İptal")&gt;1,"Çakışıyor",""))</f>
        <v/>
      </c>
    </row>
    <row r="60" customFormat="false" ht="15" hidden="false" customHeight="false" outlineLevel="0" collapsed="false">
      <c r="A60" s="12"/>
      <c r="B60" s="12"/>
      <c r="C60" s="13"/>
      <c r="D60" s="14"/>
      <c r="E60" s="14"/>
      <c r="F60" s="13"/>
      <c r="G60" s="15"/>
      <c r="H60" s="16" t="str">
        <f aca="false">IF(OR(D60="",E60="",E60&lt;D60),"",E60-D60+1)</f>
        <v/>
      </c>
      <c r="I60" s="17" t="str">
        <f aca="false">IF(OR(H60="",C60=""),"",IF(F60="İptal",0,H60*IFERROR(INDEX(Ürünler!$B$5:$B$64,MATCH(C60,Ürünler!$A$5:$A$64,0)),0)-G60))</f>
        <v/>
      </c>
      <c r="J60" s="18" t="str">
        <f aca="false">IF(OR(H60="",C60="",F60="İptal"),"",IF(COUNTIFS($C$5:$C$1504,C60,$D$5:$D$1504,"&lt;="&amp;E60,$E$5:$E$1504,"&gt;="&amp;D60,$F$5:$F$1504,"&lt;&gt;İptal")&gt;1,"Çakışıyor",""))</f>
        <v/>
      </c>
    </row>
    <row r="61" customFormat="false" ht="15" hidden="false" customHeight="false" outlineLevel="0" collapsed="false">
      <c r="A61" s="12"/>
      <c r="B61" s="12"/>
      <c r="C61" s="13"/>
      <c r="D61" s="14"/>
      <c r="E61" s="14"/>
      <c r="F61" s="13"/>
      <c r="G61" s="15"/>
      <c r="H61" s="16" t="str">
        <f aca="false">IF(OR(D61="",E61="",E61&lt;D61),"",E61-D61+1)</f>
        <v/>
      </c>
      <c r="I61" s="17" t="str">
        <f aca="false">IF(OR(H61="",C61=""),"",IF(F61="İptal",0,H61*IFERROR(INDEX(Ürünler!$B$5:$B$64,MATCH(C61,Ürünler!$A$5:$A$64,0)),0)-G61))</f>
        <v/>
      </c>
      <c r="J61" s="18" t="str">
        <f aca="false">IF(OR(H61="",C61="",F61="İptal"),"",IF(COUNTIFS($C$5:$C$1504,C61,$D$5:$D$1504,"&lt;="&amp;E61,$E$5:$E$1504,"&gt;="&amp;D61,$F$5:$F$1504,"&lt;&gt;İptal")&gt;1,"Çakışıyor",""))</f>
        <v/>
      </c>
    </row>
    <row r="62" customFormat="false" ht="15" hidden="false" customHeight="false" outlineLevel="0" collapsed="false">
      <c r="A62" s="12"/>
      <c r="B62" s="12"/>
      <c r="C62" s="13"/>
      <c r="D62" s="14"/>
      <c r="E62" s="14"/>
      <c r="F62" s="13"/>
      <c r="G62" s="15"/>
      <c r="H62" s="16" t="str">
        <f aca="false">IF(OR(D62="",E62="",E62&lt;D62),"",E62-D62+1)</f>
        <v/>
      </c>
      <c r="I62" s="17" t="str">
        <f aca="false">IF(OR(H62="",C62=""),"",IF(F62="İptal",0,H62*IFERROR(INDEX(Ürünler!$B$5:$B$64,MATCH(C62,Ürünler!$A$5:$A$64,0)),0)-G62))</f>
        <v/>
      </c>
      <c r="J62" s="18" t="str">
        <f aca="false">IF(OR(H62="",C62="",F62="İptal"),"",IF(COUNTIFS($C$5:$C$1504,C62,$D$5:$D$1504,"&lt;="&amp;E62,$E$5:$E$1504,"&gt;="&amp;D62,$F$5:$F$1504,"&lt;&gt;İptal")&gt;1,"Çakışıyor",""))</f>
        <v/>
      </c>
    </row>
    <row r="63" customFormat="false" ht="15" hidden="false" customHeight="false" outlineLevel="0" collapsed="false">
      <c r="A63" s="12"/>
      <c r="B63" s="12"/>
      <c r="C63" s="13"/>
      <c r="D63" s="14"/>
      <c r="E63" s="14"/>
      <c r="F63" s="13"/>
      <c r="G63" s="15"/>
      <c r="H63" s="16" t="str">
        <f aca="false">IF(OR(D63="",E63="",E63&lt;D63),"",E63-D63+1)</f>
        <v/>
      </c>
      <c r="I63" s="17" t="str">
        <f aca="false">IF(OR(H63="",C63=""),"",IF(F63="İptal",0,H63*IFERROR(INDEX(Ürünler!$B$5:$B$64,MATCH(C63,Ürünler!$A$5:$A$64,0)),0)-G63))</f>
        <v/>
      </c>
      <c r="J63" s="18" t="str">
        <f aca="false">IF(OR(H63="",C63="",F63="İptal"),"",IF(COUNTIFS($C$5:$C$1504,C63,$D$5:$D$1504,"&lt;="&amp;E63,$E$5:$E$1504,"&gt;="&amp;D63,$F$5:$F$1504,"&lt;&gt;İptal")&gt;1,"Çakışıyor",""))</f>
        <v/>
      </c>
    </row>
    <row r="64" customFormat="false" ht="15" hidden="false" customHeight="false" outlineLevel="0" collapsed="false">
      <c r="A64" s="12"/>
      <c r="B64" s="12"/>
      <c r="C64" s="13"/>
      <c r="D64" s="14"/>
      <c r="E64" s="14"/>
      <c r="F64" s="13"/>
      <c r="G64" s="15"/>
      <c r="H64" s="16" t="str">
        <f aca="false">IF(OR(D64="",E64="",E64&lt;D64),"",E64-D64+1)</f>
        <v/>
      </c>
      <c r="I64" s="17" t="str">
        <f aca="false">IF(OR(H64="",C64=""),"",IF(F64="İptal",0,H64*IFERROR(INDEX(Ürünler!$B$5:$B$64,MATCH(C64,Ürünler!$A$5:$A$64,0)),0)-G64))</f>
        <v/>
      </c>
      <c r="J64" s="18" t="str">
        <f aca="false">IF(OR(H64="",C64="",F64="İptal"),"",IF(COUNTIFS($C$5:$C$1504,C64,$D$5:$D$1504,"&lt;="&amp;E64,$E$5:$E$1504,"&gt;="&amp;D64,$F$5:$F$1504,"&lt;&gt;İptal")&gt;1,"Çakışıyor",""))</f>
        <v/>
      </c>
    </row>
    <row r="65" customFormat="false" ht="15" hidden="false" customHeight="false" outlineLevel="0" collapsed="false">
      <c r="A65" s="12"/>
      <c r="B65" s="12"/>
      <c r="C65" s="13"/>
      <c r="D65" s="14"/>
      <c r="E65" s="14"/>
      <c r="F65" s="13"/>
      <c r="G65" s="15"/>
      <c r="H65" s="16" t="str">
        <f aca="false">IF(OR(D65="",E65="",E65&lt;D65),"",E65-D65+1)</f>
        <v/>
      </c>
      <c r="I65" s="17" t="str">
        <f aca="false">IF(OR(H65="",C65=""),"",IF(F65="İptal",0,H65*IFERROR(INDEX(Ürünler!$B$5:$B$64,MATCH(C65,Ürünler!$A$5:$A$64,0)),0)-G65))</f>
        <v/>
      </c>
      <c r="J65" s="18" t="str">
        <f aca="false">IF(OR(H65="",C65="",F65="İptal"),"",IF(COUNTIFS($C$5:$C$1504,C65,$D$5:$D$1504,"&lt;="&amp;E65,$E$5:$E$1504,"&gt;="&amp;D65,$F$5:$F$1504,"&lt;&gt;İptal")&gt;1,"Çakışıyor",""))</f>
        <v/>
      </c>
    </row>
    <row r="66" customFormat="false" ht="15" hidden="false" customHeight="false" outlineLevel="0" collapsed="false">
      <c r="A66" s="12"/>
      <c r="B66" s="12"/>
      <c r="C66" s="13"/>
      <c r="D66" s="14"/>
      <c r="E66" s="14"/>
      <c r="F66" s="13"/>
      <c r="G66" s="15"/>
      <c r="H66" s="16" t="str">
        <f aca="false">IF(OR(D66="",E66="",E66&lt;D66),"",E66-D66+1)</f>
        <v/>
      </c>
      <c r="I66" s="17" t="str">
        <f aca="false">IF(OR(H66="",C66=""),"",IF(F66="İptal",0,H66*IFERROR(INDEX(Ürünler!$B$5:$B$64,MATCH(C66,Ürünler!$A$5:$A$64,0)),0)-G66))</f>
        <v/>
      </c>
      <c r="J66" s="18" t="str">
        <f aca="false">IF(OR(H66="",C66="",F66="İptal"),"",IF(COUNTIFS($C$5:$C$1504,C66,$D$5:$D$1504,"&lt;="&amp;E66,$E$5:$E$1504,"&gt;="&amp;D66,$F$5:$F$1504,"&lt;&gt;İptal")&gt;1,"Çakışıyor",""))</f>
        <v/>
      </c>
    </row>
    <row r="67" customFormat="false" ht="15" hidden="false" customHeight="false" outlineLevel="0" collapsed="false">
      <c r="A67" s="12"/>
      <c r="B67" s="12"/>
      <c r="C67" s="13"/>
      <c r="D67" s="14"/>
      <c r="E67" s="14"/>
      <c r="F67" s="13"/>
      <c r="G67" s="15"/>
      <c r="H67" s="16" t="str">
        <f aca="false">IF(OR(D67="",E67="",E67&lt;D67),"",E67-D67+1)</f>
        <v/>
      </c>
      <c r="I67" s="17" t="str">
        <f aca="false">IF(OR(H67="",C67=""),"",IF(F67="İptal",0,H67*IFERROR(INDEX(Ürünler!$B$5:$B$64,MATCH(C67,Ürünler!$A$5:$A$64,0)),0)-G67))</f>
        <v/>
      </c>
      <c r="J67" s="18" t="str">
        <f aca="false">IF(OR(H67="",C67="",F67="İptal"),"",IF(COUNTIFS($C$5:$C$1504,C67,$D$5:$D$1504,"&lt;="&amp;E67,$E$5:$E$1504,"&gt;="&amp;D67,$F$5:$F$1504,"&lt;&gt;İptal")&gt;1,"Çakışıyor",""))</f>
        <v/>
      </c>
    </row>
    <row r="68" customFormat="false" ht="15" hidden="false" customHeight="false" outlineLevel="0" collapsed="false">
      <c r="A68" s="12"/>
      <c r="B68" s="12"/>
      <c r="C68" s="13"/>
      <c r="D68" s="14"/>
      <c r="E68" s="14"/>
      <c r="F68" s="13"/>
      <c r="G68" s="15"/>
      <c r="H68" s="16" t="str">
        <f aca="false">IF(OR(D68="",E68="",E68&lt;D68),"",E68-D68+1)</f>
        <v/>
      </c>
      <c r="I68" s="17" t="str">
        <f aca="false">IF(OR(H68="",C68=""),"",IF(F68="İptal",0,H68*IFERROR(INDEX(Ürünler!$B$5:$B$64,MATCH(C68,Ürünler!$A$5:$A$64,0)),0)-G68))</f>
        <v/>
      </c>
      <c r="J68" s="18" t="str">
        <f aca="false">IF(OR(H68="",C68="",F68="İptal"),"",IF(COUNTIFS($C$5:$C$1504,C68,$D$5:$D$1504,"&lt;="&amp;E68,$E$5:$E$1504,"&gt;="&amp;D68,$F$5:$F$1504,"&lt;&gt;İptal")&gt;1,"Çakışıyor",""))</f>
        <v/>
      </c>
    </row>
    <row r="69" customFormat="false" ht="15" hidden="false" customHeight="false" outlineLevel="0" collapsed="false">
      <c r="A69" s="12"/>
      <c r="B69" s="12"/>
      <c r="C69" s="13"/>
      <c r="D69" s="14"/>
      <c r="E69" s="14"/>
      <c r="F69" s="13"/>
      <c r="G69" s="15"/>
      <c r="H69" s="16" t="str">
        <f aca="false">IF(OR(D69="",E69="",E69&lt;D69),"",E69-D69+1)</f>
        <v/>
      </c>
      <c r="I69" s="17" t="str">
        <f aca="false">IF(OR(H69="",C69=""),"",IF(F69="İptal",0,H69*IFERROR(INDEX(Ürünler!$B$5:$B$64,MATCH(C69,Ürünler!$A$5:$A$64,0)),0)-G69))</f>
        <v/>
      </c>
      <c r="J69" s="18" t="str">
        <f aca="false">IF(OR(H69="",C69="",F69="İptal"),"",IF(COUNTIFS($C$5:$C$1504,C69,$D$5:$D$1504,"&lt;="&amp;E69,$E$5:$E$1504,"&gt;="&amp;D69,$F$5:$F$1504,"&lt;&gt;İptal")&gt;1,"Çakışıyor",""))</f>
        <v/>
      </c>
    </row>
    <row r="70" customFormat="false" ht="15" hidden="false" customHeight="false" outlineLevel="0" collapsed="false">
      <c r="A70" s="12"/>
      <c r="B70" s="12"/>
      <c r="C70" s="13"/>
      <c r="D70" s="14"/>
      <c r="E70" s="14"/>
      <c r="F70" s="13"/>
      <c r="G70" s="15"/>
      <c r="H70" s="16" t="str">
        <f aca="false">IF(OR(D70="",E70="",E70&lt;D70),"",E70-D70+1)</f>
        <v/>
      </c>
      <c r="I70" s="17" t="str">
        <f aca="false">IF(OR(H70="",C70=""),"",IF(F70="İptal",0,H70*IFERROR(INDEX(Ürünler!$B$5:$B$64,MATCH(C70,Ürünler!$A$5:$A$64,0)),0)-G70))</f>
        <v/>
      </c>
      <c r="J70" s="18" t="str">
        <f aca="false">IF(OR(H70="",C70="",F70="İptal"),"",IF(COUNTIFS($C$5:$C$1504,C70,$D$5:$D$1504,"&lt;="&amp;E70,$E$5:$E$1504,"&gt;="&amp;D70,$F$5:$F$1504,"&lt;&gt;İptal")&gt;1,"Çakışıyor",""))</f>
        <v/>
      </c>
    </row>
    <row r="71" customFormat="false" ht="15" hidden="false" customHeight="false" outlineLevel="0" collapsed="false">
      <c r="A71" s="12"/>
      <c r="B71" s="12"/>
      <c r="C71" s="13"/>
      <c r="D71" s="14"/>
      <c r="E71" s="14"/>
      <c r="F71" s="13"/>
      <c r="G71" s="15"/>
      <c r="H71" s="16" t="str">
        <f aca="false">IF(OR(D71="",E71="",E71&lt;D71),"",E71-D71+1)</f>
        <v/>
      </c>
      <c r="I71" s="17" t="str">
        <f aca="false">IF(OR(H71="",C71=""),"",IF(F71="İptal",0,H71*IFERROR(INDEX(Ürünler!$B$5:$B$64,MATCH(C71,Ürünler!$A$5:$A$64,0)),0)-G71))</f>
        <v/>
      </c>
      <c r="J71" s="18" t="str">
        <f aca="false">IF(OR(H71="",C71="",F71="İptal"),"",IF(COUNTIFS($C$5:$C$1504,C71,$D$5:$D$1504,"&lt;="&amp;E71,$E$5:$E$1504,"&gt;="&amp;D71,$F$5:$F$1504,"&lt;&gt;İptal")&gt;1,"Çakışıyor",""))</f>
        <v/>
      </c>
    </row>
    <row r="72" customFormat="false" ht="15" hidden="false" customHeight="false" outlineLevel="0" collapsed="false">
      <c r="A72" s="12"/>
      <c r="B72" s="12"/>
      <c r="C72" s="13"/>
      <c r="D72" s="14"/>
      <c r="E72" s="14"/>
      <c r="F72" s="13"/>
      <c r="G72" s="15"/>
      <c r="H72" s="16" t="str">
        <f aca="false">IF(OR(D72="",E72="",E72&lt;D72),"",E72-D72+1)</f>
        <v/>
      </c>
      <c r="I72" s="17" t="str">
        <f aca="false">IF(OR(H72="",C72=""),"",IF(F72="İptal",0,H72*IFERROR(INDEX(Ürünler!$B$5:$B$64,MATCH(C72,Ürünler!$A$5:$A$64,0)),0)-G72))</f>
        <v/>
      </c>
      <c r="J72" s="18" t="str">
        <f aca="false">IF(OR(H72="",C72="",F72="İptal"),"",IF(COUNTIFS($C$5:$C$1504,C72,$D$5:$D$1504,"&lt;="&amp;E72,$E$5:$E$1504,"&gt;="&amp;D72,$F$5:$F$1504,"&lt;&gt;İptal")&gt;1,"Çakışıyor",""))</f>
        <v/>
      </c>
    </row>
    <row r="73" customFormat="false" ht="15" hidden="false" customHeight="false" outlineLevel="0" collapsed="false">
      <c r="A73" s="12"/>
      <c r="B73" s="12"/>
      <c r="C73" s="13"/>
      <c r="D73" s="14"/>
      <c r="E73" s="14"/>
      <c r="F73" s="13"/>
      <c r="G73" s="15"/>
      <c r="H73" s="16" t="str">
        <f aca="false">IF(OR(D73="",E73="",E73&lt;D73),"",E73-D73+1)</f>
        <v/>
      </c>
      <c r="I73" s="17" t="str">
        <f aca="false">IF(OR(H73="",C73=""),"",IF(F73="İptal",0,H73*IFERROR(INDEX(Ürünler!$B$5:$B$64,MATCH(C73,Ürünler!$A$5:$A$64,0)),0)-G73))</f>
        <v/>
      </c>
      <c r="J73" s="18" t="str">
        <f aca="false">IF(OR(H73="",C73="",F73="İptal"),"",IF(COUNTIFS($C$5:$C$1504,C73,$D$5:$D$1504,"&lt;="&amp;E73,$E$5:$E$1504,"&gt;="&amp;D73,$F$5:$F$1504,"&lt;&gt;İptal")&gt;1,"Çakışıyor",""))</f>
        <v/>
      </c>
    </row>
    <row r="74" customFormat="false" ht="15" hidden="false" customHeight="false" outlineLevel="0" collapsed="false">
      <c r="A74" s="12"/>
      <c r="B74" s="12"/>
      <c r="C74" s="13"/>
      <c r="D74" s="14"/>
      <c r="E74" s="14"/>
      <c r="F74" s="13"/>
      <c r="G74" s="15"/>
      <c r="H74" s="16" t="str">
        <f aca="false">IF(OR(D74="",E74="",E74&lt;D74),"",E74-D74+1)</f>
        <v/>
      </c>
      <c r="I74" s="17" t="str">
        <f aca="false">IF(OR(H74="",C74=""),"",IF(F74="İptal",0,H74*IFERROR(INDEX(Ürünler!$B$5:$B$64,MATCH(C74,Ürünler!$A$5:$A$64,0)),0)-G74))</f>
        <v/>
      </c>
      <c r="J74" s="18" t="str">
        <f aca="false">IF(OR(H74="",C74="",F74="İptal"),"",IF(COUNTIFS($C$5:$C$1504,C74,$D$5:$D$1504,"&lt;="&amp;E74,$E$5:$E$1504,"&gt;="&amp;D74,$F$5:$F$1504,"&lt;&gt;İptal")&gt;1,"Çakışıyor",""))</f>
        <v/>
      </c>
    </row>
    <row r="75" customFormat="false" ht="15" hidden="false" customHeight="false" outlineLevel="0" collapsed="false">
      <c r="A75" s="12"/>
      <c r="B75" s="12"/>
      <c r="C75" s="13"/>
      <c r="D75" s="14"/>
      <c r="E75" s="14"/>
      <c r="F75" s="13"/>
      <c r="G75" s="15"/>
      <c r="H75" s="16" t="str">
        <f aca="false">IF(OR(D75="",E75="",E75&lt;D75),"",E75-D75+1)</f>
        <v/>
      </c>
      <c r="I75" s="17" t="str">
        <f aca="false">IF(OR(H75="",C75=""),"",IF(F75="İptal",0,H75*IFERROR(INDEX(Ürünler!$B$5:$B$64,MATCH(C75,Ürünler!$A$5:$A$64,0)),0)-G75))</f>
        <v/>
      </c>
      <c r="J75" s="18" t="str">
        <f aca="false">IF(OR(H75="",C75="",F75="İptal"),"",IF(COUNTIFS($C$5:$C$1504,C75,$D$5:$D$1504,"&lt;="&amp;E75,$E$5:$E$1504,"&gt;="&amp;D75,$F$5:$F$1504,"&lt;&gt;İptal")&gt;1,"Çakışıyor",""))</f>
        <v/>
      </c>
    </row>
    <row r="76" customFormat="false" ht="15" hidden="false" customHeight="false" outlineLevel="0" collapsed="false">
      <c r="A76" s="12"/>
      <c r="B76" s="12"/>
      <c r="C76" s="13"/>
      <c r="D76" s="14"/>
      <c r="E76" s="14"/>
      <c r="F76" s="13"/>
      <c r="G76" s="15"/>
      <c r="H76" s="16" t="str">
        <f aca="false">IF(OR(D76="",E76="",E76&lt;D76),"",E76-D76+1)</f>
        <v/>
      </c>
      <c r="I76" s="17" t="str">
        <f aca="false">IF(OR(H76="",C76=""),"",IF(F76="İptal",0,H76*IFERROR(INDEX(Ürünler!$B$5:$B$64,MATCH(C76,Ürünler!$A$5:$A$64,0)),0)-G76))</f>
        <v/>
      </c>
      <c r="J76" s="18" t="str">
        <f aca="false">IF(OR(H76="",C76="",F76="İptal"),"",IF(COUNTIFS($C$5:$C$1504,C76,$D$5:$D$1504,"&lt;="&amp;E76,$E$5:$E$1504,"&gt;="&amp;D76,$F$5:$F$1504,"&lt;&gt;İptal")&gt;1,"Çakışıyor",""))</f>
        <v/>
      </c>
    </row>
    <row r="77" customFormat="false" ht="15" hidden="false" customHeight="false" outlineLevel="0" collapsed="false">
      <c r="A77" s="12"/>
      <c r="B77" s="12"/>
      <c r="C77" s="13"/>
      <c r="D77" s="14"/>
      <c r="E77" s="14"/>
      <c r="F77" s="13"/>
      <c r="G77" s="15"/>
      <c r="H77" s="16" t="str">
        <f aca="false">IF(OR(D77="",E77="",E77&lt;D77),"",E77-D77+1)</f>
        <v/>
      </c>
      <c r="I77" s="17" t="str">
        <f aca="false">IF(OR(H77="",C77=""),"",IF(F77="İptal",0,H77*IFERROR(INDEX(Ürünler!$B$5:$B$64,MATCH(C77,Ürünler!$A$5:$A$64,0)),0)-G77))</f>
        <v/>
      </c>
      <c r="J77" s="18" t="str">
        <f aca="false">IF(OR(H77="",C77="",F77="İptal"),"",IF(COUNTIFS($C$5:$C$1504,C77,$D$5:$D$1504,"&lt;="&amp;E77,$E$5:$E$1504,"&gt;="&amp;D77,$F$5:$F$1504,"&lt;&gt;İptal")&gt;1,"Çakışıyor",""))</f>
        <v/>
      </c>
    </row>
    <row r="78" customFormat="false" ht="15" hidden="false" customHeight="false" outlineLevel="0" collapsed="false">
      <c r="A78" s="12"/>
      <c r="B78" s="12"/>
      <c r="C78" s="13"/>
      <c r="D78" s="14"/>
      <c r="E78" s="14"/>
      <c r="F78" s="13"/>
      <c r="G78" s="15"/>
      <c r="H78" s="16" t="str">
        <f aca="false">IF(OR(D78="",E78="",E78&lt;D78),"",E78-D78+1)</f>
        <v/>
      </c>
      <c r="I78" s="17" t="str">
        <f aca="false">IF(OR(H78="",C78=""),"",IF(F78="İptal",0,H78*IFERROR(INDEX(Ürünler!$B$5:$B$64,MATCH(C78,Ürünler!$A$5:$A$64,0)),0)-G78))</f>
        <v/>
      </c>
      <c r="J78" s="18" t="str">
        <f aca="false">IF(OR(H78="",C78="",F78="İptal"),"",IF(COUNTIFS($C$5:$C$1504,C78,$D$5:$D$1504,"&lt;="&amp;E78,$E$5:$E$1504,"&gt;="&amp;D78,$F$5:$F$1504,"&lt;&gt;İptal")&gt;1,"Çakışıyor",""))</f>
        <v/>
      </c>
    </row>
    <row r="79" customFormat="false" ht="15" hidden="false" customHeight="false" outlineLevel="0" collapsed="false">
      <c r="A79" s="12"/>
      <c r="B79" s="12"/>
      <c r="C79" s="13"/>
      <c r="D79" s="14"/>
      <c r="E79" s="14"/>
      <c r="F79" s="13"/>
      <c r="G79" s="15"/>
      <c r="H79" s="16" t="str">
        <f aca="false">IF(OR(D79="",E79="",E79&lt;D79),"",E79-D79+1)</f>
        <v/>
      </c>
      <c r="I79" s="17" t="str">
        <f aca="false">IF(OR(H79="",C79=""),"",IF(F79="İptal",0,H79*IFERROR(INDEX(Ürünler!$B$5:$B$64,MATCH(C79,Ürünler!$A$5:$A$64,0)),0)-G79))</f>
        <v/>
      </c>
      <c r="J79" s="18" t="str">
        <f aca="false">IF(OR(H79="",C79="",F79="İptal"),"",IF(COUNTIFS($C$5:$C$1504,C79,$D$5:$D$1504,"&lt;="&amp;E79,$E$5:$E$1504,"&gt;="&amp;D79,$F$5:$F$1504,"&lt;&gt;İptal")&gt;1,"Çakışıyor",""))</f>
        <v/>
      </c>
    </row>
    <row r="80" customFormat="false" ht="15" hidden="false" customHeight="false" outlineLevel="0" collapsed="false">
      <c r="A80" s="12"/>
      <c r="B80" s="12"/>
      <c r="C80" s="13"/>
      <c r="D80" s="14"/>
      <c r="E80" s="14"/>
      <c r="F80" s="13"/>
      <c r="G80" s="15"/>
      <c r="H80" s="16" t="str">
        <f aca="false">IF(OR(D80="",E80="",E80&lt;D80),"",E80-D80+1)</f>
        <v/>
      </c>
      <c r="I80" s="17" t="str">
        <f aca="false">IF(OR(H80="",C80=""),"",IF(F80="İptal",0,H80*IFERROR(INDEX(Ürünler!$B$5:$B$64,MATCH(C80,Ürünler!$A$5:$A$64,0)),0)-G80))</f>
        <v/>
      </c>
      <c r="J80" s="18" t="str">
        <f aca="false">IF(OR(H80="",C80="",F80="İptal"),"",IF(COUNTIFS($C$5:$C$1504,C80,$D$5:$D$1504,"&lt;="&amp;E80,$E$5:$E$1504,"&gt;="&amp;D80,$F$5:$F$1504,"&lt;&gt;İptal")&gt;1,"Çakışıyor",""))</f>
        <v/>
      </c>
    </row>
    <row r="81" customFormat="false" ht="15" hidden="false" customHeight="false" outlineLevel="0" collapsed="false">
      <c r="A81" s="12"/>
      <c r="B81" s="12"/>
      <c r="C81" s="13"/>
      <c r="D81" s="14"/>
      <c r="E81" s="14"/>
      <c r="F81" s="13"/>
      <c r="G81" s="15"/>
      <c r="H81" s="16" t="str">
        <f aca="false">IF(OR(D81="",E81="",E81&lt;D81),"",E81-D81+1)</f>
        <v/>
      </c>
      <c r="I81" s="17" t="str">
        <f aca="false">IF(OR(H81="",C81=""),"",IF(F81="İptal",0,H81*IFERROR(INDEX(Ürünler!$B$5:$B$64,MATCH(C81,Ürünler!$A$5:$A$64,0)),0)-G81))</f>
        <v/>
      </c>
      <c r="J81" s="18" t="str">
        <f aca="false">IF(OR(H81="",C81="",F81="İptal"),"",IF(COUNTIFS($C$5:$C$1504,C81,$D$5:$D$1504,"&lt;="&amp;E81,$E$5:$E$1504,"&gt;="&amp;D81,$F$5:$F$1504,"&lt;&gt;İptal")&gt;1,"Çakışıyor",""))</f>
        <v/>
      </c>
    </row>
    <row r="82" customFormat="false" ht="15" hidden="false" customHeight="false" outlineLevel="0" collapsed="false">
      <c r="A82" s="12"/>
      <c r="B82" s="12"/>
      <c r="C82" s="13"/>
      <c r="D82" s="14"/>
      <c r="E82" s="14"/>
      <c r="F82" s="13"/>
      <c r="G82" s="15"/>
      <c r="H82" s="16" t="str">
        <f aca="false">IF(OR(D82="",E82="",E82&lt;D82),"",E82-D82+1)</f>
        <v/>
      </c>
      <c r="I82" s="17" t="str">
        <f aca="false">IF(OR(H82="",C82=""),"",IF(F82="İptal",0,H82*IFERROR(INDEX(Ürünler!$B$5:$B$64,MATCH(C82,Ürünler!$A$5:$A$64,0)),0)-G82))</f>
        <v/>
      </c>
      <c r="J82" s="18" t="str">
        <f aca="false">IF(OR(H82="",C82="",F82="İptal"),"",IF(COUNTIFS($C$5:$C$1504,C82,$D$5:$D$1504,"&lt;="&amp;E82,$E$5:$E$1504,"&gt;="&amp;D82,$F$5:$F$1504,"&lt;&gt;İptal")&gt;1,"Çakışıyor",""))</f>
        <v/>
      </c>
    </row>
    <row r="83" customFormat="false" ht="15" hidden="false" customHeight="false" outlineLevel="0" collapsed="false">
      <c r="A83" s="12"/>
      <c r="B83" s="12"/>
      <c r="C83" s="13"/>
      <c r="D83" s="14"/>
      <c r="E83" s="14"/>
      <c r="F83" s="13"/>
      <c r="G83" s="15"/>
      <c r="H83" s="16" t="str">
        <f aca="false">IF(OR(D83="",E83="",E83&lt;D83),"",E83-D83+1)</f>
        <v/>
      </c>
      <c r="I83" s="17" t="str">
        <f aca="false">IF(OR(H83="",C83=""),"",IF(F83="İptal",0,H83*IFERROR(INDEX(Ürünler!$B$5:$B$64,MATCH(C83,Ürünler!$A$5:$A$64,0)),0)-G83))</f>
        <v/>
      </c>
      <c r="J83" s="18" t="str">
        <f aca="false">IF(OR(H83="",C83="",F83="İptal"),"",IF(COUNTIFS($C$5:$C$1504,C83,$D$5:$D$1504,"&lt;="&amp;E83,$E$5:$E$1504,"&gt;="&amp;D83,$F$5:$F$1504,"&lt;&gt;İptal")&gt;1,"Çakışıyor",""))</f>
        <v/>
      </c>
    </row>
    <row r="84" customFormat="false" ht="15" hidden="false" customHeight="false" outlineLevel="0" collapsed="false">
      <c r="A84" s="12"/>
      <c r="B84" s="12"/>
      <c r="C84" s="13"/>
      <c r="D84" s="14"/>
      <c r="E84" s="14"/>
      <c r="F84" s="13"/>
      <c r="G84" s="15"/>
      <c r="H84" s="16" t="str">
        <f aca="false">IF(OR(D84="",E84="",E84&lt;D84),"",E84-D84+1)</f>
        <v/>
      </c>
      <c r="I84" s="17" t="str">
        <f aca="false">IF(OR(H84="",C84=""),"",IF(F84="İptal",0,H84*IFERROR(INDEX(Ürünler!$B$5:$B$64,MATCH(C84,Ürünler!$A$5:$A$64,0)),0)-G84))</f>
        <v/>
      </c>
      <c r="J84" s="18" t="str">
        <f aca="false">IF(OR(H84="",C84="",F84="İptal"),"",IF(COUNTIFS($C$5:$C$1504,C84,$D$5:$D$1504,"&lt;="&amp;E84,$E$5:$E$1504,"&gt;="&amp;D84,$F$5:$F$1504,"&lt;&gt;İptal")&gt;1,"Çakışıyor",""))</f>
        <v/>
      </c>
    </row>
    <row r="85" customFormat="false" ht="15" hidden="false" customHeight="false" outlineLevel="0" collapsed="false">
      <c r="A85" s="12"/>
      <c r="B85" s="12"/>
      <c r="C85" s="13"/>
      <c r="D85" s="14"/>
      <c r="E85" s="14"/>
      <c r="F85" s="13"/>
      <c r="G85" s="15"/>
      <c r="H85" s="16" t="str">
        <f aca="false">IF(OR(D85="",E85="",E85&lt;D85),"",E85-D85+1)</f>
        <v/>
      </c>
      <c r="I85" s="17" t="str">
        <f aca="false">IF(OR(H85="",C85=""),"",IF(F85="İptal",0,H85*IFERROR(INDEX(Ürünler!$B$5:$B$64,MATCH(C85,Ürünler!$A$5:$A$64,0)),0)-G85))</f>
        <v/>
      </c>
      <c r="J85" s="18" t="str">
        <f aca="false">IF(OR(H85="",C85="",F85="İptal"),"",IF(COUNTIFS($C$5:$C$1504,C85,$D$5:$D$1504,"&lt;="&amp;E85,$E$5:$E$1504,"&gt;="&amp;D85,$F$5:$F$1504,"&lt;&gt;İptal")&gt;1,"Çakışıyor",""))</f>
        <v/>
      </c>
    </row>
    <row r="86" customFormat="false" ht="15" hidden="false" customHeight="false" outlineLevel="0" collapsed="false">
      <c r="A86" s="12"/>
      <c r="B86" s="12"/>
      <c r="C86" s="13"/>
      <c r="D86" s="14"/>
      <c r="E86" s="14"/>
      <c r="F86" s="13"/>
      <c r="G86" s="15"/>
      <c r="H86" s="16" t="str">
        <f aca="false">IF(OR(D86="",E86="",E86&lt;D86),"",E86-D86+1)</f>
        <v/>
      </c>
      <c r="I86" s="17" t="str">
        <f aca="false">IF(OR(H86="",C86=""),"",IF(F86="İptal",0,H86*IFERROR(INDEX(Ürünler!$B$5:$B$64,MATCH(C86,Ürünler!$A$5:$A$64,0)),0)-G86))</f>
        <v/>
      </c>
      <c r="J86" s="18" t="str">
        <f aca="false">IF(OR(H86="",C86="",F86="İptal"),"",IF(COUNTIFS($C$5:$C$1504,C86,$D$5:$D$1504,"&lt;="&amp;E86,$E$5:$E$1504,"&gt;="&amp;D86,$F$5:$F$1504,"&lt;&gt;İptal")&gt;1,"Çakışıyor",""))</f>
        <v/>
      </c>
    </row>
    <row r="87" customFormat="false" ht="15" hidden="false" customHeight="false" outlineLevel="0" collapsed="false">
      <c r="A87" s="12"/>
      <c r="B87" s="12"/>
      <c r="C87" s="13"/>
      <c r="D87" s="14"/>
      <c r="E87" s="14"/>
      <c r="F87" s="13"/>
      <c r="G87" s="15"/>
      <c r="H87" s="16" t="str">
        <f aca="false">IF(OR(D87="",E87="",E87&lt;D87),"",E87-D87+1)</f>
        <v/>
      </c>
      <c r="I87" s="17" t="str">
        <f aca="false">IF(OR(H87="",C87=""),"",IF(F87="İptal",0,H87*IFERROR(INDEX(Ürünler!$B$5:$B$64,MATCH(C87,Ürünler!$A$5:$A$64,0)),0)-G87))</f>
        <v/>
      </c>
      <c r="J87" s="18" t="str">
        <f aca="false">IF(OR(H87="",C87="",F87="İptal"),"",IF(COUNTIFS($C$5:$C$1504,C87,$D$5:$D$1504,"&lt;="&amp;E87,$E$5:$E$1504,"&gt;="&amp;D87,$F$5:$F$1504,"&lt;&gt;İptal")&gt;1,"Çakışıyor",""))</f>
        <v/>
      </c>
    </row>
    <row r="88" customFormat="false" ht="15" hidden="false" customHeight="false" outlineLevel="0" collapsed="false">
      <c r="A88" s="12"/>
      <c r="B88" s="12"/>
      <c r="C88" s="13"/>
      <c r="D88" s="14"/>
      <c r="E88" s="14"/>
      <c r="F88" s="13"/>
      <c r="G88" s="15"/>
      <c r="H88" s="16" t="str">
        <f aca="false">IF(OR(D88="",E88="",E88&lt;D88),"",E88-D88+1)</f>
        <v/>
      </c>
      <c r="I88" s="17" t="str">
        <f aca="false">IF(OR(H88="",C88=""),"",IF(F88="İptal",0,H88*IFERROR(INDEX(Ürünler!$B$5:$B$64,MATCH(C88,Ürünler!$A$5:$A$64,0)),0)-G88))</f>
        <v/>
      </c>
      <c r="J88" s="18" t="str">
        <f aca="false">IF(OR(H88="",C88="",F88="İptal"),"",IF(COUNTIFS($C$5:$C$1504,C88,$D$5:$D$1504,"&lt;="&amp;E88,$E$5:$E$1504,"&gt;="&amp;D88,$F$5:$F$1504,"&lt;&gt;İptal")&gt;1,"Çakışıyor",""))</f>
        <v/>
      </c>
    </row>
    <row r="89" customFormat="false" ht="15" hidden="false" customHeight="false" outlineLevel="0" collapsed="false">
      <c r="A89" s="12"/>
      <c r="B89" s="12"/>
      <c r="C89" s="13"/>
      <c r="D89" s="14"/>
      <c r="E89" s="14"/>
      <c r="F89" s="13"/>
      <c r="G89" s="15"/>
      <c r="H89" s="16" t="str">
        <f aca="false">IF(OR(D89="",E89="",E89&lt;D89),"",E89-D89+1)</f>
        <v/>
      </c>
      <c r="I89" s="17" t="str">
        <f aca="false">IF(OR(H89="",C89=""),"",IF(F89="İptal",0,H89*IFERROR(INDEX(Ürünler!$B$5:$B$64,MATCH(C89,Ürünler!$A$5:$A$64,0)),0)-G89))</f>
        <v/>
      </c>
      <c r="J89" s="18" t="str">
        <f aca="false">IF(OR(H89="",C89="",F89="İptal"),"",IF(COUNTIFS($C$5:$C$1504,C89,$D$5:$D$1504,"&lt;="&amp;E89,$E$5:$E$1504,"&gt;="&amp;D89,$F$5:$F$1504,"&lt;&gt;İptal")&gt;1,"Çakışıyor",""))</f>
        <v/>
      </c>
    </row>
    <row r="90" customFormat="false" ht="15" hidden="false" customHeight="false" outlineLevel="0" collapsed="false">
      <c r="A90" s="12"/>
      <c r="B90" s="12"/>
      <c r="C90" s="13"/>
      <c r="D90" s="14"/>
      <c r="E90" s="14"/>
      <c r="F90" s="13"/>
      <c r="G90" s="15"/>
      <c r="H90" s="16" t="str">
        <f aca="false">IF(OR(D90="",E90="",E90&lt;D90),"",E90-D90+1)</f>
        <v/>
      </c>
      <c r="I90" s="17" t="str">
        <f aca="false">IF(OR(H90="",C90=""),"",IF(F90="İptal",0,H90*IFERROR(INDEX(Ürünler!$B$5:$B$64,MATCH(C90,Ürünler!$A$5:$A$64,0)),0)-G90))</f>
        <v/>
      </c>
      <c r="J90" s="18" t="str">
        <f aca="false">IF(OR(H90="",C90="",F90="İptal"),"",IF(COUNTIFS($C$5:$C$1504,C90,$D$5:$D$1504,"&lt;="&amp;E90,$E$5:$E$1504,"&gt;="&amp;D90,$F$5:$F$1504,"&lt;&gt;İptal")&gt;1,"Çakışıyor",""))</f>
        <v/>
      </c>
    </row>
    <row r="91" customFormat="false" ht="15" hidden="false" customHeight="false" outlineLevel="0" collapsed="false">
      <c r="A91" s="12"/>
      <c r="B91" s="12"/>
      <c r="C91" s="13"/>
      <c r="D91" s="14"/>
      <c r="E91" s="14"/>
      <c r="F91" s="13"/>
      <c r="G91" s="15"/>
      <c r="H91" s="16" t="str">
        <f aca="false">IF(OR(D91="",E91="",E91&lt;D91),"",E91-D91+1)</f>
        <v/>
      </c>
      <c r="I91" s="17" t="str">
        <f aca="false">IF(OR(H91="",C91=""),"",IF(F91="İptal",0,H91*IFERROR(INDEX(Ürünler!$B$5:$B$64,MATCH(C91,Ürünler!$A$5:$A$64,0)),0)-G91))</f>
        <v/>
      </c>
      <c r="J91" s="18" t="str">
        <f aca="false">IF(OR(H91="",C91="",F91="İptal"),"",IF(COUNTIFS($C$5:$C$1504,C91,$D$5:$D$1504,"&lt;="&amp;E91,$E$5:$E$1504,"&gt;="&amp;D91,$F$5:$F$1504,"&lt;&gt;İptal")&gt;1,"Çakışıyor",""))</f>
        <v/>
      </c>
    </row>
    <row r="92" customFormat="false" ht="15" hidden="false" customHeight="false" outlineLevel="0" collapsed="false">
      <c r="A92" s="12"/>
      <c r="B92" s="12"/>
      <c r="C92" s="13"/>
      <c r="D92" s="14"/>
      <c r="E92" s="14"/>
      <c r="F92" s="13"/>
      <c r="G92" s="15"/>
      <c r="H92" s="16" t="str">
        <f aca="false">IF(OR(D92="",E92="",E92&lt;D92),"",E92-D92+1)</f>
        <v/>
      </c>
      <c r="I92" s="17" t="str">
        <f aca="false">IF(OR(H92="",C92=""),"",IF(F92="İptal",0,H92*IFERROR(INDEX(Ürünler!$B$5:$B$64,MATCH(C92,Ürünler!$A$5:$A$64,0)),0)-G92))</f>
        <v/>
      </c>
      <c r="J92" s="18" t="str">
        <f aca="false">IF(OR(H92="",C92="",F92="İptal"),"",IF(COUNTIFS($C$5:$C$1504,C92,$D$5:$D$1504,"&lt;="&amp;E92,$E$5:$E$1504,"&gt;="&amp;D92,$F$5:$F$1504,"&lt;&gt;İptal")&gt;1,"Çakışıyor",""))</f>
        <v/>
      </c>
    </row>
    <row r="93" customFormat="false" ht="15" hidden="false" customHeight="false" outlineLevel="0" collapsed="false">
      <c r="A93" s="12"/>
      <c r="B93" s="12"/>
      <c r="C93" s="13"/>
      <c r="D93" s="14"/>
      <c r="E93" s="14"/>
      <c r="F93" s="13"/>
      <c r="G93" s="15"/>
      <c r="H93" s="16" t="str">
        <f aca="false">IF(OR(D93="",E93="",E93&lt;D93),"",E93-D93+1)</f>
        <v/>
      </c>
      <c r="I93" s="17" t="str">
        <f aca="false">IF(OR(H93="",C93=""),"",IF(F93="İptal",0,H93*IFERROR(INDEX(Ürünler!$B$5:$B$64,MATCH(C93,Ürünler!$A$5:$A$64,0)),0)-G93))</f>
        <v/>
      </c>
      <c r="J93" s="18" t="str">
        <f aca="false">IF(OR(H93="",C93="",F93="İptal"),"",IF(COUNTIFS($C$5:$C$1504,C93,$D$5:$D$1504,"&lt;="&amp;E93,$E$5:$E$1504,"&gt;="&amp;D93,$F$5:$F$1504,"&lt;&gt;İptal")&gt;1,"Çakışıyor",""))</f>
        <v/>
      </c>
    </row>
    <row r="94" customFormat="false" ht="15" hidden="false" customHeight="false" outlineLevel="0" collapsed="false">
      <c r="A94" s="12"/>
      <c r="B94" s="12"/>
      <c r="C94" s="13"/>
      <c r="D94" s="14"/>
      <c r="E94" s="14"/>
      <c r="F94" s="13"/>
      <c r="G94" s="15"/>
      <c r="H94" s="16" t="str">
        <f aca="false">IF(OR(D94="",E94="",E94&lt;D94),"",E94-D94+1)</f>
        <v/>
      </c>
      <c r="I94" s="17" t="str">
        <f aca="false">IF(OR(H94="",C94=""),"",IF(F94="İptal",0,H94*IFERROR(INDEX(Ürünler!$B$5:$B$64,MATCH(C94,Ürünler!$A$5:$A$64,0)),0)-G94))</f>
        <v/>
      </c>
      <c r="J94" s="18" t="str">
        <f aca="false">IF(OR(H94="",C94="",F94="İptal"),"",IF(COUNTIFS($C$5:$C$1504,C94,$D$5:$D$1504,"&lt;="&amp;E94,$E$5:$E$1504,"&gt;="&amp;D94,$F$5:$F$1504,"&lt;&gt;İptal")&gt;1,"Çakışıyor",""))</f>
        <v/>
      </c>
    </row>
    <row r="95" customFormat="false" ht="15" hidden="false" customHeight="false" outlineLevel="0" collapsed="false">
      <c r="A95" s="12"/>
      <c r="B95" s="12"/>
      <c r="C95" s="13"/>
      <c r="D95" s="14"/>
      <c r="E95" s="14"/>
      <c r="F95" s="13"/>
      <c r="G95" s="15"/>
      <c r="H95" s="16" t="str">
        <f aca="false">IF(OR(D95="",E95="",E95&lt;D95),"",E95-D95+1)</f>
        <v/>
      </c>
      <c r="I95" s="17" t="str">
        <f aca="false">IF(OR(H95="",C95=""),"",IF(F95="İptal",0,H95*IFERROR(INDEX(Ürünler!$B$5:$B$64,MATCH(C95,Ürünler!$A$5:$A$64,0)),0)-G95))</f>
        <v/>
      </c>
      <c r="J95" s="18" t="str">
        <f aca="false">IF(OR(H95="",C95="",F95="İptal"),"",IF(COUNTIFS($C$5:$C$1504,C95,$D$5:$D$1504,"&lt;="&amp;E95,$E$5:$E$1504,"&gt;="&amp;D95,$F$5:$F$1504,"&lt;&gt;İptal")&gt;1,"Çakışıyor",""))</f>
        <v/>
      </c>
    </row>
    <row r="96" customFormat="false" ht="15" hidden="false" customHeight="false" outlineLevel="0" collapsed="false">
      <c r="A96" s="12"/>
      <c r="B96" s="12"/>
      <c r="C96" s="13"/>
      <c r="D96" s="14"/>
      <c r="E96" s="14"/>
      <c r="F96" s="13"/>
      <c r="G96" s="15"/>
      <c r="H96" s="16" t="str">
        <f aca="false">IF(OR(D96="",E96="",E96&lt;D96),"",E96-D96+1)</f>
        <v/>
      </c>
      <c r="I96" s="17" t="str">
        <f aca="false">IF(OR(H96="",C96=""),"",IF(F96="İptal",0,H96*IFERROR(INDEX(Ürünler!$B$5:$B$64,MATCH(C96,Ürünler!$A$5:$A$64,0)),0)-G96))</f>
        <v/>
      </c>
      <c r="J96" s="18" t="str">
        <f aca="false">IF(OR(H96="",C96="",F96="İptal"),"",IF(COUNTIFS($C$5:$C$1504,C96,$D$5:$D$1504,"&lt;="&amp;E96,$E$5:$E$1504,"&gt;="&amp;D96,$F$5:$F$1504,"&lt;&gt;İptal")&gt;1,"Çakışıyor",""))</f>
        <v/>
      </c>
    </row>
    <row r="97" customFormat="false" ht="15" hidden="false" customHeight="false" outlineLevel="0" collapsed="false">
      <c r="A97" s="12"/>
      <c r="B97" s="12"/>
      <c r="C97" s="13"/>
      <c r="D97" s="14"/>
      <c r="E97" s="14"/>
      <c r="F97" s="13"/>
      <c r="G97" s="15"/>
      <c r="H97" s="16" t="str">
        <f aca="false">IF(OR(D97="",E97="",E97&lt;D97),"",E97-D97+1)</f>
        <v/>
      </c>
      <c r="I97" s="17" t="str">
        <f aca="false">IF(OR(H97="",C97=""),"",IF(F97="İptal",0,H97*IFERROR(INDEX(Ürünler!$B$5:$B$64,MATCH(C97,Ürünler!$A$5:$A$64,0)),0)-G97))</f>
        <v/>
      </c>
      <c r="J97" s="18" t="str">
        <f aca="false">IF(OR(H97="",C97="",F97="İptal"),"",IF(COUNTIFS($C$5:$C$1504,C97,$D$5:$D$1504,"&lt;="&amp;E97,$E$5:$E$1504,"&gt;="&amp;D97,$F$5:$F$1504,"&lt;&gt;İptal")&gt;1,"Çakışıyor",""))</f>
        <v/>
      </c>
    </row>
    <row r="98" customFormat="false" ht="15" hidden="false" customHeight="false" outlineLevel="0" collapsed="false">
      <c r="A98" s="12"/>
      <c r="B98" s="12"/>
      <c r="C98" s="13"/>
      <c r="D98" s="14"/>
      <c r="E98" s="14"/>
      <c r="F98" s="13"/>
      <c r="G98" s="15"/>
      <c r="H98" s="16" t="str">
        <f aca="false">IF(OR(D98="",E98="",E98&lt;D98),"",E98-D98+1)</f>
        <v/>
      </c>
      <c r="I98" s="17" t="str">
        <f aca="false">IF(OR(H98="",C98=""),"",IF(F98="İptal",0,H98*IFERROR(INDEX(Ürünler!$B$5:$B$64,MATCH(C98,Ürünler!$A$5:$A$64,0)),0)-G98))</f>
        <v/>
      </c>
      <c r="J98" s="18" t="str">
        <f aca="false">IF(OR(H98="",C98="",F98="İptal"),"",IF(COUNTIFS($C$5:$C$1504,C98,$D$5:$D$1504,"&lt;="&amp;E98,$E$5:$E$1504,"&gt;="&amp;D98,$F$5:$F$1504,"&lt;&gt;İptal")&gt;1,"Çakışıyor",""))</f>
        <v/>
      </c>
    </row>
    <row r="99" customFormat="false" ht="15" hidden="false" customHeight="false" outlineLevel="0" collapsed="false">
      <c r="A99" s="12"/>
      <c r="B99" s="12"/>
      <c r="C99" s="13"/>
      <c r="D99" s="14"/>
      <c r="E99" s="14"/>
      <c r="F99" s="13"/>
      <c r="G99" s="15"/>
      <c r="H99" s="16" t="str">
        <f aca="false">IF(OR(D99="",E99="",E99&lt;D99),"",E99-D99+1)</f>
        <v/>
      </c>
      <c r="I99" s="17" t="str">
        <f aca="false">IF(OR(H99="",C99=""),"",IF(F99="İptal",0,H99*IFERROR(INDEX(Ürünler!$B$5:$B$64,MATCH(C99,Ürünler!$A$5:$A$64,0)),0)-G99))</f>
        <v/>
      </c>
      <c r="J99" s="18" t="str">
        <f aca="false">IF(OR(H99="",C99="",F99="İptal"),"",IF(COUNTIFS($C$5:$C$1504,C99,$D$5:$D$1504,"&lt;="&amp;E99,$E$5:$E$1504,"&gt;="&amp;D99,$F$5:$F$1504,"&lt;&gt;İptal")&gt;1,"Çakışıyor",""))</f>
        <v/>
      </c>
    </row>
    <row r="100" customFormat="false" ht="15" hidden="false" customHeight="false" outlineLevel="0" collapsed="false">
      <c r="A100" s="12"/>
      <c r="B100" s="12"/>
      <c r="C100" s="13"/>
      <c r="D100" s="14"/>
      <c r="E100" s="14"/>
      <c r="F100" s="13"/>
      <c r="G100" s="15"/>
      <c r="H100" s="16" t="str">
        <f aca="false">IF(OR(D100="",E100="",E100&lt;D100),"",E100-D100+1)</f>
        <v/>
      </c>
      <c r="I100" s="17" t="str">
        <f aca="false">IF(OR(H100="",C100=""),"",IF(F100="İptal",0,H100*IFERROR(INDEX(Ürünler!$B$5:$B$64,MATCH(C100,Ürünler!$A$5:$A$64,0)),0)-G100))</f>
        <v/>
      </c>
      <c r="J100" s="18" t="str">
        <f aca="false">IF(OR(H100="",C100="",F100="İptal"),"",IF(COUNTIFS($C$5:$C$1504,C100,$D$5:$D$1504,"&lt;="&amp;E100,$E$5:$E$1504,"&gt;="&amp;D100,$F$5:$F$1504,"&lt;&gt;İptal")&gt;1,"Çakışıyor",""))</f>
        <v/>
      </c>
    </row>
    <row r="101" customFormat="false" ht="15" hidden="false" customHeight="false" outlineLevel="0" collapsed="false">
      <c r="A101" s="12"/>
      <c r="B101" s="12"/>
      <c r="C101" s="13"/>
      <c r="D101" s="14"/>
      <c r="E101" s="14"/>
      <c r="F101" s="13"/>
      <c r="G101" s="15"/>
      <c r="H101" s="16" t="str">
        <f aca="false">IF(OR(D101="",E101="",E101&lt;D101),"",E101-D101+1)</f>
        <v/>
      </c>
      <c r="I101" s="17" t="str">
        <f aca="false">IF(OR(H101="",C101=""),"",IF(F101="İptal",0,H101*IFERROR(INDEX(Ürünler!$B$5:$B$64,MATCH(C101,Ürünler!$A$5:$A$64,0)),0)-G101))</f>
        <v/>
      </c>
      <c r="J101" s="18" t="str">
        <f aca="false">IF(OR(H101="",C101="",F101="İptal"),"",IF(COUNTIFS($C$5:$C$1504,C101,$D$5:$D$1504,"&lt;="&amp;E101,$E$5:$E$1504,"&gt;="&amp;D101,$F$5:$F$1504,"&lt;&gt;İptal")&gt;1,"Çakışıyor",""))</f>
        <v/>
      </c>
    </row>
    <row r="102" customFormat="false" ht="15" hidden="false" customHeight="false" outlineLevel="0" collapsed="false">
      <c r="A102" s="12"/>
      <c r="B102" s="12"/>
      <c r="C102" s="13"/>
      <c r="D102" s="14"/>
      <c r="E102" s="14"/>
      <c r="F102" s="13"/>
      <c r="G102" s="15"/>
      <c r="H102" s="16" t="str">
        <f aca="false">IF(OR(D102="",E102="",E102&lt;D102),"",E102-D102+1)</f>
        <v/>
      </c>
      <c r="I102" s="17" t="str">
        <f aca="false">IF(OR(H102="",C102=""),"",IF(F102="İptal",0,H102*IFERROR(INDEX(Ürünler!$B$5:$B$64,MATCH(C102,Ürünler!$A$5:$A$64,0)),0)-G102))</f>
        <v/>
      </c>
      <c r="J102" s="18" t="str">
        <f aca="false">IF(OR(H102="",C102="",F102="İptal"),"",IF(COUNTIFS($C$5:$C$1504,C102,$D$5:$D$1504,"&lt;="&amp;E102,$E$5:$E$1504,"&gt;="&amp;D102,$F$5:$F$1504,"&lt;&gt;İptal")&gt;1,"Çakışıyor",""))</f>
        <v/>
      </c>
    </row>
    <row r="103" customFormat="false" ht="15" hidden="false" customHeight="false" outlineLevel="0" collapsed="false">
      <c r="A103" s="12"/>
      <c r="B103" s="12"/>
      <c r="C103" s="13"/>
      <c r="D103" s="14"/>
      <c r="E103" s="14"/>
      <c r="F103" s="13"/>
      <c r="G103" s="15"/>
      <c r="H103" s="16" t="str">
        <f aca="false">IF(OR(D103="",E103="",E103&lt;D103),"",E103-D103+1)</f>
        <v/>
      </c>
      <c r="I103" s="17" t="str">
        <f aca="false">IF(OR(H103="",C103=""),"",IF(F103="İptal",0,H103*IFERROR(INDEX(Ürünler!$B$5:$B$64,MATCH(C103,Ürünler!$A$5:$A$64,0)),0)-G103))</f>
        <v/>
      </c>
      <c r="J103" s="18" t="str">
        <f aca="false">IF(OR(H103="",C103="",F103="İptal"),"",IF(COUNTIFS($C$5:$C$1504,C103,$D$5:$D$1504,"&lt;="&amp;E103,$E$5:$E$1504,"&gt;="&amp;D103,$F$5:$F$1504,"&lt;&gt;İptal")&gt;1,"Çakışıyor",""))</f>
        <v/>
      </c>
    </row>
    <row r="104" customFormat="false" ht="15" hidden="false" customHeight="false" outlineLevel="0" collapsed="false">
      <c r="A104" s="12"/>
      <c r="B104" s="12"/>
      <c r="C104" s="13"/>
      <c r="D104" s="14"/>
      <c r="E104" s="14"/>
      <c r="F104" s="13"/>
      <c r="G104" s="15"/>
      <c r="H104" s="16" t="str">
        <f aca="false">IF(OR(D104="",E104="",E104&lt;D104),"",E104-D104+1)</f>
        <v/>
      </c>
      <c r="I104" s="17" t="str">
        <f aca="false">IF(OR(H104="",C104=""),"",IF(F104="İptal",0,H104*IFERROR(INDEX(Ürünler!$B$5:$B$64,MATCH(C104,Ürünler!$A$5:$A$64,0)),0)-G104))</f>
        <v/>
      </c>
      <c r="J104" s="18" t="str">
        <f aca="false">IF(OR(H104="",C104="",F104="İptal"),"",IF(COUNTIFS($C$5:$C$1504,C104,$D$5:$D$1504,"&lt;="&amp;E104,$E$5:$E$1504,"&gt;="&amp;D104,$F$5:$F$1504,"&lt;&gt;İptal")&gt;1,"Çakışıyor",""))</f>
        <v/>
      </c>
    </row>
    <row r="105" customFormat="false" ht="15" hidden="false" customHeight="false" outlineLevel="0" collapsed="false">
      <c r="A105" s="12"/>
      <c r="B105" s="12"/>
      <c r="C105" s="13"/>
      <c r="D105" s="14"/>
      <c r="E105" s="14"/>
      <c r="F105" s="13"/>
      <c r="G105" s="15"/>
      <c r="H105" s="16" t="str">
        <f aca="false">IF(OR(D105="",E105="",E105&lt;D105),"",E105-D105+1)</f>
        <v/>
      </c>
      <c r="I105" s="17" t="str">
        <f aca="false">IF(OR(H105="",C105=""),"",IF(F105="İptal",0,H105*IFERROR(INDEX(Ürünler!$B$5:$B$64,MATCH(C105,Ürünler!$A$5:$A$64,0)),0)-G105))</f>
        <v/>
      </c>
      <c r="J105" s="18" t="str">
        <f aca="false">IF(OR(H105="",C105="",F105="İptal"),"",IF(COUNTIFS($C$5:$C$1504,C105,$D$5:$D$1504,"&lt;="&amp;E105,$E$5:$E$1504,"&gt;="&amp;D105,$F$5:$F$1504,"&lt;&gt;İptal")&gt;1,"Çakışıyor",""))</f>
        <v/>
      </c>
    </row>
    <row r="106" customFormat="false" ht="15" hidden="false" customHeight="false" outlineLevel="0" collapsed="false">
      <c r="A106" s="12"/>
      <c r="B106" s="12"/>
      <c r="C106" s="13"/>
      <c r="D106" s="14"/>
      <c r="E106" s="14"/>
      <c r="F106" s="13"/>
      <c r="G106" s="15"/>
      <c r="H106" s="16" t="str">
        <f aca="false">IF(OR(D106="",E106="",E106&lt;D106),"",E106-D106+1)</f>
        <v/>
      </c>
      <c r="I106" s="17" t="str">
        <f aca="false">IF(OR(H106="",C106=""),"",IF(F106="İptal",0,H106*IFERROR(INDEX(Ürünler!$B$5:$B$64,MATCH(C106,Ürünler!$A$5:$A$64,0)),0)-G106))</f>
        <v/>
      </c>
      <c r="J106" s="18" t="str">
        <f aca="false">IF(OR(H106="",C106="",F106="İptal"),"",IF(COUNTIFS($C$5:$C$1504,C106,$D$5:$D$1504,"&lt;="&amp;E106,$E$5:$E$1504,"&gt;="&amp;D106,$F$5:$F$1504,"&lt;&gt;İptal")&gt;1,"Çakışıyor",""))</f>
        <v/>
      </c>
    </row>
    <row r="107" customFormat="false" ht="15" hidden="false" customHeight="false" outlineLevel="0" collapsed="false">
      <c r="A107" s="12"/>
      <c r="B107" s="12"/>
      <c r="C107" s="13"/>
      <c r="D107" s="14"/>
      <c r="E107" s="14"/>
      <c r="F107" s="13"/>
      <c r="G107" s="15"/>
      <c r="H107" s="16" t="str">
        <f aca="false">IF(OR(D107="",E107="",E107&lt;D107),"",E107-D107+1)</f>
        <v/>
      </c>
      <c r="I107" s="17" t="str">
        <f aca="false">IF(OR(H107="",C107=""),"",IF(F107="İptal",0,H107*IFERROR(INDEX(Ürünler!$B$5:$B$64,MATCH(C107,Ürünler!$A$5:$A$64,0)),0)-G107))</f>
        <v/>
      </c>
      <c r="J107" s="18" t="str">
        <f aca="false">IF(OR(H107="",C107="",F107="İptal"),"",IF(COUNTIFS($C$5:$C$1504,C107,$D$5:$D$1504,"&lt;="&amp;E107,$E$5:$E$1504,"&gt;="&amp;D107,$F$5:$F$1504,"&lt;&gt;İptal")&gt;1,"Çakışıyor",""))</f>
        <v/>
      </c>
    </row>
    <row r="108" customFormat="false" ht="15" hidden="false" customHeight="false" outlineLevel="0" collapsed="false">
      <c r="A108" s="12"/>
      <c r="B108" s="12"/>
      <c r="C108" s="13"/>
      <c r="D108" s="14"/>
      <c r="E108" s="14"/>
      <c r="F108" s="13"/>
      <c r="G108" s="15"/>
      <c r="H108" s="16" t="str">
        <f aca="false">IF(OR(D108="",E108="",E108&lt;D108),"",E108-D108+1)</f>
        <v/>
      </c>
      <c r="I108" s="17" t="str">
        <f aca="false">IF(OR(H108="",C108=""),"",IF(F108="İptal",0,H108*IFERROR(INDEX(Ürünler!$B$5:$B$64,MATCH(C108,Ürünler!$A$5:$A$64,0)),0)-G108))</f>
        <v/>
      </c>
      <c r="J108" s="18" t="str">
        <f aca="false">IF(OR(H108="",C108="",F108="İptal"),"",IF(COUNTIFS($C$5:$C$1504,C108,$D$5:$D$1504,"&lt;="&amp;E108,$E$5:$E$1504,"&gt;="&amp;D108,$F$5:$F$1504,"&lt;&gt;İptal")&gt;1,"Çakışıyor",""))</f>
        <v/>
      </c>
    </row>
    <row r="109" customFormat="false" ht="15" hidden="false" customHeight="false" outlineLevel="0" collapsed="false">
      <c r="A109" s="12"/>
      <c r="B109" s="12"/>
      <c r="C109" s="13"/>
      <c r="D109" s="14"/>
      <c r="E109" s="14"/>
      <c r="F109" s="13"/>
      <c r="G109" s="15"/>
      <c r="H109" s="16" t="str">
        <f aca="false">IF(OR(D109="",E109="",E109&lt;D109),"",E109-D109+1)</f>
        <v/>
      </c>
      <c r="I109" s="17" t="str">
        <f aca="false">IF(OR(H109="",C109=""),"",IF(F109="İptal",0,H109*IFERROR(INDEX(Ürünler!$B$5:$B$64,MATCH(C109,Ürünler!$A$5:$A$64,0)),0)-G109))</f>
        <v/>
      </c>
      <c r="J109" s="18" t="str">
        <f aca="false">IF(OR(H109="",C109="",F109="İptal"),"",IF(COUNTIFS($C$5:$C$1504,C109,$D$5:$D$1504,"&lt;="&amp;E109,$E$5:$E$1504,"&gt;="&amp;D109,$F$5:$F$1504,"&lt;&gt;İptal")&gt;1,"Çakışıyor",""))</f>
        <v/>
      </c>
    </row>
    <row r="110" customFormat="false" ht="15" hidden="false" customHeight="false" outlineLevel="0" collapsed="false">
      <c r="A110" s="12"/>
      <c r="B110" s="12"/>
      <c r="C110" s="13"/>
      <c r="D110" s="14"/>
      <c r="E110" s="14"/>
      <c r="F110" s="13"/>
      <c r="G110" s="15"/>
      <c r="H110" s="16" t="str">
        <f aca="false">IF(OR(D110="",E110="",E110&lt;D110),"",E110-D110+1)</f>
        <v/>
      </c>
      <c r="I110" s="17" t="str">
        <f aca="false">IF(OR(H110="",C110=""),"",IF(F110="İptal",0,H110*IFERROR(INDEX(Ürünler!$B$5:$B$64,MATCH(C110,Ürünler!$A$5:$A$64,0)),0)-G110))</f>
        <v/>
      </c>
      <c r="J110" s="18" t="str">
        <f aca="false">IF(OR(H110="",C110="",F110="İptal"),"",IF(COUNTIFS($C$5:$C$1504,C110,$D$5:$D$1504,"&lt;="&amp;E110,$E$5:$E$1504,"&gt;="&amp;D110,$F$5:$F$1504,"&lt;&gt;İptal")&gt;1,"Çakışıyor",""))</f>
        <v/>
      </c>
    </row>
    <row r="111" customFormat="false" ht="15" hidden="false" customHeight="false" outlineLevel="0" collapsed="false">
      <c r="A111" s="12"/>
      <c r="B111" s="12"/>
      <c r="C111" s="13"/>
      <c r="D111" s="14"/>
      <c r="E111" s="14"/>
      <c r="F111" s="13"/>
      <c r="G111" s="15"/>
      <c r="H111" s="16" t="str">
        <f aca="false">IF(OR(D111="",E111="",E111&lt;D111),"",E111-D111+1)</f>
        <v/>
      </c>
      <c r="I111" s="17" t="str">
        <f aca="false">IF(OR(H111="",C111=""),"",IF(F111="İptal",0,H111*IFERROR(INDEX(Ürünler!$B$5:$B$64,MATCH(C111,Ürünler!$A$5:$A$64,0)),0)-G111))</f>
        <v/>
      </c>
      <c r="J111" s="18" t="str">
        <f aca="false">IF(OR(H111="",C111="",F111="İptal"),"",IF(COUNTIFS($C$5:$C$1504,C111,$D$5:$D$1504,"&lt;="&amp;E111,$E$5:$E$1504,"&gt;="&amp;D111,$F$5:$F$1504,"&lt;&gt;İptal")&gt;1,"Çakışıyor",""))</f>
        <v/>
      </c>
    </row>
    <row r="112" customFormat="false" ht="15" hidden="false" customHeight="false" outlineLevel="0" collapsed="false">
      <c r="A112" s="12"/>
      <c r="B112" s="12"/>
      <c r="C112" s="13"/>
      <c r="D112" s="14"/>
      <c r="E112" s="14"/>
      <c r="F112" s="13"/>
      <c r="G112" s="15"/>
      <c r="H112" s="16" t="str">
        <f aca="false">IF(OR(D112="",E112="",E112&lt;D112),"",E112-D112+1)</f>
        <v/>
      </c>
      <c r="I112" s="17" t="str">
        <f aca="false">IF(OR(H112="",C112=""),"",IF(F112="İptal",0,H112*IFERROR(INDEX(Ürünler!$B$5:$B$64,MATCH(C112,Ürünler!$A$5:$A$64,0)),0)-G112))</f>
        <v/>
      </c>
      <c r="J112" s="18" t="str">
        <f aca="false">IF(OR(H112="",C112="",F112="İptal"),"",IF(COUNTIFS($C$5:$C$1504,C112,$D$5:$D$1504,"&lt;="&amp;E112,$E$5:$E$1504,"&gt;="&amp;D112,$F$5:$F$1504,"&lt;&gt;İptal")&gt;1,"Çakışıyor",""))</f>
        <v/>
      </c>
    </row>
    <row r="113" customFormat="false" ht="15" hidden="false" customHeight="false" outlineLevel="0" collapsed="false">
      <c r="A113" s="12"/>
      <c r="B113" s="12"/>
      <c r="C113" s="13"/>
      <c r="D113" s="14"/>
      <c r="E113" s="14"/>
      <c r="F113" s="13"/>
      <c r="G113" s="15"/>
      <c r="H113" s="16" t="str">
        <f aca="false">IF(OR(D113="",E113="",E113&lt;D113),"",E113-D113+1)</f>
        <v/>
      </c>
      <c r="I113" s="17" t="str">
        <f aca="false">IF(OR(H113="",C113=""),"",IF(F113="İptal",0,H113*IFERROR(INDEX(Ürünler!$B$5:$B$64,MATCH(C113,Ürünler!$A$5:$A$64,0)),0)-G113))</f>
        <v/>
      </c>
      <c r="J113" s="18" t="str">
        <f aca="false">IF(OR(H113="",C113="",F113="İptal"),"",IF(COUNTIFS($C$5:$C$1504,C113,$D$5:$D$1504,"&lt;="&amp;E113,$E$5:$E$1504,"&gt;="&amp;D113,$F$5:$F$1504,"&lt;&gt;İptal")&gt;1,"Çakışıyor",""))</f>
        <v/>
      </c>
    </row>
    <row r="114" customFormat="false" ht="15" hidden="false" customHeight="false" outlineLevel="0" collapsed="false">
      <c r="A114" s="12"/>
      <c r="B114" s="12"/>
      <c r="C114" s="13"/>
      <c r="D114" s="14"/>
      <c r="E114" s="14"/>
      <c r="F114" s="13"/>
      <c r="G114" s="15"/>
      <c r="H114" s="16" t="str">
        <f aca="false">IF(OR(D114="",E114="",E114&lt;D114),"",E114-D114+1)</f>
        <v/>
      </c>
      <c r="I114" s="17" t="str">
        <f aca="false">IF(OR(H114="",C114=""),"",IF(F114="İptal",0,H114*IFERROR(INDEX(Ürünler!$B$5:$B$64,MATCH(C114,Ürünler!$A$5:$A$64,0)),0)-G114))</f>
        <v/>
      </c>
      <c r="J114" s="18" t="str">
        <f aca="false">IF(OR(H114="",C114="",F114="İptal"),"",IF(COUNTIFS($C$5:$C$1504,C114,$D$5:$D$1504,"&lt;="&amp;E114,$E$5:$E$1504,"&gt;="&amp;D114,$F$5:$F$1504,"&lt;&gt;İptal")&gt;1,"Çakışıyor",""))</f>
        <v/>
      </c>
    </row>
    <row r="115" customFormat="false" ht="15" hidden="false" customHeight="false" outlineLevel="0" collapsed="false">
      <c r="A115" s="12"/>
      <c r="B115" s="12"/>
      <c r="C115" s="13"/>
      <c r="D115" s="14"/>
      <c r="E115" s="14"/>
      <c r="F115" s="13"/>
      <c r="G115" s="15"/>
      <c r="H115" s="16" t="str">
        <f aca="false">IF(OR(D115="",E115="",E115&lt;D115),"",E115-D115+1)</f>
        <v/>
      </c>
      <c r="I115" s="17" t="str">
        <f aca="false">IF(OR(H115="",C115=""),"",IF(F115="İptal",0,H115*IFERROR(INDEX(Ürünler!$B$5:$B$64,MATCH(C115,Ürünler!$A$5:$A$64,0)),0)-G115))</f>
        <v/>
      </c>
      <c r="J115" s="18" t="str">
        <f aca="false">IF(OR(H115="",C115="",F115="İptal"),"",IF(COUNTIFS($C$5:$C$1504,C115,$D$5:$D$1504,"&lt;="&amp;E115,$E$5:$E$1504,"&gt;="&amp;D115,$F$5:$F$1504,"&lt;&gt;İptal")&gt;1,"Çakışıyor",""))</f>
        <v/>
      </c>
    </row>
    <row r="116" customFormat="false" ht="15" hidden="false" customHeight="false" outlineLevel="0" collapsed="false">
      <c r="A116" s="12"/>
      <c r="B116" s="12"/>
      <c r="C116" s="13"/>
      <c r="D116" s="14"/>
      <c r="E116" s="14"/>
      <c r="F116" s="13"/>
      <c r="G116" s="15"/>
      <c r="H116" s="16" t="str">
        <f aca="false">IF(OR(D116="",E116="",E116&lt;D116),"",E116-D116+1)</f>
        <v/>
      </c>
      <c r="I116" s="17" t="str">
        <f aca="false">IF(OR(H116="",C116=""),"",IF(F116="İptal",0,H116*IFERROR(INDEX(Ürünler!$B$5:$B$64,MATCH(C116,Ürünler!$A$5:$A$64,0)),0)-G116))</f>
        <v/>
      </c>
      <c r="J116" s="18" t="str">
        <f aca="false">IF(OR(H116="",C116="",F116="İptal"),"",IF(COUNTIFS($C$5:$C$1504,C116,$D$5:$D$1504,"&lt;="&amp;E116,$E$5:$E$1504,"&gt;="&amp;D116,$F$5:$F$1504,"&lt;&gt;İptal")&gt;1,"Çakışıyor",""))</f>
        <v/>
      </c>
    </row>
    <row r="117" customFormat="false" ht="15" hidden="false" customHeight="false" outlineLevel="0" collapsed="false">
      <c r="A117" s="12"/>
      <c r="B117" s="12"/>
      <c r="C117" s="13"/>
      <c r="D117" s="14"/>
      <c r="E117" s="14"/>
      <c r="F117" s="13"/>
      <c r="G117" s="15"/>
      <c r="H117" s="16" t="str">
        <f aca="false">IF(OR(D117="",E117="",E117&lt;D117),"",E117-D117+1)</f>
        <v/>
      </c>
      <c r="I117" s="17" t="str">
        <f aca="false">IF(OR(H117="",C117=""),"",IF(F117="İptal",0,H117*IFERROR(INDEX(Ürünler!$B$5:$B$64,MATCH(C117,Ürünler!$A$5:$A$64,0)),0)-G117))</f>
        <v/>
      </c>
      <c r="J117" s="18" t="str">
        <f aca="false">IF(OR(H117="",C117="",F117="İptal"),"",IF(COUNTIFS($C$5:$C$1504,C117,$D$5:$D$1504,"&lt;="&amp;E117,$E$5:$E$1504,"&gt;="&amp;D117,$F$5:$F$1504,"&lt;&gt;İptal")&gt;1,"Çakışıyor",""))</f>
        <v/>
      </c>
    </row>
    <row r="118" customFormat="false" ht="15" hidden="false" customHeight="false" outlineLevel="0" collapsed="false">
      <c r="A118" s="12"/>
      <c r="B118" s="12"/>
      <c r="C118" s="13"/>
      <c r="D118" s="14"/>
      <c r="E118" s="14"/>
      <c r="F118" s="13"/>
      <c r="G118" s="15"/>
      <c r="H118" s="16" t="str">
        <f aca="false">IF(OR(D118="",E118="",E118&lt;D118),"",E118-D118+1)</f>
        <v/>
      </c>
      <c r="I118" s="17" t="str">
        <f aca="false">IF(OR(H118="",C118=""),"",IF(F118="İptal",0,H118*IFERROR(INDEX(Ürünler!$B$5:$B$64,MATCH(C118,Ürünler!$A$5:$A$64,0)),0)-G118))</f>
        <v/>
      </c>
      <c r="J118" s="18" t="str">
        <f aca="false">IF(OR(H118="",C118="",F118="İptal"),"",IF(COUNTIFS($C$5:$C$1504,C118,$D$5:$D$1504,"&lt;="&amp;E118,$E$5:$E$1504,"&gt;="&amp;D118,$F$5:$F$1504,"&lt;&gt;İptal")&gt;1,"Çakışıyor",""))</f>
        <v/>
      </c>
    </row>
    <row r="119" customFormat="false" ht="15" hidden="false" customHeight="false" outlineLevel="0" collapsed="false">
      <c r="A119" s="12"/>
      <c r="B119" s="12"/>
      <c r="C119" s="13"/>
      <c r="D119" s="14"/>
      <c r="E119" s="14"/>
      <c r="F119" s="13"/>
      <c r="G119" s="15"/>
      <c r="H119" s="16" t="str">
        <f aca="false">IF(OR(D119="",E119="",E119&lt;D119),"",E119-D119+1)</f>
        <v/>
      </c>
      <c r="I119" s="17" t="str">
        <f aca="false">IF(OR(H119="",C119=""),"",IF(F119="İptal",0,H119*IFERROR(INDEX(Ürünler!$B$5:$B$64,MATCH(C119,Ürünler!$A$5:$A$64,0)),0)-G119))</f>
        <v/>
      </c>
      <c r="J119" s="18" t="str">
        <f aca="false">IF(OR(H119="",C119="",F119="İptal"),"",IF(COUNTIFS($C$5:$C$1504,C119,$D$5:$D$1504,"&lt;="&amp;E119,$E$5:$E$1504,"&gt;="&amp;D119,$F$5:$F$1504,"&lt;&gt;İptal")&gt;1,"Çakışıyor",""))</f>
        <v/>
      </c>
    </row>
    <row r="120" customFormat="false" ht="15" hidden="false" customHeight="false" outlineLevel="0" collapsed="false">
      <c r="A120" s="12"/>
      <c r="B120" s="12"/>
      <c r="C120" s="13"/>
      <c r="D120" s="14"/>
      <c r="E120" s="14"/>
      <c r="F120" s="13"/>
      <c r="G120" s="15"/>
      <c r="H120" s="16" t="str">
        <f aca="false">IF(OR(D120="",E120="",E120&lt;D120),"",E120-D120+1)</f>
        <v/>
      </c>
      <c r="I120" s="17" t="str">
        <f aca="false">IF(OR(H120="",C120=""),"",IF(F120="İptal",0,H120*IFERROR(INDEX(Ürünler!$B$5:$B$64,MATCH(C120,Ürünler!$A$5:$A$64,0)),0)-G120))</f>
        <v/>
      </c>
      <c r="J120" s="18" t="str">
        <f aca="false">IF(OR(H120="",C120="",F120="İptal"),"",IF(COUNTIFS($C$5:$C$1504,C120,$D$5:$D$1504,"&lt;="&amp;E120,$E$5:$E$1504,"&gt;="&amp;D120,$F$5:$F$1504,"&lt;&gt;İptal")&gt;1,"Çakışıyor",""))</f>
        <v/>
      </c>
    </row>
    <row r="121" customFormat="false" ht="15" hidden="false" customHeight="false" outlineLevel="0" collapsed="false">
      <c r="A121" s="12"/>
      <c r="B121" s="12"/>
      <c r="C121" s="13"/>
      <c r="D121" s="14"/>
      <c r="E121" s="14"/>
      <c r="F121" s="13"/>
      <c r="G121" s="15"/>
      <c r="H121" s="16" t="str">
        <f aca="false">IF(OR(D121="",E121="",E121&lt;D121),"",E121-D121+1)</f>
        <v/>
      </c>
      <c r="I121" s="17" t="str">
        <f aca="false">IF(OR(H121="",C121=""),"",IF(F121="İptal",0,H121*IFERROR(INDEX(Ürünler!$B$5:$B$64,MATCH(C121,Ürünler!$A$5:$A$64,0)),0)-G121))</f>
        <v/>
      </c>
      <c r="J121" s="18" t="str">
        <f aca="false">IF(OR(H121="",C121="",F121="İptal"),"",IF(COUNTIFS($C$5:$C$1504,C121,$D$5:$D$1504,"&lt;="&amp;E121,$E$5:$E$1504,"&gt;="&amp;D121,$F$5:$F$1504,"&lt;&gt;İptal")&gt;1,"Çakışıyor",""))</f>
        <v/>
      </c>
    </row>
    <row r="122" customFormat="false" ht="15" hidden="false" customHeight="false" outlineLevel="0" collapsed="false">
      <c r="A122" s="12"/>
      <c r="B122" s="12"/>
      <c r="C122" s="13"/>
      <c r="D122" s="14"/>
      <c r="E122" s="14"/>
      <c r="F122" s="13"/>
      <c r="G122" s="15"/>
      <c r="H122" s="16" t="str">
        <f aca="false">IF(OR(D122="",E122="",E122&lt;D122),"",E122-D122+1)</f>
        <v/>
      </c>
      <c r="I122" s="17" t="str">
        <f aca="false">IF(OR(H122="",C122=""),"",IF(F122="İptal",0,H122*IFERROR(INDEX(Ürünler!$B$5:$B$64,MATCH(C122,Ürünler!$A$5:$A$64,0)),0)-G122))</f>
        <v/>
      </c>
      <c r="J122" s="18" t="str">
        <f aca="false">IF(OR(H122="",C122="",F122="İptal"),"",IF(COUNTIFS($C$5:$C$1504,C122,$D$5:$D$1504,"&lt;="&amp;E122,$E$5:$E$1504,"&gt;="&amp;D122,$F$5:$F$1504,"&lt;&gt;İptal")&gt;1,"Çakışıyor",""))</f>
        <v/>
      </c>
    </row>
    <row r="123" customFormat="false" ht="15" hidden="false" customHeight="false" outlineLevel="0" collapsed="false">
      <c r="A123" s="12"/>
      <c r="B123" s="12"/>
      <c r="C123" s="13"/>
      <c r="D123" s="14"/>
      <c r="E123" s="14"/>
      <c r="F123" s="13"/>
      <c r="G123" s="15"/>
      <c r="H123" s="16" t="str">
        <f aca="false">IF(OR(D123="",E123="",E123&lt;D123),"",E123-D123+1)</f>
        <v/>
      </c>
      <c r="I123" s="17" t="str">
        <f aca="false">IF(OR(H123="",C123=""),"",IF(F123="İptal",0,H123*IFERROR(INDEX(Ürünler!$B$5:$B$64,MATCH(C123,Ürünler!$A$5:$A$64,0)),0)-G123))</f>
        <v/>
      </c>
      <c r="J123" s="18" t="str">
        <f aca="false">IF(OR(H123="",C123="",F123="İptal"),"",IF(COUNTIFS($C$5:$C$1504,C123,$D$5:$D$1504,"&lt;="&amp;E123,$E$5:$E$1504,"&gt;="&amp;D123,$F$5:$F$1504,"&lt;&gt;İptal")&gt;1,"Çakışıyor",""))</f>
        <v/>
      </c>
    </row>
    <row r="124" customFormat="false" ht="15" hidden="false" customHeight="false" outlineLevel="0" collapsed="false">
      <c r="A124" s="12"/>
      <c r="B124" s="12"/>
      <c r="C124" s="13"/>
      <c r="D124" s="14"/>
      <c r="E124" s="14"/>
      <c r="F124" s="13"/>
      <c r="G124" s="15"/>
      <c r="H124" s="16" t="str">
        <f aca="false">IF(OR(D124="",E124="",E124&lt;D124),"",E124-D124+1)</f>
        <v/>
      </c>
      <c r="I124" s="17" t="str">
        <f aca="false">IF(OR(H124="",C124=""),"",IF(F124="İptal",0,H124*IFERROR(INDEX(Ürünler!$B$5:$B$64,MATCH(C124,Ürünler!$A$5:$A$64,0)),0)-G124))</f>
        <v/>
      </c>
      <c r="J124" s="18" t="str">
        <f aca="false">IF(OR(H124="",C124="",F124="İptal"),"",IF(COUNTIFS($C$5:$C$1504,C124,$D$5:$D$1504,"&lt;="&amp;E124,$E$5:$E$1504,"&gt;="&amp;D124,$F$5:$F$1504,"&lt;&gt;İptal")&gt;1,"Çakışıyor",""))</f>
        <v/>
      </c>
    </row>
    <row r="125" customFormat="false" ht="15" hidden="false" customHeight="false" outlineLevel="0" collapsed="false">
      <c r="A125" s="12"/>
      <c r="B125" s="12"/>
      <c r="C125" s="13"/>
      <c r="D125" s="14"/>
      <c r="E125" s="14"/>
      <c r="F125" s="13"/>
      <c r="G125" s="15"/>
      <c r="H125" s="16" t="str">
        <f aca="false">IF(OR(D125="",E125="",E125&lt;D125),"",E125-D125+1)</f>
        <v/>
      </c>
      <c r="I125" s="17" t="str">
        <f aca="false">IF(OR(H125="",C125=""),"",IF(F125="İptal",0,H125*IFERROR(INDEX(Ürünler!$B$5:$B$64,MATCH(C125,Ürünler!$A$5:$A$64,0)),0)-G125))</f>
        <v/>
      </c>
      <c r="J125" s="18" t="str">
        <f aca="false">IF(OR(H125="",C125="",F125="İptal"),"",IF(COUNTIFS($C$5:$C$1504,C125,$D$5:$D$1504,"&lt;="&amp;E125,$E$5:$E$1504,"&gt;="&amp;D125,$F$5:$F$1504,"&lt;&gt;İptal")&gt;1,"Çakışıyor",""))</f>
        <v/>
      </c>
    </row>
    <row r="126" customFormat="false" ht="15" hidden="false" customHeight="false" outlineLevel="0" collapsed="false">
      <c r="A126" s="12"/>
      <c r="B126" s="12"/>
      <c r="C126" s="13"/>
      <c r="D126" s="14"/>
      <c r="E126" s="14"/>
      <c r="F126" s="13"/>
      <c r="G126" s="15"/>
      <c r="H126" s="16" t="str">
        <f aca="false">IF(OR(D126="",E126="",E126&lt;D126),"",E126-D126+1)</f>
        <v/>
      </c>
      <c r="I126" s="17" t="str">
        <f aca="false">IF(OR(H126="",C126=""),"",IF(F126="İptal",0,H126*IFERROR(INDEX(Ürünler!$B$5:$B$64,MATCH(C126,Ürünler!$A$5:$A$64,0)),0)-G126))</f>
        <v/>
      </c>
      <c r="J126" s="18" t="str">
        <f aca="false">IF(OR(H126="",C126="",F126="İptal"),"",IF(COUNTIFS($C$5:$C$1504,C126,$D$5:$D$1504,"&lt;="&amp;E126,$E$5:$E$1504,"&gt;="&amp;D126,$F$5:$F$1504,"&lt;&gt;İptal")&gt;1,"Çakışıyor",""))</f>
        <v/>
      </c>
    </row>
    <row r="127" customFormat="false" ht="15" hidden="false" customHeight="false" outlineLevel="0" collapsed="false">
      <c r="A127" s="12"/>
      <c r="B127" s="12"/>
      <c r="C127" s="13"/>
      <c r="D127" s="14"/>
      <c r="E127" s="14"/>
      <c r="F127" s="13"/>
      <c r="G127" s="15"/>
      <c r="H127" s="16" t="str">
        <f aca="false">IF(OR(D127="",E127="",E127&lt;D127),"",E127-D127+1)</f>
        <v/>
      </c>
      <c r="I127" s="17" t="str">
        <f aca="false">IF(OR(H127="",C127=""),"",IF(F127="İptal",0,H127*IFERROR(INDEX(Ürünler!$B$5:$B$64,MATCH(C127,Ürünler!$A$5:$A$64,0)),0)-G127))</f>
        <v/>
      </c>
      <c r="J127" s="18" t="str">
        <f aca="false">IF(OR(H127="",C127="",F127="İptal"),"",IF(COUNTIFS($C$5:$C$1504,C127,$D$5:$D$1504,"&lt;="&amp;E127,$E$5:$E$1504,"&gt;="&amp;D127,$F$5:$F$1504,"&lt;&gt;İptal")&gt;1,"Çakışıyor",""))</f>
        <v/>
      </c>
    </row>
    <row r="128" customFormat="false" ht="15" hidden="false" customHeight="false" outlineLevel="0" collapsed="false">
      <c r="A128" s="12"/>
      <c r="B128" s="12"/>
      <c r="C128" s="13"/>
      <c r="D128" s="14"/>
      <c r="E128" s="14"/>
      <c r="F128" s="13"/>
      <c r="G128" s="15"/>
      <c r="H128" s="16" t="str">
        <f aca="false">IF(OR(D128="",E128="",E128&lt;D128),"",E128-D128+1)</f>
        <v/>
      </c>
      <c r="I128" s="17" t="str">
        <f aca="false">IF(OR(H128="",C128=""),"",IF(F128="İptal",0,H128*IFERROR(INDEX(Ürünler!$B$5:$B$64,MATCH(C128,Ürünler!$A$5:$A$64,0)),0)-G128))</f>
        <v/>
      </c>
      <c r="J128" s="18" t="str">
        <f aca="false">IF(OR(H128="",C128="",F128="İptal"),"",IF(COUNTIFS($C$5:$C$1504,C128,$D$5:$D$1504,"&lt;="&amp;E128,$E$5:$E$1504,"&gt;="&amp;D128,$F$5:$F$1504,"&lt;&gt;İptal")&gt;1,"Çakışıyor",""))</f>
        <v/>
      </c>
    </row>
    <row r="129" customFormat="false" ht="15" hidden="false" customHeight="false" outlineLevel="0" collapsed="false">
      <c r="A129" s="12"/>
      <c r="B129" s="12"/>
      <c r="C129" s="13"/>
      <c r="D129" s="14"/>
      <c r="E129" s="14"/>
      <c r="F129" s="13"/>
      <c r="G129" s="15"/>
      <c r="H129" s="16" t="str">
        <f aca="false">IF(OR(D129="",E129="",E129&lt;D129),"",E129-D129+1)</f>
        <v/>
      </c>
      <c r="I129" s="17" t="str">
        <f aca="false">IF(OR(H129="",C129=""),"",IF(F129="İptal",0,H129*IFERROR(INDEX(Ürünler!$B$5:$B$64,MATCH(C129,Ürünler!$A$5:$A$64,0)),0)-G129))</f>
        <v/>
      </c>
      <c r="J129" s="18" t="str">
        <f aca="false">IF(OR(H129="",C129="",F129="İptal"),"",IF(COUNTIFS($C$5:$C$1504,C129,$D$5:$D$1504,"&lt;="&amp;E129,$E$5:$E$1504,"&gt;="&amp;D129,$F$5:$F$1504,"&lt;&gt;İptal")&gt;1,"Çakışıyor",""))</f>
        <v/>
      </c>
    </row>
    <row r="130" customFormat="false" ht="15" hidden="false" customHeight="false" outlineLevel="0" collapsed="false">
      <c r="A130" s="12"/>
      <c r="B130" s="12"/>
      <c r="C130" s="13"/>
      <c r="D130" s="14"/>
      <c r="E130" s="14"/>
      <c r="F130" s="13"/>
      <c r="G130" s="15"/>
      <c r="H130" s="16" t="str">
        <f aca="false">IF(OR(D130="",E130="",E130&lt;D130),"",E130-D130+1)</f>
        <v/>
      </c>
      <c r="I130" s="17" t="str">
        <f aca="false">IF(OR(H130="",C130=""),"",IF(F130="İptal",0,H130*IFERROR(INDEX(Ürünler!$B$5:$B$64,MATCH(C130,Ürünler!$A$5:$A$64,0)),0)-G130))</f>
        <v/>
      </c>
      <c r="J130" s="18" t="str">
        <f aca="false">IF(OR(H130="",C130="",F130="İptal"),"",IF(COUNTIFS($C$5:$C$1504,C130,$D$5:$D$1504,"&lt;="&amp;E130,$E$5:$E$1504,"&gt;="&amp;D130,$F$5:$F$1504,"&lt;&gt;İptal")&gt;1,"Çakışıyor",""))</f>
        <v/>
      </c>
    </row>
    <row r="131" customFormat="false" ht="15" hidden="false" customHeight="false" outlineLevel="0" collapsed="false">
      <c r="A131" s="12"/>
      <c r="B131" s="12"/>
      <c r="C131" s="13"/>
      <c r="D131" s="14"/>
      <c r="E131" s="14"/>
      <c r="F131" s="13"/>
      <c r="G131" s="15"/>
      <c r="H131" s="16" t="str">
        <f aca="false">IF(OR(D131="",E131="",E131&lt;D131),"",E131-D131+1)</f>
        <v/>
      </c>
      <c r="I131" s="17" t="str">
        <f aca="false">IF(OR(H131="",C131=""),"",IF(F131="İptal",0,H131*IFERROR(INDEX(Ürünler!$B$5:$B$64,MATCH(C131,Ürünler!$A$5:$A$64,0)),0)-G131))</f>
        <v/>
      </c>
      <c r="J131" s="18" t="str">
        <f aca="false">IF(OR(H131="",C131="",F131="İptal"),"",IF(COUNTIFS($C$5:$C$1504,C131,$D$5:$D$1504,"&lt;="&amp;E131,$E$5:$E$1504,"&gt;="&amp;D131,$F$5:$F$1504,"&lt;&gt;İptal")&gt;1,"Çakışıyor",""))</f>
        <v/>
      </c>
    </row>
    <row r="132" customFormat="false" ht="15" hidden="false" customHeight="false" outlineLevel="0" collapsed="false">
      <c r="A132" s="12"/>
      <c r="B132" s="12"/>
      <c r="C132" s="13"/>
      <c r="D132" s="14"/>
      <c r="E132" s="14"/>
      <c r="F132" s="13"/>
      <c r="G132" s="15"/>
      <c r="H132" s="16" t="str">
        <f aca="false">IF(OR(D132="",E132="",E132&lt;D132),"",E132-D132+1)</f>
        <v/>
      </c>
      <c r="I132" s="17" t="str">
        <f aca="false">IF(OR(H132="",C132=""),"",IF(F132="İptal",0,H132*IFERROR(INDEX(Ürünler!$B$5:$B$64,MATCH(C132,Ürünler!$A$5:$A$64,0)),0)-G132))</f>
        <v/>
      </c>
      <c r="J132" s="18" t="str">
        <f aca="false">IF(OR(H132="",C132="",F132="İptal"),"",IF(COUNTIFS($C$5:$C$1504,C132,$D$5:$D$1504,"&lt;="&amp;E132,$E$5:$E$1504,"&gt;="&amp;D132,$F$5:$F$1504,"&lt;&gt;İptal")&gt;1,"Çakışıyor",""))</f>
        <v/>
      </c>
    </row>
    <row r="133" customFormat="false" ht="15" hidden="false" customHeight="false" outlineLevel="0" collapsed="false">
      <c r="A133" s="12"/>
      <c r="B133" s="12"/>
      <c r="C133" s="13"/>
      <c r="D133" s="14"/>
      <c r="E133" s="14"/>
      <c r="F133" s="13"/>
      <c r="G133" s="15"/>
      <c r="H133" s="16" t="str">
        <f aca="false">IF(OR(D133="",E133="",E133&lt;D133),"",E133-D133+1)</f>
        <v/>
      </c>
      <c r="I133" s="17" t="str">
        <f aca="false">IF(OR(H133="",C133=""),"",IF(F133="İptal",0,H133*IFERROR(INDEX(Ürünler!$B$5:$B$64,MATCH(C133,Ürünler!$A$5:$A$64,0)),0)-G133))</f>
        <v/>
      </c>
      <c r="J133" s="18" t="str">
        <f aca="false">IF(OR(H133="",C133="",F133="İptal"),"",IF(COUNTIFS($C$5:$C$1504,C133,$D$5:$D$1504,"&lt;="&amp;E133,$E$5:$E$1504,"&gt;="&amp;D133,$F$5:$F$1504,"&lt;&gt;İptal")&gt;1,"Çakışıyor",""))</f>
        <v/>
      </c>
    </row>
    <row r="134" customFormat="false" ht="15" hidden="false" customHeight="false" outlineLevel="0" collapsed="false">
      <c r="A134" s="12"/>
      <c r="B134" s="12"/>
      <c r="C134" s="13"/>
      <c r="D134" s="14"/>
      <c r="E134" s="14"/>
      <c r="F134" s="13"/>
      <c r="G134" s="15"/>
      <c r="H134" s="16" t="str">
        <f aca="false">IF(OR(D134="",E134="",E134&lt;D134),"",E134-D134+1)</f>
        <v/>
      </c>
      <c r="I134" s="17" t="str">
        <f aca="false">IF(OR(H134="",C134=""),"",IF(F134="İptal",0,H134*IFERROR(INDEX(Ürünler!$B$5:$B$64,MATCH(C134,Ürünler!$A$5:$A$64,0)),0)-G134))</f>
        <v/>
      </c>
      <c r="J134" s="18" t="str">
        <f aca="false">IF(OR(H134="",C134="",F134="İptal"),"",IF(COUNTIFS($C$5:$C$1504,C134,$D$5:$D$1504,"&lt;="&amp;E134,$E$5:$E$1504,"&gt;="&amp;D134,$F$5:$F$1504,"&lt;&gt;İptal")&gt;1,"Çakışıyor",""))</f>
        <v/>
      </c>
    </row>
    <row r="135" customFormat="false" ht="15" hidden="false" customHeight="false" outlineLevel="0" collapsed="false">
      <c r="A135" s="12"/>
      <c r="B135" s="12"/>
      <c r="C135" s="13"/>
      <c r="D135" s="14"/>
      <c r="E135" s="14"/>
      <c r="F135" s="13"/>
      <c r="G135" s="15"/>
      <c r="H135" s="16" t="str">
        <f aca="false">IF(OR(D135="",E135="",E135&lt;D135),"",E135-D135+1)</f>
        <v/>
      </c>
      <c r="I135" s="17" t="str">
        <f aca="false">IF(OR(H135="",C135=""),"",IF(F135="İptal",0,H135*IFERROR(INDEX(Ürünler!$B$5:$B$64,MATCH(C135,Ürünler!$A$5:$A$64,0)),0)-G135))</f>
        <v/>
      </c>
      <c r="J135" s="18" t="str">
        <f aca="false">IF(OR(H135="",C135="",F135="İptal"),"",IF(COUNTIFS($C$5:$C$1504,C135,$D$5:$D$1504,"&lt;="&amp;E135,$E$5:$E$1504,"&gt;="&amp;D135,$F$5:$F$1504,"&lt;&gt;İptal")&gt;1,"Çakışıyor",""))</f>
        <v/>
      </c>
    </row>
    <row r="136" customFormat="false" ht="15" hidden="false" customHeight="false" outlineLevel="0" collapsed="false">
      <c r="A136" s="12"/>
      <c r="B136" s="12"/>
      <c r="C136" s="13"/>
      <c r="D136" s="14"/>
      <c r="E136" s="14"/>
      <c r="F136" s="13"/>
      <c r="G136" s="15"/>
      <c r="H136" s="16" t="str">
        <f aca="false">IF(OR(D136="",E136="",E136&lt;D136),"",E136-D136+1)</f>
        <v/>
      </c>
      <c r="I136" s="17" t="str">
        <f aca="false">IF(OR(H136="",C136=""),"",IF(F136="İptal",0,H136*IFERROR(INDEX(Ürünler!$B$5:$B$64,MATCH(C136,Ürünler!$A$5:$A$64,0)),0)-G136))</f>
        <v/>
      </c>
      <c r="J136" s="18" t="str">
        <f aca="false">IF(OR(H136="",C136="",F136="İptal"),"",IF(COUNTIFS($C$5:$C$1504,C136,$D$5:$D$1504,"&lt;="&amp;E136,$E$5:$E$1504,"&gt;="&amp;D136,$F$5:$F$1504,"&lt;&gt;İptal")&gt;1,"Çakışıyor",""))</f>
        <v/>
      </c>
    </row>
    <row r="137" customFormat="false" ht="15" hidden="false" customHeight="false" outlineLevel="0" collapsed="false">
      <c r="A137" s="12"/>
      <c r="B137" s="12"/>
      <c r="C137" s="13"/>
      <c r="D137" s="14"/>
      <c r="E137" s="14"/>
      <c r="F137" s="13"/>
      <c r="G137" s="15"/>
      <c r="H137" s="16" t="str">
        <f aca="false">IF(OR(D137="",E137="",E137&lt;D137),"",E137-D137+1)</f>
        <v/>
      </c>
      <c r="I137" s="17" t="str">
        <f aca="false">IF(OR(H137="",C137=""),"",IF(F137="İptal",0,H137*IFERROR(INDEX(Ürünler!$B$5:$B$64,MATCH(C137,Ürünler!$A$5:$A$64,0)),0)-G137))</f>
        <v/>
      </c>
      <c r="J137" s="18" t="str">
        <f aca="false">IF(OR(H137="",C137="",F137="İptal"),"",IF(COUNTIFS($C$5:$C$1504,C137,$D$5:$D$1504,"&lt;="&amp;E137,$E$5:$E$1504,"&gt;="&amp;D137,$F$5:$F$1504,"&lt;&gt;İptal")&gt;1,"Çakışıyor",""))</f>
        <v/>
      </c>
    </row>
    <row r="138" customFormat="false" ht="15" hidden="false" customHeight="false" outlineLevel="0" collapsed="false">
      <c r="A138" s="12"/>
      <c r="B138" s="12"/>
      <c r="C138" s="13"/>
      <c r="D138" s="14"/>
      <c r="E138" s="14"/>
      <c r="F138" s="13"/>
      <c r="G138" s="15"/>
      <c r="H138" s="16" t="str">
        <f aca="false">IF(OR(D138="",E138="",E138&lt;D138),"",E138-D138+1)</f>
        <v/>
      </c>
      <c r="I138" s="17" t="str">
        <f aca="false">IF(OR(H138="",C138=""),"",IF(F138="İptal",0,H138*IFERROR(INDEX(Ürünler!$B$5:$B$64,MATCH(C138,Ürünler!$A$5:$A$64,0)),0)-G138))</f>
        <v/>
      </c>
      <c r="J138" s="18" t="str">
        <f aca="false">IF(OR(H138="",C138="",F138="İptal"),"",IF(COUNTIFS($C$5:$C$1504,C138,$D$5:$D$1504,"&lt;="&amp;E138,$E$5:$E$1504,"&gt;="&amp;D138,$F$5:$F$1504,"&lt;&gt;İptal")&gt;1,"Çakışıyor",""))</f>
        <v/>
      </c>
    </row>
    <row r="139" customFormat="false" ht="15" hidden="false" customHeight="false" outlineLevel="0" collapsed="false">
      <c r="A139" s="12"/>
      <c r="B139" s="12"/>
      <c r="C139" s="13"/>
      <c r="D139" s="14"/>
      <c r="E139" s="14"/>
      <c r="F139" s="13"/>
      <c r="G139" s="15"/>
      <c r="H139" s="16" t="str">
        <f aca="false">IF(OR(D139="",E139="",E139&lt;D139),"",E139-D139+1)</f>
        <v/>
      </c>
      <c r="I139" s="17" t="str">
        <f aca="false">IF(OR(H139="",C139=""),"",IF(F139="İptal",0,H139*IFERROR(INDEX(Ürünler!$B$5:$B$64,MATCH(C139,Ürünler!$A$5:$A$64,0)),0)-G139))</f>
        <v/>
      </c>
      <c r="J139" s="18" t="str">
        <f aca="false">IF(OR(H139="",C139="",F139="İptal"),"",IF(COUNTIFS($C$5:$C$1504,C139,$D$5:$D$1504,"&lt;="&amp;E139,$E$5:$E$1504,"&gt;="&amp;D139,$F$5:$F$1504,"&lt;&gt;İptal")&gt;1,"Çakışıyor",""))</f>
        <v/>
      </c>
    </row>
    <row r="140" customFormat="false" ht="15" hidden="false" customHeight="false" outlineLevel="0" collapsed="false">
      <c r="A140" s="12"/>
      <c r="B140" s="12"/>
      <c r="C140" s="13"/>
      <c r="D140" s="14"/>
      <c r="E140" s="14"/>
      <c r="F140" s="13"/>
      <c r="G140" s="15"/>
      <c r="H140" s="16" t="str">
        <f aca="false">IF(OR(D140="",E140="",E140&lt;D140),"",E140-D140+1)</f>
        <v/>
      </c>
      <c r="I140" s="17" t="str">
        <f aca="false">IF(OR(H140="",C140=""),"",IF(F140="İptal",0,H140*IFERROR(INDEX(Ürünler!$B$5:$B$64,MATCH(C140,Ürünler!$A$5:$A$64,0)),0)-G140))</f>
        <v/>
      </c>
      <c r="J140" s="18" t="str">
        <f aca="false">IF(OR(H140="",C140="",F140="İptal"),"",IF(COUNTIFS($C$5:$C$1504,C140,$D$5:$D$1504,"&lt;="&amp;E140,$E$5:$E$1504,"&gt;="&amp;D140,$F$5:$F$1504,"&lt;&gt;İptal")&gt;1,"Çakışıyor",""))</f>
        <v/>
      </c>
    </row>
    <row r="141" customFormat="false" ht="15" hidden="false" customHeight="false" outlineLevel="0" collapsed="false">
      <c r="A141" s="12"/>
      <c r="B141" s="12"/>
      <c r="C141" s="13"/>
      <c r="D141" s="14"/>
      <c r="E141" s="14"/>
      <c r="F141" s="13"/>
      <c r="G141" s="15"/>
      <c r="H141" s="16" t="str">
        <f aca="false">IF(OR(D141="",E141="",E141&lt;D141),"",E141-D141+1)</f>
        <v/>
      </c>
      <c r="I141" s="17" t="str">
        <f aca="false">IF(OR(H141="",C141=""),"",IF(F141="İptal",0,H141*IFERROR(INDEX(Ürünler!$B$5:$B$64,MATCH(C141,Ürünler!$A$5:$A$64,0)),0)-G141))</f>
        <v/>
      </c>
      <c r="J141" s="18" t="str">
        <f aca="false">IF(OR(H141="",C141="",F141="İptal"),"",IF(COUNTIFS($C$5:$C$1504,C141,$D$5:$D$1504,"&lt;="&amp;E141,$E$5:$E$1504,"&gt;="&amp;D141,$F$5:$F$1504,"&lt;&gt;İptal")&gt;1,"Çakışıyor",""))</f>
        <v/>
      </c>
    </row>
    <row r="142" customFormat="false" ht="15" hidden="false" customHeight="false" outlineLevel="0" collapsed="false">
      <c r="A142" s="12"/>
      <c r="B142" s="12"/>
      <c r="C142" s="13"/>
      <c r="D142" s="14"/>
      <c r="E142" s="14"/>
      <c r="F142" s="13"/>
      <c r="G142" s="15"/>
      <c r="H142" s="16" t="str">
        <f aca="false">IF(OR(D142="",E142="",E142&lt;D142),"",E142-D142+1)</f>
        <v/>
      </c>
      <c r="I142" s="17" t="str">
        <f aca="false">IF(OR(H142="",C142=""),"",IF(F142="İptal",0,H142*IFERROR(INDEX(Ürünler!$B$5:$B$64,MATCH(C142,Ürünler!$A$5:$A$64,0)),0)-G142))</f>
        <v/>
      </c>
      <c r="J142" s="18" t="str">
        <f aca="false">IF(OR(H142="",C142="",F142="İptal"),"",IF(COUNTIFS($C$5:$C$1504,C142,$D$5:$D$1504,"&lt;="&amp;E142,$E$5:$E$1504,"&gt;="&amp;D142,$F$5:$F$1504,"&lt;&gt;İptal")&gt;1,"Çakışıyor",""))</f>
        <v/>
      </c>
    </row>
    <row r="143" customFormat="false" ht="15" hidden="false" customHeight="false" outlineLevel="0" collapsed="false">
      <c r="A143" s="12"/>
      <c r="B143" s="12"/>
      <c r="C143" s="13"/>
      <c r="D143" s="14"/>
      <c r="E143" s="14"/>
      <c r="F143" s="13"/>
      <c r="G143" s="15"/>
      <c r="H143" s="16" t="str">
        <f aca="false">IF(OR(D143="",E143="",E143&lt;D143),"",E143-D143+1)</f>
        <v/>
      </c>
      <c r="I143" s="17" t="str">
        <f aca="false">IF(OR(H143="",C143=""),"",IF(F143="İptal",0,H143*IFERROR(INDEX(Ürünler!$B$5:$B$64,MATCH(C143,Ürünler!$A$5:$A$64,0)),0)-G143))</f>
        <v/>
      </c>
      <c r="J143" s="18" t="str">
        <f aca="false">IF(OR(H143="",C143="",F143="İptal"),"",IF(COUNTIFS($C$5:$C$1504,C143,$D$5:$D$1504,"&lt;="&amp;E143,$E$5:$E$1504,"&gt;="&amp;D143,$F$5:$F$1504,"&lt;&gt;İptal")&gt;1,"Çakışıyor",""))</f>
        <v/>
      </c>
    </row>
    <row r="144" customFormat="false" ht="15" hidden="false" customHeight="false" outlineLevel="0" collapsed="false">
      <c r="A144" s="12"/>
      <c r="B144" s="12"/>
      <c r="C144" s="13"/>
      <c r="D144" s="14"/>
      <c r="E144" s="14"/>
      <c r="F144" s="13"/>
      <c r="G144" s="15"/>
      <c r="H144" s="16" t="str">
        <f aca="false">IF(OR(D144="",E144="",E144&lt;D144),"",E144-D144+1)</f>
        <v/>
      </c>
      <c r="I144" s="17" t="str">
        <f aca="false">IF(OR(H144="",C144=""),"",IF(F144="İptal",0,H144*IFERROR(INDEX(Ürünler!$B$5:$B$64,MATCH(C144,Ürünler!$A$5:$A$64,0)),0)-G144))</f>
        <v/>
      </c>
      <c r="J144" s="18" t="str">
        <f aca="false">IF(OR(H144="",C144="",F144="İptal"),"",IF(COUNTIFS($C$5:$C$1504,C144,$D$5:$D$1504,"&lt;="&amp;E144,$E$5:$E$1504,"&gt;="&amp;D144,$F$5:$F$1504,"&lt;&gt;İptal")&gt;1,"Çakışıyor",""))</f>
        <v/>
      </c>
    </row>
    <row r="145" customFormat="false" ht="15" hidden="false" customHeight="false" outlineLevel="0" collapsed="false">
      <c r="A145" s="12"/>
      <c r="B145" s="12"/>
      <c r="C145" s="13"/>
      <c r="D145" s="14"/>
      <c r="E145" s="14"/>
      <c r="F145" s="13"/>
      <c r="G145" s="15"/>
      <c r="H145" s="16" t="str">
        <f aca="false">IF(OR(D145="",E145="",E145&lt;D145),"",E145-D145+1)</f>
        <v/>
      </c>
      <c r="I145" s="17" t="str">
        <f aca="false">IF(OR(H145="",C145=""),"",IF(F145="İptal",0,H145*IFERROR(INDEX(Ürünler!$B$5:$B$64,MATCH(C145,Ürünler!$A$5:$A$64,0)),0)-G145))</f>
        <v/>
      </c>
      <c r="J145" s="18" t="str">
        <f aca="false">IF(OR(H145="",C145="",F145="İptal"),"",IF(COUNTIFS($C$5:$C$1504,C145,$D$5:$D$1504,"&lt;="&amp;E145,$E$5:$E$1504,"&gt;="&amp;D145,$F$5:$F$1504,"&lt;&gt;İptal")&gt;1,"Çakışıyor",""))</f>
        <v/>
      </c>
    </row>
    <row r="146" customFormat="false" ht="15" hidden="false" customHeight="false" outlineLevel="0" collapsed="false">
      <c r="A146" s="12"/>
      <c r="B146" s="12"/>
      <c r="C146" s="13"/>
      <c r="D146" s="14"/>
      <c r="E146" s="14"/>
      <c r="F146" s="13"/>
      <c r="G146" s="15"/>
      <c r="H146" s="16" t="str">
        <f aca="false">IF(OR(D146="",E146="",E146&lt;D146),"",E146-D146+1)</f>
        <v/>
      </c>
      <c r="I146" s="17" t="str">
        <f aca="false">IF(OR(H146="",C146=""),"",IF(F146="İptal",0,H146*IFERROR(INDEX(Ürünler!$B$5:$B$64,MATCH(C146,Ürünler!$A$5:$A$64,0)),0)-G146))</f>
        <v/>
      </c>
      <c r="J146" s="18" t="str">
        <f aca="false">IF(OR(H146="",C146="",F146="İptal"),"",IF(COUNTIFS($C$5:$C$1504,C146,$D$5:$D$1504,"&lt;="&amp;E146,$E$5:$E$1504,"&gt;="&amp;D146,$F$5:$F$1504,"&lt;&gt;İptal")&gt;1,"Çakışıyor",""))</f>
        <v/>
      </c>
    </row>
    <row r="147" customFormat="false" ht="15" hidden="false" customHeight="false" outlineLevel="0" collapsed="false">
      <c r="A147" s="12"/>
      <c r="B147" s="12"/>
      <c r="C147" s="13"/>
      <c r="D147" s="14"/>
      <c r="E147" s="14"/>
      <c r="F147" s="13"/>
      <c r="G147" s="15"/>
      <c r="H147" s="16" t="str">
        <f aca="false">IF(OR(D147="",E147="",E147&lt;D147),"",E147-D147+1)</f>
        <v/>
      </c>
      <c r="I147" s="17" t="str">
        <f aca="false">IF(OR(H147="",C147=""),"",IF(F147="İptal",0,H147*IFERROR(INDEX(Ürünler!$B$5:$B$64,MATCH(C147,Ürünler!$A$5:$A$64,0)),0)-G147))</f>
        <v/>
      </c>
      <c r="J147" s="18" t="str">
        <f aca="false">IF(OR(H147="",C147="",F147="İptal"),"",IF(COUNTIFS($C$5:$C$1504,C147,$D$5:$D$1504,"&lt;="&amp;E147,$E$5:$E$1504,"&gt;="&amp;D147,$F$5:$F$1504,"&lt;&gt;İptal")&gt;1,"Çakışıyor",""))</f>
        <v/>
      </c>
    </row>
    <row r="148" customFormat="false" ht="15" hidden="false" customHeight="false" outlineLevel="0" collapsed="false">
      <c r="A148" s="12"/>
      <c r="B148" s="12"/>
      <c r="C148" s="13"/>
      <c r="D148" s="14"/>
      <c r="E148" s="14"/>
      <c r="F148" s="13"/>
      <c r="G148" s="15"/>
      <c r="H148" s="16" t="str">
        <f aca="false">IF(OR(D148="",E148="",E148&lt;D148),"",E148-D148+1)</f>
        <v/>
      </c>
      <c r="I148" s="17" t="str">
        <f aca="false">IF(OR(H148="",C148=""),"",IF(F148="İptal",0,H148*IFERROR(INDEX(Ürünler!$B$5:$B$64,MATCH(C148,Ürünler!$A$5:$A$64,0)),0)-G148))</f>
        <v/>
      </c>
      <c r="J148" s="18" t="str">
        <f aca="false">IF(OR(H148="",C148="",F148="İptal"),"",IF(COUNTIFS($C$5:$C$1504,C148,$D$5:$D$1504,"&lt;="&amp;E148,$E$5:$E$1504,"&gt;="&amp;D148,$F$5:$F$1504,"&lt;&gt;İptal")&gt;1,"Çakışıyor",""))</f>
        <v/>
      </c>
    </row>
    <row r="149" customFormat="false" ht="15" hidden="false" customHeight="false" outlineLevel="0" collapsed="false">
      <c r="A149" s="12"/>
      <c r="B149" s="12"/>
      <c r="C149" s="13"/>
      <c r="D149" s="14"/>
      <c r="E149" s="14"/>
      <c r="F149" s="13"/>
      <c r="G149" s="15"/>
      <c r="H149" s="16" t="str">
        <f aca="false">IF(OR(D149="",E149="",E149&lt;D149),"",E149-D149+1)</f>
        <v/>
      </c>
      <c r="I149" s="17" t="str">
        <f aca="false">IF(OR(H149="",C149=""),"",IF(F149="İptal",0,H149*IFERROR(INDEX(Ürünler!$B$5:$B$64,MATCH(C149,Ürünler!$A$5:$A$64,0)),0)-G149))</f>
        <v/>
      </c>
      <c r="J149" s="18" t="str">
        <f aca="false">IF(OR(H149="",C149="",F149="İptal"),"",IF(COUNTIFS($C$5:$C$1504,C149,$D$5:$D$1504,"&lt;="&amp;E149,$E$5:$E$1504,"&gt;="&amp;D149,$F$5:$F$1504,"&lt;&gt;İptal")&gt;1,"Çakışıyor",""))</f>
        <v/>
      </c>
    </row>
    <row r="150" customFormat="false" ht="15" hidden="false" customHeight="false" outlineLevel="0" collapsed="false">
      <c r="A150" s="12"/>
      <c r="B150" s="12"/>
      <c r="C150" s="13"/>
      <c r="D150" s="14"/>
      <c r="E150" s="14"/>
      <c r="F150" s="13"/>
      <c r="G150" s="15"/>
      <c r="H150" s="16" t="str">
        <f aca="false">IF(OR(D150="",E150="",E150&lt;D150),"",E150-D150+1)</f>
        <v/>
      </c>
      <c r="I150" s="17" t="str">
        <f aca="false">IF(OR(H150="",C150=""),"",IF(F150="İptal",0,H150*IFERROR(INDEX(Ürünler!$B$5:$B$64,MATCH(C150,Ürünler!$A$5:$A$64,0)),0)-G150))</f>
        <v/>
      </c>
      <c r="J150" s="18" t="str">
        <f aca="false">IF(OR(H150="",C150="",F150="İptal"),"",IF(COUNTIFS($C$5:$C$1504,C150,$D$5:$D$1504,"&lt;="&amp;E150,$E$5:$E$1504,"&gt;="&amp;D150,$F$5:$F$1504,"&lt;&gt;İptal")&gt;1,"Çakışıyor",""))</f>
        <v/>
      </c>
    </row>
    <row r="151" customFormat="false" ht="15" hidden="false" customHeight="false" outlineLevel="0" collapsed="false">
      <c r="A151" s="12"/>
      <c r="B151" s="12"/>
      <c r="C151" s="13"/>
      <c r="D151" s="14"/>
      <c r="E151" s="14"/>
      <c r="F151" s="13"/>
      <c r="G151" s="15"/>
      <c r="H151" s="16" t="str">
        <f aca="false">IF(OR(D151="",E151="",E151&lt;D151),"",E151-D151+1)</f>
        <v/>
      </c>
      <c r="I151" s="17" t="str">
        <f aca="false">IF(OR(H151="",C151=""),"",IF(F151="İptal",0,H151*IFERROR(INDEX(Ürünler!$B$5:$B$64,MATCH(C151,Ürünler!$A$5:$A$64,0)),0)-G151))</f>
        <v/>
      </c>
      <c r="J151" s="18" t="str">
        <f aca="false">IF(OR(H151="",C151="",F151="İptal"),"",IF(COUNTIFS($C$5:$C$1504,C151,$D$5:$D$1504,"&lt;="&amp;E151,$E$5:$E$1504,"&gt;="&amp;D151,$F$5:$F$1504,"&lt;&gt;İptal")&gt;1,"Çakışıyor",""))</f>
        <v/>
      </c>
    </row>
    <row r="152" customFormat="false" ht="15" hidden="false" customHeight="false" outlineLevel="0" collapsed="false">
      <c r="A152" s="12"/>
      <c r="B152" s="12"/>
      <c r="C152" s="13"/>
      <c r="D152" s="14"/>
      <c r="E152" s="14"/>
      <c r="F152" s="13"/>
      <c r="G152" s="15"/>
      <c r="H152" s="16" t="str">
        <f aca="false">IF(OR(D152="",E152="",E152&lt;D152),"",E152-D152+1)</f>
        <v/>
      </c>
      <c r="I152" s="17" t="str">
        <f aca="false">IF(OR(H152="",C152=""),"",IF(F152="İptal",0,H152*IFERROR(INDEX(Ürünler!$B$5:$B$64,MATCH(C152,Ürünler!$A$5:$A$64,0)),0)-G152))</f>
        <v/>
      </c>
      <c r="J152" s="18" t="str">
        <f aca="false">IF(OR(H152="",C152="",F152="İptal"),"",IF(COUNTIFS($C$5:$C$1504,C152,$D$5:$D$1504,"&lt;="&amp;E152,$E$5:$E$1504,"&gt;="&amp;D152,$F$5:$F$1504,"&lt;&gt;İptal")&gt;1,"Çakışıyor",""))</f>
        <v/>
      </c>
    </row>
    <row r="153" customFormat="false" ht="15" hidden="false" customHeight="false" outlineLevel="0" collapsed="false">
      <c r="A153" s="12"/>
      <c r="B153" s="12"/>
      <c r="C153" s="13"/>
      <c r="D153" s="14"/>
      <c r="E153" s="14"/>
      <c r="F153" s="13"/>
      <c r="G153" s="15"/>
      <c r="H153" s="16" t="str">
        <f aca="false">IF(OR(D153="",E153="",E153&lt;D153),"",E153-D153+1)</f>
        <v/>
      </c>
      <c r="I153" s="17" t="str">
        <f aca="false">IF(OR(H153="",C153=""),"",IF(F153="İptal",0,H153*IFERROR(INDEX(Ürünler!$B$5:$B$64,MATCH(C153,Ürünler!$A$5:$A$64,0)),0)-G153))</f>
        <v/>
      </c>
      <c r="J153" s="18" t="str">
        <f aca="false">IF(OR(H153="",C153="",F153="İptal"),"",IF(COUNTIFS($C$5:$C$1504,C153,$D$5:$D$1504,"&lt;="&amp;E153,$E$5:$E$1504,"&gt;="&amp;D153,$F$5:$F$1504,"&lt;&gt;İptal")&gt;1,"Çakışıyor",""))</f>
        <v/>
      </c>
    </row>
    <row r="154" customFormat="false" ht="15" hidden="false" customHeight="false" outlineLevel="0" collapsed="false">
      <c r="A154" s="12"/>
      <c r="B154" s="12"/>
      <c r="C154" s="13"/>
      <c r="D154" s="14"/>
      <c r="E154" s="14"/>
      <c r="F154" s="13"/>
      <c r="G154" s="15"/>
      <c r="H154" s="16" t="str">
        <f aca="false">IF(OR(D154="",E154="",E154&lt;D154),"",E154-D154+1)</f>
        <v/>
      </c>
      <c r="I154" s="17" t="str">
        <f aca="false">IF(OR(H154="",C154=""),"",IF(F154="İptal",0,H154*IFERROR(INDEX(Ürünler!$B$5:$B$64,MATCH(C154,Ürünler!$A$5:$A$64,0)),0)-G154))</f>
        <v/>
      </c>
      <c r="J154" s="18" t="str">
        <f aca="false">IF(OR(H154="",C154="",F154="İptal"),"",IF(COUNTIFS($C$5:$C$1504,C154,$D$5:$D$1504,"&lt;="&amp;E154,$E$5:$E$1504,"&gt;="&amp;D154,$F$5:$F$1504,"&lt;&gt;İptal")&gt;1,"Çakışıyor",""))</f>
        <v/>
      </c>
    </row>
    <row r="155" customFormat="false" ht="15" hidden="false" customHeight="false" outlineLevel="0" collapsed="false">
      <c r="A155" s="12"/>
      <c r="B155" s="12"/>
      <c r="C155" s="13"/>
      <c r="D155" s="14"/>
      <c r="E155" s="14"/>
      <c r="F155" s="13"/>
      <c r="G155" s="15"/>
      <c r="H155" s="16" t="str">
        <f aca="false">IF(OR(D155="",E155="",E155&lt;D155),"",E155-D155+1)</f>
        <v/>
      </c>
      <c r="I155" s="17" t="str">
        <f aca="false">IF(OR(H155="",C155=""),"",IF(F155="İptal",0,H155*IFERROR(INDEX(Ürünler!$B$5:$B$64,MATCH(C155,Ürünler!$A$5:$A$64,0)),0)-G155))</f>
        <v/>
      </c>
      <c r="J155" s="18" t="str">
        <f aca="false">IF(OR(H155="",C155="",F155="İptal"),"",IF(COUNTIFS($C$5:$C$1504,C155,$D$5:$D$1504,"&lt;="&amp;E155,$E$5:$E$1504,"&gt;="&amp;D155,$F$5:$F$1504,"&lt;&gt;İptal")&gt;1,"Çakışıyor",""))</f>
        <v/>
      </c>
    </row>
    <row r="156" customFormat="false" ht="15" hidden="false" customHeight="false" outlineLevel="0" collapsed="false">
      <c r="A156" s="12"/>
      <c r="B156" s="12"/>
      <c r="C156" s="13"/>
      <c r="D156" s="14"/>
      <c r="E156" s="14"/>
      <c r="F156" s="13"/>
      <c r="G156" s="15"/>
      <c r="H156" s="16" t="str">
        <f aca="false">IF(OR(D156="",E156="",E156&lt;D156),"",E156-D156+1)</f>
        <v/>
      </c>
      <c r="I156" s="17" t="str">
        <f aca="false">IF(OR(H156="",C156=""),"",IF(F156="İptal",0,H156*IFERROR(INDEX(Ürünler!$B$5:$B$64,MATCH(C156,Ürünler!$A$5:$A$64,0)),0)-G156))</f>
        <v/>
      </c>
      <c r="J156" s="18" t="str">
        <f aca="false">IF(OR(H156="",C156="",F156="İptal"),"",IF(COUNTIFS($C$5:$C$1504,C156,$D$5:$D$1504,"&lt;="&amp;E156,$E$5:$E$1504,"&gt;="&amp;D156,$F$5:$F$1504,"&lt;&gt;İptal")&gt;1,"Çakışıyor",""))</f>
        <v/>
      </c>
    </row>
    <row r="157" customFormat="false" ht="15" hidden="false" customHeight="false" outlineLevel="0" collapsed="false">
      <c r="A157" s="12"/>
      <c r="B157" s="12"/>
      <c r="C157" s="13"/>
      <c r="D157" s="14"/>
      <c r="E157" s="14"/>
      <c r="F157" s="13"/>
      <c r="G157" s="15"/>
      <c r="H157" s="16" t="str">
        <f aca="false">IF(OR(D157="",E157="",E157&lt;D157),"",E157-D157+1)</f>
        <v/>
      </c>
      <c r="I157" s="17" t="str">
        <f aca="false">IF(OR(H157="",C157=""),"",IF(F157="İptal",0,H157*IFERROR(INDEX(Ürünler!$B$5:$B$64,MATCH(C157,Ürünler!$A$5:$A$64,0)),0)-G157))</f>
        <v/>
      </c>
      <c r="J157" s="18" t="str">
        <f aca="false">IF(OR(H157="",C157="",F157="İptal"),"",IF(COUNTIFS($C$5:$C$1504,C157,$D$5:$D$1504,"&lt;="&amp;E157,$E$5:$E$1504,"&gt;="&amp;D157,$F$5:$F$1504,"&lt;&gt;İptal")&gt;1,"Çakışıyor",""))</f>
        <v/>
      </c>
    </row>
    <row r="158" customFormat="false" ht="15" hidden="false" customHeight="false" outlineLevel="0" collapsed="false">
      <c r="A158" s="12"/>
      <c r="B158" s="12"/>
      <c r="C158" s="13"/>
      <c r="D158" s="14"/>
      <c r="E158" s="14"/>
      <c r="F158" s="13"/>
      <c r="G158" s="15"/>
      <c r="H158" s="16" t="str">
        <f aca="false">IF(OR(D158="",E158="",E158&lt;D158),"",E158-D158+1)</f>
        <v/>
      </c>
      <c r="I158" s="17" t="str">
        <f aca="false">IF(OR(H158="",C158=""),"",IF(F158="İptal",0,H158*IFERROR(INDEX(Ürünler!$B$5:$B$64,MATCH(C158,Ürünler!$A$5:$A$64,0)),0)-G158))</f>
        <v/>
      </c>
      <c r="J158" s="18" t="str">
        <f aca="false">IF(OR(H158="",C158="",F158="İptal"),"",IF(COUNTIFS($C$5:$C$1504,C158,$D$5:$D$1504,"&lt;="&amp;E158,$E$5:$E$1504,"&gt;="&amp;D158,$F$5:$F$1504,"&lt;&gt;İptal")&gt;1,"Çakışıyor",""))</f>
        <v/>
      </c>
    </row>
    <row r="159" customFormat="false" ht="15" hidden="false" customHeight="false" outlineLevel="0" collapsed="false">
      <c r="A159" s="12"/>
      <c r="B159" s="12"/>
      <c r="C159" s="13"/>
      <c r="D159" s="14"/>
      <c r="E159" s="14"/>
      <c r="F159" s="13"/>
      <c r="G159" s="15"/>
      <c r="H159" s="16" t="str">
        <f aca="false">IF(OR(D159="",E159="",E159&lt;D159),"",E159-D159+1)</f>
        <v/>
      </c>
      <c r="I159" s="17" t="str">
        <f aca="false">IF(OR(H159="",C159=""),"",IF(F159="İptal",0,H159*IFERROR(INDEX(Ürünler!$B$5:$B$64,MATCH(C159,Ürünler!$A$5:$A$64,0)),0)-G159))</f>
        <v/>
      </c>
      <c r="J159" s="18" t="str">
        <f aca="false">IF(OR(H159="",C159="",F159="İptal"),"",IF(COUNTIFS($C$5:$C$1504,C159,$D$5:$D$1504,"&lt;="&amp;E159,$E$5:$E$1504,"&gt;="&amp;D159,$F$5:$F$1504,"&lt;&gt;İptal")&gt;1,"Çakışıyor",""))</f>
        <v/>
      </c>
    </row>
    <row r="160" customFormat="false" ht="15" hidden="false" customHeight="false" outlineLevel="0" collapsed="false">
      <c r="A160" s="12"/>
      <c r="B160" s="12"/>
      <c r="C160" s="13"/>
      <c r="D160" s="14"/>
      <c r="E160" s="14"/>
      <c r="F160" s="13"/>
      <c r="G160" s="15"/>
      <c r="H160" s="16" t="str">
        <f aca="false">IF(OR(D160="",E160="",E160&lt;D160),"",E160-D160+1)</f>
        <v/>
      </c>
      <c r="I160" s="17" t="str">
        <f aca="false">IF(OR(H160="",C160=""),"",IF(F160="İptal",0,H160*IFERROR(INDEX(Ürünler!$B$5:$B$64,MATCH(C160,Ürünler!$A$5:$A$64,0)),0)-G160))</f>
        <v/>
      </c>
      <c r="J160" s="18" t="str">
        <f aca="false">IF(OR(H160="",C160="",F160="İptal"),"",IF(COUNTIFS($C$5:$C$1504,C160,$D$5:$D$1504,"&lt;="&amp;E160,$E$5:$E$1504,"&gt;="&amp;D160,$F$5:$F$1504,"&lt;&gt;İptal")&gt;1,"Çakışıyor",""))</f>
        <v/>
      </c>
    </row>
    <row r="161" customFormat="false" ht="15" hidden="false" customHeight="false" outlineLevel="0" collapsed="false">
      <c r="A161" s="12"/>
      <c r="B161" s="12"/>
      <c r="C161" s="13"/>
      <c r="D161" s="14"/>
      <c r="E161" s="14"/>
      <c r="F161" s="13"/>
      <c r="G161" s="15"/>
      <c r="H161" s="16" t="str">
        <f aca="false">IF(OR(D161="",E161="",E161&lt;D161),"",E161-D161+1)</f>
        <v/>
      </c>
      <c r="I161" s="17" t="str">
        <f aca="false">IF(OR(H161="",C161=""),"",IF(F161="İptal",0,H161*IFERROR(INDEX(Ürünler!$B$5:$B$64,MATCH(C161,Ürünler!$A$5:$A$64,0)),0)-G161))</f>
        <v/>
      </c>
      <c r="J161" s="18" t="str">
        <f aca="false">IF(OR(H161="",C161="",F161="İptal"),"",IF(COUNTIFS($C$5:$C$1504,C161,$D$5:$D$1504,"&lt;="&amp;E161,$E$5:$E$1504,"&gt;="&amp;D161,$F$5:$F$1504,"&lt;&gt;İptal")&gt;1,"Çakışıyor",""))</f>
        <v/>
      </c>
    </row>
    <row r="162" customFormat="false" ht="15" hidden="false" customHeight="false" outlineLevel="0" collapsed="false">
      <c r="A162" s="12"/>
      <c r="B162" s="12"/>
      <c r="C162" s="13"/>
      <c r="D162" s="14"/>
      <c r="E162" s="14"/>
      <c r="F162" s="13"/>
      <c r="G162" s="15"/>
      <c r="H162" s="16" t="str">
        <f aca="false">IF(OR(D162="",E162="",E162&lt;D162),"",E162-D162+1)</f>
        <v/>
      </c>
      <c r="I162" s="17" t="str">
        <f aca="false">IF(OR(H162="",C162=""),"",IF(F162="İptal",0,H162*IFERROR(INDEX(Ürünler!$B$5:$B$64,MATCH(C162,Ürünler!$A$5:$A$64,0)),0)-G162))</f>
        <v/>
      </c>
      <c r="J162" s="18" t="str">
        <f aca="false">IF(OR(H162="",C162="",F162="İptal"),"",IF(COUNTIFS($C$5:$C$1504,C162,$D$5:$D$1504,"&lt;="&amp;E162,$E$5:$E$1504,"&gt;="&amp;D162,$F$5:$F$1504,"&lt;&gt;İptal")&gt;1,"Çakışıyor",""))</f>
        <v/>
      </c>
    </row>
    <row r="163" customFormat="false" ht="15" hidden="false" customHeight="false" outlineLevel="0" collapsed="false">
      <c r="A163" s="12"/>
      <c r="B163" s="12"/>
      <c r="C163" s="13"/>
      <c r="D163" s="14"/>
      <c r="E163" s="14"/>
      <c r="F163" s="13"/>
      <c r="G163" s="15"/>
      <c r="H163" s="16" t="str">
        <f aca="false">IF(OR(D163="",E163="",E163&lt;D163),"",E163-D163+1)</f>
        <v/>
      </c>
      <c r="I163" s="17" t="str">
        <f aca="false">IF(OR(H163="",C163=""),"",IF(F163="İptal",0,H163*IFERROR(INDEX(Ürünler!$B$5:$B$64,MATCH(C163,Ürünler!$A$5:$A$64,0)),0)-G163))</f>
        <v/>
      </c>
      <c r="J163" s="18" t="str">
        <f aca="false">IF(OR(H163="",C163="",F163="İptal"),"",IF(COUNTIFS($C$5:$C$1504,C163,$D$5:$D$1504,"&lt;="&amp;E163,$E$5:$E$1504,"&gt;="&amp;D163,$F$5:$F$1504,"&lt;&gt;İptal")&gt;1,"Çakışıyor",""))</f>
        <v/>
      </c>
    </row>
    <row r="164" customFormat="false" ht="15" hidden="false" customHeight="false" outlineLevel="0" collapsed="false">
      <c r="A164" s="12"/>
      <c r="B164" s="12"/>
      <c r="C164" s="13"/>
      <c r="D164" s="14"/>
      <c r="E164" s="14"/>
      <c r="F164" s="13"/>
      <c r="G164" s="15"/>
      <c r="H164" s="16" t="str">
        <f aca="false">IF(OR(D164="",E164="",E164&lt;D164),"",E164-D164+1)</f>
        <v/>
      </c>
      <c r="I164" s="17" t="str">
        <f aca="false">IF(OR(H164="",C164=""),"",IF(F164="İptal",0,H164*IFERROR(INDEX(Ürünler!$B$5:$B$64,MATCH(C164,Ürünler!$A$5:$A$64,0)),0)-G164))</f>
        <v/>
      </c>
      <c r="J164" s="18" t="str">
        <f aca="false">IF(OR(H164="",C164="",F164="İptal"),"",IF(COUNTIFS($C$5:$C$1504,C164,$D$5:$D$1504,"&lt;="&amp;E164,$E$5:$E$1504,"&gt;="&amp;D164,$F$5:$F$1504,"&lt;&gt;İptal")&gt;1,"Çakışıyor",""))</f>
        <v/>
      </c>
    </row>
    <row r="165" customFormat="false" ht="15" hidden="false" customHeight="false" outlineLevel="0" collapsed="false">
      <c r="A165" s="12"/>
      <c r="B165" s="12"/>
      <c r="C165" s="13"/>
      <c r="D165" s="14"/>
      <c r="E165" s="14"/>
      <c r="F165" s="13"/>
      <c r="G165" s="15"/>
      <c r="H165" s="16" t="str">
        <f aca="false">IF(OR(D165="",E165="",E165&lt;D165),"",E165-D165+1)</f>
        <v/>
      </c>
      <c r="I165" s="17" t="str">
        <f aca="false">IF(OR(H165="",C165=""),"",IF(F165="İptal",0,H165*IFERROR(INDEX(Ürünler!$B$5:$B$64,MATCH(C165,Ürünler!$A$5:$A$64,0)),0)-G165))</f>
        <v/>
      </c>
      <c r="J165" s="18" t="str">
        <f aca="false">IF(OR(H165="",C165="",F165="İptal"),"",IF(COUNTIFS($C$5:$C$1504,C165,$D$5:$D$1504,"&lt;="&amp;E165,$E$5:$E$1504,"&gt;="&amp;D165,$F$5:$F$1504,"&lt;&gt;İptal")&gt;1,"Çakışıyor",""))</f>
        <v/>
      </c>
    </row>
    <row r="166" customFormat="false" ht="15" hidden="false" customHeight="false" outlineLevel="0" collapsed="false">
      <c r="A166" s="12"/>
      <c r="B166" s="12"/>
      <c r="C166" s="13"/>
      <c r="D166" s="14"/>
      <c r="E166" s="14"/>
      <c r="F166" s="13"/>
      <c r="G166" s="15"/>
      <c r="H166" s="16" t="str">
        <f aca="false">IF(OR(D166="",E166="",E166&lt;D166),"",E166-D166+1)</f>
        <v/>
      </c>
      <c r="I166" s="17" t="str">
        <f aca="false">IF(OR(H166="",C166=""),"",IF(F166="İptal",0,H166*IFERROR(INDEX(Ürünler!$B$5:$B$64,MATCH(C166,Ürünler!$A$5:$A$64,0)),0)-G166))</f>
        <v/>
      </c>
      <c r="J166" s="18" t="str">
        <f aca="false">IF(OR(H166="",C166="",F166="İptal"),"",IF(COUNTIFS($C$5:$C$1504,C166,$D$5:$D$1504,"&lt;="&amp;E166,$E$5:$E$1504,"&gt;="&amp;D166,$F$5:$F$1504,"&lt;&gt;İptal")&gt;1,"Çakışıyor",""))</f>
        <v/>
      </c>
    </row>
    <row r="167" customFormat="false" ht="15" hidden="false" customHeight="false" outlineLevel="0" collapsed="false">
      <c r="A167" s="12"/>
      <c r="B167" s="12"/>
      <c r="C167" s="13"/>
      <c r="D167" s="14"/>
      <c r="E167" s="14"/>
      <c r="F167" s="13"/>
      <c r="G167" s="15"/>
      <c r="H167" s="16" t="str">
        <f aca="false">IF(OR(D167="",E167="",E167&lt;D167),"",E167-D167+1)</f>
        <v/>
      </c>
      <c r="I167" s="17" t="str">
        <f aca="false">IF(OR(H167="",C167=""),"",IF(F167="İptal",0,H167*IFERROR(INDEX(Ürünler!$B$5:$B$64,MATCH(C167,Ürünler!$A$5:$A$64,0)),0)-G167))</f>
        <v/>
      </c>
      <c r="J167" s="18" t="str">
        <f aca="false">IF(OR(H167="",C167="",F167="İptal"),"",IF(COUNTIFS($C$5:$C$1504,C167,$D$5:$D$1504,"&lt;="&amp;E167,$E$5:$E$1504,"&gt;="&amp;D167,$F$5:$F$1504,"&lt;&gt;İptal")&gt;1,"Çakışıyor",""))</f>
        <v/>
      </c>
    </row>
    <row r="168" customFormat="false" ht="15" hidden="false" customHeight="false" outlineLevel="0" collapsed="false">
      <c r="A168" s="12"/>
      <c r="B168" s="12"/>
      <c r="C168" s="13"/>
      <c r="D168" s="14"/>
      <c r="E168" s="14"/>
      <c r="F168" s="13"/>
      <c r="G168" s="15"/>
      <c r="H168" s="16" t="str">
        <f aca="false">IF(OR(D168="",E168="",E168&lt;D168),"",E168-D168+1)</f>
        <v/>
      </c>
      <c r="I168" s="17" t="str">
        <f aca="false">IF(OR(H168="",C168=""),"",IF(F168="İptal",0,H168*IFERROR(INDEX(Ürünler!$B$5:$B$64,MATCH(C168,Ürünler!$A$5:$A$64,0)),0)-G168))</f>
        <v/>
      </c>
      <c r="J168" s="18" t="str">
        <f aca="false">IF(OR(H168="",C168="",F168="İptal"),"",IF(COUNTIFS($C$5:$C$1504,C168,$D$5:$D$1504,"&lt;="&amp;E168,$E$5:$E$1504,"&gt;="&amp;D168,$F$5:$F$1504,"&lt;&gt;İptal")&gt;1,"Çakışıyor",""))</f>
        <v/>
      </c>
    </row>
    <row r="169" customFormat="false" ht="15" hidden="false" customHeight="false" outlineLevel="0" collapsed="false">
      <c r="A169" s="12"/>
      <c r="B169" s="12"/>
      <c r="C169" s="13"/>
      <c r="D169" s="14"/>
      <c r="E169" s="14"/>
      <c r="F169" s="13"/>
      <c r="G169" s="15"/>
      <c r="H169" s="16" t="str">
        <f aca="false">IF(OR(D169="",E169="",E169&lt;D169),"",E169-D169+1)</f>
        <v/>
      </c>
      <c r="I169" s="17" t="str">
        <f aca="false">IF(OR(H169="",C169=""),"",IF(F169="İptal",0,H169*IFERROR(INDEX(Ürünler!$B$5:$B$64,MATCH(C169,Ürünler!$A$5:$A$64,0)),0)-G169))</f>
        <v/>
      </c>
      <c r="J169" s="18" t="str">
        <f aca="false">IF(OR(H169="",C169="",F169="İptal"),"",IF(COUNTIFS($C$5:$C$1504,C169,$D$5:$D$1504,"&lt;="&amp;E169,$E$5:$E$1504,"&gt;="&amp;D169,$F$5:$F$1504,"&lt;&gt;İptal")&gt;1,"Çakışıyor",""))</f>
        <v/>
      </c>
    </row>
    <row r="170" customFormat="false" ht="15" hidden="false" customHeight="false" outlineLevel="0" collapsed="false">
      <c r="A170" s="12"/>
      <c r="B170" s="12"/>
      <c r="C170" s="13"/>
      <c r="D170" s="14"/>
      <c r="E170" s="14"/>
      <c r="F170" s="13"/>
      <c r="G170" s="15"/>
      <c r="H170" s="16" t="str">
        <f aca="false">IF(OR(D170="",E170="",E170&lt;D170),"",E170-D170+1)</f>
        <v/>
      </c>
      <c r="I170" s="17" t="str">
        <f aca="false">IF(OR(H170="",C170=""),"",IF(F170="İptal",0,H170*IFERROR(INDEX(Ürünler!$B$5:$B$64,MATCH(C170,Ürünler!$A$5:$A$64,0)),0)-G170))</f>
        <v/>
      </c>
      <c r="J170" s="18" t="str">
        <f aca="false">IF(OR(H170="",C170="",F170="İptal"),"",IF(COUNTIFS($C$5:$C$1504,C170,$D$5:$D$1504,"&lt;="&amp;E170,$E$5:$E$1504,"&gt;="&amp;D170,$F$5:$F$1504,"&lt;&gt;İptal")&gt;1,"Çakışıyor",""))</f>
        <v/>
      </c>
    </row>
    <row r="171" customFormat="false" ht="15" hidden="false" customHeight="false" outlineLevel="0" collapsed="false">
      <c r="A171" s="12"/>
      <c r="B171" s="12"/>
      <c r="C171" s="13"/>
      <c r="D171" s="14"/>
      <c r="E171" s="14"/>
      <c r="F171" s="13"/>
      <c r="G171" s="15"/>
      <c r="H171" s="16" t="str">
        <f aca="false">IF(OR(D171="",E171="",E171&lt;D171),"",E171-D171+1)</f>
        <v/>
      </c>
      <c r="I171" s="17" t="str">
        <f aca="false">IF(OR(H171="",C171=""),"",IF(F171="İptal",0,H171*IFERROR(INDEX(Ürünler!$B$5:$B$64,MATCH(C171,Ürünler!$A$5:$A$64,0)),0)-G171))</f>
        <v/>
      </c>
      <c r="J171" s="18" t="str">
        <f aca="false">IF(OR(H171="",C171="",F171="İptal"),"",IF(COUNTIFS($C$5:$C$1504,C171,$D$5:$D$1504,"&lt;="&amp;E171,$E$5:$E$1504,"&gt;="&amp;D171,$F$5:$F$1504,"&lt;&gt;İptal")&gt;1,"Çakışıyor",""))</f>
        <v/>
      </c>
    </row>
    <row r="172" customFormat="false" ht="15" hidden="false" customHeight="false" outlineLevel="0" collapsed="false">
      <c r="A172" s="12"/>
      <c r="B172" s="12"/>
      <c r="C172" s="13"/>
      <c r="D172" s="14"/>
      <c r="E172" s="14"/>
      <c r="F172" s="13"/>
      <c r="G172" s="15"/>
      <c r="H172" s="16" t="str">
        <f aca="false">IF(OR(D172="",E172="",E172&lt;D172),"",E172-D172+1)</f>
        <v/>
      </c>
      <c r="I172" s="17" t="str">
        <f aca="false">IF(OR(H172="",C172=""),"",IF(F172="İptal",0,H172*IFERROR(INDEX(Ürünler!$B$5:$B$64,MATCH(C172,Ürünler!$A$5:$A$64,0)),0)-G172))</f>
        <v/>
      </c>
      <c r="J172" s="18" t="str">
        <f aca="false">IF(OR(H172="",C172="",F172="İptal"),"",IF(COUNTIFS($C$5:$C$1504,C172,$D$5:$D$1504,"&lt;="&amp;E172,$E$5:$E$1504,"&gt;="&amp;D172,$F$5:$F$1504,"&lt;&gt;İptal")&gt;1,"Çakışıyor",""))</f>
        <v/>
      </c>
    </row>
    <row r="173" customFormat="false" ht="15" hidden="false" customHeight="false" outlineLevel="0" collapsed="false">
      <c r="A173" s="12"/>
      <c r="B173" s="12"/>
      <c r="C173" s="13"/>
      <c r="D173" s="14"/>
      <c r="E173" s="14"/>
      <c r="F173" s="13"/>
      <c r="G173" s="15"/>
      <c r="H173" s="16" t="str">
        <f aca="false">IF(OR(D173="",E173="",E173&lt;D173),"",E173-D173+1)</f>
        <v/>
      </c>
      <c r="I173" s="17" t="str">
        <f aca="false">IF(OR(H173="",C173=""),"",IF(F173="İptal",0,H173*IFERROR(INDEX(Ürünler!$B$5:$B$64,MATCH(C173,Ürünler!$A$5:$A$64,0)),0)-G173))</f>
        <v/>
      </c>
      <c r="J173" s="18" t="str">
        <f aca="false">IF(OR(H173="",C173="",F173="İptal"),"",IF(COUNTIFS($C$5:$C$1504,C173,$D$5:$D$1504,"&lt;="&amp;E173,$E$5:$E$1504,"&gt;="&amp;D173,$F$5:$F$1504,"&lt;&gt;İptal")&gt;1,"Çakışıyor",""))</f>
        <v/>
      </c>
    </row>
    <row r="174" customFormat="false" ht="15" hidden="false" customHeight="false" outlineLevel="0" collapsed="false">
      <c r="A174" s="12"/>
      <c r="B174" s="12"/>
      <c r="C174" s="13"/>
      <c r="D174" s="14"/>
      <c r="E174" s="14"/>
      <c r="F174" s="13"/>
      <c r="G174" s="15"/>
      <c r="H174" s="16" t="str">
        <f aca="false">IF(OR(D174="",E174="",E174&lt;D174),"",E174-D174+1)</f>
        <v/>
      </c>
      <c r="I174" s="17" t="str">
        <f aca="false">IF(OR(H174="",C174=""),"",IF(F174="İptal",0,H174*IFERROR(INDEX(Ürünler!$B$5:$B$64,MATCH(C174,Ürünler!$A$5:$A$64,0)),0)-G174))</f>
        <v/>
      </c>
      <c r="J174" s="18" t="str">
        <f aca="false">IF(OR(H174="",C174="",F174="İptal"),"",IF(COUNTIFS($C$5:$C$1504,C174,$D$5:$D$1504,"&lt;="&amp;E174,$E$5:$E$1504,"&gt;="&amp;D174,$F$5:$F$1504,"&lt;&gt;İptal")&gt;1,"Çakışıyor",""))</f>
        <v/>
      </c>
    </row>
    <row r="175" customFormat="false" ht="15" hidden="false" customHeight="false" outlineLevel="0" collapsed="false">
      <c r="A175" s="12"/>
      <c r="B175" s="12"/>
      <c r="C175" s="13"/>
      <c r="D175" s="14"/>
      <c r="E175" s="14"/>
      <c r="F175" s="13"/>
      <c r="G175" s="15"/>
      <c r="H175" s="16" t="str">
        <f aca="false">IF(OR(D175="",E175="",E175&lt;D175),"",E175-D175+1)</f>
        <v/>
      </c>
      <c r="I175" s="17" t="str">
        <f aca="false">IF(OR(H175="",C175=""),"",IF(F175="İptal",0,H175*IFERROR(INDEX(Ürünler!$B$5:$B$64,MATCH(C175,Ürünler!$A$5:$A$64,0)),0)-G175))</f>
        <v/>
      </c>
      <c r="J175" s="18" t="str">
        <f aca="false">IF(OR(H175="",C175="",F175="İptal"),"",IF(COUNTIFS($C$5:$C$1504,C175,$D$5:$D$1504,"&lt;="&amp;E175,$E$5:$E$1504,"&gt;="&amp;D175,$F$5:$F$1504,"&lt;&gt;İptal")&gt;1,"Çakışıyor",""))</f>
        <v/>
      </c>
    </row>
    <row r="176" customFormat="false" ht="15" hidden="false" customHeight="false" outlineLevel="0" collapsed="false">
      <c r="A176" s="12"/>
      <c r="B176" s="12"/>
      <c r="C176" s="13"/>
      <c r="D176" s="14"/>
      <c r="E176" s="14"/>
      <c r="F176" s="13"/>
      <c r="G176" s="15"/>
      <c r="H176" s="16" t="str">
        <f aca="false">IF(OR(D176="",E176="",E176&lt;D176),"",E176-D176+1)</f>
        <v/>
      </c>
      <c r="I176" s="17" t="str">
        <f aca="false">IF(OR(H176="",C176=""),"",IF(F176="İptal",0,H176*IFERROR(INDEX(Ürünler!$B$5:$B$64,MATCH(C176,Ürünler!$A$5:$A$64,0)),0)-G176))</f>
        <v/>
      </c>
      <c r="J176" s="18" t="str">
        <f aca="false">IF(OR(H176="",C176="",F176="İptal"),"",IF(COUNTIFS($C$5:$C$1504,C176,$D$5:$D$1504,"&lt;="&amp;E176,$E$5:$E$1504,"&gt;="&amp;D176,$F$5:$F$1504,"&lt;&gt;İptal")&gt;1,"Çakışıyor",""))</f>
        <v/>
      </c>
    </row>
    <row r="177" customFormat="false" ht="15" hidden="false" customHeight="false" outlineLevel="0" collapsed="false">
      <c r="A177" s="12"/>
      <c r="B177" s="12"/>
      <c r="C177" s="13"/>
      <c r="D177" s="14"/>
      <c r="E177" s="14"/>
      <c r="F177" s="13"/>
      <c r="G177" s="15"/>
      <c r="H177" s="16" t="str">
        <f aca="false">IF(OR(D177="",E177="",E177&lt;D177),"",E177-D177+1)</f>
        <v/>
      </c>
      <c r="I177" s="17" t="str">
        <f aca="false">IF(OR(H177="",C177=""),"",IF(F177="İptal",0,H177*IFERROR(INDEX(Ürünler!$B$5:$B$64,MATCH(C177,Ürünler!$A$5:$A$64,0)),0)-G177))</f>
        <v/>
      </c>
      <c r="J177" s="18" t="str">
        <f aca="false">IF(OR(H177="",C177="",F177="İptal"),"",IF(COUNTIFS($C$5:$C$1504,C177,$D$5:$D$1504,"&lt;="&amp;E177,$E$5:$E$1504,"&gt;="&amp;D177,$F$5:$F$1504,"&lt;&gt;İptal")&gt;1,"Çakışıyor",""))</f>
        <v/>
      </c>
    </row>
    <row r="178" customFormat="false" ht="15" hidden="false" customHeight="false" outlineLevel="0" collapsed="false">
      <c r="A178" s="12"/>
      <c r="B178" s="12"/>
      <c r="C178" s="13"/>
      <c r="D178" s="14"/>
      <c r="E178" s="14"/>
      <c r="F178" s="13"/>
      <c r="G178" s="15"/>
      <c r="H178" s="16" t="str">
        <f aca="false">IF(OR(D178="",E178="",E178&lt;D178),"",E178-D178+1)</f>
        <v/>
      </c>
      <c r="I178" s="17" t="str">
        <f aca="false">IF(OR(H178="",C178=""),"",IF(F178="İptal",0,H178*IFERROR(INDEX(Ürünler!$B$5:$B$64,MATCH(C178,Ürünler!$A$5:$A$64,0)),0)-G178))</f>
        <v/>
      </c>
      <c r="J178" s="18" t="str">
        <f aca="false">IF(OR(H178="",C178="",F178="İptal"),"",IF(COUNTIFS($C$5:$C$1504,C178,$D$5:$D$1504,"&lt;="&amp;E178,$E$5:$E$1504,"&gt;="&amp;D178,$F$5:$F$1504,"&lt;&gt;İptal")&gt;1,"Çakışıyor",""))</f>
        <v/>
      </c>
    </row>
    <row r="179" customFormat="false" ht="15" hidden="false" customHeight="false" outlineLevel="0" collapsed="false">
      <c r="A179" s="12"/>
      <c r="B179" s="12"/>
      <c r="C179" s="13"/>
      <c r="D179" s="14"/>
      <c r="E179" s="14"/>
      <c r="F179" s="13"/>
      <c r="G179" s="15"/>
      <c r="H179" s="16" t="str">
        <f aca="false">IF(OR(D179="",E179="",E179&lt;D179),"",E179-D179+1)</f>
        <v/>
      </c>
      <c r="I179" s="17" t="str">
        <f aca="false">IF(OR(H179="",C179=""),"",IF(F179="İptal",0,H179*IFERROR(INDEX(Ürünler!$B$5:$B$64,MATCH(C179,Ürünler!$A$5:$A$64,0)),0)-G179))</f>
        <v/>
      </c>
      <c r="J179" s="18" t="str">
        <f aca="false">IF(OR(H179="",C179="",F179="İptal"),"",IF(COUNTIFS($C$5:$C$1504,C179,$D$5:$D$1504,"&lt;="&amp;E179,$E$5:$E$1504,"&gt;="&amp;D179,$F$5:$F$1504,"&lt;&gt;İptal")&gt;1,"Çakışıyor",""))</f>
        <v/>
      </c>
    </row>
    <row r="180" customFormat="false" ht="15" hidden="false" customHeight="false" outlineLevel="0" collapsed="false">
      <c r="A180" s="12"/>
      <c r="B180" s="12"/>
      <c r="C180" s="13"/>
      <c r="D180" s="14"/>
      <c r="E180" s="14"/>
      <c r="F180" s="13"/>
      <c r="G180" s="15"/>
      <c r="H180" s="16" t="str">
        <f aca="false">IF(OR(D180="",E180="",E180&lt;D180),"",E180-D180+1)</f>
        <v/>
      </c>
      <c r="I180" s="17" t="str">
        <f aca="false">IF(OR(H180="",C180=""),"",IF(F180="İptal",0,H180*IFERROR(INDEX(Ürünler!$B$5:$B$64,MATCH(C180,Ürünler!$A$5:$A$64,0)),0)-G180))</f>
        <v/>
      </c>
      <c r="J180" s="18" t="str">
        <f aca="false">IF(OR(H180="",C180="",F180="İptal"),"",IF(COUNTIFS($C$5:$C$1504,C180,$D$5:$D$1504,"&lt;="&amp;E180,$E$5:$E$1504,"&gt;="&amp;D180,$F$5:$F$1504,"&lt;&gt;İptal")&gt;1,"Çakışıyor",""))</f>
        <v/>
      </c>
    </row>
    <row r="181" customFormat="false" ht="15" hidden="false" customHeight="false" outlineLevel="0" collapsed="false">
      <c r="A181" s="12"/>
      <c r="B181" s="12"/>
      <c r="C181" s="13"/>
      <c r="D181" s="14"/>
      <c r="E181" s="14"/>
      <c r="F181" s="13"/>
      <c r="G181" s="15"/>
      <c r="H181" s="16" t="str">
        <f aca="false">IF(OR(D181="",E181="",E181&lt;D181),"",E181-D181+1)</f>
        <v/>
      </c>
      <c r="I181" s="17" t="str">
        <f aca="false">IF(OR(H181="",C181=""),"",IF(F181="İptal",0,H181*IFERROR(INDEX(Ürünler!$B$5:$B$64,MATCH(C181,Ürünler!$A$5:$A$64,0)),0)-G181))</f>
        <v/>
      </c>
      <c r="J181" s="18" t="str">
        <f aca="false">IF(OR(H181="",C181="",F181="İptal"),"",IF(COUNTIFS($C$5:$C$1504,C181,$D$5:$D$1504,"&lt;="&amp;E181,$E$5:$E$1504,"&gt;="&amp;D181,$F$5:$F$1504,"&lt;&gt;İptal")&gt;1,"Çakışıyor",""))</f>
        <v/>
      </c>
    </row>
    <row r="182" customFormat="false" ht="15" hidden="false" customHeight="false" outlineLevel="0" collapsed="false">
      <c r="A182" s="12"/>
      <c r="B182" s="12"/>
      <c r="C182" s="13"/>
      <c r="D182" s="14"/>
      <c r="E182" s="14"/>
      <c r="F182" s="13"/>
      <c r="G182" s="15"/>
      <c r="H182" s="16" t="str">
        <f aca="false">IF(OR(D182="",E182="",E182&lt;D182),"",E182-D182+1)</f>
        <v/>
      </c>
      <c r="I182" s="17" t="str">
        <f aca="false">IF(OR(H182="",C182=""),"",IF(F182="İptal",0,H182*IFERROR(INDEX(Ürünler!$B$5:$B$64,MATCH(C182,Ürünler!$A$5:$A$64,0)),0)-G182))</f>
        <v/>
      </c>
      <c r="J182" s="18" t="str">
        <f aca="false">IF(OR(H182="",C182="",F182="İptal"),"",IF(COUNTIFS($C$5:$C$1504,C182,$D$5:$D$1504,"&lt;="&amp;E182,$E$5:$E$1504,"&gt;="&amp;D182,$F$5:$F$1504,"&lt;&gt;İptal")&gt;1,"Çakışıyor",""))</f>
        <v/>
      </c>
    </row>
    <row r="183" customFormat="false" ht="15" hidden="false" customHeight="false" outlineLevel="0" collapsed="false">
      <c r="A183" s="12"/>
      <c r="B183" s="12"/>
      <c r="C183" s="13"/>
      <c r="D183" s="14"/>
      <c r="E183" s="14"/>
      <c r="F183" s="13"/>
      <c r="G183" s="15"/>
      <c r="H183" s="16" t="str">
        <f aca="false">IF(OR(D183="",E183="",E183&lt;D183),"",E183-D183+1)</f>
        <v/>
      </c>
      <c r="I183" s="17" t="str">
        <f aca="false">IF(OR(H183="",C183=""),"",IF(F183="İptal",0,H183*IFERROR(INDEX(Ürünler!$B$5:$B$64,MATCH(C183,Ürünler!$A$5:$A$64,0)),0)-G183))</f>
        <v/>
      </c>
      <c r="J183" s="18" t="str">
        <f aca="false">IF(OR(H183="",C183="",F183="İptal"),"",IF(COUNTIFS($C$5:$C$1504,C183,$D$5:$D$1504,"&lt;="&amp;E183,$E$5:$E$1504,"&gt;="&amp;D183,$F$5:$F$1504,"&lt;&gt;İptal")&gt;1,"Çakışıyor",""))</f>
        <v/>
      </c>
    </row>
    <row r="184" customFormat="false" ht="15" hidden="false" customHeight="false" outlineLevel="0" collapsed="false">
      <c r="A184" s="12"/>
      <c r="B184" s="12"/>
      <c r="C184" s="13"/>
      <c r="D184" s="14"/>
      <c r="E184" s="14"/>
      <c r="F184" s="13"/>
      <c r="G184" s="15"/>
      <c r="H184" s="16" t="str">
        <f aca="false">IF(OR(D184="",E184="",E184&lt;D184),"",E184-D184+1)</f>
        <v/>
      </c>
      <c r="I184" s="17" t="str">
        <f aca="false">IF(OR(H184="",C184=""),"",IF(F184="İptal",0,H184*IFERROR(INDEX(Ürünler!$B$5:$B$64,MATCH(C184,Ürünler!$A$5:$A$64,0)),0)-G184))</f>
        <v/>
      </c>
      <c r="J184" s="18" t="str">
        <f aca="false">IF(OR(H184="",C184="",F184="İptal"),"",IF(COUNTIFS($C$5:$C$1504,C184,$D$5:$D$1504,"&lt;="&amp;E184,$E$5:$E$1504,"&gt;="&amp;D184,$F$5:$F$1504,"&lt;&gt;İptal")&gt;1,"Çakışıyor",""))</f>
        <v/>
      </c>
    </row>
    <row r="185" customFormat="false" ht="15" hidden="false" customHeight="false" outlineLevel="0" collapsed="false">
      <c r="A185" s="12"/>
      <c r="B185" s="12"/>
      <c r="C185" s="13"/>
      <c r="D185" s="14"/>
      <c r="E185" s="14"/>
      <c r="F185" s="13"/>
      <c r="G185" s="15"/>
      <c r="H185" s="16" t="str">
        <f aca="false">IF(OR(D185="",E185="",E185&lt;D185),"",E185-D185+1)</f>
        <v/>
      </c>
      <c r="I185" s="17" t="str">
        <f aca="false">IF(OR(H185="",C185=""),"",IF(F185="İptal",0,H185*IFERROR(INDEX(Ürünler!$B$5:$B$64,MATCH(C185,Ürünler!$A$5:$A$64,0)),0)-G185))</f>
        <v/>
      </c>
      <c r="J185" s="18" t="str">
        <f aca="false">IF(OR(H185="",C185="",F185="İptal"),"",IF(COUNTIFS($C$5:$C$1504,C185,$D$5:$D$1504,"&lt;="&amp;E185,$E$5:$E$1504,"&gt;="&amp;D185,$F$5:$F$1504,"&lt;&gt;İptal")&gt;1,"Çakışıyor",""))</f>
        <v/>
      </c>
    </row>
    <row r="186" customFormat="false" ht="15" hidden="false" customHeight="false" outlineLevel="0" collapsed="false">
      <c r="A186" s="12"/>
      <c r="B186" s="12"/>
      <c r="C186" s="13"/>
      <c r="D186" s="14"/>
      <c r="E186" s="14"/>
      <c r="F186" s="13"/>
      <c r="G186" s="15"/>
      <c r="H186" s="16" t="str">
        <f aca="false">IF(OR(D186="",E186="",E186&lt;D186),"",E186-D186+1)</f>
        <v/>
      </c>
      <c r="I186" s="17" t="str">
        <f aca="false">IF(OR(H186="",C186=""),"",IF(F186="İptal",0,H186*IFERROR(INDEX(Ürünler!$B$5:$B$64,MATCH(C186,Ürünler!$A$5:$A$64,0)),0)-G186))</f>
        <v/>
      </c>
      <c r="J186" s="18" t="str">
        <f aca="false">IF(OR(H186="",C186="",F186="İptal"),"",IF(COUNTIFS($C$5:$C$1504,C186,$D$5:$D$1504,"&lt;="&amp;E186,$E$5:$E$1504,"&gt;="&amp;D186,$F$5:$F$1504,"&lt;&gt;İptal")&gt;1,"Çakışıyor",""))</f>
        <v/>
      </c>
    </row>
    <row r="187" customFormat="false" ht="15" hidden="false" customHeight="false" outlineLevel="0" collapsed="false">
      <c r="A187" s="12"/>
      <c r="B187" s="12"/>
      <c r="C187" s="13"/>
      <c r="D187" s="14"/>
      <c r="E187" s="14"/>
      <c r="F187" s="13"/>
      <c r="G187" s="15"/>
      <c r="H187" s="16" t="str">
        <f aca="false">IF(OR(D187="",E187="",E187&lt;D187),"",E187-D187+1)</f>
        <v/>
      </c>
      <c r="I187" s="17" t="str">
        <f aca="false">IF(OR(H187="",C187=""),"",IF(F187="İptal",0,H187*IFERROR(INDEX(Ürünler!$B$5:$B$64,MATCH(C187,Ürünler!$A$5:$A$64,0)),0)-G187))</f>
        <v/>
      </c>
      <c r="J187" s="18" t="str">
        <f aca="false">IF(OR(H187="",C187="",F187="İptal"),"",IF(COUNTIFS($C$5:$C$1504,C187,$D$5:$D$1504,"&lt;="&amp;E187,$E$5:$E$1504,"&gt;="&amp;D187,$F$5:$F$1504,"&lt;&gt;İptal")&gt;1,"Çakışıyor",""))</f>
        <v/>
      </c>
    </row>
    <row r="188" customFormat="false" ht="15" hidden="false" customHeight="false" outlineLevel="0" collapsed="false">
      <c r="A188" s="12"/>
      <c r="B188" s="12"/>
      <c r="C188" s="13"/>
      <c r="D188" s="14"/>
      <c r="E188" s="14"/>
      <c r="F188" s="13"/>
      <c r="G188" s="15"/>
      <c r="H188" s="16" t="str">
        <f aca="false">IF(OR(D188="",E188="",E188&lt;D188),"",E188-D188+1)</f>
        <v/>
      </c>
      <c r="I188" s="17" t="str">
        <f aca="false">IF(OR(H188="",C188=""),"",IF(F188="İptal",0,H188*IFERROR(INDEX(Ürünler!$B$5:$B$64,MATCH(C188,Ürünler!$A$5:$A$64,0)),0)-G188))</f>
        <v/>
      </c>
      <c r="J188" s="18" t="str">
        <f aca="false">IF(OR(H188="",C188="",F188="İptal"),"",IF(COUNTIFS($C$5:$C$1504,C188,$D$5:$D$1504,"&lt;="&amp;E188,$E$5:$E$1504,"&gt;="&amp;D188,$F$5:$F$1504,"&lt;&gt;İptal")&gt;1,"Çakışıyor",""))</f>
        <v/>
      </c>
    </row>
    <row r="189" customFormat="false" ht="15" hidden="false" customHeight="false" outlineLevel="0" collapsed="false">
      <c r="A189" s="12"/>
      <c r="B189" s="12"/>
      <c r="C189" s="13"/>
      <c r="D189" s="14"/>
      <c r="E189" s="14"/>
      <c r="F189" s="13"/>
      <c r="G189" s="15"/>
      <c r="H189" s="16" t="str">
        <f aca="false">IF(OR(D189="",E189="",E189&lt;D189),"",E189-D189+1)</f>
        <v/>
      </c>
      <c r="I189" s="17" t="str">
        <f aca="false">IF(OR(H189="",C189=""),"",IF(F189="İptal",0,H189*IFERROR(INDEX(Ürünler!$B$5:$B$64,MATCH(C189,Ürünler!$A$5:$A$64,0)),0)-G189))</f>
        <v/>
      </c>
      <c r="J189" s="18" t="str">
        <f aca="false">IF(OR(H189="",C189="",F189="İptal"),"",IF(COUNTIFS($C$5:$C$1504,C189,$D$5:$D$1504,"&lt;="&amp;E189,$E$5:$E$1504,"&gt;="&amp;D189,$F$5:$F$1504,"&lt;&gt;İptal")&gt;1,"Çakışıyor",""))</f>
        <v/>
      </c>
    </row>
    <row r="190" customFormat="false" ht="15" hidden="false" customHeight="false" outlineLevel="0" collapsed="false">
      <c r="A190" s="12"/>
      <c r="B190" s="12"/>
      <c r="C190" s="13"/>
      <c r="D190" s="14"/>
      <c r="E190" s="14"/>
      <c r="F190" s="13"/>
      <c r="G190" s="15"/>
      <c r="H190" s="16" t="str">
        <f aca="false">IF(OR(D190="",E190="",E190&lt;D190),"",E190-D190+1)</f>
        <v/>
      </c>
      <c r="I190" s="17" t="str">
        <f aca="false">IF(OR(H190="",C190=""),"",IF(F190="İptal",0,H190*IFERROR(INDEX(Ürünler!$B$5:$B$64,MATCH(C190,Ürünler!$A$5:$A$64,0)),0)-G190))</f>
        <v/>
      </c>
      <c r="J190" s="18" t="str">
        <f aca="false">IF(OR(H190="",C190="",F190="İptal"),"",IF(COUNTIFS($C$5:$C$1504,C190,$D$5:$D$1504,"&lt;="&amp;E190,$E$5:$E$1504,"&gt;="&amp;D190,$F$5:$F$1504,"&lt;&gt;İptal")&gt;1,"Çakışıyor",""))</f>
        <v/>
      </c>
    </row>
    <row r="191" customFormat="false" ht="15" hidden="false" customHeight="false" outlineLevel="0" collapsed="false">
      <c r="A191" s="12"/>
      <c r="B191" s="12"/>
      <c r="C191" s="13"/>
      <c r="D191" s="14"/>
      <c r="E191" s="14"/>
      <c r="F191" s="13"/>
      <c r="G191" s="15"/>
      <c r="H191" s="16" t="str">
        <f aca="false">IF(OR(D191="",E191="",E191&lt;D191),"",E191-D191+1)</f>
        <v/>
      </c>
      <c r="I191" s="17" t="str">
        <f aca="false">IF(OR(H191="",C191=""),"",IF(F191="İptal",0,H191*IFERROR(INDEX(Ürünler!$B$5:$B$64,MATCH(C191,Ürünler!$A$5:$A$64,0)),0)-G191))</f>
        <v/>
      </c>
      <c r="J191" s="18" t="str">
        <f aca="false">IF(OR(H191="",C191="",F191="İptal"),"",IF(COUNTIFS($C$5:$C$1504,C191,$D$5:$D$1504,"&lt;="&amp;E191,$E$5:$E$1504,"&gt;="&amp;D191,$F$5:$F$1504,"&lt;&gt;İptal")&gt;1,"Çakışıyor",""))</f>
        <v/>
      </c>
    </row>
    <row r="192" customFormat="false" ht="15" hidden="false" customHeight="false" outlineLevel="0" collapsed="false">
      <c r="A192" s="12"/>
      <c r="B192" s="12"/>
      <c r="C192" s="13"/>
      <c r="D192" s="14"/>
      <c r="E192" s="14"/>
      <c r="F192" s="13"/>
      <c r="G192" s="15"/>
      <c r="H192" s="16" t="str">
        <f aca="false">IF(OR(D192="",E192="",E192&lt;D192),"",E192-D192+1)</f>
        <v/>
      </c>
      <c r="I192" s="17" t="str">
        <f aca="false">IF(OR(H192="",C192=""),"",IF(F192="İptal",0,H192*IFERROR(INDEX(Ürünler!$B$5:$B$64,MATCH(C192,Ürünler!$A$5:$A$64,0)),0)-G192))</f>
        <v/>
      </c>
      <c r="J192" s="18" t="str">
        <f aca="false">IF(OR(H192="",C192="",F192="İptal"),"",IF(COUNTIFS($C$5:$C$1504,C192,$D$5:$D$1504,"&lt;="&amp;E192,$E$5:$E$1504,"&gt;="&amp;D192,$F$5:$F$1504,"&lt;&gt;İptal")&gt;1,"Çakışıyor",""))</f>
        <v/>
      </c>
    </row>
    <row r="193" customFormat="false" ht="15" hidden="false" customHeight="false" outlineLevel="0" collapsed="false">
      <c r="A193" s="12"/>
      <c r="B193" s="12"/>
      <c r="C193" s="13"/>
      <c r="D193" s="14"/>
      <c r="E193" s="14"/>
      <c r="F193" s="13"/>
      <c r="G193" s="15"/>
      <c r="H193" s="16" t="str">
        <f aca="false">IF(OR(D193="",E193="",E193&lt;D193),"",E193-D193+1)</f>
        <v/>
      </c>
      <c r="I193" s="17" t="str">
        <f aca="false">IF(OR(H193="",C193=""),"",IF(F193="İptal",0,H193*IFERROR(INDEX(Ürünler!$B$5:$B$64,MATCH(C193,Ürünler!$A$5:$A$64,0)),0)-G193))</f>
        <v/>
      </c>
      <c r="J193" s="18" t="str">
        <f aca="false">IF(OR(H193="",C193="",F193="İptal"),"",IF(COUNTIFS($C$5:$C$1504,C193,$D$5:$D$1504,"&lt;="&amp;E193,$E$5:$E$1504,"&gt;="&amp;D193,$F$5:$F$1504,"&lt;&gt;İptal")&gt;1,"Çakışıyor",""))</f>
        <v/>
      </c>
    </row>
    <row r="194" customFormat="false" ht="15" hidden="false" customHeight="false" outlineLevel="0" collapsed="false">
      <c r="A194" s="12"/>
      <c r="B194" s="12"/>
      <c r="C194" s="13"/>
      <c r="D194" s="14"/>
      <c r="E194" s="14"/>
      <c r="F194" s="13"/>
      <c r="G194" s="15"/>
      <c r="H194" s="16" t="str">
        <f aca="false">IF(OR(D194="",E194="",E194&lt;D194),"",E194-D194+1)</f>
        <v/>
      </c>
      <c r="I194" s="17" t="str">
        <f aca="false">IF(OR(H194="",C194=""),"",IF(F194="İptal",0,H194*IFERROR(INDEX(Ürünler!$B$5:$B$64,MATCH(C194,Ürünler!$A$5:$A$64,0)),0)-G194))</f>
        <v/>
      </c>
      <c r="J194" s="18" t="str">
        <f aca="false">IF(OR(H194="",C194="",F194="İptal"),"",IF(COUNTIFS($C$5:$C$1504,C194,$D$5:$D$1504,"&lt;="&amp;E194,$E$5:$E$1504,"&gt;="&amp;D194,$F$5:$F$1504,"&lt;&gt;İptal")&gt;1,"Çakışıyor",""))</f>
        <v/>
      </c>
    </row>
    <row r="195" customFormat="false" ht="15" hidden="false" customHeight="false" outlineLevel="0" collapsed="false">
      <c r="A195" s="12"/>
      <c r="B195" s="12"/>
      <c r="C195" s="13"/>
      <c r="D195" s="14"/>
      <c r="E195" s="14"/>
      <c r="F195" s="13"/>
      <c r="G195" s="15"/>
      <c r="H195" s="16" t="str">
        <f aca="false">IF(OR(D195="",E195="",E195&lt;D195),"",E195-D195+1)</f>
        <v/>
      </c>
      <c r="I195" s="17" t="str">
        <f aca="false">IF(OR(H195="",C195=""),"",IF(F195="İptal",0,H195*IFERROR(INDEX(Ürünler!$B$5:$B$64,MATCH(C195,Ürünler!$A$5:$A$64,0)),0)-G195))</f>
        <v/>
      </c>
      <c r="J195" s="18" t="str">
        <f aca="false">IF(OR(H195="",C195="",F195="İptal"),"",IF(COUNTIFS($C$5:$C$1504,C195,$D$5:$D$1504,"&lt;="&amp;E195,$E$5:$E$1504,"&gt;="&amp;D195,$F$5:$F$1504,"&lt;&gt;İptal")&gt;1,"Çakışıyor",""))</f>
        <v/>
      </c>
    </row>
    <row r="196" customFormat="false" ht="15" hidden="false" customHeight="false" outlineLevel="0" collapsed="false">
      <c r="A196" s="12"/>
      <c r="B196" s="12"/>
      <c r="C196" s="13"/>
      <c r="D196" s="14"/>
      <c r="E196" s="14"/>
      <c r="F196" s="13"/>
      <c r="G196" s="15"/>
      <c r="H196" s="16" t="str">
        <f aca="false">IF(OR(D196="",E196="",E196&lt;D196),"",E196-D196+1)</f>
        <v/>
      </c>
      <c r="I196" s="17" t="str">
        <f aca="false">IF(OR(H196="",C196=""),"",IF(F196="İptal",0,H196*IFERROR(INDEX(Ürünler!$B$5:$B$64,MATCH(C196,Ürünler!$A$5:$A$64,0)),0)-G196))</f>
        <v/>
      </c>
      <c r="J196" s="18" t="str">
        <f aca="false">IF(OR(H196="",C196="",F196="İptal"),"",IF(COUNTIFS($C$5:$C$1504,C196,$D$5:$D$1504,"&lt;="&amp;E196,$E$5:$E$1504,"&gt;="&amp;D196,$F$5:$F$1504,"&lt;&gt;İptal")&gt;1,"Çakışıyor",""))</f>
        <v/>
      </c>
    </row>
    <row r="197" customFormat="false" ht="15" hidden="false" customHeight="false" outlineLevel="0" collapsed="false">
      <c r="A197" s="12"/>
      <c r="B197" s="12"/>
      <c r="C197" s="13"/>
      <c r="D197" s="14"/>
      <c r="E197" s="14"/>
      <c r="F197" s="13"/>
      <c r="G197" s="15"/>
      <c r="H197" s="16" t="str">
        <f aca="false">IF(OR(D197="",E197="",E197&lt;D197),"",E197-D197+1)</f>
        <v/>
      </c>
      <c r="I197" s="17" t="str">
        <f aca="false">IF(OR(H197="",C197=""),"",IF(F197="İptal",0,H197*IFERROR(INDEX(Ürünler!$B$5:$B$64,MATCH(C197,Ürünler!$A$5:$A$64,0)),0)-G197))</f>
        <v/>
      </c>
      <c r="J197" s="18" t="str">
        <f aca="false">IF(OR(H197="",C197="",F197="İptal"),"",IF(COUNTIFS($C$5:$C$1504,C197,$D$5:$D$1504,"&lt;="&amp;E197,$E$5:$E$1504,"&gt;="&amp;D197,$F$5:$F$1504,"&lt;&gt;İptal")&gt;1,"Çakışıyor",""))</f>
        <v/>
      </c>
    </row>
    <row r="198" customFormat="false" ht="15" hidden="false" customHeight="false" outlineLevel="0" collapsed="false">
      <c r="A198" s="12"/>
      <c r="B198" s="12"/>
      <c r="C198" s="13"/>
      <c r="D198" s="14"/>
      <c r="E198" s="14"/>
      <c r="F198" s="13"/>
      <c r="G198" s="15"/>
      <c r="H198" s="16" t="str">
        <f aca="false">IF(OR(D198="",E198="",E198&lt;D198),"",E198-D198+1)</f>
        <v/>
      </c>
      <c r="I198" s="17" t="str">
        <f aca="false">IF(OR(H198="",C198=""),"",IF(F198="İptal",0,H198*IFERROR(INDEX(Ürünler!$B$5:$B$64,MATCH(C198,Ürünler!$A$5:$A$64,0)),0)-G198))</f>
        <v/>
      </c>
      <c r="J198" s="18" t="str">
        <f aca="false">IF(OR(H198="",C198="",F198="İptal"),"",IF(COUNTIFS($C$5:$C$1504,C198,$D$5:$D$1504,"&lt;="&amp;E198,$E$5:$E$1504,"&gt;="&amp;D198,$F$5:$F$1504,"&lt;&gt;İptal")&gt;1,"Çakışıyor",""))</f>
        <v/>
      </c>
    </row>
    <row r="199" customFormat="false" ht="15" hidden="false" customHeight="false" outlineLevel="0" collapsed="false">
      <c r="A199" s="12"/>
      <c r="B199" s="12"/>
      <c r="C199" s="13"/>
      <c r="D199" s="14"/>
      <c r="E199" s="14"/>
      <c r="F199" s="13"/>
      <c r="G199" s="15"/>
      <c r="H199" s="16" t="str">
        <f aca="false">IF(OR(D199="",E199="",E199&lt;D199),"",E199-D199+1)</f>
        <v/>
      </c>
      <c r="I199" s="17" t="str">
        <f aca="false">IF(OR(H199="",C199=""),"",IF(F199="İptal",0,H199*IFERROR(INDEX(Ürünler!$B$5:$B$64,MATCH(C199,Ürünler!$A$5:$A$64,0)),0)-G199))</f>
        <v/>
      </c>
      <c r="J199" s="18" t="str">
        <f aca="false">IF(OR(H199="",C199="",F199="İptal"),"",IF(COUNTIFS($C$5:$C$1504,C199,$D$5:$D$1504,"&lt;="&amp;E199,$E$5:$E$1504,"&gt;="&amp;D199,$F$5:$F$1504,"&lt;&gt;İptal")&gt;1,"Çakışıyor",""))</f>
        <v/>
      </c>
    </row>
    <row r="200" customFormat="false" ht="15" hidden="false" customHeight="false" outlineLevel="0" collapsed="false">
      <c r="A200" s="12"/>
      <c r="B200" s="12"/>
      <c r="C200" s="13"/>
      <c r="D200" s="14"/>
      <c r="E200" s="14"/>
      <c r="F200" s="13"/>
      <c r="G200" s="15"/>
      <c r="H200" s="16" t="str">
        <f aca="false">IF(OR(D200="",E200="",E200&lt;D200),"",E200-D200+1)</f>
        <v/>
      </c>
      <c r="I200" s="17" t="str">
        <f aca="false">IF(OR(H200="",C200=""),"",IF(F200="İptal",0,H200*IFERROR(INDEX(Ürünler!$B$5:$B$64,MATCH(C200,Ürünler!$A$5:$A$64,0)),0)-G200))</f>
        <v/>
      </c>
      <c r="J200" s="18" t="str">
        <f aca="false">IF(OR(H200="",C200="",F200="İptal"),"",IF(COUNTIFS($C$5:$C$1504,C200,$D$5:$D$1504,"&lt;="&amp;E200,$E$5:$E$1504,"&gt;="&amp;D200,$F$5:$F$1504,"&lt;&gt;İptal")&gt;1,"Çakışıyor",""))</f>
        <v/>
      </c>
    </row>
    <row r="201" customFormat="false" ht="15" hidden="false" customHeight="false" outlineLevel="0" collapsed="false">
      <c r="A201" s="12"/>
      <c r="B201" s="12"/>
      <c r="C201" s="13"/>
      <c r="D201" s="14"/>
      <c r="E201" s="14"/>
      <c r="F201" s="13"/>
      <c r="G201" s="15"/>
      <c r="H201" s="16" t="str">
        <f aca="false">IF(OR(D201="",E201="",E201&lt;D201),"",E201-D201+1)</f>
        <v/>
      </c>
      <c r="I201" s="17" t="str">
        <f aca="false">IF(OR(H201="",C201=""),"",IF(F201="İptal",0,H201*IFERROR(INDEX(Ürünler!$B$5:$B$64,MATCH(C201,Ürünler!$A$5:$A$64,0)),0)-G201))</f>
        <v/>
      </c>
      <c r="J201" s="18" t="str">
        <f aca="false">IF(OR(H201="",C201="",F201="İptal"),"",IF(COUNTIFS($C$5:$C$1504,C201,$D$5:$D$1504,"&lt;="&amp;E201,$E$5:$E$1504,"&gt;="&amp;D201,$F$5:$F$1504,"&lt;&gt;İptal")&gt;1,"Çakışıyor",""))</f>
        <v/>
      </c>
    </row>
    <row r="202" customFormat="false" ht="15" hidden="false" customHeight="false" outlineLevel="0" collapsed="false">
      <c r="A202" s="12"/>
      <c r="B202" s="12"/>
      <c r="C202" s="13"/>
      <c r="D202" s="14"/>
      <c r="E202" s="14"/>
      <c r="F202" s="13"/>
      <c r="G202" s="15"/>
      <c r="H202" s="16" t="str">
        <f aca="false">IF(OR(D202="",E202="",E202&lt;D202),"",E202-D202+1)</f>
        <v/>
      </c>
      <c r="I202" s="17" t="str">
        <f aca="false">IF(OR(H202="",C202=""),"",IF(F202="İptal",0,H202*IFERROR(INDEX(Ürünler!$B$5:$B$64,MATCH(C202,Ürünler!$A$5:$A$64,0)),0)-G202))</f>
        <v/>
      </c>
      <c r="J202" s="18" t="str">
        <f aca="false">IF(OR(H202="",C202="",F202="İptal"),"",IF(COUNTIFS($C$5:$C$1504,C202,$D$5:$D$1504,"&lt;="&amp;E202,$E$5:$E$1504,"&gt;="&amp;D202,$F$5:$F$1504,"&lt;&gt;İptal")&gt;1,"Çakışıyor",""))</f>
        <v/>
      </c>
    </row>
    <row r="203" customFormat="false" ht="15" hidden="false" customHeight="false" outlineLevel="0" collapsed="false">
      <c r="A203" s="12"/>
      <c r="B203" s="12"/>
      <c r="C203" s="13"/>
      <c r="D203" s="14"/>
      <c r="E203" s="14"/>
      <c r="F203" s="13"/>
      <c r="G203" s="15"/>
      <c r="H203" s="16" t="str">
        <f aca="false">IF(OR(D203="",E203="",E203&lt;D203),"",E203-D203+1)</f>
        <v/>
      </c>
      <c r="I203" s="17" t="str">
        <f aca="false">IF(OR(H203="",C203=""),"",IF(F203="İptal",0,H203*IFERROR(INDEX(Ürünler!$B$5:$B$64,MATCH(C203,Ürünler!$A$5:$A$64,0)),0)-G203))</f>
        <v/>
      </c>
      <c r="J203" s="18" t="str">
        <f aca="false">IF(OR(H203="",C203="",F203="İptal"),"",IF(COUNTIFS($C$5:$C$1504,C203,$D$5:$D$1504,"&lt;="&amp;E203,$E$5:$E$1504,"&gt;="&amp;D203,$F$5:$F$1504,"&lt;&gt;İptal")&gt;1,"Çakışıyor",""))</f>
        <v/>
      </c>
    </row>
    <row r="204" customFormat="false" ht="15" hidden="false" customHeight="false" outlineLevel="0" collapsed="false">
      <c r="A204" s="12"/>
      <c r="B204" s="12"/>
      <c r="C204" s="13"/>
      <c r="D204" s="14"/>
      <c r="E204" s="14"/>
      <c r="F204" s="13"/>
      <c r="G204" s="15"/>
      <c r="H204" s="16" t="str">
        <f aca="false">IF(OR(D204="",E204="",E204&lt;D204),"",E204-D204+1)</f>
        <v/>
      </c>
      <c r="I204" s="17" t="str">
        <f aca="false">IF(OR(H204="",C204=""),"",IF(F204="İptal",0,H204*IFERROR(INDEX(Ürünler!$B$5:$B$64,MATCH(C204,Ürünler!$A$5:$A$64,0)),0)-G204))</f>
        <v/>
      </c>
      <c r="J204" s="18" t="str">
        <f aca="false">IF(OR(H204="",C204="",F204="İptal"),"",IF(COUNTIFS($C$5:$C$1504,C204,$D$5:$D$1504,"&lt;="&amp;E204,$E$5:$E$1504,"&gt;="&amp;D204,$F$5:$F$1504,"&lt;&gt;İptal")&gt;1,"Çakışıyor",""))</f>
        <v/>
      </c>
    </row>
    <row r="205" customFormat="false" ht="15" hidden="false" customHeight="false" outlineLevel="0" collapsed="false">
      <c r="A205" s="12"/>
      <c r="B205" s="12"/>
      <c r="C205" s="13"/>
      <c r="D205" s="14"/>
      <c r="E205" s="14"/>
      <c r="F205" s="13"/>
      <c r="G205" s="15"/>
      <c r="H205" s="16" t="str">
        <f aca="false">IF(OR(D205="",E205="",E205&lt;D205),"",E205-D205+1)</f>
        <v/>
      </c>
      <c r="I205" s="17" t="str">
        <f aca="false">IF(OR(H205="",C205=""),"",IF(F205="İptal",0,H205*IFERROR(INDEX(Ürünler!$B$5:$B$64,MATCH(C205,Ürünler!$A$5:$A$64,0)),0)-G205))</f>
        <v/>
      </c>
      <c r="J205" s="18" t="str">
        <f aca="false">IF(OR(H205="",C205="",F205="İptal"),"",IF(COUNTIFS($C$5:$C$1504,C205,$D$5:$D$1504,"&lt;="&amp;E205,$E$5:$E$1504,"&gt;="&amp;D205,$F$5:$F$1504,"&lt;&gt;İptal")&gt;1,"Çakışıyor",""))</f>
        <v/>
      </c>
    </row>
    <row r="206" customFormat="false" ht="15" hidden="false" customHeight="false" outlineLevel="0" collapsed="false">
      <c r="A206" s="12"/>
      <c r="B206" s="12"/>
      <c r="C206" s="13"/>
      <c r="D206" s="14"/>
      <c r="E206" s="14"/>
      <c r="F206" s="13"/>
      <c r="G206" s="15"/>
      <c r="H206" s="16" t="str">
        <f aca="false">IF(OR(D206="",E206="",E206&lt;D206),"",E206-D206+1)</f>
        <v/>
      </c>
      <c r="I206" s="17" t="str">
        <f aca="false">IF(OR(H206="",C206=""),"",IF(F206="İptal",0,H206*IFERROR(INDEX(Ürünler!$B$5:$B$64,MATCH(C206,Ürünler!$A$5:$A$64,0)),0)-G206))</f>
        <v/>
      </c>
      <c r="J206" s="18" t="str">
        <f aca="false">IF(OR(H206="",C206="",F206="İptal"),"",IF(COUNTIFS($C$5:$C$1504,C206,$D$5:$D$1504,"&lt;="&amp;E206,$E$5:$E$1504,"&gt;="&amp;D206,$F$5:$F$1504,"&lt;&gt;İptal")&gt;1,"Çakışıyor",""))</f>
        <v/>
      </c>
    </row>
    <row r="207" customFormat="false" ht="15" hidden="false" customHeight="false" outlineLevel="0" collapsed="false">
      <c r="A207" s="12"/>
      <c r="B207" s="12"/>
      <c r="C207" s="13"/>
      <c r="D207" s="14"/>
      <c r="E207" s="14"/>
      <c r="F207" s="13"/>
      <c r="G207" s="15"/>
      <c r="H207" s="16" t="str">
        <f aca="false">IF(OR(D207="",E207="",E207&lt;D207),"",E207-D207+1)</f>
        <v/>
      </c>
      <c r="I207" s="17" t="str">
        <f aca="false">IF(OR(H207="",C207=""),"",IF(F207="İptal",0,H207*IFERROR(INDEX(Ürünler!$B$5:$B$64,MATCH(C207,Ürünler!$A$5:$A$64,0)),0)-G207))</f>
        <v/>
      </c>
      <c r="J207" s="18" t="str">
        <f aca="false">IF(OR(H207="",C207="",F207="İptal"),"",IF(COUNTIFS($C$5:$C$1504,C207,$D$5:$D$1504,"&lt;="&amp;E207,$E$5:$E$1504,"&gt;="&amp;D207,$F$5:$F$1504,"&lt;&gt;İptal")&gt;1,"Çakışıyor",""))</f>
        <v/>
      </c>
    </row>
    <row r="208" customFormat="false" ht="15" hidden="false" customHeight="false" outlineLevel="0" collapsed="false">
      <c r="A208" s="12"/>
      <c r="B208" s="12"/>
      <c r="C208" s="13"/>
      <c r="D208" s="14"/>
      <c r="E208" s="14"/>
      <c r="F208" s="13"/>
      <c r="G208" s="15"/>
      <c r="H208" s="16" t="str">
        <f aca="false">IF(OR(D208="",E208="",E208&lt;D208),"",E208-D208+1)</f>
        <v/>
      </c>
      <c r="I208" s="17" t="str">
        <f aca="false">IF(OR(H208="",C208=""),"",IF(F208="İptal",0,H208*IFERROR(INDEX(Ürünler!$B$5:$B$64,MATCH(C208,Ürünler!$A$5:$A$64,0)),0)-G208))</f>
        <v/>
      </c>
      <c r="J208" s="18" t="str">
        <f aca="false">IF(OR(H208="",C208="",F208="İptal"),"",IF(COUNTIFS($C$5:$C$1504,C208,$D$5:$D$1504,"&lt;="&amp;E208,$E$5:$E$1504,"&gt;="&amp;D208,$F$5:$F$1504,"&lt;&gt;İptal")&gt;1,"Çakışıyor",""))</f>
        <v/>
      </c>
    </row>
    <row r="209" customFormat="false" ht="15" hidden="false" customHeight="false" outlineLevel="0" collapsed="false">
      <c r="A209" s="12"/>
      <c r="B209" s="12"/>
      <c r="C209" s="13"/>
      <c r="D209" s="14"/>
      <c r="E209" s="14"/>
      <c r="F209" s="13"/>
      <c r="G209" s="15"/>
      <c r="H209" s="16" t="str">
        <f aca="false">IF(OR(D209="",E209="",E209&lt;D209),"",E209-D209+1)</f>
        <v/>
      </c>
      <c r="I209" s="17" t="str">
        <f aca="false">IF(OR(H209="",C209=""),"",IF(F209="İptal",0,H209*IFERROR(INDEX(Ürünler!$B$5:$B$64,MATCH(C209,Ürünler!$A$5:$A$64,0)),0)-G209))</f>
        <v/>
      </c>
      <c r="J209" s="18" t="str">
        <f aca="false">IF(OR(H209="",C209="",F209="İptal"),"",IF(COUNTIFS($C$5:$C$1504,C209,$D$5:$D$1504,"&lt;="&amp;E209,$E$5:$E$1504,"&gt;="&amp;D209,$F$5:$F$1504,"&lt;&gt;İptal")&gt;1,"Çakışıyor",""))</f>
        <v/>
      </c>
    </row>
    <row r="210" customFormat="false" ht="15" hidden="false" customHeight="false" outlineLevel="0" collapsed="false">
      <c r="A210" s="12"/>
      <c r="B210" s="12"/>
      <c r="C210" s="13"/>
      <c r="D210" s="14"/>
      <c r="E210" s="14"/>
      <c r="F210" s="13"/>
      <c r="G210" s="15"/>
      <c r="H210" s="16" t="str">
        <f aca="false">IF(OR(D210="",E210="",E210&lt;D210),"",E210-D210+1)</f>
        <v/>
      </c>
      <c r="I210" s="17" t="str">
        <f aca="false">IF(OR(H210="",C210=""),"",IF(F210="İptal",0,H210*IFERROR(INDEX(Ürünler!$B$5:$B$64,MATCH(C210,Ürünler!$A$5:$A$64,0)),0)-G210))</f>
        <v/>
      </c>
      <c r="J210" s="18" t="str">
        <f aca="false">IF(OR(H210="",C210="",F210="İptal"),"",IF(COUNTIFS($C$5:$C$1504,C210,$D$5:$D$1504,"&lt;="&amp;E210,$E$5:$E$1504,"&gt;="&amp;D210,$F$5:$F$1504,"&lt;&gt;İptal")&gt;1,"Çakışıyor",""))</f>
        <v/>
      </c>
    </row>
    <row r="211" customFormat="false" ht="15" hidden="false" customHeight="false" outlineLevel="0" collapsed="false">
      <c r="A211" s="12"/>
      <c r="B211" s="12"/>
      <c r="C211" s="13"/>
      <c r="D211" s="14"/>
      <c r="E211" s="14"/>
      <c r="F211" s="13"/>
      <c r="G211" s="15"/>
      <c r="H211" s="16" t="str">
        <f aca="false">IF(OR(D211="",E211="",E211&lt;D211),"",E211-D211+1)</f>
        <v/>
      </c>
      <c r="I211" s="17" t="str">
        <f aca="false">IF(OR(H211="",C211=""),"",IF(F211="İptal",0,H211*IFERROR(INDEX(Ürünler!$B$5:$B$64,MATCH(C211,Ürünler!$A$5:$A$64,0)),0)-G211))</f>
        <v/>
      </c>
      <c r="J211" s="18" t="str">
        <f aca="false">IF(OR(H211="",C211="",F211="İptal"),"",IF(COUNTIFS($C$5:$C$1504,C211,$D$5:$D$1504,"&lt;="&amp;E211,$E$5:$E$1504,"&gt;="&amp;D211,$F$5:$F$1504,"&lt;&gt;İptal")&gt;1,"Çakışıyor",""))</f>
        <v/>
      </c>
    </row>
    <row r="212" customFormat="false" ht="15" hidden="false" customHeight="false" outlineLevel="0" collapsed="false">
      <c r="A212" s="12"/>
      <c r="B212" s="12"/>
      <c r="C212" s="13"/>
      <c r="D212" s="14"/>
      <c r="E212" s="14"/>
      <c r="F212" s="13"/>
      <c r="G212" s="15"/>
      <c r="H212" s="16" t="str">
        <f aca="false">IF(OR(D212="",E212="",E212&lt;D212),"",E212-D212+1)</f>
        <v/>
      </c>
      <c r="I212" s="17" t="str">
        <f aca="false">IF(OR(H212="",C212=""),"",IF(F212="İptal",0,H212*IFERROR(INDEX(Ürünler!$B$5:$B$64,MATCH(C212,Ürünler!$A$5:$A$64,0)),0)-G212))</f>
        <v/>
      </c>
      <c r="J212" s="18" t="str">
        <f aca="false">IF(OR(H212="",C212="",F212="İptal"),"",IF(COUNTIFS($C$5:$C$1504,C212,$D$5:$D$1504,"&lt;="&amp;E212,$E$5:$E$1504,"&gt;="&amp;D212,$F$5:$F$1504,"&lt;&gt;İptal")&gt;1,"Çakışıyor",""))</f>
        <v/>
      </c>
    </row>
    <row r="213" customFormat="false" ht="15" hidden="false" customHeight="false" outlineLevel="0" collapsed="false">
      <c r="A213" s="12"/>
      <c r="B213" s="12"/>
      <c r="C213" s="13"/>
      <c r="D213" s="14"/>
      <c r="E213" s="14"/>
      <c r="F213" s="13"/>
      <c r="G213" s="15"/>
      <c r="H213" s="16" t="str">
        <f aca="false">IF(OR(D213="",E213="",E213&lt;D213),"",E213-D213+1)</f>
        <v/>
      </c>
      <c r="I213" s="17" t="str">
        <f aca="false">IF(OR(H213="",C213=""),"",IF(F213="İptal",0,H213*IFERROR(INDEX(Ürünler!$B$5:$B$64,MATCH(C213,Ürünler!$A$5:$A$64,0)),0)-G213))</f>
        <v/>
      </c>
      <c r="J213" s="18" t="str">
        <f aca="false">IF(OR(H213="",C213="",F213="İptal"),"",IF(COUNTIFS($C$5:$C$1504,C213,$D$5:$D$1504,"&lt;="&amp;E213,$E$5:$E$1504,"&gt;="&amp;D213,$F$5:$F$1504,"&lt;&gt;İptal")&gt;1,"Çakışıyor",""))</f>
        <v/>
      </c>
    </row>
    <row r="214" customFormat="false" ht="15" hidden="false" customHeight="false" outlineLevel="0" collapsed="false">
      <c r="A214" s="12"/>
      <c r="B214" s="12"/>
      <c r="C214" s="13"/>
      <c r="D214" s="14"/>
      <c r="E214" s="14"/>
      <c r="F214" s="13"/>
      <c r="G214" s="15"/>
      <c r="H214" s="16" t="str">
        <f aca="false">IF(OR(D214="",E214="",E214&lt;D214),"",E214-D214+1)</f>
        <v/>
      </c>
      <c r="I214" s="17" t="str">
        <f aca="false">IF(OR(H214="",C214=""),"",IF(F214="İptal",0,H214*IFERROR(INDEX(Ürünler!$B$5:$B$64,MATCH(C214,Ürünler!$A$5:$A$64,0)),0)-G214))</f>
        <v/>
      </c>
      <c r="J214" s="18" t="str">
        <f aca="false">IF(OR(H214="",C214="",F214="İptal"),"",IF(COUNTIFS($C$5:$C$1504,C214,$D$5:$D$1504,"&lt;="&amp;E214,$E$5:$E$1504,"&gt;="&amp;D214,$F$5:$F$1504,"&lt;&gt;İptal")&gt;1,"Çakışıyor",""))</f>
        <v/>
      </c>
    </row>
    <row r="215" customFormat="false" ht="15" hidden="false" customHeight="false" outlineLevel="0" collapsed="false">
      <c r="A215" s="12"/>
      <c r="B215" s="12"/>
      <c r="C215" s="13"/>
      <c r="D215" s="14"/>
      <c r="E215" s="14"/>
      <c r="F215" s="13"/>
      <c r="G215" s="15"/>
      <c r="H215" s="16" t="str">
        <f aca="false">IF(OR(D215="",E215="",E215&lt;D215),"",E215-D215+1)</f>
        <v/>
      </c>
      <c r="I215" s="17" t="str">
        <f aca="false">IF(OR(H215="",C215=""),"",IF(F215="İptal",0,H215*IFERROR(INDEX(Ürünler!$B$5:$B$64,MATCH(C215,Ürünler!$A$5:$A$64,0)),0)-G215))</f>
        <v/>
      </c>
      <c r="J215" s="18" t="str">
        <f aca="false">IF(OR(H215="",C215="",F215="İptal"),"",IF(COUNTIFS($C$5:$C$1504,C215,$D$5:$D$1504,"&lt;="&amp;E215,$E$5:$E$1504,"&gt;="&amp;D215,$F$5:$F$1504,"&lt;&gt;İptal")&gt;1,"Çakışıyor",""))</f>
        <v/>
      </c>
    </row>
    <row r="216" customFormat="false" ht="15" hidden="false" customHeight="false" outlineLevel="0" collapsed="false">
      <c r="A216" s="12"/>
      <c r="B216" s="12"/>
      <c r="C216" s="13"/>
      <c r="D216" s="14"/>
      <c r="E216" s="14"/>
      <c r="F216" s="13"/>
      <c r="G216" s="15"/>
      <c r="H216" s="16" t="str">
        <f aca="false">IF(OR(D216="",E216="",E216&lt;D216),"",E216-D216+1)</f>
        <v/>
      </c>
      <c r="I216" s="17" t="str">
        <f aca="false">IF(OR(H216="",C216=""),"",IF(F216="İptal",0,H216*IFERROR(INDEX(Ürünler!$B$5:$B$64,MATCH(C216,Ürünler!$A$5:$A$64,0)),0)-G216))</f>
        <v/>
      </c>
      <c r="J216" s="18" t="str">
        <f aca="false">IF(OR(H216="",C216="",F216="İptal"),"",IF(COUNTIFS($C$5:$C$1504,C216,$D$5:$D$1504,"&lt;="&amp;E216,$E$5:$E$1504,"&gt;="&amp;D216,$F$5:$F$1504,"&lt;&gt;İptal")&gt;1,"Çakışıyor",""))</f>
        <v/>
      </c>
    </row>
    <row r="217" customFormat="false" ht="15" hidden="false" customHeight="false" outlineLevel="0" collapsed="false">
      <c r="A217" s="12"/>
      <c r="B217" s="12"/>
      <c r="C217" s="13"/>
      <c r="D217" s="14"/>
      <c r="E217" s="14"/>
      <c r="F217" s="13"/>
      <c r="G217" s="15"/>
      <c r="H217" s="16" t="str">
        <f aca="false">IF(OR(D217="",E217="",E217&lt;D217),"",E217-D217+1)</f>
        <v/>
      </c>
      <c r="I217" s="17" t="str">
        <f aca="false">IF(OR(H217="",C217=""),"",IF(F217="İptal",0,H217*IFERROR(INDEX(Ürünler!$B$5:$B$64,MATCH(C217,Ürünler!$A$5:$A$64,0)),0)-G217))</f>
        <v/>
      </c>
      <c r="J217" s="18" t="str">
        <f aca="false">IF(OR(H217="",C217="",F217="İptal"),"",IF(COUNTIFS($C$5:$C$1504,C217,$D$5:$D$1504,"&lt;="&amp;E217,$E$5:$E$1504,"&gt;="&amp;D217,$F$5:$F$1504,"&lt;&gt;İptal")&gt;1,"Çakışıyor",""))</f>
        <v/>
      </c>
    </row>
    <row r="218" customFormat="false" ht="15" hidden="false" customHeight="false" outlineLevel="0" collapsed="false">
      <c r="A218" s="12"/>
      <c r="B218" s="12"/>
      <c r="C218" s="13"/>
      <c r="D218" s="14"/>
      <c r="E218" s="14"/>
      <c r="F218" s="13"/>
      <c r="G218" s="15"/>
      <c r="H218" s="16" t="str">
        <f aca="false">IF(OR(D218="",E218="",E218&lt;D218),"",E218-D218+1)</f>
        <v/>
      </c>
      <c r="I218" s="17" t="str">
        <f aca="false">IF(OR(H218="",C218=""),"",IF(F218="İptal",0,H218*IFERROR(INDEX(Ürünler!$B$5:$B$64,MATCH(C218,Ürünler!$A$5:$A$64,0)),0)-G218))</f>
        <v/>
      </c>
      <c r="J218" s="18" t="str">
        <f aca="false">IF(OR(H218="",C218="",F218="İptal"),"",IF(COUNTIFS($C$5:$C$1504,C218,$D$5:$D$1504,"&lt;="&amp;E218,$E$5:$E$1504,"&gt;="&amp;D218,$F$5:$F$1504,"&lt;&gt;İptal")&gt;1,"Çakışıyor",""))</f>
        <v/>
      </c>
    </row>
    <row r="219" customFormat="false" ht="15" hidden="false" customHeight="false" outlineLevel="0" collapsed="false">
      <c r="A219" s="12"/>
      <c r="B219" s="12"/>
      <c r="C219" s="13"/>
      <c r="D219" s="14"/>
      <c r="E219" s="14"/>
      <c r="F219" s="13"/>
      <c r="G219" s="15"/>
      <c r="H219" s="16" t="str">
        <f aca="false">IF(OR(D219="",E219="",E219&lt;D219),"",E219-D219+1)</f>
        <v/>
      </c>
      <c r="I219" s="17" t="str">
        <f aca="false">IF(OR(H219="",C219=""),"",IF(F219="İptal",0,H219*IFERROR(INDEX(Ürünler!$B$5:$B$64,MATCH(C219,Ürünler!$A$5:$A$64,0)),0)-G219))</f>
        <v/>
      </c>
      <c r="J219" s="18" t="str">
        <f aca="false">IF(OR(H219="",C219="",F219="İptal"),"",IF(COUNTIFS($C$5:$C$1504,C219,$D$5:$D$1504,"&lt;="&amp;E219,$E$5:$E$1504,"&gt;="&amp;D219,$F$5:$F$1504,"&lt;&gt;İptal")&gt;1,"Çakışıyor",""))</f>
        <v/>
      </c>
    </row>
    <row r="220" customFormat="false" ht="15" hidden="false" customHeight="false" outlineLevel="0" collapsed="false">
      <c r="A220" s="12"/>
      <c r="B220" s="12"/>
      <c r="C220" s="13"/>
      <c r="D220" s="14"/>
      <c r="E220" s="14"/>
      <c r="F220" s="13"/>
      <c r="G220" s="15"/>
      <c r="H220" s="16" t="str">
        <f aca="false">IF(OR(D220="",E220="",E220&lt;D220),"",E220-D220+1)</f>
        <v/>
      </c>
      <c r="I220" s="17" t="str">
        <f aca="false">IF(OR(H220="",C220=""),"",IF(F220="İptal",0,H220*IFERROR(INDEX(Ürünler!$B$5:$B$64,MATCH(C220,Ürünler!$A$5:$A$64,0)),0)-G220))</f>
        <v/>
      </c>
      <c r="J220" s="18" t="str">
        <f aca="false">IF(OR(H220="",C220="",F220="İptal"),"",IF(COUNTIFS($C$5:$C$1504,C220,$D$5:$D$1504,"&lt;="&amp;E220,$E$5:$E$1504,"&gt;="&amp;D220,$F$5:$F$1504,"&lt;&gt;İptal")&gt;1,"Çakışıyor",""))</f>
        <v/>
      </c>
    </row>
    <row r="221" customFormat="false" ht="15" hidden="false" customHeight="false" outlineLevel="0" collapsed="false">
      <c r="A221" s="12"/>
      <c r="B221" s="12"/>
      <c r="C221" s="13"/>
      <c r="D221" s="14"/>
      <c r="E221" s="14"/>
      <c r="F221" s="13"/>
      <c r="G221" s="15"/>
      <c r="H221" s="16" t="str">
        <f aca="false">IF(OR(D221="",E221="",E221&lt;D221),"",E221-D221+1)</f>
        <v/>
      </c>
      <c r="I221" s="17" t="str">
        <f aca="false">IF(OR(H221="",C221=""),"",IF(F221="İptal",0,H221*IFERROR(INDEX(Ürünler!$B$5:$B$64,MATCH(C221,Ürünler!$A$5:$A$64,0)),0)-G221))</f>
        <v/>
      </c>
      <c r="J221" s="18" t="str">
        <f aca="false">IF(OR(H221="",C221="",F221="İptal"),"",IF(COUNTIFS($C$5:$C$1504,C221,$D$5:$D$1504,"&lt;="&amp;E221,$E$5:$E$1504,"&gt;="&amp;D221,$F$5:$F$1504,"&lt;&gt;İptal")&gt;1,"Çakışıyor",""))</f>
        <v/>
      </c>
    </row>
    <row r="222" customFormat="false" ht="15" hidden="false" customHeight="false" outlineLevel="0" collapsed="false">
      <c r="A222" s="12"/>
      <c r="B222" s="12"/>
      <c r="C222" s="13"/>
      <c r="D222" s="14"/>
      <c r="E222" s="14"/>
      <c r="F222" s="13"/>
      <c r="G222" s="15"/>
      <c r="H222" s="16" t="str">
        <f aca="false">IF(OR(D222="",E222="",E222&lt;D222),"",E222-D222+1)</f>
        <v/>
      </c>
      <c r="I222" s="17" t="str">
        <f aca="false">IF(OR(H222="",C222=""),"",IF(F222="İptal",0,H222*IFERROR(INDEX(Ürünler!$B$5:$B$64,MATCH(C222,Ürünler!$A$5:$A$64,0)),0)-G222))</f>
        <v/>
      </c>
      <c r="J222" s="18" t="str">
        <f aca="false">IF(OR(H222="",C222="",F222="İptal"),"",IF(COUNTIFS($C$5:$C$1504,C222,$D$5:$D$1504,"&lt;="&amp;E222,$E$5:$E$1504,"&gt;="&amp;D222,$F$5:$F$1504,"&lt;&gt;İptal")&gt;1,"Çakışıyor",""))</f>
        <v/>
      </c>
    </row>
    <row r="223" customFormat="false" ht="15" hidden="false" customHeight="false" outlineLevel="0" collapsed="false">
      <c r="A223" s="12"/>
      <c r="B223" s="12"/>
      <c r="C223" s="13"/>
      <c r="D223" s="14"/>
      <c r="E223" s="14"/>
      <c r="F223" s="13"/>
      <c r="G223" s="15"/>
      <c r="H223" s="16" t="str">
        <f aca="false">IF(OR(D223="",E223="",E223&lt;D223),"",E223-D223+1)</f>
        <v/>
      </c>
      <c r="I223" s="17" t="str">
        <f aca="false">IF(OR(H223="",C223=""),"",IF(F223="İptal",0,H223*IFERROR(INDEX(Ürünler!$B$5:$B$64,MATCH(C223,Ürünler!$A$5:$A$64,0)),0)-G223))</f>
        <v/>
      </c>
      <c r="J223" s="18" t="str">
        <f aca="false">IF(OR(H223="",C223="",F223="İptal"),"",IF(COUNTIFS($C$5:$C$1504,C223,$D$5:$D$1504,"&lt;="&amp;E223,$E$5:$E$1504,"&gt;="&amp;D223,$F$5:$F$1504,"&lt;&gt;İptal")&gt;1,"Çakışıyor",""))</f>
        <v/>
      </c>
    </row>
    <row r="224" customFormat="false" ht="15" hidden="false" customHeight="false" outlineLevel="0" collapsed="false">
      <c r="A224" s="12"/>
      <c r="B224" s="12"/>
      <c r="C224" s="13"/>
      <c r="D224" s="14"/>
      <c r="E224" s="14"/>
      <c r="F224" s="13"/>
      <c r="G224" s="15"/>
      <c r="H224" s="16" t="str">
        <f aca="false">IF(OR(D224="",E224="",E224&lt;D224),"",E224-D224+1)</f>
        <v/>
      </c>
      <c r="I224" s="17" t="str">
        <f aca="false">IF(OR(H224="",C224=""),"",IF(F224="İptal",0,H224*IFERROR(INDEX(Ürünler!$B$5:$B$64,MATCH(C224,Ürünler!$A$5:$A$64,0)),0)-G224))</f>
        <v/>
      </c>
      <c r="J224" s="18" t="str">
        <f aca="false">IF(OR(H224="",C224="",F224="İptal"),"",IF(COUNTIFS($C$5:$C$1504,C224,$D$5:$D$1504,"&lt;="&amp;E224,$E$5:$E$1504,"&gt;="&amp;D224,$F$5:$F$1504,"&lt;&gt;İptal")&gt;1,"Çakışıyor",""))</f>
        <v/>
      </c>
    </row>
    <row r="225" customFormat="false" ht="15" hidden="false" customHeight="false" outlineLevel="0" collapsed="false">
      <c r="A225" s="12"/>
      <c r="B225" s="12"/>
      <c r="C225" s="13"/>
      <c r="D225" s="14"/>
      <c r="E225" s="14"/>
      <c r="F225" s="13"/>
      <c r="G225" s="15"/>
      <c r="H225" s="16" t="str">
        <f aca="false">IF(OR(D225="",E225="",E225&lt;D225),"",E225-D225+1)</f>
        <v/>
      </c>
      <c r="I225" s="17" t="str">
        <f aca="false">IF(OR(H225="",C225=""),"",IF(F225="İptal",0,H225*IFERROR(INDEX(Ürünler!$B$5:$B$64,MATCH(C225,Ürünler!$A$5:$A$64,0)),0)-G225))</f>
        <v/>
      </c>
      <c r="J225" s="18" t="str">
        <f aca="false">IF(OR(H225="",C225="",F225="İptal"),"",IF(COUNTIFS($C$5:$C$1504,C225,$D$5:$D$1504,"&lt;="&amp;E225,$E$5:$E$1504,"&gt;="&amp;D225,$F$5:$F$1504,"&lt;&gt;İptal")&gt;1,"Çakışıyor",""))</f>
        <v/>
      </c>
    </row>
    <row r="226" customFormat="false" ht="15" hidden="false" customHeight="false" outlineLevel="0" collapsed="false">
      <c r="A226" s="12"/>
      <c r="B226" s="12"/>
      <c r="C226" s="13"/>
      <c r="D226" s="14"/>
      <c r="E226" s="14"/>
      <c r="F226" s="13"/>
      <c r="G226" s="15"/>
      <c r="H226" s="16" t="str">
        <f aca="false">IF(OR(D226="",E226="",E226&lt;D226),"",E226-D226+1)</f>
        <v/>
      </c>
      <c r="I226" s="17" t="str">
        <f aca="false">IF(OR(H226="",C226=""),"",IF(F226="İptal",0,H226*IFERROR(INDEX(Ürünler!$B$5:$B$64,MATCH(C226,Ürünler!$A$5:$A$64,0)),0)-G226))</f>
        <v/>
      </c>
      <c r="J226" s="18" t="str">
        <f aca="false">IF(OR(H226="",C226="",F226="İptal"),"",IF(COUNTIFS($C$5:$C$1504,C226,$D$5:$D$1504,"&lt;="&amp;E226,$E$5:$E$1504,"&gt;="&amp;D226,$F$5:$F$1504,"&lt;&gt;İptal")&gt;1,"Çakışıyor",""))</f>
        <v/>
      </c>
    </row>
    <row r="227" customFormat="false" ht="15" hidden="false" customHeight="false" outlineLevel="0" collapsed="false">
      <c r="A227" s="12"/>
      <c r="B227" s="12"/>
      <c r="C227" s="13"/>
      <c r="D227" s="14"/>
      <c r="E227" s="14"/>
      <c r="F227" s="13"/>
      <c r="G227" s="15"/>
      <c r="H227" s="16" t="str">
        <f aca="false">IF(OR(D227="",E227="",E227&lt;D227),"",E227-D227+1)</f>
        <v/>
      </c>
      <c r="I227" s="17" t="str">
        <f aca="false">IF(OR(H227="",C227=""),"",IF(F227="İptal",0,H227*IFERROR(INDEX(Ürünler!$B$5:$B$64,MATCH(C227,Ürünler!$A$5:$A$64,0)),0)-G227))</f>
        <v/>
      </c>
      <c r="J227" s="18" t="str">
        <f aca="false">IF(OR(H227="",C227="",F227="İptal"),"",IF(COUNTIFS($C$5:$C$1504,C227,$D$5:$D$1504,"&lt;="&amp;E227,$E$5:$E$1504,"&gt;="&amp;D227,$F$5:$F$1504,"&lt;&gt;İptal")&gt;1,"Çakışıyor",""))</f>
        <v/>
      </c>
    </row>
    <row r="228" customFormat="false" ht="15" hidden="false" customHeight="false" outlineLevel="0" collapsed="false">
      <c r="A228" s="12"/>
      <c r="B228" s="12"/>
      <c r="C228" s="13"/>
      <c r="D228" s="14"/>
      <c r="E228" s="14"/>
      <c r="F228" s="13"/>
      <c r="G228" s="15"/>
      <c r="H228" s="16" t="str">
        <f aca="false">IF(OR(D228="",E228="",E228&lt;D228),"",E228-D228+1)</f>
        <v/>
      </c>
      <c r="I228" s="17" t="str">
        <f aca="false">IF(OR(H228="",C228=""),"",IF(F228="İptal",0,H228*IFERROR(INDEX(Ürünler!$B$5:$B$64,MATCH(C228,Ürünler!$A$5:$A$64,0)),0)-G228))</f>
        <v/>
      </c>
      <c r="J228" s="18" t="str">
        <f aca="false">IF(OR(H228="",C228="",F228="İptal"),"",IF(COUNTIFS($C$5:$C$1504,C228,$D$5:$D$1504,"&lt;="&amp;E228,$E$5:$E$1504,"&gt;="&amp;D228,$F$5:$F$1504,"&lt;&gt;İptal")&gt;1,"Çakışıyor",""))</f>
        <v/>
      </c>
    </row>
    <row r="229" customFormat="false" ht="15" hidden="false" customHeight="false" outlineLevel="0" collapsed="false">
      <c r="A229" s="12"/>
      <c r="B229" s="12"/>
      <c r="C229" s="13"/>
      <c r="D229" s="14"/>
      <c r="E229" s="14"/>
      <c r="F229" s="13"/>
      <c r="G229" s="15"/>
      <c r="H229" s="16" t="str">
        <f aca="false">IF(OR(D229="",E229="",E229&lt;D229),"",E229-D229+1)</f>
        <v/>
      </c>
      <c r="I229" s="17" t="str">
        <f aca="false">IF(OR(H229="",C229=""),"",IF(F229="İptal",0,H229*IFERROR(INDEX(Ürünler!$B$5:$B$64,MATCH(C229,Ürünler!$A$5:$A$64,0)),0)-G229))</f>
        <v/>
      </c>
      <c r="J229" s="18" t="str">
        <f aca="false">IF(OR(H229="",C229="",F229="İptal"),"",IF(COUNTIFS($C$5:$C$1504,C229,$D$5:$D$1504,"&lt;="&amp;E229,$E$5:$E$1504,"&gt;="&amp;D229,$F$5:$F$1504,"&lt;&gt;İptal")&gt;1,"Çakışıyor",""))</f>
        <v/>
      </c>
    </row>
    <row r="230" customFormat="false" ht="15" hidden="false" customHeight="false" outlineLevel="0" collapsed="false">
      <c r="A230" s="12"/>
      <c r="B230" s="12"/>
      <c r="C230" s="13"/>
      <c r="D230" s="14"/>
      <c r="E230" s="14"/>
      <c r="F230" s="13"/>
      <c r="G230" s="15"/>
      <c r="H230" s="16" t="str">
        <f aca="false">IF(OR(D230="",E230="",E230&lt;D230),"",E230-D230+1)</f>
        <v/>
      </c>
      <c r="I230" s="17" t="str">
        <f aca="false">IF(OR(H230="",C230=""),"",IF(F230="İptal",0,H230*IFERROR(INDEX(Ürünler!$B$5:$B$64,MATCH(C230,Ürünler!$A$5:$A$64,0)),0)-G230))</f>
        <v/>
      </c>
      <c r="J230" s="18" t="str">
        <f aca="false">IF(OR(H230="",C230="",F230="İptal"),"",IF(COUNTIFS($C$5:$C$1504,C230,$D$5:$D$1504,"&lt;="&amp;E230,$E$5:$E$1504,"&gt;="&amp;D230,$F$5:$F$1504,"&lt;&gt;İptal")&gt;1,"Çakışıyor",""))</f>
        <v/>
      </c>
    </row>
    <row r="231" customFormat="false" ht="15" hidden="false" customHeight="false" outlineLevel="0" collapsed="false">
      <c r="A231" s="12"/>
      <c r="B231" s="12"/>
      <c r="C231" s="13"/>
      <c r="D231" s="14"/>
      <c r="E231" s="14"/>
      <c r="F231" s="13"/>
      <c r="G231" s="15"/>
      <c r="H231" s="16" t="str">
        <f aca="false">IF(OR(D231="",E231="",E231&lt;D231),"",E231-D231+1)</f>
        <v/>
      </c>
      <c r="I231" s="17" t="str">
        <f aca="false">IF(OR(H231="",C231=""),"",IF(F231="İptal",0,H231*IFERROR(INDEX(Ürünler!$B$5:$B$64,MATCH(C231,Ürünler!$A$5:$A$64,0)),0)-G231))</f>
        <v/>
      </c>
      <c r="J231" s="18" t="str">
        <f aca="false">IF(OR(H231="",C231="",F231="İptal"),"",IF(COUNTIFS($C$5:$C$1504,C231,$D$5:$D$1504,"&lt;="&amp;E231,$E$5:$E$1504,"&gt;="&amp;D231,$F$5:$F$1504,"&lt;&gt;İptal")&gt;1,"Çakışıyor",""))</f>
        <v/>
      </c>
    </row>
    <row r="232" customFormat="false" ht="15" hidden="false" customHeight="false" outlineLevel="0" collapsed="false">
      <c r="A232" s="12"/>
      <c r="B232" s="12"/>
      <c r="C232" s="13"/>
      <c r="D232" s="14"/>
      <c r="E232" s="14"/>
      <c r="F232" s="13"/>
      <c r="G232" s="15"/>
      <c r="H232" s="16" t="str">
        <f aca="false">IF(OR(D232="",E232="",E232&lt;D232),"",E232-D232+1)</f>
        <v/>
      </c>
      <c r="I232" s="17" t="str">
        <f aca="false">IF(OR(H232="",C232=""),"",IF(F232="İptal",0,H232*IFERROR(INDEX(Ürünler!$B$5:$B$64,MATCH(C232,Ürünler!$A$5:$A$64,0)),0)-G232))</f>
        <v/>
      </c>
      <c r="J232" s="18" t="str">
        <f aca="false">IF(OR(H232="",C232="",F232="İptal"),"",IF(COUNTIFS($C$5:$C$1504,C232,$D$5:$D$1504,"&lt;="&amp;E232,$E$5:$E$1504,"&gt;="&amp;D232,$F$5:$F$1504,"&lt;&gt;İptal")&gt;1,"Çakışıyor",""))</f>
        <v/>
      </c>
    </row>
    <row r="233" customFormat="false" ht="15" hidden="false" customHeight="false" outlineLevel="0" collapsed="false">
      <c r="A233" s="12"/>
      <c r="B233" s="12"/>
      <c r="C233" s="13"/>
      <c r="D233" s="14"/>
      <c r="E233" s="14"/>
      <c r="F233" s="13"/>
      <c r="G233" s="15"/>
      <c r="H233" s="16" t="str">
        <f aca="false">IF(OR(D233="",E233="",E233&lt;D233),"",E233-D233+1)</f>
        <v/>
      </c>
      <c r="I233" s="17" t="str">
        <f aca="false">IF(OR(H233="",C233=""),"",IF(F233="İptal",0,H233*IFERROR(INDEX(Ürünler!$B$5:$B$64,MATCH(C233,Ürünler!$A$5:$A$64,0)),0)-G233))</f>
        <v/>
      </c>
      <c r="J233" s="18" t="str">
        <f aca="false">IF(OR(H233="",C233="",F233="İptal"),"",IF(COUNTIFS($C$5:$C$1504,C233,$D$5:$D$1504,"&lt;="&amp;E233,$E$5:$E$1504,"&gt;="&amp;D233,$F$5:$F$1504,"&lt;&gt;İptal")&gt;1,"Çakışıyor",""))</f>
        <v/>
      </c>
    </row>
    <row r="234" customFormat="false" ht="15" hidden="false" customHeight="false" outlineLevel="0" collapsed="false">
      <c r="A234" s="12"/>
      <c r="B234" s="12"/>
      <c r="C234" s="13"/>
      <c r="D234" s="14"/>
      <c r="E234" s="14"/>
      <c r="F234" s="13"/>
      <c r="G234" s="15"/>
      <c r="H234" s="16" t="str">
        <f aca="false">IF(OR(D234="",E234="",E234&lt;D234),"",E234-D234+1)</f>
        <v/>
      </c>
      <c r="I234" s="17" t="str">
        <f aca="false">IF(OR(H234="",C234=""),"",IF(F234="İptal",0,H234*IFERROR(INDEX(Ürünler!$B$5:$B$64,MATCH(C234,Ürünler!$A$5:$A$64,0)),0)-G234))</f>
        <v/>
      </c>
      <c r="J234" s="18" t="str">
        <f aca="false">IF(OR(H234="",C234="",F234="İptal"),"",IF(COUNTIFS($C$5:$C$1504,C234,$D$5:$D$1504,"&lt;="&amp;E234,$E$5:$E$1504,"&gt;="&amp;D234,$F$5:$F$1504,"&lt;&gt;İptal")&gt;1,"Çakışıyor",""))</f>
        <v/>
      </c>
    </row>
    <row r="235" customFormat="false" ht="15" hidden="false" customHeight="false" outlineLevel="0" collapsed="false">
      <c r="A235" s="12"/>
      <c r="B235" s="12"/>
      <c r="C235" s="13"/>
      <c r="D235" s="14"/>
      <c r="E235" s="14"/>
      <c r="F235" s="13"/>
      <c r="G235" s="15"/>
      <c r="H235" s="16" t="str">
        <f aca="false">IF(OR(D235="",E235="",E235&lt;D235),"",E235-D235+1)</f>
        <v/>
      </c>
      <c r="I235" s="17" t="str">
        <f aca="false">IF(OR(H235="",C235=""),"",IF(F235="İptal",0,H235*IFERROR(INDEX(Ürünler!$B$5:$B$64,MATCH(C235,Ürünler!$A$5:$A$64,0)),0)-G235))</f>
        <v/>
      </c>
      <c r="J235" s="18" t="str">
        <f aca="false">IF(OR(H235="",C235="",F235="İptal"),"",IF(COUNTIFS($C$5:$C$1504,C235,$D$5:$D$1504,"&lt;="&amp;E235,$E$5:$E$1504,"&gt;="&amp;D235,$F$5:$F$1504,"&lt;&gt;İptal")&gt;1,"Çakışıyor",""))</f>
        <v/>
      </c>
    </row>
    <row r="236" customFormat="false" ht="15" hidden="false" customHeight="false" outlineLevel="0" collapsed="false">
      <c r="A236" s="12"/>
      <c r="B236" s="12"/>
      <c r="C236" s="13"/>
      <c r="D236" s="14"/>
      <c r="E236" s="14"/>
      <c r="F236" s="13"/>
      <c r="G236" s="15"/>
      <c r="H236" s="16" t="str">
        <f aca="false">IF(OR(D236="",E236="",E236&lt;D236),"",E236-D236+1)</f>
        <v/>
      </c>
      <c r="I236" s="17" t="str">
        <f aca="false">IF(OR(H236="",C236=""),"",IF(F236="İptal",0,H236*IFERROR(INDEX(Ürünler!$B$5:$B$64,MATCH(C236,Ürünler!$A$5:$A$64,0)),0)-G236))</f>
        <v/>
      </c>
      <c r="J236" s="18" t="str">
        <f aca="false">IF(OR(H236="",C236="",F236="İptal"),"",IF(COUNTIFS($C$5:$C$1504,C236,$D$5:$D$1504,"&lt;="&amp;E236,$E$5:$E$1504,"&gt;="&amp;D236,$F$5:$F$1504,"&lt;&gt;İptal")&gt;1,"Çakışıyor",""))</f>
        <v/>
      </c>
    </row>
    <row r="237" customFormat="false" ht="15" hidden="false" customHeight="false" outlineLevel="0" collapsed="false">
      <c r="A237" s="12"/>
      <c r="B237" s="12"/>
      <c r="C237" s="13"/>
      <c r="D237" s="14"/>
      <c r="E237" s="14"/>
      <c r="F237" s="13"/>
      <c r="G237" s="15"/>
      <c r="H237" s="16" t="str">
        <f aca="false">IF(OR(D237="",E237="",E237&lt;D237),"",E237-D237+1)</f>
        <v/>
      </c>
      <c r="I237" s="17" t="str">
        <f aca="false">IF(OR(H237="",C237=""),"",IF(F237="İptal",0,H237*IFERROR(INDEX(Ürünler!$B$5:$B$64,MATCH(C237,Ürünler!$A$5:$A$64,0)),0)-G237))</f>
        <v/>
      </c>
      <c r="J237" s="18" t="str">
        <f aca="false">IF(OR(H237="",C237="",F237="İptal"),"",IF(COUNTIFS($C$5:$C$1504,C237,$D$5:$D$1504,"&lt;="&amp;E237,$E$5:$E$1504,"&gt;="&amp;D237,$F$5:$F$1504,"&lt;&gt;İptal")&gt;1,"Çakışıyor",""))</f>
        <v/>
      </c>
    </row>
    <row r="238" customFormat="false" ht="15" hidden="false" customHeight="false" outlineLevel="0" collapsed="false">
      <c r="A238" s="12"/>
      <c r="B238" s="12"/>
      <c r="C238" s="13"/>
      <c r="D238" s="14"/>
      <c r="E238" s="14"/>
      <c r="F238" s="13"/>
      <c r="G238" s="15"/>
      <c r="H238" s="16" t="str">
        <f aca="false">IF(OR(D238="",E238="",E238&lt;D238),"",E238-D238+1)</f>
        <v/>
      </c>
      <c r="I238" s="17" t="str">
        <f aca="false">IF(OR(H238="",C238=""),"",IF(F238="İptal",0,H238*IFERROR(INDEX(Ürünler!$B$5:$B$64,MATCH(C238,Ürünler!$A$5:$A$64,0)),0)-G238))</f>
        <v/>
      </c>
      <c r="J238" s="18" t="str">
        <f aca="false">IF(OR(H238="",C238="",F238="İptal"),"",IF(COUNTIFS($C$5:$C$1504,C238,$D$5:$D$1504,"&lt;="&amp;E238,$E$5:$E$1504,"&gt;="&amp;D238,$F$5:$F$1504,"&lt;&gt;İptal")&gt;1,"Çakışıyor",""))</f>
        <v/>
      </c>
    </row>
    <row r="239" customFormat="false" ht="15" hidden="false" customHeight="false" outlineLevel="0" collapsed="false">
      <c r="A239" s="12"/>
      <c r="B239" s="12"/>
      <c r="C239" s="13"/>
      <c r="D239" s="14"/>
      <c r="E239" s="14"/>
      <c r="F239" s="13"/>
      <c r="G239" s="15"/>
      <c r="H239" s="16" t="str">
        <f aca="false">IF(OR(D239="",E239="",E239&lt;D239),"",E239-D239+1)</f>
        <v/>
      </c>
      <c r="I239" s="17" t="str">
        <f aca="false">IF(OR(H239="",C239=""),"",IF(F239="İptal",0,H239*IFERROR(INDEX(Ürünler!$B$5:$B$64,MATCH(C239,Ürünler!$A$5:$A$64,0)),0)-G239))</f>
        <v/>
      </c>
      <c r="J239" s="18" t="str">
        <f aca="false">IF(OR(H239="",C239="",F239="İptal"),"",IF(COUNTIFS($C$5:$C$1504,C239,$D$5:$D$1504,"&lt;="&amp;E239,$E$5:$E$1504,"&gt;="&amp;D239,$F$5:$F$1504,"&lt;&gt;İptal")&gt;1,"Çakışıyor",""))</f>
        <v/>
      </c>
    </row>
    <row r="240" customFormat="false" ht="15" hidden="false" customHeight="false" outlineLevel="0" collapsed="false">
      <c r="A240" s="12"/>
      <c r="B240" s="12"/>
      <c r="C240" s="13"/>
      <c r="D240" s="14"/>
      <c r="E240" s="14"/>
      <c r="F240" s="13"/>
      <c r="G240" s="15"/>
      <c r="H240" s="16" t="str">
        <f aca="false">IF(OR(D240="",E240="",E240&lt;D240),"",E240-D240+1)</f>
        <v/>
      </c>
      <c r="I240" s="17" t="str">
        <f aca="false">IF(OR(H240="",C240=""),"",IF(F240="İptal",0,H240*IFERROR(INDEX(Ürünler!$B$5:$B$64,MATCH(C240,Ürünler!$A$5:$A$64,0)),0)-G240))</f>
        <v/>
      </c>
      <c r="J240" s="18" t="str">
        <f aca="false">IF(OR(H240="",C240="",F240="İptal"),"",IF(COUNTIFS($C$5:$C$1504,C240,$D$5:$D$1504,"&lt;="&amp;E240,$E$5:$E$1504,"&gt;="&amp;D240,$F$5:$F$1504,"&lt;&gt;İptal")&gt;1,"Çakışıyor",""))</f>
        <v/>
      </c>
    </row>
    <row r="241" customFormat="false" ht="15" hidden="false" customHeight="false" outlineLevel="0" collapsed="false">
      <c r="A241" s="12"/>
      <c r="B241" s="12"/>
      <c r="C241" s="13"/>
      <c r="D241" s="14"/>
      <c r="E241" s="14"/>
      <c r="F241" s="13"/>
      <c r="G241" s="15"/>
      <c r="H241" s="16" t="str">
        <f aca="false">IF(OR(D241="",E241="",E241&lt;D241),"",E241-D241+1)</f>
        <v/>
      </c>
      <c r="I241" s="17" t="str">
        <f aca="false">IF(OR(H241="",C241=""),"",IF(F241="İptal",0,H241*IFERROR(INDEX(Ürünler!$B$5:$B$64,MATCH(C241,Ürünler!$A$5:$A$64,0)),0)-G241))</f>
        <v/>
      </c>
      <c r="J241" s="18" t="str">
        <f aca="false">IF(OR(H241="",C241="",F241="İptal"),"",IF(COUNTIFS($C$5:$C$1504,C241,$D$5:$D$1504,"&lt;="&amp;E241,$E$5:$E$1504,"&gt;="&amp;D241,$F$5:$F$1504,"&lt;&gt;İptal")&gt;1,"Çakışıyor",""))</f>
        <v/>
      </c>
    </row>
    <row r="242" customFormat="false" ht="15" hidden="false" customHeight="false" outlineLevel="0" collapsed="false">
      <c r="A242" s="12"/>
      <c r="B242" s="12"/>
      <c r="C242" s="13"/>
      <c r="D242" s="14"/>
      <c r="E242" s="14"/>
      <c r="F242" s="13"/>
      <c r="G242" s="15"/>
      <c r="H242" s="16" t="str">
        <f aca="false">IF(OR(D242="",E242="",E242&lt;D242),"",E242-D242+1)</f>
        <v/>
      </c>
      <c r="I242" s="17" t="str">
        <f aca="false">IF(OR(H242="",C242=""),"",IF(F242="İptal",0,H242*IFERROR(INDEX(Ürünler!$B$5:$B$64,MATCH(C242,Ürünler!$A$5:$A$64,0)),0)-G242))</f>
        <v/>
      </c>
      <c r="J242" s="18" t="str">
        <f aca="false">IF(OR(H242="",C242="",F242="İptal"),"",IF(COUNTIFS($C$5:$C$1504,C242,$D$5:$D$1504,"&lt;="&amp;E242,$E$5:$E$1504,"&gt;="&amp;D242,$F$5:$F$1504,"&lt;&gt;İptal")&gt;1,"Çakışıyor",""))</f>
        <v/>
      </c>
    </row>
    <row r="243" customFormat="false" ht="15" hidden="false" customHeight="false" outlineLevel="0" collapsed="false">
      <c r="A243" s="12"/>
      <c r="B243" s="12"/>
      <c r="C243" s="13"/>
      <c r="D243" s="14"/>
      <c r="E243" s="14"/>
      <c r="F243" s="13"/>
      <c r="G243" s="15"/>
      <c r="H243" s="16" t="str">
        <f aca="false">IF(OR(D243="",E243="",E243&lt;D243),"",E243-D243+1)</f>
        <v/>
      </c>
      <c r="I243" s="17" t="str">
        <f aca="false">IF(OR(H243="",C243=""),"",IF(F243="İptal",0,H243*IFERROR(INDEX(Ürünler!$B$5:$B$64,MATCH(C243,Ürünler!$A$5:$A$64,0)),0)-G243))</f>
        <v/>
      </c>
      <c r="J243" s="18" t="str">
        <f aca="false">IF(OR(H243="",C243="",F243="İptal"),"",IF(COUNTIFS($C$5:$C$1504,C243,$D$5:$D$1504,"&lt;="&amp;E243,$E$5:$E$1504,"&gt;="&amp;D243,$F$5:$F$1504,"&lt;&gt;İptal")&gt;1,"Çakışıyor",""))</f>
        <v/>
      </c>
    </row>
    <row r="244" customFormat="false" ht="15" hidden="false" customHeight="false" outlineLevel="0" collapsed="false">
      <c r="A244" s="12"/>
      <c r="B244" s="12"/>
      <c r="C244" s="13"/>
      <c r="D244" s="14"/>
      <c r="E244" s="14"/>
      <c r="F244" s="13"/>
      <c r="G244" s="15"/>
      <c r="H244" s="16" t="str">
        <f aca="false">IF(OR(D244="",E244="",E244&lt;D244),"",E244-D244+1)</f>
        <v/>
      </c>
      <c r="I244" s="17" t="str">
        <f aca="false">IF(OR(H244="",C244=""),"",IF(F244="İptal",0,H244*IFERROR(INDEX(Ürünler!$B$5:$B$64,MATCH(C244,Ürünler!$A$5:$A$64,0)),0)-G244))</f>
        <v/>
      </c>
      <c r="J244" s="18" t="str">
        <f aca="false">IF(OR(H244="",C244="",F244="İptal"),"",IF(COUNTIFS($C$5:$C$1504,C244,$D$5:$D$1504,"&lt;="&amp;E244,$E$5:$E$1504,"&gt;="&amp;D244,$F$5:$F$1504,"&lt;&gt;İptal")&gt;1,"Çakışıyor",""))</f>
        <v/>
      </c>
    </row>
    <row r="245" customFormat="false" ht="15" hidden="false" customHeight="false" outlineLevel="0" collapsed="false">
      <c r="A245" s="12"/>
      <c r="B245" s="12"/>
      <c r="C245" s="13"/>
      <c r="D245" s="14"/>
      <c r="E245" s="14"/>
      <c r="F245" s="13"/>
      <c r="G245" s="15"/>
      <c r="H245" s="16" t="str">
        <f aca="false">IF(OR(D245="",E245="",E245&lt;D245),"",E245-D245+1)</f>
        <v/>
      </c>
      <c r="I245" s="17" t="str">
        <f aca="false">IF(OR(H245="",C245=""),"",IF(F245="İptal",0,H245*IFERROR(INDEX(Ürünler!$B$5:$B$64,MATCH(C245,Ürünler!$A$5:$A$64,0)),0)-G245))</f>
        <v/>
      </c>
      <c r="J245" s="18" t="str">
        <f aca="false">IF(OR(H245="",C245="",F245="İptal"),"",IF(COUNTIFS($C$5:$C$1504,C245,$D$5:$D$1504,"&lt;="&amp;E245,$E$5:$E$1504,"&gt;="&amp;D245,$F$5:$F$1504,"&lt;&gt;İptal")&gt;1,"Çakışıyor",""))</f>
        <v/>
      </c>
    </row>
    <row r="246" customFormat="false" ht="15" hidden="false" customHeight="false" outlineLevel="0" collapsed="false">
      <c r="A246" s="12"/>
      <c r="B246" s="12"/>
      <c r="C246" s="13"/>
      <c r="D246" s="14"/>
      <c r="E246" s="14"/>
      <c r="F246" s="13"/>
      <c r="G246" s="15"/>
      <c r="H246" s="16" t="str">
        <f aca="false">IF(OR(D246="",E246="",E246&lt;D246),"",E246-D246+1)</f>
        <v/>
      </c>
      <c r="I246" s="17" t="str">
        <f aca="false">IF(OR(H246="",C246=""),"",IF(F246="İptal",0,H246*IFERROR(INDEX(Ürünler!$B$5:$B$64,MATCH(C246,Ürünler!$A$5:$A$64,0)),0)-G246))</f>
        <v/>
      </c>
      <c r="J246" s="18" t="str">
        <f aca="false">IF(OR(H246="",C246="",F246="İptal"),"",IF(COUNTIFS($C$5:$C$1504,C246,$D$5:$D$1504,"&lt;="&amp;E246,$E$5:$E$1504,"&gt;="&amp;D246,$F$5:$F$1504,"&lt;&gt;İptal")&gt;1,"Çakışıyor",""))</f>
        <v/>
      </c>
    </row>
    <row r="247" customFormat="false" ht="15" hidden="false" customHeight="false" outlineLevel="0" collapsed="false">
      <c r="A247" s="12"/>
      <c r="B247" s="12"/>
      <c r="C247" s="13"/>
      <c r="D247" s="14"/>
      <c r="E247" s="14"/>
      <c r="F247" s="13"/>
      <c r="G247" s="15"/>
      <c r="H247" s="16" t="str">
        <f aca="false">IF(OR(D247="",E247="",E247&lt;D247),"",E247-D247+1)</f>
        <v/>
      </c>
      <c r="I247" s="17" t="str">
        <f aca="false">IF(OR(H247="",C247=""),"",IF(F247="İptal",0,H247*IFERROR(INDEX(Ürünler!$B$5:$B$64,MATCH(C247,Ürünler!$A$5:$A$64,0)),0)-G247))</f>
        <v/>
      </c>
      <c r="J247" s="18" t="str">
        <f aca="false">IF(OR(H247="",C247="",F247="İptal"),"",IF(COUNTIFS($C$5:$C$1504,C247,$D$5:$D$1504,"&lt;="&amp;E247,$E$5:$E$1504,"&gt;="&amp;D247,$F$5:$F$1504,"&lt;&gt;İptal")&gt;1,"Çakışıyor",""))</f>
        <v/>
      </c>
    </row>
    <row r="248" customFormat="false" ht="15" hidden="false" customHeight="false" outlineLevel="0" collapsed="false">
      <c r="A248" s="12"/>
      <c r="B248" s="12"/>
      <c r="C248" s="13"/>
      <c r="D248" s="14"/>
      <c r="E248" s="14"/>
      <c r="F248" s="13"/>
      <c r="G248" s="15"/>
      <c r="H248" s="16" t="str">
        <f aca="false">IF(OR(D248="",E248="",E248&lt;D248),"",E248-D248+1)</f>
        <v/>
      </c>
      <c r="I248" s="17" t="str">
        <f aca="false">IF(OR(H248="",C248=""),"",IF(F248="İptal",0,H248*IFERROR(INDEX(Ürünler!$B$5:$B$64,MATCH(C248,Ürünler!$A$5:$A$64,0)),0)-G248))</f>
        <v/>
      </c>
      <c r="J248" s="18" t="str">
        <f aca="false">IF(OR(H248="",C248="",F248="İptal"),"",IF(COUNTIFS($C$5:$C$1504,C248,$D$5:$D$1504,"&lt;="&amp;E248,$E$5:$E$1504,"&gt;="&amp;D248,$F$5:$F$1504,"&lt;&gt;İptal")&gt;1,"Çakışıyor",""))</f>
        <v/>
      </c>
    </row>
    <row r="249" customFormat="false" ht="15" hidden="false" customHeight="false" outlineLevel="0" collapsed="false">
      <c r="A249" s="12"/>
      <c r="B249" s="12"/>
      <c r="C249" s="13"/>
      <c r="D249" s="14"/>
      <c r="E249" s="14"/>
      <c r="F249" s="13"/>
      <c r="G249" s="15"/>
      <c r="H249" s="16" t="str">
        <f aca="false">IF(OR(D249="",E249="",E249&lt;D249),"",E249-D249+1)</f>
        <v/>
      </c>
      <c r="I249" s="17" t="str">
        <f aca="false">IF(OR(H249="",C249=""),"",IF(F249="İptal",0,H249*IFERROR(INDEX(Ürünler!$B$5:$B$64,MATCH(C249,Ürünler!$A$5:$A$64,0)),0)-G249))</f>
        <v/>
      </c>
      <c r="J249" s="18" t="str">
        <f aca="false">IF(OR(H249="",C249="",F249="İptal"),"",IF(COUNTIFS($C$5:$C$1504,C249,$D$5:$D$1504,"&lt;="&amp;E249,$E$5:$E$1504,"&gt;="&amp;D249,$F$5:$F$1504,"&lt;&gt;İptal")&gt;1,"Çakışıyor",""))</f>
        <v/>
      </c>
    </row>
    <row r="250" customFormat="false" ht="15" hidden="false" customHeight="false" outlineLevel="0" collapsed="false">
      <c r="A250" s="12"/>
      <c r="B250" s="12"/>
      <c r="C250" s="13"/>
      <c r="D250" s="14"/>
      <c r="E250" s="14"/>
      <c r="F250" s="13"/>
      <c r="G250" s="15"/>
      <c r="H250" s="16" t="str">
        <f aca="false">IF(OR(D250="",E250="",E250&lt;D250),"",E250-D250+1)</f>
        <v/>
      </c>
      <c r="I250" s="17" t="str">
        <f aca="false">IF(OR(H250="",C250=""),"",IF(F250="İptal",0,H250*IFERROR(INDEX(Ürünler!$B$5:$B$64,MATCH(C250,Ürünler!$A$5:$A$64,0)),0)-G250))</f>
        <v/>
      </c>
      <c r="J250" s="18" t="str">
        <f aca="false">IF(OR(H250="",C250="",F250="İptal"),"",IF(COUNTIFS($C$5:$C$1504,C250,$D$5:$D$1504,"&lt;="&amp;E250,$E$5:$E$1504,"&gt;="&amp;D250,$F$5:$F$1504,"&lt;&gt;İptal")&gt;1,"Çakışıyor",""))</f>
        <v/>
      </c>
    </row>
    <row r="251" customFormat="false" ht="15" hidden="false" customHeight="false" outlineLevel="0" collapsed="false">
      <c r="A251" s="12"/>
      <c r="B251" s="12"/>
      <c r="C251" s="13"/>
      <c r="D251" s="14"/>
      <c r="E251" s="14"/>
      <c r="F251" s="13"/>
      <c r="G251" s="15"/>
      <c r="H251" s="16" t="str">
        <f aca="false">IF(OR(D251="",E251="",E251&lt;D251),"",E251-D251+1)</f>
        <v/>
      </c>
      <c r="I251" s="17" t="str">
        <f aca="false">IF(OR(H251="",C251=""),"",IF(F251="İptal",0,H251*IFERROR(INDEX(Ürünler!$B$5:$B$64,MATCH(C251,Ürünler!$A$5:$A$64,0)),0)-G251))</f>
        <v/>
      </c>
      <c r="J251" s="18" t="str">
        <f aca="false">IF(OR(H251="",C251="",F251="İptal"),"",IF(COUNTIFS($C$5:$C$1504,C251,$D$5:$D$1504,"&lt;="&amp;E251,$E$5:$E$1504,"&gt;="&amp;D251,$F$5:$F$1504,"&lt;&gt;İptal")&gt;1,"Çakışıyor",""))</f>
        <v/>
      </c>
    </row>
    <row r="252" customFormat="false" ht="15" hidden="false" customHeight="false" outlineLevel="0" collapsed="false">
      <c r="A252" s="12"/>
      <c r="B252" s="12"/>
      <c r="C252" s="13"/>
      <c r="D252" s="14"/>
      <c r="E252" s="14"/>
      <c r="F252" s="13"/>
      <c r="G252" s="15"/>
      <c r="H252" s="16" t="str">
        <f aca="false">IF(OR(D252="",E252="",E252&lt;D252),"",E252-D252+1)</f>
        <v/>
      </c>
      <c r="I252" s="17" t="str">
        <f aca="false">IF(OR(H252="",C252=""),"",IF(F252="İptal",0,H252*IFERROR(INDEX(Ürünler!$B$5:$B$64,MATCH(C252,Ürünler!$A$5:$A$64,0)),0)-G252))</f>
        <v/>
      </c>
      <c r="J252" s="18" t="str">
        <f aca="false">IF(OR(H252="",C252="",F252="İptal"),"",IF(COUNTIFS($C$5:$C$1504,C252,$D$5:$D$1504,"&lt;="&amp;E252,$E$5:$E$1504,"&gt;="&amp;D252,$F$5:$F$1504,"&lt;&gt;İptal")&gt;1,"Çakışıyor",""))</f>
        <v/>
      </c>
    </row>
    <row r="253" customFormat="false" ht="15" hidden="false" customHeight="false" outlineLevel="0" collapsed="false">
      <c r="A253" s="12"/>
      <c r="B253" s="12"/>
      <c r="C253" s="13"/>
      <c r="D253" s="14"/>
      <c r="E253" s="14"/>
      <c r="F253" s="13"/>
      <c r="G253" s="15"/>
      <c r="H253" s="16" t="str">
        <f aca="false">IF(OR(D253="",E253="",E253&lt;D253),"",E253-D253+1)</f>
        <v/>
      </c>
      <c r="I253" s="17" t="str">
        <f aca="false">IF(OR(H253="",C253=""),"",IF(F253="İptal",0,H253*IFERROR(INDEX(Ürünler!$B$5:$B$64,MATCH(C253,Ürünler!$A$5:$A$64,0)),0)-G253))</f>
        <v/>
      </c>
      <c r="J253" s="18" t="str">
        <f aca="false">IF(OR(H253="",C253="",F253="İptal"),"",IF(COUNTIFS($C$5:$C$1504,C253,$D$5:$D$1504,"&lt;="&amp;E253,$E$5:$E$1504,"&gt;="&amp;D253,$F$5:$F$1504,"&lt;&gt;İptal")&gt;1,"Çakışıyor",""))</f>
        <v/>
      </c>
    </row>
    <row r="254" customFormat="false" ht="15" hidden="false" customHeight="false" outlineLevel="0" collapsed="false">
      <c r="A254" s="12"/>
      <c r="B254" s="12"/>
      <c r="C254" s="13"/>
      <c r="D254" s="14"/>
      <c r="E254" s="14"/>
      <c r="F254" s="13"/>
      <c r="G254" s="15"/>
      <c r="H254" s="16" t="str">
        <f aca="false">IF(OR(D254="",E254="",E254&lt;D254),"",E254-D254+1)</f>
        <v/>
      </c>
      <c r="I254" s="17" t="str">
        <f aca="false">IF(OR(H254="",C254=""),"",IF(F254="İptal",0,H254*IFERROR(INDEX(Ürünler!$B$5:$B$64,MATCH(C254,Ürünler!$A$5:$A$64,0)),0)-G254))</f>
        <v/>
      </c>
      <c r="J254" s="18" t="str">
        <f aca="false">IF(OR(H254="",C254="",F254="İptal"),"",IF(COUNTIFS($C$5:$C$1504,C254,$D$5:$D$1504,"&lt;="&amp;E254,$E$5:$E$1504,"&gt;="&amp;D254,$F$5:$F$1504,"&lt;&gt;İptal")&gt;1,"Çakışıyor",""))</f>
        <v/>
      </c>
    </row>
    <row r="255" customFormat="false" ht="15" hidden="false" customHeight="false" outlineLevel="0" collapsed="false">
      <c r="A255" s="12"/>
      <c r="B255" s="12"/>
      <c r="C255" s="13"/>
      <c r="D255" s="14"/>
      <c r="E255" s="14"/>
      <c r="F255" s="13"/>
      <c r="G255" s="15"/>
      <c r="H255" s="16" t="str">
        <f aca="false">IF(OR(D255="",E255="",E255&lt;D255),"",E255-D255+1)</f>
        <v/>
      </c>
      <c r="I255" s="17" t="str">
        <f aca="false">IF(OR(H255="",C255=""),"",IF(F255="İptal",0,H255*IFERROR(INDEX(Ürünler!$B$5:$B$64,MATCH(C255,Ürünler!$A$5:$A$64,0)),0)-G255))</f>
        <v/>
      </c>
      <c r="J255" s="18" t="str">
        <f aca="false">IF(OR(H255="",C255="",F255="İptal"),"",IF(COUNTIFS($C$5:$C$1504,C255,$D$5:$D$1504,"&lt;="&amp;E255,$E$5:$E$1504,"&gt;="&amp;D255,$F$5:$F$1504,"&lt;&gt;İptal")&gt;1,"Çakışıyor",""))</f>
        <v/>
      </c>
    </row>
    <row r="256" customFormat="false" ht="15" hidden="false" customHeight="false" outlineLevel="0" collapsed="false">
      <c r="A256" s="12"/>
      <c r="B256" s="12"/>
      <c r="C256" s="13"/>
      <c r="D256" s="14"/>
      <c r="E256" s="14"/>
      <c r="F256" s="13"/>
      <c r="G256" s="15"/>
      <c r="H256" s="16" t="str">
        <f aca="false">IF(OR(D256="",E256="",E256&lt;D256),"",E256-D256+1)</f>
        <v/>
      </c>
      <c r="I256" s="17" t="str">
        <f aca="false">IF(OR(H256="",C256=""),"",IF(F256="İptal",0,H256*IFERROR(INDEX(Ürünler!$B$5:$B$64,MATCH(C256,Ürünler!$A$5:$A$64,0)),0)-G256))</f>
        <v/>
      </c>
      <c r="J256" s="18" t="str">
        <f aca="false">IF(OR(H256="",C256="",F256="İptal"),"",IF(COUNTIFS($C$5:$C$1504,C256,$D$5:$D$1504,"&lt;="&amp;E256,$E$5:$E$1504,"&gt;="&amp;D256,$F$5:$F$1504,"&lt;&gt;İptal")&gt;1,"Çakışıyor",""))</f>
        <v/>
      </c>
    </row>
    <row r="257" customFormat="false" ht="15" hidden="false" customHeight="false" outlineLevel="0" collapsed="false">
      <c r="A257" s="12"/>
      <c r="B257" s="12"/>
      <c r="C257" s="13"/>
      <c r="D257" s="14"/>
      <c r="E257" s="14"/>
      <c r="F257" s="13"/>
      <c r="G257" s="15"/>
      <c r="H257" s="16" t="str">
        <f aca="false">IF(OR(D257="",E257="",E257&lt;D257),"",E257-D257+1)</f>
        <v/>
      </c>
      <c r="I257" s="17" t="str">
        <f aca="false">IF(OR(H257="",C257=""),"",IF(F257="İptal",0,H257*IFERROR(INDEX(Ürünler!$B$5:$B$64,MATCH(C257,Ürünler!$A$5:$A$64,0)),0)-G257))</f>
        <v/>
      </c>
      <c r="J257" s="18" t="str">
        <f aca="false">IF(OR(H257="",C257="",F257="İptal"),"",IF(COUNTIFS($C$5:$C$1504,C257,$D$5:$D$1504,"&lt;="&amp;E257,$E$5:$E$1504,"&gt;="&amp;D257,$F$5:$F$1504,"&lt;&gt;İptal")&gt;1,"Çakışıyor",""))</f>
        <v/>
      </c>
    </row>
    <row r="258" customFormat="false" ht="15" hidden="false" customHeight="false" outlineLevel="0" collapsed="false">
      <c r="A258" s="12"/>
      <c r="B258" s="12"/>
      <c r="C258" s="13"/>
      <c r="D258" s="14"/>
      <c r="E258" s="14"/>
      <c r="F258" s="13"/>
      <c r="G258" s="15"/>
      <c r="H258" s="16" t="str">
        <f aca="false">IF(OR(D258="",E258="",E258&lt;D258),"",E258-D258+1)</f>
        <v/>
      </c>
      <c r="I258" s="17" t="str">
        <f aca="false">IF(OR(H258="",C258=""),"",IF(F258="İptal",0,H258*IFERROR(INDEX(Ürünler!$B$5:$B$64,MATCH(C258,Ürünler!$A$5:$A$64,0)),0)-G258))</f>
        <v/>
      </c>
      <c r="J258" s="18" t="str">
        <f aca="false">IF(OR(H258="",C258="",F258="İptal"),"",IF(COUNTIFS($C$5:$C$1504,C258,$D$5:$D$1504,"&lt;="&amp;E258,$E$5:$E$1504,"&gt;="&amp;D258,$F$5:$F$1504,"&lt;&gt;İptal")&gt;1,"Çakışıyor",""))</f>
        <v/>
      </c>
    </row>
    <row r="259" customFormat="false" ht="15" hidden="false" customHeight="false" outlineLevel="0" collapsed="false">
      <c r="A259" s="12"/>
      <c r="B259" s="12"/>
      <c r="C259" s="13"/>
      <c r="D259" s="14"/>
      <c r="E259" s="14"/>
      <c r="F259" s="13"/>
      <c r="G259" s="15"/>
      <c r="H259" s="16" t="str">
        <f aca="false">IF(OR(D259="",E259="",E259&lt;D259),"",E259-D259+1)</f>
        <v/>
      </c>
      <c r="I259" s="17" t="str">
        <f aca="false">IF(OR(H259="",C259=""),"",IF(F259="İptal",0,H259*IFERROR(INDEX(Ürünler!$B$5:$B$64,MATCH(C259,Ürünler!$A$5:$A$64,0)),0)-G259))</f>
        <v/>
      </c>
      <c r="J259" s="18" t="str">
        <f aca="false">IF(OR(H259="",C259="",F259="İptal"),"",IF(COUNTIFS($C$5:$C$1504,C259,$D$5:$D$1504,"&lt;="&amp;E259,$E$5:$E$1504,"&gt;="&amp;D259,$F$5:$F$1504,"&lt;&gt;İptal")&gt;1,"Çakışıyor",""))</f>
        <v/>
      </c>
    </row>
    <row r="260" customFormat="false" ht="15" hidden="false" customHeight="false" outlineLevel="0" collapsed="false">
      <c r="A260" s="12"/>
      <c r="B260" s="12"/>
      <c r="C260" s="13"/>
      <c r="D260" s="14"/>
      <c r="E260" s="14"/>
      <c r="F260" s="13"/>
      <c r="G260" s="15"/>
      <c r="H260" s="16" t="str">
        <f aca="false">IF(OR(D260="",E260="",E260&lt;D260),"",E260-D260+1)</f>
        <v/>
      </c>
      <c r="I260" s="17" t="str">
        <f aca="false">IF(OR(H260="",C260=""),"",IF(F260="İptal",0,H260*IFERROR(INDEX(Ürünler!$B$5:$B$64,MATCH(C260,Ürünler!$A$5:$A$64,0)),0)-G260))</f>
        <v/>
      </c>
      <c r="J260" s="18" t="str">
        <f aca="false">IF(OR(H260="",C260="",F260="İptal"),"",IF(COUNTIFS($C$5:$C$1504,C260,$D$5:$D$1504,"&lt;="&amp;E260,$E$5:$E$1504,"&gt;="&amp;D260,$F$5:$F$1504,"&lt;&gt;İptal")&gt;1,"Çakışıyor",""))</f>
        <v/>
      </c>
    </row>
    <row r="261" customFormat="false" ht="15" hidden="false" customHeight="false" outlineLevel="0" collapsed="false">
      <c r="A261" s="12"/>
      <c r="B261" s="12"/>
      <c r="C261" s="13"/>
      <c r="D261" s="14"/>
      <c r="E261" s="14"/>
      <c r="F261" s="13"/>
      <c r="G261" s="15"/>
      <c r="H261" s="16" t="str">
        <f aca="false">IF(OR(D261="",E261="",E261&lt;D261),"",E261-D261+1)</f>
        <v/>
      </c>
      <c r="I261" s="17" t="str">
        <f aca="false">IF(OR(H261="",C261=""),"",IF(F261="İptal",0,H261*IFERROR(INDEX(Ürünler!$B$5:$B$64,MATCH(C261,Ürünler!$A$5:$A$64,0)),0)-G261))</f>
        <v/>
      </c>
      <c r="J261" s="18" t="str">
        <f aca="false">IF(OR(H261="",C261="",F261="İptal"),"",IF(COUNTIFS($C$5:$C$1504,C261,$D$5:$D$1504,"&lt;="&amp;E261,$E$5:$E$1504,"&gt;="&amp;D261,$F$5:$F$1504,"&lt;&gt;İptal")&gt;1,"Çakışıyor",""))</f>
        <v/>
      </c>
    </row>
    <row r="262" customFormat="false" ht="15" hidden="false" customHeight="false" outlineLevel="0" collapsed="false">
      <c r="A262" s="12"/>
      <c r="B262" s="12"/>
      <c r="C262" s="13"/>
      <c r="D262" s="14"/>
      <c r="E262" s="14"/>
      <c r="F262" s="13"/>
      <c r="G262" s="15"/>
      <c r="H262" s="16" t="str">
        <f aca="false">IF(OR(D262="",E262="",E262&lt;D262),"",E262-D262+1)</f>
        <v/>
      </c>
      <c r="I262" s="17" t="str">
        <f aca="false">IF(OR(H262="",C262=""),"",IF(F262="İptal",0,H262*IFERROR(INDEX(Ürünler!$B$5:$B$64,MATCH(C262,Ürünler!$A$5:$A$64,0)),0)-G262))</f>
        <v/>
      </c>
      <c r="J262" s="18" t="str">
        <f aca="false">IF(OR(H262="",C262="",F262="İptal"),"",IF(COUNTIFS($C$5:$C$1504,C262,$D$5:$D$1504,"&lt;="&amp;E262,$E$5:$E$1504,"&gt;="&amp;D262,$F$5:$F$1504,"&lt;&gt;İptal")&gt;1,"Çakışıyor",""))</f>
        <v/>
      </c>
    </row>
    <row r="263" customFormat="false" ht="15" hidden="false" customHeight="false" outlineLevel="0" collapsed="false">
      <c r="A263" s="12"/>
      <c r="B263" s="12"/>
      <c r="C263" s="13"/>
      <c r="D263" s="14"/>
      <c r="E263" s="14"/>
      <c r="F263" s="13"/>
      <c r="G263" s="15"/>
      <c r="H263" s="16" t="str">
        <f aca="false">IF(OR(D263="",E263="",E263&lt;D263),"",E263-D263+1)</f>
        <v/>
      </c>
      <c r="I263" s="17" t="str">
        <f aca="false">IF(OR(H263="",C263=""),"",IF(F263="İptal",0,H263*IFERROR(INDEX(Ürünler!$B$5:$B$64,MATCH(C263,Ürünler!$A$5:$A$64,0)),0)-G263))</f>
        <v/>
      </c>
      <c r="J263" s="18" t="str">
        <f aca="false">IF(OR(H263="",C263="",F263="İptal"),"",IF(COUNTIFS($C$5:$C$1504,C263,$D$5:$D$1504,"&lt;="&amp;E263,$E$5:$E$1504,"&gt;="&amp;D263,$F$5:$F$1504,"&lt;&gt;İptal")&gt;1,"Çakışıyor",""))</f>
        <v/>
      </c>
    </row>
    <row r="264" customFormat="false" ht="15" hidden="false" customHeight="false" outlineLevel="0" collapsed="false">
      <c r="A264" s="12"/>
      <c r="B264" s="12"/>
      <c r="C264" s="13"/>
      <c r="D264" s="14"/>
      <c r="E264" s="14"/>
      <c r="F264" s="13"/>
      <c r="G264" s="15"/>
      <c r="H264" s="16" t="str">
        <f aca="false">IF(OR(D264="",E264="",E264&lt;D264),"",E264-D264+1)</f>
        <v/>
      </c>
      <c r="I264" s="17" t="str">
        <f aca="false">IF(OR(H264="",C264=""),"",IF(F264="İptal",0,H264*IFERROR(INDEX(Ürünler!$B$5:$B$64,MATCH(C264,Ürünler!$A$5:$A$64,0)),0)-G264))</f>
        <v/>
      </c>
      <c r="J264" s="18" t="str">
        <f aca="false">IF(OR(H264="",C264="",F264="İptal"),"",IF(COUNTIFS($C$5:$C$1504,C264,$D$5:$D$1504,"&lt;="&amp;E264,$E$5:$E$1504,"&gt;="&amp;D264,$F$5:$F$1504,"&lt;&gt;İptal")&gt;1,"Çakışıyor",""))</f>
        <v/>
      </c>
    </row>
    <row r="265" customFormat="false" ht="15" hidden="false" customHeight="false" outlineLevel="0" collapsed="false">
      <c r="A265" s="12"/>
      <c r="B265" s="12"/>
      <c r="C265" s="13"/>
      <c r="D265" s="14"/>
      <c r="E265" s="14"/>
      <c r="F265" s="13"/>
      <c r="G265" s="15"/>
      <c r="H265" s="16" t="str">
        <f aca="false">IF(OR(D265="",E265="",E265&lt;D265),"",E265-D265+1)</f>
        <v/>
      </c>
      <c r="I265" s="17" t="str">
        <f aca="false">IF(OR(H265="",C265=""),"",IF(F265="İptal",0,H265*IFERROR(INDEX(Ürünler!$B$5:$B$64,MATCH(C265,Ürünler!$A$5:$A$64,0)),0)-G265))</f>
        <v/>
      </c>
      <c r="J265" s="18" t="str">
        <f aca="false">IF(OR(H265="",C265="",F265="İptal"),"",IF(COUNTIFS($C$5:$C$1504,C265,$D$5:$D$1504,"&lt;="&amp;E265,$E$5:$E$1504,"&gt;="&amp;D265,$F$5:$F$1504,"&lt;&gt;İptal")&gt;1,"Çakışıyor",""))</f>
        <v/>
      </c>
    </row>
    <row r="266" customFormat="false" ht="15" hidden="false" customHeight="false" outlineLevel="0" collapsed="false">
      <c r="A266" s="12"/>
      <c r="B266" s="12"/>
      <c r="C266" s="13"/>
      <c r="D266" s="14"/>
      <c r="E266" s="14"/>
      <c r="F266" s="13"/>
      <c r="G266" s="15"/>
      <c r="H266" s="16" t="str">
        <f aca="false">IF(OR(D266="",E266="",E266&lt;D266),"",E266-D266+1)</f>
        <v/>
      </c>
      <c r="I266" s="17" t="str">
        <f aca="false">IF(OR(H266="",C266=""),"",IF(F266="İptal",0,H266*IFERROR(INDEX(Ürünler!$B$5:$B$64,MATCH(C266,Ürünler!$A$5:$A$64,0)),0)-G266))</f>
        <v/>
      </c>
      <c r="J266" s="18" t="str">
        <f aca="false">IF(OR(H266="",C266="",F266="İptal"),"",IF(COUNTIFS($C$5:$C$1504,C266,$D$5:$D$1504,"&lt;="&amp;E266,$E$5:$E$1504,"&gt;="&amp;D266,$F$5:$F$1504,"&lt;&gt;İptal")&gt;1,"Çakışıyor",""))</f>
        <v/>
      </c>
    </row>
    <row r="267" customFormat="false" ht="15" hidden="false" customHeight="false" outlineLevel="0" collapsed="false">
      <c r="A267" s="12"/>
      <c r="B267" s="12"/>
      <c r="C267" s="13"/>
      <c r="D267" s="14"/>
      <c r="E267" s="14"/>
      <c r="F267" s="13"/>
      <c r="G267" s="15"/>
      <c r="H267" s="16" t="str">
        <f aca="false">IF(OR(D267="",E267="",E267&lt;D267),"",E267-D267+1)</f>
        <v/>
      </c>
      <c r="I267" s="17" t="str">
        <f aca="false">IF(OR(H267="",C267=""),"",IF(F267="İptal",0,H267*IFERROR(INDEX(Ürünler!$B$5:$B$64,MATCH(C267,Ürünler!$A$5:$A$64,0)),0)-G267))</f>
        <v/>
      </c>
      <c r="J267" s="18" t="str">
        <f aca="false">IF(OR(H267="",C267="",F267="İptal"),"",IF(COUNTIFS($C$5:$C$1504,C267,$D$5:$D$1504,"&lt;="&amp;E267,$E$5:$E$1504,"&gt;="&amp;D267,$F$5:$F$1504,"&lt;&gt;İptal")&gt;1,"Çakışıyor",""))</f>
        <v/>
      </c>
    </row>
    <row r="268" customFormat="false" ht="15" hidden="false" customHeight="false" outlineLevel="0" collapsed="false">
      <c r="A268" s="12"/>
      <c r="B268" s="12"/>
      <c r="C268" s="13"/>
      <c r="D268" s="14"/>
      <c r="E268" s="14"/>
      <c r="F268" s="13"/>
      <c r="G268" s="15"/>
      <c r="H268" s="16" t="str">
        <f aca="false">IF(OR(D268="",E268="",E268&lt;D268),"",E268-D268+1)</f>
        <v/>
      </c>
      <c r="I268" s="17" t="str">
        <f aca="false">IF(OR(H268="",C268=""),"",IF(F268="İptal",0,H268*IFERROR(INDEX(Ürünler!$B$5:$B$64,MATCH(C268,Ürünler!$A$5:$A$64,0)),0)-G268))</f>
        <v/>
      </c>
      <c r="J268" s="18" t="str">
        <f aca="false">IF(OR(H268="",C268="",F268="İptal"),"",IF(COUNTIFS($C$5:$C$1504,C268,$D$5:$D$1504,"&lt;="&amp;E268,$E$5:$E$1504,"&gt;="&amp;D268,$F$5:$F$1504,"&lt;&gt;İptal")&gt;1,"Çakışıyor",""))</f>
        <v/>
      </c>
    </row>
    <row r="269" customFormat="false" ht="15" hidden="false" customHeight="false" outlineLevel="0" collapsed="false">
      <c r="A269" s="12"/>
      <c r="B269" s="12"/>
      <c r="C269" s="13"/>
      <c r="D269" s="14"/>
      <c r="E269" s="14"/>
      <c r="F269" s="13"/>
      <c r="G269" s="15"/>
      <c r="H269" s="16" t="str">
        <f aca="false">IF(OR(D269="",E269="",E269&lt;D269),"",E269-D269+1)</f>
        <v/>
      </c>
      <c r="I269" s="17" t="str">
        <f aca="false">IF(OR(H269="",C269=""),"",IF(F269="İptal",0,H269*IFERROR(INDEX(Ürünler!$B$5:$B$64,MATCH(C269,Ürünler!$A$5:$A$64,0)),0)-G269))</f>
        <v/>
      </c>
      <c r="J269" s="18" t="str">
        <f aca="false">IF(OR(H269="",C269="",F269="İptal"),"",IF(COUNTIFS($C$5:$C$1504,C269,$D$5:$D$1504,"&lt;="&amp;E269,$E$5:$E$1504,"&gt;="&amp;D269,$F$5:$F$1504,"&lt;&gt;İptal")&gt;1,"Çakışıyor",""))</f>
        <v/>
      </c>
    </row>
    <row r="270" customFormat="false" ht="15" hidden="false" customHeight="false" outlineLevel="0" collapsed="false">
      <c r="A270" s="12"/>
      <c r="B270" s="12"/>
      <c r="C270" s="13"/>
      <c r="D270" s="14"/>
      <c r="E270" s="14"/>
      <c r="F270" s="13"/>
      <c r="G270" s="15"/>
      <c r="H270" s="16" t="str">
        <f aca="false">IF(OR(D270="",E270="",E270&lt;D270),"",E270-D270+1)</f>
        <v/>
      </c>
      <c r="I270" s="17" t="str">
        <f aca="false">IF(OR(H270="",C270=""),"",IF(F270="İptal",0,H270*IFERROR(INDEX(Ürünler!$B$5:$B$64,MATCH(C270,Ürünler!$A$5:$A$64,0)),0)-G270))</f>
        <v/>
      </c>
      <c r="J270" s="18" t="str">
        <f aca="false">IF(OR(H270="",C270="",F270="İptal"),"",IF(COUNTIFS($C$5:$C$1504,C270,$D$5:$D$1504,"&lt;="&amp;E270,$E$5:$E$1504,"&gt;="&amp;D270,$F$5:$F$1504,"&lt;&gt;İptal")&gt;1,"Çakışıyor",""))</f>
        <v/>
      </c>
    </row>
    <row r="271" customFormat="false" ht="15" hidden="false" customHeight="false" outlineLevel="0" collapsed="false">
      <c r="A271" s="12"/>
      <c r="B271" s="12"/>
      <c r="C271" s="13"/>
      <c r="D271" s="14"/>
      <c r="E271" s="14"/>
      <c r="F271" s="13"/>
      <c r="G271" s="15"/>
      <c r="H271" s="16" t="str">
        <f aca="false">IF(OR(D271="",E271="",E271&lt;D271),"",E271-D271+1)</f>
        <v/>
      </c>
      <c r="I271" s="17" t="str">
        <f aca="false">IF(OR(H271="",C271=""),"",IF(F271="İptal",0,H271*IFERROR(INDEX(Ürünler!$B$5:$B$64,MATCH(C271,Ürünler!$A$5:$A$64,0)),0)-G271))</f>
        <v/>
      </c>
      <c r="J271" s="18" t="str">
        <f aca="false">IF(OR(H271="",C271="",F271="İptal"),"",IF(COUNTIFS($C$5:$C$1504,C271,$D$5:$D$1504,"&lt;="&amp;E271,$E$5:$E$1504,"&gt;="&amp;D271,$F$5:$F$1504,"&lt;&gt;İptal")&gt;1,"Çakışıyor",""))</f>
        <v/>
      </c>
    </row>
    <row r="272" customFormat="false" ht="15" hidden="false" customHeight="false" outlineLevel="0" collapsed="false">
      <c r="A272" s="12"/>
      <c r="B272" s="12"/>
      <c r="C272" s="13"/>
      <c r="D272" s="14"/>
      <c r="E272" s="14"/>
      <c r="F272" s="13"/>
      <c r="G272" s="15"/>
      <c r="H272" s="16" t="str">
        <f aca="false">IF(OR(D272="",E272="",E272&lt;D272),"",E272-D272+1)</f>
        <v/>
      </c>
      <c r="I272" s="17" t="str">
        <f aca="false">IF(OR(H272="",C272=""),"",IF(F272="İptal",0,H272*IFERROR(INDEX(Ürünler!$B$5:$B$64,MATCH(C272,Ürünler!$A$5:$A$64,0)),0)-G272))</f>
        <v/>
      </c>
      <c r="J272" s="18" t="str">
        <f aca="false">IF(OR(H272="",C272="",F272="İptal"),"",IF(COUNTIFS($C$5:$C$1504,C272,$D$5:$D$1504,"&lt;="&amp;E272,$E$5:$E$1504,"&gt;="&amp;D272,$F$5:$F$1504,"&lt;&gt;İptal")&gt;1,"Çakışıyor",""))</f>
        <v/>
      </c>
    </row>
    <row r="273" customFormat="false" ht="15" hidden="false" customHeight="false" outlineLevel="0" collapsed="false">
      <c r="A273" s="12"/>
      <c r="B273" s="12"/>
      <c r="C273" s="13"/>
      <c r="D273" s="14"/>
      <c r="E273" s="14"/>
      <c r="F273" s="13"/>
      <c r="G273" s="15"/>
      <c r="H273" s="16" t="str">
        <f aca="false">IF(OR(D273="",E273="",E273&lt;D273),"",E273-D273+1)</f>
        <v/>
      </c>
      <c r="I273" s="17" t="str">
        <f aca="false">IF(OR(H273="",C273=""),"",IF(F273="İptal",0,H273*IFERROR(INDEX(Ürünler!$B$5:$B$64,MATCH(C273,Ürünler!$A$5:$A$64,0)),0)-G273))</f>
        <v/>
      </c>
      <c r="J273" s="18" t="str">
        <f aca="false">IF(OR(H273="",C273="",F273="İptal"),"",IF(COUNTIFS($C$5:$C$1504,C273,$D$5:$D$1504,"&lt;="&amp;E273,$E$5:$E$1504,"&gt;="&amp;D273,$F$5:$F$1504,"&lt;&gt;İptal")&gt;1,"Çakışıyor",""))</f>
        <v/>
      </c>
    </row>
    <row r="274" customFormat="false" ht="15" hidden="false" customHeight="false" outlineLevel="0" collapsed="false">
      <c r="A274" s="12"/>
      <c r="B274" s="12"/>
      <c r="C274" s="13"/>
      <c r="D274" s="14"/>
      <c r="E274" s="14"/>
      <c r="F274" s="13"/>
      <c r="G274" s="15"/>
      <c r="H274" s="16" t="str">
        <f aca="false">IF(OR(D274="",E274="",E274&lt;D274),"",E274-D274+1)</f>
        <v/>
      </c>
      <c r="I274" s="17" t="str">
        <f aca="false">IF(OR(H274="",C274=""),"",IF(F274="İptal",0,H274*IFERROR(INDEX(Ürünler!$B$5:$B$64,MATCH(C274,Ürünler!$A$5:$A$64,0)),0)-G274))</f>
        <v/>
      </c>
      <c r="J274" s="18" t="str">
        <f aca="false">IF(OR(H274="",C274="",F274="İptal"),"",IF(COUNTIFS($C$5:$C$1504,C274,$D$5:$D$1504,"&lt;="&amp;E274,$E$5:$E$1504,"&gt;="&amp;D274,$F$5:$F$1504,"&lt;&gt;İptal")&gt;1,"Çakışıyor",""))</f>
        <v/>
      </c>
    </row>
    <row r="275" customFormat="false" ht="15" hidden="false" customHeight="false" outlineLevel="0" collapsed="false">
      <c r="A275" s="12"/>
      <c r="B275" s="12"/>
      <c r="C275" s="13"/>
      <c r="D275" s="14"/>
      <c r="E275" s="14"/>
      <c r="F275" s="13"/>
      <c r="G275" s="15"/>
      <c r="H275" s="16" t="str">
        <f aca="false">IF(OR(D275="",E275="",E275&lt;D275),"",E275-D275+1)</f>
        <v/>
      </c>
      <c r="I275" s="17" t="str">
        <f aca="false">IF(OR(H275="",C275=""),"",IF(F275="İptal",0,H275*IFERROR(INDEX(Ürünler!$B$5:$B$64,MATCH(C275,Ürünler!$A$5:$A$64,0)),0)-G275))</f>
        <v/>
      </c>
      <c r="J275" s="18" t="str">
        <f aca="false">IF(OR(H275="",C275="",F275="İptal"),"",IF(COUNTIFS($C$5:$C$1504,C275,$D$5:$D$1504,"&lt;="&amp;E275,$E$5:$E$1504,"&gt;="&amp;D275,$F$5:$F$1504,"&lt;&gt;İptal")&gt;1,"Çakışıyor",""))</f>
        <v/>
      </c>
    </row>
    <row r="276" customFormat="false" ht="15" hidden="false" customHeight="false" outlineLevel="0" collapsed="false">
      <c r="A276" s="12"/>
      <c r="B276" s="12"/>
      <c r="C276" s="13"/>
      <c r="D276" s="14"/>
      <c r="E276" s="14"/>
      <c r="F276" s="13"/>
      <c r="G276" s="15"/>
      <c r="H276" s="16" t="str">
        <f aca="false">IF(OR(D276="",E276="",E276&lt;D276),"",E276-D276+1)</f>
        <v/>
      </c>
      <c r="I276" s="17" t="str">
        <f aca="false">IF(OR(H276="",C276=""),"",IF(F276="İptal",0,H276*IFERROR(INDEX(Ürünler!$B$5:$B$64,MATCH(C276,Ürünler!$A$5:$A$64,0)),0)-G276))</f>
        <v/>
      </c>
      <c r="J276" s="18" t="str">
        <f aca="false">IF(OR(H276="",C276="",F276="İptal"),"",IF(COUNTIFS($C$5:$C$1504,C276,$D$5:$D$1504,"&lt;="&amp;E276,$E$5:$E$1504,"&gt;="&amp;D276,$F$5:$F$1504,"&lt;&gt;İptal")&gt;1,"Çakışıyor",""))</f>
        <v/>
      </c>
    </row>
    <row r="277" customFormat="false" ht="15" hidden="false" customHeight="false" outlineLevel="0" collapsed="false">
      <c r="A277" s="12"/>
      <c r="B277" s="12"/>
      <c r="C277" s="13"/>
      <c r="D277" s="14"/>
      <c r="E277" s="14"/>
      <c r="F277" s="13"/>
      <c r="G277" s="15"/>
      <c r="H277" s="16" t="str">
        <f aca="false">IF(OR(D277="",E277="",E277&lt;D277),"",E277-D277+1)</f>
        <v/>
      </c>
      <c r="I277" s="17" t="str">
        <f aca="false">IF(OR(H277="",C277=""),"",IF(F277="İptal",0,H277*IFERROR(INDEX(Ürünler!$B$5:$B$64,MATCH(C277,Ürünler!$A$5:$A$64,0)),0)-G277))</f>
        <v/>
      </c>
      <c r="J277" s="18" t="str">
        <f aca="false">IF(OR(H277="",C277="",F277="İptal"),"",IF(COUNTIFS($C$5:$C$1504,C277,$D$5:$D$1504,"&lt;="&amp;E277,$E$5:$E$1504,"&gt;="&amp;D277,$F$5:$F$1504,"&lt;&gt;İptal")&gt;1,"Çakışıyor",""))</f>
        <v/>
      </c>
    </row>
    <row r="278" customFormat="false" ht="15" hidden="false" customHeight="false" outlineLevel="0" collapsed="false">
      <c r="A278" s="12"/>
      <c r="B278" s="12"/>
      <c r="C278" s="13"/>
      <c r="D278" s="14"/>
      <c r="E278" s="14"/>
      <c r="F278" s="13"/>
      <c r="G278" s="15"/>
      <c r="H278" s="16" t="str">
        <f aca="false">IF(OR(D278="",E278="",E278&lt;D278),"",E278-D278+1)</f>
        <v/>
      </c>
      <c r="I278" s="17" t="str">
        <f aca="false">IF(OR(H278="",C278=""),"",IF(F278="İptal",0,H278*IFERROR(INDEX(Ürünler!$B$5:$B$64,MATCH(C278,Ürünler!$A$5:$A$64,0)),0)-G278))</f>
        <v/>
      </c>
      <c r="J278" s="18" t="str">
        <f aca="false">IF(OR(H278="",C278="",F278="İptal"),"",IF(COUNTIFS($C$5:$C$1504,C278,$D$5:$D$1504,"&lt;="&amp;E278,$E$5:$E$1504,"&gt;="&amp;D278,$F$5:$F$1504,"&lt;&gt;İptal")&gt;1,"Çakışıyor",""))</f>
        <v/>
      </c>
    </row>
    <row r="279" customFormat="false" ht="15" hidden="false" customHeight="false" outlineLevel="0" collapsed="false">
      <c r="A279" s="12"/>
      <c r="B279" s="12"/>
      <c r="C279" s="13"/>
      <c r="D279" s="14"/>
      <c r="E279" s="14"/>
      <c r="F279" s="13"/>
      <c r="G279" s="15"/>
      <c r="H279" s="16" t="str">
        <f aca="false">IF(OR(D279="",E279="",E279&lt;D279),"",E279-D279+1)</f>
        <v/>
      </c>
      <c r="I279" s="17" t="str">
        <f aca="false">IF(OR(H279="",C279=""),"",IF(F279="İptal",0,H279*IFERROR(INDEX(Ürünler!$B$5:$B$64,MATCH(C279,Ürünler!$A$5:$A$64,0)),0)-G279))</f>
        <v/>
      </c>
      <c r="J279" s="18" t="str">
        <f aca="false">IF(OR(H279="",C279="",F279="İptal"),"",IF(COUNTIFS($C$5:$C$1504,C279,$D$5:$D$1504,"&lt;="&amp;E279,$E$5:$E$1504,"&gt;="&amp;D279,$F$5:$F$1504,"&lt;&gt;İptal")&gt;1,"Çakışıyor",""))</f>
        <v/>
      </c>
    </row>
    <row r="280" customFormat="false" ht="15" hidden="false" customHeight="false" outlineLevel="0" collapsed="false">
      <c r="A280" s="12"/>
      <c r="B280" s="12"/>
      <c r="C280" s="13"/>
      <c r="D280" s="14"/>
      <c r="E280" s="14"/>
      <c r="F280" s="13"/>
      <c r="G280" s="15"/>
      <c r="H280" s="16" t="str">
        <f aca="false">IF(OR(D280="",E280="",E280&lt;D280),"",E280-D280+1)</f>
        <v/>
      </c>
      <c r="I280" s="17" t="str">
        <f aca="false">IF(OR(H280="",C280=""),"",IF(F280="İptal",0,H280*IFERROR(INDEX(Ürünler!$B$5:$B$64,MATCH(C280,Ürünler!$A$5:$A$64,0)),0)-G280))</f>
        <v/>
      </c>
      <c r="J280" s="18" t="str">
        <f aca="false">IF(OR(H280="",C280="",F280="İptal"),"",IF(COUNTIFS($C$5:$C$1504,C280,$D$5:$D$1504,"&lt;="&amp;E280,$E$5:$E$1504,"&gt;="&amp;D280,$F$5:$F$1504,"&lt;&gt;İptal")&gt;1,"Çakışıyor",""))</f>
        <v/>
      </c>
    </row>
    <row r="281" customFormat="false" ht="15" hidden="false" customHeight="false" outlineLevel="0" collapsed="false">
      <c r="A281" s="12"/>
      <c r="B281" s="12"/>
      <c r="C281" s="13"/>
      <c r="D281" s="14"/>
      <c r="E281" s="14"/>
      <c r="F281" s="13"/>
      <c r="G281" s="15"/>
      <c r="H281" s="16" t="str">
        <f aca="false">IF(OR(D281="",E281="",E281&lt;D281),"",E281-D281+1)</f>
        <v/>
      </c>
      <c r="I281" s="17" t="str">
        <f aca="false">IF(OR(H281="",C281=""),"",IF(F281="İptal",0,H281*IFERROR(INDEX(Ürünler!$B$5:$B$64,MATCH(C281,Ürünler!$A$5:$A$64,0)),0)-G281))</f>
        <v/>
      </c>
      <c r="J281" s="18" t="str">
        <f aca="false">IF(OR(H281="",C281="",F281="İptal"),"",IF(COUNTIFS($C$5:$C$1504,C281,$D$5:$D$1504,"&lt;="&amp;E281,$E$5:$E$1504,"&gt;="&amp;D281,$F$5:$F$1504,"&lt;&gt;İptal")&gt;1,"Çakışıyor",""))</f>
        <v/>
      </c>
    </row>
    <row r="282" customFormat="false" ht="15" hidden="false" customHeight="false" outlineLevel="0" collapsed="false">
      <c r="A282" s="12"/>
      <c r="B282" s="12"/>
      <c r="C282" s="13"/>
      <c r="D282" s="14"/>
      <c r="E282" s="14"/>
      <c r="F282" s="13"/>
      <c r="G282" s="15"/>
      <c r="H282" s="16" t="str">
        <f aca="false">IF(OR(D282="",E282="",E282&lt;D282),"",E282-D282+1)</f>
        <v/>
      </c>
      <c r="I282" s="17" t="str">
        <f aca="false">IF(OR(H282="",C282=""),"",IF(F282="İptal",0,H282*IFERROR(INDEX(Ürünler!$B$5:$B$64,MATCH(C282,Ürünler!$A$5:$A$64,0)),0)-G282))</f>
        <v/>
      </c>
      <c r="J282" s="18" t="str">
        <f aca="false">IF(OR(H282="",C282="",F282="İptal"),"",IF(COUNTIFS($C$5:$C$1504,C282,$D$5:$D$1504,"&lt;="&amp;E282,$E$5:$E$1504,"&gt;="&amp;D282,$F$5:$F$1504,"&lt;&gt;İptal")&gt;1,"Çakışıyor",""))</f>
        <v/>
      </c>
    </row>
    <row r="283" customFormat="false" ht="15" hidden="false" customHeight="false" outlineLevel="0" collapsed="false">
      <c r="A283" s="12"/>
      <c r="B283" s="12"/>
      <c r="C283" s="13"/>
      <c r="D283" s="14"/>
      <c r="E283" s="14"/>
      <c r="F283" s="13"/>
      <c r="G283" s="15"/>
      <c r="H283" s="16" t="str">
        <f aca="false">IF(OR(D283="",E283="",E283&lt;D283),"",E283-D283+1)</f>
        <v/>
      </c>
      <c r="I283" s="17" t="str">
        <f aca="false">IF(OR(H283="",C283=""),"",IF(F283="İptal",0,H283*IFERROR(INDEX(Ürünler!$B$5:$B$64,MATCH(C283,Ürünler!$A$5:$A$64,0)),0)-G283))</f>
        <v/>
      </c>
      <c r="J283" s="18" t="str">
        <f aca="false">IF(OR(H283="",C283="",F283="İptal"),"",IF(COUNTIFS($C$5:$C$1504,C283,$D$5:$D$1504,"&lt;="&amp;E283,$E$5:$E$1504,"&gt;="&amp;D283,$F$5:$F$1504,"&lt;&gt;İptal")&gt;1,"Çakışıyor",""))</f>
        <v/>
      </c>
    </row>
    <row r="284" customFormat="false" ht="15" hidden="false" customHeight="false" outlineLevel="0" collapsed="false">
      <c r="A284" s="12"/>
      <c r="B284" s="12"/>
      <c r="C284" s="13"/>
      <c r="D284" s="14"/>
      <c r="E284" s="14"/>
      <c r="F284" s="13"/>
      <c r="G284" s="15"/>
      <c r="H284" s="16" t="str">
        <f aca="false">IF(OR(D284="",E284="",E284&lt;D284),"",E284-D284+1)</f>
        <v/>
      </c>
      <c r="I284" s="17" t="str">
        <f aca="false">IF(OR(H284="",C284=""),"",IF(F284="İptal",0,H284*IFERROR(INDEX(Ürünler!$B$5:$B$64,MATCH(C284,Ürünler!$A$5:$A$64,0)),0)-G284))</f>
        <v/>
      </c>
      <c r="J284" s="18" t="str">
        <f aca="false">IF(OR(H284="",C284="",F284="İptal"),"",IF(COUNTIFS($C$5:$C$1504,C284,$D$5:$D$1504,"&lt;="&amp;E284,$E$5:$E$1504,"&gt;="&amp;D284,$F$5:$F$1504,"&lt;&gt;İptal")&gt;1,"Çakışıyor",""))</f>
        <v/>
      </c>
    </row>
    <row r="285" customFormat="false" ht="15" hidden="false" customHeight="false" outlineLevel="0" collapsed="false">
      <c r="A285" s="12"/>
      <c r="B285" s="12"/>
      <c r="C285" s="13"/>
      <c r="D285" s="14"/>
      <c r="E285" s="14"/>
      <c r="F285" s="13"/>
      <c r="G285" s="15"/>
      <c r="H285" s="16" t="str">
        <f aca="false">IF(OR(D285="",E285="",E285&lt;D285),"",E285-D285+1)</f>
        <v/>
      </c>
      <c r="I285" s="17" t="str">
        <f aca="false">IF(OR(H285="",C285=""),"",IF(F285="İptal",0,H285*IFERROR(INDEX(Ürünler!$B$5:$B$64,MATCH(C285,Ürünler!$A$5:$A$64,0)),0)-G285))</f>
        <v/>
      </c>
      <c r="J285" s="18" t="str">
        <f aca="false">IF(OR(H285="",C285="",F285="İptal"),"",IF(COUNTIFS($C$5:$C$1504,C285,$D$5:$D$1504,"&lt;="&amp;E285,$E$5:$E$1504,"&gt;="&amp;D285,$F$5:$F$1504,"&lt;&gt;İptal")&gt;1,"Çakışıyor",""))</f>
        <v/>
      </c>
    </row>
    <row r="286" customFormat="false" ht="15" hidden="false" customHeight="false" outlineLevel="0" collapsed="false">
      <c r="A286" s="12"/>
      <c r="B286" s="12"/>
      <c r="C286" s="13"/>
      <c r="D286" s="14"/>
      <c r="E286" s="14"/>
      <c r="F286" s="13"/>
      <c r="G286" s="15"/>
      <c r="H286" s="16" t="str">
        <f aca="false">IF(OR(D286="",E286="",E286&lt;D286),"",E286-D286+1)</f>
        <v/>
      </c>
      <c r="I286" s="17" t="str">
        <f aca="false">IF(OR(H286="",C286=""),"",IF(F286="İptal",0,H286*IFERROR(INDEX(Ürünler!$B$5:$B$64,MATCH(C286,Ürünler!$A$5:$A$64,0)),0)-G286))</f>
        <v/>
      </c>
      <c r="J286" s="18" t="str">
        <f aca="false">IF(OR(H286="",C286="",F286="İptal"),"",IF(COUNTIFS($C$5:$C$1504,C286,$D$5:$D$1504,"&lt;="&amp;E286,$E$5:$E$1504,"&gt;="&amp;D286,$F$5:$F$1504,"&lt;&gt;İptal")&gt;1,"Çakışıyor",""))</f>
        <v/>
      </c>
    </row>
    <row r="287" customFormat="false" ht="15" hidden="false" customHeight="false" outlineLevel="0" collapsed="false">
      <c r="A287" s="12"/>
      <c r="B287" s="12"/>
      <c r="C287" s="13"/>
      <c r="D287" s="14"/>
      <c r="E287" s="14"/>
      <c r="F287" s="13"/>
      <c r="G287" s="15"/>
      <c r="H287" s="16" t="str">
        <f aca="false">IF(OR(D287="",E287="",E287&lt;D287),"",E287-D287+1)</f>
        <v/>
      </c>
      <c r="I287" s="17" t="str">
        <f aca="false">IF(OR(H287="",C287=""),"",IF(F287="İptal",0,H287*IFERROR(INDEX(Ürünler!$B$5:$B$64,MATCH(C287,Ürünler!$A$5:$A$64,0)),0)-G287))</f>
        <v/>
      </c>
      <c r="J287" s="18" t="str">
        <f aca="false">IF(OR(H287="",C287="",F287="İptal"),"",IF(COUNTIFS($C$5:$C$1504,C287,$D$5:$D$1504,"&lt;="&amp;E287,$E$5:$E$1504,"&gt;="&amp;D287,$F$5:$F$1504,"&lt;&gt;İptal")&gt;1,"Çakışıyor",""))</f>
        <v/>
      </c>
    </row>
    <row r="288" customFormat="false" ht="15" hidden="false" customHeight="false" outlineLevel="0" collapsed="false">
      <c r="A288" s="12"/>
      <c r="B288" s="12"/>
      <c r="C288" s="13"/>
      <c r="D288" s="14"/>
      <c r="E288" s="14"/>
      <c r="F288" s="13"/>
      <c r="G288" s="15"/>
      <c r="H288" s="16" t="str">
        <f aca="false">IF(OR(D288="",E288="",E288&lt;D288),"",E288-D288+1)</f>
        <v/>
      </c>
      <c r="I288" s="17" t="str">
        <f aca="false">IF(OR(H288="",C288=""),"",IF(F288="İptal",0,H288*IFERROR(INDEX(Ürünler!$B$5:$B$64,MATCH(C288,Ürünler!$A$5:$A$64,0)),0)-G288))</f>
        <v/>
      </c>
      <c r="J288" s="18" t="str">
        <f aca="false">IF(OR(H288="",C288="",F288="İptal"),"",IF(COUNTIFS($C$5:$C$1504,C288,$D$5:$D$1504,"&lt;="&amp;E288,$E$5:$E$1504,"&gt;="&amp;D288,$F$5:$F$1504,"&lt;&gt;İptal")&gt;1,"Çakışıyor",""))</f>
        <v/>
      </c>
    </row>
    <row r="289" customFormat="false" ht="15" hidden="false" customHeight="false" outlineLevel="0" collapsed="false">
      <c r="A289" s="12"/>
      <c r="B289" s="12"/>
      <c r="C289" s="13"/>
      <c r="D289" s="14"/>
      <c r="E289" s="14"/>
      <c r="F289" s="13"/>
      <c r="G289" s="15"/>
      <c r="H289" s="16" t="str">
        <f aca="false">IF(OR(D289="",E289="",E289&lt;D289),"",E289-D289+1)</f>
        <v/>
      </c>
      <c r="I289" s="17" t="str">
        <f aca="false">IF(OR(H289="",C289=""),"",IF(F289="İptal",0,H289*IFERROR(INDEX(Ürünler!$B$5:$B$64,MATCH(C289,Ürünler!$A$5:$A$64,0)),0)-G289))</f>
        <v/>
      </c>
      <c r="J289" s="18" t="str">
        <f aca="false">IF(OR(H289="",C289="",F289="İptal"),"",IF(COUNTIFS($C$5:$C$1504,C289,$D$5:$D$1504,"&lt;="&amp;E289,$E$5:$E$1504,"&gt;="&amp;D289,$F$5:$F$1504,"&lt;&gt;İptal")&gt;1,"Çakışıyor",""))</f>
        <v/>
      </c>
    </row>
    <row r="290" customFormat="false" ht="15" hidden="false" customHeight="false" outlineLevel="0" collapsed="false">
      <c r="A290" s="12"/>
      <c r="B290" s="12"/>
      <c r="C290" s="13"/>
      <c r="D290" s="14"/>
      <c r="E290" s="14"/>
      <c r="F290" s="13"/>
      <c r="G290" s="15"/>
      <c r="H290" s="16" t="str">
        <f aca="false">IF(OR(D290="",E290="",E290&lt;D290),"",E290-D290+1)</f>
        <v/>
      </c>
      <c r="I290" s="17" t="str">
        <f aca="false">IF(OR(H290="",C290=""),"",IF(F290="İptal",0,H290*IFERROR(INDEX(Ürünler!$B$5:$B$64,MATCH(C290,Ürünler!$A$5:$A$64,0)),0)-G290))</f>
        <v/>
      </c>
      <c r="J290" s="18" t="str">
        <f aca="false">IF(OR(H290="",C290="",F290="İptal"),"",IF(COUNTIFS($C$5:$C$1504,C290,$D$5:$D$1504,"&lt;="&amp;E290,$E$5:$E$1504,"&gt;="&amp;D290,$F$5:$F$1504,"&lt;&gt;İptal")&gt;1,"Çakışıyor",""))</f>
        <v/>
      </c>
    </row>
    <row r="291" customFormat="false" ht="15" hidden="false" customHeight="false" outlineLevel="0" collapsed="false">
      <c r="A291" s="12"/>
      <c r="B291" s="12"/>
      <c r="C291" s="13"/>
      <c r="D291" s="14"/>
      <c r="E291" s="14"/>
      <c r="F291" s="13"/>
      <c r="G291" s="15"/>
      <c r="H291" s="16" t="str">
        <f aca="false">IF(OR(D291="",E291="",E291&lt;D291),"",E291-D291+1)</f>
        <v/>
      </c>
      <c r="I291" s="17" t="str">
        <f aca="false">IF(OR(H291="",C291=""),"",IF(F291="İptal",0,H291*IFERROR(INDEX(Ürünler!$B$5:$B$64,MATCH(C291,Ürünler!$A$5:$A$64,0)),0)-G291))</f>
        <v/>
      </c>
      <c r="J291" s="18" t="str">
        <f aca="false">IF(OR(H291="",C291="",F291="İptal"),"",IF(COUNTIFS($C$5:$C$1504,C291,$D$5:$D$1504,"&lt;="&amp;E291,$E$5:$E$1504,"&gt;="&amp;D291,$F$5:$F$1504,"&lt;&gt;İptal")&gt;1,"Çakışıyor",""))</f>
        <v/>
      </c>
    </row>
    <row r="292" customFormat="false" ht="15" hidden="false" customHeight="false" outlineLevel="0" collapsed="false">
      <c r="A292" s="12"/>
      <c r="B292" s="12"/>
      <c r="C292" s="13"/>
      <c r="D292" s="14"/>
      <c r="E292" s="14"/>
      <c r="F292" s="13"/>
      <c r="G292" s="15"/>
      <c r="H292" s="16" t="str">
        <f aca="false">IF(OR(D292="",E292="",E292&lt;D292),"",E292-D292+1)</f>
        <v/>
      </c>
      <c r="I292" s="17" t="str">
        <f aca="false">IF(OR(H292="",C292=""),"",IF(F292="İptal",0,H292*IFERROR(INDEX(Ürünler!$B$5:$B$64,MATCH(C292,Ürünler!$A$5:$A$64,0)),0)-G292))</f>
        <v/>
      </c>
      <c r="J292" s="18" t="str">
        <f aca="false">IF(OR(H292="",C292="",F292="İptal"),"",IF(COUNTIFS($C$5:$C$1504,C292,$D$5:$D$1504,"&lt;="&amp;E292,$E$5:$E$1504,"&gt;="&amp;D292,$F$5:$F$1504,"&lt;&gt;İptal")&gt;1,"Çakışıyor",""))</f>
        <v/>
      </c>
    </row>
    <row r="293" customFormat="false" ht="15" hidden="false" customHeight="false" outlineLevel="0" collapsed="false">
      <c r="A293" s="12"/>
      <c r="B293" s="12"/>
      <c r="C293" s="13"/>
      <c r="D293" s="14"/>
      <c r="E293" s="14"/>
      <c r="F293" s="13"/>
      <c r="G293" s="15"/>
      <c r="H293" s="16" t="str">
        <f aca="false">IF(OR(D293="",E293="",E293&lt;D293),"",E293-D293+1)</f>
        <v/>
      </c>
      <c r="I293" s="17" t="str">
        <f aca="false">IF(OR(H293="",C293=""),"",IF(F293="İptal",0,H293*IFERROR(INDEX(Ürünler!$B$5:$B$64,MATCH(C293,Ürünler!$A$5:$A$64,0)),0)-G293))</f>
        <v/>
      </c>
      <c r="J293" s="18" t="str">
        <f aca="false">IF(OR(H293="",C293="",F293="İptal"),"",IF(COUNTIFS($C$5:$C$1504,C293,$D$5:$D$1504,"&lt;="&amp;E293,$E$5:$E$1504,"&gt;="&amp;D293,$F$5:$F$1504,"&lt;&gt;İptal")&gt;1,"Çakışıyor",""))</f>
        <v/>
      </c>
    </row>
    <row r="294" customFormat="false" ht="15" hidden="false" customHeight="false" outlineLevel="0" collapsed="false">
      <c r="A294" s="12"/>
      <c r="B294" s="12"/>
      <c r="C294" s="13"/>
      <c r="D294" s="14"/>
      <c r="E294" s="14"/>
      <c r="F294" s="13"/>
      <c r="G294" s="15"/>
      <c r="H294" s="16" t="str">
        <f aca="false">IF(OR(D294="",E294="",E294&lt;D294),"",E294-D294+1)</f>
        <v/>
      </c>
      <c r="I294" s="17" t="str">
        <f aca="false">IF(OR(H294="",C294=""),"",IF(F294="İptal",0,H294*IFERROR(INDEX(Ürünler!$B$5:$B$64,MATCH(C294,Ürünler!$A$5:$A$64,0)),0)-G294))</f>
        <v/>
      </c>
      <c r="J294" s="18" t="str">
        <f aca="false">IF(OR(H294="",C294="",F294="İptal"),"",IF(COUNTIFS($C$5:$C$1504,C294,$D$5:$D$1504,"&lt;="&amp;E294,$E$5:$E$1504,"&gt;="&amp;D294,$F$5:$F$1504,"&lt;&gt;İptal")&gt;1,"Çakışıyor",""))</f>
        <v/>
      </c>
    </row>
    <row r="295" customFormat="false" ht="15" hidden="false" customHeight="false" outlineLevel="0" collapsed="false">
      <c r="A295" s="12"/>
      <c r="B295" s="12"/>
      <c r="C295" s="13"/>
      <c r="D295" s="14"/>
      <c r="E295" s="14"/>
      <c r="F295" s="13"/>
      <c r="G295" s="15"/>
      <c r="H295" s="16" t="str">
        <f aca="false">IF(OR(D295="",E295="",E295&lt;D295),"",E295-D295+1)</f>
        <v/>
      </c>
      <c r="I295" s="17" t="str">
        <f aca="false">IF(OR(H295="",C295=""),"",IF(F295="İptal",0,H295*IFERROR(INDEX(Ürünler!$B$5:$B$64,MATCH(C295,Ürünler!$A$5:$A$64,0)),0)-G295))</f>
        <v/>
      </c>
      <c r="J295" s="18" t="str">
        <f aca="false">IF(OR(H295="",C295="",F295="İptal"),"",IF(COUNTIFS($C$5:$C$1504,C295,$D$5:$D$1504,"&lt;="&amp;E295,$E$5:$E$1504,"&gt;="&amp;D295,$F$5:$F$1504,"&lt;&gt;İptal")&gt;1,"Çakışıyor",""))</f>
        <v/>
      </c>
    </row>
    <row r="296" customFormat="false" ht="15" hidden="false" customHeight="false" outlineLevel="0" collapsed="false">
      <c r="A296" s="12"/>
      <c r="B296" s="12"/>
      <c r="C296" s="13"/>
      <c r="D296" s="14"/>
      <c r="E296" s="14"/>
      <c r="F296" s="13"/>
      <c r="G296" s="15"/>
      <c r="H296" s="16" t="str">
        <f aca="false">IF(OR(D296="",E296="",E296&lt;D296),"",E296-D296+1)</f>
        <v/>
      </c>
      <c r="I296" s="17" t="str">
        <f aca="false">IF(OR(H296="",C296=""),"",IF(F296="İptal",0,H296*IFERROR(INDEX(Ürünler!$B$5:$B$64,MATCH(C296,Ürünler!$A$5:$A$64,0)),0)-G296))</f>
        <v/>
      </c>
      <c r="J296" s="18" t="str">
        <f aca="false">IF(OR(H296="",C296="",F296="İptal"),"",IF(COUNTIFS($C$5:$C$1504,C296,$D$5:$D$1504,"&lt;="&amp;E296,$E$5:$E$1504,"&gt;="&amp;D296,$F$5:$F$1504,"&lt;&gt;İptal")&gt;1,"Çakışıyor",""))</f>
        <v/>
      </c>
    </row>
    <row r="297" customFormat="false" ht="15" hidden="false" customHeight="false" outlineLevel="0" collapsed="false">
      <c r="A297" s="12"/>
      <c r="B297" s="12"/>
      <c r="C297" s="13"/>
      <c r="D297" s="14"/>
      <c r="E297" s="14"/>
      <c r="F297" s="13"/>
      <c r="G297" s="15"/>
      <c r="H297" s="16" t="str">
        <f aca="false">IF(OR(D297="",E297="",E297&lt;D297),"",E297-D297+1)</f>
        <v/>
      </c>
      <c r="I297" s="17" t="str">
        <f aca="false">IF(OR(H297="",C297=""),"",IF(F297="İptal",0,H297*IFERROR(INDEX(Ürünler!$B$5:$B$64,MATCH(C297,Ürünler!$A$5:$A$64,0)),0)-G297))</f>
        <v/>
      </c>
      <c r="J297" s="18" t="str">
        <f aca="false">IF(OR(H297="",C297="",F297="İptal"),"",IF(COUNTIFS($C$5:$C$1504,C297,$D$5:$D$1504,"&lt;="&amp;E297,$E$5:$E$1504,"&gt;="&amp;D297,$F$5:$F$1504,"&lt;&gt;İptal")&gt;1,"Çakışıyor",""))</f>
        <v/>
      </c>
    </row>
    <row r="298" customFormat="false" ht="15" hidden="false" customHeight="false" outlineLevel="0" collapsed="false">
      <c r="A298" s="12"/>
      <c r="B298" s="12"/>
      <c r="C298" s="13"/>
      <c r="D298" s="14"/>
      <c r="E298" s="14"/>
      <c r="F298" s="13"/>
      <c r="G298" s="15"/>
      <c r="H298" s="16" t="str">
        <f aca="false">IF(OR(D298="",E298="",E298&lt;D298),"",E298-D298+1)</f>
        <v/>
      </c>
      <c r="I298" s="17" t="str">
        <f aca="false">IF(OR(H298="",C298=""),"",IF(F298="İptal",0,H298*IFERROR(INDEX(Ürünler!$B$5:$B$64,MATCH(C298,Ürünler!$A$5:$A$64,0)),0)-G298))</f>
        <v/>
      </c>
      <c r="J298" s="18" t="str">
        <f aca="false">IF(OR(H298="",C298="",F298="İptal"),"",IF(COUNTIFS($C$5:$C$1504,C298,$D$5:$D$1504,"&lt;="&amp;E298,$E$5:$E$1504,"&gt;="&amp;D298,$F$5:$F$1504,"&lt;&gt;İptal")&gt;1,"Çakışıyor",""))</f>
        <v/>
      </c>
    </row>
    <row r="299" customFormat="false" ht="15" hidden="false" customHeight="false" outlineLevel="0" collapsed="false">
      <c r="A299" s="12"/>
      <c r="B299" s="12"/>
      <c r="C299" s="13"/>
      <c r="D299" s="14"/>
      <c r="E299" s="14"/>
      <c r="F299" s="13"/>
      <c r="G299" s="15"/>
      <c r="H299" s="16" t="str">
        <f aca="false">IF(OR(D299="",E299="",E299&lt;D299),"",E299-D299+1)</f>
        <v/>
      </c>
      <c r="I299" s="17" t="str">
        <f aca="false">IF(OR(H299="",C299=""),"",IF(F299="İptal",0,H299*IFERROR(INDEX(Ürünler!$B$5:$B$64,MATCH(C299,Ürünler!$A$5:$A$64,0)),0)-G299))</f>
        <v/>
      </c>
      <c r="J299" s="18" t="str">
        <f aca="false">IF(OR(H299="",C299="",F299="İptal"),"",IF(COUNTIFS($C$5:$C$1504,C299,$D$5:$D$1504,"&lt;="&amp;E299,$E$5:$E$1504,"&gt;="&amp;D299,$F$5:$F$1504,"&lt;&gt;İptal")&gt;1,"Çakışıyor",""))</f>
        <v/>
      </c>
    </row>
    <row r="300" customFormat="false" ht="15" hidden="false" customHeight="false" outlineLevel="0" collapsed="false">
      <c r="A300" s="12"/>
      <c r="B300" s="12"/>
      <c r="C300" s="13"/>
      <c r="D300" s="14"/>
      <c r="E300" s="14"/>
      <c r="F300" s="13"/>
      <c r="G300" s="15"/>
      <c r="H300" s="16" t="str">
        <f aca="false">IF(OR(D300="",E300="",E300&lt;D300),"",E300-D300+1)</f>
        <v/>
      </c>
      <c r="I300" s="17" t="str">
        <f aca="false">IF(OR(H300="",C300=""),"",IF(F300="İptal",0,H300*IFERROR(INDEX(Ürünler!$B$5:$B$64,MATCH(C300,Ürünler!$A$5:$A$64,0)),0)-G300))</f>
        <v/>
      </c>
      <c r="J300" s="18" t="str">
        <f aca="false">IF(OR(H300="",C300="",F300="İptal"),"",IF(COUNTIFS($C$5:$C$1504,C300,$D$5:$D$1504,"&lt;="&amp;E300,$E$5:$E$1504,"&gt;="&amp;D300,$F$5:$F$1504,"&lt;&gt;İptal")&gt;1,"Çakışıyor",""))</f>
        <v/>
      </c>
    </row>
    <row r="301" customFormat="false" ht="15" hidden="false" customHeight="false" outlineLevel="0" collapsed="false">
      <c r="A301" s="12"/>
      <c r="B301" s="12"/>
      <c r="C301" s="13"/>
      <c r="D301" s="14"/>
      <c r="E301" s="14"/>
      <c r="F301" s="13"/>
      <c r="G301" s="15"/>
      <c r="H301" s="16" t="str">
        <f aca="false">IF(OR(D301="",E301="",E301&lt;D301),"",E301-D301+1)</f>
        <v/>
      </c>
      <c r="I301" s="17" t="str">
        <f aca="false">IF(OR(H301="",C301=""),"",IF(F301="İptal",0,H301*IFERROR(INDEX(Ürünler!$B$5:$B$64,MATCH(C301,Ürünler!$A$5:$A$64,0)),0)-G301))</f>
        <v/>
      </c>
      <c r="J301" s="18" t="str">
        <f aca="false">IF(OR(H301="",C301="",F301="İptal"),"",IF(COUNTIFS($C$5:$C$1504,C301,$D$5:$D$1504,"&lt;="&amp;E301,$E$5:$E$1504,"&gt;="&amp;D301,$F$5:$F$1504,"&lt;&gt;İptal")&gt;1,"Çakışıyor",""))</f>
        <v/>
      </c>
    </row>
    <row r="302" customFormat="false" ht="15" hidden="false" customHeight="false" outlineLevel="0" collapsed="false">
      <c r="A302" s="12"/>
      <c r="B302" s="12"/>
      <c r="C302" s="13"/>
      <c r="D302" s="14"/>
      <c r="E302" s="14"/>
      <c r="F302" s="13"/>
      <c r="G302" s="15"/>
      <c r="H302" s="16" t="str">
        <f aca="false">IF(OR(D302="",E302="",E302&lt;D302),"",E302-D302+1)</f>
        <v/>
      </c>
      <c r="I302" s="17" t="str">
        <f aca="false">IF(OR(H302="",C302=""),"",IF(F302="İptal",0,H302*IFERROR(INDEX(Ürünler!$B$5:$B$64,MATCH(C302,Ürünler!$A$5:$A$64,0)),0)-G302))</f>
        <v/>
      </c>
      <c r="J302" s="18" t="str">
        <f aca="false">IF(OR(H302="",C302="",F302="İptal"),"",IF(COUNTIFS($C$5:$C$1504,C302,$D$5:$D$1504,"&lt;="&amp;E302,$E$5:$E$1504,"&gt;="&amp;D302,$F$5:$F$1504,"&lt;&gt;İptal")&gt;1,"Çakışıyor",""))</f>
        <v/>
      </c>
    </row>
    <row r="303" customFormat="false" ht="15" hidden="false" customHeight="false" outlineLevel="0" collapsed="false">
      <c r="A303" s="12"/>
      <c r="B303" s="12"/>
      <c r="C303" s="13"/>
      <c r="D303" s="14"/>
      <c r="E303" s="14"/>
      <c r="F303" s="13"/>
      <c r="G303" s="15"/>
      <c r="H303" s="16" t="str">
        <f aca="false">IF(OR(D303="",E303="",E303&lt;D303),"",E303-D303+1)</f>
        <v/>
      </c>
      <c r="I303" s="17" t="str">
        <f aca="false">IF(OR(H303="",C303=""),"",IF(F303="İptal",0,H303*IFERROR(INDEX(Ürünler!$B$5:$B$64,MATCH(C303,Ürünler!$A$5:$A$64,0)),0)-G303))</f>
        <v/>
      </c>
      <c r="J303" s="18" t="str">
        <f aca="false">IF(OR(H303="",C303="",F303="İptal"),"",IF(COUNTIFS($C$5:$C$1504,C303,$D$5:$D$1504,"&lt;="&amp;E303,$E$5:$E$1504,"&gt;="&amp;D303,$F$5:$F$1504,"&lt;&gt;İptal")&gt;1,"Çakışıyor",""))</f>
        <v/>
      </c>
    </row>
    <row r="304" customFormat="false" ht="15" hidden="false" customHeight="false" outlineLevel="0" collapsed="false">
      <c r="A304" s="12"/>
      <c r="B304" s="12"/>
      <c r="C304" s="13"/>
      <c r="D304" s="14"/>
      <c r="E304" s="14"/>
      <c r="F304" s="13"/>
      <c r="G304" s="15"/>
      <c r="H304" s="16" t="str">
        <f aca="false">IF(OR(D304="",E304="",E304&lt;D304),"",E304-D304+1)</f>
        <v/>
      </c>
      <c r="I304" s="17" t="str">
        <f aca="false">IF(OR(H304="",C304=""),"",IF(F304="İptal",0,H304*IFERROR(INDEX(Ürünler!$B$5:$B$64,MATCH(C304,Ürünler!$A$5:$A$64,0)),0)-G304))</f>
        <v/>
      </c>
      <c r="J304" s="18" t="str">
        <f aca="false">IF(OR(H304="",C304="",F304="İptal"),"",IF(COUNTIFS($C$5:$C$1504,C304,$D$5:$D$1504,"&lt;="&amp;E304,$E$5:$E$1504,"&gt;="&amp;D304,$F$5:$F$1504,"&lt;&gt;İptal")&gt;1,"Çakışıyor",""))</f>
        <v/>
      </c>
    </row>
    <row r="305" customFormat="false" ht="15" hidden="false" customHeight="false" outlineLevel="0" collapsed="false">
      <c r="A305" s="12"/>
      <c r="B305" s="12"/>
      <c r="C305" s="13"/>
      <c r="D305" s="14"/>
      <c r="E305" s="14"/>
      <c r="F305" s="13"/>
      <c r="G305" s="15"/>
      <c r="H305" s="16" t="str">
        <f aca="false">IF(OR(D305="",E305="",E305&lt;D305),"",E305-D305+1)</f>
        <v/>
      </c>
      <c r="I305" s="17" t="str">
        <f aca="false">IF(OR(H305="",C305=""),"",IF(F305="İptal",0,H305*IFERROR(INDEX(Ürünler!$B$5:$B$64,MATCH(C305,Ürünler!$A$5:$A$64,0)),0)-G305))</f>
        <v/>
      </c>
      <c r="J305" s="18" t="str">
        <f aca="false">IF(OR(H305="",C305="",F305="İptal"),"",IF(COUNTIFS($C$5:$C$1504,C305,$D$5:$D$1504,"&lt;="&amp;E305,$E$5:$E$1504,"&gt;="&amp;D305,$F$5:$F$1504,"&lt;&gt;İptal")&gt;1,"Çakışıyor",""))</f>
        <v/>
      </c>
    </row>
    <row r="306" customFormat="false" ht="15" hidden="false" customHeight="false" outlineLevel="0" collapsed="false">
      <c r="A306" s="12"/>
      <c r="B306" s="12"/>
      <c r="C306" s="13"/>
      <c r="D306" s="14"/>
      <c r="E306" s="14"/>
      <c r="F306" s="13"/>
      <c r="G306" s="15"/>
      <c r="H306" s="16" t="str">
        <f aca="false">IF(OR(D306="",E306="",E306&lt;D306),"",E306-D306+1)</f>
        <v/>
      </c>
      <c r="I306" s="17" t="str">
        <f aca="false">IF(OR(H306="",C306=""),"",IF(F306="İptal",0,H306*IFERROR(INDEX(Ürünler!$B$5:$B$64,MATCH(C306,Ürünler!$A$5:$A$64,0)),0)-G306))</f>
        <v/>
      </c>
      <c r="J306" s="18" t="str">
        <f aca="false">IF(OR(H306="",C306="",F306="İptal"),"",IF(COUNTIFS($C$5:$C$1504,C306,$D$5:$D$1504,"&lt;="&amp;E306,$E$5:$E$1504,"&gt;="&amp;D306,$F$5:$F$1504,"&lt;&gt;İptal")&gt;1,"Çakışıyor",""))</f>
        <v/>
      </c>
    </row>
    <row r="307" customFormat="false" ht="15" hidden="false" customHeight="false" outlineLevel="0" collapsed="false">
      <c r="A307" s="12"/>
      <c r="B307" s="12"/>
      <c r="C307" s="13"/>
      <c r="D307" s="14"/>
      <c r="E307" s="14"/>
      <c r="F307" s="13"/>
      <c r="G307" s="15"/>
      <c r="H307" s="16" t="str">
        <f aca="false">IF(OR(D307="",E307="",E307&lt;D307),"",E307-D307+1)</f>
        <v/>
      </c>
      <c r="I307" s="17" t="str">
        <f aca="false">IF(OR(H307="",C307=""),"",IF(F307="İptal",0,H307*IFERROR(INDEX(Ürünler!$B$5:$B$64,MATCH(C307,Ürünler!$A$5:$A$64,0)),0)-G307))</f>
        <v/>
      </c>
      <c r="J307" s="18" t="str">
        <f aca="false">IF(OR(H307="",C307="",F307="İptal"),"",IF(COUNTIFS($C$5:$C$1504,C307,$D$5:$D$1504,"&lt;="&amp;E307,$E$5:$E$1504,"&gt;="&amp;D307,$F$5:$F$1504,"&lt;&gt;İptal")&gt;1,"Çakışıyor",""))</f>
        <v/>
      </c>
    </row>
    <row r="308" customFormat="false" ht="15" hidden="false" customHeight="false" outlineLevel="0" collapsed="false">
      <c r="A308" s="12"/>
      <c r="B308" s="12"/>
      <c r="C308" s="13"/>
      <c r="D308" s="14"/>
      <c r="E308" s="14"/>
      <c r="F308" s="13"/>
      <c r="G308" s="15"/>
      <c r="H308" s="16" t="str">
        <f aca="false">IF(OR(D308="",E308="",E308&lt;D308),"",E308-D308+1)</f>
        <v/>
      </c>
      <c r="I308" s="17" t="str">
        <f aca="false">IF(OR(H308="",C308=""),"",IF(F308="İptal",0,H308*IFERROR(INDEX(Ürünler!$B$5:$B$64,MATCH(C308,Ürünler!$A$5:$A$64,0)),0)-G308))</f>
        <v/>
      </c>
      <c r="J308" s="18" t="str">
        <f aca="false">IF(OR(H308="",C308="",F308="İptal"),"",IF(COUNTIFS($C$5:$C$1504,C308,$D$5:$D$1504,"&lt;="&amp;E308,$E$5:$E$1504,"&gt;="&amp;D308,$F$5:$F$1504,"&lt;&gt;İptal")&gt;1,"Çakışıyor",""))</f>
        <v/>
      </c>
    </row>
    <row r="309" customFormat="false" ht="15" hidden="false" customHeight="false" outlineLevel="0" collapsed="false">
      <c r="A309" s="12"/>
      <c r="B309" s="12"/>
      <c r="C309" s="13"/>
      <c r="D309" s="14"/>
      <c r="E309" s="14"/>
      <c r="F309" s="13"/>
      <c r="G309" s="15"/>
      <c r="H309" s="16" t="str">
        <f aca="false">IF(OR(D309="",E309="",E309&lt;D309),"",E309-D309+1)</f>
        <v/>
      </c>
      <c r="I309" s="17" t="str">
        <f aca="false">IF(OR(H309="",C309=""),"",IF(F309="İptal",0,H309*IFERROR(INDEX(Ürünler!$B$5:$B$64,MATCH(C309,Ürünler!$A$5:$A$64,0)),0)-G309))</f>
        <v/>
      </c>
      <c r="J309" s="18" t="str">
        <f aca="false">IF(OR(H309="",C309="",F309="İptal"),"",IF(COUNTIFS($C$5:$C$1504,C309,$D$5:$D$1504,"&lt;="&amp;E309,$E$5:$E$1504,"&gt;="&amp;D309,$F$5:$F$1504,"&lt;&gt;İptal")&gt;1,"Çakışıyor",""))</f>
        <v/>
      </c>
    </row>
    <row r="310" customFormat="false" ht="15" hidden="false" customHeight="false" outlineLevel="0" collapsed="false">
      <c r="A310" s="12"/>
      <c r="B310" s="12"/>
      <c r="C310" s="13"/>
      <c r="D310" s="14"/>
      <c r="E310" s="14"/>
      <c r="F310" s="13"/>
      <c r="G310" s="15"/>
      <c r="H310" s="16" t="str">
        <f aca="false">IF(OR(D310="",E310="",E310&lt;D310),"",E310-D310+1)</f>
        <v/>
      </c>
      <c r="I310" s="17" t="str">
        <f aca="false">IF(OR(H310="",C310=""),"",IF(F310="İptal",0,H310*IFERROR(INDEX(Ürünler!$B$5:$B$64,MATCH(C310,Ürünler!$A$5:$A$64,0)),0)-G310))</f>
        <v/>
      </c>
      <c r="J310" s="18" t="str">
        <f aca="false">IF(OR(H310="",C310="",F310="İptal"),"",IF(COUNTIFS($C$5:$C$1504,C310,$D$5:$D$1504,"&lt;="&amp;E310,$E$5:$E$1504,"&gt;="&amp;D310,$F$5:$F$1504,"&lt;&gt;İptal")&gt;1,"Çakışıyor",""))</f>
        <v/>
      </c>
    </row>
    <row r="311" customFormat="false" ht="15" hidden="false" customHeight="false" outlineLevel="0" collapsed="false">
      <c r="A311" s="12"/>
      <c r="B311" s="12"/>
      <c r="C311" s="13"/>
      <c r="D311" s="14"/>
      <c r="E311" s="14"/>
      <c r="F311" s="13"/>
      <c r="G311" s="15"/>
      <c r="H311" s="16" t="str">
        <f aca="false">IF(OR(D311="",E311="",E311&lt;D311),"",E311-D311+1)</f>
        <v/>
      </c>
      <c r="I311" s="17" t="str">
        <f aca="false">IF(OR(H311="",C311=""),"",IF(F311="İptal",0,H311*IFERROR(INDEX(Ürünler!$B$5:$B$64,MATCH(C311,Ürünler!$A$5:$A$64,0)),0)-G311))</f>
        <v/>
      </c>
      <c r="J311" s="18" t="str">
        <f aca="false">IF(OR(H311="",C311="",F311="İptal"),"",IF(COUNTIFS($C$5:$C$1504,C311,$D$5:$D$1504,"&lt;="&amp;E311,$E$5:$E$1504,"&gt;="&amp;D311,$F$5:$F$1504,"&lt;&gt;İptal")&gt;1,"Çakışıyor",""))</f>
        <v/>
      </c>
    </row>
    <row r="312" customFormat="false" ht="15" hidden="false" customHeight="false" outlineLevel="0" collapsed="false">
      <c r="A312" s="12"/>
      <c r="B312" s="12"/>
      <c r="C312" s="13"/>
      <c r="D312" s="14"/>
      <c r="E312" s="14"/>
      <c r="F312" s="13"/>
      <c r="G312" s="15"/>
      <c r="H312" s="16" t="str">
        <f aca="false">IF(OR(D312="",E312="",E312&lt;D312),"",E312-D312+1)</f>
        <v/>
      </c>
      <c r="I312" s="17" t="str">
        <f aca="false">IF(OR(H312="",C312=""),"",IF(F312="İptal",0,H312*IFERROR(INDEX(Ürünler!$B$5:$B$64,MATCH(C312,Ürünler!$A$5:$A$64,0)),0)-G312))</f>
        <v/>
      </c>
      <c r="J312" s="18" t="str">
        <f aca="false">IF(OR(H312="",C312="",F312="İptal"),"",IF(COUNTIFS($C$5:$C$1504,C312,$D$5:$D$1504,"&lt;="&amp;E312,$E$5:$E$1504,"&gt;="&amp;D312,$F$5:$F$1504,"&lt;&gt;İptal")&gt;1,"Çakışıyor",""))</f>
        <v/>
      </c>
    </row>
    <row r="313" customFormat="false" ht="15" hidden="false" customHeight="false" outlineLevel="0" collapsed="false">
      <c r="A313" s="12"/>
      <c r="B313" s="12"/>
      <c r="C313" s="13"/>
      <c r="D313" s="14"/>
      <c r="E313" s="14"/>
      <c r="F313" s="13"/>
      <c r="G313" s="15"/>
      <c r="H313" s="16" t="str">
        <f aca="false">IF(OR(D313="",E313="",E313&lt;D313),"",E313-D313+1)</f>
        <v/>
      </c>
      <c r="I313" s="17" t="str">
        <f aca="false">IF(OR(H313="",C313=""),"",IF(F313="İptal",0,H313*IFERROR(INDEX(Ürünler!$B$5:$B$64,MATCH(C313,Ürünler!$A$5:$A$64,0)),0)-G313))</f>
        <v/>
      </c>
      <c r="J313" s="18" t="str">
        <f aca="false">IF(OR(H313="",C313="",F313="İptal"),"",IF(COUNTIFS($C$5:$C$1504,C313,$D$5:$D$1504,"&lt;="&amp;E313,$E$5:$E$1504,"&gt;="&amp;D313,$F$5:$F$1504,"&lt;&gt;İptal")&gt;1,"Çakışıyor",""))</f>
        <v/>
      </c>
    </row>
    <row r="314" customFormat="false" ht="15" hidden="false" customHeight="false" outlineLevel="0" collapsed="false">
      <c r="A314" s="12"/>
      <c r="B314" s="12"/>
      <c r="C314" s="13"/>
      <c r="D314" s="14"/>
      <c r="E314" s="14"/>
      <c r="F314" s="13"/>
      <c r="G314" s="15"/>
      <c r="H314" s="16" t="str">
        <f aca="false">IF(OR(D314="",E314="",E314&lt;D314),"",E314-D314+1)</f>
        <v/>
      </c>
      <c r="I314" s="17" t="str">
        <f aca="false">IF(OR(H314="",C314=""),"",IF(F314="İptal",0,H314*IFERROR(INDEX(Ürünler!$B$5:$B$64,MATCH(C314,Ürünler!$A$5:$A$64,0)),0)-G314))</f>
        <v/>
      </c>
      <c r="J314" s="18" t="str">
        <f aca="false">IF(OR(H314="",C314="",F314="İptal"),"",IF(COUNTIFS($C$5:$C$1504,C314,$D$5:$D$1504,"&lt;="&amp;E314,$E$5:$E$1504,"&gt;="&amp;D314,$F$5:$F$1504,"&lt;&gt;İptal")&gt;1,"Çakışıyor",""))</f>
        <v/>
      </c>
    </row>
    <row r="315" customFormat="false" ht="15" hidden="false" customHeight="false" outlineLevel="0" collapsed="false">
      <c r="A315" s="12"/>
      <c r="B315" s="12"/>
      <c r="C315" s="13"/>
      <c r="D315" s="14"/>
      <c r="E315" s="14"/>
      <c r="F315" s="13"/>
      <c r="G315" s="15"/>
      <c r="H315" s="16" t="str">
        <f aca="false">IF(OR(D315="",E315="",E315&lt;D315),"",E315-D315+1)</f>
        <v/>
      </c>
      <c r="I315" s="17" t="str">
        <f aca="false">IF(OR(H315="",C315=""),"",IF(F315="İptal",0,H315*IFERROR(INDEX(Ürünler!$B$5:$B$64,MATCH(C315,Ürünler!$A$5:$A$64,0)),0)-G315))</f>
        <v/>
      </c>
      <c r="J315" s="18" t="str">
        <f aca="false">IF(OR(H315="",C315="",F315="İptal"),"",IF(COUNTIFS($C$5:$C$1504,C315,$D$5:$D$1504,"&lt;="&amp;E315,$E$5:$E$1504,"&gt;="&amp;D315,$F$5:$F$1504,"&lt;&gt;İptal")&gt;1,"Çakışıyor",""))</f>
        <v/>
      </c>
    </row>
    <row r="316" customFormat="false" ht="15" hidden="false" customHeight="false" outlineLevel="0" collapsed="false">
      <c r="A316" s="12"/>
      <c r="B316" s="12"/>
      <c r="C316" s="13"/>
      <c r="D316" s="14"/>
      <c r="E316" s="14"/>
      <c r="F316" s="13"/>
      <c r="G316" s="15"/>
      <c r="H316" s="16" t="str">
        <f aca="false">IF(OR(D316="",E316="",E316&lt;D316),"",E316-D316+1)</f>
        <v/>
      </c>
      <c r="I316" s="17" t="str">
        <f aca="false">IF(OR(H316="",C316=""),"",IF(F316="İptal",0,H316*IFERROR(INDEX(Ürünler!$B$5:$B$64,MATCH(C316,Ürünler!$A$5:$A$64,0)),0)-G316))</f>
        <v/>
      </c>
      <c r="J316" s="18" t="str">
        <f aca="false">IF(OR(H316="",C316="",F316="İptal"),"",IF(COUNTIFS($C$5:$C$1504,C316,$D$5:$D$1504,"&lt;="&amp;E316,$E$5:$E$1504,"&gt;="&amp;D316,$F$5:$F$1504,"&lt;&gt;İptal")&gt;1,"Çakışıyor",""))</f>
        <v/>
      </c>
    </row>
    <row r="317" customFormat="false" ht="15" hidden="false" customHeight="false" outlineLevel="0" collapsed="false">
      <c r="A317" s="12"/>
      <c r="B317" s="12"/>
      <c r="C317" s="13"/>
      <c r="D317" s="14"/>
      <c r="E317" s="14"/>
      <c r="F317" s="13"/>
      <c r="G317" s="15"/>
      <c r="H317" s="16" t="str">
        <f aca="false">IF(OR(D317="",E317="",E317&lt;D317),"",E317-D317+1)</f>
        <v/>
      </c>
      <c r="I317" s="17" t="str">
        <f aca="false">IF(OR(H317="",C317=""),"",IF(F317="İptal",0,H317*IFERROR(INDEX(Ürünler!$B$5:$B$64,MATCH(C317,Ürünler!$A$5:$A$64,0)),0)-G317))</f>
        <v/>
      </c>
      <c r="J317" s="18" t="str">
        <f aca="false">IF(OR(H317="",C317="",F317="İptal"),"",IF(COUNTIFS($C$5:$C$1504,C317,$D$5:$D$1504,"&lt;="&amp;E317,$E$5:$E$1504,"&gt;="&amp;D317,$F$5:$F$1504,"&lt;&gt;İptal")&gt;1,"Çakışıyor",""))</f>
        <v/>
      </c>
    </row>
    <row r="318" customFormat="false" ht="15" hidden="false" customHeight="false" outlineLevel="0" collapsed="false">
      <c r="A318" s="12"/>
      <c r="B318" s="12"/>
      <c r="C318" s="13"/>
      <c r="D318" s="14"/>
      <c r="E318" s="14"/>
      <c r="F318" s="13"/>
      <c r="G318" s="15"/>
      <c r="H318" s="16" t="str">
        <f aca="false">IF(OR(D318="",E318="",E318&lt;D318),"",E318-D318+1)</f>
        <v/>
      </c>
      <c r="I318" s="17" t="str">
        <f aca="false">IF(OR(H318="",C318=""),"",IF(F318="İptal",0,H318*IFERROR(INDEX(Ürünler!$B$5:$B$64,MATCH(C318,Ürünler!$A$5:$A$64,0)),0)-G318))</f>
        <v/>
      </c>
      <c r="J318" s="18" t="str">
        <f aca="false">IF(OR(H318="",C318="",F318="İptal"),"",IF(COUNTIFS($C$5:$C$1504,C318,$D$5:$D$1504,"&lt;="&amp;E318,$E$5:$E$1504,"&gt;="&amp;D318,$F$5:$F$1504,"&lt;&gt;İptal")&gt;1,"Çakışıyor",""))</f>
        <v/>
      </c>
    </row>
    <row r="319" customFormat="false" ht="15" hidden="false" customHeight="false" outlineLevel="0" collapsed="false">
      <c r="A319" s="12"/>
      <c r="B319" s="12"/>
      <c r="C319" s="13"/>
      <c r="D319" s="14"/>
      <c r="E319" s="14"/>
      <c r="F319" s="13"/>
      <c r="G319" s="15"/>
      <c r="H319" s="16" t="str">
        <f aca="false">IF(OR(D319="",E319="",E319&lt;D319),"",E319-D319+1)</f>
        <v/>
      </c>
      <c r="I319" s="17" t="str">
        <f aca="false">IF(OR(H319="",C319=""),"",IF(F319="İptal",0,H319*IFERROR(INDEX(Ürünler!$B$5:$B$64,MATCH(C319,Ürünler!$A$5:$A$64,0)),0)-G319))</f>
        <v/>
      </c>
      <c r="J319" s="18" t="str">
        <f aca="false">IF(OR(H319="",C319="",F319="İptal"),"",IF(COUNTIFS($C$5:$C$1504,C319,$D$5:$D$1504,"&lt;="&amp;E319,$E$5:$E$1504,"&gt;="&amp;D319,$F$5:$F$1504,"&lt;&gt;İptal")&gt;1,"Çakışıyor",""))</f>
        <v/>
      </c>
    </row>
    <row r="320" customFormat="false" ht="15" hidden="false" customHeight="false" outlineLevel="0" collapsed="false">
      <c r="A320" s="12"/>
      <c r="B320" s="12"/>
      <c r="C320" s="13"/>
      <c r="D320" s="14"/>
      <c r="E320" s="14"/>
      <c r="F320" s="13"/>
      <c r="G320" s="15"/>
      <c r="H320" s="16" t="str">
        <f aca="false">IF(OR(D320="",E320="",E320&lt;D320),"",E320-D320+1)</f>
        <v/>
      </c>
      <c r="I320" s="17" t="str">
        <f aca="false">IF(OR(H320="",C320=""),"",IF(F320="İptal",0,H320*IFERROR(INDEX(Ürünler!$B$5:$B$64,MATCH(C320,Ürünler!$A$5:$A$64,0)),0)-G320))</f>
        <v/>
      </c>
      <c r="J320" s="18" t="str">
        <f aca="false">IF(OR(H320="",C320="",F320="İptal"),"",IF(COUNTIFS($C$5:$C$1504,C320,$D$5:$D$1504,"&lt;="&amp;E320,$E$5:$E$1504,"&gt;="&amp;D320,$F$5:$F$1504,"&lt;&gt;İptal")&gt;1,"Çakışıyor",""))</f>
        <v/>
      </c>
    </row>
    <row r="321" customFormat="false" ht="15" hidden="false" customHeight="false" outlineLevel="0" collapsed="false">
      <c r="A321" s="12"/>
      <c r="B321" s="12"/>
      <c r="C321" s="13"/>
      <c r="D321" s="14"/>
      <c r="E321" s="14"/>
      <c r="F321" s="13"/>
      <c r="G321" s="15"/>
      <c r="H321" s="16" t="str">
        <f aca="false">IF(OR(D321="",E321="",E321&lt;D321),"",E321-D321+1)</f>
        <v/>
      </c>
      <c r="I321" s="17" t="str">
        <f aca="false">IF(OR(H321="",C321=""),"",IF(F321="İptal",0,H321*IFERROR(INDEX(Ürünler!$B$5:$B$64,MATCH(C321,Ürünler!$A$5:$A$64,0)),0)-G321))</f>
        <v/>
      </c>
      <c r="J321" s="18" t="str">
        <f aca="false">IF(OR(H321="",C321="",F321="İptal"),"",IF(COUNTIFS($C$5:$C$1504,C321,$D$5:$D$1504,"&lt;="&amp;E321,$E$5:$E$1504,"&gt;="&amp;D321,$F$5:$F$1504,"&lt;&gt;İptal")&gt;1,"Çakışıyor",""))</f>
        <v/>
      </c>
    </row>
    <row r="322" customFormat="false" ht="15" hidden="false" customHeight="false" outlineLevel="0" collapsed="false">
      <c r="A322" s="12"/>
      <c r="B322" s="12"/>
      <c r="C322" s="13"/>
      <c r="D322" s="14"/>
      <c r="E322" s="14"/>
      <c r="F322" s="13"/>
      <c r="G322" s="15"/>
      <c r="H322" s="16" t="str">
        <f aca="false">IF(OR(D322="",E322="",E322&lt;D322),"",E322-D322+1)</f>
        <v/>
      </c>
      <c r="I322" s="17" t="str">
        <f aca="false">IF(OR(H322="",C322=""),"",IF(F322="İptal",0,H322*IFERROR(INDEX(Ürünler!$B$5:$B$64,MATCH(C322,Ürünler!$A$5:$A$64,0)),0)-G322))</f>
        <v/>
      </c>
      <c r="J322" s="18" t="str">
        <f aca="false">IF(OR(H322="",C322="",F322="İptal"),"",IF(COUNTIFS($C$5:$C$1504,C322,$D$5:$D$1504,"&lt;="&amp;E322,$E$5:$E$1504,"&gt;="&amp;D322,$F$5:$F$1504,"&lt;&gt;İptal")&gt;1,"Çakışıyor",""))</f>
        <v/>
      </c>
    </row>
    <row r="323" customFormat="false" ht="15" hidden="false" customHeight="false" outlineLevel="0" collapsed="false">
      <c r="A323" s="12"/>
      <c r="B323" s="12"/>
      <c r="C323" s="13"/>
      <c r="D323" s="14"/>
      <c r="E323" s="14"/>
      <c r="F323" s="13"/>
      <c r="G323" s="15"/>
      <c r="H323" s="16" t="str">
        <f aca="false">IF(OR(D323="",E323="",E323&lt;D323),"",E323-D323+1)</f>
        <v/>
      </c>
      <c r="I323" s="17" t="str">
        <f aca="false">IF(OR(H323="",C323=""),"",IF(F323="İptal",0,H323*IFERROR(INDEX(Ürünler!$B$5:$B$64,MATCH(C323,Ürünler!$A$5:$A$64,0)),0)-G323))</f>
        <v/>
      </c>
      <c r="J323" s="18" t="str">
        <f aca="false">IF(OR(H323="",C323="",F323="İptal"),"",IF(COUNTIFS($C$5:$C$1504,C323,$D$5:$D$1504,"&lt;="&amp;E323,$E$5:$E$1504,"&gt;="&amp;D323,$F$5:$F$1504,"&lt;&gt;İptal")&gt;1,"Çakışıyor",""))</f>
        <v/>
      </c>
    </row>
    <row r="324" customFormat="false" ht="15" hidden="false" customHeight="false" outlineLevel="0" collapsed="false">
      <c r="A324" s="12"/>
      <c r="B324" s="12"/>
      <c r="C324" s="13"/>
      <c r="D324" s="14"/>
      <c r="E324" s="14"/>
      <c r="F324" s="13"/>
      <c r="G324" s="15"/>
      <c r="H324" s="16" t="str">
        <f aca="false">IF(OR(D324="",E324="",E324&lt;D324),"",E324-D324+1)</f>
        <v/>
      </c>
      <c r="I324" s="17" t="str">
        <f aca="false">IF(OR(H324="",C324=""),"",IF(F324="İptal",0,H324*IFERROR(INDEX(Ürünler!$B$5:$B$64,MATCH(C324,Ürünler!$A$5:$A$64,0)),0)-G324))</f>
        <v/>
      </c>
      <c r="J324" s="18" t="str">
        <f aca="false">IF(OR(H324="",C324="",F324="İptal"),"",IF(COUNTIFS($C$5:$C$1504,C324,$D$5:$D$1504,"&lt;="&amp;E324,$E$5:$E$1504,"&gt;="&amp;D324,$F$5:$F$1504,"&lt;&gt;İptal")&gt;1,"Çakışıyor",""))</f>
        <v/>
      </c>
    </row>
    <row r="325" customFormat="false" ht="15" hidden="false" customHeight="false" outlineLevel="0" collapsed="false">
      <c r="A325" s="12"/>
      <c r="B325" s="12"/>
      <c r="C325" s="13"/>
      <c r="D325" s="14"/>
      <c r="E325" s="14"/>
      <c r="F325" s="13"/>
      <c r="G325" s="15"/>
      <c r="H325" s="16" t="str">
        <f aca="false">IF(OR(D325="",E325="",E325&lt;D325),"",E325-D325+1)</f>
        <v/>
      </c>
      <c r="I325" s="17" t="str">
        <f aca="false">IF(OR(H325="",C325=""),"",IF(F325="İptal",0,H325*IFERROR(INDEX(Ürünler!$B$5:$B$64,MATCH(C325,Ürünler!$A$5:$A$64,0)),0)-G325))</f>
        <v/>
      </c>
      <c r="J325" s="18" t="str">
        <f aca="false">IF(OR(H325="",C325="",F325="İptal"),"",IF(COUNTIFS($C$5:$C$1504,C325,$D$5:$D$1504,"&lt;="&amp;E325,$E$5:$E$1504,"&gt;="&amp;D325,$F$5:$F$1504,"&lt;&gt;İptal")&gt;1,"Çakışıyor",""))</f>
        <v/>
      </c>
    </row>
    <row r="326" customFormat="false" ht="15" hidden="false" customHeight="false" outlineLevel="0" collapsed="false">
      <c r="A326" s="12"/>
      <c r="B326" s="12"/>
      <c r="C326" s="13"/>
      <c r="D326" s="14"/>
      <c r="E326" s="14"/>
      <c r="F326" s="13"/>
      <c r="G326" s="15"/>
      <c r="H326" s="16" t="str">
        <f aca="false">IF(OR(D326="",E326="",E326&lt;D326),"",E326-D326+1)</f>
        <v/>
      </c>
      <c r="I326" s="17" t="str">
        <f aca="false">IF(OR(H326="",C326=""),"",IF(F326="İptal",0,H326*IFERROR(INDEX(Ürünler!$B$5:$B$64,MATCH(C326,Ürünler!$A$5:$A$64,0)),0)-G326))</f>
        <v/>
      </c>
      <c r="J326" s="18" t="str">
        <f aca="false">IF(OR(H326="",C326="",F326="İptal"),"",IF(COUNTIFS($C$5:$C$1504,C326,$D$5:$D$1504,"&lt;="&amp;E326,$E$5:$E$1504,"&gt;="&amp;D326,$F$5:$F$1504,"&lt;&gt;İptal")&gt;1,"Çakışıyor",""))</f>
        <v/>
      </c>
    </row>
    <row r="327" customFormat="false" ht="15" hidden="false" customHeight="false" outlineLevel="0" collapsed="false">
      <c r="A327" s="12"/>
      <c r="B327" s="12"/>
      <c r="C327" s="13"/>
      <c r="D327" s="14"/>
      <c r="E327" s="14"/>
      <c r="F327" s="13"/>
      <c r="G327" s="15"/>
      <c r="H327" s="16" t="str">
        <f aca="false">IF(OR(D327="",E327="",E327&lt;D327),"",E327-D327+1)</f>
        <v/>
      </c>
      <c r="I327" s="17" t="str">
        <f aca="false">IF(OR(H327="",C327=""),"",IF(F327="İptal",0,H327*IFERROR(INDEX(Ürünler!$B$5:$B$64,MATCH(C327,Ürünler!$A$5:$A$64,0)),0)-G327))</f>
        <v/>
      </c>
      <c r="J327" s="18" t="str">
        <f aca="false">IF(OR(H327="",C327="",F327="İptal"),"",IF(COUNTIFS($C$5:$C$1504,C327,$D$5:$D$1504,"&lt;="&amp;E327,$E$5:$E$1504,"&gt;="&amp;D327,$F$5:$F$1504,"&lt;&gt;İptal")&gt;1,"Çakışıyor",""))</f>
        <v/>
      </c>
    </row>
    <row r="328" customFormat="false" ht="15" hidden="false" customHeight="false" outlineLevel="0" collapsed="false">
      <c r="A328" s="12"/>
      <c r="B328" s="12"/>
      <c r="C328" s="13"/>
      <c r="D328" s="14"/>
      <c r="E328" s="14"/>
      <c r="F328" s="13"/>
      <c r="G328" s="15"/>
      <c r="H328" s="16" t="str">
        <f aca="false">IF(OR(D328="",E328="",E328&lt;D328),"",E328-D328+1)</f>
        <v/>
      </c>
      <c r="I328" s="17" t="str">
        <f aca="false">IF(OR(H328="",C328=""),"",IF(F328="İptal",0,H328*IFERROR(INDEX(Ürünler!$B$5:$B$64,MATCH(C328,Ürünler!$A$5:$A$64,0)),0)-G328))</f>
        <v/>
      </c>
      <c r="J328" s="18" t="str">
        <f aca="false">IF(OR(H328="",C328="",F328="İptal"),"",IF(COUNTIFS($C$5:$C$1504,C328,$D$5:$D$1504,"&lt;="&amp;E328,$E$5:$E$1504,"&gt;="&amp;D328,$F$5:$F$1504,"&lt;&gt;İptal")&gt;1,"Çakışıyor",""))</f>
        <v/>
      </c>
    </row>
    <row r="329" customFormat="false" ht="15" hidden="false" customHeight="false" outlineLevel="0" collapsed="false">
      <c r="A329" s="12"/>
      <c r="B329" s="12"/>
      <c r="C329" s="13"/>
      <c r="D329" s="14"/>
      <c r="E329" s="14"/>
      <c r="F329" s="13"/>
      <c r="G329" s="15"/>
      <c r="H329" s="16" t="str">
        <f aca="false">IF(OR(D329="",E329="",E329&lt;D329),"",E329-D329+1)</f>
        <v/>
      </c>
      <c r="I329" s="17" t="str">
        <f aca="false">IF(OR(H329="",C329=""),"",IF(F329="İptal",0,H329*IFERROR(INDEX(Ürünler!$B$5:$B$64,MATCH(C329,Ürünler!$A$5:$A$64,0)),0)-G329))</f>
        <v/>
      </c>
      <c r="J329" s="18" t="str">
        <f aca="false">IF(OR(H329="",C329="",F329="İptal"),"",IF(COUNTIFS($C$5:$C$1504,C329,$D$5:$D$1504,"&lt;="&amp;E329,$E$5:$E$1504,"&gt;="&amp;D329,$F$5:$F$1504,"&lt;&gt;İptal")&gt;1,"Çakışıyor",""))</f>
        <v/>
      </c>
    </row>
    <row r="330" customFormat="false" ht="15" hidden="false" customHeight="false" outlineLevel="0" collapsed="false">
      <c r="A330" s="12"/>
      <c r="B330" s="12"/>
      <c r="C330" s="13"/>
      <c r="D330" s="14"/>
      <c r="E330" s="14"/>
      <c r="F330" s="13"/>
      <c r="G330" s="15"/>
      <c r="H330" s="16" t="str">
        <f aca="false">IF(OR(D330="",E330="",E330&lt;D330),"",E330-D330+1)</f>
        <v/>
      </c>
      <c r="I330" s="17" t="str">
        <f aca="false">IF(OR(H330="",C330=""),"",IF(F330="İptal",0,H330*IFERROR(INDEX(Ürünler!$B$5:$B$64,MATCH(C330,Ürünler!$A$5:$A$64,0)),0)-G330))</f>
        <v/>
      </c>
      <c r="J330" s="18" t="str">
        <f aca="false">IF(OR(H330="",C330="",F330="İptal"),"",IF(COUNTIFS($C$5:$C$1504,C330,$D$5:$D$1504,"&lt;="&amp;E330,$E$5:$E$1504,"&gt;="&amp;D330,$F$5:$F$1504,"&lt;&gt;İptal")&gt;1,"Çakışıyor",""))</f>
        <v/>
      </c>
    </row>
    <row r="331" customFormat="false" ht="15" hidden="false" customHeight="false" outlineLevel="0" collapsed="false">
      <c r="A331" s="12"/>
      <c r="B331" s="12"/>
      <c r="C331" s="13"/>
      <c r="D331" s="14"/>
      <c r="E331" s="14"/>
      <c r="F331" s="13"/>
      <c r="G331" s="15"/>
      <c r="H331" s="16" t="str">
        <f aca="false">IF(OR(D331="",E331="",E331&lt;D331),"",E331-D331+1)</f>
        <v/>
      </c>
      <c r="I331" s="17" t="str">
        <f aca="false">IF(OR(H331="",C331=""),"",IF(F331="İptal",0,H331*IFERROR(INDEX(Ürünler!$B$5:$B$64,MATCH(C331,Ürünler!$A$5:$A$64,0)),0)-G331))</f>
        <v/>
      </c>
      <c r="J331" s="18" t="str">
        <f aca="false">IF(OR(H331="",C331="",F331="İptal"),"",IF(COUNTIFS($C$5:$C$1504,C331,$D$5:$D$1504,"&lt;="&amp;E331,$E$5:$E$1504,"&gt;="&amp;D331,$F$5:$F$1504,"&lt;&gt;İptal")&gt;1,"Çakışıyor",""))</f>
        <v/>
      </c>
    </row>
    <row r="332" customFormat="false" ht="15" hidden="false" customHeight="false" outlineLevel="0" collapsed="false">
      <c r="A332" s="12"/>
      <c r="B332" s="12"/>
      <c r="C332" s="13"/>
      <c r="D332" s="14"/>
      <c r="E332" s="14"/>
      <c r="F332" s="13"/>
      <c r="G332" s="15"/>
      <c r="H332" s="16" t="str">
        <f aca="false">IF(OR(D332="",E332="",E332&lt;D332),"",E332-D332+1)</f>
        <v/>
      </c>
      <c r="I332" s="17" t="str">
        <f aca="false">IF(OR(H332="",C332=""),"",IF(F332="İptal",0,H332*IFERROR(INDEX(Ürünler!$B$5:$B$64,MATCH(C332,Ürünler!$A$5:$A$64,0)),0)-G332))</f>
        <v/>
      </c>
      <c r="J332" s="18" t="str">
        <f aca="false">IF(OR(H332="",C332="",F332="İptal"),"",IF(COUNTIFS($C$5:$C$1504,C332,$D$5:$D$1504,"&lt;="&amp;E332,$E$5:$E$1504,"&gt;="&amp;D332,$F$5:$F$1504,"&lt;&gt;İptal")&gt;1,"Çakışıyor",""))</f>
        <v/>
      </c>
    </row>
    <row r="333" customFormat="false" ht="15" hidden="false" customHeight="false" outlineLevel="0" collapsed="false">
      <c r="A333" s="12"/>
      <c r="B333" s="12"/>
      <c r="C333" s="13"/>
      <c r="D333" s="14"/>
      <c r="E333" s="14"/>
      <c r="F333" s="13"/>
      <c r="G333" s="15"/>
      <c r="H333" s="16" t="str">
        <f aca="false">IF(OR(D333="",E333="",E333&lt;D333),"",E333-D333+1)</f>
        <v/>
      </c>
      <c r="I333" s="17" t="str">
        <f aca="false">IF(OR(H333="",C333=""),"",IF(F333="İptal",0,H333*IFERROR(INDEX(Ürünler!$B$5:$B$64,MATCH(C333,Ürünler!$A$5:$A$64,0)),0)-G333))</f>
        <v/>
      </c>
      <c r="J333" s="18" t="str">
        <f aca="false">IF(OR(H333="",C333="",F333="İptal"),"",IF(COUNTIFS($C$5:$C$1504,C333,$D$5:$D$1504,"&lt;="&amp;E333,$E$5:$E$1504,"&gt;="&amp;D333,$F$5:$F$1504,"&lt;&gt;İptal")&gt;1,"Çakışıyor",""))</f>
        <v/>
      </c>
    </row>
    <row r="334" customFormat="false" ht="15" hidden="false" customHeight="false" outlineLevel="0" collapsed="false">
      <c r="A334" s="12"/>
      <c r="B334" s="12"/>
      <c r="C334" s="13"/>
      <c r="D334" s="14"/>
      <c r="E334" s="14"/>
      <c r="F334" s="13"/>
      <c r="G334" s="15"/>
      <c r="H334" s="16" t="str">
        <f aca="false">IF(OR(D334="",E334="",E334&lt;D334),"",E334-D334+1)</f>
        <v/>
      </c>
      <c r="I334" s="17" t="str">
        <f aca="false">IF(OR(H334="",C334=""),"",IF(F334="İptal",0,H334*IFERROR(INDEX(Ürünler!$B$5:$B$64,MATCH(C334,Ürünler!$A$5:$A$64,0)),0)-G334))</f>
        <v/>
      </c>
      <c r="J334" s="18" t="str">
        <f aca="false">IF(OR(H334="",C334="",F334="İptal"),"",IF(COUNTIFS($C$5:$C$1504,C334,$D$5:$D$1504,"&lt;="&amp;E334,$E$5:$E$1504,"&gt;="&amp;D334,$F$5:$F$1504,"&lt;&gt;İptal")&gt;1,"Çakışıyor",""))</f>
        <v/>
      </c>
    </row>
    <row r="335" customFormat="false" ht="15" hidden="false" customHeight="false" outlineLevel="0" collapsed="false">
      <c r="A335" s="12"/>
      <c r="B335" s="12"/>
      <c r="C335" s="13"/>
      <c r="D335" s="14"/>
      <c r="E335" s="14"/>
      <c r="F335" s="13"/>
      <c r="G335" s="15"/>
      <c r="H335" s="16" t="str">
        <f aca="false">IF(OR(D335="",E335="",E335&lt;D335),"",E335-D335+1)</f>
        <v/>
      </c>
      <c r="I335" s="17" t="str">
        <f aca="false">IF(OR(H335="",C335=""),"",IF(F335="İptal",0,H335*IFERROR(INDEX(Ürünler!$B$5:$B$64,MATCH(C335,Ürünler!$A$5:$A$64,0)),0)-G335))</f>
        <v/>
      </c>
      <c r="J335" s="18" t="str">
        <f aca="false">IF(OR(H335="",C335="",F335="İptal"),"",IF(COUNTIFS($C$5:$C$1504,C335,$D$5:$D$1504,"&lt;="&amp;E335,$E$5:$E$1504,"&gt;="&amp;D335,$F$5:$F$1504,"&lt;&gt;İptal")&gt;1,"Çakışıyor",""))</f>
        <v/>
      </c>
    </row>
    <row r="336" customFormat="false" ht="15" hidden="false" customHeight="false" outlineLevel="0" collapsed="false">
      <c r="A336" s="12"/>
      <c r="B336" s="12"/>
      <c r="C336" s="13"/>
      <c r="D336" s="14"/>
      <c r="E336" s="14"/>
      <c r="F336" s="13"/>
      <c r="G336" s="15"/>
      <c r="H336" s="16" t="str">
        <f aca="false">IF(OR(D336="",E336="",E336&lt;D336),"",E336-D336+1)</f>
        <v/>
      </c>
      <c r="I336" s="17" t="str">
        <f aca="false">IF(OR(H336="",C336=""),"",IF(F336="İptal",0,H336*IFERROR(INDEX(Ürünler!$B$5:$B$64,MATCH(C336,Ürünler!$A$5:$A$64,0)),0)-G336))</f>
        <v/>
      </c>
      <c r="J336" s="18" t="str">
        <f aca="false">IF(OR(H336="",C336="",F336="İptal"),"",IF(COUNTIFS($C$5:$C$1504,C336,$D$5:$D$1504,"&lt;="&amp;E336,$E$5:$E$1504,"&gt;="&amp;D336,$F$5:$F$1504,"&lt;&gt;İptal")&gt;1,"Çakışıyor",""))</f>
        <v/>
      </c>
    </row>
    <row r="337" customFormat="false" ht="15" hidden="false" customHeight="false" outlineLevel="0" collapsed="false">
      <c r="A337" s="12"/>
      <c r="B337" s="12"/>
      <c r="C337" s="13"/>
      <c r="D337" s="14"/>
      <c r="E337" s="14"/>
      <c r="F337" s="13"/>
      <c r="G337" s="15"/>
      <c r="H337" s="16" t="str">
        <f aca="false">IF(OR(D337="",E337="",E337&lt;D337),"",E337-D337+1)</f>
        <v/>
      </c>
      <c r="I337" s="17" t="str">
        <f aca="false">IF(OR(H337="",C337=""),"",IF(F337="İptal",0,H337*IFERROR(INDEX(Ürünler!$B$5:$B$64,MATCH(C337,Ürünler!$A$5:$A$64,0)),0)-G337))</f>
        <v/>
      </c>
      <c r="J337" s="18" t="str">
        <f aca="false">IF(OR(H337="",C337="",F337="İptal"),"",IF(COUNTIFS($C$5:$C$1504,C337,$D$5:$D$1504,"&lt;="&amp;E337,$E$5:$E$1504,"&gt;="&amp;D337,$F$5:$F$1504,"&lt;&gt;İptal")&gt;1,"Çakışıyor",""))</f>
        <v/>
      </c>
    </row>
    <row r="338" customFormat="false" ht="15" hidden="false" customHeight="false" outlineLevel="0" collapsed="false">
      <c r="A338" s="12"/>
      <c r="B338" s="12"/>
      <c r="C338" s="13"/>
      <c r="D338" s="14"/>
      <c r="E338" s="14"/>
      <c r="F338" s="13"/>
      <c r="G338" s="15"/>
      <c r="H338" s="16" t="str">
        <f aca="false">IF(OR(D338="",E338="",E338&lt;D338),"",E338-D338+1)</f>
        <v/>
      </c>
      <c r="I338" s="17" t="str">
        <f aca="false">IF(OR(H338="",C338=""),"",IF(F338="İptal",0,H338*IFERROR(INDEX(Ürünler!$B$5:$B$64,MATCH(C338,Ürünler!$A$5:$A$64,0)),0)-G338))</f>
        <v/>
      </c>
      <c r="J338" s="18" t="str">
        <f aca="false">IF(OR(H338="",C338="",F338="İptal"),"",IF(COUNTIFS($C$5:$C$1504,C338,$D$5:$D$1504,"&lt;="&amp;E338,$E$5:$E$1504,"&gt;="&amp;D338,$F$5:$F$1504,"&lt;&gt;İptal")&gt;1,"Çakışıyor",""))</f>
        <v/>
      </c>
    </row>
    <row r="339" customFormat="false" ht="15" hidden="false" customHeight="false" outlineLevel="0" collapsed="false">
      <c r="A339" s="12"/>
      <c r="B339" s="12"/>
      <c r="C339" s="13"/>
      <c r="D339" s="14"/>
      <c r="E339" s="14"/>
      <c r="F339" s="13"/>
      <c r="G339" s="15"/>
      <c r="H339" s="16" t="str">
        <f aca="false">IF(OR(D339="",E339="",E339&lt;D339),"",E339-D339+1)</f>
        <v/>
      </c>
      <c r="I339" s="17" t="str">
        <f aca="false">IF(OR(H339="",C339=""),"",IF(F339="İptal",0,H339*IFERROR(INDEX(Ürünler!$B$5:$B$64,MATCH(C339,Ürünler!$A$5:$A$64,0)),0)-G339))</f>
        <v/>
      </c>
      <c r="J339" s="18" t="str">
        <f aca="false">IF(OR(H339="",C339="",F339="İptal"),"",IF(COUNTIFS($C$5:$C$1504,C339,$D$5:$D$1504,"&lt;="&amp;E339,$E$5:$E$1504,"&gt;="&amp;D339,$F$5:$F$1504,"&lt;&gt;İptal")&gt;1,"Çakışıyor",""))</f>
        <v/>
      </c>
    </row>
    <row r="340" customFormat="false" ht="15" hidden="false" customHeight="false" outlineLevel="0" collapsed="false">
      <c r="A340" s="12"/>
      <c r="B340" s="12"/>
      <c r="C340" s="13"/>
      <c r="D340" s="14"/>
      <c r="E340" s="14"/>
      <c r="F340" s="13"/>
      <c r="G340" s="15"/>
      <c r="H340" s="16" t="str">
        <f aca="false">IF(OR(D340="",E340="",E340&lt;D340),"",E340-D340+1)</f>
        <v/>
      </c>
      <c r="I340" s="17" t="str">
        <f aca="false">IF(OR(H340="",C340=""),"",IF(F340="İptal",0,H340*IFERROR(INDEX(Ürünler!$B$5:$B$64,MATCH(C340,Ürünler!$A$5:$A$64,0)),0)-G340))</f>
        <v/>
      </c>
      <c r="J340" s="18" t="str">
        <f aca="false">IF(OR(H340="",C340="",F340="İptal"),"",IF(COUNTIFS($C$5:$C$1504,C340,$D$5:$D$1504,"&lt;="&amp;E340,$E$5:$E$1504,"&gt;="&amp;D340,$F$5:$F$1504,"&lt;&gt;İptal")&gt;1,"Çakışıyor",""))</f>
        <v/>
      </c>
    </row>
    <row r="341" customFormat="false" ht="15" hidden="false" customHeight="false" outlineLevel="0" collapsed="false">
      <c r="A341" s="12"/>
      <c r="B341" s="12"/>
      <c r="C341" s="13"/>
      <c r="D341" s="14"/>
      <c r="E341" s="14"/>
      <c r="F341" s="13"/>
      <c r="G341" s="15"/>
      <c r="H341" s="16" t="str">
        <f aca="false">IF(OR(D341="",E341="",E341&lt;D341),"",E341-D341+1)</f>
        <v/>
      </c>
      <c r="I341" s="17" t="str">
        <f aca="false">IF(OR(H341="",C341=""),"",IF(F341="İptal",0,H341*IFERROR(INDEX(Ürünler!$B$5:$B$64,MATCH(C341,Ürünler!$A$5:$A$64,0)),0)-G341))</f>
        <v/>
      </c>
      <c r="J341" s="18" t="str">
        <f aca="false">IF(OR(H341="",C341="",F341="İptal"),"",IF(COUNTIFS($C$5:$C$1504,C341,$D$5:$D$1504,"&lt;="&amp;E341,$E$5:$E$1504,"&gt;="&amp;D341,$F$5:$F$1504,"&lt;&gt;İptal")&gt;1,"Çakışıyor",""))</f>
        <v/>
      </c>
    </row>
    <row r="342" customFormat="false" ht="15" hidden="false" customHeight="false" outlineLevel="0" collapsed="false">
      <c r="A342" s="12"/>
      <c r="B342" s="12"/>
      <c r="C342" s="13"/>
      <c r="D342" s="14"/>
      <c r="E342" s="14"/>
      <c r="F342" s="13"/>
      <c r="G342" s="15"/>
      <c r="H342" s="16" t="str">
        <f aca="false">IF(OR(D342="",E342="",E342&lt;D342),"",E342-D342+1)</f>
        <v/>
      </c>
      <c r="I342" s="17" t="str">
        <f aca="false">IF(OR(H342="",C342=""),"",IF(F342="İptal",0,H342*IFERROR(INDEX(Ürünler!$B$5:$B$64,MATCH(C342,Ürünler!$A$5:$A$64,0)),0)-G342))</f>
        <v/>
      </c>
      <c r="J342" s="18" t="str">
        <f aca="false">IF(OR(H342="",C342="",F342="İptal"),"",IF(COUNTIFS($C$5:$C$1504,C342,$D$5:$D$1504,"&lt;="&amp;E342,$E$5:$E$1504,"&gt;="&amp;D342,$F$5:$F$1504,"&lt;&gt;İptal")&gt;1,"Çakışıyor",""))</f>
        <v/>
      </c>
    </row>
    <row r="343" customFormat="false" ht="15" hidden="false" customHeight="false" outlineLevel="0" collapsed="false">
      <c r="A343" s="12"/>
      <c r="B343" s="12"/>
      <c r="C343" s="13"/>
      <c r="D343" s="14"/>
      <c r="E343" s="14"/>
      <c r="F343" s="13"/>
      <c r="G343" s="15"/>
      <c r="H343" s="16" t="str">
        <f aca="false">IF(OR(D343="",E343="",E343&lt;D343),"",E343-D343+1)</f>
        <v/>
      </c>
      <c r="I343" s="17" t="str">
        <f aca="false">IF(OR(H343="",C343=""),"",IF(F343="İptal",0,H343*IFERROR(INDEX(Ürünler!$B$5:$B$64,MATCH(C343,Ürünler!$A$5:$A$64,0)),0)-G343))</f>
        <v/>
      </c>
      <c r="J343" s="18" t="str">
        <f aca="false">IF(OR(H343="",C343="",F343="İptal"),"",IF(COUNTIFS($C$5:$C$1504,C343,$D$5:$D$1504,"&lt;="&amp;E343,$E$5:$E$1504,"&gt;="&amp;D343,$F$5:$F$1504,"&lt;&gt;İptal")&gt;1,"Çakışıyor",""))</f>
        <v/>
      </c>
    </row>
    <row r="344" customFormat="false" ht="15" hidden="false" customHeight="false" outlineLevel="0" collapsed="false">
      <c r="A344" s="12"/>
      <c r="B344" s="12"/>
      <c r="C344" s="13"/>
      <c r="D344" s="14"/>
      <c r="E344" s="14"/>
      <c r="F344" s="13"/>
      <c r="G344" s="15"/>
      <c r="H344" s="16" t="str">
        <f aca="false">IF(OR(D344="",E344="",E344&lt;D344),"",E344-D344+1)</f>
        <v/>
      </c>
      <c r="I344" s="17" t="str">
        <f aca="false">IF(OR(H344="",C344=""),"",IF(F344="İptal",0,H344*IFERROR(INDEX(Ürünler!$B$5:$B$64,MATCH(C344,Ürünler!$A$5:$A$64,0)),0)-G344))</f>
        <v/>
      </c>
      <c r="J344" s="18" t="str">
        <f aca="false">IF(OR(H344="",C344="",F344="İptal"),"",IF(COUNTIFS($C$5:$C$1504,C344,$D$5:$D$1504,"&lt;="&amp;E344,$E$5:$E$1504,"&gt;="&amp;D344,$F$5:$F$1504,"&lt;&gt;İptal")&gt;1,"Çakışıyor",""))</f>
        <v/>
      </c>
    </row>
    <row r="345" customFormat="false" ht="15" hidden="false" customHeight="false" outlineLevel="0" collapsed="false">
      <c r="A345" s="12"/>
      <c r="B345" s="12"/>
      <c r="C345" s="13"/>
      <c r="D345" s="14"/>
      <c r="E345" s="14"/>
      <c r="F345" s="13"/>
      <c r="G345" s="15"/>
      <c r="H345" s="16" t="str">
        <f aca="false">IF(OR(D345="",E345="",E345&lt;D345),"",E345-D345+1)</f>
        <v/>
      </c>
      <c r="I345" s="17" t="str">
        <f aca="false">IF(OR(H345="",C345=""),"",IF(F345="İptal",0,H345*IFERROR(INDEX(Ürünler!$B$5:$B$64,MATCH(C345,Ürünler!$A$5:$A$64,0)),0)-G345))</f>
        <v/>
      </c>
      <c r="J345" s="18" t="str">
        <f aca="false">IF(OR(H345="",C345="",F345="İptal"),"",IF(COUNTIFS($C$5:$C$1504,C345,$D$5:$D$1504,"&lt;="&amp;E345,$E$5:$E$1504,"&gt;="&amp;D345,$F$5:$F$1504,"&lt;&gt;İptal")&gt;1,"Çakışıyor",""))</f>
        <v/>
      </c>
    </row>
    <row r="346" customFormat="false" ht="15" hidden="false" customHeight="false" outlineLevel="0" collapsed="false">
      <c r="A346" s="12"/>
      <c r="B346" s="12"/>
      <c r="C346" s="13"/>
      <c r="D346" s="14"/>
      <c r="E346" s="14"/>
      <c r="F346" s="13"/>
      <c r="G346" s="15"/>
      <c r="H346" s="16" t="str">
        <f aca="false">IF(OR(D346="",E346="",E346&lt;D346),"",E346-D346+1)</f>
        <v/>
      </c>
      <c r="I346" s="17" t="str">
        <f aca="false">IF(OR(H346="",C346=""),"",IF(F346="İptal",0,H346*IFERROR(INDEX(Ürünler!$B$5:$B$64,MATCH(C346,Ürünler!$A$5:$A$64,0)),0)-G346))</f>
        <v/>
      </c>
      <c r="J346" s="18" t="str">
        <f aca="false">IF(OR(H346="",C346="",F346="İptal"),"",IF(COUNTIFS($C$5:$C$1504,C346,$D$5:$D$1504,"&lt;="&amp;E346,$E$5:$E$1504,"&gt;="&amp;D346,$F$5:$F$1504,"&lt;&gt;İptal")&gt;1,"Çakışıyor",""))</f>
        <v/>
      </c>
    </row>
    <row r="347" customFormat="false" ht="15" hidden="false" customHeight="false" outlineLevel="0" collapsed="false">
      <c r="A347" s="12"/>
      <c r="B347" s="12"/>
      <c r="C347" s="13"/>
      <c r="D347" s="14"/>
      <c r="E347" s="14"/>
      <c r="F347" s="13"/>
      <c r="G347" s="15"/>
      <c r="H347" s="16" t="str">
        <f aca="false">IF(OR(D347="",E347="",E347&lt;D347),"",E347-D347+1)</f>
        <v/>
      </c>
      <c r="I347" s="17" t="str">
        <f aca="false">IF(OR(H347="",C347=""),"",IF(F347="İptal",0,H347*IFERROR(INDEX(Ürünler!$B$5:$B$64,MATCH(C347,Ürünler!$A$5:$A$64,0)),0)-G347))</f>
        <v/>
      </c>
      <c r="J347" s="18" t="str">
        <f aca="false">IF(OR(H347="",C347="",F347="İptal"),"",IF(COUNTIFS($C$5:$C$1504,C347,$D$5:$D$1504,"&lt;="&amp;E347,$E$5:$E$1504,"&gt;="&amp;D347,$F$5:$F$1504,"&lt;&gt;İptal")&gt;1,"Çakışıyor",""))</f>
        <v/>
      </c>
    </row>
    <row r="348" customFormat="false" ht="15" hidden="false" customHeight="false" outlineLevel="0" collapsed="false">
      <c r="A348" s="12"/>
      <c r="B348" s="12"/>
      <c r="C348" s="13"/>
      <c r="D348" s="14"/>
      <c r="E348" s="14"/>
      <c r="F348" s="13"/>
      <c r="G348" s="15"/>
      <c r="H348" s="16" t="str">
        <f aca="false">IF(OR(D348="",E348="",E348&lt;D348),"",E348-D348+1)</f>
        <v/>
      </c>
      <c r="I348" s="17" t="str">
        <f aca="false">IF(OR(H348="",C348=""),"",IF(F348="İptal",0,H348*IFERROR(INDEX(Ürünler!$B$5:$B$64,MATCH(C348,Ürünler!$A$5:$A$64,0)),0)-G348))</f>
        <v/>
      </c>
      <c r="J348" s="18" t="str">
        <f aca="false">IF(OR(H348="",C348="",F348="İptal"),"",IF(COUNTIFS($C$5:$C$1504,C348,$D$5:$D$1504,"&lt;="&amp;E348,$E$5:$E$1504,"&gt;="&amp;D348,$F$5:$F$1504,"&lt;&gt;İptal")&gt;1,"Çakışıyor",""))</f>
        <v/>
      </c>
    </row>
    <row r="349" customFormat="false" ht="15" hidden="false" customHeight="false" outlineLevel="0" collapsed="false">
      <c r="A349" s="12"/>
      <c r="B349" s="12"/>
      <c r="C349" s="13"/>
      <c r="D349" s="14"/>
      <c r="E349" s="14"/>
      <c r="F349" s="13"/>
      <c r="G349" s="15"/>
      <c r="H349" s="16" t="str">
        <f aca="false">IF(OR(D349="",E349="",E349&lt;D349),"",E349-D349+1)</f>
        <v/>
      </c>
      <c r="I349" s="17" t="str">
        <f aca="false">IF(OR(H349="",C349=""),"",IF(F349="İptal",0,H349*IFERROR(INDEX(Ürünler!$B$5:$B$64,MATCH(C349,Ürünler!$A$5:$A$64,0)),0)-G349))</f>
        <v/>
      </c>
      <c r="J349" s="18" t="str">
        <f aca="false">IF(OR(H349="",C349="",F349="İptal"),"",IF(COUNTIFS($C$5:$C$1504,C349,$D$5:$D$1504,"&lt;="&amp;E349,$E$5:$E$1504,"&gt;="&amp;D349,$F$5:$F$1504,"&lt;&gt;İptal")&gt;1,"Çakışıyor",""))</f>
        <v/>
      </c>
    </row>
    <row r="350" customFormat="false" ht="15" hidden="false" customHeight="false" outlineLevel="0" collapsed="false">
      <c r="A350" s="12"/>
      <c r="B350" s="12"/>
      <c r="C350" s="13"/>
      <c r="D350" s="14"/>
      <c r="E350" s="14"/>
      <c r="F350" s="13"/>
      <c r="G350" s="15"/>
      <c r="H350" s="16" t="str">
        <f aca="false">IF(OR(D350="",E350="",E350&lt;D350),"",E350-D350+1)</f>
        <v/>
      </c>
      <c r="I350" s="17" t="str">
        <f aca="false">IF(OR(H350="",C350=""),"",IF(F350="İptal",0,H350*IFERROR(INDEX(Ürünler!$B$5:$B$64,MATCH(C350,Ürünler!$A$5:$A$64,0)),0)-G350))</f>
        <v/>
      </c>
      <c r="J350" s="18" t="str">
        <f aca="false">IF(OR(H350="",C350="",F350="İptal"),"",IF(COUNTIFS($C$5:$C$1504,C350,$D$5:$D$1504,"&lt;="&amp;E350,$E$5:$E$1504,"&gt;="&amp;D350,$F$5:$F$1504,"&lt;&gt;İptal")&gt;1,"Çakışıyor",""))</f>
        <v/>
      </c>
    </row>
    <row r="351" customFormat="false" ht="15" hidden="false" customHeight="false" outlineLevel="0" collapsed="false">
      <c r="A351" s="12"/>
      <c r="B351" s="12"/>
      <c r="C351" s="13"/>
      <c r="D351" s="14"/>
      <c r="E351" s="14"/>
      <c r="F351" s="13"/>
      <c r="G351" s="15"/>
      <c r="H351" s="16" t="str">
        <f aca="false">IF(OR(D351="",E351="",E351&lt;D351),"",E351-D351+1)</f>
        <v/>
      </c>
      <c r="I351" s="17" t="str">
        <f aca="false">IF(OR(H351="",C351=""),"",IF(F351="İptal",0,H351*IFERROR(INDEX(Ürünler!$B$5:$B$64,MATCH(C351,Ürünler!$A$5:$A$64,0)),0)-G351))</f>
        <v/>
      </c>
      <c r="J351" s="18" t="str">
        <f aca="false">IF(OR(H351="",C351="",F351="İptal"),"",IF(COUNTIFS($C$5:$C$1504,C351,$D$5:$D$1504,"&lt;="&amp;E351,$E$5:$E$1504,"&gt;="&amp;D351,$F$5:$F$1504,"&lt;&gt;İptal")&gt;1,"Çakışıyor",""))</f>
        <v/>
      </c>
    </row>
    <row r="352" customFormat="false" ht="15" hidden="false" customHeight="false" outlineLevel="0" collapsed="false">
      <c r="A352" s="12"/>
      <c r="B352" s="12"/>
      <c r="C352" s="13"/>
      <c r="D352" s="14"/>
      <c r="E352" s="14"/>
      <c r="F352" s="13"/>
      <c r="G352" s="15"/>
      <c r="H352" s="16" t="str">
        <f aca="false">IF(OR(D352="",E352="",E352&lt;D352),"",E352-D352+1)</f>
        <v/>
      </c>
      <c r="I352" s="17" t="str">
        <f aca="false">IF(OR(H352="",C352=""),"",IF(F352="İptal",0,H352*IFERROR(INDEX(Ürünler!$B$5:$B$64,MATCH(C352,Ürünler!$A$5:$A$64,0)),0)-G352))</f>
        <v/>
      </c>
      <c r="J352" s="18" t="str">
        <f aca="false">IF(OR(H352="",C352="",F352="İptal"),"",IF(COUNTIFS($C$5:$C$1504,C352,$D$5:$D$1504,"&lt;="&amp;E352,$E$5:$E$1504,"&gt;="&amp;D352,$F$5:$F$1504,"&lt;&gt;İptal")&gt;1,"Çakışıyor",""))</f>
        <v/>
      </c>
    </row>
    <row r="353" customFormat="false" ht="15" hidden="false" customHeight="false" outlineLevel="0" collapsed="false">
      <c r="A353" s="12"/>
      <c r="B353" s="12"/>
      <c r="C353" s="13"/>
      <c r="D353" s="14"/>
      <c r="E353" s="14"/>
      <c r="F353" s="13"/>
      <c r="G353" s="15"/>
      <c r="H353" s="16" t="str">
        <f aca="false">IF(OR(D353="",E353="",E353&lt;D353),"",E353-D353+1)</f>
        <v/>
      </c>
      <c r="I353" s="17" t="str">
        <f aca="false">IF(OR(H353="",C353=""),"",IF(F353="İptal",0,H353*IFERROR(INDEX(Ürünler!$B$5:$B$64,MATCH(C353,Ürünler!$A$5:$A$64,0)),0)-G353))</f>
        <v/>
      </c>
      <c r="J353" s="18" t="str">
        <f aca="false">IF(OR(H353="",C353="",F353="İptal"),"",IF(COUNTIFS($C$5:$C$1504,C353,$D$5:$D$1504,"&lt;="&amp;E353,$E$5:$E$1504,"&gt;="&amp;D353,$F$5:$F$1504,"&lt;&gt;İptal")&gt;1,"Çakışıyor",""))</f>
        <v/>
      </c>
    </row>
    <row r="354" customFormat="false" ht="15" hidden="false" customHeight="false" outlineLevel="0" collapsed="false">
      <c r="A354" s="12"/>
      <c r="B354" s="12"/>
      <c r="C354" s="13"/>
      <c r="D354" s="14"/>
      <c r="E354" s="14"/>
      <c r="F354" s="13"/>
      <c r="G354" s="15"/>
      <c r="H354" s="16" t="str">
        <f aca="false">IF(OR(D354="",E354="",E354&lt;D354),"",E354-D354+1)</f>
        <v/>
      </c>
      <c r="I354" s="17" t="str">
        <f aca="false">IF(OR(H354="",C354=""),"",IF(F354="İptal",0,H354*IFERROR(INDEX(Ürünler!$B$5:$B$64,MATCH(C354,Ürünler!$A$5:$A$64,0)),0)-G354))</f>
        <v/>
      </c>
      <c r="J354" s="18" t="str">
        <f aca="false">IF(OR(H354="",C354="",F354="İptal"),"",IF(COUNTIFS($C$5:$C$1504,C354,$D$5:$D$1504,"&lt;="&amp;E354,$E$5:$E$1504,"&gt;="&amp;D354,$F$5:$F$1504,"&lt;&gt;İptal")&gt;1,"Çakışıyor",""))</f>
        <v/>
      </c>
    </row>
    <row r="355" customFormat="false" ht="15" hidden="false" customHeight="false" outlineLevel="0" collapsed="false">
      <c r="A355" s="12"/>
      <c r="B355" s="12"/>
      <c r="C355" s="13"/>
      <c r="D355" s="14"/>
      <c r="E355" s="14"/>
      <c r="F355" s="13"/>
      <c r="G355" s="15"/>
      <c r="H355" s="16" t="str">
        <f aca="false">IF(OR(D355="",E355="",E355&lt;D355),"",E355-D355+1)</f>
        <v/>
      </c>
      <c r="I355" s="17" t="str">
        <f aca="false">IF(OR(H355="",C355=""),"",IF(F355="İptal",0,H355*IFERROR(INDEX(Ürünler!$B$5:$B$64,MATCH(C355,Ürünler!$A$5:$A$64,0)),0)-G355))</f>
        <v/>
      </c>
      <c r="J355" s="18" t="str">
        <f aca="false">IF(OR(H355="",C355="",F355="İptal"),"",IF(COUNTIFS($C$5:$C$1504,C355,$D$5:$D$1504,"&lt;="&amp;E355,$E$5:$E$1504,"&gt;="&amp;D355,$F$5:$F$1504,"&lt;&gt;İptal")&gt;1,"Çakışıyor",""))</f>
        <v/>
      </c>
    </row>
    <row r="356" customFormat="false" ht="15" hidden="false" customHeight="false" outlineLevel="0" collapsed="false">
      <c r="A356" s="12"/>
      <c r="B356" s="12"/>
      <c r="C356" s="13"/>
      <c r="D356" s="14"/>
      <c r="E356" s="14"/>
      <c r="F356" s="13"/>
      <c r="G356" s="15"/>
      <c r="H356" s="16" t="str">
        <f aca="false">IF(OR(D356="",E356="",E356&lt;D356),"",E356-D356+1)</f>
        <v/>
      </c>
      <c r="I356" s="17" t="str">
        <f aca="false">IF(OR(H356="",C356=""),"",IF(F356="İptal",0,H356*IFERROR(INDEX(Ürünler!$B$5:$B$64,MATCH(C356,Ürünler!$A$5:$A$64,0)),0)-G356))</f>
        <v/>
      </c>
      <c r="J356" s="18" t="str">
        <f aca="false">IF(OR(H356="",C356="",F356="İptal"),"",IF(COUNTIFS($C$5:$C$1504,C356,$D$5:$D$1504,"&lt;="&amp;E356,$E$5:$E$1504,"&gt;="&amp;D356,$F$5:$F$1504,"&lt;&gt;İptal")&gt;1,"Çakışıyor",""))</f>
        <v/>
      </c>
    </row>
    <row r="357" customFormat="false" ht="15" hidden="false" customHeight="false" outlineLevel="0" collapsed="false">
      <c r="A357" s="12"/>
      <c r="B357" s="12"/>
      <c r="C357" s="13"/>
      <c r="D357" s="14"/>
      <c r="E357" s="14"/>
      <c r="F357" s="13"/>
      <c r="G357" s="15"/>
      <c r="H357" s="16" t="str">
        <f aca="false">IF(OR(D357="",E357="",E357&lt;D357),"",E357-D357+1)</f>
        <v/>
      </c>
      <c r="I357" s="17" t="str">
        <f aca="false">IF(OR(H357="",C357=""),"",IF(F357="İptal",0,H357*IFERROR(INDEX(Ürünler!$B$5:$B$64,MATCH(C357,Ürünler!$A$5:$A$64,0)),0)-G357))</f>
        <v/>
      </c>
      <c r="J357" s="18" t="str">
        <f aca="false">IF(OR(H357="",C357="",F357="İptal"),"",IF(COUNTIFS($C$5:$C$1504,C357,$D$5:$D$1504,"&lt;="&amp;E357,$E$5:$E$1504,"&gt;="&amp;D357,$F$5:$F$1504,"&lt;&gt;İptal")&gt;1,"Çakışıyor",""))</f>
        <v/>
      </c>
    </row>
    <row r="358" customFormat="false" ht="15" hidden="false" customHeight="false" outlineLevel="0" collapsed="false">
      <c r="A358" s="12"/>
      <c r="B358" s="12"/>
      <c r="C358" s="13"/>
      <c r="D358" s="14"/>
      <c r="E358" s="14"/>
      <c r="F358" s="13"/>
      <c r="G358" s="15"/>
      <c r="H358" s="16" t="str">
        <f aca="false">IF(OR(D358="",E358="",E358&lt;D358),"",E358-D358+1)</f>
        <v/>
      </c>
      <c r="I358" s="17" t="str">
        <f aca="false">IF(OR(H358="",C358=""),"",IF(F358="İptal",0,H358*IFERROR(INDEX(Ürünler!$B$5:$B$64,MATCH(C358,Ürünler!$A$5:$A$64,0)),0)-G358))</f>
        <v/>
      </c>
      <c r="J358" s="18" t="str">
        <f aca="false">IF(OR(H358="",C358="",F358="İptal"),"",IF(COUNTIFS($C$5:$C$1504,C358,$D$5:$D$1504,"&lt;="&amp;E358,$E$5:$E$1504,"&gt;="&amp;D358,$F$5:$F$1504,"&lt;&gt;İptal")&gt;1,"Çakışıyor",""))</f>
        <v/>
      </c>
    </row>
    <row r="359" customFormat="false" ht="15" hidden="false" customHeight="false" outlineLevel="0" collapsed="false">
      <c r="A359" s="12"/>
      <c r="B359" s="12"/>
      <c r="C359" s="13"/>
      <c r="D359" s="14"/>
      <c r="E359" s="14"/>
      <c r="F359" s="13"/>
      <c r="G359" s="15"/>
      <c r="H359" s="16" t="str">
        <f aca="false">IF(OR(D359="",E359="",E359&lt;D359),"",E359-D359+1)</f>
        <v/>
      </c>
      <c r="I359" s="17" t="str">
        <f aca="false">IF(OR(H359="",C359=""),"",IF(F359="İptal",0,H359*IFERROR(INDEX(Ürünler!$B$5:$B$64,MATCH(C359,Ürünler!$A$5:$A$64,0)),0)-G359))</f>
        <v/>
      </c>
      <c r="J359" s="18" t="str">
        <f aca="false">IF(OR(H359="",C359="",F359="İptal"),"",IF(COUNTIFS($C$5:$C$1504,C359,$D$5:$D$1504,"&lt;="&amp;E359,$E$5:$E$1504,"&gt;="&amp;D359,$F$5:$F$1504,"&lt;&gt;İptal")&gt;1,"Çakışıyor",""))</f>
        <v/>
      </c>
    </row>
    <row r="360" customFormat="false" ht="15" hidden="false" customHeight="false" outlineLevel="0" collapsed="false">
      <c r="A360" s="12"/>
      <c r="B360" s="12"/>
      <c r="C360" s="13"/>
      <c r="D360" s="14"/>
      <c r="E360" s="14"/>
      <c r="F360" s="13"/>
      <c r="G360" s="15"/>
      <c r="H360" s="16" t="str">
        <f aca="false">IF(OR(D360="",E360="",E360&lt;D360),"",E360-D360+1)</f>
        <v/>
      </c>
      <c r="I360" s="17" t="str">
        <f aca="false">IF(OR(H360="",C360=""),"",IF(F360="İptal",0,H360*IFERROR(INDEX(Ürünler!$B$5:$B$64,MATCH(C360,Ürünler!$A$5:$A$64,0)),0)-G360))</f>
        <v/>
      </c>
      <c r="J360" s="18" t="str">
        <f aca="false">IF(OR(H360="",C360="",F360="İptal"),"",IF(COUNTIFS($C$5:$C$1504,C360,$D$5:$D$1504,"&lt;="&amp;E360,$E$5:$E$1504,"&gt;="&amp;D360,$F$5:$F$1504,"&lt;&gt;İptal")&gt;1,"Çakışıyor",""))</f>
        <v/>
      </c>
    </row>
    <row r="361" customFormat="false" ht="15" hidden="false" customHeight="false" outlineLevel="0" collapsed="false">
      <c r="A361" s="12"/>
      <c r="B361" s="12"/>
      <c r="C361" s="13"/>
      <c r="D361" s="14"/>
      <c r="E361" s="14"/>
      <c r="F361" s="13"/>
      <c r="G361" s="15"/>
      <c r="H361" s="16" t="str">
        <f aca="false">IF(OR(D361="",E361="",E361&lt;D361),"",E361-D361+1)</f>
        <v/>
      </c>
      <c r="I361" s="17" t="str">
        <f aca="false">IF(OR(H361="",C361=""),"",IF(F361="İptal",0,H361*IFERROR(INDEX(Ürünler!$B$5:$B$64,MATCH(C361,Ürünler!$A$5:$A$64,0)),0)-G361))</f>
        <v/>
      </c>
      <c r="J361" s="18" t="str">
        <f aca="false">IF(OR(H361="",C361="",F361="İptal"),"",IF(COUNTIFS($C$5:$C$1504,C361,$D$5:$D$1504,"&lt;="&amp;E361,$E$5:$E$1504,"&gt;="&amp;D361,$F$5:$F$1504,"&lt;&gt;İptal")&gt;1,"Çakışıyor",""))</f>
        <v/>
      </c>
    </row>
    <row r="362" customFormat="false" ht="15" hidden="false" customHeight="false" outlineLevel="0" collapsed="false">
      <c r="A362" s="12"/>
      <c r="B362" s="12"/>
      <c r="C362" s="13"/>
      <c r="D362" s="14"/>
      <c r="E362" s="14"/>
      <c r="F362" s="13"/>
      <c r="G362" s="15"/>
      <c r="H362" s="16" t="str">
        <f aca="false">IF(OR(D362="",E362="",E362&lt;D362),"",E362-D362+1)</f>
        <v/>
      </c>
      <c r="I362" s="17" t="str">
        <f aca="false">IF(OR(H362="",C362=""),"",IF(F362="İptal",0,H362*IFERROR(INDEX(Ürünler!$B$5:$B$64,MATCH(C362,Ürünler!$A$5:$A$64,0)),0)-G362))</f>
        <v/>
      </c>
      <c r="J362" s="18" t="str">
        <f aca="false">IF(OR(H362="",C362="",F362="İptal"),"",IF(COUNTIFS($C$5:$C$1504,C362,$D$5:$D$1504,"&lt;="&amp;E362,$E$5:$E$1504,"&gt;="&amp;D362,$F$5:$F$1504,"&lt;&gt;İptal")&gt;1,"Çakışıyor",""))</f>
        <v/>
      </c>
    </row>
    <row r="363" customFormat="false" ht="15" hidden="false" customHeight="false" outlineLevel="0" collapsed="false">
      <c r="A363" s="12"/>
      <c r="B363" s="12"/>
      <c r="C363" s="13"/>
      <c r="D363" s="14"/>
      <c r="E363" s="14"/>
      <c r="F363" s="13"/>
      <c r="G363" s="15"/>
      <c r="H363" s="16" t="str">
        <f aca="false">IF(OR(D363="",E363="",E363&lt;D363),"",E363-D363+1)</f>
        <v/>
      </c>
      <c r="I363" s="17" t="str">
        <f aca="false">IF(OR(H363="",C363=""),"",IF(F363="İptal",0,H363*IFERROR(INDEX(Ürünler!$B$5:$B$64,MATCH(C363,Ürünler!$A$5:$A$64,0)),0)-G363))</f>
        <v/>
      </c>
      <c r="J363" s="18" t="str">
        <f aca="false">IF(OR(H363="",C363="",F363="İptal"),"",IF(COUNTIFS($C$5:$C$1504,C363,$D$5:$D$1504,"&lt;="&amp;E363,$E$5:$E$1504,"&gt;="&amp;D363,$F$5:$F$1504,"&lt;&gt;İptal")&gt;1,"Çakışıyor",""))</f>
        <v/>
      </c>
    </row>
    <row r="364" customFormat="false" ht="15" hidden="false" customHeight="false" outlineLevel="0" collapsed="false">
      <c r="A364" s="12"/>
      <c r="B364" s="12"/>
      <c r="C364" s="13"/>
      <c r="D364" s="14"/>
      <c r="E364" s="14"/>
      <c r="F364" s="13"/>
      <c r="G364" s="15"/>
      <c r="H364" s="16" t="str">
        <f aca="false">IF(OR(D364="",E364="",E364&lt;D364),"",E364-D364+1)</f>
        <v/>
      </c>
      <c r="I364" s="17" t="str">
        <f aca="false">IF(OR(H364="",C364=""),"",IF(F364="İptal",0,H364*IFERROR(INDEX(Ürünler!$B$5:$B$64,MATCH(C364,Ürünler!$A$5:$A$64,0)),0)-G364))</f>
        <v/>
      </c>
      <c r="J364" s="18" t="str">
        <f aca="false">IF(OR(H364="",C364="",F364="İptal"),"",IF(COUNTIFS($C$5:$C$1504,C364,$D$5:$D$1504,"&lt;="&amp;E364,$E$5:$E$1504,"&gt;="&amp;D364,$F$5:$F$1504,"&lt;&gt;İptal")&gt;1,"Çakışıyor",""))</f>
        <v/>
      </c>
    </row>
    <row r="365" customFormat="false" ht="15" hidden="false" customHeight="false" outlineLevel="0" collapsed="false">
      <c r="A365" s="12"/>
      <c r="B365" s="12"/>
      <c r="C365" s="13"/>
      <c r="D365" s="14"/>
      <c r="E365" s="14"/>
      <c r="F365" s="13"/>
      <c r="G365" s="15"/>
      <c r="H365" s="16" t="str">
        <f aca="false">IF(OR(D365="",E365="",E365&lt;D365),"",E365-D365+1)</f>
        <v/>
      </c>
      <c r="I365" s="17" t="str">
        <f aca="false">IF(OR(H365="",C365=""),"",IF(F365="İptal",0,H365*IFERROR(INDEX(Ürünler!$B$5:$B$64,MATCH(C365,Ürünler!$A$5:$A$64,0)),0)-G365))</f>
        <v/>
      </c>
      <c r="J365" s="18" t="str">
        <f aca="false">IF(OR(H365="",C365="",F365="İptal"),"",IF(COUNTIFS($C$5:$C$1504,C365,$D$5:$D$1504,"&lt;="&amp;E365,$E$5:$E$1504,"&gt;="&amp;D365,$F$5:$F$1504,"&lt;&gt;İptal")&gt;1,"Çakışıyor",""))</f>
        <v/>
      </c>
    </row>
    <row r="366" customFormat="false" ht="15" hidden="false" customHeight="false" outlineLevel="0" collapsed="false">
      <c r="A366" s="12"/>
      <c r="B366" s="12"/>
      <c r="C366" s="13"/>
      <c r="D366" s="14"/>
      <c r="E366" s="14"/>
      <c r="F366" s="13"/>
      <c r="G366" s="15"/>
      <c r="H366" s="16" t="str">
        <f aca="false">IF(OR(D366="",E366="",E366&lt;D366),"",E366-D366+1)</f>
        <v/>
      </c>
      <c r="I366" s="17" t="str">
        <f aca="false">IF(OR(H366="",C366=""),"",IF(F366="İptal",0,H366*IFERROR(INDEX(Ürünler!$B$5:$B$64,MATCH(C366,Ürünler!$A$5:$A$64,0)),0)-G366))</f>
        <v/>
      </c>
      <c r="J366" s="18" t="str">
        <f aca="false">IF(OR(H366="",C366="",F366="İptal"),"",IF(COUNTIFS($C$5:$C$1504,C366,$D$5:$D$1504,"&lt;="&amp;E366,$E$5:$E$1504,"&gt;="&amp;D366,$F$5:$F$1504,"&lt;&gt;İptal")&gt;1,"Çakışıyor",""))</f>
        <v/>
      </c>
    </row>
    <row r="367" customFormat="false" ht="15" hidden="false" customHeight="false" outlineLevel="0" collapsed="false">
      <c r="A367" s="12"/>
      <c r="B367" s="12"/>
      <c r="C367" s="13"/>
      <c r="D367" s="14"/>
      <c r="E367" s="14"/>
      <c r="F367" s="13"/>
      <c r="G367" s="15"/>
      <c r="H367" s="16" t="str">
        <f aca="false">IF(OR(D367="",E367="",E367&lt;D367),"",E367-D367+1)</f>
        <v/>
      </c>
      <c r="I367" s="17" t="str">
        <f aca="false">IF(OR(H367="",C367=""),"",IF(F367="İptal",0,H367*IFERROR(INDEX(Ürünler!$B$5:$B$64,MATCH(C367,Ürünler!$A$5:$A$64,0)),0)-G367))</f>
        <v/>
      </c>
      <c r="J367" s="18" t="str">
        <f aca="false">IF(OR(H367="",C367="",F367="İptal"),"",IF(COUNTIFS($C$5:$C$1504,C367,$D$5:$D$1504,"&lt;="&amp;E367,$E$5:$E$1504,"&gt;="&amp;D367,$F$5:$F$1504,"&lt;&gt;İptal")&gt;1,"Çakışıyor",""))</f>
        <v/>
      </c>
    </row>
    <row r="368" customFormat="false" ht="15" hidden="false" customHeight="false" outlineLevel="0" collapsed="false">
      <c r="A368" s="12"/>
      <c r="B368" s="12"/>
      <c r="C368" s="13"/>
      <c r="D368" s="14"/>
      <c r="E368" s="14"/>
      <c r="F368" s="13"/>
      <c r="G368" s="15"/>
      <c r="H368" s="16" t="str">
        <f aca="false">IF(OR(D368="",E368="",E368&lt;D368),"",E368-D368+1)</f>
        <v/>
      </c>
      <c r="I368" s="17" t="str">
        <f aca="false">IF(OR(H368="",C368=""),"",IF(F368="İptal",0,H368*IFERROR(INDEX(Ürünler!$B$5:$B$64,MATCH(C368,Ürünler!$A$5:$A$64,0)),0)-G368))</f>
        <v/>
      </c>
      <c r="J368" s="18" t="str">
        <f aca="false">IF(OR(H368="",C368="",F368="İptal"),"",IF(COUNTIFS($C$5:$C$1504,C368,$D$5:$D$1504,"&lt;="&amp;E368,$E$5:$E$1504,"&gt;="&amp;D368,$F$5:$F$1504,"&lt;&gt;İptal")&gt;1,"Çakışıyor",""))</f>
        <v/>
      </c>
    </row>
    <row r="369" customFormat="false" ht="15" hidden="false" customHeight="false" outlineLevel="0" collapsed="false">
      <c r="A369" s="12"/>
      <c r="B369" s="12"/>
      <c r="C369" s="13"/>
      <c r="D369" s="14"/>
      <c r="E369" s="14"/>
      <c r="F369" s="13"/>
      <c r="G369" s="15"/>
      <c r="H369" s="16" t="str">
        <f aca="false">IF(OR(D369="",E369="",E369&lt;D369),"",E369-D369+1)</f>
        <v/>
      </c>
      <c r="I369" s="17" t="str">
        <f aca="false">IF(OR(H369="",C369=""),"",IF(F369="İptal",0,H369*IFERROR(INDEX(Ürünler!$B$5:$B$64,MATCH(C369,Ürünler!$A$5:$A$64,0)),0)-G369))</f>
        <v/>
      </c>
      <c r="J369" s="18" t="str">
        <f aca="false">IF(OR(H369="",C369="",F369="İptal"),"",IF(COUNTIFS($C$5:$C$1504,C369,$D$5:$D$1504,"&lt;="&amp;E369,$E$5:$E$1504,"&gt;="&amp;D369,$F$5:$F$1504,"&lt;&gt;İptal")&gt;1,"Çakışıyor",""))</f>
        <v/>
      </c>
    </row>
    <row r="370" customFormat="false" ht="15" hidden="false" customHeight="false" outlineLevel="0" collapsed="false">
      <c r="A370" s="12"/>
      <c r="B370" s="12"/>
      <c r="C370" s="13"/>
      <c r="D370" s="14"/>
      <c r="E370" s="14"/>
      <c r="F370" s="13"/>
      <c r="G370" s="15"/>
      <c r="H370" s="16" t="str">
        <f aca="false">IF(OR(D370="",E370="",E370&lt;D370),"",E370-D370+1)</f>
        <v/>
      </c>
      <c r="I370" s="17" t="str">
        <f aca="false">IF(OR(H370="",C370=""),"",IF(F370="İptal",0,H370*IFERROR(INDEX(Ürünler!$B$5:$B$64,MATCH(C370,Ürünler!$A$5:$A$64,0)),0)-G370))</f>
        <v/>
      </c>
      <c r="J370" s="18" t="str">
        <f aca="false">IF(OR(H370="",C370="",F370="İptal"),"",IF(COUNTIFS($C$5:$C$1504,C370,$D$5:$D$1504,"&lt;="&amp;E370,$E$5:$E$1504,"&gt;="&amp;D370,$F$5:$F$1504,"&lt;&gt;İptal")&gt;1,"Çakışıyor",""))</f>
        <v/>
      </c>
    </row>
    <row r="371" customFormat="false" ht="15" hidden="false" customHeight="false" outlineLevel="0" collapsed="false">
      <c r="A371" s="12"/>
      <c r="B371" s="12"/>
      <c r="C371" s="13"/>
      <c r="D371" s="14"/>
      <c r="E371" s="14"/>
      <c r="F371" s="13"/>
      <c r="G371" s="15"/>
      <c r="H371" s="16" t="str">
        <f aca="false">IF(OR(D371="",E371="",E371&lt;D371),"",E371-D371+1)</f>
        <v/>
      </c>
      <c r="I371" s="17" t="str">
        <f aca="false">IF(OR(H371="",C371=""),"",IF(F371="İptal",0,H371*IFERROR(INDEX(Ürünler!$B$5:$B$64,MATCH(C371,Ürünler!$A$5:$A$64,0)),0)-G371))</f>
        <v/>
      </c>
      <c r="J371" s="18" t="str">
        <f aca="false">IF(OR(H371="",C371="",F371="İptal"),"",IF(COUNTIFS($C$5:$C$1504,C371,$D$5:$D$1504,"&lt;="&amp;E371,$E$5:$E$1504,"&gt;="&amp;D371,$F$5:$F$1504,"&lt;&gt;İptal")&gt;1,"Çakışıyor",""))</f>
        <v/>
      </c>
    </row>
    <row r="372" customFormat="false" ht="15" hidden="false" customHeight="false" outlineLevel="0" collapsed="false">
      <c r="A372" s="12"/>
      <c r="B372" s="12"/>
      <c r="C372" s="13"/>
      <c r="D372" s="14"/>
      <c r="E372" s="14"/>
      <c r="F372" s="13"/>
      <c r="G372" s="15"/>
      <c r="H372" s="16" t="str">
        <f aca="false">IF(OR(D372="",E372="",E372&lt;D372),"",E372-D372+1)</f>
        <v/>
      </c>
      <c r="I372" s="17" t="str">
        <f aca="false">IF(OR(H372="",C372=""),"",IF(F372="İptal",0,H372*IFERROR(INDEX(Ürünler!$B$5:$B$64,MATCH(C372,Ürünler!$A$5:$A$64,0)),0)-G372))</f>
        <v/>
      </c>
      <c r="J372" s="18" t="str">
        <f aca="false">IF(OR(H372="",C372="",F372="İptal"),"",IF(COUNTIFS($C$5:$C$1504,C372,$D$5:$D$1504,"&lt;="&amp;E372,$E$5:$E$1504,"&gt;="&amp;D372,$F$5:$F$1504,"&lt;&gt;İptal")&gt;1,"Çakışıyor",""))</f>
        <v/>
      </c>
    </row>
    <row r="373" customFormat="false" ht="15" hidden="false" customHeight="false" outlineLevel="0" collapsed="false">
      <c r="A373" s="12"/>
      <c r="B373" s="12"/>
      <c r="C373" s="13"/>
      <c r="D373" s="14"/>
      <c r="E373" s="14"/>
      <c r="F373" s="13"/>
      <c r="G373" s="15"/>
      <c r="H373" s="16" t="str">
        <f aca="false">IF(OR(D373="",E373="",E373&lt;D373),"",E373-D373+1)</f>
        <v/>
      </c>
      <c r="I373" s="17" t="str">
        <f aca="false">IF(OR(H373="",C373=""),"",IF(F373="İptal",0,H373*IFERROR(INDEX(Ürünler!$B$5:$B$64,MATCH(C373,Ürünler!$A$5:$A$64,0)),0)-G373))</f>
        <v/>
      </c>
      <c r="J373" s="18" t="str">
        <f aca="false">IF(OR(H373="",C373="",F373="İptal"),"",IF(COUNTIFS($C$5:$C$1504,C373,$D$5:$D$1504,"&lt;="&amp;E373,$E$5:$E$1504,"&gt;="&amp;D373,$F$5:$F$1504,"&lt;&gt;İptal")&gt;1,"Çakışıyor",""))</f>
        <v/>
      </c>
    </row>
    <row r="374" customFormat="false" ht="15" hidden="false" customHeight="false" outlineLevel="0" collapsed="false">
      <c r="A374" s="12"/>
      <c r="B374" s="12"/>
      <c r="C374" s="13"/>
      <c r="D374" s="14"/>
      <c r="E374" s="14"/>
      <c r="F374" s="13"/>
      <c r="G374" s="15"/>
      <c r="H374" s="16" t="str">
        <f aca="false">IF(OR(D374="",E374="",E374&lt;D374),"",E374-D374+1)</f>
        <v/>
      </c>
      <c r="I374" s="17" t="str">
        <f aca="false">IF(OR(H374="",C374=""),"",IF(F374="İptal",0,H374*IFERROR(INDEX(Ürünler!$B$5:$B$64,MATCH(C374,Ürünler!$A$5:$A$64,0)),0)-G374))</f>
        <v/>
      </c>
      <c r="J374" s="18" t="str">
        <f aca="false">IF(OR(H374="",C374="",F374="İptal"),"",IF(COUNTIFS($C$5:$C$1504,C374,$D$5:$D$1504,"&lt;="&amp;E374,$E$5:$E$1504,"&gt;="&amp;D374,$F$5:$F$1504,"&lt;&gt;İptal")&gt;1,"Çakışıyor",""))</f>
        <v/>
      </c>
    </row>
    <row r="375" customFormat="false" ht="15" hidden="false" customHeight="false" outlineLevel="0" collapsed="false">
      <c r="A375" s="12"/>
      <c r="B375" s="12"/>
      <c r="C375" s="13"/>
      <c r="D375" s="14"/>
      <c r="E375" s="14"/>
      <c r="F375" s="13"/>
      <c r="G375" s="15"/>
      <c r="H375" s="16" t="str">
        <f aca="false">IF(OR(D375="",E375="",E375&lt;D375),"",E375-D375+1)</f>
        <v/>
      </c>
      <c r="I375" s="17" t="str">
        <f aca="false">IF(OR(H375="",C375=""),"",IF(F375="İptal",0,H375*IFERROR(INDEX(Ürünler!$B$5:$B$64,MATCH(C375,Ürünler!$A$5:$A$64,0)),0)-G375))</f>
        <v/>
      </c>
      <c r="J375" s="18" t="str">
        <f aca="false">IF(OR(H375="",C375="",F375="İptal"),"",IF(COUNTIFS($C$5:$C$1504,C375,$D$5:$D$1504,"&lt;="&amp;E375,$E$5:$E$1504,"&gt;="&amp;D375,$F$5:$F$1504,"&lt;&gt;İptal")&gt;1,"Çakışıyor",""))</f>
        <v/>
      </c>
    </row>
    <row r="376" customFormat="false" ht="15" hidden="false" customHeight="false" outlineLevel="0" collapsed="false">
      <c r="A376" s="12"/>
      <c r="B376" s="12"/>
      <c r="C376" s="13"/>
      <c r="D376" s="14"/>
      <c r="E376" s="14"/>
      <c r="F376" s="13"/>
      <c r="G376" s="15"/>
      <c r="H376" s="16" t="str">
        <f aca="false">IF(OR(D376="",E376="",E376&lt;D376),"",E376-D376+1)</f>
        <v/>
      </c>
      <c r="I376" s="17" t="str">
        <f aca="false">IF(OR(H376="",C376=""),"",IF(F376="İptal",0,H376*IFERROR(INDEX(Ürünler!$B$5:$B$64,MATCH(C376,Ürünler!$A$5:$A$64,0)),0)-G376))</f>
        <v/>
      </c>
      <c r="J376" s="18" t="str">
        <f aca="false">IF(OR(H376="",C376="",F376="İptal"),"",IF(COUNTIFS($C$5:$C$1504,C376,$D$5:$D$1504,"&lt;="&amp;E376,$E$5:$E$1504,"&gt;="&amp;D376,$F$5:$F$1504,"&lt;&gt;İptal")&gt;1,"Çakışıyor",""))</f>
        <v/>
      </c>
    </row>
    <row r="377" customFormat="false" ht="15" hidden="false" customHeight="false" outlineLevel="0" collapsed="false">
      <c r="A377" s="12"/>
      <c r="B377" s="12"/>
      <c r="C377" s="13"/>
      <c r="D377" s="14"/>
      <c r="E377" s="14"/>
      <c r="F377" s="13"/>
      <c r="G377" s="15"/>
      <c r="H377" s="16" t="str">
        <f aca="false">IF(OR(D377="",E377="",E377&lt;D377),"",E377-D377+1)</f>
        <v/>
      </c>
      <c r="I377" s="17" t="str">
        <f aca="false">IF(OR(H377="",C377=""),"",IF(F377="İptal",0,H377*IFERROR(INDEX(Ürünler!$B$5:$B$64,MATCH(C377,Ürünler!$A$5:$A$64,0)),0)-G377))</f>
        <v/>
      </c>
      <c r="J377" s="18" t="str">
        <f aca="false">IF(OR(H377="",C377="",F377="İptal"),"",IF(COUNTIFS($C$5:$C$1504,C377,$D$5:$D$1504,"&lt;="&amp;E377,$E$5:$E$1504,"&gt;="&amp;D377,$F$5:$F$1504,"&lt;&gt;İptal")&gt;1,"Çakışıyor",""))</f>
        <v/>
      </c>
    </row>
    <row r="378" customFormat="false" ht="15" hidden="false" customHeight="false" outlineLevel="0" collapsed="false">
      <c r="A378" s="12"/>
      <c r="B378" s="12"/>
      <c r="C378" s="13"/>
      <c r="D378" s="14"/>
      <c r="E378" s="14"/>
      <c r="F378" s="13"/>
      <c r="G378" s="15"/>
      <c r="H378" s="16" t="str">
        <f aca="false">IF(OR(D378="",E378="",E378&lt;D378),"",E378-D378+1)</f>
        <v/>
      </c>
      <c r="I378" s="17" t="str">
        <f aca="false">IF(OR(H378="",C378=""),"",IF(F378="İptal",0,H378*IFERROR(INDEX(Ürünler!$B$5:$B$64,MATCH(C378,Ürünler!$A$5:$A$64,0)),0)-G378))</f>
        <v/>
      </c>
      <c r="J378" s="18" t="str">
        <f aca="false">IF(OR(H378="",C378="",F378="İptal"),"",IF(COUNTIFS($C$5:$C$1504,C378,$D$5:$D$1504,"&lt;="&amp;E378,$E$5:$E$1504,"&gt;="&amp;D378,$F$5:$F$1504,"&lt;&gt;İptal")&gt;1,"Çakışıyor",""))</f>
        <v/>
      </c>
    </row>
    <row r="379" customFormat="false" ht="15" hidden="false" customHeight="false" outlineLevel="0" collapsed="false">
      <c r="A379" s="12"/>
      <c r="B379" s="12"/>
      <c r="C379" s="13"/>
      <c r="D379" s="14"/>
      <c r="E379" s="14"/>
      <c r="F379" s="13"/>
      <c r="G379" s="15"/>
      <c r="H379" s="16" t="str">
        <f aca="false">IF(OR(D379="",E379="",E379&lt;D379),"",E379-D379+1)</f>
        <v/>
      </c>
      <c r="I379" s="17" t="str">
        <f aca="false">IF(OR(H379="",C379=""),"",IF(F379="İptal",0,H379*IFERROR(INDEX(Ürünler!$B$5:$B$64,MATCH(C379,Ürünler!$A$5:$A$64,0)),0)-G379))</f>
        <v/>
      </c>
      <c r="J379" s="18" t="str">
        <f aca="false">IF(OR(H379="",C379="",F379="İptal"),"",IF(COUNTIFS($C$5:$C$1504,C379,$D$5:$D$1504,"&lt;="&amp;E379,$E$5:$E$1504,"&gt;="&amp;D379,$F$5:$F$1504,"&lt;&gt;İptal")&gt;1,"Çakışıyor",""))</f>
        <v/>
      </c>
    </row>
    <row r="380" customFormat="false" ht="15" hidden="false" customHeight="false" outlineLevel="0" collapsed="false">
      <c r="A380" s="12"/>
      <c r="B380" s="12"/>
      <c r="C380" s="13"/>
      <c r="D380" s="14"/>
      <c r="E380" s="14"/>
      <c r="F380" s="13"/>
      <c r="G380" s="15"/>
      <c r="H380" s="16" t="str">
        <f aca="false">IF(OR(D380="",E380="",E380&lt;D380),"",E380-D380+1)</f>
        <v/>
      </c>
      <c r="I380" s="17" t="str">
        <f aca="false">IF(OR(H380="",C380=""),"",IF(F380="İptal",0,H380*IFERROR(INDEX(Ürünler!$B$5:$B$64,MATCH(C380,Ürünler!$A$5:$A$64,0)),0)-G380))</f>
        <v/>
      </c>
      <c r="J380" s="18" t="str">
        <f aca="false">IF(OR(H380="",C380="",F380="İptal"),"",IF(COUNTIFS($C$5:$C$1504,C380,$D$5:$D$1504,"&lt;="&amp;E380,$E$5:$E$1504,"&gt;="&amp;D380,$F$5:$F$1504,"&lt;&gt;İptal")&gt;1,"Çakışıyor",""))</f>
        <v/>
      </c>
    </row>
    <row r="381" customFormat="false" ht="15" hidden="false" customHeight="false" outlineLevel="0" collapsed="false">
      <c r="A381" s="12"/>
      <c r="B381" s="12"/>
      <c r="C381" s="13"/>
      <c r="D381" s="14"/>
      <c r="E381" s="14"/>
      <c r="F381" s="13"/>
      <c r="G381" s="15"/>
      <c r="H381" s="16" t="str">
        <f aca="false">IF(OR(D381="",E381="",E381&lt;D381),"",E381-D381+1)</f>
        <v/>
      </c>
      <c r="I381" s="17" t="str">
        <f aca="false">IF(OR(H381="",C381=""),"",IF(F381="İptal",0,H381*IFERROR(INDEX(Ürünler!$B$5:$B$64,MATCH(C381,Ürünler!$A$5:$A$64,0)),0)-G381))</f>
        <v/>
      </c>
      <c r="J381" s="18" t="str">
        <f aca="false">IF(OR(H381="",C381="",F381="İptal"),"",IF(COUNTIFS($C$5:$C$1504,C381,$D$5:$D$1504,"&lt;="&amp;E381,$E$5:$E$1504,"&gt;="&amp;D381,$F$5:$F$1504,"&lt;&gt;İptal")&gt;1,"Çakışıyor",""))</f>
        <v/>
      </c>
    </row>
    <row r="382" customFormat="false" ht="15" hidden="false" customHeight="false" outlineLevel="0" collapsed="false">
      <c r="A382" s="12"/>
      <c r="B382" s="12"/>
      <c r="C382" s="13"/>
      <c r="D382" s="14"/>
      <c r="E382" s="14"/>
      <c r="F382" s="13"/>
      <c r="G382" s="15"/>
      <c r="H382" s="16" t="str">
        <f aca="false">IF(OR(D382="",E382="",E382&lt;D382),"",E382-D382+1)</f>
        <v/>
      </c>
      <c r="I382" s="17" t="str">
        <f aca="false">IF(OR(H382="",C382=""),"",IF(F382="İptal",0,H382*IFERROR(INDEX(Ürünler!$B$5:$B$64,MATCH(C382,Ürünler!$A$5:$A$64,0)),0)-G382))</f>
        <v/>
      </c>
      <c r="J382" s="18" t="str">
        <f aca="false">IF(OR(H382="",C382="",F382="İptal"),"",IF(COUNTIFS($C$5:$C$1504,C382,$D$5:$D$1504,"&lt;="&amp;E382,$E$5:$E$1504,"&gt;="&amp;D382,$F$5:$F$1504,"&lt;&gt;İptal")&gt;1,"Çakışıyor",""))</f>
        <v/>
      </c>
    </row>
    <row r="383" customFormat="false" ht="15" hidden="false" customHeight="false" outlineLevel="0" collapsed="false">
      <c r="A383" s="12"/>
      <c r="B383" s="12"/>
      <c r="C383" s="13"/>
      <c r="D383" s="14"/>
      <c r="E383" s="14"/>
      <c r="F383" s="13"/>
      <c r="G383" s="15"/>
      <c r="H383" s="16" t="str">
        <f aca="false">IF(OR(D383="",E383="",E383&lt;D383),"",E383-D383+1)</f>
        <v/>
      </c>
      <c r="I383" s="17" t="str">
        <f aca="false">IF(OR(H383="",C383=""),"",IF(F383="İptal",0,H383*IFERROR(INDEX(Ürünler!$B$5:$B$64,MATCH(C383,Ürünler!$A$5:$A$64,0)),0)-G383))</f>
        <v/>
      </c>
      <c r="J383" s="18" t="str">
        <f aca="false">IF(OR(H383="",C383="",F383="İptal"),"",IF(COUNTIFS($C$5:$C$1504,C383,$D$5:$D$1504,"&lt;="&amp;E383,$E$5:$E$1504,"&gt;="&amp;D383,$F$5:$F$1504,"&lt;&gt;İptal")&gt;1,"Çakışıyor",""))</f>
        <v/>
      </c>
    </row>
    <row r="384" customFormat="false" ht="15" hidden="false" customHeight="false" outlineLevel="0" collapsed="false">
      <c r="A384" s="12"/>
      <c r="B384" s="12"/>
      <c r="C384" s="13"/>
      <c r="D384" s="14"/>
      <c r="E384" s="14"/>
      <c r="F384" s="13"/>
      <c r="G384" s="15"/>
      <c r="H384" s="16" t="str">
        <f aca="false">IF(OR(D384="",E384="",E384&lt;D384),"",E384-D384+1)</f>
        <v/>
      </c>
      <c r="I384" s="17" t="str">
        <f aca="false">IF(OR(H384="",C384=""),"",IF(F384="İptal",0,H384*IFERROR(INDEX(Ürünler!$B$5:$B$64,MATCH(C384,Ürünler!$A$5:$A$64,0)),0)-G384))</f>
        <v/>
      </c>
      <c r="J384" s="18" t="str">
        <f aca="false">IF(OR(H384="",C384="",F384="İptal"),"",IF(COUNTIFS($C$5:$C$1504,C384,$D$5:$D$1504,"&lt;="&amp;E384,$E$5:$E$1504,"&gt;="&amp;D384,$F$5:$F$1504,"&lt;&gt;İptal")&gt;1,"Çakışıyor",""))</f>
        <v/>
      </c>
    </row>
    <row r="385" customFormat="false" ht="15" hidden="false" customHeight="false" outlineLevel="0" collapsed="false">
      <c r="A385" s="12"/>
      <c r="B385" s="12"/>
      <c r="C385" s="13"/>
      <c r="D385" s="14"/>
      <c r="E385" s="14"/>
      <c r="F385" s="13"/>
      <c r="G385" s="15"/>
      <c r="H385" s="16" t="str">
        <f aca="false">IF(OR(D385="",E385="",E385&lt;D385),"",E385-D385+1)</f>
        <v/>
      </c>
      <c r="I385" s="17" t="str">
        <f aca="false">IF(OR(H385="",C385=""),"",IF(F385="İptal",0,H385*IFERROR(INDEX(Ürünler!$B$5:$B$64,MATCH(C385,Ürünler!$A$5:$A$64,0)),0)-G385))</f>
        <v/>
      </c>
      <c r="J385" s="18" t="str">
        <f aca="false">IF(OR(H385="",C385="",F385="İptal"),"",IF(COUNTIFS($C$5:$C$1504,C385,$D$5:$D$1504,"&lt;="&amp;E385,$E$5:$E$1504,"&gt;="&amp;D385,$F$5:$F$1504,"&lt;&gt;İptal")&gt;1,"Çakışıyor",""))</f>
        <v/>
      </c>
    </row>
    <row r="386" customFormat="false" ht="15" hidden="false" customHeight="false" outlineLevel="0" collapsed="false">
      <c r="A386" s="12"/>
      <c r="B386" s="12"/>
      <c r="C386" s="13"/>
      <c r="D386" s="14"/>
      <c r="E386" s="14"/>
      <c r="F386" s="13"/>
      <c r="G386" s="15"/>
      <c r="H386" s="16" t="str">
        <f aca="false">IF(OR(D386="",E386="",E386&lt;D386),"",E386-D386+1)</f>
        <v/>
      </c>
      <c r="I386" s="17" t="str">
        <f aca="false">IF(OR(H386="",C386=""),"",IF(F386="İptal",0,H386*IFERROR(INDEX(Ürünler!$B$5:$B$64,MATCH(C386,Ürünler!$A$5:$A$64,0)),0)-G386))</f>
        <v/>
      </c>
      <c r="J386" s="18" t="str">
        <f aca="false">IF(OR(H386="",C386="",F386="İptal"),"",IF(COUNTIFS($C$5:$C$1504,C386,$D$5:$D$1504,"&lt;="&amp;E386,$E$5:$E$1504,"&gt;="&amp;D386,$F$5:$F$1504,"&lt;&gt;İptal")&gt;1,"Çakışıyor",""))</f>
        <v/>
      </c>
    </row>
    <row r="387" customFormat="false" ht="15" hidden="false" customHeight="false" outlineLevel="0" collapsed="false">
      <c r="A387" s="12"/>
      <c r="B387" s="12"/>
      <c r="C387" s="13"/>
      <c r="D387" s="14"/>
      <c r="E387" s="14"/>
      <c r="F387" s="13"/>
      <c r="G387" s="15"/>
      <c r="H387" s="16" t="str">
        <f aca="false">IF(OR(D387="",E387="",E387&lt;D387),"",E387-D387+1)</f>
        <v/>
      </c>
      <c r="I387" s="17" t="str">
        <f aca="false">IF(OR(H387="",C387=""),"",IF(F387="İptal",0,H387*IFERROR(INDEX(Ürünler!$B$5:$B$64,MATCH(C387,Ürünler!$A$5:$A$64,0)),0)-G387))</f>
        <v/>
      </c>
      <c r="J387" s="18" t="str">
        <f aca="false">IF(OR(H387="",C387="",F387="İptal"),"",IF(COUNTIFS($C$5:$C$1504,C387,$D$5:$D$1504,"&lt;="&amp;E387,$E$5:$E$1504,"&gt;="&amp;D387,$F$5:$F$1504,"&lt;&gt;İptal")&gt;1,"Çakışıyor",""))</f>
        <v/>
      </c>
    </row>
    <row r="388" customFormat="false" ht="15" hidden="false" customHeight="false" outlineLevel="0" collapsed="false">
      <c r="A388" s="12"/>
      <c r="B388" s="12"/>
      <c r="C388" s="13"/>
      <c r="D388" s="14"/>
      <c r="E388" s="14"/>
      <c r="F388" s="13"/>
      <c r="G388" s="15"/>
      <c r="H388" s="16" t="str">
        <f aca="false">IF(OR(D388="",E388="",E388&lt;D388),"",E388-D388+1)</f>
        <v/>
      </c>
      <c r="I388" s="17" t="str">
        <f aca="false">IF(OR(H388="",C388=""),"",IF(F388="İptal",0,H388*IFERROR(INDEX(Ürünler!$B$5:$B$64,MATCH(C388,Ürünler!$A$5:$A$64,0)),0)-G388))</f>
        <v/>
      </c>
      <c r="J388" s="18" t="str">
        <f aca="false">IF(OR(H388="",C388="",F388="İptal"),"",IF(COUNTIFS($C$5:$C$1504,C388,$D$5:$D$1504,"&lt;="&amp;E388,$E$5:$E$1504,"&gt;="&amp;D388,$F$5:$F$1504,"&lt;&gt;İptal")&gt;1,"Çakışıyor",""))</f>
        <v/>
      </c>
    </row>
    <row r="389" customFormat="false" ht="15" hidden="false" customHeight="false" outlineLevel="0" collapsed="false">
      <c r="A389" s="12"/>
      <c r="B389" s="12"/>
      <c r="C389" s="13"/>
      <c r="D389" s="14"/>
      <c r="E389" s="14"/>
      <c r="F389" s="13"/>
      <c r="G389" s="15"/>
      <c r="H389" s="16" t="str">
        <f aca="false">IF(OR(D389="",E389="",E389&lt;D389),"",E389-D389+1)</f>
        <v/>
      </c>
      <c r="I389" s="17" t="str">
        <f aca="false">IF(OR(H389="",C389=""),"",IF(F389="İptal",0,H389*IFERROR(INDEX(Ürünler!$B$5:$B$64,MATCH(C389,Ürünler!$A$5:$A$64,0)),0)-G389))</f>
        <v/>
      </c>
      <c r="J389" s="18" t="str">
        <f aca="false">IF(OR(H389="",C389="",F389="İptal"),"",IF(COUNTIFS($C$5:$C$1504,C389,$D$5:$D$1504,"&lt;="&amp;E389,$E$5:$E$1504,"&gt;="&amp;D389,$F$5:$F$1504,"&lt;&gt;İptal")&gt;1,"Çakışıyor",""))</f>
        <v/>
      </c>
    </row>
    <row r="390" customFormat="false" ht="15" hidden="false" customHeight="false" outlineLevel="0" collapsed="false">
      <c r="A390" s="12"/>
      <c r="B390" s="12"/>
      <c r="C390" s="13"/>
      <c r="D390" s="14"/>
      <c r="E390" s="14"/>
      <c r="F390" s="13"/>
      <c r="G390" s="15"/>
      <c r="H390" s="16" t="str">
        <f aca="false">IF(OR(D390="",E390="",E390&lt;D390),"",E390-D390+1)</f>
        <v/>
      </c>
      <c r="I390" s="17" t="str">
        <f aca="false">IF(OR(H390="",C390=""),"",IF(F390="İptal",0,H390*IFERROR(INDEX(Ürünler!$B$5:$B$64,MATCH(C390,Ürünler!$A$5:$A$64,0)),0)-G390))</f>
        <v/>
      </c>
      <c r="J390" s="18" t="str">
        <f aca="false">IF(OR(H390="",C390="",F390="İptal"),"",IF(COUNTIFS($C$5:$C$1504,C390,$D$5:$D$1504,"&lt;="&amp;E390,$E$5:$E$1504,"&gt;="&amp;D390,$F$5:$F$1504,"&lt;&gt;İptal")&gt;1,"Çakışıyor",""))</f>
        <v/>
      </c>
    </row>
    <row r="391" customFormat="false" ht="15" hidden="false" customHeight="false" outlineLevel="0" collapsed="false">
      <c r="A391" s="12"/>
      <c r="B391" s="12"/>
      <c r="C391" s="13"/>
      <c r="D391" s="14"/>
      <c r="E391" s="14"/>
      <c r="F391" s="13"/>
      <c r="G391" s="15"/>
      <c r="H391" s="16" t="str">
        <f aca="false">IF(OR(D391="",E391="",E391&lt;D391),"",E391-D391+1)</f>
        <v/>
      </c>
      <c r="I391" s="17" t="str">
        <f aca="false">IF(OR(H391="",C391=""),"",IF(F391="İptal",0,H391*IFERROR(INDEX(Ürünler!$B$5:$B$64,MATCH(C391,Ürünler!$A$5:$A$64,0)),0)-G391))</f>
        <v/>
      </c>
      <c r="J391" s="18" t="str">
        <f aca="false">IF(OR(H391="",C391="",F391="İptal"),"",IF(COUNTIFS($C$5:$C$1504,C391,$D$5:$D$1504,"&lt;="&amp;E391,$E$5:$E$1504,"&gt;="&amp;D391,$F$5:$F$1504,"&lt;&gt;İptal")&gt;1,"Çakışıyor",""))</f>
        <v/>
      </c>
    </row>
    <row r="392" customFormat="false" ht="15" hidden="false" customHeight="false" outlineLevel="0" collapsed="false">
      <c r="A392" s="12"/>
      <c r="B392" s="12"/>
      <c r="C392" s="13"/>
      <c r="D392" s="14"/>
      <c r="E392" s="14"/>
      <c r="F392" s="13"/>
      <c r="G392" s="15"/>
      <c r="H392" s="16" t="str">
        <f aca="false">IF(OR(D392="",E392="",E392&lt;D392),"",E392-D392+1)</f>
        <v/>
      </c>
      <c r="I392" s="17" t="str">
        <f aca="false">IF(OR(H392="",C392=""),"",IF(F392="İptal",0,H392*IFERROR(INDEX(Ürünler!$B$5:$B$64,MATCH(C392,Ürünler!$A$5:$A$64,0)),0)-G392))</f>
        <v/>
      </c>
      <c r="J392" s="18" t="str">
        <f aca="false">IF(OR(H392="",C392="",F392="İptal"),"",IF(COUNTIFS($C$5:$C$1504,C392,$D$5:$D$1504,"&lt;="&amp;E392,$E$5:$E$1504,"&gt;="&amp;D392,$F$5:$F$1504,"&lt;&gt;İptal")&gt;1,"Çakışıyor",""))</f>
        <v/>
      </c>
    </row>
    <row r="393" customFormat="false" ht="15" hidden="false" customHeight="false" outlineLevel="0" collapsed="false">
      <c r="A393" s="12"/>
      <c r="B393" s="12"/>
      <c r="C393" s="13"/>
      <c r="D393" s="14"/>
      <c r="E393" s="14"/>
      <c r="F393" s="13"/>
      <c r="G393" s="15"/>
      <c r="H393" s="16" t="str">
        <f aca="false">IF(OR(D393="",E393="",E393&lt;D393),"",E393-D393+1)</f>
        <v/>
      </c>
      <c r="I393" s="17" t="str">
        <f aca="false">IF(OR(H393="",C393=""),"",IF(F393="İptal",0,H393*IFERROR(INDEX(Ürünler!$B$5:$B$64,MATCH(C393,Ürünler!$A$5:$A$64,0)),0)-G393))</f>
        <v/>
      </c>
      <c r="J393" s="18" t="str">
        <f aca="false">IF(OR(H393="",C393="",F393="İptal"),"",IF(COUNTIFS($C$5:$C$1504,C393,$D$5:$D$1504,"&lt;="&amp;E393,$E$5:$E$1504,"&gt;="&amp;D393,$F$5:$F$1504,"&lt;&gt;İptal")&gt;1,"Çakışıyor",""))</f>
        <v/>
      </c>
    </row>
    <row r="394" customFormat="false" ht="15" hidden="false" customHeight="false" outlineLevel="0" collapsed="false">
      <c r="A394" s="12"/>
      <c r="B394" s="12"/>
      <c r="C394" s="13"/>
      <c r="D394" s="14"/>
      <c r="E394" s="14"/>
      <c r="F394" s="13"/>
      <c r="G394" s="15"/>
      <c r="H394" s="16" t="str">
        <f aca="false">IF(OR(D394="",E394="",E394&lt;D394),"",E394-D394+1)</f>
        <v/>
      </c>
      <c r="I394" s="17" t="str">
        <f aca="false">IF(OR(H394="",C394=""),"",IF(F394="İptal",0,H394*IFERROR(INDEX(Ürünler!$B$5:$B$64,MATCH(C394,Ürünler!$A$5:$A$64,0)),0)-G394))</f>
        <v/>
      </c>
      <c r="J394" s="18" t="str">
        <f aca="false">IF(OR(H394="",C394="",F394="İptal"),"",IF(COUNTIFS($C$5:$C$1504,C394,$D$5:$D$1504,"&lt;="&amp;E394,$E$5:$E$1504,"&gt;="&amp;D394,$F$5:$F$1504,"&lt;&gt;İptal")&gt;1,"Çakışıyor",""))</f>
        <v/>
      </c>
    </row>
    <row r="395" customFormat="false" ht="15" hidden="false" customHeight="false" outlineLevel="0" collapsed="false">
      <c r="A395" s="12"/>
      <c r="B395" s="12"/>
      <c r="C395" s="13"/>
      <c r="D395" s="14"/>
      <c r="E395" s="14"/>
      <c r="F395" s="13"/>
      <c r="G395" s="15"/>
      <c r="H395" s="16" t="str">
        <f aca="false">IF(OR(D395="",E395="",E395&lt;D395),"",E395-D395+1)</f>
        <v/>
      </c>
      <c r="I395" s="17" t="str">
        <f aca="false">IF(OR(H395="",C395=""),"",IF(F395="İptal",0,H395*IFERROR(INDEX(Ürünler!$B$5:$B$64,MATCH(C395,Ürünler!$A$5:$A$64,0)),0)-G395))</f>
        <v/>
      </c>
      <c r="J395" s="18" t="str">
        <f aca="false">IF(OR(H395="",C395="",F395="İptal"),"",IF(COUNTIFS($C$5:$C$1504,C395,$D$5:$D$1504,"&lt;="&amp;E395,$E$5:$E$1504,"&gt;="&amp;D395,$F$5:$F$1504,"&lt;&gt;İptal")&gt;1,"Çakışıyor",""))</f>
        <v/>
      </c>
    </row>
    <row r="396" customFormat="false" ht="15" hidden="false" customHeight="false" outlineLevel="0" collapsed="false">
      <c r="A396" s="12"/>
      <c r="B396" s="12"/>
      <c r="C396" s="13"/>
      <c r="D396" s="14"/>
      <c r="E396" s="14"/>
      <c r="F396" s="13"/>
      <c r="G396" s="15"/>
      <c r="H396" s="16" t="str">
        <f aca="false">IF(OR(D396="",E396="",E396&lt;D396),"",E396-D396+1)</f>
        <v/>
      </c>
      <c r="I396" s="17" t="str">
        <f aca="false">IF(OR(H396="",C396=""),"",IF(F396="İptal",0,H396*IFERROR(INDEX(Ürünler!$B$5:$B$64,MATCH(C396,Ürünler!$A$5:$A$64,0)),0)-G396))</f>
        <v/>
      </c>
      <c r="J396" s="18" t="str">
        <f aca="false">IF(OR(H396="",C396="",F396="İptal"),"",IF(COUNTIFS($C$5:$C$1504,C396,$D$5:$D$1504,"&lt;="&amp;E396,$E$5:$E$1504,"&gt;="&amp;D396,$F$5:$F$1504,"&lt;&gt;İptal")&gt;1,"Çakışıyor",""))</f>
        <v/>
      </c>
    </row>
    <row r="397" customFormat="false" ht="15" hidden="false" customHeight="false" outlineLevel="0" collapsed="false">
      <c r="A397" s="12"/>
      <c r="B397" s="12"/>
      <c r="C397" s="13"/>
      <c r="D397" s="14"/>
      <c r="E397" s="14"/>
      <c r="F397" s="13"/>
      <c r="G397" s="15"/>
      <c r="H397" s="16" t="str">
        <f aca="false">IF(OR(D397="",E397="",E397&lt;D397),"",E397-D397+1)</f>
        <v/>
      </c>
      <c r="I397" s="17" t="str">
        <f aca="false">IF(OR(H397="",C397=""),"",IF(F397="İptal",0,H397*IFERROR(INDEX(Ürünler!$B$5:$B$64,MATCH(C397,Ürünler!$A$5:$A$64,0)),0)-G397))</f>
        <v/>
      </c>
      <c r="J397" s="18" t="str">
        <f aca="false">IF(OR(H397="",C397="",F397="İptal"),"",IF(COUNTIFS($C$5:$C$1504,C397,$D$5:$D$1504,"&lt;="&amp;E397,$E$5:$E$1504,"&gt;="&amp;D397,$F$5:$F$1504,"&lt;&gt;İptal")&gt;1,"Çakışıyor",""))</f>
        <v/>
      </c>
    </row>
    <row r="398" customFormat="false" ht="15" hidden="false" customHeight="false" outlineLevel="0" collapsed="false">
      <c r="A398" s="12"/>
      <c r="B398" s="12"/>
      <c r="C398" s="13"/>
      <c r="D398" s="14"/>
      <c r="E398" s="14"/>
      <c r="F398" s="13"/>
      <c r="G398" s="15"/>
      <c r="H398" s="16" t="str">
        <f aca="false">IF(OR(D398="",E398="",E398&lt;D398),"",E398-D398+1)</f>
        <v/>
      </c>
      <c r="I398" s="17" t="str">
        <f aca="false">IF(OR(H398="",C398=""),"",IF(F398="İptal",0,H398*IFERROR(INDEX(Ürünler!$B$5:$B$64,MATCH(C398,Ürünler!$A$5:$A$64,0)),0)-G398))</f>
        <v/>
      </c>
      <c r="J398" s="18" t="str">
        <f aca="false">IF(OR(H398="",C398="",F398="İptal"),"",IF(COUNTIFS($C$5:$C$1504,C398,$D$5:$D$1504,"&lt;="&amp;E398,$E$5:$E$1504,"&gt;="&amp;D398,$F$5:$F$1504,"&lt;&gt;İptal")&gt;1,"Çakışıyor",""))</f>
        <v/>
      </c>
    </row>
    <row r="399" customFormat="false" ht="15" hidden="false" customHeight="false" outlineLevel="0" collapsed="false">
      <c r="A399" s="12"/>
      <c r="B399" s="12"/>
      <c r="C399" s="13"/>
      <c r="D399" s="14"/>
      <c r="E399" s="14"/>
      <c r="F399" s="13"/>
      <c r="G399" s="15"/>
      <c r="H399" s="16" t="str">
        <f aca="false">IF(OR(D399="",E399="",E399&lt;D399),"",E399-D399+1)</f>
        <v/>
      </c>
      <c r="I399" s="17" t="str">
        <f aca="false">IF(OR(H399="",C399=""),"",IF(F399="İptal",0,H399*IFERROR(INDEX(Ürünler!$B$5:$B$64,MATCH(C399,Ürünler!$A$5:$A$64,0)),0)-G399))</f>
        <v/>
      </c>
      <c r="J399" s="18" t="str">
        <f aca="false">IF(OR(H399="",C399="",F399="İptal"),"",IF(COUNTIFS($C$5:$C$1504,C399,$D$5:$D$1504,"&lt;="&amp;E399,$E$5:$E$1504,"&gt;="&amp;D399,$F$5:$F$1504,"&lt;&gt;İptal")&gt;1,"Çakışıyor",""))</f>
        <v/>
      </c>
    </row>
    <row r="400" customFormat="false" ht="15" hidden="false" customHeight="false" outlineLevel="0" collapsed="false">
      <c r="A400" s="12"/>
      <c r="B400" s="12"/>
      <c r="C400" s="13"/>
      <c r="D400" s="14"/>
      <c r="E400" s="14"/>
      <c r="F400" s="13"/>
      <c r="G400" s="15"/>
      <c r="H400" s="16" t="str">
        <f aca="false">IF(OR(D400="",E400="",E400&lt;D400),"",E400-D400+1)</f>
        <v/>
      </c>
      <c r="I400" s="17" t="str">
        <f aca="false">IF(OR(H400="",C400=""),"",IF(F400="İptal",0,H400*IFERROR(INDEX(Ürünler!$B$5:$B$64,MATCH(C400,Ürünler!$A$5:$A$64,0)),0)-G400))</f>
        <v/>
      </c>
      <c r="J400" s="18" t="str">
        <f aca="false">IF(OR(H400="",C400="",F400="İptal"),"",IF(COUNTIFS($C$5:$C$1504,C400,$D$5:$D$1504,"&lt;="&amp;E400,$E$5:$E$1504,"&gt;="&amp;D400,$F$5:$F$1504,"&lt;&gt;İptal")&gt;1,"Çakışıyor",""))</f>
        <v/>
      </c>
    </row>
    <row r="401" customFormat="false" ht="15" hidden="false" customHeight="false" outlineLevel="0" collapsed="false">
      <c r="A401" s="12"/>
      <c r="B401" s="12"/>
      <c r="C401" s="13"/>
      <c r="D401" s="14"/>
      <c r="E401" s="14"/>
      <c r="F401" s="13"/>
      <c r="G401" s="15"/>
      <c r="H401" s="16" t="str">
        <f aca="false">IF(OR(D401="",E401="",E401&lt;D401),"",E401-D401+1)</f>
        <v/>
      </c>
      <c r="I401" s="17" t="str">
        <f aca="false">IF(OR(H401="",C401=""),"",IF(F401="İptal",0,H401*IFERROR(INDEX(Ürünler!$B$5:$B$64,MATCH(C401,Ürünler!$A$5:$A$64,0)),0)-G401))</f>
        <v/>
      </c>
      <c r="J401" s="18" t="str">
        <f aca="false">IF(OR(H401="",C401="",F401="İptal"),"",IF(COUNTIFS($C$5:$C$1504,C401,$D$5:$D$1504,"&lt;="&amp;E401,$E$5:$E$1504,"&gt;="&amp;D401,$F$5:$F$1504,"&lt;&gt;İptal")&gt;1,"Çakışıyor",""))</f>
        <v/>
      </c>
    </row>
    <row r="402" customFormat="false" ht="15" hidden="false" customHeight="false" outlineLevel="0" collapsed="false">
      <c r="A402" s="12"/>
      <c r="B402" s="12"/>
      <c r="C402" s="13"/>
      <c r="D402" s="14"/>
      <c r="E402" s="14"/>
      <c r="F402" s="13"/>
      <c r="G402" s="15"/>
      <c r="H402" s="16" t="str">
        <f aca="false">IF(OR(D402="",E402="",E402&lt;D402),"",E402-D402+1)</f>
        <v/>
      </c>
      <c r="I402" s="17" t="str">
        <f aca="false">IF(OR(H402="",C402=""),"",IF(F402="İptal",0,H402*IFERROR(INDEX(Ürünler!$B$5:$B$64,MATCH(C402,Ürünler!$A$5:$A$64,0)),0)-G402))</f>
        <v/>
      </c>
      <c r="J402" s="18" t="str">
        <f aca="false">IF(OR(H402="",C402="",F402="İptal"),"",IF(COUNTIFS($C$5:$C$1504,C402,$D$5:$D$1504,"&lt;="&amp;E402,$E$5:$E$1504,"&gt;="&amp;D402,$F$5:$F$1504,"&lt;&gt;İptal")&gt;1,"Çakışıyor",""))</f>
        <v/>
      </c>
    </row>
    <row r="403" customFormat="false" ht="15" hidden="false" customHeight="false" outlineLevel="0" collapsed="false">
      <c r="A403" s="12"/>
      <c r="B403" s="12"/>
      <c r="C403" s="13"/>
      <c r="D403" s="14"/>
      <c r="E403" s="14"/>
      <c r="F403" s="13"/>
      <c r="G403" s="15"/>
      <c r="H403" s="16" t="str">
        <f aca="false">IF(OR(D403="",E403="",E403&lt;D403),"",E403-D403+1)</f>
        <v/>
      </c>
      <c r="I403" s="17" t="str">
        <f aca="false">IF(OR(H403="",C403=""),"",IF(F403="İptal",0,H403*IFERROR(INDEX(Ürünler!$B$5:$B$64,MATCH(C403,Ürünler!$A$5:$A$64,0)),0)-G403))</f>
        <v/>
      </c>
      <c r="J403" s="18" t="str">
        <f aca="false">IF(OR(H403="",C403="",F403="İptal"),"",IF(COUNTIFS($C$5:$C$1504,C403,$D$5:$D$1504,"&lt;="&amp;E403,$E$5:$E$1504,"&gt;="&amp;D403,$F$5:$F$1504,"&lt;&gt;İptal")&gt;1,"Çakışıyor",""))</f>
        <v/>
      </c>
    </row>
    <row r="404" customFormat="false" ht="15" hidden="false" customHeight="false" outlineLevel="0" collapsed="false">
      <c r="A404" s="12"/>
      <c r="B404" s="12"/>
      <c r="C404" s="13"/>
      <c r="D404" s="14"/>
      <c r="E404" s="14"/>
      <c r="F404" s="13"/>
      <c r="G404" s="15"/>
      <c r="H404" s="16" t="str">
        <f aca="false">IF(OR(D404="",E404="",E404&lt;D404),"",E404-D404+1)</f>
        <v/>
      </c>
      <c r="I404" s="17" t="str">
        <f aca="false">IF(OR(H404="",C404=""),"",IF(F404="İptal",0,H404*IFERROR(INDEX(Ürünler!$B$5:$B$64,MATCH(C404,Ürünler!$A$5:$A$64,0)),0)-G404))</f>
        <v/>
      </c>
      <c r="J404" s="18" t="str">
        <f aca="false">IF(OR(H404="",C404="",F404="İptal"),"",IF(COUNTIFS($C$5:$C$1504,C404,$D$5:$D$1504,"&lt;="&amp;E404,$E$5:$E$1504,"&gt;="&amp;D404,$F$5:$F$1504,"&lt;&gt;İptal")&gt;1,"Çakışıyor",""))</f>
        <v/>
      </c>
    </row>
    <row r="405" customFormat="false" ht="15" hidden="false" customHeight="false" outlineLevel="0" collapsed="false">
      <c r="A405" s="12"/>
      <c r="B405" s="12"/>
      <c r="C405" s="13"/>
      <c r="D405" s="14"/>
      <c r="E405" s="14"/>
      <c r="F405" s="13"/>
      <c r="G405" s="15"/>
      <c r="H405" s="16" t="str">
        <f aca="false">IF(OR(D405="",E405="",E405&lt;D405),"",E405-D405+1)</f>
        <v/>
      </c>
      <c r="I405" s="17" t="str">
        <f aca="false">IF(OR(H405="",C405=""),"",IF(F405="İptal",0,H405*IFERROR(INDEX(Ürünler!$B$5:$B$64,MATCH(C405,Ürünler!$A$5:$A$64,0)),0)-G405))</f>
        <v/>
      </c>
      <c r="J405" s="18" t="str">
        <f aca="false">IF(OR(H405="",C405="",F405="İptal"),"",IF(COUNTIFS($C$5:$C$1504,C405,$D$5:$D$1504,"&lt;="&amp;E405,$E$5:$E$1504,"&gt;="&amp;D405,$F$5:$F$1504,"&lt;&gt;İptal")&gt;1,"Çakışıyor",""))</f>
        <v/>
      </c>
    </row>
    <row r="406" customFormat="false" ht="15" hidden="false" customHeight="false" outlineLevel="0" collapsed="false">
      <c r="A406" s="12"/>
      <c r="B406" s="12"/>
      <c r="C406" s="13"/>
      <c r="D406" s="14"/>
      <c r="E406" s="14"/>
      <c r="F406" s="13"/>
      <c r="G406" s="15"/>
      <c r="H406" s="16" t="str">
        <f aca="false">IF(OR(D406="",E406="",E406&lt;D406),"",E406-D406+1)</f>
        <v/>
      </c>
      <c r="I406" s="17" t="str">
        <f aca="false">IF(OR(H406="",C406=""),"",IF(F406="İptal",0,H406*IFERROR(INDEX(Ürünler!$B$5:$B$64,MATCH(C406,Ürünler!$A$5:$A$64,0)),0)-G406))</f>
        <v/>
      </c>
      <c r="J406" s="18" t="str">
        <f aca="false">IF(OR(H406="",C406="",F406="İptal"),"",IF(COUNTIFS($C$5:$C$1504,C406,$D$5:$D$1504,"&lt;="&amp;E406,$E$5:$E$1504,"&gt;="&amp;D406,$F$5:$F$1504,"&lt;&gt;İptal")&gt;1,"Çakışıyor",""))</f>
        <v/>
      </c>
    </row>
    <row r="407" customFormat="false" ht="15" hidden="false" customHeight="false" outlineLevel="0" collapsed="false">
      <c r="A407" s="12"/>
      <c r="B407" s="12"/>
      <c r="C407" s="13"/>
      <c r="D407" s="14"/>
      <c r="E407" s="14"/>
      <c r="F407" s="13"/>
      <c r="G407" s="15"/>
      <c r="H407" s="16" t="str">
        <f aca="false">IF(OR(D407="",E407="",E407&lt;D407),"",E407-D407+1)</f>
        <v/>
      </c>
      <c r="I407" s="17" t="str">
        <f aca="false">IF(OR(H407="",C407=""),"",IF(F407="İptal",0,H407*IFERROR(INDEX(Ürünler!$B$5:$B$64,MATCH(C407,Ürünler!$A$5:$A$64,0)),0)-G407))</f>
        <v/>
      </c>
      <c r="J407" s="18" t="str">
        <f aca="false">IF(OR(H407="",C407="",F407="İptal"),"",IF(COUNTIFS($C$5:$C$1504,C407,$D$5:$D$1504,"&lt;="&amp;E407,$E$5:$E$1504,"&gt;="&amp;D407,$F$5:$F$1504,"&lt;&gt;İptal")&gt;1,"Çakışıyor",""))</f>
        <v/>
      </c>
    </row>
    <row r="408" customFormat="false" ht="15" hidden="false" customHeight="false" outlineLevel="0" collapsed="false">
      <c r="A408" s="12"/>
      <c r="B408" s="12"/>
      <c r="C408" s="13"/>
      <c r="D408" s="14"/>
      <c r="E408" s="14"/>
      <c r="F408" s="13"/>
      <c r="G408" s="15"/>
      <c r="H408" s="16" t="str">
        <f aca="false">IF(OR(D408="",E408="",E408&lt;D408),"",E408-D408+1)</f>
        <v/>
      </c>
      <c r="I408" s="17" t="str">
        <f aca="false">IF(OR(H408="",C408=""),"",IF(F408="İptal",0,H408*IFERROR(INDEX(Ürünler!$B$5:$B$64,MATCH(C408,Ürünler!$A$5:$A$64,0)),0)-G408))</f>
        <v/>
      </c>
      <c r="J408" s="18" t="str">
        <f aca="false">IF(OR(H408="",C408="",F408="İptal"),"",IF(COUNTIFS($C$5:$C$1504,C408,$D$5:$D$1504,"&lt;="&amp;E408,$E$5:$E$1504,"&gt;="&amp;D408,$F$5:$F$1504,"&lt;&gt;İptal")&gt;1,"Çakışıyor",""))</f>
        <v/>
      </c>
    </row>
    <row r="409" customFormat="false" ht="15" hidden="false" customHeight="false" outlineLevel="0" collapsed="false">
      <c r="A409" s="12"/>
      <c r="B409" s="12"/>
      <c r="C409" s="13"/>
      <c r="D409" s="14"/>
      <c r="E409" s="14"/>
      <c r="F409" s="13"/>
      <c r="G409" s="15"/>
      <c r="H409" s="16" t="str">
        <f aca="false">IF(OR(D409="",E409="",E409&lt;D409),"",E409-D409+1)</f>
        <v/>
      </c>
      <c r="I409" s="17" t="str">
        <f aca="false">IF(OR(H409="",C409=""),"",IF(F409="İptal",0,H409*IFERROR(INDEX(Ürünler!$B$5:$B$64,MATCH(C409,Ürünler!$A$5:$A$64,0)),0)-G409))</f>
        <v/>
      </c>
      <c r="J409" s="18" t="str">
        <f aca="false">IF(OR(H409="",C409="",F409="İptal"),"",IF(COUNTIFS($C$5:$C$1504,C409,$D$5:$D$1504,"&lt;="&amp;E409,$E$5:$E$1504,"&gt;="&amp;D409,$F$5:$F$1504,"&lt;&gt;İptal")&gt;1,"Çakışıyor",""))</f>
        <v/>
      </c>
    </row>
    <row r="410" customFormat="false" ht="15" hidden="false" customHeight="false" outlineLevel="0" collapsed="false">
      <c r="A410" s="12"/>
      <c r="B410" s="12"/>
      <c r="C410" s="13"/>
      <c r="D410" s="14"/>
      <c r="E410" s="14"/>
      <c r="F410" s="13"/>
      <c r="G410" s="15"/>
      <c r="H410" s="16" t="str">
        <f aca="false">IF(OR(D410="",E410="",E410&lt;D410),"",E410-D410+1)</f>
        <v/>
      </c>
      <c r="I410" s="17" t="str">
        <f aca="false">IF(OR(H410="",C410=""),"",IF(F410="İptal",0,H410*IFERROR(INDEX(Ürünler!$B$5:$B$64,MATCH(C410,Ürünler!$A$5:$A$64,0)),0)-G410))</f>
        <v/>
      </c>
      <c r="J410" s="18" t="str">
        <f aca="false">IF(OR(H410="",C410="",F410="İptal"),"",IF(COUNTIFS($C$5:$C$1504,C410,$D$5:$D$1504,"&lt;="&amp;E410,$E$5:$E$1504,"&gt;="&amp;D410,$F$5:$F$1504,"&lt;&gt;İptal")&gt;1,"Çakışıyor",""))</f>
        <v/>
      </c>
    </row>
    <row r="411" customFormat="false" ht="15" hidden="false" customHeight="false" outlineLevel="0" collapsed="false">
      <c r="A411" s="12"/>
      <c r="B411" s="12"/>
      <c r="C411" s="13"/>
      <c r="D411" s="14"/>
      <c r="E411" s="14"/>
      <c r="F411" s="13"/>
      <c r="G411" s="15"/>
      <c r="H411" s="16" t="str">
        <f aca="false">IF(OR(D411="",E411="",E411&lt;D411),"",E411-D411+1)</f>
        <v/>
      </c>
      <c r="I411" s="17" t="str">
        <f aca="false">IF(OR(H411="",C411=""),"",IF(F411="İptal",0,H411*IFERROR(INDEX(Ürünler!$B$5:$B$64,MATCH(C411,Ürünler!$A$5:$A$64,0)),0)-G411))</f>
        <v/>
      </c>
      <c r="J411" s="18" t="str">
        <f aca="false">IF(OR(H411="",C411="",F411="İptal"),"",IF(COUNTIFS($C$5:$C$1504,C411,$D$5:$D$1504,"&lt;="&amp;E411,$E$5:$E$1504,"&gt;="&amp;D411,$F$5:$F$1504,"&lt;&gt;İptal")&gt;1,"Çakışıyor",""))</f>
        <v/>
      </c>
    </row>
    <row r="412" customFormat="false" ht="15" hidden="false" customHeight="false" outlineLevel="0" collapsed="false">
      <c r="A412" s="12"/>
      <c r="B412" s="12"/>
      <c r="C412" s="13"/>
      <c r="D412" s="14"/>
      <c r="E412" s="14"/>
      <c r="F412" s="13"/>
      <c r="G412" s="15"/>
      <c r="H412" s="16" t="str">
        <f aca="false">IF(OR(D412="",E412="",E412&lt;D412),"",E412-D412+1)</f>
        <v/>
      </c>
      <c r="I412" s="17" t="str">
        <f aca="false">IF(OR(H412="",C412=""),"",IF(F412="İptal",0,H412*IFERROR(INDEX(Ürünler!$B$5:$B$64,MATCH(C412,Ürünler!$A$5:$A$64,0)),0)-G412))</f>
        <v/>
      </c>
      <c r="J412" s="18" t="str">
        <f aca="false">IF(OR(H412="",C412="",F412="İptal"),"",IF(COUNTIFS($C$5:$C$1504,C412,$D$5:$D$1504,"&lt;="&amp;E412,$E$5:$E$1504,"&gt;="&amp;D412,$F$5:$F$1504,"&lt;&gt;İptal")&gt;1,"Çakışıyor",""))</f>
        <v/>
      </c>
    </row>
    <row r="413" customFormat="false" ht="15" hidden="false" customHeight="false" outlineLevel="0" collapsed="false">
      <c r="A413" s="12"/>
      <c r="B413" s="12"/>
      <c r="C413" s="13"/>
      <c r="D413" s="14"/>
      <c r="E413" s="14"/>
      <c r="F413" s="13"/>
      <c r="G413" s="15"/>
      <c r="H413" s="16" t="str">
        <f aca="false">IF(OR(D413="",E413="",E413&lt;D413),"",E413-D413+1)</f>
        <v/>
      </c>
      <c r="I413" s="17" t="str">
        <f aca="false">IF(OR(H413="",C413=""),"",IF(F413="İptal",0,H413*IFERROR(INDEX(Ürünler!$B$5:$B$64,MATCH(C413,Ürünler!$A$5:$A$64,0)),0)-G413))</f>
        <v/>
      </c>
      <c r="J413" s="18" t="str">
        <f aca="false">IF(OR(H413="",C413="",F413="İptal"),"",IF(COUNTIFS($C$5:$C$1504,C413,$D$5:$D$1504,"&lt;="&amp;E413,$E$5:$E$1504,"&gt;="&amp;D413,$F$5:$F$1504,"&lt;&gt;İptal")&gt;1,"Çakışıyor",""))</f>
        <v/>
      </c>
    </row>
    <row r="414" customFormat="false" ht="15" hidden="false" customHeight="false" outlineLevel="0" collapsed="false">
      <c r="A414" s="12"/>
      <c r="B414" s="12"/>
      <c r="C414" s="13"/>
      <c r="D414" s="14"/>
      <c r="E414" s="14"/>
      <c r="F414" s="13"/>
      <c r="G414" s="15"/>
      <c r="H414" s="16" t="str">
        <f aca="false">IF(OR(D414="",E414="",E414&lt;D414),"",E414-D414+1)</f>
        <v/>
      </c>
      <c r="I414" s="17" t="str">
        <f aca="false">IF(OR(H414="",C414=""),"",IF(F414="İptal",0,H414*IFERROR(INDEX(Ürünler!$B$5:$B$64,MATCH(C414,Ürünler!$A$5:$A$64,0)),0)-G414))</f>
        <v/>
      </c>
      <c r="J414" s="18" t="str">
        <f aca="false">IF(OR(H414="",C414="",F414="İptal"),"",IF(COUNTIFS($C$5:$C$1504,C414,$D$5:$D$1504,"&lt;="&amp;E414,$E$5:$E$1504,"&gt;="&amp;D414,$F$5:$F$1504,"&lt;&gt;İptal")&gt;1,"Çakışıyor",""))</f>
        <v/>
      </c>
    </row>
    <row r="415" customFormat="false" ht="15" hidden="false" customHeight="false" outlineLevel="0" collapsed="false">
      <c r="A415" s="12"/>
      <c r="B415" s="12"/>
      <c r="C415" s="13"/>
      <c r="D415" s="14"/>
      <c r="E415" s="14"/>
      <c r="F415" s="13"/>
      <c r="G415" s="15"/>
      <c r="H415" s="16" t="str">
        <f aca="false">IF(OR(D415="",E415="",E415&lt;D415),"",E415-D415+1)</f>
        <v/>
      </c>
      <c r="I415" s="17" t="str">
        <f aca="false">IF(OR(H415="",C415=""),"",IF(F415="İptal",0,H415*IFERROR(INDEX(Ürünler!$B$5:$B$64,MATCH(C415,Ürünler!$A$5:$A$64,0)),0)-G415))</f>
        <v/>
      </c>
      <c r="J415" s="18" t="str">
        <f aca="false">IF(OR(H415="",C415="",F415="İptal"),"",IF(COUNTIFS($C$5:$C$1504,C415,$D$5:$D$1504,"&lt;="&amp;E415,$E$5:$E$1504,"&gt;="&amp;D415,$F$5:$F$1504,"&lt;&gt;İptal")&gt;1,"Çakışıyor",""))</f>
        <v/>
      </c>
    </row>
    <row r="416" customFormat="false" ht="15" hidden="false" customHeight="false" outlineLevel="0" collapsed="false">
      <c r="A416" s="12"/>
      <c r="B416" s="12"/>
      <c r="C416" s="13"/>
      <c r="D416" s="14"/>
      <c r="E416" s="14"/>
      <c r="F416" s="13"/>
      <c r="G416" s="15"/>
      <c r="H416" s="16" t="str">
        <f aca="false">IF(OR(D416="",E416="",E416&lt;D416),"",E416-D416+1)</f>
        <v/>
      </c>
      <c r="I416" s="17" t="str">
        <f aca="false">IF(OR(H416="",C416=""),"",IF(F416="İptal",0,H416*IFERROR(INDEX(Ürünler!$B$5:$B$64,MATCH(C416,Ürünler!$A$5:$A$64,0)),0)-G416))</f>
        <v/>
      </c>
      <c r="J416" s="18" t="str">
        <f aca="false">IF(OR(H416="",C416="",F416="İptal"),"",IF(COUNTIFS($C$5:$C$1504,C416,$D$5:$D$1504,"&lt;="&amp;E416,$E$5:$E$1504,"&gt;="&amp;D416,$F$5:$F$1504,"&lt;&gt;İptal")&gt;1,"Çakışıyor",""))</f>
        <v/>
      </c>
    </row>
    <row r="417" customFormat="false" ht="15" hidden="false" customHeight="false" outlineLevel="0" collapsed="false">
      <c r="A417" s="12"/>
      <c r="B417" s="12"/>
      <c r="C417" s="13"/>
      <c r="D417" s="14"/>
      <c r="E417" s="14"/>
      <c r="F417" s="13"/>
      <c r="G417" s="15"/>
      <c r="H417" s="16" t="str">
        <f aca="false">IF(OR(D417="",E417="",E417&lt;D417),"",E417-D417+1)</f>
        <v/>
      </c>
      <c r="I417" s="17" t="str">
        <f aca="false">IF(OR(H417="",C417=""),"",IF(F417="İptal",0,H417*IFERROR(INDEX(Ürünler!$B$5:$B$64,MATCH(C417,Ürünler!$A$5:$A$64,0)),0)-G417))</f>
        <v/>
      </c>
      <c r="J417" s="18" t="str">
        <f aca="false">IF(OR(H417="",C417="",F417="İptal"),"",IF(COUNTIFS($C$5:$C$1504,C417,$D$5:$D$1504,"&lt;="&amp;E417,$E$5:$E$1504,"&gt;="&amp;D417,$F$5:$F$1504,"&lt;&gt;İptal")&gt;1,"Çakışıyor",""))</f>
        <v/>
      </c>
    </row>
    <row r="418" customFormat="false" ht="15" hidden="false" customHeight="false" outlineLevel="0" collapsed="false">
      <c r="A418" s="12"/>
      <c r="B418" s="12"/>
      <c r="C418" s="13"/>
      <c r="D418" s="14"/>
      <c r="E418" s="14"/>
      <c r="F418" s="13"/>
      <c r="G418" s="15"/>
      <c r="H418" s="16" t="str">
        <f aca="false">IF(OR(D418="",E418="",E418&lt;D418),"",E418-D418+1)</f>
        <v/>
      </c>
      <c r="I418" s="17" t="str">
        <f aca="false">IF(OR(H418="",C418=""),"",IF(F418="İptal",0,H418*IFERROR(INDEX(Ürünler!$B$5:$B$64,MATCH(C418,Ürünler!$A$5:$A$64,0)),0)-G418))</f>
        <v/>
      </c>
      <c r="J418" s="18" t="str">
        <f aca="false">IF(OR(H418="",C418="",F418="İptal"),"",IF(COUNTIFS($C$5:$C$1504,C418,$D$5:$D$1504,"&lt;="&amp;E418,$E$5:$E$1504,"&gt;="&amp;D418,$F$5:$F$1504,"&lt;&gt;İptal")&gt;1,"Çakışıyor",""))</f>
        <v/>
      </c>
    </row>
    <row r="419" customFormat="false" ht="15" hidden="false" customHeight="false" outlineLevel="0" collapsed="false">
      <c r="A419" s="12"/>
      <c r="B419" s="12"/>
      <c r="C419" s="13"/>
      <c r="D419" s="14"/>
      <c r="E419" s="14"/>
      <c r="F419" s="13"/>
      <c r="G419" s="15"/>
      <c r="H419" s="16" t="str">
        <f aca="false">IF(OR(D419="",E419="",E419&lt;D419),"",E419-D419+1)</f>
        <v/>
      </c>
      <c r="I419" s="17" t="str">
        <f aca="false">IF(OR(H419="",C419=""),"",IF(F419="İptal",0,H419*IFERROR(INDEX(Ürünler!$B$5:$B$64,MATCH(C419,Ürünler!$A$5:$A$64,0)),0)-G419))</f>
        <v/>
      </c>
      <c r="J419" s="18" t="str">
        <f aca="false">IF(OR(H419="",C419="",F419="İptal"),"",IF(COUNTIFS($C$5:$C$1504,C419,$D$5:$D$1504,"&lt;="&amp;E419,$E$5:$E$1504,"&gt;="&amp;D419,$F$5:$F$1504,"&lt;&gt;İptal")&gt;1,"Çakışıyor",""))</f>
        <v/>
      </c>
    </row>
    <row r="420" customFormat="false" ht="15" hidden="false" customHeight="false" outlineLevel="0" collapsed="false">
      <c r="A420" s="12"/>
      <c r="B420" s="12"/>
      <c r="C420" s="13"/>
      <c r="D420" s="14"/>
      <c r="E420" s="14"/>
      <c r="F420" s="13"/>
      <c r="G420" s="15"/>
      <c r="H420" s="16" t="str">
        <f aca="false">IF(OR(D420="",E420="",E420&lt;D420),"",E420-D420+1)</f>
        <v/>
      </c>
      <c r="I420" s="17" t="str">
        <f aca="false">IF(OR(H420="",C420=""),"",IF(F420="İptal",0,H420*IFERROR(INDEX(Ürünler!$B$5:$B$64,MATCH(C420,Ürünler!$A$5:$A$64,0)),0)-G420))</f>
        <v/>
      </c>
      <c r="J420" s="18" t="str">
        <f aca="false">IF(OR(H420="",C420="",F420="İptal"),"",IF(COUNTIFS($C$5:$C$1504,C420,$D$5:$D$1504,"&lt;="&amp;E420,$E$5:$E$1504,"&gt;="&amp;D420,$F$5:$F$1504,"&lt;&gt;İptal")&gt;1,"Çakışıyor",""))</f>
        <v/>
      </c>
    </row>
    <row r="421" customFormat="false" ht="15" hidden="false" customHeight="false" outlineLevel="0" collapsed="false">
      <c r="A421" s="12"/>
      <c r="B421" s="12"/>
      <c r="C421" s="13"/>
      <c r="D421" s="14"/>
      <c r="E421" s="14"/>
      <c r="F421" s="13"/>
      <c r="G421" s="15"/>
      <c r="H421" s="16" t="str">
        <f aca="false">IF(OR(D421="",E421="",E421&lt;D421),"",E421-D421+1)</f>
        <v/>
      </c>
      <c r="I421" s="17" t="str">
        <f aca="false">IF(OR(H421="",C421=""),"",IF(F421="İptal",0,H421*IFERROR(INDEX(Ürünler!$B$5:$B$64,MATCH(C421,Ürünler!$A$5:$A$64,0)),0)-G421))</f>
        <v/>
      </c>
      <c r="J421" s="18" t="str">
        <f aca="false">IF(OR(H421="",C421="",F421="İptal"),"",IF(COUNTIFS($C$5:$C$1504,C421,$D$5:$D$1504,"&lt;="&amp;E421,$E$5:$E$1504,"&gt;="&amp;D421,$F$5:$F$1504,"&lt;&gt;İptal")&gt;1,"Çakışıyor",""))</f>
        <v/>
      </c>
    </row>
    <row r="422" customFormat="false" ht="15" hidden="false" customHeight="false" outlineLevel="0" collapsed="false">
      <c r="A422" s="12"/>
      <c r="B422" s="12"/>
      <c r="C422" s="13"/>
      <c r="D422" s="14"/>
      <c r="E422" s="14"/>
      <c r="F422" s="13"/>
      <c r="G422" s="15"/>
      <c r="H422" s="16" t="str">
        <f aca="false">IF(OR(D422="",E422="",E422&lt;D422),"",E422-D422+1)</f>
        <v/>
      </c>
      <c r="I422" s="17" t="str">
        <f aca="false">IF(OR(H422="",C422=""),"",IF(F422="İptal",0,H422*IFERROR(INDEX(Ürünler!$B$5:$B$64,MATCH(C422,Ürünler!$A$5:$A$64,0)),0)-G422))</f>
        <v/>
      </c>
      <c r="J422" s="18" t="str">
        <f aca="false">IF(OR(H422="",C422="",F422="İptal"),"",IF(COUNTIFS($C$5:$C$1504,C422,$D$5:$D$1504,"&lt;="&amp;E422,$E$5:$E$1504,"&gt;="&amp;D422,$F$5:$F$1504,"&lt;&gt;İptal")&gt;1,"Çakışıyor",""))</f>
        <v/>
      </c>
    </row>
    <row r="423" customFormat="false" ht="15" hidden="false" customHeight="false" outlineLevel="0" collapsed="false">
      <c r="A423" s="12"/>
      <c r="B423" s="12"/>
      <c r="C423" s="13"/>
      <c r="D423" s="14"/>
      <c r="E423" s="14"/>
      <c r="F423" s="13"/>
      <c r="G423" s="15"/>
      <c r="H423" s="16" t="str">
        <f aca="false">IF(OR(D423="",E423="",E423&lt;D423),"",E423-D423+1)</f>
        <v/>
      </c>
      <c r="I423" s="17" t="str">
        <f aca="false">IF(OR(H423="",C423=""),"",IF(F423="İptal",0,H423*IFERROR(INDEX(Ürünler!$B$5:$B$64,MATCH(C423,Ürünler!$A$5:$A$64,0)),0)-G423))</f>
        <v/>
      </c>
      <c r="J423" s="18" t="str">
        <f aca="false">IF(OR(H423="",C423="",F423="İptal"),"",IF(COUNTIFS($C$5:$C$1504,C423,$D$5:$D$1504,"&lt;="&amp;E423,$E$5:$E$1504,"&gt;="&amp;D423,$F$5:$F$1504,"&lt;&gt;İptal")&gt;1,"Çakışıyor",""))</f>
        <v/>
      </c>
    </row>
    <row r="424" customFormat="false" ht="15" hidden="false" customHeight="false" outlineLevel="0" collapsed="false">
      <c r="A424" s="12"/>
      <c r="B424" s="12"/>
      <c r="C424" s="13"/>
      <c r="D424" s="14"/>
      <c r="E424" s="14"/>
      <c r="F424" s="13"/>
      <c r="G424" s="15"/>
      <c r="H424" s="16" t="str">
        <f aca="false">IF(OR(D424="",E424="",E424&lt;D424),"",E424-D424+1)</f>
        <v/>
      </c>
      <c r="I424" s="17" t="str">
        <f aca="false">IF(OR(H424="",C424=""),"",IF(F424="İptal",0,H424*IFERROR(INDEX(Ürünler!$B$5:$B$64,MATCH(C424,Ürünler!$A$5:$A$64,0)),0)-G424))</f>
        <v/>
      </c>
      <c r="J424" s="18" t="str">
        <f aca="false">IF(OR(H424="",C424="",F424="İptal"),"",IF(COUNTIFS($C$5:$C$1504,C424,$D$5:$D$1504,"&lt;="&amp;E424,$E$5:$E$1504,"&gt;="&amp;D424,$F$5:$F$1504,"&lt;&gt;İptal")&gt;1,"Çakışıyor",""))</f>
        <v/>
      </c>
    </row>
    <row r="425" customFormat="false" ht="15" hidden="false" customHeight="false" outlineLevel="0" collapsed="false">
      <c r="A425" s="12"/>
      <c r="B425" s="12"/>
      <c r="C425" s="13"/>
      <c r="D425" s="14"/>
      <c r="E425" s="14"/>
      <c r="F425" s="13"/>
      <c r="G425" s="15"/>
      <c r="H425" s="16" t="str">
        <f aca="false">IF(OR(D425="",E425="",E425&lt;D425),"",E425-D425+1)</f>
        <v/>
      </c>
      <c r="I425" s="17" t="str">
        <f aca="false">IF(OR(H425="",C425=""),"",IF(F425="İptal",0,H425*IFERROR(INDEX(Ürünler!$B$5:$B$64,MATCH(C425,Ürünler!$A$5:$A$64,0)),0)-G425))</f>
        <v/>
      </c>
      <c r="J425" s="18" t="str">
        <f aca="false">IF(OR(H425="",C425="",F425="İptal"),"",IF(COUNTIFS($C$5:$C$1504,C425,$D$5:$D$1504,"&lt;="&amp;E425,$E$5:$E$1504,"&gt;="&amp;D425,$F$5:$F$1504,"&lt;&gt;İptal")&gt;1,"Çakışıyor",""))</f>
        <v/>
      </c>
    </row>
    <row r="426" customFormat="false" ht="15" hidden="false" customHeight="false" outlineLevel="0" collapsed="false">
      <c r="A426" s="12"/>
      <c r="B426" s="12"/>
      <c r="C426" s="13"/>
      <c r="D426" s="14"/>
      <c r="E426" s="14"/>
      <c r="F426" s="13"/>
      <c r="G426" s="15"/>
      <c r="H426" s="16" t="str">
        <f aca="false">IF(OR(D426="",E426="",E426&lt;D426),"",E426-D426+1)</f>
        <v/>
      </c>
      <c r="I426" s="17" t="str">
        <f aca="false">IF(OR(H426="",C426=""),"",IF(F426="İptal",0,H426*IFERROR(INDEX(Ürünler!$B$5:$B$64,MATCH(C426,Ürünler!$A$5:$A$64,0)),0)-G426))</f>
        <v/>
      </c>
      <c r="J426" s="18" t="str">
        <f aca="false">IF(OR(H426="",C426="",F426="İptal"),"",IF(COUNTIFS($C$5:$C$1504,C426,$D$5:$D$1504,"&lt;="&amp;E426,$E$5:$E$1504,"&gt;="&amp;D426,$F$5:$F$1504,"&lt;&gt;İptal")&gt;1,"Çakışıyor",""))</f>
        <v/>
      </c>
    </row>
    <row r="427" customFormat="false" ht="15" hidden="false" customHeight="false" outlineLevel="0" collapsed="false">
      <c r="A427" s="12"/>
      <c r="B427" s="12"/>
      <c r="C427" s="13"/>
      <c r="D427" s="14"/>
      <c r="E427" s="14"/>
      <c r="F427" s="13"/>
      <c r="G427" s="15"/>
      <c r="H427" s="16" t="str">
        <f aca="false">IF(OR(D427="",E427="",E427&lt;D427),"",E427-D427+1)</f>
        <v/>
      </c>
      <c r="I427" s="17" t="str">
        <f aca="false">IF(OR(H427="",C427=""),"",IF(F427="İptal",0,H427*IFERROR(INDEX(Ürünler!$B$5:$B$64,MATCH(C427,Ürünler!$A$5:$A$64,0)),0)-G427))</f>
        <v/>
      </c>
      <c r="J427" s="18" t="str">
        <f aca="false">IF(OR(H427="",C427="",F427="İptal"),"",IF(COUNTIFS($C$5:$C$1504,C427,$D$5:$D$1504,"&lt;="&amp;E427,$E$5:$E$1504,"&gt;="&amp;D427,$F$5:$F$1504,"&lt;&gt;İptal")&gt;1,"Çakışıyor",""))</f>
        <v/>
      </c>
    </row>
    <row r="428" customFormat="false" ht="15" hidden="false" customHeight="false" outlineLevel="0" collapsed="false">
      <c r="A428" s="12"/>
      <c r="B428" s="12"/>
      <c r="C428" s="13"/>
      <c r="D428" s="14"/>
      <c r="E428" s="14"/>
      <c r="F428" s="13"/>
      <c r="G428" s="15"/>
      <c r="H428" s="16" t="str">
        <f aca="false">IF(OR(D428="",E428="",E428&lt;D428),"",E428-D428+1)</f>
        <v/>
      </c>
      <c r="I428" s="17" t="str">
        <f aca="false">IF(OR(H428="",C428=""),"",IF(F428="İptal",0,H428*IFERROR(INDEX(Ürünler!$B$5:$B$64,MATCH(C428,Ürünler!$A$5:$A$64,0)),0)-G428))</f>
        <v/>
      </c>
      <c r="J428" s="18" t="str">
        <f aca="false">IF(OR(H428="",C428="",F428="İptal"),"",IF(COUNTIFS($C$5:$C$1504,C428,$D$5:$D$1504,"&lt;="&amp;E428,$E$5:$E$1504,"&gt;="&amp;D428,$F$5:$F$1504,"&lt;&gt;İptal")&gt;1,"Çakışıyor",""))</f>
        <v/>
      </c>
    </row>
    <row r="429" customFormat="false" ht="15" hidden="false" customHeight="false" outlineLevel="0" collapsed="false">
      <c r="A429" s="12"/>
      <c r="B429" s="12"/>
      <c r="C429" s="13"/>
      <c r="D429" s="14"/>
      <c r="E429" s="14"/>
      <c r="F429" s="13"/>
      <c r="G429" s="15"/>
      <c r="H429" s="16" t="str">
        <f aca="false">IF(OR(D429="",E429="",E429&lt;D429),"",E429-D429+1)</f>
        <v/>
      </c>
      <c r="I429" s="17" t="str">
        <f aca="false">IF(OR(H429="",C429=""),"",IF(F429="İptal",0,H429*IFERROR(INDEX(Ürünler!$B$5:$B$64,MATCH(C429,Ürünler!$A$5:$A$64,0)),0)-G429))</f>
        <v/>
      </c>
      <c r="J429" s="18" t="str">
        <f aca="false">IF(OR(H429="",C429="",F429="İptal"),"",IF(COUNTIFS($C$5:$C$1504,C429,$D$5:$D$1504,"&lt;="&amp;E429,$E$5:$E$1504,"&gt;="&amp;D429,$F$5:$F$1504,"&lt;&gt;İptal")&gt;1,"Çakışıyor",""))</f>
        <v/>
      </c>
    </row>
    <row r="430" customFormat="false" ht="15" hidden="false" customHeight="false" outlineLevel="0" collapsed="false">
      <c r="A430" s="12"/>
      <c r="B430" s="12"/>
      <c r="C430" s="13"/>
      <c r="D430" s="14"/>
      <c r="E430" s="14"/>
      <c r="F430" s="13"/>
      <c r="G430" s="15"/>
      <c r="H430" s="16" t="str">
        <f aca="false">IF(OR(D430="",E430="",E430&lt;D430),"",E430-D430+1)</f>
        <v/>
      </c>
      <c r="I430" s="17" t="str">
        <f aca="false">IF(OR(H430="",C430=""),"",IF(F430="İptal",0,H430*IFERROR(INDEX(Ürünler!$B$5:$B$64,MATCH(C430,Ürünler!$A$5:$A$64,0)),0)-G430))</f>
        <v/>
      </c>
      <c r="J430" s="18" t="str">
        <f aca="false">IF(OR(H430="",C430="",F430="İptal"),"",IF(COUNTIFS($C$5:$C$1504,C430,$D$5:$D$1504,"&lt;="&amp;E430,$E$5:$E$1504,"&gt;="&amp;D430,$F$5:$F$1504,"&lt;&gt;İptal")&gt;1,"Çakışıyor",""))</f>
        <v/>
      </c>
    </row>
    <row r="431" customFormat="false" ht="15" hidden="false" customHeight="false" outlineLevel="0" collapsed="false">
      <c r="A431" s="12"/>
      <c r="B431" s="12"/>
      <c r="C431" s="13"/>
      <c r="D431" s="14"/>
      <c r="E431" s="14"/>
      <c r="F431" s="13"/>
      <c r="G431" s="15"/>
      <c r="H431" s="16" t="str">
        <f aca="false">IF(OR(D431="",E431="",E431&lt;D431),"",E431-D431+1)</f>
        <v/>
      </c>
      <c r="I431" s="17" t="str">
        <f aca="false">IF(OR(H431="",C431=""),"",IF(F431="İptal",0,H431*IFERROR(INDEX(Ürünler!$B$5:$B$64,MATCH(C431,Ürünler!$A$5:$A$64,0)),0)-G431))</f>
        <v/>
      </c>
      <c r="J431" s="18" t="str">
        <f aca="false">IF(OR(H431="",C431="",F431="İptal"),"",IF(COUNTIFS($C$5:$C$1504,C431,$D$5:$D$1504,"&lt;="&amp;E431,$E$5:$E$1504,"&gt;="&amp;D431,$F$5:$F$1504,"&lt;&gt;İptal")&gt;1,"Çakışıyor",""))</f>
        <v/>
      </c>
    </row>
    <row r="432" customFormat="false" ht="15" hidden="false" customHeight="false" outlineLevel="0" collapsed="false">
      <c r="A432" s="12"/>
      <c r="B432" s="12"/>
      <c r="C432" s="13"/>
      <c r="D432" s="14"/>
      <c r="E432" s="14"/>
      <c r="F432" s="13"/>
      <c r="G432" s="15"/>
      <c r="H432" s="16" t="str">
        <f aca="false">IF(OR(D432="",E432="",E432&lt;D432),"",E432-D432+1)</f>
        <v/>
      </c>
      <c r="I432" s="17" t="str">
        <f aca="false">IF(OR(H432="",C432=""),"",IF(F432="İptal",0,H432*IFERROR(INDEX(Ürünler!$B$5:$B$64,MATCH(C432,Ürünler!$A$5:$A$64,0)),0)-G432))</f>
        <v/>
      </c>
      <c r="J432" s="18" t="str">
        <f aca="false">IF(OR(H432="",C432="",F432="İptal"),"",IF(COUNTIFS($C$5:$C$1504,C432,$D$5:$D$1504,"&lt;="&amp;E432,$E$5:$E$1504,"&gt;="&amp;D432,$F$5:$F$1504,"&lt;&gt;İptal")&gt;1,"Çakışıyor",""))</f>
        <v/>
      </c>
    </row>
    <row r="433" customFormat="false" ht="15" hidden="false" customHeight="false" outlineLevel="0" collapsed="false">
      <c r="A433" s="12"/>
      <c r="B433" s="12"/>
      <c r="C433" s="13"/>
      <c r="D433" s="14"/>
      <c r="E433" s="14"/>
      <c r="F433" s="13"/>
      <c r="G433" s="15"/>
      <c r="H433" s="16" t="str">
        <f aca="false">IF(OR(D433="",E433="",E433&lt;D433),"",E433-D433+1)</f>
        <v/>
      </c>
      <c r="I433" s="17" t="str">
        <f aca="false">IF(OR(H433="",C433=""),"",IF(F433="İptal",0,H433*IFERROR(INDEX(Ürünler!$B$5:$B$64,MATCH(C433,Ürünler!$A$5:$A$64,0)),0)-G433))</f>
        <v/>
      </c>
      <c r="J433" s="18" t="str">
        <f aca="false">IF(OR(H433="",C433="",F433="İptal"),"",IF(COUNTIFS($C$5:$C$1504,C433,$D$5:$D$1504,"&lt;="&amp;E433,$E$5:$E$1504,"&gt;="&amp;D433,$F$5:$F$1504,"&lt;&gt;İptal")&gt;1,"Çakışıyor",""))</f>
        <v/>
      </c>
    </row>
    <row r="434" customFormat="false" ht="15" hidden="false" customHeight="false" outlineLevel="0" collapsed="false">
      <c r="A434" s="12"/>
      <c r="B434" s="12"/>
      <c r="C434" s="13"/>
      <c r="D434" s="14"/>
      <c r="E434" s="14"/>
      <c r="F434" s="13"/>
      <c r="G434" s="15"/>
      <c r="H434" s="16" t="str">
        <f aca="false">IF(OR(D434="",E434="",E434&lt;D434),"",E434-D434+1)</f>
        <v/>
      </c>
      <c r="I434" s="17" t="str">
        <f aca="false">IF(OR(H434="",C434=""),"",IF(F434="İptal",0,H434*IFERROR(INDEX(Ürünler!$B$5:$B$64,MATCH(C434,Ürünler!$A$5:$A$64,0)),0)-G434))</f>
        <v/>
      </c>
      <c r="J434" s="18" t="str">
        <f aca="false">IF(OR(H434="",C434="",F434="İptal"),"",IF(COUNTIFS($C$5:$C$1504,C434,$D$5:$D$1504,"&lt;="&amp;E434,$E$5:$E$1504,"&gt;="&amp;D434,$F$5:$F$1504,"&lt;&gt;İptal")&gt;1,"Çakışıyor",""))</f>
        <v/>
      </c>
    </row>
    <row r="435" customFormat="false" ht="15" hidden="false" customHeight="false" outlineLevel="0" collapsed="false">
      <c r="A435" s="12"/>
      <c r="B435" s="12"/>
      <c r="C435" s="13"/>
      <c r="D435" s="14"/>
      <c r="E435" s="14"/>
      <c r="F435" s="13"/>
      <c r="G435" s="15"/>
      <c r="H435" s="16" t="str">
        <f aca="false">IF(OR(D435="",E435="",E435&lt;D435),"",E435-D435+1)</f>
        <v/>
      </c>
      <c r="I435" s="17" t="str">
        <f aca="false">IF(OR(H435="",C435=""),"",IF(F435="İptal",0,H435*IFERROR(INDEX(Ürünler!$B$5:$B$64,MATCH(C435,Ürünler!$A$5:$A$64,0)),0)-G435))</f>
        <v/>
      </c>
      <c r="J435" s="18" t="str">
        <f aca="false">IF(OR(H435="",C435="",F435="İptal"),"",IF(COUNTIFS($C$5:$C$1504,C435,$D$5:$D$1504,"&lt;="&amp;E435,$E$5:$E$1504,"&gt;="&amp;D435,$F$5:$F$1504,"&lt;&gt;İptal")&gt;1,"Çakışıyor",""))</f>
        <v/>
      </c>
    </row>
    <row r="436" customFormat="false" ht="15" hidden="false" customHeight="false" outlineLevel="0" collapsed="false">
      <c r="A436" s="12"/>
      <c r="B436" s="12"/>
      <c r="C436" s="13"/>
      <c r="D436" s="14"/>
      <c r="E436" s="14"/>
      <c r="F436" s="13"/>
      <c r="G436" s="15"/>
      <c r="H436" s="16" t="str">
        <f aca="false">IF(OR(D436="",E436="",E436&lt;D436),"",E436-D436+1)</f>
        <v/>
      </c>
      <c r="I436" s="17" t="str">
        <f aca="false">IF(OR(H436="",C436=""),"",IF(F436="İptal",0,H436*IFERROR(INDEX(Ürünler!$B$5:$B$64,MATCH(C436,Ürünler!$A$5:$A$64,0)),0)-G436))</f>
        <v/>
      </c>
      <c r="J436" s="18" t="str">
        <f aca="false">IF(OR(H436="",C436="",F436="İptal"),"",IF(COUNTIFS($C$5:$C$1504,C436,$D$5:$D$1504,"&lt;="&amp;E436,$E$5:$E$1504,"&gt;="&amp;D436,$F$5:$F$1504,"&lt;&gt;İptal")&gt;1,"Çakışıyor",""))</f>
        <v/>
      </c>
    </row>
    <row r="437" customFormat="false" ht="15" hidden="false" customHeight="false" outlineLevel="0" collapsed="false">
      <c r="A437" s="12"/>
      <c r="B437" s="12"/>
      <c r="C437" s="13"/>
      <c r="D437" s="14"/>
      <c r="E437" s="14"/>
      <c r="F437" s="13"/>
      <c r="G437" s="15"/>
      <c r="H437" s="16" t="str">
        <f aca="false">IF(OR(D437="",E437="",E437&lt;D437),"",E437-D437+1)</f>
        <v/>
      </c>
      <c r="I437" s="17" t="str">
        <f aca="false">IF(OR(H437="",C437=""),"",IF(F437="İptal",0,H437*IFERROR(INDEX(Ürünler!$B$5:$B$64,MATCH(C437,Ürünler!$A$5:$A$64,0)),0)-G437))</f>
        <v/>
      </c>
      <c r="J437" s="18" t="str">
        <f aca="false">IF(OR(H437="",C437="",F437="İptal"),"",IF(COUNTIFS($C$5:$C$1504,C437,$D$5:$D$1504,"&lt;="&amp;E437,$E$5:$E$1504,"&gt;="&amp;D437,$F$5:$F$1504,"&lt;&gt;İptal")&gt;1,"Çakışıyor",""))</f>
        <v/>
      </c>
    </row>
    <row r="438" customFormat="false" ht="15" hidden="false" customHeight="false" outlineLevel="0" collapsed="false">
      <c r="A438" s="12"/>
      <c r="B438" s="12"/>
      <c r="C438" s="13"/>
      <c r="D438" s="14"/>
      <c r="E438" s="14"/>
      <c r="F438" s="13"/>
      <c r="G438" s="15"/>
      <c r="H438" s="16" t="str">
        <f aca="false">IF(OR(D438="",E438="",E438&lt;D438),"",E438-D438+1)</f>
        <v/>
      </c>
      <c r="I438" s="17" t="str">
        <f aca="false">IF(OR(H438="",C438=""),"",IF(F438="İptal",0,H438*IFERROR(INDEX(Ürünler!$B$5:$B$64,MATCH(C438,Ürünler!$A$5:$A$64,0)),0)-G438))</f>
        <v/>
      </c>
      <c r="J438" s="18" t="str">
        <f aca="false">IF(OR(H438="",C438="",F438="İptal"),"",IF(COUNTIFS($C$5:$C$1504,C438,$D$5:$D$1504,"&lt;="&amp;E438,$E$5:$E$1504,"&gt;="&amp;D438,$F$5:$F$1504,"&lt;&gt;İptal")&gt;1,"Çakışıyor",""))</f>
        <v/>
      </c>
    </row>
    <row r="439" customFormat="false" ht="15" hidden="false" customHeight="false" outlineLevel="0" collapsed="false">
      <c r="A439" s="12"/>
      <c r="B439" s="12"/>
      <c r="C439" s="13"/>
      <c r="D439" s="14"/>
      <c r="E439" s="14"/>
      <c r="F439" s="13"/>
      <c r="G439" s="15"/>
      <c r="H439" s="16" t="str">
        <f aca="false">IF(OR(D439="",E439="",E439&lt;D439),"",E439-D439+1)</f>
        <v/>
      </c>
      <c r="I439" s="17" t="str">
        <f aca="false">IF(OR(H439="",C439=""),"",IF(F439="İptal",0,H439*IFERROR(INDEX(Ürünler!$B$5:$B$64,MATCH(C439,Ürünler!$A$5:$A$64,0)),0)-G439))</f>
        <v/>
      </c>
      <c r="J439" s="18" t="str">
        <f aca="false">IF(OR(H439="",C439="",F439="İptal"),"",IF(COUNTIFS($C$5:$C$1504,C439,$D$5:$D$1504,"&lt;="&amp;E439,$E$5:$E$1504,"&gt;="&amp;D439,$F$5:$F$1504,"&lt;&gt;İptal")&gt;1,"Çakışıyor",""))</f>
        <v/>
      </c>
    </row>
    <row r="440" customFormat="false" ht="15" hidden="false" customHeight="false" outlineLevel="0" collapsed="false">
      <c r="A440" s="12"/>
      <c r="B440" s="12"/>
      <c r="C440" s="13"/>
      <c r="D440" s="14"/>
      <c r="E440" s="14"/>
      <c r="F440" s="13"/>
      <c r="G440" s="15"/>
      <c r="H440" s="16" t="str">
        <f aca="false">IF(OR(D440="",E440="",E440&lt;D440),"",E440-D440+1)</f>
        <v/>
      </c>
      <c r="I440" s="17" t="str">
        <f aca="false">IF(OR(H440="",C440=""),"",IF(F440="İptal",0,H440*IFERROR(INDEX(Ürünler!$B$5:$B$64,MATCH(C440,Ürünler!$A$5:$A$64,0)),0)-G440))</f>
        <v/>
      </c>
      <c r="J440" s="18" t="str">
        <f aca="false">IF(OR(H440="",C440="",F440="İptal"),"",IF(COUNTIFS($C$5:$C$1504,C440,$D$5:$D$1504,"&lt;="&amp;E440,$E$5:$E$1504,"&gt;="&amp;D440,$F$5:$F$1504,"&lt;&gt;İptal")&gt;1,"Çakışıyor",""))</f>
        <v/>
      </c>
    </row>
    <row r="441" customFormat="false" ht="15" hidden="false" customHeight="false" outlineLevel="0" collapsed="false">
      <c r="A441" s="12"/>
      <c r="B441" s="12"/>
      <c r="C441" s="13"/>
      <c r="D441" s="14"/>
      <c r="E441" s="14"/>
      <c r="F441" s="13"/>
      <c r="G441" s="15"/>
      <c r="H441" s="16" t="str">
        <f aca="false">IF(OR(D441="",E441="",E441&lt;D441),"",E441-D441+1)</f>
        <v/>
      </c>
      <c r="I441" s="17" t="str">
        <f aca="false">IF(OR(H441="",C441=""),"",IF(F441="İptal",0,H441*IFERROR(INDEX(Ürünler!$B$5:$B$64,MATCH(C441,Ürünler!$A$5:$A$64,0)),0)-G441))</f>
        <v/>
      </c>
      <c r="J441" s="18" t="str">
        <f aca="false">IF(OR(H441="",C441="",F441="İptal"),"",IF(COUNTIFS($C$5:$C$1504,C441,$D$5:$D$1504,"&lt;="&amp;E441,$E$5:$E$1504,"&gt;="&amp;D441,$F$5:$F$1504,"&lt;&gt;İptal")&gt;1,"Çakışıyor",""))</f>
        <v/>
      </c>
    </row>
    <row r="442" customFormat="false" ht="15" hidden="false" customHeight="false" outlineLevel="0" collapsed="false">
      <c r="A442" s="12"/>
      <c r="B442" s="12"/>
      <c r="C442" s="13"/>
      <c r="D442" s="14"/>
      <c r="E442" s="14"/>
      <c r="F442" s="13"/>
      <c r="G442" s="15"/>
      <c r="H442" s="16" t="str">
        <f aca="false">IF(OR(D442="",E442="",E442&lt;D442),"",E442-D442+1)</f>
        <v/>
      </c>
      <c r="I442" s="17" t="str">
        <f aca="false">IF(OR(H442="",C442=""),"",IF(F442="İptal",0,H442*IFERROR(INDEX(Ürünler!$B$5:$B$64,MATCH(C442,Ürünler!$A$5:$A$64,0)),0)-G442))</f>
        <v/>
      </c>
      <c r="J442" s="18" t="str">
        <f aca="false">IF(OR(H442="",C442="",F442="İptal"),"",IF(COUNTIFS($C$5:$C$1504,C442,$D$5:$D$1504,"&lt;="&amp;E442,$E$5:$E$1504,"&gt;="&amp;D442,$F$5:$F$1504,"&lt;&gt;İptal")&gt;1,"Çakışıyor",""))</f>
        <v/>
      </c>
    </row>
    <row r="443" customFormat="false" ht="15" hidden="false" customHeight="false" outlineLevel="0" collapsed="false">
      <c r="A443" s="12"/>
      <c r="B443" s="12"/>
      <c r="C443" s="13"/>
      <c r="D443" s="14"/>
      <c r="E443" s="14"/>
      <c r="F443" s="13"/>
      <c r="G443" s="15"/>
      <c r="H443" s="16" t="str">
        <f aca="false">IF(OR(D443="",E443="",E443&lt;D443),"",E443-D443+1)</f>
        <v/>
      </c>
      <c r="I443" s="17" t="str">
        <f aca="false">IF(OR(H443="",C443=""),"",IF(F443="İptal",0,H443*IFERROR(INDEX(Ürünler!$B$5:$B$64,MATCH(C443,Ürünler!$A$5:$A$64,0)),0)-G443))</f>
        <v/>
      </c>
      <c r="J443" s="18" t="str">
        <f aca="false">IF(OR(H443="",C443="",F443="İptal"),"",IF(COUNTIFS($C$5:$C$1504,C443,$D$5:$D$1504,"&lt;="&amp;E443,$E$5:$E$1504,"&gt;="&amp;D443,$F$5:$F$1504,"&lt;&gt;İptal")&gt;1,"Çakışıyor",""))</f>
        <v/>
      </c>
    </row>
    <row r="444" customFormat="false" ht="15" hidden="false" customHeight="false" outlineLevel="0" collapsed="false">
      <c r="A444" s="12"/>
      <c r="B444" s="12"/>
      <c r="C444" s="13"/>
      <c r="D444" s="14"/>
      <c r="E444" s="14"/>
      <c r="F444" s="13"/>
      <c r="G444" s="15"/>
      <c r="H444" s="16" t="str">
        <f aca="false">IF(OR(D444="",E444="",E444&lt;D444),"",E444-D444+1)</f>
        <v/>
      </c>
      <c r="I444" s="17" t="str">
        <f aca="false">IF(OR(H444="",C444=""),"",IF(F444="İptal",0,H444*IFERROR(INDEX(Ürünler!$B$5:$B$64,MATCH(C444,Ürünler!$A$5:$A$64,0)),0)-G444))</f>
        <v/>
      </c>
      <c r="J444" s="18" t="str">
        <f aca="false">IF(OR(H444="",C444="",F444="İptal"),"",IF(COUNTIFS($C$5:$C$1504,C444,$D$5:$D$1504,"&lt;="&amp;E444,$E$5:$E$1504,"&gt;="&amp;D444,$F$5:$F$1504,"&lt;&gt;İptal")&gt;1,"Çakışıyor",""))</f>
        <v/>
      </c>
    </row>
    <row r="445" customFormat="false" ht="15" hidden="false" customHeight="false" outlineLevel="0" collapsed="false">
      <c r="A445" s="12"/>
      <c r="B445" s="12"/>
      <c r="C445" s="13"/>
      <c r="D445" s="14"/>
      <c r="E445" s="14"/>
      <c r="F445" s="13"/>
      <c r="G445" s="15"/>
      <c r="H445" s="16" t="str">
        <f aca="false">IF(OR(D445="",E445="",E445&lt;D445),"",E445-D445+1)</f>
        <v/>
      </c>
      <c r="I445" s="17" t="str">
        <f aca="false">IF(OR(H445="",C445=""),"",IF(F445="İptal",0,H445*IFERROR(INDEX(Ürünler!$B$5:$B$64,MATCH(C445,Ürünler!$A$5:$A$64,0)),0)-G445))</f>
        <v/>
      </c>
      <c r="J445" s="18" t="str">
        <f aca="false">IF(OR(H445="",C445="",F445="İptal"),"",IF(COUNTIFS($C$5:$C$1504,C445,$D$5:$D$1504,"&lt;="&amp;E445,$E$5:$E$1504,"&gt;="&amp;D445,$F$5:$F$1504,"&lt;&gt;İptal")&gt;1,"Çakışıyor",""))</f>
        <v/>
      </c>
    </row>
    <row r="446" customFormat="false" ht="15" hidden="false" customHeight="false" outlineLevel="0" collapsed="false">
      <c r="A446" s="12"/>
      <c r="B446" s="12"/>
      <c r="C446" s="13"/>
      <c r="D446" s="14"/>
      <c r="E446" s="14"/>
      <c r="F446" s="13"/>
      <c r="G446" s="15"/>
      <c r="H446" s="16" t="str">
        <f aca="false">IF(OR(D446="",E446="",E446&lt;D446),"",E446-D446+1)</f>
        <v/>
      </c>
      <c r="I446" s="17" t="str">
        <f aca="false">IF(OR(H446="",C446=""),"",IF(F446="İptal",0,H446*IFERROR(INDEX(Ürünler!$B$5:$B$64,MATCH(C446,Ürünler!$A$5:$A$64,0)),0)-G446))</f>
        <v/>
      </c>
      <c r="J446" s="18" t="str">
        <f aca="false">IF(OR(H446="",C446="",F446="İptal"),"",IF(COUNTIFS($C$5:$C$1504,C446,$D$5:$D$1504,"&lt;="&amp;E446,$E$5:$E$1504,"&gt;="&amp;D446,$F$5:$F$1504,"&lt;&gt;İptal")&gt;1,"Çakışıyor",""))</f>
        <v/>
      </c>
    </row>
    <row r="447" customFormat="false" ht="15" hidden="false" customHeight="false" outlineLevel="0" collapsed="false">
      <c r="A447" s="12"/>
      <c r="B447" s="12"/>
      <c r="C447" s="13"/>
      <c r="D447" s="14"/>
      <c r="E447" s="14"/>
      <c r="F447" s="13"/>
      <c r="G447" s="15"/>
      <c r="H447" s="16" t="str">
        <f aca="false">IF(OR(D447="",E447="",E447&lt;D447),"",E447-D447+1)</f>
        <v/>
      </c>
      <c r="I447" s="17" t="str">
        <f aca="false">IF(OR(H447="",C447=""),"",IF(F447="İptal",0,H447*IFERROR(INDEX(Ürünler!$B$5:$B$64,MATCH(C447,Ürünler!$A$5:$A$64,0)),0)-G447))</f>
        <v/>
      </c>
      <c r="J447" s="18" t="str">
        <f aca="false">IF(OR(H447="",C447="",F447="İptal"),"",IF(COUNTIFS($C$5:$C$1504,C447,$D$5:$D$1504,"&lt;="&amp;E447,$E$5:$E$1504,"&gt;="&amp;D447,$F$5:$F$1504,"&lt;&gt;İptal")&gt;1,"Çakışıyor",""))</f>
        <v/>
      </c>
    </row>
    <row r="448" customFormat="false" ht="15" hidden="false" customHeight="false" outlineLevel="0" collapsed="false">
      <c r="A448" s="12"/>
      <c r="B448" s="12"/>
      <c r="C448" s="13"/>
      <c r="D448" s="14"/>
      <c r="E448" s="14"/>
      <c r="F448" s="13"/>
      <c r="G448" s="15"/>
      <c r="H448" s="16" t="str">
        <f aca="false">IF(OR(D448="",E448="",E448&lt;D448),"",E448-D448+1)</f>
        <v/>
      </c>
      <c r="I448" s="17" t="str">
        <f aca="false">IF(OR(H448="",C448=""),"",IF(F448="İptal",0,H448*IFERROR(INDEX(Ürünler!$B$5:$B$64,MATCH(C448,Ürünler!$A$5:$A$64,0)),0)-G448))</f>
        <v/>
      </c>
      <c r="J448" s="18" t="str">
        <f aca="false">IF(OR(H448="",C448="",F448="İptal"),"",IF(COUNTIFS($C$5:$C$1504,C448,$D$5:$D$1504,"&lt;="&amp;E448,$E$5:$E$1504,"&gt;="&amp;D448,$F$5:$F$1504,"&lt;&gt;İptal")&gt;1,"Çakışıyor",""))</f>
        <v/>
      </c>
    </row>
    <row r="449" customFormat="false" ht="15" hidden="false" customHeight="false" outlineLevel="0" collapsed="false">
      <c r="A449" s="12"/>
      <c r="B449" s="12"/>
      <c r="C449" s="13"/>
      <c r="D449" s="14"/>
      <c r="E449" s="14"/>
      <c r="F449" s="13"/>
      <c r="G449" s="15"/>
      <c r="H449" s="16" t="str">
        <f aca="false">IF(OR(D449="",E449="",E449&lt;D449),"",E449-D449+1)</f>
        <v/>
      </c>
      <c r="I449" s="17" t="str">
        <f aca="false">IF(OR(H449="",C449=""),"",IF(F449="İptal",0,H449*IFERROR(INDEX(Ürünler!$B$5:$B$64,MATCH(C449,Ürünler!$A$5:$A$64,0)),0)-G449))</f>
        <v/>
      </c>
      <c r="J449" s="18" t="str">
        <f aca="false">IF(OR(H449="",C449="",F449="İptal"),"",IF(COUNTIFS($C$5:$C$1504,C449,$D$5:$D$1504,"&lt;="&amp;E449,$E$5:$E$1504,"&gt;="&amp;D449,$F$5:$F$1504,"&lt;&gt;İptal")&gt;1,"Çakışıyor",""))</f>
        <v/>
      </c>
    </row>
    <row r="450" customFormat="false" ht="15" hidden="false" customHeight="false" outlineLevel="0" collapsed="false">
      <c r="A450" s="12"/>
      <c r="B450" s="12"/>
      <c r="C450" s="13"/>
      <c r="D450" s="14"/>
      <c r="E450" s="14"/>
      <c r="F450" s="13"/>
      <c r="G450" s="15"/>
      <c r="H450" s="16" t="str">
        <f aca="false">IF(OR(D450="",E450="",E450&lt;D450),"",E450-D450+1)</f>
        <v/>
      </c>
      <c r="I450" s="17" t="str">
        <f aca="false">IF(OR(H450="",C450=""),"",IF(F450="İptal",0,H450*IFERROR(INDEX(Ürünler!$B$5:$B$64,MATCH(C450,Ürünler!$A$5:$A$64,0)),0)-G450))</f>
        <v/>
      </c>
      <c r="J450" s="18" t="str">
        <f aca="false">IF(OR(H450="",C450="",F450="İptal"),"",IF(COUNTIFS($C$5:$C$1504,C450,$D$5:$D$1504,"&lt;="&amp;E450,$E$5:$E$1504,"&gt;="&amp;D450,$F$5:$F$1504,"&lt;&gt;İptal")&gt;1,"Çakışıyor",""))</f>
        <v/>
      </c>
    </row>
    <row r="451" customFormat="false" ht="15" hidden="false" customHeight="false" outlineLevel="0" collapsed="false">
      <c r="A451" s="12"/>
      <c r="B451" s="12"/>
      <c r="C451" s="13"/>
      <c r="D451" s="14"/>
      <c r="E451" s="14"/>
      <c r="F451" s="13"/>
      <c r="G451" s="15"/>
      <c r="H451" s="16" t="str">
        <f aca="false">IF(OR(D451="",E451="",E451&lt;D451),"",E451-D451+1)</f>
        <v/>
      </c>
      <c r="I451" s="17" t="str">
        <f aca="false">IF(OR(H451="",C451=""),"",IF(F451="İptal",0,H451*IFERROR(INDEX(Ürünler!$B$5:$B$64,MATCH(C451,Ürünler!$A$5:$A$64,0)),0)-G451))</f>
        <v/>
      </c>
      <c r="J451" s="18" t="str">
        <f aca="false">IF(OR(H451="",C451="",F451="İptal"),"",IF(COUNTIFS($C$5:$C$1504,C451,$D$5:$D$1504,"&lt;="&amp;E451,$E$5:$E$1504,"&gt;="&amp;D451,$F$5:$F$1504,"&lt;&gt;İptal")&gt;1,"Çakışıyor",""))</f>
        <v/>
      </c>
    </row>
    <row r="452" customFormat="false" ht="15" hidden="false" customHeight="false" outlineLevel="0" collapsed="false">
      <c r="A452" s="12"/>
      <c r="B452" s="12"/>
      <c r="C452" s="13"/>
      <c r="D452" s="14"/>
      <c r="E452" s="14"/>
      <c r="F452" s="13"/>
      <c r="G452" s="15"/>
      <c r="H452" s="16" t="str">
        <f aca="false">IF(OR(D452="",E452="",E452&lt;D452),"",E452-D452+1)</f>
        <v/>
      </c>
      <c r="I452" s="17" t="str">
        <f aca="false">IF(OR(H452="",C452=""),"",IF(F452="İptal",0,H452*IFERROR(INDEX(Ürünler!$B$5:$B$64,MATCH(C452,Ürünler!$A$5:$A$64,0)),0)-G452))</f>
        <v/>
      </c>
      <c r="J452" s="18" t="str">
        <f aca="false">IF(OR(H452="",C452="",F452="İptal"),"",IF(COUNTIFS($C$5:$C$1504,C452,$D$5:$D$1504,"&lt;="&amp;E452,$E$5:$E$1504,"&gt;="&amp;D452,$F$5:$F$1504,"&lt;&gt;İptal")&gt;1,"Çakışıyor",""))</f>
        <v/>
      </c>
    </row>
    <row r="453" customFormat="false" ht="15" hidden="false" customHeight="false" outlineLevel="0" collapsed="false">
      <c r="A453" s="12"/>
      <c r="B453" s="12"/>
      <c r="C453" s="13"/>
      <c r="D453" s="14"/>
      <c r="E453" s="14"/>
      <c r="F453" s="13"/>
      <c r="G453" s="15"/>
      <c r="H453" s="16" t="str">
        <f aca="false">IF(OR(D453="",E453="",E453&lt;D453),"",E453-D453+1)</f>
        <v/>
      </c>
      <c r="I453" s="17" t="str">
        <f aca="false">IF(OR(H453="",C453=""),"",IF(F453="İptal",0,H453*IFERROR(INDEX(Ürünler!$B$5:$B$64,MATCH(C453,Ürünler!$A$5:$A$64,0)),0)-G453))</f>
        <v/>
      </c>
      <c r="J453" s="18" t="str">
        <f aca="false">IF(OR(H453="",C453="",F453="İptal"),"",IF(COUNTIFS($C$5:$C$1504,C453,$D$5:$D$1504,"&lt;="&amp;E453,$E$5:$E$1504,"&gt;="&amp;D453,$F$5:$F$1504,"&lt;&gt;İptal")&gt;1,"Çakışıyor",""))</f>
        <v/>
      </c>
    </row>
    <row r="454" customFormat="false" ht="15" hidden="false" customHeight="false" outlineLevel="0" collapsed="false">
      <c r="A454" s="12"/>
      <c r="B454" s="12"/>
      <c r="C454" s="13"/>
      <c r="D454" s="14"/>
      <c r="E454" s="14"/>
      <c r="F454" s="13"/>
      <c r="G454" s="15"/>
      <c r="H454" s="16" t="str">
        <f aca="false">IF(OR(D454="",E454="",E454&lt;D454),"",E454-D454+1)</f>
        <v/>
      </c>
      <c r="I454" s="17" t="str">
        <f aca="false">IF(OR(H454="",C454=""),"",IF(F454="İptal",0,H454*IFERROR(INDEX(Ürünler!$B$5:$B$64,MATCH(C454,Ürünler!$A$5:$A$64,0)),0)-G454))</f>
        <v/>
      </c>
      <c r="J454" s="18" t="str">
        <f aca="false">IF(OR(H454="",C454="",F454="İptal"),"",IF(COUNTIFS($C$5:$C$1504,C454,$D$5:$D$1504,"&lt;="&amp;E454,$E$5:$E$1504,"&gt;="&amp;D454,$F$5:$F$1504,"&lt;&gt;İptal")&gt;1,"Çakışıyor",""))</f>
        <v/>
      </c>
    </row>
    <row r="455" customFormat="false" ht="15" hidden="false" customHeight="false" outlineLevel="0" collapsed="false">
      <c r="A455" s="12"/>
      <c r="B455" s="12"/>
      <c r="C455" s="13"/>
      <c r="D455" s="14"/>
      <c r="E455" s="14"/>
      <c r="F455" s="13"/>
      <c r="G455" s="15"/>
      <c r="H455" s="16" t="str">
        <f aca="false">IF(OR(D455="",E455="",E455&lt;D455),"",E455-D455+1)</f>
        <v/>
      </c>
      <c r="I455" s="17" t="str">
        <f aca="false">IF(OR(H455="",C455=""),"",IF(F455="İptal",0,H455*IFERROR(INDEX(Ürünler!$B$5:$B$64,MATCH(C455,Ürünler!$A$5:$A$64,0)),0)-G455))</f>
        <v/>
      </c>
      <c r="J455" s="18" t="str">
        <f aca="false">IF(OR(H455="",C455="",F455="İptal"),"",IF(COUNTIFS($C$5:$C$1504,C455,$D$5:$D$1504,"&lt;="&amp;E455,$E$5:$E$1504,"&gt;="&amp;D455,$F$5:$F$1504,"&lt;&gt;İptal")&gt;1,"Çakışıyor",""))</f>
        <v/>
      </c>
    </row>
    <row r="456" customFormat="false" ht="15" hidden="false" customHeight="false" outlineLevel="0" collapsed="false">
      <c r="A456" s="12"/>
      <c r="B456" s="12"/>
      <c r="C456" s="13"/>
      <c r="D456" s="14"/>
      <c r="E456" s="14"/>
      <c r="F456" s="13"/>
      <c r="G456" s="15"/>
      <c r="H456" s="16" t="str">
        <f aca="false">IF(OR(D456="",E456="",E456&lt;D456),"",E456-D456+1)</f>
        <v/>
      </c>
      <c r="I456" s="17" t="str">
        <f aca="false">IF(OR(H456="",C456=""),"",IF(F456="İptal",0,H456*IFERROR(INDEX(Ürünler!$B$5:$B$64,MATCH(C456,Ürünler!$A$5:$A$64,0)),0)-G456))</f>
        <v/>
      </c>
      <c r="J456" s="18" t="str">
        <f aca="false">IF(OR(H456="",C456="",F456="İptal"),"",IF(COUNTIFS($C$5:$C$1504,C456,$D$5:$D$1504,"&lt;="&amp;E456,$E$5:$E$1504,"&gt;="&amp;D456,$F$5:$F$1504,"&lt;&gt;İptal")&gt;1,"Çakışıyor",""))</f>
        <v/>
      </c>
    </row>
    <row r="457" customFormat="false" ht="15" hidden="false" customHeight="false" outlineLevel="0" collapsed="false">
      <c r="A457" s="12"/>
      <c r="B457" s="12"/>
      <c r="C457" s="13"/>
      <c r="D457" s="14"/>
      <c r="E457" s="14"/>
      <c r="F457" s="13"/>
      <c r="G457" s="15"/>
      <c r="H457" s="16" t="str">
        <f aca="false">IF(OR(D457="",E457="",E457&lt;D457),"",E457-D457+1)</f>
        <v/>
      </c>
      <c r="I457" s="17" t="str">
        <f aca="false">IF(OR(H457="",C457=""),"",IF(F457="İptal",0,H457*IFERROR(INDEX(Ürünler!$B$5:$B$64,MATCH(C457,Ürünler!$A$5:$A$64,0)),0)-G457))</f>
        <v/>
      </c>
      <c r="J457" s="18" t="str">
        <f aca="false">IF(OR(H457="",C457="",F457="İptal"),"",IF(COUNTIFS($C$5:$C$1504,C457,$D$5:$D$1504,"&lt;="&amp;E457,$E$5:$E$1504,"&gt;="&amp;D457,$F$5:$F$1504,"&lt;&gt;İptal")&gt;1,"Çakışıyor",""))</f>
        <v/>
      </c>
    </row>
    <row r="458" customFormat="false" ht="15" hidden="false" customHeight="false" outlineLevel="0" collapsed="false">
      <c r="A458" s="12"/>
      <c r="B458" s="12"/>
      <c r="C458" s="13"/>
      <c r="D458" s="14"/>
      <c r="E458" s="14"/>
      <c r="F458" s="13"/>
      <c r="G458" s="15"/>
      <c r="H458" s="16" t="str">
        <f aca="false">IF(OR(D458="",E458="",E458&lt;D458),"",E458-D458+1)</f>
        <v/>
      </c>
      <c r="I458" s="17" t="str">
        <f aca="false">IF(OR(H458="",C458=""),"",IF(F458="İptal",0,H458*IFERROR(INDEX(Ürünler!$B$5:$B$64,MATCH(C458,Ürünler!$A$5:$A$64,0)),0)-G458))</f>
        <v/>
      </c>
      <c r="J458" s="18" t="str">
        <f aca="false">IF(OR(H458="",C458="",F458="İptal"),"",IF(COUNTIFS($C$5:$C$1504,C458,$D$5:$D$1504,"&lt;="&amp;E458,$E$5:$E$1504,"&gt;="&amp;D458,$F$5:$F$1504,"&lt;&gt;İptal")&gt;1,"Çakışıyor",""))</f>
        <v/>
      </c>
    </row>
    <row r="459" customFormat="false" ht="15" hidden="false" customHeight="false" outlineLevel="0" collapsed="false">
      <c r="A459" s="12"/>
      <c r="B459" s="12"/>
      <c r="C459" s="13"/>
      <c r="D459" s="14"/>
      <c r="E459" s="14"/>
      <c r="F459" s="13"/>
      <c r="G459" s="15"/>
      <c r="H459" s="16" t="str">
        <f aca="false">IF(OR(D459="",E459="",E459&lt;D459),"",E459-D459+1)</f>
        <v/>
      </c>
      <c r="I459" s="17" t="str">
        <f aca="false">IF(OR(H459="",C459=""),"",IF(F459="İptal",0,H459*IFERROR(INDEX(Ürünler!$B$5:$B$64,MATCH(C459,Ürünler!$A$5:$A$64,0)),0)-G459))</f>
        <v/>
      </c>
      <c r="J459" s="18" t="str">
        <f aca="false">IF(OR(H459="",C459="",F459="İptal"),"",IF(COUNTIFS($C$5:$C$1504,C459,$D$5:$D$1504,"&lt;="&amp;E459,$E$5:$E$1504,"&gt;="&amp;D459,$F$5:$F$1504,"&lt;&gt;İptal")&gt;1,"Çakışıyor",""))</f>
        <v/>
      </c>
    </row>
    <row r="460" customFormat="false" ht="15" hidden="false" customHeight="false" outlineLevel="0" collapsed="false">
      <c r="A460" s="12"/>
      <c r="B460" s="12"/>
      <c r="C460" s="13"/>
      <c r="D460" s="14"/>
      <c r="E460" s="14"/>
      <c r="F460" s="13"/>
      <c r="G460" s="15"/>
      <c r="H460" s="16" t="str">
        <f aca="false">IF(OR(D460="",E460="",E460&lt;D460),"",E460-D460+1)</f>
        <v/>
      </c>
      <c r="I460" s="17" t="str">
        <f aca="false">IF(OR(H460="",C460=""),"",IF(F460="İptal",0,H460*IFERROR(INDEX(Ürünler!$B$5:$B$64,MATCH(C460,Ürünler!$A$5:$A$64,0)),0)-G460))</f>
        <v/>
      </c>
      <c r="J460" s="18" t="str">
        <f aca="false">IF(OR(H460="",C460="",F460="İptal"),"",IF(COUNTIFS($C$5:$C$1504,C460,$D$5:$D$1504,"&lt;="&amp;E460,$E$5:$E$1504,"&gt;="&amp;D460,$F$5:$F$1504,"&lt;&gt;İptal")&gt;1,"Çakışıyor",""))</f>
        <v/>
      </c>
    </row>
    <row r="461" customFormat="false" ht="15" hidden="false" customHeight="false" outlineLevel="0" collapsed="false">
      <c r="A461" s="12"/>
      <c r="B461" s="12"/>
      <c r="C461" s="13"/>
      <c r="D461" s="14"/>
      <c r="E461" s="14"/>
      <c r="F461" s="13"/>
      <c r="G461" s="15"/>
      <c r="H461" s="16" t="str">
        <f aca="false">IF(OR(D461="",E461="",E461&lt;D461),"",E461-D461+1)</f>
        <v/>
      </c>
      <c r="I461" s="17" t="str">
        <f aca="false">IF(OR(H461="",C461=""),"",IF(F461="İptal",0,H461*IFERROR(INDEX(Ürünler!$B$5:$B$64,MATCH(C461,Ürünler!$A$5:$A$64,0)),0)-G461))</f>
        <v/>
      </c>
      <c r="J461" s="18" t="str">
        <f aca="false">IF(OR(H461="",C461="",F461="İptal"),"",IF(COUNTIFS($C$5:$C$1504,C461,$D$5:$D$1504,"&lt;="&amp;E461,$E$5:$E$1504,"&gt;="&amp;D461,$F$5:$F$1504,"&lt;&gt;İptal")&gt;1,"Çakışıyor",""))</f>
        <v/>
      </c>
    </row>
    <row r="462" customFormat="false" ht="15" hidden="false" customHeight="false" outlineLevel="0" collapsed="false">
      <c r="A462" s="12"/>
      <c r="B462" s="12"/>
      <c r="C462" s="13"/>
      <c r="D462" s="14"/>
      <c r="E462" s="14"/>
      <c r="F462" s="13"/>
      <c r="G462" s="15"/>
      <c r="H462" s="16" t="str">
        <f aca="false">IF(OR(D462="",E462="",E462&lt;D462),"",E462-D462+1)</f>
        <v/>
      </c>
      <c r="I462" s="17" t="str">
        <f aca="false">IF(OR(H462="",C462=""),"",IF(F462="İptal",0,H462*IFERROR(INDEX(Ürünler!$B$5:$B$64,MATCH(C462,Ürünler!$A$5:$A$64,0)),0)-G462))</f>
        <v/>
      </c>
      <c r="J462" s="18" t="str">
        <f aca="false">IF(OR(H462="",C462="",F462="İptal"),"",IF(COUNTIFS($C$5:$C$1504,C462,$D$5:$D$1504,"&lt;="&amp;E462,$E$5:$E$1504,"&gt;="&amp;D462,$F$5:$F$1504,"&lt;&gt;İptal")&gt;1,"Çakışıyor",""))</f>
        <v/>
      </c>
    </row>
    <row r="463" customFormat="false" ht="15" hidden="false" customHeight="false" outlineLevel="0" collapsed="false">
      <c r="A463" s="12"/>
      <c r="B463" s="12"/>
      <c r="C463" s="13"/>
      <c r="D463" s="14"/>
      <c r="E463" s="14"/>
      <c r="F463" s="13"/>
      <c r="G463" s="15"/>
      <c r="H463" s="16" t="str">
        <f aca="false">IF(OR(D463="",E463="",E463&lt;D463),"",E463-D463+1)</f>
        <v/>
      </c>
      <c r="I463" s="17" t="str">
        <f aca="false">IF(OR(H463="",C463=""),"",IF(F463="İptal",0,H463*IFERROR(INDEX(Ürünler!$B$5:$B$64,MATCH(C463,Ürünler!$A$5:$A$64,0)),0)-G463))</f>
        <v/>
      </c>
      <c r="J463" s="18" t="str">
        <f aca="false">IF(OR(H463="",C463="",F463="İptal"),"",IF(COUNTIFS($C$5:$C$1504,C463,$D$5:$D$1504,"&lt;="&amp;E463,$E$5:$E$1504,"&gt;="&amp;D463,$F$5:$F$1504,"&lt;&gt;İptal")&gt;1,"Çakışıyor",""))</f>
        <v/>
      </c>
    </row>
    <row r="464" customFormat="false" ht="15" hidden="false" customHeight="false" outlineLevel="0" collapsed="false">
      <c r="A464" s="12"/>
      <c r="B464" s="12"/>
      <c r="C464" s="13"/>
      <c r="D464" s="14"/>
      <c r="E464" s="14"/>
      <c r="F464" s="13"/>
      <c r="G464" s="15"/>
      <c r="H464" s="16" t="str">
        <f aca="false">IF(OR(D464="",E464="",E464&lt;D464),"",E464-D464+1)</f>
        <v/>
      </c>
      <c r="I464" s="17" t="str">
        <f aca="false">IF(OR(H464="",C464=""),"",IF(F464="İptal",0,H464*IFERROR(INDEX(Ürünler!$B$5:$B$64,MATCH(C464,Ürünler!$A$5:$A$64,0)),0)-G464))</f>
        <v/>
      </c>
      <c r="J464" s="18" t="str">
        <f aca="false">IF(OR(H464="",C464="",F464="İptal"),"",IF(COUNTIFS($C$5:$C$1504,C464,$D$5:$D$1504,"&lt;="&amp;E464,$E$5:$E$1504,"&gt;="&amp;D464,$F$5:$F$1504,"&lt;&gt;İptal")&gt;1,"Çakışıyor",""))</f>
        <v/>
      </c>
    </row>
    <row r="465" customFormat="false" ht="15" hidden="false" customHeight="false" outlineLevel="0" collapsed="false">
      <c r="A465" s="12"/>
      <c r="B465" s="12"/>
      <c r="C465" s="13"/>
      <c r="D465" s="14"/>
      <c r="E465" s="14"/>
      <c r="F465" s="13"/>
      <c r="G465" s="15"/>
      <c r="H465" s="16" t="str">
        <f aca="false">IF(OR(D465="",E465="",E465&lt;D465),"",E465-D465+1)</f>
        <v/>
      </c>
      <c r="I465" s="17" t="str">
        <f aca="false">IF(OR(H465="",C465=""),"",IF(F465="İptal",0,H465*IFERROR(INDEX(Ürünler!$B$5:$B$64,MATCH(C465,Ürünler!$A$5:$A$64,0)),0)-G465))</f>
        <v/>
      </c>
      <c r="J465" s="18" t="str">
        <f aca="false">IF(OR(H465="",C465="",F465="İptal"),"",IF(COUNTIFS($C$5:$C$1504,C465,$D$5:$D$1504,"&lt;="&amp;E465,$E$5:$E$1504,"&gt;="&amp;D465,$F$5:$F$1504,"&lt;&gt;İptal")&gt;1,"Çakışıyor",""))</f>
        <v/>
      </c>
    </row>
    <row r="466" customFormat="false" ht="15" hidden="false" customHeight="false" outlineLevel="0" collapsed="false">
      <c r="A466" s="12"/>
      <c r="B466" s="12"/>
      <c r="C466" s="13"/>
      <c r="D466" s="14"/>
      <c r="E466" s="14"/>
      <c r="F466" s="13"/>
      <c r="G466" s="15"/>
      <c r="H466" s="16" t="str">
        <f aca="false">IF(OR(D466="",E466="",E466&lt;D466),"",E466-D466+1)</f>
        <v/>
      </c>
      <c r="I466" s="17" t="str">
        <f aca="false">IF(OR(H466="",C466=""),"",IF(F466="İptal",0,H466*IFERROR(INDEX(Ürünler!$B$5:$B$64,MATCH(C466,Ürünler!$A$5:$A$64,0)),0)-G466))</f>
        <v/>
      </c>
      <c r="J466" s="18" t="str">
        <f aca="false">IF(OR(H466="",C466="",F466="İptal"),"",IF(COUNTIFS($C$5:$C$1504,C466,$D$5:$D$1504,"&lt;="&amp;E466,$E$5:$E$1504,"&gt;="&amp;D466,$F$5:$F$1504,"&lt;&gt;İptal")&gt;1,"Çakışıyor",""))</f>
        <v/>
      </c>
    </row>
    <row r="467" customFormat="false" ht="15" hidden="false" customHeight="false" outlineLevel="0" collapsed="false">
      <c r="A467" s="12"/>
      <c r="B467" s="12"/>
      <c r="C467" s="13"/>
      <c r="D467" s="14"/>
      <c r="E467" s="14"/>
      <c r="F467" s="13"/>
      <c r="G467" s="15"/>
      <c r="H467" s="16" t="str">
        <f aca="false">IF(OR(D467="",E467="",E467&lt;D467),"",E467-D467+1)</f>
        <v/>
      </c>
      <c r="I467" s="17" t="str">
        <f aca="false">IF(OR(H467="",C467=""),"",IF(F467="İptal",0,H467*IFERROR(INDEX(Ürünler!$B$5:$B$64,MATCH(C467,Ürünler!$A$5:$A$64,0)),0)-G467))</f>
        <v/>
      </c>
      <c r="J467" s="18" t="str">
        <f aca="false">IF(OR(H467="",C467="",F467="İptal"),"",IF(COUNTIFS($C$5:$C$1504,C467,$D$5:$D$1504,"&lt;="&amp;E467,$E$5:$E$1504,"&gt;="&amp;D467,$F$5:$F$1504,"&lt;&gt;İptal")&gt;1,"Çakışıyor",""))</f>
        <v/>
      </c>
    </row>
    <row r="468" customFormat="false" ht="15" hidden="false" customHeight="false" outlineLevel="0" collapsed="false">
      <c r="A468" s="12"/>
      <c r="B468" s="12"/>
      <c r="C468" s="13"/>
      <c r="D468" s="14"/>
      <c r="E468" s="14"/>
      <c r="F468" s="13"/>
      <c r="G468" s="15"/>
      <c r="H468" s="16" t="str">
        <f aca="false">IF(OR(D468="",E468="",E468&lt;D468),"",E468-D468+1)</f>
        <v/>
      </c>
      <c r="I468" s="17" t="str">
        <f aca="false">IF(OR(H468="",C468=""),"",IF(F468="İptal",0,H468*IFERROR(INDEX(Ürünler!$B$5:$B$64,MATCH(C468,Ürünler!$A$5:$A$64,0)),0)-G468))</f>
        <v/>
      </c>
      <c r="J468" s="18" t="str">
        <f aca="false">IF(OR(H468="",C468="",F468="İptal"),"",IF(COUNTIFS($C$5:$C$1504,C468,$D$5:$D$1504,"&lt;="&amp;E468,$E$5:$E$1504,"&gt;="&amp;D468,$F$5:$F$1504,"&lt;&gt;İptal")&gt;1,"Çakışıyor",""))</f>
        <v/>
      </c>
    </row>
    <row r="469" customFormat="false" ht="15" hidden="false" customHeight="false" outlineLevel="0" collapsed="false">
      <c r="A469" s="12"/>
      <c r="B469" s="12"/>
      <c r="C469" s="13"/>
      <c r="D469" s="14"/>
      <c r="E469" s="14"/>
      <c r="F469" s="13"/>
      <c r="G469" s="15"/>
      <c r="H469" s="16" t="str">
        <f aca="false">IF(OR(D469="",E469="",E469&lt;D469),"",E469-D469+1)</f>
        <v/>
      </c>
      <c r="I469" s="17" t="str">
        <f aca="false">IF(OR(H469="",C469=""),"",IF(F469="İptal",0,H469*IFERROR(INDEX(Ürünler!$B$5:$B$64,MATCH(C469,Ürünler!$A$5:$A$64,0)),0)-G469))</f>
        <v/>
      </c>
      <c r="J469" s="18" t="str">
        <f aca="false">IF(OR(H469="",C469="",F469="İptal"),"",IF(COUNTIFS($C$5:$C$1504,C469,$D$5:$D$1504,"&lt;="&amp;E469,$E$5:$E$1504,"&gt;="&amp;D469,$F$5:$F$1504,"&lt;&gt;İptal")&gt;1,"Çakışıyor",""))</f>
        <v/>
      </c>
    </row>
    <row r="470" customFormat="false" ht="15" hidden="false" customHeight="false" outlineLevel="0" collapsed="false">
      <c r="A470" s="12"/>
      <c r="B470" s="12"/>
      <c r="C470" s="13"/>
      <c r="D470" s="14"/>
      <c r="E470" s="14"/>
      <c r="F470" s="13"/>
      <c r="G470" s="15"/>
      <c r="H470" s="16" t="str">
        <f aca="false">IF(OR(D470="",E470="",E470&lt;D470),"",E470-D470+1)</f>
        <v/>
      </c>
      <c r="I470" s="17" t="str">
        <f aca="false">IF(OR(H470="",C470=""),"",IF(F470="İptal",0,H470*IFERROR(INDEX(Ürünler!$B$5:$B$64,MATCH(C470,Ürünler!$A$5:$A$64,0)),0)-G470))</f>
        <v/>
      </c>
      <c r="J470" s="18" t="str">
        <f aca="false">IF(OR(H470="",C470="",F470="İptal"),"",IF(COUNTIFS($C$5:$C$1504,C470,$D$5:$D$1504,"&lt;="&amp;E470,$E$5:$E$1504,"&gt;="&amp;D470,$F$5:$F$1504,"&lt;&gt;İptal")&gt;1,"Çakışıyor",""))</f>
        <v/>
      </c>
    </row>
    <row r="471" customFormat="false" ht="15" hidden="false" customHeight="false" outlineLevel="0" collapsed="false">
      <c r="A471" s="12"/>
      <c r="B471" s="12"/>
      <c r="C471" s="13"/>
      <c r="D471" s="14"/>
      <c r="E471" s="14"/>
      <c r="F471" s="13"/>
      <c r="G471" s="15"/>
      <c r="H471" s="16" t="str">
        <f aca="false">IF(OR(D471="",E471="",E471&lt;D471),"",E471-D471+1)</f>
        <v/>
      </c>
      <c r="I471" s="17" t="str">
        <f aca="false">IF(OR(H471="",C471=""),"",IF(F471="İptal",0,H471*IFERROR(INDEX(Ürünler!$B$5:$B$64,MATCH(C471,Ürünler!$A$5:$A$64,0)),0)-G471))</f>
        <v/>
      </c>
      <c r="J471" s="18" t="str">
        <f aca="false">IF(OR(H471="",C471="",F471="İptal"),"",IF(COUNTIFS($C$5:$C$1504,C471,$D$5:$D$1504,"&lt;="&amp;E471,$E$5:$E$1504,"&gt;="&amp;D471,$F$5:$F$1504,"&lt;&gt;İptal")&gt;1,"Çakışıyor",""))</f>
        <v/>
      </c>
    </row>
    <row r="472" customFormat="false" ht="15" hidden="false" customHeight="false" outlineLevel="0" collapsed="false">
      <c r="A472" s="12"/>
      <c r="B472" s="12"/>
      <c r="C472" s="13"/>
      <c r="D472" s="14"/>
      <c r="E472" s="14"/>
      <c r="F472" s="13"/>
      <c r="G472" s="15"/>
      <c r="H472" s="16" t="str">
        <f aca="false">IF(OR(D472="",E472="",E472&lt;D472),"",E472-D472+1)</f>
        <v/>
      </c>
      <c r="I472" s="17" t="str">
        <f aca="false">IF(OR(H472="",C472=""),"",IF(F472="İptal",0,H472*IFERROR(INDEX(Ürünler!$B$5:$B$64,MATCH(C472,Ürünler!$A$5:$A$64,0)),0)-G472))</f>
        <v/>
      </c>
      <c r="J472" s="18" t="str">
        <f aca="false">IF(OR(H472="",C472="",F472="İptal"),"",IF(COUNTIFS($C$5:$C$1504,C472,$D$5:$D$1504,"&lt;="&amp;E472,$E$5:$E$1504,"&gt;="&amp;D472,$F$5:$F$1504,"&lt;&gt;İptal")&gt;1,"Çakışıyor",""))</f>
        <v/>
      </c>
    </row>
    <row r="473" customFormat="false" ht="15" hidden="false" customHeight="false" outlineLevel="0" collapsed="false">
      <c r="A473" s="12"/>
      <c r="B473" s="12"/>
      <c r="C473" s="13"/>
      <c r="D473" s="14"/>
      <c r="E473" s="14"/>
      <c r="F473" s="13"/>
      <c r="G473" s="15"/>
      <c r="H473" s="16" t="str">
        <f aca="false">IF(OR(D473="",E473="",E473&lt;D473),"",E473-D473+1)</f>
        <v/>
      </c>
      <c r="I473" s="17" t="str">
        <f aca="false">IF(OR(H473="",C473=""),"",IF(F473="İptal",0,H473*IFERROR(INDEX(Ürünler!$B$5:$B$64,MATCH(C473,Ürünler!$A$5:$A$64,0)),0)-G473))</f>
        <v/>
      </c>
      <c r="J473" s="18" t="str">
        <f aca="false">IF(OR(H473="",C473="",F473="İptal"),"",IF(COUNTIFS($C$5:$C$1504,C473,$D$5:$D$1504,"&lt;="&amp;E473,$E$5:$E$1504,"&gt;="&amp;D473,$F$5:$F$1504,"&lt;&gt;İptal")&gt;1,"Çakışıyor",""))</f>
        <v/>
      </c>
    </row>
    <row r="474" customFormat="false" ht="15" hidden="false" customHeight="false" outlineLevel="0" collapsed="false">
      <c r="A474" s="12"/>
      <c r="B474" s="12"/>
      <c r="C474" s="13"/>
      <c r="D474" s="14"/>
      <c r="E474" s="14"/>
      <c r="F474" s="13"/>
      <c r="G474" s="15"/>
      <c r="H474" s="16" t="str">
        <f aca="false">IF(OR(D474="",E474="",E474&lt;D474),"",E474-D474+1)</f>
        <v/>
      </c>
      <c r="I474" s="17" t="str">
        <f aca="false">IF(OR(H474="",C474=""),"",IF(F474="İptal",0,H474*IFERROR(INDEX(Ürünler!$B$5:$B$64,MATCH(C474,Ürünler!$A$5:$A$64,0)),0)-G474))</f>
        <v/>
      </c>
      <c r="J474" s="18" t="str">
        <f aca="false">IF(OR(H474="",C474="",F474="İptal"),"",IF(COUNTIFS($C$5:$C$1504,C474,$D$5:$D$1504,"&lt;="&amp;E474,$E$5:$E$1504,"&gt;="&amp;D474,$F$5:$F$1504,"&lt;&gt;İptal")&gt;1,"Çakışıyor",""))</f>
        <v/>
      </c>
    </row>
    <row r="475" customFormat="false" ht="15" hidden="false" customHeight="false" outlineLevel="0" collapsed="false">
      <c r="A475" s="12"/>
      <c r="B475" s="12"/>
      <c r="C475" s="13"/>
      <c r="D475" s="14"/>
      <c r="E475" s="14"/>
      <c r="F475" s="13"/>
      <c r="G475" s="15"/>
      <c r="H475" s="16" t="str">
        <f aca="false">IF(OR(D475="",E475="",E475&lt;D475),"",E475-D475+1)</f>
        <v/>
      </c>
      <c r="I475" s="17" t="str">
        <f aca="false">IF(OR(H475="",C475=""),"",IF(F475="İptal",0,H475*IFERROR(INDEX(Ürünler!$B$5:$B$64,MATCH(C475,Ürünler!$A$5:$A$64,0)),0)-G475))</f>
        <v/>
      </c>
      <c r="J475" s="18" t="str">
        <f aca="false">IF(OR(H475="",C475="",F475="İptal"),"",IF(COUNTIFS($C$5:$C$1504,C475,$D$5:$D$1504,"&lt;="&amp;E475,$E$5:$E$1504,"&gt;="&amp;D475,$F$5:$F$1504,"&lt;&gt;İptal")&gt;1,"Çakışıyor",""))</f>
        <v/>
      </c>
    </row>
    <row r="476" customFormat="false" ht="15" hidden="false" customHeight="false" outlineLevel="0" collapsed="false">
      <c r="A476" s="12"/>
      <c r="B476" s="12"/>
      <c r="C476" s="13"/>
      <c r="D476" s="14"/>
      <c r="E476" s="14"/>
      <c r="F476" s="13"/>
      <c r="G476" s="15"/>
      <c r="H476" s="16" t="str">
        <f aca="false">IF(OR(D476="",E476="",E476&lt;D476),"",E476-D476+1)</f>
        <v/>
      </c>
      <c r="I476" s="17" t="str">
        <f aca="false">IF(OR(H476="",C476=""),"",IF(F476="İptal",0,H476*IFERROR(INDEX(Ürünler!$B$5:$B$64,MATCH(C476,Ürünler!$A$5:$A$64,0)),0)-G476))</f>
        <v/>
      </c>
      <c r="J476" s="18" t="str">
        <f aca="false">IF(OR(H476="",C476="",F476="İptal"),"",IF(COUNTIFS($C$5:$C$1504,C476,$D$5:$D$1504,"&lt;="&amp;E476,$E$5:$E$1504,"&gt;="&amp;D476,$F$5:$F$1504,"&lt;&gt;İptal")&gt;1,"Çakışıyor",""))</f>
        <v/>
      </c>
    </row>
    <row r="477" customFormat="false" ht="15" hidden="false" customHeight="false" outlineLevel="0" collapsed="false">
      <c r="A477" s="12"/>
      <c r="B477" s="12"/>
      <c r="C477" s="13"/>
      <c r="D477" s="14"/>
      <c r="E477" s="14"/>
      <c r="F477" s="13"/>
      <c r="G477" s="15"/>
      <c r="H477" s="16" t="str">
        <f aca="false">IF(OR(D477="",E477="",E477&lt;D477),"",E477-D477+1)</f>
        <v/>
      </c>
      <c r="I477" s="17" t="str">
        <f aca="false">IF(OR(H477="",C477=""),"",IF(F477="İptal",0,H477*IFERROR(INDEX(Ürünler!$B$5:$B$64,MATCH(C477,Ürünler!$A$5:$A$64,0)),0)-G477))</f>
        <v/>
      </c>
      <c r="J477" s="18" t="str">
        <f aca="false">IF(OR(H477="",C477="",F477="İptal"),"",IF(COUNTIFS($C$5:$C$1504,C477,$D$5:$D$1504,"&lt;="&amp;E477,$E$5:$E$1504,"&gt;="&amp;D477,$F$5:$F$1504,"&lt;&gt;İptal")&gt;1,"Çakışıyor",""))</f>
        <v/>
      </c>
    </row>
    <row r="478" customFormat="false" ht="15" hidden="false" customHeight="false" outlineLevel="0" collapsed="false">
      <c r="A478" s="12"/>
      <c r="B478" s="12"/>
      <c r="C478" s="13"/>
      <c r="D478" s="14"/>
      <c r="E478" s="14"/>
      <c r="F478" s="13"/>
      <c r="G478" s="15"/>
      <c r="H478" s="16" t="str">
        <f aca="false">IF(OR(D478="",E478="",E478&lt;D478),"",E478-D478+1)</f>
        <v/>
      </c>
      <c r="I478" s="17" t="str">
        <f aca="false">IF(OR(H478="",C478=""),"",IF(F478="İptal",0,H478*IFERROR(INDEX(Ürünler!$B$5:$B$64,MATCH(C478,Ürünler!$A$5:$A$64,0)),0)-G478))</f>
        <v/>
      </c>
      <c r="J478" s="18" t="str">
        <f aca="false">IF(OR(H478="",C478="",F478="İptal"),"",IF(COUNTIFS($C$5:$C$1504,C478,$D$5:$D$1504,"&lt;="&amp;E478,$E$5:$E$1504,"&gt;="&amp;D478,$F$5:$F$1504,"&lt;&gt;İptal")&gt;1,"Çakışıyor",""))</f>
        <v/>
      </c>
    </row>
    <row r="479" customFormat="false" ht="15" hidden="false" customHeight="false" outlineLevel="0" collapsed="false">
      <c r="A479" s="12"/>
      <c r="B479" s="12"/>
      <c r="C479" s="13"/>
      <c r="D479" s="14"/>
      <c r="E479" s="14"/>
      <c r="F479" s="13"/>
      <c r="G479" s="15"/>
      <c r="H479" s="16" t="str">
        <f aca="false">IF(OR(D479="",E479="",E479&lt;D479),"",E479-D479+1)</f>
        <v/>
      </c>
      <c r="I479" s="17" t="str">
        <f aca="false">IF(OR(H479="",C479=""),"",IF(F479="İptal",0,H479*IFERROR(INDEX(Ürünler!$B$5:$B$64,MATCH(C479,Ürünler!$A$5:$A$64,0)),0)-G479))</f>
        <v/>
      </c>
      <c r="J479" s="18" t="str">
        <f aca="false">IF(OR(H479="",C479="",F479="İptal"),"",IF(COUNTIFS($C$5:$C$1504,C479,$D$5:$D$1504,"&lt;="&amp;E479,$E$5:$E$1504,"&gt;="&amp;D479,$F$5:$F$1504,"&lt;&gt;İptal")&gt;1,"Çakışıyor",""))</f>
        <v/>
      </c>
    </row>
    <row r="480" customFormat="false" ht="15" hidden="false" customHeight="false" outlineLevel="0" collapsed="false">
      <c r="A480" s="12"/>
      <c r="B480" s="12"/>
      <c r="C480" s="13"/>
      <c r="D480" s="14"/>
      <c r="E480" s="14"/>
      <c r="F480" s="13"/>
      <c r="G480" s="15"/>
      <c r="H480" s="16" t="str">
        <f aca="false">IF(OR(D480="",E480="",E480&lt;D480),"",E480-D480+1)</f>
        <v/>
      </c>
      <c r="I480" s="17" t="str">
        <f aca="false">IF(OR(H480="",C480=""),"",IF(F480="İptal",0,H480*IFERROR(INDEX(Ürünler!$B$5:$B$64,MATCH(C480,Ürünler!$A$5:$A$64,0)),0)-G480))</f>
        <v/>
      </c>
      <c r="J480" s="18" t="str">
        <f aca="false">IF(OR(H480="",C480="",F480="İptal"),"",IF(COUNTIFS($C$5:$C$1504,C480,$D$5:$D$1504,"&lt;="&amp;E480,$E$5:$E$1504,"&gt;="&amp;D480,$F$5:$F$1504,"&lt;&gt;İptal")&gt;1,"Çakışıyor",""))</f>
        <v/>
      </c>
    </row>
    <row r="481" customFormat="false" ht="15" hidden="false" customHeight="false" outlineLevel="0" collapsed="false">
      <c r="A481" s="12"/>
      <c r="B481" s="12"/>
      <c r="C481" s="13"/>
      <c r="D481" s="14"/>
      <c r="E481" s="14"/>
      <c r="F481" s="13"/>
      <c r="G481" s="15"/>
      <c r="H481" s="16" t="str">
        <f aca="false">IF(OR(D481="",E481="",E481&lt;D481),"",E481-D481+1)</f>
        <v/>
      </c>
      <c r="I481" s="17" t="str">
        <f aca="false">IF(OR(H481="",C481=""),"",IF(F481="İptal",0,H481*IFERROR(INDEX(Ürünler!$B$5:$B$64,MATCH(C481,Ürünler!$A$5:$A$64,0)),0)-G481))</f>
        <v/>
      </c>
      <c r="J481" s="18" t="str">
        <f aca="false">IF(OR(H481="",C481="",F481="İptal"),"",IF(COUNTIFS($C$5:$C$1504,C481,$D$5:$D$1504,"&lt;="&amp;E481,$E$5:$E$1504,"&gt;="&amp;D481,$F$5:$F$1504,"&lt;&gt;İptal")&gt;1,"Çakışıyor",""))</f>
        <v/>
      </c>
    </row>
    <row r="482" customFormat="false" ht="15" hidden="false" customHeight="false" outlineLevel="0" collapsed="false">
      <c r="A482" s="12"/>
      <c r="B482" s="12"/>
      <c r="C482" s="13"/>
      <c r="D482" s="14"/>
      <c r="E482" s="14"/>
      <c r="F482" s="13"/>
      <c r="G482" s="15"/>
      <c r="H482" s="16" t="str">
        <f aca="false">IF(OR(D482="",E482="",E482&lt;D482),"",E482-D482+1)</f>
        <v/>
      </c>
      <c r="I482" s="17" t="str">
        <f aca="false">IF(OR(H482="",C482=""),"",IF(F482="İptal",0,H482*IFERROR(INDEX(Ürünler!$B$5:$B$64,MATCH(C482,Ürünler!$A$5:$A$64,0)),0)-G482))</f>
        <v/>
      </c>
      <c r="J482" s="18" t="str">
        <f aca="false">IF(OR(H482="",C482="",F482="İptal"),"",IF(COUNTIFS($C$5:$C$1504,C482,$D$5:$D$1504,"&lt;="&amp;E482,$E$5:$E$1504,"&gt;="&amp;D482,$F$5:$F$1504,"&lt;&gt;İptal")&gt;1,"Çakışıyor",""))</f>
        <v/>
      </c>
    </row>
    <row r="483" customFormat="false" ht="15" hidden="false" customHeight="false" outlineLevel="0" collapsed="false">
      <c r="A483" s="12"/>
      <c r="B483" s="12"/>
      <c r="C483" s="13"/>
      <c r="D483" s="14"/>
      <c r="E483" s="14"/>
      <c r="F483" s="13"/>
      <c r="G483" s="15"/>
      <c r="H483" s="16" t="str">
        <f aca="false">IF(OR(D483="",E483="",E483&lt;D483),"",E483-D483+1)</f>
        <v/>
      </c>
      <c r="I483" s="17" t="str">
        <f aca="false">IF(OR(H483="",C483=""),"",IF(F483="İptal",0,H483*IFERROR(INDEX(Ürünler!$B$5:$B$64,MATCH(C483,Ürünler!$A$5:$A$64,0)),0)-G483))</f>
        <v/>
      </c>
      <c r="J483" s="18" t="str">
        <f aca="false">IF(OR(H483="",C483="",F483="İptal"),"",IF(COUNTIFS($C$5:$C$1504,C483,$D$5:$D$1504,"&lt;="&amp;E483,$E$5:$E$1504,"&gt;="&amp;D483,$F$5:$F$1504,"&lt;&gt;İptal")&gt;1,"Çakışıyor",""))</f>
        <v/>
      </c>
    </row>
    <row r="484" customFormat="false" ht="15" hidden="false" customHeight="false" outlineLevel="0" collapsed="false">
      <c r="A484" s="12"/>
      <c r="B484" s="12"/>
      <c r="C484" s="13"/>
      <c r="D484" s="14"/>
      <c r="E484" s="14"/>
      <c r="F484" s="13"/>
      <c r="G484" s="15"/>
      <c r="H484" s="16" t="str">
        <f aca="false">IF(OR(D484="",E484="",E484&lt;D484),"",E484-D484+1)</f>
        <v/>
      </c>
      <c r="I484" s="17" t="str">
        <f aca="false">IF(OR(H484="",C484=""),"",IF(F484="İptal",0,H484*IFERROR(INDEX(Ürünler!$B$5:$B$64,MATCH(C484,Ürünler!$A$5:$A$64,0)),0)-G484))</f>
        <v/>
      </c>
      <c r="J484" s="18" t="str">
        <f aca="false">IF(OR(H484="",C484="",F484="İptal"),"",IF(COUNTIFS($C$5:$C$1504,C484,$D$5:$D$1504,"&lt;="&amp;E484,$E$5:$E$1504,"&gt;="&amp;D484,$F$5:$F$1504,"&lt;&gt;İptal")&gt;1,"Çakışıyor",""))</f>
        <v/>
      </c>
    </row>
    <row r="485" customFormat="false" ht="15" hidden="false" customHeight="false" outlineLevel="0" collapsed="false">
      <c r="A485" s="12"/>
      <c r="B485" s="12"/>
      <c r="C485" s="13"/>
      <c r="D485" s="14"/>
      <c r="E485" s="14"/>
      <c r="F485" s="13"/>
      <c r="G485" s="15"/>
      <c r="H485" s="16" t="str">
        <f aca="false">IF(OR(D485="",E485="",E485&lt;D485),"",E485-D485+1)</f>
        <v/>
      </c>
      <c r="I485" s="17" t="str">
        <f aca="false">IF(OR(H485="",C485=""),"",IF(F485="İptal",0,H485*IFERROR(INDEX(Ürünler!$B$5:$B$64,MATCH(C485,Ürünler!$A$5:$A$64,0)),0)-G485))</f>
        <v/>
      </c>
      <c r="J485" s="18" t="str">
        <f aca="false">IF(OR(H485="",C485="",F485="İptal"),"",IF(COUNTIFS($C$5:$C$1504,C485,$D$5:$D$1504,"&lt;="&amp;E485,$E$5:$E$1504,"&gt;="&amp;D485,$F$5:$F$1504,"&lt;&gt;İptal")&gt;1,"Çakışıyor",""))</f>
        <v/>
      </c>
    </row>
    <row r="486" customFormat="false" ht="15" hidden="false" customHeight="false" outlineLevel="0" collapsed="false">
      <c r="A486" s="12"/>
      <c r="B486" s="12"/>
      <c r="C486" s="13"/>
      <c r="D486" s="14"/>
      <c r="E486" s="14"/>
      <c r="F486" s="13"/>
      <c r="G486" s="15"/>
      <c r="H486" s="16" t="str">
        <f aca="false">IF(OR(D486="",E486="",E486&lt;D486),"",E486-D486+1)</f>
        <v/>
      </c>
      <c r="I486" s="17" t="str">
        <f aca="false">IF(OR(H486="",C486=""),"",IF(F486="İptal",0,H486*IFERROR(INDEX(Ürünler!$B$5:$B$64,MATCH(C486,Ürünler!$A$5:$A$64,0)),0)-G486))</f>
        <v/>
      </c>
      <c r="J486" s="18" t="str">
        <f aca="false">IF(OR(H486="",C486="",F486="İptal"),"",IF(COUNTIFS($C$5:$C$1504,C486,$D$5:$D$1504,"&lt;="&amp;E486,$E$5:$E$1504,"&gt;="&amp;D486,$F$5:$F$1504,"&lt;&gt;İptal")&gt;1,"Çakışıyor",""))</f>
        <v/>
      </c>
    </row>
    <row r="487" customFormat="false" ht="15" hidden="false" customHeight="false" outlineLevel="0" collapsed="false">
      <c r="A487" s="12"/>
      <c r="B487" s="12"/>
      <c r="C487" s="13"/>
      <c r="D487" s="14"/>
      <c r="E487" s="14"/>
      <c r="F487" s="13"/>
      <c r="G487" s="15"/>
      <c r="H487" s="16" t="str">
        <f aca="false">IF(OR(D487="",E487="",E487&lt;D487),"",E487-D487+1)</f>
        <v/>
      </c>
      <c r="I487" s="17" t="str">
        <f aca="false">IF(OR(H487="",C487=""),"",IF(F487="İptal",0,H487*IFERROR(INDEX(Ürünler!$B$5:$B$64,MATCH(C487,Ürünler!$A$5:$A$64,0)),0)-G487))</f>
        <v/>
      </c>
      <c r="J487" s="18" t="str">
        <f aca="false">IF(OR(H487="",C487="",F487="İptal"),"",IF(COUNTIFS($C$5:$C$1504,C487,$D$5:$D$1504,"&lt;="&amp;E487,$E$5:$E$1504,"&gt;="&amp;D487,$F$5:$F$1504,"&lt;&gt;İptal")&gt;1,"Çakışıyor",""))</f>
        <v/>
      </c>
    </row>
    <row r="488" customFormat="false" ht="15" hidden="false" customHeight="false" outlineLevel="0" collapsed="false">
      <c r="A488" s="12"/>
      <c r="B488" s="12"/>
      <c r="C488" s="13"/>
      <c r="D488" s="14"/>
      <c r="E488" s="14"/>
      <c r="F488" s="13"/>
      <c r="G488" s="15"/>
      <c r="H488" s="16" t="str">
        <f aca="false">IF(OR(D488="",E488="",E488&lt;D488),"",E488-D488+1)</f>
        <v/>
      </c>
      <c r="I488" s="17" t="str">
        <f aca="false">IF(OR(H488="",C488=""),"",IF(F488="İptal",0,H488*IFERROR(INDEX(Ürünler!$B$5:$B$64,MATCH(C488,Ürünler!$A$5:$A$64,0)),0)-G488))</f>
        <v/>
      </c>
      <c r="J488" s="18" t="str">
        <f aca="false">IF(OR(H488="",C488="",F488="İptal"),"",IF(COUNTIFS($C$5:$C$1504,C488,$D$5:$D$1504,"&lt;="&amp;E488,$E$5:$E$1504,"&gt;="&amp;D488,$F$5:$F$1504,"&lt;&gt;İptal")&gt;1,"Çakışıyor",""))</f>
        <v/>
      </c>
    </row>
    <row r="489" customFormat="false" ht="15" hidden="false" customHeight="false" outlineLevel="0" collapsed="false">
      <c r="A489" s="12"/>
      <c r="B489" s="12"/>
      <c r="C489" s="13"/>
      <c r="D489" s="14"/>
      <c r="E489" s="14"/>
      <c r="F489" s="13"/>
      <c r="G489" s="15"/>
      <c r="H489" s="16" t="str">
        <f aca="false">IF(OR(D489="",E489="",E489&lt;D489),"",E489-D489+1)</f>
        <v/>
      </c>
      <c r="I489" s="17" t="str">
        <f aca="false">IF(OR(H489="",C489=""),"",IF(F489="İptal",0,H489*IFERROR(INDEX(Ürünler!$B$5:$B$64,MATCH(C489,Ürünler!$A$5:$A$64,0)),0)-G489))</f>
        <v/>
      </c>
      <c r="J489" s="18" t="str">
        <f aca="false">IF(OR(H489="",C489="",F489="İptal"),"",IF(COUNTIFS($C$5:$C$1504,C489,$D$5:$D$1504,"&lt;="&amp;E489,$E$5:$E$1504,"&gt;="&amp;D489,$F$5:$F$1504,"&lt;&gt;İptal")&gt;1,"Çakışıyor",""))</f>
        <v/>
      </c>
    </row>
    <row r="490" customFormat="false" ht="15" hidden="false" customHeight="false" outlineLevel="0" collapsed="false">
      <c r="A490" s="12"/>
      <c r="B490" s="12"/>
      <c r="C490" s="13"/>
      <c r="D490" s="14"/>
      <c r="E490" s="14"/>
      <c r="F490" s="13"/>
      <c r="G490" s="15"/>
      <c r="H490" s="16" t="str">
        <f aca="false">IF(OR(D490="",E490="",E490&lt;D490),"",E490-D490+1)</f>
        <v/>
      </c>
      <c r="I490" s="17" t="str">
        <f aca="false">IF(OR(H490="",C490=""),"",IF(F490="İptal",0,H490*IFERROR(INDEX(Ürünler!$B$5:$B$64,MATCH(C490,Ürünler!$A$5:$A$64,0)),0)-G490))</f>
        <v/>
      </c>
      <c r="J490" s="18" t="str">
        <f aca="false">IF(OR(H490="",C490="",F490="İptal"),"",IF(COUNTIFS($C$5:$C$1504,C490,$D$5:$D$1504,"&lt;="&amp;E490,$E$5:$E$1504,"&gt;="&amp;D490,$F$5:$F$1504,"&lt;&gt;İptal")&gt;1,"Çakışıyor",""))</f>
        <v/>
      </c>
    </row>
    <row r="491" customFormat="false" ht="15" hidden="false" customHeight="false" outlineLevel="0" collapsed="false">
      <c r="A491" s="12"/>
      <c r="B491" s="12"/>
      <c r="C491" s="13"/>
      <c r="D491" s="14"/>
      <c r="E491" s="14"/>
      <c r="F491" s="13"/>
      <c r="G491" s="15"/>
      <c r="H491" s="16" t="str">
        <f aca="false">IF(OR(D491="",E491="",E491&lt;D491),"",E491-D491+1)</f>
        <v/>
      </c>
      <c r="I491" s="17" t="str">
        <f aca="false">IF(OR(H491="",C491=""),"",IF(F491="İptal",0,H491*IFERROR(INDEX(Ürünler!$B$5:$B$64,MATCH(C491,Ürünler!$A$5:$A$64,0)),0)-G491))</f>
        <v/>
      </c>
      <c r="J491" s="18" t="str">
        <f aca="false">IF(OR(H491="",C491="",F491="İptal"),"",IF(COUNTIFS($C$5:$C$1504,C491,$D$5:$D$1504,"&lt;="&amp;E491,$E$5:$E$1504,"&gt;="&amp;D491,$F$5:$F$1504,"&lt;&gt;İptal")&gt;1,"Çakışıyor",""))</f>
        <v/>
      </c>
    </row>
    <row r="492" customFormat="false" ht="15" hidden="false" customHeight="false" outlineLevel="0" collapsed="false">
      <c r="A492" s="12"/>
      <c r="B492" s="12"/>
      <c r="C492" s="13"/>
      <c r="D492" s="14"/>
      <c r="E492" s="14"/>
      <c r="F492" s="13"/>
      <c r="G492" s="15"/>
      <c r="H492" s="16" t="str">
        <f aca="false">IF(OR(D492="",E492="",E492&lt;D492),"",E492-D492+1)</f>
        <v/>
      </c>
      <c r="I492" s="17" t="str">
        <f aca="false">IF(OR(H492="",C492=""),"",IF(F492="İptal",0,H492*IFERROR(INDEX(Ürünler!$B$5:$B$64,MATCH(C492,Ürünler!$A$5:$A$64,0)),0)-G492))</f>
        <v/>
      </c>
      <c r="J492" s="18" t="str">
        <f aca="false">IF(OR(H492="",C492="",F492="İptal"),"",IF(COUNTIFS($C$5:$C$1504,C492,$D$5:$D$1504,"&lt;="&amp;E492,$E$5:$E$1504,"&gt;="&amp;D492,$F$5:$F$1504,"&lt;&gt;İptal")&gt;1,"Çakışıyor",""))</f>
        <v/>
      </c>
    </row>
    <row r="493" customFormat="false" ht="15" hidden="false" customHeight="false" outlineLevel="0" collapsed="false">
      <c r="A493" s="12"/>
      <c r="B493" s="12"/>
      <c r="C493" s="13"/>
      <c r="D493" s="14"/>
      <c r="E493" s="14"/>
      <c r="F493" s="13"/>
      <c r="G493" s="15"/>
      <c r="H493" s="16" t="str">
        <f aca="false">IF(OR(D493="",E493="",E493&lt;D493),"",E493-D493+1)</f>
        <v/>
      </c>
      <c r="I493" s="17" t="str">
        <f aca="false">IF(OR(H493="",C493=""),"",IF(F493="İptal",0,H493*IFERROR(INDEX(Ürünler!$B$5:$B$64,MATCH(C493,Ürünler!$A$5:$A$64,0)),0)-G493))</f>
        <v/>
      </c>
      <c r="J493" s="18" t="str">
        <f aca="false">IF(OR(H493="",C493="",F493="İptal"),"",IF(COUNTIFS($C$5:$C$1504,C493,$D$5:$D$1504,"&lt;="&amp;E493,$E$5:$E$1504,"&gt;="&amp;D493,$F$5:$F$1504,"&lt;&gt;İptal")&gt;1,"Çakışıyor",""))</f>
        <v/>
      </c>
    </row>
    <row r="494" customFormat="false" ht="15" hidden="false" customHeight="false" outlineLevel="0" collapsed="false">
      <c r="A494" s="12"/>
      <c r="B494" s="12"/>
      <c r="C494" s="13"/>
      <c r="D494" s="14"/>
      <c r="E494" s="14"/>
      <c r="F494" s="13"/>
      <c r="G494" s="15"/>
      <c r="H494" s="16" t="str">
        <f aca="false">IF(OR(D494="",E494="",E494&lt;D494),"",E494-D494+1)</f>
        <v/>
      </c>
      <c r="I494" s="17" t="str">
        <f aca="false">IF(OR(H494="",C494=""),"",IF(F494="İptal",0,H494*IFERROR(INDEX(Ürünler!$B$5:$B$64,MATCH(C494,Ürünler!$A$5:$A$64,0)),0)-G494))</f>
        <v/>
      </c>
      <c r="J494" s="18" t="str">
        <f aca="false">IF(OR(H494="",C494="",F494="İptal"),"",IF(COUNTIFS($C$5:$C$1504,C494,$D$5:$D$1504,"&lt;="&amp;E494,$E$5:$E$1504,"&gt;="&amp;D494,$F$5:$F$1504,"&lt;&gt;İptal")&gt;1,"Çakışıyor",""))</f>
        <v/>
      </c>
    </row>
    <row r="495" customFormat="false" ht="15" hidden="false" customHeight="false" outlineLevel="0" collapsed="false">
      <c r="A495" s="12"/>
      <c r="B495" s="12"/>
      <c r="C495" s="13"/>
      <c r="D495" s="14"/>
      <c r="E495" s="14"/>
      <c r="F495" s="13"/>
      <c r="G495" s="15"/>
      <c r="H495" s="16" t="str">
        <f aca="false">IF(OR(D495="",E495="",E495&lt;D495),"",E495-D495+1)</f>
        <v/>
      </c>
      <c r="I495" s="17" t="str">
        <f aca="false">IF(OR(H495="",C495=""),"",IF(F495="İptal",0,H495*IFERROR(INDEX(Ürünler!$B$5:$B$64,MATCH(C495,Ürünler!$A$5:$A$64,0)),0)-G495))</f>
        <v/>
      </c>
      <c r="J495" s="18" t="str">
        <f aca="false">IF(OR(H495="",C495="",F495="İptal"),"",IF(COUNTIFS($C$5:$C$1504,C495,$D$5:$D$1504,"&lt;="&amp;E495,$E$5:$E$1504,"&gt;="&amp;D495,$F$5:$F$1504,"&lt;&gt;İptal")&gt;1,"Çakışıyor",""))</f>
        <v/>
      </c>
    </row>
    <row r="496" customFormat="false" ht="15" hidden="false" customHeight="false" outlineLevel="0" collapsed="false">
      <c r="A496" s="12"/>
      <c r="B496" s="12"/>
      <c r="C496" s="13"/>
      <c r="D496" s="14"/>
      <c r="E496" s="14"/>
      <c r="F496" s="13"/>
      <c r="G496" s="15"/>
      <c r="H496" s="16" t="str">
        <f aca="false">IF(OR(D496="",E496="",E496&lt;D496),"",E496-D496+1)</f>
        <v/>
      </c>
      <c r="I496" s="17" t="str">
        <f aca="false">IF(OR(H496="",C496=""),"",IF(F496="İptal",0,H496*IFERROR(INDEX(Ürünler!$B$5:$B$64,MATCH(C496,Ürünler!$A$5:$A$64,0)),0)-G496))</f>
        <v/>
      </c>
      <c r="J496" s="18" t="str">
        <f aca="false">IF(OR(H496="",C496="",F496="İptal"),"",IF(COUNTIFS($C$5:$C$1504,C496,$D$5:$D$1504,"&lt;="&amp;E496,$E$5:$E$1504,"&gt;="&amp;D496,$F$5:$F$1504,"&lt;&gt;İptal")&gt;1,"Çakışıyor",""))</f>
        <v/>
      </c>
    </row>
    <row r="497" customFormat="false" ht="15" hidden="false" customHeight="false" outlineLevel="0" collapsed="false">
      <c r="A497" s="12"/>
      <c r="B497" s="12"/>
      <c r="C497" s="13"/>
      <c r="D497" s="14"/>
      <c r="E497" s="14"/>
      <c r="F497" s="13"/>
      <c r="G497" s="15"/>
      <c r="H497" s="16" t="str">
        <f aca="false">IF(OR(D497="",E497="",E497&lt;D497),"",E497-D497+1)</f>
        <v/>
      </c>
      <c r="I497" s="17" t="str">
        <f aca="false">IF(OR(H497="",C497=""),"",IF(F497="İptal",0,H497*IFERROR(INDEX(Ürünler!$B$5:$B$64,MATCH(C497,Ürünler!$A$5:$A$64,0)),0)-G497))</f>
        <v/>
      </c>
      <c r="J497" s="18" t="str">
        <f aca="false">IF(OR(H497="",C497="",F497="İptal"),"",IF(COUNTIFS($C$5:$C$1504,C497,$D$5:$D$1504,"&lt;="&amp;E497,$E$5:$E$1504,"&gt;="&amp;D497,$F$5:$F$1504,"&lt;&gt;İptal")&gt;1,"Çakışıyor",""))</f>
        <v/>
      </c>
    </row>
    <row r="498" customFormat="false" ht="15" hidden="false" customHeight="false" outlineLevel="0" collapsed="false">
      <c r="A498" s="12"/>
      <c r="B498" s="12"/>
      <c r="C498" s="13"/>
      <c r="D498" s="14"/>
      <c r="E498" s="14"/>
      <c r="F498" s="13"/>
      <c r="G498" s="15"/>
      <c r="H498" s="16" t="str">
        <f aca="false">IF(OR(D498="",E498="",E498&lt;D498),"",E498-D498+1)</f>
        <v/>
      </c>
      <c r="I498" s="17" t="str">
        <f aca="false">IF(OR(H498="",C498=""),"",IF(F498="İptal",0,H498*IFERROR(INDEX(Ürünler!$B$5:$B$64,MATCH(C498,Ürünler!$A$5:$A$64,0)),0)-G498))</f>
        <v/>
      </c>
      <c r="J498" s="18" t="str">
        <f aca="false">IF(OR(H498="",C498="",F498="İptal"),"",IF(COUNTIFS($C$5:$C$1504,C498,$D$5:$D$1504,"&lt;="&amp;E498,$E$5:$E$1504,"&gt;="&amp;D498,$F$5:$F$1504,"&lt;&gt;İptal")&gt;1,"Çakışıyor",""))</f>
        <v/>
      </c>
    </row>
    <row r="499" customFormat="false" ht="15" hidden="false" customHeight="false" outlineLevel="0" collapsed="false">
      <c r="A499" s="12"/>
      <c r="B499" s="12"/>
      <c r="C499" s="13"/>
      <c r="D499" s="14"/>
      <c r="E499" s="14"/>
      <c r="F499" s="13"/>
      <c r="G499" s="15"/>
      <c r="H499" s="16" t="str">
        <f aca="false">IF(OR(D499="",E499="",E499&lt;D499),"",E499-D499+1)</f>
        <v/>
      </c>
      <c r="I499" s="17" t="str">
        <f aca="false">IF(OR(H499="",C499=""),"",IF(F499="İptal",0,H499*IFERROR(INDEX(Ürünler!$B$5:$B$64,MATCH(C499,Ürünler!$A$5:$A$64,0)),0)-G499))</f>
        <v/>
      </c>
      <c r="J499" s="18" t="str">
        <f aca="false">IF(OR(H499="",C499="",F499="İptal"),"",IF(COUNTIFS($C$5:$C$1504,C499,$D$5:$D$1504,"&lt;="&amp;E499,$E$5:$E$1504,"&gt;="&amp;D499,$F$5:$F$1504,"&lt;&gt;İptal")&gt;1,"Çakışıyor",""))</f>
        <v/>
      </c>
    </row>
    <row r="500" customFormat="false" ht="15" hidden="false" customHeight="false" outlineLevel="0" collapsed="false">
      <c r="A500" s="12"/>
      <c r="B500" s="12"/>
      <c r="C500" s="13"/>
      <c r="D500" s="14"/>
      <c r="E500" s="14"/>
      <c r="F500" s="13"/>
      <c r="G500" s="15"/>
      <c r="H500" s="16" t="str">
        <f aca="false">IF(OR(D500="",E500="",E500&lt;D500),"",E500-D500+1)</f>
        <v/>
      </c>
      <c r="I500" s="17" t="str">
        <f aca="false">IF(OR(H500="",C500=""),"",IF(F500="İptal",0,H500*IFERROR(INDEX(Ürünler!$B$5:$B$64,MATCH(C500,Ürünler!$A$5:$A$64,0)),0)-G500))</f>
        <v/>
      </c>
      <c r="J500" s="18" t="str">
        <f aca="false">IF(OR(H500="",C500="",F500="İptal"),"",IF(COUNTIFS($C$5:$C$1504,C500,$D$5:$D$1504,"&lt;="&amp;E500,$E$5:$E$1504,"&gt;="&amp;D500,$F$5:$F$1504,"&lt;&gt;İptal")&gt;1,"Çakışıyor",""))</f>
        <v/>
      </c>
    </row>
    <row r="501" customFormat="false" ht="15" hidden="false" customHeight="false" outlineLevel="0" collapsed="false">
      <c r="A501" s="12"/>
      <c r="B501" s="12"/>
      <c r="C501" s="13"/>
      <c r="D501" s="14"/>
      <c r="E501" s="14"/>
      <c r="F501" s="13"/>
      <c r="G501" s="15"/>
      <c r="H501" s="16" t="str">
        <f aca="false">IF(OR(D501="",E501="",E501&lt;D501),"",E501-D501+1)</f>
        <v/>
      </c>
      <c r="I501" s="17" t="str">
        <f aca="false">IF(OR(H501="",C501=""),"",IF(F501="İptal",0,H501*IFERROR(INDEX(Ürünler!$B$5:$B$64,MATCH(C501,Ürünler!$A$5:$A$64,0)),0)-G501))</f>
        <v/>
      </c>
      <c r="J501" s="18" t="str">
        <f aca="false">IF(OR(H501="",C501="",F501="İptal"),"",IF(COUNTIFS($C$5:$C$1504,C501,$D$5:$D$1504,"&lt;="&amp;E501,$E$5:$E$1504,"&gt;="&amp;D501,$F$5:$F$1504,"&lt;&gt;İptal")&gt;1,"Çakışıyor",""))</f>
        <v/>
      </c>
    </row>
    <row r="502" customFormat="false" ht="15" hidden="false" customHeight="false" outlineLevel="0" collapsed="false">
      <c r="A502" s="12"/>
      <c r="B502" s="12"/>
      <c r="C502" s="13"/>
      <c r="D502" s="14"/>
      <c r="E502" s="14"/>
      <c r="F502" s="13"/>
      <c r="G502" s="15"/>
      <c r="H502" s="16" t="str">
        <f aca="false">IF(OR(D502="",E502="",E502&lt;D502),"",E502-D502+1)</f>
        <v/>
      </c>
      <c r="I502" s="17" t="str">
        <f aca="false">IF(OR(H502="",C502=""),"",IF(F502="İptal",0,H502*IFERROR(INDEX(Ürünler!$B$5:$B$64,MATCH(C502,Ürünler!$A$5:$A$64,0)),0)-G502))</f>
        <v/>
      </c>
      <c r="J502" s="18" t="str">
        <f aca="false">IF(OR(H502="",C502="",F502="İptal"),"",IF(COUNTIFS($C$5:$C$1504,C502,$D$5:$D$1504,"&lt;="&amp;E502,$E$5:$E$1504,"&gt;="&amp;D502,$F$5:$F$1504,"&lt;&gt;İptal")&gt;1,"Çakışıyor",""))</f>
        <v/>
      </c>
    </row>
    <row r="503" customFormat="false" ht="15" hidden="false" customHeight="false" outlineLevel="0" collapsed="false">
      <c r="A503" s="12"/>
      <c r="B503" s="12"/>
      <c r="C503" s="13"/>
      <c r="D503" s="14"/>
      <c r="E503" s="14"/>
      <c r="F503" s="13"/>
      <c r="G503" s="15"/>
      <c r="H503" s="16" t="str">
        <f aca="false">IF(OR(D503="",E503="",E503&lt;D503),"",E503-D503+1)</f>
        <v/>
      </c>
      <c r="I503" s="17" t="str">
        <f aca="false">IF(OR(H503="",C503=""),"",IF(F503="İptal",0,H503*IFERROR(INDEX(Ürünler!$B$5:$B$64,MATCH(C503,Ürünler!$A$5:$A$64,0)),0)-G503))</f>
        <v/>
      </c>
      <c r="J503" s="18" t="str">
        <f aca="false">IF(OR(H503="",C503="",F503="İptal"),"",IF(COUNTIFS($C$5:$C$1504,C503,$D$5:$D$1504,"&lt;="&amp;E503,$E$5:$E$1504,"&gt;="&amp;D503,$F$5:$F$1504,"&lt;&gt;İptal")&gt;1,"Çakışıyor",""))</f>
        <v/>
      </c>
    </row>
    <row r="504" customFormat="false" ht="15" hidden="false" customHeight="false" outlineLevel="0" collapsed="false">
      <c r="A504" s="12"/>
      <c r="B504" s="12"/>
      <c r="C504" s="13"/>
      <c r="D504" s="14"/>
      <c r="E504" s="14"/>
      <c r="F504" s="13"/>
      <c r="G504" s="15"/>
      <c r="H504" s="16" t="str">
        <f aca="false">IF(OR(D504="",E504="",E504&lt;D504),"",E504-D504+1)</f>
        <v/>
      </c>
      <c r="I504" s="17" t="str">
        <f aca="false">IF(OR(H504="",C504=""),"",IF(F504="İptal",0,H504*IFERROR(INDEX(Ürünler!$B$5:$B$64,MATCH(C504,Ürünler!$A$5:$A$64,0)),0)-G504))</f>
        <v/>
      </c>
      <c r="J504" s="18" t="str">
        <f aca="false">IF(OR(H504="",C504="",F504="İptal"),"",IF(COUNTIFS($C$5:$C$1504,C504,$D$5:$D$1504,"&lt;="&amp;E504,$E$5:$E$1504,"&gt;="&amp;D504,$F$5:$F$1504,"&lt;&gt;İptal")&gt;1,"Çakışıyor",""))</f>
        <v/>
      </c>
    </row>
    <row r="505" customFormat="false" ht="15" hidden="false" customHeight="false" outlineLevel="0" collapsed="false">
      <c r="A505" s="12"/>
      <c r="B505" s="12"/>
      <c r="C505" s="13"/>
      <c r="D505" s="14"/>
      <c r="E505" s="14"/>
      <c r="F505" s="13"/>
      <c r="G505" s="15"/>
      <c r="H505" s="16" t="str">
        <f aca="false">IF(OR(D505="",E505="",E505&lt;D505),"",E505-D505+1)</f>
        <v/>
      </c>
      <c r="I505" s="17" t="str">
        <f aca="false">IF(OR(H505="",C505=""),"",IF(F505="İptal",0,H505*IFERROR(INDEX(Ürünler!$B$5:$B$64,MATCH(C505,Ürünler!$A$5:$A$64,0)),0)-G505))</f>
        <v/>
      </c>
      <c r="J505" s="18" t="str">
        <f aca="false">IF(OR(H505="",C505="",F505="İptal"),"",IF(COUNTIFS($C$5:$C$1504,C505,$D$5:$D$1504,"&lt;="&amp;E505,$E$5:$E$1504,"&gt;="&amp;D505,$F$5:$F$1504,"&lt;&gt;İptal")&gt;1,"Çakışıyor",""))</f>
        <v/>
      </c>
    </row>
    <row r="506" customFormat="false" ht="15" hidden="false" customHeight="false" outlineLevel="0" collapsed="false">
      <c r="A506" s="12"/>
      <c r="B506" s="12"/>
      <c r="C506" s="13"/>
      <c r="D506" s="14"/>
      <c r="E506" s="14"/>
      <c r="F506" s="13"/>
      <c r="G506" s="15"/>
      <c r="H506" s="16" t="str">
        <f aca="false">IF(OR(D506="",E506="",E506&lt;D506),"",E506-D506+1)</f>
        <v/>
      </c>
      <c r="I506" s="17" t="str">
        <f aca="false">IF(OR(H506="",C506=""),"",IF(F506="İptal",0,H506*IFERROR(INDEX(Ürünler!$B$5:$B$64,MATCH(C506,Ürünler!$A$5:$A$64,0)),0)-G506))</f>
        <v/>
      </c>
      <c r="J506" s="18" t="str">
        <f aca="false">IF(OR(H506="",C506="",F506="İptal"),"",IF(COUNTIFS($C$5:$C$1504,C506,$D$5:$D$1504,"&lt;="&amp;E506,$E$5:$E$1504,"&gt;="&amp;D506,$F$5:$F$1504,"&lt;&gt;İptal")&gt;1,"Çakışıyor",""))</f>
        <v/>
      </c>
    </row>
    <row r="507" customFormat="false" ht="15" hidden="false" customHeight="false" outlineLevel="0" collapsed="false">
      <c r="A507" s="12"/>
      <c r="B507" s="12"/>
      <c r="C507" s="13"/>
      <c r="D507" s="14"/>
      <c r="E507" s="14"/>
      <c r="F507" s="13"/>
      <c r="G507" s="15"/>
      <c r="H507" s="16" t="str">
        <f aca="false">IF(OR(D507="",E507="",E507&lt;D507),"",E507-D507+1)</f>
        <v/>
      </c>
      <c r="I507" s="17" t="str">
        <f aca="false">IF(OR(H507="",C507=""),"",IF(F507="İptal",0,H507*IFERROR(INDEX(Ürünler!$B$5:$B$64,MATCH(C507,Ürünler!$A$5:$A$64,0)),0)-G507))</f>
        <v/>
      </c>
      <c r="J507" s="18" t="str">
        <f aca="false">IF(OR(H507="",C507="",F507="İptal"),"",IF(COUNTIFS($C$5:$C$1504,C507,$D$5:$D$1504,"&lt;="&amp;E507,$E$5:$E$1504,"&gt;="&amp;D507,$F$5:$F$1504,"&lt;&gt;İptal")&gt;1,"Çakışıyor",""))</f>
        <v/>
      </c>
    </row>
    <row r="508" customFormat="false" ht="15" hidden="false" customHeight="false" outlineLevel="0" collapsed="false">
      <c r="A508" s="12"/>
      <c r="B508" s="12"/>
      <c r="C508" s="13"/>
      <c r="D508" s="14"/>
      <c r="E508" s="14"/>
      <c r="F508" s="13"/>
      <c r="G508" s="15"/>
      <c r="H508" s="16" t="str">
        <f aca="false">IF(OR(D508="",E508="",E508&lt;D508),"",E508-D508+1)</f>
        <v/>
      </c>
      <c r="I508" s="17" t="str">
        <f aca="false">IF(OR(H508="",C508=""),"",IF(F508="İptal",0,H508*IFERROR(INDEX(Ürünler!$B$5:$B$64,MATCH(C508,Ürünler!$A$5:$A$64,0)),0)-G508))</f>
        <v/>
      </c>
      <c r="J508" s="18" t="str">
        <f aca="false">IF(OR(H508="",C508="",F508="İptal"),"",IF(COUNTIFS($C$5:$C$1504,C508,$D$5:$D$1504,"&lt;="&amp;E508,$E$5:$E$1504,"&gt;="&amp;D508,$F$5:$F$1504,"&lt;&gt;İptal")&gt;1,"Çakışıyor",""))</f>
        <v/>
      </c>
    </row>
    <row r="509" customFormat="false" ht="15" hidden="false" customHeight="false" outlineLevel="0" collapsed="false">
      <c r="A509" s="12"/>
      <c r="B509" s="12"/>
      <c r="C509" s="13"/>
      <c r="D509" s="14"/>
      <c r="E509" s="14"/>
      <c r="F509" s="13"/>
      <c r="G509" s="15"/>
      <c r="H509" s="16" t="str">
        <f aca="false">IF(OR(D509="",E509="",E509&lt;D509),"",E509-D509+1)</f>
        <v/>
      </c>
      <c r="I509" s="17" t="str">
        <f aca="false">IF(OR(H509="",C509=""),"",IF(F509="İptal",0,H509*IFERROR(INDEX(Ürünler!$B$5:$B$64,MATCH(C509,Ürünler!$A$5:$A$64,0)),0)-G509))</f>
        <v/>
      </c>
      <c r="J509" s="18" t="str">
        <f aca="false">IF(OR(H509="",C509="",F509="İptal"),"",IF(COUNTIFS($C$5:$C$1504,C509,$D$5:$D$1504,"&lt;="&amp;E509,$E$5:$E$1504,"&gt;="&amp;D509,$F$5:$F$1504,"&lt;&gt;İptal")&gt;1,"Çakışıyor",""))</f>
        <v/>
      </c>
    </row>
    <row r="510" customFormat="false" ht="15" hidden="false" customHeight="false" outlineLevel="0" collapsed="false">
      <c r="A510" s="12"/>
      <c r="B510" s="12"/>
      <c r="C510" s="13"/>
      <c r="D510" s="14"/>
      <c r="E510" s="14"/>
      <c r="F510" s="13"/>
      <c r="G510" s="15"/>
      <c r="H510" s="16" t="str">
        <f aca="false">IF(OR(D510="",E510="",E510&lt;D510),"",E510-D510+1)</f>
        <v/>
      </c>
      <c r="I510" s="17" t="str">
        <f aca="false">IF(OR(H510="",C510=""),"",IF(F510="İptal",0,H510*IFERROR(INDEX(Ürünler!$B$5:$B$64,MATCH(C510,Ürünler!$A$5:$A$64,0)),0)-G510))</f>
        <v/>
      </c>
      <c r="J510" s="18" t="str">
        <f aca="false">IF(OR(H510="",C510="",F510="İptal"),"",IF(COUNTIFS($C$5:$C$1504,C510,$D$5:$D$1504,"&lt;="&amp;E510,$E$5:$E$1504,"&gt;="&amp;D510,$F$5:$F$1504,"&lt;&gt;İptal")&gt;1,"Çakışıyor",""))</f>
        <v/>
      </c>
    </row>
    <row r="511" customFormat="false" ht="15" hidden="false" customHeight="false" outlineLevel="0" collapsed="false">
      <c r="A511" s="12"/>
      <c r="B511" s="12"/>
      <c r="C511" s="13"/>
      <c r="D511" s="14"/>
      <c r="E511" s="14"/>
      <c r="F511" s="13"/>
      <c r="G511" s="15"/>
      <c r="H511" s="16" t="str">
        <f aca="false">IF(OR(D511="",E511="",E511&lt;D511),"",E511-D511+1)</f>
        <v/>
      </c>
      <c r="I511" s="17" t="str">
        <f aca="false">IF(OR(H511="",C511=""),"",IF(F511="İptal",0,H511*IFERROR(INDEX(Ürünler!$B$5:$B$64,MATCH(C511,Ürünler!$A$5:$A$64,0)),0)-G511))</f>
        <v/>
      </c>
      <c r="J511" s="18" t="str">
        <f aca="false">IF(OR(H511="",C511="",F511="İptal"),"",IF(COUNTIFS($C$5:$C$1504,C511,$D$5:$D$1504,"&lt;="&amp;E511,$E$5:$E$1504,"&gt;="&amp;D511,$F$5:$F$1504,"&lt;&gt;İptal")&gt;1,"Çakışıyor",""))</f>
        <v/>
      </c>
    </row>
    <row r="512" customFormat="false" ht="15" hidden="false" customHeight="false" outlineLevel="0" collapsed="false">
      <c r="A512" s="12"/>
      <c r="B512" s="12"/>
      <c r="C512" s="13"/>
      <c r="D512" s="14"/>
      <c r="E512" s="14"/>
      <c r="F512" s="13"/>
      <c r="G512" s="15"/>
      <c r="H512" s="16" t="str">
        <f aca="false">IF(OR(D512="",E512="",E512&lt;D512),"",E512-D512+1)</f>
        <v/>
      </c>
      <c r="I512" s="17" t="str">
        <f aca="false">IF(OR(H512="",C512=""),"",IF(F512="İptal",0,H512*IFERROR(INDEX(Ürünler!$B$5:$B$64,MATCH(C512,Ürünler!$A$5:$A$64,0)),0)-G512))</f>
        <v/>
      </c>
      <c r="J512" s="18" t="str">
        <f aca="false">IF(OR(H512="",C512="",F512="İptal"),"",IF(COUNTIFS($C$5:$C$1504,C512,$D$5:$D$1504,"&lt;="&amp;E512,$E$5:$E$1504,"&gt;="&amp;D512,$F$5:$F$1504,"&lt;&gt;İptal")&gt;1,"Çakışıyor",""))</f>
        <v/>
      </c>
    </row>
    <row r="513" customFormat="false" ht="15" hidden="false" customHeight="false" outlineLevel="0" collapsed="false">
      <c r="A513" s="12"/>
      <c r="B513" s="12"/>
      <c r="C513" s="13"/>
      <c r="D513" s="14"/>
      <c r="E513" s="14"/>
      <c r="F513" s="13"/>
      <c r="G513" s="15"/>
      <c r="H513" s="16" t="str">
        <f aca="false">IF(OR(D513="",E513="",E513&lt;D513),"",E513-D513+1)</f>
        <v/>
      </c>
      <c r="I513" s="17" t="str">
        <f aca="false">IF(OR(H513="",C513=""),"",IF(F513="İptal",0,H513*IFERROR(INDEX(Ürünler!$B$5:$B$64,MATCH(C513,Ürünler!$A$5:$A$64,0)),0)-G513))</f>
        <v/>
      </c>
      <c r="J513" s="18" t="str">
        <f aca="false">IF(OR(H513="",C513="",F513="İptal"),"",IF(COUNTIFS($C$5:$C$1504,C513,$D$5:$D$1504,"&lt;="&amp;E513,$E$5:$E$1504,"&gt;="&amp;D513,$F$5:$F$1504,"&lt;&gt;İptal")&gt;1,"Çakışıyor",""))</f>
        <v/>
      </c>
    </row>
    <row r="514" customFormat="false" ht="15" hidden="false" customHeight="false" outlineLevel="0" collapsed="false">
      <c r="A514" s="12"/>
      <c r="B514" s="12"/>
      <c r="C514" s="13"/>
      <c r="D514" s="14"/>
      <c r="E514" s="14"/>
      <c r="F514" s="13"/>
      <c r="G514" s="15"/>
      <c r="H514" s="16" t="str">
        <f aca="false">IF(OR(D514="",E514="",E514&lt;D514),"",E514-D514+1)</f>
        <v/>
      </c>
      <c r="I514" s="17" t="str">
        <f aca="false">IF(OR(H514="",C514=""),"",IF(F514="İptal",0,H514*IFERROR(INDEX(Ürünler!$B$5:$B$64,MATCH(C514,Ürünler!$A$5:$A$64,0)),0)-G514))</f>
        <v/>
      </c>
      <c r="J514" s="18" t="str">
        <f aca="false">IF(OR(H514="",C514="",F514="İptal"),"",IF(COUNTIFS($C$5:$C$1504,C514,$D$5:$D$1504,"&lt;="&amp;E514,$E$5:$E$1504,"&gt;="&amp;D514,$F$5:$F$1504,"&lt;&gt;İptal")&gt;1,"Çakışıyor",""))</f>
        <v/>
      </c>
    </row>
    <row r="515" customFormat="false" ht="15" hidden="false" customHeight="false" outlineLevel="0" collapsed="false">
      <c r="A515" s="12"/>
      <c r="B515" s="12"/>
      <c r="C515" s="13"/>
      <c r="D515" s="14"/>
      <c r="E515" s="14"/>
      <c r="F515" s="13"/>
      <c r="G515" s="15"/>
      <c r="H515" s="16" t="str">
        <f aca="false">IF(OR(D515="",E515="",E515&lt;D515),"",E515-D515+1)</f>
        <v/>
      </c>
      <c r="I515" s="17" t="str">
        <f aca="false">IF(OR(H515="",C515=""),"",IF(F515="İptal",0,H515*IFERROR(INDEX(Ürünler!$B$5:$B$64,MATCH(C515,Ürünler!$A$5:$A$64,0)),0)-G515))</f>
        <v/>
      </c>
      <c r="J515" s="18" t="str">
        <f aca="false">IF(OR(H515="",C515="",F515="İptal"),"",IF(COUNTIFS($C$5:$C$1504,C515,$D$5:$D$1504,"&lt;="&amp;E515,$E$5:$E$1504,"&gt;="&amp;D515,$F$5:$F$1504,"&lt;&gt;İptal")&gt;1,"Çakışıyor",""))</f>
        <v/>
      </c>
    </row>
    <row r="516" customFormat="false" ht="15" hidden="false" customHeight="false" outlineLevel="0" collapsed="false">
      <c r="A516" s="12"/>
      <c r="B516" s="12"/>
      <c r="C516" s="13"/>
      <c r="D516" s="14"/>
      <c r="E516" s="14"/>
      <c r="F516" s="13"/>
      <c r="G516" s="15"/>
      <c r="H516" s="16" t="str">
        <f aca="false">IF(OR(D516="",E516="",E516&lt;D516),"",E516-D516+1)</f>
        <v/>
      </c>
      <c r="I516" s="17" t="str">
        <f aca="false">IF(OR(H516="",C516=""),"",IF(F516="İptal",0,H516*IFERROR(INDEX(Ürünler!$B$5:$B$64,MATCH(C516,Ürünler!$A$5:$A$64,0)),0)-G516))</f>
        <v/>
      </c>
      <c r="J516" s="18" t="str">
        <f aca="false">IF(OR(H516="",C516="",F516="İptal"),"",IF(COUNTIFS($C$5:$C$1504,C516,$D$5:$D$1504,"&lt;="&amp;E516,$E$5:$E$1504,"&gt;="&amp;D516,$F$5:$F$1504,"&lt;&gt;İptal")&gt;1,"Çakışıyor",""))</f>
        <v/>
      </c>
    </row>
    <row r="517" customFormat="false" ht="15" hidden="false" customHeight="false" outlineLevel="0" collapsed="false">
      <c r="A517" s="12"/>
      <c r="B517" s="12"/>
      <c r="C517" s="13"/>
      <c r="D517" s="14"/>
      <c r="E517" s="14"/>
      <c r="F517" s="13"/>
      <c r="G517" s="15"/>
      <c r="H517" s="16" t="str">
        <f aca="false">IF(OR(D517="",E517="",E517&lt;D517),"",E517-D517+1)</f>
        <v/>
      </c>
      <c r="I517" s="17" t="str">
        <f aca="false">IF(OR(H517="",C517=""),"",IF(F517="İptal",0,H517*IFERROR(INDEX(Ürünler!$B$5:$B$64,MATCH(C517,Ürünler!$A$5:$A$64,0)),0)-G517))</f>
        <v/>
      </c>
      <c r="J517" s="18" t="str">
        <f aca="false">IF(OR(H517="",C517="",F517="İptal"),"",IF(COUNTIFS($C$5:$C$1504,C517,$D$5:$D$1504,"&lt;="&amp;E517,$E$5:$E$1504,"&gt;="&amp;D517,$F$5:$F$1504,"&lt;&gt;İptal")&gt;1,"Çakışıyor",""))</f>
        <v/>
      </c>
    </row>
    <row r="518" customFormat="false" ht="15" hidden="false" customHeight="false" outlineLevel="0" collapsed="false">
      <c r="A518" s="12"/>
      <c r="B518" s="12"/>
      <c r="C518" s="13"/>
      <c r="D518" s="14"/>
      <c r="E518" s="14"/>
      <c r="F518" s="13"/>
      <c r="G518" s="15"/>
      <c r="H518" s="16" t="str">
        <f aca="false">IF(OR(D518="",E518="",E518&lt;D518),"",E518-D518+1)</f>
        <v/>
      </c>
      <c r="I518" s="17" t="str">
        <f aca="false">IF(OR(H518="",C518=""),"",IF(F518="İptal",0,H518*IFERROR(INDEX(Ürünler!$B$5:$B$64,MATCH(C518,Ürünler!$A$5:$A$64,0)),0)-G518))</f>
        <v/>
      </c>
      <c r="J518" s="18" t="str">
        <f aca="false">IF(OR(H518="",C518="",F518="İptal"),"",IF(COUNTIFS($C$5:$C$1504,C518,$D$5:$D$1504,"&lt;="&amp;E518,$E$5:$E$1504,"&gt;="&amp;D518,$F$5:$F$1504,"&lt;&gt;İptal")&gt;1,"Çakışıyor",""))</f>
        <v/>
      </c>
    </row>
    <row r="519" customFormat="false" ht="15" hidden="false" customHeight="false" outlineLevel="0" collapsed="false">
      <c r="A519" s="12"/>
      <c r="B519" s="12"/>
      <c r="C519" s="13"/>
      <c r="D519" s="14"/>
      <c r="E519" s="14"/>
      <c r="F519" s="13"/>
      <c r="G519" s="15"/>
      <c r="H519" s="16" t="str">
        <f aca="false">IF(OR(D519="",E519="",E519&lt;D519),"",E519-D519+1)</f>
        <v/>
      </c>
      <c r="I519" s="17" t="str">
        <f aca="false">IF(OR(H519="",C519=""),"",IF(F519="İptal",0,H519*IFERROR(INDEX(Ürünler!$B$5:$B$64,MATCH(C519,Ürünler!$A$5:$A$64,0)),0)-G519))</f>
        <v/>
      </c>
      <c r="J519" s="18" t="str">
        <f aca="false">IF(OR(H519="",C519="",F519="İptal"),"",IF(COUNTIFS($C$5:$C$1504,C519,$D$5:$D$1504,"&lt;="&amp;E519,$E$5:$E$1504,"&gt;="&amp;D519,$F$5:$F$1504,"&lt;&gt;İptal")&gt;1,"Çakışıyor",""))</f>
        <v/>
      </c>
    </row>
    <row r="520" customFormat="false" ht="15" hidden="false" customHeight="false" outlineLevel="0" collapsed="false">
      <c r="A520" s="12"/>
      <c r="B520" s="12"/>
      <c r="C520" s="13"/>
      <c r="D520" s="14"/>
      <c r="E520" s="14"/>
      <c r="F520" s="13"/>
      <c r="G520" s="15"/>
      <c r="H520" s="16" t="str">
        <f aca="false">IF(OR(D520="",E520="",E520&lt;D520),"",E520-D520+1)</f>
        <v/>
      </c>
      <c r="I520" s="17" t="str">
        <f aca="false">IF(OR(H520="",C520=""),"",IF(F520="İptal",0,H520*IFERROR(INDEX(Ürünler!$B$5:$B$64,MATCH(C520,Ürünler!$A$5:$A$64,0)),0)-G520))</f>
        <v/>
      </c>
      <c r="J520" s="18" t="str">
        <f aca="false">IF(OR(H520="",C520="",F520="İptal"),"",IF(COUNTIFS($C$5:$C$1504,C520,$D$5:$D$1504,"&lt;="&amp;E520,$E$5:$E$1504,"&gt;="&amp;D520,$F$5:$F$1504,"&lt;&gt;İptal")&gt;1,"Çakışıyor",""))</f>
        <v/>
      </c>
    </row>
    <row r="521" customFormat="false" ht="15" hidden="false" customHeight="false" outlineLevel="0" collapsed="false">
      <c r="A521" s="12"/>
      <c r="B521" s="12"/>
      <c r="C521" s="13"/>
      <c r="D521" s="14"/>
      <c r="E521" s="14"/>
      <c r="F521" s="13"/>
      <c r="G521" s="15"/>
      <c r="H521" s="16" t="str">
        <f aca="false">IF(OR(D521="",E521="",E521&lt;D521),"",E521-D521+1)</f>
        <v/>
      </c>
      <c r="I521" s="17" t="str">
        <f aca="false">IF(OR(H521="",C521=""),"",IF(F521="İptal",0,H521*IFERROR(INDEX(Ürünler!$B$5:$B$64,MATCH(C521,Ürünler!$A$5:$A$64,0)),0)-G521))</f>
        <v/>
      </c>
      <c r="J521" s="18" t="str">
        <f aca="false">IF(OR(H521="",C521="",F521="İptal"),"",IF(COUNTIFS($C$5:$C$1504,C521,$D$5:$D$1504,"&lt;="&amp;E521,$E$5:$E$1504,"&gt;="&amp;D521,$F$5:$F$1504,"&lt;&gt;İptal")&gt;1,"Çakışıyor",""))</f>
        <v/>
      </c>
    </row>
    <row r="522" customFormat="false" ht="15" hidden="false" customHeight="false" outlineLevel="0" collapsed="false">
      <c r="A522" s="12"/>
      <c r="B522" s="12"/>
      <c r="C522" s="13"/>
      <c r="D522" s="14"/>
      <c r="E522" s="14"/>
      <c r="F522" s="13"/>
      <c r="G522" s="15"/>
      <c r="H522" s="16" t="str">
        <f aca="false">IF(OR(D522="",E522="",E522&lt;D522),"",E522-D522+1)</f>
        <v/>
      </c>
      <c r="I522" s="17" t="str">
        <f aca="false">IF(OR(H522="",C522=""),"",IF(F522="İptal",0,H522*IFERROR(INDEX(Ürünler!$B$5:$B$64,MATCH(C522,Ürünler!$A$5:$A$64,0)),0)-G522))</f>
        <v/>
      </c>
      <c r="J522" s="18" t="str">
        <f aca="false">IF(OR(H522="",C522="",F522="İptal"),"",IF(COUNTIFS($C$5:$C$1504,C522,$D$5:$D$1504,"&lt;="&amp;E522,$E$5:$E$1504,"&gt;="&amp;D522,$F$5:$F$1504,"&lt;&gt;İptal")&gt;1,"Çakışıyor",""))</f>
        <v/>
      </c>
    </row>
    <row r="523" customFormat="false" ht="15" hidden="false" customHeight="false" outlineLevel="0" collapsed="false">
      <c r="A523" s="12"/>
      <c r="B523" s="12"/>
      <c r="C523" s="13"/>
      <c r="D523" s="14"/>
      <c r="E523" s="14"/>
      <c r="F523" s="13"/>
      <c r="G523" s="15"/>
      <c r="H523" s="16" t="str">
        <f aca="false">IF(OR(D523="",E523="",E523&lt;D523),"",E523-D523+1)</f>
        <v/>
      </c>
      <c r="I523" s="17" t="str">
        <f aca="false">IF(OR(H523="",C523=""),"",IF(F523="İptal",0,H523*IFERROR(INDEX(Ürünler!$B$5:$B$64,MATCH(C523,Ürünler!$A$5:$A$64,0)),0)-G523))</f>
        <v/>
      </c>
      <c r="J523" s="18" t="str">
        <f aca="false">IF(OR(H523="",C523="",F523="İptal"),"",IF(COUNTIFS($C$5:$C$1504,C523,$D$5:$D$1504,"&lt;="&amp;E523,$E$5:$E$1504,"&gt;="&amp;D523,$F$5:$F$1504,"&lt;&gt;İptal")&gt;1,"Çakışıyor",""))</f>
        <v/>
      </c>
    </row>
    <row r="524" customFormat="false" ht="15" hidden="false" customHeight="false" outlineLevel="0" collapsed="false">
      <c r="A524" s="12"/>
      <c r="B524" s="12"/>
      <c r="C524" s="13"/>
      <c r="D524" s="14"/>
      <c r="E524" s="14"/>
      <c r="F524" s="13"/>
      <c r="G524" s="15"/>
      <c r="H524" s="16" t="str">
        <f aca="false">IF(OR(D524="",E524="",E524&lt;D524),"",E524-D524+1)</f>
        <v/>
      </c>
      <c r="I524" s="17" t="str">
        <f aca="false">IF(OR(H524="",C524=""),"",IF(F524="İptal",0,H524*IFERROR(INDEX(Ürünler!$B$5:$B$64,MATCH(C524,Ürünler!$A$5:$A$64,0)),0)-G524))</f>
        <v/>
      </c>
      <c r="J524" s="18" t="str">
        <f aca="false">IF(OR(H524="",C524="",F524="İptal"),"",IF(COUNTIFS($C$5:$C$1504,C524,$D$5:$D$1504,"&lt;="&amp;E524,$E$5:$E$1504,"&gt;="&amp;D524,$F$5:$F$1504,"&lt;&gt;İptal")&gt;1,"Çakışıyor",""))</f>
        <v/>
      </c>
    </row>
    <row r="525" customFormat="false" ht="15" hidden="false" customHeight="false" outlineLevel="0" collapsed="false">
      <c r="A525" s="12"/>
      <c r="B525" s="12"/>
      <c r="C525" s="13"/>
      <c r="D525" s="14"/>
      <c r="E525" s="14"/>
      <c r="F525" s="13"/>
      <c r="G525" s="15"/>
      <c r="H525" s="16" t="str">
        <f aca="false">IF(OR(D525="",E525="",E525&lt;D525),"",E525-D525+1)</f>
        <v/>
      </c>
      <c r="I525" s="17" t="str">
        <f aca="false">IF(OR(H525="",C525=""),"",IF(F525="İptal",0,H525*IFERROR(INDEX(Ürünler!$B$5:$B$64,MATCH(C525,Ürünler!$A$5:$A$64,0)),0)-G525))</f>
        <v/>
      </c>
      <c r="J525" s="18" t="str">
        <f aca="false">IF(OR(H525="",C525="",F525="İptal"),"",IF(COUNTIFS($C$5:$C$1504,C525,$D$5:$D$1504,"&lt;="&amp;E525,$E$5:$E$1504,"&gt;="&amp;D525,$F$5:$F$1504,"&lt;&gt;İptal")&gt;1,"Çakışıyor",""))</f>
        <v/>
      </c>
    </row>
    <row r="526" customFormat="false" ht="15" hidden="false" customHeight="false" outlineLevel="0" collapsed="false">
      <c r="A526" s="12"/>
      <c r="B526" s="12"/>
      <c r="C526" s="13"/>
      <c r="D526" s="14"/>
      <c r="E526" s="14"/>
      <c r="F526" s="13"/>
      <c r="G526" s="15"/>
      <c r="H526" s="16" t="str">
        <f aca="false">IF(OR(D526="",E526="",E526&lt;D526),"",E526-D526+1)</f>
        <v/>
      </c>
      <c r="I526" s="17" t="str">
        <f aca="false">IF(OR(H526="",C526=""),"",IF(F526="İptal",0,H526*IFERROR(INDEX(Ürünler!$B$5:$B$64,MATCH(C526,Ürünler!$A$5:$A$64,0)),0)-G526))</f>
        <v/>
      </c>
      <c r="J526" s="18" t="str">
        <f aca="false">IF(OR(H526="",C526="",F526="İptal"),"",IF(COUNTIFS($C$5:$C$1504,C526,$D$5:$D$1504,"&lt;="&amp;E526,$E$5:$E$1504,"&gt;="&amp;D526,$F$5:$F$1504,"&lt;&gt;İptal")&gt;1,"Çakışıyor",""))</f>
        <v/>
      </c>
    </row>
    <row r="527" customFormat="false" ht="15" hidden="false" customHeight="false" outlineLevel="0" collapsed="false">
      <c r="A527" s="12"/>
      <c r="B527" s="12"/>
      <c r="C527" s="13"/>
      <c r="D527" s="14"/>
      <c r="E527" s="14"/>
      <c r="F527" s="13"/>
      <c r="G527" s="15"/>
      <c r="H527" s="16" t="str">
        <f aca="false">IF(OR(D527="",E527="",E527&lt;D527),"",E527-D527+1)</f>
        <v/>
      </c>
      <c r="I527" s="17" t="str">
        <f aca="false">IF(OR(H527="",C527=""),"",IF(F527="İptal",0,H527*IFERROR(INDEX(Ürünler!$B$5:$B$64,MATCH(C527,Ürünler!$A$5:$A$64,0)),0)-G527))</f>
        <v/>
      </c>
      <c r="J527" s="18" t="str">
        <f aca="false">IF(OR(H527="",C527="",F527="İptal"),"",IF(COUNTIFS($C$5:$C$1504,C527,$D$5:$D$1504,"&lt;="&amp;E527,$E$5:$E$1504,"&gt;="&amp;D527,$F$5:$F$1504,"&lt;&gt;İptal")&gt;1,"Çakışıyor",""))</f>
        <v/>
      </c>
    </row>
    <row r="528" customFormat="false" ht="15" hidden="false" customHeight="false" outlineLevel="0" collapsed="false">
      <c r="A528" s="12"/>
      <c r="B528" s="12"/>
      <c r="C528" s="13"/>
      <c r="D528" s="14"/>
      <c r="E528" s="14"/>
      <c r="F528" s="13"/>
      <c r="G528" s="15"/>
      <c r="H528" s="16" t="str">
        <f aca="false">IF(OR(D528="",E528="",E528&lt;D528),"",E528-D528+1)</f>
        <v/>
      </c>
      <c r="I528" s="17" t="str">
        <f aca="false">IF(OR(H528="",C528=""),"",IF(F528="İptal",0,H528*IFERROR(INDEX(Ürünler!$B$5:$B$64,MATCH(C528,Ürünler!$A$5:$A$64,0)),0)-G528))</f>
        <v/>
      </c>
      <c r="J528" s="18" t="str">
        <f aca="false">IF(OR(H528="",C528="",F528="İptal"),"",IF(COUNTIFS($C$5:$C$1504,C528,$D$5:$D$1504,"&lt;="&amp;E528,$E$5:$E$1504,"&gt;="&amp;D528,$F$5:$F$1504,"&lt;&gt;İptal")&gt;1,"Çakışıyor",""))</f>
        <v/>
      </c>
    </row>
    <row r="529" customFormat="false" ht="15" hidden="false" customHeight="false" outlineLevel="0" collapsed="false">
      <c r="A529" s="12"/>
      <c r="B529" s="12"/>
      <c r="C529" s="13"/>
      <c r="D529" s="14"/>
      <c r="E529" s="14"/>
      <c r="F529" s="13"/>
      <c r="G529" s="15"/>
      <c r="H529" s="16" t="str">
        <f aca="false">IF(OR(D529="",E529="",E529&lt;D529),"",E529-D529+1)</f>
        <v/>
      </c>
      <c r="I529" s="17" t="str">
        <f aca="false">IF(OR(H529="",C529=""),"",IF(F529="İptal",0,H529*IFERROR(INDEX(Ürünler!$B$5:$B$64,MATCH(C529,Ürünler!$A$5:$A$64,0)),0)-G529))</f>
        <v/>
      </c>
      <c r="J529" s="18" t="str">
        <f aca="false">IF(OR(H529="",C529="",F529="İptal"),"",IF(COUNTIFS($C$5:$C$1504,C529,$D$5:$D$1504,"&lt;="&amp;E529,$E$5:$E$1504,"&gt;="&amp;D529,$F$5:$F$1504,"&lt;&gt;İptal")&gt;1,"Çakışıyor",""))</f>
        <v/>
      </c>
    </row>
    <row r="530" customFormat="false" ht="15" hidden="false" customHeight="false" outlineLevel="0" collapsed="false">
      <c r="A530" s="12"/>
      <c r="B530" s="12"/>
      <c r="C530" s="13"/>
      <c r="D530" s="14"/>
      <c r="E530" s="14"/>
      <c r="F530" s="13"/>
      <c r="G530" s="15"/>
      <c r="H530" s="16" t="str">
        <f aca="false">IF(OR(D530="",E530="",E530&lt;D530),"",E530-D530+1)</f>
        <v/>
      </c>
      <c r="I530" s="17" t="str">
        <f aca="false">IF(OR(H530="",C530=""),"",IF(F530="İptal",0,H530*IFERROR(INDEX(Ürünler!$B$5:$B$64,MATCH(C530,Ürünler!$A$5:$A$64,0)),0)-G530))</f>
        <v/>
      </c>
      <c r="J530" s="18" t="str">
        <f aca="false">IF(OR(H530="",C530="",F530="İptal"),"",IF(COUNTIFS($C$5:$C$1504,C530,$D$5:$D$1504,"&lt;="&amp;E530,$E$5:$E$1504,"&gt;="&amp;D530,$F$5:$F$1504,"&lt;&gt;İptal")&gt;1,"Çakışıyor",""))</f>
        <v/>
      </c>
    </row>
    <row r="531" customFormat="false" ht="15" hidden="false" customHeight="false" outlineLevel="0" collapsed="false">
      <c r="A531" s="12"/>
      <c r="B531" s="12"/>
      <c r="C531" s="13"/>
      <c r="D531" s="14"/>
      <c r="E531" s="14"/>
      <c r="F531" s="13"/>
      <c r="G531" s="15"/>
      <c r="H531" s="16" t="str">
        <f aca="false">IF(OR(D531="",E531="",E531&lt;D531),"",E531-D531+1)</f>
        <v/>
      </c>
      <c r="I531" s="17" t="str">
        <f aca="false">IF(OR(H531="",C531=""),"",IF(F531="İptal",0,H531*IFERROR(INDEX(Ürünler!$B$5:$B$64,MATCH(C531,Ürünler!$A$5:$A$64,0)),0)-G531))</f>
        <v/>
      </c>
      <c r="J531" s="18" t="str">
        <f aca="false">IF(OR(H531="",C531="",F531="İptal"),"",IF(COUNTIFS($C$5:$C$1504,C531,$D$5:$D$1504,"&lt;="&amp;E531,$E$5:$E$1504,"&gt;="&amp;D531,$F$5:$F$1504,"&lt;&gt;İptal")&gt;1,"Çakışıyor",""))</f>
        <v/>
      </c>
    </row>
    <row r="532" customFormat="false" ht="15" hidden="false" customHeight="false" outlineLevel="0" collapsed="false">
      <c r="A532" s="12"/>
      <c r="B532" s="12"/>
      <c r="C532" s="13"/>
      <c r="D532" s="14"/>
      <c r="E532" s="14"/>
      <c r="F532" s="13"/>
      <c r="G532" s="15"/>
      <c r="H532" s="16" t="str">
        <f aca="false">IF(OR(D532="",E532="",E532&lt;D532),"",E532-D532+1)</f>
        <v/>
      </c>
      <c r="I532" s="17" t="str">
        <f aca="false">IF(OR(H532="",C532=""),"",IF(F532="İptal",0,H532*IFERROR(INDEX(Ürünler!$B$5:$B$64,MATCH(C532,Ürünler!$A$5:$A$64,0)),0)-G532))</f>
        <v/>
      </c>
      <c r="J532" s="18" t="str">
        <f aca="false">IF(OR(H532="",C532="",F532="İptal"),"",IF(COUNTIFS($C$5:$C$1504,C532,$D$5:$D$1504,"&lt;="&amp;E532,$E$5:$E$1504,"&gt;="&amp;D532,$F$5:$F$1504,"&lt;&gt;İptal")&gt;1,"Çakışıyor",""))</f>
        <v/>
      </c>
    </row>
    <row r="533" customFormat="false" ht="15" hidden="false" customHeight="false" outlineLevel="0" collapsed="false">
      <c r="A533" s="12"/>
      <c r="B533" s="12"/>
      <c r="C533" s="13"/>
      <c r="D533" s="14"/>
      <c r="E533" s="14"/>
      <c r="F533" s="13"/>
      <c r="G533" s="15"/>
      <c r="H533" s="16" t="str">
        <f aca="false">IF(OR(D533="",E533="",E533&lt;D533),"",E533-D533+1)</f>
        <v/>
      </c>
      <c r="I533" s="17" t="str">
        <f aca="false">IF(OR(H533="",C533=""),"",IF(F533="İptal",0,H533*IFERROR(INDEX(Ürünler!$B$5:$B$64,MATCH(C533,Ürünler!$A$5:$A$64,0)),0)-G533))</f>
        <v/>
      </c>
      <c r="J533" s="18" t="str">
        <f aca="false">IF(OR(H533="",C533="",F533="İptal"),"",IF(COUNTIFS($C$5:$C$1504,C533,$D$5:$D$1504,"&lt;="&amp;E533,$E$5:$E$1504,"&gt;="&amp;D533,$F$5:$F$1504,"&lt;&gt;İptal")&gt;1,"Çakışıyor",""))</f>
        <v/>
      </c>
    </row>
    <row r="534" customFormat="false" ht="15" hidden="false" customHeight="false" outlineLevel="0" collapsed="false">
      <c r="A534" s="12"/>
      <c r="B534" s="12"/>
      <c r="C534" s="13"/>
      <c r="D534" s="14"/>
      <c r="E534" s="14"/>
      <c r="F534" s="13"/>
      <c r="G534" s="15"/>
      <c r="H534" s="16" t="str">
        <f aca="false">IF(OR(D534="",E534="",E534&lt;D534),"",E534-D534+1)</f>
        <v/>
      </c>
      <c r="I534" s="17" t="str">
        <f aca="false">IF(OR(H534="",C534=""),"",IF(F534="İptal",0,H534*IFERROR(INDEX(Ürünler!$B$5:$B$64,MATCH(C534,Ürünler!$A$5:$A$64,0)),0)-G534))</f>
        <v/>
      </c>
      <c r="J534" s="18" t="str">
        <f aca="false">IF(OR(H534="",C534="",F534="İptal"),"",IF(COUNTIFS($C$5:$C$1504,C534,$D$5:$D$1504,"&lt;="&amp;E534,$E$5:$E$1504,"&gt;="&amp;D534,$F$5:$F$1504,"&lt;&gt;İptal")&gt;1,"Çakışıyor",""))</f>
        <v/>
      </c>
    </row>
    <row r="535" customFormat="false" ht="15" hidden="false" customHeight="false" outlineLevel="0" collapsed="false">
      <c r="A535" s="12"/>
      <c r="B535" s="12"/>
      <c r="C535" s="13"/>
      <c r="D535" s="14"/>
      <c r="E535" s="14"/>
      <c r="F535" s="13"/>
      <c r="G535" s="15"/>
      <c r="H535" s="16" t="str">
        <f aca="false">IF(OR(D535="",E535="",E535&lt;D535),"",E535-D535+1)</f>
        <v/>
      </c>
      <c r="I535" s="17" t="str">
        <f aca="false">IF(OR(H535="",C535=""),"",IF(F535="İptal",0,H535*IFERROR(INDEX(Ürünler!$B$5:$B$64,MATCH(C535,Ürünler!$A$5:$A$64,0)),0)-G535))</f>
        <v/>
      </c>
      <c r="J535" s="18" t="str">
        <f aca="false">IF(OR(H535="",C535="",F535="İptal"),"",IF(COUNTIFS($C$5:$C$1504,C535,$D$5:$D$1504,"&lt;="&amp;E535,$E$5:$E$1504,"&gt;="&amp;D535,$F$5:$F$1504,"&lt;&gt;İptal")&gt;1,"Çakışıyor",""))</f>
        <v/>
      </c>
    </row>
    <row r="536" customFormat="false" ht="15" hidden="false" customHeight="false" outlineLevel="0" collapsed="false">
      <c r="A536" s="12"/>
      <c r="B536" s="12"/>
      <c r="C536" s="13"/>
      <c r="D536" s="14"/>
      <c r="E536" s="14"/>
      <c r="F536" s="13"/>
      <c r="G536" s="15"/>
      <c r="H536" s="16" t="str">
        <f aca="false">IF(OR(D536="",E536="",E536&lt;D536),"",E536-D536+1)</f>
        <v/>
      </c>
      <c r="I536" s="17" t="str">
        <f aca="false">IF(OR(H536="",C536=""),"",IF(F536="İptal",0,H536*IFERROR(INDEX(Ürünler!$B$5:$B$64,MATCH(C536,Ürünler!$A$5:$A$64,0)),0)-G536))</f>
        <v/>
      </c>
      <c r="J536" s="18" t="str">
        <f aca="false">IF(OR(H536="",C536="",F536="İptal"),"",IF(COUNTIFS($C$5:$C$1504,C536,$D$5:$D$1504,"&lt;="&amp;E536,$E$5:$E$1504,"&gt;="&amp;D536,$F$5:$F$1504,"&lt;&gt;İptal")&gt;1,"Çakışıyor",""))</f>
        <v/>
      </c>
    </row>
    <row r="537" customFormat="false" ht="15" hidden="false" customHeight="false" outlineLevel="0" collapsed="false">
      <c r="A537" s="12"/>
      <c r="B537" s="12"/>
      <c r="C537" s="13"/>
      <c r="D537" s="14"/>
      <c r="E537" s="14"/>
      <c r="F537" s="13"/>
      <c r="G537" s="15"/>
      <c r="H537" s="16" t="str">
        <f aca="false">IF(OR(D537="",E537="",E537&lt;D537),"",E537-D537+1)</f>
        <v/>
      </c>
      <c r="I537" s="17" t="str">
        <f aca="false">IF(OR(H537="",C537=""),"",IF(F537="İptal",0,H537*IFERROR(INDEX(Ürünler!$B$5:$B$64,MATCH(C537,Ürünler!$A$5:$A$64,0)),0)-G537))</f>
        <v/>
      </c>
      <c r="J537" s="18" t="str">
        <f aca="false">IF(OR(H537="",C537="",F537="İptal"),"",IF(COUNTIFS($C$5:$C$1504,C537,$D$5:$D$1504,"&lt;="&amp;E537,$E$5:$E$1504,"&gt;="&amp;D537,$F$5:$F$1504,"&lt;&gt;İptal")&gt;1,"Çakışıyor",""))</f>
        <v/>
      </c>
    </row>
    <row r="538" customFormat="false" ht="15" hidden="false" customHeight="false" outlineLevel="0" collapsed="false">
      <c r="A538" s="12"/>
      <c r="B538" s="12"/>
      <c r="C538" s="13"/>
      <c r="D538" s="14"/>
      <c r="E538" s="14"/>
      <c r="F538" s="13"/>
      <c r="G538" s="15"/>
      <c r="H538" s="16" t="str">
        <f aca="false">IF(OR(D538="",E538="",E538&lt;D538),"",E538-D538+1)</f>
        <v/>
      </c>
      <c r="I538" s="17" t="str">
        <f aca="false">IF(OR(H538="",C538=""),"",IF(F538="İptal",0,H538*IFERROR(INDEX(Ürünler!$B$5:$B$64,MATCH(C538,Ürünler!$A$5:$A$64,0)),0)-G538))</f>
        <v/>
      </c>
      <c r="J538" s="18" t="str">
        <f aca="false">IF(OR(H538="",C538="",F538="İptal"),"",IF(COUNTIFS($C$5:$C$1504,C538,$D$5:$D$1504,"&lt;="&amp;E538,$E$5:$E$1504,"&gt;="&amp;D538,$F$5:$F$1504,"&lt;&gt;İptal")&gt;1,"Çakışıyor",""))</f>
        <v/>
      </c>
    </row>
    <row r="539" customFormat="false" ht="15" hidden="false" customHeight="false" outlineLevel="0" collapsed="false">
      <c r="A539" s="12"/>
      <c r="B539" s="12"/>
      <c r="C539" s="13"/>
      <c r="D539" s="14"/>
      <c r="E539" s="14"/>
      <c r="F539" s="13"/>
      <c r="G539" s="15"/>
      <c r="H539" s="16" t="str">
        <f aca="false">IF(OR(D539="",E539="",E539&lt;D539),"",E539-D539+1)</f>
        <v/>
      </c>
      <c r="I539" s="17" t="str">
        <f aca="false">IF(OR(H539="",C539=""),"",IF(F539="İptal",0,H539*IFERROR(INDEX(Ürünler!$B$5:$B$64,MATCH(C539,Ürünler!$A$5:$A$64,0)),0)-G539))</f>
        <v/>
      </c>
      <c r="J539" s="18" t="str">
        <f aca="false">IF(OR(H539="",C539="",F539="İptal"),"",IF(COUNTIFS($C$5:$C$1504,C539,$D$5:$D$1504,"&lt;="&amp;E539,$E$5:$E$1504,"&gt;="&amp;D539,$F$5:$F$1504,"&lt;&gt;İptal")&gt;1,"Çakışıyor",""))</f>
        <v/>
      </c>
    </row>
    <row r="540" customFormat="false" ht="15" hidden="false" customHeight="false" outlineLevel="0" collapsed="false">
      <c r="A540" s="12"/>
      <c r="B540" s="12"/>
      <c r="C540" s="13"/>
      <c r="D540" s="14"/>
      <c r="E540" s="14"/>
      <c r="F540" s="13"/>
      <c r="G540" s="15"/>
      <c r="H540" s="16" t="str">
        <f aca="false">IF(OR(D540="",E540="",E540&lt;D540),"",E540-D540+1)</f>
        <v/>
      </c>
      <c r="I540" s="17" t="str">
        <f aca="false">IF(OR(H540="",C540=""),"",IF(F540="İptal",0,H540*IFERROR(INDEX(Ürünler!$B$5:$B$64,MATCH(C540,Ürünler!$A$5:$A$64,0)),0)-G540))</f>
        <v/>
      </c>
      <c r="J540" s="18" t="str">
        <f aca="false">IF(OR(H540="",C540="",F540="İptal"),"",IF(COUNTIFS($C$5:$C$1504,C540,$D$5:$D$1504,"&lt;="&amp;E540,$E$5:$E$1504,"&gt;="&amp;D540,$F$5:$F$1504,"&lt;&gt;İptal")&gt;1,"Çakışıyor",""))</f>
        <v/>
      </c>
    </row>
    <row r="541" customFormat="false" ht="15" hidden="false" customHeight="false" outlineLevel="0" collapsed="false">
      <c r="A541" s="12"/>
      <c r="B541" s="12"/>
      <c r="C541" s="13"/>
      <c r="D541" s="14"/>
      <c r="E541" s="14"/>
      <c r="F541" s="13"/>
      <c r="G541" s="15"/>
      <c r="H541" s="16" t="str">
        <f aca="false">IF(OR(D541="",E541="",E541&lt;D541),"",E541-D541+1)</f>
        <v/>
      </c>
      <c r="I541" s="17" t="str">
        <f aca="false">IF(OR(H541="",C541=""),"",IF(F541="İptal",0,H541*IFERROR(INDEX(Ürünler!$B$5:$B$64,MATCH(C541,Ürünler!$A$5:$A$64,0)),0)-G541))</f>
        <v/>
      </c>
      <c r="J541" s="18" t="str">
        <f aca="false">IF(OR(H541="",C541="",F541="İptal"),"",IF(COUNTIFS($C$5:$C$1504,C541,$D$5:$D$1504,"&lt;="&amp;E541,$E$5:$E$1504,"&gt;="&amp;D541,$F$5:$F$1504,"&lt;&gt;İptal")&gt;1,"Çakışıyor",""))</f>
        <v/>
      </c>
    </row>
    <row r="542" customFormat="false" ht="15" hidden="false" customHeight="false" outlineLevel="0" collapsed="false">
      <c r="A542" s="12"/>
      <c r="B542" s="12"/>
      <c r="C542" s="13"/>
      <c r="D542" s="14"/>
      <c r="E542" s="14"/>
      <c r="F542" s="13"/>
      <c r="G542" s="15"/>
      <c r="H542" s="16" t="str">
        <f aca="false">IF(OR(D542="",E542="",E542&lt;D542),"",E542-D542+1)</f>
        <v/>
      </c>
      <c r="I542" s="17" t="str">
        <f aca="false">IF(OR(H542="",C542=""),"",IF(F542="İptal",0,H542*IFERROR(INDEX(Ürünler!$B$5:$B$64,MATCH(C542,Ürünler!$A$5:$A$64,0)),0)-G542))</f>
        <v/>
      </c>
      <c r="J542" s="18" t="str">
        <f aca="false">IF(OR(H542="",C542="",F542="İptal"),"",IF(COUNTIFS($C$5:$C$1504,C542,$D$5:$D$1504,"&lt;="&amp;E542,$E$5:$E$1504,"&gt;="&amp;D542,$F$5:$F$1504,"&lt;&gt;İptal")&gt;1,"Çakışıyor",""))</f>
        <v/>
      </c>
    </row>
    <row r="543" customFormat="false" ht="15" hidden="false" customHeight="false" outlineLevel="0" collapsed="false">
      <c r="A543" s="12"/>
      <c r="B543" s="12"/>
      <c r="C543" s="13"/>
      <c r="D543" s="14"/>
      <c r="E543" s="14"/>
      <c r="F543" s="13"/>
      <c r="G543" s="15"/>
      <c r="H543" s="16" t="str">
        <f aca="false">IF(OR(D543="",E543="",E543&lt;D543),"",E543-D543+1)</f>
        <v/>
      </c>
      <c r="I543" s="17" t="str">
        <f aca="false">IF(OR(H543="",C543=""),"",IF(F543="İptal",0,H543*IFERROR(INDEX(Ürünler!$B$5:$B$64,MATCH(C543,Ürünler!$A$5:$A$64,0)),0)-G543))</f>
        <v/>
      </c>
      <c r="J543" s="18" t="str">
        <f aca="false">IF(OR(H543="",C543="",F543="İptal"),"",IF(COUNTIFS($C$5:$C$1504,C543,$D$5:$D$1504,"&lt;="&amp;E543,$E$5:$E$1504,"&gt;="&amp;D543,$F$5:$F$1504,"&lt;&gt;İptal")&gt;1,"Çakışıyor",""))</f>
        <v/>
      </c>
    </row>
    <row r="544" customFormat="false" ht="15" hidden="false" customHeight="false" outlineLevel="0" collapsed="false">
      <c r="A544" s="12"/>
      <c r="B544" s="12"/>
      <c r="C544" s="13"/>
      <c r="D544" s="14"/>
      <c r="E544" s="14"/>
      <c r="F544" s="13"/>
      <c r="G544" s="15"/>
      <c r="H544" s="16" t="str">
        <f aca="false">IF(OR(D544="",E544="",E544&lt;D544),"",E544-D544+1)</f>
        <v/>
      </c>
      <c r="I544" s="17" t="str">
        <f aca="false">IF(OR(H544="",C544=""),"",IF(F544="İptal",0,H544*IFERROR(INDEX(Ürünler!$B$5:$B$64,MATCH(C544,Ürünler!$A$5:$A$64,0)),0)-G544))</f>
        <v/>
      </c>
      <c r="J544" s="18" t="str">
        <f aca="false">IF(OR(H544="",C544="",F544="İptal"),"",IF(COUNTIFS($C$5:$C$1504,C544,$D$5:$D$1504,"&lt;="&amp;E544,$E$5:$E$1504,"&gt;="&amp;D544,$F$5:$F$1504,"&lt;&gt;İptal")&gt;1,"Çakışıyor",""))</f>
        <v/>
      </c>
    </row>
    <row r="545" customFormat="false" ht="15" hidden="false" customHeight="false" outlineLevel="0" collapsed="false">
      <c r="A545" s="12"/>
      <c r="B545" s="12"/>
      <c r="C545" s="13"/>
      <c r="D545" s="14"/>
      <c r="E545" s="14"/>
      <c r="F545" s="13"/>
      <c r="G545" s="15"/>
      <c r="H545" s="16" t="str">
        <f aca="false">IF(OR(D545="",E545="",E545&lt;D545),"",E545-D545+1)</f>
        <v/>
      </c>
      <c r="I545" s="17" t="str">
        <f aca="false">IF(OR(H545="",C545=""),"",IF(F545="İptal",0,H545*IFERROR(INDEX(Ürünler!$B$5:$B$64,MATCH(C545,Ürünler!$A$5:$A$64,0)),0)-G545))</f>
        <v/>
      </c>
      <c r="J545" s="18" t="str">
        <f aca="false">IF(OR(H545="",C545="",F545="İptal"),"",IF(COUNTIFS($C$5:$C$1504,C545,$D$5:$D$1504,"&lt;="&amp;E545,$E$5:$E$1504,"&gt;="&amp;D545,$F$5:$F$1504,"&lt;&gt;İptal")&gt;1,"Çakışıyor",""))</f>
        <v/>
      </c>
    </row>
    <row r="546" customFormat="false" ht="15" hidden="false" customHeight="false" outlineLevel="0" collapsed="false">
      <c r="A546" s="12"/>
      <c r="B546" s="12"/>
      <c r="C546" s="13"/>
      <c r="D546" s="14"/>
      <c r="E546" s="14"/>
      <c r="F546" s="13"/>
      <c r="G546" s="15"/>
      <c r="H546" s="16" t="str">
        <f aca="false">IF(OR(D546="",E546="",E546&lt;D546),"",E546-D546+1)</f>
        <v/>
      </c>
      <c r="I546" s="17" t="str">
        <f aca="false">IF(OR(H546="",C546=""),"",IF(F546="İptal",0,H546*IFERROR(INDEX(Ürünler!$B$5:$B$64,MATCH(C546,Ürünler!$A$5:$A$64,0)),0)-G546))</f>
        <v/>
      </c>
      <c r="J546" s="18" t="str">
        <f aca="false">IF(OR(H546="",C546="",F546="İptal"),"",IF(COUNTIFS($C$5:$C$1504,C546,$D$5:$D$1504,"&lt;="&amp;E546,$E$5:$E$1504,"&gt;="&amp;D546,$F$5:$F$1504,"&lt;&gt;İptal")&gt;1,"Çakışıyor",""))</f>
        <v/>
      </c>
    </row>
    <row r="547" customFormat="false" ht="15" hidden="false" customHeight="false" outlineLevel="0" collapsed="false">
      <c r="A547" s="12"/>
      <c r="B547" s="12"/>
      <c r="C547" s="13"/>
      <c r="D547" s="14"/>
      <c r="E547" s="14"/>
      <c r="F547" s="13"/>
      <c r="G547" s="15"/>
      <c r="H547" s="16" t="str">
        <f aca="false">IF(OR(D547="",E547="",E547&lt;D547),"",E547-D547+1)</f>
        <v/>
      </c>
      <c r="I547" s="17" t="str">
        <f aca="false">IF(OR(H547="",C547=""),"",IF(F547="İptal",0,H547*IFERROR(INDEX(Ürünler!$B$5:$B$64,MATCH(C547,Ürünler!$A$5:$A$64,0)),0)-G547))</f>
        <v/>
      </c>
      <c r="J547" s="18" t="str">
        <f aca="false">IF(OR(H547="",C547="",F547="İptal"),"",IF(COUNTIFS($C$5:$C$1504,C547,$D$5:$D$1504,"&lt;="&amp;E547,$E$5:$E$1504,"&gt;="&amp;D547,$F$5:$F$1504,"&lt;&gt;İptal")&gt;1,"Çakışıyor",""))</f>
        <v/>
      </c>
    </row>
    <row r="548" customFormat="false" ht="15" hidden="false" customHeight="false" outlineLevel="0" collapsed="false">
      <c r="A548" s="12"/>
      <c r="B548" s="12"/>
      <c r="C548" s="13"/>
      <c r="D548" s="14"/>
      <c r="E548" s="14"/>
      <c r="F548" s="13"/>
      <c r="G548" s="15"/>
      <c r="H548" s="16" t="str">
        <f aca="false">IF(OR(D548="",E548="",E548&lt;D548),"",E548-D548+1)</f>
        <v/>
      </c>
      <c r="I548" s="17" t="str">
        <f aca="false">IF(OR(H548="",C548=""),"",IF(F548="İptal",0,H548*IFERROR(INDEX(Ürünler!$B$5:$B$64,MATCH(C548,Ürünler!$A$5:$A$64,0)),0)-G548))</f>
        <v/>
      </c>
      <c r="J548" s="18" t="str">
        <f aca="false">IF(OR(H548="",C548="",F548="İptal"),"",IF(COUNTIFS($C$5:$C$1504,C548,$D$5:$D$1504,"&lt;="&amp;E548,$E$5:$E$1504,"&gt;="&amp;D548,$F$5:$F$1504,"&lt;&gt;İptal")&gt;1,"Çakışıyor",""))</f>
        <v/>
      </c>
    </row>
    <row r="549" customFormat="false" ht="15" hidden="false" customHeight="false" outlineLevel="0" collapsed="false">
      <c r="A549" s="12"/>
      <c r="B549" s="12"/>
      <c r="C549" s="13"/>
      <c r="D549" s="14"/>
      <c r="E549" s="14"/>
      <c r="F549" s="13"/>
      <c r="G549" s="15"/>
      <c r="H549" s="16" t="str">
        <f aca="false">IF(OR(D549="",E549="",E549&lt;D549),"",E549-D549+1)</f>
        <v/>
      </c>
      <c r="I549" s="17" t="str">
        <f aca="false">IF(OR(H549="",C549=""),"",IF(F549="İptal",0,H549*IFERROR(INDEX(Ürünler!$B$5:$B$64,MATCH(C549,Ürünler!$A$5:$A$64,0)),0)-G549))</f>
        <v/>
      </c>
      <c r="J549" s="18" t="str">
        <f aca="false">IF(OR(H549="",C549="",F549="İptal"),"",IF(COUNTIFS($C$5:$C$1504,C549,$D$5:$D$1504,"&lt;="&amp;E549,$E$5:$E$1504,"&gt;="&amp;D549,$F$5:$F$1504,"&lt;&gt;İptal")&gt;1,"Çakışıyor",""))</f>
        <v/>
      </c>
    </row>
    <row r="550" customFormat="false" ht="15" hidden="false" customHeight="false" outlineLevel="0" collapsed="false">
      <c r="A550" s="12"/>
      <c r="B550" s="12"/>
      <c r="C550" s="13"/>
      <c r="D550" s="14"/>
      <c r="E550" s="14"/>
      <c r="F550" s="13"/>
      <c r="G550" s="15"/>
      <c r="H550" s="16" t="str">
        <f aca="false">IF(OR(D550="",E550="",E550&lt;D550),"",E550-D550+1)</f>
        <v/>
      </c>
      <c r="I550" s="17" t="str">
        <f aca="false">IF(OR(H550="",C550=""),"",IF(F550="İptal",0,H550*IFERROR(INDEX(Ürünler!$B$5:$B$64,MATCH(C550,Ürünler!$A$5:$A$64,0)),0)-G550))</f>
        <v/>
      </c>
      <c r="J550" s="18" t="str">
        <f aca="false">IF(OR(H550="",C550="",F550="İptal"),"",IF(COUNTIFS($C$5:$C$1504,C550,$D$5:$D$1504,"&lt;="&amp;E550,$E$5:$E$1504,"&gt;="&amp;D550,$F$5:$F$1504,"&lt;&gt;İptal")&gt;1,"Çakışıyor",""))</f>
        <v/>
      </c>
    </row>
    <row r="551" customFormat="false" ht="15" hidden="false" customHeight="false" outlineLevel="0" collapsed="false">
      <c r="A551" s="12"/>
      <c r="B551" s="12"/>
      <c r="C551" s="13"/>
      <c r="D551" s="14"/>
      <c r="E551" s="14"/>
      <c r="F551" s="13"/>
      <c r="G551" s="15"/>
      <c r="H551" s="16" t="str">
        <f aca="false">IF(OR(D551="",E551="",E551&lt;D551),"",E551-D551+1)</f>
        <v/>
      </c>
      <c r="I551" s="17" t="str">
        <f aca="false">IF(OR(H551="",C551=""),"",IF(F551="İptal",0,H551*IFERROR(INDEX(Ürünler!$B$5:$B$64,MATCH(C551,Ürünler!$A$5:$A$64,0)),0)-G551))</f>
        <v/>
      </c>
      <c r="J551" s="18" t="str">
        <f aca="false">IF(OR(H551="",C551="",F551="İptal"),"",IF(COUNTIFS($C$5:$C$1504,C551,$D$5:$D$1504,"&lt;="&amp;E551,$E$5:$E$1504,"&gt;="&amp;D551,$F$5:$F$1504,"&lt;&gt;İptal")&gt;1,"Çakışıyor",""))</f>
        <v/>
      </c>
    </row>
    <row r="552" customFormat="false" ht="15" hidden="false" customHeight="false" outlineLevel="0" collapsed="false">
      <c r="A552" s="12"/>
      <c r="B552" s="12"/>
      <c r="C552" s="13"/>
      <c r="D552" s="14"/>
      <c r="E552" s="14"/>
      <c r="F552" s="13"/>
      <c r="G552" s="15"/>
      <c r="H552" s="16" t="str">
        <f aca="false">IF(OR(D552="",E552="",E552&lt;D552),"",E552-D552+1)</f>
        <v/>
      </c>
      <c r="I552" s="17" t="str">
        <f aca="false">IF(OR(H552="",C552=""),"",IF(F552="İptal",0,H552*IFERROR(INDEX(Ürünler!$B$5:$B$64,MATCH(C552,Ürünler!$A$5:$A$64,0)),0)-G552))</f>
        <v/>
      </c>
      <c r="J552" s="18" t="str">
        <f aca="false">IF(OR(H552="",C552="",F552="İptal"),"",IF(COUNTIFS($C$5:$C$1504,C552,$D$5:$D$1504,"&lt;="&amp;E552,$E$5:$E$1504,"&gt;="&amp;D552,$F$5:$F$1504,"&lt;&gt;İptal")&gt;1,"Çakışıyor",""))</f>
        <v/>
      </c>
    </row>
    <row r="553" customFormat="false" ht="15" hidden="false" customHeight="false" outlineLevel="0" collapsed="false">
      <c r="A553" s="12"/>
      <c r="B553" s="12"/>
      <c r="C553" s="13"/>
      <c r="D553" s="14"/>
      <c r="E553" s="14"/>
      <c r="F553" s="13"/>
      <c r="G553" s="15"/>
      <c r="H553" s="16" t="str">
        <f aca="false">IF(OR(D553="",E553="",E553&lt;D553),"",E553-D553+1)</f>
        <v/>
      </c>
      <c r="I553" s="17" t="str">
        <f aca="false">IF(OR(H553="",C553=""),"",IF(F553="İptal",0,H553*IFERROR(INDEX(Ürünler!$B$5:$B$64,MATCH(C553,Ürünler!$A$5:$A$64,0)),0)-G553))</f>
        <v/>
      </c>
      <c r="J553" s="18" t="str">
        <f aca="false">IF(OR(H553="",C553="",F553="İptal"),"",IF(COUNTIFS($C$5:$C$1504,C553,$D$5:$D$1504,"&lt;="&amp;E553,$E$5:$E$1504,"&gt;="&amp;D553,$F$5:$F$1504,"&lt;&gt;İptal")&gt;1,"Çakışıyor",""))</f>
        <v/>
      </c>
    </row>
    <row r="554" customFormat="false" ht="15" hidden="false" customHeight="false" outlineLevel="0" collapsed="false">
      <c r="A554" s="12"/>
      <c r="B554" s="12"/>
      <c r="C554" s="13"/>
      <c r="D554" s="14"/>
      <c r="E554" s="14"/>
      <c r="F554" s="13"/>
      <c r="G554" s="15"/>
      <c r="H554" s="16" t="str">
        <f aca="false">IF(OR(D554="",E554="",E554&lt;D554),"",E554-D554+1)</f>
        <v/>
      </c>
      <c r="I554" s="17" t="str">
        <f aca="false">IF(OR(H554="",C554=""),"",IF(F554="İptal",0,H554*IFERROR(INDEX(Ürünler!$B$5:$B$64,MATCH(C554,Ürünler!$A$5:$A$64,0)),0)-G554))</f>
        <v/>
      </c>
      <c r="J554" s="18" t="str">
        <f aca="false">IF(OR(H554="",C554="",F554="İptal"),"",IF(COUNTIFS($C$5:$C$1504,C554,$D$5:$D$1504,"&lt;="&amp;E554,$E$5:$E$1504,"&gt;="&amp;D554,$F$5:$F$1504,"&lt;&gt;İptal")&gt;1,"Çakışıyor",""))</f>
        <v/>
      </c>
    </row>
    <row r="555" customFormat="false" ht="15" hidden="false" customHeight="false" outlineLevel="0" collapsed="false">
      <c r="A555" s="12"/>
      <c r="B555" s="12"/>
      <c r="C555" s="13"/>
      <c r="D555" s="14"/>
      <c r="E555" s="14"/>
      <c r="F555" s="13"/>
      <c r="G555" s="15"/>
      <c r="H555" s="16" t="str">
        <f aca="false">IF(OR(D555="",E555="",E555&lt;D555),"",E555-D555+1)</f>
        <v/>
      </c>
      <c r="I555" s="17" t="str">
        <f aca="false">IF(OR(H555="",C555=""),"",IF(F555="İptal",0,H555*IFERROR(INDEX(Ürünler!$B$5:$B$64,MATCH(C555,Ürünler!$A$5:$A$64,0)),0)-G555))</f>
        <v/>
      </c>
      <c r="J555" s="18" t="str">
        <f aca="false">IF(OR(H555="",C555="",F555="İptal"),"",IF(COUNTIFS($C$5:$C$1504,C555,$D$5:$D$1504,"&lt;="&amp;E555,$E$5:$E$1504,"&gt;="&amp;D555,$F$5:$F$1504,"&lt;&gt;İptal")&gt;1,"Çakışıyor",""))</f>
        <v/>
      </c>
    </row>
    <row r="556" customFormat="false" ht="15" hidden="false" customHeight="false" outlineLevel="0" collapsed="false">
      <c r="A556" s="12"/>
      <c r="B556" s="12"/>
      <c r="C556" s="13"/>
      <c r="D556" s="14"/>
      <c r="E556" s="14"/>
      <c r="F556" s="13"/>
      <c r="G556" s="15"/>
      <c r="H556" s="16" t="str">
        <f aca="false">IF(OR(D556="",E556="",E556&lt;D556),"",E556-D556+1)</f>
        <v/>
      </c>
      <c r="I556" s="17" t="str">
        <f aca="false">IF(OR(H556="",C556=""),"",IF(F556="İptal",0,H556*IFERROR(INDEX(Ürünler!$B$5:$B$64,MATCH(C556,Ürünler!$A$5:$A$64,0)),0)-G556))</f>
        <v/>
      </c>
      <c r="J556" s="18" t="str">
        <f aca="false">IF(OR(H556="",C556="",F556="İptal"),"",IF(COUNTIFS($C$5:$C$1504,C556,$D$5:$D$1504,"&lt;="&amp;E556,$E$5:$E$1504,"&gt;="&amp;D556,$F$5:$F$1504,"&lt;&gt;İptal")&gt;1,"Çakışıyor",""))</f>
        <v/>
      </c>
    </row>
    <row r="557" customFormat="false" ht="15" hidden="false" customHeight="false" outlineLevel="0" collapsed="false">
      <c r="A557" s="12"/>
      <c r="B557" s="12"/>
      <c r="C557" s="13"/>
      <c r="D557" s="14"/>
      <c r="E557" s="14"/>
      <c r="F557" s="13"/>
      <c r="G557" s="15"/>
      <c r="H557" s="16" t="str">
        <f aca="false">IF(OR(D557="",E557="",E557&lt;D557),"",E557-D557+1)</f>
        <v/>
      </c>
      <c r="I557" s="17" t="str">
        <f aca="false">IF(OR(H557="",C557=""),"",IF(F557="İptal",0,H557*IFERROR(INDEX(Ürünler!$B$5:$B$64,MATCH(C557,Ürünler!$A$5:$A$64,0)),0)-G557))</f>
        <v/>
      </c>
      <c r="J557" s="18" t="str">
        <f aca="false">IF(OR(H557="",C557="",F557="İptal"),"",IF(COUNTIFS($C$5:$C$1504,C557,$D$5:$D$1504,"&lt;="&amp;E557,$E$5:$E$1504,"&gt;="&amp;D557,$F$5:$F$1504,"&lt;&gt;İptal")&gt;1,"Çakışıyor",""))</f>
        <v/>
      </c>
    </row>
    <row r="558" customFormat="false" ht="15" hidden="false" customHeight="false" outlineLevel="0" collapsed="false">
      <c r="A558" s="12"/>
      <c r="B558" s="12"/>
      <c r="C558" s="13"/>
      <c r="D558" s="14"/>
      <c r="E558" s="14"/>
      <c r="F558" s="13"/>
      <c r="G558" s="15"/>
      <c r="H558" s="16" t="str">
        <f aca="false">IF(OR(D558="",E558="",E558&lt;D558),"",E558-D558+1)</f>
        <v/>
      </c>
      <c r="I558" s="17" t="str">
        <f aca="false">IF(OR(H558="",C558=""),"",IF(F558="İptal",0,H558*IFERROR(INDEX(Ürünler!$B$5:$B$64,MATCH(C558,Ürünler!$A$5:$A$64,0)),0)-G558))</f>
        <v/>
      </c>
      <c r="J558" s="18" t="str">
        <f aca="false">IF(OR(H558="",C558="",F558="İptal"),"",IF(COUNTIFS($C$5:$C$1504,C558,$D$5:$D$1504,"&lt;="&amp;E558,$E$5:$E$1504,"&gt;="&amp;D558,$F$5:$F$1504,"&lt;&gt;İptal")&gt;1,"Çakışıyor",""))</f>
        <v/>
      </c>
    </row>
    <row r="559" customFormat="false" ht="15" hidden="false" customHeight="false" outlineLevel="0" collapsed="false">
      <c r="A559" s="12"/>
      <c r="B559" s="12"/>
      <c r="C559" s="13"/>
      <c r="D559" s="14"/>
      <c r="E559" s="14"/>
      <c r="F559" s="13"/>
      <c r="G559" s="15"/>
      <c r="H559" s="16" t="str">
        <f aca="false">IF(OR(D559="",E559="",E559&lt;D559),"",E559-D559+1)</f>
        <v/>
      </c>
      <c r="I559" s="17" t="str">
        <f aca="false">IF(OR(H559="",C559=""),"",IF(F559="İptal",0,H559*IFERROR(INDEX(Ürünler!$B$5:$B$64,MATCH(C559,Ürünler!$A$5:$A$64,0)),0)-G559))</f>
        <v/>
      </c>
      <c r="J559" s="18" t="str">
        <f aca="false">IF(OR(H559="",C559="",F559="İptal"),"",IF(COUNTIFS($C$5:$C$1504,C559,$D$5:$D$1504,"&lt;="&amp;E559,$E$5:$E$1504,"&gt;="&amp;D559,$F$5:$F$1504,"&lt;&gt;İptal")&gt;1,"Çakışıyor",""))</f>
        <v/>
      </c>
    </row>
    <row r="560" customFormat="false" ht="15" hidden="false" customHeight="false" outlineLevel="0" collapsed="false">
      <c r="A560" s="12"/>
      <c r="B560" s="12"/>
      <c r="C560" s="13"/>
      <c r="D560" s="14"/>
      <c r="E560" s="14"/>
      <c r="F560" s="13"/>
      <c r="G560" s="15"/>
      <c r="H560" s="16" t="str">
        <f aca="false">IF(OR(D560="",E560="",E560&lt;D560),"",E560-D560+1)</f>
        <v/>
      </c>
      <c r="I560" s="17" t="str">
        <f aca="false">IF(OR(H560="",C560=""),"",IF(F560="İptal",0,H560*IFERROR(INDEX(Ürünler!$B$5:$B$64,MATCH(C560,Ürünler!$A$5:$A$64,0)),0)-G560))</f>
        <v/>
      </c>
      <c r="J560" s="18" t="str">
        <f aca="false">IF(OR(H560="",C560="",F560="İptal"),"",IF(COUNTIFS($C$5:$C$1504,C560,$D$5:$D$1504,"&lt;="&amp;E560,$E$5:$E$1504,"&gt;="&amp;D560,$F$5:$F$1504,"&lt;&gt;İptal")&gt;1,"Çakışıyor",""))</f>
        <v/>
      </c>
    </row>
    <row r="561" customFormat="false" ht="15" hidden="false" customHeight="false" outlineLevel="0" collapsed="false">
      <c r="A561" s="12"/>
      <c r="B561" s="12"/>
      <c r="C561" s="13"/>
      <c r="D561" s="14"/>
      <c r="E561" s="14"/>
      <c r="F561" s="13"/>
      <c r="G561" s="15"/>
      <c r="H561" s="16" t="str">
        <f aca="false">IF(OR(D561="",E561="",E561&lt;D561),"",E561-D561+1)</f>
        <v/>
      </c>
      <c r="I561" s="17" t="str">
        <f aca="false">IF(OR(H561="",C561=""),"",IF(F561="İptal",0,H561*IFERROR(INDEX(Ürünler!$B$5:$B$64,MATCH(C561,Ürünler!$A$5:$A$64,0)),0)-G561))</f>
        <v/>
      </c>
      <c r="J561" s="18" t="str">
        <f aca="false">IF(OR(H561="",C561="",F561="İptal"),"",IF(COUNTIFS($C$5:$C$1504,C561,$D$5:$D$1504,"&lt;="&amp;E561,$E$5:$E$1504,"&gt;="&amp;D561,$F$5:$F$1504,"&lt;&gt;İptal")&gt;1,"Çakışıyor",""))</f>
        <v/>
      </c>
    </row>
    <row r="562" customFormat="false" ht="15" hidden="false" customHeight="false" outlineLevel="0" collapsed="false">
      <c r="A562" s="12"/>
      <c r="B562" s="12"/>
      <c r="C562" s="13"/>
      <c r="D562" s="14"/>
      <c r="E562" s="14"/>
      <c r="F562" s="13"/>
      <c r="G562" s="15"/>
      <c r="H562" s="16" t="str">
        <f aca="false">IF(OR(D562="",E562="",E562&lt;D562),"",E562-D562+1)</f>
        <v/>
      </c>
      <c r="I562" s="17" t="str">
        <f aca="false">IF(OR(H562="",C562=""),"",IF(F562="İptal",0,H562*IFERROR(INDEX(Ürünler!$B$5:$B$64,MATCH(C562,Ürünler!$A$5:$A$64,0)),0)-G562))</f>
        <v/>
      </c>
      <c r="J562" s="18" t="str">
        <f aca="false">IF(OR(H562="",C562="",F562="İptal"),"",IF(COUNTIFS($C$5:$C$1504,C562,$D$5:$D$1504,"&lt;="&amp;E562,$E$5:$E$1504,"&gt;="&amp;D562,$F$5:$F$1504,"&lt;&gt;İptal")&gt;1,"Çakışıyor",""))</f>
        <v/>
      </c>
    </row>
    <row r="563" customFormat="false" ht="15" hidden="false" customHeight="false" outlineLevel="0" collapsed="false">
      <c r="A563" s="12"/>
      <c r="B563" s="12"/>
      <c r="C563" s="13"/>
      <c r="D563" s="14"/>
      <c r="E563" s="14"/>
      <c r="F563" s="13"/>
      <c r="G563" s="15"/>
      <c r="H563" s="16" t="str">
        <f aca="false">IF(OR(D563="",E563="",E563&lt;D563),"",E563-D563+1)</f>
        <v/>
      </c>
      <c r="I563" s="17" t="str">
        <f aca="false">IF(OR(H563="",C563=""),"",IF(F563="İptal",0,H563*IFERROR(INDEX(Ürünler!$B$5:$B$64,MATCH(C563,Ürünler!$A$5:$A$64,0)),0)-G563))</f>
        <v/>
      </c>
      <c r="J563" s="18" t="str">
        <f aca="false">IF(OR(H563="",C563="",F563="İptal"),"",IF(COUNTIFS($C$5:$C$1504,C563,$D$5:$D$1504,"&lt;="&amp;E563,$E$5:$E$1504,"&gt;="&amp;D563,$F$5:$F$1504,"&lt;&gt;İptal")&gt;1,"Çakışıyor",""))</f>
        <v/>
      </c>
    </row>
    <row r="564" customFormat="false" ht="15" hidden="false" customHeight="false" outlineLevel="0" collapsed="false">
      <c r="A564" s="12"/>
      <c r="B564" s="12"/>
      <c r="C564" s="13"/>
      <c r="D564" s="14"/>
      <c r="E564" s="14"/>
      <c r="F564" s="13"/>
      <c r="G564" s="15"/>
      <c r="H564" s="16" t="str">
        <f aca="false">IF(OR(D564="",E564="",E564&lt;D564),"",E564-D564+1)</f>
        <v/>
      </c>
      <c r="I564" s="17" t="str">
        <f aca="false">IF(OR(H564="",C564=""),"",IF(F564="İptal",0,H564*IFERROR(INDEX(Ürünler!$B$5:$B$64,MATCH(C564,Ürünler!$A$5:$A$64,0)),0)-G564))</f>
        <v/>
      </c>
      <c r="J564" s="18" t="str">
        <f aca="false">IF(OR(H564="",C564="",F564="İptal"),"",IF(COUNTIFS($C$5:$C$1504,C564,$D$5:$D$1504,"&lt;="&amp;E564,$E$5:$E$1504,"&gt;="&amp;D564,$F$5:$F$1504,"&lt;&gt;İptal")&gt;1,"Çakışıyor",""))</f>
        <v/>
      </c>
    </row>
    <row r="565" customFormat="false" ht="15" hidden="false" customHeight="false" outlineLevel="0" collapsed="false">
      <c r="A565" s="12"/>
      <c r="B565" s="12"/>
      <c r="C565" s="13"/>
      <c r="D565" s="14"/>
      <c r="E565" s="14"/>
      <c r="F565" s="13"/>
      <c r="G565" s="15"/>
      <c r="H565" s="16" t="str">
        <f aca="false">IF(OR(D565="",E565="",E565&lt;D565),"",E565-D565+1)</f>
        <v/>
      </c>
      <c r="I565" s="17" t="str">
        <f aca="false">IF(OR(H565="",C565=""),"",IF(F565="İptal",0,H565*IFERROR(INDEX(Ürünler!$B$5:$B$64,MATCH(C565,Ürünler!$A$5:$A$64,0)),0)-G565))</f>
        <v/>
      </c>
      <c r="J565" s="18" t="str">
        <f aca="false">IF(OR(H565="",C565="",F565="İptal"),"",IF(COUNTIFS($C$5:$C$1504,C565,$D$5:$D$1504,"&lt;="&amp;E565,$E$5:$E$1504,"&gt;="&amp;D565,$F$5:$F$1504,"&lt;&gt;İptal")&gt;1,"Çakışıyor",""))</f>
        <v/>
      </c>
    </row>
    <row r="566" customFormat="false" ht="15" hidden="false" customHeight="false" outlineLevel="0" collapsed="false">
      <c r="A566" s="12"/>
      <c r="B566" s="12"/>
      <c r="C566" s="13"/>
      <c r="D566" s="14"/>
      <c r="E566" s="14"/>
      <c r="F566" s="13"/>
      <c r="G566" s="15"/>
      <c r="H566" s="16" t="str">
        <f aca="false">IF(OR(D566="",E566="",E566&lt;D566),"",E566-D566+1)</f>
        <v/>
      </c>
      <c r="I566" s="17" t="str">
        <f aca="false">IF(OR(H566="",C566=""),"",IF(F566="İptal",0,H566*IFERROR(INDEX(Ürünler!$B$5:$B$64,MATCH(C566,Ürünler!$A$5:$A$64,0)),0)-G566))</f>
        <v/>
      </c>
      <c r="J566" s="18" t="str">
        <f aca="false">IF(OR(H566="",C566="",F566="İptal"),"",IF(COUNTIFS($C$5:$C$1504,C566,$D$5:$D$1504,"&lt;="&amp;E566,$E$5:$E$1504,"&gt;="&amp;D566,$F$5:$F$1504,"&lt;&gt;İptal")&gt;1,"Çakışıyor",""))</f>
        <v/>
      </c>
    </row>
    <row r="567" customFormat="false" ht="15" hidden="false" customHeight="false" outlineLevel="0" collapsed="false">
      <c r="A567" s="12"/>
      <c r="B567" s="12"/>
      <c r="C567" s="13"/>
      <c r="D567" s="14"/>
      <c r="E567" s="14"/>
      <c r="F567" s="13"/>
      <c r="G567" s="15"/>
      <c r="H567" s="16" t="str">
        <f aca="false">IF(OR(D567="",E567="",E567&lt;D567),"",E567-D567+1)</f>
        <v/>
      </c>
      <c r="I567" s="17" t="str">
        <f aca="false">IF(OR(H567="",C567=""),"",IF(F567="İptal",0,H567*IFERROR(INDEX(Ürünler!$B$5:$B$64,MATCH(C567,Ürünler!$A$5:$A$64,0)),0)-G567))</f>
        <v/>
      </c>
      <c r="J567" s="18" t="str">
        <f aca="false">IF(OR(H567="",C567="",F567="İptal"),"",IF(COUNTIFS($C$5:$C$1504,C567,$D$5:$D$1504,"&lt;="&amp;E567,$E$5:$E$1504,"&gt;="&amp;D567,$F$5:$F$1504,"&lt;&gt;İptal")&gt;1,"Çakışıyor",""))</f>
        <v/>
      </c>
    </row>
    <row r="568" customFormat="false" ht="15" hidden="false" customHeight="false" outlineLevel="0" collapsed="false">
      <c r="A568" s="12"/>
      <c r="B568" s="12"/>
      <c r="C568" s="13"/>
      <c r="D568" s="14"/>
      <c r="E568" s="14"/>
      <c r="F568" s="13"/>
      <c r="G568" s="15"/>
      <c r="H568" s="16" t="str">
        <f aca="false">IF(OR(D568="",E568="",E568&lt;D568),"",E568-D568+1)</f>
        <v/>
      </c>
      <c r="I568" s="17" t="str">
        <f aca="false">IF(OR(H568="",C568=""),"",IF(F568="İptal",0,H568*IFERROR(INDEX(Ürünler!$B$5:$B$64,MATCH(C568,Ürünler!$A$5:$A$64,0)),0)-G568))</f>
        <v/>
      </c>
      <c r="J568" s="18" t="str">
        <f aca="false">IF(OR(H568="",C568="",F568="İptal"),"",IF(COUNTIFS($C$5:$C$1504,C568,$D$5:$D$1504,"&lt;="&amp;E568,$E$5:$E$1504,"&gt;="&amp;D568,$F$5:$F$1504,"&lt;&gt;İptal")&gt;1,"Çakışıyor",""))</f>
        <v/>
      </c>
    </row>
    <row r="569" customFormat="false" ht="15" hidden="false" customHeight="false" outlineLevel="0" collapsed="false">
      <c r="A569" s="12"/>
      <c r="B569" s="12"/>
      <c r="C569" s="13"/>
      <c r="D569" s="14"/>
      <c r="E569" s="14"/>
      <c r="F569" s="13"/>
      <c r="G569" s="15"/>
      <c r="H569" s="16" t="str">
        <f aca="false">IF(OR(D569="",E569="",E569&lt;D569),"",E569-D569+1)</f>
        <v/>
      </c>
      <c r="I569" s="17" t="str">
        <f aca="false">IF(OR(H569="",C569=""),"",IF(F569="İptal",0,H569*IFERROR(INDEX(Ürünler!$B$5:$B$64,MATCH(C569,Ürünler!$A$5:$A$64,0)),0)-G569))</f>
        <v/>
      </c>
      <c r="J569" s="18" t="str">
        <f aca="false">IF(OR(H569="",C569="",F569="İptal"),"",IF(COUNTIFS($C$5:$C$1504,C569,$D$5:$D$1504,"&lt;="&amp;E569,$E$5:$E$1504,"&gt;="&amp;D569,$F$5:$F$1504,"&lt;&gt;İptal")&gt;1,"Çakışıyor",""))</f>
        <v/>
      </c>
    </row>
    <row r="570" customFormat="false" ht="15" hidden="false" customHeight="false" outlineLevel="0" collapsed="false">
      <c r="A570" s="12"/>
      <c r="B570" s="12"/>
      <c r="C570" s="13"/>
      <c r="D570" s="14"/>
      <c r="E570" s="14"/>
      <c r="F570" s="13"/>
      <c r="G570" s="15"/>
      <c r="H570" s="16" t="str">
        <f aca="false">IF(OR(D570="",E570="",E570&lt;D570),"",E570-D570+1)</f>
        <v/>
      </c>
      <c r="I570" s="17" t="str">
        <f aca="false">IF(OR(H570="",C570=""),"",IF(F570="İptal",0,H570*IFERROR(INDEX(Ürünler!$B$5:$B$64,MATCH(C570,Ürünler!$A$5:$A$64,0)),0)-G570))</f>
        <v/>
      </c>
      <c r="J570" s="18" t="str">
        <f aca="false">IF(OR(H570="",C570="",F570="İptal"),"",IF(COUNTIFS($C$5:$C$1504,C570,$D$5:$D$1504,"&lt;="&amp;E570,$E$5:$E$1504,"&gt;="&amp;D570,$F$5:$F$1504,"&lt;&gt;İptal")&gt;1,"Çakışıyor",""))</f>
        <v/>
      </c>
    </row>
    <row r="571" customFormat="false" ht="15" hidden="false" customHeight="false" outlineLevel="0" collapsed="false">
      <c r="A571" s="12"/>
      <c r="B571" s="12"/>
      <c r="C571" s="13"/>
      <c r="D571" s="14"/>
      <c r="E571" s="14"/>
      <c r="F571" s="13"/>
      <c r="G571" s="15"/>
      <c r="H571" s="16" t="str">
        <f aca="false">IF(OR(D571="",E571="",E571&lt;D571),"",E571-D571+1)</f>
        <v/>
      </c>
      <c r="I571" s="17" t="str">
        <f aca="false">IF(OR(H571="",C571=""),"",IF(F571="İptal",0,H571*IFERROR(INDEX(Ürünler!$B$5:$B$64,MATCH(C571,Ürünler!$A$5:$A$64,0)),0)-G571))</f>
        <v/>
      </c>
      <c r="J571" s="18" t="str">
        <f aca="false">IF(OR(H571="",C571="",F571="İptal"),"",IF(COUNTIFS($C$5:$C$1504,C571,$D$5:$D$1504,"&lt;="&amp;E571,$E$5:$E$1504,"&gt;="&amp;D571,$F$5:$F$1504,"&lt;&gt;İptal")&gt;1,"Çakışıyor",""))</f>
        <v/>
      </c>
    </row>
    <row r="572" customFormat="false" ht="15" hidden="false" customHeight="false" outlineLevel="0" collapsed="false">
      <c r="A572" s="12"/>
      <c r="B572" s="12"/>
      <c r="C572" s="13"/>
      <c r="D572" s="14"/>
      <c r="E572" s="14"/>
      <c r="F572" s="13"/>
      <c r="G572" s="15"/>
      <c r="H572" s="16" t="str">
        <f aca="false">IF(OR(D572="",E572="",E572&lt;D572),"",E572-D572+1)</f>
        <v/>
      </c>
      <c r="I572" s="17" t="str">
        <f aca="false">IF(OR(H572="",C572=""),"",IF(F572="İptal",0,H572*IFERROR(INDEX(Ürünler!$B$5:$B$64,MATCH(C572,Ürünler!$A$5:$A$64,0)),0)-G572))</f>
        <v/>
      </c>
      <c r="J572" s="18" t="str">
        <f aca="false">IF(OR(H572="",C572="",F572="İptal"),"",IF(COUNTIFS($C$5:$C$1504,C572,$D$5:$D$1504,"&lt;="&amp;E572,$E$5:$E$1504,"&gt;="&amp;D572,$F$5:$F$1504,"&lt;&gt;İptal")&gt;1,"Çakışıyor",""))</f>
        <v/>
      </c>
    </row>
    <row r="573" customFormat="false" ht="15" hidden="false" customHeight="false" outlineLevel="0" collapsed="false">
      <c r="A573" s="12"/>
      <c r="B573" s="12"/>
      <c r="C573" s="13"/>
      <c r="D573" s="14"/>
      <c r="E573" s="14"/>
      <c r="F573" s="13"/>
      <c r="G573" s="15"/>
      <c r="H573" s="16" t="str">
        <f aca="false">IF(OR(D573="",E573="",E573&lt;D573),"",E573-D573+1)</f>
        <v/>
      </c>
      <c r="I573" s="17" t="str">
        <f aca="false">IF(OR(H573="",C573=""),"",IF(F573="İptal",0,H573*IFERROR(INDEX(Ürünler!$B$5:$B$64,MATCH(C573,Ürünler!$A$5:$A$64,0)),0)-G573))</f>
        <v/>
      </c>
      <c r="J573" s="18" t="str">
        <f aca="false">IF(OR(H573="",C573="",F573="İptal"),"",IF(COUNTIFS($C$5:$C$1504,C573,$D$5:$D$1504,"&lt;="&amp;E573,$E$5:$E$1504,"&gt;="&amp;D573,$F$5:$F$1504,"&lt;&gt;İptal")&gt;1,"Çakışıyor",""))</f>
        <v/>
      </c>
    </row>
    <row r="574" customFormat="false" ht="15" hidden="false" customHeight="false" outlineLevel="0" collapsed="false">
      <c r="A574" s="12"/>
      <c r="B574" s="12"/>
      <c r="C574" s="13"/>
      <c r="D574" s="14"/>
      <c r="E574" s="14"/>
      <c r="F574" s="13"/>
      <c r="G574" s="15"/>
      <c r="H574" s="16" t="str">
        <f aca="false">IF(OR(D574="",E574="",E574&lt;D574),"",E574-D574+1)</f>
        <v/>
      </c>
      <c r="I574" s="17" t="str">
        <f aca="false">IF(OR(H574="",C574=""),"",IF(F574="İptal",0,H574*IFERROR(INDEX(Ürünler!$B$5:$B$64,MATCH(C574,Ürünler!$A$5:$A$64,0)),0)-G574))</f>
        <v/>
      </c>
      <c r="J574" s="18" t="str">
        <f aca="false">IF(OR(H574="",C574="",F574="İptal"),"",IF(COUNTIFS($C$5:$C$1504,C574,$D$5:$D$1504,"&lt;="&amp;E574,$E$5:$E$1504,"&gt;="&amp;D574,$F$5:$F$1504,"&lt;&gt;İptal")&gt;1,"Çakışıyor",""))</f>
        <v/>
      </c>
    </row>
    <row r="575" customFormat="false" ht="15" hidden="false" customHeight="false" outlineLevel="0" collapsed="false">
      <c r="A575" s="12"/>
      <c r="B575" s="12"/>
      <c r="C575" s="13"/>
      <c r="D575" s="14"/>
      <c r="E575" s="14"/>
      <c r="F575" s="13"/>
      <c r="G575" s="15"/>
      <c r="H575" s="16" t="str">
        <f aca="false">IF(OR(D575="",E575="",E575&lt;D575),"",E575-D575+1)</f>
        <v/>
      </c>
      <c r="I575" s="17" t="str">
        <f aca="false">IF(OR(H575="",C575=""),"",IF(F575="İptal",0,H575*IFERROR(INDEX(Ürünler!$B$5:$B$64,MATCH(C575,Ürünler!$A$5:$A$64,0)),0)-G575))</f>
        <v/>
      </c>
      <c r="J575" s="18" t="str">
        <f aca="false">IF(OR(H575="",C575="",F575="İptal"),"",IF(COUNTIFS($C$5:$C$1504,C575,$D$5:$D$1504,"&lt;="&amp;E575,$E$5:$E$1504,"&gt;="&amp;D575,$F$5:$F$1504,"&lt;&gt;İptal")&gt;1,"Çakışıyor",""))</f>
        <v/>
      </c>
    </row>
    <row r="576" customFormat="false" ht="15" hidden="false" customHeight="false" outlineLevel="0" collapsed="false">
      <c r="A576" s="12"/>
      <c r="B576" s="12"/>
      <c r="C576" s="13"/>
      <c r="D576" s="14"/>
      <c r="E576" s="14"/>
      <c r="F576" s="13"/>
      <c r="G576" s="15"/>
      <c r="H576" s="16" t="str">
        <f aca="false">IF(OR(D576="",E576="",E576&lt;D576),"",E576-D576+1)</f>
        <v/>
      </c>
      <c r="I576" s="17" t="str">
        <f aca="false">IF(OR(H576="",C576=""),"",IF(F576="İptal",0,H576*IFERROR(INDEX(Ürünler!$B$5:$B$64,MATCH(C576,Ürünler!$A$5:$A$64,0)),0)-G576))</f>
        <v/>
      </c>
      <c r="J576" s="18" t="str">
        <f aca="false">IF(OR(H576="",C576="",F576="İptal"),"",IF(COUNTIFS($C$5:$C$1504,C576,$D$5:$D$1504,"&lt;="&amp;E576,$E$5:$E$1504,"&gt;="&amp;D576,$F$5:$F$1504,"&lt;&gt;İptal")&gt;1,"Çakışıyor",""))</f>
        <v/>
      </c>
    </row>
    <row r="577" customFormat="false" ht="15" hidden="false" customHeight="false" outlineLevel="0" collapsed="false">
      <c r="A577" s="12"/>
      <c r="B577" s="12"/>
      <c r="C577" s="13"/>
      <c r="D577" s="14"/>
      <c r="E577" s="14"/>
      <c r="F577" s="13"/>
      <c r="G577" s="15"/>
      <c r="H577" s="16" t="str">
        <f aca="false">IF(OR(D577="",E577="",E577&lt;D577),"",E577-D577+1)</f>
        <v/>
      </c>
      <c r="I577" s="17" t="str">
        <f aca="false">IF(OR(H577="",C577=""),"",IF(F577="İptal",0,H577*IFERROR(INDEX(Ürünler!$B$5:$B$64,MATCH(C577,Ürünler!$A$5:$A$64,0)),0)-G577))</f>
        <v/>
      </c>
      <c r="J577" s="18" t="str">
        <f aca="false">IF(OR(H577="",C577="",F577="İptal"),"",IF(COUNTIFS($C$5:$C$1504,C577,$D$5:$D$1504,"&lt;="&amp;E577,$E$5:$E$1504,"&gt;="&amp;D577,$F$5:$F$1504,"&lt;&gt;İptal")&gt;1,"Çakışıyor",""))</f>
        <v/>
      </c>
    </row>
    <row r="578" customFormat="false" ht="15" hidden="false" customHeight="false" outlineLevel="0" collapsed="false">
      <c r="A578" s="12"/>
      <c r="B578" s="12"/>
      <c r="C578" s="13"/>
      <c r="D578" s="14"/>
      <c r="E578" s="14"/>
      <c r="F578" s="13"/>
      <c r="G578" s="15"/>
      <c r="H578" s="16" t="str">
        <f aca="false">IF(OR(D578="",E578="",E578&lt;D578),"",E578-D578+1)</f>
        <v/>
      </c>
      <c r="I578" s="17" t="str">
        <f aca="false">IF(OR(H578="",C578=""),"",IF(F578="İptal",0,H578*IFERROR(INDEX(Ürünler!$B$5:$B$64,MATCH(C578,Ürünler!$A$5:$A$64,0)),0)-G578))</f>
        <v/>
      </c>
      <c r="J578" s="18" t="str">
        <f aca="false">IF(OR(H578="",C578="",F578="İptal"),"",IF(COUNTIFS($C$5:$C$1504,C578,$D$5:$D$1504,"&lt;="&amp;E578,$E$5:$E$1504,"&gt;="&amp;D578,$F$5:$F$1504,"&lt;&gt;İptal")&gt;1,"Çakışıyor",""))</f>
        <v/>
      </c>
    </row>
    <row r="579" customFormat="false" ht="15" hidden="false" customHeight="false" outlineLevel="0" collapsed="false">
      <c r="A579" s="12"/>
      <c r="B579" s="12"/>
      <c r="C579" s="13"/>
      <c r="D579" s="14"/>
      <c r="E579" s="14"/>
      <c r="F579" s="13"/>
      <c r="G579" s="15"/>
      <c r="H579" s="16" t="str">
        <f aca="false">IF(OR(D579="",E579="",E579&lt;D579),"",E579-D579+1)</f>
        <v/>
      </c>
      <c r="I579" s="17" t="str">
        <f aca="false">IF(OR(H579="",C579=""),"",IF(F579="İptal",0,H579*IFERROR(INDEX(Ürünler!$B$5:$B$64,MATCH(C579,Ürünler!$A$5:$A$64,0)),0)-G579))</f>
        <v/>
      </c>
      <c r="J579" s="18" t="str">
        <f aca="false">IF(OR(H579="",C579="",F579="İptal"),"",IF(COUNTIFS($C$5:$C$1504,C579,$D$5:$D$1504,"&lt;="&amp;E579,$E$5:$E$1504,"&gt;="&amp;D579,$F$5:$F$1504,"&lt;&gt;İptal")&gt;1,"Çakışıyor",""))</f>
        <v/>
      </c>
    </row>
    <row r="580" customFormat="false" ht="15" hidden="false" customHeight="false" outlineLevel="0" collapsed="false">
      <c r="A580" s="12"/>
      <c r="B580" s="12"/>
      <c r="C580" s="13"/>
      <c r="D580" s="14"/>
      <c r="E580" s="14"/>
      <c r="F580" s="13"/>
      <c r="G580" s="15"/>
      <c r="H580" s="16" t="str">
        <f aca="false">IF(OR(D580="",E580="",E580&lt;D580),"",E580-D580+1)</f>
        <v/>
      </c>
      <c r="I580" s="17" t="str">
        <f aca="false">IF(OR(H580="",C580=""),"",IF(F580="İptal",0,H580*IFERROR(INDEX(Ürünler!$B$5:$B$64,MATCH(C580,Ürünler!$A$5:$A$64,0)),0)-G580))</f>
        <v/>
      </c>
      <c r="J580" s="18" t="str">
        <f aca="false">IF(OR(H580="",C580="",F580="İptal"),"",IF(COUNTIFS($C$5:$C$1504,C580,$D$5:$D$1504,"&lt;="&amp;E580,$E$5:$E$1504,"&gt;="&amp;D580,$F$5:$F$1504,"&lt;&gt;İptal")&gt;1,"Çakışıyor",""))</f>
        <v/>
      </c>
    </row>
    <row r="581" customFormat="false" ht="15" hidden="false" customHeight="false" outlineLevel="0" collapsed="false">
      <c r="A581" s="12"/>
      <c r="B581" s="12"/>
      <c r="C581" s="13"/>
      <c r="D581" s="14"/>
      <c r="E581" s="14"/>
      <c r="F581" s="13"/>
      <c r="G581" s="15"/>
      <c r="H581" s="16" t="str">
        <f aca="false">IF(OR(D581="",E581="",E581&lt;D581),"",E581-D581+1)</f>
        <v/>
      </c>
      <c r="I581" s="17" t="str">
        <f aca="false">IF(OR(H581="",C581=""),"",IF(F581="İptal",0,H581*IFERROR(INDEX(Ürünler!$B$5:$B$64,MATCH(C581,Ürünler!$A$5:$A$64,0)),0)-G581))</f>
        <v/>
      </c>
      <c r="J581" s="18" t="str">
        <f aca="false">IF(OR(H581="",C581="",F581="İptal"),"",IF(COUNTIFS($C$5:$C$1504,C581,$D$5:$D$1504,"&lt;="&amp;E581,$E$5:$E$1504,"&gt;="&amp;D581,$F$5:$F$1504,"&lt;&gt;İptal")&gt;1,"Çakışıyor",""))</f>
        <v/>
      </c>
    </row>
    <row r="582" customFormat="false" ht="15" hidden="false" customHeight="false" outlineLevel="0" collapsed="false">
      <c r="A582" s="12"/>
      <c r="B582" s="12"/>
      <c r="C582" s="13"/>
      <c r="D582" s="14"/>
      <c r="E582" s="14"/>
      <c r="F582" s="13"/>
      <c r="G582" s="15"/>
      <c r="H582" s="16" t="str">
        <f aca="false">IF(OR(D582="",E582="",E582&lt;D582),"",E582-D582+1)</f>
        <v/>
      </c>
      <c r="I582" s="17" t="str">
        <f aca="false">IF(OR(H582="",C582=""),"",IF(F582="İptal",0,H582*IFERROR(INDEX(Ürünler!$B$5:$B$64,MATCH(C582,Ürünler!$A$5:$A$64,0)),0)-G582))</f>
        <v/>
      </c>
      <c r="J582" s="18" t="str">
        <f aca="false">IF(OR(H582="",C582="",F582="İptal"),"",IF(COUNTIFS($C$5:$C$1504,C582,$D$5:$D$1504,"&lt;="&amp;E582,$E$5:$E$1504,"&gt;="&amp;D582,$F$5:$F$1504,"&lt;&gt;İptal")&gt;1,"Çakışıyor",""))</f>
        <v/>
      </c>
    </row>
    <row r="583" customFormat="false" ht="15" hidden="false" customHeight="false" outlineLevel="0" collapsed="false">
      <c r="A583" s="12"/>
      <c r="B583" s="12"/>
      <c r="C583" s="13"/>
      <c r="D583" s="14"/>
      <c r="E583" s="14"/>
      <c r="F583" s="13"/>
      <c r="G583" s="15"/>
      <c r="H583" s="16" t="str">
        <f aca="false">IF(OR(D583="",E583="",E583&lt;D583),"",E583-D583+1)</f>
        <v/>
      </c>
      <c r="I583" s="17" t="str">
        <f aca="false">IF(OR(H583="",C583=""),"",IF(F583="İptal",0,H583*IFERROR(INDEX(Ürünler!$B$5:$B$64,MATCH(C583,Ürünler!$A$5:$A$64,0)),0)-G583))</f>
        <v/>
      </c>
      <c r="J583" s="18" t="str">
        <f aca="false">IF(OR(H583="",C583="",F583="İptal"),"",IF(COUNTIFS($C$5:$C$1504,C583,$D$5:$D$1504,"&lt;="&amp;E583,$E$5:$E$1504,"&gt;="&amp;D583,$F$5:$F$1504,"&lt;&gt;İptal")&gt;1,"Çakışıyor",""))</f>
        <v/>
      </c>
    </row>
    <row r="584" customFormat="false" ht="15" hidden="false" customHeight="false" outlineLevel="0" collapsed="false">
      <c r="A584" s="12"/>
      <c r="B584" s="12"/>
      <c r="C584" s="13"/>
      <c r="D584" s="14"/>
      <c r="E584" s="14"/>
      <c r="F584" s="13"/>
      <c r="G584" s="15"/>
      <c r="H584" s="16" t="str">
        <f aca="false">IF(OR(D584="",E584="",E584&lt;D584),"",E584-D584+1)</f>
        <v/>
      </c>
      <c r="I584" s="17" t="str">
        <f aca="false">IF(OR(H584="",C584=""),"",IF(F584="İptal",0,H584*IFERROR(INDEX(Ürünler!$B$5:$B$64,MATCH(C584,Ürünler!$A$5:$A$64,0)),0)-G584))</f>
        <v/>
      </c>
      <c r="J584" s="18" t="str">
        <f aca="false">IF(OR(H584="",C584="",F584="İptal"),"",IF(COUNTIFS($C$5:$C$1504,C584,$D$5:$D$1504,"&lt;="&amp;E584,$E$5:$E$1504,"&gt;="&amp;D584,$F$5:$F$1504,"&lt;&gt;İptal")&gt;1,"Çakışıyor",""))</f>
        <v/>
      </c>
    </row>
    <row r="585" customFormat="false" ht="15" hidden="false" customHeight="false" outlineLevel="0" collapsed="false">
      <c r="A585" s="12"/>
      <c r="B585" s="12"/>
      <c r="C585" s="13"/>
      <c r="D585" s="14"/>
      <c r="E585" s="14"/>
      <c r="F585" s="13"/>
      <c r="G585" s="15"/>
      <c r="H585" s="16" t="str">
        <f aca="false">IF(OR(D585="",E585="",E585&lt;D585),"",E585-D585+1)</f>
        <v/>
      </c>
      <c r="I585" s="17" t="str">
        <f aca="false">IF(OR(H585="",C585=""),"",IF(F585="İptal",0,H585*IFERROR(INDEX(Ürünler!$B$5:$B$64,MATCH(C585,Ürünler!$A$5:$A$64,0)),0)-G585))</f>
        <v/>
      </c>
      <c r="J585" s="18" t="str">
        <f aca="false">IF(OR(H585="",C585="",F585="İptal"),"",IF(COUNTIFS($C$5:$C$1504,C585,$D$5:$D$1504,"&lt;="&amp;E585,$E$5:$E$1504,"&gt;="&amp;D585,$F$5:$F$1504,"&lt;&gt;İptal")&gt;1,"Çakışıyor",""))</f>
        <v/>
      </c>
    </row>
    <row r="586" customFormat="false" ht="15" hidden="false" customHeight="false" outlineLevel="0" collapsed="false">
      <c r="A586" s="12"/>
      <c r="B586" s="12"/>
      <c r="C586" s="13"/>
      <c r="D586" s="14"/>
      <c r="E586" s="14"/>
      <c r="F586" s="13"/>
      <c r="G586" s="15"/>
      <c r="H586" s="16" t="str">
        <f aca="false">IF(OR(D586="",E586="",E586&lt;D586),"",E586-D586+1)</f>
        <v/>
      </c>
      <c r="I586" s="17" t="str">
        <f aca="false">IF(OR(H586="",C586=""),"",IF(F586="İptal",0,H586*IFERROR(INDEX(Ürünler!$B$5:$B$64,MATCH(C586,Ürünler!$A$5:$A$64,0)),0)-G586))</f>
        <v/>
      </c>
      <c r="J586" s="18" t="str">
        <f aca="false">IF(OR(H586="",C586="",F586="İptal"),"",IF(COUNTIFS($C$5:$C$1504,C586,$D$5:$D$1504,"&lt;="&amp;E586,$E$5:$E$1504,"&gt;="&amp;D586,$F$5:$F$1504,"&lt;&gt;İptal")&gt;1,"Çakışıyor",""))</f>
        <v/>
      </c>
    </row>
    <row r="587" customFormat="false" ht="15" hidden="false" customHeight="false" outlineLevel="0" collapsed="false">
      <c r="A587" s="12"/>
      <c r="B587" s="12"/>
      <c r="C587" s="13"/>
      <c r="D587" s="14"/>
      <c r="E587" s="14"/>
      <c r="F587" s="13"/>
      <c r="G587" s="15"/>
      <c r="H587" s="16" t="str">
        <f aca="false">IF(OR(D587="",E587="",E587&lt;D587),"",E587-D587+1)</f>
        <v/>
      </c>
      <c r="I587" s="17" t="str">
        <f aca="false">IF(OR(H587="",C587=""),"",IF(F587="İptal",0,H587*IFERROR(INDEX(Ürünler!$B$5:$B$64,MATCH(C587,Ürünler!$A$5:$A$64,0)),0)-G587))</f>
        <v/>
      </c>
      <c r="J587" s="18" t="str">
        <f aca="false">IF(OR(H587="",C587="",F587="İptal"),"",IF(COUNTIFS($C$5:$C$1504,C587,$D$5:$D$1504,"&lt;="&amp;E587,$E$5:$E$1504,"&gt;="&amp;D587,$F$5:$F$1504,"&lt;&gt;İptal")&gt;1,"Çakışıyor",""))</f>
        <v/>
      </c>
    </row>
    <row r="588" customFormat="false" ht="15" hidden="false" customHeight="false" outlineLevel="0" collapsed="false">
      <c r="A588" s="12"/>
      <c r="B588" s="12"/>
      <c r="C588" s="13"/>
      <c r="D588" s="14"/>
      <c r="E588" s="14"/>
      <c r="F588" s="13"/>
      <c r="G588" s="15"/>
      <c r="H588" s="16" t="str">
        <f aca="false">IF(OR(D588="",E588="",E588&lt;D588),"",E588-D588+1)</f>
        <v/>
      </c>
      <c r="I588" s="17" t="str">
        <f aca="false">IF(OR(H588="",C588=""),"",IF(F588="İptal",0,H588*IFERROR(INDEX(Ürünler!$B$5:$B$64,MATCH(C588,Ürünler!$A$5:$A$64,0)),0)-G588))</f>
        <v/>
      </c>
      <c r="J588" s="18" t="str">
        <f aca="false">IF(OR(H588="",C588="",F588="İptal"),"",IF(COUNTIFS($C$5:$C$1504,C588,$D$5:$D$1504,"&lt;="&amp;E588,$E$5:$E$1504,"&gt;="&amp;D588,$F$5:$F$1504,"&lt;&gt;İptal")&gt;1,"Çakışıyor",""))</f>
        <v/>
      </c>
    </row>
    <row r="589" customFormat="false" ht="15" hidden="false" customHeight="false" outlineLevel="0" collapsed="false">
      <c r="A589" s="12"/>
      <c r="B589" s="12"/>
      <c r="C589" s="13"/>
      <c r="D589" s="14"/>
      <c r="E589" s="14"/>
      <c r="F589" s="13"/>
      <c r="G589" s="15"/>
      <c r="H589" s="16" t="str">
        <f aca="false">IF(OR(D589="",E589="",E589&lt;D589),"",E589-D589+1)</f>
        <v/>
      </c>
      <c r="I589" s="17" t="str">
        <f aca="false">IF(OR(H589="",C589=""),"",IF(F589="İptal",0,H589*IFERROR(INDEX(Ürünler!$B$5:$B$64,MATCH(C589,Ürünler!$A$5:$A$64,0)),0)-G589))</f>
        <v/>
      </c>
      <c r="J589" s="18" t="str">
        <f aca="false">IF(OR(H589="",C589="",F589="İptal"),"",IF(COUNTIFS($C$5:$C$1504,C589,$D$5:$D$1504,"&lt;="&amp;E589,$E$5:$E$1504,"&gt;="&amp;D589,$F$5:$F$1504,"&lt;&gt;İptal")&gt;1,"Çakışıyor",""))</f>
        <v/>
      </c>
    </row>
    <row r="590" customFormat="false" ht="15" hidden="false" customHeight="false" outlineLevel="0" collapsed="false">
      <c r="A590" s="12"/>
      <c r="B590" s="12"/>
      <c r="C590" s="13"/>
      <c r="D590" s="14"/>
      <c r="E590" s="14"/>
      <c r="F590" s="13"/>
      <c r="G590" s="15"/>
      <c r="H590" s="16" t="str">
        <f aca="false">IF(OR(D590="",E590="",E590&lt;D590),"",E590-D590+1)</f>
        <v/>
      </c>
      <c r="I590" s="17" t="str">
        <f aca="false">IF(OR(H590="",C590=""),"",IF(F590="İptal",0,H590*IFERROR(INDEX(Ürünler!$B$5:$B$64,MATCH(C590,Ürünler!$A$5:$A$64,0)),0)-G590))</f>
        <v/>
      </c>
      <c r="J590" s="18" t="str">
        <f aca="false">IF(OR(H590="",C590="",F590="İptal"),"",IF(COUNTIFS($C$5:$C$1504,C590,$D$5:$D$1504,"&lt;="&amp;E590,$E$5:$E$1504,"&gt;="&amp;D590,$F$5:$F$1504,"&lt;&gt;İptal")&gt;1,"Çakışıyor",""))</f>
        <v/>
      </c>
    </row>
    <row r="591" customFormat="false" ht="15" hidden="false" customHeight="false" outlineLevel="0" collapsed="false">
      <c r="A591" s="12"/>
      <c r="B591" s="12"/>
      <c r="C591" s="13"/>
      <c r="D591" s="14"/>
      <c r="E591" s="14"/>
      <c r="F591" s="13"/>
      <c r="G591" s="15"/>
      <c r="H591" s="16" t="str">
        <f aca="false">IF(OR(D591="",E591="",E591&lt;D591),"",E591-D591+1)</f>
        <v/>
      </c>
      <c r="I591" s="17" t="str">
        <f aca="false">IF(OR(H591="",C591=""),"",IF(F591="İptal",0,H591*IFERROR(INDEX(Ürünler!$B$5:$B$64,MATCH(C591,Ürünler!$A$5:$A$64,0)),0)-G591))</f>
        <v/>
      </c>
      <c r="J591" s="18" t="str">
        <f aca="false">IF(OR(H591="",C591="",F591="İptal"),"",IF(COUNTIFS($C$5:$C$1504,C591,$D$5:$D$1504,"&lt;="&amp;E591,$E$5:$E$1504,"&gt;="&amp;D591,$F$5:$F$1504,"&lt;&gt;İptal")&gt;1,"Çakışıyor",""))</f>
        <v/>
      </c>
    </row>
    <row r="592" customFormat="false" ht="15" hidden="false" customHeight="false" outlineLevel="0" collapsed="false">
      <c r="A592" s="12"/>
      <c r="B592" s="12"/>
      <c r="C592" s="13"/>
      <c r="D592" s="14"/>
      <c r="E592" s="14"/>
      <c r="F592" s="13"/>
      <c r="G592" s="15"/>
      <c r="H592" s="16" t="str">
        <f aca="false">IF(OR(D592="",E592="",E592&lt;D592),"",E592-D592+1)</f>
        <v/>
      </c>
      <c r="I592" s="17" t="str">
        <f aca="false">IF(OR(H592="",C592=""),"",IF(F592="İptal",0,H592*IFERROR(INDEX(Ürünler!$B$5:$B$64,MATCH(C592,Ürünler!$A$5:$A$64,0)),0)-G592))</f>
        <v/>
      </c>
      <c r="J592" s="18" t="str">
        <f aca="false">IF(OR(H592="",C592="",F592="İptal"),"",IF(COUNTIFS($C$5:$C$1504,C592,$D$5:$D$1504,"&lt;="&amp;E592,$E$5:$E$1504,"&gt;="&amp;D592,$F$5:$F$1504,"&lt;&gt;İptal")&gt;1,"Çakışıyor",""))</f>
        <v/>
      </c>
    </row>
    <row r="593" customFormat="false" ht="15" hidden="false" customHeight="false" outlineLevel="0" collapsed="false">
      <c r="A593" s="12"/>
      <c r="B593" s="12"/>
      <c r="C593" s="13"/>
      <c r="D593" s="14"/>
      <c r="E593" s="14"/>
      <c r="F593" s="13"/>
      <c r="G593" s="15"/>
      <c r="H593" s="16" t="str">
        <f aca="false">IF(OR(D593="",E593="",E593&lt;D593),"",E593-D593+1)</f>
        <v/>
      </c>
      <c r="I593" s="17" t="str">
        <f aca="false">IF(OR(H593="",C593=""),"",IF(F593="İptal",0,H593*IFERROR(INDEX(Ürünler!$B$5:$B$64,MATCH(C593,Ürünler!$A$5:$A$64,0)),0)-G593))</f>
        <v/>
      </c>
      <c r="J593" s="18" t="str">
        <f aca="false">IF(OR(H593="",C593="",F593="İptal"),"",IF(COUNTIFS($C$5:$C$1504,C593,$D$5:$D$1504,"&lt;="&amp;E593,$E$5:$E$1504,"&gt;="&amp;D593,$F$5:$F$1504,"&lt;&gt;İptal")&gt;1,"Çakışıyor",""))</f>
        <v/>
      </c>
    </row>
    <row r="594" customFormat="false" ht="15" hidden="false" customHeight="false" outlineLevel="0" collapsed="false">
      <c r="A594" s="12"/>
      <c r="B594" s="12"/>
      <c r="C594" s="13"/>
      <c r="D594" s="14"/>
      <c r="E594" s="14"/>
      <c r="F594" s="13"/>
      <c r="G594" s="15"/>
      <c r="H594" s="16" t="str">
        <f aca="false">IF(OR(D594="",E594="",E594&lt;D594),"",E594-D594+1)</f>
        <v/>
      </c>
      <c r="I594" s="17" t="str">
        <f aca="false">IF(OR(H594="",C594=""),"",IF(F594="İptal",0,H594*IFERROR(INDEX(Ürünler!$B$5:$B$64,MATCH(C594,Ürünler!$A$5:$A$64,0)),0)-G594))</f>
        <v/>
      </c>
      <c r="J594" s="18" t="str">
        <f aca="false">IF(OR(H594="",C594="",F594="İptal"),"",IF(COUNTIFS($C$5:$C$1504,C594,$D$5:$D$1504,"&lt;="&amp;E594,$E$5:$E$1504,"&gt;="&amp;D594,$F$5:$F$1504,"&lt;&gt;İptal")&gt;1,"Çakışıyor",""))</f>
        <v/>
      </c>
    </row>
    <row r="595" customFormat="false" ht="15" hidden="false" customHeight="false" outlineLevel="0" collapsed="false">
      <c r="A595" s="12"/>
      <c r="B595" s="12"/>
      <c r="C595" s="13"/>
      <c r="D595" s="14"/>
      <c r="E595" s="14"/>
      <c r="F595" s="13"/>
      <c r="G595" s="15"/>
      <c r="H595" s="16" t="str">
        <f aca="false">IF(OR(D595="",E595="",E595&lt;D595),"",E595-D595+1)</f>
        <v/>
      </c>
      <c r="I595" s="17" t="str">
        <f aca="false">IF(OR(H595="",C595=""),"",IF(F595="İptal",0,H595*IFERROR(INDEX(Ürünler!$B$5:$B$64,MATCH(C595,Ürünler!$A$5:$A$64,0)),0)-G595))</f>
        <v/>
      </c>
      <c r="J595" s="18" t="str">
        <f aca="false">IF(OR(H595="",C595="",F595="İptal"),"",IF(COUNTIFS($C$5:$C$1504,C595,$D$5:$D$1504,"&lt;="&amp;E595,$E$5:$E$1504,"&gt;="&amp;D595,$F$5:$F$1504,"&lt;&gt;İptal")&gt;1,"Çakışıyor",""))</f>
        <v/>
      </c>
    </row>
    <row r="596" customFormat="false" ht="15" hidden="false" customHeight="false" outlineLevel="0" collapsed="false">
      <c r="A596" s="12"/>
      <c r="B596" s="12"/>
      <c r="C596" s="13"/>
      <c r="D596" s="14"/>
      <c r="E596" s="14"/>
      <c r="F596" s="13"/>
      <c r="G596" s="15"/>
      <c r="H596" s="16" t="str">
        <f aca="false">IF(OR(D596="",E596="",E596&lt;D596),"",E596-D596+1)</f>
        <v/>
      </c>
      <c r="I596" s="17" t="str">
        <f aca="false">IF(OR(H596="",C596=""),"",IF(F596="İptal",0,H596*IFERROR(INDEX(Ürünler!$B$5:$B$64,MATCH(C596,Ürünler!$A$5:$A$64,0)),0)-G596))</f>
        <v/>
      </c>
      <c r="J596" s="18" t="str">
        <f aca="false">IF(OR(H596="",C596="",F596="İptal"),"",IF(COUNTIFS($C$5:$C$1504,C596,$D$5:$D$1504,"&lt;="&amp;E596,$E$5:$E$1504,"&gt;="&amp;D596,$F$5:$F$1504,"&lt;&gt;İptal")&gt;1,"Çakışıyor",""))</f>
        <v/>
      </c>
    </row>
    <row r="597" customFormat="false" ht="15" hidden="false" customHeight="false" outlineLevel="0" collapsed="false">
      <c r="A597" s="12"/>
      <c r="B597" s="12"/>
      <c r="C597" s="13"/>
      <c r="D597" s="14"/>
      <c r="E597" s="14"/>
      <c r="F597" s="13"/>
      <c r="G597" s="15"/>
      <c r="H597" s="16" t="str">
        <f aca="false">IF(OR(D597="",E597="",E597&lt;D597),"",E597-D597+1)</f>
        <v/>
      </c>
      <c r="I597" s="17" t="str">
        <f aca="false">IF(OR(H597="",C597=""),"",IF(F597="İptal",0,H597*IFERROR(INDEX(Ürünler!$B$5:$B$64,MATCH(C597,Ürünler!$A$5:$A$64,0)),0)-G597))</f>
        <v/>
      </c>
      <c r="J597" s="18" t="str">
        <f aca="false">IF(OR(H597="",C597="",F597="İptal"),"",IF(COUNTIFS($C$5:$C$1504,C597,$D$5:$D$1504,"&lt;="&amp;E597,$E$5:$E$1504,"&gt;="&amp;D597,$F$5:$F$1504,"&lt;&gt;İptal")&gt;1,"Çakışıyor",""))</f>
        <v/>
      </c>
    </row>
    <row r="598" customFormat="false" ht="15" hidden="false" customHeight="false" outlineLevel="0" collapsed="false">
      <c r="A598" s="12"/>
      <c r="B598" s="12"/>
      <c r="C598" s="13"/>
      <c r="D598" s="14"/>
      <c r="E598" s="14"/>
      <c r="F598" s="13"/>
      <c r="G598" s="15"/>
      <c r="H598" s="16" t="str">
        <f aca="false">IF(OR(D598="",E598="",E598&lt;D598),"",E598-D598+1)</f>
        <v/>
      </c>
      <c r="I598" s="17" t="str">
        <f aca="false">IF(OR(H598="",C598=""),"",IF(F598="İptal",0,H598*IFERROR(INDEX(Ürünler!$B$5:$B$64,MATCH(C598,Ürünler!$A$5:$A$64,0)),0)-G598))</f>
        <v/>
      </c>
      <c r="J598" s="18" t="str">
        <f aca="false">IF(OR(H598="",C598="",F598="İptal"),"",IF(COUNTIFS($C$5:$C$1504,C598,$D$5:$D$1504,"&lt;="&amp;E598,$E$5:$E$1504,"&gt;="&amp;D598,$F$5:$F$1504,"&lt;&gt;İptal")&gt;1,"Çakışıyor",""))</f>
        <v/>
      </c>
    </row>
    <row r="599" customFormat="false" ht="15" hidden="false" customHeight="false" outlineLevel="0" collapsed="false">
      <c r="A599" s="12"/>
      <c r="B599" s="12"/>
      <c r="C599" s="13"/>
      <c r="D599" s="14"/>
      <c r="E599" s="14"/>
      <c r="F599" s="13"/>
      <c r="G599" s="15"/>
      <c r="H599" s="16" t="str">
        <f aca="false">IF(OR(D599="",E599="",E599&lt;D599),"",E599-D599+1)</f>
        <v/>
      </c>
      <c r="I599" s="17" t="str">
        <f aca="false">IF(OR(H599="",C599=""),"",IF(F599="İptal",0,H599*IFERROR(INDEX(Ürünler!$B$5:$B$64,MATCH(C599,Ürünler!$A$5:$A$64,0)),0)-G599))</f>
        <v/>
      </c>
      <c r="J599" s="18" t="str">
        <f aca="false">IF(OR(H599="",C599="",F599="İptal"),"",IF(COUNTIFS($C$5:$C$1504,C599,$D$5:$D$1504,"&lt;="&amp;E599,$E$5:$E$1504,"&gt;="&amp;D599,$F$5:$F$1504,"&lt;&gt;İptal")&gt;1,"Çakışıyor",""))</f>
        <v/>
      </c>
    </row>
    <row r="600" customFormat="false" ht="15" hidden="false" customHeight="false" outlineLevel="0" collapsed="false">
      <c r="A600" s="12"/>
      <c r="B600" s="12"/>
      <c r="C600" s="13"/>
      <c r="D600" s="14"/>
      <c r="E600" s="14"/>
      <c r="F600" s="13"/>
      <c r="G600" s="15"/>
      <c r="H600" s="16" t="str">
        <f aca="false">IF(OR(D600="",E600="",E600&lt;D600),"",E600-D600+1)</f>
        <v/>
      </c>
      <c r="I600" s="17" t="str">
        <f aca="false">IF(OR(H600="",C600=""),"",IF(F600="İptal",0,H600*IFERROR(INDEX(Ürünler!$B$5:$B$64,MATCH(C600,Ürünler!$A$5:$A$64,0)),0)-G600))</f>
        <v/>
      </c>
      <c r="J600" s="18" t="str">
        <f aca="false">IF(OR(H600="",C600="",F600="İptal"),"",IF(COUNTIFS($C$5:$C$1504,C600,$D$5:$D$1504,"&lt;="&amp;E600,$E$5:$E$1504,"&gt;="&amp;D600,$F$5:$F$1504,"&lt;&gt;İptal")&gt;1,"Çakışıyor",""))</f>
        <v/>
      </c>
    </row>
    <row r="601" customFormat="false" ht="15" hidden="false" customHeight="false" outlineLevel="0" collapsed="false">
      <c r="A601" s="12"/>
      <c r="B601" s="12"/>
      <c r="C601" s="13"/>
      <c r="D601" s="14"/>
      <c r="E601" s="14"/>
      <c r="F601" s="13"/>
      <c r="G601" s="15"/>
      <c r="H601" s="16" t="str">
        <f aca="false">IF(OR(D601="",E601="",E601&lt;D601),"",E601-D601+1)</f>
        <v/>
      </c>
      <c r="I601" s="17" t="str">
        <f aca="false">IF(OR(H601="",C601=""),"",IF(F601="İptal",0,H601*IFERROR(INDEX(Ürünler!$B$5:$B$64,MATCH(C601,Ürünler!$A$5:$A$64,0)),0)-G601))</f>
        <v/>
      </c>
      <c r="J601" s="18" t="str">
        <f aca="false">IF(OR(H601="",C601="",F601="İptal"),"",IF(COUNTIFS($C$5:$C$1504,C601,$D$5:$D$1504,"&lt;="&amp;E601,$E$5:$E$1504,"&gt;="&amp;D601,$F$5:$F$1504,"&lt;&gt;İptal")&gt;1,"Çakışıyor",""))</f>
        <v/>
      </c>
    </row>
    <row r="602" customFormat="false" ht="15" hidden="false" customHeight="false" outlineLevel="0" collapsed="false">
      <c r="A602" s="12"/>
      <c r="B602" s="12"/>
      <c r="C602" s="13"/>
      <c r="D602" s="14"/>
      <c r="E602" s="14"/>
      <c r="F602" s="13"/>
      <c r="G602" s="15"/>
      <c r="H602" s="16" t="str">
        <f aca="false">IF(OR(D602="",E602="",E602&lt;D602),"",E602-D602+1)</f>
        <v/>
      </c>
      <c r="I602" s="17" t="str">
        <f aca="false">IF(OR(H602="",C602=""),"",IF(F602="İptal",0,H602*IFERROR(INDEX(Ürünler!$B$5:$B$64,MATCH(C602,Ürünler!$A$5:$A$64,0)),0)-G602))</f>
        <v/>
      </c>
      <c r="J602" s="18" t="str">
        <f aca="false">IF(OR(H602="",C602="",F602="İptal"),"",IF(COUNTIFS($C$5:$C$1504,C602,$D$5:$D$1504,"&lt;="&amp;E602,$E$5:$E$1504,"&gt;="&amp;D602,$F$5:$F$1504,"&lt;&gt;İptal")&gt;1,"Çakışıyor",""))</f>
        <v/>
      </c>
    </row>
    <row r="603" customFormat="false" ht="15" hidden="false" customHeight="false" outlineLevel="0" collapsed="false">
      <c r="A603" s="12"/>
      <c r="B603" s="12"/>
      <c r="C603" s="13"/>
      <c r="D603" s="14"/>
      <c r="E603" s="14"/>
      <c r="F603" s="13"/>
      <c r="G603" s="15"/>
      <c r="H603" s="16" t="str">
        <f aca="false">IF(OR(D603="",E603="",E603&lt;D603),"",E603-D603+1)</f>
        <v/>
      </c>
      <c r="I603" s="17" t="str">
        <f aca="false">IF(OR(H603="",C603=""),"",IF(F603="İptal",0,H603*IFERROR(INDEX(Ürünler!$B$5:$B$64,MATCH(C603,Ürünler!$A$5:$A$64,0)),0)-G603))</f>
        <v/>
      </c>
      <c r="J603" s="18" t="str">
        <f aca="false">IF(OR(H603="",C603="",F603="İptal"),"",IF(COUNTIFS($C$5:$C$1504,C603,$D$5:$D$1504,"&lt;="&amp;E603,$E$5:$E$1504,"&gt;="&amp;D603,$F$5:$F$1504,"&lt;&gt;İptal")&gt;1,"Çakışıyor",""))</f>
        <v/>
      </c>
    </row>
    <row r="604" customFormat="false" ht="15" hidden="false" customHeight="false" outlineLevel="0" collapsed="false">
      <c r="A604" s="12"/>
      <c r="B604" s="12"/>
      <c r="C604" s="13"/>
      <c r="D604" s="14"/>
      <c r="E604" s="14"/>
      <c r="F604" s="13"/>
      <c r="G604" s="15"/>
      <c r="H604" s="16" t="str">
        <f aca="false">IF(OR(D604="",E604="",E604&lt;D604),"",E604-D604+1)</f>
        <v/>
      </c>
      <c r="I604" s="17" t="str">
        <f aca="false">IF(OR(H604="",C604=""),"",IF(F604="İptal",0,H604*IFERROR(INDEX(Ürünler!$B$5:$B$64,MATCH(C604,Ürünler!$A$5:$A$64,0)),0)-G604))</f>
        <v/>
      </c>
      <c r="J604" s="18" t="str">
        <f aca="false">IF(OR(H604="",C604="",F604="İptal"),"",IF(COUNTIFS($C$5:$C$1504,C604,$D$5:$D$1504,"&lt;="&amp;E604,$E$5:$E$1504,"&gt;="&amp;D604,$F$5:$F$1504,"&lt;&gt;İptal")&gt;1,"Çakışıyor",""))</f>
        <v/>
      </c>
    </row>
    <row r="605" customFormat="false" ht="15" hidden="false" customHeight="false" outlineLevel="0" collapsed="false">
      <c r="A605" s="12"/>
      <c r="B605" s="12"/>
      <c r="C605" s="13"/>
      <c r="D605" s="14"/>
      <c r="E605" s="14"/>
      <c r="F605" s="13"/>
      <c r="G605" s="15"/>
      <c r="H605" s="16" t="str">
        <f aca="false">IF(OR(D605="",E605="",E605&lt;D605),"",E605-D605+1)</f>
        <v/>
      </c>
      <c r="I605" s="17" t="str">
        <f aca="false">IF(OR(H605="",C605=""),"",IF(F605="İptal",0,H605*IFERROR(INDEX(Ürünler!$B$5:$B$64,MATCH(C605,Ürünler!$A$5:$A$64,0)),0)-G605))</f>
        <v/>
      </c>
      <c r="J605" s="18" t="str">
        <f aca="false">IF(OR(H605="",C605="",F605="İptal"),"",IF(COUNTIFS($C$5:$C$1504,C605,$D$5:$D$1504,"&lt;="&amp;E605,$E$5:$E$1504,"&gt;="&amp;D605,$F$5:$F$1504,"&lt;&gt;İptal")&gt;1,"Çakışıyor",""))</f>
        <v/>
      </c>
    </row>
    <row r="606" customFormat="false" ht="15" hidden="false" customHeight="false" outlineLevel="0" collapsed="false">
      <c r="A606" s="12"/>
      <c r="B606" s="12"/>
      <c r="C606" s="13"/>
      <c r="D606" s="14"/>
      <c r="E606" s="14"/>
      <c r="F606" s="13"/>
      <c r="G606" s="15"/>
      <c r="H606" s="16" t="str">
        <f aca="false">IF(OR(D606="",E606="",E606&lt;D606),"",E606-D606+1)</f>
        <v/>
      </c>
      <c r="I606" s="17" t="str">
        <f aca="false">IF(OR(H606="",C606=""),"",IF(F606="İptal",0,H606*IFERROR(INDEX(Ürünler!$B$5:$B$64,MATCH(C606,Ürünler!$A$5:$A$64,0)),0)-G606))</f>
        <v/>
      </c>
      <c r="J606" s="18" t="str">
        <f aca="false">IF(OR(H606="",C606="",F606="İptal"),"",IF(COUNTIFS($C$5:$C$1504,C606,$D$5:$D$1504,"&lt;="&amp;E606,$E$5:$E$1504,"&gt;="&amp;D606,$F$5:$F$1504,"&lt;&gt;İptal")&gt;1,"Çakışıyor",""))</f>
        <v/>
      </c>
    </row>
    <row r="607" customFormat="false" ht="15" hidden="false" customHeight="false" outlineLevel="0" collapsed="false">
      <c r="A607" s="12"/>
      <c r="B607" s="12"/>
      <c r="C607" s="13"/>
      <c r="D607" s="14"/>
      <c r="E607" s="14"/>
      <c r="F607" s="13"/>
      <c r="G607" s="15"/>
      <c r="H607" s="16" t="str">
        <f aca="false">IF(OR(D607="",E607="",E607&lt;D607),"",E607-D607+1)</f>
        <v/>
      </c>
      <c r="I607" s="17" t="str">
        <f aca="false">IF(OR(H607="",C607=""),"",IF(F607="İptal",0,H607*IFERROR(INDEX(Ürünler!$B$5:$B$64,MATCH(C607,Ürünler!$A$5:$A$64,0)),0)-G607))</f>
        <v/>
      </c>
      <c r="J607" s="18" t="str">
        <f aca="false">IF(OR(H607="",C607="",F607="İptal"),"",IF(COUNTIFS($C$5:$C$1504,C607,$D$5:$D$1504,"&lt;="&amp;E607,$E$5:$E$1504,"&gt;="&amp;D607,$F$5:$F$1504,"&lt;&gt;İptal")&gt;1,"Çakışıyor",""))</f>
        <v/>
      </c>
    </row>
    <row r="608" customFormat="false" ht="15" hidden="false" customHeight="false" outlineLevel="0" collapsed="false">
      <c r="A608" s="12"/>
      <c r="B608" s="12"/>
      <c r="C608" s="13"/>
      <c r="D608" s="14"/>
      <c r="E608" s="14"/>
      <c r="F608" s="13"/>
      <c r="G608" s="15"/>
      <c r="H608" s="16" t="str">
        <f aca="false">IF(OR(D608="",E608="",E608&lt;D608),"",E608-D608+1)</f>
        <v/>
      </c>
      <c r="I608" s="17" t="str">
        <f aca="false">IF(OR(H608="",C608=""),"",IF(F608="İptal",0,H608*IFERROR(INDEX(Ürünler!$B$5:$B$64,MATCH(C608,Ürünler!$A$5:$A$64,0)),0)-G608))</f>
        <v/>
      </c>
      <c r="J608" s="18" t="str">
        <f aca="false">IF(OR(H608="",C608="",F608="İptal"),"",IF(COUNTIFS($C$5:$C$1504,C608,$D$5:$D$1504,"&lt;="&amp;E608,$E$5:$E$1504,"&gt;="&amp;D608,$F$5:$F$1504,"&lt;&gt;İptal")&gt;1,"Çakışıyor",""))</f>
        <v/>
      </c>
    </row>
    <row r="609" customFormat="false" ht="15" hidden="false" customHeight="false" outlineLevel="0" collapsed="false">
      <c r="A609" s="12"/>
      <c r="B609" s="12"/>
      <c r="C609" s="13"/>
      <c r="D609" s="14"/>
      <c r="E609" s="14"/>
      <c r="F609" s="13"/>
      <c r="G609" s="15"/>
      <c r="H609" s="16" t="str">
        <f aca="false">IF(OR(D609="",E609="",E609&lt;D609),"",E609-D609+1)</f>
        <v/>
      </c>
      <c r="I609" s="17" t="str">
        <f aca="false">IF(OR(H609="",C609=""),"",IF(F609="İptal",0,H609*IFERROR(INDEX(Ürünler!$B$5:$B$64,MATCH(C609,Ürünler!$A$5:$A$64,0)),0)-G609))</f>
        <v/>
      </c>
      <c r="J609" s="18" t="str">
        <f aca="false">IF(OR(H609="",C609="",F609="İptal"),"",IF(COUNTIFS($C$5:$C$1504,C609,$D$5:$D$1504,"&lt;="&amp;E609,$E$5:$E$1504,"&gt;="&amp;D609,$F$5:$F$1504,"&lt;&gt;İptal")&gt;1,"Çakışıyor",""))</f>
        <v/>
      </c>
    </row>
    <row r="610" customFormat="false" ht="15" hidden="false" customHeight="false" outlineLevel="0" collapsed="false">
      <c r="A610" s="12"/>
      <c r="B610" s="12"/>
      <c r="C610" s="13"/>
      <c r="D610" s="14"/>
      <c r="E610" s="14"/>
      <c r="F610" s="13"/>
      <c r="G610" s="15"/>
      <c r="H610" s="16" t="str">
        <f aca="false">IF(OR(D610="",E610="",E610&lt;D610),"",E610-D610+1)</f>
        <v/>
      </c>
      <c r="I610" s="17" t="str">
        <f aca="false">IF(OR(H610="",C610=""),"",IF(F610="İptal",0,H610*IFERROR(INDEX(Ürünler!$B$5:$B$64,MATCH(C610,Ürünler!$A$5:$A$64,0)),0)-G610))</f>
        <v/>
      </c>
      <c r="J610" s="18" t="str">
        <f aca="false">IF(OR(H610="",C610="",F610="İptal"),"",IF(COUNTIFS($C$5:$C$1504,C610,$D$5:$D$1504,"&lt;="&amp;E610,$E$5:$E$1504,"&gt;="&amp;D610,$F$5:$F$1504,"&lt;&gt;İptal")&gt;1,"Çakışıyor",""))</f>
        <v/>
      </c>
    </row>
    <row r="611" customFormat="false" ht="15" hidden="false" customHeight="false" outlineLevel="0" collapsed="false">
      <c r="A611" s="12"/>
      <c r="B611" s="12"/>
      <c r="C611" s="13"/>
      <c r="D611" s="14"/>
      <c r="E611" s="14"/>
      <c r="F611" s="13"/>
      <c r="G611" s="15"/>
      <c r="H611" s="16" t="str">
        <f aca="false">IF(OR(D611="",E611="",E611&lt;D611),"",E611-D611+1)</f>
        <v/>
      </c>
      <c r="I611" s="17" t="str">
        <f aca="false">IF(OR(H611="",C611=""),"",IF(F611="İptal",0,H611*IFERROR(INDEX(Ürünler!$B$5:$B$64,MATCH(C611,Ürünler!$A$5:$A$64,0)),0)-G611))</f>
        <v/>
      </c>
      <c r="J611" s="18" t="str">
        <f aca="false">IF(OR(H611="",C611="",F611="İptal"),"",IF(COUNTIFS($C$5:$C$1504,C611,$D$5:$D$1504,"&lt;="&amp;E611,$E$5:$E$1504,"&gt;="&amp;D611,$F$5:$F$1504,"&lt;&gt;İptal")&gt;1,"Çakışıyor",""))</f>
        <v/>
      </c>
    </row>
    <row r="612" customFormat="false" ht="15" hidden="false" customHeight="false" outlineLevel="0" collapsed="false">
      <c r="A612" s="12"/>
      <c r="B612" s="12"/>
      <c r="C612" s="13"/>
      <c r="D612" s="14"/>
      <c r="E612" s="14"/>
      <c r="F612" s="13"/>
      <c r="G612" s="15"/>
      <c r="H612" s="16" t="str">
        <f aca="false">IF(OR(D612="",E612="",E612&lt;D612),"",E612-D612+1)</f>
        <v/>
      </c>
      <c r="I612" s="17" t="str">
        <f aca="false">IF(OR(H612="",C612=""),"",IF(F612="İptal",0,H612*IFERROR(INDEX(Ürünler!$B$5:$B$64,MATCH(C612,Ürünler!$A$5:$A$64,0)),0)-G612))</f>
        <v/>
      </c>
      <c r="J612" s="18" t="str">
        <f aca="false">IF(OR(H612="",C612="",F612="İptal"),"",IF(COUNTIFS($C$5:$C$1504,C612,$D$5:$D$1504,"&lt;="&amp;E612,$E$5:$E$1504,"&gt;="&amp;D612,$F$5:$F$1504,"&lt;&gt;İptal")&gt;1,"Çakışıyor",""))</f>
        <v/>
      </c>
    </row>
    <row r="613" customFormat="false" ht="15" hidden="false" customHeight="false" outlineLevel="0" collapsed="false">
      <c r="A613" s="12"/>
      <c r="B613" s="12"/>
      <c r="C613" s="13"/>
      <c r="D613" s="14"/>
      <c r="E613" s="14"/>
      <c r="F613" s="13"/>
      <c r="G613" s="15"/>
      <c r="H613" s="16" t="str">
        <f aca="false">IF(OR(D613="",E613="",E613&lt;D613),"",E613-D613+1)</f>
        <v/>
      </c>
      <c r="I613" s="17" t="str">
        <f aca="false">IF(OR(H613="",C613=""),"",IF(F613="İptal",0,H613*IFERROR(INDEX(Ürünler!$B$5:$B$64,MATCH(C613,Ürünler!$A$5:$A$64,0)),0)-G613))</f>
        <v/>
      </c>
      <c r="J613" s="18" t="str">
        <f aca="false">IF(OR(H613="",C613="",F613="İptal"),"",IF(COUNTIFS($C$5:$C$1504,C613,$D$5:$D$1504,"&lt;="&amp;E613,$E$5:$E$1504,"&gt;="&amp;D613,$F$5:$F$1504,"&lt;&gt;İptal")&gt;1,"Çakışıyor",""))</f>
        <v/>
      </c>
    </row>
    <row r="614" customFormat="false" ht="15" hidden="false" customHeight="false" outlineLevel="0" collapsed="false">
      <c r="A614" s="12"/>
      <c r="B614" s="12"/>
      <c r="C614" s="13"/>
      <c r="D614" s="14"/>
      <c r="E614" s="14"/>
      <c r="F614" s="13"/>
      <c r="G614" s="15"/>
      <c r="H614" s="16" t="str">
        <f aca="false">IF(OR(D614="",E614="",E614&lt;D614),"",E614-D614+1)</f>
        <v/>
      </c>
      <c r="I614" s="17" t="str">
        <f aca="false">IF(OR(H614="",C614=""),"",IF(F614="İptal",0,H614*IFERROR(INDEX(Ürünler!$B$5:$B$64,MATCH(C614,Ürünler!$A$5:$A$64,0)),0)-G614))</f>
        <v/>
      </c>
      <c r="J614" s="18" t="str">
        <f aca="false">IF(OR(H614="",C614="",F614="İptal"),"",IF(COUNTIFS($C$5:$C$1504,C614,$D$5:$D$1504,"&lt;="&amp;E614,$E$5:$E$1504,"&gt;="&amp;D614,$F$5:$F$1504,"&lt;&gt;İptal")&gt;1,"Çakışıyor",""))</f>
        <v/>
      </c>
    </row>
    <row r="615" customFormat="false" ht="15" hidden="false" customHeight="false" outlineLevel="0" collapsed="false">
      <c r="A615" s="12"/>
      <c r="B615" s="12"/>
      <c r="C615" s="13"/>
      <c r="D615" s="14"/>
      <c r="E615" s="14"/>
      <c r="F615" s="13"/>
      <c r="G615" s="15"/>
      <c r="H615" s="16" t="str">
        <f aca="false">IF(OR(D615="",E615="",E615&lt;D615),"",E615-D615+1)</f>
        <v/>
      </c>
      <c r="I615" s="17" t="str">
        <f aca="false">IF(OR(H615="",C615=""),"",IF(F615="İptal",0,H615*IFERROR(INDEX(Ürünler!$B$5:$B$64,MATCH(C615,Ürünler!$A$5:$A$64,0)),0)-G615))</f>
        <v/>
      </c>
      <c r="J615" s="18" t="str">
        <f aca="false">IF(OR(H615="",C615="",F615="İptal"),"",IF(COUNTIFS($C$5:$C$1504,C615,$D$5:$D$1504,"&lt;="&amp;E615,$E$5:$E$1504,"&gt;="&amp;D615,$F$5:$F$1504,"&lt;&gt;İptal")&gt;1,"Çakışıyor",""))</f>
        <v/>
      </c>
    </row>
    <row r="616" customFormat="false" ht="15" hidden="false" customHeight="false" outlineLevel="0" collapsed="false">
      <c r="A616" s="12"/>
      <c r="B616" s="12"/>
      <c r="C616" s="13"/>
      <c r="D616" s="14"/>
      <c r="E616" s="14"/>
      <c r="F616" s="13"/>
      <c r="G616" s="15"/>
      <c r="H616" s="16" t="str">
        <f aca="false">IF(OR(D616="",E616="",E616&lt;D616),"",E616-D616+1)</f>
        <v/>
      </c>
      <c r="I616" s="17" t="str">
        <f aca="false">IF(OR(H616="",C616=""),"",IF(F616="İptal",0,H616*IFERROR(INDEX(Ürünler!$B$5:$B$64,MATCH(C616,Ürünler!$A$5:$A$64,0)),0)-G616))</f>
        <v/>
      </c>
      <c r="J616" s="18" t="str">
        <f aca="false">IF(OR(H616="",C616="",F616="İptal"),"",IF(COUNTIFS($C$5:$C$1504,C616,$D$5:$D$1504,"&lt;="&amp;E616,$E$5:$E$1504,"&gt;="&amp;D616,$F$5:$F$1504,"&lt;&gt;İptal")&gt;1,"Çakışıyor",""))</f>
        <v/>
      </c>
    </row>
    <row r="617" customFormat="false" ht="15" hidden="false" customHeight="false" outlineLevel="0" collapsed="false">
      <c r="A617" s="12"/>
      <c r="B617" s="12"/>
      <c r="C617" s="13"/>
      <c r="D617" s="14"/>
      <c r="E617" s="14"/>
      <c r="F617" s="13"/>
      <c r="G617" s="15"/>
      <c r="H617" s="16" t="str">
        <f aca="false">IF(OR(D617="",E617="",E617&lt;D617),"",E617-D617+1)</f>
        <v/>
      </c>
      <c r="I617" s="17" t="str">
        <f aca="false">IF(OR(H617="",C617=""),"",IF(F617="İptal",0,H617*IFERROR(INDEX(Ürünler!$B$5:$B$64,MATCH(C617,Ürünler!$A$5:$A$64,0)),0)-G617))</f>
        <v/>
      </c>
      <c r="J617" s="18" t="str">
        <f aca="false">IF(OR(H617="",C617="",F617="İptal"),"",IF(COUNTIFS($C$5:$C$1504,C617,$D$5:$D$1504,"&lt;="&amp;E617,$E$5:$E$1504,"&gt;="&amp;D617,$F$5:$F$1504,"&lt;&gt;İptal")&gt;1,"Çakışıyor",""))</f>
        <v/>
      </c>
    </row>
    <row r="618" customFormat="false" ht="15" hidden="false" customHeight="false" outlineLevel="0" collapsed="false">
      <c r="A618" s="12"/>
      <c r="B618" s="12"/>
      <c r="C618" s="13"/>
      <c r="D618" s="14"/>
      <c r="E618" s="14"/>
      <c r="F618" s="13"/>
      <c r="G618" s="15"/>
      <c r="H618" s="16" t="str">
        <f aca="false">IF(OR(D618="",E618="",E618&lt;D618),"",E618-D618+1)</f>
        <v/>
      </c>
      <c r="I618" s="17" t="str">
        <f aca="false">IF(OR(H618="",C618=""),"",IF(F618="İptal",0,H618*IFERROR(INDEX(Ürünler!$B$5:$B$64,MATCH(C618,Ürünler!$A$5:$A$64,0)),0)-G618))</f>
        <v/>
      </c>
      <c r="J618" s="18" t="str">
        <f aca="false">IF(OR(H618="",C618="",F618="İptal"),"",IF(COUNTIFS($C$5:$C$1504,C618,$D$5:$D$1504,"&lt;="&amp;E618,$E$5:$E$1504,"&gt;="&amp;D618,$F$5:$F$1504,"&lt;&gt;İptal")&gt;1,"Çakışıyor",""))</f>
        <v/>
      </c>
    </row>
    <row r="619" customFormat="false" ht="15" hidden="false" customHeight="false" outlineLevel="0" collapsed="false">
      <c r="A619" s="12"/>
      <c r="B619" s="12"/>
      <c r="C619" s="13"/>
      <c r="D619" s="14"/>
      <c r="E619" s="14"/>
      <c r="F619" s="13"/>
      <c r="G619" s="15"/>
      <c r="H619" s="16" t="str">
        <f aca="false">IF(OR(D619="",E619="",E619&lt;D619),"",E619-D619+1)</f>
        <v/>
      </c>
      <c r="I619" s="17" t="str">
        <f aca="false">IF(OR(H619="",C619=""),"",IF(F619="İptal",0,H619*IFERROR(INDEX(Ürünler!$B$5:$B$64,MATCH(C619,Ürünler!$A$5:$A$64,0)),0)-G619))</f>
        <v/>
      </c>
      <c r="J619" s="18" t="str">
        <f aca="false">IF(OR(H619="",C619="",F619="İptal"),"",IF(COUNTIFS($C$5:$C$1504,C619,$D$5:$D$1504,"&lt;="&amp;E619,$E$5:$E$1504,"&gt;="&amp;D619,$F$5:$F$1504,"&lt;&gt;İptal")&gt;1,"Çakışıyor",""))</f>
        <v/>
      </c>
    </row>
    <row r="620" customFormat="false" ht="15" hidden="false" customHeight="false" outlineLevel="0" collapsed="false">
      <c r="A620" s="12"/>
      <c r="B620" s="12"/>
      <c r="C620" s="13"/>
      <c r="D620" s="14"/>
      <c r="E620" s="14"/>
      <c r="F620" s="13"/>
      <c r="G620" s="15"/>
      <c r="H620" s="16" t="str">
        <f aca="false">IF(OR(D620="",E620="",E620&lt;D620),"",E620-D620+1)</f>
        <v/>
      </c>
      <c r="I620" s="17" t="str">
        <f aca="false">IF(OR(H620="",C620=""),"",IF(F620="İptal",0,H620*IFERROR(INDEX(Ürünler!$B$5:$B$64,MATCH(C620,Ürünler!$A$5:$A$64,0)),0)-G620))</f>
        <v/>
      </c>
      <c r="J620" s="18" t="str">
        <f aca="false">IF(OR(H620="",C620="",F620="İptal"),"",IF(COUNTIFS($C$5:$C$1504,C620,$D$5:$D$1504,"&lt;="&amp;E620,$E$5:$E$1504,"&gt;="&amp;D620,$F$5:$F$1504,"&lt;&gt;İptal")&gt;1,"Çakışıyor",""))</f>
        <v/>
      </c>
    </row>
    <row r="621" customFormat="false" ht="15" hidden="false" customHeight="false" outlineLevel="0" collapsed="false">
      <c r="A621" s="12"/>
      <c r="B621" s="12"/>
      <c r="C621" s="13"/>
      <c r="D621" s="14"/>
      <c r="E621" s="14"/>
      <c r="F621" s="13"/>
      <c r="G621" s="15"/>
      <c r="H621" s="16" t="str">
        <f aca="false">IF(OR(D621="",E621="",E621&lt;D621),"",E621-D621+1)</f>
        <v/>
      </c>
      <c r="I621" s="17" t="str">
        <f aca="false">IF(OR(H621="",C621=""),"",IF(F621="İptal",0,H621*IFERROR(INDEX(Ürünler!$B$5:$B$64,MATCH(C621,Ürünler!$A$5:$A$64,0)),0)-G621))</f>
        <v/>
      </c>
      <c r="J621" s="18" t="str">
        <f aca="false">IF(OR(H621="",C621="",F621="İptal"),"",IF(COUNTIFS($C$5:$C$1504,C621,$D$5:$D$1504,"&lt;="&amp;E621,$E$5:$E$1504,"&gt;="&amp;D621,$F$5:$F$1504,"&lt;&gt;İptal")&gt;1,"Çakışıyor",""))</f>
        <v/>
      </c>
    </row>
    <row r="622" customFormat="false" ht="15" hidden="false" customHeight="false" outlineLevel="0" collapsed="false">
      <c r="A622" s="12"/>
      <c r="B622" s="12"/>
      <c r="C622" s="13"/>
      <c r="D622" s="14"/>
      <c r="E622" s="14"/>
      <c r="F622" s="13"/>
      <c r="G622" s="15"/>
      <c r="H622" s="16" t="str">
        <f aca="false">IF(OR(D622="",E622="",E622&lt;D622),"",E622-D622+1)</f>
        <v/>
      </c>
      <c r="I622" s="17" t="str">
        <f aca="false">IF(OR(H622="",C622=""),"",IF(F622="İptal",0,H622*IFERROR(INDEX(Ürünler!$B$5:$B$64,MATCH(C622,Ürünler!$A$5:$A$64,0)),0)-G622))</f>
        <v/>
      </c>
      <c r="J622" s="18" t="str">
        <f aca="false">IF(OR(H622="",C622="",F622="İptal"),"",IF(COUNTIFS($C$5:$C$1504,C622,$D$5:$D$1504,"&lt;="&amp;E622,$E$5:$E$1504,"&gt;="&amp;D622,$F$5:$F$1504,"&lt;&gt;İptal")&gt;1,"Çakışıyor",""))</f>
        <v/>
      </c>
    </row>
    <row r="623" customFormat="false" ht="15" hidden="false" customHeight="false" outlineLevel="0" collapsed="false">
      <c r="A623" s="12"/>
      <c r="B623" s="12"/>
      <c r="C623" s="13"/>
      <c r="D623" s="14"/>
      <c r="E623" s="14"/>
      <c r="F623" s="13"/>
      <c r="G623" s="15"/>
      <c r="H623" s="16" t="str">
        <f aca="false">IF(OR(D623="",E623="",E623&lt;D623),"",E623-D623+1)</f>
        <v/>
      </c>
      <c r="I623" s="17" t="str">
        <f aca="false">IF(OR(H623="",C623=""),"",IF(F623="İptal",0,H623*IFERROR(INDEX(Ürünler!$B$5:$B$64,MATCH(C623,Ürünler!$A$5:$A$64,0)),0)-G623))</f>
        <v/>
      </c>
      <c r="J623" s="18" t="str">
        <f aca="false">IF(OR(H623="",C623="",F623="İptal"),"",IF(COUNTIFS($C$5:$C$1504,C623,$D$5:$D$1504,"&lt;="&amp;E623,$E$5:$E$1504,"&gt;="&amp;D623,$F$5:$F$1504,"&lt;&gt;İptal")&gt;1,"Çakışıyor",""))</f>
        <v/>
      </c>
    </row>
    <row r="624" customFormat="false" ht="15" hidden="false" customHeight="false" outlineLevel="0" collapsed="false">
      <c r="A624" s="12"/>
      <c r="B624" s="12"/>
      <c r="C624" s="13"/>
      <c r="D624" s="14"/>
      <c r="E624" s="14"/>
      <c r="F624" s="13"/>
      <c r="G624" s="15"/>
      <c r="H624" s="16" t="str">
        <f aca="false">IF(OR(D624="",E624="",E624&lt;D624),"",E624-D624+1)</f>
        <v/>
      </c>
      <c r="I624" s="17" t="str">
        <f aca="false">IF(OR(H624="",C624=""),"",IF(F624="İptal",0,H624*IFERROR(INDEX(Ürünler!$B$5:$B$64,MATCH(C624,Ürünler!$A$5:$A$64,0)),0)-G624))</f>
        <v/>
      </c>
      <c r="J624" s="18" t="str">
        <f aca="false">IF(OR(H624="",C624="",F624="İptal"),"",IF(COUNTIFS($C$5:$C$1504,C624,$D$5:$D$1504,"&lt;="&amp;E624,$E$5:$E$1504,"&gt;="&amp;D624,$F$5:$F$1504,"&lt;&gt;İptal")&gt;1,"Çakışıyor",""))</f>
        <v/>
      </c>
    </row>
    <row r="625" customFormat="false" ht="15" hidden="false" customHeight="false" outlineLevel="0" collapsed="false">
      <c r="A625" s="12"/>
      <c r="B625" s="12"/>
      <c r="C625" s="13"/>
      <c r="D625" s="14"/>
      <c r="E625" s="14"/>
      <c r="F625" s="13"/>
      <c r="G625" s="15"/>
      <c r="H625" s="16" t="str">
        <f aca="false">IF(OR(D625="",E625="",E625&lt;D625),"",E625-D625+1)</f>
        <v/>
      </c>
      <c r="I625" s="17" t="str">
        <f aca="false">IF(OR(H625="",C625=""),"",IF(F625="İptal",0,H625*IFERROR(INDEX(Ürünler!$B$5:$B$64,MATCH(C625,Ürünler!$A$5:$A$64,0)),0)-G625))</f>
        <v/>
      </c>
      <c r="J625" s="18" t="str">
        <f aca="false">IF(OR(H625="",C625="",F625="İptal"),"",IF(COUNTIFS($C$5:$C$1504,C625,$D$5:$D$1504,"&lt;="&amp;E625,$E$5:$E$1504,"&gt;="&amp;D625,$F$5:$F$1504,"&lt;&gt;İptal")&gt;1,"Çakışıyor",""))</f>
        <v/>
      </c>
    </row>
    <row r="626" customFormat="false" ht="15" hidden="false" customHeight="false" outlineLevel="0" collapsed="false">
      <c r="A626" s="12"/>
      <c r="B626" s="12"/>
      <c r="C626" s="13"/>
      <c r="D626" s="14"/>
      <c r="E626" s="14"/>
      <c r="F626" s="13"/>
      <c r="G626" s="15"/>
      <c r="H626" s="16" t="str">
        <f aca="false">IF(OR(D626="",E626="",E626&lt;D626),"",E626-D626+1)</f>
        <v/>
      </c>
      <c r="I626" s="17" t="str">
        <f aca="false">IF(OR(H626="",C626=""),"",IF(F626="İptal",0,H626*IFERROR(INDEX(Ürünler!$B$5:$B$64,MATCH(C626,Ürünler!$A$5:$A$64,0)),0)-G626))</f>
        <v/>
      </c>
      <c r="J626" s="18" t="str">
        <f aca="false">IF(OR(H626="",C626="",F626="İptal"),"",IF(COUNTIFS($C$5:$C$1504,C626,$D$5:$D$1504,"&lt;="&amp;E626,$E$5:$E$1504,"&gt;="&amp;D626,$F$5:$F$1504,"&lt;&gt;İptal")&gt;1,"Çakışıyor",""))</f>
        <v/>
      </c>
    </row>
    <row r="627" customFormat="false" ht="15" hidden="false" customHeight="false" outlineLevel="0" collapsed="false">
      <c r="A627" s="12"/>
      <c r="B627" s="12"/>
      <c r="C627" s="13"/>
      <c r="D627" s="14"/>
      <c r="E627" s="14"/>
      <c r="F627" s="13"/>
      <c r="G627" s="15"/>
      <c r="H627" s="16" t="str">
        <f aca="false">IF(OR(D627="",E627="",E627&lt;D627),"",E627-D627+1)</f>
        <v/>
      </c>
      <c r="I627" s="17" t="str">
        <f aca="false">IF(OR(H627="",C627=""),"",IF(F627="İptal",0,H627*IFERROR(INDEX(Ürünler!$B$5:$B$64,MATCH(C627,Ürünler!$A$5:$A$64,0)),0)-G627))</f>
        <v/>
      </c>
      <c r="J627" s="18" t="str">
        <f aca="false">IF(OR(H627="",C627="",F627="İptal"),"",IF(COUNTIFS($C$5:$C$1504,C627,$D$5:$D$1504,"&lt;="&amp;E627,$E$5:$E$1504,"&gt;="&amp;D627,$F$5:$F$1504,"&lt;&gt;İptal")&gt;1,"Çakışıyor",""))</f>
        <v/>
      </c>
    </row>
    <row r="628" customFormat="false" ht="15" hidden="false" customHeight="false" outlineLevel="0" collapsed="false">
      <c r="A628" s="12"/>
      <c r="B628" s="12"/>
      <c r="C628" s="13"/>
      <c r="D628" s="14"/>
      <c r="E628" s="14"/>
      <c r="F628" s="13"/>
      <c r="G628" s="15"/>
      <c r="H628" s="16" t="str">
        <f aca="false">IF(OR(D628="",E628="",E628&lt;D628),"",E628-D628+1)</f>
        <v/>
      </c>
      <c r="I628" s="17" t="str">
        <f aca="false">IF(OR(H628="",C628=""),"",IF(F628="İptal",0,H628*IFERROR(INDEX(Ürünler!$B$5:$B$64,MATCH(C628,Ürünler!$A$5:$A$64,0)),0)-G628))</f>
        <v/>
      </c>
      <c r="J628" s="18" t="str">
        <f aca="false">IF(OR(H628="",C628="",F628="İptal"),"",IF(COUNTIFS($C$5:$C$1504,C628,$D$5:$D$1504,"&lt;="&amp;E628,$E$5:$E$1504,"&gt;="&amp;D628,$F$5:$F$1504,"&lt;&gt;İptal")&gt;1,"Çakışıyor",""))</f>
        <v/>
      </c>
    </row>
    <row r="629" customFormat="false" ht="15" hidden="false" customHeight="false" outlineLevel="0" collapsed="false">
      <c r="A629" s="12"/>
      <c r="B629" s="12"/>
      <c r="C629" s="13"/>
      <c r="D629" s="14"/>
      <c r="E629" s="14"/>
      <c r="F629" s="13"/>
      <c r="G629" s="15"/>
      <c r="H629" s="16" t="str">
        <f aca="false">IF(OR(D629="",E629="",E629&lt;D629),"",E629-D629+1)</f>
        <v/>
      </c>
      <c r="I629" s="17" t="str">
        <f aca="false">IF(OR(H629="",C629=""),"",IF(F629="İptal",0,H629*IFERROR(INDEX(Ürünler!$B$5:$B$64,MATCH(C629,Ürünler!$A$5:$A$64,0)),0)-G629))</f>
        <v/>
      </c>
      <c r="J629" s="18" t="str">
        <f aca="false">IF(OR(H629="",C629="",F629="İptal"),"",IF(COUNTIFS($C$5:$C$1504,C629,$D$5:$D$1504,"&lt;="&amp;E629,$E$5:$E$1504,"&gt;="&amp;D629,$F$5:$F$1504,"&lt;&gt;İptal")&gt;1,"Çakışıyor",""))</f>
        <v/>
      </c>
    </row>
    <row r="630" customFormat="false" ht="15" hidden="false" customHeight="false" outlineLevel="0" collapsed="false">
      <c r="A630" s="12"/>
      <c r="B630" s="12"/>
      <c r="C630" s="13"/>
      <c r="D630" s="14"/>
      <c r="E630" s="14"/>
      <c r="F630" s="13"/>
      <c r="G630" s="15"/>
      <c r="H630" s="16" t="str">
        <f aca="false">IF(OR(D630="",E630="",E630&lt;D630),"",E630-D630+1)</f>
        <v/>
      </c>
      <c r="I630" s="17" t="str">
        <f aca="false">IF(OR(H630="",C630=""),"",IF(F630="İptal",0,H630*IFERROR(INDEX(Ürünler!$B$5:$B$64,MATCH(C630,Ürünler!$A$5:$A$64,0)),0)-G630))</f>
        <v/>
      </c>
      <c r="J630" s="18" t="str">
        <f aca="false">IF(OR(H630="",C630="",F630="İptal"),"",IF(COUNTIFS($C$5:$C$1504,C630,$D$5:$D$1504,"&lt;="&amp;E630,$E$5:$E$1504,"&gt;="&amp;D630,$F$5:$F$1504,"&lt;&gt;İptal")&gt;1,"Çakışıyor",""))</f>
        <v/>
      </c>
    </row>
    <row r="631" customFormat="false" ht="15" hidden="false" customHeight="false" outlineLevel="0" collapsed="false">
      <c r="A631" s="12"/>
      <c r="B631" s="12"/>
      <c r="C631" s="13"/>
      <c r="D631" s="14"/>
      <c r="E631" s="14"/>
      <c r="F631" s="13"/>
      <c r="G631" s="15"/>
      <c r="H631" s="16" t="str">
        <f aca="false">IF(OR(D631="",E631="",E631&lt;D631),"",E631-D631+1)</f>
        <v/>
      </c>
      <c r="I631" s="17" t="str">
        <f aca="false">IF(OR(H631="",C631=""),"",IF(F631="İptal",0,H631*IFERROR(INDEX(Ürünler!$B$5:$B$64,MATCH(C631,Ürünler!$A$5:$A$64,0)),0)-G631))</f>
        <v/>
      </c>
      <c r="J631" s="18" t="str">
        <f aca="false">IF(OR(H631="",C631="",F631="İptal"),"",IF(COUNTIFS($C$5:$C$1504,C631,$D$5:$D$1504,"&lt;="&amp;E631,$E$5:$E$1504,"&gt;="&amp;D631,$F$5:$F$1504,"&lt;&gt;İptal")&gt;1,"Çakışıyor",""))</f>
        <v/>
      </c>
    </row>
    <row r="632" customFormat="false" ht="15" hidden="false" customHeight="false" outlineLevel="0" collapsed="false">
      <c r="A632" s="12"/>
      <c r="B632" s="12"/>
      <c r="C632" s="13"/>
      <c r="D632" s="14"/>
      <c r="E632" s="14"/>
      <c r="F632" s="13"/>
      <c r="G632" s="15"/>
      <c r="H632" s="16" t="str">
        <f aca="false">IF(OR(D632="",E632="",E632&lt;D632),"",E632-D632+1)</f>
        <v/>
      </c>
      <c r="I632" s="17" t="str">
        <f aca="false">IF(OR(H632="",C632=""),"",IF(F632="İptal",0,H632*IFERROR(INDEX(Ürünler!$B$5:$B$64,MATCH(C632,Ürünler!$A$5:$A$64,0)),0)-G632))</f>
        <v/>
      </c>
      <c r="J632" s="18" t="str">
        <f aca="false">IF(OR(H632="",C632="",F632="İptal"),"",IF(COUNTIFS($C$5:$C$1504,C632,$D$5:$D$1504,"&lt;="&amp;E632,$E$5:$E$1504,"&gt;="&amp;D632,$F$5:$F$1504,"&lt;&gt;İptal")&gt;1,"Çakışıyor",""))</f>
        <v/>
      </c>
    </row>
    <row r="633" customFormat="false" ht="15" hidden="false" customHeight="false" outlineLevel="0" collapsed="false">
      <c r="A633" s="12"/>
      <c r="B633" s="12"/>
      <c r="C633" s="13"/>
      <c r="D633" s="14"/>
      <c r="E633" s="14"/>
      <c r="F633" s="13"/>
      <c r="G633" s="15"/>
      <c r="H633" s="16" t="str">
        <f aca="false">IF(OR(D633="",E633="",E633&lt;D633),"",E633-D633+1)</f>
        <v/>
      </c>
      <c r="I633" s="17" t="str">
        <f aca="false">IF(OR(H633="",C633=""),"",IF(F633="İptal",0,H633*IFERROR(INDEX(Ürünler!$B$5:$B$64,MATCH(C633,Ürünler!$A$5:$A$64,0)),0)-G633))</f>
        <v/>
      </c>
      <c r="J633" s="18" t="str">
        <f aca="false">IF(OR(H633="",C633="",F633="İptal"),"",IF(COUNTIFS($C$5:$C$1504,C633,$D$5:$D$1504,"&lt;="&amp;E633,$E$5:$E$1504,"&gt;="&amp;D633,$F$5:$F$1504,"&lt;&gt;İptal")&gt;1,"Çakışıyor",""))</f>
        <v/>
      </c>
    </row>
    <row r="634" customFormat="false" ht="15" hidden="false" customHeight="false" outlineLevel="0" collapsed="false">
      <c r="A634" s="12"/>
      <c r="B634" s="12"/>
      <c r="C634" s="13"/>
      <c r="D634" s="14"/>
      <c r="E634" s="14"/>
      <c r="F634" s="13"/>
      <c r="G634" s="15"/>
      <c r="H634" s="16" t="str">
        <f aca="false">IF(OR(D634="",E634="",E634&lt;D634),"",E634-D634+1)</f>
        <v/>
      </c>
      <c r="I634" s="17" t="str">
        <f aca="false">IF(OR(H634="",C634=""),"",IF(F634="İptal",0,H634*IFERROR(INDEX(Ürünler!$B$5:$B$64,MATCH(C634,Ürünler!$A$5:$A$64,0)),0)-G634))</f>
        <v/>
      </c>
      <c r="J634" s="18" t="str">
        <f aca="false">IF(OR(H634="",C634="",F634="İptal"),"",IF(COUNTIFS($C$5:$C$1504,C634,$D$5:$D$1504,"&lt;="&amp;E634,$E$5:$E$1504,"&gt;="&amp;D634,$F$5:$F$1504,"&lt;&gt;İptal")&gt;1,"Çakışıyor",""))</f>
        <v/>
      </c>
    </row>
    <row r="635" customFormat="false" ht="15" hidden="false" customHeight="false" outlineLevel="0" collapsed="false">
      <c r="A635" s="12"/>
      <c r="B635" s="12"/>
      <c r="C635" s="13"/>
      <c r="D635" s="14"/>
      <c r="E635" s="14"/>
      <c r="F635" s="13"/>
      <c r="G635" s="15"/>
      <c r="H635" s="16" t="str">
        <f aca="false">IF(OR(D635="",E635="",E635&lt;D635),"",E635-D635+1)</f>
        <v/>
      </c>
      <c r="I635" s="17" t="str">
        <f aca="false">IF(OR(H635="",C635=""),"",IF(F635="İptal",0,H635*IFERROR(INDEX(Ürünler!$B$5:$B$64,MATCH(C635,Ürünler!$A$5:$A$64,0)),0)-G635))</f>
        <v/>
      </c>
      <c r="J635" s="18" t="str">
        <f aca="false">IF(OR(H635="",C635="",F635="İptal"),"",IF(COUNTIFS($C$5:$C$1504,C635,$D$5:$D$1504,"&lt;="&amp;E635,$E$5:$E$1504,"&gt;="&amp;D635,$F$5:$F$1504,"&lt;&gt;İptal")&gt;1,"Çakışıyor",""))</f>
        <v/>
      </c>
    </row>
    <row r="636" customFormat="false" ht="15" hidden="false" customHeight="false" outlineLevel="0" collapsed="false">
      <c r="A636" s="12"/>
      <c r="B636" s="12"/>
      <c r="C636" s="13"/>
      <c r="D636" s="14"/>
      <c r="E636" s="14"/>
      <c r="F636" s="13"/>
      <c r="G636" s="15"/>
      <c r="H636" s="16" t="str">
        <f aca="false">IF(OR(D636="",E636="",E636&lt;D636),"",E636-D636+1)</f>
        <v/>
      </c>
      <c r="I636" s="17" t="str">
        <f aca="false">IF(OR(H636="",C636=""),"",IF(F636="İptal",0,H636*IFERROR(INDEX(Ürünler!$B$5:$B$64,MATCH(C636,Ürünler!$A$5:$A$64,0)),0)-G636))</f>
        <v/>
      </c>
      <c r="J636" s="18" t="str">
        <f aca="false">IF(OR(H636="",C636="",F636="İptal"),"",IF(COUNTIFS($C$5:$C$1504,C636,$D$5:$D$1504,"&lt;="&amp;E636,$E$5:$E$1504,"&gt;="&amp;D636,$F$5:$F$1504,"&lt;&gt;İptal")&gt;1,"Çakışıyor",""))</f>
        <v/>
      </c>
    </row>
    <row r="637" customFormat="false" ht="15" hidden="false" customHeight="false" outlineLevel="0" collapsed="false">
      <c r="A637" s="12"/>
      <c r="B637" s="12"/>
      <c r="C637" s="13"/>
      <c r="D637" s="14"/>
      <c r="E637" s="14"/>
      <c r="F637" s="13"/>
      <c r="G637" s="15"/>
      <c r="H637" s="16" t="str">
        <f aca="false">IF(OR(D637="",E637="",E637&lt;D637),"",E637-D637+1)</f>
        <v/>
      </c>
      <c r="I637" s="17" t="str">
        <f aca="false">IF(OR(H637="",C637=""),"",IF(F637="İptal",0,H637*IFERROR(INDEX(Ürünler!$B$5:$B$64,MATCH(C637,Ürünler!$A$5:$A$64,0)),0)-G637))</f>
        <v/>
      </c>
      <c r="J637" s="18" t="str">
        <f aca="false">IF(OR(H637="",C637="",F637="İptal"),"",IF(COUNTIFS($C$5:$C$1504,C637,$D$5:$D$1504,"&lt;="&amp;E637,$E$5:$E$1504,"&gt;="&amp;D637,$F$5:$F$1504,"&lt;&gt;İptal")&gt;1,"Çakışıyor",""))</f>
        <v/>
      </c>
    </row>
    <row r="638" customFormat="false" ht="15" hidden="false" customHeight="false" outlineLevel="0" collapsed="false">
      <c r="A638" s="12"/>
      <c r="B638" s="12"/>
      <c r="C638" s="13"/>
      <c r="D638" s="14"/>
      <c r="E638" s="14"/>
      <c r="F638" s="13"/>
      <c r="G638" s="15"/>
      <c r="H638" s="16" t="str">
        <f aca="false">IF(OR(D638="",E638="",E638&lt;D638),"",E638-D638+1)</f>
        <v/>
      </c>
      <c r="I638" s="17" t="str">
        <f aca="false">IF(OR(H638="",C638=""),"",IF(F638="İptal",0,H638*IFERROR(INDEX(Ürünler!$B$5:$B$64,MATCH(C638,Ürünler!$A$5:$A$64,0)),0)-G638))</f>
        <v/>
      </c>
      <c r="J638" s="18" t="str">
        <f aca="false">IF(OR(H638="",C638="",F638="İptal"),"",IF(COUNTIFS($C$5:$C$1504,C638,$D$5:$D$1504,"&lt;="&amp;E638,$E$5:$E$1504,"&gt;="&amp;D638,$F$5:$F$1504,"&lt;&gt;İptal")&gt;1,"Çakışıyor",""))</f>
        <v/>
      </c>
    </row>
    <row r="639" customFormat="false" ht="15" hidden="false" customHeight="false" outlineLevel="0" collapsed="false">
      <c r="A639" s="12"/>
      <c r="B639" s="12"/>
      <c r="C639" s="13"/>
      <c r="D639" s="14"/>
      <c r="E639" s="14"/>
      <c r="F639" s="13"/>
      <c r="G639" s="15"/>
      <c r="H639" s="16" t="str">
        <f aca="false">IF(OR(D639="",E639="",E639&lt;D639),"",E639-D639+1)</f>
        <v/>
      </c>
      <c r="I639" s="17" t="str">
        <f aca="false">IF(OR(H639="",C639=""),"",IF(F639="İptal",0,H639*IFERROR(INDEX(Ürünler!$B$5:$B$64,MATCH(C639,Ürünler!$A$5:$A$64,0)),0)-G639))</f>
        <v/>
      </c>
      <c r="J639" s="18" t="str">
        <f aca="false">IF(OR(H639="",C639="",F639="İptal"),"",IF(COUNTIFS($C$5:$C$1504,C639,$D$5:$D$1504,"&lt;="&amp;E639,$E$5:$E$1504,"&gt;="&amp;D639,$F$5:$F$1504,"&lt;&gt;İptal")&gt;1,"Çakışıyor",""))</f>
        <v/>
      </c>
    </row>
    <row r="640" customFormat="false" ht="15" hidden="false" customHeight="false" outlineLevel="0" collapsed="false">
      <c r="A640" s="12"/>
      <c r="B640" s="12"/>
      <c r="C640" s="13"/>
      <c r="D640" s="14"/>
      <c r="E640" s="14"/>
      <c r="F640" s="13"/>
      <c r="G640" s="15"/>
      <c r="H640" s="16" t="str">
        <f aca="false">IF(OR(D640="",E640="",E640&lt;D640),"",E640-D640+1)</f>
        <v/>
      </c>
      <c r="I640" s="17" t="str">
        <f aca="false">IF(OR(H640="",C640=""),"",IF(F640="İptal",0,H640*IFERROR(INDEX(Ürünler!$B$5:$B$64,MATCH(C640,Ürünler!$A$5:$A$64,0)),0)-G640))</f>
        <v/>
      </c>
      <c r="J640" s="18" t="str">
        <f aca="false">IF(OR(H640="",C640="",F640="İptal"),"",IF(COUNTIFS($C$5:$C$1504,C640,$D$5:$D$1504,"&lt;="&amp;E640,$E$5:$E$1504,"&gt;="&amp;D640,$F$5:$F$1504,"&lt;&gt;İptal")&gt;1,"Çakışıyor",""))</f>
        <v/>
      </c>
    </row>
    <row r="641" customFormat="false" ht="15" hidden="false" customHeight="false" outlineLevel="0" collapsed="false">
      <c r="A641" s="12"/>
      <c r="B641" s="12"/>
      <c r="C641" s="13"/>
      <c r="D641" s="14"/>
      <c r="E641" s="14"/>
      <c r="F641" s="13"/>
      <c r="G641" s="15"/>
      <c r="H641" s="16" t="str">
        <f aca="false">IF(OR(D641="",E641="",E641&lt;D641),"",E641-D641+1)</f>
        <v/>
      </c>
      <c r="I641" s="17" t="str">
        <f aca="false">IF(OR(H641="",C641=""),"",IF(F641="İptal",0,H641*IFERROR(INDEX(Ürünler!$B$5:$B$64,MATCH(C641,Ürünler!$A$5:$A$64,0)),0)-G641))</f>
        <v/>
      </c>
      <c r="J641" s="18" t="str">
        <f aca="false">IF(OR(H641="",C641="",F641="İptal"),"",IF(COUNTIFS($C$5:$C$1504,C641,$D$5:$D$1504,"&lt;="&amp;E641,$E$5:$E$1504,"&gt;="&amp;D641,$F$5:$F$1504,"&lt;&gt;İptal")&gt;1,"Çakışıyor",""))</f>
        <v/>
      </c>
    </row>
    <row r="642" customFormat="false" ht="15" hidden="false" customHeight="false" outlineLevel="0" collapsed="false">
      <c r="A642" s="12"/>
      <c r="B642" s="12"/>
      <c r="C642" s="13"/>
      <c r="D642" s="14"/>
      <c r="E642" s="14"/>
      <c r="F642" s="13"/>
      <c r="G642" s="15"/>
      <c r="H642" s="16" t="str">
        <f aca="false">IF(OR(D642="",E642="",E642&lt;D642),"",E642-D642+1)</f>
        <v/>
      </c>
      <c r="I642" s="17" t="str">
        <f aca="false">IF(OR(H642="",C642=""),"",IF(F642="İptal",0,H642*IFERROR(INDEX(Ürünler!$B$5:$B$64,MATCH(C642,Ürünler!$A$5:$A$64,0)),0)-G642))</f>
        <v/>
      </c>
      <c r="J642" s="18" t="str">
        <f aca="false">IF(OR(H642="",C642="",F642="İptal"),"",IF(COUNTIFS($C$5:$C$1504,C642,$D$5:$D$1504,"&lt;="&amp;E642,$E$5:$E$1504,"&gt;="&amp;D642,$F$5:$F$1504,"&lt;&gt;İptal")&gt;1,"Çakışıyor",""))</f>
        <v/>
      </c>
    </row>
    <row r="643" customFormat="false" ht="15" hidden="false" customHeight="false" outlineLevel="0" collapsed="false">
      <c r="A643" s="12"/>
      <c r="B643" s="12"/>
      <c r="C643" s="13"/>
      <c r="D643" s="14"/>
      <c r="E643" s="14"/>
      <c r="F643" s="13"/>
      <c r="G643" s="15"/>
      <c r="H643" s="16" t="str">
        <f aca="false">IF(OR(D643="",E643="",E643&lt;D643),"",E643-D643+1)</f>
        <v/>
      </c>
      <c r="I643" s="17" t="str">
        <f aca="false">IF(OR(H643="",C643=""),"",IF(F643="İptal",0,H643*IFERROR(INDEX(Ürünler!$B$5:$B$64,MATCH(C643,Ürünler!$A$5:$A$64,0)),0)-G643))</f>
        <v/>
      </c>
      <c r="J643" s="18" t="str">
        <f aca="false">IF(OR(H643="",C643="",F643="İptal"),"",IF(COUNTIFS($C$5:$C$1504,C643,$D$5:$D$1504,"&lt;="&amp;E643,$E$5:$E$1504,"&gt;="&amp;D643,$F$5:$F$1504,"&lt;&gt;İptal")&gt;1,"Çakışıyor",""))</f>
        <v/>
      </c>
    </row>
    <row r="644" customFormat="false" ht="15" hidden="false" customHeight="false" outlineLevel="0" collapsed="false">
      <c r="A644" s="12"/>
      <c r="B644" s="12"/>
      <c r="C644" s="13"/>
      <c r="D644" s="14"/>
      <c r="E644" s="14"/>
      <c r="F644" s="13"/>
      <c r="G644" s="15"/>
      <c r="H644" s="16" t="str">
        <f aca="false">IF(OR(D644="",E644="",E644&lt;D644),"",E644-D644+1)</f>
        <v/>
      </c>
      <c r="I644" s="17" t="str">
        <f aca="false">IF(OR(H644="",C644=""),"",IF(F644="İptal",0,H644*IFERROR(INDEX(Ürünler!$B$5:$B$64,MATCH(C644,Ürünler!$A$5:$A$64,0)),0)-G644))</f>
        <v/>
      </c>
      <c r="J644" s="18" t="str">
        <f aca="false">IF(OR(H644="",C644="",F644="İptal"),"",IF(COUNTIFS($C$5:$C$1504,C644,$D$5:$D$1504,"&lt;="&amp;E644,$E$5:$E$1504,"&gt;="&amp;D644,$F$5:$F$1504,"&lt;&gt;İptal")&gt;1,"Çakışıyor",""))</f>
        <v/>
      </c>
    </row>
    <row r="645" customFormat="false" ht="15" hidden="false" customHeight="false" outlineLevel="0" collapsed="false">
      <c r="A645" s="12"/>
      <c r="B645" s="12"/>
      <c r="C645" s="13"/>
      <c r="D645" s="14"/>
      <c r="E645" s="14"/>
      <c r="F645" s="13"/>
      <c r="G645" s="15"/>
      <c r="H645" s="16" t="str">
        <f aca="false">IF(OR(D645="",E645="",E645&lt;D645),"",E645-D645+1)</f>
        <v/>
      </c>
      <c r="I645" s="17" t="str">
        <f aca="false">IF(OR(H645="",C645=""),"",IF(F645="İptal",0,H645*IFERROR(INDEX(Ürünler!$B$5:$B$64,MATCH(C645,Ürünler!$A$5:$A$64,0)),0)-G645))</f>
        <v/>
      </c>
      <c r="J645" s="18" t="str">
        <f aca="false">IF(OR(H645="",C645="",F645="İptal"),"",IF(COUNTIFS($C$5:$C$1504,C645,$D$5:$D$1504,"&lt;="&amp;E645,$E$5:$E$1504,"&gt;="&amp;D645,$F$5:$F$1504,"&lt;&gt;İptal")&gt;1,"Çakışıyor",""))</f>
        <v/>
      </c>
    </row>
    <row r="646" customFormat="false" ht="15" hidden="false" customHeight="false" outlineLevel="0" collapsed="false">
      <c r="A646" s="12"/>
      <c r="B646" s="12"/>
      <c r="C646" s="13"/>
      <c r="D646" s="14"/>
      <c r="E646" s="14"/>
      <c r="F646" s="13"/>
      <c r="G646" s="15"/>
      <c r="H646" s="16" t="str">
        <f aca="false">IF(OR(D646="",E646="",E646&lt;D646),"",E646-D646+1)</f>
        <v/>
      </c>
      <c r="I646" s="17" t="str">
        <f aca="false">IF(OR(H646="",C646=""),"",IF(F646="İptal",0,H646*IFERROR(INDEX(Ürünler!$B$5:$B$64,MATCH(C646,Ürünler!$A$5:$A$64,0)),0)-G646))</f>
        <v/>
      </c>
      <c r="J646" s="18" t="str">
        <f aca="false">IF(OR(H646="",C646="",F646="İptal"),"",IF(COUNTIFS($C$5:$C$1504,C646,$D$5:$D$1504,"&lt;="&amp;E646,$E$5:$E$1504,"&gt;="&amp;D646,$F$5:$F$1504,"&lt;&gt;İptal")&gt;1,"Çakışıyor",""))</f>
        <v/>
      </c>
    </row>
    <row r="647" customFormat="false" ht="15" hidden="false" customHeight="false" outlineLevel="0" collapsed="false">
      <c r="A647" s="12"/>
      <c r="B647" s="12"/>
      <c r="C647" s="13"/>
      <c r="D647" s="14"/>
      <c r="E647" s="14"/>
      <c r="F647" s="13"/>
      <c r="G647" s="15"/>
      <c r="H647" s="16" t="str">
        <f aca="false">IF(OR(D647="",E647="",E647&lt;D647),"",E647-D647+1)</f>
        <v/>
      </c>
      <c r="I647" s="17" t="str">
        <f aca="false">IF(OR(H647="",C647=""),"",IF(F647="İptal",0,H647*IFERROR(INDEX(Ürünler!$B$5:$B$64,MATCH(C647,Ürünler!$A$5:$A$64,0)),0)-G647))</f>
        <v/>
      </c>
      <c r="J647" s="18" t="str">
        <f aca="false">IF(OR(H647="",C647="",F647="İptal"),"",IF(COUNTIFS($C$5:$C$1504,C647,$D$5:$D$1504,"&lt;="&amp;E647,$E$5:$E$1504,"&gt;="&amp;D647,$F$5:$F$1504,"&lt;&gt;İptal")&gt;1,"Çakışıyor",""))</f>
        <v/>
      </c>
    </row>
    <row r="648" customFormat="false" ht="15" hidden="false" customHeight="false" outlineLevel="0" collapsed="false">
      <c r="A648" s="12"/>
      <c r="B648" s="12"/>
      <c r="C648" s="13"/>
      <c r="D648" s="14"/>
      <c r="E648" s="14"/>
      <c r="F648" s="13"/>
      <c r="G648" s="15"/>
      <c r="H648" s="16" t="str">
        <f aca="false">IF(OR(D648="",E648="",E648&lt;D648),"",E648-D648+1)</f>
        <v/>
      </c>
      <c r="I648" s="17" t="str">
        <f aca="false">IF(OR(H648="",C648=""),"",IF(F648="İptal",0,H648*IFERROR(INDEX(Ürünler!$B$5:$B$64,MATCH(C648,Ürünler!$A$5:$A$64,0)),0)-G648))</f>
        <v/>
      </c>
      <c r="J648" s="18" t="str">
        <f aca="false">IF(OR(H648="",C648="",F648="İptal"),"",IF(COUNTIFS($C$5:$C$1504,C648,$D$5:$D$1504,"&lt;="&amp;E648,$E$5:$E$1504,"&gt;="&amp;D648,$F$5:$F$1504,"&lt;&gt;İptal")&gt;1,"Çakışıyor",""))</f>
        <v/>
      </c>
    </row>
    <row r="649" customFormat="false" ht="15" hidden="false" customHeight="false" outlineLevel="0" collapsed="false">
      <c r="A649" s="12"/>
      <c r="B649" s="12"/>
      <c r="C649" s="13"/>
      <c r="D649" s="14"/>
      <c r="E649" s="14"/>
      <c r="F649" s="13"/>
      <c r="G649" s="15"/>
      <c r="H649" s="16" t="str">
        <f aca="false">IF(OR(D649="",E649="",E649&lt;D649),"",E649-D649+1)</f>
        <v/>
      </c>
      <c r="I649" s="17" t="str">
        <f aca="false">IF(OR(H649="",C649=""),"",IF(F649="İptal",0,H649*IFERROR(INDEX(Ürünler!$B$5:$B$64,MATCH(C649,Ürünler!$A$5:$A$64,0)),0)-G649))</f>
        <v/>
      </c>
      <c r="J649" s="18" t="str">
        <f aca="false">IF(OR(H649="",C649="",F649="İptal"),"",IF(COUNTIFS($C$5:$C$1504,C649,$D$5:$D$1504,"&lt;="&amp;E649,$E$5:$E$1504,"&gt;="&amp;D649,$F$5:$F$1504,"&lt;&gt;İptal")&gt;1,"Çakışıyor",""))</f>
        <v/>
      </c>
    </row>
    <row r="650" customFormat="false" ht="15" hidden="false" customHeight="false" outlineLevel="0" collapsed="false">
      <c r="A650" s="12"/>
      <c r="B650" s="12"/>
      <c r="C650" s="13"/>
      <c r="D650" s="14"/>
      <c r="E650" s="14"/>
      <c r="F650" s="13"/>
      <c r="G650" s="15"/>
      <c r="H650" s="16" t="str">
        <f aca="false">IF(OR(D650="",E650="",E650&lt;D650),"",E650-D650+1)</f>
        <v/>
      </c>
      <c r="I650" s="17" t="str">
        <f aca="false">IF(OR(H650="",C650=""),"",IF(F650="İptal",0,H650*IFERROR(INDEX(Ürünler!$B$5:$B$64,MATCH(C650,Ürünler!$A$5:$A$64,0)),0)-G650))</f>
        <v/>
      </c>
      <c r="J650" s="18" t="str">
        <f aca="false">IF(OR(H650="",C650="",F650="İptal"),"",IF(COUNTIFS($C$5:$C$1504,C650,$D$5:$D$1504,"&lt;="&amp;E650,$E$5:$E$1504,"&gt;="&amp;D650,$F$5:$F$1504,"&lt;&gt;İptal")&gt;1,"Çakışıyor",""))</f>
        <v/>
      </c>
    </row>
    <row r="651" customFormat="false" ht="15" hidden="false" customHeight="false" outlineLevel="0" collapsed="false">
      <c r="A651" s="12"/>
      <c r="B651" s="12"/>
      <c r="C651" s="13"/>
      <c r="D651" s="14"/>
      <c r="E651" s="14"/>
      <c r="F651" s="13"/>
      <c r="G651" s="15"/>
      <c r="H651" s="16" t="str">
        <f aca="false">IF(OR(D651="",E651="",E651&lt;D651),"",E651-D651+1)</f>
        <v/>
      </c>
      <c r="I651" s="17" t="str">
        <f aca="false">IF(OR(H651="",C651=""),"",IF(F651="İptal",0,H651*IFERROR(INDEX(Ürünler!$B$5:$B$64,MATCH(C651,Ürünler!$A$5:$A$64,0)),0)-G651))</f>
        <v/>
      </c>
      <c r="J651" s="18" t="str">
        <f aca="false">IF(OR(H651="",C651="",F651="İptal"),"",IF(COUNTIFS($C$5:$C$1504,C651,$D$5:$D$1504,"&lt;="&amp;E651,$E$5:$E$1504,"&gt;="&amp;D651,$F$5:$F$1504,"&lt;&gt;İptal")&gt;1,"Çakışıyor",""))</f>
        <v/>
      </c>
    </row>
    <row r="652" customFormat="false" ht="15" hidden="false" customHeight="false" outlineLevel="0" collapsed="false">
      <c r="A652" s="12"/>
      <c r="B652" s="12"/>
      <c r="C652" s="13"/>
      <c r="D652" s="14"/>
      <c r="E652" s="14"/>
      <c r="F652" s="13"/>
      <c r="G652" s="15"/>
      <c r="H652" s="16" t="str">
        <f aca="false">IF(OR(D652="",E652="",E652&lt;D652),"",E652-D652+1)</f>
        <v/>
      </c>
      <c r="I652" s="17" t="str">
        <f aca="false">IF(OR(H652="",C652=""),"",IF(F652="İptal",0,H652*IFERROR(INDEX(Ürünler!$B$5:$B$64,MATCH(C652,Ürünler!$A$5:$A$64,0)),0)-G652))</f>
        <v/>
      </c>
      <c r="J652" s="18" t="str">
        <f aca="false">IF(OR(H652="",C652="",F652="İptal"),"",IF(COUNTIFS($C$5:$C$1504,C652,$D$5:$D$1504,"&lt;="&amp;E652,$E$5:$E$1504,"&gt;="&amp;D652,$F$5:$F$1504,"&lt;&gt;İptal")&gt;1,"Çakışıyor",""))</f>
        <v/>
      </c>
    </row>
    <row r="653" customFormat="false" ht="15" hidden="false" customHeight="false" outlineLevel="0" collapsed="false">
      <c r="A653" s="12"/>
      <c r="B653" s="12"/>
      <c r="C653" s="13"/>
      <c r="D653" s="14"/>
      <c r="E653" s="14"/>
      <c r="F653" s="13"/>
      <c r="G653" s="15"/>
      <c r="H653" s="16" t="str">
        <f aca="false">IF(OR(D653="",E653="",E653&lt;D653),"",E653-D653+1)</f>
        <v/>
      </c>
      <c r="I653" s="17" t="str">
        <f aca="false">IF(OR(H653="",C653=""),"",IF(F653="İptal",0,H653*IFERROR(INDEX(Ürünler!$B$5:$B$64,MATCH(C653,Ürünler!$A$5:$A$64,0)),0)-G653))</f>
        <v/>
      </c>
      <c r="J653" s="18" t="str">
        <f aca="false">IF(OR(H653="",C653="",F653="İptal"),"",IF(COUNTIFS($C$5:$C$1504,C653,$D$5:$D$1504,"&lt;="&amp;E653,$E$5:$E$1504,"&gt;="&amp;D653,$F$5:$F$1504,"&lt;&gt;İptal")&gt;1,"Çakışıyor",""))</f>
        <v/>
      </c>
    </row>
    <row r="654" customFormat="false" ht="15" hidden="false" customHeight="false" outlineLevel="0" collapsed="false">
      <c r="A654" s="12"/>
      <c r="B654" s="12"/>
      <c r="C654" s="13"/>
      <c r="D654" s="14"/>
      <c r="E654" s="14"/>
      <c r="F654" s="13"/>
      <c r="G654" s="15"/>
      <c r="H654" s="16" t="str">
        <f aca="false">IF(OR(D654="",E654="",E654&lt;D654),"",E654-D654+1)</f>
        <v/>
      </c>
      <c r="I654" s="17" t="str">
        <f aca="false">IF(OR(H654="",C654=""),"",IF(F654="İptal",0,H654*IFERROR(INDEX(Ürünler!$B$5:$B$64,MATCH(C654,Ürünler!$A$5:$A$64,0)),0)-G654))</f>
        <v/>
      </c>
      <c r="J654" s="18" t="str">
        <f aca="false">IF(OR(H654="",C654="",F654="İptal"),"",IF(COUNTIFS($C$5:$C$1504,C654,$D$5:$D$1504,"&lt;="&amp;E654,$E$5:$E$1504,"&gt;="&amp;D654,$F$5:$F$1504,"&lt;&gt;İptal")&gt;1,"Çakışıyor",""))</f>
        <v/>
      </c>
    </row>
    <row r="655" customFormat="false" ht="15" hidden="false" customHeight="false" outlineLevel="0" collapsed="false">
      <c r="A655" s="12"/>
      <c r="B655" s="12"/>
      <c r="C655" s="13"/>
      <c r="D655" s="14"/>
      <c r="E655" s="14"/>
      <c r="F655" s="13"/>
      <c r="G655" s="15"/>
      <c r="H655" s="16" t="str">
        <f aca="false">IF(OR(D655="",E655="",E655&lt;D655),"",E655-D655+1)</f>
        <v/>
      </c>
      <c r="I655" s="17" t="str">
        <f aca="false">IF(OR(H655="",C655=""),"",IF(F655="İptal",0,H655*IFERROR(INDEX(Ürünler!$B$5:$B$64,MATCH(C655,Ürünler!$A$5:$A$64,0)),0)-G655))</f>
        <v/>
      </c>
      <c r="J655" s="18" t="str">
        <f aca="false">IF(OR(H655="",C655="",F655="İptal"),"",IF(COUNTIFS($C$5:$C$1504,C655,$D$5:$D$1504,"&lt;="&amp;E655,$E$5:$E$1504,"&gt;="&amp;D655,$F$5:$F$1504,"&lt;&gt;İptal")&gt;1,"Çakışıyor",""))</f>
        <v/>
      </c>
    </row>
    <row r="656" customFormat="false" ht="15" hidden="false" customHeight="false" outlineLevel="0" collapsed="false">
      <c r="A656" s="12"/>
      <c r="B656" s="12"/>
      <c r="C656" s="13"/>
      <c r="D656" s="14"/>
      <c r="E656" s="14"/>
      <c r="F656" s="13"/>
      <c r="G656" s="15"/>
      <c r="H656" s="16" t="str">
        <f aca="false">IF(OR(D656="",E656="",E656&lt;D656),"",E656-D656+1)</f>
        <v/>
      </c>
      <c r="I656" s="17" t="str">
        <f aca="false">IF(OR(H656="",C656=""),"",IF(F656="İptal",0,H656*IFERROR(INDEX(Ürünler!$B$5:$B$64,MATCH(C656,Ürünler!$A$5:$A$64,0)),0)-G656))</f>
        <v/>
      </c>
      <c r="J656" s="18" t="str">
        <f aca="false">IF(OR(H656="",C656="",F656="İptal"),"",IF(COUNTIFS($C$5:$C$1504,C656,$D$5:$D$1504,"&lt;="&amp;E656,$E$5:$E$1504,"&gt;="&amp;D656,$F$5:$F$1504,"&lt;&gt;İptal")&gt;1,"Çakışıyor",""))</f>
        <v/>
      </c>
    </row>
    <row r="657" customFormat="false" ht="15" hidden="false" customHeight="false" outlineLevel="0" collapsed="false">
      <c r="A657" s="12"/>
      <c r="B657" s="12"/>
      <c r="C657" s="13"/>
      <c r="D657" s="14"/>
      <c r="E657" s="14"/>
      <c r="F657" s="13"/>
      <c r="G657" s="15"/>
      <c r="H657" s="16" t="str">
        <f aca="false">IF(OR(D657="",E657="",E657&lt;D657),"",E657-D657+1)</f>
        <v/>
      </c>
      <c r="I657" s="17" t="str">
        <f aca="false">IF(OR(H657="",C657=""),"",IF(F657="İptal",0,H657*IFERROR(INDEX(Ürünler!$B$5:$B$64,MATCH(C657,Ürünler!$A$5:$A$64,0)),0)-G657))</f>
        <v/>
      </c>
      <c r="J657" s="18" t="str">
        <f aca="false">IF(OR(H657="",C657="",F657="İptal"),"",IF(COUNTIFS($C$5:$C$1504,C657,$D$5:$D$1504,"&lt;="&amp;E657,$E$5:$E$1504,"&gt;="&amp;D657,$F$5:$F$1504,"&lt;&gt;İptal")&gt;1,"Çakışıyor",""))</f>
        <v/>
      </c>
    </row>
    <row r="658" customFormat="false" ht="15" hidden="false" customHeight="false" outlineLevel="0" collapsed="false">
      <c r="A658" s="12"/>
      <c r="B658" s="12"/>
      <c r="C658" s="13"/>
      <c r="D658" s="14"/>
      <c r="E658" s="14"/>
      <c r="F658" s="13"/>
      <c r="G658" s="15"/>
      <c r="H658" s="16" t="str">
        <f aca="false">IF(OR(D658="",E658="",E658&lt;D658),"",E658-D658+1)</f>
        <v/>
      </c>
      <c r="I658" s="17" t="str">
        <f aca="false">IF(OR(H658="",C658=""),"",IF(F658="İptal",0,H658*IFERROR(INDEX(Ürünler!$B$5:$B$64,MATCH(C658,Ürünler!$A$5:$A$64,0)),0)-G658))</f>
        <v/>
      </c>
      <c r="J658" s="18" t="str">
        <f aca="false">IF(OR(H658="",C658="",F658="İptal"),"",IF(COUNTIFS($C$5:$C$1504,C658,$D$5:$D$1504,"&lt;="&amp;E658,$E$5:$E$1504,"&gt;="&amp;D658,$F$5:$F$1504,"&lt;&gt;İptal")&gt;1,"Çakışıyor",""))</f>
        <v/>
      </c>
    </row>
    <row r="659" customFormat="false" ht="15" hidden="false" customHeight="false" outlineLevel="0" collapsed="false">
      <c r="A659" s="12"/>
      <c r="B659" s="12"/>
      <c r="C659" s="13"/>
      <c r="D659" s="14"/>
      <c r="E659" s="14"/>
      <c r="F659" s="13"/>
      <c r="G659" s="15"/>
      <c r="H659" s="16" t="str">
        <f aca="false">IF(OR(D659="",E659="",E659&lt;D659),"",E659-D659+1)</f>
        <v/>
      </c>
      <c r="I659" s="17" t="str">
        <f aca="false">IF(OR(H659="",C659=""),"",IF(F659="İptal",0,H659*IFERROR(INDEX(Ürünler!$B$5:$B$64,MATCH(C659,Ürünler!$A$5:$A$64,0)),0)-G659))</f>
        <v/>
      </c>
      <c r="J659" s="18" t="str">
        <f aca="false">IF(OR(H659="",C659="",F659="İptal"),"",IF(COUNTIFS($C$5:$C$1504,C659,$D$5:$D$1504,"&lt;="&amp;E659,$E$5:$E$1504,"&gt;="&amp;D659,$F$5:$F$1504,"&lt;&gt;İptal")&gt;1,"Çakışıyor",""))</f>
        <v/>
      </c>
    </row>
    <row r="660" customFormat="false" ht="15" hidden="false" customHeight="false" outlineLevel="0" collapsed="false">
      <c r="A660" s="12"/>
      <c r="B660" s="12"/>
      <c r="C660" s="13"/>
      <c r="D660" s="14"/>
      <c r="E660" s="14"/>
      <c r="F660" s="13"/>
      <c r="G660" s="15"/>
      <c r="H660" s="16" t="str">
        <f aca="false">IF(OR(D660="",E660="",E660&lt;D660),"",E660-D660+1)</f>
        <v/>
      </c>
      <c r="I660" s="17" t="str">
        <f aca="false">IF(OR(H660="",C660=""),"",IF(F660="İptal",0,H660*IFERROR(INDEX(Ürünler!$B$5:$B$64,MATCH(C660,Ürünler!$A$5:$A$64,0)),0)-G660))</f>
        <v/>
      </c>
      <c r="J660" s="18" t="str">
        <f aca="false">IF(OR(H660="",C660="",F660="İptal"),"",IF(COUNTIFS($C$5:$C$1504,C660,$D$5:$D$1504,"&lt;="&amp;E660,$E$5:$E$1504,"&gt;="&amp;D660,$F$5:$F$1504,"&lt;&gt;İptal")&gt;1,"Çakışıyor",""))</f>
        <v/>
      </c>
    </row>
    <row r="661" customFormat="false" ht="15" hidden="false" customHeight="false" outlineLevel="0" collapsed="false">
      <c r="A661" s="12"/>
      <c r="B661" s="12"/>
      <c r="C661" s="13"/>
      <c r="D661" s="14"/>
      <c r="E661" s="14"/>
      <c r="F661" s="13"/>
      <c r="G661" s="15"/>
      <c r="H661" s="16" t="str">
        <f aca="false">IF(OR(D661="",E661="",E661&lt;D661),"",E661-D661+1)</f>
        <v/>
      </c>
      <c r="I661" s="17" t="str">
        <f aca="false">IF(OR(H661="",C661=""),"",IF(F661="İptal",0,H661*IFERROR(INDEX(Ürünler!$B$5:$B$64,MATCH(C661,Ürünler!$A$5:$A$64,0)),0)-G661))</f>
        <v/>
      </c>
      <c r="J661" s="18" t="str">
        <f aca="false">IF(OR(H661="",C661="",F661="İptal"),"",IF(COUNTIFS($C$5:$C$1504,C661,$D$5:$D$1504,"&lt;="&amp;E661,$E$5:$E$1504,"&gt;="&amp;D661,$F$5:$F$1504,"&lt;&gt;İptal")&gt;1,"Çakışıyor",""))</f>
        <v/>
      </c>
    </row>
    <row r="662" customFormat="false" ht="15" hidden="false" customHeight="false" outlineLevel="0" collapsed="false">
      <c r="A662" s="12"/>
      <c r="B662" s="12"/>
      <c r="C662" s="13"/>
      <c r="D662" s="14"/>
      <c r="E662" s="14"/>
      <c r="F662" s="13"/>
      <c r="G662" s="15"/>
      <c r="H662" s="16" t="str">
        <f aca="false">IF(OR(D662="",E662="",E662&lt;D662),"",E662-D662+1)</f>
        <v/>
      </c>
      <c r="I662" s="17" t="str">
        <f aca="false">IF(OR(H662="",C662=""),"",IF(F662="İptal",0,H662*IFERROR(INDEX(Ürünler!$B$5:$B$64,MATCH(C662,Ürünler!$A$5:$A$64,0)),0)-G662))</f>
        <v/>
      </c>
      <c r="J662" s="18" t="str">
        <f aca="false">IF(OR(H662="",C662="",F662="İptal"),"",IF(COUNTIFS($C$5:$C$1504,C662,$D$5:$D$1504,"&lt;="&amp;E662,$E$5:$E$1504,"&gt;="&amp;D662,$F$5:$F$1504,"&lt;&gt;İptal")&gt;1,"Çakışıyor",""))</f>
        <v/>
      </c>
    </row>
    <row r="663" customFormat="false" ht="15" hidden="false" customHeight="false" outlineLevel="0" collapsed="false">
      <c r="A663" s="12"/>
      <c r="B663" s="12"/>
      <c r="C663" s="13"/>
      <c r="D663" s="14"/>
      <c r="E663" s="14"/>
      <c r="F663" s="13"/>
      <c r="G663" s="15"/>
      <c r="H663" s="16" t="str">
        <f aca="false">IF(OR(D663="",E663="",E663&lt;D663),"",E663-D663+1)</f>
        <v/>
      </c>
      <c r="I663" s="17" t="str">
        <f aca="false">IF(OR(H663="",C663=""),"",IF(F663="İptal",0,H663*IFERROR(INDEX(Ürünler!$B$5:$B$64,MATCH(C663,Ürünler!$A$5:$A$64,0)),0)-G663))</f>
        <v/>
      </c>
      <c r="J663" s="18" t="str">
        <f aca="false">IF(OR(H663="",C663="",F663="İptal"),"",IF(COUNTIFS($C$5:$C$1504,C663,$D$5:$D$1504,"&lt;="&amp;E663,$E$5:$E$1504,"&gt;="&amp;D663,$F$5:$F$1504,"&lt;&gt;İptal")&gt;1,"Çakışıyor",""))</f>
        <v/>
      </c>
    </row>
    <row r="664" customFormat="false" ht="15" hidden="false" customHeight="false" outlineLevel="0" collapsed="false">
      <c r="A664" s="12"/>
      <c r="B664" s="12"/>
      <c r="C664" s="13"/>
      <c r="D664" s="14"/>
      <c r="E664" s="14"/>
      <c r="F664" s="13"/>
      <c r="G664" s="15"/>
      <c r="H664" s="16" t="str">
        <f aca="false">IF(OR(D664="",E664="",E664&lt;D664),"",E664-D664+1)</f>
        <v/>
      </c>
      <c r="I664" s="17" t="str">
        <f aca="false">IF(OR(H664="",C664=""),"",IF(F664="İptal",0,H664*IFERROR(INDEX(Ürünler!$B$5:$B$64,MATCH(C664,Ürünler!$A$5:$A$64,0)),0)-G664))</f>
        <v/>
      </c>
      <c r="J664" s="18" t="str">
        <f aca="false">IF(OR(H664="",C664="",F664="İptal"),"",IF(COUNTIFS($C$5:$C$1504,C664,$D$5:$D$1504,"&lt;="&amp;E664,$E$5:$E$1504,"&gt;="&amp;D664,$F$5:$F$1504,"&lt;&gt;İptal")&gt;1,"Çakışıyor",""))</f>
        <v/>
      </c>
    </row>
    <row r="665" customFormat="false" ht="15" hidden="false" customHeight="false" outlineLevel="0" collapsed="false">
      <c r="A665" s="12"/>
      <c r="B665" s="12"/>
      <c r="C665" s="13"/>
      <c r="D665" s="14"/>
      <c r="E665" s="14"/>
      <c r="F665" s="13"/>
      <c r="G665" s="15"/>
      <c r="H665" s="16" t="str">
        <f aca="false">IF(OR(D665="",E665="",E665&lt;D665),"",E665-D665+1)</f>
        <v/>
      </c>
      <c r="I665" s="17" t="str">
        <f aca="false">IF(OR(H665="",C665=""),"",IF(F665="İptal",0,H665*IFERROR(INDEX(Ürünler!$B$5:$B$64,MATCH(C665,Ürünler!$A$5:$A$64,0)),0)-G665))</f>
        <v/>
      </c>
      <c r="J665" s="18" t="str">
        <f aca="false">IF(OR(H665="",C665="",F665="İptal"),"",IF(COUNTIFS($C$5:$C$1504,C665,$D$5:$D$1504,"&lt;="&amp;E665,$E$5:$E$1504,"&gt;="&amp;D665,$F$5:$F$1504,"&lt;&gt;İptal")&gt;1,"Çakışıyor",""))</f>
        <v/>
      </c>
    </row>
    <row r="666" customFormat="false" ht="15" hidden="false" customHeight="false" outlineLevel="0" collapsed="false">
      <c r="A666" s="12"/>
      <c r="B666" s="12"/>
      <c r="C666" s="13"/>
      <c r="D666" s="14"/>
      <c r="E666" s="14"/>
      <c r="F666" s="13"/>
      <c r="G666" s="15"/>
      <c r="H666" s="16" t="str">
        <f aca="false">IF(OR(D666="",E666="",E666&lt;D666),"",E666-D666+1)</f>
        <v/>
      </c>
      <c r="I666" s="17" t="str">
        <f aca="false">IF(OR(H666="",C666=""),"",IF(F666="İptal",0,H666*IFERROR(INDEX(Ürünler!$B$5:$B$64,MATCH(C666,Ürünler!$A$5:$A$64,0)),0)-G666))</f>
        <v/>
      </c>
      <c r="J666" s="18" t="str">
        <f aca="false">IF(OR(H666="",C666="",F666="İptal"),"",IF(COUNTIFS($C$5:$C$1504,C666,$D$5:$D$1504,"&lt;="&amp;E666,$E$5:$E$1504,"&gt;="&amp;D666,$F$5:$F$1504,"&lt;&gt;İptal")&gt;1,"Çakışıyor",""))</f>
        <v/>
      </c>
    </row>
    <row r="667" customFormat="false" ht="15" hidden="false" customHeight="false" outlineLevel="0" collapsed="false">
      <c r="A667" s="12"/>
      <c r="B667" s="12"/>
      <c r="C667" s="13"/>
      <c r="D667" s="14"/>
      <c r="E667" s="14"/>
      <c r="F667" s="13"/>
      <c r="G667" s="15"/>
      <c r="H667" s="16" t="str">
        <f aca="false">IF(OR(D667="",E667="",E667&lt;D667),"",E667-D667+1)</f>
        <v/>
      </c>
      <c r="I667" s="17" t="str">
        <f aca="false">IF(OR(H667="",C667=""),"",IF(F667="İptal",0,H667*IFERROR(INDEX(Ürünler!$B$5:$B$64,MATCH(C667,Ürünler!$A$5:$A$64,0)),0)-G667))</f>
        <v/>
      </c>
      <c r="J667" s="18" t="str">
        <f aca="false">IF(OR(H667="",C667="",F667="İptal"),"",IF(COUNTIFS($C$5:$C$1504,C667,$D$5:$D$1504,"&lt;="&amp;E667,$E$5:$E$1504,"&gt;="&amp;D667,$F$5:$F$1504,"&lt;&gt;İptal")&gt;1,"Çakışıyor",""))</f>
        <v/>
      </c>
    </row>
    <row r="668" customFormat="false" ht="15" hidden="false" customHeight="false" outlineLevel="0" collapsed="false">
      <c r="A668" s="12"/>
      <c r="B668" s="12"/>
      <c r="C668" s="13"/>
      <c r="D668" s="14"/>
      <c r="E668" s="14"/>
      <c r="F668" s="13"/>
      <c r="G668" s="15"/>
      <c r="H668" s="16" t="str">
        <f aca="false">IF(OR(D668="",E668="",E668&lt;D668),"",E668-D668+1)</f>
        <v/>
      </c>
      <c r="I668" s="17" t="str">
        <f aca="false">IF(OR(H668="",C668=""),"",IF(F668="İptal",0,H668*IFERROR(INDEX(Ürünler!$B$5:$B$64,MATCH(C668,Ürünler!$A$5:$A$64,0)),0)-G668))</f>
        <v/>
      </c>
      <c r="J668" s="18" t="str">
        <f aca="false">IF(OR(H668="",C668="",F668="İptal"),"",IF(COUNTIFS($C$5:$C$1504,C668,$D$5:$D$1504,"&lt;="&amp;E668,$E$5:$E$1504,"&gt;="&amp;D668,$F$5:$F$1504,"&lt;&gt;İptal")&gt;1,"Çakışıyor",""))</f>
        <v/>
      </c>
    </row>
    <row r="669" customFormat="false" ht="15" hidden="false" customHeight="false" outlineLevel="0" collapsed="false">
      <c r="A669" s="12"/>
      <c r="B669" s="12"/>
      <c r="C669" s="13"/>
      <c r="D669" s="14"/>
      <c r="E669" s="14"/>
      <c r="F669" s="13"/>
      <c r="G669" s="15"/>
      <c r="H669" s="16" t="str">
        <f aca="false">IF(OR(D669="",E669="",E669&lt;D669),"",E669-D669+1)</f>
        <v/>
      </c>
      <c r="I669" s="17" t="str">
        <f aca="false">IF(OR(H669="",C669=""),"",IF(F669="İptal",0,H669*IFERROR(INDEX(Ürünler!$B$5:$B$64,MATCH(C669,Ürünler!$A$5:$A$64,0)),0)-G669))</f>
        <v/>
      </c>
      <c r="J669" s="18" t="str">
        <f aca="false">IF(OR(H669="",C669="",F669="İptal"),"",IF(COUNTIFS($C$5:$C$1504,C669,$D$5:$D$1504,"&lt;="&amp;E669,$E$5:$E$1504,"&gt;="&amp;D669,$F$5:$F$1504,"&lt;&gt;İptal")&gt;1,"Çakışıyor",""))</f>
        <v/>
      </c>
    </row>
    <row r="670" customFormat="false" ht="15" hidden="false" customHeight="false" outlineLevel="0" collapsed="false">
      <c r="A670" s="12"/>
      <c r="B670" s="12"/>
      <c r="C670" s="13"/>
      <c r="D670" s="14"/>
      <c r="E670" s="14"/>
      <c r="F670" s="13"/>
      <c r="G670" s="15"/>
      <c r="H670" s="16" t="str">
        <f aca="false">IF(OR(D670="",E670="",E670&lt;D670),"",E670-D670+1)</f>
        <v/>
      </c>
      <c r="I670" s="17" t="str">
        <f aca="false">IF(OR(H670="",C670=""),"",IF(F670="İptal",0,H670*IFERROR(INDEX(Ürünler!$B$5:$B$64,MATCH(C670,Ürünler!$A$5:$A$64,0)),0)-G670))</f>
        <v/>
      </c>
      <c r="J670" s="18" t="str">
        <f aca="false">IF(OR(H670="",C670="",F670="İptal"),"",IF(COUNTIFS($C$5:$C$1504,C670,$D$5:$D$1504,"&lt;="&amp;E670,$E$5:$E$1504,"&gt;="&amp;D670,$F$5:$F$1504,"&lt;&gt;İptal")&gt;1,"Çakışıyor",""))</f>
        <v/>
      </c>
    </row>
    <row r="671" customFormat="false" ht="15" hidden="false" customHeight="false" outlineLevel="0" collapsed="false">
      <c r="A671" s="12"/>
      <c r="B671" s="12"/>
      <c r="C671" s="13"/>
      <c r="D671" s="14"/>
      <c r="E671" s="14"/>
      <c r="F671" s="13"/>
      <c r="G671" s="15"/>
      <c r="H671" s="16" t="str">
        <f aca="false">IF(OR(D671="",E671="",E671&lt;D671),"",E671-D671+1)</f>
        <v/>
      </c>
      <c r="I671" s="17" t="str">
        <f aca="false">IF(OR(H671="",C671=""),"",IF(F671="İptal",0,H671*IFERROR(INDEX(Ürünler!$B$5:$B$64,MATCH(C671,Ürünler!$A$5:$A$64,0)),0)-G671))</f>
        <v/>
      </c>
      <c r="J671" s="18" t="str">
        <f aca="false">IF(OR(H671="",C671="",F671="İptal"),"",IF(COUNTIFS($C$5:$C$1504,C671,$D$5:$D$1504,"&lt;="&amp;E671,$E$5:$E$1504,"&gt;="&amp;D671,$F$5:$F$1504,"&lt;&gt;İptal")&gt;1,"Çakışıyor",""))</f>
        <v/>
      </c>
    </row>
    <row r="672" customFormat="false" ht="15" hidden="false" customHeight="false" outlineLevel="0" collapsed="false">
      <c r="A672" s="12"/>
      <c r="B672" s="12"/>
      <c r="C672" s="13"/>
      <c r="D672" s="14"/>
      <c r="E672" s="14"/>
      <c r="F672" s="13"/>
      <c r="G672" s="15"/>
      <c r="H672" s="16" t="str">
        <f aca="false">IF(OR(D672="",E672="",E672&lt;D672),"",E672-D672+1)</f>
        <v/>
      </c>
      <c r="I672" s="17" t="str">
        <f aca="false">IF(OR(H672="",C672=""),"",IF(F672="İptal",0,H672*IFERROR(INDEX(Ürünler!$B$5:$B$64,MATCH(C672,Ürünler!$A$5:$A$64,0)),0)-G672))</f>
        <v/>
      </c>
      <c r="J672" s="18" t="str">
        <f aca="false">IF(OR(H672="",C672="",F672="İptal"),"",IF(COUNTIFS($C$5:$C$1504,C672,$D$5:$D$1504,"&lt;="&amp;E672,$E$5:$E$1504,"&gt;="&amp;D672,$F$5:$F$1504,"&lt;&gt;İptal")&gt;1,"Çakışıyor",""))</f>
        <v/>
      </c>
    </row>
    <row r="673" customFormat="false" ht="15" hidden="false" customHeight="false" outlineLevel="0" collapsed="false">
      <c r="A673" s="12"/>
      <c r="B673" s="12"/>
      <c r="C673" s="13"/>
      <c r="D673" s="14"/>
      <c r="E673" s="14"/>
      <c r="F673" s="13"/>
      <c r="G673" s="15"/>
      <c r="H673" s="16" t="str">
        <f aca="false">IF(OR(D673="",E673="",E673&lt;D673),"",E673-D673+1)</f>
        <v/>
      </c>
      <c r="I673" s="17" t="str">
        <f aca="false">IF(OR(H673="",C673=""),"",IF(F673="İptal",0,H673*IFERROR(INDEX(Ürünler!$B$5:$B$64,MATCH(C673,Ürünler!$A$5:$A$64,0)),0)-G673))</f>
        <v/>
      </c>
      <c r="J673" s="18" t="str">
        <f aca="false">IF(OR(H673="",C673="",F673="İptal"),"",IF(COUNTIFS($C$5:$C$1504,C673,$D$5:$D$1504,"&lt;="&amp;E673,$E$5:$E$1504,"&gt;="&amp;D673,$F$5:$F$1504,"&lt;&gt;İptal")&gt;1,"Çakışıyor",""))</f>
        <v/>
      </c>
    </row>
    <row r="674" customFormat="false" ht="15" hidden="false" customHeight="false" outlineLevel="0" collapsed="false">
      <c r="A674" s="12"/>
      <c r="B674" s="12"/>
      <c r="C674" s="13"/>
      <c r="D674" s="14"/>
      <c r="E674" s="14"/>
      <c r="F674" s="13"/>
      <c r="G674" s="15"/>
      <c r="H674" s="16" t="str">
        <f aca="false">IF(OR(D674="",E674="",E674&lt;D674),"",E674-D674+1)</f>
        <v/>
      </c>
      <c r="I674" s="17" t="str">
        <f aca="false">IF(OR(H674="",C674=""),"",IF(F674="İptal",0,H674*IFERROR(INDEX(Ürünler!$B$5:$B$64,MATCH(C674,Ürünler!$A$5:$A$64,0)),0)-G674))</f>
        <v/>
      </c>
      <c r="J674" s="18" t="str">
        <f aca="false">IF(OR(H674="",C674="",F674="İptal"),"",IF(COUNTIFS($C$5:$C$1504,C674,$D$5:$D$1504,"&lt;="&amp;E674,$E$5:$E$1504,"&gt;="&amp;D674,$F$5:$F$1504,"&lt;&gt;İptal")&gt;1,"Çakışıyor",""))</f>
        <v/>
      </c>
    </row>
    <row r="675" customFormat="false" ht="15" hidden="false" customHeight="false" outlineLevel="0" collapsed="false">
      <c r="A675" s="12"/>
      <c r="B675" s="12"/>
      <c r="C675" s="13"/>
      <c r="D675" s="14"/>
      <c r="E675" s="14"/>
      <c r="F675" s="13"/>
      <c r="G675" s="15"/>
      <c r="H675" s="16" t="str">
        <f aca="false">IF(OR(D675="",E675="",E675&lt;D675),"",E675-D675+1)</f>
        <v/>
      </c>
      <c r="I675" s="17" t="str">
        <f aca="false">IF(OR(H675="",C675=""),"",IF(F675="İptal",0,H675*IFERROR(INDEX(Ürünler!$B$5:$B$64,MATCH(C675,Ürünler!$A$5:$A$64,0)),0)-G675))</f>
        <v/>
      </c>
      <c r="J675" s="18" t="str">
        <f aca="false">IF(OR(H675="",C675="",F675="İptal"),"",IF(COUNTIFS($C$5:$C$1504,C675,$D$5:$D$1504,"&lt;="&amp;E675,$E$5:$E$1504,"&gt;="&amp;D675,$F$5:$F$1504,"&lt;&gt;İptal")&gt;1,"Çakışıyor",""))</f>
        <v/>
      </c>
    </row>
    <row r="676" customFormat="false" ht="15" hidden="false" customHeight="false" outlineLevel="0" collapsed="false">
      <c r="A676" s="12"/>
      <c r="B676" s="12"/>
      <c r="C676" s="13"/>
      <c r="D676" s="14"/>
      <c r="E676" s="14"/>
      <c r="F676" s="13"/>
      <c r="G676" s="15"/>
      <c r="H676" s="16" t="str">
        <f aca="false">IF(OR(D676="",E676="",E676&lt;D676),"",E676-D676+1)</f>
        <v/>
      </c>
      <c r="I676" s="17" t="str">
        <f aca="false">IF(OR(H676="",C676=""),"",IF(F676="İptal",0,H676*IFERROR(INDEX(Ürünler!$B$5:$B$64,MATCH(C676,Ürünler!$A$5:$A$64,0)),0)-G676))</f>
        <v/>
      </c>
      <c r="J676" s="18" t="str">
        <f aca="false">IF(OR(H676="",C676="",F676="İptal"),"",IF(COUNTIFS($C$5:$C$1504,C676,$D$5:$D$1504,"&lt;="&amp;E676,$E$5:$E$1504,"&gt;="&amp;D676,$F$5:$F$1504,"&lt;&gt;İptal")&gt;1,"Çakışıyor",""))</f>
        <v/>
      </c>
    </row>
    <row r="677" customFormat="false" ht="15" hidden="false" customHeight="false" outlineLevel="0" collapsed="false">
      <c r="A677" s="12"/>
      <c r="B677" s="12"/>
      <c r="C677" s="13"/>
      <c r="D677" s="14"/>
      <c r="E677" s="14"/>
      <c r="F677" s="13"/>
      <c r="G677" s="15"/>
      <c r="H677" s="16" t="str">
        <f aca="false">IF(OR(D677="",E677="",E677&lt;D677),"",E677-D677+1)</f>
        <v/>
      </c>
      <c r="I677" s="17" t="str">
        <f aca="false">IF(OR(H677="",C677=""),"",IF(F677="İptal",0,H677*IFERROR(INDEX(Ürünler!$B$5:$B$64,MATCH(C677,Ürünler!$A$5:$A$64,0)),0)-G677))</f>
        <v/>
      </c>
      <c r="J677" s="18" t="str">
        <f aca="false">IF(OR(H677="",C677="",F677="İptal"),"",IF(COUNTIFS($C$5:$C$1504,C677,$D$5:$D$1504,"&lt;="&amp;E677,$E$5:$E$1504,"&gt;="&amp;D677,$F$5:$F$1504,"&lt;&gt;İptal")&gt;1,"Çakışıyor",""))</f>
        <v/>
      </c>
    </row>
    <row r="678" customFormat="false" ht="15" hidden="false" customHeight="false" outlineLevel="0" collapsed="false">
      <c r="A678" s="12"/>
      <c r="B678" s="12"/>
      <c r="C678" s="13"/>
      <c r="D678" s="14"/>
      <c r="E678" s="14"/>
      <c r="F678" s="13"/>
      <c r="G678" s="15"/>
      <c r="H678" s="16" t="str">
        <f aca="false">IF(OR(D678="",E678="",E678&lt;D678),"",E678-D678+1)</f>
        <v/>
      </c>
      <c r="I678" s="17" t="str">
        <f aca="false">IF(OR(H678="",C678=""),"",IF(F678="İptal",0,H678*IFERROR(INDEX(Ürünler!$B$5:$B$64,MATCH(C678,Ürünler!$A$5:$A$64,0)),0)-G678))</f>
        <v/>
      </c>
      <c r="J678" s="18" t="str">
        <f aca="false">IF(OR(H678="",C678="",F678="İptal"),"",IF(COUNTIFS($C$5:$C$1504,C678,$D$5:$D$1504,"&lt;="&amp;E678,$E$5:$E$1504,"&gt;="&amp;D678,$F$5:$F$1504,"&lt;&gt;İptal")&gt;1,"Çakışıyor",""))</f>
        <v/>
      </c>
    </row>
    <row r="679" customFormat="false" ht="15" hidden="false" customHeight="false" outlineLevel="0" collapsed="false">
      <c r="A679" s="12"/>
      <c r="B679" s="12"/>
      <c r="C679" s="13"/>
      <c r="D679" s="14"/>
      <c r="E679" s="14"/>
      <c r="F679" s="13"/>
      <c r="G679" s="15"/>
      <c r="H679" s="16" t="str">
        <f aca="false">IF(OR(D679="",E679="",E679&lt;D679),"",E679-D679+1)</f>
        <v/>
      </c>
      <c r="I679" s="17" t="str">
        <f aca="false">IF(OR(H679="",C679=""),"",IF(F679="İptal",0,H679*IFERROR(INDEX(Ürünler!$B$5:$B$64,MATCH(C679,Ürünler!$A$5:$A$64,0)),0)-G679))</f>
        <v/>
      </c>
      <c r="J679" s="18" t="str">
        <f aca="false">IF(OR(H679="",C679="",F679="İptal"),"",IF(COUNTIFS($C$5:$C$1504,C679,$D$5:$D$1504,"&lt;="&amp;E679,$E$5:$E$1504,"&gt;="&amp;D679,$F$5:$F$1504,"&lt;&gt;İptal")&gt;1,"Çakışıyor",""))</f>
        <v/>
      </c>
    </row>
    <row r="680" customFormat="false" ht="15" hidden="false" customHeight="false" outlineLevel="0" collapsed="false">
      <c r="A680" s="12"/>
      <c r="B680" s="12"/>
      <c r="C680" s="13"/>
      <c r="D680" s="14"/>
      <c r="E680" s="14"/>
      <c r="F680" s="13"/>
      <c r="G680" s="15"/>
      <c r="H680" s="16" t="str">
        <f aca="false">IF(OR(D680="",E680="",E680&lt;D680),"",E680-D680+1)</f>
        <v/>
      </c>
      <c r="I680" s="17" t="str">
        <f aca="false">IF(OR(H680="",C680=""),"",IF(F680="İptal",0,H680*IFERROR(INDEX(Ürünler!$B$5:$B$64,MATCH(C680,Ürünler!$A$5:$A$64,0)),0)-G680))</f>
        <v/>
      </c>
      <c r="J680" s="18" t="str">
        <f aca="false">IF(OR(H680="",C680="",F680="İptal"),"",IF(COUNTIFS($C$5:$C$1504,C680,$D$5:$D$1504,"&lt;="&amp;E680,$E$5:$E$1504,"&gt;="&amp;D680,$F$5:$F$1504,"&lt;&gt;İptal")&gt;1,"Çakışıyor",""))</f>
        <v/>
      </c>
    </row>
    <row r="681" customFormat="false" ht="15" hidden="false" customHeight="false" outlineLevel="0" collapsed="false">
      <c r="A681" s="12"/>
      <c r="B681" s="12"/>
      <c r="C681" s="13"/>
      <c r="D681" s="14"/>
      <c r="E681" s="14"/>
      <c r="F681" s="13"/>
      <c r="G681" s="15"/>
      <c r="H681" s="16" t="str">
        <f aca="false">IF(OR(D681="",E681="",E681&lt;D681),"",E681-D681+1)</f>
        <v/>
      </c>
      <c r="I681" s="17" t="str">
        <f aca="false">IF(OR(H681="",C681=""),"",IF(F681="İptal",0,H681*IFERROR(INDEX(Ürünler!$B$5:$B$64,MATCH(C681,Ürünler!$A$5:$A$64,0)),0)-G681))</f>
        <v/>
      </c>
      <c r="J681" s="18" t="str">
        <f aca="false">IF(OR(H681="",C681="",F681="İptal"),"",IF(COUNTIFS($C$5:$C$1504,C681,$D$5:$D$1504,"&lt;="&amp;E681,$E$5:$E$1504,"&gt;="&amp;D681,$F$5:$F$1504,"&lt;&gt;İptal")&gt;1,"Çakışıyor",""))</f>
        <v/>
      </c>
    </row>
    <row r="682" customFormat="false" ht="15" hidden="false" customHeight="false" outlineLevel="0" collapsed="false">
      <c r="A682" s="12"/>
      <c r="B682" s="12"/>
      <c r="C682" s="13"/>
      <c r="D682" s="14"/>
      <c r="E682" s="14"/>
      <c r="F682" s="13"/>
      <c r="G682" s="15"/>
      <c r="H682" s="16" t="str">
        <f aca="false">IF(OR(D682="",E682="",E682&lt;D682),"",E682-D682+1)</f>
        <v/>
      </c>
      <c r="I682" s="17" t="str">
        <f aca="false">IF(OR(H682="",C682=""),"",IF(F682="İptal",0,H682*IFERROR(INDEX(Ürünler!$B$5:$B$64,MATCH(C682,Ürünler!$A$5:$A$64,0)),0)-G682))</f>
        <v/>
      </c>
      <c r="J682" s="18" t="str">
        <f aca="false">IF(OR(H682="",C682="",F682="İptal"),"",IF(COUNTIFS($C$5:$C$1504,C682,$D$5:$D$1504,"&lt;="&amp;E682,$E$5:$E$1504,"&gt;="&amp;D682,$F$5:$F$1504,"&lt;&gt;İptal")&gt;1,"Çakışıyor",""))</f>
        <v/>
      </c>
    </row>
    <row r="683" customFormat="false" ht="15" hidden="false" customHeight="false" outlineLevel="0" collapsed="false">
      <c r="A683" s="12"/>
      <c r="B683" s="12"/>
      <c r="C683" s="13"/>
      <c r="D683" s="14"/>
      <c r="E683" s="14"/>
      <c r="F683" s="13"/>
      <c r="G683" s="15"/>
      <c r="H683" s="16" t="str">
        <f aca="false">IF(OR(D683="",E683="",E683&lt;D683),"",E683-D683+1)</f>
        <v/>
      </c>
      <c r="I683" s="17" t="str">
        <f aca="false">IF(OR(H683="",C683=""),"",IF(F683="İptal",0,H683*IFERROR(INDEX(Ürünler!$B$5:$B$64,MATCH(C683,Ürünler!$A$5:$A$64,0)),0)-G683))</f>
        <v/>
      </c>
      <c r="J683" s="18" t="str">
        <f aca="false">IF(OR(H683="",C683="",F683="İptal"),"",IF(COUNTIFS($C$5:$C$1504,C683,$D$5:$D$1504,"&lt;="&amp;E683,$E$5:$E$1504,"&gt;="&amp;D683,$F$5:$F$1504,"&lt;&gt;İptal")&gt;1,"Çakışıyor",""))</f>
        <v/>
      </c>
    </row>
    <row r="684" customFormat="false" ht="15" hidden="false" customHeight="false" outlineLevel="0" collapsed="false">
      <c r="A684" s="12"/>
      <c r="B684" s="12"/>
      <c r="C684" s="13"/>
      <c r="D684" s="14"/>
      <c r="E684" s="14"/>
      <c r="F684" s="13"/>
      <c r="G684" s="15"/>
      <c r="H684" s="16" t="str">
        <f aca="false">IF(OR(D684="",E684="",E684&lt;D684),"",E684-D684+1)</f>
        <v/>
      </c>
      <c r="I684" s="17" t="str">
        <f aca="false">IF(OR(H684="",C684=""),"",IF(F684="İptal",0,H684*IFERROR(INDEX(Ürünler!$B$5:$B$64,MATCH(C684,Ürünler!$A$5:$A$64,0)),0)-G684))</f>
        <v/>
      </c>
      <c r="J684" s="18" t="str">
        <f aca="false">IF(OR(H684="",C684="",F684="İptal"),"",IF(COUNTIFS($C$5:$C$1504,C684,$D$5:$D$1504,"&lt;="&amp;E684,$E$5:$E$1504,"&gt;="&amp;D684,$F$5:$F$1504,"&lt;&gt;İptal")&gt;1,"Çakışıyor",""))</f>
        <v/>
      </c>
    </row>
    <row r="685" customFormat="false" ht="15" hidden="false" customHeight="false" outlineLevel="0" collapsed="false">
      <c r="A685" s="12"/>
      <c r="B685" s="12"/>
      <c r="C685" s="13"/>
      <c r="D685" s="14"/>
      <c r="E685" s="14"/>
      <c r="F685" s="13"/>
      <c r="G685" s="15"/>
      <c r="H685" s="16" t="str">
        <f aca="false">IF(OR(D685="",E685="",E685&lt;D685),"",E685-D685+1)</f>
        <v/>
      </c>
      <c r="I685" s="17" t="str">
        <f aca="false">IF(OR(H685="",C685=""),"",IF(F685="İptal",0,H685*IFERROR(INDEX(Ürünler!$B$5:$B$64,MATCH(C685,Ürünler!$A$5:$A$64,0)),0)-G685))</f>
        <v/>
      </c>
      <c r="J685" s="18" t="str">
        <f aca="false">IF(OR(H685="",C685="",F685="İptal"),"",IF(COUNTIFS($C$5:$C$1504,C685,$D$5:$D$1504,"&lt;="&amp;E685,$E$5:$E$1504,"&gt;="&amp;D685,$F$5:$F$1504,"&lt;&gt;İptal")&gt;1,"Çakışıyor",""))</f>
        <v/>
      </c>
    </row>
    <row r="686" customFormat="false" ht="15" hidden="false" customHeight="false" outlineLevel="0" collapsed="false">
      <c r="A686" s="12"/>
      <c r="B686" s="12"/>
      <c r="C686" s="13"/>
      <c r="D686" s="14"/>
      <c r="E686" s="14"/>
      <c r="F686" s="13"/>
      <c r="G686" s="15"/>
      <c r="H686" s="16" t="str">
        <f aca="false">IF(OR(D686="",E686="",E686&lt;D686),"",E686-D686+1)</f>
        <v/>
      </c>
      <c r="I686" s="17" t="str">
        <f aca="false">IF(OR(H686="",C686=""),"",IF(F686="İptal",0,H686*IFERROR(INDEX(Ürünler!$B$5:$B$64,MATCH(C686,Ürünler!$A$5:$A$64,0)),0)-G686))</f>
        <v/>
      </c>
      <c r="J686" s="18" t="str">
        <f aca="false">IF(OR(H686="",C686="",F686="İptal"),"",IF(COUNTIFS($C$5:$C$1504,C686,$D$5:$D$1504,"&lt;="&amp;E686,$E$5:$E$1504,"&gt;="&amp;D686,$F$5:$F$1504,"&lt;&gt;İptal")&gt;1,"Çakışıyor",""))</f>
        <v/>
      </c>
    </row>
    <row r="687" customFormat="false" ht="15" hidden="false" customHeight="false" outlineLevel="0" collapsed="false">
      <c r="A687" s="12"/>
      <c r="B687" s="12"/>
      <c r="C687" s="13"/>
      <c r="D687" s="14"/>
      <c r="E687" s="14"/>
      <c r="F687" s="13"/>
      <c r="G687" s="15"/>
      <c r="H687" s="16" t="str">
        <f aca="false">IF(OR(D687="",E687="",E687&lt;D687),"",E687-D687+1)</f>
        <v/>
      </c>
      <c r="I687" s="17" t="str">
        <f aca="false">IF(OR(H687="",C687=""),"",IF(F687="İptal",0,H687*IFERROR(INDEX(Ürünler!$B$5:$B$64,MATCH(C687,Ürünler!$A$5:$A$64,0)),0)-G687))</f>
        <v/>
      </c>
      <c r="J687" s="18" t="str">
        <f aca="false">IF(OR(H687="",C687="",F687="İptal"),"",IF(COUNTIFS($C$5:$C$1504,C687,$D$5:$D$1504,"&lt;="&amp;E687,$E$5:$E$1504,"&gt;="&amp;D687,$F$5:$F$1504,"&lt;&gt;İptal")&gt;1,"Çakışıyor",""))</f>
        <v/>
      </c>
    </row>
    <row r="688" customFormat="false" ht="15" hidden="false" customHeight="false" outlineLevel="0" collapsed="false">
      <c r="A688" s="12"/>
      <c r="B688" s="12"/>
      <c r="C688" s="13"/>
      <c r="D688" s="14"/>
      <c r="E688" s="14"/>
      <c r="F688" s="13"/>
      <c r="G688" s="15"/>
      <c r="H688" s="16" t="str">
        <f aca="false">IF(OR(D688="",E688="",E688&lt;D688),"",E688-D688+1)</f>
        <v/>
      </c>
      <c r="I688" s="17" t="str">
        <f aca="false">IF(OR(H688="",C688=""),"",IF(F688="İptal",0,H688*IFERROR(INDEX(Ürünler!$B$5:$B$64,MATCH(C688,Ürünler!$A$5:$A$64,0)),0)-G688))</f>
        <v/>
      </c>
      <c r="J688" s="18" t="str">
        <f aca="false">IF(OR(H688="",C688="",F688="İptal"),"",IF(COUNTIFS($C$5:$C$1504,C688,$D$5:$D$1504,"&lt;="&amp;E688,$E$5:$E$1504,"&gt;="&amp;D688,$F$5:$F$1504,"&lt;&gt;İptal")&gt;1,"Çakışıyor",""))</f>
        <v/>
      </c>
    </row>
    <row r="689" customFormat="false" ht="15" hidden="false" customHeight="false" outlineLevel="0" collapsed="false">
      <c r="A689" s="12"/>
      <c r="B689" s="12"/>
      <c r="C689" s="13"/>
      <c r="D689" s="14"/>
      <c r="E689" s="14"/>
      <c r="F689" s="13"/>
      <c r="G689" s="15"/>
      <c r="H689" s="16" t="str">
        <f aca="false">IF(OR(D689="",E689="",E689&lt;D689),"",E689-D689+1)</f>
        <v/>
      </c>
      <c r="I689" s="17" t="str">
        <f aca="false">IF(OR(H689="",C689=""),"",IF(F689="İptal",0,H689*IFERROR(INDEX(Ürünler!$B$5:$B$64,MATCH(C689,Ürünler!$A$5:$A$64,0)),0)-G689))</f>
        <v/>
      </c>
      <c r="J689" s="18" t="str">
        <f aca="false">IF(OR(H689="",C689="",F689="İptal"),"",IF(COUNTIFS($C$5:$C$1504,C689,$D$5:$D$1504,"&lt;="&amp;E689,$E$5:$E$1504,"&gt;="&amp;D689,$F$5:$F$1504,"&lt;&gt;İptal")&gt;1,"Çakışıyor",""))</f>
        <v/>
      </c>
    </row>
    <row r="690" customFormat="false" ht="15" hidden="false" customHeight="false" outlineLevel="0" collapsed="false">
      <c r="A690" s="12"/>
      <c r="B690" s="12"/>
      <c r="C690" s="13"/>
      <c r="D690" s="14"/>
      <c r="E690" s="14"/>
      <c r="F690" s="13"/>
      <c r="G690" s="15"/>
      <c r="H690" s="16" t="str">
        <f aca="false">IF(OR(D690="",E690="",E690&lt;D690),"",E690-D690+1)</f>
        <v/>
      </c>
      <c r="I690" s="17" t="str">
        <f aca="false">IF(OR(H690="",C690=""),"",IF(F690="İptal",0,H690*IFERROR(INDEX(Ürünler!$B$5:$B$64,MATCH(C690,Ürünler!$A$5:$A$64,0)),0)-G690))</f>
        <v/>
      </c>
      <c r="J690" s="18" t="str">
        <f aca="false">IF(OR(H690="",C690="",F690="İptal"),"",IF(COUNTIFS($C$5:$C$1504,C690,$D$5:$D$1504,"&lt;="&amp;E690,$E$5:$E$1504,"&gt;="&amp;D690,$F$5:$F$1504,"&lt;&gt;İptal")&gt;1,"Çakışıyor",""))</f>
        <v/>
      </c>
    </row>
    <row r="691" customFormat="false" ht="15" hidden="false" customHeight="false" outlineLevel="0" collapsed="false">
      <c r="A691" s="12"/>
      <c r="B691" s="12"/>
      <c r="C691" s="13"/>
      <c r="D691" s="14"/>
      <c r="E691" s="14"/>
      <c r="F691" s="13"/>
      <c r="G691" s="15"/>
      <c r="H691" s="16" t="str">
        <f aca="false">IF(OR(D691="",E691="",E691&lt;D691),"",E691-D691+1)</f>
        <v/>
      </c>
      <c r="I691" s="17" t="str">
        <f aca="false">IF(OR(H691="",C691=""),"",IF(F691="İptal",0,H691*IFERROR(INDEX(Ürünler!$B$5:$B$64,MATCH(C691,Ürünler!$A$5:$A$64,0)),0)-G691))</f>
        <v/>
      </c>
      <c r="J691" s="18" t="str">
        <f aca="false">IF(OR(H691="",C691="",F691="İptal"),"",IF(COUNTIFS($C$5:$C$1504,C691,$D$5:$D$1504,"&lt;="&amp;E691,$E$5:$E$1504,"&gt;="&amp;D691,$F$5:$F$1504,"&lt;&gt;İptal")&gt;1,"Çakışıyor",""))</f>
        <v/>
      </c>
    </row>
    <row r="692" customFormat="false" ht="15" hidden="false" customHeight="false" outlineLevel="0" collapsed="false">
      <c r="A692" s="12"/>
      <c r="B692" s="12"/>
      <c r="C692" s="13"/>
      <c r="D692" s="14"/>
      <c r="E692" s="14"/>
      <c r="F692" s="13"/>
      <c r="G692" s="15"/>
      <c r="H692" s="16" t="str">
        <f aca="false">IF(OR(D692="",E692="",E692&lt;D692),"",E692-D692+1)</f>
        <v/>
      </c>
      <c r="I692" s="17" t="str">
        <f aca="false">IF(OR(H692="",C692=""),"",IF(F692="İptal",0,H692*IFERROR(INDEX(Ürünler!$B$5:$B$64,MATCH(C692,Ürünler!$A$5:$A$64,0)),0)-G692))</f>
        <v/>
      </c>
      <c r="J692" s="18" t="str">
        <f aca="false">IF(OR(H692="",C692="",F692="İptal"),"",IF(COUNTIFS($C$5:$C$1504,C692,$D$5:$D$1504,"&lt;="&amp;E692,$E$5:$E$1504,"&gt;="&amp;D692,$F$5:$F$1504,"&lt;&gt;İptal")&gt;1,"Çakışıyor",""))</f>
        <v/>
      </c>
    </row>
    <row r="693" customFormat="false" ht="15" hidden="false" customHeight="false" outlineLevel="0" collapsed="false">
      <c r="A693" s="12"/>
      <c r="B693" s="12"/>
      <c r="C693" s="13"/>
      <c r="D693" s="14"/>
      <c r="E693" s="14"/>
      <c r="F693" s="13"/>
      <c r="G693" s="15"/>
      <c r="H693" s="16" t="str">
        <f aca="false">IF(OR(D693="",E693="",E693&lt;D693),"",E693-D693+1)</f>
        <v/>
      </c>
      <c r="I693" s="17" t="str">
        <f aca="false">IF(OR(H693="",C693=""),"",IF(F693="İptal",0,H693*IFERROR(INDEX(Ürünler!$B$5:$B$64,MATCH(C693,Ürünler!$A$5:$A$64,0)),0)-G693))</f>
        <v/>
      </c>
      <c r="J693" s="18" t="str">
        <f aca="false">IF(OR(H693="",C693="",F693="İptal"),"",IF(COUNTIFS($C$5:$C$1504,C693,$D$5:$D$1504,"&lt;="&amp;E693,$E$5:$E$1504,"&gt;="&amp;D693,$F$5:$F$1504,"&lt;&gt;İptal")&gt;1,"Çakışıyor",""))</f>
        <v/>
      </c>
    </row>
    <row r="694" customFormat="false" ht="15" hidden="false" customHeight="false" outlineLevel="0" collapsed="false">
      <c r="A694" s="12"/>
      <c r="B694" s="12"/>
      <c r="C694" s="13"/>
      <c r="D694" s="14"/>
      <c r="E694" s="14"/>
      <c r="F694" s="13"/>
      <c r="G694" s="15"/>
      <c r="H694" s="16" t="str">
        <f aca="false">IF(OR(D694="",E694="",E694&lt;D694),"",E694-D694+1)</f>
        <v/>
      </c>
      <c r="I694" s="17" t="str">
        <f aca="false">IF(OR(H694="",C694=""),"",IF(F694="İptal",0,H694*IFERROR(INDEX(Ürünler!$B$5:$B$64,MATCH(C694,Ürünler!$A$5:$A$64,0)),0)-G694))</f>
        <v/>
      </c>
      <c r="J694" s="18" t="str">
        <f aca="false">IF(OR(H694="",C694="",F694="İptal"),"",IF(COUNTIFS($C$5:$C$1504,C694,$D$5:$D$1504,"&lt;="&amp;E694,$E$5:$E$1504,"&gt;="&amp;D694,$F$5:$F$1504,"&lt;&gt;İptal")&gt;1,"Çakışıyor",""))</f>
        <v/>
      </c>
    </row>
    <row r="695" customFormat="false" ht="15" hidden="false" customHeight="false" outlineLevel="0" collapsed="false">
      <c r="A695" s="12"/>
      <c r="B695" s="12"/>
      <c r="C695" s="13"/>
      <c r="D695" s="14"/>
      <c r="E695" s="14"/>
      <c r="F695" s="13"/>
      <c r="G695" s="15"/>
      <c r="H695" s="16" t="str">
        <f aca="false">IF(OR(D695="",E695="",E695&lt;D695),"",E695-D695+1)</f>
        <v/>
      </c>
      <c r="I695" s="17" t="str">
        <f aca="false">IF(OR(H695="",C695=""),"",IF(F695="İptal",0,H695*IFERROR(INDEX(Ürünler!$B$5:$B$64,MATCH(C695,Ürünler!$A$5:$A$64,0)),0)-G695))</f>
        <v/>
      </c>
      <c r="J695" s="18" t="str">
        <f aca="false">IF(OR(H695="",C695="",F695="İptal"),"",IF(COUNTIFS($C$5:$C$1504,C695,$D$5:$D$1504,"&lt;="&amp;E695,$E$5:$E$1504,"&gt;="&amp;D695,$F$5:$F$1504,"&lt;&gt;İptal")&gt;1,"Çakışıyor",""))</f>
        <v/>
      </c>
    </row>
    <row r="696" customFormat="false" ht="15" hidden="false" customHeight="false" outlineLevel="0" collapsed="false">
      <c r="A696" s="12"/>
      <c r="B696" s="12"/>
      <c r="C696" s="13"/>
      <c r="D696" s="14"/>
      <c r="E696" s="14"/>
      <c r="F696" s="13"/>
      <c r="G696" s="15"/>
      <c r="H696" s="16" t="str">
        <f aca="false">IF(OR(D696="",E696="",E696&lt;D696),"",E696-D696+1)</f>
        <v/>
      </c>
      <c r="I696" s="17" t="str">
        <f aca="false">IF(OR(H696="",C696=""),"",IF(F696="İptal",0,H696*IFERROR(INDEX(Ürünler!$B$5:$B$64,MATCH(C696,Ürünler!$A$5:$A$64,0)),0)-G696))</f>
        <v/>
      </c>
      <c r="J696" s="18" t="str">
        <f aca="false">IF(OR(H696="",C696="",F696="İptal"),"",IF(COUNTIFS($C$5:$C$1504,C696,$D$5:$D$1504,"&lt;="&amp;E696,$E$5:$E$1504,"&gt;="&amp;D696,$F$5:$F$1504,"&lt;&gt;İptal")&gt;1,"Çakışıyor",""))</f>
        <v/>
      </c>
    </row>
    <row r="697" customFormat="false" ht="15" hidden="false" customHeight="false" outlineLevel="0" collapsed="false">
      <c r="A697" s="12"/>
      <c r="B697" s="12"/>
      <c r="C697" s="13"/>
      <c r="D697" s="14"/>
      <c r="E697" s="14"/>
      <c r="F697" s="13"/>
      <c r="G697" s="15"/>
      <c r="H697" s="16" t="str">
        <f aca="false">IF(OR(D697="",E697="",E697&lt;D697),"",E697-D697+1)</f>
        <v/>
      </c>
      <c r="I697" s="17" t="str">
        <f aca="false">IF(OR(H697="",C697=""),"",IF(F697="İptal",0,H697*IFERROR(INDEX(Ürünler!$B$5:$B$64,MATCH(C697,Ürünler!$A$5:$A$64,0)),0)-G697))</f>
        <v/>
      </c>
      <c r="J697" s="18" t="str">
        <f aca="false">IF(OR(H697="",C697="",F697="İptal"),"",IF(COUNTIFS($C$5:$C$1504,C697,$D$5:$D$1504,"&lt;="&amp;E697,$E$5:$E$1504,"&gt;="&amp;D697,$F$5:$F$1504,"&lt;&gt;İptal")&gt;1,"Çakışıyor",""))</f>
        <v/>
      </c>
    </row>
    <row r="698" customFormat="false" ht="15" hidden="false" customHeight="false" outlineLevel="0" collapsed="false">
      <c r="A698" s="12"/>
      <c r="B698" s="12"/>
      <c r="C698" s="13"/>
      <c r="D698" s="14"/>
      <c r="E698" s="14"/>
      <c r="F698" s="13"/>
      <c r="G698" s="15"/>
      <c r="H698" s="16" t="str">
        <f aca="false">IF(OR(D698="",E698="",E698&lt;D698),"",E698-D698+1)</f>
        <v/>
      </c>
      <c r="I698" s="17" t="str">
        <f aca="false">IF(OR(H698="",C698=""),"",IF(F698="İptal",0,H698*IFERROR(INDEX(Ürünler!$B$5:$B$64,MATCH(C698,Ürünler!$A$5:$A$64,0)),0)-G698))</f>
        <v/>
      </c>
      <c r="J698" s="18" t="str">
        <f aca="false">IF(OR(H698="",C698="",F698="İptal"),"",IF(COUNTIFS($C$5:$C$1504,C698,$D$5:$D$1504,"&lt;="&amp;E698,$E$5:$E$1504,"&gt;="&amp;D698,$F$5:$F$1504,"&lt;&gt;İptal")&gt;1,"Çakışıyor",""))</f>
        <v/>
      </c>
    </row>
    <row r="699" customFormat="false" ht="15" hidden="false" customHeight="false" outlineLevel="0" collapsed="false">
      <c r="A699" s="12"/>
      <c r="B699" s="12"/>
      <c r="C699" s="13"/>
      <c r="D699" s="14"/>
      <c r="E699" s="14"/>
      <c r="F699" s="13"/>
      <c r="G699" s="15"/>
      <c r="H699" s="16" t="str">
        <f aca="false">IF(OR(D699="",E699="",E699&lt;D699),"",E699-D699+1)</f>
        <v/>
      </c>
      <c r="I699" s="17" t="str">
        <f aca="false">IF(OR(H699="",C699=""),"",IF(F699="İptal",0,H699*IFERROR(INDEX(Ürünler!$B$5:$B$64,MATCH(C699,Ürünler!$A$5:$A$64,0)),0)-G699))</f>
        <v/>
      </c>
      <c r="J699" s="18" t="str">
        <f aca="false">IF(OR(H699="",C699="",F699="İptal"),"",IF(COUNTIFS($C$5:$C$1504,C699,$D$5:$D$1504,"&lt;="&amp;E699,$E$5:$E$1504,"&gt;="&amp;D699,$F$5:$F$1504,"&lt;&gt;İptal")&gt;1,"Çakışıyor",""))</f>
        <v/>
      </c>
    </row>
    <row r="700" customFormat="false" ht="15" hidden="false" customHeight="false" outlineLevel="0" collapsed="false">
      <c r="A700" s="12"/>
      <c r="B700" s="12"/>
      <c r="C700" s="13"/>
      <c r="D700" s="14"/>
      <c r="E700" s="14"/>
      <c r="F700" s="13"/>
      <c r="G700" s="15"/>
      <c r="H700" s="16" t="str">
        <f aca="false">IF(OR(D700="",E700="",E700&lt;D700),"",E700-D700+1)</f>
        <v/>
      </c>
      <c r="I700" s="17" t="str">
        <f aca="false">IF(OR(H700="",C700=""),"",IF(F700="İptal",0,H700*IFERROR(INDEX(Ürünler!$B$5:$B$64,MATCH(C700,Ürünler!$A$5:$A$64,0)),0)-G700))</f>
        <v/>
      </c>
      <c r="J700" s="18" t="str">
        <f aca="false">IF(OR(H700="",C700="",F700="İptal"),"",IF(COUNTIFS($C$5:$C$1504,C700,$D$5:$D$1504,"&lt;="&amp;E700,$E$5:$E$1504,"&gt;="&amp;D700,$F$5:$F$1504,"&lt;&gt;İptal")&gt;1,"Çakışıyor",""))</f>
        <v/>
      </c>
    </row>
    <row r="701" customFormat="false" ht="15" hidden="false" customHeight="false" outlineLevel="0" collapsed="false">
      <c r="A701" s="12"/>
      <c r="B701" s="12"/>
      <c r="C701" s="13"/>
      <c r="D701" s="14"/>
      <c r="E701" s="14"/>
      <c r="F701" s="13"/>
      <c r="G701" s="15"/>
      <c r="H701" s="16" t="str">
        <f aca="false">IF(OR(D701="",E701="",E701&lt;D701),"",E701-D701+1)</f>
        <v/>
      </c>
      <c r="I701" s="17" t="str">
        <f aca="false">IF(OR(H701="",C701=""),"",IF(F701="İptal",0,H701*IFERROR(INDEX(Ürünler!$B$5:$B$64,MATCH(C701,Ürünler!$A$5:$A$64,0)),0)-G701))</f>
        <v/>
      </c>
      <c r="J701" s="18" t="str">
        <f aca="false">IF(OR(H701="",C701="",F701="İptal"),"",IF(COUNTIFS($C$5:$C$1504,C701,$D$5:$D$1504,"&lt;="&amp;E701,$E$5:$E$1504,"&gt;="&amp;D701,$F$5:$F$1504,"&lt;&gt;İptal")&gt;1,"Çakışıyor",""))</f>
        <v/>
      </c>
    </row>
    <row r="702" customFormat="false" ht="15" hidden="false" customHeight="false" outlineLevel="0" collapsed="false">
      <c r="A702" s="12"/>
      <c r="B702" s="12"/>
      <c r="C702" s="13"/>
      <c r="D702" s="14"/>
      <c r="E702" s="14"/>
      <c r="F702" s="13"/>
      <c r="G702" s="15"/>
      <c r="H702" s="16" t="str">
        <f aca="false">IF(OR(D702="",E702="",E702&lt;D702),"",E702-D702+1)</f>
        <v/>
      </c>
      <c r="I702" s="17" t="str">
        <f aca="false">IF(OR(H702="",C702=""),"",IF(F702="İptal",0,H702*IFERROR(INDEX(Ürünler!$B$5:$B$64,MATCH(C702,Ürünler!$A$5:$A$64,0)),0)-G702))</f>
        <v/>
      </c>
      <c r="J702" s="18" t="str">
        <f aca="false">IF(OR(H702="",C702="",F702="İptal"),"",IF(COUNTIFS($C$5:$C$1504,C702,$D$5:$D$1504,"&lt;="&amp;E702,$E$5:$E$1504,"&gt;="&amp;D702,$F$5:$F$1504,"&lt;&gt;İptal")&gt;1,"Çakışıyor",""))</f>
        <v/>
      </c>
    </row>
    <row r="703" customFormat="false" ht="15" hidden="false" customHeight="false" outlineLevel="0" collapsed="false">
      <c r="A703" s="12"/>
      <c r="B703" s="12"/>
      <c r="C703" s="13"/>
      <c r="D703" s="14"/>
      <c r="E703" s="14"/>
      <c r="F703" s="13"/>
      <c r="G703" s="15"/>
      <c r="H703" s="16" t="str">
        <f aca="false">IF(OR(D703="",E703="",E703&lt;D703),"",E703-D703+1)</f>
        <v/>
      </c>
      <c r="I703" s="17" t="str">
        <f aca="false">IF(OR(H703="",C703=""),"",IF(F703="İptal",0,H703*IFERROR(INDEX(Ürünler!$B$5:$B$64,MATCH(C703,Ürünler!$A$5:$A$64,0)),0)-G703))</f>
        <v/>
      </c>
      <c r="J703" s="18" t="str">
        <f aca="false">IF(OR(H703="",C703="",F703="İptal"),"",IF(COUNTIFS($C$5:$C$1504,C703,$D$5:$D$1504,"&lt;="&amp;E703,$E$5:$E$1504,"&gt;="&amp;D703,$F$5:$F$1504,"&lt;&gt;İptal")&gt;1,"Çakışıyor",""))</f>
        <v/>
      </c>
    </row>
    <row r="704" customFormat="false" ht="15" hidden="false" customHeight="false" outlineLevel="0" collapsed="false">
      <c r="A704" s="12"/>
      <c r="B704" s="12"/>
      <c r="C704" s="13"/>
      <c r="D704" s="14"/>
      <c r="E704" s="14"/>
      <c r="F704" s="13"/>
      <c r="G704" s="15"/>
      <c r="H704" s="16" t="str">
        <f aca="false">IF(OR(D704="",E704="",E704&lt;D704),"",E704-D704+1)</f>
        <v/>
      </c>
      <c r="I704" s="17" t="str">
        <f aca="false">IF(OR(H704="",C704=""),"",IF(F704="İptal",0,H704*IFERROR(INDEX(Ürünler!$B$5:$B$64,MATCH(C704,Ürünler!$A$5:$A$64,0)),0)-G704))</f>
        <v/>
      </c>
      <c r="J704" s="18" t="str">
        <f aca="false">IF(OR(H704="",C704="",F704="İptal"),"",IF(COUNTIFS($C$5:$C$1504,C704,$D$5:$D$1504,"&lt;="&amp;E704,$E$5:$E$1504,"&gt;="&amp;D704,$F$5:$F$1504,"&lt;&gt;İptal")&gt;1,"Çakışıyor",""))</f>
        <v/>
      </c>
    </row>
    <row r="705" customFormat="false" ht="15" hidden="false" customHeight="false" outlineLevel="0" collapsed="false">
      <c r="A705" s="12"/>
      <c r="B705" s="12"/>
      <c r="C705" s="13"/>
      <c r="D705" s="14"/>
      <c r="E705" s="14"/>
      <c r="F705" s="13"/>
      <c r="G705" s="15"/>
      <c r="H705" s="16" t="str">
        <f aca="false">IF(OR(D705="",E705="",E705&lt;D705),"",E705-D705+1)</f>
        <v/>
      </c>
      <c r="I705" s="17" t="str">
        <f aca="false">IF(OR(H705="",C705=""),"",IF(F705="İptal",0,H705*IFERROR(INDEX(Ürünler!$B$5:$B$64,MATCH(C705,Ürünler!$A$5:$A$64,0)),0)-G705))</f>
        <v/>
      </c>
      <c r="J705" s="18" t="str">
        <f aca="false">IF(OR(H705="",C705="",F705="İptal"),"",IF(COUNTIFS($C$5:$C$1504,C705,$D$5:$D$1504,"&lt;="&amp;E705,$E$5:$E$1504,"&gt;="&amp;D705,$F$5:$F$1504,"&lt;&gt;İptal")&gt;1,"Çakışıyor",""))</f>
        <v/>
      </c>
    </row>
    <row r="706" customFormat="false" ht="15" hidden="false" customHeight="false" outlineLevel="0" collapsed="false">
      <c r="A706" s="12"/>
      <c r="B706" s="12"/>
      <c r="C706" s="13"/>
      <c r="D706" s="14"/>
      <c r="E706" s="14"/>
      <c r="F706" s="13"/>
      <c r="G706" s="15"/>
      <c r="H706" s="16" t="str">
        <f aca="false">IF(OR(D706="",E706="",E706&lt;D706),"",E706-D706+1)</f>
        <v/>
      </c>
      <c r="I706" s="17" t="str">
        <f aca="false">IF(OR(H706="",C706=""),"",IF(F706="İptal",0,H706*IFERROR(INDEX(Ürünler!$B$5:$B$64,MATCH(C706,Ürünler!$A$5:$A$64,0)),0)-G706))</f>
        <v/>
      </c>
      <c r="J706" s="18" t="str">
        <f aca="false">IF(OR(H706="",C706="",F706="İptal"),"",IF(COUNTIFS($C$5:$C$1504,C706,$D$5:$D$1504,"&lt;="&amp;E706,$E$5:$E$1504,"&gt;="&amp;D706,$F$5:$F$1504,"&lt;&gt;İptal")&gt;1,"Çakışıyor",""))</f>
        <v/>
      </c>
    </row>
    <row r="707" customFormat="false" ht="15" hidden="false" customHeight="false" outlineLevel="0" collapsed="false">
      <c r="A707" s="12"/>
      <c r="B707" s="12"/>
      <c r="C707" s="13"/>
      <c r="D707" s="14"/>
      <c r="E707" s="14"/>
      <c r="F707" s="13"/>
      <c r="G707" s="15"/>
      <c r="H707" s="16" t="str">
        <f aca="false">IF(OR(D707="",E707="",E707&lt;D707),"",E707-D707+1)</f>
        <v/>
      </c>
      <c r="I707" s="17" t="str">
        <f aca="false">IF(OR(H707="",C707=""),"",IF(F707="İptal",0,H707*IFERROR(INDEX(Ürünler!$B$5:$B$64,MATCH(C707,Ürünler!$A$5:$A$64,0)),0)-G707))</f>
        <v/>
      </c>
      <c r="J707" s="18" t="str">
        <f aca="false">IF(OR(H707="",C707="",F707="İptal"),"",IF(COUNTIFS($C$5:$C$1504,C707,$D$5:$D$1504,"&lt;="&amp;E707,$E$5:$E$1504,"&gt;="&amp;D707,$F$5:$F$1504,"&lt;&gt;İptal")&gt;1,"Çakışıyor",""))</f>
        <v/>
      </c>
    </row>
    <row r="708" customFormat="false" ht="15" hidden="false" customHeight="false" outlineLevel="0" collapsed="false">
      <c r="A708" s="12"/>
      <c r="B708" s="12"/>
      <c r="C708" s="13"/>
      <c r="D708" s="14"/>
      <c r="E708" s="14"/>
      <c r="F708" s="13"/>
      <c r="G708" s="15"/>
      <c r="H708" s="16" t="str">
        <f aca="false">IF(OR(D708="",E708="",E708&lt;D708),"",E708-D708+1)</f>
        <v/>
      </c>
      <c r="I708" s="17" t="str">
        <f aca="false">IF(OR(H708="",C708=""),"",IF(F708="İptal",0,H708*IFERROR(INDEX(Ürünler!$B$5:$B$64,MATCH(C708,Ürünler!$A$5:$A$64,0)),0)-G708))</f>
        <v/>
      </c>
      <c r="J708" s="18" t="str">
        <f aca="false">IF(OR(H708="",C708="",F708="İptal"),"",IF(COUNTIFS($C$5:$C$1504,C708,$D$5:$D$1504,"&lt;="&amp;E708,$E$5:$E$1504,"&gt;="&amp;D708,$F$5:$F$1504,"&lt;&gt;İptal")&gt;1,"Çakışıyor",""))</f>
        <v/>
      </c>
    </row>
    <row r="709" customFormat="false" ht="15" hidden="false" customHeight="false" outlineLevel="0" collapsed="false">
      <c r="A709" s="12"/>
      <c r="B709" s="12"/>
      <c r="C709" s="13"/>
      <c r="D709" s="14"/>
      <c r="E709" s="14"/>
      <c r="F709" s="13"/>
      <c r="G709" s="15"/>
      <c r="H709" s="16" t="str">
        <f aca="false">IF(OR(D709="",E709="",E709&lt;D709),"",E709-D709+1)</f>
        <v/>
      </c>
      <c r="I709" s="17" t="str">
        <f aca="false">IF(OR(H709="",C709=""),"",IF(F709="İptal",0,H709*IFERROR(INDEX(Ürünler!$B$5:$B$64,MATCH(C709,Ürünler!$A$5:$A$64,0)),0)-G709))</f>
        <v/>
      </c>
      <c r="J709" s="18" t="str">
        <f aca="false">IF(OR(H709="",C709="",F709="İptal"),"",IF(COUNTIFS($C$5:$C$1504,C709,$D$5:$D$1504,"&lt;="&amp;E709,$E$5:$E$1504,"&gt;="&amp;D709,$F$5:$F$1504,"&lt;&gt;İptal")&gt;1,"Çakışıyor",""))</f>
        <v/>
      </c>
    </row>
    <row r="710" customFormat="false" ht="15" hidden="false" customHeight="false" outlineLevel="0" collapsed="false">
      <c r="A710" s="12"/>
      <c r="B710" s="12"/>
      <c r="C710" s="13"/>
      <c r="D710" s="14"/>
      <c r="E710" s="14"/>
      <c r="F710" s="13"/>
      <c r="G710" s="15"/>
      <c r="H710" s="16" t="str">
        <f aca="false">IF(OR(D710="",E710="",E710&lt;D710),"",E710-D710+1)</f>
        <v/>
      </c>
      <c r="I710" s="17" t="str">
        <f aca="false">IF(OR(H710="",C710=""),"",IF(F710="İptal",0,H710*IFERROR(INDEX(Ürünler!$B$5:$B$64,MATCH(C710,Ürünler!$A$5:$A$64,0)),0)-G710))</f>
        <v/>
      </c>
      <c r="J710" s="18" t="str">
        <f aca="false">IF(OR(H710="",C710="",F710="İptal"),"",IF(COUNTIFS($C$5:$C$1504,C710,$D$5:$D$1504,"&lt;="&amp;E710,$E$5:$E$1504,"&gt;="&amp;D710,$F$5:$F$1504,"&lt;&gt;İptal")&gt;1,"Çakışıyor",""))</f>
        <v/>
      </c>
    </row>
    <row r="711" customFormat="false" ht="15" hidden="false" customHeight="false" outlineLevel="0" collapsed="false">
      <c r="A711" s="12"/>
      <c r="B711" s="12"/>
      <c r="C711" s="13"/>
      <c r="D711" s="14"/>
      <c r="E711" s="14"/>
      <c r="F711" s="13"/>
      <c r="G711" s="15"/>
      <c r="H711" s="16" t="str">
        <f aca="false">IF(OR(D711="",E711="",E711&lt;D711),"",E711-D711+1)</f>
        <v/>
      </c>
      <c r="I711" s="17" t="str">
        <f aca="false">IF(OR(H711="",C711=""),"",IF(F711="İptal",0,H711*IFERROR(INDEX(Ürünler!$B$5:$B$64,MATCH(C711,Ürünler!$A$5:$A$64,0)),0)-G711))</f>
        <v/>
      </c>
      <c r="J711" s="18" t="str">
        <f aca="false">IF(OR(H711="",C711="",F711="İptal"),"",IF(COUNTIFS($C$5:$C$1504,C711,$D$5:$D$1504,"&lt;="&amp;E711,$E$5:$E$1504,"&gt;="&amp;D711,$F$5:$F$1504,"&lt;&gt;İptal")&gt;1,"Çakışıyor",""))</f>
        <v/>
      </c>
    </row>
    <row r="712" customFormat="false" ht="15" hidden="false" customHeight="false" outlineLevel="0" collapsed="false">
      <c r="A712" s="12"/>
      <c r="B712" s="12"/>
      <c r="C712" s="13"/>
      <c r="D712" s="14"/>
      <c r="E712" s="14"/>
      <c r="F712" s="13"/>
      <c r="G712" s="15"/>
      <c r="H712" s="16" t="str">
        <f aca="false">IF(OR(D712="",E712="",E712&lt;D712),"",E712-D712+1)</f>
        <v/>
      </c>
      <c r="I712" s="17" t="str">
        <f aca="false">IF(OR(H712="",C712=""),"",IF(F712="İptal",0,H712*IFERROR(INDEX(Ürünler!$B$5:$B$64,MATCH(C712,Ürünler!$A$5:$A$64,0)),0)-G712))</f>
        <v/>
      </c>
      <c r="J712" s="18" t="str">
        <f aca="false">IF(OR(H712="",C712="",F712="İptal"),"",IF(COUNTIFS($C$5:$C$1504,C712,$D$5:$D$1504,"&lt;="&amp;E712,$E$5:$E$1504,"&gt;="&amp;D712,$F$5:$F$1504,"&lt;&gt;İptal")&gt;1,"Çakışıyor",""))</f>
        <v/>
      </c>
    </row>
    <row r="713" customFormat="false" ht="15" hidden="false" customHeight="false" outlineLevel="0" collapsed="false">
      <c r="A713" s="12"/>
      <c r="B713" s="12"/>
      <c r="C713" s="13"/>
      <c r="D713" s="14"/>
      <c r="E713" s="14"/>
      <c r="F713" s="13"/>
      <c r="G713" s="15"/>
      <c r="H713" s="16" t="str">
        <f aca="false">IF(OR(D713="",E713="",E713&lt;D713),"",E713-D713+1)</f>
        <v/>
      </c>
      <c r="I713" s="17" t="str">
        <f aca="false">IF(OR(H713="",C713=""),"",IF(F713="İptal",0,H713*IFERROR(INDEX(Ürünler!$B$5:$B$64,MATCH(C713,Ürünler!$A$5:$A$64,0)),0)-G713))</f>
        <v/>
      </c>
      <c r="J713" s="18" t="str">
        <f aca="false">IF(OR(H713="",C713="",F713="İptal"),"",IF(COUNTIFS($C$5:$C$1504,C713,$D$5:$D$1504,"&lt;="&amp;E713,$E$5:$E$1504,"&gt;="&amp;D713,$F$5:$F$1504,"&lt;&gt;İptal")&gt;1,"Çakışıyor",""))</f>
        <v/>
      </c>
    </row>
    <row r="714" customFormat="false" ht="15" hidden="false" customHeight="false" outlineLevel="0" collapsed="false">
      <c r="A714" s="12"/>
      <c r="B714" s="12"/>
      <c r="C714" s="13"/>
      <c r="D714" s="14"/>
      <c r="E714" s="14"/>
      <c r="F714" s="13"/>
      <c r="G714" s="15"/>
      <c r="H714" s="16" t="str">
        <f aca="false">IF(OR(D714="",E714="",E714&lt;D714),"",E714-D714+1)</f>
        <v/>
      </c>
      <c r="I714" s="17" t="str">
        <f aca="false">IF(OR(H714="",C714=""),"",IF(F714="İptal",0,H714*IFERROR(INDEX(Ürünler!$B$5:$B$64,MATCH(C714,Ürünler!$A$5:$A$64,0)),0)-G714))</f>
        <v/>
      </c>
      <c r="J714" s="18" t="str">
        <f aca="false">IF(OR(H714="",C714="",F714="İptal"),"",IF(COUNTIFS($C$5:$C$1504,C714,$D$5:$D$1504,"&lt;="&amp;E714,$E$5:$E$1504,"&gt;="&amp;D714,$F$5:$F$1504,"&lt;&gt;İptal")&gt;1,"Çakışıyor",""))</f>
        <v/>
      </c>
    </row>
    <row r="715" customFormat="false" ht="15" hidden="false" customHeight="false" outlineLevel="0" collapsed="false">
      <c r="A715" s="12"/>
      <c r="B715" s="12"/>
      <c r="C715" s="13"/>
      <c r="D715" s="14"/>
      <c r="E715" s="14"/>
      <c r="F715" s="13"/>
      <c r="G715" s="15"/>
      <c r="H715" s="16" t="str">
        <f aca="false">IF(OR(D715="",E715="",E715&lt;D715),"",E715-D715+1)</f>
        <v/>
      </c>
      <c r="I715" s="17" t="str">
        <f aca="false">IF(OR(H715="",C715=""),"",IF(F715="İptal",0,H715*IFERROR(INDEX(Ürünler!$B$5:$B$64,MATCH(C715,Ürünler!$A$5:$A$64,0)),0)-G715))</f>
        <v/>
      </c>
      <c r="J715" s="18" t="str">
        <f aca="false">IF(OR(H715="",C715="",F715="İptal"),"",IF(COUNTIFS($C$5:$C$1504,C715,$D$5:$D$1504,"&lt;="&amp;E715,$E$5:$E$1504,"&gt;="&amp;D715,$F$5:$F$1504,"&lt;&gt;İptal")&gt;1,"Çakışıyor",""))</f>
        <v/>
      </c>
    </row>
    <row r="716" customFormat="false" ht="15" hidden="false" customHeight="false" outlineLevel="0" collapsed="false">
      <c r="A716" s="12"/>
      <c r="B716" s="12"/>
      <c r="C716" s="13"/>
      <c r="D716" s="14"/>
      <c r="E716" s="14"/>
      <c r="F716" s="13"/>
      <c r="G716" s="15"/>
      <c r="H716" s="16" t="str">
        <f aca="false">IF(OR(D716="",E716="",E716&lt;D716),"",E716-D716+1)</f>
        <v/>
      </c>
      <c r="I716" s="17" t="str">
        <f aca="false">IF(OR(H716="",C716=""),"",IF(F716="İptal",0,H716*IFERROR(INDEX(Ürünler!$B$5:$B$64,MATCH(C716,Ürünler!$A$5:$A$64,0)),0)-G716))</f>
        <v/>
      </c>
      <c r="J716" s="18" t="str">
        <f aca="false">IF(OR(H716="",C716="",F716="İptal"),"",IF(COUNTIFS($C$5:$C$1504,C716,$D$5:$D$1504,"&lt;="&amp;E716,$E$5:$E$1504,"&gt;="&amp;D716,$F$5:$F$1504,"&lt;&gt;İptal")&gt;1,"Çakışıyor",""))</f>
        <v/>
      </c>
    </row>
    <row r="717" customFormat="false" ht="15" hidden="false" customHeight="false" outlineLevel="0" collapsed="false">
      <c r="A717" s="12"/>
      <c r="B717" s="12"/>
      <c r="C717" s="13"/>
      <c r="D717" s="14"/>
      <c r="E717" s="14"/>
      <c r="F717" s="13"/>
      <c r="G717" s="15"/>
      <c r="H717" s="16" t="str">
        <f aca="false">IF(OR(D717="",E717="",E717&lt;D717),"",E717-D717+1)</f>
        <v/>
      </c>
      <c r="I717" s="17" t="str">
        <f aca="false">IF(OR(H717="",C717=""),"",IF(F717="İptal",0,H717*IFERROR(INDEX(Ürünler!$B$5:$B$64,MATCH(C717,Ürünler!$A$5:$A$64,0)),0)-G717))</f>
        <v/>
      </c>
      <c r="J717" s="18" t="str">
        <f aca="false">IF(OR(H717="",C717="",F717="İptal"),"",IF(COUNTIFS($C$5:$C$1504,C717,$D$5:$D$1504,"&lt;="&amp;E717,$E$5:$E$1504,"&gt;="&amp;D717,$F$5:$F$1504,"&lt;&gt;İptal")&gt;1,"Çakışıyor",""))</f>
        <v/>
      </c>
    </row>
    <row r="718" customFormat="false" ht="15" hidden="false" customHeight="false" outlineLevel="0" collapsed="false">
      <c r="A718" s="12"/>
      <c r="B718" s="12"/>
      <c r="C718" s="13"/>
      <c r="D718" s="14"/>
      <c r="E718" s="14"/>
      <c r="F718" s="13"/>
      <c r="G718" s="15"/>
      <c r="H718" s="16" t="str">
        <f aca="false">IF(OR(D718="",E718="",E718&lt;D718),"",E718-D718+1)</f>
        <v/>
      </c>
      <c r="I718" s="17" t="str">
        <f aca="false">IF(OR(H718="",C718=""),"",IF(F718="İptal",0,H718*IFERROR(INDEX(Ürünler!$B$5:$B$64,MATCH(C718,Ürünler!$A$5:$A$64,0)),0)-G718))</f>
        <v/>
      </c>
      <c r="J718" s="18" t="str">
        <f aca="false">IF(OR(H718="",C718="",F718="İptal"),"",IF(COUNTIFS($C$5:$C$1504,C718,$D$5:$D$1504,"&lt;="&amp;E718,$E$5:$E$1504,"&gt;="&amp;D718,$F$5:$F$1504,"&lt;&gt;İptal")&gt;1,"Çakışıyor",""))</f>
        <v/>
      </c>
    </row>
    <row r="719" customFormat="false" ht="15" hidden="false" customHeight="false" outlineLevel="0" collapsed="false">
      <c r="A719" s="12"/>
      <c r="B719" s="12"/>
      <c r="C719" s="13"/>
      <c r="D719" s="14"/>
      <c r="E719" s="14"/>
      <c r="F719" s="13"/>
      <c r="G719" s="15"/>
      <c r="H719" s="16" t="str">
        <f aca="false">IF(OR(D719="",E719="",E719&lt;D719),"",E719-D719+1)</f>
        <v/>
      </c>
      <c r="I719" s="17" t="str">
        <f aca="false">IF(OR(H719="",C719=""),"",IF(F719="İptal",0,H719*IFERROR(INDEX(Ürünler!$B$5:$B$64,MATCH(C719,Ürünler!$A$5:$A$64,0)),0)-G719))</f>
        <v/>
      </c>
      <c r="J719" s="18" t="str">
        <f aca="false">IF(OR(H719="",C719="",F719="İptal"),"",IF(COUNTIFS($C$5:$C$1504,C719,$D$5:$D$1504,"&lt;="&amp;E719,$E$5:$E$1504,"&gt;="&amp;D719,$F$5:$F$1504,"&lt;&gt;İptal")&gt;1,"Çakışıyor",""))</f>
        <v/>
      </c>
    </row>
    <row r="720" customFormat="false" ht="15" hidden="false" customHeight="false" outlineLevel="0" collapsed="false">
      <c r="A720" s="12"/>
      <c r="B720" s="12"/>
      <c r="C720" s="13"/>
      <c r="D720" s="14"/>
      <c r="E720" s="14"/>
      <c r="F720" s="13"/>
      <c r="G720" s="15"/>
      <c r="H720" s="16" t="str">
        <f aca="false">IF(OR(D720="",E720="",E720&lt;D720),"",E720-D720+1)</f>
        <v/>
      </c>
      <c r="I720" s="17" t="str">
        <f aca="false">IF(OR(H720="",C720=""),"",IF(F720="İptal",0,H720*IFERROR(INDEX(Ürünler!$B$5:$B$64,MATCH(C720,Ürünler!$A$5:$A$64,0)),0)-G720))</f>
        <v/>
      </c>
      <c r="J720" s="18" t="str">
        <f aca="false">IF(OR(H720="",C720="",F720="İptal"),"",IF(COUNTIFS($C$5:$C$1504,C720,$D$5:$D$1504,"&lt;="&amp;E720,$E$5:$E$1504,"&gt;="&amp;D720,$F$5:$F$1504,"&lt;&gt;İptal")&gt;1,"Çakışıyor",""))</f>
        <v/>
      </c>
    </row>
    <row r="721" customFormat="false" ht="15" hidden="false" customHeight="false" outlineLevel="0" collapsed="false">
      <c r="A721" s="12"/>
      <c r="B721" s="12"/>
      <c r="C721" s="13"/>
      <c r="D721" s="14"/>
      <c r="E721" s="14"/>
      <c r="F721" s="13"/>
      <c r="G721" s="15"/>
      <c r="H721" s="16" t="str">
        <f aca="false">IF(OR(D721="",E721="",E721&lt;D721),"",E721-D721+1)</f>
        <v/>
      </c>
      <c r="I721" s="17" t="str">
        <f aca="false">IF(OR(H721="",C721=""),"",IF(F721="İptal",0,H721*IFERROR(INDEX(Ürünler!$B$5:$B$64,MATCH(C721,Ürünler!$A$5:$A$64,0)),0)-G721))</f>
        <v/>
      </c>
      <c r="J721" s="18" t="str">
        <f aca="false">IF(OR(H721="",C721="",F721="İptal"),"",IF(COUNTIFS($C$5:$C$1504,C721,$D$5:$D$1504,"&lt;="&amp;E721,$E$5:$E$1504,"&gt;="&amp;D721,$F$5:$F$1504,"&lt;&gt;İptal")&gt;1,"Çakışıyor",""))</f>
        <v/>
      </c>
    </row>
    <row r="722" customFormat="false" ht="15" hidden="false" customHeight="false" outlineLevel="0" collapsed="false">
      <c r="A722" s="12"/>
      <c r="B722" s="12"/>
      <c r="C722" s="13"/>
      <c r="D722" s="14"/>
      <c r="E722" s="14"/>
      <c r="F722" s="13"/>
      <c r="G722" s="15"/>
      <c r="H722" s="16" t="str">
        <f aca="false">IF(OR(D722="",E722="",E722&lt;D722),"",E722-D722+1)</f>
        <v/>
      </c>
      <c r="I722" s="17" t="str">
        <f aca="false">IF(OR(H722="",C722=""),"",IF(F722="İptal",0,H722*IFERROR(INDEX(Ürünler!$B$5:$B$64,MATCH(C722,Ürünler!$A$5:$A$64,0)),0)-G722))</f>
        <v/>
      </c>
      <c r="J722" s="18" t="str">
        <f aca="false">IF(OR(H722="",C722="",F722="İptal"),"",IF(COUNTIFS($C$5:$C$1504,C722,$D$5:$D$1504,"&lt;="&amp;E722,$E$5:$E$1504,"&gt;="&amp;D722,$F$5:$F$1504,"&lt;&gt;İptal")&gt;1,"Çakışıyor",""))</f>
        <v/>
      </c>
    </row>
    <row r="723" customFormat="false" ht="15" hidden="false" customHeight="false" outlineLevel="0" collapsed="false">
      <c r="A723" s="12"/>
      <c r="B723" s="12"/>
      <c r="C723" s="13"/>
      <c r="D723" s="14"/>
      <c r="E723" s="14"/>
      <c r="F723" s="13"/>
      <c r="G723" s="15"/>
      <c r="H723" s="16" t="str">
        <f aca="false">IF(OR(D723="",E723="",E723&lt;D723),"",E723-D723+1)</f>
        <v/>
      </c>
      <c r="I723" s="17" t="str">
        <f aca="false">IF(OR(H723="",C723=""),"",IF(F723="İptal",0,H723*IFERROR(INDEX(Ürünler!$B$5:$B$64,MATCH(C723,Ürünler!$A$5:$A$64,0)),0)-G723))</f>
        <v/>
      </c>
      <c r="J723" s="18" t="str">
        <f aca="false">IF(OR(H723="",C723="",F723="İptal"),"",IF(COUNTIFS($C$5:$C$1504,C723,$D$5:$D$1504,"&lt;="&amp;E723,$E$5:$E$1504,"&gt;="&amp;D723,$F$5:$F$1504,"&lt;&gt;İptal")&gt;1,"Çakışıyor",""))</f>
        <v/>
      </c>
    </row>
    <row r="724" customFormat="false" ht="15" hidden="false" customHeight="false" outlineLevel="0" collapsed="false">
      <c r="A724" s="12"/>
      <c r="B724" s="12"/>
      <c r="C724" s="13"/>
      <c r="D724" s="14"/>
      <c r="E724" s="14"/>
      <c r="F724" s="13"/>
      <c r="G724" s="15"/>
      <c r="H724" s="16" t="str">
        <f aca="false">IF(OR(D724="",E724="",E724&lt;D724),"",E724-D724+1)</f>
        <v/>
      </c>
      <c r="I724" s="17" t="str">
        <f aca="false">IF(OR(H724="",C724=""),"",IF(F724="İptal",0,H724*IFERROR(INDEX(Ürünler!$B$5:$B$64,MATCH(C724,Ürünler!$A$5:$A$64,0)),0)-G724))</f>
        <v/>
      </c>
      <c r="J724" s="18" t="str">
        <f aca="false">IF(OR(H724="",C724="",F724="İptal"),"",IF(COUNTIFS($C$5:$C$1504,C724,$D$5:$D$1504,"&lt;="&amp;E724,$E$5:$E$1504,"&gt;="&amp;D724,$F$5:$F$1504,"&lt;&gt;İptal")&gt;1,"Çakışıyor",""))</f>
        <v/>
      </c>
    </row>
    <row r="725" customFormat="false" ht="15" hidden="false" customHeight="false" outlineLevel="0" collapsed="false">
      <c r="A725" s="12"/>
      <c r="B725" s="12"/>
      <c r="C725" s="13"/>
      <c r="D725" s="14"/>
      <c r="E725" s="14"/>
      <c r="F725" s="13"/>
      <c r="G725" s="15"/>
      <c r="H725" s="16" t="str">
        <f aca="false">IF(OR(D725="",E725="",E725&lt;D725),"",E725-D725+1)</f>
        <v/>
      </c>
      <c r="I725" s="17" t="str">
        <f aca="false">IF(OR(H725="",C725=""),"",IF(F725="İptal",0,H725*IFERROR(INDEX(Ürünler!$B$5:$B$64,MATCH(C725,Ürünler!$A$5:$A$64,0)),0)-G725))</f>
        <v/>
      </c>
      <c r="J725" s="18" t="str">
        <f aca="false">IF(OR(H725="",C725="",F725="İptal"),"",IF(COUNTIFS($C$5:$C$1504,C725,$D$5:$D$1504,"&lt;="&amp;E725,$E$5:$E$1504,"&gt;="&amp;D725,$F$5:$F$1504,"&lt;&gt;İptal")&gt;1,"Çakışıyor",""))</f>
        <v/>
      </c>
    </row>
    <row r="726" customFormat="false" ht="15" hidden="false" customHeight="false" outlineLevel="0" collapsed="false">
      <c r="A726" s="12"/>
      <c r="B726" s="12"/>
      <c r="C726" s="13"/>
      <c r="D726" s="14"/>
      <c r="E726" s="14"/>
      <c r="F726" s="13"/>
      <c r="G726" s="15"/>
      <c r="H726" s="16" t="str">
        <f aca="false">IF(OR(D726="",E726="",E726&lt;D726),"",E726-D726+1)</f>
        <v/>
      </c>
      <c r="I726" s="17" t="str">
        <f aca="false">IF(OR(H726="",C726=""),"",IF(F726="İptal",0,H726*IFERROR(INDEX(Ürünler!$B$5:$B$64,MATCH(C726,Ürünler!$A$5:$A$64,0)),0)-G726))</f>
        <v/>
      </c>
      <c r="J726" s="18" t="str">
        <f aca="false">IF(OR(H726="",C726="",F726="İptal"),"",IF(COUNTIFS($C$5:$C$1504,C726,$D$5:$D$1504,"&lt;="&amp;E726,$E$5:$E$1504,"&gt;="&amp;D726,$F$5:$F$1504,"&lt;&gt;İptal")&gt;1,"Çakışıyor",""))</f>
        <v/>
      </c>
    </row>
    <row r="727" customFormat="false" ht="15" hidden="false" customHeight="false" outlineLevel="0" collapsed="false">
      <c r="A727" s="12"/>
      <c r="B727" s="12"/>
      <c r="C727" s="13"/>
      <c r="D727" s="14"/>
      <c r="E727" s="14"/>
      <c r="F727" s="13"/>
      <c r="G727" s="15"/>
      <c r="H727" s="16" t="str">
        <f aca="false">IF(OR(D727="",E727="",E727&lt;D727),"",E727-D727+1)</f>
        <v/>
      </c>
      <c r="I727" s="17" t="str">
        <f aca="false">IF(OR(H727="",C727=""),"",IF(F727="İptal",0,H727*IFERROR(INDEX(Ürünler!$B$5:$B$64,MATCH(C727,Ürünler!$A$5:$A$64,0)),0)-G727))</f>
        <v/>
      </c>
      <c r="J727" s="18" t="str">
        <f aca="false">IF(OR(H727="",C727="",F727="İptal"),"",IF(COUNTIFS($C$5:$C$1504,C727,$D$5:$D$1504,"&lt;="&amp;E727,$E$5:$E$1504,"&gt;="&amp;D727,$F$5:$F$1504,"&lt;&gt;İptal")&gt;1,"Çakışıyor",""))</f>
        <v/>
      </c>
    </row>
    <row r="728" customFormat="false" ht="15" hidden="false" customHeight="false" outlineLevel="0" collapsed="false">
      <c r="A728" s="12"/>
      <c r="B728" s="12"/>
      <c r="C728" s="13"/>
      <c r="D728" s="14"/>
      <c r="E728" s="14"/>
      <c r="F728" s="13"/>
      <c r="G728" s="15"/>
      <c r="H728" s="16" t="str">
        <f aca="false">IF(OR(D728="",E728="",E728&lt;D728),"",E728-D728+1)</f>
        <v/>
      </c>
      <c r="I728" s="17" t="str">
        <f aca="false">IF(OR(H728="",C728=""),"",IF(F728="İptal",0,H728*IFERROR(INDEX(Ürünler!$B$5:$B$64,MATCH(C728,Ürünler!$A$5:$A$64,0)),0)-G728))</f>
        <v/>
      </c>
      <c r="J728" s="18" t="str">
        <f aca="false">IF(OR(H728="",C728="",F728="İptal"),"",IF(COUNTIFS($C$5:$C$1504,C728,$D$5:$D$1504,"&lt;="&amp;E728,$E$5:$E$1504,"&gt;="&amp;D728,$F$5:$F$1504,"&lt;&gt;İptal")&gt;1,"Çakışıyor",""))</f>
        <v/>
      </c>
    </row>
    <row r="729" customFormat="false" ht="15" hidden="false" customHeight="false" outlineLevel="0" collapsed="false">
      <c r="A729" s="12"/>
      <c r="B729" s="12"/>
      <c r="C729" s="13"/>
      <c r="D729" s="14"/>
      <c r="E729" s="14"/>
      <c r="F729" s="13"/>
      <c r="G729" s="15"/>
      <c r="H729" s="16" t="str">
        <f aca="false">IF(OR(D729="",E729="",E729&lt;D729),"",E729-D729+1)</f>
        <v/>
      </c>
      <c r="I729" s="17" t="str">
        <f aca="false">IF(OR(H729="",C729=""),"",IF(F729="İptal",0,H729*IFERROR(INDEX(Ürünler!$B$5:$B$64,MATCH(C729,Ürünler!$A$5:$A$64,0)),0)-G729))</f>
        <v/>
      </c>
      <c r="J729" s="18" t="str">
        <f aca="false">IF(OR(H729="",C729="",F729="İptal"),"",IF(COUNTIFS($C$5:$C$1504,C729,$D$5:$D$1504,"&lt;="&amp;E729,$E$5:$E$1504,"&gt;="&amp;D729,$F$5:$F$1504,"&lt;&gt;İptal")&gt;1,"Çakışıyor",""))</f>
        <v/>
      </c>
    </row>
    <row r="730" customFormat="false" ht="15" hidden="false" customHeight="false" outlineLevel="0" collapsed="false">
      <c r="A730" s="12"/>
      <c r="B730" s="12"/>
      <c r="C730" s="13"/>
      <c r="D730" s="14"/>
      <c r="E730" s="14"/>
      <c r="F730" s="13"/>
      <c r="G730" s="15"/>
      <c r="H730" s="16" t="str">
        <f aca="false">IF(OR(D730="",E730="",E730&lt;D730),"",E730-D730+1)</f>
        <v/>
      </c>
      <c r="I730" s="17" t="str">
        <f aca="false">IF(OR(H730="",C730=""),"",IF(F730="İptal",0,H730*IFERROR(INDEX(Ürünler!$B$5:$B$64,MATCH(C730,Ürünler!$A$5:$A$64,0)),0)-G730))</f>
        <v/>
      </c>
      <c r="J730" s="18" t="str">
        <f aca="false">IF(OR(H730="",C730="",F730="İptal"),"",IF(COUNTIFS($C$5:$C$1504,C730,$D$5:$D$1504,"&lt;="&amp;E730,$E$5:$E$1504,"&gt;="&amp;D730,$F$5:$F$1504,"&lt;&gt;İptal")&gt;1,"Çakışıyor",""))</f>
        <v/>
      </c>
    </row>
    <row r="731" customFormat="false" ht="15" hidden="false" customHeight="false" outlineLevel="0" collapsed="false">
      <c r="A731" s="12"/>
      <c r="B731" s="12"/>
      <c r="C731" s="13"/>
      <c r="D731" s="14"/>
      <c r="E731" s="14"/>
      <c r="F731" s="13"/>
      <c r="G731" s="15"/>
      <c r="H731" s="16" t="str">
        <f aca="false">IF(OR(D731="",E731="",E731&lt;D731),"",E731-D731+1)</f>
        <v/>
      </c>
      <c r="I731" s="17" t="str">
        <f aca="false">IF(OR(H731="",C731=""),"",IF(F731="İptal",0,H731*IFERROR(INDEX(Ürünler!$B$5:$B$64,MATCH(C731,Ürünler!$A$5:$A$64,0)),0)-G731))</f>
        <v/>
      </c>
      <c r="J731" s="18" t="str">
        <f aca="false">IF(OR(H731="",C731="",F731="İptal"),"",IF(COUNTIFS($C$5:$C$1504,C731,$D$5:$D$1504,"&lt;="&amp;E731,$E$5:$E$1504,"&gt;="&amp;D731,$F$5:$F$1504,"&lt;&gt;İptal")&gt;1,"Çakışıyor",""))</f>
        <v/>
      </c>
    </row>
    <row r="732" customFormat="false" ht="15" hidden="false" customHeight="false" outlineLevel="0" collapsed="false">
      <c r="A732" s="12"/>
      <c r="B732" s="12"/>
      <c r="C732" s="13"/>
      <c r="D732" s="14"/>
      <c r="E732" s="14"/>
      <c r="F732" s="13"/>
      <c r="G732" s="15"/>
      <c r="H732" s="16" t="str">
        <f aca="false">IF(OR(D732="",E732="",E732&lt;D732),"",E732-D732+1)</f>
        <v/>
      </c>
      <c r="I732" s="17" t="str">
        <f aca="false">IF(OR(H732="",C732=""),"",IF(F732="İptal",0,H732*IFERROR(INDEX(Ürünler!$B$5:$B$64,MATCH(C732,Ürünler!$A$5:$A$64,0)),0)-G732))</f>
        <v/>
      </c>
      <c r="J732" s="18" t="str">
        <f aca="false">IF(OR(H732="",C732="",F732="İptal"),"",IF(COUNTIFS($C$5:$C$1504,C732,$D$5:$D$1504,"&lt;="&amp;E732,$E$5:$E$1504,"&gt;="&amp;D732,$F$5:$F$1504,"&lt;&gt;İptal")&gt;1,"Çakışıyor",""))</f>
        <v/>
      </c>
    </row>
    <row r="733" customFormat="false" ht="15" hidden="false" customHeight="false" outlineLevel="0" collapsed="false">
      <c r="A733" s="12"/>
      <c r="B733" s="12"/>
      <c r="C733" s="13"/>
      <c r="D733" s="14"/>
      <c r="E733" s="14"/>
      <c r="F733" s="13"/>
      <c r="G733" s="15"/>
      <c r="H733" s="16" t="str">
        <f aca="false">IF(OR(D733="",E733="",E733&lt;D733),"",E733-D733+1)</f>
        <v/>
      </c>
      <c r="I733" s="17" t="str">
        <f aca="false">IF(OR(H733="",C733=""),"",IF(F733="İptal",0,H733*IFERROR(INDEX(Ürünler!$B$5:$B$64,MATCH(C733,Ürünler!$A$5:$A$64,0)),0)-G733))</f>
        <v/>
      </c>
      <c r="J733" s="18" t="str">
        <f aca="false">IF(OR(H733="",C733="",F733="İptal"),"",IF(COUNTIFS($C$5:$C$1504,C733,$D$5:$D$1504,"&lt;="&amp;E733,$E$5:$E$1504,"&gt;="&amp;D733,$F$5:$F$1504,"&lt;&gt;İptal")&gt;1,"Çakışıyor",""))</f>
        <v/>
      </c>
    </row>
    <row r="734" customFormat="false" ht="15" hidden="false" customHeight="false" outlineLevel="0" collapsed="false">
      <c r="A734" s="12"/>
      <c r="B734" s="12"/>
      <c r="C734" s="13"/>
      <c r="D734" s="14"/>
      <c r="E734" s="14"/>
      <c r="F734" s="13"/>
      <c r="G734" s="15"/>
      <c r="H734" s="16" t="str">
        <f aca="false">IF(OR(D734="",E734="",E734&lt;D734),"",E734-D734+1)</f>
        <v/>
      </c>
      <c r="I734" s="17" t="str">
        <f aca="false">IF(OR(H734="",C734=""),"",IF(F734="İptal",0,H734*IFERROR(INDEX(Ürünler!$B$5:$B$64,MATCH(C734,Ürünler!$A$5:$A$64,0)),0)-G734))</f>
        <v/>
      </c>
      <c r="J734" s="18" t="str">
        <f aca="false">IF(OR(H734="",C734="",F734="İptal"),"",IF(COUNTIFS($C$5:$C$1504,C734,$D$5:$D$1504,"&lt;="&amp;E734,$E$5:$E$1504,"&gt;="&amp;D734,$F$5:$F$1504,"&lt;&gt;İptal")&gt;1,"Çakışıyor",""))</f>
        <v/>
      </c>
    </row>
    <row r="735" customFormat="false" ht="15" hidden="false" customHeight="false" outlineLevel="0" collapsed="false">
      <c r="A735" s="12"/>
      <c r="B735" s="12"/>
      <c r="C735" s="13"/>
      <c r="D735" s="14"/>
      <c r="E735" s="14"/>
      <c r="F735" s="13"/>
      <c r="G735" s="15"/>
      <c r="H735" s="16" t="str">
        <f aca="false">IF(OR(D735="",E735="",E735&lt;D735),"",E735-D735+1)</f>
        <v/>
      </c>
      <c r="I735" s="17" t="str">
        <f aca="false">IF(OR(H735="",C735=""),"",IF(F735="İptal",0,H735*IFERROR(INDEX(Ürünler!$B$5:$B$64,MATCH(C735,Ürünler!$A$5:$A$64,0)),0)-G735))</f>
        <v/>
      </c>
      <c r="J735" s="18" t="str">
        <f aca="false">IF(OR(H735="",C735="",F735="İptal"),"",IF(COUNTIFS($C$5:$C$1504,C735,$D$5:$D$1504,"&lt;="&amp;E735,$E$5:$E$1504,"&gt;="&amp;D735,$F$5:$F$1504,"&lt;&gt;İptal")&gt;1,"Çakışıyor",""))</f>
        <v/>
      </c>
    </row>
    <row r="736" customFormat="false" ht="15" hidden="false" customHeight="false" outlineLevel="0" collapsed="false">
      <c r="A736" s="12"/>
      <c r="B736" s="12"/>
      <c r="C736" s="13"/>
      <c r="D736" s="14"/>
      <c r="E736" s="14"/>
      <c r="F736" s="13"/>
      <c r="G736" s="15"/>
      <c r="H736" s="16" t="str">
        <f aca="false">IF(OR(D736="",E736="",E736&lt;D736),"",E736-D736+1)</f>
        <v/>
      </c>
      <c r="I736" s="17" t="str">
        <f aca="false">IF(OR(H736="",C736=""),"",IF(F736="İptal",0,H736*IFERROR(INDEX(Ürünler!$B$5:$B$64,MATCH(C736,Ürünler!$A$5:$A$64,0)),0)-G736))</f>
        <v/>
      </c>
      <c r="J736" s="18" t="str">
        <f aca="false">IF(OR(H736="",C736="",F736="İptal"),"",IF(COUNTIFS($C$5:$C$1504,C736,$D$5:$D$1504,"&lt;="&amp;E736,$E$5:$E$1504,"&gt;="&amp;D736,$F$5:$F$1504,"&lt;&gt;İptal")&gt;1,"Çakışıyor",""))</f>
        <v/>
      </c>
    </row>
    <row r="737" customFormat="false" ht="15" hidden="false" customHeight="false" outlineLevel="0" collapsed="false">
      <c r="A737" s="12"/>
      <c r="B737" s="12"/>
      <c r="C737" s="13"/>
      <c r="D737" s="14"/>
      <c r="E737" s="14"/>
      <c r="F737" s="13"/>
      <c r="G737" s="15"/>
      <c r="H737" s="16" t="str">
        <f aca="false">IF(OR(D737="",E737="",E737&lt;D737),"",E737-D737+1)</f>
        <v/>
      </c>
      <c r="I737" s="17" t="str">
        <f aca="false">IF(OR(H737="",C737=""),"",IF(F737="İptal",0,H737*IFERROR(INDEX(Ürünler!$B$5:$B$64,MATCH(C737,Ürünler!$A$5:$A$64,0)),0)-G737))</f>
        <v/>
      </c>
      <c r="J737" s="18" t="str">
        <f aca="false">IF(OR(H737="",C737="",F737="İptal"),"",IF(COUNTIFS($C$5:$C$1504,C737,$D$5:$D$1504,"&lt;="&amp;E737,$E$5:$E$1504,"&gt;="&amp;D737,$F$5:$F$1504,"&lt;&gt;İptal")&gt;1,"Çakışıyor",""))</f>
        <v/>
      </c>
    </row>
    <row r="738" customFormat="false" ht="15" hidden="false" customHeight="false" outlineLevel="0" collapsed="false">
      <c r="A738" s="12"/>
      <c r="B738" s="12"/>
      <c r="C738" s="13"/>
      <c r="D738" s="14"/>
      <c r="E738" s="14"/>
      <c r="F738" s="13"/>
      <c r="G738" s="15"/>
      <c r="H738" s="16" t="str">
        <f aca="false">IF(OR(D738="",E738="",E738&lt;D738),"",E738-D738+1)</f>
        <v/>
      </c>
      <c r="I738" s="17" t="str">
        <f aca="false">IF(OR(H738="",C738=""),"",IF(F738="İptal",0,H738*IFERROR(INDEX(Ürünler!$B$5:$B$64,MATCH(C738,Ürünler!$A$5:$A$64,0)),0)-G738))</f>
        <v/>
      </c>
      <c r="J738" s="18" t="str">
        <f aca="false">IF(OR(H738="",C738="",F738="İptal"),"",IF(COUNTIFS($C$5:$C$1504,C738,$D$5:$D$1504,"&lt;="&amp;E738,$E$5:$E$1504,"&gt;="&amp;D738,$F$5:$F$1504,"&lt;&gt;İptal")&gt;1,"Çakışıyor",""))</f>
        <v/>
      </c>
    </row>
    <row r="739" customFormat="false" ht="15" hidden="false" customHeight="false" outlineLevel="0" collapsed="false">
      <c r="A739" s="12"/>
      <c r="B739" s="12"/>
      <c r="C739" s="13"/>
      <c r="D739" s="14"/>
      <c r="E739" s="14"/>
      <c r="F739" s="13"/>
      <c r="G739" s="15"/>
      <c r="H739" s="16" t="str">
        <f aca="false">IF(OR(D739="",E739="",E739&lt;D739),"",E739-D739+1)</f>
        <v/>
      </c>
      <c r="I739" s="17" t="str">
        <f aca="false">IF(OR(H739="",C739=""),"",IF(F739="İptal",0,H739*IFERROR(INDEX(Ürünler!$B$5:$B$64,MATCH(C739,Ürünler!$A$5:$A$64,0)),0)-G739))</f>
        <v/>
      </c>
      <c r="J739" s="18" t="str">
        <f aca="false">IF(OR(H739="",C739="",F739="İptal"),"",IF(COUNTIFS($C$5:$C$1504,C739,$D$5:$D$1504,"&lt;="&amp;E739,$E$5:$E$1504,"&gt;="&amp;D739,$F$5:$F$1504,"&lt;&gt;İptal")&gt;1,"Çakışıyor",""))</f>
        <v/>
      </c>
    </row>
    <row r="740" customFormat="false" ht="15" hidden="false" customHeight="false" outlineLevel="0" collapsed="false">
      <c r="A740" s="12"/>
      <c r="B740" s="12"/>
      <c r="C740" s="13"/>
      <c r="D740" s="14"/>
      <c r="E740" s="14"/>
      <c r="F740" s="13"/>
      <c r="G740" s="15"/>
      <c r="H740" s="16" t="str">
        <f aca="false">IF(OR(D740="",E740="",E740&lt;D740),"",E740-D740+1)</f>
        <v/>
      </c>
      <c r="I740" s="17" t="str">
        <f aca="false">IF(OR(H740="",C740=""),"",IF(F740="İptal",0,H740*IFERROR(INDEX(Ürünler!$B$5:$B$64,MATCH(C740,Ürünler!$A$5:$A$64,0)),0)-G740))</f>
        <v/>
      </c>
      <c r="J740" s="18" t="str">
        <f aca="false">IF(OR(H740="",C740="",F740="İptal"),"",IF(COUNTIFS($C$5:$C$1504,C740,$D$5:$D$1504,"&lt;="&amp;E740,$E$5:$E$1504,"&gt;="&amp;D740,$F$5:$F$1504,"&lt;&gt;İptal")&gt;1,"Çakışıyor",""))</f>
        <v/>
      </c>
    </row>
    <row r="741" customFormat="false" ht="15" hidden="false" customHeight="false" outlineLevel="0" collapsed="false">
      <c r="A741" s="12"/>
      <c r="B741" s="12"/>
      <c r="C741" s="13"/>
      <c r="D741" s="14"/>
      <c r="E741" s="14"/>
      <c r="F741" s="13"/>
      <c r="G741" s="15"/>
      <c r="H741" s="16" t="str">
        <f aca="false">IF(OR(D741="",E741="",E741&lt;D741),"",E741-D741+1)</f>
        <v/>
      </c>
      <c r="I741" s="17" t="str">
        <f aca="false">IF(OR(H741="",C741=""),"",IF(F741="İptal",0,H741*IFERROR(INDEX(Ürünler!$B$5:$B$64,MATCH(C741,Ürünler!$A$5:$A$64,0)),0)-G741))</f>
        <v/>
      </c>
      <c r="J741" s="18" t="str">
        <f aca="false">IF(OR(H741="",C741="",F741="İptal"),"",IF(COUNTIFS($C$5:$C$1504,C741,$D$5:$D$1504,"&lt;="&amp;E741,$E$5:$E$1504,"&gt;="&amp;D741,$F$5:$F$1504,"&lt;&gt;İptal")&gt;1,"Çakışıyor",""))</f>
        <v/>
      </c>
    </row>
    <row r="742" customFormat="false" ht="15" hidden="false" customHeight="false" outlineLevel="0" collapsed="false">
      <c r="A742" s="12"/>
      <c r="B742" s="12"/>
      <c r="C742" s="13"/>
      <c r="D742" s="14"/>
      <c r="E742" s="14"/>
      <c r="F742" s="13"/>
      <c r="G742" s="15"/>
      <c r="H742" s="16" t="str">
        <f aca="false">IF(OR(D742="",E742="",E742&lt;D742),"",E742-D742+1)</f>
        <v/>
      </c>
      <c r="I742" s="17" t="str">
        <f aca="false">IF(OR(H742="",C742=""),"",IF(F742="İptal",0,H742*IFERROR(INDEX(Ürünler!$B$5:$B$64,MATCH(C742,Ürünler!$A$5:$A$64,0)),0)-G742))</f>
        <v/>
      </c>
      <c r="J742" s="18" t="str">
        <f aca="false">IF(OR(H742="",C742="",F742="İptal"),"",IF(COUNTIFS($C$5:$C$1504,C742,$D$5:$D$1504,"&lt;="&amp;E742,$E$5:$E$1504,"&gt;="&amp;D742,$F$5:$F$1504,"&lt;&gt;İptal")&gt;1,"Çakışıyor",""))</f>
        <v/>
      </c>
    </row>
    <row r="743" customFormat="false" ht="15" hidden="false" customHeight="false" outlineLevel="0" collapsed="false">
      <c r="A743" s="12"/>
      <c r="B743" s="12"/>
      <c r="C743" s="13"/>
      <c r="D743" s="14"/>
      <c r="E743" s="14"/>
      <c r="F743" s="13"/>
      <c r="G743" s="15"/>
      <c r="H743" s="16" t="str">
        <f aca="false">IF(OR(D743="",E743="",E743&lt;D743),"",E743-D743+1)</f>
        <v/>
      </c>
      <c r="I743" s="17" t="str">
        <f aca="false">IF(OR(H743="",C743=""),"",IF(F743="İptal",0,H743*IFERROR(INDEX(Ürünler!$B$5:$B$64,MATCH(C743,Ürünler!$A$5:$A$64,0)),0)-G743))</f>
        <v/>
      </c>
      <c r="J743" s="18" t="str">
        <f aca="false">IF(OR(H743="",C743="",F743="İptal"),"",IF(COUNTIFS($C$5:$C$1504,C743,$D$5:$D$1504,"&lt;="&amp;E743,$E$5:$E$1504,"&gt;="&amp;D743,$F$5:$F$1504,"&lt;&gt;İptal")&gt;1,"Çakışıyor",""))</f>
        <v/>
      </c>
    </row>
    <row r="744" customFormat="false" ht="15" hidden="false" customHeight="false" outlineLevel="0" collapsed="false">
      <c r="A744" s="12"/>
      <c r="B744" s="12"/>
      <c r="C744" s="13"/>
      <c r="D744" s="14"/>
      <c r="E744" s="14"/>
      <c r="F744" s="13"/>
      <c r="G744" s="15"/>
      <c r="H744" s="16" t="str">
        <f aca="false">IF(OR(D744="",E744="",E744&lt;D744),"",E744-D744+1)</f>
        <v/>
      </c>
      <c r="I744" s="17" t="str">
        <f aca="false">IF(OR(H744="",C744=""),"",IF(F744="İptal",0,H744*IFERROR(INDEX(Ürünler!$B$5:$B$64,MATCH(C744,Ürünler!$A$5:$A$64,0)),0)-G744))</f>
        <v/>
      </c>
      <c r="J744" s="18" t="str">
        <f aca="false">IF(OR(H744="",C744="",F744="İptal"),"",IF(COUNTIFS($C$5:$C$1504,C744,$D$5:$D$1504,"&lt;="&amp;E744,$E$5:$E$1504,"&gt;="&amp;D744,$F$5:$F$1504,"&lt;&gt;İptal")&gt;1,"Çakışıyor",""))</f>
        <v/>
      </c>
    </row>
    <row r="745" customFormat="false" ht="15" hidden="false" customHeight="false" outlineLevel="0" collapsed="false">
      <c r="A745" s="12"/>
      <c r="B745" s="12"/>
      <c r="C745" s="13"/>
      <c r="D745" s="14"/>
      <c r="E745" s="14"/>
      <c r="F745" s="13"/>
      <c r="G745" s="15"/>
      <c r="H745" s="16" t="str">
        <f aca="false">IF(OR(D745="",E745="",E745&lt;D745),"",E745-D745+1)</f>
        <v/>
      </c>
      <c r="I745" s="17" t="str">
        <f aca="false">IF(OR(H745="",C745=""),"",IF(F745="İptal",0,H745*IFERROR(INDEX(Ürünler!$B$5:$B$64,MATCH(C745,Ürünler!$A$5:$A$64,0)),0)-G745))</f>
        <v/>
      </c>
      <c r="J745" s="18" t="str">
        <f aca="false">IF(OR(H745="",C745="",F745="İptal"),"",IF(COUNTIFS($C$5:$C$1504,C745,$D$5:$D$1504,"&lt;="&amp;E745,$E$5:$E$1504,"&gt;="&amp;D745,$F$5:$F$1504,"&lt;&gt;İptal")&gt;1,"Çakışıyor",""))</f>
        <v/>
      </c>
    </row>
    <row r="746" customFormat="false" ht="15" hidden="false" customHeight="false" outlineLevel="0" collapsed="false">
      <c r="A746" s="12"/>
      <c r="B746" s="12"/>
      <c r="C746" s="13"/>
      <c r="D746" s="14"/>
      <c r="E746" s="14"/>
      <c r="F746" s="13"/>
      <c r="G746" s="15"/>
      <c r="H746" s="16" t="str">
        <f aca="false">IF(OR(D746="",E746="",E746&lt;D746),"",E746-D746+1)</f>
        <v/>
      </c>
      <c r="I746" s="17" t="str">
        <f aca="false">IF(OR(H746="",C746=""),"",IF(F746="İptal",0,H746*IFERROR(INDEX(Ürünler!$B$5:$B$64,MATCH(C746,Ürünler!$A$5:$A$64,0)),0)-G746))</f>
        <v/>
      </c>
      <c r="J746" s="18" t="str">
        <f aca="false">IF(OR(H746="",C746="",F746="İptal"),"",IF(COUNTIFS($C$5:$C$1504,C746,$D$5:$D$1504,"&lt;="&amp;E746,$E$5:$E$1504,"&gt;="&amp;D746,$F$5:$F$1504,"&lt;&gt;İptal")&gt;1,"Çakışıyor",""))</f>
        <v/>
      </c>
    </row>
    <row r="747" customFormat="false" ht="15" hidden="false" customHeight="false" outlineLevel="0" collapsed="false">
      <c r="A747" s="12"/>
      <c r="B747" s="12"/>
      <c r="C747" s="13"/>
      <c r="D747" s="14"/>
      <c r="E747" s="14"/>
      <c r="F747" s="13"/>
      <c r="G747" s="15"/>
      <c r="H747" s="16" t="str">
        <f aca="false">IF(OR(D747="",E747="",E747&lt;D747),"",E747-D747+1)</f>
        <v/>
      </c>
      <c r="I747" s="17" t="str">
        <f aca="false">IF(OR(H747="",C747=""),"",IF(F747="İptal",0,H747*IFERROR(INDEX(Ürünler!$B$5:$B$64,MATCH(C747,Ürünler!$A$5:$A$64,0)),0)-G747))</f>
        <v/>
      </c>
      <c r="J747" s="18" t="str">
        <f aca="false">IF(OR(H747="",C747="",F747="İptal"),"",IF(COUNTIFS($C$5:$C$1504,C747,$D$5:$D$1504,"&lt;="&amp;E747,$E$5:$E$1504,"&gt;="&amp;D747,$F$5:$F$1504,"&lt;&gt;İptal")&gt;1,"Çakışıyor",""))</f>
        <v/>
      </c>
    </row>
    <row r="748" customFormat="false" ht="15" hidden="false" customHeight="false" outlineLevel="0" collapsed="false">
      <c r="A748" s="12"/>
      <c r="B748" s="12"/>
      <c r="C748" s="13"/>
      <c r="D748" s="14"/>
      <c r="E748" s="14"/>
      <c r="F748" s="13"/>
      <c r="G748" s="15"/>
      <c r="H748" s="16" t="str">
        <f aca="false">IF(OR(D748="",E748="",E748&lt;D748),"",E748-D748+1)</f>
        <v/>
      </c>
      <c r="I748" s="17" t="str">
        <f aca="false">IF(OR(H748="",C748=""),"",IF(F748="İptal",0,H748*IFERROR(INDEX(Ürünler!$B$5:$B$64,MATCH(C748,Ürünler!$A$5:$A$64,0)),0)-G748))</f>
        <v/>
      </c>
      <c r="J748" s="18" t="str">
        <f aca="false">IF(OR(H748="",C748="",F748="İptal"),"",IF(COUNTIFS($C$5:$C$1504,C748,$D$5:$D$1504,"&lt;="&amp;E748,$E$5:$E$1504,"&gt;="&amp;D748,$F$5:$F$1504,"&lt;&gt;İptal")&gt;1,"Çakışıyor",""))</f>
        <v/>
      </c>
    </row>
    <row r="749" customFormat="false" ht="15" hidden="false" customHeight="false" outlineLevel="0" collapsed="false">
      <c r="A749" s="12"/>
      <c r="B749" s="12"/>
      <c r="C749" s="13"/>
      <c r="D749" s="14"/>
      <c r="E749" s="14"/>
      <c r="F749" s="13"/>
      <c r="G749" s="15"/>
      <c r="H749" s="16" t="str">
        <f aca="false">IF(OR(D749="",E749="",E749&lt;D749),"",E749-D749+1)</f>
        <v/>
      </c>
      <c r="I749" s="17" t="str">
        <f aca="false">IF(OR(H749="",C749=""),"",IF(F749="İptal",0,H749*IFERROR(INDEX(Ürünler!$B$5:$B$64,MATCH(C749,Ürünler!$A$5:$A$64,0)),0)-G749))</f>
        <v/>
      </c>
      <c r="J749" s="18" t="str">
        <f aca="false">IF(OR(H749="",C749="",F749="İptal"),"",IF(COUNTIFS($C$5:$C$1504,C749,$D$5:$D$1504,"&lt;="&amp;E749,$E$5:$E$1504,"&gt;="&amp;D749,$F$5:$F$1504,"&lt;&gt;İptal")&gt;1,"Çakışıyor",""))</f>
        <v/>
      </c>
    </row>
    <row r="750" customFormat="false" ht="15" hidden="false" customHeight="false" outlineLevel="0" collapsed="false">
      <c r="A750" s="12"/>
      <c r="B750" s="12"/>
      <c r="C750" s="13"/>
      <c r="D750" s="14"/>
      <c r="E750" s="14"/>
      <c r="F750" s="13"/>
      <c r="G750" s="15"/>
      <c r="H750" s="16" t="str">
        <f aca="false">IF(OR(D750="",E750="",E750&lt;D750),"",E750-D750+1)</f>
        <v/>
      </c>
      <c r="I750" s="17" t="str">
        <f aca="false">IF(OR(H750="",C750=""),"",IF(F750="İptal",0,H750*IFERROR(INDEX(Ürünler!$B$5:$B$64,MATCH(C750,Ürünler!$A$5:$A$64,0)),0)-G750))</f>
        <v/>
      </c>
      <c r="J750" s="18" t="str">
        <f aca="false">IF(OR(H750="",C750="",F750="İptal"),"",IF(COUNTIFS($C$5:$C$1504,C750,$D$5:$D$1504,"&lt;="&amp;E750,$E$5:$E$1504,"&gt;="&amp;D750,$F$5:$F$1504,"&lt;&gt;İptal")&gt;1,"Çakışıyor",""))</f>
        <v/>
      </c>
    </row>
    <row r="751" customFormat="false" ht="15" hidden="false" customHeight="false" outlineLevel="0" collapsed="false">
      <c r="A751" s="12"/>
      <c r="B751" s="12"/>
      <c r="C751" s="13"/>
      <c r="D751" s="14"/>
      <c r="E751" s="14"/>
      <c r="F751" s="13"/>
      <c r="G751" s="15"/>
      <c r="H751" s="16" t="str">
        <f aca="false">IF(OR(D751="",E751="",E751&lt;D751),"",E751-D751+1)</f>
        <v/>
      </c>
      <c r="I751" s="17" t="str">
        <f aca="false">IF(OR(H751="",C751=""),"",IF(F751="İptal",0,H751*IFERROR(INDEX(Ürünler!$B$5:$B$64,MATCH(C751,Ürünler!$A$5:$A$64,0)),0)-G751))</f>
        <v/>
      </c>
      <c r="J751" s="18" t="str">
        <f aca="false">IF(OR(H751="",C751="",F751="İptal"),"",IF(COUNTIFS($C$5:$C$1504,C751,$D$5:$D$1504,"&lt;="&amp;E751,$E$5:$E$1504,"&gt;="&amp;D751,$F$5:$F$1504,"&lt;&gt;İptal")&gt;1,"Çakışıyor",""))</f>
        <v/>
      </c>
    </row>
    <row r="752" customFormat="false" ht="15" hidden="false" customHeight="false" outlineLevel="0" collapsed="false">
      <c r="A752" s="12"/>
      <c r="B752" s="12"/>
      <c r="C752" s="13"/>
      <c r="D752" s="14"/>
      <c r="E752" s="14"/>
      <c r="F752" s="13"/>
      <c r="G752" s="15"/>
      <c r="H752" s="16" t="str">
        <f aca="false">IF(OR(D752="",E752="",E752&lt;D752),"",E752-D752+1)</f>
        <v/>
      </c>
      <c r="I752" s="17" t="str">
        <f aca="false">IF(OR(H752="",C752=""),"",IF(F752="İptal",0,H752*IFERROR(INDEX(Ürünler!$B$5:$B$64,MATCH(C752,Ürünler!$A$5:$A$64,0)),0)-G752))</f>
        <v/>
      </c>
      <c r="J752" s="18" t="str">
        <f aca="false">IF(OR(H752="",C752="",F752="İptal"),"",IF(COUNTIFS($C$5:$C$1504,C752,$D$5:$D$1504,"&lt;="&amp;E752,$E$5:$E$1504,"&gt;="&amp;D752,$F$5:$F$1504,"&lt;&gt;İptal")&gt;1,"Çakışıyor",""))</f>
        <v/>
      </c>
    </row>
    <row r="753" customFormat="false" ht="15" hidden="false" customHeight="false" outlineLevel="0" collapsed="false">
      <c r="A753" s="12"/>
      <c r="B753" s="12"/>
      <c r="C753" s="13"/>
      <c r="D753" s="14"/>
      <c r="E753" s="14"/>
      <c r="F753" s="13"/>
      <c r="G753" s="15"/>
      <c r="H753" s="16" t="str">
        <f aca="false">IF(OR(D753="",E753="",E753&lt;D753),"",E753-D753+1)</f>
        <v/>
      </c>
      <c r="I753" s="17" t="str">
        <f aca="false">IF(OR(H753="",C753=""),"",IF(F753="İptal",0,H753*IFERROR(INDEX(Ürünler!$B$5:$B$64,MATCH(C753,Ürünler!$A$5:$A$64,0)),0)-G753))</f>
        <v/>
      </c>
      <c r="J753" s="18" t="str">
        <f aca="false">IF(OR(H753="",C753="",F753="İptal"),"",IF(COUNTIFS($C$5:$C$1504,C753,$D$5:$D$1504,"&lt;="&amp;E753,$E$5:$E$1504,"&gt;="&amp;D753,$F$5:$F$1504,"&lt;&gt;İptal")&gt;1,"Çakışıyor",""))</f>
        <v/>
      </c>
    </row>
    <row r="754" customFormat="false" ht="15" hidden="false" customHeight="false" outlineLevel="0" collapsed="false">
      <c r="A754" s="12"/>
      <c r="B754" s="12"/>
      <c r="C754" s="13"/>
      <c r="D754" s="14"/>
      <c r="E754" s="14"/>
      <c r="F754" s="13"/>
      <c r="G754" s="15"/>
      <c r="H754" s="16" t="str">
        <f aca="false">IF(OR(D754="",E754="",E754&lt;D754),"",E754-D754+1)</f>
        <v/>
      </c>
      <c r="I754" s="17" t="str">
        <f aca="false">IF(OR(H754="",C754=""),"",IF(F754="İptal",0,H754*IFERROR(INDEX(Ürünler!$B$5:$B$64,MATCH(C754,Ürünler!$A$5:$A$64,0)),0)-G754))</f>
        <v/>
      </c>
      <c r="J754" s="18" t="str">
        <f aca="false">IF(OR(H754="",C754="",F754="İptal"),"",IF(COUNTIFS($C$5:$C$1504,C754,$D$5:$D$1504,"&lt;="&amp;E754,$E$5:$E$1504,"&gt;="&amp;D754,$F$5:$F$1504,"&lt;&gt;İptal")&gt;1,"Çakışıyor",""))</f>
        <v/>
      </c>
    </row>
    <row r="755" customFormat="false" ht="15" hidden="false" customHeight="false" outlineLevel="0" collapsed="false">
      <c r="A755" s="12"/>
      <c r="B755" s="12"/>
      <c r="C755" s="13"/>
      <c r="D755" s="14"/>
      <c r="E755" s="14"/>
      <c r="F755" s="13"/>
      <c r="G755" s="15"/>
      <c r="H755" s="16" t="str">
        <f aca="false">IF(OR(D755="",E755="",E755&lt;D755),"",E755-D755+1)</f>
        <v/>
      </c>
      <c r="I755" s="17" t="str">
        <f aca="false">IF(OR(H755="",C755=""),"",IF(F755="İptal",0,H755*IFERROR(INDEX(Ürünler!$B$5:$B$64,MATCH(C755,Ürünler!$A$5:$A$64,0)),0)-G755))</f>
        <v/>
      </c>
      <c r="J755" s="18" t="str">
        <f aca="false">IF(OR(H755="",C755="",F755="İptal"),"",IF(COUNTIFS($C$5:$C$1504,C755,$D$5:$D$1504,"&lt;="&amp;E755,$E$5:$E$1504,"&gt;="&amp;D755,$F$5:$F$1504,"&lt;&gt;İptal")&gt;1,"Çakışıyor",""))</f>
        <v/>
      </c>
    </row>
    <row r="756" customFormat="false" ht="15" hidden="false" customHeight="false" outlineLevel="0" collapsed="false">
      <c r="A756" s="12"/>
      <c r="B756" s="12"/>
      <c r="C756" s="13"/>
      <c r="D756" s="14"/>
      <c r="E756" s="14"/>
      <c r="F756" s="13"/>
      <c r="G756" s="15"/>
      <c r="H756" s="16" t="str">
        <f aca="false">IF(OR(D756="",E756="",E756&lt;D756),"",E756-D756+1)</f>
        <v/>
      </c>
      <c r="I756" s="17" t="str">
        <f aca="false">IF(OR(H756="",C756=""),"",IF(F756="İptal",0,H756*IFERROR(INDEX(Ürünler!$B$5:$B$64,MATCH(C756,Ürünler!$A$5:$A$64,0)),0)-G756))</f>
        <v/>
      </c>
      <c r="J756" s="18" t="str">
        <f aca="false">IF(OR(H756="",C756="",F756="İptal"),"",IF(COUNTIFS($C$5:$C$1504,C756,$D$5:$D$1504,"&lt;="&amp;E756,$E$5:$E$1504,"&gt;="&amp;D756,$F$5:$F$1504,"&lt;&gt;İptal")&gt;1,"Çakışıyor",""))</f>
        <v/>
      </c>
    </row>
    <row r="757" customFormat="false" ht="15" hidden="false" customHeight="false" outlineLevel="0" collapsed="false">
      <c r="A757" s="12"/>
      <c r="B757" s="12"/>
      <c r="C757" s="13"/>
      <c r="D757" s="14"/>
      <c r="E757" s="14"/>
      <c r="F757" s="13"/>
      <c r="G757" s="15"/>
      <c r="H757" s="16" t="str">
        <f aca="false">IF(OR(D757="",E757="",E757&lt;D757),"",E757-D757+1)</f>
        <v/>
      </c>
      <c r="I757" s="17" t="str">
        <f aca="false">IF(OR(H757="",C757=""),"",IF(F757="İptal",0,H757*IFERROR(INDEX(Ürünler!$B$5:$B$64,MATCH(C757,Ürünler!$A$5:$A$64,0)),0)-G757))</f>
        <v/>
      </c>
      <c r="J757" s="18" t="str">
        <f aca="false">IF(OR(H757="",C757="",F757="İptal"),"",IF(COUNTIFS($C$5:$C$1504,C757,$D$5:$D$1504,"&lt;="&amp;E757,$E$5:$E$1504,"&gt;="&amp;D757,$F$5:$F$1504,"&lt;&gt;İptal")&gt;1,"Çakışıyor",""))</f>
        <v/>
      </c>
    </row>
    <row r="758" customFormat="false" ht="15" hidden="false" customHeight="false" outlineLevel="0" collapsed="false">
      <c r="A758" s="12"/>
      <c r="B758" s="12"/>
      <c r="C758" s="13"/>
      <c r="D758" s="14"/>
      <c r="E758" s="14"/>
      <c r="F758" s="13"/>
      <c r="G758" s="15"/>
      <c r="H758" s="16" t="str">
        <f aca="false">IF(OR(D758="",E758="",E758&lt;D758),"",E758-D758+1)</f>
        <v/>
      </c>
      <c r="I758" s="17" t="str">
        <f aca="false">IF(OR(H758="",C758=""),"",IF(F758="İptal",0,H758*IFERROR(INDEX(Ürünler!$B$5:$B$64,MATCH(C758,Ürünler!$A$5:$A$64,0)),0)-G758))</f>
        <v/>
      </c>
      <c r="J758" s="18" t="str">
        <f aca="false">IF(OR(H758="",C758="",F758="İptal"),"",IF(COUNTIFS($C$5:$C$1504,C758,$D$5:$D$1504,"&lt;="&amp;E758,$E$5:$E$1504,"&gt;="&amp;D758,$F$5:$F$1504,"&lt;&gt;İptal")&gt;1,"Çakışıyor",""))</f>
        <v/>
      </c>
    </row>
    <row r="759" customFormat="false" ht="15" hidden="false" customHeight="false" outlineLevel="0" collapsed="false">
      <c r="A759" s="12"/>
      <c r="B759" s="12"/>
      <c r="C759" s="13"/>
      <c r="D759" s="14"/>
      <c r="E759" s="14"/>
      <c r="F759" s="13"/>
      <c r="G759" s="15"/>
      <c r="H759" s="16" t="str">
        <f aca="false">IF(OR(D759="",E759="",E759&lt;D759),"",E759-D759+1)</f>
        <v/>
      </c>
      <c r="I759" s="17" t="str">
        <f aca="false">IF(OR(H759="",C759=""),"",IF(F759="İptal",0,H759*IFERROR(INDEX(Ürünler!$B$5:$B$64,MATCH(C759,Ürünler!$A$5:$A$64,0)),0)-G759))</f>
        <v/>
      </c>
      <c r="J759" s="18" t="str">
        <f aca="false">IF(OR(H759="",C759="",F759="İptal"),"",IF(COUNTIFS($C$5:$C$1504,C759,$D$5:$D$1504,"&lt;="&amp;E759,$E$5:$E$1504,"&gt;="&amp;D759,$F$5:$F$1504,"&lt;&gt;İptal")&gt;1,"Çakışıyor",""))</f>
        <v/>
      </c>
    </row>
    <row r="760" customFormat="false" ht="15" hidden="false" customHeight="false" outlineLevel="0" collapsed="false">
      <c r="A760" s="12"/>
      <c r="B760" s="12"/>
      <c r="C760" s="13"/>
      <c r="D760" s="14"/>
      <c r="E760" s="14"/>
      <c r="F760" s="13"/>
      <c r="G760" s="15"/>
      <c r="H760" s="16" t="str">
        <f aca="false">IF(OR(D760="",E760="",E760&lt;D760),"",E760-D760+1)</f>
        <v/>
      </c>
      <c r="I760" s="17" t="str">
        <f aca="false">IF(OR(H760="",C760=""),"",IF(F760="İptal",0,H760*IFERROR(INDEX(Ürünler!$B$5:$B$64,MATCH(C760,Ürünler!$A$5:$A$64,0)),0)-G760))</f>
        <v/>
      </c>
      <c r="J760" s="18" t="str">
        <f aca="false">IF(OR(H760="",C760="",F760="İptal"),"",IF(COUNTIFS($C$5:$C$1504,C760,$D$5:$D$1504,"&lt;="&amp;E760,$E$5:$E$1504,"&gt;="&amp;D760,$F$5:$F$1504,"&lt;&gt;İptal")&gt;1,"Çakışıyor",""))</f>
        <v/>
      </c>
    </row>
    <row r="761" customFormat="false" ht="15" hidden="false" customHeight="false" outlineLevel="0" collapsed="false">
      <c r="A761" s="12"/>
      <c r="B761" s="12"/>
      <c r="C761" s="13"/>
      <c r="D761" s="14"/>
      <c r="E761" s="14"/>
      <c r="F761" s="13"/>
      <c r="G761" s="15"/>
      <c r="H761" s="16" t="str">
        <f aca="false">IF(OR(D761="",E761="",E761&lt;D761),"",E761-D761+1)</f>
        <v/>
      </c>
      <c r="I761" s="17" t="str">
        <f aca="false">IF(OR(H761="",C761=""),"",IF(F761="İptal",0,H761*IFERROR(INDEX(Ürünler!$B$5:$B$64,MATCH(C761,Ürünler!$A$5:$A$64,0)),0)-G761))</f>
        <v/>
      </c>
      <c r="J761" s="18" t="str">
        <f aca="false">IF(OR(H761="",C761="",F761="İptal"),"",IF(COUNTIFS($C$5:$C$1504,C761,$D$5:$D$1504,"&lt;="&amp;E761,$E$5:$E$1504,"&gt;="&amp;D761,$F$5:$F$1504,"&lt;&gt;İptal")&gt;1,"Çakışıyor",""))</f>
        <v/>
      </c>
    </row>
    <row r="762" customFormat="false" ht="15" hidden="false" customHeight="false" outlineLevel="0" collapsed="false">
      <c r="A762" s="12"/>
      <c r="B762" s="12"/>
      <c r="C762" s="13"/>
      <c r="D762" s="14"/>
      <c r="E762" s="14"/>
      <c r="F762" s="13"/>
      <c r="G762" s="15"/>
      <c r="H762" s="16" t="str">
        <f aca="false">IF(OR(D762="",E762="",E762&lt;D762),"",E762-D762+1)</f>
        <v/>
      </c>
      <c r="I762" s="17" t="str">
        <f aca="false">IF(OR(H762="",C762=""),"",IF(F762="İptal",0,H762*IFERROR(INDEX(Ürünler!$B$5:$B$64,MATCH(C762,Ürünler!$A$5:$A$64,0)),0)-G762))</f>
        <v/>
      </c>
      <c r="J762" s="18" t="str">
        <f aca="false">IF(OR(H762="",C762="",F762="İptal"),"",IF(COUNTIFS($C$5:$C$1504,C762,$D$5:$D$1504,"&lt;="&amp;E762,$E$5:$E$1504,"&gt;="&amp;D762,$F$5:$F$1504,"&lt;&gt;İptal")&gt;1,"Çakışıyor",""))</f>
        <v/>
      </c>
    </row>
    <row r="763" customFormat="false" ht="15" hidden="false" customHeight="false" outlineLevel="0" collapsed="false">
      <c r="A763" s="12"/>
      <c r="B763" s="12"/>
      <c r="C763" s="13"/>
      <c r="D763" s="14"/>
      <c r="E763" s="14"/>
      <c r="F763" s="13"/>
      <c r="G763" s="15"/>
      <c r="H763" s="16" t="str">
        <f aca="false">IF(OR(D763="",E763="",E763&lt;D763),"",E763-D763+1)</f>
        <v/>
      </c>
      <c r="I763" s="17" t="str">
        <f aca="false">IF(OR(H763="",C763=""),"",IF(F763="İptal",0,H763*IFERROR(INDEX(Ürünler!$B$5:$B$64,MATCH(C763,Ürünler!$A$5:$A$64,0)),0)-G763))</f>
        <v/>
      </c>
      <c r="J763" s="18" t="str">
        <f aca="false">IF(OR(H763="",C763="",F763="İptal"),"",IF(COUNTIFS($C$5:$C$1504,C763,$D$5:$D$1504,"&lt;="&amp;E763,$E$5:$E$1504,"&gt;="&amp;D763,$F$5:$F$1504,"&lt;&gt;İptal")&gt;1,"Çakışıyor",""))</f>
        <v/>
      </c>
    </row>
    <row r="764" customFormat="false" ht="15" hidden="false" customHeight="false" outlineLevel="0" collapsed="false">
      <c r="A764" s="12"/>
      <c r="B764" s="12"/>
      <c r="C764" s="13"/>
      <c r="D764" s="14"/>
      <c r="E764" s="14"/>
      <c r="F764" s="13"/>
      <c r="G764" s="15"/>
      <c r="H764" s="16" t="str">
        <f aca="false">IF(OR(D764="",E764="",E764&lt;D764),"",E764-D764+1)</f>
        <v/>
      </c>
      <c r="I764" s="17" t="str">
        <f aca="false">IF(OR(H764="",C764=""),"",IF(F764="İptal",0,H764*IFERROR(INDEX(Ürünler!$B$5:$B$64,MATCH(C764,Ürünler!$A$5:$A$64,0)),0)-G764))</f>
        <v/>
      </c>
      <c r="J764" s="18" t="str">
        <f aca="false">IF(OR(H764="",C764="",F764="İptal"),"",IF(COUNTIFS($C$5:$C$1504,C764,$D$5:$D$1504,"&lt;="&amp;E764,$E$5:$E$1504,"&gt;="&amp;D764,$F$5:$F$1504,"&lt;&gt;İptal")&gt;1,"Çakışıyor",""))</f>
        <v/>
      </c>
    </row>
    <row r="765" customFormat="false" ht="15" hidden="false" customHeight="false" outlineLevel="0" collapsed="false">
      <c r="A765" s="12"/>
      <c r="B765" s="12"/>
      <c r="C765" s="13"/>
      <c r="D765" s="14"/>
      <c r="E765" s="14"/>
      <c r="F765" s="13"/>
      <c r="G765" s="15"/>
      <c r="H765" s="16" t="str">
        <f aca="false">IF(OR(D765="",E765="",E765&lt;D765),"",E765-D765+1)</f>
        <v/>
      </c>
      <c r="I765" s="17" t="str">
        <f aca="false">IF(OR(H765="",C765=""),"",IF(F765="İptal",0,H765*IFERROR(INDEX(Ürünler!$B$5:$B$64,MATCH(C765,Ürünler!$A$5:$A$64,0)),0)-G765))</f>
        <v/>
      </c>
      <c r="J765" s="18" t="str">
        <f aca="false">IF(OR(H765="",C765="",F765="İptal"),"",IF(COUNTIFS($C$5:$C$1504,C765,$D$5:$D$1504,"&lt;="&amp;E765,$E$5:$E$1504,"&gt;="&amp;D765,$F$5:$F$1504,"&lt;&gt;İptal")&gt;1,"Çakışıyor",""))</f>
        <v/>
      </c>
    </row>
    <row r="766" customFormat="false" ht="15" hidden="false" customHeight="false" outlineLevel="0" collapsed="false">
      <c r="A766" s="12"/>
      <c r="B766" s="12"/>
      <c r="C766" s="13"/>
      <c r="D766" s="14"/>
      <c r="E766" s="14"/>
      <c r="F766" s="13"/>
      <c r="G766" s="15"/>
      <c r="H766" s="16" t="str">
        <f aca="false">IF(OR(D766="",E766="",E766&lt;D766),"",E766-D766+1)</f>
        <v/>
      </c>
      <c r="I766" s="17" t="str">
        <f aca="false">IF(OR(H766="",C766=""),"",IF(F766="İptal",0,H766*IFERROR(INDEX(Ürünler!$B$5:$B$64,MATCH(C766,Ürünler!$A$5:$A$64,0)),0)-G766))</f>
        <v/>
      </c>
      <c r="J766" s="18" t="str">
        <f aca="false">IF(OR(H766="",C766="",F766="İptal"),"",IF(COUNTIFS($C$5:$C$1504,C766,$D$5:$D$1504,"&lt;="&amp;E766,$E$5:$E$1504,"&gt;="&amp;D766,$F$5:$F$1504,"&lt;&gt;İptal")&gt;1,"Çakışıyor",""))</f>
        <v/>
      </c>
    </row>
    <row r="767" customFormat="false" ht="15" hidden="false" customHeight="false" outlineLevel="0" collapsed="false">
      <c r="A767" s="12"/>
      <c r="B767" s="12"/>
      <c r="C767" s="13"/>
      <c r="D767" s="14"/>
      <c r="E767" s="14"/>
      <c r="F767" s="13"/>
      <c r="G767" s="15"/>
      <c r="H767" s="16" t="str">
        <f aca="false">IF(OR(D767="",E767="",E767&lt;D767),"",E767-D767+1)</f>
        <v/>
      </c>
      <c r="I767" s="17" t="str">
        <f aca="false">IF(OR(H767="",C767=""),"",IF(F767="İptal",0,H767*IFERROR(INDEX(Ürünler!$B$5:$B$64,MATCH(C767,Ürünler!$A$5:$A$64,0)),0)-G767))</f>
        <v/>
      </c>
      <c r="J767" s="18" t="str">
        <f aca="false">IF(OR(H767="",C767="",F767="İptal"),"",IF(COUNTIFS($C$5:$C$1504,C767,$D$5:$D$1504,"&lt;="&amp;E767,$E$5:$E$1504,"&gt;="&amp;D767,$F$5:$F$1504,"&lt;&gt;İptal")&gt;1,"Çakışıyor",""))</f>
        <v/>
      </c>
    </row>
    <row r="768" customFormat="false" ht="15" hidden="false" customHeight="false" outlineLevel="0" collapsed="false">
      <c r="A768" s="12"/>
      <c r="B768" s="12"/>
      <c r="C768" s="13"/>
      <c r="D768" s="14"/>
      <c r="E768" s="14"/>
      <c r="F768" s="13"/>
      <c r="G768" s="15"/>
      <c r="H768" s="16" t="str">
        <f aca="false">IF(OR(D768="",E768="",E768&lt;D768),"",E768-D768+1)</f>
        <v/>
      </c>
      <c r="I768" s="17" t="str">
        <f aca="false">IF(OR(H768="",C768=""),"",IF(F768="İptal",0,H768*IFERROR(INDEX(Ürünler!$B$5:$B$64,MATCH(C768,Ürünler!$A$5:$A$64,0)),0)-G768))</f>
        <v/>
      </c>
      <c r="J768" s="18" t="str">
        <f aca="false">IF(OR(H768="",C768="",F768="İptal"),"",IF(COUNTIFS($C$5:$C$1504,C768,$D$5:$D$1504,"&lt;="&amp;E768,$E$5:$E$1504,"&gt;="&amp;D768,$F$5:$F$1504,"&lt;&gt;İptal")&gt;1,"Çakışıyor",""))</f>
        <v/>
      </c>
    </row>
    <row r="769" customFormat="false" ht="15" hidden="false" customHeight="false" outlineLevel="0" collapsed="false">
      <c r="A769" s="12"/>
      <c r="B769" s="12"/>
      <c r="C769" s="13"/>
      <c r="D769" s="14"/>
      <c r="E769" s="14"/>
      <c r="F769" s="13"/>
      <c r="G769" s="15"/>
      <c r="H769" s="16" t="str">
        <f aca="false">IF(OR(D769="",E769="",E769&lt;D769),"",E769-D769+1)</f>
        <v/>
      </c>
      <c r="I769" s="17" t="str">
        <f aca="false">IF(OR(H769="",C769=""),"",IF(F769="İptal",0,H769*IFERROR(INDEX(Ürünler!$B$5:$B$64,MATCH(C769,Ürünler!$A$5:$A$64,0)),0)-G769))</f>
        <v/>
      </c>
      <c r="J769" s="18" t="str">
        <f aca="false">IF(OR(H769="",C769="",F769="İptal"),"",IF(COUNTIFS($C$5:$C$1504,C769,$D$5:$D$1504,"&lt;="&amp;E769,$E$5:$E$1504,"&gt;="&amp;D769,$F$5:$F$1504,"&lt;&gt;İptal")&gt;1,"Çakışıyor",""))</f>
        <v/>
      </c>
    </row>
    <row r="770" customFormat="false" ht="15" hidden="false" customHeight="false" outlineLevel="0" collapsed="false">
      <c r="A770" s="12"/>
      <c r="B770" s="12"/>
      <c r="C770" s="13"/>
      <c r="D770" s="14"/>
      <c r="E770" s="14"/>
      <c r="F770" s="13"/>
      <c r="G770" s="15"/>
      <c r="H770" s="16" t="str">
        <f aca="false">IF(OR(D770="",E770="",E770&lt;D770),"",E770-D770+1)</f>
        <v/>
      </c>
      <c r="I770" s="17" t="str">
        <f aca="false">IF(OR(H770="",C770=""),"",IF(F770="İptal",0,H770*IFERROR(INDEX(Ürünler!$B$5:$B$64,MATCH(C770,Ürünler!$A$5:$A$64,0)),0)-G770))</f>
        <v/>
      </c>
      <c r="J770" s="18" t="str">
        <f aca="false">IF(OR(H770="",C770="",F770="İptal"),"",IF(COUNTIFS($C$5:$C$1504,C770,$D$5:$D$1504,"&lt;="&amp;E770,$E$5:$E$1504,"&gt;="&amp;D770,$F$5:$F$1504,"&lt;&gt;İptal")&gt;1,"Çakışıyor",""))</f>
        <v/>
      </c>
    </row>
    <row r="771" customFormat="false" ht="15" hidden="false" customHeight="false" outlineLevel="0" collapsed="false">
      <c r="A771" s="12"/>
      <c r="B771" s="12"/>
      <c r="C771" s="13"/>
      <c r="D771" s="14"/>
      <c r="E771" s="14"/>
      <c r="F771" s="13"/>
      <c r="G771" s="15"/>
      <c r="H771" s="16" t="str">
        <f aca="false">IF(OR(D771="",E771="",E771&lt;D771),"",E771-D771+1)</f>
        <v/>
      </c>
      <c r="I771" s="17" t="str">
        <f aca="false">IF(OR(H771="",C771=""),"",IF(F771="İptal",0,H771*IFERROR(INDEX(Ürünler!$B$5:$B$64,MATCH(C771,Ürünler!$A$5:$A$64,0)),0)-G771))</f>
        <v/>
      </c>
      <c r="J771" s="18" t="str">
        <f aca="false">IF(OR(H771="",C771="",F771="İptal"),"",IF(COUNTIFS($C$5:$C$1504,C771,$D$5:$D$1504,"&lt;="&amp;E771,$E$5:$E$1504,"&gt;="&amp;D771,$F$5:$F$1504,"&lt;&gt;İptal")&gt;1,"Çakışıyor",""))</f>
        <v/>
      </c>
    </row>
    <row r="772" customFormat="false" ht="15" hidden="false" customHeight="false" outlineLevel="0" collapsed="false">
      <c r="A772" s="12"/>
      <c r="B772" s="12"/>
      <c r="C772" s="13"/>
      <c r="D772" s="14"/>
      <c r="E772" s="14"/>
      <c r="F772" s="13"/>
      <c r="G772" s="15"/>
      <c r="H772" s="16" t="str">
        <f aca="false">IF(OR(D772="",E772="",E772&lt;D772),"",E772-D772+1)</f>
        <v/>
      </c>
      <c r="I772" s="17" t="str">
        <f aca="false">IF(OR(H772="",C772=""),"",IF(F772="İptal",0,H772*IFERROR(INDEX(Ürünler!$B$5:$B$64,MATCH(C772,Ürünler!$A$5:$A$64,0)),0)-G772))</f>
        <v/>
      </c>
      <c r="J772" s="18" t="str">
        <f aca="false">IF(OR(H772="",C772="",F772="İptal"),"",IF(COUNTIFS($C$5:$C$1504,C772,$D$5:$D$1504,"&lt;="&amp;E772,$E$5:$E$1504,"&gt;="&amp;D772,$F$5:$F$1504,"&lt;&gt;İptal")&gt;1,"Çakışıyor",""))</f>
        <v/>
      </c>
    </row>
    <row r="773" customFormat="false" ht="15" hidden="false" customHeight="false" outlineLevel="0" collapsed="false">
      <c r="A773" s="12"/>
      <c r="B773" s="12"/>
      <c r="C773" s="13"/>
      <c r="D773" s="14"/>
      <c r="E773" s="14"/>
      <c r="F773" s="13"/>
      <c r="G773" s="15"/>
      <c r="H773" s="16" t="str">
        <f aca="false">IF(OR(D773="",E773="",E773&lt;D773),"",E773-D773+1)</f>
        <v/>
      </c>
      <c r="I773" s="17" t="str">
        <f aca="false">IF(OR(H773="",C773=""),"",IF(F773="İptal",0,H773*IFERROR(INDEX(Ürünler!$B$5:$B$64,MATCH(C773,Ürünler!$A$5:$A$64,0)),0)-G773))</f>
        <v/>
      </c>
      <c r="J773" s="18" t="str">
        <f aca="false">IF(OR(H773="",C773="",F773="İptal"),"",IF(COUNTIFS($C$5:$C$1504,C773,$D$5:$D$1504,"&lt;="&amp;E773,$E$5:$E$1504,"&gt;="&amp;D773,$F$5:$F$1504,"&lt;&gt;İptal")&gt;1,"Çakışıyor",""))</f>
        <v/>
      </c>
    </row>
    <row r="774" customFormat="false" ht="15" hidden="false" customHeight="false" outlineLevel="0" collapsed="false">
      <c r="A774" s="12"/>
      <c r="B774" s="12"/>
      <c r="C774" s="13"/>
      <c r="D774" s="14"/>
      <c r="E774" s="14"/>
      <c r="F774" s="13"/>
      <c r="G774" s="15"/>
      <c r="H774" s="16" t="str">
        <f aca="false">IF(OR(D774="",E774="",E774&lt;D774),"",E774-D774+1)</f>
        <v/>
      </c>
      <c r="I774" s="17" t="str">
        <f aca="false">IF(OR(H774="",C774=""),"",IF(F774="İptal",0,H774*IFERROR(INDEX(Ürünler!$B$5:$B$64,MATCH(C774,Ürünler!$A$5:$A$64,0)),0)-G774))</f>
        <v/>
      </c>
      <c r="J774" s="18" t="str">
        <f aca="false">IF(OR(H774="",C774="",F774="İptal"),"",IF(COUNTIFS($C$5:$C$1504,C774,$D$5:$D$1504,"&lt;="&amp;E774,$E$5:$E$1504,"&gt;="&amp;D774,$F$5:$F$1504,"&lt;&gt;İptal")&gt;1,"Çakışıyor",""))</f>
        <v/>
      </c>
    </row>
    <row r="775" customFormat="false" ht="15" hidden="false" customHeight="false" outlineLevel="0" collapsed="false">
      <c r="A775" s="12"/>
      <c r="B775" s="12"/>
      <c r="C775" s="13"/>
      <c r="D775" s="14"/>
      <c r="E775" s="14"/>
      <c r="F775" s="13"/>
      <c r="G775" s="15"/>
      <c r="H775" s="16" t="str">
        <f aca="false">IF(OR(D775="",E775="",E775&lt;D775),"",E775-D775+1)</f>
        <v/>
      </c>
      <c r="I775" s="17" t="str">
        <f aca="false">IF(OR(H775="",C775=""),"",IF(F775="İptal",0,H775*IFERROR(INDEX(Ürünler!$B$5:$B$64,MATCH(C775,Ürünler!$A$5:$A$64,0)),0)-G775))</f>
        <v/>
      </c>
      <c r="J775" s="18" t="str">
        <f aca="false">IF(OR(H775="",C775="",F775="İptal"),"",IF(COUNTIFS($C$5:$C$1504,C775,$D$5:$D$1504,"&lt;="&amp;E775,$E$5:$E$1504,"&gt;="&amp;D775,$F$5:$F$1504,"&lt;&gt;İptal")&gt;1,"Çakışıyor",""))</f>
        <v/>
      </c>
    </row>
    <row r="776" customFormat="false" ht="15" hidden="false" customHeight="false" outlineLevel="0" collapsed="false">
      <c r="A776" s="12"/>
      <c r="B776" s="12"/>
      <c r="C776" s="13"/>
      <c r="D776" s="14"/>
      <c r="E776" s="14"/>
      <c r="F776" s="13"/>
      <c r="G776" s="15"/>
      <c r="H776" s="16" t="str">
        <f aca="false">IF(OR(D776="",E776="",E776&lt;D776),"",E776-D776+1)</f>
        <v/>
      </c>
      <c r="I776" s="17" t="str">
        <f aca="false">IF(OR(H776="",C776=""),"",IF(F776="İptal",0,H776*IFERROR(INDEX(Ürünler!$B$5:$B$64,MATCH(C776,Ürünler!$A$5:$A$64,0)),0)-G776))</f>
        <v/>
      </c>
      <c r="J776" s="18" t="str">
        <f aca="false">IF(OR(H776="",C776="",F776="İptal"),"",IF(COUNTIFS($C$5:$C$1504,C776,$D$5:$D$1504,"&lt;="&amp;E776,$E$5:$E$1504,"&gt;="&amp;D776,$F$5:$F$1504,"&lt;&gt;İptal")&gt;1,"Çakışıyor",""))</f>
        <v/>
      </c>
    </row>
    <row r="777" customFormat="false" ht="15" hidden="false" customHeight="false" outlineLevel="0" collapsed="false">
      <c r="A777" s="12"/>
      <c r="B777" s="12"/>
      <c r="C777" s="13"/>
      <c r="D777" s="14"/>
      <c r="E777" s="14"/>
      <c r="F777" s="13"/>
      <c r="G777" s="15"/>
      <c r="H777" s="16" t="str">
        <f aca="false">IF(OR(D777="",E777="",E777&lt;D777),"",E777-D777+1)</f>
        <v/>
      </c>
      <c r="I777" s="17" t="str">
        <f aca="false">IF(OR(H777="",C777=""),"",IF(F777="İptal",0,H777*IFERROR(INDEX(Ürünler!$B$5:$B$64,MATCH(C777,Ürünler!$A$5:$A$64,0)),0)-G777))</f>
        <v/>
      </c>
      <c r="J777" s="18" t="str">
        <f aca="false">IF(OR(H777="",C777="",F777="İptal"),"",IF(COUNTIFS($C$5:$C$1504,C777,$D$5:$D$1504,"&lt;="&amp;E777,$E$5:$E$1504,"&gt;="&amp;D777,$F$5:$F$1504,"&lt;&gt;İptal")&gt;1,"Çakışıyor",""))</f>
        <v/>
      </c>
    </row>
    <row r="778" customFormat="false" ht="15" hidden="false" customHeight="false" outlineLevel="0" collapsed="false">
      <c r="A778" s="12"/>
      <c r="B778" s="12"/>
      <c r="C778" s="13"/>
      <c r="D778" s="14"/>
      <c r="E778" s="14"/>
      <c r="F778" s="13"/>
      <c r="G778" s="15"/>
      <c r="H778" s="16" t="str">
        <f aca="false">IF(OR(D778="",E778="",E778&lt;D778),"",E778-D778+1)</f>
        <v/>
      </c>
      <c r="I778" s="17" t="str">
        <f aca="false">IF(OR(H778="",C778=""),"",IF(F778="İptal",0,H778*IFERROR(INDEX(Ürünler!$B$5:$B$64,MATCH(C778,Ürünler!$A$5:$A$64,0)),0)-G778))</f>
        <v/>
      </c>
      <c r="J778" s="18" t="str">
        <f aca="false">IF(OR(H778="",C778="",F778="İptal"),"",IF(COUNTIFS($C$5:$C$1504,C778,$D$5:$D$1504,"&lt;="&amp;E778,$E$5:$E$1504,"&gt;="&amp;D778,$F$5:$F$1504,"&lt;&gt;İptal")&gt;1,"Çakışıyor",""))</f>
        <v/>
      </c>
    </row>
    <row r="779" customFormat="false" ht="15" hidden="false" customHeight="false" outlineLevel="0" collapsed="false">
      <c r="A779" s="12"/>
      <c r="B779" s="12"/>
      <c r="C779" s="13"/>
      <c r="D779" s="14"/>
      <c r="E779" s="14"/>
      <c r="F779" s="13"/>
      <c r="G779" s="15"/>
      <c r="H779" s="16" t="str">
        <f aca="false">IF(OR(D779="",E779="",E779&lt;D779),"",E779-D779+1)</f>
        <v/>
      </c>
      <c r="I779" s="17" t="str">
        <f aca="false">IF(OR(H779="",C779=""),"",IF(F779="İptal",0,H779*IFERROR(INDEX(Ürünler!$B$5:$B$64,MATCH(C779,Ürünler!$A$5:$A$64,0)),0)-G779))</f>
        <v/>
      </c>
      <c r="J779" s="18" t="str">
        <f aca="false">IF(OR(H779="",C779="",F779="İptal"),"",IF(COUNTIFS($C$5:$C$1504,C779,$D$5:$D$1504,"&lt;="&amp;E779,$E$5:$E$1504,"&gt;="&amp;D779,$F$5:$F$1504,"&lt;&gt;İptal")&gt;1,"Çakışıyor",""))</f>
        <v/>
      </c>
    </row>
    <row r="780" customFormat="false" ht="15" hidden="false" customHeight="false" outlineLevel="0" collapsed="false">
      <c r="A780" s="12"/>
      <c r="B780" s="12"/>
      <c r="C780" s="13"/>
      <c r="D780" s="14"/>
      <c r="E780" s="14"/>
      <c r="F780" s="13"/>
      <c r="G780" s="15"/>
      <c r="H780" s="16" t="str">
        <f aca="false">IF(OR(D780="",E780="",E780&lt;D780),"",E780-D780+1)</f>
        <v/>
      </c>
      <c r="I780" s="17" t="str">
        <f aca="false">IF(OR(H780="",C780=""),"",IF(F780="İptal",0,H780*IFERROR(INDEX(Ürünler!$B$5:$B$64,MATCH(C780,Ürünler!$A$5:$A$64,0)),0)-G780))</f>
        <v/>
      </c>
      <c r="J780" s="18" t="str">
        <f aca="false">IF(OR(H780="",C780="",F780="İptal"),"",IF(COUNTIFS($C$5:$C$1504,C780,$D$5:$D$1504,"&lt;="&amp;E780,$E$5:$E$1504,"&gt;="&amp;D780,$F$5:$F$1504,"&lt;&gt;İptal")&gt;1,"Çakışıyor",""))</f>
        <v/>
      </c>
    </row>
    <row r="781" customFormat="false" ht="15" hidden="false" customHeight="false" outlineLevel="0" collapsed="false">
      <c r="A781" s="12"/>
      <c r="B781" s="12"/>
      <c r="C781" s="13"/>
      <c r="D781" s="14"/>
      <c r="E781" s="14"/>
      <c r="F781" s="13"/>
      <c r="G781" s="15"/>
      <c r="H781" s="16" t="str">
        <f aca="false">IF(OR(D781="",E781="",E781&lt;D781),"",E781-D781+1)</f>
        <v/>
      </c>
      <c r="I781" s="17" t="str">
        <f aca="false">IF(OR(H781="",C781=""),"",IF(F781="İptal",0,H781*IFERROR(INDEX(Ürünler!$B$5:$B$64,MATCH(C781,Ürünler!$A$5:$A$64,0)),0)-G781))</f>
        <v/>
      </c>
      <c r="J781" s="18" t="str">
        <f aca="false">IF(OR(H781="",C781="",F781="İptal"),"",IF(COUNTIFS($C$5:$C$1504,C781,$D$5:$D$1504,"&lt;="&amp;E781,$E$5:$E$1504,"&gt;="&amp;D781,$F$5:$F$1504,"&lt;&gt;İptal")&gt;1,"Çakışıyor",""))</f>
        <v/>
      </c>
    </row>
    <row r="782" customFormat="false" ht="15" hidden="false" customHeight="false" outlineLevel="0" collapsed="false">
      <c r="A782" s="12"/>
      <c r="B782" s="12"/>
      <c r="C782" s="13"/>
      <c r="D782" s="14"/>
      <c r="E782" s="14"/>
      <c r="F782" s="13"/>
      <c r="G782" s="15"/>
      <c r="H782" s="16" t="str">
        <f aca="false">IF(OR(D782="",E782="",E782&lt;D782),"",E782-D782+1)</f>
        <v/>
      </c>
      <c r="I782" s="17" t="str">
        <f aca="false">IF(OR(H782="",C782=""),"",IF(F782="İptal",0,H782*IFERROR(INDEX(Ürünler!$B$5:$B$64,MATCH(C782,Ürünler!$A$5:$A$64,0)),0)-G782))</f>
        <v/>
      </c>
      <c r="J782" s="18" t="str">
        <f aca="false">IF(OR(H782="",C782="",F782="İptal"),"",IF(COUNTIFS($C$5:$C$1504,C782,$D$5:$D$1504,"&lt;="&amp;E782,$E$5:$E$1504,"&gt;="&amp;D782,$F$5:$F$1504,"&lt;&gt;İptal")&gt;1,"Çakışıyor",""))</f>
        <v/>
      </c>
    </row>
    <row r="783" customFormat="false" ht="15" hidden="false" customHeight="false" outlineLevel="0" collapsed="false">
      <c r="A783" s="12"/>
      <c r="B783" s="12"/>
      <c r="C783" s="13"/>
      <c r="D783" s="14"/>
      <c r="E783" s="14"/>
      <c r="F783" s="13"/>
      <c r="G783" s="15"/>
      <c r="H783" s="16" t="str">
        <f aca="false">IF(OR(D783="",E783="",E783&lt;D783),"",E783-D783+1)</f>
        <v/>
      </c>
      <c r="I783" s="17" t="str">
        <f aca="false">IF(OR(H783="",C783=""),"",IF(F783="İptal",0,H783*IFERROR(INDEX(Ürünler!$B$5:$B$64,MATCH(C783,Ürünler!$A$5:$A$64,0)),0)-G783))</f>
        <v/>
      </c>
      <c r="J783" s="18" t="str">
        <f aca="false">IF(OR(H783="",C783="",F783="İptal"),"",IF(COUNTIFS($C$5:$C$1504,C783,$D$5:$D$1504,"&lt;="&amp;E783,$E$5:$E$1504,"&gt;="&amp;D783,$F$5:$F$1504,"&lt;&gt;İptal")&gt;1,"Çakışıyor",""))</f>
        <v/>
      </c>
    </row>
    <row r="784" customFormat="false" ht="15" hidden="false" customHeight="false" outlineLevel="0" collapsed="false">
      <c r="A784" s="12"/>
      <c r="B784" s="12"/>
      <c r="C784" s="13"/>
      <c r="D784" s="14"/>
      <c r="E784" s="14"/>
      <c r="F784" s="13"/>
      <c r="G784" s="15"/>
      <c r="H784" s="16" t="str">
        <f aca="false">IF(OR(D784="",E784="",E784&lt;D784),"",E784-D784+1)</f>
        <v/>
      </c>
      <c r="I784" s="17" t="str">
        <f aca="false">IF(OR(H784="",C784=""),"",IF(F784="İptal",0,H784*IFERROR(INDEX(Ürünler!$B$5:$B$64,MATCH(C784,Ürünler!$A$5:$A$64,0)),0)-G784))</f>
        <v/>
      </c>
      <c r="J784" s="18" t="str">
        <f aca="false">IF(OR(H784="",C784="",F784="İptal"),"",IF(COUNTIFS($C$5:$C$1504,C784,$D$5:$D$1504,"&lt;="&amp;E784,$E$5:$E$1504,"&gt;="&amp;D784,$F$5:$F$1504,"&lt;&gt;İptal")&gt;1,"Çakışıyor",""))</f>
        <v/>
      </c>
    </row>
    <row r="785" customFormat="false" ht="15" hidden="false" customHeight="false" outlineLevel="0" collapsed="false">
      <c r="A785" s="12"/>
      <c r="B785" s="12"/>
      <c r="C785" s="13"/>
      <c r="D785" s="14"/>
      <c r="E785" s="14"/>
      <c r="F785" s="13"/>
      <c r="G785" s="15"/>
      <c r="H785" s="16" t="str">
        <f aca="false">IF(OR(D785="",E785="",E785&lt;D785),"",E785-D785+1)</f>
        <v/>
      </c>
      <c r="I785" s="17" t="str">
        <f aca="false">IF(OR(H785="",C785=""),"",IF(F785="İptal",0,H785*IFERROR(INDEX(Ürünler!$B$5:$B$64,MATCH(C785,Ürünler!$A$5:$A$64,0)),0)-G785))</f>
        <v/>
      </c>
      <c r="J785" s="18" t="str">
        <f aca="false">IF(OR(H785="",C785="",F785="İptal"),"",IF(COUNTIFS($C$5:$C$1504,C785,$D$5:$D$1504,"&lt;="&amp;E785,$E$5:$E$1504,"&gt;="&amp;D785,$F$5:$F$1504,"&lt;&gt;İptal")&gt;1,"Çakışıyor",""))</f>
        <v/>
      </c>
    </row>
    <row r="786" customFormat="false" ht="15" hidden="false" customHeight="false" outlineLevel="0" collapsed="false">
      <c r="A786" s="12"/>
      <c r="B786" s="12"/>
      <c r="C786" s="13"/>
      <c r="D786" s="14"/>
      <c r="E786" s="14"/>
      <c r="F786" s="13"/>
      <c r="G786" s="15"/>
      <c r="H786" s="16" t="str">
        <f aca="false">IF(OR(D786="",E786="",E786&lt;D786),"",E786-D786+1)</f>
        <v/>
      </c>
      <c r="I786" s="17" t="str">
        <f aca="false">IF(OR(H786="",C786=""),"",IF(F786="İptal",0,H786*IFERROR(INDEX(Ürünler!$B$5:$B$64,MATCH(C786,Ürünler!$A$5:$A$64,0)),0)-G786))</f>
        <v/>
      </c>
      <c r="J786" s="18" t="str">
        <f aca="false">IF(OR(H786="",C786="",F786="İptal"),"",IF(COUNTIFS($C$5:$C$1504,C786,$D$5:$D$1504,"&lt;="&amp;E786,$E$5:$E$1504,"&gt;="&amp;D786,$F$5:$F$1504,"&lt;&gt;İptal")&gt;1,"Çakışıyor",""))</f>
        <v/>
      </c>
    </row>
    <row r="787" customFormat="false" ht="15" hidden="false" customHeight="false" outlineLevel="0" collapsed="false">
      <c r="A787" s="12"/>
      <c r="B787" s="12"/>
      <c r="C787" s="13"/>
      <c r="D787" s="14"/>
      <c r="E787" s="14"/>
      <c r="F787" s="13"/>
      <c r="G787" s="15"/>
      <c r="H787" s="16" t="str">
        <f aca="false">IF(OR(D787="",E787="",E787&lt;D787),"",E787-D787+1)</f>
        <v/>
      </c>
      <c r="I787" s="17" t="str">
        <f aca="false">IF(OR(H787="",C787=""),"",IF(F787="İptal",0,H787*IFERROR(INDEX(Ürünler!$B$5:$B$64,MATCH(C787,Ürünler!$A$5:$A$64,0)),0)-G787))</f>
        <v/>
      </c>
      <c r="J787" s="18" t="str">
        <f aca="false">IF(OR(H787="",C787="",F787="İptal"),"",IF(COUNTIFS($C$5:$C$1504,C787,$D$5:$D$1504,"&lt;="&amp;E787,$E$5:$E$1504,"&gt;="&amp;D787,$F$5:$F$1504,"&lt;&gt;İptal")&gt;1,"Çakışıyor",""))</f>
        <v/>
      </c>
    </row>
    <row r="788" customFormat="false" ht="15" hidden="false" customHeight="false" outlineLevel="0" collapsed="false">
      <c r="A788" s="12"/>
      <c r="B788" s="12"/>
      <c r="C788" s="13"/>
      <c r="D788" s="14"/>
      <c r="E788" s="14"/>
      <c r="F788" s="13"/>
      <c r="G788" s="15"/>
      <c r="H788" s="16" t="str">
        <f aca="false">IF(OR(D788="",E788="",E788&lt;D788),"",E788-D788+1)</f>
        <v/>
      </c>
      <c r="I788" s="17" t="str">
        <f aca="false">IF(OR(H788="",C788=""),"",IF(F788="İptal",0,H788*IFERROR(INDEX(Ürünler!$B$5:$B$64,MATCH(C788,Ürünler!$A$5:$A$64,0)),0)-G788))</f>
        <v/>
      </c>
      <c r="J788" s="18" t="str">
        <f aca="false">IF(OR(H788="",C788="",F788="İptal"),"",IF(COUNTIFS($C$5:$C$1504,C788,$D$5:$D$1504,"&lt;="&amp;E788,$E$5:$E$1504,"&gt;="&amp;D788,$F$5:$F$1504,"&lt;&gt;İptal")&gt;1,"Çakışıyor",""))</f>
        <v/>
      </c>
    </row>
    <row r="789" customFormat="false" ht="15" hidden="false" customHeight="false" outlineLevel="0" collapsed="false">
      <c r="A789" s="12"/>
      <c r="B789" s="12"/>
      <c r="C789" s="13"/>
      <c r="D789" s="14"/>
      <c r="E789" s="14"/>
      <c r="F789" s="13"/>
      <c r="G789" s="15"/>
      <c r="H789" s="16" t="str">
        <f aca="false">IF(OR(D789="",E789="",E789&lt;D789),"",E789-D789+1)</f>
        <v/>
      </c>
      <c r="I789" s="17" t="str">
        <f aca="false">IF(OR(H789="",C789=""),"",IF(F789="İptal",0,H789*IFERROR(INDEX(Ürünler!$B$5:$B$64,MATCH(C789,Ürünler!$A$5:$A$64,0)),0)-G789))</f>
        <v/>
      </c>
      <c r="J789" s="18" t="str">
        <f aca="false">IF(OR(H789="",C789="",F789="İptal"),"",IF(COUNTIFS($C$5:$C$1504,C789,$D$5:$D$1504,"&lt;="&amp;E789,$E$5:$E$1504,"&gt;="&amp;D789,$F$5:$F$1504,"&lt;&gt;İptal")&gt;1,"Çakışıyor",""))</f>
        <v/>
      </c>
    </row>
    <row r="790" customFormat="false" ht="15" hidden="false" customHeight="false" outlineLevel="0" collapsed="false">
      <c r="A790" s="12"/>
      <c r="B790" s="12"/>
      <c r="C790" s="13"/>
      <c r="D790" s="14"/>
      <c r="E790" s="14"/>
      <c r="F790" s="13"/>
      <c r="G790" s="15"/>
      <c r="H790" s="16" t="str">
        <f aca="false">IF(OR(D790="",E790="",E790&lt;D790),"",E790-D790+1)</f>
        <v/>
      </c>
      <c r="I790" s="17" t="str">
        <f aca="false">IF(OR(H790="",C790=""),"",IF(F790="İptal",0,H790*IFERROR(INDEX(Ürünler!$B$5:$B$64,MATCH(C790,Ürünler!$A$5:$A$64,0)),0)-G790))</f>
        <v/>
      </c>
      <c r="J790" s="18" t="str">
        <f aca="false">IF(OR(H790="",C790="",F790="İptal"),"",IF(COUNTIFS($C$5:$C$1504,C790,$D$5:$D$1504,"&lt;="&amp;E790,$E$5:$E$1504,"&gt;="&amp;D790,$F$5:$F$1504,"&lt;&gt;İptal")&gt;1,"Çakışıyor",""))</f>
        <v/>
      </c>
    </row>
    <row r="791" customFormat="false" ht="15" hidden="false" customHeight="false" outlineLevel="0" collapsed="false">
      <c r="A791" s="12"/>
      <c r="B791" s="12"/>
      <c r="C791" s="13"/>
      <c r="D791" s="14"/>
      <c r="E791" s="14"/>
      <c r="F791" s="13"/>
      <c r="G791" s="15"/>
      <c r="H791" s="16" t="str">
        <f aca="false">IF(OR(D791="",E791="",E791&lt;D791),"",E791-D791+1)</f>
        <v/>
      </c>
      <c r="I791" s="17" t="str">
        <f aca="false">IF(OR(H791="",C791=""),"",IF(F791="İptal",0,H791*IFERROR(INDEX(Ürünler!$B$5:$B$64,MATCH(C791,Ürünler!$A$5:$A$64,0)),0)-G791))</f>
        <v/>
      </c>
      <c r="J791" s="18" t="str">
        <f aca="false">IF(OR(H791="",C791="",F791="İptal"),"",IF(COUNTIFS($C$5:$C$1504,C791,$D$5:$D$1504,"&lt;="&amp;E791,$E$5:$E$1504,"&gt;="&amp;D791,$F$5:$F$1504,"&lt;&gt;İptal")&gt;1,"Çakışıyor",""))</f>
        <v/>
      </c>
    </row>
    <row r="792" customFormat="false" ht="15" hidden="false" customHeight="false" outlineLevel="0" collapsed="false">
      <c r="A792" s="12"/>
      <c r="B792" s="12"/>
      <c r="C792" s="13"/>
      <c r="D792" s="14"/>
      <c r="E792" s="14"/>
      <c r="F792" s="13"/>
      <c r="G792" s="15"/>
      <c r="H792" s="16" t="str">
        <f aca="false">IF(OR(D792="",E792="",E792&lt;D792),"",E792-D792+1)</f>
        <v/>
      </c>
      <c r="I792" s="17" t="str">
        <f aca="false">IF(OR(H792="",C792=""),"",IF(F792="İptal",0,H792*IFERROR(INDEX(Ürünler!$B$5:$B$64,MATCH(C792,Ürünler!$A$5:$A$64,0)),0)-G792))</f>
        <v/>
      </c>
      <c r="J792" s="18" t="str">
        <f aca="false">IF(OR(H792="",C792="",F792="İptal"),"",IF(COUNTIFS($C$5:$C$1504,C792,$D$5:$D$1504,"&lt;="&amp;E792,$E$5:$E$1504,"&gt;="&amp;D792,$F$5:$F$1504,"&lt;&gt;İptal")&gt;1,"Çakışıyor",""))</f>
        <v/>
      </c>
    </row>
    <row r="793" customFormat="false" ht="15" hidden="false" customHeight="false" outlineLevel="0" collapsed="false">
      <c r="A793" s="12"/>
      <c r="B793" s="12"/>
      <c r="C793" s="13"/>
      <c r="D793" s="14"/>
      <c r="E793" s="14"/>
      <c r="F793" s="13"/>
      <c r="G793" s="15"/>
      <c r="H793" s="16" t="str">
        <f aca="false">IF(OR(D793="",E793="",E793&lt;D793),"",E793-D793+1)</f>
        <v/>
      </c>
      <c r="I793" s="17" t="str">
        <f aca="false">IF(OR(H793="",C793=""),"",IF(F793="İptal",0,H793*IFERROR(INDEX(Ürünler!$B$5:$B$64,MATCH(C793,Ürünler!$A$5:$A$64,0)),0)-G793))</f>
        <v/>
      </c>
      <c r="J793" s="18" t="str">
        <f aca="false">IF(OR(H793="",C793="",F793="İptal"),"",IF(COUNTIFS($C$5:$C$1504,C793,$D$5:$D$1504,"&lt;="&amp;E793,$E$5:$E$1504,"&gt;="&amp;D793,$F$5:$F$1504,"&lt;&gt;İptal")&gt;1,"Çakışıyor",""))</f>
        <v/>
      </c>
    </row>
    <row r="794" customFormat="false" ht="15" hidden="false" customHeight="false" outlineLevel="0" collapsed="false">
      <c r="A794" s="12"/>
      <c r="B794" s="12"/>
      <c r="C794" s="13"/>
      <c r="D794" s="14"/>
      <c r="E794" s="14"/>
      <c r="F794" s="13"/>
      <c r="G794" s="15"/>
      <c r="H794" s="16" t="str">
        <f aca="false">IF(OR(D794="",E794="",E794&lt;D794),"",E794-D794+1)</f>
        <v/>
      </c>
      <c r="I794" s="17" t="str">
        <f aca="false">IF(OR(H794="",C794=""),"",IF(F794="İptal",0,H794*IFERROR(INDEX(Ürünler!$B$5:$B$64,MATCH(C794,Ürünler!$A$5:$A$64,0)),0)-G794))</f>
        <v/>
      </c>
      <c r="J794" s="18" t="str">
        <f aca="false">IF(OR(H794="",C794="",F794="İptal"),"",IF(COUNTIFS($C$5:$C$1504,C794,$D$5:$D$1504,"&lt;="&amp;E794,$E$5:$E$1504,"&gt;="&amp;D794,$F$5:$F$1504,"&lt;&gt;İptal")&gt;1,"Çakışıyor",""))</f>
        <v/>
      </c>
    </row>
    <row r="795" customFormat="false" ht="15" hidden="false" customHeight="false" outlineLevel="0" collapsed="false">
      <c r="A795" s="12"/>
      <c r="B795" s="12"/>
      <c r="C795" s="13"/>
      <c r="D795" s="14"/>
      <c r="E795" s="14"/>
      <c r="F795" s="13"/>
      <c r="G795" s="15"/>
      <c r="H795" s="16" t="str">
        <f aca="false">IF(OR(D795="",E795="",E795&lt;D795),"",E795-D795+1)</f>
        <v/>
      </c>
      <c r="I795" s="17" t="str">
        <f aca="false">IF(OR(H795="",C795=""),"",IF(F795="İptal",0,H795*IFERROR(INDEX(Ürünler!$B$5:$B$64,MATCH(C795,Ürünler!$A$5:$A$64,0)),0)-G795))</f>
        <v/>
      </c>
      <c r="J795" s="18" t="str">
        <f aca="false">IF(OR(H795="",C795="",F795="İptal"),"",IF(COUNTIFS($C$5:$C$1504,C795,$D$5:$D$1504,"&lt;="&amp;E795,$E$5:$E$1504,"&gt;="&amp;D795,$F$5:$F$1504,"&lt;&gt;İptal")&gt;1,"Çakışıyor",""))</f>
        <v/>
      </c>
    </row>
    <row r="796" customFormat="false" ht="15" hidden="false" customHeight="false" outlineLevel="0" collapsed="false">
      <c r="A796" s="12"/>
      <c r="B796" s="12"/>
      <c r="C796" s="13"/>
      <c r="D796" s="14"/>
      <c r="E796" s="14"/>
      <c r="F796" s="13"/>
      <c r="G796" s="15"/>
      <c r="H796" s="16" t="str">
        <f aca="false">IF(OR(D796="",E796="",E796&lt;D796),"",E796-D796+1)</f>
        <v/>
      </c>
      <c r="I796" s="17" t="str">
        <f aca="false">IF(OR(H796="",C796=""),"",IF(F796="İptal",0,H796*IFERROR(INDEX(Ürünler!$B$5:$B$64,MATCH(C796,Ürünler!$A$5:$A$64,0)),0)-G796))</f>
        <v/>
      </c>
      <c r="J796" s="18" t="str">
        <f aca="false">IF(OR(H796="",C796="",F796="İptal"),"",IF(COUNTIFS($C$5:$C$1504,C796,$D$5:$D$1504,"&lt;="&amp;E796,$E$5:$E$1504,"&gt;="&amp;D796,$F$5:$F$1504,"&lt;&gt;İptal")&gt;1,"Çakışıyor",""))</f>
        <v/>
      </c>
    </row>
    <row r="797" customFormat="false" ht="15" hidden="false" customHeight="false" outlineLevel="0" collapsed="false">
      <c r="A797" s="12"/>
      <c r="B797" s="12"/>
      <c r="C797" s="13"/>
      <c r="D797" s="14"/>
      <c r="E797" s="14"/>
      <c r="F797" s="13"/>
      <c r="G797" s="15"/>
      <c r="H797" s="16" t="str">
        <f aca="false">IF(OR(D797="",E797="",E797&lt;D797),"",E797-D797+1)</f>
        <v/>
      </c>
      <c r="I797" s="17" t="str">
        <f aca="false">IF(OR(H797="",C797=""),"",IF(F797="İptal",0,H797*IFERROR(INDEX(Ürünler!$B$5:$B$64,MATCH(C797,Ürünler!$A$5:$A$64,0)),0)-G797))</f>
        <v/>
      </c>
      <c r="J797" s="18" t="str">
        <f aca="false">IF(OR(H797="",C797="",F797="İptal"),"",IF(COUNTIFS($C$5:$C$1504,C797,$D$5:$D$1504,"&lt;="&amp;E797,$E$5:$E$1504,"&gt;="&amp;D797,$F$5:$F$1504,"&lt;&gt;İptal")&gt;1,"Çakışıyor",""))</f>
        <v/>
      </c>
    </row>
    <row r="798" customFormat="false" ht="15" hidden="false" customHeight="false" outlineLevel="0" collapsed="false">
      <c r="A798" s="12"/>
      <c r="B798" s="12"/>
      <c r="C798" s="13"/>
      <c r="D798" s="14"/>
      <c r="E798" s="14"/>
      <c r="F798" s="13"/>
      <c r="G798" s="15"/>
      <c r="H798" s="16" t="str">
        <f aca="false">IF(OR(D798="",E798="",E798&lt;D798),"",E798-D798+1)</f>
        <v/>
      </c>
      <c r="I798" s="17" t="str">
        <f aca="false">IF(OR(H798="",C798=""),"",IF(F798="İptal",0,H798*IFERROR(INDEX(Ürünler!$B$5:$B$64,MATCH(C798,Ürünler!$A$5:$A$64,0)),0)-G798))</f>
        <v/>
      </c>
      <c r="J798" s="18" t="str">
        <f aca="false">IF(OR(H798="",C798="",F798="İptal"),"",IF(COUNTIFS($C$5:$C$1504,C798,$D$5:$D$1504,"&lt;="&amp;E798,$E$5:$E$1504,"&gt;="&amp;D798,$F$5:$F$1504,"&lt;&gt;İptal")&gt;1,"Çakışıyor",""))</f>
        <v/>
      </c>
    </row>
    <row r="799" customFormat="false" ht="15" hidden="false" customHeight="false" outlineLevel="0" collapsed="false">
      <c r="A799" s="12"/>
      <c r="B799" s="12"/>
      <c r="C799" s="13"/>
      <c r="D799" s="14"/>
      <c r="E799" s="14"/>
      <c r="F799" s="13"/>
      <c r="G799" s="15"/>
      <c r="H799" s="16" t="str">
        <f aca="false">IF(OR(D799="",E799="",E799&lt;D799),"",E799-D799+1)</f>
        <v/>
      </c>
      <c r="I799" s="17" t="str">
        <f aca="false">IF(OR(H799="",C799=""),"",IF(F799="İptal",0,H799*IFERROR(INDEX(Ürünler!$B$5:$B$64,MATCH(C799,Ürünler!$A$5:$A$64,0)),0)-G799))</f>
        <v/>
      </c>
      <c r="J799" s="18" t="str">
        <f aca="false">IF(OR(H799="",C799="",F799="İptal"),"",IF(COUNTIFS($C$5:$C$1504,C799,$D$5:$D$1504,"&lt;="&amp;E799,$E$5:$E$1504,"&gt;="&amp;D799,$F$5:$F$1504,"&lt;&gt;İptal")&gt;1,"Çakışıyor",""))</f>
        <v/>
      </c>
    </row>
    <row r="800" customFormat="false" ht="15" hidden="false" customHeight="false" outlineLevel="0" collapsed="false">
      <c r="A800" s="12"/>
      <c r="B800" s="12"/>
      <c r="C800" s="13"/>
      <c r="D800" s="14"/>
      <c r="E800" s="14"/>
      <c r="F800" s="13"/>
      <c r="G800" s="15"/>
      <c r="H800" s="16" t="str">
        <f aca="false">IF(OR(D800="",E800="",E800&lt;D800),"",E800-D800+1)</f>
        <v/>
      </c>
      <c r="I800" s="17" t="str">
        <f aca="false">IF(OR(H800="",C800=""),"",IF(F800="İptal",0,H800*IFERROR(INDEX(Ürünler!$B$5:$B$64,MATCH(C800,Ürünler!$A$5:$A$64,0)),0)-G800))</f>
        <v/>
      </c>
      <c r="J800" s="18" t="str">
        <f aca="false">IF(OR(H800="",C800="",F800="İptal"),"",IF(COUNTIFS($C$5:$C$1504,C800,$D$5:$D$1504,"&lt;="&amp;E800,$E$5:$E$1504,"&gt;="&amp;D800,$F$5:$F$1504,"&lt;&gt;İptal")&gt;1,"Çakışıyor",""))</f>
        <v/>
      </c>
    </row>
    <row r="801" customFormat="false" ht="15" hidden="false" customHeight="false" outlineLevel="0" collapsed="false">
      <c r="A801" s="12"/>
      <c r="B801" s="12"/>
      <c r="C801" s="13"/>
      <c r="D801" s="14"/>
      <c r="E801" s="14"/>
      <c r="F801" s="13"/>
      <c r="G801" s="15"/>
      <c r="H801" s="16" t="str">
        <f aca="false">IF(OR(D801="",E801="",E801&lt;D801),"",E801-D801+1)</f>
        <v/>
      </c>
      <c r="I801" s="17" t="str">
        <f aca="false">IF(OR(H801="",C801=""),"",IF(F801="İptal",0,H801*IFERROR(INDEX(Ürünler!$B$5:$B$64,MATCH(C801,Ürünler!$A$5:$A$64,0)),0)-G801))</f>
        <v/>
      </c>
      <c r="J801" s="18" t="str">
        <f aca="false">IF(OR(H801="",C801="",F801="İptal"),"",IF(COUNTIFS($C$5:$C$1504,C801,$D$5:$D$1504,"&lt;="&amp;E801,$E$5:$E$1504,"&gt;="&amp;D801,$F$5:$F$1504,"&lt;&gt;İptal")&gt;1,"Çakışıyor",""))</f>
        <v/>
      </c>
    </row>
    <row r="802" customFormat="false" ht="15" hidden="false" customHeight="false" outlineLevel="0" collapsed="false">
      <c r="A802" s="12"/>
      <c r="B802" s="12"/>
      <c r="C802" s="13"/>
      <c r="D802" s="14"/>
      <c r="E802" s="14"/>
      <c r="F802" s="13"/>
      <c r="G802" s="15"/>
      <c r="H802" s="16" t="str">
        <f aca="false">IF(OR(D802="",E802="",E802&lt;D802),"",E802-D802+1)</f>
        <v/>
      </c>
      <c r="I802" s="17" t="str">
        <f aca="false">IF(OR(H802="",C802=""),"",IF(F802="İptal",0,H802*IFERROR(INDEX(Ürünler!$B$5:$B$64,MATCH(C802,Ürünler!$A$5:$A$64,0)),0)-G802))</f>
        <v/>
      </c>
      <c r="J802" s="18" t="str">
        <f aca="false">IF(OR(H802="",C802="",F802="İptal"),"",IF(COUNTIFS($C$5:$C$1504,C802,$D$5:$D$1504,"&lt;="&amp;E802,$E$5:$E$1504,"&gt;="&amp;D802,$F$5:$F$1504,"&lt;&gt;İptal")&gt;1,"Çakışıyor",""))</f>
        <v/>
      </c>
    </row>
    <row r="803" customFormat="false" ht="15" hidden="false" customHeight="false" outlineLevel="0" collapsed="false">
      <c r="A803" s="12"/>
      <c r="B803" s="12"/>
      <c r="C803" s="13"/>
      <c r="D803" s="14"/>
      <c r="E803" s="14"/>
      <c r="F803" s="13"/>
      <c r="G803" s="15"/>
      <c r="H803" s="16" t="str">
        <f aca="false">IF(OR(D803="",E803="",E803&lt;D803),"",E803-D803+1)</f>
        <v/>
      </c>
      <c r="I803" s="17" t="str">
        <f aca="false">IF(OR(H803="",C803=""),"",IF(F803="İptal",0,H803*IFERROR(INDEX(Ürünler!$B$5:$B$64,MATCH(C803,Ürünler!$A$5:$A$64,0)),0)-G803))</f>
        <v/>
      </c>
      <c r="J803" s="18" t="str">
        <f aca="false">IF(OR(H803="",C803="",F803="İptal"),"",IF(COUNTIFS($C$5:$C$1504,C803,$D$5:$D$1504,"&lt;="&amp;E803,$E$5:$E$1504,"&gt;="&amp;D803,$F$5:$F$1504,"&lt;&gt;İptal")&gt;1,"Çakışıyor",""))</f>
        <v/>
      </c>
    </row>
    <row r="804" customFormat="false" ht="15" hidden="false" customHeight="false" outlineLevel="0" collapsed="false">
      <c r="A804" s="12"/>
      <c r="B804" s="12"/>
      <c r="C804" s="13"/>
      <c r="D804" s="14"/>
      <c r="E804" s="14"/>
      <c r="F804" s="13"/>
      <c r="G804" s="15"/>
      <c r="H804" s="16" t="str">
        <f aca="false">IF(OR(D804="",E804="",E804&lt;D804),"",E804-D804+1)</f>
        <v/>
      </c>
      <c r="I804" s="17" t="str">
        <f aca="false">IF(OR(H804="",C804=""),"",IF(F804="İptal",0,H804*IFERROR(INDEX(Ürünler!$B$5:$B$64,MATCH(C804,Ürünler!$A$5:$A$64,0)),0)-G804))</f>
        <v/>
      </c>
      <c r="J804" s="18" t="str">
        <f aca="false">IF(OR(H804="",C804="",F804="İptal"),"",IF(COUNTIFS($C$5:$C$1504,C804,$D$5:$D$1504,"&lt;="&amp;E804,$E$5:$E$1504,"&gt;="&amp;D804,$F$5:$F$1504,"&lt;&gt;İptal")&gt;1,"Çakışıyor",""))</f>
        <v/>
      </c>
    </row>
    <row r="805" customFormat="false" ht="15" hidden="false" customHeight="false" outlineLevel="0" collapsed="false">
      <c r="A805" s="12"/>
      <c r="B805" s="12"/>
      <c r="C805" s="13"/>
      <c r="D805" s="14"/>
      <c r="E805" s="14"/>
      <c r="F805" s="13"/>
      <c r="G805" s="15"/>
      <c r="H805" s="16" t="str">
        <f aca="false">IF(OR(D805="",E805="",E805&lt;D805),"",E805-D805+1)</f>
        <v/>
      </c>
      <c r="I805" s="17" t="str">
        <f aca="false">IF(OR(H805="",C805=""),"",IF(F805="İptal",0,H805*IFERROR(INDEX(Ürünler!$B$5:$B$64,MATCH(C805,Ürünler!$A$5:$A$64,0)),0)-G805))</f>
        <v/>
      </c>
      <c r="J805" s="18" t="str">
        <f aca="false">IF(OR(H805="",C805="",F805="İptal"),"",IF(COUNTIFS($C$5:$C$1504,C805,$D$5:$D$1504,"&lt;="&amp;E805,$E$5:$E$1504,"&gt;="&amp;D805,$F$5:$F$1504,"&lt;&gt;İptal")&gt;1,"Çakışıyor",""))</f>
        <v/>
      </c>
    </row>
    <row r="806" customFormat="false" ht="15" hidden="false" customHeight="false" outlineLevel="0" collapsed="false">
      <c r="A806" s="12"/>
      <c r="B806" s="12"/>
      <c r="C806" s="13"/>
      <c r="D806" s="14"/>
      <c r="E806" s="14"/>
      <c r="F806" s="13"/>
      <c r="G806" s="15"/>
      <c r="H806" s="16" t="str">
        <f aca="false">IF(OR(D806="",E806="",E806&lt;D806),"",E806-D806+1)</f>
        <v/>
      </c>
      <c r="I806" s="17" t="str">
        <f aca="false">IF(OR(H806="",C806=""),"",IF(F806="İptal",0,H806*IFERROR(INDEX(Ürünler!$B$5:$B$64,MATCH(C806,Ürünler!$A$5:$A$64,0)),0)-G806))</f>
        <v/>
      </c>
      <c r="J806" s="18" t="str">
        <f aca="false">IF(OR(H806="",C806="",F806="İptal"),"",IF(COUNTIFS($C$5:$C$1504,C806,$D$5:$D$1504,"&lt;="&amp;E806,$E$5:$E$1504,"&gt;="&amp;D806,$F$5:$F$1504,"&lt;&gt;İptal")&gt;1,"Çakışıyor",""))</f>
        <v/>
      </c>
    </row>
    <row r="807" customFormat="false" ht="15" hidden="false" customHeight="false" outlineLevel="0" collapsed="false">
      <c r="A807" s="12"/>
      <c r="B807" s="12"/>
      <c r="C807" s="13"/>
      <c r="D807" s="14"/>
      <c r="E807" s="14"/>
      <c r="F807" s="13"/>
      <c r="G807" s="15"/>
      <c r="H807" s="16" t="str">
        <f aca="false">IF(OR(D807="",E807="",E807&lt;D807),"",E807-D807+1)</f>
        <v/>
      </c>
      <c r="I807" s="17" t="str">
        <f aca="false">IF(OR(H807="",C807=""),"",IF(F807="İptal",0,H807*IFERROR(INDEX(Ürünler!$B$5:$B$64,MATCH(C807,Ürünler!$A$5:$A$64,0)),0)-G807))</f>
        <v/>
      </c>
      <c r="J807" s="18" t="str">
        <f aca="false">IF(OR(H807="",C807="",F807="İptal"),"",IF(COUNTIFS($C$5:$C$1504,C807,$D$5:$D$1504,"&lt;="&amp;E807,$E$5:$E$1504,"&gt;="&amp;D807,$F$5:$F$1504,"&lt;&gt;İptal")&gt;1,"Çakışıyor",""))</f>
        <v/>
      </c>
    </row>
    <row r="808" customFormat="false" ht="15" hidden="false" customHeight="false" outlineLevel="0" collapsed="false">
      <c r="A808" s="12"/>
      <c r="B808" s="12"/>
      <c r="C808" s="13"/>
      <c r="D808" s="14"/>
      <c r="E808" s="14"/>
      <c r="F808" s="13"/>
      <c r="G808" s="15"/>
      <c r="H808" s="16" t="str">
        <f aca="false">IF(OR(D808="",E808="",E808&lt;D808),"",E808-D808+1)</f>
        <v/>
      </c>
      <c r="I808" s="17" t="str">
        <f aca="false">IF(OR(H808="",C808=""),"",IF(F808="İptal",0,H808*IFERROR(INDEX(Ürünler!$B$5:$B$64,MATCH(C808,Ürünler!$A$5:$A$64,0)),0)-G808))</f>
        <v/>
      </c>
      <c r="J808" s="18" t="str">
        <f aca="false">IF(OR(H808="",C808="",F808="İptal"),"",IF(COUNTIFS($C$5:$C$1504,C808,$D$5:$D$1504,"&lt;="&amp;E808,$E$5:$E$1504,"&gt;="&amp;D808,$F$5:$F$1504,"&lt;&gt;İptal")&gt;1,"Çakışıyor",""))</f>
        <v/>
      </c>
    </row>
    <row r="809" customFormat="false" ht="15" hidden="false" customHeight="false" outlineLevel="0" collapsed="false">
      <c r="A809" s="12"/>
      <c r="B809" s="12"/>
      <c r="C809" s="13"/>
      <c r="D809" s="14"/>
      <c r="E809" s="14"/>
      <c r="F809" s="13"/>
      <c r="G809" s="15"/>
      <c r="H809" s="16" t="str">
        <f aca="false">IF(OR(D809="",E809="",E809&lt;D809),"",E809-D809+1)</f>
        <v/>
      </c>
      <c r="I809" s="17" t="str">
        <f aca="false">IF(OR(H809="",C809=""),"",IF(F809="İptal",0,H809*IFERROR(INDEX(Ürünler!$B$5:$B$64,MATCH(C809,Ürünler!$A$5:$A$64,0)),0)-G809))</f>
        <v/>
      </c>
      <c r="J809" s="18" t="str">
        <f aca="false">IF(OR(H809="",C809="",F809="İptal"),"",IF(COUNTIFS($C$5:$C$1504,C809,$D$5:$D$1504,"&lt;="&amp;E809,$E$5:$E$1504,"&gt;="&amp;D809,$F$5:$F$1504,"&lt;&gt;İptal")&gt;1,"Çakışıyor",""))</f>
        <v/>
      </c>
    </row>
    <row r="810" customFormat="false" ht="15" hidden="false" customHeight="false" outlineLevel="0" collapsed="false">
      <c r="A810" s="12"/>
      <c r="B810" s="12"/>
      <c r="C810" s="13"/>
      <c r="D810" s="14"/>
      <c r="E810" s="14"/>
      <c r="F810" s="13"/>
      <c r="G810" s="15"/>
      <c r="H810" s="16" t="str">
        <f aca="false">IF(OR(D810="",E810="",E810&lt;D810),"",E810-D810+1)</f>
        <v/>
      </c>
      <c r="I810" s="17" t="str">
        <f aca="false">IF(OR(H810="",C810=""),"",IF(F810="İptal",0,H810*IFERROR(INDEX(Ürünler!$B$5:$B$64,MATCH(C810,Ürünler!$A$5:$A$64,0)),0)-G810))</f>
        <v/>
      </c>
      <c r="J810" s="18" t="str">
        <f aca="false">IF(OR(H810="",C810="",F810="İptal"),"",IF(COUNTIFS($C$5:$C$1504,C810,$D$5:$D$1504,"&lt;="&amp;E810,$E$5:$E$1504,"&gt;="&amp;D810,$F$5:$F$1504,"&lt;&gt;İptal")&gt;1,"Çakışıyor",""))</f>
        <v/>
      </c>
    </row>
    <row r="811" customFormat="false" ht="15" hidden="false" customHeight="false" outlineLevel="0" collapsed="false">
      <c r="A811" s="12"/>
      <c r="B811" s="12"/>
      <c r="C811" s="13"/>
      <c r="D811" s="14"/>
      <c r="E811" s="14"/>
      <c r="F811" s="13"/>
      <c r="G811" s="15"/>
      <c r="H811" s="16" t="str">
        <f aca="false">IF(OR(D811="",E811="",E811&lt;D811),"",E811-D811+1)</f>
        <v/>
      </c>
      <c r="I811" s="17" t="str">
        <f aca="false">IF(OR(H811="",C811=""),"",IF(F811="İptal",0,H811*IFERROR(INDEX(Ürünler!$B$5:$B$64,MATCH(C811,Ürünler!$A$5:$A$64,0)),0)-G811))</f>
        <v/>
      </c>
      <c r="J811" s="18" t="str">
        <f aca="false">IF(OR(H811="",C811="",F811="İptal"),"",IF(COUNTIFS($C$5:$C$1504,C811,$D$5:$D$1504,"&lt;="&amp;E811,$E$5:$E$1504,"&gt;="&amp;D811,$F$5:$F$1504,"&lt;&gt;İptal")&gt;1,"Çakışıyor",""))</f>
        <v/>
      </c>
    </row>
    <row r="812" customFormat="false" ht="15" hidden="false" customHeight="false" outlineLevel="0" collapsed="false">
      <c r="A812" s="12"/>
      <c r="B812" s="12"/>
      <c r="C812" s="13"/>
      <c r="D812" s="14"/>
      <c r="E812" s="14"/>
      <c r="F812" s="13"/>
      <c r="G812" s="15"/>
      <c r="H812" s="16" t="str">
        <f aca="false">IF(OR(D812="",E812="",E812&lt;D812),"",E812-D812+1)</f>
        <v/>
      </c>
      <c r="I812" s="17" t="str">
        <f aca="false">IF(OR(H812="",C812=""),"",IF(F812="İptal",0,H812*IFERROR(INDEX(Ürünler!$B$5:$B$64,MATCH(C812,Ürünler!$A$5:$A$64,0)),0)-G812))</f>
        <v/>
      </c>
      <c r="J812" s="18" t="str">
        <f aca="false">IF(OR(H812="",C812="",F812="İptal"),"",IF(COUNTIFS($C$5:$C$1504,C812,$D$5:$D$1504,"&lt;="&amp;E812,$E$5:$E$1504,"&gt;="&amp;D812,$F$5:$F$1504,"&lt;&gt;İptal")&gt;1,"Çakışıyor",""))</f>
        <v/>
      </c>
    </row>
    <row r="813" customFormat="false" ht="15" hidden="false" customHeight="false" outlineLevel="0" collapsed="false">
      <c r="A813" s="12"/>
      <c r="B813" s="12"/>
      <c r="C813" s="13"/>
      <c r="D813" s="14"/>
      <c r="E813" s="14"/>
      <c r="F813" s="13"/>
      <c r="G813" s="15"/>
      <c r="H813" s="16" t="str">
        <f aca="false">IF(OR(D813="",E813="",E813&lt;D813),"",E813-D813+1)</f>
        <v/>
      </c>
      <c r="I813" s="17" t="str">
        <f aca="false">IF(OR(H813="",C813=""),"",IF(F813="İptal",0,H813*IFERROR(INDEX(Ürünler!$B$5:$B$64,MATCH(C813,Ürünler!$A$5:$A$64,0)),0)-G813))</f>
        <v/>
      </c>
      <c r="J813" s="18" t="str">
        <f aca="false">IF(OR(H813="",C813="",F813="İptal"),"",IF(COUNTIFS($C$5:$C$1504,C813,$D$5:$D$1504,"&lt;="&amp;E813,$E$5:$E$1504,"&gt;="&amp;D813,$F$5:$F$1504,"&lt;&gt;İptal")&gt;1,"Çakışıyor",""))</f>
        <v/>
      </c>
    </row>
    <row r="814" customFormat="false" ht="15" hidden="false" customHeight="false" outlineLevel="0" collapsed="false">
      <c r="A814" s="12"/>
      <c r="B814" s="12"/>
      <c r="C814" s="13"/>
      <c r="D814" s="14"/>
      <c r="E814" s="14"/>
      <c r="F814" s="13"/>
      <c r="G814" s="15"/>
      <c r="H814" s="16" t="str">
        <f aca="false">IF(OR(D814="",E814="",E814&lt;D814),"",E814-D814+1)</f>
        <v/>
      </c>
      <c r="I814" s="17" t="str">
        <f aca="false">IF(OR(H814="",C814=""),"",IF(F814="İptal",0,H814*IFERROR(INDEX(Ürünler!$B$5:$B$64,MATCH(C814,Ürünler!$A$5:$A$64,0)),0)-G814))</f>
        <v/>
      </c>
      <c r="J814" s="18" t="str">
        <f aca="false">IF(OR(H814="",C814="",F814="İptal"),"",IF(COUNTIFS($C$5:$C$1504,C814,$D$5:$D$1504,"&lt;="&amp;E814,$E$5:$E$1504,"&gt;="&amp;D814,$F$5:$F$1504,"&lt;&gt;İptal")&gt;1,"Çakışıyor",""))</f>
        <v/>
      </c>
    </row>
    <row r="815" customFormat="false" ht="15" hidden="false" customHeight="false" outlineLevel="0" collapsed="false">
      <c r="A815" s="12"/>
      <c r="B815" s="12"/>
      <c r="C815" s="13"/>
      <c r="D815" s="14"/>
      <c r="E815" s="14"/>
      <c r="F815" s="13"/>
      <c r="G815" s="15"/>
      <c r="H815" s="16" t="str">
        <f aca="false">IF(OR(D815="",E815="",E815&lt;D815),"",E815-D815+1)</f>
        <v/>
      </c>
      <c r="I815" s="17" t="str">
        <f aca="false">IF(OR(H815="",C815=""),"",IF(F815="İptal",0,H815*IFERROR(INDEX(Ürünler!$B$5:$B$64,MATCH(C815,Ürünler!$A$5:$A$64,0)),0)-G815))</f>
        <v/>
      </c>
      <c r="J815" s="18" t="str">
        <f aca="false">IF(OR(H815="",C815="",F815="İptal"),"",IF(COUNTIFS($C$5:$C$1504,C815,$D$5:$D$1504,"&lt;="&amp;E815,$E$5:$E$1504,"&gt;="&amp;D815,$F$5:$F$1504,"&lt;&gt;İptal")&gt;1,"Çakışıyor",""))</f>
        <v/>
      </c>
    </row>
    <row r="816" customFormat="false" ht="15" hidden="false" customHeight="false" outlineLevel="0" collapsed="false">
      <c r="A816" s="12"/>
      <c r="B816" s="12"/>
      <c r="C816" s="13"/>
      <c r="D816" s="14"/>
      <c r="E816" s="14"/>
      <c r="F816" s="13"/>
      <c r="G816" s="15"/>
      <c r="H816" s="16" t="str">
        <f aca="false">IF(OR(D816="",E816="",E816&lt;D816),"",E816-D816+1)</f>
        <v/>
      </c>
      <c r="I816" s="17" t="str">
        <f aca="false">IF(OR(H816="",C816=""),"",IF(F816="İptal",0,H816*IFERROR(INDEX(Ürünler!$B$5:$B$64,MATCH(C816,Ürünler!$A$5:$A$64,0)),0)-G816))</f>
        <v/>
      </c>
      <c r="J816" s="18" t="str">
        <f aca="false">IF(OR(H816="",C816="",F816="İptal"),"",IF(COUNTIFS($C$5:$C$1504,C816,$D$5:$D$1504,"&lt;="&amp;E816,$E$5:$E$1504,"&gt;="&amp;D816,$F$5:$F$1504,"&lt;&gt;İptal")&gt;1,"Çakışıyor",""))</f>
        <v/>
      </c>
    </row>
    <row r="817" customFormat="false" ht="15" hidden="false" customHeight="false" outlineLevel="0" collapsed="false">
      <c r="A817" s="12"/>
      <c r="B817" s="12"/>
      <c r="C817" s="13"/>
      <c r="D817" s="14"/>
      <c r="E817" s="14"/>
      <c r="F817" s="13"/>
      <c r="G817" s="15"/>
      <c r="H817" s="16" t="str">
        <f aca="false">IF(OR(D817="",E817="",E817&lt;D817),"",E817-D817+1)</f>
        <v/>
      </c>
      <c r="I817" s="17" t="str">
        <f aca="false">IF(OR(H817="",C817=""),"",IF(F817="İptal",0,H817*IFERROR(INDEX(Ürünler!$B$5:$B$64,MATCH(C817,Ürünler!$A$5:$A$64,0)),0)-G817))</f>
        <v/>
      </c>
      <c r="J817" s="18" t="str">
        <f aca="false">IF(OR(H817="",C817="",F817="İptal"),"",IF(COUNTIFS($C$5:$C$1504,C817,$D$5:$D$1504,"&lt;="&amp;E817,$E$5:$E$1504,"&gt;="&amp;D817,$F$5:$F$1504,"&lt;&gt;İptal")&gt;1,"Çakışıyor",""))</f>
        <v/>
      </c>
    </row>
    <row r="818" customFormat="false" ht="15" hidden="false" customHeight="false" outlineLevel="0" collapsed="false">
      <c r="A818" s="12"/>
      <c r="B818" s="12"/>
      <c r="C818" s="13"/>
      <c r="D818" s="14"/>
      <c r="E818" s="14"/>
      <c r="F818" s="13"/>
      <c r="G818" s="15"/>
      <c r="H818" s="16" t="str">
        <f aca="false">IF(OR(D818="",E818="",E818&lt;D818),"",E818-D818+1)</f>
        <v/>
      </c>
      <c r="I818" s="17" t="str">
        <f aca="false">IF(OR(H818="",C818=""),"",IF(F818="İptal",0,H818*IFERROR(INDEX(Ürünler!$B$5:$B$64,MATCH(C818,Ürünler!$A$5:$A$64,0)),0)-G818))</f>
        <v/>
      </c>
      <c r="J818" s="18" t="str">
        <f aca="false">IF(OR(H818="",C818="",F818="İptal"),"",IF(COUNTIFS($C$5:$C$1504,C818,$D$5:$D$1504,"&lt;="&amp;E818,$E$5:$E$1504,"&gt;="&amp;D818,$F$5:$F$1504,"&lt;&gt;İptal")&gt;1,"Çakışıyor",""))</f>
        <v/>
      </c>
    </row>
    <row r="819" customFormat="false" ht="15" hidden="false" customHeight="false" outlineLevel="0" collapsed="false">
      <c r="A819" s="12"/>
      <c r="B819" s="12"/>
      <c r="C819" s="13"/>
      <c r="D819" s="14"/>
      <c r="E819" s="14"/>
      <c r="F819" s="13"/>
      <c r="G819" s="15"/>
      <c r="H819" s="16" t="str">
        <f aca="false">IF(OR(D819="",E819="",E819&lt;D819),"",E819-D819+1)</f>
        <v/>
      </c>
      <c r="I819" s="17" t="str">
        <f aca="false">IF(OR(H819="",C819=""),"",IF(F819="İptal",0,H819*IFERROR(INDEX(Ürünler!$B$5:$B$64,MATCH(C819,Ürünler!$A$5:$A$64,0)),0)-G819))</f>
        <v/>
      </c>
      <c r="J819" s="18" t="str">
        <f aca="false">IF(OR(H819="",C819="",F819="İptal"),"",IF(COUNTIFS($C$5:$C$1504,C819,$D$5:$D$1504,"&lt;="&amp;E819,$E$5:$E$1504,"&gt;="&amp;D819,$F$5:$F$1504,"&lt;&gt;İptal")&gt;1,"Çakışıyor",""))</f>
        <v/>
      </c>
    </row>
    <row r="820" customFormat="false" ht="15" hidden="false" customHeight="false" outlineLevel="0" collapsed="false">
      <c r="A820" s="12"/>
      <c r="B820" s="12"/>
      <c r="C820" s="13"/>
      <c r="D820" s="14"/>
      <c r="E820" s="14"/>
      <c r="F820" s="13"/>
      <c r="G820" s="15"/>
      <c r="H820" s="16" t="str">
        <f aca="false">IF(OR(D820="",E820="",E820&lt;D820),"",E820-D820+1)</f>
        <v/>
      </c>
      <c r="I820" s="17" t="str">
        <f aca="false">IF(OR(H820="",C820=""),"",IF(F820="İptal",0,H820*IFERROR(INDEX(Ürünler!$B$5:$B$64,MATCH(C820,Ürünler!$A$5:$A$64,0)),0)-G820))</f>
        <v/>
      </c>
      <c r="J820" s="18" t="str">
        <f aca="false">IF(OR(H820="",C820="",F820="İptal"),"",IF(COUNTIFS($C$5:$C$1504,C820,$D$5:$D$1504,"&lt;="&amp;E820,$E$5:$E$1504,"&gt;="&amp;D820,$F$5:$F$1504,"&lt;&gt;İptal")&gt;1,"Çakışıyor",""))</f>
        <v/>
      </c>
    </row>
    <row r="821" customFormat="false" ht="15" hidden="false" customHeight="false" outlineLevel="0" collapsed="false">
      <c r="A821" s="12"/>
      <c r="B821" s="12"/>
      <c r="C821" s="13"/>
      <c r="D821" s="14"/>
      <c r="E821" s="14"/>
      <c r="F821" s="13"/>
      <c r="G821" s="15"/>
      <c r="H821" s="16" t="str">
        <f aca="false">IF(OR(D821="",E821="",E821&lt;D821),"",E821-D821+1)</f>
        <v/>
      </c>
      <c r="I821" s="17" t="str">
        <f aca="false">IF(OR(H821="",C821=""),"",IF(F821="İptal",0,H821*IFERROR(INDEX(Ürünler!$B$5:$B$64,MATCH(C821,Ürünler!$A$5:$A$64,0)),0)-G821))</f>
        <v/>
      </c>
      <c r="J821" s="18" t="str">
        <f aca="false">IF(OR(H821="",C821="",F821="İptal"),"",IF(COUNTIFS($C$5:$C$1504,C821,$D$5:$D$1504,"&lt;="&amp;E821,$E$5:$E$1504,"&gt;="&amp;D821,$F$5:$F$1504,"&lt;&gt;İptal")&gt;1,"Çakışıyor",""))</f>
        <v/>
      </c>
    </row>
    <row r="822" customFormat="false" ht="15" hidden="false" customHeight="false" outlineLevel="0" collapsed="false">
      <c r="A822" s="12"/>
      <c r="B822" s="12"/>
      <c r="C822" s="13"/>
      <c r="D822" s="14"/>
      <c r="E822" s="14"/>
      <c r="F822" s="13"/>
      <c r="G822" s="15"/>
      <c r="H822" s="16" t="str">
        <f aca="false">IF(OR(D822="",E822="",E822&lt;D822),"",E822-D822+1)</f>
        <v/>
      </c>
      <c r="I822" s="17" t="str">
        <f aca="false">IF(OR(H822="",C822=""),"",IF(F822="İptal",0,H822*IFERROR(INDEX(Ürünler!$B$5:$B$64,MATCH(C822,Ürünler!$A$5:$A$64,0)),0)-G822))</f>
        <v/>
      </c>
      <c r="J822" s="18" t="str">
        <f aca="false">IF(OR(H822="",C822="",F822="İptal"),"",IF(COUNTIFS($C$5:$C$1504,C822,$D$5:$D$1504,"&lt;="&amp;E822,$E$5:$E$1504,"&gt;="&amp;D822,$F$5:$F$1504,"&lt;&gt;İptal")&gt;1,"Çakışıyor",""))</f>
        <v/>
      </c>
    </row>
    <row r="823" customFormat="false" ht="15" hidden="false" customHeight="false" outlineLevel="0" collapsed="false">
      <c r="A823" s="12"/>
      <c r="B823" s="12"/>
      <c r="C823" s="13"/>
      <c r="D823" s="14"/>
      <c r="E823" s="14"/>
      <c r="F823" s="13"/>
      <c r="G823" s="15"/>
      <c r="H823" s="16" t="str">
        <f aca="false">IF(OR(D823="",E823="",E823&lt;D823),"",E823-D823+1)</f>
        <v/>
      </c>
      <c r="I823" s="17" t="str">
        <f aca="false">IF(OR(H823="",C823=""),"",IF(F823="İptal",0,H823*IFERROR(INDEX(Ürünler!$B$5:$B$64,MATCH(C823,Ürünler!$A$5:$A$64,0)),0)-G823))</f>
        <v/>
      </c>
      <c r="J823" s="18" t="str">
        <f aca="false">IF(OR(H823="",C823="",F823="İptal"),"",IF(COUNTIFS($C$5:$C$1504,C823,$D$5:$D$1504,"&lt;="&amp;E823,$E$5:$E$1504,"&gt;="&amp;D823,$F$5:$F$1504,"&lt;&gt;İptal")&gt;1,"Çakışıyor",""))</f>
        <v/>
      </c>
    </row>
    <row r="824" customFormat="false" ht="15" hidden="false" customHeight="false" outlineLevel="0" collapsed="false">
      <c r="A824" s="12"/>
      <c r="B824" s="12"/>
      <c r="C824" s="13"/>
      <c r="D824" s="14"/>
      <c r="E824" s="14"/>
      <c r="F824" s="13"/>
      <c r="G824" s="15"/>
      <c r="H824" s="16" t="str">
        <f aca="false">IF(OR(D824="",E824="",E824&lt;D824),"",E824-D824+1)</f>
        <v/>
      </c>
      <c r="I824" s="17" t="str">
        <f aca="false">IF(OR(H824="",C824=""),"",IF(F824="İptal",0,H824*IFERROR(INDEX(Ürünler!$B$5:$B$64,MATCH(C824,Ürünler!$A$5:$A$64,0)),0)-G824))</f>
        <v/>
      </c>
      <c r="J824" s="18" t="str">
        <f aca="false">IF(OR(H824="",C824="",F824="İptal"),"",IF(COUNTIFS($C$5:$C$1504,C824,$D$5:$D$1504,"&lt;="&amp;E824,$E$5:$E$1504,"&gt;="&amp;D824,$F$5:$F$1504,"&lt;&gt;İptal")&gt;1,"Çakışıyor",""))</f>
        <v/>
      </c>
    </row>
    <row r="825" customFormat="false" ht="15" hidden="false" customHeight="false" outlineLevel="0" collapsed="false">
      <c r="A825" s="12"/>
      <c r="B825" s="12"/>
      <c r="C825" s="13"/>
      <c r="D825" s="14"/>
      <c r="E825" s="14"/>
      <c r="F825" s="13"/>
      <c r="G825" s="15"/>
      <c r="H825" s="16" t="str">
        <f aca="false">IF(OR(D825="",E825="",E825&lt;D825),"",E825-D825+1)</f>
        <v/>
      </c>
      <c r="I825" s="17" t="str">
        <f aca="false">IF(OR(H825="",C825=""),"",IF(F825="İptal",0,H825*IFERROR(INDEX(Ürünler!$B$5:$B$64,MATCH(C825,Ürünler!$A$5:$A$64,0)),0)-G825))</f>
        <v/>
      </c>
      <c r="J825" s="18" t="str">
        <f aca="false">IF(OR(H825="",C825="",F825="İptal"),"",IF(COUNTIFS($C$5:$C$1504,C825,$D$5:$D$1504,"&lt;="&amp;E825,$E$5:$E$1504,"&gt;="&amp;D825,$F$5:$F$1504,"&lt;&gt;İptal")&gt;1,"Çakışıyor",""))</f>
        <v/>
      </c>
    </row>
    <row r="826" customFormat="false" ht="15" hidden="false" customHeight="false" outlineLevel="0" collapsed="false">
      <c r="A826" s="12"/>
      <c r="B826" s="12"/>
      <c r="C826" s="13"/>
      <c r="D826" s="14"/>
      <c r="E826" s="14"/>
      <c r="F826" s="13"/>
      <c r="G826" s="15"/>
      <c r="H826" s="16" t="str">
        <f aca="false">IF(OR(D826="",E826="",E826&lt;D826),"",E826-D826+1)</f>
        <v/>
      </c>
      <c r="I826" s="17" t="str">
        <f aca="false">IF(OR(H826="",C826=""),"",IF(F826="İptal",0,H826*IFERROR(INDEX(Ürünler!$B$5:$B$64,MATCH(C826,Ürünler!$A$5:$A$64,0)),0)-G826))</f>
        <v/>
      </c>
      <c r="J826" s="18" t="str">
        <f aca="false">IF(OR(H826="",C826="",F826="İptal"),"",IF(COUNTIFS($C$5:$C$1504,C826,$D$5:$D$1504,"&lt;="&amp;E826,$E$5:$E$1504,"&gt;="&amp;D826,$F$5:$F$1504,"&lt;&gt;İptal")&gt;1,"Çakışıyor",""))</f>
        <v/>
      </c>
    </row>
    <row r="827" customFormat="false" ht="15" hidden="false" customHeight="false" outlineLevel="0" collapsed="false">
      <c r="A827" s="12"/>
      <c r="B827" s="12"/>
      <c r="C827" s="13"/>
      <c r="D827" s="14"/>
      <c r="E827" s="14"/>
      <c r="F827" s="13"/>
      <c r="G827" s="15"/>
      <c r="H827" s="16" t="str">
        <f aca="false">IF(OR(D827="",E827="",E827&lt;D827),"",E827-D827+1)</f>
        <v/>
      </c>
      <c r="I827" s="17" t="str">
        <f aca="false">IF(OR(H827="",C827=""),"",IF(F827="İptal",0,H827*IFERROR(INDEX(Ürünler!$B$5:$B$64,MATCH(C827,Ürünler!$A$5:$A$64,0)),0)-G827))</f>
        <v/>
      </c>
      <c r="J827" s="18" t="str">
        <f aca="false">IF(OR(H827="",C827="",F827="İptal"),"",IF(COUNTIFS($C$5:$C$1504,C827,$D$5:$D$1504,"&lt;="&amp;E827,$E$5:$E$1504,"&gt;="&amp;D827,$F$5:$F$1504,"&lt;&gt;İptal")&gt;1,"Çakışıyor",""))</f>
        <v/>
      </c>
    </row>
    <row r="828" customFormat="false" ht="15" hidden="false" customHeight="false" outlineLevel="0" collapsed="false">
      <c r="A828" s="12"/>
      <c r="B828" s="12"/>
      <c r="C828" s="13"/>
      <c r="D828" s="14"/>
      <c r="E828" s="14"/>
      <c r="F828" s="13"/>
      <c r="G828" s="15"/>
      <c r="H828" s="16" t="str">
        <f aca="false">IF(OR(D828="",E828="",E828&lt;D828),"",E828-D828+1)</f>
        <v/>
      </c>
      <c r="I828" s="17" t="str">
        <f aca="false">IF(OR(H828="",C828=""),"",IF(F828="İptal",0,H828*IFERROR(INDEX(Ürünler!$B$5:$B$64,MATCH(C828,Ürünler!$A$5:$A$64,0)),0)-G828))</f>
        <v/>
      </c>
      <c r="J828" s="18" t="str">
        <f aca="false">IF(OR(H828="",C828="",F828="İptal"),"",IF(COUNTIFS($C$5:$C$1504,C828,$D$5:$D$1504,"&lt;="&amp;E828,$E$5:$E$1504,"&gt;="&amp;D828,$F$5:$F$1504,"&lt;&gt;İptal")&gt;1,"Çakışıyor",""))</f>
        <v/>
      </c>
    </row>
    <row r="829" customFormat="false" ht="15" hidden="false" customHeight="false" outlineLevel="0" collapsed="false">
      <c r="A829" s="12"/>
      <c r="B829" s="12"/>
      <c r="C829" s="13"/>
      <c r="D829" s="14"/>
      <c r="E829" s="14"/>
      <c r="F829" s="13"/>
      <c r="G829" s="15"/>
      <c r="H829" s="16" t="str">
        <f aca="false">IF(OR(D829="",E829="",E829&lt;D829),"",E829-D829+1)</f>
        <v/>
      </c>
      <c r="I829" s="17" t="str">
        <f aca="false">IF(OR(H829="",C829=""),"",IF(F829="İptal",0,H829*IFERROR(INDEX(Ürünler!$B$5:$B$64,MATCH(C829,Ürünler!$A$5:$A$64,0)),0)-G829))</f>
        <v/>
      </c>
      <c r="J829" s="18" t="str">
        <f aca="false">IF(OR(H829="",C829="",F829="İptal"),"",IF(COUNTIFS($C$5:$C$1504,C829,$D$5:$D$1504,"&lt;="&amp;E829,$E$5:$E$1504,"&gt;="&amp;D829,$F$5:$F$1504,"&lt;&gt;İptal")&gt;1,"Çakışıyor",""))</f>
        <v/>
      </c>
    </row>
    <row r="830" customFormat="false" ht="15" hidden="false" customHeight="false" outlineLevel="0" collapsed="false">
      <c r="A830" s="12"/>
      <c r="B830" s="12"/>
      <c r="C830" s="13"/>
      <c r="D830" s="14"/>
      <c r="E830" s="14"/>
      <c r="F830" s="13"/>
      <c r="G830" s="15"/>
      <c r="H830" s="16" t="str">
        <f aca="false">IF(OR(D830="",E830="",E830&lt;D830),"",E830-D830+1)</f>
        <v/>
      </c>
      <c r="I830" s="17" t="str">
        <f aca="false">IF(OR(H830="",C830=""),"",IF(F830="İptal",0,H830*IFERROR(INDEX(Ürünler!$B$5:$B$64,MATCH(C830,Ürünler!$A$5:$A$64,0)),0)-G830))</f>
        <v/>
      </c>
      <c r="J830" s="18" t="str">
        <f aca="false">IF(OR(H830="",C830="",F830="İptal"),"",IF(COUNTIFS($C$5:$C$1504,C830,$D$5:$D$1504,"&lt;="&amp;E830,$E$5:$E$1504,"&gt;="&amp;D830,$F$5:$F$1504,"&lt;&gt;İptal")&gt;1,"Çakışıyor",""))</f>
        <v/>
      </c>
    </row>
    <row r="831" customFormat="false" ht="15" hidden="false" customHeight="false" outlineLevel="0" collapsed="false">
      <c r="A831" s="12"/>
      <c r="B831" s="12"/>
      <c r="C831" s="13"/>
      <c r="D831" s="14"/>
      <c r="E831" s="14"/>
      <c r="F831" s="13"/>
      <c r="G831" s="15"/>
      <c r="H831" s="16" t="str">
        <f aca="false">IF(OR(D831="",E831="",E831&lt;D831),"",E831-D831+1)</f>
        <v/>
      </c>
      <c r="I831" s="17" t="str">
        <f aca="false">IF(OR(H831="",C831=""),"",IF(F831="İptal",0,H831*IFERROR(INDEX(Ürünler!$B$5:$B$64,MATCH(C831,Ürünler!$A$5:$A$64,0)),0)-G831))</f>
        <v/>
      </c>
      <c r="J831" s="18" t="str">
        <f aca="false">IF(OR(H831="",C831="",F831="İptal"),"",IF(COUNTIFS($C$5:$C$1504,C831,$D$5:$D$1504,"&lt;="&amp;E831,$E$5:$E$1504,"&gt;="&amp;D831,$F$5:$F$1504,"&lt;&gt;İptal")&gt;1,"Çakışıyor",""))</f>
        <v/>
      </c>
    </row>
    <row r="832" customFormat="false" ht="15" hidden="false" customHeight="false" outlineLevel="0" collapsed="false">
      <c r="A832" s="12"/>
      <c r="B832" s="12"/>
      <c r="C832" s="13"/>
      <c r="D832" s="14"/>
      <c r="E832" s="14"/>
      <c r="F832" s="13"/>
      <c r="G832" s="15"/>
      <c r="H832" s="16" t="str">
        <f aca="false">IF(OR(D832="",E832="",E832&lt;D832),"",E832-D832+1)</f>
        <v/>
      </c>
      <c r="I832" s="17" t="str">
        <f aca="false">IF(OR(H832="",C832=""),"",IF(F832="İptal",0,H832*IFERROR(INDEX(Ürünler!$B$5:$B$64,MATCH(C832,Ürünler!$A$5:$A$64,0)),0)-G832))</f>
        <v/>
      </c>
      <c r="J832" s="18" t="str">
        <f aca="false">IF(OR(H832="",C832="",F832="İptal"),"",IF(COUNTIFS($C$5:$C$1504,C832,$D$5:$D$1504,"&lt;="&amp;E832,$E$5:$E$1504,"&gt;="&amp;D832,$F$5:$F$1504,"&lt;&gt;İptal")&gt;1,"Çakışıyor",""))</f>
        <v/>
      </c>
    </row>
    <row r="833" customFormat="false" ht="15" hidden="false" customHeight="false" outlineLevel="0" collapsed="false">
      <c r="A833" s="12"/>
      <c r="B833" s="12"/>
      <c r="C833" s="13"/>
      <c r="D833" s="14"/>
      <c r="E833" s="14"/>
      <c r="F833" s="13"/>
      <c r="G833" s="15"/>
      <c r="H833" s="16" t="str">
        <f aca="false">IF(OR(D833="",E833="",E833&lt;D833),"",E833-D833+1)</f>
        <v/>
      </c>
      <c r="I833" s="17" t="str">
        <f aca="false">IF(OR(H833="",C833=""),"",IF(F833="İptal",0,H833*IFERROR(INDEX(Ürünler!$B$5:$B$64,MATCH(C833,Ürünler!$A$5:$A$64,0)),0)-G833))</f>
        <v/>
      </c>
      <c r="J833" s="18" t="str">
        <f aca="false">IF(OR(H833="",C833="",F833="İptal"),"",IF(COUNTIFS($C$5:$C$1504,C833,$D$5:$D$1504,"&lt;="&amp;E833,$E$5:$E$1504,"&gt;="&amp;D833,$F$5:$F$1504,"&lt;&gt;İptal")&gt;1,"Çakışıyor",""))</f>
        <v/>
      </c>
    </row>
    <row r="834" customFormat="false" ht="15" hidden="false" customHeight="false" outlineLevel="0" collapsed="false">
      <c r="A834" s="12"/>
      <c r="B834" s="12"/>
      <c r="C834" s="13"/>
      <c r="D834" s="14"/>
      <c r="E834" s="14"/>
      <c r="F834" s="13"/>
      <c r="G834" s="15"/>
      <c r="H834" s="16" t="str">
        <f aca="false">IF(OR(D834="",E834="",E834&lt;D834),"",E834-D834+1)</f>
        <v/>
      </c>
      <c r="I834" s="17" t="str">
        <f aca="false">IF(OR(H834="",C834=""),"",IF(F834="İptal",0,H834*IFERROR(INDEX(Ürünler!$B$5:$B$64,MATCH(C834,Ürünler!$A$5:$A$64,0)),0)-G834))</f>
        <v/>
      </c>
      <c r="J834" s="18" t="str">
        <f aca="false">IF(OR(H834="",C834="",F834="İptal"),"",IF(COUNTIFS($C$5:$C$1504,C834,$D$5:$D$1504,"&lt;="&amp;E834,$E$5:$E$1504,"&gt;="&amp;D834,$F$5:$F$1504,"&lt;&gt;İptal")&gt;1,"Çakışıyor",""))</f>
        <v/>
      </c>
    </row>
    <row r="835" customFormat="false" ht="15" hidden="false" customHeight="false" outlineLevel="0" collapsed="false">
      <c r="A835" s="12"/>
      <c r="B835" s="12"/>
      <c r="C835" s="13"/>
      <c r="D835" s="14"/>
      <c r="E835" s="14"/>
      <c r="F835" s="13"/>
      <c r="G835" s="15"/>
      <c r="H835" s="16" t="str">
        <f aca="false">IF(OR(D835="",E835="",E835&lt;D835),"",E835-D835+1)</f>
        <v/>
      </c>
      <c r="I835" s="17" t="str">
        <f aca="false">IF(OR(H835="",C835=""),"",IF(F835="İptal",0,H835*IFERROR(INDEX(Ürünler!$B$5:$B$64,MATCH(C835,Ürünler!$A$5:$A$64,0)),0)-G835))</f>
        <v/>
      </c>
      <c r="J835" s="18" t="str">
        <f aca="false">IF(OR(H835="",C835="",F835="İptal"),"",IF(COUNTIFS($C$5:$C$1504,C835,$D$5:$D$1504,"&lt;="&amp;E835,$E$5:$E$1504,"&gt;="&amp;D835,$F$5:$F$1504,"&lt;&gt;İptal")&gt;1,"Çakışıyor",""))</f>
        <v/>
      </c>
    </row>
    <row r="836" customFormat="false" ht="15" hidden="false" customHeight="false" outlineLevel="0" collapsed="false">
      <c r="A836" s="12"/>
      <c r="B836" s="12"/>
      <c r="C836" s="13"/>
      <c r="D836" s="14"/>
      <c r="E836" s="14"/>
      <c r="F836" s="13"/>
      <c r="G836" s="15"/>
      <c r="H836" s="16" t="str">
        <f aca="false">IF(OR(D836="",E836="",E836&lt;D836),"",E836-D836+1)</f>
        <v/>
      </c>
      <c r="I836" s="17" t="str">
        <f aca="false">IF(OR(H836="",C836=""),"",IF(F836="İptal",0,H836*IFERROR(INDEX(Ürünler!$B$5:$B$64,MATCH(C836,Ürünler!$A$5:$A$64,0)),0)-G836))</f>
        <v/>
      </c>
      <c r="J836" s="18" t="str">
        <f aca="false">IF(OR(H836="",C836="",F836="İptal"),"",IF(COUNTIFS($C$5:$C$1504,C836,$D$5:$D$1504,"&lt;="&amp;E836,$E$5:$E$1504,"&gt;="&amp;D836,$F$5:$F$1504,"&lt;&gt;İptal")&gt;1,"Çakışıyor",""))</f>
        <v/>
      </c>
    </row>
    <row r="837" customFormat="false" ht="15" hidden="false" customHeight="false" outlineLevel="0" collapsed="false">
      <c r="A837" s="12"/>
      <c r="B837" s="12"/>
      <c r="C837" s="13"/>
      <c r="D837" s="14"/>
      <c r="E837" s="14"/>
      <c r="F837" s="13"/>
      <c r="G837" s="15"/>
      <c r="H837" s="16" t="str">
        <f aca="false">IF(OR(D837="",E837="",E837&lt;D837),"",E837-D837+1)</f>
        <v/>
      </c>
      <c r="I837" s="17" t="str">
        <f aca="false">IF(OR(H837="",C837=""),"",IF(F837="İptal",0,H837*IFERROR(INDEX(Ürünler!$B$5:$B$64,MATCH(C837,Ürünler!$A$5:$A$64,0)),0)-G837))</f>
        <v/>
      </c>
      <c r="J837" s="18" t="str">
        <f aca="false">IF(OR(H837="",C837="",F837="İptal"),"",IF(COUNTIFS($C$5:$C$1504,C837,$D$5:$D$1504,"&lt;="&amp;E837,$E$5:$E$1504,"&gt;="&amp;D837,$F$5:$F$1504,"&lt;&gt;İptal")&gt;1,"Çakışıyor",""))</f>
        <v/>
      </c>
    </row>
    <row r="838" customFormat="false" ht="15" hidden="false" customHeight="false" outlineLevel="0" collapsed="false">
      <c r="A838" s="12"/>
      <c r="B838" s="12"/>
      <c r="C838" s="13"/>
      <c r="D838" s="14"/>
      <c r="E838" s="14"/>
      <c r="F838" s="13"/>
      <c r="G838" s="15"/>
      <c r="H838" s="16" t="str">
        <f aca="false">IF(OR(D838="",E838="",E838&lt;D838),"",E838-D838+1)</f>
        <v/>
      </c>
      <c r="I838" s="17" t="str">
        <f aca="false">IF(OR(H838="",C838=""),"",IF(F838="İptal",0,H838*IFERROR(INDEX(Ürünler!$B$5:$B$64,MATCH(C838,Ürünler!$A$5:$A$64,0)),0)-G838))</f>
        <v/>
      </c>
      <c r="J838" s="18" t="str">
        <f aca="false">IF(OR(H838="",C838="",F838="İptal"),"",IF(COUNTIFS($C$5:$C$1504,C838,$D$5:$D$1504,"&lt;="&amp;E838,$E$5:$E$1504,"&gt;="&amp;D838,$F$5:$F$1504,"&lt;&gt;İptal")&gt;1,"Çakışıyor",""))</f>
        <v/>
      </c>
    </row>
    <row r="839" customFormat="false" ht="15" hidden="false" customHeight="false" outlineLevel="0" collapsed="false">
      <c r="A839" s="12"/>
      <c r="B839" s="12"/>
      <c r="C839" s="13"/>
      <c r="D839" s="14"/>
      <c r="E839" s="14"/>
      <c r="F839" s="13"/>
      <c r="G839" s="15"/>
      <c r="H839" s="16" t="str">
        <f aca="false">IF(OR(D839="",E839="",E839&lt;D839),"",E839-D839+1)</f>
        <v/>
      </c>
      <c r="I839" s="17" t="str">
        <f aca="false">IF(OR(H839="",C839=""),"",IF(F839="İptal",0,H839*IFERROR(INDEX(Ürünler!$B$5:$B$64,MATCH(C839,Ürünler!$A$5:$A$64,0)),0)-G839))</f>
        <v/>
      </c>
      <c r="J839" s="18" t="str">
        <f aca="false">IF(OR(H839="",C839="",F839="İptal"),"",IF(COUNTIFS($C$5:$C$1504,C839,$D$5:$D$1504,"&lt;="&amp;E839,$E$5:$E$1504,"&gt;="&amp;D839,$F$5:$F$1504,"&lt;&gt;İptal")&gt;1,"Çakışıyor",""))</f>
        <v/>
      </c>
    </row>
    <row r="840" customFormat="false" ht="15" hidden="false" customHeight="false" outlineLevel="0" collapsed="false">
      <c r="A840" s="12"/>
      <c r="B840" s="12"/>
      <c r="C840" s="13"/>
      <c r="D840" s="14"/>
      <c r="E840" s="14"/>
      <c r="F840" s="13"/>
      <c r="G840" s="15"/>
      <c r="H840" s="16" t="str">
        <f aca="false">IF(OR(D840="",E840="",E840&lt;D840),"",E840-D840+1)</f>
        <v/>
      </c>
      <c r="I840" s="17" t="str">
        <f aca="false">IF(OR(H840="",C840=""),"",IF(F840="İptal",0,H840*IFERROR(INDEX(Ürünler!$B$5:$B$64,MATCH(C840,Ürünler!$A$5:$A$64,0)),0)-G840))</f>
        <v/>
      </c>
      <c r="J840" s="18" t="str">
        <f aca="false">IF(OR(H840="",C840="",F840="İptal"),"",IF(COUNTIFS($C$5:$C$1504,C840,$D$5:$D$1504,"&lt;="&amp;E840,$E$5:$E$1504,"&gt;="&amp;D840,$F$5:$F$1504,"&lt;&gt;İptal")&gt;1,"Çakışıyor",""))</f>
        <v/>
      </c>
    </row>
    <row r="841" customFormat="false" ht="15" hidden="false" customHeight="false" outlineLevel="0" collapsed="false">
      <c r="A841" s="12"/>
      <c r="B841" s="12"/>
      <c r="C841" s="13"/>
      <c r="D841" s="14"/>
      <c r="E841" s="14"/>
      <c r="F841" s="13"/>
      <c r="G841" s="15"/>
      <c r="H841" s="16" t="str">
        <f aca="false">IF(OR(D841="",E841="",E841&lt;D841),"",E841-D841+1)</f>
        <v/>
      </c>
      <c r="I841" s="17" t="str">
        <f aca="false">IF(OR(H841="",C841=""),"",IF(F841="İptal",0,H841*IFERROR(INDEX(Ürünler!$B$5:$B$64,MATCH(C841,Ürünler!$A$5:$A$64,0)),0)-G841))</f>
        <v/>
      </c>
      <c r="J841" s="18" t="str">
        <f aca="false">IF(OR(H841="",C841="",F841="İptal"),"",IF(COUNTIFS($C$5:$C$1504,C841,$D$5:$D$1504,"&lt;="&amp;E841,$E$5:$E$1504,"&gt;="&amp;D841,$F$5:$F$1504,"&lt;&gt;İptal")&gt;1,"Çakışıyor",""))</f>
        <v/>
      </c>
    </row>
    <row r="842" customFormat="false" ht="15" hidden="false" customHeight="false" outlineLevel="0" collapsed="false">
      <c r="A842" s="12"/>
      <c r="B842" s="12"/>
      <c r="C842" s="13"/>
      <c r="D842" s="14"/>
      <c r="E842" s="14"/>
      <c r="F842" s="13"/>
      <c r="G842" s="15"/>
      <c r="H842" s="16" t="str">
        <f aca="false">IF(OR(D842="",E842="",E842&lt;D842),"",E842-D842+1)</f>
        <v/>
      </c>
      <c r="I842" s="17" t="str">
        <f aca="false">IF(OR(H842="",C842=""),"",IF(F842="İptal",0,H842*IFERROR(INDEX(Ürünler!$B$5:$B$64,MATCH(C842,Ürünler!$A$5:$A$64,0)),0)-G842))</f>
        <v/>
      </c>
      <c r="J842" s="18" t="str">
        <f aca="false">IF(OR(H842="",C842="",F842="İptal"),"",IF(COUNTIFS($C$5:$C$1504,C842,$D$5:$D$1504,"&lt;="&amp;E842,$E$5:$E$1504,"&gt;="&amp;D842,$F$5:$F$1504,"&lt;&gt;İptal")&gt;1,"Çakışıyor",""))</f>
        <v/>
      </c>
    </row>
    <row r="843" customFormat="false" ht="15" hidden="false" customHeight="false" outlineLevel="0" collapsed="false">
      <c r="A843" s="12"/>
      <c r="B843" s="12"/>
      <c r="C843" s="13"/>
      <c r="D843" s="14"/>
      <c r="E843" s="14"/>
      <c r="F843" s="13"/>
      <c r="G843" s="15"/>
      <c r="H843" s="16" t="str">
        <f aca="false">IF(OR(D843="",E843="",E843&lt;D843),"",E843-D843+1)</f>
        <v/>
      </c>
      <c r="I843" s="17" t="str">
        <f aca="false">IF(OR(H843="",C843=""),"",IF(F843="İptal",0,H843*IFERROR(INDEX(Ürünler!$B$5:$B$64,MATCH(C843,Ürünler!$A$5:$A$64,0)),0)-G843))</f>
        <v/>
      </c>
      <c r="J843" s="18" t="str">
        <f aca="false">IF(OR(H843="",C843="",F843="İptal"),"",IF(COUNTIFS($C$5:$C$1504,C843,$D$5:$D$1504,"&lt;="&amp;E843,$E$5:$E$1504,"&gt;="&amp;D843,$F$5:$F$1504,"&lt;&gt;İptal")&gt;1,"Çakışıyor",""))</f>
        <v/>
      </c>
    </row>
    <row r="844" customFormat="false" ht="15" hidden="false" customHeight="false" outlineLevel="0" collapsed="false">
      <c r="A844" s="12"/>
      <c r="B844" s="12"/>
      <c r="C844" s="13"/>
      <c r="D844" s="14"/>
      <c r="E844" s="14"/>
      <c r="F844" s="13"/>
      <c r="G844" s="15"/>
      <c r="H844" s="16" t="str">
        <f aca="false">IF(OR(D844="",E844="",E844&lt;D844),"",E844-D844+1)</f>
        <v/>
      </c>
      <c r="I844" s="17" t="str">
        <f aca="false">IF(OR(H844="",C844=""),"",IF(F844="İptal",0,H844*IFERROR(INDEX(Ürünler!$B$5:$B$64,MATCH(C844,Ürünler!$A$5:$A$64,0)),0)-G844))</f>
        <v/>
      </c>
      <c r="J844" s="18" t="str">
        <f aca="false">IF(OR(H844="",C844="",F844="İptal"),"",IF(COUNTIFS($C$5:$C$1504,C844,$D$5:$D$1504,"&lt;="&amp;E844,$E$5:$E$1504,"&gt;="&amp;D844,$F$5:$F$1504,"&lt;&gt;İptal")&gt;1,"Çakışıyor",""))</f>
        <v/>
      </c>
    </row>
    <row r="845" customFormat="false" ht="15" hidden="false" customHeight="false" outlineLevel="0" collapsed="false">
      <c r="A845" s="12"/>
      <c r="B845" s="12"/>
      <c r="C845" s="13"/>
      <c r="D845" s="14"/>
      <c r="E845" s="14"/>
      <c r="F845" s="13"/>
      <c r="G845" s="15"/>
      <c r="H845" s="16" t="str">
        <f aca="false">IF(OR(D845="",E845="",E845&lt;D845),"",E845-D845+1)</f>
        <v/>
      </c>
      <c r="I845" s="17" t="str">
        <f aca="false">IF(OR(H845="",C845=""),"",IF(F845="İptal",0,H845*IFERROR(INDEX(Ürünler!$B$5:$B$64,MATCH(C845,Ürünler!$A$5:$A$64,0)),0)-G845))</f>
        <v/>
      </c>
      <c r="J845" s="18" t="str">
        <f aca="false">IF(OR(H845="",C845="",F845="İptal"),"",IF(COUNTIFS($C$5:$C$1504,C845,$D$5:$D$1504,"&lt;="&amp;E845,$E$5:$E$1504,"&gt;="&amp;D845,$F$5:$F$1504,"&lt;&gt;İptal")&gt;1,"Çakışıyor",""))</f>
        <v/>
      </c>
    </row>
    <row r="846" customFormat="false" ht="15" hidden="false" customHeight="false" outlineLevel="0" collapsed="false">
      <c r="A846" s="12"/>
      <c r="B846" s="12"/>
      <c r="C846" s="13"/>
      <c r="D846" s="14"/>
      <c r="E846" s="14"/>
      <c r="F846" s="13"/>
      <c r="G846" s="15"/>
      <c r="H846" s="16" t="str">
        <f aca="false">IF(OR(D846="",E846="",E846&lt;D846),"",E846-D846+1)</f>
        <v/>
      </c>
      <c r="I846" s="17" t="str">
        <f aca="false">IF(OR(H846="",C846=""),"",IF(F846="İptal",0,H846*IFERROR(INDEX(Ürünler!$B$5:$B$64,MATCH(C846,Ürünler!$A$5:$A$64,0)),0)-G846))</f>
        <v/>
      </c>
      <c r="J846" s="18" t="str">
        <f aca="false">IF(OR(H846="",C846="",F846="İptal"),"",IF(COUNTIFS($C$5:$C$1504,C846,$D$5:$D$1504,"&lt;="&amp;E846,$E$5:$E$1504,"&gt;="&amp;D846,$F$5:$F$1504,"&lt;&gt;İptal")&gt;1,"Çakışıyor",""))</f>
        <v/>
      </c>
    </row>
    <row r="847" customFormat="false" ht="15" hidden="false" customHeight="false" outlineLevel="0" collapsed="false">
      <c r="A847" s="12"/>
      <c r="B847" s="12"/>
      <c r="C847" s="13"/>
      <c r="D847" s="14"/>
      <c r="E847" s="14"/>
      <c r="F847" s="13"/>
      <c r="G847" s="15"/>
      <c r="H847" s="16" t="str">
        <f aca="false">IF(OR(D847="",E847="",E847&lt;D847),"",E847-D847+1)</f>
        <v/>
      </c>
      <c r="I847" s="17" t="str">
        <f aca="false">IF(OR(H847="",C847=""),"",IF(F847="İptal",0,H847*IFERROR(INDEX(Ürünler!$B$5:$B$64,MATCH(C847,Ürünler!$A$5:$A$64,0)),0)-G847))</f>
        <v/>
      </c>
      <c r="J847" s="18" t="str">
        <f aca="false">IF(OR(H847="",C847="",F847="İptal"),"",IF(COUNTIFS($C$5:$C$1504,C847,$D$5:$D$1504,"&lt;="&amp;E847,$E$5:$E$1504,"&gt;="&amp;D847,$F$5:$F$1504,"&lt;&gt;İptal")&gt;1,"Çakışıyor",""))</f>
        <v/>
      </c>
    </row>
    <row r="848" customFormat="false" ht="15" hidden="false" customHeight="false" outlineLevel="0" collapsed="false">
      <c r="A848" s="12"/>
      <c r="B848" s="12"/>
      <c r="C848" s="13"/>
      <c r="D848" s="14"/>
      <c r="E848" s="14"/>
      <c r="F848" s="13"/>
      <c r="G848" s="15"/>
      <c r="H848" s="16" t="str">
        <f aca="false">IF(OR(D848="",E848="",E848&lt;D848),"",E848-D848+1)</f>
        <v/>
      </c>
      <c r="I848" s="17" t="str">
        <f aca="false">IF(OR(H848="",C848=""),"",IF(F848="İptal",0,H848*IFERROR(INDEX(Ürünler!$B$5:$B$64,MATCH(C848,Ürünler!$A$5:$A$64,0)),0)-G848))</f>
        <v/>
      </c>
      <c r="J848" s="18" t="str">
        <f aca="false">IF(OR(H848="",C848="",F848="İptal"),"",IF(COUNTIFS($C$5:$C$1504,C848,$D$5:$D$1504,"&lt;="&amp;E848,$E$5:$E$1504,"&gt;="&amp;D848,$F$5:$F$1504,"&lt;&gt;İptal")&gt;1,"Çakışıyor",""))</f>
        <v/>
      </c>
    </row>
    <row r="849" customFormat="false" ht="15" hidden="false" customHeight="false" outlineLevel="0" collapsed="false">
      <c r="A849" s="12"/>
      <c r="B849" s="12"/>
      <c r="C849" s="13"/>
      <c r="D849" s="14"/>
      <c r="E849" s="14"/>
      <c r="F849" s="13"/>
      <c r="G849" s="15"/>
      <c r="H849" s="16" t="str">
        <f aca="false">IF(OR(D849="",E849="",E849&lt;D849),"",E849-D849+1)</f>
        <v/>
      </c>
      <c r="I849" s="17" t="str">
        <f aca="false">IF(OR(H849="",C849=""),"",IF(F849="İptal",0,H849*IFERROR(INDEX(Ürünler!$B$5:$B$64,MATCH(C849,Ürünler!$A$5:$A$64,0)),0)-G849))</f>
        <v/>
      </c>
      <c r="J849" s="18" t="str">
        <f aca="false">IF(OR(H849="",C849="",F849="İptal"),"",IF(COUNTIFS($C$5:$C$1504,C849,$D$5:$D$1504,"&lt;="&amp;E849,$E$5:$E$1504,"&gt;="&amp;D849,$F$5:$F$1504,"&lt;&gt;İptal")&gt;1,"Çakışıyor",""))</f>
        <v/>
      </c>
    </row>
    <row r="850" customFormat="false" ht="15" hidden="false" customHeight="false" outlineLevel="0" collapsed="false">
      <c r="A850" s="12"/>
      <c r="B850" s="12"/>
      <c r="C850" s="13"/>
      <c r="D850" s="14"/>
      <c r="E850" s="14"/>
      <c r="F850" s="13"/>
      <c r="G850" s="15"/>
      <c r="H850" s="16" t="str">
        <f aca="false">IF(OR(D850="",E850="",E850&lt;D850),"",E850-D850+1)</f>
        <v/>
      </c>
      <c r="I850" s="17" t="str">
        <f aca="false">IF(OR(H850="",C850=""),"",IF(F850="İptal",0,H850*IFERROR(INDEX(Ürünler!$B$5:$B$64,MATCH(C850,Ürünler!$A$5:$A$64,0)),0)-G850))</f>
        <v/>
      </c>
      <c r="J850" s="18" t="str">
        <f aca="false">IF(OR(H850="",C850="",F850="İptal"),"",IF(COUNTIFS($C$5:$C$1504,C850,$D$5:$D$1504,"&lt;="&amp;E850,$E$5:$E$1504,"&gt;="&amp;D850,$F$5:$F$1504,"&lt;&gt;İptal")&gt;1,"Çakışıyor",""))</f>
        <v/>
      </c>
    </row>
    <row r="851" customFormat="false" ht="15" hidden="false" customHeight="false" outlineLevel="0" collapsed="false">
      <c r="A851" s="12"/>
      <c r="B851" s="12"/>
      <c r="C851" s="13"/>
      <c r="D851" s="14"/>
      <c r="E851" s="14"/>
      <c r="F851" s="13"/>
      <c r="G851" s="15"/>
      <c r="H851" s="16" t="str">
        <f aca="false">IF(OR(D851="",E851="",E851&lt;D851),"",E851-D851+1)</f>
        <v/>
      </c>
      <c r="I851" s="17" t="str">
        <f aca="false">IF(OR(H851="",C851=""),"",IF(F851="İptal",0,H851*IFERROR(INDEX(Ürünler!$B$5:$B$64,MATCH(C851,Ürünler!$A$5:$A$64,0)),0)-G851))</f>
        <v/>
      </c>
      <c r="J851" s="18" t="str">
        <f aca="false">IF(OR(H851="",C851="",F851="İptal"),"",IF(COUNTIFS($C$5:$C$1504,C851,$D$5:$D$1504,"&lt;="&amp;E851,$E$5:$E$1504,"&gt;="&amp;D851,$F$5:$F$1504,"&lt;&gt;İptal")&gt;1,"Çakışıyor",""))</f>
        <v/>
      </c>
    </row>
    <row r="852" customFormat="false" ht="15" hidden="false" customHeight="false" outlineLevel="0" collapsed="false">
      <c r="A852" s="12"/>
      <c r="B852" s="12"/>
      <c r="C852" s="13"/>
      <c r="D852" s="14"/>
      <c r="E852" s="14"/>
      <c r="F852" s="13"/>
      <c r="G852" s="15"/>
      <c r="H852" s="16" t="str">
        <f aca="false">IF(OR(D852="",E852="",E852&lt;D852),"",E852-D852+1)</f>
        <v/>
      </c>
      <c r="I852" s="17" t="str">
        <f aca="false">IF(OR(H852="",C852=""),"",IF(F852="İptal",0,H852*IFERROR(INDEX(Ürünler!$B$5:$B$64,MATCH(C852,Ürünler!$A$5:$A$64,0)),0)-G852))</f>
        <v/>
      </c>
      <c r="J852" s="18" t="str">
        <f aca="false">IF(OR(H852="",C852="",F852="İptal"),"",IF(COUNTIFS($C$5:$C$1504,C852,$D$5:$D$1504,"&lt;="&amp;E852,$E$5:$E$1504,"&gt;="&amp;D852,$F$5:$F$1504,"&lt;&gt;İptal")&gt;1,"Çakışıyor",""))</f>
        <v/>
      </c>
    </row>
    <row r="853" customFormat="false" ht="15" hidden="false" customHeight="false" outlineLevel="0" collapsed="false">
      <c r="A853" s="12"/>
      <c r="B853" s="12"/>
      <c r="C853" s="13"/>
      <c r="D853" s="14"/>
      <c r="E853" s="14"/>
      <c r="F853" s="13"/>
      <c r="G853" s="15"/>
      <c r="H853" s="16" t="str">
        <f aca="false">IF(OR(D853="",E853="",E853&lt;D853),"",E853-D853+1)</f>
        <v/>
      </c>
      <c r="I853" s="17" t="str">
        <f aca="false">IF(OR(H853="",C853=""),"",IF(F853="İptal",0,H853*IFERROR(INDEX(Ürünler!$B$5:$B$64,MATCH(C853,Ürünler!$A$5:$A$64,0)),0)-G853))</f>
        <v/>
      </c>
      <c r="J853" s="18" t="str">
        <f aca="false">IF(OR(H853="",C853="",F853="İptal"),"",IF(COUNTIFS($C$5:$C$1504,C853,$D$5:$D$1504,"&lt;="&amp;E853,$E$5:$E$1504,"&gt;="&amp;D853,$F$5:$F$1504,"&lt;&gt;İptal")&gt;1,"Çakışıyor",""))</f>
        <v/>
      </c>
    </row>
    <row r="854" customFormat="false" ht="15" hidden="false" customHeight="false" outlineLevel="0" collapsed="false">
      <c r="A854" s="12"/>
      <c r="B854" s="12"/>
      <c r="C854" s="13"/>
      <c r="D854" s="14"/>
      <c r="E854" s="14"/>
      <c r="F854" s="13"/>
      <c r="G854" s="15"/>
      <c r="H854" s="16" t="str">
        <f aca="false">IF(OR(D854="",E854="",E854&lt;D854),"",E854-D854+1)</f>
        <v/>
      </c>
      <c r="I854" s="17" t="str">
        <f aca="false">IF(OR(H854="",C854=""),"",IF(F854="İptal",0,H854*IFERROR(INDEX(Ürünler!$B$5:$B$64,MATCH(C854,Ürünler!$A$5:$A$64,0)),0)-G854))</f>
        <v/>
      </c>
      <c r="J854" s="18" t="str">
        <f aca="false">IF(OR(H854="",C854="",F854="İptal"),"",IF(COUNTIFS($C$5:$C$1504,C854,$D$5:$D$1504,"&lt;="&amp;E854,$E$5:$E$1504,"&gt;="&amp;D854,$F$5:$F$1504,"&lt;&gt;İptal")&gt;1,"Çakışıyor",""))</f>
        <v/>
      </c>
    </row>
    <row r="855" customFormat="false" ht="15" hidden="false" customHeight="false" outlineLevel="0" collapsed="false">
      <c r="A855" s="12"/>
      <c r="B855" s="12"/>
      <c r="C855" s="13"/>
      <c r="D855" s="14"/>
      <c r="E855" s="14"/>
      <c r="F855" s="13"/>
      <c r="G855" s="15"/>
      <c r="H855" s="16" t="str">
        <f aca="false">IF(OR(D855="",E855="",E855&lt;D855),"",E855-D855+1)</f>
        <v/>
      </c>
      <c r="I855" s="17" t="str">
        <f aca="false">IF(OR(H855="",C855=""),"",IF(F855="İptal",0,H855*IFERROR(INDEX(Ürünler!$B$5:$B$64,MATCH(C855,Ürünler!$A$5:$A$64,0)),0)-G855))</f>
        <v/>
      </c>
      <c r="J855" s="18" t="str">
        <f aca="false">IF(OR(H855="",C855="",F855="İptal"),"",IF(COUNTIFS($C$5:$C$1504,C855,$D$5:$D$1504,"&lt;="&amp;E855,$E$5:$E$1504,"&gt;="&amp;D855,$F$5:$F$1504,"&lt;&gt;İptal")&gt;1,"Çakışıyor",""))</f>
        <v/>
      </c>
    </row>
    <row r="856" customFormat="false" ht="15" hidden="false" customHeight="false" outlineLevel="0" collapsed="false">
      <c r="A856" s="12"/>
      <c r="B856" s="12"/>
      <c r="C856" s="13"/>
      <c r="D856" s="14"/>
      <c r="E856" s="14"/>
      <c r="F856" s="13"/>
      <c r="G856" s="15"/>
      <c r="H856" s="16" t="str">
        <f aca="false">IF(OR(D856="",E856="",E856&lt;D856),"",E856-D856+1)</f>
        <v/>
      </c>
      <c r="I856" s="17" t="str">
        <f aca="false">IF(OR(H856="",C856=""),"",IF(F856="İptal",0,H856*IFERROR(INDEX(Ürünler!$B$5:$B$64,MATCH(C856,Ürünler!$A$5:$A$64,0)),0)-G856))</f>
        <v/>
      </c>
      <c r="J856" s="18" t="str">
        <f aca="false">IF(OR(H856="",C856="",F856="İptal"),"",IF(COUNTIFS($C$5:$C$1504,C856,$D$5:$D$1504,"&lt;="&amp;E856,$E$5:$E$1504,"&gt;="&amp;D856,$F$5:$F$1504,"&lt;&gt;İptal")&gt;1,"Çakışıyor",""))</f>
        <v/>
      </c>
    </row>
    <row r="857" customFormat="false" ht="15" hidden="false" customHeight="false" outlineLevel="0" collapsed="false">
      <c r="A857" s="12"/>
      <c r="B857" s="12"/>
      <c r="C857" s="13"/>
      <c r="D857" s="14"/>
      <c r="E857" s="14"/>
      <c r="F857" s="13"/>
      <c r="G857" s="15"/>
      <c r="H857" s="16" t="str">
        <f aca="false">IF(OR(D857="",E857="",E857&lt;D857),"",E857-D857+1)</f>
        <v/>
      </c>
      <c r="I857" s="17" t="str">
        <f aca="false">IF(OR(H857="",C857=""),"",IF(F857="İptal",0,H857*IFERROR(INDEX(Ürünler!$B$5:$B$64,MATCH(C857,Ürünler!$A$5:$A$64,0)),0)-G857))</f>
        <v/>
      </c>
      <c r="J857" s="18" t="str">
        <f aca="false">IF(OR(H857="",C857="",F857="İptal"),"",IF(COUNTIFS($C$5:$C$1504,C857,$D$5:$D$1504,"&lt;="&amp;E857,$E$5:$E$1504,"&gt;="&amp;D857,$F$5:$F$1504,"&lt;&gt;İptal")&gt;1,"Çakışıyor",""))</f>
        <v/>
      </c>
    </row>
    <row r="858" customFormat="false" ht="15" hidden="false" customHeight="false" outlineLevel="0" collapsed="false">
      <c r="A858" s="12"/>
      <c r="B858" s="12"/>
      <c r="C858" s="13"/>
      <c r="D858" s="14"/>
      <c r="E858" s="14"/>
      <c r="F858" s="13"/>
      <c r="G858" s="15"/>
      <c r="H858" s="16" t="str">
        <f aca="false">IF(OR(D858="",E858="",E858&lt;D858),"",E858-D858+1)</f>
        <v/>
      </c>
      <c r="I858" s="17" t="str">
        <f aca="false">IF(OR(H858="",C858=""),"",IF(F858="İptal",0,H858*IFERROR(INDEX(Ürünler!$B$5:$B$64,MATCH(C858,Ürünler!$A$5:$A$64,0)),0)-G858))</f>
        <v/>
      </c>
      <c r="J858" s="18" t="str">
        <f aca="false">IF(OR(H858="",C858="",F858="İptal"),"",IF(COUNTIFS($C$5:$C$1504,C858,$D$5:$D$1504,"&lt;="&amp;E858,$E$5:$E$1504,"&gt;="&amp;D858,$F$5:$F$1504,"&lt;&gt;İptal")&gt;1,"Çakışıyor",""))</f>
        <v/>
      </c>
    </row>
    <row r="859" customFormat="false" ht="15" hidden="false" customHeight="false" outlineLevel="0" collapsed="false">
      <c r="A859" s="12"/>
      <c r="B859" s="12"/>
      <c r="C859" s="13"/>
      <c r="D859" s="14"/>
      <c r="E859" s="14"/>
      <c r="F859" s="13"/>
      <c r="G859" s="15"/>
      <c r="H859" s="16" t="str">
        <f aca="false">IF(OR(D859="",E859="",E859&lt;D859),"",E859-D859+1)</f>
        <v/>
      </c>
      <c r="I859" s="17" t="str">
        <f aca="false">IF(OR(H859="",C859=""),"",IF(F859="İptal",0,H859*IFERROR(INDEX(Ürünler!$B$5:$B$64,MATCH(C859,Ürünler!$A$5:$A$64,0)),0)-G859))</f>
        <v/>
      </c>
      <c r="J859" s="18" t="str">
        <f aca="false">IF(OR(H859="",C859="",F859="İptal"),"",IF(COUNTIFS($C$5:$C$1504,C859,$D$5:$D$1504,"&lt;="&amp;E859,$E$5:$E$1504,"&gt;="&amp;D859,$F$5:$F$1504,"&lt;&gt;İptal")&gt;1,"Çakışıyor",""))</f>
        <v/>
      </c>
    </row>
    <row r="860" customFormat="false" ht="15" hidden="false" customHeight="false" outlineLevel="0" collapsed="false">
      <c r="A860" s="12"/>
      <c r="B860" s="12"/>
      <c r="C860" s="13"/>
      <c r="D860" s="14"/>
      <c r="E860" s="14"/>
      <c r="F860" s="13"/>
      <c r="G860" s="15"/>
      <c r="H860" s="16" t="str">
        <f aca="false">IF(OR(D860="",E860="",E860&lt;D860),"",E860-D860+1)</f>
        <v/>
      </c>
      <c r="I860" s="17" t="str">
        <f aca="false">IF(OR(H860="",C860=""),"",IF(F860="İptal",0,H860*IFERROR(INDEX(Ürünler!$B$5:$B$64,MATCH(C860,Ürünler!$A$5:$A$64,0)),0)-G860))</f>
        <v/>
      </c>
      <c r="J860" s="18" t="str">
        <f aca="false">IF(OR(H860="",C860="",F860="İptal"),"",IF(COUNTIFS($C$5:$C$1504,C860,$D$5:$D$1504,"&lt;="&amp;E860,$E$5:$E$1504,"&gt;="&amp;D860,$F$5:$F$1504,"&lt;&gt;İptal")&gt;1,"Çakışıyor",""))</f>
        <v/>
      </c>
    </row>
    <row r="861" customFormat="false" ht="15" hidden="false" customHeight="false" outlineLevel="0" collapsed="false">
      <c r="A861" s="12"/>
      <c r="B861" s="12"/>
      <c r="C861" s="13"/>
      <c r="D861" s="14"/>
      <c r="E861" s="14"/>
      <c r="F861" s="13"/>
      <c r="G861" s="15"/>
      <c r="H861" s="16" t="str">
        <f aca="false">IF(OR(D861="",E861="",E861&lt;D861),"",E861-D861+1)</f>
        <v/>
      </c>
      <c r="I861" s="17" t="str">
        <f aca="false">IF(OR(H861="",C861=""),"",IF(F861="İptal",0,H861*IFERROR(INDEX(Ürünler!$B$5:$B$64,MATCH(C861,Ürünler!$A$5:$A$64,0)),0)-G861))</f>
        <v/>
      </c>
      <c r="J861" s="18" t="str">
        <f aca="false">IF(OR(H861="",C861="",F861="İptal"),"",IF(COUNTIFS($C$5:$C$1504,C861,$D$5:$D$1504,"&lt;="&amp;E861,$E$5:$E$1504,"&gt;="&amp;D861,$F$5:$F$1504,"&lt;&gt;İptal")&gt;1,"Çakışıyor",""))</f>
        <v/>
      </c>
    </row>
    <row r="862" customFormat="false" ht="15" hidden="false" customHeight="false" outlineLevel="0" collapsed="false">
      <c r="A862" s="12"/>
      <c r="B862" s="12"/>
      <c r="C862" s="13"/>
      <c r="D862" s="14"/>
      <c r="E862" s="14"/>
      <c r="F862" s="13"/>
      <c r="G862" s="15"/>
      <c r="H862" s="16" t="str">
        <f aca="false">IF(OR(D862="",E862="",E862&lt;D862),"",E862-D862+1)</f>
        <v/>
      </c>
      <c r="I862" s="17" t="str">
        <f aca="false">IF(OR(H862="",C862=""),"",IF(F862="İptal",0,H862*IFERROR(INDEX(Ürünler!$B$5:$B$64,MATCH(C862,Ürünler!$A$5:$A$64,0)),0)-G862))</f>
        <v/>
      </c>
      <c r="J862" s="18" t="str">
        <f aca="false">IF(OR(H862="",C862="",F862="İptal"),"",IF(COUNTIFS($C$5:$C$1504,C862,$D$5:$D$1504,"&lt;="&amp;E862,$E$5:$E$1504,"&gt;="&amp;D862,$F$5:$F$1504,"&lt;&gt;İptal")&gt;1,"Çakışıyor",""))</f>
        <v/>
      </c>
    </row>
    <row r="863" customFormat="false" ht="15" hidden="false" customHeight="false" outlineLevel="0" collapsed="false">
      <c r="A863" s="12"/>
      <c r="B863" s="12"/>
      <c r="C863" s="13"/>
      <c r="D863" s="14"/>
      <c r="E863" s="14"/>
      <c r="F863" s="13"/>
      <c r="G863" s="15"/>
      <c r="H863" s="16" t="str">
        <f aca="false">IF(OR(D863="",E863="",E863&lt;D863),"",E863-D863+1)</f>
        <v/>
      </c>
      <c r="I863" s="17" t="str">
        <f aca="false">IF(OR(H863="",C863=""),"",IF(F863="İptal",0,H863*IFERROR(INDEX(Ürünler!$B$5:$B$64,MATCH(C863,Ürünler!$A$5:$A$64,0)),0)-G863))</f>
        <v/>
      </c>
      <c r="J863" s="18" t="str">
        <f aca="false">IF(OR(H863="",C863="",F863="İptal"),"",IF(COUNTIFS($C$5:$C$1504,C863,$D$5:$D$1504,"&lt;="&amp;E863,$E$5:$E$1504,"&gt;="&amp;D863,$F$5:$F$1504,"&lt;&gt;İptal")&gt;1,"Çakışıyor",""))</f>
        <v/>
      </c>
    </row>
    <row r="864" customFormat="false" ht="15" hidden="false" customHeight="false" outlineLevel="0" collapsed="false">
      <c r="A864" s="12"/>
      <c r="B864" s="12"/>
      <c r="C864" s="13"/>
      <c r="D864" s="14"/>
      <c r="E864" s="14"/>
      <c r="F864" s="13"/>
      <c r="G864" s="15"/>
      <c r="H864" s="16" t="str">
        <f aca="false">IF(OR(D864="",E864="",E864&lt;D864),"",E864-D864+1)</f>
        <v/>
      </c>
      <c r="I864" s="17" t="str">
        <f aca="false">IF(OR(H864="",C864=""),"",IF(F864="İptal",0,H864*IFERROR(INDEX(Ürünler!$B$5:$B$64,MATCH(C864,Ürünler!$A$5:$A$64,0)),0)-G864))</f>
        <v/>
      </c>
      <c r="J864" s="18" t="str">
        <f aca="false">IF(OR(H864="",C864="",F864="İptal"),"",IF(COUNTIFS($C$5:$C$1504,C864,$D$5:$D$1504,"&lt;="&amp;E864,$E$5:$E$1504,"&gt;="&amp;D864,$F$5:$F$1504,"&lt;&gt;İptal")&gt;1,"Çakışıyor",""))</f>
        <v/>
      </c>
    </row>
    <row r="865" customFormat="false" ht="15" hidden="false" customHeight="false" outlineLevel="0" collapsed="false">
      <c r="A865" s="12"/>
      <c r="B865" s="12"/>
      <c r="C865" s="13"/>
      <c r="D865" s="14"/>
      <c r="E865" s="14"/>
      <c r="F865" s="13"/>
      <c r="G865" s="15"/>
      <c r="H865" s="16" t="str">
        <f aca="false">IF(OR(D865="",E865="",E865&lt;D865),"",E865-D865+1)</f>
        <v/>
      </c>
      <c r="I865" s="17" t="str">
        <f aca="false">IF(OR(H865="",C865=""),"",IF(F865="İptal",0,H865*IFERROR(INDEX(Ürünler!$B$5:$B$64,MATCH(C865,Ürünler!$A$5:$A$64,0)),0)-G865))</f>
        <v/>
      </c>
      <c r="J865" s="18" t="str">
        <f aca="false">IF(OR(H865="",C865="",F865="İptal"),"",IF(COUNTIFS($C$5:$C$1504,C865,$D$5:$D$1504,"&lt;="&amp;E865,$E$5:$E$1504,"&gt;="&amp;D865,$F$5:$F$1504,"&lt;&gt;İptal")&gt;1,"Çakışıyor",""))</f>
        <v/>
      </c>
    </row>
    <row r="866" customFormat="false" ht="15" hidden="false" customHeight="false" outlineLevel="0" collapsed="false">
      <c r="A866" s="12"/>
      <c r="B866" s="12"/>
      <c r="C866" s="13"/>
      <c r="D866" s="14"/>
      <c r="E866" s="14"/>
      <c r="F866" s="13"/>
      <c r="G866" s="15"/>
      <c r="H866" s="16" t="str">
        <f aca="false">IF(OR(D866="",E866="",E866&lt;D866),"",E866-D866+1)</f>
        <v/>
      </c>
      <c r="I866" s="17" t="str">
        <f aca="false">IF(OR(H866="",C866=""),"",IF(F866="İptal",0,H866*IFERROR(INDEX(Ürünler!$B$5:$B$64,MATCH(C866,Ürünler!$A$5:$A$64,0)),0)-G866))</f>
        <v/>
      </c>
      <c r="J866" s="18" t="str">
        <f aca="false">IF(OR(H866="",C866="",F866="İptal"),"",IF(COUNTIFS($C$5:$C$1504,C866,$D$5:$D$1504,"&lt;="&amp;E866,$E$5:$E$1504,"&gt;="&amp;D866,$F$5:$F$1504,"&lt;&gt;İptal")&gt;1,"Çakışıyor",""))</f>
        <v/>
      </c>
    </row>
    <row r="867" customFormat="false" ht="15" hidden="false" customHeight="false" outlineLevel="0" collapsed="false">
      <c r="A867" s="12"/>
      <c r="B867" s="12"/>
      <c r="C867" s="13"/>
      <c r="D867" s="14"/>
      <c r="E867" s="14"/>
      <c r="F867" s="13"/>
      <c r="G867" s="15"/>
      <c r="H867" s="16" t="str">
        <f aca="false">IF(OR(D867="",E867="",E867&lt;D867),"",E867-D867+1)</f>
        <v/>
      </c>
      <c r="I867" s="17" t="str">
        <f aca="false">IF(OR(H867="",C867=""),"",IF(F867="İptal",0,H867*IFERROR(INDEX(Ürünler!$B$5:$B$64,MATCH(C867,Ürünler!$A$5:$A$64,0)),0)-G867))</f>
        <v/>
      </c>
      <c r="J867" s="18" t="str">
        <f aca="false">IF(OR(H867="",C867="",F867="İptal"),"",IF(COUNTIFS($C$5:$C$1504,C867,$D$5:$D$1504,"&lt;="&amp;E867,$E$5:$E$1504,"&gt;="&amp;D867,$F$5:$F$1504,"&lt;&gt;İptal")&gt;1,"Çakışıyor",""))</f>
        <v/>
      </c>
    </row>
    <row r="868" customFormat="false" ht="15" hidden="false" customHeight="false" outlineLevel="0" collapsed="false">
      <c r="A868" s="12"/>
      <c r="B868" s="12"/>
      <c r="C868" s="13"/>
      <c r="D868" s="14"/>
      <c r="E868" s="14"/>
      <c r="F868" s="13"/>
      <c r="G868" s="15"/>
      <c r="H868" s="16" t="str">
        <f aca="false">IF(OR(D868="",E868="",E868&lt;D868),"",E868-D868+1)</f>
        <v/>
      </c>
      <c r="I868" s="17" t="str">
        <f aca="false">IF(OR(H868="",C868=""),"",IF(F868="İptal",0,H868*IFERROR(INDEX(Ürünler!$B$5:$B$64,MATCH(C868,Ürünler!$A$5:$A$64,0)),0)-G868))</f>
        <v/>
      </c>
      <c r="J868" s="18" t="str">
        <f aca="false">IF(OR(H868="",C868="",F868="İptal"),"",IF(COUNTIFS($C$5:$C$1504,C868,$D$5:$D$1504,"&lt;="&amp;E868,$E$5:$E$1504,"&gt;="&amp;D868,$F$5:$F$1504,"&lt;&gt;İptal")&gt;1,"Çakışıyor",""))</f>
        <v/>
      </c>
    </row>
    <row r="869" customFormat="false" ht="15" hidden="false" customHeight="false" outlineLevel="0" collapsed="false">
      <c r="A869" s="12"/>
      <c r="B869" s="12"/>
      <c r="C869" s="13"/>
      <c r="D869" s="14"/>
      <c r="E869" s="14"/>
      <c r="F869" s="13"/>
      <c r="G869" s="15"/>
      <c r="H869" s="16" t="str">
        <f aca="false">IF(OR(D869="",E869="",E869&lt;D869),"",E869-D869+1)</f>
        <v/>
      </c>
      <c r="I869" s="17" t="str">
        <f aca="false">IF(OR(H869="",C869=""),"",IF(F869="İptal",0,H869*IFERROR(INDEX(Ürünler!$B$5:$B$64,MATCH(C869,Ürünler!$A$5:$A$64,0)),0)-G869))</f>
        <v/>
      </c>
      <c r="J869" s="18" t="str">
        <f aca="false">IF(OR(H869="",C869="",F869="İptal"),"",IF(COUNTIFS($C$5:$C$1504,C869,$D$5:$D$1504,"&lt;="&amp;E869,$E$5:$E$1504,"&gt;="&amp;D869,$F$5:$F$1504,"&lt;&gt;İptal")&gt;1,"Çakışıyor",""))</f>
        <v/>
      </c>
    </row>
    <row r="870" customFormat="false" ht="15" hidden="false" customHeight="false" outlineLevel="0" collapsed="false">
      <c r="A870" s="12"/>
      <c r="B870" s="12"/>
      <c r="C870" s="13"/>
      <c r="D870" s="14"/>
      <c r="E870" s="14"/>
      <c r="F870" s="13"/>
      <c r="G870" s="15"/>
      <c r="H870" s="16" t="str">
        <f aca="false">IF(OR(D870="",E870="",E870&lt;D870),"",E870-D870+1)</f>
        <v/>
      </c>
      <c r="I870" s="17" t="str">
        <f aca="false">IF(OR(H870="",C870=""),"",IF(F870="İptal",0,H870*IFERROR(INDEX(Ürünler!$B$5:$B$64,MATCH(C870,Ürünler!$A$5:$A$64,0)),0)-G870))</f>
        <v/>
      </c>
      <c r="J870" s="18" t="str">
        <f aca="false">IF(OR(H870="",C870="",F870="İptal"),"",IF(COUNTIFS($C$5:$C$1504,C870,$D$5:$D$1504,"&lt;="&amp;E870,$E$5:$E$1504,"&gt;="&amp;D870,$F$5:$F$1504,"&lt;&gt;İptal")&gt;1,"Çakışıyor",""))</f>
        <v/>
      </c>
    </row>
    <row r="871" customFormat="false" ht="15" hidden="false" customHeight="false" outlineLevel="0" collapsed="false">
      <c r="A871" s="12"/>
      <c r="B871" s="12"/>
      <c r="C871" s="13"/>
      <c r="D871" s="14"/>
      <c r="E871" s="14"/>
      <c r="F871" s="13"/>
      <c r="G871" s="15"/>
      <c r="H871" s="16" t="str">
        <f aca="false">IF(OR(D871="",E871="",E871&lt;D871),"",E871-D871+1)</f>
        <v/>
      </c>
      <c r="I871" s="17" t="str">
        <f aca="false">IF(OR(H871="",C871=""),"",IF(F871="İptal",0,H871*IFERROR(INDEX(Ürünler!$B$5:$B$64,MATCH(C871,Ürünler!$A$5:$A$64,0)),0)-G871))</f>
        <v/>
      </c>
      <c r="J871" s="18" t="str">
        <f aca="false">IF(OR(H871="",C871="",F871="İptal"),"",IF(COUNTIFS($C$5:$C$1504,C871,$D$5:$D$1504,"&lt;="&amp;E871,$E$5:$E$1504,"&gt;="&amp;D871,$F$5:$F$1504,"&lt;&gt;İptal")&gt;1,"Çakışıyor",""))</f>
        <v/>
      </c>
    </row>
    <row r="872" customFormat="false" ht="15" hidden="false" customHeight="false" outlineLevel="0" collapsed="false">
      <c r="A872" s="12"/>
      <c r="B872" s="12"/>
      <c r="C872" s="13"/>
      <c r="D872" s="14"/>
      <c r="E872" s="14"/>
      <c r="F872" s="13"/>
      <c r="G872" s="15"/>
      <c r="H872" s="16" t="str">
        <f aca="false">IF(OR(D872="",E872="",E872&lt;D872),"",E872-D872+1)</f>
        <v/>
      </c>
      <c r="I872" s="17" t="str">
        <f aca="false">IF(OR(H872="",C872=""),"",IF(F872="İptal",0,H872*IFERROR(INDEX(Ürünler!$B$5:$B$64,MATCH(C872,Ürünler!$A$5:$A$64,0)),0)-G872))</f>
        <v/>
      </c>
      <c r="J872" s="18" t="str">
        <f aca="false">IF(OR(H872="",C872="",F872="İptal"),"",IF(COUNTIFS($C$5:$C$1504,C872,$D$5:$D$1504,"&lt;="&amp;E872,$E$5:$E$1504,"&gt;="&amp;D872,$F$5:$F$1504,"&lt;&gt;İptal")&gt;1,"Çakışıyor",""))</f>
        <v/>
      </c>
    </row>
    <row r="873" customFormat="false" ht="15" hidden="false" customHeight="false" outlineLevel="0" collapsed="false">
      <c r="A873" s="12"/>
      <c r="B873" s="12"/>
      <c r="C873" s="13"/>
      <c r="D873" s="14"/>
      <c r="E873" s="14"/>
      <c r="F873" s="13"/>
      <c r="G873" s="15"/>
      <c r="H873" s="16" t="str">
        <f aca="false">IF(OR(D873="",E873="",E873&lt;D873),"",E873-D873+1)</f>
        <v/>
      </c>
      <c r="I873" s="17" t="str">
        <f aca="false">IF(OR(H873="",C873=""),"",IF(F873="İptal",0,H873*IFERROR(INDEX(Ürünler!$B$5:$B$64,MATCH(C873,Ürünler!$A$5:$A$64,0)),0)-G873))</f>
        <v/>
      </c>
      <c r="J873" s="18" t="str">
        <f aca="false">IF(OR(H873="",C873="",F873="İptal"),"",IF(COUNTIFS($C$5:$C$1504,C873,$D$5:$D$1504,"&lt;="&amp;E873,$E$5:$E$1504,"&gt;="&amp;D873,$F$5:$F$1504,"&lt;&gt;İptal")&gt;1,"Çakışıyor",""))</f>
        <v/>
      </c>
    </row>
    <row r="874" customFormat="false" ht="15" hidden="false" customHeight="false" outlineLevel="0" collapsed="false">
      <c r="A874" s="12"/>
      <c r="B874" s="12"/>
      <c r="C874" s="13"/>
      <c r="D874" s="14"/>
      <c r="E874" s="14"/>
      <c r="F874" s="13"/>
      <c r="G874" s="15"/>
      <c r="H874" s="16" t="str">
        <f aca="false">IF(OR(D874="",E874="",E874&lt;D874),"",E874-D874+1)</f>
        <v/>
      </c>
      <c r="I874" s="17" t="str">
        <f aca="false">IF(OR(H874="",C874=""),"",IF(F874="İptal",0,H874*IFERROR(INDEX(Ürünler!$B$5:$B$64,MATCH(C874,Ürünler!$A$5:$A$64,0)),0)-G874))</f>
        <v/>
      </c>
      <c r="J874" s="18" t="str">
        <f aca="false">IF(OR(H874="",C874="",F874="İptal"),"",IF(COUNTIFS($C$5:$C$1504,C874,$D$5:$D$1504,"&lt;="&amp;E874,$E$5:$E$1504,"&gt;="&amp;D874,$F$5:$F$1504,"&lt;&gt;İptal")&gt;1,"Çakışıyor",""))</f>
        <v/>
      </c>
    </row>
    <row r="875" customFormat="false" ht="15" hidden="false" customHeight="false" outlineLevel="0" collapsed="false">
      <c r="A875" s="12"/>
      <c r="B875" s="12"/>
      <c r="C875" s="13"/>
      <c r="D875" s="14"/>
      <c r="E875" s="14"/>
      <c r="F875" s="13"/>
      <c r="G875" s="15"/>
      <c r="H875" s="16" t="str">
        <f aca="false">IF(OR(D875="",E875="",E875&lt;D875),"",E875-D875+1)</f>
        <v/>
      </c>
      <c r="I875" s="17" t="str">
        <f aca="false">IF(OR(H875="",C875=""),"",IF(F875="İptal",0,H875*IFERROR(INDEX(Ürünler!$B$5:$B$64,MATCH(C875,Ürünler!$A$5:$A$64,0)),0)-G875))</f>
        <v/>
      </c>
      <c r="J875" s="18" t="str">
        <f aca="false">IF(OR(H875="",C875="",F875="İptal"),"",IF(COUNTIFS($C$5:$C$1504,C875,$D$5:$D$1504,"&lt;="&amp;E875,$E$5:$E$1504,"&gt;="&amp;D875,$F$5:$F$1504,"&lt;&gt;İptal")&gt;1,"Çakışıyor",""))</f>
        <v/>
      </c>
    </row>
    <row r="876" customFormat="false" ht="15" hidden="false" customHeight="false" outlineLevel="0" collapsed="false">
      <c r="A876" s="12"/>
      <c r="B876" s="12"/>
      <c r="C876" s="13"/>
      <c r="D876" s="14"/>
      <c r="E876" s="14"/>
      <c r="F876" s="13"/>
      <c r="G876" s="15"/>
      <c r="H876" s="16" t="str">
        <f aca="false">IF(OR(D876="",E876="",E876&lt;D876),"",E876-D876+1)</f>
        <v/>
      </c>
      <c r="I876" s="17" t="str">
        <f aca="false">IF(OR(H876="",C876=""),"",IF(F876="İptal",0,H876*IFERROR(INDEX(Ürünler!$B$5:$B$64,MATCH(C876,Ürünler!$A$5:$A$64,0)),0)-G876))</f>
        <v/>
      </c>
      <c r="J876" s="18" t="str">
        <f aca="false">IF(OR(H876="",C876="",F876="İptal"),"",IF(COUNTIFS($C$5:$C$1504,C876,$D$5:$D$1504,"&lt;="&amp;E876,$E$5:$E$1504,"&gt;="&amp;D876,$F$5:$F$1504,"&lt;&gt;İptal")&gt;1,"Çakışıyor",""))</f>
        <v/>
      </c>
    </row>
    <row r="877" customFormat="false" ht="15" hidden="false" customHeight="false" outlineLevel="0" collapsed="false">
      <c r="A877" s="12"/>
      <c r="B877" s="12"/>
      <c r="C877" s="13"/>
      <c r="D877" s="14"/>
      <c r="E877" s="14"/>
      <c r="F877" s="13"/>
      <c r="G877" s="15"/>
      <c r="H877" s="16" t="str">
        <f aca="false">IF(OR(D877="",E877="",E877&lt;D877),"",E877-D877+1)</f>
        <v/>
      </c>
      <c r="I877" s="17" t="str">
        <f aca="false">IF(OR(H877="",C877=""),"",IF(F877="İptal",0,H877*IFERROR(INDEX(Ürünler!$B$5:$B$64,MATCH(C877,Ürünler!$A$5:$A$64,0)),0)-G877))</f>
        <v/>
      </c>
      <c r="J877" s="18" t="str">
        <f aca="false">IF(OR(H877="",C877="",F877="İptal"),"",IF(COUNTIFS($C$5:$C$1504,C877,$D$5:$D$1504,"&lt;="&amp;E877,$E$5:$E$1504,"&gt;="&amp;D877,$F$5:$F$1504,"&lt;&gt;İptal")&gt;1,"Çakışıyor",""))</f>
        <v/>
      </c>
    </row>
    <row r="878" customFormat="false" ht="15" hidden="false" customHeight="false" outlineLevel="0" collapsed="false">
      <c r="A878" s="12"/>
      <c r="B878" s="12"/>
      <c r="C878" s="13"/>
      <c r="D878" s="14"/>
      <c r="E878" s="14"/>
      <c r="F878" s="13"/>
      <c r="G878" s="15"/>
      <c r="H878" s="16" t="str">
        <f aca="false">IF(OR(D878="",E878="",E878&lt;D878),"",E878-D878+1)</f>
        <v/>
      </c>
      <c r="I878" s="17" t="str">
        <f aca="false">IF(OR(H878="",C878=""),"",IF(F878="İptal",0,H878*IFERROR(INDEX(Ürünler!$B$5:$B$64,MATCH(C878,Ürünler!$A$5:$A$64,0)),0)-G878))</f>
        <v/>
      </c>
      <c r="J878" s="18" t="str">
        <f aca="false">IF(OR(H878="",C878="",F878="İptal"),"",IF(COUNTIFS($C$5:$C$1504,C878,$D$5:$D$1504,"&lt;="&amp;E878,$E$5:$E$1504,"&gt;="&amp;D878,$F$5:$F$1504,"&lt;&gt;İptal")&gt;1,"Çakışıyor",""))</f>
        <v/>
      </c>
    </row>
    <row r="879" customFormat="false" ht="15" hidden="false" customHeight="false" outlineLevel="0" collapsed="false">
      <c r="A879" s="12"/>
      <c r="B879" s="12"/>
      <c r="C879" s="13"/>
      <c r="D879" s="14"/>
      <c r="E879" s="14"/>
      <c r="F879" s="13"/>
      <c r="G879" s="15"/>
      <c r="H879" s="16" t="str">
        <f aca="false">IF(OR(D879="",E879="",E879&lt;D879),"",E879-D879+1)</f>
        <v/>
      </c>
      <c r="I879" s="17" t="str">
        <f aca="false">IF(OR(H879="",C879=""),"",IF(F879="İptal",0,H879*IFERROR(INDEX(Ürünler!$B$5:$B$64,MATCH(C879,Ürünler!$A$5:$A$64,0)),0)-G879))</f>
        <v/>
      </c>
      <c r="J879" s="18" t="str">
        <f aca="false">IF(OR(H879="",C879="",F879="İptal"),"",IF(COUNTIFS($C$5:$C$1504,C879,$D$5:$D$1504,"&lt;="&amp;E879,$E$5:$E$1504,"&gt;="&amp;D879,$F$5:$F$1504,"&lt;&gt;İptal")&gt;1,"Çakışıyor",""))</f>
        <v/>
      </c>
    </row>
    <row r="880" customFormat="false" ht="15" hidden="false" customHeight="false" outlineLevel="0" collapsed="false">
      <c r="A880" s="12"/>
      <c r="B880" s="12"/>
      <c r="C880" s="13"/>
      <c r="D880" s="14"/>
      <c r="E880" s="14"/>
      <c r="F880" s="13"/>
      <c r="G880" s="15"/>
      <c r="H880" s="16" t="str">
        <f aca="false">IF(OR(D880="",E880="",E880&lt;D880),"",E880-D880+1)</f>
        <v/>
      </c>
      <c r="I880" s="17" t="str">
        <f aca="false">IF(OR(H880="",C880=""),"",IF(F880="İptal",0,H880*IFERROR(INDEX(Ürünler!$B$5:$B$64,MATCH(C880,Ürünler!$A$5:$A$64,0)),0)-G880))</f>
        <v/>
      </c>
      <c r="J880" s="18" t="str">
        <f aca="false">IF(OR(H880="",C880="",F880="İptal"),"",IF(COUNTIFS($C$5:$C$1504,C880,$D$5:$D$1504,"&lt;="&amp;E880,$E$5:$E$1504,"&gt;="&amp;D880,$F$5:$F$1504,"&lt;&gt;İptal")&gt;1,"Çakışıyor",""))</f>
        <v/>
      </c>
    </row>
    <row r="881" customFormat="false" ht="15" hidden="false" customHeight="false" outlineLevel="0" collapsed="false">
      <c r="A881" s="12"/>
      <c r="B881" s="12"/>
      <c r="C881" s="13"/>
      <c r="D881" s="14"/>
      <c r="E881" s="14"/>
      <c r="F881" s="13"/>
      <c r="G881" s="15"/>
      <c r="H881" s="16" t="str">
        <f aca="false">IF(OR(D881="",E881="",E881&lt;D881),"",E881-D881+1)</f>
        <v/>
      </c>
      <c r="I881" s="17" t="str">
        <f aca="false">IF(OR(H881="",C881=""),"",IF(F881="İptal",0,H881*IFERROR(INDEX(Ürünler!$B$5:$B$64,MATCH(C881,Ürünler!$A$5:$A$64,0)),0)-G881))</f>
        <v/>
      </c>
      <c r="J881" s="18" t="str">
        <f aca="false">IF(OR(H881="",C881="",F881="İptal"),"",IF(COUNTIFS($C$5:$C$1504,C881,$D$5:$D$1504,"&lt;="&amp;E881,$E$5:$E$1504,"&gt;="&amp;D881,$F$5:$F$1504,"&lt;&gt;İptal")&gt;1,"Çakışıyor",""))</f>
        <v/>
      </c>
    </row>
    <row r="882" customFormat="false" ht="15" hidden="false" customHeight="false" outlineLevel="0" collapsed="false">
      <c r="A882" s="12"/>
      <c r="B882" s="12"/>
      <c r="C882" s="13"/>
      <c r="D882" s="14"/>
      <c r="E882" s="14"/>
      <c r="F882" s="13"/>
      <c r="G882" s="15"/>
      <c r="H882" s="16" t="str">
        <f aca="false">IF(OR(D882="",E882="",E882&lt;D882),"",E882-D882+1)</f>
        <v/>
      </c>
      <c r="I882" s="17" t="str">
        <f aca="false">IF(OR(H882="",C882=""),"",IF(F882="İptal",0,H882*IFERROR(INDEX(Ürünler!$B$5:$B$64,MATCH(C882,Ürünler!$A$5:$A$64,0)),0)-G882))</f>
        <v/>
      </c>
      <c r="J882" s="18" t="str">
        <f aca="false">IF(OR(H882="",C882="",F882="İptal"),"",IF(COUNTIFS($C$5:$C$1504,C882,$D$5:$D$1504,"&lt;="&amp;E882,$E$5:$E$1504,"&gt;="&amp;D882,$F$5:$F$1504,"&lt;&gt;İptal")&gt;1,"Çakışıyor",""))</f>
        <v/>
      </c>
    </row>
    <row r="883" customFormat="false" ht="15" hidden="false" customHeight="false" outlineLevel="0" collapsed="false">
      <c r="A883" s="12"/>
      <c r="B883" s="12"/>
      <c r="C883" s="13"/>
      <c r="D883" s="14"/>
      <c r="E883" s="14"/>
      <c r="F883" s="13"/>
      <c r="G883" s="15"/>
      <c r="H883" s="16" t="str">
        <f aca="false">IF(OR(D883="",E883="",E883&lt;D883),"",E883-D883+1)</f>
        <v/>
      </c>
      <c r="I883" s="17" t="str">
        <f aca="false">IF(OR(H883="",C883=""),"",IF(F883="İptal",0,H883*IFERROR(INDEX(Ürünler!$B$5:$B$64,MATCH(C883,Ürünler!$A$5:$A$64,0)),0)-G883))</f>
        <v/>
      </c>
      <c r="J883" s="18" t="str">
        <f aca="false">IF(OR(H883="",C883="",F883="İptal"),"",IF(COUNTIFS($C$5:$C$1504,C883,$D$5:$D$1504,"&lt;="&amp;E883,$E$5:$E$1504,"&gt;="&amp;D883,$F$5:$F$1504,"&lt;&gt;İptal")&gt;1,"Çakışıyor",""))</f>
        <v/>
      </c>
    </row>
    <row r="884" customFormat="false" ht="15" hidden="false" customHeight="false" outlineLevel="0" collapsed="false">
      <c r="A884" s="12"/>
      <c r="B884" s="12"/>
      <c r="C884" s="13"/>
      <c r="D884" s="14"/>
      <c r="E884" s="14"/>
      <c r="F884" s="13"/>
      <c r="G884" s="15"/>
      <c r="H884" s="16" t="str">
        <f aca="false">IF(OR(D884="",E884="",E884&lt;D884),"",E884-D884+1)</f>
        <v/>
      </c>
      <c r="I884" s="17" t="str">
        <f aca="false">IF(OR(H884="",C884=""),"",IF(F884="İptal",0,H884*IFERROR(INDEX(Ürünler!$B$5:$B$64,MATCH(C884,Ürünler!$A$5:$A$64,0)),0)-G884))</f>
        <v/>
      </c>
      <c r="J884" s="18" t="str">
        <f aca="false">IF(OR(H884="",C884="",F884="İptal"),"",IF(COUNTIFS($C$5:$C$1504,C884,$D$5:$D$1504,"&lt;="&amp;E884,$E$5:$E$1504,"&gt;="&amp;D884,$F$5:$F$1504,"&lt;&gt;İptal")&gt;1,"Çakışıyor",""))</f>
        <v/>
      </c>
    </row>
    <row r="885" customFormat="false" ht="15" hidden="false" customHeight="false" outlineLevel="0" collapsed="false">
      <c r="A885" s="12"/>
      <c r="B885" s="12"/>
      <c r="C885" s="13"/>
      <c r="D885" s="14"/>
      <c r="E885" s="14"/>
      <c r="F885" s="13"/>
      <c r="G885" s="15"/>
      <c r="H885" s="16" t="str">
        <f aca="false">IF(OR(D885="",E885="",E885&lt;D885),"",E885-D885+1)</f>
        <v/>
      </c>
      <c r="I885" s="17" t="str">
        <f aca="false">IF(OR(H885="",C885=""),"",IF(F885="İptal",0,H885*IFERROR(INDEX(Ürünler!$B$5:$B$64,MATCH(C885,Ürünler!$A$5:$A$64,0)),0)-G885))</f>
        <v/>
      </c>
      <c r="J885" s="18" t="str">
        <f aca="false">IF(OR(H885="",C885="",F885="İptal"),"",IF(COUNTIFS($C$5:$C$1504,C885,$D$5:$D$1504,"&lt;="&amp;E885,$E$5:$E$1504,"&gt;="&amp;D885,$F$5:$F$1504,"&lt;&gt;İptal")&gt;1,"Çakışıyor",""))</f>
        <v/>
      </c>
    </row>
    <row r="886" customFormat="false" ht="15" hidden="false" customHeight="false" outlineLevel="0" collapsed="false">
      <c r="A886" s="12"/>
      <c r="B886" s="12"/>
      <c r="C886" s="13"/>
      <c r="D886" s="14"/>
      <c r="E886" s="14"/>
      <c r="F886" s="13"/>
      <c r="G886" s="15"/>
      <c r="H886" s="16" t="str">
        <f aca="false">IF(OR(D886="",E886="",E886&lt;D886),"",E886-D886+1)</f>
        <v/>
      </c>
      <c r="I886" s="17" t="str">
        <f aca="false">IF(OR(H886="",C886=""),"",IF(F886="İptal",0,H886*IFERROR(INDEX(Ürünler!$B$5:$B$64,MATCH(C886,Ürünler!$A$5:$A$64,0)),0)-G886))</f>
        <v/>
      </c>
      <c r="J886" s="18" t="str">
        <f aca="false">IF(OR(H886="",C886="",F886="İptal"),"",IF(COUNTIFS($C$5:$C$1504,C886,$D$5:$D$1504,"&lt;="&amp;E886,$E$5:$E$1504,"&gt;="&amp;D886,$F$5:$F$1504,"&lt;&gt;İptal")&gt;1,"Çakışıyor",""))</f>
        <v/>
      </c>
    </row>
    <row r="887" customFormat="false" ht="15" hidden="false" customHeight="false" outlineLevel="0" collapsed="false">
      <c r="A887" s="12"/>
      <c r="B887" s="12"/>
      <c r="C887" s="13"/>
      <c r="D887" s="14"/>
      <c r="E887" s="14"/>
      <c r="F887" s="13"/>
      <c r="G887" s="15"/>
      <c r="H887" s="16" t="str">
        <f aca="false">IF(OR(D887="",E887="",E887&lt;D887),"",E887-D887+1)</f>
        <v/>
      </c>
      <c r="I887" s="17" t="str">
        <f aca="false">IF(OR(H887="",C887=""),"",IF(F887="İptal",0,H887*IFERROR(INDEX(Ürünler!$B$5:$B$64,MATCH(C887,Ürünler!$A$5:$A$64,0)),0)-G887))</f>
        <v/>
      </c>
      <c r="J887" s="18" t="str">
        <f aca="false">IF(OR(H887="",C887="",F887="İptal"),"",IF(COUNTIFS($C$5:$C$1504,C887,$D$5:$D$1504,"&lt;="&amp;E887,$E$5:$E$1504,"&gt;="&amp;D887,$F$5:$F$1504,"&lt;&gt;İptal")&gt;1,"Çakışıyor",""))</f>
        <v/>
      </c>
    </row>
    <row r="888" customFormat="false" ht="15" hidden="false" customHeight="false" outlineLevel="0" collapsed="false">
      <c r="A888" s="12"/>
      <c r="B888" s="12"/>
      <c r="C888" s="13"/>
      <c r="D888" s="14"/>
      <c r="E888" s="14"/>
      <c r="F888" s="13"/>
      <c r="G888" s="15"/>
      <c r="H888" s="16" t="str">
        <f aca="false">IF(OR(D888="",E888="",E888&lt;D888),"",E888-D888+1)</f>
        <v/>
      </c>
      <c r="I888" s="17" t="str">
        <f aca="false">IF(OR(H888="",C888=""),"",IF(F888="İptal",0,H888*IFERROR(INDEX(Ürünler!$B$5:$B$64,MATCH(C888,Ürünler!$A$5:$A$64,0)),0)-G888))</f>
        <v/>
      </c>
      <c r="J888" s="18" t="str">
        <f aca="false">IF(OR(H888="",C888="",F888="İptal"),"",IF(COUNTIFS($C$5:$C$1504,C888,$D$5:$D$1504,"&lt;="&amp;E888,$E$5:$E$1504,"&gt;="&amp;D888,$F$5:$F$1504,"&lt;&gt;İptal")&gt;1,"Çakışıyor",""))</f>
        <v/>
      </c>
    </row>
    <row r="889" customFormat="false" ht="15" hidden="false" customHeight="false" outlineLevel="0" collapsed="false">
      <c r="A889" s="12"/>
      <c r="B889" s="12"/>
      <c r="C889" s="13"/>
      <c r="D889" s="14"/>
      <c r="E889" s="14"/>
      <c r="F889" s="13"/>
      <c r="G889" s="15"/>
      <c r="H889" s="16" t="str">
        <f aca="false">IF(OR(D889="",E889="",E889&lt;D889),"",E889-D889+1)</f>
        <v/>
      </c>
      <c r="I889" s="17" t="str">
        <f aca="false">IF(OR(H889="",C889=""),"",IF(F889="İptal",0,H889*IFERROR(INDEX(Ürünler!$B$5:$B$64,MATCH(C889,Ürünler!$A$5:$A$64,0)),0)-G889))</f>
        <v/>
      </c>
      <c r="J889" s="18" t="str">
        <f aca="false">IF(OR(H889="",C889="",F889="İptal"),"",IF(COUNTIFS($C$5:$C$1504,C889,$D$5:$D$1504,"&lt;="&amp;E889,$E$5:$E$1504,"&gt;="&amp;D889,$F$5:$F$1504,"&lt;&gt;İptal")&gt;1,"Çakışıyor",""))</f>
        <v/>
      </c>
    </row>
    <row r="890" customFormat="false" ht="15" hidden="false" customHeight="false" outlineLevel="0" collapsed="false">
      <c r="A890" s="12"/>
      <c r="B890" s="12"/>
      <c r="C890" s="13"/>
      <c r="D890" s="14"/>
      <c r="E890" s="14"/>
      <c r="F890" s="13"/>
      <c r="G890" s="15"/>
      <c r="H890" s="16" t="str">
        <f aca="false">IF(OR(D890="",E890="",E890&lt;D890),"",E890-D890+1)</f>
        <v/>
      </c>
      <c r="I890" s="17" t="str">
        <f aca="false">IF(OR(H890="",C890=""),"",IF(F890="İptal",0,H890*IFERROR(INDEX(Ürünler!$B$5:$B$64,MATCH(C890,Ürünler!$A$5:$A$64,0)),0)-G890))</f>
        <v/>
      </c>
      <c r="J890" s="18" t="str">
        <f aca="false">IF(OR(H890="",C890="",F890="İptal"),"",IF(COUNTIFS($C$5:$C$1504,C890,$D$5:$D$1504,"&lt;="&amp;E890,$E$5:$E$1504,"&gt;="&amp;D890,$F$5:$F$1504,"&lt;&gt;İptal")&gt;1,"Çakışıyor",""))</f>
        <v/>
      </c>
    </row>
    <row r="891" customFormat="false" ht="15" hidden="false" customHeight="false" outlineLevel="0" collapsed="false">
      <c r="A891" s="12"/>
      <c r="B891" s="12"/>
      <c r="C891" s="13"/>
      <c r="D891" s="14"/>
      <c r="E891" s="14"/>
      <c r="F891" s="13"/>
      <c r="G891" s="15"/>
      <c r="H891" s="16" t="str">
        <f aca="false">IF(OR(D891="",E891="",E891&lt;D891),"",E891-D891+1)</f>
        <v/>
      </c>
      <c r="I891" s="17" t="str">
        <f aca="false">IF(OR(H891="",C891=""),"",IF(F891="İptal",0,H891*IFERROR(INDEX(Ürünler!$B$5:$B$64,MATCH(C891,Ürünler!$A$5:$A$64,0)),0)-G891))</f>
        <v/>
      </c>
      <c r="J891" s="18" t="str">
        <f aca="false">IF(OR(H891="",C891="",F891="İptal"),"",IF(COUNTIFS($C$5:$C$1504,C891,$D$5:$D$1504,"&lt;="&amp;E891,$E$5:$E$1504,"&gt;="&amp;D891,$F$5:$F$1504,"&lt;&gt;İptal")&gt;1,"Çakışıyor",""))</f>
        <v/>
      </c>
    </row>
    <row r="892" customFormat="false" ht="15" hidden="false" customHeight="false" outlineLevel="0" collapsed="false">
      <c r="A892" s="12"/>
      <c r="B892" s="12"/>
      <c r="C892" s="13"/>
      <c r="D892" s="14"/>
      <c r="E892" s="14"/>
      <c r="F892" s="13"/>
      <c r="G892" s="15"/>
      <c r="H892" s="16" t="str">
        <f aca="false">IF(OR(D892="",E892="",E892&lt;D892),"",E892-D892+1)</f>
        <v/>
      </c>
      <c r="I892" s="17" t="str">
        <f aca="false">IF(OR(H892="",C892=""),"",IF(F892="İptal",0,H892*IFERROR(INDEX(Ürünler!$B$5:$B$64,MATCH(C892,Ürünler!$A$5:$A$64,0)),0)-G892))</f>
        <v/>
      </c>
      <c r="J892" s="18" t="str">
        <f aca="false">IF(OR(H892="",C892="",F892="İptal"),"",IF(COUNTIFS($C$5:$C$1504,C892,$D$5:$D$1504,"&lt;="&amp;E892,$E$5:$E$1504,"&gt;="&amp;D892,$F$5:$F$1504,"&lt;&gt;İptal")&gt;1,"Çakışıyor",""))</f>
        <v/>
      </c>
    </row>
    <row r="893" customFormat="false" ht="15" hidden="false" customHeight="false" outlineLevel="0" collapsed="false">
      <c r="A893" s="12"/>
      <c r="B893" s="12"/>
      <c r="C893" s="13"/>
      <c r="D893" s="14"/>
      <c r="E893" s="14"/>
      <c r="F893" s="13"/>
      <c r="G893" s="15"/>
      <c r="H893" s="16" t="str">
        <f aca="false">IF(OR(D893="",E893="",E893&lt;D893),"",E893-D893+1)</f>
        <v/>
      </c>
      <c r="I893" s="17" t="str">
        <f aca="false">IF(OR(H893="",C893=""),"",IF(F893="İptal",0,H893*IFERROR(INDEX(Ürünler!$B$5:$B$64,MATCH(C893,Ürünler!$A$5:$A$64,0)),0)-G893))</f>
        <v/>
      </c>
      <c r="J893" s="18" t="str">
        <f aca="false">IF(OR(H893="",C893="",F893="İptal"),"",IF(COUNTIFS($C$5:$C$1504,C893,$D$5:$D$1504,"&lt;="&amp;E893,$E$5:$E$1504,"&gt;="&amp;D893,$F$5:$F$1504,"&lt;&gt;İptal")&gt;1,"Çakışıyor",""))</f>
        <v/>
      </c>
    </row>
    <row r="894" customFormat="false" ht="15" hidden="false" customHeight="false" outlineLevel="0" collapsed="false">
      <c r="A894" s="12"/>
      <c r="B894" s="12"/>
      <c r="C894" s="13"/>
      <c r="D894" s="14"/>
      <c r="E894" s="14"/>
      <c r="F894" s="13"/>
      <c r="G894" s="15"/>
      <c r="H894" s="16" t="str">
        <f aca="false">IF(OR(D894="",E894="",E894&lt;D894),"",E894-D894+1)</f>
        <v/>
      </c>
      <c r="I894" s="17" t="str">
        <f aca="false">IF(OR(H894="",C894=""),"",IF(F894="İptal",0,H894*IFERROR(INDEX(Ürünler!$B$5:$B$64,MATCH(C894,Ürünler!$A$5:$A$64,0)),0)-G894))</f>
        <v/>
      </c>
      <c r="J894" s="18" t="str">
        <f aca="false">IF(OR(H894="",C894="",F894="İptal"),"",IF(COUNTIFS($C$5:$C$1504,C894,$D$5:$D$1504,"&lt;="&amp;E894,$E$5:$E$1504,"&gt;="&amp;D894,$F$5:$F$1504,"&lt;&gt;İptal")&gt;1,"Çakışıyor",""))</f>
        <v/>
      </c>
    </row>
    <row r="895" customFormat="false" ht="15" hidden="false" customHeight="false" outlineLevel="0" collapsed="false">
      <c r="A895" s="12"/>
      <c r="B895" s="12"/>
      <c r="C895" s="13"/>
      <c r="D895" s="14"/>
      <c r="E895" s="14"/>
      <c r="F895" s="13"/>
      <c r="G895" s="15"/>
      <c r="H895" s="16" t="str">
        <f aca="false">IF(OR(D895="",E895="",E895&lt;D895),"",E895-D895+1)</f>
        <v/>
      </c>
      <c r="I895" s="17" t="str">
        <f aca="false">IF(OR(H895="",C895=""),"",IF(F895="İptal",0,H895*IFERROR(INDEX(Ürünler!$B$5:$B$64,MATCH(C895,Ürünler!$A$5:$A$64,0)),0)-G895))</f>
        <v/>
      </c>
      <c r="J895" s="18" t="str">
        <f aca="false">IF(OR(H895="",C895="",F895="İptal"),"",IF(COUNTIFS($C$5:$C$1504,C895,$D$5:$D$1504,"&lt;="&amp;E895,$E$5:$E$1504,"&gt;="&amp;D895,$F$5:$F$1504,"&lt;&gt;İptal")&gt;1,"Çakışıyor",""))</f>
        <v/>
      </c>
    </row>
    <row r="896" customFormat="false" ht="15" hidden="false" customHeight="false" outlineLevel="0" collapsed="false">
      <c r="A896" s="12"/>
      <c r="B896" s="12"/>
      <c r="C896" s="13"/>
      <c r="D896" s="14"/>
      <c r="E896" s="14"/>
      <c r="F896" s="13"/>
      <c r="G896" s="15"/>
      <c r="H896" s="16" t="str">
        <f aca="false">IF(OR(D896="",E896="",E896&lt;D896),"",E896-D896+1)</f>
        <v/>
      </c>
      <c r="I896" s="17" t="str">
        <f aca="false">IF(OR(H896="",C896=""),"",IF(F896="İptal",0,H896*IFERROR(INDEX(Ürünler!$B$5:$B$64,MATCH(C896,Ürünler!$A$5:$A$64,0)),0)-G896))</f>
        <v/>
      </c>
      <c r="J896" s="18" t="str">
        <f aca="false">IF(OR(H896="",C896="",F896="İptal"),"",IF(COUNTIFS($C$5:$C$1504,C896,$D$5:$D$1504,"&lt;="&amp;E896,$E$5:$E$1504,"&gt;="&amp;D896,$F$5:$F$1504,"&lt;&gt;İptal")&gt;1,"Çakışıyor",""))</f>
        <v/>
      </c>
    </row>
    <row r="897" customFormat="false" ht="15" hidden="false" customHeight="false" outlineLevel="0" collapsed="false">
      <c r="A897" s="12"/>
      <c r="B897" s="12"/>
      <c r="C897" s="13"/>
      <c r="D897" s="14"/>
      <c r="E897" s="14"/>
      <c r="F897" s="13"/>
      <c r="G897" s="15"/>
      <c r="H897" s="16" t="str">
        <f aca="false">IF(OR(D897="",E897="",E897&lt;D897),"",E897-D897+1)</f>
        <v/>
      </c>
      <c r="I897" s="17" t="str">
        <f aca="false">IF(OR(H897="",C897=""),"",IF(F897="İptal",0,H897*IFERROR(INDEX(Ürünler!$B$5:$B$64,MATCH(C897,Ürünler!$A$5:$A$64,0)),0)-G897))</f>
        <v/>
      </c>
      <c r="J897" s="18" t="str">
        <f aca="false">IF(OR(H897="",C897="",F897="İptal"),"",IF(COUNTIFS($C$5:$C$1504,C897,$D$5:$D$1504,"&lt;="&amp;E897,$E$5:$E$1504,"&gt;="&amp;D897,$F$5:$F$1504,"&lt;&gt;İptal")&gt;1,"Çakışıyor",""))</f>
        <v/>
      </c>
    </row>
    <row r="898" customFormat="false" ht="15" hidden="false" customHeight="false" outlineLevel="0" collapsed="false">
      <c r="A898" s="12"/>
      <c r="B898" s="12"/>
      <c r="C898" s="13"/>
      <c r="D898" s="14"/>
      <c r="E898" s="14"/>
      <c r="F898" s="13"/>
      <c r="G898" s="15"/>
      <c r="H898" s="16" t="str">
        <f aca="false">IF(OR(D898="",E898="",E898&lt;D898),"",E898-D898+1)</f>
        <v/>
      </c>
      <c r="I898" s="17" t="str">
        <f aca="false">IF(OR(H898="",C898=""),"",IF(F898="İptal",0,H898*IFERROR(INDEX(Ürünler!$B$5:$B$64,MATCH(C898,Ürünler!$A$5:$A$64,0)),0)-G898))</f>
        <v/>
      </c>
      <c r="J898" s="18" t="str">
        <f aca="false">IF(OR(H898="",C898="",F898="İptal"),"",IF(COUNTIFS($C$5:$C$1504,C898,$D$5:$D$1504,"&lt;="&amp;E898,$E$5:$E$1504,"&gt;="&amp;D898,$F$5:$F$1504,"&lt;&gt;İptal")&gt;1,"Çakışıyor",""))</f>
        <v/>
      </c>
    </row>
    <row r="899" customFormat="false" ht="15" hidden="false" customHeight="false" outlineLevel="0" collapsed="false">
      <c r="A899" s="12"/>
      <c r="B899" s="12"/>
      <c r="C899" s="13"/>
      <c r="D899" s="14"/>
      <c r="E899" s="14"/>
      <c r="F899" s="13"/>
      <c r="G899" s="15"/>
      <c r="H899" s="16" t="str">
        <f aca="false">IF(OR(D899="",E899="",E899&lt;D899),"",E899-D899+1)</f>
        <v/>
      </c>
      <c r="I899" s="17" t="str">
        <f aca="false">IF(OR(H899="",C899=""),"",IF(F899="İptal",0,H899*IFERROR(INDEX(Ürünler!$B$5:$B$64,MATCH(C899,Ürünler!$A$5:$A$64,0)),0)-G899))</f>
        <v/>
      </c>
      <c r="J899" s="18" t="str">
        <f aca="false">IF(OR(H899="",C899="",F899="İptal"),"",IF(COUNTIFS($C$5:$C$1504,C899,$D$5:$D$1504,"&lt;="&amp;E899,$E$5:$E$1504,"&gt;="&amp;D899,$F$5:$F$1504,"&lt;&gt;İptal")&gt;1,"Çakışıyor",""))</f>
        <v/>
      </c>
    </row>
    <row r="900" customFormat="false" ht="15" hidden="false" customHeight="false" outlineLevel="0" collapsed="false">
      <c r="A900" s="12"/>
      <c r="B900" s="12"/>
      <c r="C900" s="13"/>
      <c r="D900" s="14"/>
      <c r="E900" s="14"/>
      <c r="F900" s="13"/>
      <c r="G900" s="15"/>
      <c r="H900" s="16" t="str">
        <f aca="false">IF(OR(D900="",E900="",E900&lt;D900),"",E900-D900+1)</f>
        <v/>
      </c>
      <c r="I900" s="17" t="str">
        <f aca="false">IF(OR(H900="",C900=""),"",IF(F900="İptal",0,H900*IFERROR(INDEX(Ürünler!$B$5:$B$64,MATCH(C900,Ürünler!$A$5:$A$64,0)),0)-G900))</f>
        <v/>
      </c>
      <c r="J900" s="18" t="str">
        <f aca="false">IF(OR(H900="",C900="",F900="İptal"),"",IF(COUNTIFS($C$5:$C$1504,C900,$D$5:$D$1504,"&lt;="&amp;E900,$E$5:$E$1504,"&gt;="&amp;D900,$F$5:$F$1504,"&lt;&gt;İptal")&gt;1,"Çakışıyor",""))</f>
        <v/>
      </c>
    </row>
    <row r="901" customFormat="false" ht="15" hidden="false" customHeight="false" outlineLevel="0" collapsed="false">
      <c r="A901" s="12"/>
      <c r="B901" s="12"/>
      <c r="C901" s="13"/>
      <c r="D901" s="14"/>
      <c r="E901" s="14"/>
      <c r="F901" s="13"/>
      <c r="G901" s="15"/>
      <c r="H901" s="16" t="str">
        <f aca="false">IF(OR(D901="",E901="",E901&lt;D901),"",E901-D901+1)</f>
        <v/>
      </c>
      <c r="I901" s="17" t="str">
        <f aca="false">IF(OR(H901="",C901=""),"",IF(F901="İptal",0,H901*IFERROR(INDEX(Ürünler!$B$5:$B$64,MATCH(C901,Ürünler!$A$5:$A$64,0)),0)-G901))</f>
        <v/>
      </c>
      <c r="J901" s="18" t="str">
        <f aca="false">IF(OR(H901="",C901="",F901="İptal"),"",IF(COUNTIFS($C$5:$C$1504,C901,$D$5:$D$1504,"&lt;="&amp;E901,$E$5:$E$1504,"&gt;="&amp;D901,$F$5:$F$1504,"&lt;&gt;İptal")&gt;1,"Çakışıyor",""))</f>
        <v/>
      </c>
    </row>
    <row r="902" customFormat="false" ht="15" hidden="false" customHeight="false" outlineLevel="0" collapsed="false">
      <c r="A902" s="12"/>
      <c r="B902" s="12"/>
      <c r="C902" s="13"/>
      <c r="D902" s="14"/>
      <c r="E902" s="14"/>
      <c r="F902" s="13"/>
      <c r="G902" s="15"/>
      <c r="H902" s="16" t="str">
        <f aca="false">IF(OR(D902="",E902="",E902&lt;D902),"",E902-D902+1)</f>
        <v/>
      </c>
      <c r="I902" s="17" t="str">
        <f aca="false">IF(OR(H902="",C902=""),"",IF(F902="İptal",0,H902*IFERROR(INDEX(Ürünler!$B$5:$B$64,MATCH(C902,Ürünler!$A$5:$A$64,0)),0)-G902))</f>
        <v/>
      </c>
      <c r="J902" s="18" t="str">
        <f aca="false">IF(OR(H902="",C902="",F902="İptal"),"",IF(COUNTIFS($C$5:$C$1504,C902,$D$5:$D$1504,"&lt;="&amp;E902,$E$5:$E$1504,"&gt;="&amp;D902,$F$5:$F$1504,"&lt;&gt;İptal")&gt;1,"Çakışıyor",""))</f>
        <v/>
      </c>
    </row>
    <row r="903" customFormat="false" ht="15" hidden="false" customHeight="false" outlineLevel="0" collapsed="false">
      <c r="A903" s="12"/>
      <c r="B903" s="12"/>
      <c r="C903" s="13"/>
      <c r="D903" s="14"/>
      <c r="E903" s="14"/>
      <c r="F903" s="13"/>
      <c r="G903" s="15"/>
      <c r="H903" s="16" t="str">
        <f aca="false">IF(OR(D903="",E903="",E903&lt;D903),"",E903-D903+1)</f>
        <v/>
      </c>
      <c r="I903" s="17" t="str">
        <f aca="false">IF(OR(H903="",C903=""),"",IF(F903="İptal",0,H903*IFERROR(INDEX(Ürünler!$B$5:$B$64,MATCH(C903,Ürünler!$A$5:$A$64,0)),0)-G903))</f>
        <v/>
      </c>
      <c r="J903" s="18" t="str">
        <f aca="false">IF(OR(H903="",C903="",F903="İptal"),"",IF(COUNTIFS($C$5:$C$1504,C903,$D$5:$D$1504,"&lt;="&amp;E903,$E$5:$E$1504,"&gt;="&amp;D903,$F$5:$F$1504,"&lt;&gt;İptal")&gt;1,"Çakışıyor",""))</f>
        <v/>
      </c>
    </row>
    <row r="904" customFormat="false" ht="15" hidden="false" customHeight="false" outlineLevel="0" collapsed="false">
      <c r="A904" s="12"/>
      <c r="B904" s="12"/>
      <c r="C904" s="13"/>
      <c r="D904" s="14"/>
      <c r="E904" s="14"/>
      <c r="F904" s="13"/>
      <c r="G904" s="15"/>
      <c r="H904" s="16" t="str">
        <f aca="false">IF(OR(D904="",E904="",E904&lt;D904),"",E904-D904+1)</f>
        <v/>
      </c>
      <c r="I904" s="17" t="str">
        <f aca="false">IF(OR(H904="",C904=""),"",IF(F904="İptal",0,H904*IFERROR(INDEX(Ürünler!$B$5:$B$64,MATCH(C904,Ürünler!$A$5:$A$64,0)),0)-G904))</f>
        <v/>
      </c>
      <c r="J904" s="18" t="str">
        <f aca="false">IF(OR(H904="",C904="",F904="İptal"),"",IF(COUNTIFS($C$5:$C$1504,C904,$D$5:$D$1504,"&lt;="&amp;E904,$E$5:$E$1504,"&gt;="&amp;D904,$F$5:$F$1504,"&lt;&gt;İptal")&gt;1,"Çakışıyor",""))</f>
        <v/>
      </c>
    </row>
    <row r="905" customFormat="false" ht="15" hidden="false" customHeight="false" outlineLevel="0" collapsed="false">
      <c r="A905" s="12"/>
      <c r="B905" s="12"/>
      <c r="C905" s="13"/>
      <c r="D905" s="14"/>
      <c r="E905" s="14"/>
      <c r="F905" s="13"/>
      <c r="G905" s="15"/>
      <c r="H905" s="16" t="str">
        <f aca="false">IF(OR(D905="",E905="",E905&lt;D905),"",E905-D905+1)</f>
        <v/>
      </c>
      <c r="I905" s="17" t="str">
        <f aca="false">IF(OR(H905="",C905=""),"",IF(F905="İptal",0,H905*IFERROR(INDEX(Ürünler!$B$5:$B$64,MATCH(C905,Ürünler!$A$5:$A$64,0)),0)-G905))</f>
        <v/>
      </c>
      <c r="J905" s="18" t="str">
        <f aca="false">IF(OR(H905="",C905="",F905="İptal"),"",IF(COUNTIFS($C$5:$C$1504,C905,$D$5:$D$1504,"&lt;="&amp;E905,$E$5:$E$1504,"&gt;="&amp;D905,$F$5:$F$1504,"&lt;&gt;İptal")&gt;1,"Çakışıyor",""))</f>
        <v/>
      </c>
    </row>
    <row r="906" customFormat="false" ht="15" hidden="false" customHeight="false" outlineLevel="0" collapsed="false">
      <c r="A906" s="12"/>
      <c r="B906" s="12"/>
      <c r="C906" s="13"/>
      <c r="D906" s="14"/>
      <c r="E906" s="14"/>
      <c r="F906" s="13"/>
      <c r="G906" s="15"/>
      <c r="H906" s="16" t="str">
        <f aca="false">IF(OR(D906="",E906="",E906&lt;D906),"",E906-D906+1)</f>
        <v/>
      </c>
      <c r="I906" s="17" t="str">
        <f aca="false">IF(OR(H906="",C906=""),"",IF(F906="İptal",0,H906*IFERROR(INDEX(Ürünler!$B$5:$B$64,MATCH(C906,Ürünler!$A$5:$A$64,0)),0)-G906))</f>
        <v/>
      </c>
      <c r="J906" s="18" t="str">
        <f aca="false">IF(OR(H906="",C906="",F906="İptal"),"",IF(COUNTIFS($C$5:$C$1504,C906,$D$5:$D$1504,"&lt;="&amp;E906,$E$5:$E$1504,"&gt;="&amp;D906,$F$5:$F$1504,"&lt;&gt;İptal")&gt;1,"Çakışıyor",""))</f>
        <v/>
      </c>
    </row>
    <row r="907" customFormat="false" ht="15" hidden="false" customHeight="false" outlineLevel="0" collapsed="false">
      <c r="A907" s="12"/>
      <c r="B907" s="12"/>
      <c r="C907" s="13"/>
      <c r="D907" s="14"/>
      <c r="E907" s="14"/>
      <c r="F907" s="13"/>
      <c r="G907" s="15"/>
      <c r="H907" s="16" t="str">
        <f aca="false">IF(OR(D907="",E907="",E907&lt;D907),"",E907-D907+1)</f>
        <v/>
      </c>
      <c r="I907" s="17" t="str">
        <f aca="false">IF(OR(H907="",C907=""),"",IF(F907="İptal",0,H907*IFERROR(INDEX(Ürünler!$B$5:$B$64,MATCH(C907,Ürünler!$A$5:$A$64,0)),0)-G907))</f>
        <v/>
      </c>
      <c r="J907" s="18" t="str">
        <f aca="false">IF(OR(H907="",C907="",F907="İptal"),"",IF(COUNTIFS($C$5:$C$1504,C907,$D$5:$D$1504,"&lt;="&amp;E907,$E$5:$E$1504,"&gt;="&amp;D907,$F$5:$F$1504,"&lt;&gt;İptal")&gt;1,"Çakışıyor",""))</f>
        <v/>
      </c>
    </row>
    <row r="908" customFormat="false" ht="15" hidden="false" customHeight="false" outlineLevel="0" collapsed="false">
      <c r="A908" s="12"/>
      <c r="B908" s="12"/>
      <c r="C908" s="13"/>
      <c r="D908" s="14"/>
      <c r="E908" s="14"/>
      <c r="F908" s="13"/>
      <c r="G908" s="15"/>
      <c r="H908" s="16" t="str">
        <f aca="false">IF(OR(D908="",E908="",E908&lt;D908),"",E908-D908+1)</f>
        <v/>
      </c>
      <c r="I908" s="17" t="str">
        <f aca="false">IF(OR(H908="",C908=""),"",IF(F908="İptal",0,H908*IFERROR(INDEX(Ürünler!$B$5:$B$64,MATCH(C908,Ürünler!$A$5:$A$64,0)),0)-G908))</f>
        <v/>
      </c>
      <c r="J908" s="18" t="str">
        <f aca="false">IF(OR(H908="",C908="",F908="İptal"),"",IF(COUNTIFS($C$5:$C$1504,C908,$D$5:$D$1504,"&lt;="&amp;E908,$E$5:$E$1504,"&gt;="&amp;D908,$F$5:$F$1504,"&lt;&gt;İptal")&gt;1,"Çakışıyor",""))</f>
        <v/>
      </c>
    </row>
    <row r="909" customFormat="false" ht="15" hidden="false" customHeight="false" outlineLevel="0" collapsed="false">
      <c r="A909" s="12"/>
      <c r="B909" s="12"/>
      <c r="C909" s="13"/>
      <c r="D909" s="14"/>
      <c r="E909" s="14"/>
      <c r="F909" s="13"/>
      <c r="G909" s="15"/>
      <c r="H909" s="16" t="str">
        <f aca="false">IF(OR(D909="",E909="",E909&lt;D909),"",E909-D909+1)</f>
        <v/>
      </c>
      <c r="I909" s="17" t="str">
        <f aca="false">IF(OR(H909="",C909=""),"",IF(F909="İptal",0,H909*IFERROR(INDEX(Ürünler!$B$5:$B$64,MATCH(C909,Ürünler!$A$5:$A$64,0)),0)-G909))</f>
        <v/>
      </c>
      <c r="J909" s="18" t="str">
        <f aca="false">IF(OR(H909="",C909="",F909="İptal"),"",IF(COUNTIFS($C$5:$C$1504,C909,$D$5:$D$1504,"&lt;="&amp;E909,$E$5:$E$1504,"&gt;="&amp;D909,$F$5:$F$1504,"&lt;&gt;İptal")&gt;1,"Çakışıyor",""))</f>
        <v/>
      </c>
    </row>
    <row r="910" customFormat="false" ht="15" hidden="false" customHeight="false" outlineLevel="0" collapsed="false">
      <c r="A910" s="12"/>
      <c r="B910" s="12"/>
      <c r="C910" s="13"/>
      <c r="D910" s="14"/>
      <c r="E910" s="14"/>
      <c r="F910" s="13"/>
      <c r="G910" s="15"/>
      <c r="H910" s="16" t="str">
        <f aca="false">IF(OR(D910="",E910="",E910&lt;D910),"",E910-D910+1)</f>
        <v/>
      </c>
      <c r="I910" s="17" t="str">
        <f aca="false">IF(OR(H910="",C910=""),"",IF(F910="İptal",0,H910*IFERROR(INDEX(Ürünler!$B$5:$B$64,MATCH(C910,Ürünler!$A$5:$A$64,0)),0)-G910))</f>
        <v/>
      </c>
      <c r="J910" s="18" t="str">
        <f aca="false">IF(OR(H910="",C910="",F910="İptal"),"",IF(COUNTIFS($C$5:$C$1504,C910,$D$5:$D$1504,"&lt;="&amp;E910,$E$5:$E$1504,"&gt;="&amp;D910,$F$5:$F$1504,"&lt;&gt;İptal")&gt;1,"Çakışıyor",""))</f>
        <v/>
      </c>
    </row>
    <row r="911" customFormat="false" ht="15" hidden="false" customHeight="false" outlineLevel="0" collapsed="false">
      <c r="A911" s="12"/>
      <c r="B911" s="12"/>
      <c r="C911" s="13"/>
      <c r="D911" s="14"/>
      <c r="E911" s="14"/>
      <c r="F911" s="13"/>
      <c r="G911" s="15"/>
      <c r="H911" s="16" t="str">
        <f aca="false">IF(OR(D911="",E911="",E911&lt;D911),"",E911-D911+1)</f>
        <v/>
      </c>
      <c r="I911" s="17" t="str">
        <f aca="false">IF(OR(H911="",C911=""),"",IF(F911="İptal",0,H911*IFERROR(INDEX(Ürünler!$B$5:$B$64,MATCH(C911,Ürünler!$A$5:$A$64,0)),0)-G911))</f>
        <v/>
      </c>
      <c r="J911" s="18" t="str">
        <f aca="false">IF(OR(H911="",C911="",F911="İptal"),"",IF(COUNTIFS($C$5:$C$1504,C911,$D$5:$D$1504,"&lt;="&amp;E911,$E$5:$E$1504,"&gt;="&amp;D911,$F$5:$F$1504,"&lt;&gt;İptal")&gt;1,"Çakışıyor",""))</f>
        <v/>
      </c>
    </row>
    <row r="912" customFormat="false" ht="15" hidden="false" customHeight="false" outlineLevel="0" collapsed="false">
      <c r="A912" s="12"/>
      <c r="B912" s="12"/>
      <c r="C912" s="13"/>
      <c r="D912" s="14"/>
      <c r="E912" s="14"/>
      <c r="F912" s="13"/>
      <c r="G912" s="15"/>
      <c r="H912" s="16" t="str">
        <f aca="false">IF(OR(D912="",E912="",E912&lt;D912),"",E912-D912+1)</f>
        <v/>
      </c>
      <c r="I912" s="17" t="str">
        <f aca="false">IF(OR(H912="",C912=""),"",IF(F912="İptal",0,H912*IFERROR(INDEX(Ürünler!$B$5:$B$64,MATCH(C912,Ürünler!$A$5:$A$64,0)),0)-G912))</f>
        <v/>
      </c>
      <c r="J912" s="18" t="str">
        <f aca="false">IF(OR(H912="",C912="",F912="İptal"),"",IF(COUNTIFS($C$5:$C$1504,C912,$D$5:$D$1504,"&lt;="&amp;E912,$E$5:$E$1504,"&gt;="&amp;D912,$F$5:$F$1504,"&lt;&gt;İptal")&gt;1,"Çakışıyor",""))</f>
        <v/>
      </c>
    </row>
    <row r="913" customFormat="false" ht="15" hidden="false" customHeight="false" outlineLevel="0" collapsed="false">
      <c r="A913" s="12"/>
      <c r="B913" s="12"/>
      <c r="C913" s="13"/>
      <c r="D913" s="14"/>
      <c r="E913" s="14"/>
      <c r="F913" s="13"/>
      <c r="G913" s="15"/>
      <c r="H913" s="16" t="str">
        <f aca="false">IF(OR(D913="",E913="",E913&lt;D913),"",E913-D913+1)</f>
        <v/>
      </c>
      <c r="I913" s="17" t="str">
        <f aca="false">IF(OR(H913="",C913=""),"",IF(F913="İptal",0,H913*IFERROR(INDEX(Ürünler!$B$5:$B$64,MATCH(C913,Ürünler!$A$5:$A$64,0)),0)-G913))</f>
        <v/>
      </c>
      <c r="J913" s="18" t="str">
        <f aca="false">IF(OR(H913="",C913="",F913="İptal"),"",IF(COUNTIFS($C$5:$C$1504,C913,$D$5:$D$1504,"&lt;="&amp;E913,$E$5:$E$1504,"&gt;="&amp;D913,$F$5:$F$1504,"&lt;&gt;İptal")&gt;1,"Çakışıyor",""))</f>
        <v/>
      </c>
    </row>
    <row r="914" customFormat="false" ht="15" hidden="false" customHeight="false" outlineLevel="0" collapsed="false">
      <c r="A914" s="12"/>
      <c r="B914" s="12"/>
      <c r="C914" s="13"/>
      <c r="D914" s="14"/>
      <c r="E914" s="14"/>
      <c r="F914" s="13"/>
      <c r="G914" s="15"/>
      <c r="H914" s="16" t="str">
        <f aca="false">IF(OR(D914="",E914="",E914&lt;D914),"",E914-D914+1)</f>
        <v/>
      </c>
      <c r="I914" s="17" t="str">
        <f aca="false">IF(OR(H914="",C914=""),"",IF(F914="İptal",0,H914*IFERROR(INDEX(Ürünler!$B$5:$B$64,MATCH(C914,Ürünler!$A$5:$A$64,0)),0)-G914))</f>
        <v/>
      </c>
      <c r="J914" s="18" t="str">
        <f aca="false">IF(OR(H914="",C914="",F914="İptal"),"",IF(COUNTIFS($C$5:$C$1504,C914,$D$5:$D$1504,"&lt;="&amp;E914,$E$5:$E$1504,"&gt;="&amp;D914,$F$5:$F$1504,"&lt;&gt;İptal")&gt;1,"Çakışıyor",""))</f>
        <v/>
      </c>
    </row>
    <row r="915" customFormat="false" ht="15" hidden="false" customHeight="false" outlineLevel="0" collapsed="false">
      <c r="A915" s="12"/>
      <c r="B915" s="12"/>
      <c r="C915" s="13"/>
      <c r="D915" s="14"/>
      <c r="E915" s="14"/>
      <c r="F915" s="13"/>
      <c r="G915" s="15"/>
      <c r="H915" s="16" t="str">
        <f aca="false">IF(OR(D915="",E915="",E915&lt;D915),"",E915-D915+1)</f>
        <v/>
      </c>
      <c r="I915" s="17" t="str">
        <f aca="false">IF(OR(H915="",C915=""),"",IF(F915="İptal",0,H915*IFERROR(INDEX(Ürünler!$B$5:$B$64,MATCH(C915,Ürünler!$A$5:$A$64,0)),0)-G915))</f>
        <v/>
      </c>
      <c r="J915" s="18" t="str">
        <f aca="false">IF(OR(H915="",C915="",F915="İptal"),"",IF(COUNTIFS($C$5:$C$1504,C915,$D$5:$D$1504,"&lt;="&amp;E915,$E$5:$E$1504,"&gt;="&amp;D915,$F$5:$F$1504,"&lt;&gt;İptal")&gt;1,"Çakışıyor",""))</f>
        <v/>
      </c>
    </row>
    <row r="916" customFormat="false" ht="15" hidden="false" customHeight="false" outlineLevel="0" collapsed="false">
      <c r="A916" s="12"/>
      <c r="B916" s="12"/>
      <c r="C916" s="13"/>
      <c r="D916" s="14"/>
      <c r="E916" s="14"/>
      <c r="F916" s="13"/>
      <c r="G916" s="15"/>
      <c r="H916" s="16" t="str">
        <f aca="false">IF(OR(D916="",E916="",E916&lt;D916),"",E916-D916+1)</f>
        <v/>
      </c>
      <c r="I916" s="17" t="str">
        <f aca="false">IF(OR(H916="",C916=""),"",IF(F916="İptal",0,H916*IFERROR(INDEX(Ürünler!$B$5:$B$64,MATCH(C916,Ürünler!$A$5:$A$64,0)),0)-G916))</f>
        <v/>
      </c>
      <c r="J916" s="18" t="str">
        <f aca="false">IF(OR(H916="",C916="",F916="İptal"),"",IF(COUNTIFS($C$5:$C$1504,C916,$D$5:$D$1504,"&lt;="&amp;E916,$E$5:$E$1504,"&gt;="&amp;D916,$F$5:$F$1504,"&lt;&gt;İptal")&gt;1,"Çakışıyor",""))</f>
        <v/>
      </c>
    </row>
    <row r="917" customFormat="false" ht="15" hidden="false" customHeight="false" outlineLevel="0" collapsed="false">
      <c r="A917" s="12"/>
      <c r="B917" s="12"/>
      <c r="C917" s="13"/>
      <c r="D917" s="14"/>
      <c r="E917" s="14"/>
      <c r="F917" s="13"/>
      <c r="G917" s="15"/>
      <c r="H917" s="16" t="str">
        <f aca="false">IF(OR(D917="",E917="",E917&lt;D917),"",E917-D917+1)</f>
        <v/>
      </c>
      <c r="I917" s="17" t="str">
        <f aca="false">IF(OR(H917="",C917=""),"",IF(F917="İptal",0,H917*IFERROR(INDEX(Ürünler!$B$5:$B$64,MATCH(C917,Ürünler!$A$5:$A$64,0)),0)-G917))</f>
        <v/>
      </c>
      <c r="J917" s="18" t="str">
        <f aca="false">IF(OR(H917="",C917="",F917="İptal"),"",IF(COUNTIFS($C$5:$C$1504,C917,$D$5:$D$1504,"&lt;="&amp;E917,$E$5:$E$1504,"&gt;="&amp;D917,$F$5:$F$1504,"&lt;&gt;İptal")&gt;1,"Çakışıyor",""))</f>
        <v/>
      </c>
    </row>
    <row r="918" customFormat="false" ht="15" hidden="false" customHeight="false" outlineLevel="0" collapsed="false">
      <c r="A918" s="12"/>
      <c r="B918" s="12"/>
      <c r="C918" s="13"/>
      <c r="D918" s="14"/>
      <c r="E918" s="14"/>
      <c r="F918" s="13"/>
      <c r="G918" s="15"/>
      <c r="H918" s="16" t="str">
        <f aca="false">IF(OR(D918="",E918="",E918&lt;D918),"",E918-D918+1)</f>
        <v/>
      </c>
      <c r="I918" s="17" t="str">
        <f aca="false">IF(OR(H918="",C918=""),"",IF(F918="İptal",0,H918*IFERROR(INDEX(Ürünler!$B$5:$B$64,MATCH(C918,Ürünler!$A$5:$A$64,0)),0)-G918))</f>
        <v/>
      </c>
      <c r="J918" s="18" t="str">
        <f aca="false">IF(OR(H918="",C918="",F918="İptal"),"",IF(COUNTIFS($C$5:$C$1504,C918,$D$5:$D$1504,"&lt;="&amp;E918,$E$5:$E$1504,"&gt;="&amp;D918,$F$5:$F$1504,"&lt;&gt;İptal")&gt;1,"Çakışıyor",""))</f>
        <v/>
      </c>
    </row>
    <row r="919" customFormat="false" ht="15" hidden="false" customHeight="false" outlineLevel="0" collapsed="false">
      <c r="A919" s="12"/>
      <c r="B919" s="12"/>
      <c r="C919" s="13"/>
      <c r="D919" s="14"/>
      <c r="E919" s="14"/>
      <c r="F919" s="13"/>
      <c r="G919" s="15"/>
      <c r="H919" s="16" t="str">
        <f aca="false">IF(OR(D919="",E919="",E919&lt;D919),"",E919-D919+1)</f>
        <v/>
      </c>
      <c r="I919" s="17" t="str">
        <f aca="false">IF(OR(H919="",C919=""),"",IF(F919="İptal",0,H919*IFERROR(INDEX(Ürünler!$B$5:$B$64,MATCH(C919,Ürünler!$A$5:$A$64,0)),0)-G919))</f>
        <v/>
      </c>
      <c r="J919" s="18" t="str">
        <f aca="false">IF(OR(H919="",C919="",F919="İptal"),"",IF(COUNTIFS($C$5:$C$1504,C919,$D$5:$D$1504,"&lt;="&amp;E919,$E$5:$E$1504,"&gt;="&amp;D919,$F$5:$F$1504,"&lt;&gt;İptal")&gt;1,"Çakışıyor",""))</f>
        <v/>
      </c>
    </row>
    <row r="920" customFormat="false" ht="15" hidden="false" customHeight="false" outlineLevel="0" collapsed="false">
      <c r="A920" s="12"/>
      <c r="B920" s="12"/>
      <c r="C920" s="13"/>
      <c r="D920" s="14"/>
      <c r="E920" s="14"/>
      <c r="F920" s="13"/>
      <c r="G920" s="15"/>
      <c r="H920" s="16" t="str">
        <f aca="false">IF(OR(D920="",E920="",E920&lt;D920),"",E920-D920+1)</f>
        <v/>
      </c>
      <c r="I920" s="17" t="str">
        <f aca="false">IF(OR(H920="",C920=""),"",IF(F920="İptal",0,H920*IFERROR(INDEX(Ürünler!$B$5:$B$64,MATCH(C920,Ürünler!$A$5:$A$64,0)),0)-G920))</f>
        <v/>
      </c>
      <c r="J920" s="18" t="str">
        <f aca="false">IF(OR(H920="",C920="",F920="İptal"),"",IF(COUNTIFS($C$5:$C$1504,C920,$D$5:$D$1504,"&lt;="&amp;E920,$E$5:$E$1504,"&gt;="&amp;D920,$F$5:$F$1504,"&lt;&gt;İptal")&gt;1,"Çakışıyor",""))</f>
        <v/>
      </c>
    </row>
    <row r="921" customFormat="false" ht="15" hidden="false" customHeight="false" outlineLevel="0" collapsed="false">
      <c r="A921" s="12"/>
      <c r="B921" s="12"/>
      <c r="C921" s="13"/>
      <c r="D921" s="14"/>
      <c r="E921" s="14"/>
      <c r="F921" s="13"/>
      <c r="G921" s="15"/>
      <c r="H921" s="16" t="str">
        <f aca="false">IF(OR(D921="",E921="",E921&lt;D921),"",E921-D921+1)</f>
        <v/>
      </c>
      <c r="I921" s="17" t="str">
        <f aca="false">IF(OR(H921="",C921=""),"",IF(F921="İptal",0,H921*IFERROR(INDEX(Ürünler!$B$5:$B$64,MATCH(C921,Ürünler!$A$5:$A$64,0)),0)-G921))</f>
        <v/>
      </c>
      <c r="J921" s="18" t="str">
        <f aca="false">IF(OR(H921="",C921="",F921="İptal"),"",IF(COUNTIFS($C$5:$C$1504,C921,$D$5:$D$1504,"&lt;="&amp;E921,$E$5:$E$1504,"&gt;="&amp;D921,$F$5:$F$1504,"&lt;&gt;İptal")&gt;1,"Çakışıyor",""))</f>
        <v/>
      </c>
    </row>
    <row r="922" customFormat="false" ht="15" hidden="false" customHeight="false" outlineLevel="0" collapsed="false">
      <c r="A922" s="12"/>
      <c r="B922" s="12"/>
      <c r="C922" s="13"/>
      <c r="D922" s="14"/>
      <c r="E922" s="14"/>
      <c r="F922" s="13"/>
      <c r="G922" s="15"/>
      <c r="H922" s="16" t="str">
        <f aca="false">IF(OR(D922="",E922="",E922&lt;D922),"",E922-D922+1)</f>
        <v/>
      </c>
      <c r="I922" s="17" t="str">
        <f aca="false">IF(OR(H922="",C922=""),"",IF(F922="İptal",0,H922*IFERROR(INDEX(Ürünler!$B$5:$B$64,MATCH(C922,Ürünler!$A$5:$A$64,0)),0)-G922))</f>
        <v/>
      </c>
      <c r="J922" s="18" t="str">
        <f aca="false">IF(OR(H922="",C922="",F922="İptal"),"",IF(COUNTIFS($C$5:$C$1504,C922,$D$5:$D$1504,"&lt;="&amp;E922,$E$5:$E$1504,"&gt;="&amp;D922,$F$5:$F$1504,"&lt;&gt;İptal")&gt;1,"Çakışıyor",""))</f>
        <v/>
      </c>
    </row>
    <row r="923" customFormat="false" ht="15" hidden="false" customHeight="false" outlineLevel="0" collapsed="false">
      <c r="A923" s="12"/>
      <c r="B923" s="12"/>
      <c r="C923" s="13"/>
      <c r="D923" s="14"/>
      <c r="E923" s="14"/>
      <c r="F923" s="13"/>
      <c r="G923" s="15"/>
      <c r="H923" s="16" t="str">
        <f aca="false">IF(OR(D923="",E923="",E923&lt;D923),"",E923-D923+1)</f>
        <v/>
      </c>
      <c r="I923" s="17" t="str">
        <f aca="false">IF(OR(H923="",C923=""),"",IF(F923="İptal",0,H923*IFERROR(INDEX(Ürünler!$B$5:$B$64,MATCH(C923,Ürünler!$A$5:$A$64,0)),0)-G923))</f>
        <v/>
      </c>
      <c r="J923" s="18" t="str">
        <f aca="false">IF(OR(H923="",C923="",F923="İptal"),"",IF(COUNTIFS($C$5:$C$1504,C923,$D$5:$D$1504,"&lt;="&amp;E923,$E$5:$E$1504,"&gt;="&amp;D923,$F$5:$F$1504,"&lt;&gt;İptal")&gt;1,"Çakışıyor",""))</f>
        <v/>
      </c>
    </row>
    <row r="924" customFormat="false" ht="15" hidden="false" customHeight="false" outlineLevel="0" collapsed="false">
      <c r="A924" s="12"/>
      <c r="B924" s="12"/>
      <c r="C924" s="13"/>
      <c r="D924" s="14"/>
      <c r="E924" s="14"/>
      <c r="F924" s="13"/>
      <c r="G924" s="15"/>
      <c r="H924" s="16" t="str">
        <f aca="false">IF(OR(D924="",E924="",E924&lt;D924),"",E924-D924+1)</f>
        <v/>
      </c>
      <c r="I924" s="17" t="str">
        <f aca="false">IF(OR(H924="",C924=""),"",IF(F924="İptal",0,H924*IFERROR(INDEX(Ürünler!$B$5:$B$64,MATCH(C924,Ürünler!$A$5:$A$64,0)),0)-G924))</f>
        <v/>
      </c>
      <c r="J924" s="18" t="str">
        <f aca="false">IF(OR(H924="",C924="",F924="İptal"),"",IF(COUNTIFS($C$5:$C$1504,C924,$D$5:$D$1504,"&lt;="&amp;E924,$E$5:$E$1504,"&gt;="&amp;D924,$F$5:$F$1504,"&lt;&gt;İptal")&gt;1,"Çakışıyor",""))</f>
        <v/>
      </c>
    </row>
    <row r="925" customFormat="false" ht="15" hidden="false" customHeight="false" outlineLevel="0" collapsed="false">
      <c r="A925" s="12"/>
      <c r="B925" s="12"/>
      <c r="C925" s="13"/>
      <c r="D925" s="14"/>
      <c r="E925" s="14"/>
      <c r="F925" s="13"/>
      <c r="G925" s="15"/>
      <c r="H925" s="16" t="str">
        <f aca="false">IF(OR(D925="",E925="",E925&lt;D925),"",E925-D925+1)</f>
        <v/>
      </c>
      <c r="I925" s="17" t="str">
        <f aca="false">IF(OR(H925="",C925=""),"",IF(F925="İptal",0,H925*IFERROR(INDEX(Ürünler!$B$5:$B$64,MATCH(C925,Ürünler!$A$5:$A$64,0)),0)-G925))</f>
        <v/>
      </c>
      <c r="J925" s="18" t="str">
        <f aca="false">IF(OR(H925="",C925="",F925="İptal"),"",IF(COUNTIFS($C$5:$C$1504,C925,$D$5:$D$1504,"&lt;="&amp;E925,$E$5:$E$1504,"&gt;="&amp;D925,$F$5:$F$1504,"&lt;&gt;İptal")&gt;1,"Çakışıyor",""))</f>
        <v/>
      </c>
    </row>
    <row r="926" customFormat="false" ht="15" hidden="false" customHeight="false" outlineLevel="0" collapsed="false">
      <c r="A926" s="12"/>
      <c r="B926" s="12"/>
      <c r="C926" s="13"/>
      <c r="D926" s="14"/>
      <c r="E926" s="14"/>
      <c r="F926" s="13"/>
      <c r="G926" s="15"/>
      <c r="H926" s="16" t="str">
        <f aca="false">IF(OR(D926="",E926="",E926&lt;D926),"",E926-D926+1)</f>
        <v/>
      </c>
      <c r="I926" s="17" t="str">
        <f aca="false">IF(OR(H926="",C926=""),"",IF(F926="İptal",0,H926*IFERROR(INDEX(Ürünler!$B$5:$B$64,MATCH(C926,Ürünler!$A$5:$A$64,0)),0)-G926))</f>
        <v/>
      </c>
      <c r="J926" s="18" t="str">
        <f aca="false">IF(OR(H926="",C926="",F926="İptal"),"",IF(COUNTIFS($C$5:$C$1504,C926,$D$5:$D$1504,"&lt;="&amp;E926,$E$5:$E$1504,"&gt;="&amp;D926,$F$5:$F$1504,"&lt;&gt;İptal")&gt;1,"Çakışıyor",""))</f>
        <v/>
      </c>
    </row>
    <row r="927" customFormat="false" ht="15" hidden="false" customHeight="false" outlineLevel="0" collapsed="false">
      <c r="A927" s="12"/>
      <c r="B927" s="12"/>
      <c r="C927" s="13"/>
      <c r="D927" s="14"/>
      <c r="E927" s="14"/>
      <c r="F927" s="13"/>
      <c r="G927" s="15"/>
      <c r="H927" s="16" t="str">
        <f aca="false">IF(OR(D927="",E927="",E927&lt;D927),"",E927-D927+1)</f>
        <v/>
      </c>
      <c r="I927" s="17" t="str">
        <f aca="false">IF(OR(H927="",C927=""),"",IF(F927="İptal",0,H927*IFERROR(INDEX(Ürünler!$B$5:$B$64,MATCH(C927,Ürünler!$A$5:$A$64,0)),0)-G927))</f>
        <v/>
      </c>
      <c r="J927" s="18" t="str">
        <f aca="false">IF(OR(H927="",C927="",F927="İptal"),"",IF(COUNTIFS($C$5:$C$1504,C927,$D$5:$D$1504,"&lt;="&amp;E927,$E$5:$E$1504,"&gt;="&amp;D927,$F$5:$F$1504,"&lt;&gt;İptal")&gt;1,"Çakışıyor",""))</f>
        <v/>
      </c>
    </row>
    <row r="928" customFormat="false" ht="15" hidden="false" customHeight="false" outlineLevel="0" collapsed="false">
      <c r="A928" s="12"/>
      <c r="B928" s="12"/>
      <c r="C928" s="13"/>
      <c r="D928" s="14"/>
      <c r="E928" s="14"/>
      <c r="F928" s="13"/>
      <c r="G928" s="15"/>
      <c r="H928" s="16" t="str">
        <f aca="false">IF(OR(D928="",E928="",E928&lt;D928),"",E928-D928+1)</f>
        <v/>
      </c>
      <c r="I928" s="17" t="str">
        <f aca="false">IF(OR(H928="",C928=""),"",IF(F928="İptal",0,H928*IFERROR(INDEX(Ürünler!$B$5:$B$64,MATCH(C928,Ürünler!$A$5:$A$64,0)),0)-G928))</f>
        <v/>
      </c>
      <c r="J928" s="18" t="str">
        <f aca="false">IF(OR(H928="",C928="",F928="İptal"),"",IF(COUNTIFS($C$5:$C$1504,C928,$D$5:$D$1504,"&lt;="&amp;E928,$E$5:$E$1504,"&gt;="&amp;D928,$F$5:$F$1504,"&lt;&gt;İptal")&gt;1,"Çakışıyor",""))</f>
        <v/>
      </c>
    </row>
    <row r="929" customFormat="false" ht="15" hidden="false" customHeight="false" outlineLevel="0" collapsed="false">
      <c r="A929" s="12"/>
      <c r="B929" s="12"/>
      <c r="C929" s="13"/>
      <c r="D929" s="14"/>
      <c r="E929" s="14"/>
      <c r="F929" s="13"/>
      <c r="G929" s="15"/>
      <c r="H929" s="16" t="str">
        <f aca="false">IF(OR(D929="",E929="",E929&lt;D929),"",E929-D929+1)</f>
        <v/>
      </c>
      <c r="I929" s="17" t="str">
        <f aca="false">IF(OR(H929="",C929=""),"",IF(F929="İptal",0,H929*IFERROR(INDEX(Ürünler!$B$5:$B$64,MATCH(C929,Ürünler!$A$5:$A$64,0)),0)-G929))</f>
        <v/>
      </c>
      <c r="J929" s="18" t="str">
        <f aca="false">IF(OR(H929="",C929="",F929="İptal"),"",IF(COUNTIFS($C$5:$C$1504,C929,$D$5:$D$1504,"&lt;="&amp;E929,$E$5:$E$1504,"&gt;="&amp;D929,$F$5:$F$1504,"&lt;&gt;İptal")&gt;1,"Çakışıyor",""))</f>
        <v/>
      </c>
    </row>
    <row r="930" customFormat="false" ht="15" hidden="false" customHeight="false" outlineLevel="0" collapsed="false">
      <c r="A930" s="12"/>
      <c r="B930" s="12"/>
      <c r="C930" s="13"/>
      <c r="D930" s="14"/>
      <c r="E930" s="14"/>
      <c r="F930" s="13"/>
      <c r="G930" s="15"/>
      <c r="H930" s="16" t="str">
        <f aca="false">IF(OR(D930="",E930="",E930&lt;D930),"",E930-D930+1)</f>
        <v/>
      </c>
      <c r="I930" s="17" t="str">
        <f aca="false">IF(OR(H930="",C930=""),"",IF(F930="İptal",0,H930*IFERROR(INDEX(Ürünler!$B$5:$B$64,MATCH(C930,Ürünler!$A$5:$A$64,0)),0)-G930))</f>
        <v/>
      </c>
      <c r="J930" s="18" t="str">
        <f aca="false">IF(OR(H930="",C930="",F930="İptal"),"",IF(COUNTIFS($C$5:$C$1504,C930,$D$5:$D$1504,"&lt;="&amp;E930,$E$5:$E$1504,"&gt;="&amp;D930,$F$5:$F$1504,"&lt;&gt;İptal")&gt;1,"Çakışıyor",""))</f>
        <v/>
      </c>
    </row>
    <row r="931" customFormat="false" ht="15" hidden="false" customHeight="false" outlineLevel="0" collapsed="false">
      <c r="A931" s="12"/>
      <c r="B931" s="12"/>
      <c r="C931" s="13"/>
      <c r="D931" s="14"/>
      <c r="E931" s="14"/>
      <c r="F931" s="13"/>
      <c r="G931" s="15"/>
      <c r="H931" s="16" t="str">
        <f aca="false">IF(OR(D931="",E931="",E931&lt;D931),"",E931-D931+1)</f>
        <v/>
      </c>
      <c r="I931" s="17" t="str">
        <f aca="false">IF(OR(H931="",C931=""),"",IF(F931="İptal",0,H931*IFERROR(INDEX(Ürünler!$B$5:$B$64,MATCH(C931,Ürünler!$A$5:$A$64,0)),0)-G931))</f>
        <v/>
      </c>
      <c r="J931" s="18" t="str">
        <f aca="false">IF(OR(H931="",C931="",F931="İptal"),"",IF(COUNTIFS($C$5:$C$1504,C931,$D$5:$D$1504,"&lt;="&amp;E931,$E$5:$E$1504,"&gt;="&amp;D931,$F$5:$F$1504,"&lt;&gt;İptal")&gt;1,"Çakışıyor",""))</f>
        <v/>
      </c>
    </row>
    <row r="932" customFormat="false" ht="15" hidden="false" customHeight="false" outlineLevel="0" collapsed="false">
      <c r="A932" s="12"/>
      <c r="B932" s="12"/>
      <c r="C932" s="13"/>
      <c r="D932" s="14"/>
      <c r="E932" s="14"/>
      <c r="F932" s="13"/>
      <c r="G932" s="15"/>
      <c r="H932" s="16" t="str">
        <f aca="false">IF(OR(D932="",E932="",E932&lt;D932),"",E932-D932+1)</f>
        <v/>
      </c>
      <c r="I932" s="17" t="str">
        <f aca="false">IF(OR(H932="",C932=""),"",IF(F932="İptal",0,H932*IFERROR(INDEX(Ürünler!$B$5:$B$64,MATCH(C932,Ürünler!$A$5:$A$64,0)),0)-G932))</f>
        <v/>
      </c>
      <c r="J932" s="18" t="str">
        <f aca="false">IF(OR(H932="",C932="",F932="İptal"),"",IF(COUNTIFS($C$5:$C$1504,C932,$D$5:$D$1504,"&lt;="&amp;E932,$E$5:$E$1504,"&gt;="&amp;D932,$F$5:$F$1504,"&lt;&gt;İptal")&gt;1,"Çakışıyor",""))</f>
        <v/>
      </c>
    </row>
    <row r="933" customFormat="false" ht="15" hidden="false" customHeight="false" outlineLevel="0" collapsed="false">
      <c r="A933" s="12"/>
      <c r="B933" s="12"/>
      <c r="C933" s="13"/>
      <c r="D933" s="14"/>
      <c r="E933" s="14"/>
      <c r="F933" s="13"/>
      <c r="G933" s="15"/>
      <c r="H933" s="16" t="str">
        <f aca="false">IF(OR(D933="",E933="",E933&lt;D933),"",E933-D933+1)</f>
        <v/>
      </c>
      <c r="I933" s="17" t="str">
        <f aca="false">IF(OR(H933="",C933=""),"",IF(F933="İptal",0,H933*IFERROR(INDEX(Ürünler!$B$5:$B$64,MATCH(C933,Ürünler!$A$5:$A$64,0)),0)-G933))</f>
        <v/>
      </c>
      <c r="J933" s="18" t="str">
        <f aca="false">IF(OR(H933="",C933="",F933="İptal"),"",IF(COUNTIFS($C$5:$C$1504,C933,$D$5:$D$1504,"&lt;="&amp;E933,$E$5:$E$1504,"&gt;="&amp;D933,$F$5:$F$1504,"&lt;&gt;İptal")&gt;1,"Çakışıyor",""))</f>
        <v/>
      </c>
    </row>
    <row r="934" customFormat="false" ht="15" hidden="false" customHeight="false" outlineLevel="0" collapsed="false">
      <c r="A934" s="12"/>
      <c r="B934" s="12"/>
      <c r="C934" s="13"/>
      <c r="D934" s="14"/>
      <c r="E934" s="14"/>
      <c r="F934" s="13"/>
      <c r="G934" s="15"/>
      <c r="H934" s="16" t="str">
        <f aca="false">IF(OR(D934="",E934="",E934&lt;D934),"",E934-D934+1)</f>
        <v/>
      </c>
      <c r="I934" s="17" t="str">
        <f aca="false">IF(OR(H934="",C934=""),"",IF(F934="İptal",0,H934*IFERROR(INDEX(Ürünler!$B$5:$B$64,MATCH(C934,Ürünler!$A$5:$A$64,0)),0)-G934))</f>
        <v/>
      </c>
      <c r="J934" s="18" t="str">
        <f aca="false">IF(OR(H934="",C934="",F934="İptal"),"",IF(COUNTIFS($C$5:$C$1504,C934,$D$5:$D$1504,"&lt;="&amp;E934,$E$5:$E$1504,"&gt;="&amp;D934,$F$5:$F$1504,"&lt;&gt;İptal")&gt;1,"Çakışıyor",""))</f>
        <v/>
      </c>
    </row>
    <row r="935" customFormat="false" ht="15" hidden="false" customHeight="false" outlineLevel="0" collapsed="false">
      <c r="A935" s="12"/>
      <c r="B935" s="12"/>
      <c r="C935" s="13"/>
      <c r="D935" s="14"/>
      <c r="E935" s="14"/>
      <c r="F935" s="13"/>
      <c r="G935" s="15"/>
      <c r="H935" s="16" t="str">
        <f aca="false">IF(OR(D935="",E935="",E935&lt;D935),"",E935-D935+1)</f>
        <v/>
      </c>
      <c r="I935" s="17" t="str">
        <f aca="false">IF(OR(H935="",C935=""),"",IF(F935="İptal",0,H935*IFERROR(INDEX(Ürünler!$B$5:$B$64,MATCH(C935,Ürünler!$A$5:$A$64,0)),0)-G935))</f>
        <v/>
      </c>
      <c r="J935" s="18" t="str">
        <f aca="false">IF(OR(H935="",C935="",F935="İptal"),"",IF(COUNTIFS($C$5:$C$1504,C935,$D$5:$D$1504,"&lt;="&amp;E935,$E$5:$E$1504,"&gt;="&amp;D935,$F$5:$F$1504,"&lt;&gt;İptal")&gt;1,"Çakışıyor",""))</f>
        <v/>
      </c>
    </row>
    <row r="936" customFormat="false" ht="15" hidden="false" customHeight="false" outlineLevel="0" collapsed="false">
      <c r="A936" s="12"/>
      <c r="B936" s="12"/>
      <c r="C936" s="13"/>
      <c r="D936" s="14"/>
      <c r="E936" s="14"/>
      <c r="F936" s="13"/>
      <c r="G936" s="15"/>
      <c r="H936" s="16" t="str">
        <f aca="false">IF(OR(D936="",E936="",E936&lt;D936),"",E936-D936+1)</f>
        <v/>
      </c>
      <c r="I936" s="17" t="str">
        <f aca="false">IF(OR(H936="",C936=""),"",IF(F936="İptal",0,H936*IFERROR(INDEX(Ürünler!$B$5:$B$64,MATCH(C936,Ürünler!$A$5:$A$64,0)),0)-G936))</f>
        <v/>
      </c>
      <c r="J936" s="18" t="str">
        <f aca="false">IF(OR(H936="",C936="",F936="İptal"),"",IF(COUNTIFS($C$5:$C$1504,C936,$D$5:$D$1504,"&lt;="&amp;E936,$E$5:$E$1504,"&gt;="&amp;D936,$F$5:$F$1504,"&lt;&gt;İptal")&gt;1,"Çakışıyor",""))</f>
        <v/>
      </c>
    </row>
    <row r="937" customFormat="false" ht="15" hidden="false" customHeight="false" outlineLevel="0" collapsed="false">
      <c r="A937" s="12"/>
      <c r="B937" s="12"/>
      <c r="C937" s="13"/>
      <c r="D937" s="14"/>
      <c r="E937" s="14"/>
      <c r="F937" s="13"/>
      <c r="G937" s="15"/>
      <c r="H937" s="16" t="str">
        <f aca="false">IF(OR(D937="",E937="",E937&lt;D937),"",E937-D937+1)</f>
        <v/>
      </c>
      <c r="I937" s="17" t="str">
        <f aca="false">IF(OR(H937="",C937=""),"",IF(F937="İptal",0,H937*IFERROR(INDEX(Ürünler!$B$5:$B$64,MATCH(C937,Ürünler!$A$5:$A$64,0)),0)-G937))</f>
        <v/>
      </c>
      <c r="J937" s="18" t="str">
        <f aca="false">IF(OR(H937="",C937="",F937="İptal"),"",IF(COUNTIFS($C$5:$C$1504,C937,$D$5:$D$1504,"&lt;="&amp;E937,$E$5:$E$1504,"&gt;="&amp;D937,$F$5:$F$1504,"&lt;&gt;İptal")&gt;1,"Çakışıyor",""))</f>
        <v/>
      </c>
    </row>
    <row r="938" customFormat="false" ht="15" hidden="false" customHeight="false" outlineLevel="0" collapsed="false">
      <c r="A938" s="12"/>
      <c r="B938" s="12"/>
      <c r="C938" s="13"/>
      <c r="D938" s="14"/>
      <c r="E938" s="14"/>
      <c r="F938" s="13"/>
      <c r="G938" s="15"/>
      <c r="H938" s="16" t="str">
        <f aca="false">IF(OR(D938="",E938="",E938&lt;D938),"",E938-D938+1)</f>
        <v/>
      </c>
      <c r="I938" s="17" t="str">
        <f aca="false">IF(OR(H938="",C938=""),"",IF(F938="İptal",0,H938*IFERROR(INDEX(Ürünler!$B$5:$B$64,MATCH(C938,Ürünler!$A$5:$A$64,0)),0)-G938))</f>
        <v/>
      </c>
      <c r="J938" s="18" t="str">
        <f aca="false">IF(OR(H938="",C938="",F938="İptal"),"",IF(COUNTIFS($C$5:$C$1504,C938,$D$5:$D$1504,"&lt;="&amp;E938,$E$5:$E$1504,"&gt;="&amp;D938,$F$5:$F$1504,"&lt;&gt;İptal")&gt;1,"Çakışıyor",""))</f>
        <v/>
      </c>
    </row>
    <row r="939" customFormat="false" ht="15" hidden="false" customHeight="false" outlineLevel="0" collapsed="false">
      <c r="A939" s="12"/>
      <c r="B939" s="12"/>
      <c r="C939" s="13"/>
      <c r="D939" s="14"/>
      <c r="E939" s="14"/>
      <c r="F939" s="13"/>
      <c r="G939" s="15"/>
      <c r="H939" s="16" t="str">
        <f aca="false">IF(OR(D939="",E939="",E939&lt;D939),"",E939-D939+1)</f>
        <v/>
      </c>
      <c r="I939" s="17" t="str">
        <f aca="false">IF(OR(H939="",C939=""),"",IF(F939="İptal",0,H939*IFERROR(INDEX(Ürünler!$B$5:$B$64,MATCH(C939,Ürünler!$A$5:$A$64,0)),0)-G939))</f>
        <v/>
      </c>
      <c r="J939" s="18" t="str">
        <f aca="false">IF(OR(H939="",C939="",F939="İptal"),"",IF(COUNTIFS($C$5:$C$1504,C939,$D$5:$D$1504,"&lt;="&amp;E939,$E$5:$E$1504,"&gt;="&amp;D939,$F$5:$F$1504,"&lt;&gt;İptal")&gt;1,"Çakışıyor",""))</f>
        <v/>
      </c>
    </row>
    <row r="940" customFormat="false" ht="15" hidden="false" customHeight="false" outlineLevel="0" collapsed="false">
      <c r="A940" s="12"/>
      <c r="B940" s="12"/>
      <c r="C940" s="13"/>
      <c r="D940" s="14"/>
      <c r="E940" s="14"/>
      <c r="F940" s="13"/>
      <c r="G940" s="15"/>
      <c r="H940" s="16" t="str">
        <f aca="false">IF(OR(D940="",E940="",E940&lt;D940),"",E940-D940+1)</f>
        <v/>
      </c>
      <c r="I940" s="17" t="str">
        <f aca="false">IF(OR(H940="",C940=""),"",IF(F940="İptal",0,H940*IFERROR(INDEX(Ürünler!$B$5:$B$64,MATCH(C940,Ürünler!$A$5:$A$64,0)),0)-G940))</f>
        <v/>
      </c>
      <c r="J940" s="18" t="str">
        <f aca="false">IF(OR(H940="",C940="",F940="İptal"),"",IF(COUNTIFS($C$5:$C$1504,C940,$D$5:$D$1504,"&lt;="&amp;E940,$E$5:$E$1504,"&gt;="&amp;D940,$F$5:$F$1504,"&lt;&gt;İptal")&gt;1,"Çakışıyor",""))</f>
        <v/>
      </c>
    </row>
    <row r="941" customFormat="false" ht="15" hidden="false" customHeight="false" outlineLevel="0" collapsed="false">
      <c r="A941" s="12"/>
      <c r="B941" s="12"/>
      <c r="C941" s="13"/>
      <c r="D941" s="14"/>
      <c r="E941" s="14"/>
      <c r="F941" s="13"/>
      <c r="G941" s="15"/>
      <c r="H941" s="16" t="str">
        <f aca="false">IF(OR(D941="",E941="",E941&lt;D941),"",E941-D941+1)</f>
        <v/>
      </c>
      <c r="I941" s="17" t="str">
        <f aca="false">IF(OR(H941="",C941=""),"",IF(F941="İptal",0,H941*IFERROR(INDEX(Ürünler!$B$5:$B$64,MATCH(C941,Ürünler!$A$5:$A$64,0)),0)-G941))</f>
        <v/>
      </c>
      <c r="J941" s="18" t="str">
        <f aca="false">IF(OR(H941="",C941="",F941="İptal"),"",IF(COUNTIFS($C$5:$C$1504,C941,$D$5:$D$1504,"&lt;="&amp;E941,$E$5:$E$1504,"&gt;="&amp;D941,$F$5:$F$1504,"&lt;&gt;İptal")&gt;1,"Çakışıyor",""))</f>
        <v/>
      </c>
    </row>
    <row r="942" customFormat="false" ht="15" hidden="false" customHeight="false" outlineLevel="0" collapsed="false">
      <c r="A942" s="12"/>
      <c r="B942" s="12"/>
      <c r="C942" s="13"/>
      <c r="D942" s="14"/>
      <c r="E942" s="14"/>
      <c r="F942" s="13"/>
      <c r="G942" s="15"/>
      <c r="H942" s="16" t="str">
        <f aca="false">IF(OR(D942="",E942="",E942&lt;D942),"",E942-D942+1)</f>
        <v/>
      </c>
      <c r="I942" s="17" t="str">
        <f aca="false">IF(OR(H942="",C942=""),"",IF(F942="İptal",0,H942*IFERROR(INDEX(Ürünler!$B$5:$B$64,MATCH(C942,Ürünler!$A$5:$A$64,0)),0)-G942))</f>
        <v/>
      </c>
      <c r="J942" s="18" t="str">
        <f aca="false">IF(OR(H942="",C942="",F942="İptal"),"",IF(COUNTIFS($C$5:$C$1504,C942,$D$5:$D$1504,"&lt;="&amp;E942,$E$5:$E$1504,"&gt;="&amp;D942,$F$5:$F$1504,"&lt;&gt;İptal")&gt;1,"Çakışıyor",""))</f>
        <v/>
      </c>
    </row>
    <row r="943" customFormat="false" ht="15" hidden="false" customHeight="false" outlineLevel="0" collapsed="false">
      <c r="A943" s="12"/>
      <c r="B943" s="12"/>
      <c r="C943" s="13"/>
      <c r="D943" s="14"/>
      <c r="E943" s="14"/>
      <c r="F943" s="13"/>
      <c r="G943" s="15"/>
      <c r="H943" s="16" t="str">
        <f aca="false">IF(OR(D943="",E943="",E943&lt;D943),"",E943-D943+1)</f>
        <v/>
      </c>
      <c r="I943" s="17" t="str">
        <f aca="false">IF(OR(H943="",C943=""),"",IF(F943="İptal",0,H943*IFERROR(INDEX(Ürünler!$B$5:$B$64,MATCH(C943,Ürünler!$A$5:$A$64,0)),0)-G943))</f>
        <v/>
      </c>
      <c r="J943" s="18" t="str">
        <f aca="false">IF(OR(H943="",C943="",F943="İptal"),"",IF(COUNTIFS($C$5:$C$1504,C943,$D$5:$D$1504,"&lt;="&amp;E943,$E$5:$E$1504,"&gt;="&amp;D943,$F$5:$F$1504,"&lt;&gt;İptal")&gt;1,"Çakışıyor",""))</f>
        <v/>
      </c>
    </row>
    <row r="944" customFormat="false" ht="15" hidden="false" customHeight="false" outlineLevel="0" collapsed="false">
      <c r="A944" s="12"/>
      <c r="B944" s="12"/>
      <c r="C944" s="13"/>
      <c r="D944" s="14"/>
      <c r="E944" s="14"/>
      <c r="F944" s="13"/>
      <c r="G944" s="15"/>
      <c r="H944" s="16" t="str">
        <f aca="false">IF(OR(D944="",E944="",E944&lt;D944),"",E944-D944+1)</f>
        <v/>
      </c>
      <c r="I944" s="17" t="str">
        <f aca="false">IF(OR(H944="",C944=""),"",IF(F944="İptal",0,H944*IFERROR(INDEX(Ürünler!$B$5:$B$64,MATCH(C944,Ürünler!$A$5:$A$64,0)),0)-G944))</f>
        <v/>
      </c>
      <c r="J944" s="18" t="str">
        <f aca="false">IF(OR(H944="",C944="",F944="İptal"),"",IF(COUNTIFS($C$5:$C$1504,C944,$D$5:$D$1504,"&lt;="&amp;E944,$E$5:$E$1504,"&gt;="&amp;D944,$F$5:$F$1504,"&lt;&gt;İptal")&gt;1,"Çakışıyor",""))</f>
        <v/>
      </c>
    </row>
    <row r="945" customFormat="false" ht="15" hidden="false" customHeight="false" outlineLevel="0" collapsed="false">
      <c r="A945" s="12"/>
      <c r="B945" s="12"/>
      <c r="C945" s="13"/>
      <c r="D945" s="14"/>
      <c r="E945" s="14"/>
      <c r="F945" s="13"/>
      <c r="G945" s="15"/>
      <c r="H945" s="16" t="str">
        <f aca="false">IF(OR(D945="",E945="",E945&lt;D945),"",E945-D945+1)</f>
        <v/>
      </c>
      <c r="I945" s="17" t="str">
        <f aca="false">IF(OR(H945="",C945=""),"",IF(F945="İptal",0,H945*IFERROR(INDEX(Ürünler!$B$5:$B$64,MATCH(C945,Ürünler!$A$5:$A$64,0)),0)-G945))</f>
        <v/>
      </c>
      <c r="J945" s="18" t="str">
        <f aca="false">IF(OR(H945="",C945="",F945="İptal"),"",IF(COUNTIFS($C$5:$C$1504,C945,$D$5:$D$1504,"&lt;="&amp;E945,$E$5:$E$1504,"&gt;="&amp;D945,$F$5:$F$1504,"&lt;&gt;İptal")&gt;1,"Çakışıyor",""))</f>
        <v/>
      </c>
    </row>
    <row r="946" customFormat="false" ht="15" hidden="false" customHeight="false" outlineLevel="0" collapsed="false">
      <c r="A946" s="12"/>
      <c r="B946" s="12"/>
      <c r="C946" s="13"/>
      <c r="D946" s="14"/>
      <c r="E946" s="14"/>
      <c r="F946" s="13"/>
      <c r="G946" s="15"/>
      <c r="H946" s="16" t="str">
        <f aca="false">IF(OR(D946="",E946="",E946&lt;D946),"",E946-D946+1)</f>
        <v/>
      </c>
      <c r="I946" s="17" t="str">
        <f aca="false">IF(OR(H946="",C946=""),"",IF(F946="İptal",0,H946*IFERROR(INDEX(Ürünler!$B$5:$B$64,MATCH(C946,Ürünler!$A$5:$A$64,0)),0)-G946))</f>
        <v/>
      </c>
      <c r="J946" s="18" t="str">
        <f aca="false">IF(OR(H946="",C946="",F946="İptal"),"",IF(COUNTIFS($C$5:$C$1504,C946,$D$5:$D$1504,"&lt;="&amp;E946,$E$5:$E$1504,"&gt;="&amp;D946,$F$5:$F$1504,"&lt;&gt;İptal")&gt;1,"Çakışıyor",""))</f>
        <v/>
      </c>
    </row>
    <row r="947" customFormat="false" ht="15" hidden="false" customHeight="false" outlineLevel="0" collapsed="false">
      <c r="A947" s="12"/>
      <c r="B947" s="12"/>
      <c r="C947" s="13"/>
      <c r="D947" s="14"/>
      <c r="E947" s="14"/>
      <c r="F947" s="13"/>
      <c r="G947" s="15"/>
      <c r="H947" s="16" t="str">
        <f aca="false">IF(OR(D947="",E947="",E947&lt;D947),"",E947-D947+1)</f>
        <v/>
      </c>
      <c r="I947" s="17" t="str">
        <f aca="false">IF(OR(H947="",C947=""),"",IF(F947="İptal",0,H947*IFERROR(INDEX(Ürünler!$B$5:$B$64,MATCH(C947,Ürünler!$A$5:$A$64,0)),0)-G947))</f>
        <v/>
      </c>
      <c r="J947" s="18" t="str">
        <f aca="false">IF(OR(H947="",C947="",F947="İptal"),"",IF(COUNTIFS($C$5:$C$1504,C947,$D$5:$D$1504,"&lt;="&amp;E947,$E$5:$E$1504,"&gt;="&amp;D947,$F$5:$F$1504,"&lt;&gt;İptal")&gt;1,"Çakışıyor",""))</f>
        <v/>
      </c>
    </row>
    <row r="948" customFormat="false" ht="15" hidden="false" customHeight="false" outlineLevel="0" collapsed="false">
      <c r="A948" s="12"/>
      <c r="B948" s="12"/>
      <c r="C948" s="13"/>
      <c r="D948" s="14"/>
      <c r="E948" s="14"/>
      <c r="F948" s="13"/>
      <c r="G948" s="15"/>
      <c r="H948" s="16" t="str">
        <f aca="false">IF(OR(D948="",E948="",E948&lt;D948),"",E948-D948+1)</f>
        <v/>
      </c>
      <c r="I948" s="17" t="str">
        <f aca="false">IF(OR(H948="",C948=""),"",IF(F948="İptal",0,H948*IFERROR(INDEX(Ürünler!$B$5:$B$64,MATCH(C948,Ürünler!$A$5:$A$64,0)),0)-G948))</f>
        <v/>
      </c>
      <c r="J948" s="18" t="str">
        <f aca="false">IF(OR(H948="",C948="",F948="İptal"),"",IF(COUNTIFS($C$5:$C$1504,C948,$D$5:$D$1504,"&lt;="&amp;E948,$E$5:$E$1504,"&gt;="&amp;D948,$F$5:$F$1504,"&lt;&gt;İptal")&gt;1,"Çakışıyor",""))</f>
        <v/>
      </c>
    </row>
    <row r="949" customFormat="false" ht="15" hidden="false" customHeight="false" outlineLevel="0" collapsed="false">
      <c r="A949" s="12"/>
      <c r="B949" s="12"/>
      <c r="C949" s="13"/>
      <c r="D949" s="14"/>
      <c r="E949" s="14"/>
      <c r="F949" s="13"/>
      <c r="G949" s="15"/>
      <c r="H949" s="16" t="str">
        <f aca="false">IF(OR(D949="",E949="",E949&lt;D949),"",E949-D949+1)</f>
        <v/>
      </c>
      <c r="I949" s="17" t="str">
        <f aca="false">IF(OR(H949="",C949=""),"",IF(F949="İptal",0,H949*IFERROR(INDEX(Ürünler!$B$5:$B$64,MATCH(C949,Ürünler!$A$5:$A$64,0)),0)-G949))</f>
        <v/>
      </c>
      <c r="J949" s="18" t="str">
        <f aca="false">IF(OR(H949="",C949="",F949="İptal"),"",IF(COUNTIFS($C$5:$C$1504,C949,$D$5:$D$1504,"&lt;="&amp;E949,$E$5:$E$1504,"&gt;="&amp;D949,$F$5:$F$1504,"&lt;&gt;İptal")&gt;1,"Çakışıyor",""))</f>
        <v/>
      </c>
    </row>
    <row r="950" customFormat="false" ht="15" hidden="false" customHeight="false" outlineLevel="0" collapsed="false">
      <c r="A950" s="12"/>
      <c r="B950" s="12"/>
      <c r="C950" s="13"/>
      <c r="D950" s="14"/>
      <c r="E950" s="14"/>
      <c r="F950" s="13"/>
      <c r="G950" s="15"/>
      <c r="H950" s="16" t="str">
        <f aca="false">IF(OR(D950="",E950="",E950&lt;D950),"",E950-D950+1)</f>
        <v/>
      </c>
      <c r="I950" s="17" t="str">
        <f aca="false">IF(OR(H950="",C950=""),"",IF(F950="İptal",0,H950*IFERROR(INDEX(Ürünler!$B$5:$B$64,MATCH(C950,Ürünler!$A$5:$A$64,0)),0)-G950))</f>
        <v/>
      </c>
      <c r="J950" s="18" t="str">
        <f aca="false">IF(OR(H950="",C950="",F950="İptal"),"",IF(COUNTIFS($C$5:$C$1504,C950,$D$5:$D$1504,"&lt;="&amp;E950,$E$5:$E$1504,"&gt;="&amp;D950,$F$5:$F$1504,"&lt;&gt;İptal")&gt;1,"Çakışıyor",""))</f>
        <v/>
      </c>
    </row>
    <row r="951" customFormat="false" ht="15" hidden="false" customHeight="false" outlineLevel="0" collapsed="false">
      <c r="A951" s="12"/>
      <c r="B951" s="12"/>
      <c r="C951" s="13"/>
      <c r="D951" s="14"/>
      <c r="E951" s="14"/>
      <c r="F951" s="13"/>
      <c r="G951" s="15"/>
      <c r="H951" s="16" t="str">
        <f aca="false">IF(OR(D951="",E951="",E951&lt;D951),"",E951-D951+1)</f>
        <v/>
      </c>
      <c r="I951" s="17" t="str">
        <f aca="false">IF(OR(H951="",C951=""),"",IF(F951="İptal",0,H951*IFERROR(INDEX(Ürünler!$B$5:$B$64,MATCH(C951,Ürünler!$A$5:$A$64,0)),0)-G951))</f>
        <v/>
      </c>
      <c r="J951" s="18" t="str">
        <f aca="false">IF(OR(H951="",C951="",F951="İptal"),"",IF(COUNTIFS($C$5:$C$1504,C951,$D$5:$D$1504,"&lt;="&amp;E951,$E$5:$E$1504,"&gt;="&amp;D951,$F$5:$F$1504,"&lt;&gt;İptal")&gt;1,"Çakışıyor",""))</f>
        <v/>
      </c>
    </row>
    <row r="952" customFormat="false" ht="15" hidden="false" customHeight="false" outlineLevel="0" collapsed="false">
      <c r="A952" s="12"/>
      <c r="B952" s="12"/>
      <c r="C952" s="13"/>
      <c r="D952" s="14"/>
      <c r="E952" s="14"/>
      <c r="F952" s="13"/>
      <c r="G952" s="15"/>
      <c r="H952" s="16" t="str">
        <f aca="false">IF(OR(D952="",E952="",E952&lt;D952),"",E952-D952+1)</f>
        <v/>
      </c>
      <c r="I952" s="17" t="str">
        <f aca="false">IF(OR(H952="",C952=""),"",IF(F952="İptal",0,H952*IFERROR(INDEX(Ürünler!$B$5:$B$64,MATCH(C952,Ürünler!$A$5:$A$64,0)),0)-G952))</f>
        <v/>
      </c>
      <c r="J952" s="18" t="str">
        <f aca="false">IF(OR(H952="",C952="",F952="İptal"),"",IF(COUNTIFS($C$5:$C$1504,C952,$D$5:$D$1504,"&lt;="&amp;E952,$E$5:$E$1504,"&gt;="&amp;D952,$F$5:$F$1504,"&lt;&gt;İptal")&gt;1,"Çakışıyor",""))</f>
        <v/>
      </c>
    </row>
    <row r="953" customFormat="false" ht="15" hidden="false" customHeight="false" outlineLevel="0" collapsed="false">
      <c r="A953" s="12"/>
      <c r="B953" s="12"/>
      <c r="C953" s="13"/>
      <c r="D953" s="14"/>
      <c r="E953" s="14"/>
      <c r="F953" s="13"/>
      <c r="G953" s="15"/>
      <c r="H953" s="16" t="str">
        <f aca="false">IF(OR(D953="",E953="",E953&lt;D953),"",E953-D953+1)</f>
        <v/>
      </c>
      <c r="I953" s="17" t="str">
        <f aca="false">IF(OR(H953="",C953=""),"",IF(F953="İptal",0,H953*IFERROR(INDEX(Ürünler!$B$5:$B$64,MATCH(C953,Ürünler!$A$5:$A$64,0)),0)-G953))</f>
        <v/>
      </c>
      <c r="J953" s="18" t="str">
        <f aca="false">IF(OR(H953="",C953="",F953="İptal"),"",IF(COUNTIFS($C$5:$C$1504,C953,$D$5:$D$1504,"&lt;="&amp;E953,$E$5:$E$1504,"&gt;="&amp;D953,$F$5:$F$1504,"&lt;&gt;İptal")&gt;1,"Çakışıyor",""))</f>
        <v/>
      </c>
    </row>
    <row r="954" customFormat="false" ht="15" hidden="false" customHeight="false" outlineLevel="0" collapsed="false">
      <c r="A954" s="12"/>
      <c r="B954" s="12"/>
      <c r="C954" s="13"/>
      <c r="D954" s="14"/>
      <c r="E954" s="14"/>
      <c r="F954" s="13"/>
      <c r="G954" s="15"/>
      <c r="H954" s="16" t="str">
        <f aca="false">IF(OR(D954="",E954="",E954&lt;D954),"",E954-D954+1)</f>
        <v/>
      </c>
      <c r="I954" s="17" t="str">
        <f aca="false">IF(OR(H954="",C954=""),"",IF(F954="İptal",0,H954*IFERROR(INDEX(Ürünler!$B$5:$B$64,MATCH(C954,Ürünler!$A$5:$A$64,0)),0)-G954))</f>
        <v/>
      </c>
      <c r="J954" s="18" t="str">
        <f aca="false">IF(OR(H954="",C954="",F954="İptal"),"",IF(COUNTIFS($C$5:$C$1504,C954,$D$5:$D$1504,"&lt;="&amp;E954,$E$5:$E$1504,"&gt;="&amp;D954,$F$5:$F$1504,"&lt;&gt;İptal")&gt;1,"Çakışıyor",""))</f>
        <v/>
      </c>
    </row>
    <row r="955" customFormat="false" ht="15" hidden="false" customHeight="false" outlineLevel="0" collapsed="false">
      <c r="A955" s="12"/>
      <c r="B955" s="12"/>
      <c r="C955" s="13"/>
      <c r="D955" s="14"/>
      <c r="E955" s="14"/>
      <c r="F955" s="13"/>
      <c r="G955" s="15"/>
      <c r="H955" s="16" t="str">
        <f aca="false">IF(OR(D955="",E955="",E955&lt;D955),"",E955-D955+1)</f>
        <v/>
      </c>
      <c r="I955" s="17" t="str">
        <f aca="false">IF(OR(H955="",C955=""),"",IF(F955="İptal",0,H955*IFERROR(INDEX(Ürünler!$B$5:$B$64,MATCH(C955,Ürünler!$A$5:$A$64,0)),0)-G955))</f>
        <v/>
      </c>
      <c r="J955" s="18" t="str">
        <f aca="false">IF(OR(H955="",C955="",F955="İptal"),"",IF(COUNTIFS($C$5:$C$1504,C955,$D$5:$D$1504,"&lt;="&amp;E955,$E$5:$E$1504,"&gt;="&amp;D955,$F$5:$F$1504,"&lt;&gt;İptal")&gt;1,"Çakışıyor",""))</f>
        <v/>
      </c>
    </row>
    <row r="956" customFormat="false" ht="15" hidden="false" customHeight="false" outlineLevel="0" collapsed="false">
      <c r="A956" s="12"/>
      <c r="B956" s="12"/>
      <c r="C956" s="13"/>
      <c r="D956" s="14"/>
      <c r="E956" s="14"/>
      <c r="F956" s="13"/>
      <c r="G956" s="15"/>
      <c r="H956" s="16" t="str">
        <f aca="false">IF(OR(D956="",E956="",E956&lt;D956),"",E956-D956+1)</f>
        <v/>
      </c>
      <c r="I956" s="17" t="str">
        <f aca="false">IF(OR(H956="",C956=""),"",IF(F956="İptal",0,H956*IFERROR(INDEX(Ürünler!$B$5:$B$64,MATCH(C956,Ürünler!$A$5:$A$64,0)),0)-G956))</f>
        <v/>
      </c>
      <c r="J956" s="18" t="str">
        <f aca="false">IF(OR(H956="",C956="",F956="İptal"),"",IF(COUNTIFS($C$5:$C$1504,C956,$D$5:$D$1504,"&lt;="&amp;E956,$E$5:$E$1504,"&gt;="&amp;D956,$F$5:$F$1504,"&lt;&gt;İptal")&gt;1,"Çakışıyor",""))</f>
        <v/>
      </c>
    </row>
    <row r="957" customFormat="false" ht="15" hidden="false" customHeight="false" outlineLevel="0" collapsed="false">
      <c r="A957" s="12"/>
      <c r="B957" s="12"/>
      <c r="C957" s="13"/>
      <c r="D957" s="14"/>
      <c r="E957" s="14"/>
      <c r="F957" s="13"/>
      <c r="G957" s="15"/>
      <c r="H957" s="16" t="str">
        <f aca="false">IF(OR(D957="",E957="",E957&lt;D957),"",E957-D957+1)</f>
        <v/>
      </c>
      <c r="I957" s="17" t="str">
        <f aca="false">IF(OR(H957="",C957=""),"",IF(F957="İptal",0,H957*IFERROR(INDEX(Ürünler!$B$5:$B$64,MATCH(C957,Ürünler!$A$5:$A$64,0)),0)-G957))</f>
        <v/>
      </c>
      <c r="J957" s="18" t="str">
        <f aca="false">IF(OR(H957="",C957="",F957="İptal"),"",IF(COUNTIFS($C$5:$C$1504,C957,$D$5:$D$1504,"&lt;="&amp;E957,$E$5:$E$1504,"&gt;="&amp;D957,$F$5:$F$1504,"&lt;&gt;İptal")&gt;1,"Çakışıyor",""))</f>
        <v/>
      </c>
    </row>
    <row r="958" customFormat="false" ht="15" hidden="false" customHeight="false" outlineLevel="0" collapsed="false">
      <c r="A958" s="12"/>
      <c r="B958" s="12"/>
      <c r="C958" s="13"/>
      <c r="D958" s="14"/>
      <c r="E958" s="14"/>
      <c r="F958" s="13"/>
      <c r="G958" s="15"/>
      <c r="H958" s="16" t="str">
        <f aca="false">IF(OR(D958="",E958="",E958&lt;D958),"",E958-D958+1)</f>
        <v/>
      </c>
      <c r="I958" s="17" t="str">
        <f aca="false">IF(OR(H958="",C958=""),"",IF(F958="İptal",0,H958*IFERROR(INDEX(Ürünler!$B$5:$B$64,MATCH(C958,Ürünler!$A$5:$A$64,0)),0)-G958))</f>
        <v/>
      </c>
      <c r="J958" s="18" t="str">
        <f aca="false">IF(OR(H958="",C958="",F958="İptal"),"",IF(COUNTIFS($C$5:$C$1504,C958,$D$5:$D$1504,"&lt;="&amp;E958,$E$5:$E$1504,"&gt;="&amp;D958,$F$5:$F$1504,"&lt;&gt;İptal")&gt;1,"Çakışıyor",""))</f>
        <v/>
      </c>
    </row>
    <row r="959" customFormat="false" ht="15" hidden="false" customHeight="false" outlineLevel="0" collapsed="false">
      <c r="A959" s="12"/>
      <c r="B959" s="12"/>
      <c r="C959" s="13"/>
      <c r="D959" s="14"/>
      <c r="E959" s="14"/>
      <c r="F959" s="13"/>
      <c r="G959" s="15"/>
      <c r="H959" s="16" t="str">
        <f aca="false">IF(OR(D959="",E959="",E959&lt;D959),"",E959-D959+1)</f>
        <v/>
      </c>
      <c r="I959" s="17" t="str">
        <f aca="false">IF(OR(H959="",C959=""),"",IF(F959="İptal",0,H959*IFERROR(INDEX(Ürünler!$B$5:$B$64,MATCH(C959,Ürünler!$A$5:$A$64,0)),0)-G959))</f>
        <v/>
      </c>
      <c r="J959" s="18" t="str">
        <f aca="false">IF(OR(H959="",C959="",F959="İptal"),"",IF(COUNTIFS($C$5:$C$1504,C959,$D$5:$D$1504,"&lt;="&amp;E959,$E$5:$E$1504,"&gt;="&amp;D959,$F$5:$F$1504,"&lt;&gt;İptal")&gt;1,"Çakışıyor",""))</f>
        <v/>
      </c>
    </row>
    <row r="960" customFormat="false" ht="15" hidden="false" customHeight="false" outlineLevel="0" collapsed="false">
      <c r="A960" s="12"/>
      <c r="B960" s="12"/>
      <c r="C960" s="13"/>
      <c r="D960" s="14"/>
      <c r="E960" s="14"/>
      <c r="F960" s="13"/>
      <c r="G960" s="15"/>
      <c r="H960" s="16" t="str">
        <f aca="false">IF(OR(D960="",E960="",E960&lt;D960),"",E960-D960+1)</f>
        <v/>
      </c>
      <c r="I960" s="17" t="str">
        <f aca="false">IF(OR(H960="",C960=""),"",IF(F960="İptal",0,H960*IFERROR(INDEX(Ürünler!$B$5:$B$64,MATCH(C960,Ürünler!$A$5:$A$64,0)),0)-G960))</f>
        <v/>
      </c>
      <c r="J960" s="18" t="str">
        <f aca="false">IF(OR(H960="",C960="",F960="İptal"),"",IF(COUNTIFS($C$5:$C$1504,C960,$D$5:$D$1504,"&lt;="&amp;E960,$E$5:$E$1504,"&gt;="&amp;D960,$F$5:$F$1504,"&lt;&gt;İptal")&gt;1,"Çakışıyor",""))</f>
        <v/>
      </c>
    </row>
    <row r="961" customFormat="false" ht="15" hidden="false" customHeight="false" outlineLevel="0" collapsed="false">
      <c r="A961" s="12"/>
      <c r="B961" s="12"/>
      <c r="C961" s="13"/>
      <c r="D961" s="14"/>
      <c r="E961" s="14"/>
      <c r="F961" s="13"/>
      <c r="G961" s="15"/>
      <c r="H961" s="16" t="str">
        <f aca="false">IF(OR(D961="",E961="",E961&lt;D961),"",E961-D961+1)</f>
        <v/>
      </c>
      <c r="I961" s="17" t="str">
        <f aca="false">IF(OR(H961="",C961=""),"",IF(F961="İptal",0,H961*IFERROR(INDEX(Ürünler!$B$5:$B$64,MATCH(C961,Ürünler!$A$5:$A$64,0)),0)-G961))</f>
        <v/>
      </c>
      <c r="J961" s="18" t="str">
        <f aca="false">IF(OR(H961="",C961="",F961="İptal"),"",IF(COUNTIFS($C$5:$C$1504,C961,$D$5:$D$1504,"&lt;="&amp;E961,$E$5:$E$1504,"&gt;="&amp;D961,$F$5:$F$1504,"&lt;&gt;İptal")&gt;1,"Çakışıyor",""))</f>
        <v/>
      </c>
    </row>
    <row r="962" customFormat="false" ht="15" hidden="false" customHeight="false" outlineLevel="0" collapsed="false">
      <c r="A962" s="12"/>
      <c r="B962" s="12"/>
      <c r="C962" s="13"/>
      <c r="D962" s="14"/>
      <c r="E962" s="14"/>
      <c r="F962" s="13"/>
      <c r="G962" s="15"/>
      <c r="H962" s="16" t="str">
        <f aca="false">IF(OR(D962="",E962="",E962&lt;D962),"",E962-D962+1)</f>
        <v/>
      </c>
      <c r="I962" s="17" t="str">
        <f aca="false">IF(OR(H962="",C962=""),"",IF(F962="İptal",0,H962*IFERROR(INDEX(Ürünler!$B$5:$B$64,MATCH(C962,Ürünler!$A$5:$A$64,0)),0)-G962))</f>
        <v/>
      </c>
      <c r="J962" s="18" t="str">
        <f aca="false">IF(OR(H962="",C962="",F962="İptal"),"",IF(COUNTIFS($C$5:$C$1504,C962,$D$5:$D$1504,"&lt;="&amp;E962,$E$5:$E$1504,"&gt;="&amp;D962,$F$5:$F$1504,"&lt;&gt;İptal")&gt;1,"Çakışıyor",""))</f>
        <v/>
      </c>
    </row>
    <row r="963" customFormat="false" ht="15" hidden="false" customHeight="false" outlineLevel="0" collapsed="false">
      <c r="A963" s="12"/>
      <c r="B963" s="12"/>
      <c r="C963" s="13"/>
      <c r="D963" s="14"/>
      <c r="E963" s="14"/>
      <c r="F963" s="13"/>
      <c r="G963" s="15"/>
      <c r="H963" s="16" t="str">
        <f aca="false">IF(OR(D963="",E963="",E963&lt;D963),"",E963-D963+1)</f>
        <v/>
      </c>
      <c r="I963" s="17" t="str">
        <f aca="false">IF(OR(H963="",C963=""),"",IF(F963="İptal",0,H963*IFERROR(INDEX(Ürünler!$B$5:$B$64,MATCH(C963,Ürünler!$A$5:$A$64,0)),0)-G963))</f>
        <v/>
      </c>
      <c r="J963" s="18" t="str">
        <f aca="false">IF(OR(H963="",C963="",F963="İptal"),"",IF(COUNTIFS($C$5:$C$1504,C963,$D$5:$D$1504,"&lt;="&amp;E963,$E$5:$E$1504,"&gt;="&amp;D963,$F$5:$F$1504,"&lt;&gt;İptal")&gt;1,"Çakışıyor",""))</f>
        <v/>
      </c>
    </row>
    <row r="964" customFormat="false" ht="15" hidden="false" customHeight="false" outlineLevel="0" collapsed="false">
      <c r="A964" s="12"/>
      <c r="B964" s="12"/>
      <c r="C964" s="13"/>
      <c r="D964" s="14"/>
      <c r="E964" s="14"/>
      <c r="F964" s="13"/>
      <c r="G964" s="15"/>
      <c r="H964" s="16" t="str">
        <f aca="false">IF(OR(D964="",E964="",E964&lt;D964),"",E964-D964+1)</f>
        <v/>
      </c>
      <c r="I964" s="17" t="str">
        <f aca="false">IF(OR(H964="",C964=""),"",IF(F964="İptal",0,H964*IFERROR(INDEX(Ürünler!$B$5:$B$64,MATCH(C964,Ürünler!$A$5:$A$64,0)),0)-G964))</f>
        <v/>
      </c>
      <c r="J964" s="18" t="str">
        <f aca="false">IF(OR(H964="",C964="",F964="İptal"),"",IF(COUNTIFS($C$5:$C$1504,C964,$D$5:$D$1504,"&lt;="&amp;E964,$E$5:$E$1504,"&gt;="&amp;D964,$F$5:$F$1504,"&lt;&gt;İptal")&gt;1,"Çakışıyor",""))</f>
        <v/>
      </c>
    </row>
    <row r="965" customFormat="false" ht="15" hidden="false" customHeight="false" outlineLevel="0" collapsed="false">
      <c r="A965" s="12"/>
      <c r="B965" s="12"/>
      <c r="C965" s="13"/>
      <c r="D965" s="14"/>
      <c r="E965" s="14"/>
      <c r="F965" s="13"/>
      <c r="G965" s="15"/>
      <c r="H965" s="16" t="str">
        <f aca="false">IF(OR(D965="",E965="",E965&lt;D965),"",E965-D965+1)</f>
        <v/>
      </c>
      <c r="I965" s="17" t="str">
        <f aca="false">IF(OR(H965="",C965=""),"",IF(F965="İptal",0,H965*IFERROR(INDEX(Ürünler!$B$5:$B$64,MATCH(C965,Ürünler!$A$5:$A$64,0)),0)-G965))</f>
        <v/>
      </c>
      <c r="J965" s="18" t="str">
        <f aca="false">IF(OR(H965="",C965="",F965="İptal"),"",IF(COUNTIFS($C$5:$C$1504,C965,$D$5:$D$1504,"&lt;="&amp;E965,$E$5:$E$1504,"&gt;="&amp;D965,$F$5:$F$1504,"&lt;&gt;İptal")&gt;1,"Çakışıyor",""))</f>
        <v/>
      </c>
    </row>
    <row r="966" customFormat="false" ht="15" hidden="false" customHeight="false" outlineLevel="0" collapsed="false">
      <c r="A966" s="12"/>
      <c r="B966" s="12"/>
      <c r="C966" s="13"/>
      <c r="D966" s="14"/>
      <c r="E966" s="14"/>
      <c r="F966" s="13"/>
      <c r="G966" s="15"/>
      <c r="H966" s="16" t="str">
        <f aca="false">IF(OR(D966="",E966="",E966&lt;D966),"",E966-D966+1)</f>
        <v/>
      </c>
      <c r="I966" s="17" t="str">
        <f aca="false">IF(OR(H966="",C966=""),"",IF(F966="İptal",0,H966*IFERROR(INDEX(Ürünler!$B$5:$B$64,MATCH(C966,Ürünler!$A$5:$A$64,0)),0)-G966))</f>
        <v/>
      </c>
      <c r="J966" s="18" t="str">
        <f aca="false">IF(OR(H966="",C966="",F966="İptal"),"",IF(COUNTIFS($C$5:$C$1504,C966,$D$5:$D$1504,"&lt;="&amp;E966,$E$5:$E$1504,"&gt;="&amp;D966,$F$5:$F$1504,"&lt;&gt;İptal")&gt;1,"Çakışıyor",""))</f>
        <v/>
      </c>
    </row>
    <row r="967" customFormat="false" ht="15" hidden="false" customHeight="false" outlineLevel="0" collapsed="false">
      <c r="A967" s="12"/>
      <c r="B967" s="12"/>
      <c r="C967" s="13"/>
      <c r="D967" s="14"/>
      <c r="E967" s="14"/>
      <c r="F967" s="13"/>
      <c r="G967" s="15"/>
      <c r="H967" s="16" t="str">
        <f aca="false">IF(OR(D967="",E967="",E967&lt;D967),"",E967-D967+1)</f>
        <v/>
      </c>
      <c r="I967" s="17" t="str">
        <f aca="false">IF(OR(H967="",C967=""),"",IF(F967="İptal",0,H967*IFERROR(INDEX(Ürünler!$B$5:$B$64,MATCH(C967,Ürünler!$A$5:$A$64,0)),0)-G967))</f>
        <v/>
      </c>
      <c r="J967" s="18" t="str">
        <f aca="false">IF(OR(H967="",C967="",F967="İptal"),"",IF(COUNTIFS($C$5:$C$1504,C967,$D$5:$D$1504,"&lt;="&amp;E967,$E$5:$E$1504,"&gt;="&amp;D967,$F$5:$F$1504,"&lt;&gt;İptal")&gt;1,"Çakışıyor",""))</f>
        <v/>
      </c>
    </row>
    <row r="968" customFormat="false" ht="15" hidden="false" customHeight="false" outlineLevel="0" collapsed="false">
      <c r="A968" s="12"/>
      <c r="B968" s="12"/>
      <c r="C968" s="13"/>
      <c r="D968" s="14"/>
      <c r="E968" s="14"/>
      <c r="F968" s="13"/>
      <c r="G968" s="15"/>
      <c r="H968" s="16" t="str">
        <f aca="false">IF(OR(D968="",E968="",E968&lt;D968),"",E968-D968+1)</f>
        <v/>
      </c>
      <c r="I968" s="17" t="str">
        <f aca="false">IF(OR(H968="",C968=""),"",IF(F968="İptal",0,H968*IFERROR(INDEX(Ürünler!$B$5:$B$64,MATCH(C968,Ürünler!$A$5:$A$64,0)),0)-G968))</f>
        <v/>
      </c>
      <c r="J968" s="18" t="str">
        <f aca="false">IF(OR(H968="",C968="",F968="İptal"),"",IF(COUNTIFS($C$5:$C$1504,C968,$D$5:$D$1504,"&lt;="&amp;E968,$E$5:$E$1504,"&gt;="&amp;D968,$F$5:$F$1504,"&lt;&gt;İptal")&gt;1,"Çakışıyor",""))</f>
        <v/>
      </c>
    </row>
    <row r="969" customFormat="false" ht="15" hidden="false" customHeight="false" outlineLevel="0" collapsed="false">
      <c r="A969" s="12"/>
      <c r="B969" s="12"/>
      <c r="C969" s="13"/>
      <c r="D969" s="14"/>
      <c r="E969" s="14"/>
      <c r="F969" s="13"/>
      <c r="G969" s="15"/>
      <c r="H969" s="16" t="str">
        <f aca="false">IF(OR(D969="",E969="",E969&lt;D969),"",E969-D969+1)</f>
        <v/>
      </c>
      <c r="I969" s="17" t="str">
        <f aca="false">IF(OR(H969="",C969=""),"",IF(F969="İptal",0,H969*IFERROR(INDEX(Ürünler!$B$5:$B$64,MATCH(C969,Ürünler!$A$5:$A$64,0)),0)-G969))</f>
        <v/>
      </c>
      <c r="J969" s="18" t="str">
        <f aca="false">IF(OR(H969="",C969="",F969="İptal"),"",IF(COUNTIFS($C$5:$C$1504,C969,$D$5:$D$1504,"&lt;="&amp;E969,$E$5:$E$1504,"&gt;="&amp;D969,$F$5:$F$1504,"&lt;&gt;İptal")&gt;1,"Çakışıyor",""))</f>
        <v/>
      </c>
    </row>
    <row r="970" customFormat="false" ht="15" hidden="false" customHeight="false" outlineLevel="0" collapsed="false">
      <c r="A970" s="12"/>
      <c r="B970" s="12"/>
      <c r="C970" s="13"/>
      <c r="D970" s="14"/>
      <c r="E970" s="14"/>
      <c r="F970" s="13"/>
      <c r="G970" s="15"/>
      <c r="H970" s="16" t="str">
        <f aca="false">IF(OR(D970="",E970="",E970&lt;D970),"",E970-D970+1)</f>
        <v/>
      </c>
      <c r="I970" s="17" t="str">
        <f aca="false">IF(OR(H970="",C970=""),"",IF(F970="İptal",0,H970*IFERROR(INDEX(Ürünler!$B$5:$B$64,MATCH(C970,Ürünler!$A$5:$A$64,0)),0)-G970))</f>
        <v/>
      </c>
      <c r="J970" s="18" t="str">
        <f aca="false">IF(OR(H970="",C970="",F970="İptal"),"",IF(COUNTIFS($C$5:$C$1504,C970,$D$5:$D$1504,"&lt;="&amp;E970,$E$5:$E$1504,"&gt;="&amp;D970,$F$5:$F$1504,"&lt;&gt;İptal")&gt;1,"Çakışıyor",""))</f>
        <v/>
      </c>
    </row>
    <row r="971" customFormat="false" ht="15" hidden="false" customHeight="false" outlineLevel="0" collapsed="false">
      <c r="A971" s="12"/>
      <c r="B971" s="12"/>
      <c r="C971" s="13"/>
      <c r="D971" s="14"/>
      <c r="E971" s="14"/>
      <c r="F971" s="13"/>
      <c r="G971" s="15"/>
      <c r="H971" s="16" t="str">
        <f aca="false">IF(OR(D971="",E971="",E971&lt;D971),"",E971-D971+1)</f>
        <v/>
      </c>
      <c r="I971" s="17" t="str">
        <f aca="false">IF(OR(H971="",C971=""),"",IF(F971="İptal",0,H971*IFERROR(INDEX(Ürünler!$B$5:$B$64,MATCH(C971,Ürünler!$A$5:$A$64,0)),0)-G971))</f>
        <v/>
      </c>
      <c r="J971" s="18" t="str">
        <f aca="false">IF(OR(H971="",C971="",F971="İptal"),"",IF(COUNTIFS($C$5:$C$1504,C971,$D$5:$D$1504,"&lt;="&amp;E971,$E$5:$E$1504,"&gt;="&amp;D971,$F$5:$F$1504,"&lt;&gt;İptal")&gt;1,"Çakışıyor",""))</f>
        <v/>
      </c>
    </row>
    <row r="972" customFormat="false" ht="15" hidden="false" customHeight="false" outlineLevel="0" collapsed="false">
      <c r="A972" s="12"/>
      <c r="B972" s="12"/>
      <c r="C972" s="13"/>
      <c r="D972" s="14"/>
      <c r="E972" s="14"/>
      <c r="F972" s="13"/>
      <c r="G972" s="15"/>
      <c r="H972" s="16" t="str">
        <f aca="false">IF(OR(D972="",E972="",E972&lt;D972),"",E972-D972+1)</f>
        <v/>
      </c>
      <c r="I972" s="17" t="str">
        <f aca="false">IF(OR(H972="",C972=""),"",IF(F972="İptal",0,H972*IFERROR(INDEX(Ürünler!$B$5:$B$64,MATCH(C972,Ürünler!$A$5:$A$64,0)),0)-G972))</f>
        <v/>
      </c>
      <c r="J972" s="18" t="str">
        <f aca="false">IF(OR(H972="",C972="",F972="İptal"),"",IF(COUNTIFS($C$5:$C$1504,C972,$D$5:$D$1504,"&lt;="&amp;E972,$E$5:$E$1504,"&gt;="&amp;D972,$F$5:$F$1504,"&lt;&gt;İptal")&gt;1,"Çakışıyor",""))</f>
        <v/>
      </c>
    </row>
    <row r="973" customFormat="false" ht="15" hidden="false" customHeight="false" outlineLevel="0" collapsed="false">
      <c r="A973" s="12"/>
      <c r="B973" s="12"/>
      <c r="C973" s="13"/>
      <c r="D973" s="14"/>
      <c r="E973" s="14"/>
      <c r="F973" s="13"/>
      <c r="G973" s="15"/>
      <c r="H973" s="16" t="str">
        <f aca="false">IF(OR(D973="",E973="",E973&lt;D973),"",E973-D973+1)</f>
        <v/>
      </c>
      <c r="I973" s="17" t="str">
        <f aca="false">IF(OR(H973="",C973=""),"",IF(F973="İptal",0,H973*IFERROR(INDEX(Ürünler!$B$5:$B$64,MATCH(C973,Ürünler!$A$5:$A$64,0)),0)-G973))</f>
        <v/>
      </c>
      <c r="J973" s="18" t="str">
        <f aca="false">IF(OR(H973="",C973="",F973="İptal"),"",IF(COUNTIFS($C$5:$C$1504,C973,$D$5:$D$1504,"&lt;="&amp;E973,$E$5:$E$1504,"&gt;="&amp;D973,$F$5:$F$1504,"&lt;&gt;İptal")&gt;1,"Çakışıyor",""))</f>
        <v/>
      </c>
    </row>
    <row r="974" customFormat="false" ht="15" hidden="false" customHeight="false" outlineLevel="0" collapsed="false">
      <c r="A974" s="12"/>
      <c r="B974" s="12"/>
      <c r="C974" s="13"/>
      <c r="D974" s="14"/>
      <c r="E974" s="14"/>
      <c r="F974" s="13"/>
      <c r="G974" s="15"/>
      <c r="H974" s="16" t="str">
        <f aca="false">IF(OR(D974="",E974="",E974&lt;D974),"",E974-D974+1)</f>
        <v/>
      </c>
      <c r="I974" s="17" t="str">
        <f aca="false">IF(OR(H974="",C974=""),"",IF(F974="İptal",0,H974*IFERROR(INDEX(Ürünler!$B$5:$B$64,MATCH(C974,Ürünler!$A$5:$A$64,0)),0)-G974))</f>
        <v/>
      </c>
      <c r="J974" s="18" t="str">
        <f aca="false">IF(OR(H974="",C974="",F974="İptal"),"",IF(COUNTIFS($C$5:$C$1504,C974,$D$5:$D$1504,"&lt;="&amp;E974,$E$5:$E$1504,"&gt;="&amp;D974,$F$5:$F$1504,"&lt;&gt;İptal")&gt;1,"Çakışıyor",""))</f>
        <v/>
      </c>
    </row>
    <row r="975" customFormat="false" ht="15" hidden="false" customHeight="false" outlineLevel="0" collapsed="false">
      <c r="A975" s="12"/>
      <c r="B975" s="12"/>
      <c r="C975" s="13"/>
      <c r="D975" s="14"/>
      <c r="E975" s="14"/>
      <c r="F975" s="13"/>
      <c r="G975" s="15"/>
      <c r="H975" s="16" t="str">
        <f aca="false">IF(OR(D975="",E975="",E975&lt;D975),"",E975-D975+1)</f>
        <v/>
      </c>
      <c r="I975" s="17" t="str">
        <f aca="false">IF(OR(H975="",C975=""),"",IF(F975="İptal",0,H975*IFERROR(INDEX(Ürünler!$B$5:$B$64,MATCH(C975,Ürünler!$A$5:$A$64,0)),0)-G975))</f>
        <v/>
      </c>
      <c r="J975" s="18" t="str">
        <f aca="false">IF(OR(H975="",C975="",F975="İptal"),"",IF(COUNTIFS($C$5:$C$1504,C975,$D$5:$D$1504,"&lt;="&amp;E975,$E$5:$E$1504,"&gt;="&amp;D975,$F$5:$F$1504,"&lt;&gt;İptal")&gt;1,"Çakışıyor",""))</f>
        <v/>
      </c>
    </row>
    <row r="976" customFormat="false" ht="15" hidden="false" customHeight="false" outlineLevel="0" collapsed="false">
      <c r="A976" s="12"/>
      <c r="B976" s="12"/>
      <c r="C976" s="13"/>
      <c r="D976" s="14"/>
      <c r="E976" s="14"/>
      <c r="F976" s="13"/>
      <c r="G976" s="15"/>
      <c r="H976" s="16" t="str">
        <f aca="false">IF(OR(D976="",E976="",E976&lt;D976),"",E976-D976+1)</f>
        <v/>
      </c>
      <c r="I976" s="17" t="str">
        <f aca="false">IF(OR(H976="",C976=""),"",IF(F976="İptal",0,H976*IFERROR(INDEX(Ürünler!$B$5:$B$64,MATCH(C976,Ürünler!$A$5:$A$64,0)),0)-G976))</f>
        <v/>
      </c>
      <c r="J976" s="18" t="str">
        <f aca="false">IF(OR(H976="",C976="",F976="İptal"),"",IF(COUNTIFS($C$5:$C$1504,C976,$D$5:$D$1504,"&lt;="&amp;E976,$E$5:$E$1504,"&gt;="&amp;D976,$F$5:$F$1504,"&lt;&gt;İptal")&gt;1,"Çakışıyor",""))</f>
        <v/>
      </c>
    </row>
    <row r="977" customFormat="false" ht="15" hidden="false" customHeight="false" outlineLevel="0" collapsed="false">
      <c r="A977" s="12"/>
      <c r="B977" s="12"/>
      <c r="C977" s="13"/>
      <c r="D977" s="14"/>
      <c r="E977" s="14"/>
      <c r="F977" s="13"/>
      <c r="G977" s="15"/>
      <c r="H977" s="16" t="str">
        <f aca="false">IF(OR(D977="",E977="",E977&lt;D977),"",E977-D977+1)</f>
        <v/>
      </c>
      <c r="I977" s="17" t="str">
        <f aca="false">IF(OR(H977="",C977=""),"",IF(F977="İptal",0,H977*IFERROR(INDEX(Ürünler!$B$5:$B$64,MATCH(C977,Ürünler!$A$5:$A$64,0)),0)-G977))</f>
        <v/>
      </c>
      <c r="J977" s="18" t="str">
        <f aca="false">IF(OR(H977="",C977="",F977="İptal"),"",IF(COUNTIFS($C$5:$C$1504,C977,$D$5:$D$1504,"&lt;="&amp;E977,$E$5:$E$1504,"&gt;="&amp;D977,$F$5:$F$1504,"&lt;&gt;İptal")&gt;1,"Çakışıyor",""))</f>
        <v/>
      </c>
    </row>
    <row r="978" customFormat="false" ht="15" hidden="false" customHeight="false" outlineLevel="0" collapsed="false">
      <c r="A978" s="12"/>
      <c r="B978" s="12"/>
      <c r="C978" s="13"/>
      <c r="D978" s="14"/>
      <c r="E978" s="14"/>
      <c r="F978" s="13"/>
      <c r="G978" s="15"/>
      <c r="H978" s="16" t="str">
        <f aca="false">IF(OR(D978="",E978="",E978&lt;D978),"",E978-D978+1)</f>
        <v/>
      </c>
      <c r="I978" s="17" t="str">
        <f aca="false">IF(OR(H978="",C978=""),"",IF(F978="İptal",0,H978*IFERROR(INDEX(Ürünler!$B$5:$B$64,MATCH(C978,Ürünler!$A$5:$A$64,0)),0)-G978))</f>
        <v/>
      </c>
      <c r="J978" s="18" t="str">
        <f aca="false">IF(OR(H978="",C978="",F978="İptal"),"",IF(COUNTIFS($C$5:$C$1504,C978,$D$5:$D$1504,"&lt;="&amp;E978,$E$5:$E$1504,"&gt;="&amp;D978,$F$5:$F$1504,"&lt;&gt;İptal")&gt;1,"Çakışıyor",""))</f>
        <v/>
      </c>
    </row>
    <row r="979" customFormat="false" ht="15" hidden="false" customHeight="false" outlineLevel="0" collapsed="false">
      <c r="A979" s="12"/>
      <c r="B979" s="12"/>
      <c r="C979" s="13"/>
      <c r="D979" s="14"/>
      <c r="E979" s="14"/>
      <c r="F979" s="13"/>
      <c r="G979" s="15"/>
      <c r="H979" s="16" t="str">
        <f aca="false">IF(OR(D979="",E979="",E979&lt;D979),"",E979-D979+1)</f>
        <v/>
      </c>
      <c r="I979" s="17" t="str">
        <f aca="false">IF(OR(H979="",C979=""),"",IF(F979="İptal",0,H979*IFERROR(INDEX(Ürünler!$B$5:$B$64,MATCH(C979,Ürünler!$A$5:$A$64,0)),0)-G979))</f>
        <v/>
      </c>
      <c r="J979" s="18" t="str">
        <f aca="false">IF(OR(H979="",C979="",F979="İptal"),"",IF(COUNTIFS($C$5:$C$1504,C979,$D$5:$D$1504,"&lt;="&amp;E979,$E$5:$E$1504,"&gt;="&amp;D979,$F$5:$F$1504,"&lt;&gt;İptal")&gt;1,"Çakışıyor",""))</f>
        <v/>
      </c>
    </row>
    <row r="980" customFormat="false" ht="15" hidden="false" customHeight="false" outlineLevel="0" collapsed="false">
      <c r="A980" s="12"/>
      <c r="B980" s="12"/>
      <c r="C980" s="13"/>
      <c r="D980" s="14"/>
      <c r="E980" s="14"/>
      <c r="F980" s="13"/>
      <c r="G980" s="15"/>
      <c r="H980" s="16" t="str">
        <f aca="false">IF(OR(D980="",E980="",E980&lt;D980),"",E980-D980+1)</f>
        <v/>
      </c>
      <c r="I980" s="17" t="str">
        <f aca="false">IF(OR(H980="",C980=""),"",IF(F980="İptal",0,H980*IFERROR(INDEX(Ürünler!$B$5:$B$64,MATCH(C980,Ürünler!$A$5:$A$64,0)),0)-G980))</f>
        <v/>
      </c>
      <c r="J980" s="18" t="str">
        <f aca="false">IF(OR(H980="",C980="",F980="İptal"),"",IF(COUNTIFS($C$5:$C$1504,C980,$D$5:$D$1504,"&lt;="&amp;E980,$E$5:$E$1504,"&gt;="&amp;D980,$F$5:$F$1504,"&lt;&gt;İptal")&gt;1,"Çakışıyor",""))</f>
        <v/>
      </c>
    </row>
    <row r="981" customFormat="false" ht="15" hidden="false" customHeight="false" outlineLevel="0" collapsed="false">
      <c r="A981" s="12"/>
      <c r="B981" s="12"/>
      <c r="C981" s="13"/>
      <c r="D981" s="14"/>
      <c r="E981" s="14"/>
      <c r="F981" s="13"/>
      <c r="G981" s="15"/>
      <c r="H981" s="16" t="str">
        <f aca="false">IF(OR(D981="",E981="",E981&lt;D981),"",E981-D981+1)</f>
        <v/>
      </c>
      <c r="I981" s="17" t="str">
        <f aca="false">IF(OR(H981="",C981=""),"",IF(F981="İptal",0,H981*IFERROR(INDEX(Ürünler!$B$5:$B$64,MATCH(C981,Ürünler!$A$5:$A$64,0)),0)-G981))</f>
        <v/>
      </c>
      <c r="J981" s="18" t="str">
        <f aca="false">IF(OR(H981="",C981="",F981="İptal"),"",IF(COUNTIFS($C$5:$C$1504,C981,$D$5:$D$1504,"&lt;="&amp;E981,$E$5:$E$1504,"&gt;="&amp;D981,$F$5:$F$1504,"&lt;&gt;İptal")&gt;1,"Çakışıyor",""))</f>
        <v/>
      </c>
    </row>
    <row r="982" customFormat="false" ht="15" hidden="false" customHeight="false" outlineLevel="0" collapsed="false">
      <c r="A982" s="12"/>
      <c r="B982" s="12"/>
      <c r="C982" s="13"/>
      <c r="D982" s="14"/>
      <c r="E982" s="14"/>
      <c r="F982" s="13"/>
      <c r="G982" s="15"/>
      <c r="H982" s="16" t="str">
        <f aca="false">IF(OR(D982="",E982="",E982&lt;D982),"",E982-D982+1)</f>
        <v/>
      </c>
      <c r="I982" s="17" t="str">
        <f aca="false">IF(OR(H982="",C982=""),"",IF(F982="İptal",0,H982*IFERROR(INDEX(Ürünler!$B$5:$B$64,MATCH(C982,Ürünler!$A$5:$A$64,0)),0)-G982))</f>
        <v/>
      </c>
      <c r="J982" s="18" t="str">
        <f aca="false">IF(OR(H982="",C982="",F982="İptal"),"",IF(COUNTIFS($C$5:$C$1504,C982,$D$5:$D$1504,"&lt;="&amp;E982,$E$5:$E$1504,"&gt;="&amp;D982,$F$5:$F$1504,"&lt;&gt;İptal")&gt;1,"Çakışıyor",""))</f>
        <v/>
      </c>
    </row>
    <row r="983" customFormat="false" ht="15" hidden="false" customHeight="false" outlineLevel="0" collapsed="false">
      <c r="A983" s="12"/>
      <c r="B983" s="12"/>
      <c r="C983" s="13"/>
      <c r="D983" s="14"/>
      <c r="E983" s="14"/>
      <c r="F983" s="13"/>
      <c r="G983" s="15"/>
      <c r="H983" s="16" t="str">
        <f aca="false">IF(OR(D983="",E983="",E983&lt;D983),"",E983-D983+1)</f>
        <v/>
      </c>
      <c r="I983" s="17" t="str">
        <f aca="false">IF(OR(H983="",C983=""),"",IF(F983="İptal",0,H983*IFERROR(INDEX(Ürünler!$B$5:$B$64,MATCH(C983,Ürünler!$A$5:$A$64,0)),0)-G983))</f>
        <v/>
      </c>
      <c r="J983" s="18" t="str">
        <f aca="false">IF(OR(H983="",C983="",F983="İptal"),"",IF(COUNTIFS($C$5:$C$1504,C983,$D$5:$D$1504,"&lt;="&amp;E983,$E$5:$E$1504,"&gt;="&amp;D983,$F$5:$F$1504,"&lt;&gt;İptal")&gt;1,"Çakışıyor",""))</f>
        <v/>
      </c>
    </row>
    <row r="984" customFormat="false" ht="15" hidden="false" customHeight="false" outlineLevel="0" collapsed="false">
      <c r="A984" s="12"/>
      <c r="B984" s="12"/>
      <c r="C984" s="13"/>
      <c r="D984" s="14"/>
      <c r="E984" s="14"/>
      <c r="F984" s="13"/>
      <c r="G984" s="15"/>
      <c r="H984" s="16" t="str">
        <f aca="false">IF(OR(D984="",E984="",E984&lt;D984),"",E984-D984+1)</f>
        <v/>
      </c>
      <c r="I984" s="17" t="str">
        <f aca="false">IF(OR(H984="",C984=""),"",IF(F984="İptal",0,H984*IFERROR(INDEX(Ürünler!$B$5:$B$64,MATCH(C984,Ürünler!$A$5:$A$64,0)),0)-G984))</f>
        <v/>
      </c>
      <c r="J984" s="18" t="str">
        <f aca="false">IF(OR(H984="",C984="",F984="İptal"),"",IF(COUNTIFS($C$5:$C$1504,C984,$D$5:$D$1504,"&lt;="&amp;E984,$E$5:$E$1504,"&gt;="&amp;D984,$F$5:$F$1504,"&lt;&gt;İptal")&gt;1,"Çakışıyor",""))</f>
        <v/>
      </c>
    </row>
    <row r="985" customFormat="false" ht="15" hidden="false" customHeight="false" outlineLevel="0" collapsed="false">
      <c r="A985" s="12"/>
      <c r="B985" s="12"/>
      <c r="C985" s="13"/>
      <c r="D985" s="14"/>
      <c r="E985" s="14"/>
      <c r="F985" s="13"/>
      <c r="G985" s="15"/>
      <c r="H985" s="16" t="str">
        <f aca="false">IF(OR(D985="",E985="",E985&lt;D985),"",E985-D985+1)</f>
        <v/>
      </c>
      <c r="I985" s="17" t="str">
        <f aca="false">IF(OR(H985="",C985=""),"",IF(F985="İptal",0,H985*IFERROR(INDEX(Ürünler!$B$5:$B$64,MATCH(C985,Ürünler!$A$5:$A$64,0)),0)-G985))</f>
        <v/>
      </c>
      <c r="J985" s="18" t="str">
        <f aca="false">IF(OR(H985="",C985="",F985="İptal"),"",IF(COUNTIFS($C$5:$C$1504,C985,$D$5:$D$1504,"&lt;="&amp;E985,$E$5:$E$1504,"&gt;="&amp;D985,$F$5:$F$1504,"&lt;&gt;İptal")&gt;1,"Çakışıyor",""))</f>
        <v/>
      </c>
    </row>
    <row r="986" customFormat="false" ht="15" hidden="false" customHeight="false" outlineLevel="0" collapsed="false">
      <c r="A986" s="12"/>
      <c r="B986" s="12"/>
      <c r="C986" s="13"/>
      <c r="D986" s="14"/>
      <c r="E986" s="14"/>
      <c r="F986" s="13"/>
      <c r="G986" s="15"/>
      <c r="H986" s="16" t="str">
        <f aca="false">IF(OR(D986="",E986="",E986&lt;D986),"",E986-D986+1)</f>
        <v/>
      </c>
      <c r="I986" s="17" t="str">
        <f aca="false">IF(OR(H986="",C986=""),"",IF(F986="İptal",0,H986*IFERROR(INDEX(Ürünler!$B$5:$B$64,MATCH(C986,Ürünler!$A$5:$A$64,0)),0)-G986))</f>
        <v/>
      </c>
      <c r="J986" s="18" t="str">
        <f aca="false">IF(OR(H986="",C986="",F986="İptal"),"",IF(COUNTIFS($C$5:$C$1504,C986,$D$5:$D$1504,"&lt;="&amp;E986,$E$5:$E$1504,"&gt;="&amp;D986,$F$5:$F$1504,"&lt;&gt;İptal")&gt;1,"Çakışıyor",""))</f>
        <v/>
      </c>
    </row>
    <row r="987" customFormat="false" ht="15" hidden="false" customHeight="false" outlineLevel="0" collapsed="false">
      <c r="A987" s="12"/>
      <c r="B987" s="12"/>
      <c r="C987" s="13"/>
      <c r="D987" s="14"/>
      <c r="E987" s="14"/>
      <c r="F987" s="13"/>
      <c r="G987" s="15"/>
      <c r="H987" s="16" t="str">
        <f aca="false">IF(OR(D987="",E987="",E987&lt;D987),"",E987-D987+1)</f>
        <v/>
      </c>
      <c r="I987" s="17" t="str">
        <f aca="false">IF(OR(H987="",C987=""),"",IF(F987="İptal",0,H987*IFERROR(INDEX(Ürünler!$B$5:$B$64,MATCH(C987,Ürünler!$A$5:$A$64,0)),0)-G987))</f>
        <v/>
      </c>
      <c r="J987" s="18" t="str">
        <f aca="false">IF(OR(H987="",C987="",F987="İptal"),"",IF(COUNTIFS($C$5:$C$1504,C987,$D$5:$D$1504,"&lt;="&amp;E987,$E$5:$E$1504,"&gt;="&amp;D987,$F$5:$F$1504,"&lt;&gt;İptal")&gt;1,"Çakışıyor",""))</f>
        <v/>
      </c>
    </row>
    <row r="988" customFormat="false" ht="15" hidden="false" customHeight="false" outlineLevel="0" collapsed="false">
      <c r="A988" s="12"/>
      <c r="B988" s="12"/>
      <c r="C988" s="13"/>
      <c r="D988" s="14"/>
      <c r="E988" s="14"/>
      <c r="F988" s="13"/>
      <c r="G988" s="15"/>
      <c r="H988" s="16" t="str">
        <f aca="false">IF(OR(D988="",E988="",E988&lt;D988),"",E988-D988+1)</f>
        <v/>
      </c>
      <c r="I988" s="17" t="str">
        <f aca="false">IF(OR(H988="",C988=""),"",IF(F988="İptal",0,H988*IFERROR(INDEX(Ürünler!$B$5:$B$64,MATCH(C988,Ürünler!$A$5:$A$64,0)),0)-G988))</f>
        <v/>
      </c>
      <c r="J988" s="18" t="str">
        <f aca="false">IF(OR(H988="",C988="",F988="İptal"),"",IF(COUNTIFS($C$5:$C$1504,C988,$D$5:$D$1504,"&lt;="&amp;E988,$E$5:$E$1504,"&gt;="&amp;D988,$F$5:$F$1504,"&lt;&gt;İptal")&gt;1,"Çakışıyor",""))</f>
        <v/>
      </c>
    </row>
    <row r="989" customFormat="false" ht="15" hidden="false" customHeight="false" outlineLevel="0" collapsed="false">
      <c r="A989" s="12"/>
      <c r="B989" s="12"/>
      <c r="C989" s="13"/>
      <c r="D989" s="14"/>
      <c r="E989" s="14"/>
      <c r="F989" s="13"/>
      <c r="G989" s="15"/>
      <c r="H989" s="16" t="str">
        <f aca="false">IF(OR(D989="",E989="",E989&lt;D989),"",E989-D989+1)</f>
        <v/>
      </c>
      <c r="I989" s="17" t="str">
        <f aca="false">IF(OR(H989="",C989=""),"",IF(F989="İptal",0,H989*IFERROR(INDEX(Ürünler!$B$5:$B$64,MATCH(C989,Ürünler!$A$5:$A$64,0)),0)-G989))</f>
        <v/>
      </c>
      <c r="J989" s="18" t="str">
        <f aca="false">IF(OR(H989="",C989="",F989="İptal"),"",IF(COUNTIFS($C$5:$C$1504,C989,$D$5:$D$1504,"&lt;="&amp;E989,$E$5:$E$1504,"&gt;="&amp;D989,$F$5:$F$1504,"&lt;&gt;İptal")&gt;1,"Çakışıyor",""))</f>
        <v/>
      </c>
    </row>
    <row r="990" customFormat="false" ht="15" hidden="false" customHeight="false" outlineLevel="0" collapsed="false">
      <c r="A990" s="12"/>
      <c r="B990" s="12"/>
      <c r="C990" s="13"/>
      <c r="D990" s="14"/>
      <c r="E990" s="14"/>
      <c r="F990" s="13"/>
      <c r="G990" s="15"/>
      <c r="H990" s="16" t="str">
        <f aca="false">IF(OR(D990="",E990="",E990&lt;D990),"",E990-D990+1)</f>
        <v/>
      </c>
      <c r="I990" s="17" t="str">
        <f aca="false">IF(OR(H990="",C990=""),"",IF(F990="İptal",0,H990*IFERROR(INDEX(Ürünler!$B$5:$B$64,MATCH(C990,Ürünler!$A$5:$A$64,0)),0)-G990))</f>
        <v/>
      </c>
      <c r="J990" s="18" t="str">
        <f aca="false">IF(OR(H990="",C990="",F990="İptal"),"",IF(COUNTIFS($C$5:$C$1504,C990,$D$5:$D$1504,"&lt;="&amp;E990,$E$5:$E$1504,"&gt;="&amp;D990,$F$5:$F$1504,"&lt;&gt;İptal")&gt;1,"Çakışıyor",""))</f>
        <v/>
      </c>
    </row>
    <row r="991" customFormat="false" ht="15" hidden="false" customHeight="false" outlineLevel="0" collapsed="false">
      <c r="A991" s="12"/>
      <c r="B991" s="12"/>
      <c r="C991" s="13"/>
      <c r="D991" s="14"/>
      <c r="E991" s="14"/>
      <c r="F991" s="13"/>
      <c r="G991" s="15"/>
      <c r="H991" s="16" t="str">
        <f aca="false">IF(OR(D991="",E991="",E991&lt;D991),"",E991-D991+1)</f>
        <v/>
      </c>
      <c r="I991" s="17" t="str">
        <f aca="false">IF(OR(H991="",C991=""),"",IF(F991="İptal",0,H991*IFERROR(INDEX(Ürünler!$B$5:$B$64,MATCH(C991,Ürünler!$A$5:$A$64,0)),0)-G991))</f>
        <v/>
      </c>
      <c r="J991" s="18" t="str">
        <f aca="false">IF(OR(H991="",C991="",F991="İptal"),"",IF(COUNTIFS($C$5:$C$1504,C991,$D$5:$D$1504,"&lt;="&amp;E991,$E$5:$E$1504,"&gt;="&amp;D991,$F$5:$F$1504,"&lt;&gt;İptal")&gt;1,"Çakışıyor",""))</f>
        <v/>
      </c>
    </row>
    <row r="992" customFormat="false" ht="15" hidden="false" customHeight="false" outlineLevel="0" collapsed="false">
      <c r="A992" s="12"/>
      <c r="B992" s="12"/>
      <c r="C992" s="13"/>
      <c r="D992" s="14"/>
      <c r="E992" s="14"/>
      <c r="F992" s="13"/>
      <c r="G992" s="15"/>
      <c r="H992" s="16" t="str">
        <f aca="false">IF(OR(D992="",E992="",E992&lt;D992),"",E992-D992+1)</f>
        <v/>
      </c>
      <c r="I992" s="17" t="str">
        <f aca="false">IF(OR(H992="",C992=""),"",IF(F992="İptal",0,H992*IFERROR(INDEX(Ürünler!$B$5:$B$64,MATCH(C992,Ürünler!$A$5:$A$64,0)),0)-G992))</f>
        <v/>
      </c>
      <c r="J992" s="18" t="str">
        <f aca="false">IF(OR(H992="",C992="",F992="İptal"),"",IF(COUNTIFS($C$5:$C$1504,C992,$D$5:$D$1504,"&lt;="&amp;E992,$E$5:$E$1504,"&gt;="&amp;D992,$F$5:$F$1504,"&lt;&gt;İptal")&gt;1,"Çakışıyor",""))</f>
        <v/>
      </c>
    </row>
    <row r="993" customFormat="false" ht="15" hidden="false" customHeight="false" outlineLevel="0" collapsed="false">
      <c r="A993" s="12"/>
      <c r="B993" s="12"/>
      <c r="C993" s="13"/>
      <c r="D993" s="14"/>
      <c r="E993" s="14"/>
      <c r="F993" s="13"/>
      <c r="G993" s="15"/>
      <c r="H993" s="16" t="str">
        <f aca="false">IF(OR(D993="",E993="",E993&lt;D993),"",E993-D993+1)</f>
        <v/>
      </c>
      <c r="I993" s="17" t="str">
        <f aca="false">IF(OR(H993="",C993=""),"",IF(F993="İptal",0,H993*IFERROR(INDEX(Ürünler!$B$5:$B$64,MATCH(C993,Ürünler!$A$5:$A$64,0)),0)-G993))</f>
        <v/>
      </c>
      <c r="J993" s="18" t="str">
        <f aca="false">IF(OR(H993="",C993="",F993="İptal"),"",IF(COUNTIFS($C$5:$C$1504,C993,$D$5:$D$1504,"&lt;="&amp;E993,$E$5:$E$1504,"&gt;="&amp;D993,$F$5:$F$1504,"&lt;&gt;İptal")&gt;1,"Çakışıyor",""))</f>
        <v/>
      </c>
    </row>
    <row r="994" customFormat="false" ht="15" hidden="false" customHeight="false" outlineLevel="0" collapsed="false">
      <c r="A994" s="12"/>
      <c r="B994" s="12"/>
      <c r="C994" s="13"/>
      <c r="D994" s="14"/>
      <c r="E994" s="14"/>
      <c r="F994" s="13"/>
      <c r="G994" s="15"/>
      <c r="H994" s="16" t="str">
        <f aca="false">IF(OR(D994="",E994="",E994&lt;D994),"",E994-D994+1)</f>
        <v/>
      </c>
      <c r="I994" s="17" t="str">
        <f aca="false">IF(OR(H994="",C994=""),"",IF(F994="İptal",0,H994*IFERROR(INDEX(Ürünler!$B$5:$B$64,MATCH(C994,Ürünler!$A$5:$A$64,0)),0)-G994))</f>
        <v/>
      </c>
      <c r="J994" s="18" t="str">
        <f aca="false">IF(OR(H994="",C994="",F994="İptal"),"",IF(COUNTIFS($C$5:$C$1504,C994,$D$5:$D$1504,"&lt;="&amp;E994,$E$5:$E$1504,"&gt;="&amp;D994,$F$5:$F$1504,"&lt;&gt;İptal")&gt;1,"Çakışıyor",""))</f>
        <v/>
      </c>
    </row>
    <row r="995" customFormat="false" ht="15" hidden="false" customHeight="false" outlineLevel="0" collapsed="false">
      <c r="A995" s="12"/>
      <c r="B995" s="12"/>
      <c r="C995" s="13"/>
      <c r="D995" s="14"/>
      <c r="E995" s="14"/>
      <c r="F995" s="13"/>
      <c r="G995" s="15"/>
      <c r="H995" s="16" t="str">
        <f aca="false">IF(OR(D995="",E995="",E995&lt;D995),"",E995-D995+1)</f>
        <v/>
      </c>
      <c r="I995" s="17" t="str">
        <f aca="false">IF(OR(H995="",C995=""),"",IF(F995="İptal",0,H995*IFERROR(INDEX(Ürünler!$B$5:$B$64,MATCH(C995,Ürünler!$A$5:$A$64,0)),0)-G995))</f>
        <v/>
      </c>
      <c r="J995" s="18" t="str">
        <f aca="false">IF(OR(H995="",C995="",F995="İptal"),"",IF(COUNTIFS($C$5:$C$1504,C995,$D$5:$D$1504,"&lt;="&amp;E995,$E$5:$E$1504,"&gt;="&amp;D995,$F$5:$F$1504,"&lt;&gt;İptal")&gt;1,"Çakışıyor",""))</f>
        <v/>
      </c>
    </row>
    <row r="996" customFormat="false" ht="15" hidden="false" customHeight="false" outlineLevel="0" collapsed="false">
      <c r="A996" s="12"/>
      <c r="B996" s="12"/>
      <c r="C996" s="13"/>
      <c r="D996" s="14"/>
      <c r="E996" s="14"/>
      <c r="F996" s="13"/>
      <c r="G996" s="15"/>
      <c r="H996" s="16" t="str">
        <f aca="false">IF(OR(D996="",E996="",E996&lt;D996),"",E996-D996+1)</f>
        <v/>
      </c>
      <c r="I996" s="17" t="str">
        <f aca="false">IF(OR(H996="",C996=""),"",IF(F996="İptal",0,H996*IFERROR(INDEX(Ürünler!$B$5:$B$64,MATCH(C996,Ürünler!$A$5:$A$64,0)),0)-G996))</f>
        <v/>
      </c>
      <c r="J996" s="18" t="str">
        <f aca="false">IF(OR(H996="",C996="",F996="İptal"),"",IF(COUNTIFS($C$5:$C$1504,C996,$D$5:$D$1504,"&lt;="&amp;E996,$E$5:$E$1504,"&gt;="&amp;D996,$F$5:$F$1504,"&lt;&gt;İptal")&gt;1,"Çakışıyor",""))</f>
        <v/>
      </c>
    </row>
    <row r="997" customFormat="false" ht="15" hidden="false" customHeight="false" outlineLevel="0" collapsed="false">
      <c r="A997" s="12"/>
      <c r="B997" s="12"/>
      <c r="C997" s="13"/>
      <c r="D997" s="14"/>
      <c r="E997" s="14"/>
      <c r="F997" s="13"/>
      <c r="G997" s="15"/>
      <c r="H997" s="16" t="str">
        <f aca="false">IF(OR(D997="",E997="",E997&lt;D997),"",E997-D997+1)</f>
        <v/>
      </c>
      <c r="I997" s="17" t="str">
        <f aca="false">IF(OR(H997="",C997=""),"",IF(F997="İptal",0,H997*IFERROR(INDEX(Ürünler!$B$5:$B$64,MATCH(C997,Ürünler!$A$5:$A$64,0)),0)-G997))</f>
        <v/>
      </c>
      <c r="J997" s="18" t="str">
        <f aca="false">IF(OR(H997="",C997="",F997="İptal"),"",IF(COUNTIFS($C$5:$C$1504,C997,$D$5:$D$1504,"&lt;="&amp;E997,$E$5:$E$1504,"&gt;="&amp;D997,$F$5:$F$1504,"&lt;&gt;İptal")&gt;1,"Çakışıyor",""))</f>
        <v/>
      </c>
    </row>
    <row r="998" customFormat="false" ht="15" hidden="false" customHeight="false" outlineLevel="0" collapsed="false">
      <c r="A998" s="12"/>
      <c r="B998" s="12"/>
      <c r="C998" s="13"/>
      <c r="D998" s="14"/>
      <c r="E998" s="14"/>
      <c r="F998" s="13"/>
      <c r="G998" s="15"/>
      <c r="H998" s="16" t="str">
        <f aca="false">IF(OR(D998="",E998="",E998&lt;D998),"",E998-D998+1)</f>
        <v/>
      </c>
      <c r="I998" s="17" t="str">
        <f aca="false">IF(OR(H998="",C998=""),"",IF(F998="İptal",0,H998*IFERROR(INDEX(Ürünler!$B$5:$B$64,MATCH(C998,Ürünler!$A$5:$A$64,0)),0)-G998))</f>
        <v/>
      </c>
      <c r="J998" s="18" t="str">
        <f aca="false">IF(OR(H998="",C998="",F998="İptal"),"",IF(COUNTIFS($C$5:$C$1504,C998,$D$5:$D$1504,"&lt;="&amp;E998,$E$5:$E$1504,"&gt;="&amp;D998,$F$5:$F$1504,"&lt;&gt;İptal")&gt;1,"Çakışıyor",""))</f>
        <v/>
      </c>
    </row>
    <row r="999" customFormat="false" ht="15" hidden="false" customHeight="false" outlineLevel="0" collapsed="false">
      <c r="A999" s="12"/>
      <c r="B999" s="12"/>
      <c r="C999" s="13"/>
      <c r="D999" s="14"/>
      <c r="E999" s="14"/>
      <c r="F999" s="13"/>
      <c r="G999" s="15"/>
      <c r="H999" s="16" t="str">
        <f aca="false">IF(OR(D999="",E999="",E999&lt;D999),"",E999-D999+1)</f>
        <v/>
      </c>
      <c r="I999" s="17" t="str">
        <f aca="false">IF(OR(H999="",C999=""),"",IF(F999="İptal",0,H999*IFERROR(INDEX(Ürünler!$B$5:$B$64,MATCH(C999,Ürünler!$A$5:$A$64,0)),0)-G999))</f>
        <v/>
      </c>
      <c r="J999" s="18" t="str">
        <f aca="false">IF(OR(H999="",C999="",F999="İptal"),"",IF(COUNTIFS($C$5:$C$1504,C999,$D$5:$D$1504,"&lt;="&amp;E999,$E$5:$E$1504,"&gt;="&amp;D999,$F$5:$F$1504,"&lt;&gt;İptal")&gt;1,"Çakışıyor",""))</f>
        <v/>
      </c>
    </row>
    <row r="1000" customFormat="false" ht="15" hidden="false" customHeight="false" outlineLevel="0" collapsed="false">
      <c r="A1000" s="12"/>
      <c r="B1000" s="12"/>
      <c r="C1000" s="13"/>
      <c r="D1000" s="14"/>
      <c r="E1000" s="14"/>
      <c r="F1000" s="13"/>
      <c r="G1000" s="15"/>
      <c r="H1000" s="16" t="str">
        <f aca="false">IF(OR(D1000="",E1000="",E1000&lt;D1000),"",E1000-D1000+1)</f>
        <v/>
      </c>
      <c r="I1000" s="17" t="str">
        <f aca="false">IF(OR(H1000="",C1000=""),"",IF(F1000="İptal",0,H1000*IFERROR(INDEX(Ürünler!$B$5:$B$64,MATCH(C1000,Ürünler!$A$5:$A$64,0)),0)-G1000))</f>
        <v/>
      </c>
      <c r="J1000" s="18" t="str">
        <f aca="false">IF(OR(H1000="",C1000="",F1000="İptal"),"",IF(COUNTIFS($C$5:$C$1504,C1000,$D$5:$D$1504,"&lt;="&amp;E1000,$E$5:$E$1504,"&gt;="&amp;D1000,$F$5:$F$1504,"&lt;&gt;İptal")&gt;1,"Çakışıyor",""))</f>
        <v/>
      </c>
    </row>
    <row r="1001" customFormat="false" ht="15" hidden="false" customHeight="false" outlineLevel="0" collapsed="false">
      <c r="A1001" s="12"/>
      <c r="B1001" s="12"/>
      <c r="C1001" s="13"/>
      <c r="D1001" s="14"/>
      <c r="E1001" s="14"/>
      <c r="F1001" s="13"/>
      <c r="G1001" s="15"/>
      <c r="H1001" s="16" t="str">
        <f aca="false">IF(OR(D1001="",E1001="",E1001&lt;D1001),"",E1001-D1001+1)</f>
        <v/>
      </c>
      <c r="I1001" s="17" t="str">
        <f aca="false">IF(OR(H1001="",C1001=""),"",IF(F1001="İptal",0,H1001*IFERROR(INDEX(Ürünler!$B$5:$B$64,MATCH(C1001,Ürünler!$A$5:$A$64,0)),0)-G1001))</f>
        <v/>
      </c>
      <c r="J1001" s="18" t="str">
        <f aca="false">IF(OR(H1001="",C1001="",F1001="İptal"),"",IF(COUNTIFS($C$5:$C$1504,C1001,$D$5:$D$1504,"&lt;="&amp;E1001,$E$5:$E$1504,"&gt;="&amp;D1001,$F$5:$F$1504,"&lt;&gt;İptal")&gt;1,"Çakışıyor",""))</f>
        <v/>
      </c>
    </row>
    <row r="1002" customFormat="false" ht="15" hidden="false" customHeight="false" outlineLevel="0" collapsed="false">
      <c r="A1002" s="12"/>
      <c r="B1002" s="12"/>
      <c r="C1002" s="13"/>
      <c r="D1002" s="14"/>
      <c r="E1002" s="14"/>
      <c r="F1002" s="13"/>
      <c r="G1002" s="15"/>
      <c r="H1002" s="16" t="str">
        <f aca="false">IF(OR(D1002="",E1002="",E1002&lt;D1002),"",E1002-D1002+1)</f>
        <v/>
      </c>
      <c r="I1002" s="17" t="str">
        <f aca="false">IF(OR(H1002="",C1002=""),"",IF(F1002="İptal",0,H1002*IFERROR(INDEX(Ürünler!$B$5:$B$64,MATCH(C1002,Ürünler!$A$5:$A$64,0)),0)-G1002))</f>
        <v/>
      </c>
      <c r="J1002" s="18" t="str">
        <f aca="false">IF(OR(H1002="",C1002="",F1002="İptal"),"",IF(COUNTIFS($C$5:$C$1504,C1002,$D$5:$D$1504,"&lt;="&amp;E1002,$E$5:$E$1504,"&gt;="&amp;D1002,$F$5:$F$1504,"&lt;&gt;İptal")&gt;1,"Çakışıyor",""))</f>
        <v/>
      </c>
    </row>
    <row r="1003" customFormat="false" ht="15" hidden="false" customHeight="false" outlineLevel="0" collapsed="false">
      <c r="A1003" s="12"/>
      <c r="B1003" s="12"/>
      <c r="C1003" s="13"/>
      <c r="D1003" s="14"/>
      <c r="E1003" s="14"/>
      <c r="F1003" s="13"/>
      <c r="G1003" s="15"/>
      <c r="H1003" s="16" t="str">
        <f aca="false">IF(OR(D1003="",E1003="",E1003&lt;D1003),"",E1003-D1003+1)</f>
        <v/>
      </c>
      <c r="I1003" s="17" t="str">
        <f aca="false">IF(OR(H1003="",C1003=""),"",IF(F1003="İptal",0,H1003*IFERROR(INDEX(Ürünler!$B$5:$B$64,MATCH(C1003,Ürünler!$A$5:$A$64,0)),0)-G1003))</f>
        <v/>
      </c>
      <c r="J1003" s="18" t="str">
        <f aca="false">IF(OR(H1003="",C1003="",F1003="İptal"),"",IF(COUNTIFS($C$5:$C$1504,C1003,$D$5:$D$1504,"&lt;="&amp;E1003,$E$5:$E$1504,"&gt;="&amp;D1003,$F$5:$F$1504,"&lt;&gt;İptal")&gt;1,"Çakışıyor",""))</f>
        <v/>
      </c>
    </row>
    <row r="1004" customFormat="false" ht="15" hidden="false" customHeight="false" outlineLevel="0" collapsed="false">
      <c r="A1004" s="12"/>
      <c r="B1004" s="12"/>
      <c r="C1004" s="13"/>
      <c r="D1004" s="14"/>
      <c r="E1004" s="14"/>
      <c r="F1004" s="13"/>
      <c r="G1004" s="15"/>
      <c r="H1004" s="16" t="str">
        <f aca="false">IF(OR(D1004="",E1004="",E1004&lt;D1004),"",E1004-D1004+1)</f>
        <v/>
      </c>
      <c r="I1004" s="17" t="str">
        <f aca="false">IF(OR(H1004="",C1004=""),"",IF(F1004="İptal",0,H1004*IFERROR(INDEX(Ürünler!$B$5:$B$64,MATCH(C1004,Ürünler!$A$5:$A$64,0)),0)-G1004))</f>
        <v/>
      </c>
      <c r="J1004" s="18" t="str">
        <f aca="false">IF(OR(H1004="",C1004="",F1004="İptal"),"",IF(COUNTIFS($C$5:$C$1504,C1004,$D$5:$D$1504,"&lt;="&amp;E1004,$E$5:$E$1504,"&gt;="&amp;D1004,$F$5:$F$1504,"&lt;&gt;İptal")&gt;1,"Çakışıyor",""))</f>
        <v/>
      </c>
    </row>
    <row r="1005" customFormat="false" ht="15" hidden="false" customHeight="false" outlineLevel="0" collapsed="false">
      <c r="A1005" s="12"/>
      <c r="B1005" s="12"/>
      <c r="C1005" s="13"/>
      <c r="D1005" s="14"/>
      <c r="E1005" s="14"/>
      <c r="F1005" s="13"/>
      <c r="G1005" s="15"/>
      <c r="H1005" s="16" t="str">
        <f aca="false">IF(OR(D1005="",E1005="",E1005&lt;D1005),"",E1005-D1005+1)</f>
        <v/>
      </c>
      <c r="I1005" s="17" t="str">
        <f aca="false">IF(OR(H1005="",C1005=""),"",IF(F1005="İptal",0,H1005*IFERROR(INDEX(Ürünler!$B$5:$B$64,MATCH(C1005,Ürünler!$A$5:$A$64,0)),0)-G1005))</f>
        <v/>
      </c>
      <c r="J1005" s="18" t="str">
        <f aca="false">IF(OR(H1005="",C1005="",F1005="İptal"),"",IF(COUNTIFS($C$5:$C$1504,C1005,$D$5:$D$1504,"&lt;="&amp;E1005,$E$5:$E$1504,"&gt;="&amp;D1005,$F$5:$F$1504,"&lt;&gt;İptal")&gt;1,"Çakışıyor",""))</f>
        <v/>
      </c>
    </row>
    <row r="1006" customFormat="false" ht="15" hidden="false" customHeight="false" outlineLevel="0" collapsed="false">
      <c r="A1006" s="12"/>
      <c r="B1006" s="12"/>
      <c r="C1006" s="13"/>
      <c r="D1006" s="14"/>
      <c r="E1006" s="14"/>
      <c r="F1006" s="13"/>
      <c r="G1006" s="15"/>
      <c r="H1006" s="16" t="str">
        <f aca="false">IF(OR(D1006="",E1006="",E1006&lt;D1006),"",E1006-D1006+1)</f>
        <v/>
      </c>
      <c r="I1006" s="17" t="str">
        <f aca="false">IF(OR(H1006="",C1006=""),"",IF(F1006="İptal",0,H1006*IFERROR(INDEX(Ürünler!$B$5:$B$64,MATCH(C1006,Ürünler!$A$5:$A$64,0)),0)-G1006))</f>
        <v/>
      </c>
      <c r="J1006" s="18" t="str">
        <f aca="false">IF(OR(H1006="",C1006="",F1006="İptal"),"",IF(COUNTIFS($C$5:$C$1504,C1006,$D$5:$D$1504,"&lt;="&amp;E1006,$E$5:$E$1504,"&gt;="&amp;D1006,$F$5:$F$1504,"&lt;&gt;İptal")&gt;1,"Çakışıyor",""))</f>
        <v/>
      </c>
    </row>
    <row r="1007" customFormat="false" ht="15" hidden="false" customHeight="false" outlineLevel="0" collapsed="false">
      <c r="A1007" s="12"/>
      <c r="B1007" s="12"/>
      <c r="C1007" s="13"/>
      <c r="D1007" s="14"/>
      <c r="E1007" s="14"/>
      <c r="F1007" s="13"/>
      <c r="G1007" s="15"/>
      <c r="H1007" s="16" t="str">
        <f aca="false">IF(OR(D1007="",E1007="",E1007&lt;D1007),"",E1007-D1007+1)</f>
        <v/>
      </c>
      <c r="I1007" s="17" t="str">
        <f aca="false">IF(OR(H1007="",C1007=""),"",IF(F1007="İptal",0,H1007*IFERROR(INDEX(Ürünler!$B$5:$B$64,MATCH(C1007,Ürünler!$A$5:$A$64,0)),0)-G1007))</f>
        <v/>
      </c>
      <c r="J1007" s="18" t="str">
        <f aca="false">IF(OR(H1007="",C1007="",F1007="İptal"),"",IF(COUNTIFS($C$5:$C$1504,C1007,$D$5:$D$1504,"&lt;="&amp;E1007,$E$5:$E$1504,"&gt;="&amp;D1007,$F$5:$F$1504,"&lt;&gt;İptal")&gt;1,"Çakışıyor",""))</f>
        <v/>
      </c>
    </row>
    <row r="1008" customFormat="false" ht="15" hidden="false" customHeight="false" outlineLevel="0" collapsed="false">
      <c r="A1008" s="12"/>
      <c r="B1008" s="12"/>
      <c r="C1008" s="13"/>
      <c r="D1008" s="14"/>
      <c r="E1008" s="14"/>
      <c r="F1008" s="13"/>
      <c r="G1008" s="15"/>
      <c r="H1008" s="16" t="str">
        <f aca="false">IF(OR(D1008="",E1008="",E1008&lt;D1008),"",E1008-D1008+1)</f>
        <v/>
      </c>
      <c r="I1008" s="17" t="str">
        <f aca="false">IF(OR(H1008="",C1008=""),"",IF(F1008="İptal",0,H1008*IFERROR(INDEX(Ürünler!$B$5:$B$64,MATCH(C1008,Ürünler!$A$5:$A$64,0)),0)-G1008))</f>
        <v/>
      </c>
      <c r="J1008" s="18" t="str">
        <f aca="false">IF(OR(H1008="",C1008="",F1008="İptal"),"",IF(COUNTIFS($C$5:$C$1504,C1008,$D$5:$D$1504,"&lt;="&amp;E1008,$E$5:$E$1504,"&gt;="&amp;D1008,$F$5:$F$1504,"&lt;&gt;İptal")&gt;1,"Çakışıyor",""))</f>
        <v/>
      </c>
    </row>
    <row r="1009" customFormat="false" ht="15" hidden="false" customHeight="false" outlineLevel="0" collapsed="false">
      <c r="A1009" s="12"/>
      <c r="B1009" s="12"/>
      <c r="C1009" s="13"/>
      <c r="D1009" s="14"/>
      <c r="E1009" s="14"/>
      <c r="F1009" s="13"/>
      <c r="G1009" s="15"/>
      <c r="H1009" s="16" t="str">
        <f aca="false">IF(OR(D1009="",E1009="",E1009&lt;D1009),"",E1009-D1009+1)</f>
        <v/>
      </c>
      <c r="I1009" s="17" t="str">
        <f aca="false">IF(OR(H1009="",C1009=""),"",IF(F1009="İptal",0,H1009*IFERROR(INDEX(Ürünler!$B$5:$B$64,MATCH(C1009,Ürünler!$A$5:$A$64,0)),0)-G1009))</f>
        <v/>
      </c>
      <c r="J1009" s="18" t="str">
        <f aca="false">IF(OR(H1009="",C1009="",F1009="İptal"),"",IF(COUNTIFS($C$5:$C$1504,C1009,$D$5:$D$1504,"&lt;="&amp;E1009,$E$5:$E$1504,"&gt;="&amp;D1009,$F$5:$F$1504,"&lt;&gt;İptal")&gt;1,"Çakışıyor",""))</f>
        <v/>
      </c>
    </row>
    <row r="1010" customFormat="false" ht="15" hidden="false" customHeight="false" outlineLevel="0" collapsed="false">
      <c r="A1010" s="12"/>
      <c r="B1010" s="12"/>
      <c r="C1010" s="13"/>
      <c r="D1010" s="14"/>
      <c r="E1010" s="14"/>
      <c r="F1010" s="13"/>
      <c r="G1010" s="15"/>
      <c r="H1010" s="16" t="str">
        <f aca="false">IF(OR(D1010="",E1010="",E1010&lt;D1010),"",E1010-D1010+1)</f>
        <v/>
      </c>
      <c r="I1010" s="17" t="str">
        <f aca="false">IF(OR(H1010="",C1010=""),"",IF(F1010="İptal",0,H1010*IFERROR(INDEX(Ürünler!$B$5:$B$64,MATCH(C1010,Ürünler!$A$5:$A$64,0)),0)-G1010))</f>
        <v/>
      </c>
      <c r="J1010" s="18" t="str">
        <f aca="false">IF(OR(H1010="",C1010="",F1010="İptal"),"",IF(COUNTIFS($C$5:$C$1504,C1010,$D$5:$D$1504,"&lt;="&amp;E1010,$E$5:$E$1504,"&gt;="&amp;D1010,$F$5:$F$1504,"&lt;&gt;İptal")&gt;1,"Çakışıyor",""))</f>
        <v/>
      </c>
    </row>
    <row r="1011" customFormat="false" ht="15" hidden="false" customHeight="false" outlineLevel="0" collapsed="false">
      <c r="A1011" s="12"/>
      <c r="B1011" s="12"/>
      <c r="C1011" s="13"/>
      <c r="D1011" s="14"/>
      <c r="E1011" s="14"/>
      <c r="F1011" s="13"/>
      <c r="G1011" s="15"/>
      <c r="H1011" s="16" t="str">
        <f aca="false">IF(OR(D1011="",E1011="",E1011&lt;D1011),"",E1011-D1011+1)</f>
        <v/>
      </c>
      <c r="I1011" s="17" t="str">
        <f aca="false">IF(OR(H1011="",C1011=""),"",IF(F1011="İptal",0,H1011*IFERROR(INDEX(Ürünler!$B$5:$B$64,MATCH(C1011,Ürünler!$A$5:$A$64,0)),0)-G1011))</f>
        <v/>
      </c>
      <c r="J1011" s="18" t="str">
        <f aca="false">IF(OR(H1011="",C1011="",F1011="İptal"),"",IF(COUNTIFS($C$5:$C$1504,C1011,$D$5:$D$1504,"&lt;="&amp;E1011,$E$5:$E$1504,"&gt;="&amp;D1011,$F$5:$F$1504,"&lt;&gt;İptal")&gt;1,"Çakışıyor",""))</f>
        <v/>
      </c>
    </row>
    <row r="1012" customFormat="false" ht="15" hidden="false" customHeight="false" outlineLevel="0" collapsed="false">
      <c r="A1012" s="12"/>
      <c r="B1012" s="12"/>
      <c r="C1012" s="13"/>
      <c r="D1012" s="14"/>
      <c r="E1012" s="14"/>
      <c r="F1012" s="13"/>
      <c r="G1012" s="15"/>
      <c r="H1012" s="16" t="str">
        <f aca="false">IF(OR(D1012="",E1012="",E1012&lt;D1012),"",E1012-D1012+1)</f>
        <v/>
      </c>
      <c r="I1012" s="17" t="str">
        <f aca="false">IF(OR(H1012="",C1012=""),"",IF(F1012="İptal",0,H1012*IFERROR(INDEX(Ürünler!$B$5:$B$64,MATCH(C1012,Ürünler!$A$5:$A$64,0)),0)-G1012))</f>
        <v/>
      </c>
      <c r="J1012" s="18" t="str">
        <f aca="false">IF(OR(H1012="",C1012="",F1012="İptal"),"",IF(COUNTIFS($C$5:$C$1504,C1012,$D$5:$D$1504,"&lt;="&amp;E1012,$E$5:$E$1504,"&gt;="&amp;D1012,$F$5:$F$1504,"&lt;&gt;İptal")&gt;1,"Çakışıyor",""))</f>
        <v/>
      </c>
    </row>
    <row r="1013" customFormat="false" ht="15" hidden="false" customHeight="false" outlineLevel="0" collapsed="false">
      <c r="A1013" s="12"/>
      <c r="B1013" s="12"/>
      <c r="C1013" s="13"/>
      <c r="D1013" s="14"/>
      <c r="E1013" s="14"/>
      <c r="F1013" s="13"/>
      <c r="G1013" s="15"/>
      <c r="H1013" s="16" t="str">
        <f aca="false">IF(OR(D1013="",E1013="",E1013&lt;D1013),"",E1013-D1013+1)</f>
        <v/>
      </c>
      <c r="I1013" s="17" t="str">
        <f aca="false">IF(OR(H1013="",C1013=""),"",IF(F1013="İptal",0,H1013*IFERROR(INDEX(Ürünler!$B$5:$B$64,MATCH(C1013,Ürünler!$A$5:$A$64,0)),0)-G1013))</f>
        <v/>
      </c>
      <c r="J1013" s="18" t="str">
        <f aca="false">IF(OR(H1013="",C1013="",F1013="İptal"),"",IF(COUNTIFS($C$5:$C$1504,C1013,$D$5:$D$1504,"&lt;="&amp;E1013,$E$5:$E$1504,"&gt;="&amp;D1013,$F$5:$F$1504,"&lt;&gt;İptal")&gt;1,"Çakışıyor",""))</f>
        <v/>
      </c>
    </row>
    <row r="1014" customFormat="false" ht="15" hidden="false" customHeight="false" outlineLevel="0" collapsed="false">
      <c r="A1014" s="12"/>
      <c r="B1014" s="12"/>
      <c r="C1014" s="13"/>
      <c r="D1014" s="14"/>
      <c r="E1014" s="14"/>
      <c r="F1014" s="13"/>
      <c r="G1014" s="15"/>
      <c r="H1014" s="16" t="str">
        <f aca="false">IF(OR(D1014="",E1014="",E1014&lt;D1014),"",E1014-D1014+1)</f>
        <v/>
      </c>
      <c r="I1014" s="17" t="str">
        <f aca="false">IF(OR(H1014="",C1014=""),"",IF(F1014="İptal",0,H1014*IFERROR(INDEX(Ürünler!$B$5:$B$64,MATCH(C1014,Ürünler!$A$5:$A$64,0)),0)-G1014))</f>
        <v/>
      </c>
      <c r="J1014" s="18" t="str">
        <f aca="false">IF(OR(H1014="",C1014="",F1014="İptal"),"",IF(COUNTIFS($C$5:$C$1504,C1014,$D$5:$D$1504,"&lt;="&amp;E1014,$E$5:$E$1504,"&gt;="&amp;D1014,$F$5:$F$1504,"&lt;&gt;İptal")&gt;1,"Çakışıyor",""))</f>
        <v/>
      </c>
    </row>
    <row r="1015" customFormat="false" ht="15" hidden="false" customHeight="false" outlineLevel="0" collapsed="false">
      <c r="A1015" s="12"/>
      <c r="B1015" s="12"/>
      <c r="C1015" s="13"/>
      <c r="D1015" s="14"/>
      <c r="E1015" s="14"/>
      <c r="F1015" s="13"/>
      <c r="G1015" s="15"/>
      <c r="H1015" s="16" t="str">
        <f aca="false">IF(OR(D1015="",E1015="",E1015&lt;D1015),"",E1015-D1015+1)</f>
        <v/>
      </c>
      <c r="I1015" s="17" t="str">
        <f aca="false">IF(OR(H1015="",C1015=""),"",IF(F1015="İptal",0,H1015*IFERROR(INDEX(Ürünler!$B$5:$B$64,MATCH(C1015,Ürünler!$A$5:$A$64,0)),0)-G1015))</f>
        <v/>
      </c>
      <c r="J1015" s="18" t="str">
        <f aca="false">IF(OR(H1015="",C1015="",F1015="İptal"),"",IF(COUNTIFS($C$5:$C$1504,C1015,$D$5:$D$1504,"&lt;="&amp;E1015,$E$5:$E$1504,"&gt;="&amp;D1015,$F$5:$F$1504,"&lt;&gt;İptal")&gt;1,"Çakışıyor",""))</f>
        <v/>
      </c>
    </row>
    <row r="1016" customFormat="false" ht="15" hidden="false" customHeight="false" outlineLevel="0" collapsed="false">
      <c r="A1016" s="12"/>
      <c r="B1016" s="12"/>
      <c r="C1016" s="13"/>
      <c r="D1016" s="14"/>
      <c r="E1016" s="14"/>
      <c r="F1016" s="13"/>
      <c r="G1016" s="15"/>
      <c r="H1016" s="16" t="str">
        <f aca="false">IF(OR(D1016="",E1016="",E1016&lt;D1016),"",E1016-D1016+1)</f>
        <v/>
      </c>
      <c r="I1016" s="17" t="str">
        <f aca="false">IF(OR(H1016="",C1016=""),"",IF(F1016="İptal",0,H1016*IFERROR(INDEX(Ürünler!$B$5:$B$64,MATCH(C1016,Ürünler!$A$5:$A$64,0)),0)-G1016))</f>
        <v/>
      </c>
      <c r="J1016" s="18" t="str">
        <f aca="false">IF(OR(H1016="",C1016="",F1016="İptal"),"",IF(COUNTIFS($C$5:$C$1504,C1016,$D$5:$D$1504,"&lt;="&amp;E1016,$E$5:$E$1504,"&gt;="&amp;D1016,$F$5:$F$1504,"&lt;&gt;İptal")&gt;1,"Çakışıyor",""))</f>
        <v/>
      </c>
    </row>
    <row r="1017" customFormat="false" ht="15" hidden="false" customHeight="false" outlineLevel="0" collapsed="false">
      <c r="A1017" s="12"/>
      <c r="B1017" s="12"/>
      <c r="C1017" s="13"/>
      <c r="D1017" s="14"/>
      <c r="E1017" s="14"/>
      <c r="F1017" s="13"/>
      <c r="G1017" s="15"/>
      <c r="H1017" s="16" t="str">
        <f aca="false">IF(OR(D1017="",E1017="",E1017&lt;D1017),"",E1017-D1017+1)</f>
        <v/>
      </c>
      <c r="I1017" s="17" t="str">
        <f aca="false">IF(OR(H1017="",C1017=""),"",IF(F1017="İptal",0,H1017*IFERROR(INDEX(Ürünler!$B$5:$B$64,MATCH(C1017,Ürünler!$A$5:$A$64,0)),0)-G1017))</f>
        <v/>
      </c>
      <c r="J1017" s="18" t="str">
        <f aca="false">IF(OR(H1017="",C1017="",F1017="İptal"),"",IF(COUNTIFS($C$5:$C$1504,C1017,$D$5:$D$1504,"&lt;="&amp;E1017,$E$5:$E$1504,"&gt;="&amp;D1017,$F$5:$F$1504,"&lt;&gt;İptal")&gt;1,"Çakışıyor",""))</f>
        <v/>
      </c>
    </row>
    <row r="1018" customFormat="false" ht="15" hidden="false" customHeight="false" outlineLevel="0" collapsed="false">
      <c r="A1018" s="12"/>
      <c r="B1018" s="12"/>
      <c r="C1018" s="13"/>
      <c r="D1018" s="14"/>
      <c r="E1018" s="14"/>
      <c r="F1018" s="13"/>
      <c r="G1018" s="15"/>
      <c r="H1018" s="16" t="str">
        <f aca="false">IF(OR(D1018="",E1018="",E1018&lt;D1018),"",E1018-D1018+1)</f>
        <v/>
      </c>
      <c r="I1018" s="17" t="str">
        <f aca="false">IF(OR(H1018="",C1018=""),"",IF(F1018="İptal",0,H1018*IFERROR(INDEX(Ürünler!$B$5:$B$64,MATCH(C1018,Ürünler!$A$5:$A$64,0)),0)-G1018))</f>
        <v/>
      </c>
      <c r="J1018" s="18" t="str">
        <f aca="false">IF(OR(H1018="",C1018="",F1018="İptal"),"",IF(COUNTIFS($C$5:$C$1504,C1018,$D$5:$D$1504,"&lt;="&amp;E1018,$E$5:$E$1504,"&gt;="&amp;D1018,$F$5:$F$1504,"&lt;&gt;İptal")&gt;1,"Çakışıyor",""))</f>
        <v/>
      </c>
    </row>
    <row r="1019" customFormat="false" ht="15" hidden="false" customHeight="false" outlineLevel="0" collapsed="false">
      <c r="A1019" s="12"/>
      <c r="B1019" s="12"/>
      <c r="C1019" s="13"/>
      <c r="D1019" s="14"/>
      <c r="E1019" s="14"/>
      <c r="F1019" s="13"/>
      <c r="G1019" s="15"/>
      <c r="H1019" s="16" t="str">
        <f aca="false">IF(OR(D1019="",E1019="",E1019&lt;D1019),"",E1019-D1019+1)</f>
        <v/>
      </c>
      <c r="I1019" s="17" t="str">
        <f aca="false">IF(OR(H1019="",C1019=""),"",IF(F1019="İptal",0,H1019*IFERROR(INDEX(Ürünler!$B$5:$B$64,MATCH(C1019,Ürünler!$A$5:$A$64,0)),0)-G1019))</f>
        <v/>
      </c>
      <c r="J1019" s="18" t="str">
        <f aca="false">IF(OR(H1019="",C1019="",F1019="İptal"),"",IF(COUNTIFS($C$5:$C$1504,C1019,$D$5:$D$1504,"&lt;="&amp;E1019,$E$5:$E$1504,"&gt;="&amp;D1019,$F$5:$F$1504,"&lt;&gt;İptal")&gt;1,"Çakışıyor",""))</f>
        <v/>
      </c>
    </row>
    <row r="1020" customFormat="false" ht="15" hidden="false" customHeight="false" outlineLevel="0" collapsed="false">
      <c r="A1020" s="12"/>
      <c r="B1020" s="12"/>
      <c r="C1020" s="13"/>
      <c r="D1020" s="14"/>
      <c r="E1020" s="14"/>
      <c r="F1020" s="13"/>
      <c r="G1020" s="15"/>
      <c r="H1020" s="16" t="str">
        <f aca="false">IF(OR(D1020="",E1020="",E1020&lt;D1020),"",E1020-D1020+1)</f>
        <v/>
      </c>
      <c r="I1020" s="17" t="str">
        <f aca="false">IF(OR(H1020="",C1020=""),"",IF(F1020="İptal",0,H1020*IFERROR(INDEX(Ürünler!$B$5:$B$64,MATCH(C1020,Ürünler!$A$5:$A$64,0)),0)-G1020))</f>
        <v/>
      </c>
      <c r="J1020" s="18" t="str">
        <f aca="false">IF(OR(H1020="",C1020="",F1020="İptal"),"",IF(COUNTIFS($C$5:$C$1504,C1020,$D$5:$D$1504,"&lt;="&amp;E1020,$E$5:$E$1504,"&gt;="&amp;D1020,$F$5:$F$1504,"&lt;&gt;İptal")&gt;1,"Çakışıyor",""))</f>
        <v/>
      </c>
    </row>
    <row r="1021" customFormat="false" ht="15" hidden="false" customHeight="false" outlineLevel="0" collapsed="false">
      <c r="A1021" s="12"/>
      <c r="B1021" s="12"/>
      <c r="C1021" s="13"/>
      <c r="D1021" s="14"/>
      <c r="E1021" s="14"/>
      <c r="F1021" s="13"/>
      <c r="G1021" s="15"/>
      <c r="H1021" s="16" t="str">
        <f aca="false">IF(OR(D1021="",E1021="",E1021&lt;D1021),"",E1021-D1021+1)</f>
        <v/>
      </c>
      <c r="I1021" s="17" t="str">
        <f aca="false">IF(OR(H1021="",C1021=""),"",IF(F1021="İptal",0,H1021*IFERROR(INDEX(Ürünler!$B$5:$B$64,MATCH(C1021,Ürünler!$A$5:$A$64,0)),0)-G1021))</f>
        <v/>
      </c>
      <c r="J1021" s="18" t="str">
        <f aca="false">IF(OR(H1021="",C1021="",F1021="İptal"),"",IF(COUNTIFS($C$5:$C$1504,C1021,$D$5:$D$1504,"&lt;="&amp;E1021,$E$5:$E$1504,"&gt;="&amp;D1021,$F$5:$F$1504,"&lt;&gt;İptal")&gt;1,"Çakışıyor",""))</f>
        <v/>
      </c>
    </row>
    <row r="1022" customFormat="false" ht="15" hidden="false" customHeight="false" outlineLevel="0" collapsed="false">
      <c r="A1022" s="12"/>
      <c r="B1022" s="12"/>
      <c r="C1022" s="13"/>
      <c r="D1022" s="14"/>
      <c r="E1022" s="14"/>
      <c r="F1022" s="13"/>
      <c r="G1022" s="15"/>
      <c r="H1022" s="16" t="str">
        <f aca="false">IF(OR(D1022="",E1022="",E1022&lt;D1022),"",E1022-D1022+1)</f>
        <v/>
      </c>
      <c r="I1022" s="17" t="str">
        <f aca="false">IF(OR(H1022="",C1022=""),"",IF(F1022="İptal",0,H1022*IFERROR(INDEX(Ürünler!$B$5:$B$64,MATCH(C1022,Ürünler!$A$5:$A$64,0)),0)-G1022))</f>
        <v/>
      </c>
      <c r="J1022" s="18" t="str">
        <f aca="false">IF(OR(H1022="",C1022="",F1022="İptal"),"",IF(COUNTIFS($C$5:$C$1504,C1022,$D$5:$D$1504,"&lt;="&amp;E1022,$E$5:$E$1504,"&gt;="&amp;D1022,$F$5:$F$1504,"&lt;&gt;İptal")&gt;1,"Çakışıyor",""))</f>
        <v/>
      </c>
    </row>
    <row r="1023" customFormat="false" ht="15" hidden="false" customHeight="false" outlineLevel="0" collapsed="false">
      <c r="A1023" s="12"/>
      <c r="B1023" s="12"/>
      <c r="C1023" s="13"/>
      <c r="D1023" s="14"/>
      <c r="E1023" s="14"/>
      <c r="F1023" s="13"/>
      <c r="G1023" s="15"/>
      <c r="H1023" s="16" t="str">
        <f aca="false">IF(OR(D1023="",E1023="",E1023&lt;D1023),"",E1023-D1023+1)</f>
        <v/>
      </c>
      <c r="I1023" s="17" t="str">
        <f aca="false">IF(OR(H1023="",C1023=""),"",IF(F1023="İptal",0,H1023*IFERROR(INDEX(Ürünler!$B$5:$B$64,MATCH(C1023,Ürünler!$A$5:$A$64,0)),0)-G1023))</f>
        <v/>
      </c>
      <c r="J1023" s="18" t="str">
        <f aca="false">IF(OR(H1023="",C1023="",F1023="İptal"),"",IF(COUNTIFS($C$5:$C$1504,C1023,$D$5:$D$1504,"&lt;="&amp;E1023,$E$5:$E$1504,"&gt;="&amp;D1023,$F$5:$F$1504,"&lt;&gt;İptal")&gt;1,"Çakışıyor",""))</f>
        <v/>
      </c>
    </row>
    <row r="1024" customFormat="false" ht="15" hidden="false" customHeight="false" outlineLevel="0" collapsed="false">
      <c r="A1024" s="12"/>
      <c r="B1024" s="12"/>
      <c r="C1024" s="13"/>
      <c r="D1024" s="14"/>
      <c r="E1024" s="14"/>
      <c r="F1024" s="13"/>
      <c r="G1024" s="15"/>
      <c r="H1024" s="16" t="str">
        <f aca="false">IF(OR(D1024="",E1024="",E1024&lt;D1024),"",E1024-D1024+1)</f>
        <v/>
      </c>
      <c r="I1024" s="17" t="str">
        <f aca="false">IF(OR(H1024="",C1024=""),"",IF(F1024="İptal",0,H1024*IFERROR(INDEX(Ürünler!$B$5:$B$64,MATCH(C1024,Ürünler!$A$5:$A$64,0)),0)-G1024))</f>
        <v/>
      </c>
      <c r="J1024" s="18" t="str">
        <f aca="false">IF(OR(H1024="",C1024="",F1024="İptal"),"",IF(COUNTIFS($C$5:$C$1504,C1024,$D$5:$D$1504,"&lt;="&amp;E1024,$E$5:$E$1504,"&gt;="&amp;D1024,$F$5:$F$1504,"&lt;&gt;İptal")&gt;1,"Çakışıyor",""))</f>
        <v/>
      </c>
    </row>
    <row r="1025" customFormat="false" ht="15" hidden="false" customHeight="false" outlineLevel="0" collapsed="false">
      <c r="A1025" s="12"/>
      <c r="B1025" s="12"/>
      <c r="C1025" s="13"/>
      <c r="D1025" s="14"/>
      <c r="E1025" s="14"/>
      <c r="F1025" s="13"/>
      <c r="G1025" s="15"/>
      <c r="H1025" s="16" t="str">
        <f aca="false">IF(OR(D1025="",E1025="",E1025&lt;D1025),"",E1025-D1025+1)</f>
        <v/>
      </c>
      <c r="I1025" s="17" t="str">
        <f aca="false">IF(OR(H1025="",C1025=""),"",IF(F1025="İptal",0,H1025*IFERROR(INDEX(Ürünler!$B$5:$B$64,MATCH(C1025,Ürünler!$A$5:$A$64,0)),0)-G1025))</f>
        <v/>
      </c>
      <c r="J1025" s="18" t="str">
        <f aca="false">IF(OR(H1025="",C1025="",F1025="İptal"),"",IF(COUNTIFS($C$5:$C$1504,C1025,$D$5:$D$1504,"&lt;="&amp;E1025,$E$5:$E$1504,"&gt;="&amp;D1025,$F$5:$F$1504,"&lt;&gt;İptal")&gt;1,"Çakışıyor",""))</f>
        <v/>
      </c>
    </row>
    <row r="1026" customFormat="false" ht="15" hidden="false" customHeight="false" outlineLevel="0" collapsed="false">
      <c r="A1026" s="12"/>
      <c r="B1026" s="12"/>
      <c r="C1026" s="13"/>
      <c r="D1026" s="14"/>
      <c r="E1026" s="14"/>
      <c r="F1026" s="13"/>
      <c r="G1026" s="15"/>
      <c r="H1026" s="16" t="str">
        <f aca="false">IF(OR(D1026="",E1026="",E1026&lt;D1026),"",E1026-D1026+1)</f>
        <v/>
      </c>
      <c r="I1026" s="17" t="str">
        <f aca="false">IF(OR(H1026="",C1026=""),"",IF(F1026="İptal",0,H1026*IFERROR(INDEX(Ürünler!$B$5:$B$64,MATCH(C1026,Ürünler!$A$5:$A$64,0)),0)-G1026))</f>
        <v/>
      </c>
      <c r="J1026" s="18" t="str">
        <f aca="false">IF(OR(H1026="",C1026="",F1026="İptal"),"",IF(COUNTIFS($C$5:$C$1504,C1026,$D$5:$D$1504,"&lt;="&amp;E1026,$E$5:$E$1504,"&gt;="&amp;D1026,$F$5:$F$1504,"&lt;&gt;İptal")&gt;1,"Çakışıyor",""))</f>
        <v/>
      </c>
    </row>
    <row r="1027" customFormat="false" ht="15" hidden="false" customHeight="false" outlineLevel="0" collapsed="false">
      <c r="A1027" s="12"/>
      <c r="B1027" s="12"/>
      <c r="C1027" s="13"/>
      <c r="D1027" s="14"/>
      <c r="E1027" s="14"/>
      <c r="F1027" s="13"/>
      <c r="G1027" s="15"/>
      <c r="H1027" s="16" t="str">
        <f aca="false">IF(OR(D1027="",E1027="",E1027&lt;D1027),"",E1027-D1027+1)</f>
        <v/>
      </c>
      <c r="I1027" s="17" t="str">
        <f aca="false">IF(OR(H1027="",C1027=""),"",IF(F1027="İptal",0,H1027*IFERROR(INDEX(Ürünler!$B$5:$B$64,MATCH(C1027,Ürünler!$A$5:$A$64,0)),0)-G1027))</f>
        <v/>
      </c>
      <c r="J1027" s="18" t="str">
        <f aca="false">IF(OR(H1027="",C1027="",F1027="İptal"),"",IF(COUNTIFS($C$5:$C$1504,C1027,$D$5:$D$1504,"&lt;="&amp;E1027,$E$5:$E$1504,"&gt;="&amp;D1027,$F$5:$F$1504,"&lt;&gt;İptal")&gt;1,"Çakışıyor",""))</f>
        <v/>
      </c>
    </row>
    <row r="1028" customFormat="false" ht="15" hidden="false" customHeight="false" outlineLevel="0" collapsed="false">
      <c r="A1028" s="12"/>
      <c r="B1028" s="12"/>
      <c r="C1028" s="13"/>
      <c r="D1028" s="14"/>
      <c r="E1028" s="14"/>
      <c r="F1028" s="13"/>
      <c r="G1028" s="15"/>
      <c r="H1028" s="16" t="str">
        <f aca="false">IF(OR(D1028="",E1028="",E1028&lt;D1028),"",E1028-D1028+1)</f>
        <v/>
      </c>
      <c r="I1028" s="17" t="str">
        <f aca="false">IF(OR(H1028="",C1028=""),"",IF(F1028="İptal",0,H1028*IFERROR(INDEX(Ürünler!$B$5:$B$64,MATCH(C1028,Ürünler!$A$5:$A$64,0)),0)-G1028))</f>
        <v/>
      </c>
      <c r="J1028" s="18" t="str">
        <f aca="false">IF(OR(H1028="",C1028="",F1028="İptal"),"",IF(COUNTIFS($C$5:$C$1504,C1028,$D$5:$D$1504,"&lt;="&amp;E1028,$E$5:$E$1504,"&gt;="&amp;D1028,$F$5:$F$1504,"&lt;&gt;İptal")&gt;1,"Çakışıyor",""))</f>
        <v/>
      </c>
    </row>
    <row r="1029" customFormat="false" ht="15" hidden="false" customHeight="false" outlineLevel="0" collapsed="false">
      <c r="A1029" s="12"/>
      <c r="B1029" s="12"/>
      <c r="C1029" s="13"/>
      <c r="D1029" s="14"/>
      <c r="E1029" s="14"/>
      <c r="F1029" s="13"/>
      <c r="G1029" s="15"/>
      <c r="H1029" s="16" t="str">
        <f aca="false">IF(OR(D1029="",E1029="",E1029&lt;D1029),"",E1029-D1029+1)</f>
        <v/>
      </c>
      <c r="I1029" s="17" t="str">
        <f aca="false">IF(OR(H1029="",C1029=""),"",IF(F1029="İptal",0,H1029*IFERROR(INDEX(Ürünler!$B$5:$B$64,MATCH(C1029,Ürünler!$A$5:$A$64,0)),0)-G1029))</f>
        <v/>
      </c>
      <c r="J1029" s="18" t="str">
        <f aca="false">IF(OR(H1029="",C1029="",F1029="İptal"),"",IF(COUNTIFS($C$5:$C$1504,C1029,$D$5:$D$1504,"&lt;="&amp;E1029,$E$5:$E$1504,"&gt;="&amp;D1029,$F$5:$F$1504,"&lt;&gt;İptal")&gt;1,"Çakışıyor",""))</f>
        <v/>
      </c>
    </row>
    <row r="1030" customFormat="false" ht="15" hidden="false" customHeight="false" outlineLevel="0" collapsed="false">
      <c r="A1030" s="12"/>
      <c r="B1030" s="12"/>
      <c r="C1030" s="13"/>
      <c r="D1030" s="14"/>
      <c r="E1030" s="14"/>
      <c r="F1030" s="13"/>
      <c r="G1030" s="15"/>
      <c r="H1030" s="16" t="str">
        <f aca="false">IF(OR(D1030="",E1030="",E1030&lt;D1030),"",E1030-D1030+1)</f>
        <v/>
      </c>
      <c r="I1030" s="17" t="str">
        <f aca="false">IF(OR(H1030="",C1030=""),"",IF(F1030="İptal",0,H1030*IFERROR(INDEX(Ürünler!$B$5:$B$64,MATCH(C1030,Ürünler!$A$5:$A$64,0)),0)-G1030))</f>
        <v/>
      </c>
      <c r="J1030" s="18" t="str">
        <f aca="false">IF(OR(H1030="",C1030="",F1030="İptal"),"",IF(COUNTIFS($C$5:$C$1504,C1030,$D$5:$D$1504,"&lt;="&amp;E1030,$E$5:$E$1504,"&gt;="&amp;D1030,$F$5:$F$1504,"&lt;&gt;İptal")&gt;1,"Çakışıyor",""))</f>
        <v/>
      </c>
    </row>
    <row r="1031" customFormat="false" ht="15" hidden="false" customHeight="false" outlineLevel="0" collapsed="false">
      <c r="A1031" s="12"/>
      <c r="B1031" s="12"/>
      <c r="C1031" s="13"/>
      <c r="D1031" s="14"/>
      <c r="E1031" s="14"/>
      <c r="F1031" s="13"/>
      <c r="G1031" s="15"/>
      <c r="H1031" s="16" t="str">
        <f aca="false">IF(OR(D1031="",E1031="",E1031&lt;D1031),"",E1031-D1031+1)</f>
        <v/>
      </c>
      <c r="I1031" s="17" t="str">
        <f aca="false">IF(OR(H1031="",C1031=""),"",IF(F1031="İptal",0,H1031*IFERROR(INDEX(Ürünler!$B$5:$B$64,MATCH(C1031,Ürünler!$A$5:$A$64,0)),0)-G1031))</f>
        <v/>
      </c>
      <c r="J1031" s="18" t="str">
        <f aca="false">IF(OR(H1031="",C1031="",F1031="İptal"),"",IF(COUNTIFS($C$5:$C$1504,C1031,$D$5:$D$1504,"&lt;="&amp;E1031,$E$5:$E$1504,"&gt;="&amp;D1031,$F$5:$F$1504,"&lt;&gt;İptal")&gt;1,"Çakışıyor",""))</f>
        <v/>
      </c>
    </row>
    <row r="1032" customFormat="false" ht="15" hidden="false" customHeight="false" outlineLevel="0" collapsed="false">
      <c r="A1032" s="12"/>
      <c r="B1032" s="12"/>
      <c r="C1032" s="13"/>
      <c r="D1032" s="14"/>
      <c r="E1032" s="14"/>
      <c r="F1032" s="13"/>
      <c r="G1032" s="15"/>
      <c r="H1032" s="16" t="str">
        <f aca="false">IF(OR(D1032="",E1032="",E1032&lt;D1032),"",E1032-D1032+1)</f>
        <v/>
      </c>
      <c r="I1032" s="17" t="str">
        <f aca="false">IF(OR(H1032="",C1032=""),"",IF(F1032="İptal",0,H1032*IFERROR(INDEX(Ürünler!$B$5:$B$64,MATCH(C1032,Ürünler!$A$5:$A$64,0)),0)-G1032))</f>
        <v/>
      </c>
      <c r="J1032" s="18" t="str">
        <f aca="false">IF(OR(H1032="",C1032="",F1032="İptal"),"",IF(COUNTIFS($C$5:$C$1504,C1032,$D$5:$D$1504,"&lt;="&amp;E1032,$E$5:$E$1504,"&gt;="&amp;D1032,$F$5:$F$1504,"&lt;&gt;İptal")&gt;1,"Çakışıyor",""))</f>
        <v/>
      </c>
    </row>
    <row r="1033" customFormat="false" ht="15" hidden="false" customHeight="false" outlineLevel="0" collapsed="false">
      <c r="A1033" s="12"/>
      <c r="B1033" s="12"/>
      <c r="C1033" s="13"/>
      <c r="D1033" s="14"/>
      <c r="E1033" s="14"/>
      <c r="F1033" s="13"/>
      <c r="G1033" s="15"/>
      <c r="H1033" s="16" t="str">
        <f aca="false">IF(OR(D1033="",E1033="",E1033&lt;D1033),"",E1033-D1033+1)</f>
        <v/>
      </c>
      <c r="I1033" s="17" t="str">
        <f aca="false">IF(OR(H1033="",C1033=""),"",IF(F1033="İptal",0,H1033*IFERROR(INDEX(Ürünler!$B$5:$B$64,MATCH(C1033,Ürünler!$A$5:$A$64,0)),0)-G1033))</f>
        <v/>
      </c>
      <c r="J1033" s="18" t="str">
        <f aca="false">IF(OR(H1033="",C1033="",F1033="İptal"),"",IF(COUNTIFS($C$5:$C$1504,C1033,$D$5:$D$1504,"&lt;="&amp;E1033,$E$5:$E$1504,"&gt;="&amp;D1033,$F$5:$F$1504,"&lt;&gt;İptal")&gt;1,"Çakışıyor",""))</f>
        <v/>
      </c>
    </row>
    <row r="1034" customFormat="false" ht="15" hidden="false" customHeight="false" outlineLevel="0" collapsed="false">
      <c r="A1034" s="12"/>
      <c r="B1034" s="12"/>
      <c r="C1034" s="13"/>
      <c r="D1034" s="14"/>
      <c r="E1034" s="14"/>
      <c r="F1034" s="13"/>
      <c r="G1034" s="15"/>
      <c r="H1034" s="16" t="str">
        <f aca="false">IF(OR(D1034="",E1034="",E1034&lt;D1034),"",E1034-D1034+1)</f>
        <v/>
      </c>
      <c r="I1034" s="17" t="str">
        <f aca="false">IF(OR(H1034="",C1034=""),"",IF(F1034="İptal",0,H1034*IFERROR(INDEX(Ürünler!$B$5:$B$64,MATCH(C1034,Ürünler!$A$5:$A$64,0)),0)-G1034))</f>
        <v/>
      </c>
      <c r="J1034" s="18" t="str">
        <f aca="false">IF(OR(H1034="",C1034="",F1034="İptal"),"",IF(COUNTIFS($C$5:$C$1504,C1034,$D$5:$D$1504,"&lt;="&amp;E1034,$E$5:$E$1504,"&gt;="&amp;D1034,$F$5:$F$1504,"&lt;&gt;İptal")&gt;1,"Çakışıyor",""))</f>
        <v/>
      </c>
    </row>
    <row r="1035" customFormat="false" ht="15" hidden="false" customHeight="false" outlineLevel="0" collapsed="false">
      <c r="A1035" s="12"/>
      <c r="B1035" s="12"/>
      <c r="C1035" s="13"/>
      <c r="D1035" s="14"/>
      <c r="E1035" s="14"/>
      <c r="F1035" s="13"/>
      <c r="G1035" s="15"/>
      <c r="H1035" s="16" t="str">
        <f aca="false">IF(OR(D1035="",E1035="",E1035&lt;D1035),"",E1035-D1035+1)</f>
        <v/>
      </c>
      <c r="I1035" s="17" t="str">
        <f aca="false">IF(OR(H1035="",C1035=""),"",IF(F1035="İptal",0,H1035*IFERROR(INDEX(Ürünler!$B$5:$B$64,MATCH(C1035,Ürünler!$A$5:$A$64,0)),0)-G1035))</f>
        <v/>
      </c>
      <c r="J1035" s="18" t="str">
        <f aca="false">IF(OR(H1035="",C1035="",F1035="İptal"),"",IF(COUNTIFS($C$5:$C$1504,C1035,$D$5:$D$1504,"&lt;="&amp;E1035,$E$5:$E$1504,"&gt;="&amp;D1035,$F$5:$F$1504,"&lt;&gt;İptal")&gt;1,"Çakışıyor",""))</f>
        <v/>
      </c>
    </row>
    <row r="1036" customFormat="false" ht="15" hidden="false" customHeight="false" outlineLevel="0" collapsed="false">
      <c r="A1036" s="12"/>
      <c r="B1036" s="12"/>
      <c r="C1036" s="13"/>
      <c r="D1036" s="14"/>
      <c r="E1036" s="14"/>
      <c r="F1036" s="13"/>
      <c r="G1036" s="15"/>
      <c r="H1036" s="16" t="str">
        <f aca="false">IF(OR(D1036="",E1036="",E1036&lt;D1036),"",E1036-D1036+1)</f>
        <v/>
      </c>
      <c r="I1036" s="17" t="str">
        <f aca="false">IF(OR(H1036="",C1036=""),"",IF(F1036="İptal",0,H1036*IFERROR(INDEX(Ürünler!$B$5:$B$64,MATCH(C1036,Ürünler!$A$5:$A$64,0)),0)-G1036))</f>
        <v/>
      </c>
      <c r="J1036" s="18" t="str">
        <f aca="false">IF(OR(H1036="",C1036="",F1036="İptal"),"",IF(COUNTIFS($C$5:$C$1504,C1036,$D$5:$D$1504,"&lt;="&amp;E1036,$E$5:$E$1504,"&gt;="&amp;D1036,$F$5:$F$1504,"&lt;&gt;İptal")&gt;1,"Çakışıyor",""))</f>
        <v/>
      </c>
    </row>
    <row r="1037" customFormat="false" ht="15" hidden="false" customHeight="false" outlineLevel="0" collapsed="false">
      <c r="A1037" s="12"/>
      <c r="B1037" s="12"/>
      <c r="C1037" s="13"/>
      <c r="D1037" s="14"/>
      <c r="E1037" s="14"/>
      <c r="F1037" s="13"/>
      <c r="G1037" s="15"/>
      <c r="H1037" s="16" t="str">
        <f aca="false">IF(OR(D1037="",E1037="",E1037&lt;D1037),"",E1037-D1037+1)</f>
        <v/>
      </c>
      <c r="I1037" s="17" t="str">
        <f aca="false">IF(OR(H1037="",C1037=""),"",IF(F1037="İptal",0,H1037*IFERROR(INDEX(Ürünler!$B$5:$B$64,MATCH(C1037,Ürünler!$A$5:$A$64,0)),0)-G1037))</f>
        <v/>
      </c>
      <c r="J1037" s="18" t="str">
        <f aca="false">IF(OR(H1037="",C1037="",F1037="İptal"),"",IF(COUNTIFS($C$5:$C$1504,C1037,$D$5:$D$1504,"&lt;="&amp;E1037,$E$5:$E$1504,"&gt;="&amp;D1037,$F$5:$F$1504,"&lt;&gt;İptal")&gt;1,"Çakışıyor",""))</f>
        <v/>
      </c>
    </row>
    <row r="1038" customFormat="false" ht="15" hidden="false" customHeight="false" outlineLevel="0" collapsed="false">
      <c r="A1038" s="12"/>
      <c r="B1038" s="12"/>
      <c r="C1038" s="13"/>
      <c r="D1038" s="14"/>
      <c r="E1038" s="14"/>
      <c r="F1038" s="13"/>
      <c r="G1038" s="15"/>
      <c r="H1038" s="16" t="str">
        <f aca="false">IF(OR(D1038="",E1038="",E1038&lt;D1038),"",E1038-D1038+1)</f>
        <v/>
      </c>
      <c r="I1038" s="17" t="str">
        <f aca="false">IF(OR(H1038="",C1038=""),"",IF(F1038="İptal",0,H1038*IFERROR(INDEX(Ürünler!$B$5:$B$64,MATCH(C1038,Ürünler!$A$5:$A$64,0)),0)-G1038))</f>
        <v/>
      </c>
      <c r="J1038" s="18" t="str">
        <f aca="false">IF(OR(H1038="",C1038="",F1038="İptal"),"",IF(COUNTIFS($C$5:$C$1504,C1038,$D$5:$D$1504,"&lt;="&amp;E1038,$E$5:$E$1504,"&gt;="&amp;D1038,$F$5:$F$1504,"&lt;&gt;İptal")&gt;1,"Çakışıyor",""))</f>
        <v/>
      </c>
    </row>
    <row r="1039" customFormat="false" ht="15" hidden="false" customHeight="false" outlineLevel="0" collapsed="false">
      <c r="A1039" s="12"/>
      <c r="B1039" s="12"/>
      <c r="C1039" s="13"/>
      <c r="D1039" s="14"/>
      <c r="E1039" s="14"/>
      <c r="F1039" s="13"/>
      <c r="G1039" s="15"/>
      <c r="H1039" s="16" t="str">
        <f aca="false">IF(OR(D1039="",E1039="",E1039&lt;D1039),"",E1039-D1039+1)</f>
        <v/>
      </c>
      <c r="I1039" s="17" t="str">
        <f aca="false">IF(OR(H1039="",C1039=""),"",IF(F1039="İptal",0,H1039*IFERROR(INDEX(Ürünler!$B$5:$B$64,MATCH(C1039,Ürünler!$A$5:$A$64,0)),0)-G1039))</f>
        <v/>
      </c>
      <c r="J1039" s="18" t="str">
        <f aca="false">IF(OR(H1039="",C1039="",F1039="İptal"),"",IF(COUNTIFS($C$5:$C$1504,C1039,$D$5:$D$1504,"&lt;="&amp;E1039,$E$5:$E$1504,"&gt;="&amp;D1039,$F$5:$F$1504,"&lt;&gt;İptal")&gt;1,"Çakışıyor",""))</f>
        <v/>
      </c>
    </row>
    <row r="1040" customFormat="false" ht="15" hidden="false" customHeight="false" outlineLevel="0" collapsed="false">
      <c r="A1040" s="12"/>
      <c r="B1040" s="12"/>
      <c r="C1040" s="13"/>
      <c r="D1040" s="14"/>
      <c r="E1040" s="14"/>
      <c r="F1040" s="13"/>
      <c r="G1040" s="15"/>
      <c r="H1040" s="16" t="str">
        <f aca="false">IF(OR(D1040="",E1040="",E1040&lt;D1040),"",E1040-D1040+1)</f>
        <v/>
      </c>
      <c r="I1040" s="17" t="str">
        <f aca="false">IF(OR(H1040="",C1040=""),"",IF(F1040="İptal",0,H1040*IFERROR(INDEX(Ürünler!$B$5:$B$64,MATCH(C1040,Ürünler!$A$5:$A$64,0)),0)-G1040))</f>
        <v/>
      </c>
      <c r="J1040" s="18" t="str">
        <f aca="false">IF(OR(H1040="",C1040="",F1040="İptal"),"",IF(COUNTIFS($C$5:$C$1504,C1040,$D$5:$D$1504,"&lt;="&amp;E1040,$E$5:$E$1504,"&gt;="&amp;D1040,$F$5:$F$1504,"&lt;&gt;İptal")&gt;1,"Çakışıyor",""))</f>
        <v/>
      </c>
    </row>
    <row r="1041" customFormat="false" ht="15" hidden="false" customHeight="false" outlineLevel="0" collapsed="false">
      <c r="A1041" s="12"/>
      <c r="B1041" s="12"/>
      <c r="C1041" s="13"/>
      <c r="D1041" s="14"/>
      <c r="E1041" s="14"/>
      <c r="F1041" s="13"/>
      <c r="G1041" s="15"/>
      <c r="H1041" s="16" t="str">
        <f aca="false">IF(OR(D1041="",E1041="",E1041&lt;D1041),"",E1041-D1041+1)</f>
        <v/>
      </c>
      <c r="I1041" s="17" t="str">
        <f aca="false">IF(OR(H1041="",C1041=""),"",IF(F1041="İptal",0,H1041*IFERROR(INDEX(Ürünler!$B$5:$B$64,MATCH(C1041,Ürünler!$A$5:$A$64,0)),0)-G1041))</f>
        <v/>
      </c>
      <c r="J1041" s="18" t="str">
        <f aca="false">IF(OR(H1041="",C1041="",F1041="İptal"),"",IF(COUNTIFS($C$5:$C$1504,C1041,$D$5:$D$1504,"&lt;="&amp;E1041,$E$5:$E$1504,"&gt;="&amp;D1041,$F$5:$F$1504,"&lt;&gt;İptal")&gt;1,"Çakışıyor",""))</f>
        <v/>
      </c>
    </row>
    <row r="1042" customFormat="false" ht="15" hidden="false" customHeight="false" outlineLevel="0" collapsed="false">
      <c r="A1042" s="12"/>
      <c r="B1042" s="12"/>
      <c r="C1042" s="13"/>
      <c r="D1042" s="14"/>
      <c r="E1042" s="14"/>
      <c r="F1042" s="13"/>
      <c r="G1042" s="15"/>
      <c r="H1042" s="16" t="str">
        <f aca="false">IF(OR(D1042="",E1042="",E1042&lt;D1042),"",E1042-D1042+1)</f>
        <v/>
      </c>
      <c r="I1042" s="17" t="str">
        <f aca="false">IF(OR(H1042="",C1042=""),"",IF(F1042="İptal",0,H1042*IFERROR(INDEX(Ürünler!$B$5:$B$64,MATCH(C1042,Ürünler!$A$5:$A$64,0)),0)-G1042))</f>
        <v/>
      </c>
      <c r="J1042" s="18" t="str">
        <f aca="false">IF(OR(H1042="",C1042="",F1042="İptal"),"",IF(COUNTIFS($C$5:$C$1504,C1042,$D$5:$D$1504,"&lt;="&amp;E1042,$E$5:$E$1504,"&gt;="&amp;D1042,$F$5:$F$1504,"&lt;&gt;İptal")&gt;1,"Çakışıyor",""))</f>
        <v/>
      </c>
    </row>
    <row r="1043" customFormat="false" ht="15" hidden="false" customHeight="false" outlineLevel="0" collapsed="false">
      <c r="A1043" s="12"/>
      <c r="B1043" s="12"/>
      <c r="C1043" s="13"/>
      <c r="D1043" s="14"/>
      <c r="E1043" s="14"/>
      <c r="F1043" s="13"/>
      <c r="G1043" s="15"/>
      <c r="H1043" s="16" t="str">
        <f aca="false">IF(OR(D1043="",E1043="",E1043&lt;D1043),"",E1043-D1043+1)</f>
        <v/>
      </c>
      <c r="I1043" s="17" t="str">
        <f aca="false">IF(OR(H1043="",C1043=""),"",IF(F1043="İptal",0,H1043*IFERROR(INDEX(Ürünler!$B$5:$B$64,MATCH(C1043,Ürünler!$A$5:$A$64,0)),0)-G1043))</f>
        <v/>
      </c>
      <c r="J1043" s="18" t="str">
        <f aca="false">IF(OR(H1043="",C1043="",F1043="İptal"),"",IF(COUNTIFS($C$5:$C$1504,C1043,$D$5:$D$1504,"&lt;="&amp;E1043,$E$5:$E$1504,"&gt;="&amp;D1043,$F$5:$F$1504,"&lt;&gt;İptal")&gt;1,"Çakışıyor",""))</f>
        <v/>
      </c>
    </row>
    <row r="1044" customFormat="false" ht="15" hidden="false" customHeight="false" outlineLevel="0" collapsed="false">
      <c r="A1044" s="12"/>
      <c r="B1044" s="12"/>
      <c r="C1044" s="13"/>
      <c r="D1044" s="14"/>
      <c r="E1044" s="14"/>
      <c r="F1044" s="13"/>
      <c r="G1044" s="15"/>
      <c r="H1044" s="16" t="str">
        <f aca="false">IF(OR(D1044="",E1044="",E1044&lt;D1044),"",E1044-D1044+1)</f>
        <v/>
      </c>
      <c r="I1044" s="17" t="str">
        <f aca="false">IF(OR(H1044="",C1044=""),"",IF(F1044="İptal",0,H1044*IFERROR(INDEX(Ürünler!$B$5:$B$64,MATCH(C1044,Ürünler!$A$5:$A$64,0)),0)-G1044))</f>
        <v/>
      </c>
      <c r="J1044" s="18" t="str">
        <f aca="false">IF(OR(H1044="",C1044="",F1044="İptal"),"",IF(COUNTIFS($C$5:$C$1504,C1044,$D$5:$D$1504,"&lt;="&amp;E1044,$E$5:$E$1504,"&gt;="&amp;D1044,$F$5:$F$1504,"&lt;&gt;İptal")&gt;1,"Çakışıyor",""))</f>
        <v/>
      </c>
    </row>
    <row r="1045" customFormat="false" ht="15" hidden="false" customHeight="false" outlineLevel="0" collapsed="false">
      <c r="A1045" s="12"/>
      <c r="B1045" s="12"/>
      <c r="C1045" s="13"/>
      <c r="D1045" s="14"/>
      <c r="E1045" s="14"/>
      <c r="F1045" s="13"/>
      <c r="G1045" s="15"/>
      <c r="H1045" s="16" t="str">
        <f aca="false">IF(OR(D1045="",E1045="",E1045&lt;D1045),"",E1045-D1045+1)</f>
        <v/>
      </c>
      <c r="I1045" s="17" t="str">
        <f aca="false">IF(OR(H1045="",C1045=""),"",IF(F1045="İptal",0,H1045*IFERROR(INDEX(Ürünler!$B$5:$B$64,MATCH(C1045,Ürünler!$A$5:$A$64,0)),0)-G1045))</f>
        <v/>
      </c>
      <c r="J1045" s="18" t="str">
        <f aca="false">IF(OR(H1045="",C1045="",F1045="İptal"),"",IF(COUNTIFS($C$5:$C$1504,C1045,$D$5:$D$1504,"&lt;="&amp;E1045,$E$5:$E$1504,"&gt;="&amp;D1045,$F$5:$F$1504,"&lt;&gt;İptal")&gt;1,"Çakışıyor",""))</f>
        <v/>
      </c>
    </row>
    <row r="1046" customFormat="false" ht="15" hidden="false" customHeight="false" outlineLevel="0" collapsed="false">
      <c r="A1046" s="12"/>
      <c r="B1046" s="12"/>
      <c r="C1046" s="13"/>
      <c r="D1046" s="14"/>
      <c r="E1046" s="14"/>
      <c r="F1046" s="13"/>
      <c r="G1046" s="15"/>
      <c r="H1046" s="16" t="str">
        <f aca="false">IF(OR(D1046="",E1046="",E1046&lt;D1046),"",E1046-D1046+1)</f>
        <v/>
      </c>
      <c r="I1046" s="17" t="str">
        <f aca="false">IF(OR(H1046="",C1046=""),"",IF(F1046="İptal",0,H1046*IFERROR(INDEX(Ürünler!$B$5:$B$64,MATCH(C1046,Ürünler!$A$5:$A$64,0)),0)-G1046))</f>
        <v/>
      </c>
      <c r="J1046" s="18" t="str">
        <f aca="false">IF(OR(H1046="",C1046="",F1046="İptal"),"",IF(COUNTIFS($C$5:$C$1504,C1046,$D$5:$D$1504,"&lt;="&amp;E1046,$E$5:$E$1504,"&gt;="&amp;D1046,$F$5:$F$1504,"&lt;&gt;İptal")&gt;1,"Çakışıyor",""))</f>
        <v/>
      </c>
    </row>
    <row r="1047" customFormat="false" ht="15" hidden="false" customHeight="false" outlineLevel="0" collapsed="false">
      <c r="A1047" s="12"/>
      <c r="B1047" s="12"/>
      <c r="C1047" s="13"/>
      <c r="D1047" s="14"/>
      <c r="E1047" s="14"/>
      <c r="F1047" s="13"/>
      <c r="G1047" s="15"/>
      <c r="H1047" s="16" t="str">
        <f aca="false">IF(OR(D1047="",E1047="",E1047&lt;D1047),"",E1047-D1047+1)</f>
        <v/>
      </c>
      <c r="I1047" s="17" t="str">
        <f aca="false">IF(OR(H1047="",C1047=""),"",IF(F1047="İptal",0,H1047*IFERROR(INDEX(Ürünler!$B$5:$B$64,MATCH(C1047,Ürünler!$A$5:$A$64,0)),0)-G1047))</f>
        <v/>
      </c>
      <c r="J1047" s="18" t="str">
        <f aca="false">IF(OR(H1047="",C1047="",F1047="İptal"),"",IF(COUNTIFS($C$5:$C$1504,C1047,$D$5:$D$1504,"&lt;="&amp;E1047,$E$5:$E$1504,"&gt;="&amp;D1047,$F$5:$F$1504,"&lt;&gt;İptal")&gt;1,"Çakışıyor",""))</f>
        <v/>
      </c>
    </row>
    <row r="1048" customFormat="false" ht="15" hidden="false" customHeight="false" outlineLevel="0" collapsed="false">
      <c r="A1048" s="12"/>
      <c r="B1048" s="12"/>
      <c r="C1048" s="13"/>
      <c r="D1048" s="14"/>
      <c r="E1048" s="14"/>
      <c r="F1048" s="13"/>
      <c r="G1048" s="15"/>
      <c r="H1048" s="16" t="str">
        <f aca="false">IF(OR(D1048="",E1048="",E1048&lt;D1048),"",E1048-D1048+1)</f>
        <v/>
      </c>
      <c r="I1048" s="17" t="str">
        <f aca="false">IF(OR(H1048="",C1048=""),"",IF(F1048="İptal",0,H1048*IFERROR(INDEX(Ürünler!$B$5:$B$64,MATCH(C1048,Ürünler!$A$5:$A$64,0)),0)-G1048))</f>
        <v/>
      </c>
      <c r="J1048" s="18" t="str">
        <f aca="false">IF(OR(H1048="",C1048="",F1048="İptal"),"",IF(COUNTIFS($C$5:$C$1504,C1048,$D$5:$D$1504,"&lt;="&amp;E1048,$E$5:$E$1504,"&gt;="&amp;D1048,$F$5:$F$1504,"&lt;&gt;İptal")&gt;1,"Çakışıyor",""))</f>
        <v/>
      </c>
    </row>
    <row r="1049" customFormat="false" ht="15" hidden="false" customHeight="false" outlineLevel="0" collapsed="false">
      <c r="A1049" s="12"/>
      <c r="B1049" s="12"/>
      <c r="C1049" s="13"/>
      <c r="D1049" s="14"/>
      <c r="E1049" s="14"/>
      <c r="F1049" s="13"/>
      <c r="G1049" s="15"/>
      <c r="H1049" s="16" t="str">
        <f aca="false">IF(OR(D1049="",E1049="",E1049&lt;D1049),"",E1049-D1049+1)</f>
        <v/>
      </c>
      <c r="I1049" s="17" t="str">
        <f aca="false">IF(OR(H1049="",C1049=""),"",IF(F1049="İptal",0,H1049*IFERROR(INDEX(Ürünler!$B$5:$B$64,MATCH(C1049,Ürünler!$A$5:$A$64,0)),0)-G1049))</f>
        <v/>
      </c>
      <c r="J1049" s="18" t="str">
        <f aca="false">IF(OR(H1049="",C1049="",F1049="İptal"),"",IF(COUNTIFS($C$5:$C$1504,C1049,$D$5:$D$1504,"&lt;="&amp;E1049,$E$5:$E$1504,"&gt;="&amp;D1049,$F$5:$F$1504,"&lt;&gt;İptal")&gt;1,"Çakışıyor",""))</f>
        <v/>
      </c>
    </row>
    <row r="1050" customFormat="false" ht="15" hidden="false" customHeight="false" outlineLevel="0" collapsed="false">
      <c r="A1050" s="12"/>
      <c r="B1050" s="12"/>
      <c r="C1050" s="13"/>
      <c r="D1050" s="14"/>
      <c r="E1050" s="14"/>
      <c r="F1050" s="13"/>
      <c r="G1050" s="15"/>
      <c r="H1050" s="16" t="str">
        <f aca="false">IF(OR(D1050="",E1050="",E1050&lt;D1050),"",E1050-D1050+1)</f>
        <v/>
      </c>
      <c r="I1050" s="17" t="str">
        <f aca="false">IF(OR(H1050="",C1050=""),"",IF(F1050="İptal",0,H1050*IFERROR(INDEX(Ürünler!$B$5:$B$64,MATCH(C1050,Ürünler!$A$5:$A$64,0)),0)-G1050))</f>
        <v/>
      </c>
      <c r="J1050" s="18" t="str">
        <f aca="false">IF(OR(H1050="",C1050="",F1050="İptal"),"",IF(COUNTIFS($C$5:$C$1504,C1050,$D$5:$D$1504,"&lt;="&amp;E1050,$E$5:$E$1504,"&gt;="&amp;D1050,$F$5:$F$1504,"&lt;&gt;İptal")&gt;1,"Çakışıyor",""))</f>
        <v/>
      </c>
    </row>
    <row r="1051" customFormat="false" ht="15" hidden="false" customHeight="false" outlineLevel="0" collapsed="false">
      <c r="A1051" s="12"/>
      <c r="B1051" s="12"/>
      <c r="C1051" s="13"/>
      <c r="D1051" s="14"/>
      <c r="E1051" s="14"/>
      <c r="F1051" s="13"/>
      <c r="G1051" s="15"/>
      <c r="H1051" s="16" t="str">
        <f aca="false">IF(OR(D1051="",E1051="",E1051&lt;D1051),"",E1051-D1051+1)</f>
        <v/>
      </c>
      <c r="I1051" s="17" t="str">
        <f aca="false">IF(OR(H1051="",C1051=""),"",IF(F1051="İptal",0,H1051*IFERROR(INDEX(Ürünler!$B$5:$B$64,MATCH(C1051,Ürünler!$A$5:$A$64,0)),0)-G1051))</f>
        <v/>
      </c>
      <c r="J1051" s="18" t="str">
        <f aca="false">IF(OR(H1051="",C1051="",F1051="İptal"),"",IF(COUNTIFS($C$5:$C$1504,C1051,$D$5:$D$1504,"&lt;="&amp;E1051,$E$5:$E$1504,"&gt;="&amp;D1051,$F$5:$F$1504,"&lt;&gt;İptal")&gt;1,"Çakışıyor",""))</f>
        <v/>
      </c>
    </row>
    <row r="1052" customFormat="false" ht="15" hidden="false" customHeight="false" outlineLevel="0" collapsed="false">
      <c r="A1052" s="12"/>
      <c r="B1052" s="12"/>
      <c r="C1052" s="13"/>
      <c r="D1052" s="14"/>
      <c r="E1052" s="14"/>
      <c r="F1052" s="13"/>
      <c r="G1052" s="15"/>
      <c r="H1052" s="16" t="str">
        <f aca="false">IF(OR(D1052="",E1052="",E1052&lt;D1052),"",E1052-D1052+1)</f>
        <v/>
      </c>
      <c r="I1052" s="17" t="str">
        <f aca="false">IF(OR(H1052="",C1052=""),"",IF(F1052="İptal",0,H1052*IFERROR(INDEX(Ürünler!$B$5:$B$64,MATCH(C1052,Ürünler!$A$5:$A$64,0)),0)-G1052))</f>
        <v/>
      </c>
      <c r="J1052" s="18" t="str">
        <f aca="false">IF(OR(H1052="",C1052="",F1052="İptal"),"",IF(COUNTIFS($C$5:$C$1504,C1052,$D$5:$D$1504,"&lt;="&amp;E1052,$E$5:$E$1504,"&gt;="&amp;D1052,$F$5:$F$1504,"&lt;&gt;İptal")&gt;1,"Çakışıyor",""))</f>
        <v/>
      </c>
    </row>
    <row r="1053" customFormat="false" ht="15" hidden="false" customHeight="false" outlineLevel="0" collapsed="false">
      <c r="A1053" s="12"/>
      <c r="B1053" s="12"/>
      <c r="C1053" s="13"/>
      <c r="D1053" s="14"/>
      <c r="E1053" s="14"/>
      <c r="F1053" s="13"/>
      <c r="G1053" s="15"/>
      <c r="H1053" s="16" t="str">
        <f aca="false">IF(OR(D1053="",E1053="",E1053&lt;D1053),"",E1053-D1053+1)</f>
        <v/>
      </c>
      <c r="I1053" s="17" t="str">
        <f aca="false">IF(OR(H1053="",C1053=""),"",IF(F1053="İptal",0,H1053*IFERROR(INDEX(Ürünler!$B$5:$B$64,MATCH(C1053,Ürünler!$A$5:$A$64,0)),0)-G1053))</f>
        <v/>
      </c>
      <c r="J1053" s="18" t="str">
        <f aca="false">IF(OR(H1053="",C1053="",F1053="İptal"),"",IF(COUNTIFS($C$5:$C$1504,C1053,$D$5:$D$1504,"&lt;="&amp;E1053,$E$5:$E$1504,"&gt;="&amp;D1053,$F$5:$F$1504,"&lt;&gt;İptal")&gt;1,"Çakışıyor",""))</f>
        <v/>
      </c>
    </row>
    <row r="1054" customFormat="false" ht="15" hidden="false" customHeight="false" outlineLevel="0" collapsed="false">
      <c r="A1054" s="12"/>
      <c r="B1054" s="12"/>
      <c r="C1054" s="13"/>
      <c r="D1054" s="14"/>
      <c r="E1054" s="14"/>
      <c r="F1054" s="13"/>
      <c r="G1054" s="15"/>
      <c r="H1054" s="16" t="str">
        <f aca="false">IF(OR(D1054="",E1054="",E1054&lt;D1054),"",E1054-D1054+1)</f>
        <v/>
      </c>
      <c r="I1054" s="17" t="str">
        <f aca="false">IF(OR(H1054="",C1054=""),"",IF(F1054="İptal",0,H1054*IFERROR(INDEX(Ürünler!$B$5:$B$64,MATCH(C1054,Ürünler!$A$5:$A$64,0)),0)-G1054))</f>
        <v/>
      </c>
      <c r="J1054" s="18" t="str">
        <f aca="false">IF(OR(H1054="",C1054="",F1054="İptal"),"",IF(COUNTIFS($C$5:$C$1504,C1054,$D$5:$D$1504,"&lt;="&amp;E1054,$E$5:$E$1504,"&gt;="&amp;D1054,$F$5:$F$1504,"&lt;&gt;İptal")&gt;1,"Çakışıyor",""))</f>
        <v/>
      </c>
    </row>
    <row r="1055" customFormat="false" ht="15" hidden="false" customHeight="false" outlineLevel="0" collapsed="false">
      <c r="A1055" s="12"/>
      <c r="B1055" s="12"/>
      <c r="C1055" s="13"/>
      <c r="D1055" s="14"/>
      <c r="E1055" s="14"/>
      <c r="F1055" s="13"/>
      <c r="G1055" s="15"/>
      <c r="H1055" s="16" t="str">
        <f aca="false">IF(OR(D1055="",E1055="",E1055&lt;D1055),"",E1055-D1055+1)</f>
        <v/>
      </c>
      <c r="I1055" s="17" t="str">
        <f aca="false">IF(OR(H1055="",C1055=""),"",IF(F1055="İptal",0,H1055*IFERROR(INDEX(Ürünler!$B$5:$B$64,MATCH(C1055,Ürünler!$A$5:$A$64,0)),0)-G1055))</f>
        <v/>
      </c>
      <c r="J1055" s="18" t="str">
        <f aca="false">IF(OR(H1055="",C1055="",F1055="İptal"),"",IF(COUNTIFS($C$5:$C$1504,C1055,$D$5:$D$1504,"&lt;="&amp;E1055,$E$5:$E$1504,"&gt;="&amp;D1055,$F$5:$F$1504,"&lt;&gt;İptal")&gt;1,"Çakışıyor",""))</f>
        <v/>
      </c>
    </row>
    <row r="1056" customFormat="false" ht="15" hidden="false" customHeight="false" outlineLevel="0" collapsed="false">
      <c r="A1056" s="12"/>
      <c r="B1056" s="12"/>
      <c r="C1056" s="13"/>
      <c r="D1056" s="14"/>
      <c r="E1056" s="14"/>
      <c r="F1056" s="13"/>
      <c r="G1056" s="15"/>
      <c r="H1056" s="16" t="str">
        <f aca="false">IF(OR(D1056="",E1056="",E1056&lt;D1056),"",E1056-D1056+1)</f>
        <v/>
      </c>
      <c r="I1056" s="17" t="str">
        <f aca="false">IF(OR(H1056="",C1056=""),"",IF(F1056="İptal",0,H1056*IFERROR(INDEX(Ürünler!$B$5:$B$64,MATCH(C1056,Ürünler!$A$5:$A$64,0)),0)-G1056))</f>
        <v/>
      </c>
      <c r="J1056" s="18" t="str">
        <f aca="false">IF(OR(H1056="",C1056="",F1056="İptal"),"",IF(COUNTIFS($C$5:$C$1504,C1056,$D$5:$D$1504,"&lt;="&amp;E1056,$E$5:$E$1504,"&gt;="&amp;D1056,$F$5:$F$1504,"&lt;&gt;İptal")&gt;1,"Çakışıyor",""))</f>
        <v/>
      </c>
    </row>
    <row r="1057" customFormat="false" ht="15" hidden="false" customHeight="false" outlineLevel="0" collapsed="false">
      <c r="A1057" s="12"/>
      <c r="B1057" s="12"/>
      <c r="C1057" s="13"/>
      <c r="D1057" s="14"/>
      <c r="E1057" s="14"/>
      <c r="F1057" s="13"/>
      <c r="G1057" s="15"/>
      <c r="H1057" s="16" t="str">
        <f aca="false">IF(OR(D1057="",E1057="",E1057&lt;D1057),"",E1057-D1057+1)</f>
        <v/>
      </c>
      <c r="I1057" s="17" t="str">
        <f aca="false">IF(OR(H1057="",C1057=""),"",IF(F1057="İptal",0,H1057*IFERROR(INDEX(Ürünler!$B$5:$B$64,MATCH(C1057,Ürünler!$A$5:$A$64,0)),0)-G1057))</f>
        <v/>
      </c>
      <c r="J1057" s="18" t="str">
        <f aca="false">IF(OR(H1057="",C1057="",F1057="İptal"),"",IF(COUNTIFS($C$5:$C$1504,C1057,$D$5:$D$1504,"&lt;="&amp;E1057,$E$5:$E$1504,"&gt;="&amp;D1057,$F$5:$F$1504,"&lt;&gt;İptal")&gt;1,"Çakışıyor",""))</f>
        <v/>
      </c>
    </row>
    <row r="1058" customFormat="false" ht="15" hidden="false" customHeight="false" outlineLevel="0" collapsed="false">
      <c r="A1058" s="12"/>
      <c r="B1058" s="12"/>
      <c r="C1058" s="13"/>
      <c r="D1058" s="14"/>
      <c r="E1058" s="14"/>
      <c r="F1058" s="13"/>
      <c r="G1058" s="15"/>
      <c r="H1058" s="16" t="str">
        <f aca="false">IF(OR(D1058="",E1058="",E1058&lt;D1058),"",E1058-D1058+1)</f>
        <v/>
      </c>
      <c r="I1058" s="17" t="str">
        <f aca="false">IF(OR(H1058="",C1058=""),"",IF(F1058="İptal",0,H1058*IFERROR(INDEX(Ürünler!$B$5:$B$64,MATCH(C1058,Ürünler!$A$5:$A$64,0)),0)-G1058))</f>
        <v/>
      </c>
      <c r="J1058" s="18" t="str">
        <f aca="false">IF(OR(H1058="",C1058="",F1058="İptal"),"",IF(COUNTIFS($C$5:$C$1504,C1058,$D$5:$D$1504,"&lt;="&amp;E1058,$E$5:$E$1504,"&gt;="&amp;D1058,$F$5:$F$1504,"&lt;&gt;İptal")&gt;1,"Çakışıyor",""))</f>
        <v/>
      </c>
    </row>
    <row r="1059" customFormat="false" ht="15" hidden="false" customHeight="false" outlineLevel="0" collapsed="false">
      <c r="A1059" s="12"/>
      <c r="B1059" s="12"/>
      <c r="C1059" s="13"/>
      <c r="D1059" s="14"/>
      <c r="E1059" s="14"/>
      <c r="F1059" s="13"/>
      <c r="G1059" s="15"/>
      <c r="H1059" s="16" t="str">
        <f aca="false">IF(OR(D1059="",E1059="",E1059&lt;D1059),"",E1059-D1059+1)</f>
        <v/>
      </c>
      <c r="I1059" s="17" t="str">
        <f aca="false">IF(OR(H1059="",C1059=""),"",IF(F1059="İptal",0,H1059*IFERROR(INDEX(Ürünler!$B$5:$B$64,MATCH(C1059,Ürünler!$A$5:$A$64,0)),0)-G1059))</f>
        <v/>
      </c>
      <c r="J1059" s="18" t="str">
        <f aca="false">IF(OR(H1059="",C1059="",F1059="İptal"),"",IF(COUNTIFS($C$5:$C$1504,C1059,$D$5:$D$1504,"&lt;="&amp;E1059,$E$5:$E$1504,"&gt;="&amp;D1059,$F$5:$F$1504,"&lt;&gt;İptal")&gt;1,"Çakışıyor",""))</f>
        <v/>
      </c>
    </row>
    <row r="1060" customFormat="false" ht="15" hidden="false" customHeight="false" outlineLevel="0" collapsed="false">
      <c r="A1060" s="12"/>
      <c r="B1060" s="12"/>
      <c r="C1060" s="13"/>
      <c r="D1060" s="14"/>
      <c r="E1060" s="14"/>
      <c r="F1060" s="13"/>
      <c r="G1060" s="15"/>
      <c r="H1060" s="16" t="str">
        <f aca="false">IF(OR(D1060="",E1060="",E1060&lt;D1060),"",E1060-D1060+1)</f>
        <v/>
      </c>
      <c r="I1060" s="17" t="str">
        <f aca="false">IF(OR(H1060="",C1060=""),"",IF(F1060="İptal",0,H1060*IFERROR(INDEX(Ürünler!$B$5:$B$64,MATCH(C1060,Ürünler!$A$5:$A$64,0)),0)-G1060))</f>
        <v/>
      </c>
      <c r="J1060" s="18" t="str">
        <f aca="false">IF(OR(H1060="",C1060="",F1060="İptal"),"",IF(COUNTIFS($C$5:$C$1504,C1060,$D$5:$D$1504,"&lt;="&amp;E1060,$E$5:$E$1504,"&gt;="&amp;D1060,$F$5:$F$1504,"&lt;&gt;İptal")&gt;1,"Çakışıyor",""))</f>
        <v/>
      </c>
    </row>
    <row r="1061" customFormat="false" ht="15" hidden="false" customHeight="false" outlineLevel="0" collapsed="false">
      <c r="A1061" s="12"/>
      <c r="B1061" s="12"/>
      <c r="C1061" s="13"/>
      <c r="D1061" s="14"/>
      <c r="E1061" s="14"/>
      <c r="F1061" s="13"/>
      <c r="G1061" s="15"/>
      <c r="H1061" s="16" t="str">
        <f aca="false">IF(OR(D1061="",E1061="",E1061&lt;D1061),"",E1061-D1061+1)</f>
        <v/>
      </c>
      <c r="I1061" s="17" t="str">
        <f aca="false">IF(OR(H1061="",C1061=""),"",IF(F1061="İptal",0,H1061*IFERROR(INDEX(Ürünler!$B$5:$B$64,MATCH(C1061,Ürünler!$A$5:$A$64,0)),0)-G1061))</f>
        <v/>
      </c>
      <c r="J1061" s="18" t="str">
        <f aca="false">IF(OR(H1061="",C1061="",F1061="İptal"),"",IF(COUNTIFS($C$5:$C$1504,C1061,$D$5:$D$1504,"&lt;="&amp;E1061,$E$5:$E$1504,"&gt;="&amp;D1061,$F$5:$F$1504,"&lt;&gt;İptal")&gt;1,"Çakışıyor",""))</f>
        <v/>
      </c>
    </row>
    <row r="1062" customFormat="false" ht="15" hidden="false" customHeight="false" outlineLevel="0" collapsed="false">
      <c r="A1062" s="12"/>
      <c r="B1062" s="12"/>
      <c r="C1062" s="13"/>
      <c r="D1062" s="14"/>
      <c r="E1062" s="14"/>
      <c r="F1062" s="13"/>
      <c r="G1062" s="15"/>
      <c r="H1062" s="16" t="str">
        <f aca="false">IF(OR(D1062="",E1062="",E1062&lt;D1062),"",E1062-D1062+1)</f>
        <v/>
      </c>
      <c r="I1062" s="17" t="str">
        <f aca="false">IF(OR(H1062="",C1062=""),"",IF(F1062="İptal",0,H1062*IFERROR(INDEX(Ürünler!$B$5:$B$64,MATCH(C1062,Ürünler!$A$5:$A$64,0)),0)-G1062))</f>
        <v/>
      </c>
      <c r="J1062" s="18" t="str">
        <f aca="false">IF(OR(H1062="",C1062="",F1062="İptal"),"",IF(COUNTIFS($C$5:$C$1504,C1062,$D$5:$D$1504,"&lt;="&amp;E1062,$E$5:$E$1504,"&gt;="&amp;D1062,$F$5:$F$1504,"&lt;&gt;İptal")&gt;1,"Çakışıyor",""))</f>
        <v/>
      </c>
    </row>
    <row r="1063" customFormat="false" ht="15" hidden="false" customHeight="false" outlineLevel="0" collapsed="false">
      <c r="A1063" s="12"/>
      <c r="B1063" s="12"/>
      <c r="C1063" s="13"/>
      <c r="D1063" s="14"/>
      <c r="E1063" s="14"/>
      <c r="F1063" s="13"/>
      <c r="G1063" s="15"/>
      <c r="H1063" s="16" t="str">
        <f aca="false">IF(OR(D1063="",E1063="",E1063&lt;D1063),"",E1063-D1063+1)</f>
        <v/>
      </c>
      <c r="I1063" s="17" t="str">
        <f aca="false">IF(OR(H1063="",C1063=""),"",IF(F1063="İptal",0,H1063*IFERROR(INDEX(Ürünler!$B$5:$B$64,MATCH(C1063,Ürünler!$A$5:$A$64,0)),0)-G1063))</f>
        <v/>
      </c>
      <c r="J1063" s="18" t="str">
        <f aca="false">IF(OR(H1063="",C1063="",F1063="İptal"),"",IF(COUNTIFS($C$5:$C$1504,C1063,$D$5:$D$1504,"&lt;="&amp;E1063,$E$5:$E$1504,"&gt;="&amp;D1063,$F$5:$F$1504,"&lt;&gt;İptal")&gt;1,"Çakışıyor",""))</f>
        <v/>
      </c>
    </row>
    <row r="1064" customFormat="false" ht="15" hidden="false" customHeight="false" outlineLevel="0" collapsed="false">
      <c r="A1064" s="12"/>
      <c r="B1064" s="12"/>
      <c r="C1064" s="13"/>
      <c r="D1064" s="14"/>
      <c r="E1064" s="14"/>
      <c r="F1064" s="13"/>
      <c r="G1064" s="15"/>
      <c r="H1064" s="16" t="str">
        <f aca="false">IF(OR(D1064="",E1064="",E1064&lt;D1064),"",E1064-D1064+1)</f>
        <v/>
      </c>
      <c r="I1064" s="17" t="str">
        <f aca="false">IF(OR(H1064="",C1064=""),"",IF(F1064="İptal",0,H1064*IFERROR(INDEX(Ürünler!$B$5:$B$64,MATCH(C1064,Ürünler!$A$5:$A$64,0)),0)-G1064))</f>
        <v/>
      </c>
      <c r="J1064" s="18" t="str">
        <f aca="false">IF(OR(H1064="",C1064="",F1064="İptal"),"",IF(COUNTIFS($C$5:$C$1504,C1064,$D$5:$D$1504,"&lt;="&amp;E1064,$E$5:$E$1504,"&gt;="&amp;D1064,$F$5:$F$1504,"&lt;&gt;İptal")&gt;1,"Çakışıyor",""))</f>
        <v/>
      </c>
    </row>
    <row r="1065" customFormat="false" ht="15" hidden="false" customHeight="false" outlineLevel="0" collapsed="false">
      <c r="A1065" s="12"/>
      <c r="B1065" s="12"/>
      <c r="C1065" s="13"/>
      <c r="D1065" s="14"/>
      <c r="E1065" s="14"/>
      <c r="F1065" s="13"/>
      <c r="G1065" s="15"/>
      <c r="H1065" s="16" t="str">
        <f aca="false">IF(OR(D1065="",E1065="",E1065&lt;D1065),"",E1065-D1065+1)</f>
        <v/>
      </c>
      <c r="I1065" s="17" t="str">
        <f aca="false">IF(OR(H1065="",C1065=""),"",IF(F1065="İptal",0,H1065*IFERROR(INDEX(Ürünler!$B$5:$B$64,MATCH(C1065,Ürünler!$A$5:$A$64,0)),0)-G1065))</f>
        <v/>
      </c>
      <c r="J1065" s="18" t="str">
        <f aca="false">IF(OR(H1065="",C1065="",F1065="İptal"),"",IF(COUNTIFS($C$5:$C$1504,C1065,$D$5:$D$1504,"&lt;="&amp;E1065,$E$5:$E$1504,"&gt;="&amp;D1065,$F$5:$F$1504,"&lt;&gt;İptal")&gt;1,"Çakışıyor",""))</f>
        <v/>
      </c>
    </row>
    <row r="1066" customFormat="false" ht="15" hidden="false" customHeight="false" outlineLevel="0" collapsed="false">
      <c r="A1066" s="12"/>
      <c r="B1066" s="12"/>
      <c r="C1066" s="13"/>
      <c r="D1066" s="14"/>
      <c r="E1066" s="14"/>
      <c r="F1066" s="13"/>
      <c r="G1066" s="15"/>
      <c r="H1066" s="16" t="str">
        <f aca="false">IF(OR(D1066="",E1066="",E1066&lt;D1066),"",E1066-D1066+1)</f>
        <v/>
      </c>
      <c r="I1066" s="17" t="str">
        <f aca="false">IF(OR(H1066="",C1066=""),"",IF(F1066="İptal",0,H1066*IFERROR(INDEX(Ürünler!$B$5:$B$64,MATCH(C1066,Ürünler!$A$5:$A$64,0)),0)-G1066))</f>
        <v/>
      </c>
      <c r="J1066" s="18" t="str">
        <f aca="false">IF(OR(H1066="",C1066="",F1066="İptal"),"",IF(COUNTIFS($C$5:$C$1504,C1066,$D$5:$D$1504,"&lt;="&amp;E1066,$E$5:$E$1504,"&gt;="&amp;D1066,$F$5:$F$1504,"&lt;&gt;İptal")&gt;1,"Çakışıyor",""))</f>
        <v/>
      </c>
    </row>
    <row r="1067" customFormat="false" ht="15" hidden="false" customHeight="false" outlineLevel="0" collapsed="false">
      <c r="A1067" s="12"/>
      <c r="B1067" s="12"/>
      <c r="C1067" s="13"/>
      <c r="D1067" s="14"/>
      <c r="E1067" s="14"/>
      <c r="F1067" s="13"/>
      <c r="G1067" s="15"/>
      <c r="H1067" s="16" t="str">
        <f aca="false">IF(OR(D1067="",E1067="",E1067&lt;D1067),"",E1067-D1067+1)</f>
        <v/>
      </c>
      <c r="I1067" s="17" t="str">
        <f aca="false">IF(OR(H1067="",C1067=""),"",IF(F1067="İptal",0,H1067*IFERROR(INDEX(Ürünler!$B$5:$B$64,MATCH(C1067,Ürünler!$A$5:$A$64,0)),0)-G1067))</f>
        <v/>
      </c>
      <c r="J1067" s="18" t="str">
        <f aca="false">IF(OR(H1067="",C1067="",F1067="İptal"),"",IF(COUNTIFS($C$5:$C$1504,C1067,$D$5:$D$1504,"&lt;="&amp;E1067,$E$5:$E$1504,"&gt;="&amp;D1067,$F$5:$F$1504,"&lt;&gt;İptal")&gt;1,"Çakışıyor",""))</f>
        <v/>
      </c>
    </row>
    <row r="1068" customFormat="false" ht="15" hidden="false" customHeight="false" outlineLevel="0" collapsed="false">
      <c r="A1068" s="12"/>
      <c r="B1068" s="12"/>
      <c r="C1068" s="13"/>
      <c r="D1068" s="14"/>
      <c r="E1068" s="14"/>
      <c r="F1068" s="13"/>
      <c r="G1068" s="15"/>
      <c r="H1068" s="16" t="str">
        <f aca="false">IF(OR(D1068="",E1068="",E1068&lt;D1068),"",E1068-D1068+1)</f>
        <v/>
      </c>
      <c r="I1068" s="17" t="str">
        <f aca="false">IF(OR(H1068="",C1068=""),"",IF(F1068="İptal",0,H1068*IFERROR(INDEX(Ürünler!$B$5:$B$64,MATCH(C1068,Ürünler!$A$5:$A$64,0)),0)-G1068))</f>
        <v/>
      </c>
      <c r="J1068" s="18" t="str">
        <f aca="false">IF(OR(H1068="",C1068="",F1068="İptal"),"",IF(COUNTIFS($C$5:$C$1504,C1068,$D$5:$D$1504,"&lt;="&amp;E1068,$E$5:$E$1504,"&gt;="&amp;D1068,$F$5:$F$1504,"&lt;&gt;İptal")&gt;1,"Çakışıyor",""))</f>
        <v/>
      </c>
    </row>
    <row r="1069" customFormat="false" ht="15" hidden="false" customHeight="false" outlineLevel="0" collapsed="false">
      <c r="A1069" s="12"/>
      <c r="B1069" s="12"/>
      <c r="C1069" s="13"/>
      <c r="D1069" s="14"/>
      <c r="E1069" s="14"/>
      <c r="F1069" s="13"/>
      <c r="G1069" s="15"/>
      <c r="H1069" s="16" t="str">
        <f aca="false">IF(OR(D1069="",E1069="",E1069&lt;D1069),"",E1069-D1069+1)</f>
        <v/>
      </c>
      <c r="I1069" s="17" t="str">
        <f aca="false">IF(OR(H1069="",C1069=""),"",IF(F1069="İptal",0,H1069*IFERROR(INDEX(Ürünler!$B$5:$B$64,MATCH(C1069,Ürünler!$A$5:$A$64,0)),0)-G1069))</f>
        <v/>
      </c>
      <c r="J1069" s="18" t="str">
        <f aca="false">IF(OR(H1069="",C1069="",F1069="İptal"),"",IF(COUNTIFS($C$5:$C$1504,C1069,$D$5:$D$1504,"&lt;="&amp;E1069,$E$5:$E$1504,"&gt;="&amp;D1069,$F$5:$F$1504,"&lt;&gt;İptal")&gt;1,"Çakışıyor",""))</f>
        <v/>
      </c>
    </row>
    <row r="1070" customFormat="false" ht="15" hidden="false" customHeight="false" outlineLevel="0" collapsed="false">
      <c r="A1070" s="12"/>
      <c r="B1070" s="12"/>
      <c r="C1070" s="13"/>
      <c r="D1070" s="14"/>
      <c r="E1070" s="14"/>
      <c r="F1070" s="13"/>
      <c r="G1070" s="15"/>
      <c r="H1070" s="16" t="str">
        <f aca="false">IF(OR(D1070="",E1070="",E1070&lt;D1070),"",E1070-D1070+1)</f>
        <v/>
      </c>
      <c r="I1070" s="17" t="str">
        <f aca="false">IF(OR(H1070="",C1070=""),"",IF(F1070="İptal",0,H1070*IFERROR(INDEX(Ürünler!$B$5:$B$64,MATCH(C1070,Ürünler!$A$5:$A$64,0)),0)-G1070))</f>
        <v/>
      </c>
      <c r="J1070" s="18" t="str">
        <f aca="false">IF(OR(H1070="",C1070="",F1070="İptal"),"",IF(COUNTIFS($C$5:$C$1504,C1070,$D$5:$D$1504,"&lt;="&amp;E1070,$E$5:$E$1504,"&gt;="&amp;D1070,$F$5:$F$1504,"&lt;&gt;İptal")&gt;1,"Çakışıyor",""))</f>
        <v/>
      </c>
    </row>
    <row r="1071" customFormat="false" ht="15" hidden="false" customHeight="false" outlineLevel="0" collapsed="false">
      <c r="A1071" s="12"/>
      <c r="B1071" s="12"/>
      <c r="C1071" s="13"/>
      <c r="D1071" s="14"/>
      <c r="E1071" s="14"/>
      <c r="F1071" s="13"/>
      <c r="G1071" s="15"/>
      <c r="H1071" s="16" t="str">
        <f aca="false">IF(OR(D1071="",E1071="",E1071&lt;D1071),"",E1071-D1071+1)</f>
        <v/>
      </c>
      <c r="I1071" s="17" t="str">
        <f aca="false">IF(OR(H1071="",C1071=""),"",IF(F1071="İptal",0,H1071*IFERROR(INDEX(Ürünler!$B$5:$B$64,MATCH(C1071,Ürünler!$A$5:$A$64,0)),0)-G1071))</f>
        <v/>
      </c>
      <c r="J1071" s="18" t="str">
        <f aca="false">IF(OR(H1071="",C1071="",F1071="İptal"),"",IF(COUNTIFS($C$5:$C$1504,C1071,$D$5:$D$1504,"&lt;="&amp;E1071,$E$5:$E$1504,"&gt;="&amp;D1071,$F$5:$F$1504,"&lt;&gt;İptal")&gt;1,"Çakışıyor",""))</f>
        <v/>
      </c>
    </row>
    <row r="1072" customFormat="false" ht="15" hidden="false" customHeight="false" outlineLevel="0" collapsed="false">
      <c r="A1072" s="12"/>
      <c r="B1072" s="12"/>
      <c r="C1072" s="13"/>
      <c r="D1072" s="14"/>
      <c r="E1072" s="14"/>
      <c r="F1072" s="13"/>
      <c r="G1072" s="15"/>
      <c r="H1072" s="16" t="str">
        <f aca="false">IF(OR(D1072="",E1072="",E1072&lt;D1072),"",E1072-D1072+1)</f>
        <v/>
      </c>
      <c r="I1072" s="17" t="str">
        <f aca="false">IF(OR(H1072="",C1072=""),"",IF(F1072="İptal",0,H1072*IFERROR(INDEX(Ürünler!$B$5:$B$64,MATCH(C1072,Ürünler!$A$5:$A$64,0)),0)-G1072))</f>
        <v/>
      </c>
      <c r="J1072" s="18" t="str">
        <f aca="false">IF(OR(H1072="",C1072="",F1072="İptal"),"",IF(COUNTIFS($C$5:$C$1504,C1072,$D$5:$D$1504,"&lt;="&amp;E1072,$E$5:$E$1504,"&gt;="&amp;D1072,$F$5:$F$1504,"&lt;&gt;İptal")&gt;1,"Çakışıyor",""))</f>
        <v/>
      </c>
    </row>
    <row r="1073" customFormat="false" ht="15" hidden="false" customHeight="false" outlineLevel="0" collapsed="false">
      <c r="A1073" s="12"/>
      <c r="B1073" s="12"/>
      <c r="C1073" s="13"/>
      <c r="D1073" s="14"/>
      <c r="E1073" s="14"/>
      <c r="F1073" s="13"/>
      <c r="G1073" s="15"/>
      <c r="H1073" s="16" t="str">
        <f aca="false">IF(OR(D1073="",E1073="",E1073&lt;D1073),"",E1073-D1073+1)</f>
        <v/>
      </c>
      <c r="I1073" s="17" t="str">
        <f aca="false">IF(OR(H1073="",C1073=""),"",IF(F1073="İptal",0,H1073*IFERROR(INDEX(Ürünler!$B$5:$B$64,MATCH(C1073,Ürünler!$A$5:$A$64,0)),0)-G1073))</f>
        <v/>
      </c>
      <c r="J1073" s="18" t="str">
        <f aca="false">IF(OR(H1073="",C1073="",F1073="İptal"),"",IF(COUNTIFS($C$5:$C$1504,C1073,$D$5:$D$1504,"&lt;="&amp;E1073,$E$5:$E$1504,"&gt;="&amp;D1073,$F$5:$F$1504,"&lt;&gt;İptal")&gt;1,"Çakışıyor",""))</f>
        <v/>
      </c>
    </row>
    <row r="1074" customFormat="false" ht="15" hidden="false" customHeight="false" outlineLevel="0" collapsed="false">
      <c r="A1074" s="12"/>
      <c r="B1074" s="12"/>
      <c r="C1074" s="13"/>
      <c r="D1074" s="14"/>
      <c r="E1074" s="14"/>
      <c r="F1074" s="13"/>
      <c r="G1074" s="15"/>
      <c r="H1074" s="16" t="str">
        <f aca="false">IF(OR(D1074="",E1074="",E1074&lt;D1074),"",E1074-D1074+1)</f>
        <v/>
      </c>
      <c r="I1074" s="17" t="str">
        <f aca="false">IF(OR(H1074="",C1074=""),"",IF(F1074="İptal",0,H1074*IFERROR(INDEX(Ürünler!$B$5:$B$64,MATCH(C1074,Ürünler!$A$5:$A$64,0)),0)-G1074))</f>
        <v/>
      </c>
      <c r="J1074" s="18" t="str">
        <f aca="false">IF(OR(H1074="",C1074="",F1074="İptal"),"",IF(COUNTIFS($C$5:$C$1504,C1074,$D$5:$D$1504,"&lt;="&amp;E1074,$E$5:$E$1504,"&gt;="&amp;D1074,$F$5:$F$1504,"&lt;&gt;İptal")&gt;1,"Çakışıyor",""))</f>
        <v/>
      </c>
    </row>
    <row r="1075" customFormat="false" ht="15" hidden="false" customHeight="false" outlineLevel="0" collapsed="false">
      <c r="A1075" s="12"/>
      <c r="B1075" s="12"/>
      <c r="C1075" s="13"/>
      <c r="D1075" s="14"/>
      <c r="E1075" s="14"/>
      <c r="F1075" s="13"/>
      <c r="G1075" s="15"/>
      <c r="H1075" s="16" t="str">
        <f aca="false">IF(OR(D1075="",E1075="",E1075&lt;D1075),"",E1075-D1075+1)</f>
        <v/>
      </c>
      <c r="I1075" s="17" t="str">
        <f aca="false">IF(OR(H1075="",C1075=""),"",IF(F1075="İptal",0,H1075*IFERROR(INDEX(Ürünler!$B$5:$B$64,MATCH(C1075,Ürünler!$A$5:$A$64,0)),0)-G1075))</f>
        <v/>
      </c>
      <c r="J1075" s="18" t="str">
        <f aca="false">IF(OR(H1075="",C1075="",F1075="İptal"),"",IF(COUNTIFS($C$5:$C$1504,C1075,$D$5:$D$1504,"&lt;="&amp;E1075,$E$5:$E$1504,"&gt;="&amp;D1075,$F$5:$F$1504,"&lt;&gt;İptal")&gt;1,"Çakışıyor",""))</f>
        <v/>
      </c>
    </row>
    <row r="1076" customFormat="false" ht="15" hidden="false" customHeight="false" outlineLevel="0" collapsed="false">
      <c r="A1076" s="12"/>
      <c r="B1076" s="12"/>
      <c r="C1076" s="13"/>
      <c r="D1076" s="14"/>
      <c r="E1076" s="14"/>
      <c r="F1076" s="13"/>
      <c r="G1076" s="15"/>
      <c r="H1076" s="16" t="str">
        <f aca="false">IF(OR(D1076="",E1076="",E1076&lt;D1076),"",E1076-D1076+1)</f>
        <v/>
      </c>
      <c r="I1076" s="17" t="str">
        <f aca="false">IF(OR(H1076="",C1076=""),"",IF(F1076="İptal",0,H1076*IFERROR(INDEX(Ürünler!$B$5:$B$64,MATCH(C1076,Ürünler!$A$5:$A$64,0)),0)-G1076))</f>
        <v/>
      </c>
      <c r="J1076" s="18" t="str">
        <f aca="false">IF(OR(H1076="",C1076="",F1076="İptal"),"",IF(COUNTIFS($C$5:$C$1504,C1076,$D$5:$D$1504,"&lt;="&amp;E1076,$E$5:$E$1504,"&gt;="&amp;D1076,$F$5:$F$1504,"&lt;&gt;İptal")&gt;1,"Çakışıyor",""))</f>
        <v/>
      </c>
    </row>
    <row r="1077" customFormat="false" ht="15" hidden="false" customHeight="false" outlineLevel="0" collapsed="false">
      <c r="A1077" s="12"/>
      <c r="B1077" s="12"/>
      <c r="C1077" s="13"/>
      <c r="D1077" s="14"/>
      <c r="E1077" s="14"/>
      <c r="F1077" s="13"/>
      <c r="G1077" s="15"/>
      <c r="H1077" s="16" t="str">
        <f aca="false">IF(OR(D1077="",E1077="",E1077&lt;D1077),"",E1077-D1077+1)</f>
        <v/>
      </c>
      <c r="I1077" s="17" t="str">
        <f aca="false">IF(OR(H1077="",C1077=""),"",IF(F1077="İptal",0,H1077*IFERROR(INDEX(Ürünler!$B$5:$B$64,MATCH(C1077,Ürünler!$A$5:$A$64,0)),0)-G1077))</f>
        <v/>
      </c>
      <c r="J1077" s="18" t="str">
        <f aca="false">IF(OR(H1077="",C1077="",F1077="İptal"),"",IF(COUNTIFS($C$5:$C$1504,C1077,$D$5:$D$1504,"&lt;="&amp;E1077,$E$5:$E$1504,"&gt;="&amp;D1077,$F$5:$F$1504,"&lt;&gt;İptal")&gt;1,"Çakışıyor",""))</f>
        <v/>
      </c>
    </row>
    <row r="1078" customFormat="false" ht="15" hidden="false" customHeight="false" outlineLevel="0" collapsed="false">
      <c r="A1078" s="12"/>
      <c r="B1078" s="12"/>
      <c r="C1078" s="13"/>
      <c r="D1078" s="14"/>
      <c r="E1078" s="14"/>
      <c r="F1078" s="13"/>
      <c r="G1078" s="15"/>
      <c r="H1078" s="16" t="str">
        <f aca="false">IF(OR(D1078="",E1078="",E1078&lt;D1078),"",E1078-D1078+1)</f>
        <v/>
      </c>
      <c r="I1078" s="17" t="str">
        <f aca="false">IF(OR(H1078="",C1078=""),"",IF(F1078="İptal",0,H1078*IFERROR(INDEX(Ürünler!$B$5:$B$64,MATCH(C1078,Ürünler!$A$5:$A$64,0)),0)-G1078))</f>
        <v/>
      </c>
      <c r="J1078" s="18" t="str">
        <f aca="false">IF(OR(H1078="",C1078="",F1078="İptal"),"",IF(COUNTIFS($C$5:$C$1504,C1078,$D$5:$D$1504,"&lt;="&amp;E1078,$E$5:$E$1504,"&gt;="&amp;D1078,$F$5:$F$1504,"&lt;&gt;İptal")&gt;1,"Çakışıyor",""))</f>
        <v/>
      </c>
    </row>
    <row r="1079" customFormat="false" ht="15" hidden="false" customHeight="false" outlineLevel="0" collapsed="false">
      <c r="A1079" s="12"/>
      <c r="B1079" s="12"/>
      <c r="C1079" s="13"/>
      <c r="D1079" s="14"/>
      <c r="E1079" s="14"/>
      <c r="F1079" s="13"/>
      <c r="G1079" s="15"/>
      <c r="H1079" s="16" t="str">
        <f aca="false">IF(OR(D1079="",E1079="",E1079&lt;D1079),"",E1079-D1079+1)</f>
        <v/>
      </c>
      <c r="I1079" s="17" t="str">
        <f aca="false">IF(OR(H1079="",C1079=""),"",IF(F1079="İptal",0,H1079*IFERROR(INDEX(Ürünler!$B$5:$B$64,MATCH(C1079,Ürünler!$A$5:$A$64,0)),0)-G1079))</f>
        <v/>
      </c>
      <c r="J1079" s="18" t="str">
        <f aca="false">IF(OR(H1079="",C1079="",F1079="İptal"),"",IF(COUNTIFS($C$5:$C$1504,C1079,$D$5:$D$1504,"&lt;="&amp;E1079,$E$5:$E$1504,"&gt;="&amp;D1079,$F$5:$F$1504,"&lt;&gt;İptal")&gt;1,"Çakışıyor",""))</f>
        <v/>
      </c>
    </row>
    <row r="1080" customFormat="false" ht="15" hidden="false" customHeight="false" outlineLevel="0" collapsed="false">
      <c r="A1080" s="12"/>
      <c r="B1080" s="12"/>
      <c r="C1080" s="13"/>
      <c r="D1080" s="14"/>
      <c r="E1080" s="14"/>
      <c r="F1080" s="13"/>
      <c r="G1080" s="15"/>
      <c r="H1080" s="16" t="str">
        <f aca="false">IF(OR(D1080="",E1080="",E1080&lt;D1080),"",E1080-D1080+1)</f>
        <v/>
      </c>
      <c r="I1080" s="17" t="str">
        <f aca="false">IF(OR(H1080="",C1080=""),"",IF(F1080="İptal",0,H1080*IFERROR(INDEX(Ürünler!$B$5:$B$64,MATCH(C1080,Ürünler!$A$5:$A$64,0)),0)-G1080))</f>
        <v/>
      </c>
      <c r="J1080" s="18" t="str">
        <f aca="false">IF(OR(H1080="",C1080="",F1080="İptal"),"",IF(COUNTIFS($C$5:$C$1504,C1080,$D$5:$D$1504,"&lt;="&amp;E1080,$E$5:$E$1504,"&gt;="&amp;D1080,$F$5:$F$1504,"&lt;&gt;İptal")&gt;1,"Çakışıyor",""))</f>
        <v/>
      </c>
    </row>
    <row r="1081" customFormat="false" ht="15" hidden="false" customHeight="false" outlineLevel="0" collapsed="false">
      <c r="A1081" s="12"/>
      <c r="B1081" s="12"/>
      <c r="C1081" s="13"/>
      <c r="D1081" s="14"/>
      <c r="E1081" s="14"/>
      <c r="F1081" s="13"/>
      <c r="G1081" s="15"/>
      <c r="H1081" s="16" t="str">
        <f aca="false">IF(OR(D1081="",E1081="",E1081&lt;D1081),"",E1081-D1081+1)</f>
        <v/>
      </c>
      <c r="I1081" s="17" t="str">
        <f aca="false">IF(OR(H1081="",C1081=""),"",IF(F1081="İptal",0,H1081*IFERROR(INDEX(Ürünler!$B$5:$B$64,MATCH(C1081,Ürünler!$A$5:$A$64,0)),0)-G1081))</f>
        <v/>
      </c>
      <c r="J1081" s="18" t="str">
        <f aca="false">IF(OR(H1081="",C1081="",F1081="İptal"),"",IF(COUNTIFS($C$5:$C$1504,C1081,$D$5:$D$1504,"&lt;="&amp;E1081,$E$5:$E$1504,"&gt;="&amp;D1081,$F$5:$F$1504,"&lt;&gt;İptal")&gt;1,"Çakışıyor",""))</f>
        <v/>
      </c>
    </row>
    <row r="1082" customFormat="false" ht="15" hidden="false" customHeight="false" outlineLevel="0" collapsed="false">
      <c r="A1082" s="12"/>
      <c r="B1082" s="12"/>
      <c r="C1082" s="13"/>
      <c r="D1082" s="14"/>
      <c r="E1082" s="14"/>
      <c r="F1082" s="13"/>
      <c r="G1082" s="15"/>
      <c r="H1082" s="16" t="str">
        <f aca="false">IF(OR(D1082="",E1082="",E1082&lt;D1082),"",E1082-D1082+1)</f>
        <v/>
      </c>
      <c r="I1082" s="17" t="str">
        <f aca="false">IF(OR(H1082="",C1082=""),"",IF(F1082="İptal",0,H1082*IFERROR(INDEX(Ürünler!$B$5:$B$64,MATCH(C1082,Ürünler!$A$5:$A$64,0)),0)-G1082))</f>
        <v/>
      </c>
      <c r="J1082" s="18" t="str">
        <f aca="false">IF(OR(H1082="",C1082="",F1082="İptal"),"",IF(COUNTIFS($C$5:$C$1504,C1082,$D$5:$D$1504,"&lt;="&amp;E1082,$E$5:$E$1504,"&gt;="&amp;D1082,$F$5:$F$1504,"&lt;&gt;İptal")&gt;1,"Çakışıyor",""))</f>
        <v/>
      </c>
    </row>
    <row r="1083" customFormat="false" ht="15" hidden="false" customHeight="false" outlineLevel="0" collapsed="false">
      <c r="A1083" s="12"/>
      <c r="B1083" s="12"/>
      <c r="C1083" s="13"/>
      <c r="D1083" s="14"/>
      <c r="E1083" s="14"/>
      <c r="F1083" s="13"/>
      <c r="G1083" s="15"/>
      <c r="H1083" s="16" t="str">
        <f aca="false">IF(OR(D1083="",E1083="",E1083&lt;D1083),"",E1083-D1083+1)</f>
        <v/>
      </c>
      <c r="I1083" s="17" t="str">
        <f aca="false">IF(OR(H1083="",C1083=""),"",IF(F1083="İptal",0,H1083*IFERROR(INDEX(Ürünler!$B$5:$B$64,MATCH(C1083,Ürünler!$A$5:$A$64,0)),0)-G1083))</f>
        <v/>
      </c>
      <c r="J1083" s="18" t="str">
        <f aca="false">IF(OR(H1083="",C1083="",F1083="İptal"),"",IF(COUNTIFS($C$5:$C$1504,C1083,$D$5:$D$1504,"&lt;="&amp;E1083,$E$5:$E$1504,"&gt;="&amp;D1083,$F$5:$F$1504,"&lt;&gt;İptal")&gt;1,"Çakışıyor",""))</f>
        <v/>
      </c>
    </row>
    <row r="1084" customFormat="false" ht="15" hidden="false" customHeight="false" outlineLevel="0" collapsed="false">
      <c r="A1084" s="12"/>
      <c r="B1084" s="12"/>
      <c r="C1084" s="13"/>
      <c r="D1084" s="14"/>
      <c r="E1084" s="14"/>
      <c r="F1084" s="13"/>
      <c r="G1084" s="15"/>
      <c r="H1084" s="16" t="str">
        <f aca="false">IF(OR(D1084="",E1084="",E1084&lt;D1084),"",E1084-D1084+1)</f>
        <v/>
      </c>
      <c r="I1084" s="17" t="str">
        <f aca="false">IF(OR(H1084="",C1084=""),"",IF(F1084="İptal",0,H1084*IFERROR(INDEX(Ürünler!$B$5:$B$64,MATCH(C1084,Ürünler!$A$5:$A$64,0)),0)-G1084))</f>
        <v/>
      </c>
      <c r="J1084" s="18" t="str">
        <f aca="false">IF(OR(H1084="",C1084="",F1084="İptal"),"",IF(COUNTIFS($C$5:$C$1504,C1084,$D$5:$D$1504,"&lt;="&amp;E1084,$E$5:$E$1504,"&gt;="&amp;D1084,$F$5:$F$1504,"&lt;&gt;İptal")&gt;1,"Çakışıyor",""))</f>
        <v/>
      </c>
    </row>
    <row r="1085" customFormat="false" ht="15" hidden="false" customHeight="false" outlineLevel="0" collapsed="false">
      <c r="A1085" s="12"/>
      <c r="B1085" s="12"/>
      <c r="C1085" s="13"/>
      <c r="D1085" s="14"/>
      <c r="E1085" s="14"/>
      <c r="F1085" s="13"/>
      <c r="G1085" s="15"/>
      <c r="H1085" s="16" t="str">
        <f aca="false">IF(OR(D1085="",E1085="",E1085&lt;D1085),"",E1085-D1085+1)</f>
        <v/>
      </c>
      <c r="I1085" s="17" t="str">
        <f aca="false">IF(OR(H1085="",C1085=""),"",IF(F1085="İptal",0,H1085*IFERROR(INDEX(Ürünler!$B$5:$B$64,MATCH(C1085,Ürünler!$A$5:$A$64,0)),0)-G1085))</f>
        <v/>
      </c>
      <c r="J1085" s="18" t="str">
        <f aca="false">IF(OR(H1085="",C1085="",F1085="İptal"),"",IF(COUNTIFS($C$5:$C$1504,C1085,$D$5:$D$1504,"&lt;="&amp;E1085,$E$5:$E$1504,"&gt;="&amp;D1085,$F$5:$F$1504,"&lt;&gt;İptal")&gt;1,"Çakışıyor",""))</f>
        <v/>
      </c>
    </row>
    <row r="1086" customFormat="false" ht="15" hidden="false" customHeight="false" outlineLevel="0" collapsed="false">
      <c r="A1086" s="12"/>
      <c r="B1086" s="12"/>
      <c r="C1086" s="13"/>
      <c r="D1086" s="14"/>
      <c r="E1086" s="14"/>
      <c r="F1086" s="13"/>
      <c r="G1086" s="15"/>
      <c r="H1086" s="16" t="str">
        <f aca="false">IF(OR(D1086="",E1086="",E1086&lt;D1086),"",E1086-D1086+1)</f>
        <v/>
      </c>
      <c r="I1086" s="17" t="str">
        <f aca="false">IF(OR(H1086="",C1086=""),"",IF(F1086="İptal",0,H1086*IFERROR(INDEX(Ürünler!$B$5:$B$64,MATCH(C1086,Ürünler!$A$5:$A$64,0)),0)-G1086))</f>
        <v/>
      </c>
      <c r="J1086" s="18" t="str">
        <f aca="false">IF(OR(H1086="",C1086="",F1086="İptal"),"",IF(COUNTIFS($C$5:$C$1504,C1086,$D$5:$D$1504,"&lt;="&amp;E1086,$E$5:$E$1504,"&gt;="&amp;D1086,$F$5:$F$1504,"&lt;&gt;İptal")&gt;1,"Çakışıyor",""))</f>
        <v/>
      </c>
    </row>
    <row r="1087" customFormat="false" ht="15" hidden="false" customHeight="false" outlineLevel="0" collapsed="false">
      <c r="A1087" s="12"/>
      <c r="B1087" s="12"/>
      <c r="C1087" s="13"/>
      <c r="D1087" s="14"/>
      <c r="E1087" s="14"/>
      <c r="F1087" s="13"/>
      <c r="G1087" s="15"/>
      <c r="H1087" s="16" t="str">
        <f aca="false">IF(OR(D1087="",E1087="",E1087&lt;D1087),"",E1087-D1087+1)</f>
        <v/>
      </c>
      <c r="I1087" s="17" t="str">
        <f aca="false">IF(OR(H1087="",C1087=""),"",IF(F1087="İptal",0,H1087*IFERROR(INDEX(Ürünler!$B$5:$B$64,MATCH(C1087,Ürünler!$A$5:$A$64,0)),0)-G1087))</f>
        <v/>
      </c>
      <c r="J1087" s="18" t="str">
        <f aca="false">IF(OR(H1087="",C1087="",F1087="İptal"),"",IF(COUNTIFS($C$5:$C$1504,C1087,$D$5:$D$1504,"&lt;="&amp;E1087,$E$5:$E$1504,"&gt;="&amp;D1087,$F$5:$F$1504,"&lt;&gt;İptal")&gt;1,"Çakışıyor",""))</f>
        <v/>
      </c>
    </row>
    <row r="1088" customFormat="false" ht="15" hidden="false" customHeight="false" outlineLevel="0" collapsed="false">
      <c r="A1088" s="12"/>
      <c r="B1088" s="12"/>
      <c r="C1088" s="13"/>
      <c r="D1088" s="14"/>
      <c r="E1088" s="14"/>
      <c r="F1088" s="13"/>
      <c r="G1088" s="15"/>
      <c r="H1088" s="16" t="str">
        <f aca="false">IF(OR(D1088="",E1088="",E1088&lt;D1088),"",E1088-D1088+1)</f>
        <v/>
      </c>
      <c r="I1088" s="17" t="str">
        <f aca="false">IF(OR(H1088="",C1088=""),"",IF(F1088="İptal",0,H1088*IFERROR(INDEX(Ürünler!$B$5:$B$64,MATCH(C1088,Ürünler!$A$5:$A$64,0)),0)-G1088))</f>
        <v/>
      </c>
      <c r="J1088" s="18" t="str">
        <f aca="false">IF(OR(H1088="",C1088="",F1088="İptal"),"",IF(COUNTIFS($C$5:$C$1504,C1088,$D$5:$D$1504,"&lt;="&amp;E1088,$E$5:$E$1504,"&gt;="&amp;D1088,$F$5:$F$1504,"&lt;&gt;İptal")&gt;1,"Çakışıyor",""))</f>
        <v/>
      </c>
    </row>
    <row r="1089" customFormat="false" ht="15" hidden="false" customHeight="false" outlineLevel="0" collapsed="false">
      <c r="A1089" s="12"/>
      <c r="B1089" s="12"/>
      <c r="C1089" s="13"/>
      <c r="D1089" s="14"/>
      <c r="E1089" s="14"/>
      <c r="F1089" s="13"/>
      <c r="G1089" s="15"/>
      <c r="H1089" s="16" t="str">
        <f aca="false">IF(OR(D1089="",E1089="",E1089&lt;D1089),"",E1089-D1089+1)</f>
        <v/>
      </c>
      <c r="I1089" s="17" t="str">
        <f aca="false">IF(OR(H1089="",C1089=""),"",IF(F1089="İptal",0,H1089*IFERROR(INDEX(Ürünler!$B$5:$B$64,MATCH(C1089,Ürünler!$A$5:$A$64,0)),0)-G1089))</f>
        <v/>
      </c>
      <c r="J1089" s="18" t="str">
        <f aca="false">IF(OR(H1089="",C1089="",F1089="İptal"),"",IF(COUNTIFS($C$5:$C$1504,C1089,$D$5:$D$1504,"&lt;="&amp;E1089,$E$5:$E$1504,"&gt;="&amp;D1089,$F$5:$F$1504,"&lt;&gt;İptal")&gt;1,"Çakışıyor",""))</f>
        <v/>
      </c>
    </row>
    <row r="1090" customFormat="false" ht="15" hidden="false" customHeight="false" outlineLevel="0" collapsed="false">
      <c r="A1090" s="12"/>
      <c r="B1090" s="12"/>
      <c r="C1090" s="13"/>
      <c r="D1090" s="14"/>
      <c r="E1090" s="14"/>
      <c r="F1090" s="13"/>
      <c r="G1090" s="15"/>
      <c r="H1090" s="16" t="str">
        <f aca="false">IF(OR(D1090="",E1090="",E1090&lt;D1090),"",E1090-D1090+1)</f>
        <v/>
      </c>
      <c r="I1090" s="17" t="str">
        <f aca="false">IF(OR(H1090="",C1090=""),"",IF(F1090="İptal",0,H1090*IFERROR(INDEX(Ürünler!$B$5:$B$64,MATCH(C1090,Ürünler!$A$5:$A$64,0)),0)-G1090))</f>
        <v/>
      </c>
      <c r="J1090" s="18" t="str">
        <f aca="false">IF(OR(H1090="",C1090="",F1090="İptal"),"",IF(COUNTIFS($C$5:$C$1504,C1090,$D$5:$D$1504,"&lt;="&amp;E1090,$E$5:$E$1504,"&gt;="&amp;D1090,$F$5:$F$1504,"&lt;&gt;İptal")&gt;1,"Çakışıyor",""))</f>
        <v/>
      </c>
    </row>
    <row r="1091" customFormat="false" ht="15" hidden="false" customHeight="false" outlineLevel="0" collapsed="false">
      <c r="A1091" s="12"/>
      <c r="B1091" s="12"/>
      <c r="C1091" s="13"/>
      <c r="D1091" s="14"/>
      <c r="E1091" s="14"/>
      <c r="F1091" s="13"/>
      <c r="G1091" s="15"/>
      <c r="H1091" s="16" t="str">
        <f aca="false">IF(OR(D1091="",E1091="",E1091&lt;D1091),"",E1091-D1091+1)</f>
        <v/>
      </c>
      <c r="I1091" s="17" t="str">
        <f aca="false">IF(OR(H1091="",C1091=""),"",IF(F1091="İptal",0,H1091*IFERROR(INDEX(Ürünler!$B$5:$B$64,MATCH(C1091,Ürünler!$A$5:$A$64,0)),0)-G1091))</f>
        <v/>
      </c>
      <c r="J1091" s="18" t="str">
        <f aca="false">IF(OR(H1091="",C1091="",F1091="İptal"),"",IF(COUNTIFS($C$5:$C$1504,C1091,$D$5:$D$1504,"&lt;="&amp;E1091,$E$5:$E$1504,"&gt;="&amp;D1091,$F$5:$F$1504,"&lt;&gt;İptal")&gt;1,"Çakışıyor",""))</f>
        <v/>
      </c>
    </row>
    <row r="1092" customFormat="false" ht="15" hidden="false" customHeight="false" outlineLevel="0" collapsed="false">
      <c r="A1092" s="12"/>
      <c r="B1092" s="12"/>
      <c r="C1092" s="13"/>
      <c r="D1092" s="14"/>
      <c r="E1092" s="14"/>
      <c r="F1092" s="13"/>
      <c r="G1092" s="15"/>
      <c r="H1092" s="16" t="str">
        <f aca="false">IF(OR(D1092="",E1092="",E1092&lt;D1092),"",E1092-D1092+1)</f>
        <v/>
      </c>
      <c r="I1092" s="17" t="str">
        <f aca="false">IF(OR(H1092="",C1092=""),"",IF(F1092="İptal",0,H1092*IFERROR(INDEX(Ürünler!$B$5:$B$64,MATCH(C1092,Ürünler!$A$5:$A$64,0)),0)-G1092))</f>
        <v/>
      </c>
      <c r="J1092" s="18" t="str">
        <f aca="false">IF(OR(H1092="",C1092="",F1092="İptal"),"",IF(COUNTIFS($C$5:$C$1504,C1092,$D$5:$D$1504,"&lt;="&amp;E1092,$E$5:$E$1504,"&gt;="&amp;D1092,$F$5:$F$1504,"&lt;&gt;İptal")&gt;1,"Çakışıyor",""))</f>
        <v/>
      </c>
    </row>
    <row r="1093" customFormat="false" ht="15" hidden="false" customHeight="false" outlineLevel="0" collapsed="false">
      <c r="A1093" s="12"/>
      <c r="B1093" s="12"/>
      <c r="C1093" s="13"/>
      <c r="D1093" s="14"/>
      <c r="E1093" s="14"/>
      <c r="F1093" s="13"/>
      <c r="G1093" s="15"/>
      <c r="H1093" s="16" t="str">
        <f aca="false">IF(OR(D1093="",E1093="",E1093&lt;D1093),"",E1093-D1093+1)</f>
        <v/>
      </c>
      <c r="I1093" s="17" t="str">
        <f aca="false">IF(OR(H1093="",C1093=""),"",IF(F1093="İptal",0,H1093*IFERROR(INDEX(Ürünler!$B$5:$B$64,MATCH(C1093,Ürünler!$A$5:$A$64,0)),0)-G1093))</f>
        <v/>
      </c>
      <c r="J1093" s="18" t="str">
        <f aca="false">IF(OR(H1093="",C1093="",F1093="İptal"),"",IF(COUNTIFS($C$5:$C$1504,C1093,$D$5:$D$1504,"&lt;="&amp;E1093,$E$5:$E$1504,"&gt;="&amp;D1093,$F$5:$F$1504,"&lt;&gt;İptal")&gt;1,"Çakışıyor",""))</f>
        <v/>
      </c>
    </row>
    <row r="1094" customFormat="false" ht="15" hidden="false" customHeight="false" outlineLevel="0" collapsed="false">
      <c r="A1094" s="12"/>
      <c r="B1094" s="12"/>
      <c r="C1094" s="13"/>
      <c r="D1094" s="14"/>
      <c r="E1094" s="14"/>
      <c r="F1094" s="13"/>
      <c r="G1094" s="15"/>
      <c r="H1094" s="16" t="str">
        <f aca="false">IF(OR(D1094="",E1094="",E1094&lt;D1094),"",E1094-D1094+1)</f>
        <v/>
      </c>
      <c r="I1094" s="17" t="str">
        <f aca="false">IF(OR(H1094="",C1094=""),"",IF(F1094="İptal",0,H1094*IFERROR(INDEX(Ürünler!$B$5:$B$64,MATCH(C1094,Ürünler!$A$5:$A$64,0)),0)-G1094))</f>
        <v/>
      </c>
      <c r="J1094" s="18" t="str">
        <f aca="false">IF(OR(H1094="",C1094="",F1094="İptal"),"",IF(COUNTIFS($C$5:$C$1504,C1094,$D$5:$D$1504,"&lt;="&amp;E1094,$E$5:$E$1504,"&gt;="&amp;D1094,$F$5:$F$1504,"&lt;&gt;İptal")&gt;1,"Çakışıyor",""))</f>
        <v/>
      </c>
    </row>
    <row r="1095" customFormat="false" ht="15" hidden="false" customHeight="false" outlineLevel="0" collapsed="false">
      <c r="A1095" s="12"/>
      <c r="B1095" s="12"/>
      <c r="C1095" s="13"/>
      <c r="D1095" s="14"/>
      <c r="E1095" s="14"/>
      <c r="F1095" s="13"/>
      <c r="G1095" s="15"/>
      <c r="H1095" s="16" t="str">
        <f aca="false">IF(OR(D1095="",E1095="",E1095&lt;D1095),"",E1095-D1095+1)</f>
        <v/>
      </c>
      <c r="I1095" s="17" t="str">
        <f aca="false">IF(OR(H1095="",C1095=""),"",IF(F1095="İptal",0,H1095*IFERROR(INDEX(Ürünler!$B$5:$B$64,MATCH(C1095,Ürünler!$A$5:$A$64,0)),0)-G1095))</f>
        <v/>
      </c>
      <c r="J1095" s="18" t="str">
        <f aca="false">IF(OR(H1095="",C1095="",F1095="İptal"),"",IF(COUNTIFS($C$5:$C$1504,C1095,$D$5:$D$1504,"&lt;="&amp;E1095,$E$5:$E$1504,"&gt;="&amp;D1095,$F$5:$F$1504,"&lt;&gt;İptal")&gt;1,"Çakışıyor",""))</f>
        <v/>
      </c>
    </row>
    <row r="1096" customFormat="false" ht="15" hidden="false" customHeight="false" outlineLevel="0" collapsed="false">
      <c r="A1096" s="12"/>
      <c r="B1096" s="12"/>
      <c r="C1096" s="13"/>
      <c r="D1096" s="14"/>
      <c r="E1096" s="14"/>
      <c r="F1096" s="13"/>
      <c r="G1096" s="15"/>
      <c r="H1096" s="16" t="str">
        <f aca="false">IF(OR(D1096="",E1096="",E1096&lt;D1096),"",E1096-D1096+1)</f>
        <v/>
      </c>
      <c r="I1096" s="17" t="str">
        <f aca="false">IF(OR(H1096="",C1096=""),"",IF(F1096="İptal",0,H1096*IFERROR(INDEX(Ürünler!$B$5:$B$64,MATCH(C1096,Ürünler!$A$5:$A$64,0)),0)-G1096))</f>
        <v/>
      </c>
      <c r="J1096" s="18" t="str">
        <f aca="false">IF(OR(H1096="",C1096="",F1096="İptal"),"",IF(COUNTIFS($C$5:$C$1504,C1096,$D$5:$D$1504,"&lt;="&amp;E1096,$E$5:$E$1504,"&gt;="&amp;D1096,$F$5:$F$1504,"&lt;&gt;İptal")&gt;1,"Çakışıyor",""))</f>
        <v/>
      </c>
    </row>
    <row r="1097" customFormat="false" ht="15" hidden="false" customHeight="false" outlineLevel="0" collapsed="false">
      <c r="A1097" s="12"/>
      <c r="B1097" s="12"/>
      <c r="C1097" s="13"/>
      <c r="D1097" s="14"/>
      <c r="E1097" s="14"/>
      <c r="F1097" s="13"/>
      <c r="G1097" s="15"/>
      <c r="H1097" s="16" t="str">
        <f aca="false">IF(OR(D1097="",E1097="",E1097&lt;D1097),"",E1097-D1097+1)</f>
        <v/>
      </c>
      <c r="I1097" s="17" t="str">
        <f aca="false">IF(OR(H1097="",C1097=""),"",IF(F1097="İptal",0,H1097*IFERROR(INDEX(Ürünler!$B$5:$B$64,MATCH(C1097,Ürünler!$A$5:$A$64,0)),0)-G1097))</f>
        <v/>
      </c>
      <c r="J1097" s="18" t="str">
        <f aca="false">IF(OR(H1097="",C1097="",F1097="İptal"),"",IF(COUNTIFS($C$5:$C$1504,C1097,$D$5:$D$1504,"&lt;="&amp;E1097,$E$5:$E$1504,"&gt;="&amp;D1097,$F$5:$F$1504,"&lt;&gt;İptal")&gt;1,"Çakışıyor",""))</f>
        <v/>
      </c>
    </row>
    <row r="1098" customFormat="false" ht="15" hidden="false" customHeight="false" outlineLevel="0" collapsed="false">
      <c r="A1098" s="12"/>
      <c r="B1098" s="12"/>
      <c r="C1098" s="13"/>
      <c r="D1098" s="14"/>
      <c r="E1098" s="14"/>
      <c r="F1098" s="13"/>
      <c r="G1098" s="15"/>
      <c r="H1098" s="16" t="str">
        <f aca="false">IF(OR(D1098="",E1098="",E1098&lt;D1098),"",E1098-D1098+1)</f>
        <v/>
      </c>
      <c r="I1098" s="17" t="str">
        <f aca="false">IF(OR(H1098="",C1098=""),"",IF(F1098="İptal",0,H1098*IFERROR(INDEX(Ürünler!$B$5:$B$64,MATCH(C1098,Ürünler!$A$5:$A$64,0)),0)-G1098))</f>
        <v/>
      </c>
      <c r="J1098" s="18" t="str">
        <f aca="false">IF(OR(H1098="",C1098="",F1098="İptal"),"",IF(COUNTIFS($C$5:$C$1504,C1098,$D$5:$D$1504,"&lt;="&amp;E1098,$E$5:$E$1504,"&gt;="&amp;D1098,$F$5:$F$1504,"&lt;&gt;İptal")&gt;1,"Çakışıyor",""))</f>
        <v/>
      </c>
    </row>
    <row r="1099" customFormat="false" ht="15" hidden="false" customHeight="false" outlineLevel="0" collapsed="false">
      <c r="A1099" s="12"/>
      <c r="B1099" s="12"/>
      <c r="C1099" s="13"/>
      <c r="D1099" s="14"/>
      <c r="E1099" s="14"/>
      <c r="F1099" s="13"/>
      <c r="G1099" s="15"/>
      <c r="H1099" s="16" t="str">
        <f aca="false">IF(OR(D1099="",E1099="",E1099&lt;D1099),"",E1099-D1099+1)</f>
        <v/>
      </c>
      <c r="I1099" s="17" t="str">
        <f aca="false">IF(OR(H1099="",C1099=""),"",IF(F1099="İptal",0,H1099*IFERROR(INDEX(Ürünler!$B$5:$B$64,MATCH(C1099,Ürünler!$A$5:$A$64,0)),0)-G1099))</f>
        <v/>
      </c>
      <c r="J1099" s="18" t="str">
        <f aca="false">IF(OR(H1099="",C1099="",F1099="İptal"),"",IF(COUNTIFS($C$5:$C$1504,C1099,$D$5:$D$1504,"&lt;="&amp;E1099,$E$5:$E$1504,"&gt;="&amp;D1099,$F$5:$F$1504,"&lt;&gt;İptal")&gt;1,"Çakışıyor",""))</f>
        <v/>
      </c>
    </row>
    <row r="1100" customFormat="false" ht="15" hidden="false" customHeight="false" outlineLevel="0" collapsed="false">
      <c r="A1100" s="12"/>
      <c r="B1100" s="12"/>
      <c r="C1100" s="13"/>
      <c r="D1100" s="14"/>
      <c r="E1100" s="14"/>
      <c r="F1100" s="13"/>
      <c r="G1100" s="15"/>
      <c r="H1100" s="16" t="str">
        <f aca="false">IF(OR(D1100="",E1100="",E1100&lt;D1100),"",E1100-D1100+1)</f>
        <v/>
      </c>
      <c r="I1100" s="17" t="str">
        <f aca="false">IF(OR(H1100="",C1100=""),"",IF(F1100="İptal",0,H1100*IFERROR(INDEX(Ürünler!$B$5:$B$64,MATCH(C1100,Ürünler!$A$5:$A$64,0)),0)-G1100))</f>
        <v/>
      </c>
      <c r="J1100" s="18" t="str">
        <f aca="false">IF(OR(H1100="",C1100="",F1100="İptal"),"",IF(COUNTIFS($C$5:$C$1504,C1100,$D$5:$D$1504,"&lt;="&amp;E1100,$E$5:$E$1504,"&gt;="&amp;D1100,$F$5:$F$1504,"&lt;&gt;İptal")&gt;1,"Çakışıyor",""))</f>
        <v/>
      </c>
    </row>
    <row r="1101" customFormat="false" ht="15" hidden="false" customHeight="false" outlineLevel="0" collapsed="false">
      <c r="A1101" s="12"/>
      <c r="B1101" s="12"/>
      <c r="C1101" s="13"/>
      <c r="D1101" s="14"/>
      <c r="E1101" s="14"/>
      <c r="F1101" s="13"/>
      <c r="G1101" s="15"/>
      <c r="H1101" s="16" t="str">
        <f aca="false">IF(OR(D1101="",E1101="",E1101&lt;D1101),"",E1101-D1101+1)</f>
        <v/>
      </c>
      <c r="I1101" s="17" t="str">
        <f aca="false">IF(OR(H1101="",C1101=""),"",IF(F1101="İptal",0,H1101*IFERROR(INDEX(Ürünler!$B$5:$B$64,MATCH(C1101,Ürünler!$A$5:$A$64,0)),0)-G1101))</f>
        <v/>
      </c>
      <c r="J1101" s="18" t="str">
        <f aca="false">IF(OR(H1101="",C1101="",F1101="İptal"),"",IF(COUNTIFS($C$5:$C$1504,C1101,$D$5:$D$1504,"&lt;="&amp;E1101,$E$5:$E$1504,"&gt;="&amp;D1101,$F$5:$F$1504,"&lt;&gt;İptal")&gt;1,"Çakışıyor",""))</f>
        <v/>
      </c>
    </row>
    <row r="1102" customFormat="false" ht="15" hidden="false" customHeight="false" outlineLevel="0" collapsed="false">
      <c r="A1102" s="12"/>
      <c r="B1102" s="12"/>
      <c r="C1102" s="13"/>
      <c r="D1102" s="14"/>
      <c r="E1102" s="14"/>
      <c r="F1102" s="13"/>
      <c r="G1102" s="15"/>
      <c r="H1102" s="16" t="str">
        <f aca="false">IF(OR(D1102="",E1102="",E1102&lt;D1102),"",E1102-D1102+1)</f>
        <v/>
      </c>
      <c r="I1102" s="17" t="str">
        <f aca="false">IF(OR(H1102="",C1102=""),"",IF(F1102="İptal",0,H1102*IFERROR(INDEX(Ürünler!$B$5:$B$64,MATCH(C1102,Ürünler!$A$5:$A$64,0)),0)-G1102))</f>
        <v/>
      </c>
      <c r="J1102" s="18" t="str">
        <f aca="false">IF(OR(H1102="",C1102="",F1102="İptal"),"",IF(COUNTIFS($C$5:$C$1504,C1102,$D$5:$D$1504,"&lt;="&amp;E1102,$E$5:$E$1504,"&gt;="&amp;D1102,$F$5:$F$1504,"&lt;&gt;İptal")&gt;1,"Çakışıyor",""))</f>
        <v/>
      </c>
    </row>
    <row r="1103" customFormat="false" ht="15" hidden="false" customHeight="false" outlineLevel="0" collapsed="false">
      <c r="A1103" s="12"/>
      <c r="B1103" s="12"/>
      <c r="C1103" s="13"/>
      <c r="D1103" s="14"/>
      <c r="E1103" s="14"/>
      <c r="F1103" s="13"/>
      <c r="G1103" s="15"/>
      <c r="H1103" s="16" t="str">
        <f aca="false">IF(OR(D1103="",E1103="",E1103&lt;D1103),"",E1103-D1103+1)</f>
        <v/>
      </c>
      <c r="I1103" s="17" t="str">
        <f aca="false">IF(OR(H1103="",C1103=""),"",IF(F1103="İptal",0,H1103*IFERROR(INDEX(Ürünler!$B$5:$B$64,MATCH(C1103,Ürünler!$A$5:$A$64,0)),0)-G1103))</f>
        <v/>
      </c>
      <c r="J1103" s="18" t="str">
        <f aca="false">IF(OR(H1103="",C1103="",F1103="İptal"),"",IF(COUNTIFS($C$5:$C$1504,C1103,$D$5:$D$1504,"&lt;="&amp;E1103,$E$5:$E$1504,"&gt;="&amp;D1103,$F$5:$F$1504,"&lt;&gt;İptal")&gt;1,"Çakışıyor",""))</f>
        <v/>
      </c>
    </row>
    <row r="1104" customFormat="false" ht="15" hidden="false" customHeight="false" outlineLevel="0" collapsed="false">
      <c r="A1104" s="12"/>
      <c r="B1104" s="12"/>
      <c r="C1104" s="13"/>
      <c r="D1104" s="14"/>
      <c r="E1104" s="14"/>
      <c r="F1104" s="13"/>
      <c r="G1104" s="15"/>
      <c r="H1104" s="16" t="str">
        <f aca="false">IF(OR(D1104="",E1104="",E1104&lt;D1104),"",E1104-D1104+1)</f>
        <v/>
      </c>
      <c r="I1104" s="17" t="str">
        <f aca="false">IF(OR(H1104="",C1104=""),"",IF(F1104="İptal",0,H1104*IFERROR(INDEX(Ürünler!$B$5:$B$64,MATCH(C1104,Ürünler!$A$5:$A$64,0)),0)-G1104))</f>
        <v/>
      </c>
      <c r="J1104" s="18" t="str">
        <f aca="false">IF(OR(H1104="",C1104="",F1104="İptal"),"",IF(COUNTIFS($C$5:$C$1504,C1104,$D$5:$D$1504,"&lt;="&amp;E1104,$E$5:$E$1504,"&gt;="&amp;D1104,$F$5:$F$1504,"&lt;&gt;İptal")&gt;1,"Çakışıyor",""))</f>
        <v/>
      </c>
    </row>
    <row r="1105" customFormat="false" ht="15" hidden="false" customHeight="false" outlineLevel="0" collapsed="false">
      <c r="A1105" s="12"/>
      <c r="B1105" s="12"/>
      <c r="C1105" s="13"/>
      <c r="D1105" s="14"/>
      <c r="E1105" s="14"/>
      <c r="F1105" s="13"/>
      <c r="G1105" s="15"/>
      <c r="H1105" s="16" t="str">
        <f aca="false">IF(OR(D1105="",E1105="",E1105&lt;D1105),"",E1105-D1105+1)</f>
        <v/>
      </c>
      <c r="I1105" s="17" t="str">
        <f aca="false">IF(OR(H1105="",C1105=""),"",IF(F1105="İptal",0,H1105*IFERROR(INDEX(Ürünler!$B$5:$B$64,MATCH(C1105,Ürünler!$A$5:$A$64,0)),0)-G1105))</f>
        <v/>
      </c>
      <c r="J1105" s="18" t="str">
        <f aca="false">IF(OR(H1105="",C1105="",F1105="İptal"),"",IF(COUNTIFS($C$5:$C$1504,C1105,$D$5:$D$1504,"&lt;="&amp;E1105,$E$5:$E$1504,"&gt;="&amp;D1105,$F$5:$F$1504,"&lt;&gt;İptal")&gt;1,"Çakışıyor",""))</f>
        <v/>
      </c>
    </row>
    <row r="1106" customFormat="false" ht="15" hidden="false" customHeight="false" outlineLevel="0" collapsed="false">
      <c r="A1106" s="12"/>
      <c r="B1106" s="12"/>
      <c r="C1106" s="13"/>
      <c r="D1106" s="14"/>
      <c r="E1106" s="14"/>
      <c r="F1106" s="13"/>
      <c r="G1106" s="15"/>
      <c r="H1106" s="16" t="str">
        <f aca="false">IF(OR(D1106="",E1106="",E1106&lt;D1106),"",E1106-D1106+1)</f>
        <v/>
      </c>
      <c r="I1106" s="17" t="str">
        <f aca="false">IF(OR(H1106="",C1106=""),"",IF(F1106="İptal",0,H1106*IFERROR(INDEX(Ürünler!$B$5:$B$64,MATCH(C1106,Ürünler!$A$5:$A$64,0)),0)-G1106))</f>
        <v/>
      </c>
      <c r="J1106" s="18" t="str">
        <f aca="false">IF(OR(H1106="",C1106="",F1106="İptal"),"",IF(COUNTIFS($C$5:$C$1504,C1106,$D$5:$D$1504,"&lt;="&amp;E1106,$E$5:$E$1504,"&gt;="&amp;D1106,$F$5:$F$1504,"&lt;&gt;İptal")&gt;1,"Çakışıyor",""))</f>
        <v/>
      </c>
    </row>
    <row r="1107" customFormat="false" ht="15" hidden="false" customHeight="false" outlineLevel="0" collapsed="false">
      <c r="A1107" s="12"/>
      <c r="B1107" s="12"/>
      <c r="C1107" s="13"/>
      <c r="D1107" s="14"/>
      <c r="E1107" s="14"/>
      <c r="F1107" s="13"/>
      <c r="G1107" s="15"/>
      <c r="H1107" s="16" t="str">
        <f aca="false">IF(OR(D1107="",E1107="",E1107&lt;D1107),"",E1107-D1107+1)</f>
        <v/>
      </c>
      <c r="I1107" s="17" t="str">
        <f aca="false">IF(OR(H1107="",C1107=""),"",IF(F1107="İptal",0,H1107*IFERROR(INDEX(Ürünler!$B$5:$B$64,MATCH(C1107,Ürünler!$A$5:$A$64,0)),0)-G1107))</f>
        <v/>
      </c>
      <c r="J1107" s="18" t="str">
        <f aca="false">IF(OR(H1107="",C1107="",F1107="İptal"),"",IF(COUNTIFS($C$5:$C$1504,C1107,$D$5:$D$1504,"&lt;="&amp;E1107,$E$5:$E$1504,"&gt;="&amp;D1107,$F$5:$F$1504,"&lt;&gt;İptal")&gt;1,"Çakışıyor",""))</f>
        <v/>
      </c>
    </row>
    <row r="1108" customFormat="false" ht="15" hidden="false" customHeight="false" outlineLevel="0" collapsed="false">
      <c r="A1108" s="12"/>
      <c r="B1108" s="12"/>
      <c r="C1108" s="13"/>
      <c r="D1108" s="14"/>
      <c r="E1108" s="14"/>
      <c r="F1108" s="13"/>
      <c r="G1108" s="15"/>
      <c r="H1108" s="16" t="str">
        <f aca="false">IF(OR(D1108="",E1108="",E1108&lt;D1108),"",E1108-D1108+1)</f>
        <v/>
      </c>
      <c r="I1108" s="17" t="str">
        <f aca="false">IF(OR(H1108="",C1108=""),"",IF(F1108="İptal",0,H1108*IFERROR(INDEX(Ürünler!$B$5:$B$64,MATCH(C1108,Ürünler!$A$5:$A$64,0)),0)-G1108))</f>
        <v/>
      </c>
      <c r="J1108" s="18" t="str">
        <f aca="false">IF(OR(H1108="",C1108="",F1108="İptal"),"",IF(COUNTIFS($C$5:$C$1504,C1108,$D$5:$D$1504,"&lt;="&amp;E1108,$E$5:$E$1504,"&gt;="&amp;D1108,$F$5:$F$1504,"&lt;&gt;İptal")&gt;1,"Çakışıyor",""))</f>
        <v/>
      </c>
    </row>
    <row r="1109" customFormat="false" ht="15" hidden="false" customHeight="false" outlineLevel="0" collapsed="false">
      <c r="A1109" s="12"/>
      <c r="B1109" s="12"/>
      <c r="C1109" s="13"/>
      <c r="D1109" s="14"/>
      <c r="E1109" s="14"/>
      <c r="F1109" s="13"/>
      <c r="G1109" s="15"/>
      <c r="H1109" s="16" t="str">
        <f aca="false">IF(OR(D1109="",E1109="",E1109&lt;D1109),"",E1109-D1109+1)</f>
        <v/>
      </c>
      <c r="I1109" s="17" t="str">
        <f aca="false">IF(OR(H1109="",C1109=""),"",IF(F1109="İptal",0,H1109*IFERROR(INDEX(Ürünler!$B$5:$B$64,MATCH(C1109,Ürünler!$A$5:$A$64,0)),0)-G1109))</f>
        <v/>
      </c>
      <c r="J1109" s="18" t="str">
        <f aca="false">IF(OR(H1109="",C1109="",F1109="İptal"),"",IF(COUNTIFS($C$5:$C$1504,C1109,$D$5:$D$1504,"&lt;="&amp;E1109,$E$5:$E$1504,"&gt;="&amp;D1109,$F$5:$F$1504,"&lt;&gt;İptal")&gt;1,"Çakışıyor",""))</f>
        <v/>
      </c>
    </row>
    <row r="1110" customFormat="false" ht="15" hidden="false" customHeight="false" outlineLevel="0" collapsed="false">
      <c r="A1110" s="12"/>
      <c r="B1110" s="12"/>
      <c r="C1110" s="13"/>
      <c r="D1110" s="14"/>
      <c r="E1110" s="14"/>
      <c r="F1110" s="13"/>
      <c r="G1110" s="15"/>
      <c r="H1110" s="16" t="str">
        <f aca="false">IF(OR(D1110="",E1110="",E1110&lt;D1110),"",E1110-D1110+1)</f>
        <v/>
      </c>
      <c r="I1110" s="17" t="str">
        <f aca="false">IF(OR(H1110="",C1110=""),"",IF(F1110="İptal",0,H1110*IFERROR(INDEX(Ürünler!$B$5:$B$64,MATCH(C1110,Ürünler!$A$5:$A$64,0)),0)-G1110))</f>
        <v/>
      </c>
      <c r="J1110" s="18" t="str">
        <f aca="false">IF(OR(H1110="",C1110="",F1110="İptal"),"",IF(COUNTIFS($C$5:$C$1504,C1110,$D$5:$D$1504,"&lt;="&amp;E1110,$E$5:$E$1504,"&gt;="&amp;D1110,$F$5:$F$1504,"&lt;&gt;İptal")&gt;1,"Çakışıyor",""))</f>
        <v/>
      </c>
    </row>
    <row r="1111" customFormat="false" ht="15" hidden="false" customHeight="false" outlineLevel="0" collapsed="false">
      <c r="A1111" s="12"/>
      <c r="B1111" s="12"/>
      <c r="C1111" s="13"/>
      <c r="D1111" s="14"/>
      <c r="E1111" s="14"/>
      <c r="F1111" s="13"/>
      <c r="G1111" s="15"/>
      <c r="H1111" s="16" t="str">
        <f aca="false">IF(OR(D1111="",E1111="",E1111&lt;D1111),"",E1111-D1111+1)</f>
        <v/>
      </c>
      <c r="I1111" s="17" t="str">
        <f aca="false">IF(OR(H1111="",C1111=""),"",IF(F1111="İptal",0,H1111*IFERROR(INDEX(Ürünler!$B$5:$B$64,MATCH(C1111,Ürünler!$A$5:$A$64,0)),0)-G1111))</f>
        <v/>
      </c>
      <c r="J1111" s="18" t="str">
        <f aca="false">IF(OR(H1111="",C1111="",F1111="İptal"),"",IF(COUNTIFS($C$5:$C$1504,C1111,$D$5:$D$1504,"&lt;="&amp;E1111,$E$5:$E$1504,"&gt;="&amp;D1111,$F$5:$F$1504,"&lt;&gt;İptal")&gt;1,"Çakışıyor",""))</f>
        <v/>
      </c>
    </row>
    <row r="1112" customFormat="false" ht="15" hidden="false" customHeight="false" outlineLevel="0" collapsed="false">
      <c r="A1112" s="12"/>
      <c r="B1112" s="12"/>
      <c r="C1112" s="13"/>
      <c r="D1112" s="14"/>
      <c r="E1112" s="14"/>
      <c r="F1112" s="13"/>
      <c r="G1112" s="15"/>
      <c r="H1112" s="16" t="str">
        <f aca="false">IF(OR(D1112="",E1112="",E1112&lt;D1112),"",E1112-D1112+1)</f>
        <v/>
      </c>
      <c r="I1112" s="17" t="str">
        <f aca="false">IF(OR(H1112="",C1112=""),"",IF(F1112="İptal",0,H1112*IFERROR(INDEX(Ürünler!$B$5:$B$64,MATCH(C1112,Ürünler!$A$5:$A$64,0)),0)-G1112))</f>
        <v/>
      </c>
      <c r="J1112" s="18" t="str">
        <f aca="false">IF(OR(H1112="",C1112="",F1112="İptal"),"",IF(COUNTIFS($C$5:$C$1504,C1112,$D$5:$D$1504,"&lt;="&amp;E1112,$E$5:$E$1504,"&gt;="&amp;D1112,$F$5:$F$1504,"&lt;&gt;İptal")&gt;1,"Çakışıyor",""))</f>
        <v/>
      </c>
    </row>
    <row r="1113" customFormat="false" ht="15" hidden="false" customHeight="false" outlineLevel="0" collapsed="false">
      <c r="A1113" s="12"/>
      <c r="B1113" s="12"/>
      <c r="C1113" s="13"/>
      <c r="D1113" s="14"/>
      <c r="E1113" s="14"/>
      <c r="F1113" s="13"/>
      <c r="G1113" s="15"/>
      <c r="H1113" s="16" t="str">
        <f aca="false">IF(OR(D1113="",E1113="",E1113&lt;D1113),"",E1113-D1113+1)</f>
        <v/>
      </c>
      <c r="I1113" s="17" t="str">
        <f aca="false">IF(OR(H1113="",C1113=""),"",IF(F1113="İptal",0,H1113*IFERROR(INDEX(Ürünler!$B$5:$B$64,MATCH(C1113,Ürünler!$A$5:$A$64,0)),0)-G1113))</f>
        <v/>
      </c>
      <c r="J1113" s="18" t="str">
        <f aca="false">IF(OR(H1113="",C1113="",F1113="İptal"),"",IF(COUNTIFS($C$5:$C$1504,C1113,$D$5:$D$1504,"&lt;="&amp;E1113,$E$5:$E$1504,"&gt;="&amp;D1113,$F$5:$F$1504,"&lt;&gt;İptal")&gt;1,"Çakışıyor",""))</f>
        <v/>
      </c>
    </row>
    <row r="1114" customFormat="false" ht="15" hidden="false" customHeight="false" outlineLevel="0" collapsed="false">
      <c r="A1114" s="12"/>
      <c r="B1114" s="12"/>
      <c r="C1114" s="13"/>
      <c r="D1114" s="14"/>
      <c r="E1114" s="14"/>
      <c r="F1114" s="13"/>
      <c r="G1114" s="15"/>
      <c r="H1114" s="16" t="str">
        <f aca="false">IF(OR(D1114="",E1114="",E1114&lt;D1114),"",E1114-D1114+1)</f>
        <v/>
      </c>
      <c r="I1114" s="17" t="str">
        <f aca="false">IF(OR(H1114="",C1114=""),"",IF(F1114="İptal",0,H1114*IFERROR(INDEX(Ürünler!$B$5:$B$64,MATCH(C1114,Ürünler!$A$5:$A$64,0)),0)-G1114))</f>
        <v/>
      </c>
      <c r="J1114" s="18" t="str">
        <f aca="false">IF(OR(H1114="",C1114="",F1114="İptal"),"",IF(COUNTIFS($C$5:$C$1504,C1114,$D$5:$D$1504,"&lt;="&amp;E1114,$E$5:$E$1504,"&gt;="&amp;D1114,$F$5:$F$1504,"&lt;&gt;İptal")&gt;1,"Çakışıyor",""))</f>
        <v/>
      </c>
    </row>
    <row r="1115" customFormat="false" ht="15" hidden="false" customHeight="false" outlineLevel="0" collapsed="false">
      <c r="A1115" s="12"/>
      <c r="B1115" s="12"/>
      <c r="C1115" s="13"/>
      <c r="D1115" s="14"/>
      <c r="E1115" s="14"/>
      <c r="F1115" s="13"/>
      <c r="G1115" s="15"/>
      <c r="H1115" s="16" t="str">
        <f aca="false">IF(OR(D1115="",E1115="",E1115&lt;D1115),"",E1115-D1115+1)</f>
        <v/>
      </c>
      <c r="I1115" s="17" t="str">
        <f aca="false">IF(OR(H1115="",C1115=""),"",IF(F1115="İptal",0,H1115*IFERROR(INDEX(Ürünler!$B$5:$B$64,MATCH(C1115,Ürünler!$A$5:$A$64,0)),0)-G1115))</f>
        <v/>
      </c>
      <c r="J1115" s="18" t="str">
        <f aca="false">IF(OR(H1115="",C1115="",F1115="İptal"),"",IF(COUNTIFS($C$5:$C$1504,C1115,$D$5:$D$1504,"&lt;="&amp;E1115,$E$5:$E$1504,"&gt;="&amp;D1115,$F$5:$F$1504,"&lt;&gt;İptal")&gt;1,"Çakışıyor",""))</f>
        <v/>
      </c>
    </row>
    <row r="1116" customFormat="false" ht="15" hidden="false" customHeight="false" outlineLevel="0" collapsed="false">
      <c r="A1116" s="12"/>
      <c r="B1116" s="12"/>
      <c r="C1116" s="13"/>
      <c r="D1116" s="14"/>
      <c r="E1116" s="14"/>
      <c r="F1116" s="13"/>
      <c r="G1116" s="15"/>
      <c r="H1116" s="16" t="str">
        <f aca="false">IF(OR(D1116="",E1116="",E1116&lt;D1116),"",E1116-D1116+1)</f>
        <v/>
      </c>
      <c r="I1116" s="17" t="str">
        <f aca="false">IF(OR(H1116="",C1116=""),"",IF(F1116="İptal",0,H1116*IFERROR(INDEX(Ürünler!$B$5:$B$64,MATCH(C1116,Ürünler!$A$5:$A$64,0)),0)-G1116))</f>
        <v/>
      </c>
      <c r="J1116" s="18" t="str">
        <f aca="false">IF(OR(H1116="",C1116="",F1116="İptal"),"",IF(COUNTIFS($C$5:$C$1504,C1116,$D$5:$D$1504,"&lt;="&amp;E1116,$E$5:$E$1504,"&gt;="&amp;D1116,$F$5:$F$1504,"&lt;&gt;İptal")&gt;1,"Çakışıyor",""))</f>
        <v/>
      </c>
    </row>
    <row r="1117" customFormat="false" ht="15" hidden="false" customHeight="false" outlineLevel="0" collapsed="false">
      <c r="A1117" s="12"/>
      <c r="B1117" s="12"/>
      <c r="C1117" s="13"/>
      <c r="D1117" s="14"/>
      <c r="E1117" s="14"/>
      <c r="F1117" s="13"/>
      <c r="G1117" s="15"/>
      <c r="H1117" s="16" t="str">
        <f aca="false">IF(OR(D1117="",E1117="",E1117&lt;D1117),"",E1117-D1117+1)</f>
        <v/>
      </c>
      <c r="I1117" s="17" t="str">
        <f aca="false">IF(OR(H1117="",C1117=""),"",IF(F1117="İptal",0,H1117*IFERROR(INDEX(Ürünler!$B$5:$B$64,MATCH(C1117,Ürünler!$A$5:$A$64,0)),0)-G1117))</f>
        <v/>
      </c>
      <c r="J1117" s="18" t="str">
        <f aca="false">IF(OR(H1117="",C1117="",F1117="İptal"),"",IF(COUNTIFS($C$5:$C$1504,C1117,$D$5:$D$1504,"&lt;="&amp;E1117,$E$5:$E$1504,"&gt;="&amp;D1117,$F$5:$F$1504,"&lt;&gt;İptal")&gt;1,"Çakışıyor",""))</f>
        <v/>
      </c>
    </row>
    <row r="1118" customFormat="false" ht="15" hidden="false" customHeight="false" outlineLevel="0" collapsed="false">
      <c r="A1118" s="12"/>
      <c r="B1118" s="12"/>
      <c r="C1118" s="13"/>
      <c r="D1118" s="14"/>
      <c r="E1118" s="14"/>
      <c r="F1118" s="13"/>
      <c r="G1118" s="15"/>
      <c r="H1118" s="16" t="str">
        <f aca="false">IF(OR(D1118="",E1118="",E1118&lt;D1118),"",E1118-D1118+1)</f>
        <v/>
      </c>
      <c r="I1118" s="17" t="str">
        <f aca="false">IF(OR(H1118="",C1118=""),"",IF(F1118="İptal",0,H1118*IFERROR(INDEX(Ürünler!$B$5:$B$64,MATCH(C1118,Ürünler!$A$5:$A$64,0)),0)-G1118))</f>
        <v/>
      </c>
      <c r="J1118" s="18" t="str">
        <f aca="false">IF(OR(H1118="",C1118="",F1118="İptal"),"",IF(COUNTIFS($C$5:$C$1504,C1118,$D$5:$D$1504,"&lt;="&amp;E1118,$E$5:$E$1504,"&gt;="&amp;D1118,$F$5:$F$1504,"&lt;&gt;İptal")&gt;1,"Çakışıyor",""))</f>
        <v/>
      </c>
    </row>
    <row r="1119" customFormat="false" ht="15" hidden="false" customHeight="false" outlineLevel="0" collapsed="false">
      <c r="A1119" s="12"/>
      <c r="B1119" s="12"/>
      <c r="C1119" s="13"/>
      <c r="D1119" s="14"/>
      <c r="E1119" s="14"/>
      <c r="F1119" s="13"/>
      <c r="G1119" s="15"/>
      <c r="H1119" s="16" t="str">
        <f aca="false">IF(OR(D1119="",E1119="",E1119&lt;D1119),"",E1119-D1119+1)</f>
        <v/>
      </c>
      <c r="I1119" s="17" t="str">
        <f aca="false">IF(OR(H1119="",C1119=""),"",IF(F1119="İptal",0,H1119*IFERROR(INDEX(Ürünler!$B$5:$B$64,MATCH(C1119,Ürünler!$A$5:$A$64,0)),0)-G1119))</f>
        <v/>
      </c>
      <c r="J1119" s="18" t="str">
        <f aca="false">IF(OR(H1119="",C1119="",F1119="İptal"),"",IF(COUNTIFS($C$5:$C$1504,C1119,$D$5:$D$1504,"&lt;="&amp;E1119,$E$5:$E$1504,"&gt;="&amp;D1119,$F$5:$F$1504,"&lt;&gt;İptal")&gt;1,"Çakışıyor",""))</f>
        <v/>
      </c>
    </row>
    <row r="1120" customFormat="false" ht="15" hidden="false" customHeight="false" outlineLevel="0" collapsed="false">
      <c r="A1120" s="12"/>
      <c r="B1120" s="12"/>
      <c r="C1120" s="13"/>
      <c r="D1120" s="14"/>
      <c r="E1120" s="14"/>
      <c r="F1120" s="13"/>
      <c r="G1120" s="15"/>
      <c r="H1120" s="16" t="str">
        <f aca="false">IF(OR(D1120="",E1120="",E1120&lt;D1120),"",E1120-D1120+1)</f>
        <v/>
      </c>
      <c r="I1120" s="17" t="str">
        <f aca="false">IF(OR(H1120="",C1120=""),"",IF(F1120="İptal",0,H1120*IFERROR(INDEX(Ürünler!$B$5:$B$64,MATCH(C1120,Ürünler!$A$5:$A$64,0)),0)-G1120))</f>
        <v/>
      </c>
      <c r="J1120" s="18" t="str">
        <f aca="false">IF(OR(H1120="",C1120="",F1120="İptal"),"",IF(COUNTIFS($C$5:$C$1504,C1120,$D$5:$D$1504,"&lt;="&amp;E1120,$E$5:$E$1504,"&gt;="&amp;D1120,$F$5:$F$1504,"&lt;&gt;İptal")&gt;1,"Çakışıyor",""))</f>
        <v/>
      </c>
    </row>
    <row r="1121" customFormat="false" ht="15" hidden="false" customHeight="false" outlineLevel="0" collapsed="false">
      <c r="A1121" s="12"/>
      <c r="B1121" s="12"/>
      <c r="C1121" s="13"/>
      <c r="D1121" s="14"/>
      <c r="E1121" s="14"/>
      <c r="F1121" s="13"/>
      <c r="G1121" s="15"/>
      <c r="H1121" s="16" t="str">
        <f aca="false">IF(OR(D1121="",E1121="",E1121&lt;D1121),"",E1121-D1121+1)</f>
        <v/>
      </c>
      <c r="I1121" s="17" t="str">
        <f aca="false">IF(OR(H1121="",C1121=""),"",IF(F1121="İptal",0,H1121*IFERROR(INDEX(Ürünler!$B$5:$B$64,MATCH(C1121,Ürünler!$A$5:$A$64,0)),0)-G1121))</f>
        <v/>
      </c>
      <c r="J1121" s="18" t="str">
        <f aca="false">IF(OR(H1121="",C1121="",F1121="İptal"),"",IF(COUNTIFS($C$5:$C$1504,C1121,$D$5:$D$1504,"&lt;="&amp;E1121,$E$5:$E$1504,"&gt;="&amp;D1121,$F$5:$F$1504,"&lt;&gt;İptal")&gt;1,"Çakışıyor",""))</f>
        <v/>
      </c>
    </row>
    <row r="1122" customFormat="false" ht="15" hidden="false" customHeight="false" outlineLevel="0" collapsed="false">
      <c r="A1122" s="12"/>
      <c r="B1122" s="12"/>
      <c r="C1122" s="13"/>
      <c r="D1122" s="14"/>
      <c r="E1122" s="14"/>
      <c r="F1122" s="13"/>
      <c r="G1122" s="15"/>
      <c r="H1122" s="16" t="str">
        <f aca="false">IF(OR(D1122="",E1122="",E1122&lt;D1122),"",E1122-D1122+1)</f>
        <v/>
      </c>
      <c r="I1122" s="17" t="str">
        <f aca="false">IF(OR(H1122="",C1122=""),"",IF(F1122="İptal",0,H1122*IFERROR(INDEX(Ürünler!$B$5:$B$64,MATCH(C1122,Ürünler!$A$5:$A$64,0)),0)-G1122))</f>
        <v/>
      </c>
      <c r="J1122" s="18" t="str">
        <f aca="false">IF(OR(H1122="",C1122="",F1122="İptal"),"",IF(COUNTIFS($C$5:$C$1504,C1122,$D$5:$D$1504,"&lt;="&amp;E1122,$E$5:$E$1504,"&gt;="&amp;D1122,$F$5:$F$1504,"&lt;&gt;İptal")&gt;1,"Çakışıyor",""))</f>
        <v/>
      </c>
    </row>
    <row r="1123" customFormat="false" ht="15" hidden="false" customHeight="false" outlineLevel="0" collapsed="false">
      <c r="A1123" s="12"/>
      <c r="B1123" s="12"/>
      <c r="C1123" s="13"/>
      <c r="D1123" s="14"/>
      <c r="E1123" s="14"/>
      <c r="F1123" s="13"/>
      <c r="G1123" s="15"/>
      <c r="H1123" s="16" t="str">
        <f aca="false">IF(OR(D1123="",E1123="",E1123&lt;D1123),"",E1123-D1123+1)</f>
        <v/>
      </c>
      <c r="I1123" s="17" t="str">
        <f aca="false">IF(OR(H1123="",C1123=""),"",IF(F1123="İptal",0,H1123*IFERROR(INDEX(Ürünler!$B$5:$B$64,MATCH(C1123,Ürünler!$A$5:$A$64,0)),0)-G1123))</f>
        <v/>
      </c>
      <c r="J1123" s="18" t="str">
        <f aca="false">IF(OR(H1123="",C1123="",F1123="İptal"),"",IF(COUNTIFS($C$5:$C$1504,C1123,$D$5:$D$1504,"&lt;="&amp;E1123,$E$5:$E$1504,"&gt;="&amp;D1123,$F$5:$F$1504,"&lt;&gt;İptal")&gt;1,"Çakışıyor",""))</f>
        <v/>
      </c>
    </row>
    <row r="1124" customFormat="false" ht="15" hidden="false" customHeight="false" outlineLevel="0" collapsed="false">
      <c r="A1124" s="12"/>
      <c r="B1124" s="12"/>
      <c r="C1124" s="13"/>
      <c r="D1124" s="14"/>
      <c r="E1124" s="14"/>
      <c r="F1124" s="13"/>
      <c r="G1124" s="15"/>
      <c r="H1124" s="16" t="str">
        <f aca="false">IF(OR(D1124="",E1124="",E1124&lt;D1124),"",E1124-D1124+1)</f>
        <v/>
      </c>
      <c r="I1124" s="17" t="str">
        <f aca="false">IF(OR(H1124="",C1124=""),"",IF(F1124="İptal",0,H1124*IFERROR(INDEX(Ürünler!$B$5:$B$64,MATCH(C1124,Ürünler!$A$5:$A$64,0)),0)-G1124))</f>
        <v/>
      </c>
      <c r="J1124" s="18" t="str">
        <f aca="false">IF(OR(H1124="",C1124="",F1124="İptal"),"",IF(COUNTIFS($C$5:$C$1504,C1124,$D$5:$D$1504,"&lt;="&amp;E1124,$E$5:$E$1504,"&gt;="&amp;D1124,$F$5:$F$1504,"&lt;&gt;İptal")&gt;1,"Çakışıyor",""))</f>
        <v/>
      </c>
    </row>
    <row r="1125" customFormat="false" ht="15" hidden="false" customHeight="false" outlineLevel="0" collapsed="false">
      <c r="A1125" s="12"/>
      <c r="B1125" s="12"/>
      <c r="C1125" s="13"/>
      <c r="D1125" s="14"/>
      <c r="E1125" s="14"/>
      <c r="F1125" s="13"/>
      <c r="G1125" s="15"/>
      <c r="H1125" s="16" t="str">
        <f aca="false">IF(OR(D1125="",E1125="",E1125&lt;D1125),"",E1125-D1125+1)</f>
        <v/>
      </c>
      <c r="I1125" s="17" t="str">
        <f aca="false">IF(OR(H1125="",C1125=""),"",IF(F1125="İptal",0,H1125*IFERROR(INDEX(Ürünler!$B$5:$B$64,MATCH(C1125,Ürünler!$A$5:$A$64,0)),0)-G1125))</f>
        <v/>
      </c>
      <c r="J1125" s="18" t="str">
        <f aca="false">IF(OR(H1125="",C1125="",F1125="İptal"),"",IF(COUNTIFS($C$5:$C$1504,C1125,$D$5:$D$1504,"&lt;="&amp;E1125,$E$5:$E$1504,"&gt;="&amp;D1125,$F$5:$F$1504,"&lt;&gt;İptal")&gt;1,"Çakışıyor",""))</f>
        <v/>
      </c>
    </row>
    <row r="1126" customFormat="false" ht="15" hidden="false" customHeight="false" outlineLevel="0" collapsed="false">
      <c r="A1126" s="12"/>
      <c r="B1126" s="12"/>
      <c r="C1126" s="13"/>
      <c r="D1126" s="14"/>
      <c r="E1126" s="14"/>
      <c r="F1126" s="13"/>
      <c r="G1126" s="15"/>
      <c r="H1126" s="16" t="str">
        <f aca="false">IF(OR(D1126="",E1126="",E1126&lt;D1126),"",E1126-D1126+1)</f>
        <v/>
      </c>
      <c r="I1126" s="17" t="str">
        <f aca="false">IF(OR(H1126="",C1126=""),"",IF(F1126="İptal",0,H1126*IFERROR(INDEX(Ürünler!$B$5:$B$64,MATCH(C1126,Ürünler!$A$5:$A$64,0)),0)-G1126))</f>
        <v/>
      </c>
      <c r="J1126" s="18" t="str">
        <f aca="false">IF(OR(H1126="",C1126="",F1126="İptal"),"",IF(COUNTIFS($C$5:$C$1504,C1126,$D$5:$D$1504,"&lt;="&amp;E1126,$E$5:$E$1504,"&gt;="&amp;D1126,$F$5:$F$1504,"&lt;&gt;İptal")&gt;1,"Çakışıyor",""))</f>
        <v/>
      </c>
    </row>
    <row r="1127" customFormat="false" ht="15" hidden="false" customHeight="false" outlineLevel="0" collapsed="false">
      <c r="A1127" s="12"/>
      <c r="B1127" s="12"/>
      <c r="C1127" s="13"/>
      <c r="D1127" s="14"/>
      <c r="E1127" s="14"/>
      <c r="F1127" s="13"/>
      <c r="G1127" s="15"/>
      <c r="H1127" s="16" t="str">
        <f aca="false">IF(OR(D1127="",E1127="",E1127&lt;D1127),"",E1127-D1127+1)</f>
        <v/>
      </c>
      <c r="I1127" s="17" t="str">
        <f aca="false">IF(OR(H1127="",C1127=""),"",IF(F1127="İptal",0,H1127*IFERROR(INDEX(Ürünler!$B$5:$B$64,MATCH(C1127,Ürünler!$A$5:$A$64,0)),0)-G1127))</f>
        <v/>
      </c>
      <c r="J1127" s="18" t="str">
        <f aca="false">IF(OR(H1127="",C1127="",F1127="İptal"),"",IF(COUNTIFS($C$5:$C$1504,C1127,$D$5:$D$1504,"&lt;="&amp;E1127,$E$5:$E$1504,"&gt;="&amp;D1127,$F$5:$F$1504,"&lt;&gt;İptal")&gt;1,"Çakışıyor",""))</f>
        <v/>
      </c>
    </row>
    <row r="1128" customFormat="false" ht="15" hidden="false" customHeight="false" outlineLevel="0" collapsed="false">
      <c r="A1128" s="12"/>
      <c r="B1128" s="12"/>
      <c r="C1128" s="13"/>
      <c r="D1128" s="14"/>
      <c r="E1128" s="14"/>
      <c r="F1128" s="13"/>
      <c r="G1128" s="15"/>
      <c r="H1128" s="16" t="str">
        <f aca="false">IF(OR(D1128="",E1128="",E1128&lt;D1128),"",E1128-D1128+1)</f>
        <v/>
      </c>
      <c r="I1128" s="17" t="str">
        <f aca="false">IF(OR(H1128="",C1128=""),"",IF(F1128="İptal",0,H1128*IFERROR(INDEX(Ürünler!$B$5:$B$64,MATCH(C1128,Ürünler!$A$5:$A$64,0)),0)-G1128))</f>
        <v/>
      </c>
      <c r="J1128" s="18" t="str">
        <f aca="false">IF(OR(H1128="",C1128="",F1128="İptal"),"",IF(COUNTIFS($C$5:$C$1504,C1128,$D$5:$D$1504,"&lt;="&amp;E1128,$E$5:$E$1504,"&gt;="&amp;D1128,$F$5:$F$1504,"&lt;&gt;İptal")&gt;1,"Çakışıyor",""))</f>
        <v/>
      </c>
    </row>
    <row r="1129" customFormat="false" ht="15" hidden="false" customHeight="false" outlineLevel="0" collapsed="false">
      <c r="A1129" s="12"/>
      <c r="B1129" s="12"/>
      <c r="C1129" s="13"/>
      <c r="D1129" s="14"/>
      <c r="E1129" s="14"/>
      <c r="F1129" s="13"/>
      <c r="G1129" s="15"/>
      <c r="H1129" s="16" t="str">
        <f aca="false">IF(OR(D1129="",E1129="",E1129&lt;D1129),"",E1129-D1129+1)</f>
        <v/>
      </c>
      <c r="I1129" s="17" t="str">
        <f aca="false">IF(OR(H1129="",C1129=""),"",IF(F1129="İptal",0,H1129*IFERROR(INDEX(Ürünler!$B$5:$B$64,MATCH(C1129,Ürünler!$A$5:$A$64,0)),0)-G1129))</f>
        <v/>
      </c>
      <c r="J1129" s="18" t="str">
        <f aca="false">IF(OR(H1129="",C1129="",F1129="İptal"),"",IF(COUNTIFS($C$5:$C$1504,C1129,$D$5:$D$1504,"&lt;="&amp;E1129,$E$5:$E$1504,"&gt;="&amp;D1129,$F$5:$F$1504,"&lt;&gt;İptal")&gt;1,"Çakışıyor",""))</f>
        <v/>
      </c>
    </row>
    <row r="1130" customFormat="false" ht="15" hidden="false" customHeight="false" outlineLevel="0" collapsed="false">
      <c r="A1130" s="12"/>
      <c r="B1130" s="12"/>
      <c r="C1130" s="13"/>
      <c r="D1130" s="14"/>
      <c r="E1130" s="14"/>
      <c r="F1130" s="13"/>
      <c r="G1130" s="15"/>
      <c r="H1130" s="16" t="str">
        <f aca="false">IF(OR(D1130="",E1130="",E1130&lt;D1130),"",E1130-D1130+1)</f>
        <v/>
      </c>
      <c r="I1130" s="17" t="str">
        <f aca="false">IF(OR(H1130="",C1130=""),"",IF(F1130="İptal",0,H1130*IFERROR(INDEX(Ürünler!$B$5:$B$64,MATCH(C1130,Ürünler!$A$5:$A$64,0)),0)-G1130))</f>
        <v/>
      </c>
      <c r="J1130" s="18" t="str">
        <f aca="false">IF(OR(H1130="",C1130="",F1130="İptal"),"",IF(COUNTIFS($C$5:$C$1504,C1130,$D$5:$D$1504,"&lt;="&amp;E1130,$E$5:$E$1504,"&gt;="&amp;D1130,$F$5:$F$1504,"&lt;&gt;İptal")&gt;1,"Çakışıyor",""))</f>
        <v/>
      </c>
    </row>
    <row r="1131" customFormat="false" ht="15" hidden="false" customHeight="false" outlineLevel="0" collapsed="false">
      <c r="A1131" s="12"/>
      <c r="B1131" s="12"/>
      <c r="C1131" s="13"/>
      <c r="D1131" s="14"/>
      <c r="E1131" s="14"/>
      <c r="F1131" s="13"/>
      <c r="G1131" s="15"/>
      <c r="H1131" s="16" t="str">
        <f aca="false">IF(OR(D1131="",E1131="",E1131&lt;D1131),"",E1131-D1131+1)</f>
        <v/>
      </c>
      <c r="I1131" s="17" t="str">
        <f aca="false">IF(OR(H1131="",C1131=""),"",IF(F1131="İptal",0,H1131*IFERROR(INDEX(Ürünler!$B$5:$B$64,MATCH(C1131,Ürünler!$A$5:$A$64,0)),0)-G1131))</f>
        <v/>
      </c>
      <c r="J1131" s="18" t="str">
        <f aca="false">IF(OR(H1131="",C1131="",F1131="İptal"),"",IF(COUNTIFS($C$5:$C$1504,C1131,$D$5:$D$1504,"&lt;="&amp;E1131,$E$5:$E$1504,"&gt;="&amp;D1131,$F$5:$F$1504,"&lt;&gt;İptal")&gt;1,"Çakışıyor",""))</f>
        <v/>
      </c>
    </row>
    <row r="1132" customFormat="false" ht="15" hidden="false" customHeight="false" outlineLevel="0" collapsed="false">
      <c r="A1132" s="12"/>
      <c r="B1132" s="12"/>
      <c r="C1132" s="13"/>
      <c r="D1132" s="14"/>
      <c r="E1132" s="14"/>
      <c r="F1132" s="13"/>
      <c r="G1132" s="15"/>
      <c r="H1132" s="16" t="str">
        <f aca="false">IF(OR(D1132="",E1132="",E1132&lt;D1132),"",E1132-D1132+1)</f>
        <v/>
      </c>
      <c r="I1132" s="17" t="str">
        <f aca="false">IF(OR(H1132="",C1132=""),"",IF(F1132="İptal",0,H1132*IFERROR(INDEX(Ürünler!$B$5:$B$64,MATCH(C1132,Ürünler!$A$5:$A$64,0)),0)-G1132))</f>
        <v/>
      </c>
      <c r="J1132" s="18" t="str">
        <f aca="false">IF(OR(H1132="",C1132="",F1132="İptal"),"",IF(COUNTIFS($C$5:$C$1504,C1132,$D$5:$D$1504,"&lt;="&amp;E1132,$E$5:$E$1504,"&gt;="&amp;D1132,$F$5:$F$1504,"&lt;&gt;İptal")&gt;1,"Çakışıyor",""))</f>
        <v/>
      </c>
    </row>
    <row r="1133" customFormat="false" ht="15" hidden="false" customHeight="false" outlineLevel="0" collapsed="false">
      <c r="A1133" s="12"/>
      <c r="B1133" s="12"/>
      <c r="C1133" s="13"/>
      <c r="D1133" s="14"/>
      <c r="E1133" s="14"/>
      <c r="F1133" s="13"/>
      <c r="G1133" s="15"/>
      <c r="H1133" s="16" t="str">
        <f aca="false">IF(OR(D1133="",E1133="",E1133&lt;D1133),"",E1133-D1133+1)</f>
        <v/>
      </c>
      <c r="I1133" s="17" t="str">
        <f aca="false">IF(OR(H1133="",C1133=""),"",IF(F1133="İptal",0,H1133*IFERROR(INDEX(Ürünler!$B$5:$B$64,MATCH(C1133,Ürünler!$A$5:$A$64,0)),0)-G1133))</f>
        <v/>
      </c>
      <c r="J1133" s="18" t="str">
        <f aca="false">IF(OR(H1133="",C1133="",F1133="İptal"),"",IF(COUNTIFS($C$5:$C$1504,C1133,$D$5:$D$1504,"&lt;="&amp;E1133,$E$5:$E$1504,"&gt;="&amp;D1133,$F$5:$F$1504,"&lt;&gt;İptal")&gt;1,"Çakışıyor",""))</f>
        <v/>
      </c>
    </row>
    <row r="1134" customFormat="false" ht="15" hidden="false" customHeight="false" outlineLevel="0" collapsed="false">
      <c r="A1134" s="12"/>
      <c r="B1134" s="12"/>
      <c r="C1134" s="13"/>
      <c r="D1134" s="14"/>
      <c r="E1134" s="14"/>
      <c r="F1134" s="13"/>
      <c r="G1134" s="15"/>
      <c r="H1134" s="16" t="str">
        <f aca="false">IF(OR(D1134="",E1134="",E1134&lt;D1134),"",E1134-D1134+1)</f>
        <v/>
      </c>
      <c r="I1134" s="17" t="str">
        <f aca="false">IF(OR(H1134="",C1134=""),"",IF(F1134="İptal",0,H1134*IFERROR(INDEX(Ürünler!$B$5:$B$64,MATCH(C1134,Ürünler!$A$5:$A$64,0)),0)-G1134))</f>
        <v/>
      </c>
      <c r="J1134" s="18" t="str">
        <f aca="false">IF(OR(H1134="",C1134="",F1134="İptal"),"",IF(COUNTIFS($C$5:$C$1504,C1134,$D$5:$D$1504,"&lt;="&amp;E1134,$E$5:$E$1504,"&gt;="&amp;D1134,$F$5:$F$1504,"&lt;&gt;İptal")&gt;1,"Çakışıyor",""))</f>
        <v/>
      </c>
    </row>
    <row r="1135" customFormat="false" ht="15" hidden="false" customHeight="false" outlineLevel="0" collapsed="false">
      <c r="A1135" s="12"/>
      <c r="B1135" s="12"/>
      <c r="C1135" s="13"/>
      <c r="D1135" s="14"/>
      <c r="E1135" s="14"/>
      <c r="F1135" s="13"/>
      <c r="G1135" s="15"/>
      <c r="H1135" s="16" t="str">
        <f aca="false">IF(OR(D1135="",E1135="",E1135&lt;D1135),"",E1135-D1135+1)</f>
        <v/>
      </c>
      <c r="I1135" s="17" t="str">
        <f aca="false">IF(OR(H1135="",C1135=""),"",IF(F1135="İptal",0,H1135*IFERROR(INDEX(Ürünler!$B$5:$B$64,MATCH(C1135,Ürünler!$A$5:$A$64,0)),0)-G1135))</f>
        <v/>
      </c>
      <c r="J1135" s="18" t="str">
        <f aca="false">IF(OR(H1135="",C1135="",F1135="İptal"),"",IF(COUNTIFS($C$5:$C$1504,C1135,$D$5:$D$1504,"&lt;="&amp;E1135,$E$5:$E$1504,"&gt;="&amp;D1135,$F$5:$F$1504,"&lt;&gt;İptal")&gt;1,"Çakışıyor",""))</f>
        <v/>
      </c>
    </row>
    <row r="1136" customFormat="false" ht="15" hidden="false" customHeight="false" outlineLevel="0" collapsed="false">
      <c r="A1136" s="12"/>
      <c r="B1136" s="12"/>
      <c r="C1136" s="13"/>
      <c r="D1136" s="14"/>
      <c r="E1136" s="14"/>
      <c r="F1136" s="13"/>
      <c r="G1136" s="15"/>
      <c r="H1136" s="16" t="str">
        <f aca="false">IF(OR(D1136="",E1136="",E1136&lt;D1136),"",E1136-D1136+1)</f>
        <v/>
      </c>
      <c r="I1136" s="17" t="str">
        <f aca="false">IF(OR(H1136="",C1136=""),"",IF(F1136="İptal",0,H1136*IFERROR(INDEX(Ürünler!$B$5:$B$64,MATCH(C1136,Ürünler!$A$5:$A$64,0)),0)-G1136))</f>
        <v/>
      </c>
      <c r="J1136" s="18" t="str">
        <f aca="false">IF(OR(H1136="",C1136="",F1136="İptal"),"",IF(COUNTIFS($C$5:$C$1504,C1136,$D$5:$D$1504,"&lt;="&amp;E1136,$E$5:$E$1504,"&gt;="&amp;D1136,$F$5:$F$1504,"&lt;&gt;İptal")&gt;1,"Çakışıyor",""))</f>
        <v/>
      </c>
    </row>
    <row r="1137" customFormat="false" ht="15" hidden="false" customHeight="false" outlineLevel="0" collapsed="false">
      <c r="A1137" s="12"/>
      <c r="B1137" s="12"/>
      <c r="C1137" s="13"/>
      <c r="D1137" s="14"/>
      <c r="E1137" s="14"/>
      <c r="F1137" s="13"/>
      <c r="G1137" s="15"/>
      <c r="H1137" s="16" t="str">
        <f aca="false">IF(OR(D1137="",E1137="",E1137&lt;D1137),"",E1137-D1137+1)</f>
        <v/>
      </c>
      <c r="I1137" s="17" t="str">
        <f aca="false">IF(OR(H1137="",C1137=""),"",IF(F1137="İptal",0,H1137*IFERROR(INDEX(Ürünler!$B$5:$B$64,MATCH(C1137,Ürünler!$A$5:$A$64,0)),0)-G1137))</f>
        <v/>
      </c>
      <c r="J1137" s="18" t="str">
        <f aca="false">IF(OR(H1137="",C1137="",F1137="İptal"),"",IF(COUNTIFS($C$5:$C$1504,C1137,$D$5:$D$1504,"&lt;="&amp;E1137,$E$5:$E$1504,"&gt;="&amp;D1137,$F$5:$F$1504,"&lt;&gt;İptal")&gt;1,"Çakışıyor",""))</f>
        <v/>
      </c>
    </row>
    <row r="1138" customFormat="false" ht="15" hidden="false" customHeight="false" outlineLevel="0" collapsed="false">
      <c r="A1138" s="12"/>
      <c r="B1138" s="12"/>
      <c r="C1138" s="13"/>
      <c r="D1138" s="14"/>
      <c r="E1138" s="14"/>
      <c r="F1138" s="13"/>
      <c r="G1138" s="15"/>
      <c r="H1138" s="16" t="str">
        <f aca="false">IF(OR(D1138="",E1138="",E1138&lt;D1138),"",E1138-D1138+1)</f>
        <v/>
      </c>
      <c r="I1138" s="17" t="str">
        <f aca="false">IF(OR(H1138="",C1138=""),"",IF(F1138="İptal",0,H1138*IFERROR(INDEX(Ürünler!$B$5:$B$64,MATCH(C1138,Ürünler!$A$5:$A$64,0)),0)-G1138))</f>
        <v/>
      </c>
      <c r="J1138" s="18" t="str">
        <f aca="false">IF(OR(H1138="",C1138="",F1138="İptal"),"",IF(COUNTIFS($C$5:$C$1504,C1138,$D$5:$D$1504,"&lt;="&amp;E1138,$E$5:$E$1504,"&gt;="&amp;D1138,$F$5:$F$1504,"&lt;&gt;İptal")&gt;1,"Çakışıyor",""))</f>
        <v/>
      </c>
    </row>
    <row r="1139" customFormat="false" ht="15" hidden="false" customHeight="false" outlineLevel="0" collapsed="false">
      <c r="A1139" s="12"/>
      <c r="B1139" s="12"/>
      <c r="C1139" s="13"/>
      <c r="D1139" s="14"/>
      <c r="E1139" s="14"/>
      <c r="F1139" s="13"/>
      <c r="G1139" s="15"/>
      <c r="H1139" s="16" t="str">
        <f aca="false">IF(OR(D1139="",E1139="",E1139&lt;D1139),"",E1139-D1139+1)</f>
        <v/>
      </c>
      <c r="I1139" s="17" t="str">
        <f aca="false">IF(OR(H1139="",C1139=""),"",IF(F1139="İptal",0,H1139*IFERROR(INDEX(Ürünler!$B$5:$B$64,MATCH(C1139,Ürünler!$A$5:$A$64,0)),0)-G1139))</f>
        <v/>
      </c>
      <c r="J1139" s="18" t="str">
        <f aca="false">IF(OR(H1139="",C1139="",F1139="İptal"),"",IF(COUNTIFS($C$5:$C$1504,C1139,$D$5:$D$1504,"&lt;="&amp;E1139,$E$5:$E$1504,"&gt;="&amp;D1139,$F$5:$F$1504,"&lt;&gt;İptal")&gt;1,"Çakışıyor",""))</f>
        <v/>
      </c>
    </row>
    <row r="1140" customFormat="false" ht="15" hidden="false" customHeight="false" outlineLevel="0" collapsed="false">
      <c r="A1140" s="12"/>
      <c r="B1140" s="12"/>
      <c r="C1140" s="13"/>
      <c r="D1140" s="14"/>
      <c r="E1140" s="14"/>
      <c r="F1140" s="13"/>
      <c r="G1140" s="15"/>
      <c r="H1140" s="16" t="str">
        <f aca="false">IF(OR(D1140="",E1140="",E1140&lt;D1140),"",E1140-D1140+1)</f>
        <v/>
      </c>
      <c r="I1140" s="17" t="str">
        <f aca="false">IF(OR(H1140="",C1140=""),"",IF(F1140="İptal",0,H1140*IFERROR(INDEX(Ürünler!$B$5:$B$64,MATCH(C1140,Ürünler!$A$5:$A$64,0)),0)-G1140))</f>
        <v/>
      </c>
      <c r="J1140" s="18" t="str">
        <f aca="false">IF(OR(H1140="",C1140="",F1140="İptal"),"",IF(COUNTIFS($C$5:$C$1504,C1140,$D$5:$D$1504,"&lt;="&amp;E1140,$E$5:$E$1504,"&gt;="&amp;D1140,$F$5:$F$1504,"&lt;&gt;İptal")&gt;1,"Çakışıyor",""))</f>
        <v/>
      </c>
    </row>
    <row r="1141" customFormat="false" ht="15" hidden="false" customHeight="false" outlineLevel="0" collapsed="false">
      <c r="A1141" s="12"/>
      <c r="B1141" s="12"/>
      <c r="C1141" s="13"/>
      <c r="D1141" s="14"/>
      <c r="E1141" s="14"/>
      <c r="F1141" s="13"/>
      <c r="G1141" s="15"/>
      <c r="H1141" s="16" t="str">
        <f aca="false">IF(OR(D1141="",E1141="",E1141&lt;D1141),"",E1141-D1141+1)</f>
        <v/>
      </c>
      <c r="I1141" s="17" t="str">
        <f aca="false">IF(OR(H1141="",C1141=""),"",IF(F1141="İptal",0,H1141*IFERROR(INDEX(Ürünler!$B$5:$B$64,MATCH(C1141,Ürünler!$A$5:$A$64,0)),0)-G1141))</f>
        <v/>
      </c>
      <c r="J1141" s="18" t="str">
        <f aca="false">IF(OR(H1141="",C1141="",F1141="İptal"),"",IF(COUNTIFS($C$5:$C$1504,C1141,$D$5:$D$1504,"&lt;="&amp;E1141,$E$5:$E$1504,"&gt;="&amp;D1141,$F$5:$F$1504,"&lt;&gt;İptal")&gt;1,"Çakışıyor",""))</f>
        <v/>
      </c>
    </row>
    <row r="1142" customFormat="false" ht="15" hidden="false" customHeight="false" outlineLevel="0" collapsed="false">
      <c r="A1142" s="12"/>
      <c r="B1142" s="12"/>
      <c r="C1142" s="13"/>
      <c r="D1142" s="14"/>
      <c r="E1142" s="14"/>
      <c r="F1142" s="13"/>
      <c r="G1142" s="15"/>
      <c r="H1142" s="16" t="str">
        <f aca="false">IF(OR(D1142="",E1142="",E1142&lt;D1142),"",E1142-D1142+1)</f>
        <v/>
      </c>
      <c r="I1142" s="17" t="str">
        <f aca="false">IF(OR(H1142="",C1142=""),"",IF(F1142="İptal",0,H1142*IFERROR(INDEX(Ürünler!$B$5:$B$64,MATCH(C1142,Ürünler!$A$5:$A$64,0)),0)-G1142))</f>
        <v/>
      </c>
      <c r="J1142" s="18" t="str">
        <f aca="false">IF(OR(H1142="",C1142="",F1142="İptal"),"",IF(COUNTIFS($C$5:$C$1504,C1142,$D$5:$D$1504,"&lt;="&amp;E1142,$E$5:$E$1504,"&gt;="&amp;D1142,$F$5:$F$1504,"&lt;&gt;İptal")&gt;1,"Çakışıyor",""))</f>
        <v/>
      </c>
    </row>
    <row r="1143" customFormat="false" ht="15" hidden="false" customHeight="false" outlineLevel="0" collapsed="false">
      <c r="A1143" s="12"/>
      <c r="B1143" s="12"/>
      <c r="C1143" s="13"/>
      <c r="D1143" s="14"/>
      <c r="E1143" s="14"/>
      <c r="F1143" s="13"/>
      <c r="G1143" s="15"/>
      <c r="H1143" s="16" t="str">
        <f aca="false">IF(OR(D1143="",E1143="",E1143&lt;D1143),"",E1143-D1143+1)</f>
        <v/>
      </c>
      <c r="I1143" s="17" t="str">
        <f aca="false">IF(OR(H1143="",C1143=""),"",IF(F1143="İptal",0,H1143*IFERROR(INDEX(Ürünler!$B$5:$B$64,MATCH(C1143,Ürünler!$A$5:$A$64,0)),0)-G1143))</f>
        <v/>
      </c>
      <c r="J1143" s="18" t="str">
        <f aca="false">IF(OR(H1143="",C1143="",F1143="İptal"),"",IF(COUNTIFS($C$5:$C$1504,C1143,$D$5:$D$1504,"&lt;="&amp;E1143,$E$5:$E$1504,"&gt;="&amp;D1143,$F$5:$F$1504,"&lt;&gt;İptal")&gt;1,"Çakışıyor",""))</f>
        <v/>
      </c>
    </row>
    <row r="1144" customFormat="false" ht="15" hidden="false" customHeight="false" outlineLevel="0" collapsed="false">
      <c r="A1144" s="12"/>
      <c r="B1144" s="12"/>
      <c r="C1144" s="13"/>
      <c r="D1144" s="14"/>
      <c r="E1144" s="14"/>
      <c r="F1144" s="13"/>
      <c r="G1144" s="15"/>
      <c r="H1144" s="16" t="str">
        <f aca="false">IF(OR(D1144="",E1144="",E1144&lt;D1144),"",E1144-D1144+1)</f>
        <v/>
      </c>
      <c r="I1144" s="17" t="str">
        <f aca="false">IF(OR(H1144="",C1144=""),"",IF(F1144="İptal",0,H1144*IFERROR(INDEX(Ürünler!$B$5:$B$64,MATCH(C1144,Ürünler!$A$5:$A$64,0)),0)-G1144))</f>
        <v/>
      </c>
      <c r="J1144" s="18" t="str">
        <f aca="false">IF(OR(H1144="",C1144="",F1144="İptal"),"",IF(COUNTIFS($C$5:$C$1504,C1144,$D$5:$D$1504,"&lt;="&amp;E1144,$E$5:$E$1504,"&gt;="&amp;D1144,$F$5:$F$1504,"&lt;&gt;İptal")&gt;1,"Çakışıyor",""))</f>
        <v/>
      </c>
    </row>
    <row r="1145" customFormat="false" ht="15" hidden="false" customHeight="false" outlineLevel="0" collapsed="false">
      <c r="A1145" s="12"/>
      <c r="B1145" s="12"/>
      <c r="C1145" s="13"/>
      <c r="D1145" s="14"/>
      <c r="E1145" s="14"/>
      <c r="F1145" s="13"/>
      <c r="G1145" s="15"/>
      <c r="H1145" s="16" t="str">
        <f aca="false">IF(OR(D1145="",E1145="",E1145&lt;D1145),"",E1145-D1145+1)</f>
        <v/>
      </c>
      <c r="I1145" s="17" t="str">
        <f aca="false">IF(OR(H1145="",C1145=""),"",IF(F1145="İptal",0,H1145*IFERROR(INDEX(Ürünler!$B$5:$B$64,MATCH(C1145,Ürünler!$A$5:$A$64,0)),0)-G1145))</f>
        <v/>
      </c>
      <c r="J1145" s="18" t="str">
        <f aca="false">IF(OR(H1145="",C1145="",F1145="İptal"),"",IF(COUNTIFS($C$5:$C$1504,C1145,$D$5:$D$1504,"&lt;="&amp;E1145,$E$5:$E$1504,"&gt;="&amp;D1145,$F$5:$F$1504,"&lt;&gt;İptal")&gt;1,"Çakışıyor",""))</f>
        <v/>
      </c>
    </row>
    <row r="1146" customFormat="false" ht="15" hidden="false" customHeight="false" outlineLevel="0" collapsed="false">
      <c r="A1146" s="12"/>
      <c r="B1146" s="12"/>
      <c r="C1146" s="13"/>
      <c r="D1146" s="14"/>
      <c r="E1146" s="14"/>
      <c r="F1146" s="13"/>
      <c r="G1146" s="15"/>
      <c r="H1146" s="16" t="str">
        <f aca="false">IF(OR(D1146="",E1146="",E1146&lt;D1146),"",E1146-D1146+1)</f>
        <v/>
      </c>
      <c r="I1146" s="17" t="str">
        <f aca="false">IF(OR(H1146="",C1146=""),"",IF(F1146="İptal",0,H1146*IFERROR(INDEX(Ürünler!$B$5:$B$64,MATCH(C1146,Ürünler!$A$5:$A$64,0)),0)-G1146))</f>
        <v/>
      </c>
      <c r="J1146" s="18" t="str">
        <f aca="false">IF(OR(H1146="",C1146="",F1146="İptal"),"",IF(COUNTIFS($C$5:$C$1504,C1146,$D$5:$D$1504,"&lt;="&amp;E1146,$E$5:$E$1504,"&gt;="&amp;D1146,$F$5:$F$1504,"&lt;&gt;İptal")&gt;1,"Çakışıyor",""))</f>
        <v/>
      </c>
    </row>
    <row r="1147" customFormat="false" ht="15" hidden="false" customHeight="false" outlineLevel="0" collapsed="false">
      <c r="A1147" s="12"/>
      <c r="B1147" s="12"/>
      <c r="C1147" s="13"/>
      <c r="D1147" s="14"/>
      <c r="E1147" s="14"/>
      <c r="F1147" s="13"/>
      <c r="G1147" s="15"/>
      <c r="H1147" s="16" t="str">
        <f aca="false">IF(OR(D1147="",E1147="",E1147&lt;D1147),"",E1147-D1147+1)</f>
        <v/>
      </c>
      <c r="I1147" s="17" t="str">
        <f aca="false">IF(OR(H1147="",C1147=""),"",IF(F1147="İptal",0,H1147*IFERROR(INDEX(Ürünler!$B$5:$B$64,MATCH(C1147,Ürünler!$A$5:$A$64,0)),0)-G1147))</f>
        <v/>
      </c>
      <c r="J1147" s="18" t="str">
        <f aca="false">IF(OR(H1147="",C1147="",F1147="İptal"),"",IF(COUNTIFS($C$5:$C$1504,C1147,$D$5:$D$1504,"&lt;="&amp;E1147,$E$5:$E$1504,"&gt;="&amp;D1147,$F$5:$F$1504,"&lt;&gt;İptal")&gt;1,"Çakışıyor",""))</f>
        <v/>
      </c>
    </row>
    <row r="1148" customFormat="false" ht="15" hidden="false" customHeight="false" outlineLevel="0" collapsed="false">
      <c r="A1148" s="12"/>
      <c r="B1148" s="12"/>
      <c r="C1148" s="13"/>
      <c r="D1148" s="14"/>
      <c r="E1148" s="14"/>
      <c r="F1148" s="13"/>
      <c r="G1148" s="15"/>
      <c r="H1148" s="16" t="str">
        <f aca="false">IF(OR(D1148="",E1148="",E1148&lt;D1148),"",E1148-D1148+1)</f>
        <v/>
      </c>
      <c r="I1148" s="17" t="str">
        <f aca="false">IF(OR(H1148="",C1148=""),"",IF(F1148="İptal",0,H1148*IFERROR(INDEX(Ürünler!$B$5:$B$64,MATCH(C1148,Ürünler!$A$5:$A$64,0)),0)-G1148))</f>
        <v/>
      </c>
      <c r="J1148" s="18" t="str">
        <f aca="false">IF(OR(H1148="",C1148="",F1148="İptal"),"",IF(COUNTIFS($C$5:$C$1504,C1148,$D$5:$D$1504,"&lt;="&amp;E1148,$E$5:$E$1504,"&gt;="&amp;D1148,$F$5:$F$1504,"&lt;&gt;İptal")&gt;1,"Çakışıyor",""))</f>
        <v/>
      </c>
    </row>
    <row r="1149" customFormat="false" ht="15" hidden="false" customHeight="false" outlineLevel="0" collapsed="false">
      <c r="A1149" s="12"/>
      <c r="B1149" s="12"/>
      <c r="C1149" s="13"/>
      <c r="D1149" s="14"/>
      <c r="E1149" s="14"/>
      <c r="F1149" s="13"/>
      <c r="G1149" s="15"/>
      <c r="H1149" s="16" t="str">
        <f aca="false">IF(OR(D1149="",E1149="",E1149&lt;D1149),"",E1149-D1149+1)</f>
        <v/>
      </c>
      <c r="I1149" s="17" t="str">
        <f aca="false">IF(OR(H1149="",C1149=""),"",IF(F1149="İptal",0,H1149*IFERROR(INDEX(Ürünler!$B$5:$B$64,MATCH(C1149,Ürünler!$A$5:$A$64,0)),0)-G1149))</f>
        <v/>
      </c>
      <c r="J1149" s="18" t="str">
        <f aca="false">IF(OR(H1149="",C1149="",F1149="İptal"),"",IF(COUNTIFS($C$5:$C$1504,C1149,$D$5:$D$1504,"&lt;="&amp;E1149,$E$5:$E$1504,"&gt;="&amp;D1149,$F$5:$F$1504,"&lt;&gt;İptal")&gt;1,"Çakışıyor",""))</f>
        <v/>
      </c>
    </row>
    <row r="1150" customFormat="false" ht="15" hidden="false" customHeight="false" outlineLevel="0" collapsed="false">
      <c r="A1150" s="12"/>
      <c r="B1150" s="12"/>
      <c r="C1150" s="13"/>
      <c r="D1150" s="14"/>
      <c r="E1150" s="14"/>
      <c r="F1150" s="13"/>
      <c r="G1150" s="15"/>
      <c r="H1150" s="16" t="str">
        <f aca="false">IF(OR(D1150="",E1150="",E1150&lt;D1150),"",E1150-D1150+1)</f>
        <v/>
      </c>
      <c r="I1150" s="17" t="str">
        <f aca="false">IF(OR(H1150="",C1150=""),"",IF(F1150="İptal",0,H1150*IFERROR(INDEX(Ürünler!$B$5:$B$64,MATCH(C1150,Ürünler!$A$5:$A$64,0)),0)-G1150))</f>
        <v/>
      </c>
      <c r="J1150" s="18" t="str">
        <f aca="false">IF(OR(H1150="",C1150="",F1150="İptal"),"",IF(COUNTIFS($C$5:$C$1504,C1150,$D$5:$D$1504,"&lt;="&amp;E1150,$E$5:$E$1504,"&gt;="&amp;D1150,$F$5:$F$1504,"&lt;&gt;İptal")&gt;1,"Çakışıyor",""))</f>
        <v/>
      </c>
    </row>
    <row r="1151" customFormat="false" ht="15" hidden="false" customHeight="false" outlineLevel="0" collapsed="false">
      <c r="A1151" s="12"/>
      <c r="B1151" s="12"/>
      <c r="C1151" s="13"/>
      <c r="D1151" s="14"/>
      <c r="E1151" s="14"/>
      <c r="F1151" s="13"/>
      <c r="G1151" s="15"/>
      <c r="H1151" s="16" t="str">
        <f aca="false">IF(OR(D1151="",E1151="",E1151&lt;D1151),"",E1151-D1151+1)</f>
        <v/>
      </c>
      <c r="I1151" s="17" t="str">
        <f aca="false">IF(OR(H1151="",C1151=""),"",IF(F1151="İptal",0,H1151*IFERROR(INDEX(Ürünler!$B$5:$B$64,MATCH(C1151,Ürünler!$A$5:$A$64,0)),0)-G1151))</f>
        <v/>
      </c>
      <c r="J1151" s="18" t="str">
        <f aca="false">IF(OR(H1151="",C1151="",F1151="İptal"),"",IF(COUNTIFS($C$5:$C$1504,C1151,$D$5:$D$1504,"&lt;="&amp;E1151,$E$5:$E$1504,"&gt;="&amp;D1151,$F$5:$F$1504,"&lt;&gt;İptal")&gt;1,"Çakışıyor",""))</f>
        <v/>
      </c>
    </row>
    <row r="1152" customFormat="false" ht="15" hidden="false" customHeight="false" outlineLevel="0" collapsed="false">
      <c r="A1152" s="12"/>
      <c r="B1152" s="12"/>
      <c r="C1152" s="13"/>
      <c r="D1152" s="14"/>
      <c r="E1152" s="14"/>
      <c r="F1152" s="13"/>
      <c r="G1152" s="15"/>
      <c r="H1152" s="16" t="str">
        <f aca="false">IF(OR(D1152="",E1152="",E1152&lt;D1152),"",E1152-D1152+1)</f>
        <v/>
      </c>
      <c r="I1152" s="17" t="str">
        <f aca="false">IF(OR(H1152="",C1152=""),"",IF(F1152="İptal",0,H1152*IFERROR(INDEX(Ürünler!$B$5:$B$64,MATCH(C1152,Ürünler!$A$5:$A$64,0)),0)-G1152))</f>
        <v/>
      </c>
      <c r="J1152" s="18" t="str">
        <f aca="false">IF(OR(H1152="",C1152="",F1152="İptal"),"",IF(COUNTIFS($C$5:$C$1504,C1152,$D$5:$D$1504,"&lt;="&amp;E1152,$E$5:$E$1504,"&gt;="&amp;D1152,$F$5:$F$1504,"&lt;&gt;İptal")&gt;1,"Çakışıyor",""))</f>
        <v/>
      </c>
    </row>
    <row r="1153" customFormat="false" ht="15" hidden="false" customHeight="false" outlineLevel="0" collapsed="false">
      <c r="A1153" s="12"/>
      <c r="B1153" s="12"/>
      <c r="C1153" s="13"/>
      <c r="D1153" s="14"/>
      <c r="E1153" s="14"/>
      <c r="F1153" s="13"/>
      <c r="G1153" s="15"/>
      <c r="H1153" s="16" t="str">
        <f aca="false">IF(OR(D1153="",E1153="",E1153&lt;D1153),"",E1153-D1153+1)</f>
        <v/>
      </c>
      <c r="I1153" s="17" t="str">
        <f aca="false">IF(OR(H1153="",C1153=""),"",IF(F1153="İptal",0,H1153*IFERROR(INDEX(Ürünler!$B$5:$B$64,MATCH(C1153,Ürünler!$A$5:$A$64,0)),0)-G1153))</f>
        <v/>
      </c>
      <c r="J1153" s="18" t="str">
        <f aca="false">IF(OR(H1153="",C1153="",F1153="İptal"),"",IF(COUNTIFS($C$5:$C$1504,C1153,$D$5:$D$1504,"&lt;="&amp;E1153,$E$5:$E$1504,"&gt;="&amp;D1153,$F$5:$F$1504,"&lt;&gt;İptal")&gt;1,"Çakışıyor",""))</f>
        <v/>
      </c>
    </row>
    <row r="1154" customFormat="false" ht="15" hidden="false" customHeight="false" outlineLevel="0" collapsed="false">
      <c r="A1154" s="12"/>
      <c r="B1154" s="12"/>
      <c r="C1154" s="13"/>
      <c r="D1154" s="14"/>
      <c r="E1154" s="14"/>
      <c r="F1154" s="13"/>
      <c r="G1154" s="15"/>
      <c r="H1154" s="16" t="str">
        <f aca="false">IF(OR(D1154="",E1154="",E1154&lt;D1154),"",E1154-D1154+1)</f>
        <v/>
      </c>
      <c r="I1154" s="17" t="str">
        <f aca="false">IF(OR(H1154="",C1154=""),"",IF(F1154="İptal",0,H1154*IFERROR(INDEX(Ürünler!$B$5:$B$64,MATCH(C1154,Ürünler!$A$5:$A$64,0)),0)-G1154))</f>
        <v/>
      </c>
      <c r="J1154" s="18" t="str">
        <f aca="false">IF(OR(H1154="",C1154="",F1154="İptal"),"",IF(COUNTIFS($C$5:$C$1504,C1154,$D$5:$D$1504,"&lt;="&amp;E1154,$E$5:$E$1504,"&gt;="&amp;D1154,$F$5:$F$1504,"&lt;&gt;İptal")&gt;1,"Çakışıyor",""))</f>
        <v/>
      </c>
    </row>
    <row r="1155" customFormat="false" ht="15" hidden="false" customHeight="false" outlineLevel="0" collapsed="false">
      <c r="A1155" s="12"/>
      <c r="B1155" s="12"/>
      <c r="C1155" s="13"/>
      <c r="D1155" s="14"/>
      <c r="E1155" s="14"/>
      <c r="F1155" s="13"/>
      <c r="G1155" s="15"/>
      <c r="H1155" s="16" t="str">
        <f aca="false">IF(OR(D1155="",E1155="",E1155&lt;D1155),"",E1155-D1155+1)</f>
        <v/>
      </c>
      <c r="I1155" s="17" t="str">
        <f aca="false">IF(OR(H1155="",C1155=""),"",IF(F1155="İptal",0,H1155*IFERROR(INDEX(Ürünler!$B$5:$B$64,MATCH(C1155,Ürünler!$A$5:$A$64,0)),0)-G1155))</f>
        <v/>
      </c>
      <c r="J1155" s="18" t="str">
        <f aca="false">IF(OR(H1155="",C1155="",F1155="İptal"),"",IF(COUNTIFS($C$5:$C$1504,C1155,$D$5:$D$1504,"&lt;="&amp;E1155,$E$5:$E$1504,"&gt;="&amp;D1155,$F$5:$F$1504,"&lt;&gt;İptal")&gt;1,"Çakışıyor",""))</f>
        <v/>
      </c>
    </row>
    <row r="1156" customFormat="false" ht="15" hidden="false" customHeight="false" outlineLevel="0" collapsed="false">
      <c r="A1156" s="12"/>
      <c r="B1156" s="12"/>
      <c r="C1156" s="13"/>
      <c r="D1156" s="14"/>
      <c r="E1156" s="14"/>
      <c r="F1156" s="13"/>
      <c r="G1156" s="15"/>
      <c r="H1156" s="16" t="str">
        <f aca="false">IF(OR(D1156="",E1156="",E1156&lt;D1156),"",E1156-D1156+1)</f>
        <v/>
      </c>
      <c r="I1156" s="17" t="str">
        <f aca="false">IF(OR(H1156="",C1156=""),"",IF(F1156="İptal",0,H1156*IFERROR(INDEX(Ürünler!$B$5:$B$64,MATCH(C1156,Ürünler!$A$5:$A$64,0)),0)-G1156))</f>
        <v/>
      </c>
      <c r="J1156" s="18" t="str">
        <f aca="false">IF(OR(H1156="",C1156="",F1156="İptal"),"",IF(COUNTIFS($C$5:$C$1504,C1156,$D$5:$D$1504,"&lt;="&amp;E1156,$E$5:$E$1504,"&gt;="&amp;D1156,$F$5:$F$1504,"&lt;&gt;İptal")&gt;1,"Çakışıyor",""))</f>
        <v/>
      </c>
    </row>
    <row r="1157" customFormat="false" ht="15" hidden="false" customHeight="false" outlineLevel="0" collapsed="false">
      <c r="A1157" s="12"/>
      <c r="B1157" s="12"/>
      <c r="C1157" s="13"/>
      <c r="D1157" s="14"/>
      <c r="E1157" s="14"/>
      <c r="F1157" s="13"/>
      <c r="G1157" s="15"/>
      <c r="H1157" s="16" t="str">
        <f aca="false">IF(OR(D1157="",E1157="",E1157&lt;D1157),"",E1157-D1157+1)</f>
        <v/>
      </c>
      <c r="I1157" s="17" t="str">
        <f aca="false">IF(OR(H1157="",C1157=""),"",IF(F1157="İptal",0,H1157*IFERROR(INDEX(Ürünler!$B$5:$B$64,MATCH(C1157,Ürünler!$A$5:$A$64,0)),0)-G1157))</f>
        <v/>
      </c>
      <c r="J1157" s="18" t="str">
        <f aca="false">IF(OR(H1157="",C1157="",F1157="İptal"),"",IF(COUNTIFS($C$5:$C$1504,C1157,$D$5:$D$1504,"&lt;="&amp;E1157,$E$5:$E$1504,"&gt;="&amp;D1157,$F$5:$F$1504,"&lt;&gt;İptal")&gt;1,"Çakışıyor",""))</f>
        <v/>
      </c>
    </row>
    <row r="1158" customFormat="false" ht="15" hidden="false" customHeight="false" outlineLevel="0" collapsed="false">
      <c r="A1158" s="12"/>
      <c r="B1158" s="12"/>
      <c r="C1158" s="13"/>
      <c r="D1158" s="14"/>
      <c r="E1158" s="14"/>
      <c r="F1158" s="13"/>
      <c r="G1158" s="15"/>
      <c r="H1158" s="16" t="str">
        <f aca="false">IF(OR(D1158="",E1158="",E1158&lt;D1158),"",E1158-D1158+1)</f>
        <v/>
      </c>
      <c r="I1158" s="17" t="str">
        <f aca="false">IF(OR(H1158="",C1158=""),"",IF(F1158="İptal",0,H1158*IFERROR(INDEX(Ürünler!$B$5:$B$64,MATCH(C1158,Ürünler!$A$5:$A$64,0)),0)-G1158))</f>
        <v/>
      </c>
      <c r="J1158" s="18" t="str">
        <f aca="false">IF(OR(H1158="",C1158="",F1158="İptal"),"",IF(COUNTIFS($C$5:$C$1504,C1158,$D$5:$D$1504,"&lt;="&amp;E1158,$E$5:$E$1504,"&gt;="&amp;D1158,$F$5:$F$1504,"&lt;&gt;İptal")&gt;1,"Çakışıyor",""))</f>
        <v/>
      </c>
    </row>
    <row r="1159" customFormat="false" ht="15" hidden="false" customHeight="false" outlineLevel="0" collapsed="false">
      <c r="A1159" s="12"/>
      <c r="B1159" s="12"/>
      <c r="C1159" s="13"/>
      <c r="D1159" s="14"/>
      <c r="E1159" s="14"/>
      <c r="F1159" s="13"/>
      <c r="G1159" s="15"/>
      <c r="H1159" s="16" t="str">
        <f aca="false">IF(OR(D1159="",E1159="",E1159&lt;D1159),"",E1159-D1159+1)</f>
        <v/>
      </c>
      <c r="I1159" s="17" t="str">
        <f aca="false">IF(OR(H1159="",C1159=""),"",IF(F1159="İptal",0,H1159*IFERROR(INDEX(Ürünler!$B$5:$B$64,MATCH(C1159,Ürünler!$A$5:$A$64,0)),0)-G1159))</f>
        <v/>
      </c>
      <c r="J1159" s="18" t="str">
        <f aca="false">IF(OR(H1159="",C1159="",F1159="İptal"),"",IF(COUNTIFS($C$5:$C$1504,C1159,$D$5:$D$1504,"&lt;="&amp;E1159,$E$5:$E$1504,"&gt;="&amp;D1159,$F$5:$F$1504,"&lt;&gt;İptal")&gt;1,"Çakışıyor",""))</f>
        <v/>
      </c>
    </row>
    <row r="1160" customFormat="false" ht="15" hidden="false" customHeight="false" outlineLevel="0" collapsed="false">
      <c r="A1160" s="12"/>
      <c r="B1160" s="12"/>
      <c r="C1160" s="13"/>
      <c r="D1160" s="14"/>
      <c r="E1160" s="14"/>
      <c r="F1160" s="13"/>
      <c r="G1160" s="15"/>
      <c r="H1160" s="16" t="str">
        <f aca="false">IF(OR(D1160="",E1160="",E1160&lt;D1160),"",E1160-D1160+1)</f>
        <v/>
      </c>
      <c r="I1160" s="17" t="str">
        <f aca="false">IF(OR(H1160="",C1160=""),"",IF(F1160="İptal",0,H1160*IFERROR(INDEX(Ürünler!$B$5:$B$64,MATCH(C1160,Ürünler!$A$5:$A$64,0)),0)-G1160))</f>
        <v/>
      </c>
      <c r="J1160" s="18" t="str">
        <f aca="false">IF(OR(H1160="",C1160="",F1160="İptal"),"",IF(COUNTIFS($C$5:$C$1504,C1160,$D$5:$D$1504,"&lt;="&amp;E1160,$E$5:$E$1504,"&gt;="&amp;D1160,$F$5:$F$1504,"&lt;&gt;İptal")&gt;1,"Çakışıyor",""))</f>
        <v/>
      </c>
    </row>
    <row r="1161" customFormat="false" ht="15" hidden="false" customHeight="false" outlineLevel="0" collapsed="false">
      <c r="A1161" s="12"/>
      <c r="B1161" s="12"/>
      <c r="C1161" s="13"/>
      <c r="D1161" s="14"/>
      <c r="E1161" s="14"/>
      <c r="F1161" s="13"/>
      <c r="G1161" s="15"/>
      <c r="H1161" s="16" t="str">
        <f aca="false">IF(OR(D1161="",E1161="",E1161&lt;D1161),"",E1161-D1161+1)</f>
        <v/>
      </c>
      <c r="I1161" s="17" t="str">
        <f aca="false">IF(OR(H1161="",C1161=""),"",IF(F1161="İptal",0,H1161*IFERROR(INDEX(Ürünler!$B$5:$B$64,MATCH(C1161,Ürünler!$A$5:$A$64,0)),0)-G1161))</f>
        <v/>
      </c>
      <c r="J1161" s="18" t="str">
        <f aca="false">IF(OR(H1161="",C1161="",F1161="İptal"),"",IF(COUNTIFS($C$5:$C$1504,C1161,$D$5:$D$1504,"&lt;="&amp;E1161,$E$5:$E$1504,"&gt;="&amp;D1161,$F$5:$F$1504,"&lt;&gt;İptal")&gt;1,"Çakışıyor",""))</f>
        <v/>
      </c>
    </row>
    <row r="1162" customFormat="false" ht="15" hidden="false" customHeight="false" outlineLevel="0" collapsed="false">
      <c r="A1162" s="12"/>
      <c r="B1162" s="12"/>
      <c r="C1162" s="13"/>
      <c r="D1162" s="14"/>
      <c r="E1162" s="14"/>
      <c r="F1162" s="13"/>
      <c r="G1162" s="15"/>
      <c r="H1162" s="16" t="str">
        <f aca="false">IF(OR(D1162="",E1162="",E1162&lt;D1162),"",E1162-D1162+1)</f>
        <v/>
      </c>
      <c r="I1162" s="17" t="str">
        <f aca="false">IF(OR(H1162="",C1162=""),"",IF(F1162="İptal",0,H1162*IFERROR(INDEX(Ürünler!$B$5:$B$64,MATCH(C1162,Ürünler!$A$5:$A$64,0)),0)-G1162))</f>
        <v/>
      </c>
      <c r="J1162" s="18" t="str">
        <f aca="false">IF(OR(H1162="",C1162="",F1162="İptal"),"",IF(COUNTIFS($C$5:$C$1504,C1162,$D$5:$D$1504,"&lt;="&amp;E1162,$E$5:$E$1504,"&gt;="&amp;D1162,$F$5:$F$1504,"&lt;&gt;İptal")&gt;1,"Çakışıyor",""))</f>
        <v/>
      </c>
    </row>
    <row r="1163" customFormat="false" ht="15" hidden="false" customHeight="false" outlineLevel="0" collapsed="false">
      <c r="A1163" s="12"/>
      <c r="B1163" s="12"/>
      <c r="C1163" s="13"/>
      <c r="D1163" s="14"/>
      <c r="E1163" s="14"/>
      <c r="F1163" s="13"/>
      <c r="G1163" s="15"/>
      <c r="H1163" s="16" t="str">
        <f aca="false">IF(OR(D1163="",E1163="",E1163&lt;D1163),"",E1163-D1163+1)</f>
        <v/>
      </c>
      <c r="I1163" s="17" t="str">
        <f aca="false">IF(OR(H1163="",C1163=""),"",IF(F1163="İptal",0,H1163*IFERROR(INDEX(Ürünler!$B$5:$B$64,MATCH(C1163,Ürünler!$A$5:$A$64,0)),0)-G1163))</f>
        <v/>
      </c>
      <c r="J1163" s="18" t="str">
        <f aca="false">IF(OR(H1163="",C1163="",F1163="İptal"),"",IF(COUNTIFS($C$5:$C$1504,C1163,$D$5:$D$1504,"&lt;="&amp;E1163,$E$5:$E$1504,"&gt;="&amp;D1163,$F$5:$F$1504,"&lt;&gt;İptal")&gt;1,"Çakışıyor",""))</f>
        <v/>
      </c>
    </row>
    <row r="1164" customFormat="false" ht="15" hidden="false" customHeight="false" outlineLevel="0" collapsed="false">
      <c r="A1164" s="12"/>
      <c r="B1164" s="12"/>
      <c r="C1164" s="13"/>
      <c r="D1164" s="14"/>
      <c r="E1164" s="14"/>
      <c r="F1164" s="13"/>
      <c r="G1164" s="15"/>
      <c r="H1164" s="16" t="str">
        <f aca="false">IF(OR(D1164="",E1164="",E1164&lt;D1164),"",E1164-D1164+1)</f>
        <v/>
      </c>
      <c r="I1164" s="17" t="str">
        <f aca="false">IF(OR(H1164="",C1164=""),"",IF(F1164="İptal",0,H1164*IFERROR(INDEX(Ürünler!$B$5:$B$64,MATCH(C1164,Ürünler!$A$5:$A$64,0)),0)-G1164))</f>
        <v/>
      </c>
      <c r="J1164" s="18" t="str">
        <f aca="false">IF(OR(H1164="",C1164="",F1164="İptal"),"",IF(COUNTIFS($C$5:$C$1504,C1164,$D$5:$D$1504,"&lt;="&amp;E1164,$E$5:$E$1504,"&gt;="&amp;D1164,$F$5:$F$1504,"&lt;&gt;İptal")&gt;1,"Çakışıyor",""))</f>
        <v/>
      </c>
    </row>
    <row r="1165" customFormat="false" ht="15" hidden="false" customHeight="false" outlineLevel="0" collapsed="false">
      <c r="A1165" s="12"/>
      <c r="B1165" s="12"/>
      <c r="C1165" s="13"/>
      <c r="D1165" s="14"/>
      <c r="E1165" s="14"/>
      <c r="F1165" s="13"/>
      <c r="G1165" s="15"/>
      <c r="H1165" s="16" t="str">
        <f aca="false">IF(OR(D1165="",E1165="",E1165&lt;D1165),"",E1165-D1165+1)</f>
        <v/>
      </c>
      <c r="I1165" s="17" t="str">
        <f aca="false">IF(OR(H1165="",C1165=""),"",IF(F1165="İptal",0,H1165*IFERROR(INDEX(Ürünler!$B$5:$B$64,MATCH(C1165,Ürünler!$A$5:$A$64,0)),0)-G1165))</f>
        <v/>
      </c>
      <c r="J1165" s="18" t="str">
        <f aca="false">IF(OR(H1165="",C1165="",F1165="İptal"),"",IF(COUNTIFS($C$5:$C$1504,C1165,$D$5:$D$1504,"&lt;="&amp;E1165,$E$5:$E$1504,"&gt;="&amp;D1165,$F$5:$F$1504,"&lt;&gt;İptal")&gt;1,"Çakışıyor",""))</f>
        <v/>
      </c>
    </row>
    <row r="1166" customFormat="false" ht="15" hidden="false" customHeight="false" outlineLevel="0" collapsed="false">
      <c r="A1166" s="12"/>
      <c r="B1166" s="12"/>
      <c r="C1166" s="13"/>
      <c r="D1166" s="14"/>
      <c r="E1166" s="14"/>
      <c r="F1166" s="13"/>
      <c r="G1166" s="15"/>
      <c r="H1166" s="16" t="str">
        <f aca="false">IF(OR(D1166="",E1166="",E1166&lt;D1166),"",E1166-D1166+1)</f>
        <v/>
      </c>
      <c r="I1166" s="17" t="str">
        <f aca="false">IF(OR(H1166="",C1166=""),"",IF(F1166="İptal",0,H1166*IFERROR(INDEX(Ürünler!$B$5:$B$64,MATCH(C1166,Ürünler!$A$5:$A$64,0)),0)-G1166))</f>
        <v/>
      </c>
      <c r="J1166" s="18" t="str">
        <f aca="false">IF(OR(H1166="",C1166="",F1166="İptal"),"",IF(COUNTIFS($C$5:$C$1504,C1166,$D$5:$D$1504,"&lt;="&amp;E1166,$E$5:$E$1504,"&gt;="&amp;D1166,$F$5:$F$1504,"&lt;&gt;İptal")&gt;1,"Çakışıyor",""))</f>
        <v/>
      </c>
    </row>
    <row r="1167" customFormat="false" ht="15" hidden="false" customHeight="false" outlineLevel="0" collapsed="false">
      <c r="A1167" s="12"/>
      <c r="B1167" s="12"/>
      <c r="C1167" s="13"/>
      <c r="D1167" s="14"/>
      <c r="E1167" s="14"/>
      <c r="F1167" s="13"/>
      <c r="G1167" s="15"/>
      <c r="H1167" s="16" t="str">
        <f aca="false">IF(OR(D1167="",E1167="",E1167&lt;D1167),"",E1167-D1167+1)</f>
        <v/>
      </c>
      <c r="I1167" s="17" t="str">
        <f aca="false">IF(OR(H1167="",C1167=""),"",IF(F1167="İptal",0,H1167*IFERROR(INDEX(Ürünler!$B$5:$B$64,MATCH(C1167,Ürünler!$A$5:$A$64,0)),0)-G1167))</f>
        <v/>
      </c>
      <c r="J1167" s="18" t="str">
        <f aca="false">IF(OR(H1167="",C1167="",F1167="İptal"),"",IF(COUNTIFS($C$5:$C$1504,C1167,$D$5:$D$1504,"&lt;="&amp;E1167,$E$5:$E$1504,"&gt;="&amp;D1167,$F$5:$F$1504,"&lt;&gt;İptal")&gt;1,"Çakışıyor",""))</f>
        <v/>
      </c>
    </row>
    <row r="1168" customFormat="false" ht="15" hidden="false" customHeight="false" outlineLevel="0" collapsed="false">
      <c r="A1168" s="12"/>
      <c r="B1168" s="12"/>
      <c r="C1168" s="13"/>
      <c r="D1168" s="14"/>
      <c r="E1168" s="14"/>
      <c r="F1168" s="13"/>
      <c r="G1168" s="15"/>
      <c r="H1168" s="16" t="str">
        <f aca="false">IF(OR(D1168="",E1168="",E1168&lt;D1168),"",E1168-D1168+1)</f>
        <v/>
      </c>
      <c r="I1168" s="17" t="str">
        <f aca="false">IF(OR(H1168="",C1168=""),"",IF(F1168="İptal",0,H1168*IFERROR(INDEX(Ürünler!$B$5:$B$64,MATCH(C1168,Ürünler!$A$5:$A$64,0)),0)-G1168))</f>
        <v/>
      </c>
      <c r="J1168" s="18" t="str">
        <f aca="false">IF(OR(H1168="",C1168="",F1168="İptal"),"",IF(COUNTIFS($C$5:$C$1504,C1168,$D$5:$D$1504,"&lt;="&amp;E1168,$E$5:$E$1504,"&gt;="&amp;D1168,$F$5:$F$1504,"&lt;&gt;İptal")&gt;1,"Çakışıyor",""))</f>
        <v/>
      </c>
    </row>
    <row r="1169" customFormat="false" ht="15" hidden="false" customHeight="false" outlineLevel="0" collapsed="false">
      <c r="A1169" s="12"/>
      <c r="B1169" s="12"/>
      <c r="C1169" s="13"/>
      <c r="D1169" s="14"/>
      <c r="E1169" s="14"/>
      <c r="F1169" s="13"/>
      <c r="G1169" s="15"/>
      <c r="H1169" s="16" t="str">
        <f aca="false">IF(OR(D1169="",E1169="",E1169&lt;D1169),"",E1169-D1169+1)</f>
        <v/>
      </c>
      <c r="I1169" s="17" t="str">
        <f aca="false">IF(OR(H1169="",C1169=""),"",IF(F1169="İptal",0,H1169*IFERROR(INDEX(Ürünler!$B$5:$B$64,MATCH(C1169,Ürünler!$A$5:$A$64,0)),0)-G1169))</f>
        <v/>
      </c>
      <c r="J1169" s="18" t="str">
        <f aca="false">IF(OR(H1169="",C1169="",F1169="İptal"),"",IF(COUNTIFS($C$5:$C$1504,C1169,$D$5:$D$1504,"&lt;="&amp;E1169,$E$5:$E$1504,"&gt;="&amp;D1169,$F$5:$F$1504,"&lt;&gt;İptal")&gt;1,"Çakışıyor",""))</f>
        <v/>
      </c>
    </row>
    <row r="1170" customFormat="false" ht="15" hidden="false" customHeight="false" outlineLevel="0" collapsed="false">
      <c r="A1170" s="12"/>
      <c r="B1170" s="12"/>
      <c r="C1170" s="13"/>
      <c r="D1170" s="14"/>
      <c r="E1170" s="14"/>
      <c r="F1170" s="13"/>
      <c r="G1170" s="15"/>
      <c r="H1170" s="16" t="str">
        <f aca="false">IF(OR(D1170="",E1170="",E1170&lt;D1170),"",E1170-D1170+1)</f>
        <v/>
      </c>
      <c r="I1170" s="17" t="str">
        <f aca="false">IF(OR(H1170="",C1170=""),"",IF(F1170="İptal",0,H1170*IFERROR(INDEX(Ürünler!$B$5:$B$64,MATCH(C1170,Ürünler!$A$5:$A$64,0)),0)-G1170))</f>
        <v/>
      </c>
      <c r="J1170" s="18" t="str">
        <f aca="false">IF(OR(H1170="",C1170="",F1170="İptal"),"",IF(COUNTIFS($C$5:$C$1504,C1170,$D$5:$D$1504,"&lt;="&amp;E1170,$E$5:$E$1504,"&gt;="&amp;D1170,$F$5:$F$1504,"&lt;&gt;İptal")&gt;1,"Çakışıyor",""))</f>
        <v/>
      </c>
    </row>
    <row r="1171" customFormat="false" ht="15" hidden="false" customHeight="false" outlineLevel="0" collapsed="false">
      <c r="A1171" s="12"/>
      <c r="B1171" s="12"/>
      <c r="C1171" s="13"/>
      <c r="D1171" s="14"/>
      <c r="E1171" s="14"/>
      <c r="F1171" s="13"/>
      <c r="G1171" s="15"/>
      <c r="H1171" s="16" t="str">
        <f aca="false">IF(OR(D1171="",E1171="",E1171&lt;D1171),"",E1171-D1171+1)</f>
        <v/>
      </c>
      <c r="I1171" s="17" t="str">
        <f aca="false">IF(OR(H1171="",C1171=""),"",IF(F1171="İptal",0,H1171*IFERROR(INDEX(Ürünler!$B$5:$B$64,MATCH(C1171,Ürünler!$A$5:$A$64,0)),0)-G1171))</f>
        <v/>
      </c>
      <c r="J1171" s="18" t="str">
        <f aca="false">IF(OR(H1171="",C1171="",F1171="İptal"),"",IF(COUNTIFS($C$5:$C$1504,C1171,$D$5:$D$1504,"&lt;="&amp;E1171,$E$5:$E$1504,"&gt;="&amp;D1171,$F$5:$F$1504,"&lt;&gt;İptal")&gt;1,"Çakışıyor",""))</f>
        <v/>
      </c>
    </row>
    <row r="1172" customFormat="false" ht="15" hidden="false" customHeight="false" outlineLevel="0" collapsed="false">
      <c r="A1172" s="12"/>
      <c r="B1172" s="12"/>
      <c r="C1172" s="13"/>
      <c r="D1172" s="14"/>
      <c r="E1172" s="14"/>
      <c r="F1172" s="13"/>
      <c r="G1172" s="15"/>
      <c r="H1172" s="16" t="str">
        <f aca="false">IF(OR(D1172="",E1172="",E1172&lt;D1172),"",E1172-D1172+1)</f>
        <v/>
      </c>
      <c r="I1172" s="17" t="str">
        <f aca="false">IF(OR(H1172="",C1172=""),"",IF(F1172="İptal",0,H1172*IFERROR(INDEX(Ürünler!$B$5:$B$64,MATCH(C1172,Ürünler!$A$5:$A$64,0)),0)-G1172))</f>
        <v/>
      </c>
      <c r="J1172" s="18" t="str">
        <f aca="false">IF(OR(H1172="",C1172="",F1172="İptal"),"",IF(COUNTIFS($C$5:$C$1504,C1172,$D$5:$D$1504,"&lt;="&amp;E1172,$E$5:$E$1504,"&gt;="&amp;D1172,$F$5:$F$1504,"&lt;&gt;İptal")&gt;1,"Çakışıyor",""))</f>
        <v/>
      </c>
    </row>
    <row r="1173" customFormat="false" ht="15" hidden="false" customHeight="false" outlineLevel="0" collapsed="false">
      <c r="A1173" s="12"/>
      <c r="B1173" s="12"/>
      <c r="C1173" s="13"/>
      <c r="D1173" s="14"/>
      <c r="E1173" s="14"/>
      <c r="F1173" s="13"/>
      <c r="G1173" s="15"/>
      <c r="H1173" s="16" t="str">
        <f aca="false">IF(OR(D1173="",E1173="",E1173&lt;D1173),"",E1173-D1173+1)</f>
        <v/>
      </c>
      <c r="I1173" s="17" t="str">
        <f aca="false">IF(OR(H1173="",C1173=""),"",IF(F1173="İptal",0,H1173*IFERROR(INDEX(Ürünler!$B$5:$B$64,MATCH(C1173,Ürünler!$A$5:$A$64,0)),0)-G1173))</f>
        <v/>
      </c>
      <c r="J1173" s="18" t="str">
        <f aca="false">IF(OR(H1173="",C1173="",F1173="İptal"),"",IF(COUNTIFS($C$5:$C$1504,C1173,$D$5:$D$1504,"&lt;="&amp;E1173,$E$5:$E$1504,"&gt;="&amp;D1173,$F$5:$F$1504,"&lt;&gt;İptal")&gt;1,"Çakışıyor",""))</f>
        <v/>
      </c>
    </row>
    <row r="1174" customFormat="false" ht="15" hidden="false" customHeight="false" outlineLevel="0" collapsed="false">
      <c r="A1174" s="12"/>
      <c r="B1174" s="12"/>
      <c r="C1174" s="13"/>
      <c r="D1174" s="14"/>
      <c r="E1174" s="14"/>
      <c r="F1174" s="13"/>
      <c r="G1174" s="15"/>
      <c r="H1174" s="16" t="str">
        <f aca="false">IF(OR(D1174="",E1174="",E1174&lt;D1174),"",E1174-D1174+1)</f>
        <v/>
      </c>
      <c r="I1174" s="17" t="str">
        <f aca="false">IF(OR(H1174="",C1174=""),"",IF(F1174="İptal",0,H1174*IFERROR(INDEX(Ürünler!$B$5:$B$64,MATCH(C1174,Ürünler!$A$5:$A$64,0)),0)-G1174))</f>
        <v/>
      </c>
      <c r="J1174" s="18" t="str">
        <f aca="false">IF(OR(H1174="",C1174="",F1174="İptal"),"",IF(COUNTIFS($C$5:$C$1504,C1174,$D$5:$D$1504,"&lt;="&amp;E1174,$E$5:$E$1504,"&gt;="&amp;D1174,$F$5:$F$1504,"&lt;&gt;İptal")&gt;1,"Çakışıyor",""))</f>
        <v/>
      </c>
    </row>
    <row r="1175" customFormat="false" ht="15" hidden="false" customHeight="false" outlineLevel="0" collapsed="false">
      <c r="A1175" s="12"/>
      <c r="B1175" s="12"/>
      <c r="C1175" s="13"/>
      <c r="D1175" s="14"/>
      <c r="E1175" s="14"/>
      <c r="F1175" s="13"/>
      <c r="G1175" s="15"/>
      <c r="H1175" s="16" t="str">
        <f aca="false">IF(OR(D1175="",E1175="",E1175&lt;D1175),"",E1175-D1175+1)</f>
        <v/>
      </c>
      <c r="I1175" s="17" t="str">
        <f aca="false">IF(OR(H1175="",C1175=""),"",IF(F1175="İptal",0,H1175*IFERROR(INDEX(Ürünler!$B$5:$B$64,MATCH(C1175,Ürünler!$A$5:$A$64,0)),0)-G1175))</f>
        <v/>
      </c>
      <c r="J1175" s="18" t="str">
        <f aca="false">IF(OR(H1175="",C1175="",F1175="İptal"),"",IF(COUNTIFS($C$5:$C$1504,C1175,$D$5:$D$1504,"&lt;="&amp;E1175,$E$5:$E$1504,"&gt;="&amp;D1175,$F$5:$F$1504,"&lt;&gt;İptal")&gt;1,"Çakışıyor",""))</f>
        <v/>
      </c>
    </row>
    <row r="1176" customFormat="false" ht="15" hidden="false" customHeight="false" outlineLevel="0" collapsed="false">
      <c r="A1176" s="12"/>
      <c r="B1176" s="12"/>
      <c r="C1176" s="13"/>
      <c r="D1176" s="14"/>
      <c r="E1176" s="14"/>
      <c r="F1176" s="13"/>
      <c r="G1176" s="15"/>
      <c r="H1176" s="16" t="str">
        <f aca="false">IF(OR(D1176="",E1176="",E1176&lt;D1176),"",E1176-D1176+1)</f>
        <v/>
      </c>
      <c r="I1176" s="17" t="str">
        <f aca="false">IF(OR(H1176="",C1176=""),"",IF(F1176="İptal",0,H1176*IFERROR(INDEX(Ürünler!$B$5:$B$64,MATCH(C1176,Ürünler!$A$5:$A$64,0)),0)-G1176))</f>
        <v/>
      </c>
      <c r="J1176" s="18" t="str">
        <f aca="false">IF(OR(H1176="",C1176="",F1176="İptal"),"",IF(COUNTIFS($C$5:$C$1504,C1176,$D$5:$D$1504,"&lt;="&amp;E1176,$E$5:$E$1504,"&gt;="&amp;D1176,$F$5:$F$1504,"&lt;&gt;İptal")&gt;1,"Çakışıyor",""))</f>
        <v/>
      </c>
    </row>
    <row r="1177" customFormat="false" ht="15" hidden="false" customHeight="false" outlineLevel="0" collapsed="false">
      <c r="A1177" s="12"/>
      <c r="B1177" s="12"/>
      <c r="C1177" s="13"/>
      <c r="D1177" s="14"/>
      <c r="E1177" s="14"/>
      <c r="F1177" s="13"/>
      <c r="G1177" s="15"/>
      <c r="H1177" s="16" t="str">
        <f aca="false">IF(OR(D1177="",E1177="",E1177&lt;D1177),"",E1177-D1177+1)</f>
        <v/>
      </c>
      <c r="I1177" s="17" t="str">
        <f aca="false">IF(OR(H1177="",C1177=""),"",IF(F1177="İptal",0,H1177*IFERROR(INDEX(Ürünler!$B$5:$B$64,MATCH(C1177,Ürünler!$A$5:$A$64,0)),0)-G1177))</f>
        <v/>
      </c>
      <c r="J1177" s="18" t="str">
        <f aca="false">IF(OR(H1177="",C1177="",F1177="İptal"),"",IF(COUNTIFS($C$5:$C$1504,C1177,$D$5:$D$1504,"&lt;="&amp;E1177,$E$5:$E$1504,"&gt;="&amp;D1177,$F$5:$F$1504,"&lt;&gt;İptal")&gt;1,"Çakışıyor",""))</f>
        <v/>
      </c>
    </row>
    <row r="1178" customFormat="false" ht="15" hidden="false" customHeight="false" outlineLevel="0" collapsed="false">
      <c r="A1178" s="12"/>
      <c r="B1178" s="12"/>
      <c r="C1178" s="13"/>
      <c r="D1178" s="14"/>
      <c r="E1178" s="14"/>
      <c r="F1178" s="13"/>
      <c r="G1178" s="15"/>
      <c r="H1178" s="16" t="str">
        <f aca="false">IF(OR(D1178="",E1178="",E1178&lt;D1178),"",E1178-D1178+1)</f>
        <v/>
      </c>
      <c r="I1178" s="17" t="str">
        <f aca="false">IF(OR(H1178="",C1178=""),"",IF(F1178="İptal",0,H1178*IFERROR(INDEX(Ürünler!$B$5:$B$64,MATCH(C1178,Ürünler!$A$5:$A$64,0)),0)-G1178))</f>
        <v/>
      </c>
      <c r="J1178" s="18" t="str">
        <f aca="false">IF(OR(H1178="",C1178="",F1178="İptal"),"",IF(COUNTIFS($C$5:$C$1504,C1178,$D$5:$D$1504,"&lt;="&amp;E1178,$E$5:$E$1504,"&gt;="&amp;D1178,$F$5:$F$1504,"&lt;&gt;İptal")&gt;1,"Çakışıyor",""))</f>
        <v/>
      </c>
    </row>
    <row r="1179" customFormat="false" ht="15" hidden="false" customHeight="false" outlineLevel="0" collapsed="false">
      <c r="A1179" s="12"/>
      <c r="B1179" s="12"/>
      <c r="C1179" s="13"/>
      <c r="D1179" s="14"/>
      <c r="E1179" s="14"/>
      <c r="F1179" s="13"/>
      <c r="G1179" s="15"/>
      <c r="H1179" s="16" t="str">
        <f aca="false">IF(OR(D1179="",E1179="",E1179&lt;D1179),"",E1179-D1179+1)</f>
        <v/>
      </c>
      <c r="I1179" s="17" t="str">
        <f aca="false">IF(OR(H1179="",C1179=""),"",IF(F1179="İptal",0,H1179*IFERROR(INDEX(Ürünler!$B$5:$B$64,MATCH(C1179,Ürünler!$A$5:$A$64,0)),0)-G1179))</f>
        <v/>
      </c>
      <c r="J1179" s="18" t="str">
        <f aca="false">IF(OR(H1179="",C1179="",F1179="İptal"),"",IF(COUNTIFS($C$5:$C$1504,C1179,$D$5:$D$1504,"&lt;="&amp;E1179,$E$5:$E$1504,"&gt;="&amp;D1179,$F$5:$F$1504,"&lt;&gt;İptal")&gt;1,"Çakışıyor",""))</f>
        <v/>
      </c>
    </row>
    <row r="1180" customFormat="false" ht="15" hidden="false" customHeight="false" outlineLevel="0" collapsed="false">
      <c r="A1180" s="12"/>
      <c r="B1180" s="12"/>
      <c r="C1180" s="13"/>
      <c r="D1180" s="14"/>
      <c r="E1180" s="14"/>
      <c r="F1180" s="13"/>
      <c r="G1180" s="15"/>
      <c r="H1180" s="16" t="str">
        <f aca="false">IF(OR(D1180="",E1180="",E1180&lt;D1180),"",E1180-D1180+1)</f>
        <v/>
      </c>
      <c r="I1180" s="17" t="str">
        <f aca="false">IF(OR(H1180="",C1180=""),"",IF(F1180="İptal",0,H1180*IFERROR(INDEX(Ürünler!$B$5:$B$64,MATCH(C1180,Ürünler!$A$5:$A$64,0)),0)-G1180))</f>
        <v/>
      </c>
      <c r="J1180" s="18" t="str">
        <f aca="false">IF(OR(H1180="",C1180="",F1180="İptal"),"",IF(COUNTIFS($C$5:$C$1504,C1180,$D$5:$D$1504,"&lt;="&amp;E1180,$E$5:$E$1504,"&gt;="&amp;D1180,$F$5:$F$1504,"&lt;&gt;İptal")&gt;1,"Çakışıyor",""))</f>
        <v/>
      </c>
    </row>
    <row r="1181" customFormat="false" ht="15" hidden="false" customHeight="false" outlineLevel="0" collapsed="false">
      <c r="A1181" s="12"/>
      <c r="B1181" s="12"/>
      <c r="C1181" s="13"/>
      <c r="D1181" s="14"/>
      <c r="E1181" s="14"/>
      <c r="F1181" s="13"/>
      <c r="G1181" s="15"/>
      <c r="H1181" s="16" t="str">
        <f aca="false">IF(OR(D1181="",E1181="",E1181&lt;D1181),"",E1181-D1181+1)</f>
        <v/>
      </c>
      <c r="I1181" s="17" t="str">
        <f aca="false">IF(OR(H1181="",C1181=""),"",IF(F1181="İptal",0,H1181*IFERROR(INDEX(Ürünler!$B$5:$B$64,MATCH(C1181,Ürünler!$A$5:$A$64,0)),0)-G1181))</f>
        <v/>
      </c>
      <c r="J1181" s="18" t="str">
        <f aca="false">IF(OR(H1181="",C1181="",F1181="İptal"),"",IF(COUNTIFS($C$5:$C$1504,C1181,$D$5:$D$1504,"&lt;="&amp;E1181,$E$5:$E$1504,"&gt;="&amp;D1181,$F$5:$F$1504,"&lt;&gt;İptal")&gt;1,"Çakışıyor",""))</f>
        <v/>
      </c>
    </row>
    <row r="1182" customFormat="false" ht="15" hidden="false" customHeight="false" outlineLevel="0" collapsed="false">
      <c r="A1182" s="12"/>
      <c r="B1182" s="12"/>
      <c r="C1182" s="13"/>
      <c r="D1182" s="14"/>
      <c r="E1182" s="14"/>
      <c r="F1182" s="13"/>
      <c r="G1182" s="15"/>
      <c r="H1182" s="16" t="str">
        <f aca="false">IF(OR(D1182="",E1182="",E1182&lt;D1182),"",E1182-D1182+1)</f>
        <v/>
      </c>
      <c r="I1182" s="17" t="str">
        <f aca="false">IF(OR(H1182="",C1182=""),"",IF(F1182="İptal",0,H1182*IFERROR(INDEX(Ürünler!$B$5:$B$64,MATCH(C1182,Ürünler!$A$5:$A$64,0)),0)-G1182))</f>
        <v/>
      </c>
      <c r="J1182" s="18" t="str">
        <f aca="false">IF(OR(H1182="",C1182="",F1182="İptal"),"",IF(COUNTIFS($C$5:$C$1504,C1182,$D$5:$D$1504,"&lt;="&amp;E1182,$E$5:$E$1504,"&gt;="&amp;D1182,$F$5:$F$1504,"&lt;&gt;İptal")&gt;1,"Çakışıyor",""))</f>
        <v/>
      </c>
    </row>
    <row r="1183" customFormat="false" ht="15" hidden="false" customHeight="false" outlineLevel="0" collapsed="false">
      <c r="A1183" s="12"/>
      <c r="B1183" s="12"/>
      <c r="C1183" s="13"/>
      <c r="D1183" s="14"/>
      <c r="E1183" s="14"/>
      <c r="F1183" s="13"/>
      <c r="G1183" s="15"/>
      <c r="H1183" s="16" t="str">
        <f aca="false">IF(OR(D1183="",E1183="",E1183&lt;D1183),"",E1183-D1183+1)</f>
        <v/>
      </c>
      <c r="I1183" s="17" t="str">
        <f aca="false">IF(OR(H1183="",C1183=""),"",IF(F1183="İptal",0,H1183*IFERROR(INDEX(Ürünler!$B$5:$B$64,MATCH(C1183,Ürünler!$A$5:$A$64,0)),0)-G1183))</f>
        <v/>
      </c>
      <c r="J1183" s="18" t="str">
        <f aca="false">IF(OR(H1183="",C1183="",F1183="İptal"),"",IF(COUNTIFS($C$5:$C$1504,C1183,$D$5:$D$1504,"&lt;="&amp;E1183,$E$5:$E$1504,"&gt;="&amp;D1183,$F$5:$F$1504,"&lt;&gt;İptal")&gt;1,"Çakışıyor",""))</f>
        <v/>
      </c>
    </row>
    <row r="1184" customFormat="false" ht="15" hidden="false" customHeight="false" outlineLevel="0" collapsed="false">
      <c r="A1184" s="12"/>
      <c r="B1184" s="12"/>
      <c r="C1184" s="13"/>
      <c r="D1184" s="14"/>
      <c r="E1184" s="14"/>
      <c r="F1184" s="13"/>
      <c r="G1184" s="15"/>
      <c r="H1184" s="16" t="str">
        <f aca="false">IF(OR(D1184="",E1184="",E1184&lt;D1184),"",E1184-D1184+1)</f>
        <v/>
      </c>
      <c r="I1184" s="17" t="str">
        <f aca="false">IF(OR(H1184="",C1184=""),"",IF(F1184="İptal",0,H1184*IFERROR(INDEX(Ürünler!$B$5:$B$64,MATCH(C1184,Ürünler!$A$5:$A$64,0)),0)-G1184))</f>
        <v/>
      </c>
      <c r="J1184" s="18" t="str">
        <f aca="false">IF(OR(H1184="",C1184="",F1184="İptal"),"",IF(COUNTIFS($C$5:$C$1504,C1184,$D$5:$D$1504,"&lt;="&amp;E1184,$E$5:$E$1504,"&gt;="&amp;D1184,$F$5:$F$1504,"&lt;&gt;İptal")&gt;1,"Çakışıyor",""))</f>
        <v/>
      </c>
    </row>
    <row r="1185" customFormat="false" ht="15" hidden="false" customHeight="false" outlineLevel="0" collapsed="false">
      <c r="A1185" s="12"/>
      <c r="B1185" s="12"/>
      <c r="C1185" s="13"/>
      <c r="D1185" s="14"/>
      <c r="E1185" s="14"/>
      <c r="F1185" s="13"/>
      <c r="G1185" s="15"/>
      <c r="H1185" s="16" t="str">
        <f aca="false">IF(OR(D1185="",E1185="",E1185&lt;D1185),"",E1185-D1185+1)</f>
        <v/>
      </c>
      <c r="I1185" s="17" t="str">
        <f aca="false">IF(OR(H1185="",C1185=""),"",IF(F1185="İptal",0,H1185*IFERROR(INDEX(Ürünler!$B$5:$B$64,MATCH(C1185,Ürünler!$A$5:$A$64,0)),0)-G1185))</f>
        <v/>
      </c>
      <c r="J1185" s="18" t="str">
        <f aca="false">IF(OR(H1185="",C1185="",F1185="İptal"),"",IF(COUNTIFS($C$5:$C$1504,C1185,$D$5:$D$1504,"&lt;="&amp;E1185,$E$5:$E$1504,"&gt;="&amp;D1185,$F$5:$F$1504,"&lt;&gt;İptal")&gt;1,"Çakışıyor",""))</f>
        <v/>
      </c>
    </row>
    <row r="1186" customFormat="false" ht="15" hidden="false" customHeight="false" outlineLevel="0" collapsed="false">
      <c r="A1186" s="12"/>
      <c r="B1186" s="12"/>
      <c r="C1186" s="13"/>
      <c r="D1186" s="14"/>
      <c r="E1186" s="14"/>
      <c r="F1186" s="13"/>
      <c r="G1186" s="15"/>
      <c r="H1186" s="16" t="str">
        <f aca="false">IF(OR(D1186="",E1186="",E1186&lt;D1186),"",E1186-D1186+1)</f>
        <v/>
      </c>
      <c r="I1186" s="17" t="str">
        <f aca="false">IF(OR(H1186="",C1186=""),"",IF(F1186="İptal",0,H1186*IFERROR(INDEX(Ürünler!$B$5:$B$64,MATCH(C1186,Ürünler!$A$5:$A$64,0)),0)-G1186))</f>
        <v/>
      </c>
      <c r="J1186" s="18" t="str">
        <f aca="false">IF(OR(H1186="",C1186="",F1186="İptal"),"",IF(COUNTIFS($C$5:$C$1504,C1186,$D$5:$D$1504,"&lt;="&amp;E1186,$E$5:$E$1504,"&gt;="&amp;D1186,$F$5:$F$1504,"&lt;&gt;İptal")&gt;1,"Çakışıyor",""))</f>
        <v/>
      </c>
    </row>
    <row r="1187" customFormat="false" ht="15" hidden="false" customHeight="false" outlineLevel="0" collapsed="false">
      <c r="A1187" s="12"/>
      <c r="B1187" s="12"/>
      <c r="C1187" s="13"/>
      <c r="D1187" s="14"/>
      <c r="E1187" s="14"/>
      <c r="F1187" s="13"/>
      <c r="G1187" s="15"/>
      <c r="H1187" s="16" t="str">
        <f aca="false">IF(OR(D1187="",E1187="",E1187&lt;D1187),"",E1187-D1187+1)</f>
        <v/>
      </c>
      <c r="I1187" s="17" t="str">
        <f aca="false">IF(OR(H1187="",C1187=""),"",IF(F1187="İptal",0,H1187*IFERROR(INDEX(Ürünler!$B$5:$B$64,MATCH(C1187,Ürünler!$A$5:$A$64,0)),0)-G1187))</f>
        <v/>
      </c>
      <c r="J1187" s="18" t="str">
        <f aca="false">IF(OR(H1187="",C1187="",F1187="İptal"),"",IF(COUNTIFS($C$5:$C$1504,C1187,$D$5:$D$1504,"&lt;="&amp;E1187,$E$5:$E$1504,"&gt;="&amp;D1187,$F$5:$F$1504,"&lt;&gt;İptal")&gt;1,"Çakışıyor",""))</f>
        <v/>
      </c>
    </row>
    <row r="1188" customFormat="false" ht="15" hidden="false" customHeight="false" outlineLevel="0" collapsed="false">
      <c r="A1188" s="12"/>
      <c r="B1188" s="12"/>
      <c r="C1188" s="13"/>
      <c r="D1188" s="14"/>
      <c r="E1188" s="14"/>
      <c r="F1188" s="13"/>
      <c r="G1188" s="15"/>
      <c r="H1188" s="16" t="str">
        <f aca="false">IF(OR(D1188="",E1188="",E1188&lt;D1188),"",E1188-D1188+1)</f>
        <v/>
      </c>
      <c r="I1188" s="17" t="str">
        <f aca="false">IF(OR(H1188="",C1188=""),"",IF(F1188="İptal",0,H1188*IFERROR(INDEX(Ürünler!$B$5:$B$64,MATCH(C1188,Ürünler!$A$5:$A$64,0)),0)-G1188))</f>
        <v/>
      </c>
      <c r="J1188" s="18" t="str">
        <f aca="false">IF(OR(H1188="",C1188="",F1188="İptal"),"",IF(COUNTIFS($C$5:$C$1504,C1188,$D$5:$D$1504,"&lt;="&amp;E1188,$E$5:$E$1504,"&gt;="&amp;D1188,$F$5:$F$1504,"&lt;&gt;İptal")&gt;1,"Çakışıyor",""))</f>
        <v/>
      </c>
    </row>
    <row r="1189" customFormat="false" ht="15" hidden="false" customHeight="false" outlineLevel="0" collapsed="false">
      <c r="A1189" s="12"/>
      <c r="B1189" s="12"/>
      <c r="C1189" s="13"/>
      <c r="D1189" s="14"/>
      <c r="E1189" s="14"/>
      <c r="F1189" s="13"/>
      <c r="G1189" s="15"/>
      <c r="H1189" s="16" t="str">
        <f aca="false">IF(OR(D1189="",E1189="",E1189&lt;D1189),"",E1189-D1189+1)</f>
        <v/>
      </c>
      <c r="I1189" s="17" t="str">
        <f aca="false">IF(OR(H1189="",C1189=""),"",IF(F1189="İptal",0,H1189*IFERROR(INDEX(Ürünler!$B$5:$B$64,MATCH(C1189,Ürünler!$A$5:$A$64,0)),0)-G1189))</f>
        <v/>
      </c>
      <c r="J1189" s="18" t="str">
        <f aca="false">IF(OR(H1189="",C1189="",F1189="İptal"),"",IF(COUNTIFS($C$5:$C$1504,C1189,$D$5:$D$1504,"&lt;="&amp;E1189,$E$5:$E$1504,"&gt;="&amp;D1189,$F$5:$F$1504,"&lt;&gt;İptal")&gt;1,"Çakışıyor",""))</f>
        <v/>
      </c>
    </row>
    <row r="1190" customFormat="false" ht="15" hidden="false" customHeight="false" outlineLevel="0" collapsed="false">
      <c r="A1190" s="12"/>
      <c r="B1190" s="12"/>
      <c r="C1190" s="13"/>
      <c r="D1190" s="14"/>
      <c r="E1190" s="14"/>
      <c r="F1190" s="13"/>
      <c r="G1190" s="15"/>
      <c r="H1190" s="16" t="str">
        <f aca="false">IF(OR(D1190="",E1190="",E1190&lt;D1190),"",E1190-D1190+1)</f>
        <v/>
      </c>
      <c r="I1190" s="17" t="str">
        <f aca="false">IF(OR(H1190="",C1190=""),"",IF(F1190="İptal",0,H1190*IFERROR(INDEX(Ürünler!$B$5:$B$64,MATCH(C1190,Ürünler!$A$5:$A$64,0)),0)-G1190))</f>
        <v/>
      </c>
      <c r="J1190" s="18" t="str">
        <f aca="false">IF(OR(H1190="",C1190="",F1190="İptal"),"",IF(COUNTIFS($C$5:$C$1504,C1190,$D$5:$D$1504,"&lt;="&amp;E1190,$E$5:$E$1504,"&gt;="&amp;D1190,$F$5:$F$1504,"&lt;&gt;İptal")&gt;1,"Çakışıyor",""))</f>
        <v/>
      </c>
    </row>
    <row r="1191" customFormat="false" ht="15" hidden="false" customHeight="false" outlineLevel="0" collapsed="false">
      <c r="A1191" s="12"/>
      <c r="B1191" s="12"/>
      <c r="C1191" s="13"/>
      <c r="D1191" s="14"/>
      <c r="E1191" s="14"/>
      <c r="F1191" s="13"/>
      <c r="G1191" s="15"/>
      <c r="H1191" s="16" t="str">
        <f aca="false">IF(OR(D1191="",E1191="",E1191&lt;D1191),"",E1191-D1191+1)</f>
        <v/>
      </c>
      <c r="I1191" s="17" t="str">
        <f aca="false">IF(OR(H1191="",C1191=""),"",IF(F1191="İptal",0,H1191*IFERROR(INDEX(Ürünler!$B$5:$B$64,MATCH(C1191,Ürünler!$A$5:$A$64,0)),0)-G1191))</f>
        <v/>
      </c>
      <c r="J1191" s="18" t="str">
        <f aca="false">IF(OR(H1191="",C1191="",F1191="İptal"),"",IF(COUNTIFS($C$5:$C$1504,C1191,$D$5:$D$1504,"&lt;="&amp;E1191,$E$5:$E$1504,"&gt;="&amp;D1191,$F$5:$F$1504,"&lt;&gt;İptal")&gt;1,"Çakışıyor",""))</f>
        <v/>
      </c>
    </row>
    <row r="1192" customFormat="false" ht="15" hidden="false" customHeight="false" outlineLevel="0" collapsed="false">
      <c r="A1192" s="12"/>
      <c r="B1192" s="12"/>
      <c r="C1192" s="13"/>
      <c r="D1192" s="14"/>
      <c r="E1192" s="14"/>
      <c r="F1192" s="13"/>
      <c r="G1192" s="15"/>
      <c r="H1192" s="16" t="str">
        <f aca="false">IF(OR(D1192="",E1192="",E1192&lt;D1192),"",E1192-D1192+1)</f>
        <v/>
      </c>
      <c r="I1192" s="17" t="str">
        <f aca="false">IF(OR(H1192="",C1192=""),"",IF(F1192="İptal",0,H1192*IFERROR(INDEX(Ürünler!$B$5:$B$64,MATCH(C1192,Ürünler!$A$5:$A$64,0)),0)-G1192))</f>
        <v/>
      </c>
      <c r="J1192" s="18" t="str">
        <f aca="false">IF(OR(H1192="",C1192="",F1192="İptal"),"",IF(COUNTIFS($C$5:$C$1504,C1192,$D$5:$D$1504,"&lt;="&amp;E1192,$E$5:$E$1504,"&gt;="&amp;D1192,$F$5:$F$1504,"&lt;&gt;İptal")&gt;1,"Çakışıyor",""))</f>
        <v/>
      </c>
    </row>
    <row r="1193" customFormat="false" ht="15" hidden="false" customHeight="false" outlineLevel="0" collapsed="false">
      <c r="A1193" s="12"/>
      <c r="B1193" s="12"/>
      <c r="C1193" s="13"/>
      <c r="D1193" s="14"/>
      <c r="E1193" s="14"/>
      <c r="F1193" s="13"/>
      <c r="G1193" s="15"/>
      <c r="H1193" s="16" t="str">
        <f aca="false">IF(OR(D1193="",E1193="",E1193&lt;D1193),"",E1193-D1193+1)</f>
        <v/>
      </c>
      <c r="I1193" s="17" t="str">
        <f aca="false">IF(OR(H1193="",C1193=""),"",IF(F1193="İptal",0,H1193*IFERROR(INDEX(Ürünler!$B$5:$B$64,MATCH(C1193,Ürünler!$A$5:$A$64,0)),0)-G1193))</f>
        <v/>
      </c>
      <c r="J1193" s="18" t="str">
        <f aca="false">IF(OR(H1193="",C1193="",F1193="İptal"),"",IF(COUNTIFS($C$5:$C$1504,C1193,$D$5:$D$1504,"&lt;="&amp;E1193,$E$5:$E$1504,"&gt;="&amp;D1193,$F$5:$F$1504,"&lt;&gt;İptal")&gt;1,"Çakışıyor",""))</f>
        <v/>
      </c>
    </row>
    <row r="1194" customFormat="false" ht="15" hidden="false" customHeight="false" outlineLevel="0" collapsed="false">
      <c r="A1194" s="12"/>
      <c r="B1194" s="12"/>
      <c r="C1194" s="13"/>
      <c r="D1194" s="14"/>
      <c r="E1194" s="14"/>
      <c r="F1194" s="13"/>
      <c r="G1194" s="15"/>
      <c r="H1194" s="16" t="str">
        <f aca="false">IF(OR(D1194="",E1194="",E1194&lt;D1194),"",E1194-D1194+1)</f>
        <v/>
      </c>
      <c r="I1194" s="17" t="str">
        <f aca="false">IF(OR(H1194="",C1194=""),"",IF(F1194="İptal",0,H1194*IFERROR(INDEX(Ürünler!$B$5:$B$64,MATCH(C1194,Ürünler!$A$5:$A$64,0)),0)-G1194))</f>
        <v/>
      </c>
      <c r="J1194" s="18" t="str">
        <f aca="false">IF(OR(H1194="",C1194="",F1194="İptal"),"",IF(COUNTIFS($C$5:$C$1504,C1194,$D$5:$D$1504,"&lt;="&amp;E1194,$E$5:$E$1504,"&gt;="&amp;D1194,$F$5:$F$1504,"&lt;&gt;İptal")&gt;1,"Çakışıyor",""))</f>
        <v/>
      </c>
    </row>
    <row r="1195" customFormat="false" ht="15" hidden="false" customHeight="false" outlineLevel="0" collapsed="false">
      <c r="A1195" s="12"/>
      <c r="B1195" s="12"/>
      <c r="C1195" s="13"/>
      <c r="D1195" s="14"/>
      <c r="E1195" s="14"/>
      <c r="F1195" s="13"/>
      <c r="G1195" s="15"/>
      <c r="H1195" s="16" t="str">
        <f aca="false">IF(OR(D1195="",E1195="",E1195&lt;D1195),"",E1195-D1195+1)</f>
        <v/>
      </c>
      <c r="I1195" s="17" t="str">
        <f aca="false">IF(OR(H1195="",C1195=""),"",IF(F1195="İptal",0,H1195*IFERROR(INDEX(Ürünler!$B$5:$B$64,MATCH(C1195,Ürünler!$A$5:$A$64,0)),0)-G1195))</f>
        <v/>
      </c>
      <c r="J1195" s="18" t="str">
        <f aca="false">IF(OR(H1195="",C1195="",F1195="İptal"),"",IF(COUNTIFS($C$5:$C$1504,C1195,$D$5:$D$1504,"&lt;="&amp;E1195,$E$5:$E$1504,"&gt;="&amp;D1195,$F$5:$F$1504,"&lt;&gt;İptal")&gt;1,"Çakışıyor",""))</f>
        <v/>
      </c>
    </row>
    <row r="1196" customFormat="false" ht="15" hidden="false" customHeight="false" outlineLevel="0" collapsed="false">
      <c r="A1196" s="12"/>
      <c r="B1196" s="12"/>
      <c r="C1196" s="13"/>
      <c r="D1196" s="14"/>
      <c r="E1196" s="14"/>
      <c r="F1196" s="13"/>
      <c r="G1196" s="15"/>
      <c r="H1196" s="16" t="str">
        <f aca="false">IF(OR(D1196="",E1196="",E1196&lt;D1196),"",E1196-D1196+1)</f>
        <v/>
      </c>
      <c r="I1196" s="17" t="str">
        <f aca="false">IF(OR(H1196="",C1196=""),"",IF(F1196="İptal",0,H1196*IFERROR(INDEX(Ürünler!$B$5:$B$64,MATCH(C1196,Ürünler!$A$5:$A$64,0)),0)-G1196))</f>
        <v/>
      </c>
      <c r="J1196" s="18" t="str">
        <f aca="false">IF(OR(H1196="",C1196="",F1196="İptal"),"",IF(COUNTIFS($C$5:$C$1504,C1196,$D$5:$D$1504,"&lt;="&amp;E1196,$E$5:$E$1504,"&gt;="&amp;D1196,$F$5:$F$1504,"&lt;&gt;İptal")&gt;1,"Çakışıyor",""))</f>
        <v/>
      </c>
    </row>
    <row r="1197" customFormat="false" ht="15" hidden="false" customHeight="false" outlineLevel="0" collapsed="false">
      <c r="A1197" s="12"/>
      <c r="B1197" s="12"/>
      <c r="C1197" s="13"/>
      <c r="D1197" s="14"/>
      <c r="E1197" s="14"/>
      <c r="F1197" s="13"/>
      <c r="G1197" s="15"/>
      <c r="H1197" s="16" t="str">
        <f aca="false">IF(OR(D1197="",E1197="",E1197&lt;D1197),"",E1197-D1197+1)</f>
        <v/>
      </c>
      <c r="I1197" s="17" t="str">
        <f aca="false">IF(OR(H1197="",C1197=""),"",IF(F1197="İptal",0,H1197*IFERROR(INDEX(Ürünler!$B$5:$B$64,MATCH(C1197,Ürünler!$A$5:$A$64,0)),0)-G1197))</f>
        <v/>
      </c>
      <c r="J1197" s="18" t="str">
        <f aca="false">IF(OR(H1197="",C1197="",F1197="İptal"),"",IF(COUNTIFS($C$5:$C$1504,C1197,$D$5:$D$1504,"&lt;="&amp;E1197,$E$5:$E$1504,"&gt;="&amp;D1197,$F$5:$F$1504,"&lt;&gt;İptal")&gt;1,"Çakışıyor",""))</f>
        <v/>
      </c>
    </row>
    <row r="1198" customFormat="false" ht="15" hidden="false" customHeight="false" outlineLevel="0" collapsed="false">
      <c r="A1198" s="12"/>
      <c r="B1198" s="12"/>
      <c r="C1198" s="13"/>
      <c r="D1198" s="14"/>
      <c r="E1198" s="14"/>
      <c r="F1198" s="13"/>
      <c r="G1198" s="15"/>
      <c r="H1198" s="16" t="str">
        <f aca="false">IF(OR(D1198="",E1198="",E1198&lt;D1198),"",E1198-D1198+1)</f>
        <v/>
      </c>
      <c r="I1198" s="17" t="str">
        <f aca="false">IF(OR(H1198="",C1198=""),"",IF(F1198="İptal",0,H1198*IFERROR(INDEX(Ürünler!$B$5:$B$64,MATCH(C1198,Ürünler!$A$5:$A$64,0)),0)-G1198))</f>
        <v/>
      </c>
      <c r="J1198" s="18" t="str">
        <f aca="false">IF(OR(H1198="",C1198="",F1198="İptal"),"",IF(COUNTIFS($C$5:$C$1504,C1198,$D$5:$D$1504,"&lt;="&amp;E1198,$E$5:$E$1504,"&gt;="&amp;D1198,$F$5:$F$1504,"&lt;&gt;İptal")&gt;1,"Çakışıyor",""))</f>
        <v/>
      </c>
    </row>
    <row r="1199" customFormat="false" ht="15" hidden="false" customHeight="false" outlineLevel="0" collapsed="false">
      <c r="A1199" s="12"/>
      <c r="B1199" s="12"/>
      <c r="C1199" s="13"/>
      <c r="D1199" s="14"/>
      <c r="E1199" s="14"/>
      <c r="F1199" s="13"/>
      <c r="G1199" s="15"/>
      <c r="H1199" s="16" t="str">
        <f aca="false">IF(OR(D1199="",E1199="",E1199&lt;D1199),"",E1199-D1199+1)</f>
        <v/>
      </c>
      <c r="I1199" s="17" t="str">
        <f aca="false">IF(OR(H1199="",C1199=""),"",IF(F1199="İptal",0,H1199*IFERROR(INDEX(Ürünler!$B$5:$B$64,MATCH(C1199,Ürünler!$A$5:$A$64,0)),0)-G1199))</f>
        <v/>
      </c>
      <c r="J1199" s="18" t="str">
        <f aca="false">IF(OR(H1199="",C1199="",F1199="İptal"),"",IF(COUNTIFS($C$5:$C$1504,C1199,$D$5:$D$1504,"&lt;="&amp;E1199,$E$5:$E$1504,"&gt;="&amp;D1199,$F$5:$F$1504,"&lt;&gt;İptal")&gt;1,"Çakışıyor",""))</f>
        <v/>
      </c>
    </row>
    <row r="1200" customFormat="false" ht="15" hidden="false" customHeight="false" outlineLevel="0" collapsed="false">
      <c r="A1200" s="12"/>
      <c r="B1200" s="12"/>
      <c r="C1200" s="13"/>
      <c r="D1200" s="14"/>
      <c r="E1200" s="14"/>
      <c r="F1200" s="13"/>
      <c r="G1200" s="15"/>
      <c r="H1200" s="16" t="str">
        <f aca="false">IF(OR(D1200="",E1200="",E1200&lt;D1200),"",E1200-D1200+1)</f>
        <v/>
      </c>
      <c r="I1200" s="17" t="str">
        <f aca="false">IF(OR(H1200="",C1200=""),"",IF(F1200="İptal",0,H1200*IFERROR(INDEX(Ürünler!$B$5:$B$64,MATCH(C1200,Ürünler!$A$5:$A$64,0)),0)-G1200))</f>
        <v/>
      </c>
      <c r="J1200" s="18" t="str">
        <f aca="false">IF(OR(H1200="",C1200="",F1200="İptal"),"",IF(COUNTIFS($C$5:$C$1504,C1200,$D$5:$D$1504,"&lt;="&amp;E1200,$E$5:$E$1504,"&gt;="&amp;D1200,$F$5:$F$1504,"&lt;&gt;İptal")&gt;1,"Çakışıyor",""))</f>
        <v/>
      </c>
    </row>
    <row r="1201" customFormat="false" ht="15" hidden="false" customHeight="false" outlineLevel="0" collapsed="false">
      <c r="A1201" s="12"/>
      <c r="B1201" s="12"/>
      <c r="C1201" s="13"/>
      <c r="D1201" s="14"/>
      <c r="E1201" s="14"/>
      <c r="F1201" s="13"/>
      <c r="G1201" s="15"/>
      <c r="H1201" s="16" t="str">
        <f aca="false">IF(OR(D1201="",E1201="",E1201&lt;D1201),"",E1201-D1201+1)</f>
        <v/>
      </c>
      <c r="I1201" s="17" t="str">
        <f aca="false">IF(OR(H1201="",C1201=""),"",IF(F1201="İptal",0,H1201*IFERROR(INDEX(Ürünler!$B$5:$B$64,MATCH(C1201,Ürünler!$A$5:$A$64,0)),0)-G1201))</f>
        <v/>
      </c>
      <c r="J1201" s="18" t="str">
        <f aca="false">IF(OR(H1201="",C1201="",F1201="İptal"),"",IF(COUNTIFS($C$5:$C$1504,C1201,$D$5:$D$1504,"&lt;="&amp;E1201,$E$5:$E$1504,"&gt;="&amp;D1201,$F$5:$F$1504,"&lt;&gt;İptal")&gt;1,"Çakışıyor",""))</f>
        <v/>
      </c>
    </row>
    <row r="1202" customFormat="false" ht="15" hidden="false" customHeight="false" outlineLevel="0" collapsed="false">
      <c r="A1202" s="12"/>
      <c r="B1202" s="12"/>
      <c r="C1202" s="13"/>
      <c r="D1202" s="14"/>
      <c r="E1202" s="14"/>
      <c r="F1202" s="13"/>
      <c r="G1202" s="15"/>
      <c r="H1202" s="16" t="str">
        <f aca="false">IF(OR(D1202="",E1202="",E1202&lt;D1202),"",E1202-D1202+1)</f>
        <v/>
      </c>
      <c r="I1202" s="17" t="str">
        <f aca="false">IF(OR(H1202="",C1202=""),"",IF(F1202="İptal",0,H1202*IFERROR(INDEX(Ürünler!$B$5:$B$64,MATCH(C1202,Ürünler!$A$5:$A$64,0)),0)-G1202))</f>
        <v/>
      </c>
      <c r="J1202" s="18" t="str">
        <f aca="false">IF(OR(H1202="",C1202="",F1202="İptal"),"",IF(COUNTIFS($C$5:$C$1504,C1202,$D$5:$D$1504,"&lt;="&amp;E1202,$E$5:$E$1504,"&gt;="&amp;D1202,$F$5:$F$1504,"&lt;&gt;İptal")&gt;1,"Çakışıyor",""))</f>
        <v/>
      </c>
    </row>
    <row r="1203" customFormat="false" ht="15" hidden="false" customHeight="false" outlineLevel="0" collapsed="false">
      <c r="A1203" s="12"/>
      <c r="B1203" s="12"/>
      <c r="C1203" s="13"/>
      <c r="D1203" s="14"/>
      <c r="E1203" s="14"/>
      <c r="F1203" s="13"/>
      <c r="G1203" s="15"/>
      <c r="H1203" s="16" t="str">
        <f aca="false">IF(OR(D1203="",E1203="",E1203&lt;D1203),"",E1203-D1203+1)</f>
        <v/>
      </c>
      <c r="I1203" s="17" t="str">
        <f aca="false">IF(OR(H1203="",C1203=""),"",IF(F1203="İptal",0,H1203*IFERROR(INDEX(Ürünler!$B$5:$B$64,MATCH(C1203,Ürünler!$A$5:$A$64,0)),0)-G1203))</f>
        <v/>
      </c>
      <c r="J1203" s="18" t="str">
        <f aca="false">IF(OR(H1203="",C1203="",F1203="İptal"),"",IF(COUNTIFS($C$5:$C$1504,C1203,$D$5:$D$1504,"&lt;="&amp;E1203,$E$5:$E$1504,"&gt;="&amp;D1203,$F$5:$F$1504,"&lt;&gt;İptal")&gt;1,"Çakışıyor",""))</f>
        <v/>
      </c>
    </row>
    <row r="1204" customFormat="false" ht="15" hidden="false" customHeight="false" outlineLevel="0" collapsed="false">
      <c r="A1204" s="12"/>
      <c r="B1204" s="12"/>
      <c r="C1204" s="13"/>
      <c r="D1204" s="14"/>
      <c r="E1204" s="14"/>
      <c r="F1204" s="13"/>
      <c r="G1204" s="15"/>
      <c r="H1204" s="16" t="str">
        <f aca="false">IF(OR(D1204="",E1204="",E1204&lt;D1204),"",E1204-D1204+1)</f>
        <v/>
      </c>
      <c r="I1204" s="17" t="str">
        <f aca="false">IF(OR(H1204="",C1204=""),"",IF(F1204="İptal",0,H1204*IFERROR(INDEX(Ürünler!$B$5:$B$64,MATCH(C1204,Ürünler!$A$5:$A$64,0)),0)-G1204))</f>
        <v/>
      </c>
      <c r="J1204" s="18" t="str">
        <f aca="false">IF(OR(H1204="",C1204="",F1204="İptal"),"",IF(COUNTIFS($C$5:$C$1504,C1204,$D$5:$D$1504,"&lt;="&amp;E1204,$E$5:$E$1504,"&gt;="&amp;D1204,$F$5:$F$1504,"&lt;&gt;İptal")&gt;1,"Çakışıyor",""))</f>
        <v/>
      </c>
    </row>
    <row r="1205" customFormat="false" ht="15" hidden="false" customHeight="false" outlineLevel="0" collapsed="false">
      <c r="A1205" s="12"/>
      <c r="B1205" s="12"/>
      <c r="C1205" s="13"/>
      <c r="D1205" s="14"/>
      <c r="E1205" s="14"/>
      <c r="F1205" s="13"/>
      <c r="G1205" s="15"/>
      <c r="H1205" s="16" t="str">
        <f aca="false">IF(OR(D1205="",E1205="",E1205&lt;D1205),"",E1205-D1205+1)</f>
        <v/>
      </c>
      <c r="I1205" s="17" t="str">
        <f aca="false">IF(OR(H1205="",C1205=""),"",IF(F1205="İptal",0,H1205*IFERROR(INDEX(Ürünler!$B$5:$B$64,MATCH(C1205,Ürünler!$A$5:$A$64,0)),0)-G1205))</f>
        <v/>
      </c>
      <c r="J1205" s="18" t="str">
        <f aca="false">IF(OR(H1205="",C1205="",F1205="İptal"),"",IF(COUNTIFS($C$5:$C$1504,C1205,$D$5:$D$1504,"&lt;="&amp;E1205,$E$5:$E$1504,"&gt;="&amp;D1205,$F$5:$F$1504,"&lt;&gt;İptal")&gt;1,"Çakışıyor",""))</f>
        <v/>
      </c>
    </row>
    <row r="1206" customFormat="false" ht="15" hidden="false" customHeight="false" outlineLevel="0" collapsed="false">
      <c r="A1206" s="12"/>
      <c r="B1206" s="12"/>
      <c r="C1206" s="13"/>
      <c r="D1206" s="14"/>
      <c r="E1206" s="14"/>
      <c r="F1206" s="13"/>
      <c r="G1206" s="15"/>
      <c r="H1206" s="16" t="str">
        <f aca="false">IF(OR(D1206="",E1206="",E1206&lt;D1206),"",E1206-D1206+1)</f>
        <v/>
      </c>
      <c r="I1206" s="17" t="str">
        <f aca="false">IF(OR(H1206="",C1206=""),"",IF(F1206="İptal",0,H1206*IFERROR(INDEX(Ürünler!$B$5:$B$64,MATCH(C1206,Ürünler!$A$5:$A$64,0)),0)-G1206))</f>
        <v/>
      </c>
      <c r="J1206" s="18" t="str">
        <f aca="false">IF(OR(H1206="",C1206="",F1206="İptal"),"",IF(COUNTIFS($C$5:$C$1504,C1206,$D$5:$D$1504,"&lt;="&amp;E1206,$E$5:$E$1504,"&gt;="&amp;D1206,$F$5:$F$1504,"&lt;&gt;İptal")&gt;1,"Çakışıyor",""))</f>
        <v/>
      </c>
    </row>
    <row r="1207" customFormat="false" ht="15" hidden="false" customHeight="false" outlineLevel="0" collapsed="false">
      <c r="A1207" s="12"/>
      <c r="B1207" s="12"/>
      <c r="C1207" s="13"/>
      <c r="D1207" s="14"/>
      <c r="E1207" s="14"/>
      <c r="F1207" s="13"/>
      <c r="G1207" s="15"/>
      <c r="H1207" s="16" t="str">
        <f aca="false">IF(OR(D1207="",E1207="",E1207&lt;D1207),"",E1207-D1207+1)</f>
        <v/>
      </c>
      <c r="I1207" s="17" t="str">
        <f aca="false">IF(OR(H1207="",C1207=""),"",IF(F1207="İptal",0,H1207*IFERROR(INDEX(Ürünler!$B$5:$B$64,MATCH(C1207,Ürünler!$A$5:$A$64,0)),0)-G1207))</f>
        <v/>
      </c>
      <c r="J1207" s="18" t="str">
        <f aca="false">IF(OR(H1207="",C1207="",F1207="İptal"),"",IF(COUNTIFS($C$5:$C$1504,C1207,$D$5:$D$1504,"&lt;="&amp;E1207,$E$5:$E$1504,"&gt;="&amp;D1207,$F$5:$F$1504,"&lt;&gt;İptal")&gt;1,"Çakışıyor",""))</f>
        <v/>
      </c>
    </row>
    <row r="1208" customFormat="false" ht="15" hidden="false" customHeight="false" outlineLevel="0" collapsed="false">
      <c r="A1208" s="12"/>
      <c r="B1208" s="12"/>
      <c r="C1208" s="13"/>
      <c r="D1208" s="14"/>
      <c r="E1208" s="14"/>
      <c r="F1208" s="13"/>
      <c r="G1208" s="15"/>
      <c r="H1208" s="16" t="str">
        <f aca="false">IF(OR(D1208="",E1208="",E1208&lt;D1208),"",E1208-D1208+1)</f>
        <v/>
      </c>
      <c r="I1208" s="17" t="str">
        <f aca="false">IF(OR(H1208="",C1208=""),"",IF(F1208="İptal",0,H1208*IFERROR(INDEX(Ürünler!$B$5:$B$64,MATCH(C1208,Ürünler!$A$5:$A$64,0)),0)-G1208))</f>
        <v/>
      </c>
      <c r="J1208" s="18" t="str">
        <f aca="false">IF(OR(H1208="",C1208="",F1208="İptal"),"",IF(COUNTIFS($C$5:$C$1504,C1208,$D$5:$D$1504,"&lt;="&amp;E1208,$E$5:$E$1504,"&gt;="&amp;D1208,$F$5:$F$1504,"&lt;&gt;İptal")&gt;1,"Çakışıyor",""))</f>
        <v/>
      </c>
    </row>
    <row r="1209" customFormat="false" ht="15" hidden="false" customHeight="false" outlineLevel="0" collapsed="false">
      <c r="A1209" s="12"/>
      <c r="B1209" s="12"/>
      <c r="C1209" s="13"/>
      <c r="D1209" s="14"/>
      <c r="E1209" s="14"/>
      <c r="F1209" s="13"/>
      <c r="G1209" s="15"/>
      <c r="H1209" s="16" t="str">
        <f aca="false">IF(OR(D1209="",E1209="",E1209&lt;D1209),"",E1209-D1209+1)</f>
        <v/>
      </c>
      <c r="I1209" s="17" t="str">
        <f aca="false">IF(OR(H1209="",C1209=""),"",IF(F1209="İptal",0,H1209*IFERROR(INDEX(Ürünler!$B$5:$B$64,MATCH(C1209,Ürünler!$A$5:$A$64,0)),0)-G1209))</f>
        <v/>
      </c>
      <c r="J1209" s="18" t="str">
        <f aca="false">IF(OR(H1209="",C1209="",F1209="İptal"),"",IF(COUNTIFS($C$5:$C$1504,C1209,$D$5:$D$1504,"&lt;="&amp;E1209,$E$5:$E$1504,"&gt;="&amp;D1209,$F$5:$F$1504,"&lt;&gt;İptal")&gt;1,"Çakışıyor",""))</f>
        <v/>
      </c>
    </row>
    <row r="1210" customFormat="false" ht="15" hidden="false" customHeight="false" outlineLevel="0" collapsed="false">
      <c r="A1210" s="12"/>
      <c r="B1210" s="12"/>
      <c r="C1210" s="13"/>
      <c r="D1210" s="14"/>
      <c r="E1210" s="14"/>
      <c r="F1210" s="13"/>
      <c r="G1210" s="15"/>
      <c r="H1210" s="16" t="str">
        <f aca="false">IF(OR(D1210="",E1210="",E1210&lt;D1210),"",E1210-D1210+1)</f>
        <v/>
      </c>
      <c r="I1210" s="17" t="str">
        <f aca="false">IF(OR(H1210="",C1210=""),"",IF(F1210="İptal",0,H1210*IFERROR(INDEX(Ürünler!$B$5:$B$64,MATCH(C1210,Ürünler!$A$5:$A$64,0)),0)-G1210))</f>
        <v/>
      </c>
      <c r="J1210" s="18" t="str">
        <f aca="false">IF(OR(H1210="",C1210="",F1210="İptal"),"",IF(COUNTIFS($C$5:$C$1504,C1210,$D$5:$D$1504,"&lt;="&amp;E1210,$E$5:$E$1504,"&gt;="&amp;D1210,$F$5:$F$1504,"&lt;&gt;İptal")&gt;1,"Çakışıyor",""))</f>
        <v/>
      </c>
    </row>
    <row r="1211" customFormat="false" ht="15" hidden="false" customHeight="false" outlineLevel="0" collapsed="false">
      <c r="A1211" s="12"/>
      <c r="B1211" s="12"/>
      <c r="C1211" s="13"/>
      <c r="D1211" s="14"/>
      <c r="E1211" s="14"/>
      <c r="F1211" s="13"/>
      <c r="G1211" s="15"/>
      <c r="H1211" s="16" t="str">
        <f aca="false">IF(OR(D1211="",E1211="",E1211&lt;D1211),"",E1211-D1211+1)</f>
        <v/>
      </c>
      <c r="I1211" s="17" t="str">
        <f aca="false">IF(OR(H1211="",C1211=""),"",IF(F1211="İptal",0,H1211*IFERROR(INDEX(Ürünler!$B$5:$B$64,MATCH(C1211,Ürünler!$A$5:$A$64,0)),0)-G1211))</f>
        <v/>
      </c>
      <c r="J1211" s="18" t="str">
        <f aca="false">IF(OR(H1211="",C1211="",F1211="İptal"),"",IF(COUNTIFS($C$5:$C$1504,C1211,$D$5:$D$1504,"&lt;="&amp;E1211,$E$5:$E$1504,"&gt;="&amp;D1211,$F$5:$F$1504,"&lt;&gt;İptal")&gt;1,"Çakışıyor",""))</f>
        <v/>
      </c>
    </row>
    <row r="1212" customFormat="false" ht="15" hidden="false" customHeight="false" outlineLevel="0" collapsed="false">
      <c r="A1212" s="12"/>
      <c r="B1212" s="12"/>
      <c r="C1212" s="13"/>
      <c r="D1212" s="14"/>
      <c r="E1212" s="14"/>
      <c r="F1212" s="13"/>
      <c r="G1212" s="15"/>
      <c r="H1212" s="16" t="str">
        <f aca="false">IF(OR(D1212="",E1212="",E1212&lt;D1212),"",E1212-D1212+1)</f>
        <v/>
      </c>
      <c r="I1212" s="17" t="str">
        <f aca="false">IF(OR(H1212="",C1212=""),"",IF(F1212="İptal",0,H1212*IFERROR(INDEX(Ürünler!$B$5:$B$64,MATCH(C1212,Ürünler!$A$5:$A$64,0)),0)-G1212))</f>
        <v/>
      </c>
      <c r="J1212" s="18" t="str">
        <f aca="false">IF(OR(H1212="",C1212="",F1212="İptal"),"",IF(COUNTIFS($C$5:$C$1504,C1212,$D$5:$D$1504,"&lt;="&amp;E1212,$E$5:$E$1504,"&gt;="&amp;D1212,$F$5:$F$1504,"&lt;&gt;İptal")&gt;1,"Çakışıyor",""))</f>
        <v/>
      </c>
    </row>
    <row r="1213" customFormat="false" ht="15" hidden="false" customHeight="false" outlineLevel="0" collapsed="false">
      <c r="A1213" s="12"/>
      <c r="B1213" s="12"/>
      <c r="C1213" s="13"/>
      <c r="D1213" s="14"/>
      <c r="E1213" s="14"/>
      <c r="F1213" s="13"/>
      <c r="G1213" s="15"/>
      <c r="H1213" s="16" t="str">
        <f aca="false">IF(OR(D1213="",E1213="",E1213&lt;D1213),"",E1213-D1213+1)</f>
        <v/>
      </c>
      <c r="I1213" s="17" t="str">
        <f aca="false">IF(OR(H1213="",C1213=""),"",IF(F1213="İptal",0,H1213*IFERROR(INDEX(Ürünler!$B$5:$B$64,MATCH(C1213,Ürünler!$A$5:$A$64,0)),0)-G1213))</f>
        <v/>
      </c>
      <c r="J1213" s="18" t="str">
        <f aca="false">IF(OR(H1213="",C1213="",F1213="İptal"),"",IF(COUNTIFS($C$5:$C$1504,C1213,$D$5:$D$1504,"&lt;="&amp;E1213,$E$5:$E$1504,"&gt;="&amp;D1213,$F$5:$F$1504,"&lt;&gt;İptal")&gt;1,"Çakışıyor",""))</f>
        <v/>
      </c>
    </row>
    <row r="1214" customFormat="false" ht="15" hidden="false" customHeight="false" outlineLevel="0" collapsed="false">
      <c r="A1214" s="12"/>
      <c r="B1214" s="12"/>
      <c r="C1214" s="13"/>
      <c r="D1214" s="14"/>
      <c r="E1214" s="14"/>
      <c r="F1214" s="13"/>
      <c r="G1214" s="15"/>
      <c r="H1214" s="16" t="str">
        <f aca="false">IF(OR(D1214="",E1214="",E1214&lt;D1214),"",E1214-D1214+1)</f>
        <v/>
      </c>
      <c r="I1214" s="17" t="str">
        <f aca="false">IF(OR(H1214="",C1214=""),"",IF(F1214="İptal",0,H1214*IFERROR(INDEX(Ürünler!$B$5:$B$64,MATCH(C1214,Ürünler!$A$5:$A$64,0)),0)-G1214))</f>
        <v/>
      </c>
      <c r="J1214" s="18" t="str">
        <f aca="false">IF(OR(H1214="",C1214="",F1214="İptal"),"",IF(COUNTIFS($C$5:$C$1504,C1214,$D$5:$D$1504,"&lt;="&amp;E1214,$E$5:$E$1504,"&gt;="&amp;D1214,$F$5:$F$1504,"&lt;&gt;İptal")&gt;1,"Çakışıyor",""))</f>
        <v/>
      </c>
    </row>
    <row r="1215" customFormat="false" ht="15" hidden="false" customHeight="false" outlineLevel="0" collapsed="false">
      <c r="A1215" s="12"/>
      <c r="B1215" s="12"/>
      <c r="C1215" s="13"/>
      <c r="D1215" s="14"/>
      <c r="E1215" s="14"/>
      <c r="F1215" s="13"/>
      <c r="G1215" s="15"/>
      <c r="H1215" s="16" t="str">
        <f aca="false">IF(OR(D1215="",E1215="",E1215&lt;D1215),"",E1215-D1215+1)</f>
        <v/>
      </c>
      <c r="I1215" s="17" t="str">
        <f aca="false">IF(OR(H1215="",C1215=""),"",IF(F1215="İptal",0,H1215*IFERROR(INDEX(Ürünler!$B$5:$B$64,MATCH(C1215,Ürünler!$A$5:$A$64,0)),0)-G1215))</f>
        <v/>
      </c>
      <c r="J1215" s="18" t="str">
        <f aca="false">IF(OR(H1215="",C1215="",F1215="İptal"),"",IF(COUNTIFS($C$5:$C$1504,C1215,$D$5:$D$1504,"&lt;="&amp;E1215,$E$5:$E$1504,"&gt;="&amp;D1215,$F$5:$F$1504,"&lt;&gt;İptal")&gt;1,"Çakışıyor",""))</f>
        <v/>
      </c>
    </row>
    <row r="1216" customFormat="false" ht="15" hidden="false" customHeight="false" outlineLevel="0" collapsed="false">
      <c r="A1216" s="12"/>
      <c r="B1216" s="12"/>
      <c r="C1216" s="13"/>
      <c r="D1216" s="14"/>
      <c r="E1216" s="14"/>
      <c r="F1216" s="13"/>
      <c r="G1216" s="15"/>
      <c r="H1216" s="16" t="str">
        <f aca="false">IF(OR(D1216="",E1216="",E1216&lt;D1216),"",E1216-D1216+1)</f>
        <v/>
      </c>
      <c r="I1216" s="17" t="str">
        <f aca="false">IF(OR(H1216="",C1216=""),"",IF(F1216="İptal",0,H1216*IFERROR(INDEX(Ürünler!$B$5:$B$64,MATCH(C1216,Ürünler!$A$5:$A$64,0)),0)-G1216))</f>
        <v/>
      </c>
      <c r="J1216" s="18" t="str">
        <f aca="false">IF(OR(H1216="",C1216="",F1216="İptal"),"",IF(COUNTIFS($C$5:$C$1504,C1216,$D$5:$D$1504,"&lt;="&amp;E1216,$E$5:$E$1504,"&gt;="&amp;D1216,$F$5:$F$1504,"&lt;&gt;İptal")&gt;1,"Çakışıyor",""))</f>
        <v/>
      </c>
    </row>
    <row r="1217" customFormat="false" ht="15" hidden="false" customHeight="false" outlineLevel="0" collapsed="false">
      <c r="A1217" s="12"/>
      <c r="B1217" s="12"/>
      <c r="C1217" s="13"/>
      <c r="D1217" s="14"/>
      <c r="E1217" s="14"/>
      <c r="F1217" s="13"/>
      <c r="G1217" s="15"/>
      <c r="H1217" s="16" t="str">
        <f aca="false">IF(OR(D1217="",E1217="",E1217&lt;D1217),"",E1217-D1217+1)</f>
        <v/>
      </c>
      <c r="I1217" s="17" t="str">
        <f aca="false">IF(OR(H1217="",C1217=""),"",IF(F1217="İptal",0,H1217*IFERROR(INDEX(Ürünler!$B$5:$B$64,MATCH(C1217,Ürünler!$A$5:$A$64,0)),0)-G1217))</f>
        <v/>
      </c>
      <c r="J1217" s="18" t="str">
        <f aca="false">IF(OR(H1217="",C1217="",F1217="İptal"),"",IF(COUNTIFS($C$5:$C$1504,C1217,$D$5:$D$1504,"&lt;="&amp;E1217,$E$5:$E$1504,"&gt;="&amp;D1217,$F$5:$F$1504,"&lt;&gt;İptal")&gt;1,"Çakışıyor",""))</f>
        <v/>
      </c>
    </row>
    <row r="1218" customFormat="false" ht="15" hidden="false" customHeight="false" outlineLevel="0" collapsed="false">
      <c r="A1218" s="12"/>
      <c r="B1218" s="12"/>
      <c r="C1218" s="13"/>
      <c r="D1218" s="14"/>
      <c r="E1218" s="14"/>
      <c r="F1218" s="13"/>
      <c r="G1218" s="15"/>
      <c r="H1218" s="16" t="str">
        <f aca="false">IF(OR(D1218="",E1218="",E1218&lt;D1218),"",E1218-D1218+1)</f>
        <v/>
      </c>
      <c r="I1218" s="17" t="str">
        <f aca="false">IF(OR(H1218="",C1218=""),"",IF(F1218="İptal",0,H1218*IFERROR(INDEX(Ürünler!$B$5:$B$64,MATCH(C1218,Ürünler!$A$5:$A$64,0)),0)-G1218))</f>
        <v/>
      </c>
      <c r="J1218" s="18" t="str">
        <f aca="false">IF(OR(H1218="",C1218="",F1218="İptal"),"",IF(COUNTIFS($C$5:$C$1504,C1218,$D$5:$D$1504,"&lt;="&amp;E1218,$E$5:$E$1504,"&gt;="&amp;D1218,$F$5:$F$1504,"&lt;&gt;İptal")&gt;1,"Çakışıyor",""))</f>
        <v/>
      </c>
    </row>
    <row r="1219" customFormat="false" ht="15" hidden="false" customHeight="false" outlineLevel="0" collapsed="false">
      <c r="A1219" s="12"/>
      <c r="B1219" s="12"/>
      <c r="C1219" s="13"/>
      <c r="D1219" s="14"/>
      <c r="E1219" s="14"/>
      <c r="F1219" s="13"/>
      <c r="G1219" s="15"/>
      <c r="H1219" s="16" t="str">
        <f aca="false">IF(OR(D1219="",E1219="",E1219&lt;D1219),"",E1219-D1219+1)</f>
        <v/>
      </c>
      <c r="I1219" s="17" t="str">
        <f aca="false">IF(OR(H1219="",C1219=""),"",IF(F1219="İptal",0,H1219*IFERROR(INDEX(Ürünler!$B$5:$B$64,MATCH(C1219,Ürünler!$A$5:$A$64,0)),0)-G1219))</f>
        <v/>
      </c>
      <c r="J1219" s="18" t="str">
        <f aca="false">IF(OR(H1219="",C1219="",F1219="İptal"),"",IF(COUNTIFS($C$5:$C$1504,C1219,$D$5:$D$1504,"&lt;="&amp;E1219,$E$5:$E$1504,"&gt;="&amp;D1219,$F$5:$F$1504,"&lt;&gt;İptal")&gt;1,"Çakışıyor",""))</f>
        <v/>
      </c>
    </row>
    <row r="1220" customFormat="false" ht="15" hidden="false" customHeight="false" outlineLevel="0" collapsed="false">
      <c r="A1220" s="12"/>
      <c r="B1220" s="12"/>
      <c r="C1220" s="13"/>
      <c r="D1220" s="14"/>
      <c r="E1220" s="14"/>
      <c r="F1220" s="13"/>
      <c r="G1220" s="15"/>
      <c r="H1220" s="16" t="str">
        <f aca="false">IF(OR(D1220="",E1220="",E1220&lt;D1220),"",E1220-D1220+1)</f>
        <v/>
      </c>
      <c r="I1220" s="17" t="str">
        <f aca="false">IF(OR(H1220="",C1220=""),"",IF(F1220="İptal",0,H1220*IFERROR(INDEX(Ürünler!$B$5:$B$64,MATCH(C1220,Ürünler!$A$5:$A$64,0)),0)-G1220))</f>
        <v/>
      </c>
      <c r="J1220" s="18" t="str">
        <f aca="false">IF(OR(H1220="",C1220="",F1220="İptal"),"",IF(COUNTIFS($C$5:$C$1504,C1220,$D$5:$D$1504,"&lt;="&amp;E1220,$E$5:$E$1504,"&gt;="&amp;D1220,$F$5:$F$1504,"&lt;&gt;İptal")&gt;1,"Çakışıyor",""))</f>
        <v/>
      </c>
    </row>
    <row r="1221" customFormat="false" ht="15" hidden="false" customHeight="false" outlineLevel="0" collapsed="false">
      <c r="A1221" s="12"/>
      <c r="B1221" s="12"/>
      <c r="C1221" s="13"/>
      <c r="D1221" s="14"/>
      <c r="E1221" s="14"/>
      <c r="F1221" s="13"/>
      <c r="G1221" s="15"/>
      <c r="H1221" s="16" t="str">
        <f aca="false">IF(OR(D1221="",E1221="",E1221&lt;D1221),"",E1221-D1221+1)</f>
        <v/>
      </c>
      <c r="I1221" s="17" t="str">
        <f aca="false">IF(OR(H1221="",C1221=""),"",IF(F1221="İptal",0,H1221*IFERROR(INDEX(Ürünler!$B$5:$B$64,MATCH(C1221,Ürünler!$A$5:$A$64,0)),0)-G1221))</f>
        <v/>
      </c>
      <c r="J1221" s="18" t="str">
        <f aca="false">IF(OR(H1221="",C1221="",F1221="İptal"),"",IF(COUNTIFS($C$5:$C$1504,C1221,$D$5:$D$1504,"&lt;="&amp;E1221,$E$5:$E$1504,"&gt;="&amp;D1221,$F$5:$F$1504,"&lt;&gt;İptal")&gt;1,"Çakışıyor",""))</f>
        <v/>
      </c>
    </row>
    <row r="1222" customFormat="false" ht="15" hidden="false" customHeight="false" outlineLevel="0" collapsed="false">
      <c r="A1222" s="12"/>
      <c r="B1222" s="12"/>
      <c r="C1222" s="13"/>
      <c r="D1222" s="14"/>
      <c r="E1222" s="14"/>
      <c r="F1222" s="13"/>
      <c r="G1222" s="15"/>
      <c r="H1222" s="16" t="str">
        <f aca="false">IF(OR(D1222="",E1222="",E1222&lt;D1222),"",E1222-D1222+1)</f>
        <v/>
      </c>
      <c r="I1222" s="17" t="str">
        <f aca="false">IF(OR(H1222="",C1222=""),"",IF(F1222="İptal",0,H1222*IFERROR(INDEX(Ürünler!$B$5:$B$64,MATCH(C1222,Ürünler!$A$5:$A$64,0)),0)-G1222))</f>
        <v/>
      </c>
      <c r="J1222" s="18" t="str">
        <f aca="false">IF(OR(H1222="",C1222="",F1222="İptal"),"",IF(COUNTIFS($C$5:$C$1504,C1222,$D$5:$D$1504,"&lt;="&amp;E1222,$E$5:$E$1504,"&gt;="&amp;D1222,$F$5:$F$1504,"&lt;&gt;İptal")&gt;1,"Çakışıyor",""))</f>
        <v/>
      </c>
    </row>
    <row r="1223" customFormat="false" ht="15" hidden="false" customHeight="false" outlineLevel="0" collapsed="false">
      <c r="A1223" s="12"/>
      <c r="B1223" s="12"/>
      <c r="C1223" s="13"/>
      <c r="D1223" s="14"/>
      <c r="E1223" s="14"/>
      <c r="F1223" s="13"/>
      <c r="G1223" s="15"/>
      <c r="H1223" s="16" t="str">
        <f aca="false">IF(OR(D1223="",E1223="",E1223&lt;D1223),"",E1223-D1223+1)</f>
        <v/>
      </c>
      <c r="I1223" s="17" t="str">
        <f aca="false">IF(OR(H1223="",C1223=""),"",IF(F1223="İptal",0,H1223*IFERROR(INDEX(Ürünler!$B$5:$B$64,MATCH(C1223,Ürünler!$A$5:$A$64,0)),0)-G1223))</f>
        <v/>
      </c>
      <c r="J1223" s="18" t="str">
        <f aca="false">IF(OR(H1223="",C1223="",F1223="İptal"),"",IF(COUNTIFS($C$5:$C$1504,C1223,$D$5:$D$1504,"&lt;="&amp;E1223,$E$5:$E$1504,"&gt;="&amp;D1223,$F$5:$F$1504,"&lt;&gt;İptal")&gt;1,"Çakışıyor",""))</f>
        <v/>
      </c>
    </row>
    <row r="1224" customFormat="false" ht="15" hidden="false" customHeight="false" outlineLevel="0" collapsed="false">
      <c r="A1224" s="12"/>
      <c r="B1224" s="12"/>
      <c r="C1224" s="13"/>
      <c r="D1224" s="14"/>
      <c r="E1224" s="14"/>
      <c r="F1224" s="13"/>
      <c r="G1224" s="15"/>
      <c r="H1224" s="16" t="str">
        <f aca="false">IF(OR(D1224="",E1224="",E1224&lt;D1224),"",E1224-D1224+1)</f>
        <v/>
      </c>
      <c r="I1224" s="17" t="str">
        <f aca="false">IF(OR(H1224="",C1224=""),"",IF(F1224="İptal",0,H1224*IFERROR(INDEX(Ürünler!$B$5:$B$64,MATCH(C1224,Ürünler!$A$5:$A$64,0)),0)-G1224))</f>
        <v/>
      </c>
      <c r="J1224" s="18" t="str">
        <f aca="false">IF(OR(H1224="",C1224="",F1224="İptal"),"",IF(COUNTIFS($C$5:$C$1504,C1224,$D$5:$D$1504,"&lt;="&amp;E1224,$E$5:$E$1504,"&gt;="&amp;D1224,$F$5:$F$1504,"&lt;&gt;İptal")&gt;1,"Çakışıyor",""))</f>
        <v/>
      </c>
    </row>
    <row r="1225" customFormat="false" ht="15" hidden="false" customHeight="false" outlineLevel="0" collapsed="false">
      <c r="A1225" s="12"/>
      <c r="B1225" s="12"/>
      <c r="C1225" s="13"/>
      <c r="D1225" s="14"/>
      <c r="E1225" s="14"/>
      <c r="F1225" s="13"/>
      <c r="G1225" s="15"/>
      <c r="H1225" s="16" t="str">
        <f aca="false">IF(OR(D1225="",E1225="",E1225&lt;D1225),"",E1225-D1225+1)</f>
        <v/>
      </c>
      <c r="I1225" s="17" t="str">
        <f aca="false">IF(OR(H1225="",C1225=""),"",IF(F1225="İptal",0,H1225*IFERROR(INDEX(Ürünler!$B$5:$B$64,MATCH(C1225,Ürünler!$A$5:$A$64,0)),0)-G1225))</f>
        <v/>
      </c>
      <c r="J1225" s="18" t="str">
        <f aca="false">IF(OR(H1225="",C1225="",F1225="İptal"),"",IF(COUNTIFS($C$5:$C$1504,C1225,$D$5:$D$1504,"&lt;="&amp;E1225,$E$5:$E$1504,"&gt;="&amp;D1225,$F$5:$F$1504,"&lt;&gt;İptal")&gt;1,"Çakışıyor",""))</f>
        <v/>
      </c>
    </row>
    <row r="1226" customFormat="false" ht="15" hidden="false" customHeight="false" outlineLevel="0" collapsed="false">
      <c r="A1226" s="12"/>
      <c r="B1226" s="12"/>
      <c r="C1226" s="13"/>
      <c r="D1226" s="14"/>
      <c r="E1226" s="14"/>
      <c r="F1226" s="13"/>
      <c r="G1226" s="15"/>
      <c r="H1226" s="16" t="str">
        <f aca="false">IF(OR(D1226="",E1226="",E1226&lt;D1226),"",E1226-D1226+1)</f>
        <v/>
      </c>
      <c r="I1226" s="17" t="str">
        <f aca="false">IF(OR(H1226="",C1226=""),"",IF(F1226="İptal",0,H1226*IFERROR(INDEX(Ürünler!$B$5:$B$64,MATCH(C1226,Ürünler!$A$5:$A$64,0)),0)-G1226))</f>
        <v/>
      </c>
      <c r="J1226" s="18" t="str">
        <f aca="false">IF(OR(H1226="",C1226="",F1226="İptal"),"",IF(COUNTIFS($C$5:$C$1504,C1226,$D$5:$D$1504,"&lt;="&amp;E1226,$E$5:$E$1504,"&gt;="&amp;D1226,$F$5:$F$1504,"&lt;&gt;İptal")&gt;1,"Çakışıyor",""))</f>
        <v/>
      </c>
    </row>
    <row r="1227" customFormat="false" ht="15" hidden="false" customHeight="false" outlineLevel="0" collapsed="false">
      <c r="A1227" s="12"/>
      <c r="B1227" s="12"/>
      <c r="C1227" s="13"/>
      <c r="D1227" s="14"/>
      <c r="E1227" s="14"/>
      <c r="F1227" s="13"/>
      <c r="G1227" s="15"/>
      <c r="H1227" s="16" t="str">
        <f aca="false">IF(OR(D1227="",E1227="",E1227&lt;D1227),"",E1227-D1227+1)</f>
        <v/>
      </c>
      <c r="I1227" s="17" t="str">
        <f aca="false">IF(OR(H1227="",C1227=""),"",IF(F1227="İptal",0,H1227*IFERROR(INDEX(Ürünler!$B$5:$B$64,MATCH(C1227,Ürünler!$A$5:$A$64,0)),0)-G1227))</f>
        <v/>
      </c>
      <c r="J1227" s="18" t="str">
        <f aca="false">IF(OR(H1227="",C1227="",F1227="İptal"),"",IF(COUNTIFS($C$5:$C$1504,C1227,$D$5:$D$1504,"&lt;="&amp;E1227,$E$5:$E$1504,"&gt;="&amp;D1227,$F$5:$F$1504,"&lt;&gt;İptal")&gt;1,"Çakışıyor",""))</f>
        <v/>
      </c>
    </row>
    <row r="1228" customFormat="false" ht="15" hidden="false" customHeight="false" outlineLevel="0" collapsed="false">
      <c r="A1228" s="12"/>
      <c r="B1228" s="12"/>
      <c r="C1228" s="13"/>
      <c r="D1228" s="14"/>
      <c r="E1228" s="14"/>
      <c r="F1228" s="13"/>
      <c r="G1228" s="15"/>
      <c r="H1228" s="16" t="str">
        <f aca="false">IF(OR(D1228="",E1228="",E1228&lt;D1228),"",E1228-D1228+1)</f>
        <v/>
      </c>
      <c r="I1228" s="17" t="str">
        <f aca="false">IF(OR(H1228="",C1228=""),"",IF(F1228="İptal",0,H1228*IFERROR(INDEX(Ürünler!$B$5:$B$64,MATCH(C1228,Ürünler!$A$5:$A$64,0)),0)-G1228))</f>
        <v/>
      </c>
      <c r="J1228" s="18" t="str">
        <f aca="false">IF(OR(H1228="",C1228="",F1228="İptal"),"",IF(COUNTIFS($C$5:$C$1504,C1228,$D$5:$D$1504,"&lt;="&amp;E1228,$E$5:$E$1504,"&gt;="&amp;D1228,$F$5:$F$1504,"&lt;&gt;İptal")&gt;1,"Çakışıyor",""))</f>
        <v/>
      </c>
    </row>
    <row r="1229" customFormat="false" ht="15" hidden="false" customHeight="false" outlineLevel="0" collapsed="false">
      <c r="A1229" s="12"/>
      <c r="B1229" s="12"/>
      <c r="C1229" s="13"/>
      <c r="D1229" s="14"/>
      <c r="E1229" s="14"/>
      <c r="F1229" s="13"/>
      <c r="G1229" s="15"/>
      <c r="H1229" s="16" t="str">
        <f aca="false">IF(OR(D1229="",E1229="",E1229&lt;D1229),"",E1229-D1229+1)</f>
        <v/>
      </c>
      <c r="I1229" s="17" t="str">
        <f aca="false">IF(OR(H1229="",C1229=""),"",IF(F1229="İptal",0,H1229*IFERROR(INDEX(Ürünler!$B$5:$B$64,MATCH(C1229,Ürünler!$A$5:$A$64,0)),0)-G1229))</f>
        <v/>
      </c>
      <c r="J1229" s="18" t="str">
        <f aca="false">IF(OR(H1229="",C1229="",F1229="İptal"),"",IF(COUNTIFS($C$5:$C$1504,C1229,$D$5:$D$1504,"&lt;="&amp;E1229,$E$5:$E$1504,"&gt;="&amp;D1229,$F$5:$F$1504,"&lt;&gt;İptal")&gt;1,"Çakışıyor",""))</f>
        <v/>
      </c>
    </row>
    <row r="1230" customFormat="false" ht="15" hidden="false" customHeight="false" outlineLevel="0" collapsed="false">
      <c r="A1230" s="12"/>
      <c r="B1230" s="12"/>
      <c r="C1230" s="13"/>
      <c r="D1230" s="14"/>
      <c r="E1230" s="14"/>
      <c r="F1230" s="13"/>
      <c r="G1230" s="15"/>
      <c r="H1230" s="16" t="str">
        <f aca="false">IF(OR(D1230="",E1230="",E1230&lt;D1230),"",E1230-D1230+1)</f>
        <v/>
      </c>
      <c r="I1230" s="17" t="str">
        <f aca="false">IF(OR(H1230="",C1230=""),"",IF(F1230="İptal",0,H1230*IFERROR(INDEX(Ürünler!$B$5:$B$64,MATCH(C1230,Ürünler!$A$5:$A$64,0)),0)-G1230))</f>
        <v/>
      </c>
      <c r="J1230" s="18" t="str">
        <f aca="false">IF(OR(H1230="",C1230="",F1230="İptal"),"",IF(COUNTIFS($C$5:$C$1504,C1230,$D$5:$D$1504,"&lt;="&amp;E1230,$E$5:$E$1504,"&gt;="&amp;D1230,$F$5:$F$1504,"&lt;&gt;İptal")&gt;1,"Çakışıyor",""))</f>
        <v/>
      </c>
    </row>
    <row r="1231" customFormat="false" ht="15" hidden="false" customHeight="false" outlineLevel="0" collapsed="false">
      <c r="A1231" s="12"/>
      <c r="B1231" s="12"/>
      <c r="C1231" s="13"/>
      <c r="D1231" s="14"/>
      <c r="E1231" s="14"/>
      <c r="F1231" s="13"/>
      <c r="G1231" s="15"/>
      <c r="H1231" s="16" t="str">
        <f aca="false">IF(OR(D1231="",E1231="",E1231&lt;D1231),"",E1231-D1231+1)</f>
        <v/>
      </c>
      <c r="I1231" s="17" t="str">
        <f aca="false">IF(OR(H1231="",C1231=""),"",IF(F1231="İptal",0,H1231*IFERROR(INDEX(Ürünler!$B$5:$B$64,MATCH(C1231,Ürünler!$A$5:$A$64,0)),0)-G1231))</f>
        <v/>
      </c>
      <c r="J1231" s="18" t="str">
        <f aca="false">IF(OR(H1231="",C1231="",F1231="İptal"),"",IF(COUNTIFS($C$5:$C$1504,C1231,$D$5:$D$1504,"&lt;="&amp;E1231,$E$5:$E$1504,"&gt;="&amp;D1231,$F$5:$F$1504,"&lt;&gt;İptal")&gt;1,"Çakışıyor",""))</f>
        <v/>
      </c>
    </row>
    <row r="1232" customFormat="false" ht="15" hidden="false" customHeight="false" outlineLevel="0" collapsed="false">
      <c r="A1232" s="12"/>
      <c r="B1232" s="12"/>
      <c r="C1232" s="13"/>
      <c r="D1232" s="14"/>
      <c r="E1232" s="14"/>
      <c r="F1232" s="13"/>
      <c r="G1232" s="15"/>
      <c r="H1232" s="16" t="str">
        <f aca="false">IF(OR(D1232="",E1232="",E1232&lt;D1232),"",E1232-D1232+1)</f>
        <v/>
      </c>
      <c r="I1232" s="17" t="str">
        <f aca="false">IF(OR(H1232="",C1232=""),"",IF(F1232="İptal",0,H1232*IFERROR(INDEX(Ürünler!$B$5:$B$64,MATCH(C1232,Ürünler!$A$5:$A$64,0)),0)-G1232))</f>
        <v/>
      </c>
      <c r="J1232" s="18" t="str">
        <f aca="false">IF(OR(H1232="",C1232="",F1232="İptal"),"",IF(COUNTIFS($C$5:$C$1504,C1232,$D$5:$D$1504,"&lt;="&amp;E1232,$E$5:$E$1504,"&gt;="&amp;D1232,$F$5:$F$1504,"&lt;&gt;İptal")&gt;1,"Çakışıyor",""))</f>
        <v/>
      </c>
    </row>
    <row r="1233" customFormat="false" ht="15" hidden="false" customHeight="false" outlineLevel="0" collapsed="false">
      <c r="A1233" s="12"/>
      <c r="B1233" s="12"/>
      <c r="C1233" s="13"/>
      <c r="D1233" s="14"/>
      <c r="E1233" s="14"/>
      <c r="F1233" s="13"/>
      <c r="G1233" s="15"/>
      <c r="H1233" s="16" t="str">
        <f aca="false">IF(OR(D1233="",E1233="",E1233&lt;D1233),"",E1233-D1233+1)</f>
        <v/>
      </c>
      <c r="I1233" s="17" t="str">
        <f aca="false">IF(OR(H1233="",C1233=""),"",IF(F1233="İptal",0,H1233*IFERROR(INDEX(Ürünler!$B$5:$B$64,MATCH(C1233,Ürünler!$A$5:$A$64,0)),0)-G1233))</f>
        <v/>
      </c>
      <c r="J1233" s="18" t="str">
        <f aca="false">IF(OR(H1233="",C1233="",F1233="İptal"),"",IF(COUNTIFS($C$5:$C$1504,C1233,$D$5:$D$1504,"&lt;="&amp;E1233,$E$5:$E$1504,"&gt;="&amp;D1233,$F$5:$F$1504,"&lt;&gt;İptal")&gt;1,"Çakışıyor",""))</f>
        <v/>
      </c>
    </row>
    <row r="1234" customFormat="false" ht="15" hidden="false" customHeight="false" outlineLevel="0" collapsed="false">
      <c r="A1234" s="12"/>
      <c r="B1234" s="12"/>
      <c r="C1234" s="13"/>
      <c r="D1234" s="14"/>
      <c r="E1234" s="14"/>
      <c r="F1234" s="13"/>
      <c r="G1234" s="15"/>
      <c r="H1234" s="16" t="str">
        <f aca="false">IF(OR(D1234="",E1234="",E1234&lt;D1234),"",E1234-D1234+1)</f>
        <v/>
      </c>
      <c r="I1234" s="17" t="str">
        <f aca="false">IF(OR(H1234="",C1234=""),"",IF(F1234="İptal",0,H1234*IFERROR(INDEX(Ürünler!$B$5:$B$64,MATCH(C1234,Ürünler!$A$5:$A$64,0)),0)-G1234))</f>
        <v/>
      </c>
      <c r="J1234" s="18" t="str">
        <f aca="false">IF(OR(H1234="",C1234="",F1234="İptal"),"",IF(COUNTIFS($C$5:$C$1504,C1234,$D$5:$D$1504,"&lt;="&amp;E1234,$E$5:$E$1504,"&gt;="&amp;D1234,$F$5:$F$1504,"&lt;&gt;İptal")&gt;1,"Çakışıyor",""))</f>
        <v/>
      </c>
    </row>
    <row r="1235" customFormat="false" ht="15" hidden="false" customHeight="false" outlineLevel="0" collapsed="false">
      <c r="A1235" s="12"/>
      <c r="B1235" s="12"/>
      <c r="C1235" s="13"/>
      <c r="D1235" s="14"/>
      <c r="E1235" s="14"/>
      <c r="F1235" s="13"/>
      <c r="G1235" s="15"/>
      <c r="H1235" s="16" t="str">
        <f aca="false">IF(OR(D1235="",E1235="",E1235&lt;D1235),"",E1235-D1235+1)</f>
        <v/>
      </c>
      <c r="I1235" s="17" t="str">
        <f aca="false">IF(OR(H1235="",C1235=""),"",IF(F1235="İptal",0,H1235*IFERROR(INDEX(Ürünler!$B$5:$B$64,MATCH(C1235,Ürünler!$A$5:$A$64,0)),0)-G1235))</f>
        <v/>
      </c>
      <c r="J1235" s="18" t="str">
        <f aca="false">IF(OR(H1235="",C1235="",F1235="İptal"),"",IF(COUNTIFS($C$5:$C$1504,C1235,$D$5:$D$1504,"&lt;="&amp;E1235,$E$5:$E$1504,"&gt;="&amp;D1235,$F$5:$F$1504,"&lt;&gt;İptal")&gt;1,"Çakışıyor",""))</f>
        <v/>
      </c>
    </row>
    <row r="1236" customFormat="false" ht="15" hidden="false" customHeight="false" outlineLevel="0" collapsed="false">
      <c r="A1236" s="12"/>
      <c r="B1236" s="12"/>
      <c r="C1236" s="13"/>
      <c r="D1236" s="14"/>
      <c r="E1236" s="14"/>
      <c r="F1236" s="13"/>
      <c r="G1236" s="15"/>
      <c r="H1236" s="16" t="str">
        <f aca="false">IF(OR(D1236="",E1236="",E1236&lt;D1236),"",E1236-D1236+1)</f>
        <v/>
      </c>
      <c r="I1236" s="17" t="str">
        <f aca="false">IF(OR(H1236="",C1236=""),"",IF(F1236="İptal",0,H1236*IFERROR(INDEX(Ürünler!$B$5:$B$64,MATCH(C1236,Ürünler!$A$5:$A$64,0)),0)-G1236))</f>
        <v/>
      </c>
      <c r="J1236" s="18" t="str">
        <f aca="false">IF(OR(H1236="",C1236="",F1236="İptal"),"",IF(COUNTIFS($C$5:$C$1504,C1236,$D$5:$D$1504,"&lt;="&amp;E1236,$E$5:$E$1504,"&gt;="&amp;D1236,$F$5:$F$1504,"&lt;&gt;İptal")&gt;1,"Çakışıyor",""))</f>
        <v/>
      </c>
    </row>
    <row r="1237" customFormat="false" ht="15" hidden="false" customHeight="false" outlineLevel="0" collapsed="false">
      <c r="A1237" s="12"/>
      <c r="B1237" s="12"/>
      <c r="C1237" s="13"/>
      <c r="D1237" s="14"/>
      <c r="E1237" s="14"/>
      <c r="F1237" s="13"/>
      <c r="G1237" s="15"/>
      <c r="H1237" s="16" t="str">
        <f aca="false">IF(OR(D1237="",E1237="",E1237&lt;D1237),"",E1237-D1237+1)</f>
        <v/>
      </c>
      <c r="I1237" s="17" t="str">
        <f aca="false">IF(OR(H1237="",C1237=""),"",IF(F1237="İptal",0,H1237*IFERROR(INDEX(Ürünler!$B$5:$B$64,MATCH(C1237,Ürünler!$A$5:$A$64,0)),0)-G1237))</f>
        <v/>
      </c>
      <c r="J1237" s="18" t="str">
        <f aca="false">IF(OR(H1237="",C1237="",F1237="İptal"),"",IF(COUNTIFS($C$5:$C$1504,C1237,$D$5:$D$1504,"&lt;="&amp;E1237,$E$5:$E$1504,"&gt;="&amp;D1237,$F$5:$F$1504,"&lt;&gt;İptal")&gt;1,"Çakışıyor",""))</f>
        <v/>
      </c>
    </row>
    <row r="1238" customFormat="false" ht="15" hidden="false" customHeight="false" outlineLevel="0" collapsed="false">
      <c r="A1238" s="12"/>
      <c r="B1238" s="12"/>
      <c r="C1238" s="13"/>
      <c r="D1238" s="14"/>
      <c r="E1238" s="14"/>
      <c r="F1238" s="13"/>
      <c r="G1238" s="15"/>
      <c r="H1238" s="16" t="str">
        <f aca="false">IF(OR(D1238="",E1238="",E1238&lt;D1238),"",E1238-D1238+1)</f>
        <v/>
      </c>
      <c r="I1238" s="17" t="str">
        <f aca="false">IF(OR(H1238="",C1238=""),"",IF(F1238="İptal",0,H1238*IFERROR(INDEX(Ürünler!$B$5:$B$64,MATCH(C1238,Ürünler!$A$5:$A$64,0)),0)-G1238))</f>
        <v/>
      </c>
      <c r="J1238" s="18" t="str">
        <f aca="false">IF(OR(H1238="",C1238="",F1238="İptal"),"",IF(COUNTIFS($C$5:$C$1504,C1238,$D$5:$D$1504,"&lt;="&amp;E1238,$E$5:$E$1504,"&gt;="&amp;D1238,$F$5:$F$1504,"&lt;&gt;İptal")&gt;1,"Çakışıyor",""))</f>
        <v/>
      </c>
    </row>
    <row r="1239" customFormat="false" ht="15" hidden="false" customHeight="false" outlineLevel="0" collapsed="false">
      <c r="A1239" s="12"/>
      <c r="B1239" s="12"/>
      <c r="C1239" s="13"/>
      <c r="D1239" s="14"/>
      <c r="E1239" s="14"/>
      <c r="F1239" s="13"/>
      <c r="G1239" s="15"/>
      <c r="H1239" s="16" t="str">
        <f aca="false">IF(OR(D1239="",E1239="",E1239&lt;D1239),"",E1239-D1239+1)</f>
        <v/>
      </c>
      <c r="I1239" s="17" t="str">
        <f aca="false">IF(OR(H1239="",C1239=""),"",IF(F1239="İptal",0,H1239*IFERROR(INDEX(Ürünler!$B$5:$B$64,MATCH(C1239,Ürünler!$A$5:$A$64,0)),0)-G1239))</f>
        <v/>
      </c>
      <c r="J1239" s="18" t="str">
        <f aca="false">IF(OR(H1239="",C1239="",F1239="İptal"),"",IF(COUNTIFS($C$5:$C$1504,C1239,$D$5:$D$1504,"&lt;="&amp;E1239,$E$5:$E$1504,"&gt;="&amp;D1239,$F$5:$F$1504,"&lt;&gt;İptal")&gt;1,"Çakışıyor",""))</f>
        <v/>
      </c>
    </row>
    <row r="1240" customFormat="false" ht="15" hidden="false" customHeight="false" outlineLevel="0" collapsed="false">
      <c r="A1240" s="12"/>
      <c r="B1240" s="12"/>
      <c r="C1240" s="13"/>
      <c r="D1240" s="14"/>
      <c r="E1240" s="14"/>
      <c r="F1240" s="13"/>
      <c r="G1240" s="15"/>
      <c r="H1240" s="16" t="str">
        <f aca="false">IF(OR(D1240="",E1240="",E1240&lt;D1240),"",E1240-D1240+1)</f>
        <v/>
      </c>
      <c r="I1240" s="17" t="str">
        <f aca="false">IF(OR(H1240="",C1240=""),"",IF(F1240="İptal",0,H1240*IFERROR(INDEX(Ürünler!$B$5:$B$64,MATCH(C1240,Ürünler!$A$5:$A$64,0)),0)-G1240))</f>
        <v/>
      </c>
      <c r="J1240" s="18" t="str">
        <f aca="false">IF(OR(H1240="",C1240="",F1240="İptal"),"",IF(COUNTIFS($C$5:$C$1504,C1240,$D$5:$D$1504,"&lt;="&amp;E1240,$E$5:$E$1504,"&gt;="&amp;D1240,$F$5:$F$1504,"&lt;&gt;İptal")&gt;1,"Çakışıyor",""))</f>
        <v/>
      </c>
    </row>
    <row r="1241" customFormat="false" ht="15" hidden="false" customHeight="false" outlineLevel="0" collapsed="false">
      <c r="A1241" s="12"/>
      <c r="B1241" s="12"/>
      <c r="C1241" s="13"/>
      <c r="D1241" s="14"/>
      <c r="E1241" s="14"/>
      <c r="F1241" s="13"/>
      <c r="G1241" s="15"/>
      <c r="H1241" s="16" t="str">
        <f aca="false">IF(OR(D1241="",E1241="",E1241&lt;D1241),"",E1241-D1241+1)</f>
        <v/>
      </c>
      <c r="I1241" s="17" t="str">
        <f aca="false">IF(OR(H1241="",C1241=""),"",IF(F1241="İptal",0,H1241*IFERROR(INDEX(Ürünler!$B$5:$B$64,MATCH(C1241,Ürünler!$A$5:$A$64,0)),0)-G1241))</f>
        <v/>
      </c>
      <c r="J1241" s="18" t="str">
        <f aca="false">IF(OR(H1241="",C1241="",F1241="İptal"),"",IF(COUNTIFS($C$5:$C$1504,C1241,$D$5:$D$1504,"&lt;="&amp;E1241,$E$5:$E$1504,"&gt;="&amp;D1241,$F$5:$F$1504,"&lt;&gt;İptal")&gt;1,"Çakışıyor",""))</f>
        <v/>
      </c>
    </row>
    <row r="1242" customFormat="false" ht="15" hidden="false" customHeight="false" outlineLevel="0" collapsed="false">
      <c r="A1242" s="12"/>
      <c r="B1242" s="12"/>
      <c r="C1242" s="13"/>
      <c r="D1242" s="14"/>
      <c r="E1242" s="14"/>
      <c r="F1242" s="13"/>
      <c r="G1242" s="15"/>
      <c r="H1242" s="16" t="str">
        <f aca="false">IF(OR(D1242="",E1242="",E1242&lt;D1242),"",E1242-D1242+1)</f>
        <v/>
      </c>
      <c r="I1242" s="17" t="str">
        <f aca="false">IF(OR(H1242="",C1242=""),"",IF(F1242="İptal",0,H1242*IFERROR(INDEX(Ürünler!$B$5:$B$64,MATCH(C1242,Ürünler!$A$5:$A$64,0)),0)-G1242))</f>
        <v/>
      </c>
      <c r="J1242" s="18" t="str">
        <f aca="false">IF(OR(H1242="",C1242="",F1242="İptal"),"",IF(COUNTIFS($C$5:$C$1504,C1242,$D$5:$D$1504,"&lt;="&amp;E1242,$E$5:$E$1504,"&gt;="&amp;D1242,$F$5:$F$1504,"&lt;&gt;İptal")&gt;1,"Çakışıyor",""))</f>
        <v/>
      </c>
    </row>
    <row r="1243" customFormat="false" ht="15" hidden="false" customHeight="false" outlineLevel="0" collapsed="false">
      <c r="A1243" s="12"/>
      <c r="B1243" s="12"/>
      <c r="C1243" s="13"/>
      <c r="D1243" s="14"/>
      <c r="E1243" s="14"/>
      <c r="F1243" s="13"/>
      <c r="G1243" s="15"/>
      <c r="H1243" s="16" t="str">
        <f aca="false">IF(OR(D1243="",E1243="",E1243&lt;D1243),"",E1243-D1243+1)</f>
        <v/>
      </c>
      <c r="I1243" s="17" t="str">
        <f aca="false">IF(OR(H1243="",C1243=""),"",IF(F1243="İptal",0,H1243*IFERROR(INDEX(Ürünler!$B$5:$B$64,MATCH(C1243,Ürünler!$A$5:$A$64,0)),0)-G1243))</f>
        <v/>
      </c>
      <c r="J1243" s="18" t="str">
        <f aca="false">IF(OR(H1243="",C1243="",F1243="İptal"),"",IF(COUNTIFS($C$5:$C$1504,C1243,$D$5:$D$1504,"&lt;="&amp;E1243,$E$5:$E$1504,"&gt;="&amp;D1243,$F$5:$F$1504,"&lt;&gt;İptal")&gt;1,"Çakışıyor",""))</f>
        <v/>
      </c>
    </row>
    <row r="1244" customFormat="false" ht="15" hidden="false" customHeight="false" outlineLevel="0" collapsed="false">
      <c r="A1244" s="12"/>
      <c r="B1244" s="12"/>
      <c r="C1244" s="13"/>
      <c r="D1244" s="14"/>
      <c r="E1244" s="14"/>
      <c r="F1244" s="13"/>
      <c r="G1244" s="15"/>
      <c r="H1244" s="16" t="str">
        <f aca="false">IF(OR(D1244="",E1244="",E1244&lt;D1244),"",E1244-D1244+1)</f>
        <v/>
      </c>
      <c r="I1244" s="17" t="str">
        <f aca="false">IF(OR(H1244="",C1244=""),"",IF(F1244="İptal",0,H1244*IFERROR(INDEX(Ürünler!$B$5:$B$64,MATCH(C1244,Ürünler!$A$5:$A$64,0)),0)-G1244))</f>
        <v/>
      </c>
      <c r="J1244" s="18" t="str">
        <f aca="false">IF(OR(H1244="",C1244="",F1244="İptal"),"",IF(COUNTIFS($C$5:$C$1504,C1244,$D$5:$D$1504,"&lt;="&amp;E1244,$E$5:$E$1504,"&gt;="&amp;D1244,$F$5:$F$1504,"&lt;&gt;İptal")&gt;1,"Çakışıyor",""))</f>
        <v/>
      </c>
    </row>
    <row r="1245" customFormat="false" ht="15" hidden="false" customHeight="false" outlineLevel="0" collapsed="false">
      <c r="A1245" s="12"/>
      <c r="B1245" s="12"/>
      <c r="C1245" s="13"/>
      <c r="D1245" s="14"/>
      <c r="E1245" s="14"/>
      <c r="F1245" s="13"/>
      <c r="G1245" s="15"/>
      <c r="H1245" s="16" t="str">
        <f aca="false">IF(OR(D1245="",E1245="",E1245&lt;D1245),"",E1245-D1245+1)</f>
        <v/>
      </c>
      <c r="I1245" s="17" t="str">
        <f aca="false">IF(OR(H1245="",C1245=""),"",IF(F1245="İptal",0,H1245*IFERROR(INDEX(Ürünler!$B$5:$B$64,MATCH(C1245,Ürünler!$A$5:$A$64,0)),0)-G1245))</f>
        <v/>
      </c>
      <c r="J1245" s="18" t="str">
        <f aca="false">IF(OR(H1245="",C1245="",F1245="İptal"),"",IF(COUNTIFS($C$5:$C$1504,C1245,$D$5:$D$1504,"&lt;="&amp;E1245,$E$5:$E$1504,"&gt;="&amp;D1245,$F$5:$F$1504,"&lt;&gt;İptal")&gt;1,"Çakışıyor",""))</f>
        <v/>
      </c>
    </row>
    <row r="1246" customFormat="false" ht="15" hidden="false" customHeight="false" outlineLevel="0" collapsed="false">
      <c r="A1246" s="12"/>
      <c r="B1246" s="12"/>
      <c r="C1246" s="13"/>
      <c r="D1246" s="14"/>
      <c r="E1246" s="14"/>
      <c r="F1246" s="13"/>
      <c r="G1246" s="15"/>
      <c r="H1246" s="16" t="str">
        <f aca="false">IF(OR(D1246="",E1246="",E1246&lt;D1246),"",E1246-D1246+1)</f>
        <v/>
      </c>
      <c r="I1246" s="17" t="str">
        <f aca="false">IF(OR(H1246="",C1246=""),"",IF(F1246="İptal",0,H1246*IFERROR(INDEX(Ürünler!$B$5:$B$64,MATCH(C1246,Ürünler!$A$5:$A$64,0)),0)-G1246))</f>
        <v/>
      </c>
      <c r="J1246" s="18" t="str">
        <f aca="false">IF(OR(H1246="",C1246="",F1246="İptal"),"",IF(COUNTIFS($C$5:$C$1504,C1246,$D$5:$D$1504,"&lt;="&amp;E1246,$E$5:$E$1504,"&gt;="&amp;D1246,$F$5:$F$1504,"&lt;&gt;İptal")&gt;1,"Çakışıyor",""))</f>
        <v/>
      </c>
    </row>
    <row r="1247" customFormat="false" ht="15" hidden="false" customHeight="false" outlineLevel="0" collapsed="false">
      <c r="A1247" s="12"/>
      <c r="B1247" s="12"/>
      <c r="C1247" s="13"/>
      <c r="D1247" s="14"/>
      <c r="E1247" s="14"/>
      <c r="F1247" s="13"/>
      <c r="G1247" s="15"/>
      <c r="H1247" s="16" t="str">
        <f aca="false">IF(OR(D1247="",E1247="",E1247&lt;D1247),"",E1247-D1247+1)</f>
        <v/>
      </c>
      <c r="I1247" s="17" t="str">
        <f aca="false">IF(OR(H1247="",C1247=""),"",IF(F1247="İptal",0,H1247*IFERROR(INDEX(Ürünler!$B$5:$B$64,MATCH(C1247,Ürünler!$A$5:$A$64,0)),0)-G1247))</f>
        <v/>
      </c>
      <c r="J1247" s="18" t="str">
        <f aca="false">IF(OR(H1247="",C1247="",F1247="İptal"),"",IF(COUNTIFS($C$5:$C$1504,C1247,$D$5:$D$1504,"&lt;="&amp;E1247,$E$5:$E$1504,"&gt;="&amp;D1247,$F$5:$F$1504,"&lt;&gt;İptal")&gt;1,"Çakışıyor",""))</f>
        <v/>
      </c>
    </row>
    <row r="1248" customFormat="false" ht="15" hidden="false" customHeight="false" outlineLevel="0" collapsed="false">
      <c r="A1248" s="12"/>
      <c r="B1248" s="12"/>
      <c r="C1248" s="13"/>
      <c r="D1248" s="14"/>
      <c r="E1248" s="14"/>
      <c r="F1248" s="13"/>
      <c r="G1248" s="15"/>
      <c r="H1248" s="16" t="str">
        <f aca="false">IF(OR(D1248="",E1248="",E1248&lt;D1248),"",E1248-D1248+1)</f>
        <v/>
      </c>
      <c r="I1248" s="17" t="str">
        <f aca="false">IF(OR(H1248="",C1248=""),"",IF(F1248="İptal",0,H1248*IFERROR(INDEX(Ürünler!$B$5:$B$64,MATCH(C1248,Ürünler!$A$5:$A$64,0)),0)-G1248))</f>
        <v/>
      </c>
      <c r="J1248" s="18" t="str">
        <f aca="false">IF(OR(H1248="",C1248="",F1248="İptal"),"",IF(COUNTIFS($C$5:$C$1504,C1248,$D$5:$D$1504,"&lt;="&amp;E1248,$E$5:$E$1504,"&gt;="&amp;D1248,$F$5:$F$1504,"&lt;&gt;İptal")&gt;1,"Çakışıyor",""))</f>
        <v/>
      </c>
    </row>
    <row r="1249" customFormat="false" ht="15" hidden="false" customHeight="false" outlineLevel="0" collapsed="false">
      <c r="A1249" s="12"/>
      <c r="B1249" s="12"/>
      <c r="C1249" s="13"/>
      <c r="D1249" s="14"/>
      <c r="E1249" s="14"/>
      <c r="F1249" s="13"/>
      <c r="G1249" s="15"/>
      <c r="H1249" s="16" t="str">
        <f aca="false">IF(OR(D1249="",E1249="",E1249&lt;D1249),"",E1249-D1249+1)</f>
        <v/>
      </c>
      <c r="I1249" s="17" t="str">
        <f aca="false">IF(OR(H1249="",C1249=""),"",IF(F1249="İptal",0,H1249*IFERROR(INDEX(Ürünler!$B$5:$B$64,MATCH(C1249,Ürünler!$A$5:$A$64,0)),0)-G1249))</f>
        <v/>
      </c>
      <c r="J1249" s="18" t="str">
        <f aca="false">IF(OR(H1249="",C1249="",F1249="İptal"),"",IF(COUNTIFS($C$5:$C$1504,C1249,$D$5:$D$1504,"&lt;="&amp;E1249,$E$5:$E$1504,"&gt;="&amp;D1249,$F$5:$F$1504,"&lt;&gt;İptal")&gt;1,"Çakışıyor",""))</f>
        <v/>
      </c>
    </row>
    <row r="1250" customFormat="false" ht="15" hidden="false" customHeight="false" outlineLevel="0" collapsed="false">
      <c r="A1250" s="12"/>
      <c r="B1250" s="12"/>
      <c r="C1250" s="13"/>
      <c r="D1250" s="14"/>
      <c r="E1250" s="14"/>
      <c r="F1250" s="13"/>
      <c r="G1250" s="15"/>
      <c r="H1250" s="16" t="str">
        <f aca="false">IF(OR(D1250="",E1250="",E1250&lt;D1250),"",E1250-D1250+1)</f>
        <v/>
      </c>
      <c r="I1250" s="17" t="str">
        <f aca="false">IF(OR(H1250="",C1250=""),"",IF(F1250="İptal",0,H1250*IFERROR(INDEX(Ürünler!$B$5:$B$64,MATCH(C1250,Ürünler!$A$5:$A$64,0)),0)-G1250))</f>
        <v/>
      </c>
      <c r="J1250" s="18" t="str">
        <f aca="false">IF(OR(H1250="",C1250="",F1250="İptal"),"",IF(COUNTIFS($C$5:$C$1504,C1250,$D$5:$D$1504,"&lt;="&amp;E1250,$E$5:$E$1504,"&gt;="&amp;D1250,$F$5:$F$1504,"&lt;&gt;İptal")&gt;1,"Çakışıyor",""))</f>
        <v/>
      </c>
    </row>
    <row r="1251" customFormat="false" ht="15" hidden="false" customHeight="false" outlineLevel="0" collapsed="false">
      <c r="A1251" s="12"/>
      <c r="B1251" s="12"/>
      <c r="C1251" s="13"/>
      <c r="D1251" s="14"/>
      <c r="E1251" s="14"/>
      <c r="F1251" s="13"/>
      <c r="G1251" s="15"/>
      <c r="H1251" s="16" t="str">
        <f aca="false">IF(OR(D1251="",E1251="",E1251&lt;D1251),"",E1251-D1251+1)</f>
        <v/>
      </c>
      <c r="I1251" s="17" t="str">
        <f aca="false">IF(OR(H1251="",C1251=""),"",IF(F1251="İptal",0,H1251*IFERROR(INDEX(Ürünler!$B$5:$B$64,MATCH(C1251,Ürünler!$A$5:$A$64,0)),0)-G1251))</f>
        <v/>
      </c>
      <c r="J1251" s="18" t="str">
        <f aca="false">IF(OR(H1251="",C1251="",F1251="İptal"),"",IF(COUNTIFS($C$5:$C$1504,C1251,$D$5:$D$1504,"&lt;="&amp;E1251,$E$5:$E$1504,"&gt;="&amp;D1251,$F$5:$F$1504,"&lt;&gt;İptal")&gt;1,"Çakışıyor",""))</f>
        <v/>
      </c>
    </row>
    <row r="1252" customFormat="false" ht="15" hidden="false" customHeight="false" outlineLevel="0" collapsed="false">
      <c r="A1252" s="12"/>
      <c r="B1252" s="12"/>
      <c r="C1252" s="13"/>
      <c r="D1252" s="14"/>
      <c r="E1252" s="14"/>
      <c r="F1252" s="13"/>
      <c r="G1252" s="15"/>
      <c r="H1252" s="16" t="str">
        <f aca="false">IF(OR(D1252="",E1252="",E1252&lt;D1252),"",E1252-D1252+1)</f>
        <v/>
      </c>
      <c r="I1252" s="17" t="str">
        <f aca="false">IF(OR(H1252="",C1252=""),"",IF(F1252="İptal",0,H1252*IFERROR(INDEX(Ürünler!$B$5:$B$64,MATCH(C1252,Ürünler!$A$5:$A$64,0)),0)-G1252))</f>
        <v/>
      </c>
      <c r="J1252" s="18" t="str">
        <f aca="false">IF(OR(H1252="",C1252="",F1252="İptal"),"",IF(COUNTIFS($C$5:$C$1504,C1252,$D$5:$D$1504,"&lt;="&amp;E1252,$E$5:$E$1504,"&gt;="&amp;D1252,$F$5:$F$1504,"&lt;&gt;İptal")&gt;1,"Çakışıyor",""))</f>
        <v/>
      </c>
    </row>
    <row r="1253" customFormat="false" ht="15" hidden="false" customHeight="false" outlineLevel="0" collapsed="false">
      <c r="A1253" s="12"/>
      <c r="B1253" s="12"/>
      <c r="C1253" s="13"/>
      <c r="D1253" s="14"/>
      <c r="E1253" s="14"/>
      <c r="F1253" s="13"/>
      <c r="G1253" s="15"/>
      <c r="H1253" s="16" t="str">
        <f aca="false">IF(OR(D1253="",E1253="",E1253&lt;D1253),"",E1253-D1253+1)</f>
        <v/>
      </c>
      <c r="I1253" s="17" t="str">
        <f aca="false">IF(OR(H1253="",C1253=""),"",IF(F1253="İptal",0,H1253*IFERROR(INDEX(Ürünler!$B$5:$B$64,MATCH(C1253,Ürünler!$A$5:$A$64,0)),0)-G1253))</f>
        <v/>
      </c>
      <c r="J1253" s="18" t="str">
        <f aca="false">IF(OR(H1253="",C1253="",F1253="İptal"),"",IF(COUNTIFS($C$5:$C$1504,C1253,$D$5:$D$1504,"&lt;="&amp;E1253,$E$5:$E$1504,"&gt;="&amp;D1253,$F$5:$F$1504,"&lt;&gt;İptal")&gt;1,"Çakışıyor",""))</f>
        <v/>
      </c>
    </row>
    <row r="1254" customFormat="false" ht="15" hidden="false" customHeight="false" outlineLevel="0" collapsed="false">
      <c r="A1254" s="12"/>
      <c r="B1254" s="12"/>
      <c r="C1254" s="13"/>
      <c r="D1254" s="14"/>
      <c r="E1254" s="14"/>
      <c r="F1254" s="13"/>
      <c r="G1254" s="15"/>
      <c r="H1254" s="16" t="str">
        <f aca="false">IF(OR(D1254="",E1254="",E1254&lt;D1254),"",E1254-D1254+1)</f>
        <v/>
      </c>
      <c r="I1254" s="17" t="str">
        <f aca="false">IF(OR(H1254="",C1254=""),"",IF(F1254="İptal",0,H1254*IFERROR(INDEX(Ürünler!$B$5:$B$64,MATCH(C1254,Ürünler!$A$5:$A$64,0)),0)-G1254))</f>
        <v/>
      </c>
      <c r="J1254" s="18" t="str">
        <f aca="false">IF(OR(H1254="",C1254="",F1254="İptal"),"",IF(COUNTIFS($C$5:$C$1504,C1254,$D$5:$D$1504,"&lt;="&amp;E1254,$E$5:$E$1504,"&gt;="&amp;D1254,$F$5:$F$1504,"&lt;&gt;İptal")&gt;1,"Çakışıyor",""))</f>
        <v/>
      </c>
    </row>
    <row r="1255" customFormat="false" ht="15" hidden="false" customHeight="false" outlineLevel="0" collapsed="false">
      <c r="A1255" s="12"/>
      <c r="B1255" s="12"/>
      <c r="C1255" s="13"/>
      <c r="D1255" s="14"/>
      <c r="E1255" s="14"/>
      <c r="F1255" s="13"/>
      <c r="G1255" s="15"/>
      <c r="H1255" s="16" t="str">
        <f aca="false">IF(OR(D1255="",E1255="",E1255&lt;D1255),"",E1255-D1255+1)</f>
        <v/>
      </c>
      <c r="I1255" s="17" t="str">
        <f aca="false">IF(OR(H1255="",C1255=""),"",IF(F1255="İptal",0,H1255*IFERROR(INDEX(Ürünler!$B$5:$B$64,MATCH(C1255,Ürünler!$A$5:$A$64,0)),0)-G1255))</f>
        <v/>
      </c>
      <c r="J1255" s="18" t="str">
        <f aca="false">IF(OR(H1255="",C1255="",F1255="İptal"),"",IF(COUNTIFS($C$5:$C$1504,C1255,$D$5:$D$1504,"&lt;="&amp;E1255,$E$5:$E$1504,"&gt;="&amp;D1255,$F$5:$F$1504,"&lt;&gt;İptal")&gt;1,"Çakışıyor",""))</f>
        <v/>
      </c>
    </row>
    <row r="1256" customFormat="false" ht="15" hidden="false" customHeight="false" outlineLevel="0" collapsed="false">
      <c r="A1256" s="12"/>
      <c r="B1256" s="12"/>
      <c r="C1256" s="13"/>
      <c r="D1256" s="14"/>
      <c r="E1256" s="14"/>
      <c r="F1256" s="13"/>
      <c r="G1256" s="15"/>
      <c r="H1256" s="16" t="str">
        <f aca="false">IF(OR(D1256="",E1256="",E1256&lt;D1256),"",E1256-D1256+1)</f>
        <v/>
      </c>
      <c r="I1256" s="17" t="str">
        <f aca="false">IF(OR(H1256="",C1256=""),"",IF(F1256="İptal",0,H1256*IFERROR(INDEX(Ürünler!$B$5:$B$64,MATCH(C1256,Ürünler!$A$5:$A$64,0)),0)-G1256))</f>
        <v/>
      </c>
      <c r="J1256" s="18" t="str">
        <f aca="false">IF(OR(H1256="",C1256="",F1256="İptal"),"",IF(COUNTIFS($C$5:$C$1504,C1256,$D$5:$D$1504,"&lt;="&amp;E1256,$E$5:$E$1504,"&gt;="&amp;D1256,$F$5:$F$1504,"&lt;&gt;İptal")&gt;1,"Çakışıyor",""))</f>
        <v/>
      </c>
    </row>
    <row r="1257" customFormat="false" ht="15" hidden="false" customHeight="false" outlineLevel="0" collapsed="false">
      <c r="A1257" s="12"/>
      <c r="B1257" s="12"/>
      <c r="C1257" s="13"/>
      <c r="D1257" s="14"/>
      <c r="E1257" s="14"/>
      <c r="F1257" s="13"/>
      <c r="G1257" s="15"/>
      <c r="H1257" s="16" t="str">
        <f aca="false">IF(OR(D1257="",E1257="",E1257&lt;D1257),"",E1257-D1257+1)</f>
        <v/>
      </c>
      <c r="I1257" s="17" t="str">
        <f aca="false">IF(OR(H1257="",C1257=""),"",IF(F1257="İptal",0,H1257*IFERROR(INDEX(Ürünler!$B$5:$B$64,MATCH(C1257,Ürünler!$A$5:$A$64,0)),0)-G1257))</f>
        <v/>
      </c>
      <c r="J1257" s="18" t="str">
        <f aca="false">IF(OR(H1257="",C1257="",F1257="İptal"),"",IF(COUNTIFS($C$5:$C$1504,C1257,$D$5:$D$1504,"&lt;="&amp;E1257,$E$5:$E$1504,"&gt;="&amp;D1257,$F$5:$F$1504,"&lt;&gt;İptal")&gt;1,"Çakışıyor",""))</f>
        <v/>
      </c>
    </row>
    <row r="1258" customFormat="false" ht="15" hidden="false" customHeight="false" outlineLevel="0" collapsed="false">
      <c r="A1258" s="12"/>
      <c r="B1258" s="12"/>
      <c r="C1258" s="13"/>
      <c r="D1258" s="14"/>
      <c r="E1258" s="14"/>
      <c r="F1258" s="13"/>
      <c r="G1258" s="15"/>
      <c r="H1258" s="16" t="str">
        <f aca="false">IF(OR(D1258="",E1258="",E1258&lt;D1258),"",E1258-D1258+1)</f>
        <v/>
      </c>
      <c r="I1258" s="17" t="str">
        <f aca="false">IF(OR(H1258="",C1258=""),"",IF(F1258="İptal",0,H1258*IFERROR(INDEX(Ürünler!$B$5:$B$64,MATCH(C1258,Ürünler!$A$5:$A$64,0)),0)-G1258))</f>
        <v/>
      </c>
      <c r="J1258" s="18" t="str">
        <f aca="false">IF(OR(H1258="",C1258="",F1258="İptal"),"",IF(COUNTIFS($C$5:$C$1504,C1258,$D$5:$D$1504,"&lt;="&amp;E1258,$E$5:$E$1504,"&gt;="&amp;D1258,$F$5:$F$1504,"&lt;&gt;İptal")&gt;1,"Çakışıyor",""))</f>
        <v/>
      </c>
    </row>
    <row r="1259" customFormat="false" ht="15" hidden="false" customHeight="false" outlineLevel="0" collapsed="false">
      <c r="A1259" s="12"/>
      <c r="B1259" s="12"/>
      <c r="C1259" s="13"/>
      <c r="D1259" s="14"/>
      <c r="E1259" s="14"/>
      <c r="F1259" s="13"/>
      <c r="G1259" s="15"/>
      <c r="H1259" s="16" t="str">
        <f aca="false">IF(OR(D1259="",E1259="",E1259&lt;D1259),"",E1259-D1259+1)</f>
        <v/>
      </c>
      <c r="I1259" s="17" t="str">
        <f aca="false">IF(OR(H1259="",C1259=""),"",IF(F1259="İptal",0,H1259*IFERROR(INDEX(Ürünler!$B$5:$B$64,MATCH(C1259,Ürünler!$A$5:$A$64,0)),0)-G1259))</f>
        <v/>
      </c>
      <c r="J1259" s="18" t="str">
        <f aca="false">IF(OR(H1259="",C1259="",F1259="İptal"),"",IF(COUNTIFS($C$5:$C$1504,C1259,$D$5:$D$1504,"&lt;="&amp;E1259,$E$5:$E$1504,"&gt;="&amp;D1259,$F$5:$F$1504,"&lt;&gt;İptal")&gt;1,"Çakışıyor",""))</f>
        <v/>
      </c>
    </row>
    <row r="1260" customFormat="false" ht="15" hidden="false" customHeight="false" outlineLevel="0" collapsed="false">
      <c r="A1260" s="12"/>
      <c r="B1260" s="12"/>
      <c r="C1260" s="13"/>
      <c r="D1260" s="14"/>
      <c r="E1260" s="14"/>
      <c r="F1260" s="13"/>
      <c r="G1260" s="15"/>
      <c r="H1260" s="16" t="str">
        <f aca="false">IF(OR(D1260="",E1260="",E1260&lt;D1260),"",E1260-D1260+1)</f>
        <v/>
      </c>
      <c r="I1260" s="17" t="str">
        <f aca="false">IF(OR(H1260="",C1260=""),"",IF(F1260="İptal",0,H1260*IFERROR(INDEX(Ürünler!$B$5:$B$64,MATCH(C1260,Ürünler!$A$5:$A$64,0)),0)-G1260))</f>
        <v/>
      </c>
      <c r="J1260" s="18" t="str">
        <f aca="false">IF(OR(H1260="",C1260="",F1260="İptal"),"",IF(COUNTIFS($C$5:$C$1504,C1260,$D$5:$D$1504,"&lt;="&amp;E1260,$E$5:$E$1504,"&gt;="&amp;D1260,$F$5:$F$1504,"&lt;&gt;İptal")&gt;1,"Çakışıyor",""))</f>
        <v/>
      </c>
    </row>
    <row r="1261" customFormat="false" ht="15" hidden="false" customHeight="false" outlineLevel="0" collapsed="false">
      <c r="A1261" s="12"/>
      <c r="B1261" s="12"/>
      <c r="C1261" s="13"/>
      <c r="D1261" s="14"/>
      <c r="E1261" s="14"/>
      <c r="F1261" s="13"/>
      <c r="G1261" s="15"/>
      <c r="H1261" s="16" t="str">
        <f aca="false">IF(OR(D1261="",E1261="",E1261&lt;D1261),"",E1261-D1261+1)</f>
        <v/>
      </c>
      <c r="I1261" s="17" t="str">
        <f aca="false">IF(OR(H1261="",C1261=""),"",IF(F1261="İptal",0,H1261*IFERROR(INDEX(Ürünler!$B$5:$B$64,MATCH(C1261,Ürünler!$A$5:$A$64,0)),0)-G1261))</f>
        <v/>
      </c>
      <c r="J1261" s="18" t="str">
        <f aca="false">IF(OR(H1261="",C1261="",F1261="İptal"),"",IF(COUNTIFS($C$5:$C$1504,C1261,$D$5:$D$1504,"&lt;="&amp;E1261,$E$5:$E$1504,"&gt;="&amp;D1261,$F$5:$F$1504,"&lt;&gt;İptal")&gt;1,"Çakışıyor",""))</f>
        <v/>
      </c>
    </row>
    <row r="1262" customFormat="false" ht="15" hidden="false" customHeight="false" outlineLevel="0" collapsed="false">
      <c r="A1262" s="12"/>
      <c r="B1262" s="12"/>
      <c r="C1262" s="13"/>
      <c r="D1262" s="14"/>
      <c r="E1262" s="14"/>
      <c r="F1262" s="13"/>
      <c r="G1262" s="15"/>
      <c r="H1262" s="16" t="str">
        <f aca="false">IF(OR(D1262="",E1262="",E1262&lt;D1262),"",E1262-D1262+1)</f>
        <v/>
      </c>
      <c r="I1262" s="17" t="str">
        <f aca="false">IF(OR(H1262="",C1262=""),"",IF(F1262="İptal",0,H1262*IFERROR(INDEX(Ürünler!$B$5:$B$64,MATCH(C1262,Ürünler!$A$5:$A$64,0)),0)-G1262))</f>
        <v/>
      </c>
      <c r="J1262" s="18" t="str">
        <f aca="false">IF(OR(H1262="",C1262="",F1262="İptal"),"",IF(COUNTIFS($C$5:$C$1504,C1262,$D$5:$D$1504,"&lt;="&amp;E1262,$E$5:$E$1504,"&gt;="&amp;D1262,$F$5:$F$1504,"&lt;&gt;İptal")&gt;1,"Çakışıyor",""))</f>
        <v/>
      </c>
    </row>
    <row r="1263" customFormat="false" ht="15" hidden="false" customHeight="false" outlineLevel="0" collapsed="false">
      <c r="A1263" s="12"/>
      <c r="B1263" s="12"/>
      <c r="C1263" s="13"/>
      <c r="D1263" s="14"/>
      <c r="E1263" s="14"/>
      <c r="F1263" s="13"/>
      <c r="G1263" s="15"/>
      <c r="H1263" s="16" t="str">
        <f aca="false">IF(OR(D1263="",E1263="",E1263&lt;D1263),"",E1263-D1263+1)</f>
        <v/>
      </c>
      <c r="I1263" s="17" t="str">
        <f aca="false">IF(OR(H1263="",C1263=""),"",IF(F1263="İptal",0,H1263*IFERROR(INDEX(Ürünler!$B$5:$B$64,MATCH(C1263,Ürünler!$A$5:$A$64,0)),0)-G1263))</f>
        <v/>
      </c>
      <c r="J1263" s="18" t="str">
        <f aca="false">IF(OR(H1263="",C1263="",F1263="İptal"),"",IF(COUNTIFS($C$5:$C$1504,C1263,$D$5:$D$1504,"&lt;="&amp;E1263,$E$5:$E$1504,"&gt;="&amp;D1263,$F$5:$F$1504,"&lt;&gt;İptal")&gt;1,"Çakışıyor",""))</f>
        <v/>
      </c>
    </row>
    <row r="1264" customFormat="false" ht="15" hidden="false" customHeight="false" outlineLevel="0" collapsed="false">
      <c r="A1264" s="12"/>
      <c r="B1264" s="12"/>
      <c r="C1264" s="13"/>
      <c r="D1264" s="14"/>
      <c r="E1264" s="14"/>
      <c r="F1264" s="13"/>
      <c r="G1264" s="15"/>
      <c r="H1264" s="16" t="str">
        <f aca="false">IF(OR(D1264="",E1264="",E1264&lt;D1264),"",E1264-D1264+1)</f>
        <v/>
      </c>
      <c r="I1264" s="17" t="str">
        <f aca="false">IF(OR(H1264="",C1264=""),"",IF(F1264="İptal",0,H1264*IFERROR(INDEX(Ürünler!$B$5:$B$64,MATCH(C1264,Ürünler!$A$5:$A$64,0)),0)-G1264))</f>
        <v/>
      </c>
      <c r="J1264" s="18" t="str">
        <f aca="false">IF(OR(H1264="",C1264="",F1264="İptal"),"",IF(COUNTIFS($C$5:$C$1504,C1264,$D$5:$D$1504,"&lt;="&amp;E1264,$E$5:$E$1504,"&gt;="&amp;D1264,$F$5:$F$1504,"&lt;&gt;İptal")&gt;1,"Çakışıyor",""))</f>
        <v/>
      </c>
    </row>
    <row r="1265" customFormat="false" ht="15" hidden="false" customHeight="false" outlineLevel="0" collapsed="false">
      <c r="A1265" s="12"/>
      <c r="B1265" s="12"/>
      <c r="C1265" s="13"/>
      <c r="D1265" s="14"/>
      <c r="E1265" s="14"/>
      <c r="F1265" s="13"/>
      <c r="G1265" s="15"/>
      <c r="H1265" s="16" t="str">
        <f aca="false">IF(OR(D1265="",E1265="",E1265&lt;D1265),"",E1265-D1265+1)</f>
        <v/>
      </c>
      <c r="I1265" s="17" t="str">
        <f aca="false">IF(OR(H1265="",C1265=""),"",IF(F1265="İptal",0,H1265*IFERROR(INDEX(Ürünler!$B$5:$B$64,MATCH(C1265,Ürünler!$A$5:$A$64,0)),0)-G1265))</f>
        <v/>
      </c>
      <c r="J1265" s="18" t="str">
        <f aca="false">IF(OR(H1265="",C1265="",F1265="İptal"),"",IF(COUNTIFS($C$5:$C$1504,C1265,$D$5:$D$1504,"&lt;="&amp;E1265,$E$5:$E$1504,"&gt;="&amp;D1265,$F$5:$F$1504,"&lt;&gt;İptal")&gt;1,"Çakışıyor",""))</f>
        <v/>
      </c>
    </row>
    <row r="1266" customFormat="false" ht="15" hidden="false" customHeight="false" outlineLevel="0" collapsed="false">
      <c r="A1266" s="12"/>
      <c r="B1266" s="12"/>
      <c r="C1266" s="13"/>
      <c r="D1266" s="14"/>
      <c r="E1266" s="14"/>
      <c r="F1266" s="13"/>
      <c r="G1266" s="15"/>
      <c r="H1266" s="16" t="str">
        <f aca="false">IF(OR(D1266="",E1266="",E1266&lt;D1266),"",E1266-D1266+1)</f>
        <v/>
      </c>
      <c r="I1266" s="17" t="str">
        <f aca="false">IF(OR(H1266="",C1266=""),"",IF(F1266="İptal",0,H1266*IFERROR(INDEX(Ürünler!$B$5:$B$64,MATCH(C1266,Ürünler!$A$5:$A$64,0)),0)-G1266))</f>
        <v/>
      </c>
      <c r="J1266" s="18" t="str">
        <f aca="false">IF(OR(H1266="",C1266="",F1266="İptal"),"",IF(COUNTIFS($C$5:$C$1504,C1266,$D$5:$D$1504,"&lt;="&amp;E1266,$E$5:$E$1504,"&gt;="&amp;D1266,$F$5:$F$1504,"&lt;&gt;İptal")&gt;1,"Çakışıyor",""))</f>
        <v/>
      </c>
    </row>
    <row r="1267" customFormat="false" ht="15" hidden="false" customHeight="false" outlineLevel="0" collapsed="false">
      <c r="A1267" s="12"/>
      <c r="B1267" s="12"/>
      <c r="C1267" s="13"/>
      <c r="D1267" s="14"/>
      <c r="E1267" s="14"/>
      <c r="F1267" s="13"/>
      <c r="G1267" s="15"/>
      <c r="H1267" s="16" t="str">
        <f aca="false">IF(OR(D1267="",E1267="",E1267&lt;D1267),"",E1267-D1267+1)</f>
        <v/>
      </c>
      <c r="I1267" s="17" t="str">
        <f aca="false">IF(OR(H1267="",C1267=""),"",IF(F1267="İptal",0,H1267*IFERROR(INDEX(Ürünler!$B$5:$B$64,MATCH(C1267,Ürünler!$A$5:$A$64,0)),0)-G1267))</f>
        <v/>
      </c>
      <c r="J1267" s="18" t="str">
        <f aca="false">IF(OR(H1267="",C1267="",F1267="İptal"),"",IF(COUNTIFS($C$5:$C$1504,C1267,$D$5:$D$1504,"&lt;="&amp;E1267,$E$5:$E$1504,"&gt;="&amp;D1267,$F$5:$F$1504,"&lt;&gt;İptal")&gt;1,"Çakışıyor",""))</f>
        <v/>
      </c>
    </row>
    <row r="1268" customFormat="false" ht="15" hidden="false" customHeight="false" outlineLevel="0" collapsed="false">
      <c r="A1268" s="12"/>
      <c r="B1268" s="12"/>
      <c r="C1268" s="13"/>
      <c r="D1268" s="14"/>
      <c r="E1268" s="14"/>
      <c r="F1268" s="13"/>
      <c r="G1268" s="15"/>
      <c r="H1268" s="16" t="str">
        <f aca="false">IF(OR(D1268="",E1268="",E1268&lt;D1268),"",E1268-D1268+1)</f>
        <v/>
      </c>
      <c r="I1268" s="17" t="str">
        <f aca="false">IF(OR(H1268="",C1268=""),"",IF(F1268="İptal",0,H1268*IFERROR(INDEX(Ürünler!$B$5:$B$64,MATCH(C1268,Ürünler!$A$5:$A$64,0)),0)-G1268))</f>
        <v/>
      </c>
      <c r="J1268" s="18" t="str">
        <f aca="false">IF(OR(H1268="",C1268="",F1268="İptal"),"",IF(COUNTIFS($C$5:$C$1504,C1268,$D$5:$D$1504,"&lt;="&amp;E1268,$E$5:$E$1504,"&gt;="&amp;D1268,$F$5:$F$1504,"&lt;&gt;İptal")&gt;1,"Çakışıyor",""))</f>
        <v/>
      </c>
    </row>
    <row r="1269" customFormat="false" ht="15" hidden="false" customHeight="false" outlineLevel="0" collapsed="false">
      <c r="A1269" s="12"/>
      <c r="B1269" s="12"/>
      <c r="C1269" s="13"/>
      <c r="D1269" s="14"/>
      <c r="E1269" s="14"/>
      <c r="F1269" s="13"/>
      <c r="G1269" s="15"/>
      <c r="H1269" s="16" t="str">
        <f aca="false">IF(OR(D1269="",E1269="",E1269&lt;D1269),"",E1269-D1269+1)</f>
        <v/>
      </c>
      <c r="I1269" s="17" t="str">
        <f aca="false">IF(OR(H1269="",C1269=""),"",IF(F1269="İptal",0,H1269*IFERROR(INDEX(Ürünler!$B$5:$B$64,MATCH(C1269,Ürünler!$A$5:$A$64,0)),0)-G1269))</f>
        <v/>
      </c>
      <c r="J1269" s="18" t="str">
        <f aca="false">IF(OR(H1269="",C1269="",F1269="İptal"),"",IF(COUNTIFS($C$5:$C$1504,C1269,$D$5:$D$1504,"&lt;="&amp;E1269,$E$5:$E$1504,"&gt;="&amp;D1269,$F$5:$F$1504,"&lt;&gt;İptal")&gt;1,"Çakışıyor",""))</f>
        <v/>
      </c>
    </row>
    <row r="1270" customFormat="false" ht="15" hidden="false" customHeight="false" outlineLevel="0" collapsed="false">
      <c r="A1270" s="12"/>
      <c r="B1270" s="12"/>
      <c r="C1270" s="13"/>
      <c r="D1270" s="14"/>
      <c r="E1270" s="14"/>
      <c r="F1270" s="13"/>
      <c r="G1270" s="15"/>
      <c r="H1270" s="16" t="str">
        <f aca="false">IF(OR(D1270="",E1270="",E1270&lt;D1270),"",E1270-D1270+1)</f>
        <v/>
      </c>
      <c r="I1270" s="17" t="str">
        <f aca="false">IF(OR(H1270="",C1270=""),"",IF(F1270="İptal",0,H1270*IFERROR(INDEX(Ürünler!$B$5:$B$64,MATCH(C1270,Ürünler!$A$5:$A$64,0)),0)-G1270))</f>
        <v/>
      </c>
      <c r="J1270" s="18" t="str">
        <f aca="false">IF(OR(H1270="",C1270="",F1270="İptal"),"",IF(COUNTIFS($C$5:$C$1504,C1270,$D$5:$D$1504,"&lt;="&amp;E1270,$E$5:$E$1504,"&gt;="&amp;D1270,$F$5:$F$1504,"&lt;&gt;İptal")&gt;1,"Çakışıyor",""))</f>
        <v/>
      </c>
    </row>
    <row r="1271" customFormat="false" ht="15" hidden="false" customHeight="false" outlineLevel="0" collapsed="false">
      <c r="A1271" s="12"/>
      <c r="B1271" s="12"/>
      <c r="C1271" s="13"/>
      <c r="D1271" s="14"/>
      <c r="E1271" s="14"/>
      <c r="F1271" s="13"/>
      <c r="G1271" s="15"/>
      <c r="H1271" s="16" t="str">
        <f aca="false">IF(OR(D1271="",E1271="",E1271&lt;D1271),"",E1271-D1271+1)</f>
        <v/>
      </c>
      <c r="I1271" s="17" t="str">
        <f aca="false">IF(OR(H1271="",C1271=""),"",IF(F1271="İptal",0,H1271*IFERROR(INDEX(Ürünler!$B$5:$B$64,MATCH(C1271,Ürünler!$A$5:$A$64,0)),0)-G1271))</f>
        <v/>
      </c>
      <c r="J1271" s="18" t="str">
        <f aca="false">IF(OR(H1271="",C1271="",F1271="İptal"),"",IF(COUNTIFS($C$5:$C$1504,C1271,$D$5:$D$1504,"&lt;="&amp;E1271,$E$5:$E$1504,"&gt;="&amp;D1271,$F$5:$F$1504,"&lt;&gt;İptal")&gt;1,"Çakışıyor",""))</f>
        <v/>
      </c>
    </row>
    <row r="1272" customFormat="false" ht="15" hidden="false" customHeight="false" outlineLevel="0" collapsed="false">
      <c r="A1272" s="12"/>
      <c r="B1272" s="12"/>
      <c r="C1272" s="13"/>
      <c r="D1272" s="14"/>
      <c r="E1272" s="14"/>
      <c r="F1272" s="13"/>
      <c r="G1272" s="15"/>
      <c r="H1272" s="16" t="str">
        <f aca="false">IF(OR(D1272="",E1272="",E1272&lt;D1272),"",E1272-D1272+1)</f>
        <v/>
      </c>
      <c r="I1272" s="17" t="str">
        <f aca="false">IF(OR(H1272="",C1272=""),"",IF(F1272="İptal",0,H1272*IFERROR(INDEX(Ürünler!$B$5:$B$64,MATCH(C1272,Ürünler!$A$5:$A$64,0)),0)-G1272))</f>
        <v/>
      </c>
      <c r="J1272" s="18" t="str">
        <f aca="false">IF(OR(H1272="",C1272="",F1272="İptal"),"",IF(COUNTIFS($C$5:$C$1504,C1272,$D$5:$D$1504,"&lt;="&amp;E1272,$E$5:$E$1504,"&gt;="&amp;D1272,$F$5:$F$1504,"&lt;&gt;İptal")&gt;1,"Çakışıyor",""))</f>
        <v/>
      </c>
    </row>
    <row r="1273" customFormat="false" ht="15" hidden="false" customHeight="false" outlineLevel="0" collapsed="false">
      <c r="A1273" s="12"/>
      <c r="B1273" s="12"/>
      <c r="C1273" s="13"/>
      <c r="D1273" s="14"/>
      <c r="E1273" s="14"/>
      <c r="F1273" s="13"/>
      <c r="G1273" s="15"/>
      <c r="H1273" s="16" t="str">
        <f aca="false">IF(OR(D1273="",E1273="",E1273&lt;D1273),"",E1273-D1273+1)</f>
        <v/>
      </c>
      <c r="I1273" s="17" t="str">
        <f aca="false">IF(OR(H1273="",C1273=""),"",IF(F1273="İptal",0,H1273*IFERROR(INDEX(Ürünler!$B$5:$B$64,MATCH(C1273,Ürünler!$A$5:$A$64,0)),0)-G1273))</f>
        <v/>
      </c>
      <c r="J1273" s="18" t="str">
        <f aca="false">IF(OR(H1273="",C1273="",F1273="İptal"),"",IF(COUNTIFS($C$5:$C$1504,C1273,$D$5:$D$1504,"&lt;="&amp;E1273,$E$5:$E$1504,"&gt;="&amp;D1273,$F$5:$F$1504,"&lt;&gt;İptal")&gt;1,"Çakışıyor",""))</f>
        <v/>
      </c>
    </row>
    <row r="1274" customFormat="false" ht="15" hidden="false" customHeight="false" outlineLevel="0" collapsed="false">
      <c r="A1274" s="12"/>
      <c r="B1274" s="12"/>
      <c r="C1274" s="13"/>
      <c r="D1274" s="14"/>
      <c r="E1274" s="14"/>
      <c r="F1274" s="13"/>
      <c r="G1274" s="15"/>
      <c r="H1274" s="16" t="str">
        <f aca="false">IF(OR(D1274="",E1274="",E1274&lt;D1274),"",E1274-D1274+1)</f>
        <v/>
      </c>
      <c r="I1274" s="17" t="str">
        <f aca="false">IF(OR(H1274="",C1274=""),"",IF(F1274="İptal",0,H1274*IFERROR(INDEX(Ürünler!$B$5:$B$64,MATCH(C1274,Ürünler!$A$5:$A$64,0)),0)-G1274))</f>
        <v/>
      </c>
      <c r="J1274" s="18" t="str">
        <f aca="false">IF(OR(H1274="",C1274="",F1274="İptal"),"",IF(COUNTIFS($C$5:$C$1504,C1274,$D$5:$D$1504,"&lt;="&amp;E1274,$E$5:$E$1504,"&gt;="&amp;D1274,$F$5:$F$1504,"&lt;&gt;İptal")&gt;1,"Çakışıyor",""))</f>
        <v/>
      </c>
    </row>
    <row r="1275" customFormat="false" ht="15" hidden="false" customHeight="false" outlineLevel="0" collapsed="false">
      <c r="A1275" s="12"/>
      <c r="B1275" s="12"/>
      <c r="C1275" s="13"/>
      <c r="D1275" s="14"/>
      <c r="E1275" s="14"/>
      <c r="F1275" s="13"/>
      <c r="G1275" s="15"/>
      <c r="H1275" s="16" t="str">
        <f aca="false">IF(OR(D1275="",E1275="",E1275&lt;D1275),"",E1275-D1275+1)</f>
        <v/>
      </c>
      <c r="I1275" s="17" t="str">
        <f aca="false">IF(OR(H1275="",C1275=""),"",IF(F1275="İptal",0,H1275*IFERROR(INDEX(Ürünler!$B$5:$B$64,MATCH(C1275,Ürünler!$A$5:$A$64,0)),0)-G1275))</f>
        <v/>
      </c>
      <c r="J1275" s="18" t="str">
        <f aca="false">IF(OR(H1275="",C1275="",F1275="İptal"),"",IF(COUNTIFS($C$5:$C$1504,C1275,$D$5:$D$1504,"&lt;="&amp;E1275,$E$5:$E$1504,"&gt;="&amp;D1275,$F$5:$F$1504,"&lt;&gt;İptal")&gt;1,"Çakışıyor",""))</f>
        <v/>
      </c>
    </row>
    <row r="1276" customFormat="false" ht="15" hidden="false" customHeight="false" outlineLevel="0" collapsed="false">
      <c r="A1276" s="12"/>
      <c r="B1276" s="12"/>
      <c r="C1276" s="13"/>
      <c r="D1276" s="14"/>
      <c r="E1276" s="14"/>
      <c r="F1276" s="13"/>
      <c r="G1276" s="15"/>
      <c r="H1276" s="16" t="str">
        <f aca="false">IF(OR(D1276="",E1276="",E1276&lt;D1276),"",E1276-D1276+1)</f>
        <v/>
      </c>
      <c r="I1276" s="17" t="str">
        <f aca="false">IF(OR(H1276="",C1276=""),"",IF(F1276="İptal",0,H1276*IFERROR(INDEX(Ürünler!$B$5:$B$64,MATCH(C1276,Ürünler!$A$5:$A$64,0)),0)-G1276))</f>
        <v/>
      </c>
      <c r="J1276" s="18" t="str">
        <f aca="false">IF(OR(H1276="",C1276="",F1276="İptal"),"",IF(COUNTIFS($C$5:$C$1504,C1276,$D$5:$D$1504,"&lt;="&amp;E1276,$E$5:$E$1504,"&gt;="&amp;D1276,$F$5:$F$1504,"&lt;&gt;İptal")&gt;1,"Çakışıyor",""))</f>
        <v/>
      </c>
    </row>
    <row r="1277" customFormat="false" ht="15" hidden="false" customHeight="false" outlineLevel="0" collapsed="false">
      <c r="A1277" s="12"/>
      <c r="B1277" s="12"/>
      <c r="C1277" s="13"/>
      <c r="D1277" s="14"/>
      <c r="E1277" s="14"/>
      <c r="F1277" s="13"/>
      <c r="G1277" s="15"/>
      <c r="H1277" s="16" t="str">
        <f aca="false">IF(OR(D1277="",E1277="",E1277&lt;D1277),"",E1277-D1277+1)</f>
        <v/>
      </c>
      <c r="I1277" s="17" t="str">
        <f aca="false">IF(OR(H1277="",C1277=""),"",IF(F1277="İptal",0,H1277*IFERROR(INDEX(Ürünler!$B$5:$B$64,MATCH(C1277,Ürünler!$A$5:$A$64,0)),0)-G1277))</f>
        <v/>
      </c>
      <c r="J1277" s="18" t="str">
        <f aca="false">IF(OR(H1277="",C1277="",F1277="İptal"),"",IF(COUNTIFS($C$5:$C$1504,C1277,$D$5:$D$1504,"&lt;="&amp;E1277,$E$5:$E$1504,"&gt;="&amp;D1277,$F$5:$F$1504,"&lt;&gt;İptal")&gt;1,"Çakışıyor",""))</f>
        <v/>
      </c>
    </row>
    <row r="1278" customFormat="false" ht="15" hidden="false" customHeight="false" outlineLevel="0" collapsed="false">
      <c r="A1278" s="12"/>
      <c r="B1278" s="12"/>
      <c r="C1278" s="13"/>
      <c r="D1278" s="14"/>
      <c r="E1278" s="14"/>
      <c r="F1278" s="13"/>
      <c r="G1278" s="15"/>
      <c r="H1278" s="16" t="str">
        <f aca="false">IF(OR(D1278="",E1278="",E1278&lt;D1278),"",E1278-D1278+1)</f>
        <v/>
      </c>
      <c r="I1278" s="17" t="str">
        <f aca="false">IF(OR(H1278="",C1278=""),"",IF(F1278="İptal",0,H1278*IFERROR(INDEX(Ürünler!$B$5:$B$64,MATCH(C1278,Ürünler!$A$5:$A$64,0)),0)-G1278))</f>
        <v/>
      </c>
      <c r="J1278" s="18" t="str">
        <f aca="false">IF(OR(H1278="",C1278="",F1278="İptal"),"",IF(COUNTIFS($C$5:$C$1504,C1278,$D$5:$D$1504,"&lt;="&amp;E1278,$E$5:$E$1504,"&gt;="&amp;D1278,$F$5:$F$1504,"&lt;&gt;İptal")&gt;1,"Çakışıyor",""))</f>
        <v/>
      </c>
    </row>
    <row r="1279" customFormat="false" ht="15" hidden="false" customHeight="false" outlineLevel="0" collapsed="false">
      <c r="A1279" s="12"/>
      <c r="B1279" s="12"/>
      <c r="C1279" s="13"/>
      <c r="D1279" s="14"/>
      <c r="E1279" s="14"/>
      <c r="F1279" s="13"/>
      <c r="G1279" s="15"/>
      <c r="H1279" s="16" t="str">
        <f aca="false">IF(OR(D1279="",E1279="",E1279&lt;D1279),"",E1279-D1279+1)</f>
        <v/>
      </c>
      <c r="I1279" s="17" t="str">
        <f aca="false">IF(OR(H1279="",C1279=""),"",IF(F1279="İptal",0,H1279*IFERROR(INDEX(Ürünler!$B$5:$B$64,MATCH(C1279,Ürünler!$A$5:$A$64,0)),0)-G1279))</f>
        <v/>
      </c>
      <c r="J1279" s="18" t="str">
        <f aca="false">IF(OR(H1279="",C1279="",F1279="İptal"),"",IF(COUNTIFS($C$5:$C$1504,C1279,$D$5:$D$1504,"&lt;="&amp;E1279,$E$5:$E$1504,"&gt;="&amp;D1279,$F$5:$F$1504,"&lt;&gt;İptal")&gt;1,"Çakışıyor",""))</f>
        <v/>
      </c>
    </row>
    <row r="1280" customFormat="false" ht="15" hidden="false" customHeight="false" outlineLevel="0" collapsed="false">
      <c r="A1280" s="12"/>
      <c r="B1280" s="12"/>
      <c r="C1280" s="13"/>
      <c r="D1280" s="14"/>
      <c r="E1280" s="14"/>
      <c r="F1280" s="13"/>
      <c r="G1280" s="15"/>
      <c r="H1280" s="16" t="str">
        <f aca="false">IF(OR(D1280="",E1280="",E1280&lt;D1280),"",E1280-D1280+1)</f>
        <v/>
      </c>
      <c r="I1280" s="17" t="str">
        <f aca="false">IF(OR(H1280="",C1280=""),"",IF(F1280="İptal",0,H1280*IFERROR(INDEX(Ürünler!$B$5:$B$64,MATCH(C1280,Ürünler!$A$5:$A$64,0)),0)-G1280))</f>
        <v/>
      </c>
      <c r="J1280" s="18" t="str">
        <f aca="false">IF(OR(H1280="",C1280="",F1280="İptal"),"",IF(COUNTIFS($C$5:$C$1504,C1280,$D$5:$D$1504,"&lt;="&amp;E1280,$E$5:$E$1504,"&gt;="&amp;D1280,$F$5:$F$1504,"&lt;&gt;İptal")&gt;1,"Çakışıyor",""))</f>
        <v/>
      </c>
    </row>
    <row r="1281" customFormat="false" ht="15" hidden="false" customHeight="false" outlineLevel="0" collapsed="false">
      <c r="A1281" s="12"/>
      <c r="B1281" s="12"/>
      <c r="C1281" s="13"/>
      <c r="D1281" s="14"/>
      <c r="E1281" s="14"/>
      <c r="F1281" s="13"/>
      <c r="G1281" s="15"/>
      <c r="H1281" s="16" t="str">
        <f aca="false">IF(OR(D1281="",E1281="",E1281&lt;D1281),"",E1281-D1281+1)</f>
        <v/>
      </c>
      <c r="I1281" s="17" t="str">
        <f aca="false">IF(OR(H1281="",C1281=""),"",IF(F1281="İptal",0,H1281*IFERROR(INDEX(Ürünler!$B$5:$B$64,MATCH(C1281,Ürünler!$A$5:$A$64,0)),0)-G1281))</f>
        <v/>
      </c>
      <c r="J1281" s="18" t="str">
        <f aca="false">IF(OR(H1281="",C1281="",F1281="İptal"),"",IF(COUNTIFS($C$5:$C$1504,C1281,$D$5:$D$1504,"&lt;="&amp;E1281,$E$5:$E$1504,"&gt;="&amp;D1281,$F$5:$F$1504,"&lt;&gt;İptal")&gt;1,"Çakışıyor",""))</f>
        <v/>
      </c>
    </row>
    <row r="1282" customFormat="false" ht="15" hidden="false" customHeight="false" outlineLevel="0" collapsed="false">
      <c r="A1282" s="12"/>
      <c r="B1282" s="12"/>
      <c r="C1282" s="13"/>
      <c r="D1282" s="14"/>
      <c r="E1282" s="14"/>
      <c r="F1282" s="13"/>
      <c r="G1282" s="15"/>
      <c r="H1282" s="16" t="str">
        <f aca="false">IF(OR(D1282="",E1282="",E1282&lt;D1282),"",E1282-D1282+1)</f>
        <v/>
      </c>
      <c r="I1282" s="17" t="str">
        <f aca="false">IF(OR(H1282="",C1282=""),"",IF(F1282="İptal",0,H1282*IFERROR(INDEX(Ürünler!$B$5:$B$64,MATCH(C1282,Ürünler!$A$5:$A$64,0)),0)-G1282))</f>
        <v/>
      </c>
      <c r="J1282" s="18" t="str">
        <f aca="false">IF(OR(H1282="",C1282="",F1282="İptal"),"",IF(COUNTIFS($C$5:$C$1504,C1282,$D$5:$D$1504,"&lt;="&amp;E1282,$E$5:$E$1504,"&gt;="&amp;D1282,$F$5:$F$1504,"&lt;&gt;İptal")&gt;1,"Çakışıyor",""))</f>
        <v/>
      </c>
    </row>
    <row r="1283" customFormat="false" ht="15" hidden="false" customHeight="false" outlineLevel="0" collapsed="false">
      <c r="A1283" s="12"/>
      <c r="B1283" s="12"/>
      <c r="C1283" s="13"/>
      <c r="D1283" s="14"/>
      <c r="E1283" s="14"/>
      <c r="F1283" s="13"/>
      <c r="G1283" s="15"/>
      <c r="H1283" s="16" t="str">
        <f aca="false">IF(OR(D1283="",E1283="",E1283&lt;D1283),"",E1283-D1283+1)</f>
        <v/>
      </c>
      <c r="I1283" s="17" t="str">
        <f aca="false">IF(OR(H1283="",C1283=""),"",IF(F1283="İptal",0,H1283*IFERROR(INDEX(Ürünler!$B$5:$B$64,MATCH(C1283,Ürünler!$A$5:$A$64,0)),0)-G1283))</f>
        <v/>
      </c>
      <c r="J1283" s="18" t="str">
        <f aca="false">IF(OR(H1283="",C1283="",F1283="İptal"),"",IF(COUNTIFS($C$5:$C$1504,C1283,$D$5:$D$1504,"&lt;="&amp;E1283,$E$5:$E$1504,"&gt;="&amp;D1283,$F$5:$F$1504,"&lt;&gt;İptal")&gt;1,"Çakışıyor",""))</f>
        <v/>
      </c>
    </row>
    <row r="1284" customFormat="false" ht="15" hidden="false" customHeight="false" outlineLevel="0" collapsed="false">
      <c r="A1284" s="12"/>
      <c r="B1284" s="12"/>
      <c r="C1284" s="13"/>
      <c r="D1284" s="14"/>
      <c r="E1284" s="14"/>
      <c r="F1284" s="13"/>
      <c r="G1284" s="15"/>
      <c r="H1284" s="16" t="str">
        <f aca="false">IF(OR(D1284="",E1284="",E1284&lt;D1284),"",E1284-D1284+1)</f>
        <v/>
      </c>
      <c r="I1284" s="17" t="str">
        <f aca="false">IF(OR(H1284="",C1284=""),"",IF(F1284="İptal",0,H1284*IFERROR(INDEX(Ürünler!$B$5:$B$64,MATCH(C1284,Ürünler!$A$5:$A$64,0)),0)-G1284))</f>
        <v/>
      </c>
      <c r="J1284" s="18" t="str">
        <f aca="false">IF(OR(H1284="",C1284="",F1284="İptal"),"",IF(COUNTIFS($C$5:$C$1504,C1284,$D$5:$D$1504,"&lt;="&amp;E1284,$E$5:$E$1504,"&gt;="&amp;D1284,$F$5:$F$1504,"&lt;&gt;İptal")&gt;1,"Çakışıyor",""))</f>
        <v/>
      </c>
    </row>
    <row r="1285" customFormat="false" ht="15" hidden="false" customHeight="false" outlineLevel="0" collapsed="false">
      <c r="A1285" s="12"/>
      <c r="B1285" s="12"/>
      <c r="C1285" s="13"/>
      <c r="D1285" s="14"/>
      <c r="E1285" s="14"/>
      <c r="F1285" s="13"/>
      <c r="G1285" s="15"/>
      <c r="H1285" s="16" t="str">
        <f aca="false">IF(OR(D1285="",E1285="",E1285&lt;D1285),"",E1285-D1285+1)</f>
        <v/>
      </c>
      <c r="I1285" s="17" t="str">
        <f aca="false">IF(OR(H1285="",C1285=""),"",IF(F1285="İptal",0,H1285*IFERROR(INDEX(Ürünler!$B$5:$B$64,MATCH(C1285,Ürünler!$A$5:$A$64,0)),0)-G1285))</f>
        <v/>
      </c>
      <c r="J1285" s="18" t="str">
        <f aca="false">IF(OR(H1285="",C1285="",F1285="İptal"),"",IF(COUNTIFS($C$5:$C$1504,C1285,$D$5:$D$1504,"&lt;="&amp;E1285,$E$5:$E$1504,"&gt;="&amp;D1285,$F$5:$F$1504,"&lt;&gt;İptal")&gt;1,"Çakışıyor",""))</f>
        <v/>
      </c>
    </row>
    <row r="1286" customFormat="false" ht="15" hidden="false" customHeight="false" outlineLevel="0" collapsed="false">
      <c r="A1286" s="12"/>
      <c r="B1286" s="12"/>
      <c r="C1286" s="13"/>
      <c r="D1286" s="14"/>
      <c r="E1286" s="14"/>
      <c r="F1286" s="13"/>
      <c r="G1286" s="15"/>
      <c r="H1286" s="16" t="str">
        <f aca="false">IF(OR(D1286="",E1286="",E1286&lt;D1286),"",E1286-D1286+1)</f>
        <v/>
      </c>
      <c r="I1286" s="17" t="str">
        <f aca="false">IF(OR(H1286="",C1286=""),"",IF(F1286="İptal",0,H1286*IFERROR(INDEX(Ürünler!$B$5:$B$64,MATCH(C1286,Ürünler!$A$5:$A$64,0)),0)-G1286))</f>
        <v/>
      </c>
      <c r="J1286" s="18" t="str">
        <f aca="false">IF(OR(H1286="",C1286="",F1286="İptal"),"",IF(COUNTIFS($C$5:$C$1504,C1286,$D$5:$D$1504,"&lt;="&amp;E1286,$E$5:$E$1504,"&gt;="&amp;D1286,$F$5:$F$1504,"&lt;&gt;İptal")&gt;1,"Çakışıyor",""))</f>
        <v/>
      </c>
    </row>
    <row r="1287" customFormat="false" ht="15" hidden="false" customHeight="false" outlineLevel="0" collapsed="false">
      <c r="A1287" s="12"/>
      <c r="B1287" s="12"/>
      <c r="C1287" s="13"/>
      <c r="D1287" s="14"/>
      <c r="E1287" s="14"/>
      <c r="F1287" s="13"/>
      <c r="G1287" s="15"/>
      <c r="H1287" s="16" t="str">
        <f aca="false">IF(OR(D1287="",E1287="",E1287&lt;D1287),"",E1287-D1287+1)</f>
        <v/>
      </c>
      <c r="I1287" s="17" t="str">
        <f aca="false">IF(OR(H1287="",C1287=""),"",IF(F1287="İptal",0,H1287*IFERROR(INDEX(Ürünler!$B$5:$B$64,MATCH(C1287,Ürünler!$A$5:$A$64,0)),0)-G1287))</f>
        <v/>
      </c>
      <c r="J1287" s="18" t="str">
        <f aca="false">IF(OR(H1287="",C1287="",F1287="İptal"),"",IF(COUNTIFS($C$5:$C$1504,C1287,$D$5:$D$1504,"&lt;="&amp;E1287,$E$5:$E$1504,"&gt;="&amp;D1287,$F$5:$F$1504,"&lt;&gt;İptal")&gt;1,"Çakışıyor",""))</f>
        <v/>
      </c>
    </row>
    <row r="1288" customFormat="false" ht="15" hidden="false" customHeight="false" outlineLevel="0" collapsed="false">
      <c r="A1288" s="12"/>
      <c r="B1288" s="12"/>
      <c r="C1288" s="13"/>
      <c r="D1288" s="14"/>
      <c r="E1288" s="14"/>
      <c r="F1288" s="13"/>
      <c r="G1288" s="15"/>
      <c r="H1288" s="16" t="str">
        <f aca="false">IF(OR(D1288="",E1288="",E1288&lt;D1288),"",E1288-D1288+1)</f>
        <v/>
      </c>
      <c r="I1288" s="17" t="str">
        <f aca="false">IF(OR(H1288="",C1288=""),"",IF(F1288="İptal",0,H1288*IFERROR(INDEX(Ürünler!$B$5:$B$64,MATCH(C1288,Ürünler!$A$5:$A$64,0)),0)-G1288))</f>
        <v/>
      </c>
      <c r="J1288" s="18" t="str">
        <f aca="false">IF(OR(H1288="",C1288="",F1288="İptal"),"",IF(COUNTIFS($C$5:$C$1504,C1288,$D$5:$D$1504,"&lt;="&amp;E1288,$E$5:$E$1504,"&gt;="&amp;D1288,$F$5:$F$1504,"&lt;&gt;İptal")&gt;1,"Çakışıyor",""))</f>
        <v/>
      </c>
    </row>
    <row r="1289" customFormat="false" ht="15" hidden="false" customHeight="false" outlineLevel="0" collapsed="false">
      <c r="A1289" s="12"/>
      <c r="B1289" s="12"/>
      <c r="C1289" s="13"/>
      <c r="D1289" s="14"/>
      <c r="E1289" s="14"/>
      <c r="F1289" s="13"/>
      <c r="G1289" s="15"/>
      <c r="H1289" s="16" t="str">
        <f aca="false">IF(OR(D1289="",E1289="",E1289&lt;D1289),"",E1289-D1289+1)</f>
        <v/>
      </c>
      <c r="I1289" s="17" t="str">
        <f aca="false">IF(OR(H1289="",C1289=""),"",IF(F1289="İptal",0,H1289*IFERROR(INDEX(Ürünler!$B$5:$B$64,MATCH(C1289,Ürünler!$A$5:$A$64,0)),0)-G1289))</f>
        <v/>
      </c>
      <c r="J1289" s="18" t="str">
        <f aca="false">IF(OR(H1289="",C1289="",F1289="İptal"),"",IF(COUNTIFS($C$5:$C$1504,C1289,$D$5:$D$1504,"&lt;="&amp;E1289,$E$5:$E$1504,"&gt;="&amp;D1289,$F$5:$F$1504,"&lt;&gt;İptal")&gt;1,"Çakışıyor",""))</f>
        <v/>
      </c>
    </row>
    <row r="1290" customFormat="false" ht="15" hidden="false" customHeight="false" outlineLevel="0" collapsed="false">
      <c r="A1290" s="12"/>
      <c r="B1290" s="12"/>
      <c r="C1290" s="13"/>
      <c r="D1290" s="14"/>
      <c r="E1290" s="14"/>
      <c r="F1290" s="13"/>
      <c r="G1290" s="15"/>
      <c r="H1290" s="16" t="str">
        <f aca="false">IF(OR(D1290="",E1290="",E1290&lt;D1290),"",E1290-D1290+1)</f>
        <v/>
      </c>
      <c r="I1290" s="17" t="str">
        <f aca="false">IF(OR(H1290="",C1290=""),"",IF(F1290="İptal",0,H1290*IFERROR(INDEX(Ürünler!$B$5:$B$64,MATCH(C1290,Ürünler!$A$5:$A$64,0)),0)-G1290))</f>
        <v/>
      </c>
      <c r="J1290" s="18" t="str">
        <f aca="false">IF(OR(H1290="",C1290="",F1290="İptal"),"",IF(COUNTIFS($C$5:$C$1504,C1290,$D$5:$D$1504,"&lt;="&amp;E1290,$E$5:$E$1504,"&gt;="&amp;D1290,$F$5:$F$1504,"&lt;&gt;İptal")&gt;1,"Çakışıyor",""))</f>
        <v/>
      </c>
    </row>
    <row r="1291" customFormat="false" ht="15" hidden="false" customHeight="false" outlineLevel="0" collapsed="false">
      <c r="A1291" s="12"/>
      <c r="B1291" s="12"/>
      <c r="C1291" s="13"/>
      <c r="D1291" s="14"/>
      <c r="E1291" s="14"/>
      <c r="F1291" s="13"/>
      <c r="G1291" s="15"/>
      <c r="H1291" s="16" t="str">
        <f aca="false">IF(OR(D1291="",E1291="",E1291&lt;D1291),"",E1291-D1291+1)</f>
        <v/>
      </c>
      <c r="I1291" s="17" t="str">
        <f aca="false">IF(OR(H1291="",C1291=""),"",IF(F1291="İptal",0,H1291*IFERROR(INDEX(Ürünler!$B$5:$B$64,MATCH(C1291,Ürünler!$A$5:$A$64,0)),0)-G1291))</f>
        <v/>
      </c>
      <c r="J1291" s="18" t="str">
        <f aca="false">IF(OR(H1291="",C1291="",F1291="İptal"),"",IF(COUNTIFS($C$5:$C$1504,C1291,$D$5:$D$1504,"&lt;="&amp;E1291,$E$5:$E$1504,"&gt;="&amp;D1291,$F$5:$F$1504,"&lt;&gt;İptal")&gt;1,"Çakışıyor",""))</f>
        <v/>
      </c>
    </row>
    <row r="1292" customFormat="false" ht="15" hidden="false" customHeight="false" outlineLevel="0" collapsed="false">
      <c r="A1292" s="12"/>
      <c r="B1292" s="12"/>
      <c r="C1292" s="13"/>
      <c r="D1292" s="14"/>
      <c r="E1292" s="14"/>
      <c r="F1292" s="13"/>
      <c r="G1292" s="15"/>
      <c r="H1292" s="16" t="str">
        <f aca="false">IF(OR(D1292="",E1292="",E1292&lt;D1292),"",E1292-D1292+1)</f>
        <v/>
      </c>
      <c r="I1292" s="17" t="str">
        <f aca="false">IF(OR(H1292="",C1292=""),"",IF(F1292="İptal",0,H1292*IFERROR(INDEX(Ürünler!$B$5:$B$64,MATCH(C1292,Ürünler!$A$5:$A$64,0)),0)-G1292))</f>
        <v/>
      </c>
      <c r="J1292" s="18" t="str">
        <f aca="false">IF(OR(H1292="",C1292="",F1292="İptal"),"",IF(COUNTIFS($C$5:$C$1504,C1292,$D$5:$D$1504,"&lt;="&amp;E1292,$E$5:$E$1504,"&gt;="&amp;D1292,$F$5:$F$1504,"&lt;&gt;İptal")&gt;1,"Çakışıyor",""))</f>
        <v/>
      </c>
    </row>
    <row r="1293" customFormat="false" ht="15" hidden="false" customHeight="false" outlineLevel="0" collapsed="false">
      <c r="A1293" s="12"/>
      <c r="B1293" s="12"/>
      <c r="C1293" s="13"/>
      <c r="D1293" s="14"/>
      <c r="E1293" s="14"/>
      <c r="F1293" s="13"/>
      <c r="G1293" s="15"/>
      <c r="H1293" s="16" t="str">
        <f aca="false">IF(OR(D1293="",E1293="",E1293&lt;D1293),"",E1293-D1293+1)</f>
        <v/>
      </c>
      <c r="I1293" s="17" t="str">
        <f aca="false">IF(OR(H1293="",C1293=""),"",IF(F1293="İptal",0,H1293*IFERROR(INDEX(Ürünler!$B$5:$B$64,MATCH(C1293,Ürünler!$A$5:$A$64,0)),0)-G1293))</f>
        <v/>
      </c>
      <c r="J1293" s="18" t="str">
        <f aca="false">IF(OR(H1293="",C1293="",F1293="İptal"),"",IF(COUNTIFS($C$5:$C$1504,C1293,$D$5:$D$1504,"&lt;="&amp;E1293,$E$5:$E$1504,"&gt;="&amp;D1293,$F$5:$F$1504,"&lt;&gt;İptal")&gt;1,"Çakışıyor",""))</f>
        <v/>
      </c>
    </row>
    <row r="1294" customFormat="false" ht="15" hidden="false" customHeight="false" outlineLevel="0" collapsed="false">
      <c r="A1294" s="12"/>
      <c r="B1294" s="12"/>
      <c r="C1294" s="13"/>
      <c r="D1294" s="14"/>
      <c r="E1294" s="14"/>
      <c r="F1294" s="13"/>
      <c r="G1294" s="15"/>
      <c r="H1294" s="16" t="str">
        <f aca="false">IF(OR(D1294="",E1294="",E1294&lt;D1294),"",E1294-D1294+1)</f>
        <v/>
      </c>
      <c r="I1294" s="17" t="str">
        <f aca="false">IF(OR(H1294="",C1294=""),"",IF(F1294="İptal",0,H1294*IFERROR(INDEX(Ürünler!$B$5:$B$64,MATCH(C1294,Ürünler!$A$5:$A$64,0)),0)-G1294))</f>
        <v/>
      </c>
      <c r="J1294" s="18" t="str">
        <f aca="false">IF(OR(H1294="",C1294="",F1294="İptal"),"",IF(COUNTIFS($C$5:$C$1504,C1294,$D$5:$D$1504,"&lt;="&amp;E1294,$E$5:$E$1504,"&gt;="&amp;D1294,$F$5:$F$1504,"&lt;&gt;İptal")&gt;1,"Çakışıyor",""))</f>
        <v/>
      </c>
    </row>
    <row r="1295" customFormat="false" ht="15" hidden="false" customHeight="false" outlineLevel="0" collapsed="false">
      <c r="A1295" s="12"/>
      <c r="B1295" s="12"/>
      <c r="C1295" s="13"/>
      <c r="D1295" s="14"/>
      <c r="E1295" s="14"/>
      <c r="F1295" s="13"/>
      <c r="G1295" s="15"/>
      <c r="H1295" s="16" t="str">
        <f aca="false">IF(OR(D1295="",E1295="",E1295&lt;D1295),"",E1295-D1295+1)</f>
        <v/>
      </c>
      <c r="I1295" s="17" t="str">
        <f aca="false">IF(OR(H1295="",C1295=""),"",IF(F1295="İptal",0,H1295*IFERROR(INDEX(Ürünler!$B$5:$B$64,MATCH(C1295,Ürünler!$A$5:$A$64,0)),0)-G1295))</f>
        <v/>
      </c>
      <c r="J1295" s="18" t="str">
        <f aca="false">IF(OR(H1295="",C1295="",F1295="İptal"),"",IF(COUNTIFS($C$5:$C$1504,C1295,$D$5:$D$1504,"&lt;="&amp;E1295,$E$5:$E$1504,"&gt;="&amp;D1295,$F$5:$F$1504,"&lt;&gt;İptal")&gt;1,"Çakışıyor",""))</f>
        <v/>
      </c>
    </row>
    <row r="1296" customFormat="false" ht="15" hidden="false" customHeight="false" outlineLevel="0" collapsed="false">
      <c r="A1296" s="12"/>
      <c r="B1296" s="12"/>
      <c r="C1296" s="13"/>
      <c r="D1296" s="14"/>
      <c r="E1296" s="14"/>
      <c r="F1296" s="13"/>
      <c r="G1296" s="15"/>
      <c r="H1296" s="16" t="str">
        <f aca="false">IF(OR(D1296="",E1296="",E1296&lt;D1296),"",E1296-D1296+1)</f>
        <v/>
      </c>
      <c r="I1296" s="17" t="str">
        <f aca="false">IF(OR(H1296="",C1296=""),"",IF(F1296="İptal",0,H1296*IFERROR(INDEX(Ürünler!$B$5:$B$64,MATCH(C1296,Ürünler!$A$5:$A$64,0)),0)-G1296))</f>
        <v/>
      </c>
      <c r="J1296" s="18" t="str">
        <f aca="false">IF(OR(H1296="",C1296="",F1296="İptal"),"",IF(COUNTIFS($C$5:$C$1504,C1296,$D$5:$D$1504,"&lt;="&amp;E1296,$E$5:$E$1504,"&gt;="&amp;D1296,$F$5:$F$1504,"&lt;&gt;İptal")&gt;1,"Çakışıyor",""))</f>
        <v/>
      </c>
    </row>
    <row r="1297" customFormat="false" ht="15" hidden="false" customHeight="false" outlineLevel="0" collapsed="false">
      <c r="A1297" s="12"/>
      <c r="B1297" s="12"/>
      <c r="C1297" s="13"/>
      <c r="D1297" s="14"/>
      <c r="E1297" s="14"/>
      <c r="F1297" s="13"/>
      <c r="G1297" s="15"/>
      <c r="H1297" s="16" t="str">
        <f aca="false">IF(OR(D1297="",E1297="",E1297&lt;D1297),"",E1297-D1297+1)</f>
        <v/>
      </c>
      <c r="I1297" s="17" t="str">
        <f aca="false">IF(OR(H1297="",C1297=""),"",IF(F1297="İptal",0,H1297*IFERROR(INDEX(Ürünler!$B$5:$B$64,MATCH(C1297,Ürünler!$A$5:$A$64,0)),0)-G1297))</f>
        <v/>
      </c>
      <c r="J1297" s="18" t="str">
        <f aca="false">IF(OR(H1297="",C1297="",F1297="İptal"),"",IF(COUNTIFS($C$5:$C$1504,C1297,$D$5:$D$1504,"&lt;="&amp;E1297,$E$5:$E$1504,"&gt;="&amp;D1297,$F$5:$F$1504,"&lt;&gt;İptal")&gt;1,"Çakışıyor",""))</f>
        <v/>
      </c>
    </row>
    <row r="1298" customFormat="false" ht="15" hidden="false" customHeight="false" outlineLevel="0" collapsed="false">
      <c r="A1298" s="12"/>
      <c r="B1298" s="12"/>
      <c r="C1298" s="13"/>
      <c r="D1298" s="14"/>
      <c r="E1298" s="14"/>
      <c r="F1298" s="13"/>
      <c r="G1298" s="15"/>
      <c r="H1298" s="16" t="str">
        <f aca="false">IF(OR(D1298="",E1298="",E1298&lt;D1298),"",E1298-D1298+1)</f>
        <v/>
      </c>
      <c r="I1298" s="17" t="str">
        <f aca="false">IF(OR(H1298="",C1298=""),"",IF(F1298="İptal",0,H1298*IFERROR(INDEX(Ürünler!$B$5:$B$64,MATCH(C1298,Ürünler!$A$5:$A$64,0)),0)-G1298))</f>
        <v/>
      </c>
      <c r="J1298" s="18" t="str">
        <f aca="false">IF(OR(H1298="",C1298="",F1298="İptal"),"",IF(COUNTIFS($C$5:$C$1504,C1298,$D$5:$D$1504,"&lt;="&amp;E1298,$E$5:$E$1504,"&gt;="&amp;D1298,$F$5:$F$1504,"&lt;&gt;İptal")&gt;1,"Çakışıyor",""))</f>
        <v/>
      </c>
    </row>
    <row r="1299" customFormat="false" ht="15" hidden="false" customHeight="false" outlineLevel="0" collapsed="false">
      <c r="A1299" s="12"/>
      <c r="B1299" s="12"/>
      <c r="C1299" s="13"/>
      <c r="D1299" s="14"/>
      <c r="E1299" s="14"/>
      <c r="F1299" s="13"/>
      <c r="G1299" s="15"/>
      <c r="H1299" s="16" t="str">
        <f aca="false">IF(OR(D1299="",E1299="",E1299&lt;D1299),"",E1299-D1299+1)</f>
        <v/>
      </c>
      <c r="I1299" s="17" t="str">
        <f aca="false">IF(OR(H1299="",C1299=""),"",IF(F1299="İptal",0,H1299*IFERROR(INDEX(Ürünler!$B$5:$B$64,MATCH(C1299,Ürünler!$A$5:$A$64,0)),0)-G1299))</f>
        <v/>
      </c>
      <c r="J1299" s="18" t="str">
        <f aca="false">IF(OR(H1299="",C1299="",F1299="İptal"),"",IF(COUNTIFS($C$5:$C$1504,C1299,$D$5:$D$1504,"&lt;="&amp;E1299,$E$5:$E$1504,"&gt;="&amp;D1299,$F$5:$F$1504,"&lt;&gt;İptal")&gt;1,"Çakışıyor",""))</f>
        <v/>
      </c>
    </row>
    <row r="1300" customFormat="false" ht="15" hidden="false" customHeight="false" outlineLevel="0" collapsed="false">
      <c r="A1300" s="12"/>
      <c r="B1300" s="12"/>
      <c r="C1300" s="13"/>
      <c r="D1300" s="14"/>
      <c r="E1300" s="14"/>
      <c r="F1300" s="13"/>
      <c r="G1300" s="15"/>
      <c r="H1300" s="16" t="str">
        <f aca="false">IF(OR(D1300="",E1300="",E1300&lt;D1300),"",E1300-D1300+1)</f>
        <v/>
      </c>
      <c r="I1300" s="17" t="str">
        <f aca="false">IF(OR(H1300="",C1300=""),"",IF(F1300="İptal",0,H1300*IFERROR(INDEX(Ürünler!$B$5:$B$64,MATCH(C1300,Ürünler!$A$5:$A$64,0)),0)-G1300))</f>
        <v/>
      </c>
      <c r="J1300" s="18" t="str">
        <f aca="false">IF(OR(H1300="",C1300="",F1300="İptal"),"",IF(COUNTIFS($C$5:$C$1504,C1300,$D$5:$D$1504,"&lt;="&amp;E1300,$E$5:$E$1504,"&gt;="&amp;D1300,$F$5:$F$1504,"&lt;&gt;İptal")&gt;1,"Çakışıyor",""))</f>
        <v/>
      </c>
    </row>
    <row r="1301" customFormat="false" ht="15" hidden="false" customHeight="false" outlineLevel="0" collapsed="false">
      <c r="A1301" s="12"/>
      <c r="B1301" s="12"/>
      <c r="C1301" s="13"/>
      <c r="D1301" s="14"/>
      <c r="E1301" s="14"/>
      <c r="F1301" s="13"/>
      <c r="G1301" s="15"/>
      <c r="H1301" s="16" t="str">
        <f aca="false">IF(OR(D1301="",E1301="",E1301&lt;D1301),"",E1301-D1301+1)</f>
        <v/>
      </c>
      <c r="I1301" s="17" t="str">
        <f aca="false">IF(OR(H1301="",C1301=""),"",IF(F1301="İptal",0,H1301*IFERROR(INDEX(Ürünler!$B$5:$B$64,MATCH(C1301,Ürünler!$A$5:$A$64,0)),0)-G1301))</f>
        <v/>
      </c>
      <c r="J1301" s="18" t="str">
        <f aca="false">IF(OR(H1301="",C1301="",F1301="İptal"),"",IF(COUNTIFS($C$5:$C$1504,C1301,$D$5:$D$1504,"&lt;="&amp;E1301,$E$5:$E$1504,"&gt;="&amp;D1301,$F$5:$F$1504,"&lt;&gt;İptal")&gt;1,"Çakışıyor",""))</f>
        <v/>
      </c>
    </row>
    <row r="1302" customFormat="false" ht="15" hidden="false" customHeight="false" outlineLevel="0" collapsed="false">
      <c r="A1302" s="12"/>
      <c r="B1302" s="12"/>
      <c r="C1302" s="13"/>
      <c r="D1302" s="14"/>
      <c r="E1302" s="14"/>
      <c r="F1302" s="13"/>
      <c r="G1302" s="15"/>
      <c r="H1302" s="16" t="str">
        <f aca="false">IF(OR(D1302="",E1302="",E1302&lt;D1302),"",E1302-D1302+1)</f>
        <v/>
      </c>
      <c r="I1302" s="17" t="str">
        <f aca="false">IF(OR(H1302="",C1302=""),"",IF(F1302="İptal",0,H1302*IFERROR(INDEX(Ürünler!$B$5:$B$64,MATCH(C1302,Ürünler!$A$5:$A$64,0)),0)-G1302))</f>
        <v/>
      </c>
      <c r="J1302" s="18" t="str">
        <f aca="false">IF(OR(H1302="",C1302="",F1302="İptal"),"",IF(COUNTIFS($C$5:$C$1504,C1302,$D$5:$D$1504,"&lt;="&amp;E1302,$E$5:$E$1504,"&gt;="&amp;D1302,$F$5:$F$1504,"&lt;&gt;İptal")&gt;1,"Çakışıyor",""))</f>
        <v/>
      </c>
    </row>
    <row r="1303" customFormat="false" ht="15" hidden="false" customHeight="false" outlineLevel="0" collapsed="false">
      <c r="A1303" s="12"/>
      <c r="B1303" s="12"/>
      <c r="C1303" s="13"/>
      <c r="D1303" s="14"/>
      <c r="E1303" s="14"/>
      <c r="F1303" s="13"/>
      <c r="G1303" s="15"/>
      <c r="H1303" s="16" t="str">
        <f aca="false">IF(OR(D1303="",E1303="",E1303&lt;D1303),"",E1303-D1303+1)</f>
        <v/>
      </c>
      <c r="I1303" s="17" t="str">
        <f aca="false">IF(OR(H1303="",C1303=""),"",IF(F1303="İptal",0,H1303*IFERROR(INDEX(Ürünler!$B$5:$B$64,MATCH(C1303,Ürünler!$A$5:$A$64,0)),0)-G1303))</f>
        <v/>
      </c>
      <c r="J1303" s="18" t="str">
        <f aca="false">IF(OR(H1303="",C1303="",F1303="İptal"),"",IF(COUNTIFS($C$5:$C$1504,C1303,$D$5:$D$1504,"&lt;="&amp;E1303,$E$5:$E$1504,"&gt;="&amp;D1303,$F$5:$F$1504,"&lt;&gt;İptal")&gt;1,"Çakışıyor",""))</f>
        <v/>
      </c>
    </row>
    <row r="1304" customFormat="false" ht="15" hidden="false" customHeight="false" outlineLevel="0" collapsed="false">
      <c r="A1304" s="12"/>
      <c r="B1304" s="12"/>
      <c r="C1304" s="13"/>
      <c r="D1304" s="14"/>
      <c r="E1304" s="14"/>
      <c r="F1304" s="13"/>
      <c r="G1304" s="15"/>
      <c r="H1304" s="16" t="str">
        <f aca="false">IF(OR(D1304="",E1304="",E1304&lt;D1304),"",E1304-D1304+1)</f>
        <v/>
      </c>
      <c r="I1304" s="17" t="str">
        <f aca="false">IF(OR(H1304="",C1304=""),"",IF(F1304="İptal",0,H1304*IFERROR(INDEX(Ürünler!$B$5:$B$64,MATCH(C1304,Ürünler!$A$5:$A$64,0)),0)-G1304))</f>
        <v/>
      </c>
      <c r="J1304" s="18" t="str">
        <f aca="false">IF(OR(H1304="",C1304="",F1304="İptal"),"",IF(COUNTIFS($C$5:$C$1504,C1304,$D$5:$D$1504,"&lt;="&amp;E1304,$E$5:$E$1504,"&gt;="&amp;D1304,$F$5:$F$1504,"&lt;&gt;İptal")&gt;1,"Çakışıyor",""))</f>
        <v/>
      </c>
    </row>
    <row r="1305" customFormat="false" ht="15" hidden="false" customHeight="false" outlineLevel="0" collapsed="false">
      <c r="A1305" s="12"/>
      <c r="B1305" s="12"/>
      <c r="C1305" s="13"/>
      <c r="D1305" s="14"/>
      <c r="E1305" s="14"/>
      <c r="F1305" s="13"/>
      <c r="G1305" s="15"/>
      <c r="H1305" s="16" t="str">
        <f aca="false">IF(OR(D1305="",E1305="",E1305&lt;D1305),"",E1305-D1305+1)</f>
        <v/>
      </c>
      <c r="I1305" s="17" t="str">
        <f aca="false">IF(OR(H1305="",C1305=""),"",IF(F1305="İptal",0,H1305*IFERROR(INDEX(Ürünler!$B$5:$B$64,MATCH(C1305,Ürünler!$A$5:$A$64,0)),0)-G1305))</f>
        <v/>
      </c>
      <c r="J1305" s="18" t="str">
        <f aca="false">IF(OR(H1305="",C1305="",F1305="İptal"),"",IF(COUNTIFS($C$5:$C$1504,C1305,$D$5:$D$1504,"&lt;="&amp;E1305,$E$5:$E$1504,"&gt;="&amp;D1305,$F$5:$F$1504,"&lt;&gt;İptal")&gt;1,"Çakışıyor",""))</f>
        <v/>
      </c>
    </row>
    <row r="1306" customFormat="false" ht="15" hidden="false" customHeight="false" outlineLevel="0" collapsed="false">
      <c r="A1306" s="12"/>
      <c r="B1306" s="12"/>
      <c r="C1306" s="13"/>
      <c r="D1306" s="14"/>
      <c r="E1306" s="14"/>
      <c r="F1306" s="13"/>
      <c r="G1306" s="15"/>
      <c r="H1306" s="16" t="str">
        <f aca="false">IF(OR(D1306="",E1306="",E1306&lt;D1306),"",E1306-D1306+1)</f>
        <v/>
      </c>
      <c r="I1306" s="17" t="str">
        <f aca="false">IF(OR(H1306="",C1306=""),"",IF(F1306="İptal",0,H1306*IFERROR(INDEX(Ürünler!$B$5:$B$64,MATCH(C1306,Ürünler!$A$5:$A$64,0)),0)-G1306))</f>
        <v/>
      </c>
      <c r="J1306" s="18" t="str">
        <f aca="false">IF(OR(H1306="",C1306="",F1306="İptal"),"",IF(COUNTIFS($C$5:$C$1504,C1306,$D$5:$D$1504,"&lt;="&amp;E1306,$E$5:$E$1504,"&gt;="&amp;D1306,$F$5:$F$1504,"&lt;&gt;İptal")&gt;1,"Çakışıyor",""))</f>
        <v/>
      </c>
    </row>
    <row r="1307" customFormat="false" ht="15" hidden="false" customHeight="false" outlineLevel="0" collapsed="false">
      <c r="A1307" s="12"/>
      <c r="B1307" s="12"/>
      <c r="C1307" s="13"/>
      <c r="D1307" s="14"/>
      <c r="E1307" s="14"/>
      <c r="F1307" s="13"/>
      <c r="G1307" s="15"/>
      <c r="H1307" s="16" t="str">
        <f aca="false">IF(OR(D1307="",E1307="",E1307&lt;D1307),"",E1307-D1307+1)</f>
        <v/>
      </c>
      <c r="I1307" s="17" t="str">
        <f aca="false">IF(OR(H1307="",C1307=""),"",IF(F1307="İptal",0,H1307*IFERROR(INDEX(Ürünler!$B$5:$B$64,MATCH(C1307,Ürünler!$A$5:$A$64,0)),0)-G1307))</f>
        <v/>
      </c>
      <c r="J1307" s="18" t="str">
        <f aca="false">IF(OR(H1307="",C1307="",F1307="İptal"),"",IF(COUNTIFS($C$5:$C$1504,C1307,$D$5:$D$1504,"&lt;="&amp;E1307,$E$5:$E$1504,"&gt;="&amp;D1307,$F$5:$F$1504,"&lt;&gt;İptal")&gt;1,"Çakışıyor",""))</f>
        <v/>
      </c>
    </row>
    <row r="1308" customFormat="false" ht="15" hidden="false" customHeight="false" outlineLevel="0" collapsed="false">
      <c r="A1308" s="12"/>
      <c r="B1308" s="12"/>
      <c r="C1308" s="13"/>
      <c r="D1308" s="14"/>
      <c r="E1308" s="14"/>
      <c r="F1308" s="13"/>
      <c r="G1308" s="15"/>
      <c r="H1308" s="16" t="str">
        <f aca="false">IF(OR(D1308="",E1308="",E1308&lt;D1308),"",E1308-D1308+1)</f>
        <v/>
      </c>
      <c r="I1308" s="17" t="str">
        <f aca="false">IF(OR(H1308="",C1308=""),"",IF(F1308="İptal",0,H1308*IFERROR(INDEX(Ürünler!$B$5:$B$64,MATCH(C1308,Ürünler!$A$5:$A$64,0)),0)-G1308))</f>
        <v/>
      </c>
      <c r="J1308" s="18" t="str">
        <f aca="false">IF(OR(H1308="",C1308="",F1308="İptal"),"",IF(COUNTIFS($C$5:$C$1504,C1308,$D$5:$D$1504,"&lt;="&amp;E1308,$E$5:$E$1504,"&gt;="&amp;D1308,$F$5:$F$1504,"&lt;&gt;İptal")&gt;1,"Çakışıyor",""))</f>
        <v/>
      </c>
    </row>
    <row r="1309" customFormat="false" ht="15" hidden="false" customHeight="false" outlineLevel="0" collapsed="false">
      <c r="A1309" s="12"/>
      <c r="B1309" s="12"/>
      <c r="C1309" s="13"/>
      <c r="D1309" s="14"/>
      <c r="E1309" s="14"/>
      <c r="F1309" s="13"/>
      <c r="G1309" s="15"/>
      <c r="H1309" s="16" t="str">
        <f aca="false">IF(OR(D1309="",E1309="",E1309&lt;D1309),"",E1309-D1309+1)</f>
        <v/>
      </c>
      <c r="I1309" s="17" t="str">
        <f aca="false">IF(OR(H1309="",C1309=""),"",IF(F1309="İptal",0,H1309*IFERROR(INDEX(Ürünler!$B$5:$B$64,MATCH(C1309,Ürünler!$A$5:$A$64,0)),0)-G1309))</f>
        <v/>
      </c>
      <c r="J1309" s="18" t="str">
        <f aca="false">IF(OR(H1309="",C1309="",F1309="İptal"),"",IF(COUNTIFS($C$5:$C$1504,C1309,$D$5:$D$1504,"&lt;="&amp;E1309,$E$5:$E$1504,"&gt;="&amp;D1309,$F$5:$F$1504,"&lt;&gt;İptal")&gt;1,"Çakışıyor",""))</f>
        <v/>
      </c>
    </row>
    <row r="1310" customFormat="false" ht="15" hidden="false" customHeight="false" outlineLevel="0" collapsed="false">
      <c r="A1310" s="12"/>
      <c r="B1310" s="12"/>
      <c r="C1310" s="13"/>
      <c r="D1310" s="14"/>
      <c r="E1310" s="14"/>
      <c r="F1310" s="13"/>
      <c r="G1310" s="15"/>
      <c r="H1310" s="16" t="str">
        <f aca="false">IF(OR(D1310="",E1310="",E1310&lt;D1310),"",E1310-D1310+1)</f>
        <v/>
      </c>
      <c r="I1310" s="17" t="str">
        <f aca="false">IF(OR(H1310="",C1310=""),"",IF(F1310="İptal",0,H1310*IFERROR(INDEX(Ürünler!$B$5:$B$64,MATCH(C1310,Ürünler!$A$5:$A$64,0)),0)-G1310))</f>
        <v/>
      </c>
      <c r="J1310" s="18" t="str">
        <f aca="false">IF(OR(H1310="",C1310="",F1310="İptal"),"",IF(COUNTIFS($C$5:$C$1504,C1310,$D$5:$D$1504,"&lt;="&amp;E1310,$E$5:$E$1504,"&gt;="&amp;D1310,$F$5:$F$1504,"&lt;&gt;İptal")&gt;1,"Çakışıyor",""))</f>
        <v/>
      </c>
    </row>
    <row r="1311" customFormat="false" ht="15" hidden="false" customHeight="false" outlineLevel="0" collapsed="false">
      <c r="A1311" s="12"/>
      <c r="B1311" s="12"/>
      <c r="C1311" s="13"/>
      <c r="D1311" s="14"/>
      <c r="E1311" s="14"/>
      <c r="F1311" s="13"/>
      <c r="G1311" s="15"/>
      <c r="H1311" s="16" t="str">
        <f aca="false">IF(OR(D1311="",E1311="",E1311&lt;D1311),"",E1311-D1311+1)</f>
        <v/>
      </c>
      <c r="I1311" s="17" t="str">
        <f aca="false">IF(OR(H1311="",C1311=""),"",IF(F1311="İptal",0,H1311*IFERROR(INDEX(Ürünler!$B$5:$B$64,MATCH(C1311,Ürünler!$A$5:$A$64,0)),0)-G1311))</f>
        <v/>
      </c>
      <c r="J1311" s="18" t="str">
        <f aca="false">IF(OR(H1311="",C1311="",F1311="İptal"),"",IF(COUNTIFS($C$5:$C$1504,C1311,$D$5:$D$1504,"&lt;="&amp;E1311,$E$5:$E$1504,"&gt;="&amp;D1311,$F$5:$F$1504,"&lt;&gt;İptal")&gt;1,"Çakışıyor",""))</f>
        <v/>
      </c>
    </row>
    <row r="1312" customFormat="false" ht="15" hidden="false" customHeight="false" outlineLevel="0" collapsed="false">
      <c r="A1312" s="12"/>
      <c r="B1312" s="12"/>
      <c r="C1312" s="13"/>
      <c r="D1312" s="14"/>
      <c r="E1312" s="14"/>
      <c r="F1312" s="13"/>
      <c r="G1312" s="15"/>
      <c r="H1312" s="16" t="str">
        <f aca="false">IF(OR(D1312="",E1312="",E1312&lt;D1312),"",E1312-D1312+1)</f>
        <v/>
      </c>
      <c r="I1312" s="17" t="str">
        <f aca="false">IF(OR(H1312="",C1312=""),"",IF(F1312="İptal",0,H1312*IFERROR(INDEX(Ürünler!$B$5:$B$64,MATCH(C1312,Ürünler!$A$5:$A$64,0)),0)-G1312))</f>
        <v/>
      </c>
      <c r="J1312" s="18" t="str">
        <f aca="false">IF(OR(H1312="",C1312="",F1312="İptal"),"",IF(COUNTIFS($C$5:$C$1504,C1312,$D$5:$D$1504,"&lt;="&amp;E1312,$E$5:$E$1504,"&gt;="&amp;D1312,$F$5:$F$1504,"&lt;&gt;İptal")&gt;1,"Çakışıyor",""))</f>
        <v/>
      </c>
    </row>
    <row r="1313" customFormat="false" ht="15" hidden="false" customHeight="false" outlineLevel="0" collapsed="false">
      <c r="A1313" s="12"/>
      <c r="B1313" s="12"/>
      <c r="C1313" s="13"/>
      <c r="D1313" s="14"/>
      <c r="E1313" s="14"/>
      <c r="F1313" s="13"/>
      <c r="G1313" s="15"/>
      <c r="H1313" s="16" t="str">
        <f aca="false">IF(OR(D1313="",E1313="",E1313&lt;D1313),"",E1313-D1313+1)</f>
        <v/>
      </c>
      <c r="I1313" s="17" t="str">
        <f aca="false">IF(OR(H1313="",C1313=""),"",IF(F1313="İptal",0,H1313*IFERROR(INDEX(Ürünler!$B$5:$B$64,MATCH(C1313,Ürünler!$A$5:$A$64,0)),0)-G1313))</f>
        <v/>
      </c>
      <c r="J1313" s="18" t="str">
        <f aca="false">IF(OR(H1313="",C1313="",F1313="İptal"),"",IF(COUNTIFS($C$5:$C$1504,C1313,$D$5:$D$1504,"&lt;="&amp;E1313,$E$5:$E$1504,"&gt;="&amp;D1313,$F$5:$F$1504,"&lt;&gt;İptal")&gt;1,"Çakışıyor",""))</f>
        <v/>
      </c>
    </row>
    <row r="1314" customFormat="false" ht="15" hidden="false" customHeight="false" outlineLevel="0" collapsed="false">
      <c r="A1314" s="12"/>
      <c r="B1314" s="12"/>
      <c r="C1314" s="13"/>
      <c r="D1314" s="14"/>
      <c r="E1314" s="14"/>
      <c r="F1314" s="13"/>
      <c r="G1314" s="15"/>
      <c r="H1314" s="16" t="str">
        <f aca="false">IF(OR(D1314="",E1314="",E1314&lt;D1314),"",E1314-D1314+1)</f>
        <v/>
      </c>
      <c r="I1314" s="17" t="str">
        <f aca="false">IF(OR(H1314="",C1314=""),"",IF(F1314="İptal",0,H1314*IFERROR(INDEX(Ürünler!$B$5:$B$64,MATCH(C1314,Ürünler!$A$5:$A$64,0)),0)-G1314))</f>
        <v/>
      </c>
      <c r="J1314" s="18" t="str">
        <f aca="false">IF(OR(H1314="",C1314="",F1314="İptal"),"",IF(COUNTIFS($C$5:$C$1504,C1314,$D$5:$D$1504,"&lt;="&amp;E1314,$E$5:$E$1504,"&gt;="&amp;D1314,$F$5:$F$1504,"&lt;&gt;İptal")&gt;1,"Çakışıyor",""))</f>
        <v/>
      </c>
    </row>
    <row r="1315" customFormat="false" ht="15" hidden="false" customHeight="false" outlineLevel="0" collapsed="false">
      <c r="A1315" s="12"/>
      <c r="B1315" s="12"/>
      <c r="C1315" s="13"/>
      <c r="D1315" s="14"/>
      <c r="E1315" s="14"/>
      <c r="F1315" s="13"/>
      <c r="G1315" s="15"/>
      <c r="H1315" s="16" t="str">
        <f aca="false">IF(OR(D1315="",E1315="",E1315&lt;D1315),"",E1315-D1315+1)</f>
        <v/>
      </c>
      <c r="I1315" s="17" t="str">
        <f aca="false">IF(OR(H1315="",C1315=""),"",IF(F1315="İptal",0,H1315*IFERROR(INDEX(Ürünler!$B$5:$B$64,MATCH(C1315,Ürünler!$A$5:$A$64,0)),0)-G1315))</f>
        <v/>
      </c>
      <c r="J1315" s="18" t="str">
        <f aca="false">IF(OR(H1315="",C1315="",F1315="İptal"),"",IF(COUNTIFS($C$5:$C$1504,C1315,$D$5:$D$1504,"&lt;="&amp;E1315,$E$5:$E$1504,"&gt;="&amp;D1315,$F$5:$F$1504,"&lt;&gt;İptal")&gt;1,"Çakışıyor",""))</f>
        <v/>
      </c>
    </row>
    <row r="1316" customFormat="false" ht="15" hidden="false" customHeight="false" outlineLevel="0" collapsed="false">
      <c r="A1316" s="12"/>
      <c r="B1316" s="12"/>
      <c r="C1316" s="13"/>
      <c r="D1316" s="14"/>
      <c r="E1316" s="14"/>
      <c r="F1316" s="13"/>
      <c r="G1316" s="15"/>
      <c r="H1316" s="16" t="str">
        <f aca="false">IF(OR(D1316="",E1316="",E1316&lt;D1316),"",E1316-D1316+1)</f>
        <v/>
      </c>
      <c r="I1316" s="17" t="str">
        <f aca="false">IF(OR(H1316="",C1316=""),"",IF(F1316="İptal",0,H1316*IFERROR(INDEX(Ürünler!$B$5:$B$64,MATCH(C1316,Ürünler!$A$5:$A$64,0)),0)-G1316))</f>
        <v/>
      </c>
      <c r="J1316" s="18" t="str">
        <f aca="false">IF(OR(H1316="",C1316="",F1316="İptal"),"",IF(COUNTIFS($C$5:$C$1504,C1316,$D$5:$D$1504,"&lt;="&amp;E1316,$E$5:$E$1504,"&gt;="&amp;D1316,$F$5:$F$1504,"&lt;&gt;İptal")&gt;1,"Çakışıyor",""))</f>
        <v/>
      </c>
    </row>
    <row r="1317" customFormat="false" ht="15" hidden="false" customHeight="false" outlineLevel="0" collapsed="false">
      <c r="A1317" s="12"/>
      <c r="B1317" s="12"/>
      <c r="C1317" s="13"/>
      <c r="D1317" s="14"/>
      <c r="E1317" s="14"/>
      <c r="F1317" s="13"/>
      <c r="G1317" s="15"/>
      <c r="H1317" s="16" t="str">
        <f aca="false">IF(OR(D1317="",E1317="",E1317&lt;D1317),"",E1317-D1317+1)</f>
        <v/>
      </c>
      <c r="I1317" s="17" t="str">
        <f aca="false">IF(OR(H1317="",C1317=""),"",IF(F1317="İptal",0,H1317*IFERROR(INDEX(Ürünler!$B$5:$B$64,MATCH(C1317,Ürünler!$A$5:$A$64,0)),0)-G1317))</f>
        <v/>
      </c>
      <c r="J1317" s="18" t="str">
        <f aca="false">IF(OR(H1317="",C1317="",F1317="İptal"),"",IF(COUNTIFS($C$5:$C$1504,C1317,$D$5:$D$1504,"&lt;="&amp;E1317,$E$5:$E$1504,"&gt;="&amp;D1317,$F$5:$F$1504,"&lt;&gt;İptal")&gt;1,"Çakışıyor",""))</f>
        <v/>
      </c>
    </row>
    <row r="1318" customFormat="false" ht="15" hidden="false" customHeight="false" outlineLevel="0" collapsed="false">
      <c r="A1318" s="12"/>
      <c r="B1318" s="12"/>
      <c r="C1318" s="13"/>
      <c r="D1318" s="14"/>
      <c r="E1318" s="14"/>
      <c r="F1318" s="13"/>
      <c r="G1318" s="15"/>
      <c r="H1318" s="16" t="str">
        <f aca="false">IF(OR(D1318="",E1318="",E1318&lt;D1318),"",E1318-D1318+1)</f>
        <v/>
      </c>
      <c r="I1318" s="17" t="str">
        <f aca="false">IF(OR(H1318="",C1318=""),"",IF(F1318="İptal",0,H1318*IFERROR(INDEX(Ürünler!$B$5:$B$64,MATCH(C1318,Ürünler!$A$5:$A$64,0)),0)-G1318))</f>
        <v/>
      </c>
      <c r="J1318" s="18" t="str">
        <f aca="false">IF(OR(H1318="",C1318="",F1318="İptal"),"",IF(COUNTIFS($C$5:$C$1504,C1318,$D$5:$D$1504,"&lt;="&amp;E1318,$E$5:$E$1504,"&gt;="&amp;D1318,$F$5:$F$1504,"&lt;&gt;İptal")&gt;1,"Çakışıyor",""))</f>
        <v/>
      </c>
    </row>
    <row r="1319" customFormat="false" ht="15" hidden="false" customHeight="false" outlineLevel="0" collapsed="false">
      <c r="A1319" s="12"/>
      <c r="B1319" s="12"/>
      <c r="C1319" s="13"/>
      <c r="D1319" s="14"/>
      <c r="E1319" s="14"/>
      <c r="F1319" s="13"/>
      <c r="G1319" s="15"/>
      <c r="H1319" s="16" t="str">
        <f aca="false">IF(OR(D1319="",E1319="",E1319&lt;D1319),"",E1319-D1319+1)</f>
        <v/>
      </c>
      <c r="I1319" s="17" t="str">
        <f aca="false">IF(OR(H1319="",C1319=""),"",IF(F1319="İptal",0,H1319*IFERROR(INDEX(Ürünler!$B$5:$B$64,MATCH(C1319,Ürünler!$A$5:$A$64,0)),0)-G1319))</f>
        <v/>
      </c>
      <c r="J1319" s="18" t="str">
        <f aca="false">IF(OR(H1319="",C1319="",F1319="İptal"),"",IF(COUNTIFS($C$5:$C$1504,C1319,$D$5:$D$1504,"&lt;="&amp;E1319,$E$5:$E$1504,"&gt;="&amp;D1319,$F$5:$F$1504,"&lt;&gt;İptal")&gt;1,"Çakışıyor",""))</f>
        <v/>
      </c>
    </row>
    <row r="1320" customFormat="false" ht="15" hidden="false" customHeight="false" outlineLevel="0" collapsed="false">
      <c r="A1320" s="12"/>
      <c r="B1320" s="12"/>
      <c r="C1320" s="13"/>
      <c r="D1320" s="14"/>
      <c r="E1320" s="14"/>
      <c r="F1320" s="13"/>
      <c r="G1320" s="15"/>
      <c r="H1320" s="16" t="str">
        <f aca="false">IF(OR(D1320="",E1320="",E1320&lt;D1320),"",E1320-D1320+1)</f>
        <v/>
      </c>
      <c r="I1320" s="17" t="str">
        <f aca="false">IF(OR(H1320="",C1320=""),"",IF(F1320="İptal",0,H1320*IFERROR(INDEX(Ürünler!$B$5:$B$64,MATCH(C1320,Ürünler!$A$5:$A$64,0)),0)-G1320))</f>
        <v/>
      </c>
      <c r="J1320" s="18" t="str">
        <f aca="false">IF(OR(H1320="",C1320="",F1320="İptal"),"",IF(COUNTIFS($C$5:$C$1504,C1320,$D$5:$D$1504,"&lt;="&amp;E1320,$E$5:$E$1504,"&gt;="&amp;D1320,$F$5:$F$1504,"&lt;&gt;İptal")&gt;1,"Çakışıyor",""))</f>
        <v/>
      </c>
    </row>
    <row r="1321" customFormat="false" ht="15" hidden="false" customHeight="false" outlineLevel="0" collapsed="false">
      <c r="A1321" s="12"/>
      <c r="B1321" s="12"/>
      <c r="C1321" s="13"/>
      <c r="D1321" s="14"/>
      <c r="E1321" s="14"/>
      <c r="F1321" s="13"/>
      <c r="G1321" s="15"/>
      <c r="H1321" s="16" t="str">
        <f aca="false">IF(OR(D1321="",E1321="",E1321&lt;D1321),"",E1321-D1321+1)</f>
        <v/>
      </c>
      <c r="I1321" s="17" t="str">
        <f aca="false">IF(OR(H1321="",C1321=""),"",IF(F1321="İptal",0,H1321*IFERROR(INDEX(Ürünler!$B$5:$B$64,MATCH(C1321,Ürünler!$A$5:$A$64,0)),0)-G1321))</f>
        <v/>
      </c>
      <c r="J1321" s="18" t="str">
        <f aca="false">IF(OR(H1321="",C1321="",F1321="İptal"),"",IF(COUNTIFS($C$5:$C$1504,C1321,$D$5:$D$1504,"&lt;="&amp;E1321,$E$5:$E$1504,"&gt;="&amp;D1321,$F$5:$F$1504,"&lt;&gt;İptal")&gt;1,"Çakışıyor",""))</f>
        <v/>
      </c>
    </row>
    <row r="1322" customFormat="false" ht="15" hidden="false" customHeight="false" outlineLevel="0" collapsed="false">
      <c r="A1322" s="12"/>
      <c r="B1322" s="12"/>
      <c r="C1322" s="13"/>
      <c r="D1322" s="14"/>
      <c r="E1322" s="14"/>
      <c r="F1322" s="13"/>
      <c r="G1322" s="15"/>
      <c r="H1322" s="16" t="str">
        <f aca="false">IF(OR(D1322="",E1322="",E1322&lt;D1322),"",E1322-D1322+1)</f>
        <v/>
      </c>
      <c r="I1322" s="17" t="str">
        <f aca="false">IF(OR(H1322="",C1322=""),"",IF(F1322="İptal",0,H1322*IFERROR(INDEX(Ürünler!$B$5:$B$64,MATCH(C1322,Ürünler!$A$5:$A$64,0)),0)-G1322))</f>
        <v/>
      </c>
      <c r="J1322" s="18" t="str">
        <f aca="false">IF(OR(H1322="",C1322="",F1322="İptal"),"",IF(COUNTIFS($C$5:$C$1504,C1322,$D$5:$D$1504,"&lt;="&amp;E1322,$E$5:$E$1504,"&gt;="&amp;D1322,$F$5:$F$1504,"&lt;&gt;İptal")&gt;1,"Çakışıyor",""))</f>
        <v/>
      </c>
    </row>
    <row r="1323" customFormat="false" ht="15" hidden="false" customHeight="false" outlineLevel="0" collapsed="false">
      <c r="A1323" s="12"/>
      <c r="B1323" s="12"/>
      <c r="C1323" s="13"/>
      <c r="D1323" s="14"/>
      <c r="E1323" s="14"/>
      <c r="F1323" s="13"/>
      <c r="G1323" s="15"/>
      <c r="H1323" s="16" t="str">
        <f aca="false">IF(OR(D1323="",E1323="",E1323&lt;D1323),"",E1323-D1323+1)</f>
        <v/>
      </c>
      <c r="I1323" s="17" t="str">
        <f aca="false">IF(OR(H1323="",C1323=""),"",IF(F1323="İptal",0,H1323*IFERROR(INDEX(Ürünler!$B$5:$B$64,MATCH(C1323,Ürünler!$A$5:$A$64,0)),0)-G1323))</f>
        <v/>
      </c>
      <c r="J1323" s="18" t="str">
        <f aca="false">IF(OR(H1323="",C1323="",F1323="İptal"),"",IF(COUNTIFS($C$5:$C$1504,C1323,$D$5:$D$1504,"&lt;="&amp;E1323,$E$5:$E$1504,"&gt;="&amp;D1323,$F$5:$F$1504,"&lt;&gt;İptal")&gt;1,"Çakışıyor",""))</f>
        <v/>
      </c>
    </row>
    <row r="1324" customFormat="false" ht="15" hidden="false" customHeight="false" outlineLevel="0" collapsed="false">
      <c r="A1324" s="12"/>
      <c r="B1324" s="12"/>
      <c r="C1324" s="13"/>
      <c r="D1324" s="14"/>
      <c r="E1324" s="14"/>
      <c r="F1324" s="13"/>
      <c r="G1324" s="15"/>
      <c r="H1324" s="16" t="str">
        <f aca="false">IF(OR(D1324="",E1324="",E1324&lt;D1324),"",E1324-D1324+1)</f>
        <v/>
      </c>
      <c r="I1324" s="17" t="str">
        <f aca="false">IF(OR(H1324="",C1324=""),"",IF(F1324="İptal",0,H1324*IFERROR(INDEX(Ürünler!$B$5:$B$64,MATCH(C1324,Ürünler!$A$5:$A$64,0)),0)-G1324))</f>
        <v/>
      </c>
      <c r="J1324" s="18" t="str">
        <f aca="false">IF(OR(H1324="",C1324="",F1324="İptal"),"",IF(COUNTIFS($C$5:$C$1504,C1324,$D$5:$D$1504,"&lt;="&amp;E1324,$E$5:$E$1504,"&gt;="&amp;D1324,$F$5:$F$1504,"&lt;&gt;İptal")&gt;1,"Çakışıyor",""))</f>
        <v/>
      </c>
    </row>
    <row r="1325" customFormat="false" ht="15" hidden="false" customHeight="false" outlineLevel="0" collapsed="false">
      <c r="A1325" s="12"/>
      <c r="B1325" s="12"/>
      <c r="C1325" s="13"/>
      <c r="D1325" s="14"/>
      <c r="E1325" s="14"/>
      <c r="F1325" s="13"/>
      <c r="G1325" s="15"/>
      <c r="H1325" s="16" t="str">
        <f aca="false">IF(OR(D1325="",E1325="",E1325&lt;D1325),"",E1325-D1325+1)</f>
        <v/>
      </c>
      <c r="I1325" s="17" t="str">
        <f aca="false">IF(OR(H1325="",C1325=""),"",IF(F1325="İptal",0,H1325*IFERROR(INDEX(Ürünler!$B$5:$B$64,MATCH(C1325,Ürünler!$A$5:$A$64,0)),0)-G1325))</f>
        <v/>
      </c>
      <c r="J1325" s="18" t="str">
        <f aca="false">IF(OR(H1325="",C1325="",F1325="İptal"),"",IF(COUNTIFS($C$5:$C$1504,C1325,$D$5:$D$1504,"&lt;="&amp;E1325,$E$5:$E$1504,"&gt;="&amp;D1325,$F$5:$F$1504,"&lt;&gt;İptal")&gt;1,"Çakışıyor",""))</f>
        <v/>
      </c>
    </row>
    <row r="1326" customFormat="false" ht="15" hidden="false" customHeight="false" outlineLevel="0" collapsed="false">
      <c r="A1326" s="12"/>
      <c r="B1326" s="12"/>
      <c r="C1326" s="13"/>
      <c r="D1326" s="14"/>
      <c r="E1326" s="14"/>
      <c r="F1326" s="13"/>
      <c r="G1326" s="15"/>
      <c r="H1326" s="16" t="str">
        <f aca="false">IF(OR(D1326="",E1326="",E1326&lt;D1326),"",E1326-D1326+1)</f>
        <v/>
      </c>
      <c r="I1326" s="17" t="str">
        <f aca="false">IF(OR(H1326="",C1326=""),"",IF(F1326="İptal",0,H1326*IFERROR(INDEX(Ürünler!$B$5:$B$64,MATCH(C1326,Ürünler!$A$5:$A$64,0)),0)-G1326))</f>
        <v/>
      </c>
      <c r="J1326" s="18" t="str">
        <f aca="false">IF(OR(H1326="",C1326="",F1326="İptal"),"",IF(COUNTIFS($C$5:$C$1504,C1326,$D$5:$D$1504,"&lt;="&amp;E1326,$E$5:$E$1504,"&gt;="&amp;D1326,$F$5:$F$1504,"&lt;&gt;İptal")&gt;1,"Çakışıyor",""))</f>
        <v/>
      </c>
    </row>
    <row r="1327" customFormat="false" ht="15" hidden="false" customHeight="false" outlineLevel="0" collapsed="false">
      <c r="A1327" s="12"/>
      <c r="B1327" s="12"/>
      <c r="C1327" s="13"/>
      <c r="D1327" s="14"/>
      <c r="E1327" s="14"/>
      <c r="F1327" s="13"/>
      <c r="G1327" s="15"/>
      <c r="H1327" s="16" t="str">
        <f aca="false">IF(OR(D1327="",E1327="",E1327&lt;D1327),"",E1327-D1327+1)</f>
        <v/>
      </c>
      <c r="I1327" s="17" t="str">
        <f aca="false">IF(OR(H1327="",C1327=""),"",IF(F1327="İptal",0,H1327*IFERROR(INDEX(Ürünler!$B$5:$B$64,MATCH(C1327,Ürünler!$A$5:$A$64,0)),0)-G1327))</f>
        <v/>
      </c>
      <c r="J1327" s="18" t="str">
        <f aca="false">IF(OR(H1327="",C1327="",F1327="İptal"),"",IF(COUNTIFS($C$5:$C$1504,C1327,$D$5:$D$1504,"&lt;="&amp;E1327,$E$5:$E$1504,"&gt;="&amp;D1327,$F$5:$F$1504,"&lt;&gt;İptal")&gt;1,"Çakışıyor",""))</f>
        <v/>
      </c>
    </row>
    <row r="1328" customFormat="false" ht="15" hidden="false" customHeight="false" outlineLevel="0" collapsed="false">
      <c r="A1328" s="12"/>
      <c r="B1328" s="12"/>
      <c r="C1328" s="13"/>
      <c r="D1328" s="14"/>
      <c r="E1328" s="14"/>
      <c r="F1328" s="13"/>
      <c r="G1328" s="15"/>
      <c r="H1328" s="16" t="str">
        <f aca="false">IF(OR(D1328="",E1328="",E1328&lt;D1328),"",E1328-D1328+1)</f>
        <v/>
      </c>
      <c r="I1328" s="17" t="str">
        <f aca="false">IF(OR(H1328="",C1328=""),"",IF(F1328="İptal",0,H1328*IFERROR(INDEX(Ürünler!$B$5:$B$64,MATCH(C1328,Ürünler!$A$5:$A$64,0)),0)-G1328))</f>
        <v/>
      </c>
      <c r="J1328" s="18" t="str">
        <f aca="false">IF(OR(H1328="",C1328="",F1328="İptal"),"",IF(COUNTIFS($C$5:$C$1504,C1328,$D$5:$D$1504,"&lt;="&amp;E1328,$E$5:$E$1504,"&gt;="&amp;D1328,$F$5:$F$1504,"&lt;&gt;İptal")&gt;1,"Çakışıyor",""))</f>
        <v/>
      </c>
    </row>
    <row r="1329" customFormat="false" ht="15" hidden="false" customHeight="false" outlineLevel="0" collapsed="false">
      <c r="A1329" s="12"/>
      <c r="B1329" s="12"/>
      <c r="C1329" s="13"/>
      <c r="D1329" s="14"/>
      <c r="E1329" s="14"/>
      <c r="F1329" s="13"/>
      <c r="G1329" s="15"/>
      <c r="H1329" s="16" t="str">
        <f aca="false">IF(OR(D1329="",E1329="",E1329&lt;D1329),"",E1329-D1329+1)</f>
        <v/>
      </c>
      <c r="I1329" s="17" t="str">
        <f aca="false">IF(OR(H1329="",C1329=""),"",IF(F1329="İptal",0,H1329*IFERROR(INDEX(Ürünler!$B$5:$B$64,MATCH(C1329,Ürünler!$A$5:$A$64,0)),0)-G1329))</f>
        <v/>
      </c>
      <c r="J1329" s="18" t="str">
        <f aca="false">IF(OR(H1329="",C1329="",F1329="İptal"),"",IF(COUNTIFS($C$5:$C$1504,C1329,$D$5:$D$1504,"&lt;="&amp;E1329,$E$5:$E$1504,"&gt;="&amp;D1329,$F$5:$F$1504,"&lt;&gt;İptal")&gt;1,"Çakışıyor",""))</f>
        <v/>
      </c>
    </row>
    <row r="1330" customFormat="false" ht="15" hidden="false" customHeight="false" outlineLevel="0" collapsed="false">
      <c r="A1330" s="12"/>
      <c r="B1330" s="12"/>
      <c r="C1330" s="13"/>
      <c r="D1330" s="14"/>
      <c r="E1330" s="14"/>
      <c r="F1330" s="13"/>
      <c r="G1330" s="15"/>
      <c r="H1330" s="16" t="str">
        <f aca="false">IF(OR(D1330="",E1330="",E1330&lt;D1330),"",E1330-D1330+1)</f>
        <v/>
      </c>
      <c r="I1330" s="17" t="str">
        <f aca="false">IF(OR(H1330="",C1330=""),"",IF(F1330="İptal",0,H1330*IFERROR(INDEX(Ürünler!$B$5:$B$64,MATCH(C1330,Ürünler!$A$5:$A$64,0)),0)-G1330))</f>
        <v/>
      </c>
      <c r="J1330" s="18" t="str">
        <f aca="false">IF(OR(H1330="",C1330="",F1330="İptal"),"",IF(COUNTIFS($C$5:$C$1504,C1330,$D$5:$D$1504,"&lt;="&amp;E1330,$E$5:$E$1504,"&gt;="&amp;D1330,$F$5:$F$1504,"&lt;&gt;İptal")&gt;1,"Çakışıyor",""))</f>
        <v/>
      </c>
    </row>
    <row r="1331" customFormat="false" ht="15" hidden="false" customHeight="false" outlineLevel="0" collapsed="false">
      <c r="A1331" s="12"/>
      <c r="B1331" s="12"/>
      <c r="C1331" s="13"/>
      <c r="D1331" s="14"/>
      <c r="E1331" s="14"/>
      <c r="F1331" s="13"/>
      <c r="G1331" s="15"/>
      <c r="H1331" s="16" t="str">
        <f aca="false">IF(OR(D1331="",E1331="",E1331&lt;D1331),"",E1331-D1331+1)</f>
        <v/>
      </c>
      <c r="I1331" s="17" t="str">
        <f aca="false">IF(OR(H1331="",C1331=""),"",IF(F1331="İptal",0,H1331*IFERROR(INDEX(Ürünler!$B$5:$B$64,MATCH(C1331,Ürünler!$A$5:$A$64,0)),0)-G1331))</f>
        <v/>
      </c>
      <c r="J1331" s="18" t="str">
        <f aca="false">IF(OR(H1331="",C1331="",F1331="İptal"),"",IF(COUNTIFS($C$5:$C$1504,C1331,$D$5:$D$1504,"&lt;="&amp;E1331,$E$5:$E$1504,"&gt;="&amp;D1331,$F$5:$F$1504,"&lt;&gt;İptal")&gt;1,"Çakışıyor",""))</f>
        <v/>
      </c>
    </row>
    <row r="1332" customFormat="false" ht="15" hidden="false" customHeight="false" outlineLevel="0" collapsed="false">
      <c r="A1332" s="12"/>
      <c r="B1332" s="12"/>
      <c r="C1332" s="13"/>
      <c r="D1332" s="14"/>
      <c r="E1332" s="14"/>
      <c r="F1332" s="13"/>
      <c r="G1332" s="15"/>
      <c r="H1332" s="16" t="str">
        <f aca="false">IF(OR(D1332="",E1332="",E1332&lt;D1332),"",E1332-D1332+1)</f>
        <v/>
      </c>
      <c r="I1332" s="17" t="str">
        <f aca="false">IF(OR(H1332="",C1332=""),"",IF(F1332="İptal",0,H1332*IFERROR(INDEX(Ürünler!$B$5:$B$64,MATCH(C1332,Ürünler!$A$5:$A$64,0)),0)-G1332))</f>
        <v/>
      </c>
      <c r="J1332" s="18" t="str">
        <f aca="false">IF(OR(H1332="",C1332="",F1332="İptal"),"",IF(COUNTIFS($C$5:$C$1504,C1332,$D$5:$D$1504,"&lt;="&amp;E1332,$E$5:$E$1504,"&gt;="&amp;D1332,$F$5:$F$1504,"&lt;&gt;İptal")&gt;1,"Çakışıyor",""))</f>
        <v/>
      </c>
    </row>
    <row r="1333" customFormat="false" ht="15" hidden="false" customHeight="false" outlineLevel="0" collapsed="false">
      <c r="A1333" s="12"/>
      <c r="B1333" s="12"/>
      <c r="C1333" s="13"/>
      <c r="D1333" s="14"/>
      <c r="E1333" s="14"/>
      <c r="F1333" s="13"/>
      <c r="G1333" s="15"/>
      <c r="H1333" s="16" t="str">
        <f aca="false">IF(OR(D1333="",E1333="",E1333&lt;D1333),"",E1333-D1333+1)</f>
        <v/>
      </c>
      <c r="I1333" s="17" t="str">
        <f aca="false">IF(OR(H1333="",C1333=""),"",IF(F1333="İptal",0,H1333*IFERROR(INDEX(Ürünler!$B$5:$B$64,MATCH(C1333,Ürünler!$A$5:$A$64,0)),0)-G1333))</f>
        <v/>
      </c>
      <c r="J1333" s="18" t="str">
        <f aca="false">IF(OR(H1333="",C1333="",F1333="İptal"),"",IF(COUNTIFS($C$5:$C$1504,C1333,$D$5:$D$1504,"&lt;="&amp;E1333,$E$5:$E$1504,"&gt;="&amp;D1333,$F$5:$F$1504,"&lt;&gt;İptal")&gt;1,"Çakışıyor",""))</f>
        <v/>
      </c>
    </row>
    <row r="1334" customFormat="false" ht="15" hidden="false" customHeight="false" outlineLevel="0" collapsed="false">
      <c r="A1334" s="12"/>
      <c r="B1334" s="12"/>
      <c r="C1334" s="13"/>
      <c r="D1334" s="14"/>
      <c r="E1334" s="14"/>
      <c r="F1334" s="13"/>
      <c r="G1334" s="15"/>
      <c r="H1334" s="16" t="str">
        <f aca="false">IF(OR(D1334="",E1334="",E1334&lt;D1334),"",E1334-D1334+1)</f>
        <v/>
      </c>
      <c r="I1334" s="17" t="str">
        <f aca="false">IF(OR(H1334="",C1334=""),"",IF(F1334="İptal",0,H1334*IFERROR(INDEX(Ürünler!$B$5:$B$64,MATCH(C1334,Ürünler!$A$5:$A$64,0)),0)-G1334))</f>
        <v/>
      </c>
      <c r="J1334" s="18" t="str">
        <f aca="false">IF(OR(H1334="",C1334="",F1334="İptal"),"",IF(COUNTIFS($C$5:$C$1504,C1334,$D$5:$D$1504,"&lt;="&amp;E1334,$E$5:$E$1504,"&gt;="&amp;D1334,$F$5:$F$1504,"&lt;&gt;İptal")&gt;1,"Çakışıyor",""))</f>
        <v/>
      </c>
    </row>
    <row r="1335" customFormat="false" ht="15" hidden="false" customHeight="false" outlineLevel="0" collapsed="false">
      <c r="A1335" s="12"/>
      <c r="B1335" s="12"/>
      <c r="C1335" s="13"/>
      <c r="D1335" s="14"/>
      <c r="E1335" s="14"/>
      <c r="F1335" s="13"/>
      <c r="G1335" s="15"/>
      <c r="H1335" s="16" t="str">
        <f aca="false">IF(OR(D1335="",E1335="",E1335&lt;D1335),"",E1335-D1335+1)</f>
        <v/>
      </c>
      <c r="I1335" s="17" t="str">
        <f aca="false">IF(OR(H1335="",C1335=""),"",IF(F1335="İptal",0,H1335*IFERROR(INDEX(Ürünler!$B$5:$B$64,MATCH(C1335,Ürünler!$A$5:$A$64,0)),0)-G1335))</f>
        <v/>
      </c>
      <c r="J1335" s="18" t="str">
        <f aca="false">IF(OR(H1335="",C1335="",F1335="İptal"),"",IF(COUNTIFS($C$5:$C$1504,C1335,$D$5:$D$1504,"&lt;="&amp;E1335,$E$5:$E$1504,"&gt;="&amp;D1335,$F$5:$F$1504,"&lt;&gt;İptal")&gt;1,"Çakışıyor",""))</f>
        <v/>
      </c>
    </row>
    <row r="1336" customFormat="false" ht="15" hidden="false" customHeight="false" outlineLevel="0" collapsed="false">
      <c r="A1336" s="12"/>
      <c r="B1336" s="12"/>
      <c r="C1336" s="13"/>
      <c r="D1336" s="14"/>
      <c r="E1336" s="14"/>
      <c r="F1336" s="13"/>
      <c r="G1336" s="15"/>
      <c r="H1336" s="16" t="str">
        <f aca="false">IF(OR(D1336="",E1336="",E1336&lt;D1336),"",E1336-D1336+1)</f>
        <v/>
      </c>
      <c r="I1336" s="17" t="str">
        <f aca="false">IF(OR(H1336="",C1336=""),"",IF(F1336="İptal",0,H1336*IFERROR(INDEX(Ürünler!$B$5:$B$64,MATCH(C1336,Ürünler!$A$5:$A$64,0)),0)-G1336))</f>
        <v/>
      </c>
      <c r="J1336" s="18" t="str">
        <f aca="false">IF(OR(H1336="",C1336="",F1336="İptal"),"",IF(COUNTIFS($C$5:$C$1504,C1336,$D$5:$D$1504,"&lt;="&amp;E1336,$E$5:$E$1504,"&gt;="&amp;D1336,$F$5:$F$1504,"&lt;&gt;İptal")&gt;1,"Çakışıyor",""))</f>
        <v/>
      </c>
    </row>
    <row r="1337" customFormat="false" ht="15" hidden="false" customHeight="false" outlineLevel="0" collapsed="false">
      <c r="A1337" s="12"/>
      <c r="B1337" s="12"/>
      <c r="C1337" s="13"/>
      <c r="D1337" s="14"/>
      <c r="E1337" s="14"/>
      <c r="F1337" s="13"/>
      <c r="G1337" s="15"/>
      <c r="H1337" s="16" t="str">
        <f aca="false">IF(OR(D1337="",E1337="",E1337&lt;D1337),"",E1337-D1337+1)</f>
        <v/>
      </c>
      <c r="I1337" s="17" t="str">
        <f aca="false">IF(OR(H1337="",C1337=""),"",IF(F1337="İptal",0,H1337*IFERROR(INDEX(Ürünler!$B$5:$B$64,MATCH(C1337,Ürünler!$A$5:$A$64,0)),0)-G1337))</f>
        <v/>
      </c>
      <c r="J1337" s="18" t="str">
        <f aca="false">IF(OR(H1337="",C1337="",F1337="İptal"),"",IF(COUNTIFS($C$5:$C$1504,C1337,$D$5:$D$1504,"&lt;="&amp;E1337,$E$5:$E$1504,"&gt;="&amp;D1337,$F$5:$F$1504,"&lt;&gt;İptal")&gt;1,"Çakışıyor",""))</f>
        <v/>
      </c>
    </row>
    <row r="1338" customFormat="false" ht="15" hidden="false" customHeight="false" outlineLevel="0" collapsed="false">
      <c r="A1338" s="12"/>
      <c r="B1338" s="12"/>
      <c r="C1338" s="13"/>
      <c r="D1338" s="14"/>
      <c r="E1338" s="14"/>
      <c r="F1338" s="13"/>
      <c r="G1338" s="15"/>
      <c r="H1338" s="16" t="str">
        <f aca="false">IF(OR(D1338="",E1338="",E1338&lt;D1338),"",E1338-D1338+1)</f>
        <v/>
      </c>
      <c r="I1338" s="17" t="str">
        <f aca="false">IF(OR(H1338="",C1338=""),"",IF(F1338="İptal",0,H1338*IFERROR(INDEX(Ürünler!$B$5:$B$64,MATCH(C1338,Ürünler!$A$5:$A$64,0)),0)-G1338))</f>
        <v/>
      </c>
      <c r="J1338" s="18" t="str">
        <f aca="false">IF(OR(H1338="",C1338="",F1338="İptal"),"",IF(COUNTIFS($C$5:$C$1504,C1338,$D$5:$D$1504,"&lt;="&amp;E1338,$E$5:$E$1504,"&gt;="&amp;D1338,$F$5:$F$1504,"&lt;&gt;İptal")&gt;1,"Çakışıyor",""))</f>
        <v/>
      </c>
    </row>
    <row r="1339" customFormat="false" ht="15" hidden="false" customHeight="false" outlineLevel="0" collapsed="false">
      <c r="A1339" s="12"/>
      <c r="B1339" s="12"/>
      <c r="C1339" s="13"/>
      <c r="D1339" s="14"/>
      <c r="E1339" s="14"/>
      <c r="F1339" s="13"/>
      <c r="G1339" s="15"/>
      <c r="H1339" s="16" t="str">
        <f aca="false">IF(OR(D1339="",E1339="",E1339&lt;D1339),"",E1339-D1339+1)</f>
        <v/>
      </c>
      <c r="I1339" s="17" t="str">
        <f aca="false">IF(OR(H1339="",C1339=""),"",IF(F1339="İptal",0,H1339*IFERROR(INDEX(Ürünler!$B$5:$B$64,MATCH(C1339,Ürünler!$A$5:$A$64,0)),0)-G1339))</f>
        <v/>
      </c>
      <c r="J1339" s="18" t="str">
        <f aca="false">IF(OR(H1339="",C1339="",F1339="İptal"),"",IF(COUNTIFS($C$5:$C$1504,C1339,$D$5:$D$1504,"&lt;="&amp;E1339,$E$5:$E$1504,"&gt;="&amp;D1339,$F$5:$F$1504,"&lt;&gt;İptal")&gt;1,"Çakışıyor",""))</f>
        <v/>
      </c>
    </row>
    <row r="1340" customFormat="false" ht="15" hidden="false" customHeight="false" outlineLevel="0" collapsed="false">
      <c r="A1340" s="12"/>
      <c r="B1340" s="12"/>
      <c r="C1340" s="13"/>
      <c r="D1340" s="14"/>
      <c r="E1340" s="14"/>
      <c r="F1340" s="13"/>
      <c r="G1340" s="15"/>
      <c r="H1340" s="16" t="str">
        <f aca="false">IF(OR(D1340="",E1340="",E1340&lt;D1340),"",E1340-D1340+1)</f>
        <v/>
      </c>
      <c r="I1340" s="17" t="str">
        <f aca="false">IF(OR(H1340="",C1340=""),"",IF(F1340="İptal",0,H1340*IFERROR(INDEX(Ürünler!$B$5:$B$64,MATCH(C1340,Ürünler!$A$5:$A$64,0)),0)-G1340))</f>
        <v/>
      </c>
      <c r="J1340" s="18" t="str">
        <f aca="false">IF(OR(H1340="",C1340="",F1340="İptal"),"",IF(COUNTIFS($C$5:$C$1504,C1340,$D$5:$D$1504,"&lt;="&amp;E1340,$E$5:$E$1504,"&gt;="&amp;D1340,$F$5:$F$1504,"&lt;&gt;İptal")&gt;1,"Çakışıyor",""))</f>
        <v/>
      </c>
    </row>
    <row r="1341" customFormat="false" ht="15" hidden="false" customHeight="false" outlineLevel="0" collapsed="false">
      <c r="A1341" s="12"/>
      <c r="B1341" s="12"/>
      <c r="C1341" s="13"/>
      <c r="D1341" s="14"/>
      <c r="E1341" s="14"/>
      <c r="F1341" s="13"/>
      <c r="G1341" s="15"/>
      <c r="H1341" s="16" t="str">
        <f aca="false">IF(OR(D1341="",E1341="",E1341&lt;D1341),"",E1341-D1341+1)</f>
        <v/>
      </c>
      <c r="I1341" s="17" t="str">
        <f aca="false">IF(OR(H1341="",C1341=""),"",IF(F1341="İptal",0,H1341*IFERROR(INDEX(Ürünler!$B$5:$B$64,MATCH(C1341,Ürünler!$A$5:$A$64,0)),0)-G1341))</f>
        <v/>
      </c>
      <c r="J1341" s="18" t="str">
        <f aca="false">IF(OR(H1341="",C1341="",F1341="İptal"),"",IF(COUNTIFS($C$5:$C$1504,C1341,$D$5:$D$1504,"&lt;="&amp;E1341,$E$5:$E$1504,"&gt;="&amp;D1341,$F$5:$F$1504,"&lt;&gt;İptal")&gt;1,"Çakışıyor",""))</f>
        <v/>
      </c>
    </row>
    <row r="1342" customFormat="false" ht="15" hidden="false" customHeight="false" outlineLevel="0" collapsed="false">
      <c r="A1342" s="12"/>
      <c r="B1342" s="12"/>
      <c r="C1342" s="13"/>
      <c r="D1342" s="14"/>
      <c r="E1342" s="14"/>
      <c r="F1342" s="13"/>
      <c r="G1342" s="15"/>
      <c r="H1342" s="16" t="str">
        <f aca="false">IF(OR(D1342="",E1342="",E1342&lt;D1342),"",E1342-D1342+1)</f>
        <v/>
      </c>
      <c r="I1342" s="17" t="str">
        <f aca="false">IF(OR(H1342="",C1342=""),"",IF(F1342="İptal",0,H1342*IFERROR(INDEX(Ürünler!$B$5:$B$64,MATCH(C1342,Ürünler!$A$5:$A$64,0)),0)-G1342))</f>
        <v/>
      </c>
      <c r="J1342" s="18" t="str">
        <f aca="false">IF(OR(H1342="",C1342="",F1342="İptal"),"",IF(COUNTIFS($C$5:$C$1504,C1342,$D$5:$D$1504,"&lt;="&amp;E1342,$E$5:$E$1504,"&gt;="&amp;D1342,$F$5:$F$1504,"&lt;&gt;İptal")&gt;1,"Çakışıyor",""))</f>
        <v/>
      </c>
    </row>
    <row r="1343" customFormat="false" ht="15" hidden="false" customHeight="false" outlineLevel="0" collapsed="false">
      <c r="A1343" s="12"/>
      <c r="B1343" s="12"/>
      <c r="C1343" s="13"/>
      <c r="D1343" s="14"/>
      <c r="E1343" s="14"/>
      <c r="F1343" s="13"/>
      <c r="G1343" s="15"/>
      <c r="H1343" s="16" t="str">
        <f aca="false">IF(OR(D1343="",E1343="",E1343&lt;D1343),"",E1343-D1343+1)</f>
        <v/>
      </c>
      <c r="I1343" s="17" t="str">
        <f aca="false">IF(OR(H1343="",C1343=""),"",IF(F1343="İptal",0,H1343*IFERROR(INDEX(Ürünler!$B$5:$B$64,MATCH(C1343,Ürünler!$A$5:$A$64,0)),0)-G1343))</f>
        <v/>
      </c>
      <c r="J1343" s="18" t="str">
        <f aca="false">IF(OR(H1343="",C1343="",F1343="İptal"),"",IF(COUNTIFS($C$5:$C$1504,C1343,$D$5:$D$1504,"&lt;="&amp;E1343,$E$5:$E$1504,"&gt;="&amp;D1343,$F$5:$F$1504,"&lt;&gt;İptal")&gt;1,"Çakışıyor",""))</f>
        <v/>
      </c>
    </row>
    <row r="1344" customFormat="false" ht="15" hidden="false" customHeight="false" outlineLevel="0" collapsed="false">
      <c r="A1344" s="12"/>
      <c r="B1344" s="12"/>
      <c r="C1344" s="13"/>
      <c r="D1344" s="14"/>
      <c r="E1344" s="14"/>
      <c r="F1344" s="13"/>
      <c r="G1344" s="15"/>
      <c r="H1344" s="16" t="str">
        <f aca="false">IF(OR(D1344="",E1344="",E1344&lt;D1344),"",E1344-D1344+1)</f>
        <v/>
      </c>
      <c r="I1344" s="17" t="str">
        <f aca="false">IF(OR(H1344="",C1344=""),"",IF(F1344="İptal",0,H1344*IFERROR(INDEX(Ürünler!$B$5:$B$64,MATCH(C1344,Ürünler!$A$5:$A$64,0)),0)-G1344))</f>
        <v/>
      </c>
      <c r="J1344" s="18" t="str">
        <f aca="false">IF(OR(H1344="",C1344="",F1344="İptal"),"",IF(COUNTIFS($C$5:$C$1504,C1344,$D$5:$D$1504,"&lt;="&amp;E1344,$E$5:$E$1504,"&gt;="&amp;D1344,$F$5:$F$1504,"&lt;&gt;İptal")&gt;1,"Çakışıyor",""))</f>
        <v/>
      </c>
    </row>
    <row r="1345" customFormat="false" ht="15" hidden="false" customHeight="false" outlineLevel="0" collapsed="false">
      <c r="A1345" s="12"/>
      <c r="B1345" s="12"/>
      <c r="C1345" s="13"/>
      <c r="D1345" s="14"/>
      <c r="E1345" s="14"/>
      <c r="F1345" s="13"/>
      <c r="G1345" s="15"/>
      <c r="H1345" s="16" t="str">
        <f aca="false">IF(OR(D1345="",E1345="",E1345&lt;D1345),"",E1345-D1345+1)</f>
        <v/>
      </c>
      <c r="I1345" s="17" t="str">
        <f aca="false">IF(OR(H1345="",C1345=""),"",IF(F1345="İptal",0,H1345*IFERROR(INDEX(Ürünler!$B$5:$B$64,MATCH(C1345,Ürünler!$A$5:$A$64,0)),0)-G1345))</f>
        <v/>
      </c>
      <c r="J1345" s="18" t="str">
        <f aca="false">IF(OR(H1345="",C1345="",F1345="İptal"),"",IF(COUNTIFS($C$5:$C$1504,C1345,$D$5:$D$1504,"&lt;="&amp;E1345,$E$5:$E$1504,"&gt;="&amp;D1345,$F$5:$F$1504,"&lt;&gt;İptal")&gt;1,"Çakışıyor",""))</f>
        <v/>
      </c>
    </row>
    <row r="1346" customFormat="false" ht="15" hidden="false" customHeight="false" outlineLevel="0" collapsed="false">
      <c r="A1346" s="12"/>
      <c r="B1346" s="12"/>
      <c r="C1346" s="13"/>
      <c r="D1346" s="14"/>
      <c r="E1346" s="14"/>
      <c r="F1346" s="13"/>
      <c r="G1346" s="15"/>
      <c r="H1346" s="16" t="str">
        <f aca="false">IF(OR(D1346="",E1346="",E1346&lt;D1346),"",E1346-D1346+1)</f>
        <v/>
      </c>
      <c r="I1346" s="17" t="str">
        <f aca="false">IF(OR(H1346="",C1346=""),"",IF(F1346="İptal",0,H1346*IFERROR(INDEX(Ürünler!$B$5:$B$64,MATCH(C1346,Ürünler!$A$5:$A$64,0)),0)-G1346))</f>
        <v/>
      </c>
      <c r="J1346" s="18" t="str">
        <f aca="false">IF(OR(H1346="",C1346="",F1346="İptal"),"",IF(COUNTIFS($C$5:$C$1504,C1346,$D$5:$D$1504,"&lt;="&amp;E1346,$E$5:$E$1504,"&gt;="&amp;D1346,$F$5:$F$1504,"&lt;&gt;İptal")&gt;1,"Çakışıyor",""))</f>
        <v/>
      </c>
    </row>
    <row r="1347" customFormat="false" ht="15" hidden="false" customHeight="false" outlineLevel="0" collapsed="false">
      <c r="A1347" s="12"/>
      <c r="B1347" s="12"/>
      <c r="C1347" s="13"/>
      <c r="D1347" s="14"/>
      <c r="E1347" s="14"/>
      <c r="F1347" s="13"/>
      <c r="G1347" s="15"/>
      <c r="H1347" s="16" t="str">
        <f aca="false">IF(OR(D1347="",E1347="",E1347&lt;D1347),"",E1347-D1347+1)</f>
        <v/>
      </c>
      <c r="I1347" s="17" t="str">
        <f aca="false">IF(OR(H1347="",C1347=""),"",IF(F1347="İptal",0,H1347*IFERROR(INDEX(Ürünler!$B$5:$B$64,MATCH(C1347,Ürünler!$A$5:$A$64,0)),0)-G1347))</f>
        <v/>
      </c>
      <c r="J1347" s="18" t="str">
        <f aca="false">IF(OR(H1347="",C1347="",F1347="İptal"),"",IF(COUNTIFS($C$5:$C$1504,C1347,$D$5:$D$1504,"&lt;="&amp;E1347,$E$5:$E$1504,"&gt;="&amp;D1347,$F$5:$F$1504,"&lt;&gt;İptal")&gt;1,"Çakışıyor",""))</f>
        <v/>
      </c>
    </row>
    <row r="1348" customFormat="false" ht="15" hidden="false" customHeight="false" outlineLevel="0" collapsed="false">
      <c r="A1348" s="12"/>
      <c r="B1348" s="12"/>
      <c r="C1348" s="13"/>
      <c r="D1348" s="14"/>
      <c r="E1348" s="14"/>
      <c r="F1348" s="13"/>
      <c r="G1348" s="15"/>
      <c r="H1348" s="16" t="str">
        <f aca="false">IF(OR(D1348="",E1348="",E1348&lt;D1348),"",E1348-D1348+1)</f>
        <v/>
      </c>
      <c r="I1348" s="17" t="str">
        <f aca="false">IF(OR(H1348="",C1348=""),"",IF(F1348="İptal",0,H1348*IFERROR(INDEX(Ürünler!$B$5:$B$64,MATCH(C1348,Ürünler!$A$5:$A$64,0)),0)-G1348))</f>
        <v/>
      </c>
      <c r="J1348" s="18" t="str">
        <f aca="false">IF(OR(H1348="",C1348="",F1348="İptal"),"",IF(COUNTIFS($C$5:$C$1504,C1348,$D$5:$D$1504,"&lt;="&amp;E1348,$E$5:$E$1504,"&gt;="&amp;D1348,$F$5:$F$1504,"&lt;&gt;İptal")&gt;1,"Çakışıyor",""))</f>
        <v/>
      </c>
    </row>
    <row r="1349" customFormat="false" ht="15" hidden="false" customHeight="false" outlineLevel="0" collapsed="false">
      <c r="A1349" s="12"/>
      <c r="B1349" s="12"/>
      <c r="C1349" s="13"/>
      <c r="D1349" s="14"/>
      <c r="E1349" s="14"/>
      <c r="F1349" s="13"/>
      <c r="G1349" s="15"/>
      <c r="H1349" s="16" t="str">
        <f aca="false">IF(OR(D1349="",E1349="",E1349&lt;D1349),"",E1349-D1349+1)</f>
        <v/>
      </c>
      <c r="I1349" s="17" t="str">
        <f aca="false">IF(OR(H1349="",C1349=""),"",IF(F1349="İptal",0,H1349*IFERROR(INDEX(Ürünler!$B$5:$B$64,MATCH(C1349,Ürünler!$A$5:$A$64,0)),0)-G1349))</f>
        <v/>
      </c>
      <c r="J1349" s="18" t="str">
        <f aca="false">IF(OR(H1349="",C1349="",F1349="İptal"),"",IF(COUNTIFS($C$5:$C$1504,C1349,$D$5:$D$1504,"&lt;="&amp;E1349,$E$5:$E$1504,"&gt;="&amp;D1349,$F$5:$F$1504,"&lt;&gt;İptal")&gt;1,"Çakışıyor",""))</f>
        <v/>
      </c>
    </row>
    <row r="1350" customFormat="false" ht="15" hidden="false" customHeight="false" outlineLevel="0" collapsed="false">
      <c r="A1350" s="12"/>
      <c r="B1350" s="12"/>
      <c r="C1350" s="13"/>
      <c r="D1350" s="14"/>
      <c r="E1350" s="14"/>
      <c r="F1350" s="13"/>
      <c r="G1350" s="15"/>
      <c r="H1350" s="16" t="str">
        <f aca="false">IF(OR(D1350="",E1350="",E1350&lt;D1350),"",E1350-D1350+1)</f>
        <v/>
      </c>
      <c r="I1350" s="17" t="str">
        <f aca="false">IF(OR(H1350="",C1350=""),"",IF(F1350="İptal",0,H1350*IFERROR(INDEX(Ürünler!$B$5:$B$64,MATCH(C1350,Ürünler!$A$5:$A$64,0)),0)-G1350))</f>
        <v/>
      </c>
      <c r="J1350" s="18" t="str">
        <f aca="false">IF(OR(H1350="",C1350="",F1350="İptal"),"",IF(COUNTIFS($C$5:$C$1504,C1350,$D$5:$D$1504,"&lt;="&amp;E1350,$E$5:$E$1504,"&gt;="&amp;D1350,$F$5:$F$1504,"&lt;&gt;İptal")&gt;1,"Çakışıyor",""))</f>
        <v/>
      </c>
    </row>
    <row r="1351" customFormat="false" ht="15" hidden="false" customHeight="false" outlineLevel="0" collapsed="false">
      <c r="A1351" s="12"/>
      <c r="B1351" s="12"/>
      <c r="C1351" s="13"/>
      <c r="D1351" s="14"/>
      <c r="E1351" s="14"/>
      <c r="F1351" s="13"/>
      <c r="G1351" s="15"/>
      <c r="H1351" s="16" t="str">
        <f aca="false">IF(OR(D1351="",E1351="",E1351&lt;D1351),"",E1351-D1351+1)</f>
        <v/>
      </c>
      <c r="I1351" s="17" t="str">
        <f aca="false">IF(OR(H1351="",C1351=""),"",IF(F1351="İptal",0,H1351*IFERROR(INDEX(Ürünler!$B$5:$B$64,MATCH(C1351,Ürünler!$A$5:$A$64,0)),0)-G1351))</f>
        <v/>
      </c>
      <c r="J1351" s="18" t="str">
        <f aca="false">IF(OR(H1351="",C1351="",F1351="İptal"),"",IF(COUNTIFS($C$5:$C$1504,C1351,$D$5:$D$1504,"&lt;="&amp;E1351,$E$5:$E$1504,"&gt;="&amp;D1351,$F$5:$F$1504,"&lt;&gt;İptal")&gt;1,"Çakışıyor",""))</f>
        <v/>
      </c>
    </row>
    <row r="1352" customFormat="false" ht="15" hidden="false" customHeight="false" outlineLevel="0" collapsed="false">
      <c r="A1352" s="12"/>
      <c r="B1352" s="12"/>
      <c r="C1352" s="13"/>
      <c r="D1352" s="14"/>
      <c r="E1352" s="14"/>
      <c r="F1352" s="13"/>
      <c r="G1352" s="15"/>
      <c r="H1352" s="16" t="str">
        <f aca="false">IF(OR(D1352="",E1352="",E1352&lt;D1352),"",E1352-D1352+1)</f>
        <v/>
      </c>
      <c r="I1352" s="17" t="str">
        <f aca="false">IF(OR(H1352="",C1352=""),"",IF(F1352="İptal",0,H1352*IFERROR(INDEX(Ürünler!$B$5:$B$64,MATCH(C1352,Ürünler!$A$5:$A$64,0)),0)-G1352))</f>
        <v/>
      </c>
      <c r="J1352" s="18" t="str">
        <f aca="false">IF(OR(H1352="",C1352="",F1352="İptal"),"",IF(COUNTIFS($C$5:$C$1504,C1352,$D$5:$D$1504,"&lt;="&amp;E1352,$E$5:$E$1504,"&gt;="&amp;D1352,$F$5:$F$1504,"&lt;&gt;İptal")&gt;1,"Çakışıyor",""))</f>
        <v/>
      </c>
    </row>
    <row r="1353" customFormat="false" ht="15" hidden="false" customHeight="false" outlineLevel="0" collapsed="false">
      <c r="A1353" s="12"/>
      <c r="B1353" s="12"/>
      <c r="C1353" s="13"/>
      <c r="D1353" s="14"/>
      <c r="E1353" s="14"/>
      <c r="F1353" s="13"/>
      <c r="G1353" s="15"/>
      <c r="H1353" s="16" t="str">
        <f aca="false">IF(OR(D1353="",E1353="",E1353&lt;D1353),"",E1353-D1353+1)</f>
        <v/>
      </c>
      <c r="I1353" s="17" t="str">
        <f aca="false">IF(OR(H1353="",C1353=""),"",IF(F1353="İptal",0,H1353*IFERROR(INDEX(Ürünler!$B$5:$B$64,MATCH(C1353,Ürünler!$A$5:$A$64,0)),0)-G1353))</f>
        <v/>
      </c>
      <c r="J1353" s="18" t="str">
        <f aca="false">IF(OR(H1353="",C1353="",F1353="İptal"),"",IF(COUNTIFS($C$5:$C$1504,C1353,$D$5:$D$1504,"&lt;="&amp;E1353,$E$5:$E$1504,"&gt;="&amp;D1353,$F$5:$F$1504,"&lt;&gt;İptal")&gt;1,"Çakışıyor",""))</f>
        <v/>
      </c>
    </row>
    <row r="1354" customFormat="false" ht="15" hidden="false" customHeight="false" outlineLevel="0" collapsed="false">
      <c r="A1354" s="12"/>
      <c r="B1354" s="12"/>
      <c r="C1354" s="13"/>
      <c r="D1354" s="14"/>
      <c r="E1354" s="14"/>
      <c r="F1354" s="13"/>
      <c r="G1354" s="15"/>
      <c r="H1354" s="16" t="str">
        <f aca="false">IF(OR(D1354="",E1354="",E1354&lt;D1354),"",E1354-D1354+1)</f>
        <v/>
      </c>
      <c r="I1354" s="17" t="str">
        <f aca="false">IF(OR(H1354="",C1354=""),"",IF(F1354="İptal",0,H1354*IFERROR(INDEX(Ürünler!$B$5:$B$64,MATCH(C1354,Ürünler!$A$5:$A$64,0)),0)-G1354))</f>
        <v/>
      </c>
      <c r="J1354" s="18" t="str">
        <f aca="false">IF(OR(H1354="",C1354="",F1354="İptal"),"",IF(COUNTIFS($C$5:$C$1504,C1354,$D$5:$D$1504,"&lt;="&amp;E1354,$E$5:$E$1504,"&gt;="&amp;D1354,$F$5:$F$1504,"&lt;&gt;İptal")&gt;1,"Çakışıyor",""))</f>
        <v/>
      </c>
    </row>
    <row r="1355" customFormat="false" ht="15" hidden="false" customHeight="false" outlineLevel="0" collapsed="false">
      <c r="A1355" s="12"/>
      <c r="B1355" s="12"/>
      <c r="C1355" s="13"/>
      <c r="D1355" s="14"/>
      <c r="E1355" s="14"/>
      <c r="F1355" s="13"/>
      <c r="G1355" s="15"/>
      <c r="H1355" s="16" t="str">
        <f aca="false">IF(OR(D1355="",E1355="",E1355&lt;D1355),"",E1355-D1355+1)</f>
        <v/>
      </c>
      <c r="I1355" s="17" t="str">
        <f aca="false">IF(OR(H1355="",C1355=""),"",IF(F1355="İptal",0,H1355*IFERROR(INDEX(Ürünler!$B$5:$B$64,MATCH(C1355,Ürünler!$A$5:$A$64,0)),0)-G1355))</f>
        <v/>
      </c>
      <c r="J1355" s="18" t="str">
        <f aca="false">IF(OR(H1355="",C1355="",F1355="İptal"),"",IF(COUNTIFS($C$5:$C$1504,C1355,$D$5:$D$1504,"&lt;="&amp;E1355,$E$5:$E$1504,"&gt;="&amp;D1355,$F$5:$F$1504,"&lt;&gt;İptal")&gt;1,"Çakışıyor",""))</f>
        <v/>
      </c>
    </row>
    <row r="1356" customFormat="false" ht="15" hidden="false" customHeight="false" outlineLevel="0" collapsed="false">
      <c r="A1356" s="12"/>
      <c r="B1356" s="12"/>
      <c r="C1356" s="13"/>
      <c r="D1356" s="14"/>
      <c r="E1356" s="14"/>
      <c r="F1356" s="13"/>
      <c r="G1356" s="15"/>
      <c r="H1356" s="16" t="str">
        <f aca="false">IF(OR(D1356="",E1356="",E1356&lt;D1356),"",E1356-D1356+1)</f>
        <v/>
      </c>
      <c r="I1356" s="17" t="str">
        <f aca="false">IF(OR(H1356="",C1356=""),"",IF(F1356="İptal",0,H1356*IFERROR(INDEX(Ürünler!$B$5:$B$64,MATCH(C1356,Ürünler!$A$5:$A$64,0)),0)-G1356))</f>
        <v/>
      </c>
      <c r="J1356" s="18" t="str">
        <f aca="false">IF(OR(H1356="",C1356="",F1356="İptal"),"",IF(COUNTIFS($C$5:$C$1504,C1356,$D$5:$D$1504,"&lt;="&amp;E1356,$E$5:$E$1504,"&gt;="&amp;D1356,$F$5:$F$1504,"&lt;&gt;İptal")&gt;1,"Çakışıyor",""))</f>
        <v/>
      </c>
    </row>
    <row r="1357" customFormat="false" ht="15" hidden="false" customHeight="false" outlineLevel="0" collapsed="false">
      <c r="A1357" s="12"/>
      <c r="B1357" s="12"/>
      <c r="C1357" s="13"/>
      <c r="D1357" s="14"/>
      <c r="E1357" s="14"/>
      <c r="F1357" s="13"/>
      <c r="G1357" s="15"/>
      <c r="H1357" s="16" t="str">
        <f aca="false">IF(OR(D1357="",E1357="",E1357&lt;D1357),"",E1357-D1357+1)</f>
        <v/>
      </c>
      <c r="I1357" s="17" t="str">
        <f aca="false">IF(OR(H1357="",C1357=""),"",IF(F1357="İptal",0,H1357*IFERROR(INDEX(Ürünler!$B$5:$B$64,MATCH(C1357,Ürünler!$A$5:$A$64,0)),0)-G1357))</f>
        <v/>
      </c>
      <c r="J1357" s="18" t="str">
        <f aca="false">IF(OR(H1357="",C1357="",F1357="İptal"),"",IF(COUNTIFS($C$5:$C$1504,C1357,$D$5:$D$1504,"&lt;="&amp;E1357,$E$5:$E$1504,"&gt;="&amp;D1357,$F$5:$F$1504,"&lt;&gt;İptal")&gt;1,"Çakışıyor",""))</f>
        <v/>
      </c>
    </row>
    <row r="1358" customFormat="false" ht="15" hidden="false" customHeight="false" outlineLevel="0" collapsed="false">
      <c r="A1358" s="12"/>
      <c r="B1358" s="12"/>
      <c r="C1358" s="13"/>
      <c r="D1358" s="14"/>
      <c r="E1358" s="14"/>
      <c r="F1358" s="13"/>
      <c r="G1358" s="15"/>
      <c r="H1358" s="16" t="str">
        <f aca="false">IF(OR(D1358="",E1358="",E1358&lt;D1358),"",E1358-D1358+1)</f>
        <v/>
      </c>
      <c r="I1358" s="17" t="str">
        <f aca="false">IF(OR(H1358="",C1358=""),"",IF(F1358="İptal",0,H1358*IFERROR(INDEX(Ürünler!$B$5:$B$64,MATCH(C1358,Ürünler!$A$5:$A$64,0)),0)-G1358))</f>
        <v/>
      </c>
      <c r="J1358" s="18" t="str">
        <f aca="false">IF(OR(H1358="",C1358="",F1358="İptal"),"",IF(COUNTIFS($C$5:$C$1504,C1358,$D$5:$D$1504,"&lt;="&amp;E1358,$E$5:$E$1504,"&gt;="&amp;D1358,$F$5:$F$1504,"&lt;&gt;İptal")&gt;1,"Çakışıyor",""))</f>
        <v/>
      </c>
    </row>
    <row r="1359" customFormat="false" ht="15" hidden="false" customHeight="false" outlineLevel="0" collapsed="false">
      <c r="A1359" s="12"/>
      <c r="B1359" s="12"/>
      <c r="C1359" s="13"/>
      <c r="D1359" s="14"/>
      <c r="E1359" s="14"/>
      <c r="F1359" s="13"/>
      <c r="G1359" s="15"/>
      <c r="H1359" s="16" t="str">
        <f aca="false">IF(OR(D1359="",E1359="",E1359&lt;D1359),"",E1359-D1359+1)</f>
        <v/>
      </c>
      <c r="I1359" s="17" t="str">
        <f aca="false">IF(OR(H1359="",C1359=""),"",IF(F1359="İptal",0,H1359*IFERROR(INDEX(Ürünler!$B$5:$B$64,MATCH(C1359,Ürünler!$A$5:$A$64,0)),0)-G1359))</f>
        <v/>
      </c>
      <c r="J1359" s="18" t="str">
        <f aca="false">IF(OR(H1359="",C1359="",F1359="İptal"),"",IF(COUNTIFS($C$5:$C$1504,C1359,$D$5:$D$1504,"&lt;="&amp;E1359,$E$5:$E$1504,"&gt;="&amp;D1359,$F$5:$F$1504,"&lt;&gt;İptal")&gt;1,"Çakışıyor",""))</f>
        <v/>
      </c>
    </row>
    <row r="1360" customFormat="false" ht="15" hidden="false" customHeight="false" outlineLevel="0" collapsed="false">
      <c r="A1360" s="12"/>
      <c r="B1360" s="12"/>
      <c r="C1360" s="13"/>
      <c r="D1360" s="14"/>
      <c r="E1360" s="14"/>
      <c r="F1360" s="13"/>
      <c r="G1360" s="15"/>
      <c r="H1360" s="16" t="str">
        <f aca="false">IF(OR(D1360="",E1360="",E1360&lt;D1360),"",E1360-D1360+1)</f>
        <v/>
      </c>
      <c r="I1360" s="17" t="str">
        <f aca="false">IF(OR(H1360="",C1360=""),"",IF(F1360="İptal",0,H1360*IFERROR(INDEX(Ürünler!$B$5:$B$64,MATCH(C1360,Ürünler!$A$5:$A$64,0)),0)-G1360))</f>
        <v/>
      </c>
      <c r="J1360" s="18" t="str">
        <f aca="false">IF(OR(H1360="",C1360="",F1360="İptal"),"",IF(COUNTIFS($C$5:$C$1504,C1360,$D$5:$D$1504,"&lt;="&amp;E1360,$E$5:$E$1504,"&gt;="&amp;D1360,$F$5:$F$1504,"&lt;&gt;İptal")&gt;1,"Çakışıyor",""))</f>
        <v/>
      </c>
    </row>
    <row r="1361" customFormat="false" ht="15" hidden="false" customHeight="false" outlineLevel="0" collapsed="false">
      <c r="A1361" s="12"/>
      <c r="B1361" s="12"/>
      <c r="C1361" s="13"/>
      <c r="D1361" s="14"/>
      <c r="E1361" s="14"/>
      <c r="F1361" s="13"/>
      <c r="G1361" s="15"/>
      <c r="H1361" s="16" t="str">
        <f aca="false">IF(OR(D1361="",E1361="",E1361&lt;D1361),"",E1361-D1361+1)</f>
        <v/>
      </c>
      <c r="I1361" s="17" t="str">
        <f aca="false">IF(OR(H1361="",C1361=""),"",IF(F1361="İptal",0,H1361*IFERROR(INDEX(Ürünler!$B$5:$B$64,MATCH(C1361,Ürünler!$A$5:$A$64,0)),0)-G1361))</f>
        <v/>
      </c>
      <c r="J1361" s="18" t="str">
        <f aca="false">IF(OR(H1361="",C1361="",F1361="İptal"),"",IF(COUNTIFS($C$5:$C$1504,C1361,$D$5:$D$1504,"&lt;="&amp;E1361,$E$5:$E$1504,"&gt;="&amp;D1361,$F$5:$F$1504,"&lt;&gt;İptal")&gt;1,"Çakışıyor",""))</f>
        <v/>
      </c>
    </row>
    <row r="1362" customFormat="false" ht="15" hidden="false" customHeight="false" outlineLevel="0" collapsed="false">
      <c r="A1362" s="12"/>
      <c r="B1362" s="12"/>
      <c r="C1362" s="13"/>
      <c r="D1362" s="14"/>
      <c r="E1362" s="14"/>
      <c r="F1362" s="13"/>
      <c r="G1362" s="15"/>
      <c r="H1362" s="16" t="str">
        <f aca="false">IF(OR(D1362="",E1362="",E1362&lt;D1362),"",E1362-D1362+1)</f>
        <v/>
      </c>
      <c r="I1362" s="17" t="str">
        <f aca="false">IF(OR(H1362="",C1362=""),"",IF(F1362="İptal",0,H1362*IFERROR(INDEX(Ürünler!$B$5:$B$64,MATCH(C1362,Ürünler!$A$5:$A$64,0)),0)-G1362))</f>
        <v/>
      </c>
      <c r="J1362" s="18" t="str">
        <f aca="false">IF(OR(H1362="",C1362="",F1362="İptal"),"",IF(COUNTIFS($C$5:$C$1504,C1362,$D$5:$D$1504,"&lt;="&amp;E1362,$E$5:$E$1504,"&gt;="&amp;D1362,$F$5:$F$1504,"&lt;&gt;İptal")&gt;1,"Çakışıyor",""))</f>
        <v/>
      </c>
    </row>
    <row r="1363" customFormat="false" ht="15" hidden="false" customHeight="false" outlineLevel="0" collapsed="false">
      <c r="A1363" s="12"/>
      <c r="B1363" s="12"/>
      <c r="C1363" s="13"/>
      <c r="D1363" s="14"/>
      <c r="E1363" s="14"/>
      <c r="F1363" s="13"/>
      <c r="G1363" s="15"/>
      <c r="H1363" s="16" t="str">
        <f aca="false">IF(OR(D1363="",E1363="",E1363&lt;D1363),"",E1363-D1363+1)</f>
        <v/>
      </c>
      <c r="I1363" s="17" t="str">
        <f aca="false">IF(OR(H1363="",C1363=""),"",IF(F1363="İptal",0,H1363*IFERROR(INDEX(Ürünler!$B$5:$B$64,MATCH(C1363,Ürünler!$A$5:$A$64,0)),0)-G1363))</f>
        <v/>
      </c>
      <c r="J1363" s="18" t="str">
        <f aca="false">IF(OR(H1363="",C1363="",F1363="İptal"),"",IF(COUNTIFS($C$5:$C$1504,C1363,$D$5:$D$1504,"&lt;="&amp;E1363,$E$5:$E$1504,"&gt;="&amp;D1363,$F$5:$F$1504,"&lt;&gt;İptal")&gt;1,"Çakışıyor",""))</f>
        <v/>
      </c>
    </row>
    <row r="1364" customFormat="false" ht="15" hidden="false" customHeight="false" outlineLevel="0" collapsed="false">
      <c r="A1364" s="12"/>
      <c r="B1364" s="12"/>
      <c r="C1364" s="13"/>
      <c r="D1364" s="14"/>
      <c r="E1364" s="14"/>
      <c r="F1364" s="13"/>
      <c r="G1364" s="15"/>
      <c r="H1364" s="16" t="str">
        <f aca="false">IF(OR(D1364="",E1364="",E1364&lt;D1364),"",E1364-D1364+1)</f>
        <v/>
      </c>
      <c r="I1364" s="17" t="str">
        <f aca="false">IF(OR(H1364="",C1364=""),"",IF(F1364="İptal",0,H1364*IFERROR(INDEX(Ürünler!$B$5:$B$64,MATCH(C1364,Ürünler!$A$5:$A$64,0)),0)-G1364))</f>
        <v/>
      </c>
      <c r="J1364" s="18" t="str">
        <f aca="false">IF(OR(H1364="",C1364="",F1364="İptal"),"",IF(COUNTIFS($C$5:$C$1504,C1364,$D$5:$D$1504,"&lt;="&amp;E1364,$E$5:$E$1504,"&gt;="&amp;D1364,$F$5:$F$1504,"&lt;&gt;İptal")&gt;1,"Çakışıyor",""))</f>
        <v/>
      </c>
    </row>
    <row r="1365" customFormat="false" ht="15" hidden="false" customHeight="false" outlineLevel="0" collapsed="false">
      <c r="A1365" s="12"/>
      <c r="B1365" s="12"/>
      <c r="C1365" s="13"/>
      <c r="D1365" s="14"/>
      <c r="E1365" s="14"/>
      <c r="F1365" s="13"/>
      <c r="G1365" s="15"/>
      <c r="H1365" s="16" t="str">
        <f aca="false">IF(OR(D1365="",E1365="",E1365&lt;D1365),"",E1365-D1365+1)</f>
        <v/>
      </c>
      <c r="I1365" s="17" t="str">
        <f aca="false">IF(OR(H1365="",C1365=""),"",IF(F1365="İptal",0,H1365*IFERROR(INDEX(Ürünler!$B$5:$B$64,MATCH(C1365,Ürünler!$A$5:$A$64,0)),0)-G1365))</f>
        <v/>
      </c>
      <c r="J1365" s="18" t="str">
        <f aca="false">IF(OR(H1365="",C1365="",F1365="İptal"),"",IF(COUNTIFS($C$5:$C$1504,C1365,$D$5:$D$1504,"&lt;="&amp;E1365,$E$5:$E$1504,"&gt;="&amp;D1365,$F$5:$F$1504,"&lt;&gt;İptal")&gt;1,"Çakışıyor",""))</f>
        <v/>
      </c>
    </row>
    <row r="1366" customFormat="false" ht="15" hidden="false" customHeight="false" outlineLevel="0" collapsed="false">
      <c r="A1366" s="12"/>
      <c r="B1366" s="12"/>
      <c r="C1366" s="13"/>
      <c r="D1366" s="14"/>
      <c r="E1366" s="14"/>
      <c r="F1366" s="13"/>
      <c r="G1366" s="15"/>
      <c r="H1366" s="16" t="str">
        <f aca="false">IF(OR(D1366="",E1366="",E1366&lt;D1366),"",E1366-D1366+1)</f>
        <v/>
      </c>
      <c r="I1366" s="17" t="str">
        <f aca="false">IF(OR(H1366="",C1366=""),"",IF(F1366="İptal",0,H1366*IFERROR(INDEX(Ürünler!$B$5:$B$64,MATCH(C1366,Ürünler!$A$5:$A$64,0)),0)-G1366))</f>
        <v/>
      </c>
      <c r="J1366" s="18" t="str">
        <f aca="false">IF(OR(H1366="",C1366="",F1366="İptal"),"",IF(COUNTIFS($C$5:$C$1504,C1366,$D$5:$D$1504,"&lt;="&amp;E1366,$E$5:$E$1504,"&gt;="&amp;D1366,$F$5:$F$1504,"&lt;&gt;İptal")&gt;1,"Çakışıyor",""))</f>
        <v/>
      </c>
    </row>
    <row r="1367" customFormat="false" ht="15" hidden="false" customHeight="false" outlineLevel="0" collapsed="false">
      <c r="A1367" s="12"/>
      <c r="B1367" s="12"/>
      <c r="C1367" s="13"/>
      <c r="D1367" s="14"/>
      <c r="E1367" s="14"/>
      <c r="F1367" s="13"/>
      <c r="G1367" s="15"/>
      <c r="H1367" s="16" t="str">
        <f aca="false">IF(OR(D1367="",E1367="",E1367&lt;D1367),"",E1367-D1367+1)</f>
        <v/>
      </c>
      <c r="I1367" s="17" t="str">
        <f aca="false">IF(OR(H1367="",C1367=""),"",IF(F1367="İptal",0,H1367*IFERROR(INDEX(Ürünler!$B$5:$B$64,MATCH(C1367,Ürünler!$A$5:$A$64,0)),0)-G1367))</f>
        <v/>
      </c>
      <c r="J1367" s="18" t="str">
        <f aca="false">IF(OR(H1367="",C1367="",F1367="İptal"),"",IF(COUNTIFS($C$5:$C$1504,C1367,$D$5:$D$1504,"&lt;="&amp;E1367,$E$5:$E$1504,"&gt;="&amp;D1367,$F$5:$F$1504,"&lt;&gt;İptal")&gt;1,"Çakışıyor",""))</f>
        <v/>
      </c>
    </row>
    <row r="1368" customFormat="false" ht="15" hidden="false" customHeight="false" outlineLevel="0" collapsed="false">
      <c r="A1368" s="12"/>
      <c r="B1368" s="12"/>
      <c r="C1368" s="13"/>
      <c r="D1368" s="14"/>
      <c r="E1368" s="14"/>
      <c r="F1368" s="13"/>
      <c r="G1368" s="15"/>
      <c r="H1368" s="16" t="str">
        <f aca="false">IF(OR(D1368="",E1368="",E1368&lt;D1368),"",E1368-D1368+1)</f>
        <v/>
      </c>
      <c r="I1368" s="17" t="str">
        <f aca="false">IF(OR(H1368="",C1368=""),"",IF(F1368="İptal",0,H1368*IFERROR(INDEX(Ürünler!$B$5:$B$64,MATCH(C1368,Ürünler!$A$5:$A$64,0)),0)-G1368))</f>
        <v/>
      </c>
      <c r="J1368" s="18" t="str">
        <f aca="false">IF(OR(H1368="",C1368="",F1368="İptal"),"",IF(COUNTIFS($C$5:$C$1504,C1368,$D$5:$D$1504,"&lt;="&amp;E1368,$E$5:$E$1504,"&gt;="&amp;D1368,$F$5:$F$1504,"&lt;&gt;İptal")&gt;1,"Çakışıyor",""))</f>
        <v/>
      </c>
    </row>
    <row r="1369" customFormat="false" ht="15" hidden="false" customHeight="false" outlineLevel="0" collapsed="false">
      <c r="A1369" s="12"/>
      <c r="B1369" s="12"/>
      <c r="C1369" s="13"/>
      <c r="D1369" s="14"/>
      <c r="E1369" s="14"/>
      <c r="F1369" s="13"/>
      <c r="G1369" s="15"/>
      <c r="H1369" s="16" t="str">
        <f aca="false">IF(OR(D1369="",E1369="",E1369&lt;D1369),"",E1369-D1369+1)</f>
        <v/>
      </c>
      <c r="I1369" s="17" t="str">
        <f aca="false">IF(OR(H1369="",C1369=""),"",IF(F1369="İptal",0,H1369*IFERROR(INDEX(Ürünler!$B$5:$B$64,MATCH(C1369,Ürünler!$A$5:$A$64,0)),0)-G1369))</f>
        <v/>
      </c>
      <c r="J1369" s="18" t="str">
        <f aca="false">IF(OR(H1369="",C1369="",F1369="İptal"),"",IF(COUNTIFS($C$5:$C$1504,C1369,$D$5:$D$1504,"&lt;="&amp;E1369,$E$5:$E$1504,"&gt;="&amp;D1369,$F$5:$F$1504,"&lt;&gt;İptal")&gt;1,"Çakışıyor",""))</f>
        <v/>
      </c>
    </row>
    <row r="1370" customFormat="false" ht="15" hidden="false" customHeight="false" outlineLevel="0" collapsed="false">
      <c r="A1370" s="12"/>
      <c r="B1370" s="12"/>
      <c r="C1370" s="13"/>
      <c r="D1370" s="14"/>
      <c r="E1370" s="14"/>
      <c r="F1370" s="13"/>
      <c r="G1370" s="15"/>
      <c r="H1370" s="16" t="str">
        <f aca="false">IF(OR(D1370="",E1370="",E1370&lt;D1370),"",E1370-D1370+1)</f>
        <v/>
      </c>
      <c r="I1370" s="17" t="str">
        <f aca="false">IF(OR(H1370="",C1370=""),"",IF(F1370="İptal",0,H1370*IFERROR(INDEX(Ürünler!$B$5:$B$64,MATCH(C1370,Ürünler!$A$5:$A$64,0)),0)-G1370))</f>
        <v/>
      </c>
      <c r="J1370" s="18" t="str">
        <f aca="false">IF(OR(H1370="",C1370="",F1370="İptal"),"",IF(COUNTIFS($C$5:$C$1504,C1370,$D$5:$D$1504,"&lt;="&amp;E1370,$E$5:$E$1504,"&gt;="&amp;D1370,$F$5:$F$1504,"&lt;&gt;İptal")&gt;1,"Çakışıyor",""))</f>
        <v/>
      </c>
    </row>
    <row r="1371" customFormat="false" ht="15" hidden="false" customHeight="false" outlineLevel="0" collapsed="false">
      <c r="A1371" s="12"/>
      <c r="B1371" s="12"/>
      <c r="C1371" s="13"/>
      <c r="D1371" s="14"/>
      <c r="E1371" s="14"/>
      <c r="F1371" s="13"/>
      <c r="G1371" s="15"/>
      <c r="H1371" s="16" t="str">
        <f aca="false">IF(OR(D1371="",E1371="",E1371&lt;D1371),"",E1371-D1371+1)</f>
        <v/>
      </c>
      <c r="I1371" s="17" t="str">
        <f aca="false">IF(OR(H1371="",C1371=""),"",IF(F1371="İptal",0,H1371*IFERROR(INDEX(Ürünler!$B$5:$B$64,MATCH(C1371,Ürünler!$A$5:$A$64,0)),0)-G1371))</f>
        <v/>
      </c>
      <c r="J1371" s="18" t="str">
        <f aca="false">IF(OR(H1371="",C1371="",F1371="İptal"),"",IF(COUNTIFS($C$5:$C$1504,C1371,$D$5:$D$1504,"&lt;="&amp;E1371,$E$5:$E$1504,"&gt;="&amp;D1371,$F$5:$F$1504,"&lt;&gt;İptal")&gt;1,"Çakışıyor",""))</f>
        <v/>
      </c>
    </row>
    <row r="1372" customFormat="false" ht="15" hidden="false" customHeight="false" outlineLevel="0" collapsed="false">
      <c r="A1372" s="12"/>
      <c r="B1372" s="12"/>
      <c r="C1372" s="13"/>
      <c r="D1372" s="14"/>
      <c r="E1372" s="14"/>
      <c r="F1372" s="13"/>
      <c r="G1372" s="15"/>
      <c r="H1372" s="16" t="str">
        <f aca="false">IF(OR(D1372="",E1372="",E1372&lt;D1372),"",E1372-D1372+1)</f>
        <v/>
      </c>
      <c r="I1372" s="17" t="str">
        <f aca="false">IF(OR(H1372="",C1372=""),"",IF(F1372="İptal",0,H1372*IFERROR(INDEX(Ürünler!$B$5:$B$64,MATCH(C1372,Ürünler!$A$5:$A$64,0)),0)-G1372))</f>
        <v/>
      </c>
      <c r="J1372" s="18" t="str">
        <f aca="false">IF(OR(H1372="",C1372="",F1372="İptal"),"",IF(COUNTIFS($C$5:$C$1504,C1372,$D$5:$D$1504,"&lt;="&amp;E1372,$E$5:$E$1504,"&gt;="&amp;D1372,$F$5:$F$1504,"&lt;&gt;İptal")&gt;1,"Çakışıyor",""))</f>
        <v/>
      </c>
    </row>
    <row r="1373" customFormat="false" ht="15" hidden="false" customHeight="false" outlineLevel="0" collapsed="false">
      <c r="A1373" s="12"/>
      <c r="B1373" s="12"/>
      <c r="C1373" s="13"/>
      <c r="D1373" s="14"/>
      <c r="E1373" s="14"/>
      <c r="F1373" s="13"/>
      <c r="G1373" s="15"/>
      <c r="H1373" s="16" t="str">
        <f aca="false">IF(OR(D1373="",E1373="",E1373&lt;D1373),"",E1373-D1373+1)</f>
        <v/>
      </c>
      <c r="I1373" s="17" t="str">
        <f aca="false">IF(OR(H1373="",C1373=""),"",IF(F1373="İptal",0,H1373*IFERROR(INDEX(Ürünler!$B$5:$B$64,MATCH(C1373,Ürünler!$A$5:$A$64,0)),0)-G1373))</f>
        <v/>
      </c>
      <c r="J1373" s="18" t="str">
        <f aca="false">IF(OR(H1373="",C1373="",F1373="İptal"),"",IF(COUNTIFS($C$5:$C$1504,C1373,$D$5:$D$1504,"&lt;="&amp;E1373,$E$5:$E$1504,"&gt;="&amp;D1373,$F$5:$F$1504,"&lt;&gt;İptal")&gt;1,"Çakışıyor",""))</f>
        <v/>
      </c>
    </row>
    <row r="1374" customFormat="false" ht="15" hidden="false" customHeight="false" outlineLevel="0" collapsed="false">
      <c r="A1374" s="12"/>
      <c r="B1374" s="12"/>
      <c r="C1374" s="13"/>
      <c r="D1374" s="14"/>
      <c r="E1374" s="14"/>
      <c r="F1374" s="13"/>
      <c r="G1374" s="15"/>
      <c r="H1374" s="16" t="str">
        <f aca="false">IF(OR(D1374="",E1374="",E1374&lt;D1374),"",E1374-D1374+1)</f>
        <v/>
      </c>
      <c r="I1374" s="17" t="str">
        <f aca="false">IF(OR(H1374="",C1374=""),"",IF(F1374="İptal",0,H1374*IFERROR(INDEX(Ürünler!$B$5:$B$64,MATCH(C1374,Ürünler!$A$5:$A$64,0)),0)-G1374))</f>
        <v/>
      </c>
      <c r="J1374" s="18" t="str">
        <f aca="false">IF(OR(H1374="",C1374="",F1374="İptal"),"",IF(COUNTIFS($C$5:$C$1504,C1374,$D$5:$D$1504,"&lt;="&amp;E1374,$E$5:$E$1504,"&gt;="&amp;D1374,$F$5:$F$1504,"&lt;&gt;İptal")&gt;1,"Çakışıyor",""))</f>
        <v/>
      </c>
    </row>
    <row r="1375" customFormat="false" ht="15" hidden="false" customHeight="false" outlineLevel="0" collapsed="false">
      <c r="A1375" s="12"/>
      <c r="B1375" s="12"/>
      <c r="C1375" s="13"/>
      <c r="D1375" s="14"/>
      <c r="E1375" s="14"/>
      <c r="F1375" s="13"/>
      <c r="G1375" s="15"/>
      <c r="H1375" s="16" t="str">
        <f aca="false">IF(OR(D1375="",E1375="",E1375&lt;D1375),"",E1375-D1375+1)</f>
        <v/>
      </c>
      <c r="I1375" s="17" t="str">
        <f aca="false">IF(OR(H1375="",C1375=""),"",IF(F1375="İptal",0,H1375*IFERROR(INDEX(Ürünler!$B$5:$B$64,MATCH(C1375,Ürünler!$A$5:$A$64,0)),0)-G1375))</f>
        <v/>
      </c>
      <c r="J1375" s="18" t="str">
        <f aca="false">IF(OR(H1375="",C1375="",F1375="İptal"),"",IF(COUNTIFS($C$5:$C$1504,C1375,$D$5:$D$1504,"&lt;="&amp;E1375,$E$5:$E$1504,"&gt;="&amp;D1375,$F$5:$F$1504,"&lt;&gt;İptal")&gt;1,"Çakışıyor",""))</f>
        <v/>
      </c>
    </row>
    <row r="1376" customFormat="false" ht="15" hidden="false" customHeight="false" outlineLevel="0" collapsed="false">
      <c r="A1376" s="12"/>
      <c r="B1376" s="12"/>
      <c r="C1376" s="13"/>
      <c r="D1376" s="14"/>
      <c r="E1376" s="14"/>
      <c r="F1376" s="13"/>
      <c r="G1376" s="15"/>
      <c r="H1376" s="16" t="str">
        <f aca="false">IF(OR(D1376="",E1376="",E1376&lt;D1376),"",E1376-D1376+1)</f>
        <v/>
      </c>
      <c r="I1376" s="17" t="str">
        <f aca="false">IF(OR(H1376="",C1376=""),"",IF(F1376="İptal",0,H1376*IFERROR(INDEX(Ürünler!$B$5:$B$64,MATCH(C1376,Ürünler!$A$5:$A$64,0)),0)-G1376))</f>
        <v/>
      </c>
      <c r="J1376" s="18" t="str">
        <f aca="false">IF(OR(H1376="",C1376="",F1376="İptal"),"",IF(COUNTIFS($C$5:$C$1504,C1376,$D$5:$D$1504,"&lt;="&amp;E1376,$E$5:$E$1504,"&gt;="&amp;D1376,$F$5:$F$1504,"&lt;&gt;İptal")&gt;1,"Çakışıyor",""))</f>
        <v/>
      </c>
    </row>
    <row r="1377" customFormat="false" ht="15" hidden="false" customHeight="false" outlineLevel="0" collapsed="false">
      <c r="A1377" s="12"/>
      <c r="B1377" s="12"/>
      <c r="C1377" s="13"/>
      <c r="D1377" s="14"/>
      <c r="E1377" s="14"/>
      <c r="F1377" s="13"/>
      <c r="G1377" s="15"/>
      <c r="H1377" s="16" t="str">
        <f aca="false">IF(OR(D1377="",E1377="",E1377&lt;D1377),"",E1377-D1377+1)</f>
        <v/>
      </c>
      <c r="I1377" s="17" t="str">
        <f aca="false">IF(OR(H1377="",C1377=""),"",IF(F1377="İptal",0,H1377*IFERROR(INDEX(Ürünler!$B$5:$B$64,MATCH(C1377,Ürünler!$A$5:$A$64,0)),0)-G1377))</f>
        <v/>
      </c>
      <c r="J1377" s="18" t="str">
        <f aca="false">IF(OR(H1377="",C1377="",F1377="İptal"),"",IF(COUNTIFS($C$5:$C$1504,C1377,$D$5:$D$1504,"&lt;="&amp;E1377,$E$5:$E$1504,"&gt;="&amp;D1377,$F$5:$F$1504,"&lt;&gt;İptal")&gt;1,"Çakışıyor",""))</f>
        <v/>
      </c>
    </row>
    <row r="1378" customFormat="false" ht="15" hidden="false" customHeight="false" outlineLevel="0" collapsed="false">
      <c r="A1378" s="12"/>
      <c r="B1378" s="12"/>
      <c r="C1378" s="13"/>
      <c r="D1378" s="14"/>
      <c r="E1378" s="14"/>
      <c r="F1378" s="13"/>
      <c r="G1378" s="15"/>
      <c r="H1378" s="16" t="str">
        <f aca="false">IF(OR(D1378="",E1378="",E1378&lt;D1378),"",E1378-D1378+1)</f>
        <v/>
      </c>
      <c r="I1378" s="17" t="str">
        <f aca="false">IF(OR(H1378="",C1378=""),"",IF(F1378="İptal",0,H1378*IFERROR(INDEX(Ürünler!$B$5:$B$64,MATCH(C1378,Ürünler!$A$5:$A$64,0)),0)-G1378))</f>
        <v/>
      </c>
      <c r="J1378" s="18" t="str">
        <f aca="false">IF(OR(H1378="",C1378="",F1378="İptal"),"",IF(COUNTIFS($C$5:$C$1504,C1378,$D$5:$D$1504,"&lt;="&amp;E1378,$E$5:$E$1504,"&gt;="&amp;D1378,$F$5:$F$1504,"&lt;&gt;İptal")&gt;1,"Çakışıyor",""))</f>
        <v/>
      </c>
    </row>
    <row r="1379" customFormat="false" ht="15" hidden="false" customHeight="false" outlineLevel="0" collapsed="false">
      <c r="A1379" s="12"/>
      <c r="B1379" s="12"/>
      <c r="C1379" s="13"/>
      <c r="D1379" s="14"/>
      <c r="E1379" s="14"/>
      <c r="F1379" s="13"/>
      <c r="G1379" s="15"/>
      <c r="H1379" s="16" t="str">
        <f aca="false">IF(OR(D1379="",E1379="",E1379&lt;D1379),"",E1379-D1379+1)</f>
        <v/>
      </c>
      <c r="I1379" s="17" t="str">
        <f aca="false">IF(OR(H1379="",C1379=""),"",IF(F1379="İptal",0,H1379*IFERROR(INDEX(Ürünler!$B$5:$B$64,MATCH(C1379,Ürünler!$A$5:$A$64,0)),0)-G1379))</f>
        <v/>
      </c>
      <c r="J1379" s="18" t="str">
        <f aca="false">IF(OR(H1379="",C1379="",F1379="İptal"),"",IF(COUNTIFS($C$5:$C$1504,C1379,$D$5:$D$1504,"&lt;="&amp;E1379,$E$5:$E$1504,"&gt;="&amp;D1379,$F$5:$F$1504,"&lt;&gt;İptal")&gt;1,"Çakışıyor",""))</f>
        <v/>
      </c>
    </row>
    <row r="1380" customFormat="false" ht="15" hidden="false" customHeight="false" outlineLevel="0" collapsed="false">
      <c r="A1380" s="12"/>
      <c r="B1380" s="12"/>
      <c r="C1380" s="13"/>
      <c r="D1380" s="14"/>
      <c r="E1380" s="14"/>
      <c r="F1380" s="13"/>
      <c r="G1380" s="15"/>
      <c r="H1380" s="16" t="str">
        <f aca="false">IF(OR(D1380="",E1380="",E1380&lt;D1380),"",E1380-D1380+1)</f>
        <v/>
      </c>
      <c r="I1380" s="17" t="str">
        <f aca="false">IF(OR(H1380="",C1380=""),"",IF(F1380="İptal",0,H1380*IFERROR(INDEX(Ürünler!$B$5:$B$64,MATCH(C1380,Ürünler!$A$5:$A$64,0)),0)-G1380))</f>
        <v/>
      </c>
      <c r="J1380" s="18" t="str">
        <f aca="false">IF(OR(H1380="",C1380="",F1380="İptal"),"",IF(COUNTIFS($C$5:$C$1504,C1380,$D$5:$D$1504,"&lt;="&amp;E1380,$E$5:$E$1504,"&gt;="&amp;D1380,$F$5:$F$1504,"&lt;&gt;İptal")&gt;1,"Çakışıyor",""))</f>
        <v/>
      </c>
    </row>
    <row r="1381" customFormat="false" ht="15" hidden="false" customHeight="false" outlineLevel="0" collapsed="false">
      <c r="A1381" s="12"/>
      <c r="B1381" s="12"/>
      <c r="C1381" s="13"/>
      <c r="D1381" s="14"/>
      <c r="E1381" s="14"/>
      <c r="F1381" s="13"/>
      <c r="G1381" s="15"/>
      <c r="H1381" s="16" t="str">
        <f aca="false">IF(OR(D1381="",E1381="",E1381&lt;D1381),"",E1381-D1381+1)</f>
        <v/>
      </c>
      <c r="I1381" s="17" t="str">
        <f aca="false">IF(OR(H1381="",C1381=""),"",IF(F1381="İptal",0,H1381*IFERROR(INDEX(Ürünler!$B$5:$B$64,MATCH(C1381,Ürünler!$A$5:$A$64,0)),0)-G1381))</f>
        <v/>
      </c>
      <c r="J1381" s="18" t="str">
        <f aca="false">IF(OR(H1381="",C1381="",F1381="İptal"),"",IF(COUNTIFS($C$5:$C$1504,C1381,$D$5:$D$1504,"&lt;="&amp;E1381,$E$5:$E$1504,"&gt;="&amp;D1381,$F$5:$F$1504,"&lt;&gt;İptal")&gt;1,"Çakışıyor",""))</f>
        <v/>
      </c>
    </row>
    <row r="1382" customFormat="false" ht="15" hidden="false" customHeight="false" outlineLevel="0" collapsed="false">
      <c r="A1382" s="12"/>
      <c r="B1382" s="12"/>
      <c r="C1382" s="13"/>
      <c r="D1382" s="14"/>
      <c r="E1382" s="14"/>
      <c r="F1382" s="13"/>
      <c r="G1382" s="15"/>
      <c r="H1382" s="16" t="str">
        <f aca="false">IF(OR(D1382="",E1382="",E1382&lt;D1382),"",E1382-D1382+1)</f>
        <v/>
      </c>
      <c r="I1382" s="17" t="str">
        <f aca="false">IF(OR(H1382="",C1382=""),"",IF(F1382="İptal",0,H1382*IFERROR(INDEX(Ürünler!$B$5:$B$64,MATCH(C1382,Ürünler!$A$5:$A$64,0)),0)-G1382))</f>
        <v/>
      </c>
      <c r="J1382" s="18" t="str">
        <f aca="false">IF(OR(H1382="",C1382="",F1382="İptal"),"",IF(COUNTIFS($C$5:$C$1504,C1382,$D$5:$D$1504,"&lt;="&amp;E1382,$E$5:$E$1504,"&gt;="&amp;D1382,$F$5:$F$1504,"&lt;&gt;İptal")&gt;1,"Çakışıyor",""))</f>
        <v/>
      </c>
    </row>
    <row r="1383" customFormat="false" ht="15" hidden="false" customHeight="false" outlineLevel="0" collapsed="false">
      <c r="A1383" s="12"/>
      <c r="B1383" s="12"/>
      <c r="C1383" s="13"/>
      <c r="D1383" s="14"/>
      <c r="E1383" s="14"/>
      <c r="F1383" s="13"/>
      <c r="G1383" s="15"/>
      <c r="H1383" s="16" t="str">
        <f aca="false">IF(OR(D1383="",E1383="",E1383&lt;D1383),"",E1383-D1383+1)</f>
        <v/>
      </c>
      <c r="I1383" s="17" t="str">
        <f aca="false">IF(OR(H1383="",C1383=""),"",IF(F1383="İptal",0,H1383*IFERROR(INDEX(Ürünler!$B$5:$B$64,MATCH(C1383,Ürünler!$A$5:$A$64,0)),0)-G1383))</f>
        <v/>
      </c>
      <c r="J1383" s="18" t="str">
        <f aca="false">IF(OR(H1383="",C1383="",F1383="İptal"),"",IF(COUNTIFS($C$5:$C$1504,C1383,$D$5:$D$1504,"&lt;="&amp;E1383,$E$5:$E$1504,"&gt;="&amp;D1383,$F$5:$F$1504,"&lt;&gt;İptal")&gt;1,"Çakışıyor",""))</f>
        <v/>
      </c>
    </row>
    <row r="1384" customFormat="false" ht="15" hidden="false" customHeight="false" outlineLevel="0" collapsed="false">
      <c r="A1384" s="12"/>
      <c r="B1384" s="12"/>
      <c r="C1384" s="13"/>
      <c r="D1384" s="14"/>
      <c r="E1384" s="14"/>
      <c r="F1384" s="13"/>
      <c r="G1384" s="15"/>
      <c r="H1384" s="16" t="str">
        <f aca="false">IF(OR(D1384="",E1384="",E1384&lt;D1384),"",E1384-D1384+1)</f>
        <v/>
      </c>
      <c r="I1384" s="17" t="str">
        <f aca="false">IF(OR(H1384="",C1384=""),"",IF(F1384="İptal",0,H1384*IFERROR(INDEX(Ürünler!$B$5:$B$64,MATCH(C1384,Ürünler!$A$5:$A$64,0)),0)-G1384))</f>
        <v/>
      </c>
      <c r="J1384" s="18" t="str">
        <f aca="false">IF(OR(H1384="",C1384="",F1384="İptal"),"",IF(COUNTIFS($C$5:$C$1504,C1384,$D$5:$D$1504,"&lt;="&amp;E1384,$E$5:$E$1504,"&gt;="&amp;D1384,$F$5:$F$1504,"&lt;&gt;İptal")&gt;1,"Çakışıyor",""))</f>
        <v/>
      </c>
    </row>
    <row r="1385" customFormat="false" ht="15" hidden="false" customHeight="false" outlineLevel="0" collapsed="false">
      <c r="A1385" s="12"/>
      <c r="B1385" s="12"/>
      <c r="C1385" s="13"/>
      <c r="D1385" s="14"/>
      <c r="E1385" s="14"/>
      <c r="F1385" s="13"/>
      <c r="G1385" s="15"/>
      <c r="H1385" s="16" t="str">
        <f aca="false">IF(OR(D1385="",E1385="",E1385&lt;D1385),"",E1385-D1385+1)</f>
        <v/>
      </c>
      <c r="I1385" s="17" t="str">
        <f aca="false">IF(OR(H1385="",C1385=""),"",IF(F1385="İptal",0,H1385*IFERROR(INDEX(Ürünler!$B$5:$B$64,MATCH(C1385,Ürünler!$A$5:$A$64,0)),0)-G1385))</f>
        <v/>
      </c>
      <c r="J1385" s="18" t="str">
        <f aca="false">IF(OR(H1385="",C1385="",F1385="İptal"),"",IF(COUNTIFS($C$5:$C$1504,C1385,$D$5:$D$1504,"&lt;="&amp;E1385,$E$5:$E$1504,"&gt;="&amp;D1385,$F$5:$F$1504,"&lt;&gt;İptal")&gt;1,"Çakışıyor",""))</f>
        <v/>
      </c>
    </row>
    <row r="1386" customFormat="false" ht="15" hidden="false" customHeight="false" outlineLevel="0" collapsed="false">
      <c r="A1386" s="12"/>
      <c r="B1386" s="12"/>
      <c r="C1386" s="13"/>
      <c r="D1386" s="14"/>
      <c r="E1386" s="14"/>
      <c r="F1386" s="13"/>
      <c r="G1386" s="15"/>
      <c r="H1386" s="16" t="str">
        <f aca="false">IF(OR(D1386="",E1386="",E1386&lt;D1386),"",E1386-D1386+1)</f>
        <v/>
      </c>
      <c r="I1386" s="17" t="str">
        <f aca="false">IF(OR(H1386="",C1386=""),"",IF(F1386="İptal",0,H1386*IFERROR(INDEX(Ürünler!$B$5:$B$64,MATCH(C1386,Ürünler!$A$5:$A$64,0)),0)-G1386))</f>
        <v/>
      </c>
      <c r="J1386" s="18" t="str">
        <f aca="false">IF(OR(H1386="",C1386="",F1386="İptal"),"",IF(COUNTIFS($C$5:$C$1504,C1386,$D$5:$D$1504,"&lt;="&amp;E1386,$E$5:$E$1504,"&gt;="&amp;D1386,$F$5:$F$1504,"&lt;&gt;İptal")&gt;1,"Çakışıyor",""))</f>
        <v/>
      </c>
    </row>
    <row r="1387" customFormat="false" ht="15" hidden="false" customHeight="false" outlineLevel="0" collapsed="false">
      <c r="A1387" s="12"/>
      <c r="B1387" s="12"/>
      <c r="C1387" s="13"/>
      <c r="D1387" s="14"/>
      <c r="E1387" s="14"/>
      <c r="F1387" s="13"/>
      <c r="G1387" s="15"/>
      <c r="H1387" s="16" t="str">
        <f aca="false">IF(OR(D1387="",E1387="",E1387&lt;D1387),"",E1387-D1387+1)</f>
        <v/>
      </c>
      <c r="I1387" s="17" t="str">
        <f aca="false">IF(OR(H1387="",C1387=""),"",IF(F1387="İptal",0,H1387*IFERROR(INDEX(Ürünler!$B$5:$B$64,MATCH(C1387,Ürünler!$A$5:$A$64,0)),0)-G1387))</f>
        <v/>
      </c>
      <c r="J1387" s="18" t="str">
        <f aca="false">IF(OR(H1387="",C1387="",F1387="İptal"),"",IF(COUNTIFS($C$5:$C$1504,C1387,$D$5:$D$1504,"&lt;="&amp;E1387,$E$5:$E$1504,"&gt;="&amp;D1387,$F$5:$F$1504,"&lt;&gt;İptal")&gt;1,"Çakışıyor",""))</f>
        <v/>
      </c>
    </row>
    <row r="1388" customFormat="false" ht="15" hidden="false" customHeight="false" outlineLevel="0" collapsed="false">
      <c r="A1388" s="12"/>
      <c r="B1388" s="12"/>
      <c r="C1388" s="13"/>
      <c r="D1388" s="14"/>
      <c r="E1388" s="14"/>
      <c r="F1388" s="13"/>
      <c r="G1388" s="15"/>
      <c r="H1388" s="16" t="str">
        <f aca="false">IF(OR(D1388="",E1388="",E1388&lt;D1388),"",E1388-D1388+1)</f>
        <v/>
      </c>
      <c r="I1388" s="17" t="str">
        <f aca="false">IF(OR(H1388="",C1388=""),"",IF(F1388="İptal",0,H1388*IFERROR(INDEX(Ürünler!$B$5:$B$64,MATCH(C1388,Ürünler!$A$5:$A$64,0)),0)-G1388))</f>
        <v/>
      </c>
      <c r="J1388" s="18" t="str">
        <f aca="false">IF(OR(H1388="",C1388="",F1388="İptal"),"",IF(COUNTIFS($C$5:$C$1504,C1388,$D$5:$D$1504,"&lt;="&amp;E1388,$E$5:$E$1504,"&gt;="&amp;D1388,$F$5:$F$1504,"&lt;&gt;İptal")&gt;1,"Çakışıyor",""))</f>
        <v/>
      </c>
    </row>
    <row r="1389" customFormat="false" ht="15" hidden="false" customHeight="false" outlineLevel="0" collapsed="false">
      <c r="A1389" s="12"/>
      <c r="B1389" s="12"/>
      <c r="C1389" s="13"/>
      <c r="D1389" s="14"/>
      <c r="E1389" s="14"/>
      <c r="F1389" s="13"/>
      <c r="G1389" s="15"/>
      <c r="H1389" s="16" t="str">
        <f aca="false">IF(OR(D1389="",E1389="",E1389&lt;D1389),"",E1389-D1389+1)</f>
        <v/>
      </c>
      <c r="I1389" s="17" t="str">
        <f aca="false">IF(OR(H1389="",C1389=""),"",IF(F1389="İptal",0,H1389*IFERROR(INDEX(Ürünler!$B$5:$B$64,MATCH(C1389,Ürünler!$A$5:$A$64,0)),0)-G1389))</f>
        <v/>
      </c>
      <c r="J1389" s="18" t="str">
        <f aca="false">IF(OR(H1389="",C1389="",F1389="İptal"),"",IF(COUNTIFS($C$5:$C$1504,C1389,$D$5:$D$1504,"&lt;="&amp;E1389,$E$5:$E$1504,"&gt;="&amp;D1389,$F$5:$F$1504,"&lt;&gt;İptal")&gt;1,"Çakışıyor",""))</f>
        <v/>
      </c>
    </row>
    <row r="1390" customFormat="false" ht="15" hidden="false" customHeight="false" outlineLevel="0" collapsed="false">
      <c r="A1390" s="12"/>
      <c r="B1390" s="12"/>
      <c r="C1390" s="13"/>
      <c r="D1390" s="14"/>
      <c r="E1390" s="14"/>
      <c r="F1390" s="13"/>
      <c r="G1390" s="15"/>
      <c r="H1390" s="16" t="str">
        <f aca="false">IF(OR(D1390="",E1390="",E1390&lt;D1390),"",E1390-D1390+1)</f>
        <v/>
      </c>
      <c r="I1390" s="17" t="str">
        <f aca="false">IF(OR(H1390="",C1390=""),"",IF(F1390="İptal",0,H1390*IFERROR(INDEX(Ürünler!$B$5:$B$64,MATCH(C1390,Ürünler!$A$5:$A$64,0)),0)-G1390))</f>
        <v/>
      </c>
      <c r="J1390" s="18" t="str">
        <f aca="false">IF(OR(H1390="",C1390="",F1390="İptal"),"",IF(COUNTIFS($C$5:$C$1504,C1390,$D$5:$D$1504,"&lt;="&amp;E1390,$E$5:$E$1504,"&gt;="&amp;D1390,$F$5:$F$1504,"&lt;&gt;İptal")&gt;1,"Çakışıyor",""))</f>
        <v/>
      </c>
    </row>
    <row r="1391" customFormat="false" ht="15" hidden="false" customHeight="false" outlineLevel="0" collapsed="false">
      <c r="A1391" s="12"/>
      <c r="B1391" s="12"/>
      <c r="C1391" s="13"/>
      <c r="D1391" s="14"/>
      <c r="E1391" s="14"/>
      <c r="F1391" s="13"/>
      <c r="G1391" s="15"/>
      <c r="H1391" s="16" t="str">
        <f aca="false">IF(OR(D1391="",E1391="",E1391&lt;D1391),"",E1391-D1391+1)</f>
        <v/>
      </c>
      <c r="I1391" s="17" t="str">
        <f aca="false">IF(OR(H1391="",C1391=""),"",IF(F1391="İptal",0,H1391*IFERROR(INDEX(Ürünler!$B$5:$B$64,MATCH(C1391,Ürünler!$A$5:$A$64,0)),0)-G1391))</f>
        <v/>
      </c>
      <c r="J1391" s="18" t="str">
        <f aca="false">IF(OR(H1391="",C1391="",F1391="İptal"),"",IF(COUNTIFS($C$5:$C$1504,C1391,$D$5:$D$1504,"&lt;="&amp;E1391,$E$5:$E$1504,"&gt;="&amp;D1391,$F$5:$F$1504,"&lt;&gt;İptal")&gt;1,"Çakışıyor",""))</f>
        <v/>
      </c>
    </row>
    <row r="1392" customFormat="false" ht="15" hidden="false" customHeight="false" outlineLevel="0" collapsed="false">
      <c r="A1392" s="12"/>
      <c r="B1392" s="12"/>
      <c r="C1392" s="13"/>
      <c r="D1392" s="14"/>
      <c r="E1392" s="14"/>
      <c r="F1392" s="13"/>
      <c r="G1392" s="15"/>
      <c r="H1392" s="16" t="str">
        <f aca="false">IF(OR(D1392="",E1392="",E1392&lt;D1392),"",E1392-D1392+1)</f>
        <v/>
      </c>
      <c r="I1392" s="17" t="str">
        <f aca="false">IF(OR(H1392="",C1392=""),"",IF(F1392="İptal",0,H1392*IFERROR(INDEX(Ürünler!$B$5:$B$64,MATCH(C1392,Ürünler!$A$5:$A$64,0)),0)-G1392))</f>
        <v/>
      </c>
      <c r="J1392" s="18" t="str">
        <f aca="false">IF(OR(H1392="",C1392="",F1392="İptal"),"",IF(COUNTIFS($C$5:$C$1504,C1392,$D$5:$D$1504,"&lt;="&amp;E1392,$E$5:$E$1504,"&gt;="&amp;D1392,$F$5:$F$1504,"&lt;&gt;İptal")&gt;1,"Çakışıyor",""))</f>
        <v/>
      </c>
    </row>
    <row r="1393" customFormat="false" ht="15" hidden="false" customHeight="false" outlineLevel="0" collapsed="false">
      <c r="A1393" s="12"/>
      <c r="B1393" s="12"/>
      <c r="C1393" s="13"/>
      <c r="D1393" s="14"/>
      <c r="E1393" s="14"/>
      <c r="F1393" s="13"/>
      <c r="G1393" s="15"/>
      <c r="H1393" s="16" t="str">
        <f aca="false">IF(OR(D1393="",E1393="",E1393&lt;D1393),"",E1393-D1393+1)</f>
        <v/>
      </c>
      <c r="I1393" s="17" t="str">
        <f aca="false">IF(OR(H1393="",C1393=""),"",IF(F1393="İptal",0,H1393*IFERROR(INDEX(Ürünler!$B$5:$B$64,MATCH(C1393,Ürünler!$A$5:$A$64,0)),0)-G1393))</f>
        <v/>
      </c>
      <c r="J1393" s="18" t="str">
        <f aca="false">IF(OR(H1393="",C1393="",F1393="İptal"),"",IF(COUNTIFS($C$5:$C$1504,C1393,$D$5:$D$1504,"&lt;="&amp;E1393,$E$5:$E$1504,"&gt;="&amp;D1393,$F$5:$F$1504,"&lt;&gt;İptal")&gt;1,"Çakışıyor",""))</f>
        <v/>
      </c>
    </row>
    <row r="1394" customFormat="false" ht="15" hidden="false" customHeight="false" outlineLevel="0" collapsed="false">
      <c r="A1394" s="12"/>
      <c r="B1394" s="12"/>
      <c r="C1394" s="13"/>
      <c r="D1394" s="14"/>
      <c r="E1394" s="14"/>
      <c r="F1394" s="13"/>
      <c r="G1394" s="15"/>
      <c r="H1394" s="16" t="str">
        <f aca="false">IF(OR(D1394="",E1394="",E1394&lt;D1394),"",E1394-D1394+1)</f>
        <v/>
      </c>
      <c r="I1394" s="17" t="str">
        <f aca="false">IF(OR(H1394="",C1394=""),"",IF(F1394="İptal",0,H1394*IFERROR(INDEX(Ürünler!$B$5:$B$64,MATCH(C1394,Ürünler!$A$5:$A$64,0)),0)-G1394))</f>
        <v/>
      </c>
      <c r="J1394" s="18" t="str">
        <f aca="false">IF(OR(H1394="",C1394="",F1394="İptal"),"",IF(COUNTIFS($C$5:$C$1504,C1394,$D$5:$D$1504,"&lt;="&amp;E1394,$E$5:$E$1504,"&gt;="&amp;D1394,$F$5:$F$1504,"&lt;&gt;İptal")&gt;1,"Çakışıyor",""))</f>
        <v/>
      </c>
    </row>
    <row r="1395" customFormat="false" ht="15" hidden="false" customHeight="false" outlineLevel="0" collapsed="false">
      <c r="A1395" s="12"/>
      <c r="B1395" s="12"/>
      <c r="C1395" s="13"/>
      <c r="D1395" s="14"/>
      <c r="E1395" s="14"/>
      <c r="F1395" s="13"/>
      <c r="G1395" s="15"/>
      <c r="H1395" s="16" t="str">
        <f aca="false">IF(OR(D1395="",E1395="",E1395&lt;D1395),"",E1395-D1395+1)</f>
        <v/>
      </c>
      <c r="I1395" s="17" t="str">
        <f aca="false">IF(OR(H1395="",C1395=""),"",IF(F1395="İptal",0,H1395*IFERROR(INDEX(Ürünler!$B$5:$B$64,MATCH(C1395,Ürünler!$A$5:$A$64,0)),0)-G1395))</f>
        <v/>
      </c>
      <c r="J1395" s="18" t="str">
        <f aca="false">IF(OR(H1395="",C1395="",F1395="İptal"),"",IF(COUNTIFS($C$5:$C$1504,C1395,$D$5:$D$1504,"&lt;="&amp;E1395,$E$5:$E$1504,"&gt;="&amp;D1395,$F$5:$F$1504,"&lt;&gt;İptal")&gt;1,"Çakışıyor",""))</f>
        <v/>
      </c>
    </row>
    <row r="1396" customFormat="false" ht="15" hidden="false" customHeight="false" outlineLevel="0" collapsed="false">
      <c r="A1396" s="12"/>
      <c r="B1396" s="12"/>
      <c r="C1396" s="13"/>
      <c r="D1396" s="14"/>
      <c r="E1396" s="14"/>
      <c r="F1396" s="13"/>
      <c r="G1396" s="15"/>
      <c r="H1396" s="16" t="str">
        <f aca="false">IF(OR(D1396="",E1396="",E1396&lt;D1396),"",E1396-D1396+1)</f>
        <v/>
      </c>
      <c r="I1396" s="17" t="str">
        <f aca="false">IF(OR(H1396="",C1396=""),"",IF(F1396="İptal",0,H1396*IFERROR(INDEX(Ürünler!$B$5:$B$64,MATCH(C1396,Ürünler!$A$5:$A$64,0)),0)-G1396))</f>
        <v/>
      </c>
      <c r="J1396" s="18" t="str">
        <f aca="false">IF(OR(H1396="",C1396="",F1396="İptal"),"",IF(COUNTIFS($C$5:$C$1504,C1396,$D$5:$D$1504,"&lt;="&amp;E1396,$E$5:$E$1504,"&gt;="&amp;D1396,$F$5:$F$1504,"&lt;&gt;İptal")&gt;1,"Çakışıyor",""))</f>
        <v/>
      </c>
    </row>
    <row r="1397" customFormat="false" ht="15" hidden="false" customHeight="false" outlineLevel="0" collapsed="false">
      <c r="A1397" s="12"/>
      <c r="B1397" s="12"/>
      <c r="C1397" s="13"/>
      <c r="D1397" s="14"/>
      <c r="E1397" s="14"/>
      <c r="F1397" s="13"/>
      <c r="G1397" s="15"/>
      <c r="H1397" s="16" t="str">
        <f aca="false">IF(OR(D1397="",E1397="",E1397&lt;D1397),"",E1397-D1397+1)</f>
        <v/>
      </c>
      <c r="I1397" s="17" t="str">
        <f aca="false">IF(OR(H1397="",C1397=""),"",IF(F1397="İptal",0,H1397*IFERROR(INDEX(Ürünler!$B$5:$B$64,MATCH(C1397,Ürünler!$A$5:$A$64,0)),0)-G1397))</f>
        <v/>
      </c>
      <c r="J1397" s="18" t="str">
        <f aca="false">IF(OR(H1397="",C1397="",F1397="İptal"),"",IF(COUNTIFS($C$5:$C$1504,C1397,$D$5:$D$1504,"&lt;="&amp;E1397,$E$5:$E$1504,"&gt;="&amp;D1397,$F$5:$F$1504,"&lt;&gt;İptal")&gt;1,"Çakışıyor",""))</f>
        <v/>
      </c>
    </row>
    <row r="1398" customFormat="false" ht="15" hidden="false" customHeight="false" outlineLevel="0" collapsed="false">
      <c r="A1398" s="12"/>
      <c r="B1398" s="12"/>
      <c r="C1398" s="13"/>
      <c r="D1398" s="14"/>
      <c r="E1398" s="14"/>
      <c r="F1398" s="13"/>
      <c r="G1398" s="15"/>
      <c r="H1398" s="16" t="str">
        <f aca="false">IF(OR(D1398="",E1398="",E1398&lt;D1398),"",E1398-D1398+1)</f>
        <v/>
      </c>
      <c r="I1398" s="17" t="str">
        <f aca="false">IF(OR(H1398="",C1398=""),"",IF(F1398="İptal",0,H1398*IFERROR(INDEX(Ürünler!$B$5:$B$64,MATCH(C1398,Ürünler!$A$5:$A$64,0)),0)-G1398))</f>
        <v/>
      </c>
      <c r="J1398" s="18" t="str">
        <f aca="false">IF(OR(H1398="",C1398="",F1398="İptal"),"",IF(COUNTIFS($C$5:$C$1504,C1398,$D$5:$D$1504,"&lt;="&amp;E1398,$E$5:$E$1504,"&gt;="&amp;D1398,$F$5:$F$1504,"&lt;&gt;İptal")&gt;1,"Çakışıyor",""))</f>
        <v/>
      </c>
    </row>
    <row r="1399" customFormat="false" ht="15" hidden="false" customHeight="false" outlineLevel="0" collapsed="false">
      <c r="A1399" s="12"/>
      <c r="B1399" s="12"/>
      <c r="C1399" s="13"/>
      <c r="D1399" s="14"/>
      <c r="E1399" s="14"/>
      <c r="F1399" s="13"/>
      <c r="G1399" s="15"/>
      <c r="H1399" s="16" t="str">
        <f aca="false">IF(OR(D1399="",E1399="",E1399&lt;D1399),"",E1399-D1399+1)</f>
        <v/>
      </c>
      <c r="I1399" s="17" t="str">
        <f aca="false">IF(OR(H1399="",C1399=""),"",IF(F1399="İptal",0,H1399*IFERROR(INDEX(Ürünler!$B$5:$B$64,MATCH(C1399,Ürünler!$A$5:$A$64,0)),0)-G1399))</f>
        <v/>
      </c>
      <c r="J1399" s="18" t="str">
        <f aca="false">IF(OR(H1399="",C1399="",F1399="İptal"),"",IF(COUNTIFS($C$5:$C$1504,C1399,$D$5:$D$1504,"&lt;="&amp;E1399,$E$5:$E$1504,"&gt;="&amp;D1399,$F$5:$F$1504,"&lt;&gt;İptal")&gt;1,"Çakışıyor",""))</f>
        <v/>
      </c>
    </row>
    <row r="1400" customFormat="false" ht="15" hidden="false" customHeight="false" outlineLevel="0" collapsed="false">
      <c r="A1400" s="12"/>
      <c r="B1400" s="12"/>
      <c r="C1400" s="13"/>
      <c r="D1400" s="14"/>
      <c r="E1400" s="14"/>
      <c r="F1400" s="13"/>
      <c r="G1400" s="15"/>
      <c r="H1400" s="16" t="str">
        <f aca="false">IF(OR(D1400="",E1400="",E1400&lt;D1400),"",E1400-D1400+1)</f>
        <v/>
      </c>
      <c r="I1400" s="17" t="str">
        <f aca="false">IF(OR(H1400="",C1400=""),"",IF(F1400="İptal",0,H1400*IFERROR(INDEX(Ürünler!$B$5:$B$64,MATCH(C1400,Ürünler!$A$5:$A$64,0)),0)-G1400))</f>
        <v/>
      </c>
      <c r="J1400" s="18" t="str">
        <f aca="false">IF(OR(H1400="",C1400="",F1400="İptal"),"",IF(COUNTIFS($C$5:$C$1504,C1400,$D$5:$D$1504,"&lt;="&amp;E1400,$E$5:$E$1504,"&gt;="&amp;D1400,$F$5:$F$1504,"&lt;&gt;İptal")&gt;1,"Çakışıyor",""))</f>
        <v/>
      </c>
    </row>
    <row r="1401" customFormat="false" ht="15" hidden="false" customHeight="false" outlineLevel="0" collapsed="false">
      <c r="A1401" s="12"/>
      <c r="B1401" s="12"/>
      <c r="C1401" s="13"/>
      <c r="D1401" s="14"/>
      <c r="E1401" s="14"/>
      <c r="F1401" s="13"/>
      <c r="G1401" s="15"/>
      <c r="H1401" s="16" t="str">
        <f aca="false">IF(OR(D1401="",E1401="",E1401&lt;D1401),"",E1401-D1401+1)</f>
        <v/>
      </c>
      <c r="I1401" s="17" t="str">
        <f aca="false">IF(OR(H1401="",C1401=""),"",IF(F1401="İptal",0,H1401*IFERROR(INDEX(Ürünler!$B$5:$B$64,MATCH(C1401,Ürünler!$A$5:$A$64,0)),0)-G1401))</f>
        <v/>
      </c>
      <c r="J1401" s="18" t="str">
        <f aca="false">IF(OR(H1401="",C1401="",F1401="İptal"),"",IF(COUNTIFS($C$5:$C$1504,C1401,$D$5:$D$1504,"&lt;="&amp;E1401,$E$5:$E$1504,"&gt;="&amp;D1401,$F$5:$F$1504,"&lt;&gt;İptal")&gt;1,"Çakışıyor",""))</f>
        <v/>
      </c>
    </row>
    <row r="1402" customFormat="false" ht="15" hidden="false" customHeight="false" outlineLevel="0" collapsed="false">
      <c r="A1402" s="12"/>
      <c r="B1402" s="12"/>
      <c r="C1402" s="13"/>
      <c r="D1402" s="14"/>
      <c r="E1402" s="14"/>
      <c r="F1402" s="13"/>
      <c r="G1402" s="15"/>
      <c r="H1402" s="16" t="str">
        <f aca="false">IF(OR(D1402="",E1402="",E1402&lt;D1402),"",E1402-D1402+1)</f>
        <v/>
      </c>
      <c r="I1402" s="17" t="str">
        <f aca="false">IF(OR(H1402="",C1402=""),"",IF(F1402="İptal",0,H1402*IFERROR(INDEX(Ürünler!$B$5:$B$64,MATCH(C1402,Ürünler!$A$5:$A$64,0)),0)-G1402))</f>
        <v/>
      </c>
      <c r="J1402" s="18" t="str">
        <f aca="false">IF(OR(H1402="",C1402="",F1402="İptal"),"",IF(COUNTIFS($C$5:$C$1504,C1402,$D$5:$D$1504,"&lt;="&amp;E1402,$E$5:$E$1504,"&gt;="&amp;D1402,$F$5:$F$1504,"&lt;&gt;İptal")&gt;1,"Çakışıyor",""))</f>
        <v/>
      </c>
    </row>
    <row r="1403" customFormat="false" ht="15" hidden="false" customHeight="false" outlineLevel="0" collapsed="false">
      <c r="A1403" s="12"/>
      <c r="B1403" s="12"/>
      <c r="C1403" s="13"/>
      <c r="D1403" s="14"/>
      <c r="E1403" s="14"/>
      <c r="F1403" s="13"/>
      <c r="G1403" s="15"/>
      <c r="H1403" s="16" t="str">
        <f aca="false">IF(OR(D1403="",E1403="",E1403&lt;D1403),"",E1403-D1403+1)</f>
        <v/>
      </c>
      <c r="I1403" s="17" t="str">
        <f aca="false">IF(OR(H1403="",C1403=""),"",IF(F1403="İptal",0,H1403*IFERROR(INDEX(Ürünler!$B$5:$B$64,MATCH(C1403,Ürünler!$A$5:$A$64,0)),0)-G1403))</f>
        <v/>
      </c>
      <c r="J1403" s="18" t="str">
        <f aca="false">IF(OR(H1403="",C1403="",F1403="İptal"),"",IF(COUNTIFS($C$5:$C$1504,C1403,$D$5:$D$1504,"&lt;="&amp;E1403,$E$5:$E$1504,"&gt;="&amp;D1403,$F$5:$F$1504,"&lt;&gt;İptal")&gt;1,"Çakışıyor",""))</f>
        <v/>
      </c>
    </row>
    <row r="1404" customFormat="false" ht="15" hidden="false" customHeight="false" outlineLevel="0" collapsed="false">
      <c r="A1404" s="12"/>
      <c r="B1404" s="12"/>
      <c r="C1404" s="13"/>
      <c r="D1404" s="14"/>
      <c r="E1404" s="14"/>
      <c r="F1404" s="13"/>
      <c r="G1404" s="15"/>
      <c r="H1404" s="16" t="str">
        <f aca="false">IF(OR(D1404="",E1404="",E1404&lt;D1404),"",E1404-D1404+1)</f>
        <v/>
      </c>
      <c r="I1404" s="17" t="str">
        <f aca="false">IF(OR(H1404="",C1404=""),"",IF(F1404="İptal",0,H1404*IFERROR(INDEX(Ürünler!$B$5:$B$64,MATCH(C1404,Ürünler!$A$5:$A$64,0)),0)-G1404))</f>
        <v/>
      </c>
      <c r="J1404" s="18" t="str">
        <f aca="false">IF(OR(H1404="",C1404="",F1404="İptal"),"",IF(COUNTIFS($C$5:$C$1504,C1404,$D$5:$D$1504,"&lt;="&amp;E1404,$E$5:$E$1504,"&gt;="&amp;D1404,$F$5:$F$1504,"&lt;&gt;İptal")&gt;1,"Çakışıyor",""))</f>
        <v/>
      </c>
    </row>
    <row r="1405" customFormat="false" ht="15" hidden="false" customHeight="false" outlineLevel="0" collapsed="false">
      <c r="A1405" s="12"/>
      <c r="B1405" s="12"/>
      <c r="C1405" s="13"/>
      <c r="D1405" s="14"/>
      <c r="E1405" s="14"/>
      <c r="F1405" s="13"/>
      <c r="G1405" s="15"/>
      <c r="H1405" s="16" t="str">
        <f aca="false">IF(OR(D1405="",E1405="",E1405&lt;D1405),"",E1405-D1405+1)</f>
        <v/>
      </c>
      <c r="I1405" s="17" t="str">
        <f aca="false">IF(OR(H1405="",C1405=""),"",IF(F1405="İptal",0,H1405*IFERROR(INDEX(Ürünler!$B$5:$B$64,MATCH(C1405,Ürünler!$A$5:$A$64,0)),0)-G1405))</f>
        <v/>
      </c>
      <c r="J1405" s="18" t="str">
        <f aca="false">IF(OR(H1405="",C1405="",F1405="İptal"),"",IF(COUNTIFS($C$5:$C$1504,C1405,$D$5:$D$1504,"&lt;="&amp;E1405,$E$5:$E$1504,"&gt;="&amp;D1405,$F$5:$F$1504,"&lt;&gt;İptal")&gt;1,"Çakışıyor",""))</f>
        <v/>
      </c>
    </row>
    <row r="1406" customFormat="false" ht="15" hidden="false" customHeight="false" outlineLevel="0" collapsed="false">
      <c r="A1406" s="12"/>
      <c r="B1406" s="12"/>
      <c r="C1406" s="13"/>
      <c r="D1406" s="14"/>
      <c r="E1406" s="14"/>
      <c r="F1406" s="13"/>
      <c r="G1406" s="15"/>
      <c r="H1406" s="16" t="str">
        <f aca="false">IF(OR(D1406="",E1406="",E1406&lt;D1406),"",E1406-D1406+1)</f>
        <v/>
      </c>
      <c r="I1406" s="17" t="str">
        <f aca="false">IF(OR(H1406="",C1406=""),"",IF(F1406="İptal",0,H1406*IFERROR(INDEX(Ürünler!$B$5:$B$64,MATCH(C1406,Ürünler!$A$5:$A$64,0)),0)-G1406))</f>
        <v/>
      </c>
      <c r="J1406" s="18" t="str">
        <f aca="false">IF(OR(H1406="",C1406="",F1406="İptal"),"",IF(COUNTIFS($C$5:$C$1504,C1406,$D$5:$D$1504,"&lt;="&amp;E1406,$E$5:$E$1504,"&gt;="&amp;D1406,$F$5:$F$1504,"&lt;&gt;İptal")&gt;1,"Çakışıyor",""))</f>
        <v/>
      </c>
    </row>
    <row r="1407" customFormat="false" ht="15" hidden="false" customHeight="false" outlineLevel="0" collapsed="false">
      <c r="A1407" s="12"/>
      <c r="B1407" s="12"/>
      <c r="C1407" s="13"/>
      <c r="D1407" s="14"/>
      <c r="E1407" s="14"/>
      <c r="F1407" s="13"/>
      <c r="G1407" s="15"/>
      <c r="H1407" s="16" t="str">
        <f aca="false">IF(OR(D1407="",E1407="",E1407&lt;D1407),"",E1407-D1407+1)</f>
        <v/>
      </c>
      <c r="I1407" s="17" t="str">
        <f aca="false">IF(OR(H1407="",C1407=""),"",IF(F1407="İptal",0,H1407*IFERROR(INDEX(Ürünler!$B$5:$B$64,MATCH(C1407,Ürünler!$A$5:$A$64,0)),0)-G1407))</f>
        <v/>
      </c>
      <c r="J1407" s="18" t="str">
        <f aca="false">IF(OR(H1407="",C1407="",F1407="İptal"),"",IF(COUNTIFS($C$5:$C$1504,C1407,$D$5:$D$1504,"&lt;="&amp;E1407,$E$5:$E$1504,"&gt;="&amp;D1407,$F$5:$F$1504,"&lt;&gt;İptal")&gt;1,"Çakışıyor",""))</f>
        <v/>
      </c>
    </row>
    <row r="1408" customFormat="false" ht="15" hidden="false" customHeight="false" outlineLevel="0" collapsed="false">
      <c r="A1408" s="12"/>
      <c r="B1408" s="12"/>
      <c r="C1408" s="13"/>
      <c r="D1408" s="14"/>
      <c r="E1408" s="14"/>
      <c r="F1408" s="13"/>
      <c r="G1408" s="15"/>
      <c r="H1408" s="16" t="str">
        <f aca="false">IF(OR(D1408="",E1408="",E1408&lt;D1408),"",E1408-D1408+1)</f>
        <v/>
      </c>
      <c r="I1408" s="17" t="str">
        <f aca="false">IF(OR(H1408="",C1408=""),"",IF(F1408="İptal",0,H1408*IFERROR(INDEX(Ürünler!$B$5:$B$64,MATCH(C1408,Ürünler!$A$5:$A$64,0)),0)-G1408))</f>
        <v/>
      </c>
      <c r="J1408" s="18" t="str">
        <f aca="false">IF(OR(H1408="",C1408="",F1408="İptal"),"",IF(COUNTIFS($C$5:$C$1504,C1408,$D$5:$D$1504,"&lt;="&amp;E1408,$E$5:$E$1504,"&gt;="&amp;D1408,$F$5:$F$1504,"&lt;&gt;İptal")&gt;1,"Çakışıyor",""))</f>
        <v/>
      </c>
    </row>
    <row r="1409" customFormat="false" ht="15" hidden="false" customHeight="false" outlineLevel="0" collapsed="false">
      <c r="A1409" s="12"/>
      <c r="B1409" s="12"/>
      <c r="C1409" s="13"/>
      <c r="D1409" s="14"/>
      <c r="E1409" s="14"/>
      <c r="F1409" s="13"/>
      <c r="G1409" s="15"/>
      <c r="H1409" s="16" t="str">
        <f aca="false">IF(OR(D1409="",E1409="",E1409&lt;D1409),"",E1409-D1409+1)</f>
        <v/>
      </c>
      <c r="I1409" s="17" t="str">
        <f aca="false">IF(OR(H1409="",C1409=""),"",IF(F1409="İptal",0,H1409*IFERROR(INDEX(Ürünler!$B$5:$B$64,MATCH(C1409,Ürünler!$A$5:$A$64,0)),0)-G1409))</f>
        <v/>
      </c>
      <c r="J1409" s="18" t="str">
        <f aca="false">IF(OR(H1409="",C1409="",F1409="İptal"),"",IF(COUNTIFS($C$5:$C$1504,C1409,$D$5:$D$1504,"&lt;="&amp;E1409,$E$5:$E$1504,"&gt;="&amp;D1409,$F$5:$F$1504,"&lt;&gt;İptal")&gt;1,"Çakışıyor",""))</f>
        <v/>
      </c>
    </row>
    <row r="1410" customFormat="false" ht="15" hidden="false" customHeight="false" outlineLevel="0" collapsed="false">
      <c r="A1410" s="12"/>
      <c r="B1410" s="12"/>
      <c r="C1410" s="13"/>
      <c r="D1410" s="14"/>
      <c r="E1410" s="14"/>
      <c r="F1410" s="13"/>
      <c r="G1410" s="15"/>
      <c r="H1410" s="16" t="str">
        <f aca="false">IF(OR(D1410="",E1410="",E1410&lt;D1410),"",E1410-D1410+1)</f>
        <v/>
      </c>
      <c r="I1410" s="17" t="str">
        <f aca="false">IF(OR(H1410="",C1410=""),"",IF(F1410="İptal",0,H1410*IFERROR(INDEX(Ürünler!$B$5:$B$64,MATCH(C1410,Ürünler!$A$5:$A$64,0)),0)-G1410))</f>
        <v/>
      </c>
      <c r="J1410" s="18" t="str">
        <f aca="false">IF(OR(H1410="",C1410="",F1410="İptal"),"",IF(COUNTIFS($C$5:$C$1504,C1410,$D$5:$D$1504,"&lt;="&amp;E1410,$E$5:$E$1504,"&gt;="&amp;D1410,$F$5:$F$1504,"&lt;&gt;İptal")&gt;1,"Çakışıyor",""))</f>
        <v/>
      </c>
    </row>
    <row r="1411" customFormat="false" ht="15" hidden="false" customHeight="false" outlineLevel="0" collapsed="false">
      <c r="A1411" s="12"/>
      <c r="B1411" s="12"/>
      <c r="C1411" s="13"/>
      <c r="D1411" s="14"/>
      <c r="E1411" s="14"/>
      <c r="F1411" s="13"/>
      <c r="G1411" s="15"/>
      <c r="H1411" s="16" t="str">
        <f aca="false">IF(OR(D1411="",E1411="",E1411&lt;D1411),"",E1411-D1411+1)</f>
        <v/>
      </c>
      <c r="I1411" s="17" t="str">
        <f aca="false">IF(OR(H1411="",C1411=""),"",IF(F1411="İptal",0,H1411*IFERROR(INDEX(Ürünler!$B$5:$B$64,MATCH(C1411,Ürünler!$A$5:$A$64,0)),0)-G1411))</f>
        <v/>
      </c>
      <c r="J1411" s="18" t="str">
        <f aca="false">IF(OR(H1411="",C1411="",F1411="İptal"),"",IF(COUNTIFS($C$5:$C$1504,C1411,$D$5:$D$1504,"&lt;="&amp;E1411,$E$5:$E$1504,"&gt;="&amp;D1411,$F$5:$F$1504,"&lt;&gt;İptal")&gt;1,"Çakışıyor",""))</f>
        <v/>
      </c>
    </row>
    <row r="1412" customFormat="false" ht="15" hidden="false" customHeight="false" outlineLevel="0" collapsed="false">
      <c r="A1412" s="12"/>
      <c r="B1412" s="12"/>
      <c r="C1412" s="13"/>
      <c r="D1412" s="14"/>
      <c r="E1412" s="14"/>
      <c r="F1412" s="13"/>
      <c r="G1412" s="15"/>
      <c r="H1412" s="16" t="str">
        <f aca="false">IF(OR(D1412="",E1412="",E1412&lt;D1412),"",E1412-D1412+1)</f>
        <v/>
      </c>
      <c r="I1412" s="17" t="str">
        <f aca="false">IF(OR(H1412="",C1412=""),"",IF(F1412="İptal",0,H1412*IFERROR(INDEX(Ürünler!$B$5:$B$64,MATCH(C1412,Ürünler!$A$5:$A$64,0)),0)-G1412))</f>
        <v/>
      </c>
      <c r="J1412" s="18" t="str">
        <f aca="false">IF(OR(H1412="",C1412="",F1412="İptal"),"",IF(COUNTIFS($C$5:$C$1504,C1412,$D$5:$D$1504,"&lt;="&amp;E1412,$E$5:$E$1504,"&gt;="&amp;D1412,$F$5:$F$1504,"&lt;&gt;İptal")&gt;1,"Çakışıyor",""))</f>
        <v/>
      </c>
    </row>
    <row r="1413" customFormat="false" ht="15" hidden="false" customHeight="false" outlineLevel="0" collapsed="false">
      <c r="A1413" s="12"/>
      <c r="B1413" s="12"/>
      <c r="C1413" s="13"/>
      <c r="D1413" s="14"/>
      <c r="E1413" s="14"/>
      <c r="F1413" s="13"/>
      <c r="G1413" s="15"/>
      <c r="H1413" s="16" t="str">
        <f aca="false">IF(OR(D1413="",E1413="",E1413&lt;D1413),"",E1413-D1413+1)</f>
        <v/>
      </c>
      <c r="I1413" s="17" t="str">
        <f aca="false">IF(OR(H1413="",C1413=""),"",IF(F1413="İptal",0,H1413*IFERROR(INDEX(Ürünler!$B$5:$B$64,MATCH(C1413,Ürünler!$A$5:$A$64,0)),0)-G1413))</f>
        <v/>
      </c>
      <c r="J1413" s="18" t="str">
        <f aca="false">IF(OR(H1413="",C1413="",F1413="İptal"),"",IF(COUNTIFS($C$5:$C$1504,C1413,$D$5:$D$1504,"&lt;="&amp;E1413,$E$5:$E$1504,"&gt;="&amp;D1413,$F$5:$F$1504,"&lt;&gt;İptal")&gt;1,"Çakışıyor",""))</f>
        <v/>
      </c>
    </row>
    <row r="1414" customFormat="false" ht="15" hidden="false" customHeight="false" outlineLevel="0" collapsed="false">
      <c r="A1414" s="12"/>
      <c r="B1414" s="12"/>
      <c r="C1414" s="13"/>
      <c r="D1414" s="14"/>
      <c r="E1414" s="14"/>
      <c r="F1414" s="13"/>
      <c r="G1414" s="15"/>
      <c r="H1414" s="16" t="str">
        <f aca="false">IF(OR(D1414="",E1414="",E1414&lt;D1414),"",E1414-D1414+1)</f>
        <v/>
      </c>
      <c r="I1414" s="17" t="str">
        <f aca="false">IF(OR(H1414="",C1414=""),"",IF(F1414="İptal",0,H1414*IFERROR(INDEX(Ürünler!$B$5:$B$64,MATCH(C1414,Ürünler!$A$5:$A$64,0)),0)-G1414))</f>
        <v/>
      </c>
      <c r="J1414" s="18" t="str">
        <f aca="false">IF(OR(H1414="",C1414="",F1414="İptal"),"",IF(COUNTIFS($C$5:$C$1504,C1414,$D$5:$D$1504,"&lt;="&amp;E1414,$E$5:$E$1504,"&gt;="&amp;D1414,$F$5:$F$1504,"&lt;&gt;İptal")&gt;1,"Çakışıyor",""))</f>
        <v/>
      </c>
    </row>
    <row r="1415" customFormat="false" ht="15" hidden="false" customHeight="false" outlineLevel="0" collapsed="false">
      <c r="A1415" s="12"/>
      <c r="B1415" s="12"/>
      <c r="C1415" s="13"/>
      <c r="D1415" s="14"/>
      <c r="E1415" s="14"/>
      <c r="F1415" s="13"/>
      <c r="G1415" s="15"/>
      <c r="H1415" s="16" t="str">
        <f aca="false">IF(OR(D1415="",E1415="",E1415&lt;D1415),"",E1415-D1415+1)</f>
        <v/>
      </c>
      <c r="I1415" s="17" t="str">
        <f aca="false">IF(OR(H1415="",C1415=""),"",IF(F1415="İptal",0,H1415*IFERROR(INDEX(Ürünler!$B$5:$B$64,MATCH(C1415,Ürünler!$A$5:$A$64,0)),0)-G1415))</f>
        <v/>
      </c>
      <c r="J1415" s="18" t="str">
        <f aca="false">IF(OR(H1415="",C1415="",F1415="İptal"),"",IF(COUNTIFS($C$5:$C$1504,C1415,$D$5:$D$1504,"&lt;="&amp;E1415,$E$5:$E$1504,"&gt;="&amp;D1415,$F$5:$F$1504,"&lt;&gt;İptal")&gt;1,"Çakışıyor",""))</f>
        <v/>
      </c>
    </row>
    <row r="1416" customFormat="false" ht="15" hidden="false" customHeight="false" outlineLevel="0" collapsed="false">
      <c r="A1416" s="12"/>
      <c r="B1416" s="12"/>
      <c r="C1416" s="13"/>
      <c r="D1416" s="14"/>
      <c r="E1416" s="14"/>
      <c r="F1416" s="13"/>
      <c r="G1416" s="15"/>
      <c r="H1416" s="16" t="str">
        <f aca="false">IF(OR(D1416="",E1416="",E1416&lt;D1416),"",E1416-D1416+1)</f>
        <v/>
      </c>
      <c r="I1416" s="17" t="str">
        <f aca="false">IF(OR(H1416="",C1416=""),"",IF(F1416="İptal",0,H1416*IFERROR(INDEX(Ürünler!$B$5:$B$64,MATCH(C1416,Ürünler!$A$5:$A$64,0)),0)-G1416))</f>
        <v/>
      </c>
      <c r="J1416" s="18" t="str">
        <f aca="false">IF(OR(H1416="",C1416="",F1416="İptal"),"",IF(COUNTIFS($C$5:$C$1504,C1416,$D$5:$D$1504,"&lt;="&amp;E1416,$E$5:$E$1504,"&gt;="&amp;D1416,$F$5:$F$1504,"&lt;&gt;İptal")&gt;1,"Çakışıyor",""))</f>
        <v/>
      </c>
    </row>
    <row r="1417" customFormat="false" ht="15" hidden="false" customHeight="false" outlineLevel="0" collapsed="false">
      <c r="A1417" s="12"/>
      <c r="B1417" s="12"/>
      <c r="C1417" s="13"/>
      <c r="D1417" s="14"/>
      <c r="E1417" s="14"/>
      <c r="F1417" s="13"/>
      <c r="G1417" s="15"/>
      <c r="H1417" s="16" t="str">
        <f aca="false">IF(OR(D1417="",E1417="",E1417&lt;D1417),"",E1417-D1417+1)</f>
        <v/>
      </c>
      <c r="I1417" s="17" t="str">
        <f aca="false">IF(OR(H1417="",C1417=""),"",IF(F1417="İptal",0,H1417*IFERROR(INDEX(Ürünler!$B$5:$B$64,MATCH(C1417,Ürünler!$A$5:$A$64,0)),0)-G1417))</f>
        <v/>
      </c>
      <c r="J1417" s="18" t="str">
        <f aca="false">IF(OR(H1417="",C1417="",F1417="İptal"),"",IF(COUNTIFS($C$5:$C$1504,C1417,$D$5:$D$1504,"&lt;="&amp;E1417,$E$5:$E$1504,"&gt;="&amp;D1417,$F$5:$F$1504,"&lt;&gt;İptal")&gt;1,"Çakışıyor",""))</f>
        <v/>
      </c>
    </row>
    <row r="1418" customFormat="false" ht="15" hidden="false" customHeight="false" outlineLevel="0" collapsed="false">
      <c r="A1418" s="12"/>
      <c r="B1418" s="12"/>
      <c r="C1418" s="13"/>
      <c r="D1418" s="14"/>
      <c r="E1418" s="14"/>
      <c r="F1418" s="13"/>
      <c r="G1418" s="15"/>
      <c r="H1418" s="16" t="str">
        <f aca="false">IF(OR(D1418="",E1418="",E1418&lt;D1418),"",E1418-D1418+1)</f>
        <v/>
      </c>
      <c r="I1418" s="17" t="str">
        <f aca="false">IF(OR(H1418="",C1418=""),"",IF(F1418="İptal",0,H1418*IFERROR(INDEX(Ürünler!$B$5:$B$64,MATCH(C1418,Ürünler!$A$5:$A$64,0)),0)-G1418))</f>
        <v/>
      </c>
      <c r="J1418" s="18" t="str">
        <f aca="false">IF(OR(H1418="",C1418="",F1418="İptal"),"",IF(COUNTIFS($C$5:$C$1504,C1418,$D$5:$D$1504,"&lt;="&amp;E1418,$E$5:$E$1504,"&gt;="&amp;D1418,$F$5:$F$1504,"&lt;&gt;İptal")&gt;1,"Çakışıyor",""))</f>
        <v/>
      </c>
    </row>
    <row r="1419" customFormat="false" ht="15" hidden="false" customHeight="false" outlineLevel="0" collapsed="false">
      <c r="A1419" s="12"/>
      <c r="B1419" s="12"/>
      <c r="C1419" s="13"/>
      <c r="D1419" s="14"/>
      <c r="E1419" s="14"/>
      <c r="F1419" s="13"/>
      <c r="G1419" s="15"/>
      <c r="H1419" s="16" t="str">
        <f aca="false">IF(OR(D1419="",E1419="",E1419&lt;D1419),"",E1419-D1419+1)</f>
        <v/>
      </c>
      <c r="I1419" s="17" t="str">
        <f aca="false">IF(OR(H1419="",C1419=""),"",IF(F1419="İptal",0,H1419*IFERROR(INDEX(Ürünler!$B$5:$B$64,MATCH(C1419,Ürünler!$A$5:$A$64,0)),0)-G1419))</f>
        <v/>
      </c>
      <c r="J1419" s="18" t="str">
        <f aca="false">IF(OR(H1419="",C1419="",F1419="İptal"),"",IF(COUNTIFS($C$5:$C$1504,C1419,$D$5:$D$1504,"&lt;="&amp;E1419,$E$5:$E$1504,"&gt;="&amp;D1419,$F$5:$F$1504,"&lt;&gt;İptal")&gt;1,"Çakışıyor",""))</f>
        <v/>
      </c>
    </row>
    <row r="1420" customFormat="false" ht="15" hidden="false" customHeight="false" outlineLevel="0" collapsed="false">
      <c r="A1420" s="12"/>
      <c r="B1420" s="12"/>
      <c r="C1420" s="13"/>
      <c r="D1420" s="14"/>
      <c r="E1420" s="14"/>
      <c r="F1420" s="13"/>
      <c r="G1420" s="15"/>
      <c r="H1420" s="16" t="str">
        <f aca="false">IF(OR(D1420="",E1420="",E1420&lt;D1420),"",E1420-D1420+1)</f>
        <v/>
      </c>
      <c r="I1420" s="17" t="str">
        <f aca="false">IF(OR(H1420="",C1420=""),"",IF(F1420="İptal",0,H1420*IFERROR(INDEX(Ürünler!$B$5:$B$64,MATCH(C1420,Ürünler!$A$5:$A$64,0)),0)-G1420))</f>
        <v/>
      </c>
      <c r="J1420" s="18" t="str">
        <f aca="false">IF(OR(H1420="",C1420="",F1420="İptal"),"",IF(COUNTIFS($C$5:$C$1504,C1420,$D$5:$D$1504,"&lt;="&amp;E1420,$E$5:$E$1504,"&gt;="&amp;D1420,$F$5:$F$1504,"&lt;&gt;İptal")&gt;1,"Çakışıyor",""))</f>
        <v/>
      </c>
    </row>
    <row r="1421" customFormat="false" ht="15" hidden="false" customHeight="false" outlineLevel="0" collapsed="false">
      <c r="A1421" s="12"/>
      <c r="B1421" s="12"/>
      <c r="C1421" s="13"/>
      <c r="D1421" s="14"/>
      <c r="E1421" s="14"/>
      <c r="F1421" s="13"/>
      <c r="G1421" s="15"/>
      <c r="H1421" s="16" t="str">
        <f aca="false">IF(OR(D1421="",E1421="",E1421&lt;D1421),"",E1421-D1421+1)</f>
        <v/>
      </c>
      <c r="I1421" s="17" t="str">
        <f aca="false">IF(OR(H1421="",C1421=""),"",IF(F1421="İptal",0,H1421*IFERROR(INDEX(Ürünler!$B$5:$B$64,MATCH(C1421,Ürünler!$A$5:$A$64,0)),0)-G1421))</f>
        <v/>
      </c>
      <c r="J1421" s="18" t="str">
        <f aca="false">IF(OR(H1421="",C1421="",F1421="İptal"),"",IF(COUNTIFS($C$5:$C$1504,C1421,$D$5:$D$1504,"&lt;="&amp;E1421,$E$5:$E$1504,"&gt;="&amp;D1421,$F$5:$F$1504,"&lt;&gt;İptal")&gt;1,"Çakışıyor",""))</f>
        <v/>
      </c>
    </row>
    <row r="1422" customFormat="false" ht="15" hidden="false" customHeight="false" outlineLevel="0" collapsed="false">
      <c r="A1422" s="12"/>
      <c r="B1422" s="12"/>
      <c r="C1422" s="13"/>
      <c r="D1422" s="14"/>
      <c r="E1422" s="14"/>
      <c r="F1422" s="13"/>
      <c r="G1422" s="15"/>
      <c r="H1422" s="16" t="str">
        <f aca="false">IF(OR(D1422="",E1422="",E1422&lt;D1422),"",E1422-D1422+1)</f>
        <v/>
      </c>
      <c r="I1422" s="17" t="str">
        <f aca="false">IF(OR(H1422="",C1422=""),"",IF(F1422="İptal",0,H1422*IFERROR(INDEX(Ürünler!$B$5:$B$64,MATCH(C1422,Ürünler!$A$5:$A$64,0)),0)-G1422))</f>
        <v/>
      </c>
      <c r="J1422" s="18" t="str">
        <f aca="false">IF(OR(H1422="",C1422="",F1422="İptal"),"",IF(COUNTIFS($C$5:$C$1504,C1422,$D$5:$D$1504,"&lt;="&amp;E1422,$E$5:$E$1504,"&gt;="&amp;D1422,$F$5:$F$1504,"&lt;&gt;İptal")&gt;1,"Çakışıyor",""))</f>
        <v/>
      </c>
    </row>
    <row r="1423" customFormat="false" ht="15" hidden="false" customHeight="false" outlineLevel="0" collapsed="false">
      <c r="A1423" s="12"/>
      <c r="B1423" s="12"/>
      <c r="C1423" s="13"/>
      <c r="D1423" s="14"/>
      <c r="E1423" s="14"/>
      <c r="F1423" s="13"/>
      <c r="G1423" s="15"/>
      <c r="H1423" s="16" t="str">
        <f aca="false">IF(OR(D1423="",E1423="",E1423&lt;D1423),"",E1423-D1423+1)</f>
        <v/>
      </c>
      <c r="I1423" s="17" t="str">
        <f aca="false">IF(OR(H1423="",C1423=""),"",IF(F1423="İptal",0,H1423*IFERROR(INDEX(Ürünler!$B$5:$B$64,MATCH(C1423,Ürünler!$A$5:$A$64,0)),0)-G1423))</f>
        <v/>
      </c>
      <c r="J1423" s="18" t="str">
        <f aca="false">IF(OR(H1423="",C1423="",F1423="İptal"),"",IF(COUNTIFS($C$5:$C$1504,C1423,$D$5:$D$1504,"&lt;="&amp;E1423,$E$5:$E$1504,"&gt;="&amp;D1423,$F$5:$F$1504,"&lt;&gt;İptal")&gt;1,"Çakışıyor",""))</f>
        <v/>
      </c>
    </row>
    <row r="1424" customFormat="false" ht="15" hidden="false" customHeight="false" outlineLevel="0" collapsed="false">
      <c r="A1424" s="12"/>
      <c r="B1424" s="12"/>
      <c r="C1424" s="13"/>
      <c r="D1424" s="14"/>
      <c r="E1424" s="14"/>
      <c r="F1424" s="13"/>
      <c r="G1424" s="15"/>
      <c r="H1424" s="16" t="str">
        <f aca="false">IF(OR(D1424="",E1424="",E1424&lt;D1424),"",E1424-D1424+1)</f>
        <v/>
      </c>
      <c r="I1424" s="17" t="str">
        <f aca="false">IF(OR(H1424="",C1424=""),"",IF(F1424="İptal",0,H1424*IFERROR(INDEX(Ürünler!$B$5:$B$64,MATCH(C1424,Ürünler!$A$5:$A$64,0)),0)-G1424))</f>
        <v/>
      </c>
      <c r="J1424" s="18" t="str">
        <f aca="false">IF(OR(H1424="",C1424="",F1424="İptal"),"",IF(COUNTIFS($C$5:$C$1504,C1424,$D$5:$D$1504,"&lt;="&amp;E1424,$E$5:$E$1504,"&gt;="&amp;D1424,$F$5:$F$1504,"&lt;&gt;İptal")&gt;1,"Çakışıyor",""))</f>
        <v/>
      </c>
    </row>
    <row r="1425" customFormat="false" ht="15" hidden="false" customHeight="false" outlineLevel="0" collapsed="false">
      <c r="A1425" s="12"/>
      <c r="B1425" s="12"/>
      <c r="C1425" s="13"/>
      <c r="D1425" s="14"/>
      <c r="E1425" s="14"/>
      <c r="F1425" s="13"/>
      <c r="G1425" s="15"/>
      <c r="H1425" s="16" t="str">
        <f aca="false">IF(OR(D1425="",E1425="",E1425&lt;D1425),"",E1425-D1425+1)</f>
        <v/>
      </c>
      <c r="I1425" s="17" t="str">
        <f aca="false">IF(OR(H1425="",C1425=""),"",IF(F1425="İptal",0,H1425*IFERROR(INDEX(Ürünler!$B$5:$B$64,MATCH(C1425,Ürünler!$A$5:$A$64,0)),0)-G1425))</f>
        <v/>
      </c>
      <c r="J1425" s="18" t="str">
        <f aca="false">IF(OR(H1425="",C1425="",F1425="İptal"),"",IF(COUNTIFS($C$5:$C$1504,C1425,$D$5:$D$1504,"&lt;="&amp;E1425,$E$5:$E$1504,"&gt;="&amp;D1425,$F$5:$F$1504,"&lt;&gt;İptal")&gt;1,"Çakışıyor",""))</f>
        <v/>
      </c>
    </row>
    <row r="1426" customFormat="false" ht="15" hidden="false" customHeight="false" outlineLevel="0" collapsed="false">
      <c r="A1426" s="12"/>
      <c r="B1426" s="12"/>
      <c r="C1426" s="13"/>
      <c r="D1426" s="14"/>
      <c r="E1426" s="14"/>
      <c r="F1426" s="13"/>
      <c r="G1426" s="15"/>
      <c r="H1426" s="16" t="str">
        <f aca="false">IF(OR(D1426="",E1426="",E1426&lt;D1426),"",E1426-D1426+1)</f>
        <v/>
      </c>
      <c r="I1426" s="17" t="str">
        <f aca="false">IF(OR(H1426="",C1426=""),"",IF(F1426="İptal",0,H1426*IFERROR(INDEX(Ürünler!$B$5:$B$64,MATCH(C1426,Ürünler!$A$5:$A$64,0)),0)-G1426))</f>
        <v/>
      </c>
      <c r="J1426" s="18" t="str">
        <f aca="false">IF(OR(H1426="",C1426="",F1426="İptal"),"",IF(COUNTIFS($C$5:$C$1504,C1426,$D$5:$D$1504,"&lt;="&amp;E1426,$E$5:$E$1504,"&gt;="&amp;D1426,$F$5:$F$1504,"&lt;&gt;İptal")&gt;1,"Çakışıyor",""))</f>
        <v/>
      </c>
    </row>
    <row r="1427" customFormat="false" ht="15" hidden="false" customHeight="false" outlineLevel="0" collapsed="false">
      <c r="A1427" s="12"/>
      <c r="B1427" s="12"/>
      <c r="C1427" s="13"/>
      <c r="D1427" s="14"/>
      <c r="E1427" s="14"/>
      <c r="F1427" s="13"/>
      <c r="G1427" s="15"/>
      <c r="H1427" s="16" t="str">
        <f aca="false">IF(OR(D1427="",E1427="",E1427&lt;D1427),"",E1427-D1427+1)</f>
        <v/>
      </c>
      <c r="I1427" s="17" t="str">
        <f aca="false">IF(OR(H1427="",C1427=""),"",IF(F1427="İptal",0,H1427*IFERROR(INDEX(Ürünler!$B$5:$B$64,MATCH(C1427,Ürünler!$A$5:$A$64,0)),0)-G1427))</f>
        <v/>
      </c>
      <c r="J1427" s="18" t="str">
        <f aca="false">IF(OR(H1427="",C1427="",F1427="İptal"),"",IF(COUNTIFS($C$5:$C$1504,C1427,$D$5:$D$1504,"&lt;="&amp;E1427,$E$5:$E$1504,"&gt;="&amp;D1427,$F$5:$F$1504,"&lt;&gt;İptal")&gt;1,"Çakışıyor",""))</f>
        <v/>
      </c>
    </row>
    <row r="1428" customFormat="false" ht="15" hidden="false" customHeight="false" outlineLevel="0" collapsed="false">
      <c r="A1428" s="12"/>
      <c r="B1428" s="12"/>
      <c r="C1428" s="13"/>
      <c r="D1428" s="14"/>
      <c r="E1428" s="14"/>
      <c r="F1428" s="13"/>
      <c r="G1428" s="15"/>
      <c r="H1428" s="16" t="str">
        <f aca="false">IF(OR(D1428="",E1428="",E1428&lt;D1428),"",E1428-D1428+1)</f>
        <v/>
      </c>
      <c r="I1428" s="17" t="str">
        <f aca="false">IF(OR(H1428="",C1428=""),"",IF(F1428="İptal",0,H1428*IFERROR(INDEX(Ürünler!$B$5:$B$64,MATCH(C1428,Ürünler!$A$5:$A$64,0)),0)-G1428))</f>
        <v/>
      </c>
      <c r="J1428" s="18" t="str">
        <f aca="false">IF(OR(H1428="",C1428="",F1428="İptal"),"",IF(COUNTIFS($C$5:$C$1504,C1428,$D$5:$D$1504,"&lt;="&amp;E1428,$E$5:$E$1504,"&gt;="&amp;D1428,$F$5:$F$1504,"&lt;&gt;İptal")&gt;1,"Çakışıyor",""))</f>
        <v/>
      </c>
    </row>
    <row r="1429" customFormat="false" ht="15" hidden="false" customHeight="false" outlineLevel="0" collapsed="false">
      <c r="A1429" s="12"/>
      <c r="B1429" s="12"/>
      <c r="C1429" s="13"/>
      <c r="D1429" s="14"/>
      <c r="E1429" s="14"/>
      <c r="F1429" s="13"/>
      <c r="G1429" s="15"/>
      <c r="H1429" s="16" t="str">
        <f aca="false">IF(OR(D1429="",E1429="",E1429&lt;D1429),"",E1429-D1429+1)</f>
        <v/>
      </c>
      <c r="I1429" s="17" t="str">
        <f aca="false">IF(OR(H1429="",C1429=""),"",IF(F1429="İptal",0,H1429*IFERROR(INDEX(Ürünler!$B$5:$B$64,MATCH(C1429,Ürünler!$A$5:$A$64,0)),0)-G1429))</f>
        <v/>
      </c>
      <c r="J1429" s="18" t="str">
        <f aca="false">IF(OR(H1429="",C1429="",F1429="İptal"),"",IF(COUNTIFS($C$5:$C$1504,C1429,$D$5:$D$1504,"&lt;="&amp;E1429,$E$5:$E$1504,"&gt;="&amp;D1429,$F$5:$F$1504,"&lt;&gt;İptal")&gt;1,"Çakışıyor",""))</f>
        <v/>
      </c>
    </row>
    <row r="1430" customFormat="false" ht="15" hidden="false" customHeight="false" outlineLevel="0" collapsed="false">
      <c r="A1430" s="12"/>
      <c r="B1430" s="12"/>
      <c r="C1430" s="13"/>
      <c r="D1430" s="14"/>
      <c r="E1430" s="14"/>
      <c r="F1430" s="13"/>
      <c r="G1430" s="15"/>
      <c r="H1430" s="16" t="str">
        <f aca="false">IF(OR(D1430="",E1430="",E1430&lt;D1430),"",E1430-D1430+1)</f>
        <v/>
      </c>
      <c r="I1430" s="17" t="str">
        <f aca="false">IF(OR(H1430="",C1430=""),"",IF(F1430="İptal",0,H1430*IFERROR(INDEX(Ürünler!$B$5:$B$64,MATCH(C1430,Ürünler!$A$5:$A$64,0)),0)-G1430))</f>
        <v/>
      </c>
      <c r="J1430" s="18" t="str">
        <f aca="false">IF(OR(H1430="",C1430="",F1430="İptal"),"",IF(COUNTIFS($C$5:$C$1504,C1430,$D$5:$D$1504,"&lt;="&amp;E1430,$E$5:$E$1504,"&gt;="&amp;D1430,$F$5:$F$1504,"&lt;&gt;İptal")&gt;1,"Çakışıyor",""))</f>
        <v/>
      </c>
    </row>
    <row r="1431" customFormat="false" ht="15" hidden="false" customHeight="false" outlineLevel="0" collapsed="false">
      <c r="A1431" s="12"/>
      <c r="B1431" s="12"/>
      <c r="C1431" s="13"/>
      <c r="D1431" s="14"/>
      <c r="E1431" s="14"/>
      <c r="F1431" s="13"/>
      <c r="G1431" s="15"/>
      <c r="H1431" s="16" t="str">
        <f aca="false">IF(OR(D1431="",E1431="",E1431&lt;D1431),"",E1431-D1431+1)</f>
        <v/>
      </c>
      <c r="I1431" s="17" t="str">
        <f aca="false">IF(OR(H1431="",C1431=""),"",IF(F1431="İptal",0,H1431*IFERROR(INDEX(Ürünler!$B$5:$B$64,MATCH(C1431,Ürünler!$A$5:$A$64,0)),0)-G1431))</f>
        <v/>
      </c>
      <c r="J1431" s="18" t="str">
        <f aca="false">IF(OR(H1431="",C1431="",F1431="İptal"),"",IF(COUNTIFS($C$5:$C$1504,C1431,$D$5:$D$1504,"&lt;="&amp;E1431,$E$5:$E$1504,"&gt;="&amp;D1431,$F$5:$F$1504,"&lt;&gt;İptal")&gt;1,"Çakışıyor",""))</f>
        <v/>
      </c>
    </row>
    <row r="1432" customFormat="false" ht="15" hidden="false" customHeight="false" outlineLevel="0" collapsed="false">
      <c r="A1432" s="12"/>
      <c r="B1432" s="12"/>
      <c r="C1432" s="13"/>
      <c r="D1432" s="14"/>
      <c r="E1432" s="14"/>
      <c r="F1432" s="13"/>
      <c r="G1432" s="15"/>
      <c r="H1432" s="16" t="str">
        <f aca="false">IF(OR(D1432="",E1432="",E1432&lt;D1432),"",E1432-D1432+1)</f>
        <v/>
      </c>
      <c r="I1432" s="17" t="str">
        <f aca="false">IF(OR(H1432="",C1432=""),"",IF(F1432="İptal",0,H1432*IFERROR(INDEX(Ürünler!$B$5:$B$64,MATCH(C1432,Ürünler!$A$5:$A$64,0)),0)-G1432))</f>
        <v/>
      </c>
      <c r="J1432" s="18" t="str">
        <f aca="false">IF(OR(H1432="",C1432="",F1432="İptal"),"",IF(COUNTIFS($C$5:$C$1504,C1432,$D$5:$D$1504,"&lt;="&amp;E1432,$E$5:$E$1504,"&gt;="&amp;D1432,$F$5:$F$1504,"&lt;&gt;İptal")&gt;1,"Çakışıyor",""))</f>
        <v/>
      </c>
    </row>
    <row r="1433" customFormat="false" ht="15" hidden="false" customHeight="false" outlineLevel="0" collapsed="false">
      <c r="A1433" s="12"/>
      <c r="B1433" s="12"/>
      <c r="C1433" s="13"/>
      <c r="D1433" s="14"/>
      <c r="E1433" s="14"/>
      <c r="F1433" s="13"/>
      <c r="G1433" s="15"/>
      <c r="H1433" s="16" t="str">
        <f aca="false">IF(OR(D1433="",E1433="",E1433&lt;D1433),"",E1433-D1433+1)</f>
        <v/>
      </c>
      <c r="I1433" s="17" t="str">
        <f aca="false">IF(OR(H1433="",C1433=""),"",IF(F1433="İptal",0,H1433*IFERROR(INDEX(Ürünler!$B$5:$B$64,MATCH(C1433,Ürünler!$A$5:$A$64,0)),0)-G1433))</f>
        <v/>
      </c>
      <c r="J1433" s="18" t="str">
        <f aca="false">IF(OR(H1433="",C1433="",F1433="İptal"),"",IF(COUNTIFS($C$5:$C$1504,C1433,$D$5:$D$1504,"&lt;="&amp;E1433,$E$5:$E$1504,"&gt;="&amp;D1433,$F$5:$F$1504,"&lt;&gt;İptal")&gt;1,"Çakışıyor",""))</f>
        <v/>
      </c>
    </row>
    <row r="1434" customFormat="false" ht="15" hidden="false" customHeight="false" outlineLevel="0" collapsed="false">
      <c r="A1434" s="12"/>
      <c r="B1434" s="12"/>
      <c r="C1434" s="13"/>
      <c r="D1434" s="14"/>
      <c r="E1434" s="14"/>
      <c r="F1434" s="13"/>
      <c r="G1434" s="15"/>
      <c r="H1434" s="16" t="str">
        <f aca="false">IF(OR(D1434="",E1434="",E1434&lt;D1434),"",E1434-D1434+1)</f>
        <v/>
      </c>
      <c r="I1434" s="17" t="str">
        <f aca="false">IF(OR(H1434="",C1434=""),"",IF(F1434="İptal",0,H1434*IFERROR(INDEX(Ürünler!$B$5:$B$64,MATCH(C1434,Ürünler!$A$5:$A$64,0)),0)-G1434))</f>
        <v/>
      </c>
      <c r="J1434" s="18" t="str">
        <f aca="false">IF(OR(H1434="",C1434="",F1434="İptal"),"",IF(COUNTIFS($C$5:$C$1504,C1434,$D$5:$D$1504,"&lt;="&amp;E1434,$E$5:$E$1504,"&gt;="&amp;D1434,$F$5:$F$1504,"&lt;&gt;İptal")&gt;1,"Çakışıyor",""))</f>
        <v/>
      </c>
    </row>
    <row r="1435" customFormat="false" ht="15" hidden="false" customHeight="false" outlineLevel="0" collapsed="false">
      <c r="A1435" s="12"/>
      <c r="B1435" s="12"/>
      <c r="C1435" s="13"/>
      <c r="D1435" s="14"/>
      <c r="E1435" s="14"/>
      <c r="F1435" s="13"/>
      <c r="G1435" s="15"/>
      <c r="H1435" s="16" t="str">
        <f aca="false">IF(OR(D1435="",E1435="",E1435&lt;D1435),"",E1435-D1435+1)</f>
        <v/>
      </c>
      <c r="I1435" s="17" t="str">
        <f aca="false">IF(OR(H1435="",C1435=""),"",IF(F1435="İptal",0,H1435*IFERROR(INDEX(Ürünler!$B$5:$B$64,MATCH(C1435,Ürünler!$A$5:$A$64,0)),0)-G1435))</f>
        <v/>
      </c>
      <c r="J1435" s="18" t="str">
        <f aca="false">IF(OR(H1435="",C1435="",F1435="İptal"),"",IF(COUNTIFS($C$5:$C$1504,C1435,$D$5:$D$1504,"&lt;="&amp;E1435,$E$5:$E$1504,"&gt;="&amp;D1435,$F$5:$F$1504,"&lt;&gt;İptal")&gt;1,"Çakışıyor",""))</f>
        <v/>
      </c>
    </row>
    <row r="1436" customFormat="false" ht="15" hidden="false" customHeight="false" outlineLevel="0" collapsed="false">
      <c r="A1436" s="12"/>
      <c r="B1436" s="12"/>
      <c r="C1436" s="13"/>
      <c r="D1436" s="14"/>
      <c r="E1436" s="14"/>
      <c r="F1436" s="13"/>
      <c r="G1436" s="15"/>
      <c r="H1436" s="16" t="str">
        <f aca="false">IF(OR(D1436="",E1436="",E1436&lt;D1436),"",E1436-D1436+1)</f>
        <v/>
      </c>
      <c r="I1436" s="17" t="str">
        <f aca="false">IF(OR(H1436="",C1436=""),"",IF(F1436="İptal",0,H1436*IFERROR(INDEX(Ürünler!$B$5:$B$64,MATCH(C1436,Ürünler!$A$5:$A$64,0)),0)-G1436))</f>
        <v/>
      </c>
      <c r="J1436" s="18" t="str">
        <f aca="false">IF(OR(H1436="",C1436="",F1436="İptal"),"",IF(COUNTIFS($C$5:$C$1504,C1436,$D$5:$D$1504,"&lt;="&amp;E1436,$E$5:$E$1504,"&gt;="&amp;D1436,$F$5:$F$1504,"&lt;&gt;İptal")&gt;1,"Çakışıyor",""))</f>
        <v/>
      </c>
    </row>
    <row r="1437" customFormat="false" ht="15" hidden="false" customHeight="false" outlineLevel="0" collapsed="false">
      <c r="A1437" s="12"/>
      <c r="B1437" s="12"/>
      <c r="C1437" s="13"/>
      <c r="D1437" s="14"/>
      <c r="E1437" s="14"/>
      <c r="F1437" s="13"/>
      <c r="G1437" s="15"/>
      <c r="H1437" s="16" t="str">
        <f aca="false">IF(OR(D1437="",E1437="",E1437&lt;D1437),"",E1437-D1437+1)</f>
        <v/>
      </c>
      <c r="I1437" s="17" t="str">
        <f aca="false">IF(OR(H1437="",C1437=""),"",IF(F1437="İptal",0,H1437*IFERROR(INDEX(Ürünler!$B$5:$B$64,MATCH(C1437,Ürünler!$A$5:$A$64,0)),0)-G1437))</f>
        <v/>
      </c>
      <c r="J1437" s="18" t="str">
        <f aca="false">IF(OR(H1437="",C1437="",F1437="İptal"),"",IF(COUNTIFS($C$5:$C$1504,C1437,$D$5:$D$1504,"&lt;="&amp;E1437,$E$5:$E$1504,"&gt;="&amp;D1437,$F$5:$F$1504,"&lt;&gt;İptal")&gt;1,"Çakışıyor",""))</f>
        <v/>
      </c>
    </row>
    <row r="1438" customFormat="false" ht="15" hidden="false" customHeight="false" outlineLevel="0" collapsed="false">
      <c r="A1438" s="12"/>
      <c r="B1438" s="12"/>
      <c r="C1438" s="13"/>
      <c r="D1438" s="14"/>
      <c r="E1438" s="14"/>
      <c r="F1438" s="13"/>
      <c r="G1438" s="15"/>
      <c r="H1438" s="16" t="str">
        <f aca="false">IF(OR(D1438="",E1438="",E1438&lt;D1438),"",E1438-D1438+1)</f>
        <v/>
      </c>
      <c r="I1438" s="17" t="str">
        <f aca="false">IF(OR(H1438="",C1438=""),"",IF(F1438="İptal",0,H1438*IFERROR(INDEX(Ürünler!$B$5:$B$64,MATCH(C1438,Ürünler!$A$5:$A$64,0)),0)-G1438))</f>
        <v/>
      </c>
      <c r="J1438" s="18" t="str">
        <f aca="false">IF(OR(H1438="",C1438="",F1438="İptal"),"",IF(COUNTIFS($C$5:$C$1504,C1438,$D$5:$D$1504,"&lt;="&amp;E1438,$E$5:$E$1504,"&gt;="&amp;D1438,$F$5:$F$1504,"&lt;&gt;İptal")&gt;1,"Çakışıyor",""))</f>
        <v/>
      </c>
    </row>
    <row r="1439" customFormat="false" ht="15" hidden="false" customHeight="false" outlineLevel="0" collapsed="false">
      <c r="A1439" s="12"/>
      <c r="B1439" s="12"/>
      <c r="C1439" s="13"/>
      <c r="D1439" s="14"/>
      <c r="E1439" s="14"/>
      <c r="F1439" s="13"/>
      <c r="G1439" s="15"/>
      <c r="H1439" s="16" t="str">
        <f aca="false">IF(OR(D1439="",E1439="",E1439&lt;D1439),"",E1439-D1439+1)</f>
        <v/>
      </c>
      <c r="I1439" s="17" t="str">
        <f aca="false">IF(OR(H1439="",C1439=""),"",IF(F1439="İptal",0,H1439*IFERROR(INDEX(Ürünler!$B$5:$B$64,MATCH(C1439,Ürünler!$A$5:$A$64,0)),0)-G1439))</f>
        <v/>
      </c>
      <c r="J1439" s="18" t="str">
        <f aca="false">IF(OR(H1439="",C1439="",F1439="İptal"),"",IF(COUNTIFS($C$5:$C$1504,C1439,$D$5:$D$1504,"&lt;="&amp;E1439,$E$5:$E$1504,"&gt;="&amp;D1439,$F$5:$F$1504,"&lt;&gt;İptal")&gt;1,"Çakışıyor",""))</f>
        <v/>
      </c>
    </row>
    <row r="1440" customFormat="false" ht="15" hidden="false" customHeight="false" outlineLevel="0" collapsed="false">
      <c r="A1440" s="12"/>
      <c r="B1440" s="12"/>
      <c r="C1440" s="13"/>
      <c r="D1440" s="14"/>
      <c r="E1440" s="14"/>
      <c r="F1440" s="13"/>
      <c r="G1440" s="15"/>
      <c r="H1440" s="16" t="str">
        <f aca="false">IF(OR(D1440="",E1440="",E1440&lt;D1440),"",E1440-D1440+1)</f>
        <v/>
      </c>
      <c r="I1440" s="17" t="str">
        <f aca="false">IF(OR(H1440="",C1440=""),"",IF(F1440="İptal",0,H1440*IFERROR(INDEX(Ürünler!$B$5:$B$64,MATCH(C1440,Ürünler!$A$5:$A$64,0)),0)-G1440))</f>
        <v/>
      </c>
      <c r="J1440" s="18" t="str">
        <f aca="false">IF(OR(H1440="",C1440="",F1440="İptal"),"",IF(COUNTIFS($C$5:$C$1504,C1440,$D$5:$D$1504,"&lt;="&amp;E1440,$E$5:$E$1504,"&gt;="&amp;D1440,$F$5:$F$1504,"&lt;&gt;İptal")&gt;1,"Çakışıyor",""))</f>
        <v/>
      </c>
    </row>
    <row r="1441" customFormat="false" ht="15" hidden="false" customHeight="false" outlineLevel="0" collapsed="false">
      <c r="A1441" s="12"/>
      <c r="B1441" s="12"/>
      <c r="C1441" s="13"/>
      <c r="D1441" s="14"/>
      <c r="E1441" s="14"/>
      <c r="F1441" s="13"/>
      <c r="G1441" s="15"/>
      <c r="H1441" s="16" t="str">
        <f aca="false">IF(OR(D1441="",E1441="",E1441&lt;D1441),"",E1441-D1441+1)</f>
        <v/>
      </c>
      <c r="I1441" s="17" t="str">
        <f aca="false">IF(OR(H1441="",C1441=""),"",IF(F1441="İptal",0,H1441*IFERROR(INDEX(Ürünler!$B$5:$B$64,MATCH(C1441,Ürünler!$A$5:$A$64,0)),0)-G1441))</f>
        <v/>
      </c>
      <c r="J1441" s="18" t="str">
        <f aca="false">IF(OR(H1441="",C1441="",F1441="İptal"),"",IF(COUNTIFS($C$5:$C$1504,C1441,$D$5:$D$1504,"&lt;="&amp;E1441,$E$5:$E$1504,"&gt;="&amp;D1441,$F$5:$F$1504,"&lt;&gt;İptal")&gt;1,"Çakışıyor",""))</f>
        <v/>
      </c>
    </row>
    <row r="1442" customFormat="false" ht="15" hidden="false" customHeight="false" outlineLevel="0" collapsed="false">
      <c r="A1442" s="12"/>
      <c r="B1442" s="12"/>
      <c r="C1442" s="13"/>
      <c r="D1442" s="14"/>
      <c r="E1442" s="14"/>
      <c r="F1442" s="13"/>
      <c r="G1442" s="15"/>
      <c r="H1442" s="16" t="str">
        <f aca="false">IF(OR(D1442="",E1442="",E1442&lt;D1442),"",E1442-D1442+1)</f>
        <v/>
      </c>
      <c r="I1442" s="17" t="str">
        <f aca="false">IF(OR(H1442="",C1442=""),"",IF(F1442="İptal",0,H1442*IFERROR(INDEX(Ürünler!$B$5:$B$64,MATCH(C1442,Ürünler!$A$5:$A$64,0)),0)-G1442))</f>
        <v/>
      </c>
      <c r="J1442" s="18" t="str">
        <f aca="false">IF(OR(H1442="",C1442="",F1442="İptal"),"",IF(COUNTIFS($C$5:$C$1504,C1442,$D$5:$D$1504,"&lt;="&amp;E1442,$E$5:$E$1504,"&gt;="&amp;D1442,$F$5:$F$1504,"&lt;&gt;İptal")&gt;1,"Çakışıyor",""))</f>
        <v/>
      </c>
    </row>
    <row r="1443" customFormat="false" ht="15" hidden="false" customHeight="false" outlineLevel="0" collapsed="false">
      <c r="A1443" s="12"/>
      <c r="B1443" s="12"/>
      <c r="C1443" s="13"/>
      <c r="D1443" s="14"/>
      <c r="E1443" s="14"/>
      <c r="F1443" s="13"/>
      <c r="G1443" s="15"/>
      <c r="H1443" s="16" t="str">
        <f aca="false">IF(OR(D1443="",E1443="",E1443&lt;D1443),"",E1443-D1443+1)</f>
        <v/>
      </c>
      <c r="I1443" s="17" t="str">
        <f aca="false">IF(OR(H1443="",C1443=""),"",IF(F1443="İptal",0,H1443*IFERROR(INDEX(Ürünler!$B$5:$B$64,MATCH(C1443,Ürünler!$A$5:$A$64,0)),0)-G1443))</f>
        <v/>
      </c>
      <c r="J1443" s="18" t="str">
        <f aca="false">IF(OR(H1443="",C1443="",F1443="İptal"),"",IF(COUNTIFS($C$5:$C$1504,C1443,$D$5:$D$1504,"&lt;="&amp;E1443,$E$5:$E$1504,"&gt;="&amp;D1443,$F$5:$F$1504,"&lt;&gt;İptal")&gt;1,"Çakışıyor",""))</f>
        <v/>
      </c>
    </row>
    <row r="1444" customFormat="false" ht="15" hidden="false" customHeight="false" outlineLevel="0" collapsed="false">
      <c r="A1444" s="12"/>
      <c r="B1444" s="12"/>
      <c r="C1444" s="13"/>
      <c r="D1444" s="14"/>
      <c r="E1444" s="14"/>
      <c r="F1444" s="13"/>
      <c r="G1444" s="15"/>
      <c r="H1444" s="16" t="str">
        <f aca="false">IF(OR(D1444="",E1444="",E1444&lt;D1444),"",E1444-D1444+1)</f>
        <v/>
      </c>
      <c r="I1444" s="17" t="str">
        <f aca="false">IF(OR(H1444="",C1444=""),"",IF(F1444="İptal",0,H1444*IFERROR(INDEX(Ürünler!$B$5:$B$64,MATCH(C1444,Ürünler!$A$5:$A$64,0)),0)-G1444))</f>
        <v/>
      </c>
      <c r="J1444" s="18" t="str">
        <f aca="false">IF(OR(H1444="",C1444="",F1444="İptal"),"",IF(COUNTIFS($C$5:$C$1504,C1444,$D$5:$D$1504,"&lt;="&amp;E1444,$E$5:$E$1504,"&gt;="&amp;D1444,$F$5:$F$1504,"&lt;&gt;İptal")&gt;1,"Çakışıyor",""))</f>
        <v/>
      </c>
    </row>
    <row r="1445" customFormat="false" ht="15" hidden="false" customHeight="false" outlineLevel="0" collapsed="false">
      <c r="A1445" s="12"/>
      <c r="B1445" s="12"/>
      <c r="C1445" s="13"/>
      <c r="D1445" s="14"/>
      <c r="E1445" s="14"/>
      <c r="F1445" s="13"/>
      <c r="G1445" s="15"/>
      <c r="H1445" s="16" t="str">
        <f aca="false">IF(OR(D1445="",E1445="",E1445&lt;D1445),"",E1445-D1445+1)</f>
        <v/>
      </c>
      <c r="I1445" s="17" t="str">
        <f aca="false">IF(OR(H1445="",C1445=""),"",IF(F1445="İptal",0,H1445*IFERROR(INDEX(Ürünler!$B$5:$B$64,MATCH(C1445,Ürünler!$A$5:$A$64,0)),0)-G1445))</f>
        <v/>
      </c>
      <c r="J1445" s="18" t="str">
        <f aca="false">IF(OR(H1445="",C1445="",F1445="İptal"),"",IF(COUNTIFS($C$5:$C$1504,C1445,$D$5:$D$1504,"&lt;="&amp;E1445,$E$5:$E$1504,"&gt;="&amp;D1445,$F$5:$F$1504,"&lt;&gt;İptal")&gt;1,"Çakışıyor",""))</f>
        <v/>
      </c>
    </row>
    <row r="1446" customFormat="false" ht="15" hidden="false" customHeight="false" outlineLevel="0" collapsed="false">
      <c r="A1446" s="12"/>
      <c r="B1446" s="12"/>
      <c r="C1446" s="13"/>
      <c r="D1446" s="14"/>
      <c r="E1446" s="14"/>
      <c r="F1446" s="13"/>
      <c r="G1446" s="15"/>
      <c r="H1446" s="16" t="str">
        <f aca="false">IF(OR(D1446="",E1446="",E1446&lt;D1446),"",E1446-D1446+1)</f>
        <v/>
      </c>
      <c r="I1446" s="17" t="str">
        <f aca="false">IF(OR(H1446="",C1446=""),"",IF(F1446="İptal",0,H1446*IFERROR(INDEX(Ürünler!$B$5:$B$64,MATCH(C1446,Ürünler!$A$5:$A$64,0)),0)-G1446))</f>
        <v/>
      </c>
      <c r="J1446" s="18" t="str">
        <f aca="false">IF(OR(H1446="",C1446="",F1446="İptal"),"",IF(COUNTIFS($C$5:$C$1504,C1446,$D$5:$D$1504,"&lt;="&amp;E1446,$E$5:$E$1504,"&gt;="&amp;D1446,$F$5:$F$1504,"&lt;&gt;İptal")&gt;1,"Çakışıyor",""))</f>
        <v/>
      </c>
    </row>
    <row r="1447" customFormat="false" ht="15" hidden="false" customHeight="false" outlineLevel="0" collapsed="false">
      <c r="A1447" s="12"/>
      <c r="B1447" s="12"/>
      <c r="C1447" s="13"/>
      <c r="D1447" s="14"/>
      <c r="E1447" s="14"/>
      <c r="F1447" s="13"/>
      <c r="G1447" s="15"/>
      <c r="H1447" s="16" t="str">
        <f aca="false">IF(OR(D1447="",E1447="",E1447&lt;D1447),"",E1447-D1447+1)</f>
        <v/>
      </c>
      <c r="I1447" s="17" t="str">
        <f aca="false">IF(OR(H1447="",C1447=""),"",IF(F1447="İptal",0,H1447*IFERROR(INDEX(Ürünler!$B$5:$B$64,MATCH(C1447,Ürünler!$A$5:$A$64,0)),0)-G1447))</f>
        <v/>
      </c>
      <c r="J1447" s="18" t="str">
        <f aca="false">IF(OR(H1447="",C1447="",F1447="İptal"),"",IF(COUNTIFS($C$5:$C$1504,C1447,$D$5:$D$1504,"&lt;="&amp;E1447,$E$5:$E$1504,"&gt;="&amp;D1447,$F$5:$F$1504,"&lt;&gt;İptal")&gt;1,"Çakışıyor",""))</f>
        <v/>
      </c>
    </row>
    <row r="1448" customFormat="false" ht="15" hidden="false" customHeight="false" outlineLevel="0" collapsed="false">
      <c r="A1448" s="12"/>
      <c r="B1448" s="12"/>
      <c r="C1448" s="13"/>
      <c r="D1448" s="14"/>
      <c r="E1448" s="14"/>
      <c r="F1448" s="13"/>
      <c r="G1448" s="15"/>
      <c r="H1448" s="16" t="str">
        <f aca="false">IF(OR(D1448="",E1448="",E1448&lt;D1448),"",E1448-D1448+1)</f>
        <v/>
      </c>
      <c r="I1448" s="17" t="str">
        <f aca="false">IF(OR(H1448="",C1448=""),"",IF(F1448="İptal",0,H1448*IFERROR(INDEX(Ürünler!$B$5:$B$64,MATCH(C1448,Ürünler!$A$5:$A$64,0)),0)-G1448))</f>
        <v/>
      </c>
      <c r="J1448" s="18" t="str">
        <f aca="false">IF(OR(H1448="",C1448="",F1448="İptal"),"",IF(COUNTIFS($C$5:$C$1504,C1448,$D$5:$D$1504,"&lt;="&amp;E1448,$E$5:$E$1504,"&gt;="&amp;D1448,$F$5:$F$1504,"&lt;&gt;İptal")&gt;1,"Çakışıyor",""))</f>
        <v/>
      </c>
    </row>
    <row r="1449" customFormat="false" ht="15" hidden="false" customHeight="false" outlineLevel="0" collapsed="false">
      <c r="A1449" s="12"/>
      <c r="B1449" s="12"/>
      <c r="C1449" s="13"/>
      <c r="D1449" s="14"/>
      <c r="E1449" s="14"/>
      <c r="F1449" s="13"/>
      <c r="G1449" s="15"/>
      <c r="H1449" s="16" t="str">
        <f aca="false">IF(OR(D1449="",E1449="",E1449&lt;D1449),"",E1449-D1449+1)</f>
        <v/>
      </c>
      <c r="I1449" s="17" t="str">
        <f aca="false">IF(OR(H1449="",C1449=""),"",IF(F1449="İptal",0,H1449*IFERROR(INDEX(Ürünler!$B$5:$B$64,MATCH(C1449,Ürünler!$A$5:$A$64,0)),0)-G1449))</f>
        <v/>
      </c>
      <c r="J1449" s="18" t="str">
        <f aca="false">IF(OR(H1449="",C1449="",F1449="İptal"),"",IF(COUNTIFS($C$5:$C$1504,C1449,$D$5:$D$1504,"&lt;="&amp;E1449,$E$5:$E$1504,"&gt;="&amp;D1449,$F$5:$F$1504,"&lt;&gt;İptal")&gt;1,"Çakışıyor",""))</f>
        <v/>
      </c>
    </row>
    <row r="1450" customFormat="false" ht="15" hidden="false" customHeight="false" outlineLevel="0" collapsed="false">
      <c r="A1450" s="12"/>
      <c r="B1450" s="12"/>
      <c r="C1450" s="13"/>
      <c r="D1450" s="14"/>
      <c r="E1450" s="14"/>
      <c r="F1450" s="13"/>
      <c r="G1450" s="15"/>
      <c r="H1450" s="16" t="str">
        <f aca="false">IF(OR(D1450="",E1450="",E1450&lt;D1450),"",E1450-D1450+1)</f>
        <v/>
      </c>
      <c r="I1450" s="17" t="str">
        <f aca="false">IF(OR(H1450="",C1450=""),"",IF(F1450="İptal",0,H1450*IFERROR(INDEX(Ürünler!$B$5:$B$64,MATCH(C1450,Ürünler!$A$5:$A$64,0)),0)-G1450))</f>
        <v/>
      </c>
      <c r="J1450" s="18" t="str">
        <f aca="false">IF(OR(H1450="",C1450="",F1450="İptal"),"",IF(COUNTIFS($C$5:$C$1504,C1450,$D$5:$D$1504,"&lt;="&amp;E1450,$E$5:$E$1504,"&gt;="&amp;D1450,$F$5:$F$1504,"&lt;&gt;İptal")&gt;1,"Çakışıyor",""))</f>
        <v/>
      </c>
    </row>
    <row r="1451" customFormat="false" ht="15" hidden="false" customHeight="false" outlineLevel="0" collapsed="false">
      <c r="A1451" s="12"/>
      <c r="B1451" s="12"/>
      <c r="C1451" s="13"/>
      <c r="D1451" s="14"/>
      <c r="E1451" s="14"/>
      <c r="F1451" s="13"/>
      <c r="G1451" s="15"/>
      <c r="H1451" s="16" t="str">
        <f aca="false">IF(OR(D1451="",E1451="",E1451&lt;D1451),"",E1451-D1451+1)</f>
        <v/>
      </c>
      <c r="I1451" s="17" t="str">
        <f aca="false">IF(OR(H1451="",C1451=""),"",IF(F1451="İptal",0,H1451*IFERROR(INDEX(Ürünler!$B$5:$B$64,MATCH(C1451,Ürünler!$A$5:$A$64,0)),0)-G1451))</f>
        <v/>
      </c>
      <c r="J1451" s="18" t="str">
        <f aca="false">IF(OR(H1451="",C1451="",F1451="İptal"),"",IF(COUNTIFS($C$5:$C$1504,C1451,$D$5:$D$1504,"&lt;="&amp;E1451,$E$5:$E$1504,"&gt;="&amp;D1451,$F$5:$F$1504,"&lt;&gt;İptal")&gt;1,"Çakışıyor",""))</f>
        <v/>
      </c>
    </row>
    <row r="1452" customFormat="false" ht="15" hidden="false" customHeight="false" outlineLevel="0" collapsed="false">
      <c r="A1452" s="12"/>
      <c r="B1452" s="12"/>
      <c r="C1452" s="13"/>
      <c r="D1452" s="14"/>
      <c r="E1452" s="14"/>
      <c r="F1452" s="13"/>
      <c r="G1452" s="15"/>
      <c r="H1452" s="16" t="str">
        <f aca="false">IF(OR(D1452="",E1452="",E1452&lt;D1452),"",E1452-D1452+1)</f>
        <v/>
      </c>
      <c r="I1452" s="17" t="str">
        <f aca="false">IF(OR(H1452="",C1452=""),"",IF(F1452="İptal",0,H1452*IFERROR(INDEX(Ürünler!$B$5:$B$64,MATCH(C1452,Ürünler!$A$5:$A$64,0)),0)-G1452))</f>
        <v/>
      </c>
      <c r="J1452" s="18" t="str">
        <f aca="false">IF(OR(H1452="",C1452="",F1452="İptal"),"",IF(COUNTIFS($C$5:$C$1504,C1452,$D$5:$D$1504,"&lt;="&amp;E1452,$E$5:$E$1504,"&gt;="&amp;D1452,$F$5:$F$1504,"&lt;&gt;İptal")&gt;1,"Çakışıyor",""))</f>
        <v/>
      </c>
    </row>
    <row r="1453" customFormat="false" ht="15" hidden="false" customHeight="false" outlineLevel="0" collapsed="false">
      <c r="A1453" s="12"/>
      <c r="B1453" s="12"/>
      <c r="C1453" s="13"/>
      <c r="D1453" s="14"/>
      <c r="E1453" s="14"/>
      <c r="F1453" s="13"/>
      <c r="G1453" s="15"/>
      <c r="H1453" s="16" t="str">
        <f aca="false">IF(OR(D1453="",E1453="",E1453&lt;D1453),"",E1453-D1453+1)</f>
        <v/>
      </c>
      <c r="I1453" s="17" t="str">
        <f aca="false">IF(OR(H1453="",C1453=""),"",IF(F1453="İptal",0,H1453*IFERROR(INDEX(Ürünler!$B$5:$B$64,MATCH(C1453,Ürünler!$A$5:$A$64,0)),0)-G1453))</f>
        <v/>
      </c>
      <c r="J1453" s="18" t="str">
        <f aca="false">IF(OR(H1453="",C1453="",F1453="İptal"),"",IF(COUNTIFS($C$5:$C$1504,C1453,$D$5:$D$1504,"&lt;="&amp;E1453,$E$5:$E$1504,"&gt;="&amp;D1453,$F$5:$F$1504,"&lt;&gt;İptal")&gt;1,"Çakışıyor",""))</f>
        <v/>
      </c>
    </row>
    <row r="1454" customFormat="false" ht="15" hidden="false" customHeight="false" outlineLevel="0" collapsed="false">
      <c r="A1454" s="12"/>
      <c r="B1454" s="12"/>
      <c r="C1454" s="13"/>
      <c r="D1454" s="14"/>
      <c r="E1454" s="14"/>
      <c r="F1454" s="13"/>
      <c r="G1454" s="15"/>
      <c r="H1454" s="16" t="str">
        <f aca="false">IF(OR(D1454="",E1454="",E1454&lt;D1454),"",E1454-D1454+1)</f>
        <v/>
      </c>
      <c r="I1454" s="17" t="str">
        <f aca="false">IF(OR(H1454="",C1454=""),"",IF(F1454="İptal",0,H1454*IFERROR(INDEX(Ürünler!$B$5:$B$64,MATCH(C1454,Ürünler!$A$5:$A$64,0)),0)-G1454))</f>
        <v/>
      </c>
      <c r="J1454" s="18" t="str">
        <f aca="false">IF(OR(H1454="",C1454="",F1454="İptal"),"",IF(COUNTIFS($C$5:$C$1504,C1454,$D$5:$D$1504,"&lt;="&amp;E1454,$E$5:$E$1504,"&gt;="&amp;D1454,$F$5:$F$1504,"&lt;&gt;İptal")&gt;1,"Çakışıyor",""))</f>
        <v/>
      </c>
    </row>
    <row r="1455" customFormat="false" ht="15" hidden="false" customHeight="false" outlineLevel="0" collapsed="false">
      <c r="A1455" s="12"/>
      <c r="B1455" s="12"/>
      <c r="C1455" s="13"/>
      <c r="D1455" s="14"/>
      <c r="E1455" s="14"/>
      <c r="F1455" s="13"/>
      <c r="G1455" s="15"/>
      <c r="H1455" s="16" t="str">
        <f aca="false">IF(OR(D1455="",E1455="",E1455&lt;D1455),"",E1455-D1455+1)</f>
        <v/>
      </c>
      <c r="I1455" s="17" t="str">
        <f aca="false">IF(OR(H1455="",C1455=""),"",IF(F1455="İptal",0,H1455*IFERROR(INDEX(Ürünler!$B$5:$B$64,MATCH(C1455,Ürünler!$A$5:$A$64,0)),0)-G1455))</f>
        <v/>
      </c>
      <c r="J1455" s="18" t="str">
        <f aca="false">IF(OR(H1455="",C1455="",F1455="İptal"),"",IF(COUNTIFS($C$5:$C$1504,C1455,$D$5:$D$1504,"&lt;="&amp;E1455,$E$5:$E$1504,"&gt;="&amp;D1455,$F$5:$F$1504,"&lt;&gt;İptal")&gt;1,"Çakışıyor",""))</f>
        <v/>
      </c>
    </row>
    <row r="1456" customFormat="false" ht="15" hidden="false" customHeight="false" outlineLevel="0" collapsed="false">
      <c r="A1456" s="12"/>
      <c r="B1456" s="12"/>
      <c r="C1456" s="13"/>
      <c r="D1456" s="14"/>
      <c r="E1456" s="14"/>
      <c r="F1456" s="13"/>
      <c r="G1456" s="15"/>
      <c r="H1456" s="16" t="str">
        <f aca="false">IF(OR(D1456="",E1456="",E1456&lt;D1456),"",E1456-D1456+1)</f>
        <v/>
      </c>
      <c r="I1456" s="17" t="str">
        <f aca="false">IF(OR(H1456="",C1456=""),"",IF(F1456="İptal",0,H1456*IFERROR(INDEX(Ürünler!$B$5:$B$64,MATCH(C1456,Ürünler!$A$5:$A$64,0)),0)-G1456))</f>
        <v/>
      </c>
      <c r="J1456" s="18" t="str">
        <f aca="false">IF(OR(H1456="",C1456="",F1456="İptal"),"",IF(COUNTIFS($C$5:$C$1504,C1456,$D$5:$D$1504,"&lt;="&amp;E1456,$E$5:$E$1504,"&gt;="&amp;D1456,$F$5:$F$1504,"&lt;&gt;İptal")&gt;1,"Çakışıyor",""))</f>
        <v/>
      </c>
    </row>
    <row r="1457" customFormat="false" ht="15" hidden="false" customHeight="false" outlineLevel="0" collapsed="false">
      <c r="A1457" s="12"/>
      <c r="B1457" s="12"/>
      <c r="C1457" s="13"/>
      <c r="D1457" s="14"/>
      <c r="E1457" s="14"/>
      <c r="F1457" s="13"/>
      <c r="G1457" s="15"/>
      <c r="H1457" s="16" t="str">
        <f aca="false">IF(OR(D1457="",E1457="",E1457&lt;D1457),"",E1457-D1457+1)</f>
        <v/>
      </c>
      <c r="I1457" s="17" t="str">
        <f aca="false">IF(OR(H1457="",C1457=""),"",IF(F1457="İptal",0,H1457*IFERROR(INDEX(Ürünler!$B$5:$B$64,MATCH(C1457,Ürünler!$A$5:$A$64,0)),0)-G1457))</f>
        <v/>
      </c>
      <c r="J1457" s="18" t="str">
        <f aca="false">IF(OR(H1457="",C1457="",F1457="İptal"),"",IF(COUNTIFS($C$5:$C$1504,C1457,$D$5:$D$1504,"&lt;="&amp;E1457,$E$5:$E$1504,"&gt;="&amp;D1457,$F$5:$F$1504,"&lt;&gt;İptal")&gt;1,"Çakışıyor",""))</f>
        <v/>
      </c>
    </row>
    <row r="1458" customFormat="false" ht="15" hidden="false" customHeight="false" outlineLevel="0" collapsed="false">
      <c r="A1458" s="12"/>
      <c r="B1458" s="12"/>
      <c r="C1458" s="13"/>
      <c r="D1458" s="14"/>
      <c r="E1458" s="14"/>
      <c r="F1458" s="13"/>
      <c r="G1458" s="15"/>
      <c r="H1458" s="16" t="str">
        <f aca="false">IF(OR(D1458="",E1458="",E1458&lt;D1458),"",E1458-D1458+1)</f>
        <v/>
      </c>
      <c r="I1458" s="17" t="str">
        <f aca="false">IF(OR(H1458="",C1458=""),"",IF(F1458="İptal",0,H1458*IFERROR(INDEX(Ürünler!$B$5:$B$64,MATCH(C1458,Ürünler!$A$5:$A$64,0)),0)-G1458))</f>
        <v/>
      </c>
      <c r="J1458" s="18" t="str">
        <f aca="false">IF(OR(H1458="",C1458="",F1458="İptal"),"",IF(COUNTIFS($C$5:$C$1504,C1458,$D$5:$D$1504,"&lt;="&amp;E1458,$E$5:$E$1504,"&gt;="&amp;D1458,$F$5:$F$1504,"&lt;&gt;İptal")&gt;1,"Çakışıyor",""))</f>
        <v/>
      </c>
    </row>
    <row r="1459" customFormat="false" ht="15" hidden="false" customHeight="false" outlineLevel="0" collapsed="false">
      <c r="A1459" s="12"/>
      <c r="B1459" s="12"/>
      <c r="C1459" s="13"/>
      <c r="D1459" s="14"/>
      <c r="E1459" s="14"/>
      <c r="F1459" s="13"/>
      <c r="G1459" s="15"/>
      <c r="H1459" s="16" t="str">
        <f aca="false">IF(OR(D1459="",E1459="",E1459&lt;D1459),"",E1459-D1459+1)</f>
        <v/>
      </c>
      <c r="I1459" s="17" t="str">
        <f aca="false">IF(OR(H1459="",C1459=""),"",IF(F1459="İptal",0,H1459*IFERROR(INDEX(Ürünler!$B$5:$B$64,MATCH(C1459,Ürünler!$A$5:$A$64,0)),0)-G1459))</f>
        <v/>
      </c>
      <c r="J1459" s="18" t="str">
        <f aca="false">IF(OR(H1459="",C1459="",F1459="İptal"),"",IF(COUNTIFS($C$5:$C$1504,C1459,$D$5:$D$1504,"&lt;="&amp;E1459,$E$5:$E$1504,"&gt;="&amp;D1459,$F$5:$F$1504,"&lt;&gt;İptal")&gt;1,"Çakışıyor",""))</f>
        <v/>
      </c>
    </row>
    <row r="1460" customFormat="false" ht="15" hidden="false" customHeight="false" outlineLevel="0" collapsed="false">
      <c r="A1460" s="12"/>
      <c r="B1460" s="12"/>
      <c r="C1460" s="13"/>
      <c r="D1460" s="14"/>
      <c r="E1460" s="14"/>
      <c r="F1460" s="13"/>
      <c r="G1460" s="15"/>
      <c r="H1460" s="16" t="str">
        <f aca="false">IF(OR(D1460="",E1460="",E1460&lt;D1460),"",E1460-D1460+1)</f>
        <v/>
      </c>
      <c r="I1460" s="17" t="str">
        <f aca="false">IF(OR(H1460="",C1460=""),"",IF(F1460="İptal",0,H1460*IFERROR(INDEX(Ürünler!$B$5:$B$64,MATCH(C1460,Ürünler!$A$5:$A$64,0)),0)-G1460))</f>
        <v/>
      </c>
      <c r="J1460" s="18" t="str">
        <f aca="false">IF(OR(H1460="",C1460="",F1460="İptal"),"",IF(COUNTIFS($C$5:$C$1504,C1460,$D$5:$D$1504,"&lt;="&amp;E1460,$E$5:$E$1504,"&gt;="&amp;D1460,$F$5:$F$1504,"&lt;&gt;İptal")&gt;1,"Çakışıyor",""))</f>
        <v/>
      </c>
    </row>
    <row r="1461" customFormat="false" ht="15" hidden="false" customHeight="false" outlineLevel="0" collapsed="false">
      <c r="A1461" s="12"/>
      <c r="B1461" s="12"/>
      <c r="C1461" s="13"/>
      <c r="D1461" s="14"/>
      <c r="E1461" s="14"/>
      <c r="F1461" s="13"/>
      <c r="G1461" s="15"/>
      <c r="H1461" s="16" t="str">
        <f aca="false">IF(OR(D1461="",E1461="",E1461&lt;D1461),"",E1461-D1461+1)</f>
        <v/>
      </c>
      <c r="I1461" s="17" t="str">
        <f aca="false">IF(OR(H1461="",C1461=""),"",IF(F1461="İptal",0,H1461*IFERROR(INDEX(Ürünler!$B$5:$B$64,MATCH(C1461,Ürünler!$A$5:$A$64,0)),0)-G1461))</f>
        <v/>
      </c>
      <c r="J1461" s="18" t="str">
        <f aca="false">IF(OR(H1461="",C1461="",F1461="İptal"),"",IF(COUNTIFS($C$5:$C$1504,C1461,$D$5:$D$1504,"&lt;="&amp;E1461,$E$5:$E$1504,"&gt;="&amp;D1461,$F$5:$F$1504,"&lt;&gt;İptal")&gt;1,"Çakışıyor",""))</f>
        <v/>
      </c>
    </row>
    <row r="1462" customFormat="false" ht="15" hidden="false" customHeight="false" outlineLevel="0" collapsed="false">
      <c r="A1462" s="12"/>
      <c r="B1462" s="12"/>
      <c r="C1462" s="13"/>
      <c r="D1462" s="14"/>
      <c r="E1462" s="14"/>
      <c r="F1462" s="13"/>
      <c r="G1462" s="15"/>
      <c r="H1462" s="16" t="str">
        <f aca="false">IF(OR(D1462="",E1462="",E1462&lt;D1462),"",E1462-D1462+1)</f>
        <v/>
      </c>
      <c r="I1462" s="17" t="str">
        <f aca="false">IF(OR(H1462="",C1462=""),"",IF(F1462="İptal",0,H1462*IFERROR(INDEX(Ürünler!$B$5:$B$64,MATCH(C1462,Ürünler!$A$5:$A$64,0)),0)-G1462))</f>
        <v/>
      </c>
      <c r="J1462" s="18" t="str">
        <f aca="false">IF(OR(H1462="",C1462="",F1462="İptal"),"",IF(COUNTIFS($C$5:$C$1504,C1462,$D$5:$D$1504,"&lt;="&amp;E1462,$E$5:$E$1504,"&gt;="&amp;D1462,$F$5:$F$1504,"&lt;&gt;İptal")&gt;1,"Çakışıyor",""))</f>
        <v/>
      </c>
    </row>
    <row r="1463" customFormat="false" ht="15" hidden="false" customHeight="false" outlineLevel="0" collapsed="false">
      <c r="A1463" s="12"/>
      <c r="B1463" s="12"/>
      <c r="C1463" s="13"/>
      <c r="D1463" s="14"/>
      <c r="E1463" s="14"/>
      <c r="F1463" s="13"/>
      <c r="G1463" s="15"/>
      <c r="H1463" s="16" t="str">
        <f aca="false">IF(OR(D1463="",E1463="",E1463&lt;D1463),"",E1463-D1463+1)</f>
        <v/>
      </c>
      <c r="I1463" s="17" t="str">
        <f aca="false">IF(OR(H1463="",C1463=""),"",IF(F1463="İptal",0,H1463*IFERROR(INDEX(Ürünler!$B$5:$B$64,MATCH(C1463,Ürünler!$A$5:$A$64,0)),0)-G1463))</f>
        <v/>
      </c>
      <c r="J1463" s="18" t="str">
        <f aca="false">IF(OR(H1463="",C1463="",F1463="İptal"),"",IF(COUNTIFS($C$5:$C$1504,C1463,$D$5:$D$1504,"&lt;="&amp;E1463,$E$5:$E$1504,"&gt;="&amp;D1463,$F$5:$F$1504,"&lt;&gt;İptal")&gt;1,"Çakışıyor",""))</f>
        <v/>
      </c>
    </row>
    <row r="1464" customFormat="false" ht="15" hidden="false" customHeight="false" outlineLevel="0" collapsed="false">
      <c r="A1464" s="12"/>
      <c r="B1464" s="12"/>
      <c r="C1464" s="13"/>
      <c r="D1464" s="14"/>
      <c r="E1464" s="14"/>
      <c r="F1464" s="13"/>
      <c r="G1464" s="15"/>
      <c r="H1464" s="16" t="str">
        <f aca="false">IF(OR(D1464="",E1464="",E1464&lt;D1464),"",E1464-D1464+1)</f>
        <v/>
      </c>
      <c r="I1464" s="17" t="str">
        <f aca="false">IF(OR(H1464="",C1464=""),"",IF(F1464="İptal",0,H1464*IFERROR(INDEX(Ürünler!$B$5:$B$64,MATCH(C1464,Ürünler!$A$5:$A$64,0)),0)-G1464))</f>
        <v/>
      </c>
      <c r="J1464" s="18" t="str">
        <f aca="false">IF(OR(H1464="",C1464="",F1464="İptal"),"",IF(COUNTIFS($C$5:$C$1504,C1464,$D$5:$D$1504,"&lt;="&amp;E1464,$E$5:$E$1504,"&gt;="&amp;D1464,$F$5:$F$1504,"&lt;&gt;İptal")&gt;1,"Çakışıyor",""))</f>
        <v/>
      </c>
    </row>
    <row r="1465" customFormat="false" ht="15" hidden="false" customHeight="false" outlineLevel="0" collapsed="false">
      <c r="A1465" s="12"/>
      <c r="B1465" s="12"/>
      <c r="C1465" s="13"/>
      <c r="D1465" s="14"/>
      <c r="E1465" s="14"/>
      <c r="F1465" s="13"/>
      <c r="G1465" s="15"/>
      <c r="H1465" s="16" t="str">
        <f aca="false">IF(OR(D1465="",E1465="",E1465&lt;D1465),"",E1465-D1465+1)</f>
        <v/>
      </c>
      <c r="I1465" s="17" t="str">
        <f aca="false">IF(OR(H1465="",C1465=""),"",IF(F1465="İptal",0,H1465*IFERROR(INDEX(Ürünler!$B$5:$B$64,MATCH(C1465,Ürünler!$A$5:$A$64,0)),0)-G1465))</f>
        <v/>
      </c>
      <c r="J1465" s="18" t="str">
        <f aca="false">IF(OR(H1465="",C1465="",F1465="İptal"),"",IF(COUNTIFS($C$5:$C$1504,C1465,$D$5:$D$1504,"&lt;="&amp;E1465,$E$5:$E$1504,"&gt;="&amp;D1465,$F$5:$F$1504,"&lt;&gt;İptal")&gt;1,"Çakışıyor",""))</f>
        <v/>
      </c>
    </row>
    <row r="1466" customFormat="false" ht="15" hidden="false" customHeight="false" outlineLevel="0" collapsed="false">
      <c r="A1466" s="12"/>
      <c r="B1466" s="12"/>
      <c r="C1466" s="13"/>
      <c r="D1466" s="14"/>
      <c r="E1466" s="14"/>
      <c r="F1466" s="13"/>
      <c r="G1466" s="15"/>
      <c r="H1466" s="16" t="str">
        <f aca="false">IF(OR(D1466="",E1466="",E1466&lt;D1466),"",E1466-D1466+1)</f>
        <v/>
      </c>
      <c r="I1466" s="17" t="str">
        <f aca="false">IF(OR(H1466="",C1466=""),"",IF(F1466="İptal",0,H1466*IFERROR(INDEX(Ürünler!$B$5:$B$64,MATCH(C1466,Ürünler!$A$5:$A$64,0)),0)-G1466))</f>
        <v/>
      </c>
      <c r="J1466" s="18" t="str">
        <f aca="false">IF(OR(H1466="",C1466="",F1466="İptal"),"",IF(COUNTIFS($C$5:$C$1504,C1466,$D$5:$D$1504,"&lt;="&amp;E1466,$E$5:$E$1504,"&gt;="&amp;D1466,$F$5:$F$1504,"&lt;&gt;İptal")&gt;1,"Çakışıyor",""))</f>
        <v/>
      </c>
    </row>
    <row r="1467" customFormat="false" ht="15" hidden="false" customHeight="false" outlineLevel="0" collapsed="false">
      <c r="A1467" s="12"/>
      <c r="B1467" s="12"/>
      <c r="C1467" s="13"/>
      <c r="D1467" s="14"/>
      <c r="E1467" s="14"/>
      <c r="F1467" s="13"/>
      <c r="G1467" s="15"/>
      <c r="H1467" s="16" t="str">
        <f aca="false">IF(OR(D1467="",E1467="",E1467&lt;D1467),"",E1467-D1467+1)</f>
        <v/>
      </c>
      <c r="I1467" s="17" t="str">
        <f aca="false">IF(OR(H1467="",C1467=""),"",IF(F1467="İptal",0,H1467*IFERROR(INDEX(Ürünler!$B$5:$B$64,MATCH(C1467,Ürünler!$A$5:$A$64,0)),0)-G1467))</f>
        <v/>
      </c>
      <c r="J1467" s="18" t="str">
        <f aca="false">IF(OR(H1467="",C1467="",F1467="İptal"),"",IF(COUNTIFS($C$5:$C$1504,C1467,$D$5:$D$1504,"&lt;="&amp;E1467,$E$5:$E$1504,"&gt;="&amp;D1467,$F$5:$F$1504,"&lt;&gt;İptal")&gt;1,"Çakışıyor",""))</f>
        <v/>
      </c>
    </row>
    <row r="1468" customFormat="false" ht="15" hidden="false" customHeight="false" outlineLevel="0" collapsed="false">
      <c r="A1468" s="12"/>
      <c r="B1468" s="12"/>
      <c r="C1468" s="13"/>
      <c r="D1468" s="14"/>
      <c r="E1468" s="14"/>
      <c r="F1468" s="13"/>
      <c r="G1468" s="15"/>
      <c r="H1468" s="16" t="str">
        <f aca="false">IF(OR(D1468="",E1468="",E1468&lt;D1468),"",E1468-D1468+1)</f>
        <v/>
      </c>
      <c r="I1468" s="17" t="str">
        <f aca="false">IF(OR(H1468="",C1468=""),"",IF(F1468="İptal",0,H1468*IFERROR(INDEX(Ürünler!$B$5:$B$64,MATCH(C1468,Ürünler!$A$5:$A$64,0)),0)-G1468))</f>
        <v/>
      </c>
      <c r="J1468" s="18" t="str">
        <f aca="false">IF(OR(H1468="",C1468="",F1468="İptal"),"",IF(COUNTIFS($C$5:$C$1504,C1468,$D$5:$D$1504,"&lt;="&amp;E1468,$E$5:$E$1504,"&gt;="&amp;D1468,$F$5:$F$1504,"&lt;&gt;İptal")&gt;1,"Çakışıyor",""))</f>
        <v/>
      </c>
    </row>
    <row r="1469" customFormat="false" ht="15" hidden="false" customHeight="false" outlineLevel="0" collapsed="false">
      <c r="A1469" s="12"/>
      <c r="B1469" s="12"/>
      <c r="C1469" s="13"/>
      <c r="D1469" s="14"/>
      <c r="E1469" s="14"/>
      <c r="F1469" s="13"/>
      <c r="G1469" s="15"/>
      <c r="H1469" s="16" t="str">
        <f aca="false">IF(OR(D1469="",E1469="",E1469&lt;D1469),"",E1469-D1469+1)</f>
        <v/>
      </c>
      <c r="I1469" s="17" t="str">
        <f aca="false">IF(OR(H1469="",C1469=""),"",IF(F1469="İptal",0,H1469*IFERROR(INDEX(Ürünler!$B$5:$B$64,MATCH(C1469,Ürünler!$A$5:$A$64,0)),0)-G1469))</f>
        <v/>
      </c>
      <c r="J1469" s="18" t="str">
        <f aca="false">IF(OR(H1469="",C1469="",F1469="İptal"),"",IF(COUNTIFS($C$5:$C$1504,C1469,$D$5:$D$1504,"&lt;="&amp;E1469,$E$5:$E$1504,"&gt;="&amp;D1469,$F$5:$F$1504,"&lt;&gt;İptal")&gt;1,"Çakışıyor",""))</f>
        <v/>
      </c>
    </row>
    <row r="1470" customFormat="false" ht="15" hidden="false" customHeight="false" outlineLevel="0" collapsed="false">
      <c r="A1470" s="12"/>
      <c r="B1470" s="12"/>
      <c r="C1470" s="13"/>
      <c r="D1470" s="14"/>
      <c r="E1470" s="14"/>
      <c r="F1470" s="13"/>
      <c r="G1470" s="15"/>
      <c r="H1470" s="16" t="str">
        <f aca="false">IF(OR(D1470="",E1470="",E1470&lt;D1470),"",E1470-D1470+1)</f>
        <v/>
      </c>
      <c r="I1470" s="17" t="str">
        <f aca="false">IF(OR(H1470="",C1470=""),"",IF(F1470="İptal",0,H1470*IFERROR(INDEX(Ürünler!$B$5:$B$64,MATCH(C1470,Ürünler!$A$5:$A$64,0)),0)-G1470))</f>
        <v/>
      </c>
      <c r="J1470" s="18" t="str">
        <f aca="false">IF(OR(H1470="",C1470="",F1470="İptal"),"",IF(COUNTIFS($C$5:$C$1504,C1470,$D$5:$D$1504,"&lt;="&amp;E1470,$E$5:$E$1504,"&gt;="&amp;D1470,$F$5:$F$1504,"&lt;&gt;İptal")&gt;1,"Çakışıyor",""))</f>
        <v/>
      </c>
    </row>
    <row r="1471" customFormat="false" ht="15" hidden="false" customHeight="false" outlineLevel="0" collapsed="false">
      <c r="A1471" s="12"/>
      <c r="B1471" s="12"/>
      <c r="C1471" s="13"/>
      <c r="D1471" s="14"/>
      <c r="E1471" s="14"/>
      <c r="F1471" s="13"/>
      <c r="G1471" s="15"/>
      <c r="H1471" s="16" t="str">
        <f aca="false">IF(OR(D1471="",E1471="",E1471&lt;D1471),"",E1471-D1471+1)</f>
        <v/>
      </c>
      <c r="I1471" s="17" t="str">
        <f aca="false">IF(OR(H1471="",C1471=""),"",IF(F1471="İptal",0,H1471*IFERROR(INDEX(Ürünler!$B$5:$B$64,MATCH(C1471,Ürünler!$A$5:$A$64,0)),0)-G1471))</f>
        <v/>
      </c>
      <c r="J1471" s="18" t="str">
        <f aca="false">IF(OR(H1471="",C1471="",F1471="İptal"),"",IF(COUNTIFS($C$5:$C$1504,C1471,$D$5:$D$1504,"&lt;="&amp;E1471,$E$5:$E$1504,"&gt;="&amp;D1471,$F$5:$F$1504,"&lt;&gt;İptal")&gt;1,"Çakışıyor",""))</f>
        <v/>
      </c>
    </row>
    <row r="1472" customFormat="false" ht="15" hidden="false" customHeight="false" outlineLevel="0" collapsed="false">
      <c r="A1472" s="12"/>
      <c r="B1472" s="12"/>
      <c r="C1472" s="13"/>
      <c r="D1472" s="14"/>
      <c r="E1472" s="14"/>
      <c r="F1472" s="13"/>
      <c r="G1472" s="15"/>
      <c r="H1472" s="16" t="str">
        <f aca="false">IF(OR(D1472="",E1472="",E1472&lt;D1472),"",E1472-D1472+1)</f>
        <v/>
      </c>
      <c r="I1472" s="17" t="str">
        <f aca="false">IF(OR(H1472="",C1472=""),"",IF(F1472="İptal",0,H1472*IFERROR(INDEX(Ürünler!$B$5:$B$64,MATCH(C1472,Ürünler!$A$5:$A$64,0)),0)-G1472))</f>
        <v/>
      </c>
      <c r="J1472" s="18" t="str">
        <f aca="false">IF(OR(H1472="",C1472="",F1472="İptal"),"",IF(COUNTIFS($C$5:$C$1504,C1472,$D$5:$D$1504,"&lt;="&amp;E1472,$E$5:$E$1504,"&gt;="&amp;D1472,$F$5:$F$1504,"&lt;&gt;İptal")&gt;1,"Çakışıyor",""))</f>
        <v/>
      </c>
    </row>
    <row r="1473" customFormat="false" ht="15" hidden="false" customHeight="false" outlineLevel="0" collapsed="false">
      <c r="A1473" s="12"/>
      <c r="B1473" s="12"/>
      <c r="C1473" s="13"/>
      <c r="D1473" s="14"/>
      <c r="E1473" s="14"/>
      <c r="F1473" s="13"/>
      <c r="G1473" s="15"/>
      <c r="H1473" s="16" t="str">
        <f aca="false">IF(OR(D1473="",E1473="",E1473&lt;D1473),"",E1473-D1473+1)</f>
        <v/>
      </c>
      <c r="I1473" s="17" t="str">
        <f aca="false">IF(OR(H1473="",C1473=""),"",IF(F1473="İptal",0,H1473*IFERROR(INDEX(Ürünler!$B$5:$B$64,MATCH(C1473,Ürünler!$A$5:$A$64,0)),0)-G1473))</f>
        <v/>
      </c>
      <c r="J1473" s="18" t="str">
        <f aca="false">IF(OR(H1473="",C1473="",F1473="İptal"),"",IF(COUNTIFS($C$5:$C$1504,C1473,$D$5:$D$1504,"&lt;="&amp;E1473,$E$5:$E$1504,"&gt;="&amp;D1473,$F$5:$F$1504,"&lt;&gt;İptal")&gt;1,"Çakışıyor",""))</f>
        <v/>
      </c>
    </row>
    <row r="1474" customFormat="false" ht="15" hidden="false" customHeight="false" outlineLevel="0" collapsed="false">
      <c r="A1474" s="12"/>
      <c r="B1474" s="12"/>
      <c r="C1474" s="13"/>
      <c r="D1474" s="14"/>
      <c r="E1474" s="14"/>
      <c r="F1474" s="13"/>
      <c r="G1474" s="15"/>
      <c r="H1474" s="16" t="str">
        <f aca="false">IF(OR(D1474="",E1474="",E1474&lt;D1474),"",E1474-D1474+1)</f>
        <v/>
      </c>
      <c r="I1474" s="17" t="str">
        <f aca="false">IF(OR(H1474="",C1474=""),"",IF(F1474="İptal",0,H1474*IFERROR(INDEX(Ürünler!$B$5:$B$64,MATCH(C1474,Ürünler!$A$5:$A$64,0)),0)-G1474))</f>
        <v/>
      </c>
      <c r="J1474" s="18" t="str">
        <f aca="false">IF(OR(H1474="",C1474="",F1474="İptal"),"",IF(COUNTIFS($C$5:$C$1504,C1474,$D$5:$D$1504,"&lt;="&amp;E1474,$E$5:$E$1504,"&gt;="&amp;D1474,$F$5:$F$1504,"&lt;&gt;İptal")&gt;1,"Çakışıyor",""))</f>
        <v/>
      </c>
    </row>
    <row r="1475" customFormat="false" ht="15" hidden="false" customHeight="false" outlineLevel="0" collapsed="false">
      <c r="A1475" s="12"/>
      <c r="B1475" s="12"/>
      <c r="C1475" s="13"/>
      <c r="D1475" s="14"/>
      <c r="E1475" s="14"/>
      <c r="F1475" s="13"/>
      <c r="G1475" s="15"/>
      <c r="H1475" s="16" t="str">
        <f aca="false">IF(OR(D1475="",E1475="",E1475&lt;D1475),"",E1475-D1475+1)</f>
        <v/>
      </c>
      <c r="I1475" s="17" t="str">
        <f aca="false">IF(OR(H1475="",C1475=""),"",IF(F1475="İptal",0,H1475*IFERROR(INDEX(Ürünler!$B$5:$B$64,MATCH(C1475,Ürünler!$A$5:$A$64,0)),0)-G1475))</f>
        <v/>
      </c>
      <c r="J1475" s="18" t="str">
        <f aca="false">IF(OR(H1475="",C1475="",F1475="İptal"),"",IF(COUNTIFS($C$5:$C$1504,C1475,$D$5:$D$1504,"&lt;="&amp;E1475,$E$5:$E$1504,"&gt;="&amp;D1475,$F$5:$F$1504,"&lt;&gt;İptal")&gt;1,"Çakışıyor",""))</f>
        <v/>
      </c>
    </row>
    <row r="1476" customFormat="false" ht="15" hidden="false" customHeight="false" outlineLevel="0" collapsed="false">
      <c r="A1476" s="12"/>
      <c r="B1476" s="12"/>
      <c r="C1476" s="13"/>
      <c r="D1476" s="14"/>
      <c r="E1476" s="14"/>
      <c r="F1476" s="13"/>
      <c r="G1476" s="15"/>
      <c r="H1476" s="16" t="str">
        <f aca="false">IF(OR(D1476="",E1476="",E1476&lt;D1476),"",E1476-D1476+1)</f>
        <v/>
      </c>
      <c r="I1476" s="17" t="str">
        <f aca="false">IF(OR(H1476="",C1476=""),"",IF(F1476="İptal",0,H1476*IFERROR(INDEX(Ürünler!$B$5:$B$64,MATCH(C1476,Ürünler!$A$5:$A$64,0)),0)-G1476))</f>
        <v/>
      </c>
      <c r="J1476" s="18" t="str">
        <f aca="false">IF(OR(H1476="",C1476="",F1476="İptal"),"",IF(COUNTIFS($C$5:$C$1504,C1476,$D$5:$D$1504,"&lt;="&amp;E1476,$E$5:$E$1504,"&gt;="&amp;D1476,$F$5:$F$1504,"&lt;&gt;İptal")&gt;1,"Çakışıyor",""))</f>
        <v/>
      </c>
    </row>
    <row r="1477" customFormat="false" ht="15" hidden="false" customHeight="false" outlineLevel="0" collapsed="false">
      <c r="A1477" s="12"/>
      <c r="B1477" s="12"/>
      <c r="C1477" s="13"/>
      <c r="D1477" s="14"/>
      <c r="E1477" s="14"/>
      <c r="F1477" s="13"/>
      <c r="G1477" s="15"/>
      <c r="H1477" s="16" t="str">
        <f aca="false">IF(OR(D1477="",E1477="",E1477&lt;D1477),"",E1477-D1477+1)</f>
        <v/>
      </c>
      <c r="I1477" s="17" t="str">
        <f aca="false">IF(OR(H1477="",C1477=""),"",IF(F1477="İptal",0,H1477*IFERROR(INDEX(Ürünler!$B$5:$B$64,MATCH(C1477,Ürünler!$A$5:$A$64,0)),0)-G1477))</f>
        <v/>
      </c>
      <c r="J1477" s="18" t="str">
        <f aca="false">IF(OR(H1477="",C1477="",F1477="İptal"),"",IF(COUNTIFS($C$5:$C$1504,C1477,$D$5:$D$1504,"&lt;="&amp;E1477,$E$5:$E$1504,"&gt;="&amp;D1477,$F$5:$F$1504,"&lt;&gt;İptal")&gt;1,"Çakışıyor",""))</f>
        <v/>
      </c>
    </row>
    <row r="1478" customFormat="false" ht="15" hidden="false" customHeight="false" outlineLevel="0" collapsed="false">
      <c r="A1478" s="12"/>
      <c r="B1478" s="12"/>
      <c r="C1478" s="13"/>
      <c r="D1478" s="14"/>
      <c r="E1478" s="14"/>
      <c r="F1478" s="13"/>
      <c r="G1478" s="15"/>
      <c r="H1478" s="16" t="str">
        <f aca="false">IF(OR(D1478="",E1478="",E1478&lt;D1478),"",E1478-D1478+1)</f>
        <v/>
      </c>
      <c r="I1478" s="17" t="str">
        <f aca="false">IF(OR(H1478="",C1478=""),"",IF(F1478="İptal",0,H1478*IFERROR(INDEX(Ürünler!$B$5:$B$64,MATCH(C1478,Ürünler!$A$5:$A$64,0)),0)-G1478))</f>
        <v/>
      </c>
      <c r="J1478" s="18" t="str">
        <f aca="false">IF(OR(H1478="",C1478="",F1478="İptal"),"",IF(COUNTIFS($C$5:$C$1504,C1478,$D$5:$D$1504,"&lt;="&amp;E1478,$E$5:$E$1504,"&gt;="&amp;D1478,$F$5:$F$1504,"&lt;&gt;İptal")&gt;1,"Çakışıyor",""))</f>
        <v/>
      </c>
    </row>
    <row r="1479" customFormat="false" ht="15" hidden="false" customHeight="false" outlineLevel="0" collapsed="false">
      <c r="A1479" s="12"/>
      <c r="B1479" s="12"/>
      <c r="C1479" s="13"/>
      <c r="D1479" s="14"/>
      <c r="E1479" s="14"/>
      <c r="F1479" s="13"/>
      <c r="G1479" s="15"/>
      <c r="H1479" s="16" t="str">
        <f aca="false">IF(OR(D1479="",E1479="",E1479&lt;D1479),"",E1479-D1479+1)</f>
        <v/>
      </c>
      <c r="I1479" s="17" t="str">
        <f aca="false">IF(OR(H1479="",C1479=""),"",IF(F1479="İptal",0,H1479*IFERROR(INDEX(Ürünler!$B$5:$B$64,MATCH(C1479,Ürünler!$A$5:$A$64,0)),0)-G1479))</f>
        <v/>
      </c>
      <c r="J1479" s="18" t="str">
        <f aca="false">IF(OR(H1479="",C1479="",F1479="İptal"),"",IF(COUNTIFS($C$5:$C$1504,C1479,$D$5:$D$1504,"&lt;="&amp;E1479,$E$5:$E$1504,"&gt;="&amp;D1479,$F$5:$F$1504,"&lt;&gt;İptal")&gt;1,"Çakışıyor",""))</f>
        <v/>
      </c>
    </row>
    <row r="1480" customFormat="false" ht="15" hidden="false" customHeight="false" outlineLevel="0" collapsed="false">
      <c r="A1480" s="12"/>
      <c r="B1480" s="12"/>
      <c r="C1480" s="13"/>
      <c r="D1480" s="14"/>
      <c r="E1480" s="14"/>
      <c r="F1480" s="13"/>
      <c r="G1480" s="15"/>
      <c r="H1480" s="16" t="str">
        <f aca="false">IF(OR(D1480="",E1480="",E1480&lt;D1480),"",E1480-D1480+1)</f>
        <v/>
      </c>
      <c r="I1480" s="17" t="str">
        <f aca="false">IF(OR(H1480="",C1480=""),"",IF(F1480="İptal",0,H1480*IFERROR(INDEX(Ürünler!$B$5:$B$64,MATCH(C1480,Ürünler!$A$5:$A$64,0)),0)-G1480))</f>
        <v/>
      </c>
      <c r="J1480" s="18" t="str">
        <f aca="false">IF(OR(H1480="",C1480="",F1480="İptal"),"",IF(COUNTIFS($C$5:$C$1504,C1480,$D$5:$D$1504,"&lt;="&amp;E1480,$E$5:$E$1504,"&gt;="&amp;D1480,$F$5:$F$1504,"&lt;&gt;İptal")&gt;1,"Çakışıyor",""))</f>
        <v/>
      </c>
    </row>
    <row r="1481" customFormat="false" ht="15" hidden="false" customHeight="false" outlineLevel="0" collapsed="false">
      <c r="A1481" s="12"/>
      <c r="B1481" s="12"/>
      <c r="C1481" s="13"/>
      <c r="D1481" s="14"/>
      <c r="E1481" s="14"/>
      <c r="F1481" s="13"/>
      <c r="G1481" s="15"/>
      <c r="H1481" s="16" t="str">
        <f aca="false">IF(OR(D1481="",E1481="",E1481&lt;D1481),"",E1481-D1481+1)</f>
        <v/>
      </c>
      <c r="I1481" s="17" t="str">
        <f aca="false">IF(OR(H1481="",C1481=""),"",IF(F1481="İptal",0,H1481*IFERROR(INDEX(Ürünler!$B$5:$B$64,MATCH(C1481,Ürünler!$A$5:$A$64,0)),0)-G1481))</f>
        <v/>
      </c>
      <c r="J1481" s="18" t="str">
        <f aca="false">IF(OR(H1481="",C1481="",F1481="İptal"),"",IF(COUNTIFS($C$5:$C$1504,C1481,$D$5:$D$1504,"&lt;="&amp;E1481,$E$5:$E$1504,"&gt;="&amp;D1481,$F$5:$F$1504,"&lt;&gt;İptal")&gt;1,"Çakışıyor",""))</f>
        <v/>
      </c>
    </row>
    <row r="1482" customFormat="false" ht="15" hidden="false" customHeight="false" outlineLevel="0" collapsed="false">
      <c r="A1482" s="12"/>
      <c r="B1482" s="12"/>
      <c r="C1482" s="13"/>
      <c r="D1482" s="14"/>
      <c r="E1482" s="14"/>
      <c r="F1482" s="13"/>
      <c r="G1482" s="15"/>
      <c r="H1482" s="16" t="str">
        <f aca="false">IF(OR(D1482="",E1482="",E1482&lt;D1482),"",E1482-D1482+1)</f>
        <v/>
      </c>
      <c r="I1482" s="17" t="str">
        <f aca="false">IF(OR(H1482="",C1482=""),"",IF(F1482="İptal",0,H1482*IFERROR(INDEX(Ürünler!$B$5:$B$64,MATCH(C1482,Ürünler!$A$5:$A$64,0)),0)-G1482))</f>
        <v/>
      </c>
      <c r="J1482" s="18" t="str">
        <f aca="false">IF(OR(H1482="",C1482="",F1482="İptal"),"",IF(COUNTIFS($C$5:$C$1504,C1482,$D$5:$D$1504,"&lt;="&amp;E1482,$E$5:$E$1504,"&gt;="&amp;D1482,$F$5:$F$1504,"&lt;&gt;İptal")&gt;1,"Çakışıyor",""))</f>
        <v/>
      </c>
    </row>
    <row r="1483" customFormat="false" ht="15" hidden="false" customHeight="false" outlineLevel="0" collapsed="false">
      <c r="A1483" s="12"/>
      <c r="B1483" s="12"/>
      <c r="C1483" s="13"/>
      <c r="D1483" s="14"/>
      <c r="E1483" s="14"/>
      <c r="F1483" s="13"/>
      <c r="G1483" s="15"/>
      <c r="H1483" s="16" t="str">
        <f aca="false">IF(OR(D1483="",E1483="",E1483&lt;D1483),"",E1483-D1483+1)</f>
        <v/>
      </c>
      <c r="I1483" s="17" t="str">
        <f aca="false">IF(OR(H1483="",C1483=""),"",IF(F1483="İptal",0,H1483*IFERROR(INDEX(Ürünler!$B$5:$B$64,MATCH(C1483,Ürünler!$A$5:$A$64,0)),0)-G1483))</f>
        <v/>
      </c>
      <c r="J1483" s="18" t="str">
        <f aca="false">IF(OR(H1483="",C1483="",F1483="İptal"),"",IF(COUNTIFS($C$5:$C$1504,C1483,$D$5:$D$1504,"&lt;="&amp;E1483,$E$5:$E$1504,"&gt;="&amp;D1483,$F$5:$F$1504,"&lt;&gt;İptal")&gt;1,"Çakışıyor",""))</f>
        <v/>
      </c>
    </row>
    <row r="1484" customFormat="false" ht="15" hidden="false" customHeight="false" outlineLevel="0" collapsed="false">
      <c r="A1484" s="12"/>
      <c r="B1484" s="12"/>
      <c r="C1484" s="13"/>
      <c r="D1484" s="14"/>
      <c r="E1484" s="14"/>
      <c r="F1484" s="13"/>
      <c r="G1484" s="15"/>
      <c r="H1484" s="16" t="str">
        <f aca="false">IF(OR(D1484="",E1484="",E1484&lt;D1484),"",E1484-D1484+1)</f>
        <v/>
      </c>
      <c r="I1484" s="17" t="str">
        <f aca="false">IF(OR(H1484="",C1484=""),"",IF(F1484="İptal",0,H1484*IFERROR(INDEX(Ürünler!$B$5:$B$64,MATCH(C1484,Ürünler!$A$5:$A$64,0)),0)-G1484))</f>
        <v/>
      </c>
      <c r="J1484" s="18" t="str">
        <f aca="false">IF(OR(H1484="",C1484="",F1484="İptal"),"",IF(COUNTIFS($C$5:$C$1504,C1484,$D$5:$D$1504,"&lt;="&amp;E1484,$E$5:$E$1504,"&gt;="&amp;D1484,$F$5:$F$1504,"&lt;&gt;İptal")&gt;1,"Çakışıyor",""))</f>
        <v/>
      </c>
    </row>
    <row r="1485" customFormat="false" ht="15" hidden="false" customHeight="false" outlineLevel="0" collapsed="false">
      <c r="A1485" s="12"/>
      <c r="B1485" s="12"/>
      <c r="C1485" s="13"/>
      <c r="D1485" s="14"/>
      <c r="E1485" s="14"/>
      <c r="F1485" s="13"/>
      <c r="G1485" s="15"/>
      <c r="H1485" s="16" t="str">
        <f aca="false">IF(OR(D1485="",E1485="",E1485&lt;D1485),"",E1485-D1485+1)</f>
        <v/>
      </c>
      <c r="I1485" s="17" t="str">
        <f aca="false">IF(OR(H1485="",C1485=""),"",IF(F1485="İptal",0,H1485*IFERROR(INDEX(Ürünler!$B$5:$B$64,MATCH(C1485,Ürünler!$A$5:$A$64,0)),0)-G1485))</f>
        <v/>
      </c>
      <c r="J1485" s="18" t="str">
        <f aca="false">IF(OR(H1485="",C1485="",F1485="İptal"),"",IF(COUNTIFS($C$5:$C$1504,C1485,$D$5:$D$1504,"&lt;="&amp;E1485,$E$5:$E$1504,"&gt;="&amp;D1485,$F$5:$F$1504,"&lt;&gt;İptal")&gt;1,"Çakışıyor",""))</f>
        <v/>
      </c>
    </row>
    <row r="1486" customFormat="false" ht="15" hidden="false" customHeight="false" outlineLevel="0" collapsed="false">
      <c r="A1486" s="12"/>
      <c r="B1486" s="12"/>
      <c r="C1486" s="13"/>
      <c r="D1486" s="14"/>
      <c r="E1486" s="14"/>
      <c r="F1486" s="13"/>
      <c r="G1486" s="15"/>
      <c r="H1486" s="16" t="str">
        <f aca="false">IF(OR(D1486="",E1486="",E1486&lt;D1486),"",E1486-D1486+1)</f>
        <v/>
      </c>
      <c r="I1486" s="17" t="str">
        <f aca="false">IF(OR(H1486="",C1486=""),"",IF(F1486="İptal",0,H1486*IFERROR(INDEX(Ürünler!$B$5:$B$64,MATCH(C1486,Ürünler!$A$5:$A$64,0)),0)-G1486))</f>
        <v/>
      </c>
      <c r="J1486" s="18" t="str">
        <f aca="false">IF(OR(H1486="",C1486="",F1486="İptal"),"",IF(COUNTIFS($C$5:$C$1504,C1486,$D$5:$D$1504,"&lt;="&amp;E1486,$E$5:$E$1504,"&gt;="&amp;D1486,$F$5:$F$1504,"&lt;&gt;İptal")&gt;1,"Çakışıyor",""))</f>
        <v/>
      </c>
    </row>
    <row r="1487" customFormat="false" ht="15" hidden="false" customHeight="false" outlineLevel="0" collapsed="false">
      <c r="A1487" s="12"/>
      <c r="B1487" s="12"/>
      <c r="C1487" s="13"/>
      <c r="D1487" s="14"/>
      <c r="E1487" s="14"/>
      <c r="F1487" s="13"/>
      <c r="G1487" s="15"/>
      <c r="H1487" s="16" t="str">
        <f aca="false">IF(OR(D1487="",E1487="",E1487&lt;D1487),"",E1487-D1487+1)</f>
        <v/>
      </c>
      <c r="I1487" s="17" t="str">
        <f aca="false">IF(OR(H1487="",C1487=""),"",IF(F1487="İptal",0,H1487*IFERROR(INDEX(Ürünler!$B$5:$B$64,MATCH(C1487,Ürünler!$A$5:$A$64,0)),0)-G1487))</f>
        <v/>
      </c>
      <c r="J1487" s="18" t="str">
        <f aca="false">IF(OR(H1487="",C1487="",F1487="İptal"),"",IF(COUNTIFS($C$5:$C$1504,C1487,$D$5:$D$1504,"&lt;="&amp;E1487,$E$5:$E$1504,"&gt;="&amp;D1487,$F$5:$F$1504,"&lt;&gt;İptal")&gt;1,"Çakışıyor",""))</f>
        <v/>
      </c>
    </row>
    <row r="1488" customFormat="false" ht="15" hidden="false" customHeight="false" outlineLevel="0" collapsed="false">
      <c r="A1488" s="12"/>
      <c r="B1488" s="12"/>
      <c r="C1488" s="13"/>
      <c r="D1488" s="14"/>
      <c r="E1488" s="14"/>
      <c r="F1488" s="13"/>
      <c r="G1488" s="15"/>
      <c r="H1488" s="16" t="str">
        <f aca="false">IF(OR(D1488="",E1488="",E1488&lt;D1488),"",E1488-D1488+1)</f>
        <v/>
      </c>
      <c r="I1488" s="17" t="str">
        <f aca="false">IF(OR(H1488="",C1488=""),"",IF(F1488="İptal",0,H1488*IFERROR(INDEX(Ürünler!$B$5:$B$64,MATCH(C1488,Ürünler!$A$5:$A$64,0)),0)-G1488))</f>
        <v/>
      </c>
      <c r="J1488" s="18" t="str">
        <f aca="false">IF(OR(H1488="",C1488="",F1488="İptal"),"",IF(COUNTIFS($C$5:$C$1504,C1488,$D$5:$D$1504,"&lt;="&amp;E1488,$E$5:$E$1504,"&gt;="&amp;D1488,$F$5:$F$1504,"&lt;&gt;İptal")&gt;1,"Çakışıyor",""))</f>
        <v/>
      </c>
    </row>
    <row r="1489" customFormat="false" ht="15" hidden="false" customHeight="false" outlineLevel="0" collapsed="false">
      <c r="A1489" s="12"/>
      <c r="B1489" s="12"/>
      <c r="C1489" s="13"/>
      <c r="D1489" s="14"/>
      <c r="E1489" s="14"/>
      <c r="F1489" s="13"/>
      <c r="G1489" s="15"/>
      <c r="H1489" s="16" t="str">
        <f aca="false">IF(OR(D1489="",E1489="",E1489&lt;D1489),"",E1489-D1489+1)</f>
        <v/>
      </c>
      <c r="I1489" s="17" t="str">
        <f aca="false">IF(OR(H1489="",C1489=""),"",IF(F1489="İptal",0,H1489*IFERROR(INDEX(Ürünler!$B$5:$B$64,MATCH(C1489,Ürünler!$A$5:$A$64,0)),0)-G1489))</f>
        <v/>
      </c>
      <c r="J1489" s="18" t="str">
        <f aca="false">IF(OR(H1489="",C1489="",F1489="İptal"),"",IF(COUNTIFS($C$5:$C$1504,C1489,$D$5:$D$1504,"&lt;="&amp;E1489,$E$5:$E$1504,"&gt;="&amp;D1489,$F$5:$F$1504,"&lt;&gt;İptal")&gt;1,"Çakışıyor",""))</f>
        <v/>
      </c>
    </row>
    <row r="1490" customFormat="false" ht="15" hidden="false" customHeight="false" outlineLevel="0" collapsed="false">
      <c r="A1490" s="12"/>
      <c r="B1490" s="12"/>
      <c r="C1490" s="13"/>
      <c r="D1490" s="14"/>
      <c r="E1490" s="14"/>
      <c r="F1490" s="13"/>
      <c r="G1490" s="15"/>
      <c r="H1490" s="16" t="str">
        <f aca="false">IF(OR(D1490="",E1490="",E1490&lt;D1490),"",E1490-D1490+1)</f>
        <v/>
      </c>
      <c r="I1490" s="17" t="str">
        <f aca="false">IF(OR(H1490="",C1490=""),"",IF(F1490="İptal",0,H1490*IFERROR(INDEX(Ürünler!$B$5:$B$64,MATCH(C1490,Ürünler!$A$5:$A$64,0)),0)-G1490))</f>
        <v/>
      </c>
      <c r="J1490" s="18" t="str">
        <f aca="false">IF(OR(H1490="",C1490="",F1490="İptal"),"",IF(COUNTIFS($C$5:$C$1504,C1490,$D$5:$D$1504,"&lt;="&amp;E1490,$E$5:$E$1504,"&gt;="&amp;D1490,$F$5:$F$1504,"&lt;&gt;İptal")&gt;1,"Çakışıyor",""))</f>
        <v/>
      </c>
    </row>
    <row r="1491" customFormat="false" ht="15" hidden="false" customHeight="false" outlineLevel="0" collapsed="false">
      <c r="A1491" s="12"/>
      <c r="B1491" s="12"/>
      <c r="C1491" s="13"/>
      <c r="D1491" s="14"/>
      <c r="E1491" s="14"/>
      <c r="F1491" s="13"/>
      <c r="G1491" s="15"/>
      <c r="H1491" s="16" t="str">
        <f aca="false">IF(OR(D1491="",E1491="",E1491&lt;D1491),"",E1491-D1491+1)</f>
        <v/>
      </c>
      <c r="I1491" s="17" t="str">
        <f aca="false">IF(OR(H1491="",C1491=""),"",IF(F1491="İptal",0,H1491*IFERROR(INDEX(Ürünler!$B$5:$B$64,MATCH(C1491,Ürünler!$A$5:$A$64,0)),0)-G1491))</f>
        <v/>
      </c>
      <c r="J1491" s="18" t="str">
        <f aca="false">IF(OR(H1491="",C1491="",F1491="İptal"),"",IF(COUNTIFS($C$5:$C$1504,C1491,$D$5:$D$1504,"&lt;="&amp;E1491,$E$5:$E$1504,"&gt;="&amp;D1491,$F$5:$F$1504,"&lt;&gt;İptal")&gt;1,"Çakışıyor",""))</f>
        <v/>
      </c>
    </row>
    <row r="1492" customFormat="false" ht="15" hidden="false" customHeight="false" outlineLevel="0" collapsed="false">
      <c r="A1492" s="12"/>
      <c r="B1492" s="12"/>
      <c r="C1492" s="13"/>
      <c r="D1492" s="14"/>
      <c r="E1492" s="14"/>
      <c r="F1492" s="13"/>
      <c r="G1492" s="15"/>
      <c r="H1492" s="16" t="str">
        <f aca="false">IF(OR(D1492="",E1492="",E1492&lt;D1492),"",E1492-D1492+1)</f>
        <v/>
      </c>
      <c r="I1492" s="17" t="str">
        <f aca="false">IF(OR(H1492="",C1492=""),"",IF(F1492="İptal",0,H1492*IFERROR(INDEX(Ürünler!$B$5:$B$64,MATCH(C1492,Ürünler!$A$5:$A$64,0)),0)-G1492))</f>
        <v/>
      </c>
      <c r="J1492" s="18" t="str">
        <f aca="false">IF(OR(H1492="",C1492="",F1492="İptal"),"",IF(COUNTIFS($C$5:$C$1504,C1492,$D$5:$D$1504,"&lt;="&amp;E1492,$E$5:$E$1504,"&gt;="&amp;D1492,$F$5:$F$1504,"&lt;&gt;İptal")&gt;1,"Çakışıyor",""))</f>
        <v/>
      </c>
    </row>
    <row r="1493" customFormat="false" ht="15" hidden="false" customHeight="false" outlineLevel="0" collapsed="false">
      <c r="A1493" s="12"/>
      <c r="B1493" s="12"/>
      <c r="C1493" s="13"/>
      <c r="D1493" s="14"/>
      <c r="E1493" s="14"/>
      <c r="F1493" s="13"/>
      <c r="G1493" s="15"/>
      <c r="H1493" s="16" t="str">
        <f aca="false">IF(OR(D1493="",E1493="",E1493&lt;D1493),"",E1493-D1493+1)</f>
        <v/>
      </c>
      <c r="I1493" s="17" t="str">
        <f aca="false">IF(OR(H1493="",C1493=""),"",IF(F1493="İptal",0,H1493*IFERROR(INDEX(Ürünler!$B$5:$B$64,MATCH(C1493,Ürünler!$A$5:$A$64,0)),0)-G1493))</f>
        <v/>
      </c>
      <c r="J1493" s="18" t="str">
        <f aca="false">IF(OR(H1493="",C1493="",F1493="İptal"),"",IF(COUNTIFS($C$5:$C$1504,C1493,$D$5:$D$1504,"&lt;="&amp;E1493,$E$5:$E$1504,"&gt;="&amp;D1493,$F$5:$F$1504,"&lt;&gt;İptal")&gt;1,"Çakışıyor",""))</f>
        <v/>
      </c>
    </row>
    <row r="1494" customFormat="false" ht="15" hidden="false" customHeight="false" outlineLevel="0" collapsed="false">
      <c r="A1494" s="12"/>
      <c r="B1494" s="12"/>
      <c r="C1494" s="13"/>
      <c r="D1494" s="14"/>
      <c r="E1494" s="14"/>
      <c r="F1494" s="13"/>
      <c r="G1494" s="15"/>
      <c r="H1494" s="16" t="str">
        <f aca="false">IF(OR(D1494="",E1494="",E1494&lt;D1494),"",E1494-D1494+1)</f>
        <v/>
      </c>
      <c r="I1494" s="17" t="str">
        <f aca="false">IF(OR(H1494="",C1494=""),"",IF(F1494="İptal",0,H1494*IFERROR(INDEX(Ürünler!$B$5:$B$64,MATCH(C1494,Ürünler!$A$5:$A$64,0)),0)-G1494))</f>
        <v/>
      </c>
      <c r="J1494" s="18" t="str">
        <f aca="false">IF(OR(H1494="",C1494="",F1494="İptal"),"",IF(COUNTIFS($C$5:$C$1504,C1494,$D$5:$D$1504,"&lt;="&amp;E1494,$E$5:$E$1504,"&gt;="&amp;D1494,$F$5:$F$1504,"&lt;&gt;İptal")&gt;1,"Çakışıyor",""))</f>
        <v/>
      </c>
    </row>
    <row r="1495" customFormat="false" ht="15" hidden="false" customHeight="false" outlineLevel="0" collapsed="false">
      <c r="A1495" s="12"/>
      <c r="B1495" s="12"/>
      <c r="C1495" s="13"/>
      <c r="D1495" s="14"/>
      <c r="E1495" s="14"/>
      <c r="F1495" s="13"/>
      <c r="G1495" s="15"/>
      <c r="H1495" s="16" t="str">
        <f aca="false">IF(OR(D1495="",E1495="",E1495&lt;D1495),"",E1495-D1495+1)</f>
        <v/>
      </c>
      <c r="I1495" s="17" t="str">
        <f aca="false">IF(OR(H1495="",C1495=""),"",IF(F1495="İptal",0,H1495*IFERROR(INDEX(Ürünler!$B$5:$B$64,MATCH(C1495,Ürünler!$A$5:$A$64,0)),0)-G1495))</f>
        <v/>
      </c>
      <c r="J1495" s="18" t="str">
        <f aca="false">IF(OR(H1495="",C1495="",F1495="İptal"),"",IF(COUNTIFS($C$5:$C$1504,C1495,$D$5:$D$1504,"&lt;="&amp;E1495,$E$5:$E$1504,"&gt;="&amp;D1495,$F$5:$F$1504,"&lt;&gt;İptal")&gt;1,"Çakışıyor",""))</f>
        <v/>
      </c>
    </row>
    <row r="1496" customFormat="false" ht="15" hidden="false" customHeight="false" outlineLevel="0" collapsed="false">
      <c r="A1496" s="12"/>
      <c r="B1496" s="12"/>
      <c r="C1496" s="13"/>
      <c r="D1496" s="14"/>
      <c r="E1496" s="14"/>
      <c r="F1496" s="13"/>
      <c r="G1496" s="15"/>
      <c r="H1496" s="16" t="str">
        <f aca="false">IF(OR(D1496="",E1496="",E1496&lt;D1496),"",E1496-D1496+1)</f>
        <v/>
      </c>
      <c r="I1496" s="17" t="str">
        <f aca="false">IF(OR(H1496="",C1496=""),"",IF(F1496="İptal",0,H1496*IFERROR(INDEX(Ürünler!$B$5:$B$64,MATCH(C1496,Ürünler!$A$5:$A$64,0)),0)-G1496))</f>
        <v/>
      </c>
      <c r="J1496" s="18" t="str">
        <f aca="false">IF(OR(H1496="",C1496="",F1496="İptal"),"",IF(COUNTIFS($C$5:$C$1504,C1496,$D$5:$D$1504,"&lt;="&amp;E1496,$E$5:$E$1504,"&gt;="&amp;D1496,$F$5:$F$1504,"&lt;&gt;İptal")&gt;1,"Çakışıyor",""))</f>
        <v/>
      </c>
    </row>
    <row r="1497" customFormat="false" ht="15" hidden="false" customHeight="false" outlineLevel="0" collapsed="false">
      <c r="A1497" s="12"/>
      <c r="B1497" s="12"/>
      <c r="C1497" s="13"/>
      <c r="D1497" s="14"/>
      <c r="E1497" s="14"/>
      <c r="F1497" s="13"/>
      <c r="G1497" s="15"/>
      <c r="H1497" s="16" t="str">
        <f aca="false">IF(OR(D1497="",E1497="",E1497&lt;D1497),"",E1497-D1497+1)</f>
        <v/>
      </c>
      <c r="I1497" s="17" t="str">
        <f aca="false">IF(OR(H1497="",C1497=""),"",IF(F1497="İptal",0,H1497*IFERROR(INDEX(Ürünler!$B$5:$B$64,MATCH(C1497,Ürünler!$A$5:$A$64,0)),0)-G1497))</f>
        <v/>
      </c>
      <c r="J1497" s="18" t="str">
        <f aca="false">IF(OR(H1497="",C1497="",F1497="İptal"),"",IF(COUNTIFS($C$5:$C$1504,C1497,$D$5:$D$1504,"&lt;="&amp;E1497,$E$5:$E$1504,"&gt;="&amp;D1497,$F$5:$F$1504,"&lt;&gt;İptal")&gt;1,"Çakışıyor",""))</f>
        <v/>
      </c>
    </row>
    <row r="1498" customFormat="false" ht="15" hidden="false" customHeight="false" outlineLevel="0" collapsed="false">
      <c r="A1498" s="12"/>
      <c r="B1498" s="12"/>
      <c r="C1498" s="13"/>
      <c r="D1498" s="14"/>
      <c r="E1498" s="14"/>
      <c r="F1498" s="13"/>
      <c r="G1498" s="15"/>
      <c r="H1498" s="16" t="str">
        <f aca="false">IF(OR(D1498="",E1498="",E1498&lt;D1498),"",E1498-D1498+1)</f>
        <v/>
      </c>
      <c r="I1498" s="17" t="str">
        <f aca="false">IF(OR(H1498="",C1498=""),"",IF(F1498="İptal",0,H1498*IFERROR(INDEX(Ürünler!$B$5:$B$64,MATCH(C1498,Ürünler!$A$5:$A$64,0)),0)-G1498))</f>
        <v/>
      </c>
      <c r="J1498" s="18" t="str">
        <f aca="false">IF(OR(H1498="",C1498="",F1498="İptal"),"",IF(COUNTIFS($C$5:$C$1504,C1498,$D$5:$D$1504,"&lt;="&amp;E1498,$E$5:$E$1504,"&gt;="&amp;D1498,$F$5:$F$1504,"&lt;&gt;İptal")&gt;1,"Çakışıyor",""))</f>
        <v/>
      </c>
    </row>
    <row r="1499" customFormat="false" ht="15" hidden="false" customHeight="false" outlineLevel="0" collapsed="false">
      <c r="A1499" s="12"/>
      <c r="B1499" s="12"/>
      <c r="C1499" s="13"/>
      <c r="D1499" s="14"/>
      <c r="E1499" s="14"/>
      <c r="F1499" s="13"/>
      <c r="G1499" s="15"/>
      <c r="H1499" s="16" t="str">
        <f aca="false">IF(OR(D1499="",E1499="",E1499&lt;D1499),"",E1499-D1499+1)</f>
        <v/>
      </c>
      <c r="I1499" s="17" t="str">
        <f aca="false">IF(OR(H1499="",C1499=""),"",IF(F1499="İptal",0,H1499*IFERROR(INDEX(Ürünler!$B$5:$B$64,MATCH(C1499,Ürünler!$A$5:$A$64,0)),0)-G1499))</f>
        <v/>
      </c>
      <c r="J1499" s="18" t="str">
        <f aca="false">IF(OR(H1499="",C1499="",F1499="İptal"),"",IF(COUNTIFS($C$5:$C$1504,C1499,$D$5:$D$1504,"&lt;="&amp;E1499,$E$5:$E$1504,"&gt;="&amp;D1499,$F$5:$F$1504,"&lt;&gt;İptal")&gt;1,"Çakışıyor",""))</f>
        <v/>
      </c>
    </row>
    <row r="1500" customFormat="false" ht="15" hidden="false" customHeight="false" outlineLevel="0" collapsed="false">
      <c r="A1500" s="12"/>
      <c r="B1500" s="12"/>
      <c r="C1500" s="13"/>
      <c r="D1500" s="14"/>
      <c r="E1500" s="14"/>
      <c r="F1500" s="13"/>
      <c r="G1500" s="15"/>
      <c r="H1500" s="16" t="str">
        <f aca="false">IF(OR(D1500="",E1500="",E1500&lt;D1500),"",E1500-D1500+1)</f>
        <v/>
      </c>
      <c r="I1500" s="17" t="str">
        <f aca="false">IF(OR(H1500="",C1500=""),"",IF(F1500="İptal",0,H1500*IFERROR(INDEX(Ürünler!$B$5:$B$64,MATCH(C1500,Ürünler!$A$5:$A$64,0)),0)-G1500))</f>
        <v/>
      </c>
      <c r="J1500" s="18" t="str">
        <f aca="false">IF(OR(H1500="",C1500="",F1500="İptal"),"",IF(COUNTIFS($C$5:$C$1504,C1500,$D$5:$D$1504,"&lt;="&amp;E1500,$E$5:$E$1504,"&gt;="&amp;D1500,$F$5:$F$1504,"&lt;&gt;İptal")&gt;1,"Çakışıyor",""))</f>
        <v/>
      </c>
    </row>
    <row r="1501" customFormat="false" ht="15" hidden="false" customHeight="false" outlineLevel="0" collapsed="false">
      <c r="A1501" s="12"/>
      <c r="B1501" s="12"/>
      <c r="C1501" s="13"/>
      <c r="D1501" s="14"/>
      <c r="E1501" s="14"/>
      <c r="F1501" s="13"/>
      <c r="G1501" s="15"/>
      <c r="H1501" s="16" t="str">
        <f aca="false">IF(OR(D1501="",E1501="",E1501&lt;D1501),"",E1501-D1501+1)</f>
        <v/>
      </c>
      <c r="I1501" s="17" t="str">
        <f aca="false">IF(OR(H1501="",C1501=""),"",IF(F1501="İptal",0,H1501*IFERROR(INDEX(Ürünler!$B$5:$B$64,MATCH(C1501,Ürünler!$A$5:$A$64,0)),0)-G1501))</f>
        <v/>
      </c>
      <c r="J1501" s="18" t="str">
        <f aca="false">IF(OR(H1501="",C1501="",F1501="İptal"),"",IF(COUNTIFS($C$5:$C$1504,C1501,$D$5:$D$1504,"&lt;="&amp;E1501,$E$5:$E$1504,"&gt;="&amp;D1501,$F$5:$F$1504,"&lt;&gt;İptal")&gt;1,"Çakışıyor",""))</f>
        <v/>
      </c>
    </row>
    <row r="1502" customFormat="false" ht="15" hidden="false" customHeight="false" outlineLevel="0" collapsed="false">
      <c r="A1502" s="12"/>
      <c r="B1502" s="12"/>
      <c r="C1502" s="13"/>
      <c r="D1502" s="14"/>
      <c r="E1502" s="14"/>
      <c r="F1502" s="13"/>
      <c r="G1502" s="15"/>
      <c r="H1502" s="16" t="str">
        <f aca="false">IF(OR(D1502="",E1502="",E1502&lt;D1502),"",E1502-D1502+1)</f>
        <v/>
      </c>
      <c r="I1502" s="17" t="str">
        <f aca="false">IF(OR(H1502="",C1502=""),"",IF(F1502="İptal",0,H1502*IFERROR(INDEX(Ürünler!$B$5:$B$64,MATCH(C1502,Ürünler!$A$5:$A$64,0)),0)-G1502))</f>
        <v/>
      </c>
      <c r="J1502" s="18" t="str">
        <f aca="false">IF(OR(H1502="",C1502="",F1502="İptal"),"",IF(COUNTIFS($C$5:$C$1504,C1502,$D$5:$D$1504,"&lt;="&amp;E1502,$E$5:$E$1504,"&gt;="&amp;D1502,$F$5:$F$1504,"&lt;&gt;İptal")&gt;1,"Çakışıyor",""))</f>
        <v/>
      </c>
    </row>
    <row r="1503" customFormat="false" ht="15" hidden="false" customHeight="false" outlineLevel="0" collapsed="false">
      <c r="A1503" s="12"/>
      <c r="B1503" s="12"/>
      <c r="C1503" s="13"/>
      <c r="D1503" s="14"/>
      <c r="E1503" s="14"/>
      <c r="F1503" s="13"/>
      <c r="G1503" s="15"/>
      <c r="H1503" s="16" t="str">
        <f aca="false">IF(OR(D1503="",E1503="",E1503&lt;D1503),"",E1503-D1503+1)</f>
        <v/>
      </c>
      <c r="I1503" s="17" t="str">
        <f aca="false">IF(OR(H1503="",C1503=""),"",IF(F1503="İptal",0,H1503*IFERROR(INDEX(Ürünler!$B$5:$B$64,MATCH(C1503,Ürünler!$A$5:$A$64,0)),0)-G1503))</f>
        <v/>
      </c>
      <c r="J1503" s="18" t="str">
        <f aca="false">IF(OR(H1503="",C1503="",F1503="İptal"),"",IF(COUNTIFS($C$5:$C$1504,C1503,$D$5:$D$1504,"&lt;="&amp;E1503,$E$5:$E$1504,"&gt;="&amp;D1503,$F$5:$F$1504,"&lt;&gt;İptal")&gt;1,"Çakışıyor",""))</f>
        <v/>
      </c>
    </row>
    <row r="1504" customFormat="false" ht="15" hidden="false" customHeight="false" outlineLevel="0" collapsed="false">
      <c r="A1504" s="12"/>
      <c r="B1504" s="12"/>
      <c r="C1504" s="13"/>
      <c r="D1504" s="14"/>
      <c r="E1504" s="14"/>
      <c r="F1504" s="13"/>
      <c r="G1504" s="15"/>
      <c r="H1504" s="16" t="str">
        <f aca="false">IF(OR(D1504="",E1504="",E1504&lt;D1504),"",E1504-D1504+1)</f>
        <v/>
      </c>
      <c r="I1504" s="17" t="str">
        <f aca="false">IF(OR(H1504="",C1504=""),"",IF(F1504="İptal",0,H1504*IFERROR(INDEX(Ürünler!$B$5:$B$64,MATCH(C1504,Ürünler!$A$5:$A$64,0)),0)-G1504))</f>
        <v/>
      </c>
      <c r="J1504" s="18" t="str">
        <f aca="false">IF(OR(H1504="",C1504="",F1504="İptal"),"",IF(COUNTIFS($C$5:$C$1504,C1504,$D$5:$D$1504,"&lt;="&amp;E1504,$E$5:$E$1504,"&gt;="&amp;D1504,$F$5:$F$1504,"&lt;&gt;İptal")&gt;1,"Çakışıyor",""))</f>
        <v/>
      </c>
    </row>
  </sheetData>
  <conditionalFormatting sqref="J5:J1504">
    <cfRule type="cellIs" priority="2" operator="equal" aboveAverage="0" equalAverage="0" bottom="0" percent="0" rank="0" text="" dxfId="0">
      <formula>"Çakışıyor"</formula>
    </cfRule>
  </conditionalFormatting>
  <dataValidations count="4">
    <dataValidation allowBlank="true" error="Sıfır ya da daha büyük bir sayı gir." errorStyle="stop" errorTitle="Kontrol" operator="greaterThanOrEqual" showDropDown="false" showErrorMessage="true" showInputMessage="false" sqref="G5:G1504" type="decimal">
      <formula1>0</formula1>
      <formula2>0</formula2>
    </dataValidation>
    <dataValidation allowBlank="true" error="Listeden seç." errorStyle="stop" errorTitle="Kontrol" operator="between" showDropDown="false" showErrorMessage="true" showInputMessage="false" sqref="C5:C1504" type="list">
      <formula1>Ürünler!$A$5:$A$64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D5:E15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F5:F1504" type="list">
      <formula1>"Rezerve,Teslim edildi,İade alındı,İptal"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7" min="5" style="0" width="14"/>
  </cols>
  <sheetData>
    <row r="1" customFormat="false" ht="19.7" hidden="false" customHeight="false" outlineLevel="0" collapsed="false">
      <c r="A1" s="8" t="s">
        <v>45</v>
      </c>
    </row>
    <row r="2" customFormat="false" ht="15" hidden="false" customHeight="false" outlineLevel="0" collapsed="false">
      <c r="A2" s="9" t="s">
        <v>46</v>
      </c>
    </row>
    <row r="4" customFormat="false" ht="27.75" hidden="false" customHeight="true" outlineLevel="0" collapsed="false">
      <c r="A4" s="10" t="s">
        <v>26</v>
      </c>
      <c r="B4" s="10" t="s">
        <v>47</v>
      </c>
      <c r="C4" s="10" t="s">
        <v>48</v>
      </c>
      <c r="D4" s="11" t="s">
        <v>49</v>
      </c>
      <c r="E4" s="11" t="s">
        <v>50</v>
      </c>
      <c r="F4" s="11" t="s">
        <v>51</v>
      </c>
      <c r="G4" s="11" t="s">
        <v>52</v>
      </c>
    </row>
    <row r="5" customFormat="false" ht="15" hidden="false" customHeight="false" outlineLevel="0" collapsed="false">
      <c r="A5" s="12" t="s">
        <v>34</v>
      </c>
      <c r="B5" s="15" t="n">
        <v>2500</v>
      </c>
      <c r="C5" s="15" t="n">
        <v>5000</v>
      </c>
      <c r="D5" s="16" t="n">
        <f aca="false">IF(A5="","",SUMIFS(Rezervasyonlar!$H$5:$H$1504,Rezervasyonlar!$C$5:$C$1504,A5,Rezervasyonlar!$D$5:$D$1504,"&gt;="&amp;DATE(Özet!$C$3,1,1),Rezervasyonlar!$D$5:$D$1504,"&lt;"&amp;DATE(Özet!$C$3+1,1,1),Rezervasyonlar!$F$5:$F$1504,"&lt;&gt;İptal"))</f>
        <v>5</v>
      </c>
      <c r="E5" s="17" t="n">
        <f aca="false">IF(A5="","",SUMIFS(Rezervasyonlar!$I$5:$I$1504,Rezervasyonlar!$C$5:$C$1504,A5,Rezervasyonlar!$D$5:$D$1504,"&gt;="&amp;DATE(Özet!$C$3,1,1),Rezervasyonlar!$D$5:$D$1504,"&lt;"&amp;DATE(Özet!$C$3+1,1,1),Rezervasyonlar!$F$5:$F$1504,"&lt;&gt;İptal"))</f>
        <v>12500</v>
      </c>
      <c r="F5" s="19" t="n">
        <f aca="false">IF(A5="","",D5/365)</f>
        <v>0.0136986301369863</v>
      </c>
      <c r="G5" s="18" t="str">
        <f aca="true">IF(A5="","",IF(COUNTIFS(Rezervasyonlar!$C$5:$C$1504,A5,Rezervasyonlar!$D$5:$D$1504,"&lt;="&amp;TODAY(),Rezervasyonlar!$E$5:$E$1504,"&gt;="&amp;TODAY(),Rezervasyonlar!$F$5:$F$1504,"&lt;&gt;İptal",Rezervasyonlar!$F$5:$F$1504,"&lt;&gt;İade alındı")&gt;0,"Dışarıda","Müsait"))</f>
        <v>Dışarıda</v>
      </c>
    </row>
    <row r="6" customFormat="false" ht="15" hidden="false" customHeight="false" outlineLevel="0" collapsed="false">
      <c r="A6" s="12" t="s">
        <v>39</v>
      </c>
      <c r="B6" s="15" t="n">
        <v>1200</v>
      </c>
      <c r="C6" s="15" t="n">
        <v>3000</v>
      </c>
      <c r="D6" s="16" t="n">
        <f aca="false">IF(A6="","",SUMIFS(Rezervasyonlar!$H$5:$H$1504,Rezervasyonlar!$C$5:$C$1504,A6,Rezervasyonlar!$D$5:$D$1504,"&gt;="&amp;DATE(Özet!$C$3,1,1),Rezervasyonlar!$D$5:$D$1504,"&lt;"&amp;DATE(Özet!$C$3+1,1,1),Rezervasyonlar!$F$5:$F$1504,"&lt;&gt;İptal"))</f>
        <v>1</v>
      </c>
      <c r="E6" s="17" t="n">
        <f aca="false">IF(A6="","",SUMIFS(Rezervasyonlar!$I$5:$I$1504,Rezervasyonlar!$C$5:$C$1504,A6,Rezervasyonlar!$D$5:$D$1504,"&gt;="&amp;DATE(Özet!$C$3,1,1),Rezervasyonlar!$D$5:$D$1504,"&lt;"&amp;DATE(Özet!$C$3+1,1,1),Rezervasyonlar!$F$5:$F$1504,"&lt;&gt;İptal"))</f>
        <v>1000</v>
      </c>
      <c r="F6" s="19" t="n">
        <f aca="false">IF(A6="","",D6/365)</f>
        <v>0.00273972602739726</v>
      </c>
      <c r="G6" s="18" t="str">
        <f aca="true">IF(A6="","",IF(COUNTIFS(Rezervasyonlar!$C$5:$C$1504,A6,Rezervasyonlar!$D$5:$D$1504,"&lt;="&amp;TODAY(),Rezervasyonlar!$E$5:$E$1504,"&gt;="&amp;TODAY(),Rezervasyonlar!$F$5:$F$1504,"&lt;&gt;İptal",Rezervasyonlar!$F$5:$F$1504,"&lt;&gt;İade alındı")&gt;0,"Dışarıda","Müsait"))</f>
        <v>Müsait</v>
      </c>
    </row>
    <row r="7" customFormat="false" ht="15" hidden="false" customHeight="false" outlineLevel="0" collapsed="false">
      <c r="A7" s="12" t="s">
        <v>41</v>
      </c>
      <c r="B7" s="15" t="n">
        <v>4000</v>
      </c>
      <c r="C7" s="15" t="n">
        <v>8000</v>
      </c>
      <c r="D7" s="16" t="n">
        <f aca="false">IF(A7="","",SUMIFS(Rezervasyonlar!$H$5:$H$1504,Rezervasyonlar!$C$5:$C$1504,A7,Rezervasyonlar!$D$5:$D$1504,"&gt;="&amp;DATE(Özet!$C$3,1,1),Rezervasyonlar!$D$5:$D$1504,"&lt;"&amp;DATE(Özet!$C$3+1,1,1),Rezervasyonlar!$F$5:$F$1504,"&lt;&gt;İptal"))</f>
        <v>3</v>
      </c>
      <c r="E7" s="17" t="n">
        <f aca="false">IF(A7="","",SUMIFS(Rezervasyonlar!$I$5:$I$1504,Rezervasyonlar!$C$5:$C$1504,A7,Rezervasyonlar!$D$5:$D$1504,"&gt;="&amp;DATE(Özet!$C$3,1,1),Rezervasyonlar!$D$5:$D$1504,"&lt;"&amp;DATE(Özet!$C$3+1,1,1),Rezervasyonlar!$F$5:$F$1504,"&lt;&gt;İptal"))</f>
        <v>12000</v>
      </c>
      <c r="F7" s="19" t="n">
        <f aca="false">IF(A7="","",D7/365)</f>
        <v>0.00821917808219178</v>
      </c>
      <c r="G7" s="18" t="str">
        <f aca="true">IF(A7="","",IF(COUNTIFS(Rezervasyonlar!$C$5:$C$1504,A7,Rezervasyonlar!$D$5:$D$1504,"&lt;="&amp;TODAY(),Rezervasyonlar!$E$5:$E$1504,"&gt;="&amp;TODAY(),Rezervasyonlar!$F$5:$F$1504,"&lt;&gt;İptal",Rezervasyonlar!$F$5:$F$1504,"&lt;&gt;İade alındı")&gt;0,"Dışarıda","Müsait"))</f>
        <v>Müsait</v>
      </c>
    </row>
    <row r="8" customFormat="false" ht="15" hidden="false" customHeight="false" outlineLevel="0" collapsed="false">
      <c r="A8" s="12"/>
      <c r="B8" s="15"/>
      <c r="C8" s="15"/>
      <c r="D8" s="16" t="str">
        <f aca="false">IF(A8="","",SUMIFS(Rezervasyonlar!$H$5:$H$1504,Rezervasyonlar!$C$5:$C$1504,A8,Rezervasyonlar!$D$5:$D$1504,"&gt;="&amp;DATE(Özet!$C$3,1,1),Rezervasyonlar!$D$5:$D$1504,"&lt;"&amp;DATE(Özet!$C$3+1,1,1),Rezervasyonlar!$F$5:$F$1504,"&lt;&gt;İptal"))</f>
        <v/>
      </c>
      <c r="E8" s="17" t="str">
        <f aca="false">IF(A8="","",SUMIFS(Rezervasyonlar!$I$5:$I$1504,Rezervasyonlar!$C$5:$C$1504,A8,Rezervasyonlar!$D$5:$D$1504,"&gt;="&amp;DATE(Özet!$C$3,1,1),Rezervasyonlar!$D$5:$D$1504,"&lt;"&amp;DATE(Özet!$C$3+1,1,1),Rezervasyonlar!$F$5:$F$1504,"&lt;&gt;İptal"))</f>
        <v/>
      </c>
      <c r="F8" s="19" t="str">
        <f aca="false">IF(A8="","",D8/365)</f>
        <v/>
      </c>
      <c r="G8" s="18" t="str">
        <f aca="true">IF(A8="","",IF(COUNTIFS(Rezervasyonlar!$C$5:$C$1504,A8,Rezervasyonlar!$D$5:$D$1504,"&lt;="&amp;TODAY(),Rezervasyonlar!$E$5:$E$1504,"&gt;="&amp;TODAY(),Rezervasyonlar!$F$5:$F$1504,"&lt;&gt;İptal",Rezervasyonlar!$F$5:$F$1504,"&lt;&gt;İade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9" customFormat="false" ht="15" hidden="false" customHeight="false" outlineLevel="0" collapsed="false">
      <c r="A9" s="12"/>
      <c r="B9" s="15"/>
      <c r="C9" s="15"/>
      <c r="D9" s="16" t="str">
        <f aca="false">IF(A9="","",SUMIFS(Rezervasyonlar!$H$5:$H$1504,Rezervasyonlar!$C$5:$C$1504,A9,Rezervasyonlar!$D$5:$D$1504,"&gt;="&amp;DATE(Özet!$C$3,1,1),Rezervasyonlar!$D$5:$D$1504,"&lt;"&amp;DATE(Özet!$C$3+1,1,1),Rezervasyonlar!$F$5:$F$1504,"&lt;&gt;İptal"))</f>
        <v/>
      </c>
      <c r="E9" s="17" t="str">
        <f aca="false">IF(A9="","",SUMIFS(Rezervasyonlar!$I$5:$I$1504,Rezervasyonlar!$C$5:$C$1504,A9,Rezervasyonlar!$D$5:$D$1504,"&gt;="&amp;DATE(Özet!$C$3,1,1),Rezervasyonlar!$D$5:$D$1504,"&lt;"&amp;DATE(Özet!$C$3+1,1,1),Rezervasyonlar!$F$5:$F$1504,"&lt;&gt;İptal"))</f>
        <v/>
      </c>
      <c r="F9" s="19" t="str">
        <f aca="false">IF(A9="","",D9/365)</f>
        <v/>
      </c>
      <c r="G9" s="18" t="str">
        <f aca="true">IF(A9="","",IF(COUNTIFS(Rezervasyonlar!$C$5:$C$1504,A9,Rezervasyonlar!$D$5:$D$1504,"&lt;="&amp;TODAY(),Rezervasyonlar!$E$5:$E$1504,"&gt;="&amp;TODAY(),Rezervasyonlar!$F$5:$F$1504,"&lt;&gt;İptal",Rezervasyonlar!$F$5:$F$1504,"&lt;&gt;İade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0" customFormat="false" ht="15" hidden="false" customHeight="false" outlineLevel="0" collapsed="false">
      <c r="A10" s="12"/>
      <c r="B10" s="15"/>
      <c r="C10" s="15"/>
      <c r="D10" s="16" t="str">
        <f aca="false">IF(A10="","",SUMIFS(Rezervasyonlar!$H$5:$H$1504,Rezervasyonlar!$C$5:$C$1504,A10,Rezervasyonlar!$D$5:$D$1504,"&gt;="&amp;DATE(Özet!$C$3,1,1),Rezervasyonlar!$D$5:$D$1504,"&lt;"&amp;DATE(Özet!$C$3+1,1,1),Rezervasyonlar!$F$5:$F$1504,"&lt;&gt;İptal"))</f>
        <v/>
      </c>
      <c r="E10" s="17" t="str">
        <f aca="false">IF(A10="","",SUMIFS(Rezervasyonlar!$I$5:$I$1504,Rezervasyonlar!$C$5:$C$1504,A10,Rezervasyonlar!$D$5:$D$1504,"&gt;="&amp;DATE(Özet!$C$3,1,1),Rezervasyonlar!$D$5:$D$1504,"&lt;"&amp;DATE(Özet!$C$3+1,1,1),Rezervasyonlar!$F$5:$F$1504,"&lt;&gt;İptal"))</f>
        <v/>
      </c>
      <c r="F10" s="19" t="str">
        <f aca="false">IF(A10="","",D10/365)</f>
        <v/>
      </c>
      <c r="G10" s="18" t="str">
        <f aca="true">IF(A10="","",IF(COUNTIFS(Rezervasyonlar!$C$5:$C$1504,A10,Rezervasyonlar!$D$5:$D$1504,"&lt;="&amp;TODAY(),Rezervasyonlar!$E$5:$E$1504,"&gt;="&amp;TODAY(),Rezervasyonlar!$F$5:$F$1504,"&lt;&gt;İptal",Rezervasyonlar!$F$5:$F$1504,"&lt;&gt;İade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1" customFormat="false" ht="15" hidden="false" customHeight="false" outlineLevel="0" collapsed="false">
      <c r="A11" s="12"/>
      <c r="B11" s="15"/>
      <c r="C11" s="15"/>
      <c r="D11" s="16" t="str">
        <f aca="false">IF(A11="","",SUMIFS(Rezervasyonlar!$H$5:$H$1504,Rezervasyonlar!$C$5:$C$1504,A11,Rezervasyonlar!$D$5:$D$1504,"&gt;="&amp;DATE(Özet!$C$3,1,1),Rezervasyonlar!$D$5:$D$1504,"&lt;"&amp;DATE(Özet!$C$3+1,1,1),Rezervasyonlar!$F$5:$F$1504,"&lt;&gt;İptal"))</f>
        <v/>
      </c>
      <c r="E11" s="17" t="str">
        <f aca="false">IF(A11="","",SUMIFS(Rezervasyonlar!$I$5:$I$1504,Rezervasyonlar!$C$5:$C$1504,A11,Rezervasyonlar!$D$5:$D$1504,"&gt;="&amp;DATE(Özet!$C$3,1,1),Rezervasyonlar!$D$5:$D$1504,"&lt;"&amp;DATE(Özet!$C$3+1,1,1),Rezervasyonlar!$F$5:$F$1504,"&lt;&gt;İptal"))</f>
        <v/>
      </c>
      <c r="F11" s="19" t="str">
        <f aca="false">IF(A11="","",D11/365)</f>
        <v/>
      </c>
      <c r="G11" s="18" t="str">
        <f aca="true">IF(A11="","",IF(COUNTIFS(Rezervasyonlar!$C$5:$C$1504,A11,Rezervasyonlar!$D$5:$D$1504,"&lt;="&amp;TODAY(),Rezervasyonlar!$E$5:$E$1504,"&gt;="&amp;TODAY(),Rezervasyonlar!$F$5:$F$1504,"&lt;&gt;İptal",Rezervasyonlar!$F$5:$F$1504,"&lt;&gt;İade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2" customFormat="false" ht="15" hidden="false" customHeight="false" outlineLevel="0" collapsed="false">
      <c r="A12" s="12"/>
      <c r="B12" s="15"/>
      <c r="C12" s="15"/>
      <c r="D12" s="16" t="str">
        <f aca="false">IF(A12="","",SUMIFS(Rezervasyonlar!$H$5:$H$1504,Rezervasyonlar!$C$5:$C$1504,A12,Rezervasyonlar!$D$5:$D$1504,"&gt;="&amp;DATE(Özet!$C$3,1,1),Rezervasyonlar!$D$5:$D$1504,"&lt;"&amp;DATE(Özet!$C$3+1,1,1),Rezervasyonlar!$F$5:$F$1504,"&lt;&gt;İptal"))</f>
        <v/>
      </c>
      <c r="E12" s="17" t="str">
        <f aca="false">IF(A12="","",SUMIFS(Rezervasyonlar!$I$5:$I$1504,Rezervasyonlar!$C$5:$C$1504,A12,Rezervasyonlar!$D$5:$D$1504,"&gt;="&amp;DATE(Özet!$C$3,1,1),Rezervasyonlar!$D$5:$D$1504,"&lt;"&amp;DATE(Özet!$C$3+1,1,1),Rezervasyonlar!$F$5:$F$1504,"&lt;&gt;İptal"))</f>
        <v/>
      </c>
      <c r="F12" s="19" t="str">
        <f aca="false">IF(A12="","",D12/365)</f>
        <v/>
      </c>
      <c r="G12" s="18" t="str">
        <f aca="true">IF(A12="","",IF(COUNTIFS(Rezervasyonlar!$C$5:$C$1504,A12,Rezervasyonlar!$D$5:$D$1504,"&lt;="&amp;TODAY(),Rezervasyonlar!$E$5:$E$1504,"&gt;="&amp;TODAY(),Rezervasyonlar!$F$5:$F$1504,"&lt;&gt;İptal",Rezervasyonlar!$F$5:$F$1504,"&lt;&gt;İade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3" customFormat="false" ht="15" hidden="false" customHeight="false" outlineLevel="0" collapsed="false">
      <c r="A13" s="12"/>
      <c r="B13" s="15"/>
      <c r="C13" s="15"/>
      <c r="D13" s="16" t="str">
        <f aca="false">IF(A13="","",SUMIFS(Rezervasyonlar!$H$5:$H$1504,Rezervasyonlar!$C$5:$C$1504,A13,Rezervasyonlar!$D$5:$D$1504,"&gt;="&amp;DATE(Özet!$C$3,1,1),Rezervasyonlar!$D$5:$D$1504,"&lt;"&amp;DATE(Özet!$C$3+1,1,1),Rezervasyonlar!$F$5:$F$1504,"&lt;&gt;İptal"))</f>
        <v/>
      </c>
      <c r="E13" s="17" t="str">
        <f aca="false">IF(A13="","",SUMIFS(Rezervasyonlar!$I$5:$I$1504,Rezervasyonlar!$C$5:$C$1504,A13,Rezervasyonlar!$D$5:$D$1504,"&gt;="&amp;DATE(Özet!$C$3,1,1),Rezervasyonlar!$D$5:$D$1504,"&lt;"&amp;DATE(Özet!$C$3+1,1,1),Rezervasyonlar!$F$5:$F$1504,"&lt;&gt;İptal"))</f>
        <v/>
      </c>
      <c r="F13" s="19" t="str">
        <f aca="false">IF(A13="","",D13/365)</f>
        <v/>
      </c>
      <c r="G13" s="18" t="str">
        <f aca="true">IF(A13="","",IF(COUNTIFS(Rezervasyonlar!$C$5:$C$1504,A13,Rezervasyonlar!$D$5:$D$1504,"&lt;="&amp;TODAY(),Rezervasyonlar!$E$5:$E$1504,"&gt;="&amp;TODAY(),Rezervasyonlar!$F$5:$F$1504,"&lt;&gt;İptal",Rezervasyonlar!$F$5:$F$1504,"&lt;&gt;İade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4" customFormat="false" ht="15" hidden="false" customHeight="false" outlineLevel="0" collapsed="false">
      <c r="A14" s="12"/>
      <c r="B14" s="15"/>
      <c r="C14" s="15"/>
      <c r="D14" s="16" t="str">
        <f aca="false">IF(A14="","",SUMIFS(Rezervasyonlar!$H$5:$H$1504,Rezervasyonlar!$C$5:$C$1504,A14,Rezervasyonlar!$D$5:$D$1504,"&gt;="&amp;DATE(Özet!$C$3,1,1),Rezervasyonlar!$D$5:$D$1504,"&lt;"&amp;DATE(Özet!$C$3+1,1,1),Rezervasyonlar!$F$5:$F$1504,"&lt;&gt;İptal"))</f>
        <v/>
      </c>
      <c r="E14" s="17" t="str">
        <f aca="false">IF(A14="","",SUMIFS(Rezervasyonlar!$I$5:$I$1504,Rezervasyonlar!$C$5:$C$1504,A14,Rezervasyonlar!$D$5:$D$1504,"&gt;="&amp;DATE(Özet!$C$3,1,1),Rezervasyonlar!$D$5:$D$1504,"&lt;"&amp;DATE(Özet!$C$3+1,1,1),Rezervasyonlar!$F$5:$F$1504,"&lt;&gt;İptal"))</f>
        <v/>
      </c>
      <c r="F14" s="19" t="str">
        <f aca="false">IF(A14="","",D14/365)</f>
        <v/>
      </c>
      <c r="G14" s="18" t="str">
        <f aca="true">IF(A14="","",IF(COUNTIFS(Rezervasyonlar!$C$5:$C$1504,A14,Rezervasyonlar!$D$5:$D$1504,"&lt;="&amp;TODAY(),Rezervasyonlar!$E$5:$E$1504,"&gt;="&amp;TODAY(),Rezervasyonlar!$F$5:$F$1504,"&lt;&gt;İptal",Rezervasyonlar!$F$5:$F$1504,"&lt;&gt;İade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5" customFormat="false" ht="15" hidden="false" customHeight="false" outlineLevel="0" collapsed="false">
      <c r="A15" s="12"/>
      <c r="B15" s="15"/>
      <c r="C15" s="15"/>
      <c r="D15" s="16" t="str">
        <f aca="false">IF(A15="","",SUMIFS(Rezervasyonlar!$H$5:$H$1504,Rezervasyonlar!$C$5:$C$1504,A15,Rezervasyonlar!$D$5:$D$1504,"&gt;="&amp;DATE(Özet!$C$3,1,1),Rezervasyonlar!$D$5:$D$1504,"&lt;"&amp;DATE(Özet!$C$3+1,1,1),Rezervasyonlar!$F$5:$F$1504,"&lt;&gt;İptal"))</f>
        <v/>
      </c>
      <c r="E15" s="17" t="str">
        <f aca="false">IF(A15="","",SUMIFS(Rezervasyonlar!$I$5:$I$1504,Rezervasyonlar!$C$5:$C$1504,A15,Rezervasyonlar!$D$5:$D$1504,"&gt;="&amp;DATE(Özet!$C$3,1,1),Rezervasyonlar!$D$5:$D$1504,"&lt;"&amp;DATE(Özet!$C$3+1,1,1),Rezervasyonlar!$F$5:$F$1504,"&lt;&gt;İptal"))</f>
        <v/>
      </c>
      <c r="F15" s="19" t="str">
        <f aca="false">IF(A15="","",D15/365)</f>
        <v/>
      </c>
      <c r="G15" s="18" t="str">
        <f aca="true">IF(A15="","",IF(COUNTIFS(Rezervasyonlar!$C$5:$C$1504,A15,Rezervasyonlar!$D$5:$D$1504,"&lt;="&amp;TODAY(),Rezervasyonlar!$E$5:$E$1504,"&gt;="&amp;TODAY(),Rezervasyonlar!$F$5:$F$1504,"&lt;&gt;İptal",Rezervasyonlar!$F$5:$F$1504,"&lt;&gt;İade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6" customFormat="false" ht="15" hidden="false" customHeight="false" outlineLevel="0" collapsed="false">
      <c r="A16" s="12"/>
      <c r="B16" s="15"/>
      <c r="C16" s="15"/>
      <c r="D16" s="16" t="str">
        <f aca="false">IF(A16="","",SUMIFS(Rezervasyonlar!$H$5:$H$1504,Rezervasyonlar!$C$5:$C$1504,A16,Rezervasyonlar!$D$5:$D$1504,"&gt;="&amp;DATE(Özet!$C$3,1,1),Rezervasyonlar!$D$5:$D$1504,"&lt;"&amp;DATE(Özet!$C$3+1,1,1),Rezervasyonlar!$F$5:$F$1504,"&lt;&gt;İptal"))</f>
        <v/>
      </c>
      <c r="E16" s="17" t="str">
        <f aca="false">IF(A16="","",SUMIFS(Rezervasyonlar!$I$5:$I$1504,Rezervasyonlar!$C$5:$C$1504,A16,Rezervasyonlar!$D$5:$D$1504,"&gt;="&amp;DATE(Özet!$C$3,1,1),Rezervasyonlar!$D$5:$D$1504,"&lt;"&amp;DATE(Özet!$C$3+1,1,1),Rezervasyonlar!$F$5:$F$1504,"&lt;&gt;İptal"))</f>
        <v/>
      </c>
      <c r="F16" s="19" t="str">
        <f aca="false">IF(A16="","",D16/365)</f>
        <v/>
      </c>
      <c r="G16" s="18" t="str">
        <f aca="true">IF(A16="","",IF(COUNTIFS(Rezervasyonlar!$C$5:$C$1504,A16,Rezervasyonlar!$D$5:$D$1504,"&lt;="&amp;TODAY(),Rezervasyonlar!$E$5:$E$1504,"&gt;="&amp;TODAY(),Rezervasyonlar!$F$5:$F$1504,"&lt;&gt;İptal",Rezervasyonlar!$F$5:$F$1504,"&lt;&gt;İade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7" customFormat="false" ht="15" hidden="false" customHeight="false" outlineLevel="0" collapsed="false">
      <c r="A17" s="12"/>
      <c r="B17" s="15"/>
      <c r="C17" s="15"/>
      <c r="D17" s="16" t="str">
        <f aca="false">IF(A17="","",SUMIFS(Rezervasyonlar!$H$5:$H$1504,Rezervasyonlar!$C$5:$C$1504,A17,Rezervasyonlar!$D$5:$D$1504,"&gt;="&amp;DATE(Özet!$C$3,1,1),Rezervasyonlar!$D$5:$D$1504,"&lt;"&amp;DATE(Özet!$C$3+1,1,1),Rezervasyonlar!$F$5:$F$1504,"&lt;&gt;İptal"))</f>
        <v/>
      </c>
      <c r="E17" s="17" t="str">
        <f aca="false">IF(A17="","",SUMIFS(Rezervasyonlar!$I$5:$I$1504,Rezervasyonlar!$C$5:$C$1504,A17,Rezervasyonlar!$D$5:$D$1504,"&gt;="&amp;DATE(Özet!$C$3,1,1),Rezervasyonlar!$D$5:$D$1504,"&lt;"&amp;DATE(Özet!$C$3+1,1,1),Rezervasyonlar!$F$5:$F$1504,"&lt;&gt;İptal"))</f>
        <v/>
      </c>
      <c r="F17" s="19" t="str">
        <f aca="false">IF(A17="","",D17/365)</f>
        <v/>
      </c>
      <c r="G17" s="18" t="str">
        <f aca="true">IF(A17="","",IF(COUNTIFS(Rezervasyonlar!$C$5:$C$1504,A17,Rezervasyonlar!$D$5:$D$1504,"&lt;="&amp;TODAY(),Rezervasyonlar!$E$5:$E$1504,"&gt;="&amp;TODAY(),Rezervasyonlar!$F$5:$F$1504,"&lt;&gt;İptal",Rezervasyonlar!$F$5:$F$1504,"&lt;&gt;İade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8" customFormat="false" ht="15" hidden="false" customHeight="false" outlineLevel="0" collapsed="false">
      <c r="A18" s="12"/>
      <c r="B18" s="15"/>
      <c r="C18" s="15"/>
      <c r="D18" s="16" t="str">
        <f aca="false">IF(A18="","",SUMIFS(Rezervasyonlar!$H$5:$H$1504,Rezervasyonlar!$C$5:$C$1504,A18,Rezervasyonlar!$D$5:$D$1504,"&gt;="&amp;DATE(Özet!$C$3,1,1),Rezervasyonlar!$D$5:$D$1504,"&lt;"&amp;DATE(Özet!$C$3+1,1,1),Rezervasyonlar!$F$5:$F$1504,"&lt;&gt;İptal"))</f>
        <v/>
      </c>
      <c r="E18" s="17" t="str">
        <f aca="false">IF(A18="","",SUMIFS(Rezervasyonlar!$I$5:$I$1504,Rezervasyonlar!$C$5:$C$1504,A18,Rezervasyonlar!$D$5:$D$1504,"&gt;="&amp;DATE(Özet!$C$3,1,1),Rezervasyonlar!$D$5:$D$1504,"&lt;"&amp;DATE(Özet!$C$3+1,1,1),Rezervasyonlar!$F$5:$F$1504,"&lt;&gt;İptal"))</f>
        <v/>
      </c>
      <c r="F18" s="19" t="str">
        <f aca="false">IF(A18="","",D18/365)</f>
        <v/>
      </c>
      <c r="G18" s="18" t="str">
        <f aca="true">IF(A18="","",IF(COUNTIFS(Rezervasyonlar!$C$5:$C$1504,A18,Rezervasyonlar!$D$5:$D$1504,"&lt;="&amp;TODAY(),Rezervasyonlar!$E$5:$E$1504,"&gt;="&amp;TODAY(),Rezervasyonlar!$F$5:$F$1504,"&lt;&gt;İptal",Rezervasyonlar!$F$5:$F$1504,"&lt;&gt;İade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19" customFormat="false" ht="15" hidden="false" customHeight="false" outlineLevel="0" collapsed="false">
      <c r="A19" s="12"/>
      <c r="B19" s="15"/>
      <c r="C19" s="15"/>
      <c r="D19" s="16" t="str">
        <f aca="false">IF(A19="","",SUMIFS(Rezervasyonlar!$H$5:$H$1504,Rezervasyonlar!$C$5:$C$1504,A19,Rezervasyonlar!$D$5:$D$1504,"&gt;="&amp;DATE(Özet!$C$3,1,1),Rezervasyonlar!$D$5:$D$1504,"&lt;"&amp;DATE(Özet!$C$3+1,1,1),Rezervasyonlar!$F$5:$F$1504,"&lt;&gt;İptal"))</f>
        <v/>
      </c>
      <c r="E19" s="17" t="str">
        <f aca="false">IF(A19="","",SUMIFS(Rezervasyonlar!$I$5:$I$1504,Rezervasyonlar!$C$5:$C$1504,A19,Rezervasyonlar!$D$5:$D$1504,"&gt;="&amp;DATE(Özet!$C$3,1,1),Rezervasyonlar!$D$5:$D$1504,"&lt;"&amp;DATE(Özet!$C$3+1,1,1),Rezervasyonlar!$F$5:$F$1504,"&lt;&gt;İptal"))</f>
        <v/>
      </c>
      <c r="F19" s="19" t="str">
        <f aca="false">IF(A19="","",D19/365)</f>
        <v/>
      </c>
      <c r="G19" s="18" t="str">
        <f aca="true">IF(A19="","",IF(COUNTIFS(Rezervasyonlar!$C$5:$C$1504,A19,Rezervasyonlar!$D$5:$D$1504,"&lt;="&amp;TODAY(),Rezervasyonlar!$E$5:$E$1504,"&gt;="&amp;TODAY(),Rezervasyonlar!$F$5:$F$1504,"&lt;&gt;İptal",Rezervasyonlar!$F$5:$F$1504,"&lt;&gt;İade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0" customFormat="false" ht="15" hidden="false" customHeight="false" outlineLevel="0" collapsed="false">
      <c r="A20" s="12"/>
      <c r="B20" s="15"/>
      <c r="C20" s="15"/>
      <c r="D20" s="16" t="str">
        <f aca="false">IF(A20="","",SUMIFS(Rezervasyonlar!$H$5:$H$1504,Rezervasyonlar!$C$5:$C$1504,A20,Rezervasyonlar!$D$5:$D$1504,"&gt;="&amp;DATE(Özet!$C$3,1,1),Rezervasyonlar!$D$5:$D$1504,"&lt;"&amp;DATE(Özet!$C$3+1,1,1),Rezervasyonlar!$F$5:$F$1504,"&lt;&gt;İptal"))</f>
        <v/>
      </c>
      <c r="E20" s="17" t="str">
        <f aca="false">IF(A20="","",SUMIFS(Rezervasyonlar!$I$5:$I$1504,Rezervasyonlar!$C$5:$C$1504,A20,Rezervasyonlar!$D$5:$D$1504,"&gt;="&amp;DATE(Özet!$C$3,1,1),Rezervasyonlar!$D$5:$D$1504,"&lt;"&amp;DATE(Özet!$C$3+1,1,1),Rezervasyonlar!$F$5:$F$1504,"&lt;&gt;İptal"))</f>
        <v/>
      </c>
      <c r="F20" s="19" t="str">
        <f aca="false">IF(A20="","",D20/365)</f>
        <v/>
      </c>
      <c r="G20" s="18" t="str">
        <f aca="true">IF(A20="","",IF(COUNTIFS(Rezervasyonlar!$C$5:$C$1504,A20,Rezervasyonlar!$D$5:$D$1504,"&lt;="&amp;TODAY(),Rezervasyonlar!$E$5:$E$1504,"&gt;="&amp;TODAY(),Rezervasyonlar!$F$5:$F$1504,"&lt;&gt;İptal",Rezervasyonlar!$F$5:$F$1504,"&lt;&gt;İade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1" customFormat="false" ht="15" hidden="false" customHeight="false" outlineLevel="0" collapsed="false">
      <c r="A21" s="12"/>
      <c r="B21" s="15"/>
      <c r="C21" s="15"/>
      <c r="D21" s="16" t="str">
        <f aca="false">IF(A21="","",SUMIFS(Rezervasyonlar!$H$5:$H$1504,Rezervasyonlar!$C$5:$C$1504,A21,Rezervasyonlar!$D$5:$D$1504,"&gt;="&amp;DATE(Özet!$C$3,1,1),Rezervasyonlar!$D$5:$D$1504,"&lt;"&amp;DATE(Özet!$C$3+1,1,1),Rezervasyonlar!$F$5:$F$1504,"&lt;&gt;İptal"))</f>
        <v/>
      </c>
      <c r="E21" s="17" t="str">
        <f aca="false">IF(A21="","",SUMIFS(Rezervasyonlar!$I$5:$I$1504,Rezervasyonlar!$C$5:$C$1504,A21,Rezervasyonlar!$D$5:$D$1504,"&gt;="&amp;DATE(Özet!$C$3,1,1),Rezervasyonlar!$D$5:$D$1504,"&lt;"&amp;DATE(Özet!$C$3+1,1,1),Rezervasyonlar!$F$5:$F$1504,"&lt;&gt;İptal"))</f>
        <v/>
      </c>
      <c r="F21" s="19" t="str">
        <f aca="false">IF(A21="","",D21/365)</f>
        <v/>
      </c>
      <c r="G21" s="18" t="str">
        <f aca="true">IF(A21="","",IF(COUNTIFS(Rezervasyonlar!$C$5:$C$1504,A21,Rezervasyonlar!$D$5:$D$1504,"&lt;="&amp;TODAY(),Rezervasyonlar!$E$5:$E$1504,"&gt;="&amp;TODAY(),Rezervasyonlar!$F$5:$F$1504,"&lt;&gt;İptal",Rezervasyonlar!$F$5:$F$1504,"&lt;&gt;İade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2" customFormat="false" ht="15" hidden="false" customHeight="false" outlineLevel="0" collapsed="false">
      <c r="A22" s="12"/>
      <c r="B22" s="15"/>
      <c r="C22" s="15"/>
      <c r="D22" s="16" t="str">
        <f aca="false">IF(A22="","",SUMIFS(Rezervasyonlar!$H$5:$H$1504,Rezervasyonlar!$C$5:$C$1504,A22,Rezervasyonlar!$D$5:$D$1504,"&gt;="&amp;DATE(Özet!$C$3,1,1),Rezervasyonlar!$D$5:$D$1504,"&lt;"&amp;DATE(Özet!$C$3+1,1,1),Rezervasyonlar!$F$5:$F$1504,"&lt;&gt;İptal"))</f>
        <v/>
      </c>
      <c r="E22" s="17" t="str">
        <f aca="false">IF(A22="","",SUMIFS(Rezervasyonlar!$I$5:$I$1504,Rezervasyonlar!$C$5:$C$1504,A22,Rezervasyonlar!$D$5:$D$1504,"&gt;="&amp;DATE(Özet!$C$3,1,1),Rezervasyonlar!$D$5:$D$1504,"&lt;"&amp;DATE(Özet!$C$3+1,1,1),Rezervasyonlar!$F$5:$F$1504,"&lt;&gt;İptal"))</f>
        <v/>
      </c>
      <c r="F22" s="19" t="str">
        <f aca="false">IF(A22="","",D22/365)</f>
        <v/>
      </c>
      <c r="G22" s="18" t="str">
        <f aca="true">IF(A22="","",IF(COUNTIFS(Rezervasyonlar!$C$5:$C$1504,A22,Rezervasyonlar!$D$5:$D$1504,"&lt;="&amp;TODAY(),Rezervasyonlar!$E$5:$E$1504,"&gt;="&amp;TODAY(),Rezervasyonlar!$F$5:$F$1504,"&lt;&gt;İptal",Rezervasyonlar!$F$5:$F$1504,"&lt;&gt;İade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3" customFormat="false" ht="15" hidden="false" customHeight="false" outlineLevel="0" collapsed="false">
      <c r="A23" s="12"/>
      <c r="B23" s="15"/>
      <c r="C23" s="15"/>
      <c r="D23" s="16" t="str">
        <f aca="false">IF(A23="","",SUMIFS(Rezervasyonlar!$H$5:$H$1504,Rezervasyonlar!$C$5:$C$1504,A23,Rezervasyonlar!$D$5:$D$1504,"&gt;="&amp;DATE(Özet!$C$3,1,1),Rezervasyonlar!$D$5:$D$1504,"&lt;"&amp;DATE(Özet!$C$3+1,1,1),Rezervasyonlar!$F$5:$F$1504,"&lt;&gt;İptal"))</f>
        <v/>
      </c>
      <c r="E23" s="17" t="str">
        <f aca="false">IF(A23="","",SUMIFS(Rezervasyonlar!$I$5:$I$1504,Rezervasyonlar!$C$5:$C$1504,A23,Rezervasyonlar!$D$5:$D$1504,"&gt;="&amp;DATE(Özet!$C$3,1,1),Rezervasyonlar!$D$5:$D$1504,"&lt;"&amp;DATE(Özet!$C$3+1,1,1),Rezervasyonlar!$F$5:$F$1504,"&lt;&gt;İptal"))</f>
        <v/>
      </c>
      <c r="F23" s="19" t="str">
        <f aca="false">IF(A23="","",D23/365)</f>
        <v/>
      </c>
      <c r="G23" s="18" t="str">
        <f aca="true">IF(A23="","",IF(COUNTIFS(Rezervasyonlar!$C$5:$C$1504,A23,Rezervasyonlar!$D$5:$D$1504,"&lt;="&amp;TODAY(),Rezervasyonlar!$E$5:$E$1504,"&gt;="&amp;TODAY(),Rezervasyonlar!$F$5:$F$1504,"&lt;&gt;İptal",Rezervasyonlar!$F$5:$F$1504,"&lt;&gt;İade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4" customFormat="false" ht="15" hidden="false" customHeight="false" outlineLevel="0" collapsed="false">
      <c r="A24" s="12"/>
      <c r="B24" s="15"/>
      <c r="C24" s="15"/>
      <c r="D24" s="16" t="str">
        <f aca="false">IF(A24="","",SUMIFS(Rezervasyonlar!$H$5:$H$1504,Rezervasyonlar!$C$5:$C$1504,A24,Rezervasyonlar!$D$5:$D$1504,"&gt;="&amp;DATE(Özet!$C$3,1,1),Rezervasyonlar!$D$5:$D$1504,"&lt;"&amp;DATE(Özet!$C$3+1,1,1),Rezervasyonlar!$F$5:$F$1504,"&lt;&gt;İptal"))</f>
        <v/>
      </c>
      <c r="E24" s="17" t="str">
        <f aca="false">IF(A24="","",SUMIFS(Rezervasyonlar!$I$5:$I$1504,Rezervasyonlar!$C$5:$C$1504,A24,Rezervasyonlar!$D$5:$D$1504,"&gt;="&amp;DATE(Özet!$C$3,1,1),Rezervasyonlar!$D$5:$D$1504,"&lt;"&amp;DATE(Özet!$C$3+1,1,1),Rezervasyonlar!$F$5:$F$1504,"&lt;&gt;İptal"))</f>
        <v/>
      </c>
      <c r="F24" s="19" t="str">
        <f aca="false">IF(A24="","",D24/365)</f>
        <v/>
      </c>
      <c r="G24" s="18" t="str">
        <f aca="true">IF(A24="","",IF(COUNTIFS(Rezervasyonlar!$C$5:$C$1504,A24,Rezervasyonlar!$D$5:$D$1504,"&lt;="&amp;TODAY(),Rezervasyonlar!$E$5:$E$1504,"&gt;="&amp;TODAY(),Rezervasyonlar!$F$5:$F$1504,"&lt;&gt;İptal",Rezervasyonlar!$F$5:$F$1504,"&lt;&gt;İade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5" customFormat="false" ht="15" hidden="false" customHeight="false" outlineLevel="0" collapsed="false">
      <c r="A25" s="12"/>
      <c r="B25" s="15"/>
      <c r="C25" s="15"/>
      <c r="D25" s="16" t="str">
        <f aca="false">IF(A25="","",SUMIFS(Rezervasyonlar!$H$5:$H$1504,Rezervasyonlar!$C$5:$C$1504,A25,Rezervasyonlar!$D$5:$D$1504,"&gt;="&amp;DATE(Özet!$C$3,1,1),Rezervasyonlar!$D$5:$D$1504,"&lt;"&amp;DATE(Özet!$C$3+1,1,1),Rezervasyonlar!$F$5:$F$1504,"&lt;&gt;İptal"))</f>
        <v/>
      </c>
      <c r="E25" s="17" t="str">
        <f aca="false">IF(A25="","",SUMIFS(Rezervasyonlar!$I$5:$I$1504,Rezervasyonlar!$C$5:$C$1504,A25,Rezervasyonlar!$D$5:$D$1504,"&gt;="&amp;DATE(Özet!$C$3,1,1),Rezervasyonlar!$D$5:$D$1504,"&lt;"&amp;DATE(Özet!$C$3+1,1,1),Rezervasyonlar!$F$5:$F$1504,"&lt;&gt;İptal"))</f>
        <v/>
      </c>
      <c r="F25" s="19" t="str">
        <f aca="false">IF(A25="","",D25/365)</f>
        <v/>
      </c>
      <c r="G25" s="18" t="str">
        <f aca="true">IF(A25="","",IF(COUNTIFS(Rezervasyonlar!$C$5:$C$1504,A25,Rezervasyonlar!$D$5:$D$1504,"&lt;="&amp;TODAY(),Rezervasyonlar!$E$5:$E$1504,"&gt;="&amp;TODAY(),Rezervasyonlar!$F$5:$F$1504,"&lt;&gt;İptal",Rezervasyonlar!$F$5:$F$1504,"&lt;&gt;İade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6" customFormat="false" ht="15" hidden="false" customHeight="false" outlineLevel="0" collapsed="false">
      <c r="A26" s="12"/>
      <c r="B26" s="15"/>
      <c r="C26" s="15"/>
      <c r="D26" s="16" t="str">
        <f aca="false">IF(A26="","",SUMIFS(Rezervasyonlar!$H$5:$H$1504,Rezervasyonlar!$C$5:$C$1504,A26,Rezervasyonlar!$D$5:$D$1504,"&gt;="&amp;DATE(Özet!$C$3,1,1),Rezervasyonlar!$D$5:$D$1504,"&lt;"&amp;DATE(Özet!$C$3+1,1,1),Rezervasyonlar!$F$5:$F$1504,"&lt;&gt;İptal"))</f>
        <v/>
      </c>
      <c r="E26" s="17" t="str">
        <f aca="false">IF(A26="","",SUMIFS(Rezervasyonlar!$I$5:$I$1504,Rezervasyonlar!$C$5:$C$1504,A26,Rezervasyonlar!$D$5:$D$1504,"&gt;="&amp;DATE(Özet!$C$3,1,1),Rezervasyonlar!$D$5:$D$1504,"&lt;"&amp;DATE(Özet!$C$3+1,1,1),Rezervasyonlar!$F$5:$F$1504,"&lt;&gt;İptal"))</f>
        <v/>
      </c>
      <c r="F26" s="19" t="str">
        <f aca="false">IF(A26="","",D26/365)</f>
        <v/>
      </c>
      <c r="G26" s="18" t="str">
        <f aca="true">IF(A26="","",IF(COUNTIFS(Rezervasyonlar!$C$5:$C$1504,A26,Rezervasyonlar!$D$5:$D$1504,"&lt;="&amp;TODAY(),Rezervasyonlar!$E$5:$E$1504,"&gt;="&amp;TODAY(),Rezervasyonlar!$F$5:$F$1504,"&lt;&gt;İptal",Rezervasyonlar!$F$5:$F$1504,"&lt;&gt;İade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7" customFormat="false" ht="15" hidden="false" customHeight="false" outlineLevel="0" collapsed="false">
      <c r="A27" s="12"/>
      <c r="B27" s="15"/>
      <c r="C27" s="15"/>
      <c r="D27" s="16" t="str">
        <f aca="false">IF(A27="","",SUMIFS(Rezervasyonlar!$H$5:$H$1504,Rezervasyonlar!$C$5:$C$1504,A27,Rezervasyonlar!$D$5:$D$1504,"&gt;="&amp;DATE(Özet!$C$3,1,1),Rezervasyonlar!$D$5:$D$1504,"&lt;"&amp;DATE(Özet!$C$3+1,1,1),Rezervasyonlar!$F$5:$F$1504,"&lt;&gt;İptal"))</f>
        <v/>
      </c>
      <c r="E27" s="17" t="str">
        <f aca="false">IF(A27="","",SUMIFS(Rezervasyonlar!$I$5:$I$1504,Rezervasyonlar!$C$5:$C$1504,A27,Rezervasyonlar!$D$5:$D$1504,"&gt;="&amp;DATE(Özet!$C$3,1,1),Rezervasyonlar!$D$5:$D$1504,"&lt;"&amp;DATE(Özet!$C$3+1,1,1),Rezervasyonlar!$F$5:$F$1504,"&lt;&gt;İptal"))</f>
        <v/>
      </c>
      <c r="F27" s="19" t="str">
        <f aca="false">IF(A27="","",D27/365)</f>
        <v/>
      </c>
      <c r="G27" s="18" t="str">
        <f aca="true">IF(A27="","",IF(COUNTIFS(Rezervasyonlar!$C$5:$C$1504,A27,Rezervasyonlar!$D$5:$D$1504,"&lt;="&amp;TODAY(),Rezervasyonlar!$E$5:$E$1504,"&gt;="&amp;TODAY(),Rezervasyonlar!$F$5:$F$1504,"&lt;&gt;İptal",Rezervasyonlar!$F$5:$F$1504,"&lt;&gt;İade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8" customFormat="false" ht="15" hidden="false" customHeight="false" outlineLevel="0" collapsed="false">
      <c r="A28" s="12"/>
      <c r="B28" s="15"/>
      <c r="C28" s="15"/>
      <c r="D28" s="16" t="str">
        <f aca="false">IF(A28="","",SUMIFS(Rezervasyonlar!$H$5:$H$1504,Rezervasyonlar!$C$5:$C$1504,A28,Rezervasyonlar!$D$5:$D$1504,"&gt;="&amp;DATE(Özet!$C$3,1,1),Rezervasyonlar!$D$5:$D$1504,"&lt;"&amp;DATE(Özet!$C$3+1,1,1),Rezervasyonlar!$F$5:$F$1504,"&lt;&gt;İptal"))</f>
        <v/>
      </c>
      <c r="E28" s="17" t="str">
        <f aca="false">IF(A28="","",SUMIFS(Rezervasyonlar!$I$5:$I$1504,Rezervasyonlar!$C$5:$C$1504,A28,Rezervasyonlar!$D$5:$D$1504,"&gt;="&amp;DATE(Özet!$C$3,1,1),Rezervasyonlar!$D$5:$D$1504,"&lt;"&amp;DATE(Özet!$C$3+1,1,1),Rezervasyonlar!$F$5:$F$1504,"&lt;&gt;İptal"))</f>
        <v/>
      </c>
      <c r="F28" s="19" t="str">
        <f aca="false">IF(A28="","",D28/365)</f>
        <v/>
      </c>
      <c r="G28" s="18" t="str">
        <f aca="true">IF(A28="","",IF(COUNTIFS(Rezervasyonlar!$C$5:$C$1504,A28,Rezervasyonlar!$D$5:$D$1504,"&lt;="&amp;TODAY(),Rezervasyonlar!$E$5:$E$1504,"&gt;="&amp;TODAY(),Rezervasyonlar!$F$5:$F$1504,"&lt;&gt;İptal",Rezervasyonlar!$F$5:$F$1504,"&lt;&gt;İade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29" customFormat="false" ht="15" hidden="false" customHeight="false" outlineLevel="0" collapsed="false">
      <c r="A29" s="12"/>
      <c r="B29" s="15"/>
      <c r="C29" s="15"/>
      <c r="D29" s="16" t="str">
        <f aca="false">IF(A29="","",SUMIFS(Rezervasyonlar!$H$5:$H$1504,Rezervasyonlar!$C$5:$C$1504,A29,Rezervasyonlar!$D$5:$D$1504,"&gt;="&amp;DATE(Özet!$C$3,1,1),Rezervasyonlar!$D$5:$D$1504,"&lt;"&amp;DATE(Özet!$C$3+1,1,1),Rezervasyonlar!$F$5:$F$1504,"&lt;&gt;İptal"))</f>
        <v/>
      </c>
      <c r="E29" s="17" t="str">
        <f aca="false">IF(A29="","",SUMIFS(Rezervasyonlar!$I$5:$I$1504,Rezervasyonlar!$C$5:$C$1504,A29,Rezervasyonlar!$D$5:$D$1504,"&gt;="&amp;DATE(Özet!$C$3,1,1),Rezervasyonlar!$D$5:$D$1504,"&lt;"&amp;DATE(Özet!$C$3+1,1,1),Rezervasyonlar!$F$5:$F$1504,"&lt;&gt;İptal"))</f>
        <v/>
      </c>
      <c r="F29" s="19" t="str">
        <f aca="false">IF(A29="","",D29/365)</f>
        <v/>
      </c>
      <c r="G29" s="18" t="str">
        <f aca="true">IF(A29="","",IF(COUNTIFS(Rezervasyonlar!$C$5:$C$1504,A29,Rezervasyonlar!$D$5:$D$1504,"&lt;="&amp;TODAY(),Rezervasyonlar!$E$5:$E$1504,"&gt;="&amp;TODAY(),Rezervasyonlar!$F$5:$F$1504,"&lt;&gt;İptal",Rezervasyonlar!$F$5:$F$1504,"&lt;&gt;İade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0" customFormat="false" ht="15" hidden="false" customHeight="false" outlineLevel="0" collapsed="false">
      <c r="A30" s="12"/>
      <c r="B30" s="15"/>
      <c r="C30" s="15"/>
      <c r="D30" s="16" t="str">
        <f aca="false">IF(A30="","",SUMIFS(Rezervasyonlar!$H$5:$H$1504,Rezervasyonlar!$C$5:$C$1504,A30,Rezervasyonlar!$D$5:$D$1504,"&gt;="&amp;DATE(Özet!$C$3,1,1),Rezervasyonlar!$D$5:$D$1504,"&lt;"&amp;DATE(Özet!$C$3+1,1,1),Rezervasyonlar!$F$5:$F$1504,"&lt;&gt;İptal"))</f>
        <v/>
      </c>
      <c r="E30" s="17" t="str">
        <f aca="false">IF(A30="","",SUMIFS(Rezervasyonlar!$I$5:$I$1504,Rezervasyonlar!$C$5:$C$1504,A30,Rezervasyonlar!$D$5:$D$1504,"&gt;="&amp;DATE(Özet!$C$3,1,1),Rezervasyonlar!$D$5:$D$1504,"&lt;"&amp;DATE(Özet!$C$3+1,1,1),Rezervasyonlar!$F$5:$F$1504,"&lt;&gt;İptal"))</f>
        <v/>
      </c>
      <c r="F30" s="19" t="str">
        <f aca="false">IF(A30="","",D30/365)</f>
        <v/>
      </c>
      <c r="G30" s="18" t="str">
        <f aca="true">IF(A30="","",IF(COUNTIFS(Rezervasyonlar!$C$5:$C$1504,A30,Rezervasyonlar!$D$5:$D$1504,"&lt;="&amp;TODAY(),Rezervasyonlar!$E$5:$E$1504,"&gt;="&amp;TODAY(),Rezervasyonlar!$F$5:$F$1504,"&lt;&gt;İptal",Rezervasyonlar!$F$5:$F$1504,"&lt;&gt;İade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1" customFormat="false" ht="15" hidden="false" customHeight="false" outlineLevel="0" collapsed="false">
      <c r="A31" s="12"/>
      <c r="B31" s="15"/>
      <c r="C31" s="15"/>
      <c r="D31" s="16" t="str">
        <f aca="false">IF(A31="","",SUMIFS(Rezervasyonlar!$H$5:$H$1504,Rezervasyonlar!$C$5:$C$1504,A31,Rezervasyonlar!$D$5:$D$1504,"&gt;="&amp;DATE(Özet!$C$3,1,1),Rezervasyonlar!$D$5:$D$1504,"&lt;"&amp;DATE(Özet!$C$3+1,1,1),Rezervasyonlar!$F$5:$F$1504,"&lt;&gt;İptal"))</f>
        <v/>
      </c>
      <c r="E31" s="17" t="str">
        <f aca="false">IF(A31="","",SUMIFS(Rezervasyonlar!$I$5:$I$1504,Rezervasyonlar!$C$5:$C$1504,A31,Rezervasyonlar!$D$5:$D$1504,"&gt;="&amp;DATE(Özet!$C$3,1,1),Rezervasyonlar!$D$5:$D$1504,"&lt;"&amp;DATE(Özet!$C$3+1,1,1),Rezervasyonlar!$F$5:$F$1504,"&lt;&gt;İptal"))</f>
        <v/>
      </c>
      <c r="F31" s="19" t="str">
        <f aca="false">IF(A31="","",D31/365)</f>
        <v/>
      </c>
      <c r="G31" s="18" t="str">
        <f aca="true">IF(A31="","",IF(COUNTIFS(Rezervasyonlar!$C$5:$C$1504,A31,Rezervasyonlar!$D$5:$D$1504,"&lt;="&amp;TODAY(),Rezervasyonlar!$E$5:$E$1504,"&gt;="&amp;TODAY(),Rezervasyonlar!$F$5:$F$1504,"&lt;&gt;İptal",Rezervasyonlar!$F$5:$F$1504,"&lt;&gt;İade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2" customFormat="false" ht="15" hidden="false" customHeight="false" outlineLevel="0" collapsed="false">
      <c r="A32" s="12"/>
      <c r="B32" s="15"/>
      <c r="C32" s="15"/>
      <c r="D32" s="16" t="str">
        <f aca="false">IF(A32="","",SUMIFS(Rezervasyonlar!$H$5:$H$1504,Rezervasyonlar!$C$5:$C$1504,A32,Rezervasyonlar!$D$5:$D$1504,"&gt;="&amp;DATE(Özet!$C$3,1,1),Rezervasyonlar!$D$5:$D$1504,"&lt;"&amp;DATE(Özet!$C$3+1,1,1),Rezervasyonlar!$F$5:$F$1504,"&lt;&gt;İptal"))</f>
        <v/>
      </c>
      <c r="E32" s="17" t="str">
        <f aca="false">IF(A32="","",SUMIFS(Rezervasyonlar!$I$5:$I$1504,Rezervasyonlar!$C$5:$C$1504,A32,Rezervasyonlar!$D$5:$D$1504,"&gt;="&amp;DATE(Özet!$C$3,1,1),Rezervasyonlar!$D$5:$D$1504,"&lt;"&amp;DATE(Özet!$C$3+1,1,1),Rezervasyonlar!$F$5:$F$1504,"&lt;&gt;İptal"))</f>
        <v/>
      </c>
      <c r="F32" s="19" t="str">
        <f aca="false">IF(A32="","",D32/365)</f>
        <v/>
      </c>
      <c r="G32" s="18" t="str">
        <f aca="true">IF(A32="","",IF(COUNTIFS(Rezervasyonlar!$C$5:$C$1504,A32,Rezervasyonlar!$D$5:$D$1504,"&lt;="&amp;TODAY(),Rezervasyonlar!$E$5:$E$1504,"&gt;="&amp;TODAY(),Rezervasyonlar!$F$5:$F$1504,"&lt;&gt;İptal",Rezervasyonlar!$F$5:$F$1504,"&lt;&gt;İade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3" customFormat="false" ht="15" hidden="false" customHeight="false" outlineLevel="0" collapsed="false">
      <c r="A33" s="12"/>
      <c r="B33" s="15"/>
      <c r="C33" s="15"/>
      <c r="D33" s="16" t="str">
        <f aca="false">IF(A33="","",SUMIFS(Rezervasyonlar!$H$5:$H$1504,Rezervasyonlar!$C$5:$C$1504,A33,Rezervasyonlar!$D$5:$D$1504,"&gt;="&amp;DATE(Özet!$C$3,1,1),Rezervasyonlar!$D$5:$D$1504,"&lt;"&amp;DATE(Özet!$C$3+1,1,1),Rezervasyonlar!$F$5:$F$1504,"&lt;&gt;İptal"))</f>
        <v/>
      </c>
      <c r="E33" s="17" t="str">
        <f aca="false">IF(A33="","",SUMIFS(Rezervasyonlar!$I$5:$I$1504,Rezervasyonlar!$C$5:$C$1504,A33,Rezervasyonlar!$D$5:$D$1504,"&gt;="&amp;DATE(Özet!$C$3,1,1),Rezervasyonlar!$D$5:$D$1504,"&lt;"&amp;DATE(Özet!$C$3+1,1,1),Rezervasyonlar!$F$5:$F$1504,"&lt;&gt;İptal"))</f>
        <v/>
      </c>
      <c r="F33" s="19" t="str">
        <f aca="false">IF(A33="","",D33/365)</f>
        <v/>
      </c>
      <c r="G33" s="18" t="str">
        <f aca="true">IF(A33="","",IF(COUNTIFS(Rezervasyonlar!$C$5:$C$1504,A33,Rezervasyonlar!$D$5:$D$1504,"&lt;="&amp;TODAY(),Rezervasyonlar!$E$5:$E$1504,"&gt;="&amp;TODAY(),Rezervasyonlar!$F$5:$F$1504,"&lt;&gt;İptal",Rezervasyonlar!$F$5:$F$1504,"&lt;&gt;İade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4" customFormat="false" ht="15" hidden="false" customHeight="false" outlineLevel="0" collapsed="false">
      <c r="A34" s="12"/>
      <c r="B34" s="15"/>
      <c r="C34" s="15"/>
      <c r="D34" s="16" t="str">
        <f aca="false">IF(A34="","",SUMIFS(Rezervasyonlar!$H$5:$H$1504,Rezervasyonlar!$C$5:$C$1504,A34,Rezervasyonlar!$D$5:$D$1504,"&gt;="&amp;DATE(Özet!$C$3,1,1),Rezervasyonlar!$D$5:$D$1504,"&lt;"&amp;DATE(Özet!$C$3+1,1,1),Rezervasyonlar!$F$5:$F$1504,"&lt;&gt;İptal"))</f>
        <v/>
      </c>
      <c r="E34" s="17" t="str">
        <f aca="false">IF(A34="","",SUMIFS(Rezervasyonlar!$I$5:$I$1504,Rezervasyonlar!$C$5:$C$1504,A34,Rezervasyonlar!$D$5:$D$1504,"&gt;="&amp;DATE(Özet!$C$3,1,1),Rezervasyonlar!$D$5:$D$1504,"&lt;"&amp;DATE(Özet!$C$3+1,1,1),Rezervasyonlar!$F$5:$F$1504,"&lt;&gt;İptal"))</f>
        <v/>
      </c>
      <c r="F34" s="19" t="str">
        <f aca="false">IF(A34="","",D34/365)</f>
        <v/>
      </c>
      <c r="G34" s="18" t="str">
        <f aca="true">IF(A34="","",IF(COUNTIFS(Rezervasyonlar!$C$5:$C$1504,A34,Rezervasyonlar!$D$5:$D$1504,"&lt;="&amp;TODAY(),Rezervasyonlar!$E$5:$E$1504,"&gt;="&amp;TODAY(),Rezervasyonlar!$F$5:$F$1504,"&lt;&gt;İptal",Rezervasyonlar!$F$5:$F$1504,"&lt;&gt;İade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5" customFormat="false" ht="15" hidden="false" customHeight="false" outlineLevel="0" collapsed="false">
      <c r="A35" s="12"/>
      <c r="B35" s="15"/>
      <c r="C35" s="15"/>
      <c r="D35" s="16" t="str">
        <f aca="false">IF(A35="","",SUMIFS(Rezervasyonlar!$H$5:$H$1504,Rezervasyonlar!$C$5:$C$1504,A35,Rezervasyonlar!$D$5:$D$1504,"&gt;="&amp;DATE(Özet!$C$3,1,1),Rezervasyonlar!$D$5:$D$1504,"&lt;"&amp;DATE(Özet!$C$3+1,1,1),Rezervasyonlar!$F$5:$F$1504,"&lt;&gt;İptal"))</f>
        <v/>
      </c>
      <c r="E35" s="17" t="str">
        <f aca="false">IF(A35="","",SUMIFS(Rezervasyonlar!$I$5:$I$1504,Rezervasyonlar!$C$5:$C$1504,A35,Rezervasyonlar!$D$5:$D$1504,"&gt;="&amp;DATE(Özet!$C$3,1,1),Rezervasyonlar!$D$5:$D$1504,"&lt;"&amp;DATE(Özet!$C$3+1,1,1),Rezervasyonlar!$F$5:$F$1504,"&lt;&gt;İptal"))</f>
        <v/>
      </c>
      <c r="F35" s="19" t="str">
        <f aca="false">IF(A35="","",D35/365)</f>
        <v/>
      </c>
      <c r="G35" s="18" t="str">
        <f aca="true">IF(A35="","",IF(COUNTIFS(Rezervasyonlar!$C$5:$C$1504,A35,Rezervasyonlar!$D$5:$D$1504,"&lt;="&amp;TODAY(),Rezervasyonlar!$E$5:$E$1504,"&gt;="&amp;TODAY(),Rezervasyonlar!$F$5:$F$1504,"&lt;&gt;İptal",Rezervasyonlar!$F$5:$F$1504,"&lt;&gt;İade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6" customFormat="false" ht="15" hidden="false" customHeight="false" outlineLevel="0" collapsed="false">
      <c r="A36" s="12"/>
      <c r="B36" s="15"/>
      <c r="C36" s="15"/>
      <c r="D36" s="16" t="str">
        <f aca="false">IF(A36="","",SUMIFS(Rezervasyonlar!$H$5:$H$1504,Rezervasyonlar!$C$5:$C$1504,A36,Rezervasyonlar!$D$5:$D$1504,"&gt;="&amp;DATE(Özet!$C$3,1,1),Rezervasyonlar!$D$5:$D$1504,"&lt;"&amp;DATE(Özet!$C$3+1,1,1),Rezervasyonlar!$F$5:$F$1504,"&lt;&gt;İptal"))</f>
        <v/>
      </c>
      <c r="E36" s="17" t="str">
        <f aca="false">IF(A36="","",SUMIFS(Rezervasyonlar!$I$5:$I$1504,Rezervasyonlar!$C$5:$C$1504,A36,Rezervasyonlar!$D$5:$D$1504,"&gt;="&amp;DATE(Özet!$C$3,1,1),Rezervasyonlar!$D$5:$D$1504,"&lt;"&amp;DATE(Özet!$C$3+1,1,1),Rezervasyonlar!$F$5:$F$1504,"&lt;&gt;İptal"))</f>
        <v/>
      </c>
      <c r="F36" s="19" t="str">
        <f aca="false">IF(A36="","",D36/365)</f>
        <v/>
      </c>
      <c r="G36" s="18" t="str">
        <f aca="true">IF(A36="","",IF(COUNTIFS(Rezervasyonlar!$C$5:$C$1504,A36,Rezervasyonlar!$D$5:$D$1504,"&lt;="&amp;TODAY(),Rezervasyonlar!$E$5:$E$1504,"&gt;="&amp;TODAY(),Rezervasyonlar!$F$5:$F$1504,"&lt;&gt;İptal",Rezervasyonlar!$F$5:$F$1504,"&lt;&gt;İade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7" customFormat="false" ht="15" hidden="false" customHeight="false" outlineLevel="0" collapsed="false">
      <c r="A37" s="12"/>
      <c r="B37" s="15"/>
      <c r="C37" s="15"/>
      <c r="D37" s="16" t="str">
        <f aca="false">IF(A37="","",SUMIFS(Rezervasyonlar!$H$5:$H$1504,Rezervasyonlar!$C$5:$C$1504,A37,Rezervasyonlar!$D$5:$D$1504,"&gt;="&amp;DATE(Özet!$C$3,1,1),Rezervasyonlar!$D$5:$D$1504,"&lt;"&amp;DATE(Özet!$C$3+1,1,1),Rezervasyonlar!$F$5:$F$1504,"&lt;&gt;İptal"))</f>
        <v/>
      </c>
      <c r="E37" s="17" t="str">
        <f aca="false">IF(A37="","",SUMIFS(Rezervasyonlar!$I$5:$I$1504,Rezervasyonlar!$C$5:$C$1504,A37,Rezervasyonlar!$D$5:$D$1504,"&gt;="&amp;DATE(Özet!$C$3,1,1),Rezervasyonlar!$D$5:$D$1504,"&lt;"&amp;DATE(Özet!$C$3+1,1,1),Rezervasyonlar!$F$5:$F$1504,"&lt;&gt;İptal"))</f>
        <v/>
      </c>
      <c r="F37" s="19" t="str">
        <f aca="false">IF(A37="","",D37/365)</f>
        <v/>
      </c>
      <c r="G37" s="18" t="str">
        <f aca="true">IF(A37="","",IF(COUNTIFS(Rezervasyonlar!$C$5:$C$1504,A37,Rezervasyonlar!$D$5:$D$1504,"&lt;="&amp;TODAY(),Rezervasyonlar!$E$5:$E$1504,"&gt;="&amp;TODAY(),Rezervasyonlar!$F$5:$F$1504,"&lt;&gt;İptal",Rezervasyonlar!$F$5:$F$1504,"&lt;&gt;İade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8" customFormat="false" ht="15" hidden="false" customHeight="false" outlineLevel="0" collapsed="false">
      <c r="A38" s="12"/>
      <c r="B38" s="15"/>
      <c r="C38" s="15"/>
      <c r="D38" s="16" t="str">
        <f aca="false">IF(A38="","",SUMIFS(Rezervasyonlar!$H$5:$H$1504,Rezervasyonlar!$C$5:$C$1504,A38,Rezervasyonlar!$D$5:$D$1504,"&gt;="&amp;DATE(Özet!$C$3,1,1),Rezervasyonlar!$D$5:$D$1504,"&lt;"&amp;DATE(Özet!$C$3+1,1,1),Rezervasyonlar!$F$5:$F$1504,"&lt;&gt;İptal"))</f>
        <v/>
      </c>
      <c r="E38" s="17" t="str">
        <f aca="false">IF(A38="","",SUMIFS(Rezervasyonlar!$I$5:$I$1504,Rezervasyonlar!$C$5:$C$1504,A38,Rezervasyonlar!$D$5:$D$1504,"&gt;="&amp;DATE(Özet!$C$3,1,1),Rezervasyonlar!$D$5:$D$1504,"&lt;"&amp;DATE(Özet!$C$3+1,1,1),Rezervasyonlar!$F$5:$F$1504,"&lt;&gt;İptal"))</f>
        <v/>
      </c>
      <c r="F38" s="19" t="str">
        <f aca="false">IF(A38="","",D38/365)</f>
        <v/>
      </c>
      <c r="G38" s="18" t="str">
        <f aca="true">IF(A38="","",IF(COUNTIFS(Rezervasyonlar!$C$5:$C$1504,A38,Rezervasyonlar!$D$5:$D$1504,"&lt;="&amp;TODAY(),Rezervasyonlar!$E$5:$E$1504,"&gt;="&amp;TODAY(),Rezervasyonlar!$F$5:$F$1504,"&lt;&gt;İptal",Rezervasyonlar!$F$5:$F$1504,"&lt;&gt;İade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39" customFormat="false" ht="15" hidden="false" customHeight="false" outlineLevel="0" collapsed="false">
      <c r="A39" s="12"/>
      <c r="B39" s="15"/>
      <c r="C39" s="15"/>
      <c r="D39" s="16" t="str">
        <f aca="false">IF(A39="","",SUMIFS(Rezervasyonlar!$H$5:$H$1504,Rezervasyonlar!$C$5:$C$1504,A39,Rezervasyonlar!$D$5:$D$1504,"&gt;="&amp;DATE(Özet!$C$3,1,1),Rezervasyonlar!$D$5:$D$1504,"&lt;"&amp;DATE(Özet!$C$3+1,1,1),Rezervasyonlar!$F$5:$F$1504,"&lt;&gt;İptal"))</f>
        <v/>
      </c>
      <c r="E39" s="17" t="str">
        <f aca="false">IF(A39="","",SUMIFS(Rezervasyonlar!$I$5:$I$1504,Rezervasyonlar!$C$5:$C$1504,A39,Rezervasyonlar!$D$5:$D$1504,"&gt;="&amp;DATE(Özet!$C$3,1,1),Rezervasyonlar!$D$5:$D$1504,"&lt;"&amp;DATE(Özet!$C$3+1,1,1),Rezervasyonlar!$F$5:$F$1504,"&lt;&gt;İptal"))</f>
        <v/>
      </c>
      <c r="F39" s="19" t="str">
        <f aca="false">IF(A39="","",D39/365)</f>
        <v/>
      </c>
      <c r="G39" s="18" t="str">
        <f aca="true">IF(A39="","",IF(COUNTIFS(Rezervasyonlar!$C$5:$C$1504,A39,Rezervasyonlar!$D$5:$D$1504,"&lt;="&amp;TODAY(),Rezervasyonlar!$E$5:$E$1504,"&gt;="&amp;TODAY(),Rezervasyonlar!$F$5:$F$1504,"&lt;&gt;İptal",Rezervasyonlar!$F$5:$F$1504,"&lt;&gt;İade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0" customFormat="false" ht="15" hidden="false" customHeight="false" outlineLevel="0" collapsed="false">
      <c r="A40" s="12"/>
      <c r="B40" s="15"/>
      <c r="C40" s="15"/>
      <c r="D40" s="16" t="str">
        <f aca="false">IF(A40="","",SUMIFS(Rezervasyonlar!$H$5:$H$1504,Rezervasyonlar!$C$5:$C$1504,A40,Rezervasyonlar!$D$5:$D$1504,"&gt;="&amp;DATE(Özet!$C$3,1,1),Rezervasyonlar!$D$5:$D$1504,"&lt;"&amp;DATE(Özet!$C$3+1,1,1),Rezervasyonlar!$F$5:$F$1504,"&lt;&gt;İptal"))</f>
        <v/>
      </c>
      <c r="E40" s="17" t="str">
        <f aca="false">IF(A40="","",SUMIFS(Rezervasyonlar!$I$5:$I$1504,Rezervasyonlar!$C$5:$C$1504,A40,Rezervasyonlar!$D$5:$D$1504,"&gt;="&amp;DATE(Özet!$C$3,1,1),Rezervasyonlar!$D$5:$D$1504,"&lt;"&amp;DATE(Özet!$C$3+1,1,1),Rezervasyonlar!$F$5:$F$1504,"&lt;&gt;İptal"))</f>
        <v/>
      </c>
      <c r="F40" s="19" t="str">
        <f aca="false">IF(A40="","",D40/365)</f>
        <v/>
      </c>
      <c r="G40" s="18" t="str">
        <f aca="true">IF(A40="","",IF(COUNTIFS(Rezervasyonlar!$C$5:$C$1504,A40,Rezervasyonlar!$D$5:$D$1504,"&lt;="&amp;TODAY(),Rezervasyonlar!$E$5:$E$1504,"&gt;="&amp;TODAY(),Rezervasyonlar!$F$5:$F$1504,"&lt;&gt;İptal",Rezervasyonlar!$F$5:$F$1504,"&lt;&gt;İade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1" customFormat="false" ht="15" hidden="false" customHeight="false" outlineLevel="0" collapsed="false">
      <c r="A41" s="12"/>
      <c r="B41" s="15"/>
      <c r="C41" s="15"/>
      <c r="D41" s="16" t="str">
        <f aca="false">IF(A41="","",SUMIFS(Rezervasyonlar!$H$5:$H$1504,Rezervasyonlar!$C$5:$C$1504,A41,Rezervasyonlar!$D$5:$D$1504,"&gt;="&amp;DATE(Özet!$C$3,1,1),Rezervasyonlar!$D$5:$D$1504,"&lt;"&amp;DATE(Özet!$C$3+1,1,1),Rezervasyonlar!$F$5:$F$1504,"&lt;&gt;İptal"))</f>
        <v/>
      </c>
      <c r="E41" s="17" t="str">
        <f aca="false">IF(A41="","",SUMIFS(Rezervasyonlar!$I$5:$I$1504,Rezervasyonlar!$C$5:$C$1504,A41,Rezervasyonlar!$D$5:$D$1504,"&gt;="&amp;DATE(Özet!$C$3,1,1),Rezervasyonlar!$D$5:$D$1504,"&lt;"&amp;DATE(Özet!$C$3+1,1,1),Rezervasyonlar!$F$5:$F$1504,"&lt;&gt;İptal"))</f>
        <v/>
      </c>
      <c r="F41" s="19" t="str">
        <f aca="false">IF(A41="","",D41/365)</f>
        <v/>
      </c>
      <c r="G41" s="18" t="str">
        <f aca="true">IF(A41="","",IF(COUNTIFS(Rezervasyonlar!$C$5:$C$1504,A41,Rezervasyonlar!$D$5:$D$1504,"&lt;="&amp;TODAY(),Rezervasyonlar!$E$5:$E$1504,"&gt;="&amp;TODAY(),Rezervasyonlar!$F$5:$F$1504,"&lt;&gt;İptal",Rezervasyonlar!$F$5:$F$1504,"&lt;&gt;İade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2" customFormat="false" ht="15" hidden="false" customHeight="false" outlineLevel="0" collapsed="false">
      <c r="A42" s="12"/>
      <c r="B42" s="15"/>
      <c r="C42" s="15"/>
      <c r="D42" s="16" t="str">
        <f aca="false">IF(A42="","",SUMIFS(Rezervasyonlar!$H$5:$H$1504,Rezervasyonlar!$C$5:$C$1504,A42,Rezervasyonlar!$D$5:$D$1504,"&gt;="&amp;DATE(Özet!$C$3,1,1),Rezervasyonlar!$D$5:$D$1504,"&lt;"&amp;DATE(Özet!$C$3+1,1,1),Rezervasyonlar!$F$5:$F$1504,"&lt;&gt;İptal"))</f>
        <v/>
      </c>
      <c r="E42" s="17" t="str">
        <f aca="false">IF(A42="","",SUMIFS(Rezervasyonlar!$I$5:$I$1504,Rezervasyonlar!$C$5:$C$1504,A42,Rezervasyonlar!$D$5:$D$1504,"&gt;="&amp;DATE(Özet!$C$3,1,1),Rezervasyonlar!$D$5:$D$1504,"&lt;"&amp;DATE(Özet!$C$3+1,1,1),Rezervasyonlar!$F$5:$F$1504,"&lt;&gt;İptal"))</f>
        <v/>
      </c>
      <c r="F42" s="19" t="str">
        <f aca="false">IF(A42="","",D42/365)</f>
        <v/>
      </c>
      <c r="G42" s="18" t="str">
        <f aca="true">IF(A42="","",IF(COUNTIFS(Rezervasyonlar!$C$5:$C$1504,A42,Rezervasyonlar!$D$5:$D$1504,"&lt;="&amp;TODAY(),Rezervasyonlar!$E$5:$E$1504,"&gt;="&amp;TODAY(),Rezervasyonlar!$F$5:$F$1504,"&lt;&gt;İptal",Rezervasyonlar!$F$5:$F$1504,"&lt;&gt;İade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3" customFormat="false" ht="15" hidden="false" customHeight="false" outlineLevel="0" collapsed="false">
      <c r="A43" s="12"/>
      <c r="B43" s="15"/>
      <c r="C43" s="15"/>
      <c r="D43" s="16" t="str">
        <f aca="false">IF(A43="","",SUMIFS(Rezervasyonlar!$H$5:$H$1504,Rezervasyonlar!$C$5:$C$1504,A43,Rezervasyonlar!$D$5:$D$1504,"&gt;="&amp;DATE(Özet!$C$3,1,1),Rezervasyonlar!$D$5:$D$1504,"&lt;"&amp;DATE(Özet!$C$3+1,1,1),Rezervasyonlar!$F$5:$F$1504,"&lt;&gt;İptal"))</f>
        <v/>
      </c>
      <c r="E43" s="17" t="str">
        <f aca="false">IF(A43="","",SUMIFS(Rezervasyonlar!$I$5:$I$1504,Rezervasyonlar!$C$5:$C$1504,A43,Rezervasyonlar!$D$5:$D$1504,"&gt;="&amp;DATE(Özet!$C$3,1,1),Rezervasyonlar!$D$5:$D$1504,"&lt;"&amp;DATE(Özet!$C$3+1,1,1),Rezervasyonlar!$F$5:$F$1504,"&lt;&gt;İptal"))</f>
        <v/>
      </c>
      <c r="F43" s="19" t="str">
        <f aca="false">IF(A43="","",D43/365)</f>
        <v/>
      </c>
      <c r="G43" s="18" t="str">
        <f aca="true">IF(A43="","",IF(COUNTIFS(Rezervasyonlar!$C$5:$C$1504,A43,Rezervasyonlar!$D$5:$D$1504,"&lt;="&amp;TODAY(),Rezervasyonlar!$E$5:$E$1504,"&gt;="&amp;TODAY(),Rezervasyonlar!$F$5:$F$1504,"&lt;&gt;İptal",Rezervasyonlar!$F$5:$F$1504,"&lt;&gt;İade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4" customFormat="false" ht="15" hidden="false" customHeight="false" outlineLevel="0" collapsed="false">
      <c r="A44" s="12"/>
      <c r="B44" s="15"/>
      <c r="C44" s="15"/>
      <c r="D44" s="16" t="str">
        <f aca="false">IF(A44="","",SUMIFS(Rezervasyonlar!$H$5:$H$1504,Rezervasyonlar!$C$5:$C$1504,A44,Rezervasyonlar!$D$5:$D$1504,"&gt;="&amp;DATE(Özet!$C$3,1,1),Rezervasyonlar!$D$5:$D$1504,"&lt;"&amp;DATE(Özet!$C$3+1,1,1),Rezervasyonlar!$F$5:$F$1504,"&lt;&gt;İptal"))</f>
        <v/>
      </c>
      <c r="E44" s="17" t="str">
        <f aca="false">IF(A44="","",SUMIFS(Rezervasyonlar!$I$5:$I$1504,Rezervasyonlar!$C$5:$C$1504,A44,Rezervasyonlar!$D$5:$D$1504,"&gt;="&amp;DATE(Özet!$C$3,1,1),Rezervasyonlar!$D$5:$D$1504,"&lt;"&amp;DATE(Özet!$C$3+1,1,1),Rezervasyonlar!$F$5:$F$1504,"&lt;&gt;İptal"))</f>
        <v/>
      </c>
      <c r="F44" s="19" t="str">
        <f aca="false">IF(A44="","",D44/365)</f>
        <v/>
      </c>
      <c r="G44" s="18" t="str">
        <f aca="true">IF(A44="","",IF(COUNTIFS(Rezervasyonlar!$C$5:$C$1504,A44,Rezervasyonlar!$D$5:$D$1504,"&lt;="&amp;TODAY(),Rezervasyonlar!$E$5:$E$1504,"&gt;="&amp;TODAY(),Rezervasyonlar!$F$5:$F$1504,"&lt;&gt;İptal",Rezervasyonlar!$F$5:$F$1504,"&lt;&gt;İade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5" customFormat="false" ht="15" hidden="false" customHeight="false" outlineLevel="0" collapsed="false">
      <c r="A45" s="12"/>
      <c r="B45" s="15"/>
      <c r="C45" s="15"/>
      <c r="D45" s="16" t="str">
        <f aca="false">IF(A45="","",SUMIFS(Rezervasyonlar!$H$5:$H$1504,Rezervasyonlar!$C$5:$C$1504,A45,Rezervasyonlar!$D$5:$D$1504,"&gt;="&amp;DATE(Özet!$C$3,1,1),Rezervasyonlar!$D$5:$D$1504,"&lt;"&amp;DATE(Özet!$C$3+1,1,1),Rezervasyonlar!$F$5:$F$1504,"&lt;&gt;İptal"))</f>
        <v/>
      </c>
      <c r="E45" s="17" t="str">
        <f aca="false">IF(A45="","",SUMIFS(Rezervasyonlar!$I$5:$I$1504,Rezervasyonlar!$C$5:$C$1504,A45,Rezervasyonlar!$D$5:$D$1504,"&gt;="&amp;DATE(Özet!$C$3,1,1),Rezervasyonlar!$D$5:$D$1504,"&lt;"&amp;DATE(Özet!$C$3+1,1,1),Rezervasyonlar!$F$5:$F$1504,"&lt;&gt;İptal"))</f>
        <v/>
      </c>
      <c r="F45" s="19" t="str">
        <f aca="false">IF(A45="","",D45/365)</f>
        <v/>
      </c>
      <c r="G45" s="18" t="str">
        <f aca="true">IF(A45="","",IF(COUNTIFS(Rezervasyonlar!$C$5:$C$1504,A45,Rezervasyonlar!$D$5:$D$1504,"&lt;="&amp;TODAY(),Rezervasyonlar!$E$5:$E$1504,"&gt;="&amp;TODAY(),Rezervasyonlar!$F$5:$F$1504,"&lt;&gt;İptal",Rezervasyonlar!$F$5:$F$1504,"&lt;&gt;İade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6" customFormat="false" ht="15" hidden="false" customHeight="false" outlineLevel="0" collapsed="false">
      <c r="A46" s="12"/>
      <c r="B46" s="15"/>
      <c r="C46" s="15"/>
      <c r="D46" s="16" t="str">
        <f aca="false">IF(A46="","",SUMIFS(Rezervasyonlar!$H$5:$H$1504,Rezervasyonlar!$C$5:$C$1504,A46,Rezervasyonlar!$D$5:$D$1504,"&gt;="&amp;DATE(Özet!$C$3,1,1),Rezervasyonlar!$D$5:$D$1504,"&lt;"&amp;DATE(Özet!$C$3+1,1,1),Rezervasyonlar!$F$5:$F$1504,"&lt;&gt;İptal"))</f>
        <v/>
      </c>
      <c r="E46" s="17" t="str">
        <f aca="false">IF(A46="","",SUMIFS(Rezervasyonlar!$I$5:$I$1504,Rezervasyonlar!$C$5:$C$1504,A46,Rezervasyonlar!$D$5:$D$1504,"&gt;="&amp;DATE(Özet!$C$3,1,1),Rezervasyonlar!$D$5:$D$1504,"&lt;"&amp;DATE(Özet!$C$3+1,1,1),Rezervasyonlar!$F$5:$F$1504,"&lt;&gt;İptal"))</f>
        <v/>
      </c>
      <c r="F46" s="19" t="str">
        <f aca="false">IF(A46="","",D46/365)</f>
        <v/>
      </c>
      <c r="G46" s="18" t="str">
        <f aca="true">IF(A46="","",IF(COUNTIFS(Rezervasyonlar!$C$5:$C$1504,A46,Rezervasyonlar!$D$5:$D$1504,"&lt;="&amp;TODAY(),Rezervasyonlar!$E$5:$E$1504,"&gt;="&amp;TODAY(),Rezervasyonlar!$F$5:$F$1504,"&lt;&gt;İptal",Rezervasyonlar!$F$5:$F$1504,"&lt;&gt;İade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7" customFormat="false" ht="15" hidden="false" customHeight="false" outlineLevel="0" collapsed="false">
      <c r="A47" s="12"/>
      <c r="B47" s="15"/>
      <c r="C47" s="15"/>
      <c r="D47" s="16" t="str">
        <f aca="false">IF(A47="","",SUMIFS(Rezervasyonlar!$H$5:$H$1504,Rezervasyonlar!$C$5:$C$1504,A47,Rezervasyonlar!$D$5:$D$1504,"&gt;="&amp;DATE(Özet!$C$3,1,1),Rezervasyonlar!$D$5:$D$1504,"&lt;"&amp;DATE(Özet!$C$3+1,1,1),Rezervasyonlar!$F$5:$F$1504,"&lt;&gt;İptal"))</f>
        <v/>
      </c>
      <c r="E47" s="17" t="str">
        <f aca="false">IF(A47="","",SUMIFS(Rezervasyonlar!$I$5:$I$1504,Rezervasyonlar!$C$5:$C$1504,A47,Rezervasyonlar!$D$5:$D$1504,"&gt;="&amp;DATE(Özet!$C$3,1,1),Rezervasyonlar!$D$5:$D$1504,"&lt;"&amp;DATE(Özet!$C$3+1,1,1),Rezervasyonlar!$F$5:$F$1504,"&lt;&gt;İptal"))</f>
        <v/>
      </c>
      <c r="F47" s="19" t="str">
        <f aca="false">IF(A47="","",D47/365)</f>
        <v/>
      </c>
      <c r="G47" s="18" t="str">
        <f aca="true">IF(A47="","",IF(COUNTIFS(Rezervasyonlar!$C$5:$C$1504,A47,Rezervasyonlar!$D$5:$D$1504,"&lt;="&amp;TODAY(),Rezervasyonlar!$E$5:$E$1504,"&gt;="&amp;TODAY(),Rezervasyonlar!$F$5:$F$1504,"&lt;&gt;İptal",Rezervasyonlar!$F$5:$F$1504,"&lt;&gt;İade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8" customFormat="false" ht="15" hidden="false" customHeight="false" outlineLevel="0" collapsed="false">
      <c r="A48" s="12"/>
      <c r="B48" s="15"/>
      <c r="C48" s="15"/>
      <c r="D48" s="16" t="str">
        <f aca="false">IF(A48="","",SUMIFS(Rezervasyonlar!$H$5:$H$1504,Rezervasyonlar!$C$5:$C$1504,A48,Rezervasyonlar!$D$5:$D$1504,"&gt;="&amp;DATE(Özet!$C$3,1,1),Rezervasyonlar!$D$5:$D$1504,"&lt;"&amp;DATE(Özet!$C$3+1,1,1),Rezervasyonlar!$F$5:$F$1504,"&lt;&gt;İptal"))</f>
        <v/>
      </c>
      <c r="E48" s="17" t="str">
        <f aca="false">IF(A48="","",SUMIFS(Rezervasyonlar!$I$5:$I$1504,Rezervasyonlar!$C$5:$C$1504,A48,Rezervasyonlar!$D$5:$D$1504,"&gt;="&amp;DATE(Özet!$C$3,1,1),Rezervasyonlar!$D$5:$D$1504,"&lt;"&amp;DATE(Özet!$C$3+1,1,1),Rezervasyonlar!$F$5:$F$1504,"&lt;&gt;İptal"))</f>
        <v/>
      </c>
      <c r="F48" s="19" t="str">
        <f aca="false">IF(A48="","",D48/365)</f>
        <v/>
      </c>
      <c r="G48" s="18" t="str">
        <f aca="true">IF(A48="","",IF(COUNTIFS(Rezervasyonlar!$C$5:$C$1504,A48,Rezervasyonlar!$D$5:$D$1504,"&lt;="&amp;TODAY(),Rezervasyonlar!$E$5:$E$1504,"&gt;="&amp;TODAY(),Rezervasyonlar!$F$5:$F$1504,"&lt;&gt;İptal",Rezervasyonlar!$F$5:$F$1504,"&lt;&gt;İade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49" customFormat="false" ht="15" hidden="false" customHeight="false" outlineLevel="0" collapsed="false">
      <c r="A49" s="12"/>
      <c r="B49" s="15"/>
      <c r="C49" s="15"/>
      <c r="D49" s="16" t="str">
        <f aca="false">IF(A49="","",SUMIFS(Rezervasyonlar!$H$5:$H$1504,Rezervasyonlar!$C$5:$C$1504,A49,Rezervasyonlar!$D$5:$D$1504,"&gt;="&amp;DATE(Özet!$C$3,1,1),Rezervasyonlar!$D$5:$D$1504,"&lt;"&amp;DATE(Özet!$C$3+1,1,1),Rezervasyonlar!$F$5:$F$1504,"&lt;&gt;İptal"))</f>
        <v/>
      </c>
      <c r="E49" s="17" t="str">
        <f aca="false">IF(A49="","",SUMIFS(Rezervasyonlar!$I$5:$I$1504,Rezervasyonlar!$C$5:$C$1504,A49,Rezervasyonlar!$D$5:$D$1504,"&gt;="&amp;DATE(Özet!$C$3,1,1),Rezervasyonlar!$D$5:$D$1504,"&lt;"&amp;DATE(Özet!$C$3+1,1,1),Rezervasyonlar!$F$5:$F$1504,"&lt;&gt;İptal"))</f>
        <v/>
      </c>
      <c r="F49" s="19" t="str">
        <f aca="false">IF(A49="","",D49/365)</f>
        <v/>
      </c>
      <c r="G49" s="18" t="str">
        <f aca="true">IF(A49="","",IF(COUNTIFS(Rezervasyonlar!$C$5:$C$1504,A49,Rezervasyonlar!$D$5:$D$1504,"&lt;="&amp;TODAY(),Rezervasyonlar!$E$5:$E$1504,"&gt;="&amp;TODAY(),Rezervasyonlar!$F$5:$F$1504,"&lt;&gt;İptal",Rezervasyonlar!$F$5:$F$1504,"&lt;&gt;İade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0" customFormat="false" ht="15" hidden="false" customHeight="false" outlineLevel="0" collapsed="false">
      <c r="A50" s="12"/>
      <c r="B50" s="15"/>
      <c r="C50" s="15"/>
      <c r="D50" s="16" t="str">
        <f aca="false">IF(A50="","",SUMIFS(Rezervasyonlar!$H$5:$H$1504,Rezervasyonlar!$C$5:$C$1504,A50,Rezervasyonlar!$D$5:$D$1504,"&gt;="&amp;DATE(Özet!$C$3,1,1),Rezervasyonlar!$D$5:$D$1504,"&lt;"&amp;DATE(Özet!$C$3+1,1,1),Rezervasyonlar!$F$5:$F$1504,"&lt;&gt;İptal"))</f>
        <v/>
      </c>
      <c r="E50" s="17" t="str">
        <f aca="false">IF(A50="","",SUMIFS(Rezervasyonlar!$I$5:$I$1504,Rezervasyonlar!$C$5:$C$1504,A50,Rezervasyonlar!$D$5:$D$1504,"&gt;="&amp;DATE(Özet!$C$3,1,1),Rezervasyonlar!$D$5:$D$1504,"&lt;"&amp;DATE(Özet!$C$3+1,1,1),Rezervasyonlar!$F$5:$F$1504,"&lt;&gt;İptal"))</f>
        <v/>
      </c>
      <c r="F50" s="19" t="str">
        <f aca="false">IF(A50="","",D50/365)</f>
        <v/>
      </c>
      <c r="G50" s="18" t="str">
        <f aca="true">IF(A50="","",IF(COUNTIFS(Rezervasyonlar!$C$5:$C$1504,A50,Rezervasyonlar!$D$5:$D$1504,"&lt;="&amp;TODAY(),Rezervasyonlar!$E$5:$E$1504,"&gt;="&amp;TODAY(),Rezervasyonlar!$F$5:$F$1504,"&lt;&gt;İptal",Rezervasyonlar!$F$5:$F$1504,"&lt;&gt;İade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1" customFormat="false" ht="15" hidden="false" customHeight="false" outlineLevel="0" collapsed="false">
      <c r="A51" s="12"/>
      <c r="B51" s="15"/>
      <c r="C51" s="15"/>
      <c r="D51" s="16" t="str">
        <f aca="false">IF(A51="","",SUMIFS(Rezervasyonlar!$H$5:$H$1504,Rezervasyonlar!$C$5:$C$1504,A51,Rezervasyonlar!$D$5:$D$1504,"&gt;="&amp;DATE(Özet!$C$3,1,1),Rezervasyonlar!$D$5:$D$1504,"&lt;"&amp;DATE(Özet!$C$3+1,1,1),Rezervasyonlar!$F$5:$F$1504,"&lt;&gt;İptal"))</f>
        <v/>
      </c>
      <c r="E51" s="17" t="str">
        <f aca="false">IF(A51="","",SUMIFS(Rezervasyonlar!$I$5:$I$1504,Rezervasyonlar!$C$5:$C$1504,A51,Rezervasyonlar!$D$5:$D$1504,"&gt;="&amp;DATE(Özet!$C$3,1,1),Rezervasyonlar!$D$5:$D$1504,"&lt;"&amp;DATE(Özet!$C$3+1,1,1),Rezervasyonlar!$F$5:$F$1504,"&lt;&gt;İptal"))</f>
        <v/>
      </c>
      <c r="F51" s="19" t="str">
        <f aca="false">IF(A51="","",D51/365)</f>
        <v/>
      </c>
      <c r="G51" s="18" t="str">
        <f aca="true">IF(A51="","",IF(COUNTIFS(Rezervasyonlar!$C$5:$C$1504,A51,Rezervasyonlar!$D$5:$D$1504,"&lt;="&amp;TODAY(),Rezervasyonlar!$E$5:$E$1504,"&gt;="&amp;TODAY(),Rezervasyonlar!$F$5:$F$1504,"&lt;&gt;İptal",Rezervasyonlar!$F$5:$F$1504,"&lt;&gt;İade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2" customFormat="false" ht="15" hidden="false" customHeight="false" outlineLevel="0" collapsed="false">
      <c r="A52" s="12"/>
      <c r="B52" s="15"/>
      <c r="C52" s="15"/>
      <c r="D52" s="16" t="str">
        <f aca="false">IF(A52="","",SUMIFS(Rezervasyonlar!$H$5:$H$1504,Rezervasyonlar!$C$5:$C$1504,A52,Rezervasyonlar!$D$5:$D$1504,"&gt;="&amp;DATE(Özet!$C$3,1,1),Rezervasyonlar!$D$5:$D$1504,"&lt;"&amp;DATE(Özet!$C$3+1,1,1),Rezervasyonlar!$F$5:$F$1504,"&lt;&gt;İptal"))</f>
        <v/>
      </c>
      <c r="E52" s="17" t="str">
        <f aca="false">IF(A52="","",SUMIFS(Rezervasyonlar!$I$5:$I$1504,Rezervasyonlar!$C$5:$C$1504,A52,Rezervasyonlar!$D$5:$D$1504,"&gt;="&amp;DATE(Özet!$C$3,1,1),Rezervasyonlar!$D$5:$D$1504,"&lt;"&amp;DATE(Özet!$C$3+1,1,1),Rezervasyonlar!$F$5:$F$1504,"&lt;&gt;İptal"))</f>
        <v/>
      </c>
      <c r="F52" s="19" t="str">
        <f aca="false">IF(A52="","",D52/365)</f>
        <v/>
      </c>
      <c r="G52" s="18" t="str">
        <f aca="true">IF(A52="","",IF(COUNTIFS(Rezervasyonlar!$C$5:$C$1504,A52,Rezervasyonlar!$D$5:$D$1504,"&lt;="&amp;TODAY(),Rezervasyonlar!$E$5:$E$1504,"&gt;="&amp;TODAY(),Rezervasyonlar!$F$5:$F$1504,"&lt;&gt;İptal",Rezervasyonlar!$F$5:$F$1504,"&lt;&gt;İade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3" customFormat="false" ht="15" hidden="false" customHeight="false" outlineLevel="0" collapsed="false">
      <c r="A53" s="12"/>
      <c r="B53" s="15"/>
      <c r="C53" s="15"/>
      <c r="D53" s="16" t="str">
        <f aca="false">IF(A53="","",SUMIFS(Rezervasyonlar!$H$5:$H$1504,Rezervasyonlar!$C$5:$C$1504,A53,Rezervasyonlar!$D$5:$D$1504,"&gt;="&amp;DATE(Özet!$C$3,1,1),Rezervasyonlar!$D$5:$D$1504,"&lt;"&amp;DATE(Özet!$C$3+1,1,1),Rezervasyonlar!$F$5:$F$1504,"&lt;&gt;İptal"))</f>
        <v/>
      </c>
      <c r="E53" s="17" t="str">
        <f aca="false">IF(A53="","",SUMIFS(Rezervasyonlar!$I$5:$I$1504,Rezervasyonlar!$C$5:$C$1504,A53,Rezervasyonlar!$D$5:$D$1504,"&gt;="&amp;DATE(Özet!$C$3,1,1),Rezervasyonlar!$D$5:$D$1504,"&lt;"&amp;DATE(Özet!$C$3+1,1,1),Rezervasyonlar!$F$5:$F$1504,"&lt;&gt;İptal"))</f>
        <v/>
      </c>
      <c r="F53" s="19" t="str">
        <f aca="false">IF(A53="","",D53/365)</f>
        <v/>
      </c>
      <c r="G53" s="18" t="str">
        <f aca="true">IF(A53="","",IF(COUNTIFS(Rezervasyonlar!$C$5:$C$1504,A53,Rezervasyonlar!$D$5:$D$1504,"&lt;="&amp;TODAY(),Rezervasyonlar!$E$5:$E$1504,"&gt;="&amp;TODAY(),Rezervasyonlar!$F$5:$F$1504,"&lt;&gt;İptal",Rezervasyonlar!$F$5:$F$1504,"&lt;&gt;İade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4" customFormat="false" ht="15" hidden="false" customHeight="false" outlineLevel="0" collapsed="false">
      <c r="A54" s="12"/>
      <c r="B54" s="15"/>
      <c r="C54" s="15"/>
      <c r="D54" s="16" t="str">
        <f aca="false">IF(A54="","",SUMIFS(Rezervasyonlar!$H$5:$H$1504,Rezervasyonlar!$C$5:$C$1504,A54,Rezervasyonlar!$D$5:$D$1504,"&gt;="&amp;DATE(Özet!$C$3,1,1),Rezervasyonlar!$D$5:$D$1504,"&lt;"&amp;DATE(Özet!$C$3+1,1,1),Rezervasyonlar!$F$5:$F$1504,"&lt;&gt;İptal"))</f>
        <v/>
      </c>
      <c r="E54" s="17" t="str">
        <f aca="false">IF(A54="","",SUMIFS(Rezervasyonlar!$I$5:$I$1504,Rezervasyonlar!$C$5:$C$1504,A54,Rezervasyonlar!$D$5:$D$1504,"&gt;="&amp;DATE(Özet!$C$3,1,1),Rezervasyonlar!$D$5:$D$1504,"&lt;"&amp;DATE(Özet!$C$3+1,1,1),Rezervasyonlar!$F$5:$F$1504,"&lt;&gt;İptal"))</f>
        <v/>
      </c>
      <c r="F54" s="19" t="str">
        <f aca="false">IF(A54="","",D54/365)</f>
        <v/>
      </c>
      <c r="G54" s="18" t="str">
        <f aca="true">IF(A54="","",IF(COUNTIFS(Rezervasyonlar!$C$5:$C$1504,A54,Rezervasyonlar!$D$5:$D$1504,"&lt;="&amp;TODAY(),Rezervasyonlar!$E$5:$E$1504,"&gt;="&amp;TODAY(),Rezervasyonlar!$F$5:$F$1504,"&lt;&gt;İptal",Rezervasyonlar!$F$5:$F$1504,"&lt;&gt;İade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5" customFormat="false" ht="15" hidden="false" customHeight="false" outlineLevel="0" collapsed="false">
      <c r="A55" s="12"/>
      <c r="B55" s="15"/>
      <c r="C55" s="15"/>
      <c r="D55" s="16" t="str">
        <f aca="false">IF(A55="","",SUMIFS(Rezervasyonlar!$H$5:$H$1504,Rezervasyonlar!$C$5:$C$1504,A55,Rezervasyonlar!$D$5:$D$1504,"&gt;="&amp;DATE(Özet!$C$3,1,1),Rezervasyonlar!$D$5:$D$1504,"&lt;"&amp;DATE(Özet!$C$3+1,1,1),Rezervasyonlar!$F$5:$F$1504,"&lt;&gt;İptal"))</f>
        <v/>
      </c>
      <c r="E55" s="17" t="str">
        <f aca="false">IF(A55="","",SUMIFS(Rezervasyonlar!$I$5:$I$1504,Rezervasyonlar!$C$5:$C$1504,A55,Rezervasyonlar!$D$5:$D$1504,"&gt;="&amp;DATE(Özet!$C$3,1,1),Rezervasyonlar!$D$5:$D$1504,"&lt;"&amp;DATE(Özet!$C$3+1,1,1),Rezervasyonlar!$F$5:$F$1504,"&lt;&gt;İptal"))</f>
        <v/>
      </c>
      <c r="F55" s="19" t="str">
        <f aca="false">IF(A55="","",D55/365)</f>
        <v/>
      </c>
      <c r="G55" s="18" t="str">
        <f aca="true">IF(A55="","",IF(COUNTIFS(Rezervasyonlar!$C$5:$C$1504,A55,Rezervasyonlar!$D$5:$D$1504,"&lt;="&amp;TODAY(),Rezervasyonlar!$E$5:$E$1504,"&gt;="&amp;TODAY(),Rezervasyonlar!$F$5:$F$1504,"&lt;&gt;İptal",Rezervasyonlar!$F$5:$F$1504,"&lt;&gt;İade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6" customFormat="false" ht="15" hidden="false" customHeight="false" outlineLevel="0" collapsed="false">
      <c r="A56" s="12"/>
      <c r="B56" s="15"/>
      <c r="C56" s="15"/>
      <c r="D56" s="16" t="str">
        <f aca="false">IF(A56="","",SUMIFS(Rezervasyonlar!$H$5:$H$1504,Rezervasyonlar!$C$5:$C$1504,A56,Rezervasyonlar!$D$5:$D$1504,"&gt;="&amp;DATE(Özet!$C$3,1,1),Rezervasyonlar!$D$5:$D$1504,"&lt;"&amp;DATE(Özet!$C$3+1,1,1),Rezervasyonlar!$F$5:$F$1504,"&lt;&gt;İptal"))</f>
        <v/>
      </c>
      <c r="E56" s="17" t="str">
        <f aca="false">IF(A56="","",SUMIFS(Rezervasyonlar!$I$5:$I$1504,Rezervasyonlar!$C$5:$C$1504,A56,Rezervasyonlar!$D$5:$D$1504,"&gt;="&amp;DATE(Özet!$C$3,1,1),Rezervasyonlar!$D$5:$D$1504,"&lt;"&amp;DATE(Özet!$C$3+1,1,1),Rezervasyonlar!$F$5:$F$1504,"&lt;&gt;İptal"))</f>
        <v/>
      </c>
      <c r="F56" s="19" t="str">
        <f aca="false">IF(A56="","",D56/365)</f>
        <v/>
      </c>
      <c r="G56" s="18" t="str">
        <f aca="true">IF(A56="","",IF(COUNTIFS(Rezervasyonlar!$C$5:$C$1504,A56,Rezervasyonlar!$D$5:$D$1504,"&lt;="&amp;TODAY(),Rezervasyonlar!$E$5:$E$1504,"&gt;="&amp;TODAY(),Rezervasyonlar!$F$5:$F$1504,"&lt;&gt;İptal",Rezervasyonlar!$F$5:$F$1504,"&lt;&gt;İade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7" customFormat="false" ht="15" hidden="false" customHeight="false" outlineLevel="0" collapsed="false">
      <c r="A57" s="12"/>
      <c r="B57" s="15"/>
      <c r="C57" s="15"/>
      <c r="D57" s="16" t="str">
        <f aca="false">IF(A57="","",SUMIFS(Rezervasyonlar!$H$5:$H$1504,Rezervasyonlar!$C$5:$C$1504,A57,Rezervasyonlar!$D$5:$D$1504,"&gt;="&amp;DATE(Özet!$C$3,1,1),Rezervasyonlar!$D$5:$D$1504,"&lt;"&amp;DATE(Özet!$C$3+1,1,1),Rezervasyonlar!$F$5:$F$1504,"&lt;&gt;İptal"))</f>
        <v/>
      </c>
      <c r="E57" s="17" t="str">
        <f aca="false">IF(A57="","",SUMIFS(Rezervasyonlar!$I$5:$I$1504,Rezervasyonlar!$C$5:$C$1504,A57,Rezervasyonlar!$D$5:$D$1504,"&gt;="&amp;DATE(Özet!$C$3,1,1),Rezervasyonlar!$D$5:$D$1504,"&lt;"&amp;DATE(Özet!$C$3+1,1,1),Rezervasyonlar!$F$5:$F$1504,"&lt;&gt;İptal"))</f>
        <v/>
      </c>
      <c r="F57" s="19" t="str">
        <f aca="false">IF(A57="","",D57/365)</f>
        <v/>
      </c>
      <c r="G57" s="18" t="str">
        <f aca="true">IF(A57="","",IF(COUNTIFS(Rezervasyonlar!$C$5:$C$1504,A57,Rezervasyonlar!$D$5:$D$1504,"&lt;="&amp;TODAY(),Rezervasyonlar!$E$5:$E$1504,"&gt;="&amp;TODAY(),Rezervasyonlar!$F$5:$F$1504,"&lt;&gt;İptal",Rezervasyonlar!$F$5:$F$1504,"&lt;&gt;İade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8" customFormat="false" ht="15" hidden="false" customHeight="false" outlineLevel="0" collapsed="false">
      <c r="A58" s="12"/>
      <c r="B58" s="15"/>
      <c r="C58" s="15"/>
      <c r="D58" s="16" t="str">
        <f aca="false">IF(A58="","",SUMIFS(Rezervasyonlar!$H$5:$H$1504,Rezervasyonlar!$C$5:$C$1504,A58,Rezervasyonlar!$D$5:$D$1504,"&gt;="&amp;DATE(Özet!$C$3,1,1),Rezervasyonlar!$D$5:$D$1504,"&lt;"&amp;DATE(Özet!$C$3+1,1,1),Rezervasyonlar!$F$5:$F$1504,"&lt;&gt;İptal"))</f>
        <v/>
      </c>
      <c r="E58" s="17" t="str">
        <f aca="false">IF(A58="","",SUMIFS(Rezervasyonlar!$I$5:$I$1504,Rezervasyonlar!$C$5:$C$1504,A58,Rezervasyonlar!$D$5:$D$1504,"&gt;="&amp;DATE(Özet!$C$3,1,1),Rezervasyonlar!$D$5:$D$1504,"&lt;"&amp;DATE(Özet!$C$3+1,1,1),Rezervasyonlar!$F$5:$F$1504,"&lt;&gt;İptal"))</f>
        <v/>
      </c>
      <c r="F58" s="19" t="str">
        <f aca="false">IF(A58="","",D58/365)</f>
        <v/>
      </c>
      <c r="G58" s="18" t="str">
        <f aca="true">IF(A58="","",IF(COUNTIFS(Rezervasyonlar!$C$5:$C$1504,A58,Rezervasyonlar!$D$5:$D$1504,"&lt;="&amp;TODAY(),Rezervasyonlar!$E$5:$E$1504,"&gt;="&amp;TODAY(),Rezervasyonlar!$F$5:$F$1504,"&lt;&gt;İptal",Rezervasyonlar!$F$5:$F$1504,"&lt;&gt;İade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59" customFormat="false" ht="15" hidden="false" customHeight="false" outlineLevel="0" collapsed="false">
      <c r="A59" s="12"/>
      <c r="B59" s="15"/>
      <c r="C59" s="15"/>
      <c r="D59" s="16" t="str">
        <f aca="false">IF(A59="","",SUMIFS(Rezervasyonlar!$H$5:$H$1504,Rezervasyonlar!$C$5:$C$1504,A59,Rezervasyonlar!$D$5:$D$1504,"&gt;="&amp;DATE(Özet!$C$3,1,1),Rezervasyonlar!$D$5:$D$1504,"&lt;"&amp;DATE(Özet!$C$3+1,1,1),Rezervasyonlar!$F$5:$F$1504,"&lt;&gt;İptal"))</f>
        <v/>
      </c>
      <c r="E59" s="17" t="str">
        <f aca="false">IF(A59="","",SUMIFS(Rezervasyonlar!$I$5:$I$1504,Rezervasyonlar!$C$5:$C$1504,A59,Rezervasyonlar!$D$5:$D$1504,"&gt;="&amp;DATE(Özet!$C$3,1,1),Rezervasyonlar!$D$5:$D$1504,"&lt;"&amp;DATE(Özet!$C$3+1,1,1),Rezervasyonlar!$F$5:$F$1504,"&lt;&gt;İptal"))</f>
        <v/>
      </c>
      <c r="F59" s="19" t="str">
        <f aca="false">IF(A59="","",D59/365)</f>
        <v/>
      </c>
      <c r="G59" s="18" t="str">
        <f aca="true">IF(A59="","",IF(COUNTIFS(Rezervasyonlar!$C$5:$C$1504,A59,Rezervasyonlar!$D$5:$D$1504,"&lt;="&amp;TODAY(),Rezervasyonlar!$E$5:$E$1504,"&gt;="&amp;TODAY(),Rezervasyonlar!$F$5:$F$1504,"&lt;&gt;İptal",Rezervasyonlar!$F$5:$F$1504,"&lt;&gt;İade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60" customFormat="false" ht="15" hidden="false" customHeight="false" outlineLevel="0" collapsed="false">
      <c r="A60" s="12"/>
      <c r="B60" s="15"/>
      <c r="C60" s="15"/>
      <c r="D60" s="16" t="str">
        <f aca="false">IF(A60="","",SUMIFS(Rezervasyonlar!$H$5:$H$1504,Rezervasyonlar!$C$5:$C$1504,A60,Rezervasyonlar!$D$5:$D$1504,"&gt;="&amp;DATE(Özet!$C$3,1,1),Rezervasyonlar!$D$5:$D$1504,"&lt;"&amp;DATE(Özet!$C$3+1,1,1),Rezervasyonlar!$F$5:$F$1504,"&lt;&gt;İptal"))</f>
        <v/>
      </c>
      <c r="E60" s="17" t="str">
        <f aca="false">IF(A60="","",SUMIFS(Rezervasyonlar!$I$5:$I$1504,Rezervasyonlar!$C$5:$C$1504,A60,Rezervasyonlar!$D$5:$D$1504,"&gt;="&amp;DATE(Özet!$C$3,1,1),Rezervasyonlar!$D$5:$D$1504,"&lt;"&amp;DATE(Özet!$C$3+1,1,1),Rezervasyonlar!$F$5:$F$1504,"&lt;&gt;İptal"))</f>
        <v/>
      </c>
      <c r="F60" s="19" t="str">
        <f aca="false">IF(A60="","",D60/365)</f>
        <v/>
      </c>
      <c r="G60" s="18" t="str">
        <f aca="true">IF(A60="","",IF(COUNTIFS(Rezervasyonlar!$C$5:$C$1504,A60,Rezervasyonlar!$D$5:$D$1504,"&lt;="&amp;TODAY(),Rezervasyonlar!$E$5:$E$1504,"&gt;="&amp;TODAY(),Rezervasyonlar!$F$5:$F$1504,"&lt;&gt;İptal",Rezervasyonlar!$F$5:$F$1504,"&lt;&gt;İade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61" customFormat="false" ht="15" hidden="false" customHeight="false" outlineLevel="0" collapsed="false">
      <c r="A61" s="12"/>
      <c r="B61" s="15"/>
      <c r="C61" s="15"/>
      <c r="D61" s="16" t="str">
        <f aca="false">IF(A61="","",SUMIFS(Rezervasyonlar!$H$5:$H$1504,Rezervasyonlar!$C$5:$C$1504,A61,Rezervasyonlar!$D$5:$D$1504,"&gt;="&amp;DATE(Özet!$C$3,1,1),Rezervasyonlar!$D$5:$D$1504,"&lt;"&amp;DATE(Özet!$C$3+1,1,1),Rezervasyonlar!$F$5:$F$1504,"&lt;&gt;İptal"))</f>
        <v/>
      </c>
      <c r="E61" s="17" t="str">
        <f aca="false">IF(A61="","",SUMIFS(Rezervasyonlar!$I$5:$I$1504,Rezervasyonlar!$C$5:$C$1504,A61,Rezervasyonlar!$D$5:$D$1504,"&gt;="&amp;DATE(Özet!$C$3,1,1),Rezervasyonlar!$D$5:$D$1504,"&lt;"&amp;DATE(Özet!$C$3+1,1,1),Rezervasyonlar!$F$5:$F$1504,"&lt;&gt;İptal"))</f>
        <v/>
      </c>
      <c r="F61" s="19" t="str">
        <f aca="false">IF(A61="","",D61/365)</f>
        <v/>
      </c>
      <c r="G61" s="18" t="str">
        <f aca="true">IF(A61="","",IF(COUNTIFS(Rezervasyonlar!$C$5:$C$1504,A61,Rezervasyonlar!$D$5:$D$1504,"&lt;="&amp;TODAY(),Rezervasyonlar!$E$5:$E$1504,"&gt;="&amp;TODAY(),Rezervasyonlar!$F$5:$F$1504,"&lt;&gt;İptal",Rezervasyonlar!$F$5:$F$1504,"&lt;&gt;İade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62" customFormat="false" ht="15" hidden="false" customHeight="false" outlineLevel="0" collapsed="false">
      <c r="A62" s="12"/>
      <c r="B62" s="15"/>
      <c r="C62" s="15"/>
      <c r="D62" s="16" t="str">
        <f aca="false">IF(A62="","",SUMIFS(Rezervasyonlar!$H$5:$H$1504,Rezervasyonlar!$C$5:$C$1504,A62,Rezervasyonlar!$D$5:$D$1504,"&gt;="&amp;DATE(Özet!$C$3,1,1),Rezervasyonlar!$D$5:$D$1504,"&lt;"&amp;DATE(Özet!$C$3+1,1,1),Rezervasyonlar!$F$5:$F$1504,"&lt;&gt;İptal"))</f>
        <v/>
      </c>
      <c r="E62" s="17" t="str">
        <f aca="false">IF(A62="","",SUMIFS(Rezervasyonlar!$I$5:$I$1504,Rezervasyonlar!$C$5:$C$1504,A62,Rezervasyonlar!$D$5:$D$1504,"&gt;="&amp;DATE(Özet!$C$3,1,1),Rezervasyonlar!$D$5:$D$1504,"&lt;"&amp;DATE(Özet!$C$3+1,1,1),Rezervasyonlar!$F$5:$F$1504,"&lt;&gt;İptal"))</f>
        <v/>
      </c>
      <c r="F62" s="19" t="str">
        <f aca="false">IF(A62="","",D62/365)</f>
        <v/>
      </c>
      <c r="G62" s="18" t="str">
        <f aca="true">IF(A62="","",IF(COUNTIFS(Rezervasyonlar!$C$5:$C$1504,A62,Rezervasyonlar!$D$5:$D$1504,"&lt;="&amp;TODAY(),Rezervasyonlar!$E$5:$E$1504,"&gt;="&amp;TODAY(),Rezervasyonlar!$F$5:$F$1504,"&lt;&gt;İptal",Rezervasyonlar!$F$5:$F$1504,"&lt;&gt;İade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63" customFormat="false" ht="15" hidden="false" customHeight="false" outlineLevel="0" collapsed="false">
      <c r="A63" s="12"/>
      <c r="B63" s="15"/>
      <c r="C63" s="15"/>
      <c r="D63" s="16" t="str">
        <f aca="false">IF(A63="","",SUMIFS(Rezervasyonlar!$H$5:$H$1504,Rezervasyonlar!$C$5:$C$1504,A63,Rezervasyonlar!$D$5:$D$1504,"&gt;="&amp;DATE(Özet!$C$3,1,1),Rezervasyonlar!$D$5:$D$1504,"&lt;"&amp;DATE(Özet!$C$3+1,1,1),Rezervasyonlar!$F$5:$F$1504,"&lt;&gt;İptal"))</f>
        <v/>
      </c>
      <c r="E63" s="17" t="str">
        <f aca="false">IF(A63="","",SUMIFS(Rezervasyonlar!$I$5:$I$1504,Rezervasyonlar!$C$5:$C$1504,A63,Rezervasyonlar!$D$5:$D$1504,"&gt;="&amp;DATE(Özet!$C$3,1,1),Rezervasyonlar!$D$5:$D$1504,"&lt;"&amp;DATE(Özet!$C$3+1,1,1),Rezervasyonlar!$F$5:$F$1504,"&lt;&gt;İptal"))</f>
        <v/>
      </c>
      <c r="F63" s="19" t="str">
        <f aca="false">IF(A63="","",D63/365)</f>
        <v/>
      </c>
      <c r="G63" s="18" t="str">
        <f aca="true">IF(A63="","",IF(COUNTIFS(Rezervasyonlar!$C$5:$C$1504,A63,Rezervasyonlar!$D$5:$D$1504,"&lt;="&amp;TODAY(),Rezervasyonlar!$E$5:$E$1504,"&gt;="&amp;TODAY(),Rezervasyonlar!$F$5:$F$1504,"&lt;&gt;İptal",Rezervasyonlar!$F$5:$F$1504,"&lt;&gt;İade alındı")&gt;0,"Dışarıda","Müsait"))</f>
        <v/>
      </c>
    </row>
    <row r="64" customFormat="false" ht="15" hidden="false" customHeight="false" outlineLevel="0" collapsed="false">
      <c r="A64" s="12"/>
      <c r="B64" s="15"/>
      <c r="C64" s="15"/>
      <c r="D64" s="16" t="str">
        <f aca="false">IF(A64="","",SUMIFS(Rezervasyonlar!$H$5:$H$1504,Rezervasyonlar!$C$5:$C$1504,A64,Rezervasyonlar!$D$5:$D$1504,"&gt;="&amp;DATE(Özet!$C$3,1,1),Rezervasyonlar!$D$5:$D$1504,"&lt;"&amp;DATE(Özet!$C$3+1,1,1),Rezervasyonlar!$F$5:$F$1504,"&lt;&gt;İptal"))</f>
        <v/>
      </c>
      <c r="E64" s="17" t="str">
        <f aca="false">IF(A64="","",SUMIFS(Rezervasyonlar!$I$5:$I$1504,Rezervasyonlar!$C$5:$C$1504,A64,Rezervasyonlar!$D$5:$D$1504,"&gt;="&amp;DATE(Özet!$C$3,1,1),Rezervasyonlar!$D$5:$D$1504,"&lt;"&amp;DATE(Özet!$C$3+1,1,1),Rezervasyonlar!$F$5:$F$1504,"&lt;&gt;İptal"))</f>
        <v/>
      </c>
      <c r="F64" s="19" t="str">
        <f aca="false">IF(A64="","",D64/365)</f>
        <v/>
      </c>
      <c r="G64" s="18" t="str">
        <f aca="true">IF(A64="","",IF(COUNTIFS(Rezervasyonlar!$C$5:$C$1504,A64,Rezervasyonlar!$D$5:$D$1504,"&lt;="&amp;TODAY(),Rezervasyonlar!$E$5:$E$1504,"&gt;="&amp;TODAY(),Rezervasyonlar!$F$5:$F$1504,"&lt;&gt;İptal",Rezervasyonlar!$F$5:$F$1504,"&lt;&gt;İade alındı")&gt;0,"Dışarıda","Müsait"))</f>
        <v/>
      </c>
    </row>
  </sheetData>
  <conditionalFormatting sqref="G5:G64">
    <cfRule type="cellIs" priority="2" operator="equal" aboveAverage="0" equalAverage="0" bottom="0" percent="0" rank="0" text="" dxfId="1">
      <formula>"Dışarıda"</formula>
    </cfRule>
  </conditionalFormatting>
  <dataValidations count="2">
    <dataValidation allowBlank="true" error="Sıfır ya da daha büyük bir sayı gir." errorStyle="stop" errorTitle="Kontrol" operator="greaterThanOrEqual" showDropDown="false" showErrorMessage="true" showInputMessage="false" sqref="B5:C64" type="decimal">
      <formula1>0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64" type="custom">
      <formula1>COUNTIF($A$5:$A$64,A5)=1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53</v>
      </c>
    </row>
    <row r="2" customFormat="false" ht="15" hidden="false" customHeight="false" outlineLevel="0" collapsed="false">
      <c r="A2" s="9" t="s">
        <v>54</v>
      </c>
    </row>
    <row r="3" customFormat="false" ht="15" hidden="false" customHeight="false" outlineLevel="0" collapsed="false">
      <c r="B3" s="20" t="s">
        <v>55</v>
      </c>
      <c r="C3" s="21" t="n">
        <v>2026</v>
      </c>
    </row>
    <row r="5" customFormat="false" ht="30" hidden="false" customHeight="true" outlineLevel="0" collapsed="false">
      <c r="B5" s="22" t="s">
        <v>56</v>
      </c>
      <c r="C5" s="22" t="s">
        <v>57</v>
      </c>
      <c r="D5" s="22" t="s">
        <v>58</v>
      </c>
      <c r="E5" s="22" t="s">
        <v>59</v>
      </c>
      <c r="F5" s="22" t="s">
        <v>60</v>
      </c>
    </row>
    <row r="6" customFormat="false" ht="27.75" hidden="false" customHeight="true" outlineLevel="0" collapsed="false">
      <c r="B6" s="23" t="n">
        <f aca="false">E23</f>
        <v>25500</v>
      </c>
      <c r="C6" s="24" t="n">
        <f aca="false">COUNTIF(Ürünler!$G$5:$G$64,"Dışarıda")</f>
        <v>1</v>
      </c>
      <c r="D6" s="24" t="n">
        <f aca="true">COUNTIFS(Rezervasyonlar!$D$5:$D$1504,TODAY()+1,Rezervasyonlar!$F$5:$F$1504,"Rezerve")</f>
        <v>2</v>
      </c>
      <c r="E6" s="24" t="n">
        <f aca="true">COUNTIFS(Rezervasyonlar!$E$5:$E$1504,TODAY(),Rezervasyonlar!$F$5:$F$1504,"Teslim edildi")</f>
        <v>0</v>
      </c>
      <c r="F6" s="25" t="n">
        <f aca="false">COUNTIF(Rezervasyonlar!$J$5:$J$1504,"Çakışıyor")</f>
        <v>2</v>
      </c>
    </row>
    <row r="9" customFormat="false" ht="15" hidden="false" customHeight="false" outlineLevel="0" collapsed="false">
      <c r="B9" s="26" t="s">
        <v>61</v>
      </c>
    </row>
    <row r="10" customFormat="false" ht="21.75" hidden="false" customHeight="true" outlineLevel="0" collapsed="false">
      <c r="B10" s="10" t="s">
        <v>62</v>
      </c>
      <c r="C10" s="10" t="s">
        <v>63</v>
      </c>
      <c r="D10" s="10" t="s">
        <v>31</v>
      </c>
      <c r="E10" s="10" t="s">
        <v>64</v>
      </c>
    </row>
    <row r="11" customFormat="false" ht="15" hidden="false" customHeight="false" outlineLevel="0" collapsed="false">
      <c r="B11" s="27" t="s">
        <v>65</v>
      </c>
      <c r="C11" s="28" t="n">
        <f aca="false">COUNTIFS(Rezervasyonlar!$D$5:$D$1504,"&gt;="&amp;DATE($C$3,1,1),Rezervasyonlar!$D$5:$D$1504,"&lt;"&amp;DATE($C$3,2,1),Rezervasyonlar!$F$5:$F$1504,"&lt;&gt;İptal")</f>
        <v>0</v>
      </c>
      <c r="D11" s="28" t="n">
        <f aca="false">SUMIFS(Rezervasyonlar!$H$5:$H$1504,Rezervasyonlar!$D$5:$D$1504,"&gt;="&amp;DATE($C$3,1,1),Rezervasyonlar!$D$5:$D$1504,"&lt;"&amp;DATE($C$3,2,1),Rezervasyonlar!$F$5:$F$1504,"&lt;&gt;İptal")</f>
        <v>0</v>
      </c>
      <c r="E11" s="17" t="n">
        <f aca="false">SUMIFS(Rezervasyonlar!$I$5:$I$1504,Rezervasyonlar!$D$5:$D$1504,"&gt;="&amp;DATE($C$3,1,1),Rezervasyonlar!$D$5:$D$1504,"&lt;"&amp;DATE($C$3,2,1))</f>
        <v>0</v>
      </c>
    </row>
    <row r="12" customFormat="false" ht="15" hidden="false" customHeight="false" outlineLevel="0" collapsed="false">
      <c r="B12" s="29" t="s">
        <v>66</v>
      </c>
      <c r="C12" s="30" t="n">
        <f aca="false">COUNTIFS(Rezervasyonlar!$D$5:$D$1504,"&gt;="&amp;DATE($C$3,2,1),Rezervasyonlar!$D$5:$D$1504,"&lt;"&amp;DATE($C$3,3,1),Rezervasyonlar!$F$5:$F$1504,"&lt;&gt;İptal")</f>
        <v>0</v>
      </c>
      <c r="D12" s="30" t="n">
        <f aca="false">SUMIFS(Rezervasyonlar!$H$5:$H$1504,Rezervasyonlar!$D$5:$D$1504,"&gt;="&amp;DATE($C$3,2,1),Rezervasyonlar!$D$5:$D$1504,"&lt;"&amp;DATE($C$3,3,1),Rezervasyonlar!$F$5:$F$1504,"&lt;&gt;İptal")</f>
        <v>0</v>
      </c>
      <c r="E12" s="31" t="n">
        <f aca="false">SUMIFS(Rezervasyonlar!$I$5:$I$1504,Rezervasyonlar!$D$5:$D$1504,"&gt;="&amp;DATE($C$3,2,1),Rezervasyonlar!$D$5:$D$1504,"&lt;"&amp;DATE($C$3,3,1))</f>
        <v>0</v>
      </c>
    </row>
    <row r="13" customFormat="false" ht="15" hidden="false" customHeight="false" outlineLevel="0" collapsed="false">
      <c r="B13" s="27" t="s">
        <v>67</v>
      </c>
      <c r="C13" s="28" t="n">
        <f aca="false">COUNTIFS(Rezervasyonlar!$D$5:$D$1504,"&gt;="&amp;DATE($C$3,3,1),Rezervasyonlar!$D$5:$D$1504,"&lt;"&amp;DATE($C$3,4,1),Rezervasyonlar!$F$5:$F$1504,"&lt;&gt;İptal")</f>
        <v>0</v>
      </c>
      <c r="D13" s="28" t="n">
        <f aca="false">SUMIFS(Rezervasyonlar!$H$5:$H$1504,Rezervasyonlar!$D$5:$D$1504,"&gt;="&amp;DATE($C$3,3,1),Rezervasyonlar!$D$5:$D$1504,"&lt;"&amp;DATE($C$3,4,1),Rezervasyonlar!$F$5:$F$1504,"&lt;&gt;İptal")</f>
        <v>0</v>
      </c>
      <c r="E13" s="17" t="n">
        <f aca="false">SUMIFS(Rezervasyonlar!$I$5:$I$1504,Rezervasyonlar!$D$5:$D$1504,"&gt;="&amp;DATE($C$3,3,1),Rezervasyonlar!$D$5:$D$1504,"&lt;"&amp;DATE($C$3,4,1))</f>
        <v>0</v>
      </c>
    </row>
    <row r="14" customFormat="false" ht="15" hidden="false" customHeight="false" outlineLevel="0" collapsed="false">
      <c r="B14" s="29" t="s">
        <v>68</v>
      </c>
      <c r="C14" s="30" t="n">
        <f aca="false">COUNTIFS(Rezervasyonlar!$D$5:$D$1504,"&gt;="&amp;DATE($C$3,4,1),Rezervasyonlar!$D$5:$D$1504,"&lt;"&amp;DATE($C$3,5,1),Rezervasyonlar!$F$5:$F$1504,"&lt;&gt;İptal")</f>
        <v>0</v>
      </c>
      <c r="D14" s="30" t="n">
        <f aca="false">SUMIFS(Rezervasyonlar!$H$5:$H$1504,Rezervasyonlar!$D$5:$D$1504,"&gt;="&amp;DATE($C$3,4,1),Rezervasyonlar!$D$5:$D$1504,"&lt;"&amp;DATE($C$3,5,1),Rezervasyonlar!$F$5:$F$1504,"&lt;&gt;İptal")</f>
        <v>0</v>
      </c>
      <c r="E14" s="31" t="n">
        <f aca="false">SUMIFS(Rezervasyonlar!$I$5:$I$1504,Rezervasyonlar!$D$5:$D$1504,"&gt;="&amp;DATE($C$3,4,1),Rezervasyonlar!$D$5:$D$1504,"&lt;"&amp;DATE($C$3,5,1))</f>
        <v>0</v>
      </c>
    </row>
    <row r="15" customFormat="false" ht="15" hidden="false" customHeight="false" outlineLevel="0" collapsed="false">
      <c r="B15" s="27" t="s">
        <v>69</v>
      </c>
      <c r="C15" s="28" t="n">
        <f aca="false">COUNTIFS(Rezervasyonlar!$D$5:$D$1504,"&gt;="&amp;DATE($C$3,5,1),Rezervasyonlar!$D$5:$D$1504,"&lt;"&amp;DATE($C$3,6,1),Rezervasyonlar!$F$5:$F$1504,"&lt;&gt;İptal")</f>
        <v>0</v>
      </c>
      <c r="D15" s="28" t="n">
        <f aca="false">SUMIFS(Rezervasyonlar!$H$5:$H$1504,Rezervasyonlar!$D$5:$D$1504,"&gt;="&amp;DATE($C$3,5,1),Rezervasyonlar!$D$5:$D$1504,"&lt;"&amp;DATE($C$3,6,1),Rezervasyonlar!$F$5:$F$1504,"&lt;&gt;İptal")</f>
        <v>0</v>
      </c>
      <c r="E15" s="17" t="n">
        <f aca="false">SUMIFS(Rezervasyonlar!$I$5:$I$1504,Rezervasyonlar!$D$5:$D$1504,"&gt;="&amp;DATE($C$3,5,1),Rezervasyonlar!$D$5:$D$1504,"&lt;"&amp;DATE($C$3,6,1))</f>
        <v>0</v>
      </c>
    </row>
    <row r="16" customFormat="false" ht="15" hidden="false" customHeight="false" outlineLevel="0" collapsed="false">
      <c r="B16" s="29" t="s">
        <v>70</v>
      </c>
      <c r="C16" s="30" t="n">
        <f aca="false">COUNTIFS(Rezervasyonlar!$D$5:$D$1504,"&gt;="&amp;DATE($C$3,6,1),Rezervasyonlar!$D$5:$D$1504,"&lt;"&amp;DATE($C$3,7,1),Rezervasyonlar!$F$5:$F$1504,"&lt;&gt;İptal")</f>
        <v>0</v>
      </c>
      <c r="D16" s="30" t="n">
        <f aca="false">SUMIFS(Rezervasyonlar!$H$5:$H$1504,Rezervasyonlar!$D$5:$D$1504,"&gt;="&amp;DATE($C$3,6,1),Rezervasyonlar!$D$5:$D$1504,"&lt;"&amp;DATE($C$3,7,1),Rezervasyonlar!$F$5:$F$1504,"&lt;&gt;İptal")</f>
        <v>0</v>
      </c>
      <c r="E16" s="31" t="n">
        <f aca="false">SUMIFS(Rezervasyonlar!$I$5:$I$1504,Rezervasyonlar!$D$5:$D$1504,"&gt;="&amp;DATE($C$3,6,1),Rezervasyonlar!$D$5:$D$1504,"&lt;"&amp;DATE($C$3,7,1))</f>
        <v>0</v>
      </c>
    </row>
    <row r="17" customFormat="false" ht="15" hidden="false" customHeight="false" outlineLevel="0" collapsed="false">
      <c r="B17" s="27" t="s">
        <v>71</v>
      </c>
      <c r="C17" s="28" t="n">
        <f aca="false">COUNTIFS(Rezervasyonlar!$D$5:$D$1504,"&gt;="&amp;DATE($C$3,7,1),Rezervasyonlar!$D$5:$D$1504,"&lt;"&amp;DATE($C$3,8,1),Rezervasyonlar!$F$5:$F$1504,"&lt;&gt;İptal")</f>
        <v>0</v>
      </c>
      <c r="D17" s="28" t="n">
        <f aca="false">SUMIFS(Rezervasyonlar!$H$5:$H$1504,Rezervasyonlar!$D$5:$D$1504,"&gt;="&amp;DATE($C$3,7,1),Rezervasyonlar!$D$5:$D$1504,"&lt;"&amp;DATE($C$3,8,1),Rezervasyonlar!$F$5:$F$1504,"&lt;&gt;İptal")</f>
        <v>0</v>
      </c>
      <c r="E17" s="17" t="n">
        <f aca="false">SUMIFS(Rezervasyonlar!$I$5:$I$1504,Rezervasyonlar!$D$5:$D$1504,"&gt;="&amp;DATE($C$3,7,1),Rezervasyonlar!$D$5:$D$1504,"&lt;"&amp;DATE($C$3,8,1))</f>
        <v>0</v>
      </c>
    </row>
    <row r="18" customFormat="false" ht="15" hidden="false" customHeight="false" outlineLevel="0" collapsed="false">
      <c r="B18" s="29" t="s">
        <v>72</v>
      </c>
      <c r="C18" s="30" t="n">
        <f aca="false">COUNTIFS(Rezervasyonlar!$D$5:$D$1504,"&gt;="&amp;DATE($C$3,8,1),Rezervasyonlar!$D$5:$D$1504,"&lt;"&amp;DATE($C$3,9,1),Rezervasyonlar!$F$5:$F$1504,"&lt;&gt;İptal")</f>
        <v>1</v>
      </c>
      <c r="D18" s="30" t="n">
        <f aca="false">SUMIFS(Rezervasyonlar!$H$5:$H$1504,Rezervasyonlar!$D$5:$D$1504,"&gt;="&amp;DATE($C$3,8,1),Rezervasyonlar!$D$5:$D$1504,"&lt;"&amp;DATE($C$3,9,1),Rezervasyonlar!$F$5:$F$1504,"&lt;&gt;İptal")</f>
        <v>3</v>
      </c>
      <c r="E18" s="31" t="n">
        <f aca="false">SUMIFS(Rezervasyonlar!$I$5:$I$1504,Rezervasyonlar!$D$5:$D$1504,"&gt;="&amp;DATE($C$3,8,1),Rezervasyonlar!$D$5:$D$1504,"&lt;"&amp;DATE($C$3,9,1))</f>
        <v>12000</v>
      </c>
    </row>
    <row r="19" customFormat="false" ht="15" hidden="false" customHeight="false" outlineLevel="0" collapsed="false">
      <c r="B19" s="27" t="s">
        <v>73</v>
      </c>
      <c r="C19" s="28" t="n">
        <f aca="false">COUNTIFS(Rezervasyonlar!$D$5:$D$1504,"&gt;="&amp;DATE($C$3,9,1),Rezervasyonlar!$D$5:$D$1504,"&lt;"&amp;DATE($C$3,10,1),Rezervasyonlar!$F$5:$F$1504,"&lt;&gt;İptal")</f>
        <v>0</v>
      </c>
      <c r="D19" s="28" t="n">
        <f aca="false">SUMIFS(Rezervasyonlar!$H$5:$H$1504,Rezervasyonlar!$D$5:$D$1504,"&gt;="&amp;DATE($C$3,9,1),Rezervasyonlar!$D$5:$D$1504,"&lt;"&amp;DATE($C$3,10,1),Rezervasyonlar!$F$5:$F$1504,"&lt;&gt;İptal")</f>
        <v>0</v>
      </c>
      <c r="E19" s="17" t="n">
        <f aca="false">SUMIFS(Rezervasyonlar!$I$5:$I$1504,Rezervasyonlar!$D$5:$D$1504,"&gt;="&amp;DATE($C$3,9,1),Rezervasyonlar!$D$5:$D$1504,"&lt;"&amp;DATE($C$3,10,1))</f>
        <v>0</v>
      </c>
    </row>
    <row r="20" customFormat="false" ht="15" hidden="false" customHeight="false" outlineLevel="0" collapsed="false">
      <c r="B20" s="29" t="s">
        <v>74</v>
      </c>
      <c r="C20" s="30" t="n">
        <f aca="false">COUNTIFS(Rezervasyonlar!$D$5:$D$1504,"&gt;="&amp;DATE($C$3,10,1),Rezervasyonlar!$D$5:$D$1504,"&lt;"&amp;DATE($C$3,11,1),Rezervasyonlar!$F$5:$F$1504,"&lt;&gt;İptal")</f>
        <v>3</v>
      </c>
      <c r="D20" s="30" t="n">
        <f aca="false">SUMIFS(Rezervasyonlar!$H$5:$H$1504,Rezervasyonlar!$D$5:$D$1504,"&gt;="&amp;DATE($C$3,10,1),Rezervasyonlar!$D$5:$D$1504,"&lt;"&amp;DATE($C$3,11,1),Rezervasyonlar!$F$5:$F$1504,"&lt;&gt;İptal")</f>
        <v>6</v>
      </c>
      <c r="E20" s="31" t="n">
        <f aca="false">SUMIFS(Rezervasyonlar!$I$5:$I$1504,Rezervasyonlar!$D$5:$D$1504,"&gt;="&amp;DATE($C$3,10,1),Rezervasyonlar!$D$5:$D$1504,"&lt;"&amp;DATE($C$3,11,1))</f>
        <v>13500</v>
      </c>
    </row>
    <row r="21" customFormat="false" ht="15" hidden="false" customHeight="false" outlineLevel="0" collapsed="false">
      <c r="B21" s="27" t="s">
        <v>75</v>
      </c>
      <c r="C21" s="28" t="n">
        <f aca="false">COUNTIFS(Rezervasyonlar!$D$5:$D$1504,"&gt;="&amp;DATE($C$3,11,1),Rezervasyonlar!$D$5:$D$1504,"&lt;"&amp;DATE($C$3,12,1),Rezervasyonlar!$F$5:$F$1504,"&lt;&gt;İptal")</f>
        <v>0</v>
      </c>
      <c r="D21" s="28" t="n">
        <f aca="false">SUMIFS(Rezervasyonlar!$H$5:$H$1504,Rezervasyonlar!$D$5:$D$1504,"&gt;="&amp;DATE($C$3,11,1),Rezervasyonlar!$D$5:$D$1504,"&lt;"&amp;DATE($C$3,12,1),Rezervasyonlar!$F$5:$F$1504,"&lt;&gt;İptal")</f>
        <v>0</v>
      </c>
      <c r="E21" s="17" t="n">
        <f aca="false">SUMIFS(Rezervasyonlar!$I$5:$I$1504,Rezervasyonlar!$D$5:$D$1504,"&gt;="&amp;DATE($C$3,11,1),Rezervasyonlar!$D$5:$D$1504,"&lt;"&amp;DATE($C$3,12,1))</f>
        <v>0</v>
      </c>
    </row>
    <row r="22" customFormat="false" ht="15" hidden="false" customHeight="false" outlineLevel="0" collapsed="false">
      <c r="B22" s="29" t="s">
        <v>76</v>
      </c>
      <c r="C22" s="30" t="n">
        <f aca="false">COUNTIFS(Rezervasyonlar!$D$5:$D$1504,"&gt;="&amp;DATE($C$3,12,1),Rezervasyonlar!$D$5:$D$1504,"&lt;"&amp;DATE($C$3,13,1),Rezervasyonlar!$F$5:$F$1504,"&lt;&gt;İptal")</f>
        <v>0</v>
      </c>
      <c r="D22" s="30" t="n">
        <f aca="false">SUMIFS(Rezervasyonlar!$H$5:$H$1504,Rezervasyonlar!$D$5:$D$1504,"&gt;="&amp;DATE($C$3,12,1),Rezervasyonlar!$D$5:$D$1504,"&lt;"&amp;DATE($C$3,13,1),Rezervasyonlar!$F$5:$F$1504,"&lt;&gt;İptal")</f>
        <v>0</v>
      </c>
      <c r="E22" s="31" t="n">
        <f aca="false">SUMIFS(Rezervasyonlar!$I$5:$I$1504,Rezervasyonlar!$D$5:$D$1504,"&gt;="&amp;DATE($C$3,12,1),Rezervasyonlar!$D$5:$D$1504,"&lt;"&amp;DATE($C$3,13,1))</f>
        <v>0</v>
      </c>
    </row>
    <row r="23" customFormat="false" ht="15" hidden="false" customHeight="false" outlineLevel="0" collapsed="false">
      <c r="B23" s="32" t="s">
        <v>77</v>
      </c>
      <c r="C23" s="33" t="n">
        <f aca="false">SUM(C11:C22)</f>
        <v>4</v>
      </c>
      <c r="D23" s="33" t="n">
        <f aca="false">SUM(D11:D22)</f>
        <v>9</v>
      </c>
      <c r="E23" s="34" t="n">
        <f aca="false">SUM(E11:E22)</f>
        <v>25500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78</v>
      </c>
    </row>
    <row r="2" customFormat="false" ht="30" hidden="false" customHeight="true" outlineLevel="0" collapsed="false">
      <c r="B2" s="35" t="s">
        <v>79</v>
      </c>
      <c r="C2" s="35"/>
    </row>
    <row r="3" customFormat="false" ht="31.5" hidden="false" customHeight="true" outlineLevel="0" collapsed="false">
      <c r="B3" s="36" t="s">
        <v>80</v>
      </c>
      <c r="C3" s="36"/>
    </row>
    <row r="5" customFormat="false" ht="15" hidden="false" customHeight="false" outlineLevel="0" collapsed="false">
      <c r="B5" s="37" t="s">
        <v>81</v>
      </c>
      <c r="C5" s="37" t="s">
        <v>82</v>
      </c>
    </row>
    <row r="6" customFormat="false" ht="31.5" hidden="false" customHeight="true" outlineLevel="0" collapsed="false">
      <c r="B6" s="38" t="s">
        <v>83</v>
      </c>
      <c r="C6" s="39" t="s">
        <v>84</v>
      </c>
    </row>
    <row r="7" customFormat="false" ht="31.5" hidden="false" customHeight="true" outlineLevel="0" collapsed="false">
      <c r="B7" s="40" t="s">
        <v>51</v>
      </c>
      <c r="C7" s="41" t="s">
        <v>85</v>
      </c>
    </row>
    <row r="8" customFormat="false" ht="31.5" hidden="false" customHeight="true" outlineLevel="0" collapsed="false">
      <c r="B8" s="38" t="s">
        <v>86</v>
      </c>
      <c r="C8" s="39" t="s">
        <v>87</v>
      </c>
    </row>
    <row r="9" customFormat="false" ht="31.5" hidden="false" customHeight="true" outlineLevel="0" collapsed="false">
      <c r="B9" s="40" t="s">
        <v>88</v>
      </c>
      <c r="C9" s="41" t="s">
        <v>89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2026-10-04T22:00:02Z</dcterms:created>
  <dc:creator>openpyxl</dc:creator>
  <dc:description/>
  <dc:language>en-US</dc:language>
  <cp:lastModifiedBy/>
  <dcterms:modified xsi:type="dcterms:W3CDTF">2026-10-04T22:00:03Z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