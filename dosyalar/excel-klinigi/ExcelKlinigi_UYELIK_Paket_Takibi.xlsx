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şla" sheetId="1" state="visible" r:id="rId3"/>
    <sheet name="Üyelikler" sheetId="2" state="visible" r:id="rId4"/>
    <sheet name="Paketler" sheetId="3" state="visible" r:id="rId5"/>
    <sheet name="Özet" sheetId="4" state="visible" r:id="rId6"/>
    <sheet name="AI Komutları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<sst xmlns="http://schemas.openxmlformats.org/spreadsheetml/2006/main" count="98" uniqueCount="86">
  <si>
    <t xml:space="preserve">EXCEL KLİNİĞİ</t>
  </si>
  <si>
    <t xml:space="preserve">ÜYELİK  |  Üyelik ve paket takibi</t>
  </si>
  <si>
    <t xml:space="preserve">Spor salonu, kurs, stüdyo: kimin üyeliği sürüyor, kiminki bitmek üzere, kimin borcu var.</t>
  </si>
  <si>
    <t xml:space="preserve">NASIL KULLANILIR</t>
  </si>
  <si>
    <t xml:space="preserve">1. Paketler</t>
  </si>
  <si>
    <t xml:space="preserve">Paketlerini, süresini ve ücretini yaz.</t>
  </si>
  <si>
    <t xml:space="preserve">2. Üyelikler</t>
  </si>
  <si>
    <t xml:space="preserve">Her satışı üye, paket, başlangıç tarihi ve ödenen tutarla gir.</t>
  </si>
  <si>
    <t xml:space="preserve">3. Özet</t>
  </si>
  <si>
    <t xml:space="preserve">Süren üyelikler, bitmek üzere olanlar, borçlular ve aylık tahsilat.</t>
  </si>
  <si>
    <t xml:space="preserve">BİLMEN GEREKENLER</t>
  </si>
  <si>
    <t xml:space="preserve">Bitiş</t>
  </si>
  <si>
    <t xml:space="preserve">Başlangıç tarihine paketin süresi eklenir ve bir gün çıkarılır.</t>
  </si>
  <si>
    <t xml:space="preserve">Dondurma</t>
  </si>
  <si>
    <t xml:space="preserve">Dosya üyelik dondurmayı tutmaz; donduran üyenin başlangıç tarihini elle kaydır.</t>
  </si>
  <si>
    <t xml:space="preserve">Yenileme</t>
  </si>
  <si>
    <t xml:space="preserve">Yenileyen üye için yeni satır aç; eski satır Bitti olarak kalır.</t>
  </si>
  <si>
    <t xml:space="preserve">Kapasite</t>
  </si>
  <si>
    <t xml:space="preserve">Paketler: 20 satır; Üyelikler: 2000 satır.</t>
  </si>
  <si>
    <t xml:space="preserve">RENKLER</t>
  </si>
  <si>
    <t xml:space="preserve">Sarı hücre</t>
  </si>
  <si>
    <t xml:space="preserve">Senin dolduracağın hücre. İçindeki örnekleri silip kendi bilgini yaz.</t>
  </si>
  <si>
    <t xml:space="preserve">Beyaz hücre, açık başlık</t>
  </si>
  <si>
    <t xml:space="preserve">Formül. Değiştirme, kendiliğinden hesaplanır.</t>
  </si>
  <si>
    <t xml:space="preserve">Üyelikler</t>
  </si>
  <si>
    <t xml:space="preserve">Her satış bir satır. Üye paketini yenilerse yeni satır aç.</t>
  </si>
  <si>
    <t xml:space="preserve">Üye</t>
  </si>
  <si>
    <t xml:space="preserve">Telefon</t>
  </si>
  <si>
    <t xml:space="preserve">Paket</t>
  </si>
  <si>
    <t xml:space="preserve">Başlangıç</t>
  </si>
  <si>
    <t xml:space="preserve">Ödenen (₺)</t>
  </si>
  <si>
    <t xml:space="preserve">Ücret (₺)</t>
  </si>
  <si>
    <t xml:space="preserve">Borç (₺)</t>
  </si>
  <si>
    <t xml:space="preserve">Kalan gün</t>
  </si>
  <si>
    <t xml:space="preserve">Durum</t>
  </si>
  <si>
    <t xml:space="preserve">y</t>
  </si>
  <si>
    <t xml:space="preserve">Üye Alfa</t>
  </si>
  <si>
    <t xml:space="preserve">Aylık</t>
  </si>
  <si>
    <t xml:space="preserve">Üye Beta</t>
  </si>
  <si>
    <t xml:space="preserve">3 aylık</t>
  </si>
  <si>
    <t xml:space="preserve">Üye Gama</t>
  </si>
  <si>
    <t xml:space="preserve">Yıllık</t>
  </si>
  <si>
    <t xml:space="preserve">Üye Delta</t>
  </si>
  <si>
    <t xml:space="preserve">Üye Epsilon</t>
  </si>
  <si>
    <t xml:space="preserve">Paketler</t>
  </si>
  <si>
    <t xml:space="preserve">Sattığın paketleri, süresini ve ücretini yaz.</t>
  </si>
  <si>
    <t xml:space="preserve">Süre (ay)</t>
  </si>
  <si>
    <t xml:space="preserve">Süren üyelik</t>
  </si>
  <si>
    <t xml:space="preserve">Özet</t>
  </si>
  <si>
    <t xml:space="preserve">Yılı değiştir. Üyelik ve tahsilat, başlangıç ayına yazılır.</t>
  </si>
  <si>
    <t xml:space="preserve">Yıl</t>
  </si>
  <si>
    <t xml:space="preserve">7 gün içinde biten</t>
  </si>
  <si>
    <t xml:space="preserve">30 gün içinde biten</t>
  </si>
  <si>
    <t xml:space="preserve">Toplam borç</t>
  </si>
  <si>
    <t xml:space="preserve">Yıl tahsilatı</t>
  </si>
  <si>
    <t xml:space="preserve">Aylık tablo</t>
  </si>
  <si>
    <t xml:space="preserve">Üyeliği en yakın bitecek 10 kişi</t>
  </si>
  <si>
    <t xml:space="preserve">Ay</t>
  </si>
  <si>
    <t xml:space="preserve">Yeni üyelik</t>
  </si>
  <si>
    <t xml:space="preserve">Tahsilat (₺)</t>
  </si>
  <si>
    <t xml:space="preserve">Ocak</t>
  </si>
  <si>
    <t xml:space="preserve">Şubat</t>
  </si>
  <si>
    <t xml:space="preserve">Mart</t>
  </si>
  <si>
    <t xml:space="preserve">Nisan</t>
  </si>
  <si>
    <t xml:space="preserve">Mayıs</t>
  </si>
  <si>
    <t xml:space="preserve">Haziran</t>
  </si>
  <si>
    <t xml:space="preserve">Temmuz</t>
  </si>
  <si>
    <t xml:space="preserve">Ağustos</t>
  </si>
  <si>
    <t xml:space="preserve">Eylül</t>
  </si>
  <si>
    <t xml:space="preserve">Ekim</t>
  </si>
  <si>
    <t xml:space="preserve">Kasım</t>
  </si>
  <si>
    <t xml:space="preserve">Aralık</t>
  </si>
  <si>
    <t xml:space="preserve">TOPLAM</t>
  </si>
  <si>
    <t xml:space="preserve">Yapay Zeka Komutları</t>
  </si>
  <si>
    <t xml:space="preserve">İlgili sayfada başlık satırıyla birlikte kayıtlarını seç, kopyala, kullandığın yapay zeka asistanına yapıştır ve altına komutu ekle.</t>
  </si>
  <si>
    <t xml:space="preserve">Dikkat: Üye adlarını ve telefonlarını paylaşma. Yapay zekanın verdiği rakamları dosyadaki özet sayfasıyla karşılaştır.</t>
  </si>
  <si>
    <t xml:space="preserve">Ne için</t>
  </si>
  <si>
    <t xml:space="preserve">Komut (kopyala, yapıştır)</t>
  </si>
  <si>
    <t xml:space="preserve">Yenileme mesajı</t>
  </si>
  <si>
    <t xml:space="preserve">Üyeliği bu hafta biten üyeye gönderilecek kısa ve samimi bir yenileme mesajı yaz.</t>
  </si>
  <si>
    <t xml:space="preserve">Kayıp üye</t>
  </si>
  <si>
    <t xml:space="preserve">Üyeliği bitmiş ve yenilememiş üyeleri geri çağırmak için bir kampanya metni öner.</t>
  </si>
  <si>
    <t xml:space="preserve">Paket analizi</t>
  </si>
  <si>
    <t xml:space="preserve">[Paketler sayfası] Hangi paket daha çok tercih ediliyor? Fiyat ve süre açısından yorumla.</t>
  </si>
  <si>
    <t xml:space="preserve">Borç hatırlatma</t>
  </si>
  <si>
    <t xml:space="preserve">Ödemesi eksik üyeye gönderilecek kibar bir hatırlatma yaz.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</si>
</sst>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.mm\.yyyy"/>
    <numFmt numFmtId="166" formatCode="#,##0.00&quot; ₺&quot;"/>
    <numFmt numFmtId="167" formatCode="#,##0.00&quot; ₺&quot;;[RED]\-#,##0.00&quot; ₺&quot;;\-"/>
    <numFmt numFmtId="168" formatCode="#,##0;[RED]\-#,##0;\-"/>
    <numFmt numFmtId="169" formatCode="mm/dd/yy"/>
    <numFmt numFmtId="170" formatCode="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20"/>
      <color rgb="FF1F6F43"/>
      <name val="Arial"/>
      <family val="0"/>
      <charset val="1"/>
    </font>
    <font>
      <sz val="10"/>
      <color rgb="FF475467"/>
      <name val="Arial"/>
      <family val="0"/>
      <charset val="1"/>
    </font>
    <font>
      <b val="true"/>
      <sz val="10"/>
      <color rgb="FF1F6F43"/>
      <name val="Arial"/>
      <family val="0"/>
      <charset val="1"/>
    </font>
    <font>
      <b val="true"/>
      <sz val="10"/>
      <color rgb="FF1B1F23"/>
      <name val="Arial"/>
      <family val="0"/>
      <charset val="1"/>
    </font>
    <font>
      <sz val="10"/>
      <color rgb="FF1B1F23"/>
      <name val="Arial"/>
      <family val="0"/>
      <charset val="1"/>
    </font>
    <font>
      <b val="true"/>
      <sz val="16"/>
      <color rgb="FF1F6F43"/>
      <name val="Arial"/>
      <family val="0"/>
      <charset val="1"/>
    </font>
    <font>
      <i val="true"/>
      <sz val="9"/>
      <color rgb="FF47546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1F2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1B1F23"/>
      <name val="Arial"/>
      <family val="0"/>
      <charset val="1"/>
    </font>
    <font>
      <b val="true"/>
      <sz val="12"/>
      <color rgb="FFB42318"/>
      <name val="Arial"/>
      <family val="0"/>
      <charset val="1"/>
    </font>
    <font>
      <b val="true"/>
      <sz val="11"/>
      <color rgb="FF1F6F43"/>
      <name val="Arial"/>
      <family val="0"/>
      <charset val="1"/>
    </font>
    <font>
      <b val="true"/>
      <sz val="10"/>
      <color rgb="FFB4231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6F43"/>
        <bgColor rgb="FF3B8A5E"/>
      </patternFill>
    </fill>
    <fill>
      <patternFill patternType="solid">
        <fgColor rgb="FFE8F5EE"/>
        <bgColor rgb="FFF3F4F6"/>
      </patternFill>
    </fill>
    <fill>
      <patternFill patternType="solid">
        <fgColor rgb="FFFFF9DB"/>
        <bgColor rgb="FFFEF0C7"/>
      </patternFill>
    </fill>
    <fill>
      <patternFill patternType="solid">
        <fgColor rgb="FF3B8A5E"/>
        <bgColor rgb="FF1F6F43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E8F5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93370D"/>
      </font>
      <fill>
        <patternFill>
          <bgColor rgb="FFFEF0C7"/>
        </patternFill>
      </fill>
    </dxf>
    <dxf>
      <font>
        <name val="Arial"/>
        <charset val="1"/>
        <family val="0"/>
        <b val="1"/>
        <color rgb="FF667085"/>
      </font>
      <fill>
        <patternFill>
          <bgColor rgb="FFF3F4F6"/>
        </patternFill>
      </fill>
    </dxf>
    <dxf>
      <font>
        <name val="Arial"/>
        <charset val="1"/>
        <family val="0"/>
        <b val="1"/>
        <color rgb="FF1F6F43"/>
      </font>
      <fill>
        <patternFill>
          <bgColor rgb="FFE8F5EE"/>
        </patternFill>
      </fill>
    </dxf>
    <dxf>
      <font>
        <name val="Arial"/>
        <charset val="1"/>
        <family val="0"/>
        <b val="1"/>
        <color rgb="FFB42318"/>
      </font>
      <fill>
        <patternFill>
          <bgColor rgb="FFFDE2E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C0C0C0"/>
      <rgbColor rgb="FF808080"/>
      <rgbColor rgb="FF9999FF"/>
      <rgbColor rgb="FFB42318"/>
      <rgbColor rgb="FFFFF9DB"/>
      <rgbColor rgb="FFE8F5EE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EF0C7"/>
      <rgbColor rgb="FF99CCFF"/>
      <rgbColor rgb="FFFF99CC"/>
      <rgbColor rgb="FFCC99FF"/>
      <rgbColor rgb="FFFDE2E0"/>
      <rgbColor rgb="FF3366FF"/>
      <rgbColor rgb="FF33CCCC"/>
      <rgbColor rgb="FF99CC00"/>
      <rgbColor rgb="FFFFCC00"/>
      <rgbColor rgb="FFFF9900"/>
      <rgbColor rgb="FFFF6600"/>
      <rgbColor rgb="FF667085"/>
      <rgbColor rgb="FF969696"/>
      <rgbColor rgb="FF003366"/>
      <rgbColor rgb="FF3B8A5E"/>
      <rgbColor rgb="FF003300"/>
      <rgbColor rgb="FF333300"/>
      <rgbColor rgb="FF93370D"/>
      <rgbColor rgb="FF993366"/>
      <rgbColor rgb="FF475467"/>
      <rgbColor rgb="FF1B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2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88"/>
  </cols>
  <sheetData>
    <row r="2" customFormat="false" ht="24" hidden="false" customHeight="true" outlineLevel="0" collapsed="false">
      <c r="B2" s="1" t="s">
        <v>0</v>
      </c>
      <c r="C2" s="1"/>
    </row>
    <row r="3" customFormat="false" ht="36" hidden="false" customHeight="true" outlineLevel="0" collapsed="false">
      <c r="B3" s="2" t="s">
        <v>1</v>
      </c>
      <c r="C3" s="2"/>
    </row>
    <row r="4" customFormat="false" ht="15" hidden="false" customHeight="false" outlineLevel="0" collapsed="false">
      <c r="B4" s="3" t="s">
        <v>2</v>
      </c>
      <c r="C4" s="3"/>
    </row>
    <row r="6" customFormat="false" ht="19.5" hidden="false" customHeight="true" outlineLevel="0" collapsed="false">
      <c r="B6" s="4" t="s">
        <v>3</v>
      </c>
      <c r="C6" s="4"/>
    </row>
    <row r="7" customFormat="false" ht="18" hidden="false" customHeight="true" outlineLevel="0" collapsed="false">
      <c r="B7" s="5" t="s">
        <v>4</v>
      </c>
      <c r="C7" s="6" t="s">
        <v>5</v>
      </c>
    </row>
    <row r="8" customFormat="false" ht="18" hidden="false" customHeight="true" outlineLevel="0" collapsed="false">
      <c r="B8" s="5" t="s">
        <v>6</v>
      </c>
      <c r="C8" s="6" t="s">
        <v>7</v>
      </c>
    </row>
    <row r="9" customFormat="false" ht="18" hidden="false" customHeight="true" outlineLevel="0" collapsed="false">
      <c r="B9" s="5" t="s">
        <v>8</v>
      </c>
      <c r="C9" s="6" t="s">
        <v>9</v>
      </c>
    </row>
    <row r="11" customFormat="false" ht="19.5" hidden="false" customHeight="true" outlineLevel="0" collapsed="false">
      <c r="B11" s="4" t="s">
        <v>10</v>
      </c>
      <c r="C11" s="4"/>
    </row>
    <row r="12" customFormat="false" ht="18" hidden="false" customHeight="true" outlineLevel="0" collapsed="false">
      <c r="B12" s="5" t="s">
        <v>11</v>
      </c>
      <c r="C12" s="6" t="s">
        <v>12</v>
      </c>
    </row>
    <row r="13" customFormat="false" ht="18" hidden="false" customHeight="true" outlineLevel="0" collapsed="false">
      <c r="B13" s="5" t="s">
        <v>13</v>
      </c>
      <c r="C13" s="6" t="s">
        <v>14</v>
      </c>
    </row>
    <row r="14" customFormat="false" ht="18" hidden="false" customHeight="true" outlineLevel="0" collapsed="false">
      <c r="B14" s="5" t="s">
        <v>15</v>
      </c>
      <c r="C14" s="6" t="s">
        <v>16</v>
      </c>
    </row>
    <row r="15" customFormat="false" ht="18" hidden="false" customHeight="true" outlineLevel="0" collapsed="false">
      <c r="B15" s="5" t="s">
        <v>17</v>
      </c>
      <c r="C15" s="6" t="s">
        <v>18</v>
      </c>
    </row>
    <row r="17" customFormat="false" ht="19.5" hidden="false" customHeight="true" outlineLevel="0" collapsed="false">
      <c r="B17" s="4" t="s">
        <v>19</v>
      </c>
      <c r="C17" s="4"/>
    </row>
    <row r="18" customFormat="false" ht="18" hidden="false" customHeight="true" outlineLevel="0" collapsed="false">
      <c r="B18" s="7" t="s">
        <v>20</v>
      </c>
      <c r="C18" s="6" t="s">
        <v>21</v>
      </c>
    </row>
    <row r="19" customFormat="false" ht="18" hidden="false" customHeight="true" outlineLevel="0" collapsed="false">
      <c r="B19" s="5" t="s">
        <v>22</v>
      </c>
      <c r="C19" s="6" t="s">
        <v>23</v>
      </c>
    </row>
  </sheetData>
  <mergeCells count="6">
    <mergeCell ref="B2:C2"/>
    <mergeCell ref="B3:C3"/>
    <mergeCell ref="B4:C4"/>
    <mergeCell ref="B6:C6"/>
    <mergeCell ref="B11:C11"/>
    <mergeCell ref="B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K2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0" min="2" style="0" width="14"/>
    <col collapsed="false" customWidth="true" hidden="true" outlineLevel="0" max="11" min="11" style="0" width="14"/>
  </cols>
  <sheetData>
    <row r="1" customFormat="false" ht="19.7" hidden="false" customHeight="false" outlineLevel="0" collapsed="false">
      <c r="A1" s="8" t="s">
        <v>24</v>
      </c>
    </row>
    <row r="2" customFormat="false" ht="15" hidden="false" customHeight="false" outlineLevel="0" collapsed="false">
      <c r="A2" s="9" t="s">
        <v>25</v>
      </c>
    </row>
    <row r="4" customFormat="false" ht="27.75" hidden="false" customHeight="true" outlineLevel="0" collapsed="false">
      <c r="A4" s="10" t="s">
        <v>26</v>
      </c>
      <c r="B4" s="10" t="s">
        <v>27</v>
      </c>
      <c r="C4" s="10" t="s">
        <v>28</v>
      </c>
      <c r="D4" s="10" t="s">
        <v>29</v>
      </c>
      <c r="E4" s="10" t="s">
        <v>30</v>
      </c>
      <c r="F4" s="11" t="s">
        <v>11</v>
      </c>
      <c r="G4" s="11" t="s">
        <v>31</v>
      </c>
      <c r="H4" s="11" t="s">
        <v>32</v>
      </c>
      <c r="I4" s="11" t="s">
        <v>33</v>
      </c>
      <c r="J4" s="11" t="s">
        <v>34</v>
      </c>
      <c r="K4" s="11" t="s">
        <v>35</v>
      </c>
    </row>
    <row r="5" customFormat="false" ht="15" hidden="false" customHeight="false" outlineLevel="0" collapsed="false">
      <c r="A5" s="12" t="s">
        <v>36</v>
      </c>
      <c r="B5" s="12"/>
      <c r="C5" s="13" t="s">
        <v>37</v>
      </c>
      <c r="D5" s="14" t="n">
        <v>46272</v>
      </c>
      <c r="E5" s="15" t="n">
        <v>3000</v>
      </c>
      <c r="F5" s="16" t="n">
        <f aca="false">IF(OR(C5="",D5=""),"",EDATE(D5,IFERROR(INDEX(Paketler!$B$5:$B$24,MATCH(C5,Paketler!$A$5:$A$24,0)),0))-1)</f>
        <v>46301</v>
      </c>
      <c r="G5" s="17" t="n">
        <f aca="false">IF(F5="","",IFERROR(INDEX(Paketler!$C$5:$C$24,MATCH(C5,Paketler!$A$5:$A$24,0)),0))</f>
        <v>3000</v>
      </c>
      <c r="H5" s="17" t="n">
        <f aca="false">IF(F5="","",G5-E5)</f>
        <v>0</v>
      </c>
      <c r="I5" s="18" t="n">
        <f aca="true">IF(F5="","",F5-TODAY())</f>
        <v>2</v>
      </c>
      <c r="J5" s="19" t="str">
        <f aca="true">IF(F5="","",IF(TODAY()&lt;D5,"Başlamadı",IF(TODAY()&gt;F5,"Bitti",IF(F5-TODAY()&lt;=7,"Bitiyor","Aktif"))))</f>
        <v>Bitiyor</v>
      </c>
      <c r="K5" s="20" t="n">
        <f aca="false">IF(OR(J5="Aktif",J5="Bitiyor"),F5+ROW()/1000000,"")</f>
        <v>46301.000005</v>
      </c>
    </row>
    <row r="6" customFormat="false" ht="15" hidden="false" customHeight="false" outlineLevel="0" collapsed="false">
      <c r="A6" s="12" t="s">
        <v>38</v>
      </c>
      <c r="B6" s="12"/>
      <c r="C6" s="13" t="s">
        <v>39</v>
      </c>
      <c r="D6" s="14" t="n">
        <v>46259</v>
      </c>
      <c r="E6" s="15" t="n">
        <v>5000</v>
      </c>
      <c r="F6" s="16" t="n">
        <f aca="false">IF(OR(C6="",D6=""),"",EDATE(D6,IFERROR(INDEX(Paketler!$B$5:$B$24,MATCH(C6,Paketler!$A$5:$A$24,0)),0))-1)</f>
        <v>46350</v>
      </c>
      <c r="G6" s="17" t="n">
        <f aca="false">IF(F6="","",IFERROR(INDEX(Paketler!$C$5:$C$24,MATCH(C6,Paketler!$A$5:$A$24,0)),0))</f>
        <v>8000</v>
      </c>
      <c r="H6" s="17" t="n">
        <f aca="false">IF(F6="","",G6-E6)</f>
        <v>3000</v>
      </c>
      <c r="I6" s="18" t="n">
        <f aca="true">IF(F6="","",F6-TODAY())</f>
        <v>51</v>
      </c>
      <c r="J6" s="19" t="str">
        <f aca="true">IF(F6="","",IF(TODAY()&lt;D6,"Başlamadı",IF(TODAY()&gt;F6,"Bitti",IF(F6-TODAY()&lt;=7,"Bitiyor","Aktif"))))</f>
        <v>Aktif</v>
      </c>
      <c r="K6" s="20" t="n">
        <f aca="false">IF(OR(J6="Aktif",J6="Bitiyor"),F6+ROW()/1000000,"")</f>
        <v>46350.000006</v>
      </c>
    </row>
    <row r="7" customFormat="false" ht="15" hidden="false" customHeight="false" outlineLevel="0" collapsed="false">
      <c r="A7" s="12" t="s">
        <v>40</v>
      </c>
      <c r="B7" s="12"/>
      <c r="C7" s="13" t="s">
        <v>41</v>
      </c>
      <c r="D7" s="14" t="n">
        <v>46054</v>
      </c>
      <c r="E7" s="15" t="n">
        <v>27000</v>
      </c>
      <c r="F7" s="16" t="n">
        <f aca="false">IF(OR(C7="",D7=""),"",EDATE(D7,IFERROR(INDEX(Paketler!$B$5:$B$24,MATCH(C7,Paketler!$A$5:$A$24,0)),0))-1)</f>
        <v>46418</v>
      </c>
      <c r="G7" s="17" t="n">
        <f aca="false">IF(F7="","",IFERROR(INDEX(Paketler!$C$5:$C$24,MATCH(C7,Paketler!$A$5:$A$24,0)),0))</f>
        <v>27000</v>
      </c>
      <c r="H7" s="17" t="n">
        <f aca="false">IF(F7="","",G7-E7)</f>
        <v>0</v>
      </c>
      <c r="I7" s="18" t="n">
        <f aca="true">IF(F7="","",F7-TODAY())</f>
        <v>119</v>
      </c>
      <c r="J7" s="19" t="str">
        <f aca="true">IF(F7="","",IF(TODAY()&lt;D7,"Başlamadı",IF(TODAY()&gt;F7,"Bitti",IF(F7-TODAY()&lt;=7,"Bitiyor","Aktif"))))</f>
        <v>Aktif</v>
      </c>
      <c r="K7" s="20" t="n">
        <f aca="false">IF(OR(J7="Aktif",J7="Bitiyor"),F7+ROW()/1000000,"")</f>
        <v>46418.000007</v>
      </c>
    </row>
    <row r="8" customFormat="false" ht="15" hidden="false" customHeight="false" outlineLevel="0" collapsed="false">
      <c r="A8" s="12" t="s">
        <v>42</v>
      </c>
      <c r="B8" s="12"/>
      <c r="C8" s="13" t="s">
        <v>37</v>
      </c>
      <c r="D8" s="14" t="n">
        <v>46239</v>
      </c>
      <c r="E8" s="15" t="n">
        <v>3000</v>
      </c>
      <c r="F8" s="16" t="n">
        <f aca="false">IF(OR(C8="",D8=""),"",EDATE(D8,IFERROR(INDEX(Paketler!$B$5:$B$24,MATCH(C8,Paketler!$A$5:$A$24,0)),0))-1)</f>
        <v>46269</v>
      </c>
      <c r="G8" s="17" t="n">
        <f aca="false">IF(F8="","",IFERROR(INDEX(Paketler!$C$5:$C$24,MATCH(C8,Paketler!$A$5:$A$24,0)),0))</f>
        <v>3000</v>
      </c>
      <c r="H8" s="17" t="n">
        <f aca="false">IF(F8="","",G8-E8)</f>
        <v>0</v>
      </c>
      <c r="I8" s="18" t="n">
        <f aca="true">IF(F8="","",F8-TODAY())</f>
        <v>-30</v>
      </c>
      <c r="J8" s="19" t="str">
        <f aca="true">IF(F8="","",IF(TODAY()&lt;D8,"Başlamadı",IF(TODAY()&gt;F8,"Bitti",IF(F8-TODAY()&lt;=7,"Bitiyor","Aktif"))))</f>
        <v>Bitti</v>
      </c>
      <c r="K8" s="19" t="str">
        <f aca="false">IF(OR(J8="Aktif",J8="Bitiyor"),F8+ROW()/1000000,"")</f>
        <v/>
      </c>
    </row>
    <row r="9" customFormat="false" ht="15" hidden="false" customHeight="false" outlineLevel="0" collapsed="false">
      <c r="A9" s="12" t="s">
        <v>43</v>
      </c>
      <c r="B9" s="12"/>
      <c r="C9" s="13" t="s">
        <v>37</v>
      </c>
      <c r="D9" s="14" t="n">
        <v>46302</v>
      </c>
      <c r="E9" s="15" t="n">
        <v>0</v>
      </c>
      <c r="F9" s="16" t="n">
        <f aca="false">IF(OR(C9="",D9=""),"",EDATE(D9,IFERROR(INDEX(Paketler!$B$5:$B$24,MATCH(C9,Paketler!$A$5:$A$24,0)),0))-1)</f>
        <v>46332</v>
      </c>
      <c r="G9" s="17" t="n">
        <f aca="false">IF(F9="","",IFERROR(INDEX(Paketler!$C$5:$C$24,MATCH(C9,Paketler!$A$5:$A$24,0)),0))</f>
        <v>3000</v>
      </c>
      <c r="H9" s="17" t="n">
        <f aca="false">IF(F9="","",G9-E9)</f>
        <v>3000</v>
      </c>
      <c r="I9" s="18" t="n">
        <f aca="true">IF(F9="","",F9-TODAY())</f>
        <v>33</v>
      </c>
      <c r="J9" s="19" t="str">
        <f aca="true">IF(F9="","",IF(TODAY()&lt;D9,"Başlamadı",IF(TODAY()&gt;F9,"Bitti",IF(F9-TODAY()&lt;=7,"Bitiyor","Aktif"))))</f>
        <v>Başlamadı</v>
      </c>
      <c r="K9" s="19" t="str">
        <f aca="false">IF(OR(J9="Aktif",J9="Bitiyor"),F9+ROW()/1000000,"")</f>
        <v/>
      </c>
    </row>
    <row r="10" customFormat="false" ht="15" hidden="false" customHeight="false" outlineLevel="0" collapsed="false">
      <c r="A10" s="12"/>
      <c r="B10" s="12"/>
      <c r="C10" s="13"/>
      <c r="D10" s="14"/>
      <c r="E10" s="15"/>
      <c r="F10" s="16" t="str">
        <f aca="false">IF(OR(C10="",D10=""),"",EDATE(D10,IFERROR(INDEX(Paketler!$B$5:$B$24,MATCH(C10,Paketler!$A$5:$A$24,0)),0))-1)</f>
        <v/>
      </c>
      <c r="G10" s="17" t="str">
        <f aca="false">IF(F10="","",IFERROR(INDEX(Paketler!$C$5:$C$24,MATCH(C10,Paketler!$A$5:$A$24,0)),0))</f>
        <v/>
      </c>
      <c r="H10" s="17" t="str">
        <f aca="false">IF(F10="","",G10-E10)</f>
        <v/>
      </c>
      <c r="I10" s="18" t="str">
        <f aca="true">IF(F10="","",F10-TODAY())</f>
        <v/>
      </c>
      <c r="J10" s="19" t="str">
        <f aca="true">IF(F10="","",IF(TODAY()&lt;D10,"Başlamadı",IF(TODAY()&gt;F10,"Bitti",IF(F10-TODAY()&lt;=7,"Bitiyor","Aktif"))))</f>
        <v/>
      </c>
      <c r="K10" s="19" t="str">
        <f aca="false">IF(OR(J10="Aktif",J10="Bitiyor"),F10+ROW()/1000000,"")</f>
        <v/>
      </c>
    </row>
    <row r="11" customFormat="false" ht="15" hidden="false" customHeight="false" outlineLevel="0" collapsed="false">
      <c r="A11" s="12"/>
      <c r="B11" s="12"/>
      <c r="C11" s="13"/>
      <c r="D11" s="14"/>
      <c r="E11" s="15"/>
      <c r="F11" s="16" t="str">
        <f aca="false">IF(OR(C11="",D11=""),"",EDATE(D11,IFERROR(INDEX(Paketler!$B$5:$B$24,MATCH(C11,Paketler!$A$5:$A$24,0)),0))-1)</f>
        <v/>
      </c>
      <c r="G11" s="17" t="str">
        <f aca="false">IF(F11="","",IFERROR(INDEX(Paketler!$C$5:$C$24,MATCH(C11,Paketler!$A$5:$A$24,0)),0))</f>
        <v/>
      </c>
      <c r="H11" s="17" t="str">
        <f aca="false">IF(F11="","",G11-E11)</f>
        <v/>
      </c>
      <c r="I11" s="18" t="str">
        <f aca="true">IF(F11="","",F11-TODAY())</f>
        <v/>
      </c>
      <c r="J11" s="19" t="str">
        <f aca="true">IF(F11="","",IF(TODAY()&lt;D11,"Başlamadı",IF(TODAY()&gt;F11,"Bitti",IF(F11-TODAY()&lt;=7,"Bitiyor","Aktif"))))</f>
        <v/>
      </c>
      <c r="K11" s="19" t="str">
        <f aca="false">IF(OR(J11="Aktif",J11="Bitiyor"),F11+ROW()/1000000,"")</f>
        <v/>
      </c>
    </row>
    <row r="12" customFormat="false" ht="15" hidden="false" customHeight="false" outlineLevel="0" collapsed="false">
      <c r="A12" s="12"/>
      <c r="B12" s="12"/>
      <c r="C12" s="13"/>
      <c r="D12" s="14"/>
      <c r="E12" s="15"/>
      <c r="F12" s="16" t="str">
        <f aca="false">IF(OR(C12="",D12=""),"",EDATE(D12,IFERROR(INDEX(Paketler!$B$5:$B$24,MATCH(C12,Paketler!$A$5:$A$24,0)),0))-1)</f>
        <v/>
      </c>
      <c r="G12" s="17" t="str">
        <f aca="false">IF(F12="","",IFERROR(INDEX(Paketler!$C$5:$C$24,MATCH(C12,Paketler!$A$5:$A$24,0)),0))</f>
        <v/>
      </c>
      <c r="H12" s="17" t="str">
        <f aca="false">IF(F12="","",G12-E12)</f>
        <v/>
      </c>
      <c r="I12" s="18" t="str">
        <f aca="true">IF(F12="","",F12-TODAY())</f>
        <v/>
      </c>
      <c r="J12" s="19" t="str">
        <f aca="true">IF(F12="","",IF(TODAY()&lt;D12,"Başlamadı",IF(TODAY()&gt;F12,"Bitti",IF(F12-TODAY()&lt;=7,"Bitiyor","Aktif"))))</f>
        <v/>
      </c>
      <c r="K12" s="19" t="str">
        <f aca="false">IF(OR(J12="Aktif",J12="Bitiyor"),F12+ROW()/1000000,"")</f>
        <v/>
      </c>
    </row>
    <row r="13" customFormat="false" ht="15" hidden="false" customHeight="false" outlineLevel="0" collapsed="false">
      <c r="A13" s="12"/>
      <c r="B13" s="12"/>
      <c r="C13" s="13"/>
      <c r="D13" s="14"/>
      <c r="E13" s="15"/>
      <c r="F13" s="16" t="str">
        <f aca="false">IF(OR(C13="",D13=""),"",EDATE(D13,IFERROR(INDEX(Paketler!$B$5:$B$24,MATCH(C13,Paketler!$A$5:$A$24,0)),0))-1)</f>
        <v/>
      </c>
      <c r="G13" s="17" t="str">
        <f aca="false">IF(F13="","",IFERROR(INDEX(Paketler!$C$5:$C$24,MATCH(C13,Paketler!$A$5:$A$24,0)),0))</f>
        <v/>
      </c>
      <c r="H13" s="17" t="str">
        <f aca="false">IF(F13="","",G13-E13)</f>
        <v/>
      </c>
      <c r="I13" s="18" t="str">
        <f aca="true">IF(F13="","",F13-TODAY())</f>
        <v/>
      </c>
      <c r="J13" s="19" t="str">
        <f aca="true">IF(F13="","",IF(TODAY()&lt;D13,"Başlamadı",IF(TODAY()&gt;F13,"Bitti",IF(F13-TODAY()&lt;=7,"Bitiyor","Aktif"))))</f>
        <v/>
      </c>
      <c r="K13" s="19" t="str">
        <f aca="false">IF(OR(J13="Aktif",J13="Bitiyor"),F13+ROW()/1000000,"")</f>
        <v/>
      </c>
    </row>
    <row r="14" customFormat="false" ht="15" hidden="false" customHeight="false" outlineLevel="0" collapsed="false">
      <c r="A14" s="12"/>
      <c r="B14" s="12"/>
      <c r="C14" s="13"/>
      <c r="D14" s="14"/>
      <c r="E14" s="15"/>
      <c r="F14" s="16" t="str">
        <f aca="false">IF(OR(C14="",D14=""),"",EDATE(D14,IFERROR(INDEX(Paketler!$B$5:$B$24,MATCH(C14,Paketler!$A$5:$A$24,0)),0))-1)</f>
        <v/>
      </c>
      <c r="G14" s="17" t="str">
        <f aca="false">IF(F14="","",IFERROR(INDEX(Paketler!$C$5:$C$24,MATCH(C14,Paketler!$A$5:$A$24,0)),0))</f>
        <v/>
      </c>
      <c r="H14" s="17" t="str">
        <f aca="false">IF(F14="","",G14-E14)</f>
        <v/>
      </c>
      <c r="I14" s="18" t="str">
        <f aca="true">IF(F14="","",F14-TODAY())</f>
        <v/>
      </c>
      <c r="J14" s="19" t="str">
        <f aca="true">IF(F14="","",IF(TODAY()&lt;D14,"Başlamadı",IF(TODAY()&gt;F14,"Bitti",IF(F14-TODAY()&lt;=7,"Bitiyor","Aktif"))))</f>
        <v/>
      </c>
      <c r="K14" s="19" t="str">
        <f aca="false">IF(OR(J14="Aktif",J14="Bitiyor"),F14+ROW()/1000000,"")</f>
        <v/>
      </c>
    </row>
    <row r="15" customFormat="false" ht="15" hidden="false" customHeight="false" outlineLevel="0" collapsed="false">
      <c r="A15" s="12"/>
      <c r="B15" s="12"/>
      <c r="C15" s="13"/>
      <c r="D15" s="14"/>
      <c r="E15" s="15"/>
      <c r="F15" s="16" t="str">
        <f aca="false">IF(OR(C15="",D15=""),"",EDATE(D15,IFERROR(INDEX(Paketler!$B$5:$B$24,MATCH(C15,Paketler!$A$5:$A$24,0)),0))-1)</f>
        <v/>
      </c>
      <c r="G15" s="17" t="str">
        <f aca="false">IF(F15="","",IFERROR(INDEX(Paketler!$C$5:$C$24,MATCH(C15,Paketler!$A$5:$A$24,0)),0))</f>
        <v/>
      </c>
      <c r="H15" s="17" t="str">
        <f aca="false">IF(F15="","",G15-E15)</f>
        <v/>
      </c>
      <c r="I15" s="18" t="str">
        <f aca="true">IF(F15="","",F15-TODAY())</f>
        <v/>
      </c>
      <c r="J15" s="19" t="str">
        <f aca="true">IF(F15="","",IF(TODAY()&lt;D15,"Başlamadı",IF(TODAY()&gt;F15,"Bitti",IF(F15-TODAY()&lt;=7,"Bitiyor","Aktif"))))</f>
        <v/>
      </c>
      <c r="K15" s="19" t="str">
        <f aca="false">IF(OR(J15="Aktif",J15="Bitiyor"),F15+ROW()/1000000,"")</f>
        <v/>
      </c>
    </row>
    <row r="16" customFormat="false" ht="15" hidden="false" customHeight="false" outlineLevel="0" collapsed="false">
      <c r="A16" s="12"/>
      <c r="B16" s="12"/>
      <c r="C16" s="13"/>
      <c r="D16" s="14"/>
      <c r="E16" s="15"/>
      <c r="F16" s="16" t="str">
        <f aca="false">IF(OR(C16="",D16=""),"",EDATE(D16,IFERROR(INDEX(Paketler!$B$5:$B$24,MATCH(C16,Paketler!$A$5:$A$24,0)),0))-1)</f>
        <v/>
      </c>
      <c r="G16" s="17" t="str">
        <f aca="false">IF(F16="","",IFERROR(INDEX(Paketler!$C$5:$C$24,MATCH(C16,Paketler!$A$5:$A$24,0)),0))</f>
        <v/>
      </c>
      <c r="H16" s="17" t="str">
        <f aca="false">IF(F16="","",G16-E16)</f>
        <v/>
      </c>
      <c r="I16" s="18" t="str">
        <f aca="true">IF(F16="","",F16-TODAY())</f>
        <v/>
      </c>
      <c r="J16" s="19" t="str">
        <f aca="true">IF(F16="","",IF(TODAY()&lt;D16,"Başlamadı",IF(TODAY()&gt;F16,"Bitti",IF(F16-TODAY()&lt;=7,"Bitiyor","Aktif"))))</f>
        <v/>
      </c>
      <c r="K16" s="19" t="str">
        <f aca="false">IF(OR(J16="Aktif",J16="Bitiyor"),F16+ROW()/1000000,"")</f>
        <v/>
      </c>
    </row>
    <row r="17" customFormat="false" ht="15" hidden="false" customHeight="false" outlineLevel="0" collapsed="false">
      <c r="A17" s="12"/>
      <c r="B17" s="12"/>
      <c r="C17" s="13"/>
      <c r="D17" s="14"/>
      <c r="E17" s="15"/>
      <c r="F17" s="16" t="str">
        <f aca="false">IF(OR(C17="",D17=""),"",EDATE(D17,IFERROR(INDEX(Paketler!$B$5:$B$24,MATCH(C17,Paketler!$A$5:$A$24,0)),0))-1)</f>
        <v/>
      </c>
      <c r="G17" s="17" t="str">
        <f aca="false">IF(F17="","",IFERROR(INDEX(Paketler!$C$5:$C$24,MATCH(C17,Paketler!$A$5:$A$24,0)),0))</f>
        <v/>
      </c>
      <c r="H17" s="17" t="str">
        <f aca="false">IF(F17="","",G17-E17)</f>
        <v/>
      </c>
      <c r="I17" s="18" t="str">
        <f aca="true">IF(F17="","",F17-TODAY())</f>
        <v/>
      </c>
      <c r="J17" s="19" t="str">
        <f aca="true">IF(F17="","",IF(TODAY()&lt;D17,"Başlamadı",IF(TODAY()&gt;F17,"Bitti",IF(F17-TODAY()&lt;=7,"Bitiyor","Aktif"))))</f>
        <v/>
      </c>
      <c r="K17" s="19" t="str">
        <f aca="false">IF(OR(J17="Aktif",J17="Bitiyor"),F17+ROW()/1000000,"")</f>
        <v/>
      </c>
    </row>
    <row r="18" customFormat="false" ht="15" hidden="false" customHeight="false" outlineLevel="0" collapsed="false">
      <c r="A18" s="12"/>
      <c r="B18" s="12"/>
      <c r="C18" s="13"/>
      <c r="D18" s="14"/>
      <c r="E18" s="15"/>
      <c r="F18" s="16" t="str">
        <f aca="false">IF(OR(C18="",D18=""),"",EDATE(D18,IFERROR(INDEX(Paketler!$B$5:$B$24,MATCH(C18,Paketler!$A$5:$A$24,0)),0))-1)</f>
        <v/>
      </c>
      <c r="G18" s="17" t="str">
        <f aca="false">IF(F18="","",IFERROR(INDEX(Paketler!$C$5:$C$24,MATCH(C18,Paketler!$A$5:$A$24,0)),0))</f>
        <v/>
      </c>
      <c r="H18" s="17" t="str">
        <f aca="false">IF(F18="","",G18-E18)</f>
        <v/>
      </c>
      <c r="I18" s="18" t="str">
        <f aca="true">IF(F18="","",F18-TODAY())</f>
        <v/>
      </c>
      <c r="J18" s="19" t="str">
        <f aca="true">IF(F18="","",IF(TODAY()&lt;D18,"Başlamadı",IF(TODAY()&gt;F18,"Bitti",IF(F18-TODAY()&lt;=7,"Bitiyor","Aktif"))))</f>
        <v/>
      </c>
      <c r="K18" s="19" t="str">
        <f aca="false">IF(OR(J18="Aktif",J18="Bitiyor"),F18+ROW()/1000000,"")</f>
        <v/>
      </c>
    </row>
    <row r="19" customFormat="false" ht="15" hidden="false" customHeight="false" outlineLevel="0" collapsed="false">
      <c r="A19" s="12"/>
      <c r="B19" s="12"/>
      <c r="C19" s="13"/>
      <c r="D19" s="14"/>
      <c r="E19" s="15"/>
      <c r="F19" s="16" t="str">
        <f aca="false">IF(OR(C19="",D19=""),"",EDATE(D19,IFERROR(INDEX(Paketler!$B$5:$B$24,MATCH(C19,Paketler!$A$5:$A$24,0)),0))-1)</f>
        <v/>
      </c>
      <c r="G19" s="17" t="str">
        <f aca="false">IF(F19="","",IFERROR(INDEX(Paketler!$C$5:$C$24,MATCH(C19,Paketler!$A$5:$A$24,0)),0))</f>
        <v/>
      </c>
      <c r="H19" s="17" t="str">
        <f aca="false">IF(F19="","",G19-E19)</f>
        <v/>
      </c>
      <c r="I19" s="18" t="str">
        <f aca="true">IF(F19="","",F19-TODAY())</f>
        <v/>
      </c>
      <c r="J19" s="19" t="str">
        <f aca="true">IF(F19="","",IF(TODAY()&lt;D19,"Başlamadı",IF(TODAY()&gt;F19,"Bitti",IF(F19-TODAY()&lt;=7,"Bitiyor","Aktif"))))</f>
        <v/>
      </c>
      <c r="K19" s="19" t="str">
        <f aca="false">IF(OR(J19="Aktif",J19="Bitiyor"),F19+ROW()/1000000,"")</f>
        <v/>
      </c>
    </row>
    <row r="20" customFormat="false" ht="15" hidden="false" customHeight="false" outlineLevel="0" collapsed="false">
      <c r="A20" s="12"/>
      <c r="B20" s="12"/>
      <c r="C20" s="13"/>
      <c r="D20" s="14"/>
      <c r="E20" s="15"/>
      <c r="F20" s="16" t="str">
        <f aca="false">IF(OR(C20="",D20=""),"",EDATE(D20,IFERROR(INDEX(Paketler!$B$5:$B$24,MATCH(C20,Paketler!$A$5:$A$24,0)),0))-1)</f>
        <v/>
      </c>
      <c r="G20" s="17" t="str">
        <f aca="false">IF(F20="","",IFERROR(INDEX(Paketler!$C$5:$C$24,MATCH(C20,Paketler!$A$5:$A$24,0)),0))</f>
        <v/>
      </c>
      <c r="H20" s="17" t="str">
        <f aca="false">IF(F20="","",G20-E20)</f>
        <v/>
      </c>
      <c r="I20" s="18" t="str">
        <f aca="true">IF(F20="","",F20-TODAY())</f>
        <v/>
      </c>
      <c r="J20" s="19" t="str">
        <f aca="true">IF(F20="","",IF(TODAY()&lt;D20,"Başlamadı",IF(TODAY()&gt;F20,"Bitti",IF(F20-TODAY()&lt;=7,"Bitiyor","Aktif"))))</f>
        <v/>
      </c>
      <c r="K20" s="19" t="str">
        <f aca="false">IF(OR(J20="Aktif",J20="Bitiyor"),F20+ROW()/1000000,"")</f>
        <v/>
      </c>
    </row>
    <row r="21" customFormat="false" ht="15" hidden="false" customHeight="false" outlineLevel="0" collapsed="false">
      <c r="A21" s="12"/>
      <c r="B21" s="12"/>
      <c r="C21" s="13"/>
      <c r="D21" s="14"/>
      <c r="E21" s="15"/>
      <c r="F21" s="16" t="str">
        <f aca="false">IF(OR(C21="",D21=""),"",EDATE(D21,IFERROR(INDEX(Paketler!$B$5:$B$24,MATCH(C21,Paketler!$A$5:$A$24,0)),0))-1)</f>
        <v/>
      </c>
      <c r="G21" s="17" t="str">
        <f aca="false">IF(F21="","",IFERROR(INDEX(Paketler!$C$5:$C$24,MATCH(C21,Paketler!$A$5:$A$24,0)),0))</f>
        <v/>
      </c>
      <c r="H21" s="17" t="str">
        <f aca="false">IF(F21="","",G21-E21)</f>
        <v/>
      </c>
      <c r="I21" s="18" t="str">
        <f aca="true">IF(F21="","",F21-TODAY())</f>
        <v/>
      </c>
      <c r="J21" s="19" t="str">
        <f aca="true">IF(F21="","",IF(TODAY()&lt;D21,"Başlamadı",IF(TODAY()&gt;F21,"Bitti",IF(F21-TODAY()&lt;=7,"Bitiyor","Aktif"))))</f>
        <v/>
      </c>
      <c r="K21" s="19" t="str">
        <f aca="false">IF(OR(J21="Aktif",J21="Bitiyor"),F21+ROW()/1000000,"")</f>
        <v/>
      </c>
    </row>
    <row r="22" customFormat="false" ht="15" hidden="false" customHeight="false" outlineLevel="0" collapsed="false">
      <c r="A22" s="12"/>
      <c r="B22" s="12"/>
      <c r="C22" s="13"/>
      <c r="D22" s="14"/>
      <c r="E22" s="15"/>
      <c r="F22" s="16" t="str">
        <f aca="false">IF(OR(C22="",D22=""),"",EDATE(D22,IFERROR(INDEX(Paketler!$B$5:$B$24,MATCH(C22,Paketler!$A$5:$A$24,0)),0))-1)</f>
        <v/>
      </c>
      <c r="G22" s="17" t="str">
        <f aca="false">IF(F22="","",IFERROR(INDEX(Paketler!$C$5:$C$24,MATCH(C22,Paketler!$A$5:$A$24,0)),0))</f>
        <v/>
      </c>
      <c r="H22" s="17" t="str">
        <f aca="false">IF(F22="","",G22-E22)</f>
        <v/>
      </c>
      <c r="I22" s="18" t="str">
        <f aca="true">IF(F22="","",F22-TODAY())</f>
        <v/>
      </c>
      <c r="J22" s="19" t="str">
        <f aca="true">IF(F22="","",IF(TODAY()&lt;D22,"Başlamadı",IF(TODAY()&gt;F22,"Bitti",IF(F22-TODAY()&lt;=7,"Bitiyor","Aktif"))))</f>
        <v/>
      </c>
      <c r="K22" s="19" t="str">
        <f aca="false">IF(OR(J22="Aktif",J22="Bitiyor"),F22+ROW()/1000000,"")</f>
        <v/>
      </c>
    </row>
    <row r="23" customFormat="false" ht="15" hidden="false" customHeight="false" outlineLevel="0" collapsed="false">
      <c r="A23" s="12"/>
      <c r="B23" s="12"/>
      <c r="C23" s="13"/>
      <c r="D23" s="14"/>
      <c r="E23" s="15"/>
      <c r="F23" s="16" t="str">
        <f aca="false">IF(OR(C23="",D23=""),"",EDATE(D23,IFERROR(INDEX(Paketler!$B$5:$B$24,MATCH(C23,Paketler!$A$5:$A$24,0)),0))-1)</f>
        <v/>
      </c>
      <c r="G23" s="17" t="str">
        <f aca="false">IF(F23="","",IFERROR(INDEX(Paketler!$C$5:$C$24,MATCH(C23,Paketler!$A$5:$A$24,0)),0))</f>
        <v/>
      </c>
      <c r="H23" s="17" t="str">
        <f aca="false">IF(F23="","",G23-E23)</f>
        <v/>
      </c>
      <c r="I23" s="18" t="str">
        <f aca="true">IF(F23="","",F23-TODAY())</f>
        <v/>
      </c>
      <c r="J23" s="19" t="str">
        <f aca="true">IF(F23="","",IF(TODAY()&lt;D23,"Başlamadı",IF(TODAY()&gt;F23,"Bitti",IF(F23-TODAY()&lt;=7,"Bitiyor","Aktif"))))</f>
        <v/>
      </c>
      <c r="K23" s="19" t="str">
        <f aca="false">IF(OR(J23="Aktif",J23="Bitiyor"),F23+ROW()/1000000,"")</f>
        <v/>
      </c>
    </row>
    <row r="24" customFormat="false" ht="15" hidden="false" customHeight="false" outlineLevel="0" collapsed="false">
      <c r="A24" s="12"/>
      <c r="B24" s="12"/>
      <c r="C24" s="13"/>
      <c r="D24" s="14"/>
      <c r="E24" s="15"/>
      <c r="F24" s="16" t="str">
        <f aca="false">IF(OR(C24="",D24=""),"",EDATE(D24,IFERROR(INDEX(Paketler!$B$5:$B$24,MATCH(C24,Paketler!$A$5:$A$24,0)),0))-1)</f>
        <v/>
      </c>
      <c r="G24" s="17" t="str">
        <f aca="false">IF(F24="","",IFERROR(INDEX(Paketler!$C$5:$C$24,MATCH(C24,Paketler!$A$5:$A$24,0)),0))</f>
        <v/>
      </c>
      <c r="H24" s="17" t="str">
        <f aca="false">IF(F24="","",G24-E24)</f>
        <v/>
      </c>
      <c r="I24" s="18" t="str">
        <f aca="true">IF(F24="","",F24-TODAY())</f>
        <v/>
      </c>
      <c r="J24" s="19" t="str">
        <f aca="true">IF(F24="","",IF(TODAY()&lt;D24,"Başlamadı",IF(TODAY()&gt;F24,"Bitti",IF(F24-TODAY()&lt;=7,"Bitiyor","Aktif"))))</f>
        <v/>
      </c>
      <c r="K24" s="19" t="str">
        <f aca="false">IF(OR(J24="Aktif",J24="Bitiyor"),F24+ROW()/1000000,"")</f>
        <v/>
      </c>
    </row>
    <row r="25" customFormat="false" ht="15" hidden="false" customHeight="false" outlineLevel="0" collapsed="false">
      <c r="A25" s="12"/>
      <c r="B25" s="12"/>
      <c r="C25" s="13"/>
      <c r="D25" s="14"/>
      <c r="E25" s="15"/>
      <c r="F25" s="16" t="str">
        <f aca="false">IF(OR(C25="",D25=""),"",EDATE(D25,IFERROR(INDEX(Paketler!$B$5:$B$24,MATCH(C25,Paketler!$A$5:$A$24,0)),0))-1)</f>
        <v/>
      </c>
      <c r="G25" s="17" t="str">
        <f aca="false">IF(F25="","",IFERROR(INDEX(Paketler!$C$5:$C$24,MATCH(C25,Paketler!$A$5:$A$24,0)),0))</f>
        <v/>
      </c>
      <c r="H25" s="17" t="str">
        <f aca="false">IF(F25="","",G25-E25)</f>
        <v/>
      </c>
      <c r="I25" s="18" t="str">
        <f aca="true">IF(F25="","",F25-TODAY())</f>
        <v/>
      </c>
      <c r="J25" s="19" t="str">
        <f aca="true">IF(F25="","",IF(TODAY()&lt;D25,"Başlamadı",IF(TODAY()&gt;F25,"Bitti",IF(F25-TODAY()&lt;=7,"Bitiyor","Aktif"))))</f>
        <v/>
      </c>
      <c r="K25" s="19" t="str">
        <f aca="false">IF(OR(J25="Aktif",J25="Bitiyor"),F25+ROW()/1000000,"")</f>
        <v/>
      </c>
    </row>
    <row r="26" customFormat="false" ht="15" hidden="false" customHeight="false" outlineLevel="0" collapsed="false">
      <c r="A26" s="12"/>
      <c r="B26" s="12"/>
      <c r="C26" s="13"/>
      <c r="D26" s="14"/>
      <c r="E26" s="15"/>
      <c r="F26" s="16" t="str">
        <f aca="false">IF(OR(C26="",D26=""),"",EDATE(D26,IFERROR(INDEX(Paketler!$B$5:$B$24,MATCH(C26,Paketler!$A$5:$A$24,0)),0))-1)</f>
        <v/>
      </c>
      <c r="G26" s="17" t="str">
        <f aca="false">IF(F26="","",IFERROR(INDEX(Paketler!$C$5:$C$24,MATCH(C26,Paketler!$A$5:$A$24,0)),0))</f>
        <v/>
      </c>
      <c r="H26" s="17" t="str">
        <f aca="false">IF(F26="","",G26-E26)</f>
        <v/>
      </c>
      <c r="I26" s="18" t="str">
        <f aca="true">IF(F26="","",F26-TODAY())</f>
        <v/>
      </c>
      <c r="J26" s="19" t="str">
        <f aca="true">IF(F26="","",IF(TODAY()&lt;D26,"Başlamadı",IF(TODAY()&gt;F26,"Bitti",IF(F26-TODAY()&lt;=7,"Bitiyor","Aktif"))))</f>
        <v/>
      </c>
      <c r="K26" s="19" t="str">
        <f aca="false">IF(OR(J26="Aktif",J26="Bitiyor"),F26+ROW()/1000000,"")</f>
        <v/>
      </c>
    </row>
    <row r="27" customFormat="false" ht="15" hidden="false" customHeight="false" outlineLevel="0" collapsed="false">
      <c r="A27" s="12"/>
      <c r="B27" s="12"/>
      <c r="C27" s="13"/>
      <c r="D27" s="14"/>
      <c r="E27" s="15"/>
      <c r="F27" s="16" t="str">
        <f aca="false">IF(OR(C27="",D27=""),"",EDATE(D27,IFERROR(INDEX(Paketler!$B$5:$B$24,MATCH(C27,Paketler!$A$5:$A$24,0)),0))-1)</f>
        <v/>
      </c>
      <c r="G27" s="17" t="str">
        <f aca="false">IF(F27="","",IFERROR(INDEX(Paketler!$C$5:$C$24,MATCH(C27,Paketler!$A$5:$A$24,0)),0))</f>
        <v/>
      </c>
      <c r="H27" s="17" t="str">
        <f aca="false">IF(F27="","",G27-E27)</f>
        <v/>
      </c>
      <c r="I27" s="18" t="str">
        <f aca="true">IF(F27="","",F27-TODAY())</f>
        <v/>
      </c>
      <c r="J27" s="19" t="str">
        <f aca="true">IF(F27="","",IF(TODAY()&lt;D27,"Başlamadı",IF(TODAY()&gt;F27,"Bitti",IF(F27-TODAY()&lt;=7,"Bitiyor","Aktif"))))</f>
        <v/>
      </c>
      <c r="K27" s="19" t="str">
        <f aca="false">IF(OR(J27="Aktif",J27="Bitiyor"),F27+ROW()/1000000,"")</f>
        <v/>
      </c>
    </row>
    <row r="28" customFormat="false" ht="15" hidden="false" customHeight="false" outlineLevel="0" collapsed="false">
      <c r="A28" s="12"/>
      <c r="B28" s="12"/>
      <c r="C28" s="13"/>
      <c r="D28" s="14"/>
      <c r="E28" s="15"/>
      <c r="F28" s="16" t="str">
        <f aca="false">IF(OR(C28="",D28=""),"",EDATE(D28,IFERROR(INDEX(Paketler!$B$5:$B$24,MATCH(C28,Paketler!$A$5:$A$24,0)),0))-1)</f>
        <v/>
      </c>
      <c r="G28" s="17" t="str">
        <f aca="false">IF(F28="","",IFERROR(INDEX(Paketler!$C$5:$C$24,MATCH(C28,Paketler!$A$5:$A$24,0)),0))</f>
        <v/>
      </c>
      <c r="H28" s="17" t="str">
        <f aca="false">IF(F28="","",G28-E28)</f>
        <v/>
      </c>
      <c r="I28" s="18" t="str">
        <f aca="true">IF(F28="","",F28-TODAY())</f>
        <v/>
      </c>
      <c r="J28" s="19" t="str">
        <f aca="true">IF(F28="","",IF(TODAY()&lt;D28,"Başlamadı",IF(TODAY()&gt;F28,"Bitti",IF(F28-TODAY()&lt;=7,"Bitiyor","Aktif"))))</f>
        <v/>
      </c>
      <c r="K28" s="19" t="str">
        <f aca="false">IF(OR(J28="Aktif",J28="Bitiyor"),F28+ROW()/1000000,"")</f>
        <v/>
      </c>
    </row>
    <row r="29" customFormat="false" ht="15" hidden="false" customHeight="false" outlineLevel="0" collapsed="false">
      <c r="A29" s="12"/>
      <c r="B29" s="12"/>
      <c r="C29" s="13"/>
      <c r="D29" s="14"/>
      <c r="E29" s="15"/>
      <c r="F29" s="16" t="str">
        <f aca="false">IF(OR(C29="",D29=""),"",EDATE(D29,IFERROR(INDEX(Paketler!$B$5:$B$24,MATCH(C29,Paketler!$A$5:$A$24,0)),0))-1)</f>
        <v/>
      </c>
      <c r="G29" s="17" t="str">
        <f aca="false">IF(F29="","",IFERROR(INDEX(Paketler!$C$5:$C$24,MATCH(C29,Paketler!$A$5:$A$24,0)),0))</f>
        <v/>
      </c>
      <c r="H29" s="17" t="str">
        <f aca="false">IF(F29="","",G29-E29)</f>
        <v/>
      </c>
      <c r="I29" s="18" t="str">
        <f aca="true">IF(F29="","",F29-TODAY())</f>
        <v/>
      </c>
      <c r="J29" s="19" t="str">
        <f aca="true">IF(F29="","",IF(TODAY()&lt;D29,"Başlamadı",IF(TODAY()&gt;F29,"Bitti",IF(F29-TODAY()&lt;=7,"Bitiyor","Aktif"))))</f>
        <v/>
      </c>
      <c r="K29" s="19" t="str">
        <f aca="false">IF(OR(J29="Aktif",J29="Bitiyor"),F29+ROW()/1000000,"")</f>
        <v/>
      </c>
    </row>
    <row r="30" customFormat="false" ht="15" hidden="false" customHeight="false" outlineLevel="0" collapsed="false">
      <c r="A30" s="12"/>
      <c r="B30" s="12"/>
      <c r="C30" s="13"/>
      <c r="D30" s="14"/>
      <c r="E30" s="15"/>
      <c r="F30" s="16" t="str">
        <f aca="false">IF(OR(C30="",D30=""),"",EDATE(D30,IFERROR(INDEX(Paketler!$B$5:$B$24,MATCH(C30,Paketler!$A$5:$A$24,0)),0))-1)</f>
        <v/>
      </c>
      <c r="G30" s="17" t="str">
        <f aca="false">IF(F30="","",IFERROR(INDEX(Paketler!$C$5:$C$24,MATCH(C30,Paketler!$A$5:$A$24,0)),0))</f>
        <v/>
      </c>
      <c r="H30" s="17" t="str">
        <f aca="false">IF(F30="","",G30-E30)</f>
        <v/>
      </c>
      <c r="I30" s="18" t="str">
        <f aca="true">IF(F30="","",F30-TODAY())</f>
        <v/>
      </c>
      <c r="J30" s="19" t="str">
        <f aca="true">IF(F30="","",IF(TODAY()&lt;D30,"Başlamadı",IF(TODAY()&gt;F30,"Bitti",IF(F30-TODAY()&lt;=7,"Bitiyor","Aktif"))))</f>
        <v/>
      </c>
      <c r="K30" s="19" t="str">
        <f aca="false">IF(OR(J30="Aktif",J30="Bitiyor"),F30+ROW()/1000000,"")</f>
        <v/>
      </c>
    </row>
    <row r="31" customFormat="false" ht="15" hidden="false" customHeight="false" outlineLevel="0" collapsed="false">
      <c r="A31" s="12"/>
      <c r="B31" s="12"/>
      <c r="C31" s="13"/>
      <c r="D31" s="14"/>
      <c r="E31" s="15"/>
      <c r="F31" s="16" t="str">
        <f aca="false">IF(OR(C31="",D31=""),"",EDATE(D31,IFERROR(INDEX(Paketler!$B$5:$B$24,MATCH(C31,Paketler!$A$5:$A$24,0)),0))-1)</f>
        <v/>
      </c>
      <c r="G31" s="17" t="str">
        <f aca="false">IF(F31="","",IFERROR(INDEX(Paketler!$C$5:$C$24,MATCH(C31,Paketler!$A$5:$A$24,0)),0))</f>
        <v/>
      </c>
      <c r="H31" s="17" t="str">
        <f aca="false">IF(F31="","",G31-E31)</f>
        <v/>
      </c>
      <c r="I31" s="18" t="str">
        <f aca="true">IF(F31="","",F31-TODAY())</f>
        <v/>
      </c>
      <c r="J31" s="19" t="str">
        <f aca="true">IF(F31="","",IF(TODAY()&lt;D31,"Başlamadı",IF(TODAY()&gt;F31,"Bitti",IF(F31-TODAY()&lt;=7,"Bitiyor","Aktif"))))</f>
        <v/>
      </c>
      <c r="K31" s="19" t="str">
        <f aca="false">IF(OR(J31="Aktif",J31="Bitiyor"),F31+ROW()/1000000,"")</f>
        <v/>
      </c>
    </row>
    <row r="32" customFormat="false" ht="15" hidden="false" customHeight="false" outlineLevel="0" collapsed="false">
      <c r="A32" s="12"/>
      <c r="B32" s="12"/>
      <c r="C32" s="13"/>
      <c r="D32" s="14"/>
      <c r="E32" s="15"/>
      <c r="F32" s="16" t="str">
        <f aca="false">IF(OR(C32="",D32=""),"",EDATE(D32,IFERROR(INDEX(Paketler!$B$5:$B$24,MATCH(C32,Paketler!$A$5:$A$24,0)),0))-1)</f>
        <v/>
      </c>
      <c r="G32" s="17" t="str">
        <f aca="false">IF(F32="","",IFERROR(INDEX(Paketler!$C$5:$C$24,MATCH(C32,Paketler!$A$5:$A$24,0)),0))</f>
        <v/>
      </c>
      <c r="H32" s="17" t="str">
        <f aca="false">IF(F32="","",G32-E32)</f>
        <v/>
      </c>
      <c r="I32" s="18" t="str">
        <f aca="true">IF(F32="","",F32-TODAY())</f>
        <v/>
      </c>
      <c r="J32" s="19" t="str">
        <f aca="true">IF(F32="","",IF(TODAY()&lt;D32,"Başlamadı",IF(TODAY()&gt;F32,"Bitti",IF(F32-TODAY()&lt;=7,"Bitiyor","Aktif"))))</f>
        <v/>
      </c>
      <c r="K32" s="19" t="str">
        <f aca="false">IF(OR(J32="Aktif",J32="Bitiyor"),F32+ROW()/1000000,"")</f>
        <v/>
      </c>
    </row>
    <row r="33" customFormat="false" ht="15" hidden="false" customHeight="false" outlineLevel="0" collapsed="false">
      <c r="A33" s="12"/>
      <c r="B33" s="12"/>
      <c r="C33" s="13"/>
      <c r="D33" s="14"/>
      <c r="E33" s="15"/>
      <c r="F33" s="16" t="str">
        <f aca="false">IF(OR(C33="",D33=""),"",EDATE(D33,IFERROR(INDEX(Paketler!$B$5:$B$24,MATCH(C33,Paketler!$A$5:$A$24,0)),0))-1)</f>
        <v/>
      </c>
      <c r="G33" s="17" t="str">
        <f aca="false">IF(F33="","",IFERROR(INDEX(Paketler!$C$5:$C$24,MATCH(C33,Paketler!$A$5:$A$24,0)),0))</f>
        <v/>
      </c>
      <c r="H33" s="17" t="str">
        <f aca="false">IF(F33="","",G33-E33)</f>
        <v/>
      </c>
      <c r="I33" s="18" t="str">
        <f aca="true">IF(F33="","",F33-TODAY())</f>
        <v/>
      </c>
      <c r="J33" s="19" t="str">
        <f aca="true">IF(F33="","",IF(TODAY()&lt;D33,"Başlamadı",IF(TODAY()&gt;F33,"Bitti",IF(F33-TODAY()&lt;=7,"Bitiyor","Aktif"))))</f>
        <v/>
      </c>
      <c r="K33" s="19" t="str">
        <f aca="false">IF(OR(J33="Aktif",J33="Bitiyor"),F33+ROW()/1000000,"")</f>
        <v/>
      </c>
    </row>
    <row r="34" customFormat="false" ht="15" hidden="false" customHeight="false" outlineLevel="0" collapsed="false">
      <c r="A34" s="12"/>
      <c r="B34" s="12"/>
      <c r="C34" s="13"/>
      <c r="D34" s="14"/>
      <c r="E34" s="15"/>
      <c r="F34" s="16" t="str">
        <f aca="false">IF(OR(C34="",D34=""),"",EDATE(D34,IFERROR(INDEX(Paketler!$B$5:$B$24,MATCH(C34,Paketler!$A$5:$A$24,0)),0))-1)</f>
        <v/>
      </c>
      <c r="G34" s="17" t="str">
        <f aca="false">IF(F34="","",IFERROR(INDEX(Paketler!$C$5:$C$24,MATCH(C34,Paketler!$A$5:$A$24,0)),0))</f>
        <v/>
      </c>
      <c r="H34" s="17" t="str">
        <f aca="false">IF(F34="","",G34-E34)</f>
        <v/>
      </c>
      <c r="I34" s="18" t="str">
        <f aca="true">IF(F34="","",F34-TODAY())</f>
        <v/>
      </c>
      <c r="J34" s="19" t="str">
        <f aca="true">IF(F34="","",IF(TODAY()&lt;D34,"Başlamadı",IF(TODAY()&gt;F34,"Bitti",IF(F34-TODAY()&lt;=7,"Bitiyor","Aktif"))))</f>
        <v/>
      </c>
      <c r="K34" s="19" t="str">
        <f aca="false">IF(OR(J34="Aktif",J34="Bitiyor"),F34+ROW()/1000000,"")</f>
        <v/>
      </c>
    </row>
    <row r="35" customFormat="false" ht="15" hidden="false" customHeight="false" outlineLevel="0" collapsed="false">
      <c r="A35" s="12"/>
      <c r="B35" s="12"/>
      <c r="C35" s="13"/>
      <c r="D35" s="14"/>
      <c r="E35" s="15"/>
      <c r="F35" s="16" t="str">
        <f aca="false">IF(OR(C35="",D35=""),"",EDATE(D35,IFERROR(INDEX(Paketler!$B$5:$B$24,MATCH(C35,Paketler!$A$5:$A$24,0)),0))-1)</f>
        <v/>
      </c>
      <c r="G35" s="17" t="str">
        <f aca="false">IF(F35="","",IFERROR(INDEX(Paketler!$C$5:$C$24,MATCH(C35,Paketler!$A$5:$A$24,0)),0))</f>
        <v/>
      </c>
      <c r="H35" s="17" t="str">
        <f aca="false">IF(F35="","",G35-E35)</f>
        <v/>
      </c>
      <c r="I35" s="18" t="str">
        <f aca="true">IF(F35="","",F35-TODAY())</f>
        <v/>
      </c>
      <c r="J35" s="19" t="str">
        <f aca="true">IF(F35="","",IF(TODAY()&lt;D35,"Başlamadı",IF(TODAY()&gt;F35,"Bitti",IF(F35-TODAY()&lt;=7,"Bitiyor","Aktif"))))</f>
        <v/>
      </c>
      <c r="K35" s="19" t="str">
        <f aca="false">IF(OR(J35="Aktif",J35="Bitiyor"),F35+ROW()/1000000,"")</f>
        <v/>
      </c>
    </row>
    <row r="36" customFormat="false" ht="15" hidden="false" customHeight="false" outlineLevel="0" collapsed="false">
      <c r="A36" s="12"/>
      <c r="B36" s="12"/>
      <c r="C36" s="13"/>
      <c r="D36" s="14"/>
      <c r="E36" s="15"/>
      <c r="F36" s="16" t="str">
        <f aca="false">IF(OR(C36="",D36=""),"",EDATE(D36,IFERROR(INDEX(Paketler!$B$5:$B$24,MATCH(C36,Paketler!$A$5:$A$24,0)),0))-1)</f>
        <v/>
      </c>
      <c r="G36" s="17" t="str">
        <f aca="false">IF(F36="","",IFERROR(INDEX(Paketler!$C$5:$C$24,MATCH(C36,Paketler!$A$5:$A$24,0)),0))</f>
        <v/>
      </c>
      <c r="H36" s="17" t="str">
        <f aca="false">IF(F36="","",G36-E36)</f>
        <v/>
      </c>
      <c r="I36" s="18" t="str">
        <f aca="true">IF(F36="","",F36-TODAY())</f>
        <v/>
      </c>
      <c r="J36" s="19" t="str">
        <f aca="true">IF(F36="","",IF(TODAY()&lt;D36,"Başlamadı",IF(TODAY()&gt;F36,"Bitti",IF(F36-TODAY()&lt;=7,"Bitiyor","Aktif"))))</f>
        <v/>
      </c>
      <c r="K36" s="19" t="str">
        <f aca="false">IF(OR(J36="Aktif",J36="Bitiyor"),F36+ROW()/1000000,"")</f>
        <v/>
      </c>
    </row>
    <row r="37" customFormat="false" ht="15" hidden="false" customHeight="false" outlineLevel="0" collapsed="false">
      <c r="A37" s="12"/>
      <c r="B37" s="12"/>
      <c r="C37" s="13"/>
      <c r="D37" s="14"/>
      <c r="E37" s="15"/>
      <c r="F37" s="16" t="str">
        <f aca="false">IF(OR(C37="",D37=""),"",EDATE(D37,IFERROR(INDEX(Paketler!$B$5:$B$24,MATCH(C37,Paketler!$A$5:$A$24,0)),0))-1)</f>
        <v/>
      </c>
      <c r="G37" s="17" t="str">
        <f aca="false">IF(F37="","",IFERROR(INDEX(Paketler!$C$5:$C$24,MATCH(C37,Paketler!$A$5:$A$24,0)),0))</f>
        <v/>
      </c>
      <c r="H37" s="17" t="str">
        <f aca="false">IF(F37="","",G37-E37)</f>
        <v/>
      </c>
      <c r="I37" s="18" t="str">
        <f aca="true">IF(F37="","",F37-TODAY())</f>
        <v/>
      </c>
      <c r="J37" s="19" t="str">
        <f aca="true">IF(F37="","",IF(TODAY()&lt;D37,"Başlamadı",IF(TODAY()&gt;F37,"Bitti",IF(F37-TODAY()&lt;=7,"Bitiyor","Aktif"))))</f>
        <v/>
      </c>
      <c r="K37" s="19" t="str">
        <f aca="false">IF(OR(J37="Aktif",J37="Bitiyor"),F37+ROW()/1000000,"")</f>
        <v/>
      </c>
    </row>
    <row r="38" customFormat="false" ht="15" hidden="false" customHeight="false" outlineLevel="0" collapsed="false">
      <c r="A38" s="12"/>
      <c r="B38" s="12"/>
      <c r="C38" s="13"/>
      <c r="D38" s="14"/>
      <c r="E38" s="15"/>
      <c r="F38" s="16" t="str">
        <f aca="false">IF(OR(C38="",D38=""),"",EDATE(D38,IFERROR(INDEX(Paketler!$B$5:$B$24,MATCH(C38,Paketler!$A$5:$A$24,0)),0))-1)</f>
        <v/>
      </c>
      <c r="G38" s="17" t="str">
        <f aca="false">IF(F38="","",IFERROR(INDEX(Paketler!$C$5:$C$24,MATCH(C38,Paketler!$A$5:$A$24,0)),0))</f>
        <v/>
      </c>
      <c r="H38" s="17" t="str">
        <f aca="false">IF(F38="","",G38-E38)</f>
        <v/>
      </c>
      <c r="I38" s="18" t="str">
        <f aca="true">IF(F38="","",F38-TODAY())</f>
        <v/>
      </c>
      <c r="J38" s="19" t="str">
        <f aca="true">IF(F38="","",IF(TODAY()&lt;D38,"Başlamadı",IF(TODAY()&gt;F38,"Bitti",IF(F38-TODAY()&lt;=7,"Bitiyor","Aktif"))))</f>
        <v/>
      </c>
      <c r="K38" s="19" t="str">
        <f aca="false">IF(OR(J38="Aktif",J38="Bitiyor"),F38+ROW()/1000000,"")</f>
        <v/>
      </c>
    </row>
    <row r="39" customFormat="false" ht="15" hidden="false" customHeight="false" outlineLevel="0" collapsed="false">
      <c r="A39" s="12"/>
      <c r="B39" s="12"/>
      <c r="C39" s="13"/>
      <c r="D39" s="14"/>
      <c r="E39" s="15"/>
      <c r="F39" s="16" t="str">
        <f aca="false">IF(OR(C39="",D39=""),"",EDATE(D39,IFERROR(INDEX(Paketler!$B$5:$B$24,MATCH(C39,Paketler!$A$5:$A$24,0)),0))-1)</f>
        <v/>
      </c>
      <c r="G39" s="17" t="str">
        <f aca="false">IF(F39="","",IFERROR(INDEX(Paketler!$C$5:$C$24,MATCH(C39,Paketler!$A$5:$A$24,0)),0))</f>
        <v/>
      </c>
      <c r="H39" s="17" t="str">
        <f aca="false">IF(F39="","",G39-E39)</f>
        <v/>
      </c>
      <c r="I39" s="18" t="str">
        <f aca="true">IF(F39="","",F39-TODAY())</f>
        <v/>
      </c>
      <c r="J39" s="19" t="str">
        <f aca="true">IF(F39="","",IF(TODAY()&lt;D39,"Başlamadı",IF(TODAY()&gt;F39,"Bitti",IF(F39-TODAY()&lt;=7,"Bitiyor","Aktif"))))</f>
        <v/>
      </c>
      <c r="K39" s="19" t="str">
        <f aca="false">IF(OR(J39="Aktif",J39="Bitiyor"),F39+ROW()/1000000,"")</f>
        <v/>
      </c>
    </row>
    <row r="40" customFormat="false" ht="15" hidden="false" customHeight="false" outlineLevel="0" collapsed="false">
      <c r="A40" s="12"/>
      <c r="B40" s="12"/>
      <c r="C40" s="13"/>
      <c r="D40" s="14"/>
      <c r="E40" s="15"/>
      <c r="F40" s="16" t="str">
        <f aca="false">IF(OR(C40="",D40=""),"",EDATE(D40,IFERROR(INDEX(Paketler!$B$5:$B$24,MATCH(C40,Paketler!$A$5:$A$24,0)),0))-1)</f>
        <v/>
      </c>
      <c r="G40" s="17" t="str">
        <f aca="false">IF(F40="","",IFERROR(INDEX(Paketler!$C$5:$C$24,MATCH(C40,Paketler!$A$5:$A$24,0)),0))</f>
        <v/>
      </c>
      <c r="H40" s="17" t="str">
        <f aca="false">IF(F40="","",G40-E40)</f>
        <v/>
      </c>
      <c r="I40" s="18" t="str">
        <f aca="true">IF(F40="","",F40-TODAY())</f>
        <v/>
      </c>
      <c r="J40" s="19" t="str">
        <f aca="true">IF(F40="","",IF(TODAY()&lt;D40,"Başlamadı",IF(TODAY()&gt;F40,"Bitti",IF(F40-TODAY()&lt;=7,"Bitiyor","Aktif"))))</f>
        <v/>
      </c>
      <c r="K40" s="19" t="str">
        <f aca="false">IF(OR(J40="Aktif",J40="Bitiyor"),F40+ROW()/1000000,"")</f>
        <v/>
      </c>
    </row>
    <row r="41" customFormat="false" ht="15" hidden="false" customHeight="false" outlineLevel="0" collapsed="false">
      <c r="A41" s="12"/>
      <c r="B41" s="12"/>
      <c r="C41" s="13"/>
      <c r="D41" s="14"/>
      <c r="E41" s="15"/>
      <c r="F41" s="16" t="str">
        <f aca="false">IF(OR(C41="",D41=""),"",EDATE(D41,IFERROR(INDEX(Paketler!$B$5:$B$24,MATCH(C41,Paketler!$A$5:$A$24,0)),0))-1)</f>
        <v/>
      </c>
      <c r="G41" s="17" t="str">
        <f aca="false">IF(F41="","",IFERROR(INDEX(Paketler!$C$5:$C$24,MATCH(C41,Paketler!$A$5:$A$24,0)),0))</f>
        <v/>
      </c>
      <c r="H41" s="17" t="str">
        <f aca="false">IF(F41="","",G41-E41)</f>
        <v/>
      </c>
      <c r="I41" s="18" t="str">
        <f aca="true">IF(F41="","",F41-TODAY())</f>
        <v/>
      </c>
      <c r="J41" s="19" t="str">
        <f aca="true">IF(F41="","",IF(TODAY()&lt;D41,"Başlamadı",IF(TODAY()&gt;F41,"Bitti",IF(F41-TODAY()&lt;=7,"Bitiyor","Aktif"))))</f>
        <v/>
      </c>
      <c r="K41" s="19" t="str">
        <f aca="false">IF(OR(J41="Aktif",J41="Bitiyor"),F41+ROW()/1000000,"")</f>
        <v/>
      </c>
    </row>
    <row r="42" customFormat="false" ht="15" hidden="false" customHeight="false" outlineLevel="0" collapsed="false">
      <c r="A42" s="12"/>
      <c r="B42" s="12"/>
      <c r="C42" s="13"/>
      <c r="D42" s="14"/>
      <c r="E42" s="15"/>
      <c r="F42" s="16" t="str">
        <f aca="false">IF(OR(C42="",D42=""),"",EDATE(D42,IFERROR(INDEX(Paketler!$B$5:$B$24,MATCH(C42,Paketler!$A$5:$A$24,0)),0))-1)</f>
        <v/>
      </c>
      <c r="G42" s="17" t="str">
        <f aca="false">IF(F42="","",IFERROR(INDEX(Paketler!$C$5:$C$24,MATCH(C42,Paketler!$A$5:$A$24,0)),0))</f>
        <v/>
      </c>
      <c r="H42" s="17" t="str">
        <f aca="false">IF(F42="","",G42-E42)</f>
        <v/>
      </c>
      <c r="I42" s="18" t="str">
        <f aca="true">IF(F42="","",F42-TODAY())</f>
        <v/>
      </c>
      <c r="J42" s="19" t="str">
        <f aca="true">IF(F42="","",IF(TODAY()&lt;D42,"Başlamadı",IF(TODAY()&gt;F42,"Bitti",IF(F42-TODAY()&lt;=7,"Bitiyor","Aktif"))))</f>
        <v/>
      </c>
      <c r="K42" s="19" t="str">
        <f aca="false">IF(OR(J42="Aktif",J42="Bitiyor"),F42+ROW()/1000000,"")</f>
        <v/>
      </c>
    </row>
    <row r="43" customFormat="false" ht="15" hidden="false" customHeight="false" outlineLevel="0" collapsed="false">
      <c r="A43" s="12"/>
      <c r="B43" s="12"/>
      <c r="C43" s="13"/>
      <c r="D43" s="14"/>
      <c r="E43" s="15"/>
      <c r="F43" s="16" t="str">
        <f aca="false">IF(OR(C43="",D43=""),"",EDATE(D43,IFERROR(INDEX(Paketler!$B$5:$B$24,MATCH(C43,Paketler!$A$5:$A$24,0)),0))-1)</f>
        <v/>
      </c>
      <c r="G43" s="17" t="str">
        <f aca="false">IF(F43="","",IFERROR(INDEX(Paketler!$C$5:$C$24,MATCH(C43,Paketler!$A$5:$A$24,0)),0))</f>
        <v/>
      </c>
      <c r="H43" s="17" t="str">
        <f aca="false">IF(F43="","",G43-E43)</f>
        <v/>
      </c>
      <c r="I43" s="18" t="str">
        <f aca="true">IF(F43="","",F43-TODAY())</f>
        <v/>
      </c>
      <c r="J43" s="19" t="str">
        <f aca="true">IF(F43="","",IF(TODAY()&lt;D43,"Başlamadı",IF(TODAY()&gt;F43,"Bitti",IF(F43-TODAY()&lt;=7,"Bitiyor","Aktif"))))</f>
        <v/>
      </c>
      <c r="K43" s="19" t="str">
        <f aca="false">IF(OR(J43="Aktif",J43="Bitiyor"),F43+ROW()/1000000,"")</f>
        <v/>
      </c>
    </row>
    <row r="44" customFormat="false" ht="15" hidden="false" customHeight="false" outlineLevel="0" collapsed="false">
      <c r="A44" s="12"/>
      <c r="B44" s="12"/>
      <c r="C44" s="13"/>
      <c r="D44" s="14"/>
      <c r="E44" s="15"/>
      <c r="F44" s="16" t="str">
        <f aca="false">IF(OR(C44="",D44=""),"",EDATE(D44,IFERROR(INDEX(Paketler!$B$5:$B$24,MATCH(C44,Paketler!$A$5:$A$24,0)),0))-1)</f>
        <v/>
      </c>
      <c r="G44" s="17" t="str">
        <f aca="false">IF(F44="","",IFERROR(INDEX(Paketler!$C$5:$C$24,MATCH(C44,Paketler!$A$5:$A$24,0)),0))</f>
        <v/>
      </c>
      <c r="H44" s="17" t="str">
        <f aca="false">IF(F44="","",G44-E44)</f>
        <v/>
      </c>
      <c r="I44" s="18" t="str">
        <f aca="true">IF(F44="","",F44-TODAY())</f>
        <v/>
      </c>
      <c r="J44" s="19" t="str">
        <f aca="true">IF(F44="","",IF(TODAY()&lt;D44,"Başlamadı",IF(TODAY()&gt;F44,"Bitti",IF(F44-TODAY()&lt;=7,"Bitiyor","Aktif"))))</f>
        <v/>
      </c>
      <c r="K44" s="19" t="str">
        <f aca="false">IF(OR(J44="Aktif",J44="Bitiyor"),F44+ROW()/1000000,"")</f>
        <v/>
      </c>
    </row>
    <row r="45" customFormat="false" ht="15" hidden="false" customHeight="false" outlineLevel="0" collapsed="false">
      <c r="A45" s="12"/>
      <c r="B45" s="12"/>
      <c r="C45" s="13"/>
      <c r="D45" s="14"/>
      <c r="E45" s="15"/>
      <c r="F45" s="16" t="str">
        <f aca="false">IF(OR(C45="",D45=""),"",EDATE(D45,IFERROR(INDEX(Paketler!$B$5:$B$24,MATCH(C45,Paketler!$A$5:$A$24,0)),0))-1)</f>
        <v/>
      </c>
      <c r="G45" s="17" t="str">
        <f aca="false">IF(F45="","",IFERROR(INDEX(Paketler!$C$5:$C$24,MATCH(C45,Paketler!$A$5:$A$24,0)),0))</f>
        <v/>
      </c>
      <c r="H45" s="17" t="str">
        <f aca="false">IF(F45="","",G45-E45)</f>
        <v/>
      </c>
      <c r="I45" s="18" t="str">
        <f aca="true">IF(F45="","",F45-TODAY())</f>
        <v/>
      </c>
      <c r="J45" s="19" t="str">
        <f aca="true">IF(F45="","",IF(TODAY()&lt;D45,"Başlamadı",IF(TODAY()&gt;F45,"Bitti",IF(F45-TODAY()&lt;=7,"Bitiyor","Aktif"))))</f>
        <v/>
      </c>
      <c r="K45" s="19" t="str">
        <f aca="false">IF(OR(J45="Aktif",J45="Bitiyor"),F45+ROW()/1000000,"")</f>
        <v/>
      </c>
    </row>
    <row r="46" customFormat="false" ht="15" hidden="false" customHeight="false" outlineLevel="0" collapsed="false">
      <c r="A46" s="12"/>
      <c r="B46" s="12"/>
      <c r="C46" s="13"/>
      <c r="D46" s="14"/>
      <c r="E46" s="15"/>
      <c r="F46" s="16" t="str">
        <f aca="false">IF(OR(C46="",D46=""),"",EDATE(D46,IFERROR(INDEX(Paketler!$B$5:$B$24,MATCH(C46,Paketler!$A$5:$A$24,0)),0))-1)</f>
        <v/>
      </c>
      <c r="G46" s="17" t="str">
        <f aca="false">IF(F46="","",IFERROR(INDEX(Paketler!$C$5:$C$24,MATCH(C46,Paketler!$A$5:$A$24,0)),0))</f>
        <v/>
      </c>
      <c r="H46" s="17" t="str">
        <f aca="false">IF(F46="","",G46-E46)</f>
        <v/>
      </c>
      <c r="I46" s="18" t="str">
        <f aca="true">IF(F46="","",F46-TODAY())</f>
        <v/>
      </c>
      <c r="J46" s="19" t="str">
        <f aca="true">IF(F46="","",IF(TODAY()&lt;D46,"Başlamadı",IF(TODAY()&gt;F46,"Bitti",IF(F46-TODAY()&lt;=7,"Bitiyor","Aktif"))))</f>
        <v/>
      </c>
      <c r="K46" s="19" t="str">
        <f aca="false">IF(OR(J46="Aktif",J46="Bitiyor"),F46+ROW()/1000000,"")</f>
        <v/>
      </c>
    </row>
    <row r="47" customFormat="false" ht="15" hidden="false" customHeight="false" outlineLevel="0" collapsed="false">
      <c r="A47" s="12"/>
      <c r="B47" s="12"/>
      <c r="C47" s="13"/>
      <c r="D47" s="14"/>
      <c r="E47" s="15"/>
      <c r="F47" s="16" t="str">
        <f aca="false">IF(OR(C47="",D47=""),"",EDATE(D47,IFERROR(INDEX(Paketler!$B$5:$B$24,MATCH(C47,Paketler!$A$5:$A$24,0)),0))-1)</f>
        <v/>
      </c>
      <c r="G47" s="17" t="str">
        <f aca="false">IF(F47="","",IFERROR(INDEX(Paketler!$C$5:$C$24,MATCH(C47,Paketler!$A$5:$A$24,0)),0))</f>
        <v/>
      </c>
      <c r="H47" s="17" t="str">
        <f aca="false">IF(F47="","",G47-E47)</f>
        <v/>
      </c>
      <c r="I47" s="18" t="str">
        <f aca="true">IF(F47="","",F47-TODAY())</f>
        <v/>
      </c>
      <c r="J47" s="19" t="str">
        <f aca="true">IF(F47="","",IF(TODAY()&lt;D47,"Başlamadı",IF(TODAY()&gt;F47,"Bitti",IF(F47-TODAY()&lt;=7,"Bitiyor","Aktif"))))</f>
        <v/>
      </c>
      <c r="K47" s="19" t="str">
        <f aca="false">IF(OR(J47="Aktif",J47="Bitiyor"),F47+ROW()/1000000,"")</f>
        <v/>
      </c>
    </row>
    <row r="48" customFormat="false" ht="15" hidden="false" customHeight="false" outlineLevel="0" collapsed="false">
      <c r="A48" s="12"/>
      <c r="B48" s="12"/>
      <c r="C48" s="13"/>
      <c r="D48" s="14"/>
      <c r="E48" s="15"/>
      <c r="F48" s="16" t="str">
        <f aca="false">IF(OR(C48="",D48=""),"",EDATE(D48,IFERROR(INDEX(Paketler!$B$5:$B$24,MATCH(C48,Paketler!$A$5:$A$24,0)),0))-1)</f>
        <v/>
      </c>
      <c r="G48" s="17" t="str">
        <f aca="false">IF(F48="","",IFERROR(INDEX(Paketler!$C$5:$C$24,MATCH(C48,Paketler!$A$5:$A$24,0)),0))</f>
        <v/>
      </c>
      <c r="H48" s="17" t="str">
        <f aca="false">IF(F48="","",G48-E48)</f>
        <v/>
      </c>
      <c r="I48" s="18" t="str">
        <f aca="true">IF(F48="","",F48-TODAY())</f>
        <v/>
      </c>
      <c r="J48" s="19" t="str">
        <f aca="true">IF(F48="","",IF(TODAY()&lt;D48,"Başlamadı",IF(TODAY()&gt;F48,"Bitti",IF(F48-TODAY()&lt;=7,"Bitiyor","Aktif"))))</f>
        <v/>
      </c>
      <c r="K48" s="19" t="str">
        <f aca="false">IF(OR(J48="Aktif",J48="Bitiyor"),F48+ROW()/1000000,"")</f>
        <v/>
      </c>
    </row>
    <row r="49" customFormat="false" ht="15" hidden="false" customHeight="false" outlineLevel="0" collapsed="false">
      <c r="A49" s="12"/>
      <c r="B49" s="12"/>
      <c r="C49" s="13"/>
      <c r="D49" s="14"/>
      <c r="E49" s="15"/>
      <c r="F49" s="16" t="str">
        <f aca="false">IF(OR(C49="",D49=""),"",EDATE(D49,IFERROR(INDEX(Paketler!$B$5:$B$24,MATCH(C49,Paketler!$A$5:$A$24,0)),0))-1)</f>
        <v/>
      </c>
      <c r="G49" s="17" t="str">
        <f aca="false">IF(F49="","",IFERROR(INDEX(Paketler!$C$5:$C$24,MATCH(C49,Paketler!$A$5:$A$24,0)),0))</f>
        <v/>
      </c>
      <c r="H49" s="17" t="str">
        <f aca="false">IF(F49="","",G49-E49)</f>
        <v/>
      </c>
      <c r="I49" s="18" t="str">
        <f aca="true">IF(F49="","",F49-TODAY())</f>
        <v/>
      </c>
      <c r="J49" s="19" t="str">
        <f aca="true">IF(F49="","",IF(TODAY()&lt;D49,"Başlamadı",IF(TODAY()&gt;F49,"Bitti",IF(F49-TODAY()&lt;=7,"Bitiyor","Aktif"))))</f>
        <v/>
      </c>
      <c r="K49" s="19" t="str">
        <f aca="false">IF(OR(J49="Aktif",J49="Bitiyor"),F49+ROW()/1000000,"")</f>
        <v/>
      </c>
    </row>
    <row r="50" customFormat="false" ht="15" hidden="false" customHeight="false" outlineLevel="0" collapsed="false">
      <c r="A50" s="12"/>
      <c r="B50" s="12"/>
      <c r="C50" s="13"/>
      <c r="D50" s="14"/>
      <c r="E50" s="15"/>
      <c r="F50" s="16" t="str">
        <f aca="false">IF(OR(C50="",D50=""),"",EDATE(D50,IFERROR(INDEX(Paketler!$B$5:$B$24,MATCH(C50,Paketler!$A$5:$A$24,0)),0))-1)</f>
        <v/>
      </c>
      <c r="G50" s="17" t="str">
        <f aca="false">IF(F50="","",IFERROR(INDEX(Paketler!$C$5:$C$24,MATCH(C50,Paketler!$A$5:$A$24,0)),0))</f>
        <v/>
      </c>
      <c r="H50" s="17" t="str">
        <f aca="false">IF(F50="","",G50-E50)</f>
        <v/>
      </c>
      <c r="I50" s="18" t="str">
        <f aca="true">IF(F50="","",F50-TODAY())</f>
        <v/>
      </c>
      <c r="J50" s="19" t="str">
        <f aca="true">IF(F50="","",IF(TODAY()&lt;D50,"Başlamadı",IF(TODAY()&gt;F50,"Bitti",IF(F50-TODAY()&lt;=7,"Bitiyor","Aktif"))))</f>
        <v/>
      </c>
      <c r="K50" s="19" t="str">
        <f aca="false">IF(OR(J50="Aktif",J50="Bitiyor"),F50+ROW()/1000000,"")</f>
        <v/>
      </c>
    </row>
    <row r="51" customFormat="false" ht="15" hidden="false" customHeight="false" outlineLevel="0" collapsed="false">
      <c r="A51" s="12"/>
      <c r="B51" s="12"/>
      <c r="C51" s="13"/>
      <c r="D51" s="14"/>
      <c r="E51" s="15"/>
      <c r="F51" s="16" t="str">
        <f aca="false">IF(OR(C51="",D51=""),"",EDATE(D51,IFERROR(INDEX(Paketler!$B$5:$B$24,MATCH(C51,Paketler!$A$5:$A$24,0)),0))-1)</f>
        <v/>
      </c>
      <c r="G51" s="17" t="str">
        <f aca="false">IF(F51="","",IFERROR(INDEX(Paketler!$C$5:$C$24,MATCH(C51,Paketler!$A$5:$A$24,0)),0))</f>
        <v/>
      </c>
      <c r="H51" s="17" t="str">
        <f aca="false">IF(F51="","",G51-E51)</f>
        <v/>
      </c>
      <c r="I51" s="18" t="str">
        <f aca="true">IF(F51="","",F51-TODAY())</f>
        <v/>
      </c>
      <c r="J51" s="19" t="str">
        <f aca="true">IF(F51="","",IF(TODAY()&lt;D51,"Başlamadı",IF(TODAY()&gt;F51,"Bitti",IF(F51-TODAY()&lt;=7,"Bitiyor","Aktif"))))</f>
        <v/>
      </c>
      <c r="K51" s="19" t="str">
        <f aca="false">IF(OR(J51="Aktif",J51="Bitiyor"),F51+ROW()/1000000,"")</f>
        <v/>
      </c>
    </row>
    <row r="52" customFormat="false" ht="15" hidden="false" customHeight="false" outlineLevel="0" collapsed="false">
      <c r="A52" s="12"/>
      <c r="B52" s="12"/>
      <c r="C52" s="13"/>
      <c r="D52" s="14"/>
      <c r="E52" s="15"/>
      <c r="F52" s="16" t="str">
        <f aca="false">IF(OR(C52="",D52=""),"",EDATE(D52,IFERROR(INDEX(Paketler!$B$5:$B$24,MATCH(C52,Paketler!$A$5:$A$24,0)),0))-1)</f>
        <v/>
      </c>
      <c r="G52" s="17" t="str">
        <f aca="false">IF(F52="","",IFERROR(INDEX(Paketler!$C$5:$C$24,MATCH(C52,Paketler!$A$5:$A$24,0)),0))</f>
        <v/>
      </c>
      <c r="H52" s="17" t="str">
        <f aca="false">IF(F52="","",G52-E52)</f>
        <v/>
      </c>
      <c r="I52" s="18" t="str">
        <f aca="true">IF(F52="","",F52-TODAY())</f>
        <v/>
      </c>
      <c r="J52" s="19" t="str">
        <f aca="true">IF(F52="","",IF(TODAY()&lt;D52,"Başlamadı",IF(TODAY()&gt;F52,"Bitti",IF(F52-TODAY()&lt;=7,"Bitiyor","Aktif"))))</f>
        <v/>
      </c>
      <c r="K52" s="19" t="str">
        <f aca="false">IF(OR(J52="Aktif",J52="Bitiyor"),F52+ROW()/1000000,"")</f>
        <v/>
      </c>
    </row>
    <row r="53" customFormat="false" ht="15" hidden="false" customHeight="false" outlineLevel="0" collapsed="false">
      <c r="A53" s="12"/>
      <c r="B53" s="12"/>
      <c r="C53" s="13"/>
      <c r="D53" s="14"/>
      <c r="E53" s="15"/>
      <c r="F53" s="16" t="str">
        <f aca="false">IF(OR(C53="",D53=""),"",EDATE(D53,IFERROR(INDEX(Paketler!$B$5:$B$24,MATCH(C53,Paketler!$A$5:$A$24,0)),0))-1)</f>
        <v/>
      </c>
      <c r="G53" s="17" t="str">
        <f aca="false">IF(F53="","",IFERROR(INDEX(Paketler!$C$5:$C$24,MATCH(C53,Paketler!$A$5:$A$24,0)),0))</f>
        <v/>
      </c>
      <c r="H53" s="17" t="str">
        <f aca="false">IF(F53="","",G53-E53)</f>
        <v/>
      </c>
      <c r="I53" s="18" t="str">
        <f aca="true">IF(F53="","",F53-TODAY())</f>
        <v/>
      </c>
      <c r="J53" s="19" t="str">
        <f aca="true">IF(F53="","",IF(TODAY()&lt;D53,"Başlamadı",IF(TODAY()&gt;F53,"Bitti",IF(F53-TODAY()&lt;=7,"Bitiyor","Aktif"))))</f>
        <v/>
      </c>
      <c r="K53" s="19" t="str">
        <f aca="false">IF(OR(J53="Aktif",J53="Bitiyor"),F53+ROW()/1000000,"")</f>
        <v/>
      </c>
    </row>
    <row r="54" customFormat="false" ht="15" hidden="false" customHeight="false" outlineLevel="0" collapsed="false">
      <c r="A54" s="12"/>
      <c r="B54" s="12"/>
      <c r="C54" s="13"/>
      <c r="D54" s="14"/>
      <c r="E54" s="15"/>
      <c r="F54" s="16" t="str">
        <f aca="false">IF(OR(C54="",D54=""),"",EDATE(D54,IFERROR(INDEX(Paketler!$B$5:$B$24,MATCH(C54,Paketler!$A$5:$A$24,0)),0))-1)</f>
        <v/>
      </c>
      <c r="G54" s="17" t="str">
        <f aca="false">IF(F54="","",IFERROR(INDEX(Paketler!$C$5:$C$24,MATCH(C54,Paketler!$A$5:$A$24,0)),0))</f>
        <v/>
      </c>
      <c r="H54" s="17" t="str">
        <f aca="false">IF(F54="","",G54-E54)</f>
        <v/>
      </c>
      <c r="I54" s="18" t="str">
        <f aca="true">IF(F54="","",F54-TODAY())</f>
        <v/>
      </c>
      <c r="J54" s="19" t="str">
        <f aca="true">IF(F54="","",IF(TODAY()&lt;D54,"Başlamadı",IF(TODAY()&gt;F54,"Bitti",IF(F54-TODAY()&lt;=7,"Bitiyor","Aktif"))))</f>
        <v/>
      </c>
      <c r="K54" s="19" t="str">
        <f aca="false">IF(OR(J54="Aktif",J54="Bitiyor"),F54+ROW()/1000000,"")</f>
        <v/>
      </c>
    </row>
    <row r="55" customFormat="false" ht="15" hidden="false" customHeight="false" outlineLevel="0" collapsed="false">
      <c r="A55" s="12"/>
      <c r="B55" s="12"/>
      <c r="C55" s="13"/>
      <c r="D55" s="14"/>
      <c r="E55" s="15"/>
      <c r="F55" s="16" t="str">
        <f aca="false">IF(OR(C55="",D55=""),"",EDATE(D55,IFERROR(INDEX(Paketler!$B$5:$B$24,MATCH(C55,Paketler!$A$5:$A$24,0)),0))-1)</f>
        <v/>
      </c>
      <c r="G55" s="17" t="str">
        <f aca="false">IF(F55="","",IFERROR(INDEX(Paketler!$C$5:$C$24,MATCH(C55,Paketler!$A$5:$A$24,0)),0))</f>
        <v/>
      </c>
      <c r="H55" s="17" t="str">
        <f aca="false">IF(F55="","",G55-E55)</f>
        <v/>
      </c>
      <c r="I55" s="18" t="str">
        <f aca="true">IF(F55="","",F55-TODAY())</f>
        <v/>
      </c>
      <c r="J55" s="19" t="str">
        <f aca="true">IF(F55="","",IF(TODAY()&lt;D55,"Başlamadı",IF(TODAY()&gt;F55,"Bitti",IF(F55-TODAY()&lt;=7,"Bitiyor","Aktif"))))</f>
        <v/>
      </c>
      <c r="K55" s="19" t="str">
        <f aca="false">IF(OR(J55="Aktif",J55="Bitiyor"),F55+ROW()/1000000,"")</f>
        <v/>
      </c>
    </row>
    <row r="56" customFormat="false" ht="15" hidden="false" customHeight="false" outlineLevel="0" collapsed="false">
      <c r="A56" s="12"/>
      <c r="B56" s="12"/>
      <c r="C56" s="13"/>
      <c r="D56" s="14"/>
      <c r="E56" s="15"/>
      <c r="F56" s="16" t="str">
        <f aca="false">IF(OR(C56="",D56=""),"",EDATE(D56,IFERROR(INDEX(Paketler!$B$5:$B$24,MATCH(C56,Paketler!$A$5:$A$24,0)),0))-1)</f>
        <v/>
      </c>
      <c r="G56" s="17" t="str">
        <f aca="false">IF(F56="","",IFERROR(INDEX(Paketler!$C$5:$C$24,MATCH(C56,Paketler!$A$5:$A$24,0)),0))</f>
        <v/>
      </c>
      <c r="H56" s="17" t="str">
        <f aca="false">IF(F56="","",G56-E56)</f>
        <v/>
      </c>
      <c r="I56" s="18" t="str">
        <f aca="true">IF(F56="","",F56-TODAY())</f>
        <v/>
      </c>
      <c r="J56" s="19" t="str">
        <f aca="true">IF(F56="","",IF(TODAY()&lt;D56,"Başlamadı",IF(TODAY()&gt;F56,"Bitti",IF(F56-TODAY()&lt;=7,"Bitiyor","Aktif"))))</f>
        <v/>
      </c>
      <c r="K56" s="19" t="str">
        <f aca="false">IF(OR(J56="Aktif",J56="Bitiyor"),F56+ROW()/1000000,"")</f>
        <v/>
      </c>
    </row>
    <row r="57" customFormat="false" ht="15" hidden="false" customHeight="false" outlineLevel="0" collapsed="false">
      <c r="A57" s="12"/>
      <c r="B57" s="12"/>
      <c r="C57" s="13"/>
      <c r="D57" s="14"/>
      <c r="E57" s="15"/>
      <c r="F57" s="16" t="str">
        <f aca="false">IF(OR(C57="",D57=""),"",EDATE(D57,IFERROR(INDEX(Paketler!$B$5:$B$24,MATCH(C57,Paketler!$A$5:$A$24,0)),0))-1)</f>
        <v/>
      </c>
      <c r="G57" s="17" t="str">
        <f aca="false">IF(F57="","",IFERROR(INDEX(Paketler!$C$5:$C$24,MATCH(C57,Paketler!$A$5:$A$24,0)),0))</f>
        <v/>
      </c>
      <c r="H57" s="17" t="str">
        <f aca="false">IF(F57="","",G57-E57)</f>
        <v/>
      </c>
      <c r="I57" s="18" t="str">
        <f aca="true">IF(F57="","",F57-TODAY())</f>
        <v/>
      </c>
      <c r="J57" s="19" t="str">
        <f aca="true">IF(F57="","",IF(TODAY()&lt;D57,"Başlamadı",IF(TODAY()&gt;F57,"Bitti",IF(F57-TODAY()&lt;=7,"Bitiyor","Aktif"))))</f>
        <v/>
      </c>
      <c r="K57" s="19" t="str">
        <f aca="false">IF(OR(J57="Aktif",J57="Bitiyor"),F57+ROW()/1000000,"")</f>
        <v/>
      </c>
    </row>
    <row r="58" customFormat="false" ht="15" hidden="false" customHeight="false" outlineLevel="0" collapsed="false">
      <c r="A58" s="12"/>
      <c r="B58" s="12"/>
      <c r="C58" s="13"/>
      <c r="D58" s="14"/>
      <c r="E58" s="15"/>
      <c r="F58" s="16" t="str">
        <f aca="false">IF(OR(C58="",D58=""),"",EDATE(D58,IFERROR(INDEX(Paketler!$B$5:$B$24,MATCH(C58,Paketler!$A$5:$A$24,0)),0))-1)</f>
        <v/>
      </c>
      <c r="G58" s="17" t="str">
        <f aca="false">IF(F58="","",IFERROR(INDEX(Paketler!$C$5:$C$24,MATCH(C58,Paketler!$A$5:$A$24,0)),0))</f>
        <v/>
      </c>
      <c r="H58" s="17" t="str">
        <f aca="false">IF(F58="","",G58-E58)</f>
        <v/>
      </c>
      <c r="I58" s="18" t="str">
        <f aca="true">IF(F58="","",F58-TODAY())</f>
        <v/>
      </c>
      <c r="J58" s="19" t="str">
        <f aca="true">IF(F58="","",IF(TODAY()&lt;D58,"Başlamadı",IF(TODAY()&gt;F58,"Bitti",IF(F58-TODAY()&lt;=7,"Bitiyor","Aktif"))))</f>
        <v/>
      </c>
      <c r="K58" s="19" t="str">
        <f aca="false">IF(OR(J58="Aktif",J58="Bitiyor"),F58+ROW()/1000000,"")</f>
        <v/>
      </c>
    </row>
    <row r="59" customFormat="false" ht="15" hidden="false" customHeight="false" outlineLevel="0" collapsed="false">
      <c r="A59" s="12"/>
      <c r="B59" s="12"/>
      <c r="C59" s="13"/>
      <c r="D59" s="14"/>
      <c r="E59" s="15"/>
      <c r="F59" s="16" t="str">
        <f aca="false">IF(OR(C59="",D59=""),"",EDATE(D59,IFERROR(INDEX(Paketler!$B$5:$B$24,MATCH(C59,Paketler!$A$5:$A$24,0)),0))-1)</f>
        <v/>
      </c>
      <c r="G59" s="17" t="str">
        <f aca="false">IF(F59="","",IFERROR(INDEX(Paketler!$C$5:$C$24,MATCH(C59,Paketler!$A$5:$A$24,0)),0))</f>
        <v/>
      </c>
      <c r="H59" s="17" t="str">
        <f aca="false">IF(F59="","",G59-E59)</f>
        <v/>
      </c>
      <c r="I59" s="18" t="str">
        <f aca="true">IF(F59="","",F59-TODAY())</f>
        <v/>
      </c>
      <c r="J59" s="19" t="str">
        <f aca="true">IF(F59="","",IF(TODAY()&lt;D59,"Başlamadı",IF(TODAY()&gt;F59,"Bitti",IF(F59-TODAY()&lt;=7,"Bitiyor","Aktif"))))</f>
        <v/>
      </c>
      <c r="K59" s="19" t="str">
        <f aca="false">IF(OR(J59="Aktif",J59="Bitiyor"),F59+ROW()/1000000,"")</f>
        <v/>
      </c>
    </row>
    <row r="60" customFormat="false" ht="15" hidden="false" customHeight="false" outlineLevel="0" collapsed="false">
      <c r="A60" s="12"/>
      <c r="B60" s="12"/>
      <c r="C60" s="13"/>
      <c r="D60" s="14"/>
      <c r="E60" s="15"/>
      <c r="F60" s="16" t="str">
        <f aca="false">IF(OR(C60="",D60=""),"",EDATE(D60,IFERROR(INDEX(Paketler!$B$5:$B$24,MATCH(C60,Paketler!$A$5:$A$24,0)),0))-1)</f>
        <v/>
      </c>
      <c r="G60" s="17" t="str">
        <f aca="false">IF(F60="","",IFERROR(INDEX(Paketler!$C$5:$C$24,MATCH(C60,Paketler!$A$5:$A$24,0)),0))</f>
        <v/>
      </c>
      <c r="H60" s="17" t="str">
        <f aca="false">IF(F60="","",G60-E60)</f>
        <v/>
      </c>
      <c r="I60" s="18" t="str">
        <f aca="true">IF(F60="","",F60-TODAY())</f>
        <v/>
      </c>
      <c r="J60" s="19" t="str">
        <f aca="true">IF(F60="","",IF(TODAY()&lt;D60,"Başlamadı",IF(TODAY()&gt;F60,"Bitti",IF(F60-TODAY()&lt;=7,"Bitiyor","Aktif"))))</f>
        <v/>
      </c>
      <c r="K60" s="19" t="str">
        <f aca="false">IF(OR(J60="Aktif",J60="Bitiyor"),F60+ROW()/1000000,"")</f>
        <v/>
      </c>
    </row>
    <row r="61" customFormat="false" ht="15" hidden="false" customHeight="false" outlineLevel="0" collapsed="false">
      <c r="A61" s="12"/>
      <c r="B61" s="12"/>
      <c r="C61" s="13"/>
      <c r="D61" s="14"/>
      <c r="E61" s="15"/>
      <c r="F61" s="16" t="str">
        <f aca="false">IF(OR(C61="",D61=""),"",EDATE(D61,IFERROR(INDEX(Paketler!$B$5:$B$24,MATCH(C61,Paketler!$A$5:$A$24,0)),0))-1)</f>
        <v/>
      </c>
      <c r="G61" s="17" t="str">
        <f aca="false">IF(F61="","",IFERROR(INDEX(Paketler!$C$5:$C$24,MATCH(C61,Paketler!$A$5:$A$24,0)),0))</f>
        <v/>
      </c>
      <c r="H61" s="17" t="str">
        <f aca="false">IF(F61="","",G61-E61)</f>
        <v/>
      </c>
      <c r="I61" s="18" t="str">
        <f aca="true">IF(F61="","",F61-TODAY())</f>
        <v/>
      </c>
      <c r="J61" s="19" t="str">
        <f aca="true">IF(F61="","",IF(TODAY()&lt;D61,"Başlamadı",IF(TODAY()&gt;F61,"Bitti",IF(F61-TODAY()&lt;=7,"Bitiyor","Aktif"))))</f>
        <v/>
      </c>
      <c r="K61" s="19" t="str">
        <f aca="false">IF(OR(J61="Aktif",J61="Bitiyor"),F61+ROW()/1000000,"")</f>
        <v/>
      </c>
    </row>
    <row r="62" customFormat="false" ht="15" hidden="false" customHeight="false" outlineLevel="0" collapsed="false">
      <c r="A62" s="12"/>
      <c r="B62" s="12"/>
      <c r="C62" s="13"/>
      <c r="D62" s="14"/>
      <c r="E62" s="15"/>
      <c r="F62" s="16" t="str">
        <f aca="false">IF(OR(C62="",D62=""),"",EDATE(D62,IFERROR(INDEX(Paketler!$B$5:$B$24,MATCH(C62,Paketler!$A$5:$A$24,0)),0))-1)</f>
        <v/>
      </c>
      <c r="G62" s="17" t="str">
        <f aca="false">IF(F62="","",IFERROR(INDEX(Paketler!$C$5:$C$24,MATCH(C62,Paketler!$A$5:$A$24,0)),0))</f>
        <v/>
      </c>
      <c r="H62" s="17" t="str">
        <f aca="false">IF(F62="","",G62-E62)</f>
        <v/>
      </c>
      <c r="I62" s="18" t="str">
        <f aca="true">IF(F62="","",F62-TODAY())</f>
        <v/>
      </c>
      <c r="J62" s="19" t="str">
        <f aca="true">IF(F62="","",IF(TODAY()&lt;D62,"Başlamadı",IF(TODAY()&gt;F62,"Bitti",IF(F62-TODAY()&lt;=7,"Bitiyor","Aktif"))))</f>
        <v/>
      </c>
      <c r="K62" s="19" t="str">
        <f aca="false">IF(OR(J62="Aktif",J62="Bitiyor"),F62+ROW()/1000000,"")</f>
        <v/>
      </c>
    </row>
    <row r="63" customFormat="false" ht="15" hidden="false" customHeight="false" outlineLevel="0" collapsed="false">
      <c r="A63" s="12"/>
      <c r="B63" s="12"/>
      <c r="C63" s="13"/>
      <c r="D63" s="14"/>
      <c r="E63" s="15"/>
      <c r="F63" s="16" t="str">
        <f aca="false">IF(OR(C63="",D63=""),"",EDATE(D63,IFERROR(INDEX(Paketler!$B$5:$B$24,MATCH(C63,Paketler!$A$5:$A$24,0)),0))-1)</f>
        <v/>
      </c>
      <c r="G63" s="17" t="str">
        <f aca="false">IF(F63="","",IFERROR(INDEX(Paketler!$C$5:$C$24,MATCH(C63,Paketler!$A$5:$A$24,0)),0))</f>
        <v/>
      </c>
      <c r="H63" s="17" t="str">
        <f aca="false">IF(F63="","",G63-E63)</f>
        <v/>
      </c>
      <c r="I63" s="18" t="str">
        <f aca="true">IF(F63="","",F63-TODAY())</f>
        <v/>
      </c>
      <c r="J63" s="19" t="str">
        <f aca="true">IF(F63="","",IF(TODAY()&lt;D63,"Başlamadı",IF(TODAY()&gt;F63,"Bitti",IF(F63-TODAY()&lt;=7,"Bitiyor","Aktif"))))</f>
        <v/>
      </c>
      <c r="K63" s="19" t="str">
        <f aca="false">IF(OR(J63="Aktif",J63="Bitiyor"),F63+ROW()/1000000,"")</f>
        <v/>
      </c>
    </row>
    <row r="64" customFormat="false" ht="15" hidden="false" customHeight="false" outlineLevel="0" collapsed="false">
      <c r="A64" s="12"/>
      <c r="B64" s="12"/>
      <c r="C64" s="13"/>
      <c r="D64" s="14"/>
      <c r="E64" s="15"/>
      <c r="F64" s="16" t="str">
        <f aca="false">IF(OR(C64="",D64=""),"",EDATE(D64,IFERROR(INDEX(Paketler!$B$5:$B$24,MATCH(C64,Paketler!$A$5:$A$24,0)),0))-1)</f>
        <v/>
      </c>
      <c r="G64" s="17" t="str">
        <f aca="false">IF(F64="","",IFERROR(INDEX(Paketler!$C$5:$C$24,MATCH(C64,Paketler!$A$5:$A$24,0)),0))</f>
        <v/>
      </c>
      <c r="H64" s="17" t="str">
        <f aca="false">IF(F64="","",G64-E64)</f>
        <v/>
      </c>
      <c r="I64" s="18" t="str">
        <f aca="true">IF(F64="","",F64-TODAY())</f>
        <v/>
      </c>
      <c r="J64" s="19" t="str">
        <f aca="true">IF(F64="","",IF(TODAY()&lt;D64,"Başlamadı",IF(TODAY()&gt;F64,"Bitti",IF(F64-TODAY()&lt;=7,"Bitiyor","Aktif"))))</f>
        <v/>
      </c>
      <c r="K64" s="19" t="str">
        <f aca="false">IF(OR(J64="Aktif",J64="Bitiyor"),F64+ROW()/1000000,"")</f>
        <v/>
      </c>
    </row>
    <row r="65" customFormat="false" ht="15" hidden="false" customHeight="false" outlineLevel="0" collapsed="false">
      <c r="A65" s="12"/>
      <c r="B65" s="12"/>
      <c r="C65" s="13"/>
      <c r="D65" s="14"/>
      <c r="E65" s="15"/>
      <c r="F65" s="16" t="str">
        <f aca="false">IF(OR(C65="",D65=""),"",EDATE(D65,IFERROR(INDEX(Paketler!$B$5:$B$24,MATCH(C65,Paketler!$A$5:$A$24,0)),0))-1)</f>
        <v/>
      </c>
      <c r="G65" s="17" t="str">
        <f aca="false">IF(F65="","",IFERROR(INDEX(Paketler!$C$5:$C$24,MATCH(C65,Paketler!$A$5:$A$24,0)),0))</f>
        <v/>
      </c>
      <c r="H65" s="17" t="str">
        <f aca="false">IF(F65="","",G65-E65)</f>
        <v/>
      </c>
      <c r="I65" s="18" t="str">
        <f aca="true">IF(F65="","",F65-TODAY())</f>
        <v/>
      </c>
      <c r="J65" s="19" t="str">
        <f aca="true">IF(F65="","",IF(TODAY()&lt;D65,"Başlamadı",IF(TODAY()&gt;F65,"Bitti",IF(F65-TODAY()&lt;=7,"Bitiyor","Aktif"))))</f>
        <v/>
      </c>
      <c r="K65" s="19" t="str">
        <f aca="false">IF(OR(J65="Aktif",J65="Bitiyor"),F65+ROW()/1000000,"")</f>
        <v/>
      </c>
    </row>
    <row r="66" customFormat="false" ht="15" hidden="false" customHeight="false" outlineLevel="0" collapsed="false">
      <c r="A66" s="12"/>
      <c r="B66" s="12"/>
      <c r="C66" s="13"/>
      <c r="D66" s="14"/>
      <c r="E66" s="15"/>
      <c r="F66" s="16" t="str">
        <f aca="false">IF(OR(C66="",D66=""),"",EDATE(D66,IFERROR(INDEX(Paketler!$B$5:$B$24,MATCH(C66,Paketler!$A$5:$A$24,0)),0))-1)</f>
        <v/>
      </c>
      <c r="G66" s="17" t="str">
        <f aca="false">IF(F66="","",IFERROR(INDEX(Paketler!$C$5:$C$24,MATCH(C66,Paketler!$A$5:$A$24,0)),0))</f>
        <v/>
      </c>
      <c r="H66" s="17" t="str">
        <f aca="false">IF(F66="","",G66-E66)</f>
        <v/>
      </c>
      <c r="I66" s="18" t="str">
        <f aca="true">IF(F66="","",F66-TODAY())</f>
        <v/>
      </c>
      <c r="J66" s="19" t="str">
        <f aca="true">IF(F66="","",IF(TODAY()&lt;D66,"Başlamadı",IF(TODAY()&gt;F66,"Bitti",IF(F66-TODAY()&lt;=7,"Bitiyor","Aktif"))))</f>
        <v/>
      </c>
      <c r="K66" s="19" t="str">
        <f aca="false">IF(OR(J66="Aktif",J66="Bitiyor"),F66+ROW()/1000000,"")</f>
        <v/>
      </c>
    </row>
    <row r="67" customFormat="false" ht="15" hidden="false" customHeight="false" outlineLevel="0" collapsed="false">
      <c r="A67" s="12"/>
      <c r="B67" s="12"/>
      <c r="C67" s="13"/>
      <c r="D67" s="14"/>
      <c r="E67" s="15"/>
      <c r="F67" s="16" t="str">
        <f aca="false">IF(OR(C67="",D67=""),"",EDATE(D67,IFERROR(INDEX(Paketler!$B$5:$B$24,MATCH(C67,Paketler!$A$5:$A$24,0)),0))-1)</f>
        <v/>
      </c>
      <c r="G67" s="17" t="str">
        <f aca="false">IF(F67="","",IFERROR(INDEX(Paketler!$C$5:$C$24,MATCH(C67,Paketler!$A$5:$A$24,0)),0))</f>
        <v/>
      </c>
      <c r="H67" s="17" t="str">
        <f aca="false">IF(F67="","",G67-E67)</f>
        <v/>
      </c>
      <c r="I67" s="18" t="str">
        <f aca="true">IF(F67="","",F67-TODAY())</f>
        <v/>
      </c>
      <c r="J67" s="19" t="str">
        <f aca="true">IF(F67="","",IF(TODAY()&lt;D67,"Başlamadı",IF(TODAY()&gt;F67,"Bitti",IF(F67-TODAY()&lt;=7,"Bitiyor","Aktif"))))</f>
        <v/>
      </c>
      <c r="K67" s="19" t="str">
        <f aca="false">IF(OR(J67="Aktif",J67="Bitiyor"),F67+ROW()/1000000,"")</f>
        <v/>
      </c>
    </row>
    <row r="68" customFormat="false" ht="15" hidden="false" customHeight="false" outlineLevel="0" collapsed="false">
      <c r="A68" s="12"/>
      <c r="B68" s="12"/>
      <c r="C68" s="13"/>
      <c r="D68" s="14"/>
      <c r="E68" s="15"/>
      <c r="F68" s="16" t="str">
        <f aca="false">IF(OR(C68="",D68=""),"",EDATE(D68,IFERROR(INDEX(Paketler!$B$5:$B$24,MATCH(C68,Paketler!$A$5:$A$24,0)),0))-1)</f>
        <v/>
      </c>
      <c r="G68" s="17" t="str">
        <f aca="false">IF(F68="","",IFERROR(INDEX(Paketler!$C$5:$C$24,MATCH(C68,Paketler!$A$5:$A$24,0)),0))</f>
        <v/>
      </c>
      <c r="H68" s="17" t="str">
        <f aca="false">IF(F68="","",G68-E68)</f>
        <v/>
      </c>
      <c r="I68" s="18" t="str">
        <f aca="true">IF(F68="","",F68-TODAY())</f>
        <v/>
      </c>
      <c r="J68" s="19" t="str">
        <f aca="true">IF(F68="","",IF(TODAY()&lt;D68,"Başlamadı",IF(TODAY()&gt;F68,"Bitti",IF(F68-TODAY()&lt;=7,"Bitiyor","Aktif"))))</f>
        <v/>
      </c>
      <c r="K68" s="19" t="str">
        <f aca="false">IF(OR(J68="Aktif",J68="Bitiyor"),F68+ROW()/1000000,"")</f>
        <v/>
      </c>
    </row>
    <row r="69" customFormat="false" ht="15" hidden="false" customHeight="false" outlineLevel="0" collapsed="false">
      <c r="A69" s="12"/>
      <c r="B69" s="12"/>
      <c r="C69" s="13"/>
      <c r="D69" s="14"/>
      <c r="E69" s="15"/>
      <c r="F69" s="16" t="str">
        <f aca="false">IF(OR(C69="",D69=""),"",EDATE(D69,IFERROR(INDEX(Paketler!$B$5:$B$24,MATCH(C69,Paketler!$A$5:$A$24,0)),0))-1)</f>
        <v/>
      </c>
      <c r="G69" s="17" t="str">
        <f aca="false">IF(F69="","",IFERROR(INDEX(Paketler!$C$5:$C$24,MATCH(C69,Paketler!$A$5:$A$24,0)),0))</f>
        <v/>
      </c>
      <c r="H69" s="17" t="str">
        <f aca="false">IF(F69="","",G69-E69)</f>
        <v/>
      </c>
      <c r="I69" s="18" t="str">
        <f aca="true">IF(F69="","",F69-TODAY())</f>
        <v/>
      </c>
      <c r="J69" s="19" t="str">
        <f aca="true">IF(F69="","",IF(TODAY()&lt;D69,"Başlamadı",IF(TODAY()&gt;F69,"Bitti",IF(F69-TODAY()&lt;=7,"Bitiyor","Aktif"))))</f>
        <v/>
      </c>
      <c r="K69" s="19" t="str">
        <f aca="false">IF(OR(J69="Aktif",J69="Bitiyor"),F69+ROW()/1000000,"")</f>
        <v/>
      </c>
    </row>
    <row r="70" customFormat="false" ht="15" hidden="false" customHeight="false" outlineLevel="0" collapsed="false">
      <c r="A70" s="12"/>
      <c r="B70" s="12"/>
      <c r="C70" s="13"/>
      <c r="D70" s="14"/>
      <c r="E70" s="15"/>
      <c r="F70" s="16" t="str">
        <f aca="false">IF(OR(C70="",D70=""),"",EDATE(D70,IFERROR(INDEX(Paketler!$B$5:$B$24,MATCH(C70,Paketler!$A$5:$A$24,0)),0))-1)</f>
        <v/>
      </c>
      <c r="G70" s="17" t="str">
        <f aca="false">IF(F70="","",IFERROR(INDEX(Paketler!$C$5:$C$24,MATCH(C70,Paketler!$A$5:$A$24,0)),0))</f>
        <v/>
      </c>
      <c r="H70" s="17" t="str">
        <f aca="false">IF(F70="","",G70-E70)</f>
        <v/>
      </c>
      <c r="I70" s="18" t="str">
        <f aca="true">IF(F70="","",F70-TODAY())</f>
        <v/>
      </c>
      <c r="J70" s="19" t="str">
        <f aca="true">IF(F70="","",IF(TODAY()&lt;D70,"Başlamadı",IF(TODAY()&gt;F70,"Bitti",IF(F70-TODAY()&lt;=7,"Bitiyor","Aktif"))))</f>
        <v/>
      </c>
      <c r="K70" s="19" t="str">
        <f aca="false">IF(OR(J70="Aktif",J70="Bitiyor"),F70+ROW()/1000000,"")</f>
        <v/>
      </c>
    </row>
    <row r="71" customFormat="false" ht="15" hidden="false" customHeight="false" outlineLevel="0" collapsed="false">
      <c r="A71" s="12"/>
      <c r="B71" s="12"/>
      <c r="C71" s="13"/>
      <c r="D71" s="14"/>
      <c r="E71" s="15"/>
      <c r="F71" s="16" t="str">
        <f aca="false">IF(OR(C71="",D71=""),"",EDATE(D71,IFERROR(INDEX(Paketler!$B$5:$B$24,MATCH(C71,Paketler!$A$5:$A$24,0)),0))-1)</f>
        <v/>
      </c>
      <c r="G71" s="17" t="str">
        <f aca="false">IF(F71="","",IFERROR(INDEX(Paketler!$C$5:$C$24,MATCH(C71,Paketler!$A$5:$A$24,0)),0))</f>
        <v/>
      </c>
      <c r="H71" s="17" t="str">
        <f aca="false">IF(F71="","",G71-E71)</f>
        <v/>
      </c>
      <c r="I71" s="18" t="str">
        <f aca="true">IF(F71="","",F71-TODAY())</f>
        <v/>
      </c>
      <c r="J71" s="19" t="str">
        <f aca="true">IF(F71="","",IF(TODAY()&lt;D71,"Başlamadı",IF(TODAY()&gt;F71,"Bitti",IF(F71-TODAY()&lt;=7,"Bitiyor","Aktif"))))</f>
        <v/>
      </c>
      <c r="K71" s="19" t="str">
        <f aca="false">IF(OR(J71="Aktif",J71="Bitiyor"),F71+ROW()/1000000,"")</f>
        <v/>
      </c>
    </row>
    <row r="72" customFormat="false" ht="15" hidden="false" customHeight="false" outlineLevel="0" collapsed="false">
      <c r="A72" s="12"/>
      <c r="B72" s="12"/>
      <c r="C72" s="13"/>
      <c r="D72" s="14"/>
      <c r="E72" s="15"/>
      <c r="F72" s="16" t="str">
        <f aca="false">IF(OR(C72="",D72=""),"",EDATE(D72,IFERROR(INDEX(Paketler!$B$5:$B$24,MATCH(C72,Paketler!$A$5:$A$24,0)),0))-1)</f>
        <v/>
      </c>
      <c r="G72" s="17" t="str">
        <f aca="false">IF(F72="","",IFERROR(INDEX(Paketler!$C$5:$C$24,MATCH(C72,Paketler!$A$5:$A$24,0)),0))</f>
        <v/>
      </c>
      <c r="H72" s="17" t="str">
        <f aca="false">IF(F72="","",G72-E72)</f>
        <v/>
      </c>
      <c r="I72" s="18" t="str">
        <f aca="true">IF(F72="","",F72-TODAY())</f>
        <v/>
      </c>
      <c r="J72" s="19" t="str">
        <f aca="true">IF(F72="","",IF(TODAY()&lt;D72,"Başlamadı",IF(TODAY()&gt;F72,"Bitti",IF(F72-TODAY()&lt;=7,"Bitiyor","Aktif"))))</f>
        <v/>
      </c>
      <c r="K72" s="19" t="str">
        <f aca="false">IF(OR(J72="Aktif",J72="Bitiyor"),F72+ROW()/1000000,"")</f>
        <v/>
      </c>
    </row>
    <row r="73" customFormat="false" ht="15" hidden="false" customHeight="false" outlineLevel="0" collapsed="false">
      <c r="A73" s="12"/>
      <c r="B73" s="12"/>
      <c r="C73" s="13"/>
      <c r="D73" s="14"/>
      <c r="E73" s="15"/>
      <c r="F73" s="16" t="str">
        <f aca="false">IF(OR(C73="",D73=""),"",EDATE(D73,IFERROR(INDEX(Paketler!$B$5:$B$24,MATCH(C73,Paketler!$A$5:$A$24,0)),0))-1)</f>
        <v/>
      </c>
      <c r="G73" s="17" t="str">
        <f aca="false">IF(F73="","",IFERROR(INDEX(Paketler!$C$5:$C$24,MATCH(C73,Paketler!$A$5:$A$24,0)),0))</f>
        <v/>
      </c>
      <c r="H73" s="17" t="str">
        <f aca="false">IF(F73="","",G73-E73)</f>
        <v/>
      </c>
      <c r="I73" s="18" t="str">
        <f aca="true">IF(F73="","",F73-TODAY())</f>
        <v/>
      </c>
      <c r="J73" s="19" t="str">
        <f aca="true">IF(F73="","",IF(TODAY()&lt;D73,"Başlamadı",IF(TODAY()&gt;F73,"Bitti",IF(F73-TODAY()&lt;=7,"Bitiyor","Aktif"))))</f>
        <v/>
      </c>
      <c r="K73" s="19" t="str">
        <f aca="false">IF(OR(J73="Aktif",J73="Bitiyor"),F73+ROW()/1000000,"")</f>
        <v/>
      </c>
    </row>
    <row r="74" customFormat="false" ht="15" hidden="false" customHeight="false" outlineLevel="0" collapsed="false">
      <c r="A74" s="12"/>
      <c r="B74" s="12"/>
      <c r="C74" s="13"/>
      <c r="D74" s="14"/>
      <c r="E74" s="15"/>
      <c r="F74" s="16" t="str">
        <f aca="false">IF(OR(C74="",D74=""),"",EDATE(D74,IFERROR(INDEX(Paketler!$B$5:$B$24,MATCH(C74,Paketler!$A$5:$A$24,0)),0))-1)</f>
        <v/>
      </c>
      <c r="G74" s="17" t="str">
        <f aca="false">IF(F74="","",IFERROR(INDEX(Paketler!$C$5:$C$24,MATCH(C74,Paketler!$A$5:$A$24,0)),0))</f>
        <v/>
      </c>
      <c r="H74" s="17" t="str">
        <f aca="false">IF(F74="","",G74-E74)</f>
        <v/>
      </c>
      <c r="I74" s="18" t="str">
        <f aca="true">IF(F74="","",F74-TODAY())</f>
        <v/>
      </c>
      <c r="J74" s="19" t="str">
        <f aca="true">IF(F74="","",IF(TODAY()&lt;D74,"Başlamadı",IF(TODAY()&gt;F74,"Bitti",IF(F74-TODAY()&lt;=7,"Bitiyor","Aktif"))))</f>
        <v/>
      </c>
      <c r="K74" s="19" t="str">
        <f aca="false">IF(OR(J74="Aktif",J74="Bitiyor"),F74+ROW()/1000000,"")</f>
        <v/>
      </c>
    </row>
    <row r="75" customFormat="false" ht="15" hidden="false" customHeight="false" outlineLevel="0" collapsed="false">
      <c r="A75" s="12"/>
      <c r="B75" s="12"/>
      <c r="C75" s="13"/>
      <c r="D75" s="14"/>
      <c r="E75" s="15"/>
      <c r="F75" s="16" t="str">
        <f aca="false">IF(OR(C75="",D75=""),"",EDATE(D75,IFERROR(INDEX(Paketler!$B$5:$B$24,MATCH(C75,Paketler!$A$5:$A$24,0)),0))-1)</f>
        <v/>
      </c>
      <c r="G75" s="17" t="str">
        <f aca="false">IF(F75="","",IFERROR(INDEX(Paketler!$C$5:$C$24,MATCH(C75,Paketler!$A$5:$A$24,0)),0))</f>
        <v/>
      </c>
      <c r="H75" s="17" t="str">
        <f aca="false">IF(F75="","",G75-E75)</f>
        <v/>
      </c>
      <c r="I75" s="18" t="str">
        <f aca="true">IF(F75="","",F75-TODAY())</f>
        <v/>
      </c>
      <c r="J75" s="19" t="str">
        <f aca="true">IF(F75="","",IF(TODAY()&lt;D75,"Başlamadı",IF(TODAY()&gt;F75,"Bitti",IF(F75-TODAY()&lt;=7,"Bitiyor","Aktif"))))</f>
        <v/>
      </c>
      <c r="K75" s="19" t="str">
        <f aca="false">IF(OR(J75="Aktif",J75="Bitiyor"),F75+ROW()/1000000,"")</f>
        <v/>
      </c>
    </row>
    <row r="76" customFormat="false" ht="15" hidden="false" customHeight="false" outlineLevel="0" collapsed="false">
      <c r="A76" s="12"/>
      <c r="B76" s="12"/>
      <c r="C76" s="13"/>
      <c r="D76" s="14"/>
      <c r="E76" s="15"/>
      <c r="F76" s="16" t="str">
        <f aca="false">IF(OR(C76="",D76=""),"",EDATE(D76,IFERROR(INDEX(Paketler!$B$5:$B$24,MATCH(C76,Paketler!$A$5:$A$24,0)),0))-1)</f>
        <v/>
      </c>
      <c r="G76" s="17" t="str">
        <f aca="false">IF(F76="","",IFERROR(INDEX(Paketler!$C$5:$C$24,MATCH(C76,Paketler!$A$5:$A$24,0)),0))</f>
        <v/>
      </c>
      <c r="H76" s="17" t="str">
        <f aca="false">IF(F76="","",G76-E76)</f>
        <v/>
      </c>
      <c r="I76" s="18" t="str">
        <f aca="true">IF(F76="","",F76-TODAY())</f>
        <v/>
      </c>
      <c r="J76" s="19" t="str">
        <f aca="true">IF(F76="","",IF(TODAY()&lt;D76,"Başlamadı",IF(TODAY()&gt;F76,"Bitti",IF(F76-TODAY()&lt;=7,"Bitiyor","Aktif"))))</f>
        <v/>
      </c>
      <c r="K76" s="19" t="str">
        <f aca="false">IF(OR(J76="Aktif",J76="Bitiyor"),F76+ROW()/1000000,"")</f>
        <v/>
      </c>
    </row>
    <row r="77" customFormat="false" ht="15" hidden="false" customHeight="false" outlineLevel="0" collapsed="false">
      <c r="A77" s="12"/>
      <c r="B77" s="12"/>
      <c r="C77" s="13"/>
      <c r="D77" s="14"/>
      <c r="E77" s="15"/>
      <c r="F77" s="16" t="str">
        <f aca="false">IF(OR(C77="",D77=""),"",EDATE(D77,IFERROR(INDEX(Paketler!$B$5:$B$24,MATCH(C77,Paketler!$A$5:$A$24,0)),0))-1)</f>
        <v/>
      </c>
      <c r="G77" s="17" t="str">
        <f aca="false">IF(F77="","",IFERROR(INDEX(Paketler!$C$5:$C$24,MATCH(C77,Paketler!$A$5:$A$24,0)),0))</f>
        <v/>
      </c>
      <c r="H77" s="17" t="str">
        <f aca="false">IF(F77="","",G77-E77)</f>
        <v/>
      </c>
      <c r="I77" s="18" t="str">
        <f aca="true">IF(F77="","",F77-TODAY())</f>
        <v/>
      </c>
      <c r="J77" s="19" t="str">
        <f aca="true">IF(F77="","",IF(TODAY()&lt;D77,"Başlamadı",IF(TODAY()&gt;F77,"Bitti",IF(F77-TODAY()&lt;=7,"Bitiyor","Aktif"))))</f>
        <v/>
      </c>
      <c r="K77" s="19" t="str">
        <f aca="false">IF(OR(J77="Aktif",J77="Bitiyor"),F77+ROW()/1000000,"")</f>
        <v/>
      </c>
    </row>
    <row r="78" customFormat="false" ht="15" hidden="false" customHeight="false" outlineLevel="0" collapsed="false">
      <c r="A78" s="12"/>
      <c r="B78" s="12"/>
      <c r="C78" s="13"/>
      <c r="D78" s="14"/>
      <c r="E78" s="15"/>
      <c r="F78" s="16" t="str">
        <f aca="false">IF(OR(C78="",D78=""),"",EDATE(D78,IFERROR(INDEX(Paketler!$B$5:$B$24,MATCH(C78,Paketler!$A$5:$A$24,0)),0))-1)</f>
        <v/>
      </c>
      <c r="G78" s="17" t="str">
        <f aca="false">IF(F78="","",IFERROR(INDEX(Paketler!$C$5:$C$24,MATCH(C78,Paketler!$A$5:$A$24,0)),0))</f>
        <v/>
      </c>
      <c r="H78" s="17" t="str">
        <f aca="false">IF(F78="","",G78-E78)</f>
        <v/>
      </c>
      <c r="I78" s="18" t="str">
        <f aca="true">IF(F78="","",F78-TODAY())</f>
        <v/>
      </c>
      <c r="J78" s="19" t="str">
        <f aca="true">IF(F78="","",IF(TODAY()&lt;D78,"Başlamadı",IF(TODAY()&gt;F78,"Bitti",IF(F78-TODAY()&lt;=7,"Bitiyor","Aktif"))))</f>
        <v/>
      </c>
      <c r="K78" s="19" t="str">
        <f aca="false">IF(OR(J78="Aktif",J78="Bitiyor"),F78+ROW()/1000000,"")</f>
        <v/>
      </c>
    </row>
    <row r="79" customFormat="false" ht="15" hidden="false" customHeight="false" outlineLevel="0" collapsed="false">
      <c r="A79" s="12"/>
      <c r="B79" s="12"/>
      <c r="C79" s="13"/>
      <c r="D79" s="14"/>
      <c r="E79" s="15"/>
      <c r="F79" s="16" t="str">
        <f aca="false">IF(OR(C79="",D79=""),"",EDATE(D79,IFERROR(INDEX(Paketler!$B$5:$B$24,MATCH(C79,Paketler!$A$5:$A$24,0)),0))-1)</f>
        <v/>
      </c>
      <c r="G79" s="17" t="str">
        <f aca="false">IF(F79="","",IFERROR(INDEX(Paketler!$C$5:$C$24,MATCH(C79,Paketler!$A$5:$A$24,0)),0))</f>
        <v/>
      </c>
      <c r="H79" s="17" t="str">
        <f aca="false">IF(F79="","",G79-E79)</f>
        <v/>
      </c>
      <c r="I79" s="18" t="str">
        <f aca="true">IF(F79="","",F79-TODAY())</f>
        <v/>
      </c>
      <c r="J79" s="19" t="str">
        <f aca="true">IF(F79="","",IF(TODAY()&lt;D79,"Başlamadı",IF(TODAY()&gt;F79,"Bitti",IF(F79-TODAY()&lt;=7,"Bitiyor","Aktif"))))</f>
        <v/>
      </c>
      <c r="K79" s="19" t="str">
        <f aca="false">IF(OR(J79="Aktif",J79="Bitiyor"),F79+ROW()/1000000,"")</f>
        <v/>
      </c>
    </row>
    <row r="80" customFormat="false" ht="15" hidden="false" customHeight="false" outlineLevel="0" collapsed="false">
      <c r="A80" s="12"/>
      <c r="B80" s="12"/>
      <c r="C80" s="13"/>
      <c r="D80" s="14"/>
      <c r="E80" s="15"/>
      <c r="F80" s="16" t="str">
        <f aca="false">IF(OR(C80="",D80=""),"",EDATE(D80,IFERROR(INDEX(Paketler!$B$5:$B$24,MATCH(C80,Paketler!$A$5:$A$24,0)),0))-1)</f>
        <v/>
      </c>
      <c r="G80" s="17" t="str">
        <f aca="false">IF(F80="","",IFERROR(INDEX(Paketler!$C$5:$C$24,MATCH(C80,Paketler!$A$5:$A$24,0)),0))</f>
        <v/>
      </c>
      <c r="H80" s="17" t="str">
        <f aca="false">IF(F80="","",G80-E80)</f>
        <v/>
      </c>
      <c r="I80" s="18" t="str">
        <f aca="true">IF(F80="","",F80-TODAY())</f>
        <v/>
      </c>
      <c r="J80" s="19" t="str">
        <f aca="true">IF(F80="","",IF(TODAY()&lt;D80,"Başlamadı",IF(TODAY()&gt;F80,"Bitti",IF(F80-TODAY()&lt;=7,"Bitiyor","Aktif"))))</f>
        <v/>
      </c>
      <c r="K80" s="19" t="str">
        <f aca="false">IF(OR(J80="Aktif",J80="Bitiyor"),F80+ROW()/1000000,"")</f>
        <v/>
      </c>
    </row>
    <row r="81" customFormat="false" ht="15" hidden="false" customHeight="false" outlineLevel="0" collapsed="false">
      <c r="A81" s="12"/>
      <c r="B81" s="12"/>
      <c r="C81" s="13"/>
      <c r="D81" s="14"/>
      <c r="E81" s="15"/>
      <c r="F81" s="16" t="str">
        <f aca="false">IF(OR(C81="",D81=""),"",EDATE(D81,IFERROR(INDEX(Paketler!$B$5:$B$24,MATCH(C81,Paketler!$A$5:$A$24,0)),0))-1)</f>
        <v/>
      </c>
      <c r="G81" s="17" t="str">
        <f aca="false">IF(F81="","",IFERROR(INDEX(Paketler!$C$5:$C$24,MATCH(C81,Paketler!$A$5:$A$24,0)),0))</f>
        <v/>
      </c>
      <c r="H81" s="17" t="str">
        <f aca="false">IF(F81="","",G81-E81)</f>
        <v/>
      </c>
      <c r="I81" s="18" t="str">
        <f aca="true">IF(F81="","",F81-TODAY())</f>
        <v/>
      </c>
      <c r="J81" s="19" t="str">
        <f aca="true">IF(F81="","",IF(TODAY()&lt;D81,"Başlamadı",IF(TODAY()&gt;F81,"Bitti",IF(F81-TODAY()&lt;=7,"Bitiyor","Aktif"))))</f>
        <v/>
      </c>
      <c r="K81" s="19" t="str">
        <f aca="false">IF(OR(J81="Aktif",J81="Bitiyor"),F81+ROW()/1000000,"")</f>
        <v/>
      </c>
    </row>
    <row r="82" customFormat="false" ht="15" hidden="false" customHeight="false" outlineLevel="0" collapsed="false">
      <c r="A82" s="12"/>
      <c r="B82" s="12"/>
      <c r="C82" s="13"/>
      <c r="D82" s="14"/>
      <c r="E82" s="15"/>
      <c r="F82" s="16" t="str">
        <f aca="false">IF(OR(C82="",D82=""),"",EDATE(D82,IFERROR(INDEX(Paketler!$B$5:$B$24,MATCH(C82,Paketler!$A$5:$A$24,0)),0))-1)</f>
        <v/>
      </c>
      <c r="G82" s="17" t="str">
        <f aca="false">IF(F82="","",IFERROR(INDEX(Paketler!$C$5:$C$24,MATCH(C82,Paketler!$A$5:$A$24,0)),0))</f>
        <v/>
      </c>
      <c r="H82" s="17" t="str">
        <f aca="false">IF(F82="","",G82-E82)</f>
        <v/>
      </c>
      <c r="I82" s="18" t="str">
        <f aca="true">IF(F82="","",F82-TODAY())</f>
        <v/>
      </c>
      <c r="J82" s="19" t="str">
        <f aca="true">IF(F82="","",IF(TODAY()&lt;D82,"Başlamadı",IF(TODAY()&gt;F82,"Bitti",IF(F82-TODAY()&lt;=7,"Bitiyor","Aktif"))))</f>
        <v/>
      </c>
      <c r="K82" s="19" t="str">
        <f aca="false">IF(OR(J82="Aktif",J82="Bitiyor"),F82+ROW()/1000000,"")</f>
        <v/>
      </c>
    </row>
    <row r="83" customFormat="false" ht="15" hidden="false" customHeight="false" outlineLevel="0" collapsed="false">
      <c r="A83" s="12"/>
      <c r="B83" s="12"/>
      <c r="C83" s="13"/>
      <c r="D83" s="14"/>
      <c r="E83" s="15"/>
      <c r="F83" s="16" t="str">
        <f aca="false">IF(OR(C83="",D83=""),"",EDATE(D83,IFERROR(INDEX(Paketler!$B$5:$B$24,MATCH(C83,Paketler!$A$5:$A$24,0)),0))-1)</f>
        <v/>
      </c>
      <c r="G83" s="17" t="str">
        <f aca="false">IF(F83="","",IFERROR(INDEX(Paketler!$C$5:$C$24,MATCH(C83,Paketler!$A$5:$A$24,0)),0))</f>
        <v/>
      </c>
      <c r="H83" s="17" t="str">
        <f aca="false">IF(F83="","",G83-E83)</f>
        <v/>
      </c>
      <c r="I83" s="18" t="str">
        <f aca="true">IF(F83="","",F83-TODAY())</f>
        <v/>
      </c>
      <c r="J83" s="19" t="str">
        <f aca="true">IF(F83="","",IF(TODAY()&lt;D83,"Başlamadı",IF(TODAY()&gt;F83,"Bitti",IF(F83-TODAY()&lt;=7,"Bitiyor","Aktif"))))</f>
        <v/>
      </c>
      <c r="K83" s="19" t="str">
        <f aca="false">IF(OR(J83="Aktif",J83="Bitiyor"),F83+ROW()/1000000,"")</f>
        <v/>
      </c>
    </row>
    <row r="84" customFormat="false" ht="15" hidden="false" customHeight="false" outlineLevel="0" collapsed="false">
      <c r="A84" s="12"/>
      <c r="B84" s="12"/>
      <c r="C84" s="13"/>
      <c r="D84" s="14"/>
      <c r="E84" s="15"/>
      <c r="F84" s="16" t="str">
        <f aca="false">IF(OR(C84="",D84=""),"",EDATE(D84,IFERROR(INDEX(Paketler!$B$5:$B$24,MATCH(C84,Paketler!$A$5:$A$24,0)),0))-1)</f>
        <v/>
      </c>
      <c r="G84" s="17" t="str">
        <f aca="false">IF(F84="","",IFERROR(INDEX(Paketler!$C$5:$C$24,MATCH(C84,Paketler!$A$5:$A$24,0)),0))</f>
        <v/>
      </c>
      <c r="H84" s="17" t="str">
        <f aca="false">IF(F84="","",G84-E84)</f>
        <v/>
      </c>
      <c r="I84" s="18" t="str">
        <f aca="true">IF(F84="","",F84-TODAY())</f>
        <v/>
      </c>
      <c r="J84" s="19" t="str">
        <f aca="true">IF(F84="","",IF(TODAY()&lt;D84,"Başlamadı",IF(TODAY()&gt;F84,"Bitti",IF(F84-TODAY()&lt;=7,"Bitiyor","Aktif"))))</f>
        <v/>
      </c>
      <c r="K84" s="19" t="str">
        <f aca="false">IF(OR(J84="Aktif",J84="Bitiyor"),F84+ROW()/1000000,"")</f>
        <v/>
      </c>
    </row>
    <row r="85" customFormat="false" ht="15" hidden="false" customHeight="false" outlineLevel="0" collapsed="false">
      <c r="A85" s="12"/>
      <c r="B85" s="12"/>
      <c r="C85" s="13"/>
      <c r="D85" s="14"/>
      <c r="E85" s="15"/>
      <c r="F85" s="16" t="str">
        <f aca="false">IF(OR(C85="",D85=""),"",EDATE(D85,IFERROR(INDEX(Paketler!$B$5:$B$24,MATCH(C85,Paketler!$A$5:$A$24,0)),0))-1)</f>
        <v/>
      </c>
      <c r="G85" s="17" t="str">
        <f aca="false">IF(F85="","",IFERROR(INDEX(Paketler!$C$5:$C$24,MATCH(C85,Paketler!$A$5:$A$24,0)),0))</f>
        <v/>
      </c>
      <c r="H85" s="17" t="str">
        <f aca="false">IF(F85="","",G85-E85)</f>
        <v/>
      </c>
      <c r="I85" s="18" t="str">
        <f aca="true">IF(F85="","",F85-TODAY())</f>
        <v/>
      </c>
      <c r="J85" s="19" t="str">
        <f aca="true">IF(F85="","",IF(TODAY()&lt;D85,"Başlamadı",IF(TODAY()&gt;F85,"Bitti",IF(F85-TODAY()&lt;=7,"Bitiyor","Aktif"))))</f>
        <v/>
      </c>
      <c r="K85" s="19" t="str">
        <f aca="false">IF(OR(J85="Aktif",J85="Bitiyor"),F85+ROW()/1000000,"")</f>
        <v/>
      </c>
    </row>
    <row r="86" customFormat="false" ht="15" hidden="false" customHeight="false" outlineLevel="0" collapsed="false">
      <c r="A86" s="12"/>
      <c r="B86" s="12"/>
      <c r="C86" s="13"/>
      <c r="D86" s="14"/>
      <c r="E86" s="15"/>
      <c r="F86" s="16" t="str">
        <f aca="false">IF(OR(C86="",D86=""),"",EDATE(D86,IFERROR(INDEX(Paketler!$B$5:$B$24,MATCH(C86,Paketler!$A$5:$A$24,0)),0))-1)</f>
        <v/>
      </c>
      <c r="G86" s="17" t="str">
        <f aca="false">IF(F86="","",IFERROR(INDEX(Paketler!$C$5:$C$24,MATCH(C86,Paketler!$A$5:$A$24,0)),0))</f>
        <v/>
      </c>
      <c r="H86" s="17" t="str">
        <f aca="false">IF(F86="","",G86-E86)</f>
        <v/>
      </c>
      <c r="I86" s="18" t="str">
        <f aca="true">IF(F86="","",F86-TODAY())</f>
        <v/>
      </c>
      <c r="J86" s="19" t="str">
        <f aca="true">IF(F86="","",IF(TODAY()&lt;D86,"Başlamadı",IF(TODAY()&gt;F86,"Bitti",IF(F86-TODAY()&lt;=7,"Bitiyor","Aktif"))))</f>
        <v/>
      </c>
      <c r="K86" s="19" t="str">
        <f aca="false">IF(OR(J86="Aktif",J86="Bitiyor"),F86+ROW()/1000000,"")</f>
        <v/>
      </c>
    </row>
    <row r="87" customFormat="false" ht="15" hidden="false" customHeight="false" outlineLevel="0" collapsed="false">
      <c r="A87" s="12"/>
      <c r="B87" s="12"/>
      <c r="C87" s="13"/>
      <c r="D87" s="14"/>
      <c r="E87" s="15"/>
      <c r="F87" s="16" t="str">
        <f aca="false">IF(OR(C87="",D87=""),"",EDATE(D87,IFERROR(INDEX(Paketler!$B$5:$B$24,MATCH(C87,Paketler!$A$5:$A$24,0)),0))-1)</f>
        <v/>
      </c>
      <c r="G87" s="17" t="str">
        <f aca="false">IF(F87="","",IFERROR(INDEX(Paketler!$C$5:$C$24,MATCH(C87,Paketler!$A$5:$A$24,0)),0))</f>
        <v/>
      </c>
      <c r="H87" s="17" t="str">
        <f aca="false">IF(F87="","",G87-E87)</f>
        <v/>
      </c>
      <c r="I87" s="18" t="str">
        <f aca="true">IF(F87="","",F87-TODAY())</f>
        <v/>
      </c>
      <c r="J87" s="19" t="str">
        <f aca="true">IF(F87="","",IF(TODAY()&lt;D87,"Başlamadı",IF(TODAY()&gt;F87,"Bitti",IF(F87-TODAY()&lt;=7,"Bitiyor","Aktif"))))</f>
        <v/>
      </c>
      <c r="K87" s="19" t="str">
        <f aca="false">IF(OR(J87="Aktif",J87="Bitiyor"),F87+ROW()/1000000,"")</f>
        <v/>
      </c>
    </row>
    <row r="88" customFormat="false" ht="15" hidden="false" customHeight="false" outlineLevel="0" collapsed="false">
      <c r="A88" s="12"/>
      <c r="B88" s="12"/>
      <c r="C88" s="13"/>
      <c r="D88" s="14"/>
      <c r="E88" s="15"/>
      <c r="F88" s="16" t="str">
        <f aca="false">IF(OR(C88="",D88=""),"",EDATE(D88,IFERROR(INDEX(Paketler!$B$5:$B$24,MATCH(C88,Paketler!$A$5:$A$24,0)),0))-1)</f>
        <v/>
      </c>
      <c r="G88" s="17" t="str">
        <f aca="false">IF(F88="","",IFERROR(INDEX(Paketler!$C$5:$C$24,MATCH(C88,Paketler!$A$5:$A$24,0)),0))</f>
        <v/>
      </c>
      <c r="H88" s="17" t="str">
        <f aca="false">IF(F88="","",G88-E88)</f>
        <v/>
      </c>
      <c r="I88" s="18" t="str">
        <f aca="true">IF(F88="","",F88-TODAY())</f>
        <v/>
      </c>
      <c r="J88" s="19" t="str">
        <f aca="true">IF(F88="","",IF(TODAY()&lt;D88,"Başlamadı",IF(TODAY()&gt;F88,"Bitti",IF(F88-TODAY()&lt;=7,"Bitiyor","Aktif"))))</f>
        <v/>
      </c>
      <c r="K88" s="19" t="str">
        <f aca="false">IF(OR(J88="Aktif",J88="Bitiyor"),F88+ROW()/1000000,"")</f>
        <v/>
      </c>
    </row>
    <row r="89" customFormat="false" ht="15" hidden="false" customHeight="false" outlineLevel="0" collapsed="false">
      <c r="A89" s="12"/>
      <c r="B89" s="12"/>
      <c r="C89" s="13"/>
      <c r="D89" s="14"/>
      <c r="E89" s="15"/>
      <c r="F89" s="16" t="str">
        <f aca="false">IF(OR(C89="",D89=""),"",EDATE(D89,IFERROR(INDEX(Paketler!$B$5:$B$24,MATCH(C89,Paketler!$A$5:$A$24,0)),0))-1)</f>
        <v/>
      </c>
      <c r="G89" s="17" t="str">
        <f aca="false">IF(F89="","",IFERROR(INDEX(Paketler!$C$5:$C$24,MATCH(C89,Paketler!$A$5:$A$24,0)),0))</f>
        <v/>
      </c>
      <c r="H89" s="17" t="str">
        <f aca="false">IF(F89="","",G89-E89)</f>
        <v/>
      </c>
      <c r="I89" s="18" t="str">
        <f aca="true">IF(F89="","",F89-TODAY())</f>
        <v/>
      </c>
      <c r="J89" s="19" t="str">
        <f aca="true">IF(F89="","",IF(TODAY()&lt;D89,"Başlamadı",IF(TODAY()&gt;F89,"Bitti",IF(F89-TODAY()&lt;=7,"Bitiyor","Aktif"))))</f>
        <v/>
      </c>
      <c r="K89" s="19" t="str">
        <f aca="false">IF(OR(J89="Aktif",J89="Bitiyor"),F89+ROW()/1000000,"")</f>
        <v/>
      </c>
    </row>
    <row r="90" customFormat="false" ht="15" hidden="false" customHeight="false" outlineLevel="0" collapsed="false">
      <c r="A90" s="12"/>
      <c r="B90" s="12"/>
      <c r="C90" s="13"/>
      <c r="D90" s="14"/>
      <c r="E90" s="15"/>
      <c r="F90" s="16" t="str">
        <f aca="false">IF(OR(C90="",D90=""),"",EDATE(D90,IFERROR(INDEX(Paketler!$B$5:$B$24,MATCH(C90,Paketler!$A$5:$A$24,0)),0))-1)</f>
        <v/>
      </c>
      <c r="G90" s="17" t="str">
        <f aca="false">IF(F90="","",IFERROR(INDEX(Paketler!$C$5:$C$24,MATCH(C90,Paketler!$A$5:$A$24,0)),0))</f>
        <v/>
      </c>
      <c r="H90" s="17" t="str">
        <f aca="false">IF(F90="","",G90-E90)</f>
        <v/>
      </c>
      <c r="I90" s="18" t="str">
        <f aca="true">IF(F90="","",F90-TODAY())</f>
        <v/>
      </c>
      <c r="J90" s="19" t="str">
        <f aca="true">IF(F90="","",IF(TODAY()&lt;D90,"Başlamadı",IF(TODAY()&gt;F90,"Bitti",IF(F90-TODAY()&lt;=7,"Bitiyor","Aktif"))))</f>
        <v/>
      </c>
      <c r="K90" s="19" t="str">
        <f aca="false">IF(OR(J90="Aktif",J90="Bitiyor"),F90+ROW()/1000000,"")</f>
        <v/>
      </c>
    </row>
    <row r="91" customFormat="false" ht="15" hidden="false" customHeight="false" outlineLevel="0" collapsed="false">
      <c r="A91" s="12"/>
      <c r="B91" s="12"/>
      <c r="C91" s="13"/>
      <c r="D91" s="14"/>
      <c r="E91" s="15"/>
      <c r="F91" s="16" t="str">
        <f aca="false">IF(OR(C91="",D91=""),"",EDATE(D91,IFERROR(INDEX(Paketler!$B$5:$B$24,MATCH(C91,Paketler!$A$5:$A$24,0)),0))-1)</f>
        <v/>
      </c>
      <c r="G91" s="17" t="str">
        <f aca="false">IF(F91="","",IFERROR(INDEX(Paketler!$C$5:$C$24,MATCH(C91,Paketler!$A$5:$A$24,0)),0))</f>
        <v/>
      </c>
      <c r="H91" s="17" t="str">
        <f aca="false">IF(F91="","",G91-E91)</f>
        <v/>
      </c>
      <c r="I91" s="18" t="str">
        <f aca="true">IF(F91="","",F91-TODAY())</f>
        <v/>
      </c>
      <c r="J91" s="19" t="str">
        <f aca="true">IF(F91="","",IF(TODAY()&lt;D91,"Başlamadı",IF(TODAY()&gt;F91,"Bitti",IF(F91-TODAY()&lt;=7,"Bitiyor","Aktif"))))</f>
        <v/>
      </c>
      <c r="K91" s="19" t="str">
        <f aca="false">IF(OR(J91="Aktif",J91="Bitiyor"),F91+ROW()/1000000,"")</f>
        <v/>
      </c>
    </row>
    <row r="92" customFormat="false" ht="15" hidden="false" customHeight="false" outlineLevel="0" collapsed="false">
      <c r="A92" s="12"/>
      <c r="B92" s="12"/>
      <c r="C92" s="13"/>
      <c r="D92" s="14"/>
      <c r="E92" s="15"/>
      <c r="F92" s="16" t="str">
        <f aca="false">IF(OR(C92="",D92=""),"",EDATE(D92,IFERROR(INDEX(Paketler!$B$5:$B$24,MATCH(C92,Paketler!$A$5:$A$24,0)),0))-1)</f>
        <v/>
      </c>
      <c r="G92" s="17" t="str">
        <f aca="false">IF(F92="","",IFERROR(INDEX(Paketler!$C$5:$C$24,MATCH(C92,Paketler!$A$5:$A$24,0)),0))</f>
        <v/>
      </c>
      <c r="H92" s="17" t="str">
        <f aca="false">IF(F92="","",G92-E92)</f>
        <v/>
      </c>
      <c r="I92" s="18" t="str">
        <f aca="true">IF(F92="","",F92-TODAY())</f>
        <v/>
      </c>
      <c r="J92" s="19" t="str">
        <f aca="true">IF(F92="","",IF(TODAY()&lt;D92,"Başlamadı",IF(TODAY()&gt;F92,"Bitti",IF(F92-TODAY()&lt;=7,"Bitiyor","Aktif"))))</f>
        <v/>
      </c>
      <c r="K92" s="19" t="str">
        <f aca="false">IF(OR(J92="Aktif",J92="Bitiyor"),F92+ROW()/1000000,"")</f>
        <v/>
      </c>
    </row>
    <row r="93" customFormat="false" ht="15" hidden="false" customHeight="false" outlineLevel="0" collapsed="false">
      <c r="A93" s="12"/>
      <c r="B93" s="12"/>
      <c r="C93" s="13"/>
      <c r="D93" s="14"/>
      <c r="E93" s="15"/>
      <c r="F93" s="16" t="str">
        <f aca="false">IF(OR(C93="",D93=""),"",EDATE(D93,IFERROR(INDEX(Paketler!$B$5:$B$24,MATCH(C93,Paketler!$A$5:$A$24,0)),0))-1)</f>
        <v/>
      </c>
      <c r="G93" s="17" t="str">
        <f aca="false">IF(F93="","",IFERROR(INDEX(Paketler!$C$5:$C$24,MATCH(C93,Paketler!$A$5:$A$24,0)),0))</f>
        <v/>
      </c>
      <c r="H93" s="17" t="str">
        <f aca="false">IF(F93="","",G93-E93)</f>
        <v/>
      </c>
      <c r="I93" s="18" t="str">
        <f aca="true">IF(F93="","",F93-TODAY())</f>
        <v/>
      </c>
      <c r="J93" s="19" t="str">
        <f aca="true">IF(F93="","",IF(TODAY()&lt;D93,"Başlamadı",IF(TODAY()&gt;F93,"Bitti",IF(F93-TODAY()&lt;=7,"Bitiyor","Aktif"))))</f>
        <v/>
      </c>
      <c r="K93" s="19" t="str">
        <f aca="false">IF(OR(J93="Aktif",J93="Bitiyor"),F93+ROW()/1000000,"")</f>
        <v/>
      </c>
    </row>
    <row r="94" customFormat="false" ht="15" hidden="false" customHeight="false" outlineLevel="0" collapsed="false">
      <c r="A94" s="12"/>
      <c r="B94" s="12"/>
      <c r="C94" s="13"/>
      <c r="D94" s="14"/>
      <c r="E94" s="15"/>
      <c r="F94" s="16" t="str">
        <f aca="false">IF(OR(C94="",D94=""),"",EDATE(D94,IFERROR(INDEX(Paketler!$B$5:$B$24,MATCH(C94,Paketler!$A$5:$A$24,0)),0))-1)</f>
        <v/>
      </c>
      <c r="G94" s="17" t="str">
        <f aca="false">IF(F94="","",IFERROR(INDEX(Paketler!$C$5:$C$24,MATCH(C94,Paketler!$A$5:$A$24,0)),0))</f>
        <v/>
      </c>
      <c r="H94" s="17" t="str">
        <f aca="false">IF(F94="","",G94-E94)</f>
        <v/>
      </c>
      <c r="I94" s="18" t="str">
        <f aca="true">IF(F94="","",F94-TODAY())</f>
        <v/>
      </c>
      <c r="J94" s="19" t="str">
        <f aca="true">IF(F94="","",IF(TODAY()&lt;D94,"Başlamadı",IF(TODAY()&gt;F94,"Bitti",IF(F94-TODAY()&lt;=7,"Bitiyor","Aktif"))))</f>
        <v/>
      </c>
      <c r="K94" s="19" t="str">
        <f aca="false">IF(OR(J94="Aktif",J94="Bitiyor"),F94+ROW()/1000000,"")</f>
        <v/>
      </c>
    </row>
    <row r="95" customFormat="false" ht="15" hidden="false" customHeight="false" outlineLevel="0" collapsed="false">
      <c r="A95" s="12"/>
      <c r="B95" s="12"/>
      <c r="C95" s="13"/>
      <c r="D95" s="14"/>
      <c r="E95" s="15"/>
      <c r="F95" s="16" t="str">
        <f aca="false">IF(OR(C95="",D95=""),"",EDATE(D95,IFERROR(INDEX(Paketler!$B$5:$B$24,MATCH(C95,Paketler!$A$5:$A$24,0)),0))-1)</f>
        <v/>
      </c>
      <c r="G95" s="17" t="str">
        <f aca="false">IF(F95="","",IFERROR(INDEX(Paketler!$C$5:$C$24,MATCH(C95,Paketler!$A$5:$A$24,0)),0))</f>
        <v/>
      </c>
      <c r="H95" s="17" t="str">
        <f aca="false">IF(F95="","",G95-E95)</f>
        <v/>
      </c>
      <c r="I95" s="18" t="str">
        <f aca="true">IF(F95="","",F95-TODAY())</f>
        <v/>
      </c>
      <c r="J95" s="19" t="str">
        <f aca="true">IF(F95="","",IF(TODAY()&lt;D95,"Başlamadı",IF(TODAY()&gt;F95,"Bitti",IF(F95-TODAY()&lt;=7,"Bitiyor","Aktif"))))</f>
        <v/>
      </c>
      <c r="K95" s="19" t="str">
        <f aca="false">IF(OR(J95="Aktif",J95="Bitiyor"),F95+ROW()/1000000,"")</f>
        <v/>
      </c>
    </row>
    <row r="96" customFormat="false" ht="15" hidden="false" customHeight="false" outlineLevel="0" collapsed="false">
      <c r="A96" s="12"/>
      <c r="B96" s="12"/>
      <c r="C96" s="13"/>
      <c r="D96" s="14"/>
      <c r="E96" s="15"/>
      <c r="F96" s="16" t="str">
        <f aca="false">IF(OR(C96="",D96=""),"",EDATE(D96,IFERROR(INDEX(Paketler!$B$5:$B$24,MATCH(C96,Paketler!$A$5:$A$24,0)),0))-1)</f>
        <v/>
      </c>
      <c r="G96" s="17" t="str">
        <f aca="false">IF(F96="","",IFERROR(INDEX(Paketler!$C$5:$C$24,MATCH(C96,Paketler!$A$5:$A$24,0)),0))</f>
        <v/>
      </c>
      <c r="H96" s="17" t="str">
        <f aca="false">IF(F96="","",G96-E96)</f>
        <v/>
      </c>
      <c r="I96" s="18" t="str">
        <f aca="true">IF(F96="","",F96-TODAY())</f>
        <v/>
      </c>
      <c r="J96" s="19" t="str">
        <f aca="true">IF(F96="","",IF(TODAY()&lt;D96,"Başlamadı",IF(TODAY()&gt;F96,"Bitti",IF(F96-TODAY()&lt;=7,"Bitiyor","Aktif"))))</f>
        <v/>
      </c>
      <c r="K96" s="19" t="str">
        <f aca="false">IF(OR(J96="Aktif",J96="Bitiyor"),F96+ROW()/1000000,"")</f>
        <v/>
      </c>
    </row>
    <row r="97" customFormat="false" ht="15" hidden="false" customHeight="false" outlineLevel="0" collapsed="false">
      <c r="A97" s="12"/>
      <c r="B97" s="12"/>
      <c r="C97" s="13"/>
      <c r="D97" s="14"/>
      <c r="E97" s="15"/>
      <c r="F97" s="16" t="str">
        <f aca="false">IF(OR(C97="",D97=""),"",EDATE(D97,IFERROR(INDEX(Paketler!$B$5:$B$24,MATCH(C97,Paketler!$A$5:$A$24,0)),0))-1)</f>
        <v/>
      </c>
      <c r="G97" s="17" t="str">
        <f aca="false">IF(F97="","",IFERROR(INDEX(Paketler!$C$5:$C$24,MATCH(C97,Paketler!$A$5:$A$24,0)),0))</f>
        <v/>
      </c>
      <c r="H97" s="17" t="str">
        <f aca="false">IF(F97="","",G97-E97)</f>
        <v/>
      </c>
      <c r="I97" s="18" t="str">
        <f aca="true">IF(F97="","",F97-TODAY())</f>
        <v/>
      </c>
      <c r="J97" s="19" t="str">
        <f aca="true">IF(F97="","",IF(TODAY()&lt;D97,"Başlamadı",IF(TODAY()&gt;F97,"Bitti",IF(F97-TODAY()&lt;=7,"Bitiyor","Aktif"))))</f>
        <v/>
      </c>
      <c r="K97" s="19" t="str">
        <f aca="false">IF(OR(J97="Aktif",J97="Bitiyor"),F97+ROW()/1000000,"")</f>
        <v/>
      </c>
    </row>
    <row r="98" customFormat="false" ht="15" hidden="false" customHeight="false" outlineLevel="0" collapsed="false">
      <c r="A98" s="12"/>
      <c r="B98" s="12"/>
      <c r="C98" s="13"/>
      <c r="D98" s="14"/>
      <c r="E98" s="15"/>
      <c r="F98" s="16" t="str">
        <f aca="false">IF(OR(C98="",D98=""),"",EDATE(D98,IFERROR(INDEX(Paketler!$B$5:$B$24,MATCH(C98,Paketler!$A$5:$A$24,0)),0))-1)</f>
        <v/>
      </c>
      <c r="G98" s="17" t="str">
        <f aca="false">IF(F98="","",IFERROR(INDEX(Paketler!$C$5:$C$24,MATCH(C98,Paketler!$A$5:$A$24,0)),0))</f>
        <v/>
      </c>
      <c r="H98" s="17" t="str">
        <f aca="false">IF(F98="","",G98-E98)</f>
        <v/>
      </c>
      <c r="I98" s="18" t="str">
        <f aca="true">IF(F98="","",F98-TODAY())</f>
        <v/>
      </c>
      <c r="J98" s="19" t="str">
        <f aca="true">IF(F98="","",IF(TODAY()&lt;D98,"Başlamadı",IF(TODAY()&gt;F98,"Bitti",IF(F98-TODAY()&lt;=7,"Bitiyor","Aktif"))))</f>
        <v/>
      </c>
      <c r="K98" s="19" t="str">
        <f aca="false">IF(OR(J98="Aktif",J98="Bitiyor"),F98+ROW()/1000000,"")</f>
        <v/>
      </c>
    </row>
    <row r="99" customFormat="false" ht="15" hidden="false" customHeight="false" outlineLevel="0" collapsed="false">
      <c r="A99" s="12"/>
      <c r="B99" s="12"/>
      <c r="C99" s="13"/>
      <c r="D99" s="14"/>
      <c r="E99" s="15"/>
      <c r="F99" s="16" t="str">
        <f aca="false">IF(OR(C99="",D99=""),"",EDATE(D99,IFERROR(INDEX(Paketler!$B$5:$B$24,MATCH(C99,Paketler!$A$5:$A$24,0)),0))-1)</f>
        <v/>
      </c>
      <c r="G99" s="17" t="str">
        <f aca="false">IF(F99="","",IFERROR(INDEX(Paketler!$C$5:$C$24,MATCH(C99,Paketler!$A$5:$A$24,0)),0))</f>
        <v/>
      </c>
      <c r="H99" s="17" t="str">
        <f aca="false">IF(F99="","",G99-E99)</f>
        <v/>
      </c>
      <c r="I99" s="18" t="str">
        <f aca="true">IF(F99="","",F99-TODAY())</f>
        <v/>
      </c>
      <c r="J99" s="19" t="str">
        <f aca="true">IF(F99="","",IF(TODAY()&lt;D99,"Başlamadı",IF(TODAY()&gt;F99,"Bitti",IF(F99-TODAY()&lt;=7,"Bitiyor","Aktif"))))</f>
        <v/>
      </c>
      <c r="K99" s="19" t="str">
        <f aca="false">IF(OR(J99="Aktif",J99="Bitiyor"),F99+ROW()/1000000,"")</f>
        <v/>
      </c>
    </row>
    <row r="100" customFormat="false" ht="15" hidden="false" customHeight="false" outlineLevel="0" collapsed="false">
      <c r="A100" s="12"/>
      <c r="B100" s="12"/>
      <c r="C100" s="13"/>
      <c r="D100" s="14"/>
      <c r="E100" s="15"/>
      <c r="F100" s="16" t="str">
        <f aca="false">IF(OR(C100="",D100=""),"",EDATE(D100,IFERROR(INDEX(Paketler!$B$5:$B$24,MATCH(C100,Paketler!$A$5:$A$24,0)),0))-1)</f>
        <v/>
      </c>
      <c r="G100" s="17" t="str">
        <f aca="false">IF(F100="","",IFERROR(INDEX(Paketler!$C$5:$C$24,MATCH(C100,Paketler!$A$5:$A$24,0)),0))</f>
        <v/>
      </c>
      <c r="H100" s="17" t="str">
        <f aca="false">IF(F100="","",G100-E100)</f>
        <v/>
      </c>
      <c r="I100" s="18" t="str">
        <f aca="true">IF(F100="","",F100-TODAY())</f>
        <v/>
      </c>
      <c r="J100" s="19" t="str">
        <f aca="true">IF(F100="","",IF(TODAY()&lt;D100,"Başlamadı",IF(TODAY()&gt;F100,"Bitti",IF(F100-TODAY()&lt;=7,"Bitiyor","Aktif"))))</f>
        <v/>
      </c>
      <c r="K100" s="19" t="str">
        <f aca="false">IF(OR(J100="Aktif",J100="Bitiyor"),F100+ROW()/1000000,"")</f>
        <v/>
      </c>
    </row>
    <row r="101" customFormat="false" ht="15" hidden="false" customHeight="false" outlineLevel="0" collapsed="false">
      <c r="A101" s="12"/>
      <c r="B101" s="12"/>
      <c r="C101" s="13"/>
      <c r="D101" s="14"/>
      <c r="E101" s="15"/>
      <c r="F101" s="16" t="str">
        <f aca="false">IF(OR(C101="",D101=""),"",EDATE(D101,IFERROR(INDEX(Paketler!$B$5:$B$24,MATCH(C101,Paketler!$A$5:$A$24,0)),0))-1)</f>
        <v/>
      </c>
      <c r="G101" s="17" t="str">
        <f aca="false">IF(F101="","",IFERROR(INDEX(Paketler!$C$5:$C$24,MATCH(C101,Paketler!$A$5:$A$24,0)),0))</f>
        <v/>
      </c>
      <c r="H101" s="17" t="str">
        <f aca="false">IF(F101="","",G101-E101)</f>
        <v/>
      </c>
      <c r="I101" s="18" t="str">
        <f aca="true">IF(F101="","",F101-TODAY())</f>
        <v/>
      </c>
      <c r="J101" s="19" t="str">
        <f aca="true">IF(F101="","",IF(TODAY()&lt;D101,"Başlamadı",IF(TODAY()&gt;F101,"Bitti",IF(F101-TODAY()&lt;=7,"Bitiyor","Aktif"))))</f>
        <v/>
      </c>
      <c r="K101" s="19" t="str">
        <f aca="false">IF(OR(J101="Aktif",J101="Bitiyor"),F101+ROW()/1000000,"")</f>
        <v/>
      </c>
    </row>
    <row r="102" customFormat="false" ht="15" hidden="false" customHeight="false" outlineLevel="0" collapsed="false">
      <c r="A102" s="12"/>
      <c r="B102" s="12"/>
      <c r="C102" s="13"/>
      <c r="D102" s="14"/>
      <c r="E102" s="15"/>
      <c r="F102" s="16" t="str">
        <f aca="false">IF(OR(C102="",D102=""),"",EDATE(D102,IFERROR(INDEX(Paketler!$B$5:$B$24,MATCH(C102,Paketler!$A$5:$A$24,0)),0))-1)</f>
        <v/>
      </c>
      <c r="G102" s="17" t="str">
        <f aca="false">IF(F102="","",IFERROR(INDEX(Paketler!$C$5:$C$24,MATCH(C102,Paketler!$A$5:$A$24,0)),0))</f>
        <v/>
      </c>
      <c r="H102" s="17" t="str">
        <f aca="false">IF(F102="","",G102-E102)</f>
        <v/>
      </c>
      <c r="I102" s="18" t="str">
        <f aca="true">IF(F102="","",F102-TODAY())</f>
        <v/>
      </c>
      <c r="J102" s="19" t="str">
        <f aca="true">IF(F102="","",IF(TODAY()&lt;D102,"Başlamadı",IF(TODAY()&gt;F102,"Bitti",IF(F102-TODAY()&lt;=7,"Bitiyor","Aktif"))))</f>
        <v/>
      </c>
      <c r="K102" s="19" t="str">
        <f aca="false">IF(OR(J102="Aktif",J102="Bitiyor"),F102+ROW()/1000000,"")</f>
        <v/>
      </c>
    </row>
    <row r="103" customFormat="false" ht="15" hidden="false" customHeight="false" outlineLevel="0" collapsed="false">
      <c r="A103" s="12"/>
      <c r="B103" s="12"/>
      <c r="C103" s="13"/>
      <c r="D103" s="14"/>
      <c r="E103" s="15"/>
      <c r="F103" s="16" t="str">
        <f aca="false">IF(OR(C103="",D103=""),"",EDATE(D103,IFERROR(INDEX(Paketler!$B$5:$B$24,MATCH(C103,Paketler!$A$5:$A$24,0)),0))-1)</f>
        <v/>
      </c>
      <c r="G103" s="17" t="str">
        <f aca="false">IF(F103="","",IFERROR(INDEX(Paketler!$C$5:$C$24,MATCH(C103,Paketler!$A$5:$A$24,0)),0))</f>
        <v/>
      </c>
      <c r="H103" s="17" t="str">
        <f aca="false">IF(F103="","",G103-E103)</f>
        <v/>
      </c>
      <c r="I103" s="18" t="str">
        <f aca="true">IF(F103="","",F103-TODAY())</f>
        <v/>
      </c>
      <c r="J103" s="19" t="str">
        <f aca="true">IF(F103="","",IF(TODAY()&lt;D103,"Başlamadı",IF(TODAY()&gt;F103,"Bitti",IF(F103-TODAY()&lt;=7,"Bitiyor","Aktif"))))</f>
        <v/>
      </c>
      <c r="K103" s="19" t="str">
        <f aca="false">IF(OR(J103="Aktif",J103="Bitiyor"),F103+ROW()/1000000,"")</f>
        <v/>
      </c>
    </row>
    <row r="104" customFormat="false" ht="15" hidden="false" customHeight="false" outlineLevel="0" collapsed="false">
      <c r="A104" s="12"/>
      <c r="B104" s="12"/>
      <c r="C104" s="13"/>
      <c r="D104" s="14"/>
      <c r="E104" s="15"/>
      <c r="F104" s="16" t="str">
        <f aca="false">IF(OR(C104="",D104=""),"",EDATE(D104,IFERROR(INDEX(Paketler!$B$5:$B$24,MATCH(C104,Paketler!$A$5:$A$24,0)),0))-1)</f>
        <v/>
      </c>
      <c r="G104" s="17" t="str">
        <f aca="false">IF(F104="","",IFERROR(INDEX(Paketler!$C$5:$C$24,MATCH(C104,Paketler!$A$5:$A$24,0)),0))</f>
        <v/>
      </c>
      <c r="H104" s="17" t="str">
        <f aca="false">IF(F104="","",G104-E104)</f>
        <v/>
      </c>
      <c r="I104" s="18" t="str">
        <f aca="true">IF(F104="","",F104-TODAY())</f>
        <v/>
      </c>
      <c r="J104" s="19" t="str">
        <f aca="true">IF(F104="","",IF(TODAY()&lt;D104,"Başlamadı",IF(TODAY()&gt;F104,"Bitti",IF(F104-TODAY()&lt;=7,"Bitiyor","Aktif"))))</f>
        <v/>
      </c>
      <c r="K104" s="19" t="str">
        <f aca="false">IF(OR(J104="Aktif",J104="Bitiyor"),F104+ROW()/1000000,"")</f>
        <v/>
      </c>
    </row>
    <row r="105" customFormat="false" ht="15" hidden="false" customHeight="false" outlineLevel="0" collapsed="false">
      <c r="A105" s="12"/>
      <c r="B105" s="12"/>
      <c r="C105" s="13"/>
      <c r="D105" s="14"/>
      <c r="E105" s="15"/>
      <c r="F105" s="16" t="str">
        <f aca="false">IF(OR(C105="",D105=""),"",EDATE(D105,IFERROR(INDEX(Paketler!$B$5:$B$24,MATCH(C105,Paketler!$A$5:$A$24,0)),0))-1)</f>
        <v/>
      </c>
      <c r="G105" s="17" t="str">
        <f aca="false">IF(F105="","",IFERROR(INDEX(Paketler!$C$5:$C$24,MATCH(C105,Paketler!$A$5:$A$24,0)),0))</f>
        <v/>
      </c>
      <c r="H105" s="17" t="str">
        <f aca="false">IF(F105="","",G105-E105)</f>
        <v/>
      </c>
      <c r="I105" s="18" t="str">
        <f aca="true">IF(F105="","",F105-TODAY())</f>
        <v/>
      </c>
      <c r="J105" s="19" t="str">
        <f aca="true">IF(F105="","",IF(TODAY()&lt;D105,"Başlamadı",IF(TODAY()&gt;F105,"Bitti",IF(F105-TODAY()&lt;=7,"Bitiyor","Aktif"))))</f>
        <v/>
      </c>
      <c r="K105" s="19" t="str">
        <f aca="false">IF(OR(J105="Aktif",J105="Bitiyor"),F105+ROW()/1000000,"")</f>
        <v/>
      </c>
    </row>
    <row r="106" customFormat="false" ht="15" hidden="false" customHeight="false" outlineLevel="0" collapsed="false">
      <c r="A106" s="12"/>
      <c r="B106" s="12"/>
      <c r="C106" s="13"/>
      <c r="D106" s="14"/>
      <c r="E106" s="15"/>
      <c r="F106" s="16" t="str">
        <f aca="false">IF(OR(C106="",D106=""),"",EDATE(D106,IFERROR(INDEX(Paketler!$B$5:$B$24,MATCH(C106,Paketler!$A$5:$A$24,0)),0))-1)</f>
        <v/>
      </c>
      <c r="G106" s="17" t="str">
        <f aca="false">IF(F106="","",IFERROR(INDEX(Paketler!$C$5:$C$24,MATCH(C106,Paketler!$A$5:$A$24,0)),0))</f>
        <v/>
      </c>
      <c r="H106" s="17" t="str">
        <f aca="false">IF(F106="","",G106-E106)</f>
        <v/>
      </c>
      <c r="I106" s="18" t="str">
        <f aca="true">IF(F106="","",F106-TODAY())</f>
        <v/>
      </c>
      <c r="J106" s="19" t="str">
        <f aca="true">IF(F106="","",IF(TODAY()&lt;D106,"Başlamadı",IF(TODAY()&gt;F106,"Bitti",IF(F106-TODAY()&lt;=7,"Bitiyor","Aktif"))))</f>
        <v/>
      </c>
      <c r="K106" s="19" t="str">
        <f aca="false">IF(OR(J106="Aktif",J106="Bitiyor"),F106+ROW()/1000000,"")</f>
        <v/>
      </c>
    </row>
    <row r="107" customFormat="false" ht="15" hidden="false" customHeight="false" outlineLevel="0" collapsed="false">
      <c r="A107" s="12"/>
      <c r="B107" s="12"/>
      <c r="C107" s="13"/>
      <c r="D107" s="14"/>
      <c r="E107" s="15"/>
      <c r="F107" s="16" t="str">
        <f aca="false">IF(OR(C107="",D107=""),"",EDATE(D107,IFERROR(INDEX(Paketler!$B$5:$B$24,MATCH(C107,Paketler!$A$5:$A$24,0)),0))-1)</f>
        <v/>
      </c>
      <c r="G107" s="17" t="str">
        <f aca="false">IF(F107="","",IFERROR(INDEX(Paketler!$C$5:$C$24,MATCH(C107,Paketler!$A$5:$A$24,0)),0))</f>
        <v/>
      </c>
      <c r="H107" s="17" t="str">
        <f aca="false">IF(F107="","",G107-E107)</f>
        <v/>
      </c>
      <c r="I107" s="18" t="str">
        <f aca="true">IF(F107="","",F107-TODAY())</f>
        <v/>
      </c>
      <c r="J107" s="19" t="str">
        <f aca="true">IF(F107="","",IF(TODAY()&lt;D107,"Başlamadı",IF(TODAY()&gt;F107,"Bitti",IF(F107-TODAY()&lt;=7,"Bitiyor","Aktif"))))</f>
        <v/>
      </c>
      <c r="K107" s="19" t="str">
        <f aca="false">IF(OR(J107="Aktif",J107="Bitiyor"),F107+ROW()/1000000,"")</f>
        <v/>
      </c>
    </row>
    <row r="108" customFormat="false" ht="15" hidden="false" customHeight="false" outlineLevel="0" collapsed="false">
      <c r="A108" s="12"/>
      <c r="B108" s="12"/>
      <c r="C108" s="13"/>
      <c r="D108" s="14"/>
      <c r="E108" s="15"/>
      <c r="F108" s="16" t="str">
        <f aca="false">IF(OR(C108="",D108=""),"",EDATE(D108,IFERROR(INDEX(Paketler!$B$5:$B$24,MATCH(C108,Paketler!$A$5:$A$24,0)),0))-1)</f>
        <v/>
      </c>
      <c r="G108" s="17" t="str">
        <f aca="false">IF(F108="","",IFERROR(INDEX(Paketler!$C$5:$C$24,MATCH(C108,Paketler!$A$5:$A$24,0)),0))</f>
        <v/>
      </c>
      <c r="H108" s="17" t="str">
        <f aca="false">IF(F108="","",G108-E108)</f>
        <v/>
      </c>
      <c r="I108" s="18" t="str">
        <f aca="true">IF(F108="","",F108-TODAY())</f>
        <v/>
      </c>
      <c r="J108" s="19" t="str">
        <f aca="true">IF(F108="","",IF(TODAY()&lt;D108,"Başlamadı",IF(TODAY()&gt;F108,"Bitti",IF(F108-TODAY()&lt;=7,"Bitiyor","Aktif"))))</f>
        <v/>
      </c>
      <c r="K108" s="19" t="str">
        <f aca="false">IF(OR(J108="Aktif",J108="Bitiyor"),F108+ROW()/1000000,"")</f>
        <v/>
      </c>
    </row>
    <row r="109" customFormat="false" ht="15" hidden="false" customHeight="false" outlineLevel="0" collapsed="false">
      <c r="A109" s="12"/>
      <c r="B109" s="12"/>
      <c r="C109" s="13"/>
      <c r="D109" s="14"/>
      <c r="E109" s="15"/>
      <c r="F109" s="16" t="str">
        <f aca="false">IF(OR(C109="",D109=""),"",EDATE(D109,IFERROR(INDEX(Paketler!$B$5:$B$24,MATCH(C109,Paketler!$A$5:$A$24,0)),0))-1)</f>
        <v/>
      </c>
      <c r="G109" s="17" t="str">
        <f aca="false">IF(F109="","",IFERROR(INDEX(Paketler!$C$5:$C$24,MATCH(C109,Paketler!$A$5:$A$24,0)),0))</f>
        <v/>
      </c>
      <c r="H109" s="17" t="str">
        <f aca="false">IF(F109="","",G109-E109)</f>
        <v/>
      </c>
      <c r="I109" s="18" t="str">
        <f aca="true">IF(F109="","",F109-TODAY())</f>
        <v/>
      </c>
      <c r="J109" s="19" t="str">
        <f aca="true">IF(F109="","",IF(TODAY()&lt;D109,"Başlamadı",IF(TODAY()&gt;F109,"Bitti",IF(F109-TODAY()&lt;=7,"Bitiyor","Aktif"))))</f>
        <v/>
      </c>
      <c r="K109" s="19" t="str">
        <f aca="false">IF(OR(J109="Aktif",J109="Bitiyor"),F109+ROW()/1000000,"")</f>
        <v/>
      </c>
    </row>
    <row r="110" customFormat="false" ht="15" hidden="false" customHeight="false" outlineLevel="0" collapsed="false">
      <c r="A110" s="12"/>
      <c r="B110" s="12"/>
      <c r="C110" s="13"/>
      <c r="D110" s="14"/>
      <c r="E110" s="15"/>
      <c r="F110" s="16" t="str">
        <f aca="false">IF(OR(C110="",D110=""),"",EDATE(D110,IFERROR(INDEX(Paketler!$B$5:$B$24,MATCH(C110,Paketler!$A$5:$A$24,0)),0))-1)</f>
        <v/>
      </c>
      <c r="G110" s="17" t="str">
        <f aca="false">IF(F110="","",IFERROR(INDEX(Paketler!$C$5:$C$24,MATCH(C110,Paketler!$A$5:$A$24,0)),0))</f>
        <v/>
      </c>
      <c r="H110" s="17" t="str">
        <f aca="false">IF(F110="","",G110-E110)</f>
        <v/>
      </c>
      <c r="I110" s="18" t="str">
        <f aca="true">IF(F110="","",F110-TODAY())</f>
        <v/>
      </c>
      <c r="J110" s="19" t="str">
        <f aca="true">IF(F110="","",IF(TODAY()&lt;D110,"Başlamadı",IF(TODAY()&gt;F110,"Bitti",IF(F110-TODAY()&lt;=7,"Bitiyor","Aktif"))))</f>
        <v/>
      </c>
      <c r="K110" s="19" t="str">
        <f aca="false">IF(OR(J110="Aktif",J110="Bitiyor"),F110+ROW()/1000000,"")</f>
        <v/>
      </c>
    </row>
    <row r="111" customFormat="false" ht="15" hidden="false" customHeight="false" outlineLevel="0" collapsed="false">
      <c r="A111" s="12"/>
      <c r="B111" s="12"/>
      <c r="C111" s="13"/>
      <c r="D111" s="14"/>
      <c r="E111" s="15"/>
      <c r="F111" s="16" t="str">
        <f aca="false">IF(OR(C111="",D111=""),"",EDATE(D111,IFERROR(INDEX(Paketler!$B$5:$B$24,MATCH(C111,Paketler!$A$5:$A$24,0)),0))-1)</f>
        <v/>
      </c>
      <c r="G111" s="17" t="str">
        <f aca="false">IF(F111="","",IFERROR(INDEX(Paketler!$C$5:$C$24,MATCH(C111,Paketler!$A$5:$A$24,0)),0))</f>
        <v/>
      </c>
      <c r="H111" s="17" t="str">
        <f aca="false">IF(F111="","",G111-E111)</f>
        <v/>
      </c>
      <c r="I111" s="18" t="str">
        <f aca="true">IF(F111="","",F111-TODAY())</f>
        <v/>
      </c>
      <c r="J111" s="19" t="str">
        <f aca="true">IF(F111="","",IF(TODAY()&lt;D111,"Başlamadı",IF(TODAY()&gt;F111,"Bitti",IF(F111-TODAY()&lt;=7,"Bitiyor","Aktif"))))</f>
        <v/>
      </c>
      <c r="K111" s="19" t="str">
        <f aca="false">IF(OR(J111="Aktif",J111="Bitiyor"),F111+ROW()/1000000,"")</f>
        <v/>
      </c>
    </row>
    <row r="112" customFormat="false" ht="15" hidden="false" customHeight="false" outlineLevel="0" collapsed="false">
      <c r="A112" s="12"/>
      <c r="B112" s="12"/>
      <c r="C112" s="13"/>
      <c r="D112" s="14"/>
      <c r="E112" s="15"/>
      <c r="F112" s="16" t="str">
        <f aca="false">IF(OR(C112="",D112=""),"",EDATE(D112,IFERROR(INDEX(Paketler!$B$5:$B$24,MATCH(C112,Paketler!$A$5:$A$24,0)),0))-1)</f>
        <v/>
      </c>
      <c r="G112" s="17" t="str">
        <f aca="false">IF(F112="","",IFERROR(INDEX(Paketler!$C$5:$C$24,MATCH(C112,Paketler!$A$5:$A$24,0)),0))</f>
        <v/>
      </c>
      <c r="H112" s="17" t="str">
        <f aca="false">IF(F112="","",G112-E112)</f>
        <v/>
      </c>
      <c r="I112" s="18" t="str">
        <f aca="true">IF(F112="","",F112-TODAY())</f>
        <v/>
      </c>
      <c r="J112" s="19" t="str">
        <f aca="true">IF(F112="","",IF(TODAY()&lt;D112,"Başlamadı",IF(TODAY()&gt;F112,"Bitti",IF(F112-TODAY()&lt;=7,"Bitiyor","Aktif"))))</f>
        <v/>
      </c>
      <c r="K112" s="19" t="str">
        <f aca="false">IF(OR(J112="Aktif",J112="Bitiyor"),F112+ROW()/1000000,"")</f>
        <v/>
      </c>
    </row>
    <row r="113" customFormat="false" ht="15" hidden="false" customHeight="false" outlineLevel="0" collapsed="false">
      <c r="A113" s="12"/>
      <c r="B113" s="12"/>
      <c r="C113" s="13"/>
      <c r="D113" s="14"/>
      <c r="E113" s="15"/>
      <c r="F113" s="16" t="str">
        <f aca="false">IF(OR(C113="",D113=""),"",EDATE(D113,IFERROR(INDEX(Paketler!$B$5:$B$24,MATCH(C113,Paketler!$A$5:$A$24,0)),0))-1)</f>
        <v/>
      </c>
      <c r="G113" s="17" t="str">
        <f aca="false">IF(F113="","",IFERROR(INDEX(Paketler!$C$5:$C$24,MATCH(C113,Paketler!$A$5:$A$24,0)),0))</f>
        <v/>
      </c>
      <c r="H113" s="17" t="str">
        <f aca="false">IF(F113="","",G113-E113)</f>
        <v/>
      </c>
      <c r="I113" s="18" t="str">
        <f aca="true">IF(F113="","",F113-TODAY())</f>
        <v/>
      </c>
      <c r="J113" s="19" t="str">
        <f aca="true">IF(F113="","",IF(TODAY()&lt;D113,"Başlamadı",IF(TODAY()&gt;F113,"Bitti",IF(F113-TODAY()&lt;=7,"Bitiyor","Aktif"))))</f>
        <v/>
      </c>
      <c r="K113" s="19" t="str">
        <f aca="false">IF(OR(J113="Aktif",J113="Bitiyor"),F113+ROW()/1000000,"")</f>
        <v/>
      </c>
    </row>
    <row r="114" customFormat="false" ht="15" hidden="false" customHeight="false" outlineLevel="0" collapsed="false">
      <c r="A114" s="12"/>
      <c r="B114" s="12"/>
      <c r="C114" s="13"/>
      <c r="D114" s="14"/>
      <c r="E114" s="15"/>
      <c r="F114" s="16" t="str">
        <f aca="false">IF(OR(C114="",D114=""),"",EDATE(D114,IFERROR(INDEX(Paketler!$B$5:$B$24,MATCH(C114,Paketler!$A$5:$A$24,0)),0))-1)</f>
        <v/>
      </c>
      <c r="G114" s="17" t="str">
        <f aca="false">IF(F114="","",IFERROR(INDEX(Paketler!$C$5:$C$24,MATCH(C114,Paketler!$A$5:$A$24,0)),0))</f>
        <v/>
      </c>
      <c r="H114" s="17" t="str">
        <f aca="false">IF(F114="","",G114-E114)</f>
        <v/>
      </c>
      <c r="I114" s="18" t="str">
        <f aca="true">IF(F114="","",F114-TODAY())</f>
        <v/>
      </c>
      <c r="J114" s="19" t="str">
        <f aca="true">IF(F114="","",IF(TODAY()&lt;D114,"Başlamadı",IF(TODAY()&gt;F114,"Bitti",IF(F114-TODAY()&lt;=7,"Bitiyor","Aktif"))))</f>
        <v/>
      </c>
      <c r="K114" s="19" t="str">
        <f aca="false">IF(OR(J114="Aktif",J114="Bitiyor"),F114+ROW()/1000000,"")</f>
        <v/>
      </c>
    </row>
    <row r="115" customFormat="false" ht="15" hidden="false" customHeight="false" outlineLevel="0" collapsed="false">
      <c r="A115" s="12"/>
      <c r="B115" s="12"/>
      <c r="C115" s="13"/>
      <c r="D115" s="14"/>
      <c r="E115" s="15"/>
      <c r="F115" s="16" t="str">
        <f aca="false">IF(OR(C115="",D115=""),"",EDATE(D115,IFERROR(INDEX(Paketler!$B$5:$B$24,MATCH(C115,Paketler!$A$5:$A$24,0)),0))-1)</f>
        <v/>
      </c>
      <c r="G115" s="17" t="str">
        <f aca="false">IF(F115="","",IFERROR(INDEX(Paketler!$C$5:$C$24,MATCH(C115,Paketler!$A$5:$A$24,0)),0))</f>
        <v/>
      </c>
      <c r="H115" s="17" t="str">
        <f aca="false">IF(F115="","",G115-E115)</f>
        <v/>
      </c>
      <c r="I115" s="18" t="str">
        <f aca="true">IF(F115="","",F115-TODAY())</f>
        <v/>
      </c>
      <c r="J115" s="19" t="str">
        <f aca="true">IF(F115="","",IF(TODAY()&lt;D115,"Başlamadı",IF(TODAY()&gt;F115,"Bitti",IF(F115-TODAY()&lt;=7,"Bitiyor","Aktif"))))</f>
        <v/>
      </c>
      <c r="K115" s="19" t="str">
        <f aca="false">IF(OR(J115="Aktif",J115="Bitiyor"),F115+ROW()/1000000,"")</f>
        <v/>
      </c>
    </row>
    <row r="116" customFormat="false" ht="15" hidden="false" customHeight="false" outlineLevel="0" collapsed="false">
      <c r="A116" s="12"/>
      <c r="B116" s="12"/>
      <c r="C116" s="13"/>
      <c r="D116" s="14"/>
      <c r="E116" s="15"/>
      <c r="F116" s="16" t="str">
        <f aca="false">IF(OR(C116="",D116=""),"",EDATE(D116,IFERROR(INDEX(Paketler!$B$5:$B$24,MATCH(C116,Paketler!$A$5:$A$24,0)),0))-1)</f>
        <v/>
      </c>
      <c r="G116" s="17" t="str">
        <f aca="false">IF(F116="","",IFERROR(INDEX(Paketler!$C$5:$C$24,MATCH(C116,Paketler!$A$5:$A$24,0)),0))</f>
        <v/>
      </c>
      <c r="H116" s="17" t="str">
        <f aca="false">IF(F116="","",G116-E116)</f>
        <v/>
      </c>
      <c r="I116" s="18" t="str">
        <f aca="true">IF(F116="","",F116-TODAY())</f>
        <v/>
      </c>
      <c r="J116" s="19" t="str">
        <f aca="true">IF(F116="","",IF(TODAY()&lt;D116,"Başlamadı",IF(TODAY()&gt;F116,"Bitti",IF(F116-TODAY()&lt;=7,"Bitiyor","Aktif"))))</f>
        <v/>
      </c>
      <c r="K116" s="19" t="str">
        <f aca="false">IF(OR(J116="Aktif",J116="Bitiyor"),F116+ROW()/1000000,"")</f>
        <v/>
      </c>
    </row>
    <row r="117" customFormat="false" ht="15" hidden="false" customHeight="false" outlineLevel="0" collapsed="false">
      <c r="A117" s="12"/>
      <c r="B117" s="12"/>
      <c r="C117" s="13"/>
      <c r="D117" s="14"/>
      <c r="E117" s="15"/>
      <c r="F117" s="16" t="str">
        <f aca="false">IF(OR(C117="",D117=""),"",EDATE(D117,IFERROR(INDEX(Paketler!$B$5:$B$24,MATCH(C117,Paketler!$A$5:$A$24,0)),0))-1)</f>
        <v/>
      </c>
      <c r="G117" s="17" t="str">
        <f aca="false">IF(F117="","",IFERROR(INDEX(Paketler!$C$5:$C$24,MATCH(C117,Paketler!$A$5:$A$24,0)),0))</f>
        <v/>
      </c>
      <c r="H117" s="17" t="str">
        <f aca="false">IF(F117="","",G117-E117)</f>
        <v/>
      </c>
      <c r="I117" s="18" t="str">
        <f aca="true">IF(F117="","",F117-TODAY())</f>
        <v/>
      </c>
      <c r="J117" s="19" t="str">
        <f aca="true">IF(F117="","",IF(TODAY()&lt;D117,"Başlamadı",IF(TODAY()&gt;F117,"Bitti",IF(F117-TODAY()&lt;=7,"Bitiyor","Aktif"))))</f>
        <v/>
      </c>
      <c r="K117" s="19" t="str">
        <f aca="false">IF(OR(J117="Aktif",J117="Bitiyor"),F117+ROW()/1000000,"")</f>
        <v/>
      </c>
    </row>
    <row r="118" customFormat="false" ht="15" hidden="false" customHeight="false" outlineLevel="0" collapsed="false">
      <c r="A118" s="12"/>
      <c r="B118" s="12"/>
      <c r="C118" s="13"/>
      <c r="D118" s="14"/>
      <c r="E118" s="15"/>
      <c r="F118" s="16" t="str">
        <f aca="false">IF(OR(C118="",D118=""),"",EDATE(D118,IFERROR(INDEX(Paketler!$B$5:$B$24,MATCH(C118,Paketler!$A$5:$A$24,0)),0))-1)</f>
        <v/>
      </c>
      <c r="G118" s="17" t="str">
        <f aca="false">IF(F118="","",IFERROR(INDEX(Paketler!$C$5:$C$24,MATCH(C118,Paketler!$A$5:$A$24,0)),0))</f>
        <v/>
      </c>
      <c r="H118" s="17" t="str">
        <f aca="false">IF(F118="","",G118-E118)</f>
        <v/>
      </c>
      <c r="I118" s="18" t="str">
        <f aca="true">IF(F118="","",F118-TODAY())</f>
        <v/>
      </c>
      <c r="J118" s="19" t="str">
        <f aca="true">IF(F118="","",IF(TODAY()&lt;D118,"Başlamadı",IF(TODAY()&gt;F118,"Bitti",IF(F118-TODAY()&lt;=7,"Bitiyor","Aktif"))))</f>
        <v/>
      </c>
      <c r="K118" s="19" t="str">
        <f aca="false">IF(OR(J118="Aktif",J118="Bitiyor"),F118+ROW()/1000000,"")</f>
        <v/>
      </c>
    </row>
    <row r="119" customFormat="false" ht="15" hidden="false" customHeight="false" outlineLevel="0" collapsed="false">
      <c r="A119" s="12"/>
      <c r="B119" s="12"/>
      <c r="C119" s="13"/>
      <c r="D119" s="14"/>
      <c r="E119" s="15"/>
      <c r="F119" s="16" t="str">
        <f aca="false">IF(OR(C119="",D119=""),"",EDATE(D119,IFERROR(INDEX(Paketler!$B$5:$B$24,MATCH(C119,Paketler!$A$5:$A$24,0)),0))-1)</f>
        <v/>
      </c>
      <c r="G119" s="17" t="str">
        <f aca="false">IF(F119="","",IFERROR(INDEX(Paketler!$C$5:$C$24,MATCH(C119,Paketler!$A$5:$A$24,0)),0))</f>
        <v/>
      </c>
      <c r="H119" s="17" t="str">
        <f aca="false">IF(F119="","",G119-E119)</f>
        <v/>
      </c>
      <c r="I119" s="18" t="str">
        <f aca="true">IF(F119="","",F119-TODAY())</f>
        <v/>
      </c>
      <c r="J119" s="19" t="str">
        <f aca="true">IF(F119="","",IF(TODAY()&lt;D119,"Başlamadı",IF(TODAY()&gt;F119,"Bitti",IF(F119-TODAY()&lt;=7,"Bitiyor","Aktif"))))</f>
        <v/>
      </c>
      <c r="K119" s="19" t="str">
        <f aca="false">IF(OR(J119="Aktif",J119="Bitiyor"),F119+ROW()/1000000,"")</f>
        <v/>
      </c>
    </row>
    <row r="120" customFormat="false" ht="15" hidden="false" customHeight="false" outlineLevel="0" collapsed="false">
      <c r="A120" s="12"/>
      <c r="B120" s="12"/>
      <c r="C120" s="13"/>
      <c r="D120" s="14"/>
      <c r="E120" s="15"/>
      <c r="F120" s="16" t="str">
        <f aca="false">IF(OR(C120="",D120=""),"",EDATE(D120,IFERROR(INDEX(Paketler!$B$5:$B$24,MATCH(C120,Paketler!$A$5:$A$24,0)),0))-1)</f>
        <v/>
      </c>
      <c r="G120" s="17" t="str">
        <f aca="false">IF(F120="","",IFERROR(INDEX(Paketler!$C$5:$C$24,MATCH(C120,Paketler!$A$5:$A$24,0)),0))</f>
        <v/>
      </c>
      <c r="H120" s="17" t="str">
        <f aca="false">IF(F120="","",G120-E120)</f>
        <v/>
      </c>
      <c r="I120" s="18" t="str">
        <f aca="true">IF(F120="","",F120-TODAY())</f>
        <v/>
      </c>
      <c r="J120" s="19" t="str">
        <f aca="true">IF(F120="","",IF(TODAY()&lt;D120,"Başlamadı",IF(TODAY()&gt;F120,"Bitti",IF(F120-TODAY()&lt;=7,"Bitiyor","Aktif"))))</f>
        <v/>
      </c>
      <c r="K120" s="19" t="str">
        <f aca="false">IF(OR(J120="Aktif",J120="Bitiyor"),F120+ROW()/1000000,"")</f>
        <v/>
      </c>
    </row>
    <row r="121" customFormat="false" ht="15" hidden="false" customHeight="false" outlineLevel="0" collapsed="false">
      <c r="A121" s="12"/>
      <c r="B121" s="12"/>
      <c r="C121" s="13"/>
      <c r="D121" s="14"/>
      <c r="E121" s="15"/>
      <c r="F121" s="16" t="str">
        <f aca="false">IF(OR(C121="",D121=""),"",EDATE(D121,IFERROR(INDEX(Paketler!$B$5:$B$24,MATCH(C121,Paketler!$A$5:$A$24,0)),0))-1)</f>
        <v/>
      </c>
      <c r="G121" s="17" t="str">
        <f aca="false">IF(F121="","",IFERROR(INDEX(Paketler!$C$5:$C$24,MATCH(C121,Paketler!$A$5:$A$24,0)),0))</f>
        <v/>
      </c>
      <c r="H121" s="17" t="str">
        <f aca="false">IF(F121="","",G121-E121)</f>
        <v/>
      </c>
      <c r="I121" s="18" t="str">
        <f aca="true">IF(F121="","",F121-TODAY())</f>
        <v/>
      </c>
      <c r="J121" s="19" t="str">
        <f aca="true">IF(F121="","",IF(TODAY()&lt;D121,"Başlamadı",IF(TODAY()&gt;F121,"Bitti",IF(F121-TODAY()&lt;=7,"Bitiyor","Aktif"))))</f>
        <v/>
      </c>
      <c r="K121" s="19" t="str">
        <f aca="false">IF(OR(J121="Aktif",J121="Bitiyor"),F121+ROW()/1000000,"")</f>
        <v/>
      </c>
    </row>
    <row r="122" customFormat="false" ht="15" hidden="false" customHeight="false" outlineLevel="0" collapsed="false">
      <c r="A122" s="12"/>
      <c r="B122" s="12"/>
      <c r="C122" s="13"/>
      <c r="D122" s="14"/>
      <c r="E122" s="15"/>
      <c r="F122" s="16" t="str">
        <f aca="false">IF(OR(C122="",D122=""),"",EDATE(D122,IFERROR(INDEX(Paketler!$B$5:$B$24,MATCH(C122,Paketler!$A$5:$A$24,0)),0))-1)</f>
        <v/>
      </c>
      <c r="G122" s="17" t="str">
        <f aca="false">IF(F122="","",IFERROR(INDEX(Paketler!$C$5:$C$24,MATCH(C122,Paketler!$A$5:$A$24,0)),0))</f>
        <v/>
      </c>
      <c r="H122" s="17" t="str">
        <f aca="false">IF(F122="","",G122-E122)</f>
        <v/>
      </c>
      <c r="I122" s="18" t="str">
        <f aca="true">IF(F122="","",F122-TODAY())</f>
        <v/>
      </c>
      <c r="J122" s="19" t="str">
        <f aca="true">IF(F122="","",IF(TODAY()&lt;D122,"Başlamadı",IF(TODAY()&gt;F122,"Bitti",IF(F122-TODAY()&lt;=7,"Bitiyor","Aktif"))))</f>
        <v/>
      </c>
      <c r="K122" s="19" t="str">
        <f aca="false">IF(OR(J122="Aktif",J122="Bitiyor"),F122+ROW()/1000000,"")</f>
        <v/>
      </c>
    </row>
    <row r="123" customFormat="false" ht="15" hidden="false" customHeight="false" outlineLevel="0" collapsed="false">
      <c r="A123" s="12"/>
      <c r="B123" s="12"/>
      <c r="C123" s="13"/>
      <c r="D123" s="14"/>
      <c r="E123" s="15"/>
      <c r="F123" s="16" t="str">
        <f aca="false">IF(OR(C123="",D123=""),"",EDATE(D123,IFERROR(INDEX(Paketler!$B$5:$B$24,MATCH(C123,Paketler!$A$5:$A$24,0)),0))-1)</f>
        <v/>
      </c>
      <c r="G123" s="17" t="str">
        <f aca="false">IF(F123="","",IFERROR(INDEX(Paketler!$C$5:$C$24,MATCH(C123,Paketler!$A$5:$A$24,0)),0))</f>
        <v/>
      </c>
      <c r="H123" s="17" t="str">
        <f aca="false">IF(F123="","",G123-E123)</f>
        <v/>
      </c>
      <c r="I123" s="18" t="str">
        <f aca="true">IF(F123="","",F123-TODAY())</f>
        <v/>
      </c>
      <c r="J123" s="19" t="str">
        <f aca="true">IF(F123="","",IF(TODAY()&lt;D123,"Başlamadı",IF(TODAY()&gt;F123,"Bitti",IF(F123-TODAY()&lt;=7,"Bitiyor","Aktif"))))</f>
        <v/>
      </c>
      <c r="K123" s="19" t="str">
        <f aca="false">IF(OR(J123="Aktif",J123="Bitiyor"),F123+ROW()/1000000,"")</f>
        <v/>
      </c>
    </row>
    <row r="124" customFormat="false" ht="15" hidden="false" customHeight="false" outlineLevel="0" collapsed="false">
      <c r="A124" s="12"/>
      <c r="B124" s="12"/>
      <c r="C124" s="13"/>
      <c r="D124" s="14"/>
      <c r="E124" s="15"/>
      <c r="F124" s="16" t="str">
        <f aca="false">IF(OR(C124="",D124=""),"",EDATE(D124,IFERROR(INDEX(Paketler!$B$5:$B$24,MATCH(C124,Paketler!$A$5:$A$24,0)),0))-1)</f>
        <v/>
      </c>
      <c r="G124" s="17" t="str">
        <f aca="false">IF(F124="","",IFERROR(INDEX(Paketler!$C$5:$C$24,MATCH(C124,Paketler!$A$5:$A$24,0)),0))</f>
        <v/>
      </c>
      <c r="H124" s="17" t="str">
        <f aca="false">IF(F124="","",G124-E124)</f>
        <v/>
      </c>
      <c r="I124" s="18" t="str">
        <f aca="true">IF(F124="","",F124-TODAY())</f>
        <v/>
      </c>
      <c r="J124" s="19" t="str">
        <f aca="true">IF(F124="","",IF(TODAY()&lt;D124,"Başlamadı",IF(TODAY()&gt;F124,"Bitti",IF(F124-TODAY()&lt;=7,"Bitiyor","Aktif"))))</f>
        <v/>
      </c>
      <c r="K124" s="19" t="str">
        <f aca="false">IF(OR(J124="Aktif",J124="Bitiyor"),F124+ROW()/1000000,"")</f>
        <v/>
      </c>
    </row>
    <row r="125" customFormat="false" ht="15" hidden="false" customHeight="false" outlineLevel="0" collapsed="false">
      <c r="A125" s="12"/>
      <c r="B125" s="12"/>
      <c r="C125" s="13"/>
      <c r="D125" s="14"/>
      <c r="E125" s="15"/>
      <c r="F125" s="16" t="str">
        <f aca="false">IF(OR(C125="",D125=""),"",EDATE(D125,IFERROR(INDEX(Paketler!$B$5:$B$24,MATCH(C125,Paketler!$A$5:$A$24,0)),0))-1)</f>
        <v/>
      </c>
      <c r="G125" s="17" t="str">
        <f aca="false">IF(F125="","",IFERROR(INDEX(Paketler!$C$5:$C$24,MATCH(C125,Paketler!$A$5:$A$24,0)),0))</f>
        <v/>
      </c>
      <c r="H125" s="17" t="str">
        <f aca="false">IF(F125="","",G125-E125)</f>
        <v/>
      </c>
      <c r="I125" s="18" t="str">
        <f aca="true">IF(F125="","",F125-TODAY())</f>
        <v/>
      </c>
      <c r="J125" s="19" t="str">
        <f aca="true">IF(F125="","",IF(TODAY()&lt;D125,"Başlamadı",IF(TODAY()&gt;F125,"Bitti",IF(F125-TODAY()&lt;=7,"Bitiyor","Aktif"))))</f>
        <v/>
      </c>
      <c r="K125" s="19" t="str">
        <f aca="false">IF(OR(J125="Aktif",J125="Bitiyor"),F125+ROW()/1000000,"")</f>
        <v/>
      </c>
    </row>
    <row r="126" customFormat="false" ht="15" hidden="false" customHeight="false" outlineLevel="0" collapsed="false">
      <c r="A126" s="12"/>
      <c r="B126" s="12"/>
      <c r="C126" s="13"/>
      <c r="D126" s="14"/>
      <c r="E126" s="15"/>
      <c r="F126" s="16" t="str">
        <f aca="false">IF(OR(C126="",D126=""),"",EDATE(D126,IFERROR(INDEX(Paketler!$B$5:$B$24,MATCH(C126,Paketler!$A$5:$A$24,0)),0))-1)</f>
        <v/>
      </c>
      <c r="G126" s="17" t="str">
        <f aca="false">IF(F126="","",IFERROR(INDEX(Paketler!$C$5:$C$24,MATCH(C126,Paketler!$A$5:$A$24,0)),0))</f>
        <v/>
      </c>
      <c r="H126" s="17" t="str">
        <f aca="false">IF(F126="","",G126-E126)</f>
        <v/>
      </c>
      <c r="I126" s="18" t="str">
        <f aca="true">IF(F126="","",F126-TODAY())</f>
        <v/>
      </c>
      <c r="J126" s="19" t="str">
        <f aca="true">IF(F126="","",IF(TODAY()&lt;D126,"Başlamadı",IF(TODAY()&gt;F126,"Bitti",IF(F126-TODAY()&lt;=7,"Bitiyor","Aktif"))))</f>
        <v/>
      </c>
      <c r="K126" s="19" t="str">
        <f aca="false">IF(OR(J126="Aktif",J126="Bitiyor"),F126+ROW()/1000000,"")</f>
        <v/>
      </c>
    </row>
    <row r="127" customFormat="false" ht="15" hidden="false" customHeight="false" outlineLevel="0" collapsed="false">
      <c r="A127" s="12"/>
      <c r="B127" s="12"/>
      <c r="C127" s="13"/>
      <c r="D127" s="14"/>
      <c r="E127" s="15"/>
      <c r="F127" s="16" t="str">
        <f aca="false">IF(OR(C127="",D127=""),"",EDATE(D127,IFERROR(INDEX(Paketler!$B$5:$B$24,MATCH(C127,Paketler!$A$5:$A$24,0)),0))-1)</f>
        <v/>
      </c>
      <c r="G127" s="17" t="str">
        <f aca="false">IF(F127="","",IFERROR(INDEX(Paketler!$C$5:$C$24,MATCH(C127,Paketler!$A$5:$A$24,0)),0))</f>
        <v/>
      </c>
      <c r="H127" s="17" t="str">
        <f aca="false">IF(F127="","",G127-E127)</f>
        <v/>
      </c>
      <c r="I127" s="18" t="str">
        <f aca="true">IF(F127="","",F127-TODAY())</f>
        <v/>
      </c>
      <c r="J127" s="19" t="str">
        <f aca="true">IF(F127="","",IF(TODAY()&lt;D127,"Başlamadı",IF(TODAY()&gt;F127,"Bitti",IF(F127-TODAY()&lt;=7,"Bitiyor","Aktif"))))</f>
        <v/>
      </c>
      <c r="K127" s="19" t="str">
        <f aca="false">IF(OR(J127="Aktif",J127="Bitiyor"),F127+ROW()/1000000,"")</f>
        <v/>
      </c>
    </row>
    <row r="128" customFormat="false" ht="15" hidden="false" customHeight="false" outlineLevel="0" collapsed="false">
      <c r="A128" s="12"/>
      <c r="B128" s="12"/>
      <c r="C128" s="13"/>
      <c r="D128" s="14"/>
      <c r="E128" s="15"/>
      <c r="F128" s="16" t="str">
        <f aca="false">IF(OR(C128="",D128=""),"",EDATE(D128,IFERROR(INDEX(Paketler!$B$5:$B$24,MATCH(C128,Paketler!$A$5:$A$24,0)),0))-1)</f>
        <v/>
      </c>
      <c r="G128" s="17" t="str">
        <f aca="false">IF(F128="","",IFERROR(INDEX(Paketler!$C$5:$C$24,MATCH(C128,Paketler!$A$5:$A$24,0)),0))</f>
        <v/>
      </c>
      <c r="H128" s="17" t="str">
        <f aca="false">IF(F128="","",G128-E128)</f>
        <v/>
      </c>
      <c r="I128" s="18" t="str">
        <f aca="true">IF(F128="","",F128-TODAY())</f>
        <v/>
      </c>
      <c r="J128" s="19" t="str">
        <f aca="true">IF(F128="","",IF(TODAY()&lt;D128,"Başlamadı",IF(TODAY()&gt;F128,"Bitti",IF(F128-TODAY()&lt;=7,"Bitiyor","Aktif"))))</f>
        <v/>
      </c>
      <c r="K128" s="19" t="str">
        <f aca="false">IF(OR(J128="Aktif",J128="Bitiyor"),F128+ROW()/1000000,"")</f>
        <v/>
      </c>
    </row>
    <row r="129" customFormat="false" ht="15" hidden="false" customHeight="false" outlineLevel="0" collapsed="false">
      <c r="A129" s="12"/>
      <c r="B129" s="12"/>
      <c r="C129" s="13"/>
      <c r="D129" s="14"/>
      <c r="E129" s="15"/>
      <c r="F129" s="16" t="str">
        <f aca="false">IF(OR(C129="",D129=""),"",EDATE(D129,IFERROR(INDEX(Paketler!$B$5:$B$24,MATCH(C129,Paketler!$A$5:$A$24,0)),0))-1)</f>
        <v/>
      </c>
      <c r="G129" s="17" t="str">
        <f aca="false">IF(F129="","",IFERROR(INDEX(Paketler!$C$5:$C$24,MATCH(C129,Paketler!$A$5:$A$24,0)),0))</f>
        <v/>
      </c>
      <c r="H129" s="17" t="str">
        <f aca="false">IF(F129="","",G129-E129)</f>
        <v/>
      </c>
      <c r="I129" s="18" t="str">
        <f aca="true">IF(F129="","",F129-TODAY())</f>
        <v/>
      </c>
      <c r="J129" s="19" t="str">
        <f aca="true">IF(F129="","",IF(TODAY()&lt;D129,"Başlamadı",IF(TODAY()&gt;F129,"Bitti",IF(F129-TODAY()&lt;=7,"Bitiyor","Aktif"))))</f>
        <v/>
      </c>
      <c r="K129" s="19" t="str">
        <f aca="false">IF(OR(J129="Aktif",J129="Bitiyor"),F129+ROW()/1000000,"")</f>
        <v/>
      </c>
    </row>
    <row r="130" customFormat="false" ht="15" hidden="false" customHeight="false" outlineLevel="0" collapsed="false">
      <c r="A130" s="12"/>
      <c r="B130" s="12"/>
      <c r="C130" s="13"/>
      <c r="D130" s="14"/>
      <c r="E130" s="15"/>
      <c r="F130" s="16" t="str">
        <f aca="false">IF(OR(C130="",D130=""),"",EDATE(D130,IFERROR(INDEX(Paketler!$B$5:$B$24,MATCH(C130,Paketler!$A$5:$A$24,0)),0))-1)</f>
        <v/>
      </c>
      <c r="G130" s="17" t="str">
        <f aca="false">IF(F130="","",IFERROR(INDEX(Paketler!$C$5:$C$24,MATCH(C130,Paketler!$A$5:$A$24,0)),0))</f>
        <v/>
      </c>
      <c r="H130" s="17" t="str">
        <f aca="false">IF(F130="","",G130-E130)</f>
        <v/>
      </c>
      <c r="I130" s="18" t="str">
        <f aca="true">IF(F130="","",F130-TODAY())</f>
        <v/>
      </c>
      <c r="J130" s="19" t="str">
        <f aca="true">IF(F130="","",IF(TODAY()&lt;D130,"Başlamadı",IF(TODAY()&gt;F130,"Bitti",IF(F130-TODAY()&lt;=7,"Bitiyor","Aktif"))))</f>
        <v/>
      </c>
      <c r="K130" s="19" t="str">
        <f aca="false">IF(OR(J130="Aktif",J130="Bitiyor"),F130+ROW()/1000000,"")</f>
        <v/>
      </c>
    </row>
    <row r="131" customFormat="false" ht="15" hidden="false" customHeight="false" outlineLevel="0" collapsed="false">
      <c r="A131" s="12"/>
      <c r="B131" s="12"/>
      <c r="C131" s="13"/>
      <c r="D131" s="14"/>
      <c r="E131" s="15"/>
      <c r="F131" s="16" t="str">
        <f aca="false">IF(OR(C131="",D131=""),"",EDATE(D131,IFERROR(INDEX(Paketler!$B$5:$B$24,MATCH(C131,Paketler!$A$5:$A$24,0)),0))-1)</f>
        <v/>
      </c>
      <c r="G131" s="17" t="str">
        <f aca="false">IF(F131="","",IFERROR(INDEX(Paketler!$C$5:$C$24,MATCH(C131,Paketler!$A$5:$A$24,0)),0))</f>
        <v/>
      </c>
      <c r="H131" s="17" t="str">
        <f aca="false">IF(F131="","",G131-E131)</f>
        <v/>
      </c>
      <c r="I131" s="18" t="str">
        <f aca="true">IF(F131="","",F131-TODAY())</f>
        <v/>
      </c>
      <c r="J131" s="19" t="str">
        <f aca="true">IF(F131="","",IF(TODAY()&lt;D131,"Başlamadı",IF(TODAY()&gt;F131,"Bitti",IF(F131-TODAY()&lt;=7,"Bitiyor","Aktif"))))</f>
        <v/>
      </c>
      <c r="K131" s="19" t="str">
        <f aca="false">IF(OR(J131="Aktif",J131="Bitiyor"),F131+ROW()/1000000,"")</f>
        <v/>
      </c>
    </row>
    <row r="132" customFormat="false" ht="15" hidden="false" customHeight="false" outlineLevel="0" collapsed="false">
      <c r="A132" s="12"/>
      <c r="B132" s="12"/>
      <c r="C132" s="13"/>
      <c r="D132" s="14"/>
      <c r="E132" s="15"/>
      <c r="F132" s="16" t="str">
        <f aca="false">IF(OR(C132="",D132=""),"",EDATE(D132,IFERROR(INDEX(Paketler!$B$5:$B$24,MATCH(C132,Paketler!$A$5:$A$24,0)),0))-1)</f>
        <v/>
      </c>
      <c r="G132" s="17" t="str">
        <f aca="false">IF(F132="","",IFERROR(INDEX(Paketler!$C$5:$C$24,MATCH(C132,Paketler!$A$5:$A$24,0)),0))</f>
        <v/>
      </c>
      <c r="H132" s="17" t="str">
        <f aca="false">IF(F132="","",G132-E132)</f>
        <v/>
      </c>
      <c r="I132" s="18" t="str">
        <f aca="true">IF(F132="","",F132-TODAY())</f>
        <v/>
      </c>
      <c r="J132" s="19" t="str">
        <f aca="true">IF(F132="","",IF(TODAY()&lt;D132,"Başlamadı",IF(TODAY()&gt;F132,"Bitti",IF(F132-TODAY()&lt;=7,"Bitiyor","Aktif"))))</f>
        <v/>
      </c>
      <c r="K132" s="19" t="str">
        <f aca="false">IF(OR(J132="Aktif",J132="Bitiyor"),F132+ROW()/1000000,"")</f>
        <v/>
      </c>
    </row>
    <row r="133" customFormat="false" ht="15" hidden="false" customHeight="false" outlineLevel="0" collapsed="false">
      <c r="A133" s="12"/>
      <c r="B133" s="12"/>
      <c r="C133" s="13"/>
      <c r="D133" s="14"/>
      <c r="E133" s="15"/>
      <c r="F133" s="16" t="str">
        <f aca="false">IF(OR(C133="",D133=""),"",EDATE(D133,IFERROR(INDEX(Paketler!$B$5:$B$24,MATCH(C133,Paketler!$A$5:$A$24,0)),0))-1)</f>
        <v/>
      </c>
      <c r="G133" s="17" t="str">
        <f aca="false">IF(F133="","",IFERROR(INDEX(Paketler!$C$5:$C$24,MATCH(C133,Paketler!$A$5:$A$24,0)),0))</f>
        <v/>
      </c>
      <c r="H133" s="17" t="str">
        <f aca="false">IF(F133="","",G133-E133)</f>
        <v/>
      </c>
      <c r="I133" s="18" t="str">
        <f aca="true">IF(F133="","",F133-TODAY())</f>
        <v/>
      </c>
      <c r="J133" s="19" t="str">
        <f aca="true">IF(F133="","",IF(TODAY()&lt;D133,"Başlamadı",IF(TODAY()&gt;F133,"Bitti",IF(F133-TODAY()&lt;=7,"Bitiyor","Aktif"))))</f>
        <v/>
      </c>
      <c r="K133" s="19" t="str">
        <f aca="false">IF(OR(J133="Aktif",J133="Bitiyor"),F133+ROW()/1000000,"")</f>
        <v/>
      </c>
    </row>
    <row r="134" customFormat="false" ht="15" hidden="false" customHeight="false" outlineLevel="0" collapsed="false">
      <c r="A134" s="12"/>
      <c r="B134" s="12"/>
      <c r="C134" s="13"/>
      <c r="D134" s="14"/>
      <c r="E134" s="15"/>
      <c r="F134" s="16" t="str">
        <f aca="false">IF(OR(C134="",D134=""),"",EDATE(D134,IFERROR(INDEX(Paketler!$B$5:$B$24,MATCH(C134,Paketler!$A$5:$A$24,0)),0))-1)</f>
        <v/>
      </c>
      <c r="G134" s="17" t="str">
        <f aca="false">IF(F134="","",IFERROR(INDEX(Paketler!$C$5:$C$24,MATCH(C134,Paketler!$A$5:$A$24,0)),0))</f>
        <v/>
      </c>
      <c r="H134" s="17" t="str">
        <f aca="false">IF(F134="","",G134-E134)</f>
        <v/>
      </c>
      <c r="I134" s="18" t="str">
        <f aca="true">IF(F134="","",F134-TODAY())</f>
        <v/>
      </c>
      <c r="J134" s="19" t="str">
        <f aca="true">IF(F134="","",IF(TODAY()&lt;D134,"Başlamadı",IF(TODAY()&gt;F134,"Bitti",IF(F134-TODAY()&lt;=7,"Bitiyor","Aktif"))))</f>
        <v/>
      </c>
      <c r="K134" s="19" t="str">
        <f aca="false">IF(OR(J134="Aktif",J134="Bitiyor"),F134+ROW()/1000000,"")</f>
        <v/>
      </c>
    </row>
    <row r="135" customFormat="false" ht="15" hidden="false" customHeight="false" outlineLevel="0" collapsed="false">
      <c r="A135" s="12"/>
      <c r="B135" s="12"/>
      <c r="C135" s="13"/>
      <c r="D135" s="14"/>
      <c r="E135" s="15"/>
      <c r="F135" s="16" t="str">
        <f aca="false">IF(OR(C135="",D135=""),"",EDATE(D135,IFERROR(INDEX(Paketler!$B$5:$B$24,MATCH(C135,Paketler!$A$5:$A$24,0)),0))-1)</f>
        <v/>
      </c>
      <c r="G135" s="17" t="str">
        <f aca="false">IF(F135="","",IFERROR(INDEX(Paketler!$C$5:$C$24,MATCH(C135,Paketler!$A$5:$A$24,0)),0))</f>
        <v/>
      </c>
      <c r="H135" s="17" t="str">
        <f aca="false">IF(F135="","",G135-E135)</f>
        <v/>
      </c>
      <c r="I135" s="18" t="str">
        <f aca="true">IF(F135="","",F135-TODAY())</f>
        <v/>
      </c>
      <c r="J135" s="19" t="str">
        <f aca="true">IF(F135="","",IF(TODAY()&lt;D135,"Başlamadı",IF(TODAY()&gt;F135,"Bitti",IF(F135-TODAY()&lt;=7,"Bitiyor","Aktif"))))</f>
        <v/>
      </c>
      <c r="K135" s="19" t="str">
        <f aca="false">IF(OR(J135="Aktif",J135="Bitiyor"),F135+ROW()/1000000,"")</f>
        <v/>
      </c>
    </row>
    <row r="136" customFormat="false" ht="15" hidden="false" customHeight="false" outlineLevel="0" collapsed="false">
      <c r="A136" s="12"/>
      <c r="B136" s="12"/>
      <c r="C136" s="13"/>
      <c r="D136" s="14"/>
      <c r="E136" s="15"/>
      <c r="F136" s="16" t="str">
        <f aca="false">IF(OR(C136="",D136=""),"",EDATE(D136,IFERROR(INDEX(Paketler!$B$5:$B$24,MATCH(C136,Paketler!$A$5:$A$24,0)),0))-1)</f>
        <v/>
      </c>
      <c r="G136" s="17" t="str">
        <f aca="false">IF(F136="","",IFERROR(INDEX(Paketler!$C$5:$C$24,MATCH(C136,Paketler!$A$5:$A$24,0)),0))</f>
        <v/>
      </c>
      <c r="H136" s="17" t="str">
        <f aca="false">IF(F136="","",G136-E136)</f>
        <v/>
      </c>
      <c r="I136" s="18" t="str">
        <f aca="true">IF(F136="","",F136-TODAY())</f>
        <v/>
      </c>
      <c r="J136" s="19" t="str">
        <f aca="true">IF(F136="","",IF(TODAY()&lt;D136,"Başlamadı",IF(TODAY()&gt;F136,"Bitti",IF(F136-TODAY()&lt;=7,"Bitiyor","Aktif"))))</f>
        <v/>
      </c>
      <c r="K136" s="19" t="str">
        <f aca="false">IF(OR(J136="Aktif",J136="Bitiyor"),F136+ROW()/1000000,"")</f>
        <v/>
      </c>
    </row>
    <row r="137" customFormat="false" ht="15" hidden="false" customHeight="false" outlineLevel="0" collapsed="false">
      <c r="A137" s="12"/>
      <c r="B137" s="12"/>
      <c r="C137" s="13"/>
      <c r="D137" s="14"/>
      <c r="E137" s="15"/>
      <c r="F137" s="16" t="str">
        <f aca="false">IF(OR(C137="",D137=""),"",EDATE(D137,IFERROR(INDEX(Paketler!$B$5:$B$24,MATCH(C137,Paketler!$A$5:$A$24,0)),0))-1)</f>
        <v/>
      </c>
      <c r="G137" s="17" t="str">
        <f aca="false">IF(F137="","",IFERROR(INDEX(Paketler!$C$5:$C$24,MATCH(C137,Paketler!$A$5:$A$24,0)),0))</f>
        <v/>
      </c>
      <c r="H137" s="17" t="str">
        <f aca="false">IF(F137="","",G137-E137)</f>
        <v/>
      </c>
      <c r="I137" s="18" t="str">
        <f aca="true">IF(F137="","",F137-TODAY())</f>
        <v/>
      </c>
      <c r="J137" s="19" t="str">
        <f aca="true">IF(F137="","",IF(TODAY()&lt;D137,"Başlamadı",IF(TODAY()&gt;F137,"Bitti",IF(F137-TODAY()&lt;=7,"Bitiyor","Aktif"))))</f>
        <v/>
      </c>
      <c r="K137" s="19" t="str">
        <f aca="false">IF(OR(J137="Aktif",J137="Bitiyor"),F137+ROW()/1000000,"")</f>
        <v/>
      </c>
    </row>
    <row r="138" customFormat="false" ht="15" hidden="false" customHeight="false" outlineLevel="0" collapsed="false">
      <c r="A138" s="12"/>
      <c r="B138" s="12"/>
      <c r="C138" s="13"/>
      <c r="D138" s="14"/>
      <c r="E138" s="15"/>
      <c r="F138" s="16" t="str">
        <f aca="false">IF(OR(C138="",D138=""),"",EDATE(D138,IFERROR(INDEX(Paketler!$B$5:$B$24,MATCH(C138,Paketler!$A$5:$A$24,0)),0))-1)</f>
        <v/>
      </c>
      <c r="G138" s="17" t="str">
        <f aca="false">IF(F138="","",IFERROR(INDEX(Paketler!$C$5:$C$24,MATCH(C138,Paketler!$A$5:$A$24,0)),0))</f>
        <v/>
      </c>
      <c r="H138" s="17" t="str">
        <f aca="false">IF(F138="","",G138-E138)</f>
        <v/>
      </c>
      <c r="I138" s="18" t="str">
        <f aca="true">IF(F138="","",F138-TODAY())</f>
        <v/>
      </c>
      <c r="J138" s="19" t="str">
        <f aca="true">IF(F138="","",IF(TODAY()&lt;D138,"Başlamadı",IF(TODAY()&gt;F138,"Bitti",IF(F138-TODAY()&lt;=7,"Bitiyor","Aktif"))))</f>
        <v/>
      </c>
      <c r="K138" s="19" t="str">
        <f aca="false">IF(OR(J138="Aktif",J138="Bitiyor"),F138+ROW()/1000000,"")</f>
        <v/>
      </c>
    </row>
    <row r="139" customFormat="false" ht="15" hidden="false" customHeight="false" outlineLevel="0" collapsed="false">
      <c r="A139" s="12"/>
      <c r="B139" s="12"/>
      <c r="C139" s="13"/>
      <c r="D139" s="14"/>
      <c r="E139" s="15"/>
      <c r="F139" s="16" t="str">
        <f aca="false">IF(OR(C139="",D139=""),"",EDATE(D139,IFERROR(INDEX(Paketler!$B$5:$B$24,MATCH(C139,Paketler!$A$5:$A$24,0)),0))-1)</f>
        <v/>
      </c>
      <c r="G139" s="17" t="str">
        <f aca="false">IF(F139="","",IFERROR(INDEX(Paketler!$C$5:$C$24,MATCH(C139,Paketler!$A$5:$A$24,0)),0))</f>
        <v/>
      </c>
      <c r="H139" s="17" t="str">
        <f aca="false">IF(F139="","",G139-E139)</f>
        <v/>
      </c>
      <c r="I139" s="18" t="str">
        <f aca="true">IF(F139="","",F139-TODAY())</f>
        <v/>
      </c>
      <c r="J139" s="19" t="str">
        <f aca="true">IF(F139="","",IF(TODAY()&lt;D139,"Başlamadı",IF(TODAY()&gt;F139,"Bitti",IF(F139-TODAY()&lt;=7,"Bitiyor","Aktif"))))</f>
        <v/>
      </c>
      <c r="K139" s="19" t="str">
        <f aca="false">IF(OR(J139="Aktif",J139="Bitiyor"),F139+ROW()/1000000,"")</f>
        <v/>
      </c>
    </row>
    <row r="140" customFormat="false" ht="15" hidden="false" customHeight="false" outlineLevel="0" collapsed="false">
      <c r="A140" s="12"/>
      <c r="B140" s="12"/>
      <c r="C140" s="13"/>
      <c r="D140" s="14"/>
      <c r="E140" s="15"/>
      <c r="F140" s="16" t="str">
        <f aca="false">IF(OR(C140="",D140=""),"",EDATE(D140,IFERROR(INDEX(Paketler!$B$5:$B$24,MATCH(C140,Paketler!$A$5:$A$24,0)),0))-1)</f>
        <v/>
      </c>
      <c r="G140" s="17" t="str">
        <f aca="false">IF(F140="","",IFERROR(INDEX(Paketler!$C$5:$C$24,MATCH(C140,Paketler!$A$5:$A$24,0)),0))</f>
        <v/>
      </c>
      <c r="H140" s="17" t="str">
        <f aca="false">IF(F140="","",G140-E140)</f>
        <v/>
      </c>
      <c r="I140" s="18" t="str">
        <f aca="true">IF(F140="","",F140-TODAY())</f>
        <v/>
      </c>
      <c r="J140" s="19" t="str">
        <f aca="true">IF(F140="","",IF(TODAY()&lt;D140,"Başlamadı",IF(TODAY()&gt;F140,"Bitti",IF(F140-TODAY()&lt;=7,"Bitiyor","Aktif"))))</f>
        <v/>
      </c>
      <c r="K140" s="19" t="str">
        <f aca="false">IF(OR(J140="Aktif",J140="Bitiyor"),F140+ROW()/1000000,"")</f>
        <v/>
      </c>
    </row>
    <row r="141" customFormat="false" ht="15" hidden="false" customHeight="false" outlineLevel="0" collapsed="false">
      <c r="A141" s="12"/>
      <c r="B141" s="12"/>
      <c r="C141" s="13"/>
      <c r="D141" s="14"/>
      <c r="E141" s="15"/>
      <c r="F141" s="16" t="str">
        <f aca="false">IF(OR(C141="",D141=""),"",EDATE(D141,IFERROR(INDEX(Paketler!$B$5:$B$24,MATCH(C141,Paketler!$A$5:$A$24,0)),0))-1)</f>
        <v/>
      </c>
      <c r="G141" s="17" t="str">
        <f aca="false">IF(F141="","",IFERROR(INDEX(Paketler!$C$5:$C$24,MATCH(C141,Paketler!$A$5:$A$24,0)),0))</f>
        <v/>
      </c>
      <c r="H141" s="17" t="str">
        <f aca="false">IF(F141="","",G141-E141)</f>
        <v/>
      </c>
      <c r="I141" s="18" t="str">
        <f aca="true">IF(F141="","",F141-TODAY())</f>
        <v/>
      </c>
      <c r="J141" s="19" t="str">
        <f aca="true">IF(F141="","",IF(TODAY()&lt;D141,"Başlamadı",IF(TODAY()&gt;F141,"Bitti",IF(F141-TODAY()&lt;=7,"Bitiyor","Aktif"))))</f>
        <v/>
      </c>
      <c r="K141" s="19" t="str">
        <f aca="false">IF(OR(J141="Aktif",J141="Bitiyor"),F141+ROW()/1000000,"")</f>
        <v/>
      </c>
    </row>
    <row r="142" customFormat="false" ht="15" hidden="false" customHeight="false" outlineLevel="0" collapsed="false">
      <c r="A142" s="12"/>
      <c r="B142" s="12"/>
      <c r="C142" s="13"/>
      <c r="D142" s="14"/>
      <c r="E142" s="15"/>
      <c r="F142" s="16" t="str">
        <f aca="false">IF(OR(C142="",D142=""),"",EDATE(D142,IFERROR(INDEX(Paketler!$B$5:$B$24,MATCH(C142,Paketler!$A$5:$A$24,0)),0))-1)</f>
        <v/>
      </c>
      <c r="G142" s="17" t="str">
        <f aca="false">IF(F142="","",IFERROR(INDEX(Paketler!$C$5:$C$24,MATCH(C142,Paketler!$A$5:$A$24,0)),0))</f>
        <v/>
      </c>
      <c r="H142" s="17" t="str">
        <f aca="false">IF(F142="","",G142-E142)</f>
        <v/>
      </c>
      <c r="I142" s="18" t="str">
        <f aca="true">IF(F142="","",F142-TODAY())</f>
        <v/>
      </c>
      <c r="J142" s="19" t="str">
        <f aca="true">IF(F142="","",IF(TODAY()&lt;D142,"Başlamadı",IF(TODAY()&gt;F142,"Bitti",IF(F142-TODAY()&lt;=7,"Bitiyor","Aktif"))))</f>
        <v/>
      </c>
      <c r="K142" s="19" t="str">
        <f aca="false">IF(OR(J142="Aktif",J142="Bitiyor"),F142+ROW()/1000000,"")</f>
        <v/>
      </c>
    </row>
    <row r="143" customFormat="false" ht="15" hidden="false" customHeight="false" outlineLevel="0" collapsed="false">
      <c r="A143" s="12"/>
      <c r="B143" s="12"/>
      <c r="C143" s="13"/>
      <c r="D143" s="14"/>
      <c r="E143" s="15"/>
      <c r="F143" s="16" t="str">
        <f aca="false">IF(OR(C143="",D143=""),"",EDATE(D143,IFERROR(INDEX(Paketler!$B$5:$B$24,MATCH(C143,Paketler!$A$5:$A$24,0)),0))-1)</f>
        <v/>
      </c>
      <c r="G143" s="17" t="str">
        <f aca="false">IF(F143="","",IFERROR(INDEX(Paketler!$C$5:$C$24,MATCH(C143,Paketler!$A$5:$A$24,0)),0))</f>
        <v/>
      </c>
      <c r="H143" s="17" t="str">
        <f aca="false">IF(F143="","",G143-E143)</f>
        <v/>
      </c>
      <c r="I143" s="18" t="str">
        <f aca="true">IF(F143="","",F143-TODAY())</f>
        <v/>
      </c>
      <c r="J143" s="19" t="str">
        <f aca="true">IF(F143="","",IF(TODAY()&lt;D143,"Başlamadı",IF(TODAY()&gt;F143,"Bitti",IF(F143-TODAY()&lt;=7,"Bitiyor","Aktif"))))</f>
        <v/>
      </c>
      <c r="K143" s="19" t="str">
        <f aca="false">IF(OR(J143="Aktif",J143="Bitiyor"),F143+ROW()/1000000,"")</f>
        <v/>
      </c>
    </row>
    <row r="144" customFormat="false" ht="15" hidden="false" customHeight="false" outlineLevel="0" collapsed="false">
      <c r="A144" s="12"/>
      <c r="B144" s="12"/>
      <c r="C144" s="13"/>
      <c r="D144" s="14"/>
      <c r="E144" s="15"/>
      <c r="F144" s="16" t="str">
        <f aca="false">IF(OR(C144="",D144=""),"",EDATE(D144,IFERROR(INDEX(Paketler!$B$5:$B$24,MATCH(C144,Paketler!$A$5:$A$24,0)),0))-1)</f>
        <v/>
      </c>
      <c r="G144" s="17" t="str">
        <f aca="false">IF(F144="","",IFERROR(INDEX(Paketler!$C$5:$C$24,MATCH(C144,Paketler!$A$5:$A$24,0)),0))</f>
        <v/>
      </c>
      <c r="H144" s="17" t="str">
        <f aca="false">IF(F144="","",G144-E144)</f>
        <v/>
      </c>
      <c r="I144" s="18" t="str">
        <f aca="true">IF(F144="","",F144-TODAY())</f>
        <v/>
      </c>
      <c r="J144" s="19" t="str">
        <f aca="true">IF(F144="","",IF(TODAY()&lt;D144,"Başlamadı",IF(TODAY()&gt;F144,"Bitti",IF(F144-TODAY()&lt;=7,"Bitiyor","Aktif"))))</f>
        <v/>
      </c>
      <c r="K144" s="19" t="str">
        <f aca="false">IF(OR(J144="Aktif",J144="Bitiyor"),F144+ROW()/1000000,"")</f>
        <v/>
      </c>
    </row>
    <row r="145" customFormat="false" ht="15" hidden="false" customHeight="false" outlineLevel="0" collapsed="false">
      <c r="A145" s="12"/>
      <c r="B145" s="12"/>
      <c r="C145" s="13"/>
      <c r="D145" s="14"/>
      <c r="E145" s="15"/>
      <c r="F145" s="16" t="str">
        <f aca="false">IF(OR(C145="",D145=""),"",EDATE(D145,IFERROR(INDEX(Paketler!$B$5:$B$24,MATCH(C145,Paketler!$A$5:$A$24,0)),0))-1)</f>
        <v/>
      </c>
      <c r="G145" s="17" t="str">
        <f aca="false">IF(F145="","",IFERROR(INDEX(Paketler!$C$5:$C$24,MATCH(C145,Paketler!$A$5:$A$24,0)),0))</f>
        <v/>
      </c>
      <c r="H145" s="17" t="str">
        <f aca="false">IF(F145="","",G145-E145)</f>
        <v/>
      </c>
      <c r="I145" s="18" t="str">
        <f aca="true">IF(F145="","",F145-TODAY())</f>
        <v/>
      </c>
      <c r="J145" s="19" t="str">
        <f aca="true">IF(F145="","",IF(TODAY()&lt;D145,"Başlamadı",IF(TODAY()&gt;F145,"Bitti",IF(F145-TODAY()&lt;=7,"Bitiyor","Aktif"))))</f>
        <v/>
      </c>
      <c r="K145" s="19" t="str">
        <f aca="false">IF(OR(J145="Aktif",J145="Bitiyor"),F145+ROW()/1000000,"")</f>
        <v/>
      </c>
    </row>
    <row r="146" customFormat="false" ht="15" hidden="false" customHeight="false" outlineLevel="0" collapsed="false">
      <c r="A146" s="12"/>
      <c r="B146" s="12"/>
      <c r="C146" s="13"/>
      <c r="D146" s="14"/>
      <c r="E146" s="15"/>
      <c r="F146" s="16" t="str">
        <f aca="false">IF(OR(C146="",D146=""),"",EDATE(D146,IFERROR(INDEX(Paketler!$B$5:$B$24,MATCH(C146,Paketler!$A$5:$A$24,0)),0))-1)</f>
        <v/>
      </c>
      <c r="G146" s="17" t="str">
        <f aca="false">IF(F146="","",IFERROR(INDEX(Paketler!$C$5:$C$24,MATCH(C146,Paketler!$A$5:$A$24,0)),0))</f>
        <v/>
      </c>
      <c r="H146" s="17" t="str">
        <f aca="false">IF(F146="","",G146-E146)</f>
        <v/>
      </c>
      <c r="I146" s="18" t="str">
        <f aca="true">IF(F146="","",F146-TODAY())</f>
        <v/>
      </c>
      <c r="J146" s="19" t="str">
        <f aca="true">IF(F146="","",IF(TODAY()&lt;D146,"Başlamadı",IF(TODAY()&gt;F146,"Bitti",IF(F146-TODAY()&lt;=7,"Bitiyor","Aktif"))))</f>
        <v/>
      </c>
      <c r="K146" s="19" t="str">
        <f aca="false">IF(OR(J146="Aktif",J146="Bitiyor"),F146+ROW()/1000000,"")</f>
        <v/>
      </c>
    </row>
    <row r="147" customFormat="false" ht="15" hidden="false" customHeight="false" outlineLevel="0" collapsed="false">
      <c r="A147" s="12"/>
      <c r="B147" s="12"/>
      <c r="C147" s="13"/>
      <c r="D147" s="14"/>
      <c r="E147" s="15"/>
      <c r="F147" s="16" t="str">
        <f aca="false">IF(OR(C147="",D147=""),"",EDATE(D147,IFERROR(INDEX(Paketler!$B$5:$B$24,MATCH(C147,Paketler!$A$5:$A$24,0)),0))-1)</f>
        <v/>
      </c>
      <c r="G147" s="17" t="str">
        <f aca="false">IF(F147="","",IFERROR(INDEX(Paketler!$C$5:$C$24,MATCH(C147,Paketler!$A$5:$A$24,0)),0))</f>
        <v/>
      </c>
      <c r="H147" s="17" t="str">
        <f aca="false">IF(F147="","",G147-E147)</f>
        <v/>
      </c>
      <c r="I147" s="18" t="str">
        <f aca="true">IF(F147="","",F147-TODAY())</f>
        <v/>
      </c>
      <c r="J147" s="19" t="str">
        <f aca="true">IF(F147="","",IF(TODAY()&lt;D147,"Başlamadı",IF(TODAY()&gt;F147,"Bitti",IF(F147-TODAY()&lt;=7,"Bitiyor","Aktif"))))</f>
        <v/>
      </c>
      <c r="K147" s="19" t="str">
        <f aca="false">IF(OR(J147="Aktif",J147="Bitiyor"),F147+ROW()/1000000,"")</f>
        <v/>
      </c>
    </row>
    <row r="148" customFormat="false" ht="15" hidden="false" customHeight="false" outlineLevel="0" collapsed="false">
      <c r="A148" s="12"/>
      <c r="B148" s="12"/>
      <c r="C148" s="13"/>
      <c r="D148" s="14"/>
      <c r="E148" s="15"/>
      <c r="F148" s="16" t="str">
        <f aca="false">IF(OR(C148="",D148=""),"",EDATE(D148,IFERROR(INDEX(Paketler!$B$5:$B$24,MATCH(C148,Paketler!$A$5:$A$24,0)),0))-1)</f>
        <v/>
      </c>
      <c r="G148" s="17" t="str">
        <f aca="false">IF(F148="","",IFERROR(INDEX(Paketler!$C$5:$C$24,MATCH(C148,Paketler!$A$5:$A$24,0)),0))</f>
        <v/>
      </c>
      <c r="H148" s="17" t="str">
        <f aca="false">IF(F148="","",G148-E148)</f>
        <v/>
      </c>
      <c r="I148" s="18" t="str">
        <f aca="true">IF(F148="","",F148-TODAY())</f>
        <v/>
      </c>
      <c r="J148" s="19" t="str">
        <f aca="true">IF(F148="","",IF(TODAY()&lt;D148,"Başlamadı",IF(TODAY()&gt;F148,"Bitti",IF(F148-TODAY()&lt;=7,"Bitiyor","Aktif"))))</f>
        <v/>
      </c>
      <c r="K148" s="19" t="str">
        <f aca="false">IF(OR(J148="Aktif",J148="Bitiyor"),F148+ROW()/1000000,"")</f>
        <v/>
      </c>
    </row>
    <row r="149" customFormat="false" ht="15" hidden="false" customHeight="false" outlineLevel="0" collapsed="false">
      <c r="A149" s="12"/>
      <c r="B149" s="12"/>
      <c r="C149" s="13"/>
      <c r="D149" s="14"/>
      <c r="E149" s="15"/>
      <c r="F149" s="16" t="str">
        <f aca="false">IF(OR(C149="",D149=""),"",EDATE(D149,IFERROR(INDEX(Paketler!$B$5:$B$24,MATCH(C149,Paketler!$A$5:$A$24,0)),0))-1)</f>
        <v/>
      </c>
      <c r="G149" s="17" t="str">
        <f aca="false">IF(F149="","",IFERROR(INDEX(Paketler!$C$5:$C$24,MATCH(C149,Paketler!$A$5:$A$24,0)),0))</f>
        <v/>
      </c>
      <c r="H149" s="17" t="str">
        <f aca="false">IF(F149="","",G149-E149)</f>
        <v/>
      </c>
      <c r="I149" s="18" t="str">
        <f aca="true">IF(F149="","",F149-TODAY())</f>
        <v/>
      </c>
      <c r="J149" s="19" t="str">
        <f aca="true">IF(F149="","",IF(TODAY()&lt;D149,"Başlamadı",IF(TODAY()&gt;F149,"Bitti",IF(F149-TODAY()&lt;=7,"Bitiyor","Aktif"))))</f>
        <v/>
      </c>
      <c r="K149" s="19" t="str">
        <f aca="false">IF(OR(J149="Aktif",J149="Bitiyor"),F149+ROW()/1000000,"")</f>
        <v/>
      </c>
    </row>
    <row r="150" customFormat="false" ht="15" hidden="false" customHeight="false" outlineLevel="0" collapsed="false">
      <c r="A150" s="12"/>
      <c r="B150" s="12"/>
      <c r="C150" s="13"/>
      <c r="D150" s="14"/>
      <c r="E150" s="15"/>
      <c r="F150" s="16" t="str">
        <f aca="false">IF(OR(C150="",D150=""),"",EDATE(D150,IFERROR(INDEX(Paketler!$B$5:$B$24,MATCH(C150,Paketler!$A$5:$A$24,0)),0))-1)</f>
        <v/>
      </c>
      <c r="G150" s="17" t="str">
        <f aca="false">IF(F150="","",IFERROR(INDEX(Paketler!$C$5:$C$24,MATCH(C150,Paketler!$A$5:$A$24,0)),0))</f>
        <v/>
      </c>
      <c r="H150" s="17" t="str">
        <f aca="false">IF(F150="","",G150-E150)</f>
        <v/>
      </c>
      <c r="I150" s="18" t="str">
        <f aca="true">IF(F150="","",F150-TODAY())</f>
        <v/>
      </c>
      <c r="J150" s="19" t="str">
        <f aca="true">IF(F150="","",IF(TODAY()&lt;D150,"Başlamadı",IF(TODAY()&gt;F150,"Bitti",IF(F150-TODAY()&lt;=7,"Bitiyor","Aktif"))))</f>
        <v/>
      </c>
      <c r="K150" s="19" t="str">
        <f aca="false">IF(OR(J150="Aktif",J150="Bitiyor"),F150+ROW()/1000000,"")</f>
        <v/>
      </c>
    </row>
    <row r="151" customFormat="false" ht="15" hidden="false" customHeight="false" outlineLevel="0" collapsed="false">
      <c r="A151" s="12"/>
      <c r="B151" s="12"/>
      <c r="C151" s="13"/>
      <c r="D151" s="14"/>
      <c r="E151" s="15"/>
      <c r="F151" s="16" t="str">
        <f aca="false">IF(OR(C151="",D151=""),"",EDATE(D151,IFERROR(INDEX(Paketler!$B$5:$B$24,MATCH(C151,Paketler!$A$5:$A$24,0)),0))-1)</f>
        <v/>
      </c>
      <c r="G151" s="17" t="str">
        <f aca="false">IF(F151="","",IFERROR(INDEX(Paketler!$C$5:$C$24,MATCH(C151,Paketler!$A$5:$A$24,0)),0))</f>
        <v/>
      </c>
      <c r="H151" s="17" t="str">
        <f aca="false">IF(F151="","",G151-E151)</f>
        <v/>
      </c>
      <c r="I151" s="18" t="str">
        <f aca="true">IF(F151="","",F151-TODAY())</f>
        <v/>
      </c>
      <c r="J151" s="19" t="str">
        <f aca="true">IF(F151="","",IF(TODAY()&lt;D151,"Başlamadı",IF(TODAY()&gt;F151,"Bitti",IF(F151-TODAY()&lt;=7,"Bitiyor","Aktif"))))</f>
        <v/>
      </c>
      <c r="K151" s="19" t="str">
        <f aca="false">IF(OR(J151="Aktif",J151="Bitiyor"),F151+ROW()/1000000,"")</f>
        <v/>
      </c>
    </row>
    <row r="152" customFormat="false" ht="15" hidden="false" customHeight="false" outlineLevel="0" collapsed="false">
      <c r="A152" s="12"/>
      <c r="B152" s="12"/>
      <c r="C152" s="13"/>
      <c r="D152" s="14"/>
      <c r="E152" s="15"/>
      <c r="F152" s="16" t="str">
        <f aca="false">IF(OR(C152="",D152=""),"",EDATE(D152,IFERROR(INDEX(Paketler!$B$5:$B$24,MATCH(C152,Paketler!$A$5:$A$24,0)),0))-1)</f>
        <v/>
      </c>
      <c r="G152" s="17" t="str">
        <f aca="false">IF(F152="","",IFERROR(INDEX(Paketler!$C$5:$C$24,MATCH(C152,Paketler!$A$5:$A$24,0)),0))</f>
        <v/>
      </c>
      <c r="H152" s="17" t="str">
        <f aca="false">IF(F152="","",G152-E152)</f>
        <v/>
      </c>
      <c r="I152" s="18" t="str">
        <f aca="true">IF(F152="","",F152-TODAY())</f>
        <v/>
      </c>
      <c r="J152" s="19" t="str">
        <f aca="true">IF(F152="","",IF(TODAY()&lt;D152,"Başlamadı",IF(TODAY()&gt;F152,"Bitti",IF(F152-TODAY()&lt;=7,"Bitiyor","Aktif"))))</f>
        <v/>
      </c>
      <c r="K152" s="19" t="str">
        <f aca="false">IF(OR(J152="Aktif",J152="Bitiyor"),F152+ROW()/1000000,"")</f>
        <v/>
      </c>
    </row>
    <row r="153" customFormat="false" ht="15" hidden="false" customHeight="false" outlineLevel="0" collapsed="false">
      <c r="A153" s="12"/>
      <c r="B153" s="12"/>
      <c r="C153" s="13"/>
      <c r="D153" s="14"/>
      <c r="E153" s="15"/>
      <c r="F153" s="16" t="str">
        <f aca="false">IF(OR(C153="",D153=""),"",EDATE(D153,IFERROR(INDEX(Paketler!$B$5:$B$24,MATCH(C153,Paketler!$A$5:$A$24,0)),0))-1)</f>
        <v/>
      </c>
      <c r="G153" s="17" t="str">
        <f aca="false">IF(F153="","",IFERROR(INDEX(Paketler!$C$5:$C$24,MATCH(C153,Paketler!$A$5:$A$24,0)),0))</f>
        <v/>
      </c>
      <c r="H153" s="17" t="str">
        <f aca="false">IF(F153="","",G153-E153)</f>
        <v/>
      </c>
      <c r="I153" s="18" t="str">
        <f aca="true">IF(F153="","",F153-TODAY())</f>
        <v/>
      </c>
      <c r="J153" s="19" t="str">
        <f aca="true">IF(F153="","",IF(TODAY()&lt;D153,"Başlamadı",IF(TODAY()&gt;F153,"Bitti",IF(F153-TODAY()&lt;=7,"Bitiyor","Aktif"))))</f>
        <v/>
      </c>
      <c r="K153" s="19" t="str">
        <f aca="false">IF(OR(J153="Aktif",J153="Bitiyor"),F153+ROW()/1000000,"")</f>
        <v/>
      </c>
    </row>
    <row r="154" customFormat="false" ht="15" hidden="false" customHeight="false" outlineLevel="0" collapsed="false">
      <c r="A154" s="12"/>
      <c r="B154" s="12"/>
      <c r="C154" s="13"/>
      <c r="D154" s="14"/>
      <c r="E154" s="15"/>
      <c r="F154" s="16" t="str">
        <f aca="false">IF(OR(C154="",D154=""),"",EDATE(D154,IFERROR(INDEX(Paketler!$B$5:$B$24,MATCH(C154,Paketler!$A$5:$A$24,0)),0))-1)</f>
        <v/>
      </c>
      <c r="G154" s="17" t="str">
        <f aca="false">IF(F154="","",IFERROR(INDEX(Paketler!$C$5:$C$24,MATCH(C154,Paketler!$A$5:$A$24,0)),0))</f>
        <v/>
      </c>
      <c r="H154" s="17" t="str">
        <f aca="false">IF(F154="","",G154-E154)</f>
        <v/>
      </c>
      <c r="I154" s="18" t="str">
        <f aca="true">IF(F154="","",F154-TODAY())</f>
        <v/>
      </c>
      <c r="J154" s="19" t="str">
        <f aca="true">IF(F154="","",IF(TODAY()&lt;D154,"Başlamadı",IF(TODAY()&gt;F154,"Bitti",IF(F154-TODAY()&lt;=7,"Bitiyor","Aktif"))))</f>
        <v/>
      </c>
      <c r="K154" s="19" t="str">
        <f aca="false">IF(OR(J154="Aktif",J154="Bitiyor"),F154+ROW()/1000000,"")</f>
        <v/>
      </c>
    </row>
    <row r="155" customFormat="false" ht="15" hidden="false" customHeight="false" outlineLevel="0" collapsed="false">
      <c r="A155" s="12"/>
      <c r="B155" s="12"/>
      <c r="C155" s="13"/>
      <c r="D155" s="14"/>
      <c r="E155" s="15"/>
      <c r="F155" s="16" t="str">
        <f aca="false">IF(OR(C155="",D155=""),"",EDATE(D155,IFERROR(INDEX(Paketler!$B$5:$B$24,MATCH(C155,Paketler!$A$5:$A$24,0)),0))-1)</f>
        <v/>
      </c>
      <c r="G155" s="17" t="str">
        <f aca="false">IF(F155="","",IFERROR(INDEX(Paketler!$C$5:$C$24,MATCH(C155,Paketler!$A$5:$A$24,0)),0))</f>
        <v/>
      </c>
      <c r="H155" s="17" t="str">
        <f aca="false">IF(F155="","",G155-E155)</f>
        <v/>
      </c>
      <c r="I155" s="18" t="str">
        <f aca="true">IF(F155="","",F155-TODAY())</f>
        <v/>
      </c>
      <c r="J155" s="19" t="str">
        <f aca="true">IF(F155="","",IF(TODAY()&lt;D155,"Başlamadı",IF(TODAY()&gt;F155,"Bitti",IF(F155-TODAY()&lt;=7,"Bitiyor","Aktif"))))</f>
        <v/>
      </c>
      <c r="K155" s="19" t="str">
        <f aca="false">IF(OR(J155="Aktif",J155="Bitiyor"),F155+ROW()/1000000,"")</f>
        <v/>
      </c>
    </row>
    <row r="156" customFormat="false" ht="15" hidden="false" customHeight="false" outlineLevel="0" collapsed="false">
      <c r="A156" s="12"/>
      <c r="B156" s="12"/>
      <c r="C156" s="13"/>
      <c r="D156" s="14"/>
      <c r="E156" s="15"/>
      <c r="F156" s="16" t="str">
        <f aca="false">IF(OR(C156="",D156=""),"",EDATE(D156,IFERROR(INDEX(Paketler!$B$5:$B$24,MATCH(C156,Paketler!$A$5:$A$24,0)),0))-1)</f>
        <v/>
      </c>
      <c r="G156" s="17" t="str">
        <f aca="false">IF(F156="","",IFERROR(INDEX(Paketler!$C$5:$C$24,MATCH(C156,Paketler!$A$5:$A$24,0)),0))</f>
        <v/>
      </c>
      <c r="H156" s="17" t="str">
        <f aca="false">IF(F156="","",G156-E156)</f>
        <v/>
      </c>
      <c r="I156" s="18" t="str">
        <f aca="true">IF(F156="","",F156-TODAY())</f>
        <v/>
      </c>
      <c r="J156" s="19" t="str">
        <f aca="true">IF(F156="","",IF(TODAY()&lt;D156,"Başlamadı",IF(TODAY()&gt;F156,"Bitti",IF(F156-TODAY()&lt;=7,"Bitiyor","Aktif"))))</f>
        <v/>
      </c>
      <c r="K156" s="19" t="str">
        <f aca="false">IF(OR(J156="Aktif",J156="Bitiyor"),F156+ROW()/1000000,"")</f>
        <v/>
      </c>
    </row>
    <row r="157" customFormat="false" ht="15" hidden="false" customHeight="false" outlineLevel="0" collapsed="false">
      <c r="A157" s="12"/>
      <c r="B157" s="12"/>
      <c r="C157" s="13"/>
      <c r="D157" s="14"/>
      <c r="E157" s="15"/>
      <c r="F157" s="16" t="str">
        <f aca="false">IF(OR(C157="",D157=""),"",EDATE(D157,IFERROR(INDEX(Paketler!$B$5:$B$24,MATCH(C157,Paketler!$A$5:$A$24,0)),0))-1)</f>
        <v/>
      </c>
      <c r="G157" s="17" t="str">
        <f aca="false">IF(F157="","",IFERROR(INDEX(Paketler!$C$5:$C$24,MATCH(C157,Paketler!$A$5:$A$24,0)),0))</f>
        <v/>
      </c>
      <c r="H157" s="17" t="str">
        <f aca="false">IF(F157="","",G157-E157)</f>
        <v/>
      </c>
      <c r="I157" s="18" t="str">
        <f aca="true">IF(F157="","",F157-TODAY())</f>
        <v/>
      </c>
      <c r="J157" s="19" t="str">
        <f aca="true">IF(F157="","",IF(TODAY()&lt;D157,"Başlamadı",IF(TODAY()&gt;F157,"Bitti",IF(F157-TODAY()&lt;=7,"Bitiyor","Aktif"))))</f>
        <v/>
      </c>
      <c r="K157" s="19" t="str">
        <f aca="false">IF(OR(J157="Aktif",J157="Bitiyor"),F157+ROW()/1000000,"")</f>
        <v/>
      </c>
    </row>
    <row r="158" customFormat="false" ht="15" hidden="false" customHeight="false" outlineLevel="0" collapsed="false">
      <c r="A158" s="12"/>
      <c r="B158" s="12"/>
      <c r="C158" s="13"/>
      <c r="D158" s="14"/>
      <c r="E158" s="15"/>
      <c r="F158" s="16" t="str">
        <f aca="false">IF(OR(C158="",D158=""),"",EDATE(D158,IFERROR(INDEX(Paketler!$B$5:$B$24,MATCH(C158,Paketler!$A$5:$A$24,0)),0))-1)</f>
        <v/>
      </c>
      <c r="G158" s="17" t="str">
        <f aca="false">IF(F158="","",IFERROR(INDEX(Paketler!$C$5:$C$24,MATCH(C158,Paketler!$A$5:$A$24,0)),0))</f>
        <v/>
      </c>
      <c r="H158" s="17" t="str">
        <f aca="false">IF(F158="","",G158-E158)</f>
        <v/>
      </c>
      <c r="I158" s="18" t="str">
        <f aca="true">IF(F158="","",F158-TODAY())</f>
        <v/>
      </c>
      <c r="J158" s="19" t="str">
        <f aca="true">IF(F158="","",IF(TODAY()&lt;D158,"Başlamadı",IF(TODAY()&gt;F158,"Bitti",IF(F158-TODAY()&lt;=7,"Bitiyor","Aktif"))))</f>
        <v/>
      </c>
      <c r="K158" s="19" t="str">
        <f aca="false">IF(OR(J158="Aktif",J158="Bitiyor"),F158+ROW()/1000000,"")</f>
        <v/>
      </c>
    </row>
    <row r="159" customFormat="false" ht="15" hidden="false" customHeight="false" outlineLevel="0" collapsed="false">
      <c r="A159" s="12"/>
      <c r="B159" s="12"/>
      <c r="C159" s="13"/>
      <c r="D159" s="14"/>
      <c r="E159" s="15"/>
      <c r="F159" s="16" t="str">
        <f aca="false">IF(OR(C159="",D159=""),"",EDATE(D159,IFERROR(INDEX(Paketler!$B$5:$B$24,MATCH(C159,Paketler!$A$5:$A$24,0)),0))-1)</f>
        <v/>
      </c>
      <c r="G159" s="17" t="str">
        <f aca="false">IF(F159="","",IFERROR(INDEX(Paketler!$C$5:$C$24,MATCH(C159,Paketler!$A$5:$A$24,0)),0))</f>
        <v/>
      </c>
      <c r="H159" s="17" t="str">
        <f aca="false">IF(F159="","",G159-E159)</f>
        <v/>
      </c>
      <c r="I159" s="18" t="str">
        <f aca="true">IF(F159="","",F159-TODAY())</f>
        <v/>
      </c>
      <c r="J159" s="19" t="str">
        <f aca="true">IF(F159="","",IF(TODAY()&lt;D159,"Başlamadı",IF(TODAY()&gt;F159,"Bitti",IF(F159-TODAY()&lt;=7,"Bitiyor","Aktif"))))</f>
        <v/>
      </c>
      <c r="K159" s="19" t="str">
        <f aca="false">IF(OR(J159="Aktif",J159="Bitiyor"),F159+ROW()/1000000,"")</f>
        <v/>
      </c>
    </row>
    <row r="160" customFormat="false" ht="15" hidden="false" customHeight="false" outlineLevel="0" collapsed="false">
      <c r="A160" s="12"/>
      <c r="B160" s="12"/>
      <c r="C160" s="13"/>
      <c r="D160" s="14"/>
      <c r="E160" s="15"/>
      <c r="F160" s="16" t="str">
        <f aca="false">IF(OR(C160="",D160=""),"",EDATE(D160,IFERROR(INDEX(Paketler!$B$5:$B$24,MATCH(C160,Paketler!$A$5:$A$24,0)),0))-1)</f>
        <v/>
      </c>
      <c r="G160" s="17" t="str">
        <f aca="false">IF(F160="","",IFERROR(INDEX(Paketler!$C$5:$C$24,MATCH(C160,Paketler!$A$5:$A$24,0)),0))</f>
        <v/>
      </c>
      <c r="H160" s="17" t="str">
        <f aca="false">IF(F160="","",G160-E160)</f>
        <v/>
      </c>
      <c r="I160" s="18" t="str">
        <f aca="true">IF(F160="","",F160-TODAY())</f>
        <v/>
      </c>
      <c r="J160" s="19" t="str">
        <f aca="true">IF(F160="","",IF(TODAY()&lt;D160,"Başlamadı",IF(TODAY()&gt;F160,"Bitti",IF(F160-TODAY()&lt;=7,"Bitiyor","Aktif"))))</f>
        <v/>
      </c>
      <c r="K160" s="19" t="str">
        <f aca="false">IF(OR(J160="Aktif",J160="Bitiyor"),F160+ROW()/1000000,"")</f>
        <v/>
      </c>
    </row>
    <row r="161" customFormat="false" ht="15" hidden="false" customHeight="false" outlineLevel="0" collapsed="false">
      <c r="A161" s="12"/>
      <c r="B161" s="12"/>
      <c r="C161" s="13"/>
      <c r="D161" s="14"/>
      <c r="E161" s="15"/>
      <c r="F161" s="16" t="str">
        <f aca="false">IF(OR(C161="",D161=""),"",EDATE(D161,IFERROR(INDEX(Paketler!$B$5:$B$24,MATCH(C161,Paketler!$A$5:$A$24,0)),0))-1)</f>
        <v/>
      </c>
      <c r="G161" s="17" t="str">
        <f aca="false">IF(F161="","",IFERROR(INDEX(Paketler!$C$5:$C$24,MATCH(C161,Paketler!$A$5:$A$24,0)),0))</f>
        <v/>
      </c>
      <c r="H161" s="17" t="str">
        <f aca="false">IF(F161="","",G161-E161)</f>
        <v/>
      </c>
      <c r="I161" s="18" t="str">
        <f aca="true">IF(F161="","",F161-TODAY())</f>
        <v/>
      </c>
      <c r="J161" s="19" t="str">
        <f aca="true">IF(F161="","",IF(TODAY()&lt;D161,"Başlamadı",IF(TODAY()&gt;F161,"Bitti",IF(F161-TODAY()&lt;=7,"Bitiyor","Aktif"))))</f>
        <v/>
      </c>
      <c r="K161" s="19" t="str">
        <f aca="false">IF(OR(J161="Aktif",J161="Bitiyor"),F161+ROW()/1000000,"")</f>
        <v/>
      </c>
    </row>
    <row r="162" customFormat="false" ht="15" hidden="false" customHeight="false" outlineLevel="0" collapsed="false">
      <c r="A162" s="12"/>
      <c r="B162" s="12"/>
      <c r="C162" s="13"/>
      <c r="D162" s="14"/>
      <c r="E162" s="15"/>
      <c r="F162" s="16" t="str">
        <f aca="false">IF(OR(C162="",D162=""),"",EDATE(D162,IFERROR(INDEX(Paketler!$B$5:$B$24,MATCH(C162,Paketler!$A$5:$A$24,0)),0))-1)</f>
        <v/>
      </c>
      <c r="G162" s="17" t="str">
        <f aca="false">IF(F162="","",IFERROR(INDEX(Paketler!$C$5:$C$24,MATCH(C162,Paketler!$A$5:$A$24,0)),0))</f>
        <v/>
      </c>
      <c r="H162" s="17" t="str">
        <f aca="false">IF(F162="","",G162-E162)</f>
        <v/>
      </c>
      <c r="I162" s="18" t="str">
        <f aca="true">IF(F162="","",F162-TODAY())</f>
        <v/>
      </c>
      <c r="J162" s="19" t="str">
        <f aca="true">IF(F162="","",IF(TODAY()&lt;D162,"Başlamadı",IF(TODAY()&gt;F162,"Bitti",IF(F162-TODAY()&lt;=7,"Bitiyor","Aktif"))))</f>
        <v/>
      </c>
      <c r="K162" s="19" t="str">
        <f aca="false">IF(OR(J162="Aktif",J162="Bitiyor"),F162+ROW()/1000000,"")</f>
        <v/>
      </c>
    </row>
    <row r="163" customFormat="false" ht="15" hidden="false" customHeight="false" outlineLevel="0" collapsed="false">
      <c r="A163" s="12"/>
      <c r="B163" s="12"/>
      <c r="C163" s="13"/>
      <c r="D163" s="14"/>
      <c r="E163" s="15"/>
      <c r="F163" s="16" t="str">
        <f aca="false">IF(OR(C163="",D163=""),"",EDATE(D163,IFERROR(INDEX(Paketler!$B$5:$B$24,MATCH(C163,Paketler!$A$5:$A$24,0)),0))-1)</f>
        <v/>
      </c>
      <c r="G163" s="17" t="str">
        <f aca="false">IF(F163="","",IFERROR(INDEX(Paketler!$C$5:$C$24,MATCH(C163,Paketler!$A$5:$A$24,0)),0))</f>
        <v/>
      </c>
      <c r="H163" s="17" t="str">
        <f aca="false">IF(F163="","",G163-E163)</f>
        <v/>
      </c>
      <c r="I163" s="18" t="str">
        <f aca="true">IF(F163="","",F163-TODAY())</f>
        <v/>
      </c>
      <c r="J163" s="19" t="str">
        <f aca="true">IF(F163="","",IF(TODAY()&lt;D163,"Başlamadı",IF(TODAY()&gt;F163,"Bitti",IF(F163-TODAY()&lt;=7,"Bitiyor","Aktif"))))</f>
        <v/>
      </c>
      <c r="K163" s="19" t="str">
        <f aca="false">IF(OR(J163="Aktif",J163="Bitiyor"),F163+ROW()/1000000,"")</f>
        <v/>
      </c>
    </row>
    <row r="164" customFormat="false" ht="15" hidden="false" customHeight="false" outlineLevel="0" collapsed="false">
      <c r="A164" s="12"/>
      <c r="B164" s="12"/>
      <c r="C164" s="13"/>
      <c r="D164" s="14"/>
      <c r="E164" s="15"/>
      <c r="F164" s="16" t="str">
        <f aca="false">IF(OR(C164="",D164=""),"",EDATE(D164,IFERROR(INDEX(Paketler!$B$5:$B$24,MATCH(C164,Paketler!$A$5:$A$24,0)),0))-1)</f>
        <v/>
      </c>
      <c r="G164" s="17" t="str">
        <f aca="false">IF(F164="","",IFERROR(INDEX(Paketler!$C$5:$C$24,MATCH(C164,Paketler!$A$5:$A$24,0)),0))</f>
        <v/>
      </c>
      <c r="H164" s="17" t="str">
        <f aca="false">IF(F164="","",G164-E164)</f>
        <v/>
      </c>
      <c r="I164" s="18" t="str">
        <f aca="true">IF(F164="","",F164-TODAY())</f>
        <v/>
      </c>
      <c r="J164" s="19" t="str">
        <f aca="true">IF(F164="","",IF(TODAY()&lt;D164,"Başlamadı",IF(TODAY()&gt;F164,"Bitti",IF(F164-TODAY()&lt;=7,"Bitiyor","Aktif"))))</f>
        <v/>
      </c>
      <c r="K164" s="19" t="str">
        <f aca="false">IF(OR(J164="Aktif",J164="Bitiyor"),F164+ROW()/1000000,"")</f>
        <v/>
      </c>
    </row>
    <row r="165" customFormat="false" ht="15" hidden="false" customHeight="false" outlineLevel="0" collapsed="false">
      <c r="A165" s="12"/>
      <c r="B165" s="12"/>
      <c r="C165" s="13"/>
      <c r="D165" s="14"/>
      <c r="E165" s="15"/>
      <c r="F165" s="16" t="str">
        <f aca="false">IF(OR(C165="",D165=""),"",EDATE(D165,IFERROR(INDEX(Paketler!$B$5:$B$24,MATCH(C165,Paketler!$A$5:$A$24,0)),0))-1)</f>
        <v/>
      </c>
      <c r="G165" s="17" t="str">
        <f aca="false">IF(F165="","",IFERROR(INDEX(Paketler!$C$5:$C$24,MATCH(C165,Paketler!$A$5:$A$24,0)),0))</f>
        <v/>
      </c>
      <c r="H165" s="17" t="str">
        <f aca="false">IF(F165="","",G165-E165)</f>
        <v/>
      </c>
      <c r="I165" s="18" t="str">
        <f aca="true">IF(F165="","",F165-TODAY())</f>
        <v/>
      </c>
      <c r="J165" s="19" t="str">
        <f aca="true">IF(F165="","",IF(TODAY()&lt;D165,"Başlamadı",IF(TODAY()&gt;F165,"Bitti",IF(F165-TODAY()&lt;=7,"Bitiyor","Aktif"))))</f>
        <v/>
      </c>
      <c r="K165" s="19" t="str">
        <f aca="false">IF(OR(J165="Aktif",J165="Bitiyor"),F165+ROW()/1000000,"")</f>
        <v/>
      </c>
    </row>
    <row r="166" customFormat="false" ht="15" hidden="false" customHeight="false" outlineLevel="0" collapsed="false">
      <c r="A166" s="12"/>
      <c r="B166" s="12"/>
      <c r="C166" s="13"/>
      <c r="D166" s="14"/>
      <c r="E166" s="15"/>
      <c r="F166" s="16" t="str">
        <f aca="false">IF(OR(C166="",D166=""),"",EDATE(D166,IFERROR(INDEX(Paketler!$B$5:$B$24,MATCH(C166,Paketler!$A$5:$A$24,0)),0))-1)</f>
        <v/>
      </c>
      <c r="G166" s="17" t="str">
        <f aca="false">IF(F166="","",IFERROR(INDEX(Paketler!$C$5:$C$24,MATCH(C166,Paketler!$A$5:$A$24,0)),0))</f>
        <v/>
      </c>
      <c r="H166" s="17" t="str">
        <f aca="false">IF(F166="","",G166-E166)</f>
        <v/>
      </c>
      <c r="I166" s="18" t="str">
        <f aca="true">IF(F166="","",F166-TODAY())</f>
        <v/>
      </c>
      <c r="J166" s="19" t="str">
        <f aca="true">IF(F166="","",IF(TODAY()&lt;D166,"Başlamadı",IF(TODAY()&gt;F166,"Bitti",IF(F166-TODAY()&lt;=7,"Bitiyor","Aktif"))))</f>
        <v/>
      </c>
      <c r="K166" s="19" t="str">
        <f aca="false">IF(OR(J166="Aktif",J166="Bitiyor"),F166+ROW()/1000000,"")</f>
        <v/>
      </c>
    </row>
    <row r="167" customFormat="false" ht="15" hidden="false" customHeight="false" outlineLevel="0" collapsed="false">
      <c r="A167" s="12"/>
      <c r="B167" s="12"/>
      <c r="C167" s="13"/>
      <c r="D167" s="14"/>
      <c r="E167" s="15"/>
      <c r="F167" s="16" t="str">
        <f aca="false">IF(OR(C167="",D167=""),"",EDATE(D167,IFERROR(INDEX(Paketler!$B$5:$B$24,MATCH(C167,Paketler!$A$5:$A$24,0)),0))-1)</f>
        <v/>
      </c>
      <c r="G167" s="17" t="str">
        <f aca="false">IF(F167="","",IFERROR(INDEX(Paketler!$C$5:$C$24,MATCH(C167,Paketler!$A$5:$A$24,0)),0))</f>
        <v/>
      </c>
      <c r="H167" s="17" t="str">
        <f aca="false">IF(F167="","",G167-E167)</f>
        <v/>
      </c>
      <c r="I167" s="18" t="str">
        <f aca="true">IF(F167="","",F167-TODAY())</f>
        <v/>
      </c>
      <c r="J167" s="19" t="str">
        <f aca="true">IF(F167="","",IF(TODAY()&lt;D167,"Başlamadı",IF(TODAY()&gt;F167,"Bitti",IF(F167-TODAY()&lt;=7,"Bitiyor","Aktif"))))</f>
        <v/>
      </c>
      <c r="K167" s="19" t="str">
        <f aca="false">IF(OR(J167="Aktif",J167="Bitiyor"),F167+ROW()/1000000,"")</f>
        <v/>
      </c>
    </row>
    <row r="168" customFormat="false" ht="15" hidden="false" customHeight="false" outlineLevel="0" collapsed="false">
      <c r="A168" s="12"/>
      <c r="B168" s="12"/>
      <c r="C168" s="13"/>
      <c r="D168" s="14"/>
      <c r="E168" s="15"/>
      <c r="F168" s="16" t="str">
        <f aca="false">IF(OR(C168="",D168=""),"",EDATE(D168,IFERROR(INDEX(Paketler!$B$5:$B$24,MATCH(C168,Paketler!$A$5:$A$24,0)),0))-1)</f>
        <v/>
      </c>
      <c r="G168" s="17" t="str">
        <f aca="false">IF(F168="","",IFERROR(INDEX(Paketler!$C$5:$C$24,MATCH(C168,Paketler!$A$5:$A$24,0)),0))</f>
        <v/>
      </c>
      <c r="H168" s="17" t="str">
        <f aca="false">IF(F168="","",G168-E168)</f>
        <v/>
      </c>
      <c r="I168" s="18" t="str">
        <f aca="true">IF(F168="","",F168-TODAY())</f>
        <v/>
      </c>
      <c r="J168" s="19" t="str">
        <f aca="true">IF(F168="","",IF(TODAY()&lt;D168,"Başlamadı",IF(TODAY()&gt;F168,"Bitti",IF(F168-TODAY()&lt;=7,"Bitiyor","Aktif"))))</f>
        <v/>
      </c>
      <c r="K168" s="19" t="str">
        <f aca="false">IF(OR(J168="Aktif",J168="Bitiyor"),F168+ROW()/1000000,"")</f>
        <v/>
      </c>
    </row>
    <row r="169" customFormat="false" ht="15" hidden="false" customHeight="false" outlineLevel="0" collapsed="false">
      <c r="A169" s="12"/>
      <c r="B169" s="12"/>
      <c r="C169" s="13"/>
      <c r="D169" s="14"/>
      <c r="E169" s="15"/>
      <c r="F169" s="16" t="str">
        <f aca="false">IF(OR(C169="",D169=""),"",EDATE(D169,IFERROR(INDEX(Paketler!$B$5:$B$24,MATCH(C169,Paketler!$A$5:$A$24,0)),0))-1)</f>
        <v/>
      </c>
      <c r="G169" s="17" t="str">
        <f aca="false">IF(F169="","",IFERROR(INDEX(Paketler!$C$5:$C$24,MATCH(C169,Paketler!$A$5:$A$24,0)),0))</f>
        <v/>
      </c>
      <c r="H169" s="17" t="str">
        <f aca="false">IF(F169="","",G169-E169)</f>
        <v/>
      </c>
      <c r="I169" s="18" t="str">
        <f aca="true">IF(F169="","",F169-TODAY())</f>
        <v/>
      </c>
      <c r="J169" s="19" t="str">
        <f aca="true">IF(F169="","",IF(TODAY()&lt;D169,"Başlamadı",IF(TODAY()&gt;F169,"Bitti",IF(F169-TODAY()&lt;=7,"Bitiyor","Aktif"))))</f>
        <v/>
      </c>
      <c r="K169" s="19" t="str">
        <f aca="false">IF(OR(J169="Aktif",J169="Bitiyor"),F169+ROW()/1000000,"")</f>
        <v/>
      </c>
    </row>
    <row r="170" customFormat="false" ht="15" hidden="false" customHeight="false" outlineLevel="0" collapsed="false">
      <c r="A170" s="12"/>
      <c r="B170" s="12"/>
      <c r="C170" s="13"/>
      <c r="D170" s="14"/>
      <c r="E170" s="15"/>
      <c r="F170" s="16" t="str">
        <f aca="false">IF(OR(C170="",D170=""),"",EDATE(D170,IFERROR(INDEX(Paketler!$B$5:$B$24,MATCH(C170,Paketler!$A$5:$A$24,0)),0))-1)</f>
        <v/>
      </c>
      <c r="G170" s="17" t="str">
        <f aca="false">IF(F170="","",IFERROR(INDEX(Paketler!$C$5:$C$24,MATCH(C170,Paketler!$A$5:$A$24,0)),0))</f>
        <v/>
      </c>
      <c r="H170" s="17" t="str">
        <f aca="false">IF(F170="","",G170-E170)</f>
        <v/>
      </c>
      <c r="I170" s="18" t="str">
        <f aca="true">IF(F170="","",F170-TODAY())</f>
        <v/>
      </c>
      <c r="J170" s="19" t="str">
        <f aca="true">IF(F170="","",IF(TODAY()&lt;D170,"Başlamadı",IF(TODAY()&gt;F170,"Bitti",IF(F170-TODAY()&lt;=7,"Bitiyor","Aktif"))))</f>
        <v/>
      </c>
      <c r="K170" s="19" t="str">
        <f aca="false">IF(OR(J170="Aktif",J170="Bitiyor"),F170+ROW()/1000000,"")</f>
        <v/>
      </c>
    </row>
    <row r="171" customFormat="false" ht="15" hidden="false" customHeight="false" outlineLevel="0" collapsed="false">
      <c r="A171" s="12"/>
      <c r="B171" s="12"/>
      <c r="C171" s="13"/>
      <c r="D171" s="14"/>
      <c r="E171" s="15"/>
      <c r="F171" s="16" t="str">
        <f aca="false">IF(OR(C171="",D171=""),"",EDATE(D171,IFERROR(INDEX(Paketler!$B$5:$B$24,MATCH(C171,Paketler!$A$5:$A$24,0)),0))-1)</f>
        <v/>
      </c>
      <c r="G171" s="17" t="str">
        <f aca="false">IF(F171="","",IFERROR(INDEX(Paketler!$C$5:$C$24,MATCH(C171,Paketler!$A$5:$A$24,0)),0))</f>
        <v/>
      </c>
      <c r="H171" s="17" t="str">
        <f aca="false">IF(F171="","",G171-E171)</f>
        <v/>
      </c>
      <c r="I171" s="18" t="str">
        <f aca="true">IF(F171="","",F171-TODAY())</f>
        <v/>
      </c>
      <c r="J171" s="19" t="str">
        <f aca="true">IF(F171="","",IF(TODAY()&lt;D171,"Başlamadı",IF(TODAY()&gt;F171,"Bitti",IF(F171-TODAY()&lt;=7,"Bitiyor","Aktif"))))</f>
        <v/>
      </c>
      <c r="K171" s="19" t="str">
        <f aca="false">IF(OR(J171="Aktif",J171="Bitiyor"),F171+ROW()/1000000,"")</f>
        <v/>
      </c>
    </row>
    <row r="172" customFormat="false" ht="15" hidden="false" customHeight="false" outlineLevel="0" collapsed="false">
      <c r="A172" s="12"/>
      <c r="B172" s="12"/>
      <c r="C172" s="13"/>
      <c r="D172" s="14"/>
      <c r="E172" s="15"/>
      <c r="F172" s="16" t="str">
        <f aca="false">IF(OR(C172="",D172=""),"",EDATE(D172,IFERROR(INDEX(Paketler!$B$5:$B$24,MATCH(C172,Paketler!$A$5:$A$24,0)),0))-1)</f>
        <v/>
      </c>
      <c r="G172" s="17" t="str">
        <f aca="false">IF(F172="","",IFERROR(INDEX(Paketler!$C$5:$C$24,MATCH(C172,Paketler!$A$5:$A$24,0)),0))</f>
        <v/>
      </c>
      <c r="H172" s="17" t="str">
        <f aca="false">IF(F172="","",G172-E172)</f>
        <v/>
      </c>
      <c r="I172" s="18" t="str">
        <f aca="true">IF(F172="","",F172-TODAY())</f>
        <v/>
      </c>
      <c r="J172" s="19" t="str">
        <f aca="true">IF(F172="","",IF(TODAY()&lt;D172,"Başlamadı",IF(TODAY()&gt;F172,"Bitti",IF(F172-TODAY()&lt;=7,"Bitiyor","Aktif"))))</f>
        <v/>
      </c>
      <c r="K172" s="19" t="str">
        <f aca="false">IF(OR(J172="Aktif",J172="Bitiyor"),F172+ROW()/1000000,"")</f>
        <v/>
      </c>
    </row>
    <row r="173" customFormat="false" ht="15" hidden="false" customHeight="false" outlineLevel="0" collapsed="false">
      <c r="A173" s="12"/>
      <c r="B173" s="12"/>
      <c r="C173" s="13"/>
      <c r="D173" s="14"/>
      <c r="E173" s="15"/>
      <c r="F173" s="16" t="str">
        <f aca="false">IF(OR(C173="",D173=""),"",EDATE(D173,IFERROR(INDEX(Paketler!$B$5:$B$24,MATCH(C173,Paketler!$A$5:$A$24,0)),0))-1)</f>
        <v/>
      </c>
      <c r="G173" s="17" t="str">
        <f aca="false">IF(F173="","",IFERROR(INDEX(Paketler!$C$5:$C$24,MATCH(C173,Paketler!$A$5:$A$24,0)),0))</f>
        <v/>
      </c>
      <c r="H173" s="17" t="str">
        <f aca="false">IF(F173="","",G173-E173)</f>
        <v/>
      </c>
      <c r="I173" s="18" t="str">
        <f aca="true">IF(F173="","",F173-TODAY())</f>
        <v/>
      </c>
      <c r="J173" s="19" t="str">
        <f aca="true">IF(F173="","",IF(TODAY()&lt;D173,"Başlamadı",IF(TODAY()&gt;F173,"Bitti",IF(F173-TODAY()&lt;=7,"Bitiyor","Aktif"))))</f>
        <v/>
      </c>
      <c r="K173" s="19" t="str">
        <f aca="false">IF(OR(J173="Aktif",J173="Bitiyor"),F173+ROW()/1000000,"")</f>
        <v/>
      </c>
    </row>
    <row r="174" customFormat="false" ht="15" hidden="false" customHeight="false" outlineLevel="0" collapsed="false">
      <c r="A174" s="12"/>
      <c r="B174" s="12"/>
      <c r="C174" s="13"/>
      <c r="D174" s="14"/>
      <c r="E174" s="15"/>
      <c r="F174" s="16" t="str">
        <f aca="false">IF(OR(C174="",D174=""),"",EDATE(D174,IFERROR(INDEX(Paketler!$B$5:$B$24,MATCH(C174,Paketler!$A$5:$A$24,0)),0))-1)</f>
        <v/>
      </c>
      <c r="G174" s="17" t="str">
        <f aca="false">IF(F174="","",IFERROR(INDEX(Paketler!$C$5:$C$24,MATCH(C174,Paketler!$A$5:$A$24,0)),0))</f>
        <v/>
      </c>
      <c r="H174" s="17" t="str">
        <f aca="false">IF(F174="","",G174-E174)</f>
        <v/>
      </c>
      <c r="I174" s="18" t="str">
        <f aca="true">IF(F174="","",F174-TODAY())</f>
        <v/>
      </c>
      <c r="J174" s="19" t="str">
        <f aca="true">IF(F174="","",IF(TODAY()&lt;D174,"Başlamadı",IF(TODAY()&gt;F174,"Bitti",IF(F174-TODAY()&lt;=7,"Bitiyor","Aktif"))))</f>
        <v/>
      </c>
      <c r="K174" s="19" t="str">
        <f aca="false">IF(OR(J174="Aktif",J174="Bitiyor"),F174+ROW()/1000000,"")</f>
        <v/>
      </c>
    </row>
    <row r="175" customFormat="false" ht="15" hidden="false" customHeight="false" outlineLevel="0" collapsed="false">
      <c r="A175" s="12"/>
      <c r="B175" s="12"/>
      <c r="C175" s="13"/>
      <c r="D175" s="14"/>
      <c r="E175" s="15"/>
      <c r="F175" s="16" t="str">
        <f aca="false">IF(OR(C175="",D175=""),"",EDATE(D175,IFERROR(INDEX(Paketler!$B$5:$B$24,MATCH(C175,Paketler!$A$5:$A$24,0)),0))-1)</f>
        <v/>
      </c>
      <c r="G175" s="17" t="str">
        <f aca="false">IF(F175="","",IFERROR(INDEX(Paketler!$C$5:$C$24,MATCH(C175,Paketler!$A$5:$A$24,0)),0))</f>
        <v/>
      </c>
      <c r="H175" s="17" t="str">
        <f aca="false">IF(F175="","",G175-E175)</f>
        <v/>
      </c>
      <c r="I175" s="18" t="str">
        <f aca="true">IF(F175="","",F175-TODAY())</f>
        <v/>
      </c>
      <c r="J175" s="19" t="str">
        <f aca="true">IF(F175="","",IF(TODAY()&lt;D175,"Başlamadı",IF(TODAY()&gt;F175,"Bitti",IF(F175-TODAY()&lt;=7,"Bitiyor","Aktif"))))</f>
        <v/>
      </c>
      <c r="K175" s="19" t="str">
        <f aca="false">IF(OR(J175="Aktif",J175="Bitiyor"),F175+ROW()/1000000,"")</f>
        <v/>
      </c>
    </row>
    <row r="176" customFormat="false" ht="15" hidden="false" customHeight="false" outlineLevel="0" collapsed="false">
      <c r="A176" s="12"/>
      <c r="B176" s="12"/>
      <c r="C176" s="13"/>
      <c r="D176" s="14"/>
      <c r="E176" s="15"/>
      <c r="F176" s="16" t="str">
        <f aca="false">IF(OR(C176="",D176=""),"",EDATE(D176,IFERROR(INDEX(Paketler!$B$5:$B$24,MATCH(C176,Paketler!$A$5:$A$24,0)),0))-1)</f>
        <v/>
      </c>
      <c r="G176" s="17" t="str">
        <f aca="false">IF(F176="","",IFERROR(INDEX(Paketler!$C$5:$C$24,MATCH(C176,Paketler!$A$5:$A$24,0)),0))</f>
        <v/>
      </c>
      <c r="H176" s="17" t="str">
        <f aca="false">IF(F176="","",G176-E176)</f>
        <v/>
      </c>
      <c r="I176" s="18" t="str">
        <f aca="true">IF(F176="","",F176-TODAY())</f>
        <v/>
      </c>
      <c r="J176" s="19" t="str">
        <f aca="true">IF(F176="","",IF(TODAY()&lt;D176,"Başlamadı",IF(TODAY()&gt;F176,"Bitti",IF(F176-TODAY()&lt;=7,"Bitiyor","Aktif"))))</f>
        <v/>
      </c>
      <c r="K176" s="19" t="str">
        <f aca="false">IF(OR(J176="Aktif",J176="Bitiyor"),F176+ROW()/1000000,"")</f>
        <v/>
      </c>
    </row>
    <row r="177" customFormat="false" ht="15" hidden="false" customHeight="false" outlineLevel="0" collapsed="false">
      <c r="A177" s="12"/>
      <c r="B177" s="12"/>
      <c r="C177" s="13"/>
      <c r="D177" s="14"/>
      <c r="E177" s="15"/>
      <c r="F177" s="16" t="str">
        <f aca="false">IF(OR(C177="",D177=""),"",EDATE(D177,IFERROR(INDEX(Paketler!$B$5:$B$24,MATCH(C177,Paketler!$A$5:$A$24,0)),0))-1)</f>
        <v/>
      </c>
      <c r="G177" s="17" t="str">
        <f aca="false">IF(F177="","",IFERROR(INDEX(Paketler!$C$5:$C$24,MATCH(C177,Paketler!$A$5:$A$24,0)),0))</f>
        <v/>
      </c>
      <c r="H177" s="17" t="str">
        <f aca="false">IF(F177="","",G177-E177)</f>
        <v/>
      </c>
      <c r="I177" s="18" t="str">
        <f aca="true">IF(F177="","",F177-TODAY())</f>
        <v/>
      </c>
      <c r="J177" s="19" t="str">
        <f aca="true">IF(F177="","",IF(TODAY()&lt;D177,"Başlamadı",IF(TODAY()&gt;F177,"Bitti",IF(F177-TODAY()&lt;=7,"Bitiyor","Aktif"))))</f>
        <v/>
      </c>
      <c r="K177" s="19" t="str">
        <f aca="false">IF(OR(J177="Aktif",J177="Bitiyor"),F177+ROW()/1000000,"")</f>
        <v/>
      </c>
    </row>
    <row r="178" customFormat="false" ht="15" hidden="false" customHeight="false" outlineLevel="0" collapsed="false">
      <c r="A178" s="12"/>
      <c r="B178" s="12"/>
      <c r="C178" s="13"/>
      <c r="D178" s="14"/>
      <c r="E178" s="15"/>
      <c r="F178" s="16" t="str">
        <f aca="false">IF(OR(C178="",D178=""),"",EDATE(D178,IFERROR(INDEX(Paketler!$B$5:$B$24,MATCH(C178,Paketler!$A$5:$A$24,0)),0))-1)</f>
        <v/>
      </c>
      <c r="G178" s="17" t="str">
        <f aca="false">IF(F178="","",IFERROR(INDEX(Paketler!$C$5:$C$24,MATCH(C178,Paketler!$A$5:$A$24,0)),0))</f>
        <v/>
      </c>
      <c r="H178" s="17" t="str">
        <f aca="false">IF(F178="","",G178-E178)</f>
        <v/>
      </c>
      <c r="I178" s="18" t="str">
        <f aca="true">IF(F178="","",F178-TODAY())</f>
        <v/>
      </c>
      <c r="J178" s="19" t="str">
        <f aca="true">IF(F178="","",IF(TODAY()&lt;D178,"Başlamadı",IF(TODAY()&gt;F178,"Bitti",IF(F178-TODAY()&lt;=7,"Bitiyor","Aktif"))))</f>
        <v/>
      </c>
      <c r="K178" s="19" t="str">
        <f aca="false">IF(OR(J178="Aktif",J178="Bitiyor"),F178+ROW()/1000000,"")</f>
        <v/>
      </c>
    </row>
    <row r="179" customFormat="false" ht="15" hidden="false" customHeight="false" outlineLevel="0" collapsed="false">
      <c r="A179" s="12"/>
      <c r="B179" s="12"/>
      <c r="C179" s="13"/>
      <c r="D179" s="14"/>
      <c r="E179" s="15"/>
      <c r="F179" s="16" t="str">
        <f aca="false">IF(OR(C179="",D179=""),"",EDATE(D179,IFERROR(INDEX(Paketler!$B$5:$B$24,MATCH(C179,Paketler!$A$5:$A$24,0)),0))-1)</f>
        <v/>
      </c>
      <c r="G179" s="17" t="str">
        <f aca="false">IF(F179="","",IFERROR(INDEX(Paketler!$C$5:$C$24,MATCH(C179,Paketler!$A$5:$A$24,0)),0))</f>
        <v/>
      </c>
      <c r="H179" s="17" t="str">
        <f aca="false">IF(F179="","",G179-E179)</f>
        <v/>
      </c>
      <c r="I179" s="18" t="str">
        <f aca="true">IF(F179="","",F179-TODAY())</f>
        <v/>
      </c>
      <c r="J179" s="19" t="str">
        <f aca="true">IF(F179="","",IF(TODAY()&lt;D179,"Başlamadı",IF(TODAY()&gt;F179,"Bitti",IF(F179-TODAY()&lt;=7,"Bitiyor","Aktif"))))</f>
        <v/>
      </c>
      <c r="K179" s="19" t="str">
        <f aca="false">IF(OR(J179="Aktif",J179="Bitiyor"),F179+ROW()/1000000,"")</f>
        <v/>
      </c>
    </row>
    <row r="180" customFormat="false" ht="15" hidden="false" customHeight="false" outlineLevel="0" collapsed="false">
      <c r="A180" s="12"/>
      <c r="B180" s="12"/>
      <c r="C180" s="13"/>
      <c r="D180" s="14"/>
      <c r="E180" s="15"/>
      <c r="F180" s="16" t="str">
        <f aca="false">IF(OR(C180="",D180=""),"",EDATE(D180,IFERROR(INDEX(Paketler!$B$5:$B$24,MATCH(C180,Paketler!$A$5:$A$24,0)),0))-1)</f>
        <v/>
      </c>
      <c r="G180" s="17" t="str">
        <f aca="false">IF(F180="","",IFERROR(INDEX(Paketler!$C$5:$C$24,MATCH(C180,Paketler!$A$5:$A$24,0)),0))</f>
        <v/>
      </c>
      <c r="H180" s="17" t="str">
        <f aca="false">IF(F180="","",G180-E180)</f>
        <v/>
      </c>
      <c r="I180" s="18" t="str">
        <f aca="true">IF(F180="","",F180-TODAY())</f>
        <v/>
      </c>
      <c r="J180" s="19" t="str">
        <f aca="true">IF(F180="","",IF(TODAY()&lt;D180,"Başlamadı",IF(TODAY()&gt;F180,"Bitti",IF(F180-TODAY()&lt;=7,"Bitiyor","Aktif"))))</f>
        <v/>
      </c>
      <c r="K180" s="19" t="str">
        <f aca="false">IF(OR(J180="Aktif",J180="Bitiyor"),F180+ROW()/1000000,"")</f>
        <v/>
      </c>
    </row>
    <row r="181" customFormat="false" ht="15" hidden="false" customHeight="false" outlineLevel="0" collapsed="false">
      <c r="A181" s="12"/>
      <c r="B181" s="12"/>
      <c r="C181" s="13"/>
      <c r="D181" s="14"/>
      <c r="E181" s="15"/>
      <c r="F181" s="16" t="str">
        <f aca="false">IF(OR(C181="",D181=""),"",EDATE(D181,IFERROR(INDEX(Paketler!$B$5:$B$24,MATCH(C181,Paketler!$A$5:$A$24,0)),0))-1)</f>
        <v/>
      </c>
      <c r="G181" s="17" t="str">
        <f aca="false">IF(F181="","",IFERROR(INDEX(Paketler!$C$5:$C$24,MATCH(C181,Paketler!$A$5:$A$24,0)),0))</f>
        <v/>
      </c>
      <c r="H181" s="17" t="str">
        <f aca="false">IF(F181="","",G181-E181)</f>
        <v/>
      </c>
      <c r="I181" s="18" t="str">
        <f aca="true">IF(F181="","",F181-TODAY())</f>
        <v/>
      </c>
      <c r="J181" s="19" t="str">
        <f aca="true">IF(F181="","",IF(TODAY()&lt;D181,"Başlamadı",IF(TODAY()&gt;F181,"Bitti",IF(F181-TODAY()&lt;=7,"Bitiyor","Aktif"))))</f>
        <v/>
      </c>
      <c r="K181" s="19" t="str">
        <f aca="false">IF(OR(J181="Aktif",J181="Bitiyor"),F181+ROW()/1000000,"")</f>
        <v/>
      </c>
    </row>
    <row r="182" customFormat="false" ht="15" hidden="false" customHeight="false" outlineLevel="0" collapsed="false">
      <c r="A182" s="12"/>
      <c r="B182" s="12"/>
      <c r="C182" s="13"/>
      <c r="D182" s="14"/>
      <c r="E182" s="15"/>
      <c r="F182" s="16" t="str">
        <f aca="false">IF(OR(C182="",D182=""),"",EDATE(D182,IFERROR(INDEX(Paketler!$B$5:$B$24,MATCH(C182,Paketler!$A$5:$A$24,0)),0))-1)</f>
        <v/>
      </c>
      <c r="G182" s="17" t="str">
        <f aca="false">IF(F182="","",IFERROR(INDEX(Paketler!$C$5:$C$24,MATCH(C182,Paketler!$A$5:$A$24,0)),0))</f>
        <v/>
      </c>
      <c r="H182" s="17" t="str">
        <f aca="false">IF(F182="","",G182-E182)</f>
        <v/>
      </c>
      <c r="I182" s="18" t="str">
        <f aca="true">IF(F182="","",F182-TODAY())</f>
        <v/>
      </c>
      <c r="J182" s="19" t="str">
        <f aca="true">IF(F182="","",IF(TODAY()&lt;D182,"Başlamadı",IF(TODAY()&gt;F182,"Bitti",IF(F182-TODAY()&lt;=7,"Bitiyor","Aktif"))))</f>
        <v/>
      </c>
      <c r="K182" s="19" t="str">
        <f aca="false">IF(OR(J182="Aktif",J182="Bitiyor"),F182+ROW()/1000000,"")</f>
        <v/>
      </c>
    </row>
    <row r="183" customFormat="false" ht="15" hidden="false" customHeight="false" outlineLevel="0" collapsed="false">
      <c r="A183" s="12"/>
      <c r="B183" s="12"/>
      <c r="C183" s="13"/>
      <c r="D183" s="14"/>
      <c r="E183" s="15"/>
      <c r="F183" s="16" t="str">
        <f aca="false">IF(OR(C183="",D183=""),"",EDATE(D183,IFERROR(INDEX(Paketler!$B$5:$B$24,MATCH(C183,Paketler!$A$5:$A$24,0)),0))-1)</f>
        <v/>
      </c>
      <c r="G183" s="17" t="str">
        <f aca="false">IF(F183="","",IFERROR(INDEX(Paketler!$C$5:$C$24,MATCH(C183,Paketler!$A$5:$A$24,0)),0))</f>
        <v/>
      </c>
      <c r="H183" s="17" t="str">
        <f aca="false">IF(F183="","",G183-E183)</f>
        <v/>
      </c>
      <c r="I183" s="18" t="str">
        <f aca="true">IF(F183="","",F183-TODAY())</f>
        <v/>
      </c>
      <c r="J183" s="19" t="str">
        <f aca="true">IF(F183="","",IF(TODAY()&lt;D183,"Başlamadı",IF(TODAY()&gt;F183,"Bitti",IF(F183-TODAY()&lt;=7,"Bitiyor","Aktif"))))</f>
        <v/>
      </c>
      <c r="K183" s="19" t="str">
        <f aca="false">IF(OR(J183="Aktif",J183="Bitiyor"),F183+ROW()/1000000,"")</f>
        <v/>
      </c>
    </row>
    <row r="184" customFormat="false" ht="15" hidden="false" customHeight="false" outlineLevel="0" collapsed="false">
      <c r="A184" s="12"/>
      <c r="B184" s="12"/>
      <c r="C184" s="13"/>
      <c r="D184" s="14"/>
      <c r="E184" s="15"/>
      <c r="F184" s="16" t="str">
        <f aca="false">IF(OR(C184="",D184=""),"",EDATE(D184,IFERROR(INDEX(Paketler!$B$5:$B$24,MATCH(C184,Paketler!$A$5:$A$24,0)),0))-1)</f>
        <v/>
      </c>
      <c r="G184" s="17" t="str">
        <f aca="false">IF(F184="","",IFERROR(INDEX(Paketler!$C$5:$C$24,MATCH(C184,Paketler!$A$5:$A$24,0)),0))</f>
        <v/>
      </c>
      <c r="H184" s="17" t="str">
        <f aca="false">IF(F184="","",G184-E184)</f>
        <v/>
      </c>
      <c r="I184" s="18" t="str">
        <f aca="true">IF(F184="","",F184-TODAY())</f>
        <v/>
      </c>
      <c r="J184" s="19" t="str">
        <f aca="true">IF(F184="","",IF(TODAY()&lt;D184,"Başlamadı",IF(TODAY()&gt;F184,"Bitti",IF(F184-TODAY()&lt;=7,"Bitiyor","Aktif"))))</f>
        <v/>
      </c>
      <c r="K184" s="19" t="str">
        <f aca="false">IF(OR(J184="Aktif",J184="Bitiyor"),F184+ROW()/1000000,"")</f>
        <v/>
      </c>
    </row>
    <row r="185" customFormat="false" ht="15" hidden="false" customHeight="false" outlineLevel="0" collapsed="false">
      <c r="A185" s="12"/>
      <c r="B185" s="12"/>
      <c r="C185" s="13"/>
      <c r="D185" s="14"/>
      <c r="E185" s="15"/>
      <c r="F185" s="16" t="str">
        <f aca="false">IF(OR(C185="",D185=""),"",EDATE(D185,IFERROR(INDEX(Paketler!$B$5:$B$24,MATCH(C185,Paketler!$A$5:$A$24,0)),0))-1)</f>
        <v/>
      </c>
      <c r="G185" s="17" t="str">
        <f aca="false">IF(F185="","",IFERROR(INDEX(Paketler!$C$5:$C$24,MATCH(C185,Paketler!$A$5:$A$24,0)),0))</f>
        <v/>
      </c>
      <c r="H185" s="17" t="str">
        <f aca="false">IF(F185="","",G185-E185)</f>
        <v/>
      </c>
      <c r="I185" s="18" t="str">
        <f aca="true">IF(F185="","",F185-TODAY())</f>
        <v/>
      </c>
      <c r="J185" s="19" t="str">
        <f aca="true">IF(F185="","",IF(TODAY()&lt;D185,"Başlamadı",IF(TODAY()&gt;F185,"Bitti",IF(F185-TODAY()&lt;=7,"Bitiyor","Aktif"))))</f>
        <v/>
      </c>
      <c r="K185" s="19" t="str">
        <f aca="false">IF(OR(J185="Aktif",J185="Bitiyor"),F185+ROW()/1000000,"")</f>
        <v/>
      </c>
    </row>
    <row r="186" customFormat="false" ht="15" hidden="false" customHeight="false" outlineLevel="0" collapsed="false">
      <c r="A186" s="12"/>
      <c r="B186" s="12"/>
      <c r="C186" s="13"/>
      <c r="D186" s="14"/>
      <c r="E186" s="15"/>
      <c r="F186" s="16" t="str">
        <f aca="false">IF(OR(C186="",D186=""),"",EDATE(D186,IFERROR(INDEX(Paketler!$B$5:$B$24,MATCH(C186,Paketler!$A$5:$A$24,0)),0))-1)</f>
        <v/>
      </c>
      <c r="G186" s="17" t="str">
        <f aca="false">IF(F186="","",IFERROR(INDEX(Paketler!$C$5:$C$24,MATCH(C186,Paketler!$A$5:$A$24,0)),0))</f>
        <v/>
      </c>
      <c r="H186" s="17" t="str">
        <f aca="false">IF(F186="","",G186-E186)</f>
        <v/>
      </c>
      <c r="I186" s="18" t="str">
        <f aca="true">IF(F186="","",F186-TODAY())</f>
        <v/>
      </c>
      <c r="J186" s="19" t="str">
        <f aca="true">IF(F186="","",IF(TODAY()&lt;D186,"Başlamadı",IF(TODAY()&gt;F186,"Bitti",IF(F186-TODAY()&lt;=7,"Bitiyor","Aktif"))))</f>
        <v/>
      </c>
      <c r="K186" s="19" t="str">
        <f aca="false">IF(OR(J186="Aktif",J186="Bitiyor"),F186+ROW()/1000000,"")</f>
        <v/>
      </c>
    </row>
    <row r="187" customFormat="false" ht="15" hidden="false" customHeight="false" outlineLevel="0" collapsed="false">
      <c r="A187" s="12"/>
      <c r="B187" s="12"/>
      <c r="C187" s="13"/>
      <c r="D187" s="14"/>
      <c r="E187" s="15"/>
      <c r="F187" s="16" t="str">
        <f aca="false">IF(OR(C187="",D187=""),"",EDATE(D187,IFERROR(INDEX(Paketler!$B$5:$B$24,MATCH(C187,Paketler!$A$5:$A$24,0)),0))-1)</f>
        <v/>
      </c>
      <c r="G187" s="17" t="str">
        <f aca="false">IF(F187="","",IFERROR(INDEX(Paketler!$C$5:$C$24,MATCH(C187,Paketler!$A$5:$A$24,0)),0))</f>
        <v/>
      </c>
      <c r="H187" s="17" t="str">
        <f aca="false">IF(F187="","",G187-E187)</f>
        <v/>
      </c>
      <c r="I187" s="18" t="str">
        <f aca="true">IF(F187="","",F187-TODAY())</f>
        <v/>
      </c>
      <c r="J187" s="19" t="str">
        <f aca="true">IF(F187="","",IF(TODAY()&lt;D187,"Başlamadı",IF(TODAY()&gt;F187,"Bitti",IF(F187-TODAY()&lt;=7,"Bitiyor","Aktif"))))</f>
        <v/>
      </c>
      <c r="K187" s="19" t="str">
        <f aca="false">IF(OR(J187="Aktif",J187="Bitiyor"),F187+ROW()/1000000,"")</f>
        <v/>
      </c>
    </row>
    <row r="188" customFormat="false" ht="15" hidden="false" customHeight="false" outlineLevel="0" collapsed="false">
      <c r="A188" s="12"/>
      <c r="B188" s="12"/>
      <c r="C188" s="13"/>
      <c r="D188" s="14"/>
      <c r="E188" s="15"/>
      <c r="F188" s="16" t="str">
        <f aca="false">IF(OR(C188="",D188=""),"",EDATE(D188,IFERROR(INDEX(Paketler!$B$5:$B$24,MATCH(C188,Paketler!$A$5:$A$24,0)),0))-1)</f>
        <v/>
      </c>
      <c r="G188" s="17" t="str">
        <f aca="false">IF(F188="","",IFERROR(INDEX(Paketler!$C$5:$C$24,MATCH(C188,Paketler!$A$5:$A$24,0)),0))</f>
        <v/>
      </c>
      <c r="H188" s="17" t="str">
        <f aca="false">IF(F188="","",G188-E188)</f>
        <v/>
      </c>
      <c r="I188" s="18" t="str">
        <f aca="true">IF(F188="","",F188-TODAY())</f>
        <v/>
      </c>
      <c r="J188" s="19" t="str">
        <f aca="true">IF(F188="","",IF(TODAY()&lt;D188,"Başlamadı",IF(TODAY()&gt;F188,"Bitti",IF(F188-TODAY()&lt;=7,"Bitiyor","Aktif"))))</f>
        <v/>
      </c>
      <c r="K188" s="19" t="str">
        <f aca="false">IF(OR(J188="Aktif",J188="Bitiyor"),F188+ROW()/1000000,"")</f>
        <v/>
      </c>
    </row>
    <row r="189" customFormat="false" ht="15" hidden="false" customHeight="false" outlineLevel="0" collapsed="false">
      <c r="A189" s="12"/>
      <c r="B189" s="12"/>
      <c r="C189" s="13"/>
      <c r="D189" s="14"/>
      <c r="E189" s="15"/>
      <c r="F189" s="16" t="str">
        <f aca="false">IF(OR(C189="",D189=""),"",EDATE(D189,IFERROR(INDEX(Paketler!$B$5:$B$24,MATCH(C189,Paketler!$A$5:$A$24,0)),0))-1)</f>
        <v/>
      </c>
      <c r="G189" s="17" t="str">
        <f aca="false">IF(F189="","",IFERROR(INDEX(Paketler!$C$5:$C$24,MATCH(C189,Paketler!$A$5:$A$24,0)),0))</f>
        <v/>
      </c>
      <c r="H189" s="17" t="str">
        <f aca="false">IF(F189="","",G189-E189)</f>
        <v/>
      </c>
      <c r="I189" s="18" t="str">
        <f aca="true">IF(F189="","",F189-TODAY())</f>
        <v/>
      </c>
      <c r="J189" s="19" t="str">
        <f aca="true">IF(F189="","",IF(TODAY()&lt;D189,"Başlamadı",IF(TODAY()&gt;F189,"Bitti",IF(F189-TODAY()&lt;=7,"Bitiyor","Aktif"))))</f>
        <v/>
      </c>
      <c r="K189" s="19" t="str">
        <f aca="false">IF(OR(J189="Aktif",J189="Bitiyor"),F189+ROW()/1000000,"")</f>
        <v/>
      </c>
    </row>
    <row r="190" customFormat="false" ht="15" hidden="false" customHeight="false" outlineLevel="0" collapsed="false">
      <c r="A190" s="12"/>
      <c r="B190" s="12"/>
      <c r="C190" s="13"/>
      <c r="D190" s="14"/>
      <c r="E190" s="15"/>
      <c r="F190" s="16" t="str">
        <f aca="false">IF(OR(C190="",D190=""),"",EDATE(D190,IFERROR(INDEX(Paketler!$B$5:$B$24,MATCH(C190,Paketler!$A$5:$A$24,0)),0))-1)</f>
        <v/>
      </c>
      <c r="G190" s="17" t="str">
        <f aca="false">IF(F190="","",IFERROR(INDEX(Paketler!$C$5:$C$24,MATCH(C190,Paketler!$A$5:$A$24,0)),0))</f>
        <v/>
      </c>
      <c r="H190" s="17" t="str">
        <f aca="false">IF(F190="","",G190-E190)</f>
        <v/>
      </c>
      <c r="I190" s="18" t="str">
        <f aca="true">IF(F190="","",F190-TODAY())</f>
        <v/>
      </c>
      <c r="J190" s="19" t="str">
        <f aca="true">IF(F190="","",IF(TODAY()&lt;D190,"Başlamadı",IF(TODAY()&gt;F190,"Bitti",IF(F190-TODAY()&lt;=7,"Bitiyor","Aktif"))))</f>
        <v/>
      </c>
      <c r="K190" s="19" t="str">
        <f aca="false">IF(OR(J190="Aktif",J190="Bitiyor"),F190+ROW()/1000000,"")</f>
        <v/>
      </c>
    </row>
    <row r="191" customFormat="false" ht="15" hidden="false" customHeight="false" outlineLevel="0" collapsed="false">
      <c r="A191" s="12"/>
      <c r="B191" s="12"/>
      <c r="C191" s="13"/>
      <c r="D191" s="14"/>
      <c r="E191" s="15"/>
      <c r="F191" s="16" t="str">
        <f aca="false">IF(OR(C191="",D191=""),"",EDATE(D191,IFERROR(INDEX(Paketler!$B$5:$B$24,MATCH(C191,Paketler!$A$5:$A$24,0)),0))-1)</f>
        <v/>
      </c>
      <c r="G191" s="17" t="str">
        <f aca="false">IF(F191="","",IFERROR(INDEX(Paketler!$C$5:$C$24,MATCH(C191,Paketler!$A$5:$A$24,0)),0))</f>
        <v/>
      </c>
      <c r="H191" s="17" t="str">
        <f aca="false">IF(F191="","",G191-E191)</f>
        <v/>
      </c>
      <c r="I191" s="18" t="str">
        <f aca="true">IF(F191="","",F191-TODAY())</f>
        <v/>
      </c>
      <c r="J191" s="19" t="str">
        <f aca="true">IF(F191="","",IF(TODAY()&lt;D191,"Başlamadı",IF(TODAY()&gt;F191,"Bitti",IF(F191-TODAY()&lt;=7,"Bitiyor","Aktif"))))</f>
        <v/>
      </c>
      <c r="K191" s="19" t="str">
        <f aca="false">IF(OR(J191="Aktif",J191="Bitiyor"),F191+ROW()/1000000,"")</f>
        <v/>
      </c>
    </row>
    <row r="192" customFormat="false" ht="15" hidden="false" customHeight="false" outlineLevel="0" collapsed="false">
      <c r="A192" s="12"/>
      <c r="B192" s="12"/>
      <c r="C192" s="13"/>
      <c r="D192" s="14"/>
      <c r="E192" s="15"/>
      <c r="F192" s="16" t="str">
        <f aca="false">IF(OR(C192="",D192=""),"",EDATE(D192,IFERROR(INDEX(Paketler!$B$5:$B$24,MATCH(C192,Paketler!$A$5:$A$24,0)),0))-1)</f>
        <v/>
      </c>
      <c r="G192" s="17" t="str">
        <f aca="false">IF(F192="","",IFERROR(INDEX(Paketler!$C$5:$C$24,MATCH(C192,Paketler!$A$5:$A$24,0)),0))</f>
        <v/>
      </c>
      <c r="H192" s="17" t="str">
        <f aca="false">IF(F192="","",G192-E192)</f>
        <v/>
      </c>
      <c r="I192" s="18" t="str">
        <f aca="true">IF(F192="","",F192-TODAY())</f>
        <v/>
      </c>
      <c r="J192" s="19" t="str">
        <f aca="true">IF(F192="","",IF(TODAY()&lt;D192,"Başlamadı",IF(TODAY()&gt;F192,"Bitti",IF(F192-TODAY()&lt;=7,"Bitiyor","Aktif"))))</f>
        <v/>
      </c>
      <c r="K192" s="19" t="str">
        <f aca="false">IF(OR(J192="Aktif",J192="Bitiyor"),F192+ROW()/1000000,"")</f>
        <v/>
      </c>
    </row>
    <row r="193" customFormat="false" ht="15" hidden="false" customHeight="false" outlineLevel="0" collapsed="false">
      <c r="A193" s="12"/>
      <c r="B193" s="12"/>
      <c r="C193" s="13"/>
      <c r="D193" s="14"/>
      <c r="E193" s="15"/>
      <c r="F193" s="16" t="str">
        <f aca="false">IF(OR(C193="",D193=""),"",EDATE(D193,IFERROR(INDEX(Paketler!$B$5:$B$24,MATCH(C193,Paketler!$A$5:$A$24,0)),0))-1)</f>
        <v/>
      </c>
      <c r="G193" s="17" t="str">
        <f aca="false">IF(F193="","",IFERROR(INDEX(Paketler!$C$5:$C$24,MATCH(C193,Paketler!$A$5:$A$24,0)),0))</f>
        <v/>
      </c>
      <c r="H193" s="17" t="str">
        <f aca="false">IF(F193="","",G193-E193)</f>
        <v/>
      </c>
      <c r="I193" s="18" t="str">
        <f aca="true">IF(F193="","",F193-TODAY())</f>
        <v/>
      </c>
      <c r="J193" s="19" t="str">
        <f aca="true">IF(F193="","",IF(TODAY()&lt;D193,"Başlamadı",IF(TODAY()&gt;F193,"Bitti",IF(F193-TODAY()&lt;=7,"Bitiyor","Aktif"))))</f>
        <v/>
      </c>
      <c r="K193" s="19" t="str">
        <f aca="false">IF(OR(J193="Aktif",J193="Bitiyor"),F193+ROW()/1000000,"")</f>
        <v/>
      </c>
    </row>
    <row r="194" customFormat="false" ht="15" hidden="false" customHeight="false" outlineLevel="0" collapsed="false">
      <c r="A194" s="12"/>
      <c r="B194" s="12"/>
      <c r="C194" s="13"/>
      <c r="D194" s="14"/>
      <c r="E194" s="15"/>
      <c r="F194" s="16" t="str">
        <f aca="false">IF(OR(C194="",D194=""),"",EDATE(D194,IFERROR(INDEX(Paketler!$B$5:$B$24,MATCH(C194,Paketler!$A$5:$A$24,0)),0))-1)</f>
        <v/>
      </c>
      <c r="G194" s="17" t="str">
        <f aca="false">IF(F194="","",IFERROR(INDEX(Paketler!$C$5:$C$24,MATCH(C194,Paketler!$A$5:$A$24,0)),0))</f>
        <v/>
      </c>
      <c r="H194" s="17" t="str">
        <f aca="false">IF(F194="","",G194-E194)</f>
        <v/>
      </c>
      <c r="I194" s="18" t="str">
        <f aca="true">IF(F194="","",F194-TODAY())</f>
        <v/>
      </c>
      <c r="J194" s="19" t="str">
        <f aca="true">IF(F194="","",IF(TODAY()&lt;D194,"Başlamadı",IF(TODAY()&gt;F194,"Bitti",IF(F194-TODAY()&lt;=7,"Bitiyor","Aktif"))))</f>
        <v/>
      </c>
      <c r="K194" s="19" t="str">
        <f aca="false">IF(OR(J194="Aktif",J194="Bitiyor"),F194+ROW()/1000000,"")</f>
        <v/>
      </c>
    </row>
    <row r="195" customFormat="false" ht="15" hidden="false" customHeight="false" outlineLevel="0" collapsed="false">
      <c r="A195" s="12"/>
      <c r="B195" s="12"/>
      <c r="C195" s="13"/>
      <c r="D195" s="14"/>
      <c r="E195" s="15"/>
      <c r="F195" s="16" t="str">
        <f aca="false">IF(OR(C195="",D195=""),"",EDATE(D195,IFERROR(INDEX(Paketler!$B$5:$B$24,MATCH(C195,Paketler!$A$5:$A$24,0)),0))-1)</f>
        <v/>
      </c>
      <c r="G195" s="17" t="str">
        <f aca="false">IF(F195="","",IFERROR(INDEX(Paketler!$C$5:$C$24,MATCH(C195,Paketler!$A$5:$A$24,0)),0))</f>
        <v/>
      </c>
      <c r="H195" s="17" t="str">
        <f aca="false">IF(F195="","",G195-E195)</f>
        <v/>
      </c>
      <c r="I195" s="18" t="str">
        <f aca="true">IF(F195="","",F195-TODAY())</f>
        <v/>
      </c>
      <c r="J195" s="19" t="str">
        <f aca="true">IF(F195="","",IF(TODAY()&lt;D195,"Başlamadı",IF(TODAY()&gt;F195,"Bitti",IF(F195-TODAY()&lt;=7,"Bitiyor","Aktif"))))</f>
        <v/>
      </c>
      <c r="K195" s="19" t="str">
        <f aca="false">IF(OR(J195="Aktif",J195="Bitiyor"),F195+ROW()/1000000,"")</f>
        <v/>
      </c>
    </row>
    <row r="196" customFormat="false" ht="15" hidden="false" customHeight="false" outlineLevel="0" collapsed="false">
      <c r="A196" s="12"/>
      <c r="B196" s="12"/>
      <c r="C196" s="13"/>
      <c r="D196" s="14"/>
      <c r="E196" s="15"/>
      <c r="F196" s="16" t="str">
        <f aca="false">IF(OR(C196="",D196=""),"",EDATE(D196,IFERROR(INDEX(Paketler!$B$5:$B$24,MATCH(C196,Paketler!$A$5:$A$24,0)),0))-1)</f>
        <v/>
      </c>
      <c r="G196" s="17" t="str">
        <f aca="false">IF(F196="","",IFERROR(INDEX(Paketler!$C$5:$C$24,MATCH(C196,Paketler!$A$5:$A$24,0)),0))</f>
        <v/>
      </c>
      <c r="H196" s="17" t="str">
        <f aca="false">IF(F196="","",G196-E196)</f>
        <v/>
      </c>
      <c r="I196" s="18" t="str">
        <f aca="true">IF(F196="","",F196-TODAY())</f>
        <v/>
      </c>
      <c r="J196" s="19" t="str">
        <f aca="true">IF(F196="","",IF(TODAY()&lt;D196,"Başlamadı",IF(TODAY()&gt;F196,"Bitti",IF(F196-TODAY()&lt;=7,"Bitiyor","Aktif"))))</f>
        <v/>
      </c>
      <c r="K196" s="19" t="str">
        <f aca="false">IF(OR(J196="Aktif",J196="Bitiyor"),F196+ROW()/1000000,"")</f>
        <v/>
      </c>
    </row>
    <row r="197" customFormat="false" ht="15" hidden="false" customHeight="false" outlineLevel="0" collapsed="false">
      <c r="A197" s="12"/>
      <c r="B197" s="12"/>
      <c r="C197" s="13"/>
      <c r="D197" s="14"/>
      <c r="E197" s="15"/>
      <c r="F197" s="16" t="str">
        <f aca="false">IF(OR(C197="",D197=""),"",EDATE(D197,IFERROR(INDEX(Paketler!$B$5:$B$24,MATCH(C197,Paketler!$A$5:$A$24,0)),0))-1)</f>
        <v/>
      </c>
      <c r="G197" s="17" t="str">
        <f aca="false">IF(F197="","",IFERROR(INDEX(Paketler!$C$5:$C$24,MATCH(C197,Paketler!$A$5:$A$24,0)),0))</f>
        <v/>
      </c>
      <c r="H197" s="17" t="str">
        <f aca="false">IF(F197="","",G197-E197)</f>
        <v/>
      </c>
      <c r="I197" s="18" t="str">
        <f aca="true">IF(F197="","",F197-TODAY())</f>
        <v/>
      </c>
      <c r="J197" s="19" t="str">
        <f aca="true">IF(F197="","",IF(TODAY()&lt;D197,"Başlamadı",IF(TODAY()&gt;F197,"Bitti",IF(F197-TODAY()&lt;=7,"Bitiyor","Aktif"))))</f>
        <v/>
      </c>
      <c r="K197" s="19" t="str">
        <f aca="false">IF(OR(J197="Aktif",J197="Bitiyor"),F197+ROW()/1000000,"")</f>
        <v/>
      </c>
    </row>
    <row r="198" customFormat="false" ht="15" hidden="false" customHeight="false" outlineLevel="0" collapsed="false">
      <c r="A198" s="12"/>
      <c r="B198" s="12"/>
      <c r="C198" s="13"/>
      <c r="D198" s="14"/>
      <c r="E198" s="15"/>
      <c r="F198" s="16" t="str">
        <f aca="false">IF(OR(C198="",D198=""),"",EDATE(D198,IFERROR(INDEX(Paketler!$B$5:$B$24,MATCH(C198,Paketler!$A$5:$A$24,0)),0))-1)</f>
        <v/>
      </c>
      <c r="G198" s="17" t="str">
        <f aca="false">IF(F198="","",IFERROR(INDEX(Paketler!$C$5:$C$24,MATCH(C198,Paketler!$A$5:$A$24,0)),0))</f>
        <v/>
      </c>
      <c r="H198" s="17" t="str">
        <f aca="false">IF(F198="","",G198-E198)</f>
        <v/>
      </c>
      <c r="I198" s="18" t="str">
        <f aca="true">IF(F198="","",F198-TODAY())</f>
        <v/>
      </c>
      <c r="J198" s="19" t="str">
        <f aca="true">IF(F198="","",IF(TODAY()&lt;D198,"Başlamadı",IF(TODAY()&gt;F198,"Bitti",IF(F198-TODAY()&lt;=7,"Bitiyor","Aktif"))))</f>
        <v/>
      </c>
      <c r="K198" s="19" t="str">
        <f aca="false">IF(OR(J198="Aktif",J198="Bitiyor"),F198+ROW()/1000000,"")</f>
        <v/>
      </c>
    </row>
    <row r="199" customFormat="false" ht="15" hidden="false" customHeight="false" outlineLevel="0" collapsed="false">
      <c r="A199" s="12"/>
      <c r="B199" s="12"/>
      <c r="C199" s="13"/>
      <c r="D199" s="14"/>
      <c r="E199" s="15"/>
      <c r="F199" s="16" t="str">
        <f aca="false">IF(OR(C199="",D199=""),"",EDATE(D199,IFERROR(INDEX(Paketler!$B$5:$B$24,MATCH(C199,Paketler!$A$5:$A$24,0)),0))-1)</f>
        <v/>
      </c>
      <c r="G199" s="17" t="str">
        <f aca="false">IF(F199="","",IFERROR(INDEX(Paketler!$C$5:$C$24,MATCH(C199,Paketler!$A$5:$A$24,0)),0))</f>
        <v/>
      </c>
      <c r="H199" s="17" t="str">
        <f aca="false">IF(F199="","",G199-E199)</f>
        <v/>
      </c>
      <c r="I199" s="18" t="str">
        <f aca="true">IF(F199="","",F199-TODAY())</f>
        <v/>
      </c>
      <c r="J199" s="19" t="str">
        <f aca="true">IF(F199="","",IF(TODAY()&lt;D199,"Başlamadı",IF(TODAY()&gt;F199,"Bitti",IF(F199-TODAY()&lt;=7,"Bitiyor","Aktif"))))</f>
        <v/>
      </c>
      <c r="K199" s="19" t="str">
        <f aca="false">IF(OR(J199="Aktif",J199="Bitiyor"),F199+ROW()/1000000,"")</f>
        <v/>
      </c>
    </row>
    <row r="200" customFormat="false" ht="15" hidden="false" customHeight="false" outlineLevel="0" collapsed="false">
      <c r="A200" s="12"/>
      <c r="B200" s="12"/>
      <c r="C200" s="13"/>
      <c r="D200" s="14"/>
      <c r="E200" s="15"/>
      <c r="F200" s="16" t="str">
        <f aca="false">IF(OR(C200="",D200=""),"",EDATE(D200,IFERROR(INDEX(Paketler!$B$5:$B$24,MATCH(C200,Paketler!$A$5:$A$24,0)),0))-1)</f>
        <v/>
      </c>
      <c r="G200" s="17" t="str">
        <f aca="false">IF(F200="","",IFERROR(INDEX(Paketler!$C$5:$C$24,MATCH(C200,Paketler!$A$5:$A$24,0)),0))</f>
        <v/>
      </c>
      <c r="H200" s="17" t="str">
        <f aca="false">IF(F200="","",G200-E200)</f>
        <v/>
      </c>
      <c r="I200" s="18" t="str">
        <f aca="true">IF(F200="","",F200-TODAY())</f>
        <v/>
      </c>
      <c r="J200" s="19" t="str">
        <f aca="true">IF(F200="","",IF(TODAY()&lt;D200,"Başlamadı",IF(TODAY()&gt;F200,"Bitti",IF(F200-TODAY()&lt;=7,"Bitiyor","Aktif"))))</f>
        <v/>
      </c>
      <c r="K200" s="19" t="str">
        <f aca="false">IF(OR(J200="Aktif",J200="Bitiyor"),F200+ROW()/1000000,"")</f>
        <v/>
      </c>
    </row>
    <row r="201" customFormat="false" ht="15" hidden="false" customHeight="false" outlineLevel="0" collapsed="false">
      <c r="A201" s="12"/>
      <c r="B201" s="12"/>
      <c r="C201" s="13"/>
      <c r="D201" s="14"/>
      <c r="E201" s="15"/>
      <c r="F201" s="16" t="str">
        <f aca="false">IF(OR(C201="",D201=""),"",EDATE(D201,IFERROR(INDEX(Paketler!$B$5:$B$24,MATCH(C201,Paketler!$A$5:$A$24,0)),0))-1)</f>
        <v/>
      </c>
      <c r="G201" s="17" t="str">
        <f aca="false">IF(F201="","",IFERROR(INDEX(Paketler!$C$5:$C$24,MATCH(C201,Paketler!$A$5:$A$24,0)),0))</f>
        <v/>
      </c>
      <c r="H201" s="17" t="str">
        <f aca="false">IF(F201="","",G201-E201)</f>
        <v/>
      </c>
      <c r="I201" s="18" t="str">
        <f aca="true">IF(F201="","",F201-TODAY())</f>
        <v/>
      </c>
      <c r="J201" s="19" t="str">
        <f aca="true">IF(F201="","",IF(TODAY()&lt;D201,"Başlamadı",IF(TODAY()&gt;F201,"Bitti",IF(F201-TODAY()&lt;=7,"Bitiyor","Aktif"))))</f>
        <v/>
      </c>
      <c r="K201" s="19" t="str">
        <f aca="false">IF(OR(J201="Aktif",J201="Bitiyor"),F201+ROW()/1000000,"")</f>
        <v/>
      </c>
    </row>
    <row r="202" customFormat="false" ht="15" hidden="false" customHeight="false" outlineLevel="0" collapsed="false">
      <c r="A202" s="12"/>
      <c r="B202" s="12"/>
      <c r="C202" s="13"/>
      <c r="D202" s="14"/>
      <c r="E202" s="15"/>
      <c r="F202" s="16" t="str">
        <f aca="false">IF(OR(C202="",D202=""),"",EDATE(D202,IFERROR(INDEX(Paketler!$B$5:$B$24,MATCH(C202,Paketler!$A$5:$A$24,0)),0))-1)</f>
        <v/>
      </c>
      <c r="G202" s="17" t="str">
        <f aca="false">IF(F202="","",IFERROR(INDEX(Paketler!$C$5:$C$24,MATCH(C202,Paketler!$A$5:$A$24,0)),0))</f>
        <v/>
      </c>
      <c r="H202" s="17" t="str">
        <f aca="false">IF(F202="","",G202-E202)</f>
        <v/>
      </c>
      <c r="I202" s="18" t="str">
        <f aca="true">IF(F202="","",F202-TODAY())</f>
        <v/>
      </c>
      <c r="J202" s="19" t="str">
        <f aca="true">IF(F202="","",IF(TODAY()&lt;D202,"Başlamadı",IF(TODAY()&gt;F202,"Bitti",IF(F202-TODAY()&lt;=7,"Bitiyor","Aktif"))))</f>
        <v/>
      </c>
      <c r="K202" s="19" t="str">
        <f aca="false">IF(OR(J202="Aktif",J202="Bitiyor"),F202+ROW()/1000000,"")</f>
        <v/>
      </c>
    </row>
    <row r="203" customFormat="false" ht="15" hidden="false" customHeight="false" outlineLevel="0" collapsed="false">
      <c r="A203" s="12"/>
      <c r="B203" s="12"/>
      <c r="C203" s="13"/>
      <c r="D203" s="14"/>
      <c r="E203" s="15"/>
      <c r="F203" s="16" t="str">
        <f aca="false">IF(OR(C203="",D203=""),"",EDATE(D203,IFERROR(INDEX(Paketler!$B$5:$B$24,MATCH(C203,Paketler!$A$5:$A$24,0)),0))-1)</f>
        <v/>
      </c>
      <c r="G203" s="17" t="str">
        <f aca="false">IF(F203="","",IFERROR(INDEX(Paketler!$C$5:$C$24,MATCH(C203,Paketler!$A$5:$A$24,0)),0))</f>
        <v/>
      </c>
      <c r="H203" s="17" t="str">
        <f aca="false">IF(F203="","",G203-E203)</f>
        <v/>
      </c>
      <c r="I203" s="18" t="str">
        <f aca="true">IF(F203="","",F203-TODAY())</f>
        <v/>
      </c>
      <c r="J203" s="19" t="str">
        <f aca="true">IF(F203="","",IF(TODAY()&lt;D203,"Başlamadı",IF(TODAY()&gt;F203,"Bitti",IF(F203-TODAY()&lt;=7,"Bitiyor","Aktif"))))</f>
        <v/>
      </c>
      <c r="K203" s="19" t="str">
        <f aca="false">IF(OR(J203="Aktif",J203="Bitiyor"),F203+ROW()/1000000,"")</f>
        <v/>
      </c>
    </row>
    <row r="204" customFormat="false" ht="15" hidden="false" customHeight="false" outlineLevel="0" collapsed="false">
      <c r="A204" s="12"/>
      <c r="B204" s="12"/>
      <c r="C204" s="13"/>
      <c r="D204" s="14"/>
      <c r="E204" s="15"/>
      <c r="F204" s="16" t="str">
        <f aca="false">IF(OR(C204="",D204=""),"",EDATE(D204,IFERROR(INDEX(Paketler!$B$5:$B$24,MATCH(C204,Paketler!$A$5:$A$24,0)),0))-1)</f>
        <v/>
      </c>
      <c r="G204" s="17" t="str">
        <f aca="false">IF(F204="","",IFERROR(INDEX(Paketler!$C$5:$C$24,MATCH(C204,Paketler!$A$5:$A$24,0)),0))</f>
        <v/>
      </c>
      <c r="H204" s="17" t="str">
        <f aca="false">IF(F204="","",G204-E204)</f>
        <v/>
      </c>
      <c r="I204" s="18" t="str">
        <f aca="true">IF(F204="","",F204-TODAY())</f>
        <v/>
      </c>
      <c r="J204" s="19" t="str">
        <f aca="true">IF(F204="","",IF(TODAY()&lt;D204,"Başlamadı",IF(TODAY()&gt;F204,"Bitti",IF(F204-TODAY()&lt;=7,"Bitiyor","Aktif"))))</f>
        <v/>
      </c>
      <c r="K204" s="19" t="str">
        <f aca="false">IF(OR(J204="Aktif",J204="Bitiyor"),F204+ROW()/1000000,"")</f>
        <v/>
      </c>
    </row>
    <row r="205" customFormat="false" ht="15" hidden="false" customHeight="false" outlineLevel="0" collapsed="false">
      <c r="A205" s="12"/>
      <c r="B205" s="12"/>
      <c r="C205" s="13"/>
      <c r="D205" s="14"/>
      <c r="E205" s="15"/>
      <c r="F205" s="16" t="str">
        <f aca="false">IF(OR(C205="",D205=""),"",EDATE(D205,IFERROR(INDEX(Paketler!$B$5:$B$24,MATCH(C205,Paketler!$A$5:$A$24,0)),0))-1)</f>
        <v/>
      </c>
      <c r="G205" s="17" t="str">
        <f aca="false">IF(F205="","",IFERROR(INDEX(Paketler!$C$5:$C$24,MATCH(C205,Paketler!$A$5:$A$24,0)),0))</f>
        <v/>
      </c>
      <c r="H205" s="17" t="str">
        <f aca="false">IF(F205="","",G205-E205)</f>
        <v/>
      </c>
      <c r="I205" s="18" t="str">
        <f aca="true">IF(F205="","",F205-TODAY())</f>
        <v/>
      </c>
      <c r="J205" s="19" t="str">
        <f aca="true">IF(F205="","",IF(TODAY()&lt;D205,"Başlamadı",IF(TODAY()&gt;F205,"Bitti",IF(F205-TODAY()&lt;=7,"Bitiyor","Aktif"))))</f>
        <v/>
      </c>
      <c r="K205" s="19" t="str">
        <f aca="false">IF(OR(J205="Aktif",J205="Bitiyor"),F205+ROW()/1000000,"")</f>
        <v/>
      </c>
    </row>
    <row r="206" customFormat="false" ht="15" hidden="false" customHeight="false" outlineLevel="0" collapsed="false">
      <c r="A206" s="12"/>
      <c r="B206" s="12"/>
      <c r="C206" s="13"/>
      <c r="D206" s="14"/>
      <c r="E206" s="15"/>
      <c r="F206" s="16" t="str">
        <f aca="false">IF(OR(C206="",D206=""),"",EDATE(D206,IFERROR(INDEX(Paketler!$B$5:$B$24,MATCH(C206,Paketler!$A$5:$A$24,0)),0))-1)</f>
        <v/>
      </c>
      <c r="G206" s="17" t="str">
        <f aca="false">IF(F206="","",IFERROR(INDEX(Paketler!$C$5:$C$24,MATCH(C206,Paketler!$A$5:$A$24,0)),0))</f>
        <v/>
      </c>
      <c r="H206" s="17" t="str">
        <f aca="false">IF(F206="","",G206-E206)</f>
        <v/>
      </c>
      <c r="I206" s="18" t="str">
        <f aca="true">IF(F206="","",F206-TODAY())</f>
        <v/>
      </c>
      <c r="J206" s="19" t="str">
        <f aca="true">IF(F206="","",IF(TODAY()&lt;D206,"Başlamadı",IF(TODAY()&gt;F206,"Bitti",IF(F206-TODAY()&lt;=7,"Bitiyor","Aktif"))))</f>
        <v/>
      </c>
      <c r="K206" s="19" t="str">
        <f aca="false">IF(OR(J206="Aktif",J206="Bitiyor"),F206+ROW()/1000000,"")</f>
        <v/>
      </c>
    </row>
    <row r="207" customFormat="false" ht="15" hidden="false" customHeight="false" outlineLevel="0" collapsed="false">
      <c r="A207" s="12"/>
      <c r="B207" s="12"/>
      <c r="C207" s="13"/>
      <c r="D207" s="14"/>
      <c r="E207" s="15"/>
      <c r="F207" s="16" t="str">
        <f aca="false">IF(OR(C207="",D207=""),"",EDATE(D207,IFERROR(INDEX(Paketler!$B$5:$B$24,MATCH(C207,Paketler!$A$5:$A$24,0)),0))-1)</f>
        <v/>
      </c>
      <c r="G207" s="17" t="str">
        <f aca="false">IF(F207="","",IFERROR(INDEX(Paketler!$C$5:$C$24,MATCH(C207,Paketler!$A$5:$A$24,0)),0))</f>
        <v/>
      </c>
      <c r="H207" s="17" t="str">
        <f aca="false">IF(F207="","",G207-E207)</f>
        <v/>
      </c>
      <c r="I207" s="18" t="str">
        <f aca="true">IF(F207="","",F207-TODAY())</f>
        <v/>
      </c>
      <c r="J207" s="19" t="str">
        <f aca="true">IF(F207="","",IF(TODAY()&lt;D207,"Başlamadı",IF(TODAY()&gt;F207,"Bitti",IF(F207-TODAY()&lt;=7,"Bitiyor","Aktif"))))</f>
        <v/>
      </c>
      <c r="K207" s="19" t="str">
        <f aca="false">IF(OR(J207="Aktif",J207="Bitiyor"),F207+ROW()/1000000,"")</f>
        <v/>
      </c>
    </row>
    <row r="208" customFormat="false" ht="15" hidden="false" customHeight="false" outlineLevel="0" collapsed="false">
      <c r="A208" s="12"/>
      <c r="B208" s="12"/>
      <c r="C208" s="13"/>
      <c r="D208" s="14"/>
      <c r="E208" s="15"/>
      <c r="F208" s="16" t="str">
        <f aca="false">IF(OR(C208="",D208=""),"",EDATE(D208,IFERROR(INDEX(Paketler!$B$5:$B$24,MATCH(C208,Paketler!$A$5:$A$24,0)),0))-1)</f>
        <v/>
      </c>
      <c r="G208" s="17" t="str">
        <f aca="false">IF(F208="","",IFERROR(INDEX(Paketler!$C$5:$C$24,MATCH(C208,Paketler!$A$5:$A$24,0)),0))</f>
        <v/>
      </c>
      <c r="H208" s="17" t="str">
        <f aca="false">IF(F208="","",G208-E208)</f>
        <v/>
      </c>
      <c r="I208" s="18" t="str">
        <f aca="true">IF(F208="","",F208-TODAY())</f>
        <v/>
      </c>
      <c r="J208" s="19" t="str">
        <f aca="true">IF(F208="","",IF(TODAY()&lt;D208,"Başlamadı",IF(TODAY()&gt;F208,"Bitti",IF(F208-TODAY()&lt;=7,"Bitiyor","Aktif"))))</f>
        <v/>
      </c>
      <c r="K208" s="19" t="str">
        <f aca="false">IF(OR(J208="Aktif",J208="Bitiyor"),F208+ROW()/1000000,"")</f>
        <v/>
      </c>
    </row>
    <row r="209" customFormat="false" ht="15" hidden="false" customHeight="false" outlineLevel="0" collapsed="false">
      <c r="A209" s="12"/>
      <c r="B209" s="12"/>
      <c r="C209" s="13"/>
      <c r="D209" s="14"/>
      <c r="E209" s="15"/>
      <c r="F209" s="16" t="str">
        <f aca="false">IF(OR(C209="",D209=""),"",EDATE(D209,IFERROR(INDEX(Paketler!$B$5:$B$24,MATCH(C209,Paketler!$A$5:$A$24,0)),0))-1)</f>
        <v/>
      </c>
      <c r="G209" s="17" t="str">
        <f aca="false">IF(F209="","",IFERROR(INDEX(Paketler!$C$5:$C$24,MATCH(C209,Paketler!$A$5:$A$24,0)),0))</f>
        <v/>
      </c>
      <c r="H209" s="17" t="str">
        <f aca="false">IF(F209="","",G209-E209)</f>
        <v/>
      </c>
      <c r="I209" s="18" t="str">
        <f aca="true">IF(F209="","",F209-TODAY())</f>
        <v/>
      </c>
      <c r="J209" s="19" t="str">
        <f aca="true">IF(F209="","",IF(TODAY()&lt;D209,"Başlamadı",IF(TODAY()&gt;F209,"Bitti",IF(F209-TODAY()&lt;=7,"Bitiyor","Aktif"))))</f>
        <v/>
      </c>
      <c r="K209" s="19" t="str">
        <f aca="false">IF(OR(J209="Aktif",J209="Bitiyor"),F209+ROW()/1000000,"")</f>
        <v/>
      </c>
    </row>
    <row r="210" customFormat="false" ht="15" hidden="false" customHeight="false" outlineLevel="0" collapsed="false">
      <c r="A210" s="12"/>
      <c r="B210" s="12"/>
      <c r="C210" s="13"/>
      <c r="D210" s="14"/>
      <c r="E210" s="15"/>
      <c r="F210" s="16" t="str">
        <f aca="false">IF(OR(C210="",D210=""),"",EDATE(D210,IFERROR(INDEX(Paketler!$B$5:$B$24,MATCH(C210,Paketler!$A$5:$A$24,0)),0))-1)</f>
        <v/>
      </c>
      <c r="G210" s="17" t="str">
        <f aca="false">IF(F210="","",IFERROR(INDEX(Paketler!$C$5:$C$24,MATCH(C210,Paketler!$A$5:$A$24,0)),0))</f>
        <v/>
      </c>
      <c r="H210" s="17" t="str">
        <f aca="false">IF(F210="","",G210-E210)</f>
        <v/>
      </c>
      <c r="I210" s="18" t="str">
        <f aca="true">IF(F210="","",F210-TODAY())</f>
        <v/>
      </c>
      <c r="J210" s="19" t="str">
        <f aca="true">IF(F210="","",IF(TODAY()&lt;D210,"Başlamadı",IF(TODAY()&gt;F210,"Bitti",IF(F210-TODAY()&lt;=7,"Bitiyor","Aktif"))))</f>
        <v/>
      </c>
      <c r="K210" s="19" t="str">
        <f aca="false">IF(OR(J210="Aktif",J210="Bitiyor"),F210+ROW()/1000000,"")</f>
        <v/>
      </c>
    </row>
    <row r="211" customFormat="false" ht="15" hidden="false" customHeight="false" outlineLevel="0" collapsed="false">
      <c r="A211" s="12"/>
      <c r="B211" s="12"/>
      <c r="C211" s="13"/>
      <c r="D211" s="14"/>
      <c r="E211" s="15"/>
      <c r="F211" s="16" t="str">
        <f aca="false">IF(OR(C211="",D211=""),"",EDATE(D211,IFERROR(INDEX(Paketler!$B$5:$B$24,MATCH(C211,Paketler!$A$5:$A$24,0)),0))-1)</f>
        <v/>
      </c>
      <c r="G211" s="17" t="str">
        <f aca="false">IF(F211="","",IFERROR(INDEX(Paketler!$C$5:$C$24,MATCH(C211,Paketler!$A$5:$A$24,0)),0))</f>
        <v/>
      </c>
      <c r="H211" s="17" t="str">
        <f aca="false">IF(F211="","",G211-E211)</f>
        <v/>
      </c>
      <c r="I211" s="18" t="str">
        <f aca="true">IF(F211="","",F211-TODAY())</f>
        <v/>
      </c>
      <c r="J211" s="19" t="str">
        <f aca="true">IF(F211="","",IF(TODAY()&lt;D211,"Başlamadı",IF(TODAY()&gt;F211,"Bitti",IF(F211-TODAY()&lt;=7,"Bitiyor","Aktif"))))</f>
        <v/>
      </c>
      <c r="K211" s="19" t="str">
        <f aca="false">IF(OR(J211="Aktif",J211="Bitiyor"),F211+ROW()/1000000,"")</f>
        <v/>
      </c>
    </row>
    <row r="212" customFormat="false" ht="15" hidden="false" customHeight="false" outlineLevel="0" collapsed="false">
      <c r="A212" s="12"/>
      <c r="B212" s="12"/>
      <c r="C212" s="13"/>
      <c r="D212" s="14"/>
      <c r="E212" s="15"/>
      <c r="F212" s="16" t="str">
        <f aca="false">IF(OR(C212="",D212=""),"",EDATE(D212,IFERROR(INDEX(Paketler!$B$5:$B$24,MATCH(C212,Paketler!$A$5:$A$24,0)),0))-1)</f>
        <v/>
      </c>
      <c r="G212" s="17" t="str">
        <f aca="false">IF(F212="","",IFERROR(INDEX(Paketler!$C$5:$C$24,MATCH(C212,Paketler!$A$5:$A$24,0)),0))</f>
        <v/>
      </c>
      <c r="H212" s="17" t="str">
        <f aca="false">IF(F212="","",G212-E212)</f>
        <v/>
      </c>
      <c r="I212" s="18" t="str">
        <f aca="true">IF(F212="","",F212-TODAY())</f>
        <v/>
      </c>
      <c r="J212" s="19" t="str">
        <f aca="true">IF(F212="","",IF(TODAY()&lt;D212,"Başlamadı",IF(TODAY()&gt;F212,"Bitti",IF(F212-TODAY()&lt;=7,"Bitiyor","Aktif"))))</f>
        <v/>
      </c>
      <c r="K212" s="19" t="str">
        <f aca="false">IF(OR(J212="Aktif",J212="Bitiyor"),F212+ROW()/1000000,"")</f>
        <v/>
      </c>
    </row>
    <row r="213" customFormat="false" ht="15" hidden="false" customHeight="false" outlineLevel="0" collapsed="false">
      <c r="A213" s="12"/>
      <c r="B213" s="12"/>
      <c r="C213" s="13"/>
      <c r="D213" s="14"/>
      <c r="E213" s="15"/>
      <c r="F213" s="16" t="str">
        <f aca="false">IF(OR(C213="",D213=""),"",EDATE(D213,IFERROR(INDEX(Paketler!$B$5:$B$24,MATCH(C213,Paketler!$A$5:$A$24,0)),0))-1)</f>
        <v/>
      </c>
      <c r="G213" s="17" t="str">
        <f aca="false">IF(F213="","",IFERROR(INDEX(Paketler!$C$5:$C$24,MATCH(C213,Paketler!$A$5:$A$24,0)),0))</f>
        <v/>
      </c>
      <c r="H213" s="17" t="str">
        <f aca="false">IF(F213="","",G213-E213)</f>
        <v/>
      </c>
      <c r="I213" s="18" t="str">
        <f aca="true">IF(F213="","",F213-TODAY())</f>
        <v/>
      </c>
      <c r="J213" s="19" t="str">
        <f aca="true">IF(F213="","",IF(TODAY()&lt;D213,"Başlamadı",IF(TODAY()&gt;F213,"Bitti",IF(F213-TODAY()&lt;=7,"Bitiyor","Aktif"))))</f>
        <v/>
      </c>
      <c r="K213" s="19" t="str">
        <f aca="false">IF(OR(J213="Aktif",J213="Bitiyor"),F213+ROW()/1000000,"")</f>
        <v/>
      </c>
    </row>
    <row r="214" customFormat="false" ht="15" hidden="false" customHeight="false" outlineLevel="0" collapsed="false">
      <c r="A214" s="12"/>
      <c r="B214" s="12"/>
      <c r="C214" s="13"/>
      <c r="D214" s="14"/>
      <c r="E214" s="15"/>
      <c r="F214" s="16" t="str">
        <f aca="false">IF(OR(C214="",D214=""),"",EDATE(D214,IFERROR(INDEX(Paketler!$B$5:$B$24,MATCH(C214,Paketler!$A$5:$A$24,0)),0))-1)</f>
        <v/>
      </c>
      <c r="G214" s="17" t="str">
        <f aca="false">IF(F214="","",IFERROR(INDEX(Paketler!$C$5:$C$24,MATCH(C214,Paketler!$A$5:$A$24,0)),0))</f>
        <v/>
      </c>
      <c r="H214" s="17" t="str">
        <f aca="false">IF(F214="","",G214-E214)</f>
        <v/>
      </c>
      <c r="I214" s="18" t="str">
        <f aca="true">IF(F214="","",F214-TODAY())</f>
        <v/>
      </c>
      <c r="J214" s="19" t="str">
        <f aca="true">IF(F214="","",IF(TODAY()&lt;D214,"Başlamadı",IF(TODAY()&gt;F214,"Bitti",IF(F214-TODAY()&lt;=7,"Bitiyor","Aktif"))))</f>
        <v/>
      </c>
      <c r="K214" s="19" t="str">
        <f aca="false">IF(OR(J214="Aktif",J214="Bitiyor"),F214+ROW()/1000000,"")</f>
        <v/>
      </c>
    </row>
    <row r="215" customFormat="false" ht="15" hidden="false" customHeight="false" outlineLevel="0" collapsed="false">
      <c r="A215" s="12"/>
      <c r="B215" s="12"/>
      <c r="C215" s="13"/>
      <c r="D215" s="14"/>
      <c r="E215" s="15"/>
      <c r="F215" s="16" t="str">
        <f aca="false">IF(OR(C215="",D215=""),"",EDATE(D215,IFERROR(INDEX(Paketler!$B$5:$B$24,MATCH(C215,Paketler!$A$5:$A$24,0)),0))-1)</f>
        <v/>
      </c>
      <c r="G215" s="17" t="str">
        <f aca="false">IF(F215="","",IFERROR(INDEX(Paketler!$C$5:$C$24,MATCH(C215,Paketler!$A$5:$A$24,0)),0))</f>
        <v/>
      </c>
      <c r="H215" s="17" t="str">
        <f aca="false">IF(F215="","",G215-E215)</f>
        <v/>
      </c>
      <c r="I215" s="18" t="str">
        <f aca="true">IF(F215="","",F215-TODAY())</f>
        <v/>
      </c>
      <c r="J215" s="19" t="str">
        <f aca="true">IF(F215="","",IF(TODAY()&lt;D215,"Başlamadı",IF(TODAY()&gt;F215,"Bitti",IF(F215-TODAY()&lt;=7,"Bitiyor","Aktif"))))</f>
        <v/>
      </c>
      <c r="K215" s="19" t="str">
        <f aca="false">IF(OR(J215="Aktif",J215="Bitiyor"),F215+ROW()/1000000,"")</f>
        <v/>
      </c>
    </row>
    <row r="216" customFormat="false" ht="15" hidden="false" customHeight="false" outlineLevel="0" collapsed="false">
      <c r="A216" s="12"/>
      <c r="B216" s="12"/>
      <c r="C216" s="13"/>
      <c r="D216" s="14"/>
      <c r="E216" s="15"/>
      <c r="F216" s="16" t="str">
        <f aca="false">IF(OR(C216="",D216=""),"",EDATE(D216,IFERROR(INDEX(Paketler!$B$5:$B$24,MATCH(C216,Paketler!$A$5:$A$24,0)),0))-1)</f>
        <v/>
      </c>
      <c r="G216" s="17" t="str">
        <f aca="false">IF(F216="","",IFERROR(INDEX(Paketler!$C$5:$C$24,MATCH(C216,Paketler!$A$5:$A$24,0)),0))</f>
        <v/>
      </c>
      <c r="H216" s="17" t="str">
        <f aca="false">IF(F216="","",G216-E216)</f>
        <v/>
      </c>
      <c r="I216" s="18" t="str">
        <f aca="true">IF(F216="","",F216-TODAY())</f>
        <v/>
      </c>
      <c r="J216" s="19" t="str">
        <f aca="true">IF(F216="","",IF(TODAY()&lt;D216,"Başlamadı",IF(TODAY()&gt;F216,"Bitti",IF(F216-TODAY()&lt;=7,"Bitiyor","Aktif"))))</f>
        <v/>
      </c>
      <c r="K216" s="19" t="str">
        <f aca="false">IF(OR(J216="Aktif",J216="Bitiyor"),F216+ROW()/1000000,"")</f>
        <v/>
      </c>
    </row>
    <row r="217" customFormat="false" ht="15" hidden="false" customHeight="false" outlineLevel="0" collapsed="false">
      <c r="A217" s="12"/>
      <c r="B217" s="12"/>
      <c r="C217" s="13"/>
      <c r="D217" s="14"/>
      <c r="E217" s="15"/>
      <c r="F217" s="16" t="str">
        <f aca="false">IF(OR(C217="",D217=""),"",EDATE(D217,IFERROR(INDEX(Paketler!$B$5:$B$24,MATCH(C217,Paketler!$A$5:$A$24,0)),0))-1)</f>
        <v/>
      </c>
      <c r="G217" s="17" t="str">
        <f aca="false">IF(F217="","",IFERROR(INDEX(Paketler!$C$5:$C$24,MATCH(C217,Paketler!$A$5:$A$24,0)),0))</f>
        <v/>
      </c>
      <c r="H217" s="17" t="str">
        <f aca="false">IF(F217="","",G217-E217)</f>
        <v/>
      </c>
      <c r="I217" s="18" t="str">
        <f aca="true">IF(F217="","",F217-TODAY())</f>
        <v/>
      </c>
      <c r="J217" s="19" t="str">
        <f aca="true">IF(F217="","",IF(TODAY()&lt;D217,"Başlamadı",IF(TODAY()&gt;F217,"Bitti",IF(F217-TODAY()&lt;=7,"Bitiyor","Aktif"))))</f>
        <v/>
      </c>
      <c r="K217" s="19" t="str">
        <f aca="false">IF(OR(J217="Aktif",J217="Bitiyor"),F217+ROW()/1000000,"")</f>
        <v/>
      </c>
    </row>
    <row r="218" customFormat="false" ht="15" hidden="false" customHeight="false" outlineLevel="0" collapsed="false">
      <c r="A218" s="12"/>
      <c r="B218" s="12"/>
      <c r="C218" s="13"/>
      <c r="D218" s="14"/>
      <c r="E218" s="15"/>
      <c r="F218" s="16" t="str">
        <f aca="false">IF(OR(C218="",D218=""),"",EDATE(D218,IFERROR(INDEX(Paketler!$B$5:$B$24,MATCH(C218,Paketler!$A$5:$A$24,0)),0))-1)</f>
        <v/>
      </c>
      <c r="G218" s="17" t="str">
        <f aca="false">IF(F218="","",IFERROR(INDEX(Paketler!$C$5:$C$24,MATCH(C218,Paketler!$A$5:$A$24,0)),0))</f>
        <v/>
      </c>
      <c r="H218" s="17" t="str">
        <f aca="false">IF(F218="","",G218-E218)</f>
        <v/>
      </c>
      <c r="I218" s="18" t="str">
        <f aca="true">IF(F218="","",F218-TODAY())</f>
        <v/>
      </c>
      <c r="J218" s="19" t="str">
        <f aca="true">IF(F218="","",IF(TODAY()&lt;D218,"Başlamadı",IF(TODAY()&gt;F218,"Bitti",IF(F218-TODAY()&lt;=7,"Bitiyor","Aktif"))))</f>
        <v/>
      </c>
      <c r="K218" s="19" t="str">
        <f aca="false">IF(OR(J218="Aktif",J218="Bitiyor"),F218+ROW()/1000000,"")</f>
        <v/>
      </c>
    </row>
    <row r="219" customFormat="false" ht="15" hidden="false" customHeight="false" outlineLevel="0" collapsed="false">
      <c r="A219" s="12"/>
      <c r="B219" s="12"/>
      <c r="C219" s="13"/>
      <c r="D219" s="14"/>
      <c r="E219" s="15"/>
      <c r="F219" s="16" t="str">
        <f aca="false">IF(OR(C219="",D219=""),"",EDATE(D219,IFERROR(INDEX(Paketler!$B$5:$B$24,MATCH(C219,Paketler!$A$5:$A$24,0)),0))-1)</f>
        <v/>
      </c>
      <c r="G219" s="17" t="str">
        <f aca="false">IF(F219="","",IFERROR(INDEX(Paketler!$C$5:$C$24,MATCH(C219,Paketler!$A$5:$A$24,0)),0))</f>
        <v/>
      </c>
      <c r="H219" s="17" t="str">
        <f aca="false">IF(F219="","",G219-E219)</f>
        <v/>
      </c>
      <c r="I219" s="18" t="str">
        <f aca="true">IF(F219="","",F219-TODAY())</f>
        <v/>
      </c>
      <c r="J219" s="19" t="str">
        <f aca="true">IF(F219="","",IF(TODAY()&lt;D219,"Başlamadı",IF(TODAY()&gt;F219,"Bitti",IF(F219-TODAY()&lt;=7,"Bitiyor","Aktif"))))</f>
        <v/>
      </c>
      <c r="K219" s="19" t="str">
        <f aca="false">IF(OR(J219="Aktif",J219="Bitiyor"),F219+ROW()/1000000,"")</f>
        <v/>
      </c>
    </row>
    <row r="220" customFormat="false" ht="15" hidden="false" customHeight="false" outlineLevel="0" collapsed="false">
      <c r="A220" s="12"/>
      <c r="B220" s="12"/>
      <c r="C220" s="13"/>
      <c r="D220" s="14"/>
      <c r="E220" s="15"/>
      <c r="F220" s="16" t="str">
        <f aca="false">IF(OR(C220="",D220=""),"",EDATE(D220,IFERROR(INDEX(Paketler!$B$5:$B$24,MATCH(C220,Paketler!$A$5:$A$24,0)),0))-1)</f>
        <v/>
      </c>
      <c r="G220" s="17" t="str">
        <f aca="false">IF(F220="","",IFERROR(INDEX(Paketler!$C$5:$C$24,MATCH(C220,Paketler!$A$5:$A$24,0)),0))</f>
        <v/>
      </c>
      <c r="H220" s="17" t="str">
        <f aca="false">IF(F220="","",G220-E220)</f>
        <v/>
      </c>
      <c r="I220" s="18" t="str">
        <f aca="true">IF(F220="","",F220-TODAY())</f>
        <v/>
      </c>
      <c r="J220" s="19" t="str">
        <f aca="true">IF(F220="","",IF(TODAY()&lt;D220,"Başlamadı",IF(TODAY()&gt;F220,"Bitti",IF(F220-TODAY()&lt;=7,"Bitiyor","Aktif"))))</f>
        <v/>
      </c>
      <c r="K220" s="19" t="str">
        <f aca="false">IF(OR(J220="Aktif",J220="Bitiyor"),F220+ROW()/1000000,"")</f>
        <v/>
      </c>
    </row>
    <row r="221" customFormat="false" ht="15" hidden="false" customHeight="false" outlineLevel="0" collapsed="false">
      <c r="A221" s="12"/>
      <c r="B221" s="12"/>
      <c r="C221" s="13"/>
      <c r="D221" s="14"/>
      <c r="E221" s="15"/>
      <c r="F221" s="16" t="str">
        <f aca="false">IF(OR(C221="",D221=""),"",EDATE(D221,IFERROR(INDEX(Paketler!$B$5:$B$24,MATCH(C221,Paketler!$A$5:$A$24,0)),0))-1)</f>
        <v/>
      </c>
      <c r="G221" s="17" t="str">
        <f aca="false">IF(F221="","",IFERROR(INDEX(Paketler!$C$5:$C$24,MATCH(C221,Paketler!$A$5:$A$24,0)),0))</f>
        <v/>
      </c>
      <c r="H221" s="17" t="str">
        <f aca="false">IF(F221="","",G221-E221)</f>
        <v/>
      </c>
      <c r="I221" s="18" t="str">
        <f aca="true">IF(F221="","",F221-TODAY())</f>
        <v/>
      </c>
      <c r="J221" s="19" t="str">
        <f aca="true">IF(F221="","",IF(TODAY()&lt;D221,"Başlamadı",IF(TODAY()&gt;F221,"Bitti",IF(F221-TODAY()&lt;=7,"Bitiyor","Aktif"))))</f>
        <v/>
      </c>
      <c r="K221" s="19" t="str">
        <f aca="false">IF(OR(J221="Aktif",J221="Bitiyor"),F221+ROW()/1000000,"")</f>
        <v/>
      </c>
    </row>
    <row r="222" customFormat="false" ht="15" hidden="false" customHeight="false" outlineLevel="0" collapsed="false">
      <c r="A222" s="12"/>
      <c r="B222" s="12"/>
      <c r="C222" s="13"/>
      <c r="D222" s="14"/>
      <c r="E222" s="15"/>
      <c r="F222" s="16" t="str">
        <f aca="false">IF(OR(C222="",D222=""),"",EDATE(D222,IFERROR(INDEX(Paketler!$B$5:$B$24,MATCH(C222,Paketler!$A$5:$A$24,0)),0))-1)</f>
        <v/>
      </c>
      <c r="G222" s="17" t="str">
        <f aca="false">IF(F222="","",IFERROR(INDEX(Paketler!$C$5:$C$24,MATCH(C222,Paketler!$A$5:$A$24,0)),0))</f>
        <v/>
      </c>
      <c r="H222" s="17" t="str">
        <f aca="false">IF(F222="","",G222-E222)</f>
        <v/>
      </c>
      <c r="I222" s="18" t="str">
        <f aca="true">IF(F222="","",F222-TODAY())</f>
        <v/>
      </c>
      <c r="J222" s="19" t="str">
        <f aca="true">IF(F222="","",IF(TODAY()&lt;D222,"Başlamadı",IF(TODAY()&gt;F222,"Bitti",IF(F222-TODAY()&lt;=7,"Bitiyor","Aktif"))))</f>
        <v/>
      </c>
      <c r="K222" s="19" t="str">
        <f aca="false">IF(OR(J222="Aktif",J222="Bitiyor"),F222+ROW()/1000000,"")</f>
        <v/>
      </c>
    </row>
    <row r="223" customFormat="false" ht="15" hidden="false" customHeight="false" outlineLevel="0" collapsed="false">
      <c r="A223" s="12"/>
      <c r="B223" s="12"/>
      <c r="C223" s="13"/>
      <c r="D223" s="14"/>
      <c r="E223" s="15"/>
      <c r="F223" s="16" t="str">
        <f aca="false">IF(OR(C223="",D223=""),"",EDATE(D223,IFERROR(INDEX(Paketler!$B$5:$B$24,MATCH(C223,Paketler!$A$5:$A$24,0)),0))-1)</f>
        <v/>
      </c>
      <c r="G223" s="17" t="str">
        <f aca="false">IF(F223="","",IFERROR(INDEX(Paketler!$C$5:$C$24,MATCH(C223,Paketler!$A$5:$A$24,0)),0))</f>
        <v/>
      </c>
      <c r="H223" s="17" t="str">
        <f aca="false">IF(F223="","",G223-E223)</f>
        <v/>
      </c>
      <c r="I223" s="18" t="str">
        <f aca="true">IF(F223="","",F223-TODAY())</f>
        <v/>
      </c>
      <c r="J223" s="19" t="str">
        <f aca="true">IF(F223="","",IF(TODAY()&lt;D223,"Başlamadı",IF(TODAY()&gt;F223,"Bitti",IF(F223-TODAY()&lt;=7,"Bitiyor","Aktif"))))</f>
        <v/>
      </c>
      <c r="K223" s="19" t="str">
        <f aca="false">IF(OR(J223="Aktif",J223="Bitiyor"),F223+ROW()/1000000,"")</f>
        <v/>
      </c>
    </row>
    <row r="224" customFormat="false" ht="15" hidden="false" customHeight="false" outlineLevel="0" collapsed="false">
      <c r="A224" s="12"/>
      <c r="B224" s="12"/>
      <c r="C224" s="13"/>
      <c r="D224" s="14"/>
      <c r="E224" s="15"/>
      <c r="F224" s="16" t="str">
        <f aca="false">IF(OR(C224="",D224=""),"",EDATE(D224,IFERROR(INDEX(Paketler!$B$5:$B$24,MATCH(C224,Paketler!$A$5:$A$24,0)),0))-1)</f>
        <v/>
      </c>
      <c r="G224" s="17" t="str">
        <f aca="false">IF(F224="","",IFERROR(INDEX(Paketler!$C$5:$C$24,MATCH(C224,Paketler!$A$5:$A$24,0)),0))</f>
        <v/>
      </c>
      <c r="H224" s="17" t="str">
        <f aca="false">IF(F224="","",G224-E224)</f>
        <v/>
      </c>
      <c r="I224" s="18" t="str">
        <f aca="true">IF(F224="","",F224-TODAY())</f>
        <v/>
      </c>
      <c r="J224" s="19" t="str">
        <f aca="true">IF(F224="","",IF(TODAY()&lt;D224,"Başlamadı",IF(TODAY()&gt;F224,"Bitti",IF(F224-TODAY()&lt;=7,"Bitiyor","Aktif"))))</f>
        <v/>
      </c>
      <c r="K224" s="19" t="str">
        <f aca="false">IF(OR(J224="Aktif",J224="Bitiyor"),F224+ROW()/1000000,"")</f>
        <v/>
      </c>
    </row>
    <row r="225" customFormat="false" ht="15" hidden="false" customHeight="false" outlineLevel="0" collapsed="false">
      <c r="A225" s="12"/>
      <c r="B225" s="12"/>
      <c r="C225" s="13"/>
      <c r="D225" s="14"/>
      <c r="E225" s="15"/>
      <c r="F225" s="16" t="str">
        <f aca="false">IF(OR(C225="",D225=""),"",EDATE(D225,IFERROR(INDEX(Paketler!$B$5:$B$24,MATCH(C225,Paketler!$A$5:$A$24,0)),0))-1)</f>
        <v/>
      </c>
      <c r="G225" s="17" t="str">
        <f aca="false">IF(F225="","",IFERROR(INDEX(Paketler!$C$5:$C$24,MATCH(C225,Paketler!$A$5:$A$24,0)),0))</f>
        <v/>
      </c>
      <c r="H225" s="17" t="str">
        <f aca="false">IF(F225="","",G225-E225)</f>
        <v/>
      </c>
      <c r="I225" s="18" t="str">
        <f aca="true">IF(F225="","",F225-TODAY())</f>
        <v/>
      </c>
      <c r="J225" s="19" t="str">
        <f aca="true">IF(F225="","",IF(TODAY()&lt;D225,"Başlamadı",IF(TODAY()&gt;F225,"Bitti",IF(F225-TODAY()&lt;=7,"Bitiyor","Aktif"))))</f>
        <v/>
      </c>
      <c r="K225" s="19" t="str">
        <f aca="false">IF(OR(J225="Aktif",J225="Bitiyor"),F225+ROW()/1000000,"")</f>
        <v/>
      </c>
    </row>
    <row r="226" customFormat="false" ht="15" hidden="false" customHeight="false" outlineLevel="0" collapsed="false">
      <c r="A226" s="12"/>
      <c r="B226" s="12"/>
      <c r="C226" s="13"/>
      <c r="D226" s="14"/>
      <c r="E226" s="15"/>
      <c r="F226" s="16" t="str">
        <f aca="false">IF(OR(C226="",D226=""),"",EDATE(D226,IFERROR(INDEX(Paketler!$B$5:$B$24,MATCH(C226,Paketler!$A$5:$A$24,0)),0))-1)</f>
        <v/>
      </c>
      <c r="G226" s="17" t="str">
        <f aca="false">IF(F226="","",IFERROR(INDEX(Paketler!$C$5:$C$24,MATCH(C226,Paketler!$A$5:$A$24,0)),0))</f>
        <v/>
      </c>
      <c r="H226" s="17" t="str">
        <f aca="false">IF(F226="","",G226-E226)</f>
        <v/>
      </c>
      <c r="I226" s="18" t="str">
        <f aca="true">IF(F226="","",F226-TODAY())</f>
        <v/>
      </c>
      <c r="J226" s="19" t="str">
        <f aca="true">IF(F226="","",IF(TODAY()&lt;D226,"Başlamadı",IF(TODAY()&gt;F226,"Bitti",IF(F226-TODAY()&lt;=7,"Bitiyor","Aktif"))))</f>
        <v/>
      </c>
      <c r="K226" s="19" t="str">
        <f aca="false">IF(OR(J226="Aktif",J226="Bitiyor"),F226+ROW()/1000000,"")</f>
        <v/>
      </c>
    </row>
    <row r="227" customFormat="false" ht="15" hidden="false" customHeight="false" outlineLevel="0" collapsed="false">
      <c r="A227" s="12"/>
      <c r="B227" s="12"/>
      <c r="C227" s="13"/>
      <c r="D227" s="14"/>
      <c r="E227" s="15"/>
      <c r="F227" s="16" t="str">
        <f aca="false">IF(OR(C227="",D227=""),"",EDATE(D227,IFERROR(INDEX(Paketler!$B$5:$B$24,MATCH(C227,Paketler!$A$5:$A$24,0)),0))-1)</f>
        <v/>
      </c>
      <c r="G227" s="17" t="str">
        <f aca="false">IF(F227="","",IFERROR(INDEX(Paketler!$C$5:$C$24,MATCH(C227,Paketler!$A$5:$A$24,0)),0))</f>
        <v/>
      </c>
      <c r="H227" s="17" t="str">
        <f aca="false">IF(F227="","",G227-E227)</f>
        <v/>
      </c>
      <c r="I227" s="18" t="str">
        <f aca="true">IF(F227="","",F227-TODAY())</f>
        <v/>
      </c>
      <c r="J227" s="19" t="str">
        <f aca="true">IF(F227="","",IF(TODAY()&lt;D227,"Başlamadı",IF(TODAY()&gt;F227,"Bitti",IF(F227-TODAY()&lt;=7,"Bitiyor","Aktif"))))</f>
        <v/>
      </c>
      <c r="K227" s="19" t="str">
        <f aca="false">IF(OR(J227="Aktif",J227="Bitiyor"),F227+ROW()/1000000,"")</f>
        <v/>
      </c>
    </row>
    <row r="228" customFormat="false" ht="15" hidden="false" customHeight="false" outlineLevel="0" collapsed="false">
      <c r="A228" s="12"/>
      <c r="B228" s="12"/>
      <c r="C228" s="13"/>
      <c r="D228" s="14"/>
      <c r="E228" s="15"/>
      <c r="F228" s="16" t="str">
        <f aca="false">IF(OR(C228="",D228=""),"",EDATE(D228,IFERROR(INDEX(Paketler!$B$5:$B$24,MATCH(C228,Paketler!$A$5:$A$24,0)),0))-1)</f>
        <v/>
      </c>
      <c r="G228" s="17" t="str">
        <f aca="false">IF(F228="","",IFERROR(INDEX(Paketler!$C$5:$C$24,MATCH(C228,Paketler!$A$5:$A$24,0)),0))</f>
        <v/>
      </c>
      <c r="H228" s="17" t="str">
        <f aca="false">IF(F228="","",G228-E228)</f>
        <v/>
      </c>
      <c r="I228" s="18" t="str">
        <f aca="true">IF(F228="","",F228-TODAY())</f>
        <v/>
      </c>
      <c r="J228" s="19" t="str">
        <f aca="true">IF(F228="","",IF(TODAY()&lt;D228,"Başlamadı",IF(TODAY()&gt;F228,"Bitti",IF(F228-TODAY()&lt;=7,"Bitiyor","Aktif"))))</f>
        <v/>
      </c>
      <c r="K228" s="19" t="str">
        <f aca="false">IF(OR(J228="Aktif",J228="Bitiyor"),F228+ROW()/1000000,"")</f>
        <v/>
      </c>
    </row>
    <row r="229" customFormat="false" ht="15" hidden="false" customHeight="false" outlineLevel="0" collapsed="false">
      <c r="A229" s="12"/>
      <c r="B229" s="12"/>
      <c r="C229" s="13"/>
      <c r="D229" s="14"/>
      <c r="E229" s="15"/>
      <c r="F229" s="16" t="str">
        <f aca="false">IF(OR(C229="",D229=""),"",EDATE(D229,IFERROR(INDEX(Paketler!$B$5:$B$24,MATCH(C229,Paketler!$A$5:$A$24,0)),0))-1)</f>
        <v/>
      </c>
      <c r="G229" s="17" t="str">
        <f aca="false">IF(F229="","",IFERROR(INDEX(Paketler!$C$5:$C$24,MATCH(C229,Paketler!$A$5:$A$24,0)),0))</f>
        <v/>
      </c>
      <c r="H229" s="17" t="str">
        <f aca="false">IF(F229="","",G229-E229)</f>
        <v/>
      </c>
      <c r="I229" s="18" t="str">
        <f aca="true">IF(F229="","",F229-TODAY())</f>
        <v/>
      </c>
      <c r="J229" s="19" t="str">
        <f aca="true">IF(F229="","",IF(TODAY()&lt;D229,"Başlamadı",IF(TODAY()&gt;F229,"Bitti",IF(F229-TODAY()&lt;=7,"Bitiyor","Aktif"))))</f>
        <v/>
      </c>
      <c r="K229" s="19" t="str">
        <f aca="false">IF(OR(J229="Aktif",J229="Bitiyor"),F229+ROW()/1000000,"")</f>
        <v/>
      </c>
    </row>
    <row r="230" customFormat="false" ht="15" hidden="false" customHeight="false" outlineLevel="0" collapsed="false">
      <c r="A230" s="12"/>
      <c r="B230" s="12"/>
      <c r="C230" s="13"/>
      <c r="D230" s="14"/>
      <c r="E230" s="15"/>
      <c r="F230" s="16" t="str">
        <f aca="false">IF(OR(C230="",D230=""),"",EDATE(D230,IFERROR(INDEX(Paketler!$B$5:$B$24,MATCH(C230,Paketler!$A$5:$A$24,0)),0))-1)</f>
        <v/>
      </c>
      <c r="G230" s="17" t="str">
        <f aca="false">IF(F230="","",IFERROR(INDEX(Paketler!$C$5:$C$24,MATCH(C230,Paketler!$A$5:$A$24,0)),0))</f>
        <v/>
      </c>
      <c r="H230" s="17" t="str">
        <f aca="false">IF(F230="","",G230-E230)</f>
        <v/>
      </c>
      <c r="I230" s="18" t="str">
        <f aca="true">IF(F230="","",F230-TODAY())</f>
        <v/>
      </c>
      <c r="J230" s="19" t="str">
        <f aca="true">IF(F230="","",IF(TODAY()&lt;D230,"Başlamadı",IF(TODAY()&gt;F230,"Bitti",IF(F230-TODAY()&lt;=7,"Bitiyor","Aktif"))))</f>
        <v/>
      </c>
      <c r="K230" s="19" t="str">
        <f aca="false">IF(OR(J230="Aktif",J230="Bitiyor"),F230+ROW()/1000000,"")</f>
        <v/>
      </c>
    </row>
    <row r="231" customFormat="false" ht="15" hidden="false" customHeight="false" outlineLevel="0" collapsed="false">
      <c r="A231" s="12"/>
      <c r="B231" s="12"/>
      <c r="C231" s="13"/>
      <c r="D231" s="14"/>
      <c r="E231" s="15"/>
      <c r="F231" s="16" t="str">
        <f aca="false">IF(OR(C231="",D231=""),"",EDATE(D231,IFERROR(INDEX(Paketler!$B$5:$B$24,MATCH(C231,Paketler!$A$5:$A$24,0)),0))-1)</f>
        <v/>
      </c>
      <c r="G231" s="17" t="str">
        <f aca="false">IF(F231="","",IFERROR(INDEX(Paketler!$C$5:$C$24,MATCH(C231,Paketler!$A$5:$A$24,0)),0))</f>
        <v/>
      </c>
      <c r="H231" s="17" t="str">
        <f aca="false">IF(F231="","",G231-E231)</f>
        <v/>
      </c>
      <c r="I231" s="18" t="str">
        <f aca="true">IF(F231="","",F231-TODAY())</f>
        <v/>
      </c>
      <c r="J231" s="19" t="str">
        <f aca="true">IF(F231="","",IF(TODAY()&lt;D231,"Başlamadı",IF(TODAY()&gt;F231,"Bitti",IF(F231-TODAY()&lt;=7,"Bitiyor","Aktif"))))</f>
        <v/>
      </c>
      <c r="K231" s="19" t="str">
        <f aca="false">IF(OR(J231="Aktif",J231="Bitiyor"),F231+ROW()/1000000,"")</f>
        <v/>
      </c>
    </row>
    <row r="232" customFormat="false" ht="15" hidden="false" customHeight="false" outlineLevel="0" collapsed="false">
      <c r="A232" s="12"/>
      <c r="B232" s="12"/>
      <c r="C232" s="13"/>
      <c r="D232" s="14"/>
      <c r="E232" s="15"/>
      <c r="F232" s="16" t="str">
        <f aca="false">IF(OR(C232="",D232=""),"",EDATE(D232,IFERROR(INDEX(Paketler!$B$5:$B$24,MATCH(C232,Paketler!$A$5:$A$24,0)),0))-1)</f>
        <v/>
      </c>
      <c r="G232" s="17" t="str">
        <f aca="false">IF(F232="","",IFERROR(INDEX(Paketler!$C$5:$C$24,MATCH(C232,Paketler!$A$5:$A$24,0)),0))</f>
        <v/>
      </c>
      <c r="H232" s="17" t="str">
        <f aca="false">IF(F232="","",G232-E232)</f>
        <v/>
      </c>
      <c r="I232" s="18" t="str">
        <f aca="true">IF(F232="","",F232-TODAY())</f>
        <v/>
      </c>
      <c r="J232" s="19" t="str">
        <f aca="true">IF(F232="","",IF(TODAY()&lt;D232,"Başlamadı",IF(TODAY()&gt;F232,"Bitti",IF(F232-TODAY()&lt;=7,"Bitiyor","Aktif"))))</f>
        <v/>
      </c>
      <c r="K232" s="19" t="str">
        <f aca="false">IF(OR(J232="Aktif",J232="Bitiyor"),F232+ROW()/1000000,"")</f>
        <v/>
      </c>
    </row>
    <row r="233" customFormat="false" ht="15" hidden="false" customHeight="false" outlineLevel="0" collapsed="false">
      <c r="A233" s="12"/>
      <c r="B233" s="12"/>
      <c r="C233" s="13"/>
      <c r="D233" s="14"/>
      <c r="E233" s="15"/>
      <c r="F233" s="16" t="str">
        <f aca="false">IF(OR(C233="",D233=""),"",EDATE(D233,IFERROR(INDEX(Paketler!$B$5:$B$24,MATCH(C233,Paketler!$A$5:$A$24,0)),0))-1)</f>
        <v/>
      </c>
      <c r="G233" s="17" t="str">
        <f aca="false">IF(F233="","",IFERROR(INDEX(Paketler!$C$5:$C$24,MATCH(C233,Paketler!$A$5:$A$24,0)),0))</f>
        <v/>
      </c>
      <c r="H233" s="17" t="str">
        <f aca="false">IF(F233="","",G233-E233)</f>
        <v/>
      </c>
      <c r="I233" s="18" t="str">
        <f aca="true">IF(F233="","",F233-TODAY())</f>
        <v/>
      </c>
      <c r="J233" s="19" t="str">
        <f aca="true">IF(F233="","",IF(TODAY()&lt;D233,"Başlamadı",IF(TODAY()&gt;F233,"Bitti",IF(F233-TODAY()&lt;=7,"Bitiyor","Aktif"))))</f>
        <v/>
      </c>
      <c r="K233" s="19" t="str">
        <f aca="false">IF(OR(J233="Aktif",J233="Bitiyor"),F233+ROW()/1000000,"")</f>
        <v/>
      </c>
    </row>
    <row r="234" customFormat="false" ht="15" hidden="false" customHeight="false" outlineLevel="0" collapsed="false">
      <c r="A234" s="12"/>
      <c r="B234" s="12"/>
      <c r="C234" s="13"/>
      <c r="D234" s="14"/>
      <c r="E234" s="15"/>
      <c r="F234" s="16" t="str">
        <f aca="false">IF(OR(C234="",D234=""),"",EDATE(D234,IFERROR(INDEX(Paketler!$B$5:$B$24,MATCH(C234,Paketler!$A$5:$A$24,0)),0))-1)</f>
        <v/>
      </c>
      <c r="G234" s="17" t="str">
        <f aca="false">IF(F234="","",IFERROR(INDEX(Paketler!$C$5:$C$24,MATCH(C234,Paketler!$A$5:$A$24,0)),0))</f>
        <v/>
      </c>
      <c r="H234" s="17" t="str">
        <f aca="false">IF(F234="","",G234-E234)</f>
        <v/>
      </c>
      <c r="I234" s="18" t="str">
        <f aca="true">IF(F234="","",F234-TODAY())</f>
        <v/>
      </c>
      <c r="J234" s="19" t="str">
        <f aca="true">IF(F234="","",IF(TODAY()&lt;D234,"Başlamadı",IF(TODAY()&gt;F234,"Bitti",IF(F234-TODAY()&lt;=7,"Bitiyor","Aktif"))))</f>
        <v/>
      </c>
      <c r="K234" s="19" t="str">
        <f aca="false">IF(OR(J234="Aktif",J234="Bitiyor"),F234+ROW()/1000000,"")</f>
        <v/>
      </c>
    </row>
    <row r="235" customFormat="false" ht="15" hidden="false" customHeight="false" outlineLevel="0" collapsed="false">
      <c r="A235" s="12"/>
      <c r="B235" s="12"/>
      <c r="C235" s="13"/>
      <c r="D235" s="14"/>
      <c r="E235" s="15"/>
      <c r="F235" s="16" t="str">
        <f aca="false">IF(OR(C235="",D235=""),"",EDATE(D235,IFERROR(INDEX(Paketler!$B$5:$B$24,MATCH(C235,Paketler!$A$5:$A$24,0)),0))-1)</f>
        <v/>
      </c>
      <c r="G235" s="17" t="str">
        <f aca="false">IF(F235="","",IFERROR(INDEX(Paketler!$C$5:$C$24,MATCH(C235,Paketler!$A$5:$A$24,0)),0))</f>
        <v/>
      </c>
      <c r="H235" s="17" t="str">
        <f aca="false">IF(F235="","",G235-E235)</f>
        <v/>
      </c>
      <c r="I235" s="18" t="str">
        <f aca="true">IF(F235="","",F235-TODAY())</f>
        <v/>
      </c>
      <c r="J235" s="19" t="str">
        <f aca="true">IF(F235="","",IF(TODAY()&lt;D235,"Başlamadı",IF(TODAY()&gt;F235,"Bitti",IF(F235-TODAY()&lt;=7,"Bitiyor","Aktif"))))</f>
        <v/>
      </c>
      <c r="K235" s="19" t="str">
        <f aca="false">IF(OR(J235="Aktif",J235="Bitiyor"),F235+ROW()/1000000,"")</f>
        <v/>
      </c>
    </row>
    <row r="236" customFormat="false" ht="15" hidden="false" customHeight="false" outlineLevel="0" collapsed="false">
      <c r="A236" s="12"/>
      <c r="B236" s="12"/>
      <c r="C236" s="13"/>
      <c r="D236" s="14"/>
      <c r="E236" s="15"/>
      <c r="F236" s="16" t="str">
        <f aca="false">IF(OR(C236="",D236=""),"",EDATE(D236,IFERROR(INDEX(Paketler!$B$5:$B$24,MATCH(C236,Paketler!$A$5:$A$24,0)),0))-1)</f>
        <v/>
      </c>
      <c r="G236" s="17" t="str">
        <f aca="false">IF(F236="","",IFERROR(INDEX(Paketler!$C$5:$C$24,MATCH(C236,Paketler!$A$5:$A$24,0)),0))</f>
        <v/>
      </c>
      <c r="H236" s="17" t="str">
        <f aca="false">IF(F236="","",G236-E236)</f>
        <v/>
      </c>
      <c r="I236" s="18" t="str">
        <f aca="true">IF(F236="","",F236-TODAY())</f>
        <v/>
      </c>
      <c r="J236" s="19" t="str">
        <f aca="true">IF(F236="","",IF(TODAY()&lt;D236,"Başlamadı",IF(TODAY()&gt;F236,"Bitti",IF(F236-TODAY()&lt;=7,"Bitiyor","Aktif"))))</f>
        <v/>
      </c>
      <c r="K236" s="19" t="str">
        <f aca="false">IF(OR(J236="Aktif",J236="Bitiyor"),F236+ROW()/1000000,"")</f>
        <v/>
      </c>
    </row>
    <row r="237" customFormat="false" ht="15" hidden="false" customHeight="false" outlineLevel="0" collapsed="false">
      <c r="A237" s="12"/>
      <c r="B237" s="12"/>
      <c r="C237" s="13"/>
      <c r="D237" s="14"/>
      <c r="E237" s="15"/>
      <c r="F237" s="16" t="str">
        <f aca="false">IF(OR(C237="",D237=""),"",EDATE(D237,IFERROR(INDEX(Paketler!$B$5:$B$24,MATCH(C237,Paketler!$A$5:$A$24,0)),0))-1)</f>
        <v/>
      </c>
      <c r="G237" s="17" t="str">
        <f aca="false">IF(F237="","",IFERROR(INDEX(Paketler!$C$5:$C$24,MATCH(C237,Paketler!$A$5:$A$24,0)),0))</f>
        <v/>
      </c>
      <c r="H237" s="17" t="str">
        <f aca="false">IF(F237="","",G237-E237)</f>
        <v/>
      </c>
      <c r="I237" s="18" t="str">
        <f aca="true">IF(F237="","",F237-TODAY())</f>
        <v/>
      </c>
      <c r="J237" s="19" t="str">
        <f aca="true">IF(F237="","",IF(TODAY()&lt;D237,"Başlamadı",IF(TODAY()&gt;F237,"Bitti",IF(F237-TODAY()&lt;=7,"Bitiyor","Aktif"))))</f>
        <v/>
      </c>
      <c r="K237" s="19" t="str">
        <f aca="false">IF(OR(J237="Aktif",J237="Bitiyor"),F237+ROW()/1000000,"")</f>
        <v/>
      </c>
    </row>
    <row r="238" customFormat="false" ht="15" hidden="false" customHeight="false" outlineLevel="0" collapsed="false">
      <c r="A238" s="12"/>
      <c r="B238" s="12"/>
      <c r="C238" s="13"/>
      <c r="D238" s="14"/>
      <c r="E238" s="15"/>
      <c r="F238" s="16" t="str">
        <f aca="false">IF(OR(C238="",D238=""),"",EDATE(D238,IFERROR(INDEX(Paketler!$B$5:$B$24,MATCH(C238,Paketler!$A$5:$A$24,0)),0))-1)</f>
        <v/>
      </c>
      <c r="G238" s="17" t="str">
        <f aca="false">IF(F238="","",IFERROR(INDEX(Paketler!$C$5:$C$24,MATCH(C238,Paketler!$A$5:$A$24,0)),0))</f>
        <v/>
      </c>
      <c r="H238" s="17" t="str">
        <f aca="false">IF(F238="","",G238-E238)</f>
        <v/>
      </c>
      <c r="I238" s="18" t="str">
        <f aca="true">IF(F238="","",F238-TODAY())</f>
        <v/>
      </c>
      <c r="J238" s="19" t="str">
        <f aca="true">IF(F238="","",IF(TODAY()&lt;D238,"Başlamadı",IF(TODAY()&gt;F238,"Bitti",IF(F238-TODAY()&lt;=7,"Bitiyor","Aktif"))))</f>
        <v/>
      </c>
      <c r="K238" s="19" t="str">
        <f aca="false">IF(OR(J238="Aktif",J238="Bitiyor"),F238+ROW()/1000000,"")</f>
        <v/>
      </c>
    </row>
    <row r="239" customFormat="false" ht="15" hidden="false" customHeight="false" outlineLevel="0" collapsed="false">
      <c r="A239" s="12"/>
      <c r="B239" s="12"/>
      <c r="C239" s="13"/>
      <c r="D239" s="14"/>
      <c r="E239" s="15"/>
      <c r="F239" s="16" t="str">
        <f aca="false">IF(OR(C239="",D239=""),"",EDATE(D239,IFERROR(INDEX(Paketler!$B$5:$B$24,MATCH(C239,Paketler!$A$5:$A$24,0)),0))-1)</f>
        <v/>
      </c>
      <c r="G239" s="17" t="str">
        <f aca="false">IF(F239="","",IFERROR(INDEX(Paketler!$C$5:$C$24,MATCH(C239,Paketler!$A$5:$A$24,0)),0))</f>
        <v/>
      </c>
      <c r="H239" s="17" t="str">
        <f aca="false">IF(F239="","",G239-E239)</f>
        <v/>
      </c>
      <c r="I239" s="18" t="str">
        <f aca="true">IF(F239="","",F239-TODAY())</f>
        <v/>
      </c>
      <c r="J239" s="19" t="str">
        <f aca="true">IF(F239="","",IF(TODAY()&lt;D239,"Başlamadı",IF(TODAY()&gt;F239,"Bitti",IF(F239-TODAY()&lt;=7,"Bitiyor","Aktif"))))</f>
        <v/>
      </c>
      <c r="K239" s="19" t="str">
        <f aca="false">IF(OR(J239="Aktif",J239="Bitiyor"),F239+ROW()/1000000,"")</f>
        <v/>
      </c>
    </row>
    <row r="240" customFormat="false" ht="15" hidden="false" customHeight="false" outlineLevel="0" collapsed="false">
      <c r="A240" s="12"/>
      <c r="B240" s="12"/>
      <c r="C240" s="13"/>
      <c r="D240" s="14"/>
      <c r="E240" s="15"/>
      <c r="F240" s="16" t="str">
        <f aca="false">IF(OR(C240="",D240=""),"",EDATE(D240,IFERROR(INDEX(Paketler!$B$5:$B$24,MATCH(C240,Paketler!$A$5:$A$24,0)),0))-1)</f>
        <v/>
      </c>
      <c r="G240" s="17" t="str">
        <f aca="false">IF(F240="","",IFERROR(INDEX(Paketler!$C$5:$C$24,MATCH(C240,Paketler!$A$5:$A$24,0)),0))</f>
        <v/>
      </c>
      <c r="H240" s="17" t="str">
        <f aca="false">IF(F240="","",G240-E240)</f>
        <v/>
      </c>
      <c r="I240" s="18" t="str">
        <f aca="true">IF(F240="","",F240-TODAY())</f>
        <v/>
      </c>
      <c r="J240" s="19" t="str">
        <f aca="true">IF(F240="","",IF(TODAY()&lt;D240,"Başlamadı",IF(TODAY()&gt;F240,"Bitti",IF(F240-TODAY()&lt;=7,"Bitiyor","Aktif"))))</f>
        <v/>
      </c>
      <c r="K240" s="19" t="str">
        <f aca="false">IF(OR(J240="Aktif",J240="Bitiyor"),F240+ROW()/1000000,"")</f>
        <v/>
      </c>
    </row>
    <row r="241" customFormat="false" ht="15" hidden="false" customHeight="false" outlineLevel="0" collapsed="false">
      <c r="A241" s="12"/>
      <c r="B241" s="12"/>
      <c r="C241" s="13"/>
      <c r="D241" s="14"/>
      <c r="E241" s="15"/>
      <c r="F241" s="16" t="str">
        <f aca="false">IF(OR(C241="",D241=""),"",EDATE(D241,IFERROR(INDEX(Paketler!$B$5:$B$24,MATCH(C241,Paketler!$A$5:$A$24,0)),0))-1)</f>
        <v/>
      </c>
      <c r="G241" s="17" t="str">
        <f aca="false">IF(F241="","",IFERROR(INDEX(Paketler!$C$5:$C$24,MATCH(C241,Paketler!$A$5:$A$24,0)),0))</f>
        <v/>
      </c>
      <c r="H241" s="17" t="str">
        <f aca="false">IF(F241="","",G241-E241)</f>
        <v/>
      </c>
      <c r="I241" s="18" t="str">
        <f aca="true">IF(F241="","",F241-TODAY())</f>
        <v/>
      </c>
      <c r="J241" s="19" t="str">
        <f aca="true">IF(F241="","",IF(TODAY()&lt;D241,"Başlamadı",IF(TODAY()&gt;F241,"Bitti",IF(F241-TODAY()&lt;=7,"Bitiyor","Aktif"))))</f>
        <v/>
      </c>
      <c r="K241" s="19" t="str">
        <f aca="false">IF(OR(J241="Aktif",J241="Bitiyor"),F241+ROW()/1000000,"")</f>
        <v/>
      </c>
    </row>
    <row r="242" customFormat="false" ht="15" hidden="false" customHeight="false" outlineLevel="0" collapsed="false">
      <c r="A242" s="12"/>
      <c r="B242" s="12"/>
      <c r="C242" s="13"/>
      <c r="D242" s="14"/>
      <c r="E242" s="15"/>
      <c r="F242" s="16" t="str">
        <f aca="false">IF(OR(C242="",D242=""),"",EDATE(D242,IFERROR(INDEX(Paketler!$B$5:$B$24,MATCH(C242,Paketler!$A$5:$A$24,0)),0))-1)</f>
        <v/>
      </c>
      <c r="G242" s="17" t="str">
        <f aca="false">IF(F242="","",IFERROR(INDEX(Paketler!$C$5:$C$24,MATCH(C242,Paketler!$A$5:$A$24,0)),0))</f>
        <v/>
      </c>
      <c r="H242" s="17" t="str">
        <f aca="false">IF(F242="","",G242-E242)</f>
        <v/>
      </c>
      <c r="I242" s="18" t="str">
        <f aca="true">IF(F242="","",F242-TODAY())</f>
        <v/>
      </c>
      <c r="J242" s="19" t="str">
        <f aca="true">IF(F242="","",IF(TODAY()&lt;D242,"Başlamadı",IF(TODAY()&gt;F242,"Bitti",IF(F242-TODAY()&lt;=7,"Bitiyor","Aktif"))))</f>
        <v/>
      </c>
      <c r="K242" s="19" t="str">
        <f aca="false">IF(OR(J242="Aktif",J242="Bitiyor"),F242+ROW()/1000000,"")</f>
        <v/>
      </c>
    </row>
    <row r="243" customFormat="false" ht="15" hidden="false" customHeight="false" outlineLevel="0" collapsed="false">
      <c r="A243" s="12"/>
      <c r="B243" s="12"/>
      <c r="C243" s="13"/>
      <c r="D243" s="14"/>
      <c r="E243" s="15"/>
      <c r="F243" s="16" t="str">
        <f aca="false">IF(OR(C243="",D243=""),"",EDATE(D243,IFERROR(INDEX(Paketler!$B$5:$B$24,MATCH(C243,Paketler!$A$5:$A$24,0)),0))-1)</f>
        <v/>
      </c>
      <c r="G243" s="17" t="str">
        <f aca="false">IF(F243="","",IFERROR(INDEX(Paketler!$C$5:$C$24,MATCH(C243,Paketler!$A$5:$A$24,0)),0))</f>
        <v/>
      </c>
      <c r="H243" s="17" t="str">
        <f aca="false">IF(F243="","",G243-E243)</f>
        <v/>
      </c>
      <c r="I243" s="18" t="str">
        <f aca="true">IF(F243="","",F243-TODAY())</f>
        <v/>
      </c>
      <c r="J243" s="19" t="str">
        <f aca="true">IF(F243="","",IF(TODAY()&lt;D243,"Başlamadı",IF(TODAY()&gt;F243,"Bitti",IF(F243-TODAY()&lt;=7,"Bitiyor","Aktif"))))</f>
        <v/>
      </c>
      <c r="K243" s="19" t="str">
        <f aca="false">IF(OR(J243="Aktif",J243="Bitiyor"),F243+ROW()/1000000,"")</f>
        <v/>
      </c>
    </row>
    <row r="244" customFormat="false" ht="15" hidden="false" customHeight="false" outlineLevel="0" collapsed="false">
      <c r="A244" s="12"/>
      <c r="B244" s="12"/>
      <c r="C244" s="13"/>
      <c r="D244" s="14"/>
      <c r="E244" s="15"/>
      <c r="F244" s="16" t="str">
        <f aca="false">IF(OR(C244="",D244=""),"",EDATE(D244,IFERROR(INDEX(Paketler!$B$5:$B$24,MATCH(C244,Paketler!$A$5:$A$24,0)),0))-1)</f>
        <v/>
      </c>
      <c r="G244" s="17" t="str">
        <f aca="false">IF(F244="","",IFERROR(INDEX(Paketler!$C$5:$C$24,MATCH(C244,Paketler!$A$5:$A$24,0)),0))</f>
        <v/>
      </c>
      <c r="H244" s="17" t="str">
        <f aca="false">IF(F244="","",G244-E244)</f>
        <v/>
      </c>
      <c r="I244" s="18" t="str">
        <f aca="true">IF(F244="","",F244-TODAY())</f>
        <v/>
      </c>
      <c r="J244" s="19" t="str">
        <f aca="true">IF(F244="","",IF(TODAY()&lt;D244,"Başlamadı",IF(TODAY()&gt;F244,"Bitti",IF(F244-TODAY()&lt;=7,"Bitiyor","Aktif"))))</f>
        <v/>
      </c>
      <c r="K244" s="19" t="str">
        <f aca="false">IF(OR(J244="Aktif",J244="Bitiyor"),F244+ROW()/1000000,"")</f>
        <v/>
      </c>
    </row>
    <row r="245" customFormat="false" ht="15" hidden="false" customHeight="false" outlineLevel="0" collapsed="false">
      <c r="A245" s="12"/>
      <c r="B245" s="12"/>
      <c r="C245" s="13"/>
      <c r="D245" s="14"/>
      <c r="E245" s="15"/>
      <c r="F245" s="16" t="str">
        <f aca="false">IF(OR(C245="",D245=""),"",EDATE(D245,IFERROR(INDEX(Paketler!$B$5:$B$24,MATCH(C245,Paketler!$A$5:$A$24,0)),0))-1)</f>
        <v/>
      </c>
      <c r="G245" s="17" t="str">
        <f aca="false">IF(F245="","",IFERROR(INDEX(Paketler!$C$5:$C$24,MATCH(C245,Paketler!$A$5:$A$24,0)),0))</f>
        <v/>
      </c>
      <c r="H245" s="17" t="str">
        <f aca="false">IF(F245="","",G245-E245)</f>
        <v/>
      </c>
      <c r="I245" s="18" t="str">
        <f aca="true">IF(F245="","",F245-TODAY())</f>
        <v/>
      </c>
      <c r="J245" s="19" t="str">
        <f aca="true">IF(F245="","",IF(TODAY()&lt;D245,"Başlamadı",IF(TODAY()&gt;F245,"Bitti",IF(F245-TODAY()&lt;=7,"Bitiyor","Aktif"))))</f>
        <v/>
      </c>
      <c r="K245" s="19" t="str">
        <f aca="false">IF(OR(J245="Aktif",J245="Bitiyor"),F245+ROW()/1000000,"")</f>
        <v/>
      </c>
    </row>
    <row r="246" customFormat="false" ht="15" hidden="false" customHeight="false" outlineLevel="0" collapsed="false">
      <c r="A246" s="12"/>
      <c r="B246" s="12"/>
      <c r="C246" s="13"/>
      <c r="D246" s="14"/>
      <c r="E246" s="15"/>
      <c r="F246" s="16" t="str">
        <f aca="false">IF(OR(C246="",D246=""),"",EDATE(D246,IFERROR(INDEX(Paketler!$B$5:$B$24,MATCH(C246,Paketler!$A$5:$A$24,0)),0))-1)</f>
        <v/>
      </c>
      <c r="G246" s="17" t="str">
        <f aca="false">IF(F246="","",IFERROR(INDEX(Paketler!$C$5:$C$24,MATCH(C246,Paketler!$A$5:$A$24,0)),0))</f>
        <v/>
      </c>
      <c r="H246" s="17" t="str">
        <f aca="false">IF(F246="","",G246-E246)</f>
        <v/>
      </c>
      <c r="I246" s="18" t="str">
        <f aca="true">IF(F246="","",F246-TODAY())</f>
        <v/>
      </c>
      <c r="J246" s="19" t="str">
        <f aca="true">IF(F246="","",IF(TODAY()&lt;D246,"Başlamadı",IF(TODAY()&gt;F246,"Bitti",IF(F246-TODAY()&lt;=7,"Bitiyor","Aktif"))))</f>
        <v/>
      </c>
      <c r="K246" s="19" t="str">
        <f aca="false">IF(OR(J246="Aktif",J246="Bitiyor"),F246+ROW()/1000000,"")</f>
        <v/>
      </c>
    </row>
    <row r="247" customFormat="false" ht="15" hidden="false" customHeight="false" outlineLevel="0" collapsed="false">
      <c r="A247" s="12"/>
      <c r="B247" s="12"/>
      <c r="C247" s="13"/>
      <c r="D247" s="14"/>
      <c r="E247" s="15"/>
      <c r="F247" s="16" t="str">
        <f aca="false">IF(OR(C247="",D247=""),"",EDATE(D247,IFERROR(INDEX(Paketler!$B$5:$B$24,MATCH(C247,Paketler!$A$5:$A$24,0)),0))-1)</f>
        <v/>
      </c>
      <c r="G247" s="17" t="str">
        <f aca="false">IF(F247="","",IFERROR(INDEX(Paketler!$C$5:$C$24,MATCH(C247,Paketler!$A$5:$A$24,0)),0))</f>
        <v/>
      </c>
      <c r="H247" s="17" t="str">
        <f aca="false">IF(F247="","",G247-E247)</f>
        <v/>
      </c>
      <c r="I247" s="18" t="str">
        <f aca="true">IF(F247="","",F247-TODAY())</f>
        <v/>
      </c>
      <c r="J247" s="19" t="str">
        <f aca="true">IF(F247="","",IF(TODAY()&lt;D247,"Başlamadı",IF(TODAY()&gt;F247,"Bitti",IF(F247-TODAY()&lt;=7,"Bitiyor","Aktif"))))</f>
        <v/>
      </c>
      <c r="K247" s="19" t="str">
        <f aca="false">IF(OR(J247="Aktif",J247="Bitiyor"),F247+ROW()/1000000,"")</f>
        <v/>
      </c>
    </row>
    <row r="248" customFormat="false" ht="15" hidden="false" customHeight="false" outlineLevel="0" collapsed="false">
      <c r="A248" s="12"/>
      <c r="B248" s="12"/>
      <c r="C248" s="13"/>
      <c r="D248" s="14"/>
      <c r="E248" s="15"/>
      <c r="F248" s="16" t="str">
        <f aca="false">IF(OR(C248="",D248=""),"",EDATE(D248,IFERROR(INDEX(Paketler!$B$5:$B$24,MATCH(C248,Paketler!$A$5:$A$24,0)),0))-1)</f>
        <v/>
      </c>
      <c r="G248" s="17" t="str">
        <f aca="false">IF(F248="","",IFERROR(INDEX(Paketler!$C$5:$C$24,MATCH(C248,Paketler!$A$5:$A$24,0)),0))</f>
        <v/>
      </c>
      <c r="H248" s="17" t="str">
        <f aca="false">IF(F248="","",G248-E248)</f>
        <v/>
      </c>
      <c r="I248" s="18" t="str">
        <f aca="true">IF(F248="","",F248-TODAY())</f>
        <v/>
      </c>
      <c r="J248" s="19" t="str">
        <f aca="true">IF(F248="","",IF(TODAY()&lt;D248,"Başlamadı",IF(TODAY()&gt;F248,"Bitti",IF(F248-TODAY()&lt;=7,"Bitiyor","Aktif"))))</f>
        <v/>
      </c>
      <c r="K248" s="19" t="str">
        <f aca="false">IF(OR(J248="Aktif",J248="Bitiyor"),F248+ROW()/1000000,"")</f>
        <v/>
      </c>
    </row>
    <row r="249" customFormat="false" ht="15" hidden="false" customHeight="false" outlineLevel="0" collapsed="false">
      <c r="A249" s="12"/>
      <c r="B249" s="12"/>
      <c r="C249" s="13"/>
      <c r="D249" s="14"/>
      <c r="E249" s="15"/>
      <c r="F249" s="16" t="str">
        <f aca="false">IF(OR(C249="",D249=""),"",EDATE(D249,IFERROR(INDEX(Paketler!$B$5:$B$24,MATCH(C249,Paketler!$A$5:$A$24,0)),0))-1)</f>
        <v/>
      </c>
      <c r="G249" s="17" t="str">
        <f aca="false">IF(F249="","",IFERROR(INDEX(Paketler!$C$5:$C$24,MATCH(C249,Paketler!$A$5:$A$24,0)),0))</f>
        <v/>
      </c>
      <c r="H249" s="17" t="str">
        <f aca="false">IF(F249="","",G249-E249)</f>
        <v/>
      </c>
      <c r="I249" s="18" t="str">
        <f aca="true">IF(F249="","",F249-TODAY())</f>
        <v/>
      </c>
      <c r="J249" s="19" t="str">
        <f aca="true">IF(F249="","",IF(TODAY()&lt;D249,"Başlamadı",IF(TODAY()&gt;F249,"Bitti",IF(F249-TODAY()&lt;=7,"Bitiyor","Aktif"))))</f>
        <v/>
      </c>
      <c r="K249" s="19" t="str">
        <f aca="false">IF(OR(J249="Aktif",J249="Bitiyor"),F249+ROW()/1000000,"")</f>
        <v/>
      </c>
    </row>
    <row r="250" customFormat="false" ht="15" hidden="false" customHeight="false" outlineLevel="0" collapsed="false">
      <c r="A250" s="12"/>
      <c r="B250" s="12"/>
      <c r="C250" s="13"/>
      <c r="D250" s="14"/>
      <c r="E250" s="15"/>
      <c r="F250" s="16" t="str">
        <f aca="false">IF(OR(C250="",D250=""),"",EDATE(D250,IFERROR(INDEX(Paketler!$B$5:$B$24,MATCH(C250,Paketler!$A$5:$A$24,0)),0))-1)</f>
        <v/>
      </c>
      <c r="G250" s="17" t="str">
        <f aca="false">IF(F250="","",IFERROR(INDEX(Paketler!$C$5:$C$24,MATCH(C250,Paketler!$A$5:$A$24,0)),0))</f>
        <v/>
      </c>
      <c r="H250" s="17" t="str">
        <f aca="false">IF(F250="","",G250-E250)</f>
        <v/>
      </c>
      <c r="I250" s="18" t="str">
        <f aca="true">IF(F250="","",F250-TODAY())</f>
        <v/>
      </c>
      <c r="J250" s="19" t="str">
        <f aca="true">IF(F250="","",IF(TODAY()&lt;D250,"Başlamadı",IF(TODAY()&gt;F250,"Bitti",IF(F250-TODAY()&lt;=7,"Bitiyor","Aktif"))))</f>
        <v/>
      </c>
      <c r="K250" s="19" t="str">
        <f aca="false">IF(OR(J250="Aktif",J250="Bitiyor"),F250+ROW()/1000000,"")</f>
        <v/>
      </c>
    </row>
    <row r="251" customFormat="false" ht="15" hidden="false" customHeight="false" outlineLevel="0" collapsed="false">
      <c r="A251" s="12"/>
      <c r="B251" s="12"/>
      <c r="C251" s="13"/>
      <c r="D251" s="14"/>
      <c r="E251" s="15"/>
      <c r="F251" s="16" t="str">
        <f aca="false">IF(OR(C251="",D251=""),"",EDATE(D251,IFERROR(INDEX(Paketler!$B$5:$B$24,MATCH(C251,Paketler!$A$5:$A$24,0)),0))-1)</f>
        <v/>
      </c>
      <c r="G251" s="17" t="str">
        <f aca="false">IF(F251="","",IFERROR(INDEX(Paketler!$C$5:$C$24,MATCH(C251,Paketler!$A$5:$A$24,0)),0))</f>
        <v/>
      </c>
      <c r="H251" s="17" t="str">
        <f aca="false">IF(F251="","",G251-E251)</f>
        <v/>
      </c>
      <c r="I251" s="18" t="str">
        <f aca="true">IF(F251="","",F251-TODAY())</f>
        <v/>
      </c>
      <c r="J251" s="19" t="str">
        <f aca="true">IF(F251="","",IF(TODAY()&lt;D251,"Başlamadı",IF(TODAY()&gt;F251,"Bitti",IF(F251-TODAY()&lt;=7,"Bitiyor","Aktif"))))</f>
        <v/>
      </c>
      <c r="K251" s="19" t="str">
        <f aca="false">IF(OR(J251="Aktif",J251="Bitiyor"),F251+ROW()/1000000,"")</f>
        <v/>
      </c>
    </row>
    <row r="252" customFormat="false" ht="15" hidden="false" customHeight="false" outlineLevel="0" collapsed="false">
      <c r="A252" s="12"/>
      <c r="B252" s="12"/>
      <c r="C252" s="13"/>
      <c r="D252" s="14"/>
      <c r="E252" s="15"/>
      <c r="F252" s="16" t="str">
        <f aca="false">IF(OR(C252="",D252=""),"",EDATE(D252,IFERROR(INDEX(Paketler!$B$5:$B$24,MATCH(C252,Paketler!$A$5:$A$24,0)),0))-1)</f>
        <v/>
      </c>
      <c r="G252" s="17" t="str">
        <f aca="false">IF(F252="","",IFERROR(INDEX(Paketler!$C$5:$C$24,MATCH(C252,Paketler!$A$5:$A$24,0)),0))</f>
        <v/>
      </c>
      <c r="H252" s="17" t="str">
        <f aca="false">IF(F252="","",G252-E252)</f>
        <v/>
      </c>
      <c r="I252" s="18" t="str">
        <f aca="true">IF(F252="","",F252-TODAY())</f>
        <v/>
      </c>
      <c r="J252" s="19" t="str">
        <f aca="true">IF(F252="","",IF(TODAY()&lt;D252,"Başlamadı",IF(TODAY()&gt;F252,"Bitti",IF(F252-TODAY()&lt;=7,"Bitiyor","Aktif"))))</f>
        <v/>
      </c>
      <c r="K252" s="19" t="str">
        <f aca="false">IF(OR(J252="Aktif",J252="Bitiyor"),F252+ROW()/1000000,"")</f>
        <v/>
      </c>
    </row>
    <row r="253" customFormat="false" ht="15" hidden="false" customHeight="false" outlineLevel="0" collapsed="false">
      <c r="A253" s="12"/>
      <c r="B253" s="12"/>
      <c r="C253" s="13"/>
      <c r="D253" s="14"/>
      <c r="E253" s="15"/>
      <c r="F253" s="16" t="str">
        <f aca="false">IF(OR(C253="",D253=""),"",EDATE(D253,IFERROR(INDEX(Paketler!$B$5:$B$24,MATCH(C253,Paketler!$A$5:$A$24,0)),0))-1)</f>
        <v/>
      </c>
      <c r="G253" s="17" t="str">
        <f aca="false">IF(F253="","",IFERROR(INDEX(Paketler!$C$5:$C$24,MATCH(C253,Paketler!$A$5:$A$24,0)),0))</f>
        <v/>
      </c>
      <c r="H253" s="17" t="str">
        <f aca="false">IF(F253="","",G253-E253)</f>
        <v/>
      </c>
      <c r="I253" s="18" t="str">
        <f aca="true">IF(F253="","",F253-TODAY())</f>
        <v/>
      </c>
      <c r="J253" s="19" t="str">
        <f aca="true">IF(F253="","",IF(TODAY()&lt;D253,"Başlamadı",IF(TODAY()&gt;F253,"Bitti",IF(F253-TODAY()&lt;=7,"Bitiyor","Aktif"))))</f>
        <v/>
      </c>
      <c r="K253" s="19" t="str">
        <f aca="false">IF(OR(J253="Aktif",J253="Bitiyor"),F253+ROW()/1000000,"")</f>
        <v/>
      </c>
    </row>
    <row r="254" customFormat="false" ht="15" hidden="false" customHeight="false" outlineLevel="0" collapsed="false">
      <c r="A254" s="12"/>
      <c r="B254" s="12"/>
      <c r="C254" s="13"/>
      <c r="D254" s="14"/>
      <c r="E254" s="15"/>
      <c r="F254" s="16" t="str">
        <f aca="false">IF(OR(C254="",D254=""),"",EDATE(D254,IFERROR(INDEX(Paketler!$B$5:$B$24,MATCH(C254,Paketler!$A$5:$A$24,0)),0))-1)</f>
        <v/>
      </c>
      <c r="G254" s="17" t="str">
        <f aca="false">IF(F254="","",IFERROR(INDEX(Paketler!$C$5:$C$24,MATCH(C254,Paketler!$A$5:$A$24,0)),0))</f>
        <v/>
      </c>
      <c r="H254" s="17" t="str">
        <f aca="false">IF(F254="","",G254-E254)</f>
        <v/>
      </c>
      <c r="I254" s="18" t="str">
        <f aca="true">IF(F254="","",F254-TODAY())</f>
        <v/>
      </c>
      <c r="J254" s="19" t="str">
        <f aca="true">IF(F254="","",IF(TODAY()&lt;D254,"Başlamadı",IF(TODAY()&gt;F254,"Bitti",IF(F254-TODAY()&lt;=7,"Bitiyor","Aktif"))))</f>
        <v/>
      </c>
      <c r="K254" s="19" t="str">
        <f aca="false">IF(OR(J254="Aktif",J254="Bitiyor"),F254+ROW()/1000000,"")</f>
        <v/>
      </c>
    </row>
    <row r="255" customFormat="false" ht="15" hidden="false" customHeight="false" outlineLevel="0" collapsed="false">
      <c r="A255" s="12"/>
      <c r="B255" s="12"/>
      <c r="C255" s="13"/>
      <c r="D255" s="14"/>
      <c r="E255" s="15"/>
      <c r="F255" s="16" t="str">
        <f aca="false">IF(OR(C255="",D255=""),"",EDATE(D255,IFERROR(INDEX(Paketler!$B$5:$B$24,MATCH(C255,Paketler!$A$5:$A$24,0)),0))-1)</f>
        <v/>
      </c>
      <c r="G255" s="17" t="str">
        <f aca="false">IF(F255="","",IFERROR(INDEX(Paketler!$C$5:$C$24,MATCH(C255,Paketler!$A$5:$A$24,0)),0))</f>
        <v/>
      </c>
      <c r="H255" s="17" t="str">
        <f aca="false">IF(F255="","",G255-E255)</f>
        <v/>
      </c>
      <c r="I255" s="18" t="str">
        <f aca="true">IF(F255="","",F255-TODAY())</f>
        <v/>
      </c>
      <c r="J255" s="19" t="str">
        <f aca="true">IF(F255="","",IF(TODAY()&lt;D255,"Başlamadı",IF(TODAY()&gt;F255,"Bitti",IF(F255-TODAY()&lt;=7,"Bitiyor","Aktif"))))</f>
        <v/>
      </c>
      <c r="K255" s="19" t="str">
        <f aca="false">IF(OR(J255="Aktif",J255="Bitiyor"),F255+ROW()/1000000,"")</f>
        <v/>
      </c>
    </row>
    <row r="256" customFormat="false" ht="15" hidden="false" customHeight="false" outlineLevel="0" collapsed="false">
      <c r="A256" s="12"/>
      <c r="B256" s="12"/>
      <c r="C256" s="13"/>
      <c r="D256" s="14"/>
      <c r="E256" s="15"/>
      <c r="F256" s="16" t="str">
        <f aca="false">IF(OR(C256="",D256=""),"",EDATE(D256,IFERROR(INDEX(Paketler!$B$5:$B$24,MATCH(C256,Paketler!$A$5:$A$24,0)),0))-1)</f>
        <v/>
      </c>
      <c r="G256" s="17" t="str">
        <f aca="false">IF(F256="","",IFERROR(INDEX(Paketler!$C$5:$C$24,MATCH(C256,Paketler!$A$5:$A$24,0)),0))</f>
        <v/>
      </c>
      <c r="H256" s="17" t="str">
        <f aca="false">IF(F256="","",G256-E256)</f>
        <v/>
      </c>
      <c r="I256" s="18" t="str">
        <f aca="true">IF(F256="","",F256-TODAY())</f>
        <v/>
      </c>
      <c r="J256" s="19" t="str">
        <f aca="true">IF(F256="","",IF(TODAY()&lt;D256,"Başlamadı",IF(TODAY()&gt;F256,"Bitti",IF(F256-TODAY()&lt;=7,"Bitiyor","Aktif"))))</f>
        <v/>
      </c>
      <c r="K256" s="19" t="str">
        <f aca="false">IF(OR(J256="Aktif",J256="Bitiyor"),F256+ROW()/1000000,"")</f>
        <v/>
      </c>
    </row>
    <row r="257" customFormat="false" ht="15" hidden="false" customHeight="false" outlineLevel="0" collapsed="false">
      <c r="A257" s="12"/>
      <c r="B257" s="12"/>
      <c r="C257" s="13"/>
      <c r="D257" s="14"/>
      <c r="E257" s="15"/>
      <c r="F257" s="16" t="str">
        <f aca="false">IF(OR(C257="",D257=""),"",EDATE(D257,IFERROR(INDEX(Paketler!$B$5:$B$24,MATCH(C257,Paketler!$A$5:$A$24,0)),0))-1)</f>
        <v/>
      </c>
      <c r="G257" s="17" t="str">
        <f aca="false">IF(F257="","",IFERROR(INDEX(Paketler!$C$5:$C$24,MATCH(C257,Paketler!$A$5:$A$24,0)),0))</f>
        <v/>
      </c>
      <c r="H257" s="17" t="str">
        <f aca="false">IF(F257="","",G257-E257)</f>
        <v/>
      </c>
      <c r="I257" s="18" t="str">
        <f aca="true">IF(F257="","",F257-TODAY())</f>
        <v/>
      </c>
      <c r="J257" s="19" t="str">
        <f aca="true">IF(F257="","",IF(TODAY()&lt;D257,"Başlamadı",IF(TODAY()&gt;F257,"Bitti",IF(F257-TODAY()&lt;=7,"Bitiyor","Aktif"))))</f>
        <v/>
      </c>
      <c r="K257" s="19" t="str">
        <f aca="false">IF(OR(J257="Aktif",J257="Bitiyor"),F257+ROW()/1000000,"")</f>
        <v/>
      </c>
    </row>
    <row r="258" customFormat="false" ht="15" hidden="false" customHeight="false" outlineLevel="0" collapsed="false">
      <c r="A258" s="12"/>
      <c r="B258" s="12"/>
      <c r="C258" s="13"/>
      <c r="D258" s="14"/>
      <c r="E258" s="15"/>
      <c r="F258" s="16" t="str">
        <f aca="false">IF(OR(C258="",D258=""),"",EDATE(D258,IFERROR(INDEX(Paketler!$B$5:$B$24,MATCH(C258,Paketler!$A$5:$A$24,0)),0))-1)</f>
        <v/>
      </c>
      <c r="G258" s="17" t="str">
        <f aca="false">IF(F258="","",IFERROR(INDEX(Paketler!$C$5:$C$24,MATCH(C258,Paketler!$A$5:$A$24,0)),0))</f>
        <v/>
      </c>
      <c r="H258" s="17" t="str">
        <f aca="false">IF(F258="","",G258-E258)</f>
        <v/>
      </c>
      <c r="I258" s="18" t="str">
        <f aca="true">IF(F258="","",F258-TODAY())</f>
        <v/>
      </c>
      <c r="J258" s="19" t="str">
        <f aca="true">IF(F258="","",IF(TODAY()&lt;D258,"Başlamadı",IF(TODAY()&gt;F258,"Bitti",IF(F258-TODAY()&lt;=7,"Bitiyor","Aktif"))))</f>
        <v/>
      </c>
      <c r="K258" s="19" t="str">
        <f aca="false">IF(OR(J258="Aktif",J258="Bitiyor"),F258+ROW()/1000000,"")</f>
        <v/>
      </c>
    </row>
    <row r="259" customFormat="false" ht="15" hidden="false" customHeight="false" outlineLevel="0" collapsed="false">
      <c r="A259" s="12"/>
      <c r="B259" s="12"/>
      <c r="C259" s="13"/>
      <c r="D259" s="14"/>
      <c r="E259" s="15"/>
      <c r="F259" s="16" t="str">
        <f aca="false">IF(OR(C259="",D259=""),"",EDATE(D259,IFERROR(INDEX(Paketler!$B$5:$B$24,MATCH(C259,Paketler!$A$5:$A$24,0)),0))-1)</f>
        <v/>
      </c>
      <c r="G259" s="17" t="str">
        <f aca="false">IF(F259="","",IFERROR(INDEX(Paketler!$C$5:$C$24,MATCH(C259,Paketler!$A$5:$A$24,0)),0))</f>
        <v/>
      </c>
      <c r="H259" s="17" t="str">
        <f aca="false">IF(F259="","",G259-E259)</f>
        <v/>
      </c>
      <c r="I259" s="18" t="str">
        <f aca="true">IF(F259="","",F259-TODAY())</f>
        <v/>
      </c>
      <c r="J259" s="19" t="str">
        <f aca="true">IF(F259="","",IF(TODAY()&lt;D259,"Başlamadı",IF(TODAY()&gt;F259,"Bitti",IF(F259-TODAY()&lt;=7,"Bitiyor","Aktif"))))</f>
        <v/>
      </c>
      <c r="K259" s="19" t="str">
        <f aca="false">IF(OR(J259="Aktif",J259="Bitiyor"),F259+ROW()/1000000,"")</f>
        <v/>
      </c>
    </row>
    <row r="260" customFormat="false" ht="15" hidden="false" customHeight="false" outlineLevel="0" collapsed="false">
      <c r="A260" s="12"/>
      <c r="B260" s="12"/>
      <c r="C260" s="13"/>
      <c r="D260" s="14"/>
      <c r="E260" s="15"/>
      <c r="F260" s="16" t="str">
        <f aca="false">IF(OR(C260="",D260=""),"",EDATE(D260,IFERROR(INDEX(Paketler!$B$5:$B$24,MATCH(C260,Paketler!$A$5:$A$24,0)),0))-1)</f>
        <v/>
      </c>
      <c r="G260" s="17" t="str">
        <f aca="false">IF(F260="","",IFERROR(INDEX(Paketler!$C$5:$C$24,MATCH(C260,Paketler!$A$5:$A$24,0)),0))</f>
        <v/>
      </c>
      <c r="H260" s="17" t="str">
        <f aca="false">IF(F260="","",G260-E260)</f>
        <v/>
      </c>
      <c r="I260" s="18" t="str">
        <f aca="true">IF(F260="","",F260-TODAY())</f>
        <v/>
      </c>
      <c r="J260" s="19" t="str">
        <f aca="true">IF(F260="","",IF(TODAY()&lt;D260,"Başlamadı",IF(TODAY()&gt;F260,"Bitti",IF(F260-TODAY()&lt;=7,"Bitiyor","Aktif"))))</f>
        <v/>
      </c>
      <c r="K260" s="19" t="str">
        <f aca="false">IF(OR(J260="Aktif",J260="Bitiyor"),F260+ROW()/1000000,"")</f>
        <v/>
      </c>
    </row>
    <row r="261" customFormat="false" ht="15" hidden="false" customHeight="false" outlineLevel="0" collapsed="false">
      <c r="A261" s="12"/>
      <c r="B261" s="12"/>
      <c r="C261" s="13"/>
      <c r="D261" s="14"/>
      <c r="E261" s="15"/>
      <c r="F261" s="16" t="str">
        <f aca="false">IF(OR(C261="",D261=""),"",EDATE(D261,IFERROR(INDEX(Paketler!$B$5:$B$24,MATCH(C261,Paketler!$A$5:$A$24,0)),0))-1)</f>
        <v/>
      </c>
      <c r="G261" s="17" t="str">
        <f aca="false">IF(F261="","",IFERROR(INDEX(Paketler!$C$5:$C$24,MATCH(C261,Paketler!$A$5:$A$24,0)),0))</f>
        <v/>
      </c>
      <c r="H261" s="17" t="str">
        <f aca="false">IF(F261="","",G261-E261)</f>
        <v/>
      </c>
      <c r="I261" s="18" t="str">
        <f aca="true">IF(F261="","",F261-TODAY())</f>
        <v/>
      </c>
      <c r="J261" s="19" t="str">
        <f aca="true">IF(F261="","",IF(TODAY()&lt;D261,"Başlamadı",IF(TODAY()&gt;F261,"Bitti",IF(F261-TODAY()&lt;=7,"Bitiyor","Aktif"))))</f>
        <v/>
      </c>
      <c r="K261" s="19" t="str">
        <f aca="false">IF(OR(J261="Aktif",J261="Bitiyor"),F261+ROW()/1000000,"")</f>
        <v/>
      </c>
    </row>
    <row r="262" customFormat="false" ht="15" hidden="false" customHeight="false" outlineLevel="0" collapsed="false">
      <c r="A262" s="12"/>
      <c r="B262" s="12"/>
      <c r="C262" s="13"/>
      <c r="D262" s="14"/>
      <c r="E262" s="15"/>
      <c r="F262" s="16" t="str">
        <f aca="false">IF(OR(C262="",D262=""),"",EDATE(D262,IFERROR(INDEX(Paketler!$B$5:$B$24,MATCH(C262,Paketler!$A$5:$A$24,0)),0))-1)</f>
        <v/>
      </c>
      <c r="G262" s="17" t="str">
        <f aca="false">IF(F262="","",IFERROR(INDEX(Paketler!$C$5:$C$24,MATCH(C262,Paketler!$A$5:$A$24,0)),0))</f>
        <v/>
      </c>
      <c r="H262" s="17" t="str">
        <f aca="false">IF(F262="","",G262-E262)</f>
        <v/>
      </c>
      <c r="I262" s="18" t="str">
        <f aca="true">IF(F262="","",F262-TODAY())</f>
        <v/>
      </c>
      <c r="J262" s="19" t="str">
        <f aca="true">IF(F262="","",IF(TODAY()&lt;D262,"Başlamadı",IF(TODAY()&gt;F262,"Bitti",IF(F262-TODAY()&lt;=7,"Bitiyor","Aktif"))))</f>
        <v/>
      </c>
      <c r="K262" s="19" t="str">
        <f aca="false">IF(OR(J262="Aktif",J262="Bitiyor"),F262+ROW()/1000000,"")</f>
        <v/>
      </c>
    </row>
    <row r="263" customFormat="false" ht="15" hidden="false" customHeight="false" outlineLevel="0" collapsed="false">
      <c r="A263" s="12"/>
      <c r="B263" s="12"/>
      <c r="C263" s="13"/>
      <c r="D263" s="14"/>
      <c r="E263" s="15"/>
      <c r="F263" s="16" t="str">
        <f aca="false">IF(OR(C263="",D263=""),"",EDATE(D263,IFERROR(INDEX(Paketler!$B$5:$B$24,MATCH(C263,Paketler!$A$5:$A$24,0)),0))-1)</f>
        <v/>
      </c>
      <c r="G263" s="17" t="str">
        <f aca="false">IF(F263="","",IFERROR(INDEX(Paketler!$C$5:$C$24,MATCH(C263,Paketler!$A$5:$A$24,0)),0))</f>
        <v/>
      </c>
      <c r="H263" s="17" t="str">
        <f aca="false">IF(F263="","",G263-E263)</f>
        <v/>
      </c>
      <c r="I263" s="18" t="str">
        <f aca="true">IF(F263="","",F263-TODAY())</f>
        <v/>
      </c>
      <c r="J263" s="19" t="str">
        <f aca="true">IF(F263="","",IF(TODAY()&lt;D263,"Başlamadı",IF(TODAY()&gt;F263,"Bitti",IF(F263-TODAY()&lt;=7,"Bitiyor","Aktif"))))</f>
        <v/>
      </c>
      <c r="K263" s="19" t="str">
        <f aca="false">IF(OR(J263="Aktif",J263="Bitiyor"),F263+ROW()/1000000,"")</f>
        <v/>
      </c>
    </row>
    <row r="264" customFormat="false" ht="15" hidden="false" customHeight="false" outlineLevel="0" collapsed="false">
      <c r="A264" s="12"/>
      <c r="B264" s="12"/>
      <c r="C264" s="13"/>
      <c r="D264" s="14"/>
      <c r="E264" s="15"/>
      <c r="F264" s="16" t="str">
        <f aca="false">IF(OR(C264="",D264=""),"",EDATE(D264,IFERROR(INDEX(Paketler!$B$5:$B$24,MATCH(C264,Paketler!$A$5:$A$24,0)),0))-1)</f>
        <v/>
      </c>
      <c r="G264" s="17" t="str">
        <f aca="false">IF(F264="","",IFERROR(INDEX(Paketler!$C$5:$C$24,MATCH(C264,Paketler!$A$5:$A$24,0)),0))</f>
        <v/>
      </c>
      <c r="H264" s="17" t="str">
        <f aca="false">IF(F264="","",G264-E264)</f>
        <v/>
      </c>
      <c r="I264" s="18" t="str">
        <f aca="true">IF(F264="","",F264-TODAY())</f>
        <v/>
      </c>
      <c r="J264" s="19" t="str">
        <f aca="true">IF(F264="","",IF(TODAY()&lt;D264,"Başlamadı",IF(TODAY()&gt;F264,"Bitti",IF(F264-TODAY()&lt;=7,"Bitiyor","Aktif"))))</f>
        <v/>
      </c>
      <c r="K264" s="19" t="str">
        <f aca="false">IF(OR(J264="Aktif",J264="Bitiyor"),F264+ROW()/1000000,"")</f>
        <v/>
      </c>
    </row>
    <row r="265" customFormat="false" ht="15" hidden="false" customHeight="false" outlineLevel="0" collapsed="false">
      <c r="A265" s="12"/>
      <c r="B265" s="12"/>
      <c r="C265" s="13"/>
      <c r="D265" s="14"/>
      <c r="E265" s="15"/>
      <c r="F265" s="16" t="str">
        <f aca="false">IF(OR(C265="",D265=""),"",EDATE(D265,IFERROR(INDEX(Paketler!$B$5:$B$24,MATCH(C265,Paketler!$A$5:$A$24,0)),0))-1)</f>
        <v/>
      </c>
      <c r="G265" s="17" t="str">
        <f aca="false">IF(F265="","",IFERROR(INDEX(Paketler!$C$5:$C$24,MATCH(C265,Paketler!$A$5:$A$24,0)),0))</f>
        <v/>
      </c>
      <c r="H265" s="17" t="str">
        <f aca="false">IF(F265="","",G265-E265)</f>
        <v/>
      </c>
      <c r="I265" s="18" t="str">
        <f aca="true">IF(F265="","",F265-TODAY())</f>
        <v/>
      </c>
      <c r="J265" s="19" t="str">
        <f aca="true">IF(F265="","",IF(TODAY()&lt;D265,"Başlamadı",IF(TODAY()&gt;F265,"Bitti",IF(F265-TODAY()&lt;=7,"Bitiyor","Aktif"))))</f>
        <v/>
      </c>
      <c r="K265" s="19" t="str">
        <f aca="false">IF(OR(J265="Aktif",J265="Bitiyor"),F265+ROW()/1000000,"")</f>
        <v/>
      </c>
    </row>
    <row r="266" customFormat="false" ht="15" hidden="false" customHeight="false" outlineLevel="0" collapsed="false">
      <c r="A266" s="12"/>
      <c r="B266" s="12"/>
      <c r="C266" s="13"/>
      <c r="D266" s="14"/>
      <c r="E266" s="15"/>
      <c r="F266" s="16" t="str">
        <f aca="false">IF(OR(C266="",D266=""),"",EDATE(D266,IFERROR(INDEX(Paketler!$B$5:$B$24,MATCH(C266,Paketler!$A$5:$A$24,0)),0))-1)</f>
        <v/>
      </c>
      <c r="G266" s="17" t="str">
        <f aca="false">IF(F266="","",IFERROR(INDEX(Paketler!$C$5:$C$24,MATCH(C266,Paketler!$A$5:$A$24,0)),0))</f>
        <v/>
      </c>
      <c r="H266" s="17" t="str">
        <f aca="false">IF(F266="","",G266-E266)</f>
        <v/>
      </c>
      <c r="I266" s="18" t="str">
        <f aca="true">IF(F266="","",F266-TODAY())</f>
        <v/>
      </c>
      <c r="J266" s="19" t="str">
        <f aca="true">IF(F266="","",IF(TODAY()&lt;D266,"Başlamadı",IF(TODAY()&gt;F266,"Bitti",IF(F266-TODAY()&lt;=7,"Bitiyor","Aktif"))))</f>
        <v/>
      </c>
      <c r="K266" s="19" t="str">
        <f aca="false">IF(OR(J266="Aktif",J266="Bitiyor"),F266+ROW()/1000000,"")</f>
        <v/>
      </c>
    </row>
    <row r="267" customFormat="false" ht="15" hidden="false" customHeight="false" outlineLevel="0" collapsed="false">
      <c r="A267" s="12"/>
      <c r="B267" s="12"/>
      <c r="C267" s="13"/>
      <c r="D267" s="14"/>
      <c r="E267" s="15"/>
      <c r="F267" s="16" t="str">
        <f aca="false">IF(OR(C267="",D267=""),"",EDATE(D267,IFERROR(INDEX(Paketler!$B$5:$B$24,MATCH(C267,Paketler!$A$5:$A$24,0)),0))-1)</f>
        <v/>
      </c>
      <c r="G267" s="17" t="str">
        <f aca="false">IF(F267="","",IFERROR(INDEX(Paketler!$C$5:$C$24,MATCH(C267,Paketler!$A$5:$A$24,0)),0))</f>
        <v/>
      </c>
      <c r="H267" s="17" t="str">
        <f aca="false">IF(F267="","",G267-E267)</f>
        <v/>
      </c>
      <c r="I267" s="18" t="str">
        <f aca="true">IF(F267="","",F267-TODAY())</f>
        <v/>
      </c>
      <c r="J267" s="19" t="str">
        <f aca="true">IF(F267="","",IF(TODAY()&lt;D267,"Başlamadı",IF(TODAY()&gt;F267,"Bitti",IF(F267-TODAY()&lt;=7,"Bitiyor","Aktif"))))</f>
        <v/>
      </c>
      <c r="K267" s="19" t="str">
        <f aca="false">IF(OR(J267="Aktif",J267="Bitiyor"),F267+ROW()/1000000,"")</f>
        <v/>
      </c>
    </row>
    <row r="268" customFormat="false" ht="15" hidden="false" customHeight="false" outlineLevel="0" collapsed="false">
      <c r="A268" s="12"/>
      <c r="B268" s="12"/>
      <c r="C268" s="13"/>
      <c r="D268" s="14"/>
      <c r="E268" s="15"/>
      <c r="F268" s="16" t="str">
        <f aca="false">IF(OR(C268="",D268=""),"",EDATE(D268,IFERROR(INDEX(Paketler!$B$5:$B$24,MATCH(C268,Paketler!$A$5:$A$24,0)),0))-1)</f>
        <v/>
      </c>
      <c r="G268" s="17" t="str">
        <f aca="false">IF(F268="","",IFERROR(INDEX(Paketler!$C$5:$C$24,MATCH(C268,Paketler!$A$5:$A$24,0)),0))</f>
        <v/>
      </c>
      <c r="H268" s="17" t="str">
        <f aca="false">IF(F268="","",G268-E268)</f>
        <v/>
      </c>
      <c r="I268" s="18" t="str">
        <f aca="true">IF(F268="","",F268-TODAY())</f>
        <v/>
      </c>
      <c r="J268" s="19" t="str">
        <f aca="true">IF(F268="","",IF(TODAY()&lt;D268,"Başlamadı",IF(TODAY()&gt;F268,"Bitti",IF(F268-TODAY()&lt;=7,"Bitiyor","Aktif"))))</f>
        <v/>
      </c>
      <c r="K268" s="19" t="str">
        <f aca="false">IF(OR(J268="Aktif",J268="Bitiyor"),F268+ROW()/1000000,"")</f>
        <v/>
      </c>
    </row>
    <row r="269" customFormat="false" ht="15" hidden="false" customHeight="false" outlineLevel="0" collapsed="false">
      <c r="A269" s="12"/>
      <c r="B269" s="12"/>
      <c r="C269" s="13"/>
      <c r="D269" s="14"/>
      <c r="E269" s="15"/>
      <c r="F269" s="16" t="str">
        <f aca="false">IF(OR(C269="",D269=""),"",EDATE(D269,IFERROR(INDEX(Paketler!$B$5:$B$24,MATCH(C269,Paketler!$A$5:$A$24,0)),0))-1)</f>
        <v/>
      </c>
      <c r="G269" s="17" t="str">
        <f aca="false">IF(F269="","",IFERROR(INDEX(Paketler!$C$5:$C$24,MATCH(C269,Paketler!$A$5:$A$24,0)),0))</f>
        <v/>
      </c>
      <c r="H269" s="17" t="str">
        <f aca="false">IF(F269="","",G269-E269)</f>
        <v/>
      </c>
      <c r="I269" s="18" t="str">
        <f aca="true">IF(F269="","",F269-TODAY())</f>
        <v/>
      </c>
      <c r="J269" s="19" t="str">
        <f aca="true">IF(F269="","",IF(TODAY()&lt;D269,"Başlamadı",IF(TODAY()&gt;F269,"Bitti",IF(F269-TODAY()&lt;=7,"Bitiyor","Aktif"))))</f>
        <v/>
      </c>
      <c r="K269" s="19" t="str">
        <f aca="false">IF(OR(J269="Aktif",J269="Bitiyor"),F269+ROW()/1000000,"")</f>
        <v/>
      </c>
    </row>
    <row r="270" customFormat="false" ht="15" hidden="false" customHeight="false" outlineLevel="0" collapsed="false">
      <c r="A270" s="12"/>
      <c r="B270" s="12"/>
      <c r="C270" s="13"/>
      <c r="D270" s="14"/>
      <c r="E270" s="15"/>
      <c r="F270" s="16" t="str">
        <f aca="false">IF(OR(C270="",D270=""),"",EDATE(D270,IFERROR(INDEX(Paketler!$B$5:$B$24,MATCH(C270,Paketler!$A$5:$A$24,0)),0))-1)</f>
        <v/>
      </c>
      <c r="G270" s="17" t="str">
        <f aca="false">IF(F270="","",IFERROR(INDEX(Paketler!$C$5:$C$24,MATCH(C270,Paketler!$A$5:$A$24,0)),0))</f>
        <v/>
      </c>
      <c r="H270" s="17" t="str">
        <f aca="false">IF(F270="","",G270-E270)</f>
        <v/>
      </c>
      <c r="I270" s="18" t="str">
        <f aca="true">IF(F270="","",F270-TODAY())</f>
        <v/>
      </c>
      <c r="J270" s="19" t="str">
        <f aca="true">IF(F270="","",IF(TODAY()&lt;D270,"Başlamadı",IF(TODAY()&gt;F270,"Bitti",IF(F270-TODAY()&lt;=7,"Bitiyor","Aktif"))))</f>
        <v/>
      </c>
      <c r="K270" s="19" t="str">
        <f aca="false">IF(OR(J270="Aktif",J270="Bitiyor"),F270+ROW()/1000000,"")</f>
        <v/>
      </c>
    </row>
    <row r="271" customFormat="false" ht="15" hidden="false" customHeight="false" outlineLevel="0" collapsed="false">
      <c r="A271" s="12"/>
      <c r="B271" s="12"/>
      <c r="C271" s="13"/>
      <c r="D271" s="14"/>
      <c r="E271" s="15"/>
      <c r="F271" s="16" t="str">
        <f aca="false">IF(OR(C271="",D271=""),"",EDATE(D271,IFERROR(INDEX(Paketler!$B$5:$B$24,MATCH(C271,Paketler!$A$5:$A$24,0)),0))-1)</f>
        <v/>
      </c>
      <c r="G271" s="17" t="str">
        <f aca="false">IF(F271="","",IFERROR(INDEX(Paketler!$C$5:$C$24,MATCH(C271,Paketler!$A$5:$A$24,0)),0))</f>
        <v/>
      </c>
      <c r="H271" s="17" t="str">
        <f aca="false">IF(F271="","",G271-E271)</f>
        <v/>
      </c>
      <c r="I271" s="18" t="str">
        <f aca="true">IF(F271="","",F271-TODAY())</f>
        <v/>
      </c>
      <c r="J271" s="19" t="str">
        <f aca="true">IF(F271="","",IF(TODAY()&lt;D271,"Başlamadı",IF(TODAY()&gt;F271,"Bitti",IF(F271-TODAY()&lt;=7,"Bitiyor","Aktif"))))</f>
        <v/>
      </c>
      <c r="K271" s="19" t="str">
        <f aca="false">IF(OR(J271="Aktif",J271="Bitiyor"),F271+ROW()/1000000,"")</f>
        <v/>
      </c>
    </row>
    <row r="272" customFormat="false" ht="15" hidden="false" customHeight="false" outlineLevel="0" collapsed="false">
      <c r="A272" s="12"/>
      <c r="B272" s="12"/>
      <c r="C272" s="13"/>
      <c r="D272" s="14"/>
      <c r="E272" s="15"/>
      <c r="F272" s="16" t="str">
        <f aca="false">IF(OR(C272="",D272=""),"",EDATE(D272,IFERROR(INDEX(Paketler!$B$5:$B$24,MATCH(C272,Paketler!$A$5:$A$24,0)),0))-1)</f>
        <v/>
      </c>
      <c r="G272" s="17" t="str">
        <f aca="false">IF(F272="","",IFERROR(INDEX(Paketler!$C$5:$C$24,MATCH(C272,Paketler!$A$5:$A$24,0)),0))</f>
        <v/>
      </c>
      <c r="H272" s="17" t="str">
        <f aca="false">IF(F272="","",G272-E272)</f>
        <v/>
      </c>
      <c r="I272" s="18" t="str">
        <f aca="true">IF(F272="","",F272-TODAY())</f>
        <v/>
      </c>
      <c r="J272" s="19" t="str">
        <f aca="true">IF(F272="","",IF(TODAY()&lt;D272,"Başlamadı",IF(TODAY()&gt;F272,"Bitti",IF(F272-TODAY()&lt;=7,"Bitiyor","Aktif"))))</f>
        <v/>
      </c>
      <c r="K272" s="19" t="str">
        <f aca="false">IF(OR(J272="Aktif",J272="Bitiyor"),F272+ROW()/1000000,"")</f>
        <v/>
      </c>
    </row>
    <row r="273" customFormat="false" ht="15" hidden="false" customHeight="false" outlineLevel="0" collapsed="false">
      <c r="A273" s="12"/>
      <c r="B273" s="12"/>
      <c r="C273" s="13"/>
      <c r="D273" s="14"/>
      <c r="E273" s="15"/>
      <c r="F273" s="16" t="str">
        <f aca="false">IF(OR(C273="",D273=""),"",EDATE(D273,IFERROR(INDEX(Paketler!$B$5:$B$24,MATCH(C273,Paketler!$A$5:$A$24,0)),0))-1)</f>
        <v/>
      </c>
      <c r="G273" s="17" t="str">
        <f aca="false">IF(F273="","",IFERROR(INDEX(Paketler!$C$5:$C$24,MATCH(C273,Paketler!$A$5:$A$24,0)),0))</f>
        <v/>
      </c>
      <c r="H273" s="17" t="str">
        <f aca="false">IF(F273="","",G273-E273)</f>
        <v/>
      </c>
      <c r="I273" s="18" t="str">
        <f aca="true">IF(F273="","",F273-TODAY())</f>
        <v/>
      </c>
      <c r="J273" s="19" t="str">
        <f aca="true">IF(F273="","",IF(TODAY()&lt;D273,"Başlamadı",IF(TODAY()&gt;F273,"Bitti",IF(F273-TODAY()&lt;=7,"Bitiyor","Aktif"))))</f>
        <v/>
      </c>
      <c r="K273" s="19" t="str">
        <f aca="false">IF(OR(J273="Aktif",J273="Bitiyor"),F273+ROW()/1000000,"")</f>
        <v/>
      </c>
    </row>
    <row r="274" customFormat="false" ht="15" hidden="false" customHeight="false" outlineLevel="0" collapsed="false">
      <c r="A274" s="12"/>
      <c r="B274" s="12"/>
      <c r="C274" s="13"/>
      <c r="D274" s="14"/>
      <c r="E274" s="15"/>
      <c r="F274" s="16" t="str">
        <f aca="false">IF(OR(C274="",D274=""),"",EDATE(D274,IFERROR(INDEX(Paketler!$B$5:$B$24,MATCH(C274,Paketler!$A$5:$A$24,0)),0))-1)</f>
        <v/>
      </c>
      <c r="G274" s="17" t="str">
        <f aca="false">IF(F274="","",IFERROR(INDEX(Paketler!$C$5:$C$24,MATCH(C274,Paketler!$A$5:$A$24,0)),0))</f>
        <v/>
      </c>
      <c r="H274" s="17" t="str">
        <f aca="false">IF(F274="","",G274-E274)</f>
        <v/>
      </c>
      <c r="I274" s="18" t="str">
        <f aca="true">IF(F274="","",F274-TODAY())</f>
        <v/>
      </c>
      <c r="J274" s="19" t="str">
        <f aca="true">IF(F274="","",IF(TODAY()&lt;D274,"Başlamadı",IF(TODAY()&gt;F274,"Bitti",IF(F274-TODAY()&lt;=7,"Bitiyor","Aktif"))))</f>
        <v/>
      </c>
      <c r="K274" s="19" t="str">
        <f aca="false">IF(OR(J274="Aktif",J274="Bitiyor"),F274+ROW()/1000000,"")</f>
        <v/>
      </c>
    </row>
    <row r="275" customFormat="false" ht="15" hidden="false" customHeight="false" outlineLevel="0" collapsed="false">
      <c r="A275" s="12"/>
      <c r="B275" s="12"/>
      <c r="C275" s="13"/>
      <c r="D275" s="14"/>
      <c r="E275" s="15"/>
      <c r="F275" s="16" t="str">
        <f aca="false">IF(OR(C275="",D275=""),"",EDATE(D275,IFERROR(INDEX(Paketler!$B$5:$B$24,MATCH(C275,Paketler!$A$5:$A$24,0)),0))-1)</f>
        <v/>
      </c>
      <c r="G275" s="17" t="str">
        <f aca="false">IF(F275="","",IFERROR(INDEX(Paketler!$C$5:$C$24,MATCH(C275,Paketler!$A$5:$A$24,0)),0))</f>
        <v/>
      </c>
      <c r="H275" s="17" t="str">
        <f aca="false">IF(F275="","",G275-E275)</f>
        <v/>
      </c>
      <c r="I275" s="18" t="str">
        <f aca="true">IF(F275="","",F275-TODAY())</f>
        <v/>
      </c>
      <c r="J275" s="19" t="str">
        <f aca="true">IF(F275="","",IF(TODAY()&lt;D275,"Başlamadı",IF(TODAY()&gt;F275,"Bitti",IF(F275-TODAY()&lt;=7,"Bitiyor","Aktif"))))</f>
        <v/>
      </c>
      <c r="K275" s="19" t="str">
        <f aca="false">IF(OR(J275="Aktif",J275="Bitiyor"),F275+ROW()/1000000,"")</f>
        <v/>
      </c>
    </row>
    <row r="276" customFormat="false" ht="15" hidden="false" customHeight="false" outlineLevel="0" collapsed="false">
      <c r="A276" s="12"/>
      <c r="B276" s="12"/>
      <c r="C276" s="13"/>
      <c r="D276" s="14"/>
      <c r="E276" s="15"/>
      <c r="F276" s="16" t="str">
        <f aca="false">IF(OR(C276="",D276=""),"",EDATE(D276,IFERROR(INDEX(Paketler!$B$5:$B$24,MATCH(C276,Paketler!$A$5:$A$24,0)),0))-1)</f>
        <v/>
      </c>
      <c r="G276" s="17" t="str">
        <f aca="false">IF(F276="","",IFERROR(INDEX(Paketler!$C$5:$C$24,MATCH(C276,Paketler!$A$5:$A$24,0)),0))</f>
        <v/>
      </c>
      <c r="H276" s="17" t="str">
        <f aca="false">IF(F276="","",G276-E276)</f>
        <v/>
      </c>
      <c r="I276" s="18" t="str">
        <f aca="true">IF(F276="","",F276-TODAY())</f>
        <v/>
      </c>
      <c r="J276" s="19" t="str">
        <f aca="true">IF(F276="","",IF(TODAY()&lt;D276,"Başlamadı",IF(TODAY()&gt;F276,"Bitti",IF(F276-TODAY()&lt;=7,"Bitiyor","Aktif"))))</f>
        <v/>
      </c>
      <c r="K276" s="19" t="str">
        <f aca="false">IF(OR(J276="Aktif",J276="Bitiyor"),F276+ROW()/1000000,"")</f>
        <v/>
      </c>
    </row>
    <row r="277" customFormat="false" ht="15" hidden="false" customHeight="false" outlineLevel="0" collapsed="false">
      <c r="A277" s="12"/>
      <c r="B277" s="12"/>
      <c r="C277" s="13"/>
      <c r="D277" s="14"/>
      <c r="E277" s="15"/>
      <c r="F277" s="16" t="str">
        <f aca="false">IF(OR(C277="",D277=""),"",EDATE(D277,IFERROR(INDEX(Paketler!$B$5:$B$24,MATCH(C277,Paketler!$A$5:$A$24,0)),0))-1)</f>
        <v/>
      </c>
      <c r="G277" s="17" t="str">
        <f aca="false">IF(F277="","",IFERROR(INDEX(Paketler!$C$5:$C$24,MATCH(C277,Paketler!$A$5:$A$24,0)),0))</f>
        <v/>
      </c>
      <c r="H277" s="17" t="str">
        <f aca="false">IF(F277="","",G277-E277)</f>
        <v/>
      </c>
      <c r="I277" s="18" t="str">
        <f aca="true">IF(F277="","",F277-TODAY())</f>
        <v/>
      </c>
      <c r="J277" s="19" t="str">
        <f aca="true">IF(F277="","",IF(TODAY()&lt;D277,"Başlamadı",IF(TODAY()&gt;F277,"Bitti",IF(F277-TODAY()&lt;=7,"Bitiyor","Aktif"))))</f>
        <v/>
      </c>
      <c r="K277" s="19" t="str">
        <f aca="false">IF(OR(J277="Aktif",J277="Bitiyor"),F277+ROW()/1000000,"")</f>
        <v/>
      </c>
    </row>
    <row r="278" customFormat="false" ht="15" hidden="false" customHeight="false" outlineLevel="0" collapsed="false">
      <c r="A278" s="12"/>
      <c r="B278" s="12"/>
      <c r="C278" s="13"/>
      <c r="D278" s="14"/>
      <c r="E278" s="15"/>
      <c r="F278" s="16" t="str">
        <f aca="false">IF(OR(C278="",D278=""),"",EDATE(D278,IFERROR(INDEX(Paketler!$B$5:$B$24,MATCH(C278,Paketler!$A$5:$A$24,0)),0))-1)</f>
        <v/>
      </c>
      <c r="G278" s="17" t="str">
        <f aca="false">IF(F278="","",IFERROR(INDEX(Paketler!$C$5:$C$24,MATCH(C278,Paketler!$A$5:$A$24,0)),0))</f>
        <v/>
      </c>
      <c r="H278" s="17" t="str">
        <f aca="false">IF(F278="","",G278-E278)</f>
        <v/>
      </c>
      <c r="I278" s="18" t="str">
        <f aca="true">IF(F278="","",F278-TODAY())</f>
        <v/>
      </c>
      <c r="J278" s="19" t="str">
        <f aca="true">IF(F278="","",IF(TODAY()&lt;D278,"Başlamadı",IF(TODAY()&gt;F278,"Bitti",IF(F278-TODAY()&lt;=7,"Bitiyor","Aktif"))))</f>
        <v/>
      </c>
      <c r="K278" s="19" t="str">
        <f aca="false">IF(OR(J278="Aktif",J278="Bitiyor"),F278+ROW()/1000000,"")</f>
        <v/>
      </c>
    </row>
    <row r="279" customFormat="false" ht="15" hidden="false" customHeight="false" outlineLevel="0" collapsed="false">
      <c r="A279" s="12"/>
      <c r="B279" s="12"/>
      <c r="C279" s="13"/>
      <c r="D279" s="14"/>
      <c r="E279" s="15"/>
      <c r="F279" s="16" t="str">
        <f aca="false">IF(OR(C279="",D279=""),"",EDATE(D279,IFERROR(INDEX(Paketler!$B$5:$B$24,MATCH(C279,Paketler!$A$5:$A$24,0)),0))-1)</f>
        <v/>
      </c>
      <c r="G279" s="17" t="str">
        <f aca="false">IF(F279="","",IFERROR(INDEX(Paketler!$C$5:$C$24,MATCH(C279,Paketler!$A$5:$A$24,0)),0))</f>
        <v/>
      </c>
      <c r="H279" s="17" t="str">
        <f aca="false">IF(F279="","",G279-E279)</f>
        <v/>
      </c>
      <c r="I279" s="18" t="str">
        <f aca="true">IF(F279="","",F279-TODAY())</f>
        <v/>
      </c>
      <c r="J279" s="19" t="str">
        <f aca="true">IF(F279="","",IF(TODAY()&lt;D279,"Başlamadı",IF(TODAY()&gt;F279,"Bitti",IF(F279-TODAY()&lt;=7,"Bitiyor","Aktif"))))</f>
        <v/>
      </c>
      <c r="K279" s="19" t="str">
        <f aca="false">IF(OR(J279="Aktif",J279="Bitiyor"),F279+ROW()/1000000,"")</f>
        <v/>
      </c>
    </row>
    <row r="280" customFormat="false" ht="15" hidden="false" customHeight="false" outlineLevel="0" collapsed="false">
      <c r="A280" s="12"/>
      <c r="B280" s="12"/>
      <c r="C280" s="13"/>
      <c r="D280" s="14"/>
      <c r="E280" s="15"/>
      <c r="F280" s="16" t="str">
        <f aca="false">IF(OR(C280="",D280=""),"",EDATE(D280,IFERROR(INDEX(Paketler!$B$5:$B$24,MATCH(C280,Paketler!$A$5:$A$24,0)),0))-1)</f>
        <v/>
      </c>
      <c r="G280" s="17" t="str">
        <f aca="false">IF(F280="","",IFERROR(INDEX(Paketler!$C$5:$C$24,MATCH(C280,Paketler!$A$5:$A$24,0)),0))</f>
        <v/>
      </c>
      <c r="H280" s="17" t="str">
        <f aca="false">IF(F280="","",G280-E280)</f>
        <v/>
      </c>
      <c r="I280" s="18" t="str">
        <f aca="true">IF(F280="","",F280-TODAY())</f>
        <v/>
      </c>
      <c r="J280" s="19" t="str">
        <f aca="true">IF(F280="","",IF(TODAY()&lt;D280,"Başlamadı",IF(TODAY()&gt;F280,"Bitti",IF(F280-TODAY()&lt;=7,"Bitiyor","Aktif"))))</f>
        <v/>
      </c>
      <c r="K280" s="19" t="str">
        <f aca="false">IF(OR(J280="Aktif",J280="Bitiyor"),F280+ROW()/1000000,"")</f>
        <v/>
      </c>
    </row>
    <row r="281" customFormat="false" ht="15" hidden="false" customHeight="false" outlineLevel="0" collapsed="false">
      <c r="A281" s="12"/>
      <c r="B281" s="12"/>
      <c r="C281" s="13"/>
      <c r="D281" s="14"/>
      <c r="E281" s="15"/>
      <c r="F281" s="16" t="str">
        <f aca="false">IF(OR(C281="",D281=""),"",EDATE(D281,IFERROR(INDEX(Paketler!$B$5:$B$24,MATCH(C281,Paketler!$A$5:$A$24,0)),0))-1)</f>
        <v/>
      </c>
      <c r="G281" s="17" t="str">
        <f aca="false">IF(F281="","",IFERROR(INDEX(Paketler!$C$5:$C$24,MATCH(C281,Paketler!$A$5:$A$24,0)),0))</f>
        <v/>
      </c>
      <c r="H281" s="17" t="str">
        <f aca="false">IF(F281="","",G281-E281)</f>
        <v/>
      </c>
      <c r="I281" s="18" t="str">
        <f aca="true">IF(F281="","",F281-TODAY())</f>
        <v/>
      </c>
      <c r="J281" s="19" t="str">
        <f aca="true">IF(F281="","",IF(TODAY()&lt;D281,"Başlamadı",IF(TODAY()&gt;F281,"Bitti",IF(F281-TODAY()&lt;=7,"Bitiyor","Aktif"))))</f>
        <v/>
      </c>
      <c r="K281" s="19" t="str">
        <f aca="false">IF(OR(J281="Aktif",J281="Bitiyor"),F281+ROW()/1000000,"")</f>
        <v/>
      </c>
    </row>
    <row r="282" customFormat="false" ht="15" hidden="false" customHeight="false" outlineLevel="0" collapsed="false">
      <c r="A282" s="12"/>
      <c r="B282" s="12"/>
      <c r="C282" s="13"/>
      <c r="D282" s="14"/>
      <c r="E282" s="15"/>
      <c r="F282" s="16" t="str">
        <f aca="false">IF(OR(C282="",D282=""),"",EDATE(D282,IFERROR(INDEX(Paketler!$B$5:$B$24,MATCH(C282,Paketler!$A$5:$A$24,0)),0))-1)</f>
        <v/>
      </c>
      <c r="G282" s="17" t="str">
        <f aca="false">IF(F282="","",IFERROR(INDEX(Paketler!$C$5:$C$24,MATCH(C282,Paketler!$A$5:$A$24,0)),0))</f>
        <v/>
      </c>
      <c r="H282" s="17" t="str">
        <f aca="false">IF(F282="","",G282-E282)</f>
        <v/>
      </c>
      <c r="I282" s="18" t="str">
        <f aca="true">IF(F282="","",F282-TODAY())</f>
        <v/>
      </c>
      <c r="J282" s="19" t="str">
        <f aca="true">IF(F282="","",IF(TODAY()&lt;D282,"Başlamadı",IF(TODAY()&gt;F282,"Bitti",IF(F282-TODAY()&lt;=7,"Bitiyor","Aktif"))))</f>
        <v/>
      </c>
      <c r="K282" s="19" t="str">
        <f aca="false">IF(OR(J282="Aktif",J282="Bitiyor"),F282+ROW()/1000000,"")</f>
        <v/>
      </c>
    </row>
    <row r="283" customFormat="false" ht="15" hidden="false" customHeight="false" outlineLevel="0" collapsed="false">
      <c r="A283" s="12"/>
      <c r="B283" s="12"/>
      <c r="C283" s="13"/>
      <c r="D283" s="14"/>
      <c r="E283" s="15"/>
      <c r="F283" s="16" t="str">
        <f aca="false">IF(OR(C283="",D283=""),"",EDATE(D283,IFERROR(INDEX(Paketler!$B$5:$B$24,MATCH(C283,Paketler!$A$5:$A$24,0)),0))-1)</f>
        <v/>
      </c>
      <c r="G283" s="17" t="str">
        <f aca="false">IF(F283="","",IFERROR(INDEX(Paketler!$C$5:$C$24,MATCH(C283,Paketler!$A$5:$A$24,0)),0))</f>
        <v/>
      </c>
      <c r="H283" s="17" t="str">
        <f aca="false">IF(F283="","",G283-E283)</f>
        <v/>
      </c>
      <c r="I283" s="18" t="str">
        <f aca="true">IF(F283="","",F283-TODAY())</f>
        <v/>
      </c>
      <c r="J283" s="19" t="str">
        <f aca="true">IF(F283="","",IF(TODAY()&lt;D283,"Başlamadı",IF(TODAY()&gt;F283,"Bitti",IF(F283-TODAY()&lt;=7,"Bitiyor","Aktif"))))</f>
        <v/>
      </c>
      <c r="K283" s="19" t="str">
        <f aca="false">IF(OR(J283="Aktif",J283="Bitiyor"),F283+ROW()/1000000,"")</f>
        <v/>
      </c>
    </row>
    <row r="284" customFormat="false" ht="15" hidden="false" customHeight="false" outlineLevel="0" collapsed="false">
      <c r="A284" s="12"/>
      <c r="B284" s="12"/>
      <c r="C284" s="13"/>
      <c r="D284" s="14"/>
      <c r="E284" s="15"/>
      <c r="F284" s="16" t="str">
        <f aca="false">IF(OR(C284="",D284=""),"",EDATE(D284,IFERROR(INDEX(Paketler!$B$5:$B$24,MATCH(C284,Paketler!$A$5:$A$24,0)),0))-1)</f>
        <v/>
      </c>
      <c r="G284" s="17" t="str">
        <f aca="false">IF(F284="","",IFERROR(INDEX(Paketler!$C$5:$C$24,MATCH(C284,Paketler!$A$5:$A$24,0)),0))</f>
        <v/>
      </c>
      <c r="H284" s="17" t="str">
        <f aca="false">IF(F284="","",G284-E284)</f>
        <v/>
      </c>
      <c r="I284" s="18" t="str">
        <f aca="true">IF(F284="","",F284-TODAY())</f>
        <v/>
      </c>
      <c r="J284" s="19" t="str">
        <f aca="true">IF(F284="","",IF(TODAY()&lt;D284,"Başlamadı",IF(TODAY()&gt;F284,"Bitti",IF(F284-TODAY()&lt;=7,"Bitiyor","Aktif"))))</f>
        <v/>
      </c>
      <c r="K284" s="19" t="str">
        <f aca="false">IF(OR(J284="Aktif",J284="Bitiyor"),F284+ROW()/1000000,"")</f>
        <v/>
      </c>
    </row>
    <row r="285" customFormat="false" ht="15" hidden="false" customHeight="false" outlineLevel="0" collapsed="false">
      <c r="A285" s="12"/>
      <c r="B285" s="12"/>
      <c r="C285" s="13"/>
      <c r="D285" s="14"/>
      <c r="E285" s="15"/>
      <c r="F285" s="16" t="str">
        <f aca="false">IF(OR(C285="",D285=""),"",EDATE(D285,IFERROR(INDEX(Paketler!$B$5:$B$24,MATCH(C285,Paketler!$A$5:$A$24,0)),0))-1)</f>
        <v/>
      </c>
      <c r="G285" s="17" t="str">
        <f aca="false">IF(F285="","",IFERROR(INDEX(Paketler!$C$5:$C$24,MATCH(C285,Paketler!$A$5:$A$24,0)),0))</f>
        <v/>
      </c>
      <c r="H285" s="17" t="str">
        <f aca="false">IF(F285="","",G285-E285)</f>
        <v/>
      </c>
      <c r="I285" s="18" t="str">
        <f aca="true">IF(F285="","",F285-TODAY())</f>
        <v/>
      </c>
      <c r="J285" s="19" t="str">
        <f aca="true">IF(F285="","",IF(TODAY()&lt;D285,"Başlamadı",IF(TODAY()&gt;F285,"Bitti",IF(F285-TODAY()&lt;=7,"Bitiyor","Aktif"))))</f>
        <v/>
      </c>
      <c r="K285" s="19" t="str">
        <f aca="false">IF(OR(J285="Aktif",J285="Bitiyor"),F285+ROW()/1000000,"")</f>
        <v/>
      </c>
    </row>
    <row r="286" customFormat="false" ht="15" hidden="false" customHeight="false" outlineLevel="0" collapsed="false">
      <c r="A286" s="12"/>
      <c r="B286" s="12"/>
      <c r="C286" s="13"/>
      <c r="D286" s="14"/>
      <c r="E286" s="15"/>
      <c r="F286" s="16" t="str">
        <f aca="false">IF(OR(C286="",D286=""),"",EDATE(D286,IFERROR(INDEX(Paketler!$B$5:$B$24,MATCH(C286,Paketler!$A$5:$A$24,0)),0))-1)</f>
        <v/>
      </c>
      <c r="G286" s="17" t="str">
        <f aca="false">IF(F286="","",IFERROR(INDEX(Paketler!$C$5:$C$24,MATCH(C286,Paketler!$A$5:$A$24,0)),0))</f>
        <v/>
      </c>
      <c r="H286" s="17" t="str">
        <f aca="false">IF(F286="","",G286-E286)</f>
        <v/>
      </c>
      <c r="I286" s="18" t="str">
        <f aca="true">IF(F286="","",F286-TODAY())</f>
        <v/>
      </c>
      <c r="J286" s="19" t="str">
        <f aca="true">IF(F286="","",IF(TODAY()&lt;D286,"Başlamadı",IF(TODAY()&gt;F286,"Bitti",IF(F286-TODAY()&lt;=7,"Bitiyor","Aktif"))))</f>
        <v/>
      </c>
      <c r="K286" s="19" t="str">
        <f aca="false">IF(OR(J286="Aktif",J286="Bitiyor"),F286+ROW()/1000000,"")</f>
        <v/>
      </c>
    </row>
    <row r="287" customFormat="false" ht="15" hidden="false" customHeight="false" outlineLevel="0" collapsed="false">
      <c r="A287" s="12"/>
      <c r="B287" s="12"/>
      <c r="C287" s="13"/>
      <c r="D287" s="14"/>
      <c r="E287" s="15"/>
      <c r="F287" s="16" t="str">
        <f aca="false">IF(OR(C287="",D287=""),"",EDATE(D287,IFERROR(INDEX(Paketler!$B$5:$B$24,MATCH(C287,Paketler!$A$5:$A$24,0)),0))-1)</f>
        <v/>
      </c>
      <c r="G287" s="17" t="str">
        <f aca="false">IF(F287="","",IFERROR(INDEX(Paketler!$C$5:$C$24,MATCH(C287,Paketler!$A$5:$A$24,0)),0))</f>
        <v/>
      </c>
      <c r="H287" s="17" t="str">
        <f aca="false">IF(F287="","",G287-E287)</f>
        <v/>
      </c>
      <c r="I287" s="18" t="str">
        <f aca="true">IF(F287="","",F287-TODAY())</f>
        <v/>
      </c>
      <c r="J287" s="19" t="str">
        <f aca="true">IF(F287="","",IF(TODAY()&lt;D287,"Başlamadı",IF(TODAY()&gt;F287,"Bitti",IF(F287-TODAY()&lt;=7,"Bitiyor","Aktif"))))</f>
        <v/>
      </c>
      <c r="K287" s="19" t="str">
        <f aca="false">IF(OR(J287="Aktif",J287="Bitiyor"),F287+ROW()/1000000,"")</f>
        <v/>
      </c>
    </row>
    <row r="288" customFormat="false" ht="15" hidden="false" customHeight="false" outlineLevel="0" collapsed="false">
      <c r="A288" s="12"/>
      <c r="B288" s="12"/>
      <c r="C288" s="13"/>
      <c r="D288" s="14"/>
      <c r="E288" s="15"/>
      <c r="F288" s="16" t="str">
        <f aca="false">IF(OR(C288="",D288=""),"",EDATE(D288,IFERROR(INDEX(Paketler!$B$5:$B$24,MATCH(C288,Paketler!$A$5:$A$24,0)),0))-1)</f>
        <v/>
      </c>
      <c r="G288" s="17" t="str">
        <f aca="false">IF(F288="","",IFERROR(INDEX(Paketler!$C$5:$C$24,MATCH(C288,Paketler!$A$5:$A$24,0)),0))</f>
        <v/>
      </c>
      <c r="H288" s="17" t="str">
        <f aca="false">IF(F288="","",G288-E288)</f>
        <v/>
      </c>
      <c r="I288" s="18" t="str">
        <f aca="true">IF(F288="","",F288-TODAY())</f>
        <v/>
      </c>
      <c r="J288" s="19" t="str">
        <f aca="true">IF(F288="","",IF(TODAY()&lt;D288,"Başlamadı",IF(TODAY()&gt;F288,"Bitti",IF(F288-TODAY()&lt;=7,"Bitiyor","Aktif"))))</f>
        <v/>
      </c>
      <c r="K288" s="19" t="str">
        <f aca="false">IF(OR(J288="Aktif",J288="Bitiyor"),F288+ROW()/1000000,"")</f>
        <v/>
      </c>
    </row>
    <row r="289" customFormat="false" ht="15" hidden="false" customHeight="false" outlineLevel="0" collapsed="false">
      <c r="A289" s="12"/>
      <c r="B289" s="12"/>
      <c r="C289" s="13"/>
      <c r="D289" s="14"/>
      <c r="E289" s="15"/>
      <c r="F289" s="16" t="str">
        <f aca="false">IF(OR(C289="",D289=""),"",EDATE(D289,IFERROR(INDEX(Paketler!$B$5:$B$24,MATCH(C289,Paketler!$A$5:$A$24,0)),0))-1)</f>
        <v/>
      </c>
      <c r="G289" s="17" t="str">
        <f aca="false">IF(F289="","",IFERROR(INDEX(Paketler!$C$5:$C$24,MATCH(C289,Paketler!$A$5:$A$24,0)),0))</f>
        <v/>
      </c>
      <c r="H289" s="17" t="str">
        <f aca="false">IF(F289="","",G289-E289)</f>
        <v/>
      </c>
      <c r="I289" s="18" t="str">
        <f aca="true">IF(F289="","",F289-TODAY())</f>
        <v/>
      </c>
      <c r="J289" s="19" t="str">
        <f aca="true">IF(F289="","",IF(TODAY()&lt;D289,"Başlamadı",IF(TODAY()&gt;F289,"Bitti",IF(F289-TODAY()&lt;=7,"Bitiyor","Aktif"))))</f>
        <v/>
      </c>
      <c r="K289" s="19" t="str">
        <f aca="false">IF(OR(J289="Aktif",J289="Bitiyor"),F289+ROW()/1000000,"")</f>
        <v/>
      </c>
    </row>
    <row r="290" customFormat="false" ht="15" hidden="false" customHeight="false" outlineLevel="0" collapsed="false">
      <c r="A290" s="12"/>
      <c r="B290" s="12"/>
      <c r="C290" s="13"/>
      <c r="D290" s="14"/>
      <c r="E290" s="15"/>
      <c r="F290" s="16" t="str">
        <f aca="false">IF(OR(C290="",D290=""),"",EDATE(D290,IFERROR(INDEX(Paketler!$B$5:$B$24,MATCH(C290,Paketler!$A$5:$A$24,0)),0))-1)</f>
        <v/>
      </c>
      <c r="G290" s="17" t="str">
        <f aca="false">IF(F290="","",IFERROR(INDEX(Paketler!$C$5:$C$24,MATCH(C290,Paketler!$A$5:$A$24,0)),0))</f>
        <v/>
      </c>
      <c r="H290" s="17" t="str">
        <f aca="false">IF(F290="","",G290-E290)</f>
        <v/>
      </c>
      <c r="I290" s="18" t="str">
        <f aca="true">IF(F290="","",F290-TODAY())</f>
        <v/>
      </c>
      <c r="J290" s="19" t="str">
        <f aca="true">IF(F290="","",IF(TODAY()&lt;D290,"Başlamadı",IF(TODAY()&gt;F290,"Bitti",IF(F290-TODAY()&lt;=7,"Bitiyor","Aktif"))))</f>
        <v/>
      </c>
      <c r="K290" s="19" t="str">
        <f aca="false">IF(OR(J290="Aktif",J290="Bitiyor"),F290+ROW()/1000000,"")</f>
        <v/>
      </c>
    </row>
    <row r="291" customFormat="false" ht="15" hidden="false" customHeight="false" outlineLevel="0" collapsed="false">
      <c r="A291" s="12"/>
      <c r="B291" s="12"/>
      <c r="C291" s="13"/>
      <c r="D291" s="14"/>
      <c r="E291" s="15"/>
      <c r="F291" s="16" t="str">
        <f aca="false">IF(OR(C291="",D291=""),"",EDATE(D291,IFERROR(INDEX(Paketler!$B$5:$B$24,MATCH(C291,Paketler!$A$5:$A$24,0)),0))-1)</f>
        <v/>
      </c>
      <c r="G291" s="17" t="str">
        <f aca="false">IF(F291="","",IFERROR(INDEX(Paketler!$C$5:$C$24,MATCH(C291,Paketler!$A$5:$A$24,0)),0))</f>
        <v/>
      </c>
      <c r="H291" s="17" t="str">
        <f aca="false">IF(F291="","",G291-E291)</f>
        <v/>
      </c>
      <c r="I291" s="18" t="str">
        <f aca="true">IF(F291="","",F291-TODAY())</f>
        <v/>
      </c>
      <c r="J291" s="19" t="str">
        <f aca="true">IF(F291="","",IF(TODAY()&lt;D291,"Başlamadı",IF(TODAY()&gt;F291,"Bitti",IF(F291-TODAY()&lt;=7,"Bitiyor","Aktif"))))</f>
        <v/>
      </c>
      <c r="K291" s="19" t="str">
        <f aca="false">IF(OR(J291="Aktif",J291="Bitiyor"),F291+ROW()/1000000,"")</f>
        <v/>
      </c>
    </row>
    <row r="292" customFormat="false" ht="15" hidden="false" customHeight="false" outlineLevel="0" collapsed="false">
      <c r="A292" s="12"/>
      <c r="B292" s="12"/>
      <c r="C292" s="13"/>
      <c r="D292" s="14"/>
      <c r="E292" s="15"/>
      <c r="F292" s="16" t="str">
        <f aca="false">IF(OR(C292="",D292=""),"",EDATE(D292,IFERROR(INDEX(Paketler!$B$5:$B$24,MATCH(C292,Paketler!$A$5:$A$24,0)),0))-1)</f>
        <v/>
      </c>
      <c r="G292" s="17" t="str">
        <f aca="false">IF(F292="","",IFERROR(INDEX(Paketler!$C$5:$C$24,MATCH(C292,Paketler!$A$5:$A$24,0)),0))</f>
        <v/>
      </c>
      <c r="H292" s="17" t="str">
        <f aca="false">IF(F292="","",G292-E292)</f>
        <v/>
      </c>
      <c r="I292" s="18" t="str">
        <f aca="true">IF(F292="","",F292-TODAY())</f>
        <v/>
      </c>
      <c r="J292" s="19" t="str">
        <f aca="true">IF(F292="","",IF(TODAY()&lt;D292,"Başlamadı",IF(TODAY()&gt;F292,"Bitti",IF(F292-TODAY()&lt;=7,"Bitiyor","Aktif"))))</f>
        <v/>
      </c>
      <c r="K292" s="19" t="str">
        <f aca="false">IF(OR(J292="Aktif",J292="Bitiyor"),F292+ROW()/1000000,"")</f>
        <v/>
      </c>
    </row>
    <row r="293" customFormat="false" ht="15" hidden="false" customHeight="false" outlineLevel="0" collapsed="false">
      <c r="A293" s="12"/>
      <c r="B293" s="12"/>
      <c r="C293" s="13"/>
      <c r="D293" s="14"/>
      <c r="E293" s="15"/>
      <c r="F293" s="16" t="str">
        <f aca="false">IF(OR(C293="",D293=""),"",EDATE(D293,IFERROR(INDEX(Paketler!$B$5:$B$24,MATCH(C293,Paketler!$A$5:$A$24,0)),0))-1)</f>
        <v/>
      </c>
      <c r="G293" s="17" t="str">
        <f aca="false">IF(F293="","",IFERROR(INDEX(Paketler!$C$5:$C$24,MATCH(C293,Paketler!$A$5:$A$24,0)),0))</f>
        <v/>
      </c>
      <c r="H293" s="17" t="str">
        <f aca="false">IF(F293="","",G293-E293)</f>
        <v/>
      </c>
      <c r="I293" s="18" t="str">
        <f aca="true">IF(F293="","",F293-TODAY())</f>
        <v/>
      </c>
      <c r="J293" s="19" t="str">
        <f aca="true">IF(F293="","",IF(TODAY()&lt;D293,"Başlamadı",IF(TODAY()&gt;F293,"Bitti",IF(F293-TODAY()&lt;=7,"Bitiyor","Aktif"))))</f>
        <v/>
      </c>
      <c r="K293" s="19" t="str">
        <f aca="false">IF(OR(J293="Aktif",J293="Bitiyor"),F293+ROW()/1000000,"")</f>
        <v/>
      </c>
    </row>
    <row r="294" customFormat="false" ht="15" hidden="false" customHeight="false" outlineLevel="0" collapsed="false">
      <c r="A294" s="12"/>
      <c r="B294" s="12"/>
      <c r="C294" s="13"/>
      <c r="D294" s="14"/>
      <c r="E294" s="15"/>
      <c r="F294" s="16" t="str">
        <f aca="false">IF(OR(C294="",D294=""),"",EDATE(D294,IFERROR(INDEX(Paketler!$B$5:$B$24,MATCH(C294,Paketler!$A$5:$A$24,0)),0))-1)</f>
        <v/>
      </c>
      <c r="G294" s="17" t="str">
        <f aca="false">IF(F294="","",IFERROR(INDEX(Paketler!$C$5:$C$24,MATCH(C294,Paketler!$A$5:$A$24,0)),0))</f>
        <v/>
      </c>
      <c r="H294" s="17" t="str">
        <f aca="false">IF(F294="","",G294-E294)</f>
        <v/>
      </c>
      <c r="I294" s="18" t="str">
        <f aca="true">IF(F294="","",F294-TODAY())</f>
        <v/>
      </c>
      <c r="J294" s="19" t="str">
        <f aca="true">IF(F294="","",IF(TODAY()&lt;D294,"Başlamadı",IF(TODAY()&gt;F294,"Bitti",IF(F294-TODAY()&lt;=7,"Bitiyor","Aktif"))))</f>
        <v/>
      </c>
      <c r="K294" s="19" t="str">
        <f aca="false">IF(OR(J294="Aktif",J294="Bitiyor"),F294+ROW()/1000000,"")</f>
        <v/>
      </c>
    </row>
    <row r="295" customFormat="false" ht="15" hidden="false" customHeight="false" outlineLevel="0" collapsed="false">
      <c r="A295" s="12"/>
      <c r="B295" s="12"/>
      <c r="C295" s="13"/>
      <c r="D295" s="14"/>
      <c r="E295" s="15"/>
      <c r="F295" s="16" t="str">
        <f aca="false">IF(OR(C295="",D295=""),"",EDATE(D295,IFERROR(INDEX(Paketler!$B$5:$B$24,MATCH(C295,Paketler!$A$5:$A$24,0)),0))-1)</f>
        <v/>
      </c>
      <c r="G295" s="17" t="str">
        <f aca="false">IF(F295="","",IFERROR(INDEX(Paketler!$C$5:$C$24,MATCH(C295,Paketler!$A$5:$A$24,0)),0))</f>
        <v/>
      </c>
      <c r="H295" s="17" t="str">
        <f aca="false">IF(F295="","",G295-E295)</f>
        <v/>
      </c>
      <c r="I295" s="18" t="str">
        <f aca="true">IF(F295="","",F295-TODAY())</f>
        <v/>
      </c>
      <c r="J295" s="19" t="str">
        <f aca="true">IF(F295="","",IF(TODAY()&lt;D295,"Başlamadı",IF(TODAY()&gt;F295,"Bitti",IF(F295-TODAY()&lt;=7,"Bitiyor","Aktif"))))</f>
        <v/>
      </c>
      <c r="K295" s="19" t="str">
        <f aca="false">IF(OR(J295="Aktif",J295="Bitiyor"),F295+ROW()/1000000,"")</f>
        <v/>
      </c>
    </row>
    <row r="296" customFormat="false" ht="15" hidden="false" customHeight="false" outlineLevel="0" collapsed="false">
      <c r="A296" s="12"/>
      <c r="B296" s="12"/>
      <c r="C296" s="13"/>
      <c r="D296" s="14"/>
      <c r="E296" s="15"/>
      <c r="F296" s="16" t="str">
        <f aca="false">IF(OR(C296="",D296=""),"",EDATE(D296,IFERROR(INDEX(Paketler!$B$5:$B$24,MATCH(C296,Paketler!$A$5:$A$24,0)),0))-1)</f>
        <v/>
      </c>
      <c r="G296" s="17" t="str">
        <f aca="false">IF(F296="","",IFERROR(INDEX(Paketler!$C$5:$C$24,MATCH(C296,Paketler!$A$5:$A$24,0)),0))</f>
        <v/>
      </c>
      <c r="H296" s="17" t="str">
        <f aca="false">IF(F296="","",G296-E296)</f>
        <v/>
      </c>
      <c r="I296" s="18" t="str">
        <f aca="true">IF(F296="","",F296-TODAY())</f>
        <v/>
      </c>
      <c r="J296" s="19" t="str">
        <f aca="true">IF(F296="","",IF(TODAY()&lt;D296,"Başlamadı",IF(TODAY()&gt;F296,"Bitti",IF(F296-TODAY()&lt;=7,"Bitiyor","Aktif"))))</f>
        <v/>
      </c>
      <c r="K296" s="19" t="str">
        <f aca="false">IF(OR(J296="Aktif",J296="Bitiyor"),F296+ROW()/1000000,"")</f>
        <v/>
      </c>
    </row>
    <row r="297" customFormat="false" ht="15" hidden="false" customHeight="false" outlineLevel="0" collapsed="false">
      <c r="A297" s="12"/>
      <c r="B297" s="12"/>
      <c r="C297" s="13"/>
      <c r="D297" s="14"/>
      <c r="E297" s="15"/>
      <c r="F297" s="16" t="str">
        <f aca="false">IF(OR(C297="",D297=""),"",EDATE(D297,IFERROR(INDEX(Paketler!$B$5:$B$24,MATCH(C297,Paketler!$A$5:$A$24,0)),0))-1)</f>
        <v/>
      </c>
      <c r="G297" s="17" t="str">
        <f aca="false">IF(F297="","",IFERROR(INDEX(Paketler!$C$5:$C$24,MATCH(C297,Paketler!$A$5:$A$24,0)),0))</f>
        <v/>
      </c>
      <c r="H297" s="17" t="str">
        <f aca="false">IF(F297="","",G297-E297)</f>
        <v/>
      </c>
      <c r="I297" s="18" t="str">
        <f aca="true">IF(F297="","",F297-TODAY())</f>
        <v/>
      </c>
      <c r="J297" s="19" t="str">
        <f aca="true">IF(F297="","",IF(TODAY()&lt;D297,"Başlamadı",IF(TODAY()&gt;F297,"Bitti",IF(F297-TODAY()&lt;=7,"Bitiyor","Aktif"))))</f>
        <v/>
      </c>
      <c r="K297" s="19" t="str">
        <f aca="false">IF(OR(J297="Aktif",J297="Bitiyor"),F297+ROW()/1000000,"")</f>
        <v/>
      </c>
    </row>
    <row r="298" customFormat="false" ht="15" hidden="false" customHeight="false" outlineLevel="0" collapsed="false">
      <c r="A298" s="12"/>
      <c r="B298" s="12"/>
      <c r="C298" s="13"/>
      <c r="D298" s="14"/>
      <c r="E298" s="15"/>
      <c r="F298" s="16" t="str">
        <f aca="false">IF(OR(C298="",D298=""),"",EDATE(D298,IFERROR(INDEX(Paketler!$B$5:$B$24,MATCH(C298,Paketler!$A$5:$A$24,0)),0))-1)</f>
        <v/>
      </c>
      <c r="G298" s="17" t="str">
        <f aca="false">IF(F298="","",IFERROR(INDEX(Paketler!$C$5:$C$24,MATCH(C298,Paketler!$A$5:$A$24,0)),0))</f>
        <v/>
      </c>
      <c r="H298" s="17" t="str">
        <f aca="false">IF(F298="","",G298-E298)</f>
        <v/>
      </c>
      <c r="I298" s="18" t="str">
        <f aca="true">IF(F298="","",F298-TODAY())</f>
        <v/>
      </c>
      <c r="J298" s="19" t="str">
        <f aca="true">IF(F298="","",IF(TODAY()&lt;D298,"Başlamadı",IF(TODAY()&gt;F298,"Bitti",IF(F298-TODAY()&lt;=7,"Bitiyor","Aktif"))))</f>
        <v/>
      </c>
      <c r="K298" s="19" t="str">
        <f aca="false">IF(OR(J298="Aktif",J298="Bitiyor"),F298+ROW()/1000000,"")</f>
        <v/>
      </c>
    </row>
    <row r="299" customFormat="false" ht="15" hidden="false" customHeight="false" outlineLevel="0" collapsed="false">
      <c r="A299" s="12"/>
      <c r="B299" s="12"/>
      <c r="C299" s="13"/>
      <c r="D299" s="14"/>
      <c r="E299" s="15"/>
      <c r="F299" s="16" t="str">
        <f aca="false">IF(OR(C299="",D299=""),"",EDATE(D299,IFERROR(INDEX(Paketler!$B$5:$B$24,MATCH(C299,Paketler!$A$5:$A$24,0)),0))-1)</f>
        <v/>
      </c>
      <c r="G299" s="17" t="str">
        <f aca="false">IF(F299="","",IFERROR(INDEX(Paketler!$C$5:$C$24,MATCH(C299,Paketler!$A$5:$A$24,0)),0))</f>
        <v/>
      </c>
      <c r="H299" s="17" t="str">
        <f aca="false">IF(F299="","",G299-E299)</f>
        <v/>
      </c>
      <c r="I299" s="18" t="str">
        <f aca="true">IF(F299="","",F299-TODAY())</f>
        <v/>
      </c>
      <c r="J299" s="19" t="str">
        <f aca="true">IF(F299="","",IF(TODAY()&lt;D299,"Başlamadı",IF(TODAY()&gt;F299,"Bitti",IF(F299-TODAY()&lt;=7,"Bitiyor","Aktif"))))</f>
        <v/>
      </c>
      <c r="K299" s="19" t="str">
        <f aca="false">IF(OR(J299="Aktif",J299="Bitiyor"),F299+ROW()/1000000,"")</f>
        <v/>
      </c>
    </row>
    <row r="300" customFormat="false" ht="15" hidden="false" customHeight="false" outlineLevel="0" collapsed="false">
      <c r="A300" s="12"/>
      <c r="B300" s="12"/>
      <c r="C300" s="13"/>
      <c r="D300" s="14"/>
      <c r="E300" s="15"/>
      <c r="F300" s="16" t="str">
        <f aca="false">IF(OR(C300="",D300=""),"",EDATE(D300,IFERROR(INDEX(Paketler!$B$5:$B$24,MATCH(C300,Paketler!$A$5:$A$24,0)),0))-1)</f>
        <v/>
      </c>
      <c r="G300" s="17" t="str">
        <f aca="false">IF(F300="","",IFERROR(INDEX(Paketler!$C$5:$C$24,MATCH(C300,Paketler!$A$5:$A$24,0)),0))</f>
        <v/>
      </c>
      <c r="H300" s="17" t="str">
        <f aca="false">IF(F300="","",G300-E300)</f>
        <v/>
      </c>
      <c r="I300" s="18" t="str">
        <f aca="true">IF(F300="","",F300-TODAY())</f>
        <v/>
      </c>
      <c r="J300" s="19" t="str">
        <f aca="true">IF(F300="","",IF(TODAY()&lt;D300,"Başlamadı",IF(TODAY()&gt;F300,"Bitti",IF(F300-TODAY()&lt;=7,"Bitiyor","Aktif"))))</f>
        <v/>
      </c>
      <c r="K300" s="19" t="str">
        <f aca="false">IF(OR(J300="Aktif",J300="Bitiyor"),F300+ROW()/1000000,"")</f>
        <v/>
      </c>
    </row>
    <row r="301" customFormat="false" ht="15" hidden="false" customHeight="false" outlineLevel="0" collapsed="false">
      <c r="A301" s="12"/>
      <c r="B301" s="12"/>
      <c r="C301" s="13"/>
      <c r="D301" s="14"/>
      <c r="E301" s="15"/>
      <c r="F301" s="16" t="str">
        <f aca="false">IF(OR(C301="",D301=""),"",EDATE(D301,IFERROR(INDEX(Paketler!$B$5:$B$24,MATCH(C301,Paketler!$A$5:$A$24,0)),0))-1)</f>
        <v/>
      </c>
      <c r="G301" s="17" t="str">
        <f aca="false">IF(F301="","",IFERROR(INDEX(Paketler!$C$5:$C$24,MATCH(C301,Paketler!$A$5:$A$24,0)),0))</f>
        <v/>
      </c>
      <c r="H301" s="17" t="str">
        <f aca="false">IF(F301="","",G301-E301)</f>
        <v/>
      </c>
      <c r="I301" s="18" t="str">
        <f aca="true">IF(F301="","",F301-TODAY())</f>
        <v/>
      </c>
      <c r="J301" s="19" t="str">
        <f aca="true">IF(F301="","",IF(TODAY()&lt;D301,"Başlamadı",IF(TODAY()&gt;F301,"Bitti",IF(F301-TODAY()&lt;=7,"Bitiyor","Aktif"))))</f>
        <v/>
      </c>
      <c r="K301" s="19" t="str">
        <f aca="false">IF(OR(J301="Aktif",J301="Bitiyor"),F301+ROW()/1000000,"")</f>
        <v/>
      </c>
    </row>
    <row r="302" customFormat="false" ht="15" hidden="false" customHeight="false" outlineLevel="0" collapsed="false">
      <c r="A302" s="12"/>
      <c r="B302" s="12"/>
      <c r="C302" s="13"/>
      <c r="D302" s="14"/>
      <c r="E302" s="15"/>
      <c r="F302" s="16" t="str">
        <f aca="false">IF(OR(C302="",D302=""),"",EDATE(D302,IFERROR(INDEX(Paketler!$B$5:$B$24,MATCH(C302,Paketler!$A$5:$A$24,0)),0))-1)</f>
        <v/>
      </c>
      <c r="G302" s="17" t="str">
        <f aca="false">IF(F302="","",IFERROR(INDEX(Paketler!$C$5:$C$24,MATCH(C302,Paketler!$A$5:$A$24,0)),0))</f>
        <v/>
      </c>
      <c r="H302" s="17" t="str">
        <f aca="false">IF(F302="","",G302-E302)</f>
        <v/>
      </c>
      <c r="I302" s="18" t="str">
        <f aca="true">IF(F302="","",F302-TODAY())</f>
        <v/>
      </c>
      <c r="J302" s="19" t="str">
        <f aca="true">IF(F302="","",IF(TODAY()&lt;D302,"Başlamadı",IF(TODAY()&gt;F302,"Bitti",IF(F302-TODAY()&lt;=7,"Bitiyor","Aktif"))))</f>
        <v/>
      </c>
      <c r="K302" s="19" t="str">
        <f aca="false">IF(OR(J302="Aktif",J302="Bitiyor"),F302+ROW()/1000000,"")</f>
        <v/>
      </c>
    </row>
    <row r="303" customFormat="false" ht="15" hidden="false" customHeight="false" outlineLevel="0" collapsed="false">
      <c r="A303" s="12"/>
      <c r="B303" s="12"/>
      <c r="C303" s="13"/>
      <c r="D303" s="14"/>
      <c r="E303" s="15"/>
      <c r="F303" s="16" t="str">
        <f aca="false">IF(OR(C303="",D303=""),"",EDATE(D303,IFERROR(INDEX(Paketler!$B$5:$B$24,MATCH(C303,Paketler!$A$5:$A$24,0)),0))-1)</f>
        <v/>
      </c>
      <c r="G303" s="17" t="str">
        <f aca="false">IF(F303="","",IFERROR(INDEX(Paketler!$C$5:$C$24,MATCH(C303,Paketler!$A$5:$A$24,0)),0))</f>
        <v/>
      </c>
      <c r="H303" s="17" t="str">
        <f aca="false">IF(F303="","",G303-E303)</f>
        <v/>
      </c>
      <c r="I303" s="18" t="str">
        <f aca="true">IF(F303="","",F303-TODAY())</f>
        <v/>
      </c>
      <c r="J303" s="19" t="str">
        <f aca="true">IF(F303="","",IF(TODAY()&lt;D303,"Başlamadı",IF(TODAY()&gt;F303,"Bitti",IF(F303-TODAY()&lt;=7,"Bitiyor","Aktif"))))</f>
        <v/>
      </c>
      <c r="K303" s="19" t="str">
        <f aca="false">IF(OR(J303="Aktif",J303="Bitiyor"),F303+ROW()/1000000,"")</f>
        <v/>
      </c>
    </row>
    <row r="304" customFormat="false" ht="15" hidden="false" customHeight="false" outlineLevel="0" collapsed="false">
      <c r="A304" s="12"/>
      <c r="B304" s="12"/>
      <c r="C304" s="13"/>
      <c r="D304" s="14"/>
      <c r="E304" s="15"/>
      <c r="F304" s="16" t="str">
        <f aca="false">IF(OR(C304="",D304=""),"",EDATE(D304,IFERROR(INDEX(Paketler!$B$5:$B$24,MATCH(C304,Paketler!$A$5:$A$24,0)),0))-1)</f>
        <v/>
      </c>
      <c r="G304" s="17" t="str">
        <f aca="false">IF(F304="","",IFERROR(INDEX(Paketler!$C$5:$C$24,MATCH(C304,Paketler!$A$5:$A$24,0)),0))</f>
        <v/>
      </c>
      <c r="H304" s="17" t="str">
        <f aca="false">IF(F304="","",G304-E304)</f>
        <v/>
      </c>
      <c r="I304" s="18" t="str">
        <f aca="true">IF(F304="","",F304-TODAY())</f>
        <v/>
      </c>
      <c r="J304" s="19" t="str">
        <f aca="true">IF(F304="","",IF(TODAY()&lt;D304,"Başlamadı",IF(TODAY()&gt;F304,"Bitti",IF(F304-TODAY()&lt;=7,"Bitiyor","Aktif"))))</f>
        <v/>
      </c>
      <c r="K304" s="19" t="str">
        <f aca="false">IF(OR(J304="Aktif",J304="Bitiyor"),F304+ROW()/1000000,"")</f>
        <v/>
      </c>
    </row>
    <row r="305" customFormat="false" ht="15" hidden="false" customHeight="false" outlineLevel="0" collapsed="false">
      <c r="A305" s="12"/>
      <c r="B305" s="12"/>
      <c r="C305" s="13"/>
      <c r="D305" s="14"/>
      <c r="E305" s="15"/>
      <c r="F305" s="16" t="str">
        <f aca="false">IF(OR(C305="",D305=""),"",EDATE(D305,IFERROR(INDEX(Paketler!$B$5:$B$24,MATCH(C305,Paketler!$A$5:$A$24,0)),0))-1)</f>
        <v/>
      </c>
      <c r="G305" s="17" t="str">
        <f aca="false">IF(F305="","",IFERROR(INDEX(Paketler!$C$5:$C$24,MATCH(C305,Paketler!$A$5:$A$24,0)),0))</f>
        <v/>
      </c>
      <c r="H305" s="17" t="str">
        <f aca="false">IF(F305="","",G305-E305)</f>
        <v/>
      </c>
      <c r="I305" s="18" t="str">
        <f aca="true">IF(F305="","",F305-TODAY())</f>
        <v/>
      </c>
      <c r="J305" s="19" t="str">
        <f aca="true">IF(F305="","",IF(TODAY()&lt;D305,"Başlamadı",IF(TODAY()&gt;F305,"Bitti",IF(F305-TODAY()&lt;=7,"Bitiyor","Aktif"))))</f>
        <v/>
      </c>
      <c r="K305" s="19" t="str">
        <f aca="false">IF(OR(J305="Aktif",J305="Bitiyor"),F305+ROW()/1000000,"")</f>
        <v/>
      </c>
    </row>
    <row r="306" customFormat="false" ht="15" hidden="false" customHeight="false" outlineLevel="0" collapsed="false">
      <c r="A306" s="12"/>
      <c r="B306" s="12"/>
      <c r="C306" s="13"/>
      <c r="D306" s="14"/>
      <c r="E306" s="15"/>
      <c r="F306" s="16" t="str">
        <f aca="false">IF(OR(C306="",D306=""),"",EDATE(D306,IFERROR(INDEX(Paketler!$B$5:$B$24,MATCH(C306,Paketler!$A$5:$A$24,0)),0))-1)</f>
        <v/>
      </c>
      <c r="G306" s="17" t="str">
        <f aca="false">IF(F306="","",IFERROR(INDEX(Paketler!$C$5:$C$24,MATCH(C306,Paketler!$A$5:$A$24,0)),0))</f>
        <v/>
      </c>
      <c r="H306" s="17" t="str">
        <f aca="false">IF(F306="","",G306-E306)</f>
        <v/>
      </c>
      <c r="I306" s="18" t="str">
        <f aca="true">IF(F306="","",F306-TODAY())</f>
        <v/>
      </c>
      <c r="J306" s="19" t="str">
        <f aca="true">IF(F306="","",IF(TODAY()&lt;D306,"Başlamadı",IF(TODAY()&gt;F306,"Bitti",IF(F306-TODAY()&lt;=7,"Bitiyor","Aktif"))))</f>
        <v/>
      </c>
      <c r="K306" s="19" t="str">
        <f aca="false">IF(OR(J306="Aktif",J306="Bitiyor"),F306+ROW()/1000000,"")</f>
        <v/>
      </c>
    </row>
    <row r="307" customFormat="false" ht="15" hidden="false" customHeight="false" outlineLevel="0" collapsed="false">
      <c r="A307" s="12"/>
      <c r="B307" s="12"/>
      <c r="C307" s="13"/>
      <c r="D307" s="14"/>
      <c r="E307" s="15"/>
      <c r="F307" s="16" t="str">
        <f aca="false">IF(OR(C307="",D307=""),"",EDATE(D307,IFERROR(INDEX(Paketler!$B$5:$B$24,MATCH(C307,Paketler!$A$5:$A$24,0)),0))-1)</f>
        <v/>
      </c>
      <c r="G307" s="17" t="str">
        <f aca="false">IF(F307="","",IFERROR(INDEX(Paketler!$C$5:$C$24,MATCH(C307,Paketler!$A$5:$A$24,0)),0))</f>
        <v/>
      </c>
      <c r="H307" s="17" t="str">
        <f aca="false">IF(F307="","",G307-E307)</f>
        <v/>
      </c>
      <c r="I307" s="18" t="str">
        <f aca="true">IF(F307="","",F307-TODAY())</f>
        <v/>
      </c>
      <c r="J307" s="19" t="str">
        <f aca="true">IF(F307="","",IF(TODAY()&lt;D307,"Başlamadı",IF(TODAY()&gt;F307,"Bitti",IF(F307-TODAY()&lt;=7,"Bitiyor","Aktif"))))</f>
        <v/>
      </c>
      <c r="K307" s="19" t="str">
        <f aca="false">IF(OR(J307="Aktif",J307="Bitiyor"),F307+ROW()/1000000,"")</f>
        <v/>
      </c>
    </row>
    <row r="308" customFormat="false" ht="15" hidden="false" customHeight="false" outlineLevel="0" collapsed="false">
      <c r="A308" s="12"/>
      <c r="B308" s="12"/>
      <c r="C308" s="13"/>
      <c r="D308" s="14"/>
      <c r="E308" s="15"/>
      <c r="F308" s="16" t="str">
        <f aca="false">IF(OR(C308="",D308=""),"",EDATE(D308,IFERROR(INDEX(Paketler!$B$5:$B$24,MATCH(C308,Paketler!$A$5:$A$24,0)),0))-1)</f>
        <v/>
      </c>
      <c r="G308" s="17" t="str">
        <f aca="false">IF(F308="","",IFERROR(INDEX(Paketler!$C$5:$C$24,MATCH(C308,Paketler!$A$5:$A$24,0)),0))</f>
        <v/>
      </c>
      <c r="H308" s="17" t="str">
        <f aca="false">IF(F308="","",G308-E308)</f>
        <v/>
      </c>
      <c r="I308" s="18" t="str">
        <f aca="true">IF(F308="","",F308-TODAY())</f>
        <v/>
      </c>
      <c r="J308" s="19" t="str">
        <f aca="true">IF(F308="","",IF(TODAY()&lt;D308,"Başlamadı",IF(TODAY()&gt;F308,"Bitti",IF(F308-TODAY()&lt;=7,"Bitiyor","Aktif"))))</f>
        <v/>
      </c>
      <c r="K308" s="19" t="str">
        <f aca="false">IF(OR(J308="Aktif",J308="Bitiyor"),F308+ROW()/1000000,"")</f>
        <v/>
      </c>
    </row>
    <row r="309" customFormat="false" ht="15" hidden="false" customHeight="false" outlineLevel="0" collapsed="false">
      <c r="A309" s="12"/>
      <c r="B309" s="12"/>
      <c r="C309" s="13"/>
      <c r="D309" s="14"/>
      <c r="E309" s="15"/>
      <c r="F309" s="16" t="str">
        <f aca="false">IF(OR(C309="",D309=""),"",EDATE(D309,IFERROR(INDEX(Paketler!$B$5:$B$24,MATCH(C309,Paketler!$A$5:$A$24,0)),0))-1)</f>
        <v/>
      </c>
      <c r="G309" s="17" t="str">
        <f aca="false">IF(F309="","",IFERROR(INDEX(Paketler!$C$5:$C$24,MATCH(C309,Paketler!$A$5:$A$24,0)),0))</f>
        <v/>
      </c>
      <c r="H309" s="17" t="str">
        <f aca="false">IF(F309="","",G309-E309)</f>
        <v/>
      </c>
      <c r="I309" s="18" t="str">
        <f aca="true">IF(F309="","",F309-TODAY())</f>
        <v/>
      </c>
      <c r="J309" s="19" t="str">
        <f aca="true">IF(F309="","",IF(TODAY()&lt;D309,"Başlamadı",IF(TODAY()&gt;F309,"Bitti",IF(F309-TODAY()&lt;=7,"Bitiyor","Aktif"))))</f>
        <v/>
      </c>
      <c r="K309" s="19" t="str">
        <f aca="false">IF(OR(J309="Aktif",J309="Bitiyor"),F309+ROW()/1000000,"")</f>
        <v/>
      </c>
    </row>
    <row r="310" customFormat="false" ht="15" hidden="false" customHeight="false" outlineLevel="0" collapsed="false">
      <c r="A310" s="12"/>
      <c r="B310" s="12"/>
      <c r="C310" s="13"/>
      <c r="D310" s="14"/>
      <c r="E310" s="15"/>
      <c r="F310" s="16" t="str">
        <f aca="false">IF(OR(C310="",D310=""),"",EDATE(D310,IFERROR(INDEX(Paketler!$B$5:$B$24,MATCH(C310,Paketler!$A$5:$A$24,0)),0))-1)</f>
        <v/>
      </c>
      <c r="G310" s="17" t="str">
        <f aca="false">IF(F310="","",IFERROR(INDEX(Paketler!$C$5:$C$24,MATCH(C310,Paketler!$A$5:$A$24,0)),0))</f>
        <v/>
      </c>
      <c r="H310" s="17" t="str">
        <f aca="false">IF(F310="","",G310-E310)</f>
        <v/>
      </c>
      <c r="I310" s="18" t="str">
        <f aca="true">IF(F310="","",F310-TODAY())</f>
        <v/>
      </c>
      <c r="J310" s="19" t="str">
        <f aca="true">IF(F310="","",IF(TODAY()&lt;D310,"Başlamadı",IF(TODAY()&gt;F310,"Bitti",IF(F310-TODAY()&lt;=7,"Bitiyor","Aktif"))))</f>
        <v/>
      </c>
      <c r="K310" s="19" t="str">
        <f aca="false">IF(OR(J310="Aktif",J310="Bitiyor"),F310+ROW()/1000000,"")</f>
        <v/>
      </c>
    </row>
    <row r="311" customFormat="false" ht="15" hidden="false" customHeight="false" outlineLevel="0" collapsed="false">
      <c r="A311" s="12"/>
      <c r="B311" s="12"/>
      <c r="C311" s="13"/>
      <c r="D311" s="14"/>
      <c r="E311" s="15"/>
      <c r="F311" s="16" t="str">
        <f aca="false">IF(OR(C311="",D311=""),"",EDATE(D311,IFERROR(INDEX(Paketler!$B$5:$B$24,MATCH(C311,Paketler!$A$5:$A$24,0)),0))-1)</f>
        <v/>
      </c>
      <c r="G311" s="17" t="str">
        <f aca="false">IF(F311="","",IFERROR(INDEX(Paketler!$C$5:$C$24,MATCH(C311,Paketler!$A$5:$A$24,0)),0))</f>
        <v/>
      </c>
      <c r="H311" s="17" t="str">
        <f aca="false">IF(F311="","",G311-E311)</f>
        <v/>
      </c>
      <c r="I311" s="18" t="str">
        <f aca="true">IF(F311="","",F311-TODAY())</f>
        <v/>
      </c>
      <c r="J311" s="19" t="str">
        <f aca="true">IF(F311="","",IF(TODAY()&lt;D311,"Başlamadı",IF(TODAY()&gt;F311,"Bitti",IF(F311-TODAY()&lt;=7,"Bitiyor","Aktif"))))</f>
        <v/>
      </c>
      <c r="K311" s="19" t="str">
        <f aca="false">IF(OR(J311="Aktif",J311="Bitiyor"),F311+ROW()/1000000,"")</f>
        <v/>
      </c>
    </row>
    <row r="312" customFormat="false" ht="15" hidden="false" customHeight="false" outlineLevel="0" collapsed="false">
      <c r="A312" s="12"/>
      <c r="B312" s="12"/>
      <c r="C312" s="13"/>
      <c r="D312" s="14"/>
      <c r="E312" s="15"/>
      <c r="F312" s="16" t="str">
        <f aca="false">IF(OR(C312="",D312=""),"",EDATE(D312,IFERROR(INDEX(Paketler!$B$5:$B$24,MATCH(C312,Paketler!$A$5:$A$24,0)),0))-1)</f>
        <v/>
      </c>
      <c r="G312" s="17" t="str">
        <f aca="false">IF(F312="","",IFERROR(INDEX(Paketler!$C$5:$C$24,MATCH(C312,Paketler!$A$5:$A$24,0)),0))</f>
        <v/>
      </c>
      <c r="H312" s="17" t="str">
        <f aca="false">IF(F312="","",G312-E312)</f>
        <v/>
      </c>
      <c r="I312" s="18" t="str">
        <f aca="true">IF(F312="","",F312-TODAY())</f>
        <v/>
      </c>
      <c r="J312" s="19" t="str">
        <f aca="true">IF(F312="","",IF(TODAY()&lt;D312,"Başlamadı",IF(TODAY()&gt;F312,"Bitti",IF(F312-TODAY()&lt;=7,"Bitiyor","Aktif"))))</f>
        <v/>
      </c>
      <c r="K312" s="19" t="str">
        <f aca="false">IF(OR(J312="Aktif",J312="Bitiyor"),F312+ROW()/1000000,"")</f>
        <v/>
      </c>
    </row>
    <row r="313" customFormat="false" ht="15" hidden="false" customHeight="false" outlineLevel="0" collapsed="false">
      <c r="A313" s="12"/>
      <c r="B313" s="12"/>
      <c r="C313" s="13"/>
      <c r="D313" s="14"/>
      <c r="E313" s="15"/>
      <c r="F313" s="16" t="str">
        <f aca="false">IF(OR(C313="",D313=""),"",EDATE(D313,IFERROR(INDEX(Paketler!$B$5:$B$24,MATCH(C313,Paketler!$A$5:$A$24,0)),0))-1)</f>
        <v/>
      </c>
      <c r="G313" s="17" t="str">
        <f aca="false">IF(F313="","",IFERROR(INDEX(Paketler!$C$5:$C$24,MATCH(C313,Paketler!$A$5:$A$24,0)),0))</f>
        <v/>
      </c>
      <c r="H313" s="17" t="str">
        <f aca="false">IF(F313="","",G313-E313)</f>
        <v/>
      </c>
      <c r="I313" s="18" t="str">
        <f aca="true">IF(F313="","",F313-TODAY())</f>
        <v/>
      </c>
      <c r="J313" s="19" t="str">
        <f aca="true">IF(F313="","",IF(TODAY()&lt;D313,"Başlamadı",IF(TODAY()&gt;F313,"Bitti",IF(F313-TODAY()&lt;=7,"Bitiyor","Aktif"))))</f>
        <v/>
      </c>
      <c r="K313" s="19" t="str">
        <f aca="false">IF(OR(J313="Aktif",J313="Bitiyor"),F313+ROW()/1000000,"")</f>
        <v/>
      </c>
    </row>
    <row r="314" customFormat="false" ht="15" hidden="false" customHeight="false" outlineLevel="0" collapsed="false">
      <c r="A314" s="12"/>
      <c r="B314" s="12"/>
      <c r="C314" s="13"/>
      <c r="D314" s="14"/>
      <c r="E314" s="15"/>
      <c r="F314" s="16" t="str">
        <f aca="false">IF(OR(C314="",D314=""),"",EDATE(D314,IFERROR(INDEX(Paketler!$B$5:$B$24,MATCH(C314,Paketler!$A$5:$A$24,0)),0))-1)</f>
        <v/>
      </c>
      <c r="G314" s="17" t="str">
        <f aca="false">IF(F314="","",IFERROR(INDEX(Paketler!$C$5:$C$24,MATCH(C314,Paketler!$A$5:$A$24,0)),0))</f>
        <v/>
      </c>
      <c r="H314" s="17" t="str">
        <f aca="false">IF(F314="","",G314-E314)</f>
        <v/>
      </c>
      <c r="I314" s="18" t="str">
        <f aca="true">IF(F314="","",F314-TODAY())</f>
        <v/>
      </c>
      <c r="J314" s="19" t="str">
        <f aca="true">IF(F314="","",IF(TODAY()&lt;D314,"Başlamadı",IF(TODAY()&gt;F314,"Bitti",IF(F314-TODAY()&lt;=7,"Bitiyor","Aktif"))))</f>
        <v/>
      </c>
      <c r="K314" s="19" t="str">
        <f aca="false">IF(OR(J314="Aktif",J314="Bitiyor"),F314+ROW()/1000000,"")</f>
        <v/>
      </c>
    </row>
    <row r="315" customFormat="false" ht="15" hidden="false" customHeight="false" outlineLevel="0" collapsed="false">
      <c r="A315" s="12"/>
      <c r="B315" s="12"/>
      <c r="C315" s="13"/>
      <c r="D315" s="14"/>
      <c r="E315" s="15"/>
      <c r="F315" s="16" t="str">
        <f aca="false">IF(OR(C315="",D315=""),"",EDATE(D315,IFERROR(INDEX(Paketler!$B$5:$B$24,MATCH(C315,Paketler!$A$5:$A$24,0)),0))-1)</f>
        <v/>
      </c>
      <c r="G315" s="17" t="str">
        <f aca="false">IF(F315="","",IFERROR(INDEX(Paketler!$C$5:$C$24,MATCH(C315,Paketler!$A$5:$A$24,0)),0))</f>
        <v/>
      </c>
      <c r="H315" s="17" t="str">
        <f aca="false">IF(F315="","",G315-E315)</f>
        <v/>
      </c>
      <c r="I315" s="18" t="str">
        <f aca="true">IF(F315="","",F315-TODAY())</f>
        <v/>
      </c>
      <c r="J315" s="19" t="str">
        <f aca="true">IF(F315="","",IF(TODAY()&lt;D315,"Başlamadı",IF(TODAY()&gt;F315,"Bitti",IF(F315-TODAY()&lt;=7,"Bitiyor","Aktif"))))</f>
        <v/>
      </c>
      <c r="K315" s="19" t="str">
        <f aca="false">IF(OR(J315="Aktif",J315="Bitiyor"),F315+ROW()/1000000,"")</f>
        <v/>
      </c>
    </row>
    <row r="316" customFormat="false" ht="15" hidden="false" customHeight="false" outlineLevel="0" collapsed="false">
      <c r="A316" s="12"/>
      <c r="B316" s="12"/>
      <c r="C316" s="13"/>
      <c r="D316" s="14"/>
      <c r="E316" s="15"/>
      <c r="F316" s="16" t="str">
        <f aca="false">IF(OR(C316="",D316=""),"",EDATE(D316,IFERROR(INDEX(Paketler!$B$5:$B$24,MATCH(C316,Paketler!$A$5:$A$24,0)),0))-1)</f>
        <v/>
      </c>
      <c r="G316" s="17" t="str">
        <f aca="false">IF(F316="","",IFERROR(INDEX(Paketler!$C$5:$C$24,MATCH(C316,Paketler!$A$5:$A$24,0)),0))</f>
        <v/>
      </c>
      <c r="H316" s="17" t="str">
        <f aca="false">IF(F316="","",G316-E316)</f>
        <v/>
      </c>
      <c r="I316" s="18" t="str">
        <f aca="true">IF(F316="","",F316-TODAY())</f>
        <v/>
      </c>
      <c r="J316" s="19" t="str">
        <f aca="true">IF(F316="","",IF(TODAY()&lt;D316,"Başlamadı",IF(TODAY()&gt;F316,"Bitti",IF(F316-TODAY()&lt;=7,"Bitiyor","Aktif"))))</f>
        <v/>
      </c>
      <c r="K316" s="19" t="str">
        <f aca="false">IF(OR(J316="Aktif",J316="Bitiyor"),F316+ROW()/1000000,"")</f>
        <v/>
      </c>
    </row>
    <row r="317" customFormat="false" ht="15" hidden="false" customHeight="false" outlineLevel="0" collapsed="false">
      <c r="A317" s="12"/>
      <c r="B317" s="12"/>
      <c r="C317" s="13"/>
      <c r="D317" s="14"/>
      <c r="E317" s="15"/>
      <c r="F317" s="16" t="str">
        <f aca="false">IF(OR(C317="",D317=""),"",EDATE(D317,IFERROR(INDEX(Paketler!$B$5:$B$24,MATCH(C317,Paketler!$A$5:$A$24,0)),0))-1)</f>
        <v/>
      </c>
      <c r="G317" s="17" t="str">
        <f aca="false">IF(F317="","",IFERROR(INDEX(Paketler!$C$5:$C$24,MATCH(C317,Paketler!$A$5:$A$24,0)),0))</f>
        <v/>
      </c>
      <c r="H317" s="17" t="str">
        <f aca="false">IF(F317="","",G317-E317)</f>
        <v/>
      </c>
      <c r="I317" s="18" t="str">
        <f aca="true">IF(F317="","",F317-TODAY())</f>
        <v/>
      </c>
      <c r="J317" s="19" t="str">
        <f aca="true">IF(F317="","",IF(TODAY()&lt;D317,"Başlamadı",IF(TODAY()&gt;F317,"Bitti",IF(F317-TODAY()&lt;=7,"Bitiyor","Aktif"))))</f>
        <v/>
      </c>
      <c r="K317" s="19" t="str">
        <f aca="false">IF(OR(J317="Aktif",J317="Bitiyor"),F317+ROW()/1000000,"")</f>
        <v/>
      </c>
    </row>
    <row r="318" customFormat="false" ht="15" hidden="false" customHeight="false" outlineLevel="0" collapsed="false">
      <c r="A318" s="12"/>
      <c r="B318" s="12"/>
      <c r="C318" s="13"/>
      <c r="D318" s="14"/>
      <c r="E318" s="15"/>
      <c r="F318" s="16" t="str">
        <f aca="false">IF(OR(C318="",D318=""),"",EDATE(D318,IFERROR(INDEX(Paketler!$B$5:$B$24,MATCH(C318,Paketler!$A$5:$A$24,0)),0))-1)</f>
        <v/>
      </c>
      <c r="G318" s="17" t="str">
        <f aca="false">IF(F318="","",IFERROR(INDEX(Paketler!$C$5:$C$24,MATCH(C318,Paketler!$A$5:$A$24,0)),0))</f>
        <v/>
      </c>
      <c r="H318" s="17" t="str">
        <f aca="false">IF(F318="","",G318-E318)</f>
        <v/>
      </c>
      <c r="I318" s="18" t="str">
        <f aca="true">IF(F318="","",F318-TODAY())</f>
        <v/>
      </c>
      <c r="J318" s="19" t="str">
        <f aca="true">IF(F318="","",IF(TODAY()&lt;D318,"Başlamadı",IF(TODAY()&gt;F318,"Bitti",IF(F318-TODAY()&lt;=7,"Bitiyor","Aktif"))))</f>
        <v/>
      </c>
      <c r="K318" s="19" t="str">
        <f aca="false">IF(OR(J318="Aktif",J318="Bitiyor"),F318+ROW()/1000000,"")</f>
        <v/>
      </c>
    </row>
    <row r="319" customFormat="false" ht="15" hidden="false" customHeight="false" outlineLevel="0" collapsed="false">
      <c r="A319" s="12"/>
      <c r="B319" s="12"/>
      <c r="C319" s="13"/>
      <c r="D319" s="14"/>
      <c r="E319" s="15"/>
      <c r="F319" s="16" t="str">
        <f aca="false">IF(OR(C319="",D319=""),"",EDATE(D319,IFERROR(INDEX(Paketler!$B$5:$B$24,MATCH(C319,Paketler!$A$5:$A$24,0)),0))-1)</f>
        <v/>
      </c>
      <c r="G319" s="17" t="str">
        <f aca="false">IF(F319="","",IFERROR(INDEX(Paketler!$C$5:$C$24,MATCH(C319,Paketler!$A$5:$A$24,0)),0))</f>
        <v/>
      </c>
      <c r="H319" s="17" t="str">
        <f aca="false">IF(F319="","",G319-E319)</f>
        <v/>
      </c>
      <c r="I319" s="18" t="str">
        <f aca="true">IF(F319="","",F319-TODAY())</f>
        <v/>
      </c>
      <c r="J319" s="19" t="str">
        <f aca="true">IF(F319="","",IF(TODAY()&lt;D319,"Başlamadı",IF(TODAY()&gt;F319,"Bitti",IF(F319-TODAY()&lt;=7,"Bitiyor","Aktif"))))</f>
        <v/>
      </c>
      <c r="K319" s="19" t="str">
        <f aca="false">IF(OR(J319="Aktif",J319="Bitiyor"),F319+ROW()/1000000,"")</f>
        <v/>
      </c>
    </row>
    <row r="320" customFormat="false" ht="15" hidden="false" customHeight="false" outlineLevel="0" collapsed="false">
      <c r="A320" s="12"/>
      <c r="B320" s="12"/>
      <c r="C320" s="13"/>
      <c r="D320" s="14"/>
      <c r="E320" s="15"/>
      <c r="F320" s="16" t="str">
        <f aca="false">IF(OR(C320="",D320=""),"",EDATE(D320,IFERROR(INDEX(Paketler!$B$5:$B$24,MATCH(C320,Paketler!$A$5:$A$24,0)),0))-1)</f>
        <v/>
      </c>
      <c r="G320" s="17" t="str">
        <f aca="false">IF(F320="","",IFERROR(INDEX(Paketler!$C$5:$C$24,MATCH(C320,Paketler!$A$5:$A$24,0)),0))</f>
        <v/>
      </c>
      <c r="H320" s="17" t="str">
        <f aca="false">IF(F320="","",G320-E320)</f>
        <v/>
      </c>
      <c r="I320" s="18" t="str">
        <f aca="true">IF(F320="","",F320-TODAY())</f>
        <v/>
      </c>
      <c r="J320" s="19" t="str">
        <f aca="true">IF(F320="","",IF(TODAY()&lt;D320,"Başlamadı",IF(TODAY()&gt;F320,"Bitti",IF(F320-TODAY()&lt;=7,"Bitiyor","Aktif"))))</f>
        <v/>
      </c>
      <c r="K320" s="19" t="str">
        <f aca="false">IF(OR(J320="Aktif",J320="Bitiyor"),F320+ROW()/1000000,"")</f>
        <v/>
      </c>
    </row>
    <row r="321" customFormat="false" ht="15" hidden="false" customHeight="false" outlineLevel="0" collapsed="false">
      <c r="A321" s="12"/>
      <c r="B321" s="12"/>
      <c r="C321" s="13"/>
      <c r="D321" s="14"/>
      <c r="E321" s="15"/>
      <c r="F321" s="16" t="str">
        <f aca="false">IF(OR(C321="",D321=""),"",EDATE(D321,IFERROR(INDEX(Paketler!$B$5:$B$24,MATCH(C321,Paketler!$A$5:$A$24,0)),0))-1)</f>
        <v/>
      </c>
      <c r="G321" s="17" t="str">
        <f aca="false">IF(F321="","",IFERROR(INDEX(Paketler!$C$5:$C$24,MATCH(C321,Paketler!$A$5:$A$24,0)),0))</f>
        <v/>
      </c>
      <c r="H321" s="17" t="str">
        <f aca="false">IF(F321="","",G321-E321)</f>
        <v/>
      </c>
      <c r="I321" s="18" t="str">
        <f aca="true">IF(F321="","",F321-TODAY())</f>
        <v/>
      </c>
      <c r="J321" s="19" t="str">
        <f aca="true">IF(F321="","",IF(TODAY()&lt;D321,"Başlamadı",IF(TODAY()&gt;F321,"Bitti",IF(F321-TODAY()&lt;=7,"Bitiyor","Aktif"))))</f>
        <v/>
      </c>
      <c r="K321" s="19" t="str">
        <f aca="false">IF(OR(J321="Aktif",J321="Bitiyor"),F321+ROW()/1000000,"")</f>
        <v/>
      </c>
    </row>
    <row r="322" customFormat="false" ht="15" hidden="false" customHeight="false" outlineLevel="0" collapsed="false">
      <c r="A322" s="12"/>
      <c r="B322" s="12"/>
      <c r="C322" s="13"/>
      <c r="D322" s="14"/>
      <c r="E322" s="15"/>
      <c r="F322" s="16" t="str">
        <f aca="false">IF(OR(C322="",D322=""),"",EDATE(D322,IFERROR(INDEX(Paketler!$B$5:$B$24,MATCH(C322,Paketler!$A$5:$A$24,0)),0))-1)</f>
        <v/>
      </c>
      <c r="G322" s="17" t="str">
        <f aca="false">IF(F322="","",IFERROR(INDEX(Paketler!$C$5:$C$24,MATCH(C322,Paketler!$A$5:$A$24,0)),0))</f>
        <v/>
      </c>
      <c r="H322" s="17" t="str">
        <f aca="false">IF(F322="","",G322-E322)</f>
        <v/>
      </c>
      <c r="I322" s="18" t="str">
        <f aca="true">IF(F322="","",F322-TODAY())</f>
        <v/>
      </c>
      <c r="J322" s="19" t="str">
        <f aca="true">IF(F322="","",IF(TODAY()&lt;D322,"Başlamadı",IF(TODAY()&gt;F322,"Bitti",IF(F322-TODAY()&lt;=7,"Bitiyor","Aktif"))))</f>
        <v/>
      </c>
      <c r="K322" s="19" t="str">
        <f aca="false">IF(OR(J322="Aktif",J322="Bitiyor"),F322+ROW()/1000000,"")</f>
        <v/>
      </c>
    </row>
    <row r="323" customFormat="false" ht="15" hidden="false" customHeight="false" outlineLevel="0" collapsed="false">
      <c r="A323" s="12"/>
      <c r="B323" s="12"/>
      <c r="C323" s="13"/>
      <c r="D323" s="14"/>
      <c r="E323" s="15"/>
      <c r="F323" s="16" t="str">
        <f aca="false">IF(OR(C323="",D323=""),"",EDATE(D323,IFERROR(INDEX(Paketler!$B$5:$B$24,MATCH(C323,Paketler!$A$5:$A$24,0)),0))-1)</f>
        <v/>
      </c>
      <c r="G323" s="17" t="str">
        <f aca="false">IF(F323="","",IFERROR(INDEX(Paketler!$C$5:$C$24,MATCH(C323,Paketler!$A$5:$A$24,0)),0))</f>
        <v/>
      </c>
      <c r="H323" s="17" t="str">
        <f aca="false">IF(F323="","",G323-E323)</f>
        <v/>
      </c>
      <c r="I323" s="18" t="str">
        <f aca="true">IF(F323="","",F323-TODAY())</f>
        <v/>
      </c>
      <c r="J323" s="19" t="str">
        <f aca="true">IF(F323="","",IF(TODAY()&lt;D323,"Başlamadı",IF(TODAY()&gt;F323,"Bitti",IF(F323-TODAY()&lt;=7,"Bitiyor","Aktif"))))</f>
        <v/>
      </c>
      <c r="K323" s="19" t="str">
        <f aca="false">IF(OR(J323="Aktif",J323="Bitiyor"),F323+ROW()/1000000,"")</f>
        <v/>
      </c>
    </row>
    <row r="324" customFormat="false" ht="15" hidden="false" customHeight="false" outlineLevel="0" collapsed="false">
      <c r="A324" s="12"/>
      <c r="B324" s="12"/>
      <c r="C324" s="13"/>
      <c r="D324" s="14"/>
      <c r="E324" s="15"/>
      <c r="F324" s="16" t="str">
        <f aca="false">IF(OR(C324="",D324=""),"",EDATE(D324,IFERROR(INDEX(Paketler!$B$5:$B$24,MATCH(C324,Paketler!$A$5:$A$24,0)),0))-1)</f>
        <v/>
      </c>
      <c r="G324" s="17" t="str">
        <f aca="false">IF(F324="","",IFERROR(INDEX(Paketler!$C$5:$C$24,MATCH(C324,Paketler!$A$5:$A$24,0)),0))</f>
        <v/>
      </c>
      <c r="H324" s="17" t="str">
        <f aca="false">IF(F324="","",G324-E324)</f>
        <v/>
      </c>
      <c r="I324" s="18" t="str">
        <f aca="true">IF(F324="","",F324-TODAY())</f>
        <v/>
      </c>
      <c r="J324" s="19" t="str">
        <f aca="true">IF(F324="","",IF(TODAY()&lt;D324,"Başlamadı",IF(TODAY()&gt;F324,"Bitti",IF(F324-TODAY()&lt;=7,"Bitiyor","Aktif"))))</f>
        <v/>
      </c>
      <c r="K324" s="19" t="str">
        <f aca="false">IF(OR(J324="Aktif",J324="Bitiyor"),F324+ROW()/1000000,"")</f>
        <v/>
      </c>
    </row>
    <row r="325" customFormat="false" ht="15" hidden="false" customHeight="false" outlineLevel="0" collapsed="false">
      <c r="A325" s="12"/>
      <c r="B325" s="12"/>
      <c r="C325" s="13"/>
      <c r="D325" s="14"/>
      <c r="E325" s="15"/>
      <c r="F325" s="16" t="str">
        <f aca="false">IF(OR(C325="",D325=""),"",EDATE(D325,IFERROR(INDEX(Paketler!$B$5:$B$24,MATCH(C325,Paketler!$A$5:$A$24,0)),0))-1)</f>
        <v/>
      </c>
      <c r="G325" s="17" t="str">
        <f aca="false">IF(F325="","",IFERROR(INDEX(Paketler!$C$5:$C$24,MATCH(C325,Paketler!$A$5:$A$24,0)),0))</f>
        <v/>
      </c>
      <c r="H325" s="17" t="str">
        <f aca="false">IF(F325="","",G325-E325)</f>
        <v/>
      </c>
      <c r="I325" s="18" t="str">
        <f aca="true">IF(F325="","",F325-TODAY())</f>
        <v/>
      </c>
      <c r="J325" s="19" t="str">
        <f aca="true">IF(F325="","",IF(TODAY()&lt;D325,"Başlamadı",IF(TODAY()&gt;F325,"Bitti",IF(F325-TODAY()&lt;=7,"Bitiyor","Aktif"))))</f>
        <v/>
      </c>
      <c r="K325" s="19" t="str">
        <f aca="false">IF(OR(J325="Aktif",J325="Bitiyor"),F325+ROW()/1000000,"")</f>
        <v/>
      </c>
    </row>
    <row r="326" customFormat="false" ht="15" hidden="false" customHeight="false" outlineLevel="0" collapsed="false">
      <c r="A326" s="12"/>
      <c r="B326" s="12"/>
      <c r="C326" s="13"/>
      <c r="D326" s="14"/>
      <c r="E326" s="15"/>
      <c r="F326" s="16" t="str">
        <f aca="false">IF(OR(C326="",D326=""),"",EDATE(D326,IFERROR(INDEX(Paketler!$B$5:$B$24,MATCH(C326,Paketler!$A$5:$A$24,0)),0))-1)</f>
        <v/>
      </c>
      <c r="G326" s="17" t="str">
        <f aca="false">IF(F326="","",IFERROR(INDEX(Paketler!$C$5:$C$24,MATCH(C326,Paketler!$A$5:$A$24,0)),0))</f>
        <v/>
      </c>
      <c r="H326" s="17" t="str">
        <f aca="false">IF(F326="","",G326-E326)</f>
        <v/>
      </c>
      <c r="I326" s="18" t="str">
        <f aca="true">IF(F326="","",F326-TODAY())</f>
        <v/>
      </c>
      <c r="J326" s="19" t="str">
        <f aca="true">IF(F326="","",IF(TODAY()&lt;D326,"Başlamadı",IF(TODAY()&gt;F326,"Bitti",IF(F326-TODAY()&lt;=7,"Bitiyor","Aktif"))))</f>
        <v/>
      </c>
      <c r="K326" s="19" t="str">
        <f aca="false">IF(OR(J326="Aktif",J326="Bitiyor"),F326+ROW()/1000000,"")</f>
        <v/>
      </c>
    </row>
    <row r="327" customFormat="false" ht="15" hidden="false" customHeight="false" outlineLevel="0" collapsed="false">
      <c r="A327" s="12"/>
      <c r="B327" s="12"/>
      <c r="C327" s="13"/>
      <c r="D327" s="14"/>
      <c r="E327" s="15"/>
      <c r="F327" s="16" t="str">
        <f aca="false">IF(OR(C327="",D327=""),"",EDATE(D327,IFERROR(INDEX(Paketler!$B$5:$B$24,MATCH(C327,Paketler!$A$5:$A$24,0)),0))-1)</f>
        <v/>
      </c>
      <c r="G327" s="17" t="str">
        <f aca="false">IF(F327="","",IFERROR(INDEX(Paketler!$C$5:$C$24,MATCH(C327,Paketler!$A$5:$A$24,0)),0))</f>
        <v/>
      </c>
      <c r="H327" s="17" t="str">
        <f aca="false">IF(F327="","",G327-E327)</f>
        <v/>
      </c>
      <c r="I327" s="18" t="str">
        <f aca="true">IF(F327="","",F327-TODAY())</f>
        <v/>
      </c>
      <c r="J327" s="19" t="str">
        <f aca="true">IF(F327="","",IF(TODAY()&lt;D327,"Başlamadı",IF(TODAY()&gt;F327,"Bitti",IF(F327-TODAY()&lt;=7,"Bitiyor","Aktif"))))</f>
        <v/>
      </c>
      <c r="K327" s="19" t="str">
        <f aca="false">IF(OR(J327="Aktif",J327="Bitiyor"),F327+ROW()/1000000,"")</f>
        <v/>
      </c>
    </row>
    <row r="328" customFormat="false" ht="15" hidden="false" customHeight="false" outlineLevel="0" collapsed="false">
      <c r="A328" s="12"/>
      <c r="B328" s="12"/>
      <c r="C328" s="13"/>
      <c r="D328" s="14"/>
      <c r="E328" s="15"/>
      <c r="F328" s="16" t="str">
        <f aca="false">IF(OR(C328="",D328=""),"",EDATE(D328,IFERROR(INDEX(Paketler!$B$5:$B$24,MATCH(C328,Paketler!$A$5:$A$24,0)),0))-1)</f>
        <v/>
      </c>
      <c r="G328" s="17" t="str">
        <f aca="false">IF(F328="","",IFERROR(INDEX(Paketler!$C$5:$C$24,MATCH(C328,Paketler!$A$5:$A$24,0)),0))</f>
        <v/>
      </c>
      <c r="H328" s="17" t="str">
        <f aca="false">IF(F328="","",G328-E328)</f>
        <v/>
      </c>
      <c r="I328" s="18" t="str">
        <f aca="true">IF(F328="","",F328-TODAY())</f>
        <v/>
      </c>
      <c r="J328" s="19" t="str">
        <f aca="true">IF(F328="","",IF(TODAY()&lt;D328,"Başlamadı",IF(TODAY()&gt;F328,"Bitti",IF(F328-TODAY()&lt;=7,"Bitiyor","Aktif"))))</f>
        <v/>
      </c>
      <c r="K328" s="19" t="str">
        <f aca="false">IF(OR(J328="Aktif",J328="Bitiyor"),F328+ROW()/1000000,"")</f>
        <v/>
      </c>
    </row>
    <row r="329" customFormat="false" ht="15" hidden="false" customHeight="false" outlineLevel="0" collapsed="false">
      <c r="A329" s="12"/>
      <c r="B329" s="12"/>
      <c r="C329" s="13"/>
      <c r="D329" s="14"/>
      <c r="E329" s="15"/>
      <c r="F329" s="16" t="str">
        <f aca="false">IF(OR(C329="",D329=""),"",EDATE(D329,IFERROR(INDEX(Paketler!$B$5:$B$24,MATCH(C329,Paketler!$A$5:$A$24,0)),0))-1)</f>
        <v/>
      </c>
      <c r="G329" s="17" t="str">
        <f aca="false">IF(F329="","",IFERROR(INDEX(Paketler!$C$5:$C$24,MATCH(C329,Paketler!$A$5:$A$24,0)),0))</f>
        <v/>
      </c>
      <c r="H329" s="17" t="str">
        <f aca="false">IF(F329="","",G329-E329)</f>
        <v/>
      </c>
      <c r="I329" s="18" t="str">
        <f aca="true">IF(F329="","",F329-TODAY())</f>
        <v/>
      </c>
      <c r="J329" s="19" t="str">
        <f aca="true">IF(F329="","",IF(TODAY()&lt;D329,"Başlamadı",IF(TODAY()&gt;F329,"Bitti",IF(F329-TODAY()&lt;=7,"Bitiyor","Aktif"))))</f>
        <v/>
      </c>
      <c r="K329" s="19" t="str">
        <f aca="false">IF(OR(J329="Aktif",J329="Bitiyor"),F329+ROW()/1000000,"")</f>
        <v/>
      </c>
    </row>
    <row r="330" customFormat="false" ht="15" hidden="false" customHeight="false" outlineLevel="0" collapsed="false">
      <c r="A330" s="12"/>
      <c r="B330" s="12"/>
      <c r="C330" s="13"/>
      <c r="D330" s="14"/>
      <c r="E330" s="15"/>
      <c r="F330" s="16" t="str">
        <f aca="false">IF(OR(C330="",D330=""),"",EDATE(D330,IFERROR(INDEX(Paketler!$B$5:$B$24,MATCH(C330,Paketler!$A$5:$A$24,0)),0))-1)</f>
        <v/>
      </c>
      <c r="G330" s="17" t="str">
        <f aca="false">IF(F330="","",IFERROR(INDEX(Paketler!$C$5:$C$24,MATCH(C330,Paketler!$A$5:$A$24,0)),0))</f>
        <v/>
      </c>
      <c r="H330" s="17" t="str">
        <f aca="false">IF(F330="","",G330-E330)</f>
        <v/>
      </c>
      <c r="I330" s="18" t="str">
        <f aca="true">IF(F330="","",F330-TODAY())</f>
        <v/>
      </c>
      <c r="J330" s="19" t="str">
        <f aca="true">IF(F330="","",IF(TODAY()&lt;D330,"Başlamadı",IF(TODAY()&gt;F330,"Bitti",IF(F330-TODAY()&lt;=7,"Bitiyor","Aktif"))))</f>
        <v/>
      </c>
      <c r="K330" s="19" t="str">
        <f aca="false">IF(OR(J330="Aktif",J330="Bitiyor"),F330+ROW()/1000000,"")</f>
        <v/>
      </c>
    </row>
    <row r="331" customFormat="false" ht="15" hidden="false" customHeight="false" outlineLevel="0" collapsed="false">
      <c r="A331" s="12"/>
      <c r="B331" s="12"/>
      <c r="C331" s="13"/>
      <c r="D331" s="14"/>
      <c r="E331" s="15"/>
      <c r="F331" s="16" t="str">
        <f aca="false">IF(OR(C331="",D331=""),"",EDATE(D331,IFERROR(INDEX(Paketler!$B$5:$B$24,MATCH(C331,Paketler!$A$5:$A$24,0)),0))-1)</f>
        <v/>
      </c>
      <c r="G331" s="17" t="str">
        <f aca="false">IF(F331="","",IFERROR(INDEX(Paketler!$C$5:$C$24,MATCH(C331,Paketler!$A$5:$A$24,0)),0))</f>
        <v/>
      </c>
      <c r="H331" s="17" t="str">
        <f aca="false">IF(F331="","",G331-E331)</f>
        <v/>
      </c>
      <c r="I331" s="18" t="str">
        <f aca="true">IF(F331="","",F331-TODAY())</f>
        <v/>
      </c>
      <c r="J331" s="19" t="str">
        <f aca="true">IF(F331="","",IF(TODAY()&lt;D331,"Başlamadı",IF(TODAY()&gt;F331,"Bitti",IF(F331-TODAY()&lt;=7,"Bitiyor","Aktif"))))</f>
        <v/>
      </c>
      <c r="K331" s="19" t="str">
        <f aca="false">IF(OR(J331="Aktif",J331="Bitiyor"),F331+ROW()/1000000,"")</f>
        <v/>
      </c>
    </row>
    <row r="332" customFormat="false" ht="15" hidden="false" customHeight="false" outlineLevel="0" collapsed="false">
      <c r="A332" s="12"/>
      <c r="B332" s="12"/>
      <c r="C332" s="13"/>
      <c r="D332" s="14"/>
      <c r="E332" s="15"/>
      <c r="F332" s="16" t="str">
        <f aca="false">IF(OR(C332="",D332=""),"",EDATE(D332,IFERROR(INDEX(Paketler!$B$5:$B$24,MATCH(C332,Paketler!$A$5:$A$24,0)),0))-1)</f>
        <v/>
      </c>
      <c r="G332" s="17" t="str">
        <f aca="false">IF(F332="","",IFERROR(INDEX(Paketler!$C$5:$C$24,MATCH(C332,Paketler!$A$5:$A$24,0)),0))</f>
        <v/>
      </c>
      <c r="H332" s="17" t="str">
        <f aca="false">IF(F332="","",G332-E332)</f>
        <v/>
      </c>
      <c r="I332" s="18" t="str">
        <f aca="true">IF(F332="","",F332-TODAY())</f>
        <v/>
      </c>
      <c r="J332" s="19" t="str">
        <f aca="true">IF(F332="","",IF(TODAY()&lt;D332,"Başlamadı",IF(TODAY()&gt;F332,"Bitti",IF(F332-TODAY()&lt;=7,"Bitiyor","Aktif"))))</f>
        <v/>
      </c>
      <c r="K332" s="19" t="str">
        <f aca="false">IF(OR(J332="Aktif",J332="Bitiyor"),F332+ROW()/1000000,"")</f>
        <v/>
      </c>
    </row>
    <row r="333" customFormat="false" ht="15" hidden="false" customHeight="false" outlineLevel="0" collapsed="false">
      <c r="A333" s="12"/>
      <c r="B333" s="12"/>
      <c r="C333" s="13"/>
      <c r="D333" s="14"/>
      <c r="E333" s="15"/>
      <c r="F333" s="16" t="str">
        <f aca="false">IF(OR(C333="",D333=""),"",EDATE(D333,IFERROR(INDEX(Paketler!$B$5:$B$24,MATCH(C333,Paketler!$A$5:$A$24,0)),0))-1)</f>
        <v/>
      </c>
      <c r="G333" s="17" t="str">
        <f aca="false">IF(F333="","",IFERROR(INDEX(Paketler!$C$5:$C$24,MATCH(C333,Paketler!$A$5:$A$24,0)),0))</f>
        <v/>
      </c>
      <c r="H333" s="17" t="str">
        <f aca="false">IF(F333="","",G333-E333)</f>
        <v/>
      </c>
      <c r="I333" s="18" t="str">
        <f aca="true">IF(F333="","",F333-TODAY())</f>
        <v/>
      </c>
      <c r="J333" s="19" t="str">
        <f aca="true">IF(F333="","",IF(TODAY()&lt;D333,"Başlamadı",IF(TODAY()&gt;F333,"Bitti",IF(F333-TODAY()&lt;=7,"Bitiyor","Aktif"))))</f>
        <v/>
      </c>
      <c r="K333" s="19" t="str">
        <f aca="false">IF(OR(J333="Aktif",J333="Bitiyor"),F333+ROW()/1000000,"")</f>
        <v/>
      </c>
    </row>
    <row r="334" customFormat="false" ht="15" hidden="false" customHeight="false" outlineLevel="0" collapsed="false">
      <c r="A334" s="12"/>
      <c r="B334" s="12"/>
      <c r="C334" s="13"/>
      <c r="D334" s="14"/>
      <c r="E334" s="15"/>
      <c r="F334" s="16" t="str">
        <f aca="false">IF(OR(C334="",D334=""),"",EDATE(D334,IFERROR(INDEX(Paketler!$B$5:$B$24,MATCH(C334,Paketler!$A$5:$A$24,0)),0))-1)</f>
        <v/>
      </c>
      <c r="G334" s="17" t="str">
        <f aca="false">IF(F334="","",IFERROR(INDEX(Paketler!$C$5:$C$24,MATCH(C334,Paketler!$A$5:$A$24,0)),0))</f>
        <v/>
      </c>
      <c r="H334" s="17" t="str">
        <f aca="false">IF(F334="","",G334-E334)</f>
        <v/>
      </c>
      <c r="I334" s="18" t="str">
        <f aca="true">IF(F334="","",F334-TODAY())</f>
        <v/>
      </c>
      <c r="J334" s="19" t="str">
        <f aca="true">IF(F334="","",IF(TODAY()&lt;D334,"Başlamadı",IF(TODAY()&gt;F334,"Bitti",IF(F334-TODAY()&lt;=7,"Bitiyor","Aktif"))))</f>
        <v/>
      </c>
      <c r="K334" s="19" t="str">
        <f aca="false">IF(OR(J334="Aktif",J334="Bitiyor"),F334+ROW()/1000000,"")</f>
        <v/>
      </c>
    </row>
    <row r="335" customFormat="false" ht="15" hidden="false" customHeight="false" outlineLevel="0" collapsed="false">
      <c r="A335" s="12"/>
      <c r="B335" s="12"/>
      <c r="C335" s="13"/>
      <c r="D335" s="14"/>
      <c r="E335" s="15"/>
      <c r="F335" s="16" t="str">
        <f aca="false">IF(OR(C335="",D335=""),"",EDATE(D335,IFERROR(INDEX(Paketler!$B$5:$B$24,MATCH(C335,Paketler!$A$5:$A$24,0)),0))-1)</f>
        <v/>
      </c>
      <c r="G335" s="17" t="str">
        <f aca="false">IF(F335="","",IFERROR(INDEX(Paketler!$C$5:$C$24,MATCH(C335,Paketler!$A$5:$A$24,0)),0))</f>
        <v/>
      </c>
      <c r="H335" s="17" t="str">
        <f aca="false">IF(F335="","",G335-E335)</f>
        <v/>
      </c>
      <c r="I335" s="18" t="str">
        <f aca="true">IF(F335="","",F335-TODAY())</f>
        <v/>
      </c>
      <c r="J335" s="19" t="str">
        <f aca="true">IF(F335="","",IF(TODAY()&lt;D335,"Başlamadı",IF(TODAY()&gt;F335,"Bitti",IF(F335-TODAY()&lt;=7,"Bitiyor","Aktif"))))</f>
        <v/>
      </c>
      <c r="K335" s="19" t="str">
        <f aca="false">IF(OR(J335="Aktif",J335="Bitiyor"),F335+ROW()/1000000,"")</f>
        <v/>
      </c>
    </row>
    <row r="336" customFormat="false" ht="15" hidden="false" customHeight="false" outlineLevel="0" collapsed="false">
      <c r="A336" s="12"/>
      <c r="B336" s="12"/>
      <c r="C336" s="13"/>
      <c r="D336" s="14"/>
      <c r="E336" s="15"/>
      <c r="F336" s="16" t="str">
        <f aca="false">IF(OR(C336="",D336=""),"",EDATE(D336,IFERROR(INDEX(Paketler!$B$5:$B$24,MATCH(C336,Paketler!$A$5:$A$24,0)),0))-1)</f>
        <v/>
      </c>
      <c r="G336" s="17" t="str">
        <f aca="false">IF(F336="","",IFERROR(INDEX(Paketler!$C$5:$C$24,MATCH(C336,Paketler!$A$5:$A$24,0)),0))</f>
        <v/>
      </c>
      <c r="H336" s="17" t="str">
        <f aca="false">IF(F336="","",G336-E336)</f>
        <v/>
      </c>
      <c r="I336" s="18" t="str">
        <f aca="true">IF(F336="","",F336-TODAY())</f>
        <v/>
      </c>
      <c r="J336" s="19" t="str">
        <f aca="true">IF(F336="","",IF(TODAY()&lt;D336,"Başlamadı",IF(TODAY()&gt;F336,"Bitti",IF(F336-TODAY()&lt;=7,"Bitiyor","Aktif"))))</f>
        <v/>
      </c>
      <c r="K336" s="19" t="str">
        <f aca="false">IF(OR(J336="Aktif",J336="Bitiyor"),F336+ROW()/1000000,"")</f>
        <v/>
      </c>
    </row>
    <row r="337" customFormat="false" ht="15" hidden="false" customHeight="false" outlineLevel="0" collapsed="false">
      <c r="A337" s="12"/>
      <c r="B337" s="12"/>
      <c r="C337" s="13"/>
      <c r="D337" s="14"/>
      <c r="E337" s="15"/>
      <c r="F337" s="16" t="str">
        <f aca="false">IF(OR(C337="",D337=""),"",EDATE(D337,IFERROR(INDEX(Paketler!$B$5:$B$24,MATCH(C337,Paketler!$A$5:$A$24,0)),0))-1)</f>
        <v/>
      </c>
      <c r="G337" s="17" t="str">
        <f aca="false">IF(F337="","",IFERROR(INDEX(Paketler!$C$5:$C$24,MATCH(C337,Paketler!$A$5:$A$24,0)),0))</f>
        <v/>
      </c>
      <c r="H337" s="17" t="str">
        <f aca="false">IF(F337="","",G337-E337)</f>
        <v/>
      </c>
      <c r="I337" s="18" t="str">
        <f aca="true">IF(F337="","",F337-TODAY())</f>
        <v/>
      </c>
      <c r="J337" s="19" t="str">
        <f aca="true">IF(F337="","",IF(TODAY()&lt;D337,"Başlamadı",IF(TODAY()&gt;F337,"Bitti",IF(F337-TODAY()&lt;=7,"Bitiyor","Aktif"))))</f>
        <v/>
      </c>
      <c r="K337" s="19" t="str">
        <f aca="false">IF(OR(J337="Aktif",J337="Bitiyor"),F337+ROW()/1000000,"")</f>
        <v/>
      </c>
    </row>
    <row r="338" customFormat="false" ht="15" hidden="false" customHeight="false" outlineLevel="0" collapsed="false">
      <c r="A338" s="12"/>
      <c r="B338" s="12"/>
      <c r="C338" s="13"/>
      <c r="D338" s="14"/>
      <c r="E338" s="15"/>
      <c r="F338" s="16" t="str">
        <f aca="false">IF(OR(C338="",D338=""),"",EDATE(D338,IFERROR(INDEX(Paketler!$B$5:$B$24,MATCH(C338,Paketler!$A$5:$A$24,0)),0))-1)</f>
        <v/>
      </c>
      <c r="G338" s="17" t="str">
        <f aca="false">IF(F338="","",IFERROR(INDEX(Paketler!$C$5:$C$24,MATCH(C338,Paketler!$A$5:$A$24,0)),0))</f>
        <v/>
      </c>
      <c r="H338" s="17" t="str">
        <f aca="false">IF(F338="","",G338-E338)</f>
        <v/>
      </c>
      <c r="I338" s="18" t="str">
        <f aca="true">IF(F338="","",F338-TODAY())</f>
        <v/>
      </c>
      <c r="J338" s="19" t="str">
        <f aca="true">IF(F338="","",IF(TODAY()&lt;D338,"Başlamadı",IF(TODAY()&gt;F338,"Bitti",IF(F338-TODAY()&lt;=7,"Bitiyor","Aktif"))))</f>
        <v/>
      </c>
      <c r="K338" s="19" t="str">
        <f aca="false">IF(OR(J338="Aktif",J338="Bitiyor"),F338+ROW()/1000000,"")</f>
        <v/>
      </c>
    </row>
    <row r="339" customFormat="false" ht="15" hidden="false" customHeight="false" outlineLevel="0" collapsed="false">
      <c r="A339" s="12"/>
      <c r="B339" s="12"/>
      <c r="C339" s="13"/>
      <c r="D339" s="14"/>
      <c r="E339" s="15"/>
      <c r="F339" s="16" t="str">
        <f aca="false">IF(OR(C339="",D339=""),"",EDATE(D339,IFERROR(INDEX(Paketler!$B$5:$B$24,MATCH(C339,Paketler!$A$5:$A$24,0)),0))-1)</f>
        <v/>
      </c>
      <c r="G339" s="17" t="str">
        <f aca="false">IF(F339="","",IFERROR(INDEX(Paketler!$C$5:$C$24,MATCH(C339,Paketler!$A$5:$A$24,0)),0))</f>
        <v/>
      </c>
      <c r="H339" s="17" t="str">
        <f aca="false">IF(F339="","",G339-E339)</f>
        <v/>
      </c>
      <c r="I339" s="18" t="str">
        <f aca="true">IF(F339="","",F339-TODAY())</f>
        <v/>
      </c>
      <c r="J339" s="19" t="str">
        <f aca="true">IF(F339="","",IF(TODAY()&lt;D339,"Başlamadı",IF(TODAY()&gt;F339,"Bitti",IF(F339-TODAY()&lt;=7,"Bitiyor","Aktif"))))</f>
        <v/>
      </c>
      <c r="K339" s="19" t="str">
        <f aca="false">IF(OR(J339="Aktif",J339="Bitiyor"),F339+ROW()/1000000,"")</f>
        <v/>
      </c>
    </row>
    <row r="340" customFormat="false" ht="15" hidden="false" customHeight="false" outlineLevel="0" collapsed="false">
      <c r="A340" s="12"/>
      <c r="B340" s="12"/>
      <c r="C340" s="13"/>
      <c r="D340" s="14"/>
      <c r="E340" s="15"/>
      <c r="F340" s="16" t="str">
        <f aca="false">IF(OR(C340="",D340=""),"",EDATE(D340,IFERROR(INDEX(Paketler!$B$5:$B$24,MATCH(C340,Paketler!$A$5:$A$24,0)),0))-1)</f>
        <v/>
      </c>
      <c r="G340" s="17" t="str">
        <f aca="false">IF(F340="","",IFERROR(INDEX(Paketler!$C$5:$C$24,MATCH(C340,Paketler!$A$5:$A$24,0)),0))</f>
        <v/>
      </c>
      <c r="H340" s="17" t="str">
        <f aca="false">IF(F340="","",G340-E340)</f>
        <v/>
      </c>
      <c r="I340" s="18" t="str">
        <f aca="true">IF(F340="","",F340-TODAY())</f>
        <v/>
      </c>
      <c r="J340" s="19" t="str">
        <f aca="true">IF(F340="","",IF(TODAY()&lt;D340,"Başlamadı",IF(TODAY()&gt;F340,"Bitti",IF(F340-TODAY()&lt;=7,"Bitiyor","Aktif"))))</f>
        <v/>
      </c>
      <c r="K340" s="19" t="str">
        <f aca="false">IF(OR(J340="Aktif",J340="Bitiyor"),F340+ROW()/1000000,"")</f>
        <v/>
      </c>
    </row>
    <row r="341" customFormat="false" ht="15" hidden="false" customHeight="false" outlineLevel="0" collapsed="false">
      <c r="A341" s="12"/>
      <c r="B341" s="12"/>
      <c r="C341" s="13"/>
      <c r="D341" s="14"/>
      <c r="E341" s="15"/>
      <c r="F341" s="16" t="str">
        <f aca="false">IF(OR(C341="",D341=""),"",EDATE(D341,IFERROR(INDEX(Paketler!$B$5:$B$24,MATCH(C341,Paketler!$A$5:$A$24,0)),0))-1)</f>
        <v/>
      </c>
      <c r="G341" s="17" t="str">
        <f aca="false">IF(F341="","",IFERROR(INDEX(Paketler!$C$5:$C$24,MATCH(C341,Paketler!$A$5:$A$24,0)),0))</f>
        <v/>
      </c>
      <c r="H341" s="17" t="str">
        <f aca="false">IF(F341="","",G341-E341)</f>
        <v/>
      </c>
      <c r="I341" s="18" t="str">
        <f aca="true">IF(F341="","",F341-TODAY())</f>
        <v/>
      </c>
      <c r="J341" s="19" t="str">
        <f aca="true">IF(F341="","",IF(TODAY()&lt;D341,"Başlamadı",IF(TODAY()&gt;F341,"Bitti",IF(F341-TODAY()&lt;=7,"Bitiyor","Aktif"))))</f>
        <v/>
      </c>
      <c r="K341" s="19" t="str">
        <f aca="false">IF(OR(J341="Aktif",J341="Bitiyor"),F341+ROW()/1000000,"")</f>
        <v/>
      </c>
    </row>
    <row r="342" customFormat="false" ht="15" hidden="false" customHeight="false" outlineLevel="0" collapsed="false">
      <c r="A342" s="12"/>
      <c r="B342" s="12"/>
      <c r="C342" s="13"/>
      <c r="D342" s="14"/>
      <c r="E342" s="15"/>
      <c r="F342" s="16" t="str">
        <f aca="false">IF(OR(C342="",D342=""),"",EDATE(D342,IFERROR(INDEX(Paketler!$B$5:$B$24,MATCH(C342,Paketler!$A$5:$A$24,0)),0))-1)</f>
        <v/>
      </c>
      <c r="G342" s="17" t="str">
        <f aca="false">IF(F342="","",IFERROR(INDEX(Paketler!$C$5:$C$24,MATCH(C342,Paketler!$A$5:$A$24,0)),0))</f>
        <v/>
      </c>
      <c r="H342" s="17" t="str">
        <f aca="false">IF(F342="","",G342-E342)</f>
        <v/>
      </c>
      <c r="I342" s="18" t="str">
        <f aca="true">IF(F342="","",F342-TODAY())</f>
        <v/>
      </c>
      <c r="J342" s="19" t="str">
        <f aca="true">IF(F342="","",IF(TODAY()&lt;D342,"Başlamadı",IF(TODAY()&gt;F342,"Bitti",IF(F342-TODAY()&lt;=7,"Bitiyor","Aktif"))))</f>
        <v/>
      </c>
      <c r="K342" s="19" t="str">
        <f aca="false">IF(OR(J342="Aktif",J342="Bitiyor"),F342+ROW()/1000000,"")</f>
        <v/>
      </c>
    </row>
    <row r="343" customFormat="false" ht="15" hidden="false" customHeight="false" outlineLevel="0" collapsed="false">
      <c r="A343" s="12"/>
      <c r="B343" s="12"/>
      <c r="C343" s="13"/>
      <c r="D343" s="14"/>
      <c r="E343" s="15"/>
      <c r="F343" s="16" t="str">
        <f aca="false">IF(OR(C343="",D343=""),"",EDATE(D343,IFERROR(INDEX(Paketler!$B$5:$B$24,MATCH(C343,Paketler!$A$5:$A$24,0)),0))-1)</f>
        <v/>
      </c>
      <c r="G343" s="17" t="str">
        <f aca="false">IF(F343="","",IFERROR(INDEX(Paketler!$C$5:$C$24,MATCH(C343,Paketler!$A$5:$A$24,0)),0))</f>
        <v/>
      </c>
      <c r="H343" s="17" t="str">
        <f aca="false">IF(F343="","",G343-E343)</f>
        <v/>
      </c>
      <c r="I343" s="18" t="str">
        <f aca="true">IF(F343="","",F343-TODAY())</f>
        <v/>
      </c>
      <c r="J343" s="19" t="str">
        <f aca="true">IF(F343="","",IF(TODAY()&lt;D343,"Başlamadı",IF(TODAY()&gt;F343,"Bitti",IF(F343-TODAY()&lt;=7,"Bitiyor","Aktif"))))</f>
        <v/>
      </c>
      <c r="K343" s="19" t="str">
        <f aca="false">IF(OR(J343="Aktif",J343="Bitiyor"),F343+ROW()/1000000,"")</f>
        <v/>
      </c>
    </row>
    <row r="344" customFormat="false" ht="15" hidden="false" customHeight="false" outlineLevel="0" collapsed="false">
      <c r="A344" s="12"/>
      <c r="B344" s="12"/>
      <c r="C344" s="13"/>
      <c r="D344" s="14"/>
      <c r="E344" s="15"/>
      <c r="F344" s="16" t="str">
        <f aca="false">IF(OR(C344="",D344=""),"",EDATE(D344,IFERROR(INDEX(Paketler!$B$5:$B$24,MATCH(C344,Paketler!$A$5:$A$24,0)),0))-1)</f>
        <v/>
      </c>
      <c r="G344" s="17" t="str">
        <f aca="false">IF(F344="","",IFERROR(INDEX(Paketler!$C$5:$C$24,MATCH(C344,Paketler!$A$5:$A$24,0)),0))</f>
        <v/>
      </c>
      <c r="H344" s="17" t="str">
        <f aca="false">IF(F344="","",G344-E344)</f>
        <v/>
      </c>
      <c r="I344" s="18" t="str">
        <f aca="true">IF(F344="","",F344-TODAY())</f>
        <v/>
      </c>
      <c r="J344" s="19" t="str">
        <f aca="true">IF(F344="","",IF(TODAY()&lt;D344,"Başlamadı",IF(TODAY()&gt;F344,"Bitti",IF(F344-TODAY()&lt;=7,"Bitiyor","Aktif"))))</f>
        <v/>
      </c>
      <c r="K344" s="19" t="str">
        <f aca="false">IF(OR(J344="Aktif",J344="Bitiyor"),F344+ROW()/1000000,"")</f>
        <v/>
      </c>
    </row>
    <row r="345" customFormat="false" ht="15" hidden="false" customHeight="false" outlineLevel="0" collapsed="false">
      <c r="A345" s="12"/>
      <c r="B345" s="12"/>
      <c r="C345" s="13"/>
      <c r="D345" s="14"/>
      <c r="E345" s="15"/>
      <c r="F345" s="16" t="str">
        <f aca="false">IF(OR(C345="",D345=""),"",EDATE(D345,IFERROR(INDEX(Paketler!$B$5:$B$24,MATCH(C345,Paketler!$A$5:$A$24,0)),0))-1)</f>
        <v/>
      </c>
      <c r="G345" s="17" t="str">
        <f aca="false">IF(F345="","",IFERROR(INDEX(Paketler!$C$5:$C$24,MATCH(C345,Paketler!$A$5:$A$24,0)),0))</f>
        <v/>
      </c>
      <c r="H345" s="17" t="str">
        <f aca="false">IF(F345="","",G345-E345)</f>
        <v/>
      </c>
      <c r="I345" s="18" t="str">
        <f aca="true">IF(F345="","",F345-TODAY())</f>
        <v/>
      </c>
      <c r="J345" s="19" t="str">
        <f aca="true">IF(F345="","",IF(TODAY()&lt;D345,"Başlamadı",IF(TODAY()&gt;F345,"Bitti",IF(F345-TODAY()&lt;=7,"Bitiyor","Aktif"))))</f>
        <v/>
      </c>
      <c r="K345" s="19" t="str">
        <f aca="false">IF(OR(J345="Aktif",J345="Bitiyor"),F345+ROW()/1000000,"")</f>
        <v/>
      </c>
    </row>
    <row r="346" customFormat="false" ht="15" hidden="false" customHeight="false" outlineLevel="0" collapsed="false">
      <c r="A346" s="12"/>
      <c r="B346" s="12"/>
      <c r="C346" s="13"/>
      <c r="D346" s="14"/>
      <c r="E346" s="15"/>
      <c r="F346" s="16" t="str">
        <f aca="false">IF(OR(C346="",D346=""),"",EDATE(D346,IFERROR(INDEX(Paketler!$B$5:$B$24,MATCH(C346,Paketler!$A$5:$A$24,0)),0))-1)</f>
        <v/>
      </c>
      <c r="G346" s="17" t="str">
        <f aca="false">IF(F346="","",IFERROR(INDEX(Paketler!$C$5:$C$24,MATCH(C346,Paketler!$A$5:$A$24,0)),0))</f>
        <v/>
      </c>
      <c r="H346" s="17" t="str">
        <f aca="false">IF(F346="","",G346-E346)</f>
        <v/>
      </c>
      <c r="I346" s="18" t="str">
        <f aca="true">IF(F346="","",F346-TODAY())</f>
        <v/>
      </c>
      <c r="J346" s="19" t="str">
        <f aca="true">IF(F346="","",IF(TODAY()&lt;D346,"Başlamadı",IF(TODAY()&gt;F346,"Bitti",IF(F346-TODAY()&lt;=7,"Bitiyor","Aktif"))))</f>
        <v/>
      </c>
      <c r="K346" s="19" t="str">
        <f aca="false">IF(OR(J346="Aktif",J346="Bitiyor"),F346+ROW()/1000000,"")</f>
        <v/>
      </c>
    </row>
    <row r="347" customFormat="false" ht="15" hidden="false" customHeight="false" outlineLevel="0" collapsed="false">
      <c r="A347" s="12"/>
      <c r="B347" s="12"/>
      <c r="C347" s="13"/>
      <c r="D347" s="14"/>
      <c r="E347" s="15"/>
      <c r="F347" s="16" t="str">
        <f aca="false">IF(OR(C347="",D347=""),"",EDATE(D347,IFERROR(INDEX(Paketler!$B$5:$B$24,MATCH(C347,Paketler!$A$5:$A$24,0)),0))-1)</f>
        <v/>
      </c>
      <c r="G347" s="17" t="str">
        <f aca="false">IF(F347="","",IFERROR(INDEX(Paketler!$C$5:$C$24,MATCH(C347,Paketler!$A$5:$A$24,0)),0))</f>
        <v/>
      </c>
      <c r="H347" s="17" t="str">
        <f aca="false">IF(F347="","",G347-E347)</f>
        <v/>
      </c>
      <c r="I347" s="18" t="str">
        <f aca="true">IF(F347="","",F347-TODAY())</f>
        <v/>
      </c>
      <c r="J347" s="19" t="str">
        <f aca="true">IF(F347="","",IF(TODAY()&lt;D347,"Başlamadı",IF(TODAY()&gt;F347,"Bitti",IF(F347-TODAY()&lt;=7,"Bitiyor","Aktif"))))</f>
        <v/>
      </c>
      <c r="K347" s="19" t="str">
        <f aca="false">IF(OR(J347="Aktif",J347="Bitiyor"),F347+ROW()/1000000,"")</f>
        <v/>
      </c>
    </row>
    <row r="348" customFormat="false" ht="15" hidden="false" customHeight="false" outlineLevel="0" collapsed="false">
      <c r="A348" s="12"/>
      <c r="B348" s="12"/>
      <c r="C348" s="13"/>
      <c r="D348" s="14"/>
      <c r="E348" s="15"/>
      <c r="F348" s="16" t="str">
        <f aca="false">IF(OR(C348="",D348=""),"",EDATE(D348,IFERROR(INDEX(Paketler!$B$5:$B$24,MATCH(C348,Paketler!$A$5:$A$24,0)),0))-1)</f>
        <v/>
      </c>
      <c r="G348" s="17" t="str">
        <f aca="false">IF(F348="","",IFERROR(INDEX(Paketler!$C$5:$C$24,MATCH(C348,Paketler!$A$5:$A$24,0)),0))</f>
        <v/>
      </c>
      <c r="H348" s="17" t="str">
        <f aca="false">IF(F348="","",G348-E348)</f>
        <v/>
      </c>
      <c r="I348" s="18" t="str">
        <f aca="true">IF(F348="","",F348-TODAY())</f>
        <v/>
      </c>
      <c r="J348" s="19" t="str">
        <f aca="true">IF(F348="","",IF(TODAY()&lt;D348,"Başlamadı",IF(TODAY()&gt;F348,"Bitti",IF(F348-TODAY()&lt;=7,"Bitiyor","Aktif"))))</f>
        <v/>
      </c>
      <c r="K348" s="19" t="str">
        <f aca="false">IF(OR(J348="Aktif",J348="Bitiyor"),F348+ROW()/1000000,"")</f>
        <v/>
      </c>
    </row>
    <row r="349" customFormat="false" ht="15" hidden="false" customHeight="false" outlineLevel="0" collapsed="false">
      <c r="A349" s="12"/>
      <c r="B349" s="12"/>
      <c r="C349" s="13"/>
      <c r="D349" s="14"/>
      <c r="E349" s="15"/>
      <c r="F349" s="16" t="str">
        <f aca="false">IF(OR(C349="",D349=""),"",EDATE(D349,IFERROR(INDEX(Paketler!$B$5:$B$24,MATCH(C349,Paketler!$A$5:$A$24,0)),0))-1)</f>
        <v/>
      </c>
      <c r="G349" s="17" t="str">
        <f aca="false">IF(F349="","",IFERROR(INDEX(Paketler!$C$5:$C$24,MATCH(C349,Paketler!$A$5:$A$24,0)),0))</f>
        <v/>
      </c>
      <c r="H349" s="17" t="str">
        <f aca="false">IF(F349="","",G349-E349)</f>
        <v/>
      </c>
      <c r="I349" s="18" t="str">
        <f aca="true">IF(F349="","",F349-TODAY())</f>
        <v/>
      </c>
      <c r="J349" s="19" t="str">
        <f aca="true">IF(F349="","",IF(TODAY()&lt;D349,"Başlamadı",IF(TODAY()&gt;F349,"Bitti",IF(F349-TODAY()&lt;=7,"Bitiyor","Aktif"))))</f>
        <v/>
      </c>
      <c r="K349" s="19" t="str">
        <f aca="false">IF(OR(J349="Aktif",J349="Bitiyor"),F349+ROW()/1000000,"")</f>
        <v/>
      </c>
    </row>
    <row r="350" customFormat="false" ht="15" hidden="false" customHeight="false" outlineLevel="0" collapsed="false">
      <c r="A350" s="12"/>
      <c r="B350" s="12"/>
      <c r="C350" s="13"/>
      <c r="D350" s="14"/>
      <c r="E350" s="15"/>
      <c r="F350" s="16" t="str">
        <f aca="false">IF(OR(C350="",D350=""),"",EDATE(D350,IFERROR(INDEX(Paketler!$B$5:$B$24,MATCH(C350,Paketler!$A$5:$A$24,0)),0))-1)</f>
        <v/>
      </c>
      <c r="G350" s="17" t="str">
        <f aca="false">IF(F350="","",IFERROR(INDEX(Paketler!$C$5:$C$24,MATCH(C350,Paketler!$A$5:$A$24,0)),0))</f>
        <v/>
      </c>
      <c r="H350" s="17" t="str">
        <f aca="false">IF(F350="","",G350-E350)</f>
        <v/>
      </c>
      <c r="I350" s="18" t="str">
        <f aca="true">IF(F350="","",F350-TODAY())</f>
        <v/>
      </c>
      <c r="J350" s="19" t="str">
        <f aca="true">IF(F350="","",IF(TODAY()&lt;D350,"Başlamadı",IF(TODAY()&gt;F350,"Bitti",IF(F350-TODAY()&lt;=7,"Bitiyor","Aktif"))))</f>
        <v/>
      </c>
      <c r="K350" s="19" t="str">
        <f aca="false">IF(OR(J350="Aktif",J350="Bitiyor"),F350+ROW()/1000000,"")</f>
        <v/>
      </c>
    </row>
    <row r="351" customFormat="false" ht="15" hidden="false" customHeight="false" outlineLevel="0" collapsed="false">
      <c r="A351" s="12"/>
      <c r="B351" s="12"/>
      <c r="C351" s="13"/>
      <c r="D351" s="14"/>
      <c r="E351" s="15"/>
      <c r="F351" s="16" t="str">
        <f aca="false">IF(OR(C351="",D351=""),"",EDATE(D351,IFERROR(INDEX(Paketler!$B$5:$B$24,MATCH(C351,Paketler!$A$5:$A$24,0)),0))-1)</f>
        <v/>
      </c>
      <c r="G351" s="17" t="str">
        <f aca="false">IF(F351="","",IFERROR(INDEX(Paketler!$C$5:$C$24,MATCH(C351,Paketler!$A$5:$A$24,0)),0))</f>
        <v/>
      </c>
      <c r="H351" s="17" t="str">
        <f aca="false">IF(F351="","",G351-E351)</f>
        <v/>
      </c>
      <c r="I351" s="18" t="str">
        <f aca="true">IF(F351="","",F351-TODAY())</f>
        <v/>
      </c>
      <c r="J351" s="19" t="str">
        <f aca="true">IF(F351="","",IF(TODAY()&lt;D351,"Başlamadı",IF(TODAY()&gt;F351,"Bitti",IF(F351-TODAY()&lt;=7,"Bitiyor","Aktif"))))</f>
        <v/>
      </c>
      <c r="K351" s="19" t="str">
        <f aca="false">IF(OR(J351="Aktif",J351="Bitiyor"),F351+ROW()/1000000,"")</f>
        <v/>
      </c>
    </row>
    <row r="352" customFormat="false" ht="15" hidden="false" customHeight="false" outlineLevel="0" collapsed="false">
      <c r="A352" s="12"/>
      <c r="B352" s="12"/>
      <c r="C352" s="13"/>
      <c r="D352" s="14"/>
      <c r="E352" s="15"/>
      <c r="F352" s="16" t="str">
        <f aca="false">IF(OR(C352="",D352=""),"",EDATE(D352,IFERROR(INDEX(Paketler!$B$5:$B$24,MATCH(C352,Paketler!$A$5:$A$24,0)),0))-1)</f>
        <v/>
      </c>
      <c r="G352" s="17" t="str">
        <f aca="false">IF(F352="","",IFERROR(INDEX(Paketler!$C$5:$C$24,MATCH(C352,Paketler!$A$5:$A$24,0)),0))</f>
        <v/>
      </c>
      <c r="H352" s="17" t="str">
        <f aca="false">IF(F352="","",G352-E352)</f>
        <v/>
      </c>
      <c r="I352" s="18" t="str">
        <f aca="true">IF(F352="","",F352-TODAY())</f>
        <v/>
      </c>
      <c r="J352" s="19" t="str">
        <f aca="true">IF(F352="","",IF(TODAY()&lt;D352,"Başlamadı",IF(TODAY()&gt;F352,"Bitti",IF(F352-TODAY()&lt;=7,"Bitiyor","Aktif"))))</f>
        <v/>
      </c>
      <c r="K352" s="19" t="str">
        <f aca="false">IF(OR(J352="Aktif",J352="Bitiyor"),F352+ROW()/1000000,"")</f>
        <v/>
      </c>
    </row>
    <row r="353" customFormat="false" ht="15" hidden="false" customHeight="false" outlineLevel="0" collapsed="false">
      <c r="A353" s="12"/>
      <c r="B353" s="12"/>
      <c r="C353" s="13"/>
      <c r="D353" s="14"/>
      <c r="E353" s="15"/>
      <c r="F353" s="16" t="str">
        <f aca="false">IF(OR(C353="",D353=""),"",EDATE(D353,IFERROR(INDEX(Paketler!$B$5:$B$24,MATCH(C353,Paketler!$A$5:$A$24,0)),0))-1)</f>
        <v/>
      </c>
      <c r="G353" s="17" t="str">
        <f aca="false">IF(F353="","",IFERROR(INDEX(Paketler!$C$5:$C$24,MATCH(C353,Paketler!$A$5:$A$24,0)),0))</f>
        <v/>
      </c>
      <c r="H353" s="17" t="str">
        <f aca="false">IF(F353="","",G353-E353)</f>
        <v/>
      </c>
      <c r="I353" s="18" t="str">
        <f aca="true">IF(F353="","",F353-TODAY())</f>
        <v/>
      </c>
      <c r="J353" s="19" t="str">
        <f aca="true">IF(F353="","",IF(TODAY()&lt;D353,"Başlamadı",IF(TODAY()&gt;F353,"Bitti",IF(F353-TODAY()&lt;=7,"Bitiyor","Aktif"))))</f>
        <v/>
      </c>
      <c r="K353" s="19" t="str">
        <f aca="false">IF(OR(J353="Aktif",J353="Bitiyor"),F353+ROW()/1000000,"")</f>
        <v/>
      </c>
    </row>
    <row r="354" customFormat="false" ht="15" hidden="false" customHeight="false" outlineLevel="0" collapsed="false">
      <c r="A354" s="12"/>
      <c r="B354" s="12"/>
      <c r="C354" s="13"/>
      <c r="D354" s="14"/>
      <c r="E354" s="15"/>
      <c r="F354" s="16" t="str">
        <f aca="false">IF(OR(C354="",D354=""),"",EDATE(D354,IFERROR(INDEX(Paketler!$B$5:$B$24,MATCH(C354,Paketler!$A$5:$A$24,0)),0))-1)</f>
        <v/>
      </c>
      <c r="G354" s="17" t="str">
        <f aca="false">IF(F354="","",IFERROR(INDEX(Paketler!$C$5:$C$24,MATCH(C354,Paketler!$A$5:$A$24,0)),0))</f>
        <v/>
      </c>
      <c r="H354" s="17" t="str">
        <f aca="false">IF(F354="","",G354-E354)</f>
        <v/>
      </c>
      <c r="I354" s="18" t="str">
        <f aca="true">IF(F354="","",F354-TODAY())</f>
        <v/>
      </c>
      <c r="J354" s="19" t="str">
        <f aca="true">IF(F354="","",IF(TODAY()&lt;D354,"Başlamadı",IF(TODAY()&gt;F354,"Bitti",IF(F354-TODAY()&lt;=7,"Bitiyor","Aktif"))))</f>
        <v/>
      </c>
      <c r="K354" s="19" t="str">
        <f aca="false">IF(OR(J354="Aktif",J354="Bitiyor"),F354+ROW()/1000000,"")</f>
        <v/>
      </c>
    </row>
    <row r="355" customFormat="false" ht="15" hidden="false" customHeight="false" outlineLevel="0" collapsed="false">
      <c r="A355" s="12"/>
      <c r="B355" s="12"/>
      <c r="C355" s="13"/>
      <c r="D355" s="14"/>
      <c r="E355" s="15"/>
      <c r="F355" s="16" t="str">
        <f aca="false">IF(OR(C355="",D355=""),"",EDATE(D355,IFERROR(INDEX(Paketler!$B$5:$B$24,MATCH(C355,Paketler!$A$5:$A$24,0)),0))-1)</f>
        <v/>
      </c>
      <c r="G355" s="17" t="str">
        <f aca="false">IF(F355="","",IFERROR(INDEX(Paketler!$C$5:$C$24,MATCH(C355,Paketler!$A$5:$A$24,0)),0))</f>
        <v/>
      </c>
      <c r="H355" s="17" t="str">
        <f aca="false">IF(F355="","",G355-E355)</f>
        <v/>
      </c>
      <c r="I355" s="18" t="str">
        <f aca="true">IF(F355="","",F355-TODAY())</f>
        <v/>
      </c>
      <c r="J355" s="19" t="str">
        <f aca="true">IF(F355="","",IF(TODAY()&lt;D355,"Başlamadı",IF(TODAY()&gt;F355,"Bitti",IF(F355-TODAY()&lt;=7,"Bitiyor","Aktif"))))</f>
        <v/>
      </c>
      <c r="K355" s="19" t="str">
        <f aca="false">IF(OR(J355="Aktif",J355="Bitiyor"),F355+ROW()/1000000,"")</f>
        <v/>
      </c>
    </row>
    <row r="356" customFormat="false" ht="15" hidden="false" customHeight="false" outlineLevel="0" collapsed="false">
      <c r="A356" s="12"/>
      <c r="B356" s="12"/>
      <c r="C356" s="13"/>
      <c r="D356" s="14"/>
      <c r="E356" s="15"/>
      <c r="F356" s="16" t="str">
        <f aca="false">IF(OR(C356="",D356=""),"",EDATE(D356,IFERROR(INDEX(Paketler!$B$5:$B$24,MATCH(C356,Paketler!$A$5:$A$24,0)),0))-1)</f>
        <v/>
      </c>
      <c r="G356" s="17" t="str">
        <f aca="false">IF(F356="","",IFERROR(INDEX(Paketler!$C$5:$C$24,MATCH(C356,Paketler!$A$5:$A$24,0)),0))</f>
        <v/>
      </c>
      <c r="H356" s="17" t="str">
        <f aca="false">IF(F356="","",G356-E356)</f>
        <v/>
      </c>
      <c r="I356" s="18" t="str">
        <f aca="true">IF(F356="","",F356-TODAY())</f>
        <v/>
      </c>
      <c r="J356" s="19" t="str">
        <f aca="true">IF(F356="","",IF(TODAY()&lt;D356,"Başlamadı",IF(TODAY()&gt;F356,"Bitti",IF(F356-TODAY()&lt;=7,"Bitiyor","Aktif"))))</f>
        <v/>
      </c>
      <c r="K356" s="19" t="str">
        <f aca="false">IF(OR(J356="Aktif",J356="Bitiyor"),F356+ROW()/1000000,"")</f>
        <v/>
      </c>
    </row>
    <row r="357" customFormat="false" ht="15" hidden="false" customHeight="false" outlineLevel="0" collapsed="false">
      <c r="A357" s="12"/>
      <c r="B357" s="12"/>
      <c r="C357" s="13"/>
      <c r="D357" s="14"/>
      <c r="E357" s="15"/>
      <c r="F357" s="16" t="str">
        <f aca="false">IF(OR(C357="",D357=""),"",EDATE(D357,IFERROR(INDEX(Paketler!$B$5:$B$24,MATCH(C357,Paketler!$A$5:$A$24,0)),0))-1)</f>
        <v/>
      </c>
      <c r="G357" s="17" t="str">
        <f aca="false">IF(F357="","",IFERROR(INDEX(Paketler!$C$5:$C$24,MATCH(C357,Paketler!$A$5:$A$24,0)),0))</f>
        <v/>
      </c>
      <c r="H357" s="17" t="str">
        <f aca="false">IF(F357="","",G357-E357)</f>
        <v/>
      </c>
      <c r="I357" s="18" t="str">
        <f aca="true">IF(F357="","",F357-TODAY())</f>
        <v/>
      </c>
      <c r="J357" s="19" t="str">
        <f aca="true">IF(F357="","",IF(TODAY()&lt;D357,"Başlamadı",IF(TODAY()&gt;F357,"Bitti",IF(F357-TODAY()&lt;=7,"Bitiyor","Aktif"))))</f>
        <v/>
      </c>
      <c r="K357" s="19" t="str">
        <f aca="false">IF(OR(J357="Aktif",J357="Bitiyor"),F357+ROW()/1000000,"")</f>
        <v/>
      </c>
    </row>
    <row r="358" customFormat="false" ht="15" hidden="false" customHeight="false" outlineLevel="0" collapsed="false">
      <c r="A358" s="12"/>
      <c r="B358" s="12"/>
      <c r="C358" s="13"/>
      <c r="D358" s="14"/>
      <c r="E358" s="15"/>
      <c r="F358" s="16" t="str">
        <f aca="false">IF(OR(C358="",D358=""),"",EDATE(D358,IFERROR(INDEX(Paketler!$B$5:$B$24,MATCH(C358,Paketler!$A$5:$A$24,0)),0))-1)</f>
        <v/>
      </c>
      <c r="G358" s="17" t="str">
        <f aca="false">IF(F358="","",IFERROR(INDEX(Paketler!$C$5:$C$24,MATCH(C358,Paketler!$A$5:$A$24,0)),0))</f>
        <v/>
      </c>
      <c r="H358" s="17" t="str">
        <f aca="false">IF(F358="","",G358-E358)</f>
        <v/>
      </c>
      <c r="I358" s="18" t="str">
        <f aca="true">IF(F358="","",F358-TODAY())</f>
        <v/>
      </c>
      <c r="J358" s="19" t="str">
        <f aca="true">IF(F358="","",IF(TODAY()&lt;D358,"Başlamadı",IF(TODAY()&gt;F358,"Bitti",IF(F358-TODAY()&lt;=7,"Bitiyor","Aktif"))))</f>
        <v/>
      </c>
      <c r="K358" s="19" t="str">
        <f aca="false">IF(OR(J358="Aktif",J358="Bitiyor"),F358+ROW()/1000000,"")</f>
        <v/>
      </c>
    </row>
    <row r="359" customFormat="false" ht="15" hidden="false" customHeight="false" outlineLevel="0" collapsed="false">
      <c r="A359" s="12"/>
      <c r="B359" s="12"/>
      <c r="C359" s="13"/>
      <c r="D359" s="14"/>
      <c r="E359" s="15"/>
      <c r="F359" s="16" t="str">
        <f aca="false">IF(OR(C359="",D359=""),"",EDATE(D359,IFERROR(INDEX(Paketler!$B$5:$B$24,MATCH(C359,Paketler!$A$5:$A$24,0)),0))-1)</f>
        <v/>
      </c>
      <c r="G359" s="17" t="str">
        <f aca="false">IF(F359="","",IFERROR(INDEX(Paketler!$C$5:$C$24,MATCH(C359,Paketler!$A$5:$A$24,0)),0))</f>
        <v/>
      </c>
      <c r="H359" s="17" t="str">
        <f aca="false">IF(F359="","",G359-E359)</f>
        <v/>
      </c>
      <c r="I359" s="18" t="str">
        <f aca="true">IF(F359="","",F359-TODAY())</f>
        <v/>
      </c>
      <c r="J359" s="19" t="str">
        <f aca="true">IF(F359="","",IF(TODAY()&lt;D359,"Başlamadı",IF(TODAY()&gt;F359,"Bitti",IF(F359-TODAY()&lt;=7,"Bitiyor","Aktif"))))</f>
        <v/>
      </c>
      <c r="K359" s="19" t="str">
        <f aca="false">IF(OR(J359="Aktif",J359="Bitiyor"),F359+ROW()/1000000,"")</f>
        <v/>
      </c>
    </row>
    <row r="360" customFormat="false" ht="15" hidden="false" customHeight="false" outlineLevel="0" collapsed="false">
      <c r="A360" s="12"/>
      <c r="B360" s="12"/>
      <c r="C360" s="13"/>
      <c r="D360" s="14"/>
      <c r="E360" s="15"/>
      <c r="F360" s="16" t="str">
        <f aca="false">IF(OR(C360="",D360=""),"",EDATE(D360,IFERROR(INDEX(Paketler!$B$5:$B$24,MATCH(C360,Paketler!$A$5:$A$24,0)),0))-1)</f>
        <v/>
      </c>
      <c r="G360" s="17" t="str">
        <f aca="false">IF(F360="","",IFERROR(INDEX(Paketler!$C$5:$C$24,MATCH(C360,Paketler!$A$5:$A$24,0)),0))</f>
        <v/>
      </c>
      <c r="H360" s="17" t="str">
        <f aca="false">IF(F360="","",G360-E360)</f>
        <v/>
      </c>
      <c r="I360" s="18" t="str">
        <f aca="true">IF(F360="","",F360-TODAY())</f>
        <v/>
      </c>
      <c r="J360" s="19" t="str">
        <f aca="true">IF(F360="","",IF(TODAY()&lt;D360,"Başlamadı",IF(TODAY()&gt;F360,"Bitti",IF(F360-TODAY()&lt;=7,"Bitiyor","Aktif"))))</f>
        <v/>
      </c>
      <c r="K360" s="19" t="str">
        <f aca="false">IF(OR(J360="Aktif",J360="Bitiyor"),F360+ROW()/1000000,"")</f>
        <v/>
      </c>
    </row>
    <row r="361" customFormat="false" ht="15" hidden="false" customHeight="false" outlineLevel="0" collapsed="false">
      <c r="A361" s="12"/>
      <c r="B361" s="12"/>
      <c r="C361" s="13"/>
      <c r="D361" s="14"/>
      <c r="E361" s="15"/>
      <c r="F361" s="16" t="str">
        <f aca="false">IF(OR(C361="",D361=""),"",EDATE(D361,IFERROR(INDEX(Paketler!$B$5:$B$24,MATCH(C361,Paketler!$A$5:$A$24,0)),0))-1)</f>
        <v/>
      </c>
      <c r="G361" s="17" t="str">
        <f aca="false">IF(F361="","",IFERROR(INDEX(Paketler!$C$5:$C$24,MATCH(C361,Paketler!$A$5:$A$24,0)),0))</f>
        <v/>
      </c>
      <c r="H361" s="17" t="str">
        <f aca="false">IF(F361="","",G361-E361)</f>
        <v/>
      </c>
      <c r="I361" s="18" t="str">
        <f aca="true">IF(F361="","",F361-TODAY())</f>
        <v/>
      </c>
      <c r="J361" s="19" t="str">
        <f aca="true">IF(F361="","",IF(TODAY()&lt;D361,"Başlamadı",IF(TODAY()&gt;F361,"Bitti",IF(F361-TODAY()&lt;=7,"Bitiyor","Aktif"))))</f>
        <v/>
      </c>
      <c r="K361" s="19" t="str">
        <f aca="false">IF(OR(J361="Aktif",J361="Bitiyor"),F361+ROW()/1000000,"")</f>
        <v/>
      </c>
    </row>
    <row r="362" customFormat="false" ht="15" hidden="false" customHeight="false" outlineLevel="0" collapsed="false">
      <c r="A362" s="12"/>
      <c r="B362" s="12"/>
      <c r="C362" s="13"/>
      <c r="D362" s="14"/>
      <c r="E362" s="15"/>
      <c r="F362" s="16" t="str">
        <f aca="false">IF(OR(C362="",D362=""),"",EDATE(D362,IFERROR(INDEX(Paketler!$B$5:$B$24,MATCH(C362,Paketler!$A$5:$A$24,0)),0))-1)</f>
        <v/>
      </c>
      <c r="G362" s="17" t="str">
        <f aca="false">IF(F362="","",IFERROR(INDEX(Paketler!$C$5:$C$24,MATCH(C362,Paketler!$A$5:$A$24,0)),0))</f>
        <v/>
      </c>
      <c r="H362" s="17" t="str">
        <f aca="false">IF(F362="","",G362-E362)</f>
        <v/>
      </c>
      <c r="I362" s="18" t="str">
        <f aca="true">IF(F362="","",F362-TODAY())</f>
        <v/>
      </c>
      <c r="J362" s="19" t="str">
        <f aca="true">IF(F362="","",IF(TODAY()&lt;D362,"Başlamadı",IF(TODAY()&gt;F362,"Bitti",IF(F362-TODAY()&lt;=7,"Bitiyor","Aktif"))))</f>
        <v/>
      </c>
      <c r="K362" s="19" t="str">
        <f aca="false">IF(OR(J362="Aktif",J362="Bitiyor"),F362+ROW()/1000000,"")</f>
        <v/>
      </c>
    </row>
    <row r="363" customFormat="false" ht="15" hidden="false" customHeight="false" outlineLevel="0" collapsed="false">
      <c r="A363" s="12"/>
      <c r="B363" s="12"/>
      <c r="C363" s="13"/>
      <c r="D363" s="14"/>
      <c r="E363" s="15"/>
      <c r="F363" s="16" t="str">
        <f aca="false">IF(OR(C363="",D363=""),"",EDATE(D363,IFERROR(INDEX(Paketler!$B$5:$B$24,MATCH(C363,Paketler!$A$5:$A$24,0)),0))-1)</f>
        <v/>
      </c>
      <c r="G363" s="17" t="str">
        <f aca="false">IF(F363="","",IFERROR(INDEX(Paketler!$C$5:$C$24,MATCH(C363,Paketler!$A$5:$A$24,0)),0))</f>
        <v/>
      </c>
      <c r="H363" s="17" t="str">
        <f aca="false">IF(F363="","",G363-E363)</f>
        <v/>
      </c>
      <c r="I363" s="18" t="str">
        <f aca="true">IF(F363="","",F363-TODAY())</f>
        <v/>
      </c>
      <c r="J363" s="19" t="str">
        <f aca="true">IF(F363="","",IF(TODAY()&lt;D363,"Başlamadı",IF(TODAY()&gt;F363,"Bitti",IF(F363-TODAY()&lt;=7,"Bitiyor","Aktif"))))</f>
        <v/>
      </c>
      <c r="K363" s="19" t="str">
        <f aca="false">IF(OR(J363="Aktif",J363="Bitiyor"),F363+ROW()/1000000,"")</f>
        <v/>
      </c>
    </row>
    <row r="364" customFormat="false" ht="15" hidden="false" customHeight="false" outlineLevel="0" collapsed="false">
      <c r="A364" s="12"/>
      <c r="B364" s="12"/>
      <c r="C364" s="13"/>
      <c r="D364" s="14"/>
      <c r="E364" s="15"/>
      <c r="F364" s="16" t="str">
        <f aca="false">IF(OR(C364="",D364=""),"",EDATE(D364,IFERROR(INDEX(Paketler!$B$5:$B$24,MATCH(C364,Paketler!$A$5:$A$24,0)),0))-1)</f>
        <v/>
      </c>
      <c r="G364" s="17" t="str">
        <f aca="false">IF(F364="","",IFERROR(INDEX(Paketler!$C$5:$C$24,MATCH(C364,Paketler!$A$5:$A$24,0)),0))</f>
        <v/>
      </c>
      <c r="H364" s="17" t="str">
        <f aca="false">IF(F364="","",G364-E364)</f>
        <v/>
      </c>
      <c r="I364" s="18" t="str">
        <f aca="true">IF(F364="","",F364-TODAY())</f>
        <v/>
      </c>
      <c r="J364" s="19" t="str">
        <f aca="true">IF(F364="","",IF(TODAY()&lt;D364,"Başlamadı",IF(TODAY()&gt;F364,"Bitti",IF(F364-TODAY()&lt;=7,"Bitiyor","Aktif"))))</f>
        <v/>
      </c>
      <c r="K364" s="19" t="str">
        <f aca="false">IF(OR(J364="Aktif",J364="Bitiyor"),F364+ROW()/1000000,"")</f>
        <v/>
      </c>
    </row>
    <row r="365" customFormat="false" ht="15" hidden="false" customHeight="false" outlineLevel="0" collapsed="false">
      <c r="A365" s="12"/>
      <c r="B365" s="12"/>
      <c r="C365" s="13"/>
      <c r="D365" s="14"/>
      <c r="E365" s="15"/>
      <c r="F365" s="16" t="str">
        <f aca="false">IF(OR(C365="",D365=""),"",EDATE(D365,IFERROR(INDEX(Paketler!$B$5:$B$24,MATCH(C365,Paketler!$A$5:$A$24,0)),0))-1)</f>
        <v/>
      </c>
      <c r="G365" s="17" t="str">
        <f aca="false">IF(F365="","",IFERROR(INDEX(Paketler!$C$5:$C$24,MATCH(C365,Paketler!$A$5:$A$24,0)),0))</f>
        <v/>
      </c>
      <c r="H365" s="17" t="str">
        <f aca="false">IF(F365="","",G365-E365)</f>
        <v/>
      </c>
      <c r="I365" s="18" t="str">
        <f aca="true">IF(F365="","",F365-TODAY())</f>
        <v/>
      </c>
      <c r="J365" s="19" t="str">
        <f aca="true">IF(F365="","",IF(TODAY()&lt;D365,"Başlamadı",IF(TODAY()&gt;F365,"Bitti",IF(F365-TODAY()&lt;=7,"Bitiyor","Aktif"))))</f>
        <v/>
      </c>
      <c r="K365" s="19" t="str">
        <f aca="false">IF(OR(J365="Aktif",J365="Bitiyor"),F365+ROW()/1000000,"")</f>
        <v/>
      </c>
    </row>
    <row r="366" customFormat="false" ht="15" hidden="false" customHeight="false" outlineLevel="0" collapsed="false">
      <c r="A366" s="12"/>
      <c r="B366" s="12"/>
      <c r="C366" s="13"/>
      <c r="D366" s="14"/>
      <c r="E366" s="15"/>
      <c r="F366" s="16" t="str">
        <f aca="false">IF(OR(C366="",D366=""),"",EDATE(D366,IFERROR(INDEX(Paketler!$B$5:$B$24,MATCH(C366,Paketler!$A$5:$A$24,0)),0))-1)</f>
        <v/>
      </c>
      <c r="G366" s="17" t="str">
        <f aca="false">IF(F366="","",IFERROR(INDEX(Paketler!$C$5:$C$24,MATCH(C366,Paketler!$A$5:$A$24,0)),0))</f>
        <v/>
      </c>
      <c r="H366" s="17" t="str">
        <f aca="false">IF(F366="","",G366-E366)</f>
        <v/>
      </c>
      <c r="I366" s="18" t="str">
        <f aca="true">IF(F366="","",F366-TODAY())</f>
        <v/>
      </c>
      <c r="J366" s="19" t="str">
        <f aca="true">IF(F366="","",IF(TODAY()&lt;D366,"Başlamadı",IF(TODAY()&gt;F366,"Bitti",IF(F366-TODAY()&lt;=7,"Bitiyor","Aktif"))))</f>
        <v/>
      </c>
      <c r="K366" s="19" t="str">
        <f aca="false">IF(OR(J366="Aktif",J366="Bitiyor"),F366+ROW()/1000000,"")</f>
        <v/>
      </c>
    </row>
    <row r="367" customFormat="false" ht="15" hidden="false" customHeight="false" outlineLevel="0" collapsed="false">
      <c r="A367" s="12"/>
      <c r="B367" s="12"/>
      <c r="C367" s="13"/>
      <c r="D367" s="14"/>
      <c r="E367" s="15"/>
      <c r="F367" s="16" t="str">
        <f aca="false">IF(OR(C367="",D367=""),"",EDATE(D367,IFERROR(INDEX(Paketler!$B$5:$B$24,MATCH(C367,Paketler!$A$5:$A$24,0)),0))-1)</f>
        <v/>
      </c>
      <c r="G367" s="17" t="str">
        <f aca="false">IF(F367="","",IFERROR(INDEX(Paketler!$C$5:$C$24,MATCH(C367,Paketler!$A$5:$A$24,0)),0))</f>
        <v/>
      </c>
      <c r="H367" s="17" t="str">
        <f aca="false">IF(F367="","",G367-E367)</f>
        <v/>
      </c>
      <c r="I367" s="18" t="str">
        <f aca="true">IF(F367="","",F367-TODAY())</f>
        <v/>
      </c>
      <c r="J367" s="19" t="str">
        <f aca="true">IF(F367="","",IF(TODAY()&lt;D367,"Başlamadı",IF(TODAY()&gt;F367,"Bitti",IF(F367-TODAY()&lt;=7,"Bitiyor","Aktif"))))</f>
        <v/>
      </c>
      <c r="K367" s="19" t="str">
        <f aca="false">IF(OR(J367="Aktif",J367="Bitiyor"),F367+ROW()/1000000,"")</f>
        <v/>
      </c>
    </row>
    <row r="368" customFormat="false" ht="15" hidden="false" customHeight="false" outlineLevel="0" collapsed="false">
      <c r="A368" s="12"/>
      <c r="B368" s="12"/>
      <c r="C368" s="13"/>
      <c r="D368" s="14"/>
      <c r="E368" s="15"/>
      <c r="F368" s="16" t="str">
        <f aca="false">IF(OR(C368="",D368=""),"",EDATE(D368,IFERROR(INDEX(Paketler!$B$5:$B$24,MATCH(C368,Paketler!$A$5:$A$24,0)),0))-1)</f>
        <v/>
      </c>
      <c r="G368" s="17" t="str">
        <f aca="false">IF(F368="","",IFERROR(INDEX(Paketler!$C$5:$C$24,MATCH(C368,Paketler!$A$5:$A$24,0)),0))</f>
        <v/>
      </c>
      <c r="H368" s="17" t="str">
        <f aca="false">IF(F368="","",G368-E368)</f>
        <v/>
      </c>
      <c r="I368" s="18" t="str">
        <f aca="true">IF(F368="","",F368-TODAY())</f>
        <v/>
      </c>
      <c r="J368" s="19" t="str">
        <f aca="true">IF(F368="","",IF(TODAY()&lt;D368,"Başlamadı",IF(TODAY()&gt;F368,"Bitti",IF(F368-TODAY()&lt;=7,"Bitiyor","Aktif"))))</f>
        <v/>
      </c>
      <c r="K368" s="19" t="str">
        <f aca="false">IF(OR(J368="Aktif",J368="Bitiyor"),F368+ROW()/1000000,"")</f>
        <v/>
      </c>
    </row>
    <row r="369" customFormat="false" ht="15" hidden="false" customHeight="false" outlineLevel="0" collapsed="false">
      <c r="A369" s="12"/>
      <c r="B369" s="12"/>
      <c r="C369" s="13"/>
      <c r="D369" s="14"/>
      <c r="E369" s="15"/>
      <c r="F369" s="16" t="str">
        <f aca="false">IF(OR(C369="",D369=""),"",EDATE(D369,IFERROR(INDEX(Paketler!$B$5:$B$24,MATCH(C369,Paketler!$A$5:$A$24,0)),0))-1)</f>
        <v/>
      </c>
      <c r="G369" s="17" t="str">
        <f aca="false">IF(F369="","",IFERROR(INDEX(Paketler!$C$5:$C$24,MATCH(C369,Paketler!$A$5:$A$24,0)),0))</f>
        <v/>
      </c>
      <c r="H369" s="17" t="str">
        <f aca="false">IF(F369="","",G369-E369)</f>
        <v/>
      </c>
      <c r="I369" s="18" t="str">
        <f aca="true">IF(F369="","",F369-TODAY())</f>
        <v/>
      </c>
      <c r="J369" s="19" t="str">
        <f aca="true">IF(F369="","",IF(TODAY()&lt;D369,"Başlamadı",IF(TODAY()&gt;F369,"Bitti",IF(F369-TODAY()&lt;=7,"Bitiyor","Aktif"))))</f>
        <v/>
      </c>
      <c r="K369" s="19" t="str">
        <f aca="false">IF(OR(J369="Aktif",J369="Bitiyor"),F369+ROW()/1000000,"")</f>
        <v/>
      </c>
    </row>
    <row r="370" customFormat="false" ht="15" hidden="false" customHeight="false" outlineLevel="0" collapsed="false">
      <c r="A370" s="12"/>
      <c r="B370" s="12"/>
      <c r="C370" s="13"/>
      <c r="D370" s="14"/>
      <c r="E370" s="15"/>
      <c r="F370" s="16" t="str">
        <f aca="false">IF(OR(C370="",D370=""),"",EDATE(D370,IFERROR(INDEX(Paketler!$B$5:$B$24,MATCH(C370,Paketler!$A$5:$A$24,0)),0))-1)</f>
        <v/>
      </c>
      <c r="G370" s="17" t="str">
        <f aca="false">IF(F370="","",IFERROR(INDEX(Paketler!$C$5:$C$24,MATCH(C370,Paketler!$A$5:$A$24,0)),0))</f>
        <v/>
      </c>
      <c r="H370" s="17" t="str">
        <f aca="false">IF(F370="","",G370-E370)</f>
        <v/>
      </c>
      <c r="I370" s="18" t="str">
        <f aca="true">IF(F370="","",F370-TODAY())</f>
        <v/>
      </c>
      <c r="J370" s="19" t="str">
        <f aca="true">IF(F370="","",IF(TODAY()&lt;D370,"Başlamadı",IF(TODAY()&gt;F370,"Bitti",IF(F370-TODAY()&lt;=7,"Bitiyor","Aktif"))))</f>
        <v/>
      </c>
      <c r="K370" s="19" t="str">
        <f aca="false">IF(OR(J370="Aktif",J370="Bitiyor"),F370+ROW()/1000000,"")</f>
        <v/>
      </c>
    </row>
    <row r="371" customFormat="false" ht="15" hidden="false" customHeight="false" outlineLevel="0" collapsed="false">
      <c r="A371" s="12"/>
      <c r="B371" s="12"/>
      <c r="C371" s="13"/>
      <c r="D371" s="14"/>
      <c r="E371" s="15"/>
      <c r="F371" s="16" t="str">
        <f aca="false">IF(OR(C371="",D371=""),"",EDATE(D371,IFERROR(INDEX(Paketler!$B$5:$B$24,MATCH(C371,Paketler!$A$5:$A$24,0)),0))-1)</f>
        <v/>
      </c>
      <c r="G371" s="17" t="str">
        <f aca="false">IF(F371="","",IFERROR(INDEX(Paketler!$C$5:$C$24,MATCH(C371,Paketler!$A$5:$A$24,0)),0))</f>
        <v/>
      </c>
      <c r="H371" s="17" t="str">
        <f aca="false">IF(F371="","",G371-E371)</f>
        <v/>
      </c>
      <c r="I371" s="18" t="str">
        <f aca="true">IF(F371="","",F371-TODAY())</f>
        <v/>
      </c>
      <c r="J371" s="19" t="str">
        <f aca="true">IF(F371="","",IF(TODAY()&lt;D371,"Başlamadı",IF(TODAY()&gt;F371,"Bitti",IF(F371-TODAY()&lt;=7,"Bitiyor","Aktif"))))</f>
        <v/>
      </c>
      <c r="K371" s="19" t="str">
        <f aca="false">IF(OR(J371="Aktif",J371="Bitiyor"),F371+ROW()/1000000,"")</f>
        <v/>
      </c>
    </row>
    <row r="372" customFormat="false" ht="15" hidden="false" customHeight="false" outlineLevel="0" collapsed="false">
      <c r="A372" s="12"/>
      <c r="B372" s="12"/>
      <c r="C372" s="13"/>
      <c r="D372" s="14"/>
      <c r="E372" s="15"/>
      <c r="F372" s="16" t="str">
        <f aca="false">IF(OR(C372="",D372=""),"",EDATE(D372,IFERROR(INDEX(Paketler!$B$5:$B$24,MATCH(C372,Paketler!$A$5:$A$24,0)),0))-1)</f>
        <v/>
      </c>
      <c r="G372" s="17" t="str">
        <f aca="false">IF(F372="","",IFERROR(INDEX(Paketler!$C$5:$C$24,MATCH(C372,Paketler!$A$5:$A$24,0)),0))</f>
        <v/>
      </c>
      <c r="H372" s="17" t="str">
        <f aca="false">IF(F372="","",G372-E372)</f>
        <v/>
      </c>
      <c r="I372" s="18" t="str">
        <f aca="true">IF(F372="","",F372-TODAY())</f>
        <v/>
      </c>
      <c r="J372" s="19" t="str">
        <f aca="true">IF(F372="","",IF(TODAY()&lt;D372,"Başlamadı",IF(TODAY()&gt;F372,"Bitti",IF(F372-TODAY()&lt;=7,"Bitiyor","Aktif"))))</f>
        <v/>
      </c>
      <c r="K372" s="19" t="str">
        <f aca="false">IF(OR(J372="Aktif",J372="Bitiyor"),F372+ROW()/1000000,"")</f>
        <v/>
      </c>
    </row>
    <row r="373" customFormat="false" ht="15" hidden="false" customHeight="false" outlineLevel="0" collapsed="false">
      <c r="A373" s="12"/>
      <c r="B373" s="12"/>
      <c r="C373" s="13"/>
      <c r="D373" s="14"/>
      <c r="E373" s="15"/>
      <c r="F373" s="16" t="str">
        <f aca="false">IF(OR(C373="",D373=""),"",EDATE(D373,IFERROR(INDEX(Paketler!$B$5:$B$24,MATCH(C373,Paketler!$A$5:$A$24,0)),0))-1)</f>
        <v/>
      </c>
      <c r="G373" s="17" t="str">
        <f aca="false">IF(F373="","",IFERROR(INDEX(Paketler!$C$5:$C$24,MATCH(C373,Paketler!$A$5:$A$24,0)),0))</f>
        <v/>
      </c>
      <c r="H373" s="17" t="str">
        <f aca="false">IF(F373="","",G373-E373)</f>
        <v/>
      </c>
      <c r="I373" s="18" t="str">
        <f aca="true">IF(F373="","",F373-TODAY())</f>
        <v/>
      </c>
      <c r="J373" s="19" t="str">
        <f aca="true">IF(F373="","",IF(TODAY()&lt;D373,"Başlamadı",IF(TODAY()&gt;F373,"Bitti",IF(F373-TODAY()&lt;=7,"Bitiyor","Aktif"))))</f>
        <v/>
      </c>
      <c r="K373" s="19" t="str">
        <f aca="false">IF(OR(J373="Aktif",J373="Bitiyor"),F373+ROW()/1000000,"")</f>
        <v/>
      </c>
    </row>
    <row r="374" customFormat="false" ht="15" hidden="false" customHeight="false" outlineLevel="0" collapsed="false">
      <c r="A374" s="12"/>
      <c r="B374" s="12"/>
      <c r="C374" s="13"/>
      <c r="D374" s="14"/>
      <c r="E374" s="15"/>
      <c r="F374" s="16" t="str">
        <f aca="false">IF(OR(C374="",D374=""),"",EDATE(D374,IFERROR(INDEX(Paketler!$B$5:$B$24,MATCH(C374,Paketler!$A$5:$A$24,0)),0))-1)</f>
        <v/>
      </c>
      <c r="G374" s="17" t="str">
        <f aca="false">IF(F374="","",IFERROR(INDEX(Paketler!$C$5:$C$24,MATCH(C374,Paketler!$A$5:$A$24,0)),0))</f>
        <v/>
      </c>
      <c r="H374" s="17" t="str">
        <f aca="false">IF(F374="","",G374-E374)</f>
        <v/>
      </c>
      <c r="I374" s="18" t="str">
        <f aca="true">IF(F374="","",F374-TODAY())</f>
        <v/>
      </c>
      <c r="J374" s="19" t="str">
        <f aca="true">IF(F374="","",IF(TODAY()&lt;D374,"Başlamadı",IF(TODAY()&gt;F374,"Bitti",IF(F374-TODAY()&lt;=7,"Bitiyor","Aktif"))))</f>
        <v/>
      </c>
      <c r="K374" s="19" t="str">
        <f aca="false">IF(OR(J374="Aktif",J374="Bitiyor"),F374+ROW()/1000000,"")</f>
        <v/>
      </c>
    </row>
    <row r="375" customFormat="false" ht="15" hidden="false" customHeight="false" outlineLevel="0" collapsed="false">
      <c r="A375" s="12"/>
      <c r="B375" s="12"/>
      <c r="C375" s="13"/>
      <c r="D375" s="14"/>
      <c r="E375" s="15"/>
      <c r="F375" s="16" t="str">
        <f aca="false">IF(OR(C375="",D375=""),"",EDATE(D375,IFERROR(INDEX(Paketler!$B$5:$B$24,MATCH(C375,Paketler!$A$5:$A$24,0)),0))-1)</f>
        <v/>
      </c>
      <c r="G375" s="17" t="str">
        <f aca="false">IF(F375="","",IFERROR(INDEX(Paketler!$C$5:$C$24,MATCH(C375,Paketler!$A$5:$A$24,0)),0))</f>
        <v/>
      </c>
      <c r="H375" s="17" t="str">
        <f aca="false">IF(F375="","",G375-E375)</f>
        <v/>
      </c>
      <c r="I375" s="18" t="str">
        <f aca="true">IF(F375="","",F375-TODAY())</f>
        <v/>
      </c>
      <c r="J375" s="19" t="str">
        <f aca="true">IF(F375="","",IF(TODAY()&lt;D375,"Başlamadı",IF(TODAY()&gt;F375,"Bitti",IF(F375-TODAY()&lt;=7,"Bitiyor","Aktif"))))</f>
        <v/>
      </c>
      <c r="K375" s="19" t="str">
        <f aca="false">IF(OR(J375="Aktif",J375="Bitiyor"),F375+ROW()/1000000,"")</f>
        <v/>
      </c>
    </row>
    <row r="376" customFormat="false" ht="15" hidden="false" customHeight="false" outlineLevel="0" collapsed="false">
      <c r="A376" s="12"/>
      <c r="B376" s="12"/>
      <c r="C376" s="13"/>
      <c r="D376" s="14"/>
      <c r="E376" s="15"/>
      <c r="F376" s="16" t="str">
        <f aca="false">IF(OR(C376="",D376=""),"",EDATE(D376,IFERROR(INDEX(Paketler!$B$5:$B$24,MATCH(C376,Paketler!$A$5:$A$24,0)),0))-1)</f>
        <v/>
      </c>
      <c r="G376" s="17" t="str">
        <f aca="false">IF(F376="","",IFERROR(INDEX(Paketler!$C$5:$C$24,MATCH(C376,Paketler!$A$5:$A$24,0)),0))</f>
        <v/>
      </c>
      <c r="H376" s="17" t="str">
        <f aca="false">IF(F376="","",G376-E376)</f>
        <v/>
      </c>
      <c r="I376" s="18" t="str">
        <f aca="true">IF(F376="","",F376-TODAY())</f>
        <v/>
      </c>
      <c r="J376" s="19" t="str">
        <f aca="true">IF(F376="","",IF(TODAY()&lt;D376,"Başlamadı",IF(TODAY()&gt;F376,"Bitti",IF(F376-TODAY()&lt;=7,"Bitiyor","Aktif"))))</f>
        <v/>
      </c>
      <c r="K376" s="19" t="str">
        <f aca="false">IF(OR(J376="Aktif",J376="Bitiyor"),F376+ROW()/1000000,"")</f>
        <v/>
      </c>
    </row>
    <row r="377" customFormat="false" ht="15" hidden="false" customHeight="false" outlineLevel="0" collapsed="false">
      <c r="A377" s="12"/>
      <c r="B377" s="12"/>
      <c r="C377" s="13"/>
      <c r="D377" s="14"/>
      <c r="E377" s="15"/>
      <c r="F377" s="16" t="str">
        <f aca="false">IF(OR(C377="",D377=""),"",EDATE(D377,IFERROR(INDEX(Paketler!$B$5:$B$24,MATCH(C377,Paketler!$A$5:$A$24,0)),0))-1)</f>
        <v/>
      </c>
      <c r="G377" s="17" t="str">
        <f aca="false">IF(F377="","",IFERROR(INDEX(Paketler!$C$5:$C$24,MATCH(C377,Paketler!$A$5:$A$24,0)),0))</f>
        <v/>
      </c>
      <c r="H377" s="17" t="str">
        <f aca="false">IF(F377="","",G377-E377)</f>
        <v/>
      </c>
      <c r="I377" s="18" t="str">
        <f aca="true">IF(F377="","",F377-TODAY())</f>
        <v/>
      </c>
      <c r="J377" s="19" t="str">
        <f aca="true">IF(F377="","",IF(TODAY()&lt;D377,"Başlamadı",IF(TODAY()&gt;F377,"Bitti",IF(F377-TODAY()&lt;=7,"Bitiyor","Aktif"))))</f>
        <v/>
      </c>
      <c r="K377" s="19" t="str">
        <f aca="false">IF(OR(J377="Aktif",J377="Bitiyor"),F377+ROW()/1000000,"")</f>
        <v/>
      </c>
    </row>
    <row r="378" customFormat="false" ht="15" hidden="false" customHeight="false" outlineLevel="0" collapsed="false">
      <c r="A378" s="12"/>
      <c r="B378" s="12"/>
      <c r="C378" s="13"/>
      <c r="D378" s="14"/>
      <c r="E378" s="15"/>
      <c r="F378" s="16" t="str">
        <f aca="false">IF(OR(C378="",D378=""),"",EDATE(D378,IFERROR(INDEX(Paketler!$B$5:$B$24,MATCH(C378,Paketler!$A$5:$A$24,0)),0))-1)</f>
        <v/>
      </c>
      <c r="G378" s="17" t="str">
        <f aca="false">IF(F378="","",IFERROR(INDEX(Paketler!$C$5:$C$24,MATCH(C378,Paketler!$A$5:$A$24,0)),0))</f>
        <v/>
      </c>
      <c r="H378" s="17" t="str">
        <f aca="false">IF(F378="","",G378-E378)</f>
        <v/>
      </c>
      <c r="I378" s="18" t="str">
        <f aca="true">IF(F378="","",F378-TODAY())</f>
        <v/>
      </c>
      <c r="J378" s="19" t="str">
        <f aca="true">IF(F378="","",IF(TODAY()&lt;D378,"Başlamadı",IF(TODAY()&gt;F378,"Bitti",IF(F378-TODAY()&lt;=7,"Bitiyor","Aktif"))))</f>
        <v/>
      </c>
      <c r="K378" s="19" t="str">
        <f aca="false">IF(OR(J378="Aktif",J378="Bitiyor"),F378+ROW()/1000000,"")</f>
        <v/>
      </c>
    </row>
    <row r="379" customFormat="false" ht="15" hidden="false" customHeight="false" outlineLevel="0" collapsed="false">
      <c r="A379" s="12"/>
      <c r="B379" s="12"/>
      <c r="C379" s="13"/>
      <c r="D379" s="14"/>
      <c r="E379" s="15"/>
      <c r="F379" s="16" t="str">
        <f aca="false">IF(OR(C379="",D379=""),"",EDATE(D379,IFERROR(INDEX(Paketler!$B$5:$B$24,MATCH(C379,Paketler!$A$5:$A$24,0)),0))-1)</f>
        <v/>
      </c>
      <c r="G379" s="17" t="str">
        <f aca="false">IF(F379="","",IFERROR(INDEX(Paketler!$C$5:$C$24,MATCH(C379,Paketler!$A$5:$A$24,0)),0))</f>
        <v/>
      </c>
      <c r="H379" s="17" t="str">
        <f aca="false">IF(F379="","",G379-E379)</f>
        <v/>
      </c>
      <c r="I379" s="18" t="str">
        <f aca="true">IF(F379="","",F379-TODAY())</f>
        <v/>
      </c>
      <c r="J379" s="19" t="str">
        <f aca="true">IF(F379="","",IF(TODAY()&lt;D379,"Başlamadı",IF(TODAY()&gt;F379,"Bitti",IF(F379-TODAY()&lt;=7,"Bitiyor","Aktif"))))</f>
        <v/>
      </c>
      <c r="K379" s="19" t="str">
        <f aca="false">IF(OR(J379="Aktif",J379="Bitiyor"),F379+ROW()/1000000,"")</f>
        <v/>
      </c>
    </row>
    <row r="380" customFormat="false" ht="15" hidden="false" customHeight="false" outlineLevel="0" collapsed="false">
      <c r="A380" s="12"/>
      <c r="B380" s="12"/>
      <c r="C380" s="13"/>
      <c r="D380" s="14"/>
      <c r="E380" s="15"/>
      <c r="F380" s="16" t="str">
        <f aca="false">IF(OR(C380="",D380=""),"",EDATE(D380,IFERROR(INDEX(Paketler!$B$5:$B$24,MATCH(C380,Paketler!$A$5:$A$24,0)),0))-1)</f>
        <v/>
      </c>
      <c r="G380" s="17" t="str">
        <f aca="false">IF(F380="","",IFERROR(INDEX(Paketler!$C$5:$C$24,MATCH(C380,Paketler!$A$5:$A$24,0)),0))</f>
        <v/>
      </c>
      <c r="H380" s="17" t="str">
        <f aca="false">IF(F380="","",G380-E380)</f>
        <v/>
      </c>
      <c r="I380" s="18" t="str">
        <f aca="true">IF(F380="","",F380-TODAY())</f>
        <v/>
      </c>
      <c r="J380" s="19" t="str">
        <f aca="true">IF(F380="","",IF(TODAY()&lt;D380,"Başlamadı",IF(TODAY()&gt;F380,"Bitti",IF(F380-TODAY()&lt;=7,"Bitiyor","Aktif"))))</f>
        <v/>
      </c>
      <c r="K380" s="19" t="str">
        <f aca="false">IF(OR(J380="Aktif",J380="Bitiyor"),F380+ROW()/1000000,"")</f>
        <v/>
      </c>
    </row>
    <row r="381" customFormat="false" ht="15" hidden="false" customHeight="false" outlineLevel="0" collapsed="false">
      <c r="A381" s="12"/>
      <c r="B381" s="12"/>
      <c r="C381" s="13"/>
      <c r="D381" s="14"/>
      <c r="E381" s="15"/>
      <c r="F381" s="16" t="str">
        <f aca="false">IF(OR(C381="",D381=""),"",EDATE(D381,IFERROR(INDEX(Paketler!$B$5:$B$24,MATCH(C381,Paketler!$A$5:$A$24,0)),0))-1)</f>
        <v/>
      </c>
      <c r="G381" s="17" t="str">
        <f aca="false">IF(F381="","",IFERROR(INDEX(Paketler!$C$5:$C$24,MATCH(C381,Paketler!$A$5:$A$24,0)),0))</f>
        <v/>
      </c>
      <c r="H381" s="17" t="str">
        <f aca="false">IF(F381="","",G381-E381)</f>
        <v/>
      </c>
      <c r="I381" s="18" t="str">
        <f aca="true">IF(F381="","",F381-TODAY())</f>
        <v/>
      </c>
      <c r="J381" s="19" t="str">
        <f aca="true">IF(F381="","",IF(TODAY()&lt;D381,"Başlamadı",IF(TODAY()&gt;F381,"Bitti",IF(F381-TODAY()&lt;=7,"Bitiyor","Aktif"))))</f>
        <v/>
      </c>
      <c r="K381" s="19" t="str">
        <f aca="false">IF(OR(J381="Aktif",J381="Bitiyor"),F381+ROW()/1000000,"")</f>
        <v/>
      </c>
    </row>
    <row r="382" customFormat="false" ht="15" hidden="false" customHeight="false" outlineLevel="0" collapsed="false">
      <c r="A382" s="12"/>
      <c r="B382" s="12"/>
      <c r="C382" s="13"/>
      <c r="D382" s="14"/>
      <c r="E382" s="15"/>
      <c r="F382" s="16" t="str">
        <f aca="false">IF(OR(C382="",D382=""),"",EDATE(D382,IFERROR(INDEX(Paketler!$B$5:$B$24,MATCH(C382,Paketler!$A$5:$A$24,0)),0))-1)</f>
        <v/>
      </c>
      <c r="G382" s="17" t="str">
        <f aca="false">IF(F382="","",IFERROR(INDEX(Paketler!$C$5:$C$24,MATCH(C382,Paketler!$A$5:$A$24,0)),0))</f>
        <v/>
      </c>
      <c r="H382" s="17" t="str">
        <f aca="false">IF(F382="","",G382-E382)</f>
        <v/>
      </c>
      <c r="I382" s="18" t="str">
        <f aca="true">IF(F382="","",F382-TODAY())</f>
        <v/>
      </c>
      <c r="J382" s="19" t="str">
        <f aca="true">IF(F382="","",IF(TODAY()&lt;D382,"Başlamadı",IF(TODAY()&gt;F382,"Bitti",IF(F382-TODAY()&lt;=7,"Bitiyor","Aktif"))))</f>
        <v/>
      </c>
      <c r="K382" s="19" t="str">
        <f aca="false">IF(OR(J382="Aktif",J382="Bitiyor"),F382+ROW()/1000000,"")</f>
        <v/>
      </c>
    </row>
    <row r="383" customFormat="false" ht="15" hidden="false" customHeight="false" outlineLevel="0" collapsed="false">
      <c r="A383" s="12"/>
      <c r="B383" s="12"/>
      <c r="C383" s="13"/>
      <c r="D383" s="14"/>
      <c r="E383" s="15"/>
      <c r="F383" s="16" t="str">
        <f aca="false">IF(OR(C383="",D383=""),"",EDATE(D383,IFERROR(INDEX(Paketler!$B$5:$B$24,MATCH(C383,Paketler!$A$5:$A$24,0)),0))-1)</f>
        <v/>
      </c>
      <c r="G383" s="17" t="str">
        <f aca="false">IF(F383="","",IFERROR(INDEX(Paketler!$C$5:$C$24,MATCH(C383,Paketler!$A$5:$A$24,0)),0))</f>
        <v/>
      </c>
      <c r="H383" s="17" t="str">
        <f aca="false">IF(F383="","",G383-E383)</f>
        <v/>
      </c>
      <c r="I383" s="18" t="str">
        <f aca="true">IF(F383="","",F383-TODAY())</f>
        <v/>
      </c>
      <c r="J383" s="19" t="str">
        <f aca="true">IF(F383="","",IF(TODAY()&lt;D383,"Başlamadı",IF(TODAY()&gt;F383,"Bitti",IF(F383-TODAY()&lt;=7,"Bitiyor","Aktif"))))</f>
        <v/>
      </c>
      <c r="K383" s="19" t="str">
        <f aca="false">IF(OR(J383="Aktif",J383="Bitiyor"),F383+ROW()/1000000,"")</f>
        <v/>
      </c>
    </row>
    <row r="384" customFormat="false" ht="15" hidden="false" customHeight="false" outlineLevel="0" collapsed="false">
      <c r="A384" s="12"/>
      <c r="B384" s="12"/>
      <c r="C384" s="13"/>
      <c r="D384" s="14"/>
      <c r="E384" s="15"/>
      <c r="F384" s="16" t="str">
        <f aca="false">IF(OR(C384="",D384=""),"",EDATE(D384,IFERROR(INDEX(Paketler!$B$5:$B$24,MATCH(C384,Paketler!$A$5:$A$24,0)),0))-1)</f>
        <v/>
      </c>
      <c r="G384" s="17" t="str">
        <f aca="false">IF(F384="","",IFERROR(INDEX(Paketler!$C$5:$C$24,MATCH(C384,Paketler!$A$5:$A$24,0)),0))</f>
        <v/>
      </c>
      <c r="H384" s="17" t="str">
        <f aca="false">IF(F384="","",G384-E384)</f>
        <v/>
      </c>
      <c r="I384" s="18" t="str">
        <f aca="true">IF(F384="","",F384-TODAY())</f>
        <v/>
      </c>
      <c r="J384" s="19" t="str">
        <f aca="true">IF(F384="","",IF(TODAY()&lt;D384,"Başlamadı",IF(TODAY()&gt;F384,"Bitti",IF(F384-TODAY()&lt;=7,"Bitiyor","Aktif"))))</f>
        <v/>
      </c>
      <c r="K384" s="19" t="str">
        <f aca="false">IF(OR(J384="Aktif",J384="Bitiyor"),F384+ROW()/1000000,"")</f>
        <v/>
      </c>
    </row>
    <row r="385" customFormat="false" ht="15" hidden="false" customHeight="false" outlineLevel="0" collapsed="false">
      <c r="A385" s="12"/>
      <c r="B385" s="12"/>
      <c r="C385" s="13"/>
      <c r="D385" s="14"/>
      <c r="E385" s="15"/>
      <c r="F385" s="16" t="str">
        <f aca="false">IF(OR(C385="",D385=""),"",EDATE(D385,IFERROR(INDEX(Paketler!$B$5:$B$24,MATCH(C385,Paketler!$A$5:$A$24,0)),0))-1)</f>
        <v/>
      </c>
      <c r="G385" s="17" t="str">
        <f aca="false">IF(F385="","",IFERROR(INDEX(Paketler!$C$5:$C$24,MATCH(C385,Paketler!$A$5:$A$24,0)),0))</f>
        <v/>
      </c>
      <c r="H385" s="17" t="str">
        <f aca="false">IF(F385="","",G385-E385)</f>
        <v/>
      </c>
      <c r="I385" s="18" t="str">
        <f aca="true">IF(F385="","",F385-TODAY())</f>
        <v/>
      </c>
      <c r="J385" s="19" t="str">
        <f aca="true">IF(F385="","",IF(TODAY()&lt;D385,"Başlamadı",IF(TODAY()&gt;F385,"Bitti",IF(F385-TODAY()&lt;=7,"Bitiyor","Aktif"))))</f>
        <v/>
      </c>
      <c r="K385" s="19" t="str">
        <f aca="false">IF(OR(J385="Aktif",J385="Bitiyor"),F385+ROW()/1000000,"")</f>
        <v/>
      </c>
    </row>
    <row r="386" customFormat="false" ht="15" hidden="false" customHeight="false" outlineLevel="0" collapsed="false">
      <c r="A386" s="12"/>
      <c r="B386" s="12"/>
      <c r="C386" s="13"/>
      <c r="D386" s="14"/>
      <c r="E386" s="15"/>
      <c r="F386" s="16" t="str">
        <f aca="false">IF(OR(C386="",D386=""),"",EDATE(D386,IFERROR(INDEX(Paketler!$B$5:$B$24,MATCH(C386,Paketler!$A$5:$A$24,0)),0))-1)</f>
        <v/>
      </c>
      <c r="G386" s="17" t="str">
        <f aca="false">IF(F386="","",IFERROR(INDEX(Paketler!$C$5:$C$24,MATCH(C386,Paketler!$A$5:$A$24,0)),0))</f>
        <v/>
      </c>
      <c r="H386" s="17" t="str">
        <f aca="false">IF(F386="","",G386-E386)</f>
        <v/>
      </c>
      <c r="I386" s="18" t="str">
        <f aca="true">IF(F386="","",F386-TODAY())</f>
        <v/>
      </c>
      <c r="J386" s="19" t="str">
        <f aca="true">IF(F386="","",IF(TODAY()&lt;D386,"Başlamadı",IF(TODAY()&gt;F386,"Bitti",IF(F386-TODAY()&lt;=7,"Bitiyor","Aktif"))))</f>
        <v/>
      </c>
      <c r="K386" s="19" t="str">
        <f aca="false">IF(OR(J386="Aktif",J386="Bitiyor"),F386+ROW()/1000000,"")</f>
        <v/>
      </c>
    </row>
    <row r="387" customFormat="false" ht="15" hidden="false" customHeight="false" outlineLevel="0" collapsed="false">
      <c r="A387" s="12"/>
      <c r="B387" s="12"/>
      <c r="C387" s="13"/>
      <c r="D387" s="14"/>
      <c r="E387" s="15"/>
      <c r="F387" s="16" t="str">
        <f aca="false">IF(OR(C387="",D387=""),"",EDATE(D387,IFERROR(INDEX(Paketler!$B$5:$B$24,MATCH(C387,Paketler!$A$5:$A$24,0)),0))-1)</f>
        <v/>
      </c>
      <c r="G387" s="17" t="str">
        <f aca="false">IF(F387="","",IFERROR(INDEX(Paketler!$C$5:$C$24,MATCH(C387,Paketler!$A$5:$A$24,0)),0))</f>
        <v/>
      </c>
      <c r="H387" s="17" t="str">
        <f aca="false">IF(F387="","",G387-E387)</f>
        <v/>
      </c>
      <c r="I387" s="18" t="str">
        <f aca="true">IF(F387="","",F387-TODAY())</f>
        <v/>
      </c>
      <c r="J387" s="19" t="str">
        <f aca="true">IF(F387="","",IF(TODAY()&lt;D387,"Başlamadı",IF(TODAY()&gt;F387,"Bitti",IF(F387-TODAY()&lt;=7,"Bitiyor","Aktif"))))</f>
        <v/>
      </c>
      <c r="K387" s="19" t="str">
        <f aca="false">IF(OR(J387="Aktif",J387="Bitiyor"),F387+ROW()/1000000,"")</f>
        <v/>
      </c>
    </row>
    <row r="388" customFormat="false" ht="15" hidden="false" customHeight="false" outlineLevel="0" collapsed="false">
      <c r="A388" s="12"/>
      <c r="B388" s="12"/>
      <c r="C388" s="13"/>
      <c r="D388" s="14"/>
      <c r="E388" s="15"/>
      <c r="F388" s="16" t="str">
        <f aca="false">IF(OR(C388="",D388=""),"",EDATE(D388,IFERROR(INDEX(Paketler!$B$5:$B$24,MATCH(C388,Paketler!$A$5:$A$24,0)),0))-1)</f>
        <v/>
      </c>
      <c r="G388" s="17" t="str">
        <f aca="false">IF(F388="","",IFERROR(INDEX(Paketler!$C$5:$C$24,MATCH(C388,Paketler!$A$5:$A$24,0)),0))</f>
        <v/>
      </c>
      <c r="H388" s="17" t="str">
        <f aca="false">IF(F388="","",G388-E388)</f>
        <v/>
      </c>
      <c r="I388" s="18" t="str">
        <f aca="true">IF(F388="","",F388-TODAY())</f>
        <v/>
      </c>
      <c r="J388" s="19" t="str">
        <f aca="true">IF(F388="","",IF(TODAY()&lt;D388,"Başlamadı",IF(TODAY()&gt;F388,"Bitti",IF(F388-TODAY()&lt;=7,"Bitiyor","Aktif"))))</f>
        <v/>
      </c>
      <c r="K388" s="19" t="str">
        <f aca="false">IF(OR(J388="Aktif",J388="Bitiyor"),F388+ROW()/1000000,"")</f>
        <v/>
      </c>
    </row>
    <row r="389" customFormat="false" ht="15" hidden="false" customHeight="false" outlineLevel="0" collapsed="false">
      <c r="A389" s="12"/>
      <c r="B389" s="12"/>
      <c r="C389" s="13"/>
      <c r="D389" s="14"/>
      <c r="E389" s="15"/>
      <c r="F389" s="16" t="str">
        <f aca="false">IF(OR(C389="",D389=""),"",EDATE(D389,IFERROR(INDEX(Paketler!$B$5:$B$24,MATCH(C389,Paketler!$A$5:$A$24,0)),0))-1)</f>
        <v/>
      </c>
      <c r="G389" s="17" t="str">
        <f aca="false">IF(F389="","",IFERROR(INDEX(Paketler!$C$5:$C$24,MATCH(C389,Paketler!$A$5:$A$24,0)),0))</f>
        <v/>
      </c>
      <c r="H389" s="17" t="str">
        <f aca="false">IF(F389="","",G389-E389)</f>
        <v/>
      </c>
      <c r="I389" s="18" t="str">
        <f aca="true">IF(F389="","",F389-TODAY())</f>
        <v/>
      </c>
      <c r="J389" s="19" t="str">
        <f aca="true">IF(F389="","",IF(TODAY()&lt;D389,"Başlamadı",IF(TODAY()&gt;F389,"Bitti",IF(F389-TODAY()&lt;=7,"Bitiyor","Aktif"))))</f>
        <v/>
      </c>
      <c r="K389" s="19" t="str">
        <f aca="false">IF(OR(J389="Aktif",J389="Bitiyor"),F389+ROW()/1000000,"")</f>
        <v/>
      </c>
    </row>
    <row r="390" customFormat="false" ht="15" hidden="false" customHeight="false" outlineLevel="0" collapsed="false">
      <c r="A390" s="12"/>
      <c r="B390" s="12"/>
      <c r="C390" s="13"/>
      <c r="D390" s="14"/>
      <c r="E390" s="15"/>
      <c r="F390" s="16" t="str">
        <f aca="false">IF(OR(C390="",D390=""),"",EDATE(D390,IFERROR(INDEX(Paketler!$B$5:$B$24,MATCH(C390,Paketler!$A$5:$A$24,0)),0))-1)</f>
        <v/>
      </c>
      <c r="G390" s="17" t="str">
        <f aca="false">IF(F390="","",IFERROR(INDEX(Paketler!$C$5:$C$24,MATCH(C390,Paketler!$A$5:$A$24,0)),0))</f>
        <v/>
      </c>
      <c r="H390" s="17" t="str">
        <f aca="false">IF(F390="","",G390-E390)</f>
        <v/>
      </c>
      <c r="I390" s="18" t="str">
        <f aca="true">IF(F390="","",F390-TODAY())</f>
        <v/>
      </c>
      <c r="J390" s="19" t="str">
        <f aca="true">IF(F390="","",IF(TODAY()&lt;D390,"Başlamadı",IF(TODAY()&gt;F390,"Bitti",IF(F390-TODAY()&lt;=7,"Bitiyor","Aktif"))))</f>
        <v/>
      </c>
      <c r="K390" s="19" t="str">
        <f aca="false">IF(OR(J390="Aktif",J390="Bitiyor"),F390+ROW()/1000000,"")</f>
        <v/>
      </c>
    </row>
    <row r="391" customFormat="false" ht="15" hidden="false" customHeight="false" outlineLevel="0" collapsed="false">
      <c r="A391" s="12"/>
      <c r="B391" s="12"/>
      <c r="C391" s="13"/>
      <c r="D391" s="14"/>
      <c r="E391" s="15"/>
      <c r="F391" s="16" t="str">
        <f aca="false">IF(OR(C391="",D391=""),"",EDATE(D391,IFERROR(INDEX(Paketler!$B$5:$B$24,MATCH(C391,Paketler!$A$5:$A$24,0)),0))-1)</f>
        <v/>
      </c>
      <c r="G391" s="17" t="str">
        <f aca="false">IF(F391="","",IFERROR(INDEX(Paketler!$C$5:$C$24,MATCH(C391,Paketler!$A$5:$A$24,0)),0))</f>
        <v/>
      </c>
      <c r="H391" s="17" t="str">
        <f aca="false">IF(F391="","",G391-E391)</f>
        <v/>
      </c>
      <c r="I391" s="18" t="str">
        <f aca="true">IF(F391="","",F391-TODAY())</f>
        <v/>
      </c>
      <c r="J391" s="19" t="str">
        <f aca="true">IF(F391="","",IF(TODAY()&lt;D391,"Başlamadı",IF(TODAY()&gt;F391,"Bitti",IF(F391-TODAY()&lt;=7,"Bitiyor","Aktif"))))</f>
        <v/>
      </c>
      <c r="K391" s="19" t="str">
        <f aca="false">IF(OR(J391="Aktif",J391="Bitiyor"),F391+ROW()/1000000,"")</f>
        <v/>
      </c>
    </row>
    <row r="392" customFormat="false" ht="15" hidden="false" customHeight="false" outlineLevel="0" collapsed="false">
      <c r="A392" s="12"/>
      <c r="B392" s="12"/>
      <c r="C392" s="13"/>
      <c r="D392" s="14"/>
      <c r="E392" s="15"/>
      <c r="F392" s="16" t="str">
        <f aca="false">IF(OR(C392="",D392=""),"",EDATE(D392,IFERROR(INDEX(Paketler!$B$5:$B$24,MATCH(C392,Paketler!$A$5:$A$24,0)),0))-1)</f>
        <v/>
      </c>
      <c r="G392" s="17" t="str">
        <f aca="false">IF(F392="","",IFERROR(INDEX(Paketler!$C$5:$C$24,MATCH(C392,Paketler!$A$5:$A$24,0)),0))</f>
        <v/>
      </c>
      <c r="H392" s="17" t="str">
        <f aca="false">IF(F392="","",G392-E392)</f>
        <v/>
      </c>
      <c r="I392" s="18" t="str">
        <f aca="true">IF(F392="","",F392-TODAY())</f>
        <v/>
      </c>
      <c r="J392" s="19" t="str">
        <f aca="true">IF(F392="","",IF(TODAY()&lt;D392,"Başlamadı",IF(TODAY()&gt;F392,"Bitti",IF(F392-TODAY()&lt;=7,"Bitiyor","Aktif"))))</f>
        <v/>
      </c>
      <c r="K392" s="19" t="str">
        <f aca="false">IF(OR(J392="Aktif",J392="Bitiyor"),F392+ROW()/1000000,"")</f>
        <v/>
      </c>
    </row>
    <row r="393" customFormat="false" ht="15" hidden="false" customHeight="false" outlineLevel="0" collapsed="false">
      <c r="A393" s="12"/>
      <c r="B393" s="12"/>
      <c r="C393" s="13"/>
      <c r="D393" s="14"/>
      <c r="E393" s="15"/>
      <c r="F393" s="16" t="str">
        <f aca="false">IF(OR(C393="",D393=""),"",EDATE(D393,IFERROR(INDEX(Paketler!$B$5:$B$24,MATCH(C393,Paketler!$A$5:$A$24,0)),0))-1)</f>
        <v/>
      </c>
      <c r="G393" s="17" t="str">
        <f aca="false">IF(F393="","",IFERROR(INDEX(Paketler!$C$5:$C$24,MATCH(C393,Paketler!$A$5:$A$24,0)),0))</f>
        <v/>
      </c>
      <c r="H393" s="17" t="str">
        <f aca="false">IF(F393="","",G393-E393)</f>
        <v/>
      </c>
      <c r="I393" s="18" t="str">
        <f aca="true">IF(F393="","",F393-TODAY())</f>
        <v/>
      </c>
      <c r="J393" s="19" t="str">
        <f aca="true">IF(F393="","",IF(TODAY()&lt;D393,"Başlamadı",IF(TODAY()&gt;F393,"Bitti",IF(F393-TODAY()&lt;=7,"Bitiyor","Aktif"))))</f>
        <v/>
      </c>
      <c r="K393" s="19" t="str">
        <f aca="false">IF(OR(J393="Aktif",J393="Bitiyor"),F393+ROW()/1000000,"")</f>
        <v/>
      </c>
    </row>
    <row r="394" customFormat="false" ht="15" hidden="false" customHeight="false" outlineLevel="0" collapsed="false">
      <c r="A394" s="12"/>
      <c r="B394" s="12"/>
      <c r="C394" s="13"/>
      <c r="D394" s="14"/>
      <c r="E394" s="15"/>
      <c r="F394" s="16" t="str">
        <f aca="false">IF(OR(C394="",D394=""),"",EDATE(D394,IFERROR(INDEX(Paketler!$B$5:$B$24,MATCH(C394,Paketler!$A$5:$A$24,0)),0))-1)</f>
        <v/>
      </c>
      <c r="G394" s="17" t="str">
        <f aca="false">IF(F394="","",IFERROR(INDEX(Paketler!$C$5:$C$24,MATCH(C394,Paketler!$A$5:$A$24,0)),0))</f>
        <v/>
      </c>
      <c r="H394" s="17" t="str">
        <f aca="false">IF(F394="","",G394-E394)</f>
        <v/>
      </c>
      <c r="I394" s="18" t="str">
        <f aca="true">IF(F394="","",F394-TODAY())</f>
        <v/>
      </c>
      <c r="J394" s="19" t="str">
        <f aca="true">IF(F394="","",IF(TODAY()&lt;D394,"Başlamadı",IF(TODAY()&gt;F394,"Bitti",IF(F394-TODAY()&lt;=7,"Bitiyor","Aktif"))))</f>
        <v/>
      </c>
      <c r="K394" s="19" t="str">
        <f aca="false">IF(OR(J394="Aktif",J394="Bitiyor"),F394+ROW()/1000000,"")</f>
        <v/>
      </c>
    </row>
    <row r="395" customFormat="false" ht="15" hidden="false" customHeight="false" outlineLevel="0" collapsed="false">
      <c r="A395" s="12"/>
      <c r="B395" s="12"/>
      <c r="C395" s="13"/>
      <c r="D395" s="14"/>
      <c r="E395" s="15"/>
      <c r="F395" s="16" t="str">
        <f aca="false">IF(OR(C395="",D395=""),"",EDATE(D395,IFERROR(INDEX(Paketler!$B$5:$B$24,MATCH(C395,Paketler!$A$5:$A$24,0)),0))-1)</f>
        <v/>
      </c>
      <c r="G395" s="17" t="str">
        <f aca="false">IF(F395="","",IFERROR(INDEX(Paketler!$C$5:$C$24,MATCH(C395,Paketler!$A$5:$A$24,0)),0))</f>
        <v/>
      </c>
      <c r="H395" s="17" t="str">
        <f aca="false">IF(F395="","",G395-E395)</f>
        <v/>
      </c>
      <c r="I395" s="18" t="str">
        <f aca="true">IF(F395="","",F395-TODAY())</f>
        <v/>
      </c>
      <c r="J395" s="19" t="str">
        <f aca="true">IF(F395="","",IF(TODAY()&lt;D395,"Başlamadı",IF(TODAY()&gt;F395,"Bitti",IF(F395-TODAY()&lt;=7,"Bitiyor","Aktif"))))</f>
        <v/>
      </c>
      <c r="K395" s="19" t="str">
        <f aca="false">IF(OR(J395="Aktif",J395="Bitiyor"),F395+ROW()/1000000,"")</f>
        <v/>
      </c>
    </row>
    <row r="396" customFormat="false" ht="15" hidden="false" customHeight="false" outlineLevel="0" collapsed="false">
      <c r="A396" s="12"/>
      <c r="B396" s="12"/>
      <c r="C396" s="13"/>
      <c r="D396" s="14"/>
      <c r="E396" s="15"/>
      <c r="F396" s="16" t="str">
        <f aca="false">IF(OR(C396="",D396=""),"",EDATE(D396,IFERROR(INDEX(Paketler!$B$5:$B$24,MATCH(C396,Paketler!$A$5:$A$24,0)),0))-1)</f>
        <v/>
      </c>
      <c r="G396" s="17" t="str">
        <f aca="false">IF(F396="","",IFERROR(INDEX(Paketler!$C$5:$C$24,MATCH(C396,Paketler!$A$5:$A$24,0)),0))</f>
        <v/>
      </c>
      <c r="H396" s="17" t="str">
        <f aca="false">IF(F396="","",G396-E396)</f>
        <v/>
      </c>
      <c r="I396" s="18" t="str">
        <f aca="true">IF(F396="","",F396-TODAY())</f>
        <v/>
      </c>
      <c r="J396" s="19" t="str">
        <f aca="true">IF(F396="","",IF(TODAY()&lt;D396,"Başlamadı",IF(TODAY()&gt;F396,"Bitti",IF(F396-TODAY()&lt;=7,"Bitiyor","Aktif"))))</f>
        <v/>
      </c>
      <c r="K396" s="19" t="str">
        <f aca="false">IF(OR(J396="Aktif",J396="Bitiyor"),F396+ROW()/1000000,"")</f>
        <v/>
      </c>
    </row>
    <row r="397" customFormat="false" ht="15" hidden="false" customHeight="false" outlineLevel="0" collapsed="false">
      <c r="A397" s="12"/>
      <c r="B397" s="12"/>
      <c r="C397" s="13"/>
      <c r="D397" s="14"/>
      <c r="E397" s="15"/>
      <c r="F397" s="16" t="str">
        <f aca="false">IF(OR(C397="",D397=""),"",EDATE(D397,IFERROR(INDEX(Paketler!$B$5:$B$24,MATCH(C397,Paketler!$A$5:$A$24,0)),0))-1)</f>
        <v/>
      </c>
      <c r="G397" s="17" t="str">
        <f aca="false">IF(F397="","",IFERROR(INDEX(Paketler!$C$5:$C$24,MATCH(C397,Paketler!$A$5:$A$24,0)),0))</f>
        <v/>
      </c>
      <c r="H397" s="17" t="str">
        <f aca="false">IF(F397="","",G397-E397)</f>
        <v/>
      </c>
      <c r="I397" s="18" t="str">
        <f aca="true">IF(F397="","",F397-TODAY())</f>
        <v/>
      </c>
      <c r="J397" s="19" t="str">
        <f aca="true">IF(F397="","",IF(TODAY()&lt;D397,"Başlamadı",IF(TODAY()&gt;F397,"Bitti",IF(F397-TODAY()&lt;=7,"Bitiyor","Aktif"))))</f>
        <v/>
      </c>
      <c r="K397" s="19" t="str">
        <f aca="false">IF(OR(J397="Aktif",J397="Bitiyor"),F397+ROW()/1000000,"")</f>
        <v/>
      </c>
    </row>
    <row r="398" customFormat="false" ht="15" hidden="false" customHeight="false" outlineLevel="0" collapsed="false">
      <c r="A398" s="12"/>
      <c r="B398" s="12"/>
      <c r="C398" s="13"/>
      <c r="D398" s="14"/>
      <c r="E398" s="15"/>
      <c r="F398" s="16" t="str">
        <f aca="false">IF(OR(C398="",D398=""),"",EDATE(D398,IFERROR(INDEX(Paketler!$B$5:$B$24,MATCH(C398,Paketler!$A$5:$A$24,0)),0))-1)</f>
        <v/>
      </c>
      <c r="G398" s="17" t="str">
        <f aca="false">IF(F398="","",IFERROR(INDEX(Paketler!$C$5:$C$24,MATCH(C398,Paketler!$A$5:$A$24,0)),0))</f>
        <v/>
      </c>
      <c r="H398" s="17" t="str">
        <f aca="false">IF(F398="","",G398-E398)</f>
        <v/>
      </c>
      <c r="I398" s="18" t="str">
        <f aca="true">IF(F398="","",F398-TODAY())</f>
        <v/>
      </c>
      <c r="J398" s="19" t="str">
        <f aca="true">IF(F398="","",IF(TODAY()&lt;D398,"Başlamadı",IF(TODAY()&gt;F398,"Bitti",IF(F398-TODAY()&lt;=7,"Bitiyor","Aktif"))))</f>
        <v/>
      </c>
      <c r="K398" s="19" t="str">
        <f aca="false">IF(OR(J398="Aktif",J398="Bitiyor"),F398+ROW()/1000000,"")</f>
        <v/>
      </c>
    </row>
    <row r="399" customFormat="false" ht="15" hidden="false" customHeight="false" outlineLevel="0" collapsed="false">
      <c r="A399" s="12"/>
      <c r="B399" s="12"/>
      <c r="C399" s="13"/>
      <c r="D399" s="14"/>
      <c r="E399" s="15"/>
      <c r="F399" s="16" t="str">
        <f aca="false">IF(OR(C399="",D399=""),"",EDATE(D399,IFERROR(INDEX(Paketler!$B$5:$B$24,MATCH(C399,Paketler!$A$5:$A$24,0)),0))-1)</f>
        <v/>
      </c>
      <c r="G399" s="17" t="str">
        <f aca="false">IF(F399="","",IFERROR(INDEX(Paketler!$C$5:$C$24,MATCH(C399,Paketler!$A$5:$A$24,0)),0))</f>
        <v/>
      </c>
      <c r="H399" s="17" t="str">
        <f aca="false">IF(F399="","",G399-E399)</f>
        <v/>
      </c>
      <c r="I399" s="18" t="str">
        <f aca="true">IF(F399="","",F399-TODAY())</f>
        <v/>
      </c>
      <c r="J399" s="19" t="str">
        <f aca="true">IF(F399="","",IF(TODAY()&lt;D399,"Başlamadı",IF(TODAY()&gt;F399,"Bitti",IF(F399-TODAY()&lt;=7,"Bitiyor","Aktif"))))</f>
        <v/>
      </c>
      <c r="K399" s="19" t="str">
        <f aca="false">IF(OR(J399="Aktif",J399="Bitiyor"),F399+ROW()/1000000,"")</f>
        <v/>
      </c>
    </row>
    <row r="400" customFormat="false" ht="15" hidden="false" customHeight="false" outlineLevel="0" collapsed="false">
      <c r="A400" s="12"/>
      <c r="B400" s="12"/>
      <c r="C400" s="13"/>
      <c r="D400" s="14"/>
      <c r="E400" s="15"/>
      <c r="F400" s="16" t="str">
        <f aca="false">IF(OR(C400="",D400=""),"",EDATE(D400,IFERROR(INDEX(Paketler!$B$5:$B$24,MATCH(C400,Paketler!$A$5:$A$24,0)),0))-1)</f>
        <v/>
      </c>
      <c r="G400" s="17" t="str">
        <f aca="false">IF(F400="","",IFERROR(INDEX(Paketler!$C$5:$C$24,MATCH(C400,Paketler!$A$5:$A$24,0)),0))</f>
        <v/>
      </c>
      <c r="H400" s="17" t="str">
        <f aca="false">IF(F400="","",G400-E400)</f>
        <v/>
      </c>
      <c r="I400" s="18" t="str">
        <f aca="true">IF(F400="","",F400-TODAY())</f>
        <v/>
      </c>
      <c r="J400" s="19" t="str">
        <f aca="true">IF(F400="","",IF(TODAY()&lt;D400,"Başlamadı",IF(TODAY()&gt;F400,"Bitti",IF(F400-TODAY()&lt;=7,"Bitiyor","Aktif"))))</f>
        <v/>
      </c>
      <c r="K400" s="19" t="str">
        <f aca="false">IF(OR(J400="Aktif",J400="Bitiyor"),F400+ROW()/1000000,"")</f>
        <v/>
      </c>
    </row>
    <row r="401" customFormat="false" ht="15" hidden="false" customHeight="false" outlineLevel="0" collapsed="false">
      <c r="A401" s="12"/>
      <c r="B401" s="12"/>
      <c r="C401" s="13"/>
      <c r="D401" s="14"/>
      <c r="E401" s="15"/>
      <c r="F401" s="16" t="str">
        <f aca="false">IF(OR(C401="",D401=""),"",EDATE(D401,IFERROR(INDEX(Paketler!$B$5:$B$24,MATCH(C401,Paketler!$A$5:$A$24,0)),0))-1)</f>
        <v/>
      </c>
      <c r="G401" s="17" t="str">
        <f aca="false">IF(F401="","",IFERROR(INDEX(Paketler!$C$5:$C$24,MATCH(C401,Paketler!$A$5:$A$24,0)),0))</f>
        <v/>
      </c>
      <c r="H401" s="17" t="str">
        <f aca="false">IF(F401="","",G401-E401)</f>
        <v/>
      </c>
      <c r="I401" s="18" t="str">
        <f aca="true">IF(F401="","",F401-TODAY())</f>
        <v/>
      </c>
      <c r="J401" s="19" t="str">
        <f aca="true">IF(F401="","",IF(TODAY()&lt;D401,"Başlamadı",IF(TODAY()&gt;F401,"Bitti",IF(F401-TODAY()&lt;=7,"Bitiyor","Aktif"))))</f>
        <v/>
      </c>
      <c r="K401" s="19" t="str">
        <f aca="false">IF(OR(J401="Aktif",J401="Bitiyor"),F401+ROW()/1000000,"")</f>
        <v/>
      </c>
    </row>
    <row r="402" customFormat="false" ht="15" hidden="false" customHeight="false" outlineLevel="0" collapsed="false">
      <c r="A402" s="12"/>
      <c r="B402" s="12"/>
      <c r="C402" s="13"/>
      <c r="D402" s="14"/>
      <c r="E402" s="15"/>
      <c r="F402" s="16" t="str">
        <f aca="false">IF(OR(C402="",D402=""),"",EDATE(D402,IFERROR(INDEX(Paketler!$B$5:$B$24,MATCH(C402,Paketler!$A$5:$A$24,0)),0))-1)</f>
        <v/>
      </c>
      <c r="G402" s="17" t="str">
        <f aca="false">IF(F402="","",IFERROR(INDEX(Paketler!$C$5:$C$24,MATCH(C402,Paketler!$A$5:$A$24,0)),0))</f>
        <v/>
      </c>
      <c r="H402" s="17" t="str">
        <f aca="false">IF(F402="","",G402-E402)</f>
        <v/>
      </c>
      <c r="I402" s="18" t="str">
        <f aca="true">IF(F402="","",F402-TODAY())</f>
        <v/>
      </c>
      <c r="J402" s="19" t="str">
        <f aca="true">IF(F402="","",IF(TODAY()&lt;D402,"Başlamadı",IF(TODAY()&gt;F402,"Bitti",IF(F402-TODAY()&lt;=7,"Bitiyor","Aktif"))))</f>
        <v/>
      </c>
      <c r="K402" s="19" t="str">
        <f aca="false">IF(OR(J402="Aktif",J402="Bitiyor"),F402+ROW()/1000000,"")</f>
        <v/>
      </c>
    </row>
    <row r="403" customFormat="false" ht="15" hidden="false" customHeight="false" outlineLevel="0" collapsed="false">
      <c r="A403" s="12"/>
      <c r="B403" s="12"/>
      <c r="C403" s="13"/>
      <c r="D403" s="14"/>
      <c r="E403" s="15"/>
      <c r="F403" s="16" t="str">
        <f aca="false">IF(OR(C403="",D403=""),"",EDATE(D403,IFERROR(INDEX(Paketler!$B$5:$B$24,MATCH(C403,Paketler!$A$5:$A$24,0)),0))-1)</f>
        <v/>
      </c>
      <c r="G403" s="17" t="str">
        <f aca="false">IF(F403="","",IFERROR(INDEX(Paketler!$C$5:$C$24,MATCH(C403,Paketler!$A$5:$A$24,0)),0))</f>
        <v/>
      </c>
      <c r="H403" s="17" t="str">
        <f aca="false">IF(F403="","",G403-E403)</f>
        <v/>
      </c>
      <c r="I403" s="18" t="str">
        <f aca="true">IF(F403="","",F403-TODAY())</f>
        <v/>
      </c>
      <c r="J403" s="19" t="str">
        <f aca="true">IF(F403="","",IF(TODAY()&lt;D403,"Başlamadı",IF(TODAY()&gt;F403,"Bitti",IF(F403-TODAY()&lt;=7,"Bitiyor","Aktif"))))</f>
        <v/>
      </c>
      <c r="K403" s="19" t="str">
        <f aca="false">IF(OR(J403="Aktif",J403="Bitiyor"),F403+ROW()/1000000,"")</f>
        <v/>
      </c>
    </row>
    <row r="404" customFormat="false" ht="15" hidden="false" customHeight="false" outlineLevel="0" collapsed="false">
      <c r="A404" s="12"/>
      <c r="B404" s="12"/>
      <c r="C404" s="13"/>
      <c r="D404" s="14"/>
      <c r="E404" s="15"/>
      <c r="F404" s="16" t="str">
        <f aca="false">IF(OR(C404="",D404=""),"",EDATE(D404,IFERROR(INDEX(Paketler!$B$5:$B$24,MATCH(C404,Paketler!$A$5:$A$24,0)),0))-1)</f>
        <v/>
      </c>
      <c r="G404" s="17" t="str">
        <f aca="false">IF(F404="","",IFERROR(INDEX(Paketler!$C$5:$C$24,MATCH(C404,Paketler!$A$5:$A$24,0)),0))</f>
        <v/>
      </c>
      <c r="H404" s="17" t="str">
        <f aca="false">IF(F404="","",G404-E404)</f>
        <v/>
      </c>
      <c r="I404" s="18" t="str">
        <f aca="true">IF(F404="","",F404-TODAY())</f>
        <v/>
      </c>
      <c r="J404" s="19" t="str">
        <f aca="true">IF(F404="","",IF(TODAY()&lt;D404,"Başlamadı",IF(TODAY()&gt;F404,"Bitti",IF(F404-TODAY()&lt;=7,"Bitiyor","Aktif"))))</f>
        <v/>
      </c>
      <c r="K404" s="19" t="str">
        <f aca="false">IF(OR(J404="Aktif",J404="Bitiyor"),F404+ROW()/1000000,"")</f>
        <v/>
      </c>
    </row>
    <row r="405" customFormat="false" ht="15" hidden="false" customHeight="false" outlineLevel="0" collapsed="false">
      <c r="A405" s="12"/>
      <c r="B405" s="12"/>
      <c r="C405" s="13"/>
      <c r="D405" s="14"/>
      <c r="E405" s="15"/>
      <c r="F405" s="16" t="str">
        <f aca="false">IF(OR(C405="",D405=""),"",EDATE(D405,IFERROR(INDEX(Paketler!$B$5:$B$24,MATCH(C405,Paketler!$A$5:$A$24,0)),0))-1)</f>
        <v/>
      </c>
      <c r="G405" s="17" t="str">
        <f aca="false">IF(F405="","",IFERROR(INDEX(Paketler!$C$5:$C$24,MATCH(C405,Paketler!$A$5:$A$24,0)),0))</f>
        <v/>
      </c>
      <c r="H405" s="17" t="str">
        <f aca="false">IF(F405="","",G405-E405)</f>
        <v/>
      </c>
      <c r="I405" s="18" t="str">
        <f aca="true">IF(F405="","",F405-TODAY())</f>
        <v/>
      </c>
      <c r="J405" s="19" t="str">
        <f aca="true">IF(F405="","",IF(TODAY()&lt;D405,"Başlamadı",IF(TODAY()&gt;F405,"Bitti",IF(F405-TODAY()&lt;=7,"Bitiyor","Aktif"))))</f>
        <v/>
      </c>
      <c r="K405" s="19" t="str">
        <f aca="false">IF(OR(J405="Aktif",J405="Bitiyor"),F405+ROW()/1000000,"")</f>
        <v/>
      </c>
    </row>
    <row r="406" customFormat="false" ht="15" hidden="false" customHeight="false" outlineLevel="0" collapsed="false">
      <c r="A406" s="12"/>
      <c r="B406" s="12"/>
      <c r="C406" s="13"/>
      <c r="D406" s="14"/>
      <c r="E406" s="15"/>
      <c r="F406" s="16" t="str">
        <f aca="false">IF(OR(C406="",D406=""),"",EDATE(D406,IFERROR(INDEX(Paketler!$B$5:$B$24,MATCH(C406,Paketler!$A$5:$A$24,0)),0))-1)</f>
        <v/>
      </c>
      <c r="G406" s="17" t="str">
        <f aca="false">IF(F406="","",IFERROR(INDEX(Paketler!$C$5:$C$24,MATCH(C406,Paketler!$A$5:$A$24,0)),0))</f>
        <v/>
      </c>
      <c r="H406" s="17" t="str">
        <f aca="false">IF(F406="","",G406-E406)</f>
        <v/>
      </c>
      <c r="I406" s="18" t="str">
        <f aca="true">IF(F406="","",F406-TODAY())</f>
        <v/>
      </c>
      <c r="J406" s="19" t="str">
        <f aca="true">IF(F406="","",IF(TODAY()&lt;D406,"Başlamadı",IF(TODAY()&gt;F406,"Bitti",IF(F406-TODAY()&lt;=7,"Bitiyor","Aktif"))))</f>
        <v/>
      </c>
      <c r="K406" s="19" t="str">
        <f aca="false">IF(OR(J406="Aktif",J406="Bitiyor"),F406+ROW()/1000000,"")</f>
        <v/>
      </c>
    </row>
    <row r="407" customFormat="false" ht="15" hidden="false" customHeight="false" outlineLevel="0" collapsed="false">
      <c r="A407" s="12"/>
      <c r="B407" s="12"/>
      <c r="C407" s="13"/>
      <c r="D407" s="14"/>
      <c r="E407" s="15"/>
      <c r="F407" s="16" t="str">
        <f aca="false">IF(OR(C407="",D407=""),"",EDATE(D407,IFERROR(INDEX(Paketler!$B$5:$B$24,MATCH(C407,Paketler!$A$5:$A$24,0)),0))-1)</f>
        <v/>
      </c>
      <c r="G407" s="17" t="str">
        <f aca="false">IF(F407="","",IFERROR(INDEX(Paketler!$C$5:$C$24,MATCH(C407,Paketler!$A$5:$A$24,0)),0))</f>
        <v/>
      </c>
      <c r="H407" s="17" t="str">
        <f aca="false">IF(F407="","",G407-E407)</f>
        <v/>
      </c>
      <c r="I407" s="18" t="str">
        <f aca="true">IF(F407="","",F407-TODAY())</f>
        <v/>
      </c>
      <c r="J407" s="19" t="str">
        <f aca="true">IF(F407="","",IF(TODAY()&lt;D407,"Başlamadı",IF(TODAY()&gt;F407,"Bitti",IF(F407-TODAY()&lt;=7,"Bitiyor","Aktif"))))</f>
        <v/>
      </c>
      <c r="K407" s="19" t="str">
        <f aca="false">IF(OR(J407="Aktif",J407="Bitiyor"),F407+ROW()/1000000,"")</f>
        <v/>
      </c>
    </row>
    <row r="408" customFormat="false" ht="15" hidden="false" customHeight="false" outlineLevel="0" collapsed="false">
      <c r="A408" s="12"/>
      <c r="B408" s="12"/>
      <c r="C408" s="13"/>
      <c r="D408" s="14"/>
      <c r="E408" s="15"/>
      <c r="F408" s="16" t="str">
        <f aca="false">IF(OR(C408="",D408=""),"",EDATE(D408,IFERROR(INDEX(Paketler!$B$5:$B$24,MATCH(C408,Paketler!$A$5:$A$24,0)),0))-1)</f>
        <v/>
      </c>
      <c r="G408" s="17" t="str">
        <f aca="false">IF(F408="","",IFERROR(INDEX(Paketler!$C$5:$C$24,MATCH(C408,Paketler!$A$5:$A$24,0)),0))</f>
        <v/>
      </c>
      <c r="H408" s="17" t="str">
        <f aca="false">IF(F408="","",G408-E408)</f>
        <v/>
      </c>
      <c r="I408" s="18" t="str">
        <f aca="true">IF(F408="","",F408-TODAY())</f>
        <v/>
      </c>
      <c r="J408" s="19" t="str">
        <f aca="true">IF(F408="","",IF(TODAY()&lt;D408,"Başlamadı",IF(TODAY()&gt;F408,"Bitti",IF(F408-TODAY()&lt;=7,"Bitiyor","Aktif"))))</f>
        <v/>
      </c>
      <c r="K408" s="19" t="str">
        <f aca="false">IF(OR(J408="Aktif",J408="Bitiyor"),F408+ROW()/1000000,"")</f>
        <v/>
      </c>
    </row>
    <row r="409" customFormat="false" ht="15" hidden="false" customHeight="false" outlineLevel="0" collapsed="false">
      <c r="A409" s="12"/>
      <c r="B409" s="12"/>
      <c r="C409" s="13"/>
      <c r="D409" s="14"/>
      <c r="E409" s="15"/>
      <c r="F409" s="16" t="str">
        <f aca="false">IF(OR(C409="",D409=""),"",EDATE(D409,IFERROR(INDEX(Paketler!$B$5:$B$24,MATCH(C409,Paketler!$A$5:$A$24,0)),0))-1)</f>
        <v/>
      </c>
      <c r="G409" s="17" t="str">
        <f aca="false">IF(F409="","",IFERROR(INDEX(Paketler!$C$5:$C$24,MATCH(C409,Paketler!$A$5:$A$24,0)),0))</f>
        <v/>
      </c>
      <c r="H409" s="17" t="str">
        <f aca="false">IF(F409="","",G409-E409)</f>
        <v/>
      </c>
      <c r="I409" s="18" t="str">
        <f aca="true">IF(F409="","",F409-TODAY())</f>
        <v/>
      </c>
      <c r="J409" s="19" t="str">
        <f aca="true">IF(F409="","",IF(TODAY()&lt;D409,"Başlamadı",IF(TODAY()&gt;F409,"Bitti",IF(F409-TODAY()&lt;=7,"Bitiyor","Aktif"))))</f>
        <v/>
      </c>
      <c r="K409" s="19" t="str">
        <f aca="false">IF(OR(J409="Aktif",J409="Bitiyor"),F409+ROW()/1000000,"")</f>
        <v/>
      </c>
    </row>
    <row r="410" customFormat="false" ht="15" hidden="false" customHeight="false" outlineLevel="0" collapsed="false">
      <c r="A410" s="12"/>
      <c r="B410" s="12"/>
      <c r="C410" s="13"/>
      <c r="D410" s="14"/>
      <c r="E410" s="15"/>
      <c r="F410" s="16" t="str">
        <f aca="false">IF(OR(C410="",D410=""),"",EDATE(D410,IFERROR(INDEX(Paketler!$B$5:$B$24,MATCH(C410,Paketler!$A$5:$A$24,0)),0))-1)</f>
        <v/>
      </c>
      <c r="G410" s="17" t="str">
        <f aca="false">IF(F410="","",IFERROR(INDEX(Paketler!$C$5:$C$24,MATCH(C410,Paketler!$A$5:$A$24,0)),0))</f>
        <v/>
      </c>
      <c r="H410" s="17" t="str">
        <f aca="false">IF(F410="","",G410-E410)</f>
        <v/>
      </c>
      <c r="I410" s="18" t="str">
        <f aca="true">IF(F410="","",F410-TODAY())</f>
        <v/>
      </c>
      <c r="J410" s="19" t="str">
        <f aca="true">IF(F410="","",IF(TODAY()&lt;D410,"Başlamadı",IF(TODAY()&gt;F410,"Bitti",IF(F410-TODAY()&lt;=7,"Bitiyor","Aktif"))))</f>
        <v/>
      </c>
      <c r="K410" s="19" t="str">
        <f aca="false">IF(OR(J410="Aktif",J410="Bitiyor"),F410+ROW()/1000000,"")</f>
        <v/>
      </c>
    </row>
    <row r="411" customFormat="false" ht="15" hidden="false" customHeight="false" outlineLevel="0" collapsed="false">
      <c r="A411" s="12"/>
      <c r="B411" s="12"/>
      <c r="C411" s="13"/>
      <c r="D411" s="14"/>
      <c r="E411" s="15"/>
      <c r="F411" s="16" t="str">
        <f aca="false">IF(OR(C411="",D411=""),"",EDATE(D411,IFERROR(INDEX(Paketler!$B$5:$B$24,MATCH(C411,Paketler!$A$5:$A$24,0)),0))-1)</f>
        <v/>
      </c>
      <c r="G411" s="17" t="str">
        <f aca="false">IF(F411="","",IFERROR(INDEX(Paketler!$C$5:$C$24,MATCH(C411,Paketler!$A$5:$A$24,0)),0))</f>
        <v/>
      </c>
      <c r="H411" s="17" t="str">
        <f aca="false">IF(F411="","",G411-E411)</f>
        <v/>
      </c>
      <c r="I411" s="18" t="str">
        <f aca="true">IF(F411="","",F411-TODAY())</f>
        <v/>
      </c>
      <c r="J411" s="19" t="str">
        <f aca="true">IF(F411="","",IF(TODAY()&lt;D411,"Başlamadı",IF(TODAY()&gt;F411,"Bitti",IF(F411-TODAY()&lt;=7,"Bitiyor","Aktif"))))</f>
        <v/>
      </c>
      <c r="K411" s="19" t="str">
        <f aca="false">IF(OR(J411="Aktif",J411="Bitiyor"),F411+ROW()/1000000,"")</f>
        <v/>
      </c>
    </row>
    <row r="412" customFormat="false" ht="15" hidden="false" customHeight="false" outlineLevel="0" collapsed="false">
      <c r="A412" s="12"/>
      <c r="B412" s="12"/>
      <c r="C412" s="13"/>
      <c r="D412" s="14"/>
      <c r="E412" s="15"/>
      <c r="F412" s="16" t="str">
        <f aca="false">IF(OR(C412="",D412=""),"",EDATE(D412,IFERROR(INDEX(Paketler!$B$5:$B$24,MATCH(C412,Paketler!$A$5:$A$24,0)),0))-1)</f>
        <v/>
      </c>
      <c r="G412" s="17" t="str">
        <f aca="false">IF(F412="","",IFERROR(INDEX(Paketler!$C$5:$C$24,MATCH(C412,Paketler!$A$5:$A$24,0)),0))</f>
        <v/>
      </c>
      <c r="H412" s="17" t="str">
        <f aca="false">IF(F412="","",G412-E412)</f>
        <v/>
      </c>
      <c r="I412" s="18" t="str">
        <f aca="true">IF(F412="","",F412-TODAY())</f>
        <v/>
      </c>
      <c r="J412" s="19" t="str">
        <f aca="true">IF(F412="","",IF(TODAY()&lt;D412,"Başlamadı",IF(TODAY()&gt;F412,"Bitti",IF(F412-TODAY()&lt;=7,"Bitiyor","Aktif"))))</f>
        <v/>
      </c>
      <c r="K412" s="19" t="str">
        <f aca="false">IF(OR(J412="Aktif",J412="Bitiyor"),F412+ROW()/1000000,"")</f>
        <v/>
      </c>
    </row>
    <row r="413" customFormat="false" ht="15" hidden="false" customHeight="false" outlineLevel="0" collapsed="false">
      <c r="A413" s="12"/>
      <c r="B413" s="12"/>
      <c r="C413" s="13"/>
      <c r="D413" s="14"/>
      <c r="E413" s="15"/>
      <c r="F413" s="16" t="str">
        <f aca="false">IF(OR(C413="",D413=""),"",EDATE(D413,IFERROR(INDEX(Paketler!$B$5:$B$24,MATCH(C413,Paketler!$A$5:$A$24,0)),0))-1)</f>
        <v/>
      </c>
      <c r="G413" s="17" t="str">
        <f aca="false">IF(F413="","",IFERROR(INDEX(Paketler!$C$5:$C$24,MATCH(C413,Paketler!$A$5:$A$24,0)),0))</f>
        <v/>
      </c>
      <c r="H413" s="17" t="str">
        <f aca="false">IF(F413="","",G413-E413)</f>
        <v/>
      </c>
      <c r="I413" s="18" t="str">
        <f aca="true">IF(F413="","",F413-TODAY())</f>
        <v/>
      </c>
      <c r="J413" s="19" t="str">
        <f aca="true">IF(F413="","",IF(TODAY()&lt;D413,"Başlamadı",IF(TODAY()&gt;F413,"Bitti",IF(F413-TODAY()&lt;=7,"Bitiyor","Aktif"))))</f>
        <v/>
      </c>
      <c r="K413" s="19" t="str">
        <f aca="false">IF(OR(J413="Aktif",J413="Bitiyor"),F413+ROW()/1000000,"")</f>
        <v/>
      </c>
    </row>
    <row r="414" customFormat="false" ht="15" hidden="false" customHeight="false" outlineLevel="0" collapsed="false">
      <c r="A414" s="12"/>
      <c r="B414" s="12"/>
      <c r="C414" s="13"/>
      <c r="D414" s="14"/>
      <c r="E414" s="15"/>
      <c r="F414" s="16" t="str">
        <f aca="false">IF(OR(C414="",D414=""),"",EDATE(D414,IFERROR(INDEX(Paketler!$B$5:$B$24,MATCH(C414,Paketler!$A$5:$A$24,0)),0))-1)</f>
        <v/>
      </c>
      <c r="G414" s="17" t="str">
        <f aca="false">IF(F414="","",IFERROR(INDEX(Paketler!$C$5:$C$24,MATCH(C414,Paketler!$A$5:$A$24,0)),0))</f>
        <v/>
      </c>
      <c r="H414" s="17" t="str">
        <f aca="false">IF(F414="","",G414-E414)</f>
        <v/>
      </c>
      <c r="I414" s="18" t="str">
        <f aca="true">IF(F414="","",F414-TODAY())</f>
        <v/>
      </c>
      <c r="J414" s="19" t="str">
        <f aca="true">IF(F414="","",IF(TODAY()&lt;D414,"Başlamadı",IF(TODAY()&gt;F414,"Bitti",IF(F414-TODAY()&lt;=7,"Bitiyor","Aktif"))))</f>
        <v/>
      </c>
      <c r="K414" s="19" t="str">
        <f aca="false">IF(OR(J414="Aktif",J414="Bitiyor"),F414+ROW()/1000000,"")</f>
        <v/>
      </c>
    </row>
    <row r="415" customFormat="false" ht="15" hidden="false" customHeight="false" outlineLevel="0" collapsed="false">
      <c r="A415" s="12"/>
      <c r="B415" s="12"/>
      <c r="C415" s="13"/>
      <c r="D415" s="14"/>
      <c r="E415" s="15"/>
      <c r="F415" s="16" t="str">
        <f aca="false">IF(OR(C415="",D415=""),"",EDATE(D415,IFERROR(INDEX(Paketler!$B$5:$B$24,MATCH(C415,Paketler!$A$5:$A$24,0)),0))-1)</f>
        <v/>
      </c>
      <c r="G415" s="17" t="str">
        <f aca="false">IF(F415="","",IFERROR(INDEX(Paketler!$C$5:$C$24,MATCH(C415,Paketler!$A$5:$A$24,0)),0))</f>
        <v/>
      </c>
      <c r="H415" s="17" t="str">
        <f aca="false">IF(F415="","",G415-E415)</f>
        <v/>
      </c>
      <c r="I415" s="18" t="str">
        <f aca="true">IF(F415="","",F415-TODAY())</f>
        <v/>
      </c>
      <c r="J415" s="19" t="str">
        <f aca="true">IF(F415="","",IF(TODAY()&lt;D415,"Başlamadı",IF(TODAY()&gt;F415,"Bitti",IF(F415-TODAY()&lt;=7,"Bitiyor","Aktif"))))</f>
        <v/>
      </c>
      <c r="K415" s="19" t="str">
        <f aca="false">IF(OR(J415="Aktif",J415="Bitiyor"),F415+ROW()/1000000,"")</f>
        <v/>
      </c>
    </row>
    <row r="416" customFormat="false" ht="15" hidden="false" customHeight="false" outlineLevel="0" collapsed="false">
      <c r="A416" s="12"/>
      <c r="B416" s="12"/>
      <c r="C416" s="13"/>
      <c r="D416" s="14"/>
      <c r="E416" s="15"/>
      <c r="F416" s="16" t="str">
        <f aca="false">IF(OR(C416="",D416=""),"",EDATE(D416,IFERROR(INDEX(Paketler!$B$5:$B$24,MATCH(C416,Paketler!$A$5:$A$24,0)),0))-1)</f>
        <v/>
      </c>
      <c r="G416" s="17" t="str">
        <f aca="false">IF(F416="","",IFERROR(INDEX(Paketler!$C$5:$C$24,MATCH(C416,Paketler!$A$5:$A$24,0)),0))</f>
        <v/>
      </c>
      <c r="H416" s="17" t="str">
        <f aca="false">IF(F416="","",G416-E416)</f>
        <v/>
      </c>
      <c r="I416" s="18" t="str">
        <f aca="true">IF(F416="","",F416-TODAY())</f>
        <v/>
      </c>
      <c r="J416" s="19" t="str">
        <f aca="true">IF(F416="","",IF(TODAY()&lt;D416,"Başlamadı",IF(TODAY()&gt;F416,"Bitti",IF(F416-TODAY()&lt;=7,"Bitiyor","Aktif"))))</f>
        <v/>
      </c>
      <c r="K416" s="19" t="str">
        <f aca="false">IF(OR(J416="Aktif",J416="Bitiyor"),F416+ROW()/1000000,"")</f>
        <v/>
      </c>
    </row>
    <row r="417" customFormat="false" ht="15" hidden="false" customHeight="false" outlineLevel="0" collapsed="false">
      <c r="A417" s="12"/>
      <c r="B417" s="12"/>
      <c r="C417" s="13"/>
      <c r="D417" s="14"/>
      <c r="E417" s="15"/>
      <c r="F417" s="16" t="str">
        <f aca="false">IF(OR(C417="",D417=""),"",EDATE(D417,IFERROR(INDEX(Paketler!$B$5:$B$24,MATCH(C417,Paketler!$A$5:$A$24,0)),0))-1)</f>
        <v/>
      </c>
      <c r="G417" s="17" t="str">
        <f aca="false">IF(F417="","",IFERROR(INDEX(Paketler!$C$5:$C$24,MATCH(C417,Paketler!$A$5:$A$24,0)),0))</f>
        <v/>
      </c>
      <c r="H417" s="17" t="str">
        <f aca="false">IF(F417="","",G417-E417)</f>
        <v/>
      </c>
      <c r="I417" s="18" t="str">
        <f aca="true">IF(F417="","",F417-TODAY())</f>
        <v/>
      </c>
      <c r="J417" s="19" t="str">
        <f aca="true">IF(F417="","",IF(TODAY()&lt;D417,"Başlamadı",IF(TODAY()&gt;F417,"Bitti",IF(F417-TODAY()&lt;=7,"Bitiyor","Aktif"))))</f>
        <v/>
      </c>
      <c r="K417" s="19" t="str">
        <f aca="false">IF(OR(J417="Aktif",J417="Bitiyor"),F417+ROW()/1000000,"")</f>
        <v/>
      </c>
    </row>
    <row r="418" customFormat="false" ht="15" hidden="false" customHeight="false" outlineLevel="0" collapsed="false">
      <c r="A418" s="12"/>
      <c r="B418" s="12"/>
      <c r="C418" s="13"/>
      <c r="D418" s="14"/>
      <c r="E418" s="15"/>
      <c r="F418" s="16" t="str">
        <f aca="false">IF(OR(C418="",D418=""),"",EDATE(D418,IFERROR(INDEX(Paketler!$B$5:$B$24,MATCH(C418,Paketler!$A$5:$A$24,0)),0))-1)</f>
        <v/>
      </c>
      <c r="G418" s="17" t="str">
        <f aca="false">IF(F418="","",IFERROR(INDEX(Paketler!$C$5:$C$24,MATCH(C418,Paketler!$A$5:$A$24,0)),0))</f>
        <v/>
      </c>
      <c r="H418" s="17" t="str">
        <f aca="false">IF(F418="","",G418-E418)</f>
        <v/>
      </c>
      <c r="I418" s="18" t="str">
        <f aca="true">IF(F418="","",F418-TODAY())</f>
        <v/>
      </c>
      <c r="J418" s="19" t="str">
        <f aca="true">IF(F418="","",IF(TODAY()&lt;D418,"Başlamadı",IF(TODAY()&gt;F418,"Bitti",IF(F418-TODAY()&lt;=7,"Bitiyor","Aktif"))))</f>
        <v/>
      </c>
      <c r="K418" s="19" t="str">
        <f aca="false">IF(OR(J418="Aktif",J418="Bitiyor"),F418+ROW()/1000000,"")</f>
        <v/>
      </c>
    </row>
    <row r="419" customFormat="false" ht="15" hidden="false" customHeight="false" outlineLevel="0" collapsed="false">
      <c r="A419" s="12"/>
      <c r="B419" s="12"/>
      <c r="C419" s="13"/>
      <c r="D419" s="14"/>
      <c r="E419" s="15"/>
      <c r="F419" s="16" t="str">
        <f aca="false">IF(OR(C419="",D419=""),"",EDATE(D419,IFERROR(INDEX(Paketler!$B$5:$B$24,MATCH(C419,Paketler!$A$5:$A$24,0)),0))-1)</f>
        <v/>
      </c>
      <c r="G419" s="17" t="str">
        <f aca="false">IF(F419="","",IFERROR(INDEX(Paketler!$C$5:$C$24,MATCH(C419,Paketler!$A$5:$A$24,0)),0))</f>
        <v/>
      </c>
      <c r="H419" s="17" t="str">
        <f aca="false">IF(F419="","",G419-E419)</f>
        <v/>
      </c>
      <c r="I419" s="18" t="str">
        <f aca="true">IF(F419="","",F419-TODAY())</f>
        <v/>
      </c>
      <c r="J419" s="19" t="str">
        <f aca="true">IF(F419="","",IF(TODAY()&lt;D419,"Başlamadı",IF(TODAY()&gt;F419,"Bitti",IF(F419-TODAY()&lt;=7,"Bitiyor","Aktif"))))</f>
        <v/>
      </c>
      <c r="K419" s="19" t="str">
        <f aca="false">IF(OR(J419="Aktif",J419="Bitiyor"),F419+ROW()/1000000,"")</f>
        <v/>
      </c>
    </row>
    <row r="420" customFormat="false" ht="15" hidden="false" customHeight="false" outlineLevel="0" collapsed="false">
      <c r="A420" s="12"/>
      <c r="B420" s="12"/>
      <c r="C420" s="13"/>
      <c r="D420" s="14"/>
      <c r="E420" s="15"/>
      <c r="F420" s="16" t="str">
        <f aca="false">IF(OR(C420="",D420=""),"",EDATE(D420,IFERROR(INDEX(Paketler!$B$5:$B$24,MATCH(C420,Paketler!$A$5:$A$24,0)),0))-1)</f>
        <v/>
      </c>
      <c r="G420" s="17" t="str">
        <f aca="false">IF(F420="","",IFERROR(INDEX(Paketler!$C$5:$C$24,MATCH(C420,Paketler!$A$5:$A$24,0)),0))</f>
        <v/>
      </c>
      <c r="H420" s="17" t="str">
        <f aca="false">IF(F420="","",G420-E420)</f>
        <v/>
      </c>
      <c r="I420" s="18" t="str">
        <f aca="true">IF(F420="","",F420-TODAY())</f>
        <v/>
      </c>
      <c r="J420" s="19" t="str">
        <f aca="true">IF(F420="","",IF(TODAY()&lt;D420,"Başlamadı",IF(TODAY()&gt;F420,"Bitti",IF(F420-TODAY()&lt;=7,"Bitiyor","Aktif"))))</f>
        <v/>
      </c>
      <c r="K420" s="19" t="str">
        <f aca="false">IF(OR(J420="Aktif",J420="Bitiyor"),F420+ROW()/1000000,"")</f>
        <v/>
      </c>
    </row>
    <row r="421" customFormat="false" ht="15" hidden="false" customHeight="false" outlineLevel="0" collapsed="false">
      <c r="A421" s="12"/>
      <c r="B421" s="12"/>
      <c r="C421" s="13"/>
      <c r="D421" s="14"/>
      <c r="E421" s="15"/>
      <c r="F421" s="16" t="str">
        <f aca="false">IF(OR(C421="",D421=""),"",EDATE(D421,IFERROR(INDEX(Paketler!$B$5:$B$24,MATCH(C421,Paketler!$A$5:$A$24,0)),0))-1)</f>
        <v/>
      </c>
      <c r="G421" s="17" t="str">
        <f aca="false">IF(F421="","",IFERROR(INDEX(Paketler!$C$5:$C$24,MATCH(C421,Paketler!$A$5:$A$24,0)),0))</f>
        <v/>
      </c>
      <c r="H421" s="17" t="str">
        <f aca="false">IF(F421="","",G421-E421)</f>
        <v/>
      </c>
      <c r="I421" s="18" t="str">
        <f aca="true">IF(F421="","",F421-TODAY())</f>
        <v/>
      </c>
      <c r="J421" s="19" t="str">
        <f aca="true">IF(F421="","",IF(TODAY()&lt;D421,"Başlamadı",IF(TODAY()&gt;F421,"Bitti",IF(F421-TODAY()&lt;=7,"Bitiyor","Aktif"))))</f>
        <v/>
      </c>
      <c r="K421" s="19" t="str">
        <f aca="false">IF(OR(J421="Aktif",J421="Bitiyor"),F421+ROW()/1000000,"")</f>
        <v/>
      </c>
    </row>
    <row r="422" customFormat="false" ht="15" hidden="false" customHeight="false" outlineLevel="0" collapsed="false">
      <c r="A422" s="12"/>
      <c r="B422" s="12"/>
      <c r="C422" s="13"/>
      <c r="D422" s="14"/>
      <c r="E422" s="15"/>
      <c r="F422" s="16" t="str">
        <f aca="false">IF(OR(C422="",D422=""),"",EDATE(D422,IFERROR(INDEX(Paketler!$B$5:$B$24,MATCH(C422,Paketler!$A$5:$A$24,0)),0))-1)</f>
        <v/>
      </c>
      <c r="G422" s="17" t="str">
        <f aca="false">IF(F422="","",IFERROR(INDEX(Paketler!$C$5:$C$24,MATCH(C422,Paketler!$A$5:$A$24,0)),0))</f>
        <v/>
      </c>
      <c r="H422" s="17" t="str">
        <f aca="false">IF(F422="","",G422-E422)</f>
        <v/>
      </c>
      <c r="I422" s="18" t="str">
        <f aca="true">IF(F422="","",F422-TODAY())</f>
        <v/>
      </c>
      <c r="J422" s="19" t="str">
        <f aca="true">IF(F422="","",IF(TODAY()&lt;D422,"Başlamadı",IF(TODAY()&gt;F422,"Bitti",IF(F422-TODAY()&lt;=7,"Bitiyor","Aktif"))))</f>
        <v/>
      </c>
      <c r="K422" s="19" t="str">
        <f aca="false">IF(OR(J422="Aktif",J422="Bitiyor"),F422+ROW()/1000000,"")</f>
        <v/>
      </c>
    </row>
    <row r="423" customFormat="false" ht="15" hidden="false" customHeight="false" outlineLevel="0" collapsed="false">
      <c r="A423" s="12"/>
      <c r="B423" s="12"/>
      <c r="C423" s="13"/>
      <c r="D423" s="14"/>
      <c r="E423" s="15"/>
      <c r="F423" s="16" t="str">
        <f aca="false">IF(OR(C423="",D423=""),"",EDATE(D423,IFERROR(INDEX(Paketler!$B$5:$B$24,MATCH(C423,Paketler!$A$5:$A$24,0)),0))-1)</f>
        <v/>
      </c>
      <c r="G423" s="17" t="str">
        <f aca="false">IF(F423="","",IFERROR(INDEX(Paketler!$C$5:$C$24,MATCH(C423,Paketler!$A$5:$A$24,0)),0))</f>
        <v/>
      </c>
      <c r="H423" s="17" t="str">
        <f aca="false">IF(F423="","",G423-E423)</f>
        <v/>
      </c>
      <c r="I423" s="18" t="str">
        <f aca="true">IF(F423="","",F423-TODAY())</f>
        <v/>
      </c>
      <c r="J423" s="19" t="str">
        <f aca="true">IF(F423="","",IF(TODAY()&lt;D423,"Başlamadı",IF(TODAY()&gt;F423,"Bitti",IF(F423-TODAY()&lt;=7,"Bitiyor","Aktif"))))</f>
        <v/>
      </c>
      <c r="K423" s="19" t="str">
        <f aca="false">IF(OR(J423="Aktif",J423="Bitiyor"),F423+ROW()/1000000,"")</f>
        <v/>
      </c>
    </row>
    <row r="424" customFormat="false" ht="15" hidden="false" customHeight="false" outlineLevel="0" collapsed="false">
      <c r="A424" s="12"/>
      <c r="B424" s="12"/>
      <c r="C424" s="13"/>
      <c r="D424" s="14"/>
      <c r="E424" s="15"/>
      <c r="F424" s="16" t="str">
        <f aca="false">IF(OR(C424="",D424=""),"",EDATE(D424,IFERROR(INDEX(Paketler!$B$5:$B$24,MATCH(C424,Paketler!$A$5:$A$24,0)),0))-1)</f>
        <v/>
      </c>
      <c r="G424" s="17" t="str">
        <f aca="false">IF(F424="","",IFERROR(INDEX(Paketler!$C$5:$C$24,MATCH(C424,Paketler!$A$5:$A$24,0)),0))</f>
        <v/>
      </c>
      <c r="H424" s="17" t="str">
        <f aca="false">IF(F424="","",G424-E424)</f>
        <v/>
      </c>
      <c r="I424" s="18" t="str">
        <f aca="true">IF(F424="","",F424-TODAY())</f>
        <v/>
      </c>
      <c r="J424" s="19" t="str">
        <f aca="true">IF(F424="","",IF(TODAY()&lt;D424,"Başlamadı",IF(TODAY()&gt;F424,"Bitti",IF(F424-TODAY()&lt;=7,"Bitiyor","Aktif"))))</f>
        <v/>
      </c>
      <c r="K424" s="19" t="str">
        <f aca="false">IF(OR(J424="Aktif",J424="Bitiyor"),F424+ROW()/1000000,"")</f>
        <v/>
      </c>
    </row>
    <row r="425" customFormat="false" ht="15" hidden="false" customHeight="false" outlineLevel="0" collapsed="false">
      <c r="A425" s="12"/>
      <c r="B425" s="12"/>
      <c r="C425" s="13"/>
      <c r="D425" s="14"/>
      <c r="E425" s="15"/>
      <c r="F425" s="16" t="str">
        <f aca="false">IF(OR(C425="",D425=""),"",EDATE(D425,IFERROR(INDEX(Paketler!$B$5:$B$24,MATCH(C425,Paketler!$A$5:$A$24,0)),0))-1)</f>
        <v/>
      </c>
      <c r="G425" s="17" t="str">
        <f aca="false">IF(F425="","",IFERROR(INDEX(Paketler!$C$5:$C$24,MATCH(C425,Paketler!$A$5:$A$24,0)),0))</f>
        <v/>
      </c>
      <c r="H425" s="17" t="str">
        <f aca="false">IF(F425="","",G425-E425)</f>
        <v/>
      </c>
      <c r="I425" s="18" t="str">
        <f aca="true">IF(F425="","",F425-TODAY())</f>
        <v/>
      </c>
      <c r="J425" s="19" t="str">
        <f aca="true">IF(F425="","",IF(TODAY()&lt;D425,"Başlamadı",IF(TODAY()&gt;F425,"Bitti",IF(F425-TODAY()&lt;=7,"Bitiyor","Aktif"))))</f>
        <v/>
      </c>
      <c r="K425" s="19" t="str">
        <f aca="false">IF(OR(J425="Aktif",J425="Bitiyor"),F425+ROW()/1000000,"")</f>
        <v/>
      </c>
    </row>
    <row r="426" customFormat="false" ht="15" hidden="false" customHeight="false" outlineLevel="0" collapsed="false">
      <c r="A426" s="12"/>
      <c r="B426" s="12"/>
      <c r="C426" s="13"/>
      <c r="D426" s="14"/>
      <c r="E426" s="15"/>
      <c r="F426" s="16" t="str">
        <f aca="false">IF(OR(C426="",D426=""),"",EDATE(D426,IFERROR(INDEX(Paketler!$B$5:$B$24,MATCH(C426,Paketler!$A$5:$A$24,0)),0))-1)</f>
        <v/>
      </c>
      <c r="G426" s="17" t="str">
        <f aca="false">IF(F426="","",IFERROR(INDEX(Paketler!$C$5:$C$24,MATCH(C426,Paketler!$A$5:$A$24,0)),0))</f>
        <v/>
      </c>
      <c r="H426" s="17" t="str">
        <f aca="false">IF(F426="","",G426-E426)</f>
        <v/>
      </c>
      <c r="I426" s="18" t="str">
        <f aca="true">IF(F426="","",F426-TODAY())</f>
        <v/>
      </c>
      <c r="J426" s="19" t="str">
        <f aca="true">IF(F426="","",IF(TODAY()&lt;D426,"Başlamadı",IF(TODAY()&gt;F426,"Bitti",IF(F426-TODAY()&lt;=7,"Bitiyor","Aktif"))))</f>
        <v/>
      </c>
      <c r="K426" s="19" t="str">
        <f aca="false">IF(OR(J426="Aktif",J426="Bitiyor"),F426+ROW()/1000000,"")</f>
        <v/>
      </c>
    </row>
    <row r="427" customFormat="false" ht="15" hidden="false" customHeight="false" outlineLevel="0" collapsed="false">
      <c r="A427" s="12"/>
      <c r="B427" s="12"/>
      <c r="C427" s="13"/>
      <c r="D427" s="14"/>
      <c r="E427" s="15"/>
      <c r="F427" s="16" t="str">
        <f aca="false">IF(OR(C427="",D427=""),"",EDATE(D427,IFERROR(INDEX(Paketler!$B$5:$B$24,MATCH(C427,Paketler!$A$5:$A$24,0)),0))-1)</f>
        <v/>
      </c>
      <c r="G427" s="17" t="str">
        <f aca="false">IF(F427="","",IFERROR(INDEX(Paketler!$C$5:$C$24,MATCH(C427,Paketler!$A$5:$A$24,0)),0))</f>
        <v/>
      </c>
      <c r="H427" s="17" t="str">
        <f aca="false">IF(F427="","",G427-E427)</f>
        <v/>
      </c>
      <c r="I427" s="18" t="str">
        <f aca="true">IF(F427="","",F427-TODAY())</f>
        <v/>
      </c>
      <c r="J427" s="19" t="str">
        <f aca="true">IF(F427="","",IF(TODAY()&lt;D427,"Başlamadı",IF(TODAY()&gt;F427,"Bitti",IF(F427-TODAY()&lt;=7,"Bitiyor","Aktif"))))</f>
        <v/>
      </c>
      <c r="K427" s="19" t="str">
        <f aca="false">IF(OR(J427="Aktif",J427="Bitiyor"),F427+ROW()/1000000,"")</f>
        <v/>
      </c>
    </row>
    <row r="428" customFormat="false" ht="15" hidden="false" customHeight="false" outlineLevel="0" collapsed="false">
      <c r="A428" s="12"/>
      <c r="B428" s="12"/>
      <c r="C428" s="13"/>
      <c r="D428" s="14"/>
      <c r="E428" s="15"/>
      <c r="F428" s="16" t="str">
        <f aca="false">IF(OR(C428="",D428=""),"",EDATE(D428,IFERROR(INDEX(Paketler!$B$5:$B$24,MATCH(C428,Paketler!$A$5:$A$24,0)),0))-1)</f>
        <v/>
      </c>
      <c r="G428" s="17" t="str">
        <f aca="false">IF(F428="","",IFERROR(INDEX(Paketler!$C$5:$C$24,MATCH(C428,Paketler!$A$5:$A$24,0)),0))</f>
        <v/>
      </c>
      <c r="H428" s="17" t="str">
        <f aca="false">IF(F428="","",G428-E428)</f>
        <v/>
      </c>
      <c r="I428" s="18" t="str">
        <f aca="true">IF(F428="","",F428-TODAY())</f>
        <v/>
      </c>
      <c r="J428" s="19" t="str">
        <f aca="true">IF(F428="","",IF(TODAY()&lt;D428,"Başlamadı",IF(TODAY()&gt;F428,"Bitti",IF(F428-TODAY()&lt;=7,"Bitiyor","Aktif"))))</f>
        <v/>
      </c>
      <c r="K428" s="19" t="str">
        <f aca="false">IF(OR(J428="Aktif",J428="Bitiyor"),F428+ROW()/1000000,"")</f>
        <v/>
      </c>
    </row>
    <row r="429" customFormat="false" ht="15" hidden="false" customHeight="false" outlineLevel="0" collapsed="false">
      <c r="A429" s="12"/>
      <c r="B429" s="12"/>
      <c r="C429" s="13"/>
      <c r="D429" s="14"/>
      <c r="E429" s="15"/>
      <c r="F429" s="16" t="str">
        <f aca="false">IF(OR(C429="",D429=""),"",EDATE(D429,IFERROR(INDEX(Paketler!$B$5:$B$24,MATCH(C429,Paketler!$A$5:$A$24,0)),0))-1)</f>
        <v/>
      </c>
      <c r="G429" s="17" t="str">
        <f aca="false">IF(F429="","",IFERROR(INDEX(Paketler!$C$5:$C$24,MATCH(C429,Paketler!$A$5:$A$24,0)),0))</f>
        <v/>
      </c>
      <c r="H429" s="17" t="str">
        <f aca="false">IF(F429="","",G429-E429)</f>
        <v/>
      </c>
      <c r="I429" s="18" t="str">
        <f aca="true">IF(F429="","",F429-TODAY())</f>
        <v/>
      </c>
      <c r="J429" s="19" t="str">
        <f aca="true">IF(F429="","",IF(TODAY()&lt;D429,"Başlamadı",IF(TODAY()&gt;F429,"Bitti",IF(F429-TODAY()&lt;=7,"Bitiyor","Aktif"))))</f>
        <v/>
      </c>
      <c r="K429" s="19" t="str">
        <f aca="false">IF(OR(J429="Aktif",J429="Bitiyor"),F429+ROW()/1000000,"")</f>
        <v/>
      </c>
    </row>
    <row r="430" customFormat="false" ht="15" hidden="false" customHeight="false" outlineLevel="0" collapsed="false">
      <c r="A430" s="12"/>
      <c r="B430" s="12"/>
      <c r="C430" s="13"/>
      <c r="D430" s="14"/>
      <c r="E430" s="15"/>
      <c r="F430" s="16" t="str">
        <f aca="false">IF(OR(C430="",D430=""),"",EDATE(D430,IFERROR(INDEX(Paketler!$B$5:$B$24,MATCH(C430,Paketler!$A$5:$A$24,0)),0))-1)</f>
        <v/>
      </c>
      <c r="G430" s="17" t="str">
        <f aca="false">IF(F430="","",IFERROR(INDEX(Paketler!$C$5:$C$24,MATCH(C430,Paketler!$A$5:$A$24,0)),0))</f>
        <v/>
      </c>
      <c r="H430" s="17" t="str">
        <f aca="false">IF(F430="","",G430-E430)</f>
        <v/>
      </c>
      <c r="I430" s="18" t="str">
        <f aca="true">IF(F430="","",F430-TODAY())</f>
        <v/>
      </c>
      <c r="J430" s="19" t="str">
        <f aca="true">IF(F430="","",IF(TODAY()&lt;D430,"Başlamadı",IF(TODAY()&gt;F430,"Bitti",IF(F430-TODAY()&lt;=7,"Bitiyor","Aktif"))))</f>
        <v/>
      </c>
      <c r="K430" s="19" t="str">
        <f aca="false">IF(OR(J430="Aktif",J430="Bitiyor"),F430+ROW()/1000000,"")</f>
        <v/>
      </c>
    </row>
    <row r="431" customFormat="false" ht="15" hidden="false" customHeight="false" outlineLevel="0" collapsed="false">
      <c r="A431" s="12"/>
      <c r="B431" s="12"/>
      <c r="C431" s="13"/>
      <c r="D431" s="14"/>
      <c r="E431" s="15"/>
      <c r="F431" s="16" t="str">
        <f aca="false">IF(OR(C431="",D431=""),"",EDATE(D431,IFERROR(INDEX(Paketler!$B$5:$B$24,MATCH(C431,Paketler!$A$5:$A$24,0)),0))-1)</f>
        <v/>
      </c>
      <c r="G431" s="17" t="str">
        <f aca="false">IF(F431="","",IFERROR(INDEX(Paketler!$C$5:$C$24,MATCH(C431,Paketler!$A$5:$A$24,0)),0))</f>
        <v/>
      </c>
      <c r="H431" s="17" t="str">
        <f aca="false">IF(F431="","",G431-E431)</f>
        <v/>
      </c>
      <c r="I431" s="18" t="str">
        <f aca="true">IF(F431="","",F431-TODAY())</f>
        <v/>
      </c>
      <c r="J431" s="19" t="str">
        <f aca="true">IF(F431="","",IF(TODAY()&lt;D431,"Başlamadı",IF(TODAY()&gt;F431,"Bitti",IF(F431-TODAY()&lt;=7,"Bitiyor","Aktif"))))</f>
        <v/>
      </c>
      <c r="K431" s="19" t="str">
        <f aca="false">IF(OR(J431="Aktif",J431="Bitiyor"),F431+ROW()/1000000,"")</f>
        <v/>
      </c>
    </row>
    <row r="432" customFormat="false" ht="15" hidden="false" customHeight="false" outlineLevel="0" collapsed="false">
      <c r="A432" s="12"/>
      <c r="B432" s="12"/>
      <c r="C432" s="13"/>
      <c r="D432" s="14"/>
      <c r="E432" s="15"/>
      <c r="F432" s="16" t="str">
        <f aca="false">IF(OR(C432="",D432=""),"",EDATE(D432,IFERROR(INDEX(Paketler!$B$5:$B$24,MATCH(C432,Paketler!$A$5:$A$24,0)),0))-1)</f>
        <v/>
      </c>
      <c r="G432" s="17" t="str">
        <f aca="false">IF(F432="","",IFERROR(INDEX(Paketler!$C$5:$C$24,MATCH(C432,Paketler!$A$5:$A$24,0)),0))</f>
        <v/>
      </c>
      <c r="H432" s="17" t="str">
        <f aca="false">IF(F432="","",G432-E432)</f>
        <v/>
      </c>
      <c r="I432" s="18" t="str">
        <f aca="true">IF(F432="","",F432-TODAY())</f>
        <v/>
      </c>
      <c r="J432" s="19" t="str">
        <f aca="true">IF(F432="","",IF(TODAY()&lt;D432,"Başlamadı",IF(TODAY()&gt;F432,"Bitti",IF(F432-TODAY()&lt;=7,"Bitiyor","Aktif"))))</f>
        <v/>
      </c>
      <c r="K432" s="19" t="str">
        <f aca="false">IF(OR(J432="Aktif",J432="Bitiyor"),F432+ROW()/1000000,"")</f>
        <v/>
      </c>
    </row>
    <row r="433" customFormat="false" ht="15" hidden="false" customHeight="false" outlineLevel="0" collapsed="false">
      <c r="A433" s="12"/>
      <c r="B433" s="12"/>
      <c r="C433" s="13"/>
      <c r="D433" s="14"/>
      <c r="E433" s="15"/>
      <c r="F433" s="16" t="str">
        <f aca="false">IF(OR(C433="",D433=""),"",EDATE(D433,IFERROR(INDEX(Paketler!$B$5:$B$24,MATCH(C433,Paketler!$A$5:$A$24,0)),0))-1)</f>
        <v/>
      </c>
      <c r="G433" s="17" t="str">
        <f aca="false">IF(F433="","",IFERROR(INDEX(Paketler!$C$5:$C$24,MATCH(C433,Paketler!$A$5:$A$24,0)),0))</f>
        <v/>
      </c>
      <c r="H433" s="17" t="str">
        <f aca="false">IF(F433="","",G433-E433)</f>
        <v/>
      </c>
      <c r="I433" s="18" t="str">
        <f aca="true">IF(F433="","",F433-TODAY())</f>
        <v/>
      </c>
      <c r="J433" s="19" t="str">
        <f aca="true">IF(F433="","",IF(TODAY()&lt;D433,"Başlamadı",IF(TODAY()&gt;F433,"Bitti",IF(F433-TODAY()&lt;=7,"Bitiyor","Aktif"))))</f>
        <v/>
      </c>
      <c r="K433" s="19" t="str">
        <f aca="false">IF(OR(J433="Aktif",J433="Bitiyor"),F433+ROW()/1000000,"")</f>
        <v/>
      </c>
    </row>
    <row r="434" customFormat="false" ht="15" hidden="false" customHeight="false" outlineLevel="0" collapsed="false">
      <c r="A434" s="12"/>
      <c r="B434" s="12"/>
      <c r="C434" s="13"/>
      <c r="D434" s="14"/>
      <c r="E434" s="15"/>
      <c r="F434" s="16" t="str">
        <f aca="false">IF(OR(C434="",D434=""),"",EDATE(D434,IFERROR(INDEX(Paketler!$B$5:$B$24,MATCH(C434,Paketler!$A$5:$A$24,0)),0))-1)</f>
        <v/>
      </c>
      <c r="G434" s="17" t="str">
        <f aca="false">IF(F434="","",IFERROR(INDEX(Paketler!$C$5:$C$24,MATCH(C434,Paketler!$A$5:$A$24,0)),0))</f>
        <v/>
      </c>
      <c r="H434" s="17" t="str">
        <f aca="false">IF(F434="","",G434-E434)</f>
        <v/>
      </c>
      <c r="I434" s="18" t="str">
        <f aca="true">IF(F434="","",F434-TODAY())</f>
        <v/>
      </c>
      <c r="J434" s="19" t="str">
        <f aca="true">IF(F434="","",IF(TODAY()&lt;D434,"Başlamadı",IF(TODAY()&gt;F434,"Bitti",IF(F434-TODAY()&lt;=7,"Bitiyor","Aktif"))))</f>
        <v/>
      </c>
      <c r="K434" s="19" t="str">
        <f aca="false">IF(OR(J434="Aktif",J434="Bitiyor"),F434+ROW()/1000000,"")</f>
        <v/>
      </c>
    </row>
    <row r="435" customFormat="false" ht="15" hidden="false" customHeight="false" outlineLevel="0" collapsed="false">
      <c r="A435" s="12"/>
      <c r="B435" s="12"/>
      <c r="C435" s="13"/>
      <c r="D435" s="14"/>
      <c r="E435" s="15"/>
      <c r="F435" s="16" t="str">
        <f aca="false">IF(OR(C435="",D435=""),"",EDATE(D435,IFERROR(INDEX(Paketler!$B$5:$B$24,MATCH(C435,Paketler!$A$5:$A$24,0)),0))-1)</f>
        <v/>
      </c>
      <c r="G435" s="17" t="str">
        <f aca="false">IF(F435="","",IFERROR(INDEX(Paketler!$C$5:$C$24,MATCH(C435,Paketler!$A$5:$A$24,0)),0))</f>
        <v/>
      </c>
      <c r="H435" s="17" t="str">
        <f aca="false">IF(F435="","",G435-E435)</f>
        <v/>
      </c>
      <c r="I435" s="18" t="str">
        <f aca="true">IF(F435="","",F435-TODAY())</f>
        <v/>
      </c>
      <c r="J435" s="19" t="str">
        <f aca="true">IF(F435="","",IF(TODAY()&lt;D435,"Başlamadı",IF(TODAY()&gt;F435,"Bitti",IF(F435-TODAY()&lt;=7,"Bitiyor","Aktif"))))</f>
        <v/>
      </c>
      <c r="K435" s="19" t="str">
        <f aca="false">IF(OR(J435="Aktif",J435="Bitiyor"),F435+ROW()/1000000,"")</f>
        <v/>
      </c>
    </row>
    <row r="436" customFormat="false" ht="15" hidden="false" customHeight="false" outlineLevel="0" collapsed="false">
      <c r="A436" s="12"/>
      <c r="B436" s="12"/>
      <c r="C436" s="13"/>
      <c r="D436" s="14"/>
      <c r="E436" s="15"/>
      <c r="F436" s="16" t="str">
        <f aca="false">IF(OR(C436="",D436=""),"",EDATE(D436,IFERROR(INDEX(Paketler!$B$5:$B$24,MATCH(C436,Paketler!$A$5:$A$24,0)),0))-1)</f>
        <v/>
      </c>
      <c r="G436" s="17" t="str">
        <f aca="false">IF(F436="","",IFERROR(INDEX(Paketler!$C$5:$C$24,MATCH(C436,Paketler!$A$5:$A$24,0)),0))</f>
        <v/>
      </c>
      <c r="H436" s="17" t="str">
        <f aca="false">IF(F436="","",G436-E436)</f>
        <v/>
      </c>
      <c r="I436" s="18" t="str">
        <f aca="true">IF(F436="","",F436-TODAY())</f>
        <v/>
      </c>
      <c r="J436" s="19" t="str">
        <f aca="true">IF(F436="","",IF(TODAY()&lt;D436,"Başlamadı",IF(TODAY()&gt;F436,"Bitti",IF(F436-TODAY()&lt;=7,"Bitiyor","Aktif"))))</f>
        <v/>
      </c>
      <c r="K436" s="19" t="str">
        <f aca="false">IF(OR(J436="Aktif",J436="Bitiyor"),F436+ROW()/1000000,"")</f>
        <v/>
      </c>
    </row>
    <row r="437" customFormat="false" ht="15" hidden="false" customHeight="false" outlineLevel="0" collapsed="false">
      <c r="A437" s="12"/>
      <c r="B437" s="12"/>
      <c r="C437" s="13"/>
      <c r="D437" s="14"/>
      <c r="E437" s="15"/>
      <c r="F437" s="16" t="str">
        <f aca="false">IF(OR(C437="",D437=""),"",EDATE(D437,IFERROR(INDEX(Paketler!$B$5:$B$24,MATCH(C437,Paketler!$A$5:$A$24,0)),0))-1)</f>
        <v/>
      </c>
      <c r="G437" s="17" t="str">
        <f aca="false">IF(F437="","",IFERROR(INDEX(Paketler!$C$5:$C$24,MATCH(C437,Paketler!$A$5:$A$24,0)),0))</f>
        <v/>
      </c>
      <c r="H437" s="17" t="str">
        <f aca="false">IF(F437="","",G437-E437)</f>
        <v/>
      </c>
      <c r="I437" s="18" t="str">
        <f aca="true">IF(F437="","",F437-TODAY())</f>
        <v/>
      </c>
      <c r="J437" s="19" t="str">
        <f aca="true">IF(F437="","",IF(TODAY()&lt;D437,"Başlamadı",IF(TODAY()&gt;F437,"Bitti",IF(F437-TODAY()&lt;=7,"Bitiyor","Aktif"))))</f>
        <v/>
      </c>
      <c r="K437" s="19" t="str">
        <f aca="false">IF(OR(J437="Aktif",J437="Bitiyor"),F437+ROW()/1000000,"")</f>
        <v/>
      </c>
    </row>
    <row r="438" customFormat="false" ht="15" hidden="false" customHeight="false" outlineLevel="0" collapsed="false">
      <c r="A438" s="12"/>
      <c r="B438" s="12"/>
      <c r="C438" s="13"/>
      <c r="D438" s="14"/>
      <c r="E438" s="15"/>
      <c r="F438" s="16" t="str">
        <f aca="false">IF(OR(C438="",D438=""),"",EDATE(D438,IFERROR(INDEX(Paketler!$B$5:$B$24,MATCH(C438,Paketler!$A$5:$A$24,0)),0))-1)</f>
        <v/>
      </c>
      <c r="G438" s="17" t="str">
        <f aca="false">IF(F438="","",IFERROR(INDEX(Paketler!$C$5:$C$24,MATCH(C438,Paketler!$A$5:$A$24,0)),0))</f>
        <v/>
      </c>
      <c r="H438" s="17" t="str">
        <f aca="false">IF(F438="","",G438-E438)</f>
        <v/>
      </c>
      <c r="I438" s="18" t="str">
        <f aca="true">IF(F438="","",F438-TODAY())</f>
        <v/>
      </c>
      <c r="J438" s="19" t="str">
        <f aca="true">IF(F438="","",IF(TODAY()&lt;D438,"Başlamadı",IF(TODAY()&gt;F438,"Bitti",IF(F438-TODAY()&lt;=7,"Bitiyor","Aktif"))))</f>
        <v/>
      </c>
      <c r="K438" s="19" t="str">
        <f aca="false">IF(OR(J438="Aktif",J438="Bitiyor"),F438+ROW()/1000000,"")</f>
        <v/>
      </c>
    </row>
    <row r="439" customFormat="false" ht="15" hidden="false" customHeight="false" outlineLevel="0" collapsed="false">
      <c r="A439" s="12"/>
      <c r="B439" s="12"/>
      <c r="C439" s="13"/>
      <c r="D439" s="14"/>
      <c r="E439" s="15"/>
      <c r="F439" s="16" t="str">
        <f aca="false">IF(OR(C439="",D439=""),"",EDATE(D439,IFERROR(INDEX(Paketler!$B$5:$B$24,MATCH(C439,Paketler!$A$5:$A$24,0)),0))-1)</f>
        <v/>
      </c>
      <c r="G439" s="17" t="str">
        <f aca="false">IF(F439="","",IFERROR(INDEX(Paketler!$C$5:$C$24,MATCH(C439,Paketler!$A$5:$A$24,0)),0))</f>
        <v/>
      </c>
      <c r="H439" s="17" t="str">
        <f aca="false">IF(F439="","",G439-E439)</f>
        <v/>
      </c>
      <c r="I439" s="18" t="str">
        <f aca="true">IF(F439="","",F439-TODAY())</f>
        <v/>
      </c>
      <c r="J439" s="19" t="str">
        <f aca="true">IF(F439="","",IF(TODAY()&lt;D439,"Başlamadı",IF(TODAY()&gt;F439,"Bitti",IF(F439-TODAY()&lt;=7,"Bitiyor","Aktif"))))</f>
        <v/>
      </c>
      <c r="K439" s="19" t="str">
        <f aca="false">IF(OR(J439="Aktif",J439="Bitiyor"),F439+ROW()/1000000,"")</f>
        <v/>
      </c>
    </row>
    <row r="440" customFormat="false" ht="15" hidden="false" customHeight="false" outlineLevel="0" collapsed="false">
      <c r="A440" s="12"/>
      <c r="B440" s="12"/>
      <c r="C440" s="13"/>
      <c r="D440" s="14"/>
      <c r="E440" s="15"/>
      <c r="F440" s="16" t="str">
        <f aca="false">IF(OR(C440="",D440=""),"",EDATE(D440,IFERROR(INDEX(Paketler!$B$5:$B$24,MATCH(C440,Paketler!$A$5:$A$24,0)),0))-1)</f>
        <v/>
      </c>
      <c r="G440" s="17" t="str">
        <f aca="false">IF(F440="","",IFERROR(INDEX(Paketler!$C$5:$C$24,MATCH(C440,Paketler!$A$5:$A$24,0)),0))</f>
        <v/>
      </c>
      <c r="H440" s="17" t="str">
        <f aca="false">IF(F440="","",G440-E440)</f>
        <v/>
      </c>
      <c r="I440" s="18" t="str">
        <f aca="true">IF(F440="","",F440-TODAY())</f>
        <v/>
      </c>
      <c r="J440" s="19" t="str">
        <f aca="true">IF(F440="","",IF(TODAY()&lt;D440,"Başlamadı",IF(TODAY()&gt;F440,"Bitti",IF(F440-TODAY()&lt;=7,"Bitiyor","Aktif"))))</f>
        <v/>
      </c>
      <c r="K440" s="19" t="str">
        <f aca="false">IF(OR(J440="Aktif",J440="Bitiyor"),F440+ROW()/1000000,"")</f>
        <v/>
      </c>
    </row>
    <row r="441" customFormat="false" ht="15" hidden="false" customHeight="false" outlineLevel="0" collapsed="false">
      <c r="A441" s="12"/>
      <c r="B441" s="12"/>
      <c r="C441" s="13"/>
      <c r="D441" s="14"/>
      <c r="E441" s="15"/>
      <c r="F441" s="16" t="str">
        <f aca="false">IF(OR(C441="",D441=""),"",EDATE(D441,IFERROR(INDEX(Paketler!$B$5:$B$24,MATCH(C441,Paketler!$A$5:$A$24,0)),0))-1)</f>
        <v/>
      </c>
      <c r="G441" s="17" t="str">
        <f aca="false">IF(F441="","",IFERROR(INDEX(Paketler!$C$5:$C$24,MATCH(C441,Paketler!$A$5:$A$24,0)),0))</f>
        <v/>
      </c>
      <c r="H441" s="17" t="str">
        <f aca="false">IF(F441="","",G441-E441)</f>
        <v/>
      </c>
      <c r="I441" s="18" t="str">
        <f aca="true">IF(F441="","",F441-TODAY())</f>
        <v/>
      </c>
      <c r="J441" s="19" t="str">
        <f aca="true">IF(F441="","",IF(TODAY()&lt;D441,"Başlamadı",IF(TODAY()&gt;F441,"Bitti",IF(F441-TODAY()&lt;=7,"Bitiyor","Aktif"))))</f>
        <v/>
      </c>
      <c r="K441" s="19" t="str">
        <f aca="false">IF(OR(J441="Aktif",J441="Bitiyor"),F441+ROW()/1000000,"")</f>
        <v/>
      </c>
    </row>
    <row r="442" customFormat="false" ht="15" hidden="false" customHeight="false" outlineLevel="0" collapsed="false">
      <c r="A442" s="12"/>
      <c r="B442" s="12"/>
      <c r="C442" s="13"/>
      <c r="D442" s="14"/>
      <c r="E442" s="15"/>
      <c r="F442" s="16" t="str">
        <f aca="false">IF(OR(C442="",D442=""),"",EDATE(D442,IFERROR(INDEX(Paketler!$B$5:$B$24,MATCH(C442,Paketler!$A$5:$A$24,0)),0))-1)</f>
        <v/>
      </c>
      <c r="G442" s="17" t="str">
        <f aca="false">IF(F442="","",IFERROR(INDEX(Paketler!$C$5:$C$24,MATCH(C442,Paketler!$A$5:$A$24,0)),0))</f>
        <v/>
      </c>
      <c r="H442" s="17" t="str">
        <f aca="false">IF(F442="","",G442-E442)</f>
        <v/>
      </c>
      <c r="I442" s="18" t="str">
        <f aca="true">IF(F442="","",F442-TODAY())</f>
        <v/>
      </c>
      <c r="J442" s="19" t="str">
        <f aca="true">IF(F442="","",IF(TODAY()&lt;D442,"Başlamadı",IF(TODAY()&gt;F442,"Bitti",IF(F442-TODAY()&lt;=7,"Bitiyor","Aktif"))))</f>
        <v/>
      </c>
      <c r="K442" s="19" t="str">
        <f aca="false">IF(OR(J442="Aktif",J442="Bitiyor"),F442+ROW()/1000000,"")</f>
        <v/>
      </c>
    </row>
    <row r="443" customFormat="false" ht="15" hidden="false" customHeight="false" outlineLevel="0" collapsed="false">
      <c r="A443" s="12"/>
      <c r="B443" s="12"/>
      <c r="C443" s="13"/>
      <c r="D443" s="14"/>
      <c r="E443" s="15"/>
      <c r="F443" s="16" t="str">
        <f aca="false">IF(OR(C443="",D443=""),"",EDATE(D443,IFERROR(INDEX(Paketler!$B$5:$B$24,MATCH(C443,Paketler!$A$5:$A$24,0)),0))-1)</f>
        <v/>
      </c>
      <c r="G443" s="17" t="str">
        <f aca="false">IF(F443="","",IFERROR(INDEX(Paketler!$C$5:$C$24,MATCH(C443,Paketler!$A$5:$A$24,0)),0))</f>
        <v/>
      </c>
      <c r="H443" s="17" t="str">
        <f aca="false">IF(F443="","",G443-E443)</f>
        <v/>
      </c>
      <c r="I443" s="18" t="str">
        <f aca="true">IF(F443="","",F443-TODAY())</f>
        <v/>
      </c>
      <c r="J443" s="19" t="str">
        <f aca="true">IF(F443="","",IF(TODAY()&lt;D443,"Başlamadı",IF(TODAY()&gt;F443,"Bitti",IF(F443-TODAY()&lt;=7,"Bitiyor","Aktif"))))</f>
        <v/>
      </c>
      <c r="K443" s="19" t="str">
        <f aca="false">IF(OR(J443="Aktif",J443="Bitiyor"),F443+ROW()/1000000,"")</f>
        <v/>
      </c>
    </row>
    <row r="444" customFormat="false" ht="15" hidden="false" customHeight="false" outlineLevel="0" collapsed="false">
      <c r="A444" s="12"/>
      <c r="B444" s="12"/>
      <c r="C444" s="13"/>
      <c r="D444" s="14"/>
      <c r="E444" s="15"/>
      <c r="F444" s="16" t="str">
        <f aca="false">IF(OR(C444="",D444=""),"",EDATE(D444,IFERROR(INDEX(Paketler!$B$5:$B$24,MATCH(C444,Paketler!$A$5:$A$24,0)),0))-1)</f>
        <v/>
      </c>
      <c r="G444" s="17" t="str">
        <f aca="false">IF(F444="","",IFERROR(INDEX(Paketler!$C$5:$C$24,MATCH(C444,Paketler!$A$5:$A$24,0)),0))</f>
        <v/>
      </c>
      <c r="H444" s="17" t="str">
        <f aca="false">IF(F444="","",G444-E444)</f>
        <v/>
      </c>
      <c r="I444" s="18" t="str">
        <f aca="true">IF(F444="","",F444-TODAY())</f>
        <v/>
      </c>
      <c r="J444" s="19" t="str">
        <f aca="true">IF(F444="","",IF(TODAY()&lt;D444,"Başlamadı",IF(TODAY()&gt;F444,"Bitti",IF(F444-TODAY()&lt;=7,"Bitiyor","Aktif"))))</f>
        <v/>
      </c>
      <c r="K444" s="19" t="str">
        <f aca="false">IF(OR(J444="Aktif",J444="Bitiyor"),F444+ROW()/1000000,"")</f>
        <v/>
      </c>
    </row>
    <row r="445" customFormat="false" ht="15" hidden="false" customHeight="false" outlineLevel="0" collapsed="false">
      <c r="A445" s="12"/>
      <c r="B445" s="12"/>
      <c r="C445" s="13"/>
      <c r="D445" s="14"/>
      <c r="E445" s="15"/>
      <c r="F445" s="16" t="str">
        <f aca="false">IF(OR(C445="",D445=""),"",EDATE(D445,IFERROR(INDEX(Paketler!$B$5:$B$24,MATCH(C445,Paketler!$A$5:$A$24,0)),0))-1)</f>
        <v/>
      </c>
      <c r="G445" s="17" t="str">
        <f aca="false">IF(F445="","",IFERROR(INDEX(Paketler!$C$5:$C$24,MATCH(C445,Paketler!$A$5:$A$24,0)),0))</f>
        <v/>
      </c>
      <c r="H445" s="17" t="str">
        <f aca="false">IF(F445="","",G445-E445)</f>
        <v/>
      </c>
      <c r="I445" s="18" t="str">
        <f aca="true">IF(F445="","",F445-TODAY())</f>
        <v/>
      </c>
      <c r="J445" s="19" t="str">
        <f aca="true">IF(F445="","",IF(TODAY()&lt;D445,"Başlamadı",IF(TODAY()&gt;F445,"Bitti",IF(F445-TODAY()&lt;=7,"Bitiyor","Aktif"))))</f>
        <v/>
      </c>
      <c r="K445" s="19" t="str">
        <f aca="false">IF(OR(J445="Aktif",J445="Bitiyor"),F445+ROW()/1000000,"")</f>
        <v/>
      </c>
    </row>
    <row r="446" customFormat="false" ht="15" hidden="false" customHeight="false" outlineLevel="0" collapsed="false">
      <c r="A446" s="12"/>
      <c r="B446" s="12"/>
      <c r="C446" s="13"/>
      <c r="D446" s="14"/>
      <c r="E446" s="15"/>
      <c r="F446" s="16" t="str">
        <f aca="false">IF(OR(C446="",D446=""),"",EDATE(D446,IFERROR(INDEX(Paketler!$B$5:$B$24,MATCH(C446,Paketler!$A$5:$A$24,0)),0))-1)</f>
        <v/>
      </c>
      <c r="G446" s="17" t="str">
        <f aca="false">IF(F446="","",IFERROR(INDEX(Paketler!$C$5:$C$24,MATCH(C446,Paketler!$A$5:$A$24,0)),0))</f>
        <v/>
      </c>
      <c r="H446" s="17" t="str">
        <f aca="false">IF(F446="","",G446-E446)</f>
        <v/>
      </c>
      <c r="I446" s="18" t="str">
        <f aca="true">IF(F446="","",F446-TODAY())</f>
        <v/>
      </c>
      <c r="J446" s="19" t="str">
        <f aca="true">IF(F446="","",IF(TODAY()&lt;D446,"Başlamadı",IF(TODAY()&gt;F446,"Bitti",IF(F446-TODAY()&lt;=7,"Bitiyor","Aktif"))))</f>
        <v/>
      </c>
      <c r="K446" s="19" t="str">
        <f aca="false">IF(OR(J446="Aktif",J446="Bitiyor"),F446+ROW()/1000000,"")</f>
        <v/>
      </c>
    </row>
    <row r="447" customFormat="false" ht="15" hidden="false" customHeight="false" outlineLevel="0" collapsed="false">
      <c r="A447" s="12"/>
      <c r="B447" s="12"/>
      <c r="C447" s="13"/>
      <c r="D447" s="14"/>
      <c r="E447" s="15"/>
      <c r="F447" s="16" t="str">
        <f aca="false">IF(OR(C447="",D447=""),"",EDATE(D447,IFERROR(INDEX(Paketler!$B$5:$B$24,MATCH(C447,Paketler!$A$5:$A$24,0)),0))-1)</f>
        <v/>
      </c>
      <c r="G447" s="17" t="str">
        <f aca="false">IF(F447="","",IFERROR(INDEX(Paketler!$C$5:$C$24,MATCH(C447,Paketler!$A$5:$A$24,0)),0))</f>
        <v/>
      </c>
      <c r="H447" s="17" t="str">
        <f aca="false">IF(F447="","",G447-E447)</f>
        <v/>
      </c>
      <c r="I447" s="18" t="str">
        <f aca="true">IF(F447="","",F447-TODAY())</f>
        <v/>
      </c>
      <c r="J447" s="19" t="str">
        <f aca="true">IF(F447="","",IF(TODAY()&lt;D447,"Başlamadı",IF(TODAY()&gt;F447,"Bitti",IF(F447-TODAY()&lt;=7,"Bitiyor","Aktif"))))</f>
        <v/>
      </c>
      <c r="K447" s="19" t="str">
        <f aca="false">IF(OR(J447="Aktif",J447="Bitiyor"),F447+ROW()/1000000,"")</f>
        <v/>
      </c>
    </row>
    <row r="448" customFormat="false" ht="15" hidden="false" customHeight="false" outlineLevel="0" collapsed="false">
      <c r="A448" s="12"/>
      <c r="B448" s="12"/>
      <c r="C448" s="13"/>
      <c r="D448" s="14"/>
      <c r="E448" s="15"/>
      <c r="F448" s="16" t="str">
        <f aca="false">IF(OR(C448="",D448=""),"",EDATE(D448,IFERROR(INDEX(Paketler!$B$5:$B$24,MATCH(C448,Paketler!$A$5:$A$24,0)),0))-1)</f>
        <v/>
      </c>
      <c r="G448" s="17" t="str">
        <f aca="false">IF(F448="","",IFERROR(INDEX(Paketler!$C$5:$C$24,MATCH(C448,Paketler!$A$5:$A$24,0)),0))</f>
        <v/>
      </c>
      <c r="H448" s="17" t="str">
        <f aca="false">IF(F448="","",G448-E448)</f>
        <v/>
      </c>
      <c r="I448" s="18" t="str">
        <f aca="true">IF(F448="","",F448-TODAY())</f>
        <v/>
      </c>
      <c r="J448" s="19" t="str">
        <f aca="true">IF(F448="","",IF(TODAY()&lt;D448,"Başlamadı",IF(TODAY()&gt;F448,"Bitti",IF(F448-TODAY()&lt;=7,"Bitiyor","Aktif"))))</f>
        <v/>
      </c>
      <c r="K448" s="19" t="str">
        <f aca="false">IF(OR(J448="Aktif",J448="Bitiyor"),F448+ROW()/1000000,"")</f>
        <v/>
      </c>
    </row>
    <row r="449" customFormat="false" ht="15" hidden="false" customHeight="false" outlineLevel="0" collapsed="false">
      <c r="A449" s="12"/>
      <c r="B449" s="12"/>
      <c r="C449" s="13"/>
      <c r="D449" s="14"/>
      <c r="E449" s="15"/>
      <c r="F449" s="16" t="str">
        <f aca="false">IF(OR(C449="",D449=""),"",EDATE(D449,IFERROR(INDEX(Paketler!$B$5:$B$24,MATCH(C449,Paketler!$A$5:$A$24,0)),0))-1)</f>
        <v/>
      </c>
      <c r="G449" s="17" t="str">
        <f aca="false">IF(F449="","",IFERROR(INDEX(Paketler!$C$5:$C$24,MATCH(C449,Paketler!$A$5:$A$24,0)),0))</f>
        <v/>
      </c>
      <c r="H449" s="17" t="str">
        <f aca="false">IF(F449="","",G449-E449)</f>
        <v/>
      </c>
      <c r="I449" s="18" t="str">
        <f aca="true">IF(F449="","",F449-TODAY())</f>
        <v/>
      </c>
      <c r="J449" s="19" t="str">
        <f aca="true">IF(F449="","",IF(TODAY()&lt;D449,"Başlamadı",IF(TODAY()&gt;F449,"Bitti",IF(F449-TODAY()&lt;=7,"Bitiyor","Aktif"))))</f>
        <v/>
      </c>
      <c r="K449" s="19" t="str">
        <f aca="false">IF(OR(J449="Aktif",J449="Bitiyor"),F449+ROW()/1000000,"")</f>
        <v/>
      </c>
    </row>
    <row r="450" customFormat="false" ht="15" hidden="false" customHeight="false" outlineLevel="0" collapsed="false">
      <c r="A450" s="12"/>
      <c r="B450" s="12"/>
      <c r="C450" s="13"/>
      <c r="D450" s="14"/>
      <c r="E450" s="15"/>
      <c r="F450" s="16" t="str">
        <f aca="false">IF(OR(C450="",D450=""),"",EDATE(D450,IFERROR(INDEX(Paketler!$B$5:$B$24,MATCH(C450,Paketler!$A$5:$A$24,0)),0))-1)</f>
        <v/>
      </c>
      <c r="G450" s="17" t="str">
        <f aca="false">IF(F450="","",IFERROR(INDEX(Paketler!$C$5:$C$24,MATCH(C450,Paketler!$A$5:$A$24,0)),0))</f>
        <v/>
      </c>
      <c r="H450" s="17" t="str">
        <f aca="false">IF(F450="","",G450-E450)</f>
        <v/>
      </c>
      <c r="I450" s="18" t="str">
        <f aca="true">IF(F450="","",F450-TODAY())</f>
        <v/>
      </c>
      <c r="J450" s="19" t="str">
        <f aca="true">IF(F450="","",IF(TODAY()&lt;D450,"Başlamadı",IF(TODAY()&gt;F450,"Bitti",IF(F450-TODAY()&lt;=7,"Bitiyor","Aktif"))))</f>
        <v/>
      </c>
      <c r="K450" s="19" t="str">
        <f aca="false">IF(OR(J450="Aktif",J450="Bitiyor"),F450+ROW()/1000000,"")</f>
        <v/>
      </c>
    </row>
    <row r="451" customFormat="false" ht="15" hidden="false" customHeight="false" outlineLevel="0" collapsed="false">
      <c r="A451" s="12"/>
      <c r="B451" s="12"/>
      <c r="C451" s="13"/>
      <c r="D451" s="14"/>
      <c r="E451" s="15"/>
      <c r="F451" s="16" t="str">
        <f aca="false">IF(OR(C451="",D451=""),"",EDATE(D451,IFERROR(INDEX(Paketler!$B$5:$B$24,MATCH(C451,Paketler!$A$5:$A$24,0)),0))-1)</f>
        <v/>
      </c>
      <c r="G451" s="17" t="str">
        <f aca="false">IF(F451="","",IFERROR(INDEX(Paketler!$C$5:$C$24,MATCH(C451,Paketler!$A$5:$A$24,0)),0))</f>
        <v/>
      </c>
      <c r="H451" s="17" t="str">
        <f aca="false">IF(F451="","",G451-E451)</f>
        <v/>
      </c>
      <c r="I451" s="18" t="str">
        <f aca="true">IF(F451="","",F451-TODAY())</f>
        <v/>
      </c>
      <c r="J451" s="19" t="str">
        <f aca="true">IF(F451="","",IF(TODAY()&lt;D451,"Başlamadı",IF(TODAY()&gt;F451,"Bitti",IF(F451-TODAY()&lt;=7,"Bitiyor","Aktif"))))</f>
        <v/>
      </c>
      <c r="K451" s="19" t="str">
        <f aca="false">IF(OR(J451="Aktif",J451="Bitiyor"),F451+ROW()/1000000,"")</f>
        <v/>
      </c>
    </row>
    <row r="452" customFormat="false" ht="15" hidden="false" customHeight="false" outlineLevel="0" collapsed="false">
      <c r="A452" s="12"/>
      <c r="B452" s="12"/>
      <c r="C452" s="13"/>
      <c r="D452" s="14"/>
      <c r="E452" s="15"/>
      <c r="F452" s="16" t="str">
        <f aca="false">IF(OR(C452="",D452=""),"",EDATE(D452,IFERROR(INDEX(Paketler!$B$5:$B$24,MATCH(C452,Paketler!$A$5:$A$24,0)),0))-1)</f>
        <v/>
      </c>
      <c r="G452" s="17" t="str">
        <f aca="false">IF(F452="","",IFERROR(INDEX(Paketler!$C$5:$C$24,MATCH(C452,Paketler!$A$5:$A$24,0)),0))</f>
        <v/>
      </c>
      <c r="H452" s="17" t="str">
        <f aca="false">IF(F452="","",G452-E452)</f>
        <v/>
      </c>
      <c r="I452" s="18" t="str">
        <f aca="true">IF(F452="","",F452-TODAY())</f>
        <v/>
      </c>
      <c r="J452" s="19" t="str">
        <f aca="true">IF(F452="","",IF(TODAY()&lt;D452,"Başlamadı",IF(TODAY()&gt;F452,"Bitti",IF(F452-TODAY()&lt;=7,"Bitiyor","Aktif"))))</f>
        <v/>
      </c>
      <c r="K452" s="19" t="str">
        <f aca="false">IF(OR(J452="Aktif",J452="Bitiyor"),F452+ROW()/1000000,"")</f>
        <v/>
      </c>
    </row>
    <row r="453" customFormat="false" ht="15" hidden="false" customHeight="false" outlineLevel="0" collapsed="false">
      <c r="A453" s="12"/>
      <c r="B453" s="12"/>
      <c r="C453" s="13"/>
      <c r="D453" s="14"/>
      <c r="E453" s="15"/>
      <c r="F453" s="16" t="str">
        <f aca="false">IF(OR(C453="",D453=""),"",EDATE(D453,IFERROR(INDEX(Paketler!$B$5:$B$24,MATCH(C453,Paketler!$A$5:$A$24,0)),0))-1)</f>
        <v/>
      </c>
      <c r="G453" s="17" t="str">
        <f aca="false">IF(F453="","",IFERROR(INDEX(Paketler!$C$5:$C$24,MATCH(C453,Paketler!$A$5:$A$24,0)),0))</f>
        <v/>
      </c>
      <c r="H453" s="17" t="str">
        <f aca="false">IF(F453="","",G453-E453)</f>
        <v/>
      </c>
      <c r="I453" s="18" t="str">
        <f aca="true">IF(F453="","",F453-TODAY())</f>
        <v/>
      </c>
      <c r="J453" s="19" t="str">
        <f aca="true">IF(F453="","",IF(TODAY()&lt;D453,"Başlamadı",IF(TODAY()&gt;F453,"Bitti",IF(F453-TODAY()&lt;=7,"Bitiyor","Aktif"))))</f>
        <v/>
      </c>
      <c r="K453" s="19" t="str">
        <f aca="false">IF(OR(J453="Aktif",J453="Bitiyor"),F453+ROW()/1000000,"")</f>
        <v/>
      </c>
    </row>
    <row r="454" customFormat="false" ht="15" hidden="false" customHeight="false" outlineLevel="0" collapsed="false">
      <c r="A454" s="12"/>
      <c r="B454" s="12"/>
      <c r="C454" s="13"/>
      <c r="D454" s="14"/>
      <c r="E454" s="15"/>
      <c r="F454" s="16" t="str">
        <f aca="false">IF(OR(C454="",D454=""),"",EDATE(D454,IFERROR(INDEX(Paketler!$B$5:$B$24,MATCH(C454,Paketler!$A$5:$A$24,0)),0))-1)</f>
        <v/>
      </c>
      <c r="G454" s="17" t="str">
        <f aca="false">IF(F454="","",IFERROR(INDEX(Paketler!$C$5:$C$24,MATCH(C454,Paketler!$A$5:$A$24,0)),0))</f>
        <v/>
      </c>
      <c r="H454" s="17" t="str">
        <f aca="false">IF(F454="","",G454-E454)</f>
        <v/>
      </c>
      <c r="I454" s="18" t="str">
        <f aca="true">IF(F454="","",F454-TODAY())</f>
        <v/>
      </c>
      <c r="J454" s="19" t="str">
        <f aca="true">IF(F454="","",IF(TODAY()&lt;D454,"Başlamadı",IF(TODAY()&gt;F454,"Bitti",IF(F454-TODAY()&lt;=7,"Bitiyor","Aktif"))))</f>
        <v/>
      </c>
      <c r="K454" s="19" t="str">
        <f aca="false">IF(OR(J454="Aktif",J454="Bitiyor"),F454+ROW()/1000000,"")</f>
        <v/>
      </c>
    </row>
    <row r="455" customFormat="false" ht="15" hidden="false" customHeight="false" outlineLevel="0" collapsed="false">
      <c r="A455" s="12"/>
      <c r="B455" s="12"/>
      <c r="C455" s="13"/>
      <c r="D455" s="14"/>
      <c r="E455" s="15"/>
      <c r="F455" s="16" t="str">
        <f aca="false">IF(OR(C455="",D455=""),"",EDATE(D455,IFERROR(INDEX(Paketler!$B$5:$B$24,MATCH(C455,Paketler!$A$5:$A$24,0)),0))-1)</f>
        <v/>
      </c>
      <c r="G455" s="17" t="str">
        <f aca="false">IF(F455="","",IFERROR(INDEX(Paketler!$C$5:$C$24,MATCH(C455,Paketler!$A$5:$A$24,0)),0))</f>
        <v/>
      </c>
      <c r="H455" s="17" t="str">
        <f aca="false">IF(F455="","",G455-E455)</f>
        <v/>
      </c>
      <c r="I455" s="18" t="str">
        <f aca="true">IF(F455="","",F455-TODAY())</f>
        <v/>
      </c>
      <c r="J455" s="19" t="str">
        <f aca="true">IF(F455="","",IF(TODAY()&lt;D455,"Başlamadı",IF(TODAY()&gt;F455,"Bitti",IF(F455-TODAY()&lt;=7,"Bitiyor","Aktif"))))</f>
        <v/>
      </c>
      <c r="K455" s="19" t="str">
        <f aca="false">IF(OR(J455="Aktif",J455="Bitiyor"),F455+ROW()/1000000,"")</f>
        <v/>
      </c>
    </row>
    <row r="456" customFormat="false" ht="15" hidden="false" customHeight="false" outlineLevel="0" collapsed="false">
      <c r="A456" s="12"/>
      <c r="B456" s="12"/>
      <c r="C456" s="13"/>
      <c r="D456" s="14"/>
      <c r="E456" s="15"/>
      <c r="F456" s="16" t="str">
        <f aca="false">IF(OR(C456="",D456=""),"",EDATE(D456,IFERROR(INDEX(Paketler!$B$5:$B$24,MATCH(C456,Paketler!$A$5:$A$24,0)),0))-1)</f>
        <v/>
      </c>
      <c r="G456" s="17" t="str">
        <f aca="false">IF(F456="","",IFERROR(INDEX(Paketler!$C$5:$C$24,MATCH(C456,Paketler!$A$5:$A$24,0)),0))</f>
        <v/>
      </c>
      <c r="H456" s="17" t="str">
        <f aca="false">IF(F456="","",G456-E456)</f>
        <v/>
      </c>
      <c r="I456" s="18" t="str">
        <f aca="true">IF(F456="","",F456-TODAY())</f>
        <v/>
      </c>
      <c r="J456" s="19" t="str">
        <f aca="true">IF(F456="","",IF(TODAY()&lt;D456,"Başlamadı",IF(TODAY()&gt;F456,"Bitti",IF(F456-TODAY()&lt;=7,"Bitiyor","Aktif"))))</f>
        <v/>
      </c>
      <c r="K456" s="19" t="str">
        <f aca="false">IF(OR(J456="Aktif",J456="Bitiyor"),F456+ROW()/1000000,"")</f>
        <v/>
      </c>
    </row>
    <row r="457" customFormat="false" ht="15" hidden="false" customHeight="false" outlineLevel="0" collapsed="false">
      <c r="A457" s="12"/>
      <c r="B457" s="12"/>
      <c r="C457" s="13"/>
      <c r="D457" s="14"/>
      <c r="E457" s="15"/>
      <c r="F457" s="16" t="str">
        <f aca="false">IF(OR(C457="",D457=""),"",EDATE(D457,IFERROR(INDEX(Paketler!$B$5:$B$24,MATCH(C457,Paketler!$A$5:$A$24,0)),0))-1)</f>
        <v/>
      </c>
      <c r="G457" s="17" t="str">
        <f aca="false">IF(F457="","",IFERROR(INDEX(Paketler!$C$5:$C$24,MATCH(C457,Paketler!$A$5:$A$24,0)),0))</f>
        <v/>
      </c>
      <c r="H457" s="17" t="str">
        <f aca="false">IF(F457="","",G457-E457)</f>
        <v/>
      </c>
      <c r="I457" s="18" t="str">
        <f aca="true">IF(F457="","",F457-TODAY())</f>
        <v/>
      </c>
      <c r="J457" s="19" t="str">
        <f aca="true">IF(F457="","",IF(TODAY()&lt;D457,"Başlamadı",IF(TODAY()&gt;F457,"Bitti",IF(F457-TODAY()&lt;=7,"Bitiyor","Aktif"))))</f>
        <v/>
      </c>
      <c r="K457" s="19" t="str">
        <f aca="false">IF(OR(J457="Aktif",J457="Bitiyor"),F457+ROW()/1000000,"")</f>
        <v/>
      </c>
    </row>
    <row r="458" customFormat="false" ht="15" hidden="false" customHeight="false" outlineLevel="0" collapsed="false">
      <c r="A458" s="12"/>
      <c r="B458" s="12"/>
      <c r="C458" s="13"/>
      <c r="D458" s="14"/>
      <c r="E458" s="15"/>
      <c r="F458" s="16" t="str">
        <f aca="false">IF(OR(C458="",D458=""),"",EDATE(D458,IFERROR(INDEX(Paketler!$B$5:$B$24,MATCH(C458,Paketler!$A$5:$A$24,0)),0))-1)</f>
        <v/>
      </c>
      <c r="G458" s="17" t="str">
        <f aca="false">IF(F458="","",IFERROR(INDEX(Paketler!$C$5:$C$24,MATCH(C458,Paketler!$A$5:$A$24,0)),0))</f>
        <v/>
      </c>
      <c r="H458" s="17" t="str">
        <f aca="false">IF(F458="","",G458-E458)</f>
        <v/>
      </c>
      <c r="I458" s="18" t="str">
        <f aca="true">IF(F458="","",F458-TODAY())</f>
        <v/>
      </c>
      <c r="J458" s="19" t="str">
        <f aca="true">IF(F458="","",IF(TODAY()&lt;D458,"Başlamadı",IF(TODAY()&gt;F458,"Bitti",IF(F458-TODAY()&lt;=7,"Bitiyor","Aktif"))))</f>
        <v/>
      </c>
      <c r="K458" s="19" t="str">
        <f aca="false">IF(OR(J458="Aktif",J458="Bitiyor"),F458+ROW()/1000000,"")</f>
        <v/>
      </c>
    </row>
    <row r="459" customFormat="false" ht="15" hidden="false" customHeight="false" outlineLevel="0" collapsed="false">
      <c r="A459" s="12"/>
      <c r="B459" s="12"/>
      <c r="C459" s="13"/>
      <c r="D459" s="14"/>
      <c r="E459" s="15"/>
      <c r="F459" s="16" t="str">
        <f aca="false">IF(OR(C459="",D459=""),"",EDATE(D459,IFERROR(INDEX(Paketler!$B$5:$B$24,MATCH(C459,Paketler!$A$5:$A$24,0)),0))-1)</f>
        <v/>
      </c>
      <c r="G459" s="17" t="str">
        <f aca="false">IF(F459="","",IFERROR(INDEX(Paketler!$C$5:$C$24,MATCH(C459,Paketler!$A$5:$A$24,0)),0))</f>
        <v/>
      </c>
      <c r="H459" s="17" t="str">
        <f aca="false">IF(F459="","",G459-E459)</f>
        <v/>
      </c>
      <c r="I459" s="18" t="str">
        <f aca="true">IF(F459="","",F459-TODAY())</f>
        <v/>
      </c>
      <c r="J459" s="19" t="str">
        <f aca="true">IF(F459="","",IF(TODAY()&lt;D459,"Başlamadı",IF(TODAY()&gt;F459,"Bitti",IF(F459-TODAY()&lt;=7,"Bitiyor","Aktif"))))</f>
        <v/>
      </c>
      <c r="K459" s="19" t="str">
        <f aca="false">IF(OR(J459="Aktif",J459="Bitiyor"),F459+ROW()/1000000,"")</f>
        <v/>
      </c>
    </row>
    <row r="460" customFormat="false" ht="15" hidden="false" customHeight="false" outlineLevel="0" collapsed="false">
      <c r="A460" s="12"/>
      <c r="B460" s="12"/>
      <c r="C460" s="13"/>
      <c r="D460" s="14"/>
      <c r="E460" s="15"/>
      <c r="F460" s="16" t="str">
        <f aca="false">IF(OR(C460="",D460=""),"",EDATE(D460,IFERROR(INDEX(Paketler!$B$5:$B$24,MATCH(C460,Paketler!$A$5:$A$24,0)),0))-1)</f>
        <v/>
      </c>
      <c r="G460" s="17" t="str">
        <f aca="false">IF(F460="","",IFERROR(INDEX(Paketler!$C$5:$C$24,MATCH(C460,Paketler!$A$5:$A$24,0)),0))</f>
        <v/>
      </c>
      <c r="H460" s="17" t="str">
        <f aca="false">IF(F460="","",G460-E460)</f>
        <v/>
      </c>
      <c r="I460" s="18" t="str">
        <f aca="true">IF(F460="","",F460-TODAY())</f>
        <v/>
      </c>
      <c r="J460" s="19" t="str">
        <f aca="true">IF(F460="","",IF(TODAY()&lt;D460,"Başlamadı",IF(TODAY()&gt;F460,"Bitti",IF(F460-TODAY()&lt;=7,"Bitiyor","Aktif"))))</f>
        <v/>
      </c>
      <c r="K460" s="19" t="str">
        <f aca="false">IF(OR(J460="Aktif",J460="Bitiyor"),F460+ROW()/1000000,"")</f>
        <v/>
      </c>
    </row>
    <row r="461" customFormat="false" ht="15" hidden="false" customHeight="false" outlineLevel="0" collapsed="false">
      <c r="A461" s="12"/>
      <c r="B461" s="12"/>
      <c r="C461" s="13"/>
      <c r="D461" s="14"/>
      <c r="E461" s="15"/>
      <c r="F461" s="16" t="str">
        <f aca="false">IF(OR(C461="",D461=""),"",EDATE(D461,IFERROR(INDEX(Paketler!$B$5:$B$24,MATCH(C461,Paketler!$A$5:$A$24,0)),0))-1)</f>
        <v/>
      </c>
      <c r="G461" s="17" t="str">
        <f aca="false">IF(F461="","",IFERROR(INDEX(Paketler!$C$5:$C$24,MATCH(C461,Paketler!$A$5:$A$24,0)),0))</f>
        <v/>
      </c>
      <c r="H461" s="17" t="str">
        <f aca="false">IF(F461="","",G461-E461)</f>
        <v/>
      </c>
      <c r="I461" s="18" t="str">
        <f aca="true">IF(F461="","",F461-TODAY())</f>
        <v/>
      </c>
      <c r="J461" s="19" t="str">
        <f aca="true">IF(F461="","",IF(TODAY()&lt;D461,"Başlamadı",IF(TODAY()&gt;F461,"Bitti",IF(F461-TODAY()&lt;=7,"Bitiyor","Aktif"))))</f>
        <v/>
      </c>
      <c r="K461" s="19" t="str">
        <f aca="false">IF(OR(J461="Aktif",J461="Bitiyor"),F461+ROW()/1000000,"")</f>
        <v/>
      </c>
    </row>
    <row r="462" customFormat="false" ht="15" hidden="false" customHeight="false" outlineLevel="0" collapsed="false">
      <c r="A462" s="12"/>
      <c r="B462" s="12"/>
      <c r="C462" s="13"/>
      <c r="D462" s="14"/>
      <c r="E462" s="15"/>
      <c r="F462" s="16" t="str">
        <f aca="false">IF(OR(C462="",D462=""),"",EDATE(D462,IFERROR(INDEX(Paketler!$B$5:$B$24,MATCH(C462,Paketler!$A$5:$A$24,0)),0))-1)</f>
        <v/>
      </c>
      <c r="G462" s="17" t="str">
        <f aca="false">IF(F462="","",IFERROR(INDEX(Paketler!$C$5:$C$24,MATCH(C462,Paketler!$A$5:$A$24,0)),0))</f>
        <v/>
      </c>
      <c r="H462" s="17" t="str">
        <f aca="false">IF(F462="","",G462-E462)</f>
        <v/>
      </c>
      <c r="I462" s="18" t="str">
        <f aca="true">IF(F462="","",F462-TODAY())</f>
        <v/>
      </c>
      <c r="J462" s="19" t="str">
        <f aca="true">IF(F462="","",IF(TODAY()&lt;D462,"Başlamadı",IF(TODAY()&gt;F462,"Bitti",IF(F462-TODAY()&lt;=7,"Bitiyor","Aktif"))))</f>
        <v/>
      </c>
      <c r="K462" s="19" t="str">
        <f aca="false">IF(OR(J462="Aktif",J462="Bitiyor"),F462+ROW()/1000000,"")</f>
        <v/>
      </c>
    </row>
    <row r="463" customFormat="false" ht="15" hidden="false" customHeight="false" outlineLevel="0" collapsed="false">
      <c r="A463" s="12"/>
      <c r="B463" s="12"/>
      <c r="C463" s="13"/>
      <c r="D463" s="14"/>
      <c r="E463" s="15"/>
      <c r="F463" s="16" t="str">
        <f aca="false">IF(OR(C463="",D463=""),"",EDATE(D463,IFERROR(INDEX(Paketler!$B$5:$B$24,MATCH(C463,Paketler!$A$5:$A$24,0)),0))-1)</f>
        <v/>
      </c>
      <c r="G463" s="17" t="str">
        <f aca="false">IF(F463="","",IFERROR(INDEX(Paketler!$C$5:$C$24,MATCH(C463,Paketler!$A$5:$A$24,0)),0))</f>
        <v/>
      </c>
      <c r="H463" s="17" t="str">
        <f aca="false">IF(F463="","",G463-E463)</f>
        <v/>
      </c>
      <c r="I463" s="18" t="str">
        <f aca="true">IF(F463="","",F463-TODAY())</f>
        <v/>
      </c>
      <c r="J463" s="19" t="str">
        <f aca="true">IF(F463="","",IF(TODAY()&lt;D463,"Başlamadı",IF(TODAY()&gt;F463,"Bitti",IF(F463-TODAY()&lt;=7,"Bitiyor","Aktif"))))</f>
        <v/>
      </c>
      <c r="K463" s="19" t="str">
        <f aca="false">IF(OR(J463="Aktif",J463="Bitiyor"),F463+ROW()/1000000,"")</f>
        <v/>
      </c>
    </row>
    <row r="464" customFormat="false" ht="15" hidden="false" customHeight="false" outlineLevel="0" collapsed="false">
      <c r="A464" s="12"/>
      <c r="B464" s="12"/>
      <c r="C464" s="13"/>
      <c r="D464" s="14"/>
      <c r="E464" s="15"/>
      <c r="F464" s="16" t="str">
        <f aca="false">IF(OR(C464="",D464=""),"",EDATE(D464,IFERROR(INDEX(Paketler!$B$5:$B$24,MATCH(C464,Paketler!$A$5:$A$24,0)),0))-1)</f>
        <v/>
      </c>
      <c r="G464" s="17" t="str">
        <f aca="false">IF(F464="","",IFERROR(INDEX(Paketler!$C$5:$C$24,MATCH(C464,Paketler!$A$5:$A$24,0)),0))</f>
        <v/>
      </c>
      <c r="H464" s="17" t="str">
        <f aca="false">IF(F464="","",G464-E464)</f>
        <v/>
      </c>
      <c r="I464" s="18" t="str">
        <f aca="true">IF(F464="","",F464-TODAY())</f>
        <v/>
      </c>
      <c r="J464" s="19" t="str">
        <f aca="true">IF(F464="","",IF(TODAY()&lt;D464,"Başlamadı",IF(TODAY()&gt;F464,"Bitti",IF(F464-TODAY()&lt;=7,"Bitiyor","Aktif"))))</f>
        <v/>
      </c>
      <c r="K464" s="19" t="str">
        <f aca="false">IF(OR(J464="Aktif",J464="Bitiyor"),F464+ROW()/1000000,"")</f>
        <v/>
      </c>
    </row>
    <row r="465" customFormat="false" ht="15" hidden="false" customHeight="false" outlineLevel="0" collapsed="false">
      <c r="A465" s="12"/>
      <c r="B465" s="12"/>
      <c r="C465" s="13"/>
      <c r="D465" s="14"/>
      <c r="E465" s="15"/>
      <c r="F465" s="16" t="str">
        <f aca="false">IF(OR(C465="",D465=""),"",EDATE(D465,IFERROR(INDEX(Paketler!$B$5:$B$24,MATCH(C465,Paketler!$A$5:$A$24,0)),0))-1)</f>
        <v/>
      </c>
      <c r="G465" s="17" t="str">
        <f aca="false">IF(F465="","",IFERROR(INDEX(Paketler!$C$5:$C$24,MATCH(C465,Paketler!$A$5:$A$24,0)),0))</f>
        <v/>
      </c>
      <c r="H465" s="17" t="str">
        <f aca="false">IF(F465="","",G465-E465)</f>
        <v/>
      </c>
      <c r="I465" s="18" t="str">
        <f aca="true">IF(F465="","",F465-TODAY())</f>
        <v/>
      </c>
      <c r="J465" s="19" t="str">
        <f aca="true">IF(F465="","",IF(TODAY()&lt;D465,"Başlamadı",IF(TODAY()&gt;F465,"Bitti",IF(F465-TODAY()&lt;=7,"Bitiyor","Aktif"))))</f>
        <v/>
      </c>
      <c r="K465" s="19" t="str">
        <f aca="false">IF(OR(J465="Aktif",J465="Bitiyor"),F465+ROW()/1000000,"")</f>
        <v/>
      </c>
    </row>
    <row r="466" customFormat="false" ht="15" hidden="false" customHeight="false" outlineLevel="0" collapsed="false">
      <c r="A466" s="12"/>
      <c r="B466" s="12"/>
      <c r="C466" s="13"/>
      <c r="D466" s="14"/>
      <c r="E466" s="15"/>
      <c r="F466" s="16" t="str">
        <f aca="false">IF(OR(C466="",D466=""),"",EDATE(D466,IFERROR(INDEX(Paketler!$B$5:$B$24,MATCH(C466,Paketler!$A$5:$A$24,0)),0))-1)</f>
        <v/>
      </c>
      <c r="G466" s="17" t="str">
        <f aca="false">IF(F466="","",IFERROR(INDEX(Paketler!$C$5:$C$24,MATCH(C466,Paketler!$A$5:$A$24,0)),0))</f>
        <v/>
      </c>
      <c r="H466" s="17" t="str">
        <f aca="false">IF(F466="","",G466-E466)</f>
        <v/>
      </c>
      <c r="I466" s="18" t="str">
        <f aca="true">IF(F466="","",F466-TODAY())</f>
        <v/>
      </c>
      <c r="J466" s="19" t="str">
        <f aca="true">IF(F466="","",IF(TODAY()&lt;D466,"Başlamadı",IF(TODAY()&gt;F466,"Bitti",IF(F466-TODAY()&lt;=7,"Bitiyor","Aktif"))))</f>
        <v/>
      </c>
      <c r="K466" s="19" t="str">
        <f aca="false">IF(OR(J466="Aktif",J466="Bitiyor"),F466+ROW()/1000000,"")</f>
        <v/>
      </c>
    </row>
    <row r="467" customFormat="false" ht="15" hidden="false" customHeight="false" outlineLevel="0" collapsed="false">
      <c r="A467" s="12"/>
      <c r="B467" s="12"/>
      <c r="C467" s="13"/>
      <c r="D467" s="14"/>
      <c r="E467" s="15"/>
      <c r="F467" s="16" t="str">
        <f aca="false">IF(OR(C467="",D467=""),"",EDATE(D467,IFERROR(INDEX(Paketler!$B$5:$B$24,MATCH(C467,Paketler!$A$5:$A$24,0)),0))-1)</f>
        <v/>
      </c>
      <c r="G467" s="17" t="str">
        <f aca="false">IF(F467="","",IFERROR(INDEX(Paketler!$C$5:$C$24,MATCH(C467,Paketler!$A$5:$A$24,0)),0))</f>
        <v/>
      </c>
      <c r="H467" s="17" t="str">
        <f aca="false">IF(F467="","",G467-E467)</f>
        <v/>
      </c>
      <c r="I467" s="18" t="str">
        <f aca="true">IF(F467="","",F467-TODAY())</f>
        <v/>
      </c>
      <c r="J467" s="19" t="str">
        <f aca="true">IF(F467="","",IF(TODAY()&lt;D467,"Başlamadı",IF(TODAY()&gt;F467,"Bitti",IF(F467-TODAY()&lt;=7,"Bitiyor","Aktif"))))</f>
        <v/>
      </c>
      <c r="K467" s="19" t="str">
        <f aca="false">IF(OR(J467="Aktif",J467="Bitiyor"),F467+ROW()/1000000,"")</f>
        <v/>
      </c>
    </row>
    <row r="468" customFormat="false" ht="15" hidden="false" customHeight="false" outlineLevel="0" collapsed="false">
      <c r="A468" s="12"/>
      <c r="B468" s="12"/>
      <c r="C468" s="13"/>
      <c r="D468" s="14"/>
      <c r="E468" s="15"/>
      <c r="F468" s="16" t="str">
        <f aca="false">IF(OR(C468="",D468=""),"",EDATE(D468,IFERROR(INDEX(Paketler!$B$5:$B$24,MATCH(C468,Paketler!$A$5:$A$24,0)),0))-1)</f>
        <v/>
      </c>
      <c r="G468" s="17" t="str">
        <f aca="false">IF(F468="","",IFERROR(INDEX(Paketler!$C$5:$C$24,MATCH(C468,Paketler!$A$5:$A$24,0)),0))</f>
        <v/>
      </c>
      <c r="H468" s="17" t="str">
        <f aca="false">IF(F468="","",G468-E468)</f>
        <v/>
      </c>
      <c r="I468" s="18" t="str">
        <f aca="true">IF(F468="","",F468-TODAY())</f>
        <v/>
      </c>
      <c r="J468" s="19" t="str">
        <f aca="true">IF(F468="","",IF(TODAY()&lt;D468,"Başlamadı",IF(TODAY()&gt;F468,"Bitti",IF(F468-TODAY()&lt;=7,"Bitiyor","Aktif"))))</f>
        <v/>
      </c>
      <c r="K468" s="19" t="str">
        <f aca="false">IF(OR(J468="Aktif",J468="Bitiyor"),F468+ROW()/1000000,"")</f>
        <v/>
      </c>
    </row>
    <row r="469" customFormat="false" ht="15" hidden="false" customHeight="false" outlineLevel="0" collapsed="false">
      <c r="A469" s="12"/>
      <c r="B469" s="12"/>
      <c r="C469" s="13"/>
      <c r="D469" s="14"/>
      <c r="E469" s="15"/>
      <c r="F469" s="16" t="str">
        <f aca="false">IF(OR(C469="",D469=""),"",EDATE(D469,IFERROR(INDEX(Paketler!$B$5:$B$24,MATCH(C469,Paketler!$A$5:$A$24,0)),0))-1)</f>
        <v/>
      </c>
      <c r="G469" s="17" t="str">
        <f aca="false">IF(F469="","",IFERROR(INDEX(Paketler!$C$5:$C$24,MATCH(C469,Paketler!$A$5:$A$24,0)),0))</f>
        <v/>
      </c>
      <c r="H469" s="17" t="str">
        <f aca="false">IF(F469="","",G469-E469)</f>
        <v/>
      </c>
      <c r="I469" s="18" t="str">
        <f aca="true">IF(F469="","",F469-TODAY())</f>
        <v/>
      </c>
      <c r="J469" s="19" t="str">
        <f aca="true">IF(F469="","",IF(TODAY()&lt;D469,"Başlamadı",IF(TODAY()&gt;F469,"Bitti",IF(F469-TODAY()&lt;=7,"Bitiyor","Aktif"))))</f>
        <v/>
      </c>
      <c r="K469" s="19" t="str">
        <f aca="false">IF(OR(J469="Aktif",J469="Bitiyor"),F469+ROW()/1000000,"")</f>
        <v/>
      </c>
    </row>
    <row r="470" customFormat="false" ht="15" hidden="false" customHeight="false" outlineLevel="0" collapsed="false">
      <c r="A470" s="12"/>
      <c r="B470" s="12"/>
      <c r="C470" s="13"/>
      <c r="D470" s="14"/>
      <c r="E470" s="15"/>
      <c r="F470" s="16" t="str">
        <f aca="false">IF(OR(C470="",D470=""),"",EDATE(D470,IFERROR(INDEX(Paketler!$B$5:$B$24,MATCH(C470,Paketler!$A$5:$A$24,0)),0))-1)</f>
        <v/>
      </c>
      <c r="G470" s="17" t="str">
        <f aca="false">IF(F470="","",IFERROR(INDEX(Paketler!$C$5:$C$24,MATCH(C470,Paketler!$A$5:$A$24,0)),0))</f>
        <v/>
      </c>
      <c r="H470" s="17" t="str">
        <f aca="false">IF(F470="","",G470-E470)</f>
        <v/>
      </c>
      <c r="I470" s="18" t="str">
        <f aca="true">IF(F470="","",F470-TODAY())</f>
        <v/>
      </c>
      <c r="J470" s="19" t="str">
        <f aca="true">IF(F470="","",IF(TODAY()&lt;D470,"Başlamadı",IF(TODAY()&gt;F470,"Bitti",IF(F470-TODAY()&lt;=7,"Bitiyor","Aktif"))))</f>
        <v/>
      </c>
      <c r="K470" s="19" t="str">
        <f aca="false">IF(OR(J470="Aktif",J470="Bitiyor"),F470+ROW()/1000000,"")</f>
        <v/>
      </c>
    </row>
    <row r="471" customFormat="false" ht="15" hidden="false" customHeight="false" outlineLevel="0" collapsed="false">
      <c r="A471" s="12"/>
      <c r="B471" s="12"/>
      <c r="C471" s="13"/>
      <c r="D471" s="14"/>
      <c r="E471" s="15"/>
      <c r="F471" s="16" t="str">
        <f aca="false">IF(OR(C471="",D471=""),"",EDATE(D471,IFERROR(INDEX(Paketler!$B$5:$B$24,MATCH(C471,Paketler!$A$5:$A$24,0)),0))-1)</f>
        <v/>
      </c>
      <c r="G471" s="17" t="str">
        <f aca="false">IF(F471="","",IFERROR(INDEX(Paketler!$C$5:$C$24,MATCH(C471,Paketler!$A$5:$A$24,0)),0))</f>
        <v/>
      </c>
      <c r="H471" s="17" t="str">
        <f aca="false">IF(F471="","",G471-E471)</f>
        <v/>
      </c>
      <c r="I471" s="18" t="str">
        <f aca="true">IF(F471="","",F471-TODAY())</f>
        <v/>
      </c>
      <c r="J471" s="19" t="str">
        <f aca="true">IF(F471="","",IF(TODAY()&lt;D471,"Başlamadı",IF(TODAY()&gt;F471,"Bitti",IF(F471-TODAY()&lt;=7,"Bitiyor","Aktif"))))</f>
        <v/>
      </c>
      <c r="K471" s="19" t="str">
        <f aca="false">IF(OR(J471="Aktif",J471="Bitiyor"),F471+ROW()/1000000,"")</f>
        <v/>
      </c>
    </row>
    <row r="472" customFormat="false" ht="15" hidden="false" customHeight="false" outlineLevel="0" collapsed="false">
      <c r="A472" s="12"/>
      <c r="B472" s="12"/>
      <c r="C472" s="13"/>
      <c r="D472" s="14"/>
      <c r="E472" s="15"/>
      <c r="F472" s="16" t="str">
        <f aca="false">IF(OR(C472="",D472=""),"",EDATE(D472,IFERROR(INDEX(Paketler!$B$5:$B$24,MATCH(C472,Paketler!$A$5:$A$24,0)),0))-1)</f>
        <v/>
      </c>
      <c r="G472" s="17" t="str">
        <f aca="false">IF(F472="","",IFERROR(INDEX(Paketler!$C$5:$C$24,MATCH(C472,Paketler!$A$5:$A$24,0)),0))</f>
        <v/>
      </c>
      <c r="H472" s="17" t="str">
        <f aca="false">IF(F472="","",G472-E472)</f>
        <v/>
      </c>
      <c r="I472" s="18" t="str">
        <f aca="true">IF(F472="","",F472-TODAY())</f>
        <v/>
      </c>
      <c r="J472" s="19" t="str">
        <f aca="true">IF(F472="","",IF(TODAY()&lt;D472,"Başlamadı",IF(TODAY()&gt;F472,"Bitti",IF(F472-TODAY()&lt;=7,"Bitiyor","Aktif"))))</f>
        <v/>
      </c>
      <c r="K472" s="19" t="str">
        <f aca="false">IF(OR(J472="Aktif",J472="Bitiyor"),F472+ROW()/1000000,"")</f>
        <v/>
      </c>
    </row>
    <row r="473" customFormat="false" ht="15" hidden="false" customHeight="false" outlineLevel="0" collapsed="false">
      <c r="A473" s="12"/>
      <c r="B473" s="12"/>
      <c r="C473" s="13"/>
      <c r="D473" s="14"/>
      <c r="E473" s="15"/>
      <c r="F473" s="16" t="str">
        <f aca="false">IF(OR(C473="",D473=""),"",EDATE(D473,IFERROR(INDEX(Paketler!$B$5:$B$24,MATCH(C473,Paketler!$A$5:$A$24,0)),0))-1)</f>
        <v/>
      </c>
      <c r="G473" s="17" t="str">
        <f aca="false">IF(F473="","",IFERROR(INDEX(Paketler!$C$5:$C$24,MATCH(C473,Paketler!$A$5:$A$24,0)),0))</f>
        <v/>
      </c>
      <c r="H473" s="17" t="str">
        <f aca="false">IF(F473="","",G473-E473)</f>
        <v/>
      </c>
      <c r="I473" s="18" t="str">
        <f aca="true">IF(F473="","",F473-TODAY())</f>
        <v/>
      </c>
      <c r="J473" s="19" t="str">
        <f aca="true">IF(F473="","",IF(TODAY()&lt;D473,"Başlamadı",IF(TODAY()&gt;F473,"Bitti",IF(F473-TODAY()&lt;=7,"Bitiyor","Aktif"))))</f>
        <v/>
      </c>
      <c r="K473" s="19" t="str">
        <f aca="false">IF(OR(J473="Aktif",J473="Bitiyor"),F473+ROW()/1000000,"")</f>
        <v/>
      </c>
    </row>
    <row r="474" customFormat="false" ht="15" hidden="false" customHeight="false" outlineLevel="0" collapsed="false">
      <c r="A474" s="12"/>
      <c r="B474" s="12"/>
      <c r="C474" s="13"/>
      <c r="D474" s="14"/>
      <c r="E474" s="15"/>
      <c r="F474" s="16" t="str">
        <f aca="false">IF(OR(C474="",D474=""),"",EDATE(D474,IFERROR(INDEX(Paketler!$B$5:$B$24,MATCH(C474,Paketler!$A$5:$A$24,0)),0))-1)</f>
        <v/>
      </c>
      <c r="G474" s="17" t="str">
        <f aca="false">IF(F474="","",IFERROR(INDEX(Paketler!$C$5:$C$24,MATCH(C474,Paketler!$A$5:$A$24,0)),0))</f>
        <v/>
      </c>
      <c r="H474" s="17" t="str">
        <f aca="false">IF(F474="","",G474-E474)</f>
        <v/>
      </c>
      <c r="I474" s="18" t="str">
        <f aca="true">IF(F474="","",F474-TODAY())</f>
        <v/>
      </c>
      <c r="J474" s="19" t="str">
        <f aca="true">IF(F474="","",IF(TODAY()&lt;D474,"Başlamadı",IF(TODAY()&gt;F474,"Bitti",IF(F474-TODAY()&lt;=7,"Bitiyor","Aktif"))))</f>
        <v/>
      </c>
      <c r="K474" s="19" t="str">
        <f aca="false">IF(OR(J474="Aktif",J474="Bitiyor"),F474+ROW()/1000000,"")</f>
        <v/>
      </c>
    </row>
    <row r="475" customFormat="false" ht="15" hidden="false" customHeight="false" outlineLevel="0" collapsed="false">
      <c r="A475" s="12"/>
      <c r="B475" s="12"/>
      <c r="C475" s="13"/>
      <c r="D475" s="14"/>
      <c r="E475" s="15"/>
      <c r="F475" s="16" t="str">
        <f aca="false">IF(OR(C475="",D475=""),"",EDATE(D475,IFERROR(INDEX(Paketler!$B$5:$B$24,MATCH(C475,Paketler!$A$5:$A$24,0)),0))-1)</f>
        <v/>
      </c>
      <c r="G475" s="17" t="str">
        <f aca="false">IF(F475="","",IFERROR(INDEX(Paketler!$C$5:$C$24,MATCH(C475,Paketler!$A$5:$A$24,0)),0))</f>
        <v/>
      </c>
      <c r="H475" s="17" t="str">
        <f aca="false">IF(F475="","",G475-E475)</f>
        <v/>
      </c>
      <c r="I475" s="18" t="str">
        <f aca="true">IF(F475="","",F475-TODAY())</f>
        <v/>
      </c>
      <c r="J475" s="19" t="str">
        <f aca="true">IF(F475="","",IF(TODAY()&lt;D475,"Başlamadı",IF(TODAY()&gt;F475,"Bitti",IF(F475-TODAY()&lt;=7,"Bitiyor","Aktif"))))</f>
        <v/>
      </c>
      <c r="K475" s="19" t="str">
        <f aca="false">IF(OR(J475="Aktif",J475="Bitiyor"),F475+ROW()/1000000,"")</f>
        <v/>
      </c>
    </row>
    <row r="476" customFormat="false" ht="15" hidden="false" customHeight="false" outlineLevel="0" collapsed="false">
      <c r="A476" s="12"/>
      <c r="B476" s="12"/>
      <c r="C476" s="13"/>
      <c r="D476" s="14"/>
      <c r="E476" s="15"/>
      <c r="F476" s="16" t="str">
        <f aca="false">IF(OR(C476="",D476=""),"",EDATE(D476,IFERROR(INDEX(Paketler!$B$5:$B$24,MATCH(C476,Paketler!$A$5:$A$24,0)),0))-1)</f>
        <v/>
      </c>
      <c r="G476" s="17" t="str">
        <f aca="false">IF(F476="","",IFERROR(INDEX(Paketler!$C$5:$C$24,MATCH(C476,Paketler!$A$5:$A$24,0)),0))</f>
        <v/>
      </c>
      <c r="H476" s="17" t="str">
        <f aca="false">IF(F476="","",G476-E476)</f>
        <v/>
      </c>
      <c r="I476" s="18" t="str">
        <f aca="true">IF(F476="","",F476-TODAY())</f>
        <v/>
      </c>
      <c r="J476" s="19" t="str">
        <f aca="true">IF(F476="","",IF(TODAY()&lt;D476,"Başlamadı",IF(TODAY()&gt;F476,"Bitti",IF(F476-TODAY()&lt;=7,"Bitiyor","Aktif"))))</f>
        <v/>
      </c>
      <c r="K476" s="19" t="str">
        <f aca="false">IF(OR(J476="Aktif",J476="Bitiyor"),F476+ROW()/1000000,"")</f>
        <v/>
      </c>
    </row>
    <row r="477" customFormat="false" ht="15" hidden="false" customHeight="false" outlineLevel="0" collapsed="false">
      <c r="A477" s="12"/>
      <c r="B477" s="12"/>
      <c r="C477" s="13"/>
      <c r="D477" s="14"/>
      <c r="E477" s="15"/>
      <c r="F477" s="16" t="str">
        <f aca="false">IF(OR(C477="",D477=""),"",EDATE(D477,IFERROR(INDEX(Paketler!$B$5:$B$24,MATCH(C477,Paketler!$A$5:$A$24,0)),0))-1)</f>
        <v/>
      </c>
      <c r="G477" s="17" t="str">
        <f aca="false">IF(F477="","",IFERROR(INDEX(Paketler!$C$5:$C$24,MATCH(C477,Paketler!$A$5:$A$24,0)),0))</f>
        <v/>
      </c>
      <c r="H477" s="17" t="str">
        <f aca="false">IF(F477="","",G477-E477)</f>
        <v/>
      </c>
      <c r="I477" s="18" t="str">
        <f aca="true">IF(F477="","",F477-TODAY())</f>
        <v/>
      </c>
      <c r="J477" s="19" t="str">
        <f aca="true">IF(F477="","",IF(TODAY()&lt;D477,"Başlamadı",IF(TODAY()&gt;F477,"Bitti",IF(F477-TODAY()&lt;=7,"Bitiyor","Aktif"))))</f>
        <v/>
      </c>
      <c r="K477" s="19" t="str">
        <f aca="false">IF(OR(J477="Aktif",J477="Bitiyor"),F477+ROW()/1000000,"")</f>
        <v/>
      </c>
    </row>
    <row r="478" customFormat="false" ht="15" hidden="false" customHeight="false" outlineLevel="0" collapsed="false">
      <c r="A478" s="12"/>
      <c r="B478" s="12"/>
      <c r="C478" s="13"/>
      <c r="D478" s="14"/>
      <c r="E478" s="15"/>
      <c r="F478" s="16" t="str">
        <f aca="false">IF(OR(C478="",D478=""),"",EDATE(D478,IFERROR(INDEX(Paketler!$B$5:$B$24,MATCH(C478,Paketler!$A$5:$A$24,0)),0))-1)</f>
        <v/>
      </c>
      <c r="G478" s="17" t="str">
        <f aca="false">IF(F478="","",IFERROR(INDEX(Paketler!$C$5:$C$24,MATCH(C478,Paketler!$A$5:$A$24,0)),0))</f>
        <v/>
      </c>
      <c r="H478" s="17" t="str">
        <f aca="false">IF(F478="","",G478-E478)</f>
        <v/>
      </c>
      <c r="I478" s="18" t="str">
        <f aca="true">IF(F478="","",F478-TODAY())</f>
        <v/>
      </c>
      <c r="J478" s="19" t="str">
        <f aca="true">IF(F478="","",IF(TODAY()&lt;D478,"Başlamadı",IF(TODAY()&gt;F478,"Bitti",IF(F478-TODAY()&lt;=7,"Bitiyor","Aktif"))))</f>
        <v/>
      </c>
      <c r="K478" s="19" t="str">
        <f aca="false">IF(OR(J478="Aktif",J478="Bitiyor"),F478+ROW()/1000000,"")</f>
        <v/>
      </c>
    </row>
    <row r="479" customFormat="false" ht="15" hidden="false" customHeight="false" outlineLevel="0" collapsed="false">
      <c r="A479" s="12"/>
      <c r="B479" s="12"/>
      <c r="C479" s="13"/>
      <c r="D479" s="14"/>
      <c r="E479" s="15"/>
      <c r="F479" s="16" t="str">
        <f aca="false">IF(OR(C479="",D479=""),"",EDATE(D479,IFERROR(INDEX(Paketler!$B$5:$B$24,MATCH(C479,Paketler!$A$5:$A$24,0)),0))-1)</f>
        <v/>
      </c>
      <c r="G479" s="17" t="str">
        <f aca="false">IF(F479="","",IFERROR(INDEX(Paketler!$C$5:$C$24,MATCH(C479,Paketler!$A$5:$A$24,0)),0))</f>
        <v/>
      </c>
      <c r="H479" s="17" t="str">
        <f aca="false">IF(F479="","",G479-E479)</f>
        <v/>
      </c>
      <c r="I479" s="18" t="str">
        <f aca="true">IF(F479="","",F479-TODAY())</f>
        <v/>
      </c>
      <c r="J479" s="19" t="str">
        <f aca="true">IF(F479="","",IF(TODAY()&lt;D479,"Başlamadı",IF(TODAY()&gt;F479,"Bitti",IF(F479-TODAY()&lt;=7,"Bitiyor","Aktif"))))</f>
        <v/>
      </c>
      <c r="K479" s="19" t="str">
        <f aca="false">IF(OR(J479="Aktif",J479="Bitiyor"),F479+ROW()/1000000,"")</f>
        <v/>
      </c>
    </row>
    <row r="480" customFormat="false" ht="15" hidden="false" customHeight="false" outlineLevel="0" collapsed="false">
      <c r="A480" s="12"/>
      <c r="B480" s="12"/>
      <c r="C480" s="13"/>
      <c r="D480" s="14"/>
      <c r="E480" s="15"/>
      <c r="F480" s="16" t="str">
        <f aca="false">IF(OR(C480="",D480=""),"",EDATE(D480,IFERROR(INDEX(Paketler!$B$5:$B$24,MATCH(C480,Paketler!$A$5:$A$24,0)),0))-1)</f>
        <v/>
      </c>
      <c r="G480" s="17" t="str">
        <f aca="false">IF(F480="","",IFERROR(INDEX(Paketler!$C$5:$C$24,MATCH(C480,Paketler!$A$5:$A$24,0)),0))</f>
        <v/>
      </c>
      <c r="H480" s="17" t="str">
        <f aca="false">IF(F480="","",G480-E480)</f>
        <v/>
      </c>
      <c r="I480" s="18" t="str">
        <f aca="true">IF(F480="","",F480-TODAY())</f>
        <v/>
      </c>
      <c r="J480" s="19" t="str">
        <f aca="true">IF(F480="","",IF(TODAY()&lt;D480,"Başlamadı",IF(TODAY()&gt;F480,"Bitti",IF(F480-TODAY()&lt;=7,"Bitiyor","Aktif"))))</f>
        <v/>
      </c>
      <c r="K480" s="19" t="str">
        <f aca="false">IF(OR(J480="Aktif",J480="Bitiyor"),F480+ROW()/1000000,"")</f>
        <v/>
      </c>
    </row>
    <row r="481" customFormat="false" ht="15" hidden="false" customHeight="false" outlineLevel="0" collapsed="false">
      <c r="A481" s="12"/>
      <c r="B481" s="12"/>
      <c r="C481" s="13"/>
      <c r="D481" s="14"/>
      <c r="E481" s="15"/>
      <c r="F481" s="16" t="str">
        <f aca="false">IF(OR(C481="",D481=""),"",EDATE(D481,IFERROR(INDEX(Paketler!$B$5:$B$24,MATCH(C481,Paketler!$A$5:$A$24,0)),0))-1)</f>
        <v/>
      </c>
      <c r="G481" s="17" t="str">
        <f aca="false">IF(F481="","",IFERROR(INDEX(Paketler!$C$5:$C$24,MATCH(C481,Paketler!$A$5:$A$24,0)),0))</f>
        <v/>
      </c>
      <c r="H481" s="17" t="str">
        <f aca="false">IF(F481="","",G481-E481)</f>
        <v/>
      </c>
      <c r="I481" s="18" t="str">
        <f aca="true">IF(F481="","",F481-TODAY())</f>
        <v/>
      </c>
      <c r="J481" s="19" t="str">
        <f aca="true">IF(F481="","",IF(TODAY()&lt;D481,"Başlamadı",IF(TODAY()&gt;F481,"Bitti",IF(F481-TODAY()&lt;=7,"Bitiyor","Aktif"))))</f>
        <v/>
      </c>
      <c r="K481" s="19" t="str">
        <f aca="false">IF(OR(J481="Aktif",J481="Bitiyor"),F481+ROW()/1000000,"")</f>
        <v/>
      </c>
    </row>
    <row r="482" customFormat="false" ht="15" hidden="false" customHeight="false" outlineLevel="0" collapsed="false">
      <c r="A482" s="12"/>
      <c r="B482" s="12"/>
      <c r="C482" s="13"/>
      <c r="D482" s="14"/>
      <c r="E482" s="15"/>
      <c r="F482" s="16" t="str">
        <f aca="false">IF(OR(C482="",D482=""),"",EDATE(D482,IFERROR(INDEX(Paketler!$B$5:$B$24,MATCH(C482,Paketler!$A$5:$A$24,0)),0))-1)</f>
        <v/>
      </c>
      <c r="G482" s="17" t="str">
        <f aca="false">IF(F482="","",IFERROR(INDEX(Paketler!$C$5:$C$24,MATCH(C482,Paketler!$A$5:$A$24,0)),0))</f>
        <v/>
      </c>
      <c r="H482" s="17" t="str">
        <f aca="false">IF(F482="","",G482-E482)</f>
        <v/>
      </c>
      <c r="I482" s="18" t="str">
        <f aca="true">IF(F482="","",F482-TODAY())</f>
        <v/>
      </c>
      <c r="J482" s="19" t="str">
        <f aca="true">IF(F482="","",IF(TODAY()&lt;D482,"Başlamadı",IF(TODAY()&gt;F482,"Bitti",IF(F482-TODAY()&lt;=7,"Bitiyor","Aktif"))))</f>
        <v/>
      </c>
      <c r="K482" s="19" t="str">
        <f aca="false">IF(OR(J482="Aktif",J482="Bitiyor"),F482+ROW()/1000000,"")</f>
        <v/>
      </c>
    </row>
    <row r="483" customFormat="false" ht="15" hidden="false" customHeight="false" outlineLevel="0" collapsed="false">
      <c r="A483" s="12"/>
      <c r="B483" s="12"/>
      <c r="C483" s="13"/>
      <c r="D483" s="14"/>
      <c r="E483" s="15"/>
      <c r="F483" s="16" t="str">
        <f aca="false">IF(OR(C483="",D483=""),"",EDATE(D483,IFERROR(INDEX(Paketler!$B$5:$B$24,MATCH(C483,Paketler!$A$5:$A$24,0)),0))-1)</f>
        <v/>
      </c>
      <c r="G483" s="17" t="str">
        <f aca="false">IF(F483="","",IFERROR(INDEX(Paketler!$C$5:$C$24,MATCH(C483,Paketler!$A$5:$A$24,0)),0))</f>
        <v/>
      </c>
      <c r="H483" s="17" t="str">
        <f aca="false">IF(F483="","",G483-E483)</f>
        <v/>
      </c>
      <c r="I483" s="18" t="str">
        <f aca="true">IF(F483="","",F483-TODAY())</f>
        <v/>
      </c>
      <c r="J483" s="19" t="str">
        <f aca="true">IF(F483="","",IF(TODAY()&lt;D483,"Başlamadı",IF(TODAY()&gt;F483,"Bitti",IF(F483-TODAY()&lt;=7,"Bitiyor","Aktif"))))</f>
        <v/>
      </c>
      <c r="K483" s="19" t="str">
        <f aca="false">IF(OR(J483="Aktif",J483="Bitiyor"),F483+ROW()/1000000,"")</f>
        <v/>
      </c>
    </row>
    <row r="484" customFormat="false" ht="15" hidden="false" customHeight="false" outlineLevel="0" collapsed="false">
      <c r="A484" s="12"/>
      <c r="B484" s="12"/>
      <c r="C484" s="13"/>
      <c r="D484" s="14"/>
      <c r="E484" s="15"/>
      <c r="F484" s="16" t="str">
        <f aca="false">IF(OR(C484="",D484=""),"",EDATE(D484,IFERROR(INDEX(Paketler!$B$5:$B$24,MATCH(C484,Paketler!$A$5:$A$24,0)),0))-1)</f>
        <v/>
      </c>
      <c r="G484" s="17" t="str">
        <f aca="false">IF(F484="","",IFERROR(INDEX(Paketler!$C$5:$C$24,MATCH(C484,Paketler!$A$5:$A$24,0)),0))</f>
        <v/>
      </c>
      <c r="H484" s="17" t="str">
        <f aca="false">IF(F484="","",G484-E484)</f>
        <v/>
      </c>
      <c r="I484" s="18" t="str">
        <f aca="true">IF(F484="","",F484-TODAY())</f>
        <v/>
      </c>
      <c r="J484" s="19" t="str">
        <f aca="true">IF(F484="","",IF(TODAY()&lt;D484,"Başlamadı",IF(TODAY()&gt;F484,"Bitti",IF(F484-TODAY()&lt;=7,"Bitiyor","Aktif"))))</f>
        <v/>
      </c>
      <c r="K484" s="19" t="str">
        <f aca="false">IF(OR(J484="Aktif",J484="Bitiyor"),F484+ROW()/1000000,"")</f>
        <v/>
      </c>
    </row>
    <row r="485" customFormat="false" ht="15" hidden="false" customHeight="false" outlineLevel="0" collapsed="false">
      <c r="A485" s="12"/>
      <c r="B485" s="12"/>
      <c r="C485" s="13"/>
      <c r="D485" s="14"/>
      <c r="E485" s="15"/>
      <c r="F485" s="16" t="str">
        <f aca="false">IF(OR(C485="",D485=""),"",EDATE(D485,IFERROR(INDEX(Paketler!$B$5:$B$24,MATCH(C485,Paketler!$A$5:$A$24,0)),0))-1)</f>
        <v/>
      </c>
      <c r="G485" s="17" t="str">
        <f aca="false">IF(F485="","",IFERROR(INDEX(Paketler!$C$5:$C$24,MATCH(C485,Paketler!$A$5:$A$24,0)),0))</f>
        <v/>
      </c>
      <c r="H485" s="17" t="str">
        <f aca="false">IF(F485="","",G485-E485)</f>
        <v/>
      </c>
      <c r="I485" s="18" t="str">
        <f aca="true">IF(F485="","",F485-TODAY())</f>
        <v/>
      </c>
      <c r="J485" s="19" t="str">
        <f aca="true">IF(F485="","",IF(TODAY()&lt;D485,"Başlamadı",IF(TODAY()&gt;F485,"Bitti",IF(F485-TODAY()&lt;=7,"Bitiyor","Aktif"))))</f>
        <v/>
      </c>
      <c r="K485" s="19" t="str">
        <f aca="false">IF(OR(J485="Aktif",J485="Bitiyor"),F485+ROW()/1000000,"")</f>
        <v/>
      </c>
    </row>
    <row r="486" customFormat="false" ht="15" hidden="false" customHeight="false" outlineLevel="0" collapsed="false">
      <c r="A486" s="12"/>
      <c r="B486" s="12"/>
      <c r="C486" s="13"/>
      <c r="D486" s="14"/>
      <c r="E486" s="15"/>
      <c r="F486" s="16" t="str">
        <f aca="false">IF(OR(C486="",D486=""),"",EDATE(D486,IFERROR(INDEX(Paketler!$B$5:$B$24,MATCH(C486,Paketler!$A$5:$A$24,0)),0))-1)</f>
        <v/>
      </c>
      <c r="G486" s="17" t="str">
        <f aca="false">IF(F486="","",IFERROR(INDEX(Paketler!$C$5:$C$24,MATCH(C486,Paketler!$A$5:$A$24,0)),0))</f>
        <v/>
      </c>
      <c r="H486" s="17" t="str">
        <f aca="false">IF(F486="","",G486-E486)</f>
        <v/>
      </c>
      <c r="I486" s="18" t="str">
        <f aca="true">IF(F486="","",F486-TODAY())</f>
        <v/>
      </c>
      <c r="J486" s="19" t="str">
        <f aca="true">IF(F486="","",IF(TODAY()&lt;D486,"Başlamadı",IF(TODAY()&gt;F486,"Bitti",IF(F486-TODAY()&lt;=7,"Bitiyor","Aktif"))))</f>
        <v/>
      </c>
      <c r="K486" s="19" t="str">
        <f aca="false">IF(OR(J486="Aktif",J486="Bitiyor"),F486+ROW()/1000000,"")</f>
        <v/>
      </c>
    </row>
    <row r="487" customFormat="false" ht="15" hidden="false" customHeight="false" outlineLevel="0" collapsed="false">
      <c r="A487" s="12"/>
      <c r="B487" s="12"/>
      <c r="C487" s="13"/>
      <c r="D487" s="14"/>
      <c r="E487" s="15"/>
      <c r="F487" s="16" t="str">
        <f aca="false">IF(OR(C487="",D487=""),"",EDATE(D487,IFERROR(INDEX(Paketler!$B$5:$B$24,MATCH(C487,Paketler!$A$5:$A$24,0)),0))-1)</f>
        <v/>
      </c>
      <c r="G487" s="17" t="str">
        <f aca="false">IF(F487="","",IFERROR(INDEX(Paketler!$C$5:$C$24,MATCH(C487,Paketler!$A$5:$A$24,0)),0))</f>
        <v/>
      </c>
      <c r="H487" s="17" t="str">
        <f aca="false">IF(F487="","",G487-E487)</f>
        <v/>
      </c>
      <c r="I487" s="18" t="str">
        <f aca="true">IF(F487="","",F487-TODAY())</f>
        <v/>
      </c>
      <c r="J487" s="19" t="str">
        <f aca="true">IF(F487="","",IF(TODAY()&lt;D487,"Başlamadı",IF(TODAY()&gt;F487,"Bitti",IF(F487-TODAY()&lt;=7,"Bitiyor","Aktif"))))</f>
        <v/>
      </c>
      <c r="K487" s="19" t="str">
        <f aca="false">IF(OR(J487="Aktif",J487="Bitiyor"),F487+ROW()/1000000,"")</f>
        <v/>
      </c>
    </row>
    <row r="488" customFormat="false" ht="15" hidden="false" customHeight="false" outlineLevel="0" collapsed="false">
      <c r="A488" s="12"/>
      <c r="B488" s="12"/>
      <c r="C488" s="13"/>
      <c r="D488" s="14"/>
      <c r="E488" s="15"/>
      <c r="F488" s="16" t="str">
        <f aca="false">IF(OR(C488="",D488=""),"",EDATE(D488,IFERROR(INDEX(Paketler!$B$5:$B$24,MATCH(C488,Paketler!$A$5:$A$24,0)),0))-1)</f>
        <v/>
      </c>
      <c r="G488" s="17" t="str">
        <f aca="false">IF(F488="","",IFERROR(INDEX(Paketler!$C$5:$C$24,MATCH(C488,Paketler!$A$5:$A$24,0)),0))</f>
        <v/>
      </c>
      <c r="H488" s="17" t="str">
        <f aca="false">IF(F488="","",G488-E488)</f>
        <v/>
      </c>
      <c r="I488" s="18" t="str">
        <f aca="true">IF(F488="","",F488-TODAY())</f>
        <v/>
      </c>
      <c r="J488" s="19" t="str">
        <f aca="true">IF(F488="","",IF(TODAY()&lt;D488,"Başlamadı",IF(TODAY()&gt;F488,"Bitti",IF(F488-TODAY()&lt;=7,"Bitiyor","Aktif"))))</f>
        <v/>
      </c>
      <c r="K488" s="19" t="str">
        <f aca="false">IF(OR(J488="Aktif",J488="Bitiyor"),F488+ROW()/1000000,"")</f>
        <v/>
      </c>
    </row>
    <row r="489" customFormat="false" ht="15" hidden="false" customHeight="false" outlineLevel="0" collapsed="false">
      <c r="A489" s="12"/>
      <c r="B489" s="12"/>
      <c r="C489" s="13"/>
      <c r="D489" s="14"/>
      <c r="E489" s="15"/>
      <c r="F489" s="16" t="str">
        <f aca="false">IF(OR(C489="",D489=""),"",EDATE(D489,IFERROR(INDEX(Paketler!$B$5:$B$24,MATCH(C489,Paketler!$A$5:$A$24,0)),0))-1)</f>
        <v/>
      </c>
      <c r="G489" s="17" t="str">
        <f aca="false">IF(F489="","",IFERROR(INDEX(Paketler!$C$5:$C$24,MATCH(C489,Paketler!$A$5:$A$24,0)),0))</f>
        <v/>
      </c>
      <c r="H489" s="17" t="str">
        <f aca="false">IF(F489="","",G489-E489)</f>
        <v/>
      </c>
      <c r="I489" s="18" t="str">
        <f aca="true">IF(F489="","",F489-TODAY())</f>
        <v/>
      </c>
      <c r="J489" s="19" t="str">
        <f aca="true">IF(F489="","",IF(TODAY()&lt;D489,"Başlamadı",IF(TODAY()&gt;F489,"Bitti",IF(F489-TODAY()&lt;=7,"Bitiyor","Aktif"))))</f>
        <v/>
      </c>
      <c r="K489" s="19" t="str">
        <f aca="false">IF(OR(J489="Aktif",J489="Bitiyor"),F489+ROW()/1000000,"")</f>
        <v/>
      </c>
    </row>
    <row r="490" customFormat="false" ht="15" hidden="false" customHeight="false" outlineLevel="0" collapsed="false">
      <c r="A490" s="12"/>
      <c r="B490" s="12"/>
      <c r="C490" s="13"/>
      <c r="D490" s="14"/>
      <c r="E490" s="15"/>
      <c r="F490" s="16" t="str">
        <f aca="false">IF(OR(C490="",D490=""),"",EDATE(D490,IFERROR(INDEX(Paketler!$B$5:$B$24,MATCH(C490,Paketler!$A$5:$A$24,0)),0))-1)</f>
        <v/>
      </c>
      <c r="G490" s="17" t="str">
        <f aca="false">IF(F490="","",IFERROR(INDEX(Paketler!$C$5:$C$24,MATCH(C490,Paketler!$A$5:$A$24,0)),0))</f>
        <v/>
      </c>
      <c r="H490" s="17" t="str">
        <f aca="false">IF(F490="","",G490-E490)</f>
        <v/>
      </c>
      <c r="I490" s="18" t="str">
        <f aca="true">IF(F490="","",F490-TODAY())</f>
        <v/>
      </c>
      <c r="J490" s="19" t="str">
        <f aca="true">IF(F490="","",IF(TODAY()&lt;D490,"Başlamadı",IF(TODAY()&gt;F490,"Bitti",IF(F490-TODAY()&lt;=7,"Bitiyor","Aktif"))))</f>
        <v/>
      </c>
      <c r="K490" s="19" t="str">
        <f aca="false">IF(OR(J490="Aktif",J490="Bitiyor"),F490+ROW()/1000000,"")</f>
        <v/>
      </c>
    </row>
    <row r="491" customFormat="false" ht="15" hidden="false" customHeight="false" outlineLevel="0" collapsed="false">
      <c r="A491" s="12"/>
      <c r="B491" s="12"/>
      <c r="C491" s="13"/>
      <c r="D491" s="14"/>
      <c r="E491" s="15"/>
      <c r="F491" s="16" t="str">
        <f aca="false">IF(OR(C491="",D491=""),"",EDATE(D491,IFERROR(INDEX(Paketler!$B$5:$B$24,MATCH(C491,Paketler!$A$5:$A$24,0)),0))-1)</f>
        <v/>
      </c>
      <c r="G491" s="17" t="str">
        <f aca="false">IF(F491="","",IFERROR(INDEX(Paketler!$C$5:$C$24,MATCH(C491,Paketler!$A$5:$A$24,0)),0))</f>
        <v/>
      </c>
      <c r="H491" s="17" t="str">
        <f aca="false">IF(F491="","",G491-E491)</f>
        <v/>
      </c>
      <c r="I491" s="18" t="str">
        <f aca="true">IF(F491="","",F491-TODAY())</f>
        <v/>
      </c>
      <c r="J491" s="19" t="str">
        <f aca="true">IF(F491="","",IF(TODAY()&lt;D491,"Başlamadı",IF(TODAY()&gt;F491,"Bitti",IF(F491-TODAY()&lt;=7,"Bitiyor","Aktif"))))</f>
        <v/>
      </c>
      <c r="K491" s="19" t="str">
        <f aca="false">IF(OR(J491="Aktif",J491="Bitiyor"),F491+ROW()/1000000,"")</f>
        <v/>
      </c>
    </row>
    <row r="492" customFormat="false" ht="15" hidden="false" customHeight="false" outlineLevel="0" collapsed="false">
      <c r="A492" s="12"/>
      <c r="B492" s="12"/>
      <c r="C492" s="13"/>
      <c r="D492" s="14"/>
      <c r="E492" s="15"/>
      <c r="F492" s="16" t="str">
        <f aca="false">IF(OR(C492="",D492=""),"",EDATE(D492,IFERROR(INDEX(Paketler!$B$5:$B$24,MATCH(C492,Paketler!$A$5:$A$24,0)),0))-1)</f>
        <v/>
      </c>
      <c r="G492" s="17" t="str">
        <f aca="false">IF(F492="","",IFERROR(INDEX(Paketler!$C$5:$C$24,MATCH(C492,Paketler!$A$5:$A$24,0)),0))</f>
        <v/>
      </c>
      <c r="H492" s="17" t="str">
        <f aca="false">IF(F492="","",G492-E492)</f>
        <v/>
      </c>
      <c r="I492" s="18" t="str">
        <f aca="true">IF(F492="","",F492-TODAY())</f>
        <v/>
      </c>
      <c r="J492" s="19" t="str">
        <f aca="true">IF(F492="","",IF(TODAY()&lt;D492,"Başlamadı",IF(TODAY()&gt;F492,"Bitti",IF(F492-TODAY()&lt;=7,"Bitiyor","Aktif"))))</f>
        <v/>
      </c>
      <c r="K492" s="19" t="str">
        <f aca="false">IF(OR(J492="Aktif",J492="Bitiyor"),F492+ROW()/1000000,"")</f>
        <v/>
      </c>
    </row>
    <row r="493" customFormat="false" ht="15" hidden="false" customHeight="false" outlineLevel="0" collapsed="false">
      <c r="A493" s="12"/>
      <c r="B493" s="12"/>
      <c r="C493" s="13"/>
      <c r="D493" s="14"/>
      <c r="E493" s="15"/>
      <c r="F493" s="16" t="str">
        <f aca="false">IF(OR(C493="",D493=""),"",EDATE(D493,IFERROR(INDEX(Paketler!$B$5:$B$24,MATCH(C493,Paketler!$A$5:$A$24,0)),0))-1)</f>
        <v/>
      </c>
      <c r="G493" s="17" t="str">
        <f aca="false">IF(F493="","",IFERROR(INDEX(Paketler!$C$5:$C$24,MATCH(C493,Paketler!$A$5:$A$24,0)),0))</f>
        <v/>
      </c>
      <c r="H493" s="17" t="str">
        <f aca="false">IF(F493="","",G493-E493)</f>
        <v/>
      </c>
      <c r="I493" s="18" t="str">
        <f aca="true">IF(F493="","",F493-TODAY())</f>
        <v/>
      </c>
      <c r="J493" s="19" t="str">
        <f aca="true">IF(F493="","",IF(TODAY()&lt;D493,"Başlamadı",IF(TODAY()&gt;F493,"Bitti",IF(F493-TODAY()&lt;=7,"Bitiyor","Aktif"))))</f>
        <v/>
      </c>
      <c r="K493" s="19" t="str">
        <f aca="false">IF(OR(J493="Aktif",J493="Bitiyor"),F493+ROW()/1000000,"")</f>
        <v/>
      </c>
    </row>
    <row r="494" customFormat="false" ht="15" hidden="false" customHeight="false" outlineLevel="0" collapsed="false">
      <c r="A494" s="12"/>
      <c r="B494" s="12"/>
      <c r="C494" s="13"/>
      <c r="D494" s="14"/>
      <c r="E494" s="15"/>
      <c r="F494" s="16" t="str">
        <f aca="false">IF(OR(C494="",D494=""),"",EDATE(D494,IFERROR(INDEX(Paketler!$B$5:$B$24,MATCH(C494,Paketler!$A$5:$A$24,0)),0))-1)</f>
        <v/>
      </c>
      <c r="G494" s="17" t="str">
        <f aca="false">IF(F494="","",IFERROR(INDEX(Paketler!$C$5:$C$24,MATCH(C494,Paketler!$A$5:$A$24,0)),0))</f>
        <v/>
      </c>
      <c r="H494" s="17" t="str">
        <f aca="false">IF(F494="","",G494-E494)</f>
        <v/>
      </c>
      <c r="I494" s="18" t="str">
        <f aca="true">IF(F494="","",F494-TODAY())</f>
        <v/>
      </c>
      <c r="J494" s="19" t="str">
        <f aca="true">IF(F494="","",IF(TODAY()&lt;D494,"Başlamadı",IF(TODAY()&gt;F494,"Bitti",IF(F494-TODAY()&lt;=7,"Bitiyor","Aktif"))))</f>
        <v/>
      </c>
      <c r="K494" s="19" t="str">
        <f aca="false">IF(OR(J494="Aktif",J494="Bitiyor"),F494+ROW()/1000000,"")</f>
        <v/>
      </c>
    </row>
    <row r="495" customFormat="false" ht="15" hidden="false" customHeight="false" outlineLevel="0" collapsed="false">
      <c r="A495" s="12"/>
      <c r="B495" s="12"/>
      <c r="C495" s="13"/>
      <c r="D495" s="14"/>
      <c r="E495" s="15"/>
      <c r="F495" s="16" t="str">
        <f aca="false">IF(OR(C495="",D495=""),"",EDATE(D495,IFERROR(INDEX(Paketler!$B$5:$B$24,MATCH(C495,Paketler!$A$5:$A$24,0)),0))-1)</f>
        <v/>
      </c>
      <c r="G495" s="17" t="str">
        <f aca="false">IF(F495="","",IFERROR(INDEX(Paketler!$C$5:$C$24,MATCH(C495,Paketler!$A$5:$A$24,0)),0))</f>
        <v/>
      </c>
      <c r="H495" s="17" t="str">
        <f aca="false">IF(F495="","",G495-E495)</f>
        <v/>
      </c>
      <c r="I495" s="18" t="str">
        <f aca="true">IF(F495="","",F495-TODAY())</f>
        <v/>
      </c>
      <c r="J495" s="19" t="str">
        <f aca="true">IF(F495="","",IF(TODAY()&lt;D495,"Başlamadı",IF(TODAY()&gt;F495,"Bitti",IF(F495-TODAY()&lt;=7,"Bitiyor","Aktif"))))</f>
        <v/>
      </c>
      <c r="K495" s="19" t="str">
        <f aca="false">IF(OR(J495="Aktif",J495="Bitiyor"),F495+ROW()/1000000,"")</f>
        <v/>
      </c>
    </row>
    <row r="496" customFormat="false" ht="15" hidden="false" customHeight="false" outlineLevel="0" collapsed="false">
      <c r="A496" s="12"/>
      <c r="B496" s="12"/>
      <c r="C496" s="13"/>
      <c r="D496" s="14"/>
      <c r="E496" s="15"/>
      <c r="F496" s="16" t="str">
        <f aca="false">IF(OR(C496="",D496=""),"",EDATE(D496,IFERROR(INDEX(Paketler!$B$5:$B$24,MATCH(C496,Paketler!$A$5:$A$24,0)),0))-1)</f>
        <v/>
      </c>
      <c r="G496" s="17" t="str">
        <f aca="false">IF(F496="","",IFERROR(INDEX(Paketler!$C$5:$C$24,MATCH(C496,Paketler!$A$5:$A$24,0)),0))</f>
        <v/>
      </c>
      <c r="H496" s="17" t="str">
        <f aca="false">IF(F496="","",G496-E496)</f>
        <v/>
      </c>
      <c r="I496" s="18" t="str">
        <f aca="true">IF(F496="","",F496-TODAY())</f>
        <v/>
      </c>
      <c r="J496" s="19" t="str">
        <f aca="true">IF(F496="","",IF(TODAY()&lt;D496,"Başlamadı",IF(TODAY()&gt;F496,"Bitti",IF(F496-TODAY()&lt;=7,"Bitiyor","Aktif"))))</f>
        <v/>
      </c>
      <c r="K496" s="19" t="str">
        <f aca="false">IF(OR(J496="Aktif",J496="Bitiyor"),F496+ROW()/1000000,"")</f>
        <v/>
      </c>
    </row>
    <row r="497" customFormat="false" ht="15" hidden="false" customHeight="false" outlineLevel="0" collapsed="false">
      <c r="A497" s="12"/>
      <c r="B497" s="12"/>
      <c r="C497" s="13"/>
      <c r="D497" s="14"/>
      <c r="E497" s="15"/>
      <c r="F497" s="16" t="str">
        <f aca="false">IF(OR(C497="",D497=""),"",EDATE(D497,IFERROR(INDEX(Paketler!$B$5:$B$24,MATCH(C497,Paketler!$A$5:$A$24,0)),0))-1)</f>
        <v/>
      </c>
      <c r="G497" s="17" t="str">
        <f aca="false">IF(F497="","",IFERROR(INDEX(Paketler!$C$5:$C$24,MATCH(C497,Paketler!$A$5:$A$24,0)),0))</f>
        <v/>
      </c>
      <c r="H497" s="17" t="str">
        <f aca="false">IF(F497="","",G497-E497)</f>
        <v/>
      </c>
      <c r="I497" s="18" t="str">
        <f aca="true">IF(F497="","",F497-TODAY())</f>
        <v/>
      </c>
      <c r="J497" s="19" t="str">
        <f aca="true">IF(F497="","",IF(TODAY()&lt;D497,"Başlamadı",IF(TODAY()&gt;F497,"Bitti",IF(F497-TODAY()&lt;=7,"Bitiyor","Aktif"))))</f>
        <v/>
      </c>
      <c r="K497" s="19" t="str">
        <f aca="false">IF(OR(J497="Aktif",J497="Bitiyor"),F497+ROW()/1000000,"")</f>
        <v/>
      </c>
    </row>
    <row r="498" customFormat="false" ht="15" hidden="false" customHeight="false" outlineLevel="0" collapsed="false">
      <c r="A498" s="12"/>
      <c r="B498" s="12"/>
      <c r="C498" s="13"/>
      <c r="D498" s="14"/>
      <c r="E498" s="15"/>
      <c r="F498" s="16" t="str">
        <f aca="false">IF(OR(C498="",D498=""),"",EDATE(D498,IFERROR(INDEX(Paketler!$B$5:$B$24,MATCH(C498,Paketler!$A$5:$A$24,0)),0))-1)</f>
        <v/>
      </c>
      <c r="G498" s="17" t="str">
        <f aca="false">IF(F498="","",IFERROR(INDEX(Paketler!$C$5:$C$24,MATCH(C498,Paketler!$A$5:$A$24,0)),0))</f>
        <v/>
      </c>
      <c r="H498" s="17" t="str">
        <f aca="false">IF(F498="","",G498-E498)</f>
        <v/>
      </c>
      <c r="I498" s="18" t="str">
        <f aca="true">IF(F498="","",F498-TODAY())</f>
        <v/>
      </c>
      <c r="J498" s="19" t="str">
        <f aca="true">IF(F498="","",IF(TODAY()&lt;D498,"Başlamadı",IF(TODAY()&gt;F498,"Bitti",IF(F498-TODAY()&lt;=7,"Bitiyor","Aktif"))))</f>
        <v/>
      </c>
      <c r="K498" s="19" t="str">
        <f aca="false">IF(OR(J498="Aktif",J498="Bitiyor"),F498+ROW()/1000000,"")</f>
        <v/>
      </c>
    </row>
    <row r="499" customFormat="false" ht="15" hidden="false" customHeight="false" outlineLevel="0" collapsed="false">
      <c r="A499" s="12"/>
      <c r="B499" s="12"/>
      <c r="C499" s="13"/>
      <c r="D499" s="14"/>
      <c r="E499" s="15"/>
      <c r="F499" s="16" t="str">
        <f aca="false">IF(OR(C499="",D499=""),"",EDATE(D499,IFERROR(INDEX(Paketler!$B$5:$B$24,MATCH(C499,Paketler!$A$5:$A$24,0)),0))-1)</f>
        <v/>
      </c>
      <c r="G499" s="17" t="str">
        <f aca="false">IF(F499="","",IFERROR(INDEX(Paketler!$C$5:$C$24,MATCH(C499,Paketler!$A$5:$A$24,0)),0))</f>
        <v/>
      </c>
      <c r="H499" s="17" t="str">
        <f aca="false">IF(F499="","",G499-E499)</f>
        <v/>
      </c>
      <c r="I499" s="18" t="str">
        <f aca="true">IF(F499="","",F499-TODAY())</f>
        <v/>
      </c>
      <c r="J499" s="19" t="str">
        <f aca="true">IF(F499="","",IF(TODAY()&lt;D499,"Başlamadı",IF(TODAY()&gt;F499,"Bitti",IF(F499-TODAY()&lt;=7,"Bitiyor","Aktif"))))</f>
        <v/>
      </c>
      <c r="K499" s="19" t="str">
        <f aca="false">IF(OR(J499="Aktif",J499="Bitiyor"),F499+ROW()/1000000,"")</f>
        <v/>
      </c>
    </row>
    <row r="500" customFormat="false" ht="15" hidden="false" customHeight="false" outlineLevel="0" collapsed="false">
      <c r="A500" s="12"/>
      <c r="B500" s="12"/>
      <c r="C500" s="13"/>
      <c r="D500" s="14"/>
      <c r="E500" s="15"/>
      <c r="F500" s="16" t="str">
        <f aca="false">IF(OR(C500="",D500=""),"",EDATE(D500,IFERROR(INDEX(Paketler!$B$5:$B$24,MATCH(C500,Paketler!$A$5:$A$24,0)),0))-1)</f>
        <v/>
      </c>
      <c r="G500" s="17" t="str">
        <f aca="false">IF(F500="","",IFERROR(INDEX(Paketler!$C$5:$C$24,MATCH(C500,Paketler!$A$5:$A$24,0)),0))</f>
        <v/>
      </c>
      <c r="H500" s="17" t="str">
        <f aca="false">IF(F500="","",G500-E500)</f>
        <v/>
      </c>
      <c r="I500" s="18" t="str">
        <f aca="true">IF(F500="","",F500-TODAY())</f>
        <v/>
      </c>
      <c r="J500" s="19" t="str">
        <f aca="true">IF(F500="","",IF(TODAY()&lt;D500,"Başlamadı",IF(TODAY()&gt;F500,"Bitti",IF(F500-TODAY()&lt;=7,"Bitiyor","Aktif"))))</f>
        <v/>
      </c>
      <c r="K500" s="19" t="str">
        <f aca="false">IF(OR(J500="Aktif",J500="Bitiyor"),F500+ROW()/1000000,"")</f>
        <v/>
      </c>
    </row>
    <row r="501" customFormat="false" ht="15" hidden="false" customHeight="false" outlineLevel="0" collapsed="false">
      <c r="A501" s="12"/>
      <c r="B501" s="12"/>
      <c r="C501" s="13"/>
      <c r="D501" s="14"/>
      <c r="E501" s="15"/>
      <c r="F501" s="16" t="str">
        <f aca="false">IF(OR(C501="",D501=""),"",EDATE(D501,IFERROR(INDEX(Paketler!$B$5:$B$24,MATCH(C501,Paketler!$A$5:$A$24,0)),0))-1)</f>
        <v/>
      </c>
      <c r="G501" s="17" t="str">
        <f aca="false">IF(F501="","",IFERROR(INDEX(Paketler!$C$5:$C$24,MATCH(C501,Paketler!$A$5:$A$24,0)),0))</f>
        <v/>
      </c>
      <c r="H501" s="17" t="str">
        <f aca="false">IF(F501="","",G501-E501)</f>
        <v/>
      </c>
      <c r="I501" s="18" t="str">
        <f aca="true">IF(F501="","",F501-TODAY())</f>
        <v/>
      </c>
      <c r="J501" s="19" t="str">
        <f aca="true">IF(F501="","",IF(TODAY()&lt;D501,"Başlamadı",IF(TODAY()&gt;F501,"Bitti",IF(F501-TODAY()&lt;=7,"Bitiyor","Aktif"))))</f>
        <v/>
      </c>
      <c r="K501" s="19" t="str">
        <f aca="false">IF(OR(J501="Aktif",J501="Bitiyor"),F501+ROW()/1000000,"")</f>
        <v/>
      </c>
    </row>
    <row r="502" customFormat="false" ht="15" hidden="false" customHeight="false" outlineLevel="0" collapsed="false">
      <c r="A502" s="12"/>
      <c r="B502" s="12"/>
      <c r="C502" s="13"/>
      <c r="D502" s="14"/>
      <c r="E502" s="15"/>
      <c r="F502" s="16" t="str">
        <f aca="false">IF(OR(C502="",D502=""),"",EDATE(D502,IFERROR(INDEX(Paketler!$B$5:$B$24,MATCH(C502,Paketler!$A$5:$A$24,0)),0))-1)</f>
        <v/>
      </c>
      <c r="G502" s="17" t="str">
        <f aca="false">IF(F502="","",IFERROR(INDEX(Paketler!$C$5:$C$24,MATCH(C502,Paketler!$A$5:$A$24,0)),0))</f>
        <v/>
      </c>
      <c r="H502" s="17" t="str">
        <f aca="false">IF(F502="","",G502-E502)</f>
        <v/>
      </c>
      <c r="I502" s="18" t="str">
        <f aca="true">IF(F502="","",F502-TODAY())</f>
        <v/>
      </c>
      <c r="J502" s="19" t="str">
        <f aca="true">IF(F502="","",IF(TODAY()&lt;D502,"Başlamadı",IF(TODAY()&gt;F502,"Bitti",IF(F502-TODAY()&lt;=7,"Bitiyor","Aktif"))))</f>
        <v/>
      </c>
      <c r="K502" s="19" t="str">
        <f aca="false">IF(OR(J502="Aktif",J502="Bitiyor"),F502+ROW()/1000000,"")</f>
        <v/>
      </c>
    </row>
    <row r="503" customFormat="false" ht="15" hidden="false" customHeight="false" outlineLevel="0" collapsed="false">
      <c r="A503" s="12"/>
      <c r="B503" s="12"/>
      <c r="C503" s="13"/>
      <c r="D503" s="14"/>
      <c r="E503" s="15"/>
      <c r="F503" s="16" t="str">
        <f aca="false">IF(OR(C503="",D503=""),"",EDATE(D503,IFERROR(INDEX(Paketler!$B$5:$B$24,MATCH(C503,Paketler!$A$5:$A$24,0)),0))-1)</f>
        <v/>
      </c>
      <c r="G503" s="17" t="str">
        <f aca="false">IF(F503="","",IFERROR(INDEX(Paketler!$C$5:$C$24,MATCH(C503,Paketler!$A$5:$A$24,0)),0))</f>
        <v/>
      </c>
      <c r="H503" s="17" t="str">
        <f aca="false">IF(F503="","",G503-E503)</f>
        <v/>
      </c>
      <c r="I503" s="18" t="str">
        <f aca="true">IF(F503="","",F503-TODAY())</f>
        <v/>
      </c>
      <c r="J503" s="19" t="str">
        <f aca="true">IF(F503="","",IF(TODAY()&lt;D503,"Başlamadı",IF(TODAY()&gt;F503,"Bitti",IF(F503-TODAY()&lt;=7,"Bitiyor","Aktif"))))</f>
        <v/>
      </c>
      <c r="K503" s="19" t="str">
        <f aca="false">IF(OR(J503="Aktif",J503="Bitiyor"),F503+ROW()/1000000,"")</f>
        <v/>
      </c>
    </row>
    <row r="504" customFormat="false" ht="15" hidden="false" customHeight="false" outlineLevel="0" collapsed="false">
      <c r="A504" s="12"/>
      <c r="B504" s="12"/>
      <c r="C504" s="13"/>
      <c r="D504" s="14"/>
      <c r="E504" s="15"/>
      <c r="F504" s="16" t="str">
        <f aca="false">IF(OR(C504="",D504=""),"",EDATE(D504,IFERROR(INDEX(Paketler!$B$5:$B$24,MATCH(C504,Paketler!$A$5:$A$24,0)),0))-1)</f>
        <v/>
      </c>
      <c r="G504" s="17" t="str">
        <f aca="false">IF(F504="","",IFERROR(INDEX(Paketler!$C$5:$C$24,MATCH(C504,Paketler!$A$5:$A$24,0)),0))</f>
        <v/>
      </c>
      <c r="H504" s="17" t="str">
        <f aca="false">IF(F504="","",G504-E504)</f>
        <v/>
      </c>
      <c r="I504" s="18" t="str">
        <f aca="true">IF(F504="","",F504-TODAY())</f>
        <v/>
      </c>
      <c r="J504" s="19" t="str">
        <f aca="true">IF(F504="","",IF(TODAY()&lt;D504,"Başlamadı",IF(TODAY()&gt;F504,"Bitti",IF(F504-TODAY()&lt;=7,"Bitiyor","Aktif"))))</f>
        <v/>
      </c>
      <c r="K504" s="19" t="str">
        <f aca="false">IF(OR(J504="Aktif",J504="Bitiyor"),F504+ROW()/1000000,"")</f>
        <v/>
      </c>
    </row>
    <row r="505" customFormat="false" ht="15" hidden="false" customHeight="false" outlineLevel="0" collapsed="false">
      <c r="A505" s="12"/>
      <c r="B505" s="12"/>
      <c r="C505" s="13"/>
      <c r="D505" s="14"/>
      <c r="E505" s="15"/>
      <c r="F505" s="16" t="str">
        <f aca="false">IF(OR(C505="",D505=""),"",EDATE(D505,IFERROR(INDEX(Paketler!$B$5:$B$24,MATCH(C505,Paketler!$A$5:$A$24,0)),0))-1)</f>
        <v/>
      </c>
      <c r="G505" s="17" t="str">
        <f aca="false">IF(F505="","",IFERROR(INDEX(Paketler!$C$5:$C$24,MATCH(C505,Paketler!$A$5:$A$24,0)),0))</f>
        <v/>
      </c>
      <c r="H505" s="17" t="str">
        <f aca="false">IF(F505="","",G505-E505)</f>
        <v/>
      </c>
      <c r="I505" s="18" t="str">
        <f aca="true">IF(F505="","",F505-TODAY())</f>
        <v/>
      </c>
      <c r="J505" s="19" t="str">
        <f aca="true">IF(F505="","",IF(TODAY()&lt;D505,"Başlamadı",IF(TODAY()&gt;F505,"Bitti",IF(F505-TODAY()&lt;=7,"Bitiyor","Aktif"))))</f>
        <v/>
      </c>
      <c r="K505" s="19" t="str">
        <f aca="false">IF(OR(J505="Aktif",J505="Bitiyor"),F505+ROW()/1000000,"")</f>
        <v/>
      </c>
    </row>
    <row r="506" customFormat="false" ht="15" hidden="false" customHeight="false" outlineLevel="0" collapsed="false">
      <c r="A506" s="12"/>
      <c r="B506" s="12"/>
      <c r="C506" s="13"/>
      <c r="D506" s="14"/>
      <c r="E506" s="15"/>
      <c r="F506" s="16" t="str">
        <f aca="false">IF(OR(C506="",D506=""),"",EDATE(D506,IFERROR(INDEX(Paketler!$B$5:$B$24,MATCH(C506,Paketler!$A$5:$A$24,0)),0))-1)</f>
        <v/>
      </c>
      <c r="G506" s="17" t="str">
        <f aca="false">IF(F506="","",IFERROR(INDEX(Paketler!$C$5:$C$24,MATCH(C506,Paketler!$A$5:$A$24,0)),0))</f>
        <v/>
      </c>
      <c r="H506" s="17" t="str">
        <f aca="false">IF(F506="","",G506-E506)</f>
        <v/>
      </c>
      <c r="I506" s="18" t="str">
        <f aca="true">IF(F506="","",F506-TODAY())</f>
        <v/>
      </c>
      <c r="J506" s="19" t="str">
        <f aca="true">IF(F506="","",IF(TODAY()&lt;D506,"Başlamadı",IF(TODAY()&gt;F506,"Bitti",IF(F506-TODAY()&lt;=7,"Bitiyor","Aktif"))))</f>
        <v/>
      </c>
      <c r="K506" s="19" t="str">
        <f aca="false">IF(OR(J506="Aktif",J506="Bitiyor"),F506+ROW()/1000000,"")</f>
        <v/>
      </c>
    </row>
    <row r="507" customFormat="false" ht="15" hidden="false" customHeight="false" outlineLevel="0" collapsed="false">
      <c r="A507" s="12"/>
      <c r="B507" s="12"/>
      <c r="C507" s="13"/>
      <c r="D507" s="14"/>
      <c r="E507" s="15"/>
      <c r="F507" s="16" t="str">
        <f aca="false">IF(OR(C507="",D507=""),"",EDATE(D507,IFERROR(INDEX(Paketler!$B$5:$B$24,MATCH(C507,Paketler!$A$5:$A$24,0)),0))-1)</f>
        <v/>
      </c>
      <c r="G507" s="17" t="str">
        <f aca="false">IF(F507="","",IFERROR(INDEX(Paketler!$C$5:$C$24,MATCH(C507,Paketler!$A$5:$A$24,0)),0))</f>
        <v/>
      </c>
      <c r="H507" s="17" t="str">
        <f aca="false">IF(F507="","",G507-E507)</f>
        <v/>
      </c>
      <c r="I507" s="18" t="str">
        <f aca="true">IF(F507="","",F507-TODAY())</f>
        <v/>
      </c>
      <c r="J507" s="19" t="str">
        <f aca="true">IF(F507="","",IF(TODAY()&lt;D507,"Başlamadı",IF(TODAY()&gt;F507,"Bitti",IF(F507-TODAY()&lt;=7,"Bitiyor","Aktif"))))</f>
        <v/>
      </c>
      <c r="K507" s="19" t="str">
        <f aca="false">IF(OR(J507="Aktif",J507="Bitiyor"),F507+ROW()/1000000,"")</f>
        <v/>
      </c>
    </row>
    <row r="508" customFormat="false" ht="15" hidden="false" customHeight="false" outlineLevel="0" collapsed="false">
      <c r="A508" s="12"/>
      <c r="B508" s="12"/>
      <c r="C508" s="13"/>
      <c r="D508" s="14"/>
      <c r="E508" s="15"/>
      <c r="F508" s="16" t="str">
        <f aca="false">IF(OR(C508="",D508=""),"",EDATE(D508,IFERROR(INDEX(Paketler!$B$5:$B$24,MATCH(C508,Paketler!$A$5:$A$24,0)),0))-1)</f>
        <v/>
      </c>
      <c r="G508" s="17" t="str">
        <f aca="false">IF(F508="","",IFERROR(INDEX(Paketler!$C$5:$C$24,MATCH(C508,Paketler!$A$5:$A$24,0)),0))</f>
        <v/>
      </c>
      <c r="H508" s="17" t="str">
        <f aca="false">IF(F508="","",G508-E508)</f>
        <v/>
      </c>
      <c r="I508" s="18" t="str">
        <f aca="true">IF(F508="","",F508-TODAY())</f>
        <v/>
      </c>
      <c r="J508" s="19" t="str">
        <f aca="true">IF(F508="","",IF(TODAY()&lt;D508,"Başlamadı",IF(TODAY()&gt;F508,"Bitti",IF(F508-TODAY()&lt;=7,"Bitiyor","Aktif"))))</f>
        <v/>
      </c>
      <c r="K508" s="19" t="str">
        <f aca="false">IF(OR(J508="Aktif",J508="Bitiyor"),F508+ROW()/1000000,"")</f>
        <v/>
      </c>
    </row>
    <row r="509" customFormat="false" ht="15" hidden="false" customHeight="false" outlineLevel="0" collapsed="false">
      <c r="A509" s="12"/>
      <c r="B509" s="12"/>
      <c r="C509" s="13"/>
      <c r="D509" s="14"/>
      <c r="E509" s="15"/>
      <c r="F509" s="16" t="str">
        <f aca="false">IF(OR(C509="",D509=""),"",EDATE(D509,IFERROR(INDEX(Paketler!$B$5:$B$24,MATCH(C509,Paketler!$A$5:$A$24,0)),0))-1)</f>
        <v/>
      </c>
      <c r="G509" s="17" t="str">
        <f aca="false">IF(F509="","",IFERROR(INDEX(Paketler!$C$5:$C$24,MATCH(C509,Paketler!$A$5:$A$24,0)),0))</f>
        <v/>
      </c>
      <c r="H509" s="17" t="str">
        <f aca="false">IF(F509="","",G509-E509)</f>
        <v/>
      </c>
      <c r="I509" s="18" t="str">
        <f aca="true">IF(F509="","",F509-TODAY())</f>
        <v/>
      </c>
      <c r="J509" s="19" t="str">
        <f aca="true">IF(F509="","",IF(TODAY()&lt;D509,"Başlamadı",IF(TODAY()&gt;F509,"Bitti",IF(F509-TODAY()&lt;=7,"Bitiyor","Aktif"))))</f>
        <v/>
      </c>
      <c r="K509" s="19" t="str">
        <f aca="false">IF(OR(J509="Aktif",J509="Bitiyor"),F509+ROW()/1000000,"")</f>
        <v/>
      </c>
    </row>
    <row r="510" customFormat="false" ht="15" hidden="false" customHeight="false" outlineLevel="0" collapsed="false">
      <c r="A510" s="12"/>
      <c r="B510" s="12"/>
      <c r="C510" s="13"/>
      <c r="D510" s="14"/>
      <c r="E510" s="15"/>
      <c r="F510" s="16" t="str">
        <f aca="false">IF(OR(C510="",D510=""),"",EDATE(D510,IFERROR(INDEX(Paketler!$B$5:$B$24,MATCH(C510,Paketler!$A$5:$A$24,0)),0))-1)</f>
        <v/>
      </c>
      <c r="G510" s="17" t="str">
        <f aca="false">IF(F510="","",IFERROR(INDEX(Paketler!$C$5:$C$24,MATCH(C510,Paketler!$A$5:$A$24,0)),0))</f>
        <v/>
      </c>
      <c r="H510" s="17" t="str">
        <f aca="false">IF(F510="","",G510-E510)</f>
        <v/>
      </c>
      <c r="I510" s="18" t="str">
        <f aca="true">IF(F510="","",F510-TODAY())</f>
        <v/>
      </c>
      <c r="J510" s="19" t="str">
        <f aca="true">IF(F510="","",IF(TODAY()&lt;D510,"Başlamadı",IF(TODAY()&gt;F510,"Bitti",IF(F510-TODAY()&lt;=7,"Bitiyor","Aktif"))))</f>
        <v/>
      </c>
      <c r="K510" s="19" t="str">
        <f aca="false">IF(OR(J510="Aktif",J510="Bitiyor"),F510+ROW()/1000000,"")</f>
        <v/>
      </c>
    </row>
    <row r="511" customFormat="false" ht="15" hidden="false" customHeight="false" outlineLevel="0" collapsed="false">
      <c r="A511" s="12"/>
      <c r="B511" s="12"/>
      <c r="C511" s="13"/>
      <c r="D511" s="14"/>
      <c r="E511" s="15"/>
      <c r="F511" s="16" t="str">
        <f aca="false">IF(OR(C511="",D511=""),"",EDATE(D511,IFERROR(INDEX(Paketler!$B$5:$B$24,MATCH(C511,Paketler!$A$5:$A$24,0)),0))-1)</f>
        <v/>
      </c>
      <c r="G511" s="17" t="str">
        <f aca="false">IF(F511="","",IFERROR(INDEX(Paketler!$C$5:$C$24,MATCH(C511,Paketler!$A$5:$A$24,0)),0))</f>
        <v/>
      </c>
      <c r="H511" s="17" t="str">
        <f aca="false">IF(F511="","",G511-E511)</f>
        <v/>
      </c>
      <c r="I511" s="18" t="str">
        <f aca="true">IF(F511="","",F511-TODAY())</f>
        <v/>
      </c>
      <c r="J511" s="19" t="str">
        <f aca="true">IF(F511="","",IF(TODAY()&lt;D511,"Başlamadı",IF(TODAY()&gt;F511,"Bitti",IF(F511-TODAY()&lt;=7,"Bitiyor","Aktif"))))</f>
        <v/>
      </c>
      <c r="K511" s="19" t="str">
        <f aca="false">IF(OR(J511="Aktif",J511="Bitiyor"),F511+ROW()/1000000,"")</f>
        <v/>
      </c>
    </row>
    <row r="512" customFormat="false" ht="15" hidden="false" customHeight="false" outlineLevel="0" collapsed="false">
      <c r="A512" s="12"/>
      <c r="B512" s="12"/>
      <c r="C512" s="13"/>
      <c r="D512" s="14"/>
      <c r="E512" s="15"/>
      <c r="F512" s="16" t="str">
        <f aca="false">IF(OR(C512="",D512=""),"",EDATE(D512,IFERROR(INDEX(Paketler!$B$5:$B$24,MATCH(C512,Paketler!$A$5:$A$24,0)),0))-1)</f>
        <v/>
      </c>
      <c r="G512" s="17" t="str">
        <f aca="false">IF(F512="","",IFERROR(INDEX(Paketler!$C$5:$C$24,MATCH(C512,Paketler!$A$5:$A$24,0)),0))</f>
        <v/>
      </c>
      <c r="H512" s="17" t="str">
        <f aca="false">IF(F512="","",G512-E512)</f>
        <v/>
      </c>
      <c r="I512" s="18" t="str">
        <f aca="true">IF(F512="","",F512-TODAY())</f>
        <v/>
      </c>
      <c r="J512" s="19" t="str">
        <f aca="true">IF(F512="","",IF(TODAY()&lt;D512,"Başlamadı",IF(TODAY()&gt;F512,"Bitti",IF(F512-TODAY()&lt;=7,"Bitiyor","Aktif"))))</f>
        <v/>
      </c>
      <c r="K512" s="19" t="str">
        <f aca="false">IF(OR(J512="Aktif",J512="Bitiyor"),F512+ROW()/1000000,"")</f>
        <v/>
      </c>
    </row>
    <row r="513" customFormat="false" ht="15" hidden="false" customHeight="false" outlineLevel="0" collapsed="false">
      <c r="A513" s="12"/>
      <c r="B513" s="12"/>
      <c r="C513" s="13"/>
      <c r="D513" s="14"/>
      <c r="E513" s="15"/>
      <c r="F513" s="16" t="str">
        <f aca="false">IF(OR(C513="",D513=""),"",EDATE(D513,IFERROR(INDEX(Paketler!$B$5:$B$24,MATCH(C513,Paketler!$A$5:$A$24,0)),0))-1)</f>
        <v/>
      </c>
      <c r="G513" s="17" t="str">
        <f aca="false">IF(F513="","",IFERROR(INDEX(Paketler!$C$5:$C$24,MATCH(C513,Paketler!$A$5:$A$24,0)),0))</f>
        <v/>
      </c>
      <c r="H513" s="17" t="str">
        <f aca="false">IF(F513="","",G513-E513)</f>
        <v/>
      </c>
      <c r="I513" s="18" t="str">
        <f aca="true">IF(F513="","",F513-TODAY())</f>
        <v/>
      </c>
      <c r="J513" s="19" t="str">
        <f aca="true">IF(F513="","",IF(TODAY()&lt;D513,"Başlamadı",IF(TODAY()&gt;F513,"Bitti",IF(F513-TODAY()&lt;=7,"Bitiyor","Aktif"))))</f>
        <v/>
      </c>
      <c r="K513" s="19" t="str">
        <f aca="false">IF(OR(J513="Aktif",J513="Bitiyor"),F513+ROW()/1000000,"")</f>
        <v/>
      </c>
    </row>
    <row r="514" customFormat="false" ht="15" hidden="false" customHeight="false" outlineLevel="0" collapsed="false">
      <c r="A514" s="12"/>
      <c r="B514" s="12"/>
      <c r="C514" s="13"/>
      <c r="D514" s="14"/>
      <c r="E514" s="15"/>
      <c r="F514" s="16" t="str">
        <f aca="false">IF(OR(C514="",D514=""),"",EDATE(D514,IFERROR(INDEX(Paketler!$B$5:$B$24,MATCH(C514,Paketler!$A$5:$A$24,0)),0))-1)</f>
        <v/>
      </c>
      <c r="G514" s="17" t="str">
        <f aca="false">IF(F514="","",IFERROR(INDEX(Paketler!$C$5:$C$24,MATCH(C514,Paketler!$A$5:$A$24,0)),0))</f>
        <v/>
      </c>
      <c r="H514" s="17" t="str">
        <f aca="false">IF(F514="","",G514-E514)</f>
        <v/>
      </c>
      <c r="I514" s="18" t="str">
        <f aca="true">IF(F514="","",F514-TODAY())</f>
        <v/>
      </c>
      <c r="J514" s="19" t="str">
        <f aca="true">IF(F514="","",IF(TODAY()&lt;D514,"Başlamadı",IF(TODAY()&gt;F514,"Bitti",IF(F514-TODAY()&lt;=7,"Bitiyor","Aktif"))))</f>
        <v/>
      </c>
      <c r="K514" s="19" t="str">
        <f aca="false">IF(OR(J514="Aktif",J514="Bitiyor"),F514+ROW()/1000000,"")</f>
        <v/>
      </c>
    </row>
    <row r="515" customFormat="false" ht="15" hidden="false" customHeight="false" outlineLevel="0" collapsed="false">
      <c r="A515" s="12"/>
      <c r="B515" s="12"/>
      <c r="C515" s="13"/>
      <c r="D515" s="14"/>
      <c r="E515" s="15"/>
      <c r="F515" s="16" t="str">
        <f aca="false">IF(OR(C515="",D515=""),"",EDATE(D515,IFERROR(INDEX(Paketler!$B$5:$B$24,MATCH(C515,Paketler!$A$5:$A$24,0)),0))-1)</f>
        <v/>
      </c>
      <c r="G515" s="17" t="str">
        <f aca="false">IF(F515="","",IFERROR(INDEX(Paketler!$C$5:$C$24,MATCH(C515,Paketler!$A$5:$A$24,0)),0))</f>
        <v/>
      </c>
      <c r="H515" s="17" t="str">
        <f aca="false">IF(F515="","",G515-E515)</f>
        <v/>
      </c>
      <c r="I515" s="18" t="str">
        <f aca="true">IF(F515="","",F515-TODAY())</f>
        <v/>
      </c>
      <c r="J515" s="19" t="str">
        <f aca="true">IF(F515="","",IF(TODAY()&lt;D515,"Başlamadı",IF(TODAY()&gt;F515,"Bitti",IF(F515-TODAY()&lt;=7,"Bitiyor","Aktif"))))</f>
        <v/>
      </c>
      <c r="K515" s="19" t="str">
        <f aca="false">IF(OR(J515="Aktif",J515="Bitiyor"),F515+ROW()/1000000,"")</f>
        <v/>
      </c>
    </row>
    <row r="516" customFormat="false" ht="15" hidden="false" customHeight="false" outlineLevel="0" collapsed="false">
      <c r="A516" s="12"/>
      <c r="B516" s="12"/>
      <c r="C516" s="13"/>
      <c r="D516" s="14"/>
      <c r="E516" s="15"/>
      <c r="F516" s="16" t="str">
        <f aca="false">IF(OR(C516="",D516=""),"",EDATE(D516,IFERROR(INDEX(Paketler!$B$5:$B$24,MATCH(C516,Paketler!$A$5:$A$24,0)),0))-1)</f>
        <v/>
      </c>
      <c r="G516" s="17" t="str">
        <f aca="false">IF(F516="","",IFERROR(INDEX(Paketler!$C$5:$C$24,MATCH(C516,Paketler!$A$5:$A$24,0)),0))</f>
        <v/>
      </c>
      <c r="H516" s="17" t="str">
        <f aca="false">IF(F516="","",G516-E516)</f>
        <v/>
      </c>
      <c r="I516" s="18" t="str">
        <f aca="true">IF(F516="","",F516-TODAY())</f>
        <v/>
      </c>
      <c r="J516" s="19" t="str">
        <f aca="true">IF(F516="","",IF(TODAY()&lt;D516,"Başlamadı",IF(TODAY()&gt;F516,"Bitti",IF(F516-TODAY()&lt;=7,"Bitiyor","Aktif"))))</f>
        <v/>
      </c>
      <c r="K516" s="19" t="str">
        <f aca="false">IF(OR(J516="Aktif",J516="Bitiyor"),F516+ROW()/1000000,"")</f>
        <v/>
      </c>
    </row>
    <row r="517" customFormat="false" ht="15" hidden="false" customHeight="false" outlineLevel="0" collapsed="false">
      <c r="A517" s="12"/>
      <c r="B517" s="12"/>
      <c r="C517" s="13"/>
      <c r="D517" s="14"/>
      <c r="E517" s="15"/>
      <c r="F517" s="16" t="str">
        <f aca="false">IF(OR(C517="",D517=""),"",EDATE(D517,IFERROR(INDEX(Paketler!$B$5:$B$24,MATCH(C517,Paketler!$A$5:$A$24,0)),0))-1)</f>
        <v/>
      </c>
      <c r="G517" s="17" t="str">
        <f aca="false">IF(F517="","",IFERROR(INDEX(Paketler!$C$5:$C$24,MATCH(C517,Paketler!$A$5:$A$24,0)),0))</f>
        <v/>
      </c>
      <c r="H517" s="17" t="str">
        <f aca="false">IF(F517="","",G517-E517)</f>
        <v/>
      </c>
      <c r="I517" s="18" t="str">
        <f aca="true">IF(F517="","",F517-TODAY())</f>
        <v/>
      </c>
      <c r="J517" s="19" t="str">
        <f aca="true">IF(F517="","",IF(TODAY()&lt;D517,"Başlamadı",IF(TODAY()&gt;F517,"Bitti",IF(F517-TODAY()&lt;=7,"Bitiyor","Aktif"))))</f>
        <v/>
      </c>
      <c r="K517" s="19" t="str">
        <f aca="false">IF(OR(J517="Aktif",J517="Bitiyor"),F517+ROW()/1000000,"")</f>
        <v/>
      </c>
    </row>
    <row r="518" customFormat="false" ht="15" hidden="false" customHeight="false" outlineLevel="0" collapsed="false">
      <c r="A518" s="12"/>
      <c r="B518" s="12"/>
      <c r="C518" s="13"/>
      <c r="D518" s="14"/>
      <c r="E518" s="15"/>
      <c r="F518" s="16" t="str">
        <f aca="false">IF(OR(C518="",D518=""),"",EDATE(D518,IFERROR(INDEX(Paketler!$B$5:$B$24,MATCH(C518,Paketler!$A$5:$A$24,0)),0))-1)</f>
        <v/>
      </c>
      <c r="G518" s="17" t="str">
        <f aca="false">IF(F518="","",IFERROR(INDEX(Paketler!$C$5:$C$24,MATCH(C518,Paketler!$A$5:$A$24,0)),0))</f>
        <v/>
      </c>
      <c r="H518" s="17" t="str">
        <f aca="false">IF(F518="","",G518-E518)</f>
        <v/>
      </c>
      <c r="I518" s="18" t="str">
        <f aca="true">IF(F518="","",F518-TODAY())</f>
        <v/>
      </c>
      <c r="J518" s="19" t="str">
        <f aca="true">IF(F518="","",IF(TODAY()&lt;D518,"Başlamadı",IF(TODAY()&gt;F518,"Bitti",IF(F518-TODAY()&lt;=7,"Bitiyor","Aktif"))))</f>
        <v/>
      </c>
      <c r="K518" s="19" t="str">
        <f aca="false">IF(OR(J518="Aktif",J518="Bitiyor"),F518+ROW()/1000000,"")</f>
        <v/>
      </c>
    </row>
    <row r="519" customFormat="false" ht="15" hidden="false" customHeight="false" outlineLevel="0" collapsed="false">
      <c r="A519" s="12"/>
      <c r="B519" s="12"/>
      <c r="C519" s="13"/>
      <c r="D519" s="14"/>
      <c r="E519" s="15"/>
      <c r="F519" s="16" t="str">
        <f aca="false">IF(OR(C519="",D519=""),"",EDATE(D519,IFERROR(INDEX(Paketler!$B$5:$B$24,MATCH(C519,Paketler!$A$5:$A$24,0)),0))-1)</f>
        <v/>
      </c>
      <c r="G519" s="17" t="str">
        <f aca="false">IF(F519="","",IFERROR(INDEX(Paketler!$C$5:$C$24,MATCH(C519,Paketler!$A$5:$A$24,0)),0))</f>
        <v/>
      </c>
      <c r="H519" s="17" t="str">
        <f aca="false">IF(F519="","",G519-E519)</f>
        <v/>
      </c>
      <c r="I519" s="18" t="str">
        <f aca="true">IF(F519="","",F519-TODAY())</f>
        <v/>
      </c>
      <c r="J519" s="19" t="str">
        <f aca="true">IF(F519="","",IF(TODAY()&lt;D519,"Başlamadı",IF(TODAY()&gt;F519,"Bitti",IF(F519-TODAY()&lt;=7,"Bitiyor","Aktif"))))</f>
        <v/>
      </c>
      <c r="K519" s="19" t="str">
        <f aca="false">IF(OR(J519="Aktif",J519="Bitiyor"),F519+ROW()/1000000,"")</f>
        <v/>
      </c>
    </row>
    <row r="520" customFormat="false" ht="15" hidden="false" customHeight="false" outlineLevel="0" collapsed="false">
      <c r="A520" s="12"/>
      <c r="B520" s="12"/>
      <c r="C520" s="13"/>
      <c r="D520" s="14"/>
      <c r="E520" s="15"/>
      <c r="F520" s="16" t="str">
        <f aca="false">IF(OR(C520="",D520=""),"",EDATE(D520,IFERROR(INDEX(Paketler!$B$5:$B$24,MATCH(C520,Paketler!$A$5:$A$24,0)),0))-1)</f>
        <v/>
      </c>
      <c r="G520" s="17" t="str">
        <f aca="false">IF(F520="","",IFERROR(INDEX(Paketler!$C$5:$C$24,MATCH(C520,Paketler!$A$5:$A$24,0)),0))</f>
        <v/>
      </c>
      <c r="H520" s="17" t="str">
        <f aca="false">IF(F520="","",G520-E520)</f>
        <v/>
      </c>
      <c r="I520" s="18" t="str">
        <f aca="true">IF(F520="","",F520-TODAY())</f>
        <v/>
      </c>
      <c r="J520" s="19" t="str">
        <f aca="true">IF(F520="","",IF(TODAY()&lt;D520,"Başlamadı",IF(TODAY()&gt;F520,"Bitti",IF(F520-TODAY()&lt;=7,"Bitiyor","Aktif"))))</f>
        <v/>
      </c>
      <c r="K520" s="19" t="str">
        <f aca="false">IF(OR(J520="Aktif",J520="Bitiyor"),F520+ROW()/1000000,"")</f>
        <v/>
      </c>
    </row>
    <row r="521" customFormat="false" ht="15" hidden="false" customHeight="false" outlineLevel="0" collapsed="false">
      <c r="A521" s="12"/>
      <c r="B521" s="12"/>
      <c r="C521" s="13"/>
      <c r="D521" s="14"/>
      <c r="E521" s="15"/>
      <c r="F521" s="16" t="str">
        <f aca="false">IF(OR(C521="",D521=""),"",EDATE(D521,IFERROR(INDEX(Paketler!$B$5:$B$24,MATCH(C521,Paketler!$A$5:$A$24,0)),0))-1)</f>
        <v/>
      </c>
      <c r="G521" s="17" t="str">
        <f aca="false">IF(F521="","",IFERROR(INDEX(Paketler!$C$5:$C$24,MATCH(C521,Paketler!$A$5:$A$24,0)),0))</f>
        <v/>
      </c>
      <c r="H521" s="17" t="str">
        <f aca="false">IF(F521="","",G521-E521)</f>
        <v/>
      </c>
      <c r="I521" s="18" t="str">
        <f aca="true">IF(F521="","",F521-TODAY())</f>
        <v/>
      </c>
      <c r="J521" s="19" t="str">
        <f aca="true">IF(F521="","",IF(TODAY()&lt;D521,"Başlamadı",IF(TODAY()&gt;F521,"Bitti",IF(F521-TODAY()&lt;=7,"Bitiyor","Aktif"))))</f>
        <v/>
      </c>
      <c r="K521" s="19" t="str">
        <f aca="false">IF(OR(J521="Aktif",J521="Bitiyor"),F521+ROW()/1000000,"")</f>
        <v/>
      </c>
    </row>
    <row r="522" customFormat="false" ht="15" hidden="false" customHeight="false" outlineLevel="0" collapsed="false">
      <c r="A522" s="12"/>
      <c r="B522" s="12"/>
      <c r="C522" s="13"/>
      <c r="D522" s="14"/>
      <c r="E522" s="15"/>
      <c r="F522" s="16" t="str">
        <f aca="false">IF(OR(C522="",D522=""),"",EDATE(D522,IFERROR(INDEX(Paketler!$B$5:$B$24,MATCH(C522,Paketler!$A$5:$A$24,0)),0))-1)</f>
        <v/>
      </c>
      <c r="G522" s="17" t="str">
        <f aca="false">IF(F522="","",IFERROR(INDEX(Paketler!$C$5:$C$24,MATCH(C522,Paketler!$A$5:$A$24,0)),0))</f>
        <v/>
      </c>
      <c r="H522" s="17" t="str">
        <f aca="false">IF(F522="","",G522-E522)</f>
        <v/>
      </c>
      <c r="I522" s="18" t="str">
        <f aca="true">IF(F522="","",F522-TODAY())</f>
        <v/>
      </c>
      <c r="J522" s="19" t="str">
        <f aca="true">IF(F522="","",IF(TODAY()&lt;D522,"Başlamadı",IF(TODAY()&gt;F522,"Bitti",IF(F522-TODAY()&lt;=7,"Bitiyor","Aktif"))))</f>
        <v/>
      </c>
      <c r="K522" s="19" t="str">
        <f aca="false">IF(OR(J522="Aktif",J522="Bitiyor"),F522+ROW()/1000000,"")</f>
        <v/>
      </c>
    </row>
    <row r="523" customFormat="false" ht="15" hidden="false" customHeight="false" outlineLevel="0" collapsed="false">
      <c r="A523" s="12"/>
      <c r="B523" s="12"/>
      <c r="C523" s="13"/>
      <c r="D523" s="14"/>
      <c r="E523" s="15"/>
      <c r="F523" s="16" t="str">
        <f aca="false">IF(OR(C523="",D523=""),"",EDATE(D523,IFERROR(INDEX(Paketler!$B$5:$B$24,MATCH(C523,Paketler!$A$5:$A$24,0)),0))-1)</f>
        <v/>
      </c>
      <c r="G523" s="17" t="str">
        <f aca="false">IF(F523="","",IFERROR(INDEX(Paketler!$C$5:$C$24,MATCH(C523,Paketler!$A$5:$A$24,0)),0))</f>
        <v/>
      </c>
      <c r="H523" s="17" t="str">
        <f aca="false">IF(F523="","",G523-E523)</f>
        <v/>
      </c>
      <c r="I523" s="18" t="str">
        <f aca="true">IF(F523="","",F523-TODAY())</f>
        <v/>
      </c>
      <c r="J523" s="19" t="str">
        <f aca="true">IF(F523="","",IF(TODAY()&lt;D523,"Başlamadı",IF(TODAY()&gt;F523,"Bitti",IF(F523-TODAY()&lt;=7,"Bitiyor","Aktif"))))</f>
        <v/>
      </c>
      <c r="K523" s="19" t="str">
        <f aca="false">IF(OR(J523="Aktif",J523="Bitiyor"),F523+ROW()/1000000,"")</f>
        <v/>
      </c>
    </row>
    <row r="524" customFormat="false" ht="15" hidden="false" customHeight="false" outlineLevel="0" collapsed="false">
      <c r="A524" s="12"/>
      <c r="B524" s="12"/>
      <c r="C524" s="13"/>
      <c r="D524" s="14"/>
      <c r="E524" s="15"/>
      <c r="F524" s="16" t="str">
        <f aca="false">IF(OR(C524="",D524=""),"",EDATE(D524,IFERROR(INDEX(Paketler!$B$5:$B$24,MATCH(C524,Paketler!$A$5:$A$24,0)),0))-1)</f>
        <v/>
      </c>
      <c r="G524" s="17" t="str">
        <f aca="false">IF(F524="","",IFERROR(INDEX(Paketler!$C$5:$C$24,MATCH(C524,Paketler!$A$5:$A$24,0)),0))</f>
        <v/>
      </c>
      <c r="H524" s="17" t="str">
        <f aca="false">IF(F524="","",G524-E524)</f>
        <v/>
      </c>
      <c r="I524" s="18" t="str">
        <f aca="true">IF(F524="","",F524-TODAY())</f>
        <v/>
      </c>
      <c r="J524" s="19" t="str">
        <f aca="true">IF(F524="","",IF(TODAY()&lt;D524,"Başlamadı",IF(TODAY()&gt;F524,"Bitti",IF(F524-TODAY()&lt;=7,"Bitiyor","Aktif"))))</f>
        <v/>
      </c>
      <c r="K524" s="19" t="str">
        <f aca="false">IF(OR(J524="Aktif",J524="Bitiyor"),F524+ROW()/1000000,"")</f>
        <v/>
      </c>
    </row>
    <row r="525" customFormat="false" ht="15" hidden="false" customHeight="false" outlineLevel="0" collapsed="false">
      <c r="A525" s="12"/>
      <c r="B525" s="12"/>
      <c r="C525" s="13"/>
      <c r="D525" s="14"/>
      <c r="E525" s="15"/>
      <c r="F525" s="16" t="str">
        <f aca="false">IF(OR(C525="",D525=""),"",EDATE(D525,IFERROR(INDEX(Paketler!$B$5:$B$24,MATCH(C525,Paketler!$A$5:$A$24,0)),0))-1)</f>
        <v/>
      </c>
      <c r="G525" s="17" t="str">
        <f aca="false">IF(F525="","",IFERROR(INDEX(Paketler!$C$5:$C$24,MATCH(C525,Paketler!$A$5:$A$24,0)),0))</f>
        <v/>
      </c>
      <c r="H525" s="17" t="str">
        <f aca="false">IF(F525="","",G525-E525)</f>
        <v/>
      </c>
      <c r="I525" s="18" t="str">
        <f aca="true">IF(F525="","",F525-TODAY())</f>
        <v/>
      </c>
      <c r="J525" s="19" t="str">
        <f aca="true">IF(F525="","",IF(TODAY()&lt;D525,"Başlamadı",IF(TODAY()&gt;F525,"Bitti",IF(F525-TODAY()&lt;=7,"Bitiyor","Aktif"))))</f>
        <v/>
      </c>
      <c r="K525" s="19" t="str">
        <f aca="false">IF(OR(J525="Aktif",J525="Bitiyor"),F525+ROW()/1000000,"")</f>
        <v/>
      </c>
    </row>
    <row r="526" customFormat="false" ht="15" hidden="false" customHeight="false" outlineLevel="0" collapsed="false">
      <c r="A526" s="12"/>
      <c r="B526" s="12"/>
      <c r="C526" s="13"/>
      <c r="D526" s="14"/>
      <c r="E526" s="15"/>
      <c r="F526" s="16" t="str">
        <f aca="false">IF(OR(C526="",D526=""),"",EDATE(D526,IFERROR(INDEX(Paketler!$B$5:$B$24,MATCH(C526,Paketler!$A$5:$A$24,0)),0))-1)</f>
        <v/>
      </c>
      <c r="G526" s="17" t="str">
        <f aca="false">IF(F526="","",IFERROR(INDEX(Paketler!$C$5:$C$24,MATCH(C526,Paketler!$A$5:$A$24,0)),0))</f>
        <v/>
      </c>
      <c r="H526" s="17" t="str">
        <f aca="false">IF(F526="","",G526-E526)</f>
        <v/>
      </c>
      <c r="I526" s="18" t="str">
        <f aca="true">IF(F526="","",F526-TODAY())</f>
        <v/>
      </c>
      <c r="J526" s="19" t="str">
        <f aca="true">IF(F526="","",IF(TODAY()&lt;D526,"Başlamadı",IF(TODAY()&gt;F526,"Bitti",IF(F526-TODAY()&lt;=7,"Bitiyor","Aktif"))))</f>
        <v/>
      </c>
      <c r="K526" s="19" t="str">
        <f aca="false">IF(OR(J526="Aktif",J526="Bitiyor"),F526+ROW()/1000000,"")</f>
        <v/>
      </c>
    </row>
    <row r="527" customFormat="false" ht="15" hidden="false" customHeight="false" outlineLevel="0" collapsed="false">
      <c r="A527" s="12"/>
      <c r="B527" s="12"/>
      <c r="C527" s="13"/>
      <c r="D527" s="14"/>
      <c r="E527" s="15"/>
      <c r="F527" s="16" t="str">
        <f aca="false">IF(OR(C527="",D527=""),"",EDATE(D527,IFERROR(INDEX(Paketler!$B$5:$B$24,MATCH(C527,Paketler!$A$5:$A$24,0)),0))-1)</f>
        <v/>
      </c>
      <c r="G527" s="17" t="str">
        <f aca="false">IF(F527="","",IFERROR(INDEX(Paketler!$C$5:$C$24,MATCH(C527,Paketler!$A$5:$A$24,0)),0))</f>
        <v/>
      </c>
      <c r="H527" s="17" t="str">
        <f aca="false">IF(F527="","",G527-E527)</f>
        <v/>
      </c>
      <c r="I527" s="18" t="str">
        <f aca="true">IF(F527="","",F527-TODAY())</f>
        <v/>
      </c>
      <c r="J527" s="19" t="str">
        <f aca="true">IF(F527="","",IF(TODAY()&lt;D527,"Başlamadı",IF(TODAY()&gt;F527,"Bitti",IF(F527-TODAY()&lt;=7,"Bitiyor","Aktif"))))</f>
        <v/>
      </c>
      <c r="K527" s="19" t="str">
        <f aca="false">IF(OR(J527="Aktif",J527="Bitiyor"),F527+ROW()/1000000,"")</f>
        <v/>
      </c>
    </row>
    <row r="528" customFormat="false" ht="15" hidden="false" customHeight="false" outlineLevel="0" collapsed="false">
      <c r="A528" s="12"/>
      <c r="B528" s="12"/>
      <c r="C528" s="13"/>
      <c r="D528" s="14"/>
      <c r="E528" s="15"/>
      <c r="F528" s="16" t="str">
        <f aca="false">IF(OR(C528="",D528=""),"",EDATE(D528,IFERROR(INDEX(Paketler!$B$5:$B$24,MATCH(C528,Paketler!$A$5:$A$24,0)),0))-1)</f>
        <v/>
      </c>
      <c r="G528" s="17" t="str">
        <f aca="false">IF(F528="","",IFERROR(INDEX(Paketler!$C$5:$C$24,MATCH(C528,Paketler!$A$5:$A$24,0)),0))</f>
        <v/>
      </c>
      <c r="H528" s="17" t="str">
        <f aca="false">IF(F528="","",G528-E528)</f>
        <v/>
      </c>
      <c r="I528" s="18" t="str">
        <f aca="true">IF(F528="","",F528-TODAY())</f>
        <v/>
      </c>
      <c r="J528" s="19" t="str">
        <f aca="true">IF(F528="","",IF(TODAY()&lt;D528,"Başlamadı",IF(TODAY()&gt;F528,"Bitti",IF(F528-TODAY()&lt;=7,"Bitiyor","Aktif"))))</f>
        <v/>
      </c>
      <c r="K528" s="19" t="str">
        <f aca="false">IF(OR(J528="Aktif",J528="Bitiyor"),F528+ROW()/1000000,"")</f>
        <v/>
      </c>
    </row>
    <row r="529" customFormat="false" ht="15" hidden="false" customHeight="false" outlineLevel="0" collapsed="false">
      <c r="A529" s="12"/>
      <c r="B529" s="12"/>
      <c r="C529" s="13"/>
      <c r="D529" s="14"/>
      <c r="E529" s="15"/>
      <c r="F529" s="16" t="str">
        <f aca="false">IF(OR(C529="",D529=""),"",EDATE(D529,IFERROR(INDEX(Paketler!$B$5:$B$24,MATCH(C529,Paketler!$A$5:$A$24,0)),0))-1)</f>
        <v/>
      </c>
      <c r="G529" s="17" t="str">
        <f aca="false">IF(F529="","",IFERROR(INDEX(Paketler!$C$5:$C$24,MATCH(C529,Paketler!$A$5:$A$24,0)),0))</f>
        <v/>
      </c>
      <c r="H529" s="17" t="str">
        <f aca="false">IF(F529="","",G529-E529)</f>
        <v/>
      </c>
      <c r="I529" s="18" t="str">
        <f aca="true">IF(F529="","",F529-TODAY())</f>
        <v/>
      </c>
      <c r="J529" s="19" t="str">
        <f aca="true">IF(F529="","",IF(TODAY()&lt;D529,"Başlamadı",IF(TODAY()&gt;F529,"Bitti",IF(F529-TODAY()&lt;=7,"Bitiyor","Aktif"))))</f>
        <v/>
      </c>
      <c r="K529" s="19" t="str">
        <f aca="false">IF(OR(J529="Aktif",J529="Bitiyor"),F529+ROW()/1000000,"")</f>
        <v/>
      </c>
    </row>
    <row r="530" customFormat="false" ht="15" hidden="false" customHeight="false" outlineLevel="0" collapsed="false">
      <c r="A530" s="12"/>
      <c r="B530" s="12"/>
      <c r="C530" s="13"/>
      <c r="D530" s="14"/>
      <c r="E530" s="15"/>
      <c r="F530" s="16" t="str">
        <f aca="false">IF(OR(C530="",D530=""),"",EDATE(D530,IFERROR(INDEX(Paketler!$B$5:$B$24,MATCH(C530,Paketler!$A$5:$A$24,0)),0))-1)</f>
        <v/>
      </c>
      <c r="G530" s="17" t="str">
        <f aca="false">IF(F530="","",IFERROR(INDEX(Paketler!$C$5:$C$24,MATCH(C530,Paketler!$A$5:$A$24,0)),0))</f>
        <v/>
      </c>
      <c r="H530" s="17" t="str">
        <f aca="false">IF(F530="","",G530-E530)</f>
        <v/>
      </c>
      <c r="I530" s="18" t="str">
        <f aca="true">IF(F530="","",F530-TODAY())</f>
        <v/>
      </c>
      <c r="J530" s="19" t="str">
        <f aca="true">IF(F530="","",IF(TODAY()&lt;D530,"Başlamadı",IF(TODAY()&gt;F530,"Bitti",IF(F530-TODAY()&lt;=7,"Bitiyor","Aktif"))))</f>
        <v/>
      </c>
      <c r="K530" s="19" t="str">
        <f aca="false">IF(OR(J530="Aktif",J530="Bitiyor"),F530+ROW()/1000000,"")</f>
        <v/>
      </c>
    </row>
    <row r="531" customFormat="false" ht="15" hidden="false" customHeight="false" outlineLevel="0" collapsed="false">
      <c r="A531" s="12"/>
      <c r="B531" s="12"/>
      <c r="C531" s="13"/>
      <c r="D531" s="14"/>
      <c r="E531" s="15"/>
      <c r="F531" s="16" t="str">
        <f aca="false">IF(OR(C531="",D531=""),"",EDATE(D531,IFERROR(INDEX(Paketler!$B$5:$B$24,MATCH(C531,Paketler!$A$5:$A$24,0)),0))-1)</f>
        <v/>
      </c>
      <c r="G531" s="17" t="str">
        <f aca="false">IF(F531="","",IFERROR(INDEX(Paketler!$C$5:$C$24,MATCH(C531,Paketler!$A$5:$A$24,0)),0))</f>
        <v/>
      </c>
      <c r="H531" s="17" t="str">
        <f aca="false">IF(F531="","",G531-E531)</f>
        <v/>
      </c>
      <c r="I531" s="18" t="str">
        <f aca="true">IF(F531="","",F531-TODAY())</f>
        <v/>
      </c>
      <c r="J531" s="19" t="str">
        <f aca="true">IF(F531="","",IF(TODAY()&lt;D531,"Başlamadı",IF(TODAY()&gt;F531,"Bitti",IF(F531-TODAY()&lt;=7,"Bitiyor","Aktif"))))</f>
        <v/>
      </c>
      <c r="K531" s="19" t="str">
        <f aca="false">IF(OR(J531="Aktif",J531="Bitiyor"),F531+ROW()/1000000,"")</f>
        <v/>
      </c>
    </row>
    <row r="532" customFormat="false" ht="15" hidden="false" customHeight="false" outlineLevel="0" collapsed="false">
      <c r="A532" s="12"/>
      <c r="B532" s="12"/>
      <c r="C532" s="13"/>
      <c r="D532" s="14"/>
      <c r="E532" s="15"/>
      <c r="F532" s="16" t="str">
        <f aca="false">IF(OR(C532="",D532=""),"",EDATE(D532,IFERROR(INDEX(Paketler!$B$5:$B$24,MATCH(C532,Paketler!$A$5:$A$24,0)),0))-1)</f>
        <v/>
      </c>
      <c r="G532" s="17" t="str">
        <f aca="false">IF(F532="","",IFERROR(INDEX(Paketler!$C$5:$C$24,MATCH(C532,Paketler!$A$5:$A$24,0)),0))</f>
        <v/>
      </c>
      <c r="H532" s="17" t="str">
        <f aca="false">IF(F532="","",G532-E532)</f>
        <v/>
      </c>
      <c r="I532" s="18" t="str">
        <f aca="true">IF(F532="","",F532-TODAY())</f>
        <v/>
      </c>
      <c r="J532" s="19" t="str">
        <f aca="true">IF(F532="","",IF(TODAY()&lt;D532,"Başlamadı",IF(TODAY()&gt;F532,"Bitti",IF(F532-TODAY()&lt;=7,"Bitiyor","Aktif"))))</f>
        <v/>
      </c>
      <c r="K532" s="19" t="str">
        <f aca="false">IF(OR(J532="Aktif",J532="Bitiyor"),F532+ROW()/1000000,"")</f>
        <v/>
      </c>
    </row>
    <row r="533" customFormat="false" ht="15" hidden="false" customHeight="false" outlineLevel="0" collapsed="false">
      <c r="A533" s="12"/>
      <c r="B533" s="12"/>
      <c r="C533" s="13"/>
      <c r="D533" s="14"/>
      <c r="E533" s="15"/>
      <c r="F533" s="16" t="str">
        <f aca="false">IF(OR(C533="",D533=""),"",EDATE(D533,IFERROR(INDEX(Paketler!$B$5:$B$24,MATCH(C533,Paketler!$A$5:$A$24,0)),0))-1)</f>
        <v/>
      </c>
      <c r="G533" s="17" t="str">
        <f aca="false">IF(F533="","",IFERROR(INDEX(Paketler!$C$5:$C$24,MATCH(C533,Paketler!$A$5:$A$24,0)),0))</f>
        <v/>
      </c>
      <c r="H533" s="17" t="str">
        <f aca="false">IF(F533="","",G533-E533)</f>
        <v/>
      </c>
      <c r="I533" s="18" t="str">
        <f aca="true">IF(F533="","",F533-TODAY())</f>
        <v/>
      </c>
      <c r="J533" s="19" t="str">
        <f aca="true">IF(F533="","",IF(TODAY()&lt;D533,"Başlamadı",IF(TODAY()&gt;F533,"Bitti",IF(F533-TODAY()&lt;=7,"Bitiyor","Aktif"))))</f>
        <v/>
      </c>
      <c r="K533" s="19" t="str">
        <f aca="false">IF(OR(J533="Aktif",J533="Bitiyor"),F533+ROW()/1000000,"")</f>
        <v/>
      </c>
    </row>
    <row r="534" customFormat="false" ht="15" hidden="false" customHeight="false" outlineLevel="0" collapsed="false">
      <c r="A534" s="12"/>
      <c r="B534" s="12"/>
      <c r="C534" s="13"/>
      <c r="D534" s="14"/>
      <c r="E534" s="15"/>
      <c r="F534" s="16" t="str">
        <f aca="false">IF(OR(C534="",D534=""),"",EDATE(D534,IFERROR(INDEX(Paketler!$B$5:$B$24,MATCH(C534,Paketler!$A$5:$A$24,0)),0))-1)</f>
        <v/>
      </c>
      <c r="G534" s="17" t="str">
        <f aca="false">IF(F534="","",IFERROR(INDEX(Paketler!$C$5:$C$24,MATCH(C534,Paketler!$A$5:$A$24,0)),0))</f>
        <v/>
      </c>
      <c r="H534" s="17" t="str">
        <f aca="false">IF(F534="","",G534-E534)</f>
        <v/>
      </c>
      <c r="I534" s="18" t="str">
        <f aca="true">IF(F534="","",F534-TODAY())</f>
        <v/>
      </c>
      <c r="J534" s="19" t="str">
        <f aca="true">IF(F534="","",IF(TODAY()&lt;D534,"Başlamadı",IF(TODAY()&gt;F534,"Bitti",IF(F534-TODAY()&lt;=7,"Bitiyor","Aktif"))))</f>
        <v/>
      </c>
      <c r="K534" s="19" t="str">
        <f aca="false">IF(OR(J534="Aktif",J534="Bitiyor"),F534+ROW()/1000000,"")</f>
        <v/>
      </c>
    </row>
    <row r="535" customFormat="false" ht="15" hidden="false" customHeight="false" outlineLevel="0" collapsed="false">
      <c r="A535" s="12"/>
      <c r="B535" s="12"/>
      <c r="C535" s="13"/>
      <c r="D535" s="14"/>
      <c r="E535" s="15"/>
      <c r="F535" s="16" t="str">
        <f aca="false">IF(OR(C535="",D535=""),"",EDATE(D535,IFERROR(INDEX(Paketler!$B$5:$B$24,MATCH(C535,Paketler!$A$5:$A$24,0)),0))-1)</f>
        <v/>
      </c>
      <c r="G535" s="17" t="str">
        <f aca="false">IF(F535="","",IFERROR(INDEX(Paketler!$C$5:$C$24,MATCH(C535,Paketler!$A$5:$A$24,0)),0))</f>
        <v/>
      </c>
      <c r="H535" s="17" t="str">
        <f aca="false">IF(F535="","",G535-E535)</f>
        <v/>
      </c>
      <c r="I535" s="18" t="str">
        <f aca="true">IF(F535="","",F535-TODAY())</f>
        <v/>
      </c>
      <c r="J535" s="19" t="str">
        <f aca="true">IF(F535="","",IF(TODAY()&lt;D535,"Başlamadı",IF(TODAY()&gt;F535,"Bitti",IF(F535-TODAY()&lt;=7,"Bitiyor","Aktif"))))</f>
        <v/>
      </c>
      <c r="K535" s="19" t="str">
        <f aca="false">IF(OR(J535="Aktif",J535="Bitiyor"),F535+ROW()/1000000,"")</f>
        <v/>
      </c>
    </row>
    <row r="536" customFormat="false" ht="15" hidden="false" customHeight="false" outlineLevel="0" collapsed="false">
      <c r="A536" s="12"/>
      <c r="B536" s="12"/>
      <c r="C536" s="13"/>
      <c r="D536" s="14"/>
      <c r="E536" s="15"/>
      <c r="F536" s="16" t="str">
        <f aca="false">IF(OR(C536="",D536=""),"",EDATE(D536,IFERROR(INDEX(Paketler!$B$5:$B$24,MATCH(C536,Paketler!$A$5:$A$24,0)),0))-1)</f>
        <v/>
      </c>
      <c r="G536" s="17" t="str">
        <f aca="false">IF(F536="","",IFERROR(INDEX(Paketler!$C$5:$C$24,MATCH(C536,Paketler!$A$5:$A$24,0)),0))</f>
        <v/>
      </c>
      <c r="H536" s="17" t="str">
        <f aca="false">IF(F536="","",G536-E536)</f>
        <v/>
      </c>
      <c r="I536" s="18" t="str">
        <f aca="true">IF(F536="","",F536-TODAY())</f>
        <v/>
      </c>
      <c r="J536" s="19" t="str">
        <f aca="true">IF(F536="","",IF(TODAY()&lt;D536,"Başlamadı",IF(TODAY()&gt;F536,"Bitti",IF(F536-TODAY()&lt;=7,"Bitiyor","Aktif"))))</f>
        <v/>
      </c>
      <c r="K536" s="19" t="str">
        <f aca="false">IF(OR(J536="Aktif",J536="Bitiyor"),F536+ROW()/1000000,"")</f>
        <v/>
      </c>
    </row>
    <row r="537" customFormat="false" ht="15" hidden="false" customHeight="false" outlineLevel="0" collapsed="false">
      <c r="A537" s="12"/>
      <c r="B537" s="12"/>
      <c r="C537" s="13"/>
      <c r="D537" s="14"/>
      <c r="E537" s="15"/>
      <c r="F537" s="16" t="str">
        <f aca="false">IF(OR(C537="",D537=""),"",EDATE(D537,IFERROR(INDEX(Paketler!$B$5:$B$24,MATCH(C537,Paketler!$A$5:$A$24,0)),0))-1)</f>
        <v/>
      </c>
      <c r="G537" s="17" t="str">
        <f aca="false">IF(F537="","",IFERROR(INDEX(Paketler!$C$5:$C$24,MATCH(C537,Paketler!$A$5:$A$24,0)),0))</f>
        <v/>
      </c>
      <c r="H537" s="17" t="str">
        <f aca="false">IF(F537="","",G537-E537)</f>
        <v/>
      </c>
      <c r="I537" s="18" t="str">
        <f aca="true">IF(F537="","",F537-TODAY())</f>
        <v/>
      </c>
      <c r="J537" s="19" t="str">
        <f aca="true">IF(F537="","",IF(TODAY()&lt;D537,"Başlamadı",IF(TODAY()&gt;F537,"Bitti",IF(F537-TODAY()&lt;=7,"Bitiyor","Aktif"))))</f>
        <v/>
      </c>
      <c r="K537" s="19" t="str">
        <f aca="false">IF(OR(J537="Aktif",J537="Bitiyor"),F537+ROW()/1000000,"")</f>
        <v/>
      </c>
    </row>
    <row r="538" customFormat="false" ht="15" hidden="false" customHeight="false" outlineLevel="0" collapsed="false">
      <c r="A538" s="12"/>
      <c r="B538" s="12"/>
      <c r="C538" s="13"/>
      <c r="D538" s="14"/>
      <c r="E538" s="15"/>
      <c r="F538" s="16" t="str">
        <f aca="false">IF(OR(C538="",D538=""),"",EDATE(D538,IFERROR(INDEX(Paketler!$B$5:$B$24,MATCH(C538,Paketler!$A$5:$A$24,0)),0))-1)</f>
        <v/>
      </c>
      <c r="G538" s="17" t="str">
        <f aca="false">IF(F538="","",IFERROR(INDEX(Paketler!$C$5:$C$24,MATCH(C538,Paketler!$A$5:$A$24,0)),0))</f>
        <v/>
      </c>
      <c r="H538" s="17" t="str">
        <f aca="false">IF(F538="","",G538-E538)</f>
        <v/>
      </c>
      <c r="I538" s="18" t="str">
        <f aca="true">IF(F538="","",F538-TODAY())</f>
        <v/>
      </c>
      <c r="J538" s="19" t="str">
        <f aca="true">IF(F538="","",IF(TODAY()&lt;D538,"Başlamadı",IF(TODAY()&gt;F538,"Bitti",IF(F538-TODAY()&lt;=7,"Bitiyor","Aktif"))))</f>
        <v/>
      </c>
      <c r="K538" s="19" t="str">
        <f aca="false">IF(OR(J538="Aktif",J538="Bitiyor"),F538+ROW()/1000000,"")</f>
        <v/>
      </c>
    </row>
    <row r="539" customFormat="false" ht="15" hidden="false" customHeight="false" outlineLevel="0" collapsed="false">
      <c r="A539" s="12"/>
      <c r="B539" s="12"/>
      <c r="C539" s="13"/>
      <c r="D539" s="14"/>
      <c r="E539" s="15"/>
      <c r="F539" s="16" t="str">
        <f aca="false">IF(OR(C539="",D539=""),"",EDATE(D539,IFERROR(INDEX(Paketler!$B$5:$B$24,MATCH(C539,Paketler!$A$5:$A$24,0)),0))-1)</f>
        <v/>
      </c>
      <c r="G539" s="17" t="str">
        <f aca="false">IF(F539="","",IFERROR(INDEX(Paketler!$C$5:$C$24,MATCH(C539,Paketler!$A$5:$A$24,0)),0))</f>
        <v/>
      </c>
      <c r="H539" s="17" t="str">
        <f aca="false">IF(F539="","",G539-E539)</f>
        <v/>
      </c>
      <c r="I539" s="18" t="str">
        <f aca="true">IF(F539="","",F539-TODAY())</f>
        <v/>
      </c>
      <c r="J539" s="19" t="str">
        <f aca="true">IF(F539="","",IF(TODAY()&lt;D539,"Başlamadı",IF(TODAY()&gt;F539,"Bitti",IF(F539-TODAY()&lt;=7,"Bitiyor","Aktif"))))</f>
        <v/>
      </c>
      <c r="K539" s="19" t="str">
        <f aca="false">IF(OR(J539="Aktif",J539="Bitiyor"),F539+ROW()/1000000,"")</f>
        <v/>
      </c>
    </row>
    <row r="540" customFormat="false" ht="15" hidden="false" customHeight="false" outlineLevel="0" collapsed="false">
      <c r="A540" s="12"/>
      <c r="B540" s="12"/>
      <c r="C540" s="13"/>
      <c r="D540" s="14"/>
      <c r="E540" s="15"/>
      <c r="F540" s="16" t="str">
        <f aca="false">IF(OR(C540="",D540=""),"",EDATE(D540,IFERROR(INDEX(Paketler!$B$5:$B$24,MATCH(C540,Paketler!$A$5:$A$24,0)),0))-1)</f>
        <v/>
      </c>
      <c r="G540" s="17" t="str">
        <f aca="false">IF(F540="","",IFERROR(INDEX(Paketler!$C$5:$C$24,MATCH(C540,Paketler!$A$5:$A$24,0)),0))</f>
        <v/>
      </c>
      <c r="H540" s="17" t="str">
        <f aca="false">IF(F540="","",G540-E540)</f>
        <v/>
      </c>
      <c r="I540" s="18" t="str">
        <f aca="true">IF(F540="","",F540-TODAY())</f>
        <v/>
      </c>
      <c r="J540" s="19" t="str">
        <f aca="true">IF(F540="","",IF(TODAY()&lt;D540,"Başlamadı",IF(TODAY()&gt;F540,"Bitti",IF(F540-TODAY()&lt;=7,"Bitiyor","Aktif"))))</f>
        <v/>
      </c>
      <c r="K540" s="19" t="str">
        <f aca="false">IF(OR(J540="Aktif",J540="Bitiyor"),F540+ROW()/1000000,"")</f>
        <v/>
      </c>
    </row>
    <row r="541" customFormat="false" ht="15" hidden="false" customHeight="false" outlineLevel="0" collapsed="false">
      <c r="A541" s="12"/>
      <c r="B541" s="12"/>
      <c r="C541" s="13"/>
      <c r="D541" s="14"/>
      <c r="E541" s="15"/>
      <c r="F541" s="16" t="str">
        <f aca="false">IF(OR(C541="",D541=""),"",EDATE(D541,IFERROR(INDEX(Paketler!$B$5:$B$24,MATCH(C541,Paketler!$A$5:$A$24,0)),0))-1)</f>
        <v/>
      </c>
      <c r="G541" s="17" t="str">
        <f aca="false">IF(F541="","",IFERROR(INDEX(Paketler!$C$5:$C$24,MATCH(C541,Paketler!$A$5:$A$24,0)),0))</f>
        <v/>
      </c>
      <c r="H541" s="17" t="str">
        <f aca="false">IF(F541="","",G541-E541)</f>
        <v/>
      </c>
      <c r="I541" s="18" t="str">
        <f aca="true">IF(F541="","",F541-TODAY())</f>
        <v/>
      </c>
      <c r="J541" s="19" t="str">
        <f aca="true">IF(F541="","",IF(TODAY()&lt;D541,"Başlamadı",IF(TODAY()&gt;F541,"Bitti",IF(F541-TODAY()&lt;=7,"Bitiyor","Aktif"))))</f>
        <v/>
      </c>
      <c r="K541" s="19" t="str">
        <f aca="false">IF(OR(J541="Aktif",J541="Bitiyor"),F541+ROW()/1000000,"")</f>
        <v/>
      </c>
    </row>
    <row r="542" customFormat="false" ht="15" hidden="false" customHeight="false" outlineLevel="0" collapsed="false">
      <c r="A542" s="12"/>
      <c r="B542" s="12"/>
      <c r="C542" s="13"/>
      <c r="D542" s="14"/>
      <c r="E542" s="15"/>
      <c r="F542" s="16" t="str">
        <f aca="false">IF(OR(C542="",D542=""),"",EDATE(D542,IFERROR(INDEX(Paketler!$B$5:$B$24,MATCH(C542,Paketler!$A$5:$A$24,0)),0))-1)</f>
        <v/>
      </c>
      <c r="G542" s="17" t="str">
        <f aca="false">IF(F542="","",IFERROR(INDEX(Paketler!$C$5:$C$24,MATCH(C542,Paketler!$A$5:$A$24,0)),0))</f>
        <v/>
      </c>
      <c r="H542" s="17" t="str">
        <f aca="false">IF(F542="","",G542-E542)</f>
        <v/>
      </c>
      <c r="I542" s="18" t="str">
        <f aca="true">IF(F542="","",F542-TODAY())</f>
        <v/>
      </c>
      <c r="J542" s="19" t="str">
        <f aca="true">IF(F542="","",IF(TODAY()&lt;D542,"Başlamadı",IF(TODAY()&gt;F542,"Bitti",IF(F542-TODAY()&lt;=7,"Bitiyor","Aktif"))))</f>
        <v/>
      </c>
      <c r="K542" s="19" t="str">
        <f aca="false">IF(OR(J542="Aktif",J542="Bitiyor"),F542+ROW()/1000000,"")</f>
        <v/>
      </c>
    </row>
    <row r="543" customFormat="false" ht="15" hidden="false" customHeight="false" outlineLevel="0" collapsed="false">
      <c r="A543" s="12"/>
      <c r="B543" s="12"/>
      <c r="C543" s="13"/>
      <c r="D543" s="14"/>
      <c r="E543" s="15"/>
      <c r="F543" s="16" t="str">
        <f aca="false">IF(OR(C543="",D543=""),"",EDATE(D543,IFERROR(INDEX(Paketler!$B$5:$B$24,MATCH(C543,Paketler!$A$5:$A$24,0)),0))-1)</f>
        <v/>
      </c>
      <c r="G543" s="17" t="str">
        <f aca="false">IF(F543="","",IFERROR(INDEX(Paketler!$C$5:$C$24,MATCH(C543,Paketler!$A$5:$A$24,0)),0))</f>
        <v/>
      </c>
      <c r="H543" s="17" t="str">
        <f aca="false">IF(F543="","",G543-E543)</f>
        <v/>
      </c>
      <c r="I543" s="18" t="str">
        <f aca="true">IF(F543="","",F543-TODAY())</f>
        <v/>
      </c>
      <c r="J543" s="19" t="str">
        <f aca="true">IF(F543="","",IF(TODAY()&lt;D543,"Başlamadı",IF(TODAY()&gt;F543,"Bitti",IF(F543-TODAY()&lt;=7,"Bitiyor","Aktif"))))</f>
        <v/>
      </c>
      <c r="K543" s="19" t="str">
        <f aca="false">IF(OR(J543="Aktif",J543="Bitiyor"),F543+ROW()/1000000,"")</f>
        <v/>
      </c>
    </row>
    <row r="544" customFormat="false" ht="15" hidden="false" customHeight="false" outlineLevel="0" collapsed="false">
      <c r="A544" s="12"/>
      <c r="B544" s="12"/>
      <c r="C544" s="13"/>
      <c r="D544" s="14"/>
      <c r="E544" s="15"/>
      <c r="F544" s="16" t="str">
        <f aca="false">IF(OR(C544="",D544=""),"",EDATE(D544,IFERROR(INDEX(Paketler!$B$5:$B$24,MATCH(C544,Paketler!$A$5:$A$24,0)),0))-1)</f>
        <v/>
      </c>
      <c r="G544" s="17" t="str">
        <f aca="false">IF(F544="","",IFERROR(INDEX(Paketler!$C$5:$C$24,MATCH(C544,Paketler!$A$5:$A$24,0)),0))</f>
        <v/>
      </c>
      <c r="H544" s="17" t="str">
        <f aca="false">IF(F544="","",G544-E544)</f>
        <v/>
      </c>
      <c r="I544" s="18" t="str">
        <f aca="true">IF(F544="","",F544-TODAY())</f>
        <v/>
      </c>
      <c r="J544" s="19" t="str">
        <f aca="true">IF(F544="","",IF(TODAY()&lt;D544,"Başlamadı",IF(TODAY()&gt;F544,"Bitti",IF(F544-TODAY()&lt;=7,"Bitiyor","Aktif"))))</f>
        <v/>
      </c>
      <c r="K544" s="19" t="str">
        <f aca="false">IF(OR(J544="Aktif",J544="Bitiyor"),F544+ROW()/1000000,"")</f>
        <v/>
      </c>
    </row>
    <row r="545" customFormat="false" ht="15" hidden="false" customHeight="false" outlineLevel="0" collapsed="false">
      <c r="A545" s="12"/>
      <c r="B545" s="12"/>
      <c r="C545" s="13"/>
      <c r="D545" s="14"/>
      <c r="E545" s="15"/>
      <c r="F545" s="16" t="str">
        <f aca="false">IF(OR(C545="",D545=""),"",EDATE(D545,IFERROR(INDEX(Paketler!$B$5:$B$24,MATCH(C545,Paketler!$A$5:$A$24,0)),0))-1)</f>
        <v/>
      </c>
      <c r="G545" s="17" t="str">
        <f aca="false">IF(F545="","",IFERROR(INDEX(Paketler!$C$5:$C$24,MATCH(C545,Paketler!$A$5:$A$24,0)),0))</f>
        <v/>
      </c>
      <c r="H545" s="17" t="str">
        <f aca="false">IF(F545="","",G545-E545)</f>
        <v/>
      </c>
      <c r="I545" s="18" t="str">
        <f aca="true">IF(F545="","",F545-TODAY())</f>
        <v/>
      </c>
      <c r="J545" s="19" t="str">
        <f aca="true">IF(F545="","",IF(TODAY()&lt;D545,"Başlamadı",IF(TODAY()&gt;F545,"Bitti",IF(F545-TODAY()&lt;=7,"Bitiyor","Aktif"))))</f>
        <v/>
      </c>
      <c r="K545" s="19" t="str">
        <f aca="false">IF(OR(J545="Aktif",J545="Bitiyor"),F545+ROW()/1000000,"")</f>
        <v/>
      </c>
    </row>
    <row r="546" customFormat="false" ht="15" hidden="false" customHeight="false" outlineLevel="0" collapsed="false">
      <c r="A546" s="12"/>
      <c r="B546" s="12"/>
      <c r="C546" s="13"/>
      <c r="D546" s="14"/>
      <c r="E546" s="15"/>
      <c r="F546" s="16" t="str">
        <f aca="false">IF(OR(C546="",D546=""),"",EDATE(D546,IFERROR(INDEX(Paketler!$B$5:$B$24,MATCH(C546,Paketler!$A$5:$A$24,0)),0))-1)</f>
        <v/>
      </c>
      <c r="G546" s="17" t="str">
        <f aca="false">IF(F546="","",IFERROR(INDEX(Paketler!$C$5:$C$24,MATCH(C546,Paketler!$A$5:$A$24,0)),0))</f>
        <v/>
      </c>
      <c r="H546" s="17" t="str">
        <f aca="false">IF(F546="","",G546-E546)</f>
        <v/>
      </c>
      <c r="I546" s="18" t="str">
        <f aca="true">IF(F546="","",F546-TODAY())</f>
        <v/>
      </c>
      <c r="J546" s="19" t="str">
        <f aca="true">IF(F546="","",IF(TODAY()&lt;D546,"Başlamadı",IF(TODAY()&gt;F546,"Bitti",IF(F546-TODAY()&lt;=7,"Bitiyor","Aktif"))))</f>
        <v/>
      </c>
      <c r="K546" s="19" t="str">
        <f aca="false">IF(OR(J546="Aktif",J546="Bitiyor"),F546+ROW()/1000000,"")</f>
        <v/>
      </c>
    </row>
    <row r="547" customFormat="false" ht="15" hidden="false" customHeight="false" outlineLevel="0" collapsed="false">
      <c r="A547" s="12"/>
      <c r="B547" s="12"/>
      <c r="C547" s="13"/>
      <c r="D547" s="14"/>
      <c r="E547" s="15"/>
      <c r="F547" s="16" t="str">
        <f aca="false">IF(OR(C547="",D547=""),"",EDATE(D547,IFERROR(INDEX(Paketler!$B$5:$B$24,MATCH(C547,Paketler!$A$5:$A$24,0)),0))-1)</f>
        <v/>
      </c>
      <c r="G547" s="17" t="str">
        <f aca="false">IF(F547="","",IFERROR(INDEX(Paketler!$C$5:$C$24,MATCH(C547,Paketler!$A$5:$A$24,0)),0))</f>
        <v/>
      </c>
      <c r="H547" s="17" t="str">
        <f aca="false">IF(F547="","",G547-E547)</f>
        <v/>
      </c>
      <c r="I547" s="18" t="str">
        <f aca="true">IF(F547="","",F547-TODAY())</f>
        <v/>
      </c>
      <c r="J547" s="19" t="str">
        <f aca="true">IF(F547="","",IF(TODAY()&lt;D547,"Başlamadı",IF(TODAY()&gt;F547,"Bitti",IF(F547-TODAY()&lt;=7,"Bitiyor","Aktif"))))</f>
        <v/>
      </c>
      <c r="K547" s="19" t="str">
        <f aca="false">IF(OR(J547="Aktif",J547="Bitiyor"),F547+ROW()/1000000,"")</f>
        <v/>
      </c>
    </row>
    <row r="548" customFormat="false" ht="15" hidden="false" customHeight="false" outlineLevel="0" collapsed="false">
      <c r="A548" s="12"/>
      <c r="B548" s="12"/>
      <c r="C548" s="13"/>
      <c r="D548" s="14"/>
      <c r="E548" s="15"/>
      <c r="F548" s="16" t="str">
        <f aca="false">IF(OR(C548="",D548=""),"",EDATE(D548,IFERROR(INDEX(Paketler!$B$5:$B$24,MATCH(C548,Paketler!$A$5:$A$24,0)),0))-1)</f>
        <v/>
      </c>
      <c r="G548" s="17" t="str">
        <f aca="false">IF(F548="","",IFERROR(INDEX(Paketler!$C$5:$C$24,MATCH(C548,Paketler!$A$5:$A$24,0)),0))</f>
        <v/>
      </c>
      <c r="H548" s="17" t="str">
        <f aca="false">IF(F548="","",G548-E548)</f>
        <v/>
      </c>
      <c r="I548" s="18" t="str">
        <f aca="true">IF(F548="","",F548-TODAY())</f>
        <v/>
      </c>
      <c r="J548" s="19" t="str">
        <f aca="true">IF(F548="","",IF(TODAY()&lt;D548,"Başlamadı",IF(TODAY()&gt;F548,"Bitti",IF(F548-TODAY()&lt;=7,"Bitiyor","Aktif"))))</f>
        <v/>
      </c>
      <c r="K548" s="19" t="str">
        <f aca="false">IF(OR(J548="Aktif",J548="Bitiyor"),F548+ROW()/1000000,"")</f>
        <v/>
      </c>
    </row>
    <row r="549" customFormat="false" ht="15" hidden="false" customHeight="false" outlineLevel="0" collapsed="false">
      <c r="A549" s="12"/>
      <c r="B549" s="12"/>
      <c r="C549" s="13"/>
      <c r="D549" s="14"/>
      <c r="E549" s="15"/>
      <c r="F549" s="16" t="str">
        <f aca="false">IF(OR(C549="",D549=""),"",EDATE(D549,IFERROR(INDEX(Paketler!$B$5:$B$24,MATCH(C549,Paketler!$A$5:$A$24,0)),0))-1)</f>
        <v/>
      </c>
      <c r="G549" s="17" t="str">
        <f aca="false">IF(F549="","",IFERROR(INDEX(Paketler!$C$5:$C$24,MATCH(C549,Paketler!$A$5:$A$24,0)),0))</f>
        <v/>
      </c>
      <c r="H549" s="17" t="str">
        <f aca="false">IF(F549="","",G549-E549)</f>
        <v/>
      </c>
      <c r="I549" s="18" t="str">
        <f aca="true">IF(F549="","",F549-TODAY())</f>
        <v/>
      </c>
      <c r="J549" s="19" t="str">
        <f aca="true">IF(F549="","",IF(TODAY()&lt;D549,"Başlamadı",IF(TODAY()&gt;F549,"Bitti",IF(F549-TODAY()&lt;=7,"Bitiyor","Aktif"))))</f>
        <v/>
      </c>
      <c r="K549" s="19" t="str">
        <f aca="false">IF(OR(J549="Aktif",J549="Bitiyor"),F549+ROW()/1000000,"")</f>
        <v/>
      </c>
    </row>
    <row r="550" customFormat="false" ht="15" hidden="false" customHeight="false" outlineLevel="0" collapsed="false">
      <c r="A550" s="12"/>
      <c r="B550" s="12"/>
      <c r="C550" s="13"/>
      <c r="D550" s="14"/>
      <c r="E550" s="15"/>
      <c r="F550" s="16" t="str">
        <f aca="false">IF(OR(C550="",D550=""),"",EDATE(D550,IFERROR(INDEX(Paketler!$B$5:$B$24,MATCH(C550,Paketler!$A$5:$A$24,0)),0))-1)</f>
        <v/>
      </c>
      <c r="G550" s="17" t="str">
        <f aca="false">IF(F550="","",IFERROR(INDEX(Paketler!$C$5:$C$24,MATCH(C550,Paketler!$A$5:$A$24,0)),0))</f>
        <v/>
      </c>
      <c r="H550" s="17" t="str">
        <f aca="false">IF(F550="","",G550-E550)</f>
        <v/>
      </c>
      <c r="I550" s="18" t="str">
        <f aca="true">IF(F550="","",F550-TODAY())</f>
        <v/>
      </c>
      <c r="J550" s="19" t="str">
        <f aca="true">IF(F550="","",IF(TODAY()&lt;D550,"Başlamadı",IF(TODAY()&gt;F550,"Bitti",IF(F550-TODAY()&lt;=7,"Bitiyor","Aktif"))))</f>
        <v/>
      </c>
      <c r="K550" s="19" t="str">
        <f aca="false">IF(OR(J550="Aktif",J550="Bitiyor"),F550+ROW()/1000000,"")</f>
        <v/>
      </c>
    </row>
    <row r="551" customFormat="false" ht="15" hidden="false" customHeight="false" outlineLevel="0" collapsed="false">
      <c r="A551" s="12"/>
      <c r="B551" s="12"/>
      <c r="C551" s="13"/>
      <c r="D551" s="14"/>
      <c r="E551" s="15"/>
      <c r="F551" s="16" t="str">
        <f aca="false">IF(OR(C551="",D551=""),"",EDATE(D551,IFERROR(INDEX(Paketler!$B$5:$B$24,MATCH(C551,Paketler!$A$5:$A$24,0)),0))-1)</f>
        <v/>
      </c>
      <c r="G551" s="17" t="str">
        <f aca="false">IF(F551="","",IFERROR(INDEX(Paketler!$C$5:$C$24,MATCH(C551,Paketler!$A$5:$A$24,0)),0))</f>
        <v/>
      </c>
      <c r="H551" s="17" t="str">
        <f aca="false">IF(F551="","",G551-E551)</f>
        <v/>
      </c>
      <c r="I551" s="18" t="str">
        <f aca="true">IF(F551="","",F551-TODAY())</f>
        <v/>
      </c>
      <c r="J551" s="19" t="str">
        <f aca="true">IF(F551="","",IF(TODAY()&lt;D551,"Başlamadı",IF(TODAY()&gt;F551,"Bitti",IF(F551-TODAY()&lt;=7,"Bitiyor","Aktif"))))</f>
        <v/>
      </c>
      <c r="K551" s="19" t="str">
        <f aca="false">IF(OR(J551="Aktif",J551="Bitiyor"),F551+ROW()/1000000,"")</f>
        <v/>
      </c>
    </row>
    <row r="552" customFormat="false" ht="15" hidden="false" customHeight="false" outlineLevel="0" collapsed="false">
      <c r="A552" s="12"/>
      <c r="B552" s="12"/>
      <c r="C552" s="13"/>
      <c r="D552" s="14"/>
      <c r="E552" s="15"/>
      <c r="F552" s="16" t="str">
        <f aca="false">IF(OR(C552="",D552=""),"",EDATE(D552,IFERROR(INDEX(Paketler!$B$5:$B$24,MATCH(C552,Paketler!$A$5:$A$24,0)),0))-1)</f>
        <v/>
      </c>
      <c r="G552" s="17" t="str">
        <f aca="false">IF(F552="","",IFERROR(INDEX(Paketler!$C$5:$C$24,MATCH(C552,Paketler!$A$5:$A$24,0)),0))</f>
        <v/>
      </c>
      <c r="H552" s="17" t="str">
        <f aca="false">IF(F552="","",G552-E552)</f>
        <v/>
      </c>
      <c r="I552" s="18" t="str">
        <f aca="true">IF(F552="","",F552-TODAY())</f>
        <v/>
      </c>
      <c r="J552" s="19" t="str">
        <f aca="true">IF(F552="","",IF(TODAY()&lt;D552,"Başlamadı",IF(TODAY()&gt;F552,"Bitti",IF(F552-TODAY()&lt;=7,"Bitiyor","Aktif"))))</f>
        <v/>
      </c>
      <c r="K552" s="19" t="str">
        <f aca="false">IF(OR(J552="Aktif",J552="Bitiyor"),F552+ROW()/1000000,"")</f>
        <v/>
      </c>
    </row>
    <row r="553" customFormat="false" ht="15" hidden="false" customHeight="false" outlineLevel="0" collapsed="false">
      <c r="A553" s="12"/>
      <c r="B553" s="12"/>
      <c r="C553" s="13"/>
      <c r="D553" s="14"/>
      <c r="E553" s="15"/>
      <c r="F553" s="16" t="str">
        <f aca="false">IF(OR(C553="",D553=""),"",EDATE(D553,IFERROR(INDEX(Paketler!$B$5:$B$24,MATCH(C553,Paketler!$A$5:$A$24,0)),0))-1)</f>
        <v/>
      </c>
      <c r="G553" s="17" t="str">
        <f aca="false">IF(F553="","",IFERROR(INDEX(Paketler!$C$5:$C$24,MATCH(C553,Paketler!$A$5:$A$24,0)),0))</f>
        <v/>
      </c>
      <c r="H553" s="17" t="str">
        <f aca="false">IF(F553="","",G553-E553)</f>
        <v/>
      </c>
      <c r="I553" s="18" t="str">
        <f aca="true">IF(F553="","",F553-TODAY())</f>
        <v/>
      </c>
      <c r="J553" s="19" t="str">
        <f aca="true">IF(F553="","",IF(TODAY()&lt;D553,"Başlamadı",IF(TODAY()&gt;F553,"Bitti",IF(F553-TODAY()&lt;=7,"Bitiyor","Aktif"))))</f>
        <v/>
      </c>
      <c r="K553" s="19" t="str">
        <f aca="false">IF(OR(J553="Aktif",J553="Bitiyor"),F553+ROW()/1000000,"")</f>
        <v/>
      </c>
    </row>
    <row r="554" customFormat="false" ht="15" hidden="false" customHeight="false" outlineLevel="0" collapsed="false">
      <c r="A554" s="12"/>
      <c r="B554" s="12"/>
      <c r="C554" s="13"/>
      <c r="D554" s="14"/>
      <c r="E554" s="15"/>
      <c r="F554" s="16" t="str">
        <f aca="false">IF(OR(C554="",D554=""),"",EDATE(D554,IFERROR(INDEX(Paketler!$B$5:$B$24,MATCH(C554,Paketler!$A$5:$A$24,0)),0))-1)</f>
        <v/>
      </c>
      <c r="G554" s="17" t="str">
        <f aca="false">IF(F554="","",IFERROR(INDEX(Paketler!$C$5:$C$24,MATCH(C554,Paketler!$A$5:$A$24,0)),0))</f>
        <v/>
      </c>
      <c r="H554" s="17" t="str">
        <f aca="false">IF(F554="","",G554-E554)</f>
        <v/>
      </c>
      <c r="I554" s="18" t="str">
        <f aca="true">IF(F554="","",F554-TODAY())</f>
        <v/>
      </c>
      <c r="J554" s="19" t="str">
        <f aca="true">IF(F554="","",IF(TODAY()&lt;D554,"Başlamadı",IF(TODAY()&gt;F554,"Bitti",IF(F554-TODAY()&lt;=7,"Bitiyor","Aktif"))))</f>
        <v/>
      </c>
      <c r="K554" s="19" t="str">
        <f aca="false">IF(OR(J554="Aktif",J554="Bitiyor"),F554+ROW()/1000000,"")</f>
        <v/>
      </c>
    </row>
    <row r="555" customFormat="false" ht="15" hidden="false" customHeight="false" outlineLevel="0" collapsed="false">
      <c r="A555" s="12"/>
      <c r="B555" s="12"/>
      <c r="C555" s="13"/>
      <c r="D555" s="14"/>
      <c r="E555" s="15"/>
      <c r="F555" s="16" t="str">
        <f aca="false">IF(OR(C555="",D555=""),"",EDATE(D555,IFERROR(INDEX(Paketler!$B$5:$B$24,MATCH(C555,Paketler!$A$5:$A$24,0)),0))-1)</f>
        <v/>
      </c>
      <c r="G555" s="17" t="str">
        <f aca="false">IF(F555="","",IFERROR(INDEX(Paketler!$C$5:$C$24,MATCH(C555,Paketler!$A$5:$A$24,0)),0))</f>
        <v/>
      </c>
      <c r="H555" s="17" t="str">
        <f aca="false">IF(F555="","",G555-E555)</f>
        <v/>
      </c>
      <c r="I555" s="18" t="str">
        <f aca="true">IF(F555="","",F555-TODAY())</f>
        <v/>
      </c>
      <c r="J555" s="19" t="str">
        <f aca="true">IF(F555="","",IF(TODAY()&lt;D555,"Başlamadı",IF(TODAY()&gt;F555,"Bitti",IF(F555-TODAY()&lt;=7,"Bitiyor","Aktif"))))</f>
        <v/>
      </c>
      <c r="K555" s="19" t="str">
        <f aca="false">IF(OR(J555="Aktif",J555="Bitiyor"),F555+ROW()/1000000,"")</f>
        <v/>
      </c>
    </row>
    <row r="556" customFormat="false" ht="15" hidden="false" customHeight="false" outlineLevel="0" collapsed="false">
      <c r="A556" s="12"/>
      <c r="B556" s="12"/>
      <c r="C556" s="13"/>
      <c r="D556" s="14"/>
      <c r="E556" s="15"/>
      <c r="F556" s="16" t="str">
        <f aca="false">IF(OR(C556="",D556=""),"",EDATE(D556,IFERROR(INDEX(Paketler!$B$5:$B$24,MATCH(C556,Paketler!$A$5:$A$24,0)),0))-1)</f>
        <v/>
      </c>
      <c r="G556" s="17" t="str">
        <f aca="false">IF(F556="","",IFERROR(INDEX(Paketler!$C$5:$C$24,MATCH(C556,Paketler!$A$5:$A$24,0)),0))</f>
        <v/>
      </c>
      <c r="H556" s="17" t="str">
        <f aca="false">IF(F556="","",G556-E556)</f>
        <v/>
      </c>
      <c r="I556" s="18" t="str">
        <f aca="true">IF(F556="","",F556-TODAY())</f>
        <v/>
      </c>
      <c r="J556" s="19" t="str">
        <f aca="true">IF(F556="","",IF(TODAY()&lt;D556,"Başlamadı",IF(TODAY()&gt;F556,"Bitti",IF(F556-TODAY()&lt;=7,"Bitiyor","Aktif"))))</f>
        <v/>
      </c>
      <c r="K556" s="19" t="str">
        <f aca="false">IF(OR(J556="Aktif",J556="Bitiyor"),F556+ROW()/1000000,"")</f>
        <v/>
      </c>
    </row>
    <row r="557" customFormat="false" ht="15" hidden="false" customHeight="false" outlineLevel="0" collapsed="false">
      <c r="A557" s="12"/>
      <c r="B557" s="12"/>
      <c r="C557" s="13"/>
      <c r="D557" s="14"/>
      <c r="E557" s="15"/>
      <c r="F557" s="16" t="str">
        <f aca="false">IF(OR(C557="",D557=""),"",EDATE(D557,IFERROR(INDEX(Paketler!$B$5:$B$24,MATCH(C557,Paketler!$A$5:$A$24,0)),0))-1)</f>
        <v/>
      </c>
      <c r="G557" s="17" t="str">
        <f aca="false">IF(F557="","",IFERROR(INDEX(Paketler!$C$5:$C$24,MATCH(C557,Paketler!$A$5:$A$24,0)),0))</f>
        <v/>
      </c>
      <c r="H557" s="17" t="str">
        <f aca="false">IF(F557="","",G557-E557)</f>
        <v/>
      </c>
      <c r="I557" s="18" t="str">
        <f aca="true">IF(F557="","",F557-TODAY())</f>
        <v/>
      </c>
      <c r="J557" s="19" t="str">
        <f aca="true">IF(F557="","",IF(TODAY()&lt;D557,"Başlamadı",IF(TODAY()&gt;F557,"Bitti",IF(F557-TODAY()&lt;=7,"Bitiyor","Aktif"))))</f>
        <v/>
      </c>
      <c r="K557" s="19" t="str">
        <f aca="false">IF(OR(J557="Aktif",J557="Bitiyor"),F557+ROW()/1000000,"")</f>
        <v/>
      </c>
    </row>
    <row r="558" customFormat="false" ht="15" hidden="false" customHeight="false" outlineLevel="0" collapsed="false">
      <c r="A558" s="12"/>
      <c r="B558" s="12"/>
      <c r="C558" s="13"/>
      <c r="D558" s="14"/>
      <c r="E558" s="15"/>
      <c r="F558" s="16" t="str">
        <f aca="false">IF(OR(C558="",D558=""),"",EDATE(D558,IFERROR(INDEX(Paketler!$B$5:$B$24,MATCH(C558,Paketler!$A$5:$A$24,0)),0))-1)</f>
        <v/>
      </c>
      <c r="G558" s="17" t="str">
        <f aca="false">IF(F558="","",IFERROR(INDEX(Paketler!$C$5:$C$24,MATCH(C558,Paketler!$A$5:$A$24,0)),0))</f>
        <v/>
      </c>
      <c r="H558" s="17" t="str">
        <f aca="false">IF(F558="","",G558-E558)</f>
        <v/>
      </c>
      <c r="I558" s="18" t="str">
        <f aca="true">IF(F558="","",F558-TODAY())</f>
        <v/>
      </c>
      <c r="J558" s="19" t="str">
        <f aca="true">IF(F558="","",IF(TODAY()&lt;D558,"Başlamadı",IF(TODAY()&gt;F558,"Bitti",IF(F558-TODAY()&lt;=7,"Bitiyor","Aktif"))))</f>
        <v/>
      </c>
      <c r="K558" s="19" t="str">
        <f aca="false">IF(OR(J558="Aktif",J558="Bitiyor"),F558+ROW()/1000000,"")</f>
        <v/>
      </c>
    </row>
    <row r="559" customFormat="false" ht="15" hidden="false" customHeight="false" outlineLevel="0" collapsed="false">
      <c r="A559" s="12"/>
      <c r="B559" s="12"/>
      <c r="C559" s="13"/>
      <c r="D559" s="14"/>
      <c r="E559" s="15"/>
      <c r="F559" s="16" t="str">
        <f aca="false">IF(OR(C559="",D559=""),"",EDATE(D559,IFERROR(INDEX(Paketler!$B$5:$B$24,MATCH(C559,Paketler!$A$5:$A$24,0)),0))-1)</f>
        <v/>
      </c>
      <c r="G559" s="17" t="str">
        <f aca="false">IF(F559="","",IFERROR(INDEX(Paketler!$C$5:$C$24,MATCH(C559,Paketler!$A$5:$A$24,0)),0))</f>
        <v/>
      </c>
      <c r="H559" s="17" t="str">
        <f aca="false">IF(F559="","",G559-E559)</f>
        <v/>
      </c>
      <c r="I559" s="18" t="str">
        <f aca="true">IF(F559="","",F559-TODAY())</f>
        <v/>
      </c>
      <c r="J559" s="19" t="str">
        <f aca="true">IF(F559="","",IF(TODAY()&lt;D559,"Başlamadı",IF(TODAY()&gt;F559,"Bitti",IF(F559-TODAY()&lt;=7,"Bitiyor","Aktif"))))</f>
        <v/>
      </c>
      <c r="K559" s="19" t="str">
        <f aca="false">IF(OR(J559="Aktif",J559="Bitiyor"),F559+ROW()/1000000,"")</f>
        <v/>
      </c>
    </row>
    <row r="560" customFormat="false" ht="15" hidden="false" customHeight="false" outlineLevel="0" collapsed="false">
      <c r="A560" s="12"/>
      <c r="B560" s="12"/>
      <c r="C560" s="13"/>
      <c r="D560" s="14"/>
      <c r="E560" s="15"/>
      <c r="F560" s="16" t="str">
        <f aca="false">IF(OR(C560="",D560=""),"",EDATE(D560,IFERROR(INDEX(Paketler!$B$5:$B$24,MATCH(C560,Paketler!$A$5:$A$24,0)),0))-1)</f>
        <v/>
      </c>
      <c r="G560" s="17" t="str">
        <f aca="false">IF(F560="","",IFERROR(INDEX(Paketler!$C$5:$C$24,MATCH(C560,Paketler!$A$5:$A$24,0)),0))</f>
        <v/>
      </c>
      <c r="H560" s="17" t="str">
        <f aca="false">IF(F560="","",G560-E560)</f>
        <v/>
      </c>
      <c r="I560" s="18" t="str">
        <f aca="true">IF(F560="","",F560-TODAY())</f>
        <v/>
      </c>
      <c r="J560" s="19" t="str">
        <f aca="true">IF(F560="","",IF(TODAY()&lt;D560,"Başlamadı",IF(TODAY()&gt;F560,"Bitti",IF(F560-TODAY()&lt;=7,"Bitiyor","Aktif"))))</f>
        <v/>
      </c>
      <c r="K560" s="19" t="str">
        <f aca="false">IF(OR(J560="Aktif",J560="Bitiyor"),F560+ROW()/1000000,"")</f>
        <v/>
      </c>
    </row>
    <row r="561" customFormat="false" ht="15" hidden="false" customHeight="false" outlineLevel="0" collapsed="false">
      <c r="A561" s="12"/>
      <c r="B561" s="12"/>
      <c r="C561" s="13"/>
      <c r="D561" s="14"/>
      <c r="E561" s="15"/>
      <c r="F561" s="16" t="str">
        <f aca="false">IF(OR(C561="",D561=""),"",EDATE(D561,IFERROR(INDEX(Paketler!$B$5:$B$24,MATCH(C561,Paketler!$A$5:$A$24,0)),0))-1)</f>
        <v/>
      </c>
      <c r="G561" s="17" t="str">
        <f aca="false">IF(F561="","",IFERROR(INDEX(Paketler!$C$5:$C$24,MATCH(C561,Paketler!$A$5:$A$24,0)),0))</f>
        <v/>
      </c>
      <c r="H561" s="17" t="str">
        <f aca="false">IF(F561="","",G561-E561)</f>
        <v/>
      </c>
      <c r="I561" s="18" t="str">
        <f aca="true">IF(F561="","",F561-TODAY())</f>
        <v/>
      </c>
      <c r="J561" s="19" t="str">
        <f aca="true">IF(F561="","",IF(TODAY()&lt;D561,"Başlamadı",IF(TODAY()&gt;F561,"Bitti",IF(F561-TODAY()&lt;=7,"Bitiyor","Aktif"))))</f>
        <v/>
      </c>
      <c r="K561" s="19" t="str">
        <f aca="false">IF(OR(J561="Aktif",J561="Bitiyor"),F561+ROW()/1000000,"")</f>
        <v/>
      </c>
    </row>
    <row r="562" customFormat="false" ht="15" hidden="false" customHeight="false" outlineLevel="0" collapsed="false">
      <c r="A562" s="12"/>
      <c r="B562" s="12"/>
      <c r="C562" s="13"/>
      <c r="D562" s="14"/>
      <c r="E562" s="15"/>
      <c r="F562" s="16" t="str">
        <f aca="false">IF(OR(C562="",D562=""),"",EDATE(D562,IFERROR(INDEX(Paketler!$B$5:$B$24,MATCH(C562,Paketler!$A$5:$A$24,0)),0))-1)</f>
        <v/>
      </c>
      <c r="G562" s="17" t="str">
        <f aca="false">IF(F562="","",IFERROR(INDEX(Paketler!$C$5:$C$24,MATCH(C562,Paketler!$A$5:$A$24,0)),0))</f>
        <v/>
      </c>
      <c r="H562" s="17" t="str">
        <f aca="false">IF(F562="","",G562-E562)</f>
        <v/>
      </c>
      <c r="I562" s="18" t="str">
        <f aca="true">IF(F562="","",F562-TODAY())</f>
        <v/>
      </c>
      <c r="J562" s="19" t="str">
        <f aca="true">IF(F562="","",IF(TODAY()&lt;D562,"Başlamadı",IF(TODAY()&gt;F562,"Bitti",IF(F562-TODAY()&lt;=7,"Bitiyor","Aktif"))))</f>
        <v/>
      </c>
      <c r="K562" s="19" t="str">
        <f aca="false">IF(OR(J562="Aktif",J562="Bitiyor"),F562+ROW()/1000000,"")</f>
        <v/>
      </c>
    </row>
    <row r="563" customFormat="false" ht="15" hidden="false" customHeight="false" outlineLevel="0" collapsed="false">
      <c r="A563" s="12"/>
      <c r="B563" s="12"/>
      <c r="C563" s="13"/>
      <c r="D563" s="14"/>
      <c r="E563" s="15"/>
      <c r="F563" s="16" t="str">
        <f aca="false">IF(OR(C563="",D563=""),"",EDATE(D563,IFERROR(INDEX(Paketler!$B$5:$B$24,MATCH(C563,Paketler!$A$5:$A$24,0)),0))-1)</f>
        <v/>
      </c>
      <c r="G563" s="17" t="str">
        <f aca="false">IF(F563="","",IFERROR(INDEX(Paketler!$C$5:$C$24,MATCH(C563,Paketler!$A$5:$A$24,0)),0))</f>
        <v/>
      </c>
      <c r="H563" s="17" t="str">
        <f aca="false">IF(F563="","",G563-E563)</f>
        <v/>
      </c>
      <c r="I563" s="18" t="str">
        <f aca="true">IF(F563="","",F563-TODAY())</f>
        <v/>
      </c>
      <c r="J563" s="19" t="str">
        <f aca="true">IF(F563="","",IF(TODAY()&lt;D563,"Başlamadı",IF(TODAY()&gt;F563,"Bitti",IF(F563-TODAY()&lt;=7,"Bitiyor","Aktif"))))</f>
        <v/>
      </c>
      <c r="K563" s="19" t="str">
        <f aca="false">IF(OR(J563="Aktif",J563="Bitiyor"),F563+ROW()/1000000,"")</f>
        <v/>
      </c>
    </row>
    <row r="564" customFormat="false" ht="15" hidden="false" customHeight="false" outlineLevel="0" collapsed="false">
      <c r="A564" s="12"/>
      <c r="B564" s="12"/>
      <c r="C564" s="13"/>
      <c r="D564" s="14"/>
      <c r="E564" s="15"/>
      <c r="F564" s="16" t="str">
        <f aca="false">IF(OR(C564="",D564=""),"",EDATE(D564,IFERROR(INDEX(Paketler!$B$5:$B$24,MATCH(C564,Paketler!$A$5:$A$24,0)),0))-1)</f>
        <v/>
      </c>
      <c r="G564" s="17" t="str">
        <f aca="false">IF(F564="","",IFERROR(INDEX(Paketler!$C$5:$C$24,MATCH(C564,Paketler!$A$5:$A$24,0)),0))</f>
        <v/>
      </c>
      <c r="H564" s="17" t="str">
        <f aca="false">IF(F564="","",G564-E564)</f>
        <v/>
      </c>
      <c r="I564" s="18" t="str">
        <f aca="true">IF(F564="","",F564-TODAY())</f>
        <v/>
      </c>
      <c r="J564" s="19" t="str">
        <f aca="true">IF(F564="","",IF(TODAY()&lt;D564,"Başlamadı",IF(TODAY()&gt;F564,"Bitti",IF(F564-TODAY()&lt;=7,"Bitiyor","Aktif"))))</f>
        <v/>
      </c>
      <c r="K564" s="19" t="str">
        <f aca="false">IF(OR(J564="Aktif",J564="Bitiyor"),F564+ROW()/1000000,"")</f>
        <v/>
      </c>
    </row>
    <row r="565" customFormat="false" ht="15" hidden="false" customHeight="false" outlineLevel="0" collapsed="false">
      <c r="A565" s="12"/>
      <c r="B565" s="12"/>
      <c r="C565" s="13"/>
      <c r="D565" s="14"/>
      <c r="E565" s="15"/>
      <c r="F565" s="16" t="str">
        <f aca="false">IF(OR(C565="",D565=""),"",EDATE(D565,IFERROR(INDEX(Paketler!$B$5:$B$24,MATCH(C565,Paketler!$A$5:$A$24,0)),0))-1)</f>
        <v/>
      </c>
      <c r="G565" s="17" t="str">
        <f aca="false">IF(F565="","",IFERROR(INDEX(Paketler!$C$5:$C$24,MATCH(C565,Paketler!$A$5:$A$24,0)),0))</f>
        <v/>
      </c>
      <c r="H565" s="17" t="str">
        <f aca="false">IF(F565="","",G565-E565)</f>
        <v/>
      </c>
      <c r="I565" s="18" t="str">
        <f aca="true">IF(F565="","",F565-TODAY())</f>
        <v/>
      </c>
      <c r="J565" s="19" t="str">
        <f aca="true">IF(F565="","",IF(TODAY()&lt;D565,"Başlamadı",IF(TODAY()&gt;F565,"Bitti",IF(F565-TODAY()&lt;=7,"Bitiyor","Aktif"))))</f>
        <v/>
      </c>
      <c r="K565" s="19" t="str">
        <f aca="false">IF(OR(J565="Aktif",J565="Bitiyor"),F565+ROW()/1000000,"")</f>
        <v/>
      </c>
    </row>
    <row r="566" customFormat="false" ht="15" hidden="false" customHeight="false" outlineLevel="0" collapsed="false">
      <c r="A566" s="12"/>
      <c r="B566" s="12"/>
      <c r="C566" s="13"/>
      <c r="D566" s="14"/>
      <c r="E566" s="15"/>
      <c r="F566" s="16" t="str">
        <f aca="false">IF(OR(C566="",D566=""),"",EDATE(D566,IFERROR(INDEX(Paketler!$B$5:$B$24,MATCH(C566,Paketler!$A$5:$A$24,0)),0))-1)</f>
        <v/>
      </c>
      <c r="G566" s="17" t="str">
        <f aca="false">IF(F566="","",IFERROR(INDEX(Paketler!$C$5:$C$24,MATCH(C566,Paketler!$A$5:$A$24,0)),0))</f>
        <v/>
      </c>
      <c r="H566" s="17" t="str">
        <f aca="false">IF(F566="","",G566-E566)</f>
        <v/>
      </c>
      <c r="I566" s="18" t="str">
        <f aca="true">IF(F566="","",F566-TODAY())</f>
        <v/>
      </c>
      <c r="J566" s="19" t="str">
        <f aca="true">IF(F566="","",IF(TODAY()&lt;D566,"Başlamadı",IF(TODAY()&gt;F566,"Bitti",IF(F566-TODAY()&lt;=7,"Bitiyor","Aktif"))))</f>
        <v/>
      </c>
      <c r="K566" s="19" t="str">
        <f aca="false">IF(OR(J566="Aktif",J566="Bitiyor"),F566+ROW()/1000000,"")</f>
        <v/>
      </c>
    </row>
    <row r="567" customFormat="false" ht="15" hidden="false" customHeight="false" outlineLevel="0" collapsed="false">
      <c r="A567" s="12"/>
      <c r="B567" s="12"/>
      <c r="C567" s="13"/>
      <c r="D567" s="14"/>
      <c r="E567" s="15"/>
      <c r="F567" s="16" t="str">
        <f aca="false">IF(OR(C567="",D567=""),"",EDATE(D567,IFERROR(INDEX(Paketler!$B$5:$B$24,MATCH(C567,Paketler!$A$5:$A$24,0)),0))-1)</f>
        <v/>
      </c>
      <c r="G567" s="17" t="str">
        <f aca="false">IF(F567="","",IFERROR(INDEX(Paketler!$C$5:$C$24,MATCH(C567,Paketler!$A$5:$A$24,0)),0))</f>
        <v/>
      </c>
      <c r="H567" s="17" t="str">
        <f aca="false">IF(F567="","",G567-E567)</f>
        <v/>
      </c>
      <c r="I567" s="18" t="str">
        <f aca="true">IF(F567="","",F567-TODAY())</f>
        <v/>
      </c>
      <c r="J567" s="19" t="str">
        <f aca="true">IF(F567="","",IF(TODAY()&lt;D567,"Başlamadı",IF(TODAY()&gt;F567,"Bitti",IF(F567-TODAY()&lt;=7,"Bitiyor","Aktif"))))</f>
        <v/>
      </c>
      <c r="K567" s="19" t="str">
        <f aca="false">IF(OR(J567="Aktif",J567="Bitiyor"),F567+ROW()/1000000,"")</f>
        <v/>
      </c>
    </row>
    <row r="568" customFormat="false" ht="15" hidden="false" customHeight="false" outlineLevel="0" collapsed="false">
      <c r="A568" s="12"/>
      <c r="B568" s="12"/>
      <c r="C568" s="13"/>
      <c r="D568" s="14"/>
      <c r="E568" s="15"/>
      <c r="F568" s="16" t="str">
        <f aca="false">IF(OR(C568="",D568=""),"",EDATE(D568,IFERROR(INDEX(Paketler!$B$5:$B$24,MATCH(C568,Paketler!$A$5:$A$24,0)),0))-1)</f>
        <v/>
      </c>
      <c r="G568" s="17" t="str">
        <f aca="false">IF(F568="","",IFERROR(INDEX(Paketler!$C$5:$C$24,MATCH(C568,Paketler!$A$5:$A$24,0)),0))</f>
        <v/>
      </c>
      <c r="H568" s="17" t="str">
        <f aca="false">IF(F568="","",G568-E568)</f>
        <v/>
      </c>
      <c r="I568" s="18" t="str">
        <f aca="true">IF(F568="","",F568-TODAY())</f>
        <v/>
      </c>
      <c r="J568" s="19" t="str">
        <f aca="true">IF(F568="","",IF(TODAY()&lt;D568,"Başlamadı",IF(TODAY()&gt;F568,"Bitti",IF(F568-TODAY()&lt;=7,"Bitiyor","Aktif"))))</f>
        <v/>
      </c>
      <c r="K568" s="19" t="str">
        <f aca="false">IF(OR(J568="Aktif",J568="Bitiyor"),F568+ROW()/1000000,"")</f>
        <v/>
      </c>
    </row>
    <row r="569" customFormat="false" ht="15" hidden="false" customHeight="false" outlineLevel="0" collapsed="false">
      <c r="A569" s="12"/>
      <c r="B569" s="12"/>
      <c r="C569" s="13"/>
      <c r="D569" s="14"/>
      <c r="E569" s="15"/>
      <c r="F569" s="16" t="str">
        <f aca="false">IF(OR(C569="",D569=""),"",EDATE(D569,IFERROR(INDEX(Paketler!$B$5:$B$24,MATCH(C569,Paketler!$A$5:$A$24,0)),0))-1)</f>
        <v/>
      </c>
      <c r="G569" s="17" t="str">
        <f aca="false">IF(F569="","",IFERROR(INDEX(Paketler!$C$5:$C$24,MATCH(C569,Paketler!$A$5:$A$24,0)),0))</f>
        <v/>
      </c>
      <c r="H569" s="17" t="str">
        <f aca="false">IF(F569="","",G569-E569)</f>
        <v/>
      </c>
      <c r="I569" s="18" t="str">
        <f aca="true">IF(F569="","",F569-TODAY())</f>
        <v/>
      </c>
      <c r="J569" s="19" t="str">
        <f aca="true">IF(F569="","",IF(TODAY()&lt;D569,"Başlamadı",IF(TODAY()&gt;F569,"Bitti",IF(F569-TODAY()&lt;=7,"Bitiyor","Aktif"))))</f>
        <v/>
      </c>
      <c r="K569" s="19" t="str">
        <f aca="false">IF(OR(J569="Aktif",J569="Bitiyor"),F569+ROW()/1000000,"")</f>
        <v/>
      </c>
    </row>
    <row r="570" customFormat="false" ht="15" hidden="false" customHeight="false" outlineLevel="0" collapsed="false">
      <c r="A570" s="12"/>
      <c r="B570" s="12"/>
      <c r="C570" s="13"/>
      <c r="D570" s="14"/>
      <c r="E570" s="15"/>
      <c r="F570" s="16" t="str">
        <f aca="false">IF(OR(C570="",D570=""),"",EDATE(D570,IFERROR(INDEX(Paketler!$B$5:$B$24,MATCH(C570,Paketler!$A$5:$A$24,0)),0))-1)</f>
        <v/>
      </c>
      <c r="G570" s="17" t="str">
        <f aca="false">IF(F570="","",IFERROR(INDEX(Paketler!$C$5:$C$24,MATCH(C570,Paketler!$A$5:$A$24,0)),0))</f>
        <v/>
      </c>
      <c r="H570" s="17" t="str">
        <f aca="false">IF(F570="","",G570-E570)</f>
        <v/>
      </c>
      <c r="I570" s="18" t="str">
        <f aca="true">IF(F570="","",F570-TODAY())</f>
        <v/>
      </c>
      <c r="J570" s="19" t="str">
        <f aca="true">IF(F570="","",IF(TODAY()&lt;D570,"Başlamadı",IF(TODAY()&gt;F570,"Bitti",IF(F570-TODAY()&lt;=7,"Bitiyor","Aktif"))))</f>
        <v/>
      </c>
      <c r="K570" s="19" t="str">
        <f aca="false">IF(OR(J570="Aktif",J570="Bitiyor"),F570+ROW()/1000000,"")</f>
        <v/>
      </c>
    </row>
    <row r="571" customFormat="false" ht="15" hidden="false" customHeight="false" outlineLevel="0" collapsed="false">
      <c r="A571" s="12"/>
      <c r="B571" s="12"/>
      <c r="C571" s="13"/>
      <c r="D571" s="14"/>
      <c r="E571" s="15"/>
      <c r="F571" s="16" t="str">
        <f aca="false">IF(OR(C571="",D571=""),"",EDATE(D571,IFERROR(INDEX(Paketler!$B$5:$B$24,MATCH(C571,Paketler!$A$5:$A$24,0)),0))-1)</f>
        <v/>
      </c>
      <c r="G571" s="17" t="str">
        <f aca="false">IF(F571="","",IFERROR(INDEX(Paketler!$C$5:$C$24,MATCH(C571,Paketler!$A$5:$A$24,0)),0))</f>
        <v/>
      </c>
      <c r="H571" s="17" t="str">
        <f aca="false">IF(F571="","",G571-E571)</f>
        <v/>
      </c>
      <c r="I571" s="18" t="str">
        <f aca="true">IF(F571="","",F571-TODAY())</f>
        <v/>
      </c>
      <c r="J571" s="19" t="str">
        <f aca="true">IF(F571="","",IF(TODAY()&lt;D571,"Başlamadı",IF(TODAY()&gt;F571,"Bitti",IF(F571-TODAY()&lt;=7,"Bitiyor","Aktif"))))</f>
        <v/>
      </c>
      <c r="K571" s="19" t="str">
        <f aca="false">IF(OR(J571="Aktif",J571="Bitiyor"),F571+ROW()/1000000,"")</f>
        <v/>
      </c>
    </row>
    <row r="572" customFormat="false" ht="15" hidden="false" customHeight="false" outlineLevel="0" collapsed="false">
      <c r="A572" s="12"/>
      <c r="B572" s="12"/>
      <c r="C572" s="13"/>
      <c r="D572" s="14"/>
      <c r="E572" s="15"/>
      <c r="F572" s="16" t="str">
        <f aca="false">IF(OR(C572="",D572=""),"",EDATE(D572,IFERROR(INDEX(Paketler!$B$5:$B$24,MATCH(C572,Paketler!$A$5:$A$24,0)),0))-1)</f>
        <v/>
      </c>
      <c r="G572" s="17" t="str">
        <f aca="false">IF(F572="","",IFERROR(INDEX(Paketler!$C$5:$C$24,MATCH(C572,Paketler!$A$5:$A$24,0)),0))</f>
        <v/>
      </c>
      <c r="H572" s="17" t="str">
        <f aca="false">IF(F572="","",G572-E572)</f>
        <v/>
      </c>
      <c r="I572" s="18" t="str">
        <f aca="true">IF(F572="","",F572-TODAY())</f>
        <v/>
      </c>
      <c r="J572" s="19" t="str">
        <f aca="true">IF(F572="","",IF(TODAY()&lt;D572,"Başlamadı",IF(TODAY()&gt;F572,"Bitti",IF(F572-TODAY()&lt;=7,"Bitiyor","Aktif"))))</f>
        <v/>
      </c>
      <c r="K572" s="19" t="str">
        <f aca="false">IF(OR(J572="Aktif",J572="Bitiyor"),F572+ROW()/1000000,"")</f>
        <v/>
      </c>
    </row>
    <row r="573" customFormat="false" ht="15" hidden="false" customHeight="false" outlineLevel="0" collapsed="false">
      <c r="A573" s="12"/>
      <c r="B573" s="12"/>
      <c r="C573" s="13"/>
      <c r="D573" s="14"/>
      <c r="E573" s="15"/>
      <c r="F573" s="16" t="str">
        <f aca="false">IF(OR(C573="",D573=""),"",EDATE(D573,IFERROR(INDEX(Paketler!$B$5:$B$24,MATCH(C573,Paketler!$A$5:$A$24,0)),0))-1)</f>
        <v/>
      </c>
      <c r="G573" s="17" t="str">
        <f aca="false">IF(F573="","",IFERROR(INDEX(Paketler!$C$5:$C$24,MATCH(C573,Paketler!$A$5:$A$24,0)),0))</f>
        <v/>
      </c>
      <c r="H573" s="17" t="str">
        <f aca="false">IF(F573="","",G573-E573)</f>
        <v/>
      </c>
      <c r="I573" s="18" t="str">
        <f aca="true">IF(F573="","",F573-TODAY())</f>
        <v/>
      </c>
      <c r="J573" s="19" t="str">
        <f aca="true">IF(F573="","",IF(TODAY()&lt;D573,"Başlamadı",IF(TODAY()&gt;F573,"Bitti",IF(F573-TODAY()&lt;=7,"Bitiyor","Aktif"))))</f>
        <v/>
      </c>
      <c r="K573" s="19" t="str">
        <f aca="false">IF(OR(J573="Aktif",J573="Bitiyor"),F573+ROW()/1000000,"")</f>
        <v/>
      </c>
    </row>
    <row r="574" customFormat="false" ht="15" hidden="false" customHeight="false" outlineLevel="0" collapsed="false">
      <c r="A574" s="12"/>
      <c r="B574" s="12"/>
      <c r="C574" s="13"/>
      <c r="D574" s="14"/>
      <c r="E574" s="15"/>
      <c r="F574" s="16" t="str">
        <f aca="false">IF(OR(C574="",D574=""),"",EDATE(D574,IFERROR(INDEX(Paketler!$B$5:$B$24,MATCH(C574,Paketler!$A$5:$A$24,0)),0))-1)</f>
        <v/>
      </c>
      <c r="G574" s="17" t="str">
        <f aca="false">IF(F574="","",IFERROR(INDEX(Paketler!$C$5:$C$24,MATCH(C574,Paketler!$A$5:$A$24,0)),0))</f>
        <v/>
      </c>
      <c r="H574" s="17" t="str">
        <f aca="false">IF(F574="","",G574-E574)</f>
        <v/>
      </c>
      <c r="I574" s="18" t="str">
        <f aca="true">IF(F574="","",F574-TODAY())</f>
        <v/>
      </c>
      <c r="J574" s="19" t="str">
        <f aca="true">IF(F574="","",IF(TODAY()&lt;D574,"Başlamadı",IF(TODAY()&gt;F574,"Bitti",IF(F574-TODAY()&lt;=7,"Bitiyor","Aktif"))))</f>
        <v/>
      </c>
      <c r="K574" s="19" t="str">
        <f aca="false">IF(OR(J574="Aktif",J574="Bitiyor"),F574+ROW()/1000000,"")</f>
        <v/>
      </c>
    </row>
    <row r="575" customFormat="false" ht="15" hidden="false" customHeight="false" outlineLevel="0" collapsed="false">
      <c r="A575" s="12"/>
      <c r="B575" s="12"/>
      <c r="C575" s="13"/>
      <c r="D575" s="14"/>
      <c r="E575" s="15"/>
      <c r="F575" s="16" t="str">
        <f aca="false">IF(OR(C575="",D575=""),"",EDATE(D575,IFERROR(INDEX(Paketler!$B$5:$B$24,MATCH(C575,Paketler!$A$5:$A$24,0)),0))-1)</f>
        <v/>
      </c>
      <c r="G575" s="17" t="str">
        <f aca="false">IF(F575="","",IFERROR(INDEX(Paketler!$C$5:$C$24,MATCH(C575,Paketler!$A$5:$A$24,0)),0))</f>
        <v/>
      </c>
      <c r="H575" s="17" t="str">
        <f aca="false">IF(F575="","",G575-E575)</f>
        <v/>
      </c>
      <c r="I575" s="18" t="str">
        <f aca="true">IF(F575="","",F575-TODAY())</f>
        <v/>
      </c>
      <c r="J575" s="19" t="str">
        <f aca="true">IF(F575="","",IF(TODAY()&lt;D575,"Başlamadı",IF(TODAY()&gt;F575,"Bitti",IF(F575-TODAY()&lt;=7,"Bitiyor","Aktif"))))</f>
        <v/>
      </c>
      <c r="K575" s="19" t="str">
        <f aca="false">IF(OR(J575="Aktif",J575="Bitiyor"),F575+ROW()/1000000,"")</f>
        <v/>
      </c>
    </row>
    <row r="576" customFormat="false" ht="15" hidden="false" customHeight="false" outlineLevel="0" collapsed="false">
      <c r="A576" s="12"/>
      <c r="B576" s="12"/>
      <c r="C576" s="13"/>
      <c r="D576" s="14"/>
      <c r="E576" s="15"/>
      <c r="F576" s="16" t="str">
        <f aca="false">IF(OR(C576="",D576=""),"",EDATE(D576,IFERROR(INDEX(Paketler!$B$5:$B$24,MATCH(C576,Paketler!$A$5:$A$24,0)),0))-1)</f>
        <v/>
      </c>
      <c r="G576" s="17" t="str">
        <f aca="false">IF(F576="","",IFERROR(INDEX(Paketler!$C$5:$C$24,MATCH(C576,Paketler!$A$5:$A$24,0)),0))</f>
        <v/>
      </c>
      <c r="H576" s="17" t="str">
        <f aca="false">IF(F576="","",G576-E576)</f>
        <v/>
      </c>
      <c r="I576" s="18" t="str">
        <f aca="true">IF(F576="","",F576-TODAY())</f>
        <v/>
      </c>
      <c r="J576" s="19" t="str">
        <f aca="true">IF(F576="","",IF(TODAY()&lt;D576,"Başlamadı",IF(TODAY()&gt;F576,"Bitti",IF(F576-TODAY()&lt;=7,"Bitiyor","Aktif"))))</f>
        <v/>
      </c>
      <c r="K576" s="19" t="str">
        <f aca="false">IF(OR(J576="Aktif",J576="Bitiyor"),F576+ROW()/1000000,"")</f>
        <v/>
      </c>
    </row>
    <row r="577" customFormat="false" ht="15" hidden="false" customHeight="false" outlineLevel="0" collapsed="false">
      <c r="A577" s="12"/>
      <c r="B577" s="12"/>
      <c r="C577" s="13"/>
      <c r="D577" s="14"/>
      <c r="E577" s="15"/>
      <c r="F577" s="16" t="str">
        <f aca="false">IF(OR(C577="",D577=""),"",EDATE(D577,IFERROR(INDEX(Paketler!$B$5:$B$24,MATCH(C577,Paketler!$A$5:$A$24,0)),0))-1)</f>
        <v/>
      </c>
      <c r="G577" s="17" t="str">
        <f aca="false">IF(F577="","",IFERROR(INDEX(Paketler!$C$5:$C$24,MATCH(C577,Paketler!$A$5:$A$24,0)),0))</f>
        <v/>
      </c>
      <c r="H577" s="17" t="str">
        <f aca="false">IF(F577="","",G577-E577)</f>
        <v/>
      </c>
      <c r="I577" s="18" t="str">
        <f aca="true">IF(F577="","",F577-TODAY())</f>
        <v/>
      </c>
      <c r="J577" s="19" t="str">
        <f aca="true">IF(F577="","",IF(TODAY()&lt;D577,"Başlamadı",IF(TODAY()&gt;F577,"Bitti",IF(F577-TODAY()&lt;=7,"Bitiyor","Aktif"))))</f>
        <v/>
      </c>
      <c r="K577" s="19" t="str">
        <f aca="false">IF(OR(J577="Aktif",J577="Bitiyor"),F577+ROW()/1000000,"")</f>
        <v/>
      </c>
    </row>
    <row r="578" customFormat="false" ht="15" hidden="false" customHeight="false" outlineLevel="0" collapsed="false">
      <c r="A578" s="12"/>
      <c r="B578" s="12"/>
      <c r="C578" s="13"/>
      <c r="D578" s="14"/>
      <c r="E578" s="15"/>
      <c r="F578" s="16" t="str">
        <f aca="false">IF(OR(C578="",D578=""),"",EDATE(D578,IFERROR(INDEX(Paketler!$B$5:$B$24,MATCH(C578,Paketler!$A$5:$A$24,0)),0))-1)</f>
        <v/>
      </c>
      <c r="G578" s="17" t="str">
        <f aca="false">IF(F578="","",IFERROR(INDEX(Paketler!$C$5:$C$24,MATCH(C578,Paketler!$A$5:$A$24,0)),0))</f>
        <v/>
      </c>
      <c r="H578" s="17" t="str">
        <f aca="false">IF(F578="","",G578-E578)</f>
        <v/>
      </c>
      <c r="I578" s="18" t="str">
        <f aca="true">IF(F578="","",F578-TODAY())</f>
        <v/>
      </c>
      <c r="J578" s="19" t="str">
        <f aca="true">IF(F578="","",IF(TODAY()&lt;D578,"Başlamadı",IF(TODAY()&gt;F578,"Bitti",IF(F578-TODAY()&lt;=7,"Bitiyor","Aktif"))))</f>
        <v/>
      </c>
      <c r="K578" s="19" t="str">
        <f aca="false">IF(OR(J578="Aktif",J578="Bitiyor"),F578+ROW()/1000000,"")</f>
        <v/>
      </c>
    </row>
    <row r="579" customFormat="false" ht="15" hidden="false" customHeight="false" outlineLevel="0" collapsed="false">
      <c r="A579" s="12"/>
      <c r="B579" s="12"/>
      <c r="C579" s="13"/>
      <c r="D579" s="14"/>
      <c r="E579" s="15"/>
      <c r="F579" s="16" t="str">
        <f aca="false">IF(OR(C579="",D579=""),"",EDATE(D579,IFERROR(INDEX(Paketler!$B$5:$B$24,MATCH(C579,Paketler!$A$5:$A$24,0)),0))-1)</f>
        <v/>
      </c>
      <c r="G579" s="17" t="str">
        <f aca="false">IF(F579="","",IFERROR(INDEX(Paketler!$C$5:$C$24,MATCH(C579,Paketler!$A$5:$A$24,0)),0))</f>
        <v/>
      </c>
      <c r="H579" s="17" t="str">
        <f aca="false">IF(F579="","",G579-E579)</f>
        <v/>
      </c>
      <c r="I579" s="18" t="str">
        <f aca="true">IF(F579="","",F579-TODAY())</f>
        <v/>
      </c>
      <c r="J579" s="19" t="str">
        <f aca="true">IF(F579="","",IF(TODAY()&lt;D579,"Başlamadı",IF(TODAY()&gt;F579,"Bitti",IF(F579-TODAY()&lt;=7,"Bitiyor","Aktif"))))</f>
        <v/>
      </c>
      <c r="K579" s="19" t="str">
        <f aca="false">IF(OR(J579="Aktif",J579="Bitiyor"),F579+ROW()/1000000,"")</f>
        <v/>
      </c>
    </row>
    <row r="580" customFormat="false" ht="15" hidden="false" customHeight="false" outlineLevel="0" collapsed="false">
      <c r="A580" s="12"/>
      <c r="B580" s="12"/>
      <c r="C580" s="13"/>
      <c r="D580" s="14"/>
      <c r="E580" s="15"/>
      <c r="F580" s="16" t="str">
        <f aca="false">IF(OR(C580="",D580=""),"",EDATE(D580,IFERROR(INDEX(Paketler!$B$5:$B$24,MATCH(C580,Paketler!$A$5:$A$24,0)),0))-1)</f>
        <v/>
      </c>
      <c r="G580" s="17" t="str">
        <f aca="false">IF(F580="","",IFERROR(INDEX(Paketler!$C$5:$C$24,MATCH(C580,Paketler!$A$5:$A$24,0)),0))</f>
        <v/>
      </c>
      <c r="H580" s="17" t="str">
        <f aca="false">IF(F580="","",G580-E580)</f>
        <v/>
      </c>
      <c r="I580" s="18" t="str">
        <f aca="true">IF(F580="","",F580-TODAY())</f>
        <v/>
      </c>
      <c r="J580" s="19" t="str">
        <f aca="true">IF(F580="","",IF(TODAY()&lt;D580,"Başlamadı",IF(TODAY()&gt;F580,"Bitti",IF(F580-TODAY()&lt;=7,"Bitiyor","Aktif"))))</f>
        <v/>
      </c>
      <c r="K580" s="19" t="str">
        <f aca="false">IF(OR(J580="Aktif",J580="Bitiyor"),F580+ROW()/1000000,"")</f>
        <v/>
      </c>
    </row>
    <row r="581" customFormat="false" ht="15" hidden="false" customHeight="false" outlineLevel="0" collapsed="false">
      <c r="A581" s="12"/>
      <c r="B581" s="12"/>
      <c r="C581" s="13"/>
      <c r="D581" s="14"/>
      <c r="E581" s="15"/>
      <c r="F581" s="16" t="str">
        <f aca="false">IF(OR(C581="",D581=""),"",EDATE(D581,IFERROR(INDEX(Paketler!$B$5:$B$24,MATCH(C581,Paketler!$A$5:$A$24,0)),0))-1)</f>
        <v/>
      </c>
      <c r="G581" s="17" t="str">
        <f aca="false">IF(F581="","",IFERROR(INDEX(Paketler!$C$5:$C$24,MATCH(C581,Paketler!$A$5:$A$24,0)),0))</f>
        <v/>
      </c>
      <c r="H581" s="17" t="str">
        <f aca="false">IF(F581="","",G581-E581)</f>
        <v/>
      </c>
      <c r="I581" s="18" t="str">
        <f aca="true">IF(F581="","",F581-TODAY())</f>
        <v/>
      </c>
      <c r="J581" s="19" t="str">
        <f aca="true">IF(F581="","",IF(TODAY()&lt;D581,"Başlamadı",IF(TODAY()&gt;F581,"Bitti",IF(F581-TODAY()&lt;=7,"Bitiyor","Aktif"))))</f>
        <v/>
      </c>
      <c r="K581" s="19" t="str">
        <f aca="false">IF(OR(J581="Aktif",J581="Bitiyor"),F581+ROW()/1000000,"")</f>
        <v/>
      </c>
    </row>
    <row r="582" customFormat="false" ht="15" hidden="false" customHeight="false" outlineLevel="0" collapsed="false">
      <c r="A582" s="12"/>
      <c r="B582" s="12"/>
      <c r="C582" s="13"/>
      <c r="D582" s="14"/>
      <c r="E582" s="15"/>
      <c r="F582" s="16" t="str">
        <f aca="false">IF(OR(C582="",D582=""),"",EDATE(D582,IFERROR(INDEX(Paketler!$B$5:$B$24,MATCH(C582,Paketler!$A$5:$A$24,0)),0))-1)</f>
        <v/>
      </c>
      <c r="G582" s="17" t="str">
        <f aca="false">IF(F582="","",IFERROR(INDEX(Paketler!$C$5:$C$24,MATCH(C582,Paketler!$A$5:$A$24,0)),0))</f>
        <v/>
      </c>
      <c r="H582" s="17" t="str">
        <f aca="false">IF(F582="","",G582-E582)</f>
        <v/>
      </c>
      <c r="I582" s="18" t="str">
        <f aca="true">IF(F582="","",F582-TODAY())</f>
        <v/>
      </c>
      <c r="J582" s="19" t="str">
        <f aca="true">IF(F582="","",IF(TODAY()&lt;D582,"Başlamadı",IF(TODAY()&gt;F582,"Bitti",IF(F582-TODAY()&lt;=7,"Bitiyor","Aktif"))))</f>
        <v/>
      </c>
      <c r="K582" s="19" t="str">
        <f aca="false">IF(OR(J582="Aktif",J582="Bitiyor"),F582+ROW()/1000000,"")</f>
        <v/>
      </c>
    </row>
    <row r="583" customFormat="false" ht="15" hidden="false" customHeight="false" outlineLevel="0" collapsed="false">
      <c r="A583" s="12"/>
      <c r="B583" s="12"/>
      <c r="C583" s="13"/>
      <c r="D583" s="14"/>
      <c r="E583" s="15"/>
      <c r="F583" s="16" t="str">
        <f aca="false">IF(OR(C583="",D583=""),"",EDATE(D583,IFERROR(INDEX(Paketler!$B$5:$B$24,MATCH(C583,Paketler!$A$5:$A$24,0)),0))-1)</f>
        <v/>
      </c>
      <c r="G583" s="17" t="str">
        <f aca="false">IF(F583="","",IFERROR(INDEX(Paketler!$C$5:$C$24,MATCH(C583,Paketler!$A$5:$A$24,0)),0))</f>
        <v/>
      </c>
      <c r="H583" s="17" t="str">
        <f aca="false">IF(F583="","",G583-E583)</f>
        <v/>
      </c>
      <c r="I583" s="18" t="str">
        <f aca="true">IF(F583="","",F583-TODAY())</f>
        <v/>
      </c>
      <c r="J583" s="19" t="str">
        <f aca="true">IF(F583="","",IF(TODAY()&lt;D583,"Başlamadı",IF(TODAY()&gt;F583,"Bitti",IF(F583-TODAY()&lt;=7,"Bitiyor","Aktif"))))</f>
        <v/>
      </c>
      <c r="K583" s="19" t="str">
        <f aca="false">IF(OR(J583="Aktif",J583="Bitiyor"),F583+ROW()/1000000,"")</f>
        <v/>
      </c>
    </row>
    <row r="584" customFormat="false" ht="15" hidden="false" customHeight="false" outlineLevel="0" collapsed="false">
      <c r="A584" s="12"/>
      <c r="B584" s="12"/>
      <c r="C584" s="13"/>
      <c r="D584" s="14"/>
      <c r="E584" s="15"/>
      <c r="F584" s="16" t="str">
        <f aca="false">IF(OR(C584="",D584=""),"",EDATE(D584,IFERROR(INDEX(Paketler!$B$5:$B$24,MATCH(C584,Paketler!$A$5:$A$24,0)),0))-1)</f>
        <v/>
      </c>
      <c r="G584" s="17" t="str">
        <f aca="false">IF(F584="","",IFERROR(INDEX(Paketler!$C$5:$C$24,MATCH(C584,Paketler!$A$5:$A$24,0)),0))</f>
        <v/>
      </c>
      <c r="H584" s="17" t="str">
        <f aca="false">IF(F584="","",G584-E584)</f>
        <v/>
      </c>
      <c r="I584" s="18" t="str">
        <f aca="true">IF(F584="","",F584-TODAY())</f>
        <v/>
      </c>
      <c r="J584" s="19" t="str">
        <f aca="true">IF(F584="","",IF(TODAY()&lt;D584,"Başlamadı",IF(TODAY()&gt;F584,"Bitti",IF(F584-TODAY()&lt;=7,"Bitiyor","Aktif"))))</f>
        <v/>
      </c>
      <c r="K584" s="19" t="str">
        <f aca="false">IF(OR(J584="Aktif",J584="Bitiyor"),F584+ROW()/1000000,"")</f>
        <v/>
      </c>
    </row>
    <row r="585" customFormat="false" ht="15" hidden="false" customHeight="false" outlineLevel="0" collapsed="false">
      <c r="A585" s="12"/>
      <c r="B585" s="12"/>
      <c r="C585" s="13"/>
      <c r="D585" s="14"/>
      <c r="E585" s="15"/>
      <c r="F585" s="16" t="str">
        <f aca="false">IF(OR(C585="",D585=""),"",EDATE(D585,IFERROR(INDEX(Paketler!$B$5:$B$24,MATCH(C585,Paketler!$A$5:$A$24,0)),0))-1)</f>
        <v/>
      </c>
      <c r="G585" s="17" t="str">
        <f aca="false">IF(F585="","",IFERROR(INDEX(Paketler!$C$5:$C$24,MATCH(C585,Paketler!$A$5:$A$24,0)),0))</f>
        <v/>
      </c>
      <c r="H585" s="17" t="str">
        <f aca="false">IF(F585="","",G585-E585)</f>
        <v/>
      </c>
      <c r="I585" s="18" t="str">
        <f aca="true">IF(F585="","",F585-TODAY())</f>
        <v/>
      </c>
      <c r="J585" s="19" t="str">
        <f aca="true">IF(F585="","",IF(TODAY()&lt;D585,"Başlamadı",IF(TODAY()&gt;F585,"Bitti",IF(F585-TODAY()&lt;=7,"Bitiyor","Aktif"))))</f>
        <v/>
      </c>
      <c r="K585" s="19" t="str">
        <f aca="false">IF(OR(J585="Aktif",J585="Bitiyor"),F585+ROW()/1000000,"")</f>
        <v/>
      </c>
    </row>
    <row r="586" customFormat="false" ht="15" hidden="false" customHeight="false" outlineLevel="0" collapsed="false">
      <c r="A586" s="12"/>
      <c r="B586" s="12"/>
      <c r="C586" s="13"/>
      <c r="D586" s="14"/>
      <c r="E586" s="15"/>
      <c r="F586" s="16" t="str">
        <f aca="false">IF(OR(C586="",D586=""),"",EDATE(D586,IFERROR(INDEX(Paketler!$B$5:$B$24,MATCH(C586,Paketler!$A$5:$A$24,0)),0))-1)</f>
        <v/>
      </c>
      <c r="G586" s="17" t="str">
        <f aca="false">IF(F586="","",IFERROR(INDEX(Paketler!$C$5:$C$24,MATCH(C586,Paketler!$A$5:$A$24,0)),0))</f>
        <v/>
      </c>
      <c r="H586" s="17" t="str">
        <f aca="false">IF(F586="","",G586-E586)</f>
        <v/>
      </c>
      <c r="I586" s="18" t="str">
        <f aca="true">IF(F586="","",F586-TODAY())</f>
        <v/>
      </c>
      <c r="J586" s="19" t="str">
        <f aca="true">IF(F586="","",IF(TODAY()&lt;D586,"Başlamadı",IF(TODAY()&gt;F586,"Bitti",IF(F586-TODAY()&lt;=7,"Bitiyor","Aktif"))))</f>
        <v/>
      </c>
      <c r="K586" s="19" t="str">
        <f aca="false">IF(OR(J586="Aktif",J586="Bitiyor"),F586+ROW()/1000000,"")</f>
        <v/>
      </c>
    </row>
    <row r="587" customFormat="false" ht="15" hidden="false" customHeight="false" outlineLevel="0" collapsed="false">
      <c r="A587" s="12"/>
      <c r="B587" s="12"/>
      <c r="C587" s="13"/>
      <c r="D587" s="14"/>
      <c r="E587" s="15"/>
      <c r="F587" s="16" t="str">
        <f aca="false">IF(OR(C587="",D587=""),"",EDATE(D587,IFERROR(INDEX(Paketler!$B$5:$B$24,MATCH(C587,Paketler!$A$5:$A$24,0)),0))-1)</f>
        <v/>
      </c>
      <c r="G587" s="17" t="str">
        <f aca="false">IF(F587="","",IFERROR(INDEX(Paketler!$C$5:$C$24,MATCH(C587,Paketler!$A$5:$A$24,0)),0))</f>
        <v/>
      </c>
      <c r="H587" s="17" t="str">
        <f aca="false">IF(F587="","",G587-E587)</f>
        <v/>
      </c>
      <c r="I587" s="18" t="str">
        <f aca="true">IF(F587="","",F587-TODAY())</f>
        <v/>
      </c>
      <c r="J587" s="19" t="str">
        <f aca="true">IF(F587="","",IF(TODAY()&lt;D587,"Başlamadı",IF(TODAY()&gt;F587,"Bitti",IF(F587-TODAY()&lt;=7,"Bitiyor","Aktif"))))</f>
        <v/>
      </c>
      <c r="K587" s="19" t="str">
        <f aca="false">IF(OR(J587="Aktif",J587="Bitiyor"),F587+ROW()/1000000,"")</f>
        <v/>
      </c>
    </row>
    <row r="588" customFormat="false" ht="15" hidden="false" customHeight="false" outlineLevel="0" collapsed="false">
      <c r="A588" s="12"/>
      <c r="B588" s="12"/>
      <c r="C588" s="13"/>
      <c r="D588" s="14"/>
      <c r="E588" s="15"/>
      <c r="F588" s="16" t="str">
        <f aca="false">IF(OR(C588="",D588=""),"",EDATE(D588,IFERROR(INDEX(Paketler!$B$5:$B$24,MATCH(C588,Paketler!$A$5:$A$24,0)),0))-1)</f>
        <v/>
      </c>
      <c r="G588" s="17" t="str">
        <f aca="false">IF(F588="","",IFERROR(INDEX(Paketler!$C$5:$C$24,MATCH(C588,Paketler!$A$5:$A$24,0)),0))</f>
        <v/>
      </c>
      <c r="H588" s="17" t="str">
        <f aca="false">IF(F588="","",G588-E588)</f>
        <v/>
      </c>
      <c r="I588" s="18" t="str">
        <f aca="true">IF(F588="","",F588-TODAY())</f>
        <v/>
      </c>
      <c r="J588" s="19" t="str">
        <f aca="true">IF(F588="","",IF(TODAY()&lt;D588,"Başlamadı",IF(TODAY()&gt;F588,"Bitti",IF(F588-TODAY()&lt;=7,"Bitiyor","Aktif"))))</f>
        <v/>
      </c>
      <c r="K588" s="19" t="str">
        <f aca="false">IF(OR(J588="Aktif",J588="Bitiyor"),F588+ROW()/1000000,"")</f>
        <v/>
      </c>
    </row>
    <row r="589" customFormat="false" ht="15" hidden="false" customHeight="false" outlineLevel="0" collapsed="false">
      <c r="A589" s="12"/>
      <c r="B589" s="12"/>
      <c r="C589" s="13"/>
      <c r="D589" s="14"/>
      <c r="E589" s="15"/>
      <c r="F589" s="16" t="str">
        <f aca="false">IF(OR(C589="",D589=""),"",EDATE(D589,IFERROR(INDEX(Paketler!$B$5:$B$24,MATCH(C589,Paketler!$A$5:$A$24,0)),0))-1)</f>
        <v/>
      </c>
      <c r="G589" s="17" t="str">
        <f aca="false">IF(F589="","",IFERROR(INDEX(Paketler!$C$5:$C$24,MATCH(C589,Paketler!$A$5:$A$24,0)),0))</f>
        <v/>
      </c>
      <c r="H589" s="17" t="str">
        <f aca="false">IF(F589="","",G589-E589)</f>
        <v/>
      </c>
      <c r="I589" s="18" t="str">
        <f aca="true">IF(F589="","",F589-TODAY())</f>
        <v/>
      </c>
      <c r="J589" s="19" t="str">
        <f aca="true">IF(F589="","",IF(TODAY()&lt;D589,"Başlamadı",IF(TODAY()&gt;F589,"Bitti",IF(F589-TODAY()&lt;=7,"Bitiyor","Aktif"))))</f>
        <v/>
      </c>
      <c r="K589" s="19" t="str">
        <f aca="false">IF(OR(J589="Aktif",J589="Bitiyor"),F589+ROW()/1000000,"")</f>
        <v/>
      </c>
    </row>
    <row r="590" customFormat="false" ht="15" hidden="false" customHeight="false" outlineLevel="0" collapsed="false">
      <c r="A590" s="12"/>
      <c r="B590" s="12"/>
      <c r="C590" s="13"/>
      <c r="D590" s="14"/>
      <c r="E590" s="15"/>
      <c r="F590" s="16" t="str">
        <f aca="false">IF(OR(C590="",D590=""),"",EDATE(D590,IFERROR(INDEX(Paketler!$B$5:$B$24,MATCH(C590,Paketler!$A$5:$A$24,0)),0))-1)</f>
        <v/>
      </c>
      <c r="G590" s="17" t="str">
        <f aca="false">IF(F590="","",IFERROR(INDEX(Paketler!$C$5:$C$24,MATCH(C590,Paketler!$A$5:$A$24,0)),0))</f>
        <v/>
      </c>
      <c r="H590" s="17" t="str">
        <f aca="false">IF(F590="","",G590-E590)</f>
        <v/>
      </c>
      <c r="I590" s="18" t="str">
        <f aca="true">IF(F590="","",F590-TODAY())</f>
        <v/>
      </c>
      <c r="J590" s="19" t="str">
        <f aca="true">IF(F590="","",IF(TODAY()&lt;D590,"Başlamadı",IF(TODAY()&gt;F590,"Bitti",IF(F590-TODAY()&lt;=7,"Bitiyor","Aktif"))))</f>
        <v/>
      </c>
      <c r="K590" s="19" t="str">
        <f aca="false">IF(OR(J590="Aktif",J590="Bitiyor"),F590+ROW()/1000000,"")</f>
        <v/>
      </c>
    </row>
    <row r="591" customFormat="false" ht="15" hidden="false" customHeight="false" outlineLevel="0" collapsed="false">
      <c r="A591" s="12"/>
      <c r="B591" s="12"/>
      <c r="C591" s="13"/>
      <c r="D591" s="14"/>
      <c r="E591" s="15"/>
      <c r="F591" s="16" t="str">
        <f aca="false">IF(OR(C591="",D591=""),"",EDATE(D591,IFERROR(INDEX(Paketler!$B$5:$B$24,MATCH(C591,Paketler!$A$5:$A$24,0)),0))-1)</f>
        <v/>
      </c>
      <c r="G591" s="17" t="str">
        <f aca="false">IF(F591="","",IFERROR(INDEX(Paketler!$C$5:$C$24,MATCH(C591,Paketler!$A$5:$A$24,0)),0))</f>
        <v/>
      </c>
      <c r="H591" s="17" t="str">
        <f aca="false">IF(F591="","",G591-E591)</f>
        <v/>
      </c>
      <c r="I591" s="18" t="str">
        <f aca="true">IF(F591="","",F591-TODAY())</f>
        <v/>
      </c>
      <c r="J591" s="19" t="str">
        <f aca="true">IF(F591="","",IF(TODAY()&lt;D591,"Başlamadı",IF(TODAY()&gt;F591,"Bitti",IF(F591-TODAY()&lt;=7,"Bitiyor","Aktif"))))</f>
        <v/>
      </c>
      <c r="K591" s="19" t="str">
        <f aca="false">IF(OR(J591="Aktif",J591="Bitiyor"),F591+ROW()/1000000,"")</f>
        <v/>
      </c>
    </row>
    <row r="592" customFormat="false" ht="15" hidden="false" customHeight="false" outlineLevel="0" collapsed="false">
      <c r="A592" s="12"/>
      <c r="B592" s="12"/>
      <c r="C592" s="13"/>
      <c r="D592" s="14"/>
      <c r="E592" s="15"/>
      <c r="F592" s="16" t="str">
        <f aca="false">IF(OR(C592="",D592=""),"",EDATE(D592,IFERROR(INDEX(Paketler!$B$5:$B$24,MATCH(C592,Paketler!$A$5:$A$24,0)),0))-1)</f>
        <v/>
      </c>
      <c r="G592" s="17" t="str">
        <f aca="false">IF(F592="","",IFERROR(INDEX(Paketler!$C$5:$C$24,MATCH(C592,Paketler!$A$5:$A$24,0)),0))</f>
        <v/>
      </c>
      <c r="H592" s="17" t="str">
        <f aca="false">IF(F592="","",G592-E592)</f>
        <v/>
      </c>
      <c r="I592" s="18" t="str">
        <f aca="true">IF(F592="","",F592-TODAY())</f>
        <v/>
      </c>
      <c r="J592" s="19" t="str">
        <f aca="true">IF(F592="","",IF(TODAY()&lt;D592,"Başlamadı",IF(TODAY()&gt;F592,"Bitti",IF(F592-TODAY()&lt;=7,"Bitiyor","Aktif"))))</f>
        <v/>
      </c>
      <c r="K592" s="19" t="str">
        <f aca="false">IF(OR(J592="Aktif",J592="Bitiyor"),F592+ROW()/1000000,"")</f>
        <v/>
      </c>
    </row>
    <row r="593" customFormat="false" ht="15" hidden="false" customHeight="false" outlineLevel="0" collapsed="false">
      <c r="A593" s="12"/>
      <c r="B593" s="12"/>
      <c r="C593" s="13"/>
      <c r="D593" s="14"/>
      <c r="E593" s="15"/>
      <c r="F593" s="16" t="str">
        <f aca="false">IF(OR(C593="",D593=""),"",EDATE(D593,IFERROR(INDEX(Paketler!$B$5:$B$24,MATCH(C593,Paketler!$A$5:$A$24,0)),0))-1)</f>
        <v/>
      </c>
      <c r="G593" s="17" t="str">
        <f aca="false">IF(F593="","",IFERROR(INDEX(Paketler!$C$5:$C$24,MATCH(C593,Paketler!$A$5:$A$24,0)),0))</f>
        <v/>
      </c>
      <c r="H593" s="17" t="str">
        <f aca="false">IF(F593="","",G593-E593)</f>
        <v/>
      </c>
      <c r="I593" s="18" t="str">
        <f aca="true">IF(F593="","",F593-TODAY())</f>
        <v/>
      </c>
      <c r="J593" s="19" t="str">
        <f aca="true">IF(F593="","",IF(TODAY()&lt;D593,"Başlamadı",IF(TODAY()&gt;F593,"Bitti",IF(F593-TODAY()&lt;=7,"Bitiyor","Aktif"))))</f>
        <v/>
      </c>
      <c r="K593" s="19" t="str">
        <f aca="false">IF(OR(J593="Aktif",J593="Bitiyor"),F593+ROW()/1000000,"")</f>
        <v/>
      </c>
    </row>
    <row r="594" customFormat="false" ht="15" hidden="false" customHeight="false" outlineLevel="0" collapsed="false">
      <c r="A594" s="12"/>
      <c r="B594" s="12"/>
      <c r="C594" s="13"/>
      <c r="D594" s="14"/>
      <c r="E594" s="15"/>
      <c r="F594" s="16" t="str">
        <f aca="false">IF(OR(C594="",D594=""),"",EDATE(D594,IFERROR(INDEX(Paketler!$B$5:$B$24,MATCH(C594,Paketler!$A$5:$A$24,0)),0))-1)</f>
        <v/>
      </c>
      <c r="G594" s="17" t="str">
        <f aca="false">IF(F594="","",IFERROR(INDEX(Paketler!$C$5:$C$24,MATCH(C594,Paketler!$A$5:$A$24,0)),0))</f>
        <v/>
      </c>
      <c r="H594" s="17" t="str">
        <f aca="false">IF(F594="","",G594-E594)</f>
        <v/>
      </c>
      <c r="I594" s="18" t="str">
        <f aca="true">IF(F594="","",F594-TODAY())</f>
        <v/>
      </c>
      <c r="J594" s="19" t="str">
        <f aca="true">IF(F594="","",IF(TODAY()&lt;D594,"Başlamadı",IF(TODAY()&gt;F594,"Bitti",IF(F594-TODAY()&lt;=7,"Bitiyor","Aktif"))))</f>
        <v/>
      </c>
      <c r="K594" s="19" t="str">
        <f aca="false">IF(OR(J594="Aktif",J594="Bitiyor"),F594+ROW()/1000000,"")</f>
        <v/>
      </c>
    </row>
    <row r="595" customFormat="false" ht="15" hidden="false" customHeight="false" outlineLevel="0" collapsed="false">
      <c r="A595" s="12"/>
      <c r="B595" s="12"/>
      <c r="C595" s="13"/>
      <c r="D595" s="14"/>
      <c r="E595" s="15"/>
      <c r="F595" s="16" t="str">
        <f aca="false">IF(OR(C595="",D595=""),"",EDATE(D595,IFERROR(INDEX(Paketler!$B$5:$B$24,MATCH(C595,Paketler!$A$5:$A$24,0)),0))-1)</f>
        <v/>
      </c>
      <c r="G595" s="17" t="str">
        <f aca="false">IF(F595="","",IFERROR(INDEX(Paketler!$C$5:$C$24,MATCH(C595,Paketler!$A$5:$A$24,0)),0))</f>
        <v/>
      </c>
      <c r="H595" s="17" t="str">
        <f aca="false">IF(F595="","",G595-E595)</f>
        <v/>
      </c>
      <c r="I595" s="18" t="str">
        <f aca="true">IF(F595="","",F595-TODAY())</f>
        <v/>
      </c>
      <c r="J595" s="19" t="str">
        <f aca="true">IF(F595="","",IF(TODAY()&lt;D595,"Başlamadı",IF(TODAY()&gt;F595,"Bitti",IF(F595-TODAY()&lt;=7,"Bitiyor","Aktif"))))</f>
        <v/>
      </c>
      <c r="K595" s="19" t="str">
        <f aca="false">IF(OR(J595="Aktif",J595="Bitiyor"),F595+ROW()/1000000,"")</f>
        <v/>
      </c>
    </row>
    <row r="596" customFormat="false" ht="15" hidden="false" customHeight="false" outlineLevel="0" collapsed="false">
      <c r="A596" s="12"/>
      <c r="B596" s="12"/>
      <c r="C596" s="13"/>
      <c r="D596" s="14"/>
      <c r="E596" s="15"/>
      <c r="F596" s="16" t="str">
        <f aca="false">IF(OR(C596="",D596=""),"",EDATE(D596,IFERROR(INDEX(Paketler!$B$5:$B$24,MATCH(C596,Paketler!$A$5:$A$24,0)),0))-1)</f>
        <v/>
      </c>
      <c r="G596" s="17" t="str">
        <f aca="false">IF(F596="","",IFERROR(INDEX(Paketler!$C$5:$C$24,MATCH(C596,Paketler!$A$5:$A$24,0)),0))</f>
        <v/>
      </c>
      <c r="H596" s="17" t="str">
        <f aca="false">IF(F596="","",G596-E596)</f>
        <v/>
      </c>
      <c r="I596" s="18" t="str">
        <f aca="true">IF(F596="","",F596-TODAY())</f>
        <v/>
      </c>
      <c r="J596" s="19" t="str">
        <f aca="true">IF(F596="","",IF(TODAY()&lt;D596,"Başlamadı",IF(TODAY()&gt;F596,"Bitti",IF(F596-TODAY()&lt;=7,"Bitiyor","Aktif"))))</f>
        <v/>
      </c>
      <c r="K596" s="19" t="str">
        <f aca="false">IF(OR(J596="Aktif",J596="Bitiyor"),F596+ROW()/1000000,"")</f>
        <v/>
      </c>
    </row>
    <row r="597" customFormat="false" ht="15" hidden="false" customHeight="false" outlineLevel="0" collapsed="false">
      <c r="A597" s="12"/>
      <c r="B597" s="12"/>
      <c r="C597" s="13"/>
      <c r="D597" s="14"/>
      <c r="E597" s="15"/>
      <c r="F597" s="16" t="str">
        <f aca="false">IF(OR(C597="",D597=""),"",EDATE(D597,IFERROR(INDEX(Paketler!$B$5:$B$24,MATCH(C597,Paketler!$A$5:$A$24,0)),0))-1)</f>
        <v/>
      </c>
      <c r="G597" s="17" t="str">
        <f aca="false">IF(F597="","",IFERROR(INDEX(Paketler!$C$5:$C$24,MATCH(C597,Paketler!$A$5:$A$24,0)),0))</f>
        <v/>
      </c>
      <c r="H597" s="17" t="str">
        <f aca="false">IF(F597="","",G597-E597)</f>
        <v/>
      </c>
      <c r="I597" s="18" t="str">
        <f aca="true">IF(F597="","",F597-TODAY())</f>
        <v/>
      </c>
      <c r="J597" s="19" t="str">
        <f aca="true">IF(F597="","",IF(TODAY()&lt;D597,"Başlamadı",IF(TODAY()&gt;F597,"Bitti",IF(F597-TODAY()&lt;=7,"Bitiyor","Aktif"))))</f>
        <v/>
      </c>
      <c r="K597" s="19" t="str">
        <f aca="false">IF(OR(J597="Aktif",J597="Bitiyor"),F597+ROW()/1000000,"")</f>
        <v/>
      </c>
    </row>
    <row r="598" customFormat="false" ht="15" hidden="false" customHeight="false" outlineLevel="0" collapsed="false">
      <c r="A598" s="12"/>
      <c r="B598" s="12"/>
      <c r="C598" s="13"/>
      <c r="D598" s="14"/>
      <c r="E598" s="15"/>
      <c r="F598" s="16" t="str">
        <f aca="false">IF(OR(C598="",D598=""),"",EDATE(D598,IFERROR(INDEX(Paketler!$B$5:$B$24,MATCH(C598,Paketler!$A$5:$A$24,0)),0))-1)</f>
        <v/>
      </c>
      <c r="G598" s="17" t="str">
        <f aca="false">IF(F598="","",IFERROR(INDEX(Paketler!$C$5:$C$24,MATCH(C598,Paketler!$A$5:$A$24,0)),0))</f>
        <v/>
      </c>
      <c r="H598" s="17" t="str">
        <f aca="false">IF(F598="","",G598-E598)</f>
        <v/>
      </c>
      <c r="I598" s="18" t="str">
        <f aca="true">IF(F598="","",F598-TODAY())</f>
        <v/>
      </c>
      <c r="J598" s="19" t="str">
        <f aca="true">IF(F598="","",IF(TODAY()&lt;D598,"Başlamadı",IF(TODAY()&gt;F598,"Bitti",IF(F598-TODAY()&lt;=7,"Bitiyor","Aktif"))))</f>
        <v/>
      </c>
      <c r="K598" s="19" t="str">
        <f aca="false">IF(OR(J598="Aktif",J598="Bitiyor"),F598+ROW()/1000000,"")</f>
        <v/>
      </c>
    </row>
    <row r="599" customFormat="false" ht="15" hidden="false" customHeight="false" outlineLevel="0" collapsed="false">
      <c r="A599" s="12"/>
      <c r="B599" s="12"/>
      <c r="C599" s="13"/>
      <c r="D599" s="14"/>
      <c r="E599" s="15"/>
      <c r="F599" s="16" t="str">
        <f aca="false">IF(OR(C599="",D599=""),"",EDATE(D599,IFERROR(INDEX(Paketler!$B$5:$B$24,MATCH(C599,Paketler!$A$5:$A$24,0)),0))-1)</f>
        <v/>
      </c>
      <c r="G599" s="17" t="str">
        <f aca="false">IF(F599="","",IFERROR(INDEX(Paketler!$C$5:$C$24,MATCH(C599,Paketler!$A$5:$A$24,0)),0))</f>
        <v/>
      </c>
      <c r="H599" s="17" t="str">
        <f aca="false">IF(F599="","",G599-E599)</f>
        <v/>
      </c>
      <c r="I599" s="18" t="str">
        <f aca="true">IF(F599="","",F599-TODAY())</f>
        <v/>
      </c>
      <c r="J599" s="19" t="str">
        <f aca="true">IF(F599="","",IF(TODAY()&lt;D599,"Başlamadı",IF(TODAY()&gt;F599,"Bitti",IF(F599-TODAY()&lt;=7,"Bitiyor","Aktif"))))</f>
        <v/>
      </c>
      <c r="K599" s="19" t="str">
        <f aca="false">IF(OR(J599="Aktif",J599="Bitiyor"),F599+ROW()/1000000,"")</f>
        <v/>
      </c>
    </row>
    <row r="600" customFormat="false" ht="15" hidden="false" customHeight="false" outlineLevel="0" collapsed="false">
      <c r="A600" s="12"/>
      <c r="B600" s="12"/>
      <c r="C600" s="13"/>
      <c r="D600" s="14"/>
      <c r="E600" s="15"/>
      <c r="F600" s="16" t="str">
        <f aca="false">IF(OR(C600="",D600=""),"",EDATE(D600,IFERROR(INDEX(Paketler!$B$5:$B$24,MATCH(C600,Paketler!$A$5:$A$24,0)),0))-1)</f>
        <v/>
      </c>
      <c r="G600" s="17" t="str">
        <f aca="false">IF(F600="","",IFERROR(INDEX(Paketler!$C$5:$C$24,MATCH(C600,Paketler!$A$5:$A$24,0)),0))</f>
        <v/>
      </c>
      <c r="H600" s="17" t="str">
        <f aca="false">IF(F600="","",G600-E600)</f>
        <v/>
      </c>
      <c r="I600" s="18" t="str">
        <f aca="true">IF(F600="","",F600-TODAY())</f>
        <v/>
      </c>
      <c r="J600" s="19" t="str">
        <f aca="true">IF(F600="","",IF(TODAY()&lt;D600,"Başlamadı",IF(TODAY()&gt;F600,"Bitti",IF(F600-TODAY()&lt;=7,"Bitiyor","Aktif"))))</f>
        <v/>
      </c>
      <c r="K600" s="19" t="str">
        <f aca="false">IF(OR(J600="Aktif",J600="Bitiyor"),F600+ROW()/1000000,"")</f>
        <v/>
      </c>
    </row>
    <row r="601" customFormat="false" ht="15" hidden="false" customHeight="false" outlineLevel="0" collapsed="false">
      <c r="A601" s="12"/>
      <c r="B601" s="12"/>
      <c r="C601" s="13"/>
      <c r="D601" s="14"/>
      <c r="E601" s="15"/>
      <c r="F601" s="16" t="str">
        <f aca="false">IF(OR(C601="",D601=""),"",EDATE(D601,IFERROR(INDEX(Paketler!$B$5:$B$24,MATCH(C601,Paketler!$A$5:$A$24,0)),0))-1)</f>
        <v/>
      </c>
      <c r="G601" s="17" t="str">
        <f aca="false">IF(F601="","",IFERROR(INDEX(Paketler!$C$5:$C$24,MATCH(C601,Paketler!$A$5:$A$24,0)),0))</f>
        <v/>
      </c>
      <c r="H601" s="17" t="str">
        <f aca="false">IF(F601="","",G601-E601)</f>
        <v/>
      </c>
      <c r="I601" s="18" t="str">
        <f aca="true">IF(F601="","",F601-TODAY())</f>
        <v/>
      </c>
      <c r="J601" s="19" t="str">
        <f aca="true">IF(F601="","",IF(TODAY()&lt;D601,"Başlamadı",IF(TODAY()&gt;F601,"Bitti",IF(F601-TODAY()&lt;=7,"Bitiyor","Aktif"))))</f>
        <v/>
      </c>
      <c r="K601" s="19" t="str">
        <f aca="false">IF(OR(J601="Aktif",J601="Bitiyor"),F601+ROW()/1000000,"")</f>
        <v/>
      </c>
    </row>
    <row r="602" customFormat="false" ht="15" hidden="false" customHeight="false" outlineLevel="0" collapsed="false">
      <c r="A602" s="12"/>
      <c r="B602" s="12"/>
      <c r="C602" s="13"/>
      <c r="D602" s="14"/>
      <c r="E602" s="15"/>
      <c r="F602" s="16" t="str">
        <f aca="false">IF(OR(C602="",D602=""),"",EDATE(D602,IFERROR(INDEX(Paketler!$B$5:$B$24,MATCH(C602,Paketler!$A$5:$A$24,0)),0))-1)</f>
        <v/>
      </c>
      <c r="G602" s="17" t="str">
        <f aca="false">IF(F602="","",IFERROR(INDEX(Paketler!$C$5:$C$24,MATCH(C602,Paketler!$A$5:$A$24,0)),0))</f>
        <v/>
      </c>
      <c r="H602" s="17" t="str">
        <f aca="false">IF(F602="","",G602-E602)</f>
        <v/>
      </c>
      <c r="I602" s="18" t="str">
        <f aca="true">IF(F602="","",F602-TODAY())</f>
        <v/>
      </c>
      <c r="J602" s="19" t="str">
        <f aca="true">IF(F602="","",IF(TODAY()&lt;D602,"Başlamadı",IF(TODAY()&gt;F602,"Bitti",IF(F602-TODAY()&lt;=7,"Bitiyor","Aktif"))))</f>
        <v/>
      </c>
      <c r="K602" s="19" t="str">
        <f aca="false">IF(OR(J602="Aktif",J602="Bitiyor"),F602+ROW()/1000000,"")</f>
        <v/>
      </c>
    </row>
    <row r="603" customFormat="false" ht="15" hidden="false" customHeight="false" outlineLevel="0" collapsed="false">
      <c r="A603" s="12"/>
      <c r="B603" s="12"/>
      <c r="C603" s="13"/>
      <c r="D603" s="14"/>
      <c r="E603" s="15"/>
      <c r="F603" s="16" t="str">
        <f aca="false">IF(OR(C603="",D603=""),"",EDATE(D603,IFERROR(INDEX(Paketler!$B$5:$B$24,MATCH(C603,Paketler!$A$5:$A$24,0)),0))-1)</f>
        <v/>
      </c>
      <c r="G603" s="17" t="str">
        <f aca="false">IF(F603="","",IFERROR(INDEX(Paketler!$C$5:$C$24,MATCH(C603,Paketler!$A$5:$A$24,0)),0))</f>
        <v/>
      </c>
      <c r="H603" s="17" t="str">
        <f aca="false">IF(F603="","",G603-E603)</f>
        <v/>
      </c>
      <c r="I603" s="18" t="str">
        <f aca="true">IF(F603="","",F603-TODAY())</f>
        <v/>
      </c>
      <c r="J603" s="19" t="str">
        <f aca="true">IF(F603="","",IF(TODAY()&lt;D603,"Başlamadı",IF(TODAY()&gt;F603,"Bitti",IF(F603-TODAY()&lt;=7,"Bitiyor","Aktif"))))</f>
        <v/>
      </c>
      <c r="K603" s="19" t="str">
        <f aca="false">IF(OR(J603="Aktif",J603="Bitiyor"),F603+ROW()/1000000,"")</f>
        <v/>
      </c>
    </row>
    <row r="604" customFormat="false" ht="15" hidden="false" customHeight="false" outlineLevel="0" collapsed="false">
      <c r="A604" s="12"/>
      <c r="B604" s="12"/>
      <c r="C604" s="13"/>
      <c r="D604" s="14"/>
      <c r="E604" s="15"/>
      <c r="F604" s="16" t="str">
        <f aca="false">IF(OR(C604="",D604=""),"",EDATE(D604,IFERROR(INDEX(Paketler!$B$5:$B$24,MATCH(C604,Paketler!$A$5:$A$24,0)),0))-1)</f>
        <v/>
      </c>
      <c r="G604" s="17" t="str">
        <f aca="false">IF(F604="","",IFERROR(INDEX(Paketler!$C$5:$C$24,MATCH(C604,Paketler!$A$5:$A$24,0)),0))</f>
        <v/>
      </c>
      <c r="H604" s="17" t="str">
        <f aca="false">IF(F604="","",G604-E604)</f>
        <v/>
      </c>
      <c r="I604" s="18" t="str">
        <f aca="true">IF(F604="","",F604-TODAY())</f>
        <v/>
      </c>
      <c r="J604" s="19" t="str">
        <f aca="true">IF(F604="","",IF(TODAY()&lt;D604,"Başlamadı",IF(TODAY()&gt;F604,"Bitti",IF(F604-TODAY()&lt;=7,"Bitiyor","Aktif"))))</f>
        <v/>
      </c>
      <c r="K604" s="19" t="str">
        <f aca="false">IF(OR(J604="Aktif",J604="Bitiyor"),F604+ROW()/1000000,"")</f>
        <v/>
      </c>
    </row>
    <row r="605" customFormat="false" ht="15" hidden="false" customHeight="false" outlineLevel="0" collapsed="false">
      <c r="A605" s="12"/>
      <c r="B605" s="12"/>
      <c r="C605" s="13"/>
      <c r="D605" s="14"/>
      <c r="E605" s="15"/>
      <c r="F605" s="16" t="str">
        <f aca="false">IF(OR(C605="",D605=""),"",EDATE(D605,IFERROR(INDEX(Paketler!$B$5:$B$24,MATCH(C605,Paketler!$A$5:$A$24,0)),0))-1)</f>
        <v/>
      </c>
      <c r="G605" s="17" t="str">
        <f aca="false">IF(F605="","",IFERROR(INDEX(Paketler!$C$5:$C$24,MATCH(C605,Paketler!$A$5:$A$24,0)),0))</f>
        <v/>
      </c>
      <c r="H605" s="17" t="str">
        <f aca="false">IF(F605="","",G605-E605)</f>
        <v/>
      </c>
      <c r="I605" s="18" t="str">
        <f aca="true">IF(F605="","",F605-TODAY())</f>
        <v/>
      </c>
      <c r="J605" s="19" t="str">
        <f aca="true">IF(F605="","",IF(TODAY()&lt;D605,"Başlamadı",IF(TODAY()&gt;F605,"Bitti",IF(F605-TODAY()&lt;=7,"Bitiyor","Aktif"))))</f>
        <v/>
      </c>
      <c r="K605" s="19" t="str">
        <f aca="false">IF(OR(J605="Aktif",J605="Bitiyor"),F605+ROW()/1000000,"")</f>
        <v/>
      </c>
    </row>
    <row r="606" customFormat="false" ht="15" hidden="false" customHeight="false" outlineLevel="0" collapsed="false">
      <c r="A606" s="12"/>
      <c r="B606" s="12"/>
      <c r="C606" s="13"/>
      <c r="D606" s="14"/>
      <c r="E606" s="15"/>
      <c r="F606" s="16" t="str">
        <f aca="false">IF(OR(C606="",D606=""),"",EDATE(D606,IFERROR(INDEX(Paketler!$B$5:$B$24,MATCH(C606,Paketler!$A$5:$A$24,0)),0))-1)</f>
        <v/>
      </c>
      <c r="G606" s="17" t="str">
        <f aca="false">IF(F606="","",IFERROR(INDEX(Paketler!$C$5:$C$24,MATCH(C606,Paketler!$A$5:$A$24,0)),0))</f>
        <v/>
      </c>
      <c r="H606" s="17" t="str">
        <f aca="false">IF(F606="","",G606-E606)</f>
        <v/>
      </c>
      <c r="I606" s="18" t="str">
        <f aca="true">IF(F606="","",F606-TODAY())</f>
        <v/>
      </c>
      <c r="J606" s="19" t="str">
        <f aca="true">IF(F606="","",IF(TODAY()&lt;D606,"Başlamadı",IF(TODAY()&gt;F606,"Bitti",IF(F606-TODAY()&lt;=7,"Bitiyor","Aktif"))))</f>
        <v/>
      </c>
      <c r="K606" s="19" t="str">
        <f aca="false">IF(OR(J606="Aktif",J606="Bitiyor"),F606+ROW()/1000000,"")</f>
        <v/>
      </c>
    </row>
    <row r="607" customFormat="false" ht="15" hidden="false" customHeight="false" outlineLevel="0" collapsed="false">
      <c r="A607" s="12"/>
      <c r="B607" s="12"/>
      <c r="C607" s="13"/>
      <c r="D607" s="14"/>
      <c r="E607" s="15"/>
      <c r="F607" s="16" t="str">
        <f aca="false">IF(OR(C607="",D607=""),"",EDATE(D607,IFERROR(INDEX(Paketler!$B$5:$B$24,MATCH(C607,Paketler!$A$5:$A$24,0)),0))-1)</f>
        <v/>
      </c>
      <c r="G607" s="17" t="str">
        <f aca="false">IF(F607="","",IFERROR(INDEX(Paketler!$C$5:$C$24,MATCH(C607,Paketler!$A$5:$A$24,0)),0))</f>
        <v/>
      </c>
      <c r="H607" s="17" t="str">
        <f aca="false">IF(F607="","",G607-E607)</f>
        <v/>
      </c>
      <c r="I607" s="18" t="str">
        <f aca="true">IF(F607="","",F607-TODAY())</f>
        <v/>
      </c>
      <c r="J607" s="19" t="str">
        <f aca="true">IF(F607="","",IF(TODAY()&lt;D607,"Başlamadı",IF(TODAY()&gt;F607,"Bitti",IF(F607-TODAY()&lt;=7,"Bitiyor","Aktif"))))</f>
        <v/>
      </c>
      <c r="K607" s="19" t="str">
        <f aca="false">IF(OR(J607="Aktif",J607="Bitiyor"),F607+ROW()/1000000,"")</f>
        <v/>
      </c>
    </row>
    <row r="608" customFormat="false" ht="15" hidden="false" customHeight="false" outlineLevel="0" collapsed="false">
      <c r="A608" s="12"/>
      <c r="B608" s="12"/>
      <c r="C608" s="13"/>
      <c r="D608" s="14"/>
      <c r="E608" s="15"/>
      <c r="F608" s="16" t="str">
        <f aca="false">IF(OR(C608="",D608=""),"",EDATE(D608,IFERROR(INDEX(Paketler!$B$5:$B$24,MATCH(C608,Paketler!$A$5:$A$24,0)),0))-1)</f>
        <v/>
      </c>
      <c r="G608" s="17" t="str">
        <f aca="false">IF(F608="","",IFERROR(INDEX(Paketler!$C$5:$C$24,MATCH(C608,Paketler!$A$5:$A$24,0)),0))</f>
        <v/>
      </c>
      <c r="H608" s="17" t="str">
        <f aca="false">IF(F608="","",G608-E608)</f>
        <v/>
      </c>
      <c r="I608" s="18" t="str">
        <f aca="true">IF(F608="","",F608-TODAY())</f>
        <v/>
      </c>
      <c r="J608" s="19" t="str">
        <f aca="true">IF(F608="","",IF(TODAY()&lt;D608,"Başlamadı",IF(TODAY()&gt;F608,"Bitti",IF(F608-TODAY()&lt;=7,"Bitiyor","Aktif"))))</f>
        <v/>
      </c>
      <c r="K608" s="19" t="str">
        <f aca="false">IF(OR(J608="Aktif",J608="Bitiyor"),F608+ROW()/1000000,"")</f>
        <v/>
      </c>
    </row>
    <row r="609" customFormat="false" ht="15" hidden="false" customHeight="false" outlineLevel="0" collapsed="false">
      <c r="A609" s="12"/>
      <c r="B609" s="12"/>
      <c r="C609" s="13"/>
      <c r="D609" s="14"/>
      <c r="E609" s="15"/>
      <c r="F609" s="16" t="str">
        <f aca="false">IF(OR(C609="",D609=""),"",EDATE(D609,IFERROR(INDEX(Paketler!$B$5:$B$24,MATCH(C609,Paketler!$A$5:$A$24,0)),0))-1)</f>
        <v/>
      </c>
      <c r="G609" s="17" t="str">
        <f aca="false">IF(F609="","",IFERROR(INDEX(Paketler!$C$5:$C$24,MATCH(C609,Paketler!$A$5:$A$24,0)),0))</f>
        <v/>
      </c>
      <c r="H609" s="17" t="str">
        <f aca="false">IF(F609="","",G609-E609)</f>
        <v/>
      </c>
      <c r="I609" s="18" t="str">
        <f aca="true">IF(F609="","",F609-TODAY())</f>
        <v/>
      </c>
      <c r="J609" s="19" t="str">
        <f aca="true">IF(F609="","",IF(TODAY()&lt;D609,"Başlamadı",IF(TODAY()&gt;F609,"Bitti",IF(F609-TODAY()&lt;=7,"Bitiyor","Aktif"))))</f>
        <v/>
      </c>
      <c r="K609" s="19" t="str">
        <f aca="false">IF(OR(J609="Aktif",J609="Bitiyor"),F609+ROW()/1000000,"")</f>
        <v/>
      </c>
    </row>
    <row r="610" customFormat="false" ht="15" hidden="false" customHeight="false" outlineLevel="0" collapsed="false">
      <c r="A610" s="12"/>
      <c r="B610" s="12"/>
      <c r="C610" s="13"/>
      <c r="D610" s="14"/>
      <c r="E610" s="15"/>
      <c r="F610" s="16" t="str">
        <f aca="false">IF(OR(C610="",D610=""),"",EDATE(D610,IFERROR(INDEX(Paketler!$B$5:$B$24,MATCH(C610,Paketler!$A$5:$A$24,0)),0))-1)</f>
        <v/>
      </c>
      <c r="G610" s="17" t="str">
        <f aca="false">IF(F610="","",IFERROR(INDEX(Paketler!$C$5:$C$24,MATCH(C610,Paketler!$A$5:$A$24,0)),0))</f>
        <v/>
      </c>
      <c r="H610" s="17" t="str">
        <f aca="false">IF(F610="","",G610-E610)</f>
        <v/>
      </c>
      <c r="I610" s="18" t="str">
        <f aca="true">IF(F610="","",F610-TODAY())</f>
        <v/>
      </c>
      <c r="J610" s="19" t="str">
        <f aca="true">IF(F610="","",IF(TODAY()&lt;D610,"Başlamadı",IF(TODAY()&gt;F610,"Bitti",IF(F610-TODAY()&lt;=7,"Bitiyor","Aktif"))))</f>
        <v/>
      </c>
      <c r="K610" s="19" t="str">
        <f aca="false">IF(OR(J610="Aktif",J610="Bitiyor"),F610+ROW()/1000000,"")</f>
        <v/>
      </c>
    </row>
    <row r="611" customFormat="false" ht="15" hidden="false" customHeight="false" outlineLevel="0" collapsed="false">
      <c r="A611" s="12"/>
      <c r="B611" s="12"/>
      <c r="C611" s="13"/>
      <c r="D611" s="14"/>
      <c r="E611" s="15"/>
      <c r="F611" s="16" t="str">
        <f aca="false">IF(OR(C611="",D611=""),"",EDATE(D611,IFERROR(INDEX(Paketler!$B$5:$B$24,MATCH(C611,Paketler!$A$5:$A$24,0)),0))-1)</f>
        <v/>
      </c>
      <c r="G611" s="17" t="str">
        <f aca="false">IF(F611="","",IFERROR(INDEX(Paketler!$C$5:$C$24,MATCH(C611,Paketler!$A$5:$A$24,0)),0))</f>
        <v/>
      </c>
      <c r="H611" s="17" t="str">
        <f aca="false">IF(F611="","",G611-E611)</f>
        <v/>
      </c>
      <c r="I611" s="18" t="str">
        <f aca="true">IF(F611="","",F611-TODAY())</f>
        <v/>
      </c>
      <c r="J611" s="19" t="str">
        <f aca="true">IF(F611="","",IF(TODAY()&lt;D611,"Başlamadı",IF(TODAY()&gt;F611,"Bitti",IF(F611-TODAY()&lt;=7,"Bitiyor","Aktif"))))</f>
        <v/>
      </c>
      <c r="K611" s="19" t="str">
        <f aca="false">IF(OR(J611="Aktif",J611="Bitiyor"),F611+ROW()/1000000,"")</f>
        <v/>
      </c>
    </row>
    <row r="612" customFormat="false" ht="15" hidden="false" customHeight="false" outlineLevel="0" collapsed="false">
      <c r="A612" s="12"/>
      <c r="B612" s="12"/>
      <c r="C612" s="13"/>
      <c r="D612" s="14"/>
      <c r="E612" s="15"/>
      <c r="F612" s="16" t="str">
        <f aca="false">IF(OR(C612="",D612=""),"",EDATE(D612,IFERROR(INDEX(Paketler!$B$5:$B$24,MATCH(C612,Paketler!$A$5:$A$24,0)),0))-1)</f>
        <v/>
      </c>
      <c r="G612" s="17" t="str">
        <f aca="false">IF(F612="","",IFERROR(INDEX(Paketler!$C$5:$C$24,MATCH(C612,Paketler!$A$5:$A$24,0)),0))</f>
        <v/>
      </c>
      <c r="H612" s="17" t="str">
        <f aca="false">IF(F612="","",G612-E612)</f>
        <v/>
      </c>
      <c r="I612" s="18" t="str">
        <f aca="true">IF(F612="","",F612-TODAY())</f>
        <v/>
      </c>
      <c r="J612" s="19" t="str">
        <f aca="true">IF(F612="","",IF(TODAY()&lt;D612,"Başlamadı",IF(TODAY()&gt;F612,"Bitti",IF(F612-TODAY()&lt;=7,"Bitiyor","Aktif"))))</f>
        <v/>
      </c>
      <c r="K612" s="19" t="str">
        <f aca="false">IF(OR(J612="Aktif",J612="Bitiyor"),F612+ROW()/1000000,"")</f>
        <v/>
      </c>
    </row>
    <row r="613" customFormat="false" ht="15" hidden="false" customHeight="false" outlineLevel="0" collapsed="false">
      <c r="A613" s="12"/>
      <c r="B613" s="12"/>
      <c r="C613" s="13"/>
      <c r="D613" s="14"/>
      <c r="E613" s="15"/>
      <c r="F613" s="16" t="str">
        <f aca="false">IF(OR(C613="",D613=""),"",EDATE(D613,IFERROR(INDEX(Paketler!$B$5:$B$24,MATCH(C613,Paketler!$A$5:$A$24,0)),0))-1)</f>
        <v/>
      </c>
      <c r="G613" s="17" t="str">
        <f aca="false">IF(F613="","",IFERROR(INDEX(Paketler!$C$5:$C$24,MATCH(C613,Paketler!$A$5:$A$24,0)),0))</f>
        <v/>
      </c>
      <c r="H613" s="17" t="str">
        <f aca="false">IF(F613="","",G613-E613)</f>
        <v/>
      </c>
      <c r="I613" s="18" t="str">
        <f aca="true">IF(F613="","",F613-TODAY())</f>
        <v/>
      </c>
      <c r="J613" s="19" t="str">
        <f aca="true">IF(F613="","",IF(TODAY()&lt;D613,"Başlamadı",IF(TODAY()&gt;F613,"Bitti",IF(F613-TODAY()&lt;=7,"Bitiyor","Aktif"))))</f>
        <v/>
      </c>
      <c r="K613" s="19" t="str">
        <f aca="false">IF(OR(J613="Aktif",J613="Bitiyor"),F613+ROW()/1000000,"")</f>
        <v/>
      </c>
    </row>
    <row r="614" customFormat="false" ht="15" hidden="false" customHeight="false" outlineLevel="0" collapsed="false">
      <c r="A614" s="12"/>
      <c r="B614" s="12"/>
      <c r="C614" s="13"/>
      <c r="D614" s="14"/>
      <c r="E614" s="15"/>
      <c r="F614" s="16" t="str">
        <f aca="false">IF(OR(C614="",D614=""),"",EDATE(D614,IFERROR(INDEX(Paketler!$B$5:$B$24,MATCH(C614,Paketler!$A$5:$A$24,0)),0))-1)</f>
        <v/>
      </c>
      <c r="G614" s="17" t="str">
        <f aca="false">IF(F614="","",IFERROR(INDEX(Paketler!$C$5:$C$24,MATCH(C614,Paketler!$A$5:$A$24,0)),0))</f>
        <v/>
      </c>
      <c r="H614" s="17" t="str">
        <f aca="false">IF(F614="","",G614-E614)</f>
        <v/>
      </c>
      <c r="I614" s="18" t="str">
        <f aca="true">IF(F614="","",F614-TODAY())</f>
        <v/>
      </c>
      <c r="J614" s="19" t="str">
        <f aca="true">IF(F614="","",IF(TODAY()&lt;D614,"Başlamadı",IF(TODAY()&gt;F614,"Bitti",IF(F614-TODAY()&lt;=7,"Bitiyor","Aktif"))))</f>
        <v/>
      </c>
      <c r="K614" s="19" t="str">
        <f aca="false">IF(OR(J614="Aktif",J614="Bitiyor"),F614+ROW()/1000000,"")</f>
        <v/>
      </c>
    </row>
    <row r="615" customFormat="false" ht="15" hidden="false" customHeight="false" outlineLevel="0" collapsed="false">
      <c r="A615" s="12"/>
      <c r="B615" s="12"/>
      <c r="C615" s="13"/>
      <c r="D615" s="14"/>
      <c r="E615" s="15"/>
      <c r="F615" s="16" t="str">
        <f aca="false">IF(OR(C615="",D615=""),"",EDATE(D615,IFERROR(INDEX(Paketler!$B$5:$B$24,MATCH(C615,Paketler!$A$5:$A$24,0)),0))-1)</f>
        <v/>
      </c>
      <c r="G615" s="17" t="str">
        <f aca="false">IF(F615="","",IFERROR(INDEX(Paketler!$C$5:$C$24,MATCH(C615,Paketler!$A$5:$A$24,0)),0))</f>
        <v/>
      </c>
      <c r="H615" s="17" t="str">
        <f aca="false">IF(F615="","",G615-E615)</f>
        <v/>
      </c>
      <c r="I615" s="18" t="str">
        <f aca="true">IF(F615="","",F615-TODAY())</f>
        <v/>
      </c>
      <c r="J615" s="19" t="str">
        <f aca="true">IF(F615="","",IF(TODAY()&lt;D615,"Başlamadı",IF(TODAY()&gt;F615,"Bitti",IF(F615-TODAY()&lt;=7,"Bitiyor","Aktif"))))</f>
        <v/>
      </c>
      <c r="K615" s="19" t="str">
        <f aca="false">IF(OR(J615="Aktif",J615="Bitiyor"),F615+ROW()/1000000,"")</f>
        <v/>
      </c>
    </row>
    <row r="616" customFormat="false" ht="15" hidden="false" customHeight="false" outlineLevel="0" collapsed="false">
      <c r="A616" s="12"/>
      <c r="B616" s="12"/>
      <c r="C616" s="13"/>
      <c r="D616" s="14"/>
      <c r="E616" s="15"/>
      <c r="F616" s="16" t="str">
        <f aca="false">IF(OR(C616="",D616=""),"",EDATE(D616,IFERROR(INDEX(Paketler!$B$5:$B$24,MATCH(C616,Paketler!$A$5:$A$24,0)),0))-1)</f>
        <v/>
      </c>
      <c r="G616" s="17" t="str">
        <f aca="false">IF(F616="","",IFERROR(INDEX(Paketler!$C$5:$C$24,MATCH(C616,Paketler!$A$5:$A$24,0)),0))</f>
        <v/>
      </c>
      <c r="H616" s="17" t="str">
        <f aca="false">IF(F616="","",G616-E616)</f>
        <v/>
      </c>
      <c r="I616" s="18" t="str">
        <f aca="true">IF(F616="","",F616-TODAY())</f>
        <v/>
      </c>
      <c r="J616" s="19" t="str">
        <f aca="true">IF(F616="","",IF(TODAY()&lt;D616,"Başlamadı",IF(TODAY()&gt;F616,"Bitti",IF(F616-TODAY()&lt;=7,"Bitiyor","Aktif"))))</f>
        <v/>
      </c>
      <c r="K616" s="19" t="str">
        <f aca="false">IF(OR(J616="Aktif",J616="Bitiyor"),F616+ROW()/1000000,"")</f>
        <v/>
      </c>
    </row>
    <row r="617" customFormat="false" ht="15" hidden="false" customHeight="false" outlineLevel="0" collapsed="false">
      <c r="A617" s="12"/>
      <c r="B617" s="12"/>
      <c r="C617" s="13"/>
      <c r="D617" s="14"/>
      <c r="E617" s="15"/>
      <c r="F617" s="16" t="str">
        <f aca="false">IF(OR(C617="",D617=""),"",EDATE(D617,IFERROR(INDEX(Paketler!$B$5:$B$24,MATCH(C617,Paketler!$A$5:$A$24,0)),0))-1)</f>
        <v/>
      </c>
      <c r="G617" s="17" t="str">
        <f aca="false">IF(F617="","",IFERROR(INDEX(Paketler!$C$5:$C$24,MATCH(C617,Paketler!$A$5:$A$24,0)),0))</f>
        <v/>
      </c>
      <c r="H617" s="17" t="str">
        <f aca="false">IF(F617="","",G617-E617)</f>
        <v/>
      </c>
      <c r="I617" s="18" t="str">
        <f aca="true">IF(F617="","",F617-TODAY())</f>
        <v/>
      </c>
      <c r="J617" s="19" t="str">
        <f aca="true">IF(F617="","",IF(TODAY()&lt;D617,"Başlamadı",IF(TODAY()&gt;F617,"Bitti",IF(F617-TODAY()&lt;=7,"Bitiyor","Aktif"))))</f>
        <v/>
      </c>
      <c r="K617" s="19" t="str">
        <f aca="false">IF(OR(J617="Aktif",J617="Bitiyor"),F617+ROW()/1000000,"")</f>
        <v/>
      </c>
    </row>
    <row r="618" customFormat="false" ht="15" hidden="false" customHeight="false" outlineLevel="0" collapsed="false">
      <c r="A618" s="12"/>
      <c r="B618" s="12"/>
      <c r="C618" s="13"/>
      <c r="D618" s="14"/>
      <c r="E618" s="15"/>
      <c r="F618" s="16" t="str">
        <f aca="false">IF(OR(C618="",D618=""),"",EDATE(D618,IFERROR(INDEX(Paketler!$B$5:$B$24,MATCH(C618,Paketler!$A$5:$A$24,0)),0))-1)</f>
        <v/>
      </c>
      <c r="G618" s="17" t="str">
        <f aca="false">IF(F618="","",IFERROR(INDEX(Paketler!$C$5:$C$24,MATCH(C618,Paketler!$A$5:$A$24,0)),0))</f>
        <v/>
      </c>
      <c r="H618" s="17" t="str">
        <f aca="false">IF(F618="","",G618-E618)</f>
        <v/>
      </c>
      <c r="I618" s="18" t="str">
        <f aca="true">IF(F618="","",F618-TODAY())</f>
        <v/>
      </c>
      <c r="J618" s="19" t="str">
        <f aca="true">IF(F618="","",IF(TODAY()&lt;D618,"Başlamadı",IF(TODAY()&gt;F618,"Bitti",IF(F618-TODAY()&lt;=7,"Bitiyor","Aktif"))))</f>
        <v/>
      </c>
      <c r="K618" s="19" t="str">
        <f aca="false">IF(OR(J618="Aktif",J618="Bitiyor"),F618+ROW()/1000000,"")</f>
        <v/>
      </c>
    </row>
    <row r="619" customFormat="false" ht="15" hidden="false" customHeight="false" outlineLevel="0" collapsed="false">
      <c r="A619" s="12"/>
      <c r="B619" s="12"/>
      <c r="C619" s="13"/>
      <c r="D619" s="14"/>
      <c r="E619" s="15"/>
      <c r="F619" s="16" t="str">
        <f aca="false">IF(OR(C619="",D619=""),"",EDATE(D619,IFERROR(INDEX(Paketler!$B$5:$B$24,MATCH(C619,Paketler!$A$5:$A$24,0)),0))-1)</f>
        <v/>
      </c>
      <c r="G619" s="17" t="str">
        <f aca="false">IF(F619="","",IFERROR(INDEX(Paketler!$C$5:$C$24,MATCH(C619,Paketler!$A$5:$A$24,0)),0))</f>
        <v/>
      </c>
      <c r="H619" s="17" t="str">
        <f aca="false">IF(F619="","",G619-E619)</f>
        <v/>
      </c>
      <c r="I619" s="18" t="str">
        <f aca="true">IF(F619="","",F619-TODAY())</f>
        <v/>
      </c>
      <c r="J619" s="19" t="str">
        <f aca="true">IF(F619="","",IF(TODAY()&lt;D619,"Başlamadı",IF(TODAY()&gt;F619,"Bitti",IF(F619-TODAY()&lt;=7,"Bitiyor","Aktif"))))</f>
        <v/>
      </c>
      <c r="K619" s="19" t="str">
        <f aca="false">IF(OR(J619="Aktif",J619="Bitiyor"),F619+ROW()/1000000,"")</f>
        <v/>
      </c>
    </row>
    <row r="620" customFormat="false" ht="15" hidden="false" customHeight="false" outlineLevel="0" collapsed="false">
      <c r="A620" s="12"/>
      <c r="B620" s="12"/>
      <c r="C620" s="13"/>
      <c r="D620" s="14"/>
      <c r="E620" s="15"/>
      <c r="F620" s="16" t="str">
        <f aca="false">IF(OR(C620="",D620=""),"",EDATE(D620,IFERROR(INDEX(Paketler!$B$5:$B$24,MATCH(C620,Paketler!$A$5:$A$24,0)),0))-1)</f>
        <v/>
      </c>
      <c r="G620" s="17" t="str">
        <f aca="false">IF(F620="","",IFERROR(INDEX(Paketler!$C$5:$C$24,MATCH(C620,Paketler!$A$5:$A$24,0)),0))</f>
        <v/>
      </c>
      <c r="H620" s="17" t="str">
        <f aca="false">IF(F620="","",G620-E620)</f>
        <v/>
      </c>
      <c r="I620" s="18" t="str">
        <f aca="true">IF(F620="","",F620-TODAY())</f>
        <v/>
      </c>
      <c r="J620" s="19" t="str">
        <f aca="true">IF(F620="","",IF(TODAY()&lt;D620,"Başlamadı",IF(TODAY()&gt;F620,"Bitti",IF(F620-TODAY()&lt;=7,"Bitiyor","Aktif"))))</f>
        <v/>
      </c>
      <c r="K620" s="19" t="str">
        <f aca="false">IF(OR(J620="Aktif",J620="Bitiyor"),F620+ROW()/1000000,"")</f>
        <v/>
      </c>
    </row>
    <row r="621" customFormat="false" ht="15" hidden="false" customHeight="false" outlineLevel="0" collapsed="false">
      <c r="A621" s="12"/>
      <c r="B621" s="12"/>
      <c r="C621" s="13"/>
      <c r="D621" s="14"/>
      <c r="E621" s="15"/>
      <c r="F621" s="16" t="str">
        <f aca="false">IF(OR(C621="",D621=""),"",EDATE(D621,IFERROR(INDEX(Paketler!$B$5:$B$24,MATCH(C621,Paketler!$A$5:$A$24,0)),0))-1)</f>
        <v/>
      </c>
      <c r="G621" s="17" t="str">
        <f aca="false">IF(F621="","",IFERROR(INDEX(Paketler!$C$5:$C$24,MATCH(C621,Paketler!$A$5:$A$24,0)),0))</f>
        <v/>
      </c>
      <c r="H621" s="17" t="str">
        <f aca="false">IF(F621="","",G621-E621)</f>
        <v/>
      </c>
      <c r="I621" s="18" t="str">
        <f aca="true">IF(F621="","",F621-TODAY())</f>
        <v/>
      </c>
      <c r="J621" s="19" t="str">
        <f aca="true">IF(F621="","",IF(TODAY()&lt;D621,"Başlamadı",IF(TODAY()&gt;F621,"Bitti",IF(F621-TODAY()&lt;=7,"Bitiyor","Aktif"))))</f>
        <v/>
      </c>
      <c r="K621" s="19" t="str">
        <f aca="false">IF(OR(J621="Aktif",J621="Bitiyor"),F621+ROW()/1000000,"")</f>
        <v/>
      </c>
    </row>
    <row r="622" customFormat="false" ht="15" hidden="false" customHeight="false" outlineLevel="0" collapsed="false">
      <c r="A622" s="12"/>
      <c r="B622" s="12"/>
      <c r="C622" s="13"/>
      <c r="D622" s="14"/>
      <c r="E622" s="15"/>
      <c r="F622" s="16" t="str">
        <f aca="false">IF(OR(C622="",D622=""),"",EDATE(D622,IFERROR(INDEX(Paketler!$B$5:$B$24,MATCH(C622,Paketler!$A$5:$A$24,0)),0))-1)</f>
        <v/>
      </c>
      <c r="G622" s="17" t="str">
        <f aca="false">IF(F622="","",IFERROR(INDEX(Paketler!$C$5:$C$24,MATCH(C622,Paketler!$A$5:$A$24,0)),0))</f>
        <v/>
      </c>
      <c r="H622" s="17" t="str">
        <f aca="false">IF(F622="","",G622-E622)</f>
        <v/>
      </c>
      <c r="I622" s="18" t="str">
        <f aca="true">IF(F622="","",F622-TODAY())</f>
        <v/>
      </c>
      <c r="J622" s="19" t="str">
        <f aca="true">IF(F622="","",IF(TODAY()&lt;D622,"Başlamadı",IF(TODAY()&gt;F622,"Bitti",IF(F622-TODAY()&lt;=7,"Bitiyor","Aktif"))))</f>
        <v/>
      </c>
      <c r="K622" s="19" t="str">
        <f aca="false">IF(OR(J622="Aktif",J622="Bitiyor"),F622+ROW()/1000000,"")</f>
        <v/>
      </c>
    </row>
    <row r="623" customFormat="false" ht="15" hidden="false" customHeight="false" outlineLevel="0" collapsed="false">
      <c r="A623" s="12"/>
      <c r="B623" s="12"/>
      <c r="C623" s="13"/>
      <c r="D623" s="14"/>
      <c r="E623" s="15"/>
      <c r="F623" s="16" t="str">
        <f aca="false">IF(OR(C623="",D623=""),"",EDATE(D623,IFERROR(INDEX(Paketler!$B$5:$B$24,MATCH(C623,Paketler!$A$5:$A$24,0)),0))-1)</f>
        <v/>
      </c>
      <c r="G623" s="17" t="str">
        <f aca="false">IF(F623="","",IFERROR(INDEX(Paketler!$C$5:$C$24,MATCH(C623,Paketler!$A$5:$A$24,0)),0))</f>
        <v/>
      </c>
      <c r="H623" s="17" t="str">
        <f aca="false">IF(F623="","",G623-E623)</f>
        <v/>
      </c>
      <c r="I623" s="18" t="str">
        <f aca="true">IF(F623="","",F623-TODAY())</f>
        <v/>
      </c>
      <c r="J623" s="19" t="str">
        <f aca="true">IF(F623="","",IF(TODAY()&lt;D623,"Başlamadı",IF(TODAY()&gt;F623,"Bitti",IF(F623-TODAY()&lt;=7,"Bitiyor","Aktif"))))</f>
        <v/>
      </c>
      <c r="K623" s="19" t="str">
        <f aca="false">IF(OR(J623="Aktif",J623="Bitiyor"),F623+ROW()/1000000,"")</f>
        <v/>
      </c>
    </row>
    <row r="624" customFormat="false" ht="15" hidden="false" customHeight="false" outlineLevel="0" collapsed="false">
      <c r="A624" s="12"/>
      <c r="B624" s="12"/>
      <c r="C624" s="13"/>
      <c r="D624" s="14"/>
      <c r="E624" s="15"/>
      <c r="F624" s="16" t="str">
        <f aca="false">IF(OR(C624="",D624=""),"",EDATE(D624,IFERROR(INDEX(Paketler!$B$5:$B$24,MATCH(C624,Paketler!$A$5:$A$24,0)),0))-1)</f>
        <v/>
      </c>
      <c r="G624" s="17" t="str">
        <f aca="false">IF(F624="","",IFERROR(INDEX(Paketler!$C$5:$C$24,MATCH(C624,Paketler!$A$5:$A$24,0)),0))</f>
        <v/>
      </c>
      <c r="H624" s="17" t="str">
        <f aca="false">IF(F624="","",G624-E624)</f>
        <v/>
      </c>
      <c r="I624" s="18" t="str">
        <f aca="true">IF(F624="","",F624-TODAY())</f>
        <v/>
      </c>
      <c r="J624" s="19" t="str">
        <f aca="true">IF(F624="","",IF(TODAY()&lt;D624,"Başlamadı",IF(TODAY()&gt;F624,"Bitti",IF(F624-TODAY()&lt;=7,"Bitiyor","Aktif"))))</f>
        <v/>
      </c>
      <c r="K624" s="19" t="str">
        <f aca="false">IF(OR(J624="Aktif",J624="Bitiyor"),F624+ROW()/1000000,"")</f>
        <v/>
      </c>
    </row>
    <row r="625" customFormat="false" ht="15" hidden="false" customHeight="false" outlineLevel="0" collapsed="false">
      <c r="A625" s="12"/>
      <c r="B625" s="12"/>
      <c r="C625" s="13"/>
      <c r="D625" s="14"/>
      <c r="E625" s="15"/>
      <c r="F625" s="16" t="str">
        <f aca="false">IF(OR(C625="",D625=""),"",EDATE(D625,IFERROR(INDEX(Paketler!$B$5:$B$24,MATCH(C625,Paketler!$A$5:$A$24,0)),0))-1)</f>
        <v/>
      </c>
      <c r="G625" s="17" t="str">
        <f aca="false">IF(F625="","",IFERROR(INDEX(Paketler!$C$5:$C$24,MATCH(C625,Paketler!$A$5:$A$24,0)),0))</f>
        <v/>
      </c>
      <c r="H625" s="17" t="str">
        <f aca="false">IF(F625="","",G625-E625)</f>
        <v/>
      </c>
      <c r="I625" s="18" t="str">
        <f aca="true">IF(F625="","",F625-TODAY())</f>
        <v/>
      </c>
      <c r="J625" s="19" t="str">
        <f aca="true">IF(F625="","",IF(TODAY()&lt;D625,"Başlamadı",IF(TODAY()&gt;F625,"Bitti",IF(F625-TODAY()&lt;=7,"Bitiyor","Aktif"))))</f>
        <v/>
      </c>
      <c r="K625" s="19" t="str">
        <f aca="false">IF(OR(J625="Aktif",J625="Bitiyor"),F625+ROW()/1000000,"")</f>
        <v/>
      </c>
    </row>
    <row r="626" customFormat="false" ht="15" hidden="false" customHeight="false" outlineLevel="0" collapsed="false">
      <c r="A626" s="12"/>
      <c r="B626" s="12"/>
      <c r="C626" s="13"/>
      <c r="D626" s="14"/>
      <c r="E626" s="15"/>
      <c r="F626" s="16" t="str">
        <f aca="false">IF(OR(C626="",D626=""),"",EDATE(D626,IFERROR(INDEX(Paketler!$B$5:$B$24,MATCH(C626,Paketler!$A$5:$A$24,0)),0))-1)</f>
        <v/>
      </c>
      <c r="G626" s="17" t="str">
        <f aca="false">IF(F626="","",IFERROR(INDEX(Paketler!$C$5:$C$24,MATCH(C626,Paketler!$A$5:$A$24,0)),0))</f>
        <v/>
      </c>
      <c r="H626" s="17" t="str">
        <f aca="false">IF(F626="","",G626-E626)</f>
        <v/>
      </c>
      <c r="I626" s="18" t="str">
        <f aca="true">IF(F626="","",F626-TODAY())</f>
        <v/>
      </c>
      <c r="J626" s="19" t="str">
        <f aca="true">IF(F626="","",IF(TODAY()&lt;D626,"Başlamadı",IF(TODAY()&gt;F626,"Bitti",IF(F626-TODAY()&lt;=7,"Bitiyor","Aktif"))))</f>
        <v/>
      </c>
      <c r="K626" s="19" t="str">
        <f aca="false">IF(OR(J626="Aktif",J626="Bitiyor"),F626+ROW()/1000000,"")</f>
        <v/>
      </c>
    </row>
    <row r="627" customFormat="false" ht="15" hidden="false" customHeight="false" outlineLevel="0" collapsed="false">
      <c r="A627" s="12"/>
      <c r="B627" s="12"/>
      <c r="C627" s="13"/>
      <c r="D627" s="14"/>
      <c r="E627" s="15"/>
      <c r="F627" s="16" t="str">
        <f aca="false">IF(OR(C627="",D627=""),"",EDATE(D627,IFERROR(INDEX(Paketler!$B$5:$B$24,MATCH(C627,Paketler!$A$5:$A$24,0)),0))-1)</f>
        <v/>
      </c>
      <c r="G627" s="17" t="str">
        <f aca="false">IF(F627="","",IFERROR(INDEX(Paketler!$C$5:$C$24,MATCH(C627,Paketler!$A$5:$A$24,0)),0))</f>
        <v/>
      </c>
      <c r="H627" s="17" t="str">
        <f aca="false">IF(F627="","",G627-E627)</f>
        <v/>
      </c>
      <c r="I627" s="18" t="str">
        <f aca="true">IF(F627="","",F627-TODAY())</f>
        <v/>
      </c>
      <c r="J627" s="19" t="str">
        <f aca="true">IF(F627="","",IF(TODAY()&lt;D627,"Başlamadı",IF(TODAY()&gt;F627,"Bitti",IF(F627-TODAY()&lt;=7,"Bitiyor","Aktif"))))</f>
        <v/>
      </c>
      <c r="K627" s="19" t="str">
        <f aca="false">IF(OR(J627="Aktif",J627="Bitiyor"),F627+ROW()/1000000,"")</f>
        <v/>
      </c>
    </row>
    <row r="628" customFormat="false" ht="15" hidden="false" customHeight="false" outlineLevel="0" collapsed="false">
      <c r="A628" s="12"/>
      <c r="B628" s="12"/>
      <c r="C628" s="13"/>
      <c r="D628" s="14"/>
      <c r="E628" s="15"/>
      <c r="F628" s="16" t="str">
        <f aca="false">IF(OR(C628="",D628=""),"",EDATE(D628,IFERROR(INDEX(Paketler!$B$5:$B$24,MATCH(C628,Paketler!$A$5:$A$24,0)),0))-1)</f>
        <v/>
      </c>
      <c r="G628" s="17" t="str">
        <f aca="false">IF(F628="","",IFERROR(INDEX(Paketler!$C$5:$C$24,MATCH(C628,Paketler!$A$5:$A$24,0)),0))</f>
        <v/>
      </c>
      <c r="H628" s="17" t="str">
        <f aca="false">IF(F628="","",G628-E628)</f>
        <v/>
      </c>
      <c r="I628" s="18" t="str">
        <f aca="true">IF(F628="","",F628-TODAY())</f>
        <v/>
      </c>
      <c r="J628" s="19" t="str">
        <f aca="true">IF(F628="","",IF(TODAY()&lt;D628,"Başlamadı",IF(TODAY()&gt;F628,"Bitti",IF(F628-TODAY()&lt;=7,"Bitiyor","Aktif"))))</f>
        <v/>
      </c>
      <c r="K628" s="19" t="str">
        <f aca="false">IF(OR(J628="Aktif",J628="Bitiyor"),F628+ROW()/1000000,"")</f>
        <v/>
      </c>
    </row>
    <row r="629" customFormat="false" ht="15" hidden="false" customHeight="false" outlineLevel="0" collapsed="false">
      <c r="A629" s="12"/>
      <c r="B629" s="12"/>
      <c r="C629" s="13"/>
      <c r="D629" s="14"/>
      <c r="E629" s="15"/>
      <c r="F629" s="16" t="str">
        <f aca="false">IF(OR(C629="",D629=""),"",EDATE(D629,IFERROR(INDEX(Paketler!$B$5:$B$24,MATCH(C629,Paketler!$A$5:$A$24,0)),0))-1)</f>
        <v/>
      </c>
      <c r="G629" s="17" t="str">
        <f aca="false">IF(F629="","",IFERROR(INDEX(Paketler!$C$5:$C$24,MATCH(C629,Paketler!$A$5:$A$24,0)),0))</f>
        <v/>
      </c>
      <c r="H629" s="17" t="str">
        <f aca="false">IF(F629="","",G629-E629)</f>
        <v/>
      </c>
      <c r="I629" s="18" t="str">
        <f aca="true">IF(F629="","",F629-TODAY())</f>
        <v/>
      </c>
      <c r="J629" s="19" t="str">
        <f aca="true">IF(F629="","",IF(TODAY()&lt;D629,"Başlamadı",IF(TODAY()&gt;F629,"Bitti",IF(F629-TODAY()&lt;=7,"Bitiyor","Aktif"))))</f>
        <v/>
      </c>
      <c r="K629" s="19" t="str">
        <f aca="false">IF(OR(J629="Aktif",J629="Bitiyor"),F629+ROW()/1000000,"")</f>
        <v/>
      </c>
    </row>
    <row r="630" customFormat="false" ht="15" hidden="false" customHeight="false" outlineLevel="0" collapsed="false">
      <c r="A630" s="12"/>
      <c r="B630" s="12"/>
      <c r="C630" s="13"/>
      <c r="D630" s="14"/>
      <c r="E630" s="15"/>
      <c r="F630" s="16" t="str">
        <f aca="false">IF(OR(C630="",D630=""),"",EDATE(D630,IFERROR(INDEX(Paketler!$B$5:$B$24,MATCH(C630,Paketler!$A$5:$A$24,0)),0))-1)</f>
        <v/>
      </c>
      <c r="G630" s="17" t="str">
        <f aca="false">IF(F630="","",IFERROR(INDEX(Paketler!$C$5:$C$24,MATCH(C630,Paketler!$A$5:$A$24,0)),0))</f>
        <v/>
      </c>
      <c r="H630" s="17" t="str">
        <f aca="false">IF(F630="","",G630-E630)</f>
        <v/>
      </c>
      <c r="I630" s="18" t="str">
        <f aca="true">IF(F630="","",F630-TODAY())</f>
        <v/>
      </c>
      <c r="J630" s="19" t="str">
        <f aca="true">IF(F630="","",IF(TODAY()&lt;D630,"Başlamadı",IF(TODAY()&gt;F630,"Bitti",IF(F630-TODAY()&lt;=7,"Bitiyor","Aktif"))))</f>
        <v/>
      </c>
      <c r="K630" s="19" t="str">
        <f aca="false">IF(OR(J630="Aktif",J630="Bitiyor"),F630+ROW()/1000000,"")</f>
        <v/>
      </c>
    </row>
    <row r="631" customFormat="false" ht="15" hidden="false" customHeight="false" outlineLevel="0" collapsed="false">
      <c r="A631" s="12"/>
      <c r="B631" s="12"/>
      <c r="C631" s="13"/>
      <c r="D631" s="14"/>
      <c r="E631" s="15"/>
      <c r="F631" s="16" t="str">
        <f aca="false">IF(OR(C631="",D631=""),"",EDATE(D631,IFERROR(INDEX(Paketler!$B$5:$B$24,MATCH(C631,Paketler!$A$5:$A$24,0)),0))-1)</f>
        <v/>
      </c>
      <c r="G631" s="17" t="str">
        <f aca="false">IF(F631="","",IFERROR(INDEX(Paketler!$C$5:$C$24,MATCH(C631,Paketler!$A$5:$A$24,0)),0))</f>
        <v/>
      </c>
      <c r="H631" s="17" t="str">
        <f aca="false">IF(F631="","",G631-E631)</f>
        <v/>
      </c>
      <c r="I631" s="18" t="str">
        <f aca="true">IF(F631="","",F631-TODAY())</f>
        <v/>
      </c>
      <c r="J631" s="19" t="str">
        <f aca="true">IF(F631="","",IF(TODAY()&lt;D631,"Başlamadı",IF(TODAY()&gt;F631,"Bitti",IF(F631-TODAY()&lt;=7,"Bitiyor","Aktif"))))</f>
        <v/>
      </c>
      <c r="K631" s="19" t="str">
        <f aca="false">IF(OR(J631="Aktif",J631="Bitiyor"),F631+ROW()/1000000,"")</f>
        <v/>
      </c>
    </row>
    <row r="632" customFormat="false" ht="15" hidden="false" customHeight="false" outlineLevel="0" collapsed="false">
      <c r="A632" s="12"/>
      <c r="B632" s="12"/>
      <c r="C632" s="13"/>
      <c r="D632" s="14"/>
      <c r="E632" s="15"/>
      <c r="F632" s="16" t="str">
        <f aca="false">IF(OR(C632="",D632=""),"",EDATE(D632,IFERROR(INDEX(Paketler!$B$5:$B$24,MATCH(C632,Paketler!$A$5:$A$24,0)),0))-1)</f>
        <v/>
      </c>
      <c r="G632" s="17" t="str">
        <f aca="false">IF(F632="","",IFERROR(INDEX(Paketler!$C$5:$C$24,MATCH(C632,Paketler!$A$5:$A$24,0)),0))</f>
        <v/>
      </c>
      <c r="H632" s="17" t="str">
        <f aca="false">IF(F632="","",G632-E632)</f>
        <v/>
      </c>
      <c r="I632" s="18" t="str">
        <f aca="true">IF(F632="","",F632-TODAY())</f>
        <v/>
      </c>
      <c r="J632" s="19" t="str">
        <f aca="true">IF(F632="","",IF(TODAY()&lt;D632,"Başlamadı",IF(TODAY()&gt;F632,"Bitti",IF(F632-TODAY()&lt;=7,"Bitiyor","Aktif"))))</f>
        <v/>
      </c>
      <c r="K632" s="19" t="str">
        <f aca="false">IF(OR(J632="Aktif",J632="Bitiyor"),F632+ROW()/1000000,"")</f>
        <v/>
      </c>
    </row>
    <row r="633" customFormat="false" ht="15" hidden="false" customHeight="false" outlineLevel="0" collapsed="false">
      <c r="A633" s="12"/>
      <c r="B633" s="12"/>
      <c r="C633" s="13"/>
      <c r="D633" s="14"/>
      <c r="E633" s="15"/>
      <c r="F633" s="16" t="str">
        <f aca="false">IF(OR(C633="",D633=""),"",EDATE(D633,IFERROR(INDEX(Paketler!$B$5:$B$24,MATCH(C633,Paketler!$A$5:$A$24,0)),0))-1)</f>
        <v/>
      </c>
      <c r="G633" s="17" t="str">
        <f aca="false">IF(F633="","",IFERROR(INDEX(Paketler!$C$5:$C$24,MATCH(C633,Paketler!$A$5:$A$24,0)),0))</f>
        <v/>
      </c>
      <c r="H633" s="17" t="str">
        <f aca="false">IF(F633="","",G633-E633)</f>
        <v/>
      </c>
      <c r="I633" s="18" t="str">
        <f aca="true">IF(F633="","",F633-TODAY())</f>
        <v/>
      </c>
      <c r="J633" s="19" t="str">
        <f aca="true">IF(F633="","",IF(TODAY()&lt;D633,"Başlamadı",IF(TODAY()&gt;F633,"Bitti",IF(F633-TODAY()&lt;=7,"Bitiyor","Aktif"))))</f>
        <v/>
      </c>
      <c r="K633" s="19" t="str">
        <f aca="false">IF(OR(J633="Aktif",J633="Bitiyor"),F633+ROW()/1000000,"")</f>
        <v/>
      </c>
    </row>
    <row r="634" customFormat="false" ht="15" hidden="false" customHeight="false" outlineLevel="0" collapsed="false">
      <c r="A634" s="12"/>
      <c r="B634" s="12"/>
      <c r="C634" s="13"/>
      <c r="D634" s="14"/>
      <c r="E634" s="15"/>
      <c r="F634" s="16" t="str">
        <f aca="false">IF(OR(C634="",D634=""),"",EDATE(D634,IFERROR(INDEX(Paketler!$B$5:$B$24,MATCH(C634,Paketler!$A$5:$A$24,0)),0))-1)</f>
        <v/>
      </c>
      <c r="G634" s="17" t="str">
        <f aca="false">IF(F634="","",IFERROR(INDEX(Paketler!$C$5:$C$24,MATCH(C634,Paketler!$A$5:$A$24,0)),0))</f>
        <v/>
      </c>
      <c r="H634" s="17" t="str">
        <f aca="false">IF(F634="","",G634-E634)</f>
        <v/>
      </c>
      <c r="I634" s="18" t="str">
        <f aca="true">IF(F634="","",F634-TODAY())</f>
        <v/>
      </c>
      <c r="J634" s="19" t="str">
        <f aca="true">IF(F634="","",IF(TODAY()&lt;D634,"Başlamadı",IF(TODAY()&gt;F634,"Bitti",IF(F634-TODAY()&lt;=7,"Bitiyor","Aktif"))))</f>
        <v/>
      </c>
      <c r="K634" s="19" t="str">
        <f aca="false">IF(OR(J634="Aktif",J634="Bitiyor"),F634+ROW()/1000000,"")</f>
        <v/>
      </c>
    </row>
    <row r="635" customFormat="false" ht="15" hidden="false" customHeight="false" outlineLevel="0" collapsed="false">
      <c r="A635" s="12"/>
      <c r="B635" s="12"/>
      <c r="C635" s="13"/>
      <c r="D635" s="14"/>
      <c r="E635" s="15"/>
      <c r="F635" s="16" t="str">
        <f aca="false">IF(OR(C635="",D635=""),"",EDATE(D635,IFERROR(INDEX(Paketler!$B$5:$B$24,MATCH(C635,Paketler!$A$5:$A$24,0)),0))-1)</f>
        <v/>
      </c>
      <c r="G635" s="17" t="str">
        <f aca="false">IF(F635="","",IFERROR(INDEX(Paketler!$C$5:$C$24,MATCH(C635,Paketler!$A$5:$A$24,0)),0))</f>
        <v/>
      </c>
      <c r="H635" s="17" t="str">
        <f aca="false">IF(F635="","",G635-E635)</f>
        <v/>
      </c>
      <c r="I635" s="18" t="str">
        <f aca="true">IF(F635="","",F635-TODAY())</f>
        <v/>
      </c>
      <c r="J635" s="19" t="str">
        <f aca="true">IF(F635="","",IF(TODAY()&lt;D635,"Başlamadı",IF(TODAY()&gt;F635,"Bitti",IF(F635-TODAY()&lt;=7,"Bitiyor","Aktif"))))</f>
        <v/>
      </c>
      <c r="K635" s="19" t="str">
        <f aca="false">IF(OR(J635="Aktif",J635="Bitiyor"),F635+ROW()/1000000,"")</f>
        <v/>
      </c>
    </row>
    <row r="636" customFormat="false" ht="15" hidden="false" customHeight="false" outlineLevel="0" collapsed="false">
      <c r="A636" s="12"/>
      <c r="B636" s="12"/>
      <c r="C636" s="13"/>
      <c r="D636" s="14"/>
      <c r="E636" s="15"/>
      <c r="F636" s="16" t="str">
        <f aca="false">IF(OR(C636="",D636=""),"",EDATE(D636,IFERROR(INDEX(Paketler!$B$5:$B$24,MATCH(C636,Paketler!$A$5:$A$24,0)),0))-1)</f>
        <v/>
      </c>
      <c r="G636" s="17" t="str">
        <f aca="false">IF(F636="","",IFERROR(INDEX(Paketler!$C$5:$C$24,MATCH(C636,Paketler!$A$5:$A$24,0)),0))</f>
        <v/>
      </c>
      <c r="H636" s="17" t="str">
        <f aca="false">IF(F636="","",G636-E636)</f>
        <v/>
      </c>
      <c r="I636" s="18" t="str">
        <f aca="true">IF(F636="","",F636-TODAY())</f>
        <v/>
      </c>
      <c r="J636" s="19" t="str">
        <f aca="true">IF(F636="","",IF(TODAY()&lt;D636,"Başlamadı",IF(TODAY()&gt;F636,"Bitti",IF(F636-TODAY()&lt;=7,"Bitiyor","Aktif"))))</f>
        <v/>
      </c>
      <c r="K636" s="19" t="str">
        <f aca="false">IF(OR(J636="Aktif",J636="Bitiyor"),F636+ROW()/1000000,"")</f>
        <v/>
      </c>
    </row>
    <row r="637" customFormat="false" ht="15" hidden="false" customHeight="false" outlineLevel="0" collapsed="false">
      <c r="A637" s="12"/>
      <c r="B637" s="12"/>
      <c r="C637" s="13"/>
      <c r="D637" s="14"/>
      <c r="E637" s="15"/>
      <c r="F637" s="16" t="str">
        <f aca="false">IF(OR(C637="",D637=""),"",EDATE(D637,IFERROR(INDEX(Paketler!$B$5:$B$24,MATCH(C637,Paketler!$A$5:$A$24,0)),0))-1)</f>
        <v/>
      </c>
      <c r="G637" s="17" t="str">
        <f aca="false">IF(F637="","",IFERROR(INDEX(Paketler!$C$5:$C$24,MATCH(C637,Paketler!$A$5:$A$24,0)),0))</f>
        <v/>
      </c>
      <c r="H637" s="17" t="str">
        <f aca="false">IF(F637="","",G637-E637)</f>
        <v/>
      </c>
      <c r="I637" s="18" t="str">
        <f aca="true">IF(F637="","",F637-TODAY())</f>
        <v/>
      </c>
      <c r="J637" s="19" t="str">
        <f aca="true">IF(F637="","",IF(TODAY()&lt;D637,"Başlamadı",IF(TODAY()&gt;F637,"Bitti",IF(F637-TODAY()&lt;=7,"Bitiyor","Aktif"))))</f>
        <v/>
      </c>
      <c r="K637" s="19" t="str">
        <f aca="false">IF(OR(J637="Aktif",J637="Bitiyor"),F637+ROW()/1000000,"")</f>
        <v/>
      </c>
    </row>
    <row r="638" customFormat="false" ht="15" hidden="false" customHeight="false" outlineLevel="0" collapsed="false">
      <c r="A638" s="12"/>
      <c r="B638" s="12"/>
      <c r="C638" s="13"/>
      <c r="D638" s="14"/>
      <c r="E638" s="15"/>
      <c r="F638" s="16" t="str">
        <f aca="false">IF(OR(C638="",D638=""),"",EDATE(D638,IFERROR(INDEX(Paketler!$B$5:$B$24,MATCH(C638,Paketler!$A$5:$A$24,0)),0))-1)</f>
        <v/>
      </c>
      <c r="G638" s="17" t="str">
        <f aca="false">IF(F638="","",IFERROR(INDEX(Paketler!$C$5:$C$24,MATCH(C638,Paketler!$A$5:$A$24,0)),0))</f>
        <v/>
      </c>
      <c r="H638" s="17" t="str">
        <f aca="false">IF(F638="","",G638-E638)</f>
        <v/>
      </c>
      <c r="I638" s="18" t="str">
        <f aca="true">IF(F638="","",F638-TODAY())</f>
        <v/>
      </c>
      <c r="J638" s="19" t="str">
        <f aca="true">IF(F638="","",IF(TODAY()&lt;D638,"Başlamadı",IF(TODAY()&gt;F638,"Bitti",IF(F638-TODAY()&lt;=7,"Bitiyor","Aktif"))))</f>
        <v/>
      </c>
      <c r="K638" s="19" t="str">
        <f aca="false">IF(OR(J638="Aktif",J638="Bitiyor"),F638+ROW()/1000000,"")</f>
        <v/>
      </c>
    </row>
    <row r="639" customFormat="false" ht="15" hidden="false" customHeight="false" outlineLevel="0" collapsed="false">
      <c r="A639" s="12"/>
      <c r="B639" s="12"/>
      <c r="C639" s="13"/>
      <c r="D639" s="14"/>
      <c r="E639" s="15"/>
      <c r="F639" s="16" t="str">
        <f aca="false">IF(OR(C639="",D639=""),"",EDATE(D639,IFERROR(INDEX(Paketler!$B$5:$B$24,MATCH(C639,Paketler!$A$5:$A$24,0)),0))-1)</f>
        <v/>
      </c>
      <c r="G639" s="17" t="str">
        <f aca="false">IF(F639="","",IFERROR(INDEX(Paketler!$C$5:$C$24,MATCH(C639,Paketler!$A$5:$A$24,0)),0))</f>
        <v/>
      </c>
      <c r="H639" s="17" t="str">
        <f aca="false">IF(F639="","",G639-E639)</f>
        <v/>
      </c>
      <c r="I639" s="18" t="str">
        <f aca="true">IF(F639="","",F639-TODAY())</f>
        <v/>
      </c>
      <c r="J639" s="19" t="str">
        <f aca="true">IF(F639="","",IF(TODAY()&lt;D639,"Başlamadı",IF(TODAY()&gt;F639,"Bitti",IF(F639-TODAY()&lt;=7,"Bitiyor","Aktif"))))</f>
        <v/>
      </c>
      <c r="K639" s="19" t="str">
        <f aca="false">IF(OR(J639="Aktif",J639="Bitiyor"),F639+ROW()/1000000,"")</f>
        <v/>
      </c>
    </row>
    <row r="640" customFormat="false" ht="15" hidden="false" customHeight="false" outlineLevel="0" collapsed="false">
      <c r="A640" s="12"/>
      <c r="B640" s="12"/>
      <c r="C640" s="13"/>
      <c r="D640" s="14"/>
      <c r="E640" s="15"/>
      <c r="F640" s="16" t="str">
        <f aca="false">IF(OR(C640="",D640=""),"",EDATE(D640,IFERROR(INDEX(Paketler!$B$5:$B$24,MATCH(C640,Paketler!$A$5:$A$24,0)),0))-1)</f>
        <v/>
      </c>
      <c r="G640" s="17" t="str">
        <f aca="false">IF(F640="","",IFERROR(INDEX(Paketler!$C$5:$C$24,MATCH(C640,Paketler!$A$5:$A$24,0)),0))</f>
        <v/>
      </c>
      <c r="H640" s="17" t="str">
        <f aca="false">IF(F640="","",G640-E640)</f>
        <v/>
      </c>
      <c r="I640" s="18" t="str">
        <f aca="true">IF(F640="","",F640-TODAY())</f>
        <v/>
      </c>
      <c r="J640" s="19" t="str">
        <f aca="true">IF(F640="","",IF(TODAY()&lt;D640,"Başlamadı",IF(TODAY()&gt;F640,"Bitti",IF(F640-TODAY()&lt;=7,"Bitiyor","Aktif"))))</f>
        <v/>
      </c>
      <c r="K640" s="19" t="str">
        <f aca="false">IF(OR(J640="Aktif",J640="Bitiyor"),F640+ROW()/1000000,"")</f>
        <v/>
      </c>
    </row>
    <row r="641" customFormat="false" ht="15" hidden="false" customHeight="false" outlineLevel="0" collapsed="false">
      <c r="A641" s="12"/>
      <c r="B641" s="12"/>
      <c r="C641" s="13"/>
      <c r="D641" s="14"/>
      <c r="E641" s="15"/>
      <c r="F641" s="16" t="str">
        <f aca="false">IF(OR(C641="",D641=""),"",EDATE(D641,IFERROR(INDEX(Paketler!$B$5:$B$24,MATCH(C641,Paketler!$A$5:$A$24,0)),0))-1)</f>
        <v/>
      </c>
      <c r="G641" s="17" t="str">
        <f aca="false">IF(F641="","",IFERROR(INDEX(Paketler!$C$5:$C$24,MATCH(C641,Paketler!$A$5:$A$24,0)),0))</f>
        <v/>
      </c>
      <c r="H641" s="17" t="str">
        <f aca="false">IF(F641="","",G641-E641)</f>
        <v/>
      </c>
      <c r="I641" s="18" t="str">
        <f aca="true">IF(F641="","",F641-TODAY())</f>
        <v/>
      </c>
      <c r="J641" s="19" t="str">
        <f aca="true">IF(F641="","",IF(TODAY()&lt;D641,"Başlamadı",IF(TODAY()&gt;F641,"Bitti",IF(F641-TODAY()&lt;=7,"Bitiyor","Aktif"))))</f>
        <v/>
      </c>
      <c r="K641" s="19" t="str">
        <f aca="false">IF(OR(J641="Aktif",J641="Bitiyor"),F641+ROW()/1000000,"")</f>
        <v/>
      </c>
    </row>
    <row r="642" customFormat="false" ht="15" hidden="false" customHeight="false" outlineLevel="0" collapsed="false">
      <c r="A642" s="12"/>
      <c r="B642" s="12"/>
      <c r="C642" s="13"/>
      <c r="D642" s="14"/>
      <c r="E642" s="15"/>
      <c r="F642" s="16" t="str">
        <f aca="false">IF(OR(C642="",D642=""),"",EDATE(D642,IFERROR(INDEX(Paketler!$B$5:$B$24,MATCH(C642,Paketler!$A$5:$A$24,0)),0))-1)</f>
        <v/>
      </c>
      <c r="G642" s="17" t="str">
        <f aca="false">IF(F642="","",IFERROR(INDEX(Paketler!$C$5:$C$24,MATCH(C642,Paketler!$A$5:$A$24,0)),0))</f>
        <v/>
      </c>
      <c r="H642" s="17" t="str">
        <f aca="false">IF(F642="","",G642-E642)</f>
        <v/>
      </c>
      <c r="I642" s="18" t="str">
        <f aca="true">IF(F642="","",F642-TODAY())</f>
        <v/>
      </c>
      <c r="J642" s="19" t="str">
        <f aca="true">IF(F642="","",IF(TODAY()&lt;D642,"Başlamadı",IF(TODAY()&gt;F642,"Bitti",IF(F642-TODAY()&lt;=7,"Bitiyor","Aktif"))))</f>
        <v/>
      </c>
      <c r="K642" s="19" t="str">
        <f aca="false">IF(OR(J642="Aktif",J642="Bitiyor"),F642+ROW()/1000000,"")</f>
        <v/>
      </c>
    </row>
    <row r="643" customFormat="false" ht="15" hidden="false" customHeight="false" outlineLevel="0" collapsed="false">
      <c r="A643" s="12"/>
      <c r="B643" s="12"/>
      <c r="C643" s="13"/>
      <c r="D643" s="14"/>
      <c r="E643" s="15"/>
      <c r="F643" s="16" t="str">
        <f aca="false">IF(OR(C643="",D643=""),"",EDATE(D643,IFERROR(INDEX(Paketler!$B$5:$B$24,MATCH(C643,Paketler!$A$5:$A$24,0)),0))-1)</f>
        <v/>
      </c>
      <c r="G643" s="17" t="str">
        <f aca="false">IF(F643="","",IFERROR(INDEX(Paketler!$C$5:$C$24,MATCH(C643,Paketler!$A$5:$A$24,0)),0))</f>
        <v/>
      </c>
      <c r="H643" s="17" t="str">
        <f aca="false">IF(F643="","",G643-E643)</f>
        <v/>
      </c>
      <c r="I643" s="18" t="str">
        <f aca="true">IF(F643="","",F643-TODAY())</f>
        <v/>
      </c>
      <c r="J643" s="19" t="str">
        <f aca="true">IF(F643="","",IF(TODAY()&lt;D643,"Başlamadı",IF(TODAY()&gt;F643,"Bitti",IF(F643-TODAY()&lt;=7,"Bitiyor","Aktif"))))</f>
        <v/>
      </c>
      <c r="K643" s="19" t="str">
        <f aca="false">IF(OR(J643="Aktif",J643="Bitiyor"),F643+ROW()/1000000,"")</f>
        <v/>
      </c>
    </row>
    <row r="644" customFormat="false" ht="15" hidden="false" customHeight="false" outlineLevel="0" collapsed="false">
      <c r="A644" s="12"/>
      <c r="B644" s="12"/>
      <c r="C644" s="13"/>
      <c r="D644" s="14"/>
      <c r="E644" s="15"/>
      <c r="F644" s="16" t="str">
        <f aca="false">IF(OR(C644="",D644=""),"",EDATE(D644,IFERROR(INDEX(Paketler!$B$5:$B$24,MATCH(C644,Paketler!$A$5:$A$24,0)),0))-1)</f>
        <v/>
      </c>
      <c r="G644" s="17" t="str">
        <f aca="false">IF(F644="","",IFERROR(INDEX(Paketler!$C$5:$C$24,MATCH(C644,Paketler!$A$5:$A$24,0)),0))</f>
        <v/>
      </c>
      <c r="H644" s="17" t="str">
        <f aca="false">IF(F644="","",G644-E644)</f>
        <v/>
      </c>
      <c r="I644" s="18" t="str">
        <f aca="true">IF(F644="","",F644-TODAY())</f>
        <v/>
      </c>
      <c r="J644" s="19" t="str">
        <f aca="true">IF(F644="","",IF(TODAY()&lt;D644,"Başlamadı",IF(TODAY()&gt;F644,"Bitti",IF(F644-TODAY()&lt;=7,"Bitiyor","Aktif"))))</f>
        <v/>
      </c>
      <c r="K644" s="19" t="str">
        <f aca="false">IF(OR(J644="Aktif",J644="Bitiyor"),F644+ROW()/1000000,"")</f>
        <v/>
      </c>
    </row>
    <row r="645" customFormat="false" ht="15" hidden="false" customHeight="false" outlineLevel="0" collapsed="false">
      <c r="A645" s="12"/>
      <c r="B645" s="12"/>
      <c r="C645" s="13"/>
      <c r="D645" s="14"/>
      <c r="E645" s="15"/>
      <c r="F645" s="16" t="str">
        <f aca="false">IF(OR(C645="",D645=""),"",EDATE(D645,IFERROR(INDEX(Paketler!$B$5:$B$24,MATCH(C645,Paketler!$A$5:$A$24,0)),0))-1)</f>
        <v/>
      </c>
      <c r="G645" s="17" t="str">
        <f aca="false">IF(F645="","",IFERROR(INDEX(Paketler!$C$5:$C$24,MATCH(C645,Paketler!$A$5:$A$24,0)),0))</f>
        <v/>
      </c>
      <c r="H645" s="17" t="str">
        <f aca="false">IF(F645="","",G645-E645)</f>
        <v/>
      </c>
      <c r="I645" s="18" t="str">
        <f aca="true">IF(F645="","",F645-TODAY())</f>
        <v/>
      </c>
      <c r="J645" s="19" t="str">
        <f aca="true">IF(F645="","",IF(TODAY()&lt;D645,"Başlamadı",IF(TODAY()&gt;F645,"Bitti",IF(F645-TODAY()&lt;=7,"Bitiyor","Aktif"))))</f>
        <v/>
      </c>
      <c r="K645" s="19" t="str">
        <f aca="false">IF(OR(J645="Aktif",J645="Bitiyor"),F645+ROW()/1000000,"")</f>
        <v/>
      </c>
    </row>
    <row r="646" customFormat="false" ht="15" hidden="false" customHeight="false" outlineLevel="0" collapsed="false">
      <c r="A646" s="12"/>
      <c r="B646" s="12"/>
      <c r="C646" s="13"/>
      <c r="D646" s="14"/>
      <c r="E646" s="15"/>
      <c r="F646" s="16" t="str">
        <f aca="false">IF(OR(C646="",D646=""),"",EDATE(D646,IFERROR(INDEX(Paketler!$B$5:$B$24,MATCH(C646,Paketler!$A$5:$A$24,0)),0))-1)</f>
        <v/>
      </c>
      <c r="G646" s="17" t="str">
        <f aca="false">IF(F646="","",IFERROR(INDEX(Paketler!$C$5:$C$24,MATCH(C646,Paketler!$A$5:$A$24,0)),0))</f>
        <v/>
      </c>
      <c r="H646" s="17" t="str">
        <f aca="false">IF(F646="","",G646-E646)</f>
        <v/>
      </c>
      <c r="I646" s="18" t="str">
        <f aca="true">IF(F646="","",F646-TODAY())</f>
        <v/>
      </c>
      <c r="J646" s="19" t="str">
        <f aca="true">IF(F646="","",IF(TODAY()&lt;D646,"Başlamadı",IF(TODAY()&gt;F646,"Bitti",IF(F646-TODAY()&lt;=7,"Bitiyor","Aktif"))))</f>
        <v/>
      </c>
      <c r="K646" s="19" t="str">
        <f aca="false">IF(OR(J646="Aktif",J646="Bitiyor"),F646+ROW()/1000000,"")</f>
        <v/>
      </c>
    </row>
    <row r="647" customFormat="false" ht="15" hidden="false" customHeight="false" outlineLevel="0" collapsed="false">
      <c r="A647" s="12"/>
      <c r="B647" s="12"/>
      <c r="C647" s="13"/>
      <c r="D647" s="14"/>
      <c r="E647" s="15"/>
      <c r="F647" s="16" t="str">
        <f aca="false">IF(OR(C647="",D647=""),"",EDATE(D647,IFERROR(INDEX(Paketler!$B$5:$B$24,MATCH(C647,Paketler!$A$5:$A$24,0)),0))-1)</f>
        <v/>
      </c>
      <c r="G647" s="17" t="str">
        <f aca="false">IF(F647="","",IFERROR(INDEX(Paketler!$C$5:$C$24,MATCH(C647,Paketler!$A$5:$A$24,0)),0))</f>
        <v/>
      </c>
      <c r="H647" s="17" t="str">
        <f aca="false">IF(F647="","",G647-E647)</f>
        <v/>
      </c>
      <c r="I647" s="18" t="str">
        <f aca="true">IF(F647="","",F647-TODAY())</f>
        <v/>
      </c>
      <c r="J647" s="19" t="str">
        <f aca="true">IF(F647="","",IF(TODAY()&lt;D647,"Başlamadı",IF(TODAY()&gt;F647,"Bitti",IF(F647-TODAY()&lt;=7,"Bitiyor","Aktif"))))</f>
        <v/>
      </c>
      <c r="K647" s="19" t="str">
        <f aca="false">IF(OR(J647="Aktif",J647="Bitiyor"),F647+ROW()/1000000,"")</f>
        <v/>
      </c>
    </row>
    <row r="648" customFormat="false" ht="15" hidden="false" customHeight="false" outlineLevel="0" collapsed="false">
      <c r="A648" s="12"/>
      <c r="B648" s="12"/>
      <c r="C648" s="13"/>
      <c r="D648" s="14"/>
      <c r="E648" s="15"/>
      <c r="F648" s="16" t="str">
        <f aca="false">IF(OR(C648="",D648=""),"",EDATE(D648,IFERROR(INDEX(Paketler!$B$5:$B$24,MATCH(C648,Paketler!$A$5:$A$24,0)),0))-1)</f>
        <v/>
      </c>
      <c r="G648" s="17" t="str">
        <f aca="false">IF(F648="","",IFERROR(INDEX(Paketler!$C$5:$C$24,MATCH(C648,Paketler!$A$5:$A$24,0)),0))</f>
        <v/>
      </c>
      <c r="H648" s="17" t="str">
        <f aca="false">IF(F648="","",G648-E648)</f>
        <v/>
      </c>
      <c r="I648" s="18" t="str">
        <f aca="true">IF(F648="","",F648-TODAY())</f>
        <v/>
      </c>
      <c r="J648" s="19" t="str">
        <f aca="true">IF(F648="","",IF(TODAY()&lt;D648,"Başlamadı",IF(TODAY()&gt;F648,"Bitti",IF(F648-TODAY()&lt;=7,"Bitiyor","Aktif"))))</f>
        <v/>
      </c>
      <c r="K648" s="19" t="str">
        <f aca="false">IF(OR(J648="Aktif",J648="Bitiyor"),F648+ROW()/1000000,"")</f>
        <v/>
      </c>
    </row>
    <row r="649" customFormat="false" ht="15" hidden="false" customHeight="false" outlineLevel="0" collapsed="false">
      <c r="A649" s="12"/>
      <c r="B649" s="12"/>
      <c r="C649" s="13"/>
      <c r="D649" s="14"/>
      <c r="E649" s="15"/>
      <c r="F649" s="16" t="str">
        <f aca="false">IF(OR(C649="",D649=""),"",EDATE(D649,IFERROR(INDEX(Paketler!$B$5:$B$24,MATCH(C649,Paketler!$A$5:$A$24,0)),0))-1)</f>
        <v/>
      </c>
      <c r="G649" s="17" t="str">
        <f aca="false">IF(F649="","",IFERROR(INDEX(Paketler!$C$5:$C$24,MATCH(C649,Paketler!$A$5:$A$24,0)),0))</f>
        <v/>
      </c>
      <c r="H649" s="17" t="str">
        <f aca="false">IF(F649="","",G649-E649)</f>
        <v/>
      </c>
      <c r="I649" s="18" t="str">
        <f aca="true">IF(F649="","",F649-TODAY())</f>
        <v/>
      </c>
      <c r="J649" s="19" t="str">
        <f aca="true">IF(F649="","",IF(TODAY()&lt;D649,"Başlamadı",IF(TODAY()&gt;F649,"Bitti",IF(F649-TODAY()&lt;=7,"Bitiyor","Aktif"))))</f>
        <v/>
      </c>
      <c r="K649" s="19" t="str">
        <f aca="false">IF(OR(J649="Aktif",J649="Bitiyor"),F649+ROW()/1000000,"")</f>
        <v/>
      </c>
    </row>
    <row r="650" customFormat="false" ht="15" hidden="false" customHeight="false" outlineLevel="0" collapsed="false">
      <c r="A650" s="12"/>
      <c r="B650" s="12"/>
      <c r="C650" s="13"/>
      <c r="D650" s="14"/>
      <c r="E650" s="15"/>
      <c r="F650" s="16" t="str">
        <f aca="false">IF(OR(C650="",D650=""),"",EDATE(D650,IFERROR(INDEX(Paketler!$B$5:$B$24,MATCH(C650,Paketler!$A$5:$A$24,0)),0))-1)</f>
        <v/>
      </c>
      <c r="G650" s="17" t="str">
        <f aca="false">IF(F650="","",IFERROR(INDEX(Paketler!$C$5:$C$24,MATCH(C650,Paketler!$A$5:$A$24,0)),0))</f>
        <v/>
      </c>
      <c r="H650" s="17" t="str">
        <f aca="false">IF(F650="","",G650-E650)</f>
        <v/>
      </c>
      <c r="I650" s="18" t="str">
        <f aca="true">IF(F650="","",F650-TODAY())</f>
        <v/>
      </c>
      <c r="J650" s="19" t="str">
        <f aca="true">IF(F650="","",IF(TODAY()&lt;D650,"Başlamadı",IF(TODAY()&gt;F650,"Bitti",IF(F650-TODAY()&lt;=7,"Bitiyor","Aktif"))))</f>
        <v/>
      </c>
      <c r="K650" s="19" t="str">
        <f aca="false">IF(OR(J650="Aktif",J650="Bitiyor"),F650+ROW()/1000000,"")</f>
        <v/>
      </c>
    </row>
    <row r="651" customFormat="false" ht="15" hidden="false" customHeight="false" outlineLevel="0" collapsed="false">
      <c r="A651" s="12"/>
      <c r="B651" s="12"/>
      <c r="C651" s="13"/>
      <c r="D651" s="14"/>
      <c r="E651" s="15"/>
      <c r="F651" s="16" t="str">
        <f aca="false">IF(OR(C651="",D651=""),"",EDATE(D651,IFERROR(INDEX(Paketler!$B$5:$B$24,MATCH(C651,Paketler!$A$5:$A$24,0)),0))-1)</f>
        <v/>
      </c>
      <c r="G651" s="17" t="str">
        <f aca="false">IF(F651="","",IFERROR(INDEX(Paketler!$C$5:$C$24,MATCH(C651,Paketler!$A$5:$A$24,0)),0))</f>
        <v/>
      </c>
      <c r="H651" s="17" t="str">
        <f aca="false">IF(F651="","",G651-E651)</f>
        <v/>
      </c>
      <c r="I651" s="18" t="str">
        <f aca="true">IF(F651="","",F651-TODAY())</f>
        <v/>
      </c>
      <c r="J651" s="19" t="str">
        <f aca="true">IF(F651="","",IF(TODAY()&lt;D651,"Başlamadı",IF(TODAY()&gt;F651,"Bitti",IF(F651-TODAY()&lt;=7,"Bitiyor","Aktif"))))</f>
        <v/>
      </c>
      <c r="K651" s="19" t="str">
        <f aca="false">IF(OR(J651="Aktif",J651="Bitiyor"),F651+ROW()/1000000,"")</f>
        <v/>
      </c>
    </row>
    <row r="652" customFormat="false" ht="15" hidden="false" customHeight="false" outlineLevel="0" collapsed="false">
      <c r="A652" s="12"/>
      <c r="B652" s="12"/>
      <c r="C652" s="13"/>
      <c r="D652" s="14"/>
      <c r="E652" s="15"/>
      <c r="F652" s="16" t="str">
        <f aca="false">IF(OR(C652="",D652=""),"",EDATE(D652,IFERROR(INDEX(Paketler!$B$5:$B$24,MATCH(C652,Paketler!$A$5:$A$24,0)),0))-1)</f>
        <v/>
      </c>
      <c r="G652" s="17" t="str">
        <f aca="false">IF(F652="","",IFERROR(INDEX(Paketler!$C$5:$C$24,MATCH(C652,Paketler!$A$5:$A$24,0)),0))</f>
        <v/>
      </c>
      <c r="H652" s="17" t="str">
        <f aca="false">IF(F652="","",G652-E652)</f>
        <v/>
      </c>
      <c r="I652" s="18" t="str">
        <f aca="true">IF(F652="","",F652-TODAY())</f>
        <v/>
      </c>
      <c r="J652" s="19" t="str">
        <f aca="true">IF(F652="","",IF(TODAY()&lt;D652,"Başlamadı",IF(TODAY()&gt;F652,"Bitti",IF(F652-TODAY()&lt;=7,"Bitiyor","Aktif"))))</f>
        <v/>
      </c>
      <c r="K652" s="19" t="str">
        <f aca="false">IF(OR(J652="Aktif",J652="Bitiyor"),F652+ROW()/1000000,"")</f>
        <v/>
      </c>
    </row>
    <row r="653" customFormat="false" ht="15" hidden="false" customHeight="false" outlineLevel="0" collapsed="false">
      <c r="A653" s="12"/>
      <c r="B653" s="12"/>
      <c r="C653" s="13"/>
      <c r="D653" s="14"/>
      <c r="E653" s="15"/>
      <c r="F653" s="16" t="str">
        <f aca="false">IF(OR(C653="",D653=""),"",EDATE(D653,IFERROR(INDEX(Paketler!$B$5:$B$24,MATCH(C653,Paketler!$A$5:$A$24,0)),0))-1)</f>
        <v/>
      </c>
      <c r="G653" s="17" t="str">
        <f aca="false">IF(F653="","",IFERROR(INDEX(Paketler!$C$5:$C$24,MATCH(C653,Paketler!$A$5:$A$24,0)),0))</f>
        <v/>
      </c>
      <c r="H653" s="17" t="str">
        <f aca="false">IF(F653="","",G653-E653)</f>
        <v/>
      </c>
      <c r="I653" s="18" t="str">
        <f aca="true">IF(F653="","",F653-TODAY())</f>
        <v/>
      </c>
      <c r="J653" s="19" t="str">
        <f aca="true">IF(F653="","",IF(TODAY()&lt;D653,"Başlamadı",IF(TODAY()&gt;F653,"Bitti",IF(F653-TODAY()&lt;=7,"Bitiyor","Aktif"))))</f>
        <v/>
      </c>
      <c r="K653" s="19" t="str">
        <f aca="false">IF(OR(J653="Aktif",J653="Bitiyor"),F653+ROW()/1000000,"")</f>
        <v/>
      </c>
    </row>
    <row r="654" customFormat="false" ht="15" hidden="false" customHeight="false" outlineLevel="0" collapsed="false">
      <c r="A654" s="12"/>
      <c r="B654" s="12"/>
      <c r="C654" s="13"/>
      <c r="D654" s="14"/>
      <c r="E654" s="15"/>
      <c r="F654" s="16" t="str">
        <f aca="false">IF(OR(C654="",D654=""),"",EDATE(D654,IFERROR(INDEX(Paketler!$B$5:$B$24,MATCH(C654,Paketler!$A$5:$A$24,0)),0))-1)</f>
        <v/>
      </c>
      <c r="G654" s="17" t="str">
        <f aca="false">IF(F654="","",IFERROR(INDEX(Paketler!$C$5:$C$24,MATCH(C654,Paketler!$A$5:$A$24,0)),0))</f>
        <v/>
      </c>
      <c r="H654" s="17" t="str">
        <f aca="false">IF(F654="","",G654-E654)</f>
        <v/>
      </c>
      <c r="I654" s="18" t="str">
        <f aca="true">IF(F654="","",F654-TODAY())</f>
        <v/>
      </c>
      <c r="J654" s="19" t="str">
        <f aca="true">IF(F654="","",IF(TODAY()&lt;D654,"Başlamadı",IF(TODAY()&gt;F654,"Bitti",IF(F654-TODAY()&lt;=7,"Bitiyor","Aktif"))))</f>
        <v/>
      </c>
      <c r="K654" s="19" t="str">
        <f aca="false">IF(OR(J654="Aktif",J654="Bitiyor"),F654+ROW()/1000000,"")</f>
        <v/>
      </c>
    </row>
    <row r="655" customFormat="false" ht="15" hidden="false" customHeight="false" outlineLevel="0" collapsed="false">
      <c r="A655" s="12"/>
      <c r="B655" s="12"/>
      <c r="C655" s="13"/>
      <c r="D655" s="14"/>
      <c r="E655" s="15"/>
      <c r="F655" s="16" t="str">
        <f aca="false">IF(OR(C655="",D655=""),"",EDATE(D655,IFERROR(INDEX(Paketler!$B$5:$B$24,MATCH(C655,Paketler!$A$5:$A$24,0)),0))-1)</f>
        <v/>
      </c>
      <c r="G655" s="17" t="str">
        <f aca="false">IF(F655="","",IFERROR(INDEX(Paketler!$C$5:$C$24,MATCH(C655,Paketler!$A$5:$A$24,0)),0))</f>
        <v/>
      </c>
      <c r="H655" s="17" t="str">
        <f aca="false">IF(F655="","",G655-E655)</f>
        <v/>
      </c>
      <c r="I655" s="18" t="str">
        <f aca="true">IF(F655="","",F655-TODAY())</f>
        <v/>
      </c>
      <c r="J655" s="19" t="str">
        <f aca="true">IF(F655="","",IF(TODAY()&lt;D655,"Başlamadı",IF(TODAY()&gt;F655,"Bitti",IF(F655-TODAY()&lt;=7,"Bitiyor","Aktif"))))</f>
        <v/>
      </c>
      <c r="K655" s="19" t="str">
        <f aca="false">IF(OR(J655="Aktif",J655="Bitiyor"),F655+ROW()/1000000,"")</f>
        <v/>
      </c>
    </row>
    <row r="656" customFormat="false" ht="15" hidden="false" customHeight="false" outlineLevel="0" collapsed="false">
      <c r="A656" s="12"/>
      <c r="B656" s="12"/>
      <c r="C656" s="13"/>
      <c r="D656" s="14"/>
      <c r="E656" s="15"/>
      <c r="F656" s="16" t="str">
        <f aca="false">IF(OR(C656="",D656=""),"",EDATE(D656,IFERROR(INDEX(Paketler!$B$5:$B$24,MATCH(C656,Paketler!$A$5:$A$24,0)),0))-1)</f>
        <v/>
      </c>
      <c r="G656" s="17" t="str">
        <f aca="false">IF(F656="","",IFERROR(INDEX(Paketler!$C$5:$C$24,MATCH(C656,Paketler!$A$5:$A$24,0)),0))</f>
        <v/>
      </c>
      <c r="H656" s="17" t="str">
        <f aca="false">IF(F656="","",G656-E656)</f>
        <v/>
      </c>
      <c r="I656" s="18" t="str">
        <f aca="true">IF(F656="","",F656-TODAY())</f>
        <v/>
      </c>
      <c r="J656" s="19" t="str">
        <f aca="true">IF(F656="","",IF(TODAY()&lt;D656,"Başlamadı",IF(TODAY()&gt;F656,"Bitti",IF(F656-TODAY()&lt;=7,"Bitiyor","Aktif"))))</f>
        <v/>
      </c>
      <c r="K656" s="19" t="str">
        <f aca="false">IF(OR(J656="Aktif",J656="Bitiyor"),F656+ROW()/1000000,"")</f>
        <v/>
      </c>
    </row>
    <row r="657" customFormat="false" ht="15" hidden="false" customHeight="false" outlineLevel="0" collapsed="false">
      <c r="A657" s="12"/>
      <c r="B657" s="12"/>
      <c r="C657" s="13"/>
      <c r="D657" s="14"/>
      <c r="E657" s="15"/>
      <c r="F657" s="16" t="str">
        <f aca="false">IF(OR(C657="",D657=""),"",EDATE(D657,IFERROR(INDEX(Paketler!$B$5:$B$24,MATCH(C657,Paketler!$A$5:$A$24,0)),0))-1)</f>
        <v/>
      </c>
      <c r="G657" s="17" t="str">
        <f aca="false">IF(F657="","",IFERROR(INDEX(Paketler!$C$5:$C$24,MATCH(C657,Paketler!$A$5:$A$24,0)),0))</f>
        <v/>
      </c>
      <c r="H657" s="17" t="str">
        <f aca="false">IF(F657="","",G657-E657)</f>
        <v/>
      </c>
      <c r="I657" s="18" t="str">
        <f aca="true">IF(F657="","",F657-TODAY())</f>
        <v/>
      </c>
      <c r="J657" s="19" t="str">
        <f aca="true">IF(F657="","",IF(TODAY()&lt;D657,"Başlamadı",IF(TODAY()&gt;F657,"Bitti",IF(F657-TODAY()&lt;=7,"Bitiyor","Aktif"))))</f>
        <v/>
      </c>
      <c r="K657" s="19" t="str">
        <f aca="false">IF(OR(J657="Aktif",J657="Bitiyor"),F657+ROW()/1000000,"")</f>
        <v/>
      </c>
    </row>
    <row r="658" customFormat="false" ht="15" hidden="false" customHeight="false" outlineLevel="0" collapsed="false">
      <c r="A658" s="12"/>
      <c r="B658" s="12"/>
      <c r="C658" s="13"/>
      <c r="D658" s="14"/>
      <c r="E658" s="15"/>
      <c r="F658" s="16" t="str">
        <f aca="false">IF(OR(C658="",D658=""),"",EDATE(D658,IFERROR(INDEX(Paketler!$B$5:$B$24,MATCH(C658,Paketler!$A$5:$A$24,0)),0))-1)</f>
        <v/>
      </c>
      <c r="G658" s="17" t="str">
        <f aca="false">IF(F658="","",IFERROR(INDEX(Paketler!$C$5:$C$24,MATCH(C658,Paketler!$A$5:$A$24,0)),0))</f>
        <v/>
      </c>
      <c r="H658" s="17" t="str">
        <f aca="false">IF(F658="","",G658-E658)</f>
        <v/>
      </c>
      <c r="I658" s="18" t="str">
        <f aca="true">IF(F658="","",F658-TODAY())</f>
        <v/>
      </c>
      <c r="J658" s="19" t="str">
        <f aca="true">IF(F658="","",IF(TODAY()&lt;D658,"Başlamadı",IF(TODAY()&gt;F658,"Bitti",IF(F658-TODAY()&lt;=7,"Bitiyor","Aktif"))))</f>
        <v/>
      </c>
      <c r="K658" s="19" t="str">
        <f aca="false">IF(OR(J658="Aktif",J658="Bitiyor"),F658+ROW()/1000000,"")</f>
        <v/>
      </c>
    </row>
    <row r="659" customFormat="false" ht="15" hidden="false" customHeight="false" outlineLevel="0" collapsed="false">
      <c r="A659" s="12"/>
      <c r="B659" s="12"/>
      <c r="C659" s="13"/>
      <c r="D659" s="14"/>
      <c r="E659" s="15"/>
      <c r="F659" s="16" t="str">
        <f aca="false">IF(OR(C659="",D659=""),"",EDATE(D659,IFERROR(INDEX(Paketler!$B$5:$B$24,MATCH(C659,Paketler!$A$5:$A$24,0)),0))-1)</f>
        <v/>
      </c>
      <c r="G659" s="17" t="str">
        <f aca="false">IF(F659="","",IFERROR(INDEX(Paketler!$C$5:$C$24,MATCH(C659,Paketler!$A$5:$A$24,0)),0))</f>
        <v/>
      </c>
      <c r="H659" s="17" t="str">
        <f aca="false">IF(F659="","",G659-E659)</f>
        <v/>
      </c>
      <c r="I659" s="18" t="str">
        <f aca="true">IF(F659="","",F659-TODAY())</f>
        <v/>
      </c>
      <c r="J659" s="19" t="str">
        <f aca="true">IF(F659="","",IF(TODAY()&lt;D659,"Başlamadı",IF(TODAY()&gt;F659,"Bitti",IF(F659-TODAY()&lt;=7,"Bitiyor","Aktif"))))</f>
        <v/>
      </c>
      <c r="K659" s="19" t="str">
        <f aca="false">IF(OR(J659="Aktif",J659="Bitiyor"),F659+ROW()/1000000,"")</f>
        <v/>
      </c>
    </row>
    <row r="660" customFormat="false" ht="15" hidden="false" customHeight="false" outlineLevel="0" collapsed="false">
      <c r="A660" s="12"/>
      <c r="B660" s="12"/>
      <c r="C660" s="13"/>
      <c r="D660" s="14"/>
      <c r="E660" s="15"/>
      <c r="F660" s="16" t="str">
        <f aca="false">IF(OR(C660="",D660=""),"",EDATE(D660,IFERROR(INDEX(Paketler!$B$5:$B$24,MATCH(C660,Paketler!$A$5:$A$24,0)),0))-1)</f>
        <v/>
      </c>
      <c r="G660" s="17" t="str">
        <f aca="false">IF(F660="","",IFERROR(INDEX(Paketler!$C$5:$C$24,MATCH(C660,Paketler!$A$5:$A$24,0)),0))</f>
        <v/>
      </c>
      <c r="H660" s="17" t="str">
        <f aca="false">IF(F660="","",G660-E660)</f>
        <v/>
      </c>
      <c r="I660" s="18" t="str">
        <f aca="true">IF(F660="","",F660-TODAY())</f>
        <v/>
      </c>
      <c r="J660" s="19" t="str">
        <f aca="true">IF(F660="","",IF(TODAY()&lt;D660,"Başlamadı",IF(TODAY()&gt;F660,"Bitti",IF(F660-TODAY()&lt;=7,"Bitiyor","Aktif"))))</f>
        <v/>
      </c>
      <c r="K660" s="19" t="str">
        <f aca="false">IF(OR(J660="Aktif",J660="Bitiyor"),F660+ROW()/1000000,"")</f>
        <v/>
      </c>
    </row>
    <row r="661" customFormat="false" ht="15" hidden="false" customHeight="false" outlineLevel="0" collapsed="false">
      <c r="A661" s="12"/>
      <c r="B661" s="12"/>
      <c r="C661" s="13"/>
      <c r="D661" s="14"/>
      <c r="E661" s="15"/>
      <c r="F661" s="16" t="str">
        <f aca="false">IF(OR(C661="",D661=""),"",EDATE(D661,IFERROR(INDEX(Paketler!$B$5:$B$24,MATCH(C661,Paketler!$A$5:$A$24,0)),0))-1)</f>
        <v/>
      </c>
      <c r="G661" s="17" t="str">
        <f aca="false">IF(F661="","",IFERROR(INDEX(Paketler!$C$5:$C$24,MATCH(C661,Paketler!$A$5:$A$24,0)),0))</f>
        <v/>
      </c>
      <c r="H661" s="17" t="str">
        <f aca="false">IF(F661="","",G661-E661)</f>
        <v/>
      </c>
      <c r="I661" s="18" t="str">
        <f aca="true">IF(F661="","",F661-TODAY())</f>
        <v/>
      </c>
      <c r="J661" s="19" t="str">
        <f aca="true">IF(F661="","",IF(TODAY()&lt;D661,"Başlamadı",IF(TODAY()&gt;F661,"Bitti",IF(F661-TODAY()&lt;=7,"Bitiyor","Aktif"))))</f>
        <v/>
      </c>
      <c r="K661" s="19" t="str">
        <f aca="false">IF(OR(J661="Aktif",J661="Bitiyor"),F661+ROW()/1000000,"")</f>
        <v/>
      </c>
    </row>
    <row r="662" customFormat="false" ht="15" hidden="false" customHeight="false" outlineLevel="0" collapsed="false">
      <c r="A662" s="12"/>
      <c r="B662" s="12"/>
      <c r="C662" s="13"/>
      <c r="D662" s="14"/>
      <c r="E662" s="15"/>
      <c r="F662" s="16" t="str">
        <f aca="false">IF(OR(C662="",D662=""),"",EDATE(D662,IFERROR(INDEX(Paketler!$B$5:$B$24,MATCH(C662,Paketler!$A$5:$A$24,0)),0))-1)</f>
        <v/>
      </c>
      <c r="G662" s="17" t="str">
        <f aca="false">IF(F662="","",IFERROR(INDEX(Paketler!$C$5:$C$24,MATCH(C662,Paketler!$A$5:$A$24,0)),0))</f>
        <v/>
      </c>
      <c r="H662" s="17" t="str">
        <f aca="false">IF(F662="","",G662-E662)</f>
        <v/>
      </c>
      <c r="I662" s="18" t="str">
        <f aca="true">IF(F662="","",F662-TODAY())</f>
        <v/>
      </c>
      <c r="J662" s="19" t="str">
        <f aca="true">IF(F662="","",IF(TODAY()&lt;D662,"Başlamadı",IF(TODAY()&gt;F662,"Bitti",IF(F662-TODAY()&lt;=7,"Bitiyor","Aktif"))))</f>
        <v/>
      </c>
      <c r="K662" s="19" t="str">
        <f aca="false">IF(OR(J662="Aktif",J662="Bitiyor"),F662+ROW()/1000000,"")</f>
        <v/>
      </c>
    </row>
    <row r="663" customFormat="false" ht="15" hidden="false" customHeight="false" outlineLevel="0" collapsed="false">
      <c r="A663" s="12"/>
      <c r="B663" s="12"/>
      <c r="C663" s="13"/>
      <c r="D663" s="14"/>
      <c r="E663" s="15"/>
      <c r="F663" s="16" t="str">
        <f aca="false">IF(OR(C663="",D663=""),"",EDATE(D663,IFERROR(INDEX(Paketler!$B$5:$B$24,MATCH(C663,Paketler!$A$5:$A$24,0)),0))-1)</f>
        <v/>
      </c>
      <c r="G663" s="17" t="str">
        <f aca="false">IF(F663="","",IFERROR(INDEX(Paketler!$C$5:$C$24,MATCH(C663,Paketler!$A$5:$A$24,0)),0))</f>
        <v/>
      </c>
      <c r="H663" s="17" t="str">
        <f aca="false">IF(F663="","",G663-E663)</f>
        <v/>
      </c>
      <c r="I663" s="18" t="str">
        <f aca="true">IF(F663="","",F663-TODAY())</f>
        <v/>
      </c>
      <c r="J663" s="19" t="str">
        <f aca="true">IF(F663="","",IF(TODAY()&lt;D663,"Başlamadı",IF(TODAY()&gt;F663,"Bitti",IF(F663-TODAY()&lt;=7,"Bitiyor","Aktif"))))</f>
        <v/>
      </c>
      <c r="K663" s="19" t="str">
        <f aca="false">IF(OR(J663="Aktif",J663="Bitiyor"),F663+ROW()/1000000,"")</f>
        <v/>
      </c>
    </row>
    <row r="664" customFormat="false" ht="15" hidden="false" customHeight="false" outlineLevel="0" collapsed="false">
      <c r="A664" s="12"/>
      <c r="B664" s="12"/>
      <c r="C664" s="13"/>
      <c r="D664" s="14"/>
      <c r="E664" s="15"/>
      <c r="F664" s="16" t="str">
        <f aca="false">IF(OR(C664="",D664=""),"",EDATE(D664,IFERROR(INDEX(Paketler!$B$5:$B$24,MATCH(C664,Paketler!$A$5:$A$24,0)),0))-1)</f>
        <v/>
      </c>
      <c r="G664" s="17" t="str">
        <f aca="false">IF(F664="","",IFERROR(INDEX(Paketler!$C$5:$C$24,MATCH(C664,Paketler!$A$5:$A$24,0)),0))</f>
        <v/>
      </c>
      <c r="H664" s="17" t="str">
        <f aca="false">IF(F664="","",G664-E664)</f>
        <v/>
      </c>
      <c r="I664" s="18" t="str">
        <f aca="true">IF(F664="","",F664-TODAY())</f>
        <v/>
      </c>
      <c r="J664" s="19" t="str">
        <f aca="true">IF(F664="","",IF(TODAY()&lt;D664,"Başlamadı",IF(TODAY()&gt;F664,"Bitti",IF(F664-TODAY()&lt;=7,"Bitiyor","Aktif"))))</f>
        <v/>
      </c>
      <c r="K664" s="19" t="str">
        <f aca="false">IF(OR(J664="Aktif",J664="Bitiyor"),F664+ROW()/1000000,"")</f>
        <v/>
      </c>
    </row>
    <row r="665" customFormat="false" ht="15" hidden="false" customHeight="false" outlineLevel="0" collapsed="false">
      <c r="A665" s="12"/>
      <c r="B665" s="12"/>
      <c r="C665" s="13"/>
      <c r="D665" s="14"/>
      <c r="E665" s="15"/>
      <c r="F665" s="16" t="str">
        <f aca="false">IF(OR(C665="",D665=""),"",EDATE(D665,IFERROR(INDEX(Paketler!$B$5:$B$24,MATCH(C665,Paketler!$A$5:$A$24,0)),0))-1)</f>
        <v/>
      </c>
      <c r="G665" s="17" t="str">
        <f aca="false">IF(F665="","",IFERROR(INDEX(Paketler!$C$5:$C$24,MATCH(C665,Paketler!$A$5:$A$24,0)),0))</f>
        <v/>
      </c>
      <c r="H665" s="17" t="str">
        <f aca="false">IF(F665="","",G665-E665)</f>
        <v/>
      </c>
      <c r="I665" s="18" t="str">
        <f aca="true">IF(F665="","",F665-TODAY())</f>
        <v/>
      </c>
      <c r="J665" s="19" t="str">
        <f aca="true">IF(F665="","",IF(TODAY()&lt;D665,"Başlamadı",IF(TODAY()&gt;F665,"Bitti",IF(F665-TODAY()&lt;=7,"Bitiyor","Aktif"))))</f>
        <v/>
      </c>
      <c r="K665" s="19" t="str">
        <f aca="false">IF(OR(J665="Aktif",J665="Bitiyor"),F665+ROW()/1000000,"")</f>
        <v/>
      </c>
    </row>
    <row r="666" customFormat="false" ht="15" hidden="false" customHeight="false" outlineLevel="0" collapsed="false">
      <c r="A666" s="12"/>
      <c r="B666" s="12"/>
      <c r="C666" s="13"/>
      <c r="D666" s="14"/>
      <c r="E666" s="15"/>
      <c r="F666" s="16" t="str">
        <f aca="false">IF(OR(C666="",D666=""),"",EDATE(D666,IFERROR(INDEX(Paketler!$B$5:$B$24,MATCH(C666,Paketler!$A$5:$A$24,0)),0))-1)</f>
        <v/>
      </c>
      <c r="G666" s="17" t="str">
        <f aca="false">IF(F666="","",IFERROR(INDEX(Paketler!$C$5:$C$24,MATCH(C666,Paketler!$A$5:$A$24,0)),0))</f>
        <v/>
      </c>
      <c r="H666" s="17" t="str">
        <f aca="false">IF(F666="","",G666-E666)</f>
        <v/>
      </c>
      <c r="I666" s="18" t="str">
        <f aca="true">IF(F666="","",F666-TODAY())</f>
        <v/>
      </c>
      <c r="J666" s="19" t="str">
        <f aca="true">IF(F666="","",IF(TODAY()&lt;D666,"Başlamadı",IF(TODAY()&gt;F666,"Bitti",IF(F666-TODAY()&lt;=7,"Bitiyor","Aktif"))))</f>
        <v/>
      </c>
      <c r="K666" s="19" t="str">
        <f aca="false">IF(OR(J666="Aktif",J666="Bitiyor"),F666+ROW()/1000000,"")</f>
        <v/>
      </c>
    </row>
    <row r="667" customFormat="false" ht="15" hidden="false" customHeight="false" outlineLevel="0" collapsed="false">
      <c r="A667" s="12"/>
      <c r="B667" s="12"/>
      <c r="C667" s="13"/>
      <c r="D667" s="14"/>
      <c r="E667" s="15"/>
      <c r="F667" s="16" t="str">
        <f aca="false">IF(OR(C667="",D667=""),"",EDATE(D667,IFERROR(INDEX(Paketler!$B$5:$B$24,MATCH(C667,Paketler!$A$5:$A$24,0)),0))-1)</f>
        <v/>
      </c>
      <c r="G667" s="17" t="str">
        <f aca="false">IF(F667="","",IFERROR(INDEX(Paketler!$C$5:$C$24,MATCH(C667,Paketler!$A$5:$A$24,0)),0))</f>
        <v/>
      </c>
      <c r="H667" s="17" t="str">
        <f aca="false">IF(F667="","",G667-E667)</f>
        <v/>
      </c>
      <c r="I667" s="18" t="str">
        <f aca="true">IF(F667="","",F667-TODAY())</f>
        <v/>
      </c>
      <c r="J667" s="19" t="str">
        <f aca="true">IF(F667="","",IF(TODAY()&lt;D667,"Başlamadı",IF(TODAY()&gt;F667,"Bitti",IF(F667-TODAY()&lt;=7,"Bitiyor","Aktif"))))</f>
        <v/>
      </c>
      <c r="K667" s="19" t="str">
        <f aca="false">IF(OR(J667="Aktif",J667="Bitiyor"),F667+ROW()/1000000,"")</f>
        <v/>
      </c>
    </row>
    <row r="668" customFormat="false" ht="15" hidden="false" customHeight="false" outlineLevel="0" collapsed="false">
      <c r="A668" s="12"/>
      <c r="B668" s="12"/>
      <c r="C668" s="13"/>
      <c r="D668" s="14"/>
      <c r="E668" s="15"/>
      <c r="F668" s="16" t="str">
        <f aca="false">IF(OR(C668="",D668=""),"",EDATE(D668,IFERROR(INDEX(Paketler!$B$5:$B$24,MATCH(C668,Paketler!$A$5:$A$24,0)),0))-1)</f>
        <v/>
      </c>
      <c r="G668" s="17" t="str">
        <f aca="false">IF(F668="","",IFERROR(INDEX(Paketler!$C$5:$C$24,MATCH(C668,Paketler!$A$5:$A$24,0)),0))</f>
        <v/>
      </c>
      <c r="H668" s="17" t="str">
        <f aca="false">IF(F668="","",G668-E668)</f>
        <v/>
      </c>
      <c r="I668" s="18" t="str">
        <f aca="true">IF(F668="","",F668-TODAY())</f>
        <v/>
      </c>
      <c r="J668" s="19" t="str">
        <f aca="true">IF(F668="","",IF(TODAY()&lt;D668,"Başlamadı",IF(TODAY()&gt;F668,"Bitti",IF(F668-TODAY()&lt;=7,"Bitiyor","Aktif"))))</f>
        <v/>
      </c>
      <c r="K668" s="19" t="str">
        <f aca="false">IF(OR(J668="Aktif",J668="Bitiyor"),F668+ROW()/1000000,"")</f>
        <v/>
      </c>
    </row>
    <row r="669" customFormat="false" ht="15" hidden="false" customHeight="false" outlineLevel="0" collapsed="false">
      <c r="A669" s="12"/>
      <c r="B669" s="12"/>
      <c r="C669" s="13"/>
      <c r="D669" s="14"/>
      <c r="E669" s="15"/>
      <c r="F669" s="16" t="str">
        <f aca="false">IF(OR(C669="",D669=""),"",EDATE(D669,IFERROR(INDEX(Paketler!$B$5:$B$24,MATCH(C669,Paketler!$A$5:$A$24,0)),0))-1)</f>
        <v/>
      </c>
      <c r="G669" s="17" t="str">
        <f aca="false">IF(F669="","",IFERROR(INDEX(Paketler!$C$5:$C$24,MATCH(C669,Paketler!$A$5:$A$24,0)),0))</f>
        <v/>
      </c>
      <c r="H669" s="17" t="str">
        <f aca="false">IF(F669="","",G669-E669)</f>
        <v/>
      </c>
      <c r="I669" s="18" t="str">
        <f aca="true">IF(F669="","",F669-TODAY())</f>
        <v/>
      </c>
      <c r="J669" s="19" t="str">
        <f aca="true">IF(F669="","",IF(TODAY()&lt;D669,"Başlamadı",IF(TODAY()&gt;F669,"Bitti",IF(F669-TODAY()&lt;=7,"Bitiyor","Aktif"))))</f>
        <v/>
      </c>
      <c r="K669" s="19" t="str">
        <f aca="false">IF(OR(J669="Aktif",J669="Bitiyor"),F669+ROW()/1000000,"")</f>
        <v/>
      </c>
    </row>
    <row r="670" customFormat="false" ht="15" hidden="false" customHeight="false" outlineLevel="0" collapsed="false">
      <c r="A670" s="12"/>
      <c r="B670" s="12"/>
      <c r="C670" s="13"/>
      <c r="D670" s="14"/>
      <c r="E670" s="15"/>
      <c r="F670" s="16" t="str">
        <f aca="false">IF(OR(C670="",D670=""),"",EDATE(D670,IFERROR(INDEX(Paketler!$B$5:$B$24,MATCH(C670,Paketler!$A$5:$A$24,0)),0))-1)</f>
        <v/>
      </c>
      <c r="G670" s="17" t="str">
        <f aca="false">IF(F670="","",IFERROR(INDEX(Paketler!$C$5:$C$24,MATCH(C670,Paketler!$A$5:$A$24,0)),0))</f>
        <v/>
      </c>
      <c r="H670" s="17" t="str">
        <f aca="false">IF(F670="","",G670-E670)</f>
        <v/>
      </c>
      <c r="I670" s="18" t="str">
        <f aca="true">IF(F670="","",F670-TODAY())</f>
        <v/>
      </c>
      <c r="J670" s="19" t="str">
        <f aca="true">IF(F670="","",IF(TODAY()&lt;D670,"Başlamadı",IF(TODAY()&gt;F670,"Bitti",IF(F670-TODAY()&lt;=7,"Bitiyor","Aktif"))))</f>
        <v/>
      </c>
      <c r="K670" s="19" t="str">
        <f aca="false">IF(OR(J670="Aktif",J670="Bitiyor"),F670+ROW()/1000000,"")</f>
        <v/>
      </c>
    </row>
    <row r="671" customFormat="false" ht="15" hidden="false" customHeight="false" outlineLevel="0" collapsed="false">
      <c r="A671" s="12"/>
      <c r="B671" s="12"/>
      <c r="C671" s="13"/>
      <c r="D671" s="14"/>
      <c r="E671" s="15"/>
      <c r="F671" s="16" t="str">
        <f aca="false">IF(OR(C671="",D671=""),"",EDATE(D671,IFERROR(INDEX(Paketler!$B$5:$B$24,MATCH(C671,Paketler!$A$5:$A$24,0)),0))-1)</f>
        <v/>
      </c>
      <c r="G671" s="17" t="str">
        <f aca="false">IF(F671="","",IFERROR(INDEX(Paketler!$C$5:$C$24,MATCH(C671,Paketler!$A$5:$A$24,0)),0))</f>
        <v/>
      </c>
      <c r="H671" s="17" t="str">
        <f aca="false">IF(F671="","",G671-E671)</f>
        <v/>
      </c>
      <c r="I671" s="18" t="str">
        <f aca="true">IF(F671="","",F671-TODAY())</f>
        <v/>
      </c>
      <c r="J671" s="19" t="str">
        <f aca="true">IF(F671="","",IF(TODAY()&lt;D671,"Başlamadı",IF(TODAY()&gt;F671,"Bitti",IF(F671-TODAY()&lt;=7,"Bitiyor","Aktif"))))</f>
        <v/>
      </c>
      <c r="K671" s="19" t="str">
        <f aca="false">IF(OR(J671="Aktif",J671="Bitiyor"),F671+ROW()/1000000,"")</f>
        <v/>
      </c>
    </row>
    <row r="672" customFormat="false" ht="15" hidden="false" customHeight="false" outlineLevel="0" collapsed="false">
      <c r="A672" s="12"/>
      <c r="B672" s="12"/>
      <c r="C672" s="13"/>
      <c r="D672" s="14"/>
      <c r="E672" s="15"/>
      <c r="F672" s="16" t="str">
        <f aca="false">IF(OR(C672="",D672=""),"",EDATE(D672,IFERROR(INDEX(Paketler!$B$5:$B$24,MATCH(C672,Paketler!$A$5:$A$24,0)),0))-1)</f>
        <v/>
      </c>
      <c r="G672" s="17" t="str">
        <f aca="false">IF(F672="","",IFERROR(INDEX(Paketler!$C$5:$C$24,MATCH(C672,Paketler!$A$5:$A$24,0)),0))</f>
        <v/>
      </c>
      <c r="H672" s="17" t="str">
        <f aca="false">IF(F672="","",G672-E672)</f>
        <v/>
      </c>
      <c r="I672" s="18" t="str">
        <f aca="true">IF(F672="","",F672-TODAY())</f>
        <v/>
      </c>
      <c r="J672" s="19" t="str">
        <f aca="true">IF(F672="","",IF(TODAY()&lt;D672,"Başlamadı",IF(TODAY()&gt;F672,"Bitti",IF(F672-TODAY()&lt;=7,"Bitiyor","Aktif"))))</f>
        <v/>
      </c>
      <c r="K672" s="19" t="str">
        <f aca="false">IF(OR(J672="Aktif",J672="Bitiyor"),F672+ROW()/1000000,"")</f>
        <v/>
      </c>
    </row>
    <row r="673" customFormat="false" ht="15" hidden="false" customHeight="false" outlineLevel="0" collapsed="false">
      <c r="A673" s="12"/>
      <c r="B673" s="12"/>
      <c r="C673" s="13"/>
      <c r="D673" s="14"/>
      <c r="E673" s="15"/>
      <c r="F673" s="16" t="str">
        <f aca="false">IF(OR(C673="",D673=""),"",EDATE(D673,IFERROR(INDEX(Paketler!$B$5:$B$24,MATCH(C673,Paketler!$A$5:$A$24,0)),0))-1)</f>
        <v/>
      </c>
      <c r="G673" s="17" t="str">
        <f aca="false">IF(F673="","",IFERROR(INDEX(Paketler!$C$5:$C$24,MATCH(C673,Paketler!$A$5:$A$24,0)),0))</f>
        <v/>
      </c>
      <c r="H673" s="17" t="str">
        <f aca="false">IF(F673="","",G673-E673)</f>
        <v/>
      </c>
      <c r="I673" s="18" t="str">
        <f aca="true">IF(F673="","",F673-TODAY())</f>
        <v/>
      </c>
      <c r="J673" s="19" t="str">
        <f aca="true">IF(F673="","",IF(TODAY()&lt;D673,"Başlamadı",IF(TODAY()&gt;F673,"Bitti",IF(F673-TODAY()&lt;=7,"Bitiyor","Aktif"))))</f>
        <v/>
      </c>
      <c r="K673" s="19" t="str">
        <f aca="false">IF(OR(J673="Aktif",J673="Bitiyor"),F673+ROW()/1000000,"")</f>
        <v/>
      </c>
    </row>
    <row r="674" customFormat="false" ht="15" hidden="false" customHeight="false" outlineLevel="0" collapsed="false">
      <c r="A674" s="12"/>
      <c r="B674" s="12"/>
      <c r="C674" s="13"/>
      <c r="D674" s="14"/>
      <c r="E674" s="15"/>
      <c r="F674" s="16" t="str">
        <f aca="false">IF(OR(C674="",D674=""),"",EDATE(D674,IFERROR(INDEX(Paketler!$B$5:$B$24,MATCH(C674,Paketler!$A$5:$A$24,0)),0))-1)</f>
        <v/>
      </c>
      <c r="G674" s="17" t="str">
        <f aca="false">IF(F674="","",IFERROR(INDEX(Paketler!$C$5:$C$24,MATCH(C674,Paketler!$A$5:$A$24,0)),0))</f>
        <v/>
      </c>
      <c r="H674" s="17" t="str">
        <f aca="false">IF(F674="","",G674-E674)</f>
        <v/>
      </c>
      <c r="I674" s="18" t="str">
        <f aca="true">IF(F674="","",F674-TODAY())</f>
        <v/>
      </c>
      <c r="J674" s="19" t="str">
        <f aca="true">IF(F674="","",IF(TODAY()&lt;D674,"Başlamadı",IF(TODAY()&gt;F674,"Bitti",IF(F674-TODAY()&lt;=7,"Bitiyor","Aktif"))))</f>
        <v/>
      </c>
      <c r="K674" s="19" t="str">
        <f aca="false">IF(OR(J674="Aktif",J674="Bitiyor"),F674+ROW()/1000000,"")</f>
        <v/>
      </c>
    </row>
    <row r="675" customFormat="false" ht="15" hidden="false" customHeight="false" outlineLevel="0" collapsed="false">
      <c r="A675" s="12"/>
      <c r="B675" s="12"/>
      <c r="C675" s="13"/>
      <c r="D675" s="14"/>
      <c r="E675" s="15"/>
      <c r="F675" s="16" t="str">
        <f aca="false">IF(OR(C675="",D675=""),"",EDATE(D675,IFERROR(INDEX(Paketler!$B$5:$B$24,MATCH(C675,Paketler!$A$5:$A$24,0)),0))-1)</f>
        <v/>
      </c>
      <c r="G675" s="17" t="str">
        <f aca="false">IF(F675="","",IFERROR(INDEX(Paketler!$C$5:$C$24,MATCH(C675,Paketler!$A$5:$A$24,0)),0))</f>
        <v/>
      </c>
      <c r="H675" s="17" t="str">
        <f aca="false">IF(F675="","",G675-E675)</f>
        <v/>
      </c>
      <c r="I675" s="18" t="str">
        <f aca="true">IF(F675="","",F675-TODAY())</f>
        <v/>
      </c>
      <c r="J675" s="19" t="str">
        <f aca="true">IF(F675="","",IF(TODAY()&lt;D675,"Başlamadı",IF(TODAY()&gt;F675,"Bitti",IF(F675-TODAY()&lt;=7,"Bitiyor","Aktif"))))</f>
        <v/>
      </c>
      <c r="K675" s="19" t="str">
        <f aca="false">IF(OR(J675="Aktif",J675="Bitiyor"),F675+ROW()/1000000,"")</f>
        <v/>
      </c>
    </row>
    <row r="676" customFormat="false" ht="15" hidden="false" customHeight="false" outlineLevel="0" collapsed="false">
      <c r="A676" s="12"/>
      <c r="B676" s="12"/>
      <c r="C676" s="13"/>
      <c r="D676" s="14"/>
      <c r="E676" s="15"/>
      <c r="F676" s="16" t="str">
        <f aca="false">IF(OR(C676="",D676=""),"",EDATE(D676,IFERROR(INDEX(Paketler!$B$5:$B$24,MATCH(C676,Paketler!$A$5:$A$24,0)),0))-1)</f>
        <v/>
      </c>
      <c r="G676" s="17" t="str">
        <f aca="false">IF(F676="","",IFERROR(INDEX(Paketler!$C$5:$C$24,MATCH(C676,Paketler!$A$5:$A$24,0)),0))</f>
        <v/>
      </c>
      <c r="H676" s="17" t="str">
        <f aca="false">IF(F676="","",G676-E676)</f>
        <v/>
      </c>
      <c r="I676" s="18" t="str">
        <f aca="true">IF(F676="","",F676-TODAY())</f>
        <v/>
      </c>
      <c r="J676" s="19" t="str">
        <f aca="true">IF(F676="","",IF(TODAY()&lt;D676,"Başlamadı",IF(TODAY()&gt;F676,"Bitti",IF(F676-TODAY()&lt;=7,"Bitiyor","Aktif"))))</f>
        <v/>
      </c>
      <c r="K676" s="19" t="str">
        <f aca="false">IF(OR(J676="Aktif",J676="Bitiyor"),F676+ROW()/1000000,"")</f>
        <v/>
      </c>
    </row>
    <row r="677" customFormat="false" ht="15" hidden="false" customHeight="false" outlineLevel="0" collapsed="false">
      <c r="A677" s="12"/>
      <c r="B677" s="12"/>
      <c r="C677" s="13"/>
      <c r="D677" s="14"/>
      <c r="E677" s="15"/>
      <c r="F677" s="16" t="str">
        <f aca="false">IF(OR(C677="",D677=""),"",EDATE(D677,IFERROR(INDEX(Paketler!$B$5:$B$24,MATCH(C677,Paketler!$A$5:$A$24,0)),0))-1)</f>
        <v/>
      </c>
      <c r="G677" s="17" t="str">
        <f aca="false">IF(F677="","",IFERROR(INDEX(Paketler!$C$5:$C$24,MATCH(C677,Paketler!$A$5:$A$24,0)),0))</f>
        <v/>
      </c>
      <c r="H677" s="17" t="str">
        <f aca="false">IF(F677="","",G677-E677)</f>
        <v/>
      </c>
      <c r="I677" s="18" t="str">
        <f aca="true">IF(F677="","",F677-TODAY())</f>
        <v/>
      </c>
      <c r="J677" s="19" t="str">
        <f aca="true">IF(F677="","",IF(TODAY()&lt;D677,"Başlamadı",IF(TODAY()&gt;F677,"Bitti",IF(F677-TODAY()&lt;=7,"Bitiyor","Aktif"))))</f>
        <v/>
      </c>
      <c r="K677" s="19" t="str">
        <f aca="false">IF(OR(J677="Aktif",J677="Bitiyor"),F677+ROW()/1000000,"")</f>
        <v/>
      </c>
    </row>
    <row r="678" customFormat="false" ht="15" hidden="false" customHeight="false" outlineLevel="0" collapsed="false">
      <c r="A678" s="12"/>
      <c r="B678" s="12"/>
      <c r="C678" s="13"/>
      <c r="D678" s="14"/>
      <c r="E678" s="15"/>
      <c r="F678" s="16" t="str">
        <f aca="false">IF(OR(C678="",D678=""),"",EDATE(D678,IFERROR(INDEX(Paketler!$B$5:$B$24,MATCH(C678,Paketler!$A$5:$A$24,0)),0))-1)</f>
        <v/>
      </c>
      <c r="G678" s="17" t="str">
        <f aca="false">IF(F678="","",IFERROR(INDEX(Paketler!$C$5:$C$24,MATCH(C678,Paketler!$A$5:$A$24,0)),0))</f>
        <v/>
      </c>
      <c r="H678" s="17" t="str">
        <f aca="false">IF(F678="","",G678-E678)</f>
        <v/>
      </c>
      <c r="I678" s="18" t="str">
        <f aca="true">IF(F678="","",F678-TODAY())</f>
        <v/>
      </c>
      <c r="J678" s="19" t="str">
        <f aca="true">IF(F678="","",IF(TODAY()&lt;D678,"Başlamadı",IF(TODAY()&gt;F678,"Bitti",IF(F678-TODAY()&lt;=7,"Bitiyor","Aktif"))))</f>
        <v/>
      </c>
      <c r="K678" s="19" t="str">
        <f aca="false">IF(OR(J678="Aktif",J678="Bitiyor"),F678+ROW()/1000000,"")</f>
        <v/>
      </c>
    </row>
    <row r="679" customFormat="false" ht="15" hidden="false" customHeight="false" outlineLevel="0" collapsed="false">
      <c r="A679" s="12"/>
      <c r="B679" s="12"/>
      <c r="C679" s="13"/>
      <c r="D679" s="14"/>
      <c r="E679" s="15"/>
      <c r="F679" s="16" t="str">
        <f aca="false">IF(OR(C679="",D679=""),"",EDATE(D679,IFERROR(INDEX(Paketler!$B$5:$B$24,MATCH(C679,Paketler!$A$5:$A$24,0)),0))-1)</f>
        <v/>
      </c>
      <c r="G679" s="17" t="str">
        <f aca="false">IF(F679="","",IFERROR(INDEX(Paketler!$C$5:$C$24,MATCH(C679,Paketler!$A$5:$A$24,0)),0))</f>
        <v/>
      </c>
      <c r="H679" s="17" t="str">
        <f aca="false">IF(F679="","",G679-E679)</f>
        <v/>
      </c>
      <c r="I679" s="18" t="str">
        <f aca="true">IF(F679="","",F679-TODAY())</f>
        <v/>
      </c>
      <c r="J679" s="19" t="str">
        <f aca="true">IF(F679="","",IF(TODAY()&lt;D679,"Başlamadı",IF(TODAY()&gt;F679,"Bitti",IF(F679-TODAY()&lt;=7,"Bitiyor","Aktif"))))</f>
        <v/>
      </c>
      <c r="K679" s="19" t="str">
        <f aca="false">IF(OR(J679="Aktif",J679="Bitiyor"),F679+ROW()/1000000,"")</f>
        <v/>
      </c>
    </row>
    <row r="680" customFormat="false" ht="15" hidden="false" customHeight="false" outlineLevel="0" collapsed="false">
      <c r="A680" s="12"/>
      <c r="B680" s="12"/>
      <c r="C680" s="13"/>
      <c r="D680" s="14"/>
      <c r="E680" s="15"/>
      <c r="F680" s="16" t="str">
        <f aca="false">IF(OR(C680="",D680=""),"",EDATE(D680,IFERROR(INDEX(Paketler!$B$5:$B$24,MATCH(C680,Paketler!$A$5:$A$24,0)),0))-1)</f>
        <v/>
      </c>
      <c r="G680" s="17" t="str">
        <f aca="false">IF(F680="","",IFERROR(INDEX(Paketler!$C$5:$C$24,MATCH(C680,Paketler!$A$5:$A$24,0)),0))</f>
        <v/>
      </c>
      <c r="H680" s="17" t="str">
        <f aca="false">IF(F680="","",G680-E680)</f>
        <v/>
      </c>
      <c r="I680" s="18" t="str">
        <f aca="true">IF(F680="","",F680-TODAY())</f>
        <v/>
      </c>
      <c r="J680" s="19" t="str">
        <f aca="true">IF(F680="","",IF(TODAY()&lt;D680,"Başlamadı",IF(TODAY()&gt;F680,"Bitti",IF(F680-TODAY()&lt;=7,"Bitiyor","Aktif"))))</f>
        <v/>
      </c>
      <c r="K680" s="19" t="str">
        <f aca="false">IF(OR(J680="Aktif",J680="Bitiyor"),F680+ROW()/1000000,"")</f>
        <v/>
      </c>
    </row>
    <row r="681" customFormat="false" ht="15" hidden="false" customHeight="false" outlineLevel="0" collapsed="false">
      <c r="A681" s="12"/>
      <c r="B681" s="12"/>
      <c r="C681" s="13"/>
      <c r="D681" s="14"/>
      <c r="E681" s="15"/>
      <c r="F681" s="16" t="str">
        <f aca="false">IF(OR(C681="",D681=""),"",EDATE(D681,IFERROR(INDEX(Paketler!$B$5:$B$24,MATCH(C681,Paketler!$A$5:$A$24,0)),0))-1)</f>
        <v/>
      </c>
      <c r="G681" s="17" t="str">
        <f aca="false">IF(F681="","",IFERROR(INDEX(Paketler!$C$5:$C$24,MATCH(C681,Paketler!$A$5:$A$24,0)),0))</f>
        <v/>
      </c>
      <c r="H681" s="17" t="str">
        <f aca="false">IF(F681="","",G681-E681)</f>
        <v/>
      </c>
      <c r="I681" s="18" t="str">
        <f aca="true">IF(F681="","",F681-TODAY())</f>
        <v/>
      </c>
      <c r="J681" s="19" t="str">
        <f aca="true">IF(F681="","",IF(TODAY()&lt;D681,"Başlamadı",IF(TODAY()&gt;F681,"Bitti",IF(F681-TODAY()&lt;=7,"Bitiyor","Aktif"))))</f>
        <v/>
      </c>
      <c r="K681" s="19" t="str">
        <f aca="false">IF(OR(J681="Aktif",J681="Bitiyor"),F681+ROW()/1000000,"")</f>
        <v/>
      </c>
    </row>
    <row r="682" customFormat="false" ht="15" hidden="false" customHeight="false" outlineLevel="0" collapsed="false">
      <c r="A682" s="12"/>
      <c r="B682" s="12"/>
      <c r="C682" s="13"/>
      <c r="D682" s="14"/>
      <c r="E682" s="15"/>
      <c r="F682" s="16" t="str">
        <f aca="false">IF(OR(C682="",D682=""),"",EDATE(D682,IFERROR(INDEX(Paketler!$B$5:$B$24,MATCH(C682,Paketler!$A$5:$A$24,0)),0))-1)</f>
        <v/>
      </c>
      <c r="G682" s="17" t="str">
        <f aca="false">IF(F682="","",IFERROR(INDEX(Paketler!$C$5:$C$24,MATCH(C682,Paketler!$A$5:$A$24,0)),0))</f>
        <v/>
      </c>
      <c r="H682" s="17" t="str">
        <f aca="false">IF(F682="","",G682-E682)</f>
        <v/>
      </c>
      <c r="I682" s="18" t="str">
        <f aca="true">IF(F682="","",F682-TODAY())</f>
        <v/>
      </c>
      <c r="J682" s="19" t="str">
        <f aca="true">IF(F682="","",IF(TODAY()&lt;D682,"Başlamadı",IF(TODAY()&gt;F682,"Bitti",IF(F682-TODAY()&lt;=7,"Bitiyor","Aktif"))))</f>
        <v/>
      </c>
      <c r="K682" s="19" t="str">
        <f aca="false">IF(OR(J682="Aktif",J682="Bitiyor"),F682+ROW()/1000000,"")</f>
        <v/>
      </c>
    </row>
    <row r="683" customFormat="false" ht="15" hidden="false" customHeight="false" outlineLevel="0" collapsed="false">
      <c r="A683" s="12"/>
      <c r="B683" s="12"/>
      <c r="C683" s="13"/>
      <c r="D683" s="14"/>
      <c r="E683" s="15"/>
      <c r="F683" s="16" t="str">
        <f aca="false">IF(OR(C683="",D683=""),"",EDATE(D683,IFERROR(INDEX(Paketler!$B$5:$B$24,MATCH(C683,Paketler!$A$5:$A$24,0)),0))-1)</f>
        <v/>
      </c>
      <c r="G683" s="17" t="str">
        <f aca="false">IF(F683="","",IFERROR(INDEX(Paketler!$C$5:$C$24,MATCH(C683,Paketler!$A$5:$A$24,0)),0))</f>
        <v/>
      </c>
      <c r="H683" s="17" t="str">
        <f aca="false">IF(F683="","",G683-E683)</f>
        <v/>
      </c>
      <c r="I683" s="18" t="str">
        <f aca="true">IF(F683="","",F683-TODAY())</f>
        <v/>
      </c>
      <c r="J683" s="19" t="str">
        <f aca="true">IF(F683="","",IF(TODAY()&lt;D683,"Başlamadı",IF(TODAY()&gt;F683,"Bitti",IF(F683-TODAY()&lt;=7,"Bitiyor","Aktif"))))</f>
        <v/>
      </c>
      <c r="K683" s="19" t="str">
        <f aca="false">IF(OR(J683="Aktif",J683="Bitiyor"),F683+ROW()/1000000,"")</f>
        <v/>
      </c>
    </row>
    <row r="684" customFormat="false" ht="15" hidden="false" customHeight="false" outlineLevel="0" collapsed="false">
      <c r="A684" s="12"/>
      <c r="B684" s="12"/>
      <c r="C684" s="13"/>
      <c r="D684" s="14"/>
      <c r="E684" s="15"/>
      <c r="F684" s="16" t="str">
        <f aca="false">IF(OR(C684="",D684=""),"",EDATE(D684,IFERROR(INDEX(Paketler!$B$5:$B$24,MATCH(C684,Paketler!$A$5:$A$24,0)),0))-1)</f>
        <v/>
      </c>
      <c r="G684" s="17" t="str">
        <f aca="false">IF(F684="","",IFERROR(INDEX(Paketler!$C$5:$C$24,MATCH(C684,Paketler!$A$5:$A$24,0)),0))</f>
        <v/>
      </c>
      <c r="H684" s="17" t="str">
        <f aca="false">IF(F684="","",G684-E684)</f>
        <v/>
      </c>
      <c r="I684" s="18" t="str">
        <f aca="true">IF(F684="","",F684-TODAY())</f>
        <v/>
      </c>
      <c r="J684" s="19" t="str">
        <f aca="true">IF(F684="","",IF(TODAY()&lt;D684,"Başlamadı",IF(TODAY()&gt;F684,"Bitti",IF(F684-TODAY()&lt;=7,"Bitiyor","Aktif"))))</f>
        <v/>
      </c>
      <c r="K684" s="19" t="str">
        <f aca="false">IF(OR(J684="Aktif",J684="Bitiyor"),F684+ROW()/1000000,"")</f>
        <v/>
      </c>
    </row>
    <row r="685" customFormat="false" ht="15" hidden="false" customHeight="false" outlineLevel="0" collapsed="false">
      <c r="A685" s="12"/>
      <c r="B685" s="12"/>
      <c r="C685" s="13"/>
      <c r="D685" s="14"/>
      <c r="E685" s="15"/>
      <c r="F685" s="16" t="str">
        <f aca="false">IF(OR(C685="",D685=""),"",EDATE(D685,IFERROR(INDEX(Paketler!$B$5:$B$24,MATCH(C685,Paketler!$A$5:$A$24,0)),0))-1)</f>
        <v/>
      </c>
      <c r="G685" s="17" t="str">
        <f aca="false">IF(F685="","",IFERROR(INDEX(Paketler!$C$5:$C$24,MATCH(C685,Paketler!$A$5:$A$24,0)),0))</f>
        <v/>
      </c>
      <c r="H685" s="17" t="str">
        <f aca="false">IF(F685="","",G685-E685)</f>
        <v/>
      </c>
      <c r="I685" s="18" t="str">
        <f aca="true">IF(F685="","",F685-TODAY())</f>
        <v/>
      </c>
      <c r="J685" s="19" t="str">
        <f aca="true">IF(F685="","",IF(TODAY()&lt;D685,"Başlamadı",IF(TODAY()&gt;F685,"Bitti",IF(F685-TODAY()&lt;=7,"Bitiyor","Aktif"))))</f>
        <v/>
      </c>
      <c r="K685" s="19" t="str">
        <f aca="false">IF(OR(J685="Aktif",J685="Bitiyor"),F685+ROW()/1000000,"")</f>
        <v/>
      </c>
    </row>
    <row r="686" customFormat="false" ht="15" hidden="false" customHeight="false" outlineLevel="0" collapsed="false">
      <c r="A686" s="12"/>
      <c r="B686" s="12"/>
      <c r="C686" s="13"/>
      <c r="D686" s="14"/>
      <c r="E686" s="15"/>
      <c r="F686" s="16" t="str">
        <f aca="false">IF(OR(C686="",D686=""),"",EDATE(D686,IFERROR(INDEX(Paketler!$B$5:$B$24,MATCH(C686,Paketler!$A$5:$A$24,0)),0))-1)</f>
        <v/>
      </c>
      <c r="G686" s="17" t="str">
        <f aca="false">IF(F686="","",IFERROR(INDEX(Paketler!$C$5:$C$24,MATCH(C686,Paketler!$A$5:$A$24,0)),0))</f>
        <v/>
      </c>
      <c r="H686" s="17" t="str">
        <f aca="false">IF(F686="","",G686-E686)</f>
        <v/>
      </c>
      <c r="I686" s="18" t="str">
        <f aca="true">IF(F686="","",F686-TODAY())</f>
        <v/>
      </c>
      <c r="J686" s="19" t="str">
        <f aca="true">IF(F686="","",IF(TODAY()&lt;D686,"Başlamadı",IF(TODAY()&gt;F686,"Bitti",IF(F686-TODAY()&lt;=7,"Bitiyor","Aktif"))))</f>
        <v/>
      </c>
      <c r="K686" s="19" t="str">
        <f aca="false">IF(OR(J686="Aktif",J686="Bitiyor"),F686+ROW()/1000000,"")</f>
        <v/>
      </c>
    </row>
    <row r="687" customFormat="false" ht="15" hidden="false" customHeight="false" outlineLevel="0" collapsed="false">
      <c r="A687" s="12"/>
      <c r="B687" s="12"/>
      <c r="C687" s="13"/>
      <c r="D687" s="14"/>
      <c r="E687" s="15"/>
      <c r="F687" s="16" t="str">
        <f aca="false">IF(OR(C687="",D687=""),"",EDATE(D687,IFERROR(INDEX(Paketler!$B$5:$B$24,MATCH(C687,Paketler!$A$5:$A$24,0)),0))-1)</f>
        <v/>
      </c>
      <c r="G687" s="17" t="str">
        <f aca="false">IF(F687="","",IFERROR(INDEX(Paketler!$C$5:$C$24,MATCH(C687,Paketler!$A$5:$A$24,0)),0))</f>
        <v/>
      </c>
      <c r="H687" s="17" t="str">
        <f aca="false">IF(F687="","",G687-E687)</f>
        <v/>
      </c>
      <c r="I687" s="18" t="str">
        <f aca="true">IF(F687="","",F687-TODAY())</f>
        <v/>
      </c>
      <c r="J687" s="19" t="str">
        <f aca="true">IF(F687="","",IF(TODAY()&lt;D687,"Başlamadı",IF(TODAY()&gt;F687,"Bitti",IF(F687-TODAY()&lt;=7,"Bitiyor","Aktif"))))</f>
        <v/>
      </c>
      <c r="K687" s="19" t="str">
        <f aca="false">IF(OR(J687="Aktif",J687="Bitiyor"),F687+ROW()/1000000,"")</f>
        <v/>
      </c>
    </row>
    <row r="688" customFormat="false" ht="15" hidden="false" customHeight="false" outlineLevel="0" collapsed="false">
      <c r="A688" s="12"/>
      <c r="B688" s="12"/>
      <c r="C688" s="13"/>
      <c r="D688" s="14"/>
      <c r="E688" s="15"/>
      <c r="F688" s="16" t="str">
        <f aca="false">IF(OR(C688="",D688=""),"",EDATE(D688,IFERROR(INDEX(Paketler!$B$5:$B$24,MATCH(C688,Paketler!$A$5:$A$24,0)),0))-1)</f>
        <v/>
      </c>
      <c r="G688" s="17" t="str">
        <f aca="false">IF(F688="","",IFERROR(INDEX(Paketler!$C$5:$C$24,MATCH(C688,Paketler!$A$5:$A$24,0)),0))</f>
        <v/>
      </c>
      <c r="H688" s="17" t="str">
        <f aca="false">IF(F688="","",G688-E688)</f>
        <v/>
      </c>
      <c r="I688" s="18" t="str">
        <f aca="true">IF(F688="","",F688-TODAY())</f>
        <v/>
      </c>
      <c r="J688" s="19" t="str">
        <f aca="true">IF(F688="","",IF(TODAY()&lt;D688,"Başlamadı",IF(TODAY()&gt;F688,"Bitti",IF(F688-TODAY()&lt;=7,"Bitiyor","Aktif"))))</f>
        <v/>
      </c>
      <c r="K688" s="19" t="str">
        <f aca="false">IF(OR(J688="Aktif",J688="Bitiyor"),F688+ROW()/1000000,"")</f>
        <v/>
      </c>
    </row>
    <row r="689" customFormat="false" ht="15" hidden="false" customHeight="false" outlineLevel="0" collapsed="false">
      <c r="A689" s="12"/>
      <c r="B689" s="12"/>
      <c r="C689" s="13"/>
      <c r="D689" s="14"/>
      <c r="E689" s="15"/>
      <c r="F689" s="16" t="str">
        <f aca="false">IF(OR(C689="",D689=""),"",EDATE(D689,IFERROR(INDEX(Paketler!$B$5:$B$24,MATCH(C689,Paketler!$A$5:$A$24,0)),0))-1)</f>
        <v/>
      </c>
      <c r="G689" s="17" t="str">
        <f aca="false">IF(F689="","",IFERROR(INDEX(Paketler!$C$5:$C$24,MATCH(C689,Paketler!$A$5:$A$24,0)),0))</f>
        <v/>
      </c>
      <c r="H689" s="17" t="str">
        <f aca="false">IF(F689="","",G689-E689)</f>
        <v/>
      </c>
      <c r="I689" s="18" t="str">
        <f aca="true">IF(F689="","",F689-TODAY())</f>
        <v/>
      </c>
      <c r="J689" s="19" t="str">
        <f aca="true">IF(F689="","",IF(TODAY()&lt;D689,"Başlamadı",IF(TODAY()&gt;F689,"Bitti",IF(F689-TODAY()&lt;=7,"Bitiyor","Aktif"))))</f>
        <v/>
      </c>
      <c r="K689" s="19" t="str">
        <f aca="false">IF(OR(J689="Aktif",J689="Bitiyor"),F689+ROW()/1000000,"")</f>
        <v/>
      </c>
    </row>
    <row r="690" customFormat="false" ht="15" hidden="false" customHeight="false" outlineLevel="0" collapsed="false">
      <c r="A690" s="12"/>
      <c r="B690" s="12"/>
      <c r="C690" s="13"/>
      <c r="D690" s="14"/>
      <c r="E690" s="15"/>
      <c r="F690" s="16" t="str">
        <f aca="false">IF(OR(C690="",D690=""),"",EDATE(D690,IFERROR(INDEX(Paketler!$B$5:$B$24,MATCH(C690,Paketler!$A$5:$A$24,0)),0))-1)</f>
        <v/>
      </c>
      <c r="G690" s="17" t="str">
        <f aca="false">IF(F690="","",IFERROR(INDEX(Paketler!$C$5:$C$24,MATCH(C690,Paketler!$A$5:$A$24,0)),0))</f>
        <v/>
      </c>
      <c r="H690" s="17" t="str">
        <f aca="false">IF(F690="","",G690-E690)</f>
        <v/>
      </c>
      <c r="I690" s="18" t="str">
        <f aca="true">IF(F690="","",F690-TODAY())</f>
        <v/>
      </c>
      <c r="J690" s="19" t="str">
        <f aca="true">IF(F690="","",IF(TODAY()&lt;D690,"Başlamadı",IF(TODAY()&gt;F690,"Bitti",IF(F690-TODAY()&lt;=7,"Bitiyor","Aktif"))))</f>
        <v/>
      </c>
      <c r="K690" s="19" t="str">
        <f aca="false">IF(OR(J690="Aktif",J690="Bitiyor"),F690+ROW()/1000000,"")</f>
        <v/>
      </c>
    </row>
    <row r="691" customFormat="false" ht="15" hidden="false" customHeight="false" outlineLevel="0" collapsed="false">
      <c r="A691" s="12"/>
      <c r="B691" s="12"/>
      <c r="C691" s="13"/>
      <c r="D691" s="14"/>
      <c r="E691" s="15"/>
      <c r="F691" s="16" t="str">
        <f aca="false">IF(OR(C691="",D691=""),"",EDATE(D691,IFERROR(INDEX(Paketler!$B$5:$B$24,MATCH(C691,Paketler!$A$5:$A$24,0)),0))-1)</f>
        <v/>
      </c>
      <c r="G691" s="17" t="str">
        <f aca="false">IF(F691="","",IFERROR(INDEX(Paketler!$C$5:$C$24,MATCH(C691,Paketler!$A$5:$A$24,0)),0))</f>
        <v/>
      </c>
      <c r="H691" s="17" t="str">
        <f aca="false">IF(F691="","",G691-E691)</f>
        <v/>
      </c>
      <c r="I691" s="18" t="str">
        <f aca="true">IF(F691="","",F691-TODAY())</f>
        <v/>
      </c>
      <c r="J691" s="19" t="str">
        <f aca="true">IF(F691="","",IF(TODAY()&lt;D691,"Başlamadı",IF(TODAY()&gt;F691,"Bitti",IF(F691-TODAY()&lt;=7,"Bitiyor","Aktif"))))</f>
        <v/>
      </c>
      <c r="K691" s="19" t="str">
        <f aca="false">IF(OR(J691="Aktif",J691="Bitiyor"),F691+ROW()/1000000,"")</f>
        <v/>
      </c>
    </row>
    <row r="692" customFormat="false" ht="15" hidden="false" customHeight="false" outlineLevel="0" collapsed="false">
      <c r="A692" s="12"/>
      <c r="B692" s="12"/>
      <c r="C692" s="13"/>
      <c r="D692" s="14"/>
      <c r="E692" s="15"/>
      <c r="F692" s="16" t="str">
        <f aca="false">IF(OR(C692="",D692=""),"",EDATE(D692,IFERROR(INDEX(Paketler!$B$5:$B$24,MATCH(C692,Paketler!$A$5:$A$24,0)),0))-1)</f>
        <v/>
      </c>
      <c r="G692" s="17" t="str">
        <f aca="false">IF(F692="","",IFERROR(INDEX(Paketler!$C$5:$C$24,MATCH(C692,Paketler!$A$5:$A$24,0)),0))</f>
        <v/>
      </c>
      <c r="H692" s="17" t="str">
        <f aca="false">IF(F692="","",G692-E692)</f>
        <v/>
      </c>
      <c r="I692" s="18" t="str">
        <f aca="true">IF(F692="","",F692-TODAY())</f>
        <v/>
      </c>
      <c r="J692" s="19" t="str">
        <f aca="true">IF(F692="","",IF(TODAY()&lt;D692,"Başlamadı",IF(TODAY()&gt;F692,"Bitti",IF(F692-TODAY()&lt;=7,"Bitiyor","Aktif"))))</f>
        <v/>
      </c>
      <c r="K692" s="19" t="str">
        <f aca="false">IF(OR(J692="Aktif",J692="Bitiyor"),F692+ROW()/1000000,"")</f>
        <v/>
      </c>
    </row>
    <row r="693" customFormat="false" ht="15" hidden="false" customHeight="false" outlineLevel="0" collapsed="false">
      <c r="A693" s="12"/>
      <c r="B693" s="12"/>
      <c r="C693" s="13"/>
      <c r="D693" s="14"/>
      <c r="E693" s="15"/>
      <c r="F693" s="16" t="str">
        <f aca="false">IF(OR(C693="",D693=""),"",EDATE(D693,IFERROR(INDEX(Paketler!$B$5:$B$24,MATCH(C693,Paketler!$A$5:$A$24,0)),0))-1)</f>
        <v/>
      </c>
      <c r="G693" s="17" t="str">
        <f aca="false">IF(F693="","",IFERROR(INDEX(Paketler!$C$5:$C$24,MATCH(C693,Paketler!$A$5:$A$24,0)),0))</f>
        <v/>
      </c>
      <c r="H693" s="17" t="str">
        <f aca="false">IF(F693="","",G693-E693)</f>
        <v/>
      </c>
      <c r="I693" s="18" t="str">
        <f aca="true">IF(F693="","",F693-TODAY())</f>
        <v/>
      </c>
      <c r="J693" s="19" t="str">
        <f aca="true">IF(F693="","",IF(TODAY()&lt;D693,"Başlamadı",IF(TODAY()&gt;F693,"Bitti",IF(F693-TODAY()&lt;=7,"Bitiyor","Aktif"))))</f>
        <v/>
      </c>
      <c r="K693" s="19" t="str">
        <f aca="false">IF(OR(J693="Aktif",J693="Bitiyor"),F693+ROW()/1000000,"")</f>
        <v/>
      </c>
    </row>
    <row r="694" customFormat="false" ht="15" hidden="false" customHeight="false" outlineLevel="0" collapsed="false">
      <c r="A694" s="12"/>
      <c r="B694" s="12"/>
      <c r="C694" s="13"/>
      <c r="D694" s="14"/>
      <c r="E694" s="15"/>
      <c r="F694" s="16" t="str">
        <f aca="false">IF(OR(C694="",D694=""),"",EDATE(D694,IFERROR(INDEX(Paketler!$B$5:$B$24,MATCH(C694,Paketler!$A$5:$A$24,0)),0))-1)</f>
        <v/>
      </c>
      <c r="G694" s="17" t="str">
        <f aca="false">IF(F694="","",IFERROR(INDEX(Paketler!$C$5:$C$24,MATCH(C694,Paketler!$A$5:$A$24,0)),0))</f>
        <v/>
      </c>
      <c r="H694" s="17" t="str">
        <f aca="false">IF(F694="","",G694-E694)</f>
        <v/>
      </c>
      <c r="I694" s="18" t="str">
        <f aca="true">IF(F694="","",F694-TODAY())</f>
        <v/>
      </c>
      <c r="J694" s="19" t="str">
        <f aca="true">IF(F694="","",IF(TODAY()&lt;D694,"Başlamadı",IF(TODAY()&gt;F694,"Bitti",IF(F694-TODAY()&lt;=7,"Bitiyor","Aktif"))))</f>
        <v/>
      </c>
      <c r="K694" s="19" t="str">
        <f aca="false">IF(OR(J694="Aktif",J694="Bitiyor"),F694+ROW()/1000000,"")</f>
        <v/>
      </c>
    </row>
    <row r="695" customFormat="false" ht="15" hidden="false" customHeight="false" outlineLevel="0" collapsed="false">
      <c r="A695" s="12"/>
      <c r="B695" s="12"/>
      <c r="C695" s="13"/>
      <c r="D695" s="14"/>
      <c r="E695" s="15"/>
      <c r="F695" s="16" t="str">
        <f aca="false">IF(OR(C695="",D695=""),"",EDATE(D695,IFERROR(INDEX(Paketler!$B$5:$B$24,MATCH(C695,Paketler!$A$5:$A$24,0)),0))-1)</f>
        <v/>
      </c>
      <c r="G695" s="17" t="str">
        <f aca="false">IF(F695="","",IFERROR(INDEX(Paketler!$C$5:$C$24,MATCH(C695,Paketler!$A$5:$A$24,0)),0))</f>
        <v/>
      </c>
      <c r="H695" s="17" t="str">
        <f aca="false">IF(F695="","",G695-E695)</f>
        <v/>
      </c>
      <c r="I695" s="18" t="str">
        <f aca="true">IF(F695="","",F695-TODAY())</f>
        <v/>
      </c>
      <c r="J695" s="19" t="str">
        <f aca="true">IF(F695="","",IF(TODAY()&lt;D695,"Başlamadı",IF(TODAY()&gt;F695,"Bitti",IF(F695-TODAY()&lt;=7,"Bitiyor","Aktif"))))</f>
        <v/>
      </c>
      <c r="K695" s="19" t="str">
        <f aca="false">IF(OR(J695="Aktif",J695="Bitiyor"),F695+ROW()/1000000,"")</f>
        <v/>
      </c>
    </row>
    <row r="696" customFormat="false" ht="15" hidden="false" customHeight="false" outlineLevel="0" collapsed="false">
      <c r="A696" s="12"/>
      <c r="B696" s="12"/>
      <c r="C696" s="13"/>
      <c r="D696" s="14"/>
      <c r="E696" s="15"/>
      <c r="F696" s="16" t="str">
        <f aca="false">IF(OR(C696="",D696=""),"",EDATE(D696,IFERROR(INDEX(Paketler!$B$5:$B$24,MATCH(C696,Paketler!$A$5:$A$24,0)),0))-1)</f>
        <v/>
      </c>
      <c r="G696" s="17" t="str">
        <f aca="false">IF(F696="","",IFERROR(INDEX(Paketler!$C$5:$C$24,MATCH(C696,Paketler!$A$5:$A$24,0)),0))</f>
        <v/>
      </c>
      <c r="H696" s="17" t="str">
        <f aca="false">IF(F696="","",G696-E696)</f>
        <v/>
      </c>
      <c r="I696" s="18" t="str">
        <f aca="true">IF(F696="","",F696-TODAY())</f>
        <v/>
      </c>
      <c r="J696" s="19" t="str">
        <f aca="true">IF(F696="","",IF(TODAY()&lt;D696,"Başlamadı",IF(TODAY()&gt;F696,"Bitti",IF(F696-TODAY()&lt;=7,"Bitiyor","Aktif"))))</f>
        <v/>
      </c>
      <c r="K696" s="19" t="str">
        <f aca="false">IF(OR(J696="Aktif",J696="Bitiyor"),F696+ROW()/1000000,"")</f>
        <v/>
      </c>
    </row>
    <row r="697" customFormat="false" ht="15" hidden="false" customHeight="false" outlineLevel="0" collapsed="false">
      <c r="A697" s="12"/>
      <c r="B697" s="12"/>
      <c r="C697" s="13"/>
      <c r="D697" s="14"/>
      <c r="E697" s="15"/>
      <c r="F697" s="16" t="str">
        <f aca="false">IF(OR(C697="",D697=""),"",EDATE(D697,IFERROR(INDEX(Paketler!$B$5:$B$24,MATCH(C697,Paketler!$A$5:$A$24,0)),0))-1)</f>
        <v/>
      </c>
      <c r="G697" s="17" t="str">
        <f aca="false">IF(F697="","",IFERROR(INDEX(Paketler!$C$5:$C$24,MATCH(C697,Paketler!$A$5:$A$24,0)),0))</f>
        <v/>
      </c>
      <c r="H697" s="17" t="str">
        <f aca="false">IF(F697="","",G697-E697)</f>
        <v/>
      </c>
      <c r="I697" s="18" t="str">
        <f aca="true">IF(F697="","",F697-TODAY())</f>
        <v/>
      </c>
      <c r="J697" s="19" t="str">
        <f aca="true">IF(F697="","",IF(TODAY()&lt;D697,"Başlamadı",IF(TODAY()&gt;F697,"Bitti",IF(F697-TODAY()&lt;=7,"Bitiyor","Aktif"))))</f>
        <v/>
      </c>
      <c r="K697" s="19" t="str">
        <f aca="false">IF(OR(J697="Aktif",J697="Bitiyor"),F697+ROW()/1000000,"")</f>
        <v/>
      </c>
    </row>
    <row r="698" customFormat="false" ht="15" hidden="false" customHeight="false" outlineLevel="0" collapsed="false">
      <c r="A698" s="12"/>
      <c r="B698" s="12"/>
      <c r="C698" s="13"/>
      <c r="D698" s="14"/>
      <c r="E698" s="15"/>
      <c r="F698" s="16" t="str">
        <f aca="false">IF(OR(C698="",D698=""),"",EDATE(D698,IFERROR(INDEX(Paketler!$B$5:$B$24,MATCH(C698,Paketler!$A$5:$A$24,0)),0))-1)</f>
        <v/>
      </c>
      <c r="G698" s="17" t="str">
        <f aca="false">IF(F698="","",IFERROR(INDEX(Paketler!$C$5:$C$24,MATCH(C698,Paketler!$A$5:$A$24,0)),0))</f>
        <v/>
      </c>
      <c r="H698" s="17" t="str">
        <f aca="false">IF(F698="","",G698-E698)</f>
        <v/>
      </c>
      <c r="I698" s="18" t="str">
        <f aca="true">IF(F698="","",F698-TODAY())</f>
        <v/>
      </c>
      <c r="J698" s="19" t="str">
        <f aca="true">IF(F698="","",IF(TODAY()&lt;D698,"Başlamadı",IF(TODAY()&gt;F698,"Bitti",IF(F698-TODAY()&lt;=7,"Bitiyor","Aktif"))))</f>
        <v/>
      </c>
      <c r="K698" s="19" t="str">
        <f aca="false">IF(OR(J698="Aktif",J698="Bitiyor"),F698+ROW()/1000000,"")</f>
        <v/>
      </c>
    </row>
    <row r="699" customFormat="false" ht="15" hidden="false" customHeight="false" outlineLevel="0" collapsed="false">
      <c r="A699" s="12"/>
      <c r="B699" s="12"/>
      <c r="C699" s="13"/>
      <c r="D699" s="14"/>
      <c r="E699" s="15"/>
      <c r="F699" s="16" t="str">
        <f aca="false">IF(OR(C699="",D699=""),"",EDATE(D699,IFERROR(INDEX(Paketler!$B$5:$B$24,MATCH(C699,Paketler!$A$5:$A$24,0)),0))-1)</f>
        <v/>
      </c>
      <c r="G699" s="17" t="str">
        <f aca="false">IF(F699="","",IFERROR(INDEX(Paketler!$C$5:$C$24,MATCH(C699,Paketler!$A$5:$A$24,0)),0))</f>
        <v/>
      </c>
      <c r="H699" s="17" t="str">
        <f aca="false">IF(F699="","",G699-E699)</f>
        <v/>
      </c>
      <c r="I699" s="18" t="str">
        <f aca="true">IF(F699="","",F699-TODAY())</f>
        <v/>
      </c>
      <c r="J699" s="19" t="str">
        <f aca="true">IF(F699="","",IF(TODAY()&lt;D699,"Başlamadı",IF(TODAY()&gt;F699,"Bitti",IF(F699-TODAY()&lt;=7,"Bitiyor","Aktif"))))</f>
        <v/>
      </c>
      <c r="K699" s="19" t="str">
        <f aca="false">IF(OR(J699="Aktif",J699="Bitiyor"),F699+ROW()/1000000,"")</f>
        <v/>
      </c>
    </row>
    <row r="700" customFormat="false" ht="15" hidden="false" customHeight="false" outlineLevel="0" collapsed="false">
      <c r="A700" s="12"/>
      <c r="B700" s="12"/>
      <c r="C700" s="13"/>
      <c r="D700" s="14"/>
      <c r="E700" s="15"/>
      <c r="F700" s="16" t="str">
        <f aca="false">IF(OR(C700="",D700=""),"",EDATE(D700,IFERROR(INDEX(Paketler!$B$5:$B$24,MATCH(C700,Paketler!$A$5:$A$24,0)),0))-1)</f>
        <v/>
      </c>
      <c r="G700" s="17" t="str">
        <f aca="false">IF(F700="","",IFERROR(INDEX(Paketler!$C$5:$C$24,MATCH(C700,Paketler!$A$5:$A$24,0)),0))</f>
        <v/>
      </c>
      <c r="H700" s="17" t="str">
        <f aca="false">IF(F700="","",G700-E700)</f>
        <v/>
      </c>
      <c r="I700" s="18" t="str">
        <f aca="true">IF(F700="","",F700-TODAY())</f>
        <v/>
      </c>
      <c r="J700" s="19" t="str">
        <f aca="true">IF(F700="","",IF(TODAY()&lt;D700,"Başlamadı",IF(TODAY()&gt;F700,"Bitti",IF(F700-TODAY()&lt;=7,"Bitiyor","Aktif"))))</f>
        <v/>
      </c>
      <c r="K700" s="19" t="str">
        <f aca="false">IF(OR(J700="Aktif",J700="Bitiyor"),F700+ROW()/1000000,"")</f>
        <v/>
      </c>
    </row>
    <row r="701" customFormat="false" ht="15" hidden="false" customHeight="false" outlineLevel="0" collapsed="false">
      <c r="A701" s="12"/>
      <c r="B701" s="12"/>
      <c r="C701" s="13"/>
      <c r="D701" s="14"/>
      <c r="E701" s="15"/>
      <c r="F701" s="16" t="str">
        <f aca="false">IF(OR(C701="",D701=""),"",EDATE(D701,IFERROR(INDEX(Paketler!$B$5:$B$24,MATCH(C701,Paketler!$A$5:$A$24,0)),0))-1)</f>
        <v/>
      </c>
      <c r="G701" s="17" t="str">
        <f aca="false">IF(F701="","",IFERROR(INDEX(Paketler!$C$5:$C$24,MATCH(C701,Paketler!$A$5:$A$24,0)),0))</f>
        <v/>
      </c>
      <c r="H701" s="17" t="str">
        <f aca="false">IF(F701="","",G701-E701)</f>
        <v/>
      </c>
      <c r="I701" s="18" t="str">
        <f aca="true">IF(F701="","",F701-TODAY())</f>
        <v/>
      </c>
      <c r="J701" s="19" t="str">
        <f aca="true">IF(F701="","",IF(TODAY()&lt;D701,"Başlamadı",IF(TODAY()&gt;F701,"Bitti",IF(F701-TODAY()&lt;=7,"Bitiyor","Aktif"))))</f>
        <v/>
      </c>
      <c r="K701" s="19" t="str">
        <f aca="false">IF(OR(J701="Aktif",J701="Bitiyor"),F701+ROW()/1000000,"")</f>
        <v/>
      </c>
    </row>
    <row r="702" customFormat="false" ht="15" hidden="false" customHeight="false" outlineLevel="0" collapsed="false">
      <c r="A702" s="12"/>
      <c r="B702" s="12"/>
      <c r="C702" s="13"/>
      <c r="D702" s="14"/>
      <c r="E702" s="15"/>
      <c r="F702" s="16" t="str">
        <f aca="false">IF(OR(C702="",D702=""),"",EDATE(D702,IFERROR(INDEX(Paketler!$B$5:$B$24,MATCH(C702,Paketler!$A$5:$A$24,0)),0))-1)</f>
        <v/>
      </c>
      <c r="G702" s="17" t="str">
        <f aca="false">IF(F702="","",IFERROR(INDEX(Paketler!$C$5:$C$24,MATCH(C702,Paketler!$A$5:$A$24,0)),0))</f>
        <v/>
      </c>
      <c r="H702" s="17" t="str">
        <f aca="false">IF(F702="","",G702-E702)</f>
        <v/>
      </c>
      <c r="I702" s="18" t="str">
        <f aca="true">IF(F702="","",F702-TODAY())</f>
        <v/>
      </c>
      <c r="J702" s="19" t="str">
        <f aca="true">IF(F702="","",IF(TODAY()&lt;D702,"Başlamadı",IF(TODAY()&gt;F702,"Bitti",IF(F702-TODAY()&lt;=7,"Bitiyor","Aktif"))))</f>
        <v/>
      </c>
      <c r="K702" s="19" t="str">
        <f aca="false">IF(OR(J702="Aktif",J702="Bitiyor"),F702+ROW()/1000000,"")</f>
        <v/>
      </c>
    </row>
    <row r="703" customFormat="false" ht="15" hidden="false" customHeight="false" outlineLevel="0" collapsed="false">
      <c r="A703" s="12"/>
      <c r="B703" s="12"/>
      <c r="C703" s="13"/>
      <c r="D703" s="14"/>
      <c r="E703" s="15"/>
      <c r="F703" s="16" t="str">
        <f aca="false">IF(OR(C703="",D703=""),"",EDATE(D703,IFERROR(INDEX(Paketler!$B$5:$B$24,MATCH(C703,Paketler!$A$5:$A$24,0)),0))-1)</f>
        <v/>
      </c>
      <c r="G703" s="17" t="str">
        <f aca="false">IF(F703="","",IFERROR(INDEX(Paketler!$C$5:$C$24,MATCH(C703,Paketler!$A$5:$A$24,0)),0))</f>
        <v/>
      </c>
      <c r="H703" s="17" t="str">
        <f aca="false">IF(F703="","",G703-E703)</f>
        <v/>
      </c>
      <c r="I703" s="18" t="str">
        <f aca="true">IF(F703="","",F703-TODAY())</f>
        <v/>
      </c>
      <c r="J703" s="19" t="str">
        <f aca="true">IF(F703="","",IF(TODAY()&lt;D703,"Başlamadı",IF(TODAY()&gt;F703,"Bitti",IF(F703-TODAY()&lt;=7,"Bitiyor","Aktif"))))</f>
        <v/>
      </c>
      <c r="K703" s="19" t="str">
        <f aca="false">IF(OR(J703="Aktif",J703="Bitiyor"),F703+ROW()/1000000,"")</f>
        <v/>
      </c>
    </row>
    <row r="704" customFormat="false" ht="15" hidden="false" customHeight="false" outlineLevel="0" collapsed="false">
      <c r="A704" s="12"/>
      <c r="B704" s="12"/>
      <c r="C704" s="13"/>
      <c r="D704" s="14"/>
      <c r="E704" s="15"/>
      <c r="F704" s="16" t="str">
        <f aca="false">IF(OR(C704="",D704=""),"",EDATE(D704,IFERROR(INDEX(Paketler!$B$5:$B$24,MATCH(C704,Paketler!$A$5:$A$24,0)),0))-1)</f>
        <v/>
      </c>
      <c r="G704" s="17" t="str">
        <f aca="false">IF(F704="","",IFERROR(INDEX(Paketler!$C$5:$C$24,MATCH(C704,Paketler!$A$5:$A$24,0)),0))</f>
        <v/>
      </c>
      <c r="H704" s="17" t="str">
        <f aca="false">IF(F704="","",G704-E704)</f>
        <v/>
      </c>
      <c r="I704" s="18" t="str">
        <f aca="true">IF(F704="","",F704-TODAY())</f>
        <v/>
      </c>
      <c r="J704" s="19" t="str">
        <f aca="true">IF(F704="","",IF(TODAY()&lt;D704,"Başlamadı",IF(TODAY()&gt;F704,"Bitti",IF(F704-TODAY()&lt;=7,"Bitiyor","Aktif"))))</f>
        <v/>
      </c>
      <c r="K704" s="19" t="str">
        <f aca="false">IF(OR(J704="Aktif",J704="Bitiyor"),F704+ROW()/1000000,"")</f>
        <v/>
      </c>
    </row>
    <row r="705" customFormat="false" ht="15" hidden="false" customHeight="false" outlineLevel="0" collapsed="false">
      <c r="A705" s="12"/>
      <c r="B705" s="12"/>
      <c r="C705" s="13"/>
      <c r="D705" s="14"/>
      <c r="E705" s="15"/>
      <c r="F705" s="16" t="str">
        <f aca="false">IF(OR(C705="",D705=""),"",EDATE(D705,IFERROR(INDEX(Paketler!$B$5:$B$24,MATCH(C705,Paketler!$A$5:$A$24,0)),0))-1)</f>
        <v/>
      </c>
      <c r="G705" s="17" t="str">
        <f aca="false">IF(F705="","",IFERROR(INDEX(Paketler!$C$5:$C$24,MATCH(C705,Paketler!$A$5:$A$24,0)),0))</f>
        <v/>
      </c>
      <c r="H705" s="17" t="str">
        <f aca="false">IF(F705="","",G705-E705)</f>
        <v/>
      </c>
      <c r="I705" s="18" t="str">
        <f aca="true">IF(F705="","",F705-TODAY())</f>
        <v/>
      </c>
      <c r="J705" s="19" t="str">
        <f aca="true">IF(F705="","",IF(TODAY()&lt;D705,"Başlamadı",IF(TODAY()&gt;F705,"Bitti",IF(F705-TODAY()&lt;=7,"Bitiyor","Aktif"))))</f>
        <v/>
      </c>
      <c r="K705" s="19" t="str">
        <f aca="false">IF(OR(J705="Aktif",J705="Bitiyor"),F705+ROW()/1000000,"")</f>
        <v/>
      </c>
    </row>
    <row r="706" customFormat="false" ht="15" hidden="false" customHeight="false" outlineLevel="0" collapsed="false">
      <c r="A706" s="12"/>
      <c r="B706" s="12"/>
      <c r="C706" s="13"/>
      <c r="D706" s="14"/>
      <c r="E706" s="15"/>
      <c r="F706" s="16" t="str">
        <f aca="false">IF(OR(C706="",D706=""),"",EDATE(D706,IFERROR(INDEX(Paketler!$B$5:$B$24,MATCH(C706,Paketler!$A$5:$A$24,0)),0))-1)</f>
        <v/>
      </c>
      <c r="G706" s="17" t="str">
        <f aca="false">IF(F706="","",IFERROR(INDEX(Paketler!$C$5:$C$24,MATCH(C706,Paketler!$A$5:$A$24,0)),0))</f>
        <v/>
      </c>
      <c r="H706" s="17" t="str">
        <f aca="false">IF(F706="","",G706-E706)</f>
        <v/>
      </c>
      <c r="I706" s="18" t="str">
        <f aca="true">IF(F706="","",F706-TODAY())</f>
        <v/>
      </c>
      <c r="J706" s="19" t="str">
        <f aca="true">IF(F706="","",IF(TODAY()&lt;D706,"Başlamadı",IF(TODAY()&gt;F706,"Bitti",IF(F706-TODAY()&lt;=7,"Bitiyor","Aktif"))))</f>
        <v/>
      </c>
      <c r="K706" s="19" t="str">
        <f aca="false">IF(OR(J706="Aktif",J706="Bitiyor"),F706+ROW()/1000000,"")</f>
        <v/>
      </c>
    </row>
    <row r="707" customFormat="false" ht="15" hidden="false" customHeight="false" outlineLevel="0" collapsed="false">
      <c r="A707" s="12"/>
      <c r="B707" s="12"/>
      <c r="C707" s="13"/>
      <c r="D707" s="14"/>
      <c r="E707" s="15"/>
      <c r="F707" s="16" t="str">
        <f aca="false">IF(OR(C707="",D707=""),"",EDATE(D707,IFERROR(INDEX(Paketler!$B$5:$B$24,MATCH(C707,Paketler!$A$5:$A$24,0)),0))-1)</f>
        <v/>
      </c>
      <c r="G707" s="17" t="str">
        <f aca="false">IF(F707="","",IFERROR(INDEX(Paketler!$C$5:$C$24,MATCH(C707,Paketler!$A$5:$A$24,0)),0))</f>
        <v/>
      </c>
      <c r="H707" s="17" t="str">
        <f aca="false">IF(F707="","",G707-E707)</f>
        <v/>
      </c>
      <c r="I707" s="18" t="str">
        <f aca="true">IF(F707="","",F707-TODAY())</f>
        <v/>
      </c>
      <c r="J707" s="19" t="str">
        <f aca="true">IF(F707="","",IF(TODAY()&lt;D707,"Başlamadı",IF(TODAY()&gt;F707,"Bitti",IF(F707-TODAY()&lt;=7,"Bitiyor","Aktif"))))</f>
        <v/>
      </c>
      <c r="K707" s="19" t="str">
        <f aca="false">IF(OR(J707="Aktif",J707="Bitiyor"),F707+ROW()/1000000,"")</f>
        <v/>
      </c>
    </row>
    <row r="708" customFormat="false" ht="15" hidden="false" customHeight="false" outlineLevel="0" collapsed="false">
      <c r="A708" s="12"/>
      <c r="B708" s="12"/>
      <c r="C708" s="13"/>
      <c r="D708" s="14"/>
      <c r="E708" s="15"/>
      <c r="F708" s="16" t="str">
        <f aca="false">IF(OR(C708="",D708=""),"",EDATE(D708,IFERROR(INDEX(Paketler!$B$5:$B$24,MATCH(C708,Paketler!$A$5:$A$24,0)),0))-1)</f>
        <v/>
      </c>
      <c r="G708" s="17" t="str">
        <f aca="false">IF(F708="","",IFERROR(INDEX(Paketler!$C$5:$C$24,MATCH(C708,Paketler!$A$5:$A$24,0)),0))</f>
        <v/>
      </c>
      <c r="H708" s="17" t="str">
        <f aca="false">IF(F708="","",G708-E708)</f>
        <v/>
      </c>
      <c r="I708" s="18" t="str">
        <f aca="true">IF(F708="","",F708-TODAY())</f>
        <v/>
      </c>
      <c r="J708" s="19" t="str">
        <f aca="true">IF(F708="","",IF(TODAY()&lt;D708,"Başlamadı",IF(TODAY()&gt;F708,"Bitti",IF(F708-TODAY()&lt;=7,"Bitiyor","Aktif"))))</f>
        <v/>
      </c>
      <c r="K708" s="19" t="str">
        <f aca="false">IF(OR(J708="Aktif",J708="Bitiyor"),F708+ROW()/1000000,"")</f>
        <v/>
      </c>
    </row>
    <row r="709" customFormat="false" ht="15" hidden="false" customHeight="false" outlineLevel="0" collapsed="false">
      <c r="A709" s="12"/>
      <c r="B709" s="12"/>
      <c r="C709" s="13"/>
      <c r="D709" s="14"/>
      <c r="E709" s="15"/>
      <c r="F709" s="16" t="str">
        <f aca="false">IF(OR(C709="",D709=""),"",EDATE(D709,IFERROR(INDEX(Paketler!$B$5:$B$24,MATCH(C709,Paketler!$A$5:$A$24,0)),0))-1)</f>
        <v/>
      </c>
      <c r="G709" s="17" t="str">
        <f aca="false">IF(F709="","",IFERROR(INDEX(Paketler!$C$5:$C$24,MATCH(C709,Paketler!$A$5:$A$24,0)),0))</f>
        <v/>
      </c>
      <c r="H709" s="17" t="str">
        <f aca="false">IF(F709="","",G709-E709)</f>
        <v/>
      </c>
      <c r="I709" s="18" t="str">
        <f aca="true">IF(F709="","",F709-TODAY())</f>
        <v/>
      </c>
      <c r="J709" s="19" t="str">
        <f aca="true">IF(F709="","",IF(TODAY()&lt;D709,"Başlamadı",IF(TODAY()&gt;F709,"Bitti",IF(F709-TODAY()&lt;=7,"Bitiyor","Aktif"))))</f>
        <v/>
      </c>
      <c r="K709" s="19" t="str">
        <f aca="false">IF(OR(J709="Aktif",J709="Bitiyor"),F709+ROW()/1000000,"")</f>
        <v/>
      </c>
    </row>
    <row r="710" customFormat="false" ht="15" hidden="false" customHeight="false" outlineLevel="0" collapsed="false">
      <c r="A710" s="12"/>
      <c r="B710" s="12"/>
      <c r="C710" s="13"/>
      <c r="D710" s="14"/>
      <c r="E710" s="15"/>
      <c r="F710" s="16" t="str">
        <f aca="false">IF(OR(C710="",D710=""),"",EDATE(D710,IFERROR(INDEX(Paketler!$B$5:$B$24,MATCH(C710,Paketler!$A$5:$A$24,0)),0))-1)</f>
        <v/>
      </c>
      <c r="G710" s="17" t="str">
        <f aca="false">IF(F710="","",IFERROR(INDEX(Paketler!$C$5:$C$24,MATCH(C710,Paketler!$A$5:$A$24,0)),0))</f>
        <v/>
      </c>
      <c r="H710" s="17" t="str">
        <f aca="false">IF(F710="","",G710-E710)</f>
        <v/>
      </c>
      <c r="I710" s="18" t="str">
        <f aca="true">IF(F710="","",F710-TODAY())</f>
        <v/>
      </c>
      <c r="J710" s="19" t="str">
        <f aca="true">IF(F710="","",IF(TODAY()&lt;D710,"Başlamadı",IF(TODAY()&gt;F710,"Bitti",IF(F710-TODAY()&lt;=7,"Bitiyor","Aktif"))))</f>
        <v/>
      </c>
      <c r="K710" s="19" t="str">
        <f aca="false">IF(OR(J710="Aktif",J710="Bitiyor"),F710+ROW()/1000000,"")</f>
        <v/>
      </c>
    </row>
    <row r="711" customFormat="false" ht="15" hidden="false" customHeight="false" outlineLevel="0" collapsed="false">
      <c r="A711" s="12"/>
      <c r="B711" s="12"/>
      <c r="C711" s="13"/>
      <c r="D711" s="14"/>
      <c r="E711" s="15"/>
      <c r="F711" s="16" t="str">
        <f aca="false">IF(OR(C711="",D711=""),"",EDATE(D711,IFERROR(INDEX(Paketler!$B$5:$B$24,MATCH(C711,Paketler!$A$5:$A$24,0)),0))-1)</f>
        <v/>
      </c>
      <c r="G711" s="17" t="str">
        <f aca="false">IF(F711="","",IFERROR(INDEX(Paketler!$C$5:$C$24,MATCH(C711,Paketler!$A$5:$A$24,0)),0))</f>
        <v/>
      </c>
      <c r="H711" s="17" t="str">
        <f aca="false">IF(F711="","",G711-E711)</f>
        <v/>
      </c>
      <c r="I711" s="18" t="str">
        <f aca="true">IF(F711="","",F711-TODAY())</f>
        <v/>
      </c>
      <c r="J711" s="19" t="str">
        <f aca="true">IF(F711="","",IF(TODAY()&lt;D711,"Başlamadı",IF(TODAY()&gt;F711,"Bitti",IF(F711-TODAY()&lt;=7,"Bitiyor","Aktif"))))</f>
        <v/>
      </c>
      <c r="K711" s="19" t="str">
        <f aca="false">IF(OR(J711="Aktif",J711="Bitiyor"),F711+ROW()/1000000,"")</f>
        <v/>
      </c>
    </row>
    <row r="712" customFormat="false" ht="15" hidden="false" customHeight="false" outlineLevel="0" collapsed="false">
      <c r="A712" s="12"/>
      <c r="B712" s="12"/>
      <c r="C712" s="13"/>
      <c r="D712" s="14"/>
      <c r="E712" s="15"/>
      <c r="F712" s="16" t="str">
        <f aca="false">IF(OR(C712="",D712=""),"",EDATE(D712,IFERROR(INDEX(Paketler!$B$5:$B$24,MATCH(C712,Paketler!$A$5:$A$24,0)),0))-1)</f>
        <v/>
      </c>
      <c r="G712" s="17" t="str">
        <f aca="false">IF(F712="","",IFERROR(INDEX(Paketler!$C$5:$C$24,MATCH(C712,Paketler!$A$5:$A$24,0)),0))</f>
        <v/>
      </c>
      <c r="H712" s="17" t="str">
        <f aca="false">IF(F712="","",G712-E712)</f>
        <v/>
      </c>
      <c r="I712" s="18" t="str">
        <f aca="true">IF(F712="","",F712-TODAY())</f>
        <v/>
      </c>
      <c r="J712" s="19" t="str">
        <f aca="true">IF(F712="","",IF(TODAY()&lt;D712,"Başlamadı",IF(TODAY()&gt;F712,"Bitti",IF(F712-TODAY()&lt;=7,"Bitiyor","Aktif"))))</f>
        <v/>
      </c>
      <c r="K712" s="19" t="str">
        <f aca="false">IF(OR(J712="Aktif",J712="Bitiyor"),F712+ROW()/1000000,"")</f>
        <v/>
      </c>
    </row>
    <row r="713" customFormat="false" ht="15" hidden="false" customHeight="false" outlineLevel="0" collapsed="false">
      <c r="A713" s="12"/>
      <c r="B713" s="12"/>
      <c r="C713" s="13"/>
      <c r="D713" s="14"/>
      <c r="E713" s="15"/>
      <c r="F713" s="16" t="str">
        <f aca="false">IF(OR(C713="",D713=""),"",EDATE(D713,IFERROR(INDEX(Paketler!$B$5:$B$24,MATCH(C713,Paketler!$A$5:$A$24,0)),0))-1)</f>
        <v/>
      </c>
      <c r="G713" s="17" t="str">
        <f aca="false">IF(F713="","",IFERROR(INDEX(Paketler!$C$5:$C$24,MATCH(C713,Paketler!$A$5:$A$24,0)),0))</f>
        <v/>
      </c>
      <c r="H713" s="17" t="str">
        <f aca="false">IF(F713="","",G713-E713)</f>
        <v/>
      </c>
      <c r="I713" s="18" t="str">
        <f aca="true">IF(F713="","",F713-TODAY())</f>
        <v/>
      </c>
      <c r="J713" s="19" t="str">
        <f aca="true">IF(F713="","",IF(TODAY()&lt;D713,"Başlamadı",IF(TODAY()&gt;F713,"Bitti",IF(F713-TODAY()&lt;=7,"Bitiyor","Aktif"))))</f>
        <v/>
      </c>
      <c r="K713" s="19" t="str">
        <f aca="false">IF(OR(J713="Aktif",J713="Bitiyor"),F713+ROW()/1000000,"")</f>
        <v/>
      </c>
    </row>
    <row r="714" customFormat="false" ht="15" hidden="false" customHeight="false" outlineLevel="0" collapsed="false">
      <c r="A714" s="12"/>
      <c r="B714" s="12"/>
      <c r="C714" s="13"/>
      <c r="D714" s="14"/>
      <c r="E714" s="15"/>
      <c r="F714" s="16" t="str">
        <f aca="false">IF(OR(C714="",D714=""),"",EDATE(D714,IFERROR(INDEX(Paketler!$B$5:$B$24,MATCH(C714,Paketler!$A$5:$A$24,0)),0))-1)</f>
        <v/>
      </c>
      <c r="G714" s="17" t="str">
        <f aca="false">IF(F714="","",IFERROR(INDEX(Paketler!$C$5:$C$24,MATCH(C714,Paketler!$A$5:$A$24,0)),0))</f>
        <v/>
      </c>
      <c r="H714" s="17" t="str">
        <f aca="false">IF(F714="","",G714-E714)</f>
        <v/>
      </c>
      <c r="I714" s="18" t="str">
        <f aca="true">IF(F714="","",F714-TODAY())</f>
        <v/>
      </c>
      <c r="J714" s="19" t="str">
        <f aca="true">IF(F714="","",IF(TODAY()&lt;D714,"Başlamadı",IF(TODAY()&gt;F714,"Bitti",IF(F714-TODAY()&lt;=7,"Bitiyor","Aktif"))))</f>
        <v/>
      </c>
      <c r="K714" s="19" t="str">
        <f aca="false">IF(OR(J714="Aktif",J714="Bitiyor"),F714+ROW()/1000000,"")</f>
        <v/>
      </c>
    </row>
    <row r="715" customFormat="false" ht="15" hidden="false" customHeight="false" outlineLevel="0" collapsed="false">
      <c r="A715" s="12"/>
      <c r="B715" s="12"/>
      <c r="C715" s="13"/>
      <c r="D715" s="14"/>
      <c r="E715" s="15"/>
      <c r="F715" s="16" t="str">
        <f aca="false">IF(OR(C715="",D715=""),"",EDATE(D715,IFERROR(INDEX(Paketler!$B$5:$B$24,MATCH(C715,Paketler!$A$5:$A$24,0)),0))-1)</f>
        <v/>
      </c>
      <c r="G715" s="17" t="str">
        <f aca="false">IF(F715="","",IFERROR(INDEX(Paketler!$C$5:$C$24,MATCH(C715,Paketler!$A$5:$A$24,0)),0))</f>
        <v/>
      </c>
      <c r="H715" s="17" t="str">
        <f aca="false">IF(F715="","",G715-E715)</f>
        <v/>
      </c>
      <c r="I715" s="18" t="str">
        <f aca="true">IF(F715="","",F715-TODAY())</f>
        <v/>
      </c>
      <c r="J715" s="19" t="str">
        <f aca="true">IF(F715="","",IF(TODAY()&lt;D715,"Başlamadı",IF(TODAY()&gt;F715,"Bitti",IF(F715-TODAY()&lt;=7,"Bitiyor","Aktif"))))</f>
        <v/>
      </c>
      <c r="K715" s="19" t="str">
        <f aca="false">IF(OR(J715="Aktif",J715="Bitiyor"),F715+ROW()/1000000,"")</f>
        <v/>
      </c>
    </row>
    <row r="716" customFormat="false" ht="15" hidden="false" customHeight="false" outlineLevel="0" collapsed="false">
      <c r="A716" s="12"/>
      <c r="B716" s="12"/>
      <c r="C716" s="13"/>
      <c r="D716" s="14"/>
      <c r="E716" s="15"/>
      <c r="F716" s="16" t="str">
        <f aca="false">IF(OR(C716="",D716=""),"",EDATE(D716,IFERROR(INDEX(Paketler!$B$5:$B$24,MATCH(C716,Paketler!$A$5:$A$24,0)),0))-1)</f>
        <v/>
      </c>
      <c r="G716" s="17" t="str">
        <f aca="false">IF(F716="","",IFERROR(INDEX(Paketler!$C$5:$C$24,MATCH(C716,Paketler!$A$5:$A$24,0)),0))</f>
        <v/>
      </c>
      <c r="H716" s="17" t="str">
        <f aca="false">IF(F716="","",G716-E716)</f>
        <v/>
      </c>
      <c r="I716" s="18" t="str">
        <f aca="true">IF(F716="","",F716-TODAY())</f>
        <v/>
      </c>
      <c r="J716" s="19" t="str">
        <f aca="true">IF(F716="","",IF(TODAY()&lt;D716,"Başlamadı",IF(TODAY()&gt;F716,"Bitti",IF(F716-TODAY()&lt;=7,"Bitiyor","Aktif"))))</f>
        <v/>
      </c>
      <c r="K716" s="19" t="str">
        <f aca="false">IF(OR(J716="Aktif",J716="Bitiyor"),F716+ROW()/1000000,"")</f>
        <v/>
      </c>
    </row>
    <row r="717" customFormat="false" ht="15" hidden="false" customHeight="false" outlineLevel="0" collapsed="false">
      <c r="A717" s="12"/>
      <c r="B717" s="12"/>
      <c r="C717" s="13"/>
      <c r="D717" s="14"/>
      <c r="E717" s="15"/>
      <c r="F717" s="16" t="str">
        <f aca="false">IF(OR(C717="",D717=""),"",EDATE(D717,IFERROR(INDEX(Paketler!$B$5:$B$24,MATCH(C717,Paketler!$A$5:$A$24,0)),0))-1)</f>
        <v/>
      </c>
      <c r="G717" s="17" t="str">
        <f aca="false">IF(F717="","",IFERROR(INDEX(Paketler!$C$5:$C$24,MATCH(C717,Paketler!$A$5:$A$24,0)),0))</f>
        <v/>
      </c>
      <c r="H717" s="17" t="str">
        <f aca="false">IF(F717="","",G717-E717)</f>
        <v/>
      </c>
      <c r="I717" s="18" t="str">
        <f aca="true">IF(F717="","",F717-TODAY())</f>
        <v/>
      </c>
      <c r="J717" s="19" t="str">
        <f aca="true">IF(F717="","",IF(TODAY()&lt;D717,"Başlamadı",IF(TODAY()&gt;F717,"Bitti",IF(F717-TODAY()&lt;=7,"Bitiyor","Aktif"))))</f>
        <v/>
      </c>
      <c r="K717" s="19" t="str">
        <f aca="false">IF(OR(J717="Aktif",J717="Bitiyor"),F717+ROW()/1000000,"")</f>
        <v/>
      </c>
    </row>
    <row r="718" customFormat="false" ht="15" hidden="false" customHeight="false" outlineLevel="0" collapsed="false">
      <c r="A718" s="12"/>
      <c r="B718" s="12"/>
      <c r="C718" s="13"/>
      <c r="D718" s="14"/>
      <c r="E718" s="15"/>
      <c r="F718" s="16" t="str">
        <f aca="false">IF(OR(C718="",D718=""),"",EDATE(D718,IFERROR(INDEX(Paketler!$B$5:$B$24,MATCH(C718,Paketler!$A$5:$A$24,0)),0))-1)</f>
        <v/>
      </c>
      <c r="G718" s="17" t="str">
        <f aca="false">IF(F718="","",IFERROR(INDEX(Paketler!$C$5:$C$24,MATCH(C718,Paketler!$A$5:$A$24,0)),0))</f>
        <v/>
      </c>
      <c r="H718" s="17" t="str">
        <f aca="false">IF(F718="","",G718-E718)</f>
        <v/>
      </c>
      <c r="I718" s="18" t="str">
        <f aca="true">IF(F718="","",F718-TODAY())</f>
        <v/>
      </c>
      <c r="J718" s="19" t="str">
        <f aca="true">IF(F718="","",IF(TODAY()&lt;D718,"Başlamadı",IF(TODAY()&gt;F718,"Bitti",IF(F718-TODAY()&lt;=7,"Bitiyor","Aktif"))))</f>
        <v/>
      </c>
      <c r="K718" s="19" t="str">
        <f aca="false">IF(OR(J718="Aktif",J718="Bitiyor"),F718+ROW()/1000000,"")</f>
        <v/>
      </c>
    </row>
    <row r="719" customFormat="false" ht="15" hidden="false" customHeight="false" outlineLevel="0" collapsed="false">
      <c r="A719" s="12"/>
      <c r="B719" s="12"/>
      <c r="C719" s="13"/>
      <c r="D719" s="14"/>
      <c r="E719" s="15"/>
      <c r="F719" s="16" t="str">
        <f aca="false">IF(OR(C719="",D719=""),"",EDATE(D719,IFERROR(INDEX(Paketler!$B$5:$B$24,MATCH(C719,Paketler!$A$5:$A$24,0)),0))-1)</f>
        <v/>
      </c>
      <c r="G719" s="17" t="str">
        <f aca="false">IF(F719="","",IFERROR(INDEX(Paketler!$C$5:$C$24,MATCH(C719,Paketler!$A$5:$A$24,0)),0))</f>
        <v/>
      </c>
      <c r="H719" s="17" t="str">
        <f aca="false">IF(F719="","",G719-E719)</f>
        <v/>
      </c>
      <c r="I719" s="18" t="str">
        <f aca="true">IF(F719="","",F719-TODAY())</f>
        <v/>
      </c>
      <c r="J719" s="19" t="str">
        <f aca="true">IF(F719="","",IF(TODAY()&lt;D719,"Başlamadı",IF(TODAY()&gt;F719,"Bitti",IF(F719-TODAY()&lt;=7,"Bitiyor","Aktif"))))</f>
        <v/>
      </c>
      <c r="K719" s="19" t="str">
        <f aca="false">IF(OR(J719="Aktif",J719="Bitiyor"),F719+ROW()/1000000,"")</f>
        <v/>
      </c>
    </row>
    <row r="720" customFormat="false" ht="15" hidden="false" customHeight="false" outlineLevel="0" collapsed="false">
      <c r="A720" s="12"/>
      <c r="B720" s="12"/>
      <c r="C720" s="13"/>
      <c r="D720" s="14"/>
      <c r="E720" s="15"/>
      <c r="F720" s="16" t="str">
        <f aca="false">IF(OR(C720="",D720=""),"",EDATE(D720,IFERROR(INDEX(Paketler!$B$5:$B$24,MATCH(C720,Paketler!$A$5:$A$24,0)),0))-1)</f>
        <v/>
      </c>
      <c r="G720" s="17" t="str">
        <f aca="false">IF(F720="","",IFERROR(INDEX(Paketler!$C$5:$C$24,MATCH(C720,Paketler!$A$5:$A$24,0)),0))</f>
        <v/>
      </c>
      <c r="H720" s="17" t="str">
        <f aca="false">IF(F720="","",G720-E720)</f>
        <v/>
      </c>
      <c r="I720" s="18" t="str">
        <f aca="true">IF(F720="","",F720-TODAY())</f>
        <v/>
      </c>
      <c r="J720" s="19" t="str">
        <f aca="true">IF(F720="","",IF(TODAY()&lt;D720,"Başlamadı",IF(TODAY()&gt;F720,"Bitti",IF(F720-TODAY()&lt;=7,"Bitiyor","Aktif"))))</f>
        <v/>
      </c>
      <c r="K720" s="19" t="str">
        <f aca="false">IF(OR(J720="Aktif",J720="Bitiyor"),F720+ROW()/1000000,"")</f>
        <v/>
      </c>
    </row>
    <row r="721" customFormat="false" ht="15" hidden="false" customHeight="false" outlineLevel="0" collapsed="false">
      <c r="A721" s="12"/>
      <c r="B721" s="12"/>
      <c r="C721" s="13"/>
      <c r="D721" s="14"/>
      <c r="E721" s="15"/>
      <c r="F721" s="16" t="str">
        <f aca="false">IF(OR(C721="",D721=""),"",EDATE(D721,IFERROR(INDEX(Paketler!$B$5:$B$24,MATCH(C721,Paketler!$A$5:$A$24,0)),0))-1)</f>
        <v/>
      </c>
      <c r="G721" s="17" t="str">
        <f aca="false">IF(F721="","",IFERROR(INDEX(Paketler!$C$5:$C$24,MATCH(C721,Paketler!$A$5:$A$24,0)),0))</f>
        <v/>
      </c>
      <c r="H721" s="17" t="str">
        <f aca="false">IF(F721="","",G721-E721)</f>
        <v/>
      </c>
      <c r="I721" s="18" t="str">
        <f aca="true">IF(F721="","",F721-TODAY())</f>
        <v/>
      </c>
      <c r="J721" s="19" t="str">
        <f aca="true">IF(F721="","",IF(TODAY()&lt;D721,"Başlamadı",IF(TODAY()&gt;F721,"Bitti",IF(F721-TODAY()&lt;=7,"Bitiyor","Aktif"))))</f>
        <v/>
      </c>
      <c r="K721" s="19" t="str">
        <f aca="false">IF(OR(J721="Aktif",J721="Bitiyor"),F721+ROW()/1000000,"")</f>
        <v/>
      </c>
    </row>
    <row r="722" customFormat="false" ht="15" hidden="false" customHeight="false" outlineLevel="0" collapsed="false">
      <c r="A722" s="12"/>
      <c r="B722" s="12"/>
      <c r="C722" s="13"/>
      <c r="D722" s="14"/>
      <c r="E722" s="15"/>
      <c r="F722" s="16" t="str">
        <f aca="false">IF(OR(C722="",D722=""),"",EDATE(D722,IFERROR(INDEX(Paketler!$B$5:$B$24,MATCH(C722,Paketler!$A$5:$A$24,0)),0))-1)</f>
        <v/>
      </c>
      <c r="G722" s="17" t="str">
        <f aca="false">IF(F722="","",IFERROR(INDEX(Paketler!$C$5:$C$24,MATCH(C722,Paketler!$A$5:$A$24,0)),0))</f>
        <v/>
      </c>
      <c r="H722" s="17" t="str">
        <f aca="false">IF(F722="","",G722-E722)</f>
        <v/>
      </c>
      <c r="I722" s="18" t="str">
        <f aca="true">IF(F722="","",F722-TODAY())</f>
        <v/>
      </c>
      <c r="J722" s="19" t="str">
        <f aca="true">IF(F722="","",IF(TODAY()&lt;D722,"Başlamadı",IF(TODAY()&gt;F722,"Bitti",IF(F722-TODAY()&lt;=7,"Bitiyor","Aktif"))))</f>
        <v/>
      </c>
      <c r="K722" s="19" t="str">
        <f aca="false">IF(OR(J722="Aktif",J722="Bitiyor"),F722+ROW()/1000000,"")</f>
        <v/>
      </c>
    </row>
    <row r="723" customFormat="false" ht="15" hidden="false" customHeight="false" outlineLevel="0" collapsed="false">
      <c r="A723" s="12"/>
      <c r="B723" s="12"/>
      <c r="C723" s="13"/>
      <c r="D723" s="14"/>
      <c r="E723" s="15"/>
      <c r="F723" s="16" t="str">
        <f aca="false">IF(OR(C723="",D723=""),"",EDATE(D723,IFERROR(INDEX(Paketler!$B$5:$B$24,MATCH(C723,Paketler!$A$5:$A$24,0)),0))-1)</f>
        <v/>
      </c>
      <c r="G723" s="17" t="str">
        <f aca="false">IF(F723="","",IFERROR(INDEX(Paketler!$C$5:$C$24,MATCH(C723,Paketler!$A$5:$A$24,0)),0))</f>
        <v/>
      </c>
      <c r="H723" s="17" t="str">
        <f aca="false">IF(F723="","",G723-E723)</f>
        <v/>
      </c>
      <c r="I723" s="18" t="str">
        <f aca="true">IF(F723="","",F723-TODAY())</f>
        <v/>
      </c>
      <c r="J723" s="19" t="str">
        <f aca="true">IF(F723="","",IF(TODAY()&lt;D723,"Başlamadı",IF(TODAY()&gt;F723,"Bitti",IF(F723-TODAY()&lt;=7,"Bitiyor","Aktif"))))</f>
        <v/>
      </c>
      <c r="K723" s="19" t="str">
        <f aca="false">IF(OR(J723="Aktif",J723="Bitiyor"),F723+ROW()/1000000,"")</f>
        <v/>
      </c>
    </row>
    <row r="724" customFormat="false" ht="15" hidden="false" customHeight="false" outlineLevel="0" collapsed="false">
      <c r="A724" s="12"/>
      <c r="B724" s="12"/>
      <c r="C724" s="13"/>
      <c r="D724" s="14"/>
      <c r="E724" s="15"/>
      <c r="F724" s="16" t="str">
        <f aca="false">IF(OR(C724="",D724=""),"",EDATE(D724,IFERROR(INDEX(Paketler!$B$5:$B$24,MATCH(C724,Paketler!$A$5:$A$24,0)),0))-1)</f>
        <v/>
      </c>
      <c r="G724" s="17" t="str">
        <f aca="false">IF(F724="","",IFERROR(INDEX(Paketler!$C$5:$C$24,MATCH(C724,Paketler!$A$5:$A$24,0)),0))</f>
        <v/>
      </c>
      <c r="H724" s="17" t="str">
        <f aca="false">IF(F724="","",G724-E724)</f>
        <v/>
      </c>
      <c r="I724" s="18" t="str">
        <f aca="true">IF(F724="","",F724-TODAY())</f>
        <v/>
      </c>
      <c r="J724" s="19" t="str">
        <f aca="true">IF(F724="","",IF(TODAY()&lt;D724,"Başlamadı",IF(TODAY()&gt;F724,"Bitti",IF(F724-TODAY()&lt;=7,"Bitiyor","Aktif"))))</f>
        <v/>
      </c>
      <c r="K724" s="19" t="str">
        <f aca="false">IF(OR(J724="Aktif",J724="Bitiyor"),F724+ROW()/1000000,"")</f>
        <v/>
      </c>
    </row>
    <row r="725" customFormat="false" ht="15" hidden="false" customHeight="false" outlineLevel="0" collapsed="false">
      <c r="A725" s="12"/>
      <c r="B725" s="12"/>
      <c r="C725" s="13"/>
      <c r="D725" s="14"/>
      <c r="E725" s="15"/>
      <c r="F725" s="16" t="str">
        <f aca="false">IF(OR(C725="",D725=""),"",EDATE(D725,IFERROR(INDEX(Paketler!$B$5:$B$24,MATCH(C725,Paketler!$A$5:$A$24,0)),0))-1)</f>
        <v/>
      </c>
      <c r="G725" s="17" t="str">
        <f aca="false">IF(F725="","",IFERROR(INDEX(Paketler!$C$5:$C$24,MATCH(C725,Paketler!$A$5:$A$24,0)),0))</f>
        <v/>
      </c>
      <c r="H725" s="17" t="str">
        <f aca="false">IF(F725="","",G725-E725)</f>
        <v/>
      </c>
      <c r="I725" s="18" t="str">
        <f aca="true">IF(F725="","",F725-TODAY())</f>
        <v/>
      </c>
      <c r="J725" s="19" t="str">
        <f aca="true">IF(F725="","",IF(TODAY()&lt;D725,"Başlamadı",IF(TODAY()&gt;F725,"Bitti",IF(F725-TODAY()&lt;=7,"Bitiyor","Aktif"))))</f>
        <v/>
      </c>
      <c r="K725" s="19" t="str">
        <f aca="false">IF(OR(J725="Aktif",J725="Bitiyor"),F725+ROW()/1000000,"")</f>
        <v/>
      </c>
    </row>
    <row r="726" customFormat="false" ht="15" hidden="false" customHeight="false" outlineLevel="0" collapsed="false">
      <c r="A726" s="12"/>
      <c r="B726" s="12"/>
      <c r="C726" s="13"/>
      <c r="D726" s="14"/>
      <c r="E726" s="15"/>
      <c r="F726" s="16" t="str">
        <f aca="false">IF(OR(C726="",D726=""),"",EDATE(D726,IFERROR(INDEX(Paketler!$B$5:$B$24,MATCH(C726,Paketler!$A$5:$A$24,0)),0))-1)</f>
        <v/>
      </c>
      <c r="G726" s="17" t="str">
        <f aca="false">IF(F726="","",IFERROR(INDEX(Paketler!$C$5:$C$24,MATCH(C726,Paketler!$A$5:$A$24,0)),0))</f>
        <v/>
      </c>
      <c r="H726" s="17" t="str">
        <f aca="false">IF(F726="","",G726-E726)</f>
        <v/>
      </c>
      <c r="I726" s="18" t="str">
        <f aca="true">IF(F726="","",F726-TODAY())</f>
        <v/>
      </c>
      <c r="J726" s="19" t="str">
        <f aca="true">IF(F726="","",IF(TODAY()&lt;D726,"Başlamadı",IF(TODAY()&gt;F726,"Bitti",IF(F726-TODAY()&lt;=7,"Bitiyor","Aktif"))))</f>
        <v/>
      </c>
      <c r="K726" s="19" t="str">
        <f aca="false">IF(OR(J726="Aktif",J726="Bitiyor"),F726+ROW()/1000000,"")</f>
        <v/>
      </c>
    </row>
    <row r="727" customFormat="false" ht="15" hidden="false" customHeight="false" outlineLevel="0" collapsed="false">
      <c r="A727" s="12"/>
      <c r="B727" s="12"/>
      <c r="C727" s="13"/>
      <c r="D727" s="14"/>
      <c r="E727" s="15"/>
      <c r="F727" s="16" t="str">
        <f aca="false">IF(OR(C727="",D727=""),"",EDATE(D727,IFERROR(INDEX(Paketler!$B$5:$B$24,MATCH(C727,Paketler!$A$5:$A$24,0)),0))-1)</f>
        <v/>
      </c>
      <c r="G727" s="17" t="str">
        <f aca="false">IF(F727="","",IFERROR(INDEX(Paketler!$C$5:$C$24,MATCH(C727,Paketler!$A$5:$A$24,0)),0))</f>
        <v/>
      </c>
      <c r="H727" s="17" t="str">
        <f aca="false">IF(F727="","",G727-E727)</f>
        <v/>
      </c>
      <c r="I727" s="18" t="str">
        <f aca="true">IF(F727="","",F727-TODAY())</f>
        <v/>
      </c>
      <c r="J727" s="19" t="str">
        <f aca="true">IF(F727="","",IF(TODAY()&lt;D727,"Başlamadı",IF(TODAY()&gt;F727,"Bitti",IF(F727-TODAY()&lt;=7,"Bitiyor","Aktif"))))</f>
        <v/>
      </c>
      <c r="K727" s="19" t="str">
        <f aca="false">IF(OR(J727="Aktif",J727="Bitiyor"),F727+ROW()/1000000,"")</f>
        <v/>
      </c>
    </row>
    <row r="728" customFormat="false" ht="15" hidden="false" customHeight="false" outlineLevel="0" collapsed="false">
      <c r="A728" s="12"/>
      <c r="B728" s="12"/>
      <c r="C728" s="13"/>
      <c r="D728" s="14"/>
      <c r="E728" s="15"/>
      <c r="F728" s="16" t="str">
        <f aca="false">IF(OR(C728="",D728=""),"",EDATE(D728,IFERROR(INDEX(Paketler!$B$5:$B$24,MATCH(C728,Paketler!$A$5:$A$24,0)),0))-1)</f>
        <v/>
      </c>
      <c r="G728" s="17" t="str">
        <f aca="false">IF(F728="","",IFERROR(INDEX(Paketler!$C$5:$C$24,MATCH(C728,Paketler!$A$5:$A$24,0)),0))</f>
        <v/>
      </c>
      <c r="H728" s="17" t="str">
        <f aca="false">IF(F728="","",G728-E728)</f>
        <v/>
      </c>
      <c r="I728" s="18" t="str">
        <f aca="true">IF(F728="","",F728-TODAY())</f>
        <v/>
      </c>
      <c r="J728" s="19" t="str">
        <f aca="true">IF(F728="","",IF(TODAY()&lt;D728,"Başlamadı",IF(TODAY()&gt;F728,"Bitti",IF(F728-TODAY()&lt;=7,"Bitiyor","Aktif"))))</f>
        <v/>
      </c>
      <c r="K728" s="19" t="str">
        <f aca="false">IF(OR(J728="Aktif",J728="Bitiyor"),F728+ROW()/1000000,"")</f>
        <v/>
      </c>
    </row>
    <row r="729" customFormat="false" ht="15" hidden="false" customHeight="false" outlineLevel="0" collapsed="false">
      <c r="A729" s="12"/>
      <c r="B729" s="12"/>
      <c r="C729" s="13"/>
      <c r="D729" s="14"/>
      <c r="E729" s="15"/>
      <c r="F729" s="16" t="str">
        <f aca="false">IF(OR(C729="",D729=""),"",EDATE(D729,IFERROR(INDEX(Paketler!$B$5:$B$24,MATCH(C729,Paketler!$A$5:$A$24,0)),0))-1)</f>
        <v/>
      </c>
      <c r="G729" s="17" t="str">
        <f aca="false">IF(F729="","",IFERROR(INDEX(Paketler!$C$5:$C$24,MATCH(C729,Paketler!$A$5:$A$24,0)),0))</f>
        <v/>
      </c>
      <c r="H729" s="17" t="str">
        <f aca="false">IF(F729="","",G729-E729)</f>
        <v/>
      </c>
      <c r="I729" s="18" t="str">
        <f aca="true">IF(F729="","",F729-TODAY())</f>
        <v/>
      </c>
      <c r="J729" s="19" t="str">
        <f aca="true">IF(F729="","",IF(TODAY()&lt;D729,"Başlamadı",IF(TODAY()&gt;F729,"Bitti",IF(F729-TODAY()&lt;=7,"Bitiyor","Aktif"))))</f>
        <v/>
      </c>
      <c r="K729" s="19" t="str">
        <f aca="false">IF(OR(J729="Aktif",J729="Bitiyor"),F729+ROW()/1000000,"")</f>
        <v/>
      </c>
    </row>
    <row r="730" customFormat="false" ht="15" hidden="false" customHeight="false" outlineLevel="0" collapsed="false">
      <c r="A730" s="12"/>
      <c r="B730" s="12"/>
      <c r="C730" s="13"/>
      <c r="D730" s="14"/>
      <c r="E730" s="15"/>
      <c r="F730" s="16" t="str">
        <f aca="false">IF(OR(C730="",D730=""),"",EDATE(D730,IFERROR(INDEX(Paketler!$B$5:$B$24,MATCH(C730,Paketler!$A$5:$A$24,0)),0))-1)</f>
        <v/>
      </c>
      <c r="G730" s="17" t="str">
        <f aca="false">IF(F730="","",IFERROR(INDEX(Paketler!$C$5:$C$24,MATCH(C730,Paketler!$A$5:$A$24,0)),0))</f>
        <v/>
      </c>
      <c r="H730" s="17" t="str">
        <f aca="false">IF(F730="","",G730-E730)</f>
        <v/>
      </c>
      <c r="I730" s="18" t="str">
        <f aca="true">IF(F730="","",F730-TODAY())</f>
        <v/>
      </c>
      <c r="J730" s="19" t="str">
        <f aca="true">IF(F730="","",IF(TODAY()&lt;D730,"Başlamadı",IF(TODAY()&gt;F730,"Bitti",IF(F730-TODAY()&lt;=7,"Bitiyor","Aktif"))))</f>
        <v/>
      </c>
      <c r="K730" s="19" t="str">
        <f aca="false">IF(OR(J730="Aktif",J730="Bitiyor"),F730+ROW()/1000000,"")</f>
        <v/>
      </c>
    </row>
    <row r="731" customFormat="false" ht="15" hidden="false" customHeight="false" outlineLevel="0" collapsed="false">
      <c r="A731" s="12"/>
      <c r="B731" s="12"/>
      <c r="C731" s="13"/>
      <c r="D731" s="14"/>
      <c r="E731" s="15"/>
      <c r="F731" s="16" t="str">
        <f aca="false">IF(OR(C731="",D731=""),"",EDATE(D731,IFERROR(INDEX(Paketler!$B$5:$B$24,MATCH(C731,Paketler!$A$5:$A$24,0)),0))-1)</f>
        <v/>
      </c>
      <c r="G731" s="17" t="str">
        <f aca="false">IF(F731="","",IFERROR(INDEX(Paketler!$C$5:$C$24,MATCH(C731,Paketler!$A$5:$A$24,0)),0))</f>
        <v/>
      </c>
      <c r="H731" s="17" t="str">
        <f aca="false">IF(F731="","",G731-E731)</f>
        <v/>
      </c>
      <c r="I731" s="18" t="str">
        <f aca="true">IF(F731="","",F731-TODAY())</f>
        <v/>
      </c>
      <c r="J731" s="19" t="str">
        <f aca="true">IF(F731="","",IF(TODAY()&lt;D731,"Başlamadı",IF(TODAY()&gt;F731,"Bitti",IF(F731-TODAY()&lt;=7,"Bitiyor","Aktif"))))</f>
        <v/>
      </c>
      <c r="K731" s="19" t="str">
        <f aca="false">IF(OR(J731="Aktif",J731="Bitiyor"),F731+ROW()/1000000,"")</f>
        <v/>
      </c>
    </row>
    <row r="732" customFormat="false" ht="15" hidden="false" customHeight="false" outlineLevel="0" collapsed="false">
      <c r="A732" s="12"/>
      <c r="B732" s="12"/>
      <c r="C732" s="13"/>
      <c r="D732" s="14"/>
      <c r="E732" s="15"/>
      <c r="F732" s="16" t="str">
        <f aca="false">IF(OR(C732="",D732=""),"",EDATE(D732,IFERROR(INDEX(Paketler!$B$5:$B$24,MATCH(C732,Paketler!$A$5:$A$24,0)),0))-1)</f>
        <v/>
      </c>
      <c r="G732" s="17" t="str">
        <f aca="false">IF(F732="","",IFERROR(INDEX(Paketler!$C$5:$C$24,MATCH(C732,Paketler!$A$5:$A$24,0)),0))</f>
        <v/>
      </c>
      <c r="H732" s="17" t="str">
        <f aca="false">IF(F732="","",G732-E732)</f>
        <v/>
      </c>
      <c r="I732" s="18" t="str">
        <f aca="true">IF(F732="","",F732-TODAY())</f>
        <v/>
      </c>
      <c r="J732" s="19" t="str">
        <f aca="true">IF(F732="","",IF(TODAY()&lt;D732,"Başlamadı",IF(TODAY()&gt;F732,"Bitti",IF(F732-TODAY()&lt;=7,"Bitiyor","Aktif"))))</f>
        <v/>
      </c>
      <c r="K732" s="19" t="str">
        <f aca="false">IF(OR(J732="Aktif",J732="Bitiyor"),F732+ROW()/1000000,"")</f>
        <v/>
      </c>
    </row>
    <row r="733" customFormat="false" ht="15" hidden="false" customHeight="false" outlineLevel="0" collapsed="false">
      <c r="A733" s="12"/>
      <c r="B733" s="12"/>
      <c r="C733" s="13"/>
      <c r="D733" s="14"/>
      <c r="E733" s="15"/>
      <c r="F733" s="16" t="str">
        <f aca="false">IF(OR(C733="",D733=""),"",EDATE(D733,IFERROR(INDEX(Paketler!$B$5:$B$24,MATCH(C733,Paketler!$A$5:$A$24,0)),0))-1)</f>
        <v/>
      </c>
      <c r="G733" s="17" t="str">
        <f aca="false">IF(F733="","",IFERROR(INDEX(Paketler!$C$5:$C$24,MATCH(C733,Paketler!$A$5:$A$24,0)),0))</f>
        <v/>
      </c>
      <c r="H733" s="17" t="str">
        <f aca="false">IF(F733="","",G733-E733)</f>
        <v/>
      </c>
      <c r="I733" s="18" t="str">
        <f aca="true">IF(F733="","",F733-TODAY())</f>
        <v/>
      </c>
      <c r="J733" s="19" t="str">
        <f aca="true">IF(F733="","",IF(TODAY()&lt;D733,"Başlamadı",IF(TODAY()&gt;F733,"Bitti",IF(F733-TODAY()&lt;=7,"Bitiyor","Aktif"))))</f>
        <v/>
      </c>
      <c r="K733" s="19" t="str">
        <f aca="false">IF(OR(J733="Aktif",J733="Bitiyor"),F733+ROW()/1000000,"")</f>
        <v/>
      </c>
    </row>
    <row r="734" customFormat="false" ht="15" hidden="false" customHeight="false" outlineLevel="0" collapsed="false">
      <c r="A734" s="12"/>
      <c r="B734" s="12"/>
      <c r="C734" s="13"/>
      <c r="D734" s="14"/>
      <c r="E734" s="15"/>
      <c r="F734" s="16" t="str">
        <f aca="false">IF(OR(C734="",D734=""),"",EDATE(D734,IFERROR(INDEX(Paketler!$B$5:$B$24,MATCH(C734,Paketler!$A$5:$A$24,0)),0))-1)</f>
        <v/>
      </c>
      <c r="G734" s="17" t="str">
        <f aca="false">IF(F734="","",IFERROR(INDEX(Paketler!$C$5:$C$24,MATCH(C734,Paketler!$A$5:$A$24,0)),0))</f>
        <v/>
      </c>
      <c r="H734" s="17" t="str">
        <f aca="false">IF(F734="","",G734-E734)</f>
        <v/>
      </c>
      <c r="I734" s="18" t="str">
        <f aca="true">IF(F734="","",F734-TODAY())</f>
        <v/>
      </c>
      <c r="J734" s="19" t="str">
        <f aca="true">IF(F734="","",IF(TODAY()&lt;D734,"Başlamadı",IF(TODAY()&gt;F734,"Bitti",IF(F734-TODAY()&lt;=7,"Bitiyor","Aktif"))))</f>
        <v/>
      </c>
      <c r="K734" s="19" t="str">
        <f aca="false">IF(OR(J734="Aktif",J734="Bitiyor"),F734+ROW()/1000000,"")</f>
        <v/>
      </c>
    </row>
    <row r="735" customFormat="false" ht="15" hidden="false" customHeight="false" outlineLevel="0" collapsed="false">
      <c r="A735" s="12"/>
      <c r="B735" s="12"/>
      <c r="C735" s="13"/>
      <c r="D735" s="14"/>
      <c r="E735" s="15"/>
      <c r="F735" s="16" t="str">
        <f aca="false">IF(OR(C735="",D735=""),"",EDATE(D735,IFERROR(INDEX(Paketler!$B$5:$B$24,MATCH(C735,Paketler!$A$5:$A$24,0)),0))-1)</f>
        <v/>
      </c>
      <c r="G735" s="17" t="str">
        <f aca="false">IF(F735="","",IFERROR(INDEX(Paketler!$C$5:$C$24,MATCH(C735,Paketler!$A$5:$A$24,0)),0))</f>
        <v/>
      </c>
      <c r="H735" s="17" t="str">
        <f aca="false">IF(F735="","",G735-E735)</f>
        <v/>
      </c>
      <c r="I735" s="18" t="str">
        <f aca="true">IF(F735="","",F735-TODAY())</f>
        <v/>
      </c>
      <c r="J735" s="19" t="str">
        <f aca="true">IF(F735="","",IF(TODAY()&lt;D735,"Başlamadı",IF(TODAY()&gt;F735,"Bitti",IF(F735-TODAY()&lt;=7,"Bitiyor","Aktif"))))</f>
        <v/>
      </c>
      <c r="K735" s="19" t="str">
        <f aca="false">IF(OR(J735="Aktif",J735="Bitiyor"),F735+ROW()/1000000,"")</f>
        <v/>
      </c>
    </row>
    <row r="736" customFormat="false" ht="15" hidden="false" customHeight="false" outlineLevel="0" collapsed="false">
      <c r="A736" s="12"/>
      <c r="B736" s="12"/>
      <c r="C736" s="13"/>
      <c r="D736" s="14"/>
      <c r="E736" s="15"/>
      <c r="F736" s="16" t="str">
        <f aca="false">IF(OR(C736="",D736=""),"",EDATE(D736,IFERROR(INDEX(Paketler!$B$5:$B$24,MATCH(C736,Paketler!$A$5:$A$24,0)),0))-1)</f>
        <v/>
      </c>
      <c r="G736" s="17" t="str">
        <f aca="false">IF(F736="","",IFERROR(INDEX(Paketler!$C$5:$C$24,MATCH(C736,Paketler!$A$5:$A$24,0)),0))</f>
        <v/>
      </c>
      <c r="H736" s="17" t="str">
        <f aca="false">IF(F736="","",G736-E736)</f>
        <v/>
      </c>
      <c r="I736" s="18" t="str">
        <f aca="true">IF(F736="","",F736-TODAY())</f>
        <v/>
      </c>
      <c r="J736" s="19" t="str">
        <f aca="true">IF(F736="","",IF(TODAY()&lt;D736,"Başlamadı",IF(TODAY()&gt;F736,"Bitti",IF(F736-TODAY()&lt;=7,"Bitiyor","Aktif"))))</f>
        <v/>
      </c>
      <c r="K736" s="19" t="str">
        <f aca="false">IF(OR(J736="Aktif",J736="Bitiyor"),F736+ROW()/1000000,"")</f>
        <v/>
      </c>
    </row>
    <row r="737" customFormat="false" ht="15" hidden="false" customHeight="false" outlineLevel="0" collapsed="false">
      <c r="A737" s="12"/>
      <c r="B737" s="12"/>
      <c r="C737" s="13"/>
      <c r="D737" s="14"/>
      <c r="E737" s="15"/>
      <c r="F737" s="16" t="str">
        <f aca="false">IF(OR(C737="",D737=""),"",EDATE(D737,IFERROR(INDEX(Paketler!$B$5:$B$24,MATCH(C737,Paketler!$A$5:$A$24,0)),0))-1)</f>
        <v/>
      </c>
      <c r="G737" s="17" t="str">
        <f aca="false">IF(F737="","",IFERROR(INDEX(Paketler!$C$5:$C$24,MATCH(C737,Paketler!$A$5:$A$24,0)),0))</f>
        <v/>
      </c>
      <c r="H737" s="17" t="str">
        <f aca="false">IF(F737="","",G737-E737)</f>
        <v/>
      </c>
      <c r="I737" s="18" t="str">
        <f aca="true">IF(F737="","",F737-TODAY())</f>
        <v/>
      </c>
      <c r="J737" s="19" t="str">
        <f aca="true">IF(F737="","",IF(TODAY()&lt;D737,"Başlamadı",IF(TODAY()&gt;F737,"Bitti",IF(F737-TODAY()&lt;=7,"Bitiyor","Aktif"))))</f>
        <v/>
      </c>
      <c r="K737" s="19" t="str">
        <f aca="false">IF(OR(J737="Aktif",J737="Bitiyor"),F737+ROW()/1000000,"")</f>
        <v/>
      </c>
    </row>
    <row r="738" customFormat="false" ht="15" hidden="false" customHeight="false" outlineLevel="0" collapsed="false">
      <c r="A738" s="12"/>
      <c r="B738" s="12"/>
      <c r="C738" s="13"/>
      <c r="D738" s="14"/>
      <c r="E738" s="15"/>
      <c r="F738" s="16" t="str">
        <f aca="false">IF(OR(C738="",D738=""),"",EDATE(D738,IFERROR(INDEX(Paketler!$B$5:$B$24,MATCH(C738,Paketler!$A$5:$A$24,0)),0))-1)</f>
        <v/>
      </c>
      <c r="G738" s="17" t="str">
        <f aca="false">IF(F738="","",IFERROR(INDEX(Paketler!$C$5:$C$24,MATCH(C738,Paketler!$A$5:$A$24,0)),0))</f>
        <v/>
      </c>
      <c r="H738" s="17" t="str">
        <f aca="false">IF(F738="","",G738-E738)</f>
        <v/>
      </c>
      <c r="I738" s="18" t="str">
        <f aca="true">IF(F738="","",F738-TODAY())</f>
        <v/>
      </c>
      <c r="J738" s="19" t="str">
        <f aca="true">IF(F738="","",IF(TODAY()&lt;D738,"Başlamadı",IF(TODAY()&gt;F738,"Bitti",IF(F738-TODAY()&lt;=7,"Bitiyor","Aktif"))))</f>
        <v/>
      </c>
      <c r="K738" s="19" t="str">
        <f aca="false">IF(OR(J738="Aktif",J738="Bitiyor"),F738+ROW()/1000000,"")</f>
        <v/>
      </c>
    </row>
    <row r="739" customFormat="false" ht="15" hidden="false" customHeight="false" outlineLevel="0" collapsed="false">
      <c r="A739" s="12"/>
      <c r="B739" s="12"/>
      <c r="C739" s="13"/>
      <c r="D739" s="14"/>
      <c r="E739" s="15"/>
      <c r="F739" s="16" t="str">
        <f aca="false">IF(OR(C739="",D739=""),"",EDATE(D739,IFERROR(INDEX(Paketler!$B$5:$B$24,MATCH(C739,Paketler!$A$5:$A$24,0)),0))-1)</f>
        <v/>
      </c>
      <c r="G739" s="17" t="str">
        <f aca="false">IF(F739="","",IFERROR(INDEX(Paketler!$C$5:$C$24,MATCH(C739,Paketler!$A$5:$A$24,0)),0))</f>
        <v/>
      </c>
      <c r="H739" s="17" t="str">
        <f aca="false">IF(F739="","",G739-E739)</f>
        <v/>
      </c>
      <c r="I739" s="18" t="str">
        <f aca="true">IF(F739="","",F739-TODAY())</f>
        <v/>
      </c>
      <c r="J739" s="19" t="str">
        <f aca="true">IF(F739="","",IF(TODAY()&lt;D739,"Başlamadı",IF(TODAY()&gt;F739,"Bitti",IF(F739-TODAY()&lt;=7,"Bitiyor","Aktif"))))</f>
        <v/>
      </c>
      <c r="K739" s="19" t="str">
        <f aca="false">IF(OR(J739="Aktif",J739="Bitiyor"),F739+ROW()/1000000,"")</f>
        <v/>
      </c>
    </row>
    <row r="740" customFormat="false" ht="15" hidden="false" customHeight="false" outlineLevel="0" collapsed="false">
      <c r="A740" s="12"/>
      <c r="B740" s="12"/>
      <c r="C740" s="13"/>
      <c r="D740" s="14"/>
      <c r="E740" s="15"/>
      <c r="F740" s="16" t="str">
        <f aca="false">IF(OR(C740="",D740=""),"",EDATE(D740,IFERROR(INDEX(Paketler!$B$5:$B$24,MATCH(C740,Paketler!$A$5:$A$24,0)),0))-1)</f>
        <v/>
      </c>
      <c r="G740" s="17" t="str">
        <f aca="false">IF(F740="","",IFERROR(INDEX(Paketler!$C$5:$C$24,MATCH(C740,Paketler!$A$5:$A$24,0)),0))</f>
        <v/>
      </c>
      <c r="H740" s="17" t="str">
        <f aca="false">IF(F740="","",G740-E740)</f>
        <v/>
      </c>
      <c r="I740" s="18" t="str">
        <f aca="true">IF(F740="","",F740-TODAY())</f>
        <v/>
      </c>
      <c r="J740" s="19" t="str">
        <f aca="true">IF(F740="","",IF(TODAY()&lt;D740,"Başlamadı",IF(TODAY()&gt;F740,"Bitti",IF(F740-TODAY()&lt;=7,"Bitiyor","Aktif"))))</f>
        <v/>
      </c>
      <c r="K740" s="19" t="str">
        <f aca="false">IF(OR(J740="Aktif",J740="Bitiyor"),F740+ROW()/1000000,"")</f>
        <v/>
      </c>
    </row>
    <row r="741" customFormat="false" ht="15" hidden="false" customHeight="false" outlineLevel="0" collapsed="false">
      <c r="A741" s="12"/>
      <c r="B741" s="12"/>
      <c r="C741" s="13"/>
      <c r="D741" s="14"/>
      <c r="E741" s="15"/>
      <c r="F741" s="16" t="str">
        <f aca="false">IF(OR(C741="",D741=""),"",EDATE(D741,IFERROR(INDEX(Paketler!$B$5:$B$24,MATCH(C741,Paketler!$A$5:$A$24,0)),0))-1)</f>
        <v/>
      </c>
      <c r="G741" s="17" t="str">
        <f aca="false">IF(F741="","",IFERROR(INDEX(Paketler!$C$5:$C$24,MATCH(C741,Paketler!$A$5:$A$24,0)),0))</f>
        <v/>
      </c>
      <c r="H741" s="17" t="str">
        <f aca="false">IF(F741="","",G741-E741)</f>
        <v/>
      </c>
      <c r="I741" s="18" t="str">
        <f aca="true">IF(F741="","",F741-TODAY())</f>
        <v/>
      </c>
      <c r="J741" s="19" t="str">
        <f aca="true">IF(F741="","",IF(TODAY()&lt;D741,"Başlamadı",IF(TODAY()&gt;F741,"Bitti",IF(F741-TODAY()&lt;=7,"Bitiyor","Aktif"))))</f>
        <v/>
      </c>
      <c r="K741" s="19" t="str">
        <f aca="false">IF(OR(J741="Aktif",J741="Bitiyor"),F741+ROW()/1000000,"")</f>
        <v/>
      </c>
    </row>
    <row r="742" customFormat="false" ht="15" hidden="false" customHeight="false" outlineLevel="0" collapsed="false">
      <c r="A742" s="12"/>
      <c r="B742" s="12"/>
      <c r="C742" s="13"/>
      <c r="D742" s="14"/>
      <c r="E742" s="15"/>
      <c r="F742" s="16" t="str">
        <f aca="false">IF(OR(C742="",D742=""),"",EDATE(D742,IFERROR(INDEX(Paketler!$B$5:$B$24,MATCH(C742,Paketler!$A$5:$A$24,0)),0))-1)</f>
        <v/>
      </c>
      <c r="G742" s="17" t="str">
        <f aca="false">IF(F742="","",IFERROR(INDEX(Paketler!$C$5:$C$24,MATCH(C742,Paketler!$A$5:$A$24,0)),0))</f>
        <v/>
      </c>
      <c r="H742" s="17" t="str">
        <f aca="false">IF(F742="","",G742-E742)</f>
        <v/>
      </c>
      <c r="I742" s="18" t="str">
        <f aca="true">IF(F742="","",F742-TODAY())</f>
        <v/>
      </c>
      <c r="J742" s="19" t="str">
        <f aca="true">IF(F742="","",IF(TODAY()&lt;D742,"Başlamadı",IF(TODAY()&gt;F742,"Bitti",IF(F742-TODAY()&lt;=7,"Bitiyor","Aktif"))))</f>
        <v/>
      </c>
      <c r="K742" s="19" t="str">
        <f aca="false">IF(OR(J742="Aktif",J742="Bitiyor"),F742+ROW()/1000000,"")</f>
        <v/>
      </c>
    </row>
    <row r="743" customFormat="false" ht="15" hidden="false" customHeight="false" outlineLevel="0" collapsed="false">
      <c r="A743" s="12"/>
      <c r="B743" s="12"/>
      <c r="C743" s="13"/>
      <c r="D743" s="14"/>
      <c r="E743" s="15"/>
      <c r="F743" s="16" t="str">
        <f aca="false">IF(OR(C743="",D743=""),"",EDATE(D743,IFERROR(INDEX(Paketler!$B$5:$B$24,MATCH(C743,Paketler!$A$5:$A$24,0)),0))-1)</f>
        <v/>
      </c>
      <c r="G743" s="17" t="str">
        <f aca="false">IF(F743="","",IFERROR(INDEX(Paketler!$C$5:$C$24,MATCH(C743,Paketler!$A$5:$A$24,0)),0))</f>
        <v/>
      </c>
      <c r="H743" s="17" t="str">
        <f aca="false">IF(F743="","",G743-E743)</f>
        <v/>
      </c>
      <c r="I743" s="18" t="str">
        <f aca="true">IF(F743="","",F743-TODAY())</f>
        <v/>
      </c>
      <c r="J743" s="19" t="str">
        <f aca="true">IF(F743="","",IF(TODAY()&lt;D743,"Başlamadı",IF(TODAY()&gt;F743,"Bitti",IF(F743-TODAY()&lt;=7,"Bitiyor","Aktif"))))</f>
        <v/>
      </c>
      <c r="K743" s="19" t="str">
        <f aca="false">IF(OR(J743="Aktif",J743="Bitiyor"),F743+ROW()/1000000,"")</f>
        <v/>
      </c>
    </row>
    <row r="744" customFormat="false" ht="15" hidden="false" customHeight="false" outlineLevel="0" collapsed="false">
      <c r="A744" s="12"/>
      <c r="B744" s="12"/>
      <c r="C744" s="13"/>
      <c r="D744" s="14"/>
      <c r="E744" s="15"/>
      <c r="F744" s="16" t="str">
        <f aca="false">IF(OR(C744="",D744=""),"",EDATE(D744,IFERROR(INDEX(Paketler!$B$5:$B$24,MATCH(C744,Paketler!$A$5:$A$24,0)),0))-1)</f>
        <v/>
      </c>
      <c r="G744" s="17" t="str">
        <f aca="false">IF(F744="","",IFERROR(INDEX(Paketler!$C$5:$C$24,MATCH(C744,Paketler!$A$5:$A$24,0)),0))</f>
        <v/>
      </c>
      <c r="H744" s="17" t="str">
        <f aca="false">IF(F744="","",G744-E744)</f>
        <v/>
      </c>
      <c r="I744" s="18" t="str">
        <f aca="true">IF(F744="","",F744-TODAY())</f>
        <v/>
      </c>
      <c r="J744" s="19" t="str">
        <f aca="true">IF(F744="","",IF(TODAY()&lt;D744,"Başlamadı",IF(TODAY()&gt;F744,"Bitti",IF(F744-TODAY()&lt;=7,"Bitiyor","Aktif"))))</f>
        <v/>
      </c>
      <c r="K744" s="19" t="str">
        <f aca="false">IF(OR(J744="Aktif",J744="Bitiyor"),F744+ROW()/1000000,"")</f>
        <v/>
      </c>
    </row>
    <row r="745" customFormat="false" ht="15" hidden="false" customHeight="false" outlineLevel="0" collapsed="false">
      <c r="A745" s="12"/>
      <c r="B745" s="12"/>
      <c r="C745" s="13"/>
      <c r="D745" s="14"/>
      <c r="E745" s="15"/>
      <c r="F745" s="16" t="str">
        <f aca="false">IF(OR(C745="",D745=""),"",EDATE(D745,IFERROR(INDEX(Paketler!$B$5:$B$24,MATCH(C745,Paketler!$A$5:$A$24,0)),0))-1)</f>
        <v/>
      </c>
      <c r="G745" s="17" t="str">
        <f aca="false">IF(F745="","",IFERROR(INDEX(Paketler!$C$5:$C$24,MATCH(C745,Paketler!$A$5:$A$24,0)),0))</f>
        <v/>
      </c>
      <c r="H745" s="17" t="str">
        <f aca="false">IF(F745="","",G745-E745)</f>
        <v/>
      </c>
      <c r="I745" s="18" t="str">
        <f aca="true">IF(F745="","",F745-TODAY())</f>
        <v/>
      </c>
      <c r="J745" s="19" t="str">
        <f aca="true">IF(F745="","",IF(TODAY()&lt;D745,"Başlamadı",IF(TODAY()&gt;F745,"Bitti",IF(F745-TODAY()&lt;=7,"Bitiyor","Aktif"))))</f>
        <v/>
      </c>
      <c r="K745" s="19" t="str">
        <f aca="false">IF(OR(J745="Aktif",J745="Bitiyor"),F745+ROW()/1000000,"")</f>
        <v/>
      </c>
    </row>
    <row r="746" customFormat="false" ht="15" hidden="false" customHeight="false" outlineLevel="0" collapsed="false">
      <c r="A746" s="12"/>
      <c r="B746" s="12"/>
      <c r="C746" s="13"/>
      <c r="D746" s="14"/>
      <c r="E746" s="15"/>
      <c r="F746" s="16" t="str">
        <f aca="false">IF(OR(C746="",D746=""),"",EDATE(D746,IFERROR(INDEX(Paketler!$B$5:$B$24,MATCH(C746,Paketler!$A$5:$A$24,0)),0))-1)</f>
        <v/>
      </c>
      <c r="G746" s="17" t="str">
        <f aca="false">IF(F746="","",IFERROR(INDEX(Paketler!$C$5:$C$24,MATCH(C746,Paketler!$A$5:$A$24,0)),0))</f>
        <v/>
      </c>
      <c r="H746" s="17" t="str">
        <f aca="false">IF(F746="","",G746-E746)</f>
        <v/>
      </c>
      <c r="I746" s="18" t="str">
        <f aca="true">IF(F746="","",F746-TODAY())</f>
        <v/>
      </c>
      <c r="J746" s="19" t="str">
        <f aca="true">IF(F746="","",IF(TODAY()&lt;D746,"Başlamadı",IF(TODAY()&gt;F746,"Bitti",IF(F746-TODAY()&lt;=7,"Bitiyor","Aktif"))))</f>
        <v/>
      </c>
      <c r="K746" s="19" t="str">
        <f aca="false">IF(OR(J746="Aktif",J746="Bitiyor"),F746+ROW()/1000000,"")</f>
        <v/>
      </c>
    </row>
    <row r="747" customFormat="false" ht="15" hidden="false" customHeight="false" outlineLevel="0" collapsed="false">
      <c r="A747" s="12"/>
      <c r="B747" s="12"/>
      <c r="C747" s="13"/>
      <c r="D747" s="14"/>
      <c r="E747" s="15"/>
      <c r="F747" s="16" t="str">
        <f aca="false">IF(OR(C747="",D747=""),"",EDATE(D747,IFERROR(INDEX(Paketler!$B$5:$B$24,MATCH(C747,Paketler!$A$5:$A$24,0)),0))-1)</f>
        <v/>
      </c>
      <c r="G747" s="17" t="str">
        <f aca="false">IF(F747="","",IFERROR(INDEX(Paketler!$C$5:$C$24,MATCH(C747,Paketler!$A$5:$A$24,0)),0))</f>
        <v/>
      </c>
      <c r="H747" s="17" t="str">
        <f aca="false">IF(F747="","",G747-E747)</f>
        <v/>
      </c>
      <c r="I747" s="18" t="str">
        <f aca="true">IF(F747="","",F747-TODAY())</f>
        <v/>
      </c>
      <c r="J747" s="19" t="str">
        <f aca="true">IF(F747="","",IF(TODAY()&lt;D747,"Başlamadı",IF(TODAY()&gt;F747,"Bitti",IF(F747-TODAY()&lt;=7,"Bitiyor","Aktif"))))</f>
        <v/>
      </c>
      <c r="K747" s="19" t="str">
        <f aca="false">IF(OR(J747="Aktif",J747="Bitiyor"),F747+ROW()/1000000,"")</f>
        <v/>
      </c>
    </row>
    <row r="748" customFormat="false" ht="15" hidden="false" customHeight="false" outlineLevel="0" collapsed="false">
      <c r="A748" s="12"/>
      <c r="B748" s="12"/>
      <c r="C748" s="13"/>
      <c r="D748" s="14"/>
      <c r="E748" s="15"/>
      <c r="F748" s="16" t="str">
        <f aca="false">IF(OR(C748="",D748=""),"",EDATE(D748,IFERROR(INDEX(Paketler!$B$5:$B$24,MATCH(C748,Paketler!$A$5:$A$24,0)),0))-1)</f>
        <v/>
      </c>
      <c r="G748" s="17" t="str">
        <f aca="false">IF(F748="","",IFERROR(INDEX(Paketler!$C$5:$C$24,MATCH(C748,Paketler!$A$5:$A$24,0)),0))</f>
        <v/>
      </c>
      <c r="H748" s="17" t="str">
        <f aca="false">IF(F748="","",G748-E748)</f>
        <v/>
      </c>
      <c r="I748" s="18" t="str">
        <f aca="true">IF(F748="","",F748-TODAY())</f>
        <v/>
      </c>
      <c r="J748" s="19" t="str">
        <f aca="true">IF(F748="","",IF(TODAY()&lt;D748,"Başlamadı",IF(TODAY()&gt;F748,"Bitti",IF(F748-TODAY()&lt;=7,"Bitiyor","Aktif"))))</f>
        <v/>
      </c>
      <c r="K748" s="19" t="str">
        <f aca="false">IF(OR(J748="Aktif",J748="Bitiyor"),F748+ROW()/1000000,"")</f>
        <v/>
      </c>
    </row>
    <row r="749" customFormat="false" ht="15" hidden="false" customHeight="false" outlineLevel="0" collapsed="false">
      <c r="A749" s="12"/>
      <c r="B749" s="12"/>
      <c r="C749" s="13"/>
      <c r="D749" s="14"/>
      <c r="E749" s="15"/>
      <c r="F749" s="16" t="str">
        <f aca="false">IF(OR(C749="",D749=""),"",EDATE(D749,IFERROR(INDEX(Paketler!$B$5:$B$24,MATCH(C749,Paketler!$A$5:$A$24,0)),0))-1)</f>
        <v/>
      </c>
      <c r="G749" s="17" t="str">
        <f aca="false">IF(F749="","",IFERROR(INDEX(Paketler!$C$5:$C$24,MATCH(C749,Paketler!$A$5:$A$24,0)),0))</f>
        <v/>
      </c>
      <c r="H749" s="17" t="str">
        <f aca="false">IF(F749="","",G749-E749)</f>
        <v/>
      </c>
      <c r="I749" s="18" t="str">
        <f aca="true">IF(F749="","",F749-TODAY())</f>
        <v/>
      </c>
      <c r="J749" s="19" t="str">
        <f aca="true">IF(F749="","",IF(TODAY()&lt;D749,"Başlamadı",IF(TODAY()&gt;F749,"Bitti",IF(F749-TODAY()&lt;=7,"Bitiyor","Aktif"))))</f>
        <v/>
      </c>
      <c r="K749" s="19" t="str">
        <f aca="false">IF(OR(J749="Aktif",J749="Bitiyor"),F749+ROW()/1000000,"")</f>
        <v/>
      </c>
    </row>
    <row r="750" customFormat="false" ht="15" hidden="false" customHeight="false" outlineLevel="0" collapsed="false">
      <c r="A750" s="12"/>
      <c r="B750" s="12"/>
      <c r="C750" s="13"/>
      <c r="D750" s="14"/>
      <c r="E750" s="15"/>
      <c r="F750" s="16" t="str">
        <f aca="false">IF(OR(C750="",D750=""),"",EDATE(D750,IFERROR(INDEX(Paketler!$B$5:$B$24,MATCH(C750,Paketler!$A$5:$A$24,0)),0))-1)</f>
        <v/>
      </c>
      <c r="G750" s="17" t="str">
        <f aca="false">IF(F750="","",IFERROR(INDEX(Paketler!$C$5:$C$24,MATCH(C750,Paketler!$A$5:$A$24,0)),0))</f>
        <v/>
      </c>
      <c r="H750" s="17" t="str">
        <f aca="false">IF(F750="","",G750-E750)</f>
        <v/>
      </c>
      <c r="I750" s="18" t="str">
        <f aca="true">IF(F750="","",F750-TODAY())</f>
        <v/>
      </c>
      <c r="J750" s="19" t="str">
        <f aca="true">IF(F750="","",IF(TODAY()&lt;D750,"Başlamadı",IF(TODAY()&gt;F750,"Bitti",IF(F750-TODAY()&lt;=7,"Bitiyor","Aktif"))))</f>
        <v/>
      </c>
      <c r="K750" s="19" t="str">
        <f aca="false">IF(OR(J750="Aktif",J750="Bitiyor"),F750+ROW()/1000000,"")</f>
        <v/>
      </c>
    </row>
    <row r="751" customFormat="false" ht="15" hidden="false" customHeight="false" outlineLevel="0" collapsed="false">
      <c r="A751" s="12"/>
      <c r="B751" s="12"/>
      <c r="C751" s="13"/>
      <c r="D751" s="14"/>
      <c r="E751" s="15"/>
      <c r="F751" s="16" t="str">
        <f aca="false">IF(OR(C751="",D751=""),"",EDATE(D751,IFERROR(INDEX(Paketler!$B$5:$B$24,MATCH(C751,Paketler!$A$5:$A$24,0)),0))-1)</f>
        <v/>
      </c>
      <c r="G751" s="17" t="str">
        <f aca="false">IF(F751="","",IFERROR(INDEX(Paketler!$C$5:$C$24,MATCH(C751,Paketler!$A$5:$A$24,0)),0))</f>
        <v/>
      </c>
      <c r="H751" s="17" t="str">
        <f aca="false">IF(F751="","",G751-E751)</f>
        <v/>
      </c>
      <c r="I751" s="18" t="str">
        <f aca="true">IF(F751="","",F751-TODAY())</f>
        <v/>
      </c>
      <c r="J751" s="19" t="str">
        <f aca="true">IF(F751="","",IF(TODAY()&lt;D751,"Başlamadı",IF(TODAY()&gt;F751,"Bitti",IF(F751-TODAY()&lt;=7,"Bitiyor","Aktif"))))</f>
        <v/>
      </c>
      <c r="K751" s="19" t="str">
        <f aca="false">IF(OR(J751="Aktif",J751="Bitiyor"),F751+ROW()/1000000,"")</f>
        <v/>
      </c>
    </row>
    <row r="752" customFormat="false" ht="15" hidden="false" customHeight="false" outlineLevel="0" collapsed="false">
      <c r="A752" s="12"/>
      <c r="B752" s="12"/>
      <c r="C752" s="13"/>
      <c r="D752" s="14"/>
      <c r="E752" s="15"/>
      <c r="F752" s="16" t="str">
        <f aca="false">IF(OR(C752="",D752=""),"",EDATE(D752,IFERROR(INDEX(Paketler!$B$5:$B$24,MATCH(C752,Paketler!$A$5:$A$24,0)),0))-1)</f>
        <v/>
      </c>
      <c r="G752" s="17" t="str">
        <f aca="false">IF(F752="","",IFERROR(INDEX(Paketler!$C$5:$C$24,MATCH(C752,Paketler!$A$5:$A$24,0)),0))</f>
        <v/>
      </c>
      <c r="H752" s="17" t="str">
        <f aca="false">IF(F752="","",G752-E752)</f>
        <v/>
      </c>
      <c r="I752" s="18" t="str">
        <f aca="true">IF(F752="","",F752-TODAY())</f>
        <v/>
      </c>
      <c r="J752" s="19" t="str">
        <f aca="true">IF(F752="","",IF(TODAY()&lt;D752,"Başlamadı",IF(TODAY()&gt;F752,"Bitti",IF(F752-TODAY()&lt;=7,"Bitiyor","Aktif"))))</f>
        <v/>
      </c>
      <c r="K752" s="19" t="str">
        <f aca="false">IF(OR(J752="Aktif",J752="Bitiyor"),F752+ROW()/1000000,"")</f>
        <v/>
      </c>
    </row>
    <row r="753" customFormat="false" ht="15" hidden="false" customHeight="false" outlineLevel="0" collapsed="false">
      <c r="A753" s="12"/>
      <c r="B753" s="12"/>
      <c r="C753" s="13"/>
      <c r="D753" s="14"/>
      <c r="E753" s="15"/>
      <c r="F753" s="16" t="str">
        <f aca="false">IF(OR(C753="",D753=""),"",EDATE(D753,IFERROR(INDEX(Paketler!$B$5:$B$24,MATCH(C753,Paketler!$A$5:$A$24,0)),0))-1)</f>
        <v/>
      </c>
      <c r="G753" s="17" t="str">
        <f aca="false">IF(F753="","",IFERROR(INDEX(Paketler!$C$5:$C$24,MATCH(C753,Paketler!$A$5:$A$24,0)),0))</f>
        <v/>
      </c>
      <c r="H753" s="17" t="str">
        <f aca="false">IF(F753="","",G753-E753)</f>
        <v/>
      </c>
      <c r="I753" s="18" t="str">
        <f aca="true">IF(F753="","",F753-TODAY())</f>
        <v/>
      </c>
      <c r="J753" s="19" t="str">
        <f aca="true">IF(F753="","",IF(TODAY()&lt;D753,"Başlamadı",IF(TODAY()&gt;F753,"Bitti",IF(F753-TODAY()&lt;=7,"Bitiyor","Aktif"))))</f>
        <v/>
      </c>
      <c r="K753" s="19" t="str">
        <f aca="false">IF(OR(J753="Aktif",J753="Bitiyor"),F753+ROW()/1000000,"")</f>
        <v/>
      </c>
    </row>
    <row r="754" customFormat="false" ht="15" hidden="false" customHeight="false" outlineLevel="0" collapsed="false">
      <c r="A754" s="12"/>
      <c r="B754" s="12"/>
      <c r="C754" s="13"/>
      <c r="D754" s="14"/>
      <c r="E754" s="15"/>
      <c r="F754" s="16" t="str">
        <f aca="false">IF(OR(C754="",D754=""),"",EDATE(D754,IFERROR(INDEX(Paketler!$B$5:$B$24,MATCH(C754,Paketler!$A$5:$A$24,0)),0))-1)</f>
        <v/>
      </c>
      <c r="G754" s="17" t="str">
        <f aca="false">IF(F754="","",IFERROR(INDEX(Paketler!$C$5:$C$24,MATCH(C754,Paketler!$A$5:$A$24,0)),0))</f>
        <v/>
      </c>
      <c r="H754" s="17" t="str">
        <f aca="false">IF(F754="","",G754-E754)</f>
        <v/>
      </c>
      <c r="I754" s="18" t="str">
        <f aca="true">IF(F754="","",F754-TODAY())</f>
        <v/>
      </c>
      <c r="J754" s="19" t="str">
        <f aca="true">IF(F754="","",IF(TODAY()&lt;D754,"Başlamadı",IF(TODAY()&gt;F754,"Bitti",IF(F754-TODAY()&lt;=7,"Bitiyor","Aktif"))))</f>
        <v/>
      </c>
      <c r="K754" s="19" t="str">
        <f aca="false">IF(OR(J754="Aktif",J754="Bitiyor"),F754+ROW()/1000000,"")</f>
        <v/>
      </c>
    </row>
    <row r="755" customFormat="false" ht="15" hidden="false" customHeight="false" outlineLevel="0" collapsed="false">
      <c r="A755" s="12"/>
      <c r="B755" s="12"/>
      <c r="C755" s="13"/>
      <c r="D755" s="14"/>
      <c r="E755" s="15"/>
      <c r="F755" s="16" t="str">
        <f aca="false">IF(OR(C755="",D755=""),"",EDATE(D755,IFERROR(INDEX(Paketler!$B$5:$B$24,MATCH(C755,Paketler!$A$5:$A$24,0)),0))-1)</f>
        <v/>
      </c>
      <c r="G755" s="17" t="str">
        <f aca="false">IF(F755="","",IFERROR(INDEX(Paketler!$C$5:$C$24,MATCH(C755,Paketler!$A$5:$A$24,0)),0))</f>
        <v/>
      </c>
      <c r="H755" s="17" t="str">
        <f aca="false">IF(F755="","",G755-E755)</f>
        <v/>
      </c>
      <c r="I755" s="18" t="str">
        <f aca="true">IF(F755="","",F755-TODAY())</f>
        <v/>
      </c>
      <c r="J755" s="19" t="str">
        <f aca="true">IF(F755="","",IF(TODAY()&lt;D755,"Başlamadı",IF(TODAY()&gt;F755,"Bitti",IF(F755-TODAY()&lt;=7,"Bitiyor","Aktif"))))</f>
        <v/>
      </c>
      <c r="K755" s="19" t="str">
        <f aca="false">IF(OR(J755="Aktif",J755="Bitiyor"),F755+ROW()/1000000,"")</f>
        <v/>
      </c>
    </row>
    <row r="756" customFormat="false" ht="15" hidden="false" customHeight="false" outlineLevel="0" collapsed="false">
      <c r="A756" s="12"/>
      <c r="B756" s="12"/>
      <c r="C756" s="13"/>
      <c r="D756" s="14"/>
      <c r="E756" s="15"/>
      <c r="F756" s="16" t="str">
        <f aca="false">IF(OR(C756="",D756=""),"",EDATE(D756,IFERROR(INDEX(Paketler!$B$5:$B$24,MATCH(C756,Paketler!$A$5:$A$24,0)),0))-1)</f>
        <v/>
      </c>
      <c r="G756" s="17" t="str">
        <f aca="false">IF(F756="","",IFERROR(INDEX(Paketler!$C$5:$C$24,MATCH(C756,Paketler!$A$5:$A$24,0)),0))</f>
        <v/>
      </c>
      <c r="H756" s="17" t="str">
        <f aca="false">IF(F756="","",G756-E756)</f>
        <v/>
      </c>
      <c r="I756" s="18" t="str">
        <f aca="true">IF(F756="","",F756-TODAY())</f>
        <v/>
      </c>
      <c r="J756" s="19" t="str">
        <f aca="true">IF(F756="","",IF(TODAY()&lt;D756,"Başlamadı",IF(TODAY()&gt;F756,"Bitti",IF(F756-TODAY()&lt;=7,"Bitiyor","Aktif"))))</f>
        <v/>
      </c>
      <c r="K756" s="19" t="str">
        <f aca="false">IF(OR(J756="Aktif",J756="Bitiyor"),F756+ROW()/1000000,"")</f>
        <v/>
      </c>
    </row>
    <row r="757" customFormat="false" ht="15" hidden="false" customHeight="false" outlineLevel="0" collapsed="false">
      <c r="A757" s="12"/>
      <c r="B757" s="12"/>
      <c r="C757" s="13"/>
      <c r="D757" s="14"/>
      <c r="E757" s="15"/>
      <c r="F757" s="16" t="str">
        <f aca="false">IF(OR(C757="",D757=""),"",EDATE(D757,IFERROR(INDEX(Paketler!$B$5:$B$24,MATCH(C757,Paketler!$A$5:$A$24,0)),0))-1)</f>
        <v/>
      </c>
      <c r="G757" s="17" t="str">
        <f aca="false">IF(F757="","",IFERROR(INDEX(Paketler!$C$5:$C$24,MATCH(C757,Paketler!$A$5:$A$24,0)),0))</f>
        <v/>
      </c>
      <c r="H757" s="17" t="str">
        <f aca="false">IF(F757="","",G757-E757)</f>
        <v/>
      </c>
      <c r="I757" s="18" t="str">
        <f aca="true">IF(F757="","",F757-TODAY())</f>
        <v/>
      </c>
      <c r="J757" s="19" t="str">
        <f aca="true">IF(F757="","",IF(TODAY()&lt;D757,"Başlamadı",IF(TODAY()&gt;F757,"Bitti",IF(F757-TODAY()&lt;=7,"Bitiyor","Aktif"))))</f>
        <v/>
      </c>
      <c r="K757" s="19" t="str">
        <f aca="false">IF(OR(J757="Aktif",J757="Bitiyor"),F757+ROW()/1000000,"")</f>
        <v/>
      </c>
    </row>
    <row r="758" customFormat="false" ht="15" hidden="false" customHeight="false" outlineLevel="0" collapsed="false">
      <c r="A758" s="12"/>
      <c r="B758" s="12"/>
      <c r="C758" s="13"/>
      <c r="D758" s="14"/>
      <c r="E758" s="15"/>
      <c r="F758" s="16" t="str">
        <f aca="false">IF(OR(C758="",D758=""),"",EDATE(D758,IFERROR(INDEX(Paketler!$B$5:$B$24,MATCH(C758,Paketler!$A$5:$A$24,0)),0))-1)</f>
        <v/>
      </c>
      <c r="G758" s="17" t="str">
        <f aca="false">IF(F758="","",IFERROR(INDEX(Paketler!$C$5:$C$24,MATCH(C758,Paketler!$A$5:$A$24,0)),0))</f>
        <v/>
      </c>
      <c r="H758" s="17" t="str">
        <f aca="false">IF(F758="","",G758-E758)</f>
        <v/>
      </c>
      <c r="I758" s="18" t="str">
        <f aca="true">IF(F758="","",F758-TODAY())</f>
        <v/>
      </c>
      <c r="J758" s="19" t="str">
        <f aca="true">IF(F758="","",IF(TODAY()&lt;D758,"Başlamadı",IF(TODAY()&gt;F758,"Bitti",IF(F758-TODAY()&lt;=7,"Bitiyor","Aktif"))))</f>
        <v/>
      </c>
      <c r="K758" s="19" t="str">
        <f aca="false">IF(OR(J758="Aktif",J758="Bitiyor"),F758+ROW()/1000000,"")</f>
        <v/>
      </c>
    </row>
    <row r="759" customFormat="false" ht="15" hidden="false" customHeight="false" outlineLevel="0" collapsed="false">
      <c r="A759" s="12"/>
      <c r="B759" s="12"/>
      <c r="C759" s="13"/>
      <c r="D759" s="14"/>
      <c r="E759" s="15"/>
      <c r="F759" s="16" t="str">
        <f aca="false">IF(OR(C759="",D759=""),"",EDATE(D759,IFERROR(INDEX(Paketler!$B$5:$B$24,MATCH(C759,Paketler!$A$5:$A$24,0)),0))-1)</f>
        <v/>
      </c>
      <c r="G759" s="17" t="str">
        <f aca="false">IF(F759="","",IFERROR(INDEX(Paketler!$C$5:$C$24,MATCH(C759,Paketler!$A$5:$A$24,0)),0))</f>
        <v/>
      </c>
      <c r="H759" s="17" t="str">
        <f aca="false">IF(F759="","",G759-E759)</f>
        <v/>
      </c>
      <c r="I759" s="18" t="str">
        <f aca="true">IF(F759="","",F759-TODAY())</f>
        <v/>
      </c>
      <c r="J759" s="19" t="str">
        <f aca="true">IF(F759="","",IF(TODAY()&lt;D759,"Başlamadı",IF(TODAY()&gt;F759,"Bitti",IF(F759-TODAY()&lt;=7,"Bitiyor","Aktif"))))</f>
        <v/>
      </c>
      <c r="K759" s="19" t="str">
        <f aca="false">IF(OR(J759="Aktif",J759="Bitiyor"),F759+ROW()/1000000,"")</f>
        <v/>
      </c>
    </row>
    <row r="760" customFormat="false" ht="15" hidden="false" customHeight="false" outlineLevel="0" collapsed="false">
      <c r="A760" s="12"/>
      <c r="B760" s="12"/>
      <c r="C760" s="13"/>
      <c r="D760" s="14"/>
      <c r="E760" s="15"/>
      <c r="F760" s="16" t="str">
        <f aca="false">IF(OR(C760="",D760=""),"",EDATE(D760,IFERROR(INDEX(Paketler!$B$5:$B$24,MATCH(C760,Paketler!$A$5:$A$24,0)),0))-1)</f>
        <v/>
      </c>
      <c r="G760" s="17" t="str">
        <f aca="false">IF(F760="","",IFERROR(INDEX(Paketler!$C$5:$C$24,MATCH(C760,Paketler!$A$5:$A$24,0)),0))</f>
        <v/>
      </c>
      <c r="H760" s="17" t="str">
        <f aca="false">IF(F760="","",G760-E760)</f>
        <v/>
      </c>
      <c r="I760" s="18" t="str">
        <f aca="true">IF(F760="","",F760-TODAY())</f>
        <v/>
      </c>
      <c r="J760" s="19" t="str">
        <f aca="true">IF(F760="","",IF(TODAY()&lt;D760,"Başlamadı",IF(TODAY()&gt;F760,"Bitti",IF(F760-TODAY()&lt;=7,"Bitiyor","Aktif"))))</f>
        <v/>
      </c>
      <c r="K760" s="19" t="str">
        <f aca="false">IF(OR(J760="Aktif",J760="Bitiyor"),F760+ROW()/1000000,"")</f>
        <v/>
      </c>
    </row>
    <row r="761" customFormat="false" ht="15" hidden="false" customHeight="false" outlineLevel="0" collapsed="false">
      <c r="A761" s="12"/>
      <c r="B761" s="12"/>
      <c r="C761" s="13"/>
      <c r="D761" s="14"/>
      <c r="E761" s="15"/>
      <c r="F761" s="16" t="str">
        <f aca="false">IF(OR(C761="",D761=""),"",EDATE(D761,IFERROR(INDEX(Paketler!$B$5:$B$24,MATCH(C761,Paketler!$A$5:$A$24,0)),0))-1)</f>
        <v/>
      </c>
      <c r="G761" s="17" t="str">
        <f aca="false">IF(F761="","",IFERROR(INDEX(Paketler!$C$5:$C$24,MATCH(C761,Paketler!$A$5:$A$24,0)),0))</f>
        <v/>
      </c>
      <c r="H761" s="17" t="str">
        <f aca="false">IF(F761="","",G761-E761)</f>
        <v/>
      </c>
      <c r="I761" s="18" t="str">
        <f aca="true">IF(F761="","",F761-TODAY())</f>
        <v/>
      </c>
      <c r="J761" s="19" t="str">
        <f aca="true">IF(F761="","",IF(TODAY()&lt;D761,"Başlamadı",IF(TODAY()&gt;F761,"Bitti",IF(F761-TODAY()&lt;=7,"Bitiyor","Aktif"))))</f>
        <v/>
      </c>
      <c r="K761" s="19" t="str">
        <f aca="false">IF(OR(J761="Aktif",J761="Bitiyor"),F761+ROW()/1000000,"")</f>
        <v/>
      </c>
    </row>
    <row r="762" customFormat="false" ht="15" hidden="false" customHeight="false" outlineLevel="0" collapsed="false">
      <c r="A762" s="12"/>
      <c r="B762" s="12"/>
      <c r="C762" s="13"/>
      <c r="D762" s="14"/>
      <c r="E762" s="15"/>
      <c r="F762" s="16" t="str">
        <f aca="false">IF(OR(C762="",D762=""),"",EDATE(D762,IFERROR(INDEX(Paketler!$B$5:$B$24,MATCH(C762,Paketler!$A$5:$A$24,0)),0))-1)</f>
        <v/>
      </c>
      <c r="G762" s="17" t="str">
        <f aca="false">IF(F762="","",IFERROR(INDEX(Paketler!$C$5:$C$24,MATCH(C762,Paketler!$A$5:$A$24,0)),0))</f>
        <v/>
      </c>
      <c r="H762" s="17" t="str">
        <f aca="false">IF(F762="","",G762-E762)</f>
        <v/>
      </c>
      <c r="I762" s="18" t="str">
        <f aca="true">IF(F762="","",F762-TODAY())</f>
        <v/>
      </c>
      <c r="J762" s="19" t="str">
        <f aca="true">IF(F762="","",IF(TODAY()&lt;D762,"Başlamadı",IF(TODAY()&gt;F762,"Bitti",IF(F762-TODAY()&lt;=7,"Bitiyor","Aktif"))))</f>
        <v/>
      </c>
      <c r="K762" s="19" t="str">
        <f aca="false">IF(OR(J762="Aktif",J762="Bitiyor"),F762+ROW()/1000000,"")</f>
        <v/>
      </c>
    </row>
    <row r="763" customFormat="false" ht="15" hidden="false" customHeight="false" outlineLevel="0" collapsed="false">
      <c r="A763" s="12"/>
      <c r="B763" s="12"/>
      <c r="C763" s="13"/>
      <c r="D763" s="14"/>
      <c r="E763" s="15"/>
      <c r="F763" s="16" t="str">
        <f aca="false">IF(OR(C763="",D763=""),"",EDATE(D763,IFERROR(INDEX(Paketler!$B$5:$B$24,MATCH(C763,Paketler!$A$5:$A$24,0)),0))-1)</f>
        <v/>
      </c>
      <c r="G763" s="17" t="str">
        <f aca="false">IF(F763="","",IFERROR(INDEX(Paketler!$C$5:$C$24,MATCH(C763,Paketler!$A$5:$A$24,0)),0))</f>
        <v/>
      </c>
      <c r="H763" s="17" t="str">
        <f aca="false">IF(F763="","",G763-E763)</f>
        <v/>
      </c>
      <c r="I763" s="18" t="str">
        <f aca="true">IF(F763="","",F763-TODAY())</f>
        <v/>
      </c>
      <c r="J763" s="19" t="str">
        <f aca="true">IF(F763="","",IF(TODAY()&lt;D763,"Başlamadı",IF(TODAY()&gt;F763,"Bitti",IF(F763-TODAY()&lt;=7,"Bitiyor","Aktif"))))</f>
        <v/>
      </c>
      <c r="K763" s="19" t="str">
        <f aca="false">IF(OR(J763="Aktif",J763="Bitiyor"),F763+ROW()/1000000,"")</f>
        <v/>
      </c>
    </row>
    <row r="764" customFormat="false" ht="15" hidden="false" customHeight="false" outlineLevel="0" collapsed="false">
      <c r="A764" s="12"/>
      <c r="B764" s="12"/>
      <c r="C764" s="13"/>
      <c r="D764" s="14"/>
      <c r="E764" s="15"/>
      <c r="F764" s="16" t="str">
        <f aca="false">IF(OR(C764="",D764=""),"",EDATE(D764,IFERROR(INDEX(Paketler!$B$5:$B$24,MATCH(C764,Paketler!$A$5:$A$24,0)),0))-1)</f>
        <v/>
      </c>
      <c r="G764" s="17" t="str">
        <f aca="false">IF(F764="","",IFERROR(INDEX(Paketler!$C$5:$C$24,MATCH(C764,Paketler!$A$5:$A$24,0)),0))</f>
        <v/>
      </c>
      <c r="H764" s="17" t="str">
        <f aca="false">IF(F764="","",G764-E764)</f>
        <v/>
      </c>
      <c r="I764" s="18" t="str">
        <f aca="true">IF(F764="","",F764-TODAY())</f>
        <v/>
      </c>
      <c r="J764" s="19" t="str">
        <f aca="true">IF(F764="","",IF(TODAY()&lt;D764,"Başlamadı",IF(TODAY()&gt;F764,"Bitti",IF(F764-TODAY()&lt;=7,"Bitiyor","Aktif"))))</f>
        <v/>
      </c>
      <c r="K764" s="19" t="str">
        <f aca="false">IF(OR(J764="Aktif",J764="Bitiyor"),F764+ROW()/1000000,"")</f>
        <v/>
      </c>
    </row>
    <row r="765" customFormat="false" ht="15" hidden="false" customHeight="false" outlineLevel="0" collapsed="false">
      <c r="A765" s="12"/>
      <c r="B765" s="12"/>
      <c r="C765" s="13"/>
      <c r="D765" s="14"/>
      <c r="E765" s="15"/>
      <c r="F765" s="16" t="str">
        <f aca="false">IF(OR(C765="",D765=""),"",EDATE(D765,IFERROR(INDEX(Paketler!$B$5:$B$24,MATCH(C765,Paketler!$A$5:$A$24,0)),0))-1)</f>
        <v/>
      </c>
      <c r="G765" s="17" t="str">
        <f aca="false">IF(F765="","",IFERROR(INDEX(Paketler!$C$5:$C$24,MATCH(C765,Paketler!$A$5:$A$24,0)),0))</f>
        <v/>
      </c>
      <c r="H765" s="17" t="str">
        <f aca="false">IF(F765="","",G765-E765)</f>
        <v/>
      </c>
      <c r="I765" s="18" t="str">
        <f aca="true">IF(F765="","",F765-TODAY())</f>
        <v/>
      </c>
      <c r="J765" s="19" t="str">
        <f aca="true">IF(F765="","",IF(TODAY()&lt;D765,"Başlamadı",IF(TODAY()&gt;F765,"Bitti",IF(F765-TODAY()&lt;=7,"Bitiyor","Aktif"))))</f>
        <v/>
      </c>
      <c r="K765" s="19" t="str">
        <f aca="false">IF(OR(J765="Aktif",J765="Bitiyor"),F765+ROW()/1000000,"")</f>
        <v/>
      </c>
    </row>
    <row r="766" customFormat="false" ht="15" hidden="false" customHeight="false" outlineLevel="0" collapsed="false">
      <c r="A766" s="12"/>
      <c r="B766" s="12"/>
      <c r="C766" s="13"/>
      <c r="D766" s="14"/>
      <c r="E766" s="15"/>
      <c r="F766" s="16" t="str">
        <f aca="false">IF(OR(C766="",D766=""),"",EDATE(D766,IFERROR(INDEX(Paketler!$B$5:$B$24,MATCH(C766,Paketler!$A$5:$A$24,0)),0))-1)</f>
        <v/>
      </c>
      <c r="G766" s="17" t="str">
        <f aca="false">IF(F766="","",IFERROR(INDEX(Paketler!$C$5:$C$24,MATCH(C766,Paketler!$A$5:$A$24,0)),0))</f>
        <v/>
      </c>
      <c r="H766" s="17" t="str">
        <f aca="false">IF(F766="","",G766-E766)</f>
        <v/>
      </c>
      <c r="I766" s="18" t="str">
        <f aca="true">IF(F766="","",F766-TODAY())</f>
        <v/>
      </c>
      <c r="J766" s="19" t="str">
        <f aca="true">IF(F766="","",IF(TODAY()&lt;D766,"Başlamadı",IF(TODAY()&gt;F766,"Bitti",IF(F766-TODAY()&lt;=7,"Bitiyor","Aktif"))))</f>
        <v/>
      </c>
      <c r="K766" s="19" t="str">
        <f aca="false">IF(OR(J766="Aktif",J766="Bitiyor"),F766+ROW()/1000000,"")</f>
        <v/>
      </c>
    </row>
    <row r="767" customFormat="false" ht="15" hidden="false" customHeight="false" outlineLevel="0" collapsed="false">
      <c r="A767" s="12"/>
      <c r="B767" s="12"/>
      <c r="C767" s="13"/>
      <c r="D767" s="14"/>
      <c r="E767" s="15"/>
      <c r="F767" s="16" t="str">
        <f aca="false">IF(OR(C767="",D767=""),"",EDATE(D767,IFERROR(INDEX(Paketler!$B$5:$B$24,MATCH(C767,Paketler!$A$5:$A$24,0)),0))-1)</f>
        <v/>
      </c>
      <c r="G767" s="17" t="str">
        <f aca="false">IF(F767="","",IFERROR(INDEX(Paketler!$C$5:$C$24,MATCH(C767,Paketler!$A$5:$A$24,0)),0))</f>
        <v/>
      </c>
      <c r="H767" s="17" t="str">
        <f aca="false">IF(F767="","",G767-E767)</f>
        <v/>
      </c>
      <c r="I767" s="18" t="str">
        <f aca="true">IF(F767="","",F767-TODAY())</f>
        <v/>
      </c>
      <c r="J767" s="19" t="str">
        <f aca="true">IF(F767="","",IF(TODAY()&lt;D767,"Başlamadı",IF(TODAY()&gt;F767,"Bitti",IF(F767-TODAY()&lt;=7,"Bitiyor","Aktif"))))</f>
        <v/>
      </c>
      <c r="K767" s="19" t="str">
        <f aca="false">IF(OR(J767="Aktif",J767="Bitiyor"),F767+ROW()/1000000,"")</f>
        <v/>
      </c>
    </row>
    <row r="768" customFormat="false" ht="15" hidden="false" customHeight="false" outlineLevel="0" collapsed="false">
      <c r="A768" s="12"/>
      <c r="B768" s="12"/>
      <c r="C768" s="13"/>
      <c r="D768" s="14"/>
      <c r="E768" s="15"/>
      <c r="F768" s="16" t="str">
        <f aca="false">IF(OR(C768="",D768=""),"",EDATE(D768,IFERROR(INDEX(Paketler!$B$5:$B$24,MATCH(C768,Paketler!$A$5:$A$24,0)),0))-1)</f>
        <v/>
      </c>
      <c r="G768" s="17" t="str">
        <f aca="false">IF(F768="","",IFERROR(INDEX(Paketler!$C$5:$C$24,MATCH(C768,Paketler!$A$5:$A$24,0)),0))</f>
        <v/>
      </c>
      <c r="H768" s="17" t="str">
        <f aca="false">IF(F768="","",G768-E768)</f>
        <v/>
      </c>
      <c r="I768" s="18" t="str">
        <f aca="true">IF(F768="","",F768-TODAY())</f>
        <v/>
      </c>
      <c r="J768" s="19" t="str">
        <f aca="true">IF(F768="","",IF(TODAY()&lt;D768,"Başlamadı",IF(TODAY()&gt;F768,"Bitti",IF(F768-TODAY()&lt;=7,"Bitiyor","Aktif"))))</f>
        <v/>
      </c>
      <c r="K768" s="19" t="str">
        <f aca="false">IF(OR(J768="Aktif",J768="Bitiyor"),F768+ROW()/1000000,"")</f>
        <v/>
      </c>
    </row>
    <row r="769" customFormat="false" ht="15" hidden="false" customHeight="false" outlineLevel="0" collapsed="false">
      <c r="A769" s="12"/>
      <c r="B769" s="12"/>
      <c r="C769" s="13"/>
      <c r="D769" s="14"/>
      <c r="E769" s="15"/>
      <c r="F769" s="16" t="str">
        <f aca="false">IF(OR(C769="",D769=""),"",EDATE(D769,IFERROR(INDEX(Paketler!$B$5:$B$24,MATCH(C769,Paketler!$A$5:$A$24,0)),0))-1)</f>
        <v/>
      </c>
      <c r="G769" s="17" t="str">
        <f aca="false">IF(F769="","",IFERROR(INDEX(Paketler!$C$5:$C$24,MATCH(C769,Paketler!$A$5:$A$24,0)),0))</f>
        <v/>
      </c>
      <c r="H769" s="17" t="str">
        <f aca="false">IF(F769="","",G769-E769)</f>
        <v/>
      </c>
      <c r="I769" s="18" t="str">
        <f aca="true">IF(F769="","",F769-TODAY())</f>
        <v/>
      </c>
      <c r="J769" s="19" t="str">
        <f aca="true">IF(F769="","",IF(TODAY()&lt;D769,"Başlamadı",IF(TODAY()&gt;F769,"Bitti",IF(F769-TODAY()&lt;=7,"Bitiyor","Aktif"))))</f>
        <v/>
      </c>
      <c r="K769" s="19" t="str">
        <f aca="false">IF(OR(J769="Aktif",J769="Bitiyor"),F769+ROW()/1000000,"")</f>
        <v/>
      </c>
    </row>
    <row r="770" customFormat="false" ht="15" hidden="false" customHeight="false" outlineLevel="0" collapsed="false">
      <c r="A770" s="12"/>
      <c r="B770" s="12"/>
      <c r="C770" s="13"/>
      <c r="D770" s="14"/>
      <c r="E770" s="15"/>
      <c r="F770" s="16" t="str">
        <f aca="false">IF(OR(C770="",D770=""),"",EDATE(D770,IFERROR(INDEX(Paketler!$B$5:$B$24,MATCH(C770,Paketler!$A$5:$A$24,0)),0))-1)</f>
        <v/>
      </c>
      <c r="G770" s="17" t="str">
        <f aca="false">IF(F770="","",IFERROR(INDEX(Paketler!$C$5:$C$24,MATCH(C770,Paketler!$A$5:$A$24,0)),0))</f>
        <v/>
      </c>
      <c r="H770" s="17" t="str">
        <f aca="false">IF(F770="","",G770-E770)</f>
        <v/>
      </c>
      <c r="I770" s="18" t="str">
        <f aca="true">IF(F770="","",F770-TODAY())</f>
        <v/>
      </c>
      <c r="J770" s="19" t="str">
        <f aca="true">IF(F770="","",IF(TODAY()&lt;D770,"Başlamadı",IF(TODAY()&gt;F770,"Bitti",IF(F770-TODAY()&lt;=7,"Bitiyor","Aktif"))))</f>
        <v/>
      </c>
      <c r="K770" s="19" t="str">
        <f aca="false">IF(OR(J770="Aktif",J770="Bitiyor"),F770+ROW()/1000000,"")</f>
        <v/>
      </c>
    </row>
    <row r="771" customFormat="false" ht="15" hidden="false" customHeight="false" outlineLevel="0" collapsed="false">
      <c r="A771" s="12"/>
      <c r="B771" s="12"/>
      <c r="C771" s="13"/>
      <c r="D771" s="14"/>
      <c r="E771" s="15"/>
      <c r="F771" s="16" t="str">
        <f aca="false">IF(OR(C771="",D771=""),"",EDATE(D771,IFERROR(INDEX(Paketler!$B$5:$B$24,MATCH(C771,Paketler!$A$5:$A$24,0)),0))-1)</f>
        <v/>
      </c>
      <c r="G771" s="17" t="str">
        <f aca="false">IF(F771="","",IFERROR(INDEX(Paketler!$C$5:$C$24,MATCH(C771,Paketler!$A$5:$A$24,0)),0))</f>
        <v/>
      </c>
      <c r="H771" s="17" t="str">
        <f aca="false">IF(F771="","",G771-E771)</f>
        <v/>
      </c>
      <c r="I771" s="18" t="str">
        <f aca="true">IF(F771="","",F771-TODAY())</f>
        <v/>
      </c>
      <c r="J771" s="19" t="str">
        <f aca="true">IF(F771="","",IF(TODAY()&lt;D771,"Başlamadı",IF(TODAY()&gt;F771,"Bitti",IF(F771-TODAY()&lt;=7,"Bitiyor","Aktif"))))</f>
        <v/>
      </c>
      <c r="K771" s="19" t="str">
        <f aca="false">IF(OR(J771="Aktif",J771="Bitiyor"),F771+ROW()/1000000,"")</f>
        <v/>
      </c>
    </row>
    <row r="772" customFormat="false" ht="15" hidden="false" customHeight="false" outlineLevel="0" collapsed="false">
      <c r="A772" s="12"/>
      <c r="B772" s="12"/>
      <c r="C772" s="13"/>
      <c r="D772" s="14"/>
      <c r="E772" s="15"/>
      <c r="F772" s="16" t="str">
        <f aca="false">IF(OR(C772="",D772=""),"",EDATE(D772,IFERROR(INDEX(Paketler!$B$5:$B$24,MATCH(C772,Paketler!$A$5:$A$24,0)),0))-1)</f>
        <v/>
      </c>
      <c r="G772" s="17" t="str">
        <f aca="false">IF(F772="","",IFERROR(INDEX(Paketler!$C$5:$C$24,MATCH(C772,Paketler!$A$5:$A$24,0)),0))</f>
        <v/>
      </c>
      <c r="H772" s="17" t="str">
        <f aca="false">IF(F772="","",G772-E772)</f>
        <v/>
      </c>
      <c r="I772" s="18" t="str">
        <f aca="true">IF(F772="","",F772-TODAY())</f>
        <v/>
      </c>
      <c r="J772" s="19" t="str">
        <f aca="true">IF(F772="","",IF(TODAY()&lt;D772,"Başlamadı",IF(TODAY()&gt;F772,"Bitti",IF(F772-TODAY()&lt;=7,"Bitiyor","Aktif"))))</f>
        <v/>
      </c>
      <c r="K772" s="19" t="str">
        <f aca="false">IF(OR(J772="Aktif",J772="Bitiyor"),F772+ROW()/1000000,"")</f>
        <v/>
      </c>
    </row>
    <row r="773" customFormat="false" ht="15" hidden="false" customHeight="false" outlineLevel="0" collapsed="false">
      <c r="A773" s="12"/>
      <c r="B773" s="12"/>
      <c r="C773" s="13"/>
      <c r="D773" s="14"/>
      <c r="E773" s="15"/>
      <c r="F773" s="16" t="str">
        <f aca="false">IF(OR(C773="",D773=""),"",EDATE(D773,IFERROR(INDEX(Paketler!$B$5:$B$24,MATCH(C773,Paketler!$A$5:$A$24,0)),0))-1)</f>
        <v/>
      </c>
      <c r="G773" s="17" t="str">
        <f aca="false">IF(F773="","",IFERROR(INDEX(Paketler!$C$5:$C$24,MATCH(C773,Paketler!$A$5:$A$24,0)),0))</f>
        <v/>
      </c>
      <c r="H773" s="17" t="str">
        <f aca="false">IF(F773="","",G773-E773)</f>
        <v/>
      </c>
      <c r="I773" s="18" t="str">
        <f aca="true">IF(F773="","",F773-TODAY())</f>
        <v/>
      </c>
      <c r="J773" s="19" t="str">
        <f aca="true">IF(F773="","",IF(TODAY()&lt;D773,"Başlamadı",IF(TODAY()&gt;F773,"Bitti",IF(F773-TODAY()&lt;=7,"Bitiyor","Aktif"))))</f>
        <v/>
      </c>
      <c r="K773" s="19" t="str">
        <f aca="false">IF(OR(J773="Aktif",J773="Bitiyor"),F773+ROW()/1000000,"")</f>
        <v/>
      </c>
    </row>
    <row r="774" customFormat="false" ht="15" hidden="false" customHeight="false" outlineLevel="0" collapsed="false">
      <c r="A774" s="12"/>
      <c r="B774" s="12"/>
      <c r="C774" s="13"/>
      <c r="D774" s="14"/>
      <c r="E774" s="15"/>
      <c r="F774" s="16" t="str">
        <f aca="false">IF(OR(C774="",D774=""),"",EDATE(D774,IFERROR(INDEX(Paketler!$B$5:$B$24,MATCH(C774,Paketler!$A$5:$A$24,0)),0))-1)</f>
        <v/>
      </c>
      <c r="G774" s="17" t="str">
        <f aca="false">IF(F774="","",IFERROR(INDEX(Paketler!$C$5:$C$24,MATCH(C774,Paketler!$A$5:$A$24,0)),0))</f>
        <v/>
      </c>
      <c r="H774" s="17" t="str">
        <f aca="false">IF(F774="","",G774-E774)</f>
        <v/>
      </c>
      <c r="I774" s="18" t="str">
        <f aca="true">IF(F774="","",F774-TODAY())</f>
        <v/>
      </c>
      <c r="J774" s="19" t="str">
        <f aca="true">IF(F774="","",IF(TODAY()&lt;D774,"Başlamadı",IF(TODAY()&gt;F774,"Bitti",IF(F774-TODAY()&lt;=7,"Bitiyor","Aktif"))))</f>
        <v/>
      </c>
      <c r="K774" s="19" t="str">
        <f aca="false">IF(OR(J774="Aktif",J774="Bitiyor"),F774+ROW()/1000000,"")</f>
        <v/>
      </c>
    </row>
    <row r="775" customFormat="false" ht="15" hidden="false" customHeight="false" outlineLevel="0" collapsed="false">
      <c r="A775" s="12"/>
      <c r="B775" s="12"/>
      <c r="C775" s="13"/>
      <c r="D775" s="14"/>
      <c r="E775" s="15"/>
      <c r="F775" s="16" t="str">
        <f aca="false">IF(OR(C775="",D775=""),"",EDATE(D775,IFERROR(INDEX(Paketler!$B$5:$B$24,MATCH(C775,Paketler!$A$5:$A$24,0)),0))-1)</f>
        <v/>
      </c>
      <c r="G775" s="17" t="str">
        <f aca="false">IF(F775="","",IFERROR(INDEX(Paketler!$C$5:$C$24,MATCH(C775,Paketler!$A$5:$A$24,0)),0))</f>
        <v/>
      </c>
      <c r="H775" s="17" t="str">
        <f aca="false">IF(F775="","",G775-E775)</f>
        <v/>
      </c>
      <c r="I775" s="18" t="str">
        <f aca="true">IF(F775="","",F775-TODAY())</f>
        <v/>
      </c>
      <c r="J775" s="19" t="str">
        <f aca="true">IF(F775="","",IF(TODAY()&lt;D775,"Başlamadı",IF(TODAY()&gt;F775,"Bitti",IF(F775-TODAY()&lt;=7,"Bitiyor","Aktif"))))</f>
        <v/>
      </c>
      <c r="K775" s="19" t="str">
        <f aca="false">IF(OR(J775="Aktif",J775="Bitiyor"),F775+ROW()/1000000,"")</f>
        <v/>
      </c>
    </row>
    <row r="776" customFormat="false" ht="15" hidden="false" customHeight="false" outlineLevel="0" collapsed="false">
      <c r="A776" s="12"/>
      <c r="B776" s="12"/>
      <c r="C776" s="13"/>
      <c r="D776" s="14"/>
      <c r="E776" s="15"/>
      <c r="F776" s="16" t="str">
        <f aca="false">IF(OR(C776="",D776=""),"",EDATE(D776,IFERROR(INDEX(Paketler!$B$5:$B$24,MATCH(C776,Paketler!$A$5:$A$24,0)),0))-1)</f>
        <v/>
      </c>
      <c r="G776" s="17" t="str">
        <f aca="false">IF(F776="","",IFERROR(INDEX(Paketler!$C$5:$C$24,MATCH(C776,Paketler!$A$5:$A$24,0)),0))</f>
        <v/>
      </c>
      <c r="H776" s="17" t="str">
        <f aca="false">IF(F776="","",G776-E776)</f>
        <v/>
      </c>
      <c r="I776" s="18" t="str">
        <f aca="true">IF(F776="","",F776-TODAY())</f>
        <v/>
      </c>
      <c r="J776" s="19" t="str">
        <f aca="true">IF(F776="","",IF(TODAY()&lt;D776,"Başlamadı",IF(TODAY()&gt;F776,"Bitti",IF(F776-TODAY()&lt;=7,"Bitiyor","Aktif"))))</f>
        <v/>
      </c>
      <c r="K776" s="19" t="str">
        <f aca="false">IF(OR(J776="Aktif",J776="Bitiyor"),F776+ROW()/1000000,"")</f>
        <v/>
      </c>
    </row>
    <row r="777" customFormat="false" ht="15" hidden="false" customHeight="false" outlineLevel="0" collapsed="false">
      <c r="A777" s="12"/>
      <c r="B777" s="12"/>
      <c r="C777" s="13"/>
      <c r="D777" s="14"/>
      <c r="E777" s="15"/>
      <c r="F777" s="16" t="str">
        <f aca="false">IF(OR(C777="",D777=""),"",EDATE(D777,IFERROR(INDEX(Paketler!$B$5:$B$24,MATCH(C777,Paketler!$A$5:$A$24,0)),0))-1)</f>
        <v/>
      </c>
      <c r="G777" s="17" t="str">
        <f aca="false">IF(F777="","",IFERROR(INDEX(Paketler!$C$5:$C$24,MATCH(C777,Paketler!$A$5:$A$24,0)),0))</f>
        <v/>
      </c>
      <c r="H777" s="17" t="str">
        <f aca="false">IF(F777="","",G777-E777)</f>
        <v/>
      </c>
      <c r="I777" s="18" t="str">
        <f aca="true">IF(F777="","",F777-TODAY())</f>
        <v/>
      </c>
      <c r="J777" s="19" t="str">
        <f aca="true">IF(F777="","",IF(TODAY()&lt;D777,"Başlamadı",IF(TODAY()&gt;F777,"Bitti",IF(F777-TODAY()&lt;=7,"Bitiyor","Aktif"))))</f>
        <v/>
      </c>
      <c r="K777" s="19" t="str">
        <f aca="false">IF(OR(J777="Aktif",J777="Bitiyor"),F777+ROW()/1000000,"")</f>
        <v/>
      </c>
    </row>
    <row r="778" customFormat="false" ht="15" hidden="false" customHeight="false" outlineLevel="0" collapsed="false">
      <c r="A778" s="12"/>
      <c r="B778" s="12"/>
      <c r="C778" s="13"/>
      <c r="D778" s="14"/>
      <c r="E778" s="15"/>
      <c r="F778" s="16" t="str">
        <f aca="false">IF(OR(C778="",D778=""),"",EDATE(D778,IFERROR(INDEX(Paketler!$B$5:$B$24,MATCH(C778,Paketler!$A$5:$A$24,0)),0))-1)</f>
        <v/>
      </c>
      <c r="G778" s="17" t="str">
        <f aca="false">IF(F778="","",IFERROR(INDEX(Paketler!$C$5:$C$24,MATCH(C778,Paketler!$A$5:$A$24,0)),0))</f>
        <v/>
      </c>
      <c r="H778" s="17" t="str">
        <f aca="false">IF(F778="","",G778-E778)</f>
        <v/>
      </c>
      <c r="I778" s="18" t="str">
        <f aca="true">IF(F778="","",F778-TODAY())</f>
        <v/>
      </c>
      <c r="J778" s="19" t="str">
        <f aca="true">IF(F778="","",IF(TODAY()&lt;D778,"Başlamadı",IF(TODAY()&gt;F778,"Bitti",IF(F778-TODAY()&lt;=7,"Bitiyor","Aktif"))))</f>
        <v/>
      </c>
      <c r="K778" s="19" t="str">
        <f aca="false">IF(OR(J778="Aktif",J778="Bitiyor"),F778+ROW()/1000000,"")</f>
        <v/>
      </c>
    </row>
    <row r="779" customFormat="false" ht="15" hidden="false" customHeight="false" outlineLevel="0" collapsed="false">
      <c r="A779" s="12"/>
      <c r="B779" s="12"/>
      <c r="C779" s="13"/>
      <c r="D779" s="14"/>
      <c r="E779" s="15"/>
      <c r="F779" s="16" t="str">
        <f aca="false">IF(OR(C779="",D779=""),"",EDATE(D779,IFERROR(INDEX(Paketler!$B$5:$B$24,MATCH(C779,Paketler!$A$5:$A$24,0)),0))-1)</f>
        <v/>
      </c>
      <c r="G779" s="17" t="str">
        <f aca="false">IF(F779="","",IFERROR(INDEX(Paketler!$C$5:$C$24,MATCH(C779,Paketler!$A$5:$A$24,0)),0))</f>
        <v/>
      </c>
      <c r="H779" s="17" t="str">
        <f aca="false">IF(F779="","",G779-E779)</f>
        <v/>
      </c>
      <c r="I779" s="18" t="str">
        <f aca="true">IF(F779="","",F779-TODAY())</f>
        <v/>
      </c>
      <c r="J779" s="19" t="str">
        <f aca="true">IF(F779="","",IF(TODAY()&lt;D779,"Başlamadı",IF(TODAY()&gt;F779,"Bitti",IF(F779-TODAY()&lt;=7,"Bitiyor","Aktif"))))</f>
        <v/>
      </c>
      <c r="K779" s="19" t="str">
        <f aca="false">IF(OR(J779="Aktif",J779="Bitiyor"),F779+ROW()/1000000,"")</f>
        <v/>
      </c>
    </row>
    <row r="780" customFormat="false" ht="15" hidden="false" customHeight="false" outlineLevel="0" collapsed="false">
      <c r="A780" s="12"/>
      <c r="B780" s="12"/>
      <c r="C780" s="13"/>
      <c r="D780" s="14"/>
      <c r="E780" s="15"/>
      <c r="F780" s="16" t="str">
        <f aca="false">IF(OR(C780="",D780=""),"",EDATE(D780,IFERROR(INDEX(Paketler!$B$5:$B$24,MATCH(C780,Paketler!$A$5:$A$24,0)),0))-1)</f>
        <v/>
      </c>
      <c r="G780" s="17" t="str">
        <f aca="false">IF(F780="","",IFERROR(INDEX(Paketler!$C$5:$C$24,MATCH(C780,Paketler!$A$5:$A$24,0)),0))</f>
        <v/>
      </c>
      <c r="H780" s="17" t="str">
        <f aca="false">IF(F780="","",G780-E780)</f>
        <v/>
      </c>
      <c r="I780" s="18" t="str">
        <f aca="true">IF(F780="","",F780-TODAY())</f>
        <v/>
      </c>
      <c r="J780" s="19" t="str">
        <f aca="true">IF(F780="","",IF(TODAY()&lt;D780,"Başlamadı",IF(TODAY()&gt;F780,"Bitti",IF(F780-TODAY()&lt;=7,"Bitiyor","Aktif"))))</f>
        <v/>
      </c>
      <c r="K780" s="19" t="str">
        <f aca="false">IF(OR(J780="Aktif",J780="Bitiyor"),F780+ROW()/1000000,"")</f>
        <v/>
      </c>
    </row>
    <row r="781" customFormat="false" ht="15" hidden="false" customHeight="false" outlineLevel="0" collapsed="false">
      <c r="A781" s="12"/>
      <c r="B781" s="12"/>
      <c r="C781" s="13"/>
      <c r="D781" s="14"/>
      <c r="E781" s="15"/>
      <c r="F781" s="16" t="str">
        <f aca="false">IF(OR(C781="",D781=""),"",EDATE(D781,IFERROR(INDEX(Paketler!$B$5:$B$24,MATCH(C781,Paketler!$A$5:$A$24,0)),0))-1)</f>
        <v/>
      </c>
      <c r="G781" s="17" t="str">
        <f aca="false">IF(F781="","",IFERROR(INDEX(Paketler!$C$5:$C$24,MATCH(C781,Paketler!$A$5:$A$24,0)),0))</f>
        <v/>
      </c>
      <c r="H781" s="17" t="str">
        <f aca="false">IF(F781="","",G781-E781)</f>
        <v/>
      </c>
      <c r="I781" s="18" t="str">
        <f aca="true">IF(F781="","",F781-TODAY())</f>
        <v/>
      </c>
      <c r="J781" s="19" t="str">
        <f aca="true">IF(F781="","",IF(TODAY()&lt;D781,"Başlamadı",IF(TODAY()&gt;F781,"Bitti",IF(F781-TODAY()&lt;=7,"Bitiyor","Aktif"))))</f>
        <v/>
      </c>
      <c r="K781" s="19" t="str">
        <f aca="false">IF(OR(J781="Aktif",J781="Bitiyor"),F781+ROW()/1000000,"")</f>
        <v/>
      </c>
    </row>
    <row r="782" customFormat="false" ht="15" hidden="false" customHeight="false" outlineLevel="0" collapsed="false">
      <c r="A782" s="12"/>
      <c r="B782" s="12"/>
      <c r="C782" s="13"/>
      <c r="D782" s="14"/>
      <c r="E782" s="15"/>
      <c r="F782" s="16" t="str">
        <f aca="false">IF(OR(C782="",D782=""),"",EDATE(D782,IFERROR(INDEX(Paketler!$B$5:$B$24,MATCH(C782,Paketler!$A$5:$A$24,0)),0))-1)</f>
        <v/>
      </c>
      <c r="G782" s="17" t="str">
        <f aca="false">IF(F782="","",IFERROR(INDEX(Paketler!$C$5:$C$24,MATCH(C782,Paketler!$A$5:$A$24,0)),0))</f>
        <v/>
      </c>
      <c r="H782" s="17" t="str">
        <f aca="false">IF(F782="","",G782-E782)</f>
        <v/>
      </c>
      <c r="I782" s="18" t="str">
        <f aca="true">IF(F782="","",F782-TODAY())</f>
        <v/>
      </c>
      <c r="J782" s="19" t="str">
        <f aca="true">IF(F782="","",IF(TODAY()&lt;D782,"Başlamadı",IF(TODAY()&gt;F782,"Bitti",IF(F782-TODAY()&lt;=7,"Bitiyor","Aktif"))))</f>
        <v/>
      </c>
      <c r="K782" s="19" t="str">
        <f aca="false">IF(OR(J782="Aktif",J782="Bitiyor"),F782+ROW()/1000000,"")</f>
        <v/>
      </c>
    </row>
    <row r="783" customFormat="false" ht="15" hidden="false" customHeight="false" outlineLevel="0" collapsed="false">
      <c r="A783" s="12"/>
      <c r="B783" s="12"/>
      <c r="C783" s="13"/>
      <c r="D783" s="14"/>
      <c r="E783" s="15"/>
      <c r="F783" s="16" t="str">
        <f aca="false">IF(OR(C783="",D783=""),"",EDATE(D783,IFERROR(INDEX(Paketler!$B$5:$B$24,MATCH(C783,Paketler!$A$5:$A$24,0)),0))-1)</f>
        <v/>
      </c>
      <c r="G783" s="17" t="str">
        <f aca="false">IF(F783="","",IFERROR(INDEX(Paketler!$C$5:$C$24,MATCH(C783,Paketler!$A$5:$A$24,0)),0))</f>
        <v/>
      </c>
      <c r="H783" s="17" t="str">
        <f aca="false">IF(F783="","",G783-E783)</f>
        <v/>
      </c>
      <c r="I783" s="18" t="str">
        <f aca="true">IF(F783="","",F783-TODAY())</f>
        <v/>
      </c>
      <c r="J783" s="19" t="str">
        <f aca="true">IF(F783="","",IF(TODAY()&lt;D783,"Başlamadı",IF(TODAY()&gt;F783,"Bitti",IF(F783-TODAY()&lt;=7,"Bitiyor","Aktif"))))</f>
        <v/>
      </c>
      <c r="K783" s="19" t="str">
        <f aca="false">IF(OR(J783="Aktif",J783="Bitiyor"),F783+ROW()/1000000,"")</f>
        <v/>
      </c>
    </row>
    <row r="784" customFormat="false" ht="15" hidden="false" customHeight="false" outlineLevel="0" collapsed="false">
      <c r="A784" s="12"/>
      <c r="B784" s="12"/>
      <c r="C784" s="13"/>
      <c r="D784" s="14"/>
      <c r="E784" s="15"/>
      <c r="F784" s="16" t="str">
        <f aca="false">IF(OR(C784="",D784=""),"",EDATE(D784,IFERROR(INDEX(Paketler!$B$5:$B$24,MATCH(C784,Paketler!$A$5:$A$24,0)),0))-1)</f>
        <v/>
      </c>
      <c r="G784" s="17" t="str">
        <f aca="false">IF(F784="","",IFERROR(INDEX(Paketler!$C$5:$C$24,MATCH(C784,Paketler!$A$5:$A$24,0)),0))</f>
        <v/>
      </c>
      <c r="H784" s="17" t="str">
        <f aca="false">IF(F784="","",G784-E784)</f>
        <v/>
      </c>
      <c r="I784" s="18" t="str">
        <f aca="true">IF(F784="","",F784-TODAY())</f>
        <v/>
      </c>
      <c r="J784" s="19" t="str">
        <f aca="true">IF(F784="","",IF(TODAY()&lt;D784,"Başlamadı",IF(TODAY()&gt;F784,"Bitti",IF(F784-TODAY()&lt;=7,"Bitiyor","Aktif"))))</f>
        <v/>
      </c>
      <c r="K784" s="19" t="str">
        <f aca="false">IF(OR(J784="Aktif",J784="Bitiyor"),F784+ROW()/1000000,"")</f>
        <v/>
      </c>
    </row>
    <row r="785" customFormat="false" ht="15" hidden="false" customHeight="false" outlineLevel="0" collapsed="false">
      <c r="A785" s="12"/>
      <c r="B785" s="12"/>
      <c r="C785" s="13"/>
      <c r="D785" s="14"/>
      <c r="E785" s="15"/>
      <c r="F785" s="16" t="str">
        <f aca="false">IF(OR(C785="",D785=""),"",EDATE(D785,IFERROR(INDEX(Paketler!$B$5:$B$24,MATCH(C785,Paketler!$A$5:$A$24,0)),0))-1)</f>
        <v/>
      </c>
      <c r="G785" s="17" t="str">
        <f aca="false">IF(F785="","",IFERROR(INDEX(Paketler!$C$5:$C$24,MATCH(C785,Paketler!$A$5:$A$24,0)),0))</f>
        <v/>
      </c>
      <c r="H785" s="17" t="str">
        <f aca="false">IF(F785="","",G785-E785)</f>
        <v/>
      </c>
      <c r="I785" s="18" t="str">
        <f aca="true">IF(F785="","",F785-TODAY())</f>
        <v/>
      </c>
      <c r="J785" s="19" t="str">
        <f aca="true">IF(F785="","",IF(TODAY()&lt;D785,"Başlamadı",IF(TODAY()&gt;F785,"Bitti",IF(F785-TODAY()&lt;=7,"Bitiyor","Aktif"))))</f>
        <v/>
      </c>
      <c r="K785" s="19" t="str">
        <f aca="false">IF(OR(J785="Aktif",J785="Bitiyor"),F785+ROW()/1000000,"")</f>
        <v/>
      </c>
    </row>
    <row r="786" customFormat="false" ht="15" hidden="false" customHeight="false" outlineLevel="0" collapsed="false">
      <c r="A786" s="12"/>
      <c r="B786" s="12"/>
      <c r="C786" s="13"/>
      <c r="D786" s="14"/>
      <c r="E786" s="15"/>
      <c r="F786" s="16" t="str">
        <f aca="false">IF(OR(C786="",D786=""),"",EDATE(D786,IFERROR(INDEX(Paketler!$B$5:$B$24,MATCH(C786,Paketler!$A$5:$A$24,0)),0))-1)</f>
        <v/>
      </c>
      <c r="G786" s="17" t="str">
        <f aca="false">IF(F786="","",IFERROR(INDEX(Paketler!$C$5:$C$24,MATCH(C786,Paketler!$A$5:$A$24,0)),0))</f>
        <v/>
      </c>
      <c r="H786" s="17" t="str">
        <f aca="false">IF(F786="","",G786-E786)</f>
        <v/>
      </c>
      <c r="I786" s="18" t="str">
        <f aca="true">IF(F786="","",F786-TODAY())</f>
        <v/>
      </c>
      <c r="J786" s="19" t="str">
        <f aca="true">IF(F786="","",IF(TODAY()&lt;D786,"Başlamadı",IF(TODAY()&gt;F786,"Bitti",IF(F786-TODAY()&lt;=7,"Bitiyor","Aktif"))))</f>
        <v/>
      </c>
      <c r="K786" s="19" t="str">
        <f aca="false">IF(OR(J786="Aktif",J786="Bitiyor"),F786+ROW()/1000000,"")</f>
        <v/>
      </c>
    </row>
    <row r="787" customFormat="false" ht="15" hidden="false" customHeight="false" outlineLevel="0" collapsed="false">
      <c r="A787" s="12"/>
      <c r="B787" s="12"/>
      <c r="C787" s="13"/>
      <c r="D787" s="14"/>
      <c r="E787" s="15"/>
      <c r="F787" s="16" t="str">
        <f aca="false">IF(OR(C787="",D787=""),"",EDATE(D787,IFERROR(INDEX(Paketler!$B$5:$B$24,MATCH(C787,Paketler!$A$5:$A$24,0)),0))-1)</f>
        <v/>
      </c>
      <c r="G787" s="17" t="str">
        <f aca="false">IF(F787="","",IFERROR(INDEX(Paketler!$C$5:$C$24,MATCH(C787,Paketler!$A$5:$A$24,0)),0))</f>
        <v/>
      </c>
      <c r="H787" s="17" t="str">
        <f aca="false">IF(F787="","",G787-E787)</f>
        <v/>
      </c>
      <c r="I787" s="18" t="str">
        <f aca="true">IF(F787="","",F787-TODAY())</f>
        <v/>
      </c>
      <c r="J787" s="19" t="str">
        <f aca="true">IF(F787="","",IF(TODAY()&lt;D787,"Başlamadı",IF(TODAY()&gt;F787,"Bitti",IF(F787-TODAY()&lt;=7,"Bitiyor","Aktif"))))</f>
        <v/>
      </c>
      <c r="K787" s="19" t="str">
        <f aca="false">IF(OR(J787="Aktif",J787="Bitiyor"),F787+ROW()/1000000,"")</f>
        <v/>
      </c>
    </row>
    <row r="788" customFormat="false" ht="15" hidden="false" customHeight="false" outlineLevel="0" collapsed="false">
      <c r="A788" s="12"/>
      <c r="B788" s="12"/>
      <c r="C788" s="13"/>
      <c r="D788" s="14"/>
      <c r="E788" s="15"/>
      <c r="F788" s="16" t="str">
        <f aca="false">IF(OR(C788="",D788=""),"",EDATE(D788,IFERROR(INDEX(Paketler!$B$5:$B$24,MATCH(C788,Paketler!$A$5:$A$24,0)),0))-1)</f>
        <v/>
      </c>
      <c r="G788" s="17" t="str">
        <f aca="false">IF(F788="","",IFERROR(INDEX(Paketler!$C$5:$C$24,MATCH(C788,Paketler!$A$5:$A$24,0)),0))</f>
        <v/>
      </c>
      <c r="H788" s="17" t="str">
        <f aca="false">IF(F788="","",G788-E788)</f>
        <v/>
      </c>
      <c r="I788" s="18" t="str">
        <f aca="true">IF(F788="","",F788-TODAY())</f>
        <v/>
      </c>
      <c r="J788" s="19" t="str">
        <f aca="true">IF(F788="","",IF(TODAY()&lt;D788,"Başlamadı",IF(TODAY()&gt;F788,"Bitti",IF(F788-TODAY()&lt;=7,"Bitiyor","Aktif"))))</f>
        <v/>
      </c>
      <c r="K788" s="19" t="str">
        <f aca="false">IF(OR(J788="Aktif",J788="Bitiyor"),F788+ROW()/1000000,"")</f>
        <v/>
      </c>
    </row>
    <row r="789" customFormat="false" ht="15" hidden="false" customHeight="false" outlineLevel="0" collapsed="false">
      <c r="A789" s="12"/>
      <c r="B789" s="12"/>
      <c r="C789" s="13"/>
      <c r="D789" s="14"/>
      <c r="E789" s="15"/>
      <c r="F789" s="16" t="str">
        <f aca="false">IF(OR(C789="",D789=""),"",EDATE(D789,IFERROR(INDEX(Paketler!$B$5:$B$24,MATCH(C789,Paketler!$A$5:$A$24,0)),0))-1)</f>
        <v/>
      </c>
      <c r="G789" s="17" t="str">
        <f aca="false">IF(F789="","",IFERROR(INDEX(Paketler!$C$5:$C$24,MATCH(C789,Paketler!$A$5:$A$24,0)),0))</f>
        <v/>
      </c>
      <c r="H789" s="17" t="str">
        <f aca="false">IF(F789="","",G789-E789)</f>
        <v/>
      </c>
      <c r="I789" s="18" t="str">
        <f aca="true">IF(F789="","",F789-TODAY())</f>
        <v/>
      </c>
      <c r="J789" s="19" t="str">
        <f aca="true">IF(F789="","",IF(TODAY()&lt;D789,"Başlamadı",IF(TODAY()&gt;F789,"Bitti",IF(F789-TODAY()&lt;=7,"Bitiyor","Aktif"))))</f>
        <v/>
      </c>
      <c r="K789" s="19" t="str">
        <f aca="false">IF(OR(J789="Aktif",J789="Bitiyor"),F789+ROW()/1000000,"")</f>
        <v/>
      </c>
    </row>
    <row r="790" customFormat="false" ht="15" hidden="false" customHeight="false" outlineLevel="0" collapsed="false">
      <c r="A790" s="12"/>
      <c r="B790" s="12"/>
      <c r="C790" s="13"/>
      <c r="D790" s="14"/>
      <c r="E790" s="15"/>
      <c r="F790" s="16" t="str">
        <f aca="false">IF(OR(C790="",D790=""),"",EDATE(D790,IFERROR(INDEX(Paketler!$B$5:$B$24,MATCH(C790,Paketler!$A$5:$A$24,0)),0))-1)</f>
        <v/>
      </c>
      <c r="G790" s="17" t="str">
        <f aca="false">IF(F790="","",IFERROR(INDEX(Paketler!$C$5:$C$24,MATCH(C790,Paketler!$A$5:$A$24,0)),0))</f>
        <v/>
      </c>
      <c r="H790" s="17" t="str">
        <f aca="false">IF(F790="","",G790-E790)</f>
        <v/>
      </c>
      <c r="I790" s="18" t="str">
        <f aca="true">IF(F790="","",F790-TODAY())</f>
        <v/>
      </c>
      <c r="J790" s="19" t="str">
        <f aca="true">IF(F790="","",IF(TODAY()&lt;D790,"Başlamadı",IF(TODAY()&gt;F790,"Bitti",IF(F790-TODAY()&lt;=7,"Bitiyor","Aktif"))))</f>
        <v/>
      </c>
      <c r="K790" s="19" t="str">
        <f aca="false">IF(OR(J790="Aktif",J790="Bitiyor"),F790+ROW()/1000000,"")</f>
        <v/>
      </c>
    </row>
    <row r="791" customFormat="false" ht="15" hidden="false" customHeight="false" outlineLevel="0" collapsed="false">
      <c r="A791" s="12"/>
      <c r="B791" s="12"/>
      <c r="C791" s="13"/>
      <c r="D791" s="14"/>
      <c r="E791" s="15"/>
      <c r="F791" s="16" t="str">
        <f aca="false">IF(OR(C791="",D791=""),"",EDATE(D791,IFERROR(INDEX(Paketler!$B$5:$B$24,MATCH(C791,Paketler!$A$5:$A$24,0)),0))-1)</f>
        <v/>
      </c>
      <c r="G791" s="17" t="str">
        <f aca="false">IF(F791="","",IFERROR(INDEX(Paketler!$C$5:$C$24,MATCH(C791,Paketler!$A$5:$A$24,0)),0))</f>
        <v/>
      </c>
      <c r="H791" s="17" t="str">
        <f aca="false">IF(F791="","",G791-E791)</f>
        <v/>
      </c>
      <c r="I791" s="18" t="str">
        <f aca="true">IF(F791="","",F791-TODAY())</f>
        <v/>
      </c>
      <c r="J791" s="19" t="str">
        <f aca="true">IF(F791="","",IF(TODAY()&lt;D791,"Başlamadı",IF(TODAY()&gt;F791,"Bitti",IF(F791-TODAY()&lt;=7,"Bitiyor","Aktif"))))</f>
        <v/>
      </c>
      <c r="K791" s="19" t="str">
        <f aca="false">IF(OR(J791="Aktif",J791="Bitiyor"),F791+ROW()/1000000,"")</f>
        <v/>
      </c>
    </row>
    <row r="792" customFormat="false" ht="15" hidden="false" customHeight="false" outlineLevel="0" collapsed="false">
      <c r="A792" s="12"/>
      <c r="B792" s="12"/>
      <c r="C792" s="13"/>
      <c r="D792" s="14"/>
      <c r="E792" s="15"/>
      <c r="F792" s="16" t="str">
        <f aca="false">IF(OR(C792="",D792=""),"",EDATE(D792,IFERROR(INDEX(Paketler!$B$5:$B$24,MATCH(C792,Paketler!$A$5:$A$24,0)),0))-1)</f>
        <v/>
      </c>
      <c r="G792" s="17" t="str">
        <f aca="false">IF(F792="","",IFERROR(INDEX(Paketler!$C$5:$C$24,MATCH(C792,Paketler!$A$5:$A$24,0)),0))</f>
        <v/>
      </c>
      <c r="H792" s="17" t="str">
        <f aca="false">IF(F792="","",G792-E792)</f>
        <v/>
      </c>
      <c r="I792" s="18" t="str">
        <f aca="true">IF(F792="","",F792-TODAY())</f>
        <v/>
      </c>
      <c r="J792" s="19" t="str">
        <f aca="true">IF(F792="","",IF(TODAY()&lt;D792,"Başlamadı",IF(TODAY()&gt;F792,"Bitti",IF(F792-TODAY()&lt;=7,"Bitiyor","Aktif"))))</f>
        <v/>
      </c>
      <c r="K792" s="19" t="str">
        <f aca="false">IF(OR(J792="Aktif",J792="Bitiyor"),F792+ROW()/1000000,"")</f>
        <v/>
      </c>
    </row>
    <row r="793" customFormat="false" ht="15" hidden="false" customHeight="false" outlineLevel="0" collapsed="false">
      <c r="A793" s="12"/>
      <c r="B793" s="12"/>
      <c r="C793" s="13"/>
      <c r="D793" s="14"/>
      <c r="E793" s="15"/>
      <c r="F793" s="16" t="str">
        <f aca="false">IF(OR(C793="",D793=""),"",EDATE(D793,IFERROR(INDEX(Paketler!$B$5:$B$24,MATCH(C793,Paketler!$A$5:$A$24,0)),0))-1)</f>
        <v/>
      </c>
      <c r="G793" s="17" t="str">
        <f aca="false">IF(F793="","",IFERROR(INDEX(Paketler!$C$5:$C$24,MATCH(C793,Paketler!$A$5:$A$24,0)),0))</f>
        <v/>
      </c>
      <c r="H793" s="17" t="str">
        <f aca="false">IF(F793="","",G793-E793)</f>
        <v/>
      </c>
      <c r="I793" s="18" t="str">
        <f aca="true">IF(F793="","",F793-TODAY())</f>
        <v/>
      </c>
      <c r="J793" s="19" t="str">
        <f aca="true">IF(F793="","",IF(TODAY()&lt;D793,"Başlamadı",IF(TODAY()&gt;F793,"Bitti",IF(F793-TODAY()&lt;=7,"Bitiyor","Aktif"))))</f>
        <v/>
      </c>
      <c r="K793" s="19" t="str">
        <f aca="false">IF(OR(J793="Aktif",J793="Bitiyor"),F793+ROW()/1000000,"")</f>
        <v/>
      </c>
    </row>
    <row r="794" customFormat="false" ht="15" hidden="false" customHeight="false" outlineLevel="0" collapsed="false">
      <c r="A794" s="12"/>
      <c r="B794" s="12"/>
      <c r="C794" s="13"/>
      <c r="D794" s="14"/>
      <c r="E794" s="15"/>
      <c r="F794" s="16" t="str">
        <f aca="false">IF(OR(C794="",D794=""),"",EDATE(D794,IFERROR(INDEX(Paketler!$B$5:$B$24,MATCH(C794,Paketler!$A$5:$A$24,0)),0))-1)</f>
        <v/>
      </c>
      <c r="G794" s="17" t="str">
        <f aca="false">IF(F794="","",IFERROR(INDEX(Paketler!$C$5:$C$24,MATCH(C794,Paketler!$A$5:$A$24,0)),0))</f>
        <v/>
      </c>
      <c r="H794" s="17" t="str">
        <f aca="false">IF(F794="","",G794-E794)</f>
        <v/>
      </c>
      <c r="I794" s="18" t="str">
        <f aca="true">IF(F794="","",F794-TODAY())</f>
        <v/>
      </c>
      <c r="J794" s="19" t="str">
        <f aca="true">IF(F794="","",IF(TODAY()&lt;D794,"Başlamadı",IF(TODAY()&gt;F794,"Bitti",IF(F794-TODAY()&lt;=7,"Bitiyor","Aktif"))))</f>
        <v/>
      </c>
      <c r="K794" s="19" t="str">
        <f aca="false">IF(OR(J794="Aktif",J794="Bitiyor"),F794+ROW()/1000000,"")</f>
        <v/>
      </c>
    </row>
    <row r="795" customFormat="false" ht="15" hidden="false" customHeight="false" outlineLevel="0" collapsed="false">
      <c r="A795" s="12"/>
      <c r="B795" s="12"/>
      <c r="C795" s="13"/>
      <c r="D795" s="14"/>
      <c r="E795" s="15"/>
      <c r="F795" s="16" t="str">
        <f aca="false">IF(OR(C795="",D795=""),"",EDATE(D795,IFERROR(INDEX(Paketler!$B$5:$B$24,MATCH(C795,Paketler!$A$5:$A$24,0)),0))-1)</f>
        <v/>
      </c>
      <c r="G795" s="17" t="str">
        <f aca="false">IF(F795="","",IFERROR(INDEX(Paketler!$C$5:$C$24,MATCH(C795,Paketler!$A$5:$A$24,0)),0))</f>
        <v/>
      </c>
      <c r="H795" s="17" t="str">
        <f aca="false">IF(F795="","",G795-E795)</f>
        <v/>
      </c>
      <c r="I795" s="18" t="str">
        <f aca="true">IF(F795="","",F795-TODAY())</f>
        <v/>
      </c>
      <c r="J795" s="19" t="str">
        <f aca="true">IF(F795="","",IF(TODAY()&lt;D795,"Başlamadı",IF(TODAY()&gt;F795,"Bitti",IF(F795-TODAY()&lt;=7,"Bitiyor","Aktif"))))</f>
        <v/>
      </c>
      <c r="K795" s="19" t="str">
        <f aca="false">IF(OR(J795="Aktif",J795="Bitiyor"),F795+ROW()/1000000,"")</f>
        <v/>
      </c>
    </row>
    <row r="796" customFormat="false" ht="15" hidden="false" customHeight="false" outlineLevel="0" collapsed="false">
      <c r="A796" s="12"/>
      <c r="B796" s="12"/>
      <c r="C796" s="13"/>
      <c r="D796" s="14"/>
      <c r="E796" s="15"/>
      <c r="F796" s="16" t="str">
        <f aca="false">IF(OR(C796="",D796=""),"",EDATE(D796,IFERROR(INDEX(Paketler!$B$5:$B$24,MATCH(C796,Paketler!$A$5:$A$24,0)),0))-1)</f>
        <v/>
      </c>
      <c r="G796" s="17" t="str">
        <f aca="false">IF(F796="","",IFERROR(INDEX(Paketler!$C$5:$C$24,MATCH(C796,Paketler!$A$5:$A$24,0)),0))</f>
        <v/>
      </c>
      <c r="H796" s="17" t="str">
        <f aca="false">IF(F796="","",G796-E796)</f>
        <v/>
      </c>
      <c r="I796" s="18" t="str">
        <f aca="true">IF(F796="","",F796-TODAY())</f>
        <v/>
      </c>
      <c r="J796" s="19" t="str">
        <f aca="true">IF(F796="","",IF(TODAY()&lt;D796,"Başlamadı",IF(TODAY()&gt;F796,"Bitti",IF(F796-TODAY()&lt;=7,"Bitiyor","Aktif"))))</f>
        <v/>
      </c>
      <c r="K796" s="19" t="str">
        <f aca="false">IF(OR(J796="Aktif",J796="Bitiyor"),F796+ROW()/1000000,"")</f>
        <v/>
      </c>
    </row>
    <row r="797" customFormat="false" ht="15" hidden="false" customHeight="false" outlineLevel="0" collapsed="false">
      <c r="A797" s="12"/>
      <c r="B797" s="12"/>
      <c r="C797" s="13"/>
      <c r="D797" s="14"/>
      <c r="E797" s="15"/>
      <c r="F797" s="16" t="str">
        <f aca="false">IF(OR(C797="",D797=""),"",EDATE(D797,IFERROR(INDEX(Paketler!$B$5:$B$24,MATCH(C797,Paketler!$A$5:$A$24,0)),0))-1)</f>
        <v/>
      </c>
      <c r="G797" s="17" t="str">
        <f aca="false">IF(F797="","",IFERROR(INDEX(Paketler!$C$5:$C$24,MATCH(C797,Paketler!$A$5:$A$24,0)),0))</f>
        <v/>
      </c>
      <c r="H797" s="17" t="str">
        <f aca="false">IF(F797="","",G797-E797)</f>
        <v/>
      </c>
      <c r="I797" s="18" t="str">
        <f aca="true">IF(F797="","",F797-TODAY())</f>
        <v/>
      </c>
      <c r="J797" s="19" t="str">
        <f aca="true">IF(F797="","",IF(TODAY()&lt;D797,"Başlamadı",IF(TODAY()&gt;F797,"Bitti",IF(F797-TODAY()&lt;=7,"Bitiyor","Aktif"))))</f>
        <v/>
      </c>
      <c r="K797" s="19" t="str">
        <f aca="false">IF(OR(J797="Aktif",J797="Bitiyor"),F797+ROW()/1000000,"")</f>
        <v/>
      </c>
    </row>
    <row r="798" customFormat="false" ht="15" hidden="false" customHeight="false" outlineLevel="0" collapsed="false">
      <c r="A798" s="12"/>
      <c r="B798" s="12"/>
      <c r="C798" s="13"/>
      <c r="D798" s="14"/>
      <c r="E798" s="15"/>
      <c r="F798" s="16" t="str">
        <f aca="false">IF(OR(C798="",D798=""),"",EDATE(D798,IFERROR(INDEX(Paketler!$B$5:$B$24,MATCH(C798,Paketler!$A$5:$A$24,0)),0))-1)</f>
        <v/>
      </c>
      <c r="G798" s="17" t="str">
        <f aca="false">IF(F798="","",IFERROR(INDEX(Paketler!$C$5:$C$24,MATCH(C798,Paketler!$A$5:$A$24,0)),0))</f>
        <v/>
      </c>
      <c r="H798" s="17" t="str">
        <f aca="false">IF(F798="","",G798-E798)</f>
        <v/>
      </c>
      <c r="I798" s="18" t="str">
        <f aca="true">IF(F798="","",F798-TODAY())</f>
        <v/>
      </c>
      <c r="J798" s="19" t="str">
        <f aca="true">IF(F798="","",IF(TODAY()&lt;D798,"Başlamadı",IF(TODAY()&gt;F798,"Bitti",IF(F798-TODAY()&lt;=7,"Bitiyor","Aktif"))))</f>
        <v/>
      </c>
      <c r="K798" s="19" t="str">
        <f aca="false">IF(OR(J798="Aktif",J798="Bitiyor"),F798+ROW()/1000000,"")</f>
        <v/>
      </c>
    </row>
    <row r="799" customFormat="false" ht="15" hidden="false" customHeight="false" outlineLevel="0" collapsed="false">
      <c r="A799" s="12"/>
      <c r="B799" s="12"/>
      <c r="C799" s="13"/>
      <c r="D799" s="14"/>
      <c r="E799" s="15"/>
      <c r="F799" s="16" t="str">
        <f aca="false">IF(OR(C799="",D799=""),"",EDATE(D799,IFERROR(INDEX(Paketler!$B$5:$B$24,MATCH(C799,Paketler!$A$5:$A$24,0)),0))-1)</f>
        <v/>
      </c>
      <c r="G799" s="17" t="str">
        <f aca="false">IF(F799="","",IFERROR(INDEX(Paketler!$C$5:$C$24,MATCH(C799,Paketler!$A$5:$A$24,0)),0))</f>
        <v/>
      </c>
      <c r="H799" s="17" t="str">
        <f aca="false">IF(F799="","",G799-E799)</f>
        <v/>
      </c>
      <c r="I799" s="18" t="str">
        <f aca="true">IF(F799="","",F799-TODAY())</f>
        <v/>
      </c>
      <c r="J799" s="19" t="str">
        <f aca="true">IF(F799="","",IF(TODAY()&lt;D799,"Başlamadı",IF(TODAY()&gt;F799,"Bitti",IF(F799-TODAY()&lt;=7,"Bitiyor","Aktif"))))</f>
        <v/>
      </c>
      <c r="K799" s="19" t="str">
        <f aca="false">IF(OR(J799="Aktif",J799="Bitiyor"),F799+ROW()/1000000,"")</f>
        <v/>
      </c>
    </row>
    <row r="800" customFormat="false" ht="15" hidden="false" customHeight="false" outlineLevel="0" collapsed="false">
      <c r="A800" s="12"/>
      <c r="B800" s="12"/>
      <c r="C800" s="13"/>
      <c r="D800" s="14"/>
      <c r="E800" s="15"/>
      <c r="F800" s="16" t="str">
        <f aca="false">IF(OR(C800="",D800=""),"",EDATE(D800,IFERROR(INDEX(Paketler!$B$5:$B$24,MATCH(C800,Paketler!$A$5:$A$24,0)),0))-1)</f>
        <v/>
      </c>
      <c r="G800" s="17" t="str">
        <f aca="false">IF(F800="","",IFERROR(INDEX(Paketler!$C$5:$C$24,MATCH(C800,Paketler!$A$5:$A$24,0)),0))</f>
        <v/>
      </c>
      <c r="H800" s="17" t="str">
        <f aca="false">IF(F800="","",G800-E800)</f>
        <v/>
      </c>
      <c r="I800" s="18" t="str">
        <f aca="true">IF(F800="","",F800-TODAY())</f>
        <v/>
      </c>
      <c r="J800" s="19" t="str">
        <f aca="true">IF(F800="","",IF(TODAY()&lt;D800,"Başlamadı",IF(TODAY()&gt;F800,"Bitti",IF(F800-TODAY()&lt;=7,"Bitiyor","Aktif"))))</f>
        <v/>
      </c>
      <c r="K800" s="19" t="str">
        <f aca="false">IF(OR(J800="Aktif",J800="Bitiyor"),F800+ROW()/1000000,"")</f>
        <v/>
      </c>
    </row>
    <row r="801" customFormat="false" ht="15" hidden="false" customHeight="false" outlineLevel="0" collapsed="false">
      <c r="A801" s="12"/>
      <c r="B801" s="12"/>
      <c r="C801" s="13"/>
      <c r="D801" s="14"/>
      <c r="E801" s="15"/>
      <c r="F801" s="16" t="str">
        <f aca="false">IF(OR(C801="",D801=""),"",EDATE(D801,IFERROR(INDEX(Paketler!$B$5:$B$24,MATCH(C801,Paketler!$A$5:$A$24,0)),0))-1)</f>
        <v/>
      </c>
      <c r="G801" s="17" t="str">
        <f aca="false">IF(F801="","",IFERROR(INDEX(Paketler!$C$5:$C$24,MATCH(C801,Paketler!$A$5:$A$24,0)),0))</f>
        <v/>
      </c>
      <c r="H801" s="17" t="str">
        <f aca="false">IF(F801="","",G801-E801)</f>
        <v/>
      </c>
      <c r="I801" s="18" t="str">
        <f aca="true">IF(F801="","",F801-TODAY())</f>
        <v/>
      </c>
      <c r="J801" s="19" t="str">
        <f aca="true">IF(F801="","",IF(TODAY()&lt;D801,"Başlamadı",IF(TODAY()&gt;F801,"Bitti",IF(F801-TODAY()&lt;=7,"Bitiyor","Aktif"))))</f>
        <v/>
      </c>
      <c r="K801" s="19" t="str">
        <f aca="false">IF(OR(J801="Aktif",J801="Bitiyor"),F801+ROW()/1000000,"")</f>
        <v/>
      </c>
    </row>
    <row r="802" customFormat="false" ht="15" hidden="false" customHeight="false" outlineLevel="0" collapsed="false">
      <c r="A802" s="12"/>
      <c r="B802" s="12"/>
      <c r="C802" s="13"/>
      <c r="D802" s="14"/>
      <c r="E802" s="15"/>
      <c r="F802" s="16" t="str">
        <f aca="false">IF(OR(C802="",D802=""),"",EDATE(D802,IFERROR(INDEX(Paketler!$B$5:$B$24,MATCH(C802,Paketler!$A$5:$A$24,0)),0))-1)</f>
        <v/>
      </c>
      <c r="G802" s="17" t="str">
        <f aca="false">IF(F802="","",IFERROR(INDEX(Paketler!$C$5:$C$24,MATCH(C802,Paketler!$A$5:$A$24,0)),0))</f>
        <v/>
      </c>
      <c r="H802" s="17" t="str">
        <f aca="false">IF(F802="","",G802-E802)</f>
        <v/>
      </c>
      <c r="I802" s="18" t="str">
        <f aca="true">IF(F802="","",F802-TODAY())</f>
        <v/>
      </c>
      <c r="J802" s="19" t="str">
        <f aca="true">IF(F802="","",IF(TODAY()&lt;D802,"Başlamadı",IF(TODAY()&gt;F802,"Bitti",IF(F802-TODAY()&lt;=7,"Bitiyor","Aktif"))))</f>
        <v/>
      </c>
      <c r="K802" s="19" t="str">
        <f aca="false">IF(OR(J802="Aktif",J802="Bitiyor"),F802+ROW()/1000000,"")</f>
        <v/>
      </c>
    </row>
    <row r="803" customFormat="false" ht="15" hidden="false" customHeight="false" outlineLevel="0" collapsed="false">
      <c r="A803" s="12"/>
      <c r="B803" s="12"/>
      <c r="C803" s="13"/>
      <c r="D803" s="14"/>
      <c r="E803" s="15"/>
      <c r="F803" s="16" t="str">
        <f aca="false">IF(OR(C803="",D803=""),"",EDATE(D803,IFERROR(INDEX(Paketler!$B$5:$B$24,MATCH(C803,Paketler!$A$5:$A$24,0)),0))-1)</f>
        <v/>
      </c>
      <c r="G803" s="17" t="str">
        <f aca="false">IF(F803="","",IFERROR(INDEX(Paketler!$C$5:$C$24,MATCH(C803,Paketler!$A$5:$A$24,0)),0))</f>
        <v/>
      </c>
      <c r="H803" s="17" t="str">
        <f aca="false">IF(F803="","",G803-E803)</f>
        <v/>
      </c>
      <c r="I803" s="18" t="str">
        <f aca="true">IF(F803="","",F803-TODAY())</f>
        <v/>
      </c>
      <c r="J803" s="19" t="str">
        <f aca="true">IF(F803="","",IF(TODAY()&lt;D803,"Başlamadı",IF(TODAY()&gt;F803,"Bitti",IF(F803-TODAY()&lt;=7,"Bitiyor","Aktif"))))</f>
        <v/>
      </c>
      <c r="K803" s="19" t="str">
        <f aca="false">IF(OR(J803="Aktif",J803="Bitiyor"),F803+ROW()/1000000,"")</f>
        <v/>
      </c>
    </row>
    <row r="804" customFormat="false" ht="15" hidden="false" customHeight="false" outlineLevel="0" collapsed="false">
      <c r="A804" s="12"/>
      <c r="B804" s="12"/>
      <c r="C804" s="13"/>
      <c r="D804" s="14"/>
      <c r="E804" s="15"/>
      <c r="F804" s="16" t="str">
        <f aca="false">IF(OR(C804="",D804=""),"",EDATE(D804,IFERROR(INDEX(Paketler!$B$5:$B$24,MATCH(C804,Paketler!$A$5:$A$24,0)),0))-1)</f>
        <v/>
      </c>
      <c r="G804" s="17" t="str">
        <f aca="false">IF(F804="","",IFERROR(INDEX(Paketler!$C$5:$C$24,MATCH(C804,Paketler!$A$5:$A$24,0)),0))</f>
        <v/>
      </c>
      <c r="H804" s="17" t="str">
        <f aca="false">IF(F804="","",G804-E804)</f>
        <v/>
      </c>
      <c r="I804" s="18" t="str">
        <f aca="true">IF(F804="","",F804-TODAY())</f>
        <v/>
      </c>
      <c r="J804" s="19" t="str">
        <f aca="true">IF(F804="","",IF(TODAY()&lt;D804,"Başlamadı",IF(TODAY()&gt;F804,"Bitti",IF(F804-TODAY()&lt;=7,"Bitiyor","Aktif"))))</f>
        <v/>
      </c>
      <c r="K804" s="19" t="str">
        <f aca="false">IF(OR(J804="Aktif",J804="Bitiyor"),F804+ROW()/1000000,"")</f>
        <v/>
      </c>
    </row>
    <row r="805" customFormat="false" ht="15" hidden="false" customHeight="false" outlineLevel="0" collapsed="false">
      <c r="A805" s="12"/>
      <c r="B805" s="12"/>
      <c r="C805" s="13"/>
      <c r="D805" s="14"/>
      <c r="E805" s="15"/>
      <c r="F805" s="16" t="str">
        <f aca="false">IF(OR(C805="",D805=""),"",EDATE(D805,IFERROR(INDEX(Paketler!$B$5:$B$24,MATCH(C805,Paketler!$A$5:$A$24,0)),0))-1)</f>
        <v/>
      </c>
      <c r="G805" s="17" t="str">
        <f aca="false">IF(F805="","",IFERROR(INDEX(Paketler!$C$5:$C$24,MATCH(C805,Paketler!$A$5:$A$24,0)),0))</f>
        <v/>
      </c>
      <c r="H805" s="17" t="str">
        <f aca="false">IF(F805="","",G805-E805)</f>
        <v/>
      </c>
      <c r="I805" s="18" t="str">
        <f aca="true">IF(F805="","",F805-TODAY())</f>
        <v/>
      </c>
      <c r="J805" s="19" t="str">
        <f aca="true">IF(F805="","",IF(TODAY()&lt;D805,"Başlamadı",IF(TODAY()&gt;F805,"Bitti",IF(F805-TODAY()&lt;=7,"Bitiyor","Aktif"))))</f>
        <v/>
      </c>
      <c r="K805" s="19" t="str">
        <f aca="false">IF(OR(J805="Aktif",J805="Bitiyor"),F805+ROW()/1000000,"")</f>
        <v/>
      </c>
    </row>
    <row r="806" customFormat="false" ht="15" hidden="false" customHeight="false" outlineLevel="0" collapsed="false">
      <c r="A806" s="12"/>
      <c r="B806" s="12"/>
      <c r="C806" s="13"/>
      <c r="D806" s="14"/>
      <c r="E806" s="15"/>
      <c r="F806" s="16" t="str">
        <f aca="false">IF(OR(C806="",D806=""),"",EDATE(D806,IFERROR(INDEX(Paketler!$B$5:$B$24,MATCH(C806,Paketler!$A$5:$A$24,0)),0))-1)</f>
        <v/>
      </c>
      <c r="G806" s="17" t="str">
        <f aca="false">IF(F806="","",IFERROR(INDEX(Paketler!$C$5:$C$24,MATCH(C806,Paketler!$A$5:$A$24,0)),0))</f>
        <v/>
      </c>
      <c r="H806" s="17" t="str">
        <f aca="false">IF(F806="","",G806-E806)</f>
        <v/>
      </c>
      <c r="I806" s="18" t="str">
        <f aca="true">IF(F806="","",F806-TODAY())</f>
        <v/>
      </c>
      <c r="J806" s="19" t="str">
        <f aca="true">IF(F806="","",IF(TODAY()&lt;D806,"Başlamadı",IF(TODAY()&gt;F806,"Bitti",IF(F806-TODAY()&lt;=7,"Bitiyor","Aktif"))))</f>
        <v/>
      </c>
      <c r="K806" s="19" t="str">
        <f aca="false">IF(OR(J806="Aktif",J806="Bitiyor"),F806+ROW()/1000000,"")</f>
        <v/>
      </c>
    </row>
    <row r="807" customFormat="false" ht="15" hidden="false" customHeight="false" outlineLevel="0" collapsed="false">
      <c r="A807" s="12"/>
      <c r="B807" s="12"/>
      <c r="C807" s="13"/>
      <c r="D807" s="14"/>
      <c r="E807" s="15"/>
      <c r="F807" s="16" t="str">
        <f aca="false">IF(OR(C807="",D807=""),"",EDATE(D807,IFERROR(INDEX(Paketler!$B$5:$B$24,MATCH(C807,Paketler!$A$5:$A$24,0)),0))-1)</f>
        <v/>
      </c>
      <c r="G807" s="17" t="str">
        <f aca="false">IF(F807="","",IFERROR(INDEX(Paketler!$C$5:$C$24,MATCH(C807,Paketler!$A$5:$A$24,0)),0))</f>
        <v/>
      </c>
      <c r="H807" s="17" t="str">
        <f aca="false">IF(F807="","",G807-E807)</f>
        <v/>
      </c>
      <c r="I807" s="18" t="str">
        <f aca="true">IF(F807="","",F807-TODAY())</f>
        <v/>
      </c>
      <c r="J807" s="19" t="str">
        <f aca="true">IF(F807="","",IF(TODAY()&lt;D807,"Başlamadı",IF(TODAY()&gt;F807,"Bitti",IF(F807-TODAY()&lt;=7,"Bitiyor","Aktif"))))</f>
        <v/>
      </c>
      <c r="K807" s="19" t="str">
        <f aca="false">IF(OR(J807="Aktif",J807="Bitiyor"),F807+ROW()/1000000,"")</f>
        <v/>
      </c>
    </row>
    <row r="808" customFormat="false" ht="15" hidden="false" customHeight="false" outlineLevel="0" collapsed="false">
      <c r="A808" s="12"/>
      <c r="B808" s="12"/>
      <c r="C808" s="13"/>
      <c r="D808" s="14"/>
      <c r="E808" s="15"/>
      <c r="F808" s="16" t="str">
        <f aca="false">IF(OR(C808="",D808=""),"",EDATE(D808,IFERROR(INDEX(Paketler!$B$5:$B$24,MATCH(C808,Paketler!$A$5:$A$24,0)),0))-1)</f>
        <v/>
      </c>
      <c r="G808" s="17" t="str">
        <f aca="false">IF(F808="","",IFERROR(INDEX(Paketler!$C$5:$C$24,MATCH(C808,Paketler!$A$5:$A$24,0)),0))</f>
        <v/>
      </c>
      <c r="H808" s="17" t="str">
        <f aca="false">IF(F808="","",G808-E808)</f>
        <v/>
      </c>
      <c r="I808" s="18" t="str">
        <f aca="true">IF(F808="","",F808-TODAY())</f>
        <v/>
      </c>
      <c r="J808" s="19" t="str">
        <f aca="true">IF(F808="","",IF(TODAY()&lt;D808,"Başlamadı",IF(TODAY()&gt;F808,"Bitti",IF(F808-TODAY()&lt;=7,"Bitiyor","Aktif"))))</f>
        <v/>
      </c>
      <c r="K808" s="19" t="str">
        <f aca="false">IF(OR(J808="Aktif",J808="Bitiyor"),F808+ROW()/1000000,"")</f>
        <v/>
      </c>
    </row>
    <row r="809" customFormat="false" ht="15" hidden="false" customHeight="false" outlineLevel="0" collapsed="false">
      <c r="A809" s="12"/>
      <c r="B809" s="12"/>
      <c r="C809" s="13"/>
      <c r="D809" s="14"/>
      <c r="E809" s="15"/>
      <c r="F809" s="16" t="str">
        <f aca="false">IF(OR(C809="",D809=""),"",EDATE(D809,IFERROR(INDEX(Paketler!$B$5:$B$24,MATCH(C809,Paketler!$A$5:$A$24,0)),0))-1)</f>
        <v/>
      </c>
      <c r="G809" s="17" t="str">
        <f aca="false">IF(F809="","",IFERROR(INDEX(Paketler!$C$5:$C$24,MATCH(C809,Paketler!$A$5:$A$24,0)),0))</f>
        <v/>
      </c>
      <c r="H809" s="17" t="str">
        <f aca="false">IF(F809="","",G809-E809)</f>
        <v/>
      </c>
      <c r="I809" s="18" t="str">
        <f aca="true">IF(F809="","",F809-TODAY())</f>
        <v/>
      </c>
      <c r="J809" s="19" t="str">
        <f aca="true">IF(F809="","",IF(TODAY()&lt;D809,"Başlamadı",IF(TODAY()&gt;F809,"Bitti",IF(F809-TODAY()&lt;=7,"Bitiyor","Aktif"))))</f>
        <v/>
      </c>
      <c r="K809" s="19" t="str">
        <f aca="false">IF(OR(J809="Aktif",J809="Bitiyor"),F809+ROW()/1000000,"")</f>
        <v/>
      </c>
    </row>
    <row r="810" customFormat="false" ht="15" hidden="false" customHeight="false" outlineLevel="0" collapsed="false">
      <c r="A810" s="12"/>
      <c r="B810" s="12"/>
      <c r="C810" s="13"/>
      <c r="D810" s="14"/>
      <c r="E810" s="15"/>
      <c r="F810" s="16" t="str">
        <f aca="false">IF(OR(C810="",D810=""),"",EDATE(D810,IFERROR(INDEX(Paketler!$B$5:$B$24,MATCH(C810,Paketler!$A$5:$A$24,0)),0))-1)</f>
        <v/>
      </c>
      <c r="G810" s="17" t="str">
        <f aca="false">IF(F810="","",IFERROR(INDEX(Paketler!$C$5:$C$24,MATCH(C810,Paketler!$A$5:$A$24,0)),0))</f>
        <v/>
      </c>
      <c r="H810" s="17" t="str">
        <f aca="false">IF(F810="","",G810-E810)</f>
        <v/>
      </c>
      <c r="I810" s="18" t="str">
        <f aca="true">IF(F810="","",F810-TODAY())</f>
        <v/>
      </c>
      <c r="J810" s="19" t="str">
        <f aca="true">IF(F810="","",IF(TODAY()&lt;D810,"Başlamadı",IF(TODAY()&gt;F810,"Bitti",IF(F810-TODAY()&lt;=7,"Bitiyor","Aktif"))))</f>
        <v/>
      </c>
      <c r="K810" s="19" t="str">
        <f aca="false">IF(OR(J810="Aktif",J810="Bitiyor"),F810+ROW()/1000000,"")</f>
        <v/>
      </c>
    </row>
    <row r="811" customFormat="false" ht="15" hidden="false" customHeight="false" outlineLevel="0" collapsed="false">
      <c r="A811" s="12"/>
      <c r="B811" s="12"/>
      <c r="C811" s="13"/>
      <c r="D811" s="14"/>
      <c r="E811" s="15"/>
      <c r="F811" s="16" t="str">
        <f aca="false">IF(OR(C811="",D811=""),"",EDATE(D811,IFERROR(INDEX(Paketler!$B$5:$B$24,MATCH(C811,Paketler!$A$5:$A$24,0)),0))-1)</f>
        <v/>
      </c>
      <c r="G811" s="17" t="str">
        <f aca="false">IF(F811="","",IFERROR(INDEX(Paketler!$C$5:$C$24,MATCH(C811,Paketler!$A$5:$A$24,0)),0))</f>
        <v/>
      </c>
      <c r="H811" s="17" t="str">
        <f aca="false">IF(F811="","",G811-E811)</f>
        <v/>
      </c>
      <c r="I811" s="18" t="str">
        <f aca="true">IF(F811="","",F811-TODAY())</f>
        <v/>
      </c>
      <c r="J811" s="19" t="str">
        <f aca="true">IF(F811="","",IF(TODAY()&lt;D811,"Başlamadı",IF(TODAY()&gt;F811,"Bitti",IF(F811-TODAY()&lt;=7,"Bitiyor","Aktif"))))</f>
        <v/>
      </c>
      <c r="K811" s="19" t="str">
        <f aca="false">IF(OR(J811="Aktif",J811="Bitiyor"),F811+ROW()/1000000,"")</f>
        <v/>
      </c>
    </row>
    <row r="812" customFormat="false" ht="15" hidden="false" customHeight="false" outlineLevel="0" collapsed="false">
      <c r="A812" s="12"/>
      <c r="B812" s="12"/>
      <c r="C812" s="13"/>
      <c r="D812" s="14"/>
      <c r="E812" s="15"/>
      <c r="F812" s="16" t="str">
        <f aca="false">IF(OR(C812="",D812=""),"",EDATE(D812,IFERROR(INDEX(Paketler!$B$5:$B$24,MATCH(C812,Paketler!$A$5:$A$24,0)),0))-1)</f>
        <v/>
      </c>
      <c r="G812" s="17" t="str">
        <f aca="false">IF(F812="","",IFERROR(INDEX(Paketler!$C$5:$C$24,MATCH(C812,Paketler!$A$5:$A$24,0)),0))</f>
        <v/>
      </c>
      <c r="H812" s="17" t="str">
        <f aca="false">IF(F812="","",G812-E812)</f>
        <v/>
      </c>
      <c r="I812" s="18" t="str">
        <f aca="true">IF(F812="","",F812-TODAY())</f>
        <v/>
      </c>
      <c r="J812" s="19" t="str">
        <f aca="true">IF(F812="","",IF(TODAY()&lt;D812,"Başlamadı",IF(TODAY()&gt;F812,"Bitti",IF(F812-TODAY()&lt;=7,"Bitiyor","Aktif"))))</f>
        <v/>
      </c>
      <c r="K812" s="19" t="str">
        <f aca="false">IF(OR(J812="Aktif",J812="Bitiyor"),F812+ROW()/1000000,"")</f>
        <v/>
      </c>
    </row>
    <row r="813" customFormat="false" ht="15" hidden="false" customHeight="false" outlineLevel="0" collapsed="false">
      <c r="A813" s="12"/>
      <c r="B813" s="12"/>
      <c r="C813" s="13"/>
      <c r="D813" s="14"/>
      <c r="E813" s="15"/>
      <c r="F813" s="16" t="str">
        <f aca="false">IF(OR(C813="",D813=""),"",EDATE(D813,IFERROR(INDEX(Paketler!$B$5:$B$24,MATCH(C813,Paketler!$A$5:$A$24,0)),0))-1)</f>
        <v/>
      </c>
      <c r="G813" s="17" t="str">
        <f aca="false">IF(F813="","",IFERROR(INDEX(Paketler!$C$5:$C$24,MATCH(C813,Paketler!$A$5:$A$24,0)),0))</f>
        <v/>
      </c>
      <c r="H813" s="17" t="str">
        <f aca="false">IF(F813="","",G813-E813)</f>
        <v/>
      </c>
      <c r="I813" s="18" t="str">
        <f aca="true">IF(F813="","",F813-TODAY())</f>
        <v/>
      </c>
      <c r="J813" s="19" t="str">
        <f aca="true">IF(F813="","",IF(TODAY()&lt;D813,"Başlamadı",IF(TODAY()&gt;F813,"Bitti",IF(F813-TODAY()&lt;=7,"Bitiyor","Aktif"))))</f>
        <v/>
      </c>
      <c r="K813" s="19" t="str">
        <f aca="false">IF(OR(J813="Aktif",J813="Bitiyor"),F813+ROW()/1000000,"")</f>
        <v/>
      </c>
    </row>
    <row r="814" customFormat="false" ht="15" hidden="false" customHeight="false" outlineLevel="0" collapsed="false">
      <c r="A814" s="12"/>
      <c r="B814" s="12"/>
      <c r="C814" s="13"/>
      <c r="D814" s="14"/>
      <c r="E814" s="15"/>
      <c r="F814" s="16" t="str">
        <f aca="false">IF(OR(C814="",D814=""),"",EDATE(D814,IFERROR(INDEX(Paketler!$B$5:$B$24,MATCH(C814,Paketler!$A$5:$A$24,0)),0))-1)</f>
        <v/>
      </c>
      <c r="G814" s="17" t="str">
        <f aca="false">IF(F814="","",IFERROR(INDEX(Paketler!$C$5:$C$24,MATCH(C814,Paketler!$A$5:$A$24,0)),0))</f>
        <v/>
      </c>
      <c r="H814" s="17" t="str">
        <f aca="false">IF(F814="","",G814-E814)</f>
        <v/>
      </c>
      <c r="I814" s="18" t="str">
        <f aca="true">IF(F814="","",F814-TODAY())</f>
        <v/>
      </c>
      <c r="J814" s="19" t="str">
        <f aca="true">IF(F814="","",IF(TODAY()&lt;D814,"Başlamadı",IF(TODAY()&gt;F814,"Bitti",IF(F814-TODAY()&lt;=7,"Bitiyor","Aktif"))))</f>
        <v/>
      </c>
      <c r="K814" s="19" t="str">
        <f aca="false">IF(OR(J814="Aktif",J814="Bitiyor"),F814+ROW()/1000000,"")</f>
        <v/>
      </c>
    </row>
    <row r="815" customFormat="false" ht="15" hidden="false" customHeight="false" outlineLevel="0" collapsed="false">
      <c r="A815" s="12"/>
      <c r="B815" s="12"/>
      <c r="C815" s="13"/>
      <c r="D815" s="14"/>
      <c r="E815" s="15"/>
      <c r="F815" s="16" t="str">
        <f aca="false">IF(OR(C815="",D815=""),"",EDATE(D815,IFERROR(INDEX(Paketler!$B$5:$B$24,MATCH(C815,Paketler!$A$5:$A$24,0)),0))-1)</f>
        <v/>
      </c>
      <c r="G815" s="17" t="str">
        <f aca="false">IF(F815="","",IFERROR(INDEX(Paketler!$C$5:$C$24,MATCH(C815,Paketler!$A$5:$A$24,0)),0))</f>
        <v/>
      </c>
      <c r="H815" s="17" t="str">
        <f aca="false">IF(F815="","",G815-E815)</f>
        <v/>
      </c>
      <c r="I815" s="18" t="str">
        <f aca="true">IF(F815="","",F815-TODAY())</f>
        <v/>
      </c>
      <c r="J815" s="19" t="str">
        <f aca="true">IF(F815="","",IF(TODAY()&lt;D815,"Başlamadı",IF(TODAY()&gt;F815,"Bitti",IF(F815-TODAY()&lt;=7,"Bitiyor","Aktif"))))</f>
        <v/>
      </c>
      <c r="K815" s="19" t="str">
        <f aca="false">IF(OR(J815="Aktif",J815="Bitiyor"),F815+ROW()/1000000,"")</f>
        <v/>
      </c>
    </row>
    <row r="816" customFormat="false" ht="15" hidden="false" customHeight="false" outlineLevel="0" collapsed="false">
      <c r="A816" s="12"/>
      <c r="B816" s="12"/>
      <c r="C816" s="13"/>
      <c r="D816" s="14"/>
      <c r="E816" s="15"/>
      <c r="F816" s="16" t="str">
        <f aca="false">IF(OR(C816="",D816=""),"",EDATE(D816,IFERROR(INDEX(Paketler!$B$5:$B$24,MATCH(C816,Paketler!$A$5:$A$24,0)),0))-1)</f>
        <v/>
      </c>
      <c r="G816" s="17" t="str">
        <f aca="false">IF(F816="","",IFERROR(INDEX(Paketler!$C$5:$C$24,MATCH(C816,Paketler!$A$5:$A$24,0)),0))</f>
        <v/>
      </c>
      <c r="H816" s="17" t="str">
        <f aca="false">IF(F816="","",G816-E816)</f>
        <v/>
      </c>
      <c r="I816" s="18" t="str">
        <f aca="true">IF(F816="","",F816-TODAY())</f>
        <v/>
      </c>
      <c r="J816" s="19" t="str">
        <f aca="true">IF(F816="","",IF(TODAY()&lt;D816,"Başlamadı",IF(TODAY()&gt;F816,"Bitti",IF(F816-TODAY()&lt;=7,"Bitiyor","Aktif"))))</f>
        <v/>
      </c>
      <c r="K816" s="19" t="str">
        <f aca="false">IF(OR(J816="Aktif",J816="Bitiyor"),F816+ROW()/1000000,"")</f>
        <v/>
      </c>
    </row>
    <row r="817" customFormat="false" ht="15" hidden="false" customHeight="false" outlineLevel="0" collapsed="false">
      <c r="A817" s="12"/>
      <c r="B817" s="12"/>
      <c r="C817" s="13"/>
      <c r="D817" s="14"/>
      <c r="E817" s="15"/>
      <c r="F817" s="16" t="str">
        <f aca="false">IF(OR(C817="",D817=""),"",EDATE(D817,IFERROR(INDEX(Paketler!$B$5:$B$24,MATCH(C817,Paketler!$A$5:$A$24,0)),0))-1)</f>
        <v/>
      </c>
      <c r="G817" s="17" t="str">
        <f aca="false">IF(F817="","",IFERROR(INDEX(Paketler!$C$5:$C$24,MATCH(C817,Paketler!$A$5:$A$24,0)),0))</f>
        <v/>
      </c>
      <c r="H817" s="17" t="str">
        <f aca="false">IF(F817="","",G817-E817)</f>
        <v/>
      </c>
      <c r="I817" s="18" t="str">
        <f aca="true">IF(F817="","",F817-TODAY())</f>
        <v/>
      </c>
      <c r="J817" s="19" t="str">
        <f aca="true">IF(F817="","",IF(TODAY()&lt;D817,"Başlamadı",IF(TODAY()&gt;F817,"Bitti",IF(F817-TODAY()&lt;=7,"Bitiyor","Aktif"))))</f>
        <v/>
      </c>
      <c r="K817" s="19" t="str">
        <f aca="false">IF(OR(J817="Aktif",J817="Bitiyor"),F817+ROW()/1000000,"")</f>
        <v/>
      </c>
    </row>
    <row r="818" customFormat="false" ht="15" hidden="false" customHeight="false" outlineLevel="0" collapsed="false">
      <c r="A818" s="12"/>
      <c r="B818" s="12"/>
      <c r="C818" s="13"/>
      <c r="D818" s="14"/>
      <c r="E818" s="15"/>
      <c r="F818" s="16" t="str">
        <f aca="false">IF(OR(C818="",D818=""),"",EDATE(D818,IFERROR(INDEX(Paketler!$B$5:$B$24,MATCH(C818,Paketler!$A$5:$A$24,0)),0))-1)</f>
        <v/>
      </c>
      <c r="G818" s="17" t="str">
        <f aca="false">IF(F818="","",IFERROR(INDEX(Paketler!$C$5:$C$24,MATCH(C818,Paketler!$A$5:$A$24,0)),0))</f>
        <v/>
      </c>
      <c r="H818" s="17" t="str">
        <f aca="false">IF(F818="","",G818-E818)</f>
        <v/>
      </c>
      <c r="I818" s="18" t="str">
        <f aca="true">IF(F818="","",F818-TODAY())</f>
        <v/>
      </c>
      <c r="J818" s="19" t="str">
        <f aca="true">IF(F818="","",IF(TODAY()&lt;D818,"Başlamadı",IF(TODAY()&gt;F818,"Bitti",IF(F818-TODAY()&lt;=7,"Bitiyor","Aktif"))))</f>
        <v/>
      </c>
      <c r="K818" s="19" t="str">
        <f aca="false">IF(OR(J818="Aktif",J818="Bitiyor"),F818+ROW()/1000000,"")</f>
        <v/>
      </c>
    </row>
    <row r="819" customFormat="false" ht="15" hidden="false" customHeight="false" outlineLevel="0" collapsed="false">
      <c r="A819" s="12"/>
      <c r="B819" s="12"/>
      <c r="C819" s="13"/>
      <c r="D819" s="14"/>
      <c r="E819" s="15"/>
      <c r="F819" s="16" t="str">
        <f aca="false">IF(OR(C819="",D819=""),"",EDATE(D819,IFERROR(INDEX(Paketler!$B$5:$B$24,MATCH(C819,Paketler!$A$5:$A$24,0)),0))-1)</f>
        <v/>
      </c>
      <c r="G819" s="17" t="str">
        <f aca="false">IF(F819="","",IFERROR(INDEX(Paketler!$C$5:$C$24,MATCH(C819,Paketler!$A$5:$A$24,0)),0))</f>
        <v/>
      </c>
      <c r="H819" s="17" t="str">
        <f aca="false">IF(F819="","",G819-E819)</f>
        <v/>
      </c>
      <c r="I819" s="18" t="str">
        <f aca="true">IF(F819="","",F819-TODAY())</f>
        <v/>
      </c>
      <c r="J819" s="19" t="str">
        <f aca="true">IF(F819="","",IF(TODAY()&lt;D819,"Başlamadı",IF(TODAY()&gt;F819,"Bitti",IF(F819-TODAY()&lt;=7,"Bitiyor","Aktif"))))</f>
        <v/>
      </c>
      <c r="K819" s="19" t="str">
        <f aca="false">IF(OR(J819="Aktif",J819="Bitiyor"),F819+ROW()/1000000,"")</f>
        <v/>
      </c>
    </row>
    <row r="820" customFormat="false" ht="15" hidden="false" customHeight="false" outlineLevel="0" collapsed="false">
      <c r="A820" s="12"/>
      <c r="B820" s="12"/>
      <c r="C820" s="13"/>
      <c r="D820" s="14"/>
      <c r="E820" s="15"/>
      <c r="F820" s="16" t="str">
        <f aca="false">IF(OR(C820="",D820=""),"",EDATE(D820,IFERROR(INDEX(Paketler!$B$5:$B$24,MATCH(C820,Paketler!$A$5:$A$24,0)),0))-1)</f>
        <v/>
      </c>
      <c r="G820" s="17" t="str">
        <f aca="false">IF(F820="","",IFERROR(INDEX(Paketler!$C$5:$C$24,MATCH(C820,Paketler!$A$5:$A$24,0)),0))</f>
        <v/>
      </c>
      <c r="H820" s="17" t="str">
        <f aca="false">IF(F820="","",G820-E820)</f>
        <v/>
      </c>
      <c r="I820" s="18" t="str">
        <f aca="true">IF(F820="","",F820-TODAY())</f>
        <v/>
      </c>
      <c r="J820" s="19" t="str">
        <f aca="true">IF(F820="","",IF(TODAY()&lt;D820,"Başlamadı",IF(TODAY()&gt;F820,"Bitti",IF(F820-TODAY()&lt;=7,"Bitiyor","Aktif"))))</f>
        <v/>
      </c>
      <c r="K820" s="19" t="str">
        <f aca="false">IF(OR(J820="Aktif",J820="Bitiyor"),F820+ROW()/1000000,"")</f>
        <v/>
      </c>
    </row>
    <row r="821" customFormat="false" ht="15" hidden="false" customHeight="false" outlineLevel="0" collapsed="false">
      <c r="A821" s="12"/>
      <c r="B821" s="12"/>
      <c r="C821" s="13"/>
      <c r="D821" s="14"/>
      <c r="E821" s="15"/>
      <c r="F821" s="16" t="str">
        <f aca="false">IF(OR(C821="",D821=""),"",EDATE(D821,IFERROR(INDEX(Paketler!$B$5:$B$24,MATCH(C821,Paketler!$A$5:$A$24,0)),0))-1)</f>
        <v/>
      </c>
      <c r="G821" s="17" t="str">
        <f aca="false">IF(F821="","",IFERROR(INDEX(Paketler!$C$5:$C$24,MATCH(C821,Paketler!$A$5:$A$24,0)),0))</f>
        <v/>
      </c>
      <c r="H821" s="17" t="str">
        <f aca="false">IF(F821="","",G821-E821)</f>
        <v/>
      </c>
      <c r="I821" s="18" t="str">
        <f aca="true">IF(F821="","",F821-TODAY())</f>
        <v/>
      </c>
      <c r="J821" s="19" t="str">
        <f aca="true">IF(F821="","",IF(TODAY()&lt;D821,"Başlamadı",IF(TODAY()&gt;F821,"Bitti",IF(F821-TODAY()&lt;=7,"Bitiyor","Aktif"))))</f>
        <v/>
      </c>
      <c r="K821" s="19" t="str">
        <f aca="false">IF(OR(J821="Aktif",J821="Bitiyor"),F821+ROW()/1000000,"")</f>
        <v/>
      </c>
    </row>
    <row r="822" customFormat="false" ht="15" hidden="false" customHeight="false" outlineLevel="0" collapsed="false">
      <c r="A822" s="12"/>
      <c r="B822" s="12"/>
      <c r="C822" s="13"/>
      <c r="D822" s="14"/>
      <c r="E822" s="15"/>
      <c r="F822" s="16" t="str">
        <f aca="false">IF(OR(C822="",D822=""),"",EDATE(D822,IFERROR(INDEX(Paketler!$B$5:$B$24,MATCH(C822,Paketler!$A$5:$A$24,0)),0))-1)</f>
        <v/>
      </c>
      <c r="G822" s="17" t="str">
        <f aca="false">IF(F822="","",IFERROR(INDEX(Paketler!$C$5:$C$24,MATCH(C822,Paketler!$A$5:$A$24,0)),0))</f>
        <v/>
      </c>
      <c r="H822" s="17" t="str">
        <f aca="false">IF(F822="","",G822-E822)</f>
        <v/>
      </c>
      <c r="I822" s="18" t="str">
        <f aca="true">IF(F822="","",F822-TODAY())</f>
        <v/>
      </c>
      <c r="J822" s="19" t="str">
        <f aca="true">IF(F822="","",IF(TODAY()&lt;D822,"Başlamadı",IF(TODAY()&gt;F822,"Bitti",IF(F822-TODAY()&lt;=7,"Bitiyor","Aktif"))))</f>
        <v/>
      </c>
      <c r="K822" s="19" t="str">
        <f aca="false">IF(OR(J822="Aktif",J822="Bitiyor"),F822+ROW()/1000000,"")</f>
        <v/>
      </c>
    </row>
    <row r="823" customFormat="false" ht="15" hidden="false" customHeight="false" outlineLevel="0" collapsed="false">
      <c r="A823" s="12"/>
      <c r="B823" s="12"/>
      <c r="C823" s="13"/>
      <c r="D823" s="14"/>
      <c r="E823" s="15"/>
      <c r="F823" s="16" t="str">
        <f aca="false">IF(OR(C823="",D823=""),"",EDATE(D823,IFERROR(INDEX(Paketler!$B$5:$B$24,MATCH(C823,Paketler!$A$5:$A$24,0)),0))-1)</f>
        <v/>
      </c>
      <c r="G823" s="17" t="str">
        <f aca="false">IF(F823="","",IFERROR(INDEX(Paketler!$C$5:$C$24,MATCH(C823,Paketler!$A$5:$A$24,0)),0))</f>
        <v/>
      </c>
      <c r="H823" s="17" t="str">
        <f aca="false">IF(F823="","",G823-E823)</f>
        <v/>
      </c>
      <c r="I823" s="18" t="str">
        <f aca="true">IF(F823="","",F823-TODAY())</f>
        <v/>
      </c>
      <c r="J823" s="19" t="str">
        <f aca="true">IF(F823="","",IF(TODAY()&lt;D823,"Başlamadı",IF(TODAY()&gt;F823,"Bitti",IF(F823-TODAY()&lt;=7,"Bitiyor","Aktif"))))</f>
        <v/>
      </c>
      <c r="K823" s="19" t="str">
        <f aca="false">IF(OR(J823="Aktif",J823="Bitiyor"),F823+ROW()/1000000,"")</f>
        <v/>
      </c>
    </row>
    <row r="824" customFormat="false" ht="15" hidden="false" customHeight="false" outlineLevel="0" collapsed="false">
      <c r="A824" s="12"/>
      <c r="B824" s="12"/>
      <c r="C824" s="13"/>
      <c r="D824" s="14"/>
      <c r="E824" s="15"/>
      <c r="F824" s="16" t="str">
        <f aca="false">IF(OR(C824="",D824=""),"",EDATE(D824,IFERROR(INDEX(Paketler!$B$5:$B$24,MATCH(C824,Paketler!$A$5:$A$24,0)),0))-1)</f>
        <v/>
      </c>
      <c r="G824" s="17" t="str">
        <f aca="false">IF(F824="","",IFERROR(INDEX(Paketler!$C$5:$C$24,MATCH(C824,Paketler!$A$5:$A$24,0)),0))</f>
        <v/>
      </c>
      <c r="H824" s="17" t="str">
        <f aca="false">IF(F824="","",G824-E824)</f>
        <v/>
      </c>
      <c r="I824" s="18" t="str">
        <f aca="true">IF(F824="","",F824-TODAY())</f>
        <v/>
      </c>
      <c r="J824" s="19" t="str">
        <f aca="true">IF(F824="","",IF(TODAY()&lt;D824,"Başlamadı",IF(TODAY()&gt;F824,"Bitti",IF(F824-TODAY()&lt;=7,"Bitiyor","Aktif"))))</f>
        <v/>
      </c>
      <c r="K824" s="19" t="str">
        <f aca="false">IF(OR(J824="Aktif",J824="Bitiyor"),F824+ROW()/1000000,"")</f>
        <v/>
      </c>
    </row>
    <row r="825" customFormat="false" ht="15" hidden="false" customHeight="false" outlineLevel="0" collapsed="false">
      <c r="A825" s="12"/>
      <c r="B825" s="12"/>
      <c r="C825" s="13"/>
      <c r="D825" s="14"/>
      <c r="E825" s="15"/>
      <c r="F825" s="16" t="str">
        <f aca="false">IF(OR(C825="",D825=""),"",EDATE(D825,IFERROR(INDEX(Paketler!$B$5:$B$24,MATCH(C825,Paketler!$A$5:$A$24,0)),0))-1)</f>
        <v/>
      </c>
      <c r="G825" s="17" t="str">
        <f aca="false">IF(F825="","",IFERROR(INDEX(Paketler!$C$5:$C$24,MATCH(C825,Paketler!$A$5:$A$24,0)),0))</f>
        <v/>
      </c>
      <c r="H825" s="17" t="str">
        <f aca="false">IF(F825="","",G825-E825)</f>
        <v/>
      </c>
      <c r="I825" s="18" t="str">
        <f aca="true">IF(F825="","",F825-TODAY())</f>
        <v/>
      </c>
      <c r="J825" s="19" t="str">
        <f aca="true">IF(F825="","",IF(TODAY()&lt;D825,"Başlamadı",IF(TODAY()&gt;F825,"Bitti",IF(F825-TODAY()&lt;=7,"Bitiyor","Aktif"))))</f>
        <v/>
      </c>
      <c r="K825" s="19" t="str">
        <f aca="false">IF(OR(J825="Aktif",J825="Bitiyor"),F825+ROW()/1000000,"")</f>
        <v/>
      </c>
    </row>
    <row r="826" customFormat="false" ht="15" hidden="false" customHeight="false" outlineLevel="0" collapsed="false">
      <c r="A826" s="12"/>
      <c r="B826" s="12"/>
      <c r="C826" s="13"/>
      <c r="D826" s="14"/>
      <c r="E826" s="15"/>
      <c r="F826" s="16" t="str">
        <f aca="false">IF(OR(C826="",D826=""),"",EDATE(D826,IFERROR(INDEX(Paketler!$B$5:$B$24,MATCH(C826,Paketler!$A$5:$A$24,0)),0))-1)</f>
        <v/>
      </c>
      <c r="G826" s="17" t="str">
        <f aca="false">IF(F826="","",IFERROR(INDEX(Paketler!$C$5:$C$24,MATCH(C826,Paketler!$A$5:$A$24,0)),0))</f>
        <v/>
      </c>
      <c r="H826" s="17" t="str">
        <f aca="false">IF(F826="","",G826-E826)</f>
        <v/>
      </c>
      <c r="I826" s="18" t="str">
        <f aca="true">IF(F826="","",F826-TODAY())</f>
        <v/>
      </c>
      <c r="J826" s="19" t="str">
        <f aca="true">IF(F826="","",IF(TODAY()&lt;D826,"Başlamadı",IF(TODAY()&gt;F826,"Bitti",IF(F826-TODAY()&lt;=7,"Bitiyor","Aktif"))))</f>
        <v/>
      </c>
      <c r="K826" s="19" t="str">
        <f aca="false">IF(OR(J826="Aktif",J826="Bitiyor"),F826+ROW()/1000000,"")</f>
        <v/>
      </c>
    </row>
    <row r="827" customFormat="false" ht="15" hidden="false" customHeight="false" outlineLevel="0" collapsed="false">
      <c r="A827" s="12"/>
      <c r="B827" s="12"/>
      <c r="C827" s="13"/>
      <c r="D827" s="14"/>
      <c r="E827" s="15"/>
      <c r="F827" s="16" t="str">
        <f aca="false">IF(OR(C827="",D827=""),"",EDATE(D827,IFERROR(INDEX(Paketler!$B$5:$B$24,MATCH(C827,Paketler!$A$5:$A$24,0)),0))-1)</f>
        <v/>
      </c>
      <c r="G827" s="17" t="str">
        <f aca="false">IF(F827="","",IFERROR(INDEX(Paketler!$C$5:$C$24,MATCH(C827,Paketler!$A$5:$A$24,0)),0))</f>
        <v/>
      </c>
      <c r="H827" s="17" t="str">
        <f aca="false">IF(F827="","",G827-E827)</f>
        <v/>
      </c>
      <c r="I827" s="18" t="str">
        <f aca="true">IF(F827="","",F827-TODAY())</f>
        <v/>
      </c>
      <c r="J827" s="19" t="str">
        <f aca="true">IF(F827="","",IF(TODAY()&lt;D827,"Başlamadı",IF(TODAY()&gt;F827,"Bitti",IF(F827-TODAY()&lt;=7,"Bitiyor","Aktif"))))</f>
        <v/>
      </c>
      <c r="K827" s="19" t="str">
        <f aca="false">IF(OR(J827="Aktif",J827="Bitiyor"),F827+ROW()/1000000,"")</f>
        <v/>
      </c>
    </row>
    <row r="828" customFormat="false" ht="15" hidden="false" customHeight="false" outlineLevel="0" collapsed="false">
      <c r="A828" s="12"/>
      <c r="B828" s="12"/>
      <c r="C828" s="13"/>
      <c r="D828" s="14"/>
      <c r="E828" s="15"/>
      <c r="F828" s="16" t="str">
        <f aca="false">IF(OR(C828="",D828=""),"",EDATE(D828,IFERROR(INDEX(Paketler!$B$5:$B$24,MATCH(C828,Paketler!$A$5:$A$24,0)),0))-1)</f>
        <v/>
      </c>
      <c r="G828" s="17" t="str">
        <f aca="false">IF(F828="","",IFERROR(INDEX(Paketler!$C$5:$C$24,MATCH(C828,Paketler!$A$5:$A$24,0)),0))</f>
        <v/>
      </c>
      <c r="H828" s="17" t="str">
        <f aca="false">IF(F828="","",G828-E828)</f>
        <v/>
      </c>
      <c r="I828" s="18" t="str">
        <f aca="true">IF(F828="","",F828-TODAY())</f>
        <v/>
      </c>
      <c r="J828" s="19" t="str">
        <f aca="true">IF(F828="","",IF(TODAY()&lt;D828,"Başlamadı",IF(TODAY()&gt;F828,"Bitti",IF(F828-TODAY()&lt;=7,"Bitiyor","Aktif"))))</f>
        <v/>
      </c>
      <c r="K828" s="19" t="str">
        <f aca="false">IF(OR(J828="Aktif",J828="Bitiyor"),F828+ROW()/1000000,"")</f>
        <v/>
      </c>
    </row>
    <row r="829" customFormat="false" ht="15" hidden="false" customHeight="false" outlineLevel="0" collapsed="false">
      <c r="A829" s="12"/>
      <c r="B829" s="12"/>
      <c r="C829" s="13"/>
      <c r="D829" s="14"/>
      <c r="E829" s="15"/>
      <c r="F829" s="16" t="str">
        <f aca="false">IF(OR(C829="",D829=""),"",EDATE(D829,IFERROR(INDEX(Paketler!$B$5:$B$24,MATCH(C829,Paketler!$A$5:$A$24,0)),0))-1)</f>
        <v/>
      </c>
      <c r="G829" s="17" t="str">
        <f aca="false">IF(F829="","",IFERROR(INDEX(Paketler!$C$5:$C$24,MATCH(C829,Paketler!$A$5:$A$24,0)),0))</f>
        <v/>
      </c>
      <c r="H829" s="17" t="str">
        <f aca="false">IF(F829="","",G829-E829)</f>
        <v/>
      </c>
      <c r="I829" s="18" t="str">
        <f aca="true">IF(F829="","",F829-TODAY())</f>
        <v/>
      </c>
      <c r="J829" s="19" t="str">
        <f aca="true">IF(F829="","",IF(TODAY()&lt;D829,"Başlamadı",IF(TODAY()&gt;F829,"Bitti",IF(F829-TODAY()&lt;=7,"Bitiyor","Aktif"))))</f>
        <v/>
      </c>
      <c r="K829" s="19" t="str">
        <f aca="false">IF(OR(J829="Aktif",J829="Bitiyor"),F829+ROW()/1000000,"")</f>
        <v/>
      </c>
    </row>
    <row r="830" customFormat="false" ht="15" hidden="false" customHeight="false" outlineLevel="0" collapsed="false">
      <c r="A830" s="12"/>
      <c r="B830" s="12"/>
      <c r="C830" s="13"/>
      <c r="D830" s="14"/>
      <c r="E830" s="15"/>
      <c r="F830" s="16" t="str">
        <f aca="false">IF(OR(C830="",D830=""),"",EDATE(D830,IFERROR(INDEX(Paketler!$B$5:$B$24,MATCH(C830,Paketler!$A$5:$A$24,0)),0))-1)</f>
        <v/>
      </c>
      <c r="G830" s="17" t="str">
        <f aca="false">IF(F830="","",IFERROR(INDEX(Paketler!$C$5:$C$24,MATCH(C830,Paketler!$A$5:$A$24,0)),0))</f>
        <v/>
      </c>
      <c r="H830" s="17" t="str">
        <f aca="false">IF(F830="","",G830-E830)</f>
        <v/>
      </c>
      <c r="I830" s="18" t="str">
        <f aca="true">IF(F830="","",F830-TODAY())</f>
        <v/>
      </c>
      <c r="J830" s="19" t="str">
        <f aca="true">IF(F830="","",IF(TODAY()&lt;D830,"Başlamadı",IF(TODAY()&gt;F830,"Bitti",IF(F830-TODAY()&lt;=7,"Bitiyor","Aktif"))))</f>
        <v/>
      </c>
      <c r="K830" s="19" t="str">
        <f aca="false">IF(OR(J830="Aktif",J830="Bitiyor"),F830+ROW()/1000000,"")</f>
        <v/>
      </c>
    </row>
    <row r="831" customFormat="false" ht="15" hidden="false" customHeight="false" outlineLevel="0" collapsed="false">
      <c r="A831" s="12"/>
      <c r="B831" s="12"/>
      <c r="C831" s="13"/>
      <c r="D831" s="14"/>
      <c r="E831" s="15"/>
      <c r="F831" s="16" t="str">
        <f aca="false">IF(OR(C831="",D831=""),"",EDATE(D831,IFERROR(INDEX(Paketler!$B$5:$B$24,MATCH(C831,Paketler!$A$5:$A$24,0)),0))-1)</f>
        <v/>
      </c>
      <c r="G831" s="17" t="str">
        <f aca="false">IF(F831="","",IFERROR(INDEX(Paketler!$C$5:$C$24,MATCH(C831,Paketler!$A$5:$A$24,0)),0))</f>
        <v/>
      </c>
      <c r="H831" s="17" t="str">
        <f aca="false">IF(F831="","",G831-E831)</f>
        <v/>
      </c>
      <c r="I831" s="18" t="str">
        <f aca="true">IF(F831="","",F831-TODAY())</f>
        <v/>
      </c>
      <c r="J831" s="19" t="str">
        <f aca="true">IF(F831="","",IF(TODAY()&lt;D831,"Başlamadı",IF(TODAY()&gt;F831,"Bitti",IF(F831-TODAY()&lt;=7,"Bitiyor","Aktif"))))</f>
        <v/>
      </c>
      <c r="K831" s="19" t="str">
        <f aca="false">IF(OR(J831="Aktif",J831="Bitiyor"),F831+ROW()/1000000,"")</f>
        <v/>
      </c>
    </row>
    <row r="832" customFormat="false" ht="15" hidden="false" customHeight="false" outlineLevel="0" collapsed="false">
      <c r="A832" s="12"/>
      <c r="B832" s="12"/>
      <c r="C832" s="13"/>
      <c r="D832" s="14"/>
      <c r="E832" s="15"/>
      <c r="F832" s="16" t="str">
        <f aca="false">IF(OR(C832="",D832=""),"",EDATE(D832,IFERROR(INDEX(Paketler!$B$5:$B$24,MATCH(C832,Paketler!$A$5:$A$24,0)),0))-1)</f>
        <v/>
      </c>
      <c r="G832" s="17" t="str">
        <f aca="false">IF(F832="","",IFERROR(INDEX(Paketler!$C$5:$C$24,MATCH(C832,Paketler!$A$5:$A$24,0)),0))</f>
        <v/>
      </c>
      <c r="H832" s="17" t="str">
        <f aca="false">IF(F832="","",G832-E832)</f>
        <v/>
      </c>
      <c r="I832" s="18" t="str">
        <f aca="true">IF(F832="","",F832-TODAY())</f>
        <v/>
      </c>
      <c r="J832" s="19" t="str">
        <f aca="true">IF(F832="","",IF(TODAY()&lt;D832,"Başlamadı",IF(TODAY()&gt;F832,"Bitti",IF(F832-TODAY()&lt;=7,"Bitiyor","Aktif"))))</f>
        <v/>
      </c>
      <c r="K832" s="19" t="str">
        <f aca="false">IF(OR(J832="Aktif",J832="Bitiyor"),F832+ROW()/1000000,"")</f>
        <v/>
      </c>
    </row>
    <row r="833" customFormat="false" ht="15" hidden="false" customHeight="false" outlineLevel="0" collapsed="false">
      <c r="A833" s="12"/>
      <c r="B833" s="12"/>
      <c r="C833" s="13"/>
      <c r="D833" s="14"/>
      <c r="E833" s="15"/>
      <c r="F833" s="16" t="str">
        <f aca="false">IF(OR(C833="",D833=""),"",EDATE(D833,IFERROR(INDEX(Paketler!$B$5:$B$24,MATCH(C833,Paketler!$A$5:$A$24,0)),0))-1)</f>
        <v/>
      </c>
      <c r="G833" s="17" t="str">
        <f aca="false">IF(F833="","",IFERROR(INDEX(Paketler!$C$5:$C$24,MATCH(C833,Paketler!$A$5:$A$24,0)),0))</f>
        <v/>
      </c>
      <c r="H833" s="17" t="str">
        <f aca="false">IF(F833="","",G833-E833)</f>
        <v/>
      </c>
      <c r="I833" s="18" t="str">
        <f aca="true">IF(F833="","",F833-TODAY())</f>
        <v/>
      </c>
      <c r="J833" s="19" t="str">
        <f aca="true">IF(F833="","",IF(TODAY()&lt;D833,"Başlamadı",IF(TODAY()&gt;F833,"Bitti",IF(F833-TODAY()&lt;=7,"Bitiyor","Aktif"))))</f>
        <v/>
      </c>
      <c r="K833" s="19" t="str">
        <f aca="false">IF(OR(J833="Aktif",J833="Bitiyor"),F833+ROW()/1000000,"")</f>
        <v/>
      </c>
    </row>
    <row r="834" customFormat="false" ht="15" hidden="false" customHeight="false" outlineLevel="0" collapsed="false">
      <c r="A834" s="12"/>
      <c r="B834" s="12"/>
      <c r="C834" s="13"/>
      <c r="D834" s="14"/>
      <c r="E834" s="15"/>
      <c r="F834" s="16" t="str">
        <f aca="false">IF(OR(C834="",D834=""),"",EDATE(D834,IFERROR(INDEX(Paketler!$B$5:$B$24,MATCH(C834,Paketler!$A$5:$A$24,0)),0))-1)</f>
        <v/>
      </c>
      <c r="G834" s="17" t="str">
        <f aca="false">IF(F834="","",IFERROR(INDEX(Paketler!$C$5:$C$24,MATCH(C834,Paketler!$A$5:$A$24,0)),0))</f>
        <v/>
      </c>
      <c r="H834" s="17" t="str">
        <f aca="false">IF(F834="","",G834-E834)</f>
        <v/>
      </c>
      <c r="I834" s="18" t="str">
        <f aca="true">IF(F834="","",F834-TODAY())</f>
        <v/>
      </c>
      <c r="J834" s="19" t="str">
        <f aca="true">IF(F834="","",IF(TODAY()&lt;D834,"Başlamadı",IF(TODAY()&gt;F834,"Bitti",IF(F834-TODAY()&lt;=7,"Bitiyor","Aktif"))))</f>
        <v/>
      </c>
      <c r="K834" s="19" t="str">
        <f aca="false">IF(OR(J834="Aktif",J834="Bitiyor"),F834+ROW()/1000000,"")</f>
        <v/>
      </c>
    </row>
    <row r="835" customFormat="false" ht="15" hidden="false" customHeight="false" outlineLevel="0" collapsed="false">
      <c r="A835" s="12"/>
      <c r="B835" s="12"/>
      <c r="C835" s="13"/>
      <c r="D835" s="14"/>
      <c r="E835" s="15"/>
      <c r="F835" s="16" t="str">
        <f aca="false">IF(OR(C835="",D835=""),"",EDATE(D835,IFERROR(INDEX(Paketler!$B$5:$B$24,MATCH(C835,Paketler!$A$5:$A$24,0)),0))-1)</f>
        <v/>
      </c>
      <c r="G835" s="17" t="str">
        <f aca="false">IF(F835="","",IFERROR(INDEX(Paketler!$C$5:$C$24,MATCH(C835,Paketler!$A$5:$A$24,0)),0))</f>
        <v/>
      </c>
      <c r="H835" s="17" t="str">
        <f aca="false">IF(F835="","",G835-E835)</f>
        <v/>
      </c>
      <c r="I835" s="18" t="str">
        <f aca="true">IF(F835="","",F835-TODAY())</f>
        <v/>
      </c>
      <c r="J835" s="19" t="str">
        <f aca="true">IF(F835="","",IF(TODAY()&lt;D835,"Başlamadı",IF(TODAY()&gt;F835,"Bitti",IF(F835-TODAY()&lt;=7,"Bitiyor","Aktif"))))</f>
        <v/>
      </c>
      <c r="K835" s="19" t="str">
        <f aca="false">IF(OR(J835="Aktif",J835="Bitiyor"),F835+ROW()/1000000,"")</f>
        <v/>
      </c>
    </row>
    <row r="836" customFormat="false" ht="15" hidden="false" customHeight="false" outlineLevel="0" collapsed="false">
      <c r="A836" s="12"/>
      <c r="B836" s="12"/>
      <c r="C836" s="13"/>
      <c r="D836" s="14"/>
      <c r="E836" s="15"/>
      <c r="F836" s="16" t="str">
        <f aca="false">IF(OR(C836="",D836=""),"",EDATE(D836,IFERROR(INDEX(Paketler!$B$5:$B$24,MATCH(C836,Paketler!$A$5:$A$24,0)),0))-1)</f>
        <v/>
      </c>
      <c r="G836" s="17" t="str">
        <f aca="false">IF(F836="","",IFERROR(INDEX(Paketler!$C$5:$C$24,MATCH(C836,Paketler!$A$5:$A$24,0)),0))</f>
        <v/>
      </c>
      <c r="H836" s="17" t="str">
        <f aca="false">IF(F836="","",G836-E836)</f>
        <v/>
      </c>
      <c r="I836" s="18" t="str">
        <f aca="true">IF(F836="","",F836-TODAY())</f>
        <v/>
      </c>
      <c r="J836" s="19" t="str">
        <f aca="true">IF(F836="","",IF(TODAY()&lt;D836,"Başlamadı",IF(TODAY()&gt;F836,"Bitti",IF(F836-TODAY()&lt;=7,"Bitiyor","Aktif"))))</f>
        <v/>
      </c>
      <c r="K836" s="19" t="str">
        <f aca="false">IF(OR(J836="Aktif",J836="Bitiyor"),F836+ROW()/1000000,"")</f>
        <v/>
      </c>
    </row>
    <row r="837" customFormat="false" ht="15" hidden="false" customHeight="false" outlineLevel="0" collapsed="false">
      <c r="A837" s="12"/>
      <c r="B837" s="12"/>
      <c r="C837" s="13"/>
      <c r="D837" s="14"/>
      <c r="E837" s="15"/>
      <c r="F837" s="16" t="str">
        <f aca="false">IF(OR(C837="",D837=""),"",EDATE(D837,IFERROR(INDEX(Paketler!$B$5:$B$24,MATCH(C837,Paketler!$A$5:$A$24,0)),0))-1)</f>
        <v/>
      </c>
      <c r="G837" s="17" t="str">
        <f aca="false">IF(F837="","",IFERROR(INDEX(Paketler!$C$5:$C$24,MATCH(C837,Paketler!$A$5:$A$24,0)),0))</f>
        <v/>
      </c>
      <c r="H837" s="17" t="str">
        <f aca="false">IF(F837="","",G837-E837)</f>
        <v/>
      </c>
      <c r="I837" s="18" t="str">
        <f aca="true">IF(F837="","",F837-TODAY())</f>
        <v/>
      </c>
      <c r="J837" s="19" t="str">
        <f aca="true">IF(F837="","",IF(TODAY()&lt;D837,"Başlamadı",IF(TODAY()&gt;F837,"Bitti",IF(F837-TODAY()&lt;=7,"Bitiyor","Aktif"))))</f>
        <v/>
      </c>
      <c r="K837" s="19" t="str">
        <f aca="false">IF(OR(J837="Aktif",J837="Bitiyor"),F837+ROW()/1000000,"")</f>
        <v/>
      </c>
    </row>
    <row r="838" customFormat="false" ht="15" hidden="false" customHeight="false" outlineLevel="0" collapsed="false">
      <c r="A838" s="12"/>
      <c r="B838" s="12"/>
      <c r="C838" s="13"/>
      <c r="D838" s="14"/>
      <c r="E838" s="15"/>
      <c r="F838" s="16" t="str">
        <f aca="false">IF(OR(C838="",D838=""),"",EDATE(D838,IFERROR(INDEX(Paketler!$B$5:$B$24,MATCH(C838,Paketler!$A$5:$A$24,0)),0))-1)</f>
        <v/>
      </c>
      <c r="G838" s="17" t="str">
        <f aca="false">IF(F838="","",IFERROR(INDEX(Paketler!$C$5:$C$24,MATCH(C838,Paketler!$A$5:$A$24,0)),0))</f>
        <v/>
      </c>
      <c r="H838" s="17" t="str">
        <f aca="false">IF(F838="","",G838-E838)</f>
        <v/>
      </c>
      <c r="I838" s="18" t="str">
        <f aca="true">IF(F838="","",F838-TODAY())</f>
        <v/>
      </c>
      <c r="J838" s="19" t="str">
        <f aca="true">IF(F838="","",IF(TODAY()&lt;D838,"Başlamadı",IF(TODAY()&gt;F838,"Bitti",IF(F838-TODAY()&lt;=7,"Bitiyor","Aktif"))))</f>
        <v/>
      </c>
      <c r="K838" s="19" t="str">
        <f aca="false">IF(OR(J838="Aktif",J838="Bitiyor"),F838+ROW()/1000000,"")</f>
        <v/>
      </c>
    </row>
    <row r="839" customFormat="false" ht="15" hidden="false" customHeight="false" outlineLevel="0" collapsed="false">
      <c r="A839" s="12"/>
      <c r="B839" s="12"/>
      <c r="C839" s="13"/>
      <c r="D839" s="14"/>
      <c r="E839" s="15"/>
      <c r="F839" s="16" t="str">
        <f aca="false">IF(OR(C839="",D839=""),"",EDATE(D839,IFERROR(INDEX(Paketler!$B$5:$B$24,MATCH(C839,Paketler!$A$5:$A$24,0)),0))-1)</f>
        <v/>
      </c>
      <c r="G839" s="17" t="str">
        <f aca="false">IF(F839="","",IFERROR(INDEX(Paketler!$C$5:$C$24,MATCH(C839,Paketler!$A$5:$A$24,0)),0))</f>
        <v/>
      </c>
      <c r="H839" s="17" t="str">
        <f aca="false">IF(F839="","",G839-E839)</f>
        <v/>
      </c>
      <c r="I839" s="18" t="str">
        <f aca="true">IF(F839="","",F839-TODAY())</f>
        <v/>
      </c>
      <c r="J839" s="19" t="str">
        <f aca="true">IF(F839="","",IF(TODAY()&lt;D839,"Başlamadı",IF(TODAY()&gt;F839,"Bitti",IF(F839-TODAY()&lt;=7,"Bitiyor","Aktif"))))</f>
        <v/>
      </c>
      <c r="K839" s="19" t="str">
        <f aca="false">IF(OR(J839="Aktif",J839="Bitiyor"),F839+ROW()/1000000,"")</f>
        <v/>
      </c>
    </row>
    <row r="840" customFormat="false" ht="15" hidden="false" customHeight="false" outlineLevel="0" collapsed="false">
      <c r="A840" s="12"/>
      <c r="B840" s="12"/>
      <c r="C840" s="13"/>
      <c r="D840" s="14"/>
      <c r="E840" s="15"/>
      <c r="F840" s="16" t="str">
        <f aca="false">IF(OR(C840="",D840=""),"",EDATE(D840,IFERROR(INDEX(Paketler!$B$5:$B$24,MATCH(C840,Paketler!$A$5:$A$24,0)),0))-1)</f>
        <v/>
      </c>
      <c r="G840" s="17" t="str">
        <f aca="false">IF(F840="","",IFERROR(INDEX(Paketler!$C$5:$C$24,MATCH(C840,Paketler!$A$5:$A$24,0)),0))</f>
        <v/>
      </c>
      <c r="H840" s="17" t="str">
        <f aca="false">IF(F840="","",G840-E840)</f>
        <v/>
      </c>
      <c r="I840" s="18" t="str">
        <f aca="true">IF(F840="","",F840-TODAY())</f>
        <v/>
      </c>
      <c r="J840" s="19" t="str">
        <f aca="true">IF(F840="","",IF(TODAY()&lt;D840,"Başlamadı",IF(TODAY()&gt;F840,"Bitti",IF(F840-TODAY()&lt;=7,"Bitiyor","Aktif"))))</f>
        <v/>
      </c>
      <c r="K840" s="19" t="str">
        <f aca="false">IF(OR(J840="Aktif",J840="Bitiyor"),F840+ROW()/1000000,"")</f>
        <v/>
      </c>
    </row>
    <row r="841" customFormat="false" ht="15" hidden="false" customHeight="false" outlineLevel="0" collapsed="false">
      <c r="A841" s="12"/>
      <c r="B841" s="12"/>
      <c r="C841" s="13"/>
      <c r="D841" s="14"/>
      <c r="E841" s="15"/>
      <c r="F841" s="16" t="str">
        <f aca="false">IF(OR(C841="",D841=""),"",EDATE(D841,IFERROR(INDEX(Paketler!$B$5:$B$24,MATCH(C841,Paketler!$A$5:$A$24,0)),0))-1)</f>
        <v/>
      </c>
      <c r="G841" s="17" t="str">
        <f aca="false">IF(F841="","",IFERROR(INDEX(Paketler!$C$5:$C$24,MATCH(C841,Paketler!$A$5:$A$24,0)),0))</f>
        <v/>
      </c>
      <c r="H841" s="17" t="str">
        <f aca="false">IF(F841="","",G841-E841)</f>
        <v/>
      </c>
      <c r="I841" s="18" t="str">
        <f aca="true">IF(F841="","",F841-TODAY())</f>
        <v/>
      </c>
      <c r="J841" s="19" t="str">
        <f aca="true">IF(F841="","",IF(TODAY()&lt;D841,"Başlamadı",IF(TODAY()&gt;F841,"Bitti",IF(F841-TODAY()&lt;=7,"Bitiyor","Aktif"))))</f>
        <v/>
      </c>
      <c r="K841" s="19" t="str">
        <f aca="false">IF(OR(J841="Aktif",J841="Bitiyor"),F841+ROW()/1000000,"")</f>
        <v/>
      </c>
    </row>
    <row r="842" customFormat="false" ht="15" hidden="false" customHeight="false" outlineLevel="0" collapsed="false">
      <c r="A842" s="12"/>
      <c r="B842" s="12"/>
      <c r="C842" s="13"/>
      <c r="D842" s="14"/>
      <c r="E842" s="15"/>
      <c r="F842" s="16" t="str">
        <f aca="false">IF(OR(C842="",D842=""),"",EDATE(D842,IFERROR(INDEX(Paketler!$B$5:$B$24,MATCH(C842,Paketler!$A$5:$A$24,0)),0))-1)</f>
        <v/>
      </c>
      <c r="G842" s="17" t="str">
        <f aca="false">IF(F842="","",IFERROR(INDEX(Paketler!$C$5:$C$24,MATCH(C842,Paketler!$A$5:$A$24,0)),0))</f>
        <v/>
      </c>
      <c r="H842" s="17" t="str">
        <f aca="false">IF(F842="","",G842-E842)</f>
        <v/>
      </c>
      <c r="I842" s="18" t="str">
        <f aca="true">IF(F842="","",F842-TODAY())</f>
        <v/>
      </c>
      <c r="J842" s="19" t="str">
        <f aca="true">IF(F842="","",IF(TODAY()&lt;D842,"Başlamadı",IF(TODAY()&gt;F842,"Bitti",IF(F842-TODAY()&lt;=7,"Bitiyor","Aktif"))))</f>
        <v/>
      </c>
      <c r="K842" s="19" t="str">
        <f aca="false">IF(OR(J842="Aktif",J842="Bitiyor"),F842+ROW()/1000000,"")</f>
        <v/>
      </c>
    </row>
    <row r="843" customFormat="false" ht="15" hidden="false" customHeight="false" outlineLevel="0" collapsed="false">
      <c r="A843" s="12"/>
      <c r="B843" s="12"/>
      <c r="C843" s="13"/>
      <c r="D843" s="14"/>
      <c r="E843" s="15"/>
      <c r="F843" s="16" t="str">
        <f aca="false">IF(OR(C843="",D843=""),"",EDATE(D843,IFERROR(INDEX(Paketler!$B$5:$B$24,MATCH(C843,Paketler!$A$5:$A$24,0)),0))-1)</f>
        <v/>
      </c>
      <c r="G843" s="17" t="str">
        <f aca="false">IF(F843="","",IFERROR(INDEX(Paketler!$C$5:$C$24,MATCH(C843,Paketler!$A$5:$A$24,0)),0))</f>
        <v/>
      </c>
      <c r="H843" s="17" t="str">
        <f aca="false">IF(F843="","",G843-E843)</f>
        <v/>
      </c>
      <c r="I843" s="18" t="str">
        <f aca="true">IF(F843="","",F843-TODAY())</f>
        <v/>
      </c>
      <c r="J843" s="19" t="str">
        <f aca="true">IF(F843="","",IF(TODAY()&lt;D843,"Başlamadı",IF(TODAY()&gt;F843,"Bitti",IF(F843-TODAY()&lt;=7,"Bitiyor","Aktif"))))</f>
        <v/>
      </c>
      <c r="K843" s="19" t="str">
        <f aca="false">IF(OR(J843="Aktif",J843="Bitiyor"),F843+ROW()/1000000,"")</f>
        <v/>
      </c>
    </row>
    <row r="844" customFormat="false" ht="15" hidden="false" customHeight="false" outlineLevel="0" collapsed="false">
      <c r="A844" s="12"/>
      <c r="B844" s="12"/>
      <c r="C844" s="13"/>
      <c r="D844" s="14"/>
      <c r="E844" s="15"/>
      <c r="F844" s="16" t="str">
        <f aca="false">IF(OR(C844="",D844=""),"",EDATE(D844,IFERROR(INDEX(Paketler!$B$5:$B$24,MATCH(C844,Paketler!$A$5:$A$24,0)),0))-1)</f>
        <v/>
      </c>
      <c r="G844" s="17" t="str">
        <f aca="false">IF(F844="","",IFERROR(INDEX(Paketler!$C$5:$C$24,MATCH(C844,Paketler!$A$5:$A$24,0)),0))</f>
        <v/>
      </c>
      <c r="H844" s="17" t="str">
        <f aca="false">IF(F844="","",G844-E844)</f>
        <v/>
      </c>
      <c r="I844" s="18" t="str">
        <f aca="true">IF(F844="","",F844-TODAY())</f>
        <v/>
      </c>
      <c r="J844" s="19" t="str">
        <f aca="true">IF(F844="","",IF(TODAY()&lt;D844,"Başlamadı",IF(TODAY()&gt;F844,"Bitti",IF(F844-TODAY()&lt;=7,"Bitiyor","Aktif"))))</f>
        <v/>
      </c>
      <c r="K844" s="19" t="str">
        <f aca="false">IF(OR(J844="Aktif",J844="Bitiyor"),F844+ROW()/1000000,"")</f>
        <v/>
      </c>
    </row>
    <row r="845" customFormat="false" ht="15" hidden="false" customHeight="false" outlineLevel="0" collapsed="false">
      <c r="A845" s="12"/>
      <c r="B845" s="12"/>
      <c r="C845" s="13"/>
      <c r="D845" s="14"/>
      <c r="E845" s="15"/>
      <c r="F845" s="16" t="str">
        <f aca="false">IF(OR(C845="",D845=""),"",EDATE(D845,IFERROR(INDEX(Paketler!$B$5:$B$24,MATCH(C845,Paketler!$A$5:$A$24,0)),0))-1)</f>
        <v/>
      </c>
      <c r="G845" s="17" t="str">
        <f aca="false">IF(F845="","",IFERROR(INDEX(Paketler!$C$5:$C$24,MATCH(C845,Paketler!$A$5:$A$24,0)),0))</f>
        <v/>
      </c>
      <c r="H845" s="17" t="str">
        <f aca="false">IF(F845="","",G845-E845)</f>
        <v/>
      </c>
      <c r="I845" s="18" t="str">
        <f aca="true">IF(F845="","",F845-TODAY())</f>
        <v/>
      </c>
      <c r="J845" s="19" t="str">
        <f aca="true">IF(F845="","",IF(TODAY()&lt;D845,"Başlamadı",IF(TODAY()&gt;F845,"Bitti",IF(F845-TODAY()&lt;=7,"Bitiyor","Aktif"))))</f>
        <v/>
      </c>
      <c r="K845" s="19" t="str">
        <f aca="false">IF(OR(J845="Aktif",J845="Bitiyor"),F845+ROW()/1000000,"")</f>
        <v/>
      </c>
    </row>
    <row r="846" customFormat="false" ht="15" hidden="false" customHeight="false" outlineLevel="0" collapsed="false">
      <c r="A846" s="12"/>
      <c r="B846" s="12"/>
      <c r="C846" s="13"/>
      <c r="D846" s="14"/>
      <c r="E846" s="15"/>
      <c r="F846" s="16" t="str">
        <f aca="false">IF(OR(C846="",D846=""),"",EDATE(D846,IFERROR(INDEX(Paketler!$B$5:$B$24,MATCH(C846,Paketler!$A$5:$A$24,0)),0))-1)</f>
        <v/>
      </c>
      <c r="G846" s="17" t="str">
        <f aca="false">IF(F846="","",IFERROR(INDEX(Paketler!$C$5:$C$24,MATCH(C846,Paketler!$A$5:$A$24,0)),0))</f>
        <v/>
      </c>
      <c r="H846" s="17" t="str">
        <f aca="false">IF(F846="","",G846-E846)</f>
        <v/>
      </c>
      <c r="I846" s="18" t="str">
        <f aca="true">IF(F846="","",F846-TODAY())</f>
        <v/>
      </c>
      <c r="J846" s="19" t="str">
        <f aca="true">IF(F846="","",IF(TODAY()&lt;D846,"Başlamadı",IF(TODAY()&gt;F846,"Bitti",IF(F846-TODAY()&lt;=7,"Bitiyor","Aktif"))))</f>
        <v/>
      </c>
      <c r="K846" s="19" t="str">
        <f aca="false">IF(OR(J846="Aktif",J846="Bitiyor"),F846+ROW()/1000000,"")</f>
        <v/>
      </c>
    </row>
    <row r="847" customFormat="false" ht="15" hidden="false" customHeight="false" outlineLevel="0" collapsed="false">
      <c r="A847" s="12"/>
      <c r="B847" s="12"/>
      <c r="C847" s="13"/>
      <c r="D847" s="14"/>
      <c r="E847" s="15"/>
      <c r="F847" s="16" t="str">
        <f aca="false">IF(OR(C847="",D847=""),"",EDATE(D847,IFERROR(INDEX(Paketler!$B$5:$B$24,MATCH(C847,Paketler!$A$5:$A$24,0)),0))-1)</f>
        <v/>
      </c>
      <c r="G847" s="17" t="str">
        <f aca="false">IF(F847="","",IFERROR(INDEX(Paketler!$C$5:$C$24,MATCH(C847,Paketler!$A$5:$A$24,0)),0))</f>
        <v/>
      </c>
      <c r="H847" s="17" t="str">
        <f aca="false">IF(F847="","",G847-E847)</f>
        <v/>
      </c>
      <c r="I847" s="18" t="str">
        <f aca="true">IF(F847="","",F847-TODAY())</f>
        <v/>
      </c>
      <c r="J847" s="19" t="str">
        <f aca="true">IF(F847="","",IF(TODAY()&lt;D847,"Başlamadı",IF(TODAY()&gt;F847,"Bitti",IF(F847-TODAY()&lt;=7,"Bitiyor","Aktif"))))</f>
        <v/>
      </c>
      <c r="K847" s="19" t="str">
        <f aca="false">IF(OR(J847="Aktif",J847="Bitiyor"),F847+ROW()/1000000,"")</f>
        <v/>
      </c>
    </row>
    <row r="848" customFormat="false" ht="15" hidden="false" customHeight="false" outlineLevel="0" collapsed="false">
      <c r="A848" s="12"/>
      <c r="B848" s="12"/>
      <c r="C848" s="13"/>
      <c r="D848" s="14"/>
      <c r="E848" s="15"/>
      <c r="F848" s="16" t="str">
        <f aca="false">IF(OR(C848="",D848=""),"",EDATE(D848,IFERROR(INDEX(Paketler!$B$5:$B$24,MATCH(C848,Paketler!$A$5:$A$24,0)),0))-1)</f>
        <v/>
      </c>
      <c r="G848" s="17" t="str">
        <f aca="false">IF(F848="","",IFERROR(INDEX(Paketler!$C$5:$C$24,MATCH(C848,Paketler!$A$5:$A$24,0)),0))</f>
        <v/>
      </c>
      <c r="H848" s="17" t="str">
        <f aca="false">IF(F848="","",G848-E848)</f>
        <v/>
      </c>
      <c r="I848" s="18" t="str">
        <f aca="true">IF(F848="","",F848-TODAY())</f>
        <v/>
      </c>
      <c r="J848" s="19" t="str">
        <f aca="true">IF(F848="","",IF(TODAY()&lt;D848,"Başlamadı",IF(TODAY()&gt;F848,"Bitti",IF(F848-TODAY()&lt;=7,"Bitiyor","Aktif"))))</f>
        <v/>
      </c>
      <c r="K848" s="19" t="str">
        <f aca="false">IF(OR(J848="Aktif",J848="Bitiyor"),F848+ROW()/1000000,"")</f>
        <v/>
      </c>
    </row>
    <row r="849" customFormat="false" ht="15" hidden="false" customHeight="false" outlineLevel="0" collapsed="false">
      <c r="A849" s="12"/>
      <c r="B849" s="12"/>
      <c r="C849" s="13"/>
      <c r="D849" s="14"/>
      <c r="E849" s="15"/>
      <c r="F849" s="16" t="str">
        <f aca="false">IF(OR(C849="",D849=""),"",EDATE(D849,IFERROR(INDEX(Paketler!$B$5:$B$24,MATCH(C849,Paketler!$A$5:$A$24,0)),0))-1)</f>
        <v/>
      </c>
      <c r="G849" s="17" t="str">
        <f aca="false">IF(F849="","",IFERROR(INDEX(Paketler!$C$5:$C$24,MATCH(C849,Paketler!$A$5:$A$24,0)),0))</f>
        <v/>
      </c>
      <c r="H849" s="17" t="str">
        <f aca="false">IF(F849="","",G849-E849)</f>
        <v/>
      </c>
      <c r="I849" s="18" t="str">
        <f aca="true">IF(F849="","",F849-TODAY())</f>
        <v/>
      </c>
      <c r="J849" s="19" t="str">
        <f aca="true">IF(F849="","",IF(TODAY()&lt;D849,"Başlamadı",IF(TODAY()&gt;F849,"Bitti",IF(F849-TODAY()&lt;=7,"Bitiyor","Aktif"))))</f>
        <v/>
      </c>
      <c r="K849" s="19" t="str">
        <f aca="false">IF(OR(J849="Aktif",J849="Bitiyor"),F849+ROW()/1000000,"")</f>
        <v/>
      </c>
    </row>
    <row r="850" customFormat="false" ht="15" hidden="false" customHeight="false" outlineLevel="0" collapsed="false">
      <c r="A850" s="12"/>
      <c r="B850" s="12"/>
      <c r="C850" s="13"/>
      <c r="D850" s="14"/>
      <c r="E850" s="15"/>
      <c r="F850" s="16" t="str">
        <f aca="false">IF(OR(C850="",D850=""),"",EDATE(D850,IFERROR(INDEX(Paketler!$B$5:$B$24,MATCH(C850,Paketler!$A$5:$A$24,0)),0))-1)</f>
        <v/>
      </c>
      <c r="G850" s="17" t="str">
        <f aca="false">IF(F850="","",IFERROR(INDEX(Paketler!$C$5:$C$24,MATCH(C850,Paketler!$A$5:$A$24,0)),0))</f>
        <v/>
      </c>
      <c r="H850" s="17" t="str">
        <f aca="false">IF(F850="","",G850-E850)</f>
        <v/>
      </c>
      <c r="I850" s="18" t="str">
        <f aca="true">IF(F850="","",F850-TODAY())</f>
        <v/>
      </c>
      <c r="J850" s="19" t="str">
        <f aca="true">IF(F850="","",IF(TODAY()&lt;D850,"Başlamadı",IF(TODAY()&gt;F850,"Bitti",IF(F850-TODAY()&lt;=7,"Bitiyor","Aktif"))))</f>
        <v/>
      </c>
      <c r="K850" s="19" t="str">
        <f aca="false">IF(OR(J850="Aktif",J850="Bitiyor"),F850+ROW()/1000000,"")</f>
        <v/>
      </c>
    </row>
    <row r="851" customFormat="false" ht="15" hidden="false" customHeight="false" outlineLevel="0" collapsed="false">
      <c r="A851" s="12"/>
      <c r="B851" s="12"/>
      <c r="C851" s="13"/>
      <c r="D851" s="14"/>
      <c r="E851" s="15"/>
      <c r="F851" s="16" t="str">
        <f aca="false">IF(OR(C851="",D851=""),"",EDATE(D851,IFERROR(INDEX(Paketler!$B$5:$B$24,MATCH(C851,Paketler!$A$5:$A$24,0)),0))-1)</f>
        <v/>
      </c>
      <c r="G851" s="17" t="str">
        <f aca="false">IF(F851="","",IFERROR(INDEX(Paketler!$C$5:$C$24,MATCH(C851,Paketler!$A$5:$A$24,0)),0))</f>
        <v/>
      </c>
      <c r="H851" s="17" t="str">
        <f aca="false">IF(F851="","",G851-E851)</f>
        <v/>
      </c>
      <c r="I851" s="18" t="str">
        <f aca="true">IF(F851="","",F851-TODAY())</f>
        <v/>
      </c>
      <c r="J851" s="19" t="str">
        <f aca="true">IF(F851="","",IF(TODAY()&lt;D851,"Başlamadı",IF(TODAY()&gt;F851,"Bitti",IF(F851-TODAY()&lt;=7,"Bitiyor","Aktif"))))</f>
        <v/>
      </c>
      <c r="K851" s="19" t="str">
        <f aca="false">IF(OR(J851="Aktif",J851="Bitiyor"),F851+ROW()/1000000,"")</f>
        <v/>
      </c>
    </row>
    <row r="852" customFormat="false" ht="15" hidden="false" customHeight="false" outlineLevel="0" collapsed="false">
      <c r="A852" s="12"/>
      <c r="B852" s="12"/>
      <c r="C852" s="13"/>
      <c r="D852" s="14"/>
      <c r="E852" s="15"/>
      <c r="F852" s="16" t="str">
        <f aca="false">IF(OR(C852="",D852=""),"",EDATE(D852,IFERROR(INDEX(Paketler!$B$5:$B$24,MATCH(C852,Paketler!$A$5:$A$24,0)),0))-1)</f>
        <v/>
      </c>
      <c r="G852" s="17" t="str">
        <f aca="false">IF(F852="","",IFERROR(INDEX(Paketler!$C$5:$C$24,MATCH(C852,Paketler!$A$5:$A$24,0)),0))</f>
        <v/>
      </c>
      <c r="H852" s="17" t="str">
        <f aca="false">IF(F852="","",G852-E852)</f>
        <v/>
      </c>
      <c r="I852" s="18" t="str">
        <f aca="true">IF(F852="","",F852-TODAY())</f>
        <v/>
      </c>
      <c r="J852" s="19" t="str">
        <f aca="true">IF(F852="","",IF(TODAY()&lt;D852,"Başlamadı",IF(TODAY()&gt;F852,"Bitti",IF(F852-TODAY()&lt;=7,"Bitiyor","Aktif"))))</f>
        <v/>
      </c>
      <c r="K852" s="19" t="str">
        <f aca="false">IF(OR(J852="Aktif",J852="Bitiyor"),F852+ROW()/1000000,"")</f>
        <v/>
      </c>
    </row>
    <row r="853" customFormat="false" ht="15" hidden="false" customHeight="false" outlineLevel="0" collapsed="false">
      <c r="A853" s="12"/>
      <c r="B853" s="12"/>
      <c r="C853" s="13"/>
      <c r="D853" s="14"/>
      <c r="E853" s="15"/>
      <c r="F853" s="16" t="str">
        <f aca="false">IF(OR(C853="",D853=""),"",EDATE(D853,IFERROR(INDEX(Paketler!$B$5:$B$24,MATCH(C853,Paketler!$A$5:$A$24,0)),0))-1)</f>
        <v/>
      </c>
      <c r="G853" s="17" t="str">
        <f aca="false">IF(F853="","",IFERROR(INDEX(Paketler!$C$5:$C$24,MATCH(C853,Paketler!$A$5:$A$24,0)),0))</f>
        <v/>
      </c>
      <c r="H853" s="17" t="str">
        <f aca="false">IF(F853="","",G853-E853)</f>
        <v/>
      </c>
      <c r="I853" s="18" t="str">
        <f aca="true">IF(F853="","",F853-TODAY())</f>
        <v/>
      </c>
      <c r="J853" s="19" t="str">
        <f aca="true">IF(F853="","",IF(TODAY()&lt;D853,"Başlamadı",IF(TODAY()&gt;F853,"Bitti",IF(F853-TODAY()&lt;=7,"Bitiyor","Aktif"))))</f>
        <v/>
      </c>
      <c r="K853" s="19" t="str">
        <f aca="false">IF(OR(J853="Aktif",J853="Bitiyor"),F853+ROW()/1000000,"")</f>
        <v/>
      </c>
    </row>
    <row r="854" customFormat="false" ht="15" hidden="false" customHeight="false" outlineLevel="0" collapsed="false">
      <c r="A854" s="12"/>
      <c r="B854" s="12"/>
      <c r="C854" s="13"/>
      <c r="D854" s="14"/>
      <c r="E854" s="15"/>
      <c r="F854" s="16" t="str">
        <f aca="false">IF(OR(C854="",D854=""),"",EDATE(D854,IFERROR(INDEX(Paketler!$B$5:$B$24,MATCH(C854,Paketler!$A$5:$A$24,0)),0))-1)</f>
        <v/>
      </c>
      <c r="G854" s="17" t="str">
        <f aca="false">IF(F854="","",IFERROR(INDEX(Paketler!$C$5:$C$24,MATCH(C854,Paketler!$A$5:$A$24,0)),0))</f>
        <v/>
      </c>
      <c r="H854" s="17" t="str">
        <f aca="false">IF(F854="","",G854-E854)</f>
        <v/>
      </c>
      <c r="I854" s="18" t="str">
        <f aca="true">IF(F854="","",F854-TODAY())</f>
        <v/>
      </c>
      <c r="J854" s="19" t="str">
        <f aca="true">IF(F854="","",IF(TODAY()&lt;D854,"Başlamadı",IF(TODAY()&gt;F854,"Bitti",IF(F854-TODAY()&lt;=7,"Bitiyor","Aktif"))))</f>
        <v/>
      </c>
      <c r="K854" s="19" t="str">
        <f aca="false">IF(OR(J854="Aktif",J854="Bitiyor"),F854+ROW()/1000000,"")</f>
        <v/>
      </c>
    </row>
    <row r="855" customFormat="false" ht="15" hidden="false" customHeight="false" outlineLevel="0" collapsed="false">
      <c r="A855" s="12"/>
      <c r="B855" s="12"/>
      <c r="C855" s="13"/>
      <c r="D855" s="14"/>
      <c r="E855" s="15"/>
      <c r="F855" s="16" t="str">
        <f aca="false">IF(OR(C855="",D855=""),"",EDATE(D855,IFERROR(INDEX(Paketler!$B$5:$B$24,MATCH(C855,Paketler!$A$5:$A$24,0)),0))-1)</f>
        <v/>
      </c>
      <c r="G855" s="17" t="str">
        <f aca="false">IF(F855="","",IFERROR(INDEX(Paketler!$C$5:$C$24,MATCH(C855,Paketler!$A$5:$A$24,0)),0))</f>
        <v/>
      </c>
      <c r="H855" s="17" t="str">
        <f aca="false">IF(F855="","",G855-E855)</f>
        <v/>
      </c>
      <c r="I855" s="18" t="str">
        <f aca="true">IF(F855="","",F855-TODAY())</f>
        <v/>
      </c>
      <c r="J855" s="19" t="str">
        <f aca="true">IF(F855="","",IF(TODAY()&lt;D855,"Başlamadı",IF(TODAY()&gt;F855,"Bitti",IF(F855-TODAY()&lt;=7,"Bitiyor","Aktif"))))</f>
        <v/>
      </c>
      <c r="K855" s="19" t="str">
        <f aca="false">IF(OR(J855="Aktif",J855="Bitiyor"),F855+ROW()/1000000,"")</f>
        <v/>
      </c>
    </row>
    <row r="856" customFormat="false" ht="15" hidden="false" customHeight="false" outlineLevel="0" collapsed="false">
      <c r="A856" s="12"/>
      <c r="B856" s="12"/>
      <c r="C856" s="13"/>
      <c r="D856" s="14"/>
      <c r="E856" s="15"/>
      <c r="F856" s="16" t="str">
        <f aca="false">IF(OR(C856="",D856=""),"",EDATE(D856,IFERROR(INDEX(Paketler!$B$5:$B$24,MATCH(C856,Paketler!$A$5:$A$24,0)),0))-1)</f>
        <v/>
      </c>
      <c r="G856" s="17" t="str">
        <f aca="false">IF(F856="","",IFERROR(INDEX(Paketler!$C$5:$C$24,MATCH(C856,Paketler!$A$5:$A$24,0)),0))</f>
        <v/>
      </c>
      <c r="H856" s="17" t="str">
        <f aca="false">IF(F856="","",G856-E856)</f>
        <v/>
      </c>
      <c r="I856" s="18" t="str">
        <f aca="true">IF(F856="","",F856-TODAY())</f>
        <v/>
      </c>
      <c r="J856" s="19" t="str">
        <f aca="true">IF(F856="","",IF(TODAY()&lt;D856,"Başlamadı",IF(TODAY()&gt;F856,"Bitti",IF(F856-TODAY()&lt;=7,"Bitiyor","Aktif"))))</f>
        <v/>
      </c>
      <c r="K856" s="19" t="str">
        <f aca="false">IF(OR(J856="Aktif",J856="Bitiyor"),F856+ROW()/1000000,"")</f>
        <v/>
      </c>
    </row>
    <row r="857" customFormat="false" ht="15" hidden="false" customHeight="false" outlineLevel="0" collapsed="false">
      <c r="A857" s="12"/>
      <c r="B857" s="12"/>
      <c r="C857" s="13"/>
      <c r="D857" s="14"/>
      <c r="E857" s="15"/>
      <c r="F857" s="16" t="str">
        <f aca="false">IF(OR(C857="",D857=""),"",EDATE(D857,IFERROR(INDEX(Paketler!$B$5:$B$24,MATCH(C857,Paketler!$A$5:$A$24,0)),0))-1)</f>
        <v/>
      </c>
      <c r="G857" s="17" t="str">
        <f aca="false">IF(F857="","",IFERROR(INDEX(Paketler!$C$5:$C$24,MATCH(C857,Paketler!$A$5:$A$24,0)),0))</f>
        <v/>
      </c>
      <c r="H857" s="17" t="str">
        <f aca="false">IF(F857="","",G857-E857)</f>
        <v/>
      </c>
      <c r="I857" s="18" t="str">
        <f aca="true">IF(F857="","",F857-TODAY())</f>
        <v/>
      </c>
      <c r="J857" s="19" t="str">
        <f aca="true">IF(F857="","",IF(TODAY()&lt;D857,"Başlamadı",IF(TODAY()&gt;F857,"Bitti",IF(F857-TODAY()&lt;=7,"Bitiyor","Aktif"))))</f>
        <v/>
      </c>
      <c r="K857" s="19" t="str">
        <f aca="false">IF(OR(J857="Aktif",J857="Bitiyor"),F857+ROW()/1000000,"")</f>
        <v/>
      </c>
    </row>
    <row r="858" customFormat="false" ht="15" hidden="false" customHeight="false" outlineLevel="0" collapsed="false">
      <c r="A858" s="12"/>
      <c r="B858" s="12"/>
      <c r="C858" s="13"/>
      <c r="D858" s="14"/>
      <c r="E858" s="15"/>
      <c r="F858" s="16" t="str">
        <f aca="false">IF(OR(C858="",D858=""),"",EDATE(D858,IFERROR(INDEX(Paketler!$B$5:$B$24,MATCH(C858,Paketler!$A$5:$A$24,0)),0))-1)</f>
        <v/>
      </c>
      <c r="G858" s="17" t="str">
        <f aca="false">IF(F858="","",IFERROR(INDEX(Paketler!$C$5:$C$24,MATCH(C858,Paketler!$A$5:$A$24,0)),0))</f>
        <v/>
      </c>
      <c r="H858" s="17" t="str">
        <f aca="false">IF(F858="","",G858-E858)</f>
        <v/>
      </c>
      <c r="I858" s="18" t="str">
        <f aca="true">IF(F858="","",F858-TODAY())</f>
        <v/>
      </c>
      <c r="J858" s="19" t="str">
        <f aca="true">IF(F858="","",IF(TODAY()&lt;D858,"Başlamadı",IF(TODAY()&gt;F858,"Bitti",IF(F858-TODAY()&lt;=7,"Bitiyor","Aktif"))))</f>
        <v/>
      </c>
      <c r="K858" s="19" t="str">
        <f aca="false">IF(OR(J858="Aktif",J858="Bitiyor"),F858+ROW()/1000000,"")</f>
        <v/>
      </c>
    </row>
    <row r="859" customFormat="false" ht="15" hidden="false" customHeight="false" outlineLevel="0" collapsed="false">
      <c r="A859" s="12"/>
      <c r="B859" s="12"/>
      <c r="C859" s="13"/>
      <c r="D859" s="14"/>
      <c r="E859" s="15"/>
      <c r="F859" s="16" t="str">
        <f aca="false">IF(OR(C859="",D859=""),"",EDATE(D859,IFERROR(INDEX(Paketler!$B$5:$B$24,MATCH(C859,Paketler!$A$5:$A$24,0)),0))-1)</f>
        <v/>
      </c>
      <c r="G859" s="17" t="str">
        <f aca="false">IF(F859="","",IFERROR(INDEX(Paketler!$C$5:$C$24,MATCH(C859,Paketler!$A$5:$A$24,0)),0))</f>
        <v/>
      </c>
      <c r="H859" s="17" t="str">
        <f aca="false">IF(F859="","",G859-E859)</f>
        <v/>
      </c>
      <c r="I859" s="18" t="str">
        <f aca="true">IF(F859="","",F859-TODAY())</f>
        <v/>
      </c>
      <c r="J859" s="19" t="str">
        <f aca="true">IF(F859="","",IF(TODAY()&lt;D859,"Başlamadı",IF(TODAY()&gt;F859,"Bitti",IF(F859-TODAY()&lt;=7,"Bitiyor","Aktif"))))</f>
        <v/>
      </c>
      <c r="K859" s="19" t="str">
        <f aca="false">IF(OR(J859="Aktif",J859="Bitiyor"),F859+ROW()/1000000,"")</f>
        <v/>
      </c>
    </row>
    <row r="860" customFormat="false" ht="15" hidden="false" customHeight="false" outlineLevel="0" collapsed="false">
      <c r="A860" s="12"/>
      <c r="B860" s="12"/>
      <c r="C860" s="13"/>
      <c r="D860" s="14"/>
      <c r="E860" s="15"/>
      <c r="F860" s="16" t="str">
        <f aca="false">IF(OR(C860="",D860=""),"",EDATE(D860,IFERROR(INDEX(Paketler!$B$5:$B$24,MATCH(C860,Paketler!$A$5:$A$24,0)),0))-1)</f>
        <v/>
      </c>
      <c r="G860" s="17" t="str">
        <f aca="false">IF(F860="","",IFERROR(INDEX(Paketler!$C$5:$C$24,MATCH(C860,Paketler!$A$5:$A$24,0)),0))</f>
        <v/>
      </c>
      <c r="H860" s="17" t="str">
        <f aca="false">IF(F860="","",G860-E860)</f>
        <v/>
      </c>
      <c r="I860" s="18" t="str">
        <f aca="true">IF(F860="","",F860-TODAY())</f>
        <v/>
      </c>
      <c r="J860" s="19" t="str">
        <f aca="true">IF(F860="","",IF(TODAY()&lt;D860,"Başlamadı",IF(TODAY()&gt;F860,"Bitti",IF(F860-TODAY()&lt;=7,"Bitiyor","Aktif"))))</f>
        <v/>
      </c>
      <c r="K860" s="19" t="str">
        <f aca="false">IF(OR(J860="Aktif",J860="Bitiyor"),F860+ROW()/1000000,"")</f>
        <v/>
      </c>
    </row>
    <row r="861" customFormat="false" ht="15" hidden="false" customHeight="false" outlineLevel="0" collapsed="false">
      <c r="A861" s="12"/>
      <c r="B861" s="12"/>
      <c r="C861" s="13"/>
      <c r="D861" s="14"/>
      <c r="E861" s="15"/>
      <c r="F861" s="16" t="str">
        <f aca="false">IF(OR(C861="",D861=""),"",EDATE(D861,IFERROR(INDEX(Paketler!$B$5:$B$24,MATCH(C861,Paketler!$A$5:$A$24,0)),0))-1)</f>
        <v/>
      </c>
      <c r="G861" s="17" t="str">
        <f aca="false">IF(F861="","",IFERROR(INDEX(Paketler!$C$5:$C$24,MATCH(C861,Paketler!$A$5:$A$24,0)),0))</f>
        <v/>
      </c>
      <c r="H861" s="17" t="str">
        <f aca="false">IF(F861="","",G861-E861)</f>
        <v/>
      </c>
      <c r="I861" s="18" t="str">
        <f aca="true">IF(F861="","",F861-TODAY())</f>
        <v/>
      </c>
      <c r="J861" s="19" t="str">
        <f aca="true">IF(F861="","",IF(TODAY()&lt;D861,"Başlamadı",IF(TODAY()&gt;F861,"Bitti",IF(F861-TODAY()&lt;=7,"Bitiyor","Aktif"))))</f>
        <v/>
      </c>
      <c r="K861" s="19" t="str">
        <f aca="false">IF(OR(J861="Aktif",J861="Bitiyor"),F861+ROW()/1000000,"")</f>
        <v/>
      </c>
    </row>
    <row r="862" customFormat="false" ht="15" hidden="false" customHeight="false" outlineLevel="0" collapsed="false">
      <c r="A862" s="12"/>
      <c r="B862" s="12"/>
      <c r="C862" s="13"/>
      <c r="D862" s="14"/>
      <c r="E862" s="15"/>
      <c r="F862" s="16" t="str">
        <f aca="false">IF(OR(C862="",D862=""),"",EDATE(D862,IFERROR(INDEX(Paketler!$B$5:$B$24,MATCH(C862,Paketler!$A$5:$A$24,0)),0))-1)</f>
        <v/>
      </c>
      <c r="G862" s="17" t="str">
        <f aca="false">IF(F862="","",IFERROR(INDEX(Paketler!$C$5:$C$24,MATCH(C862,Paketler!$A$5:$A$24,0)),0))</f>
        <v/>
      </c>
      <c r="H862" s="17" t="str">
        <f aca="false">IF(F862="","",G862-E862)</f>
        <v/>
      </c>
      <c r="I862" s="18" t="str">
        <f aca="true">IF(F862="","",F862-TODAY())</f>
        <v/>
      </c>
      <c r="J862" s="19" t="str">
        <f aca="true">IF(F862="","",IF(TODAY()&lt;D862,"Başlamadı",IF(TODAY()&gt;F862,"Bitti",IF(F862-TODAY()&lt;=7,"Bitiyor","Aktif"))))</f>
        <v/>
      </c>
      <c r="K862" s="19" t="str">
        <f aca="false">IF(OR(J862="Aktif",J862="Bitiyor"),F862+ROW()/1000000,"")</f>
        <v/>
      </c>
    </row>
    <row r="863" customFormat="false" ht="15" hidden="false" customHeight="false" outlineLevel="0" collapsed="false">
      <c r="A863" s="12"/>
      <c r="B863" s="12"/>
      <c r="C863" s="13"/>
      <c r="D863" s="14"/>
      <c r="E863" s="15"/>
      <c r="F863" s="16" t="str">
        <f aca="false">IF(OR(C863="",D863=""),"",EDATE(D863,IFERROR(INDEX(Paketler!$B$5:$B$24,MATCH(C863,Paketler!$A$5:$A$24,0)),0))-1)</f>
        <v/>
      </c>
      <c r="G863" s="17" t="str">
        <f aca="false">IF(F863="","",IFERROR(INDEX(Paketler!$C$5:$C$24,MATCH(C863,Paketler!$A$5:$A$24,0)),0))</f>
        <v/>
      </c>
      <c r="H863" s="17" t="str">
        <f aca="false">IF(F863="","",G863-E863)</f>
        <v/>
      </c>
      <c r="I863" s="18" t="str">
        <f aca="true">IF(F863="","",F863-TODAY())</f>
        <v/>
      </c>
      <c r="J863" s="19" t="str">
        <f aca="true">IF(F863="","",IF(TODAY()&lt;D863,"Başlamadı",IF(TODAY()&gt;F863,"Bitti",IF(F863-TODAY()&lt;=7,"Bitiyor","Aktif"))))</f>
        <v/>
      </c>
      <c r="K863" s="19" t="str">
        <f aca="false">IF(OR(J863="Aktif",J863="Bitiyor"),F863+ROW()/1000000,"")</f>
        <v/>
      </c>
    </row>
    <row r="864" customFormat="false" ht="15" hidden="false" customHeight="false" outlineLevel="0" collapsed="false">
      <c r="A864" s="12"/>
      <c r="B864" s="12"/>
      <c r="C864" s="13"/>
      <c r="D864" s="14"/>
      <c r="E864" s="15"/>
      <c r="F864" s="16" t="str">
        <f aca="false">IF(OR(C864="",D864=""),"",EDATE(D864,IFERROR(INDEX(Paketler!$B$5:$B$24,MATCH(C864,Paketler!$A$5:$A$24,0)),0))-1)</f>
        <v/>
      </c>
      <c r="G864" s="17" t="str">
        <f aca="false">IF(F864="","",IFERROR(INDEX(Paketler!$C$5:$C$24,MATCH(C864,Paketler!$A$5:$A$24,0)),0))</f>
        <v/>
      </c>
      <c r="H864" s="17" t="str">
        <f aca="false">IF(F864="","",G864-E864)</f>
        <v/>
      </c>
      <c r="I864" s="18" t="str">
        <f aca="true">IF(F864="","",F864-TODAY())</f>
        <v/>
      </c>
      <c r="J864" s="19" t="str">
        <f aca="true">IF(F864="","",IF(TODAY()&lt;D864,"Başlamadı",IF(TODAY()&gt;F864,"Bitti",IF(F864-TODAY()&lt;=7,"Bitiyor","Aktif"))))</f>
        <v/>
      </c>
      <c r="K864" s="19" t="str">
        <f aca="false">IF(OR(J864="Aktif",J864="Bitiyor"),F864+ROW()/1000000,"")</f>
        <v/>
      </c>
    </row>
    <row r="865" customFormat="false" ht="15" hidden="false" customHeight="false" outlineLevel="0" collapsed="false">
      <c r="A865" s="12"/>
      <c r="B865" s="12"/>
      <c r="C865" s="13"/>
      <c r="D865" s="14"/>
      <c r="E865" s="15"/>
      <c r="F865" s="16" t="str">
        <f aca="false">IF(OR(C865="",D865=""),"",EDATE(D865,IFERROR(INDEX(Paketler!$B$5:$B$24,MATCH(C865,Paketler!$A$5:$A$24,0)),0))-1)</f>
        <v/>
      </c>
      <c r="G865" s="17" t="str">
        <f aca="false">IF(F865="","",IFERROR(INDEX(Paketler!$C$5:$C$24,MATCH(C865,Paketler!$A$5:$A$24,0)),0))</f>
        <v/>
      </c>
      <c r="H865" s="17" t="str">
        <f aca="false">IF(F865="","",G865-E865)</f>
        <v/>
      </c>
      <c r="I865" s="18" t="str">
        <f aca="true">IF(F865="","",F865-TODAY())</f>
        <v/>
      </c>
      <c r="J865" s="19" t="str">
        <f aca="true">IF(F865="","",IF(TODAY()&lt;D865,"Başlamadı",IF(TODAY()&gt;F865,"Bitti",IF(F865-TODAY()&lt;=7,"Bitiyor","Aktif"))))</f>
        <v/>
      </c>
      <c r="K865" s="19" t="str">
        <f aca="false">IF(OR(J865="Aktif",J865="Bitiyor"),F865+ROW()/1000000,"")</f>
        <v/>
      </c>
    </row>
    <row r="866" customFormat="false" ht="15" hidden="false" customHeight="false" outlineLevel="0" collapsed="false">
      <c r="A866" s="12"/>
      <c r="B866" s="12"/>
      <c r="C866" s="13"/>
      <c r="D866" s="14"/>
      <c r="E866" s="15"/>
      <c r="F866" s="16" t="str">
        <f aca="false">IF(OR(C866="",D866=""),"",EDATE(D866,IFERROR(INDEX(Paketler!$B$5:$B$24,MATCH(C866,Paketler!$A$5:$A$24,0)),0))-1)</f>
        <v/>
      </c>
      <c r="G866" s="17" t="str">
        <f aca="false">IF(F866="","",IFERROR(INDEX(Paketler!$C$5:$C$24,MATCH(C866,Paketler!$A$5:$A$24,0)),0))</f>
        <v/>
      </c>
      <c r="H866" s="17" t="str">
        <f aca="false">IF(F866="","",G866-E866)</f>
        <v/>
      </c>
      <c r="I866" s="18" t="str">
        <f aca="true">IF(F866="","",F866-TODAY())</f>
        <v/>
      </c>
      <c r="J866" s="19" t="str">
        <f aca="true">IF(F866="","",IF(TODAY()&lt;D866,"Başlamadı",IF(TODAY()&gt;F866,"Bitti",IF(F866-TODAY()&lt;=7,"Bitiyor","Aktif"))))</f>
        <v/>
      </c>
      <c r="K866" s="19" t="str">
        <f aca="false">IF(OR(J866="Aktif",J866="Bitiyor"),F866+ROW()/1000000,"")</f>
        <v/>
      </c>
    </row>
    <row r="867" customFormat="false" ht="15" hidden="false" customHeight="false" outlineLevel="0" collapsed="false">
      <c r="A867" s="12"/>
      <c r="B867" s="12"/>
      <c r="C867" s="13"/>
      <c r="D867" s="14"/>
      <c r="E867" s="15"/>
      <c r="F867" s="16" t="str">
        <f aca="false">IF(OR(C867="",D867=""),"",EDATE(D867,IFERROR(INDEX(Paketler!$B$5:$B$24,MATCH(C867,Paketler!$A$5:$A$24,0)),0))-1)</f>
        <v/>
      </c>
      <c r="G867" s="17" t="str">
        <f aca="false">IF(F867="","",IFERROR(INDEX(Paketler!$C$5:$C$24,MATCH(C867,Paketler!$A$5:$A$24,0)),0))</f>
        <v/>
      </c>
      <c r="H867" s="17" t="str">
        <f aca="false">IF(F867="","",G867-E867)</f>
        <v/>
      </c>
      <c r="I867" s="18" t="str">
        <f aca="true">IF(F867="","",F867-TODAY())</f>
        <v/>
      </c>
      <c r="J867" s="19" t="str">
        <f aca="true">IF(F867="","",IF(TODAY()&lt;D867,"Başlamadı",IF(TODAY()&gt;F867,"Bitti",IF(F867-TODAY()&lt;=7,"Bitiyor","Aktif"))))</f>
        <v/>
      </c>
      <c r="K867" s="19" t="str">
        <f aca="false">IF(OR(J867="Aktif",J867="Bitiyor"),F867+ROW()/1000000,"")</f>
        <v/>
      </c>
    </row>
    <row r="868" customFormat="false" ht="15" hidden="false" customHeight="false" outlineLevel="0" collapsed="false">
      <c r="A868" s="12"/>
      <c r="B868" s="12"/>
      <c r="C868" s="13"/>
      <c r="D868" s="14"/>
      <c r="E868" s="15"/>
      <c r="F868" s="16" t="str">
        <f aca="false">IF(OR(C868="",D868=""),"",EDATE(D868,IFERROR(INDEX(Paketler!$B$5:$B$24,MATCH(C868,Paketler!$A$5:$A$24,0)),0))-1)</f>
        <v/>
      </c>
      <c r="G868" s="17" t="str">
        <f aca="false">IF(F868="","",IFERROR(INDEX(Paketler!$C$5:$C$24,MATCH(C868,Paketler!$A$5:$A$24,0)),0))</f>
        <v/>
      </c>
      <c r="H868" s="17" t="str">
        <f aca="false">IF(F868="","",G868-E868)</f>
        <v/>
      </c>
      <c r="I868" s="18" t="str">
        <f aca="true">IF(F868="","",F868-TODAY())</f>
        <v/>
      </c>
      <c r="J868" s="19" t="str">
        <f aca="true">IF(F868="","",IF(TODAY()&lt;D868,"Başlamadı",IF(TODAY()&gt;F868,"Bitti",IF(F868-TODAY()&lt;=7,"Bitiyor","Aktif"))))</f>
        <v/>
      </c>
      <c r="K868" s="19" t="str">
        <f aca="false">IF(OR(J868="Aktif",J868="Bitiyor"),F868+ROW()/1000000,"")</f>
        <v/>
      </c>
    </row>
    <row r="869" customFormat="false" ht="15" hidden="false" customHeight="false" outlineLevel="0" collapsed="false">
      <c r="A869" s="12"/>
      <c r="B869" s="12"/>
      <c r="C869" s="13"/>
      <c r="D869" s="14"/>
      <c r="E869" s="15"/>
      <c r="F869" s="16" t="str">
        <f aca="false">IF(OR(C869="",D869=""),"",EDATE(D869,IFERROR(INDEX(Paketler!$B$5:$B$24,MATCH(C869,Paketler!$A$5:$A$24,0)),0))-1)</f>
        <v/>
      </c>
      <c r="G869" s="17" t="str">
        <f aca="false">IF(F869="","",IFERROR(INDEX(Paketler!$C$5:$C$24,MATCH(C869,Paketler!$A$5:$A$24,0)),0))</f>
        <v/>
      </c>
      <c r="H869" s="17" t="str">
        <f aca="false">IF(F869="","",G869-E869)</f>
        <v/>
      </c>
      <c r="I869" s="18" t="str">
        <f aca="true">IF(F869="","",F869-TODAY())</f>
        <v/>
      </c>
      <c r="J869" s="19" t="str">
        <f aca="true">IF(F869="","",IF(TODAY()&lt;D869,"Başlamadı",IF(TODAY()&gt;F869,"Bitti",IF(F869-TODAY()&lt;=7,"Bitiyor","Aktif"))))</f>
        <v/>
      </c>
      <c r="K869" s="19" t="str">
        <f aca="false">IF(OR(J869="Aktif",J869="Bitiyor"),F869+ROW()/1000000,"")</f>
        <v/>
      </c>
    </row>
    <row r="870" customFormat="false" ht="15" hidden="false" customHeight="false" outlineLevel="0" collapsed="false">
      <c r="A870" s="12"/>
      <c r="B870" s="12"/>
      <c r="C870" s="13"/>
      <c r="D870" s="14"/>
      <c r="E870" s="15"/>
      <c r="F870" s="16" t="str">
        <f aca="false">IF(OR(C870="",D870=""),"",EDATE(D870,IFERROR(INDEX(Paketler!$B$5:$B$24,MATCH(C870,Paketler!$A$5:$A$24,0)),0))-1)</f>
        <v/>
      </c>
      <c r="G870" s="17" t="str">
        <f aca="false">IF(F870="","",IFERROR(INDEX(Paketler!$C$5:$C$24,MATCH(C870,Paketler!$A$5:$A$24,0)),0))</f>
        <v/>
      </c>
      <c r="H870" s="17" t="str">
        <f aca="false">IF(F870="","",G870-E870)</f>
        <v/>
      </c>
      <c r="I870" s="18" t="str">
        <f aca="true">IF(F870="","",F870-TODAY())</f>
        <v/>
      </c>
      <c r="J870" s="19" t="str">
        <f aca="true">IF(F870="","",IF(TODAY()&lt;D870,"Başlamadı",IF(TODAY()&gt;F870,"Bitti",IF(F870-TODAY()&lt;=7,"Bitiyor","Aktif"))))</f>
        <v/>
      </c>
      <c r="K870" s="19" t="str">
        <f aca="false">IF(OR(J870="Aktif",J870="Bitiyor"),F870+ROW()/1000000,"")</f>
        <v/>
      </c>
    </row>
    <row r="871" customFormat="false" ht="15" hidden="false" customHeight="false" outlineLevel="0" collapsed="false">
      <c r="A871" s="12"/>
      <c r="B871" s="12"/>
      <c r="C871" s="13"/>
      <c r="D871" s="14"/>
      <c r="E871" s="15"/>
      <c r="F871" s="16" t="str">
        <f aca="false">IF(OR(C871="",D871=""),"",EDATE(D871,IFERROR(INDEX(Paketler!$B$5:$B$24,MATCH(C871,Paketler!$A$5:$A$24,0)),0))-1)</f>
        <v/>
      </c>
      <c r="G871" s="17" t="str">
        <f aca="false">IF(F871="","",IFERROR(INDEX(Paketler!$C$5:$C$24,MATCH(C871,Paketler!$A$5:$A$24,0)),0))</f>
        <v/>
      </c>
      <c r="H871" s="17" t="str">
        <f aca="false">IF(F871="","",G871-E871)</f>
        <v/>
      </c>
      <c r="I871" s="18" t="str">
        <f aca="true">IF(F871="","",F871-TODAY())</f>
        <v/>
      </c>
      <c r="J871" s="19" t="str">
        <f aca="true">IF(F871="","",IF(TODAY()&lt;D871,"Başlamadı",IF(TODAY()&gt;F871,"Bitti",IF(F871-TODAY()&lt;=7,"Bitiyor","Aktif"))))</f>
        <v/>
      </c>
      <c r="K871" s="19" t="str">
        <f aca="false">IF(OR(J871="Aktif",J871="Bitiyor"),F871+ROW()/1000000,"")</f>
        <v/>
      </c>
    </row>
    <row r="872" customFormat="false" ht="15" hidden="false" customHeight="false" outlineLevel="0" collapsed="false">
      <c r="A872" s="12"/>
      <c r="B872" s="12"/>
      <c r="C872" s="13"/>
      <c r="D872" s="14"/>
      <c r="E872" s="15"/>
      <c r="F872" s="16" t="str">
        <f aca="false">IF(OR(C872="",D872=""),"",EDATE(D872,IFERROR(INDEX(Paketler!$B$5:$B$24,MATCH(C872,Paketler!$A$5:$A$24,0)),0))-1)</f>
        <v/>
      </c>
      <c r="G872" s="17" t="str">
        <f aca="false">IF(F872="","",IFERROR(INDEX(Paketler!$C$5:$C$24,MATCH(C872,Paketler!$A$5:$A$24,0)),0))</f>
        <v/>
      </c>
      <c r="H872" s="17" t="str">
        <f aca="false">IF(F872="","",G872-E872)</f>
        <v/>
      </c>
      <c r="I872" s="18" t="str">
        <f aca="true">IF(F872="","",F872-TODAY())</f>
        <v/>
      </c>
      <c r="J872" s="19" t="str">
        <f aca="true">IF(F872="","",IF(TODAY()&lt;D872,"Başlamadı",IF(TODAY()&gt;F872,"Bitti",IF(F872-TODAY()&lt;=7,"Bitiyor","Aktif"))))</f>
        <v/>
      </c>
      <c r="K872" s="19" t="str">
        <f aca="false">IF(OR(J872="Aktif",J872="Bitiyor"),F872+ROW()/1000000,"")</f>
        <v/>
      </c>
    </row>
    <row r="873" customFormat="false" ht="15" hidden="false" customHeight="false" outlineLevel="0" collapsed="false">
      <c r="A873" s="12"/>
      <c r="B873" s="12"/>
      <c r="C873" s="13"/>
      <c r="D873" s="14"/>
      <c r="E873" s="15"/>
      <c r="F873" s="16" t="str">
        <f aca="false">IF(OR(C873="",D873=""),"",EDATE(D873,IFERROR(INDEX(Paketler!$B$5:$B$24,MATCH(C873,Paketler!$A$5:$A$24,0)),0))-1)</f>
        <v/>
      </c>
      <c r="G873" s="17" t="str">
        <f aca="false">IF(F873="","",IFERROR(INDEX(Paketler!$C$5:$C$24,MATCH(C873,Paketler!$A$5:$A$24,0)),0))</f>
        <v/>
      </c>
      <c r="H873" s="17" t="str">
        <f aca="false">IF(F873="","",G873-E873)</f>
        <v/>
      </c>
      <c r="I873" s="18" t="str">
        <f aca="true">IF(F873="","",F873-TODAY())</f>
        <v/>
      </c>
      <c r="J873" s="19" t="str">
        <f aca="true">IF(F873="","",IF(TODAY()&lt;D873,"Başlamadı",IF(TODAY()&gt;F873,"Bitti",IF(F873-TODAY()&lt;=7,"Bitiyor","Aktif"))))</f>
        <v/>
      </c>
      <c r="K873" s="19" t="str">
        <f aca="false">IF(OR(J873="Aktif",J873="Bitiyor"),F873+ROW()/1000000,"")</f>
        <v/>
      </c>
    </row>
    <row r="874" customFormat="false" ht="15" hidden="false" customHeight="false" outlineLevel="0" collapsed="false">
      <c r="A874" s="12"/>
      <c r="B874" s="12"/>
      <c r="C874" s="13"/>
      <c r="D874" s="14"/>
      <c r="E874" s="15"/>
      <c r="F874" s="16" t="str">
        <f aca="false">IF(OR(C874="",D874=""),"",EDATE(D874,IFERROR(INDEX(Paketler!$B$5:$B$24,MATCH(C874,Paketler!$A$5:$A$24,0)),0))-1)</f>
        <v/>
      </c>
      <c r="G874" s="17" t="str">
        <f aca="false">IF(F874="","",IFERROR(INDEX(Paketler!$C$5:$C$24,MATCH(C874,Paketler!$A$5:$A$24,0)),0))</f>
        <v/>
      </c>
      <c r="H874" s="17" t="str">
        <f aca="false">IF(F874="","",G874-E874)</f>
        <v/>
      </c>
      <c r="I874" s="18" t="str">
        <f aca="true">IF(F874="","",F874-TODAY())</f>
        <v/>
      </c>
      <c r="J874" s="19" t="str">
        <f aca="true">IF(F874="","",IF(TODAY()&lt;D874,"Başlamadı",IF(TODAY()&gt;F874,"Bitti",IF(F874-TODAY()&lt;=7,"Bitiyor","Aktif"))))</f>
        <v/>
      </c>
      <c r="K874" s="19" t="str">
        <f aca="false">IF(OR(J874="Aktif",J874="Bitiyor"),F874+ROW()/1000000,"")</f>
        <v/>
      </c>
    </row>
    <row r="875" customFormat="false" ht="15" hidden="false" customHeight="false" outlineLevel="0" collapsed="false">
      <c r="A875" s="12"/>
      <c r="B875" s="12"/>
      <c r="C875" s="13"/>
      <c r="D875" s="14"/>
      <c r="E875" s="15"/>
      <c r="F875" s="16" t="str">
        <f aca="false">IF(OR(C875="",D875=""),"",EDATE(D875,IFERROR(INDEX(Paketler!$B$5:$B$24,MATCH(C875,Paketler!$A$5:$A$24,0)),0))-1)</f>
        <v/>
      </c>
      <c r="G875" s="17" t="str">
        <f aca="false">IF(F875="","",IFERROR(INDEX(Paketler!$C$5:$C$24,MATCH(C875,Paketler!$A$5:$A$24,0)),0))</f>
        <v/>
      </c>
      <c r="H875" s="17" t="str">
        <f aca="false">IF(F875="","",G875-E875)</f>
        <v/>
      </c>
      <c r="I875" s="18" t="str">
        <f aca="true">IF(F875="","",F875-TODAY())</f>
        <v/>
      </c>
      <c r="J875" s="19" t="str">
        <f aca="true">IF(F875="","",IF(TODAY()&lt;D875,"Başlamadı",IF(TODAY()&gt;F875,"Bitti",IF(F875-TODAY()&lt;=7,"Bitiyor","Aktif"))))</f>
        <v/>
      </c>
      <c r="K875" s="19" t="str">
        <f aca="false">IF(OR(J875="Aktif",J875="Bitiyor"),F875+ROW()/1000000,"")</f>
        <v/>
      </c>
    </row>
    <row r="876" customFormat="false" ht="15" hidden="false" customHeight="false" outlineLevel="0" collapsed="false">
      <c r="A876" s="12"/>
      <c r="B876" s="12"/>
      <c r="C876" s="13"/>
      <c r="D876" s="14"/>
      <c r="E876" s="15"/>
      <c r="F876" s="16" t="str">
        <f aca="false">IF(OR(C876="",D876=""),"",EDATE(D876,IFERROR(INDEX(Paketler!$B$5:$B$24,MATCH(C876,Paketler!$A$5:$A$24,0)),0))-1)</f>
        <v/>
      </c>
      <c r="G876" s="17" t="str">
        <f aca="false">IF(F876="","",IFERROR(INDEX(Paketler!$C$5:$C$24,MATCH(C876,Paketler!$A$5:$A$24,0)),0))</f>
        <v/>
      </c>
      <c r="H876" s="17" t="str">
        <f aca="false">IF(F876="","",G876-E876)</f>
        <v/>
      </c>
      <c r="I876" s="18" t="str">
        <f aca="true">IF(F876="","",F876-TODAY())</f>
        <v/>
      </c>
      <c r="J876" s="19" t="str">
        <f aca="true">IF(F876="","",IF(TODAY()&lt;D876,"Başlamadı",IF(TODAY()&gt;F876,"Bitti",IF(F876-TODAY()&lt;=7,"Bitiyor","Aktif"))))</f>
        <v/>
      </c>
      <c r="K876" s="19" t="str">
        <f aca="false">IF(OR(J876="Aktif",J876="Bitiyor"),F876+ROW()/1000000,"")</f>
        <v/>
      </c>
    </row>
    <row r="877" customFormat="false" ht="15" hidden="false" customHeight="false" outlineLevel="0" collapsed="false">
      <c r="A877" s="12"/>
      <c r="B877" s="12"/>
      <c r="C877" s="13"/>
      <c r="D877" s="14"/>
      <c r="E877" s="15"/>
      <c r="F877" s="16" t="str">
        <f aca="false">IF(OR(C877="",D877=""),"",EDATE(D877,IFERROR(INDEX(Paketler!$B$5:$B$24,MATCH(C877,Paketler!$A$5:$A$24,0)),0))-1)</f>
        <v/>
      </c>
      <c r="G877" s="17" t="str">
        <f aca="false">IF(F877="","",IFERROR(INDEX(Paketler!$C$5:$C$24,MATCH(C877,Paketler!$A$5:$A$24,0)),0))</f>
        <v/>
      </c>
      <c r="H877" s="17" t="str">
        <f aca="false">IF(F877="","",G877-E877)</f>
        <v/>
      </c>
      <c r="I877" s="18" t="str">
        <f aca="true">IF(F877="","",F877-TODAY())</f>
        <v/>
      </c>
      <c r="J877" s="19" t="str">
        <f aca="true">IF(F877="","",IF(TODAY()&lt;D877,"Başlamadı",IF(TODAY()&gt;F877,"Bitti",IF(F877-TODAY()&lt;=7,"Bitiyor","Aktif"))))</f>
        <v/>
      </c>
      <c r="K877" s="19" t="str">
        <f aca="false">IF(OR(J877="Aktif",J877="Bitiyor"),F877+ROW()/1000000,"")</f>
        <v/>
      </c>
    </row>
    <row r="878" customFormat="false" ht="15" hidden="false" customHeight="false" outlineLevel="0" collapsed="false">
      <c r="A878" s="12"/>
      <c r="B878" s="12"/>
      <c r="C878" s="13"/>
      <c r="D878" s="14"/>
      <c r="E878" s="15"/>
      <c r="F878" s="16" t="str">
        <f aca="false">IF(OR(C878="",D878=""),"",EDATE(D878,IFERROR(INDEX(Paketler!$B$5:$B$24,MATCH(C878,Paketler!$A$5:$A$24,0)),0))-1)</f>
        <v/>
      </c>
      <c r="G878" s="17" t="str">
        <f aca="false">IF(F878="","",IFERROR(INDEX(Paketler!$C$5:$C$24,MATCH(C878,Paketler!$A$5:$A$24,0)),0))</f>
        <v/>
      </c>
      <c r="H878" s="17" t="str">
        <f aca="false">IF(F878="","",G878-E878)</f>
        <v/>
      </c>
      <c r="I878" s="18" t="str">
        <f aca="true">IF(F878="","",F878-TODAY())</f>
        <v/>
      </c>
      <c r="J878" s="19" t="str">
        <f aca="true">IF(F878="","",IF(TODAY()&lt;D878,"Başlamadı",IF(TODAY()&gt;F878,"Bitti",IF(F878-TODAY()&lt;=7,"Bitiyor","Aktif"))))</f>
        <v/>
      </c>
      <c r="K878" s="19" t="str">
        <f aca="false">IF(OR(J878="Aktif",J878="Bitiyor"),F878+ROW()/1000000,"")</f>
        <v/>
      </c>
    </row>
    <row r="879" customFormat="false" ht="15" hidden="false" customHeight="false" outlineLevel="0" collapsed="false">
      <c r="A879" s="12"/>
      <c r="B879" s="12"/>
      <c r="C879" s="13"/>
      <c r="D879" s="14"/>
      <c r="E879" s="15"/>
      <c r="F879" s="16" t="str">
        <f aca="false">IF(OR(C879="",D879=""),"",EDATE(D879,IFERROR(INDEX(Paketler!$B$5:$B$24,MATCH(C879,Paketler!$A$5:$A$24,0)),0))-1)</f>
        <v/>
      </c>
      <c r="G879" s="17" t="str">
        <f aca="false">IF(F879="","",IFERROR(INDEX(Paketler!$C$5:$C$24,MATCH(C879,Paketler!$A$5:$A$24,0)),0))</f>
        <v/>
      </c>
      <c r="H879" s="17" t="str">
        <f aca="false">IF(F879="","",G879-E879)</f>
        <v/>
      </c>
      <c r="I879" s="18" t="str">
        <f aca="true">IF(F879="","",F879-TODAY())</f>
        <v/>
      </c>
      <c r="J879" s="19" t="str">
        <f aca="true">IF(F879="","",IF(TODAY()&lt;D879,"Başlamadı",IF(TODAY()&gt;F879,"Bitti",IF(F879-TODAY()&lt;=7,"Bitiyor","Aktif"))))</f>
        <v/>
      </c>
      <c r="K879" s="19" t="str">
        <f aca="false">IF(OR(J879="Aktif",J879="Bitiyor"),F879+ROW()/1000000,"")</f>
        <v/>
      </c>
    </row>
    <row r="880" customFormat="false" ht="15" hidden="false" customHeight="false" outlineLevel="0" collapsed="false">
      <c r="A880" s="12"/>
      <c r="B880" s="12"/>
      <c r="C880" s="13"/>
      <c r="D880" s="14"/>
      <c r="E880" s="15"/>
      <c r="F880" s="16" t="str">
        <f aca="false">IF(OR(C880="",D880=""),"",EDATE(D880,IFERROR(INDEX(Paketler!$B$5:$B$24,MATCH(C880,Paketler!$A$5:$A$24,0)),0))-1)</f>
        <v/>
      </c>
      <c r="G880" s="17" t="str">
        <f aca="false">IF(F880="","",IFERROR(INDEX(Paketler!$C$5:$C$24,MATCH(C880,Paketler!$A$5:$A$24,0)),0))</f>
        <v/>
      </c>
      <c r="H880" s="17" t="str">
        <f aca="false">IF(F880="","",G880-E880)</f>
        <v/>
      </c>
      <c r="I880" s="18" t="str">
        <f aca="true">IF(F880="","",F880-TODAY())</f>
        <v/>
      </c>
      <c r="J880" s="19" t="str">
        <f aca="true">IF(F880="","",IF(TODAY()&lt;D880,"Başlamadı",IF(TODAY()&gt;F880,"Bitti",IF(F880-TODAY()&lt;=7,"Bitiyor","Aktif"))))</f>
        <v/>
      </c>
      <c r="K880" s="19" t="str">
        <f aca="false">IF(OR(J880="Aktif",J880="Bitiyor"),F880+ROW()/1000000,"")</f>
        <v/>
      </c>
    </row>
    <row r="881" customFormat="false" ht="15" hidden="false" customHeight="false" outlineLevel="0" collapsed="false">
      <c r="A881" s="12"/>
      <c r="B881" s="12"/>
      <c r="C881" s="13"/>
      <c r="D881" s="14"/>
      <c r="E881" s="15"/>
      <c r="F881" s="16" t="str">
        <f aca="false">IF(OR(C881="",D881=""),"",EDATE(D881,IFERROR(INDEX(Paketler!$B$5:$B$24,MATCH(C881,Paketler!$A$5:$A$24,0)),0))-1)</f>
        <v/>
      </c>
      <c r="G881" s="17" t="str">
        <f aca="false">IF(F881="","",IFERROR(INDEX(Paketler!$C$5:$C$24,MATCH(C881,Paketler!$A$5:$A$24,0)),0))</f>
        <v/>
      </c>
      <c r="H881" s="17" t="str">
        <f aca="false">IF(F881="","",G881-E881)</f>
        <v/>
      </c>
      <c r="I881" s="18" t="str">
        <f aca="true">IF(F881="","",F881-TODAY())</f>
        <v/>
      </c>
      <c r="J881" s="19" t="str">
        <f aca="true">IF(F881="","",IF(TODAY()&lt;D881,"Başlamadı",IF(TODAY()&gt;F881,"Bitti",IF(F881-TODAY()&lt;=7,"Bitiyor","Aktif"))))</f>
        <v/>
      </c>
      <c r="K881" s="19" t="str">
        <f aca="false">IF(OR(J881="Aktif",J881="Bitiyor"),F881+ROW()/1000000,"")</f>
        <v/>
      </c>
    </row>
    <row r="882" customFormat="false" ht="15" hidden="false" customHeight="false" outlineLevel="0" collapsed="false">
      <c r="A882" s="12"/>
      <c r="B882" s="12"/>
      <c r="C882" s="13"/>
      <c r="D882" s="14"/>
      <c r="E882" s="15"/>
      <c r="F882" s="16" t="str">
        <f aca="false">IF(OR(C882="",D882=""),"",EDATE(D882,IFERROR(INDEX(Paketler!$B$5:$B$24,MATCH(C882,Paketler!$A$5:$A$24,0)),0))-1)</f>
        <v/>
      </c>
      <c r="G882" s="17" t="str">
        <f aca="false">IF(F882="","",IFERROR(INDEX(Paketler!$C$5:$C$24,MATCH(C882,Paketler!$A$5:$A$24,0)),0))</f>
        <v/>
      </c>
      <c r="H882" s="17" t="str">
        <f aca="false">IF(F882="","",G882-E882)</f>
        <v/>
      </c>
      <c r="I882" s="18" t="str">
        <f aca="true">IF(F882="","",F882-TODAY())</f>
        <v/>
      </c>
      <c r="J882" s="19" t="str">
        <f aca="true">IF(F882="","",IF(TODAY()&lt;D882,"Başlamadı",IF(TODAY()&gt;F882,"Bitti",IF(F882-TODAY()&lt;=7,"Bitiyor","Aktif"))))</f>
        <v/>
      </c>
      <c r="K882" s="19" t="str">
        <f aca="false">IF(OR(J882="Aktif",J882="Bitiyor"),F882+ROW()/1000000,"")</f>
        <v/>
      </c>
    </row>
    <row r="883" customFormat="false" ht="15" hidden="false" customHeight="false" outlineLevel="0" collapsed="false">
      <c r="A883" s="12"/>
      <c r="B883" s="12"/>
      <c r="C883" s="13"/>
      <c r="D883" s="14"/>
      <c r="E883" s="15"/>
      <c r="F883" s="16" t="str">
        <f aca="false">IF(OR(C883="",D883=""),"",EDATE(D883,IFERROR(INDEX(Paketler!$B$5:$B$24,MATCH(C883,Paketler!$A$5:$A$24,0)),0))-1)</f>
        <v/>
      </c>
      <c r="G883" s="17" t="str">
        <f aca="false">IF(F883="","",IFERROR(INDEX(Paketler!$C$5:$C$24,MATCH(C883,Paketler!$A$5:$A$24,0)),0))</f>
        <v/>
      </c>
      <c r="H883" s="17" t="str">
        <f aca="false">IF(F883="","",G883-E883)</f>
        <v/>
      </c>
      <c r="I883" s="18" t="str">
        <f aca="true">IF(F883="","",F883-TODAY())</f>
        <v/>
      </c>
      <c r="J883" s="19" t="str">
        <f aca="true">IF(F883="","",IF(TODAY()&lt;D883,"Başlamadı",IF(TODAY()&gt;F883,"Bitti",IF(F883-TODAY()&lt;=7,"Bitiyor","Aktif"))))</f>
        <v/>
      </c>
      <c r="K883" s="19" t="str">
        <f aca="false">IF(OR(J883="Aktif",J883="Bitiyor"),F883+ROW()/1000000,"")</f>
        <v/>
      </c>
    </row>
    <row r="884" customFormat="false" ht="15" hidden="false" customHeight="false" outlineLevel="0" collapsed="false">
      <c r="A884" s="12"/>
      <c r="B884" s="12"/>
      <c r="C884" s="13"/>
      <c r="D884" s="14"/>
      <c r="E884" s="15"/>
      <c r="F884" s="16" t="str">
        <f aca="false">IF(OR(C884="",D884=""),"",EDATE(D884,IFERROR(INDEX(Paketler!$B$5:$B$24,MATCH(C884,Paketler!$A$5:$A$24,0)),0))-1)</f>
        <v/>
      </c>
      <c r="G884" s="17" t="str">
        <f aca="false">IF(F884="","",IFERROR(INDEX(Paketler!$C$5:$C$24,MATCH(C884,Paketler!$A$5:$A$24,0)),0))</f>
        <v/>
      </c>
      <c r="H884" s="17" t="str">
        <f aca="false">IF(F884="","",G884-E884)</f>
        <v/>
      </c>
      <c r="I884" s="18" t="str">
        <f aca="true">IF(F884="","",F884-TODAY())</f>
        <v/>
      </c>
      <c r="J884" s="19" t="str">
        <f aca="true">IF(F884="","",IF(TODAY()&lt;D884,"Başlamadı",IF(TODAY()&gt;F884,"Bitti",IF(F884-TODAY()&lt;=7,"Bitiyor","Aktif"))))</f>
        <v/>
      </c>
      <c r="K884" s="19" t="str">
        <f aca="false">IF(OR(J884="Aktif",J884="Bitiyor"),F884+ROW()/1000000,"")</f>
        <v/>
      </c>
    </row>
    <row r="885" customFormat="false" ht="15" hidden="false" customHeight="false" outlineLevel="0" collapsed="false">
      <c r="A885" s="12"/>
      <c r="B885" s="12"/>
      <c r="C885" s="13"/>
      <c r="D885" s="14"/>
      <c r="E885" s="15"/>
      <c r="F885" s="16" t="str">
        <f aca="false">IF(OR(C885="",D885=""),"",EDATE(D885,IFERROR(INDEX(Paketler!$B$5:$B$24,MATCH(C885,Paketler!$A$5:$A$24,0)),0))-1)</f>
        <v/>
      </c>
      <c r="G885" s="17" t="str">
        <f aca="false">IF(F885="","",IFERROR(INDEX(Paketler!$C$5:$C$24,MATCH(C885,Paketler!$A$5:$A$24,0)),0))</f>
        <v/>
      </c>
      <c r="H885" s="17" t="str">
        <f aca="false">IF(F885="","",G885-E885)</f>
        <v/>
      </c>
      <c r="I885" s="18" t="str">
        <f aca="true">IF(F885="","",F885-TODAY())</f>
        <v/>
      </c>
      <c r="J885" s="19" t="str">
        <f aca="true">IF(F885="","",IF(TODAY()&lt;D885,"Başlamadı",IF(TODAY()&gt;F885,"Bitti",IF(F885-TODAY()&lt;=7,"Bitiyor","Aktif"))))</f>
        <v/>
      </c>
      <c r="K885" s="19" t="str">
        <f aca="false">IF(OR(J885="Aktif",J885="Bitiyor"),F885+ROW()/1000000,"")</f>
        <v/>
      </c>
    </row>
    <row r="886" customFormat="false" ht="15" hidden="false" customHeight="false" outlineLevel="0" collapsed="false">
      <c r="A886" s="12"/>
      <c r="B886" s="12"/>
      <c r="C886" s="13"/>
      <c r="D886" s="14"/>
      <c r="E886" s="15"/>
      <c r="F886" s="16" t="str">
        <f aca="false">IF(OR(C886="",D886=""),"",EDATE(D886,IFERROR(INDEX(Paketler!$B$5:$B$24,MATCH(C886,Paketler!$A$5:$A$24,0)),0))-1)</f>
        <v/>
      </c>
      <c r="G886" s="17" t="str">
        <f aca="false">IF(F886="","",IFERROR(INDEX(Paketler!$C$5:$C$24,MATCH(C886,Paketler!$A$5:$A$24,0)),0))</f>
        <v/>
      </c>
      <c r="H886" s="17" t="str">
        <f aca="false">IF(F886="","",G886-E886)</f>
        <v/>
      </c>
      <c r="I886" s="18" t="str">
        <f aca="true">IF(F886="","",F886-TODAY())</f>
        <v/>
      </c>
      <c r="J886" s="19" t="str">
        <f aca="true">IF(F886="","",IF(TODAY()&lt;D886,"Başlamadı",IF(TODAY()&gt;F886,"Bitti",IF(F886-TODAY()&lt;=7,"Bitiyor","Aktif"))))</f>
        <v/>
      </c>
      <c r="K886" s="19" t="str">
        <f aca="false">IF(OR(J886="Aktif",J886="Bitiyor"),F886+ROW()/1000000,"")</f>
        <v/>
      </c>
    </row>
    <row r="887" customFormat="false" ht="15" hidden="false" customHeight="false" outlineLevel="0" collapsed="false">
      <c r="A887" s="12"/>
      <c r="B887" s="12"/>
      <c r="C887" s="13"/>
      <c r="D887" s="14"/>
      <c r="E887" s="15"/>
      <c r="F887" s="16" t="str">
        <f aca="false">IF(OR(C887="",D887=""),"",EDATE(D887,IFERROR(INDEX(Paketler!$B$5:$B$24,MATCH(C887,Paketler!$A$5:$A$24,0)),0))-1)</f>
        <v/>
      </c>
      <c r="G887" s="17" t="str">
        <f aca="false">IF(F887="","",IFERROR(INDEX(Paketler!$C$5:$C$24,MATCH(C887,Paketler!$A$5:$A$24,0)),0))</f>
        <v/>
      </c>
      <c r="H887" s="17" t="str">
        <f aca="false">IF(F887="","",G887-E887)</f>
        <v/>
      </c>
      <c r="I887" s="18" t="str">
        <f aca="true">IF(F887="","",F887-TODAY())</f>
        <v/>
      </c>
      <c r="J887" s="19" t="str">
        <f aca="true">IF(F887="","",IF(TODAY()&lt;D887,"Başlamadı",IF(TODAY()&gt;F887,"Bitti",IF(F887-TODAY()&lt;=7,"Bitiyor","Aktif"))))</f>
        <v/>
      </c>
      <c r="K887" s="19" t="str">
        <f aca="false">IF(OR(J887="Aktif",J887="Bitiyor"),F887+ROW()/1000000,"")</f>
        <v/>
      </c>
    </row>
    <row r="888" customFormat="false" ht="15" hidden="false" customHeight="false" outlineLevel="0" collapsed="false">
      <c r="A888" s="12"/>
      <c r="B888" s="12"/>
      <c r="C888" s="13"/>
      <c r="D888" s="14"/>
      <c r="E888" s="15"/>
      <c r="F888" s="16" t="str">
        <f aca="false">IF(OR(C888="",D888=""),"",EDATE(D888,IFERROR(INDEX(Paketler!$B$5:$B$24,MATCH(C888,Paketler!$A$5:$A$24,0)),0))-1)</f>
        <v/>
      </c>
      <c r="G888" s="17" t="str">
        <f aca="false">IF(F888="","",IFERROR(INDEX(Paketler!$C$5:$C$24,MATCH(C888,Paketler!$A$5:$A$24,0)),0))</f>
        <v/>
      </c>
      <c r="H888" s="17" t="str">
        <f aca="false">IF(F888="","",G888-E888)</f>
        <v/>
      </c>
      <c r="I888" s="18" t="str">
        <f aca="true">IF(F888="","",F888-TODAY())</f>
        <v/>
      </c>
      <c r="J888" s="19" t="str">
        <f aca="true">IF(F888="","",IF(TODAY()&lt;D888,"Başlamadı",IF(TODAY()&gt;F888,"Bitti",IF(F888-TODAY()&lt;=7,"Bitiyor","Aktif"))))</f>
        <v/>
      </c>
      <c r="K888" s="19" t="str">
        <f aca="false">IF(OR(J888="Aktif",J888="Bitiyor"),F888+ROW()/1000000,"")</f>
        <v/>
      </c>
    </row>
    <row r="889" customFormat="false" ht="15" hidden="false" customHeight="false" outlineLevel="0" collapsed="false">
      <c r="A889" s="12"/>
      <c r="B889" s="12"/>
      <c r="C889" s="13"/>
      <c r="D889" s="14"/>
      <c r="E889" s="15"/>
      <c r="F889" s="16" t="str">
        <f aca="false">IF(OR(C889="",D889=""),"",EDATE(D889,IFERROR(INDEX(Paketler!$B$5:$B$24,MATCH(C889,Paketler!$A$5:$A$24,0)),0))-1)</f>
        <v/>
      </c>
      <c r="G889" s="17" t="str">
        <f aca="false">IF(F889="","",IFERROR(INDEX(Paketler!$C$5:$C$24,MATCH(C889,Paketler!$A$5:$A$24,0)),0))</f>
        <v/>
      </c>
      <c r="H889" s="17" t="str">
        <f aca="false">IF(F889="","",G889-E889)</f>
        <v/>
      </c>
      <c r="I889" s="18" t="str">
        <f aca="true">IF(F889="","",F889-TODAY())</f>
        <v/>
      </c>
      <c r="J889" s="19" t="str">
        <f aca="true">IF(F889="","",IF(TODAY()&lt;D889,"Başlamadı",IF(TODAY()&gt;F889,"Bitti",IF(F889-TODAY()&lt;=7,"Bitiyor","Aktif"))))</f>
        <v/>
      </c>
      <c r="K889" s="19" t="str">
        <f aca="false">IF(OR(J889="Aktif",J889="Bitiyor"),F889+ROW()/1000000,"")</f>
        <v/>
      </c>
    </row>
    <row r="890" customFormat="false" ht="15" hidden="false" customHeight="false" outlineLevel="0" collapsed="false">
      <c r="A890" s="12"/>
      <c r="B890" s="12"/>
      <c r="C890" s="13"/>
      <c r="D890" s="14"/>
      <c r="E890" s="15"/>
      <c r="F890" s="16" t="str">
        <f aca="false">IF(OR(C890="",D890=""),"",EDATE(D890,IFERROR(INDEX(Paketler!$B$5:$B$24,MATCH(C890,Paketler!$A$5:$A$24,0)),0))-1)</f>
        <v/>
      </c>
      <c r="G890" s="17" t="str">
        <f aca="false">IF(F890="","",IFERROR(INDEX(Paketler!$C$5:$C$24,MATCH(C890,Paketler!$A$5:$A$24,0)),0))</f>
        <v/>
      </c>
      <c r="H890" s="17" t="str">
        <f aca="false">IF(F890="","",G890-E890)</f>
        <v/>
      </c>
      <c r="I890" s="18" t="str">
        <f aca="true">IF(F890="","",F890-TODAY())</f>
        <v/>
      </c>
      <c r="J890" s="19" t="str">
        <f aca="true">IF(F890="","",IF(TODAY()&lt;D890,"Başlamadı",IF(TODAY()&gt;F890,"Bitti",IF(F890-TODAY()&lt;=7,"Bitiyor","Aktif"))))</f>
        <v/>
      </c>
      <c r="K890" s="19" t="str">
        <f aca="false">IF(OR(J890="Aktif",J890="Bitiyor"),F890+ROW()/1000000,"")</f>
        <v/>
      </c>
    </row>
    <row r="891" customFormat="false" ht="15" hidden="false" customHeight="false" outlineLevel="0" collapsed="false">
      <c r="A891" s="12"/>
      <c r="B891" s="12"/>
      <c r="C891" s="13"/>
      <c r="D891" s="14"/>
      <c r="E891" s="15"/>
      <c r="F891" s="16" t="str">
        <f aca="false">IF(OR(C891="",D891=""),"",EDATE(D891,IFERROR(INDEX(Paketler!$B$5:$B$24,MATCH(C891,Paketler!$A$5:$A$24,0)),0))-1)</f>
        <v/>
      </c>
      <c r="G891" s="17" t="str">
        <f aca="false">IF(F891="","",IFERROR(INDEX(Paketler!$C$5:$C$24,MATCH(C891,Paketler!$A$5:$A$24,0)),0))</f>
        <v/>
      </c>
      <c r="H891" s="17" t="str">
        <f aca="false">IF(F891="","",G891-E891)</f>
        <v/>
      </c>
      <c r="I891" s="18" t="str">
        <f aca="true">IF(F891="","",F891-TODAY())</f>
        <v/>
      </c>
      <c r="J891" s="19" t="str">
        <f aca="true">IF(F891="","",IF(TODAY()&lt;D891,"Başlamadı",IF(TODAY()&gt;F891,"Bitti",IF(F891-TODAY()&lt;=7,"Bitiyor","Aktif"))))</f>
        <v/>
      </c>
      <c r="K891" s="19" t="str">
        <f aca="false">IF(OR(J891="Aktif",J891="Bitiyor"),F891+ROW()/1000000,"")</f>
        <v/>
      </c>
    </row>
    <row r="892" customFormat="false" ht="15" hidden="false" customHeight="false" outlineLevel="0" collapsed="false">
      <c r="A892" s="12"/>
      <c r="B892" s="12"/>
      <c r="C892" s="13"/>
      <c r="D892" s="14"/>
      <c r="E892" s="15"/>
      <c r="F892" s="16" t="str">
        <f aca="false">IF(OR(C892="",D892=""),"",EDATE(D892,IFERROR(INDEX(Paketler!$B$5:$B$24,MATCH(C892,Paketler!$A$5:$A$24,0)),0))-1)</f>
        <v/>
      </c>
      <c r="G892" s="17" t="str">
        <f aca="false">IF(F892="","",IFERROR(INDEX(Paketler!$C$5:$C$24,MATCH(C892,Paketler!$A$5:$A$24,0)),0))</f>
        <v/>
      </c>
      <c r="H892" s="17" t="str">
        <f aca="false">IF(F892="","",G892-E892)</f>
        <v/>
      </c>
      <c r="I892" s="18" t="str">
        <f aca="true">IF(F892="","",F892-TODAY())</f>
        <v/>
      </c>
      <c r="J892" s="19" t="str">
        <f aca="true">IF(F892="","",IF(TODAY()&lt;D892,"Başlamadı",IF(TODAY()&gt;F892,"Bitti",IF(F892-TODAY()&lt;=7,"Bitiyor","Aktif"))))</f>
        <v/>
      </c>
      <c r="K892" s="19" t="str">
        <f aca="false">IF(OR(J892="Aktif",J892="Bitiyor"),F892+ROW()/1000000,"")</f>
        <v/>
      </c>
    </row>
    <row r="893" customFormat="false" ht="15" hidden="false" customHeight="false" outlineLevel="0" collapsed="false">
      <c r="A893" s="12"/>
      <c r="B893" s="12"/>
      <c r="C893" s="13"/>
      <c r="D893" s="14"/>
      <c r="E893" s="15"/>
      <c r="F893" s="16" t="str">
        <f aca="false">IF(OR(C893="",D893=""),"",EDATE(D893,IFERROR(INDEX(Paketler!$B$5:$B$24,MATCH(C893,Paketler!$A$5:$A$24,0)),0))-1)</f>
        <v/>
      </c>
      <c r="G893" s="17" t="str">
        <f aca="false">IF(F893="","",IFERROR(INDEX(Paketler!$C$5:$C$24,MATCH(C893,Paketler!$A$5:$A$24,0)),0))</f>
        <v/>
      </c>
      <c r="H893" s="17" t="str">
        <f aca="false">IF(F893="","",G893-E893)</f>
        <v/>
      </c>
      <c r="I893" s="18" t="str">
        <f aca="true">IF(F893="","",F893-TODAY())</f>
        <v/>
      </c>
      <c r="J893" s="19" t="str">
        <f aca="true">IF(F893="","",IF(TODAY()&lt;D893,"Başlamadı",IF(TODAY()&gt;F893,"Bitti",IF(F893-TODAY()&lt;=7,"Bitiyor","Aktif"))))</f>
        <v/>
      </c>
      <c r="K893" s="19" t="str">
        <f aca="false">IF(OR(J893="Aktif",J893="Bitiyor"),F893+ROW()/1000000,"")</f>
        <v/>
      </c>
    </row>
    <row r="894" customFormat="false" ht="15" hidden="false" customHeight="false" outlineLevel="0" collapsed="false">
      <c r="A894" s="12"/>
      <c r="B894" s="12"/>
      <c r="C894" s="13"/>
      <c r="D894" s="14"/>
      <c r="E894" s="15"/>
      <c r="F894" s="16" t="str">
        <f aca="false">IF(OR(C894="",D894=""),"",EDATE(D894,IFERROR(INDEX(Paketler!$B$5:$B$24,MATCH(C894,Paketler!$A$5:$A$24,0)),0))-1)</f>
        <v/>
      </c>
      <c r="G894" s="17" t="str">
        <f aca="false">IF(F894="","",IFERROR(INDEX(Paketler!$C$5:$C$24,MATCH(C894,Paketler!$A$5:$A$24,0)),0))</f>
        <v/>
      </c>
      <c r="H894" s="17" t="str">
        <f aca="false">IF(F894="","",G894-E894)</f>
        <v/>
      </c>
      <c r="I894" s="18" t="str">
        <f aca="true">IF(F894="","",F894-TODAY())</f>
        <v/>
      </c>
      <c r="J894" s="19" t="str">
        <f aca="true">IF(F894="","",IF(TODAY()&lt;D894,"Başlamadı",IF(TODAY()&gt;F894,"Bitti",IF(F894-TODAY()&lt;=7,"Bitiyor","Aktif"))))</f>
        <v/>
      </c>
      <c r="K894" s="19" t="str">
        <f aca="false">IF(OR(J894="Aktif",J894="Bitiyor"),F894+ROW()/1000000,"")</f>
        <v/>
      </c>
    </row>
    <row r="895" customFormat="false" ht="15" hidden="false" customHeight="false" outlineLevel="0" collapsed="false">
      <c r="A895" s="12"/>
      <c r="B895" s="12"/>
      <c r="C895" s="13"/>
      <c r="D895" s="14"/>
      <c r="E895" s="15"/>
      <c r="F895" s="16" t="str">
        <f aca="false">IF(OR(C895="",D895=""),"",EDATE(D895,IFERROR(INDEX(Paketler!$B$5:$B$24,MATCH(C895,Paketler!$A$5:$A$24,0)),0))-1)</f>
        <v/>
      </c>
      <c r="G895" s="17" t="str">
        <f aca="false">IF(F895="","",IFERROR(INDEX(Paketler!$C$5:$C$24,MATCH(C895,Paketler!$A$5:$A$24,0)),0))</f>
        <v/>
      </c>
      <c r="H895" s="17" t="str">
        <f aca="false">IF(F895="","",G895-E895)</f>
        <v/>
      </c>
      <c r="I895" s="18" t="str">
        <f aca="true">IF(F895="","",F895-TODAY())</f>
        <v/>
      </c>
      <c r="J895" s="19" t="str">
        <f aca="true">IF(F895="","",IF(TODAY()&lt;D895,"Başlamadı",IF(TODAY()&gt;F895,"Bitti",IF(F895-TODAY()&lt;=7,"Bitiyor","Aktif"))))</f>
        <v/>
      </c>
      <c r="K895" s="19" t="str">
        <f aca="false">IF(OR(J895="Aktif",J895="Bitiyor"),F895+ROW()/1000000,"")</f>
        <v/>
      </c>
    </row>
    <row r="896" customFormat="false" ht="15" hidden="false" customHeight="false" outlineLevel="0" collapsed="false">
      <c r="A896" s="12"/>
      <c r="B896" s="12"/>
      <c r="C896" s="13"/>
      <c r="D896" s="14"/>
      <c r="E896" s="15"/>
      <c r="F896" s="16" t="str">
        <f aca="false">IF(OR(C896="",D896=""),"",EDATE(D896,IFERROR(INDEX(Paketler!$B$5:$B$24,MATCH(C896,Paketler!$A$5:$A$24,0)),0))-1)</f>
        <v/>
      </c>
      <c r="G896" s="17" t="str">
        <f aca="false">IF(F896="","",IFERROR(INDEX(Paketler!$C$5:$C$24,MATCH(C896,Paketler!$A$5:$A$24,0)),0))</f>
        <v/>
      </c>
      <c r="H896" s="17" t="str">
        <f aca="false">IF(F896="","",G896-E896)</f>
        <v/>
      </c>
      <c r="I896" s="18" t="str">
        <f aca="true">IF(F896="","",F896-TODAY())</f>
        <v/>
      </c>
      <c r="J896" s="19" t="str">
        <f aca="true">IF(F896="","",IF(TODAY()&lt;D896,"Başlamadı",IF(TODAY()&gt;F896,"Bitti",IF(F896-TODAY()&lt;=7,"Bitiyor","Aktif"))))</f>
        <v/>
      </c>
      <c r="K896" s="19" t="str">
        <f aca="false">IF(OR(J896="Aktif",J896="Bitiyor"),F896+ROW()/1000000,"")</f>
        <v/>
      </c>
    </row>
    <row r="897" customFormat="false" ht="15" hidden="false" customHeight="false" outlineLevel="0" collapsed="false">
      <c r="A897" s="12"/>
      <c r="B897" s="12"/>
      <c r="C897" s="13"/>
      <c r="D897" s="14"/>
      <c r="E897" s="15"/>
      <c r="F897" s="16" t="str">
        <f aca="false">IF(OR(C897="",D897=""),"",EDATE(D897,IFERROR(INDEX(Paketler!$B$5:$B$24,MATCH(C897,Paketler!$A$5:$A$24,0)),0))-1)</f>
        <v/>
      </c>
      <c r="G897" s="17" t="str">
        <f aca="false">IF(F897="","",IFERROR(INDEX(Paketler!$C$5:$C$24,MATCH(C897,Paketler!$A$5:$A$24,0)),0))</f>
        <v/>
      </c>
      <c r="H897" s="17" t="str">
        <f aca="false">IF(F897="","",G897-E897)</f>
        <v/>
      </c>
      <c r="I897" s="18" t="str">
        <f aca="true">IF(F897="","",F897-TODAY())</f>
        <v/>
      </c>
      <c r="J897" s="19" t="str">
        <f aca="true">IF(F897="","",IF(TODAY()&lt;D897,"Başlamadı",IF(TODAY()&gt;F897,"Bitti",IF(F897-TODAY()&lt;=7,"Bitiyor","Aktif"))))</f>
        <v/>
      </c>
      <c r="K897" s="19" t="str">
        <f aca="false">IF(OR(J897="Aktif",J897="Bitiyor"),F897+ROW()/1000000,"")</f>
        <v/>
      </c>
    </row>
    <row r="898" customFormat="false" ht="15" hidden="false" customHeight="false" outlineLevel="0" collapsed="false">
      <c r="A898" s="12"/>
      <c r="B898" s="12"/>
      <c r="C898" s="13"/>
      <c r="D898" s="14"/>
      <c r="E898" s="15"/>
      <c r="F898" s="16" t="str">
        <f aca="false">IF(OR(C898="",D898=""),"",EDATE(D898,IFERROR(INDEX(Paketler!$B$5:$B$24,MATCH(C898,Paketler!$A$5:$A$24,0)),0))-1)</f>
        <v/>
      </c>
      <c r="G898" s="17" t="str">
        <f aca="false">IF(F898="","",IFERROR(INDEX(Paketler!$C$5:$C$24,MATCH(C898,Paketler!$A$5:$A$24,0)),0))</f>
        <v/>
      </c>
      <c r="H898" s="17" t="str">
        <f aca="false">IF(F898="","",G898-E898)</f>
        <v/>
      </c>
      <c r="I898" s="18" t="str">
        <f aca="true">IF(F898="","",F898-TODAY())</f>
        <v/>
      </c>
      <c r="J898" s="19" t="str">
        <f aca="true">IF(F898="","",IF(TODAY()&lt;D898,"Başlamadı",IF(TODAY()&gt;F898,"Bitti",IF(F898-TODAY()&lt;=7,"Bitiyor","Aktif"))))</f>
        <v/>
      </c>
      <c r="K898" s="19" t="str">
        <f aca="false">IF(OR(J898="Aktif",J898="Bitiyor"),F898+ROW()/1000000,"")</f>
        <v/>
      </c>
    </row>
    <row r="899" customFormat="false" ht="15" hidden="false" customHeight="false" outlineLevel="0" collapsed="false">
      <c r="A899" s="12"/>
      <c r="B899" s="12"/>
      <c r="C899" s="13"/>
      <c r="D899" s="14"/>
      <c r="E899" s="15"/>
      <c r="F899" s="16" t="str">
        <f aca="false">IF(OR(C899="",D899=""),"",EDATE(D899,IFERROR(INDEX(Paketler!$B$5:$B$24,MATCH(C899,Paketler!$A$5:$A$24,0)),0))-1)</f>
        <v/>
      </c>
      <c r="G899" s="17" t="str">
        <f aca="false">IF(F899="","",IFERROR(INDEX(Paketler!$C$5:$C$24,MATCH(C899,Paketler!$A$5:$A$24,0)),0))</f>
        <v/>
      </c>
      <c r="H899" s="17" t="str">
        <f aca="false">IF(F899="","",G899-E899)</f>
        <v/>
      </c>
      <c r="I899" s="18" t="str">
        <f aca="true">IF(F899="","",F899-TODAY())</f>
        <v/>
      </c>
      <c r="J899" s="19" t="str">
        <f aca="true">IF(F899="","",IF(TODAY()&lt;D899,"Başlamadı",IF(TODAY()&gt;F899,"Bitti",IF(F899-TODAY()&lt;=7,"Bitiyor","Aktif"))))</f>
        <v/>
      </c>
      <c r="K899" s="19" t="str">
        <f aca="false">IF(OR(J899="Aktif",J899="Bitiyor"),F899+ROW()/1000000,"")</f>
        <v/>
      </c>
    </row>
    <row r="900" customFormat="false" ht="15" hidden="false" customHeight="false" outlineLevel="0" collapsed="false">
      <c r="A900" s="12"/>
      <c r="B900" s="12"/>
      <c r="C900" s="13"/>
      <c r="D900" s="14"/>
      <c r="E900" s="15"/>
      <c r="F900" s="16" t="str">
        <f aca="false">IF(OR(C900="",D900=""),"",EDATE(D900,IFERROR(INDEX(Paketler!$B$5:$B$24,MATCH(C900,Paketler!$A$5:$A$24,0)),0))-1)</f>
        <v/>
      </c>
      <c r="G900" s="17" t="str">
        <f aca="false">IF(F900="","",IFERROR(INDEX(Paketler!$C$5:$C$24,MATCH(C900,Paketler!$A$5:$A$24,0)),0))</f>
        <v/>
      </c>
      <c r="H900" s="17" t="str">
        <f aca="false">IF(F900="","",G900-E900)</f>
        <v/>
      </c>
      <c r="I900" s="18" t="str">
        <f aca="true">IF(F900="","",F900-TODAY())</f>
        <v/>
      </c>
      <c r="J900" s="19" t="str">
        <f aca="true">IF(F900="","",IF(TODAY()&lt;D900,"Başlamadı",IF(TODAY()&gt;F900,"Bitti",IF(F900-TODAY()&lt;=7,"Bitiyor","Aktif"))))</f>
        <v/>
      </c>
      <c r="K900" s="19" t="str">
        <f aca="false">IF(OR(J900="Aktif",J900="Bitiyor"),F900+ROW()/1000000,"")</f>
        <v/>
      </c>
    </row>
    <row r="901" customFormat="false" ht="15" hidden="false" customHeight="false" outlineLevel="0" collapsed="false">
      <c r="A901" s="12"/>
      <c r="B901" s="12"/>
      <c r="C901" s="13"/>
      <c r="D901" s="14"/>
      <c r="E901" s="15"/>
      <c r="F901" s="16" t="str">
        <f aca="false">IF(OR(C901="",D901=""),"",EDATE(D901,IFERROR(INDEX(Paketler!$B$5:$B$24,MATCH(C901,Paketler!$A$5:$A$24,0)),0))-1)</f>
        <v/>
      </c>
      <c r="G901" s="17" t="str">
        <f aca="false">IF(F901="","",IFERROR(INDEX(Paketler!$C$5:$C$24,MATCH(C901,Paketler!$A$5:$A$24,0)),0))</f>
        <v/>
      </c>
      <c r="H901" s="17" t="str">
        <f aca="false">IF(F901="","",G901-E901)</f>
        <v/>
      </c>
      <c r="I901" s="18" t="str">
        <f aca="true">IF(F901="","",F901-TODAY())</f>
        <v/>
      </c>
      <c r="J901" s="19" t="str">
        <f aca="true">IF(F901="","",IF(TODAY()&lt;D901,"Başlamadı",IF(TODAY()&gt;F901,"Bitti",IF(F901-TODAY()&lt;=7,"Bitiyor","Aktif"))))</f>
        <v/>
      </c>
      <c r="K901" s="19" t="str">
        <f aca="false">IF(OR(J901="Aktif",J901="Bitiyor"),F901+ROW()/1000000,"")</f>
        <v/>
      </c>
    </row>
    <row r="902" customFormat="false" ht="15" hidden="false" customHeight="false" outlineLevel="0" collapsed="false">
      <c r="A902" s="12"/>
      <c r="B902" s="12"/>
      <c r="C902" s="13"/>
      <c r="D902" s="14"/>
      <c r="E902" s="15"/>
      <c r="F902" s="16" t="str">
        <f aca="false">IF(OR(C902="",D902=""),"",EDATE(D902,IFERROR(INDEX(Paketler!$B$5:$B$24,MATCH(C902,Paketler!$A$5:$A$24,0)),0))-1)</f>
        <v/>
      </c>
      <c r="G902" s="17" t="str">
        <f aca="false">IF(F902="","",IFERROR(INDEX(Paketler!$C$5:$C$24,MATCH(C902,Paketler!$A$5:$A$24,0)),0))</f>
        <v/>
      </c>
      <c r="H902" s="17" t="str">
        <f aca="false">IF(F902="","",G902-E902)</f>
        <v/>
      </c>
      <c r="I902" s="18" t="str">
        <f aca="true">IF(F902="","",F902-TODAY())</f>
        <v/>
      </c>
      <c r="J902" s="19" t="str">
        <f aca="true">IF(F902="","",IF(TODAY()&lt;D902,"Başlamadı",IF(TODAY()&gt;F902,"Bitti",IF(F902-TODAY()&lt;=7,"Bitiyor","Aktif"))))</f>
        <v/>
      </c>
      <c r="K902" s="19" t="str">
        <f aca="false">IF(OR(J902="Aktif",J902="Bitiyor"),F902+ROW()/1000000,"")</f>
        <v/>
      </c>
    </row>
    <row r="903" customFormat="false" ht="15" hidden="false" customHeight="false" outlineLevel="0" collapsed="false">
      <c r="A903" s="12"/>
      <c r="B903" s="12"/>
      <c r="C903" s="13"/>
      <c r="D903" s="14"/>
      <c r="E903" s="15"/>
      <c r="F903" s="16" t="str">
        <f aca="false">IF(OR(C903="",D903=""),"",EDATE(D903,IFERROR(INDEX(Paketler!$B$5:$B$24,MATCH(C903,Paketler!$A$5:$A$24,0)),0))-1)</f>
        <v/>
      </c>
      <c r="G903" s="17" t="str">
        <f aca="false">IF(F903="","",IFERROR(INDEX(Paketler!$C$5:$C$24,MATCH(C903,Paketler!$A$5:$A$24,0)),0))</f>
        <v/>
      </c>
      <c r="H903" s="17" t="str">
        <f aca="false">IF(F903="","",G903-E903)</f>
        <v/>
      </c>
      <c r="I903" s="18" t="str">
        <f aca="true">IF(F903="","",F903-TODAY())</f>
        <v/>
      </c>
      <c r="J903" s="19" t="str">
        <f aca="true">IF(F903="","",IF(TODAY()&lt;D903,"Başlamadı",IF(TODAY()&gt;F903,"Bitti",IF(F903-TODAY()&lt;=7,"Bitiyor","Aktif"))))</f>
        <v/>
      </c>
      <c r="K903" s="19" t="str">
        <f aca="false">IF(OR(J903="Aktif",J903="Bitiyor"),F903+ROW()/1000000,"")</f>
        <v/>
      </c>
    </row>
    <row r="904" customFormat="false" ht="15" hidden="false" customHeight="false" outlineLevel="0" collapsed="false">
      <c r="A904" s="12"/>
      <c r="B904" s="12"/>
      <c r="C904" s="13"/>
      <c r="D904" s="14"/>
      <c r="E904" s="15"/>
      <c r="F904" s="16" t="str">
        <f aca="false">IF(OR(C904="",D904=""),"",EDATE(D904,IFERROR(INDEX(Paketler!$B$5:$B$24,MATCH(C904,Paketler!$A$5:$A$24,0)),0))-1)</f>
        <v/>
      </c>
      <c r="G904" s="17" t="str">
        <f aca="false">IF(F904="","",IFERROR(INDEX(Paketler!$C$5:$C$24,MATCH(C904,Paketler!$A$5:$A$24,0)),0))</f>
        <v/>
      </c>
      <c r="H904" s="17" t="str">
        <f aca="false">IF(F904="","",G904-E904)</f>
        <v/>
      </c>
      <c r="I904" s="18" t="str">
        <f aca="true">IF(F904="","",F904-TODAY())</f>
        <v/>
      </c>
      <c r="J904" s="19" t="str">
        <f aca="true">IF(F904="","",IF(TODAY()&lt;D904,"Başlamadı",IF(TODAY()&gt;F904,"Bitti",IF(F904-TODAY()&lt;=7,"Bitiyor","Aktif"))))</f>
        <v/>
      </c>
      <c r="K904" s="19" t="str">
        <f aca="false">IF(OR(J904="Aktif",J904="Bitiyor"),F904+ROW()/1000000,"")</f>
        <v/>
      </c>
    </row>
    <row r="905" customFormat="false" ht="15" hidden="false" customHeight="false" outlineLevel="0" collapsed="false">
      <c r="A905" s="12"/>
      <c r="B905" s="12"/>
      <c r="C905" s="13"/>
      <c r="D905" s="14"/>
      <c r="E905" s="15"/>
      <c r="F905" s="16" t="str">
        <f aca="false">IF(OR(C905="",D905=""),"",EDATE(D905,IFERROR(INDEX(Paketler!$B$5:$B$24,MATCH(C905,Paketler!$A$5:$A$24,0)),0))-1)</f>
        <v/>
      </c>
      <c r="G905" s="17" t="str">
        <f aca="false">IF(F905="","",IFERROR(INDEX(Paketler!$C$5:$C$24,MATCH(C905,Paketler!$A$5:$A$24,0)),0))</f>
        <v/>
      </c>
      <c r="H905" s="17" t="str">
        <f aca="false">IF(F905="","",G905-E905)</f>
        <v/>
      </c>
      <c r="I905" s="18" t="str">
        <f aca="true">IF(F905="","",F905-TODAY())</f>
        <v/>
      </c>
      <c r="J905" s="19" t="str">
        <f aca="true">IF(F905="","",IF(TODAY()&lt;D905,"Başlamadı",IF(TODAY()&gt;F905,"Bitti",IF(F905-TODAY()&lt;=7,"Bitiyor","Aktif"))))</f>
        <v/>
      </c>
      <c r="K905" s="19" t="str">
        <f aca="false">IF(OR(J905="Aktif",J905="Bitiyor"),F905+ROW()/1000000,"")</f>
        <v/>
      </c>
    </row>
    <row r="906" customFormat="false" ht="15" hidden="false" customHeight="false" outlineLevel="0" collapsed="false">
      <c r="A906" s="12"/>
      <c r="B906" s="12"/>
      <c r="C906" s="13"/>
      <c r="D906" s="14"/>
      <c r="E906" s="15"/>
      <c r="F906" s="16" t="str">
        <f aca="false">IF(OR(C906="",D906=""),"",EDATE(D906,IFERROR(INDEX(Paketler!$B$5:$B$24,MATCH(C906,Paketler!$A$5:$A$24,0)),0))-1)</f>
        <v/>
      </c>
      <c r="G906" s="17" t="str">
        <f aca="false">IF(F906="","",IFERROR(INDEX(Paketler!$C$5:$C$24,MATCH(C906,Paketler!$A$5:$A$24,0)),0))</f>
        <v/>
      </c>
      <c r="H906" s="17" t="str">
        <f aca="false">IF(F906="","",G906-E906)</f>
        <v/>
      </c>
      <c r="I906" s="18" t="str">
        <f aca="true">IF(F906="","",F906-TODAY())</f>
        <v/>
      </c>
      <c r="J906" s="19" t="str">
        <f aca="true">IF(F906="","",IF(TODAY()&lt;D906,"Başlamadı",IF(TODAY()&gt;F906,"Bitti",IF(F906-TODAY()&lt;=7,"Bitiyor","Aktif"))))</f>
        <v/>
      </c>
      <c r="K906" s="19" t="str">
        <f aca="false">IF(OR(J906="Aktif",J906="Bitiyor"),F906+ROW()/1000000,"")</f>
        <v/>
      </c>
    </row>
    <row r="907" customFormat="false" ht="15" hidden="false" customHeight="false" outlineLevel="0" collapsed="false">
      <c r="A907" s="12"/>
      <c r="B907" s="12"/>
      <c r="C907" s="13"/>
      <c r="D907" s="14"/>
      <c r="E907" s="15"/>
      <c r="F907" s="16" t="str">
        <f aca="false">IF(OR(C907="",D907=""),"",EDATE(D907,IFERROR(INDEX(Paketler!$B$5:$B$24,MATCH(C907,Paketler!$A$5:$A$24,0)),0))-1)</f>
        <v/>
      </c>
      <c r="G907" s="17" t="str">
        <f aca="false">IF(F907="","",IFERROR(INDEX(Paketler!$C$5:$C$24,MATCH(C907,Paketler!$A$5:$A$24,0)),0))</f>
        <v/>
      </c>
      <c r="H907" s="17" t="str">
        <f aca="false">IF(F907="","",G907-E907)</f>
        <v/>
      </c>
      <c r="I907" s="18" t="str">
        <f aca="true">IF(F907="","",F907-TODAY())</f>
        <v/>
      </c>
      <c r="J907" s="19" t="str">
        <f aca="true">IF(F907="","",IF(TODAY()&lt;D907,"Başlamadı",IF(TODAY()&gt;F907,"Bitti",IF(F907-TODAY()&lt;=7,"Bitiyor","Aktif"))))</f>
        <v/>
      </c>
      <c r="K907" s="19" t="str">
        <f aca="false">IF(OR(J907="Aktif",J907="Bitiyor"),F907+ROW()/1000000,"")</f>
        <v/>
      </c>
    </row>
    <row r="908" customFormat="false" ht="15" hidden="false" customHeight="false" outlineLevel="0" collapsed="false">
      <c r="A908" s="12"/>
      <c r="B908" s="12"/>
      <c r="C908" s="13"/>
      <c r="D908" s="14"/>
      <c r="E908" s="15"/>
      <c r="F908" s="16" t="str">
        <f aca="false">IF(OR(C908="",D908=""),"",EDATE(D908,IFERROR(INDEX(Paketler!$B$5:$B$24,MATCH(C908,Paketler!$A$5:$A$24,0)),0))-1)</f>
        <v/>
      </c>
      <c r="G908" s="17" t="str">
        <f aca="false">IF(F908="","",IFERROR(INDEX(Paketler!$C$5:$C$24,MATCH(C908,Paketler!$A$5:$A$24,0)),0))</f>
        <v/>
      </c>
      <c r="H908" s="17" t="str">
        <f aca="false">IF(F908="","",G908-E908)</f>
        <v/>
      </c>
      <c r="I908" s="18" t="str">
        <f aca="true">IF(F908="","",F908-TODAY())</f>
        <v/>
      </c>
      <c r="J908" s="19" t="str">
        <f aca="true">IF(F908="","",IF(TODAY()&lt;D908,"Başlamadı",IF(TODAY()&gt;F908,"Bitti",IF(F908-TODAY()&lt;=7,"Bitiyor","Aktif"))))</f>
        <v/>
      </c>
      <c r="K908" s="19" t="str">
        <f aca="false">IF(OR(J908="Aktif",J908="Bitiyor"),F908+ROW()/1000000,"")</f>
        <v/>
      </c>
    </row>
    <row r="909" customFormat="false" ht="15" hidden="false" customHeight="false" outlineLevel="0" collapsed="false">
      <c r="A909" s="12"/>
      <c r="B909" s="12"/>
      <c r="C909" s="13"/>
      <c r="D909" s="14"/>
      <c r="E909" s="15"/>
      <c r="F909" s="16" t="str">
        <f aca="false">IF(OR(C909="",D909=""),"",EDATE(D909,IFERROR(INDEX(Paketler!$B$5:$B$24,MATCH(C909,Paketler!$A$5:$A$24,0)),0))-1)</f>
        <v/>
      </c>
      <c r="G909" s="17" t="str">
        <f aca="false">IF(F909="","",IFERROR(INDEX(Paketler!$C$5:$C$24,MATCH(C909,Paketler!$A$5:$A$24,0)),0))</f>
        <v/>
      </c>
      <c r="H909" s="17" t="str">
        <f aca="false">IF(F909="","",G909-E909)</f>
        <v/>
      </c>
      <c r="I909" s="18" t="str">
        <f aca="true">IF(F909="","",F909-TODAY())</f>
        <v/>
      </c>
      <c r="J909" s="19" t="str">
        <f aca="true">IF(F909="","",IF(TODAY()&lt;D909,"Başlamadı",IF(TODAY()&gt;F909,"Bitti",IF(F909-TODAY()&lt;=7,"Bitiyor","Aktif"))))</f>
        <v/>
      </c>
      <c r="K909" s="19" t="str">
        <f aca="false">IF(OR(J909="Aktif",J909="Bitiyor"),F909+ROW()/1000000,"")</f>
        <v/>
      </c>
    </row>
    <row r="910" customFormat="false" ht="15" hidden="false" customHeight="false" outlineLevel="0" collapsed="false">
      <c r="A910" s="12"/>
      <c r="B910" s="12"/>
      <c r="C910" s="13"/>
      <c r="D910" s="14"/>
      <c r="E910" s="15"/>
      <c r="F910" s="16" t="str">
        <f aca="false">IF(OR(C910="",D910=""),"",EDATE(D910,IFERROR(INDEX(Paketler!$B$5:$B$24,MATCH(C910,Paketler!$A$5:$A$24,0)),0))-1)</f>
        <v/>
      </c>
      <c r="G910" s="17" t="str">
        <f aca="false">IF(F910="","",IFERROR(INDEX(Paketler!$C$5:$C$24,MATCH(C910,Paketler!$A$5:$A$24,0)),0))</f>
        <v/>
      </c>
      <c r="H910" s="17" t="str">
        <f aca="false">IF(F910="","",G910-E910)</f>
        <v/>
      </c>
      <c r="I910" s="18" t="str">
        <f aca="true">IF(F910="","",F910-TODAY())</f>
        <v/>
      </c>
      <c r="J910" s="19" t="str">
        <f aca="true">IF(F910="","",IF(TODAY()&lt;D910,"Başlamadı",IF(TODAY()&gt;F910,"Bitti",IF(F910-TODAY()&lt;=7,"Bitiyor","Aktif"))))</f>
        <v/>
      </c>
      <c r="K910" s="19" t="str">
        <f aca="false">IF(OR(J910="Aktif",J910="Bitiyor"),F910+ROW()/1000000,"")</f>
        <v/>
      </c>
    </row>
    <row r="911" customFormat="false" ht="15" hidden="false" customHeight="false" outlineLevel="0" collapsed="false">
      <c r="A911" s="12"/>
      <c r="B911" s="12"/>
      <c r="C911" s="13"/>
      <c r="D911" s="14"/>
      <c r="E911" s="15"/>
      <c r="F911" s="16" t="str">
        <f aca="false">IF(OR(C911="",D911=""),"",EDATE(D911,IFERROR(INDEX(Paketler!$B$5:$B$24,MATCH(C911,Paketler!$A$5:$A$24,0)),0))-1)</f>
        <v/>
      </c>
      <c r="G911" s="17" t="str">
        <f aca="false">IF(F911="","",IFERROR(INDEX(Paketler!$C$5:$C$24,MATCH(C911,Paketler!$A$5:$A$24,0)),0))</f>
        <v/>
      </c>
      <c r="H911" s="17" t="str">
        <f aca="false">IF(F911="","",G911-E911)</f>
        <v/>
      </c>
      <c r="I911" s="18" t="str">
        <f aca="true">IF(F911="","",F911-TODAY())</f>
        <v/>
      </c>
      <c r="J911" s="19" t="str">
        <f aca="true">IF(F911="","",IF(TODAY()&lt;D911,"Başlamadı",IF(TODAY()&gt;F911,"Bitti",IF(F911-TODAY()&lt;=7,"Bitiyor","Aktif"))))</f>
        <v/>
      </c>
      <c r="K911" s="19" t="str">
        <f aca="false">IF(OR(J911="Aktif",J911="Bitiyor"),F911+ROW()/1000000,"")</f>
        <v/>
      </c>
    </row>
    <row r="912" customFormat="false" ht="15" hidden="false" customHeight="false" outlineLevel="0" collapsed="false">
      <c r="A912" s="12"/>
      <c r="B912" s="12"/>
      <c r="C912" s="13"/>
      <c r="D912" s="14"/>
      <c r="E912" s="15"/>
      <c r="F912" s="16" t="str">
        <f aca="false">IF(OR(C912="",D912=""),"",EDATE(D912,IFERROR(INDEX(Paketler!$B$5:$B$24,MATCH(C912,Paketler!$A$5:$A$24,0)),0))-1)</f>
        <v/>
      </c>
      <c r="G912" s="17" t="str">
        <f aca="false">IF(F912="","",IFERROR(INDEX(Paketler!$C$5:$C$24,MATCH(C912,Paketler!$A$5:$A$24,0)),0))</f>
        <v/>
      </c>
      <c r="H912" s="17" t="str">
        <f aca="false">IF(F912="","",G912-E912)</f>
        <v/>
      </c>
      <c r="I912" s="18" t="str">
        <f aca="true">IF(F912="","",F912-TODAY())</f>
        <v/>
      </c>
      <c r="J912" s="19" t="str">
        <f aca="true">IF(F912="","",IF(TODAY()&lt;D912,"Başlamadı",IF(TODAY()&gt;F912,"Bitti",IF(F912-TODAY()&lt;=7,"Bitiyor","Aktif"))))</f>
        <v/>
      </c>
      <c r="K912" s="19" t="str">
        <f aca="false">IF(OR(J912="Aktif",J912="Bitiyor"),F912+ROW()/1000000,"")</f>
        <v/>
      </c>
    </row>
    <row r="913" customFormat="false" ht="15" hidden="false" customHeight="false" outlineLevel="0" collapsed="false">
      <c r="A913" s="12"/>
      <c r="B913" s="12"/>
      <c r="C913" s="13"/>
      <c r="D913" s="14"/>
      <c r="E913" s="15"/>
      <c r="F913" s="16" t="str">
        <f aca="false">IF(OR(C913="",D913=""),"",EDATE(D913,IFERROR(INDEX(Paketler!$B$5:$B$24,MATCH(C913,Paketler!$A$5:$A$24,0)),0))-1)</f>
        <v/>
      </c>
      <c r="G913" s="17" t="str">
        <f aca="false">IF(F913="","",IFERROR(INDEX(Paketler!$C$5:$C$24,MATCH(C913,Paketler!$A$5:$A$24,0)),0))</f>
        <v/>
      </c>
      <c r="H913" s="17" t="str">
        <f aca="false">IF(F913="","",G913-E913)</f>
        <v/>
      </c>
      <c r="I913" s="18" t="str">
        <f aca="true">IF(F913="","",F913-TODAY())</f>
        <v/>
      </c>
      <c r="J913" s="19" t="str">
        <f aca="true">IF(F913="","",IF(TODAY()&lt;D913,"Başlamadı",IF(TODAY()&gt;F913,"Bitti",IF(F913-TODAY()&lt;=7,"Bitiyor","Aktif"))))</f>
        <v/>
      </c>
      <c r="K913" s="19" t="str">
        <f aca="false">IF(OR(J913="Aktif",J913="Bitiyor"),F913+ROW()/1000000,"")</f>
        <v/>
      </c>
    </row>
    <row r="914" customFormat="false" ht="15" hidden="false" customHeight="false" outlineLevel="0" collapsed="false">
      <c r="A914" s="12"/>
      <c r="B914" s="12"/>
      <c r="C914" s="13"/>
      <c r="D914" s="14"/>
      <c r="E914" s="15"/>
      <c r="F914" s="16" t="str">
        <f aca="false">IF(OR(C914="",D914=""),"",EDATE(D914,IFERROR(INDEX(Paketler!$B$5:$B$24,MATCH(C914,Paketler!$A$5:$A$24,0)),0))-1)</f>
        <v/>
      </c>
      <c r="G914" s="17" t="str">
        <f aca="false">IF(F914="","",IFERROR(INDEX(Paketler!$C$5:$C$24,MATCH(C914,Paketler!$A$5:$A$24,0)),0))</f>
        <v/>
      </c>
      <c r="H914" s="17" t="str">
        <f aca="false">IF(F914="","",G914-E914)</f>
        <v/>
      </c>
      <c r="I914" s="18" t="str">
        <f aca="true">IF(F914="","",F914-TODAY())</f>
        <v/>
      </c>
      <c r="J914" s="19" t="str">
        <f aca="true">IF(F914="","",IF(TODAY()&lt;D914,"Başlamadı",IF(TODAY()&gt;F914,"Bitti",IF(F914-TODAY()&lt;=7,"Bitiyor","Aktif"))))</f>
        <v/>
      </c>
      <c r="K914" s="19" t="str">
        <f aca="false">IF(OR(J914="Aktif",J914="Bitiyor"),F914+ROW()/1000000,"")</f>
        <v/>
      </c>
    </row>
    <row r="915" customFormat="false" ht="15" hidden="false" customHeight="false" outlineLevel="0" collapsed="false">
      <c r="A915" s="12"/>
      <c r="B915" s="12"/>
      <c r="C915" s="13"/>
      <c r="D915" s="14"/>
      <c r="E915" s="15"/>
      <c r="F915" s="16" t="str">
        <f aca="false">IF(OR(C915="",D915=""),"",EDATE(D915,IFERROR(INDEX(Paketler!$B$5:$B$24,MATCH(C915,Paketler!$A$5:$A$24,0)),0))-1)</f>
        <v/>
      </c>
      <c r="G915" s="17" t="str">
        <f aca="false">IF(F915="","",IFERROR(INDEX(Paketler!$C$5:$C$24,MATCH(C915,Paketler!$A$5:$A$24,0)),0))</f>
        <v/>
      </c>
      <c r="H915" s="17" t="str">
        <f aca="false">IF(F915="","",G915-E915)</f>
        <v/>
      </c>
      <c r="I915" s="18" t="str">
        <f aca="true">IF(F915="","",F915-TODAY())</f>
        <v/>
      </c>
      <c r="J915" s="19" t="str">
        <f aca="true">IF(F915="","",IF(TODAY()&lt;D915,"Başlamadı",IF(TODAY()&gt;F915,"Bitti",IF(F915-TODAY()&lt;=7,"Bitiyor","Aktif"))))</f>
        <v/>
      </c>
      <c r="K915" s="19" t="str">
        <f aca="false">IF(OR(J915="Aktif",J915="Bitiyor"),F915+ROW()/1000000,"")</f>
        <v/>
      </c>
    </row>
    <row r="916" customFormat="false" ht="15" hidden="false" customHeight="false" outlineLevel="0" collapsed="false">
      <c r="A916" s="12"/>
      <c r="B916" s="12"/>
      <c r="C916" s="13"/>
      <c r="D916" s="14"/>
      <c r="E916" s="15"/>
      <c r="F916" s="16" t="str">
        <f aca="false">IF(OR(C916="",D916=""),"",EDATE(D916,IFERROR(INDEX(Paketler!$B$5:$B$24,MATCH(C916,Paketler!$A$5:$A$24,0)),0))-1)</f>
        <v/>
      </c>
      <c r="G916" s="17" t="str">
        <f aca="false">IF(F916="","",IFERROR(INDEX(Paketler!$C$5:$C$24,MATCH(C916,Paketler!$A$5:$A$24,0)),0))</f>
        <v/>
      </c>
      <c r="H916" s="17" t="str">
        <f aca="false">IF(F916="","",G916-E916)</f>
        <v/>
      </c>
      <c r="I916" s="18" t="str">
        <f aca="true">IF(F916="","",F916-TODAY())</f>
        <v/>
      </c>
      <c r="J916" s="19" t="str">
        <f aca="true">IF(F916="","",IF(TODAY()&lt;D916,"Başlamadı",IF(TODAY()&gt;F916,"Bitti",IF(F916-TODAY()&lt;=7,"Bitiyor","Aktif"))))</f>
        <v/>
      </c>
      <c r="K916" s="19" t="str">
        <f aca="false">IF(OR(J916="Aktif",J916="Bitiyor"),F916+ROW()/1000000,"")</f>
        <v/>
      </c>
    </row>
    <row r="917" customFormat="false" ht="15" hidden="false" customHeight="false" outlineLevel="0" collapsed="false">
      <c r="A917" s="12"/>
      <c r="B917" s="12"/>
      <c r="C917" s="13"/>
      <c r="D917" s="14"/>
      <c r="E917" s="15"/>
      <c r="F917" s="16" t="str">
        <f aca="false">IF(OR(C917="",D917=""),"",EDATE(D917,IFERROR(INDEX(Paketler!$B$5:$B$24,MATCH(C917,Paketler!$A$5:$A$24,0)),0))-1)</f>
        <v/>
      </c>
      <c r="G917" s="17" t="str">
        <f aca="false">IF(F917="","",IFERROR(INDEX(Paketler!$C$5:$C$24,MATCH(C917,Paketler!$A$5:$A$24,0)),0))</f>
        <v/>
      </c>
      <c r="H917" s="17" t="str">
        <f aca="false">IF(F917="","",G917-E917)</f>
        <v/>
      </c>
      <c r="I917" s="18" t="str">
        <f aca="true">IF(F917="","",F917-TODAY())</f>
        <v/>
      </c>
      <c r="J917" s="19" t="str">
        <f aca="true">IF(F917="","",IF(TODAY()&lt;D917,"Başlamadı",IF(TODAY()&gt;F917,"Bitti",IF(F917-TODAY()&lt;=7,"Bitiyor","Aktif"))))</f>
        <v/>
      </c>
      <c r="K917" s="19" t="str">
        <f aca="false">IF(OR(J917="Aktif",J917="Bitiyor"),F917+ROW()/1000000,"")</f>
        <v/>
      </c>
    </row>
    <row r="918" customFormat="false" ht="15" hidden="false" customHeight="false" outlineLevel="0" collapsed="false">
      <c r="A918" s="12"/>
      <c r="B918" s="12"/>
      <c r="C918" s="13"/>
      <c r="D918" s="14"/>
      <c r="E918" s="15"/>
      <c r="F918" s="16" t="str">
        <f aca="false">IF(OR(C918="",D918=""),"",EDATE(D918,IFERROR(INDEX(Paketler!$B$5:$B$24,MATCH(C918,Paketler!$A$5:$A$24,0)),0))-1)</f>
        <v/>
      </c>
      <c r="G918" s="17" t="str">
        <f aca="false">IF(F918="","",IFERROR(INDEX(Paketler!$C$5:$C$24,MATCH(C918,Paketler!$A$5:$A$24,0)),0))</f>
        <v/>
      </c>
      <c r="H918" s="17" t="str">
        <f aca="false">IF(F918="","",G918-E918)</f>
        <v/>
      </c>
      <c r="I918" s="18" t="str">
        <f aca="true">IF(F918="","",F918-TODAY())</f>
        <v/>
      </c>
      <c r="J918" s="19" t="str">
        <f aca="true">IF(F918="","",IF(TODAY()&lt;D918,"Başlamadı",IF(TODAY()&gt;F918,"Bitti",IF(F918-TODAY()&lt;=7,"Bitiyor","Aktif"))))</f>
        <v/>
      </c>
      <c r="K918" s="19" t="str">
        <f aca="false">IF(OR(J918="Aktif",J918="Bitiyor"),F918+ROW()/1000000,"")</f>
        <v/>
      </c>
    </row>
    <row r="919" customFormat="false" ht="15" hidden="false" customHeight="false" outlineLevel="0" collapsed="false">
      <c r="A919" s="12"/>
      <c r="B919" s="12"/>
      <c r="C919" s="13"/>
      <c r="D919" s="14"/>
      <c r="E919" s="15"/>
      <c r="F919" s="16" t="str">
        <f aca="false">IF(OR(C919="",D919=""),"",EDATE(D919,IFERROR(INDEX(Paketler!$B$5:$B$24,MATCH(C919,Paketler!$A$5:$A$24,0)),0))-1)</f>
        <v/>
      </c>
      <c r="G919" s="17" t="str">
        <f aca="false">IF(F919="","",IFERROR(INDEX(Paketler!$C$5:$C$24,MATCH(C919,Paketler!$A$5:$A$24,0)),0))</f>
        <v/>
      </c>
      <c r="H919" s="17" t="str">
        <f aca="false">IF(F919="","",G919-E919)</f>
        <v/>
      </c>
      <c r="I919" s="18" t="str">
        <f aca="true">IF(F919="","",F919-TODAY())</f>
        <v/>
      </c>
      <c r="J919" s="19" t="str">
        <f aca="true">IF(F919="","",IF(TODAY()&lt;D919,"Başlamadı",IF(TODAY()&gt;F919,"Bitti",IF(F919-TODAY()&lt;=7,"Bitiyor","Aktif"))))</f>
        <v/>
      </c>
      <c r="K919" s="19" t="str">
        <f aca="false">IF(OR(J919="Aktif",J919="Bitiyor"),F919+ROW()/1000000,"")</f>
        <v/>
      </c>
    </row>
    <row r="920" customFormat="false" ht="15" hidden="false" customHeight="false" outlineLevel="0" collapsed="false">
      <c r="A920" s="12"/>
      <c r="B920" s="12"/>
      <c r="C920" s="13"/>
      <c r="D920" s="14"/>
      <c r="E920" s="15"/>
      <c r="F920" s="16" t="str">
        <f aca="false">IF(OR(C920="",D920=""),"",EDATE(D920,IFERROR(INDEX(Paketler!$B$5:$B$24,MATCH(C920,Paketler!$A$5:$A$24,0)),0))-1)</f>
        <v/>
      </c>
      <c r="G920" s="17" t="str">
        <f aca="false">IF(F920="","",IFERROR(INDEX(Paketler!$C$5:$C$24,MATCH(C920,Paketler!$A$5:$A$24,0)),0))</f>
        <v/>
      </c>
      <c r="H920" s="17" t="str">
        <f aca="false">IF(F920="","",G920-E920)</f>
        <v/>
      </c>
      <c r="I920" s="18" t="str">
        <f aca="true">IF(F920="","",F920-TODAY())</f>
        <v/>
      </c>
      <c r="J920" s="19" t="str">
        <f aca="true">IF(F920="","",IF(TODAY()&lt;D920,"Başlamadı",IF(TODAY()&gt;F920,"Bitti",IF(F920-TODAY()&lt;=7,"Bitiyor","Aktif"))))</f>
        <v/>
      </c>
      <c r="K920" s="19" t="str">
        <f aca="false">IF(OR(J920="Aktif",J920="Bitiyor"),F920+ROW()/1000000,"")</f>
        <v/>
      </c>
    </row>
    <row r="921" customFormat="false" ht="15" hidden="false" customHeight="false" outlineLevel="0" collapsed="false">
      <c r="A921" s="12"/>
      <c r="B921" s="12"/>
      <c r="C921" s="13"/>
      <c r="D921" s="14"/>
      <c r="E921" s="15"/>
      <c r="F921" s="16" t="str">
        <f aca="false">IF(OR(C921="",D921=""),"",EDATE(D921,IFERROR(INDEX(Paketler!$B$5:$B$24,MATCH(C921,Paketler!$A$5:$A$24,0)),0))-1)</f>
        <v/>
      </c>
      <c r="G921" s="17" t="str">
        <f aca="false">IF(F921="","",IFERROR(INDEX(Paketler!$C$5:$C$24,MATCH(C921,Paketler!$A$5:$A$24,0)),0))</f>
        <v/>
      </c>
      <c r="H921" s="17" t="str">
        <f aca="false">IF(F921="","",G921-E921)</f>
        <v/>
      </c>
      <c r="I921" s="18" t="str">
        <f aca="true">IF(F921="","",F921-TODAY())</f>
        <v/>
      </c>
      <c r="J921" s="19" t="str">
        <f aca="true">IF(F921="","",IF(TODAY()&lt;D921,"Başlamadı",IF(TODAY()&gt;F921,"Bitti",IF(F921-TODAY()&lt;=7,"Bitiyor","Aktif"))))</f>
        <v/>
      </c>
      <c r="K921" s="19" t="str">
        <f aca="false">IF(OR(J921="Aktif",J921="Bitiyor"),F921+ROW()/1000000,"")</f>
        <v/>
      </c>
    </row>
    <row r="922" customFormat="false" ht="15" hidden="false" customHeight="false" outlineLevel="0" collapsed="false">
      <c r="A922" s="12"/>
      <c r="B922" s="12"/>
      <c r="C922" s="13"/>
      <c r="D922" s="14"/>
      <c r="E922" s="15"/>
      <c r="F922" s="16" t="str">
        <f aca="false">IF(OR(C922="",D922=""),"",EDATE(D922,IFERROR(INDEX(Paketler!$B$5:$B$24,MATCH(C922,Paketler!$A$5:$A$24,0)),0))-1)</f>
        <v/>
      </c>
      <c r="G922" s="17" t="str">
        <f aca="false">IF(F922="","",IFERROR(INDEX(Paketler!$C$5:$C$24,MATCH(C922,Paketler!$A$5:$A$24,0)),0))</f>
        <v/>
      </c>
      <c r="H922" s="17" t="str">
        <f aca="false">IF(F922="","",G922-E922)</f>
        <v/>
      </c>
      <c r="I922" s="18" t="str">
        <f aca="true">IF(F922="","",F922-TODAY())</f>
        <v/>
      </c>
      <c r="J922" s="19" t="str">
        <f aca="true">IF(F922="","",IF(TODAY()&lt;D922,"Başlamadı",IF(TODAY()&gt;F922,"Bitti",IF(F922-TODAY()&lt;=7,"Bitiyor","Aktif"))))</f>
        <v/>
      </c>
      <c r="K922" s="19" t="str">
        <f aca="false">IF(OR(J922="Aktif",J922="Bitiyor"),F922+ROW()/1000000,"")</f>
        <v/>
      </c>
    </row>
    <row r="923" customFormat="false" ht="15" hidden="false" customHeight="false" outlineLevel="0" collapsed="false">
      <c r="A923" s="12"/>
      <c r="B923" s="12"/>
      <c r="C923" s="13"/>
      <c r="D923" s="14"/>
      <c r="E923" s="15"/>
      <c r="F923" s="16" t="str">
        <f aca="false">IF(OR(C923="",D923=""),"",EDATE(D923,IFERROR(INDEX(Paketler!$B$5:$B$24,MATCH(C923,Paketler!$A$5:$A$24,0)),0))-1)</f>
        <v/>
      </c>
      <c r="G923" s="17" t="str">
        <f aca="false">IF(F923="","",IFERROR(INDEX(Paketler!$C$5:$C$24,MATCH(C923,Paketler!$A$5:$A$24,0)),0))</f>
        <v/>
      </c>
      <c r="H923" s="17" t="str">
        <f aca="false">IF(F923="","",G923-E923)</f>
        <v/>
      </c>
      <c r="I923" s="18" t="str">
        <f aca="true">IF(F923="","",F923-TODAY())</f>
        <v/>
      </c>
      <c r="J923" s="19" t="str">
        <f aca="true">IF(F923="","",IF(TODAY()&lt;D923,"Başlamadı",IF(TODAY()&gt;F923,"Bitti",IF(F923-TODAY()&lt;=7,"Bitiyor","Aktif"))))</f>
        <v/>
      </c>
      <c r="K923" s="19" t="str">
        <f aca="false">IF(OR(J923="Aktif",J923="Bitiyor"),F923+ROW()/1000000,"")</f>
        <v/>
      </c>
    </row>
    <row r="924" customFormat="false" ht="15" hidden="false" customHeight="false" outlineLevel="0" collapsed="false">
      <c r="A924" s="12"/>
      <c r="B924" s="12"/>
      <c r="C924" s="13"/>
      <c r="D924" s="14"/>
      <c r="E924" s="15"/>
      <c r="F924" s="16" t="str">
        <f aca="false">IF(OR(C924="",D924=""),"",EDATE(D924,IFERROR(INDEX(Paketler!$B$5:$B$24,MATCH(C924,Paketler!$A$5:$A$24,0)),0))-1)</f>
        <v/>
      </c>
      <c r="G924" s="17" t="str">
        <f aca="false">IF(F924="","",IFERROR(INDEX(Paketler!$C$5:$C$24,MATCH(C924,Paketler!$A$5:$A$24,0)),0))</f>
        <v/>
      </c>
      <c r="H924" s="17" t="str">
        <f aca="false">IF(F924="","",G924-E924)</f>
        <v/>
      </c>
      <c r="I924" s="18" t="str">
        <f aca="true">IF(F924="","",F924-TODAY())</f>
        <v/>
      </c>
      <c r="J924" s="19" t="str">
        <f aca="true">IF(F924="","",IF(TODAY()&lt;D924,"Başlamadı",IF(TODAY()&gt;F924,"Bitti",IF(F924-TODAY()&lt;=7,"Bitiyor","Aktif"))))</f>
        <v/>
      </c>
      <c r="K924" s="19" t="str">
        <f aca="false">IF(OR(J924="Aktif",J924="Bitiyor"),F924+ROW()/1000000,"")</f>
        <v/>
      </c>
    </row>
    <row r="925" customFormat="false" ht="15" hidden="false" customHeight="false" outlineLevel="0" collapsed="false">
      <c r="A925" s="12"/>
      <c r="B925" s="12"/>
      <c r="C925" s="13"/>
      <c r="D925" s="14"/>
      <c r="E925" s="15"/>
      <c r="F925" s="16" t="str">
        <f aca="false">IF(OR(C925="",D925=""),"",EDATE(D925,IFERROR(INDEX(Paketler!$B$5:$B$24,MATCH(C925,Paketler!$A$5:$A$24,0)),0))-1)</f>
        <v/>
      </c>
      <c r="G925" s="17" t="str">
        <f aca="false">IF(F925="","",IFERROR(INDEX(Paketler!$C$5:$C$24,MATCH(C925,Paketler!$A$5:$A$24,0)),0))</f>
        <v/>
      </c>
      <c r="H925" s="17" t="str">
        <f aca="false">IF(F925="","",G925-E925)</f>
        <v/>
      </c>
      <c r="I925" s="18" t="str">
        <f aca="true">IF(F925="","",F925-TODAY())</f>
        <v/>
      </c>
      <c r="J925" s="19" t="str">
        <f aca="true">IF(F925="","",IF(TODAY()&lt;D925,"Başlamadı",IF(TODAY()&gt;F925,"Bitti",IF(F925-TODAY()&lt;=7,"Bitiyor","Aktif"))))</f>
        <v/>
      </c>
      <c r="K925" s="19" t="str">
        <f aca="false">IF(OR(J925="Aktif",J925="Bitiyor"),F925+ROW()/1000000,"")</f>
        <v/>
      </c>
    </row>
    <row r="926" customFormat="false" ht="15" hidden="false" customHeight="false" outlineLevel="0" collapsed="false">
      <c r="A926" s="12"/>
      <c r="B926" s="12"/>
      <c r="C926" s="13"/>
      <c r="D926" s="14"/>
      <c r="E926" s="15"/>
      <c r="F926" s="16" t="str">
        <f aca="false">IF(OR(C926="",D926=""),"",EDATE(D926,IFERROR(INDEX(Paketler!$B$5:$B$24,MATCH(C926,Paketler!$A$5:$A$24,0)),0))-1)</f>
        <v/>
      </c>
      <c r="G926" s="17" t="str">
        <f aca="false">IF(F926="","",IFERROR(INDEX(Paketler!$C$5:$C$24,MATCH(C926,Paketler!$A$5:$A$24,0)),0))</f>
        <v/>
      </c>
      <c r="H926" s="17" t="str">
        <f aca="false">IF(F926="","",G926-E926)</f>
        <v/>
      </c>
      <c r="I926" s="18" t="str">
        <f aca="true">IF(F926="","",F926-TODAY())</f>
        <v/>
      </c>
      <c r="J926" s="19" t="str">
        <f aca="true">IF(F926="","",IF(TODAY()&lt;D926,"Başlamadı",IF(TODAY()&gt;F926,"Bitti",IF(F926-TODAY()&lt;=7,"Bitiyor","Aktif"))))</f>
        <v/>
      </c>
      <c r="K926" s="19" t="str">
        <f aca="false">IF(OR(J926="Aktif",J926="Bitiyor"),F926+ROW()/1000000,"")</f>
        <v/>
      </c>
    </row>
    <row r="927" customFormat="false" ht="15" hidden="false" customHeight="false" outlineLevel="0" collapsed="false">
      <c r="A927" s="12"/>
      <c r="B927" s="12"/>
      <c r="C927" s="13"/>
      <c r="D927" s="14"/>
      <c r="E927" s="15"/>
      <c r="F927" s="16" t="str">
        <f aca="false">IF(OR(C927="",D927=""),"",EDATE(D927,IFERROR(INDEX(Paketler!$B$5:$B$24,MATCH(C927,Paketler!$A$5:$A$24,0)),0))-1)</f>
        <v/>
      </c>
      <c r="G927" s="17" t="str">
        <f aca="false">IF(F927="","",IFERROR(INDEX(Paketler!$C$5:$C$24,MATCH(C927,Paketler!$A$5:$A$24,0)),0))</f>
        <v/>
      </c>
      <c r="H927" s="17" t="str">
        <f aca="false">IF(F927="","",G927-E927)</f>
        <v/>
      </c>
      <c r="I927" s="18" t="str">
        <f aca="true">IF(F927="","",F927-TODAY())</f>
        <v/>
      </c>
      <c r="J927" s="19" t="str">
        <f aca="true">IF(F927="","",IF(TODAY()&lt;D927,"Başlamadı",IF(TODAY()&gt;F927,"Bitti",IF(F927-TODAY()&lt;=7,"Bitiyor","Aktif"))))</f>
        <v/>
      </c>
      <c r="K927" s="19" t="str">
        <f aca="false">IF(OR(J927="Aktif",J927="Bitiyor"),F927+ROW()/1000000,"")</f>
        <v/>
      </c>
    </row>
    <row r="928" customFormat="false" ht="15" hidden="false" customHeight="false" outlineLevel="0" collapsed="false">
      <c r="A928" s="12"/>
      <c r="B928" s="12"/>
      <c r="C928" s="13"/>
      <c r="D928" s="14"/>
      <c r="E928" s="15"/>
      <c r="F928" s="16" t="str">
        <f aca="false">IF(OR(C928="",D928=""),"",EDATE(D928,IFERROR(INDEX(Paketler!$B$5:$B$24,MATCH(C928,Paketler!$A$5:$A$24,0)),0))-1)</f>
        <v/>
      </c>
      <c r="G928" s="17" t="str">
        <f aca="false">IF(F928="","",IFERROR(INDEX(Paketler!$C$5:$C$24,MATCH(C928,Paketler!$A$5:$A$24,0)),0))</f>
        <v/>
      </c>
      <c r="H928" s="17" t="str">
        <f aca="false">IF(F928="","",G928-E928)</f>
        <v/>
      </c>
      <c r="I928" s="18" t="str">
        <f aca="true">IF(F928="","",F928-TODAY())</f>
        <v/>
      </c>
      <c r="J928" s="19" t="str">
        <f aca="true">IF(F928="","",IF(TODAY()&lt;D928,"Başlamadı",IF(TODAY()&gt;F928,"Bitti",IF(F928-TODAY()&lt;=7,"Bitiyor","Aktif"))))</f>
        <v/>
      </c>
      <c r="K928" s="19" t="str">
        <f aca="false">IF(OR(J928="Aktif",J928="Bitiyor"),F928+ROW()/1000000,"")</f>
        <v/>
      </c>
    </row>
    <row r="929" customFormat="false" ht="15" hidden="false" customHeight="false" outlineLevel="0" collapsed="false">
      <c r="A929" s="12"/>
      <c r="B929" s="12"/>
      <c r="C929" s="13"/>
      <c r="D929" s="14"/>
      <c r="E929" s="15"/>
      <c r="F929" s="16" t="str">
        <f aca="false">IF(OR(C929="",D929=""),"",EDATE(D929,IFERROR(INDEX(Paketler!$B$5:$B$24,MATCH(C929,Paketler!$A$5:$A$24,0)),0))-1)</f>
        <v/>
      </c>
      <c r="G929" s="17" t="str">
        <f aca="false">IF(F929="","",IFERROR(INDEX(Paketler!$C$5:$C$24,MATCH(C929,Paketler!$A$5:$A$24,0)),0))</f>
        <v/>
      </c>
      <c r="H929" s="17" t="str">
        <f aca="false">IF(F929="","",G929-E929)</f>
        <v/>
      </c>
      <c r="I929" s="18" t="str">
        <f aca="true">IF(F929="","",F929-TODAY())</f>
        <v/>
      </c>
      <c r="J929" s="19" t="str">
        <f aca="true">IF(F929="","",IF(TODAY()&lt;D929,"Başlamadı",IF(TODAY()&gt;F929,"Bitti",IF(F929-TODAY()&lt;=7,"Bitiyor","Aktif"))))</f>
        <v/>
      </c>
      <c r="K929" s="19" t="str">
        <f aca="false">IF(OR(J929="Aktif",J929="Bitiyor"),F929+ROW()/1000000,"")</f>
        <v/>
      </c>
    </row>
    <row r="930" customFormat="false" ht="15" hidden="false" customHeight="false" outlineLevel="0" collapsed="false">
      <c r="A930" s="12"/>
      <c r="B930" s="12"/>
      <c r="C930" s="13"/>
      <c r="D930" s="14"/>
      <c r="E930" s="15"/>
      <c r="F930" s="16" t="str">
        <f aca="false">IF(OR(C930="",D930=""),"",EDATE(D930,IFERROR(INDEX(Paketler!$B$5:$B$24,MATCH(C930,Paketler!$A$5:$A$24,0)),0))-1)</f>
        <v/>
      </c>
      <c r="G930" s="17" t="str">
        <f aca="false">IF(F930="","",IFERROR(INDEX(Paketler!$C$5:$C$24,MATCH(C930,Paketler!$A$5:$A$24,0)),0))</f>
        <v/>
      </c>
      <c r="H930" s="17" t="str">
        <f aca="false">IF(F930="","",G930-E930)</f>
        <v/>
      </c>
      <c r="I930" s="18" t="str">
        <f aca="true">IF(F930="","",F930-TODAY())</f>
        <v/>
      </c>
      <c r="J930" s="19" t="str">
        <f aca="true">IF(F930="","",IF(TODAY()&lt;D930,"Başlamadı",IF(TODAY()&gt;F930,"Bitti",IF(F930-TODAY()&lt;=7,"Bitiyor","Aktif"))))</f>
        <v/>
      </c>
      <c r="K930" s="19" t="str">
        <f aca="false">IF(OR(J930="Aktif",J930="Bitiyor"),F930+ROW()/1000000,"")</f>
        <v/>
      </c>
    </row>
    <row r="931" customFormat="false" ht="15" hidden="false" customHeight="false" outlineLevel="0" collapsed="false">
      <c r="A931" s="12"/>
      <c r="B931" s="12"/>
      <c r="C931" s="13"/>
      <c r="D931" s="14"/>
      <c r="E931" s="15"/>
      <c r="F931" s="16" t="str">
        <f aca="false">IF(OR(C931="",D931=""),"",EDATE(D931,IFERROR(INDEX(Paketler!$B$5:$B$24,MATCH(C931,Paketler!$A$5:$A$24,0)),0))-1)</f>
        <v/>
      </c>
      <c r="G931" s="17" t="str">
        <f aca="false">IF(F931="","",IFERROR(INDEX(Paketler!$C$5:$C$24,MATCH(C931,Paketler!$A$5:$A$24,0)),0))</f>
        <v/>
      </c>
      <c r="H931" s="17" t="str">
        <f aca="false">IF(F931="","",G931-E931)</f>
        <v/>
      </c>
      <c r="I931" s="18" t="str">
        <f aca="true">IF(F931="","",F931-TODAY())</f>
        <v/>
      </c>
      <c r="J931" s="19" t="str">
        <f aca="true">IF(F931="","",IF(TODAY()&lt;D931,"Başlamadı",IF(TODAY()&gt;F931,"Bitti",IF(F931-TODAY()&lt;=7,"Bitiyor","Aktif"))))</f>
        <v/>
      </c>
      <c r="K931" s="19" t="str">
        <f aca="false">IF(OR(J931="Aktif",J931="Bitiyor"),F931+ROW()/1000000,"")</f>
        <v/>
      </c>
    </row>
    <row r="932" customFormat="false" ht="15" hidden="false" customHeight="false" outlineLevel="0" collapsed="false">
      <c r="A932" s="12"/>
      <c r="B932" s="12"/>
      <c r="C932" s="13"/>
      <c r="D932" s="14"/>
      <c r="E932" s="15"/>
      <c r="F932" s="16" t="str">
        <f aca="false">IF(OR(C932="",D932=""),"",EDATE(D932,IFERROR(INDEX(Paketler!$B$5:$B$24,MATCH(C932,Paketler!$A$5:$A$24,0)),0))-1)</f>
        <v/>
      </c>
      <c r="G932" s="17" t="str">
        <f aca="false">IF(F932="","",IFERROR(INDEX(Paketler!$C$5:$C$24,MATCH(C932,Paketler!$A$5:$A$24,0)),0))</f>
        <v/>
      </c>
      <c r="H932" s="17" t="str">
        <f aca="false">IF(F932="","",G932-E932)</f>
        <v/>
      </c>
      <c r="I932" s="18" t="str">
        <f aca="true">IF(F932="","",F932-TODAY())</f>
        <v/>
      </c>
      <c r="J932" s="19" t="str">
        <f aca="true">IF(F932="","",IF(TODAY()&lt;D932,"Başlamadı",IF(TODAY()&gt;F932,"Bitti",IF(F932-TODAY()&lt;=7,"Bitiyor","Aktif"))))</f>
        <v/>
      </c>
      <c r="K932" s="19" t="str">
        <f aca="false">IF(OR(J932="Aktif",J932="Bitiyor"),F932+ROW()/1000000,"")</f>
        <v/>
      </c>
    </row>
    <row r="933" customFormat="false" ht="15" hidden="false" customHeight="false" outlineLevel="0" collapsed="false">
      <c r="A933" s="12"/>
      <c r="B933" s="12"/>
      <c r="C933" s="13"/>
      <c r="D933" s="14"/>
      <c r="E933" s="15"/>
      <c r="F933" s="16" t="str">
        <f aca="false">IF(OR(C933="",D933=""),"",EDATE(D933,IFERROR(INDEX(Paketler!$B$5:$B$24,MATCH(C933,Paketler!$A$5:$A$24,0)),0))-1)</f>
        <v/>
      </c>
      <c r="G933" s="17" t="str">
        <f aca="false">IF(F933="","",IFERROR(INDEX(Paketler!$C$5:$C$24,MATCH(C933,Paketler!$A$5:$A$24,0)),0))</f>
        <v/>
      </c>
      <c r="H933" s="17" t="str">
        <f aca="false">IF(F933="","",G933-E933)</f>
        <v/>
      </c>
      <c r="I933" s="18" t="str">
        <f aca="true">IF(F933="","",F933-TODAY())</f>
        <v/>
      </c>
      <c r="J933" s="19" t="str">
        <f aca="true">IF(F933="","",IF(TODAY()&lt;D933,"Başlamadı",IF(TODAY()&gt;F933,"Bitti",IF(F933-TODAY()&lt;=7,"Bitiyor","Aktif"))))</f>
        <v/>
      </c>
      <c r="K933" s="19" t="str">
        <f aca="false">IF(OR(J933="Aktif",J933="Bitiyor"),F933+ROW()/1000000,"")</f>
        <v/>
      </c>
    </row>
    <row r="934" customFormat="false" ht="15" hidden="false" customHeight="false" outlineLevel="0" collapsed="false">
      <c r="A934" s="12"/>
      <c r="B934" s="12"/>
      <c r="C934" s="13"/>
      <c r="D934" s="14"/>
      <c r="E934" s="15"/>
      <c r="F934" s="16" t="str">
        <f aca="false">IF(OR(C934="",D934=""),"",EDATE(D934,IFERROR(INDEX(Paketler!$B$5:$B$24,MATCH(C934,Paketler!$A$5:$A$24,0)),0))-1)</f>
        <v/>
      </c>
      <c r="G934" s="17" t="str">
        <f aca="false">IF(F934="","",IFERROR(INDEX(Paketler!$C$5:$C$24,MATCH(C934,Paketler!$A$5:$A$24,0)),0))</f>
        <v/>
      </c>
      <c r="H934" s="17" t="str">
        <f aca="false">IF(F934="","",G934-E934)</f>
        <v/>
      </c>
      <c r="I934" s="18" t="str">
        <f aca="true">IF(F934="","",F934-TODAY())</f>
        <v/>
      </c>
      <c r="J934" s="19" t="str">
        <f aca="true">IF(F934="","",IF(TODAY()&lt;D934,"Başlamadı",IF(TODAY()&gt;F934,"Bitti",IF(F934-TODAY()&lt;=7,"Bitiyor","Aktif"))))</f>
        <v/>
      </c>
      <c r="K934" s="19" t="str">
        <f aca="false">IF(OR(J934="Aktif",J934="Bitiyor"),F934+ROW()/1000000,"")</f>
        <v/>
      </c>
    </row>
    <row r="935" customFormat="false" ht="15" hidden="false" customHeight="false" outlineLevel="0" collapsed="false">
      <c r="A935" s="12"/>
      <c r="B935" s="12"/>
      <c r="C935" s="13"/>
      <c r="D935" s="14"/>
      <c r="E935" s="15"/>
      <c r="F935" s="16" t="str">
        <f aca="false">IF(OR(C935="",D935=""),"",EDATE(D935,IFERROR(INDEX(Paketler!$B$5:$B$24,MATCH(C935,Paketler!$A$5:$A$24,0)),0))-1)</f>
        <v/>
      </c>
      <c r="G935" s="17" t="str">
        <f aca="false">IF(F935="","",IFERROR(INDEX(Paketler!$C$5:$C$24,MATCH(C935,Paketler!$A$5:$A$24,0)),0))</f>
        <v/>
      </c>
      <c r="H935" s="17" t="str">
        <f aca="false">IF(F935="","",G935-E935)</f>
        <v/>
      </c>
      <c r="I935" s="18" t="str">
        <f aca="true">IF(F935="","",F935-TODAY())</f>
        <v/>
      </c>
      <c r="J935" s="19" t="str">
        <f aca="true">IF(F935="","",IF(TODAY()&lt;D935,"Başlamadı",IF(TODAY()&gt;F935,"Bitti",IF(F935-TODAY()&lt;=7,"Bitiyor","Aktif"))))</f>
        <v/>
      </c>
      <c r="K935" s="19" t="str">
        <f aca="false">IF(OR(J935="Aktif",J935="Bitiyor"),F935+ROW()/1000000,"")</f>
        <v/>
      </c>
    </row>
    <row r="936" customFormat="false" ht="15" hidden="false" customHeight="false" outlineLevel="0" collapsed="false">
      <c r="A936" s="12"/>
      <c r="B936" s="12"/>
      <c r="C936" s="13"/>
      <c r="D936" s="14"/>
      <c r="E936" s="15"/>
      <c r="F936" s="16" t="str">
        <f aca="false">IF(OR(C936="",D936=""),"",EDATE(D936,IFERROR(INDEX(Paketler!$B$5:$B$24,MATCH(C936,Paketler!$A$5:$A$24,0)),0))-1)</f>
        <v/>
      </c>
      <c r="G936" s="17" t="str">
        <f aca="false">IF(F936="","",IFERROR(INDEX(Paketler!$C$5:$C$24,MATCH(C936,Paketler!$A$5:$A$24,0)),0))</f>
        <v/>
      </c>
      <c r="H936" s="17" t="str">
        <f aca="false">IF(F936="","",G936-E936)</f>
        <v/>
      </c>
      <c r="I936" s="18" t="str">
        <f aca="true">IF(F936="","",F936-TODAY())</f>
        <v/>
      </c>
      <c r="J936" s="19" t="str">
        <f aca="true">IF(F936="","",IF(TODAY()&lt;D936,"Başlamadı",IF(TODAY()&gt;F936,"Bitti",IF(F936-TODAY()&lt;=7,"Bitiyor","Aktif"))))</f>
        <v/>
      </c>
      <c r="K936" s="19" t="str">
        <f aca="false">IF(OR(J936="Aktif",J936="Bitiyor"),F936+ROW()/1000000,"")</f>
        <v/>
      </c>
    </row>
    <row r="937" customFormat="false" ht="15" hidden="false" customHeight="false" outlineLevel="0" collapsed="false">
      <c r="A937" s="12"/>
      <c r="B937" s="12"/>
      <c r="C937" s="13"/>
      <c r="D937" s="14"/>
      <c r="E937" s="15"/>
      <c r="F937" s="16" t="str">
        <f aca="false">IF(OR(C937="",D937=""),"",EDATE(D937,IFERROR(INDEX(Paketler!$B$5:$B$24,MATCH(C937,Paketler!$A$5:$A$24,0)),0))-1)</f>
        <v/>
      </c>
      <c r="G937" s="17" t="str">
        <f aca="false">IF(F937="","",IFERROR(INDEX(Paketler!$C$5:$C$24,MATCH(C937,Paketler!$A$5:$A$24,0)),0))</f>
        <v/>
      </c>
      <c r="H937" s="17" t="str">
        <f aca="false">IF(F937="","",G937-E937)</f>
        <v/>
      </c>
      <c r="I937" s="18" t="str">
        <f aca="true">IF(F937="","",F937-TODAY())</f>
        <v/>
      </c>
      <c r="J937" s="19" t="str">
        <f aca="true">IF(F937="","",IF(TODAY()&lt;D937,"Başlamadı",IF(TODAY()&gt;F937,"Bitti",IF(F937-TODAY()&lt;=7,"Bitiyor","Aktif"))))</f>
        <v/>
      </c>
      <c r="K937" s="19" t="str">
        <f aca="false">IF(OR(J937="Aktif",J937="Bitiyor"),F937+ROW()/1000000,"")</f>
        <v/>
      </c>
    </row>
    <row r="938" customFormat="false" ht="15" hidden="false" customHeight="false" outlineLevel="0" collapsed="false">
      <c r="A938" s="12"/>
      <c r="B938" s="12"/>
      <c r="C938" s="13"/>
      <c r="D938" s="14"/>
      <c r="E938" s="15"/>
      <c r="F938" s="16" t="str">
        <f aca="false">IF(OR(C938="",D938=""),"",EDATE(D938,IFERROR(INDEX(Paketler!$B$5:$B$24,MATCH(C938,Paketler!$A$5:$A$24,0)),0))-1)</f>
        <v/>
      </c>
      <c r="G938" s="17" t="str">
        <f aca="false">IF(F938="","",IFERROR(INDEX(Paketler!$C$5:$C$24,MATCH(C938,Paketler!$A$5:$A$24,0)),0))</f>
        <v/>
      </c>
      <c r="H938" s="17" t="str">
        <f aca="false">IF(F938="","",G938-E938)</f>
        <v/>
      </c>
      <c r="I938" s="18" t="str">
        <f aca="true">IF(F938="","",F938-TODAY())</f>
        <v/>
      </c>
      <c r="J938" s="19" t="str">
        <f aca="true">IF(F938="","",IF(TODAY()&lt;D938,"Başlamadı",IF(TODAY()&gt;F938,"Bitti",IF(F938-TODAY()&lt;=7,"Bitiyor","Aktif"))))</f>
        <v/>
      </c>
      <c r="K938" s="19" t="str">
        <f aca="false">IF(OR(J938="Aktif",J938="Bitiyor"),F938+ROW()/1000000,"")</f>
        <v/>
      </c>
    </row>
    <row r="939" customFormat="false" ht="15" hidden="false" customHeight="false" outlineLevel="0" collapsed="false">
      <c r="A939" s="12"/>
      <c r="B939" s="12"/>
      <c r="C939" s="13"/>
      <c r="D939" s="14"/>
      <c r="E939" s="15"/>
      <c r="F939" s="16" t="str">
        <f aca="false">IF(OR(C939="",D939=""),"",EDATE(D939,IFERROR(INDEX(Paketler!$B$5:$B$24,MATCH(C939,Paketler!$A$5:$A$24,0)),0))-1)</f>
        <v/>
      </c>
      <c r="G939" s="17" t="str">
        <f aca="false">IF(F939="","",IFERROR(INDEX(Paketler!$C$5:$C$24,MATCH(C939,Paketler!$A$5:$A$24,0)),0))</f>
        <v/>
      </c>
      <c r="H939" s="17" t="str">
        <f aca="false">IF(F939="","",G939-E939)</f>
        <v/>
      </c>
      <c r="I939" s="18" t="str">
        <f aca="true">IF(F939="","",F939-TODAY())</f>
        <v/>
      </c>
      <c r="J939" s="19" t="str">
        <f aca="true">IF(F939="","",IF(TODAY()&lt;D939,"Başlamadı",IF(TODAY()&gt;F939,"Bitti",IF(F939-TODAY()&lt;=7,"Bitiyor","Aktif"))))</f>
        <v/>
      </c>
      <c r="K939" s="19" t="str">
        <f aca="false">IF(OR(J939="Aktif",J939="Bitiyor"),F939+ROW()/1000000,"")</f>
        <v/>
      </c>
    </row>
    <row r="940" customFormat="false" ht="15" hidden="false" customHeight="false" outlineLevel="0" collapsed="false">
      <c r="A940" s="12"/>
      <c r="B940" s="12"/>
      <c r="C940" s="13"/>
      <c r="D940" s="14"/>
      <c r="E940" s="15"/>
      <c r="F940" s="16" t="str">
        <f aca="false">IF(OR(C940="",D940=""),"",EDATE(D940,IFERROR(INDEX(Paketler!$B$5:$B$24,MATCH(C940,Paketler!$A$5:$A$24,0)),0))-1)</f>
        <v/>
      </c>
      <c r="G940" s="17" t="str">
        <f aca="false">IF(F940="","",IFERROR(INDEX(Paketler!$C$5:$C$24,MATCH(C940,Paketler!$A$5:$A$24,0)),0))</f>
        <v/>
      </c>
      <c r="H940" s="17" t="str">
        <f aca="false">IF(F940="","",G940-E940)</f>
        <v/>
      </c>
      <c r="I940" s="18" t="str">
        <f aca="true">IF(F940="","",F940-TODAY())</f>
        <v/>
      </c>
      <c r="J940" s="19" t="str">
        <f aca="true">IF(F940="","",IF(TODAY()&lt;D940,"Başlamadı",IF(TODAY()&gt;F940,"Bitti",IF(F940-TODAY()&lt;=7,"Bitiyor","Aktif"))))</f>
        <v/>
      </c>
      <c r="K940" s="19" t="str">
        <f aca="false">IF(OR(J940="Aktif",J940="Bitiyor"),F940+ROW()/1000000,"")</f>
        <v/>
      </c>
    </row>
    <row r="941" customFormat="false" ht="15" hidden="false" customHeight="false" outlineLevel="0" collapsed="false">
      <c r="A941" s="12"/>
      <c r="B941" s="12"/>
      <c r="C941" s="13"/>
      <c r="D941" s="14"/>
      <c r="E941" s="15"/>
      <c r="F941" s="16" t="str">
        <f aca="false">IF(OR(C941="",D941=""),"",EDATE(D941,IFERROR(INDEX(Paketler!$B$5:$B$24,MATCH(C941,Paketler!$A$5:$A$24,0)),0))-1)</f>
        <v/>
      </c>
      <c r="G941" s="17" t="str">
        <f aca="false">IF(F941="","",IFERROR(INDEX(Paketler!$C$5:$C$24,MATCH(C941,Paketler!$A$5:$A$24,0)),0))</f>
        <v/>
      </c>
      <c r="H941" s="17" t="str">
        <f aca="false">IF(F941="","",G941-E941)</f>
        <v/>
      </c>
      <c r="I941" s="18" t="str">
        <f aca="true">IF(F941="","",F941-TODAY())</f>
        <v/>
      </c>
      <c r="J941" s="19" t="str">
        <f aca="true">IF(F941="","",IF(TODAY()&lt;D941,"Başlamadı",IF(TODAY()&gt;F941,"Bitti",IF(F941-TODAY()&lt;=7,"Bitiyor","Aktif"))))</f>
        <v/>
      </c>
      <c r="K941" s="19" t="str">
        <f aca="false">IF(OR(J941="Aktif",J941="Bitiyor"),F941+ROW()/1000000,"")</f>
        <v/>
      </c>
    </row>
    <row r="942" customFormat="false" ht="15" hidden="false" customHeight="false" outlineLevel="0" collapsed="false">
      <c r="A942" s="12"/>
      <c r="B942" s="12"/>
      <c r="C942" s="13"/>
      <c r="D942" s="14"/>
      <c r="E942" s="15"/>
      <c r="F942" s="16" t="str">
        <f aca="false">IF(OR(C942="",D942=""),"",EDATE(D942,IFERROR(INDEX(Paketler!$B$5:$B$24,MATCH(C942,Paketler!$A$5:$A$24,0)),0))-1)</f>
        <v/>
      </c>
      <c r="G942" s="17" t="str">
        <f aca="false">IF(F942="","",IFERROR(INDEX(Paketler!$C$5:$C$24,MATCH(C942,Paketler!$A$5:$A$24,0)),0))</f>
        <v/>
      </c>
      <c r="H942" s="17" t="str">
        <f aca="false">IF(F942="","",G942-E942)</f>
        <v/>
      </c>
      <c r="I942" s="18" t="str">
        <f aca="true">IF(F942="","",F942-TODAY())</f>
        <v/>
      </c>
      <c r="J942" s="19" t="str">
        <f aca="true">IF(F942="","",IF(TODAY()&lt;D942,"Başlamadı",IF(TODAY()&gt;F942,"Bitti",IF(F942-TODAY()&lt;=7,"Bitiyor","Aktif"))))</f>
        <v/>
      </c>
      <c r="K942" s="19" t="str">
        <f aca="false">IF(OR(J942="Aktif",J942="Bitiyor"),F942+ROW()/1000000,"")</f>
        <v/>
      </c>
    </row>
    <row r="943" customFormat="false" ht="15" hidden="false" customHeight="false" outlineLevel="0" collapsed="false">
      <c r="A943" s="12"/>
      <c r="B943" s="12"/>
      <c r="C943" s="13"/>
      <c r="D943" s="14"/>
      <c r="E943" s="15"/>
      <c r="F943" s="16" t="str">
        <f aca="false">IF(OR(C943="",D943=""),"",EDATE(D943,IFERROR(INDEX(Paketler!$B$5:$B$24,MATCH(C943,Paketler!$A$5:$A$24,0)),0))-1)</f>
        <v/>
      </c>
      <c r="G943" s="17" t="str">
        <f aca="false">IF(F943="","",IFERROR(INDEX(Paketler!$C$5:$C$24,MATCH(C943,Paketler!$A$5:$A$24,0)),0))</f>
        <v/>
      </c>
      <c r="H943" s="17" t="str">
        <f aca="false">IF(F943="","",G943-E943)</f>
        <v/>
      </c>
      <c r="I943" s="18" t="str">
        <f aca="true">IF(F943="","",F943-TODAY())</f>
        <v/>
      </c>
      <c r="J943" s="19" t="str">
        <f aca="true">IF(F943="","",IF(TODAY()&lt;D943,"Başlamadı",IF(TODAY()&gt;F943,"Bitti",IF(F943-TODAY()&lt;=7,"Bitiyor","Aktif"))))</f>
        <v/>
      </c>
      <c r="K943" s="19" t="str">
        <f aca="false">IF(OR(J943="Aktif",J943="Bitiyor"),F943+ROW()/1000000,"")</f>
        <v/>
      </c>
    </row>
    <row r="944" customFormat="false" ht="15" hidden="false" customHeight="false" outlineLevel="0" collapsed="false">
      <c r="A944" s="12"/>
      <c r="B944" s="12"/>
      <c r="C944" s="13"/>
      <c r="D944" s="14"/>
      <c r="E944" s="15"/>
      <c r="F944" s="16" t="str">
        <f aca="false">IF(OR(C944="",D944=""),"",EDATE(D944,IFERROR(INDEX(Paketler!$B$5:$B$24,MATCH(C944,Paketler!$A$5:$A$24,0)),0))-1)</f>
        <v/>
      </c>
      <c r="G944" s="17" t="str">
        <f aca="false">IF(F944="","",IFERROR(INDEX(Paketler!$C$5:$C$24,MATCH(C944,Paketler!$A$5:$A$24,0)),0))</f>
        <v/>
      </c>
      <c r="H944" s="17" t="str">
        <f aca="false">IF(F944="","",G944-E944)</f>
        <v/>
      </c>
      <c r="I944" s="18" t="str">
        <f aca="true">IF(F944="","",F944-TODAY())</f>
        <v/>
      </c>
      <c r="J944" s="19" t="str">
        <f aca="true">IF(F944="","",IF(TODAY()&lt;D944,"Başlamadı",IF(TODAY()&gt;F944,"Bitti",IF(F944-TODAY()&lt;=7,"Bitiyor","Aktif"))))</f>
        <v/>
      </c>
      <c r="K944" s="19" t="str">
        <f aca="false">IF(OR(J944="Aktif",J944="Bitiyor"),F944+ROW()/1000000,"")</f>
        <v/>
      </c>
    </row>
    <row r="945" customFormat="false" ht="15" hidden="false" customHeight="false" outlineLevel="0" collapsed="false">
      <c r="A945" s="12"/>
      <c r="B945" s="12"/>
      <c r="C945" s="13"/>
      <c r="D945" s="14"/>
      <c r="E945" s="15"/>
      <c r="F945" s="16" t="str">
        <f aca="false">IF(OR(C945="",D945=""),"",EDATE(D945,IFERROR(INDEX(Paketler!$B$5:$B$24,MATCH(C945,Paketler!$A$5:$A$24,0)),0))-1)</f>
        <v/>
      </c>
      <c r="G945" s="17" t="str">
        <f aca="false">IF(F945="","",IFERROR(INDEX(Paketler!$C$5:$C$24,MATCH(C945,Paketler!$A$5:$A$24,0)),0))</f>
        <v/>
      </c>
      <c r="H945" s="17" t="str">
        <f aca="false">IF(F945="","",G945-E945)</f>
        <v/>
      </c>
      <c r="I945" s="18" t="str">
        <f aca="true">IF(F945="","",F945-TODAY())</f>
        <v/>
      </c>
      <c r="J945" s="19" t="str">
        <f aca="true">IF(F945="","",IF(TODAY()&lt;D945,"Başlamadı",IF(TODAY()&gt;F945,"Bitti",IF(F945-TODAY()&lt;=7,"Bitiyor","Aktif"))))</f>
        <v/>
      </c>
      <c r="K945" s="19" t="str">
        <f aca="false">IF(OR(J945="Aktif",J945="Bitiyor"),F945+ROW()/1000000,"")</f>
        <v/>
      </c>
    </row>
    <row r="946" customFormat="false" ht="15" hidden="false" customHeight="false" outlineLevel="0" collapsed="false">
      <c r="A946" s="12"/>
      <c r="B946" s="12"/>
      <c r="C946" s="13"/>
      <c r="D946" s="14"/>
      <c r="E946" s="15"/>
      <c r="F946" s="16" t="str">
        <f aca="false">IF(OR(C946="",D946=""),"",EDATE(D946,IFERROR(INDEX(Paketler!$B$5:$B$24,MATCH(C946,Paketler!$A$5:$A$24,0)),0))-1)</f>
        <v/>
      </c>
      <c r="G946" s="17" t="str">
        <f aca="false">IF(F946="","",IFERROR(INDEX(Paketler!$C$5:$C$24,MATCH(C946,Paketler!$A$5:$A$24,0)),0))</f>
        <v/>
      </c>
      <c r="H946" s="17" t="str">
        <f aca="false">IF(F946="","",G946-E946)</f>
        <v/>
      </c>
      <c r="I946" s="18" t="str">
        <f aca="true">IF(F946="","",F946-TODAY())</f>
        <v/>
      </c>
      <c r="J946" s="19" t="str">
        <f aca="true">IF(F946="","",IF(TODAY()&lt;D946,"Başlamadı",IF(TODAY()&gt;F946,"Bitti",IF(F946-TODAY()&lt;=7,"Bitiyor","Aktif"))))</f>
        <v/>
      </c>
      <c r="K946" s="19" t="str">
        <f aca="false">IF(OR(J946="Aktif",J946="Bitiyor"),F946+ROW()/1000000,"")</f>
        <v/>
      </c>
    </row>
    <row r="947" customFormat="false" ht="15" hidden="false" customHeight="false" outlineLevel="0" collapsed="false">
      <c r="A947" s="12"/>
      <c r="B947" s="12"/>
      <c r="C947" s="13"/>
      <c r="D947" s="14"/>
      <c r="E947" s="15"/>
      <c r="F947" s="16" t="str">
        <f aca="false">IF(OR(C947="",D947=""),"",EDATE(D947,IFERROR(INDEX(Paketler!$B$5:$B$24,MATCH(C947,Paketler!$A$5:$A$24,0)),0))-1)</f>
        <v/>
      </c>
      <c r="G947" s="17" t="str">
        <f aca="false">IF(F947="","",IFERROR(INDEX(Paketler!$C$5:$C$24,MATCH(C947,Paketler!$A$5:$A$24,0)),0))</f>
        <v/>
      </c>
      <c r="H947" s="17" t="str">
        <f aca="false">IF(F947="","",G947-E947)</f>
        <v/>
      </c>
      <c r="I947" s="18" t="str">
        <f aca="true">IF(F947="","",F947-TODAY())</f>
        <v/>
      </c>
      <c r="J947" s="19" t="str">
        <f aca="true">IF(F947="","",IF(TODAY()&lt;D947,"Başlamadı",IF(TODAY()&gt;F947,"Bitti",IF(F947-TODAY()&lt;=7,"Bitiyor","Aktif"))))</f>
        <v/>
      </c>
      <c r="K947" s="19" t="str">
        <f aca="false">IF(OR(J947="Aktif",J947="Bitiyor"),F947+ROW()/1000000,"")</f>
        <v/>
      </c>
    </row>
    <row r="948" customFormat="false" ht="15" hidden="false" customHeight="false" outlineLevel="0" collapsed="false">
      <c r="A948" s="12"/>
      <c r="B948" s="12"/>
      <c r="C948" s="13"/>
      <c r="D948" s="14"/>
      <c r="E948" s="15"/>
      <c r="F948" s="16" t="str">
        <f aca="false">IF(OR(C948="",D948=""),"",EDATE(D948,IFERROR(INDEX(Paketler!$B$5:$B$24,MATCH(C948,Paketler!$A$5:$A$24,0)),0))-1)</f>
        <v/>
      </c>
      <c r="G948" s="17" t="str">
        <f aca="false">IF(F948="","",IFERROR(INDEX(Paketler!$C$5:$C$24,MATCH(C948,Paketler!$A$5:$A$24,0)),0))</f>
        <v/>
      </c>
      <c r="H948" s="17" t="str">
        <f aca="false">IF(F948="","",G948-E948)</f>
        <v/>
      </c>
      <c r="I948" s="18" t="str">
        <f aca="true">IF(F948="","",F948-TODAY())</f>
        <v/>
      </c>
      <c r="J948" s="19" t="str">
        <f aca="true">IF(F948="","",IF(TODAY()&lt;D948,"Başlamadı",IF(TODAY()&gt;F948,"Bitti",IF(F948-TODAY()&lt;=7,"Bitiyor","Aktif"))))</f>
        <v/>
      </c>
      <c r="K948" s="19" t="str">
        <f aca="false">IF(OR(J948="Aktif",J948="Bitiyor"),F948+ROW()/1000000,"")</f>
        <v/>
      </c>
    </row>
    <row r="949" customFormat="false" ht="15" hidden="false" customHeight="false" outlineLevel="0" collapsed="false">
      <c r="A949" s="12"/>
      <c r="B949" s="12"/>
      <c r="C949" s="13"/>
      <c r="D949" s="14"/>
      <c r="E949" s="15"/>
      <c r="F949" s="16" t="str">
        <f aca="false">IF(OR(C949="",D949=""),"",EDATE(D949,IFERROR(INDEX(Paketler!$B$5:$B$24,MATCH(C949,Paketler!$A$5:$A$24,0)),0))-1)</f>
        <v/>
      </c>
      <c r="G949" s="17" t="str">
        <f aca="false">IF(F949="","",IFERROR(INDEX(Paketler!$C$5:$C$24,MATCH(C949,Paketler!$A$5:$A$24,0)),0))</f>
        <v/>
      </c>
      <c r="H949" s="17" t="str">
        <f aca="false">IF(F949="","",G949-E949)</f>
        <v/>
      </c>
      <c r="I949" s="18" t="str">
        <f aca="true">IF(F949="","",F949-TODAY())</f>
        <v/>
      </c>
      <c r="J949" s="19" t="str">
        <f aca="true">IF(F949="","",IF(TODAY()&lt;D949,"Başlamadı",IF(TODAY()&gt;F949,"Bitti",IF(F949-TODAY()&lt;=7,"Bitiyor","Aktif"))))</f>
        <v/>
      </c>
      <c r="K949" s="19" t="str">
        <f aca="false">IF(OR(J949="Aktif",J949="Bitiyor"),F949+ROW()/1000000,"")</f>
        <v/>
      </c>
    </row>
    <row r="950" customFormat="false" ht="15" hidden="false" customHeight="false" outlineLevel="0" collapsed="false">
      <c r="A950" s="12"/>
      <c r="B950" s="12"/>
      <c r="C950" s="13"/>
      <c r="D950" s="14"/>
      <c r="E950" s="15"/>
      <c r="F950" s="16" t="str">
        <f aca="false">IF(OR(C950="",D950=""),"",EDATE(D950,IFERROR(INDEX(Paketler!$B$5:$B$24,MATCH(C950,Paketler!$A$5:$A$24,0)),0))-1)</f>
        <v/>
      </c>
      <c r="G950" s="17" t="str">
        <f aca="false">IF(F950="","",IFERROR(INDEX(Paketler!$C$5:$C$24,MATCH(C950,Paketler!$A$5:$A$24,0)),0))</f>
        <v/>
      </c>
      <c r="H950" s="17" t="str">
        <f aca="false">IF(F950="","",G950-E950)</f>
        <v/>
      </c>
      <c r="I950" s="18" t="str">
        <f aca="true">IF(F950="","",F950-TODAY())</f>
        <v/>
      </c>
      <c r="J950" s="19" t="str">
        <f aca="true">IF(F950="","",IF(TODAY()&lt;D950,"Başlamadı",IF(TODAY()&gt;F950,"Bitti",IF(F950-TODAY()&lt;=7,"Bitiyor","Aktif"))))</f>
        <v/>
      </c>
      <c r="K950" s="19" t="str">
        <f aca="false">IF(OR(J950="Aktif",J950="Bitiyor"),F950+ROW()/1000000,"")</f>
        <v/>
      </c>
    </row>
    <row r="951" customFormat="false" ht="15" hidden="false" customHeight="false" outlineLevel="0" collapsed="false">
      <c r="A951" s="12"/>
      <c r="B951" s="12"/>
      <c r="C951" s="13"/>
      <c r="D951" s="14"/>
      <c r="E951" s="15"/>
      <c r="F951" s="16" t="str">
        <f aca="false">IF(OR(C951="",D951=""),"",EDATE(D951,IFERROR(INDEX(Paketler!$B$5:$B$24,MATCH(C951,Paketler!$A$5:$A$24,0)),0))-1)</f>
        <v/>
      </c>
      <c r="G951" s="17" t="str">
        <f aca="false">IF(F951="","",IFERROR(INDEX(Paketler!$C$5:$C$24,MATCH(C951,Paketler!$A$5:$A$24,0)),0))</f>
        <v/>
      </c>
      <c r="H951" s="17" t="str">
        <f aca="false">IF(F951="","",G951-E951)</f>
        <v/>
      </c>
      <c r="I951" s="18" t="str">
        <f aca="true">IF(F951="","",F951-TODAY())</f>
        <v/>
      </c>
      <c r="J951" s="19" t="str">
        <f aca="true">IF(F951="","",IF(TODAY()&lt;D951,"Başlamadı",IF(TODAY()&gt;F951,"Bitti",IF(F951-TODAY()&lt;=7,"Bitiyor","Aktif"))))</f>
        <v/>
      </c>
      <c r="K951" s="19" t="str">
        <f aca="false">IF(OR(J951="Aktif",J951="Bitiyor"),F951+ROW()/1000000,"")</f>
        <v/>
      </c>
    </row>
    <row r="952" customFormat="false" ht="15" hidden="false" customHeight="false" outlineLevel="0" collapsed="false">
      <c r="A952" s="12"/>
      <c r="B952" s="12"/>
      <c r="C952" s="13"/>
      <c r="D952" s="14"/>
      <c r="E952" s="15"/>
      <c r="F952" s="16" t="str">
        <f aca="false">IF(OR(C952="",D952=""),"",EDATE(D952,IFERROR(INDEX(Paketler!$B$5:$B$24,MATCH(C952,Paketler!$A$5:$A$24,0)),0))-1)</f>
        <v/>
      </c>
      <c r="G952" s="17" t="str">
        <f aca="false">IF(F952="","",IFERROR(INDEX(Paketler!$C$5:$C$24,MATCH(C952,Paketler!$A$5:$A$24,0)),0))</f>
        <v/>
      </c>
      <c r="H952" s="17" t="str">
        <f aca="false">IF(F952="","",G952-E952)</f>
        <v/>
      </c>
      <c r="I952" s="18" t="str">
        <f aca="true">IF(F952="","",F952-TODAY())</f>
        <v/>
      </c>
      <c r="J952" s="19" t="str">
        <f aca="true">IF(F952="","",IF(TODAY()&lt;D952,"Başlamadı",IF(TODAY()&gt;F952,"Bitti",IF(F952-TODAY()&lt;=7,"Bitiyor","Aktif"))))</f>
        <v/>
      </c>
      <c r="K952" s="19" t="str">
        <f aca="false">IF(OR(J952="Aktif",J952="Bitiyor"),F952+ROW()/1000000,"")</f>
        <v/>
      </c>
    </row>
    <row r="953" customFormat="false" ht="15" hidden="false" customHeight="false" outlineLevel="0" collapsed="false">
      <c r="A953" s="12"/>
      <c r="B953" s="12"/>
      <c r="C953" s="13"/>
      <c r="D953" s="14"/>
      <c r="E953" s="15"/>
      <c r="F953" s="16" t="str">
        <f aca="false">IF(OR(C953="",D953=""),"",EDATE(D953,IFERROR(INDEX(Paketler!$B$5:$B$24,MATCH(C953,Paketler!$A$5:$A$24,0)),0))-1)</f>
        <v/>
      </c>
      <c r="G953" s="17" t="str">
        <f aca="false">IF(F953="","",IFERROR(INDEX(Paketler!$C$5:$C$24,MATCH(C953,Paketler!$A$5:$A$24,0)),0))</f>
        <v/>
      </c>
      <c r="H953" s="17" t="str">
        <f aca="false">IF(F953="","",G953-E953)</f>
        <v/>
      </c>
      <c r="I953" s="18" t="str">
        <f aca="true">IF(F953="","",F953-TODAY())</f>
        <v/>
      </c>
      <c r="J953" s="19" t="str">
        <f aca="true">IF(F953="","",IF(TODAY()&lt;D953,"Başlamadı",IF(TODAY()&gt;F953,"Bitti",IF(F953-TODAY()&lt;=7,"Bitiyor","Aktif"))))</f>
        <v/>
      </c>
      <c r="K953" s="19" t="str">
        <f aca="false">IF(OR(J953="Aktif",J953="Bitiyor"),F953+ROW()/1000000,"")</f>
        <v/>
      </c>
    </row>
    <row r="954" customFormat="false" ht="15" hidden="false" customHeight="false" outlineLevel="0" collapsed="false">
      <c r="A954" s="12"/>
      <c r="B954" s="12"/>
      <c r="C954" s="13"/>
      <c r="D954" s="14"/>
      <c r="E954" s="15"/>
      <c r="F954" s="16" t="str">
        <f aca="false">IF(OR(C954="",D954=""),"",EDATE(D954,IFERROR(INDEX(Paketler!$B$5:$B$24,MATCH(C954,Paketler!$A$5:$A$24,0)),0))-1)</f>
        <v/>
      </c>
      <c r="G954" s="17" t="str">
        <f aca="false">IF(F954="","",IFERROR(INDEX(Paketler!$C$5:$C$24,MATCH(C954,Paketler!$A$5:$A$24,0)),0))</f>
        <v/>
      </c>
      <c r="H954" s="17" t="str">
        <f aca="false">IF(F954="","",G954-E954)</f>
        <v/>
      </c>
      <c r="I954" s="18" t="str">
        <f aca="true">IF(F954="","",F954-TODAY())</f>
        <v/>
      </c>
      <c r="J954" s="19" t="str">
        <f aca="true">IF(F954="","",IF(TODAY()&lt;D954,"Başlamadı",IF(TODAY()&gt;F954,"Bitti",IF(F954-TODAY()&lt;=7,"Bitiyor","Aktif"))))</f>
        <v/>
      </c>
      <c r="K954" s="19" t="str">
        <f aca="false">IF(OR(J954="Aktif",J954="Bitiyor"),F954+ROW()/1000000,"")</f>
        <v/>
      </c>
    </row>
    <row r="955" customFormat="false" ht="15" hidden="false" customHeight="false" outlineLevel="0" collapsed="false">
      <c r="A955" s="12"/>
      <c r="B955" s="12"/>
      <c r="C955" s="13"/>
      <c r="D955" s="14"/>
      <c r="E955" s="15"/>
      <c r="F955" s="16" t="str">
        <f aca="false">IF(OR(C955="",D955=""),"",EDATE(D955,IFERROR(INDEX(Paketler!$B$5:$B$24,MATCH(C955,Paketler!$A$5:$A$24,0)),0))-1)</f>
        <v/>
      </c>
      <c r="G955" s="17" t="str">
        <f aca="false">IF(F955="","",IFERROR(INDEX(Paketler!$C$5:$C$24,MATCH(C955,Paketler!$A$5:$A$24,0)),0))</f>
        <v/>
      </c>
      <c r="H955" s="17" t="str">
        <f aca="false">IF(F955="","",G955-E955)</f>
        <v/>
      </c>
      <c r="I955" s="18" t="str">
        <f aca="true">IF(F955="","",F955-TODAY())</f>
        <v/>
      </c>
      <c r="J955" s="19" t="str">
        <f aca="true">IF(F955="","",IF(TODAY()&lt;D955,"Başlamadı",IF(TODAY()&gt;F955,"Bitti",IF(F955-TODAY()&lt;=7,"Bitiyor","Aktif"))))</f>
        <v/>
      </c>
      <c r="K955" s="19" t="str">
        <f aca="false">IF(OR(J955="Aktif",J955="Bitiyor"),F955+ROW()/1000000,"")</f>
        <v/>
      </c>
    </row>
    <row r="956" customFormat="false" ht="15" hidden="false" customHeight="false" outlineLevel="0" collapsed="false">
      <c r="A956" s="12"/>
      <c r="B956" s="12"/>
      <c r="C956" s="13"/>
      <c r="D956" s="14"/>
      <c r="E956" s="15"/>
      <c r="F956" s="16" t="str">
        <f aca="false">IF(OR(C956="",D956=""),"",EDATE(D956,IFERROR(INDEX(Paketler!$B$5:$B$24,MATCH(C956,Paketler!$A$5:$A$24,0)),0))-1)</f>
        <v/>
      </c>
      <c r="G956" s="17" t="str">
        <f aca="false">IF(F956="","",IFERROR(INDEX(Paketler!$C$5:$C$24,MATCH(C956,Paketler!$A$5:$A$24,0)),0))</f>
        <v/>
      </c>
      <c r="H956" s="17" t="str">
        <f aca="false">IF(F956="","",G956-E956)</f>
        <v/>
      </c>
      <c r="I956" s="18" t="str">
        <f aca="true">IF(F956="","",F956-TODAY())</f>
        <v/>
      </c>
      <c r="J956" s="19" t="str">
        <f aca="true">IF(F956="","",IF(TODAY()&lt;D956,"Başlamadı",IF(TODAY()&gt;F956,"Bitti",IF(F956-TODAY()&lt;=7,"Bitiyor","Aktif"))))</f>
        <v/>
      </c>
      <c r="K956" s="19" t="str">
        <f aca="false">IF(OR(J956="Aktif",J956="Bitiyor"),F956+ROW()/1000000,"")</f>
        <v/>
      </c>
    </row>
    <row r="957" customFormat="false" ht="15" hidden="false" customHeight="false" outlineLevel="0" collapsed="false">
      <c r="A957" s="12"/>
      <c r="B957" s="12"/>
      <c r="C957" s="13"/>
      <c r="D957" s="14"/>
      <c r="E957" s="15"/>
      <c r="F957" s="16" t="str">
        <f aca="false">IF(OR(C957="",D957=""),"",EDATE(D957,IFERROR(INDEX(Paketler!$B$5:$B$24,MATCH(C957,Paketler!$A$5:$A$24,0)),0))-1)</f>
        <v/>
      </c>
      <c r="G957" s="17" t="str">
        <f aca="false">IF(F957="","",IFERROR(INDEX(Paketler!$C$5:$C$24,MATCH(C957,Paketler!$A$5:$A$24,0)),0))</f>
        <v/>
      </c>
      <c r="H957" s="17" t="str">
        <f aca="false">IF(F957="","",G957-E957)</f>
        <v/>
      </c>
      <c r="I957" s="18" t="str">
        <f aca="true">IF(F957="","",F957-TODAY())</f>
        <v/>
      </c>
      <c r="J957" s="19" t="str">
        <f aca="true">IF(F957="","",IF(TODAY()&lt;D957,"Başlamadı",IF(TODAY()&gt;F957,"Bitti",IF(F957-TODAY()&lt;=7,"Bitiyor","Aktif"))))</f>
        <v/>
      </c>
      <c r="K957" s="19" t="str">
        <f aca="false">IF(OR(J957="Aktif",J957="Bitiyor"),F957+ROW()/1000000,"")</f>
        <v/>
      </c>
    </row>
    <row r="958" customFormat="false" ht="15" hidden="false" customHeight="false" outlineLevel="0" collapsed="false">
      <c r="A958" s="12"/>
      <c r="B958" s="12"/>
      <c r="C958" s="13"/>
      <c r="D958" s="14"/>
      <c r="E958" s="15"/>
      <c r="F958" s="16" t="str">
        <f aca="false">IF(OR(C958="",D958=""),"",EDATE(D958,IFERROR(INDEX(Paketler!$B$5:$B$24,MATCH(C958,Paketler!$A$5:$A$24,0)),0))-1)</f>
        <v/>
      </c>
      <c r="G958" s="17" t="str">
        <f aca="false">IF(F958="","",IFERROR(INDEX(Paketler!$C$5:$C$24,MATCH(C958,Paketler!$A$5:$A$24,0)),0))</f>
        <v/>
      </c>
      <c r="H958" s="17" t="str">
        <f aca="false">IF(F958="","",G958-E958)</f>
        <v/>
      </c>
      <c r="I958" s="18" t="str">
        <f aca="true">IF(F958="","",F958-TODAY())</f>
        <v/>
      </c>
      <c r="J958" s="19" t="str">
        <f aca="true">IF(F958="","",IF(TODAY()&lt;D958,"Başlamadı",IF(TODAY()&gt;F958,"Bitti",IF(F958-TODAY()&lt;=7,"Bitiyor","Aktif"))))</f>
        <v/>
      </c>
      <c r="K958" s="19" t="str">
        <f aca="false">IF(OR(J958="Aktif",J958="Bitiyor"),F958+ROW()/1000000,"")</f>
        <v/>
      </c>
    </row>
    <row r="959" customFormat="false" ht="15" hidden="false" customHeight="false" outlineLevel="0" collapsed="false">
      <c r="A959" s="12"/>
      <c r="B959" s="12"/>
      <c r="C959" s="13"/>
      <c r="D959" s="14"/>
      <c r="E959" s="15"/>
      <c r="F959" s="16" t="str">
        <f aca="false">IF(OR(C959="",D959=""),"",EDATE(D959,IFERROR(INDEX(Paketler!$B$5:$B$24,MATCH(C959,Paketler!$A$5:$A$24,0)),0))-1)</f>
        <v/>
      </c>
      <c r="G959" s="17" t="str">
        <f aca="false">IF(F959="","",IFERROR(INDEX(Paketler!$C$5:$C$24,MATCH(C959,Paketler!$A$5:$A$24,0)),0))</f>
        <v/>
      </c>
      <c r="H959" s="17" t="str">
        <f aca="false">IF(F959="","",G959-E959)</f>
        <v/>
      </c>
      <c r="I959" s="18" t="str">
        <f aca="true">IF(F959="","",F959-TODAY())</f>
        <v/>
      </c>
      <c r="J959" s="19" t="str">
        <f aca="true">IF(F959="","",IF(TODAY()&lt;D959,"Başlamadı",IF(TODAY()&gt;F959,"Bitti",IF(F959-TODAY()&lt;=7,"Bitiyor","Aktif"))))</f>
        <v/>
      </c>
      <c r="K959" s="19" t="str">
        <f aca="false">IF(OR(J959="Aktif",J959="Bitiyor"),F959+ROW()/1000000,"")</f>
        <v/>
      </c>
    </row>
    <row r="960" customFormat="false" ht="15" hidden="false" customHeight="false" outlineLevel="0" collapsed="false">
      <c r="A960" s="12"/>
      <c r="B960" s="12"/>
      <c r="C960" s="13"/>
      <c r="D960" s="14"/>
      <c r="E960" s="15"/>
      <c r="F960" s="16" t="str">
        <f aca="false">IF(OR(C960="",D960=""),"",EDATE(D960,IFERROR(INDEX(Paketler!$B$5:$B$24,MATCH(C960,Paketler!$A$5:$A$24,0)),0))-1)</f>
        <v/>
      </c>
      <c r="G960" s="17" t="str">
        <f aca="false">IF(F960="","",IFERROR(INDEX(Paketler!$C$5:$C$24,MATCH(C960,Paketler!$A$5:$A$24,0)),0))</f>
        <v/>
      </c>
      <c r="H960" s="17" t="str">
        <f aca="false">IF(F960="","",G960-E960)</f>
        <v/>
      </c>
      <c r="I960" s="18" t="str">
        <f aca="true">IF(F960="","",F960-TODAY())</f>
        <v/>
      </c>
      <c r="J960" s="19" t="str">
        <f aca="true">IF(F960="","",IF(TODAY()&lt;D960,"Başlamadı",IF(TODAY()&gt;F960,"Bitti",IF(F960-TODAY()&lt;=7,"Bitiyor","Aktif"))))</f>
        <v/>
      </c>
      <c r="K960" s="19" t="str">
        <f aca="false">IF(OR(J960="Aktif",J960="Bitiyor"),F960+ROW()/1000000,"")</f>
        <v/>
      </c>
    </row>
    <row r="961" customFormat="false" ht="15" hidden="false" customHeight="false" outlineLevel="0" collapsed="false">
      <c r="A961" s="12"/>
      <c r="B961" s="12"/>
      <c r="C961" s="13"/>
      <c r="D961" s="14"/>
      <c r="E961" s="15"/>
      <c r="F961" s="16" t="str">
        <f aca="false">IF(OR(C961="",D961=""),"",EDATE(D961,IFERROR(INDEX(Paketler!$B$5:$B$24,MATCH(C961,Paketler!$A$5:$A$24,0)),0))-1)</f>
        <v/>
      </c>
      <c r="G961" s="17" t="str">
        <f aca="false">IF(F961="","",IFERROR(INDEX(Paketler!$C$5:$C$24,MATCH(C961,Paketler!$A$5:$A$24,0)),0))</f>
        <v/>
      </c>
      <c r="H961" s="17" t="str">
        <f aca="false">IF(F961="","",G961-E961)</f>
        <v/>
      </c>
      <c r="I961" s="18" t="str">
        <f aca="true">IF(F961="","",F961-TODAY())</f>
        <v/>
      </c>
      <c r="J961" s="19" t="str">
        <f aca="true">IF(F961="","",IF(TODAY()&lt;D961,"Başlamadı",IF(TODAY()&gt;F961,"Bitti",IF(F961-TODAY()&lt;=7,"Bitiyor","Aktif"))))</f>
        <v/>
      </c>
      <c r="K961" s="19" t="str">
        <f aca="false">IF(OR(J961="Aktif",J961="Bitiyor"),F961+ROW()/1000000,"")</f>
        <v/>
      </c>
    </row>
    <row r="962" customFormat="false" ht="15" hidden="false" customHeight="false" outlineLevel="0" collapsed="false">
      <c r="A962" s="12"/>
      <c r="B962" s="12"/>
      <c r="C962" s="13"/>
      <c r="D962" s="14"/>
      <c r="E962" s="15"/>
      <c r="F962" s="16" t="str">
        <f aca="false">IF(OR(C962="",D962=""),"",EDATE(D962,IFERROR(INDEX(Paketler!$B$5:$B$24,MATCH(C962,Paketler!$A$5:$A$24,0)),0))-1)</f>
        <v/>
      </c>
      <c r="G962" s="17" t="str">
        <f aca="false">IF(F962="","",IFERROR(INDEX(Paketler!$C$5:$C$24,MATCH(C962,Paketler!$A$5:$A$24,0)),0))</f>
        <v/>
      </c>
      <c r="H962" s="17" t="str">
        <f aca="false">IF(F962="","",G962-E962)</f>
        <v/>
      </c>
      <c r="I962" s="18" t="str">
        <f aca="true">IF(F962="","",F962-TODAY())</f>
        <v/>
      </c>
      <c r="J962" s="19" t="str">
        <f aca="true">IF(F962="","",IF(TODAY()&lt;D962,"Başlamadı",IF(TODAY()&gt;F962,"Bitti",IF(F962-TODAY()&lt;=7,"Bitiyor","Aktif"))))</f>
        <v/>
      </c>
      <c r="K962" s="19" t="str">
        <f aca="false">IF(OR(J962="Aktif",J962="Bitiyor"),F962+ROW()/1000000,"")</f>
        <v/>
      </c>
    </row>
    <row r="963" customFormat="false" ht="15" hidden="false" customHeight="false" outlineLevel="0" collapsed="false">
      <c r="A963" s="12"/>
      <c r="B963" s="12"/>
      <c r="C963" s="13"/>
      <c r="D963" s="14"/>
      <c r="E963" s="15"/>
      <c r="F963" s="16" t="str">
        <f aca="false">IF(OR(C963="",D963=""),"",EDATE(D963,IFERROR(INDEX(Paketler!$B$5:$B$24,MATCH(C963,Paketler!$A$5:$A$24,0)),0))-1)</f>
        <v/>
      </c>
      <c r="G963" s="17" t="str">
        <f aca="false">IF(F963="","",IFERROR(INDEX(Paketler!$C$5:$C$24,MATCH(C963,Paketler!$A$5:$A$24,0)),0))</f>
        <v/>
      </c>
      <c r="H963" s="17" t="str">
        <f aca="false">IF(F963="","",G963-E963)</f>
        <v/>
      </c>
      <c r="I963" s="18" t="str">
        <f aca="true">IF(F963="","",F963-TODAY())</f>
        <v/>
      </c>
      <c r="J963" s="19" t="str">
        <f aca="true">IF(F963="","",IF(TODAY()&lt;D963,"Başlamadı",IF(TODAY()&gt;F963,"Bitti",IF(F963-TODAY()&lt;=7,"Bitiyor","Aktif"))))</f>
        <v/>
      </c>
      <c r="K963" s="19" t="str">
        <f aca="false">IF(OR(J963="Aktif",J963="Bitiyor"),F963+ROW()/1000000,"")</f>
        <v/>
      </c>
    </row>
    <row r="964" customFormat="false" ht="15" hidden="false" customHeight="false" outlineLevel="0" collapsed="false">
      <c r="A964" s="12"/>
      <c r="B964" s="12"/>
      <c r="C964" s="13"/>
      <c r="D964" s="14"/>
      <c r="E964" s="15"/>
      <c r="F964" s="16" t="str">
        <f aca="false">IF(OR(C964="",D964=""),"",EDATE(D964,IFERROR(INDEX(Paketler!$B$5:$B$24,MATCH(C964,Paketler!$A$5:$A$24,0)),0))-1)</f>
        <v/>
      </c>
      <c r="G964" s="17" t="str">
        <f aca="false">IF(F964="","",IFERROR(INDEX(Paketler!$C$5:$C$24,MATCH(C964,Paketler!$A$5:$A$24,0)),0))</f>
        <v/>
      </c>
      <c r="H964" s="17" t="str">
        <f aca="false">IF(F964="","",G964-E964)</f>
        <v/>
      </c>
      <c r="I964" s="18" t="str">
        <f aca="true">IF(F964="","",F964-TODAY())</f>
        <v/>
      </c>
      <c r="J964" s="19" t="str">
        <f aca="true">IF(F964="","",IF(TODAY()&lt;D964,"Başlamadı",IF(TODAY()&gt;F964,"Bitti",IF(F964-TODAY()&lt;=7,"Bitiyor","Aktif"))))</f>
        <v/>
      </c>
      <c r="K964" s="19" t="str">
        <f aca="false">IF(OR(J964="Aktif",J964="Bitiyor"),F964+ROW()/1000000,"")</f>
        <v/>
      </c>
    </row>
    <row r="965" customFormat="false" ht="15" hidden="false" customHeight="false" outlineLevel="0" collapsed="false">
      <c r="A965" s="12"/>
      <c r="B965" s="12"/>
      <c r="C965" s="13"/>
      <c r="D965" s="14"/>
      <c r="E965" s="15"/>
      <c r="F965" s="16" t="str">
        <f aca="false">IF(OR(C965="",D965=""),"",EDATE(D965,IFERROR(INDEX(Paketler!$B$5:$B$24,MATCH(C965,Paketler!$A$5:$A$24,0)),0))-1)</f>
        <v/>
      </c>
      <c r="G965" s="17" t="str">
        <f aca="false">IF(F965="","",IFERROR(INDEX(Paketler!$C$5:$C$24,MATCH(C965,Paketler!$A$5:$A$24,0)),0))</f>
        <v/>
      </c>
      <c r="H965" s="17" t="str">
        <f aca="false">IF(F965="","",G965-E965)</f>
        <v/>
      </c>
      <c r="I965" s="18" t="str">
        <f aca="true">IF(F965="","",F965-TODAY())</f>
        <v/>
      </c>
      <c r="J965" s="19" t="str">
        <f aca="true">IF(F965="","",IF(TODAY()&lt;D965,"Başlamadı",IF(TODAY()&gt;F965,"Bitti",IF(F965-TODAY()&lt;=7,"Bitiyor","Aktif"))))</f>
        <v/>
      </c>
      <c r="K965" s="19" t="str">
        <f aca="false">IF(OR(J965="Aktif",J965="Bitiyor"),F965+ROW()/1000000,"")</f>
        <v/>
      </c>
    </row>
    <row r="966" customFormat="false" ht="15" hidden="false" customHeight="false" outlineLevel="0" collapsed="false">
      <c r="A966" s="12"/>
      <c r="B966" s="12"/>
      <c r="C966" s="13"/>
      <c r="D966" s="14"/>
      <c r="E966" s="15"/>
      <c r="F966" s="16" t="str">
        <f aca="false">IF(OR(C966="",D966=""),"",EDATE(D966,IFERROR(INDEX(Paketler!$B$5:$B$24,MATCH(C966,Paketler!$A$5:$A$24,0)),0))-1)</f>
        <v/>
      </c>
      <c r="G966" s="17" t="str">
        <f aca="false">IF(F966="","",IFERROR(INDEX(Paketler!$C$5:$C$24,MATCH(C966,Paketler!$A$5:$A$24,0)),0))</f>
        <v/>
      </c>
      <c r="H966" s="17" t="str">
        <f aca="false">IF(F966="","",G966-E966)</f>
        <v/>
      </c>
      <c r="I966" s="18" t="str">
        <f aca="true">IF(F966="","",F966-TODAY())</f>
        <v/>
      </c>
      <c r="J966" s="19" t="str">
        <f aca="true">IF(F966="","",IF(TODAY()&lt;D966,"Başlamadı",IF(TODAY()&gt;F966,"Bitti",IF(F966-TODAY()&lt;=7,"Bitiyor","Aktif"))))</f>
        <v/>
      </c>
      <c r="K966" s="19" t="str">
        <f aca="false">IF(OR(J966="Aktif",J966="Bitiyor"),F966+ROW()/1000000,"")</f>
        <v/>
      </c>
    </row>
    <row r="967" customFormat="false" ht="15" hidden="false" customHeight="false" outlineLevel="0" collapsed="false">
      <c r="A967" s="12"/>
      <c r="B967" s="12"/>
      <c r="C967" s="13"/>
      <c r="D967" s="14"/>
      <c r="E967" s="15"/>
      <c r="F967" s="16" t="str">
        <f aca="false">IF(OR(C967="",D967=""),"",EDATE(D967,IFERROR(INDEX(Paketler!$B$5:$B$24,MATCH(C967,Paketler!$A$5:$A$24,0)),0))-1)</f>
        <v/>
      </c>
      <c r="G967" s="17" t="str">
        <f aca="false">IF(F967="","",IFERROR(INDEX(Paketler!$C$5:$C$24,MATCH(C967,Paketler!$A$5:$A$24,0)),0))</f>
        <v/>
      </c>
      <c r="H967" s="17" t="str">
        <f aca="false">IF(F967="","",G967-E967)</f>
        <v/>
      </c>
      <c r="I967" s="18" t="str">
        <f aca="true">IF(F967="","",F967-TODAY())</f>
        <v/>
      </c>
      <c r="J967" s="19" t="str">
        <f aca="true">IF(F967="","",IF(TODAY()&lt;D967,"Başlamadı",IF(TODAY()&gt;F967,"Bitti",IF(F967-TODAY()&lt;=7,"Bitiyor","Aktif"))))</f>
        <v/>
      </c>
      <c r="K967" s="19" t="str">
        <f aca="false">IF(OR(J967="Aktif",J967="Bitiyor"),F967+ROW()/1000000,"")</f>
        <v/>
      </c>
    </row>
    <row r="968" customFormat="false" ht="15" hidden="false" customHeight="false" outlineLevel="0" collapsed="false">
      <c r="A968" s="12"/>
      <c r="B968" s="12"/>
      <c r="C968" s="13"/>
      <c r="D968" s="14"/>
      <c r="E968" s="15"/>
      <c r="F968" s="16" t="str">
        <f aca="false">IF(OR(C968="",D968=""),"",EDATE(D968,IFERROR(INDEX(Paketler!$B$5:$B$24,MATCH(C968,Paketler!$A$5:$A$24,0)),0))-1)</f>
        <v/>
      </c>
      <c r="G968" s="17" t="str">
        <f aca="false">IF(F968="","",IFERROR(INDEX(Paketler!$C$5:$C$24,MATCH(C968,Paketler!$A$5:$A$24,0)),0))</f>
        <v/>
      </c>
      <c r="H968" s="17" t="str">
        <f aca="false">IF(F968="","",G968-E968)</f>
        <v/>
      </c>
      <c r="I968" s="18" t="str">
        <f aca="true">IF(F968="","",F968-TODAY())</f>
        <v/>
      </c>
      <c r="J968" s="19" t="str">
        <f aca="true">IF(F968="","",IF(TODAY()&lt;D968,"Başlamadı",IF(TODAY()&gt;F968,"Bitti",IF(F968-TODAY()&lt;=7,"Bitiyor","Aktif"))))</f>
        <v/>
      </c>
      <c r="K968" s="19" t="str">
        <f aca="false">IF(OR(J968="Aktif",J968="Bitiyor"),F968+ROW()/1000000,"")</f>
        <v/>
      </c>
    </row>
    <row r="969" customFormat="false" ht="15" hidden="false" customHeight="false" outlineLevel="0" collapsed="false">
      <c r="A969" s="12"/>
      <c r="B969" s="12"/>
      <c r="C969" s="13"/>
      <c r="D969" s="14"/>
      <c r="E969" s="15"/>
      <c r="F969" s="16" t="str">
        <f aca="false">IF(OR(C969="",D969=""),"",EDATE(D969,IFERROR(INDEX(Paketler!$B$5:$B$24,MATCH(C969,Paketler!$A$5:$A$24,0)),0))-1)</f>
        <v/>
      </c>
      <c r="G969" s="17" t="str">
        <f aca="false">IF(F969="","",IFERROR(INDEX(Paketler!$C$5:$C$24,MATCH(C969,Paketler!$A$5:$A$24,0)),0))</f>
        <v/>
      </c>
      <c r="H969" s="17" t="str">
        <f aca="false">IF(F969="","",G969-E969)</f>
        <v/>
      </c>
      <c r="I969" s="18" t="str">
        <f aca="true">IF(F969="","",F969-TODAY())</f>
        <v/>
      </c>
      <c r="J969" s="19" t="str">
        <f aca="true">IF(F969="","",IF(TODAY()&lt;D969,"Başlamadı",IF(TODAY()&gt;F969,"Bitti",IF(F969-TODAY()&lt;=7,"Bitiyor","Aktif"))))</f>
        <v/>
      </c>
      <c r="K969" s="19" t="str">
        <f aca="false">IF(OR(J969="Aktif",J969="Bitiyor"),F969+ROW()/1000000,"")</f>
        <v/>
      </c>
    </row>
    <row r="970" customFormat="false" ht="15" hidden="false" customHeight="false" outlineLevel="0" collapsed="false">
      <c r="A970" s="12"/>
      <c r="B970" s="12"/>
      <c r="C970" s="13"/>
      <c r="D970" s="14"/>
      <c r="E970" s="15"/>
      <c r="F970" s="16" t="str">
        <f aca="false">IF(OR(C970="",D970=""),"",EDATE(D970,IFERROR(INDEX(Paketler!$B$5:$B$24,MATCH(C970,Paketler!$A$5:$A$24,0)),0))-1)</f>
        <v/>
      </c>
      <c r="G970" s="17" t="str">
        <f aca="false">IF(F970="","",IFERROR(INDEX(Paketler!$C$5:$C$24,MATCH(C970,Paketler!$A$5:$A$24,0)),0))</f>
        <v/>
      </c>
      <c r="H970" s="17" t="str">
        <f aca="false">IF(F970="","",G970-E970)</f>
        <v/>
      </c>
      <c r="I970" s="18" t="str">
        <f aca="true">IF(F970="","",F970-TODAY())</f>
        <v/>
      </c>
      <c r="J970" s="19" t="str">
        <f aca="true">IF(F970="","",IF(TODAY()&lt;D970,"Başlamadı",IF(TODAY()&gt;F970,"Bitti",IF(F970-TODAY()&lt;=7,"Bitiyor","Aktif"))))</f>
        <v/>
      </c>
      <c r="K970" s="19" t="str">
        <f aca="false">IF(OR(J970="Aktif",J970="Bitiyor"),F970+ROW()/1000000,"")</f>
        <v/>
      </c>
    </row>
    <row r="971" customFormat="false" ht="15" hidden="false" customHeight="false" outlineLevel="0" collapsed="false">
      <c r="A971" s="12"/>
      <c r="B971" s="12"/>
      <c r="C971" s="13"/>
      <c r="D971" s="14"/>
      <c r="E971" s="15"/>
      <c r="F971" s="16" t="str">
        <f aca="false">IF(OR(C971="",D971=""),"",EDATE(D971,IFERROR(INDEX(Paketler!$B$5:$B$24,MATCH(C971,Paketler!$A$5:$A$24,0)),0))-1)</f>
        <v/>
      </c>
      <c r="G971" s="17" t="str">
        <f aca="false">IF(F971="","",IFERROR(INDEX(Paketler!$C$5:$C$24,MATCH(C971,Paketler!$A$5:$A$24,0)),0))</f>
        <v/>
      </c>
      <c r="H971" s="17" t="str">
        <f aca="false">IF(F971="","",G971-E971)</f>
        <v/>
      </c>
      <c r="I971" s="18" t="str">
        <f aca="true">IF(F971="","",F971-TODAY())</f>
        <v/>
      </c>
      <c r="J971" s="19" t="str">
        <f aca="true">IF(F971="","",IF(TODAY()&lt;D971,"Başlamadı",IF(TODAY()&gt;F971,"Bitti",IF(F971-TODAY()&lt;=7,"Bitiyor","Aktif"))))</f>
        <v/>
      </c>
      <c r="K971" s="19" t="str">
        <f aca="false">IF(OR(J971="Aktif",J971="Bitiyor"),F971+ROW()/1000000,"")</f>
        <v/>
      </c>
    </row>
    <row r="972" customFormat="false" ht="15" hidden="false" customHeight="false" outlineLevel="0" collapsed="false">
      <c r="A972" s="12"/>
      <c r="B972" s="12"/>
      <c r="C972" s="13"/>
      <c r="D972" s="14"/>
      <c r="E972" s="15"/>
      <c r="F972" s="16" t="str">
        <f aca="false">IF(OR(C972="",D972=""),"",EDATE(D972,IFERROR(INDEX(Paketler!$B$5:$B$24,MATCH(C972,Paketler!$A$5:$A$24,0)),0))-1)</f>
        <v/>
      </c>
      <c r="G972" s="17" t="str">
        <f aca="false">IF(F972="","",IFERROR(INDEX(Paketler!$C$5:$C$24,MATCH(C972,Paketler!$A$5:$A$24,0)),0))</f>
        <v/>
      </c>
      <c r="H972" s="17" t="str">
        <f aca="false">IF(F972="","",G972-E972)</f>
        <v/>
      </c>
      <c r="I972" s="18" t="str">
        <f aca="true">IF(F972="","",F972-TODAY())</f>
        <v/>
      </c>
      <c r="J972" s="19" t="str">
        <f aca="true">IF(F972="","",IF(TODAY()&lt;D972,"Başlamadı",IF(TODAY()&gt;F972,"Bitti",IF(F972-TODAY()&lt;=7,"Bitiyor","Aktif"))))</f>
        <v/>
      </c>
      <c r="K972" s="19" t="str">
        <f aca="false">IF(OR(J972="Aktif",J972="Bitiyor"),F972+ROW()/1000000,"")</f>
        <v/>
      </c>
    </row>
    <row r="973" customFormat="false" ht="15" hidden="false" customHeight="false" outlineLevel="0" collapsed="false">
      <c r="A973" s="12"/>
      <c r="B973" s="12"/>
      <c r="C973" s="13"/>
      <c r="D973" s="14"/>
      <c r="E973" s="15"/>
      <c r="F973" s="16" t="str">
        <f aca="false">IF(OR(C973="",D973=""),"",EDATE(D973,IFERROR(INDEX(Paketler!$B$5:$B$24,MATCH(C973,Paketler!$A$5:$A$24,0)),0))-1)</f>
        <v/>
      </c>
      <c r="G973" s="17" t="str">
        <f aca="false">IF(F973="","",IFERROR(INDEX(Paketler!$C$5:$C$24,MATCH(C973,Paketler!$A$5:$A$24,0)),0))</f>
        <v/>
      </c>
      <c r="H973" s="17" t="str">
        <f aca="false">IF(F973="","",G973-E973)</f>
        <v/>
      </c>
      <c r="I973" s="18" t="str">
        <f aca="true">IF(F973="","",F973-TODAY())</f>
        <v/>
      </c>
      <c r="J973" s="19" t="str">
        <f aca="true">IF(F973="","",IF(TODAY()&lt;D973,"Başlamadı",IF(TODAY()&gt;F973,"Bitti",IF(F973-TODAY()&lt;=7,"Bitiyor","Aktif"))))</f>
        <v/>
      </c>
      <c r="K973" s="19" t="str">
        <f aca="false">IF(OR(J973="Aktif",J973="Bitiyor"),F973+ROW()/1000000,"")</f>
        <v/>
      </c>
    </row>
    <row r="974" customFormat="false" ht="15" hidden="false" customHeight="false" outlineLevel="0" collapsed="false">
      <c r="A974" s="12"/>
      <c r="B974" s="12"/>
      <c r="C974" s="13"/>
      <c r="D974" s="14"/>
      <c r="E974" s="15"/>
      <c r="F974" s="16" t="str">
        <f aca="false">IF(OR(C974="",D974=""),"",EDATE(D974,IFERROR(INDEX(Paketler!$B$5:$B$24,MATCH(C974,Paketler!$A$5:$A$24,0)),0))-1)</f>
        <v/>
      </c>
      <c r="G974" s="17" t="str">
        <f aca="false">IF(F974="","",IFERROR(INDEX(Paketler!$C$5:$C$24,MATCH(C974,Paketler!$A$5:$A$24,0)),0))</f>
        <v/>
      </c>
      <c r="H974" s="17" t="str">
        <f aca="false">IF(F974="","",G974-E974)</f>
        <v/>
      </c>
      <c r="I974" s="18" t="str">
        <f aca="true">IF(F974="","",F974-TODAY())</f>
        <v/>
      </c>
      <c r="J974" s="19" t="str">
        <f aca="true">IF(F974="","",IF(TODAY()&lt;D974,"Başlamadı",IF(TODAY()&gt;F974,"Bitti",IF(F974-TODAY()&lt;=7,"Bitiyor","Aktif"))))</f>
        <v/>
      </c>
      <c r="K974" s="19" t="str">
        <f aca="false">IF(OR(J974="Aktif",J974="Bitiyor"),F974+ROW()/1000000,"")</f>
        <v/>
      </c>
    </row>
    <row r="975" customFormat="false" ht="15" hidden="false" customHeight="false" outlineLevel="0" collapsed="false">
      <c r="A975" s="12"/>
      <c r="B975" s="12"/>
      <c r="C975" s="13"/>
      <c r="D975" s="14"/>
      <c r="E975" s="15"/>
      <c r="F975" s="16" t="str">
        <f aca="false">IF(OR(C975="",D975=""),"",EDATE(D975,IFERROR(INDEX(Paketler!$B$5:$B$24,MATCH(C975,Paketler!$A$5:$A$24,0)),0))-1)</f>
        <v/>
      </c>
      <c r="G975" s="17" t="str">
        <f aca="false">IF(F975="","",IFERROR(INDEX(Paketler!$C$5:$C$24,MATCH(C975,Paketler!$A$5:$A$24,0)),0))</f>
        <v/>
      </c>
      <c r="H975" s="17" t="str">
        <f aca="false">IF(F975="","",G975-E975)</f>
        <v/>
      </c>
      <c r="I975" s="18" t="str">
        <f aca="true">IF(F975="","",F975-TODAY())</f>
        <v/>
      </c>
      <c r="J975" s="19" t="str">
        <f aca="true">IF(F975="","",IF(TODAY()&lt;D975,"Başlamadı",IF(TODAY()&gt;F975,"Bitti",IF(F975-TODAY()&lt;=7,"Bitiyor","Aktif"))))</f>
        <v/>
      </c>
      <c r="K975" s="19" t="str">
        <f aca="false">IF(OR(J975="Aktif",J975="Bitiyor"),F975+ROW()/1000000,"")</f>
        <v/>
      </c>
    </row>
    <row r="976" customFormat="false" ht="15" hidden="false" customHeight="false" outlineLevel="0" collapsed="false">
      <c r="A976" s="12"/>
      <c r="B976" s="12"/>
      <c r="C976" s="13"/>
      <c r="D976" s="14"/>
      <c r="E976" s="15"/>
      <c r="F976" s="16" t="str">
        <f aca="false">IF(OR(C976="",D976=""),"",EDATE(D976,IFERROR(INDEX(Paketler!$B$5:$B$24,MATCH(C976,Paketler!$A$5:$A$24,0)),0))-1)</f>
        <v/>
      </c>
      <c r="G976" s="17" t="str">
        <f aca="false">IF(F976="","",IFERROR(INDEX(Paketler!$C$5:$C$24,MATCH(C976,Paketler!$A$5:$A$24,0)),0))</f>
        <v/>
      </c>
      <c r="H976" s="17" t="str">
        <f aca="false">IF(F976="","",G976-E976)</f>
        <v/>
      </c>
      <c r="I976" s="18" t="str">
        <f aca="true">IF(F976="","",F976-TODAY())</f>
        <v/>
      </c>
      <c r="J976" s="19" t="str">
        <f aca="true">IF(F976="","",IF(TODAY()&lt;D976,"Başlamadı",IF(TODAY()&gt;F976,"Bitti",IF(F976-TODAY()&lt;=7,"Bitiyor","Aktif"))))</f>
        <v/>
      </c>
      <c r="K976" s="19" t="str">
        <f aca="false">IF(OR(J976="Aktif",J976="Bitiyor"),F976+ROW()/1000000,"")</f>
        <v/>
      </c>
    </row>
    <row r="977" customFormat="false" ht="15" hidden="false" customHeight="false" outlineLevel="0" collapsed="false">
      <c r="A977" s="12"/>
      <c r="B977" s="12"/>
      <c r="C977" s="13"/>
      <c r="D977" s="14"/>
      <c r="E977" s="15"/>
      <c r="F977" s="16" t="str">
        <f aca="false">IF(OR(C977="",D977=""),"",EDATE(D977,IFERROR(INDEX(Paketler!$B$5:$B$24,MATCH(C977,Paketler!$A$5:$A$24,0)),0))-1)</f>
        <v/>
      </c>
      <c r="G977" s="17" t="str">
        <f aca="false">IF(F977="","",IFERROR(INDEX(Paketler!$C$5:$C$24,MATCH(C977,Paketler!$A$5:$A$24,0)),0))</f>
        <v/>
      </c>
      <c r="H977" s="17" t="str">
        <f aca="false">IF(F977="","",G977-E977)</f>
        <v/>
      </c>
      <c r="I977" s="18" t="str">
        <f aca="true">IF(F977="","",F977-TODAY())</f>
        <v/>
      </c>
      <c r="J977" s="19" t="str">
        <f aca="true">IF(F977="","",IF(TODAY()&lt;D977,"Başlamadı",IF(TODAY()&gt;F977,"Bitti",IF(F977-TODAY()&lt;=7,"Bitiyor","Aktif"))))</f>
        <v/>
      </c>
      <c r="K977" s="19" t="str">
        <f aca="false">IF(OR(J977="Aktif",J977="Bitiyor"),F977+ROW()/1000000,"")</f>
        <v/>
      </c>
    </row>
    <row r="978" customFormat="false" ht="15" hidden="false" customHeight="false" outlineLevel="0" collapsed="false">
      <c r="A978" s="12"/>
      <c r="B978" s="12"/>
      <c r="C978" s="13"/>
      <c r="D978" s="14"/>
      <c r="E978" s="15"/>
      <c r="F978" s="16" t="str">
        <f aca="false">IF(OR(C978="",D978=""),"",EDATE(D978,IFERROR(INDEX(Paketler!$B$5:$B$24,MATCH(C978,Paketler!$A$5:$A$24,0)),0))-1)</f>
        <v/>
      </c>
      <c r="G978" s="17" t="str">
        <f aca="false">IF(F978="","",IFERROR(INDEX(Paketler!$C$5:$C$24,MATCH(C978,Paketler!$A$5:$A$24,0)),0))</f>
        <v/>
      </c>
      <c r="H978" s="17" t="str">
        <f aca="false">IF(F978="","",G978-E978)</f>
        <v/>
      </c>
      <c r="I978" s="18" t="str">
        <f aca="true">IF(F978="","",F978-TODAY())</f>
        <v/>
      </c>
      <c r="J978" s="19" t="str">
        <f aca="true">IF(F978="","",IF(TODAY()&lt;D978,"Başlamadı",IF(TODAY()&gt;F978,"Bitti",IF(F978-TODAY()&lt;=7,"Bitiyor","Aktif"))))</f>
        <v/>
      </c>
      <c r="K978" s="19" t="str">
        <f aca="false">IF(OR(J978="Aktif",J978="Bitiyor"),F978+ROW()/1000000,"")</f>
        <v/>
      </c>
    </row>
    <row r="979" customFormat="false" ht="15" hidden="false" customHeight="false" outlineLevel="0" collapsed="false">
      <c r="A979" s="12"/>
      <c r="B979" s="12"/>
      <c r="C979" s="13"/>
      <c r="D979" s="14"/>
      <c r="E979" s="15"/>
      <c r="F979" s="16" t="str">
        <f aca="false">IF(OR(C979="",D979=""),"",EDATE(D979,IFERROR(INDEX(Paketler!$B$5:$B$24,MATCH(C979,Paketler!$A$5:$A$24,0)),0))-1)</f>
        <v/>
      </c>
      <c r="G979" s="17" t="str">
        <f aca="false">IF(F979="","",IFERROR(INDEX(Paketler!$C$5:$C$24,MATCH(C979,Paketler!$A$5:$A$24,0)),0))</f>
        <v/>
      </c>
      <c r="H979" s="17" t="str">
        <f aca="false">IF(F979="","",G979-E979)</f>
        <v/>
      </c>
      <c r="I979" s="18" t="str">
        <f aca="true">IF(F979="","",F979-TODAY())</f>
        <v/>
      </c>
      <c r="J979" s="19" t="str">
        <f aca="true">IF(F979="","",IF(TODAY()&lt;D979,"Başlamadı",IF(TODAY()&gt;F979,"Bitti",IF(F979-TODAY()&lt;=7,"Bitiyor","Aktif"))))</f>
        <v/>
      </c>
      <c r="K979" s="19" t="str">
        <f aca="false">IF(OR(J979="Aktif",J979="Bitiyor"),F979+ROW()/1000000,"")</f>
        <v/>
      </c>
    </row>
    <row r="980" customFormat="false" ht="15" hidden="false" customHeight="false" outlineLevel="0" collapsed="false">
      <c r="A980" s="12"/>
      <c r="B980" s="12"/>
      <c r="C980" s="13"/>
      <c r="D980" s="14"/>
      <c r="E980" s="15"/>
      <c r="F980" s="16" t="str">
        <f aca="false">IF(OR(C980="",D980=""),"",EDATE(D980,IFERROR(INDEX(Paketler!$B$5:$B$24,MATCH(C980,Paketler!$A$5:$A$24,0)),0))-1)</f>
        <v/>
      </c>
      <c r="G980" s="17" t="str">
        <f aca="false">IF(F980="","",IFERROR(INDEX(Paketler!$C$5:$C$24,MATCH(C980,Paketler!$A$5:$A$24,0)),0))</f>
        <v/>
      </c>
      <c r="H980" s="17" t="str">
        <f aca="false">IF(F980="","",G980-E980)</f>
        <v/>
      </c>
      <c r="I980" s="18" t="str">
        <f aca="true">IF(F980="","",F980-TODAY())</f>
        <v/>
      </c>
      <c r="J980" s="19" t="str">
        <f aca="true">IF(F980="","",IF(TODAY()&lt;D980,"Başlamadı",IF(TODAY()&gt;F980,"Bitti",IF(F980-TODAY()&lt;=7,"Bitiyor","Aktif"))))</f>
        <v/>
      </c>
      <c r="K980" s="19" t="str">
        <f aca="false">IF(OR(J980="Aktif",J980="Bitiyor"),F980+ROW()/1000000,"")</f>
        <v/>
      </c>
    </row>
    <row r="981" customFormat="false" ht="15" hidden="false" customHeight="false" outlineLevel="0" collapsed="false">
      <c r="A981" s="12"/>
      <c r="B981" s="12"/>
      <c r="C981" s="13"/>
      <c r="D981" s="14"/>
      <c r="E981" s="15"/>
      <c r="F981" s="16" t="str">
        <f aca="false">IF(OR(C981="",D981=""),"",EDATE(D981,IFERROR(INDEX(Paketler!$B$5:$B$24,MATCH(C981,Paketler!$A$5:$A$24,0)),0))-1)</f>
        <v/>
      </c>
      <c r="G981" s="17" t="str">
        <f aca="false">IF(F981="","",IFERROR(INDEX(Paketler!$C$5:$C$24,MATCH(C981,Paketler!$A$5:$A$24,0)),0))</f>
        <v/>
      </c>
      <c r="H981" s="17" t="str">
        <f aca="false">IF(F981="","",G981-E981)</f>
        <v/>
      </c>
      <c r="I981" s="18" t="str">
        <f aca="true">IF(F981="","",F981-TODAY())</f>
        <v/>
      </c>
      <c r="J981" s="19" t="str">
        <f aca="true">IF(F981="","",IF(TODAY()&lt;D981,"Başlamadı",IF(TODAY()&gt;F981,"Bitti",IF(F981-TODAY()&lt;=7,"Bitiyor","Aktif"))))</f>
        <v/>
      </c>
      <c r="K981" s="19" t="str">
        <f aca="false">IF(OR(J981="Aktif",J981="Bitiyor"),F981+ROW()/1000000,"")</f>
        <v/>
      </c>
    </row>
    <row r="982" customFormat="false" ht="15" hidden="false" customHeight="false" outlineLevel="0" collapsed="false">
      <c r="A982" s="12"/>
      <c r="B982" s="12"/>
      <c r="C982" s="13"/>
      <c r="D982" s="14"/>
      <c r="E982" s="15"/>
      <c r="F982" s="16" t="str">
        <f aca="false">IF(OR(C982="",D982=""),"",EDATE(D982,IFERROR(INDEX(Paketler!$B$5:$B$24,MATCH(C982,Paketler!$A$5:$A$24,0)),0))-1)</f>
        <v/>
      </c>
      <c r="G982" s="17" t="str">
        <f aca="false">IF(F982="","",IFERROR(INDEX(Paketler!$C$5:$C$24,MATCH(C982,Paketler!$A$5:$A$24,0)),0))</f>
        <v/>
      </c>
      <c r="H982" s="17" t="str">
        <f aca="false">IF(F982="","",G982-E982)</f>
        <v/>
      </c>
      <c r="I982" s="18" t="str">
        <f aca="true">IF(F982="","",F982-TODAY())</f>
        <v/>
      </c>
      <c r="J982" s="19" t="str">
        <f aca="true">IF(F982="","",IF(TODAY()&lt;D982,"Başlamadı",IF(TODAY()&gt;F982,"Bitti",IF(F982-TODAY()&lt;=7,"Bitiyor","Aktif"))))</f>
        <v/>
      </c>
      <c r="K982" s="19" t="str">
        <f aca="false">IF(OR(J982="Aktif",J982="Bitiyor"),F982+ROW()/1000000,"")</f>
        <v/>
      </c>
    </row>
    <row r="983" customFormat="false" ht="15" hidden="false" customHeight="false" outlineLevel="0" collapsed="false">
      <c r="A983" s="12"/>
      <c r="B983" s="12"/>
      <c r="C983" s="13"/>
      <c r="D983" s="14"/>
      <c r="E983" s="15"/>
      <c r="F983" s="16" t="str">
        <f aca="false">IF(OR(C983="",D983=""),"",EDATE(D983,IFERROR(INDEX(Paketler!$B$5:$B$24,MATCH(C983,Paketler!$A$5:$A$24,0)),0))-1)</f>
        <v/>
      </c>
      <c r="G983" s="17" t="str">
        <f aca="false">IF(F983="","",IFERROR(INDEX(Paketler!$C$5:$C$24,MATCH(C983,Paketler!$A$5:$A$24,0)),0))</f>
        <v/>
      </c>
      <c r="H983" s="17" t="str">
        <f aca="false">IF(F983="","",G983-E983)</f>
        <v/>
      </c>
      <c r="I983" s="18" t="str">
        <f aca="true">IF(F983="","",F983-TODAY())</f>
        <v/>
      </c>
      <c r="J983" s="19" t="str">
        <f aca="true">IF(F983="","",IF(TODAY()&lt;D983,"Başlamadı",IF(TODAY()&gt;F983,"Bitti",IF(F983-TODAY()&lt;=7,"Bitiyor","Aktif"))))</f>
        <v/>
      </c>
      <c r="K983" s="19" t="str">
        <f aca="false">IF(OR(J983="Aktif",J983="Bitiyor"),F983+ROW()/1000000,"")</f>
        <v/>
      </c>
    </row>
    <row r="984" customFormat="false" ht="15" hidden="false" customHeight="false" outlineLevel="0" collapsed="false">
      <c r="A984" s="12"/>
      <c r="B984" s="12"/>
      <c r="C984" s="13"/>
      <c r="D984" s="14"/>
      <c r="E984" s="15"/>
      <c r="F984" s="16" t="str">
        <f aca="false">IF(OR(C984="",D984=""),"",EDATE(D984,IFERROR(INDEX(Paketler!$B$5:$B$24,MATCH(C984,Paketler!$A$5:$A$24,0)),0))-1)</f>
        <v/>
      </c>
      <c r="G984" s="17" t="str">
        <f aca="false">IF(F984="","",IFERROR(INDEX(Paketler!$C$5:$C$24,MATCH(C984,Paketler!$A$5:$A$24,0)),0))</f>
        <v/>
      </c>
      <c r="H984" s="17" t="str">
        <f aca="false">IF(F984="","",G984-E984)</f>
        <v/>
      </c>
      <c r="I984" s="18" t="str">
        <f aca="true">IF(F984="","",F984-TODAY())</f>
        <v/>
      </c>
      <c r="J984" s="19" t="str">
        <f aca="true">IF(F984="","",IF(TODAY()&lt;D984,"Başlamadı",IF(TODAY()&gt;F984,"Bitti",IF(F984-TODAY()&lt;=7,"Bitiyor","Aktif"))))</f>
        <v/>
      </c>
      <c r="K984" s="19" t="str">
        <f aca="false">IF(OR(J984="Aktif",J984="Bitiyor"),F984+ROW()/1000000,"")</f>
        <v/>
      </c>
    </row>
    <row r="985" customFormat="false" ht="15" hidden="false" customHeight="false" outlineLevel="0" collapsed="false">
      <c r="A985" s="12"/>
      <c r="B985" s="12"/>
      <c r="C985" s="13"/>
      <c r="D985" s="14"/>
      <c r="E985" s="15"/>
      <c r="F985" s="16" t="str">
        <f aca="false">IF(OR(C985="",D985=""),"",EDATE(D985,IFERROR(INDEX(Paketler!$B$5:$B$24,MATCH(C985,Paketler!$A$5:$A$24,0)),0))-1)</f>
        <v/>
      </c>
      <c r="G985" s="17" t="str">
        <f aca="false">IF(F985="","",IFERROR(INDEX(Paketler!$C$5:$C$24,MATCH(C985,Paketler!$A$5:$A$24,0)),0))</f>
        <v/>
      </c>
      <c r="H985" s="17" t="str">
        <f aca="false">IF(F985="","",G985-E985)</f>
        <v/>
      </c>
      <c r="I985" s="18" t="str">
        <f aca="true">IF(F985="","",F985-TODAY())</f>
        <v/>
      </c>
      <c r="J985" s="19" t="str">
        <f aca="true">IF(F985="","",IF(TODAY()&lt;D985,"Başlamadı",IF(TODAY()&gt;F985,"Bitti",IF(F985-TODAY()&lt;=7,"Bitiyor","Aktif"))))</f>
        <v/>
      </c>
      <c r="K985" s="19" t="str">
        <f aca="false">IF(OR(J985="Aktif",J985="Bitiyor"),F985+ROW()/1000000,"")</f>
        <v/>
      </c>
    </row>
    <row r="986" customFormat="false" ht="15" hidden="false" customHeight="false" outlineLevel="0" collapsed="false">
      <c r="A986" s="12"/>
      <c r="B986" s="12"/>
      <c r="C986" s="13"/>
      <c r="D986" s="14"/>
      <c r="E986" s="15"/>
      <c r="F986" s="16" t="str">
        <f aca="false">IF(OR(C986="",D986=""),"",EDATE(D986,IFERROR(INDEX(Paketler!$B$5:$B$24,MATCH(C986,Paketler!$A$5:$A$24,0)),0))-1)</f>
        <v/>
      </c>
      <c r="G986" s="17" t="str">
        <f aca="false">IF(F986="","",IFERROR(INDEX(Paketler!$C$5:$C$24,MATCH(C986,Paketler!$A$5:$A$24,0)),0))</f>
        <v/>
      </c>
      <c r="H986" s="17" t="str">
        <f aca="false">IF(F986="","",G986-E986)</f>
        <v/>
      </c>
      <c r="I986" s="18" t="str">
        <f aca="true">IF(F986="","",F986-TODAY())</f>
        <v/>
      </c>
      <c r="J986" s="19" t="str">
        <f aca="true">IF(F986="","",IF(TODAY()&lt;D986,"Başlamadı",IF(TODAY()&gt;F986,"Bitti",IF(F986-TODAY()&lt;=7,"Bitiyor","Aktif"))))</f>
        <v/>
      </c>
      <c r="K986" s="19" t="str">
        <f aca="false">IF(OR(J986="Aktif",J986="Bitiyor"),F986+ROW()/1000000,"")</f>
        <v/>
      </c>
    </row>
    <row r="987" customFormat="false" ht="15" hidden="false" customHeight="false" outlineLevel="0" collapsed="false">
      <c r="A987" s="12"/>
      <c r="B987" s="12"/>
      <c r="C987" s="13"/>
      <c r="D987" s="14"/>
      <c r="E987" s="15"/>
      <c r="F987" s="16" t="str">
        <f aca="false">IF(OR(C987="",D987=""),"",EDATE(D987,IFERROR(INDEX(Paketler!$B$5:$B$24,MATCH(C987,Paketler!$A$5:$A$24,0)),0))-1)</f>
        <v/>
      </c>
      <c r="G987" s="17" t="str">
        <f aca="false">IF(F987="","",IFERROR(INDEX(Paketler!$C$5:$C$24,MATCH(C987,Paketler!$A$5:$A$24,0)),0))</f>
        <v/>
      </c>
      <c r="H987" s="17" t="str">
        <f aca="false">IF(F987="","",G987-E987)</f>
        <v/>
      </c>
      <c r="I987" s="18" t="str">
        <f aca="true">IF(F987="","",F987-TODAY())</f>
        <v/>
      </c>
      <c r="J987" s="19" t="str">
        <f aca="true">IF(F987="","",IF(TODAY()&lt;D987,"Başlamadı",IF(TODAY()&gt;F987,"Bitti",IF(F987-TODAY()&lt;=7,"Bitiyor","Aktif"))))</f>
        <v/>
      </c>
      <c r="K987" s="19" t="str">
        <f aca="false">IF(OR(J987="Aktif",J987="Bitiyor"),F987+ROW()/1000000,"")</f>
        <v/>
      </c>
    </row>
    <row r="988" customFormat="false" ht="15" hidden="false" customHeight="false" outlineLevel="0" collapsed="false">
      <c r="A988" s="12"/>
      <c r="B988" s="12"/>
      <c r="C988" s="13"/>
      <c r="D988" s="14"/>
      <c r="E988" s="15"/>
      <c r="F988" s="16" t="str">
        <f aca="false">IF(OR(C988="",D988=""),"",EDATE(D988,IFERROR(INDEX(Paketler!$B$5:$B$24,MATCH(C988,Paketler!$A$5:$A$24,0)),0))-1)</f>
        <v/>
      </c>
      <c r="G988" s="17" t="str">
        <f aca="false">IF(F988="","",IFERROR(INDEX(Paketler!$C$5:$C$24,MATCH(C988,Paketler!$A$5:$A$24,0)),0))</f>
        <v/>
      </c>
      <c r="H988" s="17" t="str">
        <f aca="false">IF(F988="","",G988-E988)</f>
        <v/>
      </c>
      <c r="I988" s="18" t="str">
        <f aca="true">IF(F988="","",F988-TODAY())</f>
        <v/>
      </c>
      <c r="J988" s="19" t="str">
        <f aca="true">IF(F988="","",IF(TODAY()&lt;D988,"Başlamadı",IF(TODAY()&gt;F988,"Bitti",IF(F988-TODAY()&lt;=7,"Bitiyor","Aktif"))))</f>
        <v/>
      </c>
      <c r="K988" s="19" t="str">
        <f aca="false">IF(OR(J988="Aktif",J988="Bitiyor"),F988+ROW()/1000000,"")</f>
        <v/>
      </c>
    </row>
    <row r="989" customFormat="false" ht="15" hidden="false" customHeight="false" outlineLevel="0" collapsed="false">
      <c r="A989" s="12"/>
      <c r="B989" s="12"/>
      <c r="C989" s="13"/>
      <c r="D989" s="14"/>
      <c r="E989" s="15"/>
      <c r="F989" s="16" t="str">
        <f aca="false">IF(OR(C989="",D989=""),"",EDATE(D989,IFERROR(INDEX(Paketler!$B$5:$B$24,MATCH(C989,Paketler!$A$5:$A$24,0)),0))-1)</f>
        <v/>
      </c>
      <c r="G989" s="17" t="str">
        <f aca="false">IF(F989="","",IFERROR(INDEX(Paketler!$C$5:$C$24,MATCH(C989,Paketler!$A$5:$A$24,0)),0))</f>
        <v/>
      </c>
      <c r="H989" s="17" t="str">
        <f aca="false">IF(F989="","",G989-E989)</f>
        <v/>
      </c>
      <c r="I989" s="18" t="str">
        <f aca="true">IF(F989="","",F989-TODAY())</f>
        <v/>
      </c>
      <c r="J989" s="19" t="str">
        <f aca="true">IF(F989="","",IF(TODAY()&lt;D989,"Başlamadı",IF(TODAY()&gt;F989,"Bitti",IF(F989-TODAY()&lt;=7,"Bitiyor","Aktif"))))</f>
        <v/>
      </c>
      <c r="K989" s="19" t="str">
        <f aca="false">IF(OR(J989="Aktif",J989="Bitiyor"),F989+ROW()/1000000,"")</f>
        <v/>
      </c>
    </row>
    <row r="990" customFormat="false" ht="15" hidden="false" customHeight="false" outlineLevel="0" collapsed="false">
      <c r="A990" s="12"/>
      <c r="B990" s="12"/>
      <c r="C990" s="13"/>
      <c r="D990" s="14"/>
      <c r="E990" s="15"/>
      <c r="F990" s="16" t="str">
        <f aca="false">IF(OR(C990="",D990=""),"",EDATE(D990,IFERROR(INDEX(Paketler!$B$5:$B$24,MATCH(C990,Paketler!$A$5:$A$24,0)),0))-1)</f>
        <v/>
      </c>
      <c r="G990" s="17" t="str">
        <f aca="false">IF(F990="","",IFERROR(INDEX(Paketler!$C$5:$C$24,MATCH(C990,Paketler!$A$5:$A$24,0)),0))</f>
        <v/>
      </c>
      <c r="H990" s="17" t="str">
        <f aca="false">IF(F990="","",G990-E990)</f>
        <v/>
      </c>
      <c r="I990" s="18" t="str">
        <f aca="true">IF(F990="","",F990-TODAY())</f>
        <v/>
      </c>
      <c r="J990" s="19" t="str">
        <f aca="true">IF(F990="","",IF(TODAY()&lt;D990,"Başlamadı",IF(TODAY()&gt;F990,"Bitti",IF(F990-TODAY()&lt;=7,"Bitiyor","Aktif"))))</f>
        <v/>
      </c>
      <c r="K990" s="19" t="str">
        <f aca="false">IF(OR(J990="Aktif",J990="Bitiyor"),F990+ROW()/1000000,"")</f>
        <v/>
      </c>
    </row>
    <row r="991" customFormat="false" ht="15" hidden="false" customHeight="false" outlineLevel="0" collapsed="false">
      <c r="A991" s="12"/>
      <c r="B991" s="12"/>
      <c r="C991" s="13"/>
      <c r="D991" s="14"/>
      <c r="E991" s="15"/>
      <c r="F991" s="16" t="str">
        <f aca="false">IF(OR(C991="",D991=""),"",EDATE(D991,IFERROR(INDEX(Paketler!$B$5:$B$24,MATCH(C991,Paketler!$A$5:$A$24,0)),0))-1)</f>
        <v/>
      </c>
      <c r="G991" s="17" t="str">
        <f aca="false">IF(F991="","",IFERROR(INDEX(Paketler!$C$5:$C$24,MATCH(C991,Paketler!$A$5:$A$24,0)),0))</f>
        <v/>
      </c>
      <c r="H991" s="17" t="str">
        <f aca="false">IF(F991="","",G991-E991)</f>
        <v/>
      </c>
      <c r="I991" s="18" t="str">
        <f aca="true">IF(F991="","",F991-TODAY())</f>
        <v/>
      </c>
      <c r="J991" s="19" t="str">
        <f aca="true">IF(F991="","",IF(TODAY()&lt;D991,"Başlamadı",IF(TODAY()&gt;F991,"Bitti",IF(F991-TODAY()&lt;=7,"Bitiyor","Aktif"))))</f>
        <v/>
      </c>
      <c r="K991" s="19" t="str">
        <f aca="false">IF(OR(J991="Aktif",J991="Bitiyor"),F991+ROW()/1000000,"")</f>
        <v/>
      </c>
    </row>
    <row r="992" customFormat="false" ht="15" hidden="false" customHeight="false" outlineLevel="0" collapsed="false">
      <c r="A992" s="12"/>
      <c r="B992" s="12"/>
      <c r="C992" s="13"/>
      <c r="D992" s="14"/>
      <c r="E992" s="15"/>
      <c r="F992" s="16" t="str">
        <f aca="false">IF(OR(C992="",D992=""),"",EDATE(D992,IFERROR(INDEX(Paketler!$B$5:$B$24,MATCH(C992,Paketler!$A$5:$A$24,0)),0))-1)</f>
        <v/>
      </c>
      <c r="G992" s="17" t="str">
        <f aca="false">IF(F992="","",IFERROR(INDEX(Paketler!$C$5:$C$24,MATCH(C992,Paketler!$A$5:$A$24,0)),0))</f>
        <v/>
      </c>
      <c r="H992" s="17" t="str">
        <f aca="false">IF(F992="","",G992-E992)</f>
        <v/>
      </c>
      <c r="I992" s="18" t="str">
        <f aca="true">IF(F992="","",F992-TODAY())</f>
        <v/>
      </c>
      <c r="J992" s="19" t="str">
        <f aca="true">IF(F992="","",IF(TODAY()&lt;D992,"Başlamadı",IF(TODAY()&gt;F992,"Bitti",IF(F992-TODAY()&lt;=7,"Bitiyor","Aktif"))))</f>
        <v/>
      </c>
      <c r="K992" s="19" t="str">
        <f aca="false">IF(OR(J992="Aktif",J992="Bitiyor"),F992+ROW()/1000000,"")</f>
        <v/>
      </c>
    </row>
    <row r="993" customFormat="false" ht="15" hidden="false" customHeight="false" outlineLevel="0" collapsed="false">
      <c r="A993" s="12"/>
      <c r="B993" s="12"/>
      <c r="C993" s="13"/>
      <c r="D993" s="14"/>
      <c r="E993" s="15"/>
      <c r="F993" s="16" t="str">
        <f aca="false">IF(OR(C993="",D993=""),"",EDATE(D993,IFERROR(INDEX(Paketler!$B$5:$B$24,MATCH(C993,Paketler!$A$5:$A$24,0)),0))-1)</f>
        <v/>
      </c>
      <c r="G993" s="17" t="str">
        <f aca="false">IF(F993="","",IFERROR(INDEX(Paketler!$C$5:$C$24,MATCH(C993,Paketler!$A$5:$A$24,0)),0))</f>
        <v/>
      </c>
      <c r="H993" s="17" t="str">
        <f aca="false">IF(F993="","",G993-E993)</f>
        <v/>
      </c>
      <c r="I993" s="18" t="str">
        <f aca="true">IF(F993="","",F993-TODAY())</f>
        <v/>
      </c>
      <c r="J993" s="19" t="str">
        <f aca="true">IF(F993="","",IF(TODAY()&lt;D993,"Başlamadı",IF(TODAY()&gt;F993,"Bitti",IF(F993-TODAY()&lt;=7,"Bitiyor","Aktif"))))</f>
        <v/>
      </c>
      <c r="K993" s="19" t="str">
        <f aca="false">IF(OR(J993="Aktif",J993="Bitiyor"),F993+ROW()/1000000,"")</f>
        <v/>
      </c>
    </row>
    <row r="994" customFormat="false" ht="15" hidden="false" customHeight="false" outlineLevel="0" collapsed="false">
      <c r="A994" s="12"/>
      <c r="B994" s="12"/>
      <c r="C994" s="13"/>
      <c r="D994" s="14"/>
      <c r="E994" s="15"/>
      <c r="F994" s="16" t="str">
        <f aca="false">IF(OR(C994="",D994=""),"",EDATE(D994,IFERROR(INDEX(Paketler!$B$5:$B$24,MATCH(C994,Paketler!$A$5:$A$24,0)),0))-1)</f>
        <v/>
      </c>
      <c r="G994" s="17" t="str">
        <f aca="false">IF(F994="","",IFERROR(INDEX(Paketler!$C$5:$C$24,MATCH(C994,Paketler!$A$5:$A$24,0)),0))</f>
        <v/>
      </c>
      <c r="H994" s="17" t="str">
        <f aca="false">IF(F994="","",G994-E994)</f>
        <v/>
      </c>
      <c r="I994" s="18" t="str">
        <f aca="true">IF(F994="","",F994-TODAY())</f>
        <v/>
      </c>
      <c r="J994" s="19" t="str">
        <f aca="true">IF(F994="","",IF(TODAY()&lt;D994,"Başlamadı",IF(TODAY()&gt;F994,"Bitti",IF(F994-TODAY()&lt;=7,"Bitiyor","Aktif"))))</f>
        <v/>
      </c>
      <c r="K994" s="19" t="str">
        <f aca="false">IF(OR(J994="Aktif",J994="Bitiyor"),F994+ROW()/1000000,"")</f>
        <v/>
      </c>
    </row>
    <row r="995" customFormat="false" ht="15" hidden="false" customHeight="false" outlineLevel="0" collapsed="false">
      <c r="A995" s="12"/>
      <c r="B995" s="12"/>
      <c r="C995" s="13"/>
      <c r="D995" s="14"/>
      <c r="E995" s="15"/>
      <c r="F995" s="16" t="str">
        <f aca="false">IF(OR(C995="",D995=""),"",EDATE(D995,IFERROR(INDEX(Paketler!$B$5:$B$24,MATCH(C995,Paketler!$A$5:$A$24,0)),0))-1)</f>
        <v/>
      </c>
      <c r="G995" s="17" t="str">
        <f aca="false">IF(F995="","",IFERROR(INDEX(Paketler!$C$5:$C$24,MATCH(C995,Paketler!$A$5:$A$24,0)),0))</f>
        <v/>
      </c>
      <c r="H995" s="17" t="str">
        <f aca="false">IF(F995="","",G995-E995)</f>
        <v/>
      </c>
      <c r="I995" s="18" t="str">
        <f aca="true">IF(F995="","",F995-TODAY())</f>
        <v/>
      </c>
      <c r="J995" s="19" t="str">
        <f aca="true">IF(F995="","",IF(TODAY()&lt;D995,"Başlamadı",IF(TODAY()&gt;F995,"Bitti",IF(F995-TODAY()&lt;=7,"Bitiyor","Aktif"))))</f>
        <v/>
      </c>
      <c r="K995" s="19" t="str">
        <f aca="false">IF(OR(J995="Aktif",J995="Bitiyor"),F995+ROW()/1000000,"")</f>
        <v/>
      </c>
    </row>
    <row r="996" customFormat="false" ht="15" hidden="false" customHeight="false" outlineLevel="0" collapsed="false">
      <c r="A996" s="12"/>
      <c r="B996" s="12"/>
      <c r="C996" s="13"/>
      <c r="D996" s="14"/>
      <c r="E996" s="15"/>
      <c r="F996" s="16" t="str">
        <f aca="false">IF(OR(C996="",D996=""),"",EDATE(D996,IFERROR(INDEX(Paketler!$B$5:$B$24,MATCH(C996,Paketler!$A$5:$A$24,0)),0))-1)</f>
        <v/>
      </c>
      <c r="G996" s="17" t="str">
        <f aca="false">IF(F996="","",IFERROR(INDEX(Paketler!$C$5:$C$24,MATCH(C996,Paketler!$A$5:$A$24,0)),0))</f>
        <v/>
      </c>
      <c r="H996" s="17" t="str">
        <f aca="false">IF(F996="","",G996-E996)</f>
        <v/>
      </c>
      <c r="I996" s="18" t="str">
        <f aca="true">IF(F996="","",F996-TODAY())</f>
        <v/>
      </c>
      <c r="J996" s="19" t="str">
        <f aca="true">IF(F996="","",IF(TODAY()&lt;D996,"Başlamadı",IF(TODAY()&gt;F996,"Bitti",IF(F996-TODAY()&lt;=7,"Bitiyor","Aktif"))))</f>
        <v/>
      </c>
      <c r="K996" s="19" t="str">
        <f aca="false">IF(OR(J996="Aktif",J996="Bitiyor"),F996+ROW()/1000000,"")</f>
        <v/>
      </c>
    </row>
    <row r="997" customFormat="false" ht="15" hidden="false" customHeight="false" outlineLevel="0" collapsed="false">
      <c r="A997" s="12"/>
      <c r="B997" s="12"/>
      <c r="C997" s="13"/>
      <c r="D997" s="14"/>
      <c r="E997" s="15"/>
      <c r="F997" s="16" t="str">
        <f aca="false">IF(OR(C997="",D997=""),"",EDATE(D997,IFERROR(INDEX(Paketler!$B$5:$B$24,MATCH(C997,Paketler!$A$5:$A$24,0)),0))-1)</f>
        <v/>
      </c>
      <c r="G997" s="17" t="str">
        <f aca="false">IF(F997="","",IFERROR(INDEX(Paketler!$C$5:$C$24,MATCH(C997,Paketler!$A$5:$A$24,0)),0))</f>
        <v/>
      </c>
      <c r="H997" s="17" t="str">
        <f aca="false">IF(F997="","",G997-E997)</f>
        <v/>
      </c>
      <c r="I997" s="18" t="str">
        <f aca="true">IF(F997="","",F997-TODAY())</f>
        <v/>
      </c>
      <c r="J997" s="19" t="str">
        <f aca="true">IF(F997="","",IF(TODAY()&lt;D997,"Başlamadı",IF(TODAY()&gt;F997,"Bitti",IF(F997-TODAY()&lt;=7,"Bitiyor","Aktif"))))</f>
        <v/>
      </c>
      <c r="K997" s="19" t="str">
        <f aca="false">IF(OR(J997="Aktif",J997="Bitiyor"),F997+ROW()/1000000,"")</f>
        <v/>
      </c>
    </row>
    <row r="998" customFormat="false" ht="15" hidden="false" customHeight="false" outlineLevel="0" collapsed="false">
      <c r="A998" s="12"/>
      <c r="B998" s="12"/>
      <c r="C998" s="13"/>
      <c r="D998" s="14"/>
      <c r="E998" s="15"/>
      <c r="F998" s="16" t="str">
        <f aca="false">IF(OR(C998="",D998=""),"",EDATE(D998,IFERROR(INDEX(Paketler!$B$5:$B$24,MATCH(C998,Paketler!$A$5:$A$24,0)),0))-1)</f>
        <v/>
      </c>
      <c r="G998" s="17" t="str">
        <f aca="false">IF(F998="","",IFERROR(INDEX(Paketler!$C$5:$C$24,MATCH(C998,Paketler!$A$5:$A$24,0)),0))</f>
        <v/>
      </c>
      <c r="H998" s="17" t="str">
        <f aca="false">IF(F998="","",G998-E998)</f>
        <v/>
      </c>
      <c r="I998" s="18" t="str">
        <f aca="true">IF(F998="","",F998-TODAY())</f>
        <v/>
      </c>
      <c r="J998" s="19" t="str">
        <f aca="true">IF(F998="","",IF(TODAY()&lt;D998,"Başlamadı",IF(TODAY()&gt;F998,"Bitti",IF(F998-TODAY()&lt;=7,"Bitiyor","Aktif"))))</f>
        <v/>
      </c>
      <c r="K998" s="19" t="str">
        <f aca="false">IF(OR(J998="Aktif",J998="Bitiyor"),F998+ROW()/1000000,"")</f>
        <v/>
      </c>
    </row>
    <row r="999" customFormat="false" ht="15" hidden="false" customHeight="false" outlineLevel="0" collapsed="false">
      <c r="A999" s="12"/>
      <c r="B999" s="12"/>
      <c r="C999" s="13"/>
      <c r="D999" s="14"/>
      <c r="E999" s="15"/>
      <c r="F999" s="16" t="str">
        <f aca="false">IF(OR(C999="",D999=""),"",EDATE(D999,IFERROR(INDEX(Paketler!$B$5:$B$24,MATCH(C999,Paketler!$A$5:$A$24,0)),0))-1)</f>
        <v/>
      </c>
      <c r="G999" s="17" t="str">
        <f aca="false">IF(F999="","",IFERROR(INDEX(Paketler!$C$5:$C$24,MATCH(C999,Paketler!$A$5:$A$24,0)),0))</f>
        <v/>
      </c>
      <c r="H999" s="17" t="str">
        <f aca="false">IF(F999="","",G999-E999)</f>
        <v/>
      </c>
      <c r="I999" s="18" t="str">
        <f aca="true">IF(F999="","",F999-TODAY())</f>
        <v/>
      </c>
      <c r="J999" s="19" t="str">
        <f aca="true">IF(F999="","",IF(TODAY()&lt;D999,"Başlamadı",IF(TODAY()&gt;F999,"Bitti",IF(F999-TODAY()&lt;=7,"Bitiyor","Aktif"))))</f>
        <v/>
      </c>
      <c r="K999" s="19" t="str">
        <f aca="false">IF(OR(J999="Aktif",J999="Bitiyor"),F999+ROW()/1000000,"")</f>
        <v/>
      </c>
    </row>
    <row r="1000" customFormat="false" ht="15" hidden="false" customHeight="false" outlineLevel="0" collapsed="false">
      <c r="A1000" s="12"/>
      <c r="B1000" s="12"/>
      <c r="C1000" s="13"/>
      <c r="D1000" s="14"/>
      <c r="E1000" s="15"/>
      <c r="F1000" s="16" t="str">
        <f aca="false">IF(OR(C1000="",D1000=""),"",EDATE(D1000,IFERROR(INDEX(Paketler!$B$5:$B$24,MATCH(C1000,Paketler!$A$5:$A$24,0)),0))-1)</f>
        <v/>
      </c>
      <c r="G1000" s="17" t="str">
        <f aca="false">IF(F1000="","",IFERROR(INDEX(Paketler!$C$5:$C$24,MATCH(C1000,Paketler!$A$5:$A$24,0)),0))</f>
        <v/>
      </c>
      <c r="H1000" s="17" t="str">
        <f aca="false">IF(F1000="","",G1000-E1000)</f>
        <v/>
      </c>
      <c r="I1000" s="18" t="str">
        <f aca="true">IF(F1000="","",F1000-TODAY())</f>
        <v/>
      </c>
      <c r="J1000" s="19" t="str">
        <f aca="true">IF(F1000="","",IF(TODAY()&lt;D1000,"Başlamadı",IF(TODAY()&gt;F1000,"Bitti",IF(F1000-TODAY()&lt;=7,"Bitiyor","Aktif"))))</f>
        <v/>
      </c>
      <c r="K1000" s="19" t="str">
        <f aca="false">IF(OR(J1000="Aktif",J1000="Bitiyor"),F1000+ROW()/1000000,"")</f>
        <v/>
      </c>
    </row>
    <row r="1001" customFormat="false" ht="15" hidden="false" customHeight="false" outlineLevel="0" collapsed="false">
      <c r="A1001" s="12"/>
      <c r="B1001" s="12"/>
      <c r="C1001" s="13"/>
      <c r="D1001" s="14"/>
      <c r="E1001" s="15"/>
      <c r="F1001" s="16" t="str">
        <f aca="false">IF(OR(C1001="",D1001=""),"",EDATE(D1001,IFERROR(INDEX(Paketler!$B$5:$B$24,MATCH(C1001,Paketler!$A$5:$A$24,0)),0))-1)</f>
        <v/>
      </c>
      <c r="G1001" s="17" t="str">
        <f aca="false">IF(F1001="","",IFERROR(INDEX(Paketler!$C$5:$C$24,MATCH(C1001,Paketler!$A$5:$A$24,0)),0))</f>
        <v/>
      </c>
      <c r="H1001" s="17" t="str">
        <f aca="false">IF(F1001="","",G1001-E1001)</f>
        <v/>
      </c>
      <c r="I1001" s="18" t="str">
        <f aca="true">IF(F1001="","",F1001-TODAY())</f>
        <v/>
      </c>
      <c r="J1001" s="19" t="str">
        <f aca="true">IF(F1001="","",IF(TODAY()&lt;D1001,"Başlamadı",IF(TODAY()&gt;F1001,"Bitti",IF(F1001-TODAY()&lt;=7,"Bitiyor","Aktif"))))</f>
        <v/>
      </c>
      <c r="K1001" s="19" t="str">
        <f aca="false">IF(OR(J1001="Aktif",J1001="Bitiyor"),F1001+ROW()/1000000,"")</f>
        <v/>
      </c>
    </row>
    <row r="1002" customFormat="false" ht="15" hidden="false" customHeight="false" outlineLevel="0" collapsed="false">
      <c r="A1002" s="12"/>
      <c r="B1002" s="12"/>
      <c r="C1002" s="13"/>
      <c r="D1002" s="14"/>
      <c r="E1002" s="15"/>
      <c r="F1002" s="16" t="str">
        <f aca="false">IF(OR(C1002="",D1002=""),"",EDATE(D1002,IFERROR(INDEX(Paketler!$B$5:$B$24,MATCH(C1002,Paketler!$A$5:$A$24,0)),0))-1)</f>
        <v/>
      </c>
      <c r="G1002" s="17" t="str">
        <f aca="false">IF(F1002="","",IFERROR(INDEX(Paketler!$C$5:$C$24,MATCH(C1002,Paketler!$A$5:$A$24,0)),0))</f>
        <v/>
      </c>
      <c r="H1002" s="17" t="str">
        <f aca="false">IF(F1002="","",G1002-E1002)</f>
        <v/>
      </c>
      <c r="I1002" s="18" t="str">
        <f aca="true">IF(F1002="","",F1002-TODAY())</f>
        <v/>
      </c>
      <c r="J1002" s="19" t="str">
        <f aca="true">IF(F1002="","",IF(TODAY()&lt;D1002,"Başlamadı",IF(TODAY()&gt;F1002,"Bitti",IF(F1002-TODAY()&lt;=7,"Bitiyor","Aktif"))))</f>
        <v/>
      </c>
      <c r="K1002" s="19" t="str">
        <f aca="false">IF(OR(J1002="Aktif",J1002="Bitiyor"),F1002+ROW()/1000000,"")</f>
        <v/>
      </c>
    </row>
    <row r="1003" customFormat="false" ht="15" hidden="false" customHeight="false" outlineLevel="0" collapsed="false">
      <c r="A1003" s="12"/>
      <c r="B1003" s="12"/>
      <c r="C1003" s="13"/>
      <c r="D1003" s="14"/>
      <c r="E1003" s="15"/>
      <c r="F1003" s="16" t="str">
        <f aca="false">IF(OR(C1003="",D1003=""),"",EDATE(D1003,IFERROR(INDEX(Paketler!$B$5:$B$24,MATCH(C1003,Paketler!$A$5:$A$24,0)),0))-1)</f>
        <v/>
      </c>
      <c r="G1003" s="17" t="str">
        <f aca="false">IF(F1003="","",IFERROR(INDEX(Paketler!$C$5:$C$24,MATCH(C1003,Paketler!$A$5:$A$24,0)),0))</f>
        <v/>
      </c>
      <c r="H1003" s="17" t="str">
        <f aca="false">IF(F1003="","",G1003-E1003)</f>
        <v/>
      </c>
      <c r="I1003" s="18" t="str">
        <f aca="true">IF(F1003="","",F1003-TODAY())</f>
        <v/>
      </c>
      <c r="J1003" s="19" t="str">
        <f aca="true">IF(F1003="","",IF(TODAY()&lt;D1003,"Başlamadı",IF(TODAY()&gt;F1003,"Bitti",IF(F1003-TODAY()&lt;=7,"Bitiyor","Aktif"))))</f>
        <v/>
      </c>
      <c r="K1003" s="19" t="str">
        <f aca="false">IF(OR(J1003="Aktif",J1003="Bitiyor"),F1003+ROW()/1000000,"")</f>
        <v/>
      </c>
    </row>
    <row r="1004" customFormat="false" ht="15" hidden="false" customHeight="false" outlineLevel="0" collapsed="false">
      <c r="A1004" s="12"/>
      <c r="B1004" s="12"/>
      <c r="C1004" s="13"/>
      <c r="D1004" s="14"/>
      <c r="E1004" s="15"/>
      <c r="F1004" s="16" t="str">
        <f aca="false">IF(OR(C1004="",D1004=""),"",EDATE(D1004,IFERROR(INDEX(Paketler!$B$5:$B$24,MATCH(C1004,Paketler!$A$5:$A$24,0)),0))-1)</f>
        <v/>
      </c>
      <c r="G1004" s="17" t="str">
        <f aca="false">IF(F1004="","",IFERROR(INDEX(Paketler!$C$5:$C$24,MATCH(C1004,Paketler!$A$5:$A$24,0)),0))</f>
        <v/>
      </c>
      <c r="H1004" s="17" t="str">
        <f aca="false">IF(F1004="","",G1004-E1004)</f>
        <v/>
      </c>
      <c r="I1004" s="18" t="str">
        <f aca="true">IF(F1004="","",F1004-TODAY())</f>
        <v/>
      </c>
      <c r="J1004" s="19" t="str">
        <f aca="true">IF(F1004="","",IF(TODAY()&lt;D1004,"Başlamadı",IF(TODAY()&gt;F1004,"Bitti",IF(F1004-TODAY()&lt;=7,"Bitiyor","Aktif"))))</f>
        <v/>
      </c>
      <c r="K1004" s="19" t="str">
        <f aca="false">IF(OR(J1004="Aktif",J1004="Bitiyor"),F1004+ROW()/1000000,"")</f>
        <v/>
      </c>
    </row>
    <row r="1005" customFormat="false" ht="15" hidden="false" customHeight="false" outlineLevel="0" collapsed="false">
      <c r="A1005" s="12"/>
      <c r="B1005" s="12"/>
      <c r="C1005" s="13"/>
      <c r="D1005" s="14"/>
      <c r="E1005" s="15"/>
      <c r="F1005" s="16" t="str">
        <f aca="false">IF(OR(C1005="",D1005=""),"",EDATE(D1005,IFERROR(INDEX(Paketler!$B$5:$B$24,MATCH(C1005,Paketler!$A$5:$A$24,0)),0))-1)</f>
        <v/>
      </c>
      <c r="G1005" s="17" t="str">
        <f aca="false">IF(F1005="","",IFERROR(INDEX(Paketler!$C$5:$C$24,MATCH(C1005,Paketler!$A$5:$A$24,0)),0))</f>
        <v/>
      </c>
      <c r="H1005" s="17" t="str">
        <f aca="false">IF(F1005="","",G1005-E1005)</f>
        <v/>
      </c>
      <c r="I1005" s="18" t="str">
        <f aca="true">IF(F1005="","",F1005-TODAY())</f>
        <v/>
      </c>
      <c r="J1005" s="19" t="str">
        <f aca="true">IF(F1005="","",IF(TODAY()&lt;D1005,"Başlamadı",IF(TODAY()&gt;F1005,"Bitti",IF(F1005-TODAY()&lt;=7,"Bitiyor","Aktif"))))</f>
        <v/>
      </c>
      <c r="K1005" s="19" t="str">
        <f aca="false">IF(OR(J1005="Aktif",J1005="Bitiyor"),F1005+ROW()/1000000,"")</f>
        <v/>
      </c>
    </row>
    <row r="1006" customFormat="false" ht="15" hidden="false" customHeight="false" outlineLevel="0" collapsed="false">
      <c r="A1006" s="12"/>
      <c r="B1006" s="12"/>
      <c r="C1006" s="13"/>
      <c r="D1006" s="14"/>
      <c r="E1006" s="15"/>
      <c r="F1006" s="16" t="str">
        <f aca="false">IF(OR(C1006="",D1006=""),"",EDATE(D1006,IFERROR(INDEX(Paketler!$B$5:$B$24,MATCH(C1006,Paketler!$A$5:$A$24,0)),0))-1)</f>
        <v/>
      </c>
      <c r="G1006" s="17" t="str">
        <f aca="false">IF(F1006="","",IFERROR(INDEX(Paketler!$C$5:$C$24,MATCH(C1006,Paketler!$A$5:$A$24,0)),0))</f>
        <v/>
      </c>
      <c r="H1006" s="17" t="str">
        <f aca="false">IF(F1006="","",G1006-E1006)</f>
        <v/>
      </c>
      <c r="I1006" s="18" t="str">
        <f aca="true">IF(F1006="","",F1006-TODAY())</f>
        <v/>
      </c>
      <c r="J1006" s="19" t="str">
        <f aca="true">IF(F1006="","",IF(TODAY()&lt;D1006,"Başlamadı",IF(TODAY()&gt;F1006,"Bitti",IF(F1006-TODAY()&lt;=7,"Bitiyor","Aktif"))))</f>
        <v/>
      </c>
      <c r="K1006" s="19" t="str">
        <f aca="false">IF(OR(J1006="Aktif",J1006="Bitiyor"),F1006+ROW()/1000000,"")</f>
        <v/>
      </c>
    </row>
    <row r="1007" customFormat="false" ht="15" hidden="false" customHeight="false" outlineLevel="0" collapsed="false">
      <c r="A1007" s="12"/>
      <c r="B1007" s="12"/>
      <c r="C1007" s="13"/>
      <c r="D1007" s="14"/>
      <c r="E1007" s="15"/>
      <c r="F1007" s="16" t="str">
        <f aca="false">IF(OR(C1007="",D1007=""),"",EDATE(D1007,IFERROR(INDEX(Paketler!$B$5:$B$24,MATCH(C1007,Paketler!$A$5:$A$24,0)),0))-1)</f>
        <v/>
      </c>
      <c r="G1007" s="17" t="str">
        <f aca="false">IF(F1007="","",IFERROR(INDEX(Paketler!$C$5:$C$24,MATCH(C1007,Paketler!$A$5:$A$24,0)),0))</f>
        <v/>
      </c>
      <c r="H1007" s="17" t="str">
        <f aca="false">IF(F1007="","",G1007-E1007)</f>
        <v/>
      </c>
      <c r="I1007" s="18" t="str">
        <f aca="true">IF(F1007="","",F1007-TODAY())</f>
        <v/>
      </c>
      <c r="J1007" s="19" t="str">
        <f aca="true">IF(F1007="","",IF(TODAY()&lt;D1007,"Başlamadı",IF(TODAY()&gt;F1007,"Bitti",IF(F1007-TODAY()&lt;=7,"Bitiyor","Aktif"))))</f>
        <v/>
      </c>
      <c r="K1007" s="19" t="str">
        <f aca="false">IF(OR(J1007="Aktif",J1007="Bitiyor"),F1007+ROW()/1000000,"")</f>
        <v/>
      </c>
    </row>
    <row r="1008" customFormat="false" ht="15" hidden="false" customHeight="false" outlineLevel="0" collapsed="false">
      <c r="A1008" s="12"/>
      <c r="B1008" s="12"/>
      <c r="C1008" s="13"/>
      <c r="D1008" s="14"/>
      <c r="E1008" s="15"/>
      <c r="F1008" s="16" t="str">
        <f aca="false">IF(OR(C1008="",D1008=""),"",EDATE(D1008,IFERROR(INDEX(Paketler!$B$5:$B$24,MATCH(C1008,Paketler!$A$5:$A$24,0)),0))-1)</f>
        <v/>
      </c>
      <c r="G1008" s="17" t="str">
        <f aca="false">IF(F1008="","",IFERROR(INDEX(Paketler!$C$5:$C$24,MATCH(C1008,Paketler!$A$5:$A$24,0)),0))</f>
        <v/>
      </c>
      <c r="H1008" s="17" t="str">
        <f aca="false">IF(F1008="","",G1008-E1008)</f>
        <v/>
      </c>
      <c r="I1008" s="18" t="str">
        <f aca="true">IF(F1008="","",F1008-TODAY())</f>
        <v/>
      </c>
      <c r="J1008" s="19" t="str">
        <f aca="true">IF(F1008="","",IF(TODAY()&lt;D1008,"Başlamadı",IF(TODAY()&gt;F1008,"Bitti",IF(F1008-TODAY()&lt;=7,"Bitiyor","Aktif"))))</f>
        <v/>
      </c>
      <c r="K1008" s="19" t="str">
        <f aca="false">IF(OR(J1008="Aktif",J1008="Bitiyor"),F1008+ROW()/1000000,"")</f>
        <v/>
      </c>
    </row>
    <row r="1009" customFormat="false" ht="15" hidden="false" customHeight="false" outlineLevel="0" collapsed="false">
      <c r="A1009" s="12"/>
      <c r="B1009" s="12"/>
      <c r="C1009" s="13"/>
      <c r="D1009" s="14"/>
      <c r="E1009" s="15"/>
      <c r="F1009" s="16" t="str">
        <f aca="false">IF(OR(C1009="",D1009=""),"",EDATE(D1009,IFERROR(INDEX(Paketler!$B$5:$B$24,MATCH(C1009,Paketler!$A$5:$A$24,0)),0))-1)</f>
        <v/>
      </c>
      <c r="G1009" s="17" t="str">
        <f aca="false">IF(F1009="","",IFERROR(INDEX(Paketler!$C$5:$C$24,MATCH(C1009,Paketler!$A$5:$A$24,0)),0))</f>
        <v/>
      </c>
      <c r="H1009" s="17" t="str">
        <f aca="false">IF(F1009="","",G1009-E1009)</f>
        <v/>
      </c>
      <c r="I1009" s="18" t="str">
        <f aca="true">IF(F1009="","",F1009-TODAY())</f>
        <v/>
      </c>
      <c r="J1009" s="19" t="str">
        <f aca="true">IF(F1009="","",IF(TODAY()&lt;D1009,"Başlamadı",IF(TODAY()&gt;F1009,"Bitti",IF(F1009-TODAY()&lt;=7,"Bitiyor","Aktif"))))</f>
        <v/>
      </c>
      <c r="K1009" s="19" t="str">
        <f aca="false">IF(OR(J1009="Aktif",J1009="Bitiyor"),F1009+ROW()/1000000,"")</f>
        <v/>
      </c>
    </row>
    <row r="1010" customFormat="false" ht="15" hidden="false" customHeight="false" outlineLevel="0" collapsed="false">
      <c r="A1010" s="12"/>
      <c r="B1010" s="12"/>
      <c r="C1010" s="13"/>
      <c r="D1010" s="14"/>
      <c r="E1010" s="15"/>
      <c r="F1010" s="16" t="str">
        <f aca="false">IF(OR(C1010="",D1010=""),"",EDATE(D1010,IFERROR(INDEX(Paketler!$B$5:$B$24,MATCH(C1010,Paketler!$A$5:$A$24,0)),0))-1)</f>
        <v/>
      </c>
      <c r="G1010" s="17" t="str">
        <f aca="false">IF(F1010="","",IFERROR(INDEX(Paketler!$C$5:$C$24,MATCH(C1010,Paketler!$A$5:$A$24,0)),0))</f>
        <v/>
      </c>
      <c r="H1010" s="17" t="str">
        <f aca="false">IF(F1010="","",G1010-E1010)</f>
        <v/>
      </c>
      <c r="I1010" s="18" t="str">
        <f aca="true">IF(F1010="","",F1010-TODAY())</f>
        <v/>
      </c>
      <c r="J1010" s="19" t="str">
        <f aca="true">IF(F1010="","",IF(TODAY()&lt;D1010,"Başlamadı",IF(TODAY()&gt;F1010,"Bitti",IF(F1010-TODAY()&lt;=7,"Bitiyor","Aktif"))))</f>
        <v/>
      </c>
      <c r="K1010" s="19" t="str">
        <f aca="false">IF(OR(J1010="Aktif",J1010="Bitiyor"),F1010+ROW()/1000000,"")</f>
        <v/>
      </c>
    </row>
    <row r="1011" customFormat="false" ht="15" hidden="false" customHeight="false" outlineLevel="0" collapsed="false">
      <c r="A1011" s="12"/>
      <c r="B1011" s="12"/>
      <c r="C1011" s="13"/>
      <c r="D1011" s="14"/>
      <c r="E1011" s="15"/>
      <c r="F1011" s="16" t="str">
        <f aca="false">IF(OR(C1011="",D1011=""),"",EDATE(D1011,IFERROR(INDEX(Paketler!$B$5:$B$24,MATCH(C1011,Paketler!$A$5:$A$24,0)),0))-1)</f>
        <v/>
      </c>
      <c r="G1011" s="17" t="str">
        <f aca="false">IF(F1011="","",IFERROR(INDEX(Paketler!$C$5:$C$24,MATCH(C1011,Paketler!$A$5:$A$24,0)),0))</f>
        <v/>
      </c>
      <c r="H1011" s="17" t="str">
        <f aca="false">IF(F1011="","",G1011-E1011)</f>
        <v/>
      </c>
      <c r="I1011" s="18" t="str">
        <f aca="true">IF(F1011="","",F1011-TODAY())</f>
        <v/>
      </c>
      <c r="J1011" s="19" t="str">
        <f aca="true">IF(F1011="","",IF(TODAY()&lt;D1011,"Başlamadı",IF(TODAY()&gt;F1011,"Bitti",IF(F1011-TODAY()&lt;=7,"Bitiyor","Aktif"))))</f>
        <v/>
      </c>
      <c r="K1011" s="19" t="str">
        <f aca="false">IF(OR(J1011="Aktif",J1011="Bitiyor"),F1011+ROW()/1000000,"")</f>
        <v/>
      </c>
    </row>
    <row r="1012" customFormat="false" ht="15" hidden="false" customHeight="false" outlineLevel="0" collapsed="false">
      <c r="A1012" s="12"/>
      <c r="B1012" s="12"/>
      <c r="C1012" s="13"/>
      <c r="D1012" s="14"/>
      <c r="E1012" s="15"/>
      <c r="F1012" s="16" t="str">
        <f aca="false">IF(OR(C1012="",D1012=""),"",EDATE(D1012,IFERROR(INDEX(Paketler!$B$5:$B$24,MATCH(C1012,Paketler!$A$5:$A$24,0)),0))-1)</f>
        <v/>
      </c>
      <c r="G1012" s="17" t="str">
        <f aca="false">IF(F1012="","",IFERROR(INDEX(Paketler!$C$5:$C$24,MATCH(C1012,Paketler!$A$5:$A$24,0)),0))</f>
        <v/>
      </c>
      <c r="H1012" s="17" t="str">
        <f aca="false">IF(F1012="","",G1012-E1012)</f>
        <v/>
      </c>
      <c r="I1012" s="18" t="str">
        <f aca="true">IF(F1012="","",F1012-TODAY())</f>
        <v/>
      </c>
      <c r="J1012" s="19" t="str">
        <f aca="true">IF(F1012="","",IF(TODAY()&lt;D1012,"Başlamadı",IF(TODAY()&gt;F1012,"Bitti",IF(F1012-TODAY()&lt;=7,"Bitiyor","Aktif"))))</f>
        <v/>
      </c>
      <c r="K1012" s="19" t="str">
        <f aca="false">IF(OR(J1012="Aktif",J1012="Bitiyor"),F1012+ROW()/1000000,"")</f>
        <v/>
      </c>
    </row>
    <row r="1013" customFormat="false" ht="15" hidden="false" customHeight="false" outlineLevel="0" collapsed="false">
      <c r="A1013" s="12"/>
      <c r="B1013" s="12"/>
      <c r="C1013" s="13"/>
      <c r="D1013" s="14"/>
      <c r="E1013" s="15"/>
      <c r="F1013" s="16" t="str">
        <f aca="false">IF(OR(C1013="",D1013=""),"",EDATE(D1013,IFERROR(INDEX(Paketler!$B$5:$B$24,MATCH(C1013,Paketler!$A$5:$A$24,0)),0))-1)</f>
        <v/>
      </c>
      <c r="G1013" s="17" t="str">
        <f aca="false">IF(F1013="","",IFERROR(INDEX(Paketler!$C$5:$C$24,MATCH(C1013,Paketler!$A$5:$A$24,0)),0))</f>
        <v/>
      </c>
      <c r="H1013" s="17" t="str">
        <f aca="false">IF(F1013="","",G1013-E1013)</f>
        <v/>
      </c>
      <c r="I1013" s="18" t="str">
        <f aca="true">IF(F1013="","",F1013-TODAY())</f>
        <v/>
      </c>
      <c r="J1013" s="19" t="str">
        <f aca="true">IF(F1013="","",IF(TODAY()&lt;D1013,"Başlamadı",IF(TODAY()&gt;F1013,"Bitti",IF(F1013-TODAY()&lt;=7,"Bitiyor","Aktif"))))</f>
        <v/>
      </c>
      <c r="K1013" s="19" t="str">
        <f aca="false">IF(OR(J1013="Aktif",J1013="Bitiyor"),F1013+ROW()/1000000,"")</f>
        <v/>
      </c>
    </row>
    <row r="1014" customFormat="false" ht="15" hidden="false" customHeight="false" outlineLevel="0" collapsed="false">
      <c r="A1014" s="12"/>
      <c r="B1014" s="12"/>
      <c r="C1014" s="13"/>
      <c r="D1014" s="14"/>
      <c r="E1014" s="15"/>
      <c r="F1014" s="16" t="str">
        <f aca="false">IF(OR(C1014="",D1014=""),"",EDATE(D1014,IFERROR(INDEX(Paketler!$B$5:$B$24,MATCH(C1014,Paketler!$A$5:$A$24,0)),0))-1)</f>
        <v/>
      </c>
      <c r="G1014" s="17" t="str">
        <f aca="false">IF(F1014="","",IFERROR(INDEX(Paketler!$C$5:$C$24,MATCH(C1014,Paketler!$A$5:$A$24,0)),0))</f>
        <v/>
      </c>
      <c r="H1014" s="17" t="str">
        <f aca="false">IF(F1014="","",G1014-E1014)</f>
        <v/>
      </c>
      <c r="I1014" s="18" t="str">
        <f aca="true">IF(F1014="","",F1014-TODAY())</f>
        <v/>
      </c>
      <c r="J1014" s="19" t="str">
        <f aca="true">IF(F1014="","",IF(TODAY()&lt;D1014,"Başlamadı",IF(TODAY()&gt;F1014,"Bitti",IF(F1014-TODAY()&lt;=7,"Bitiyor","Aktif"))))</f>
        <v/>
      </c>
      <c r="K1014" s="19" t="str">
        <f aca="false">IF(OR(J1014="Aktif",J1014="Bitiyor"),F1014+ROW()/1000000,"")</f>
        <v/>
      </c>
    </row>
    <row r="1015" customFormat="false" ht="15" hidden="false" customHeight="false" outlineLevel="0" collapsed="false">
      <c r="A1015" s="12"/>
      <c r="B1015" s="12"/>
      <c r="C1015" s="13"/>
      <c r="D1015" s="14"/>
      <c r="E1015" s="15"/>
      <c r="F1015" s="16" t="str">
        <f aca="false">IF(OR(C1015="",D1015=""),"",EDATE(D1015,IFERROR(INDEX(Paketler!$B$5:$B$24,MATCH(C1015,Paketler!$A$5:$A$24,0)),0))-1)</f>
        <v/>
      </c>
      <c r="G1015" s="17" t="str">
        <f aca="false">IF(F1015="","",IFERROR(INDEX(Paketler!$C$5:$C$24,MATCH(C1015,Paketler!$A$5:$A$24,0)),0))</f>
        <v/>
      </c>
      <c r="H1015" s="17" t="str">
        <f aca="false">IF(F1015="","",G1015-E1015)</f>
        <v/>
      </c>
      <c r="I1015" s="18" t="str">
        <f aca="true">IF(F1015="","",F1015-TODAY())</f>
        <v/>
      </c>
      <c r="J1015" s="19" t="str">
        <f aca="true">IF(F1015="","",IF(TODAY()&lt;D1015,"Başlamadı",IF(TODAY()&gt;F1015,"Bitti",IF(F1015-TODAY()&lt;=7,"Bitiyor","Aktif"))))</f>
        <v/>
      </c>
      <c r="K1015" s="19" t="str">
        <f aca="false">IF(OR(J1015="Aktif",J1015="Bitiyor"),F1015+ROW()/1000000,"")</f>
        <v/>
      </c>
    </row>
    <row r="1016" customFormat="false" ht="15" hidden="false" customHeight="false" outlineLevel="0" collapsed="false">
      <c r="A1016" s="12"/>
      <c r="B1016" s="12"/>
      <c r="C1016" s="13"/>
      <c r="D1016" s="14"/>
      <c r="E1016" s="15"/>
      <c r="F1016" s="16" t="str">
        <f aca="false">IF(OR(C1016="",D1016=""),"",EDATE(D1016,IFERROR(INDEX(Paketler!$B$5:$B$24,MATCH(C1016,Paketler!$A$5:$A$24,0)),0))-1)</f>
        <v/>
      </c>
      <c r="G1016" s="17" t="str">
        <f aca="false">IF(F1016="","",IFERROR(INDEX(Paketler!$C$5:$C$24,MATCH(C1016,Paketler!$A$5:$A$24,0)),0))</f>
        <v/>
      </c>
      <c r="H1016" s="17" t="str">
        <f aca="false">IF(F1016="","",G1016-E1016)</f>
        <v/>
      </c>
      <c r="I1016" s="18" t="str">
        <f aca="true">IF(F1016="","",F1016-TODAY())</f>
        <v/>
      </c>
      <c r="J1016" s="19" t="str">
        <f aca="true">IF(F1016="","",IF(TODAY()&lt;D1016,"Başlamadı",IF(TODAY()&gt;F1016,"Bitti",IF(F1016-TODAY()&lt;=7,"Bitiyor","Aktif"))))</f>
        <v/>
      </c>
      <c r="K1016" s="19" t="str">
        <f aca="false">IF(OR(J1016="Aktif",J1016="Bitiyor"),F1016+ROW()/1000000,"")</f>
        <v/>
      </c>
    </row>
    <row r="1017" customFormat="false" ht="15" hidden="false" customHeight="false" outlineLevel="0" collapsed="false">
      <c r="A1017" s="12"/>
      <c r="B1017" s="12"/>
      <c r="C1017" s="13"/>
      <c r="D1017" s="14"/>
      <c r="E1017" s="15"/>
      <c r="F1017" s="16" t="str">
        <f aca="false">IF(OR(C1017="",D1017=""),"",EDATE(D1017,IFERROR(INDEX(Paketler!$B$5:$B$24,MATCH(C1017,Paketler!$A$5:$A$24,0)),0))-1)</f>
        <v/>
      </c>
      <c r="G1017" s="17" t="str">
        <f aca="false">IF(F1017="","",IFERROR(INDEX(Paketler!$C$5:$C$24,MATCH(C1017,Paketler!$A$5:$A$24,0)),0))</f>
        <v/>
      </c>
      <c r="H1017" s="17" t="str">
        <f aca="false">IF(F1017="","",G1017-E1017)</f>
        <v/>
      </c>
      <c r="I1017" s="18" t="str">
        <f aca="true">IF(F1017="","",F1017-TODAY())</f>
        <v/>
      </c>
      <c r="J1017" s="19" t="str">
        <f aca="true">IF(F1017="","",IF(TODAY()&lt;D1017,"Başlamadı",IF(TODAY()&gt;F1017,"Bitti",IF(F1017-TODAY()&lt;=7,"Bitiyor","Aktif"))))</f>
        <v/>
      </c>
      <c r="K1017" s="19" t="str">
        <f aca="false">IF(OR(J1017="Aktif",J1017="Bitiyor"),F1017+ROW()/1000000,"")</f>
        <v/>
      </c>
    </row>
    <row r="1018" customFormat="false" ht="15" hidden="false" customHeight="false" outlineLevel="0" collapsed="false">
      <c r="A1018" s="12"/>
      <c r="B1018" s="12"/>
      <c r="C1018" s="13"/>
      <c r="D1018" s="14"/>
      <c r="E1018" s="15"/>
      <c r="F1018" s="16" t="str">
        <f aca="false">IF(OR(C1018="",D1018=""),"",EDATE(D1018,IFERROR(INDEX(Paketler!$B$5:$B$24,MATCH(C1018,Paketler!$A$5:$A$24,0)),0))-1)</f>
        <v/>
      </c>
      <c r="G1018" s="17" t="str">
        <f aca="false">IF(F1018="","",IFERROR(INDEX(Paketler!$C$5:$C$24,MATCH(C1018,Paketler!$A$5:$A$24,0)),0))</f>
        <v/>
      </c>
      <c r="H1018" s="17" t="str">
        <f aca="false">IF(F1018="","",G1018-E1018)</f>
        <v/>
      </c>
      <c r="I1018" s="18" t="str">
        <f aca="true">IF(F1018="","",F1018-TODAY())</f>
        <v/>
      </c>
      <c r="J1018" s="19" t="str">
        <f aca="true">IF(F1018="","",IF(TODAY()&lt;D1018,"Başlamadı",IF(TODAY()&gt;F1018,"Bitti",IF(F1018-TODAY()&lt;=7,"Bitiyor","Aktif"))))</f>
        <v/>
      </c>
      <c r="K1018" s="19" t="str">
        <f aca="false">IF(OR(J1018="Aktif",J1018="Bitiyor"),F1018+ROW()/1000000,"")</f>
        <v/>
      </c>
    </row>
    <row r="1019" customFormat="false" ht="15" hidden="false" customHeight="false" outlineLevel="0" collapsed="false">
      <c r="A1019" s="12"/>
      <c r="B1019" s="12"/>
      <c r="C1019" s="13"/>
      <c r="D1019" s="14"/>
      <c r="E1019" s="15"/>
      <c r="F1019" s="16" t="str">
        <f aca="false">IF(OR(C1019="",D1019=""),"",EDATE(D1019,IFERROR(INDEX(Paketler!$B$5:$B$24,MATCH(C1019,Paketler!$A$5:$A$24,0)),0))-1)</f>
        <v/>
      </c>
      <c r="G1019" s="17" t="str">
        <f aca="false">IF(F1019="","",IFERROR(INDEX(Paketler!$C$5:$C$24,MATCH(C1019,Paketler!$A$5:$A$24,0)),0))</f>
        <v/>
      </c>
      <c r="H1019" s="17" t="str">
        <f aca="false">IF(F1019="","",G1019-E1019)</f>
        <v/>
      </c>
      <c r="I1019" s="18" t="str">
        <f aca="true">IF(F1019="","",F1019-TODAY())</f>
        <v/>
      </c>
      <c r="J1019" s="19" t="str">
        <f aca="true">IF(F1019="","",IF(TODAY()&lt;D1019,"Başlamadı",IF(TODAY()&gt;F1019,"Bitti",IF(F1019-TODAY()&lt;=7,"Bitiyor","Aktif"))))</f>
        <v/>
      </c>
      <c r="K1019" s="19" t="str">
        <f aca="false">IF(OR(J1019="Aktif",J1019="Bitiyor"),F1019+ROW()/1000000,"")</f>
        <v/>
      </c>
    </row>
    <row r="1020" customFormat="false" ht="15" hidden="false" customHeight="false" outlineLevel="0" collapsed="false">
      <c r="A1020" s="12"/>
      <c r="B1020" s="12"/>
      <c r="C1020" s="13"/>
      <c r="D1020" s="14"/>
      <c r="E1020" s="15"/>
      <c r="F1020" s="16" t="str">
        <f aca="false">IF(OR(C1020="",D1020=""),"",EDATE(D1020,IFERROR(INDEX(Paketler!$B$5:$B$24,MATCH(C1020,Paketler!$A$5:$A$24,0)),0))-1)</f>
        <v/>
      </c>
      <c r="G1020" s="17" t="str">
        <f aca="false">IF(F1020="","",IFERROR(INDEX(Paketler!$C$5:$C$24,MATCH(C1020,Paketler!$A$5:$A$24,0)),0))</f>
        <v/>
      </c>
      <c r="H1020" s="17" t="str">
        <f aca="false">IF(F1020="","",G1020-E1020)</f>
        <v/>
      </c>
      <c r="I1020" s="18" t="str">
        <f aca="true">IF(F1020="","",F1020-TODAY())</f>
        <v/>
      </c>
      <c r="J1020" s="19" t="str">
        <f aca="true">IF(F1020="","",IF(TODAY()&lt;D1020,"Başlamadı",IF(TODAY()&gt;F1020,"Bitti",IF(F1020-TODAY()&lt;=7,"Bitiyor","Aktif"))))</f>
        <v/>
      </c>
      <c r="K1020" s="19" t="str">
        <f aca="false">IF(OR(J1020="Aktif",J1020="Bitiyor"),F1020+ROW()/1000000,"")</f>
        <v/>
      </c>
    </row>
    <row r="1021" customFormat="false" ht="15" hidden="false" customHeight="false" outlineLevel="0" collapsed="false">
      <c r="A1021" s="12"/>
      <c r="B1021" s="12"/>
      <c r="C1021" s="13"/>
      <c r="D1021" s="14"/>
      <c r="E1021" s="15"/>
      <c r="F1021" s="16" t="str">
        <f aca="false">IF(OR(C1021="",D1021=""),"",EDATE(D1021,IFERROR(INDEX(Paketler!$B$5:$B$24,MATCH(C1021,Paketler!$A$5:$A$24,0)),0))-1)</f>
        <v/>
      </c>
      <c r="G1021" s="17" t="str">
        <f aca="false">IF(F1021="","",IFERROR(INDEX(Paketler!$C$5:$C$24,MATCH(C1021,Paketler!$A$5:$A$24,0)),0))</f>
        <v/>
      </c>
      <c r="H1021" s="17" t="str">
        <f aca="false">IF(F1021="","",G1021-E1021)</f>
        <v/>
      </c>
      <c r="I1021" s="18" t="str">
        <f aca="true">IF(F1021="","",F1021-TODAY())</f>
        <v/>
      </c>
      <c r="J1021" s="19" t="str">
        <f aca="true">IF(F1021="","",IF(TODAY()&lt;D1021,"Başlamadı",IF(TODAY()&gt;F1021,"Bitti",IF(F1021-TODAY()&lt;=7,"Bitiyor","Aktif"))))</f>
        <v/>
      </c>
      <c r="K1021" s="19" t="str">
        <f aca="false">IF(OR(J1021="Aktif",J1021="Bitiyor"),F1021+ROW()/1000000,"")</f>
        <v/>
      </c>
    </row>
    <row r="1022" customFormat="false" ht="15" hidden="false" customHeight="false" outlineLevel="0" collapsed="false">
      <c r="A1022" s="12"/>
      <c r="B1022" s="12"/>
      <c r="C1022" s="13"/>
      <c r="D1022" s="14"/>
      <c r="E1022" s="15"/>
      <c r="F1022" s="16" t="str">
        <f aca="false">IF(OR(C1022="",D1022=""),"",EDATE(D1022,IFERROR(INDEX(Paketler!$B$5:$B$24,MATCH(C1022,Paketler!$A$5:$A$24,0)),0))-1)</f>
        <v/>
      </c>
      <c r="G1022" s="17" t="str">
        <f aca="false">IF(F1022="","",IFERROR(INDEX(Paketler!$C$5:$C$24,MATCH(C1022,Paketler!$A$5:$A$24,0)),0))</f>
        <v/>
      </c>
      <c r="H1022" s="17" t="str">
        <f aca="false">IF(F1022="","",G1022-E1022)</f>
        <v/>
      </c>
      <c r="I1022" s="18" t="str">
        <f aca="true">IF(F1022="","",F1022-TODAY())</f>
        <v/>
      </c>
      <c r="J1022" s="19" t="str">
        <f aca="true">IF(F1022="","",IF(TODAY()&lt;D1022,"Başlamadı",IF(TODAY()&gt;F1022,"Bitti",IF(F1022-TODAY()&lt;=7,"Bitiyor","Aktif"))))</f>
        <v/>
      </c>
      <c r="K1022" s="19" t="str">
        <f aca="false">IF(OR(J1022="Aktif",J1022="Bitiyor"),F1022+ROW()/1000000,"")</f>
        <v/>
      </c>
    </row>
    <row r="1023" customFormat="false" ht="15" hidden="false" customHeight="false" outlineLevel="0" collapsed="false">
      <c r="A1023" s="12"/>
      <c r="B1023" s="12"/>
      <c r="C1023" s="13"/>
      <c r="D1023" s="14"/>
      <c r="E1023" s="15"/>
      <c r="F1023" s="16" t="str">
        <f aca="false">IF(OR(C1023="",D1023=""),"",EDATE(D1023,IFERROR(INDEX(Paketler!$B$5:$B$24,MATCH(C1023,Paketler!$A$5:$A$24,0)),0))-1)</f>
        <v/>
      </c>
      <c r="G1023" s="17" t="str">
        <f aca="false">IF(F1023="","",IFERROR(INDEX(Paketler!$C$5:$C$24,MATCH(C1023,Paketler!$A$5:$A$24,0)),0))</f>
        <v/>
      </c>
      <c r="H1023" s="17" t="str">
        <f aca="false">IF(F1023="","",G1023-E1023)</f>
        <v/>
      </c>
      <c r="I1023" s="18" t="str">
        <f aca="true">IF(F1023="","",F1023-TODAY())</f>
        <v/>
      </c>
      <c r="J1023" s="19" t="str">
        <f aca="true">IF(F1023="","",IF(TODAY()&lt;D1023,"Başlamadı",IF(TODAY()&gt;F1023,"Bitti",IF(F1023-TODAY()&lt;=7,"Bitiyor","Aktif"))))</f>
        <v/>
      </c>
      <c r="K1023" s="19" t="str">
        <f aca="false">IF(OR(J1023="Aktif",J1023="Bitiyor"),F1023+ROW()/1000000,"")</f>
        <v/>
      </c>
    </row>
    <row r="1024" customFormat="false" ht="15" hidden="false" customHeight="false" outlineLevel="0" collapsed="false">
      <c r="A1024" s="12"/>
      <c r="B1024" s="12"/>
      <c r="C1024" s="13"/>
      <c r="D1024" s="14"/>
      <c r="E1024" s="15"/>
      <c r="F1024" s="16" t="str">
        <f aca="false">IF(OR(C1024="",D1024=""),"",EDATE(D1024,IFERROR(INDEX(Paketler!$B$5:$B$24,MATCH(C1024,Paketler!$A$5:$A$24,0)),0))-1)</f>
        <v/>
      </c>
      <c r="G1024" s="17" t="str">
        <f aca="false">IF(F1024="","",IFERROR(INDEX(Paketler!$C$5:$C$24,MATCH(C1024,Paketler!$A$5:$A$24,0)),0))</f>
        <v/>
      </c>
      <c r="H1024" s="17" t="str">
        <f aca="false">IF(F1024="","",G1024-E1024)</f>
        <v/>
      </c>
      <c r="I1024" s="18" t="str">
        <f aca="true">IF(F1024="","",F1024-TODAY())</f>
        <v/>
      </c>
      <c r="J1024" s="19" t="str">
        <f aca="true">IF(F1024="","",IF(TODAY()&lt;D1024,"Başlamadı",IF(TODAY()&gt;F1024,"Bitti",IF(F1024-TODAY()&lt;=7,"Bitiyor","Aktif"))))</f>
        <v/>
      </c>
      <c r="K1024" s="19" t="str">
        <f aca="false">IF(OR(J1024="Aktif",J1024="Bitiyor"),F1024+ROW()/1000000,"")</f>
        <v/>
      </c>
    </row>
    <row r="1025" customFormat="false" ht="15" hidden="false" customHeight="false" outlineLevel="0" collapsed="false">
      <c r="A1025" s="12"/>
      <c r="B1025" s="12"/>
      <c r="C1025" s="13"/>
      <c r="D1025" s="14"/>
      <c r="E1025" s="15"/>
      <c r="F1025" s="16" t="str">
        <f aca="false">IF(OR(C1025="",D1025=""),"",EDATE(D1025,IFERROR(INDEX(Paketler!$B$5:$B$24,MATCH(C1025,Paketler!$A$5:$A$24,0)),0))-1)</f>
        <v/>
      </c>
      <c r="G1025" s="17" t="str">
        <f aca="false">IF(F1025="","",IFERROR(INDEX(Paketler!$C$5:$C$24,MATCH(C1025,Paketler!$A$5:$A$24,0)),0))</f>
        <v/>
      </c>
      <c r="H1025" s="17" t="str">
        <f aca="false">IF(F1025="","",G1025-E1025)</f>
        <v/>
      </c>
      <c r="I1025" s="18" t="str">
        <f aca="true">IF(F1025="","",F1025-TODAY())</f>
        <v/>
      </c>
      <c r="J1025" s="19" t="str">
        <f aca="true">IF(F1025="","",IF(TODAY()&lt;D1025,"Başlamadı",IF(TODAY()&gt;F1025,"Bitti",IF(F1025-TODAY()&lt;=7,"Bitiyor","Aktif"))))</f>
        <v/>
      </c>
      <c r="K1025" s="19" t="str">
        <f aca="false">IF(OR(J1025="Aktif",J1025="Bitiyor"),F1025+ROW()/1000000,"")</f>
        <v/>
      </c>
    </row>
    <row r="1026" customFormat="false" ht="15" hidden="false" customHeight="false" outlineLevel="0" collapsed="false">
      <c r="A1026" s="12"/>
      <c r="B1026" s="12"/>
      <c r="C1026" s="13"/>
      <c r="D1026" s="14"/>
      <c r="E1026" s="15"/>
      <c r="F1026" s="16" t="str">
        <f aca="false">IF(OR(C1026="",D1026=""),"",EDATE(D1026,IFERROR(INDEX(Paketler!$B$5:$B$24,MATCH(C1026,Paketler!$A$5:$A$24,0)),0))-1)</f>
        <v/>
      </c>
      <c r="G1026" s="17" t="str">
        <f aca="false">IF(F1026="","",IFERROR(INDEX(Paketler!$C$5:$C$24,MATCH(C1026,Paketler!$A$5:$A$24,0)),0))</f>
        <v/>
      </c>
      <c r="H1026" s="17" t="str">
        <f aca="false">IF(F1026="","",G1026-E1026)</f>
        <v/>
      </c>
      <c r="I1026" s="18" t="str">
        <f aca="true">IF(F1026="","",F1026-TODAY())</f>
        <v/>
      </c>
      <c r="J1026" s="19" t="str">
        <f aca="true">IF(F1026="","",IF(TODAY()&lt;D1026,"Başlamadı",IF(TODAY()&gt;F1026,"Bitti",IF(F1026-TODAY()&lt;=7,"Bitiyor","Aktif"))))</f>
        <v/>
      </c>
      <c r="K1026" s="19" t="str">
        <f aca="false">IF(OR(J1026="Aktif",J1026="Bitiyor"),F1026+ROW()/1000000,"")</f>
        <v/>
      </c>
    </row>
    <row r="1027" customFormat="false" ht="15" hidden="false" customHeight="false" outlineLevel="0" collapsed="false">
      <c r="A1027" s="12"/>
      <c r="B1027" s="12"/>
      <c r="C1027" s="13"/>
      <c r="D1027" s="14"/>
      <c r="E1027" s="15"/>
      <c r="F1027" s="16" t="str">
        <f aca="false">IF(OR(C1027="",D1027=""),"",EDATE(D1027,IFERROR(INDEX(Paketler!$B$5:$B$24,MATCH(C1027,Paketler!$A$5:$A$24,0)),0))-1)</f>
        <v/>
      </c>
      <c r="G1027" s="17" t="str">
        <f aca="false">IF(F1027="","",IFERROR(INDEX(Paketler!$C$5:$C$24,MATCH(C1027,Paketler!$A$5:$A$24,0)),0))</f>
        <v/>
      </c>
      <c r="H1027" s="17" t="str">
        <f aca="false">IF(F1027="","",G1027-E1027)</f>
        <v/>
      </c>
      <c r="I1027" s="18" t="str">
        <f aca="true">IF(F1027="","",F1027-TODAY())</f>
        <v/>
      </c>
      <c r="J1027" s="19" t="str">
        <f aca="true">IF(F1027="","",IF(TODAY()&lt;D1027,"Başlamadı",IF(TODAY()&gt;F1027,"Bitti",IF(F1027-TODAY()&lt;=7,"Bitiyor","Aktif"))))</f>
        <v/>
      </c>
      <c r="K1027" s="19" t="str">
        <f aca="false">IF(OR(J1027="Aktif",J1027="Bitiyor"),F1027+ROW()/1000000,"")</f>
        <v/>
      </c>
    </row>
    <row r="1028" customFormat="false" ht="15" hidden="false" customHeight="false" outlineLevel="0" collapsed="false">
      <c r="A1028" s="12"/>
      <c r="B1028" s="12"/>
      <c r="C1028" s="13"/>
      <c r="D1028" s="14"/>
      <c r="E1028" s="15"/>
      <c r="F1028" s="16" t="str">
        <f aca="false">IF(OR(C1028="",D1028=""),"",EDATE(D1028,IFERROR(INDEX(Paketler!$B$5:$B$24,MATCH(C1028,Paketler!$A$5:$A$24,0)),0))-1)</f>
        <v/>
      </c>
      <c r="G1028" s="17" t="str">
        <f aca="false">IF(F1028="","",IFERROR(INDEX(Paketler!$C$5:$C$24,MATCH(C1028,Paketler!$A$5:$A$24,0)),0))</f>
        <v/>
      </c>
      <c r="H1028" s="17" t="str">
        <f aca="false">IF(F1028="","",G1028-E1028)</f>
        <v/>
      </c>
      <c r="I1028" s="18" t="str">
        <f aca="true">IF(F1028="","",F1028-TODAY())</f>
        <v/>
      </c>
      <c r="J1028" s="19" t="str">
        <f aca="true">IF(F1028="","",IF(TODAY()&lt;D1028,"Başlamadı",IF(TODAY()&gt;F1028,"Bitti",IF(F1028-TODAY()&lt;=7,"Bitiyor","Aktif"))))</f>
        <v/>
      </c>
      <c r="K1028" s="19" t="str">
        <f aca="false">IF(OR(J1028="Aktif",J1028="Bitiyor"),F1028+ROW()/1000000,"")</f>
        <v/>
      </c>
    </row>
    <row r="1029" customFormat="false" ht="15" hidden="false" customHeight="false" outlineLevel="0" collapsed="false">
      <c r="A1029" s="12"/>
      <c r="B1029" s="12"/>
      <c r="C1029" s="13"/>
      <c r="D1029" s="14"/>
      <c r="E1029" s="15"/>
      <c r="F1029" s="16" t="str">
        <f aca="false">IF(OR(C1029="",D1029=""),"",EDATE(D1029,IFERROR(INDEX(Paketler!$B$5:$B$24,MATCH(C1029,Paketler!$A$5:$A$24,0)),0))-1)</f>
        <v/>
      </c>
      <c r="G1029" s="17" t="str">
        <f aca="false">IF(F1029="","",IFERROR(INDEX(Paketler!$C$5:$C$24,MATCH(C1029,Paketler!$A$5:$A$24,0)),0))</f>
        <v/>
      </c>
      <c r="H1029" s="17" t="str">
        <f aca="false">IF(F1029="","",G1029-E1029)</f>
        <v/>
      </c>
      <c r="I1029" s="18" t="str">
        <f aca="true">IF(F1029="","",F1029-TODAY())</f>
        <v/>
      </c>
      <c r="J1029" s="19" t="str">
        <f aca="true">IF(F1029="","",IF(TODAY()&lt;D1029,"Başlamadı",IF(TODAY()&gt;F1029,"Bitti",IF(F1029-TODAY()&lt;=7,"Bitiyor","Aktif"))))</f>
        <v/>
      </c>
      <c r="K1029" s="19" t="str">
        <f aca="false">IF(OR(J1029="Aktif",J1029="Bitiyor"),F1029+ROW()/1000000,"")</f>
        <v/>
      </c>
    </row>
    <row r="1030" customFormat="false" ht="15" hidden="false" customHeight="false" outlineLevel="0" collapsed="false">
      <c r="A1030" s="12"/>
      <c r="B1030" s="12"/>
      <c r="C1030" s="13"/>
      <c r="D1030" s="14"/>
      <c r="E1030" s="15"/>
      <c r="F1030" s="16" t="str">
        <f aca="false">IF(OR(C1030="",D1030=""),"",EDATE(D1030,IFERROR(INDEX(Paketler!$B$5:$B$24,MATCH(C1030,Paketler!$A$5:$A$24,0)),0))-1)</f>
        <v/>
      </c>
      <c r="G1030" s="17" t="str">
        <f aca="false">IF(F1030="","",IFERROR(INDEX(Paketler!$C$5:$C$24,MATCH(C1030,Paketler!$A$5:$A$24,0)),0))</f>
        <v/>
      </c>
      <c r="H1030" s="17" t="str">
        <f aca="false">IF(F1030="","",G1030-E1030)</f>
        <v/>
      </c>
      <c r="I1030" s="18" t="str">
        <f aca="true">IF(F1030="","",F1030-TODAY())</f>
        <v/>
      </c>
      <c r="J1030" s="19" t="str">
        <f aca="true">IF(F1030="","",IF(TODAY()&lt;D1030,"Başlamadı",IF(TODAY()&gt;F1030,"Bitti",IF(F1030-TODAY()&lt;=7,"Bitiyor","Aktif"))))</f>
        <v/>
      </c>
      <c r="K1030" s="19" t="str">
        <f aca="false">IF(OR(J1030="Aktif",J1030="Bitiyor"),F1030+ROW()/1000000,"")</f>
        <v/>
      </c>
    </row>
    <row r="1031" customFormat="false" ht="15" hidden="false" customHeight="false" outlineLevel="0" collapsed="false">
      <c r="A1031" s="12"/>
      <c r="B1031" s="12"/>
      <c r="C1031" s="13"/>
      <c r="D1031" s="14"/>
      <c r="E1031" s="15"/>
      <c r="F1031" s="16" t="str">
        <f aca="false">IF(OR(C1031="",D1031=""),"",EDATE(D1031,IFERROR(INDEX(Paketler!$B$5:$B$24,MATCH(C1031,Paketler!$A$5:$A$24,0)),0))-1)</f>
        <v/>
      </c>
      <c r="G1031" s="17" t="str">
        <f aca="false">IF(F1031="","",IFERROR(INDEX(Paketler!$C$5:$C$24,MATCH(C1031,Paketler!$A$5:$A$24,0)),0))</f>
        <v/>
      </c>
      <c r="H1031" s="17" t="str">
        <f aca="false">IF(F1031="","",G1031-E1031)</f>
        <v/>
      </c>
      <c r="I1031" s="18" t="str">
        <f aca="true">IF(F1031="","",F1031-TODAY())</f>
        <v/>
      </c>
      <c r="J1031" s="19" t="str">
        <f aca="true">IF(F1031="","",IF(TODAY()&lt;D1031,"Başlamadı",IF(TODAY()&gt;F1031,"Bitti",IF(F1031-TODAY()&lt;=7,"Bitiyor","Aktif"))))</f>
        <v/>
      </c>
      <c r="K1031" s="19" t="str">
        <f aca="false">IF(OR(J1031="Aktif",J1031="Bitiyor"),F1031+ROW()/1000000,"")</f>
        <v/>
      </c>
    </row>
    <row r="1032" customFormat="false" ht="15" hidden="false" customHeight="false" outlineLevel="0" collapsed="false">
      <c r="A1032" s="12"/>
      <c r="B1032" s="12"/>
      <c r="C1032" s="13"/>
      <c r="D1032" s="14"/>
      <c r="E1032" s="15"/>
      <c r="F1032" s="16" t="str">
        <f aca="false">IF(OR(C1032="",D1032=""),"",EDATE(D1032,IFERROR(INDEX(Paketler!$B$5:$B$24,MATCH(C1032,Paketler!$A$5:$A$24,0)),0))-1)</f>
        <v/>
      </c>
      <c r="G1032" s="17" t="str">
        <f aca="false">IF(F1032="","",IFERROR(INDEX(Paketler!$C$5:$C$24,MATCH(C1032,Paketler!$A$5:$A$24,0)),0))</f>
        <v/>
      </c>
      <c r="H1032" s="17" t="str">
        <f aca="false">IF(F1032="","",G1032-E1032)</f>
        <v/>
      </c>
      <c r="I1032" s="18" t="str">
        <f aca="true">IF(F1032="","",F1032-TODAY())</f>
        <v/>
      </c>
      <c r="J1032" s="19" t="str">
        <f aca="true">IF(F1032="","",IF(TODAY()&lt;D1032,"Başlamadı",IF(TODAY()&gt;F1032,"Bitti",IF(F1032-TODAY()&lt;=7,"Bitiyor","Aktif"))))</f>
        <v/>
      </c>
      <c r="K1032" s="19" t="str">
        <f aca="false">IF(OR(J1032="Aktif",J1032="Bitiyor"),F1032+ROW()/1000000,"")</f>
        <v/>
      </c>
    </row>
    <row r="1033" customFormat="false" ht="15" hidden="false" customHeight="false" outlineLevel="0" collapsed="false">
      <c r="A1033" s="12"/>
      <c r="B1033" s="12"/>
      <c r="C1033" s="13"/>
      <c r="D1033" s="14"/>
      <c r="E1033" s="15"/>
      <c r="F1033" s="16" t="str">
        <f aca="false">IF(OR(C1033="",D1033=""),"",EDATE(D1033,IFERROR(INDEX(Paketler!$B$5:$B$24,MATCH(C1033,Paketler!$A$5:$A$24,0)),0))-1)</f>
        <v/>
      </c>
      <c r="G1033" s="17" t="str">
        <f aca="false">IF(F1033="","",IFERROR(INDEX(Paketler!$C$5:$C$24,MATCH(C1033,Paketler!$A$5:$A$24,0)),0))</f>
        <v/>
      </c>
      <c r="H1033" s="17" t="str">
        <f aca="false">IF(F1033="","",G1033-E1033)</f>
        <v/>
      </c>
      <c r="I1033" s="18" t="str">
        <f aca="true">IF(F1033="","",F1033-TODAY())</f>
        <v/>
      </c>
      <c r="J1033" s="19" t="str">
        <f aca="true">IF(F1033="","",IF(TODAY()&lt;D1033,"Başlamadı",IF(TODAY()&gt;F1033,"Bitti",IF(F1033-TODAY()&lt;=7,"Bitiyor","Aktif"))))</f>
        <v/>
      </c>
      <c r="K1033" s="19" t="str">
        <f aca="false">IF(OR(J1033="Aktif",J1033="Bitiyor"),F1033+ROW()/1000000,"")</f>
        <v/>
      </c>
    </row>
    <row r="1034" customFormat="false" ht="15" hidden="false" customHeight="false" outlineLevel="0" collapsed="false">
      <c r="A1034" s="12"/>
      <c r="B1034" s="12"/>
      <c r="C1034" s="13"/>
      <c r="D1034" s="14"/>
      <c r="E1034" s="15"/>
      <c r="F1034" s="16" t="str">
        <f aca="false">IF(OR(C1034="",D1034=""),"",EDATE(D1034,IFERROR(INDEX(Paketler!$B$5:$B$24,MATCH(C1034,Paketler!$A$5:$A$24,0)),0))-1)</f>
        <v/>
      </c>
      <c r="G1034" s="17" t="str">
        <f aca="false">IF(F1034="","",IFERROR(INDEX(Paketler!$C$5:$C$24,MATCH(C1034,Paketler!$A$5:$A$24,0)),0))</f>
        <v/>
      </c>
      <c r="H1034" s="17" t="str">
        <f aca="false">IF(F1034="","",G1034-E1034)</f>
        <v/>
      </c>
      <c r="I1034" s="18" t="str">
        <f aca="true">IF(F1034="","",F1034-TODAY())</f>
        <v/>
      </c>
      <c r="J1034" s="19" t="str">
        <f aca="true">IF(F1034="","",IF(TODAY()&lt;D1034,"Başlamadı",IF(TODAY()&gt;F1034,"Bitti",IF(F1034-TODAY()&lt;=7,"Bitiyor","Aktif"))))</f>
        <v/>
      </c>
      <c r="K1034" s="19" t="str">
        <f aca="false">IF(OR(J1034="Aktif",J1034="Bitiyor"),F1034+ROW()/1000000,"")</f>
        <v/>
      </c>
    </row>
    <row r="1035" customFormat="false" ht="15" hidden="false" customHeight="false" outlineLevel="0" collapsed="false">
      <c r="A1035" s="12"/>
      <c r="B1035" s="12"/>
      <c r="C1035" s="13"/>
      <c r="D1035" s="14"/>
      <c r="E1035" s="15"/>
      <c r="F1035" s="16" t="str">
        <f aca="false">IF(OR(C1035="",D1035=""),"",EDATE(D1035,IFERROR(INDEX(Paketler!$B$5:$B$24,MATCH(C1035,Paketler!$A$5:$A$24,0)),0))-1)</f>
        <v/>
      </c>
      <c r="G1035" s="17" t="str">
        <f aca="false">IF(F1035="","",IFERROR(INDEX(Paketler!$C$5:$C$24,MATCH(C1035,Paketler!$A$5:$A$24,0)),0))</f>
        <v/>
      </c>
      <c r="H1035" s="17" t="str">
        <f aca="false">IF(F1035="","",G1035-E1035)</f>
        <v/>
      </c>
      <c r="I1035" s="18" t="str">
        <f aca="true">IF(F1035="","",F1035-TODAY())</f>
        <v/>
      </c>
      <c r="J1035" s="19" t="str">
        <f aca="true">IF(F1035="","",IF(TODAY()&lt;D1035,"Başlamadı",IF(TODAY()&gt;F1035,"Bitti",IF(F1035-TODAY()&lt;=7,"Bitiyor","Aktif"))))</f>
        <v/>
      </c>
      <c r="K1035" s="19" t="str">
        <f aca="false">IF(OR(J1035="Aktif",J1035="Bitiyor"),F1035+ROW()/1000000,"")</f>
        <v/>
      </c>
    </row>
    <row r="1036" customFormat="false" ht="15" hidden="false" customHeight="false" outlineLevel="0" collapsed="false">
      <c r="A1036" s="12"/>
      <c r="B1036" s="12"/>
      <c r="C1036" s="13"/>
      <c r="D1036" s="14"/>
      <c r="E1036" s="15"/>
      <c r="F1036" s="16" t="str">
        <f aca="false">IF(OR(C1036="",D1036=""),"",EDATE(D1036,IFERROR(INDEX(Paketler!$B$5:$B$24,MATCH(C1036,Paketler!$A$5:$A$24,0)),0))-1)</f>
        <v/>
      </c>
      <c r="G1036" s="17" t="str">
        <f aca="false">IF(F1036="","",IFERROR(INDEX(Paketler!$C$5:$C$24,MATCH(C1036,Paketler!$A$5:$A$24,0)),0))</f>
        <v/>
      </c>
      <c r="H1036" s="17" t="str">
        <f aca="false">IF(F1036="","",G1036-E1036)</f>
        <v/>
      </c>
      <c r="I1036" s="18" t="str">
        <f aca="true">IF(F1036="","",F1036-TODAY())</f>
        <v/>
      </c>
      <c r="J1036" s="19" t="str">
        <f aca="true">IF(F1036="","",IF(TODAY()&lt;D1036,"Başlamadı",IF(TODAY()&gt;F1036,"Bitti",IF(F1036-TODAY()&lt;=7,"Bitiyor","Aktif"))))</f>
        <v/>
      </c>
      <c r="K1036" s="19" t="str">
        <f aca="false">IF(OR(J1036="Aktif",J1036="Bitiyor"),F1036+ROW()/1000000,"")</f>
        <v/>
      </c>
    </row>
    <row r="1037" customFormat="false" ht="15" hidden="false" customHeight="false" outlineLevel="0" collapsed="false">
      <c r="A1037" s="12"/>
      <c r="B1037" s="12"/>
      <c r="C1037" s="13"/>
      <c r="D1037" s="14"/>
      <c r="E1037" s="15"/>
      <c r="F1037" s="16" t="str">
        <f aca="false">IF(OR(C1037="",D1037=""),"",EDATE(D1037,IFERROR(INDEX(Paketler!$B$5:$B$24,MATCH(C1037,Paketler!$A$5:$A$24,0)),0))-1)</f>
        <v/>
      </c>
      <c r="G1037" s="17" t="str">
        <f aca="false">IF(F1037="","",IFERROR(INDEX(Paketler!$C$5:$C$24,MATCH(C1037,Paketler!$A$5:$A$24,0)),0))</f>
        <v/>
      </c>
      <c r="H1037" s="17" t="str">
        <f aca="false">IF(F1037="","",G1037-E1037)</f>
        <v/>
      </c>
      <c r="I1037" s="18" t="str">
        <f aca="true">IF(F1037="","",F1037-TODAY())</f>
        <v/>
      </c>
      <c r="J1037" s="19" t="str">
        <f aca="true">IF(F1037="","",IF(TODAY()&lt;D1037,"Başlamadı",IF(TODAY()&gt;F1037,"Bitti",IF(F1037-TODAY()&lt;=7,"Bitiyor","Aktif"))))</f>
        <v/>
      </c>
      <c r="K1037" s="19" t="str">
        <f aca="false">IF(OR(J1037="Aktif",J1037="Bitiyor"),F1037+ROW()/1000000,"")</f>
        <v/>
      </c>
    </row>
    <row r="1038" customFormat="false" ht="15" hidden="false" customHeight="false" outlineLevel="0" collapsed="false">
      <c r="A1038" s="12"/>
      <c r="B1038" s="12"/>
      <c r="C1038" s="13"/>
      <c r="D1038" s="14"/>
      <c r="E1038" s="15"/>
      <c r="F1038" s="16" t="str">
        <f aca="false">IF(OR(C1038="",D1038=""),"",EDATE(D1038,IFERROR(INDEX(Paketler!$B$5:$B$24,MATCH(C1038,Paketler!$A$5:$A$24,0)),0))-1)</f>
        <v/>
      </c>
      <c r="G1038" s="17" t="str">
        <f aca="false">IF(F1038="","",IFERROR(INDEX(Paketler!$C$5:$C$24,MATCH(C1038,Paketler!$A$5:$A$24,0)),0))</f>
        <v/>
      </c>
      <c r="H1038" s="17" t="str">
        <f aca="false">IF(F1038="","",G1038-E1038)</f>
        <v/>
      </c>
      <c r="I1038" s="18" t="str">
        <f aca="true">IF(F1038="","",F1038-TODAY())</f>
        <v/>
      </c>
      <c r="J1038" s="19" t="str">
        <f aca="true">IF(F1038="","",IF(TODAY()&lt;D1038,"Başlamadı",IF(TODAY()&gt;F1038,"Bitti",IF(F1038-TODAY()&lt;=7,"Bitiyor","Aktif"))))</f>
        <v/>
      </c>
      <c r="K1038" s="19" t="str">
        <f aca="false">IF(OR(J1038="Aktif",J1038="Bitiyor"),F1038+ROW()/1000000,"")</f>
        <v/>
      </c>
    </row>
    <row r="1039" customFormat="false" ht="15" hidden="false" customHeight="false" outlineLevel="0" collapsed="false">
      <c r="A1039" s="12"/>
      <c r="B1039" s="12"/>
      <c r="C1039" s="13"/>
      <c r="D1039" s="14"/>
      <c r="E1039" s="15"/>
      <c r="F1039" s="16" t="str">
        <f aca="false">IF(OR(C1039="",D1039=""),"",EDATE(D1039,IFERROR(INDEX(Paketler!$B$5:$B$24,MATCH(C1039,Paketler!$A$5:$A$24,0)),0))-1)</f>
        <v/>
      </c>
      <c r="G1039" s="17" t="str">
        <f aca="false">IF(F1039="","",IFERROR(INDEX(Paketler!$C$5:$C$24,MATCH(C1039,Paketler!$A$5:$A$24,0)),0))</f>
        <v/>
      </c>
      <c r="H1039" s="17" t="str">
        <f aca="false">IF(F1039="","",G1039-E1039)</f>
        <v/>
      </c>
      <c r="I1039" s="18" t="str">
        <f aca="true">IF(F1039="","",F1039-TODAY())</f>
        <v/>
      </c>
      <c r="J1039" s="19" t="str">
        <f aca="true">IF(F1039="","",IF(TODAY()&lt;D1039,"Başlamadı",IF(TODAY()&gt;F1039,"Bitti",IF(F1039-TODAY()&lt;=7,"Bitiyor","Aktif"))))</f>
        <v/>
      </c>
      <c r="K1039" s="19" t="str">
        <f aca="false">IF(OR(J1039="Aktif",J1039="Bitiyor"),F1039+ROW()/1000000,"")</f>
        <v/>
      </c>
    </row>
    <row r="1040" customFormat="false" ht="15" hidden="false" customHeight="false" outlineLevel="0" collapsed="false">
      <c r="A1040" s="12"/>
      <c r="B1040" s="12"/>
      <c r="C1040" s="13"/>
      <c r="D1040" s="14"/>
      <c r="E1040" s="15"/>
      <c r="F1040" s="16" t="str">
        <f aca="false">IF(OR(C1040="",D1040=""),"",EDATE(D1040,IFERROR(INDEX(Paketler!$B$5:$B$24,MATCH(C1040,Paketler!$A$5:$A$24,0)),0))-1)</f>
        <v/>
      </c>
      <c r="G1040" s="17" t="str">
        <f aca="false">IF(F1040="","",IFERROR(INDEX(Paketler!$C$5:$C$24,MATCH(C1040,Paketler!$A$5:$A$24,0)),0))</f>
        <v/>
      </c>
      <c r="H1040" s="17" t="str">
        <f aca="false">IF(F1040="","",G1040-E1040)</f>
        <v/>
      </c>
      <c r="I1040" s="18" t="str">
        <f aca="true">IF(F1040="","",F1040-TODAY())</f>
        <v/>
      </c>
      <c r="J1040" s="19" t="str">
        <f aca="true">IF(F1040="","",IF(TODAY()&lt;D1040,"Başlamadı",IF(TODAY()&gt;F1040,"Bitti",IF(F1040-TODAY()&lt;=7,"Bitiyor","Aktif"))))</f>
        <v/>
      </c>
      <c r="K1040" s="19" t="str">
        <f aca="false">IF(OR(J1040="Aktif",J1040="Bitiyor"),F1040+ROW()/1000000,"")</f>
        <v/>
      </c>
    </row>
    <row r="1041" customFormat="false" ht="15" hidden="false" customHeight="false" outlineLevel="0" collapsed="false">
      <c r="A1041" s="12"/>
      <c r="B1041" s="12"/>
      <c r="C1041" s="13"/>
      <c r="D1041" s="14"/>
      <c r="E1041" s="15"/>
      <c r="F1041" s="16" t="str">
        <f aca="false">IF(OR(C1041="",D1041=""),"",EDATE(D1041,IFERROR(INDEX(Paketler!$B$5:$B$24,MATCH(C1041,Paketler!$A$5:$A$24,0)),0))-1)</f>
        <v/>
      </c>
      <c r="G1041" s="17" t="str">
        <f aca="false">IF(F1041="","",IFERROR(INDEX(Paketler!$C$5:$C$24,MATCH(C1041,Paketler!$A$5:$A$24,0)),0))</f>
        <v/>
      </c>
      <c r="H1041" s="17" t="str">
        <f aca="false">IF(F1041="","",G1041-E1041)</f>
        <v/>
      </c>
      <c r="I1041" s="18" t="str">
        <f aca="true">IF(F1041="","",F1041-TODAY())</f>
        <v/>
      </c>
      <c r="J1041" s="19" t="str">
        <f aca="true">IF(F1041="","",IF(TODAY()&lt;D1041,"Başlamadı",IF(TODAY()&gt;F1041,"Bitti",IF(F1041-TODAY()&lt;=7,"Bitiyor","Aktif"))))</f>
        <v/>
      </c>
      <c r="K1041" s="19" t="str">
        <f aca="false">IF(OR(J1041="Aktif",J1041="Bitiyor"),F1041+ROW()/1000000,"")</f>
        <v/>
      </c>
    </row>
    <row r="1042" customFormat="false" ht="15" hidden="false" customHeight="false" outlineLevel="0" collapsed="false">
      <c r="A1042" s="12"/>
      <c r="B1042" s="12"/>
      <c r="C1042" s="13"/>
      <c r="D1042" s="14"/>
      <c r="E1042" s="15"/>
      <c r="F1042" s="16" t="str">
        <f aca="false">IF(OR(C1042="",D1042=""),"",EDATE(D1042,IFERROR(INDEX(Paketler!$B$5:$B$24,MATCH(C1042,Paketler!$A$5:$A$24,0)),0))-1)</f>
        <v/>
      </c>
      <c r="G1042" s="17" t="str">
        <f aca="false">IF(F1042="","",IFERROR(INDEX(Paketler!$C$5:$C$24,MATCH(C1042,Paketler!$A$5:$A$24,0)),0))</f>
        <v/>
      </c>
      <c r="H1042" s="17" t="str">
        <f aca="false">IF(F1042="","",G1042-E1042)</f>
        <v/>
      </c>
      <c r="I1042" s="18" t="str">
        <f aca="true">IF(F1042="","",F1042-TODAY())</f>
        <v/>
      </c>
      <c r="J1042" s="19" t="str">
        <f aca="true">IF(F1042="","",IF(TODAY()&lt;D1042,"Başlamadı",IF(TODAY()&gt;F1042,"Bitti",IF(F1042-TODAY()&lt;=7,"Bitiyor","Aktif"))))</f>
        <v/>
      </c>
      <c r="K1042" s="19" t="str">
        <f aca="false">IF(OR(J1042="Aktif",J1042="Bitiyor"),F1042+ROW()/1000000,"")</f>
        <v/>
      </c>
    </row>
    <row r="1043" customFormat="false" ht="15" hidden="false" customHeight="false" outlineLevel="0" collapsed="false">
      <c r="A1043" s="12"/>
      <c r="B1043" s="12"/>
      <c r="C1043" s="13"/>
      <c r="D1043" s="14"/>
      <c r="E1043" s="15"/>
      <c r="F1043" s="16" t="str">
        <f aca="false">IF(OR(C1043="",D1043=""),"",EDATE(D1043,IFERROR(INDEX(Paketler!$B$5:$B$24,MATCH(C1043,Paketler!$A$5:$A$24,0)),0))-1)</f>
        <v/>
      </c>
      <c r="G1043" s="17" t="str">
        <f aca="false">IF(F1043="","",IFERROR(INDEX(Paketler!$C$5:$C$24,MATCH(C1043,Paketler!$A$5:$A$24,0)),0))</f>
        <v/>
      </c>
      <c r="H1043" s="17" t="str">
        <f aca="false">IF(F1043="","",G1043-E1043)</f>
        <v/>
      </c>
      <c r="I1043" s="18" t="str">
        <f aca="true">IF(F1043="","",F1043-TODAY())</f>
        <v/>
      </c>
      <c r="J1043" s="19" t="str">
        <f aca="true">IF(F1043="","",IF(TODAY()&lt;D1043,"Başlamadı",IF(TODAY()&gt;F1043,"Bitti",IF(F1043-TODAY()&lt;=7,"Bitiyor","Aktif"))))</f>
        <v/>
      </c>
      <c r="K1043" s="19" t="str">
        <f aca="false">IF(OR(J1043="Aktif",J1043="Bitiyor"),F1043+ROW()/1000000,"")</f>
        <v/>
      </c>
    </row>
    <row r="1044" customFormat="false" ht="15" hidden="false" customHeight="false" outlineLevel="0" collapsed="false">
      <c r="A1044" s="12"/>
      <c r="B1044" s="12"/>
      <c r="C1044" s="13"/>
      <c r="D1044" s="14"/>
      <c r="E1044" s="15"/>
      <c r="F1044" s="16" t="str">
        <f aca="false">IF(OR(C1044="",D1044=""),"",EDATE(D1044,IFERROR(INDEX(Paketler!$B$5:$B$24,MATCH(C1044,Paketler!$A$5:$A$24,0)),0))-1)</f>
        <v/>
      </c>
      <c r="G1044" s="17" t="str">
        <f aca="false">IF(F1044="","",IFERROR(INDEX(Paketler!$C$5:$C$24,MATCH(C1044,Paketler!$A$5:$A$24,0)),0))</f>
        <v/>
      </c>
      <c r="H1044" s="17" t="str">
        <f aca="false">IF(F1044="","",G1044-E1044)</f>
        <v/>
      </c>
      <c r="I1044" s="18" t="str">
        <f aca="true">IF(F1044="","",F1044-TODAY())</f>
        <v/>
      </c>
      <c r="J1044" s="19" t="str">
        <f aca="true">IF(F1044="","",IF(TODAY()&lt;D1044,"Başlamadı",IF(TODAY()&gt;F1044,"Bitti",IF(F1044-TODAY()&lt;=7,"Bitiyor","Aktif"))))</f>
        <v/>
      </c>
      <c r="K1044" s="19" t="str">
        <f aca="false">IF(OR(J1044="Aktif",J1044="Bitiyor"),F1044+ROW()/1000000,"")</f>
        <v/>
      </c>
    </row>
    <row r="1045" customFormat="false" ht="15" hidden="false" customHeight="false" outlineLevel="0" collapsed="false">
      <c r="A1045" s="12"/>
      <c r="B1045" s="12"/>
      <c r="C1045" s="13"/>
      <c r="D1045" s="14"/>
      <c r="E1045" s="15"/>
      <c r="F1045" s="16" t="str">
        <f aca="false">IF(OR(C1045="",D1045=""),"",EDATE(D1045,IFERROR(INDEX(Paketler!$B$5:$B$24,MATCH(C1045,Paketler!$A$5:$A$24,0)),0))-1)</f>
        <v/>
      </c>
      <c r="G1045" s="17" t="str">
        <f aca="false">IF(F1045="","",IFERROR(INDEX(Paketler!$C$5:$C$24,MATCH(C1045,Paketler!$A$5:$A$24,0)),0))</f>
        <v/>
      </c>
      <c r="H1045" s="17" t="str">
        <f aca="false">IF(F1045="","",G1045-E1045)</f>
        <v/>
      </c>
      <c r="I1045" s="18" t="str">
        <f aca="true">IF(F1045="","",F1045-TODAY())</f>
        <v/>
      </c>
      <c r="J1045" s="19" t="str">
        <f aca="true">IF(F1045="","",IF(TODAY()&lt;D1045,"Başlamadı",IF(TODAY()&gt;F1045,"Bitti",IF(F1045-TODAY()&lt;=7,"Bitiyor","Aktif"))))</f>
        <v/>
      </c>
      <c r="K1045" s="19" t="str">
        <f aca="false">IF(OR(J1045="Aktif",J1045="Bitiyor"),F1045+ROW()/1000000,"")</f>
        <v/>
      </c>
    </row>
    <row r="1046" customFormat="false" ht="15" hidden="false" customHeight="false" outlineLevel="0" collapsed="false">
      <c r="A1046" s="12"/>
      <c r="B1046" s="12"/>
      <c r="C1046" s="13"/>
      <c r="D1046" s="14"/>
      <c r="E1046" s="15"/>
      <c r="F1046" s="16" t="str">
        <f aca="false">IF(OR(C1046="",D1046=""),"",EDATE(D1046,IFERROR(INDEX(Paketler!$B$5:$B$24,MATCH(C1046,Paketler!$A$5:$A$24,0)),0))-1)</f>
        <v/>
      </c>
      <c r="G1046" s="17" t="str">
        <f aca="false">IF(F1046="","",IFERROR(INDEX(Paketler!$C$5:$C$24,MATCH(C1046,Paketler!$A$5:$A$24,0)),0))</f>
        <v/>
      </c>
      <c r="H1046" s="17" t="str">
        <f aca="false">IF(F1046="","",G1046-E1046)</f>
        <v/>
      </c>
      <c r="I1046" s="18" t="str">
        <f aca="true">IF(F1046="","",F1046-TODAY())</f>
        <v/>
      </c>
      <c r="J1046" s="19" t="str">
        <f aca="true">IF(F1046="","",IF(TODAY()&lt;D1046,"Başlamadı",IF(TODAY()&gt;F1046,"Bitti",IF(F1046-TODAY()&lt;=7,"Bitiyor","Aktif"))))</f>
        <v/>
      </c>
      <c r="K1046" s="19" t="str">
        <f aca="false">IF(OR(J1046="Aktif",J1046="Bitiyor"),F1046+ROW()/1000000,"")</f>
        <v/>
      </c>
    </row>
    <row r="1047" customFormat="false" ht="15" hidden="false" customHeight="false" outlineLevel="0" collapsed="false">
      <c r="A1047" s="12"/>
      <c r="B1047" s="12"/>
      <c r="C1047" s="13"/>
      <c r="D1047" s="14"/>
      <c r="E1047" s="15"/>
      <c r="F1047" s="16" t="str">
        <f aca="false">IF(OR(C1047="",D1047=""),"",EDATE(D1047,IFERROR(INDEX(Paketler!$B$5:$B$24,MATCH(C1047,Paketler!$A$5:$A$24,0)),0))-1)</f>
        <v/>
      </c>
      <c r="G1047" s="17" t="str">
        <f aca="false">IF(F1047="","",IFERROR(INDEX(Paketler!$C$5:$C$24,MATCH(C1047,Paketler!$A$5:$A$24,0)),0))</f>
        <v/>
      </c>
      <c r="H1047" s="17" t="str">
        <f aca="false">IF(F1047="","",G1047-E1047)</f>
        <v/>
      </c>
      <c r="I1047" s="18" t="str">
        <f aca="true">IF(F1047="","",F1047-TODAY())</f>
        <v/>
      </c>
      <c r="J1047" s="19" t="str">
        <f aca="true">IF(F1047="","",IF(TODAY()&lt;D1047,"Başlamadı",IF(TODAY()&gt;F1047,"Bitti",IF(F1047-TODAY()&lt;=7,"Bitiyor","Aktif"))))</f>
        <v/>
      </c>
      <c r="K1047" s="19" t="str">
        <f aca="false">IF(OR(J1047="Aktif",J1047="Bitiyor"),F1047+ROW()/1000000,"")</f>
        <v/>
      </c>
    </row>
    <row r="1048" customFormat="false" ht="15" hidden="false" customHeight="false" outlineLevel="0" collapsed="false">
      <c r="A1048" s="12"/>
      <c r="B1048" s="12"/>
      <c r="C1048" s="13"/>
      <c r="D1048" s="14"/>
      <c r="E1048" s="15"/>
      <c r="F1048" s="16" t="str">
        <f aca="false">IF(OR(C1048="",D1048=""),"",EDATE(D1048,IFERROR(INDEX(Paketler!$B$5:$B$24,MATCH(C1048,Paketler!$A$5:$A$24,0)),0))-1)</f>
        <v/>
      </c>
      <c r="G1048" s="17" t="str">
        <f aca="false">IF(F1048="","",IFERROR(INDEX(Paketler!$C$5:$C$24,MATCH(C1048,Paketler!$A$5:$A$24,0)),0))</f>
        <v/>
      </c>
      <c r="H1048" s="17" t="str">
        <f aca="false">IF(F1048="","",G1048-E1048)</f>
        <v/>
      </c>
      <c r="I1048" s="18" t="str">
        <f aca="true">IF(F1048="","",F1048-TODAY())</f>
        <v/>
      </c>
      <c r="J1048" s="19" t="str">
        <f aca="true">IF(F1048="","",IF(TODAY()&lt;D1048,"Başlamadı",IF(TODAY()&gt;F1048,"Bitti",IF(F1048-TODAY()&lt;=7,"Bitiyor","Aktif"))))</f>
        <v/>
      </c>
      <c r="K1048" s="19" t="str">
        <f aca="false">IF(OR(J1048="Aktif",J1048="Bitiyor"),F1048+ROW()/1000000,"")</f>
        <v/>
      </c>
    </row>
    <row r="1049" customFormat="false" ht="15" hidden="false" customHeight="false" outlineLevel="0" collapsed="false">
      <c r="A1049" s="12"/>
      <c r="B1049" s="12"/>
      <c r="C1049" s="13"/>
      <c r="D1049" s="14"/>
      <c r="E1049" s="15"/>
      <c r="F1049" s="16" t="str">
        <f aca="false">IF(OR(C1049="",D1049=""),"",EDATE(D1049,IFERROR(INDEX(Paketler!$B$5:$B$24,MATCH(C1049,Paketler!$A$5:$A$24,0)),0))-1)</f>
        <v/>
      </c>
      <c r="G1049" s="17" t="str">
        <f aca="false">IF(F1049="","",IFERROR(INDEX(Paketler!$C$5:$C$24,MATCH(C1049,Paketler!$A$5:$A$24,0)),0))</f>
        <v/>
      </c>
      <c r="H1049" s="17" t="str">
        <f aca="false">IF(F1049="","",G1049-E1049)</f>
        <v/>
      </c>
      <c r="I1049" s="18" t="str">
        <f aca="true">IF(F1049="","",F1049-TODAY())</f>
        <v/>
      </c>
      <c r="J1049" s="19" t="str">
        <f aca="true">IF(F1049="","",IF(TODAY()&lt;D1049,"Başlamadı",IF(TODAY()&gt;F1049,"Bitti",IF(F1049-TODAY()&lt;=7,"Bitiyor","Aktif"))))</f>
        <v/>
      </c>
      <c r="K1049" s="19" t="str">
        <f aca="false">IF(OR(J1049="Aktif",J1049="Bitiyor"),F1049+ROW()/1000000,"")</f>
        <v/>
      </c>
    </row>
    <row r="1050" customFormat="false" ht="15" hidden="false" customHeight="false" outlineLevel="0" collapsed="false">
      <c r="A1050" s="12"/>
      <c r="B1050" s="12"/>
      <c r="C1050" s="13"/>
      <c r="D1050" s="14"/>
      <c r="E1050" s="15"/>
      <c r="F1050" s="16" t="str">
        <f aca="false">IF(OR(C1050="",D1050=""),"",EDATE(D1050,IFERROR(INDEX(Paketler!$B$5:$B$24,MATCH(C1050,Paketler!$A$5:$A$24,0)),0))-1)</f>
        <v/>
      </c>
      <c r="G1050" s="17" t="str">
        <f aca="false">IF(F1050="","",IFERROR(INDEX(Paketler!$C$5:$C$24,MATCH(C1050,Paketler!$A$5:$A$24,0)),0))</f>
        <v/>
      </c>
      <c r="H1050" s="17" t="str">
        <f aca="false">IF(F1050="","",G1050-E1050)</f>
        <v/>
      </c>
      <c r="I1050" s="18" t="str">
        <f aca="true">IF(F1050="","",F1050-TODAY())</f>
        <v/>
      </c>
      <c r="J1050" s="19" t="str">
        <f aca="true">IF(F1050="","",IF(TODAY()&lt;D1050,"Başlamadı",IF(TODAY()&gt;F1050,"Bitti",IF(F1050-TODAY()&lt;=7,"Bitiyor","Aktif"))))</f>
        <v/>
      </c>
      <c r="K1050" s="19" t="str">
        <f aca="false">IF(OR(J1050="Aktif",J1050="Bitiyor"),F1050+ROW()/1000000,"")</f>
        <v/>
      </c>
    </row>
    <row r="1051" customFormat="false" ht="15" hidden="false" customHeight="false" outlineLevel="0" collapsed="false">
      <c r="A1051" s="12"/>
      <c r="B1051" s="12"/>
      <c r="C1051" s="13"/>
      <c r="D1051" s="14"/>
      <c r="E1051" s="15"/>
      <c r="F1051" s="16" t="str">
        <f aca="false">IF(OR(C1051="",D1051=""),"",EDATE(D1051,IFERROR(INDEX(Paketler!$B$5:$B$24,MATCH(C1051,Paketler!$A$5:$A$24,0)),0))-1)</f>
        <v/>
      </c>
      <c r="G1051" s="17" t="str">
        <f aca="false">IF(F1051="","",IFERROR(INDEX(Paketler!$C$5:$C$24,MATCH(C1051,Paketler!$A$5:$A$24,0)),0))</f>
        <v/>
      </c>
      <c r="H1051" s="17" t="str">
        <f aca="false">IF(F1051="","",G1051-E1051)</f>
        <v/>
      </c>
      <c r="I1051" s="18" t="str">
        <f aca="true">IF(F1051="","",F1051-TODAY())</f>
        <v/>
      </c>
      <c r="J1051" s="19" t="str">
        <f aca="true">IF(F1051="","",IF(TODAY()&lt;D1051,"Başlamadı",IF(TODAY()&gt;F1051,"Bitti",IF(F1051-TODAY()&lt;=7,"Bitiyor","Aktif"))))</f>
        <v/>
      </c>
      <c r="K1051" s="19" t="str">
        <f aca="false">IF(OR(J1051="Aktif",J1051="Bitiyor"),F1051+ROW()/1000000,"")</f>
        <v/>
      </c>
    </row>
    <row r="1052" customFormat="false" ht="15" hidden="false" customHeight="false" outlineLevel="0" collapsed="false">
      <c r="A1052" s="12"/>
      <c r="B1052" s="12"/>
      <c r="C1052" s="13"/>
      <c r="D1052" s="14"/>
      <c r="E1052" s="15"/>
      <c r="F1052" s="16" t="str">
        <f aca="false">IF(OR(C1052="",D1052=""),"",EDATE(D1052,IFERROR(INDEX(Paketler!$B$5:$B$24,MATCH(C1052,Paketler!$A$5:$A$24,0)),0))-1)</f>
        <v/>
      </c>
      <c r="G1052" s="17" t="str">
        <f aca="false">IF(F1052="","",IFERROR(INDEX(Paketler!$C$5:$C$24,MATCH(C1052,Paketler!$A$5:$A$24,0)),0))</f>
        <v/>
      </c>
      <c r="H1052" s="17" t="str">
        <f aca="false">IF(F1052="","",G1052-E1052)</f>
        <v/>
      </c>
      <c r="I1052" s="18" t="str">
        <f aca="true">IF(F1052="","",F1052-TODAY())</f>
        <v/>
      </c>
      <c r="J1052" s="19" t="str">
        <f aca="true">IF(F1052="","",IF(TODAY()&lt;D1052,"Başlamadı",IF(TODAY()&gt;F1052,"Bitti",IF(F1052-TODAY()&lt;=7,"Bitiyor","Aktif"))))</f>
        <v/>
      </c>
      <c r="K1052" s="19" t="str">
        <f aca="false">IF(OR(J1052="Aktif",J1052="Bitiyor"),F1052+ROW()/1000000,"")</f>
        <v/>
      </c>
    </row>
    <row r="1053" customFormat="false" ht="15" hidden="false" customHeight="false" outlineLevel="0" collapsed="false">
      <c r="A1053" s="12"/>
      <c r="B1053" s="12"/>
      <c r="C1053" s="13"/>
      <c r="D1053" s="14"/>
      <c r="E1053" s="15"/>
      <c r="F1053" s="16" t="str">
        <f aca="false">IF(OR(C1053="",D1053=""),"",EDATE(D1053,IFERROR(INDEX(Paketler!$B$5:$B$24,MATCH(C1053,Paketler!$A$5:$A$24,0)),0))-1)</f>
        <v/>
      </c>
      <c r="G1053" s="17" t="str">
        <f aca="false">IF(F1053="","",IFERROR(INDEX(Paketler!$C$5:$C$24,MATCH(C1053,Paketler!$A$5:$A$24,0)),0))</f>
        <v/>
      </c>
      <c r="H1053" s="17" t="str">
        <f aca="false">IF(F1053="","",G1053-E1053)</f>
        <v/>
      </c>
      <c r="I1053" s="18" t="str">
        <f aca="true">IF(F1053="","",F1053-TODAY())</f>
        <v/>
      </c>
      <c r="J1053" s="19" t="str">
        <f aca="true">IF(F1053="","",IF(TODAY()&lt;D1053,"Başlamadı",IF(TODAY()&gt;F1053,"Bitti",IF(F1053-TODAY()&lt;=7,"Bitiyor","Aktif"))))</f>
        <v/>
      </c>
      <c r="K1053" s="19" t="str">
        <f aca="false">IF(OR(J1053="Aktif",J1053="Bitiyor"),F1053+ROW()/1000000,"")</f>
        <v/>
      </c>
    </row>
    <row r="1054" customFormat="false" ht="15" hidden="false" customHeight="false" outlineLevel="0" collapsed="false">
      <c r="A1054" s="12"/>
      <c r="B1054" s="12"/>
      <c r="C1054" s="13"/>
      <c r="D1054" s="14"/>
      <c r="E1054" s="15"/>
      <c r="F1054" s="16" t="str">
        <f aca="false">IF(OR(C1054="",D1054=""),"",EDATE(D1054,IFERROR(INDEX(Paketler!$B$5:$B$24,MATCH(C1054,Paketler!$A$5:$A$24,0)),0))-1)</f>
        <v/>
      </c>
      <c r="G1054" s="17" t="str">
        <f aca="false">IF(F1054="","",IFERROR(INDEX(Paketler!$C$5:$C$24,MATCH(C1054,Paketler!$A$5:$A$24,0)),0))</f>
        <v/>
      </c>
      <c r="H1054" s="17" t="str">
        <f aca="false">IF(F1054="","",G1054-E1054)</f>
        <v/>
      </c>
      <c r="I1054" s="18" t="str">
        <f aca="true">IF(F1054="","",F1054-TODAY())</f>
        <v/>
      </c>
      <c r="J1054" s="19" t="str">
        <f aca="true">IF(F1054="","",IF(TODAY()&lt;D1054,"Başlamadı",IF(TODAY()&gt;F1054,"Bitti",IF(F1054-TODAY()&lt;=7,"Bitiyor","Aktif"))))</f>
        <v/>
      </c>
      <c r="K1054" s="19" t="str">
        <f aca="false">IF(OR(J1054="Aktif",J1054="Bitiyor"),F1054+ROW()/1000000,"")</f>
        <v/>
      </c>
    </row>
    <row r="1055" customFormat="false" ht="15" hidden="false" customHeight="false" outlineLevel="0" collapsed="false">
      <c r="A1055" s="12"/>
      <c r="B1055" s="12"/>
      <c r="C1055" s="13"/>
      <c r="D1055" s="14"/>
      <c r="E1055" s="15"/>
      <c r="F1055" s="16" t="str">
        <f aca="false">IF(OR(C1055="",D1055=""),"",EDATE(D1055,IFERROR(INDEX(Paketler!$B$5:$B$24,MATCH(C1055,Paketler!$A$5:$A$24,0)),0))-1)</f>
        <v/>
      </c>
      <c r="G1055" s="17" t="str">
        <f aca="false">IF(F1055="","",IFERROR(INDEX(Paketler!$C$5:$C$24,MATCH(C1055,Paketler!$A$5:$A$24,0)),0))</f>
        <v/>
      </c>
      <c r="H1055" s="17" t="str">
        <f aca="false">IF(F1055="","",G1055-E1055)</f>
        <v/>
      </c>
      <c r="I1055" s="18" t="str">
        <f aca="true">IF(F1055="","",F1055-TODAY())</f>
        <v/>
      </c>
      <c r="J1055" s="19" t="str">
        <f aca="true">IF(F1055="","",IF(TODAY()&lt;D1055,"Başlamadı",IF(TODAY()&gt;F1055,"Bitti",IF(F1055-TODAY()&lt;=7,"Bitiyor","Aktif"))))</f>
        <v/>
      </c>
      <c r="K1055" s="19" t="str">
        <f aca="false">IF(OR(J1055="Aktif",J1055="Bitiyor"),F1055+ROW()/1000000,"")</f>
        <v/>
      </c>
    </row>
    <row r="1056" customFormat="false" ht="15" hidden="false" customHeight="false" outlineLevel="0" collapsed="false">
      <c r="A1056" s="12"/>
      <c r="B1056" s="12"/>
      <c r="C1056" s="13"/>
      <c r="D1056" s="14"/>
      <c r="E1056" s="15"/>
      <c r="F1056" s="16" t="str">
        <f aca="false">IF(OR(C1056="",D1056=""),"",EDATE(D1056,IFERROR(INDEX(Paketler!$B$5:$B$24,MATCH(C1056,Paketler!$A$5:$A$24,0)),0))-1)</f>
        <v/>
      </c>
      <c r="G1056" s="17" t="str">
        <f aca="false">IF(F1056="","",IFERROR(INDEX(Paketler!$C$5:$C$24,MATCH(C1056,Paketler!$A$5:$A$24,0)),0))</f>
        <v/>
      </c>
      <c r="H1056" s="17" t="str">
        <f aca="false">IF(F1056="","",G1056-E1056)</f>
        <v/>
      </c>
      <c r="I1056" s="18" t="str">
        <f aca="true">IF(F1056="","",F1056-TODAY())</f>
        <v/>
      </c>
      <c r="J1056" s="19" t="str">
        <f aca="true">IF(F1056="","",IF(TODAY()&lt;D1056,"Başlamadı",IF(TODAY()&gt;F1056,"Bitti",IF(F1056-TODAY()&lt;=7,"Bitiyor","Aktif"))))</f>
        <v/>
      </c>
      <c r="K1056" s="19" t="str">
        <f aca="false">IF(OR(J1056="Aktif",J1056="Bitiyor"),F1056+ROW()/1000000,"")</f>
        <v/>
      </c>
    </row>
    <row r="1057" customFormat="false" ht="15" hidden="false" customHeight="false" outlineLevel="0" collapsed="false">
      <c r="A1057" s="12"/>
      <c r="B1057" s="12"/>
      <c r="C1057" s="13"/>
      <c r="D1057" s="14"/>
      <c r="E1057" s="15"/>
      <c r="F1057" s="16" t="str">
        <f aca="false">IF(OR(C1057="",D1057=""),"",EDATE(D1057,IFERROR(INDEX(Paketler!$B$5:$B$24,MATCH(C1057,Paketler!$A$5:$A$24,0)),0))-1)</f>
        <v/>
      </c>
      <c r="G1057" s="17" t="str">
        <f aca="false">IF(F1057="","",IFERROR(INDEX(Paketler!$C$5:$C$24,MATCH(C1057,Paketler!$A$5:$A$24,0)),0))</f>
        <v/>
      </c>
      <c r="H1057" s="17" t="str">
        <f aca="false">IF(F1057="","",G1057-E1057)</f>
        <v/>
      </c>
      <c r="I1057" s="18" t="str">
        <f aca="true">IF(F1057="","",F1057-TODAY())</f>
        <v/>
      </c>
      <c r="J1057" s="19" t="str">
        <f aca="true">IF(F1057="","",IF(TODAY()&lt;D1057,"Başlamadı",IF(TODAY()&gt;F1057,"Bitti",IF(F1057-TODAY()&lt;=7,"Bitiyor","Aktif"))))</f>
        <v/>
      </c>
      <c r="K1057" s="19" t="str">
        <f aca="false">IF(OR(J1057="Aktif",J1057="Bitiyor"),F1057+ROW()/1000000,"")</f>
        <v/>
      </c>
    </row>
    <row r="1058" customFormat="false" ht="15" hidden="false" customHeight="false" outlineLevel="0" collapsed="false">
      <c r="A1058" s="12"/>
      <c r="B1058" s="12"/>
      <c r="C1058" s="13"/>
      <c r="D1058" s="14"/>
      <c r="E1058" s="15"/>
      <c r="F1058" s="16" t="str">
        <f aca="false">IF(OR(C1058="",D1058=""),"",EDATE(D1058,IFERROR(INDEX(Paketler!$B$5:$B$24,MATCH(C1058,Paketler!$A$5:$A$24,0)),0))-1)</f>
        <v/>
      </c>
      <c r="G1058" s="17" t="str">
        <f aca="false">IF(F1058="","",IFERROR(INDEX(Paketler!$C$5:$C$24,MATCH(C1058,Paketler!$A$5:$A$24,0)),0))</f>
        <v/>
      </c>
      <c r="H1058" s="17" t="str">
        <f aca="false">IF(F1058="","",G1058-E1058)</f>
        <v/>
      </c>
      <c r="I1058" s="18" t="str">
        <f aca="true">IF(F1058="","",F1058-TODAY())</f>
        <v/>
      </c>
      <c r="J1058" s="19" t="str">
        <f aca="true">IF(F1058="","",IF(TODAY()&lt;D1058,"Başlamadı",IF(TODAY()&gt;F1058,"Bitti",IF(F1058-TODAY()&lt;=7,"Bitiyor","Aktif"))))</f>
        <v/>
      </c>
      <c r="K1058" s="19" t="str">
        <f aca="false">IF(OR(J1058="Aktif",J1058="Bitiyor"),F1058+ROW()/1000000,"")</f>
        <v/>
      </c>
    </row>
    <row r="1059" customFormat="false" ht="15" hidden="false" customHeight="false" outlineLevel="0" collapsed="false">
      <c r="A1059" s="12"/>
      <c r="B1059" s="12"/>
      <c r="C1059" s="13"/>
      <c r="D1059" s="14"/>
      <c r="E1059" s="15"/>
      <c r="F1059" s="16" t="str">
        <f aca="false">IF(OR(C1059="",D1059=""),"",EDATE(D1059,IFERROR(INDEX(Paketler!$B$5:$B$24,MATCH(C1059,Paketler!$A$5:$A$24,0)),0))-1)</f>
        <v/>
      </c>
      <c r="G1059" s="17" t="str">
        <f aca="false">IF(F1059="","",IFERROR(INDEX(Paketler!$C$5:$C$24,MATCH(C1059,Paketler!$A$5:$A$24,0)),0))</f>
        <v/>
      </c>
      <c r="H1059" s="17" t="str">
        <f aca="false">IF(F1059="","",G1059-E1059)</f>
        <v/>
      </c>
      <c r="I1059" s="18" t="str">
        <f aca="true">IF(F1059="","",F1059-TODAY())</f>
        <v/>
      </c>
      <c r="J1059" s="19" t="str">
        <f aca="true">IF(F1059="","",IF(TODAY()&lt;D1059,"Başlamadı",IF(TODAY()&gt;F1059,"Bitti",IF(F1059-TODAY()&lt;=7,"Bitiyor","Aktif"))))</f>
        <v/>
      </c>
      <c r="K1059" s="19" t="str">
        <f aca="false">IF(OR(J1059="Aktif",J1059="Bitiyor"),F1059+ROW()/1000000,"")</f>
        <v/>
      </c>
    </row>
    <row r="1060" customFormat="false" ht="15" hidden="false" customHeight="false" outlineLevel="0" collapsed="false">
      <c r="A1060" s="12"/>
      <c r="B1060" s="12"/>
      <c r="C1060" s="13"/>
      <c r="D1060" s="14"/>
      <c r="E1060" s="15"/>
      <c r="F1060" s="16" t="str">
        <f aca="false">IF(OR(C1060="",D1060=""),"",EDATE(D1060,IFERROR(INDEX(Paketler!$B$5:$B$24,MATCH(C1060,Paketler!$A$5:$A$24,0)),0))-1)</f>
        <v/>
      </c>
      <c r="G1060" s="17" t="str">
        <f aca="false">IF(F1060="","",IFERROR(INDEX(Paketler!$C$5:$C$24,MATCH(C1060,Paketler!$A$5:$A$24,0)),0))</f>
        <v/>
      </c>
      <c r="H1060" s="17" t="str">
        <f aca="false">IF(F1060="","",G1060-E1060)</f>
        <v/>
      </c>
      <c r="I1060" s="18" t="str">
        <f aca="true">IF(F1060="","",F1060-TODAY())</f>
        <v/>
      </c>
      <c r="J1060" s="19" t="str">
        <f aca="true">IF(F1060="","",IF(TODAY()&lt;D1060,"Başlamadı",IF(TODAY()&gt;F1060,"Bitti",IF(F1060-TODAY()&lt;=7,"Bitiyor","Aktif"))))</f>
        <v/>
      </c>
      <c r="K1060" s="19" t="str">
        <f aca="false">IF(OR(J1060="Aktif",J1060="Bitiyor"),F1060+ROW()/1000000,"")</f>
        <v/>
      </c>
    </row>
    <row r="1061" customFormat="false" ht="15" hidden="false" customHeight="false" outlineLevel="0" collapsed="false">
      <c r="A1061" s="12"/>
      <c r="B1061" s="12"/>
      <c r="C1061" s="13"/>
      <c r="D1061" s="14"/>
      <c r="E1061" s="15"/>
      <c r="F1061" s="16" t="str">
        <f aca="false">IF(OR(C1061="",D1061=""),"",EDATE(D1061,IFERROR(INDEX(Paketler!$B$5:$B$24,MATCH(C1061,Paketler!$A$5:$A$24,0)),0))-1)</f>
        <v/>
      </c>
      <c r="G1061" s="17" t="str">
        <f aca="false">IF(F1061="","",IFERROR(INDEX(Paketler!$C$5:$C$24,MATCH(C1061,Paketler!$A$5:$A$24,0)),0))</f>
        <v/>
      </c>
      <c r="H1061" s="17" t="str">
        <f aca="false">IF(F1061="","",G1061-E1061)</f>
        <v/>
      </c>
      <c r="I1061" s="18" t="str">
        <f aca="true">IF(F1061="","",F1061-TODAY())</f>
        <v/>
      </c>
      <c r="J1061" s="19" t="str">
        <f aca="true">IF(F1061="","",IF(TODAY()&lt;D1061,"Başlamadı",IF(TODAY()&gt;F1061,"Bitti",IF(F1061-TODAY()&lt;=7,"Bitiyor","Aktif"))))</f>
        <v/>
      </c>
      <c r="K1061" s="19" t="str">
        <f aca="false">IF(OR(J1061="Aktif",J1061="Bitiyor"),F1061+ROW()/1000000,"")</f>
        <v/>
      </c>
    </row>
    <row r="1062" customFormat="false" ht="15" hidden="false" customHeight="false" outlineLevel="0" collapsed="false">
      <c r="A1062" s="12"/>
      <c r="B1062" s="12"/>
      <c r="C1062" s="13"/>
      <c r="D1062" s="14"/>
      <c r="E1062" s="15"/>
      <c r="F1062" s="16" t="str">
        <f aca="false">IF(OR(C1062="",D1062=""),"",EDATE(D1062,IFERROR(INDEX(Paketler!$B$5:$B$24,MATCH(C1062,Paketler!$A$5:$A$24,0)),0))-1)</f>
        <v/>
      </c>
      <c r="G1062" s="17" t="str">
        <f aca="false">IF(F1062="","",IFERROR(INDEX(Paketler!$C$5:$C$24,MATCH(C1062,Paketler!$A$5:$A$24,0)),0))</f>
        <v/>
      </c>
      <c r="H1062" s="17" t="str">
        <f aca="false">IF(F1062="","",G1062-E1062)</f>
        <v/>
      </c>
      <c r="I1062" s="18" t="str">
        <f aca="true">IF(F1062="","",F1062-TODAY())</f>
        <v/>
      </c>
      <c r="J1062" s="19" t="str">
        <f aca="true">IF(F1062="","",IF(TODAY()&lt;D1062,"Başlamadı",IF(TODAY()&gt;F1062,"Bitti",IF(F1062-TODAY()&lt;=7,"Bitiyor","Aktif"))))</f>
        <v/>
      </c>
      <c r="K1062" s="19" t="str">
        <f aca="false">IF(OR(J1062="Aktif",J1062="Bitiyor"),F1062+ROW()/1000000,"")</f>
        <v/>
      </c>
    </row>
    <row r="1063" customFormat="false" ht="15" hidden="false" customHeight="false" outlineLevel="0" collapsed="false">
      <c r="A1063" s="12"/>
      <c r="B1063" s="12"/>
      <c r="C1063" s="13"/>
      <c r="D1063" s="14"/>
      <c r="E1063" s="15"/>
      <c r="F1063" s="16" t="str">
        <f aca="false">IF(OR(C1063="",D1063=""),"",EDATE(D1063,IFERROR(INDEX(Paketler!$B$5:$B$24,MATCH(C1063,Paketler!$A$5:$A$24,0)),0))-1)</f>
        <v/>
      </c>
      <c r="G1063" s="17" t="str">
        <f aca="false">IF(F1063="","",IFERROR(INDEX(Paketler!$C$5:$C$24,MATCH(C1063,Paketler!$A$5:$A$24,0)),0))</f>
        <v/>
      </c>
      <c r="H1063" s="17" t="str">
        <f aca="false">IF(F1063="","",G1063-E1063)</f>
        <v/>
      </c>
      <c r="I1063" s="18" t="str">
        <f aca="true">IF(F1063="","",F1063-TODAY())</f>
        <v/>
      </c>
      <c r="J1063" s="19" t="str">
        <f aca="true">IF(F1063="","",IF(TODAY()&lt;D1063,"Başlamadı",IF(TODAY()&gt;F1063,"Bitti",IF(F1063-TODAY()&lt;=7,"Bitiyor","Aktif"))))</f>
        <v/>
      </c>
      <c r="K1063" s="19" t="str">
        <f aca="false">IF(OR(J1063="Aktif",J1063="Bitiyor"),F1063+ROW()/1000000,"")</f>
        <v/>
      </c>
    </row>
    <row r="1064" customFormat="false" ht="15" hidden="false" customHeight="false" outlineLevel="0" collapsed="false">
      <c r="A1064" s="12"/>
      <c r="B1064" s="12"/>
      <c r="C1064" s="13"/>
      <c r="D1064" s="14"/>
      <c r="E1064" s="15"/>
      <c r="F1064" s="16" t="str">
        <f aca="false">IF(OR(C1064="",D1064=""),"",EDATE(D1064,IFERROR(INDEX(Paketler!$B$5:$B$24,MATCH(C1064,Paketler!$A$5:$A$24,0)),0))-1)</f>
        <v/>
      </c>
      <c r="G1064" s="17" t="str">
        <f aca="false">IF(F1064="","",IFERROR(INDEX(Paketler!$C$5:$C$24,MATCH(C1064,Paketler!$A$5:$A$24,0)),0))</f>
        <v/>
      </c>
      <c r="H1064" s="17" t="str">
        <f aca="false">IF(F1064="","",G1064-E1064)</f>
        <v/>
      </c>
      <c r="I1064" s="18" t="str">
        <f aca="true">IF(F1064="","",F1064-TODAY())</f>
        <v/>
      </c>
      <c r="J1064" s="19" t="str">
        <f aca="true">IF(F1064="","",IF(TODAY()&lt;D1064,"Başlamadı",IF(TODAY()&gt;F1064,"Bitti",IF(F1064-TODAY()&lt;=7,"Bitiyor","Aktif"))))</f>
        <v/>
      </c>
      <c r="K1064" s="19" t="str">
        <f aca="false">IF(OR(J1064="Aktif",J1064="Bitiyor"),F1064+ROW()/1000000,"")</f>
        <v/>
      </c>
    </row>
    <row r="1065" customFormat="false" ht="15" hidden="false" customHeight="false" outlineLevel="0" collapsed="false">
      <c r="A1065" s="12"/>
      <c r="B1065" s="12"/>
      <c r="C1065" s="13"/>
      <c r="D1065" s="14"/>
      <c r="E1065" s="15"/>
      <c r="F1065" s="16" t="str">
        <f aca="false">IF(OR(C1065="",D1065=""),"",EDATE(D1065,IFERROR(INDEX(Paketler!$B$5:$B$24,MATCH(C1065,Paketler!$A$5:$A$24,0)),0))-1)</f>
        <v/>
      </c>
      <c r="G1065" s="17" t="str">
        <f aca="false">IF(F1065="","",IFERROR(INDEX(Paketler!$C$5:$C$24,MATCH(C1065,Paketler!$A$5:$A$24,0)),0))</f>
        <v/>
      </c>
      <c r="H1065" s="17" t="str">
        <f aca="false">IF(F1065="","",G1065-E1065)</f>
        <v/>
      </c>
      <c r="I1065" s="18" t="str">
        <f aca="true">IF(F1065="","",F1065-TODAY())</f>
        <v/>
      </c>
      <c r="J1065" s="19" t="str">
        <f aca="true">IF(F1065="","",IF(TODAY()&lt;D1065,"Başlamadı",IF(TODAY()&gt;F1065,"Bitti",IF(F1065-TODAY()&lt;=7,"Bitiyor","Aktif"))))</f>
        <v/>
      </c>
      <c r="K1065" s="19" t="str">
        <f aca="false">IF(OR(J1065="Aktif",J1065="Bitiyor"),F1065+ROW()/1000000,"")</f>
        <v/>
      </c>
    </row>
    <row r="1066" customFormat="false" ht="15" hidden="false" customHeight="false" outlineLevel="0" collapsed="false">
      <c r="A1066" s="12"/>
      <c r="B1066" s="12"/>
      <c r="C1066" s="13"/>
      <c r="D1066" s="14"/>
      <c r="E1066" s="15"/>
      <c r="F1066" s="16" t="str">
        <f aca="false">IF(OR(C1066="",D1066=""),"",EDATE(D1066,IFERROR(INDEX(Paketler!$B$5:$B$24,MATCH(C1066,Paketler!$A$5:$A$24,0)),0))-1)</f>
        <v/>
      </c>
      <c r="G1066" s="17" t="str">
        <f aca="false">IF(F1066="","",IFERROR(INDEX(Paketler!$C$5:$C$24,MATCH(C1066,Paketler!$A$5:$A$24,0)),0))</f>
        <v/>
      </c>
      <c r="H1066" s="17" t="str">
        <f aca="false">IF(F1066="","",G1066-E1066)</f>
        <v/>
      </c>
      <c r="I1066" s="18" t="str">
        <f aca="true">IF(F1066="","",F1066-TODAY())</f>
        <v/>
      </c>
      <c r="J1066" s="19" t="str">
        <f aca="true">IF(F1066="","",IF(TODAY()&lt;D1066,"Başlamadı",IF(TODAY()&gt;F1066,"Bitti",IF(F1066-TODAY()&lt;=7,"Bitiyor","Aktif"))))</f>
        <v/>
      </c>
      <c r="K1066" s="19" t="str">
        <f aca="false">IF(OR(J1066="Aktif",J1066="Bitiyor"),F1066+ROW()/1000000,"")</f>
        <v/>
      </c>
    </row>
    <row r="1067" customFormat="false" ht="15" hidden="false" customHeight="false" outlineLevel="0" collapsed="false">
      <c r="A1067" s="12"/>
      <c r="B1067" s="12"/>
      <c r="C1067" s="13"/>
      <c r="D1067" s="14"/>
      <c r="E1067" s="15"/>
      <c r="F1067" s="16" t="str">
        <f aca="false">IF(OR(C1067="",D1067=""),"",EDATE(D1067,IFERROR(INDEX(Paketler!$B$5:$B$24,MATCH(C1067,Paketler!$A$5:$A$24,0)),0))-1)</f>
        <v/>
      </c>
      <c r="G1067" s="17" t="str">
        <f aca="false">IF(F1067="","",IFERROR(INDEX(Paketler!$C$5:$C$24,MATCH(C1067,Paketler!$A$5:$A$24,0)),0))</f>
        <v/>
      </c>
      <c r="H1067" s="17" t="str">
        <f aca="false">IF(F1067="","",G1067-E1067)</f>
        <v/>
      </c>
      <c r="I1067" s="18" t="str">
        <f aca="true">IF(F1067="","",F1067-TODAY())</f>
        <v/>
      </c>
      <c r="J1067" s="19" t="str">
        <f aca="true">IF(F1067="","",IF(TODAY()&lt;D1067,"Başlamadı",IF(TODAY()&gt;F1067,"Bitti",IF(F1067-TODAY()&lt;=7,"Bitiyor","Aktif"))))</f>
        <v/>
      </c>
      <c r="K1067" s="19" t="str">
        <f aca="false">IF(OR(J1067="Aktif",J1067="Bitiyor"),F1067+ROW()/1000000,"")</f>
        <v/>
      </c>
    </row>
    <row r="1068" customFormat="false" ht="15" hidden="false" customHeight="false" outlineLevel="0" collapsed="false">
      <c r="A1068" s="12"/>
      <c r="B1068" s="12"/>
      <c r="C1068" s="13"/>
      <c r="D1068" s="14"/>
      <c r="E1068" s="15"/>
      <c r="F1068" s="16" t="str">
        <f aca="false">IF(OR(C1068="",D1068=""),"",EDATE(D1068,IFERROR(INDEX(Paketler!$B$5:$B$24,MATCH(C1068,Paketler!$A$5:$A$24,0)),0))-1)</f>
        <v/>
      </c>
      <c r="G1068" s="17" t="str">
        <f aca="false">IF(F1068="","",IFERROR(INDEX(Paketler!$C$5:$C$24,MATCH(C1068,Paketler!$A$5:$A$24,0)),0))</f>
        <v/>
      </c>
      <c r="H1068" s="17" t="str">
        <f aca="false">IF(F1068="","",G1068-E1068)</f>
        <v/>
      </c>
      <c r="I1068" s="18" t="str">
        <f aca="true">IF(F1068="","",F1068-TODAY())</f>
        <v/>
      </c>
      <c r="J1068" s="19" t="str">
        <f aca="true">IF(F1068="","",IF(TODAY()&lt;D1068,"Başlamadı",IF(TODAY()&gt;F1068,"Bitti",IF(F1068-TODAY()&lt;=7,"Bitiyor","Aktif"))))</f>
        <v/>
      </c>
      <c r="K1068" s="19" t="str">
        <f aca="false">IF(OR(J1068="Aktif",J1068="Bitiyor"),F1068+ROW()/1000000,"")</f>
        <v/>
      </c>
    </row>
    <row r="1069" customFormat="false" ht="15" hidden="false" customHeight="false" outlineLevel="0" collapsed="false">
      <c r="A1069" s="12"/>
      <c r="B1069" s="12"/>
      <c r="C1069" s="13"/>
      <c r="D1069" s="14"/>
      <c r="E1069" s="15"/>
      <c r="F1069" s="16" t="str">
        <f aca="false">IF(OR(C1069="",D1069=""),"",EDATE(D1069,IFERROR(INDEX(Paketler!$B$5:$B$24,MATCH(C1069,Paketler!$A$5:$A$24,0)),0))-1)</f>
        <v/>
      </c>
      <c r="G1069" s="17" t="str">
        <f aca="false">IF(F1069="","",IFERROR(INDEX(Paketler!$C$5:$C$24,MATCH(C1069,Paketler!$A$5:$A$24,0)),0))</f>
        <v/>
      </c>
      <c r="H1069" s="17" t="str">
        <f aca="false">IF(F1069="","",G1069-E1069)</f>
        <v/>
      </c>
      <c r="I1069" s="18" t="str">
        <f aca="true">IF(F1069="","",F1069-TODAY())</f>
        <v/>
      </c>
      <c r="J1069" s="19" t="str">
        <f aca="true">IF(F1069="","",IF(TODAY()&lt;D1069,"Başlamadı",IF(TODAY()&gt;F1069,"Bitti",IF(F1069-TODAY()&lt;=7,"Bitiyor","Aktif"))))</f>
        <v/>
      </c>
      <c r="K1069" s="19" t="str">
        <f aca="false">IF(OR(J1069="Aktif",J1069="Bitiyor"),F1069+ROW()/1000000,"")</f>
        <v/>
      </c>
    </row>
    <row r="1070" customFormat="false" ht="15" hidden="false" customHeight="false" outlineLevel="0" collapsed="false">
      <c r="A1070" s="12"/>
      <c r="B1070" s="12"/>
      <c r="C1070" s="13"/>
      <c r="D1070" s="14"/>
      <c r="E1070" s="15"/>
      <c r="F1070" s="16" t="str">
        <f aca="false">IF(OR(C1070="",D1070=""),"",EDATE(D1070,IFERROR(INDEX(Paketler!$B$5:$B$24,MATCH(C1070,Paketler!$A$5:$A$24,0)),0))-1)</f>
        <v/>
      </c>
      <c r="G1070" s="17" t="str">
        <f aca="false">IF(F1070="","",IFERROR(INDEX(Paketler!$C$5:$C$24,MATCH(C1070,Paketler!$A$5:$A$24,0)),0))</f>
        <v/>
      </c>
      <c r="H1070" s="17" t="str">
        <f aca="false">IF(F1070="","",G1070-E1070)</f>
        <v/>
      </c>
      <c r="I1070" s="18" t="str">
        <f aca="true">IF(F1070="","",F1070-TODAY())</f>
        <v/>
      </c>
      <c r="J1070" s="19" t="str">
        <f aca="true">IF(F1070="","",IF(TODAY()&lt;D1070,"Başlamadı",IF(TODAY()&gt;F1070,"Bitti",IF(F1070-TODAY()&lt;=7,"Bitiyor","Aktif"))))</f>
        <v/>
      </c>
      <c r="K1070" s="19" t="str">
        <f aca="false">IF(OR(J1070="Aktif",J1070="Bitiyor"),F1070+ROW()/1000000,"")</f>
        <v/>
      </c>
    </row>
    <row r="1071" customFormat="false" ht="15" hidden="false" customHeight="false" outlineLevel="0" collapsed="false">
      <c r="A1071" s="12"/>
      <c r="B1071" s="12"/>
      <c r="C1071" s="13"/>
      <c r="D1071" s="14"/>
      <c r="E1071" s="15"/>
      <c r="F1071" s="16" t="str">
        <f aca="false">IF(OR(C1071="",D1071=""),"",EDATE(D1071,IFERROR(INDEX(Paketler!$B$5:$B$24,MATCH(C1071,Paketler!$A$5:$A$24,0)),0))-1)</f>
        <v/>
      </c>
      <c r="G1071" s="17" t="str">
        <f aca="false">IF(F1071="","",IFERROR(INDEX(Paketler!$C$5:$C$24,MATCH(C1071,Paketler!$A$5:$A$24,0)),0))</f>
        <v/>
      </c>
      <c r="H1071" s="17" t="str">
        <f aca="false">IF(F1071="","",G1071-E1071)</f>
        <v/>
      </c>
      <c r="I1071" s="18" t="str">
        <f aca="true">IF(F1071="","",F1071-TODAY())</f>
        <v/>
      </c>
      <c r="J1071" s="19" t="str">
        <f aca="true">IF(F1071="","",IF(TODAY()&lt;D1071,"Başlamadı",IF(TODAY()&gt;F1071,"Bitti",IF(F1071-TODAY()&lt;=7,"Bitiyor","Aktif"))))</f>
        <v/>
      </c>
      <c r="K1071" s="19" t="str">
        <f aca="false">IF(OR(J1071="Aktif",J1071="Bitiyor"),F1071+ROW()/1000000,"")</f>
        <v/>
      </c>
    </row>
    <row r="1072" customFormat="false" ht="15" hidden="false" customHeight="false" outlineLevel="0" collapsed="false">
      <c r="A1072" s="12"/>
      <c r="B1072" s="12"/>
      <c r="C1072" s="13"/>
      <c r="D1072" s="14"/>
      <c r="E1072" s="15"/>
      <c r="F1072" s="16" t="str">
        <f aca="false">IF(OR(C1072="",D1072=""),"",EDATE(D1072,IFERROR(INDEX(Paketler!$B$5:$B$24,MATCH(C1072,Paketler!$A$5:$A$24,0)),0))-1)</f>
        <v/>
      </c>
      <c r="G1072" s="17" t="str">
        <f aca="false">IF(F1072="","",IFERROR(INDEX(Paketler!$C$5:$C$24,MATCH(C1072,Paketler!$A$5:$A$24,0)),0))</f>
        <v/>
      </c>
      <c r="H1072" s="17" t="str">
        <f aca="false">IF(F1072="","",G1072-E1072)</f>
        <v/>
      </c>
      <c r="I1072" s="18" t="str">
        <f aca="true">IF(F1072="","",F1072-TODAY())</f>
        <v/>
      </c>
      <c r="J1072" s="19" t="str">
        <f aca="true">IF(F1072="","",IF(TODAY()&lt;D1072,"Başlamadı",IF(TODAY()&gt;F1072,"Bitti",IF(F1072-TODAY()&lt;=7,"Bitiyor","Aktif"))))</f>
        <v/>
      </c>
      <c r="K1072" s="19" t="str">
        <f aca="false">IF(OR(J1072="Aktif",J1072="Bitiyor"),F1072+ROW()/1000000,"")</f>
        <v/>
      </c>
    </row>
    <row r="1073" customFormat="false" ht="15" hidden="false" customHeight="false" outlineLevel="0" collapsed="false">
      <c r="A1073" s="12"/>
      <c r="B1073" s="12"/>
      <c r="C1073" s="13"/>
      <c r="D1073" s="14"/>
      <c r="E1073" s="15"/>
      <c r="F1073" s="16" t="str">
        <f aca="false">IF(OR(C1073="",D1073=""),"",EDATE(D1073,IFERROR(INDEX(Paketler!$B$5:$B$24,MATCH(C1073,Paketler!$A$5:$A$24,0)),0))-1)</f>
        <v/>
      </c>
      <c r="G1073" s="17" t="str">
        <f aca="false">IF(F1073="","",IFERROR(INDEX(Paketler!$C$5:$C$24,MATCH(C1073,Paketler!$A$5:$A$24,0)),0))</f>
        <v/>
      </c>
      <c r="H1073" s="17" t="str">
        <f aca="false">IF(F1073="","",G1073-E1073)</f>
        <v/>
      </c>
      <c r="I1073" s="18" t="str">
        <f aca="true">IF(F1073="","",F1073-TODAY())</f>
        <v/>
      </c>
      <c r="J1073" s="19" t="str">
        <f aca="true">IF(F1073="","",IF(TODAY()&lt;D1073,"Başlamadı",IF(TODAY()&gt;F1073,"Bitti",IF(F1073-TODAY()&lt;=7,"Bitiyor","Aktif"))))</f>
        <v/>
      </c>
      <c r="K1073" s="19" t="str">
        <f aca="false">IF(OR(J1073="Aktif",J1073="Bitiyor"),F1073+ROW()/1000000,"")</f>
        <v/>
      </c>
    </row>
    <row r="1074" customFormat="false" ht="15" hidden="false" customHeight="false" outlineLevel="0" collapsed="false">
      <c r="A1074" s="12"/>
      <c r="B1074" s="12"/>
      <c r="C1074" s="13"/>
      <c r="D1074" s="14"/>
      <c r="E1074" s="15"/>
      <c r="F1074" s="16" t="str">
        <f aca="false">IF(OR(C1074="",D1074=""),"",EDATE(D1074,IFERROR(INDEX(Paketler!$B$5:$B$24,MATCH(C1074,Paketler!$A$5:$A$24,0)),0))-1)</f>
        <v/>
      </c>
      <c r="G1074" s="17" t="str">
        <f aca="false">IF(F1074="","",IFERROR(INDEX(Paketler!$C$5:$C$24,MATCH(C1074,Paketler!$A$5:$A$24,0)),0))</f>
        <v/>
      </c>
      <c r="H1074" s="17" t="str">
        <f aca="false">IF(F1074="","",G1074-E1074)</f>
        <v/>
      </c>
      <c r="I1074" s="18" t="str">
        <f aca="true">IF(F1074="","",F1074-TODAY())</f>
        <v/>
      </c>
      <c r="J1074" s="19" t="str">
        <f aca="true">IF(F1074="","",IF(TODAY()&lt;D1074,"Başlamadı",IF(TODAY()&gt;F1074,"Bitti",IF(F1074-TODAY()&lt;=7,"Bitiyor","Aktif"))))</f>
        <v/>
      </c>
      <c r="K1074" s="19" t="str">
        <f aca="false">IF(OR(J1074="Aktif",J1074="Bitiyor"),F1074+ROW()/1000000,"")</f>
        <v/>
      </c>
    </row>
    <row r="1075" customFormat="false" ht="15" hidden="false" customHeight="false" outlineLevel="0" collapsed="false">
      <c r="A1075" s="12"/>
      <c r="B1075" s="12"/>
      <c r="C1075" s="13"/>
      <c r="D1075" s="14"/>
      <c r="E1075" s="15"/>
      <c r="F1075" s="16" t="str">
        <f aca="false">IF(OR(C1075="",D1075=""),"",EDATE(D1075,IFERROR(INDEX(Paketler!$B$5:$B$24,MATCH(C1075,Paketler!$A$5:$A$24,0)),0))-1)</f>
        <v/>
      </c>
      <c r="G1075" s="17" t="str">
        <f aca="false">IF(F1075="","",IFERROR(INDEX(Paketler!$C$5:$C$24,MATCH(C1075,Paketler!$A$5:$A$24,0)),0))</f>
        <v/>
      </c>
      <c r="H1075" s="17" t="str">
        <f aca="false">IF(F1075="","",G1075-E1075)</f>
        <v/>
      </c>
      <c r="I1075" s="18" t="str">
        <f aca="true">IF(F1075="","",F1075-TODAY())</f>
        <v/>
      </c>
      <c r="J1075" s="19" t="str">
        <f aca="true">IF(F1075="","",IF(TODAY()&lt;D1075,"Başlamadı",IF(TODAY()&gt;F1075,"Bitti",IF(F1075-TODAY()&lt;=7,"Bitiyor","Aktif"))))</f>
        <v/>
      </c>
      <c r="K1075" s="19" t="str">
        <f aca="false">IF(OR(J1075="Aktif",J1075="Bitiyor"),F1075+ROW()/1000000,"")</f>
        <v/>
      </c>
    </row>
    <row r="1076" customFormat="false" ht="15" hidden="false" customHeight="false" outlineLevel="0" collapsed="false">
      <c r="A1076" s="12"/>
      <c r="B1076" s="12"/>
      <c r="C1076" s="13"/>
      <c r="D1076" s="14"/>
      <c r="E1076" s="15"/>
      <c r="F1076" s="16" t="str">
        <f aca="false">IF(OR(C1076="",D1076=""),"",EDATE(D1076,IFERROR(INDEX(Paketler!$B$5:$B$24,MATCH(C1076,Paketler!$A$5:$A$24,0)),0))-1)</f>
        <v/>
      </c>
      <c r="G1076" s="17" t="str">
        <f aca="false">IF(F1076="","",IFERROR(INDEX(Paketler!$C$5:$C$24,MATCH(C1076,Paketler!$A$5:$A$24,0)),0))</f>
        <v/>
      </c>
      <c r="H1076" s="17" t="str">
        <f aca="false">IF(F1076="","",G1076-E1076)</f>
        <v/>
      </c>
      <c r="I1076" s="18" t="str">
        <f aca="true">IF(F1076="","",F1076-TODAY())</f>
        <v/>
      </c>
      <c r="J1076" s="19" t="str">
        <f aca="true">IF(F1076="","",IF(TODAY()&lt;D1076,"Başlamadı",IF(TODAY()&gt;F1076,"Bitti",IF(F1076-TODAY()&lt;=7,"Bitiyor","Aktif"))))</f>
        <v/>
      </c>
      <c r="K1076" s="19" t="str">
        <f aca="false">IF(OR(J1076="Aktif",J1076="Bitiyor"),F1076+ROW()/1000000,"")</f>
        <v/>
      </c>
    </row>
    <row r="1077" customFormat="false" ht="15" hidden="false" customHeight="false" outlineLevel="0" collapsed="false">
      <c r="A1077" s="12"/>
      <c r="B1077" s="12"/>
      <c r="C1077" s="13"/>
      <c r="D1077" s="14"/>
      <c r="E1077" s="15"/>
      <c r="F1077" s="16" t="str">
        <f aca="false">IF(OR(C1077="",D1077=""),"",EDATE(D1077,IFERROR(INDEX(Paketler!$B$5:$B$24,MATCH(C1077,Paketler!$A$5:$A$24,0)),0))-1)</f>
        <v/>
      </c>
      <c r="G1077" s="17" t="str">
        <f aca="false">IF(F1077="","",IFERROR(INDEX(Paketler!$C$5:$C$24,MATCH(C1077,Paketler!$A$5:$A$24,0)),0))</f>
        <v/>
      </c>
      <c r="H1077" s="17" t="str">
        <f aca="false">IF(F1077="","",G1077-E1077)</f>
        <v/>
      </c>
      <c r="I1077" s="18" t="str">
        <f aca="true">IF(F1077="","",F1077-TODAY())</f>
        <v/>
      </c>
      <c r="J1077" s="19" t="str">
        <f aca="true">IF(F1077="","",IF(TODAY()&lt;D1077,"Başlamadı",IF(TODAY()&gt;F1077,"Bitti",IF(F1077-TODAY()&lt;=7,"Bitiyor","Aktif"))))</f>
        <v/>
      </c>
      <c r="K1077" s="19" t="str">
        <f aca="false">IF(OR(J1077="Aktif",J1077="Bitiyor"),F1077+ROW()/1000000,"")</f>
        <v/>
      </c>
    </row>
    <row r="1078" customFormat="false" ht="15" hidden="false" customHeight="false" outlineLevel="0" collapsed="false">
      <c r="A1078" s="12"/>
      <c r="B1078" s="12"/>
      <c r="C1078" s="13"/>
      <c r="D1078" s="14"/>
      <c r="E1078" s="15"/>
      <c r="F1078" s="16" t="str">
        <f aca="false">IF(OR(C1078="",D1078=""),"",EDATE(D1078,IFERROR(INDEX(Paketler!$B$5:$B$24,MATCH(C1078,Paketler!$A$5:$A$24,0)),0))-1)</f>
        <v/>
      </c>
      <c r="G1078" s="17" t="str">
        <f aca="false">IF(F1078="","",IFERROR(INDEX(Paketler!$C$5:$C$24,MATCH(C1078,Paketler!$A$5:$A$24,0)),0))</f>
        <v/>
      </c>
      <c r="H1078" s="17" t="str">
        <f aca="false">IF(F1078="","",G1078-E1078)</f>
        <v/>
      </c>
      <c r="I1078" s="18" t="str">
        <f aca="true">IF(F1078="","",F1078-TODAY())</f>
        <v/>
      </c>
      <c r="J1078" s="19" t="str">
        <f aca="true">IF(F1078="","",IF(TODAY()&lt;D1078,"Başlamadı",IF(TODAY()&gt;F1078,"Bitti",IF(F1078-TODAY()&lt;=7,"Bitiyor","Aktif"))))</f>
        <v/>
      </c>
      <c r="K1078" s="19" t="str">
        <f aca="false">IF(OR(J1078="Aktif",J1078="Bitiyor"),F1078+ROW()/1000000,"")</f>
        <v/>
      </c>
    </row>
    <row r="1079" customFormat="false" ht="15" hidden="false" customHeight="false" outlineLevel="0" collapsed="false">
      <c r="A1079" s="12"/>
      <c r="B1079" s="12"/>
      <c r="C1079" s="13"/>
      <c r="D1079" s="14"/>
      <c r="E1079" s="15"/>
      <c r="F1079" s="16" t="str">
        <f aca="false">IF(OR(C1079="",D1079=""),"",EDATE(D1079,IFERROR(INDEX(Paketler!$B$5:$B$24,MATCH(C1079,Paketler!$A$5:$A$24,0)),0))-1)</f>
        <v/>
      </c>
      <c r="G1079" s="17" t="str">
        <f aca="false">IF(F1079="","",IFERROR(INDEX(Paketler!$C$5:$C$24,MATCH(C1079,Paketler!$A$5:$A$24,0)),0))</f>
        <v/>
      </c>
      <c r="H1079" s="17" t="str">
        <f aca="false">IF(F1079="","",G1079-E1079)</f>
        <v/>
      </c>
      <c r="I1079" s="18" t="str">
        <f aca="true">IF(F1079="","",F1079-TODAY())</f>
        <v/>
      </c>
      <c r="J1079" s="19" t="str">
        <f aca="true">IF(F1079="","",IF(TODAY()&lt;D1079,"Başlamadı",IF(TODAY()&gt;F1079,"Bitti",IF(F1079-TODAY()&lt;=7,"Bitiyor","Aktif"))))</f>
        <v/>
      </c>
      <c r="K1079" s="19" t="str">
        <f aca="false">IF(OR(J1079="Aktif",J1079="Bitiyor"),F1079+ROW()/1000000,"")</f>
        <v/>
      </c>
    </row>
    <row r="1080" customFormat="false" ht="15" hidden="false" customHeight="false" outlineLevel="0" collapsed="false">
      <c r="A1080" s="12"/>
      <c r="B1080" s="12"/>
      <c r="C1080" s="13"/>
      <c r="D1080" s="14"/>
      <c r="E1080" s="15"/>
      <c r="F1080" s="16" t="str">
        <f aca="false">IF(OR(C1080="",D1080=""),"",EDATE(D1080,IFERROR(INDEX(Paketler!$B$5:$B$24,MATCH(C1080,Paketler!$A$5:$A$24,0)),0))-1)</f>
        <v/>
      </c>
      <c r="G1080" s="17" t="str">
        <f aca="false">IF(F1080="","",IFERROR(INDEX(Paketler!$C$5:$C$24,MATCH(C1080,Paketler!$A$5:$A$24,0)),0))</f>
        <v/>
      </c>
      <c r="H1080" s="17" t="str">
        <f aca="false">IF(F1080="","",G1080-E1080)</f>
        <v/>
      </c>
      <c r="I1080" s="18" t="str">
        <f aca="true">IF(F1080="","",F1080-TODAY())</f>
        <v/>
      </c>
      <c r="J1080" s="19" t="str">
        <f aca="true">IF(F1080="","",IF(TODAY()&lt;D1080,"Başlamadı",IF(TODAY()&gt;F1080,"Bitti",IF(F1080-TODAY()&lt;=7,"Bitiyor","Aktif"))))</f>
        <v/>
      </c>
      <c r="K1080" s="19" t="str">
        <f aca="false">IF(OR(J1080="Aktif",J1080="Bitiyor"),F1080+ROW()/1000000,"")</f>
        <v/>
      </c>
    </row>
    <row r="1081" customFormat="false" ht="15" hidden="false" customHeight="false" outlineLevel="0" collapsed="false">
      <c r="A1081" s="12"/>
      <c r="B1081" s="12"/>
      <c r="C1081" s="13"/>
      <c r="D1081" s="14"/>
      <c r="E1081" s="15"/>
      <c r="F1081" s="16" t="str">
        <f aca="false">IF(OR(C1081="",D1081=""),"",EDATE(D1081,IFERROR(INDEX(Paketler!$B$5:$B$24,MATCH(C1081,Paketler!$A$5:$A$24,0)),0))-1)</f>
        <v/>
      </c>
      <c r="G1081" s="17" t="str">
        <f aca="false">IF(F1081="","",IFERROR(INDEX(Paketler!$C$5:$C$24,MATCH(C1081,Paketler!$A$5:$A$24,0)),0))</f>
        <v/>
      </c>
      <c r="H1081" s="17" t="str">
        <f aca="false">IF(F1081="","",G1081-E1081)</f>
        <v/>
      </c>
      <c r="I1081" s="18" t="str">
        <f aca="true">IF(F1081="","",F1081-TODAY())</f>
        <v/>
      </c>
      <c r="J1081" s="19" t="str">
        <f aca="true">IF(F1081="","",IF(TODAY()&lt;D1081,"Başlamadı",IF(TODAY()&gt;F1081,"Bitti",IF(F1081-TODAY()&lt;=7,"Bitiyor","Aktif"))))</f>
        <v/>
      </c>
      <c r="K1081" s="19" t="str">
        <f aca="false">IF(OR(J1081="Aktif",J1081="Bitiyor"),F1081+ROW()/1000000,"")</f>
        <v/>
      </c>
    </row>
    <row r="1082" customFormat="false" ht="15" hidden="false" customHeight="false" outlineLevel="0" collapsed="false">
      <c r="A1082" s="12"/>
      <c r="B1082" s="12"/>
      <c r="C1082" s="13"/>
      <c r="D1082" s="14"/>
      <c r="E1082" s="15"/>
      <c r="F1082" s="16" t="str">
        <f aca="false">IF(OR(C1082="",D1082=""),"",EDATE(D1082,IFERROR(INDEX(Paketler!$B$5:$B$24,MATCH(C1082,Paketler!$A$5:$A$24,0)),0))-1)</f>
        <v/>
      </c>
      <c r="G1082" s="17" t="str">
        <f aca="false">IF(F1082="","",IFERROR(INDEX(Paketler!$C$5:$C$24,MATCH(C1082,Paketler!$A$5:$A$24,0)),0))</f>
        <v/>
      </c>
      <c r="H1082" s="17" t="str">
        <f aca="false">IF(F1082="","",G1082-E1082)</f>
        <v/>
      </c>
      <c r="I1082" s="18" t="str">
        <f aca="true">IF(F1082="","",F1082-TODAY())</f>
        <v/>
      </c>
      <c r="J1082" s="19" t="str">
        <f aca="true">IF(F1082="","",IF(TODAY()&lt;D1082,"Başlamadı",IF(TODAY()&gt;F1082,"Bitti",IF(F1082-TODAY()&lt;=7,"Bitiyor","Aktif"))))</f>
        <v/>
      </c>
      <c r="K1082" s="19" t="str">
        <f aca="false">IF(OR(J1082="Aktif",J1082="Bitiyor"),F1082+ROW()/1000000,"")</f>
        <v/>
      </c>
    </row>
    <row r="1083" customFormat="false" ht="15" hidden="false" customHeight="false" outlineLevel="0" collapsed="false">
      <c r="A1083" s="12"/>
      <c r="B1083" s="12"/>
      <c r="C1083" s="13"/>
      <c r="D1083" s="14"/>
      <c r="E1083" s="15"/>
      <c r="F1083" s="16" t="str">
        <f aca="false">IF(OR(C1083="",D1083=""),"",EDATE(D1083,IFERROR(INDEX(Paketler!$B$5:$B$24,MATCH(C1083,Paketler!$A$5:$A$24,0)),0))-1)</f>
        <v/>
      </c>
      <c r="G1083" s="17" t="str">
        <f aca="false">IF(F1083="","",IFERROR(INDEX(Paketler!$C$5:$C$24,MATCH(C1083,Paketler!$A$5:$A$24,0)),0))</f>
        <v/>
      </c>
      <c r="H1083" s="17" t="str">
        <f aca="false">IF(F1083="","",G1083-E1083)</f>
        <v/>
      </c>
      <c r="I1083" s="18" t="str">
        <f aca="true">IF(F1083="","",F1083-TODAY())</f>
        <v/>
      </c>
      <c r="J1083" s="19" t="str">
        <f aca="true">IF(F1083="","",IF(TODAY()&lt;D1083,"Başlamadı",IF(TODAY()&gt;F1083,"Bitti",IF(F1083-TODAY()&lt;=7,"Bitiyor","Aktif"))))</f>
        <v/>
      </c>
      <c r="K1083" s="19" t="str">
        <f aca="false">IF(OR(J1083="Aktif",J1083="Bitiyor"),F1083+ROW()/1000000,"")</f>
        <v/>
      </c>
    </row>
    <row r="1084" customFormat="false" ht="15" hidden="false" customHeight="false" outlineLevel="0" collapsed="false">
      <c r="A1084" s="12"/>
      <c r="B1084" s="12"/>
      <c r="C1084" s="13"/>
      <c r="D1084" s="14"/>
      <c r="E1084" s="15"/>
      <c r="F1084" s="16" t="str">
        <f aca="false">IF(OR(C1084="",D1084=""),"",EDATE(D1084,IFERROR(INDEX(Paketler!$B$5:$B$24,MATCH(C1084,Paketler!$A$5:$A$24,0)),0))-1)</f>
        <v/>
      </c>
      <c r="G1084" s="17" t="str">
        <f aca="false">IF(F1084="","",IFERROR(INDEX(Paketler!$C$5:$C$24,MATCH(C1084,Paketler!$A$5:$A$24,0)),0))</f>
        <v/>
      </c>
      <c r="H1084" s="17" t="str">
        <f aca="false">IF(F1084="","",G1084-E1084)</f>
        <v/>
      </c>
      <c r="I1084" s="18" t="str">
        <f aca="true">IF(F1084="","",F1084-TODAY())</f>
        <v/>
      </c>
      <c r="J1084" s="19" t="str">
        <f aca="true">IF(F1084="","",IF(TODAY()&lt;D1084,"Başlamadı",IF(TODAY()&gt;F1084,"Bitti",IF(F1084-TODAY()&lt;=7,"Bitiyor","Aktif"))))</f>
        <v/>
      </c>
      <c r="K1084" s="19" t="str">
        <f aca="false">IF(OR(J1084="Aktif",J1084="Bitiyor"),F1084+ROW()/1000000,"")</f>
        <v/>
      </c>
    </row>
    <row r="1085" customFormat="false" ht="15" hidden="false" customHeight="false" outlineLevel="0" collapsed="false">
      <c r="A1085" s="12"/>
      <c r="B1085" s="12"/>
      <c r="C1085" s="13"/>
      <c r="D1085" s="14"/>
      <c r="E1085" s="15"/>
      <c r="F1085" s="16" t="str">
        <f aca="false">IF(OR(C1085="",D1085=""),"",EDATE(D1085,IFERROR(INDEX(Paketler!$B$5:$B$24,MATCH(C1085,Paketler!$A$5:$A$24,0)),0))-1)</f>
        <v/>
      </c>
      <c r="G1085" s="17" t="str">
        <f aca="false">IF(F1085="","",IFERROR(INDEX(Paketler!$C$5:$C$24,MATCH(C1085,Paketler!$A$5:$A$24,0)),0))</f>
        <v/>
      </c>
      <c r="H1085" s="17" t="str">
        <f aca="false">IF(F1085="","",G1085-E1085)</f>
        <v/>
      </c>
      <c r="I1085" s="18" t="str">
        <f aca="true">IF(F1085="","",F1085-TODAY())</f>
        <v/>
      </c>
      <c r="J1085" s="19" t="str">
        <f aca="true">IF(F1085="","",IF(TODAY()&lt;D1085,"Başlamadı",IF(TODAY()&gt;F1085,"Bitti",IF(F1085-TODAY()&lt;=7,"Bitiyor","Aktif"))))</f>
        <v/>
      </c>
      <c r="K1085" s="19" t="str">
        <f aca="false">IF(OR(J1085="Aktif",J1085="Bitiyor"),F1085+ROW()/1000000,"")</f>
        <v/>
      </c>
    </row>
    <row r="1086" customFormat="false" ht="15" hidden="false" customHeight="false" outlineLevel="0" collapsed="false">
      <c r="A1086" s="12"/>
      <c r="B1086" s="12"/>
      <c r="C1086" s="13"/>
      <c r="D1086" s="14"/>
      <c r="E1086" s="15"/>
      <c r="F1086" s="16" t="str">
        <f aca="false">IF(OR(C1086="",D1086=""),"",EDATE(D1086,IFERROR(INDEX(Paketler!$B$5:$B$24,MATCH(C1086,Paketler!$A$5:$A$24,0)),0))-1)</f>
        <v/>
      </c>
      <c r="G1086" s="17" t="str">
        <f aca="false">IF(F1086="","",IFERROR(INDEX(Paketler!$C$5:$C$24,MATCH(C1086,Paketler!$A$5:$A$24,0)),0))</f>
        <v/>
      </c>
      <c r="H1086" s="17" t="str">
        <f aca="false">IF(F1086="","",G1086-E1086)</f>
        <v/>
      </c>
      <c r="I1086" s="18" t="str">
        <f aca="true">IF(F1086="","",F1086-TODAY())</f>
        <v/>
      </c>
      <c r="J1086" s="19" t="str">
        <f aca="true">IF(F1086="","",IF(TODAY()&lt;D1086,"Başlamadı",IF(TODAY()&gt;F1086,"Bitti",IF(F1086-TODAY()&lt;=7,"Bitiyor","Aktif"))))</f>
        <v/>
      </c>
      <c r="K1086" s="19" t="str">
        <f aca="false">IF(OR(J1086="Aktif",J1086="Bitiyor"),F1086+ROW()/1000000,"")</f>
        <v/>
      </c>
    </row>
    <row r="1087" customFormat="false" ht="15" hidden="false" customHeight="false" outlineLevel="0" collapsed="false">
      <c r="A1087" s="12"/>
      <c r="B1087" s="12"/>
      <c r="C1087" s="13"/>
      <c r="D1087" s="14"/>
      <c r="E1087" s="15"/>
      <c r="F1087" s="16" t="str">
        <f aca="false">IF(OR(C1087="",D1087=""),"",EDATE(D1087,IFERROR(INDEX(Paketler!$B$5:$B$24,MATCH(C1087,Paketler!$A$5:$A$24,0)),0))-1)</f>
        <v/>
      </c>
      <c r="G1087" s="17" t="str">
        <f aca="false">IF(F1087="","",IFERROR(INDEX(Paketler!$C$5:$C$24,MATCH(C1087,Paketler!$A$5:$A$24,0)),0))</f>
        <v/>
      </c>
      <c r="H1087" s="17" t="str">
        <f aca="false">IF(F1087="","",G1087-E1087)</f>
        <v/>
      </c>
      <c r="I1087" s="18" t="str">
        <f aca="true">IF(F1087="","",F1087-TODAY())</f>
        <v/>
      </c>
      <c r="J1087" s="19" t="str">
        <f aca="true">IF(F1087="","",IF(TODAY()&lt;D1087,"Başlamadı",IF(TODAY()&gt;F1087,"Bitti",IF(F1087-TODAY()&lt;=7,"Bitiyor","Aktif"))))</f>
        <v/>
      </c>
      <c r="K1087" s="19" t="str">
        <f aca="false">IF(OR(J1087="Aktif",J1087="Bitiyor"),F1087+ROW()/1000000,"")</f>
        <v/>
      </c>
    </row>
    <row r="1088" customFormat="false" ht="15" hidden="false" customHeight="false" outlineLevel="0" collapsed="false">
      <c r="A1088" s="12"/>
      <c r="B1088" s="12"/>
      <c r="C1088" s="13"/>
      <c r="D1088" s="14"/>
      <c r="E1088" s="15"/>
      <c r="F1088" s="16" t="str">
        <f aca="false">IF(OR(C1088="",D1088=""),"",EDATE(D1088,IFERROR(INDEX(Paketler!$B$5:$B$24,MATCH(C1088,Paketler!$A$5:$A$24,0)),0))-1)</f>
        <v/>
      </c>
      <c r="G1088" s="17" t="str">
        <f aca="false">IF(F1088="","",IFERROR(INDEX(Paketler!$C$5:$C$24,MATCH(C1088,Paketler!$A$5:$A$24,0)),0))</f>
        <v/>
      </c>
      <c r="H1088" s="17" t="str">
        <f aca="false">IF(F1088="","",G1088-E1088)</f>
        <v/>
      </c>
      <c r="I1088" s="18" t="str">
        <f aca="true">IF(F1088="","",F1088-TODAY())</f>
        <v/>
      </c>
      <c r="J1088" s="19" t="str">
        <f aca="true">IF(F1088="","",IF(TODAY()&lt;D1088,"Başlamadı",IF(TODAY()&gt;F1088,"Bitti",IF(F1088-TODAY()&lt;=7,"Bitiyor","Aktif"))))</f>
        <v/>
      </c>
      <c r="K1088" s="19" t="str">
        <f aca="false">IF(OR(J1088="Aktif",J1088="Bitiyor"),F1088+ROW()/1000000,"")</f>
        <v/>
      </c>
    </row>
    <row r="1089" customFormat="false" ht="15" hidden="false" customHeight="false" outlineLevel="0" collapsed="false">
      <c r="A1089" s="12"/>
      <c r="B1089" s="12"/>
      <c r="C1089" s="13"/>
      <c r="D1089" s="14"/>
      <c r="E1089" s="15"/>
      <c r="F1089" s="16" t="str">
        <f aca="false">IF(OR(C1089="",D1089=""),"",EDATE(D1089,IFERROR(INDEX(Paketler!$B$5:$B$24,MATCH(C1089,Paketler!$A$5:$A$24,0)),0))-1)</f>
        <v/>
      </c>
      <c r="G1089" s="17" t="str">
        <f aca="false">IF(F1089="","",IFERROR(INDEX(Paketler!$C$5:$C$24,MATCH(C1089,Paketler!$A$5:$A$24,0)),0))</f>
        <v/>
      </c>
      <c r="H1089" s="17" t="str">
        <f aca="false">IF(F1089="","",G1089-E1089)</f>
        <v/>
      </c>
      <c r="I1089" s="18" t="str">
        <f aca="true">IF(F1089="","",F1089-TODAY())</f>
        <v/>
      </c>
      <c r="J1089" s="19" t="str">
        <f aca="true">IF(F1089="","",IF(TODAY()&lt;D1089,"Başlamadı",IF(TODAY()&gt;F1089,"Bitti",IF(F1089-TODAY()&lt;=7,"Bitiyor","Aktif"))))</f>
        <v/>
      </c>
      <c r="K1089" s="19" t="str">
        <f aca="false">IF(OR(J1089="Aktif",J1089="Bitiyor"),F1089+ROW()/1000000,"")</f>
        <v/>
      </c>
    </row>
    <row r="1090" customFormat="false" ht="15" hidden="false" customHeight="false" outlineLevel="0" collapsed="false">
      <c r="A1090" s="12"/>
      <c r="B1090" s="12"/>
      <c r="C1090" s="13"/>
      <c r="D1090" s="14"/>
      <c r="E1090" s="15"/>
      <c r="F1090" s="16" t="str">
        <f aca="false">IF(OR(C1090="",D1090=""),"",EDATE(D1090,IFERROR(INDEX(Paketler!$B$5:$B$24,MATCH(C1090,Paketler!$A$5:$A$24,0)),0))-1)</f>
        <v/>
      </c>
      <c r="G1090" s="17" t="str">
        <f aca="false">IF(F1090="","",IFERROR(INDEX(Paketler!$C$5:$C$24,MATCH(C1090,Paketler!$A$5:$A$24,0)),0))</f>
        <v/>
      </c>
      <c r="H1090" s="17" t="str">
        <f aca="false">IF(F1090="","",G1090-E1090)</f>
        <v/>
      </c>
      <c r="I1090" s="18" t="str">
        <f aca="true">IF(F1090="","",F1090-TODAY())</f>
        <v/>
      </c>
      <c r="J1090" s="19" t="str">
        <f aca="true">IF(F1090="","",IF(TODAY()&lt;D1090,"Başlamadı",IF(TODAY()&gt;F1090,"Bitti",IF(F1090-TODAY()&lt;=7,"Bitiyor","Aktif"))))</f>
        <v/>
      </c>
      <c r="K1090" s="19" t="str">
        <f aca="false">IF(OR(J1090="Aktif",J1090="Bitiyor"),F1090+ROW()/1000000,"")</f>
        <v/>
      </c>
    </row>
    <row r="1091" customFormat="false" ht="15" hidden="false" customHeight="false" outlineLevel="0" collapsed="false">
      <c r="A1091" s="12"/>
      <c r="B1091" s="12"/>
      <c r="C1091" s="13"/>
      <c r="D1091" s="14"/>
      <c r="E1091" s="15"/>
      <c r="F1091" s="16" t="str">
        <f aca="false">IF(OR(C1091="",D1091=""),"",EDATE(D1091,IFERROR(INDEX(Paketler!$B$5:$B$24,MATCH(C1091,Paketler!$A$5:$A$24,0)),0))-1)</f>
        <v/>
      </c>
      <c r="G1091" s="17" t="str">
        <f aca="false">IF(F1091="","",IFERROR(INDEX(Paketler!$C$5:$C$24,MATCH(C1091,Paketler!$A$5:$A$24,0)),0))</f>
        <v/>
      </c>
      <c r="H1091" s="17" t="str">
        <f aca="false">IF(F1091="","",G1091-E1091)</f>
        <v/>
      </c>
      <c r="I1091" s="18" t="str">
        <f aca="true">IF(F1091="","",F1091-TODAY())</f>
        <v/>
      </c>
      <c r="J1091" s="19" t="str">
        <f aca="true">IF(F1091="","",IF(TODAY()&lt;D1091,"Başlamadı",IF(TODAY()&gt;F1091,"Bitti",IF(F1091-TODAY()&lt;=7,"Bitiyor","Aktif"))))</f>
        <v/>
      </c>
      <c r="K1091" s="19" t="str">
        <f aca="false">IF(OR(J1091="Aktif",J1091="Bitiyor"),F1091+ROW()/1000000,"")</f>
        <v/>
      </c>
    </row>
    <row r="1092" customFormat="false" ht="15" hidden="false" customHeight="false" outlineLevel="0" collapsed="false">
      <c r="A1092" s="12"/>
      <c r="B1092" s="12"/>
      <c r="C1092" s="13"/>
      <c r="D1092" s="14"/>
      <c r="E1092" s="15"/>
      <c r="F1092" s="16" t="str">
        <f aca="false">IF(OR(C1092="",D1092=""),"",EDATE(D1092,IFERROR(INDEX(Paketler!$B$5:$B$24,MATCH(C1092,Paketler!$A$5:$A$24,0)),0))-1)</f>
        <v/>
      </c>
      <c r="G1092" s="17" t="str">
        <f aca="false">IF(F1092="","",IFERROR(INDEX(Paketler!$C$5:$C$24,MATCH(C1092,Paketler!$A$5:$A$24,0)),0))</f>
        <v/>
      </c>
      <c r="H1092" s="17" t="str">
        <f aca="false">IF(F1092="","",G1092-E1092)</f>
        <v/>
      </c>
      <c r="I1092" s="18" t="str">
        <f aca="true">IF(F1092="","",F1092-TODAY())</f>
        <v/>
      </c>
      <c r="J1092" s="19" t="str">
        <f aca="true">IF(F1092="","",IF(TODAY()&lt;D1092,"Başlamadı",IF(TODAY()&gt;F1092,"Bitti",IF(F1092-TODAY()&lt;=7,"Bitiyor","Aktif"))))</f>
        <v/>
      </c>
      <c r="K1092" s="19" t="str">
        <f aca="false">IF(OR(J1092="Aktif",J1092="Bitiyor"),F1092+ROW()/1000000,"")</f>
        <v/>
      </c>
    </row>
    <row r="1093" customFormat="false" ht="15" hidden="false" customHeight="false" outlineLevel="0" collapsed="false">
      <c r="A1093" s="12"/>
      <c r="B1093" s="12"/>
      <c r="C1093" s="13"/>
      <c r="D1093" s="14"/>
      <c r="E1093" s="15"/>
      <c r="F1093" s="16" t="str">
        <f aca="false">IF(OR(C1093="",D1093=""),"",EDATE(D1093,IFERROR(INDEX(Paketler!$B$5:$B$24,MATCH(C1093,Paketler!$A$5:$A$24,0)),0))-1)</f>
        <v/>
      </c>
      <c r="G1093" s="17" t="str">
        <f aca="false">IF(F1093="","",IFERROR(INDEX(Paketler!$C$5:$C$24,MATCH(C1093,Paketler!$A$5:$A$24,0)),0))</f>
        <v/>
      </c>
      <c r="H1093" s="17" t="str">
        <f aca="false">IF(F1093="","",G1093-E1093)</f>
        <v/>
      </c>
      <c r="I1093" s="18" t="str">
        <f aca="true">IF(F1093="","",F1093-TODAY())</f>
        <v/>
      </c>
      <c r="J1093" s="19" t="str">
        <f aca="true">IF(F1093="","",IF(TODAY()&lt;D1093,"Başlamadı",IF(TODAY()&gt;F1093,"Bitti",IF(F1093-TODAY()&lt;=7,"Bitiyor","Aktif"))))</f>
        <v/>
      </c>
      <c r="K1093" s="19" t="str">
        <f aca="false">IF(OR(J1093="Aktif",J1093="Bitiyor"),F1093+ROW()/1000000,"")</f>
        <v/>
      </c>
    </row>
    <row r="1094" customFormat="false" ht="15" hidden="false" customHeight="false" outlineLevel="0" collapsed="false">
      <c r="A1094" s="12"/>
      <c r="B1094" s="12"/>
      <c r="C1094" s="13"/>
      <c r="D1094" s="14"/>
      <c r="E1094" s="15"/>
      <c r="F1094" s="16" t="str">
        <f aca="false">IF(OR(C1094="",D1094=""),"",EDATE(D1094,IFERROR(INDEX(Paketler!$B$5:$B$24,MATCH(C1094,Paketler!$A$5:$A$24,0)),0))-1)</f>
        <v/>
      </c>
      <c r="G1094" s="17" t="str">
        <f aca="false">IF(F1094="","",IFERROR(INDEX(Paketler!$C$5:$C$24,MATCH(C1094,Paketler!$A$5:$A$24,0)),0))</f>
        <v/>
      </c>
      <c r="H1094" s="17" t="str">
        <f aca="false">IF(F1094="","",G1094-E1094)</f>
        <v/>
      </c>
      <c r="I1094" s="18" t="str">
        <f aca="true">IF(F1094="","",F1094-TODAY())</f>
        <v/>
      </c>
      <c r="J1094" s="19" t="str">
        <f aca="true">IF(F1094="","",IF(TODAY()&lt;D1094,"Başlamadı",IF(TODAY()&gt;F1094,"Bitti",IF(F1094-TODAY()&lt;=7,"Bitiyor","Aktif"))))</f>
        <v/>
      </c>
      <c r="K1094" s="19" t="str">
        <f aca="false">IF(OR(J1094="Aktif",J1094="Bitiyor"),F1094+ROW()/1000000,"")</f>
        <v/>
      </c>
    </row>
    <row r="1095" customFormat="false" ht="15" hidden="false" customHeight="false" outlineLevel="0" collapsed="false">
      <c r="A1095" s="12"/>
      <c r="B1095" s="12"/>
      <c r="C1095" s="13"/>
      <c r="D1095" s="14"/>
      <c r="E1095" s="15"/>
      <c r="F1095" s="16" t="str">
        <f aca="false">IF(OR(C1095="",D1095=""),"",EDATE(D1095,IFERROR(INDEX(Paketler!$B$5:$B$24,MATCH(C1095,Paketler!$A$5:$A$24,0)),0))-1)</f>
        <v/>
      </c>
      <c r="G1095" s="17" t="str">
        <f aca="false">IF(F1095="","",IFERROR(INDEX(Paketler!$C$5:$C$24,MATCH(C1095,Paketler!$A$5:$A$24,0)),0))</f>
        <v/>
      </c>
      <c r="H1095" s="17" t="str">
        <f aca="false">IF(F1095="","",G1095-E1095)</f>
        <v/>
      </c>
      <c r="I1095" s="18" t="str">
        <f aca="true">IF(F1095="","",F1095-TODAY())</f>
        <v/>
      </c>
      <c r="J1095" s="19" t="str">
        <f aca="true">IF(F1095="","",IF(TODAY()&lt;D1095,"Başlamadı",IF(TODAY()&gt;F1095,"Bitti",IF(F1095-TODAY()&lt;=7,"Bitiyor","Aktif"))))</f>
        <v/>
      </c>
      <c r="K1095" s="19" t="str">
        <f aca="false">IF(OR(J1095="Aktif",J1095="Bitiyor"),F1095+ROW()/1000000,"")</f>
        <v/>
      </c>
    </row>
    <row r="1096" customFormat="false" ht="15" hidden="false" customHeight="false" outlineLevel="0" collapsed="false">
      <c r="A1096" s="12"/>
      <c r="B1096" s="12"/>
      <c r="C1096" s="13"/>
      <c r="D1096" s="14"/>
      <c r="E1096" s="15"/>
      <c r="F1096" s="16" t="str">
        <f aca="false">IF(OR(C1096="",D1096=""),"",EDATE(D1096,IFERROR(INDEX(Paketler!$B$5:$B$24,MATCH(C1096,Paketler!$A$5:$A$24,0)),0))-1)</f>
        <v/>
      </c>
      <c r="G1096" s="17" t="str">
        <f aca="false">IF(F1096="","",IFERROR(INDEX(Paketler!$C$5:$C$24,MATCH(C1096,Paketler!$A$5:$A$24,0)),0))</f>
        <v/>
      </c>
      <c r="H1096" s="17" t="str">
        <f aca="false">IF(F1096="","",G1096-E1096)</f>
        <v/>
      </c>
      <c r="I1096" s="18" t="str">
        <f aca="true">IF(F1096="","",F1096-TODAY())</f>
        <v/>
      </c>
      <c r="J1096" s="19" t="str">
        <f aca="true">IF(F1096="","",IF(TODAY()&lt;D1096,"Başlamadı",IF(TODAY()&gt;F1096,"Bitti",IF(F1096-TODAY()&lt;=7,"Bitiyor","Aktif"))))</f>
        <v/>
      </c>
      <c r="K1096" s="19" t="str">
        <f aca="false">IF(OR(J1096="Aktif",J1096="Bitiyor"),F1096+ROW()/1000000,"")</f>
        <v/>
      </c>
    </row>
    <row r="1097" customFormat="false" ht="15" hidden="false" customHeight="false" outlineLevel="0" collapsed="false">
      <c r="A1097" s="12"/>
      <c r="B1097" s="12"/>
      <c r="C1097" s="13"/>
      <c r="D1097" s="14"/>
      <c r="E1097" s="15"/>
      <c r="F1097" s="16" t="str">
        <f aca="false">IF(OR(C1097="",D1097=""),"",EDATE(D1097,IFERROR(INDEX(Paketler!$B$5:$B$24,MATCH(C1097,Paketler!$A$5:$A$24,0)),0))-1)</f>
        <v/>
      </c>
      <c r="G1097" s="17" t="str">
        <f aca="false">IF(F1097="","",IFERROR(INDEX(Paketler!$C$5:$C$24,MATCH(C1097,Paketler!$A$5:$A$24,0)),0))</f>
        <v/>
      </c>
      <c r="H1097" s="17" t="str">
        <f aca="false">IF(F1097="","",G1097-E1097)</f>
        <v/>
      </c>
      <c r="I1097" s="18" t="str">
        <f aca="true">IF(F1097="","",F1097-TODAY())</f>
        <v/>
      </c>
      <c r="J1097" s="19" t="str">
        <f aca="true">IF(F1097="","",IF(TODAY()&lt;D1097,"Başlamadı",IF(TODAY()&gt;F1097,"Bitti",IF(F1097-TODAY()&lt;=7,"Bitiyor","Aktif"))))</f>
        <v/>
      </c>
      <c r="K1097" s="19" t="str">
        <f aca="false">IF(OR(J1097="Aktif",J1097="Bitiyor"),F1097+ROW()/1000000,"")</f>
        <v/>
      </c>
    </row>
    <row r="1098" customFormat="false" ht="15" hidden="false" customHeight="false" outlineLevel="0" collapsed="false">
      <c r="A1098" s="12"/>
      <c r="B1098" s="12"/>
      <c r="C1098" s="13"/>
      <c r="D1098" s="14"/>
      <c r="E1098" s="15"/>
      <c r="F1098" s="16" t="str">
        <f aca="false">IF(OR(C1098="",D1098=""),"",EDATE(D1098,IFERROR(INDEX(Paketler!$B$5:$B$24,MATCH(C1098,Paketler!$A$5:$A$24,0)),0))-1)</f>
        <v/>
      </c>
      <c r="G1098" s="17" t="str">
        <f aca="false">IF(F1098="","",IFERROR(INDEX(Paketler!$C$5:$C$24,MATCH(C1098,Paketler!$A$5:$A$24,0)),0))</f>
        <v/>
      </c>
      <c r="H1098" s="17" t="str">
        <f aca="false">IF(F1098="","",G1098-E1098)</f>
        <v/>
      </c>
      <c r="I1098" s="18" t="str">
        <f aca="true">IF(F1098="","",F1098-TODAY())</f>
        <v/>
      </c>
      <c r="J1098" s="19" t="str">
        <f aca="true">IF(F1098="","",IF(TODAY()&lt;D1098,"Başlamadı",IF(TODAY()&gt;F1098,"Bitti",IF(F1098-TODAY()&lt;=7,"Bitiyor","Aktif"))))</f>
        <v/>
      </c>
      <c r="K1098" s="19" t="str">
        <f aca="false">IF(OR(J1098="Aktif",J1098="Bitiyor"),F1098+ROW()/1000000,"")</f>
        <v/>
      </c>
    </row>
    <row r="1099" customFormat="false" ht="15" hidden="false" customHeight="false" outlineLevel="0" collapsed="false">
      <c r="A1099" s="12"/>
      <c r="B1099" s="12"/>
      <c r="C1099" s="13"/>
      <c r="D1099" s="14"/>
      <c r="E1099" s="15"/>
      <c r="F1099" s="16" t="str">
        <f aca="false">IF(OR(C1099="",D1099=""),"",EDATE(D1099,IFERROR(INDEX(Paketler!$B$5:$B$24,MATCH(C1099,Paketler!$A$5:$A$24,0)),0))-1)</f>
        <v/>
      </c>
      <c r="G1099" s="17" t="str">
        <f aca="false">IF(F1099="","",IFERROR(INDEX(Paketler!$C$5:$C$24,MATCH(C1099,Paketler!$A$5:$A$24,0)),0))</f>
        <v/>
      </c>
      <c r="H1099" s="17" t="str">
        <f aca="false">IF(F1099="","",G1099-E1099)</f>
        <v/>
      </c>
      <c r="I1099" s="18" t="str">
        <f aca="true">IF(F1099="","",F1099-TODAY())</f>
        <v/>
      </c>
      <c r="J1099" s="19" t="str">
        <f aca="true">IF(F1099="","",IF(TODAY()&lt;D1099,"Başlamadı",IF(TODAY()&gt;F1099,"Bitti",IF(F1099-TODAY()&lt;=7,"Bitiyor","Aktif"))))</f>
        <v/>
      </c>
      <c r="K1099" s="19" t="str">
        <f aca="false">IF(OR(J1099="Aktif",J1099="Bitiyor"),F1099+ROW()/1000000,"")</f>
        <v/>
      </c>
    </row>
    <row r="1100" customFormat="false" ht="15" hidden="false" customHeight="false" outlineLevel="0" collapsed="false">
      <c r="A1100" s="12"/>
      <c r="B1100" s="12"/>
      <c r="C1100" s="13"/>
      <c r="D1100" s="14"/>
      <c r="E1100" s="15"/>
      <c r="F1100" s="16" t="str">
        <f aca="false">IF(OR(C1100="",D1100=""),"",EDATE(D1100,IFERROR(INDEX(Paketler!$B$5:$B$24,MATCH(C1100,Paketler!$A$5:$A$24,0)),0))-1)</f>
        <v/>
      </c>
      <c r="G1100" s="17" t="str">
        <f aca="false">IF(F1100="","",IFERROR(INDEX(Paketler!$C$5:$C$24,MATCH(C1100,Paketler!$A$5:$A$24,0)),0))</f>
        <v/>
      </c>
      <c r="H1100" s="17" t="str">
        <f aca="false">IF(F1100="","",G1100-E1100)</f>
        <v/>
      </c>
      <c r="I1100" s="18" t="str">
        <f aca="true">IF(F1100="","",F1100-TODAY())</f>
        <v/>
      </c>
      <c r="J1100" s="19" t="str">
        <f aca="true">IF(F1100="","",IF(TODAY()&lt;D1100,"Başlamadı",IF(TODAY()&gt;F1100,"Bitti",IF(F1100-TODAY()&lt;=7,"Bitiyor","Aktif"))))</f>
        <v/>
      </c>
      <c r="K1100" s="19" t="str">
        <f aca="false">IF(OR(J1100="Aktif",J1100="Bitiyor"),F1100+ROW()/1000000,"")</f>
        <v/>
      </c>
    </row>
    <row r="1101" customFormat="false" ht="15" hidden="false" customHeight="false" outlineLevel="0" collapsed="false">
      <c r="A1101" s="12"/>
      <c r="B1101" s="12"/>
      <c r="C1101" s="13"/>
      <c r="D1101" s="14"/>
      <c r="E1101" s="15"/>
      <c r="F1101" s="16" t="str">
        <f aca="false">IF(OR(C1101="",D1101=""),"",EDATE(D1101,IFERROR(INDEX(Paketler!$B$5:$B$24,MATCH(C1101,Paketler!$A$5:$A$24,0)),0))-1)</f>
        <v/>
      </c>
      <c r="G1101" s="17" t="str">
        <f aca="false">IF(F1101="","",IFERROR(INDEX(Paketler!$C$5:$C$24,MATCH(C1101,Paketler!$A$5:$A$24,0)),0))</f>
        <v/>
      </c>
      <c r="H1101" s="17" t="str">
        <f aca="false">IF(F1101="","",G1101-E1101)</f>
        <v/>
      </c>
      <c r="I1101" s="18" t="str">
        <f aca="true">IF(F1101="","",F1101-TODAY())</f>
        <v/>
      </c>
      <c r="J1101" s="19" t="str">
        <f aca="true">IF(F1101="","",IF(TODAY()&lt;D1101,"Başlamadı",IF(TODAY()&gt;F1101,"Bitti",IF(F1101-TODAY()&lt;=7,"Bitiyor","Aktif"))))</f>
        <v/>
      </c>
      <c r="K1101" s="19" t="str">
        <f aca="false">IF(OR(J1101="Aktif",J1101="Bitiyor"),F1101+ROW()/1000000,"")</f>
        <v/>
      </c>
    </row>
    <row r="1102" customFormat="false" ht="15" hidden="false" customHeight="false" outlineLevel="0" collapsed="false">
      <c r="A1102" s="12"/>
      <c r="B1102" s="12"/>
      <c r="C1102" s="13"/>
      <c r="D1102" s="14"/>
      <c r="E1102" s="15"/>
      <c r="F1102" s="16" t="str">
        <f aca="false">IF(OR(C1102="",D1102=""),"",EDATE(D1102,IFERROR(INDEX(Paketler!$B$5:$B$24,MATCH(C1102,Paketler!$A$5:$A$24,0)),0))-1)</f>
        <v/>
      </c>
      <c r="G1102" s="17" t="str">
        <f aca="false">IF(F1102="","",IFERROR(INDEX(Paketler!$C$5:$C$24,MATCH(C1102,Paketler!$A$5:$A$24,0)),0))</f>
        <v/>
      </c>
      <c r="H1102" s="17" t="str">
        <f aca="false">IF(F1102="","",G1102-E1102)</f>
        <v/>
      </c>
      <c r="I1102" s="18" t="str">
        <f aca="true">IF(F1102="","",F1102-TODAY())</f>
        <v/>
      </c>
      <c r="J1102" s="19" t="str">
        <f aca="true">IF(F1102="","",IF(TODAY()&lt;D1102,"Başlamadı",IF(TODAY()&gt;F1102,"Bitti",IF(F1102-TODAY()&lt;=7,"Bitiyor","Aktif"))))</f>
        <v/>
      </c>
      <c r="K1102" s="19" t="str">
        <f aca="false">IF(OR(J1102="Aktif",J1102="Bitiyor"),F1102+ROW()/1000000,"")</f>
        <v/>
      </c>
    </row>
    <row r="1103" customFormat="false" ht="15" hidden="false" customHeight="false" outlineLevel="0" collapsed="false">
      <c r="A1103" s="12"/>
      <c r="B1103" s="12"/>
      <c r="C1103" s="13"/>
      <c r="D1103" s="14"/>
      <c r="E1103" s="15"/>
      <c r="F1103" s="16" t="str">
        <f aca="false">IF(OR(C1103="",D1103=""),"",EDATE(D1103,IFERROR(INDEX(Paketler!$B$5:$B$24,MATCH(C1103,Paketler!$A$5:$A$24,0)),0))-1)</f>
        <v/>
      </c>
      <c r="G1103" s="17" t="str">
        <f aca="false">IF(F1103="","",IFERROR(INDEX(Paketler!$C$5:$C$24,MATCH(C1103,Paketler!$A$5:$A$24,0)),0))</f>
        <v/>
      </c>
      <c r="H1103" s="17" t="str">
        <f aca="false">IF(F1103="","",G1103-E1103)</f>
        <v/>
      </c>
      <c r="I1103" s="18" t="str">
        <f aca="true">IF(F1103="","",F1103-TODAY())</f>
        <v/>
      </c>
      <c r="J1103" s="19" t="str">
        <f aca="true">IF(F1103="","",IF(TODAY()&lt;D1103,"Başlamadı",IF(TODAY()&gt;F1103,"Bitti",IF(F1103-TODAY()&lt;=7,"Bitiyor","Aktif"))))</f>
        <v/>
      </c>
      <c r="K1103" s="19" t="str">
        <f aca="false">IF(OR(J1103="Aktif",J1103="Bitiyor"),F1103+ROW()/1000000,"")</f>
        <v/>
      </c>
    </row>
    <row r="1104" customFormat="false" ht="15" hidden="false" customHeight="false" outlineLevel="0" collapsed="false">
      <c r="A1104" s="12"/>
      <c r="B1104" s="12"/>
      <c r="C1104" s="13"/>
      <c r="D1104" s="14"/>
      <c r="E1104" s="15"/>
      <c r="F1104" s="16" t="str">
        <f aca="false">IF(OR(C1104="",D1104=""),"",EDATE(D1104,IFERROR(INDEX(Paketler!$B$5:$B$24,MATCH(C1104,Paketler!$A$5:$A$24,0)),0))-1)</f>
        <v/>
      </c>
      <c r="G1104" s="17" t="str">
        <f aca="false">IF(F1104="","",IFERROR(INDEX(Paketler!$C$5:$C$24,MATCH(C1104,Paketler!$A$5:$A$24,0)),0))</f>
        <v/>
      </c>
      <c r="H1104" s="17" t="str">
        <f aca="false">IF(F1104="","",G1104-E1104)</f>
        <v/>
      </c>
      <c r="I1104" s="18" t="str">
        <f aca="true">IF(F1104="","",F1104-TODAY())</f>
        <v/>
      </c>
      <c r="J1104" s="19" t="str">
        <f aca="true">IF(F1104="","",IF(TODAY()&lt;D1104,"Başlamadı",IF(TODAY()&gt;F1104,"Bitti",IF(F1104-TODAY()&lt;=7,"Bitiyor","Aktif"))))</f>
        <v/>
      </c>
      <c r="K1104" s="19" t="str">
        <f aca="false">IF(OR(J1104="Aktif",J1104="Bitiyor"),F1104+ROW()/1000000,"")</f>
        <v/>
      </c>
    </row>
    <row r="1105" customFormat="false" ht="15" hidden="false" customHeight="false" outlineLevel="0" collapsed="false">
      <c r="A1105" s="12"/>
      <c r="B1105" s="12"/>
      <c r="C1105" s="13"/>
      <c r="D1105" s="14"/>
      <c r="E1105" s="15"/>
      <c r="F1105" s="16" t="str">
        <f aca="false">IF(OR(C1105="",D1105=""),"",EDATE(D1105,IFERROR(INDEX(Paketler!$B$5:$B$24,MATCH(C1105,Paketler!$A$5:$A$24,0)),0))-1)</f>
        <v/>
      </c>
      <c r="G1105" s="17" t="str">
        <f aca="false">IF(F1105="","",IFERROR(INDEX(Paketler!$C$5:$C$24,MATCH(C1105,Paketler!$A$5:$A$24,0)),0))</f>
        <v/>
      </c>
      <c r="H1105" s="17" t="str">
        <f aca="false">IF(F1105="","",G1105-E1105)</f>
        <v/>
      </c>
      <c r="I1105" s="18" t="str">
        <f aca="true">IF(F1105="","",F1105-TODAY())</f>
        <v/>
      </c>
      <c r="J1105" s="19" t="str">
        <f aca="true">IF(F1105="","",IF(TODAY()&lt;D1105,"Başlamadı",IF(TODAY()&gt;F1105,"Bitti",IF(F1105-TODAY()&lt;=7,"Bitiyor","Aktif"))))</f>
        <v/>
      </c>
      <c r="K1105" s="19" t="str">
        <f aca="false">IF(OR(J1105="Aktif",J1105="Bitiyor"),F1105+ROW()/1000000,"")</f>
        <v/>
      </c>
    </row>
    <row r="1106" customFormat="false" ht="15" hidden="false" customHeight="false" outlineLevel="0" collapsed="false">
      <c r="A1106" s="12"/>
      <c r="B1106" s="12"/>
      <c r="C1106" s="13"/>
      <c r="D1106" s="14"/>
      <c r="E1106" s="15"/>
      <c r="F1106" s="16" t="str">
        <f aca="false">IF(OR(C1106="",D1106=""),"",EDATE(D1106,IFERROR(INDEX(Paketler!$B$5:$B$24,MATCH(C1106,Paketler!$A$5:$A$24,0)),0))-1)</f>
        <v/>
      </c>
      <c r="G1106" s="17" t="str">
        <f aca="false">IF(F1106="","",IFERROR(INDEX(Paketler!$C$5:$C$24,MATCH(C1106,Paketler!$A$5:$A$24,0)),0))</f>
        <v/>
      </c>
      <c r="H1106" s="17" t="str">
        <f aca="false">IF(F1106="","",G1106-E1106)</f>
        <v/>
      </c>
      <c r="I1106" s="18" t="str">
        <f aca="true">IF(F1106="","",F1106-TODAY())</f>
        <v/>
      </c>
      <c r="J1106" s="19" t="str">
        <f aca="true">IF(F1106="","",IF(TODAY()&lt;D1106,"Başlamadı",IF(TODAY()&gt;F1106,"Bitti",IF(F1106-TODAY()&lt;=7,"Bitiyor","Aktif"))))</f>
        <v/>
      </c>
      <c r="K1106" s="19" t="str">
        <f aca="false">IF(OR(J1106="Aktif",J1106="Bitiyor"),F1106+ROW()/1000000,"")</f>
        <v/>
      </c>
    </row>
    <row r="1107" customFormat="false" ht="15" hidden="false" customHeight="false" outlineLevel="0" collapsed="false">
      <c r="A1107" s="12"/>
      <c r="B1107" s="12"/>
      <c r="C1107" s="13"/>
      <c r="D1107" s="14"/>
      <c r="E1107" s="15"/>
      <c r="F1107" s="16" t="str">
        <f aca="false">IF(OR(C1107="",D1107=""),"",EDATE(D1107,IFERROR(INDEX(Paketler!$B$5:$B$24,MATCH(C1107,Paketler!$A$5:$A$24,0)),0))-1)</f>
        <v/>
      </c>
      <c r="G1107" s="17" t="str">
        <f aca="false">IF(F1107="","",IFERROR(INDEX(Paketler!$C$5:$C$24,MATCH(C1107,Paketler!$A$5:$A$24,0)),0))</f>
        <v/>
      </c>
      <c r="H1107" s="17" t="str">
        <f aca="false">IF(F1107="","",G1107-E1107)</f>
        <v/>
      </c>
      <c r="I1107" s="18" t="str">
        <f aca="true">IF(F1107="","",F1107-TODAY())</f>
        <v/>
      </c>
      <c r="J1107" s="19" t="str">
        <f aca="true">IF(F1107="","",IF(TODAY()&lt;D1107,"Başlamadı",IF(TODAY()&gt;F1107,"Bitti",IF(F1107-TODAY()&lt;=7,"Bitiyor","Aktif"))))</f>
        <v/>
      </c>
      <c r="K1107" s="19" t="str">
        <f aca="false">IF(OR(J1107="Aktif",J1107="Bitiyor"),F1107+ROW()/1000000,"")</f>
        <v/>
      </c>
    </row>
    <row r="1108" customFormat="false" ht="15" hidden="false" customHeight="false" outlineLevel="0" collapsed="false">
      <c r="A1108" s="12"/>
      <c r="B1108" s="12"/>
      <c r="C1108" s="13"/>
      <c r="D1108" s="14"/>
      <c r="E1108" s="15"/>
      <c r="F1108" s="16" t="str">
        <f aca="false">IF(OR(C1108="",D1108=""),"",EDATE(D1108,IFERROR(INDEX(Paketler!$B$5:$B$24,MATCH(C1108,Paketler!$A$5:$A$24,0)),0))-1)</f>
        <v/>
      </c>
      <c r="G1108" s="17" t="str">
        <f aca="false">IF(F1108="","",IFERROR(INDEX(Paketler!$C$5:$C$24,MATCH(C1108,Paketler!$A$5:$A$24,0)),0))</f>
        <v/>
      </c>
      <c r="H1108" s="17" t="str">
        <f aca="false">IF(F1108="","",G1108-E1108)</f>
        <v/>
      </c>
      <c r="I1108" s="18" t="str">
        <f aca="true">IF(F1108="","",F1108-TODAY())</f>
        <v/>
      </c>
      <c r="J1108" s="19" t="str">
        <f aca="true">IF(F1108="","",IF(TODAY()&lt;D1108,"Başlamadı",IF(TODAY()&gt;F1108,"Bitti",IF(F1108-TODAY()&lt;=7,"Bitiyor","Aktif"))))</f>
        <v/>
      </c>
      <c r="K1108" s="19" t="str">
        <f aca="false">IF(OR(J1108="Aktif",J1108="Bitiyor"),F1108+ROW()/1000000,"")</f>
        <v/>
      </c>
    </row>
    <row r="1109" customFormat="false" ht="15" hidden="false" customHeight="false" outlineLevel="0" collapsed="false">
      <c r="A1109" s="12"/>
      <c r="B1109" s="12"/>
      <c r="C1109" s="13"/>
      <c r="D1109" s="14"/>
      <c r="E1109" s="15"/>
      <c r="F1109" s="16" t="str">
        <f aca="false">IF(OR(C1109="",D1109=""),"",EDATE(D1109,IFERROR(INDEX(Paketler!$B$5:$B$24,MATCH(C1109,Paketler!$A$5:$A$24,0)),0))-1)</f>
        <v/>
      </c>
      <c r="G1109" s="17" t="str">
        <f aca="false">IF(F1109="","",IFERROR(INDEX(Paketler!$C$5:$C$24,MATCH(C1109,Paketler!$A$5:$A$24,0)),0))</f>
        <v/>
      </c>
      <c r="H1109" s="17" t="str">
        <f aca="false">IF(F1109="","",G1109-E1109)</f>
        <v/>
      </c>
      <c r="I1109" s="18" t="str">
        <f aca="true">IF(F1109="","",F1109-TODAY())</f>
        <v/>
      </c>
      <c r="J1109" s="19" t="str">
        <f aca="true">IF(F1109="","",IF(TODAY()&lt;D1109,"Başlamadı",IF(TODAY()&gt;F1109,"Bitti",IF(F1109-TODAY()&lt;=7,"Bitiyor","Aktif"))))</f>
        <v/>
      </c>
      <c r="K1109" s="19" t="str">
        <f aca="false">IF(OR(J1109="Aktif",J1109="Bitiyor"),F1109+ROW()/1000000,"")</f>
        <v/>
      </c>
    </row>
    <row r="1110" customFormat="false" ht="15" hidden="false" customHeight="false" outlineLevel="0" collapsed="false">
      <c r="A1110" s="12"/>
      <c r="B1110" s="12"/>
      <c r="C1110" s="13"/>
      <c r="D1110" s="14"/>
      <c r="E1110" s="15"/>
      <c r="F1110" s="16" t="str">
        <f aca="false">IF(OR(C1110="",D1110=""),"",EDATE(D1110,IFERROR(INDEX(Paketler!$B$5:$B$24,MATCH(C1110,Paketler!$A$5:$A$24,0)),0))-1)</f>
        <v/>
      </c>
      <c r="G1110" s="17" t="str">
        <f aca="false">IF(F1110="","",IFERROR(INDEX(Paketler!$C$5:$C$24,MATCH(C1110,Paketler!$A$5:$A$24,0)),0))</f>
        <v/>
      </c>
      <c r="H1110" s="17" t="str">
        <f aca="false">IF(F1110="","",G1110-E1110)</f>
        <v/>
      </c>
      <c r="I1110" s="18" t="str">
        <f aca="true">IF(F1110="","",F1110-TODAY())</f>
        <v/>
      </c>
      <c r="J1110" s="19" t="str">
        <f aca="true">IF(F1110="","",IF(TODAY()&lt;D1110,"Başlamadı",IF(TODAY()&gt;F1110,"Bitti",IF(F1110-TODAY()&lt;=7,"Bitiyor","Aktif"))))</f>
        <v/>
      </c>
      <c r="K1110" s="19" t="str">
        <f aca="false">IF(OR(J1110="Aktif",J1110="Bitiyor"),F1110+ROW()/1000000,"")</f>
        <v/>
      </c>
    </row>
    <row r="1111" customFormat="false" ht="15" hidden="false" customHeight="false" outlineLevel="0" collapsed="false">
      <c r="A1111" s="12"/>
      <c r="B1111" s="12"/>
      <c r="C1111" s="13"/>
      <c r="D1111" s="14"/>
      <c r="E1111" s="15"/>
      <c r="F1111" s="16" t="str">
        <f aca="false">IF(OR(C1111="",D1111=""),"",EDATE(D1111,IFERROR(INDEX(Paketler!$B$5:$B$24,MATCH(C1111,Paketler!$A$5:$A$24,0)),0))-1)</f>
        <v/>
      </c>
      <c r="G1111" s="17" t="str">
        <f aca="false">IF(F1111="","",IFERROR(INDEX(Paketler!$C$5:$C$24,MATCH(C1111,Paketler!$A$5:$A$24,0)),0))</f>
        <v/>
      </c>
      <c r="H1111" s="17" t="str">
        <f aca="false">IF(F1111="","",G1111-E1111)</f>
        <v/>
      </c>
      <c r="I1111" s="18" t="str">
        <f aca="true">IF(F1111="","",F1111-TODAY())</f>
        <v/>
      </c>
      <c r="J1111" s="19" t="str">
        <f aca="true">IF(F1111="","",IF(TODAY()&lt;D1111,"Başlamadı",IF(TODAY()&gt;F1111,"Bitti",IF(F1111-TODAY()&lt;=7,"Bitiyor","Aktif"))))</f>
        <v/>
      </c>
      <c r="K1111" s="19" t="str">
        <f aca="false">IF(OR(J1111="Aktif",J1111="Bitiyor"),F1111+ROW()/1000000,"")</f>
        <v/>
      </c>
    </row>
    <row r="1112" customFormat="false" ht="15" hidden="false" customHeight="false" outlineLevel="0" collapsed="false">
      <c r="A1112" s="12"/>
      <c r="B1112" s="12"/>
      <c r="C1112" s="13"/>
      <c r="D1112" s="14"/>
      <c r="E1112" s="15"/>
      <c r="F1112" s="16" t="str">
        <f aca="false">IF(OR(C1112="",D1112=""),"",EDATE(D1112,IFERROR(INDEX(Paketler!$B$5:$B$24,MATCH(C1112,Paketler!$A$5:$A$24,0)),0))-1)</f>
        <v/>
      </c>
      <c r="G1112" s="17" t="str">
        <f aca="false">IF(F1112="","",IFERROR(INDEX(Paketler!$C$5:$C$24,MATCH(C1112,Paketler!$A$5:$A$24,0)),0))</f>
        <v/>
      </c>
      <c r="H1112" s="17" t="str">
        <f aca="false">IF(F1112="","",G1112-E1112)</f>
        <v/>
      </c>
      <c r="I1112" s="18" t="str">
        <f aca="true">IF(F1112="","",F1112-TODAY())</f>
        <v/>
      </c>
      <c r="J1112" s="19" t="str">
        <f aca="true">IF(F1112="","",IF(TODAY()&lt;D1112,"Başlamadı",IF(TODAY()&gt;F1112,"Bitti",IF(F1112-TODAY()&lt;=7,"Bitiyor","Aktif"))))</f>
        <v/>
      </c>
      <c r="K1112" s="19" t="str">
        <f aca="false">IF(OR(J1112="Aktif",J1112="Bitiyor"),F1112+ROW()/1000000,"")</f>
        <v/>
      </c>
    </row>
    <row r="1113" customFormat="false" ht="15" hidden="false" customHeight="false" outlineLevel="0" collapsed="false">
      <c r="A1113" s="12"/>
      <c r="B1113" s="12"/>
      <c r="C1113" s="13"/>
      <c r="D1113" s="14"/>
      <c r="E1113" s="15"/>
      <c r="F1113" s="16" t="str">
        <f aca="false">IF(OR(C1113="",D1113=""),"",EDATE(D1113,IFERROR(INDEX(Paketler!$B$5:$B$24,MATCH(C1113,Paketler!$A$5:$A$24,0)),0))-1)</f>
        <v/>
      </c>
      <c r="G1113" s="17" t="str">
        <f aca="false">IF(F1113="","",IFERROR(INDEX(Paketler!$C$5:$C$24,MATCH(C1113,Paketler!$A$5:$A$24,0)),0))</f>
        <v/>
      </c>
      <c r="H1113" s="17" t="str">
        <f aca="false">IF(F1113="","",G1113-E1113)</f>
        <v/>
      </c>
      <c r="I1113" s="18" t="str">
        <f aca="true">IF(F1113="","",F1113-TODAY())</f>
        <v/>
      </c>
      <c r="J1113" s="19" t="str">
        <f aca="true">IF(F1113="","",IF(TODAY()&lt;D1113,"Başlamadı",IF(TODAY()&gt;F1113,"Bitti",IF(F1113-TODAY()&lt;=7,"Bitiyor","Aktif"))))</f>
        <v/>
      </c>
      <c r="K1113" s="19" t="str">
        <f aca="false">IF(OR(J1113="Aktif",J1113="Bitiyor"),F1113+ROW()/1000000,"")</f>
        <v/>
      </c>
    </row>
    <row r="1114" customFormat="false" ht="15" hidden="false" customHeight="false" outlineLevel="0" collapsed="false">
      <c r="A1114" s="12"/>
      <c r="B1114" s="12"/>
      <c r="C1114" s="13"/>
      <c r="D1114" s="14"/>
      <c r="E1114" s="15"/>
      <c r="F1114" s="16" t="str">
        <f aca="false">IF(OR(C1114="",D1114=""),"",EDATE(D1114,IFERROR(INDEX(Paketler!$B$5:$B$24,MATCH(C1114,Paketler!$A$5:$A$24,0)),0))-1)</f>
        <v/>
      </c>
      <c r="G1114" s="17" t="str">
        <f aca="false">IF(F1114="","",IFERROR(INDEX(Paketler!$C$5:$C$24,MATCH(C1114,Paketler!$A$5:$A$24,0)),0))</f>
        <v/>
      </c>
      <c r="H1114" s="17" t="str">
        <f aca="false">IF(F1114="","",G1114-E1114)</f>
        <v/>
      </c>
      <c r="I1114" s="18" t="str">
        <f aca="true">IF(F1114="","",F1114-TODAY())</f>
        <v/>
      </c>
      <c r="J1114" s="19" t="str">
        <f aca="true">IF(F1114="","",IF(TODAY()&lt;D1114,"Başlamadı",IF(TODAY()&gt;F1114,"Bitti",IF(F1114-TODAY()&lt;=7,"Bitiyor","Aktif"))))</f>
        <v/>
      </c>
      <c r="K1114" s="19" t="str">
        <f aca="false">IF(OR(J1114="Aktif",J1114="Bitiyor"),F1114+ROW()/1000000,"")</f>
        <v/>
      </c>
    </row>
    <row r="1115" customFormat="false" ht="15" hidden="false" customHeight="false" outlineLevel="0" collapsed="false">
      <c r="A1115" s="12"/>
      <c r="B1115" s="12"/>
      <c r="C1115" s="13"/>
      <c r="D1115" s="14"/>
      <c r="E1115" s="15"/>
      <c r="F1115" s="16" t="str">
        <f aca="false">IF(OR(C1115="",D1115=""),"",EDATE(D1115,IFERROR(INDEX(Paketler!$B$5:$B$24,MATCH(C1115,Paketler!$A$5:$A$24,0)),0))-1)</f>
        <v/>
      </c>
      <c r="G1115" s="17" t="str">
        <f aca="false">IF(F1115="","",IFERROR(INDEX(Paketler!$C$5:$C$24,MATCH(C1115,Paketler!$A$5:$A$24,0)),0))</f>
        <v/>
      </c>
      <c r="H1115" s="17" t="str">
        <f aca="false">IF(F1115="","",G1115-E1115)</f>
        <v/>
      </c>
      <c r="I1115" s="18" t="str">
        <f aca="true">IF(F1115="","",F1115-TODAY())</f>
        <v/>
      </c>
      <c r="J1115" s="19" t="str">
        <f aca="true">IF(F1115="","",IF(TODAY()&lt;D1115,"Başlamadı",IF(TODAY()&gt;F1115,"Bitti",IF(F1115-TODAY()&lt;=7,"Bitiyor","Aktif"))))</f>
        <v/>
      </c>
      <c r="K1115" s="19" t="str">
        <f aca="false">IF(OR(J1115="Aktif",J1115="Bitiyor"),F1115+ROW()/1000000,"")</f>
        <v/>
      </c>
    </row>
    <row r="1116" customFormat="false" ht="15" hidden="false" customHeight="false" outlineLevel="0" collapsed="false">
      <c r="A1116" s="12"/>
      <c r="B1116" s="12"/>
      <c r="C1116" s="13"/>
      <c r="D1116" s="14"/>
      <c r="E1116" s="15"/>
      <c r="F1116" s="16" t="str">
        <f aca="false">IF(OR(C1116="",D1116=""),"",EDATE(D1116,IFERROR(INDEX(Paketler!$B$5:$B$24,MATCH(C1116,Paketler!$A$5:$A$24,0)),0))-1)</f>
        <v/>
      </c>
      <c r="G1116" s="17" t="str">
        <f aca="false">IF(F1116="","",IFERROR(INDEX(Paketler!$C$5:$C$24,MATCH(C1116,Paketler!$A$5:$A$24,0)),0))</f>
        <v/>
      </c>
      <c r="H1116" s="17" t="str">
        <f aca="false">IF(F1116="","",G1116-E1116)</f>
        <v/>
      </c>
      <c r="I1116" s="18" t="str">
        <f aca="true">IF(F1116="","",F1116-TODAY())</f>
        <v/>
      </c>
      <c r="J1116" s="19" t="str">
        <f aca="true">IF(F1116="","",IF(TODAY()&lt;D1116,"Başlamadı",IF(TODAY()&gt;F1116,"Bitti",IF(F1116-TODAY()&lt;=7,"Bitiyor","Aktif"))))</f>
        <v/>
      </c>
      <c r="K1116" s="19" t="str">
        <f aca="false">IF(OR(J1116="Aktif",J1116="Bitiyor"),F1116+ROW()/1000000,"")</f>
        <v/>
      </c>
    </row>
    <row r="1117" customFormat="false" ht="15" hidden="false" customHeight="false" outlineLevel="0" collapsed="false">
      <c r="A1117" s="12"/>
      <c r="B1117" s="12"/>
      <c r="C1117" s="13"/>
      <c r="D1117" s="14"/>
      <c r="E1117" s="15"/>
      <c r="F1117" s="16" t="str">
        <f aca="false">IF(OR(C1117="",D1117=""),"",EDATE(D1117,IFERROR(INDEX(Paketler!$B$5:$B$24,MATCH(C1117,Paketler!$A$5:$A$24,0)),0))-1)</f>
        <v/>
      </c>
      <c r="G1117" s="17" t="str">
        <f aca="false">IF(F1117="","",IFERROR(INDEX(Paketler!$C$5:$C$24,MATCH(C1117,Paketler!$A$5:$A$24,0)),0))</f>
        <v/>
      </c>
      <c r="H1117" s="17" t="str">
        <f aca="false">IF(F1117="","",G1117-E1117)</f>
        <v/>
      </c>
      <c r="I1117" s="18" t="str">
        <f aca="true">IF(F1117="","",F1117-TODAY())</f>
        <v/>
      </c>
      <c r="J1117" s="19" t="str">
        <f aca="true">IF(F1117="","",IF(TODAY()&lt;D1117,"Başlamadı",IF(TODAY()&gt;F1117,"Bitti",IF(F1117-TODAY()&lt;=7,"Bitiyor","Aktif"))))</f>
        <v/>
      </c>
      <c r="K1117" s="19" t="str">
        <f aca="false">IF(OR(J1117="Aktif",J1117="Bitiyor"),F1117+ROW()/1000000,"")</f>
        <v/>
      </c>
    </row>
    <row r="1118" customFormat="false" ht="15" hidden="false" customHeight="false" outlineLevel="0" collapsed="false">
      <c r="A1118" s="12"/>
      <c r="B1118" s="12"/>
      <c r="C1118" s="13"/>
      <c r="D1118" s="14"/>
      <c r="E1118" s="15"/>
      <c r="F1118" s="16" t="str">
        <f aca="false">IF(OR(C1118="",D1118=""),"",EDATE(D1118,IFERROR(INDEX(Paketler!$B$5:$B$24,MATCH(C1118,Paketler!$A$5:$A$24,0)),0))-1)</f>
        <v/>
      </c>
      <c r="G1118" s="17" t="str">
        <f aca="false">IF(F1118="","",IFERROR(INDEX(Paketler!$C$5:$C$24,MATCH(C1118,Paketler!$A$5:$A$24,0)),0))</f>
        <v/>
      </c>
      <c r="H1118" s="17" t="str">
        <f aca="false">IF(F1118="","",G1118-E1118)</f>
        <v/>
      </c>
      <c r="I1118" s="18" t="str">
        <f aca="true">IF(F1118="","",F1118-TODAY())</f>
        <v/>
      </c>
      <c r="J1118" s="19" t="str">
        <f aca="true">IF(F1118="","",IF(TODAY()&lt;D1118,"Başlamadı",IF(TODAY()&gt;F1118,"Bitti",IF(F1118-TODAY()&lt;=7,"Bitiyor","Aktif"))))</f>
        <v/>
      </c>
      <c r="K1118" s="19" t="str">
        <f aca="false">IF(OR(J1118="Aktif",J1118="Bitiyor"),F1118+ROW()/1000000,"")</f>
        <v/>
      </c>
    </row>
    <row r="1119" customFormat="false" ht="15" hidden="false" customHeight="false" outlineLevel="0" collapsed="false">
      <c r="A1119" s="12"/>
      <c r="B1119" s="12"/>
      <c r="C1119" s="13"/>
      <c r="D1119" s="14"/>
      <c r="E1119" s="15"/>
      <c r="F1119" s="16" t="str">
        <f aca="false">IF(OR(C1119="",D1119=""),"",EDATE(D1119,IFERROR(INDEX(Paketler!$B$5:$B$24,MATCH(C1119,Paketler!$A$5:$A$24,0)),0))-1)</f>
        <v/>
      </c>
      <c r="G1119" s="17" t="str">
        <f aca="false">IF(F1119="","",IFERROR(INDEX(Paketler!$C$5:$C$24,MATCH(C1119,Paketler!$A$5:$A$24,0)),0))</f>
        <v/>
      </c>
      <c r="H1119" s="17" t="str">
        <f aca="false">IF(F1119="","",G1119-E1119)</f>
        <v/>
      </c>
      <c r="I1119" s="18" t="str">
        <f aca="true">IF(F1119="","",F1119-TODAY())</f>
        <v/>
      </c>
      <c r="J1119" s="19" t="str">
        <f aca="true">IF(F1119="","",IF(TODAY()&lt;D1119,"Başlamadı",IF(TODAY()&gt;F1119,"Bitti",IF(F1119-TODAY()&lt;=7,"Bitiyor","Aktif"))))</f>
        <v/>
      </c>
      <c r="K1119" s="19" t="str">
        <f aca="false">IF(OR(J1119="Aktif",J1119="Bitiyor"),F1119+ROW()/1000000,"")</f>
        <v/>
      </c>
    </row>
    <row r="1120" customFormat="false" ht="15" hidden="false" customHeight="false" outlineLevel="0" collapsed="false">
      <c r="A1120" s="12"/>
      <c r="B1120" s="12"/>
      <c r="C1120" s="13"/>
      <c r="D1120" s="14"/>
      <c r="E1120" s="15"/>
      <c r="F1120" s="16" t="str">
        <f aca="false">IF(OR(C1120="",D1120=""),"",EDATE(D1120,IFERROR(INDEX(Paketler!$B$5:$B$24,MATCH(C1120,Paketler!$A$5:$A$24,0)),0))-1)</f>
        <v/>
      </c>
      <c r="G1120" s="17" t="str">
        <f aca="false">IF(F1120="","",IFERROR(INDEX(Paketler!$C$5:$C$24,MATCH(C1120,Paketler!$A$5:$A$24,0)),0))</f>
        <v/>
      </c>
      <c r="H1120" s="17" t="str">
        <f aca="false">IF(F1120="","",G1120-E1120)</f>
        <v/>
      </c>
      <c r="I1120" s="18" t="str">
        <f aca="true">IF(F1120="","",F1120-TODAY())</f>
        <v/>
      </c>
      <c r="J1120" s="19" t="str">
        <f aca="true">IF(F1120="","",IF(TODAY()&lt;D1120,"Başlamadı",IF(TODAY()&gt;F1120,"Bitti",IF(F1120-TODAY()&lt;=7,"Bitiyor","Aktif"))))</f>
        <v/>
      </c>
      <c r="K1120" s="19" t="str">
        <f aca="false">IF(OR(J1120="Aktif",J1120="Bitiyor"),F1120+ROW()/1000000,"")</f>
        <v/>
      </c>
    </row>
    <row r="1121" customFormat="false" ht="15" hidden="false" customHeight="false" outlineLevel="0" collapsed="false">
      <c r="A1121" s="12"/>
      <c r="B1121" s="12"/>
      <c r="C1121" s="13"/>
      <c r="D1121" s="14"/>
      <c r="E1121" s="15"/>
      <c r="F1121" s="16" t="str">
        <f aca="false">IF(OR(C1121="",D1121=""),"",EDATE(D1121,IFERROR(INDEX(Paketler!$B$5:$B$24,MATCH(C1121,Paketler!$A$5:$A$24,0)),0))-1)</f>
        <v/>
      </c>
      <c r="G1121" s="17" t="str">
        <f aca="false">IF(F1121="","",IFERROR(INDEX(Paketler!$C$5:$C$24,MATCH(C1121,Paketler!$A$5:$A$24,0)),0))</f>
        <v/>
      </c>
      <c r="H1121" s="17" t="str">
        <f aca="false">IF(F1121="","",G1121-E1121)</f>
        <v/>
      </c>
      <c r="I1121" s="18" t="str">
        <f aca="true">IF(F1121="","",F1121-TODAY())</f>
        <v/>
      </c>
      <c r="J1121" s="19" t="str">
        <f aca="true">IF(F1121="","",IF(TODAY()&lt;D1121,"Başlamadı",IF(TODAY()&gt;F1121,"Bitti",IF(F1121-TODAY()&lt;=7,"Bitiyor","Aktif"))))</f>
        <v/>
      </c>
      <c r="K1121" s="19" t="str">
        <f aca="false">IF(OR(J1121="Aktif",J1121="Bitiyor"),F1121+ROW()/1000000,"")</f>
        <v/>
      </c>
    </row>
    <row r="1122" customFormat="false" ht="15" hidden="false" customHeight="false" outlineLevel="0" collapsed="false">
      <c r="A1122" s="12"/>
      <c r="B1122" s="12"/>
      <c r="C1122" s="13"/>
      <c r="D1122" s="14"/>
      <c r="E1122" s="15"/>
      <c r="F1122" s="16" t="str">
        <f aca="false">IF(OR(C1122="",D1122=""),"",EDATE(D1122,IFERROR(INDEX(Paketler!$B$5:$B$24,MATCH(C1122,Paketler!$A$5:$A$24,0)),0))-1)</f>
        <v/>
      </c>
      <c r="G1122" s="17" t="str">
        <f aca="false">IF(F1122="","",IFERROR(INDEX(Paketler!$C$5:$C$24,MATCH(C1122,Paketler!$A$5:$A$24,0)),0))</f>
        <v/>
      </c>
      <c r="H1122" s="17" t="str">
        <f aca="false">IF(F1122="","",G1122-E1122)</f>
        <v/>
      </c>
      <c r="I1122" s="18" t="str">
        <f aca="true">IF(F1122="","",F1122-TODAY())</f>
        <v/>
      </c>
      <c r="J1122" s="19" t="str">
        <f aca="true">IF(F1122="","",IF(TODAY()&lt;D1122,"Başlamadı",IF(TODAY()&gt;F1122,"Bitti",IF(F1122-TODAY()&lt;=7,"Bitiyor","Aktif"))))</f>
        <v/>
      </c>
      <c r="K1122" s="19" t="str">
        <f aca="false">IF(OR(J1122="Aktif",J1122="Bitiyor"),F1122+ROW()/1000000,"")</f>
        <v/>
      </c>
    </row>
    <row r="1123" customFormat="false" ht="15" hidden="false" customHeight="false" outlineLevel="0" collapsed="false">
      <c r="A1123" s="12"/>
      <c r="B1123" s="12"/>
      <c r="C1123" s="13"/>
      <c r="D1123" s="14"/>
      <c r="E1123" s="15"/>
      <c r="F1123" s="16" t="str">
        <f aca="false">IF(OR(C1123="",D1123=""),"",EDATE(D1123,IFERROR(INDEX(Paketler!$B$5:$B$24,MATCH(C1123,Paketler!$A$5:$A$24,0)),0))-1)</f>
        <v/>
      </c>
      <c r="G1123" s="17" t="str">
        <f aca="false">IF(F1123="","",IFERROR(INDEX(Paketler!$C$5:$C$24,MATCH(C1123,Paketler!$A$5:$A$24,0)),0))</f>
        <v/>
      </c>
      <c r="H1123" s="17" t="str">
        <f aca="false">IF(F1123="","",G1123-E1123)</f>
        <v/>
      </c>
      <c r="I1123" s="18" t="str">
        <f aca="true">IF(F1123="","",F1123-TODAY())</f>
        <v/>
      </c>
      <c r="J1123" s="19" t="str">
        <f aca="true">IF(F1123="","",IF(TODAY()&lt;D1123,"Başlamadı",IF(TODAY()&gt;F1123,"Bitti",IF(F1123-TODAY()&lt;=7,"Bitiyor","Aktif"))))</f>
        <v/>
      </c>
      <c r="K1123" s="19" t="str">
        <f aca="false">IF(OR(J1123="Aktif",J1123="Bitiyor"),F1123+ROW()/1000000,"")</f>
        <v/>
      </c>
    </row>
    <row r="1124" customFormat="false" ht="15" hidden="false" customHeight="false" outlineLevel="0" collapsed="false">
      <c r="A1124" s="12"/>
      <c r="B1124" s="12"/>
      <c r="C1124" s="13"/>
      <c r="D1124" s="14"/>
      <c r="E1124" s="15"/>
      <c r="F1124" s="16" t="str">
        <f aca="false">IF(OR(C1124="",D1124=""),"",EDATE(D1124,IFERROR(INDEX(Paketler!$B$5:$B$24,MATCH(C1124,Paketler!$A$5:$A$24,0)),0))-1)</f>
        <v/>
      </c>
      <c r="G1124" s="17" t="str">
        <f aca="false">IF(F1124="","",IFERROR(INDEX(Paketler!$C$5:$C$24,MATCH(C1124,Paketler!$A$5:$A$24,0)),0))</f>
        <v/>
      </c>
      <c r="H1124" s="17" t="str">
        <f aca="false">IF(F1124="","",G1124-E1124)</f>
        <v/>
      </c>
      <c r="I1124" s="18" t="str">
        <f aca="true">IF(F1124="","",F1124-TODAY())</f>
        <v/>
      </c>
      <c r="J1124" s="19" t="str">
        <f aca="true">IF(F1124="","",IF(TODAY()&lt;D1124,"Başlamadı",IF(TODAY()&gt;F1124,"Bitti",IF(F1124-TODAY()&lt;=7,"Bitiyor","Aktif"))))</f>
        <v/>
      </c>
      <c r="K1124" s="19" t="str">
        <f aca="false">IF(OR(J1124="Aktif",J1124="Bitiyor"),F1124+ROW()/1000000,"")</f>
        <v/>
      </c>
    </row>
    <row r="1125" customFormat="false" ht="15" hidden="false" customHeight="false" outlineLevel="0" collapsed="false">
      <c r="A1125" s="12"/>
      <c r="B1125" s="12"/>
      <c r="C1125" s="13"/>
      <c r="D1125" s="14"/>
      <c r="E1125" s="15"/>
      <c r="F1125" s="16" t="str">
        <f aca="false">IF(OR(C1125="",D1125=""),"",EDATE(D1125,IFERROR(INDEX(Paketler!$B$5:$B$24,MATCH(C1125,Paketler!$A$5:$A$24,0)),0))-1)</f>
        <v/>
      </c>
      <c r="G1125" s="17" t="str">
        <f aca="false">IF(F1125="","",IFERROR(INDEX(Paketler!$C$5:$C$24,MATCH(C1125,Paketler!$A$5:$A$24,0)),0))</f>
        <v/>
      </c>
      <c r="H1125" s="17" t="str">
        <f aca="false">IF(F1125="","",G1125-E1125)</f>
        <v/>
      </c>
      <c r="I1125" s="18" t="str">
        <f aca="true">IF(F1125="","",F1125-TODAY())</f>
        <v/>
      </c>
      <c r="J1125" s="19" t="str">
        <f aca="true">IF(F1125="","",IF(TODAY()&lt;D1125,"Başlamadı",IF(TODAY()&gt;F1125,"Bitti",IF(F1125-TODAY()&lt;=7,"Bitiyor","Aktif"))))</f>
        <v/>
      </c>
      <c r="K1125" s="19" t="str">
        <f aca="false">IF(OR(J1125="Aktif",J1125="Bitiyor"),F1125+ROW()/1000000,"")</f>
        <v/>
      </c>
    </row>
    <row r="1126" customFormat="false" ht="15" hidden="false" customHeight="false" outlineLevel="0" collapsed="false">
      <c r="A1126" s="12"/>
      <c r="B1126" s="12"/>
      <c r="C1126" s="13"/>
      <c r="D1126" s="14"/>
      <c r="E1126" s="15"/>
      <c r="F1126" s="16" t="str">
        <f aca="false">IF(OR(C1126="",D1126=""),"",EDATE(D1126,IFERROR(INDEX(Paketler!$B$5:$B$24,MATCH(C1126,Paketler!$A$5:$A$24,0)),0))-1)</f>
        <v/>
      </c>
      <c r="G1126" s="17" t="str">
        <f aca="false">IF(F1126="","",IFERROR(INDEX(Paketler!$C$5:$C$24,MATCH(C1126,Paketler!$A$5:$A$24,0)),0))</f>
        <v/>
      </c>
      <c r="H1126" s="17" t="str">
        <f aca="false">IF(F1126="","",G1126-E1126)</f>
        <v/>
      </c>
      <c r="I1126" s="18" t="str">
        <f aca="true">IF(F1126="","",F1126-TODAY())</f>
        <v/>
      </c>
      <c r="J1126" s="19" t="str">
        <f aca="true">IF(F1126="","",IF(TODAY()&lt;D1126,"Başlamadı",IF(TODAY()&gt;F1126,"Bitti",IF(F1126-TODAY()&lt;=7,"Bitiyor","Aktif"))))</f>
        <v/>
      </c>
      <c r="K1126" s="19" t="str">
        <f aca="false">IF(OR(J1126="Aktif",J1126="Bitiyor"),F1126+ROW()/1000000,"")</f>
        <v/>
      </c>
    </row>
    <row r="1127" customFormat="false" ht="15" hidden="false" customHeight="false" outlineLevel="0" collapsed="false">
      <c r="A1127" s="12"/>
      <c r="B1127" s="12"/>
      <c r="C1127" s="13"/>
      <c r="D1127" s="14"/>
      <c r="E1127" s="15"/>
      <c r="F1127" s="16" t="str">
        <f aca="false">IF(OR(C1127="",D1127=""),"",EDATE(D1127,IFERROR(INDEX(Paketler!$B$5:$B$24,MATCH(C1127,Paketler!$A$5:$A$24,0)),0))-1)</f>
        <v/>
      </c>
      <c r="G1127" s="17" t="str">
        <f aca="false">IF(F1127="","",IFERROR(INDEX(Paketler!$C$5:$C$24,MATCH(C1127,Paketler!$A$5:$A$24,0)),0))</f>
        <v/>
      </c>
      <c r="H1127" s="17" t="str">
        <f aca="false">IF(F1127="","",G1127-E1127)</f>
        <v/>
      </c>
      <c r="I1127" s="18" t="str">
        <f aca="true">IF(F1127="","",F1127-TODAY())</f>
        <v/>
      </c>
      <c r="J1127" s="19" t="str">
        <f aca="true">IF(F1127="","",IF(TODAY()&lt;D1127,"Başlamadı",IF(TODAY()&gt;F1127,"Bitti",IF(F1127-TODAY()&lt;=7,"Bitiyor","Aktif"))))</f>
        <v/>
      </c>
      <c r="K1127" s="19" t="str">
        <f aca="false">IF(OR(J1127="Aktif",J1127="Bitiyor"),F1127+ROW()/1000000,"")</f>
        <v/>
      </c>
    </row>
    <row r="1128" customFormat="false" ht="15" hidden="false" customHeight="false" outlineLevel="0" collapsed="false">
      <c r="A1128" s="12"/>
      <c r="B1128" s="12"/>
      <c r="C1128" s="13"/>
      <c r="D1128" s="14"/>
      <c r="E1128" s="15"/>
      <c r="F1128" s="16" t="str">
        <f aca="false">IF(OR(C1128="",D1128=""),"",EDATE(D1128,IFERROR(INDEX(Paketler!$B$5:$B$24,MATCH(C1128,Paketler!$A$5:$A$24,0)),0))-1)</f>
        <v/>
      </c>
      <c r="G1128" s="17" t="str">
        <f aca="false">IF(F1128="","",IFERROR(INDEX(Paketler!$C$5:$C$24,MATCH(C1128,Paketler!$A$5:$A$24,0)),0))</f>
        <v/>
      </c>
      <c r="H1128" s="17" t="str">
        <f aca="false">IF(F1128="","",G1128-E1128)</f>
        <v/>
      </c>
      <c r="I1128" s="18" t="str">
        <f aca="true">IF(F1128="","",F1128-TODAY())</f>
        <v/>
      </c>
      <c r="J1128" s="19" t="str">
        <f aca="true">IF(F1128="","",IF(TODAY()&lt;D1128,"Başlamadı",IF(TODAY()&gt;F1128,"Bitti",IF(F1128-TODAY()&lt;=7,"Bitiyor","Aktif"))))</f>
        <v/>
      </c>
      <c r="K1128" s="19" t="str">
        <f aca="false">IF(OR(J1128="Aktif",J1128="Bitiyor"),F1128+ROW()/1000000,"")</f>
        <v/>
      </c>
    </row>
    <row r="1129" customFormat="false" ht="15" hidden="false" customHeight="false" outlineLevel="0" collapsed="false">
      <c r="A1129" s="12"/>
      <c r="B1129" s="12"/>
      <c r="C1129" s="13"/>
      <c r="D1129" s="14"/>
      <c r="E1129" s="15"/>
      <c r="F1129" s="16" t="str">
        <f aca="false">IF(OR(C1129="",D1129=""),"",EDATE(D1129,IFERROR(INDEX(Paketler!$B$5:$B$24,MATCH(C1129,Paketler!$A$5:$A$24,0)),0))-1)</f>
        <v/>
      </c>
      <c r="G1129" s="17" t="str">
        <f aca="false">IF(F1129="","",IFERROR(INDEX(Paketler!$C$5:$C$24,MATCH(C1129,Paketler!$A$5:$A$24,0)),0))</f>
        <v/>
      </c>
      <c r="H1129" s="17" t="str">
        <f aca="false">IF(F1129="","",G1129-E1129)</f>
        <v/>
      </c>
      <c r="I1129" s="18" t="str">
        <f aca="true">IF(F1129="","",F1129-TODAY())</f>
        <v/>
      </c>
      <c r="J1129" s="19" t="str">
        <f aca="true">IF(F1129="","",IF(TODAY()&lt;D1129,"Başlamadı",IF(TODAY()&gt;F1129,"Bitti",IF(F1129-TODAY()&lt;=7,"Bitiyor","Aktif"))))</f>
        <v/>
      </c>
      <c r="K1129" s="19" t="str">
        <f aca="false">IF(OR(J1129="Aktif",J1129="Bitiyor"),F1129+ROW()/1000000,"")</f>
        <v/>
      </c>
    </row>
    <row r="1130" customFormat="false" ht="15" hidden="false" customHeight="false" outlineLevel="0" collapsed="false">
      <c r="A1130" s="12"/>
      <c r="B1130" s="12"/>
      <c r="C1130" s="13"/>
      <c r="D1130" s="14"/>
      <c r="E1130" s="15"/>
      <c r="F1130" s="16" t="str">
        <f aca="false">IF(OR(C1130="",D1130=""),"",EDATE(D1130,IFERROR(INDEX(Paketler!$B$5:$B$24,MATCH(C1130,Paketler!$A$5:$A$24,0)),0))-1)</f>
        <v/>
      </c>
      <c r="G1130" s="17" t="str">
        <f aca="false">IF(F1130="","",IFERROR(INDEX(Paketler!$C$5:$C$24,MATCH(C1130,Paketler!$A$5:$A$24,0)),0))</f>
        <v/>
      </c>
      <c r="H1130" s="17" t="str">
        <f aca="false">IF(F1130="","",G1130-E1130)</f>
        <v/>
      </c>
      <c r="I1130" s="18" t="str">
        <f aca="true">IF(F1130="","",F1130-TODAY())</f>
        <v/>
      </c>
      <c r="J1130" s="19" t="str">
        <f aca="true">IF(F1130="","",IF(TODAY()&lt;D1130,"Başlamadı",IF(TODAY()&gt;F1130,"Bitti",IF(F1130-TODAY()&lt;=7,"Bitiyor","Aktif"))))</f>
        <v/>
      </c>
      <c r="K1130" s="19" t="str">
        <f aca="false">IF(OR(J1130="Aktif",J1130="Bitiyor"),F1130+ROW()/1000000,"")</f>
        <v/>
      </c>
    </row>
    <row r="1131" customFormat="false" ht="15" hidden="false" customHeight="false" outlineLevel="0" collapsed="false">
      <c r="A1131" s="12"/>
      <c r="B1131" s="12"/>
      <c r="C1131" s="13"/>
      <c r="D1131" s="14"/>
      <c r="E1131" s="15"/>
      <c r="F1131" s="16" t="str">
        <f aca="false">IF(OR(C1131="",D1131=""),"",EDATE(D1131,IFERROR(INDEX(Paketler!$B$5:$B$24,MATCH(C1131,Paketler!$A$5:$A$24,0)),0))-1)</f>
        <v/>
      </c>
      <c r="G1131" s="17" t="str">
        <f aca="false">IF(F1131="","",IFERROR(INDEX(Paketler!$C$5:$C$24,MATCH(C1131,Paketler!$A$5:$A$24,0)),0))</f>
        <v/>
      </c>
      <c r="H1131" s="17" t="str">
        <f aca="false">IF(F1131="","",G1131-E1131)</f>
        <v/>
      </c>
      <c r="I1131" s="18" t="str">
        <f aca="true">IF(F1131="","",F1131-TODAY())</f>
        <v/>
      </c>
      <c r="J1131" s="19" t="str">
        <f aca="true">IF(F1131="","",IF(TODAY()&lt;D1131,"Başlamadı",IF(TODAY()&gt;F1131,"Bitti",IF(F1131-TODAY()&lt;=7,"Bitiyor","Aktif"))))</f>
        <v/>
      </c>
      <c r="K1131" s="19" t="str">
        <f aca="false">IF(OR(J1131="Aktif",J1131="Bitiyor"),F1131+ROW()/1000000,"")</f>
        <v/>
      </c>
    </row>
    <row r="1132" customFormat="false" ht="15" hidden="false" customHeight="false" outlineLevel="0" collapsed="false">
      <c r="A1132" s="12"/>
      <c r="B1132" s="12"/>
      <c r="C1132" s="13"/>
      <c r="D1132" s="14"/>
      <c r="E1132" s="15"/>
      <c r="F1132" s="16" t="str">
        <f aca="false">IF(OR(C1132="",D1132=""),"",EDATE(D1132,IFERROR(INDEX(Paketler!$B$5:$B$24,MATCH(C1132,Paketler!$A$5:$A$24,0)),0))-1)</f>
        <v/>
      </c>
      <c r="G1132" s="17" t="str">
        <f aca="false">IF(F1132="","",IFERROR(INDEX(Paketler!$C$5:$C$24,MATCH(C1132,Paketler!$A$5:$A$24,0)),0))</f>
        <v/>
      </c>
      <c r="H1132" s="17" t="str">
        <f aca="false">IF(F1132="","",G1132-E1132)</f>
        <v/>
      </c>
      <c r="I1132" s="18" t="str">
        <f aca="true">IF(F1132="","",F1132-TODAY())</f>
        <v/>
      </c>
      <c r="J1132" s="19" t="str">
        <f aca="true">IF(F1132="","",IF(TODAY()&lt;D1132,"Başlamadı",IF(TODAY()&gt;F1132,"Bitti",IF(F1132-TODAY()&lt;=7,"Bitiyor","Aktif"))))</f>
        <v/>
      </c>
      <c r="K1132" s="19" t="str">
        <f aca="false">IF(OR(J1132="Aktif",J1132="Bitiyor"),F1132+ROW()/1000000,"")</f>
        <v/>
      </c>
    </row>
    <row r="1133" customFormat="false" ht="15" hidden="false" customHeight="false" outlineLevel="0" collapsed="false">
      <c r="A1133" s="12"/>
      <c r="B1133" s="12"/>
      <c r="C1133" s="13"/>
      <c r="D1133" s="14"/>
      <c r="E1133" s="15"/>
      <c r="F1133" s="16" t="str">
        <f aca="false">IF(OR(C1133="",D1133=""),"",EDATE(D1133,IFERROR(INDEX(Paketler!$B$5:$B$24,MATCH(C1133,Paketler!$A$5:$A$24,0)),0))-1)</f>
        <v/>
      </c>
      <c r="G1133" s="17" t="str">
        <f aca="false">IF(F1133="","",IFERROR(INDEX(Paketler!$C$5:$C$24,MATCH(C1133,Paketler!$A$5:$A$24,0)),0))</f>
        <v/>
      </c>
      <c r="H1133" s="17" t="str">
        <f aca="false">IF(F1133="","",G1133-E1133)</f>
        <v/>
      </c>
      <c r="I1133" s="18" t="str">
        <f aca="true">IF(F1133="","",F1133-TODAY())</f>
        <v/>
      </c>
      <c r="J1133" s="19" t="str">
        <f aca="true">IF(F1133="","",IF(TODAY()&lt;D1133,"Başlamadı",IF(TODAY()&gt;F1133,"Bitti",IF(F1133-TODAY()&lt;=7,"Bitiyor","Aktif"))))</f>
        <v/>
      </c>
      <c r="K1133" s="19" t="str">
        <f aca="false">IF(OR(J1133="Aktif",J1133="Bitiyor"),F1133+ROW()/1000000,"")</f>
        <v/>
      </c>
    </row>
    <row r="1134" customFormat="false" ht="15" hidden="false" customHeight="false" outlineLevel="0" collapsed="false">
      <c r="A1134" s="12"/>
      <c r="B1134" s="12"/>
      <c r="C1134" s="13"/>
      <c r="D1134" s="14"/>
      <c r="E1134" s="15"/>
      <c r="F1134" s="16" t="str">
        <f aca="false">IF(OR(C1134="",D1134=""),"",EDATE(D1134,IFERROR(INDEX(Paketler!$B$5:$B$24,MATCH(C1134,Paketler!$A$5:$A$24,0)),0))-1)</f>
        <v/>
      </c>
      <c r="G1134" s="17" t="str">
        <f aca="false">IF(F1134="","",IFERROR(INDEX(Paketler!$C$5:$C$24,MATCH(C1134,Paketler!$A$5:$A$24,0)),0))</f>
        <v/>
      </c>
      <c r="H1134" s="17" t="str">
        <f aca="false">IF(F1134="","",G1134-E1134)</f>
        <v/>
      </c>
      <c r="I1134" s="18" t="str">
        <f aca="true">IF(F1134="","",F1134-TODAY())</f>
        <v/>
      </c>
      <c r="J1134" s="19" t="str">
        <f aca="true">IF(F1134="","",IF(TODAY()&lt;D1134,"Başlamadı",IF(TODAY()&gt;F1134,"Bitti",IF(F1134-TODAY()&lt;=7,"Bitiyor","Aktif"))))</f>
        <v/>
      </c>
      <c r="K1134" s="19" t="str">
        <f aca="false">IF(OR(J1134="Aktif",J1134="Bitiyor"),F1134+ROW()/1000000,"")</f>
        <v/>
      </c>
    </row>
    <row r="1135" customFormat="false" ht="15" hidden="false" customHeight="false" outlineLevel="0" collapsed="false">
      <c r="A1135" s="12"/>
      <c r="B1135" s="12"/>
      <c r="C1135" s="13"/>
      <c r="D1135" s="14"/>
      <c r="E1135" s="15"/>
      <c r="F1135" s="16" t="str">
        <f aca="false">IF(OR(C1135="",D1135=""),"",EDATE(D1135,IFERROR(INDEX(Paketler!$B$5:$B$24,MATCH(C1135,Paketler!$A$5:$A$24,0)),0))-1)</f>
        <v/>
      </c>
      <c r="G1135" s="17" t="str">
        <f aca="false">IF(F1135="","",IFERROR(INDEX(Paketler!$C$5:$C$24,MATCH(C1135,Paketler!$A$5:$A$24,0)),0))</f>
        <v/>
      </c>
      <c r="H1135" s="17" t="str">
        <f aca="false">IF(F1135="","",G1135-E1135)</f>
        <v/>
      </c>
      <c r="I1135" s="18" t="str">
        <f aca="true">IF(F1135="","",F1135-TODAY())</f>
        <v/>
      </c>
      <c r="J1135" s="19" t="str">
        <f aca="true">IF(F1135="","",IF(TODAY()&lt;D1135,"Başlamadı",IF(TODAY()&gt;F1135,"Bitti",IF(F1135-TODAY()&lt;=7,"Bitiyor","Aktif"))))</f>
        <v/>
      </c>
      <c r="K1135" s="19" t="str">
        <f aca="false">IF(OR(J1135="Aktif",J1135="Bitiyor"),F1135+ROW()/1000000,"")</f>
        <v/>
      </c>
    </row>
    <row r="1136" customFormat="false" ht="15" hidden="false" customHeight="false" outlineLevel="0" collapsed="false">
      <c r="A1136" s="12"/>
      <c r="B1136" s="12"/>
      <c r="C1136" s="13"/>
      <c r="D1136" s="14"/>
      <c r="E1136" s="15"/>
      <c r="F1136" s="16" t="str">
        <f aca="false">IF(OR(C1136="",D1136=""),"",EDATE(D1136,IFERROR(INDEX(Paketler!$B$5:$B$24,MATCH(C1136,Paketler!$A$5:$A$24,0)),0))-1)</f>
        <v/>
      </c>
      <c r="G1136" s="17" t="str">
        <f aca="false">IF(F1136="","",IFERROR(INDEX(Paketler!$C$5:$C$24,MATCH(C1136,Paketler!$A$5:$A$24,0)),0))</f>
        <v/>
      </c>
      <c r="H1136" s="17" t="str">
        <f aca="false">IF(F1136="","",G1136-E1136)</f>
        <v/>
      </c>
      <c r="I1136" s="18" t="str">
        <f aca="true">IF(F1136="","",F1136-TODAY())</f>
        <v/>
      </c>
      <c r="J1136" s="19" t="str">
        <f aca="true">IF(F1136="","",IF(TODAY()&lt;D1136,"Başlamadı",IF(TODAY()&gt;F1136,"Bitti",IF(F1136-TODAY()&lt;=7,"Bitiyor","Aktif"))))</f>
        <v/>
      </c>
      <c r="K1136" s="19" t="str">
        <f aca="false">IF(OR(J1136="Aktif",J1136="Bitiyor"),F1136+ROW()/1000000,"")</f>
        <v/>
      </c>
    </row>
    <row r="1137" customFormat="false" ht="15" hidden="false" customHeight="false" outlineLevel="0" collapsed="false">
      <c r="A1137" s="12"/>
      <c r="B1137" s="12"/>
      <c r="C1137" s="13"/>
      <c r="D1137" s="14"/>
      <c r="E1137" s="15"/>
      <c r="F1137" s="16" t="str">
        <f aca="false">IF(OR(C1137="",D1137=""),"",EDATE(D1137,IFERROR(INDEX(Paketler!$B$5:$B$24,MATCH(C1137,Paketler!$A$5:$A$24,0)),0))-1)</f>
        <v/>
      </c>
      <c r="G1137" s="17" t="str">
        <f aca="false">IF(F1137="","",IFERROR(INDEX(Paketler!$C$5:$C$24,MATCH(C1137,Paketler!$A$5:$A$24,0)),0))</f>
        <v/>
      </c>
      <c r="H1137" s="17" t="str">
        <f aca="false">IF(F1137="","",G1137-E1137)</f>
        <v/>
      </c>
      <c r="I1137" s="18" t="str">
        <f aca="true">IF(F1137="","",F1137-TODAY())</f>
        <v/>
      </c>
      <c r="J1137" s="19" t="str">
        <f aca="true">IF(F1137="","",IF(TODAY()&lt;D1137,"Başlamadı",IF(TODAY()&gt;F1137,"Bitti",IF(F1137-TODAY()&lt;=7,"Bitiyor","Aktif"))))</f>
        <v/>
      </c>
      <c r="K1137" s="19" t="str">
        <f aca="false">IF(OR(J1137="Aktif",J1137="Bitiyor"),F1137+ROW()/1000000,"")</f>
        <v/>
      </c>
    </row>
    <row r="1138" customFormat="false" ht="15" hidden="false" customHeight="false" outlineLevel="0" collapsed="false">
      <c r="A1138" s="12"/>
      <c r="B1138" s="12"/>
      <c r="C1138" s="13"/>
      <c r="D1138" s="14"/>
      <c r="E1138" s="15"/>
      <c r="F1138" s="16" t="str">
        <f aca="false">IF(OR(C1138="",D1138=""),"",EDATE(D1138,IFERROR(INDEX(Paketler!$B$5:$B$24,MATCH(C1138,Paketler!$A$5:$A$24,0)),0))-1)</f>
        <v/>
      </c>
      <c r="G1138" s="17" t="str">
        <f aca="false">IF(F1138="","",IFERROR(INDEX(Paketler!$C$5:$C$24,MATCH(C1138,Paketler!$A$5:$A$24,0)),0))</f>
        <v/>
      </c>
      <c r="H1138" s="17" t="str">
        <f aca="false">IF(F1138="","",G1138-E1138)</f>
        <v/>
      </c>
      <c r="I1138" s="18" t="str">
        <f aca="true">IF(F1138="","",F1138-TODAY())</f>
        <v/>
      </c>
      <c r="J1138" s="19" t="str">
        <f aca="true">IF(F1138="","",IF(TODAY()&lt;D1138,"Başlamadı",IF(TODAY()&gt;F1138,"Bitti",IF(F1138-TODAY()&lt;=7,"Bitiyor","Aktif"))))</f>
        <v/>
      </c>
      <c r="K1138" s="19" t="str">
        <f aca="false">IF(OR(J1138="Aktif",J1138="Bitiyor"),F1138+ROW()/1000000,"")</f>
        <v/>
      </c>
    </row>
    <row r="1139" customFormat="false" ht="15" hidden="false" customHeight="false" outlineLevel="0" collapsed="false">
      <c r="A1139" s="12"/>
      <c r="B1139" s="12"/>
      <c r="C1139" s="13"/>
      <c r="D1139" s="14"/>
      <c r="E1139" s="15"/>
      <c r="F1139" s="16" t="str">
        <f aca="false">IF(OR(C1139="",D1139=""),"",EDATE(D1139,IFERROR(INDEX(Paketler!$B$5:$B$24,MATCH(C1139,Paketler!$A$5:$A$24,0)),0))-1)</f>
        <v/>
      </c>
      <c r="G1139" s="17" t="str">
        <f aca="false">IF(F1139="","",IFERROR(INDEX(Paketler!$C$5:$C$24,MATCH(C1139,Paketler!$A$5:$A$24,0)),0))</f>
        <v/>
      </c>
      <c r="H1139" s="17" t="str">
        <f aca="false">IF(F1139="","",G1139-E1139)</f>
        <v/>
      </c>
      <c r="I1139" s="18" t="str">
        <f aca="true">IF(F1139="","",F1139-TODAY())</f>
        <v/>
      </c>
      <c r="J1139" s="19" t="str">
        <f aca="true">IF(F1139="","",IF(TODAY()&lt;D1139,"Başlamadı",IF(TODAY()&gt;F1139,"Bitti",IF(F1139-TODAY()&lt;=7,"Bitiyor","Aktif"))))</f>
        <v/>
      </c>
      <c r="K1139" s="19" t="str">
        <f aca="false">IF(OR(J1139="Aktif",J1139="Bitiyor"),F1139+ROW()/1000000,"")</f>
        <v/>
      </c>
    </row>
    <row r="1140" customFormat="false" ht="15" hidden="false" customHeight="false" outlineLevel="0" collapsed="false">
      <c r="A1140" s="12"/>
      <c r="B1140" s="12"/>
      <c r="C1140" s="13"/>
      <c r="D1140" s="14"/>
      <c r="E1140" s="15"/>
      <c r="F1140" s="16" t="str">
        <f aca="false">IF(OR(C1140="",D1140=""),"",EDATE(D1140,IFERROR(INDEX(Paketler!$B$5:$B$24,MATCH(C1140,Paketler!$A$5:$A$24,0)),0))-1)</f>
        <v/>
      </c>
      <c r="G1140" s="17" t="str">
        <f aca="false">IF(F1140="","",IFERROR(INDEX(Paketler!$C$5:$C$24,MATCH(C1140,Paketler!$A$5:$A$24,0)),0))</f>
        <v/>
      </c>
      <c r="H1140" s="17" t="str">
        <f aca="false">IF(F1140="","",G1140-E1140)</f>
        <v/>
      </c>
      <c r="I1140" s="18" t="str">
        <f aca="true">IF(F1140="","",F1140-TODAY())</f>
        <v/>
      </c>
      <c r="J1140" s="19" t="str">
        <f aca="true">IF(F1140="","",IF(TODAY()&lt;D1140,"Başlamadı",IF(TODAY()&gt;F1140,"Bitti",IF(F1140-TODAY()&lt;=7,"Bitiyor","Aktif"))))</f>
        <v/>
      </c>
      <c r="K1140" s="19" t="str">
        <f aca="false">IF(OR(J1140="Aktif",J1140="Bitiyor"),F1140+ROW()/1000000,"")</f>
        <v/>
      </c>
    </row>
    <row r="1141" customFormat="false" ht="15" hidden="false" customHeight="false" outlineLevel="0" collapsed="false">
      <c r="A1141" s="12"/>
      <c r="B1141" s="12"/>
      <c r="C1141" s="13"/>
      <c r="D1141" s="14"/>
      <c r="E1141" s="15"/>
      <c r="F1141" s="16" t="str">
        <f aca="false">IF(OR(C1141="",D1141=""),"",EDATE(D1141,IFERROR(INDEX(Paketler!$B$5:$B$24,MATCH(C1141,Paketler!$A$5:$A$24,0)),0))-1)</f>
        <v/>
      </c>
      <c r="G1141" s="17" t="str">
        <f aca="false">IF(F1141="","",IFERROR(INDEX(Paketler!$C$5:$C$24,MATCH(C1141,Paketler!$A$5:$A$24,0)),0))</f>
        <v/>
      </c>
      <c r="H1141" s="17" t="str">
        <f aca="false">IF(F1141="","",G1141-E1141)</f>
        <v/>
      </c>
      <c r="I1141" s="18" t="str">
        <f aca="true">IF(F1141="","",F1141-TODAY())</f>
        <v/>
      </c>
      <c r="J1141" s="19" t="str">
        <f aca="true">IF(F1141="","",IF(TODAY()&lt;D1141,"Başlamadı",IF(TODAY()&gt;F1141,"Bitti",IF(F1141-TODAY()&lt;=7,"Bitiyor","Aktif"))))</f>
        <v/>
      </c>
      <c r="K1141" s="19" t="str">
        <f aca="false">IF(OR(J1141="Aktif",J1141="Bitiyor"),F1141+ROW()/1000000,"")</f>
        <v/>
      </c>
    </row>
    <row r="1142" customFormat="false" ht="15" hidden="false" customHeight="false" outlineLevel="0" collapsed="false">
      <c r="A1142" s="12"/>
      <c r="B1142" s="12"/>
      <c r="C1142" s="13"/>
      <c r="D1142" s="14"/>
      <c r="E1142" s="15"/>
      <c r="F1142" s="16" t="str">
        <f aca="false">IF(OR(C1142="",D1142=""),"",EDATE(D1142,IFERROR(INDEX(Paketler!$B$5:$B$24,MATCH(C1142,Paketler!$A$5:$A$24,0)),0))-1)</f>
        <v/>
      </c>
      <c r="G1142" s="17" t="str">
        <f aca="false">IF(F1142="","",IFERROR(INDEX(Paketler!$C$5:$C$24,MATCH(C1142,Paketler!$A$5:$A$24,0)),0))</f>
        <v/>
      </c>
      <c r="H1142" s="17" t="str">
        <f aca="false">IF(F1142="","",G1142-E1142)</f>
        <v/>
      </c>
      <c r="I1142" s="18" t="str">
        <f aca="true">IF(F1142="","",F1142-TODAY())</f>
        <v/>
      </c>
      <c r="J1142" s="19" t="str">
        <f aca="true">IF(F1142="","",IF(TODAY()&lt;D1142,"Başlamadı",IF(TODAY()&gt;F1142,"Bitti",IF(F1142-TODAY()&lt;=7,"Bitiyor","Aktif"))))</f>
        <v/>
      </c>
      <c r="K1142" s="19" t="str">
        <f aca="false">IF(OR(J1142="Aktif",J1142="Bitiyor"),F1142+ROW()/1000000,"")</f>
        <v/>
      </c>
    </row>
    <row r="1143" customFormat="false" ht="15" hidden="false" customHeight="false" outlineLevel="0" collapsed="false">
      <c r="A1143" s="12"/>
      <c r="B1143" s="12"/>
      <c r="C1143" s="13"/>
      <c r="D1143" s="14"/>
      <c r="E1143" s="15"/>
      <c r="F1143" s="16" t="str">
        <f aca="false">IF(OR(C1143="",D1143=""),"",EDATE(D1143,IFERROR(INDEX(Paketler!$B$5:$B$24,MATCH(C1143,Paketler!$A$5:$A$24,0)),0))-1)</f>
        <v/>
      </c>
      <c r="G1143" s="17" t="str">
        <f aca="false">IF(F1143="","",IFERROR(INDEX(Paketler!$C$5:$C$24,MATCH(C1143,Paketler!$A$5:$A$24,0)),0))</f>
        <v/>
      </c>
      <c r="H1143" s="17" t="str">
        <f aca="false">IF(F1143="","",G1143-E1143)</f>
        <v/>
      </c>
      <c r="I1143" s="18" t="str">
        <f aca="true">IF(F1143="","",F1143-TODAY())</f>
        <v/>
      </c>
      <c r="J1143" s="19" t="str">
        <f aca="true">IF(F1143="","",IF(TODAY()&lt;D1143,"Başlamadı",IF(TODAY()&gt;F1143,"Bitti",IF(F1143-TODAY()&lt;=7,"Bitiyor","Aktif"))))</f>
        <v/>
      </c>
      <c r="K1143" s="19" t="str">
        <f aca="false">IF(OR(J1143="Aktif",J1143="Bitiyor"),F1143+ROW()/1000000,"")</f>
        <v/>
      </c>
    </row>
    <row r="1144" customFormat="false" ht="15" hidden="false" customHeight="false" outlineLevel="0" collapsed="false">
      <c r="A1144" s="12"/>
      <c r="B1144" s="12"/>
      <c r="C1144" s="13"/>
      <c r="D1144" s="14"/>
      <c r="E1144" s="15"/>
      <c r="F1144" s="16" t="str">
        <f aca="false">IF(OR(C1144="",D1144=""),"",EDATE(D1144,IFERROR(INDEX(Paketler!$B$5:$B$24,MATCH(C1144,Paketler!$A$5:$A$24,0)),0))-1)</f>
        <v/>
      </c>
      <c r="G1144" s="17" t="str">
        <f aca="false">IF(F1144="","",IFERROR(INDEX(Paketler!$C$5:$C$24,MATCH(C1144,Paketler!$A$5:$A$24,0)),0))</f>
        <v/>
      </c>
      <c r="H1144" s="17" t="str">
        <f aca="false">IF(F1144="","",G1144-E1144)</f>
        <v/>
      </c>
      <c r="I1144" s="18" t="str">
        <f aca="true">IF(F1144="","",F1144-TODAY())</f>
        <v/>
      </c>
      <c r="J1144" s="19" t="str">
        <f aca="true">IF(F1144="","",IF(TODAY()&lt;D1144,"Başlamadı",IF(TODAY()&gt;F1144,"Bitti",IF(F1144-TODAY()&lt;=7,"Bitiyor","Aktif"))))</f>
        <v/>
      </c>
      <c r="K1144" s="19" t="str">
        <f aca="false">IF(OR(J1144="Aktif",J1144="Bitiyor"),F1144+ROW()/1000000,"")</f>
        <v/>
      </c>
    </row>
    <row r="1145" customFormat="false" ht="15" hidden="false" customHeight="false" outlineLevel="0" collapsed="false">
      <c r="A1145" s="12"/>
      <c r="B1145" s="12"/>
      <c r="C1145" s="13"/>
      <c r="D1145" s="14"/>
      <c r="E1145" s="15"/>
      <c r="F1145" s="16" t="str">
        <f aca="false">IF(OR(C1145="",D1145=""),"",EDATE(D1145,IFERROR(INDEX(Paketler!$B$5:$B$24,MATCH(C1145,Paketler!$A$5:$A$24,0)),0))-1)</f>
        <v/>
      </c>
      <c r="G1145" s="17" t="str">
        <f aca="false">IF(F1145="","",IFERROR(INDEX(Paketler!$C$5:$C$24,MATCH(C1145,Paketler!$A$5:$A$24,0)),0))</f>
        <v/>
      </c>
      <c r="H1145" s="17" t="str">
        <f aca="false">IF(F1145="","",G1145-E1145)</f>
        <v/>
      </c>
      <c r="I1145" s="18" t="str">
        <f aca="true">IF(F1145="","",F1145-TODAY())</f>
        <v/>
      </c>
      <c r="J1145" s="19" t="str">
        <f aca="true">IF(F1145="","",IF(TODAY()&lt;D1145,"Başlamadı",IF(TODAY()&gt;F1145,"Bitti",IF(F1145-TODAY()&lt;=7,"Bitiyor","Aktif"))))</f>
        <v/>
      </c>
      <c r="K1145" s="19" t="str">
        <f aca="false">IF(OR(J1145="Aktif",J1145="Bitiyor"),F1145+ROW()/1000000,"")</f>
        <v/>
      </c>
    </row>
    <row r="1146" customFormat="false" ht="15" hidden="false" customHeight="false" outlineLevel="0" collapsed="false">
      <c r="A1146" s="12"/>
      <c r="B1146" s="12"/>
      <c r="C1146" s="13"/>
      <c r="D1146" s="14"/>
      <c r="E1146" s="15"/>
      <c r="F1146" s="16" t="str">
        <f aca="false">IF(OR(C1146="",D1146=""),"",EDATE(D1146,IFERROR(INDEX(Paketler!$B$5:$B$24,MATCH(C1146,Paketler!$A$5:$A$24,0)),0))-1)</f>
        <v/>
      </c>
      <c r="G1146" s="17" t="str">
        <f aca="false">IF(F1146="","",IFERROR(INDEX(Paketler!$C$5:$C$24,MATCH(C1146,Paketler!$A$5:$A$24,0)),0))</f>
        <v/>
      </c>
      <c r="H1146" s="17" t="str">
        <f aca="false">IF(F1146="","",G1146-E1146)</f>
        <v/>
      </c>
      <c r="I1146" s="18" t="str">
        <f aca="true">IF(F1146="","",F1146-TODAY())</f>
        <v/>
      </c>
      <c r="J1146" s="19" t="str">
        <f aca="true">IF(F1146="","",IF(TODAY()&lt;D1146,"Başlamadı",IF(TODAY()&gt;F1146,"Bitti",IF(F1146-TODAY()&lt;=7,"Bitiyor","Aktif"))))</f>
        <v/>
      </c>
      <c r="K1146" s="19" t="str">
        <f aca="false">IF(OR(J1146="Aktif",J1146="Bitiyor"),F1146+ROW()/1000000,"")</f>
        <v/>
      </c>
    </row>
    <row r="1147" customFormat="false" ht="15" hidden="false" customHeight="false" outlineLevel="0" collapsed="false">
      <c r="A1147" s="12"/>
      <c r="B1147" s="12"/>
      <c r="C1147" s="13"/>
      <c r="D1147" s="14"/>
      <c r="E1147" s="15"/>
      <c r="F1147" s="16" t="str">
        <f aca="false">IF(OR(C1147="",D1147=""),"",EDATE(D1147,IFERROR(INDEX(Paketler!$B$5:$B$24,MATCH(C1147,Paketler!$A$5:$A$24,0)),0))-1)</f>
        <v/>
      </c>
      <c r="G1147" s="17" t="str">
        <f aca="false">IF(F1147="","",IFERROR(INDEX(Paketler!$C$5:$C$24,MATCH(C1147,Paketler!$A$5:$A$24,0)),0))</f>
        <v/>
      </c>
      <c r="H1147" s="17" t="str">
        <f aca="false">IF(F1147="","",G1147-E1147)</f>
        <v/>
      </c>
      <c r="I1147" s="18" t="str">
        <f aca="true">IF(F1147="","",F1147-TODAY())</f>
        <v/>
      </c>
      <c r="J1147" s="19" t="str">
        <f aca="true">IF(F1147="","",IF(TODAY()&lt;D1147,"Başlamadı",IF(TODAY()&gt;F1147,"Bitti",IF(F1147-TODAY()&lt;=7,"Bitiyor","Aktif"))))</f>
        <v/>
      </c>
      <c r="K1147" s="19" t="str">
        <f aca="false">IF(OR(J1147="Aktif",J1147="Bitiyor"),F1147+ROW()/1000000,"")</f>
        <v/>
      </c>
    </row>
    <row r="1148" customFormat="false" ht="15" hidden="false" customHeight="false" outlineLevel="0" collapsed="false">
      <c r="A1148" s="12"/>
      <c r="B1148" s="12"/>
      <c r="C1148" s="13"/>
      <c r="D1148" s="14"/>
      <c r="E1148" s="15"/>
      <c r="F1148" s="16" t="str">
        <f aca="false">IF(OR(C1148="",D1148=""),"",EDATE(D1148,IFERROR(INDEX(Paketler!$B$5:$B$24,MATCH(C1148,Paketler!$A$5:$A$24,0)),0))-1)</f>
        <v/>
      </c>
      <c r="G1148" s="17" t="str">
        <f aca="false">IF(F1148="","",IFERROR(INDEX(Paketler!$C$5:$C$24,MATCH(C1148,Paketler!$A$5:$A$24,0)),0))</f>
        <v/>
      </c>
      <c r="H1148" s="17" t="str">
        <f aca="false">IF(F1148="","",G1148-E1148)</f>
        <v/>
      </c>
      <c r="I1148" s="18" t="str">
        <f aca="true">IF(F1148="","",F1148-TODAY())</f>
        <v/>
      </c>
      <c r="J1148" s="19" t="str">
        <f aca="true">IF(F1148="","",IF(TODAY()&lt;D1148,"Başlamadı",IF(TODAY()&gt;F1148,"Bitti",IF(F1148-TODAY()&lt;=7,"Bitiyor","Aktif"))))</f>
        <v/>
      </c>
      <c r="K1148" s="19" t="str">
        <f aca="false">IF(OR(J1148="Aktif",J1148="Bitiyor"),F1148+ROW()/1000000,"")</f>
        <v/>
      </c>
    </row>
    <row r="1149" customFormat="false" ht="15" hidden="false" customHeight="false" outlineLevel="0" collapsed="false">
      <c r="A1149" s="12"/>
      <c r="B1149" s="12"/>
      <c r="C1149" s="13"/>
      <c r="D1149" s="14"/>
      <c r="E1149" s="15"/>
      <c r="F1149" s="16" t="str">
        <f aca="false">IF(OR(C1149="",D1149=""),"",EDATE(D1149,IFERROR(INDEX(Paketler!$B$5:$B$24,MATCH(C1149,Paketler!$A$5:$A$24,0)),0))-1)</f>
        <v/>
      </c>
      <c r="G1149" s="17" t="str">
        <f aca="false">IF(F1149="","",IFERROR(INDEX(Paketler!$C$5:$C$24,MATCH(C1149,Paketler!$A$5:$A$24,0)),0))</f>
        <v/>
      </c>
      <c r="H1149" s="17" t="str">
        <f aca="false">IF(F1149="","",G1149-E1149)</f>
        <v/>
      </c>
      <c r="I1149" s="18" t="str">
        <f aca="true">IF(F1149="","",F1149-TODAY())</f>
        <v/>
      </c>
      <c r="J1149" s="19" t="str">
        <f aca="true">IF(F1149="","",IF(TODAY()&lt;D1149,"Başlamadı",IF(TODAY()&gt;F1149,"Bitti",IF(F1149-TODAY()&lt;=7,"Bitiyor","Aktif"))))</f>
        <v/>
      </c>
      <c r="K1149" s="19" t="str">
        <f aca="false">IF(OR(J1149="Aktif",J1149="Bitiyor"),F1149+ROW()/1000000,"")</f>
        <v/>
      </c>
    </row>
    <row r="1150" customFormat="false" ht="15" hidden="false" customHeight="false" outlineLevel="0" collapsed="false">
      <c r="A1150" s="12"/>
      <c r="B1150" s="12"/>
      <c r="C1150" s="13"/>
      <c r="D1150" s="14"/>
      <c r="E1150" s="15"/>
      <c r="F1150" s="16" t="str">
        <f aca="false">IF(OR(C1150="",D1150=""),"",EDATE(D1150,IFERROR(INDEX(Paketler!$B$5:$B$24,MATCH(C1150,Paketler!$A$5:$A$24,0)),0))-1)</f>
        <v/>
      </c>
      <c r="G1150" s="17" t="str">
        <f aca="false">IF(F1150="","",IFERROR(INDEX(Paketler!$C$5:$C$24,MATCH(C1150,Paketler!$A$5:$A$24,0)),0))</f>
        <v/>
      </c>
      <c r="H1150" s="17" t="str">
        <f aca="false">IF(F1150="","",G1150-E1150)</f>
        <v/>
      </c>
      <c r="I1150" s="18" t="str">
        <f aca="true">IF(F1150="","",F1150-TODAY())</f>
        <v/>
      </c>
      <c r="J1150" s="19" t="str">
        <f aca="true">IF(F1150="","",IF(TODAY()&lt;D1150,"Başlamadı",IF(TODAY()&gt;F1150,"Bitti",IF(F1150-TODAY()&lt;=7,"Bitiyor","Aktif"))))</f>
        <v/>
      </c>
      <c r="K1150" s="19" t="str">
        <f aca="false">IF(OR(J1150="Aktif",J1150="Bitiyor"),F1150+ROW()/1000000,"")</f>
        <v/>
      </c>
    </row>
    <row r="1151" customFormat="false" ht="15" hidden="false" customHeight="false" outlineLevel="0" collapsed="false">
      <c r="A1151" s="12"/>
      <c r="B1151" s="12"/>
      <c r="C1151" s="13"/>
      <c r="D1151" s="14"/>
      <c r="E1151" s="15"/>
      <c r="F1151" s="16" t="str">
        <f aca="false">IF(OR(C1151="",D1151=""),"",EDATE(D1151,IFERROR(INDEX(Paketler!$B$5:$B$24,MATCH(C1151,Paketler!$A$5:$A$24,0)),0))-1)</f>
        <v/>
      </c>
      <c r="G1151" s="17" t="str">
        <f aca="false">IF(F1151="","",IFERROR(INDEX(Paketler!$C$5:$C$24,MATCH(C1151,Paketler!$A$5:$A$24,0)),0))</f>
        <v/>
      </c>
      <c r="H1151" s="17" t="str">
        <f aca="false">IF(F1151="","",G1151-E1151)</f>
        <v/>
      </c>
      <c r="I1151" s="18" t="str">
        <f aca="true">IF(F1151="","",F1151-TODAY())</f>
        <v/>
      </c>
      <c r="J1151" s="19" t="str">
        <f aca="true">IF(F1151="","",IF(TODAY()&lt;D1151,"Başlamadı",IF(TODAY()&gt;F1151,"Bitti",IF(F1151-TODAY()&lt;=7,"Bitiyor","Aktif"))))</f>
        <v/>
      </c>
      <c r="K1151" s="19" t="str">
        <f aca="false">IF(OR(J1151="Aktif",J1151="Bitiyor"),F1151+ROW()/1000000,"")</f>
        <v/>
      </c>
    </row>
    <row r="1152" customFormat="false" ht="15" hidden="false" customHeight="false" outlineLevel="0" collapsed="false">
      <c r="A1152" s="12"/>
      <c r="B1152" s="12"/>
      <c r="C1152" s="13"/>
      <c r="D1152" s="14"/>
      <c r="E1152" s="15"/>
      <c r="F1152" s="16" t="str">
        <f aca="false">IF(OR(C1152="",D1152=""),"",EDATE(D1152,IFERROR(INDEX(Paketler!$B$5:$B$24,MATCH(C1152,Paketler!$A$5:$A$24,0)),0))-1)</f>
        <v/>
      </c>
      <c r="G1152" s="17" t="str">
        <f aca="false">IF(F1152="","",IFERROR(INDEX(Paketler!$C$5:$C$24,MATCH(C1152,Paketler!$A$5:$A$24,0)),0))</f>
        <v/>
      </c>
      <c r="H1152" s="17" t="str">
        <f aca="false">IF(F1152="","",G1152-E1152)</f>
        <v/>
      </c>
      <c r="I1152" s="18" t="str">
        <f aca="true">IF(F1152="","",F1152-TODAY())</f>
        <v/>
      </c>
      <c r="J1152" s="19" t="str">
        <f aca="true">IF(F1152="","",IF(TODAY()&lt;D1152,"Başlamadı",IF(TODAY()&gt;F1152,"Bitti",IF(F1152-TODAY()&lt;=7,"Bitiyor","Aktif"))))</f>
        <v/>
      </c>
      <c r="K1152" s="19" t="str">
        <f aca="false">IF(OR(J1152="Aktif",J1152="Bitiyor"),F1152+ROW()/1000000,"")</f>
        <v/>
      </c>
    </row>
    <row r="1153" customFormat="false" ht="15" hidden="false" customHeight="false" outlineLevel="0" collapsed="false">
      <c r="A1153" s="12"/>
      <c r="B1153" s="12"/>
      <c r="C1153" s="13"/>
      <c r="D1153" s="14"/>
      <c r="E1153" s="15"/>
      <c r="F1153" s="16" t="str">
        <f aca="false">IF(OR(C1153="",D1153=""),"",EDATE(D1153,IFERROR(INDEX(Paketler!$B$5:$B$24,MATCH(C1153,Paketler!$A$5:$A$24,0)),0))-1)</f>
        <v/>
      </c>
      <c r="G1153" s="17" t="str">
        <f aca="false">IF(F1153="","",IFERROR(INDEX(Paketler!$C$5:$C$24,MATCH(C1153,Paketler!$A$5:$A$24,0)),0))</f>
        <v/>
      </c>
      <c r="H1153" s="17" t="str">
        <f aca="false">IF(F1153="","",G1153-E1153)</f>
        <v/>
      </c>
      <c r="I1153" s="18" t="str">
        <f aca="true">IF(F1153="","",F1153-TODAY())</f>
        <v/>
      </c>
      <c r="J1153" s="19" t="str">
        <f aca="true">IF(F1153="","",IF(TODAY()&lt;D1153,"Başlamadı",IF(TODAY()&gt;F1153,"Bitti",IF(F1153-TODAY()&lt;=7,"Bitiyor","Aktif"))))</f>
        <v/>
      </c>
      <c r="K1153" s="19" t="str">
        <f aca="false">IF(OR(J1153="Aktif",J1153="Bitiyor"),F1153+ROW()/1000000,"")</f>
        <v/>
      </c>
    </row>
    <row r="1154" customFormat="false" ht="15" hidden="false" customHeight="false" outlineLevel="0" collapsed="false">
      <c r="A1154" s="12"/>
      <c r="B1154" s="12"/>
      <c r="C1154" s="13"/>
      <c r="D1154" s="14"/>
      <c r="E1154" s="15"/>
      <c r="F1154" s="16" t="str">
        <f aca="false">IF(OR(C1154="",D1154=""),"",EDATE(D1154,IFERROR(INDEX(Paketler!$B$5:$B$24,MATCH(C1154,Paketler!$A$5:$A$24,0)),0))-1)</f>
        <v/>
      </c>
      <c r="G1154" s="17" t="str">
        <f aca="false">IF(F1154="","",IFERROR(INDEX(Paketler!$C$5:$C$24,MATCH(C1154,Paketler!$A$5:$A$24,0)),0))</f>
        <v/>
      </c>
      <c r="H1154" s="17" t="str">
        <f aca="false">IF(F1154="","",G1154-E1154)</f>
        <v/>
      </c>
      <c r="I1154" s="18" t="str">
        <f aca="true">IF(F1154="","",F1154-TODAY())</f>
        <v/>
      </c>
      <c r="J1154" s="19" t="str">
        <f aca="true">IF(F1154="","",IF(TODAY()&lt;D1154,"Başlamadı",IF(TODAY()&gt;F1154,"Bitti",IF(F1154-TODAY()&lt;=7,"Bitiyor","Aktif"))))</f>
        <v/>
      </c>
      <c r="K1154" s="19" t="str">
        <f aca="false">IF(OR(J1154="Aktif",J1154="Bitiyor"),F1154+ROW()/1000000,"")</f>
        <v/>
      </c>
    </row>
    <row r="1155" customFormat="false" ht="15" hidden="false" customHeight="false" outlineLevel="0" collapsed="false">
      <c r="A1155" s="12"/>
      <c r="B1155" s="12"/>
      <c r="C1155" s="13"/>
      <c r="D1155" s="14"/>
      <c r="E1155" s="15"/>
      <c r="F1155" s="16" t="str">
        <f aca="false">IF(OR(C1155="",D1155=""),"",EDATE(D1155,IFERROR(INDEX(Paketler!$B$5:$B$24,MATCH(C1155,Paketler!$A$5:$A$24,0)),0))-1)</f>
        <v/>
      </c>
      <c r="G1155" s="17" t="str">
        <f aca="false">IF(F1155="","",IFERROR(INDEX(Paketler!$C$5:$C$24,MATCH(C1155,Paketler!$A$5:$A$24,0)),0))</f>
        <v/>
      </c>
      <c r="H1155" s="17" t="str">
        <f aca="false">IF(F1155="","",G1155-E1155)</f>
        <v/>
      </c>
      <c r="I1155" s="18" t="str">
        <f aca="true">IF(F1155="","",F1155-TODAY())</f>
        <v/>
      </c>
      <c r="J1155" s="19" t="str">
        <f aca="true">IF(F1155="","",IF(TODAY()&lt;D1155,"Başlamadı",IF(TODAY()&gt;F1155,"Bitti",IF(F1155-TODAY()&lt;=7,"Bitiyor","Aktif"))))</f>
        <v/>
      </c>
      <c r="K1155" s="19" t="str">
        <f aca="false">IF(OR(J1155="Aktif",J1155="Bitiyor"),F1155+ROW()/1000000,"")</f>
        <v/>
      </c>
    </row>
    <row r="1156" customFormat="false" ht="15" hidden="false" customHeight="false" outlineLevel="0" collapsed="false">
      <c r="A1156" s="12"/>
      <c r="B1156" s="12"/>
      <c r="C1156" s="13"/>
      <c r="D1156" s="14"/>
      <c r="E1156" s="15"/>
      <c r="F1156" s="16" t="str">
        <f aca="false">IF(OR(C1156="",D1156=""),"",EDATE(D1156,IFERROR(INDEX(Paketler!$B$5:$B$24,MATCH(C1156,Paketler!$A$5:$A$24,0)),0))-1)</f>
        <v/>
      </c>
      <c r="G1156" s="17" t="str">
        <f aca="false">IF(F1156="","",IFERROR(INDEX(Paketler!$C$5:$C$24,MATCH(C1156,Paketler!$A$5:$A$24,0)),0))</f>
        <v/>
      </c>
      <c r="H1156" s="17" t="str">
        <f aca="false">IF(F1156="","",G1156-E1156)</f>
        <v/>
      </c>
      <c r="I1156" s="18" t="str">
        <f aca="true">IF(F1156="","",F1156-TODAY())</f>
        <v/>
      </c>
      <c r="J1156" s="19" t="str">
        <f aca="true">IF(F1156="","",IF(TODAY()&lt;D1156,"Başlamadı",IF(TODAY()&gt;F1156,"Bitti",IF(F1156-TODAY()&lt;=7,"Bitiyor","Aktif"))))</f>
        <v/>
      </c>
      <c r="K1156" s="19" t="str">
        <f aca="false">IF(OR(J1156="Aktif",J1156="Bitiyor"),F1156+ROW()/1000000,"")</f>
        <v/>
      </c>
    </row>
    <row r="1157" customFormat="false" ht="15" hidden="false" customHeight="false" outlineLevel="0" collapsed="false">
      <c r="A1157" s="12"/>
      <c r="B1157" s="12"/>
      <c r="C1157" s="13"/>
      <c r="D1157" s="14"/>
      <c r="E1157" s="15"/>
      <c r="F1157" s="16" t="str">
        <f aca="false">IF(OR(C1157="",D1157=""),"",EDATE(D1157,IFERROR(INDEX(Paketler!$B$5:$B$24,MATCH(C1157,Paketler!$A$5:$A$24,0)),0))-1)</f>
        <v/>
      </c>
      <c r="G1157" s="17" t="str">
        <f aca="false">IF(F1157="","",IFERROR(INDEX(Paketler!$C$5:$C$24,MATCH(C1157,Paketler!$A$5:$A$24,0)),0))</f>
        <v/>
      </c>
      <c r="H1157" s="17" t="str">
        <f aca="false">IF(F1157="","",G1157-E1157)</f>
        <v/>
      </c>
      <c r="I1157" s="18" t="str">
        <f aca="true">IF(F1157="","",F1157-TODAY())</f>
        <v/>
      </c>
      <c r="J1157" s="19" t="str">
        <f aca="true">IF(F1157="","",IF(TODAY()&lt;D1157,"Başlamadı",IF(TODAY()&gt;F1157,"Bitti",IF(F1157-TODAY()&lt;=7,"Bitiyor","Aktif"))))</f>
        <v/>
      </c>
      <c r="K1157" s="19" t="str">
        <f aca="false">IF(OR(J1157="Aktif",J1157="Bitiyor"),F1157+ROW()/1000000,"")</f>
        <v/>
      </c>
    </row>
    <row r="1158" customFormat="false" ht="15" hidden="false" customHeight="false" outlineLevel="0" collapsed="false">
      <c r="A1158" s="12"/>
      <c r="B1158" s="12"/>
      <c r="C1158" s="13"/>
      <c r="D1158" s="14"/>
      <c r="E1158" s="15"/>
      <c r="F1158" s="16" t="str">
        <f aca="false">IF(OR(C1158="",D1158=""),"",EDATE(D1158,IFERROR(INDEX(Paketler!$B$5:$B$24,MATCH(C1158,Paketler!$A$5:$A$24,0)),0))-1)</f>
        <v/>
      </c>
      <c r="G1158" s="17" t="str">
        <f aca="false">IF(F1158="","",IFERROR(INDEX(Paketler!$C$5:$C$24,MATCH(C1158,Paketler!$A$5:$A$24,0)),0))</f>
        <v/>
      </c>
      <c r="H1158" s="17" t="str">
        <f aca="false">IF(F1158="","",G1158-E1158)</f>
        <v/>
      </c>
      <c r="I1158" s="18" t="str">
        <f aca="true">IF(F1158="","",F1158-TODAY())</f>
        <v/>
      </c>
      <c r="J1158" s="19" t="str">
        <f aca="true">IF(F1158="","",IF(TODAY()&lt;D1158,"Başlamadı",IF(TODAY()&gt;F1158,"Bitti",IF(F1158-TODAY()&lt;=7,"Bitiyor","Aktif"))))</f>
        <v/>
      </c>
      <c r="K1158" s="19" t="str">
        <f aca="false">IF(OR(J1158="Aktif",J1158="Bitiyor"),F1158+ROW()/1000000,"")</f>
        <v/>
      </c>
    </row>
    <row r="1159" customFormat="false" ht="15" hidden="false" customHeight="false" outlineLevel="0" collapsed="false">
      <c r="A1159" s="12"/>
      <c r="B1159" s="12"/>
      <c r="C1159" s="13"/>
      <c r="D1159" s="14"/>
      <c r="E1159" s="15"/>
      <c r="F1159" s="16" t="str">
        <f aca="false">IF(OR(C1159="",D1159=""),"",EDATE(D1159,IFERROR(INDEX(Paketler!$B$5:$B$24,MATCH(C1159,Paketler!$A$5:$A$24,0)),0))-1)</f>
        <v/>
      </c>
      <c r="G1159" s="17" t="str">
        <f aca="false">IF(F1159="","",IFERROR(INDEX(Paketler!$C$5:$C$24,MATCH(C1159,Paketler!$A$5:$A$24,0)),0))</f>
        <v/>
      </c>
      <c r="H1159" s="17" t="str">
        <f aca="false">IF(F1159="","",G1159-E1159)</f>
        <v/>
      </c>
      <c r="I1159" s="18" t="str">
        <f aca="true">IF(F1159="","",F1159-TODAY())</f>
        <v/>
      </c>
      <c r="J1159" s="19" t="str">
        <f aca="true">IF(F1159="","",IF(TODAY()&lt;D1159,"Başlamadı",IF(TODAY()&gt;F1159,"Bitti",IF(F1159-TODAY()&lt;=7,"Bitiyor","Aktif"))))</f>
        <v/>
      </c>
      <c r="K1159" s="19" t="str">
        <f aca="false">IF(OR(J1159="Aktif",J1159="Bitiyor"),F1159+ROW()/1000000,"")</f>
        <v/>
      </c>
    </row>
    <row r="1160" customFormat="false" ht="15" hidden="false" customHeight="false" outlineLevel="0" collapsed="false">
      <c r="A1160" s="12"/>
      <c r="B1160" s="12"/>
      <c r="C1160" s="13"/>
      <c r="D1160" s="14"/>
      <c r="E1160" s="15"/>
      <c r="F1160" s="16" t="str">
        <f aca="false">IF(OR(C1160="",D1160=""),"",EDATE(D1160,IFERROR(INDEX(Paketler!$B$5:$B$24,MATCH(C1160,Paketler!$A$5:$A$24,0)),0))-1)</f>
        <v/>
      </c>
      <c r="G1160" s="17" t="str">
        <f aca="false">IF(F1160="","",IFERROR(INDEX(Paketler!$C$5:$C$24,MATCH(C1160,Paketler!$A$5:$A$24,0)),0))</f>
        <v/>
      </c>
      <c r="H1160" s="17" t="str">
        <f aca="false">IF(F1160="","",G1160-E1160)</f>
        <v/>
      </c>
      <c r="I1160" s="18" t="str">
        <f aca="true">IF(F1160="","",F1160-TODAY())</f>
        <v/>
      </c>
      <c r="J1160" s="19" t="str">
        <f aca="true">IF(F1160="","",IF(TODAY()&lt;D1160,"Başlamadı",IF(TODAY()&gt;F1160,"Bitti",IF(F1160-TODAY()&lt;=7,"Bitiyor","Aktif"))))</f>
        <v/>
      </c>
      <c r="K1160" s="19" t="str">
        <f aca="false">IF(OR(J1160="Aktif",J1160="Bitiyor"),F1160+ROW()/1000000,"")</f>
        <v/>
      </c>
    </row>
    <row r="1161" customFormat="false" ht="15" hidden="false" customHeight="false" outlineLevel="0" collapsed="false">
      <c r="A1161" s="12"/>
      <c r="B1161" s="12"/>
      <c r="C1161" s="13"/>
      <c r="D1161" s="14"/>
      <c r="E1161" s="15"/>
      <c r="F1161" s="16" t="str">
        <f aca="false">IF(OR(C1161="",D1161=""),"",EDATE(D1161,IFERROR(INDEX(Paketler!$B$5:$B$24,MATCH(C1161,Paketler!$A$5:$A$24,0)),0))-1)</f>
        <v/>
      </c>
      <c r="G1161" s="17" t="str">
        <f aca="false">IF(F1161="","",IFERROR(INDEX(Paketler!$C$5:$C$24,MATCH(C1161,Paketler!$A$5:$A$24,0)),0))</f>
        <v/>
      </c>
      <c r="H1161" s="17" t="str">
        <f aca="false">IF(F1161="","",G1161-E1161)</f>
        <v/>
      </c>
      <c r="I1161" s="18" t="str">
        <f aca="true">IF(F1161="","",F1161-TODAY())</f>
        <v/>
      </c>
      <c r="J1161" s="19" t="str">
        <f aca="true">IF(F1161="","",IF(TODAY()&lt;D1161,"Başlamadı",IF(TODAY()&gt;F1161,"Bitti",IF(F1161-TODAY()&lt;=7,"Bitiyor","Aktif"))))</f>
        <v/>
      </c>
      <c r="K1161" s="19" t="str">
        <f aca="false">IF(OR(J1161="Aktif",J1161="Bitiyor"),F1161+ROW()/1000000,"")</f>
        <v/>
      </c>
    </row>
    <row r="1162" customFormat="false" ht="15" hidden="false" customHeight="false" outlineLevel="0" collapsed="false">
      <c r="A1162" s="12"/>
      <c r="B1162" s="12"/>
      <c r="C1162" s="13"/>
      <c r="D1162" s="14"/>
      <c r="E1162" s="15"/>
      <c r="F1162" s="16" t="str">
        <f aca="false">IF(OR(C1162="",D1162=""),"",EDATE(D1162,IFERROR(INDEX(Paketler!$B$5:$B$24,MATCH(C1162,Paketler!$A$5:$A$24,0)),0))-1)</f>
        <v/>
      </c>
      <c r="G1162" s="17" t="str">
        <f aca="false">IF(F1162="","",IFERROR(INDEX(Paketler!$C$5:$C$24,MATCH(C1162,Paketler!$A$5:$A$24,0)),0))</f>
        <v/>
      </c>
      <c r="H1162" s="17" t="str">
        <f aca="false">IF(F1162="","",G1162-E1162)</f>
        <v/>
      </c>
      <c r="I1162" s="18" t="str">
        <f aca="true">IF(F1162="","",F1162-TODAY())</f>
        <v/>
      </c>
      <c r="J1162" s="19" t="str">
        <f aca="true">IF(F1162="","",IF(TODAY()&lt;D1162,"Başlamadı",IF(TODAY()&gt;F1162,"Bitti",IF(F1162-TODAY()&lt;=7,"Bitiyor","Aktif"))))</f>
        <v/>
      </c>
      <c r="K1162" s="19" t="str">
        <f aca="false">IF(OR(J1162="Aktif",J1162="Bitiyor"),F1162+ROW()/1000000,"")</f>
        <v/>
      </c>
    </row>
    <row r="1163" customFormat="false" ht="15" hidden="false" customHeight="false" outlineLevel="0" collapsed="false">
      <c r="A1163" s="12"/>
      <c r="B1163" s="12"/>
      <c r="C1163" s="13"/>
      <c r="D1163" s="14"/>
      <c r="E1163" s="15"/>
      <c r="F1163" s="16" t="str">
        <f aca="false">IF(OR(C1163="",D1163=""),"",EDATE(D1163,IFERROR(INDEX(Paketler!$B$5:$B$24,MATCH(C1163,Paketler!$A$5:$A$24,0)),0))-1)</f>
        <v/>
      </c>
      <c r="G1163" s="17" t="str">
        <f aca="false">IF(F1163="","",IFERROR(INDEX(Paketler!$C$5:$C$24,MATCH(C1163,Paketler!$A$5:$A$24,0)),0))</f>
        <v/>
      </c>
      <c r="H1163" s="17" t="str">
        <f aca="false">IF(F1163="","",G1163-E1163)</f>
        <v/>
      </c>
      <c r="I1163" s="18" t="str">
        <f aca="true">IF(F1163="","",F1163-TODAY())</f>
        <v/>
      </c>
      <c r="J1163" s="19" t="str">
        <f aca="true">IF(F1163="","",IF(TODAY()&lt;D1163,"Başlamadı",IF(TODAY()&gt;F1163,"Bitti",IF(F1163-TODAY()&lt;=7,"Bitiyor","Aktif"))))</f>
        <v/>
      </c>
      <c r="K1163" s="19" t="str">
        <f aca="false">IF(OR(J1163="Aktif",J1163="Bitiyor"),F1163+ROW()/1000000,"")</f>
        <v/>
      </c>
    </row>
    <row r="1164" customFormat="false" ht="15" hidden="false" customHeight="false" outlineLevel="0" collapsed="false">
      <c r="A1164" s="12"/>
      <c r="B1164" s="12"/>
      <c r="C1164" s="13"/>
      <c r="D1164" s="14"/>
      <c r="E1164" s="15"/>
      <c r="F1164" s="16" t="str">
        <f aca="false">IF(OR(C1164="",D1164=""),"",EDATE(D1164,IFERROR(INDEX(Paketler!$B$5:$B$24,MATCH(C1164,Paketler!$A$5:$A$24,0)),0))-1)</f>
        <v/>
      </c>
      <c r="G1164" s="17" t="str">
        <f aca="false">IF(F1164="","",IFERROR(INDEX(Paketler!$C$5:$C$24,MATCH(C1164,Paketler!$A$5:$A$24,0)),0))</f>
        <v/>
      </c>
      <c r="H1164" s="17" t="str">
        <f aca="false">IF(F1164="","",G1164-E1164)</f>
        <v/>
      </c>
      <c r="I1164" s="18" t="str">
        <f aca="true">IF(F1164="","",F1164-TODAY())</f>
        <v/>
      </c>
      <c r="J1164" s="19" t="str">
        <f aca="true">IF(F1164="","",IF(TODAY()&lt;D1164,"Başlamadı",IF(TODAY()&gt;F1164,"Bitti",IF(F1164-TODAY()&lt;=7,"Bitiyor","Aktif"))))</f>
        <v/>
      </c>
      <c r="K1164" s="19" t="str">
        <f aca="false">IF(OR(J1164="Aktif",J1164="Bitiyor"),F1164+ROW()/1000000,"")</f>
        <v/>
      </c>
    </row>
    <row r="1165" customFormat="false" ht="15" hidden="false" customHeight="false" outlineLevel="0" collapsed="false">
      <c r="A1165" s="12"/>
      <c r="B1165" s="12"/>
      <c r="C1165" s="13"/>
      <c r="D1165" s="14"/>
      <c r="E1165" s="15"/>
      <c r="F1165" s="16" t="str">
        <f aca="false">IF(OR(C1165="",D1165=""),"",EDATE(D1165,IFERROR(INDEX(Paketler!$B$5:$B$24,MATCH(C1165,Paketler!$A$5:$A$24,0)),0))-1)</f>
        <v/>
      </c>
      <c r="G1165" s="17" t="str">
        <f aca="false">IF(F1165="","",IFERROR(INDEX(Paketler!$C$5:$C$24,MATCH(C1165,Paketler!$A$5:$A$24,0)),0))</f>
        <v/>
      </c>
      <c r="H1165" s="17" t="str">
        <f aca="false">IF(F1165="","",G1165-E1165)</f>
        <v/>
      </c>
      <c r="I1165" s="18" t="str">
        <f aca="true">IF(F1165="","",F1165-TODAY())</f>
        <v/>
      </c>
      <c r="J1165" s="19" t="str">
        <f aca="true">IF(F1165="","",IF(TODAY()&lt;D1165,"Başlamadı",IF(TODAY()&gt;F1165,"Bitti",IF(F1165-TODAY()&lt;=7,"Bitiyor","Aktif"))))</f>
        <v/>
      </c>
      <c r="K1165" s="19" t="str">
        <f aca="false">IF(OR(J1165="Aktif",J1165="Bitiyor"),F1165+ROW()/1000000,"")</f>
        <v/>
      </c>
    </row>
    <row r="1166" customFormat="false" ht="15" hidden="false" customHeight="false" outlineLevel="0" collapsed="false">
      <c r="A1166" s="12"/>
      <c r="B1166" s="12"/>
      <c r="C1166" s="13"/>
      <c r="D1166" s="14"/>
      <c r="E1166" s="15"/>
      <c r="F1166" s="16" t="str">
        <f aca="false">IF(OR(C1166="",D1166=""),"",EDATE(D1166,IFERROR(INDEX(Paketler!$B$5:$B$24,MATCH(C1166,Paketler!$A$5:$A$24,0)),0))-1)</f>
        <v/>
      </c>
      <c r="G1166" s="17" t="str">
        <f aca="false">IF(F1166="","",IFERROR(INDEX(Paketler!$C$5:$C$24,MATCH(C1166,Paketler!$A$5:$A$24,0)),0))</f>
        <v/>
      </c>
      <c r="H1166" s="17" t="str">
        <f aca="false">IF(F1166="","",G1166-E1166)</f>
        <v/>
      </c>
      <c r="I1166" s="18" t="str">
        <f aca="true">IF(F1166="","",F1166-TODAY())</f>
        <v/>
      </c>
      <c r="J1166" s="19" t="str">
        <f aca="true">IF(F1166="","",IF(TODAY()&lt;D1166,"Başlamadı",IF(TODAY()&gt;F1166,"Bitti",IF(F1166-TODAY()&lt;=7,"Bitiyor","Aktif"))))</f>
        <v/>
      </c>
      <c r="K1166" s="19" t="str">
        <f aca="false">IF(OR(J1166="Aktif",J1166="Bitiyor"),F1166+ROW()/1000000,"")</f>
        <v/>
      </c>
    </row>
    <row r="1167" customFormat="false" ht="15" hidden="false" customHeight="false" outlineLevel="0" collapsed="false">
      <c r="A1167" s="12"/>
      <c r="B1167" s="12"/>
      <c r="C1167" s="13"/>
      <c r="D1167" s="14"/>
      <c r="E1167" s="15"/>
      <c r="F1167" s="16" t="str">
        <f aca="false">IF(OR(C1167="",D1167=""),"",EDATE(D1167,IFERROR(INDEX(Paketler!$B$5:$B$24,MATCH(C1167,Paketler!$A$5:$A$24,0)),0))-1)</f>
        <v/>
      </c>
      <c r="G1167" s="17" t="str">
        <f aca="false">IF(F1167="","",IFERROR(INDEX(Paketler!$C$5:$C$24,MATCH(C1167,Paketler!$A$5:$A$24,0)),0))</f>
        <v/>
      </c>
      <c r="H1167" s="17" t="str">
        <f aca="false">IF(F1167="","",G1167-E1167)</f>
        <v/>
      </c>
      <c r="I1167" s="18" t="str">
        <f aca="true">IF(F1167="","",F1167-TODAY())</f>
        <v/>
      </c>
      <c r="J1167" s="19" t="str">
        <f aca="true">IF(F1167="","",IF(TODAY()&lt;D1167,"Başlamadı",IF(TODAY()&gt;F1167,"Bitti",IF(F1167-TODAY()&lt;=7,"Bitiyor","Aktif"))))</f>
        <v/>
      </c>
      <c r="K1167" s="19" t="str">
        <f aca="false">IF(OR(J1167="Aktif",J1167="Bitiyor"),F1167+ROW()/1000000,"")</f>
        <v/>
      </c>
    </row>
    <row r="1168" customFormat="false" ht="15" hidden="false" customHeight="false" outlineLevel="0" collapsed="false">
      <c r="A1168" s="12"/>
      <c r="B1168" s="12"/>
      <c r="C1168" s="13"/>
      <c r="D1168" s="14"/>
      <c r="E1168" s="15"/>
      <c r="F1168" s="16" t="str">
        <f aca="false">IF(OR(C1168="",D1168=""),"",EDATE(D1168,IFERROR(INDEX(Paketler!$B$5:$B$24,MATCH(C1168,Paketler!$A$5:$A$24,0)),0))-1)</f>
        <v/>
      </c>
      <c r="G1168" s="17" t="str">
        <f aca="false">IF(F1168="","",IFERROR(INDEX(Paketler!$C$5:$C$24,MATCH(C1168,Paketler!$A$5:$A$24,0)),0))</f>
        <v/>
      </c>
      <c r="H1168" s="17" t="str">
        <f aca="false">IF(F1168="","",G1168-E1168)</f>
        <v/>
      </c>
      <c r="I1168" s="18" t="str">
        <f aca="true">IF(F1168="","",F1168-TODAY())</f>
        <v/>
      </c>
      <c r="J1168" s="19" t="str">
        <f aca="true">IF(F1168="","",IF(TODAY()&lt;D1168,"Başlamadı",IF(TODAY()&gt;F1168,"Bitti",IF(F1168-TODAY()&lt;=7,"Bitiyor","Aktif"))))</f>
        <v/>
      </c>
      <c r="K1168" s="19" t="str">
        <f aca="false">IF(OR(J1168="Aktif",J1168="Bitiyor"),F1168+ROW()/1000000,"")</f>
        <v/>
      </c>
    </row>
    <row r="1169" customFormat="false" ht="15" hidden="false" customHeight="false" outlineLevel="0" collapsed="false">
      <c r="A1169" s="12"/>
      <c r="B1169" s="12"/>
      <c r="C1169" s="13"/>
      <c r="D1169" s="14"/>
      <c r="E1169" s="15"/>
      <c r="F1169" s="16" t="str">
        <f aca="false">IF(OR(C1169="",D1169=""),"",EDATE(D1169,IFERROR(INDEX(Paketler!$B$5:$B$24,MATCH(C1169,Paketler!$A$5:$A$24,0)),0))-1)</f>
        <v/>
      </c>
      <c r="G1169" s="17" t="str">
        <f aca="false">IF(F1169="","",IFERROR(INDEX(Paketler!$C$5:$C$24,MATCH(C1169,Paketler!$A$5:$A$24,0)),0))</f>
        <v/>
      </c>
      <c r="H1169" s="17" t="str">
        <f aca="false">IF(F1169="","",G1169-E1169)</f>
        <v/>
      </c>
      <c r="I1169" s="18" t="str">
        <f aca="true">IF(F1169="","",F1169-TODAY())</f>
        <v/>
      </c>
      <c r="J1169" s="19" t="str">
        <f aca="true">IF(F1169="","",IF(TODAY()&lt;D1169,"Başlamadı",IF(TODAY()&gt;F1169,"Bitti",IF(F1169-TODAY()&lt;=7,"Bitiyor","Aktif"))))</f>
        <v/>
      </c>
      <c r="K1169" s="19" t="str">
        <f aca="false">IF(OR(J1169="Aktif",J1169="Bitiyor"),F1169+ROW()/1000000,"")</f>
        <v/>
      </c>
    </row>
    <row r="1170" customFormat="false" ht="15" hidden="false" customHeight="false" outlineLevel="0" collapsed="false">
      <c r="A1170" s="12"/>
      <c r="B1170" s="12"/>
      <c r="C1170" s="13"/>
      <c r="D1170" s="14"/>
      <c r="E1170" s="15"/>
      <c r="F1170" s="16" t="str">
        <f aca="false">IF(OR(C1170="",D1170=""),"",EDATE(D1170,IFERROR(INDEX(Paketler!$B$5:$B$24,MATCH(C1170,Paketler!$A$5:$A$24,0)),0))-1)</f>
        <v/>
      </c>
      <c r="G1170" s="17" t="str">
        <f aca="false">IF(F1170="","",IFERROR(INDEX(Paketler!$C$5:$C$24,MATCH(C1170,Paketler!$A$5:$A$24,0)),0))</f>
        <v/>
      </c>
      <c r="H1170" s="17" t="str">
        <f aca="false">IF(F1170="","",G1170-E1170)</f>
        <v/>
      </c>
      <c r="I1170" s="18" t="str">
        <f aca="true">IF(F1170="","",F1170-TODAY())</f>
        <v/>
      </c>
      <c r="J1170" s="19" t="str">
        <f aca="true">IF(F1170="","",IF(TODAY()&lt;D1170,"Başlamadı",IF(TODAY()&gt;F1170,"Bitti",IF(F1170-TODAY()&lt;=7,"Bitiyor","Aktif"))))</f>
        <v/>
      </c>
      <c r="K1170" s="19" t="str">
        <f aca="false">IF(OR(J1170="Aktif",J1170="Bitiyor"),F1170+ROW()/1000000,"")</f>
        <v/>
      </c>
    </row>
    <row r="1171" customFormat="false" ht="15" hidden="false" customHeight="false" outlineLevel="0" collapsed="false">
      <c r="A1171" s="12"/>
      <c r="B1171" s="12"/>
      <c r="C1171" s="13"/>
      <c r="D1171" s="14"/>
      <c r="E1171" s="15"/>
      <c r="F1171" s="16" t="str">
        <f aca="false">IF(OR(C1171="",D1171=""),"",EDATE(D1171,IFERROR(INDEX(Paketler!$B$5:$B$24,MATCH(C1171,Paketler!$A$5:$A$24,0)),0))-1)</f>
        <v/>
      </c>
      <c r="G1171" s="17" t="str">
        <f aca="false">IF(F1171="","",IFERROR(INDEX(Paketler!$C$5:$C$24,MATCH(C1171,Paketler!$A$5:$A$24,0)),0))</f>
        <v/>
      </c>
      <c r="H1171" s="17" t="str">
        <f aca="false">IF(F1171="","",G1171-E1171)</f>
        <v/>
      </c>
      <c r="I1171" s="18" t="str">
        <f aca="true">IF(F1171="","",F1171-TODAY())</f>
        <v/>
      </c>
      <c r="J1171" s="19" t="str">
        <f aca="true">IF(F1171="","",IF(TODAY()&lt;D1171,"Başlamadı",IF(TODAY()&gt;F1171,"Bitti",IF(F1171-TODAY()&lt;=7,"Bitiyor","Aktif"))))</f>
        <v/>
      </c>
      <c r="K1171" s="19" t="str">
        <f aca="false">IF(OR(J1171="Aktif",J1171="Bitiyor"),F1171+ROW()/1000000,"")</f>
        <v/>
      </c>
    </row>
    <row r="1172" customFormat="false" ht="15" hidden="false" customHeight="false" outlineLevel="0" collapsed="false">
      <c r="A1172" s="12"/>
      <c r="B1172" s="12"/>
      <c r="C1172" s="13"/>
      <c r="D1172" s="14"/>
      <c r="E1172" s="15"/>
      <c r="F1172" s="16" t="str">
        <f aca="false">IF(OR(C1172="",D1172=""),"",EDATE(D1172,IFERROR(INDEX(Paketler!$B$5:$B$24,MATCH(C1172,Paketler!$A$5:$A$24,0)),0))-1)</f>
        <v/>
      </c>
      <c r="G1172" s="17" t="str">
        <f aca="false">IF(F1172="","",IFERROR(INDEX(Paketler!$C$5:$C$24,MATCH(C1172,Paketler!$A$5:$A$24,0)),0))</f>
        <v/>
      </c>
      <c r="H1172" s="17" t="str">
        <f aca="false">IF(F1172="","",G1172-E1172)</f>
        <v/>
      </c>
      <c r="I1172" s="18" t="str">
        <f aca="true">IF(F1172="","",F1172-TODAY())</f>
        <v/>
      </c>
      <c r="J1172" s="19" t="str">
        <f aca="true">IF(F1172="","",IF(TODAY()&lt;D1172,"Başlamadı",IF(TODAY()&gt;F1172,"Bitti",IF(F1172-TODAY()&lt;=7,"Bitiyor","Aktif"))))</f>
        <v/>
      </c>
      <c r="K1172" s="19" t="str">
        <f aca="false">IF(OR(J1172="Aktif",J1172="Bitiyor"),F1172+ROW()/1000000,"")</f>
        <v/>
      </c>
    </row>
    <row r="1173" customFormat="false" ht="15" hidden="false" customHeight="false" outlineLevel="0" collapsed="false">
      <c r="A1173" s="12"/>
      <c r="B1173" s="12"/>
      <c r="C1173" s="13"/>
      <c r="D1173" s="14"/>
      <c r="E1173" s="15"/>
      <c r="F1173" s="16" t="str">
        <f aca="false">IF(OR(C1173="",D1173=""),"",EDATE(D1173,IFERROR(INDEX(Paketler!$B$5:$B$24,MATCH(C1173,Paketler!$A$5:$A$24,0)),0))-1)</f>
        <v/>
      </c>
      <c r="G1173" s="17" t="str">
        <f aca="false">IF(F1173="","",IFERROR(INDEX(Paketler!$C$5:$C$24,MATCH(C1173,Paketler!$A$5:$A$24,0)),0))</f>
        <v/>
      </c>
      <c r="H1173" s="17" t="str">
        <f aca="false">IF(F1173="","",G1173-E1173)</f>
        <v/>
      </c>
      <c r="I1173" s="18" t="str">
        <f aca="true">IF(F1173="","",F1173-TODAY())</f>
        <v/>
      </c>
      <c r="J1173" s="19" t="str">
        <f aca="true">IF(F1173="","",IF(TODAY()&lt;D1173,"Başlamadı",IF(TODAY()&gt;F1173,"Bitti",IF(F1173-TODAY()&lt;=7,"Bitiyor","Aktif"))))</f>
        <v/>
      </c>
      <c r="K1173" s="19" t="str">
        <f aca="false">IF(OR(J1173="Aktif",J1173="Bitiyor"),F1173+ROW()/1000000,"")</f>
        <v/>
      </c>
    </row>
    <row r="1174" customFormat="false" ht="15" hidden="false" customHeight="false" outlineLevel="0" collapsed="false">
      <c r="A1174" s="12"/>
      <c r="B1174" s="12"/>
      <c r="C1174" s="13"/>
      <c r="D1174" s="14"/>
      <c r="E1174" s="15"/>
      <c r="F1174" s="16" t="str">
        <f aca="false">IF(OR(C1174="",D1174=""),"",EDATE(D1174,IFERROR(INDEX(Paketler!$B$5:$B$24,MATCH(C1174,Paketler!$A$5:$A$24,0)),0))-1)</f>
        <v/>
      </c>
      <c r="G1174" s="17" t="str">
        <f aca="false">IF(F1174="","",IFERROR(INDEX(Paketler!$C$5:$C$24,MATCH(C1174,Paketler!$A$5:$A$24,0)),0))</f>
        <v/>
      </c>
      <c r="H1174" s="17" t="str">
        <f aca="false">IF(F1174="","",G1174-E1174)</f>
        <v/>
      </c>
      <c r="I1174" s="18" t="str">
        <f aca="true">IF(F1174="","",F1174-TODAY())</f>
        <v/>
      </c>
      <c r="J1174" s="19" t="str">
        <f aca="true">IF(F1174="","",IF(TODAY()&lt;D1174,"Başlamadı",IF(TODAY()&gt;F1174,"Bitti",IF(F1174-TODAY()&lt;=7,"Bitiyor","Aktif"))))</f>
        <v/>
      </c>
      <c r="K1174" s="19" t="str">
        <f aca="false">IF(OR(J1174="Aktif",J1174="Bitiyor"),F1174+ROW()/1000000,"")</f>
        <v/>
      </c>
    </row>
    <row r="1175" customFormat="false" ht="15" hidden="false" customHeight="false" outlineLevel="0" collapsed="false">
      <c r="A1175" s="12"/>
      <c r="B1175" s="12"/>
      <c r="C1175" s="13"/>
      <c r="D1175" s="14"/>
      <c r="E1175" s="15"/>
      <c r="F1175" s="16" t="str">
        <f aca="false">IF(OR(C1175="",D1175=""),"",EDATE(D1175,IFERROR(INDEX(Paketler!$B$5:$B$24,MATCH(C1175,Paketler!$A$5:$A$24,0)),0))-1)</f>
        <v/>
      </c>
      <c r="G1175" s="17" t="str">
        <f aca="false">IF(F1175="","",IFERROR(INDEX(Paketler!$C$5:$C$24,MATCH(C1175,Paketler!$A$5:$A$24,0)),0))</f>
        <v/>
      </c>
      <c r="H1175" s="17" t="str">
        <f aca="false">IF(F1175="","",G1175-E1175)</f>
        <v/>
      </c>
      <c r="I1175" s="18" t="str">
        <f aca="true">IF(F1175="","",F1175-TODAY())</f>
        <v/>
      </c>
      <c r="J1175" s="19" t="str">
        <f aca="true">IF(F1175="","",IF(TODAY()&lt;D1175,"Başlamadı",IF(TODAY()&gt;F1175,"Bitti",IF(F1175-TODAY()&lt;=7,"Bitiyor","Aktif"))))</f>
        <v/>
      </c>
      <c r="K1175" s="19" t="str">
        <f aca="false">IF(OR(J1175="Aktif",J1175="Bitiyor"),F1175+ROW()/1000000,"")</f>
        <v/>
      </c>
    </row>
    <row r="1176" customFormat="false" ht="15" hidden="false" customHeight="false" outlineLevel="0" collapsed="false">
      <c r="A1176" s="12"/>
      <c r="B1176" s="12"/>
      <c r="C1176" s="13"/>
      <c r="D1176" s="14"/>
      <c r="E1176" s="15"/>
      <c r="F1176" s="16" t="str">
        <f aca="false">IF(OR(C1176="",D1176=""),"",EDATE(D1176,IFERROR(INDEX(Paketler!$B$5:$B$24,MATCH(C1176,Paketler!$A$5:$A$24,0)),0))-1)</f>
        <v/>
      </c>
      <c r="G1176" s="17" t="str">
        <f aca="false">IF(F1176="","",IFERROR(INDEX(Paketler!$C$5:$C$24,MATCH(C1176,Paketler!$A$5:$A$24,0)),0))</f>
        <v/>
      </c>
      <c r="H1176" s="17" t="str">
        <f aca="false">IF(F1176="","",G1176-E1176)</f>
        <v/>
      </c>
      <c r="I1176" s="18" t="str">
        <f aca="true">IF(F1176="","",F1176-TODAY())</f>
        <v/>
      </c>
      <c r="J1176" s="19" t="str">
        <f aca="true">IF(F1176="","",IF(TODAY()&lt;D1176,"Başlamadı",IF(TODAY()&gt;F1176,"Bitti",IF(F1176-TODAY()&lt;=7,"Bitiyor","Aktif"))))</f>
        <v/>
      </c>
      <c r="K1176" s="19" t="str">
        <f aca="false">IF(OR(J1176="Aktif",J1176="Bitiyor"),F1176+ROW()/1000000,"")</f>
        <v/>
      </c>
    </row>
    <row r="1177" customFormat="false" ht="15" hidden="false" customHeight="false" outlineLevel="0" collapsed="false">
      <c r="A1177" s="12"/>
      <c r="B1177" s="12"/>
      <c r="C1177" s="13"/>
      <c r="D1177" s="14"/>
      <c r="E1177" s="15"/>
      <c r="F1177" s="16" t="str">
        <f aca="false">IF(OR(C1177="",D1177=""),"",EDATE(D1177,IFERROR(INDEX(Paketler!$B$5:$B$24,MATCH(C1177,Paketler!$A$5:$A$24,0)),0))-1)</f>
        <v/>
      </c>
      <c r="G1177" s="17" t="str">
        <f aca="false">IF(F1177="","",IFERROR(INDEX(Paketler!$C$5:$C$24,MATCH(C1177,Paketler!$A$5:$A$24,0)),0))</f>
        <v/>
      </c>
      <c r="H1177" s="17" t="str">
        <f aca="false">IF(F1177="","",G1177-E1177)</f>
        <v/>
      </c>
      <c r="I1177" s="18" t="str">
        <f aca="true">IF(F1177="","",F1177-TODAY())</f>
        <v/>
      </c>
      <c r="J1177" s="19" t="str">
        <f aca="true">IF(F1177="","",IF(TODAY()&lt;D1177,"Başlamadı",IF(TODAY()&gt;F1177,"Bitti",IF(F1177-TODAY()&lt;=7,"Bitiyor","Aktif"))))</f>
        <v/>
      </c>
      <c r="K1177" s="19" t="str">
        <f aca="false">IF(OR(J1177="Aktif",J1177="Bitiyor"),F1177+ROW()/1000000,"")</f>
        <v/>
      </c>
    </row>
    <row r="1178" customFormat="false" ht="15" hidden="false" customHeight="false" outlineLevel="0" collapsed="false">
      <c r="A1178" s="12"/>
      <c r="B1178" s="12"/>
      <c r="C1178" s="13"/>
      <c r="D1178" s="14"/>
      <c r="E1178" s="15"/>
      <c r="F1178" s="16" t="str">
        <f aca="false">IF(OR(C1178="",D1178=""),"",EDATE(D1178,IFERROR(INDEX(Paketler!$B$5:$B$24,MATCH(C1178,Paketler!$A$5:$A$24,0)),0))-1)</f>
        <v/>
      </c>
      <c r="G1178" s="17" t="str">
        <f aca="false">IF(F1178="","",IFERROR(INDEX(Paketler!$C$5:$C$24,MATCH(C1178,Paketler!$A$5:$A$24,0)),0))</f>
        <v/>
      </c>
      <c r="H1178" s="17" t="str">
        <f aca="false">IF(F1178="","",G1178-E1178)</f>
        <v/>
      </c>
      <c r="I1178" s="18" t="str">
        <f aca="true">IF(F1178="","",F1178-TODAY())</f>
        <v/>
      </c>
      <c r="J1178" s="19" t="str">
        <f aca="true">IF(F1178="","",IF(TODAY()&lt;D1178,"Başlamadı",IF(TODAY()&gt;F1178,"Bitti",IF(F1178-TODAY()&lt;=7,"Bitiyor","Aktif"))))</f>
        <v/>
      </c>
      <c r="K1178" s="19" t="str">
        <f aca="false">IF(OR(J1178="Aktif",J1178="Bitiyor"),F1178+ROW()/1000000,"")</f>
        <v/>
      </c>
    </row>
    <row r="1179" customFormat="false" ht="15" hidden="false" customHeight="false" outlineLevel="0" collapsed="false">
      <c r="A1179" s="12"/>
      <c r="B1179" s="12"/>
      <c r="C1179" s="13"/>
      <c r="D1179" s="14"/>
      <c r="E1179" s="15"/>
      <c r="F1179" s="16" t="str">
        <f aca="false">IF(OR(C1179="",D1179=""),"",EDATE(D1179,IFERROR(INDEX(Paketler!$B$5:$B$24,MATCH(C1179,Paketler!$A$5:$A$24,0)),0))-1)</f>
        <v/>
      </c>
      <c r="G1179" s="17" t="str">
        <f aca="false">IF(F1179="","",IFERROR(INDEX(Paketler!$C$5:$C$24,MATCH(C1179,Paketler!$A$5:$A$24,0)),0))</f>
        <v/>
      </c>
      <c r="H1179" s="17" t="str">
        <f aca="false">IF(F1179="","",G1179-E1179)</f>
        <v/>
      </c>
      <c r="I1179" s="18" t="str">
        <f aca="true">IF(F1179="","",F1179-TODAY())</f>
        <v/>
      </c>
      <c r="J1179" s="19" t="str">
        <f aca="true">IF(F1179="","",IF(TODAY()&lt;D1179,"Başlamadı",IF(TODAY()&gt;F1179,"Bitti",IF(F1179-TODAY()&lt;=7,"Bitiyor","Aktif"))))</f>
        <v/>
      </c>
      <c r="K1179" s="19" t="str">
        <f aca="false">IF(OR(J1179="Aktif",J1179="Bitiyor"),F1179+ROW()/1000000,"")</f>
        <v/>
      </c>
    </row>
    <row r="1180" customFormat="false" ht="15" hidden="false" customHeight="false" outlineLevel="0" collapsed="false">
      <c r="A1180" s="12"/>
      <c r="B1180" s="12"/>
      <c r="C1180" s="13"/>
      <c r="D1180" s="14"/>
      <c r="E1180" s="15"/>
      <c r="F1180" s="16" t="str">
        <f aca="false">IF(OR(C1180="",D1180=""),"",EDATE(D1180,IFERROR(INDEX(Paketler!$B$5:$B$24,MATCH(C1180,Paketler!$A$5:$A$24,0)),0))-1)</f>
        <v/>
      </c>
      <c r="G1180" s="17" t="str">
        <f aca="false">IF(F1180="","",IFERROR(INDEX(Paketler!$C$5:$C$24,MATCH(C1180,Paketler!$A$5:$A$24,0)),0))</f>
        <v/>
      </c>
      <c r="H1180" s="17" t="str">
        <f aca="false">IF(F1180="","",G1180-E1180)</f>
        <v/>
      </c>
      <c r="I1180" s="18" t="str">
        <f aca="true">IF(F1180="","",F1180-TODAY())</f>
        <v/>
      </c>
      <c r="J1180" s="19" t="str">
        <f aca="true">IF(F1180="","",IF(TODAY()&lt;D1180,"Başlamadı",IF(TODAY()&gt;F1180,"Bitti",IF(F1180-TODAY()&lt;=7,"Bitiyor","Aktif"))))</f>
        <v/>
      </c>
      <c r="K1180" s="19" t="str">
        <f aca="false">IF(OR(J1180="Aktif",J1180="Bitiyor"),F1180+ROW()/1000000,"")</f>
        <v/>
      </c>
    </row>
    <row r="1181" customFormat="false" ht="15" hidden="false" customHeight="false" outlineLevel="0" collapsed="false">
      <c r="A1181" s="12"/>
      <c r="B1181" s="12"/>
      <c r="C1181" s="13"/>
      <c r="D1181" s="14"/>
      <c r="E1181" s="15"/>
      <c r="F1181" s="16" t="str">
        <f aca="false">IF(OR(C1181="",D1181=""),"",EDATE(D1181,IFERROR(INDEX(Paketler!$B$5:$B$24,MATCH(C1181,Paketler!$A$5:$A$24,0)),0))-1)</f>
        <v/>
      </c>
      <c r="G1181" s="17" t="str">
        <f aca="false">IF(F1181="","",IFERROR(INDEX(Paketler!$C$5:$C$24,MATCH(C1181,Paketler!$A$5:$A$24,0)),0))</f>
        <v/>
      </c>
      <c r="H1181" s="17" t="str">
        <f aca="false">IF(F1181="","",G1181-E1181)</f>
        <v/>
      </c>
      <c r="I1181" s="18" t="str">
        <f aca="true">IF(F1181="","",F1181-TODAY())</f>
        <v/>
      </c>
      <c r="J1181" s="19" t="str">
        <f aca="true">IF(F1181="","",IF(TODAY()&lt;D1181,"Başlamadı",IF(TODAY()&gt;F1181,"Bitti",IF(F1181-TODAY()&lt;=7,"Bitiyor","Aktif"))))</f>
        <v/>
      </c>
      <c r="K1181" s="19" t="str">
        <f aca="false">IF(OR(J1181="Aktif",J1181="Bitiyor"),F1181+ROW()/1000000,"")</f>
        <v/>
      </c>
    </row>
    <row r="1182" customFormat="false" ht="15" hidden="false" customHeight="false" outlineLevel="0" collapsed="false">
      <c r="A1182" s="12"/>
      <c r="B1182" s="12"/>
      <c r="C1182" s="13"/>
      <c r="D1182" s="14"/>
      <c r="E1182" s="15"/>
      <c r="F1182" s="16" t="str">
        <f aca="false">IF(OR(C1182="",D1182=""),"",EDATE(D1182,IFERROR(INDEX(Paketler!$B$5:$B$24,MATCH(C1182,Paketler!$A$5:$A$24,0)),0))-1)</f>
        <v/>
      </c>
      <c r="G1182" s="17" t="str">
        <f aca="false">IF(F1182="","",IFERROR(INDEX(Paketler!$C$5:$C$24,MATCH(C1182,Paketler!$A$5:$A$24,0)),0))</f>
        <v/>
      </c>
      <c r="H1182" s="17" t="str">
        <f aca="false">IF(F1182="","",G1182-E1182)</f>
        <v/>
      </c>
      <c r="I1182" s="18" t="str">
        <f aca="true">IF(F1182="","",F1182-TODAY())</f>
        <v/>
      </c>
      <c r="J1182" s="19" t="str">
        <f aca="true">IF(F1182="","",IF(TODAY()&lt;D1182,"Başlamadı",IF(TODAY()&gt;F1182,"Bitti",IF(F1182-TODAY()&lt;=7,"Bitiyor","Aktif"))))</f>
        <v/>
      </c>
      <c r="K1182" s="19" t="str">
        <f aca="false">IF(OR(J1182="Aktif",J1182="Bitiyor"),F1182+ROW()/1000000,"")</f>
        <v/>
      </c>
    </row>
    <row r="1183" customFormat="false" ht="15" hidden="false" customHeight="false" outlineLevel="0" collapsed="false">
      <c r="A1183" s="12"/>
      <c r="B1183" s="12"/>
      <c r="C1183" s="13"/>
      <c r="D1183" s="14"/>
      <c r="E1183" s="15"/>
      <c r="F1183" s="16" t="str">
        <f aca="false">IF(OR(C1183="",D1183=""),"",EDATE(D1183,IFERROR(INDEX(Paketler!$B$5:$B$24,MATCH(C1183,Paketler!$A$5:$A$24,0)),0))-1)</f>
        <v/>
      </c>
      <c r="G1183" s="17" t="str">
        <f aca="false">IF(F1183="","",IFERROR(INDEX(Paketler!$C$5:$C$24,MATCH(C1183,Paketler!$A$5:$A$24,0)),0))</f>
        <v/>
      </c>
      <c r="H1183" s="17" t="str">
        <f aca="false">IF(F1183="","",G1183-E1183)</f>
        <v/>
      </c>
      <c r="I1183" s="18" t="str">
        <f aca="true">IF(F1183="","",F1183-TODAY())</f>
        <v/>
      </c>
      <c r="J1183" s="19" t="str">
        <f aca="true">IF(F1183="","",IF(TODAY()&lt;D1183,"Başlamadı",IF(TODAY()&gt;F1183,"Bitti",IF(F1183-TODAY()&lt;=7,"Bitiyor","Aktif"))))</f>
        <v/>
      </c>
      <c r="K1183" s="19" t="str">
        <f aca="false">IF(OR(J1183="Aktif",J1183="Bitiyor"),F1183+ROW()/1000000,"")</f>
        <v/>
      </c>
    </row>
    <row r="1184" customFormat="false" ht="15" hidden="false" customHeight="false" outlineLevel="0" collapsed="false">
      <c r="A1184" s="12"/>
      <c r="B1184" s="12"/>
      <c r="C1184" s="13"/>
      <c r="D1184" s="14"/>
      <c r="E1184" s="15"/>
      <c r="F1184" s="16" t="str">
        <f aca="false">IF(OR(C1184="",D1184=""),"",EDATE(D1184,IFERROR(INDEX(Paketler!$B$5:$B$24,MATCH(C1184,Paketler!$A$5:$A$24,0)),0))-1)</f>
        <v/>
      </c>
      <c r="G1184" s="17" t="str">
        <f aca="false">IF(F1184="","",IFERROR(INDEX(Paketler!$C$5:$C$24,MATCH(C1184,Paketler!$A$5:$A$24,0)),0))</f>
        <v/>
      </c>
      <c r="H1184" s="17" t="str">
        <f aca="false">IF(F1184="","",G1184-E1184)</f>
        <v/>
      </c>
      <c r="I1184" s="18" t="str">
        <f aca="true">IF(F1184="","",F1184-TODAY())</f>
        <v/>
      </c>
      <c r="J1184" s="19" t="str">
        <f aca="true">IF(F1184="","",IF(TODAY()&lt;D1184,"Başlamadı",IF(TODAY()&gt;F1184,"Bitti",IF(F1184-TODAY()&lt;=7,"Bitiyor","Aktif"))))</f>
        <v/>
      </c>
      <c r="K1184" s="19" t="str">
        <f aca="false">IF(OR(J1184="Aktif",J1184="Bitiyor"),F1184+ROW()/1000000,"")</f>
        <v/>
      </c>
    </row>
    <row r="1185" customFormat="false" ht="15" hidden="false" customHeight="false" outlineLevel="0" collapsed="false">
      <c r="A1185" s="12"/>
      <c r="B1185" s="12"/>
      <c r="C1185" s="13"/>
      <c r="D1185" s="14"/>
      <c r="E1185" s="15"/>
      <c r="F1185" s="16" t="str">
        <f aca="false">IF(OR(C1185="",D1185=""),"",EDATE(D1185,IFERROR(INDEX(Paketler!$B$5:$B$24,MATCH(C1185,Paketler!$A$5:$A$24,0)),0))-1)</f>
        <v/>
      </c>
      <c r="G1185" s="17" t="str">
        <f aca="false">IF(F1185="","",IFERROR(INDEX(Paketler!$C$5:$C$24,MATCH(C1185,Paketler!$A$5:$A$24,0)),0))</f>
        <v/>
      </c>
      <c r="H1185" s="17" t="str">
        <f aca="false">IF(F1185="","",G1185-E1185)</f>
        <v/>
      </c>
      <c r="I1185" s="18" t="str">
        <f aca="true">IF(F1185="","",F1185-TODAY())</f>
        <v/>
      </c>
      <c r="J1185" s="19" t="str">
        <f aca="true">IF(F1185="","",IF(TODAY()&lt;D1185,"Başlamadı",IF(TODAY()&gt;F1185,"Bitti",IF(F1185-TODAY()&lt;=7,"Bitiyor","Aktif"))))</f>
        <v/>
      </c>
      <c r="K1185" s="19" t="str">
        <f aca="false">IF(OR(J1185="Aktif",J1185="Bitiyor"),F1185+ROW()/1000000,"")</f>
        <v/>
      </c>
    </row>
    <row r="1186" customFormat="false" ht="15" hidden="false" customHeight="false" outlineLevel="0" collapsed="false">
      <c r="A1186" s="12"/>
      <c r="B1186" s="12"/>
      <c r="C1186" s="13"/>
      <c r="D1186" s="14"/>
      <c r="E1186" s="15"/>
      <c r="F1186" s="16" t="str">
        <f aca="false">IF(OR(C1186="",D1186=""),"",EDATE(D1186,IFERROR(INDEX(Paketler!$B$5:$B$24,MATCH(C1186,Paketler!$A$5:$A$24,0)),0))-1)</f>
        <v/>
      </c>
      <c r="G1186" s="17" t="str">
        <f aca="false">IF(F1186="","",IFERROR(INDEX(Paketler!$C$5:$C$24,MATCH(C1186,Paketler!$A$5:$A$24,0)),0))</f>
        <v/>
      </c>
      <c r="H1186" s="17" t="str">
        <f aca="false">IF(F1186="","",G1186-E1186)</f>
        <v/>
      </c>
      <c r="I1186" s="18" t="str">
        <f aca="true">IF(F1186="","",F1186-TODAY())</f>
        <v/>
      </c>
      <c r="J1186" s="19" t="str">
        <f aca="true">IF(F1186="","",IF(TODAY()&lt;D1186,"Başlamadı",IF(TODAY()&gt;F1186,"Bitti",IF(F1186-TODAY()&lt;=7,"Bitiyor","Aktif"))))</f>
        <v/>
      </c>
      <c r="K1186" s="19" t="str">
        <f aca="false">IF(OR(J1186="Aktif",J1186="Bitiyor"),F1186+ROW()/1000000,"")</f>
        <v/>
      </c>
    </row>
    <row r="1187" customFormat="false" ht="15" hidden="false" customHeight="false" outlineLevel="0" collapsed="false">
      <c r="A1187" s="12"/>
      <c r="B1187" s="12"/>
      <c r="C1187" s="13"/>
      <c r="D1187" s="14"/>
      <c r="E1187" s="15"/>
      <c r="F1187" s="16" t="str">
        <f aca="false">IF(OR(C1187="",D1187=""),"",EDATE(D1187,IFERROR(INDEX(Paketler!$B$5:$B$24,MATCH(C1187,Paketler!$A$5:$A$24,0)),0))-1)</f>
        <v/>
      </c>
      <c r="G1187" s="17" t="str">
        <f aca="false">IF(F1187="","",IFERROR(INDEX(Paketler!$C$5:$C$24,MATCH(C1187,Paketler!$A$5:$A$24,0)),0))</f>
        <v/>
      </c>
      <c r="H1187" s="17" t="str">
        <f aca="false">IF(F1187="","",G1187-E1187)</f>
        <v/>
      </c>
      <c r="I1187" s="18" t="str">
        <f aca="true">IF(F1187="","",F1187-TODAY())</f>
        <v/>
      </c>
      <c r="J1187" s="19" t="str">
        <f aca="true">IF(F1187="","",IF(TODAY()&lt;D1187,"Başlamadı",IF(TODAY()&gt;F1187,"Bitti",IF(F1187-TODAY()&lt;=7,"Bitiyor","Aktif"))))</f>
        <v/>
      </c>
      <c r="K1187" s="19" t="str">
        <f aca="false">IF(OR(J1187="Aktif",J1187="Bitiyor"),F1187+ROW()/1000000,"")</f>
        <v/>
      </c>
    </row>
    <row r="1188" customFormat="false" ht="15" hidden="false" customHeight="false" outlineLevel="0" collapsed="false">
      <c r="A1188" s="12"/>
      <c r="B1188" s="12"/>
      <c r="C1188" s="13"/>
      <c r="D1188" s="14"/>
      <c r="E1188" s="15"/>
      <c r="F1188" s="16" t="str">
        <f aca="false">IF(OR(C1188="",D1188=""),"",EDATE(D1188,IFERROR(INDEX(Paketler!$B$5:$B$24,MATCH(C1188,Paketler!$A$5:$A$24,0)),0))-1)</f>
        <v/>
      </c>
      <c r="G1188" s="17" t="str">
        <f aca="false">IF(F1188="","",IFERROR(INDEX(Paketler!$C$5:$C$24,MATCH(C1188,Paketler!$A$5:$A$24,0)),0))</f>
        <v/>
      </c>
      <c r="H1188" s="17" t="str">
        <f aca="false">IF(F1188="","",G1188-E1188)</f>
        <v/>
      </c>
      <c r="I1188" s="18" t="str">
        <f aca="true">IF(F1188="","",F1188-TODAY())</f>
        <v/>
      </c>
      <c r="J1188" s="19" t="str">
        <f aca="true">IF(F1188="","",IF(TODAY()&lt;D1188,"Başlamadı",IF(TODAY()&gt;F1188,"Bitti",IF(F1188-TODAY()&lt;=7,"Bitiyor","Aktif"))))</f>
        <v/>
      </c>
      <c r="K1188" s="19" t="str">
        <f aca="false">IF(OR(J1188="Aktif",J1188="Bitiyor"),F1188+ROW()/1000000,"")</f>
        <v/>
      </c>
    </row>
    <row r="1189" customFormat="false" ht="15" hidden="false" customHeight="false" outlineLevel="0" collapsed="false">
      <c r="A1189" s="12"/>
      <c r="B1189" s="12"/>
      <c r="C1189" s="13"/>
      <c r="D1189" s="14"/>
      <c r="E1189" s="15"/>
      <c r="F1189" s="16" t="str">
        <f aca="false">IF(OR(C1189="",D1189=""),"",EDATE(D1189,IFERROR(INDEX(Paketler!$B$5:$B$24,MATCH(C1189,Paketler!$A$5:$A$24,0)),0))-1)</f>
        <v/>
      </c>
      <c r="G1189" s="17" t="str">
        <f aca="false">IF(F1189="","",IFERROR(INDEX(Paketler!$C$5:$C$24,MATCH(C1189,Paketler!$A$5:$A$24,0)),0))</f>
        <v/>
      </c>
      <c r="H1189" s="17" t="str">
        <f aca="false">IF(F1189="","",G1189-E1189)</f>
        <v/>
      </c>
      <c r="I1189" s="18" t="str">
        <f aca="true">IF(F1189="","",F1189-TODAY())</f>
        <v/>
      </c>
      <c r="J1189" s="19" t="str">
        <f aca="true">IF(F1189="","",IF(TODAY()&lt;D1189,"Başlamadı",IF(TODAY()&gt;F1189,"Bitti",IF(F1189-TODAY()&lt;=7,"Bitiyor","Aktif"))))</f>
        <v/>
      </c>
      <c r="K1189" s="19" t="str">
        <f aca="false">IF(OR(J1189="Aktif",J1189="Bitiyor"),F1189+ROW()/1000000,"")</f>
        <v/>
      </c>
    </row>
    <row r="1190" customFormat="false" ht="15" hidden="false" customHeight="false" outlineLevel="0" collapsed="false">
      <c r="A1190" s="12"/>
      <c r="B1190" s="12"/>
      <c r="C1190" s="13"/>
      <c r="D1190" s="14"/>
      <c r="E1190" s="15"/>
      <c r="F1190" s="16" t="str">
        <f aca="false">IF(OR(C1190="",D1190=""),"",EDATE(D1190,IFERROR(INDEX(Paketler!$B$5:$B$24,MATCH(C1190,Paketler!$A$5:$A$24,0)),0))-1)</f>
        <v/>
      </c>
      <c r="G1190" s="17" t="str">
        <f aca="false">IF(F1190="","",IFERROR(INDEX(Paketler!$C$5:$C$24,MATCH(C1190,Paketler!$A$5:$A$24,0)),0))</f>
        <v/>
      </c>
      <c r="H1190" s="17" t="str">
        <f aca="false">IF(F1190="","",G1190-E1190)</f>
        <v/>
      </c>
      <c r="I1190" s="18" t="str">
        <f aca="true">IF(F1190="","",F1190-TODAY())</f>
        <v/>
      </c>
      <c r="J1190" s="19" t="str">
        <f aca="true">IF(F1190="","",IF(TODAY()&lt;D1190,"Başlamadı",IF(TODAY()&gt;F1190,"Bitti",IF(F1190-TODAY()&lt;=7,"Bitiyor","Aktif"))))</f>
        <v/>
      </c>
      <c r="K1190" s="19" t="str">
        <f aca="false">IF(OR(J1190="Aktif",J1190="Bitiyor"),F1190+ROW()/1000000,"")</f>
        <v/>
      </c>
    </row>
    <row r="1191" customFormat="false" ht="15" hidden="false" customHeight="false" outlineLevel="0" collapsed="false">
      <c r="A1191" s="12"/>
      <c r="B1191" s="12"/>
      <c r="C1191" s="13"/>
      <c r="D1191" s="14"/>
      <c r="E1191" s="15"/>
      <c r="F1191" s="16" t="str">
        <f aca="false">IF(OR(C1191="",D1191=""),"",EDATE(D1191,IFERROR(INDEX(Paketler!$B$5:$B$24,MATCH(C1191,Paketler!$A$5:$A$24,0)),0))-1)</f>
        <v/>
      </c>
      <c r="G1191" s="17" t="str">
        <f aca="false">IF(F1191="","",IFERROR(INDEX(Paketler!$C$5:$C$24,MATCH(C1191,Paketler!$A$5:$A$24,0)),0))</f>
        <v/>
      </c>
      <c r="H1191" s="17" t="str">
        <f aca="false">IF(F1191="","",G1191-E1191)</f>
        <v/>
      </c>
      <c r="I1191" s="18" t="str">
        <f aca="true">IF(F1191="","",F1191-TODAY())</f>
        <v/>
      </c>
      <c r="J1191" s="19" t="str">
        <f aca="true">IF(F1191="","",IF(TODAY()&lt;D1191,"Başlamadı",IF(TODAY()&gt;F1191,"Bitti",IF(F1191-TODAY()&lt;=7,"Bitiyor","Aktif"))))</f>
        <v/>
      </c>
      <c r="K1191" s="19" t="str">
        <f aca="false">IF(OR(J1191="Aktif",J1191="Bitiyor"),F1191+ROW()/1000000,"")</f>
        <v/>
      </c>
    </row>
    <row r="1192" customFormat="false" ht="15" hidden="false" customHeight="false" outlineLevel="0" collapsed="false">
      <c r="A1192" s="12"/>
      <c r="B1192" s="12"/>
      <c r="C1192" s="13"/>
      <c r="D1192" s="14"/>
      <c r="E1192" s="15"/>
      <c r="F1192" s="16" t="str">
        <f aca="false">IF(OR(C1192="",D1192=""),"",EDATE(D1192,IFERROR(INDEX(Paketler!$B$5:$B$24,MATCH(C1192,Paketler!$A$5:$A$24,0)),0))-1)</f>
        <v/>
      </c>
      <c r="G1192" s="17" t="str">
        <f aca="false">IF(F1192="","",IFERROR(INDEX(Paketler!$C$5:$C$24,MATCH(C1192,Paketler!$A$5:$A$24,0)),0))</f>
        <v/>
      </c>
      <c r="H1192" s="17" t="str">
        <f aca="false">IF(F1192="","",G1192-E1192)</f>
        <v/>
      </c>
      <c r="I1192" s="18" t="str">
        <f aca="true">IF(F1192="","",F1192-TODAY())</f>
        <v/>
      </c>
      <c r="J1192" s="19" t="str">
        <f aca="true">IF(F1192="","",IF(TODAY()&lt;D1192,"Başlamadı",IF(TODAY()&gt;F1192,"Bitti",IF(F1192-TODAY()&lt;=7,"Bitiyor","Aktif"))))</f>
        <v/>
      </c>
      <c r="K1192" s="19" t="str">
        <f aca="false">IF(OR(J1192="Aktif",J1192="Bitiyor"),F1192+ROW()/1000000,"")</f>
        <v/>
      </c>
    </row>
    <row r="1193" customFormat="false" ht="15" hidden="false" customHeight="false" outlineLevel="0" collapsed="false">
      <c r="A1193" s="12"/>
      <c r="B1193" s="12"/>
      <c r="C1193" s="13"/>
      <c r="D1193" s="14"/>
      <c r="E1193" s="15"/>
      <c r="F1193" s="16" t="str">
        <f aca="false">IF(OR(C1193="",D1193=""),"",EDATE(D1193,IFERROR(INDEX(Paketler!$B$5:$B$24,MATCH(C1193,Paketler!$A$5:$A$24,0)),0))-1)</f>
        <v/>
      </c>
      <c r="G1193" s="17" t="str">
        <f aca="false">IF(F1193="","",IFERROR(INDEX(Paketler!$C$5:$C$24,MATCH(C1193,Paketler!$A$5:$A$24,0)),0))</f>
        <v/>
      </c>
      <c r="H1193" s="17" t="str">
        <f aca="false">IF(F1193="","",G1193-E1193)</f>
        <v/>
      </c>
      <c r="I1193" s="18" t="str">
        <f aca="true">IF(F1193="","",F1193-TODAY())</f>
        <v/>
      </c>
      <c r="J1193" s="19" t="str">
        <f aca="true">IF(F1193="","",IF(TODAY()&lt;D1193,"Başlamadı",IF(TODAY()&gt;F1193,"Bitti",IF(F1193-TODAY()&lt;=7,"Bitiyor","Aktif"))))</f>
        <v/>
      </c>
      <c r="K1193" s="19" t="str">
        <f aca="false">IF(OR(J1193="Aktif",J1193="Bitiyor"),F1193+ROW()/1000000,"")</f>
        <v/>
      </c>
    </row>
    <row r="1194" customFormat="false" ht="15" hidden="false" customHeight="false" outlineLevel="0" collapsed="false">
      <c r="A1194" s="12"/>
      <c r="B1194" s="12"/>
      <c r="C1194" s="13"/>
      <c r="D1194" s="14"/>
      <c r="E1194" s="15"/>
      <c r="F1194" s="16" t="str">
        <f aca="false">IF(OR(C1194="",D1194=""),"",EDATE(D1194,IFERROR(INDEX(Paketler!$B$5:$B$24,MATCH(C1194,Paketler!$A$5:$A$24,0)),0))-1)</f>
        <v/>
      </c>
      <c r="G1194" s="17" t="str">
        <f aca="false">IF(F1194="","",IFERROR(INDEX(Paketler!$C$5:$C$24,MATCH(C1194,Paketler!$A$5:$A$24,0)),0))</f>
        <v/>
      </c>
      <c r="H1194" s="17" t="str">
        <f aca="false">IF(F1194="","",G1194-E1194)</f>
        <v/>
      </c>
      <c r="I1194" s="18" t="str">
        <f aca="true">IF(F1194="","",F1194-TODAY())</f>
        <v/>
      </c>
      <c r="J1194" s="19" t="str">
        <f aca="true">IF(F1194="","",IF(TODAY()&lt;D1194,"Başlamadı",IF(TODAY()&gt;F1194,"Bitti",IF(F1194-TODAY()&lt;=7,"Bitiyor","Aktif"))))</f>
        <v/>
      </c>
      <c r="K1194" s="19" t="str">
        <f aca="false">IF(OR(J1194="Aktif",J1194="Bitiyor"),F1194+ROW()/1000000,"")</f>
        <v/>
      </c>
    </row>
    <row r="1195" customFormat="false" ht="15" hidden="false" customHeight="false" outlineLevel="0" collapsed="false">
      <c r="A1195" s="12"/>
      <c r="B1195" s="12"/>
      <c r="C1195" s="13"/>
      <c r="D1195" s="14"/>
      <c r="E1195" s="15"/>
      <c r="F1195" s="16" t="str">
        <f aca="false">IF(OR(C1195="",D1195=""),"",EDATE(D1195,IFERROR(INDEX(Paketler!$B$5:$B$24,MATCH(C1195,Paketler!$A$5:$A$24,0)),0))-1)</f>
        <v/>
      </c>
      <c r="G1195" s="17" t="str">
        <f aca="false">IF(F1195="","",IFERROR(INDEX(Paketler!$C$5:$C$24,MATCH(C1195,Paketler!$A$5:$A$24,0)),0))</f>
        <v/>
      </c>
      <c r="H1195" s="17" t="str">
        <f aca="false">IF(F1195="","",G1195-E1195)</f>
        <v/>
      </c>
      <c r="I1195" s="18" t="str">
        <f aca="true">IF(F1195="","",F1195-TODAY())</f>
        <v/>
      </c>
      <c r="J1195" s="19" t="str">
        <f aca="true">IF(F1195="","",IF(TODAY()&lt;D1195,"Başlamadı",IF(TODAY()&gt;F1195,"Bitti",IF(F1195-TODAY()&lt;=7,"Bitiyor","Aktif"))))</f>
        <v/>
      </c>
      <c r="K1195" s="19" t="str">
        <f aca="false">IF(OR(J1195="Aktif",J1195="Bitiyor"),F1195+ROW()/1000000,"")</f>
        <v/>
      </c>
    </row>
    <row r="1196" customFormat="false" ht="15" hidden="false" customHeight="false" outlineLevel="0" collapsed="false">
      <c r="A1196" s="12"/>
      <c r="B1196" s="12"/>
      <c r="C1196" s="13"/>
      <c r="D1196" s="14"/>
      <c r="E1196" s="15"/>
      <c r="F1196" s="16" t="str">
        <f aca="false">IF(OR(C1196="",D1196=""),"",EDATE(D1196,IFERROR(INDEX(Paketler!$B$5:$B$24,MATCH(C1196,Paketler!$A$5:$A$24,0)),0))-1)</f>
        <v/>
      </c>
      <c r="G1196" s="17" t="str">
        <f aca="false">IF(F1196="","",IFERROR(INDEX(Paketler!$C$5:$C$24,MATCH(C1196,Paketler!$A$5:$A$24,0)),0))</f>
        <v/>
      </c>
      <c r="H1196" s="17" t="str">
        <f aca="false">IF(F1196="","",G1196-E1196)</f>
        <v/>
      </c>
      <c r="I1196" s="18" t="str">
        <f aca="true">IF(F1196="","",F1196-TODAY())</f>
        <v/>
      </c>
      <c r="J1196" s="19" t="str">
        <f aca="true">IF(F1196="","",IF(TODAY()&lt;D1196,"Başlamadı",IF(TODAY()&gt;F1196,"Bitti",IF(F1196-TODAY()&lt;=7,"Bitiyor","Aktif"))))</f>
        <v/>
      </c>
      <c r="K1196" s="19" t="str">
        <f aca="false">IF(OR(J1196="Aktif",J1196="Bitiyor"),F1196+ROW()/1000000,"")</f>
        <v/>
      </c>
    </row>
    <row r="1197" customFormat="false" ht="15" hidden="false" customHeight="false" outlineLevel="0" collapsed="false">
      <c r="A1197" s="12"/>
      <c r="B1197" s="12"/>
      <c r="C1197" s="13"/>
      <c r="D1197" s="14"/>
      <c r="E1197" s="15"/>
      <c r="F1197" s="16" t="str">
        <f aca="false">IF(OR(C1197="",D1197=""),"",EDATE(D1197,IFERROR(INDEX(Paketler!$B$5:$B$24,MATCH(C1197,Paketler!$A$5:$A$24,0)),0))-1)</f>
        <v/>
      </c>
      <c r="G1197" s="17" t="str">
        <f aca="false">IF(F1197="","",IFERROR(INDEX(Paketler!$C$5:$C$24,MATCH(C1197,Paketler!$A$5:$A$24,0)),0))</f>
        <v/>
      </c>
      <c r="H1197" s="17" t="str">
        <f aca="false">IF(F1197="","",G1197-E1197)</f>
        <v/>
      </c>
      <c r="I1197" s="18" t="str">
        <f aca="true">IF(F1197="","",F1197-TODAY())</f>
        <v/>
      </c>
      <c r="J1197" s="19" t="str">
        <f aca="true">IF(F1197="","",IF(TODAY()&lt;D1197,"Başlamadı",IF(TODAY()&gt;F1197,"Bitti",IF(F1197-TODAY()&lt;=7,"Bitiyor","Aktif"))))</f>
        <v/>
      </c>
      <c r="K1197" s="19" t="str">
        <f aca="false">IF(OR(J1197="Aktif",J1197="Bitiyor"),F1197+ROW()/1000000,"")</f>
        <v/>
      </c>
    </row>
    <row r="1198" customFormat="false" ht="15" hidden="false" customHeight="false" outlineLevel="0" collapsed="false">
      <c r="A1198" s="12"/>
      <c r="B1198" s="12"/>
      <c r="C1198" s="13"/>
      <c r="D1198" s="14"/>
      <c r="E1198" s="15"/>
      <c r="F1198" s="16" t="str">
        <f aca="false">IF(OR(C1198="",D1198=""),"",EDATE(D1198,IFERROR(INDEX(Paketler!$B$5:$B$24,MATCH(C1198,Paketler!$A$5:$A$24,0)),0))-1)</f>
        <v/>
      </c>
      <c r="G1198" s="17" t="str">
        <f aca="false">IF(F1198="","",IFERROR(INDEX(Paketler!$C$5:$C$24,MATCH(C1198,Paketler!$A$5:$A$24,0)),0))</f>
        <v/>
      </c>
      <c r="H1198" s="17" t="str">
        <f aca="false">IF(F1198="","",G1198-E1198)</f>
        <v/>
      </c>
      <c r="I1198" s="18" t="str">
        <f aca="true">IF(F1198="","",F1198-TODAY())</f>
        <v/>
      </c>
      <c r="J1198" s="19" t="str">
        <f aca="true">IF(F1198="","",IF(TODAY()&lt;D1198,"Başlamadı",IF(TODAY()&gt;F1198,"Bitti",IF(F1198-TODAY()&lt;=7,"Bitiyor","Aktif"))))</f>
        <v/>
      </c>
      <c r="K1198" s="19" t="str">
        <f aca="false">IF(OR(J1198="Aktif",J1198="Bitiyor"),F1198+ROW()/1000000,"")</f>
        <v/>
      </c>
    </row>
    <row r="1199" customFormat="false" ht="15" hidden="false" customHeight="false" outlineLevel="0" collapsed="false">
      <c r="A1199" s="12"/>
      <c r="B1199" s="12"/>
      <c r="C1199" s="13"/>
      <c r="D1199" s="14"/>
      <c r="E1199" s="15"/>
      <c r="F1199" s="16" t="str">
        <f aca="false">IF(OR(C1199="",D1199=""),"",EDATE(D1199,IFERROR(INDEX(Paketler!$B$5:$B$24,MATCH(C1199,Paketler!$A$5:$A$24,0)),0))-1)</f>
        <v/>
      </c>
      <c r="G1199" s="17" t="str">
        <f aca="false">IF(F1199="","",IFERROR(INDEX(Paketler!$C$5:$C$24,MATCH(C1199,Paketler!$A$5:$A$24,0)),0))</f>
        <v/>
      </c>
      <c r="H1199" s="17" t="str">
        <f aca="false">IF(F1199="","",G1199-E1199)</f>
        <v/>
      </c>
      <c r="I1199" s="18" t="str">
        <f aca="true">IF(F1199="","",F1199-TODAY())</f>
        <v/>
      </c>
      <c r="J1199" s="19" t="str">
        <f aca="true">IF(F1199="","",IF(TODAY()&lt;D1199,"Başlamadı",IF(TODAY()&gt;F1199,"Bitti",IF(F1199-TODAY()&lt;=7,"Bitiyor","Aktif"))))</f>
        <v/>
      </c>
      <c r="K1199" s="19" t="str">
        <f aca="false">IF(OR(J1199="Aktif",J1199="Bitiyor"),F1199+ROW()/1000000,"")</f>
        <v/>
      </c>
    </row>
    <row r="1200" customFormat="false" ht="15" hidden="false" customHeight="false" outlineLevel="0" collapsed="false">
      <c r="A1200" s="12"/>
      <c r="B1200" s="12"/>
      <c r="C1200" s="13"/>
      <c r="D1200" s="14"/>
      <c r="E1200" s="15"/>
      <c r="F1200" s="16" t="str">
        <f aca="false">IF(OR(C1200="",D1200=""),"",EDATE(D1200,IFERROR(INDEX(Paketler!$B$5:$B$24,MATCH(C1200,Paketler!$A$5:$A$24,0)),0))-1)</f>
        <v/>
      </c>
      <c r="G1200" s="17" t="str">
        <f aca="false">IF(F1200="","",IFERROR(INDEX(Paketler!$C$5:$C$24,MATCH(C1200,Paketler!$A$5:$A$24,0)),0))</f>
        <v/>
      </c>
      <c r="H1200" s="17" t="str">
        <f aca="false">IF(F1200="","",G1200-E1200)</f>
        <v/>
      </c>
      <c r="I1200" s="18" t="str">
        <f aca="true">IF(F1200="","",F1200-TODAY())</f>
        <v/>
      </c>
      <c r="J1200" s="19" t="str">
        <f aca="true">IF(F1200="","",IF(TODAY()&lt;D1200,"Başlamadı",IF(TODAY()&gt;F1200,"Bitti",IF(F1200-TODAY()&lt;=7,"Bitiyor","Aktif"))))</f>
        <v/>
      </c>
      <c r="K1200" s="19" t="str">
        <f aca="false">IF(OR(J1200="Aktif",J1200="Bitiyor"),F1200+ROW()/1000000,"")</f>
        <v/>
      </c>
    </row>
    <row r="1201" customFormat="false" ht="15" hidden="false" customHeight="false" outlineLevel="0" collapsed="false">
      <c r="A1201" s="12"/>
      <c r="B1201" s="12"/>
      <c r="C1201" s="13"/>
      <c r="D1201" s="14"/>
      <c r="E1201" s="15"/>
      <c r="F1201" s="16" t="str">
        <f aca="false">IF(OR(C1201="",D1201=""),"",EDATE(D1201,IFERROR(INDEX(Paketler!$B$5:$B$24,MATCH(C1201,Paketler!$A$5:$A$24,0)),0))-1)</f>
        <v/>
      </c>
      <c r="G1201" s="17" t="str">
        <f aca="false">IF(F1201="","",IFERROR(INDEX(Paketler!$C$5:$C$24,MATCH(C1201,Paketler!$A$5:$A$24,0)),0))</f>
        <v/>
      </c>
      <c r="H1201" s="17" t="str">
        <f aca="false">IF(F1201="","",G1201-E1201)</f>
        <v/>
      </c>
      <c r="I1201" s="18" t="str">
        <f aca="true">IF(F1201="","",F1201-TODAY())</f>
        <v/>
      </c>
      <c r="J1201" s="19" t="str">
        <f aca="true">IF(F1201="","",IF(TODAY()&lt;D1201,"Başlamadı",IF(TODAY()&gt;F1201,"Bitti",IF(F1201-TODAY()&lt;=7,"Bitiyor","Aktif"))))</f>
        <v/>
      </c>
      <c r="K1201" s="19" t="str">
        <f aca="false">IF(OR(J1201="Aktif",J1201="Bitiyor"),F1201+ROW()/1000000,"")</f>
        <v/>
      </c>
    </row>
    <row r="1202" customFormat="false" ht="15" hidden="false" customHeight="false" outlineLevel="0" collapsed="false">
      <c r="A1202" s="12"/>
      <c r="B1202" s="12"/>
      <c r="C1202" s="13"/>
      <c r="D1202" s="14"/>
      <c r="E1202" s="15"/>
      <c r="F1202" s="16" t="str">
        <f aca="false">IF(OR(C1202="",D1202=""),"",EDATE(D1202,IFERROR(INDEX(Paketler!$B$5:$B$24,MATCH(C1202,Paketler!$A$5:$A$24,0)),0))-1)</f>
        <v/>
      </c>
      <c r="G1202" s="17" t="str">
        <f aca="false">IF(F1202="","",IFERROR(INDEX(Paketler!$C$5:$C$24,MATCH(C1202,Paketler!$A$5:$A$24,0)),0))</f>
        <v/>
      </c>
      <c r="H1202" s="17" t="str">
        <f aca="false">IF(F1202="","",G1202-E1202)</f>
        <v/>
      </c>
      <c r="I1202" s="18" t="str">
        <f aca="true">IF(F1202="","",F1202-TODAY())</f>
        <v/>
      </c>
      <c r="J1202" s="19" t="str">
        <f aca="true">IF(F1202="","",IF(TODAY()&lt;D1202,"Başlamadı",IF(TODAY()&gt;F1202,"Bitti",IF(F1202-TODAY()&lt;=7,"Bitiyor","Aktif"))))</f>
        <v/>
      </c>
      <c r="K1202" s="19" t="str">
        <f aca="false">IF(OR(J1202="Aktif",J1202="Bitiyor"),F1202+ROW()/1000000,"")</f>
        <v/>
      </c>
    </row>
    <row r="1203" customFormat="false" ht="15" hidden="false" customHeight="false" outlineLevel="0" collapsed="false">
      <c r="A1203" s="12"/>
      <c r="B1203" s="12"/>
      <c r="C1203" s="13"/>
      <c r="D1203" s="14"/>
      <c r="E1203" s="15"/>
      <c r="F1203" s="16" t="str">
        <f aca="false">IF(OR(C1203="",D1203=""),"",EDATE(D1203,IFERROR(INDEX(Paketler!$B$5:$B$24,MATCH(C1203,Paketler!$A$5:$A$24,0)),0))-1)</f>
        <v/>
      </c>
      <c r="G1203" s="17" t="str">
        <f aca="false">IF(F1203="","",IFERROR(INDEX(Paketler!$C$5:$C$24,MATCH(C1203,Paketler!$A$5:$A$24,0)),0))</f>
        <v/>
      </c>
      <c r="H1203" s="17" t="str">
        <f aca="false">IF(F1203="","",G1203-E1203)</f>
        <v/>
      </c>
      <c r="I1203" s="18" t="str">
        <f aca="true">IF(F1203="","",F1203-TODAY())</f>
        <v/>
      </c>
      <c r="J1203" s="19" t="str">
        <f aca="true">IF(F1203="","",IF(TODAY()&lt;D1203,"Başlamadı",IF(TODAY()&gt;F1203,"Bitti",IF(F1203-TODAY()&lt;=7,"Bitiyor","Aktif"))))</f>
        <v/>
      </c>
      <c r="K1203" s="19" t="str">
        <f aca="false">IF(OR(J1203="Aktif",J1203="Bitiyor"),F1203+ROW()/1000000,"")</f>
        <v/>
      </c>
    </row>
    <row r="1204" customFormat="false" ht="15" hidden="false" customHeight="false" outlineLevel="0" collapsed="false">
      <c r="A1204" s="12"/>
      <c r="B1204" s="12"/>
      <c r="C1204" s="13"/>
      <c r="D1204" s="14"/>
      <c r="E1204" s="15"/>
      <c r="F1204" s="16" t="str">
        <f aca="false">IF(OR(C1204="",D1204=""),"",EDATE(D1204,IFERROR(INDEX(Paketler!$B$5:$B$24,MATCH(C1204,Paketler!$A$5:$A$24,0)),0))-1)</f>
        <v/>
      </c>
      <c r="G1204" s="17" t="str">
        <f aca="false">IF(F1204="","",IFERROR(INDEX(Paketler!$C$5:$C$24,MATCH(C1204,Paketler!$A$5:$A$24,0)),0))</f>
        <v/>
      </c>
      <c r="H1204" s="17" t="str">
        <f aca="false">IF(F1204="","",G1204-E1204)</f>
        <v/>
      </c>
      <c r="I1204" s="18" t="str">
        <f aca="true">IF(F1204="","",F1204-TODAY())</f>
        <v/>
      </c>
      <c r="J1204" s="19" t="str">
        <f aca="true">IF(F1204="","",IF(TODAY()&lt;D1204,"Başlamadı",IF(TODAY()&gt;F1204,"Bitti",IF(F1204-TODAY()&lt;=7,"Bitiyor","Aktif"))))</f>
        <v/>
      </c>
      <c r="K1204" s="19" t="str">
        <f aca="false">IF(OR(J1204="Aktif",J1204="Bitiyor"),F1204+ROW()/1000000,"")</f>
        <v/>
      </c>
    </row>
    <row r="1205" customFormat="false" ht="15" hidden="false" customHeight="false" outlineLevel="0" collapsed="false">
      <c r="A1205" s="12"/>
      <c r="B1205" s="12"/>
      <c r="C1205" s="13"/>
      <c r="D1205" s="14"/>
      <c r="E1205" s="15"/>
      <c r="F1205" s="16" t="str">
        <f aca="false">IF(OR(C1205="",D1205=""),"",EDATE(D1205,IFERROR(INDEX(Paketler!$B$5:$B$24,MATCH(C1205,Paketler!$A$5:$A$24,0)),0))-1)</f>
        <v/>
      </c>
      <c r="G1205" s="17" t="str">
        <f aca="false">IF(F1205="","",IFERROR(INDEX(Paketler!$C$5:$C$24,MATCH(C1205,Paketler!$A$5:$A$24,0)),0))</f>
        <v/>
      </c>
      <c r="H1205" s="17" t="str">
        <f aca="false">IF(F1205="","",G1205-E1205)</f>
        <v/>
      </c>
      <c r="I1205" s="18" t="str">
        <f aca="true">IF(F1205="","",F1205-TODAY())</f>
        <v/>
      </c>
      <c r="J1205" s="19" t="str">
        <f aca="true">IF(F1205="","",IF(TODAY()&lt;D1205,"Başlamadı",IF(TODAY()&gt;F1205,"Bitti",IF(F1205-TODAY()&lt;=7,"Bitiyor","Aktif"))))</f>
        <v/>
      </c>
      <c r="K1205" s="19" t="str">
        <f aca="false">IF(OR(J1205="Aktif",J1205="Bitiyor"),F1205+ROW()/1000000,"")</f>
        <v/>
      </c>
    </row>
    <row r="1206" customFormat="false" ht="15" hidden="false" customHeight="false" outlineLevel="0" collapsed="false">
      <c r="A1206" s="12"/>
      <c r="B1206" s="12"/>
      <c r="C1206" s="13"/>
      <c r="D1206" s="14"/>
      <c r="E1206" s="15"/>
      <c r="F1206" s="16" t="str">
        <f aca="false">IF(OR(C1206="",D1206=""),"",EDATE(D1206,IFERROR(INDEX(Paketler!$B$5:$B$24,MATCH(C1206,Paketler!$A$5:$A$24,0)),0))-1)</f>
        <v/>
      </c>
      <c r="G1206" s="17" t="str">
        <f aca="false">IF(F1206="","",IFERROR(INDEX(Paketler!$C$5:$C$24,MATCH(C1206,Paketler!$A$5:$A$24,0)),0))</f>
        <v/>
      </c>
      <c r="H1206" s="17" t="str">
        <f aca="false">IF(F1206="","",G1206-E1206)</f>
        <v/>
      </c>
      <c r="I1206" s="18" t="str">
        <f aca="true">IF(F1206="","",F1206-TODAY())</f>
        <v/>
      </c>
      <c r="J1206" s="19" t="str">
        <f aca="true">IF(F1206="","",IF(TODAY()&lt;D1206,"Başlamadı",IF(TODAY()&gt;F1206,"Bitti",IF(F1206-TODAY()&lt;=7,"Bitiyor","Aktif"))))</f>
        <v/>
      </c>
      <c r="K1206" s="19" t="str">
        <f aca="false">IF(OR(J1206="Aktif",J1206="Bitiyor"),F1206+ROW()/1000000,"")</f>
        <v/>
      </c>
    </row>
    <row r="1207" customFormat="false" ht="15" hidden="false" customHeight="false" outlineLevel="0" collapsed="false">
      <c r="A1207" s="12"/>
      <c r="B1207" s="12"/>
      <c r="C1207" s="13"/>
      <c r="D1207" s="14"/>
      <c r="E1207" s="15"/>
      <c r="F1207" s="16" t="str">
        <f aca="false">IF(OR(C1207="",D1207=""),"",EDATE(D1207,IFERROR(INDEX(Paketler!$B$5:$B$24,MATCH(C1207,Paketler!$A$5:$A$24,0)),0))-1)</f>
        <v/>
      </c>
      <c r="G1207" s="17" t="str">
        <f aca="false">IF(F1207="","",IFERROR(INDEX(Paketler!$C$5:$C$24,MATCH(C1207,Paketler!$A$5:$A$24,0)),0))</f>
        <v/>
      </c>
      <c r="H1207" s="17" t="str">
        <f aca="false">IF(F1207="","",G1207-E1207)</f>
        <v/>
      </c>
      <c r="I1207" s="18" t="str">
        <f aca="true">IF(F1207="","",F1207-TODAY())</f>
        <v/>
      </c>
      <c r="J1207" s="19" t="str">
        <f aca="true">IF(F1207="","",IF(TODAY()&lt;D1207,"Başlamadı",IF(TODAY()&gt;F1207,"Bitti",IF(F1207-TODAY()&lt;=7,"Bitiyor","Aktif"))))</f>
        <v/>
      </c>
      <c r="K1207" s="19" t="str">
        <f aca="false">IF(OR(J1207="Aktif",J1207="Bitiyor"),F1207+ROW()/1000000,"")</f>
        <v/>
      </c>
    </row>
    <row r="1208" customFormat="false" ht="15" hidden="false" customHeight="false" outlineLevel="0" collapsed="false">
      <c r="A1208" s="12"/>
      <c r="B1208" s="12"/>
      <c r="C1208" s="13"/>
      <c r="D1208" s="14"/>
      <c r="E1208" s="15"/>
      <c r="F1208" s="16" t="str">
        <f aca="false">IF(OR(C1208="",D1208=""),"",EDATE(D1208,IFERROR(INDEX(Paketler!$B$5:$B$24,MATCH(C1208,Paketler!$A$5:$A$24,0)),0))-1)</f>
        <v/>
      </c>
      <c r="G1208" s="17" t="str">
        <f aca="false">IF(F1208="","",IFERROR(INDEX(Paketler!$C$5:$C$24,MATCH(C1208,Paketler!$A$5:$A$24,0)),0))</f>
        <v/>
      </c>
      <c r="H1208" s="17" t="str">
        <f aca="false">IF(F1208="","",G1208-E1208)</f>
        <v/>
      </c>
      <c r="I1208" s="18" t="str">
        <f aca="true">IF(F1208="","",F1208-TODAY())</f>
        <v/>
      </c>
      <c r="J1208" s="19" t="str">
        <f aca="true">IF(F1208="","",IF(TODAY()&lt;D1208,"Başlamadı",IF(TODAY()&gt;F1208,"Bitti",IF(F1208-TODAY()&lt;=7,"Bitiyor","Aktif"))))</f>
        <v/>
      </c>
      <c r="K1208" s="19" t="str">
        <f aca="false">IF(OR(J1208="Aktif",J1208="Bitiyor"),F1208+ROW()/1000000,"")</f>
        <v/>
      </c>
    </row>
    <row r="1209" customFormat="false" ht="15" hidden="false" customHeight="false" outlineLevel="0" collapsed="false">
      <c r="A1209" s="12"/>
      <c r="B1209" s="12"/>
      <c r="C1209" s="13"/>
      <c r="D1209" s="14"/>
      <c r="E1209" s="15"/>
      <c r="F1209" s="16" t="str">
        <f aca="false">IF(OR(C1209="",D1209=""),"",EDATE(D1209,IFERROR(INDEX(Paketler!$B$5:$B$24,MATCH(C1209,Paketler!$A$5:$A$24,0)),0))-1)</f>
        <v/>
      </c>
      <c r="G1209" s="17" t="str">
        <f aca="false">IF(F1209="","",IFERROR(INDEX(Paketler!$C$5:$C$24,MATCH(C1209,Paketler!$A$5:$A$24,0)),0))</f>
        <v/>
      </c>
      <c r="H1209" s="17" t="str">
        <f aca="false">IF(F1209="","",G1209-E1209)</f>
        <v/>
      </c>
      <c r="I1209" s="18" t="str">
        <f aca="true">IF(F1209="","",F1209-TODAY())</f>
        <v/>
      </c>
      <c r="J1209" s="19" t="str">
        <f aca="true">IF(F1209="","",IF(TODAY()&lt;D1209,"Başlamadı",IF(TODAY()&gt;F1209,"Bitti",IF(F1209-TODAY()&lt;=7,"Bitiyor","Aktif"))))</f>
        <v/>
      </c>
      <c r="K1209" s="19" t="str">
        <f aca="false">IF(OR(J1209="Aktif",J1209="Bitiyor"),F1209+ROW()/1000000,"")</f>
        <v/>
      </c>
    </row>
    <row r="1210" customFormat="false" ht="15" hidden="false" customHeight="false" outlineLevel="0" collapsed="false">
      <c r="A1210" s="12"/>
      <c r="B1210" s="12"/>
      <c r="C1210" s="13"/>
      <c r="D1210" s="14"/>
      <c r="E1210" s="15"/>
      <c r="F1210" s="16" t="str">
        <f aca="false">IF(OR(C1210="",D1210=""),"",EDATE(D1210,IFERROR(INDEX(Paketler!$B$5:$B$24,MATCH(C1210,Paketler!$A$5:$A$24,0)),0))-1)</f>
        <v/>
      </c>
      <c r="G1210" s="17" t="str">
        <f aca="false">IF(F1210="","",IFERROR(INDEX(Paketler!$C$5:$C$24,MATCH(C1210,Paketler!$A$5:$A$24,0)),0))</f>
        <v/>
      </c>
      <c r="H1210" s="17" t="str">
        <f aca="false">IF(F1210="","",G1210-E1210)</f>
        <v/>
      </c>
      <c r="I1210" s="18" t="str">
        <f aca="true">IF(F1210="","",F1210-TODAY())</f>
        <v/>
      </c>
      <c r="J1210" s="19" t="str">
        <f aca="true">IF(F1210="","",IF(TODAY()&lt;D1210,"Başlamadı",IF(TODAY()&gt;F1210,"Bitti",IF(F1210-TODAY()&lt;=7,"Bitiyor","Aktif"))))</f>
        <v/>
      </c>
      <c r="K1210" s="19" t="str">
        <f aca="false">IF(OR(J1210="Aktif",J1210="Bitiyor"),F1210+ROW()/1000000,"")</f>
        <v/>
      </c>
    </row>
    <row r="1211" customFormat="false" ht="15" hidden="false" customHeight="false" outlineLevel="0" collapsed="false">
      <c r="A1211" s="12"/>
      <c r="B1211" s="12"/>
      <c r="C1211" s="13"/>
      <c r="D1211" s="14"/>
      <c r="E1211" s="15"/>
      <c r="F1211" s="16" t="str">
        <f aca="false">IF(OR(C1211="",D1211=""),"",EDATE(D1211,IFERROR(INDEX(Paketler!$B$5:$B$24,MATCH(C1211,Paketler!$A$5:$A$24,0)),0))-1)</f>
        <v/>
      </c>
      <c r="G1211" s="17" t="str">
        <f aca="false">IF(F1211="","",IFERROR(INDEX(Paketler!$C$5:$C$24,MATCH(C1211,Paketler!$A$5:$A$24,0)),0))</f>
        <v/>
      </c>
      <c r="H1211" s="17" t="str">
        <f aca="false">IF(F1211="","",G1211-E1211)</f>
        <v/>
      </c>
      <c r="I1211" s="18" t="str">
        <f aca="true">IF(F1211="","",F1211-TODAY())</f>
        <v/>
      </c>
      <c r="J1211" s="19" t="str">
        <f aca="true">IF(F1211="","",IF(TODAY()&lt;D1211,"Başlamadı",IF(TODAY()&gt;F1211,"Bitti",IF(F1211-TODAY()&lt;=7,"Bitiyor","Aktif"))))</f>
        <v/>
      </c>
      <c r="K1211" s="19" t="str">
        <f aca="false">IF(OR(J1211="Aktif",J1211="Bitiyor"),F1211+ROW()/1000000,"")</f>
        <v/>
      </c>
    </row>
    <row r="1212" customFormat="false" ht="15" hidden="false" customHeight="false" outlineLevel="0" collapsed="false">
      <c r="A1212" s="12"/>
      <c r="B1212" s="12"/>
      <c r="C1212" s="13"/>
      <c r="D1212" s="14"/>
      <c r="E1212" s="15"/>
      <c r="F1212" s="16" t="str">
        <f aca="false">IF(OR(C1212="",D1212=""),"",EDATE(D1212,IFERROR(INDEX(Paketler!$B$5:$B$24,MATCH(C1212,Paketler!$A$5:$A$24,0)),0))-1)</f>
        <v/>
      </c>
      <c r="G1212" s="17" t="str">
        <f aca="false">IF(F1212="","",IFERROR(INDEX(Paketler!$C$5:$C$24,MATCH(C1212,Paketler!$A$5:$A$24,0)),0))</f>
        <v/>
      </c>
      <c r="H1212" s="17" t="str">
        <f aca="false">IF(F1212="","",G1212-E1212)</f>
        <v/>
      </c>
      <c r="I1212" s="18" t="str">
        <f aca="true">IF(F1212="","",F1212-TODAY())</f>
        <v/>
      </c>
      <c r="J1212" s="19" t="str">
        <f aca="true">IF(F1212="","",IF(TODAY()&lt;D1212,"Başlamadı",IF(TODAY()&gt;F1212,"Bitti",IF(F1212-TODAY()&lt;=7,"Bitiyor","Aktif"))))</f>
        <v/>
      </c>
      <c r="K1212" s="19" t="str">
        <f aca="false">IF(OR(J1212="Aktif",J1212="Bitiyor"),F1212+ROW()/1000000,"")</f>
        <v/>
      </c>
    </row>
    <row r="1213" customFormat="false" ht="15" hidden="false" customHeight="false" outlineLevel="0" collapsed="false">
      <c r="A1213" s="12"/>
      <c r="B1213" s="12"/>
      <c r="C1213" s="13"/>
      <c r="D1213" s="14"/>
      <c r="E1213" s="15"/>
      <c r="F1213" s="16" t="str">
        <f aca="false">IF(OR(C1213="",D1213=""),"",EDATE(D1213,IFERROR(INDEX(Paketler!$B$5:$B$24,MATCH(C1213,Paketler!$A$5:$A$24,0)),0))-1)</f>
        <v/>
      </c>
      <c r="G1213" s="17" t="str">
        <f aca="false">IF(F1213="","",IFERROR(INDEX(Paketler!$C$5:$C$24,MATCH(C1213,Paketler!$A$5:$A$24,0)),0))</f>
        <v/>
      </c>
      <c r="H1213" s="17" t="str">
        <f aca="false">IF(F1213="","",G1213-E1213)</f>
        <v/>
      </c>
      <c r="I1213" s="18" t="str">
        <f aca="true">IF(F1213="","",F1213-TODAY())</f>
        <v/>
      </c>
      <c r="J1213" s="19" t="str">
        <f aca="true">IF(F1213="","",IF(TODAY()&lt;D1213,"Başlamadı",IF(TODAY()&gt;F1213,"Bitti",IF(F1213-TODAY()&lt;=7,"Bitiyor","Aktif"))))</f>
        <v/>
      </c>
      <c r="K1213" s="19" t="str">
        <f aca="false">IF(OR(J1213="Aktif",J1213="Bitiyor"),F1213+ROW()/1000000,"")</f>
        <v/>
      </c>
    </row>
    <row r="1214" customFormat="false" ht="15" hidden="false" customHeight="false" outlineLevel="0" collapsed="false">
      <c r="A1214" s="12"/>
      <c r="B1214" s="12"/>
      <c r="C1214" s="13"/>
      <c r="D1214" s="14"/>
      <c r="E1214" s="15"/>
      <c r="F1214" s="16" t="str">
        <f aca="false">IF(OR(C1214="",D1214=""),"",EDATE(D1214,IFERROR(INDEX(Paketler!$B$5:$B$24,MATCH(C1214,Paketler!$A$5:$A$24,0)),0))-1)</f>
        <v/>
      </c>
      <c r="G1214" s="17" t="str">
        <f aca="false">IF(F1214="","",IFERROR(INDEX(Paketler!$C$5:$C$24,MATCH(C1214,Paketler!$A$5:$A$24,0)),0))</f>
        <v/>
      </c>
      <c r="H1214" s="17" t="str">
        <f aca="false">IF(F1214="","",G1214-E1214)</f>
        <v/>
      </c>
      <c r="I1214" s="18" t="str">
        <f aca="true">IF(F1214="","",F1214-TODAY())</f>
        <v/>
      </c>
      <c r="J1214" s="19" t="str">
        <f aca="true">IF(F1214="","",IF(TODAY()&lt;D1214,"Başlamadı",IF(TODAY()&gt;F1214,"Bitti",IF(F1214-TODAY()&lt;=7,"Bitiyor","Aktif"))))</f>
        <v/>
      </c>
      <c r="K1214" s="19" t="str">
        <f aca="false">IF(OR(J1214="Aktif",J1214="Bitiyor"),F1214+ROW()/1000000,"")</f>
        <v/>
      </c>
    </row>
    <row r="1215" customFormat="false" ht="15" hidden="false" customHeight="false" outlineLevel="0" collapsed="false">
      <c r="A1215" s="12"/>
      <c r="B1215" s="12"/>
      <c r="C1215" s="13"/>
      <c r="D1215" s="14"/>
      <c r="E1215" s="15"/>
      <c r="F1215" s="16" t="str">
        <f aca="false">IF(OR(C1215="",D1215=""),"",EDATE(D1215,IFERROR(INDEX(Paketler!$B$5:$B$24,MATCH(C1215,Paketler!$A$5:$A$24,0)),0))-1)</f>
        <v/>
      </c>
      <c r="G1215" s="17" t="str">
        <f aca="false">IF(F1215="","",IFERROR(INDEX(Paketler!$C$5:$C$24,MATCH(C1215,Paketler!$A$5:$A$24,0)),0))</f>
        <v/>
      </c>
      <c r="H1215" s="17" t="str">
        <f aca="false">IF(F1215="","",G1215-E1215)</f>
        <v/>
      </c>
      <c r="I1215" s="18" t="str">
        <f aca="true">IF(F1215="","",F1215-TODAY())</f>
        <v/>
      </c>
      <c r="J1215" s="19" t="str">
        <f aca="true">IF(F1215="","",IF(TODAY()&lt;D1215,"Başlamadı",IF(TODAY()&gt;F1215,"Bitti",IF(F1215-TODAY()&lt;=7,"Bitiyor","Aktif"))))</f>
        <v/>
      </c>
      <c r="K1215" s="19" t="str">
        <f aca="false">IF(OR(J1215="Aktif",J1215="Bitiyor"),F1215+ROW()/1000000,"")</f>
        <v/>
      </c>
    </row>
    <row r="1216" customFormat="false" ht="15" hidden="false" customHeight="false" outlineLevel="0" collapsed="false">
      <c r="A1216" s="12"/>
      <c r="B1216" s="12"/>
      <c r="C1216" s="13"/>
      <c r="D1216" s="14"/>
      <c r="E1216" s="15"/>
      <c r="F1216" s="16" t="str">
        <f aca="false">IF(OR(C1216="",D1216=""),"",EDATE(D1216,IFERROR(INDEX(Paketler!$B$5:$B$24,MATCH(C1216,Paketler!$A$5:$A$24,0)),0))-1)</f>
        <v/>
      </c>
      <c r="G1216" s="17" t="str">
        <f aca="false">IF(F1216="","",IFERROR(INDEX(Paketler!$C$5:$C$24,MATCH(C1216,Paketler!$A$5:$A$24,0)),0))</f>
        <v/>
      </c>
      <c r="H1216" s="17" t="str">
        <f aca="false">IF(F1216="","",G1216-E1216)</f>
        <v/>
      </c>
      <c r="I1216" s="18" t="str">
        <f aca="true">IF(F1216="","",F1216-TODAY())</f>
        <v/>
      </c>
      <c r="J1216" s="19" t="str">
        <f aca="true">IF(F1216="","",IF(TODAY()&lt;D1216,"Başlamadı",IF(TODAY()&gt;F1216,"Bitti",IF(F1216-TODAY()&lt;=7,"Bitiyor","Aktif"))))</f>
        <v/>
      </c>
      <c r="K1216" s="19" t="str">
        <f aca="false">IF(OR(J1216="Aktif",J1216="Bitiyor"),F1216+ROW()/1000000,"")</f>
        <v/>
      </c>
    </row>
    <row r="1217" customFormat="false" ht="15" hidden="false" customHeight="false" outlineLevel="0" collapsed="false">
      <c r="A1217" s="12"/>
      <c r="B1217" s="12"/>
      <c r="C1217" s="13"/>
      <c r="D1217" s="14"/>
      <c r="E1217" s="15"/>
      <c r="F1217" s="16" t="str">
        <f aca="false">IF(OR(C1217="",D1217=""),"",EDATE(D1217,IFERROR(INDEX(Paketler!$B$5:$B$24,MATCH(C1217,Paketler!$A$5:$A$24,0)),0))-1)</f>
        <v/>
      </c>
      <c r="G1217" s="17" t="str">
        <f aca="false">IF(F1217="","",IFERROR(INDEX(Paketler!$C$5:$C$24,MATCH(C1217,Paketler!$A$5:$A$24,0)),0))</f>
        <v/>
      </c>
      <c r="H1217" s="17" t="str">
        <f aca="false">IF(F1217="","",G1217-E1217)</f>
        <v/>
      </c>
      <c r="I1217" s="18" t="str">
        <f aca="true">IF(F1217="","",F1217-TODAY())</f>
        <v/>
      </c>
      <c r="J1217" s="19" t="str">
        <f aca="true">IF(F1217="","",IF(TODAY()&lt;D1217,"Başlamadı",IF(TODAY()&gt;F1217,"Bitti",IF(F1217-TODAY()&lt;=7,"Bitiyor","Aktif"))))</f>
        <v/>
      </c>
      <c r="K1217" s="19" t="str">
        <f aca="false">IF(OR(J1217="Aktif",J1217="Bitiyor"),F1217+ROW()/1000000,"")</f>
        <v/>
      </c>
    </row>
    <row r="1218" customFormat="false" ht="15" hidden="false" customHeight="false" outlineLevel="0" collapsed="false">
      <c r="A1218" s="12"/>
      <c r="B1218" s="12"/>
      <c r="C1218" s="13"/>
      <c r="D1218" s="14"/>
      <c r="E1218" s="15"/>
      <c r="F1218" s="16" t="str">
        <f aca="false">IF(OR(C1218="",D1218=""),"",EDATE(D1218,IFERROR(INDEX(Paketler!$B$5:$B$24,MATCH(C1218,Paketler!$A$5:$A$24,0)),0))-1)</f>
        <v/>
      </c>
      <c r="G1218" s="17" t="str">
        <f aca="false">IF(F1218="","",IFERROR(INDEX(Paketler!$C$5:$C$24,MATCH(C1218,Paketler!$A$5:$A$24,0)),0))</f>
        <v/>
      </c>
      <c r="H1218" s="17" t="str">
        <f aca="false">IF(F1218="","",G1218-E1218)</f>
        <v/>
      </c>
      <c r="I1218" s="18" t="str">
        <f aca="true">IF(F1218="","",F1218-TODAY())</f>
        <v/>
      </c>
      <c r="J1218" s="19" t="str">
        <f aca="true">IF(F1218="","",IF(TODAY()&lt;D1218,"Başlamadı",IF(TODAY()&gt;F1218,"Bitti",IF(F1218-TODAY()&lt;=7,"Bitiyor","Aktif"))))</f>
        <v/>
      </c>
      <c r="K1218" s="19" t="str">
        <f aca="false">IF(OR(J1218="Aktif",J1218="Bitiyor"),F1218+ROW()/1000000,"")</f>
        <v/>
      </c>
    </row>
    <row r="1219" customFormat="false" ht="15" hidden="false" customHeight="false" outlineLevel="0" collapsed="false">
      <c r="A1219" s="12"/>
      <c r="B1219" s="12"/>
      <c r="C1219" s="13"/>
      <c r="D1219" s="14"/>
      <c r="E1219" s="15"/>
      <c r="F1219" s="16" t="str">
        <f aca="false">IF(OR(C1219="",D1219=""),"",EDATE(D1219,IFERROR(INDEX(Paketler!$B$5:$B$24,MATCH(C1219,Paketler!$A$5:$A$24,0)),0))-1)</f>
        <v/>
      </c>
      <c r="G1219" s="17" t="str">
        <f aca="false">IF(F1219="","",IFERROR(INDEX(Paketler!$C$5:$C$24,MATCH(C1219,Paketler!$A$5:$A$24,0)),0))</f>
        <v/>
      </c>
      <c r="H1219" s="17" t="str">
        <f aca="false">IF(F1219="","",G1219-E1219)</f>
        <v/>
      </c>
      <c r="I1219" s="18" t="str">
        <f aca="true">IF(F1219="","",F1219-TODAY())</f>
        <v/>
      </c>
      <c r="J1219" s="19" t="str">
        <f aca="true">IF(F1219="","",IF(TODAY()&lt;D1219,"Başlamadı",IF(TODAY()&gt;F1219,"Bitti",IF(F1219-TODAY()&lt;=7,"Bitiyor","Aktif"))))</f>
        <v/>
      </c>
      <c r="K1219" s="19" t="str">
        <f aca="false">IF(OR(J1219="Aktif",J1219="Bitiyor"),F1219+ROW()/1000000,"")</f>
        <v/>
      </c>
    </row>
    <row r="1220" customFormat="false" ht="15" hidden="false" customHeight="false" outlineLevel="0" collapsed="false">
      <c r="A1220" s="12"/>
      <c r="B1220" s="12"/>
      <c r="C1220" s="13"/>
      <c r="D1220" s="14"/>
      <c r="E1220" s="15"/>
      <c r="F1220" s="16" t="str">
        <f aca="false">IF(OR(C1220="",D1220=""),"",EDATE(D1220,IFERROR(INDEX(Paketler!$B$5:$B$24,MATCH(C1220,Paketler!$A$5:$A$24,0)),0))-1)</f>
        <v/>
      </c>
      <c r="G1220" s="17" t="str">
        <f aca="false">IF(F1220="","",IFERROR(INDEX(Paketler!$C$5:$C$24,MATCH(C1220,Paketler!$A$5:$A$24,0)),0))</f>
        <v/>
      </c>
      <c r="H1220" s="17" t="str">
        <f aca="false">IF(F1220="","",G1220-E1220)</f>
        <v/>
      </c>
      <c r="I1220" s="18" t="str">
        <f aca="true">IF(F1220="","",F1220-TODAY())</f>
        <v/>
      </c>
      <c r="J1220" s="19" t="str">
        <f aca="true">IF(F1220="","",IF(TODAY()&lt;D1220,"Başlamadı",IF(TODAY()&gt;F1220,"Bitti",IF(F1220-TODAY()&lt;=7,"Bitiyor","Aktif"))))</f>
        <v/>
      </c>
      <c r="K1220" s="19" t="str">
        <f aca="false">IF(OR(J1220="Aktif",J1220="Bitiyor"),F1220+ROW()/1000000,"")</f>
        <v/>
      </c>
    </row>
    <row r="1221" customFormat="false" ht="15" hidden="false" customHeight="false" outlineLevel="0" collapsed="false">
      <c r="A1221" s="12"/>
      <c r="B1221" s="12"/>
      <c r="C1221" s="13"/>
      <c r="D1221" s="14"/>
      <c r="E1221" s="15"/>
      <c r="F1221" s="16" t="str">
        <f aca="false">IF(OR(C1221="",D1221=""),"",EDATE(D1221,IFERROR(INDEX(Paketler!$B$5:$B$24,MATCH(C1221,Paketler!$A$5:$A$24,0)),0))-1)</f>
        <v/>
      </c>
      <c r="G1221" s="17" t="str">
        <f aca="false">IF(F1221="","",IFERROR(INDEX(Paketler!$C$5:$C$24,MATCH(C1221,Paketler!$A$5:$A$24,0)),0))</f>
        <v/>
      </c>
      <c r="H1221" s="17" t="str">
        <f aca="false">IF(F1221="","",G1221-E1221)</f>
        <v/>
      </c>
      <c r="I1221" s="18" t="str">
        <f aca="true">IF(F1221="","",F1221-TODAY())</f>
        <v/>
      </c>
      <c r="J1221" s="19" t="str">
        <f aca="true">IF(F1221="","",IF(TODAY()&lt;D1221,"Başlamadı",IF(TODAY()&gt;F1221,"Bitti",IF(F1221-TODAY()&lt;=7,"Bitiyor","Aktif"))))</f>
        <v/>
      </c>
      <c r="K1221" s="19" t="str">
        <f aca="false">IF(OR(J1221="Aktif",J1221="Bitiyor"),F1221+ROW()/1000000,"")</f>
        <v/>
      </c>
    </row>
    <row r="1222" customFormat="false" ht="15" hidden="false" customHeight="false" outlineLevel="0" collapsed="false">
      <c r="A1222" s="12"/>
      <c r="B1222" s="12"/>
      <c r="C1222" s="13"/>
      <c r="D1222" s="14"/>
      <c r="E1222" s="15"/>
      <c r="F1222" s="16" t="str">
        <f aca="false">IF(OR(C1222="",D1222=""),"",EDATE(D1222,IFERROR(INDEX(Paketler!$B$5:$B$24,MATCH(C1222,Paketler!$A$5:$A$24,0)),0))-1)</f>
        <v/>
      </c>
      <c r="G1222" s="17" t="str">
        <f aca="false">IF(F1222="","",IFERROR(INDEX(Paketler!$C$5:$C$24,MATCH(C1222,Paketler!$A$5:$A$24,0)),0))</f>
        <v/>
      </c>
      <c r="H1222" s="17" t="str">
        <f aca="false">IF(F1222="","",G1222-E1222)</f>
        <v/>
      </c>
      <c r="I1222" s="18" t="str">
        <f aca="true">IF(F1222="","",F1222-TODAY())</f>
        <v/>
      </c>
      <c r="J1222" s="19" t="str">
        <f aca="true">IF(F1222="","",IF(TODAY()&lt;D1222,"Başlamadı",IF(TODAY()&gt;F1222,"Bitti",IF(F1222-TODAY()&lt;=7,"Bitiyor","Aktif"))))</f>
        <v/>
      </c>
      <c r="K1222" s="19" t="str">
        <f aca="false">IF(OR(J1222="Aktif",J1222="Bitiyor"),F1222+ROW()/1000000,"")</f>
        <v/>
      </c>
    </row>
    <row r="1223" customFormat="false" ht="15" hidden="false" customHeight="false" outlineLevel="0" collapsed="false">
      <c r="A1223" s="12"/>
      <c r="B1223" s="12"/>
      <c r="C1223" s="13"/>
      <c r="D1223" s="14"/>
      <c r="E1223" s="15"/>
      <c r="F1223" s="16" t="str">
        <f aca="false">IF(OR(C1223="",D1223=""),"",EDATE(D1223,IFERROR(INDEX(Paketler!$B$5:$B$24,MATCH(C1223,Paketler!$A$5:$A$24,0)),0))-1)</f>
        <v/>
      </c>
      <c r="G1223" s="17" t="str">
        <f aca="false">IF(F1223="","",IFERROR(INDEX(Paketler!$C$5:$C$24,MATCH(C1223,Paketler!$A$5:$A$24,0)),0))</f>
        <v/>
      </c>
      <c r="H1223" s="17" t="str">
        <f aca="false">IF(F1223="","",G1223-E1223)</f>
        <v/>
      </c>
      <c r="I1223" s="18" t="str">
        <f aca="true">IF(F1223="","",F1223-TODAY())</f>
        <v/>
      </c>
      <c r="J1223" s="19" t="str">
        <f aca="true">IF(F1223="","",IF(TODAY()&lt;D1223,"Başlamadı",IF(TODAY()&gt;F1223,"Bitti",IF(F1223-TODAY()&lt;=7,"Bitiyor","Aktif"))))</f>
        <v/>
      </c>
      <c r="K1223" s="19" t="str">
        <f aca="false">IF(OR(J1223="Aktif",J1223="Bitiyor"),F1223+ROW()/1000000,"")</f>
        <v/>
      </c>
    </row>
    <row r="1224" customFormat="false" ht="15" hidden="false" customHeight="false" outlineLevel="0" collapsed="false">
      <c r="A1224" s="12"/>
      <c r="B1224" s="12"/>
      <c r="C1224" s="13"/>
      <c r="D1224" s="14"/>
      <c r="E1224" s="15"/>
      <c r="F1224" s="16" t="str">
        <f aca="false">IF(OR(C1224="",D1224=""),"",EDATE(D1224,IFERROR(INDEX(Paketler!$B$5:$B$24,MATCH(C1224,Paketler!$A$5:$A$24,0)),0))-1)</f>
        <v/>
      </c>
      <c r="G1224" s="17" t="str">
        <f aca="false">IF(F1224="","",IFERROR(INDEX(Paketler!$C$5:$C$24,MATCH(C1224,Paketler!$A$5:$A$24,0)),0))</f>
        <v/>
      </c>
      <c r="H1224" s="17" t="str">
        <f aca="false">IF(F1224="","",G1224-E1224)</f>
        <v/>
      </c>
      <c r="I1224" s="18" t="str">
        <f aca="true">IF(F1224="","",F1224-TODAY())</f>
        <v/>
      </c>
      <c r="J1224" s="19" t="str">
        <f aca="true">IF(F1224="","",IF(TODAY()&lt;D1224,"Başlamadı",IF(TODAY()&gt;F1224,"Bitti",IF(F1224-TODAY()&lt;=7,"Bitiyor","Aktif"))))</f>
        <v/>
      </c>
      <c r="K1224" s="19" t="str">
        <f aca="false">IF(OR(J1224="Aktif",J1224="Bitiyor"),F1224+ROW()/1000000,"")</f>
        <v/>
      </c>
    </row>
    <row r="1225" customFormat="false" ht="15" hidden="false" customHeight="false" outlineLevel="0" collapsed="false">
      <c r="A1225" s="12"/>
      <c r="B1225" s="12"/>
      <c r="C1225" s="13"/>
      <c r="D1225" s="14"/>
      <c r="E1225" s="15"/>
      <c r="F1225" s="16" t="str">
        <f aca="false">IF(OR(C1225="",D1225=""),"",EDATE(D1225,IFERROR(INDEX(Paketler!$B$5:$B$24,MATCH(C1225,Paketler!$A$5:$A$24,0)),0))-1)</f>
        <v/>
      </c>
      <c r="G1225" s="17" t="str">
        <f aca="false">IF(F1225="","",IFERROR(INDEX(Paketler!$C$5:$C$24,MATCH(C1225,Paketler!$A$5:$A$24,0)),0))</f>
        <v/>
      </c>
      <c r="H1225" s="17" t="str">
        <f aca="false">IF(F1225="","",G1225-E1225)</f>
        <v/>
      </c>
      <c r="I1225" s="18" t="str">
        <f aca="true">IF(F1225="","",F1225-TODAY())</f>
        <v/>
      </c>
      <c r="J1225" s="19" t="str">
        <f aca="true">IF(F1225="","",IF(TODAY()&lt;D1225,"Başlamadı",IF(TODAY()&gt;F1225,"Bitti",IF(F1225-TODAY()&lt;=7,"Bitiyor","Aktif"))))</f>
        <v/>
      </c>
      <c r="K1225" s="19" t="str">
        <f aca="false">IF(OR(J1225="Aktif",J1225="Bitiyor"),F1225+ROW()/1000000,"")</f>
        <v/>
      </c>
    </row>
    <row r="1226" customFormat="false" ht="15" hidden="false" customHeight="false" outlineLevel="0" collapsed="false">
      <c r="A1226" s="12"/>
      <c r="B1226" s="12"/>
      <c r="C1226" s="13"/>
      <c r="D1226" s="14"/>
      <c r="E1226" s="15"/>
      <c r="F1226" s="16" t="str">
        <f aca="false">IF(OR(C1226="",D1226=""),"",EDATE(D1226,IFERROR(INDEX(Paketler!$B$5:$B$24,MATCH(C1226,Paketler!$A$5:$A$24,0)),0))-1)</f>
        <v/>
      </c>
      <c r="G1226" s="17" t="str">
        <f aca="false">IF(F1226="","",IFERROR(INDEX(Paketler!$C$5:$C$24,MATCH(C1226,Paketler!$A$5:$A$24,0)),0))</f>
        <v/>
      </c>
      <c r="H1226" s="17" t="str">
        <f aca="false">IF(F1226="","",G1226-E1226)</f>
        <v/>
      </c>
      <c r="I1226" s="18" t="str">
        <f aca="true">IF(F1226="","",F1226-TODAY())</f>
        <v/>
      </c>
      <c r="J1226" s="19" t="str">
        <f aca="true">IF(F1226="","",IF(TODAY()&lt;D1226,"Başlamadı",IF(TODAY()&gt;F1226,"Bitti",IF(F1226-TODAY()&lt;=7,"Bitiyor","Aktif"))))</f>
        <v/>
      </c>
      <c r="K1226" s="19" t="str">
        <f aca="false">IF(OR(J1226="Aktif",J1226="Bitiyor"),F1226+ROW()/1000000,"")</f>
        <v/>
      </c>
    </row>
    <row r="1227" customFormat="false" ht="15" hidden="false" customHeight="false" outlineLevel="0" collapsed="false">
      <c r="A1227" s="12"/>
      <c r="B1227" s="12"/>
      <c r="C1227" s="13"/>
      <c r="D1227" s="14"/>
      <c r="E1227" s="15"/>
      <c r="F1227" s="16" t="str">
        <f aca="false">IF(OR(C1227="",D1227=""),"",EDATE(D1227,IFERROR(INDEX(Paketler!$B$5:$B$24,MATCH(C1227,Paketler!$A$5:$A$24,0)),0))-1)</f>
        <v/>
      </c>
      <c r="G1227" s="17" t="str">
        <f aca="false">IF(F1227="","",IFERROR(INDEX(Paketler!$C$5:$C$24,MATCH(C1227,Paketler!$A$5:$A$24,0)),0))</f>
        <v/>
      </c>
      <c r="H1227" s="17" t="str">
        <f aca="false">IF(F1227="","",G1227-E1227)</f>
        <v/>
      </c>
      <c r="I1227" s="18" t="str">
        <f aca="true">IF(F1227="","",F1227-TODAY())</f>
        <v/>
      </c>
      <c r="J1227" s="19" t="str">
        <f aca="true">IF(F1227="","",IF(TODAY()&lt;D1227,"Başlamadı",IF(TODAY()&gt;F1227,"Bitti",IF(F1227-TODAY()&lt;=7,"Bitiyor","Aktif"))))</f>
        <v/>
      </c>
      <c r="K1227" s="19" t="str">
        <f aca="false">IF(OR(J1227="Aktif",J1227="Bitiyor"),F1227+ROW()/1000000,"")</f>
        <v/>
      </c>
    </row>
    <row r="1228" customFormat="false" ht="15" hidden="false" customHeight="false" outlineLevel="0" collapsed="false">
      <c r="A1228" s="12"/>
      <c r="B1228" s="12"/>
      <c r="C1228" s="13"/>
      <c r="D1228" s="14"/>
      <c r="E1228" s="15"/>
      <c r="F1228" s="16" t="str">
        <f aca="false">IF(OR(C1228="",D1228=""),"",EDATE(D1228,IFERROR(INDEX(Paketler!$B$5:$B$24,MATCH(C1228,Paketler!$A$5:$A$24,0)),0))-1)</f>
        <v/>
      </c>
      <c r="G1228" s="17" t="str">
        <f aca="false">IF(F1228="","",IFERROR(INDEX(Paketler!$C$5:$C$24,MATCH(C1228,Paketler!$A$5:$A$24,0)),0))</f>
        <v/>
      </c>
      <c r="H1228" s="17" t="str">
        <f aca="false">IF(F1228="","",G1228-E1228)</f>
        <v/>
      </c>
      <c r="I1228" s="18" t="str">
        <f aca="true">IF(F1228="","",F1228-TODAY())</f>
        <v/>
      </c>
      <c r="J1228" s="19" t="str">
        <f aca="true">IF(F1228="","",IF(TODAY()&lt;D1228,"Başlamadı",IF(TODAY()&gt;F1228,"Bitti",IF(F1228-TODAY()&lt;=7,"Bitiyor","Aktif"))))</f>
        <v/>
      </c>
      <c r="K1228" s="19" t="str">
        <f aca="false">IF(OR(J1228="Aktif",J1228="Bitiyor"),F1228+ROW()/1000000,"")</f>
        <v/>
      </c>
    </row>
    <row r="1229" customFormat="false" ht="15" hidden="false" customHeight="false" outlineLevel="0" collapsed="false">
      <c r="A1229" s="12"/>
      <c r="B1229" s="12"/>
      <c r="C1229" s="13"/>
      <c r="D1229" s="14"/>
      <c r="E1229" s="15"/>
      <c r="F1229" s="16" t="str">
        <f aca="false">IF(OR(C1229="",D1229=""),"",EDATE(D1229,IFERROR(INDEX(Paketler!$B$5:$B$24,MATCH(C1229,Paketler!$A$5:$A$24,0)),0))-1)</f>
        <v/>
      </c>
      <c r="G1229" s="17" t="str">
        <f aca="false">IF(F1229="","",IFERROR(INDEX(Paketler!$C$5:$C$24,MATCH(C1229,Paketler!$A$5:$A$24,0)),0))</f>
        <v/>
      </c>
      <c r="H1229" s="17" t="str">
        <f aca="false">IF(F1229="","",G1229-E1229)</f>
        <v/>
      </c>
      <c r="I1229" s="18" t="str">
        <f aca="true">IF(F1229="","",F1229-TODAY())</f>
        <v/>
      </c>
      <c r="J1229" s="19" t="str">
        <f aca="true">IF(F1229="","",IF(TODAY()&lt;D1229,"Başlamadı",IF(TODAY()&gt;F1229,"Bitti",IF(F1229-TODAY()&lt;=7,"Bitiyor","Aktif"))))</f>
        <v/>
      </c>
      <c r="K1229" s="19" t="str">
        <f aca="false">IF(OR(J1229="Aktif",J1229="Bitiyor"),F1229+ROW()/1000000,"")</f>
        <v/>
      </c>
    </row>
    <row r="1230" customFormat="false" ht="15" hidden="false" customHeight="false" outlineLevel="0" collapsed="false">
      <c r="A1230" s="12"/>
      <c r="B1230" s="12"/>
      <c r="C1230" s="13"/>
      <c r="D1230" s="14"/>
      <c r="E1230" s="15"/>
      <c r="F1230" s="16" t="str">
        <f aca="false">IF(OR(C1230="",D1230=""),"",EDATE(D1230,IFERROR(INDEX(Paketler!$B$5:$B$24,MATCH(C1230,Paketler!$A$5:$A$24,0)),0))-1)</f>
        <v/>
      </c>
      <c r="G1230" s="17" t="str">
        <f aca="false">IF(F1230="","",IFERROR(INDEX(Paketler!$C$5:$C$24,MATCH(C1230,Paketler!$A$5:$A$24,0)),0))</f>
        <v/>
      </c>
      <c r="H1230" s="17" t="str">
        <f aca="false">IF(F1230="","",G1230-E1230)</f>
        <v/>
      </c>
      <c r="I1230" s="18" t="str">
        <f aca="true">IF(F1230="","",F1230-TODAY())</f>
        <v/>
      </c>
      <c r="J1230" s="19" t="str">
        <f aca="true">IF(F1230="","",IF(TODAY()&lt;D1230,"Başlamadı",IF(TODAY()&gt;F1230,"Bitti",IF(F1230-TODAY()&lt;=7,"Bitiyor","Aktif"))))</f>
        <v/>
      </c>
      <c r="K1230" s="19" t="str">
        <f aca="false">IF(OR(J1230="Aktif",J1230="Bitiyor"),F1230+ROW()/1000000,"")</f>
        <v/>
      </c>
    </row>
    <row r="1231" customFormat="false" ht="15" hidden="false" customHeight="false" outlineLevel="0" collapsed="false">
      <c r="A1231" s="12"/>
      <c r="B1231" s="12"/>
      <c r="C1231" s="13"/>
      <c r="D1231" s="14"/>
      <c r="E1231" s="15"/>
      <c r="F1231" s="16" t="str">
        <f aca="false">IF(OR(C1231="",D1231=""),"",EDATE(D1231,IFERROR(INDEX(Paketler!$B$5:$B$24,MATCH(C1231,Paketler!$A$5:$A$24,0)),0))-1)</f>
        <v/>
      </c>
      <c r="G1231" s="17" t="str">
        <f aca="false">IF(F1231="","",IFERROR(INDEX(Paketler!$C$5:$C$24,MATCH(C1231,Paketler!$A$5:$A$24,0)),0))</f>
        <v/>
      </c>
      <c r="H1231" s="17" t="str">
        <f aca="false">IF(F1231="","",G1231-E1231)</f>
        <v/>
      </c>
      <c r="I1231" s="18" t="str">
        <f aca="true">IF(F1231="","",F1231-TODAY())</f>
        <v/>
      </c>
      <c r="J1231" s="19" t="str">
        <f aca="true">IF(F1231="","",IF(TODAY()&lt;D1231,"Başlamadı",IF(TODAY()&gt;F1231,"Bitti",IF(F1231-TODAY()&lt;=7,"Bitiyor","Aktif"))))</f>
        <v/>
      </c>
      <c r="K1231" s="19" t="str">
        <f aca="false">IF(OR(J1231="Aktif",J1231="Bitiyor"),F1231+ROW()/1000000,"")</f>
        <v/>
      </c>
    </row>
    <row r="1232" customFormat="false" ht="15" hidden="false" customHeight="false" outlineLevel="0" collapsed="false">
      <c r="A1232" s="12"/>
      <c r="B1232" s="12"/>
      <c r="C1232" s="13"/>
      <c r="D1232" s="14"/>
      <c r="E1232" s="15"/>
      <c r="F1232" s="16" t="str">
        <f aca="false">IF(OR(C1232="",D1232=""),"",EDATE(D1232,IFERROR(INDEX(Paketler!$B$5:$B$24,MATCH(C1232,Paketler!$A$5:$A$24,0)),0))-1)</f>
        <v/>
      </c>
      <c r="G1232" s="17" t="str">
        <f aca="false">IF(F1232="","",IFERROR(INDEX(Paketler!$C$5:$C$24,MATCH(C1232,Paketler!$A$5:$A$24,0)),0))</f>
        <v/>
      </c>
      <c r="H1232" s="17" t="str">
        <f aca="false">IF(F1232="","",G1232-E1232)</f>
        <v/>
      </c>
      <c r="I1232" s="18" t="str">
        <f aca="true">IF(F1232="","",F1232-TODAY())</f>
        <v/>
      </c>
      <c r="J1232" s="19" t="str">
        <f aca="true">IF(F1232="","",IF(TODAY()&lt;D1232,"Başlamadı",IF(TODAY()&gt;F1232,"Bitti",IF(F1232-TODAY()&lt;=7,"Bitiyor","Aktif"))))</f>
        <v/>
      </c>
      <c r="K1232" s="19" t="str">
        <f aca="false">IF(OR(J1232="Aktif",J1232="Bitiyor"),F1232+ROW()/1000000,"")</f>
        <v/>
      </c>
    </row>
    <row r="1233" customFormat="false" ht="15" hidden="false" customHeight="false" outlineLevel="0" collapsed="false">
      <c r="A1233" s="12"/>
      <c r="B1233" s="12"/>
      <c r="C1233" s="13"/>
      <c r="D1233" s="14"/>
      <c r="E1233" s="15"/>
      <c r="F1233" s="16" t="str">
        <f aca="false">IF(OR(C1233="",D1233=""),"",EDATE(D1233,IFERROR(INDEX(Paketler!$B$5:$B$24,MATCH(C1233,Paketler!$A$5:$A$24,0)),0))-1)</f>
        <v/>
      </c>
      <c r="G1233" s="17" t="str">
        <f aca="false">IF(F1233="","",IFERROR(INDEX(Paketler!$C$5:$C$24,MATCH(C1233,Paketler!$A$5:$A$24,0)),0))</f>
        <v/>
      </c>
      <c r="H1233" s="17" t="str">
        <f aca="false">IF(F1233="","",G1233-E1233)</f>
        <v/>
      </c>
      <c r="I1233" s="18" t="str">
        <f aca="true">IF(F1233="","",F1233-TODAY())</f>
        <v/>
      </c>
      <c r="J1233" s="19" t="str">
        <f aca="true">IF(F1233="","",IF(TODAY()&lt;D1233,"Başlamadı",IF(TODAY()&gt;F1233,"Bitti",IF(F1233-TODAY()&lt;=7,"Bitiyor","Aktif"))))</f>
        <v/>
      </c>
      <c r="K1233" s="19" t="str">
        <f aca="false">IF(OR(J1233="Aktif",J1233="Bitiyor"),F1233+ROW()/1000000,"")</f>
        <v/>
      </c>
    </row>
    <row r="1234" customFormat="false" ht="15" hidden="false" customHeight="false" outlineLevel="0" collapsed="false">
      <c r="A1234" s="12"/>
      <c r="B1234" s="12"/>
      <c r="C1234" s="13"/>
      <c r="D1234" s="14"/>
      <c r="E1234" s="15"/>
      <c r="F1234" s="16" t="str">
        <f aca="false">IF(OR(C1234="",D1234=""),"",EDATE(D1234,IFERROR(INDEX(Paketler!$B$5:$B$24,MATCH(C1234,Paketler!$A$5:$A$24,0)),0))-1)</f>
        <v/>
      </c>
      <c r="G1234" s="17" t="str">
        <f aca="false">IF(F1234="","",IFERROR(INDEX(Paketler!$C$5:$C$24,MATCH(C1234,Paketler!$A$5:$A$24,0)),0))</f>
        <v/>
      </c>
      <c r="H1234" s="17" t="str">
        <f aca="false">IF(F1234="","",G1234-E1234)</f>
        <v/>
      </c>
      <c r="I1234" s="18" t="str">
        <f aca="true">IF(F1234="","",F1234-TODAY())</f>
        <v/>
      </c>
      <c r="J1234" s="19" t="str">
        <f aca="true">IF(F1234="","",IF(TODAY()&lt;D1234,"Başlamadı",IF(TODAY()&gt;F1234,"Bitti",IF(F1234-TODAY()&lt;=7,"Bitiyor","Aktif"))))</f>
        <v/>
      </c>
      <c r="K1234" s="19" t="str">
        <f aca="false">IF(OR(J1234="Aktif",J1234="Bitiyor"),F1234+ROW()/1000000,"")</f>
        <v/>
      </c>
    </row>
    <row r="1235" customFormat="false" ht="15" hidden="false" customHeight="false" outlineLevel="0" collapsed="false">
      <c r="A1235" s="12"/>
      <c r="B1235" s="12"/>
      <c r="C1235" s="13"/>
      <c r="D1235" s="14"/>
      <c r="E1235" s="15"/>
      <c r="F1235" s="16" t="str">
        <f aca="false">IF(OR(C1235="",D1235=""),"",EDATE(D1235,IFERROR(INDEX(Paketler!$B$5:$B$24,MATCH(C1235,Paketler!$A$5:$A$24,0)),0))-1)</f>
        <v/>
      </c>
      <c r="G1235" s="17" t="str">
        <f aca="false">IF(F1235="","",IFERROR(INDEX(Paketler!$C$5:$C$24,MATCH(C1235,Paketler!$A$5:$A$24,0)),0))</f>
        <v/>
      </c>
      <c r="H1235" s="17" t="str">
        <f aca="false">IF(F1235="","",G1235-E1235)</f>
        <v/>
      </c>
      <c r="I1235" s="18" t="str">
        <f aca="true">IF(F1235="","",F1235-TODAY())</f>
        <v/>
      </c>
      <c r="J1235" s="19" t="str">
        <f aca="true">IF(F1235="","",IF(TODAY()&lt;D1235,"Başlamadı",IF(TODAY()&gt;F1235,"Bitti",IF(F1235-TODAY()&lt;=7,"Bitiyor","Aktif"))))</f>
        <v/>
      </c>
      <c r="K1235" s="19" t="str">
        <f aca="false">IF(OR(J1235="Aktif",J1235="Bitiyor"),F1235+ROW()/1000000,"")</f>
        <v/>
      </c>
    </row>
    <row r="1236" customFormat="false" ht="15" hidden="false" customHeight="false" outlineLevel="0" collapsed="false">
      <c r="A1236" s="12"/>
      <c r="B1236" s="12"/>
      <c r="C1236" s="13"/>
      <c r="D1236" s="14"/>
      <c r="E1236" s="15"/>
      <c r="F1236" s="16" t="str">
        <f aca="false">IF(OR(C1236="",D1236=""),"",EDATE(D1236,IFERROR(INDEX(Paketler!$B$5:$B$24,MATCH(C1236,Paketler!$A$5:$A$24,0)),0))-1)</f>
        <v/>
      </c>
      <c r="G1236" s="17" t="str">
        <f aca="false">IF(F1236="","",IFERROR(INDEX(Paketler!$C$5:$C$24,MATCH(C1236,Paketler!$A$5:$A$24,0)),0))</f>
        <v/>
      </c>
      <c r="H1236" s="17" t="str">
        <f aca="false">IF(F1236="","",G1236-E1236)</f>
        <v/>
      </c>
      <c r="I1236" s="18" t="str">
        <f aca="true">IF(F1236="","",F1236-TODAY())</f>
        <v/>
      </c>
      <c r="J1236" s="19" t="str">
        <f aca="true">IF(F1236="","",IF(TODAY()&lt;D1236,"Başlamadı",IF(TODAY()&gt;F1236,"Bitti",IF(F1236-TODAY()&lt;=7,"Bitiyor","Aktif"))))</f>
        <v/>
      </c>
      <c r="K1236" s="19" t="str">
        <f aca="false">IF(OR(J1236="Aktif",J1236="Bitiyor"),F1236+ROW()/1000000,"")</f>
        <v/>
      </c>
    </row>
    <row r="1237" customFormat="false" ht="15" hidden="false" customHeight="false" outlineLevel="0" collapsed="false">
      <c r="A1237" s="12"/>
      <c r="B1237" s="12"/>
      <c r="C1237" s="13"/>
      <c r="D1237" s="14"/>
      <c r="E1237" s="15"/>
      <c r="F1237" s="16" t="str">
        <f aca="false">IF(OR(C1237="",D1237=""),"",EDATE(D1237,IFERROR(INDEX(Paketler!$B$5:$B$24,MATCH(C1237,Paketler!$A$5:$A$24,0)),0))-1)</f>
        <v/>
      </c>
      <c r="G1237" s="17" t="str">
        <f aca="false">IF(F1237="","",IFERROR(INDEX(Paketler!$C$5:$C$24,MATCH(C1237,Paketler!$A$5:$A$24,0)),0))</f>
        <v/>
      </c>
      <c r="H1237" s="17" t="str">
        <f aca="false">IF(F1237="","",G1237-E1237)</f>
        <v/>
      </c>
      <c r="I1237" s="18" t="str">
        <f aca="true">IF(F1237="","",F1237-TODAY())</f>
        <v/>
      </c>
      <c r="J1237" s="19" t="str">
        <f aca="true">IF(F1237="","",IF(TODAY()&lt;D1237,"Başlamadı",IF(TODAY()&gt;F1237,"Bitti",IF(F1237-TODAY()&lt;=7,"Bitiyor","Aktif"))))</f>
        <v/>
      </c>
      <c r="K1237" s="19" t="str">
        <f aca="false">IF(OR(J1237="Aktif",J1237="Bitiyor"),F1237+ROW()/1000000,"")</f>
        <v/>
      </c>
    </row>
    <row r="1238" customFormat="false" ht="15" hidden="false" customHeight="false" outlineLevel="0" collapsed="false">
      <c r="A1238" s="12"/>
      <c r="B1238" s="12"/>
      <c r="C1238" s="13"/>
      <c r="D1238" s="14"/>
      <c r="E1238" s="15"/>
      <c r="F1238" s="16" t="str">
        <f aca="false">IF(OR(C1238="",D1238=""),"",EDATE(D1238,IFERROR(INDEX(Paketler!$B$5:$B$24,MATCH(C1238,Paketler!$A$5:$A$24,0)),0))-1)</f>
        <v/>
      </c>
      <c r="G1238" s="17" t="str">
        <f aca="false">IF(F1238="","",IFERROR(INDEX(Paketler!$C$5:$C$24,MATCH(C1238,Paketler!$A$5:$A$24,0)),0))</f>
        <v/>
      </c>
      <c r="H1238" s="17" t="str">
        <f aca="false">IF(F1238="","",G1238-E1238)</f>
        <v/>
      </c>
      <c r="I1238" s="18" t="str">
        <f aca="true">IF(F1238="","",F1238-TODAY())</f>
        <v/>
      </c>
      <c r="J1238" s="19" t="str">
        <f aca="true">IF(F1238="","",IF(TODAY()&lt;D1238,"Başlamadı",IF(TODAY()&gt;F1238,"Bitti",IF(F1238-TODAY()&lt;=7,"Bitiyor","Aktif"))))</f>
        <v/>
      </c>
      <c r="K1238" s="19" t="str">
        <f aca="false">IF(OR(J1238="Aktif",J1238="Bitiyor"),F1238+ROW()/1000000,"")</f>
        <v/>
      </c>
    </row>
    <row r="1239" customFormat="false" ht="15" hidden="false" customHeight="false" outlineLevel="0" collapsed="false">
      <c r="A1239" s="12"/>
      <c r="B1239" s="12"/>
      <c r="C1239" s="13"/>
      <c r="D1239" s="14"/>
      <c r="E1239" s="15"/>
      <c r="F1239" s="16" t="str">
        <f aca="false">IF(OR(C1239="",D1239=""),"",EDATE(D1239,IFERROR(INDEX(Paketler!$B$5:$B$24,MATCH(C1239,Paketler!$A$5:$A$24,0)),0))-1)</f>
        <v/>
      </c>
      <c r="G1239" s="17" t="str">
        <f aca="false">IF(F1239="","",IFERROR(INDEX(Paketler!$C$5:$C$24,MATCH(C1239,Paketler!$A$5:$A$24,0)),0))</f>
        <v/>
      </c>
      <c r="H1239" s="17" t="str">
        <f aca="false">IF(F1239="","",G1239-E1239)</f>
        <v/>
      </c>
      <c r="I1239" s="18" t="str">
        <f aca="true">IF(F1239="","",F1239-TODAY())</f>
        <v/>
      </c>
      <c r="J1239" s="19" t="str">
        <f aca="true">IF(F1239="","",IF(TODAY()&lt;D1239,"Başlamadı",IF(TODAY()&gt;F1239,"Bitti",IF(F1239-TODAY()&lt;=7,"Bitiyor","Aktif"))))</f>
        <v/>
      </c>
      <c r="K1239" s="19" t="str">
        <f aca="false">IF(OR(J1239="Aktif",J1239="Bitiyor"),F1239+ROW()/1000000,"")</f>
        <v/>
      </c>
    </row>
    <row r="1240" customFormat="false" ht="15" hidden="false" customHeight="false" outlineLevel="0" collapsed="false">
      <c r="A1240" s="12"/>
      <c r="B1240" s="12"/>
      <c r="C1240" s="13"/>
      <c r="D1240" s="14"/>
      <c r="E1240" s="15"/>
      <c r="F1240" s="16" t="str">
        <f aca="false">IF(OR(C1240="",D1240=""),"",EDATE(D1240,IFERROR(INDEX(Paketler!$B$5:$B$24,MATCH(C1240,Paketler!$A$5:$A$24,0)),0))-1)</f>
        <v/>
      </c>
      <c r="G1240" s="17" t="str">
        <f aca="false">IF(F1240="","",IFERROR(INDEX(Paketler!$C$5:$C$24,MATCH(C1240,Paketler!$A$5:$A$24,0)),0))</f>
        <v/>
      </c>
      <c r="H1240" s="17" t="str">
        <f aca="false">IF(F1240="","",G1240-E1240)</f>
        <v/>
      </c>
      <c r="I1240" s="18" t="str">
        <f aca="true">IF(F1240="","",F1240-TODAY())</f>
        <v/>
      </c>
      <c r="J1240" s="19" t="str">
        <f aca="true">IF(F1240="","",IF(TODAY()&lt;D1240,"Başlamadı",IF(TODAY()&gt;F1240,"Bitti",IF(F1240-TODAY()&lt;=7,"Bitiyor","Aktif"))))</f>
        <v/>
      </c>
      <c r="K1240" s="19" t="str">
        <f aca="false">IF(OR(J1240="Aktif",J1240="Bitiyor"),F1240+ROW()/1000000,"")</f>
        <v/>
      </c>
    </row>
    <row r="1241" customFormat="false" ht="15" hidden="false" customHeight="false" outlineLevel="0" collapsed="false">
      <c r="A1241" s="12"/>
      <c r="B1241" s="12"/>
      <c r="C1241" s="13"/>
      <c r="D1241" s="14"/>
      <c r="E1241" s="15"/>
      <c r="F1241" s="16" t="str">
        <f aca="false">IF(OR(C1241="",D1241=""),"",EDATE(D1241,IFERROR(INDEX(Paketler!$B$5:$B$24,MATCH(C1241,Paketler!$A$5:$A$24,0)),0))-1)</f>
        <v/>
      </c>
      <c r="G1241" s="17" t="str">
        <f aca="false">IF(F1241="","",IFERROR(INDEX(Paketler!$C$5:$C$24,MATCH(C1241,Paketler!$A$5:$A$24,0)),0))</f>
        <v/>
      </c>
      <c r="H1241" s="17" t="str">
        <f aca="false">IF(F1241="","",G1241-E1241)</f>
        <v/>
      </c>
      <c r="I1241" s="18" t="str">
        <f aca="true">IF(F1241="","",F1241-TODAY())</f>
        <v/>
      </c>
      <c r="J1241" s="19" t="str">
        <f aca="true">IF(F1241="","",IF(TODAY()&lt;D1241,"Başlamadı",IF(TODAY()&gt;F1241,"Bitti",IF(F1241-TODAY()&lt;=7,"Bitiyor","Aktif"))))</f>
        <v/>
      </c>
      <c r="K1241" s="19" t="str">
        <f aca="false">IF(OR(J1241="Aktif",J1241="Bitiyor"),F1241+ROW()/1000000,"")</f>
        <v/>
      </c>
    </row>
    <row r="1242" customFormat="false" ht="15" hidden="false" customHeight="false" outlineLevel="0" collapsed="false">
      <c r="A1242" s="12"/>
      <c r="B1242" s="12"/>
      <c r="C1242" s="13"/>
      <c r="D1242" s="14"/>
      <c r="E1242" s="15"/>
      <c r="F1242" s="16" t="str">
        <f aca="false">IF(OR(C1242="",D1242=""),"",EDATE(D1242,IFERROR(INDEX(Paketler!$B$5:$B$24,MATCH(C1242,Paketler!$A$5:$A$24,0)),0))-1)</f>
        <v/>
      </c>
      <c r="G1242" s="17" t="str">
        <f aca="false">IF(F1242="","",IFERROR(INDEX(Paketler!$C$5:$C$24,MATCH(C1242,Paketler!$A$5:$A$24,0)),0))</f>
        <v/>
      </c>
      <c r="H1242" s="17" t="str">
        <f aca="false">IF(F1242="","",G1242-E1242)</f>
        <v/>
      </c>
      <c r="I1242" s="18" t="str">
        <f aca="true">IF(F1242="","",F1242-TODAY())</f>
        <v/>
      </c>
      <c r="J1242" s="19" t="str">
        <f aca="true">IF(F1242="","",IF(TODAY()&lt;D1242,"Başlamadı",IF(TODAY()&gt;F1242,"Bitti",IF(F1242-TODAY()&lt;=7,"Bitiyor","Aktif"))))</f>
        <v/>
      </c>
      <c r="K1242" s="19" t="str">
        <f aca="false">IF(OR(J1242="Aktif",J1242="Bitiyor"),F1242+ROW()/1000000,"")</f>
        <v/>
      </c>
    </row>
    <row r="1243" customFormat="false" ht="15" hidden="false" customHeight="false" outlineLevel="0" collapsed="false">
      <c r="A1243" s="12"/>
      <c r="B1243" s="12"/>
      <c r="C1243" s="13"/>
      <c r="D1243" s="14"/>
      <c r="E1243" s="15"/>
      <c r="F1243" s="16" t="str">
        <f aca="false">IF(OR(C1243="",D1243=""),"",EDATE(D1243,IFERROR(INDEX(Paketler!$B$5:$B$24,MATCH(C1243,Paketler!$A$5:$A$24,0)),0))-1)</f>
        <v/>
      </c>
      <c r="G1243" s="17" t="str">
        <f aca="false">IF(F1243="","",IFERROR(INDEX(Paketler!$C$5:$C$24,MATCH(C1243,Paketler!$A$5:$A$24,0)),0))</f>
        <v/>
      </c>
      <c r="H1243" s="17" t="str">
        <f aca="false">IF(F1243="","",G1243-E1243)</f>
        <v/>
      </c>
      <c r="I1243" s="18" t="str">
        <f aca="true">IF(F1243="","",F1243-TODAY())</f>
        <v/>
      </c>
      <c r="J1243" s="19" t="str">
        <f aca="true">IF(F1243="","",IF(TODAY()&lt;D1243,"Başlamadı",IF(TODAY()&gt;F1243,"Bitti",IF(F1243-TODAY()&lt;=7,"Bitiyor","Aktif"))))</f>
        <v/>
      </c>
      <c r="K1243" s="19" t="str">
        <f aca="false">IF(OR(J1243="Aktif",J1243="Bitiyor"),F1243+ROW()/1000000,"")</f>
        <v/>
      </c>
    </row>
    <row r="1244" customFormat="false" ht="15" hidden="false" customHeight="false" outlineLevel="0" collapsed="false">
      <c r="A1244" s="12"/>
      <c r="B1244" s="12"/>
      <c r="C1244" s="13"/>
      <c r="D1244" s="14"/>
      <c r="E1244" s="15"/>
      <c r="F1244" s="16" t="str">
        <f aca="false">IF(OR(C1244="",D1244=""),"",EDATE(D1244,IFERROR(INDEX(Paketler!$B$5:$B$24,MATCH(C1244,Paketler!$A$5:$A$24,0)),0))-1)</f>
        <v/>
      </c>
      <c r="G1244" s="17" t="str">
        <f aca="false">IF(F1244="","",IFERROR(INDEX(Paketler!$C$5:$C$24,MATCH(C1244,Paketler!$A$5:$A$24,0)),0))</f>
        <v/>
      </c>
      <c r="H1244" s="17" t="str">
        <f aca="false">IF(F1244="","",G1244-E1244)</f>
        <v/>
      </c>
      <c r="I1244" s="18" t="str">
        <f aca="true">IF(F1244="","",F1244-TODAY())</f>
        <v/>
      </c>
      <c r="J1244" s="19" t="str">
        <f aca="true">IF(F1244="","",IF(TODAY()&lt;D1244,"Başlamadı",IF(TODAY()&gt;F1244,"Bitti",IF(F1244-TODAY()&lt;=7,"Bitiyor","Aktif"))))</f>
        <v/>
      </c>
      <c r="K1244" s="19" t="str">
        <f aca="false">IF(OR(J1244="Aktif",J1244="Bitiyor"),F1244+ROW()/1000000,"")</f>
        <v/>
      </c>
    </row>
    <row r="1245" customFormat="false" ht="15" hidden="false" customHeight="false" outlineLevel="0" collapsed="false">
      <c r="A1245" s="12"/>
      <c r="B1245" s="12"/>
      <c r="C1245" s="13"/>
      <c r="D1245" s="14"/>
      <c r="E1245" s="15"/>
      <c r="F1245" s="16" t="str">
        <f aca="false">IF(OR(C1245="",D1245=""),"",EDATE(D1245,IFERROR(INDEX(Paketler!$B$5:$B$24,MATCH(C1245,Paketler!$A$5:$A$24,0)),0))-1)</f>
        <v/>
      </c>
      <c r="G1245" s="17" t="str">
        <f aca="false">IF(F1245="","",IFERROR(INDEX(Paketler!$C$5:$C$24,MATCH(C1245,Paketler!$A$5:$A$24,0)),0))</f>
        <v/>
      </c>
      <c r="H1245" s="17" t="str">
        <f aca="false">IF(F1245="","",G1245-E1245)</f>
        <v/>
      </c>
      <c r="I1245" s="18" t="str">
        <f aca="true">IF(F1245="","",F1245-TODAY())</f>
        <v/>
      </c>
      <c r="J1245" s="19" t="str">
        <f aca="true">IF(F1245="","",IF(TODAY()&lt;D1245,"Başlamadı",IF(TODAY()&gt;F1245,"Bitti",IF(F1245-TODAY()&lt;=7,"Bitiyor","Aktif"))))</f>
        <v/>
      </c>
      <c r="K1245" s="19" t="str">
        <f aca="false">IF(OR(J1245="Aktif",J1245="Bitiyor"),F1245+ROW()/1000000,"")</f>
        <v/>
      </c>
    </row>
    <row r="1246" customFormat="false" ht="15" hidden="false" customHeight="false" outlineLevel="0" collapsed="false">
      <c r="A1246" s="12"/>
      <c r="B1246" s="12"/>
      <c r="C1246" s="13"/>
      <c r="D1246" s="14"/>
      <c r="E1246" s="15"/>
      <c r="F1246" s="16" t="str">
        <f aca="false">IF(OR(C1246="",D1246=""),"",EDATE(D1246,IFERROR(INDEX(Paketler!$B$5:$B$24,MATCH(C1246,Paketler!$A$5:$A$24,0)),0))-1)</f>
        <v/>
      </c>
      <c r="G1246" s="17" t="str">
        <f aca="false">IF(F1246="","",IFERROR(INDEX(Paketler!$C$5:$C$24,MATCH(C1246,Paketler!$A$5:$A$24,0)),0))</f>
        <v/>
      </c>
      <c r="H1246" s="17" t="str">
        <f aca="false">IF(F1246="","",G1246-E1246)</f>
        <v/>
      </c>
      <c r="I1246" s="18" t="str">
        <f aca="true">IF(F1246="","",F1246-TODAY())</f>
        <v/>
      </c>
      <c r="J1246" s="19" t="str">
        <f aca="true">IF(F1246="","",IF(TODAY()&lt;D1246,"Başlamadı",IF(TODAY()&gt;F1246,"Bitti",IF(F1246-TODAY()&lt;=7,"Bitiyor","Aktif"))))</f>
        <v/>
      </c>
      <c r="K1246" s="19" t="str">
        <f aca="false">IF(OR(J1246="Aktif",J1246="Bitiyor"),F1246+ROW()/1000000,"")</f>
        <v/>
      </c>
    </row>
    <row r="1247" customFormat="false" ht="15" hidden="false" customHeight="false" outlineLevel="0" collapsed="false">
      <c r="A1247" s="12"/>
      <c r="B1247" s="12"/>
      <c r="C1247" s="13"/>
      <c r="D1247" s="14"/>
      <c r="E1247" s="15"/>
      <c r="F1247" s="16" t="str">
        <f aca="false">IF(OR(C1247="",D1247=""),"",EDATE(D1247,IFERROR(INDEX(Paketler!$B$5:$B$24,MATCH(C1247,Paketler!$A$5:$A$24,0)),0))-1)</f>
        <v/>
      </c>
      <c r="G1247" s="17" t="str">
        <f aca="false">IF(F1247="","",IFERROR(INDEX(Paketler!$C$5:$C$24,MATCH(C1247,Paketler!$A$5:$A$24,0)),0))</f>
        <v/>
      </c>
      <c r="H1247" s="17" t="str">
        <f aca="false">IF(F1247="","",G1247-E1247)</f>
        <v/>
      </c>
      <c r="I1247" s="18" t="str">
        <f aca="true">IF(F1247="","",F1247-TODAY())</f>
        <v/>
      </c>
      <c r="J1247" s="19" t="str">
        <f aca="true">IF(F1247="","",IF(TODAY()&lt;D1247,"Başlamadı",IF(TODAY()&gt;F1247,"Bitti",IF(F1247-TODAY()&lt;=7,"Bitiyor","Aktif"))))</f>
        <v/>
      </c>
      <c r="K1247" s="19" t="str">
        <f aca="false">IF(OR(J1247="Aktif",J1247="Bitiyor"),F1247+ROW()/1000000,"")</f>
        <v/>
      </c>
    </row>
    <row r="1248" customFormat="false" ht="15" hidden="false" customHeight="false" outlineLevel="0" collapsed="false">
      <c r="A1248" s="12"/>
      <c r="B1248" s="12"/>
      <c r="C1248" s="13"/>
      <c r="D1248" s="14"/>
      <c r="E1248" s="15"/>
      <c r="F1248" s="16" t="str">
        <f aca="false">IF(OR(C1248="",D1248=""),"",EDATE(D1248,IFERROR(INDEX(Paketler!$B$5:$B$24,MATCH(C1248,Paketler!$A$5:$A$24,0)),0))-1)</f>
        <v/>
      </c>
      <c r="G1248" s="17" t="str">
        <f aca="false">IF(F1248="","",IFERROR(INDEX(Paketler!$C$5:$C$24,MATCH(C1248,Paketler!$A$5:$A$24,0)),0))</f>
        <v/>
      </c>
      <c r="H1248" s="17" t="str">
        <f aca="false">IF(F1248="","",G1248-E1248)</f>
        <v/>
      </c>
      <c r="I1248" s="18" t="str">
        <f aca="true">IF(F1248="","",F1248-TODAY())</f>
        <v/>
      </c>
      <c r="J1248" s="19" t="str">
        <f aca="true">IF(F1248="","",IF(TODAY()&lt;D1248,"Başlamadı",IF(TODAY()&gt;F1248,"Bitti",IF(F1248-TODAY()&lt;=7,"Bitiyor","Aktif"))))</f>
        <v/>
      </c>
      <c r="K1248" s="19" t="str">
        <f aca="false">IF(OR(J1248="Aktif",J1248="Bitiyor"),F1248+ROW()/1000000,"")</f>
        <v/>
      </c>
    </row>
    <row r="1249" customFormat="false" ht="15" hidden="false" customHeight="false" outlineLevel="0" collapsed="false">
      <c r="A1249" s="12"/>
      <c r="B1249" s="12"/>
      <c r="C1249" s="13"/>
      <c r="D1249" s="14"/>
      <c r="E1249" s="15"/>
      <c r="F1249" s="16" t="str">
        <f aca="false">IF(OR(C1249="",D1249=""),"",EDATE(D1249,IFERROR(INDEX(Paketler!$B$5:$B$24,MATCH(C1249,Paketler!$A$5:$A$24,0)),0))-1)</f>
        <v/>
      </c>
      <c r="G1249" s="17" t="str">
        <f aca="false">IF(F1249="","",IFERROR(INDEX(Paketler!$C$5:$C$24,MATCH(C1249,Paketler!$A$5:$A$24,0)),0))</f>
        <v/>
      </c>
      <c r="H1249" s="17" t="str">
        <f aca="false">IF(F1249="","",G1249-E1249)</f>
        <v/>
      </c>
      <c r="I1249" s="18" t="str">
        <f aca="true">IF(F1249="","",F1249-TODAY())</f>
        <v/>
      </c>
      <c r="J1249" s="19" t="str">
        <f aca="true">IF(F1249="","",IF(TODAY()&lt;D1249,"Başlamadı",IF(TODAY()&gt;F1249,"Bitti",IF(F1249-TODAY()&lt;=7,"Bitiyor","Aktif"))))</f>
        <v/>
      </c>
      <c r="K1249" s="19" t="str">
        <f aca="false">IF(OR(J1249="Aktif",J1249="Bitiyor"),F1249+ROW()/1000000,"")</f>
        <v/>
      </c>
    </row>
    <row r="1250" customFormat="false" ht="15" hidden="false" customHeight="false" outlineLevel="0" collapsed="false">
      <c r="A1250" s="12"/>
      <c r="B1250" s="12"/>
      <c r="C1250" s="13"/>
      <c r="D1250" s="14"/>
      <c r="E1250" s="15"/>
      <c r="F1250" s="16" t="str">
        <f aca="false">IF(OR(C1250="",D1250=""),"",EDATE(D1250,IFERROR(INDEX(Paketler!$B$5:$B$24,MATCH(C1250,Paketler!$A$5:$A$24,0)),0))-1)</f>
        <v/>
      </c>
      <c r="G1250" s="17" t="str">
        <f aca="false">IF(F1250="","",IFERROR(INDEX(Paketler!$C$5:$C$24,MATCH(C1250,Paketler!$A$5:$A$24,0)),0))</f>
        <v/>
      </c>
      <c r="H1250" s="17" t="str">
        <f aca="false">IF(F1250="","",G1250-E1250)</f>
        <v/>
      </c>
      <c r="I1250" s="18" t="str">
        <f aca="true">IF(F1250="","",F1250-TODAY())</f>
        <v/>
      </c>
      <c r="J1250" s="19" t="str">
        <f aca="true">IF(F1250="","",IF(TODAY()&lt;D1250,"Başlamadı",IF(TODAY()&gt;F1250,"Bitti",IF(F1250-TODAY()&lt;=7,"Bitiyor","Aktif"))))</f>
        <v/>
      </c>
      <c r="K1250" s="19" t="str">
        <f aca="false">IF(OR(J1250="Aktif",J1250="Bitiyor"),F1250+ROW()/1000000,"")</f>
        <v/>
      </c>
    </row>
    <row r="1251" customFormat="false" ht="15" hidden="false" customHeight="false" outlineLevel="0" collapsed="false">
      <c r="A1251" s="12"/>
      <c r="B1251" s="12"/>
      <c r="C1251" s="13"/>
      <c r="D1251" s="14"/>
      <c r="E1251" s="15"/>
      <c r="F1251" s="16" t="str">
        <f aca="false">IF(OR(C1251="",D1251=""),"",EDATE(D1251,IFERROR(INDEX(Paketler!$B$5:$B$24,MATCH(C1251,Paketler!$A$5:$A$24,0)),0))-1)</f>
        <v/>
      </c>
      <c r="G1251" s="17" t="str">
        <f aca="false">IF(F1251="","",IFERROR(INDEX(Paketler!$C$5:$C$24,MATCH(C1251,Paketler!$A$5:$A$24,0)),0))</f>
        <v/>
      </c>
      <c r="H1251" s="17" t="str">
        <f aca="false">IF(F1251="","",G1251-E1251)</f>
        <v/>
      </c>
      <c r="I1251" s="18" t="str">
        <f aca="true">IF(F1251="","",F1251-TODAY())</f>
        <v/>
      </c>
      <c r="J1251" s="19" t="str">
        <f aca="true">IF(F1251="","",IF(TODAY()&lt;D1251,"Başlamadı",IF(TODAY()&gt;F1251,"Bitti",IF(F1251-TODAY()&lt;=7,"Bitiyor","Aktif"))))</f>
        <v/>
      </c>
      <c r="K1251" s="19" t="str">
        <f aca="false">IF(OR(J1251="Aktif",J1251="Bitiyor"),F1251+ROW()/1000000,"")</f>
        <v/>
      </c>
    </row>
    <row r="1252" customFormat="false" ht="15" hidden="false" customHeight="false" outlineLevel="0" collapsed="false">
      <c r="A1252" s="12"/>
      <c r="B1252" s="12"/>
      <c r="C1252" s="13"/>
      <c r="D1252" s="14"/>
      <c r="E1252" s="15"/>
      <c r="F1252" s="16" t="str">
        <f aca="false">IF(OR(C1252="",D1252=""),"",EDATE(D1252,IFERROR(INDEX(Paketler!$B$5:$B$24,MATCH(C1252,Paketler!$A$5:$A$24,0)),0))-1)</f>
        <v/>
      </c>
      <c r="G1252" s="17" t="str">
        <f aca="false">IF(F1252="","",IFERROR(INDEX(Paketler!$C$5:$C$24,MATCH(C1252,Paketler!$A$5:$A$24,0)),0))</f>
        <v/>
      </c>
      <c r="H1252" s="17" t="str">
        <f aca="false">IF(F1252="","",G1252-E1252)</f>
        <v/>
      </c>
      <c r="I1252" s="18" t="str">
        <f aca="true">IF(F1252="","",F1252-TODAY())</f>
        <v/>
      </c>
      <c r="J1252" s="19" t="str">
        <f aca="true">IF(F1252="","",IF(TODAY()&lt;D1252,"Başlamadı",IF(TODAY()&gt;F1252,"Bitti",IF(F1252-TODAY()&lt;=7,"Bitiyor","Aktif"))))</f>
        <v/>
      </c>
      <c r="K1252" s="19" t="str">
        <f aca="false">IF(OR(J1252="Aktif",J1252="Bitiyor"),F1252+ROW()/1000000,"")</f>
        <v/>
      </c>
    </row>
    <row r="1253" customFormat="false" ht="15" hidden="false" customHeight="false" outlineLevel="0" collapsed="false">
      <c r="A1253" s="12"/>
      <c r="B1253" s="12"/>
      <c r="C1253" s="13"/>
      <c r="D1253" s="14"/>
      <c r="E1253" s="15"/>
      <c r="F1253" s="16" t="str">
        <f aca="false">IF(OR(C1253="",D1253=""),"",EDATE(D1253,IFERROR(INDEX(Paketler!$B$5:$B$24,MATCH(C1253,Paketler!$A$5:$A$24,0)),0))-1)</f>
        <v/>
      </c>
      <c r="G1253" s="17" t="str">
        <f aca="false">IF(F1253="","",IFERROR(INDEX(Paketler!$C$5:$C$24,MATCH(C1253,Paketler!$A$5:$A$24,0)),0))</f>
        <v/>
      </c>
      <c r="H1253" s="17" t="str">
        <f aca="false">IF(F1253="","",G1253-E1253)</f>
        <v/>
      </c>
      <c r="I1253" s="18" t="str">
        <f aca="true">IF(F1253="","",F1253-TODAY())</f>
        <v/>
      </c>
      <c r="J1253" s="19" t="str">
        <f aca="true">IF(F1253="","",IF(TODAY()&lt;D1253,"Başlamadı",IF(TODAY()&gt;F1253,"Bitti",IF(F1253-TODAY()&lt;=7,"Bitiyor","Aktif"))))</f>
        <v/>
      </c>
      <c r="K1253" s="19" t="str">
        <f aca="false">IF(OR(J1253="Aktif",J1253="Bitiyor"),F1253+ROW()/1000000,"")</f>
        <v/>
      </c>
    </row>
    <row r="1254" customFormat="false" ht="15" hidden="false" customHeight="false" outlineLevel="0" collapsed="false">
      <c r="A1254" s="12"/>
      <c r="B1254" s="12"/>
      <c r="C1254" s="13"/>
      <c r="D1254" s="14"/>
      <c r="E1254" s="15"/>
      <c r="F1254" s="16" t="str">
        <f aca="false">IF(OR(C1254="",D1254=""),"",EDATE(D1254,IFERROR(INDEX(Paketler!$B$5:$B$24,MATCH(C1254,Paketler!$A$5:$A$24,0)),0))-1)</f>
        <v/>
      </c>
      <c r="G1254" s="17" t="str">
        <f aca="false">IF(F1254="","",IFERROR(INDEX(Paketler!$C$5:$C$24,MATCH(C1254,Paketler!$A$5:$A$24,0)),0))</f>
        <v/>
      </c>
      <c r="H1254" s="17" t="str">
        <f aca="false">IF(F1254="","",G1254-E1254)</f>
        <v/>
      </c>
      <c r="I1254" s="18" t="str">
        <f aca="true">IF(F1254="","",F1254-TODAY())</f>
        <v/>
      </c>
      <c r="J1254" s="19" t="str">
        <f aca="true">IF(F1254="","",IF(TODAY()&lt;D1254,"Başlamadı",IF(TODAY()&gt;F1254,"Bitti",IF(F1254-TODAY()&lt;=7,"Bitiyor","Aktif"))))</f>
        <v/>
      </c>
      <c r="K1254" s="19" t="str">
        <f aca="false">IF(OR(J1254="Aktif",J1254="Bitiyor"),F1254+ROW()/1000000,"")</f>
        <v/>
      </c>
    </row>
    <row r="1255" customFormat="false" ht="15" hidden="false" customHeight="false" outlineLevel="0" collapsed="false">
      <c r="A1255" s="12"/>
      <c r="B1255" s="12"/>
      <c r="C1255" s="13"/>
      <c r="D1255" s="14"/>
      <c r="E1255" s="15"/>
      <c r="F1255" s="16" t="str">
        <f aca="false">IF(OR(C1255="",D1255=""),"",EDATE(D1255,IFERROR(INDEX(Paketler!$B$5:$B$24,MATCH(C1255,Paketler!$A$5:$A$24,0)),0))-1)</f>
        <v/>
      </c>
      <c r="G1255" s="17" t="str">
        <f aca="false">IF(F1255="","",IFERROR(INDEX(Paketler!$C$5:$C$24,MATCH(C1255,Paketler!$A$5:$A$24,0)),0))</f>
        <v/>
      </c>
      <c r="H1255" s="17" t="str">
        <f aca="false">IF(F1255="","",G1255-E1255)</f>
        <v/>
      </c>
      <c r="I1255" s="18" t="str">
        <f aca="true">IF(F1255="","",F1255-TODAY())</f>
        <v/>
      </c>
      <c r="J1255" s="19" t="str">
        <f aca="true">IF(F1255="","",IF(TODAY()&lt;D1255,"Başlamadı",IF(TODAY()&gt;F1255,"Bitti",IF(F1255-TODAY()&lt;=7,"Bitiyor","Aktif"))))</f>
        <v/>
      </c>
      <c r="K1255" s="19" t="str">
        <f aca="false">IF(OR(J1255="Aktif",J1255="Bitiyor"),F1255+ROW()/1000000,"")</f>
        <v/>
      </c>
    </row>
    <row r="1256" customFormat="false" ht="15" hidden="false" customHeight="false" outlineLevel="0" collapsed="false">
      <c r="A1256" s="12"/>
      <c r="B1256" s="12"/>
      <c r="C1256" s="13"/>
      <c r="D1256" s="14"/>
      <c r="E1256" s="15"/>
      <c r="F1256" s="16" t="str">
        <f aca="false">IF(OR(C1256="",D1256=""),"",EDATE(D1256,IFERROR(INDEX(Paketler!$B$5:$B$24,MATCH(C1256,Paketler!$A$5:$A$24,0)),0))-1)</f>
        <v/>
      </c>
      <c r="G1256" s="17" t="str">
        <f aca="false">IF(F1256="","",IFERROR(INDEX(Paketler!$C$5:$C$24,MATCH(C1256,Paketler!$A$5:$A$24,0)),0))</f>
        <v/>
      </c>
      <c r="H1256" s="17" t="str">
        <f aca="false">IF(F1256="","",G1256-E1256)</f>
        <v/>
      </c>
      <c r="I1256" s="18" t="str">
        <f aca="true">IF(F1256="","",F1256-TODAY())</f>
        <v/>
      </c>
      <c r="J1256" s="19" t="str">
        <f aca="true">IF(F1256="","",IF(TODAY()&lt;D1256,"Başlamadı",IF(TODAY()&gt;F1256,"Bitti",IF(F1256-TODAY()&lt;=7,"Bitiyor","Aktif"))))</f>
        <v/>
      </c>
      <c r="K1256" s="19" t="str">
        <f aca="false">IF(OR(J1256="Aktif",J1256="Bitiyor"),F1256+ROW()/1000000,"")</f>
        <v/>
      </c>
    </row>
    <row r="1257" customFormat="false" ht="15" hidden="false" customHeight="false" outlineLevel="0" collapsed="false">
      <c r="A1257" s="12"/>
      <c r="B1257" s="12"/>
      <c r="C1257" s="13"/>
      <c r="D1257" s="14"/>
      <c r="E1257" s="15"/>
      <c r="F1257" s="16" t="str">
        <f aca="false">IF(OR(C1257="",D1257=""),"",EDATE(D1257,IFERROR(INDEX(Paketler!$B$5:$B$24,MATCH(C1257,Paketler!$A$5:$A$24,0)),0))-1)</f>
        <v/>
      </c>
      <c r="G1257" s="17" t="str">
        <f aca="false">IF(F1257="","",IFERROR(INDEX(Paketler!$C$5:$C$24,MATCH(C1257,Paketler!$A$5:$A$24,0)),0))</f>
        <v/>
      </c>
      <c r="H1257" s="17" t="str">
        <f aca="false">IF(F1257="","",G1257-E1257)</f>
        <v/>
      </c>
      <c r="I1257" s="18" t="str">
        <f aca="true">IF(F1257="","",F1257-TODAY())</f>
        <v/>
      </c>
      <c r="J1257" s="19" t="str">
        <f aca="true">IF(F1257="","",IF(TODAY()&lt;D1257,"Başlamadı",IF(TODAY()&gt;F1257,"Bitti",IF(F1257-TODAY()&lt;=7,"Bitiyor","Aktif"))))</f>
        <v/>
      </c>
      <c r="K1257" s="19" t="str">
        <f aca="false">IF(OR(J1257="Aktif",J1257="Bitiyor"),F1257+ROW()/1000000,"")</f>
        <v/>
      </c>
    </row>
    <row r="1258" customFormat="false" ht="15" hidden="false" customHeight="false" outlineLevel="0" collapsed="false">
      <c r="A1258" s="12"/>
      <c r="B1258" s="12"/>
      <c r="C1258" s="13"/>
      <c r="D1258" s="14"/>
      <c r="E1258" s="15"/>
      <c r="F1258" s="16" t="str">
        <f aca="false">IF(OR(C1258="",D1258=""),"",EDATE(D1258,IFERROR(INDEX(Paketler!$B$5:$B$24,MATCH(C1258,Paketler!$A$5:$A$24,0)),0))-1)</f>
        <v/>
      </c>
      <c r="G1258" s="17" t="str">
        <f aca="false">IF(F1258="","",IFERROR(INDEX(Paketler!$C$5:$C$24,MATCH(C1258,Paketler!$A$5:$A$24,0)),0))</f>
        <v/>
      </c>
      <c r="H1258" s="17" t="str">
        <f aca="false">IF(F1258="","",G1258-E1258)</f>
        <v/>
      </c>
      <c r="I1258" s="18" t="str">
        <f aca="true">IF(F1258="","",F1258-TODAY())</f>
        <v/>
      </c>
      <c r="J1258" s="19" t="str">
        <f aca="true">IF(F1258="","",IF(TODAY()&lt;D1258,"Başlamadı",IF(TODAY()&gt;F1258,"Bitti",IF(F1258-TODAY()&lt;=7,"Bitiyor","Aktif"))))</f>
        <v/>
      </c>
      <c r="K1258" s="19" t="str">
        <f aca="false">IF(OR(J1258="Aktif",J1258="Bitiyor"),F1258+ROW()/1000000,"")</f>
        <v/>
      </c>
    </row>
    <row r="1259" customFormat="false" ht="15" hidden="false" customHeight="false" outlineLevel="0" collapsed="false">
      <c r="A1259" s="12"/>
      <c r="B1259" s="12"/>
      <c r="C1259" s="13"/>
      <c r="D1259" s="14"/>
      <c r="E1259" s="15"/>
      <c r="F1259" s="16" t="str">
        <f aca="false">IF(OR(C1259="",D1259=""),"",EDATE(D1259,IFERROR(INDEX(Paketler!$B$5:$B$24,MATCH(C1259,Paketler!$A$5:$A$24,0)),0))-1)</f>
        <v/>
      </c>
      <c r="G1259" s="17" t="str">
        <f aca="false">IF(F1259="","",IFERROR(INDEX(Paketler!$C$5:$C$24,MATCH(C1259,Paketler!$A$5:$A$24,0)),0))</f>
        <v/>
      </c>
      <c r="H1259" s="17" t="str">
        <f aca="false">IF(F1259="","",G1259-E1259)</f>
        <v/>
      </c>
      <c r="I1259" s="18" t="str">
        <f aca="true">IF(F1259="","",F1259-TODAY())</f>
        <v/>
      </c>
      <c r="J1259" s="19" t="str">
        <f aca="true">IF(F1259="","",IF(TODAY()&lt;D1259,"Başlamadı",IF(TODAY()&gt;F1259,"Bitti",IF(F1259-TODAY()&lt;=7,"Bitiyor","Aktif"))))</f>
        <v/>
      </c>
      <c r="K1259" s="19" t="str">
        <f aca="false">IF(OR(J1259="Aktif",J1259="Bitiyor"),F1259+ROW()/1000000,"")</f>
        <v/>
      </c>
    </row>
    <row r="1260" customFormat="false" ht="15" hidden="false" customHeight="false" outlineLevel="0" collapsed="false">
      <c r="A1260" s="12"/>
      <c r="B1260" s="12"/>
      <c r="C1260" s="13"/>
      <c r="D1260" s="14"/>
      <c r="E1260" s="15"/>
      <c r="F1260" s="16" t="str">
        <f aca="false">IF(OR(C1260="",D1260=""),"",EDATE(D1260,IFERROR(INDEX(Paketler!$B$5:$B$24,MATCH(C1260,Paketler!$A$5:$A$24,0)),0))-1)</f>
        <v/>
      </c>
      <c r="G1260" s="17" t="str">
        <f aca="false">IF(F1260="","",IFERROR(INDEX(Paketler!$C$5:$C$24,MATCH(C1260,Paketler!$A$5:$A$24,0)),0))</f>
        <v/>
      </c>
      <c r="H1260" s="17" t="str">
        <f aca="false">IF(F1260="","",G1260-E1260)</f>
        <v/>
      </c>
      <c r="I1260" s="18" t="str">
        <f aca="true">IF(F1260="","",F1260-TODAY())</f>
        <v/>
      </c>
      <c r="J1260" s="19" t="str">
        <f aca="true">IF(F1260="","",IF(TODAY()&lt;D1260,"Başlamadı",IF(TODAY()&gt;F1260,"Bitti",IF(F1260-TODAY()&lt;=7,"Bitiyor","Aktif"))))</f>
        <v/>
      </c>
      <c r="K1260" s="19" t="str">
        <f aca="false">IF(OR(J1260="Aktif",J1260="Bitiyor"),F1260+ROW()/1000000,"")</f>
        <v/>
      </c>
    </row>
    <row r="1261" customFormat="false" ht="15" hidden="false" customHeight="false" outlineLevel="0" collapsed="false">
      <c r="A1261" s="12"/>
      <c r="B1261" s="12"/>
      <c r="C1261" s="13"/>
      <c r="D1261" s="14"/>
      <c r="E1261" s="15"/>
      <c r="F1261" s="16" t="str">
        <f aca="false">IF(OR(C1261="",D1261=""),"",EDATE(D1261,IFERROR(INDEX(Paketler!$B$5:$B$24,MATCH(C1261,Paketler!$A$5:$A$24,0)),0))-1)</f>
        <v/>
      </c>
      <c r="G1261" s="17" t="str">
        <f aca="false">IF(F1261="","",IFERROR(INDEX(Paketler!$C$5:$C$24,MATCH(C1261,Paketler!$A$5:$A$24,0)),0))</f>
        <v/>
      </c>
      <c r="H1261" s="17" t="str">
        <f aca="false">IF(F1261="","",G1261-E1261)</f>
        <v/>
      </c>
      <c r="I1261" s="18" t="str">
        <f aca="true">IF(F1261="","",F1261-TODAY())</f>
        <v/>
      </c>
      <c r="J1261" s="19" t="str">
        <f aca="true">IF(F1261="","",IF(TODAY()&lt;D1261,"Başlamadı",IF(TODAY()&gt;F1261,"Bitti",IF(F1261-TODAY()&lt;=7,"Bitiyor","Aktif"))))</f>
        <v/>
      </c>
      <c r="K1261" s="19" t="str">
        <f aca="false">IF(OR(J1261="Aktif",J1261="Bitiyor"),F1261+ROW()/1000000,"")</f>
        <v/>
      </c>
    </row>
    <row r="1262" customFormat="false" ht="15" hidden="false" customHeight="false" outlineLevel="0" collapsed="false">
      <c r="A1262" s="12"/>
      <c r="B1262" s="12"/>
      <c r="C1262" s="13"/>
      <c r="D1262" s="14"/>
      <c r="E1262" s="15"/>
      <c r="F1262" s="16" t="str">
        <f aca="false">IF(OR(C1262="",D1262=""),"",EDATE(D1262,IFERROR(INDEX(Paketler!$B$5:$B$24,MATCH(C1262,Paketler!$A$5:$A$24,0)),0))-1)</f>
        <v/>
      </c>
      <c r="G1262" s="17" t="str">
        <f aca="false">IF(F1262="","",IFERROR(INDEX(Paketler!$C$5:$C$24,MATCH(C1262,Paketler!$A$5:$A$24,0)),0))</f>
        <v/>
      </c>
      <c r="H1262" s="17" t="str">
        <f aca="false">IF(F1262="","",G1262-E1262)</f>
        <v/>
      </c>
      <c r="I1262" s="18" t="str">
        <f aca="true">IF(F1262="","",F1262-TODAY())</f>
        <v/>
      </c>
      <c r="J1262" s="19" t="str">
        <f aca="true">IF(F1262="","",IF(TODAY()&lt;D1262,"Başlamadı",IF(TODAY()&gt;F1262,"Bitti",IF(F1262-TODAY()&lt;=7,"Bitiyor","Aktif"))))</f>
        <v/>
      </c>
      <c r="K1262" s="19" t="str">
        <f aca="false">IF(OR(J1262="Aktif",J1262="Bitiyor"),F1262+ROW()/1000000,"")</f>
        <v/>
      </c>
    </row>
    <row r="1263" customFormat="false" ht="15" hidden="false" customHeight="false" outlineLevel="0" collapsed="false">
      <c r="A1263" s="12"/>
      <c r="B1263" s="12"/>
      <c r="C1263" s="13"/>
      <c r="D1263" s="14"/>
      <c r="E1263" s="15"/>
      <c r="F1263" s="16" t="str">
        <f aca="false">IF(OR(C1263="",D1263=""),"",EDATE(D1263,IFERROR(INDEX(Paketler!$B$5:$B$24,MATCH(C1263,Paketler!$A$5:$A$24,0)),0))-1)</f>
        <v/>
      </c>
      <c r="G1263" s="17" t="str">
        <f aca="false">IF(F1263="","",IFERROR(INDEX(Paketler!$C$5:$C$24,MATCH(C1263,Paketler!$A$5:$A$24,0)),0))</f>
        <v/>
      </c>
      <c r="H1263" s="17" t="str">
        <f aca="false">IF(F1263="","",G1263-E1263)</f>
        <v/>
      </c>
      <c r="I1263" s="18" t="str">
        <f aca="true">IF(F1263="","",F1263-TODAY())</f>
        <v/>
      </c>
      <c r="J1263" s="19" t="str">
        <f aca="true">IF(F1263="","",IF(TODAY()&lt;D1263,"Başlamadı",IF(TODAY()&gt;F1263,"Bitti",IF(F1263-TODAY()&lt;=7,"Bitiyor","Aktif"))))</f>
        <v/>
      </c>
      <c r="K1263" s="19" t="str">
        <f aca="false">IF(OR(J1263="Aktif",J1263="Bitiyor"),F1263+ROW()/1000000,"")</f>
        <v/>
      </c>
    </row>
    <row r="1264" customFormat="false" ht="15" hidden="false" customHeight="false" outlineLevel="0" collapsed="false">
      <c r="A1264" s="12"/>
      <c r="B1264" s="12"/>
      <c r="C1264" s="13"/>
      <c r="D1264" s="14"/>
      <c r="E1264" s="15"/>
      <c r="F1264" s="16" t="str">
        <f aca="false">IF(OR(C1264="",D1264=""),"",EDATE(D1264,IFERROR(INDEX(Paketler!$B$5:$B$24,MATCH(C1264,Paketler!$A$5:$A$24,0)),0))-1)</f>
        <v/>
      </c>
      <c r="G1264" s="17" t="str">
        <f aca="false">IF(F1264="","",IFERROR(INDEX(Paketler!$C$5:$C$24,MATCH(C1264,Paketler!$A$5:$A$24,0)),0))</f>
        <v/>
      </c>
      <c r="H1264" s="17" t="str">
        <f aca="false">IF(F1264="","",G1264-E1264)</f>
        <v/>
      </c>
      <c r="I1264" s="18" t="str">
        <f aca="true">IF(F1264="","",F1264-TODAY())</f>
        <v/>
      </c>
      <c r="J1264" s="19" t="str">
        <f aca="true">IF(F1264="","",IF(TODAY()&lt;D1264,"Başlamadı",IF(TODAY()&gt;F1264,"Bitti",IF(F1264-TODAY()&lt;=7,"Bitiyor","Aktif"))))</f>
        <v/>
      </c>
      <c r="K1264" s="19" t="str">
        <f aca="false">IF(OR(J1264="Aktif",J1264="Bitiyor"),F1264+ROW()/1000000,"")</f>
        <v/>
      </c>
    </row>
    <row r="1265" customFormat="false" ht="15" hidden="false" customHeight="false" outlineLevel="0" collapsed="false">
      <c r="A1265" s="12"/>
      <c r="B1265" s="12"/>
      <c r="C1265" s="13"/>
      <c r="D1265" s="14"/>
      <c r="E1265" s="15"/>
      <c r="F1265" s="16" t="str">
        <f aca="false">IF(OR(C1265="",D1265=""),"",EDATE(D1265,IFERROR(INDEX(Paketler!$B$5:$B$24,MATCH(C1265,Paketler!$A$5:$A$24,0)),0))-1)</f>
        <v/>
      </c>
      <c r="G1265" s="17" t="str">
        <f aca="false">IF(F1265="","",IFERROR(INDEX(Paketler!$C$5:$C$24,MATCH(C1265,Paketler!$A$5:$A$24,0)),0))</f>
        <v/>
      </c>
      <c r="H1265" s="17" t="str">
        <f aca="false">IF(F1265="","",G1265-E1265)</f>
        <v/>
      </c>
      <c r="I1265" s="18" t="str">
        <f aca="true">IF(F1265="","",F1265-TODAY())</f>
        <v/>
      </c>
      <c r="J1265" s="19" t="str">
        <f aca="true">IF(F1265="","",IF(TODAY()&lt;D1265,"Başlamadı",IF(TODAY()&gt;F1265,"Bitti",IF(F1265-TODAY()&lt;=7,"Bitiyor","Aktif"))))</f>
        <v/>
      </c>
      <c r="K1265" s="19" t="str">
        <f aca="false">IF(OR(J1265="Aktif",J1265="Bitiyor"),F1265+ROW()/1000000,"")</f>
        <v/>
      </c>
    </row>
    <row r="1266" customFormat="false" ht="15" hidden="false" customHeight="false" outlineLevel="0" collapsed="false">
      <c r="A1266" s="12"/>
      <c r="B1266" s="12"/>
      <c r="C1266" s="13"/>
      <c r="D1266" s="14"/>
      <c r="E1266" s="15"/>
      <c r="F1266" s="16" t="str">
        <f aca="false">IF(OR(C1266="",D1266=""),"",EDATE(D1266,IFERROR(INDEX(Paketler!$B$5:$B$24,MATCH(C1266,Paketler!$A$5:$A$24,0)),0))-1)</f>
        <v/>
      </c>
      <c r="G1266" s="17" t="str">
        <f aca="false">IF(F1266="","",IFERROR(INDEX(Paketler!$C$5:$C$24,MATCH(C1266,Paketler!$A$5:$A$24,0)),0))</f>
        <v/>
      </c>
      <c r="H1266" s="17" t="str">
        <f aca="false">IF(F1266="","",G1266-E1266)</f>
        <v/>
      </c>
      <c r="I1266" s="18" t="str">
        <f aca="true">IF(F1266="","",F1266-TODAY())</f>
        <v/>
      </c>
      <c r="J1266" s="19" t="str">
        <f aca="true">IF(F1266="","",IF(TODAY()&lt;D1266,"Başlamadı",IF(TODAY()&gt;F1266,"Bitti",IF(F1266-TODAY()&lt;=7,"Bitiyor","Aktif"))))</f>
        <v/>
      </c>
      <c r="K1266" s="19" t="str">
        <f aca="false">IF(OR(J1266="Aktif",J1266="Bitiyor"),F1266+ROW()/1000000,"")</f>
        <v/>
      </c>
    </row>
    <row r="1267" customFormat="false" ht="15" hidden="false" customHeight="false" outlineLevel="0" collapsed="false">
      <c r="A1267" s="12"/>
      <c r="B1267" s="12"/>
      <c r="C1267" s="13"/>
      <c r="D1267" s="14"/>
      <c r="E1267" s="15"/>
      <c r="F1267" s="16" t="str">
        <f aca="false">IF(OR(C1267="",D1267=""),"",EDATE(D1267,IFERROR(INDEX(Paketler!$B$5:$B$24,MATCH(C1267,Paketler!$A$5:$A$24,0)),0))-1)</f>
        <v/>
      </c>
      <c r="G1267" s="17" t="str">
        <f aca="false">IF(F1267="","",IFERROR(INDEX(Paketler!$C$5:$C$24,MATCH(C1267,Paketler!$A$5:$A$24,0)),0))</f>
        <v/>
      </c>
      <c r="H1267" s="17" t="str">
        <f aca="false">IF(F1267="","",G1267-E1267)</f>
        <v/>
      </c>
      <c r="I1267" s="18" t="str">
        <f aca="true">IF(F1267="","",F1267-TODAY())</f>
        <v/>
      </c>
      <c r="J1267" s="19" t="str">
        <f aca="true">IF(F1267="","",IF(TODAY()&lt;D1267,"Başlamadı",IF(TODAY()&gt;F1267,"Bitti",IF(F1267-TODAY()&lt;=7,"Bitiyor","Aktif"))))</f>
        <v/>
      </c>
      <c r="K1267" s="19" t="str">
        <f aca="false">IF(OR(J1267="Aktif",J1267="Bitiyor"),F1267+ROW()/1000000,"")</f>
        <v/>
      </c>
    </row>
    <row r="1268" customFormat="false" ht="15" hidden="false" customHeight="false" outlineLevel="0" collapsed="false">
      <c r="A1268" s="12"/>
      <c r="B1268" s="12"/>
      <c r="C1268" s="13"/>
      <c r="D1268" s="14"/>
      <c r="E1268" s="15"/>
      <c r="F1268" s="16" t="str">
        <f aca="false">IF(OR(C1268="",D1268=""),"",EDATE(D1268,IFERROR(INDEX(Paketler!$B$5:$B$24,MATCH(C1268,Paketler!$A$5:$A$24,0)),0))-1)</f>
        <v/>
      </c>
      <c r="G1268" s="17" t="str">
        <f aca="false">IF(F1268="","",IFERROR(INDEX(Paketler!$C$5:$C$24,MATCH(C1268,Paketler!$A$5:$A$24,0)),0))</f>
        <v/>
      </c>
      <c r="H1268" s="17" t="str">
        <f aca="false">IF(F1268="","",G1268-E1268)</f>
        <v/>
      </c>
      <c r="I1268" s="18" t="str">
        <f aca="true">IF(F1268="","",F1268-TODAY())</f>
        <v/>
      </c>
      <c r="J1268" s="19" t="str">
        <f aca="true">IF(F1268="","",IF(TODAY()&lt;D1268,"Başlamadı",IF(TODAY()&gt;F1268,"Bitti",IF(F1268-TODAY()&lt;=7,"Bitiyor","Aktif"))))</f>
        <v/>
      </c>
      <c r="K1268" s="19" t="str">
        <f aca="false">IF(OR(J1268="Aktif",J1268="Bitiyor"),F1268+ROW()/1000000,"")</f>
        <v/>
      </c>
    </row>
    <row r="1269" customFormat="false" ht="15" hidden="false" customHeight="false" outlineLevel="0" collapsed="false">
      <c r="A1269" s="12"/>
      <c r="B1269" s="12"/>
      <c r="C1269" s="13"/>
      <c r="D1269" s="14"/>
      <c r="E1269" s="15"/>
      <c r="F1269" s="16" t="str">
        <f aca="false">IF(OR(C1269="",D1269=""),"",EDATE(D1269,IFERROR(INDEX(Paketler!$B$5:$B$24,MATCH(C1269,Paketler!$A$5:$A$24,0)),0))-1)</f>
        <v/>
      </c>
      <c r="G1269" s="17" t="str">
        <f aca="false">IF(F1269="","",IFERROR(INDEX(Paketler!$C$5:$C$24,MATCH(C1269,Paketler!$A$5:$A$24,0)),0))</f>
        <v/>
      </c>
      <c r="H1269" s="17" t="str">
        <f aca="false">IF(F1269="","",G1269-E1269)</f>
        <v/>
      </c>
      <c r="I1269" s="18" t="str">
        <f aca="true">IF(F1269="","",F1269-TODAY())</f>
        <v/>
      </c>
      <c r="J1269" s="19" t="str">
        <f aca="true">IF(F1269="","",IF(TODAY()&lt;D1269,"Başlamadı",IF(TODAY()&gt;F1269,"Bitti",IF(F1269-TODAY()&lt;=7,"Bitiyor","Aktif"))))</f>
        <v/>
      </c>
      <c r="K1269" s="19" t="str">
        <f aca="false">IF(OR(J1269="Aktif",J1269="Bitiyor"),F1269+ROW()/1000000,"")</f>
        <v/>
      </c>
    </row>
    <row r="1270" customFormat="false" ht="15" hidden="false" customHeight="false" outlineLevel="0" collapsed="false">
      <c r="A1270" s="12"/>
      <c r="B1270" s="12"/>
      <c r="C1270" s="13"/>
      <c r="D1270" s="14"/>
      <c r="E1270" s="15"/>
      <c r="F1270" s="16" t="str">
        <f aca="false">IF(OR(C1270="",D1270=""),"",EDATE(D1270,IFERROR(INDEX(Paketler!$B$5:$B$24,MATCH(C1270,Paketler!$A$5:$A$24,0)),0))-1)</f>
        <v/>
      </c>
      <c r="G1270" s="17" t="str">
        <f aca="false">IF(F1270="","",IFERROR(INDEX(Paketler!$C$5:$C$24,MATCH(C1270,Paketler!$A$5:$A$24,0)),0))</f>
        <v/>
      </c>
      <c r="H1270" s="17" t="str">
        <f aca="false">IF(F1270="","",G1270-E1270)</f>
        <v/>
      </c>
      <c r="I1270" s="18" t="str">
        <f aca="true">IF(F1270="","",F1270-TODAY())</f>
        <v/>
      </c>
      <c r="J1270" s="19" t="str">
        <f aca="true">IF(F1270="","",IF(TODAY()&lt;D1270,"Başlamadı",IF(TODAY()&gt;F1270,"Bitti",IF(F1270-TODAY()&lt;=7,"Bitiyor","Aktif"))))</f>
        <v/>
      </c>
      <c r="K1270" s="19" t="str">
        <f aca="false">IF(OR(J1270="Aktif",J1270="Bitiyor"),F1270+ROW()/1000000,"")</f>
        <v/>
      </c>
    </row>
    <row r="1271" customFormat="false" ht="15" hidden="false" customHeight="false" outlineLevel="0" collapsed="false">
      <c r="A1271" s="12"/>
      <c r="B1271" s="12"/>
      <c r="C1271" s="13"/>
      <c r="D1271" s="14"/>
      <c r="E1271" s="15"/>
      <c r="F1271" s="16" t="str">
        <f aca="false">IF(OR(C1271="",D1271=""),"",EDATE(D1271,IFERROR(INDEX(Paketler!$B$5:$B$24,MATCH(C1271,Paketler!$A$5:$A$24,0)),0))-1)</f>
        <v/>
      </c>
      <c r="G1271" s="17" t="str">
        <f aca="false">IF(F1271="","",IFERROR(INDEX(Paketler!$C$5:$C$24,MATCH(C1271,Paketler!$A$5:$A$24,0)),0))</f>
        <v/>
      </c>
      <c r="H1271" s="17" t="str">
        <f aca="false">IF(F1271="","",G1271-E1271)</f>
        <v/>
      </c>
      <c r="I1271" s="18" t="str">
        <f aca="true">IF(F1271="","",F1271-TODAY())</f>
        <v/>
      </c>
      <c r="J1271" s="19" t="str">
        <f aca="true">IF(F1271="","",IF(TODAY()&lt;D1271,"Başlamadı",IF(TODAY()&gt;F1271,"Bitti",IF(F1271-TODAY()&lt;=7,"Bitiyor","Aktif"))))</f>
        <v/>
      </c>
      <c r="K1271" s="19" t="str">
        <f aca="false">IF(OR(J1271="Aktif",J1271="Bitiyor"),F1271+ROW()/1000000,"")</f>
        <v/>
      </c>
    </row>
    <row r="1272" customFormat="false" ht="15" hidden="false" customHeight="false" outlineLevel="0" collapsed="false">
      <c r="A1272" s="12"/>
      <c r="B1272" s="12"/>
      <c r="C1272" s="13"/>
      <c r="D1272" s="14"/>
      <c r="E1272" s="15"/>
      <c r="F1272" s="16" t="str">
        <f aca="false">IF(OR(C1272="",D1272=""),"",EDATE(D1272,IFERROR(INDEX(Paketler!$B$5:$B$24,MATCH(C1272,Paketler!$A$5:$A$24,0)),0))-1)</f>
        <v/>
      </c>
      <c r="G1272" s="17" t="str">
        <f aca="false">IF(F1272="","",IFERROR(INDEX(Paketler!$C$5:$C$24,MATCH(C1272,Paketler!$A$5:$A$24,0)),0))</f>
        <v/>
      </c>
      <c r="H1272" s="17" t="str">
        <f aca="false">IF(F1272="","",G1272-E1272)</f>
        <v/>
      </c>
      <c r="I1272" s="18" t="str">
        <f aca="true">IF(F1272="","",F1272-TODAY())</f>
        <v/>
      </c>
      <c r="J1272" s="19" t="str">
        <f aca="true">IF(F1272="","",IF(TODAY()&lt;D1272,"Başlamadı",IF(TODAY()&gt;F1272,"Bitti",IF(F1272-TODAY()&lt;=7,"Bitiyor","Aktif"))))</f>
        <v/>
      </c>
      <c r="K1272" s="19" t="str">
        <f aca="false">IF(OR(J1272="Aktif",J1272="Bitiyor"),F1272+ROW()/1000000,"")</f>
        <v/>
      </c>
    </row>
    <row r="1273" customFormat="false" ht="15" hidden="false" customHeight="false" outlineLevel="0" collapsed="false">
      <c r="A1273" s="12"/>
      <c r="B1273" s="12"/>
      <c r="C1273" s="13"/>
      <c r="D1273" s="14"/>
      <c r="E1273" s="15"/>
      <c r="F1273" s="16" t="str">
        <f aca="false">IF(OR(C1273="",D1273=""),"",EDATE(D1273,IFERROR(INDEX(Paketler!$B$5:$B$24,MATCH(C1273,Paketler!$A$5:$A$24,0)),0))-1)</f>
        <v/>
      </c>
      <c r="G1273" s="17" t="str">
        <f aca="false">IF(F1273="","",IFERROR(INDEX(Paketler!$C$5:$C$24,MATCH(C1273,Paketler!$A$5:$A$24,0)),0))</f>
        <v/>
      </c>
      <c r="H1273" s="17" t="str">
        <f aca="false">IF(F1273="","",G1273-E1273)</f>
        <v/>
      </c>
      <c r="I1273" s="18" t="str">
        <f aca="true">IF(F1273="","",F1273-TODAY())</f>
        <v/>
      </c>
      <c r="J1273" s="19" t="str">
        <f aca="true">IF(F1273="","",IF(TODAY()&lt;D1273,"Başlamadı",IF(TODAY()&gt;F1273,"Bitti",IF(F1273-TODAY()&lt;=7,"Bitiyor","Aktif"))))</f>
        <v/>
      </c>
      <c r="K1273" s="19" t="str">
        <f aca="false">IF(OR(J1273="Aktif",J1273="Bitiyor"),F1273+ROW()/1000000,"")</f>
        <v/>
      </c>
    </row>
    <row r="1274" customFormat="false" ht="15" hidden="false" customHeight="false" outlineLevel="0" collapsed="false">
      <c r="A1274" s="12"/>
      <c r="B1274" s="12"/>
      <c r="C1274" s="13"/>
      <c r="D1274" s="14"/>
      <c r="E1274" s="15"/>
      <c r="F1274" s="16" t="str">
        <f aca="false">IF(OR(C1274="",D1274=""),"",EDATE(D1274,IFERROR(INDEX(Paketler!$B$5:$B$24,MATCH(C1274,Paketler!$A$5:$A$24,0)),0))-1)</f>
        <v/>
      </c>
      <c r="G1274" s="17" t="str">
        <f aca="false">IF(F1274="","",IFERROR(INDEX(Paketler!$C$5:$C$24,MATCH(C1274,Paketler!$A$5:$A$24,0)),0))</f>
        <v/>
      </c>
      <c r="H1274" s="17" t="str">
        <f aca="false">IF(F1274="","",G1274-E1274)</f>
        <v/>
      </c>
      <c r="I1274" s="18" t="str">
        <f aca="true">IF(F1274="","",F1274-TODAY())</f>
        <v/>
      </c>
      <c r="J1274" s="19" t="str">
        <f aca="true">IF(F1274="","",IF(TODAY()&lt;D1274,"Başlamadı",IF(TODAY()&gt;F1274,"Bitti",IF(F1274-TODAY()&lt;=7,"Bitiyor","Aktif"))))</f>
        <v/>
      </c>
      <c r="K1274" s="19" t="str">
        <f aca="false">IF(OR(J1274="Aktif",J1274="Bitiyor"),F1274+ROW()/1000000,"")</f>
        <v/>
      </c>
    </row>
    <row r="1275" customFormat="false" ht="15" hidden="false" customHeight="false" outlineLevel="0" collapsed="false">
      <c r="A1275" s="12"/>
      <c r="B1275" s="12"/>
      <c r="C1275" s="13"/>
      <c r="D1275" s="14"/>
      <c r="E1275" s="15"/>
      <c r="F1275" s="16" t="str">
        <f aca="false">IF(OR(C1275="",D1275=""),"",EDATE(D1275,IFERROR(INDEX(Paketler!$B$5:$B$24,MATCH(C1275,Paketler!$A$5:$A$24,0)),0))-1)</f>
        <v/>
      </c>
      <c r="G1275" s="17" t="str">
        <f aca="false">IF(F1275="","",IFERROR(INDEX(Paketler!$C$5:$C$24,MATCH(C1275,Paketler!$A$5:$A$24,0)),0))</f>
        <v/>
      </c>
      <c r="H1275" s="17" t="str">
        <f aca="false">IF(F1275="","",G1275-E1275)</f>
        <v/>
      </c>
      <c r="I1275" s="18" t="str">
        <f aca="true">IF(F1275="","",F1275-TODAY())</f>
        <v/>
      </c>
      <c r="J1275" s="19" t="str">
        <f aca="true">IF(F1275="","",IF(TODAY()&lt;D1275,"Başlamadı",IF(TODAY()&gt;F1275,"Bitti",IF(F1275-TODAY()&lt;=7,"Bitiyor","Aktif"))))</f>
        <v/>
      </c>
      <c r="K1275" s="19" t="str">
        <f aca="false">IF(OR(J1275="Aktif",J1275="Bitiyor"),F1275+ROW()/1000000,"")</f>
        <v/>
      </c>
    </row>
    <row r="1276" customFormat="false" ht="15" hidden="false" customHeight="false" outlineLevel="0" collapsed="false">
      <c r="A1276" s="12"/>
      <c r="B1276" s="12"/>
      <c r="C1276" s="13"/>
      <c r="D1276" s="14"/>
      <c r="E1276" s="15"/>
      <c r="F1276" s="16" t="str">
        <f aca="false">IF(OR(C1276="",D1276=""),"",EDATE(D1276,IFERROR(INDEX(Paketler!$B$5:$B$24,MATCH(C1276,Paketler!$A$5:$A$24,0)),0))-1)</f>
        <v/>
      </c>
      <c r="G1276" s="17" t="str">
        <f aca="false">IF(F1276="","",IFERROR(INDEX(Paketler!$C$5:$C$24,MATCH(C1276,Paketler!$A$5:$A$24,0)),0))</f>
        <v/>
      </c>
      <c r="H1276" s="17" t="str">
        <f aca="false">IF(F1276="","",G1276-E1276)</f>
        <v/>
      </c>
      <c r="I1276" s="18" t="str">
        <f aca="true">IF(F1276="","",F1276-TODAY())</f>
        <v/>
      </c>
      <c r="J1276" s="19" t="str">
        <f aca="true">IF(F1276="","",IF(TODAY()&lt;D1276,"Başlamadı",IF(TODAY()&gt;F1276,"Bitti",IF(F1276-TODAY()&lt;=7,"Bitiyor","Aktif"))))</f>
        <v/>
      </c>
      <c r="K1276" s="19" t="str">
        <f aca="false">IF(OR(J1276="Aktif",J1276="Bitiyor"),F1276+ROW()/1000000,"")</f>
        <v/>
      </c>
    </row>
    <row r="1277" customFormat="false" ht="15" hidden="false" customHeight="false" outlineLevel="0" collapsed="false">
      <c r="A1277" s="12"/>
      <c r="B1277" s="12"/>
      <c r="C1277" s="13"/>
      <c r="D1277" s="14"/>
      <c r="E1277" s="15"/>
      <c r="F1277" s="16" t="str">
        <f aca="false">IF(OR(C1277="",D1277=""),"",EDATE(D1277,IFERROR(INDEX(Paketler!$B$5:$B$24,MATCH(C1277,Paketler!$A$5:$A$24,0)),0))-1)</f>
        <v/>
      </c>
      <c r="G1277" s="17" t="str">
        <f aca="false">IF(F1277="","",IFERROR(INDEX(Paketler!$C$5:$C$24,MATCH(C1277,Paketler!$A$5:$A$24,0)),0))</f>
        <v/>
      </c>
      <c r="H1277" s="17" t="str">
        <f aca="false">IF(F1277="","",G1277-E1277)</f>
        <v/>
      </c>
      <c r="I1277" s="18" t="str">
        <f aca="true">IF(F1277="","",F1277-TODAY())</f>
        <v/>
      </c>
      <c r="J1277" s="19" t="str">
        <f aca="true">IF(F1277="","",IF(TODAY()&lt;D1277,"Başlamadı",IF(TODAY()&gt;F1277,"Bitti",IF(F1277-TODAY()&lt;=7,"Bitiyor","Aktif"))))</f>
        <v/>
      </c>
      <c r="K1277" s="19" t="str">
        <f aca="false">IF(OR(J1277="Aktif",J1277="Bitiyor"),F1277+ROW()/1000000,"")</f>
        <v/>
      </c>
    </row>
    <row r="1278" customFormat="false" ht="15" hidden="false" customHeight="false" outlineLevel="0" collapsed="false">
      <c r="A1278" s="12"/>
      <c r="B1278" s="12"/>
      <c r="C1278" s="13"/>
      <c r="D1278" s="14"/>
      <c r="E1278" s="15"/>
      <c r="F1278" s="16" t="str">
        <f aca="false">IF(OR(C1278="",D1278=""),"",EDATE(D1278,IFERROR(INDEX(Paketler!$B$5:$B$24,MATCH(C1278,Paketler!$A$5:$A$24,0)),0))-1)</f>
        <v/>
      </c>
      <c r="G1278" s="17" t="str">
        <f aca="false">IF(F1278="","",IFERROR(INDEX(Paketler!$C$5:$C$24,MATCH(C1278,Paketler!$A$5:$A$24,0)),0))</f>
        <v/>
      </c>
      <c r="H1278" s="17" t="str">
        <f aca="false">IF(F1278="","",G1278-E1278)</f>
        <v/>
      </c>
      <c r="I1278" s="18" t="str">
        <f aca="true">IF(F1278="","",F1278-TODAY())</f>
        <v/>
      </c>
      <c r="J1278" s="19" t="str">
        <f aca="true">IF(F1278="","",IF(TODAY()&lt;D1278,"Başlamadı",IF(TODAY()&gt;F1278,"Bitti",IF(F1278-TODAY()&lt;=7,"Bitiyor","Aktif"))))</f>
        <v/>
      </c>
      <c r="K1278" s="19" t="str">
        <f aca="false">IF(OR(J1278="Aktif",J1278="Bitiyor"),F1278+ROW()/1000000,"")</f>
        <v/>
      </c>
    </row>
    <row r="1279" customFormat="false" ht="15" hidden="false" customHeight="false" outlineLevel="0" collapsed="false">
      <c r="A1279" s="12"/>
      <c r="B1279" s="12"/>
      <c r="C1279" s="13"/>
      <c r="D1279" s="14"/>
      <c r="E1279" s="15"/>
      <c r="F1279" s="16" t="str">
        <f aca="false">IF(OR(C1279="",D1279=""),"",EDATE(D1279,IFERROR(INDEX(Paketler!$B$5:$B$24,MATCH(C1279,Paketler!$A$5:$A$24,0)),0))-1)</f>
        <v/>
      </c>
      <c r="G1279" s="17" t="str">
        <f aca="false">IF(F1279="","",IFERROR(INDEX(Paketler!$C$5:$C$24,MATCH(C1279,Paketler!$A$5:$A$24,0)),0))</f>
        <v/>
      </c>
      <c r="H1279" s="17" t="str">
        <f aca="false">IF(F1279="","",G1279-E1279)</f>
        <v/>
      </c>
      <c r="I1279" s="18" t="str">
        <f aca="true">IF(F1279="","",F1279-TODAY())</f>
        <v/>
      </c>
      <c r="J1279" s="19" t="str">
        <f aca="true">IF(F1279="","",IF(TODAY()&lt;D1279,"Başlamadı",IF(TODAY()&gt;F1279,"Bitti",IF(F1279-TODAY()&lt;=7,"Bitiyor","Aktif"))))</f>
        <v/>
      </c>
      <c r="K1279" s="19" t="str">
        <f aca="false">IF(OR(J1279="Aktif",J1279="Bitiyor"),F1279+ROW()/1000000,"")</f>
        <v/>
      </c>
    </row>
    <row r="1280" customFormat="false" ht="15" hidden="false" customHeight="false" outlineLevel="0" collapsed="false">
      <c r="A1280" s="12"/>
      <c r="B1280" s="12"/>
      <c r="C1280" s="13"/>
      <c r="D1280" s="14"/>
      <c r="E1280" s="15"/>
      <c r="F1280" s="16" t="str">
        <f aca="false">IF(OR(C1280="",D1280=""),"",EDATE(D1280,IFERROR(INDEX(Paketler!$B$5:$B$24,MATCH(C1280,Paketler!$A$5:$A$24,0)),0))-1)</f>
        <v/>
      </c>
      <c r="G1280" s="17" t="str">
        <f aca="false">IF(F1280="","",IFERROR(INDEX(Paketler!$C$5:$C$24,MATCH(C1280,Paketler!$A$5:$A$24,0)),0))</f>
        <v/>
      </c>
      <c r="H1280" s="17" t="str">
        <f aca="false">IF(F1280="","",G1280-E1280)</f>
        <v/>
      </c>
      <c r="I1280" s="18" t="str">
        <f aca="true">IF(F1280="","",F1280-TODAY())</f>
        <v/>
      </c>
      <c r="J1280" s="19" t="str">
        <f aca="true">IF(F1280="","",IF(TODAY()&lt;D1280,"Başlamadı",IF(TODAY()&gt;F1280,"Bitti",IF(F1280-TODAY()&lt;=7,"Bitiyor","Aktif"))))</f>
        <v/>
      </c>
      <c r="K1280" s="19" t="str">
        <f aca="false">IF(OR(J1280="Aktif",J1280="Bitiyor"),F1280+ROW()/1000000,"")</f>
        <v/>
      </c>
    </row>
    <row r="1281" customFormat="false" ht="15" hidden="false" customHeight="false" outlineLevel="0" collapsed="false">
      <c r="A1281" s="12"/>
      <c r="B1281" s="12"/>
      <c r="C1281" s="13"/>
      <c r="D1281" s="14"/>
      <c r="E1281" s="15"/>
      <c r="F1281" s="16" t="str">
        <f aca="false">IF(OR(C1281="",D1281=""),"",EDATE(D1281,IFERROR(INDEX(Paketler!$B$5:$B$24,MATCH(C1281,Paketler!$A$5:$A$24,0)),0))-1)</f>
        <v/>
      </c>
      <c r="G1281" s="17" t="str">
        <f aca="false">IF(F1281="","",IFERROR(INDEX(Paketler!$C$5:$C$24,MATCH(C1281,Paketler!$A$5:$A$24,0)),0))</f>
        <v/>
      </c>
      <c r="H1281" s="17" t="str">
        <f aca="false">IF(F1281="","",G1281-E1281)</f>
        <v/>
      </c>
      <c r="I1281" s="18" t="str">
        <f aca="true">IF(F1281="","",F1281-TODAY())</f>
        <v/>
      </c>
      <c r="J1281" s="19" t="str">
        <f aca="true">IF(F1281="","",IF(TODAY()&lt;D1281,"Başlamadı",IF(TODAY()&gt;F1281,"Bitti",IF(F1281-TODAY()&lt;=7,"Bitiyor","Aktif"))))</f>
        <v/>
      </c>
      <c r="K1281" s="19" t="str">
        <f aca="false">IF(OR(J1281="Aktif",J1281="Bitiyor"),F1281+ROW()/1000000,"")</f>
        <v/>
      </c>
    </row>
    <row r="1282" customFormat="false" ht="15" hidden="false" customHeight="false" outlineLevel="0" collapsed="false">
      <c r="A1282" s="12"/>
      <c r="B1282" s="12"/>
      <c r="C1282" s="13"/>
      <c r="D1282" s="14"/>
      <c r="E1282" s="15"/>
      <c r="F1282" s="16" t="str">
        <f aca="false">IF(OR(C1282="",D1282=""),"",EDATE(D1282,IFERROR(INDEX(Paketler!$B$5:$B$24,MATCH(C1282,Paketler!$A$5:$A$24,0)),0))-1)</f>
        <v/>
      </c>
      <c r="G1282" s="17" t="str">
        <f aca="false">IF(F1282="","",IFERROR(INDEX(Paketler!$C$5:$C$24,MATCH(C1282,Paketler!$A$5:$A$24,0)),0))</f>
        <v/>
      </c>
      <c r="H1282" s="17" t="str">
        <f aca="false">IF(F1282="","",G1282-E1282)</f>
        <v/>
      </c>
      <c r="I1282" s="18" t="str">
        <f aca="true">IF(F1282="","",F1282-TODAY())</f>
        <v/>
      </c>
      <c r="J1282" s="19" t="str">
        <f aca="true">IF(F1282="","",IF(TODAY()&lt;D1282,"Başlamadı",IF(TODAY()&gt;F1282,"Bitti",IF(F1282-TODAY()&lt;=7,"Bitiyor","Aktif"))))</f>
        <v/>
      </c>
      <c r="K1282" s="19" t="str">
        <f aca="false">IF(OR(J1282="Aktif",J1282="Bitiyor"),F1282+ROW()/1000000,"")</f>
        <v/>
      </c>
    </row>
    <row r="1283" customFormat="false" ht="15" hidden="false" customHeight="false" outlineLevel="0" collapsed="false">
      <c r="A1283" s="12"/>
      <c r="B1283" s="12"/>
      <c r="C1283" s="13"/>
      <c r="D1283" s="14"/>
      <c r="E1283" s="15"/>
      <c r="F1283" s="16" t="str">
        <f aca="false">IF(OR(C1283="",D1283=""),"",EDATE(D1283,IFERROR(INDEX(Paketler!$B$5:$B$24,MATCH(C1283,Paketler!$A$5:$A$24,0)),0))-1)</f>
        <v/>
      </c>
      <c r="G1283" s="17" t="str">
        <f aca="false">IF(F1283="","",IFERROR(INDEX(Paketler!$C$5:$C$24,MATCH(C1283,Paketler!$A$5:$A$24,0)),0))</f>
        <v/>
      </c>
      <c r="H1283" s="17" t="str">
        <f aca="false">IF(F1283="","",G1283-E1283)</f>
        <v/>
      </c>
      <c r="I1283" s="18" t="str">
        <f aca="true">IF(F1283="","",F1283-TODAY())</f>
        <v/>
      </c>
      <c r="J1283" s="19" t="str">
        <f aca="true">IF(F1283="","",IF(TODAY()&lt;D1283,"Başlamadı",IF(TODAY()&gt;F1283,"Bitti",IF(F1283-TODAY()&lt;=7,"Bitiyor","Aktif"))))</f>
        <v/>
      </c>
      <c r="K1283" s="19" t="str">
        <f aca="false">IF(OR(J1283="Aktif",J1283="Bitiyor"),F1283+ROW()/1000000,"")</f>
        <v/>
      </c>
    </row>
    <row r="1284" customFormat="false" ht="15" hidden="false" customHeight="false" outlineLevel="0" collapsed="false">
      <c r="A1284" s="12"/>
      <c r="B1284" s="12"/>
      <c r="C1284" s="13"/>
      <c r="D1284" s="14"/>
      <c r="E1284" s="15"/>
      <c r="F1284" s="16" t="str">
        <f aca="false">IF(OR(C1284="",D1284=""),"",EDATE(D1284,IFERROR(INDEX(Paketler!$B$5:$B$24,MATCH(C1284,Paketler!$A$5:$A$24,0)),0))-1)</f>
        <v/>
      </c>
      <c r="G1284" s="17" t="str">
        <f aca="false">IF(F1284="","",IFERROR(INDEX(Paketler!$C$5:$C$24,MATCH(C1284,Paketler!$A$5:$A$24,0)),0))</f>
        <v/>
      </c>
      <c r="H1284" s="17" t="str">
        <f aca="false">IF(F1284="","",G1284-E1284)</f>
        <v/>
      </c>
      <c r="I1284" s="18" t="str">
        <f aca="true">IF(F1284="","",F1284-TODAY())</f>
        <v/>
      </c>
      <c r="J1284" s="19" t="str">
        <f aca="true">IF(F1284="","",IF(TODAY()&lt;D1284,"Başlamadı",IF(TODAY()&gt;F1284,"Bitti",IF(F1284-TODAY()&lt;=7,"Bitiyor","Aktif"))))</f>
        <v/>
      </c>
      <c r="K1284" s="19" t="str">
        <f aca="false">IF(OR(J1284="Aktif",J1284="Bitiyor"),F1284+ROW()/1000000,"")</f>
        <v/>
      </c>
    </row>
    <row r="1285" customFormat="false" ht="15" hidden="false" customHeight="false" outlineLevel="0" collapsed="false">
      <c r="A1285" s="12"/>
      <c r="B1285" s="12"/>
      <c r="C1285" s="13"/>
      <c r="D1285" s="14"/>
      <c r="E1285" s="15"/>
      <c r="F1285" s="16" t="str">
        <f aca="false">IF(OR(C1285="",D1285=""),"",EDATE(D1285,IFERROR(INDEX(Paketler!$B$5:$B$24,MATCH(C1285,Paketler!$A$5:$A$24,0)),0))-1)</f>
        <v/>
      </c>
      <c r="G1285" s="17" t="str">
        <f aca="false">IF(F1285="","",IFERROR(INDEX(Paketler!$C$5:$C$24,MATCH(C1285,Paketler!$A$5:$A$24,0)),0))</f>
        <v/>
      </c>
      <c r="H1285" s="17" t="str">
        <f aca="false">IF(F1285="","",G1285-E1285)</f>
        <v/>
      </c>
      <c r="I1285" s="18" t="str">
        <f aca="true">IF(F1285="","",F1285-TODAY())</f>
        <v/>
      </c>
      <c r="J1285" s="19" t="str">
        <f aca="true">IF(F1285="","",IF(TODAY()&lt;D1285,"Başlamadı",IF(TODAY()&gt;F1285,"Bitti",IF(F1285-TODAY()&lt;=7,"Bitiyor","Aktif"))))</f>
        <v/>
      </c>
      <c r="K1285" s="19" t="str">
        <f aca="false">IF(OR(J1285="Aktif",J1285="Bitiyor"),F1285+ROW()/1000000,"")</f>
        <v/>
      </c>
    </row>
    <row r="1286" customFormat="false" ht="15" hidden="false" customHeight="false" outlineLevel="0" collapsed="false">
      <c r="A1286" s="12"/>
      <c r="B1286" s="12"/>
      <c r="C1286" s="13"/>
      <c r="D1286" s="14"/>
      <c r="E1286" s="15"/>
      <c r="F1286" s="16" t="str">
        <f aca="false">IF(OR(C1286="",D1286=""),"",EDATE(D1286,IFERROR(INDEX(Paketler!$B$5:$B$24,MATCH(C1286,Paketler!$A$5:$A$24,0)),0))-1)</f>
        <v/>
      </c>
      <c r="G1286" s="17" t="str">
        <f aca="false">IF(F1286="","",IFERROR(INDEX(Paketler!$C$5:$C$24,MATCH(C1286,Paketler!$A$5:$A$24,0)),0))</f>
        <v/>
      </c>
      <c r="H1286" s="17" t="str">
        <f aca="false">IF(F1286="","",G1286-E1286)</f>
        <v/>
      </c>
      <c r="I1286" s="18" t="str">
        <f aca="true">IF(F1286="","",F1286-TODAY())</f>
        <v/>
      </c>
      <c r="J1286" s="19" t="str">
        <f aca="true">IF(F1286="","",IF(TODAY()&lt;D1286,"Başlamadı",IF(TODAY()&gt;F1286,"Bitti",IF(F1286-TODAY()&lt;=7,"Bitiyor","Aktif"))))</f>
        <v/>
      </c>
      <c r="K1286" s="19" t="str">
        <f aca="false">IF(OR(J1286="Aktif",J1286="Bitiyor"),F1286+ROW()/1000000,"")</f>
        <v/>
      </c>
    </row>
    <row r="1287" customFormat="false" ht="15" hidden="false" customHeight="false" outlineLevel="0" collapsed="false">
      <c r="A1287" s="12"/>
      <c r="B1287" s="12"/>
      <c r="C1287" s="13"/>
      <c r="D1287" s="14"/>
      <c r="E1287" s="15"/>
      <c r="F1287" s="16" t="str">
        <f aca="false">IF(OR(C1287="",D1287=""),"",EDATE(D1287,IFERROR(INDEX(Paketler!$B$5:$B$24,MATCH(C1287,Paketler!$A$5:$A$24,0)),0))-1)</f>
        <v/>
      </c>
      <c r="G1287" s="17" t="str">
        <f aca="false">IF(F1287="","",IFERROR(INDEX(Paketler!$C$5:$C$24,MATCH(C1287,Paketler!$A$5:$A$24,0)),0))</f>
        <v/>
      </c>
      <c r="H1287" s="17" t="str">
        <f aca="false">IF(F1287="","",G1287-E1287)</f>
        <v/>
      </c>
      <c r="I1287" s="18" t="str">
        <f aca="true">IF(F1287="","",F1287-TODAY())</f>
        <v/>
      </c>
      <c r="J1287" s="19" t="str">
        <f aca="true">IF(F1287="","",IF(TODAY()&lt;D1287,"Başlamadı",IF(TODAY()&gt;F1287,"Bitti",IF(F1287-TODAY()&lt;=7,"Bitiyor","Aktif"))))</f>
        <v/>
      </c>
      <c r="K1287" s="19" t="str">
        <f aca="false">IF(OR(J1287="Aktif",J1287="Bitiyor"),F1287+ROW()/1000000,"")</f>
        <v/>
      </c>
    </row>
    <row r="1288" customFormat="false" ht="15" hidden="false" customHeight="false" outlineLevel="0" collapsed="false">
      <c r="A1288" s="12"/>
      <c r="B1288" s="12"/>
      <c r="C1288" s="13"/>
      <c r="D1288" s="14"/>
      <c r="E1288" s="15"/>
      <c r="F1288" s="16" t="str">
        <f aca="false">IF(OR(C1288="",D1288=""),"",EDATE(D1288,IFERROR(INDEX(Paketler!$B$5:$B$24,MATCH(C1288,Paketler!$A$5:$A$24,0)),0))-1)</f>
        <v/>
      </c>
      <c r="G1288" s="17" t="str">
        <f aca="false">IF(F1288="","",IFERROR(INDEX(Paketler!$C$5:$C$24,MATCH(C1288,Paketler!$A$5:$A$24,0)),0))</f>
        <v/>
      </c>
      <c r="H1288" s="17" t="str">
        <f aca="false">IF(F1288="","",G1288-E1288)</f>
        <v/>
      </c>
      <c r="I1288" s="18" t="str">
        <f aca="true">IF(F1288="","",F1288-TODAY())</f>
        <v/>
      </c>
      <c r="J1288" s="19" t="str">
        <f aca="true">IF(F1288="","",IF(TODAY()&lt;D1288,"Başlamadı",IF(TODAY()&gt;F1288,"Bitti",IF(F1288-TODAY()&lt;=7,"Bitiyor","Aktif"))))</f>
        <v/>
      </c>
      <c r="K1288" s="19" t="str">
        <f aca="false">IF(OR(J1288="Aktif",J1288="Bitiyor"),F1288+ROW()/1000000,"")</f>
        <v/>
      </c>
    </row>
    <row r="1289" customFormat="false" ht="15" hidden="false" customHeight="false" outlineLevel="0" collapsed="false">
      <c r="A1289" s="12"/>
      <c r="B1289" s="12"/>
      <c r="C1289" s="13"/>
      <c r="D1289" s="14"/>
      <c r="E1289" s="15"/>
      <c r="F1289" s="16" t="str">
        <f aca="false">IF(OR(C1289="",D1289=""),"",EDATE(D1289,IFERROR(INDEX(Paketler!$B$5:$B$24,MATCH(C1289,Paketler!$A$5:$A$24,0)),0))-1)</f>
        <v/>
      </c>
      <c r="G1289" s="17" t="str">
        <f aca="false">IF(F1289="","",IFERROR(INDEX(Paketler!$C$5:$C$24,MATCH(C1289,Paketler!$A$5:$A$24,0)),0))</f>
        <v/>
      </c>
      <c r="H1289" s="17" t="str">
        <f aca="false">IF(F1289="","",G1289-E1289)</f>
        <v/>
      </c>
      <c r="I1289" s="18" t="str">
        <f aca="true">IF(F1289="","",F1289-TODAY())</f>
        <v/>
      </c>
      <c r="J1289" s="19" t="str">
        <f aca="true">IF(F1289="","",IF(TODAY()&lt;D1289,"Başlamadı",IF(TODAY()&gt;F1289,"Bitti",IF(F1289-TODAY()&lt;=7,"Bitiyor","Aktif"))))</f>
        <v/>
      </c>
      <c r="K1289" s="19" t="str">
        <f aca="false">IF(OR(J1289="Aktif",J1289="Bitiyor"),F1289+ROW()/1000000,"")</f>
        <v/>
      </c>
    </row>
    <row r="1290" customFormat="false" ht="15" hidden="false" customHeight="false" outlineLevel="0" collapsed="false">
      <c r="A1290" s="12"/>
      <c r="B1290" s="12"/>
      <c r="C1290" s="13"/>
      <c r="D1290" s="14"/>
      <c r="E1290" s="15"/>
      <c r="F1290" s="16" t="str">
        <f aca="false">IF(OR(C1290="",D1290=""),"",EDATE(D1290,IFERROR(INDEX(Paketler!$B$5:$B$24,MATCH(C1290,Paketler!$A$5:$A$24,0)),0))-1)</f>
        <v/>
      </c>
      <c r="G1290" s="17" t="str">
        <f aca="false">IF(F1290="","",IFERROR(INDEX(Paketler!$C$5:$C$24,MATCH(C1290,Paketler!$A$5:$A$24,0)),0))</f>
        <v/>
      </c>
      <c r="H1290" s="17" t="str">
        <f aca="false">IF(F1290="","",G1290-E1290)</f>
        <v/>
      </c>
      <c r="I1290" s="18" t="str">
        <f aca="true">IF(F1290="","",F1290-TODAY())</f>
        <v/>
      </c>
      <c r="J1290" s="19" t="str">
        <f aca="true">IF(F1290="","",IF(TODAY()&lt;D1290,"Başlamadı",IF(TODAY()&gt;F1290,"Bitti",IF(F1290-TODAY()&lt;=7,"Bitiyor","Aktif"))))</f>
        <v/>
      </c>
      <c r="K1290" s="19" t="str">
        <f aca="false">IF(OR(J1290="Aktif",J1290="Bitiyor"),F1290+ROW()/1000000,"")</f>
        <v/>
      </c>
    </row>
    <row r="1291" customFormat="false" ht="15" hidden="false" customHeight="false" outlineLevel="0" collapsed="false">
      <c r="A1291" s="12"/>
      <c r="B1291" s="12"/>
      <c r="C1291" s="13"/>
      <c r="D1291" s="14"/>
      <c r="E1291" s="15"/>
      <c r="F1291" s="16" t="str">
        <f aca="false">IF(OR(C1291="",D1291=""),"",EDATE(D1291,IFERROR(INDEX(Paketler!$B$5:$B$24,MATCH(C1291,Paketler!$A$5:$A$24,0)),0))-1)</f>
        <v/>
      </c>
      <c r="G1291" s="17" t="str">
        <f aca="false">IF(F1291="","",IFERROR(INDEX(Paketler!$C$5:$C$24,MATCH(C1291,Paketler!$A$5:$A$24,0)),0))</f>
        <v/>
      </c>
      <c r="H1291" s="17" t="str">
        <f aca="false">IF(F1291="","",G1291-E1291)</f>
        <v/>
      </c>
      <c r="I1291" s="18" t="str">
        <f aca="true">IF(F1291="","",F1291-TODAY())</f>
        <v/>
      </c>
      <c r="J1291" s="19" t="str">
        <f aca="true">IF(F1291="","",IF(TODAY()&lt;D1291,"Başlamadı",IF(TODAY()&gt;F1291,"Bitti",IF(F1291-TODAY()&lt;=7,"Bitiyor","Aktif"))))</f>
        <v/>
      </c>
      <c r="K1291" s="19" t="str">
        <f aca="false">IF(OR(J1291="Aktif",J1291="Bitiyor"),F1291+ROW()/1000000,"")</f>
        <v/>
      </c>
    </row>
    <row r="1292" customFormat="false" ht="15" hidden="false" customHeight="false" outlineLevel="0" collapsed="false">
      <c r="A1292" s="12"/>
      <c r="B1292" s="12"/>
      <c r="C1292" s="13"/>
      <c r="D1292" s="14"/>
      <c r="E1292" s="15"/>
      <c r="F1292" s="16" t="str">
        <f aca="false">IF(OR(C1292="",D1292=""),"",EDATE(D1292,IFERROR(INDEX(Paketler!$B$5:$B$24,MATCH(C1292,Paketler!$A$5:$A$24,0)),0))-1)</f>
        <v/>
      </c>
      <c r="G1292" s="17" t="str">
        <f aca="false">IF(F1292="","",IFERROR(INDEX(Paketler!$C$5:$C$24,MATCH(C1292,Paketler!$A$5:$A$24,0)),0))</f>
        <v/>
      </c>
      <c r="H1292" s="17" t="str">
        <f aca="false">IF(F1292="","",G1292-E1292)</f>
        <v/>
      </c>
      <c r="I1292" s="18" t="str">
        <f aca="true">IF(F1292="","",F1292-TODAY())</f>
        <v/>
      </c>
      <c r="J1292" s="19" t="str">
        <f aca="true">IF(F1292="","",IF(TODAY()&lt;D1292,"Başlamadı",IF(TODAY()&gt;F1292,"Bitti",IF(F1292-TODAY()&lt;=7,"Bitiyor","Aktif"))))</f>
        <v/>
      </c>
      <c r="K1292" s="19" t="str">
        <f aca="false">IF(OR(J1292="Aktif",J1292="Bitiyor"),F1292+ROW()/1000000,"")</f>
        <v/>
      </c>
    </row>
    <row r="1293" customFormat="false" ht="15" hidden="false" customHeight="false" outlineLevel="0" collapsed="false">
      <c r="A1293" s="12"/>
      <c r="B1293" s="12"/>
      <c r="C1293" s="13"/>
      <c r="D1293" s="14"/>
      <c r="E1293" s="15"/>
      <c r="F1293" s="16" t="str">
        <f aca="false">IF(OR(C1293="",D1293=""),"",EDATE(D1293,IFERROR(INDEX(Paketler!$B$5:$B$24,MATCH(C1293,Paketler!$A$5:$A$24,0)),0))-1)</f>
        <v/>
      </c>
      <c r="G1293" s="17" t="str">
        <f aca="false">IF(F1293="","",IFERROR(INDEX(Paketler!$C$5:$C$24,MATCH(C1293,Paketler!$A$5:$A$24,0)),0))</f>
        <v/>
      </c>
      <c r="H1293" s="17" t="str">
        <f aca="false">IF(F1293="","",G1293-E1293)</f>
        <v/>
      </c>
      <c r="I1293" s="18" t="str">
        <f aca="true">IF(F1293="","",F1293-TODAY())</f>
        <v/>
      </c>
      <c r="J1293" s="19" t="str">
        <f aca="true">IF(F1293="","",IF(TODAY()&lt;D1293,"Başlamadı",IF(TODAY()&gt;F1293,"Bitti",IF(F1293-TODAY()&lt;=7,"Bitiyor","Aktif"))))</f>
        <v/>
      </c>
      <c r="K1293" s="19" t="str">
        <f aca="false">IF(OR(J1293="Aktif",J1293="Bitiyor"),F1293+ROW()/1000000,"")</f>
        <v/>
      </c>
    </row>
    <row r="1294" customFormat="false" ht="15" hidden="false" customHeight="false" outlineLevel="0" collapsed="false">
      <c r="A1294" s="12"/>
      <c r="B1294" s="12"/>
      <c r="C1294" s="13"/>
      <c r="D1294" s="14"/>
      <c r="E1294" s="15"/>
      <c r="F1294" s="16" t="str">
        <f aca="false">IF(OR(C1294="",D1294=""),"",EDATE(D1294,IFERROR(INDEX(Paketler!$B$5:$B$24,MATCH(C1294,Paketler!$A$5:$A$24,0)),0))-1)</f>
        <v/>
      </c>
      <c r="G1294" s="17" t="str">
        <f aca="false">IF(F1294="","",IFERROR(INDEX(Paketler!$C$5:$C$24,MATCH(C1294,Paketler!$A$5:$A$24,0)),0))</f>
        <v/>
      </c>
      <c r="H1294" s="17" t="str">
        <f aca="false">IF(F1294="","",G1294-E1294)</f>
        <v/>
      </c>
      <c r="I1294" s="18" t="str">
        <f aca="true">IF(F1294="","",F1294-TODAY())</f>
        <v/>
      </c>
      <c r="J1294" s="19" t="str">
        <f aca="true">IF(F1294="","",IF(TODAY()&lt;D1294,"Başlamadı",IF(TODAY()&gt;F1294,"Bitti",IF(F1294-TODAY()&lt;=7,"Bitiyor","Aktif"))))</f>
        <v/>
      </c>
      <c r="K1294" s="19" t="str">
        <f aca="false">IF(OR(J1294="Aktif",J1294="Bitiyor"),F1294+ROW()/1000000,"")</f>
        <v/>
      </c>
    </row>
    <row r="1295" customFormat="false" ht="15" hidden="false" customHeight="false" outlineLevel="0" collapsed="false">
      <c r="A1295" s="12"/>
      <c r="B1295" s="12"/>
      <c r="C1295" s="13"/>
      <c r="D1295" s="14"/>
      <c r="E1295" s="15"/>
      <c r="F1295" s="16" t="str">
        <f aca="false">IF(OR(C1295="",D1295=""),"",EDATE(D1295,IFERROR(INDEX(Paketler!$B$5:$B$24,MATCH(C1295,Paketler!$A$5:$A$24,0)),0))-1)</f>
        <v/>
      </c>
      <c r="G1295" s="17" t="str">
        <f aca="false">IF(F1295="","",IFERROR(INDEX(Paketler!$C$5:$C$24,MATCH(C1295,Paketler!$A$5:$A$24,0)),0))</f>
        <v/>
      </c>
      <c r="H1295" s="17" t="str">
        <f aca="false">IF(F1295="","",G1295-E1295)</f>
        <v/>
      </c>
      <c r="I1295" s="18" t="str">
        <f aca="true">IF(F1295="","",F1295-TODAY())</f>
        <v/>
      </c>
      <c r="J1295" s="19" t="str">
        <f aca="true">IF(F1295="","",IF(TODAY()&lt;D1295,"Başlamadı",IF(TODAY()&gt;F1295,"Bitti",IF(F1295-TODAY()&lt;=7,"Bitiyor","Aktif"))))</f>
        <v/>
      </c>
      <c r="K1295" s="19" t="str">
        <f aca="false">IF(OR(J1295="Aktif",J1295="Bitiyor"),F1295+ROW()/1000000,"")</f>
        <v/>
      </c>
    </row>
    <row r="1296" customFormat="false" ht="15" hidden="false" customHeight="false" outlineLevel="0" collapsed="false">
      <c r="A1296" s="12"/>
      <c r="B1296" s="12"/>
      <c r="C1296" s="13"/>
      <c r="D1296" s="14"/>
      <c r="E1296" s="15"/>
      <c r="F1296" s="16" t="str">
        <f aca="false">IF(OR(C1296="",D1296=""),"",EDATE(D1296,IFERROR(INDEX(Paketler!$B$5:$B$24,MATCH(C1296,Paketler!$A$5:$A$24,0)),0))-1)</f>
        <v/>
      </c>
      <c r="G1296" s="17" t="str">
        <f aca="false">IF(F1296="","",IFERROR(INDEX(Paketler!$C$5:$C$24,MATCH(C1296,Paketler!$A$5:$A$24,0)),0))</f>
        <v/>
      </c>
      <c r="H1296" s="17" t="str">
        <f aca="false">IF(F1296="","",G1296-E1296)</f>
        <v/>
      </c>
      <c r="I1296" s="18" t="str">
        <f aca="true">IF(F1296="","",F1296-TODAY())</f>
        <v/>
      </c>
      <c r="J1296" s="19" t="str">
        <f aca="true">IF(F1296="","",IF(TODAY()&lt;D1296,"Başlamadı",IF(TODAY()&gt;F1296,"Bitti",IF(F1296-TODAY()&lt;=7,"Bitiyor","Aktif"))))</f>
        <v/>
      </c>
      <c r="K1296" s="19" t="str">
        <f aca="false">IF(OR(J1296="Aktif",J1296="Bitiyor"),F1296+ROW()/1000000,"")</f>
        <v/>
      </c>
    </row>
    <row r="1297" customFormat="false" ht="15" hidden="false" customHeight="false" outlineLevel="0" collapsed="false">
      <c r="A1297" s="12"/>
      <c r="B1297" s="12"/>
      <c r="C1297" s="13"/>
      <c r="D1297" s="14"/>
      <c r="E1297" s="15"/>
      <c r="F1297" s="16" t="str">
        <f aca="false">IF(OR(C1297="",D1297=""),"",EDATE(D1297,IFERROR(INDEX(Paketler!$B$5:$B$24,MATCH(C1297,Paketler!$A$5:$A$24,0)),0))-1)</f>
        <v/>
      </c>
      <c r="G1297" s="17" t="str">
        <f aca="false">IF(F1297="","",IFERROR(INDEX(Paketler!$C$5:$C$24,MATCH(C1297,Paketler!$A$5:$A$24,0)),0))</f>
        <v/>
      </c>
      <c r="H1297" s="17" t="str">
        <f aca="false">IF(F1297="","",G1297-E1297)</f>
        <v/>
      </c>
      <c r="I1297" s="18" t="str">
        <f aca="true">IF(F1297="","",F1297-TODAY())</f>
        <v/>
      </c>
      <c r="J1297" s="19" t="str">
        <f aca="true">IF(F1297="","",IF(TODAY()&lt;D1297,"Başlamadı",IF(TODAY()&gt;F1297,"Bitti",IF(F1297-TODAY()&lt;=7,"Bitiyor","Aktif"))))</f>
        <v/>
      </c>
      <c r="K1297" s="19" t="str">
        <f aca="false">IF(OR(J1297="Aktif",J1297="Bitiyor"),F1297+ROW()/1000000,"")</f>
        <v/>
      </c>
    </row>
    <row r="1298" customFormat="false" ht="15" hidden="false" customHeight="false" outlineLevel="0" collapsed="false">
      <c r="A1298" s="12"/>
      <c r="B1298" s="12"/>
      <c r="C1298" s="13"/>
      <c r="D1298" s="14"/>
      <c r="E1298" s="15"/>
      <c r="F1298" s="16" t="str">
        <f aca="false">IF(OR(C1298="",D1298=""),"",EDATE(D1298,IFERROR(INDEX(Paketler!$B$5:$B$24,MATCH(C1298,Paketler!$A$5:$A$24,0)),0))-1)</f>
        <v/>
      </c>
      <c r="G1298" s="17" t="str">
        <f aca="false">IF(F1298="","",IFERROR(INDEX(Paketler!$C$5:$C$24,MATCH(C1298,Paketler!$A$5:$A$24,0)),0))</f>
        <v/>
      </c>
      <c r="H1298" s="17" t="str">
        <f aca="false">IF(F1298="","",G1298-E1298)</f>
        <v/>
      </c>
      <c r="I1298" s="18" t="str">
        <f aca="true">IF(F1298="","",F1298-TODAY())</f>
        <v/>
      </c>
      <c r="J1298" s="19" t="str">
        <f aca="true">IF(F1298="","",IF(TODAY()&lt;D1298,"Başlamadı",IF(TODAY()&gt;F1298,"Bitti",IF(F1298-TODAY()&lt;=7,"Bitiyor","Aktif"))))</f>
        <v/>
      </c>
      <c r="K1298" s="19" t="str">
        <f aca="false">IF(OR(J1298="Aktif",J1298="Bitiyor"),F1298+ROW()/1000000,"")</f>
        <v/>
      </c>
    </row>
    <row r="1299" customFormat="false" ht="15" hidden="false" customHeight="false" outlineLevel="0" collapsed="false">
      <c r="A1299" s="12"/>
      <c r="B1299" s="12"/>
      <c r="C1299" s="13"/>
      <c r="D1299" s="14"/>
      <c r="E1299" s="15"/>
      <c r="F1299" s="16" t="str">
        <f aca="false">IF(OR(C1299="",D1299=""),"",EDATE(D1299,IFERROR(INDEX(Paketler!$B$5:$B$24,MATCH(C1299,Paketler!$A$5:$A$24,0)),0))-1)</f>
        <v/>
      </c>
      <c r="G1299" s="17" t="str">
        <f aca="false">IF(F1299="","",IFERROR(INDEX(Paketler!$C$5:$C$24,MATCH(C1299,Paketler!$A$5:$A$24,0)),0))</f>
        <v/>
      </c>
      <c r="H1299" s="17" t="str">
        <f aca="false">IF(F1299="","",G1299-E1299)</f>
        <v/>
      </c>
      <c r="I1299" s="18" t="str">
        <f aca="true">IF(F1299="","",F1299-TODAY())</f>
        <v/>
      </c>
      <c r="J1299" s="19" t="str">
        <f aca="true">IF(F1299="","",IF(TODAY()&lt;D1299,"Başlamadı",IF(TODAY()&gt;F1299,"Bitti",IF(F1299-TODAY()&lt;=7,"Bitiyor","Aktif"))))</f>
        <v/>
      </c>
      <c r="K1299" s="19" t="str">
        <f aca="false">IF(OR(J1299="Aktif",J1299="Bitiyor"),F1299+ROW()/1000000,"")</f>
        <v/>
      </c>
    </row>
    <row r="1300" customFormat="false" ht="15" hidden="false" customHeight="false" outlineLevel="0" collapsed="false">
      <c r="A1300" s="12"/>
      <c r="B1300" s="12"/>
      <c r="C1300" s="13"/>
      <c r="D1300" s="14"/>
      <c r="E1300" s="15"/>
      <c r="F1300" s="16" t="str">
        <f aca="false">IF(OR(C1300="",D1300=""),"",EDATE(D1300,IFERROR(INDEX(Paketler!$B$5:$B$24,MATCH(C1300,Paketler!$A$5:$A$24,0)),0))-1)</f>
        <v/>
      </c>
      <c r="G1300" s="17" t="str">
        <f aca="false">IF(F1300="","",IFERROR(INDEX(Paketler!$C$5:$C$24,MATCH(C1300,Paketler!$A$5:$A$24,0)),0))</f>
        <v/>
      </c>
      <c r="H1300" s="17" t="str">
        <f aca="false">IF(F1300="","",G1300-E1300)</f>
        <v/>
      </c>
      <c r="I1300" s="18" t="str">
        <f aca="true">IF(F1300="","",F1300-TODAY())</f>
        <v/>
      </c>
      <c r="J1300" s="19" t="str">
        <f aca="true">IF(F1300="","",IF(TODAY()&lt;D1300,"Başlamadı",IF(TODAY()&gt;F1300,"Bitti",IF(F1300-TODAY()&lt;=7,"Bitiyor","Aktif"))))</f>
        <v/>
      </c>
      <c r="K1300" s="19" t="str">
        <f aca="false">IF(OR(J1300="Aktif",J1300="Bitiyor"),F1300+ROW()/1000000,"")</f>
        <v/>
      </c>
    </row>
    <row r="1301" customFormat="false" ht="15" hidden="false" customHeight="false" outlineLevel="0" collapsed="false">
      <c r="A1301" s="12"/>
      <c r="B1301" s="12"/>
      <c r="C1301" s="13"/>
      <c r="D1301" s="14"/>
      <c r="E1301" s="15"/>
      <c r="F1301" s="16" t="str">
        <f aca="false">IF(OR(C1301="",D1301=""),"",EDATE(D1301,IFERROR(INDEX(Paketler!$B$5:$B$24,MATCH(C1301,Paketler!$A$5:$A$24,0)),0))-1)</f>
        <v/>
      </c>
      <c r="G1301" s="17" t="str">
        <f aca="false">IF(F1301="","",IFERROR(INDEX(Paketler!$C$5:$C$24,MATCH(C1301,Paketler!$A$5:$A$24,0)),0))</f>
        <v/>
      </c>
      <c r="H1301" s="17" t="str">
        <f aca="false">IF(F1301="","",G1301-E1301)</f>
        <v/>
      </c>
      <c r="I1301" s="18" t="str">
        <f aca="true">IF(F1301="","",F1301-TODAY())</f>
        <v/>
      </c>
      <c r="J1301" s="19" t="str">
        <f aca="true">IF(F1301="","",IF(TODAY()&lt;D1301,"Başlamadı",IF(TODAY()&gt;F1301,"Bitti",IF(F1301-TODAY()&lt;=7,"Bitiyor","Aktif"))))</f>
        <v/>
      </c>
      <c r="K1301" s="19" t="str">
        <f aca="false">IF(OR(J1301="Aktif",J1301="Bitiyor"),F1301+ROW()/1000000,"")</f>
        <v/>
      </c>
    </row>
    <row r="1302" customFormat="false" ht="15" hidden="false" customHeight="false" outlineLevel="0" collapsed="false">
      <c r="A1302" s="12"/>
      <c r="B1302" s="12"/>
      <c r="C1302" s="13"/>
      <c r="D1302" s="14"/>
      <c r="E1302" s="15"/>
      <c r="F1302" s="16" t="str">
        <f aca="false">IF(OR(C1302="",D1302=""),"",EDATE(D1302,IFERROR(INDEX(Paketler!$B$5:$B$24,MATCH(C1302,Paketler!$A$5:$A$24,0)),0))-1)</f>
        <v/>
      </c>
      <c r="G1302" s="17" t="str">
        <f aca="false">IF(F1302="","",IFERROR(INDEX(Paketler!$C$5:$C$24,MATCH(C1302,Paketler!$A$5:$A$24,0)),0))</f>
        <v/>
      </c>
      <c r="H1302" s="17" t="str">
        <f aca="false">IF(F1302="","",G1302-E1302)</f>
        <v/>
      </c>
      <c r="I1302" s="18" t="str">
        <f aca="true">IF(F1302="","",F1302-TODAY())</f>
        <v/>
      </c>
      <c r="J1302" s="19" t="str">
        <f aca="true">IF(F1302="","",IF(TODAY()&lt;D1302,"Başlamadı",IF(TODAY()&gt;F1302,"Bitti",IF(F1302-TODAY()&lt;=7,"Bitiyor","Aktif"))))</f>
        <v/>
      </c>
      <c r="K1302" s="19" t="str">
        <f aca="false">IF(OR(J1302="Aktif",J1302="Bitiyor"),F1302+ROW()/1000000,"")</f>
        <v/>
      </c>
    </row>
    <row r="1303" customFormat="false" ht="15" hidden="false" customHeight="false" outlineLevel="0" collapsed="false">
      <c r="A1303" s="12"/>
      <c r="B1303" s="12"/>
      <c r="C1303" s="13"/>
      <c r="D1303" s="14"/>
      <c r="E1303" s="15"/>
      <c r="F1303" s="16" t="str">
        <f aca="false">IF(OR(C1303="",D1303=""),"",EDATE(D1303,IFERROR(INDEX(Paketler!$B$5:$B$24,MATCH(C1303,Paketler!$A$5:$A$24,0)),0))-1)</f>
        <v/>
      </c>
      <c r="G1303" s="17" t="str">
        <f aca="false">IF(F1303="","",IFERROR(INDEX(Paketler!$C$5:$C$24,MATCH(C1303,Paketler!$A$5:$A$24,0)),0))</f>
        <v/>
      </c>
      <c r="H1303" s="17" t="str">
        <f aca="false">IF(F1303="","",G1303-E1303)</f>
        <v/>
      </c>
      <c r="I1303" s="18" t="str">
        <f aca="true">IF(F1303="","",F1303-TODAY())</f>
        <v/>
      </c>
      <c r="J1303" s="19" t="str">
        <f aca="true">IF(F1303="","",IF(TODAY()&lt;D1303,"Başlamadı",IF(TODAY()&gt;F1303,"Bitti",IF(F1303-TODAY()&lt;=7,"Bitiyor","Aktif"))))</f>
        <v/>
      </c>
      <c r="K1303" s="19" t="str">
        <f aca="false">IF(OR(J1303="Aktif",J1303="Bitiyor"),F1303+ROW()/1000000,"")</f>
        <v/>
      </c>
    </row>
    <row r="1304" customFormat="false" ht="15" hidden="false" customHeight="false" outlineLevel="0" collapsed="false">
      <c r="A1304" s="12"/>
      <c r="B1304" s="12"/>
      <c r="C1304" s="13"/>
      <c r="D1304" s="14"/>
      <c r="E1304" s="15"/>
      <c r="F1304" s="16" t="str">
        <f aca="false">IF(OR(C1304="",D1304=""),"",EDATE(D1304,IFERROR(INDEX(Paketler!$B$5:$B$24,MATCH(C1304,Paketler!$A$5:$A$24,0)),0))-1)</f>
        <v/>
      </c>
      <c r="G1304" s="17" t="str">
        <f aca="false">IF(F1304="","",IFERROR(INDEX(Paketler!$C$5:$C$24,MATCH(C1304,Paketler!$A$5:$A$24,0)),0))</f>
        <v/>
      </c>
      <c r="H1304" s="17" t="str">
        <f aca="false">IF(F1304="","",G1304-E1304)</f>
        <v/>
      </c>
      <c r="I1304" s="18" t="str">
        <f aca="true">IF(F1304="","",F1304-TODAY())</f>
        <v/>
      </c>
      <c r="J1304" s="19" t="str">
        <f aca="true">IF(F1304="","",IF(TODAY()&lt;D1304,"Başlamadı",IF(TODAY()&gt;F1304,"Bitti",IF(F1304-TODAY()&lt;=7,"Bitiyor","Aktif"))))</f>
        <v/>
      </c>
      <c r="K1304" s="19" t="str">
        <f aca="false">IF(OR(J1304="Aktif",J1304="Bitiyor"),F1304+ROW()/1000000,"")</f>
        <v/>
      </c>
    </row>
    <row r="1305" customFormat="false" ht="15" hidden="false" customHeight="false" outlineLevel="0" collapsed="false">
      <c r="A1305" s="12"/>
      <c r="B1305" s="12"/>
      <c r="C1305" s="13"/>
      <c r="D1305" s="14"/>
      <c r="E1305" s="15"/>
      <c r="F1305" s="16" t="str">
        <f aca="false">IF(OR(C1305="",D1305=""),"",EDATE(D1305,IFERROR(INDEX(Paketler!$B$5:$B$24,MATCH(C1305,Paketler!$A$5:$A$24,0)),0))-1)</f>
        <v/>
      </c>
      <c r="G1305" s="17" t="str">
        <f aca="false">IF(F1305="","",IFERROR(INDEX(Paketler!$C$5:$C$24,MATCH(C1305,Paketler!$A$5:$A$24,0)),0))</f>
        <v/>
      </c>
      <c r="H1305" s="17" t="str">
        <f aca="false">IF(F1305="","",G1305-E1305)</f>
        <v/>
      </c>
      <c r="I1305" s="18" t="str">
        <f aca="true">IF(F1305="","",F1305-TODAY())</f>
        <v/>
      </c>
      <c r="J1305" s="19" t="str">
        <f aca="true">IF(F1305="","",IF(TODAY()&lt;D1305,"Başlamadı",IF(TODAY()&gt;F1305,"Bitti",IF(F1305-TODAY()&lt;=7,"Bitiyor","Aktif"))))</f>
        <v/>
      </c>
      <c r="K1305" s="19" t="str">
        <f aca="false">IF(OR(J1305="Aktif",J1305="Bitiyor"),F1305+ROW()/1000000,"")</f>
        <v/>
      </c>
    </row>
    <row r="1306" customFormat="false" ht="15" hidden="false" customHeight="false" outlineLevel="0" collapsed="false">
      <c r="A1306" s="12"/>
      <c r="B1306" s="12"/>
      <c r="C1306" s="13"/>
      <c r="D1306" s="14"/>
      <c r="E1306" s="15"/>
      <c r="F1306" s="16" t="str">
        <f aca="false">IF(OR(C1306="",D1306=""),"",EDATE(D1306,IFERROR(INDEX(Paketler!$B$5:$B$24,MATCH(C1306,Paketler!$A$5:$A$24,0)),0))-1)</f>
        <v/>
      </c>
      <c r="G1306" s="17" t="str">
        <f aca="false">IF(F1306="","",IFERROR(INDEX(Paketler!$C$5:$C$24,MATCH(C1306,Paketler!$A$5:$A$24,0)),0))</f>
        <v/>
      </c>
      <c r="H1306" s="17" t="str">
        <f aca="false">IF(F1306="","",G1306-E1306)</f>
        <v/>
      </c>
      <c r="I1306" s="18" t="str">
        <f aca="true">IF(F1306="","",F1306-TODAY())</f>
        <v/>
      </c>
      <c r="J1306" s="19" t="str">
        <f aca="true">IF(F1306="","",IF(TODAY()&lt;D1306,"Başlamadı",IF(TODAY()&gt;F1306,"Bitti",IF(F1306-TODAY()&lt;=7,"Bitiyor","Aktif"))))</f>
        <v/>
      </c>
      <c r="K1306" s="19" t="str">
        <f aca="false">IF(OR(J1306="Aktif",J1306="Bitiyor"),F1306+ROW()/1000000,"")</f>
        <v/>
      </c>
    </row>
    <row r="1307" customFormat="false" ht="15" hidden="false" customHeight="false" outlineLevel="0" collapsed="false">
      <c r="A1307" s="12"/>
      <c r="B1307" s="12"/>
      <c r="C1307" s="13"/>
      <c r="D1307" s="14"/>
      <c r="E1307" s="15"/>
      <c r="F1307" s="16" t="str">
        <f aca="false">IF(OR(C1307="",D1307=""),"",EDATE(D1307,IFERROR(INDEX(Paketler!$B$5:$B$24,MATCH(C1307,Paketler!$A$5:$A$24,0)),0))-1)</f>
        <v/>
      </c>
      <c r="G1307" s="17" t="str">
        <f aca="false">IF(F1307="","",IFERROR(INDEX(Paketler!$C$5:$C$24,MATCH(C1307,Paketler!$A$5:$A$24,0)),0))</f>
        <v/>
      </c>
      <c r="H1307" s="17" t="str">
        <f aca="false">IF(F1307="","",G1307-E1307)</f>
        <v/>
      </c>
      <c r="I1307" s="18" t="str">
        <f aca="true">IF(F1307="","",F1307-TODAY())</f>
        <v/>
      </c>
      <c r="J1307" s="19" t="str">
        <f aca="true">IF(F1307="","",IF(TODAY()&lt;D1307,"Başlamadı",IF(TODAY()&gt;F1307,"Bitti",IF(F1307-TODAY()&lt;=7,"Bitiyor","Aktif"))))</f>
        <v/>
      </c>
      <c r="K1307" s="19" t="str">
        <f aca="false">IF(OR(J1307="Aktif",J1307="Bitiyor"),F1307+ROW()/1000000,"")</f>
        <v/>
      </c>
    </row>
    <row r="1308" customFormat="false" ht="15" hidden="false" customHeight="false" outlineLevel="0" collapsed="false">
      <c r="A1308" s="12"/>
      <c r="B1308" s="12"/>
      <c r="C1308" s="13"/>
      <c r="D1308" s="14"/>
      <c r="E1308" s="15"/>
      <c r="F1308" s="16" t="str">
        <f aca="false">IF(OR(C1308="",D1308=""),"",EDATE(D1308,IFERROR(INDEX(Paketler!$B$5:$B$24,MATCH(C1308,Paketler!$A$5:$A$24,0)),0))-1)</f>
        <v/>
      </c>
      <c r="G1308" s="17" t="str">
        <f aca="false">IF(F1308="","",IFERROR(INDEX(Paketler!$C$5:$C$24,MATCH(C1308,Paketler!$A$5:$A$24,0)),0))</f>
        <v/>
      </c>
      <c r="H1308" s="17" t="str">
        <f aca="false">IF(F1308="","",G1308-E1308)</f>
        <v/>
      </c>
      <c r="I1308" s="18" t="str">
        <f aca="true">IF(F1308="","",F1308-TODAY())</f>
        <v/>
      </c>
      <c r="J1308" s="19" t="str">
        <f aca="true">IF(F1308="","",IF(TODAY()&lt;D1308,"Başlamadı",IF(TODAY()&gt;F1308,"Bitti",IF(F1308-TODAY()&lt;=7,"Bitiyor","Aktif"))))</f>
        <v/>
      </c>
      <c r="K1308" s="19" t="str">
        <f aca="false">IF(OR(J1308="Aktif",J1308="Bitiyor"),F1308+ROW()/1000000,"")</f>
        <v/>
      </c>
    </row>
    <row r="1309" customFormat="false" ht="15" hidden="false" customHeight="false" outlineLevel="0" collapsed="false">
      <c r="A1309" s="12"/>
      <c r="B1309" s="12"/>
      <c r="C1309" s="13"/>
      <c r="D1309" s="14"/>
      <c r="E1309" s="15"/>
      <c r="F1309" s="16" t="str">
        <f aca="false">IF(OR(C1309="",D1309=""),"",EDATE(D1309,IFERROR(INDEX(Paketler!$B$5:$B$24,MATCH(C1309,Paketler!$A$5:$A$24,0)),0))-1)</f>
        <v/>
      </c>
      <c r="G1309" s="17" t="str">
        <f aca="false">IF(F1309="","",IFERROR(INDEX(Paketler!$C$5:$C$24,MATCH(C1309,Paketler!$A$5:$A$24,0)),0))</f>
        <v/>
      </c>
      <c r="H1309" s="17" t="str">
        <f aca="false">IF(F1309="","",G1309-E1309)</f>
        <v/>
      </c>
      <c r="I1309" s="18" t="str">
        <f aca="true">IF(F1309="","",F1309-TODAY())</f>
        <v/>
      </c>
      <c r="J1309" s="19" t="str">
        <f aca="true">IF(F1309="","",IF(TODAY()&lt;D1309,"Başlamadı",IF(TODAY()&gt;F1309,"Bitti",IF(F1309-TODAY()&lt;=7,"Bitiyor","Aktif"))))</f>
        <v/>
      </c>
      <c r="K1309" s="19" t="str">
        <f aca="false">IF(OR(J1309="Aktif",J1309="Bitiyor"),F1309+ROW()/1000000,"")</f>
        <v/>
      </c>
    </row>
    <row r="1310" customFormat="false" ht="15" hidden="false" customHeight="false" outlineLevel="0" collapsed="false">
      <c r="A1310" s="12"/>
      <c r="B1310" s="12"/>
      <c r="C1310" s="13"/>
      <c r="D1310" s="14"/>
      <c r="E1310" s="15"/>
      <c r="F1310" s="16" t="str">
        <f aca="false">IF(OR(C1310="",D1310=""),"",EDATE(D1310,IFERROR(INDEX(Paketler!$B$5:$B$24,MATCH(C1310,Paketler!$A$5:$A$24,0)),0))-1)</f>
        <v/>
      </c>
      <c r="G1310" s="17" t="str">
        <f aca="false">IF(F1310="","",IFERROR(INDEX(Paketler!$C$5:$C$24,MATCH(C1310,Paketler!$A$5:$A$24,0)),0))</f>
        <v/>
      </c>
      <c r="H1310" s="17" t="str">
        <f aca="false">IF(F1310="","",G1310-E1310)</f>
        <v/>
      </c>
      <c r="I1310" s="18" t="str">
        <f aca="true">IF(F1310="","",F1310-TODAY())</f>
        <v/>
      </c>
      <c r="J1310" s="19" t="str">
        <f aca="true">IF(F1310="","",IF(TODAY()&lt;D1310,"Başlamadı",IF(TODAY()&gt;F1310,"Bitti",IF(F1310-TODAY()&lt;=7,"Bitiyor","Aktif"))))</f>
        <v/>
      </c>
      <c r="K1310" s="19" t="str">
        <f aca="false">IF(OR(J1310="Aktif",J1310="Bitiyor"),F1310+ROW()/1000000,"")</f>
        <v/>
      </c>
    </row>
    <row r="1311" customFormat="false" ht="15" hidden="false" customHeight="false" outlineLevel="0" collapsed="false">
      <c r="A1311" s="12"/>
      <c r="B1311" s="12"/>
      <c r="C1311" s="13"/>
      <c r="D1311" s="14"/>
      <c r="E1311" s="15"/>
      <c r="F1311" s="16" t="str">
        <f aca="false">IF(OR(C1311="",D1311=""),"",EDATE(D1311,IFERROR(INDEX(Paketler!$B$5:$B$24,MATCH(C1311,Paketler!$A$5:$A$24,0)),0))-1)</f>
        <v/>
      </c>
      <c r="G1311" s="17" t="str">
        <f aca="false">IF(F1311="","",IFERROR(INDEX(Paketler!$C$5:$C$24,MATCH(C1311,Paketler!$A$5:$A$24,0)),0))</f>
        <v/>
      </c>
      <c r="H1311" s="17" t="str">
        <f aca="false">IF(F1311="","",G1311-E1311)</f>
        <v/>
      </c>
      <c r="I1311" s="18" t="str">
        <f aca="true">IF(F1311="","",F1311-TODAY())</f>
        <v/>
      </c>
      <c r="J1311" s="19" t="str">
        <f aca="true">IF(F1311="","",IF(TODAY()&lt;D1311,"Başlamadı",IF(TODAY()&gt;F1311,"Bitti",IF(F1311-TODAY()&lt;=7,"Bitiyor","Aktif"))))</f>
        <v/>
      </c>
      <c r="K1311" s="19" t="str">
        <f aca="false">IF(OR(J1311="Aktif",J1311="Bitiyor"),F1311+ROW()/1000000,"")</f>
        <v/>
      </c>
    </row>
    <row r="1312" customFormat="false" ht="15" hidden="false" customHeight="false" outlineLevel="0" collapsed="false">
      <c r="A1312" s="12"/>
      <c r="B1312" s="12"/>
      <c r="C1312" s="13"/>
      <c r="D1312" s="14"/>
      <c r="E1312" s="15"/>
      <c r="F1312" s="16" t="str">
        <f aca="false">IF(OR(C1312="",D1312=""),"",EDATE(D1312,IFERROR(INDEX(Paketler!$B$5:$B$24,MATCH(C1312,Paketler!$A$5:$A$24,0)),0))-1)</f>
        <v/>
      </c>
      <c r="G1312" s="17" t="str">
        <f aca="false">IF(F1312="","",IFERROR(INDEX(Paketler!$C$5:$C$24,MATCH(C1312,Paketler!$A$5:$A$24,0)),0))</f>
        <v/>
      </c>
      <c r="H1312" s="17" t="str">
        <f aca="false">IF(F1312="","",G1312-E1312)</f>
        <v/>
      </c>
      <c r="I1312" s="18" t="str">
        <f aca="true">IF(F1312="","",F1312-TODAY())</f>
        <v/>
      </c>
      <c r="J1312" s="19" t="str">
        <f aca="true">IF(F1312="","",IF(TODAY()&lt;D1312,"Başlamadı",IF(TODAY()&gt;F1312,"Bitti",IF(F1312-TODAY()&lt;=7,"Bitiyor","Aktif"))))</f>
        <v/>
      </c>
      <c r="K1312" s="19" t="str">
        <f aca="false">IF(OR(J1312="Aktif",J1312="Bitiyor"),F1312+ROW()/1000000,"")</f>
        <v/>
      </c>
    </row>
    <row r="1313" customFormat="false" ht="15" hidden="false" customHeight="false" outlineLevel="0" collapsed="false">
      <c r="A1313" s="12"/>
      <c r="B1313" s="12"/>
      <c r="C1313" s="13"/>
      <c r="D1313" s="14"/>
      <c r="E1313" s="15"/>
      <c r="F1313" s="16" t="str">
        <f aca="false">IF(OR(C1313="",D1313=""),"",EDATE(D1313,IFERROR(INDEX(Paketler!$B$5:$B$24,MATCH(C1313,Paketler!$A$5:$A$24,0)),0))-1)</f>
        <v/>
      </c>
      <c r="G1313" s="17" t="str">
        <f aca="false">IF(F1313="","",IFERROR(INDEX(Paketler!$C$5:$C$24,MATCH(C1313,Paketler!$A$5:$A$24,0)),0))</f>
        <v/>
      </c>
      <c r="H1313" s="17" t="str">
        <f aca="false">IF(F1313="","",G1313-E1313)</f>
        <v/>
      </c>
      <c r="I1313" s="18" t="str">
        <f aca="true">IF(F1313="","",F1313-TODAY())</f>
        <v/>
      </c>
      <c r="J1313" s="19" t="str">
        <f aca="true">IF(F1313="","",IF(TODAY()&lt;D1313,"Başlamadı",IF(TODAY()&gt;F1313,"Bitti",IF(F1313-TODAY()&lt;=7,"Bitiyor","Aktif"))))</f>
        <v/>
      </c>
      <c r="K1313" s="19" t="str">
        <f aca="false">IF(OR(J1313="Aktif",J1313="Bitiyor"),F1313+ROW()/1000000,"")</f>
        <v/>
      </c>
    </row>
    <row r="1314" customFormat="false" ht="15" hidden="false" customHeight="false" outlineLevel="0" collapsed="false">
      <c r="A1314" s="12"/>
      <c r="B1314" s="12"/>
      <c r="C1314" s="13"/>
      <c r="D1314" s="14"/>
      <c r="E1314" s="15"/>
      <c r="F1314" s="16" t="str">
        <f aca="false">IF(OR(C1314="",D1314=""),"",EDATE(D1314,IFERROR(INDEX(Paketler!$B$5:$B$24,MATCH(C1314,Paketler!$A$5:$A$24,0)),0))-1)</f>
        <v/>
      </c>
      <c r="G1314" s="17" t="str">
        <f aca="false">IF(F1314="","",IFERROR(INDEX(Paketler!$C$5:$C$24,MATCH(C1314,Paketler!$A$5:$A$24,0)),0))</f>
        <v/>
      </c>
      <c r="H1314" s="17" t="str">
        <f aca="false">IF(F1314="","",G1314-E1314)</f>
        <v/>
      </c>
      <c r="I1314" s="18" t="str">
        <f aca="true">IF(F1314="","",F1314-TODAY())</f>
        <v/>
      </c>
      <c r="J1314" s="19" t="str">
        <f aca="true">IF(F1314="","",IF(TODAY()&lt;D1314,"Başlamadı",IF(TODAY()&gt;F1314,"Bitti",IF(F1314-TODAY()&lt;=7,"Bitiyor","Aktif"))))</f>
        <v/>
      </c>
      <c r="K1314" s="19" t="str">
        <f aca="false">IF(OR(J1314="Aktif",J1314="Bitiyor"),F1314+ROW()/1000000,"")</f>
        <v/>
      </c>
    </row>
    <row r="1315" customFormat="false" ht="15" hidden="false" customHeight="false" outlineLevel="0" collapsed="false">
      <c r="A1315" s="12"/>
      <c r="B1315" s="12"/>
      <c r="C1315" s="13"/>
      <c r="D1315" s="14"/>
      <c r="E1315" s="15"/>
      <c r="F1315" s="16" t="str">
        <f aca="false">IF(OR(C1315="",D1315=""),"",EDATE(D1315,IFERROR(INDEX(Paketler!$B$5:$B$24,MATCH(C1315,Paketler!$A$5:$A$24,0)),0))-1)</f>
        <v/>
      </c>
      <c r="G1315" s="17" t="str">
        <f aca="false">IF(F1315="","",IFERROR(INDEX(Paketler!$C$5:$C$24,MATCH(C1315,Paketler!$A$5:$A$24,0)),0))</f>
        <v/>
      </c>
      <c r="H1315" s="17" t="str">
        <f aca="false">IF(F1315="","",G1315-E1315)</f>
        <v/>
      </c>
      <c r="I1315" s="18" t="str">
        <f aca="true">IF(F1315="","",F1315-TODAY())</f>
        <v/>
      </c>
      <c r="J1315" s="19" t="str">
        <f aca="true">IF(F1315="","",IF(TODAY()&lt;D1315,"Başlamadı",IF(TODAY()&gt;F1315,"Bitti",IF(F1315-TODAY()&lt;=7,"Bitiyor","Aktif"))))</f>
        <v/>
      </c>
      <c r="K1315" s="19" t="str">
        <f aca="false">IF(OR(J1315="Aktif",J1315="Bitiyor"),F1315+ROW()/1000000,"")</f>
        <v/>
      </c>
    </row>
    <row r="1316" customFormat="false" ht="15" hidden="false" customHeight="false" outlineLevel="0" collapsed="false">
      <c r="A1316" s="12"/>
      <c r="B1316" s="12"/>
      <c r="C1316" s="13"/>
      <c r="D1316" s="14"/>
      <c r="E1316" s="15"/>
      <c r="F1316" s="16" t="str">
        <f aca="false">IF(OR(C1316="",D1316=""),"",EDATE(D1316,IFERROR(INDEX(Paketler!$B$5:$B$24,MATCH(C1316,Paketler!$A$5:$A$24,0)),0))-1)</f>
        <v/>
      </c>
      <c r="G1316" s="17" t="str">
        <f aca="false">IF(F1316="","",IFERROR(INDEX(Paketler!$C$5:$C$24,MATCH(C1316,Paketler!$A$5:$A$24,0)),0))</f>
        <v/>
      </c>
      <c r="H1316" s="17" t="str">
        <f aca="false">IF(F1316="","",G1316-E1316)</f>
        <v/>
      </c>
      <c r="I1316" s="18" t="str">
        <f aca="true">IF(F1316="","",F1316-TODAY())</f>
        <v/>
      </c>
      <c r="J1316" s="19" t="str">
        <f aca="true">IF(F1316="","",IF(TODAY()&lt;D1316,"Başlamadı",IF(TODAY()&gt;F1316,"Bitti",IF(F1316-TODAY()&lt;=7,"Bitiyor","Aktif"))))</f>
        <v/>
      </c>
      <c r="K1316" s="19" t="str">
        <f aca="false">IF(OR(J1316="Aktif",J1316="Bitiyor"),F1316+ROW()/1000000,"")</f>
        <v/>
      </c>
    </row>
    <row r="1317" customFormat="false" ht="15" hidden="false" customHeight="false" outlineLevel="0" collapsed="false">
      <c r="A1317" s="12"/>
      <c r="B1317" s="12"/>
      <c r="C1317" s="13"/>
      <c r="D1317" s="14"/>
      <c r="E1317" s="15"/>
      <c r="F1317" s="16" t="str">
        <f aca="false">IF(OR(C1317="",D1317=""),"",EDATE(D1317,IFERROR(INDEX(Paketler!$B$5:$B$24,MATCH(C1317,Paketler!$A$5:$A$24,0)),0))-1)</f>
        <v/>
      </c>
      <c r="G1317" s="17" t="str">
        <f aca="false">IF(F1317="","",IFERROR(INDEX(Paketler!$C$5:$C$24,MATCH(C1317,Paketler!$A$5:$A$24,0)),0))</f>
        <v/>
      </c>
      <c r="H1317" s="17" t="str">
        <f aca="false">IF(F1317="","",G1317-E1317)</f>
        <v/>
      </c>
      <c r="I1317" s="18" t="str">
        <f aca="true">IF(F1317="","",F1317-TODAY())</f>
        <v/>
      </c>
      <c r="J1317" s="19" t="str">
        <f aca="true">IF(F1317="","",IF(TODAY()&lt;D1317,"Başlamadı",IF(TODAY()&gt;F1317,"Bitti",IF(F1317-TODAY()&lt;=7,"Bitiyor","Aktif"))))</f>
        <v/>
      </c>
      <c r="K1317" s="19" t="str">
        <f aca="false">IF(OR(J1317="Aktif",J1317="Bitiyor"),F1317+ROW()/1000000,"")</f>
        <v/>
      </c>
    </row>
    <row r="1318" customFormat="false" ht="15" hidden="false" customHeight="false" outlineLevel="0" collapsed="false">
      <c r="A1318" s="12"/>
      <c r="B1318" s="12"/>
      <c r="C1318" s="13"/>
      <c r="D1318" s="14"/>
      <c r="E1318" s="15"/>
      <c r="F1318" s="16" t="str">
        <f aca="false">IF(OR(C1318="",D1318=""),"",EDATE(D1318,IFERROR(INDEX(Paketler!$B$5:$B$24,MATCH(C1318,Paketler!$A$5:$A$24,0)),0))-1)</f>
        <v/>
      </c>
      <c r="G1318" s="17" t="str">
        <f aca="false">IF(F1318="","",IFERROR(INDEX(Paketler!$C$5:$C$24,MATCH(C1318,Paketler!$A$5:$A$24,0)),0))</f>
        <v/>
      </c>
      <c r="H1318" s="17" t="str">
        <f aca="false">IF(F1318="","",G1318-E1318)</f>
        <v/>
      </c>
      <c r="I1318" s="18" t="str">
        <f aca="true">IF(F1318="","",F1318-TODAY())</f>
        <v/>
      </c>
      <c r="J1318" s="19" t="str">
        <f aca="true">IF(F1318="","",IF(TODAY()&lt;D1318,"Başlamadı",IF(TODAY()&gt;F1318,"Bitti",IF(F1318-TODAY()&lt;=7,"Bitiyor","Aktif"))))</f>
        <v/>
      </c>
      <c r="K1318" s="19" t="str">
        <f aca="false">IF(OR(J1318="Aktif",J1318="Bitiyor"),F1318+ROW()/1000000,"")</f>
        <v/>
      </c>
    </row>
    <row r="1319" customFormat="false" ht="15" hidden="false" customHeight="false" outlineLevel="0" collapsed="false">
      <c r="A1319" s="12"/>
      <c r="B1319" s="12"/>
      <c r="C1319" s="13"/>
      <c r="D1319" s="14"/>
      <c r="E1319" s="15"/>
      <c r="F1319" s="16" t="str">
        <f aca="false">IF(OR(C1319="",D1319=""),"",EDATE(D1319,IFERROR(INDEX(Paketler!$B$5:$B$24,MATCH(C1319,Paketler!$A$5:$A$24,0)),0))-1)</f>
        <v/>
      </c>
      <c r="G1319" s="17" t="str">
        <f aca="false">IF(F1319="","",IFERROR(INDEX(Paketler!$C$5:$C$24,MATCH(C1319,Paketler!$A$5:$A$24,0)),0))</f>
        <v/>
      </c>
      <c r="H1319" s="17" t="str">
        <f aca="false">IF(F1319="","",G1319-E1319)</f>
        <v/>
      </c>
      <c r="I1319" s="18" t="str">
        <f aca="true">IF(F1319="","",F1319-TODAY())</f>
        <v/>
      </c>
      <c r="J1319" s="19" t="str">
        <f aca="true">IF(F1319="","",IF(TODAY()&lt;D1319,"Başlamadı",IF(TODAY()&gt;F1319,"Bitti",IF(F1319-TODAY()&lt;=7,"Bitiyor","Aktif"))))</f>
        <v/>
      </c>
      <c r="K1319" s="19" t="str">
        <f aca="false">IF(OR(J1319="Aktif",J1319="Bitiyor"),F1319+ROW()/1000000,"")</f>
        <v/>
      </c>
    </row>
    <row r="1320" customFormat="false" ht="15" hidden="false" customHeight="false" outlineLevel="0" collapsed="false">
      <c r="A1320" s="12"/>
      <c r="B1320" s="12"/>
      <c r="C1320" s="13"/>
      <c r="D1320" s="14"/>
      <c r="E1320" s="15"/>
      <c r="F1320" s="16" t="str">
        <f aca="false">IF(OR(C1320="",D1320=""),"",EDATE(D1320,IFERROR(INDEX(Paketler!$B$5:$B$24,MATCH(C1320,Paketler!$A$5:$A$24,0)),0))-1)</f>
        <v/>
      </c>
      <c r="G1320" s="17" t="str">
        <f aca="false">IF(F1320="","",IFERROR(INDEX(Paketler!$C$5:$C$24,MATCH(C1320,Paketler!$A$5:$A$24,0)),0))</f>
        <v/>
      </c>
      <c r="H1320" s="17" t="str">
        <f aca="false">IF(F1320="","",G1320-E1320)</f>
        <v/>
      </c>
      <c r="I1320" s="18" t="str">
        <f aca="true">IF(F1320="","",F1320-TODAY())</f>
        <v/>
      </c>
      <c r="J1320" s="19" t="str">
        <f aca="true">IF(F1320="","",IF(TODAY()&lt;D1320,"Başlamadı",IF(TODAY()&gt;F1320,"Bitti",IF(F1320-TODAY()&lt;=7,"Bitiyor","Aktif"))))</f>
        <v/>
      </c>
      <c r="K1320" s="19" t="str">
        <f aca="false">IF(OR(J1320="Aktif",J1320="Bitiyor"),F1320+ROW()/1000000,"")</f>
        <v/>
      </c>
    </row>
    <row r="1321" customFormat="false" ht="15" hidden="false" customHeight="false" outlineLevel="0" collapsed="false">
      <c r="A1321" s="12"/>
      <c r="B1321" s="12"/>
      <c r="C1321" s="13"/>
      <c r="D1321" s="14"/>
      <c r="E1321" s="15"/>
      <c r="F1321" s="16" t="str">
        <f aca="false">IF(OR(C1321="",D1321=""),"",EDATE(D1321,IFERROR(INDEX(Paketler!$B$5:$B$24,MATCH(C1321,Paketler!$A$5:$A$24,0)),0))-1)</f>
        <v/>
      </c>
      <c r="G1321" s="17" t="str">
        <f aca="false">IF(F1321="","",IFERROR(INDEX(Paketler!$C$5:$C$24,MATCH(C1321,Paketler!$A$5:$A$24,0)),0))</f>
        <v/>
      </c>
      <c r="H1321" s="17" t="str">
        <f aca="false">IF(F1321="","",G1321-E1321)</f>
        <v/>
      </c>
      <c r="I1321" s="18" t="str">
        <f aca="true">IF(F1321="","",F1321-TODAY())</f>
        <v/>
      </c>
      <c r="J1321" s="19" t="str">
        <f aca="true">IF(F1321="","",IF(TODAY()&lt;D1321,"Başlamadı",IF(TODAY()&gt;F1321,"Bitti",IF(F1321-TODAY()&lt;=7,"Bitiyor","Aktif"))))</f>
        <v/>
      </c>
      <c r="K1321" s="19" t="str">
        <f aca="false">IF(OR(J1321="Aktif",J1321="Bitiyor"),F1321+ROW()/1000000,"")</f>
        <v/>
      </c>
    </row>
    <row r="1322" customFormat="false" ht="15" hidden="false" customHeight="false" outlineLevel="0" collapsed="false">
      <c r="A1322" s="12"/>
      <c r="B1322" s="12"/>
      <c r="C1322" s="13"/>
      <c r="D1322" s="14"/>
      <c r="E1322" s="15"/>
      <c r="F1322" s="16" t="str">
        <f aca="false">IF(OR(C1322="",D1322=""),"",EDATE(D1322,IFERROR(INDEX(Paketler!$B$5:$B$24,MATCH(C1322,Paketler!$A$5:$A$24,0)),0))-1)</f>
        <v/>
      </c>
      <c r="G1322" s="17" t="str">
        <f aca="false">IF(F1322="","",IFERROR(INDEX(Paketler!$C$5:$C$24,MATCH(C1322,Paketler!$A$5:$A$24,0)),0))</f>
        <v/>
      </c>
      <c r="H1322" s="17" t="str">
        <f aca="false">IF(F1322="","",G1322-E1322)</f>
        <v/>
      </c>
      <c r="I1322" s="18" t="str">
        <f aca="true">IF(F1322="","",F1322-TODAY())</f>
        <v/>
      </c>
      <c r="J1322" s="19" t="str">
        <f aca="true">IF(F1322="","",IF(TODAY()&lt;D1322,"Başlamadı",IF(TODAY()&gt;F1322,"Bitti",IF(F1322-TODAY()&lt;=7,"Bitiyor","Aktif"))))</f>
        <v/>
      </c>
      <c r="K1322" s="19" t="str">
        <f aca="false">IF(OR(J1322="Aktif",J1322="Bitiyor"),F1322+ROW()/1000000,"")</f>
        <v/>
      </c>
    </row>
    <row r="1323" customFormat="false" ht="15" hidden="false" customHeight="false" outlineLevel="0" collapsed="false">
      <c r="A1323" s="12"/>
      <c r="B1323" s="12"/>
      <c r="C1323" s="13"/>
      <c r="D1323" s="14"/>
      <c r="E1323" s="15"/>
      <c r="F1323" s="16" t="str">
        <f aca="false">IF(OR(C1323="",D1323=""),"",EDATE(D1323,IFERROR(INDEX(Paketler!$B$5:$B$24,MATCH(C1323,Paketler!$A$5:$A$24,0)),0))-1)</f>
        <v/>
      </c>
      <c r="G1323" s="17" t="str">
        <f aca="false">IF(F1323="","",IFERROR(INDEX(Paketler!$C$5:$C$24,MATCH(C1323,Paketler!$A$5:$A$24,0)),0))</f>
        <v/>
      </c>
      <c r="H1323" s="17" t="str">
        <f aca="false">IF(F1323="","",G1323-E1323)</f>
        <v/>
      </c>
      <c r="I1323" s="18" t="str">
        <f aca="true">IF(F1323="","",F1323-TODAY())</f>
        <v/>
      </c>
      <c r="J1323" s="19" t="str">
        <f aca="true">IF(F1323="","",IF(TODAY()&lt;D1323,"Başlamadı",IF(TODAY()&gt;F1323,"Bitti",IF(F1323-TODAY()&lt;=7,"Bitiyor","Aktif"))))</f>
        <v/>
      </c>
      <c r="K1323" s="19" t="str">
        <f aca="false">IF(OR(J1323="Aktif",J1323="Bitiyor"),F1323+ROW()/1000000,"")</f>
        <v/>
      </c>
    </row>
    <row r="1324" customFormat="false" ht="15" hidden="false" customHeight="false" outlineLevel="0" collapsed="false">
      <c r="A1324" s="12"/>
      <c r="B1324" s="12"/>
      <c r="C1324" s="13"/>
      <c r="D1324" s="14"/>
      <c r="E1324" s="15"/>
      <c r="F1324" s="16" t="str">
        <f aca="false">IF(OR(C1324="",D1324=""),"",EDATE(D1324,IFERROR(INDEX(Paketler!$B$5:$B$24,MATCH(C1324,Paketler!$A$5:$A$24,0)),0))-1)</f>
        <v/>
      </c>
      <c r="G1324" s="17" t="str">
        <f aca="false">IF(F1324="","",IFERROR(INDEX(Paketler!$C$5:$C$24,MATCH(C1324,Paketler!$A$5:$A$24,0)),0))</f>
        <v/>
      </c>
      <c r="H1324" s="17" t="str">
        <f aca="false">IF(F1324="","",G1324-E1324)</f>
        <v/>
      </c>
      <c r="I1324" s="18" t="str">
        <f aca="true">IF(F1324="","",F1324-TODAY())</f>
        <v/>
      </c>
      <c r="J1324" s="19" t="str">
        <f aca="true">IF(F1324="","",IF(TODAY()&lt;D1324,"Başlamadı",IF(TODAY()&gt;F1324,"Bitti",IF(F1324-TODAY()&lt;=7,"Bitiyor","Aktif"))))</f>
        <v/>
      </c>
      <c r="K1324" s="19" t="str">
        <f aca="false">IF(OR(J1324="Aktif",J1324="Bitiyor"),F1324+ROW()/1000000,"")</f>
        <v/>
      </c>
    </row>
    <row r="1325" customFormat="false" ht="15" hidden="false" customHeight="false" outlineLevel="0" collapsed="false">
      <c r="A1325" s="12"/>
      <c r="B1325" s="12"/>
      <c r="C1325" s="13"/>
      <c r="D1325" s="14"/>
      <c r="E1325" s="15"/>
      <c r="F1325" s="16" t="str">
        <f aca="false">IF(OR(C1325="",D1325=""),"",EDATE(D1325,IFERROR(INDEX(Paketler!$B$5:$B$24,MATCH(C1325,Paketler!$A$5:$A$24,0)),0))-1)</f>
        <v/>
      </c>
      <c r="G1325" s="17" t="str">
        <f aca="false">IF(F1325="","",IFERROR(INDEX(Paketler!$C$5:$C$24,MATCH(C1325,Paketler!$A$5:$A$24,0)),0))</f>
        <v/>
      </c>
      <c r="H1325" s="17" t="str">
        <f aca="false">IF(F1325="","",G1325-E1325)</f>
        <v/>
      </c>
      <c r="I1325" s="18" t="str">
        <f aca="true">IF(F1325="","",F1325-TODAY())</f>
        <v/>
      </c>
      <c r="J1325" s="19" t="str">
        <f aca="true">IF(F1325="","",IF(TODAY()&lt;D1325,"Başlamadı",IF(TODAY()&gt;F1325,"Bitti",IF(F1325-TODAY()&lt;=7,"Bitiyor","Aktif"))))</f>
        <v/>
      </c>
      <c r="K1325" s="19" t="str">
        <f aca="false">IF(OR(J1325="Aktif",J1325="Bitiyor"),F1325+ROW()/1000000,"")</f>
        <v/>
      </c>
    </row>
    <row r="1326" customFormat="false" ht="15" hidden="false" customHeight="false" outlineLevel="0" collapsed="false">
      <c r="A1326" s="12"/>
      <c r="B1326" s="12"/>
      <c r="C1326" s="13"/>
      <c r="D1326" s="14"/>
      <c r="E1326" s="15"/>
      <c r="F1326" s="16" t="str">
        <f aca="false">IF(OR(C1326="",D1326=""),"",EDATE(D1326,IFERROR(INDEX(Paketler!$B$5:$B$24,MATCH(C1326,Paketler!$A$5:$A$24,0)),0))-1)</f>
        <v/>
      </c>
      <c r="G1326" s="17" t="str">
        <f aca="false">IF(F1326="","",IFERROR(INDEX(Paketler!$C$5:$C$24,MATCH(C1326,Paketler!$A$5:$A$24,0)),0))</f>
        <v/>
      </c>
      <c r="H1326" s="17" t="str">
        <f aca="false">IF(F1326="","",G1326-E1326)</f>
        <v/>
      </c>
      <c r="I1326" s="18" t="str">
        <f aca="true">IF(F1326="","",F1326-TODAY())</f>
        <v/>
      </c>
      <c r="J1326" s="19" t="str">
        <f aca="true">IF(F1326="","",IF(TODAY()&lt;D1326,"Başlamadı",IF(TODAY()&gt;F1326,"Bitti",IF(F1326-TODAY()&lt;=7,"Bitiyor","Aktif"))))</f>
        <v/>
      </c>
      <c r="K1326" s="19" t="str">
        <f aca="false">IF(OR(J1326="Aktif",J1326="Bitiyor"),F1326+ROW()/1000000,"")</f>
        <v/>
      </c>
    </row>
    <row r="1327" customFormat="false" ht="15" hidden="false" customHeight="false" outlineLevel="0" collapsed="false">
      <c r="A1327" s="12"/>
      <c r="B1327" s="12"/>
      <c r="C1327" s="13"/>
      <c r="D1327" s="14"/>
      <c r="E1327" s="15"/>
      <c r="F1327" s="16" t="str">
        <f aca="false">IF(OR(C1327="",D1327=""),"",EDATE(D1327,IFERROR(INDEX(Paketler!$B$5:$B$24,MATCH(C1327,Paketler!$A$5:$A$24,0)),0))-1)</f>
        <v/>
      </c>
      <c r="G1327" s="17" t="str">
        <f aca="false">IF(F1327="","",IFERROR(INDEX(Paketler!$C$5:$C$24,MATCH(C1327,Paketler!$A$5:$A$24,0)),0))</f>
        <v/>
      </c>
      <c r="H1327" s="17" t="str">
        <f aca="false">IF(F1327="","",G1327-E1327)</f>
        <v/>
      </c>
      <c r="I1327" s="18" t="str">
        <f aca="true">IF(F1327="","",F1327-TODAY())</f>
        <v/>
      </c>
      <c r="J1327" s="19" t="str">
        <f aca="true">IF(F1327="","",IF(TODAY()&lt;D1327,"Başlamadı",IF(TODAY()&gt;F1327,"Bitti",IF(F1327-TODAY()&lt;=7,"Bitiyor","Aktif"))))</f>
        <v/>
      </c>
      <c r="K1327" s="19" t="str">
        <f aca="false">IF(OR(J1327="Aktif",J1327="Bitiyor"),F1327+ROW()/1000000,"")</f>
        <v/>
      </c>
    </row>
    <row r="1328" customFormat="false" ht="15" hidden="false" customHeight="false" outlineLevel="0" collapsed="false">
      <c r="A1328" s="12"/>
      <c r="B1328" s="12"/>
      <c r="C1328" s="13"/>
      <c r="D1328" s="14"/>
      <c r="E1328" s="15"/>
      <c r="F1328" s="16" t="str">
        <f aca="false">IF(OR(C1328="",D1328=""),"",EDATE(D1328,IFERROR(INDEX(Paketler!$B$5:$B$24,MATCH(C1328,Paketler!$A$5:$A$24,0)),0))-1)</f>
        <v/>
      </c>
      <c r="G1328" s="17" t="str">
        <f aca="false">IF(F1328="","",IFERROR(INDEX(Paketler!$C$5:$C$24,MATCH(C1328,Paketler!$A$5:$A$24,0)),0))</f>
        <v/>
      </c>
      <c r="H1328" s="17" t="str">
        <f aca="false">IF(F1328="","",G1328-E1328)</f>
        <v/>
      </c>
      <c r="I1328" s="18" t="str">
        <f aca="true">IF(F1328="","",F1328-TODAY())</f>
        <v/>
      </c>
      <c r="J1328" s="19" t="str">
        <f aca="true">IF(F1328="","",IF(TODAY()&lt;D1328,"Başlamadı",IF(TODAY()&gt;F1328,"Bitti",IF(F1328-TODAY()&lt;=7,"Bitiyor","Aktif"))))</f>
        <v/>
      </c>
      <c r="K1328" s="19" t="str">
        <f aca="false">IF(OR(J1328="Aktif",J1328="Bitiyor"),F1328+ROW()/1000000,"")</f>
        <v/>
      </c>
    </row>
    <row r="1329" customFormat="false" ht="15" hidden="false" customHeight="false" outlineLevel="0" collapsed="false">
      <c r="A1329" s="12"/>
      <c r="B1329" s="12"/>
      <c r="C1329" s="13"/>
      <c r="D1329" s="14"/>
      <c r="E1329" s="15"/>
      <c r="F1329" s="16" t="str">
        <f aca="false">IF(OR(C1329="",D1329=""),"",EDATE(D1329,IFERROR(INDEX(Paketler!$B$5:$B$24,MATCH(C1329,Paketler!$A$5:$A$24,0)),0))-1)</f>
        <v/>
      </c>
      <c r="G1329" s="17" t="str">
        <f aca="false">IF(F1329="","",IFERROR(INDEX(Paketler!$C$5:$C$24,MATCH(C1329,Paketler!$A$5:$A$24,0)),0))</f>
        <v/>
      </c>
      <c r="H1329" s="17" t="str">
        <f aca="false">IF(F1329="","",G1329-E1329)</f>
        <v/>
      </c>
      <c r="I1329" s="18" t="str">
        <f aca="true">IF(F1329="","",F1329-TODAY())</f>
        <v/>
      </c>
      <c r="J1329" s="19" t="str">
        <f aca="true">IF(F1329="","",IF(TODAY()&lt;D1329,"Başlamadı",IF(TODAY()&gt;F1329,"Bitti",IF(F1329-TODAY()&lt;=7,"Bitiyor","Aktif"))))</f>
        <v/>
      </c>
      <c r="K1329" s="19" t="str">
        <f aca="false">IF(OR(J1329="Aktif",J1329="Bitiyor"),F1329+ROW()/1000000,"")</f>
        <v/>
      </c>
    </row>
    <row r="1330" customFormat="false" ht="15" hidden="false" customHeight="false" outlineLevel="0" collapsed="false">
      <c r="A1330" s="12"/>
      <c r="B1330" s="12"/>
      <c r="C1330" s="13"/>
      <c r="D1330" s="14"/>
      <c r="E1330" s="15"/>
      <c r="F1330" s="16" t="str">
        <f aca="false">IF(OR(C1330="",D1330=""),"",EDATE(D1330,IFERROR(INDEX(Paketler!$B$5:$B$24,MATCH(C1330,Paketler!$A$5:$A$24,0)),0))-1)</f>
        <v/>
      </c>
      <c r="G1330" s="17" t="str">
        <f aca="false">IF(F1330="","",IFERROR(INDEX(Paketler!$C$5:$C$24,MATCH(C1330,Paketler!$A$5:$A$24,0)),0))</f>
        <v/>
      </c>
      <c r="H1330" s="17" t="str">
        <f aca="false">IF(F1330="","",G1330-E1330)</f>
        <v/>
      </c>
      <c r="I1330" s="18" t="str">
        <f aca="true">IF(F1330="","",F1330-TODAY())</f>
        <v/>
      </c>
      <c r="J1330" s="19" t="str">
        <f aca="true">IF(F1330="","",IF(TODAY()&lt;D1330,"Başlamadı",IF(TODAY()&gt;F1330,"Bitti",IF(F1330-TODAY()&lt;=7,"Bitiyor","Aktif"))))</f>
        <v/>
      </c>
      <c r="K1330" s="19" t="str">
        <f aca="false">IF(OR(J1330="Aktif",J1330="Bitiyor"),F1330+ROW()/1000000,"")</f>
        <v/>
      </c>
    </row>
    <row r="1331" customFormat="false" ht="15" hidden="false" customHeight="false" outlineLevel="0" collapsed="false">
      <c r="A1331" s="12"/>
      <c r="B1331" s="12"/>
      <c r="C1331" s="13"/>
      <c r="D1331" s="14"/>
      <c r="E1331" s="15"/>
      <c r="F1331" s="16" t="str">
        <f aca="false">IF(OR(C1331="",D1331=""),"",EDATE(D1331,IFERROR(INDEX(Paketler!$B$5:$B$24,MATCH(C1331,Paketler!$A$5:$A$24,0)),0))-1)</f>
        <v/>
      </c>
      <c r="G1331" s="17" t="str">
        <f aca="false">IF(F1331="","",IFERROR(INDEX(Paketler!$C$5:$C$24,MATCH(C1331,Paketler!$A$5:$A$24,0)),0))</f>
        <v/>
      </c>
      <c r="H1331" s="17" t="str">
        <f aca="false">IF(F1331="","",G1331-E1331)</f>
        <v/>
      </c>
      <c r="I1331" s="18" t="str">
        <f aca="true">IF(F1331="","",F1331-TODAY())</f>
        <v/>
      </c>
      <c r="J1331" s="19" t="str">
        <f aca="true">IF(F1331="","",IF(TODAY()&lt;D1331,"Başlamadı",IF(TODAY()&gt;F1331,"Bitti",IF(F1331-TODAY()&lt;=7,"Bitiyor","Aktif"))))</f>
        <v/>
      </c>
      <c r="K1331" s="19" t="str">
        <f aca="false">IF(OR(J1331="Aktif",J1331="Bitiyor"),F1331+ROW()/1000000,"")</f>
        <v/>
      </c>
    </row>
    <row r="1332" customFormat="false" ht="15" hidden="false" customHeight="false" outlineLevel="0" collapsed="false">
      <c r="A1332" s="12"/>
      <c r="B1332" s="12"/>
      <c r="C1332" s="13"/>
      <c r="D1332" s="14"/>
      <c r="E1332" s="15"/>
      <c r="F1332" s="16" t="str">
        <f aca="false">IF(OR(C1332="",D1332=""),"",EDATE(D1332,IFERROR(INDEX(Paketler!$B$5:$B$24,MATCH(C1332,Paketler!$A$5:$A$24,0)),0))-1)</f>
        <v/>
      </c>
      <c r="G1332" s="17" t="str">
        <f aca="false">IF(F1332="","",IFERROR(INDEX(Paketler!$C$5:$C$24,MATCH(C1332,Paketler!$A$5:$A$24,0)),0))</f>
        <v/>
      </c>
      <c r="H1332" s="17" t="str">
        <f aca="false">IF(F1332="","",G1332-E1332)</f>
        <v/>
      </c>
      <c r="I1332" s="18" t="str">
        <f aca="true">IF(F1332="","",F1332-TODAY())</f>
        <v/>
      </c>
      <c r="J1332" s="19" t="str">
        <f aca="true">IF(F1332="","",IF(TODAY()&lt;D1332,"Başlamadı",IF(TODAY()&gt;F1332,"Bitti",IF(F1332-TODAY()&lt;=7,"Bitiyor","Aktif"))))</f>
        <v/>
      </c>
      <c r="K1332" s="19" t="str">
        <f aca="false">IF(OR(J1332="Aktif",J1332="Bitiyor"),F1332+ROW()/1000000,"")</f>
        <v/>
      </c>
    </row>
    <row r="1333" customFormat="false" ht="15" hidden="false" customHeight="false" outlineLevel="0" collapsed="false">
      <c r="A1333" s="12"/>
      <c r="B1333" s="12"/>
      <c r="C1333" s="13"/>
      <c r="D1333" s="14"/>
      <c r="E1333" s="15"/>
      <c r="F1333" s="16" t="str">
        <f aca="false">IF(OR(C1333="",D1333=""),"",EDATE(D1333,IFERROR(INDEX(Paketler!$B$5:$B$24,MATCH(C1333,Paketler!$A$5:$A$24,0)),0))-1)</f>
        <v/>
      </c>
      <c r="G1333" s="17" t="str">
        <f aca="false">IF(F1333="","",IFERROR(INDEX(Paketler!$C$5:$C$24,MATCH(C1333,Paketler!$A$5:$A$24,0)),0))</f>
        <v/>
      </c>
      <c r="H1333" s="17" t="str">
        <f aca="false">IF(F1333="","",G1333-E1333)</f>
        <v/>
      </c>
      <c r="I1333" s="18" t="str">
        <f aca="true">IF(F1333="","",F1333-TODAY())</f>
        <v/>
      </c>
      <c r="J1333" s="19" t="str">
        <f aca="true">IF(F1333="","",IF(TODAY()&lt;D1333,"Başlamadı",IF(TODAY()&gt;F1333,"Bitti",IF(F1333-TODAY()&lt;=7,"Bitiyor","Aktif"))))</f>
        <v/>
      </c>
      <c r="K1333" s="19" t="str">
        <f aca="false">IF(OR(J1333="Aktif",J1333="Bitiyor"),F1333+ROW()/1000000,"")</f>
        <v/>
      </c>
    </row>
    <row r="1334" customFormat="false" ht="15" hidden="false" customHeight="false" outlineLevel="0" collapsed="false">
      <c r="A1334" s="12"/>
      <c r="B1334" s="12"/>
      <c r="C1334" s="13"/>
      <c r="D1334" s="14"/>
      <c r="E1334" s="15"/>
      <c r="F1334" s="16" t="str">
        <f aca="false">IF(OR(C1334="",D1334=""),"",EDATE(D1334,IFERROR(INDEX(Paketler!$B$5:$B$24,MATCH(C1334,Paketler!$A$5:$A$24,0)),0))-1)</f>
        <v/>
      </c>
      <c r="G1334" s="17" t="str">
        <f aca="false">IF(F1334="","",IFERROR(INDEX(Paketler!$C$5:$C$24,MATCH(C1334,Paketler!$A$5:$A$24,0)),0))</f>
        <v/>
      </c>
      <c r="H1334" s="17" t="str">
        <f aca="false">IF(F1334="","",G1334-E1334)</f>
        <v/>
      </c>
      <c r="I1334" s="18" t="str">
        <f aca="true">IF(F1334="","",F1334-TODAY())</f>
        <v/>
      </c>
      <c r="J1334" s="19" t="str">
        <f aca="true">IF(F1334="","",IF(TODAY()&lt;D1334,"Başlamadı",IF(TODAY()&gt;F1334,"Bitti",IF(F1334-TODAY()&lt;=7,"Bitiyor","Aktif"))))</f>
        <v/>
      </c>
      <c r="K1334" s="19" t="str">
        <f aca="false">IF(OR(J1334="Aktif",J1334="Bitiyor"),F1334+ROW()/1000000,"")</f>
        <v/>
      </c>
    </row>
    <row r="1335" customFormat="false" ht="15" hidden="false" customHeight="false" outlineLevel="0" collapsed="false">
      <c r="A1335" s="12"/>
      <c r="B1335" s="12"/>
      <c r="C1335" s="13"/>
      <c r="D1335" s="14"/>
      <c r="E1335" s="15"/>
      <c r="F1335" s="16" t="str">
        <f aca="false">IF(OR(C1335="",D1335=""),"",EDATE(D1335,IFERROR(INDEX(Paketler!$B$5:$B$24,MATCH(C1335,Paketler!$A$5:$A$24,0)),0))-1)</f>
        <v/>
      </c>
      <c r="G1335" s="17" t="str">
        <f aca="false">IF(F1335="","",IFERROR(INDEX(Paketler!$C$5:$C$24,MATCH(C1335,Paketler!$A$5:$A$24,0)),0))</f>
        <v/>
      </c>
      <c r="H1335" s="17" t="str">
        <f aca="false">IF(F1335="","",G1335-E1335)</f>
        <v/>
      </c>
      <c r="I1335" s="18" t="str">
        <f aca="true">IF(F1335="","",F1335-TODAY())</f>
        <v/>
      </c>
      <c r="J1335" s="19" t="str">
        <f aca="true">IF(F1335="","",IF(TODAY()&lt;D1335,"Başlamadı",IF(TODAY()&gt;F1335,"Bitti",IF(F1335-TODAY()&lt;=7,"Bitiyor","Aktif"))))</f>
        <v/>
      </c>
      <c r="K1335" s="19" t="str">
        <f aca="false">IF(OR(J1335="Aktif",J1335="Bitiyor"),F1335+ROW()/1000000,"")</f>
        <v/>
      </c>
    </row>
    <row r="1336" customFormat="false" ht="15" hidden="false" customHeight="false" outlineLevel="0" collapsed="false">
      <c r="A1336" s="12"/>
      <c r="B1336" s="12"/>
      <c r="C1336" s="13"/>
      <c r="D1336" s="14"/>
      <c r="E1336" s="15"/>
      <c r="F1336" s="16" t="str">
        <f aca="false">IF(OR(C1336="",D1336=""),"",EDATE(D1336,IFERROR(INDEX(Paketler!$B$5:$B$24,MATCH(C1336,Paketler!$A$5:$A$24,0)),0))-1)</f>
        <v/>
      </c>
      <c r="G1336" s="17" t="str">
        <f aca="false">IF(F1336="","",IFERROR(INDEX(Paketler!$C$5:$C$24,MATCH(C1336,Paketler!$A$5:$A$24,0)),0))</f>
        <v/>
      </c>
      <c r="H1336" s="17" t="str">
        <f aca="false">IF(F1336="","",G1336-E1336)</f>
        <v/>
      </c>
      <c r="I1336" s="18" t="str">
        <f aca="true">IF(F1336="","",F1336-TODAY())</f>
        <v/>
      </c>
      <c r="J1336" s="19" t="str">
        <f aca="true">IF(F1336="","",IF(TODAY()&lt;D1336,"Başlamadı",IF(TODAY()&gt;F1336,"Bitti",IF(F1336-TODAY()&lt;=7,"Bitiyor","Aktif"))))</f>
        <v/>
      </c>
      <c r="K1336" s="19" t="str">
        <f aca="false">IF(OR(J1336="Aktif",J1336="Bitiyor"),F1336+ROW()/1000000,"")</f>
        <v/>
      </c>
    </row>
    <row r="1337" customFormat="false" ht="15" hidden="false" customHeight="false" outlineLevel="0" collapsed="false">
      <c r="A1337" s="12"/>
      <c r="B1337" s="12"/>
      <c r="C1337" s="13"/>
      <c r="D1337" s="14"/>
      <c r="E1337" s="15"/>
      <c r="F1337" s="16" t="str">
        <f aca="false">IF(OR(C1337="",D1337=""),"",EDATE(D1337,IFERROR(INDEX(Paketler!$B$5:$B$24,MATCH(C1337,Paketler!$A$5:$A$24,0)),0))-1)</f>
        <v/>
      </c>
      <c r="G1337" s="17" t="str">
        <f aca="false">IF(F1337="","",IFERROR(INDEX(Paketler!$C$5:$C$24,MATCH(C1337,Paketler!$A$5:$A$24,0)),0))</f>
        <v/>
      </c>
      <c r="H1337" s="17" t="str">
        <f aca="false">IF(F1337="","",G1337-E1337)</f>
        <v/>
      </c>
      <c r="I1337" s="18" t="str">
        <f aca="true">IF(F1337="","",F1337-TODAY())</f>
        <v/>
      </c>
      <c r="J1337" s="19" t="str">
        <f aca="true">IF(F1337="","",IF(TODAY()&lt;D1337,"Başlamadı",IF(TODAY()&gt;F1337,"Bitti",IF(F1337-TODAY()&lt;=7,"Bitiyor","Aktif"))))</f>
        <v/>
      </c>
      <c r="K1337" s="19" t="str">
        <f aca="false">IF(OR(J1337="Aktif",J1337="Bitiyor"),F1337+ROW()/1000000,"")</f>
        <v/>
      </c>
    </row>
    <row r="1338" customFormat="false" ht="15" hidden="false" customHeight="false" outlineLevel="0" collapsed="false">
      <c r="A1338" s="12"/>
      <c r="B1338" s="12"/>
      <c r="C1338" s="13"/>
      <c r="D1338" s="14"/>
      <c r="E1338" s="15"/>
      <c r="F1338" s="16" t="str">
        <f aca="false">IF(OR(C1338="",D1338=""),"",EDATE(D1338,IFERROR(INDEX(Paketler!$B$5:$B$24,MATCH(C1338,Paketler!$A$5:$A$24,0)),0))-1)</f>
        <v/>
      </c>
      <c r="G1338" s="17" t="str">
        <f aca="false">IF(F1338="","",IFERROR(INDEX(Paketler!$C$5:$C$24,MATCH(C1338,Paketler!$A$5:$A$24,0)),0))</f>
        <v/>
      </c>
      <c r="H1338" s="17" t="str">
        <f aca="false">IF(F1338="","",G1338-E1338)</f>
        <v/>
      </c>
      <c r="I1338" s="18" t="str">
        <f aca="true">IF(F1338="","",F1338-TODAY())</f>
        <v/>
      </c>
      <c r="J1338" s="19" t="str">
        <f aca="true">IF(F1338="","",IF(TODAY()&lt;D1338,"Başlamadı",IF(TODAY()&gt;F1338,"Bitti",IF(F1338-TODAY()&lt;=7,"Bitiyor","Aktif"))))</f>
        <v/>
      </c>
      <c r="K1338" s="19" t="str">
        <f aca="false">IF(OR(J1338="Aktif",J1338="Bitiyor"),F1338+ROW()/1000000,"")</f>
        <v/>
      </c>
    </row>
    <row r="1339" customFormat="false" ht="15" hidden="false" customHeight="false" outlineLevel="0" collapsed="false">
      <c r="A1339" s="12"/>
      <c r="B1339" s="12"/>
      <c r="C1339" s="13"/>
      <c r="D1339" s="14"/>
      <c r="E1339" s="15"/>
      <c r="F1339" s="16" t="str">
        <f aca="false">IF(OR(C1339="",D1339=""),"",EDATE(D1339,IFERROR(INDEX(Paketler!$B$5:$B$24,MATCH(C1339,Paketler!$A$5:$A$24,0)),0))-1)</f>
        <v/>
      </c>
      <c r="G1339" s="17" t="str">
        <f aca="false">IF(F1339="","",IFERROR(INDEX(Paketler!$C$5:$C$24,MATCH(C1339,Paketler!$A$5:$A$24,0)),0))</f>
        <v/>
      </c>
      <c r="H1339" s="17" t="str">
        <f aca="false">IF(F1339="","",G1339-E1339)</f>
        <v/>
      </c>
      <c r="I1339" s="18" t="str">
        <f aca="true">IF(F1339="","",F1339-TODAY())</f>
        <v/>
      </c>
      <c r="J1339" s="19" t="str">
        <f aca="true">IF(F1339="","",IF(TODAY()&lt;D1339,"Başlamadı",IF(TODAY()&gt;F1339,"Bitti",IF(F1339-TODAY()&lt;=7,"Bitiyor","Aktif"))))</f>
        <v/>
      </c>
      <c r="K1339" s="19" t="str">
        <f aca="false">IF(OR(J1339="Aktif",J1339="Bitiyor"),F1339+ROW()/1000000,"")</f>
        <v/>
      </c>
    </row>
    <row r="1340" customFormat="false" ht="15" hidden="false" customHeight="false" outlineLevel="0" collapsed="false">
      <c r="A1340" s="12"/>
      <c r="B1340" s="12"/>
      <c r="C1340" s="13"/>
      <c r="D1340" s="14"/>
      <c r="E1340" s="15"/>
      <c r="F1340" s="16" t="str">
        <f aca="false">IF(OR(C1340="",D1340=""),"",EDATE(D1340,IFERROR(INDEX(Paketler!$B$5:$B$24,MATCH(C1340,Paketler!$A$5:$A$24,0)),0))-1)</f>
        <v/>
      </c>
      <c r="G1340" s="17" t="str">
        <f aca="false">IF(F1340="","",IFERROR(INDEX(Paketler!$C$5:$C$24,MATCH(C1340,Paketler!$A$5:$A$24,0)),0))</f>
        <v/>
      </c>
      <c r="H1340" s="17" t="str">
        <f aca="false">IF(F1340="","",G1340-E1340)</f>
        <v/>
      </c>
      <c r="I1340" s="18" t="str">
        <f aca="true">IF(F1340="","",F1340-TODAY())</f>
        <v/>
      </c>
      <c r="J1340" s="19" t="str">
        <f aca="true">IF(F1340="","",IF(TODAY()&lt;D1340,"Başlamadı",IF(TODAY()&gt;F1340,"Bitti",IF(F1340-TODAY()&lt;=7,"Bitiyor","Aktif"))))</f>
        <v/>
      </c>
      <c r="K1340" s="19" t="str">
        <f aca="false">IF(OR(J1340="Aktif",J1340="Bitiyor"),F1340+ROW()/1000000,"")</f>
        <v/>
      </c>
    </row>
    <row r="1341" customFormat="false" ht="15" hidden="false" customHeight="false" outlineLevel="0" collapsed="false">
      <c r="A1341" s="12"/>
      <c r="B1341" s="12"/>
      <c r="C1341" s="13"/>
      <c r="D1341" s="14"/>
      <c r="E1341" s="15"/>
      <c r="F1341" s="16" t="str">
        <f aca="false">IF(OR(C1341="",D1341=""),"",EDATE(D1341,IFERROR(INDEX(Paketler!$B$5:$B$24,MATCH(C1341,Paketler!$A$5:$A$24,0)),0))-1)</f>
        <v/>
      </c>
      <c r="G1341" s="17" t="str">
        <f aca="false">IF(F1341="","",IFERROR(INDEX(Paketler!$C$5:$C$24,MATCH(C1341,Paketler!$A$5:$A$24,0)),0))</f>
        <v/>
      </c>
      <c r="H1341" s="17" t="str">
        <f aca="false">IF(F1341="","",G1341-E1341)</f>
        <v/>
      </c>
      <c r="I1341" s="18" t="str">
        <f aca="true">IF(F1341="","",F1341-TODAY())</f>
        <v/>
      </c>
      <c r="J1341" s="19" t="str">
        <f aca="true">IF(F1341="","",IF(TODAY()&lt;D1341,"Başlamadı",IF(TODAY()&gt;F1341,"Bitti",IF(F1341-TODAY()&lt;=7,"Bitiyor","Aktif"))))</f>
        <v/>
      </c>
      <c r="K1341" s="19" t="str">
        <f aca="false">IF(OR(J1341="Aktif",J1341="Bitiyor"),F1341+ROW()/1000000,"")</f>
        <v/>
      </c>
    </row>
    <row r="1342" customFormat="false" ht="15" hidden="false" customHeight="false" outlineLevel="0" collapsed="false">
      <c r="A1342" s="12"/>
      <c r="B1342" s="12"/>
      <c r="C1342" s="13"/>
      <c r="D1342" s="14"/>
      <c r="E1342" s="15"/>
      <c r="F1342" s="16" t="str">
        <f aca="false">IF(OR(C1342="",D1342=""),"",EDATE(D1342,IFERROR(INDEX(Paketler!$B$5:$B$24,MATCH(C1342,Paketler!$A$5:$A$24,0)),0))-1)</f>
        <v/>
      </c>
      <c r="G1342" s="17" t="str">
        <f aca="false">IF(F1342="","",IFERROR(INDEX(Paketler!$C$5:$C$24,MATCH(C1342,Paketler!$A$5:$A$24,0)),0))</f>
        <v/>
      </c>
      <c r="H1342" s="17" t="str">
        <f aca="false">IF(F1342="","",G1342-E1342)</f>
        <v/>
      </c>
      <c r="I1342" s="18" t="str">
        <f aca="true">IF(F1342="","",F1342-TODAY())</f>
        <v/>
      </c>
      <c r="J1342" s="19" t="str">
        <f aca="true">IF(F1342="","",IF(TODAY()&lt;D1342,"Başlamadı",IF(TODAY()&gt;F1342,"Bitti",IF(F1342-TODAY()&lt;=7,"Bitiyor","Aktif"))))</f>
        <v/>
      </c>
      <c r="K1342" s="19" t="str">
        <f aca="false">IF(OR(J1342="Aktif",J1342="Bitiyor"),F1342+ROW()/1000000,"")</f>
        <v/>
      </c>
    </row>
    <row r="1343" customFormat="false" ht="15" hidden="false" customHeight="false" outlineLevel="0" collapsed="false">
      <c r="A1343" s="12"/>
      <c r="B1343" s="12"/>
      <c r="C1343" s="13"/>
      <c r="D1343" s="14"/>
      <c r="E1343" s="15"/>
      <c r="F1343" s="16" t="str">
        <f aca="false">IF(OR(C1343="",D1343=""),"",EDATE(D1343,IFERROR(INDEX(Paketler!$B$5:$B$24,MATCH(C1343,Paketler!$A$5:$A$24,0)),0))-1)</f>
        <v/>
      </c>
      <c r="G1343" s="17" t="str">
        <f aca="false">IF(F1343="","",IFERROR(INDEX(Paketler!$C$5:$C$24,MATCH(C1343,Paketler!$A$5:$A$24,0)),0))</f>
        <v/>
      </c>
      <c r="H1343" s="17" t="str">
        <f aca="false">IF(F1343="","",G1343-E1343)</f>
        <v/>
      </c>
      <c r="I1343" s="18" t="str">
        <f aca="true">IF(F1343="","",F1343-TODAY())</f>
        <v/>
      </c>
      <c r="J1343" s="19" t="str">
        <f aca="true">IF(F1343="","",IF(TODAY()&lt;D1343,"Başlamadı",IF(TODAY()&gt;F1343,"Bitti",IF(F1343-TODAY()&lt;=7,"Bitiyor","Aktif"))))</f>
        <v/>
      </c>
      <c r="K1343" s="19" t="str">
        <f aca="false">IF(OR(J1343="Aktif",J1343="Bitiyor"),F1343+ROW()/1000000,"")</f>
        <v/>
      </c>
    </row>
    <row r="1344" customFormat="false" ht="15" hidden="false" customHeight="false" outlineLevel="0" collapsed="false">
      <c r="A1344" s="12"/>
      <c r="B1344" s="12"/>
      <c r="C1344" s="13"/>
      <c r="D1344" s="14"/>
      <c r="E1344" s="15"/>
      <c r="F1344" s="16" t="str">
        <f aca="false">IF(OR(C1344="",D1344=""),"",EDATE(D1344,IFERROR(INDEX(Paketler!$B$5:$B$24,MATCH(C1344,Paketler!$A$5:$A$24,0)),0))-1)</f>
        <v/>
      </c>
      <c r="G1344" s="17" t="str">
        <f aca="false">IF(F1344="","",IFERROR(INDEX(Paketler!$C$5:$C$24,MATCH(C1344,Paketler!$A$5:$A$24,0)),0))</f>
        <v/>
      </c>
      <c r="H1344" s="17" t="str">
        <f aca="false">IF(F1344="","",G1344-E1344)</f>
        <v/>
      </c>
      <c r="I1344" s="18" t="str">
        <f aca="true">IF(F1344="","",F1344-TODAY())</f>
        <v/>
      </c>
      <c r="J1344" s="19" t="str">
        <f aca="true">IF(F1344="","",IF(TODAY()&lt;D1344,"Başlamadı",IF(TODAY()&gt;F1344,"Bitti",IF(F1344-TODAY()&lt;=7,"Bitiyor","Aktif"))))</f>
        <v/>
      </c>
      <c r="K1344" s="19" t="str">
        <f aca="false">IF(OR(J1344="Aktif",J1344="Bitiyor"),F1344+ROW()/1000000,"")</f>
        <v/>
      </c>
    </row>
    <row r="1345" customFormat="false" ht="15" hidden="false" customHeight="false" outlineLevel="0" collapsed="false">
      <c r="A1345" s="12"/>
      <c r="B1345" s="12"/>
      <c r="C1345" s="13"/>
      <c r="D1345" s="14"/>
      <c r="E1345" s="15"/>
      <c r="F1345" s="16" t="str">
        <f aca="false">IF(OR(C1345="",D1345=""),"",EDATE(D1345,IFERROR(INDEX(Paketler!$B$5:$B$24,MATCH(C1345,Paketler!$A$5:$A$24,0)),0))-1)</f>
        <v/>
      </c>
      <c r="G1345" s="17" t="str">
        <f aca="false">IF(F1345="","",IFERROR(INDEX(Paketler!$C$5:$C$24,MATCH(C1345,Paketler!$A$5:$A$24,0)),0))</f>
        <v/>
      </c>
      <c r="H1345" s="17" t="str">
        <f aca="false">IF(F1345="","",G1345-E1345)</f>
        <v/>
      </c>
      <c r="I1345" s="18" t="str">
        <f aca="true">IF(F1345="","",F1345-TODAY())</f>
        <v/>
      </c>
      <c r="J1345" s="19" t="str">
        <f aca="true">IF(F1345="","",IF(TODAY()&lt;D1345,"Başlamadı",IF(TODAY()&gt;F1345,"Bitti",IF(F1345-TODAY()&lt;=7,"Bitiyor","Aktif"))))</f>
        <v/>
      </c>
      <c r="K1345" s="19" t="str">
        <f aca="false">IF(OR(J1345="Aktif",J1345="Bitiyor"),F1345+ROW()/1000000,"")</f>
        <v/>
      </c>
    </row>
    <row r="1346" customFormat="false" ht="15" hidden="false" customHeight="false" outlineLevel="0" collapsed="false">
      <c r="A1346" s="12"/>
      <c r="B1346" s="12"/>
      <c r="C1346" s="13"/>
      <c r="D1346" s="14"/>
      <c r="E1346" s="15"/>
      <c r="F1346" s="16" t="str">
        <f aca="false">IF(OR(C1346="",D1346=""),"",EDATE(D1346,IFERROR(INDEX(Paketler!$B$5:$B$24,MATCH(C1346,Paketler!$A$5:$A$24,0)),0))-1)</f>
        <v/>
      </c>
      <c r="G1346" s="17" t="str">
        <f aca="false">IF(F1346="","",IFERROR(INDEX(Paketler!$C$5:$C$24,MATCH(C1346,Paketler!$A$5:$A$24,0)),0))</f>
        <v/>
      </c>
      <c r="H1346" s="17" t="str">
        <f aca="false">IF(F1346="","",G1346-E1346)</f>
        <v/>
      </c>
      <c r="I1346" s="18" t="str">
        <f aca="true">IF(F1346="","",F1346-TODAY())</f>
        <v/>
      </c>
      <c r="J1346" s="19" t="str">
        <f aca="true">IF(F1346="","",IF(TODAY()&lt;D1346,"Başlamadı",IF(TODAY()&gt;F1346,"Bitti",IF(F1346-TODAY()&lt;=7,"Bitiyor","Aktif"))))</f>
        <v/>
      </c>
      <c r="K1346" s="19" t="str">
        <f aca="false">IF(OR(J1346="Aktif",J1346="Bitiyor"),F1346+ROW()/1000000,"")</f>
        <v/>
      </c>
    </row>
    <row r="1347" customFormat="false" ht="15" hidden="false" customHeight="false" outlineLevel="0" collapsed="false">
      <c r="A1347" s="12"/>
      <c r="B1347" s="12"/>
      <c r="C1347" s="13"/>
      <c r="D1347" s="14"/>
      <c r="E1347" s="15"/>
      <c r="F1347" s="16" t="str">
        <f aca="false">IF(OR(C1347="",D1347=""),"",EDATE(D1347,IFERROR(INDEX(Paketler!$B$5:$B$24,MATCH(C1347,Paketler!$A$5:$A$24,0)),0))-1)</f>
        <v/>
      </c>
      <c r="G1347" s="17" t="str">
        <f aca="false">IF(F1347="","",IFERROR(INDEX(Paketler!$C$5:$C$24,MATCH(C1347,Paketler!$A$5:$A$24,0)),0))</f>
        <v/>
      </c>
      <c r="H1347" s="17" t="str">
        <f aca="false">IF(F1347="","",G1347-E1347)</f>
        <v/>
      </c>
      <c r="I1347" s="18" t="str">
        <f aca="true">IF(F1347="","",F1347-TODAY())</f>
        <v/>
      </c>
      <c r="J1347" s="19" t="str">
        <f aca="true">IF(F1347="","",IF(TODAY()&lt;D1347,"Başlamadı",IF(TODAY()&gt;F1347,"Bitti",IF(F1347-TODAY()&lt;=7,"Bitiyor","Aktif"))))</f>
        <v/>
      </c>
      <c r="K1347" s="19" t="str">
        <f aca="false">IF(OR(J1347="Aktif",J1347="Bitiyor"),F1347+ROW()/1000000,"")</f>
        <v/>
      </c>
    </row>
    <row r="1348" customFormat="false" ht="15" hidden="false" customHeight="false" outlineLevel="0" collapsed="false">
      <c r="A1348" s="12"/>
      <c r="B1348" s="12"/>
      <c r="C1348" s="13"/>
      <c r="D1348" s="14"/>
      <c r="E1348" s="15"/>
      <c r="F1348" s="16" t="str">
        <f aca="false">IF(OR(C1348="",D1348=""),"",EDATE(D1348,IFERROR(INDEX(Paketler!$B$5:$B$24,MATCH(C1348,Paketler!$A$5:$A$24,0)),0))-1)</f>
        <v/>
      </c>
      <c r="G1348" s="17" t="str">
        <f aca="false">IF(F1348="","",IFERROR(INDEX(Paketler!$C$5:$C$24,MATCH(C1348,Paketler!$A$5:$A$24,0)),0))</f>
        <v/>
      </c>
      <c r="H1348" s="17" t="str">
        <f aca="false">IF(F1348="","",G1348-E1348)</f>
        <v/>
      </c>
      <c r="I1348" s="18" t="str">
        <f aca="true">IF(F1348="","",F1348-TODAY())</f>
        <v/>
      </c>
      <c r="J1348" s="19" t="str">
        <f aca="true">IF(F1348="","",IF(TODAY()&lt;D1348,"Başlamadı",IF(TODAY()&gt;F1348,"Bitti",IF(F1348-TODAY()&lt;=7,"Bitiyor","Aktif"))))</f>
        <v/>
      </c>
      <c r="K1348" s="19" t="str">
        <f aca="false">IF(OR(J1348="Aktif",J1348="Bitiyor"),F1348+ROW()/1000000,"")</f>
        <v/>
      </c>
    </row>
    <row r="1349" customFormat="false" ht="15" hidden="false" customHeight="false" outlineLevel="0" collapsed="false">
      <c r="A1349" s="12"/>
      <c r="B1349" s="12"/>
      <c r="C1349" s="13"/>
      <c r="D1349" s="14"/>
      <c r="E1349" s="15"/>
      <c r="F1349" s="16" t="str">
        <f aca="false">IF(OR(C1349="",D1349=""),"",EDATE(D1349,IFERROR(INDEX(Paketler!$B$5:$B$24,MATCH(C1349,Paketler!$A$5:$A$24,0)),0))-1)</f>
        <v/>
      </c>
      <c r="G1349" s="17" t="str">
        <f aca="false">IF(F1349="","",IFERROR(INDEX(Paketler!$C$5:$C$24,MATCH(C1349,Paketler!$A$5:$A$24,0)),0))</f>
        <v/>
      </c>
      <c r="H1349" s="17" t="str">
        <f aca="false">IF(F1349="","",G1349-E1349)</f>
        <v/>
      </c>
      <c r="I1349" s="18" t="str">
        <f aca="true">IF(F1349="","",F1349-TODAY())</f>
        <v/>
      </c>
      <c r="J1349" s="19" t="str">
        <f aca="true">IF(F1349="","",IF(TODAY()&lt;D1349,"Başlamadı",IF(TODAY()&gt;F1349,"Bitti",IF(F1349-TODAY()&lt;=7,"Bitiyor","Aktif"))))</f>
        <v/>
      </c>
      <c r="K1349" s="19" t="str">
        <f aca="false">IF(OR(J1349="Aktif",J1349="Bitiyor"),F1349+ROW()/1000000,"")</f>
        <v/>
      </c>
    </row>
    <row r="1350" customFormat="false" ht="15" hidden="false" customHeight="false" outlineLevel="0" collapsed="false">
      <c r="A1350" s="12"/>
      <c r="B1350" s="12"/>
      <c r="C1350" s="13"/>
      <c r="D1350" s="14"/>
      <c r="E1350" s="15"/>
      <c r="F1350" s="16" t="str">
        <f aca="false">IF(OR(C1350="",D1350=""),"",EDATE(D1350,IFERROR(INDEX(Paketler!$B$5:$B$24,MATCH(C1350,Paketler!$A$5:$A$24,0)),0))-1)</f>
        <v/>
      </c>
      <c r="G1350" s="17" t="str">
        <f aca="false">IF(F1350="","",IFERROR(INDEX(Paketler!$C$5:$C$24,MATCH(C1350,Paketler!$A$5:$A$24,0)),0))</f>
        <v/>
      </c>
      <c r="H1350" s="17" t="str">
        <f aca="false">IF(F1350="","",G1350-E1350)</f>
        <v/>
      </c>
      <c r="I1350" s="18" t="str">
        <f aca="true">IF(F1350="","",F1350-TODAY())</f>
        <v/>
      </c>
      <c r="J1350" s="19" t="str">
        <f aca="true">IF(F1350="","",IF(TODAY()&lt;D1350,"Başlamadı",IF(TODAY()&gt;F1350,"Bitti",IF(F1350-TODAY()&lt;=7,"Bitiyor","Aktif"))))</f>
        <v/>
      </c>
      <c r="K1350" s="19" t="str">
        <f aca="false">IF(OR(J1350="Aktif",J1350="Bitiyor"),F1350+ROW()/1000000,"")</f>
        <v/>
      </c>
    </row>
    <row r="1351" customFormat="false" ht="15" hidden="false" customHeight="false" outlineLevel="0" collapsed="false">
      <c r="A1351" s="12"/>
      <c r="B1351" s="12"/>
      <c r="C1351" s="13"/>
      <c r="D1351" s="14"/>
      <c r="E1351" s="15"/>
      <c r="F1351" s="16" t="str">
        <f aca="false">IF(OR(C1351="",D1351=""),"",EDATE(D1351,IFERROR(INDEX(Paketler!$B$5:$B$24,MATCH(C1351,Paketler!$A$5:$A$24,0)),0))-1)</f>
        <v/>
      </c>
      <c r="G1351" s="17" t="str">
        <f aca="false">IF(F1351="","",IFERROR(INDEX(Paketler!$C$5:$C$24,MATCH(C1351,Paketler!$A$5:$A$24,0)),0))</f>
        <v/>
      </c>
      <c r="H1351" s="17" t="str">
        <f aca="false">IF(F1351="","",G1351-E1351)</f>
        <v/>
      </c>
      <c r="I1351" s="18" t="str">
        <f aca="true">IF(F1351="","",F1351-TODAY())</f>
        <v/>
      </c>
      <c r="J1351" s="19" t="str">
        <f aca="true">IF(F1351="","",IF(TODAY()&lt;D1351,"Başlamadı",IF(TODAY()&gt;F1351,"Bitti",IF(F1351-TODAY()&lt;=7,"Bitiyor","Aktif"))))</f>
        <v/>
      </c>
      <c r="K1351" s="19" t="str">
        <f aca="false">IF(OR(J1351="Aktif",J1351="Bitiyor"),F1351+ROW()/1000000,"")</f>
        <v/>
      </c>
    </row>
    <row r="1352" customFormat="false" ht="15" hidden="false" customHeight="false" outlineLevel="0" collapsed="false">
      <c r="A1352" s="12"/>
      <c r="B1352" s="12"/>
      <c r="C1352" s="13"/>
      <c r="D1352" s="14"/>
      <c r="E1352" s="15"/>
      <c r="F1352" s="16" t="str">
        <f aca="false">IF(OR(C1352="",D1352=""),"",EDATE(D1352,IFERROR(INDEX(Paketler!$B$5:$B$24,MATCH(C1352,Paketler!$A$5:$A$24,0)),0))-1)</f>
        <v/>
      </c>
      <c r="G1352" s="17" t="str">
        <f aca="false">IF(F1352="","",IFERROR(INDEX(Paketler!$C$5:$C$24,MATCH(C1352,Paketler!$A$5:$A$24,0)),0))</f>
        <v/>
      </c>
      <c r="H1352" s="17" t="str">
        <f aca="false">IF(F1352="","",G1352-E1352)</f>
        <v/>
      </c>
      <c r="I1352" s="18" t="str">
        <f aca="true">IF(F1352="","",F1352-TODAY())</f>
        <v/>
      </c>
      <c r="J1352" s="19" t="str">
        <f aca="true">IF(F1352="","",IF(TODAY()&lt;D1352,"Başlamadı",IF(TODAY()&gt;F1352,"Bitti",IF(F1352-TODAY()&lt;=7,"Bitiyor","Aktif"))))</f>
        <v/>
      </c>
      <c r="K1352" s="19" t="str">
        <f aca="false">IF(OR(J1352="Aktif",J1352="Bitiyor"),F1352+ROW()/1000000,"")</f>
        <v/>
      </c>
    </row>
    <row r="1353" customFormat="false" ht="15" hidden="false" customHeight="false" outlineLevel="0" collapsed="false">
      <c r="A1353" s="12"/>
      <c r="B1353" s="12"/>
      <c r="C1353" s="13"/>
      <c r="D1353" s="14"/>
      <c r="E1353" s="15"/>
      <c r="F1353" s="16" t="str">
        <f aca="false">IF(OR(C1353="",D1353=""),"",EDATE(D1353,IFERROR(INDEX(Paketler!$B$5:$B$24,MATCH(C1353,Paketler!$A$5:$A$24,0)),0))-1)</f>
        <v/>
      </c>
      <c r="G1353" s="17" t="str">
        <f aca="false">IF(F1353="","",IFERROR(INDEX(Paketler!$C$5:$C$24,MATCH(C1353,Paketler!$A$5:$A$24,0)),0))</f>
        <v/>
      </c>
      <c r="H1353" s="17" t="str">
        <f aca="false">IF(F1353="","",G1353-E1353)</f>
        <v/>
      </c>
      <c r="I1353" s="18" t="str">
        <f aca="true">IF(F1353="","",F1353-TODAY())</f>
        <v/>
      </c>
      <c r="J1353" s="19" t="str">
        <f aca="true">IF(F1353="","",IF(TODAY()&lt;D1353,"Başlamadı",IF(TODAY()&gt;F1353,"Bitti",IF(F1353-TODAY()&lt;=7,"Bitiyor","Aktif"))))</f>
        <v/>
      </c>
      <c r="K1353" s="19" t="str">
        <f aca="false">IF(OR(J1353="Aktif",J1353="Bitiyor"),F1353+ROW()/1000000,"")</f>
        <v/>
      </c>
    </row>
    <row r="1354" customFormat="false" ht="15" hidden="false" customHeight="false" outlineLevel="0" collapsed="false">
      <c r="A1354" s="12"/>
      <c r="B1354" s="12"/>
      <c r="C1354" s="13"/>
      <c r="D1354" s="14"/>
      <c r="E1354" s="15"/>
      <c r="F1354" s="16" t="str">
        <f aca="false">IF(OR(C1354="",D1354=""),"",EDATE(D1354,IFERROR(INDEX(Paketler!$B$5:$B$24,MATCH(C1354,Paketler!$A$5:$A$24,0)),0))-1)</f>
        <v/>
      </c>
      <c r="G1354" s="17" t="str">
        <f aca="false">IF(F1354="","",IFERROR(INDEX(Paketler!$C$5:$C$24,MATCH(C1354,Paketler!$A$5:$A$24,0)),0))</f>
        <v/>
      </c>
      <c r="H1354" s="17" t="str">
        <f aca="false">IF(F1354="","",G1354-E1354)</f>
        <v/>
      </c>
      <c r="I1354" s="18" t="str">
        <f aca="true">IF(F1354="","",F1354-TODAY())</f>
        <v/>
      </c>
      <c r="J1354" s="19" t="str">
        <f aca="true">IF(F1354="","",IF(TODAY()&lt;D1354,"Başlamadı",IF(TODAY()&gt;F1354,"Bitti",IF(F1354-TODAY()&lt;=7,"Bitiyor","Aktif"))))</f>
        <v/>
      </c>
      <c r="K1354" s="19" t="str">
        <f aca="false">IF(OR(J1354="Aktif",J1354="Bitiyor"),F1354+ROW()/1000000,"")</f>
        <v/>
      </c>
    </row>
    <row r="1355" customFormat="false" ht="15" hidden="false" customHeight="false" outlineLevel="0" collapsed="false">
      <c r="A1355" s="12"/>
      <c r="B1355" s="12"/>
      <c r="C1355" s="13"/>
      <c r="D1355" s="14"/>
      <c r="E1355" s="15"/>
      <c r="F1355" s="16" t="str">
        <f aca="false">IF(OR(C1355="",D1355=""),"",EDATE(D1355,IFERROR(INDEX(Paketler!$B$5:$B$24,MATCH(C1355,Paketler!$A$5:$A$24,0)),0))-1)</f>
        <v/>
      </c>
      <c r="G1355" s="17" t="str">
        <f aca="false">IF(F1355="","",IFERROR(INDEX(Paketler!$C$5:$C$24,MATCH(C1355,Paketler!$A$5:$A$24,0)),0))</f>
        <v/>
      </c>
      <c r="H1355" s="17" t="str">
        <f aca="false">IF(F1355="","",G1355-E1355)</f>
        <v/>
      </c>
      <c r="I1355" s="18" t="str">
        <f aca="true">IF(F1355="","",F1355-TODAY())</f>
        <v/>
      </c>
      <c r="J1355" s="19" t="str">
        <f aca="true">IF(F1355="","",IF(TODAY()&lt;D1355,"Başlamadı",IF(TODAY()&gt;F1355,"Bitti",IF(F1355-TODAY()&lt;=7,"Bitiyor","Aktif"))))</f>
        <v/>
      </c>
      <c r="K1355" s="19" t="str">
        <f aca="false">IF(OR(J1355="Aktif",J1355="Bitiyor"),F1355+ROW()/1000000,"")</f>
        <v/>
      </c>
    </row>
    <row r="1356" customFormat="false" ht="15" hidden="false" customHeight="false" outlineLevel="0" collapsed="false">
      <c r="A1356" s="12"/>
      <c r="B1356" s="12"/>
      <c r="C1356" s="13"/>
      <c r="D1356" s="14"/>
      <c r="E1356" s="15"/>
      <c r="F1356" s="16" t="str">
        <f aca="false">IF(OR(C1356="",D1356=""),"",EDATE(D1356,IFERROR(INDEX(Paketler!$B$5:$B$24,MATCH(C1356,Paketler!$A$5:$A$24,0)),0))-1)</f>
        <v/>
      </c>
      <c r="G1356" s="17" t="str">
        <f aca="false">IF(F1356="","",IFERROR(INDEX(Paketler!$C$5:$C$24,MATCH(C1356,Paketler!$A$5:$A$24,0)),0))</f>
        <v/>
      </c>
      <c r="H1356" s="17" t="str">
        <f aca="false">IF(F1356="","",G1356-E1356)</f>
        <v/>
      </c>
      <c r="I1356" s="18" t="str">
        <f aca="true">IF(F1356="","",F1356-TODAY())</f>
        <v/>
      </c>
      <c r="J1356" s="19" t="str">
        <f aca="true">IF(F1356="","",IF(TODAY()&lt;D1356,"Başlamadı",IF(TODAY()&gt;F1356,"Bitti",IF(F1356-TODAY()&lt;=7,"Bitiyor","Aktif"))))</f>
        <v/>
      </c>
      <c r="K1356" s="19" t="str">
        <f aca="false">IF(OR(J1356="Aktif",J1356="Bitiyor"),F1356+ROW()/1000000,"")</f>
        <v/>
      </c>
    </row>
    <row r="1357" customFormat="false" ht="15" hidden="false" customHeight="false" outlineLevel="0" collapsed="false">
      <c r="A1357" s="12"/>
      <c r="B1357" s="12"/>
      <c r="C1357" s="13"/>
      <c r="D1357" s="14"/>
      <c r="E1357" s="15"/>
      <c r="F1357" s="16" t="str">
        <f aca="false">IF(OR(C1357="",D1357=""),"",EDATE(D1357,IFERROR(INDEX(Paketler!$B$5:$B$24,MATCH(C1357,Paketler!$A$5:$A$24,0)),0))-1)</f>
        <v/>
      </c>
      <c r="G1357" s="17" t="str">
        <f aca="false">IF(F1357="","",IFERROR(INDEX(Paketler!$C$5:$C$24,MATCH(C1357,Paketler!$A$5:$A$24,0)),0))</f>
        <v/>
      </c>
      <c r="H1357" s="17" t="str">
        <f aca="false">IF(F1357="","",G1357-E1357)</f>
        <v/>
      </c>
      <c r="I1357" s="18" t="str">
        <f aca="true">IF(F1357="","",F1357-TODAY())</f>
        <v/>
      </c>
      <c r="J1357" s="19" t="str">
        <f aca="true">IF(F1357="","",IF(TODAY()&lt;D1357,"Başlamadı",IF(TODAY()&gt;F1357,"Bitti",IF(F1357-TODAY()&lt;=7,"Bitiyor","Aktif"))))</f>
        <v/>
      </c>
      <c r="K1357" s="19" t="str">
        <f aca="false">IF(OR(J1357="Aktif",J1357="Bitiyor"),F1357+ROW()/1000000,"")</f>
        <v/>
      </c>
    </row>
    <row r="1358" customFormat="false" ht="15" hidden="false" customHeight="false" outlineLevel="0" collapsed="false">
      <c r="A1358" s="12"/>
      <c r="B1358" s="12"/>
      <c r="C1358" s="13"/>
      <c r="D1358" s="14"/>
      <c r="E1358" s="15"/>
      <c r="F1358" s="16" t="str">
        <f aca="false">IF(OR(C1358="",D1358=""),"",EDATE(D1358,IFERROR(INDEX(Paketler!$B$5:$B$24,MATCH(C1358,Paketler!$A$5:$A$24,0)),0))-1)</f>
        <v/>
      </c>
      <c r="G1358" s="17" t="str">
        <f aca="false">IF(F1358="","",IFERROR(INDEX(Paketler!$C$5:$C$24,MATCH(C1358,Paketler!$A$5:$A$24,0)),0))</f>
        <v/>
      </c>
      <c r="H1358" s="17" t="str">
        <f aca="false">IF(F1358="","",G1358-E1358)</f>
        <v/>
      </c>
      <c r="I1358" s="18" t="str">
        <f aca="true">IF(F1358="","",F1358-TODAY())</f>
        <v/>
      </c>
      <c r="J1358" s="19" t="str">
        <f aca="true">IF(F1358="","",IF(TODAY()&lt;D1358,"Başlamadı",IF(TODAY()&gt;F1358,"Bitti",IF(F1358-TODAY()&lt;=7,"Bitiyor","Aktif"))))</f>
        <v/>
      </c>
      <c r="K1358" s="19" t="str">
        <f aca="false">IF(OR(J1358="Aktif",J1358="Bitiyor"),F1358+ROW()/1000000,"")</f>
        <v/>
      </c>
    </row>
    <row r="1359" customFormat="false" ht="15" hidden="false" customHeight="false" outlineLevel="0" collapsed="false">
      <c r="A1359" s="12"/>
      <c r="B1359" s="12"/>
      <c r="C1359" s="13"/>
      <c r="D1359" s="14"/>
      <c r="E1359" s="15"/>
      <c r="F1359" s="16" t="str">
        <f aca="false">IF(OR(C1359="",D1359=""),"",EDATE(D1359,IFERROR(INDEX(Paketler!$B$5:$B$24,MATCH(C1359,Paketler!$A$5:$A$24,0)),0))-1)</f>
        <v/>
      </c>
      <c r="G1359" s="17" t="str">
        <f aca="false">IF(F1359="","",IFERROR(INDEX(Paketler!$C$5:$C$24,MATCH(C1359,Paketler!$A$5:$A$24,0)),0))</f>
        <v/>
      </c>
      <c r="H1359" s="17" t="str">
        <f aca="false">IF(F1359="","",G1359-E1359)</f>
        <v/>
      </c>
      <c r="I1359" s="18" t="str">
        <f aca="true">IF(F1359="","",F1359-TODAY())</f>
        <v/>
      </c>
      <c r="J1359" s="19" t="str">
        <f aca="true">IF(F1359="","",IF(TODAY()&lt;D1359,"Başlamadı",IF(TODAY()&gt;F1359,"Bitti",IF(F1359-TODAY()&lt;=7,"Bitiyor","Aktif"))))</f>
        <v/>
      </c>
      <c r="K1359" s="19" t="str">
        <f aca="false">IF(OR(J1359="Aktif",J1359="Bitiyor"),F1359+ROW()/1000000,"")</f>
        <v/>
      </c>
    </row>
    <row r="1360" customFormat="false" ht="15" hidden="false" customHeight="false" outlineLevel="0" collapsed="false">
      <c r="A1360" s="12"/>
      <c r="B1360" s="12"/>
      <c r="C1360" s="13"/>
      <c r="D1360" s="14"/>
      <c r="E1360" s="15"/>
      <c r="F1360" s="16" t="str">
        <f aca="false">IF(OR(C1360="",D1360=""),"",EDATE(D1360,IFERROR(INDEX(Paketler!$B$5:$B$24,MATCH(C1360,Paketler!$A$5:$A$24,0)),0))-1)</f>
        <v/>
      </c>
      <c r="G1360" s="17" t="str">
        <f aca="false">IF(F1360="","",IFERROR(INDEX(Paketler!$C$5:$C$24,MATCH(C1360,Paketler!$A$5:$A$24,0)),0))</f>
        <v/>
      </c>
      <c r="H1360" s="17" t="str">
        <f aca="false">IF(F1360="","",G1360-E1360)</f>
        <v/>
      </c>
      <c r="I1360" s="18" t="str">
        <f aca="true">IF(F1360="","",F1360-TODAY())</f>
        <v/>
      </c>
      <c r="J1360" s="19" t="str">
        <f aca="true">IF(F1360="","",IF(TODAY()&lt;D1360,"Başlamadı",IF(TODAY()&gt;F1360,"Bitti",IF(F1360-TODAY()&lt;=7,"Bitiyor","Aktif"))))</f>
        <v/>
      </c>
      <c r="K1360" s="19" t="str">
        <f aca="false">IF(OR(J1360="Aktif",J1360="Bitiyor"),F1360+ROW()/1000000,"")</f>
        <v/>
      </c>
    </row>
    <row r="1361" customFormat="false" ht="15" hidden="false" customHeight="false" outlineLevel="0" collapsed="false">
      <c r="A1361" s="12"/>
      <c r="B1361" s="12"/>
      <c r="C1361" s="13"/>
      <c r="D1361" s="14"/>
      <c r="E1361" s="15"/>
      <c r="F1361" s="16" t="str">
        <f aca="false">IF(OR(C1361="",D1361=""),"",EDATE(D1361,IFERROR(INDEX(Paketler!$B$5:$B$24,MATCH(C1361,Paketler!$A$5:$A$24,0)),0))-1)</f>
        <v/>
      </c>
      <c r="G1361" s="17" t="str">
        <f aca="false">IF(F1361="","",IFERROR(INDEX(Paketler!$C$5:$C$24,MATCH(C1361,Paketler!$A$5:$A$24,0)),0))</f>
        <v/>
      </c>
      <c r="H1361" s="17" t="str">
        <f aca="false">IF(F1361="","",G1361-E1361)</f>
        <v/>
      </c>
      <c r="I1361" s="18" t="str">
        <f aca="true">IF(F1361="","",F1361-TODAY())</f>
        <v/>
      </c>
      <c r="J1361" s="19" t="str">
        <f aca="true">IF(F1361="","",IF(TODAY()&lt;D1361,"Başlamadı",IF(TODAY()&gt;F1361,"Bitti",IF(F1361-TODAY()&lt;=7,"Bitiyor","Aktif"))))</f>
        <v/>
      </c>
      <c r="K1361" s="19" t="str">
        <f aca="false">IF(OR(J1361="Aktif",J1361="Bitiyor"),F1361+ROW()/1000000,"")</f>
        <v/>
      </c>
    </row>
    <row r="1362" customFormat="false" ht="15" hidden="false" customHeight="false" outlineLevel="0" collapsed="false">
      <c r="A1362" s="12"/>
      <c r="B1362" s="12"/>
      <c r="C1362" s="13"/>
      <c r="D1362" s="14"/>
      <c r="E1362" s="15"/>
      <c r="F1362" s="16" t="str">
        <f aca="false">IF(OR(C1362="",D1362=""),"",EDATE(D1362,IFERROR(INDEX(Paketler!$B$5:$B$24,MATCH(C1362,Paketler!$A$5:$A$24,0)),0))-1)</f>
        <v/>
      </c>
      <c r="G1362" s="17" t="str">
        <f aca="false">IF(F1362="","",IFERROR(INDEX(Paketler!$C$5:$C$24,MATCH(C1362,Paketler!$A$5:$A$24,0)),0))</f>
        <v/>
      </c>
      <c r="H1362" s="17" t="str">
        <f aca="false">IF(F1362="","",G1362-E1362)</f>
        <v/>
      </c>
      <c r="I1362" s="18" t="str">
        <f aca="true">IF(F1362="","",F1362-TODAY())</f>
        <v/>
      </c>
      <c r="J1362" s="19" t="str">
        <f aca="true">IF(F1362="","",IF(TODAY()&lt;D1362,"Başlamadı",IF(TODAY()&gt;F1362,"Bitti",IF(F1362-TODAY()&lt;=7,"Bitiyor","Aktif"))))</f>
        <v/>
      </c>
      <c r="K1362" s="19" t="str">
        <f aca="false">IF(OR(J1362="Aktif",J1362="Bitiyor"),F1362+ROW()/1000000,"")</f>
        <v/>
      </c>
    </row>
    <row r="1363" customFormat="false" ht="15" hidden="false" customHeight="false" outlineLevel="0" collapsed="false">
      <c r="A1363" s="12"/>
      <c r="B1363" s="12"/>
      <c r="C1363" s="13"/>
      <c r="D1363" s="14"/>
      <c r="E1363" s="15"/>
      <c r="F1363" s="16" t="str">
        <f aca="false">IF(OR(C1363="",D1363=""),"",EDATE(D1363,IFERROR(INDEX(Paketler!$B$5:$B$24,MATCH(C1363,Paketler!$A$5:$A$24,0)),0))-1)</f>
        <v/>
      </c>
      <c r="G1363" s="17" t="str">
        <f aca="false">IF(F1363="","",IFERROR(INDEX(Paketler!$C$5:$C$24,MATCH(C1363,Paketler!$A$5:$A$24,0)),0))</f>
        <v/>
      </c>
      <c r="H1363" s="17" t="str">
        <f aca="false">IF(F1363="","",G1363-E1363)</f>
        <v/>
      </c>
      <c r="I1363" s="18" t="str">
        <f aca="true">IF(F1363="","",F1363-TODAY())</f>
        <v/>
      </c>
      <c r="J1363" s="19" t="str">
        <f aca="true">IF(F1363="","",IF(TODAY()&lt;D1363,"Başlamadı",IF(TODAY()&gt;F1363,"Bitti",IF(F1363-TODAY()&lt;=7,"Bitiyor","Aktif"))))</f>
        <v/>
      </c>
      <c r="K1363" s="19" t="str">
        <f aca="false">IF(OR(J1363="Aktif",J1363="Bitiyor"),F1363+ROW()/1000000,"")</f>
        <v/>
      </c>
    </row>
    <row r="1364" customFormat="false" ht="15" hidden="false" customHeight="false" outlineLevel="0" collapsed="false">
      <c r="A1364" s="12"/>
      <c r="B1364" s="12"/>
      <c r="C1364" s="13"/>
      <c r="D1364" s="14"/>
      <c r="E1364" s="15"/>
      <c r="F1364" s="16" t="str">
        <f aca="false">IF(OR(C1364="",D1364=""),"",EDATE(D1364,IFERROR(INDEX(Paketler!$B$5:$B$24,MATCH(C1364,Paketler!$A$5:$A$24,0)),0))-1)</f>
        <v/>
      </c>
      <c r="G1364" s="17" t="str">
        <f aca="false">IF(F1364="","",IFERROR(INDEX(Paketler!$C$5:$C$24,MATCH(C1364,Paketler!$A$5:$A$24,0)),0))</f>
        <v/>
      </c>
      <c r="H1364" s="17" t="str">
        <f aca="false">IF(F1364="","",G1364-E1364)</f>
        <v/>
      </c>
      <c r="I1364" s="18" t="str">
        <f aca="true">IF(F1364="","",F1364-TODAY())</f>
        <v/>
      </c>
      <c r="J1364" s="19" t="str">
        <f aca="true">IF(F1364="","",IF(TODAY()&lt;D1364,"Başlamadı",IF(TODAY()&gt;F1364,"Bitti",IF(F1364-TODAY()&lt;=7,"Bitiyor","Aktif"))))</f>
        <v/>
      </c>
      <c r="K1364" s="19" t="str">
        <f aca="false">IF(OR(J1364="Aktif",J1364="Bitiyor"),F1364+ROW()/1000000,"")</f>
        <v/>
      </c>
    </row>
    <row r="1365" customFormat="false" ht="15" hidden="false" customHeight="false" outlineLevel="0" collapsed="false">
      <c r="A1365" s="12"/>
      <c r="B1365" s="12"/>
      <c r="C1365" s="13"/>
      <c r="D1365" s="14"/>
      <c r="E1365" s="15"/>
      <c r="F1365" s="16" t="str">
        <f aca="false">IF(OR(C1365="",D1365=""),"",EDATE(D1365,IFERROR(INDEX(Paketler!$B$5:$B$24,MATCH(C1365,Paketler!$A$5:$A$24,0)),0))-1)</f>
        <v/>
      </c>
      <c r="G1365" s="17" t="str">
        <f aca="false">IF(F1365="","",IFERROR(INDEX(Paketler!$C$5:$C$24,MATCH(C1365,Paketler!$A$5:$A$24,0)),0))</f>
        <v/>
      </c>
      <c r="H1365" s="17" t="str">
        <f aca="false">IF(F1365="","",G1365-E1365)</f>
        <v/>
      </c>
      <c r="I1365" s="18" t="str">
        <f aca="true">IF(F1365="","",F1365-TODAY())</f>
        <v/>
      </c>
      <c r="J1365" s="19" t="str">
        <f aca="true">IF(F1365="","",IF(TODAY()&lt;D1365,"Başlamadı",IF(TODAY()&gt;F1365,"Bitti",IF(F1365-TODAY()&lt;=7,"Bitiyor","Aktif"))))</f>
        <v/>
      </c>
      <c r="K1365" s="19" t="str">
        <f aca="false">IF(OR(J1365="Aktif",J1365="Bitiyor"),F1365+ROW()/1000000,"")</f>
        <v/>
      </c>
    </row>
    <row r="1366" customFormat="false" ht="15" hidden="false" customHeight="false" outlineLevel="0" collapsed="false">
      <c r="A1366" s="12"/>
      <c r="B1366" s="12"/>
      <c r="C1366" s="13"/>
      <c r="D1366" s="14"/>
      <c r="E1366" s="15"/>
      <c r="F1366" s="16" t="str">
        <f aca="false">IF(OR(C1366="",D1366=""),"",EDATE(D1366,IFERROR(INDEX(Paketler!$B$5:$B$24,MATCH(C1366,Paketler!$A$5:$A$24,0)),0))-1)</f>
        <v/>
      </c>
      <c r="G1366" s="17" t="str">
        <f aca="false">IF(F1366="","",IFERROR(INDEX(Paketler!$C$5:$C$24,MATCH(C1366,Paketler!$A$5:$A$24,0)),0))</f>
        <v/>
      </c>
      <c r="H1366" s="17" t="str">
        <f aca="false">IF(F1366="","",G1366-E1366)</f>
        <v/>
      </c>
      <c r="I1366" s="18" t="str">
        <f aca="true">IF(F1366="","",F1366-TODAY())</f>
        <v/>
      </c>
      <c r="J1366" s="19" t="str">
        <f aca="true">IF(F1366="","",IF(TODAY()&lt;D1366,"Başlamadı",IF(TODAY()&gt;F1366,"Bitti",IF(F1366-TODAY()&lt;=7,"Bitiyor","Aktif"))))</f>
        <v/>
      </c>
      <c r="K1366" s="19" t="str">
        <f aca="false">IF(OR(J1366="Aktif",J1366="Bitiyor"),F1366+ROW()/1000000,"")</f>
        <v/>
      </c>
    </row>
    <row r="1367" customFormat="false" ht="15" hidden="false" customHeight="false" outlineLevel="0" collapsed="false">
      <c r="A1367" s="12"/>
      <c r="B1367" s="12"/>
      <c r="C1367" s="13"/>
      <c r="D1367" s="14"/>
      <c r="E1367" s="15"/>
      <c r="F1367" s="16" t="str">
        <f aca="false">IF(OR(C1367="",D1367=""),"",EDATE(D1367,IFERROR(INDEX(Paketler!$B$5:$B$24,MATCH(C1367,Paketler!$A$5:$A$24,0)),0))-1)</f>
        <v/>
      </c>
      <c r="G1367" s="17" t="str">
        <f aca="false">IF(F1367="","",IFERROR(INDEX(Paketler!$C$5:$C$24,MATCH(C1367,Paketler!$A$5:$A$24,0)),0))</f>
        <v/>
      </c>
      <c r="H1367" s="17" t="str">
        <f aca="false">IF(F1367="","",G1367-E1367)</f>
        <v/>
      </c>
      <c r="I1367" s="18" t="str">
        <f aca="true">IF(F1367="","",F1367-TODAY())</f>
        <v/>
      </c>
      <c r="J1367" s="19" t="str">
        <f aca="true">IF(F1367="","",IF(TODAY()&lt;D1367,"Başlamadı",IF(TODAY()&gt;F1367,"Bitti",IF(F1367-TODAY()&lt;=7,"Bitiyor","Aktif"))))</f>
        <v/>
      </c>
      <c r="K1367" s="19" t="str">
        <f aca="false">IF(OR(J1367="Aktif",J1367="Bitiyor"),F1367+ROW()/1000000,"")</f>
        <v/>
      </c>
    </row>
    <row r="1368" customFormat="false" ht="15" hidden="false" customHeight="false" outlineLevel="0" collapsed="false">
      <c r="A1368" s="12"/>
      <c r="B1368" s="12"/>
      <c r="C1368" s="13"/>
      <c r="D1368" s="14"/>
      <c r="E1368" s="15"/>
      <c r="F1368" s="16" t="str">
        <f aca="false">IF(OR(C1368="",D1368=""),"",EDATE(D1368,IFERROR(INDEX(Paketler!$B$5:$B$24,MATCH(C1368,Paketler!$A$5:$A$24,0)),0))-1)</f>
        <v/>
      </c>
      <c r="G1368" s="17" t="str">
        <f aca="false">IF(F1368="","",IFERROR(INDEX(Paketler!$C$5:$C$24,MATCH(C1368,Paketler!$A$5:$A$24,0)),0))</f>
        <v/>
      </c>
      <c r="H1368" s="17" t="str">
        <f aca="false">IF(F1368="","",G1368-E1368)</f>
        <v/>
      </c>
      <c r="I1368" s="18" t="str">
        <f aca="true">IF(F1368="","",F1368-TODAY())</f>
        <v/>
      </c>
      <c r="J1368" s="19" t="str">
        <f aca="true">IF(F1368="","",IF(TODAY()&lt;D1368,"Başlamadı",IF(TODAY()&gt;F1368,"Bitti",IF(F1368-TODAY()&lt;=7,"Bitiyor","Aktif"))))</f>
        <v/>
      </c>
      <c r="K1368" s="19" t="str">
        <f aca="false">IF(OR(J1368="Aktif",J1368="Bitiyor"),F1368+ROW()/1000000,"")</f>
        <v/>
      </c>
    </row>
    <row r="1369" customFormat="false" ht="15" hidden="false" customHeight="false" outlineLevel="0" collapsed="false">
      <c r="A1369" s="12"/>
      <c r="B1369" s="12"/>
      <c r="C1369" s="13"/>
      <c r="D1369" s="14"/>
      <c r="E1369" s="15"/>
      <c r="F1369" s="16" t="str">
        <f aca="false">IF(OR(C1369="",D1369=""),"",EDATE(D1369,IFERROR(INDEX(Paketler!$B$5:$B$24,MATCH(C1369,Paketler!$A$5:$A$24,0)),0))-1)</f>
        <v/>
      </c>
      <c r="G1369" s="17" t="str">
        <f aca="false">IF(F1369="","",IFERROR(INDEX(Paketler!$C$5:$C$24,MATCH(C1369,Paketler!$A$5:$A$24,0)),0))</f>
        <v/>
      </c>
      <c r="H1369" s="17" t="str">
        <f aca="false">IF(F1369="","",G1369-E1369)</f>
        <v/>
      </c>
      <c r="I1369" s="18" t="str">
        <f aca="true">IF(F1369="","",F1369-TODAY())</f>
        <v/>
      </c>
      <c r="J1369" s="19" t="str">
        <f aca="true">IF(F1369="","",IF(TODAY()&lt;D1369,"Başlamadı",IF(TODAY()&gt;F1369,"Bitti",IF(F1369-TODAY()&lt;=7,"Bitiyor","Aktif"))))</f>
        <v/>
      </c>
      <c r="K1369" s="19" t="str">
        <f aca="false">IF(OR(J1369="Aktif",J1369="Bitiyor"),F1369+ROW()/1000000,"")</f>
        <v/>
      </c>
    </row>
    <row r="1370" customFormat="false" ht="15" hidden="false" customHeight="false" outlineLevel="0" collapsed="false">
      <c r="A1370" s="12"/>
      <c r="B1370" s="12"/>
      <c r="C1370" s="13"/>
      <c r="D1370" s="14"/>
      <c r="E1370" s="15"/>
      <c r="F1370" s="16" t="str">
        <f aca="false">IF(OR(C1370="",D1370=""),"",EDATE(D1370,IFERROR(INDEX(Paketler!$B$5:$B$24,MATCH(C1370,Paketler!$A$5:$A$24,0)),0))-1)</f>
        <v/>
      </c>
      <c r="G1370" s="17" t="str">
        <f aca="false">IF(F1370="","",IFERROR(INDEX(Paketler!$C$5:$C$24,MATCH(C1370,Paketler!$A$5:$A$24,0)),0))</f>
        <v/>
      </c>
      <c r="H1370" s="17" t="str">
        <f aca="false">IF(F1370="","",G1370-E1370)</f>
        <v/>
      </c>
      <c r="I1370" s="18" t="str">
        <f aca="true">IF(F1370="","",F1370-TODAY())</f>
        <v/>
      </c>
      <c r="J1370" s="19" t="str">
        <f aca="true">IF(F1370="","",IF(TODAY()&lt;D1370,"Başlamadı",IF(TODAY()&gt;F1370,"Bitti",IF(F1370-TODAY()&lt;=7,"Bitiyor","Aktif"))))</f>
        <v/>
      </c>
      <c r="K1370" s="19" t="str">
        <f aca="false">IF(OR(J1370="Aktif",J1370="Bitiyor"),F1370+ROW()/1000000,"")</f>
        <v/>
      </c>
    </row>
    <row r="1371" customFormat="false" ht="15" hidden="false" customHeight="false" outlineLevel="0" collapsed="false">
      <c r="A1371" s="12"/>
      <c r="B1371" s="12"/>
      <c r="C1371" s="13"/>
      <c r="D1371" s="14"/>
      <c r="E1371" s="15"/>
      <c r="F1371" s="16" t="str">
        <f aca="false">IF(OR(C1371="",D1371=""),"",EDATE(D1371,IFERROR(INDEX(Paketler!$B$5:$B$24,MATCH(C1371,Paketler!$A$5:$A$24,0)),0))-1)</f>
        <v/>
      </c>
      <c r="G1371" s="17" t="str">
        <f aca="false">IF(F1371="","",IFERROR(INDEX(Paketler!$C$5:$C$24,MATCH(C1371,Paketler!$A$5:$A$24,0)),0))</f>
        <v/>
      </c>
      <c r="H1371" s="17" t="str">
        <f aca="false">IF(F1371="","",G1371-E1371)</f>
        <v/>
      </c>
      <c r="I1371" s="18" t="str">
        <f aca="true">IF(F1371="","",F1371-TODAY())</f>
        <v/>
      </c>
      <c r="J1371" s="19" t="str">
        <f aca="true">IF(F1371="","",IF(TODAY()&lt;D1371,"Başlamadı",IF(TODAY()&gt;F1371,"Bitti",IF(F1371-TODAY()&lt;=7,"Bitiyor","Aktif"))))</f>
        <v/>
      </c>
      <c r="K1371" s="19" t="str">
        <f aca="false">IF(OR(J1371="Aktif",J1371="Bitiyor"),F1371+ROW()/1000000,"")</f>
        <v/>
      </c>
    </row>
    <row r="1372" customFormat="false" ht="15" hidden="false" customHeight="false" outlineLevel="0" collapsed="false">
      <c r="A1372" s="12"/>
      <c r="B1372" s="12"/>
      <c r="C1372" s="13"/>
      <c r="D1372" s="14"/>
      <c r="E1372" s="15"/>
      <c r="F1372" s="16" t="str">
        <f aca="false">IF(OR(C1372="",D1372=""),"",EDATE(D1372,IFERROR(INDEX(Paketler!$B$5:$B$24,MATCH(C1372,Paketler!$A$5:$A$24,0)),0))-1)</f>
        <v/>
      </c>
      <c r="G1372" s="17" t="str">
        <f aca="false">IF(F1372="","",IFERROR(INDEX(Paketler!$C$5:$C$24,MATCH(C1372,Paketler!$A$5:$A$24,0)),0))</f>
        <v/>
      </c>
      <c r="H1372" s="17" t="str">
        <f aca="false">IF(F1372="","",G1372-E1372)</f>
        <v/>
      </c>
      <c r="I1372" s="18" t="str">
        <f aca="true">IF(F1372="","",F1372-TODAY())</f>
        <v/>
      </c>
      <c r="J1372" s="19" t="str">
        <f aca="true">IF(F1372="","",IF(TODAY()&lt;D1372,"Başlamadı",IF(TODAY()&gt;F1372,"Bitti",IF(F1372-TODAY()&lt;=7,"Bitiyor","Aktif"))))</f>
        <v/>
      </c>
      <c r="K1372" s="19" t="str">
        <f aca="false">IF(OR(J1372="Aktif",J1372="Bitiyor"),F1372+ROW()/1000000,"")</f>
        <v/>
      </c>
    </row>
    <row r="1373" customFormat="false" ht="15" hidden="false" customHeight="false" outlineLevel="0" collapsed="false">
      <c r="A1373" s="12"/>
      <c r="B1373" s="12"/>
      <c r="C1373" s="13"/>
      <c r="D1373" s="14"/>
      <c r="E1373" s="15"/>
      <c r="F1373" s="16" t="str">
        <f aca="false">IF(OR(C1373="",D1373=""),"",EDATE(D1373,IFERROR(INDEX(Paketler!$B$5:$B$24,MATCH(C1373,Paketler!$A$5:$A$24,0)),0))-1)</f>
        <v/>
      </c>
      <c r="G1373" s="17" t="str">
        <f aca="false">IF(F1373="","",IFERROR(INDEX(Paketler!$C$5:$C$24,MATCH(C1373,Paketler!$A$5:$A$24,0)),0))</f>
        <v/>
      </c>
      <c r="H1373" s="17" t="str">
        <f aca="false">IF(F1373="","",G1373-E1373)</f>
        <v/>
      </c>
      <c r="I1373" s="18" t="str">
        <f aca="true">IF(F1373="","",F1373-TODAY())</f>
        <v/>
      </c>
      <c r="J1373" s="19" t="str">
        <f aca="true">IF(F1373="","",IF(TODAY()&lt;D1373,"Başlamadı",IF(TODAY()&gt;F1373,"Bitti",IF(F1373-TODAY()&lt;=7,"Bitiyor","Aktif"))))</f>
        <v/>
      </c>
      <c r="K1373" s="19" t="str">
        <f aca="false">IF(OR(J1373="Aktif",J1373="Bitiyor"),F1373+ROW()/1000000,"")</f>
        <v/>
      </c>
    </row>
    <row r="1374" customFormat="false" ht="15" hidden="false" customHeight="false" outlineLevel="0" collapsed="false">
      <c r="A1374" s="12"/>
      <c r="B1374" s="12"/>
      <c r="C1374" s="13"/>
      <c r="D1374" s="14"/>
      <c r="E1374" s="15"/>
      <c r="F1374" s="16" t="str">
        <f aca="false">IF(OR(C1374="",D1374=""),"",EDATE(D1374,IFERROR(INDEX(Paketler!$B$5:$B$24,MATCH(C1374,Paketler!$A$5:$A$24,0)),0))-1)</f>
        <v/>
      </c>
      <c r="G1374" s="17" t="str">
        <f aca="false">IF(F1374="","",IFERROR(INDEX(Paketler!$C$5:$C$24,MATCH(C1374,Paketler!$A$5:$A$24,0)),0))</f>
        <v/>
      </c>
      <c r="H1374" s="17" t="str">
        <f aca="false">IF(F1374="","",G1374-E1374)</f>
        <v/>
      </c>
      <c r="I1374" s="18" t="str">
        <f aca="true">IF(F1374="","",F1374-TODAY())</f>
        <v/>
      </c>
      <c r="J1374" s="19" t="str">
        <f aca="true">IF(F1374="","",IF(TODAY()&lt;D1374,"Başlamadı",IF(TODAY()&gt;F1374,"Bitti",IF(F1374-TODAY()&lt;=7,"Bitiyor","Aktif"))))</f>
        <v/>
      </c>
      <c r="K1374" s="19" t="str">
        <f aca="false">IF(OR(J1374="Aktif",J1374="Bitiyor"),F1374+ROW()/1000000,"")</f>
        <v/>
      </c>
    </row>
    <row r="1375" customFormat="false" ht="15" hidden="false" customHeight="false" outlineLevel="0" collapsed="false">
      <c r="A1375" s="12"/>
      <c r="B1375" s="12"/>
      <c r="C1375" s="13"/>
      <c r="D1375" s="14"/>
      <c r="E1375" s="15"/>
      <c r="F1375" s="16" t="str">
        <f aca="false">IF(OR(C1375="",D1375=""),"",EDATE(D1375,IFERROR(INDEX(Paketler!$B$5:$B$24,MATCH(C1375,Paketler!$A$5:$A$24,0)),0))-1)</f>
        <v/>
      </c>
      <c r="G1375" s="17" t="str">
        <f aca="false">IF(F1375="","",IFERROR(INDEX(Paketler!$C$5:$C$24,MATCH(C1375,Paketler!$A$5:$A$24,0)),0))</f>
        <v/>
      </c>
      <c r="H1375" s="17" t="str">
        <f aca="false">IF(F1375="","",G1375-E1375)</f>
        <v/>
      </c>
      <c r="I1375" s="18" t="str">
        <f aca="true">IF(F1375="","",F1375-TODAY())</f>
        <v/>
      </c>
      <c r="J1375" s="19" t="str">
        <f aca="true">IF(F1375="","",IF(TODAY()&lt;D1375,"Başlamadı",IF(TODAY()&gt;F1375,"Bitti",IF(F1375-TODAY()&lt;=7,"Bitiyor","Aktif"))))</f>
        <v/>
      </c>
      <c r="K1375" s="19" t="str">
        <f aca="false">IF(OR(J1375="Aktif",J1375="Bitiyor"),F1375+ROW()/1000000,"")</f>
        <v/>
      </c>
    </row>
    <row r="1376" customFormat="false" ht="15" hidden="false" customHeight="false" outlineLevel="0" collapsed="false">
      <c r="A1376" s="12"/>
      <c r="B1376" s="12"/>
      <c r="C1376" s="13"/>
      <c r="D1376" s="14"/>
      <c r="E1376" s="15"/>
      <c r="F1376" s="16" t="str">
        <f aca="false">IF(OR(C1376="",D1376=""),"",EDATE(D1376,IFERROR(INDEX(Paketler!$B$5:$B$24,MATCH(C1376,Paketler!$A$5:$A$24,0)),0))-1)</f>
        <v/>
      </c>
      <c r="G1376" s="17" t="str">
        <f aca="false">IF(F1376="","",IFERROR(INDEX(Paketler!$C$5:$C$24,MATCH(C1376,Paketler!$A$5:$A$24,0)),0))</f>
        <v/>
      </c>
      <c r="H1376" s="17" t="str">
        <f aca="false">IF(F1376="","",G1376-E1376)</f>
        <v/>
      </c>
      <c r="I1376" s="18" t="str">
        <f aca="true">IF(F1376="","",F1376-TODAY())</f>
        <v/>
      </c>
      <c r="J1376" s="19" t="str">
        <f aca="true">IF(F1376="","",IF(TODAY()&lt;D1376,"Başlamadı",IF(TODAY()&gt;F1376,"Bitti",IF(F1376-TODAY()&lt;=7,"Bitiyor","Aktif"))))</f>
        <v/>
      </c>
      <c r="K1376" s="19" t="str">
        <f aca="false">IF(OR(J1376="Aktif",J1376="Bitiyor"),F1376+ROW()/1000000,"")</f>
        <v/>
      </c>
    </row>
    <row r="1377" customFormat="false" ht="15" hidden="false" customHeight="false" outlineLevel="0" collapsed="false">
      <c r="A1377" s="12"/>
      <c r="B1377" s="12"/>
      <c r="C1377" s="13"/>
      <c r="D1377" s="14"/>
      <c r="E1377" s="15"/>
      <c r="F1377" s="16" t="str">
        <f aca="false">IF(OR(C1377="",D1377=""),"",EDATE(D1377,IFERROR(INDEX(Paketler!$B$5:$B$24,MATCH(C1377,Paketler!$A$5:$A$24,0)),0))-1)</f>
        <v/>
      </c>
      <c r="G1377" s="17" t="str">
        <f aca="false">IF(F1377="","",IFERROR(INDEX(Paketler!$C$5:$C$24,MATCH(C1377,Paketler!$A$5:$A$24,0)),0))</f>
        <v/>
      </c>
      <c r="H1377" s="17" t="str">
        <f aca="false">IF(F1377="","",G1377-E1377)</f>
        <v/>
      </c>
      <c r="I1377" s="18" t="str">
        <f aca="true">IF(F1377="","",F1377-TODAY())</f>
        <v/>
      </c>
      <c r="J1377" s="19" t="str">
        <f aca="true">IF(F1377="","",IF(TODAY()&lt;D1377,"Başlamadı",IF(TODAY()&gt;F1377,"Bitti",IF(F1377-TODAY()&lt;=7,"Bitiyor","Aktif"))))</f>
        <v/>
      </c>
      <c r="K1377" s="19" t="str">
        <f aca="false">IF(OR(J1377="Aktif",J1377="Bitiyor"),F1377+ROW()/1000000,"")</f>
        <v/>
      </c>
    </row>
    <row r="1378" customFormat="false" ht="15" hidden="false" customHeight="false" outlineLevel="0" collapsed="false">
      <c r="A1378" s="12"/>
      <c r="B1378" s="12"/>
      <c r="C1378" s="13"/>
      <c r="D1378" s="14"/>
      <c r="E1378" s="15"/>
      <c r="F1378" s="16" t="str">
        <f aca="false">IF(OR(C1378="",D1378=""),"",EDATE(D1378,IFERROR(INDEX(Paketler!$B$5:$B$24,MATCH(C1378,Paketler!$A$5:$A$24,0)),0))-1)</f>
        <v/>
      </c>
      <c r="G1378" s="17" t="str">
        <f aca="false">IF(F1378="","",IFERROR(INDEX(Paketler!$C$5:$C$24,MATCH(C1378,Paketler!$A$5:$A$24,0)),0))</f>
        <v/>
      </c>
      <c r="H1378" s="17" t="str">
        <f aca="false">IF(F1378="","",G1378-E1378)</f>
        <v/>
      </c>
      <c r="I1378" s="18" t="str">
        <f aca="true">IF(F1378="","",F1378-TODAY())</f>
        <v/>
      </c>
      <c r="J1378" s="19" t="str">
        <f aca="true">IF(F1378="","",IF(TODAY()&lt;D1378,"Başlamadı",IF(TODAY()&gt;F1378,"Bitti",IF(F1378-TODAY()&lt;=7,"Bitiyor","Aktif"))))</f>
        <v/>
      </c>
      <c r="K1378" s="19" t="str">
        <f aca="false">IF(OR(J1378="Aktif",J1378="Bitiyor"),F1378+ROW()/1000000,"")</f>
        <v/>
      </c>
    </row>
    <row r="1379" customFormat="false" ht="15" hidden="false" customHeight="false" outlineLevel="0" collapsed="false">
      <c r="A1379" s="12"/>
      <c r="B1379" s="12"/>
      <c r="C1379" s="13"/>
      <c r="D1379" s="14"/>
      <c r="E1379" s="15"/>
      <c r="F1379" s="16" t="str">
        <f aca="false">IF(OR(C1379="",D1379=""),"",EDATE(D1379,IFERROR(INDEX(Paketler!$B$5:$B$24,MATCH(C1379,Paketler!$A$5:$A$24,0)),0))-1)</f>
        <v/>
      </c>
      <c r="G1379" s="17" t="str">
        <f aca="false">IF(F1379="","",IFERROR(INDEX(Paketler!$C$5:$C$24,MATCH(C1379,Paketler!$A$5:$A$24,0)),0))</f>
        <v/>
      </c>
      <c r="H1379" s="17" t="str">
        <f aca="false">IF(F1379="","",G1379-E1379)</f>
        <v/>
      </c>
      <c r="I1379" s="18" t="str">
        <f aca="true">IF(F1379="","",F1379-TODAY())</f>
        <v/>
      </c>
      <c r="J1379" s="19" t="str">
        <f aca="true">IF(F1379="","",IF(TODAY()&lt;D1379,"Başlamadı",IF(TODAY()&gt;F1379,"Bitti",IF(F1379-TODAY()&lt;=7,"Bitiyor","Aktif"))))</f>
        <v/>
      </c>
      <c r="K1379" s="19" t="str">
        <f aca="false">IF(OR(J1379="Aktif",J1379="Bitiyor"),F1379+ROW()/1000000,"")</f>
        <v/>
      </c>
    </row>
    <row r="1380" customFormat="false" ht="15" hidden="false" customHeight="false" outlineLevel="0" collapsed="false">
      <c r="A1380" s="12"/>
      <c r="B1380" s="12"/>
      <c r="C1380" s="13"/>
      <c r="D1380" s="14"/>
      <c r="E1380" s="15"/>
      <c r="F1380" s="16" t="str">
        <f aca="false">IF(OR(C1380="",D1380=""),"",EDATE(D1380,IFERROR(INDEX(Paketler!$B$5:$B$24,MATCH(C1380,Paketler!$A$5:$A$24,0)),0))-1)</f>
        <v/>
      </c>
      <c r="G1380" s="17" t="str">
        <f aca="false">IF(F1380="","",IFERROR(INDEX(Paketler!$C$5:$C$24,MATCH(C1380,Paketler!$A$5:$A$24,0)),0))</f>
        <v/>
      </c>
      <c r="H1380" s="17" t="str">
        <f aca="false">IF(F1380="","",G1380-E1380)</f>
        <v/>
      </c>
      <c r="I1380" s="18" t="str">
        <f aca="true">IF(F1380="","",F1380-TODAY())</f>
        <v/>
      </c>
      <c r="J1380" s="19" t="str">
        <f aca="true">IF(F1380="","",IF(TODAY()&lt;D1380,"Başlamadı",IF(TODAY()&gt;F1380,"Bitti",IF(F1380-TODAY()&lt;=7,"Bitiyor","Aktif"))))</f>
        <v/>
      </c>
      <c r="K1380" s="19" t="str">
        <f aca="false">IF(OR(J1380="Aktif",J1380="Bitiyor"),F1380+ROW()/1000000,"")</f>
        <v/>
      </c>
    </row>
    <row r="1381" customFormat="false" ht="15" hidden="false" customHeight="false" outlineLevel="0" collapsed="false">
      <c r="A1381" s="12"/>
      <c r="B1381" s="12"/>
      <c r="C1381" s="13"/>
      <c r="D1381" s="14"/>
      <c r="E1381" s="15"/>
      <c r="F1381" s="16" t="str">
        <f aca="false">IF(OR(C1381="",D1381=""),"",EDATE(D1381,IFERROR(INDEX(Paketler!$B$5:$B$24,MATCH(C1381,Paketler!$A$5:$A$24,0)),0))-1)</f>
        <v/>
      </c>
      <c r="G1381" s="17" t="str">
        <f aca="false">IF(F1381="","",IFERROR(INDEX(Paketler!$C$5:$C$24,MATCH(C1381,Paketler!$A$5:$A$24,0)),0))</f>
        <v/>
      </c>
      <c r="H1381" s="17" t="str">
        <f aca="false">IF(F1381="","",G1381-E1381)</f>
        <v/>
      </c>
      <c r="I1381" s="18" t="str">
        <f aca="true">IF(F1381="","",F1381-TODAY())</f>
        <v/>
      </c>
      <c r="J1381" s="19" t="str">
        <f aca="true">IF(F1381="","",IF(TODAY()&lt;D1381,"Başlamadı",IF(TODAY()&gt;F1381,"Bitti",IF(F1381-TODAY()&lt;=7,"Bitiyor","Aktif"))))</f>
        <v/>
      </c>
      <c r="K1381" s="19" t="str">
        <f aca="false">IF(OR(J1381="Aktif",J1381="Bitiyor"),F1381+ROW()/1000000,"")</f>
        <v/>
      </c>
    </row>
    <row r="1382" customFormat="false" ht="15" hidden="false" customHeight="false" outlineLevel="0" collapsed="false">
      <c r="A1382" s="12"/>
      <c r="B1382" s="12"/>
      <c r="C1382" s="13"/>
      <c r="D1382" s="14"/>
      <c r="E1382" s="15"/>
      <c r="F1382" s="16" t="str">
        <f aca="false">IF(OR(C1382="",D1382=""),"",EDATE(D1382,IFERROR(INDEX(Paketler!$B$5:$B$24,MATCH(C1382,Paketler!$A$5:$A$24,0)),0))-1)</f>
        <v/>
      </c>
      <c r="G1382" s="17" t="str">
        <f aca="false">IF(F1382="","",IFERROR(INDEX(Paketler!$C$5:$C$24,MATCH(C1382,Paketler!$A$5:$A$24,0)),0))</f>
        <v/>
      </c>
      <c r="H1382" s="17" t="str">
        <f aca="false">IF(F1382="","",G1382-E1382)</f>
        <v/>
      </c>
      <c r="I1382" s="18" t="str">
        <f aca="true">IF(F1382="","",F1382-TODAY())</f>
        <v/>
      </c>
      <c r="J1382" s="19" t="str">
        <f aca="true">IF(F1382="","",IF(TODAY()&lt;D1382,"Başlamadı",IF(TODAY()&gt;F1382,"Bitti",IF(F1382-TODAY()&lt;=7,"Bitiyor","Aktif"))))</f>
        <v/>
      </c>
      <c r="K1382" s="19" t="str">
        <f aca="false">IF(OR(J1382="Aktif",J1382="Bitiyor"),F1382+ROW()/1000000,"")</f>
        <v/>
      </c>
    </row>
    <row r="1383" customFormat="false" ht="15" hidden="false" customHeight="false" outlineLevel="0" collapsed="false">
      <c r="A1383" s="12"/>
      <c r="B1383" s="12"/>
      <c r="C1383" s="13"/>
      <c r="D1383" s="14"/>
      <c r="E1383" s="15"/>
      <c r="F1383" s="16" t="str">
        <f aca="false">IF(OR(C1383="",D1383=""),"",EDATE(D1383,IFERROR(INDEX(Paketler!$B$5:$B$24,MATCH(C1383,Paketler!$A$5:$A$24,0)),0))-1)</f>
        <v/>
      </c>
      <c r="G1383" s="17" t="str">
        <f aca="false">IF(F1383="","",IFERROR(INDEX(Paketler!$C$5:$C$24,MATCH(C1383,Paketler!$A$5:$A$24,0)),0))</f>
        <v/>
      </c>
      <c r="H1383" s="17" t="str">
        <f aca="false">IF(F1383="","",G1383-E1383)</f>
        <v/>
      </c>
      <c r="I1383" s="18" t="str">
        <f aca="true">IF(F1383="","",F1383-TODAY())</f>
        <v/>
      </c>
      <c r="J1383" s="19" t="str">
        <f aca="true">IF(F1383="","",IF(TODAY()&lt;D1383,"Başlamadı",IF(TODAY()&gt;F1383,"Bitti",IF(F1383-TODAY()&lt;=7,"Bitiyor","Aktif"))))</f>
        <v/>
      </c>
      <c r="K1383" s="19" t="str">
        <f aca="false">IF(OR(J1383="Aktif",J1383="Bitiyor"),F1383+ROW()/1000000,"")</f>
        <v/>
      </c>
    </row>
    <row r="1384" customFormat="false" ht="15" hidden="false" customHeight="false" outlineLevel="0" collapsed="false">
      <c r="A1384" s="12"/>
      <c r="B1384" s="12"/>
      <c r="C1384" s="13"/>
      <c r="D1384" s="14"/>
      <c r="E1384" s="15"/>
      <c r="F1384" s="16" t="str">
        <f aca="false">IF(OR(C1384="",D1384=""),"",EDATE(D1384,IFERROR(INDEX(Paketler!$B$5:$B$24,MATCH(C1384,Paketler!$A$5:$A$24,0)),0))-1)</f>
        <v/>
      </c>
      <c r="G1384" s="17" t="str">
        <f aca="false">IF(F1384="","",IFERROR(INDEX(Paketler!$C$5:$C$24,MATCH(C1384,Paketler!$A$5:$A$24,0)),0))</f>
        <v/>
      </c>
      <c r="H1384" s="17" t="str">
        <f aca="false">IF(F1384="","",G1384-E1384)</f>
        <v/>
      </c>
      <c r="I1384" s="18" t="str">
        <f aca="true">IF(F1384="","",F1384-TODAY())</f>
        <v/>
      </c>
      <c r="J1384" s="19" t="str">
        <f aca="true">IF(F1384="","",IF(TODAY()&lt;D1384,"Başlamadı",IF(TODAY()&gt;F1384,"Bitti",IF(F1384-TODAY()&lt;=7,"Bitiyor","Aktif"))))</f>
        <v/>
      </c>
      <c r="K1384" s="19" t="str">
        <f aca="false">IF(OR(J1384="Aktif",J1384="Bitiyor"),F1384+ROW()/1000000,"")</f>
        <v/>
      </c>
    </row>
    <row r="1385" customFormat="false" ht="15" hidden="false" customHeight="false" outlineLevel="0" collapsed="false">
      <c r="A1385" s="12"/>
      <c r="B1385" s="12"/>
      <c r="C1385" s="13"/>
      <c r="D1385" s="14"/>
      <c r="E1385" s="15"/>
      <c r="F1385" s="16" t="str">
        <f aca="false">IF(OR(C1385="",D1385=""),"",EDATE(D1385,IFERROR(INDEX(Paketler!$B$5:$B$24,MATCH(C1385,Paketler!$A$5:$A$24,0)),0))-1)</f>
        <v/>
      </c>
      <c r="G1385" s="17" t="str">
        <f aca="false">IF(F1385="","",IFERROR(INDEX(Paketler!$C$5:$C$24,MATCH(C1385,Paketler!$A$5:$A$24,0)),0))</f>
        <v/>
      </c>
      <c r="H1385" s="17" t="str">
        <f aca="false">IF(F1385="","",G1385-E1385)</f>
        <v/>
      </c>
      <c r="I1385" s="18" t="str">
        <f aca="true">IF(F1385="","",F1385-TODAY())</f>
        <v/>
      </c>
      <c r="J1385" s="19" t="str">
        <f aca="true">IF(F1385="","",IF(TODAY()&lt;D1385,"Başlamadı",IF(TODAY()&gt;F1385,"Bitti",IF(F1385-TODAY()&lt;=7,"Bitiyor","Aktif"))))</f>
        <v/>
      </c>
      <c r="K1385" s="19" t="str">
        <f aca="false">IF(OR(J1385="Aktif",J1385="Bitiyor"),F1385+ROW()/1000000,"")</f>
        <v/>
      </c>
    </row>
    <row r="1386" customFormat="false" ht="15" hidden="false" customHeight="false" outlineLevel="0" collapsed="false">
      <c r="A1386" s="12"/>
      <c r="B1386" s="12"/>
      <c r="C1386" s="13"/>
      <c r="D1386" s="14"/>
      <c r="E1386" s="15"/>
      <c r="F1386" s="16" t="str">
        <f aca="false">IF(OR(C1386="",D1386=""),"",EDATE(D1386,IFERROR(INDEX(Paketler!$B$5:$B$24,MATCH(C1386,Paketler!$A$5:$A$24,0)),0))-1)</f>
        <v/>
      </c>
      <c r="G1386" s="17" t="str">
        <f aca="false">IF(F1386="","",IFERROR(INDEX(Paketler!$C$5:$C$24,MATCH(C1386,Paketler!$A$5:$A$24,0)),0))</f>
        <v/>
      </c>
      <c r="H1386" s="17" t="str">
        <f aca="false">IF(F1386="","",G1386-E1386)</f>
        <v/>
      </c>
      <c r="I1386" s="18" t="str">
        <f aca="true">IF(F1386="","",F1386-TODAY())</f>
        <v/>
      </c>
      <c r="J1386" s="19" t="str">
        <f aca="true">IF(F1386="","",IF(TODAY()&lt;D1386,"Başlamadı",IF(TODAY()&gt;F1386,"Bitti",IF(F1386-TODAY()&lt;=7,"Bitiyor","Aktif"))))</f>
        <v/>
      </c>
      <c r="K1386" s="19" t="str">
        <f aca="false">IF(OR(J1386="Aktif",J1386="Bitiyor"),F1386+ROW()/1000000,"")</f>
        <v/>
      </c>
    </row>
    <row r="1387" customFormat="false" ht="15" hidden="false" customHeight="false" outlineLevel="0" collapsed="false">
      <c r="A1387" s="12"/>
      <c r="B1387" s="12"/>
      <c r="C1387" s="13"/>
      <c r="D1387" s="14"/>
      <c r="E1387" s="15"/>
      <c r="F1387" s="16" t="str">
        <f aca="false">IF(OR(C1387="",D1387=""),"",EDATE(D1387,IFERROR(INDEX(Paketler!$B$5:$B$24,MATCH(C1387,Paketler!$A$5:$A$24,0)),0))-1)</f>
        <v/>
      </c>
      <c r="G1387" s="17" t="str">
        <f aca="false">IF(F1387="","",IFERROR(INDEX(Paketler!$C$5:$C$24,MATCH(C1387,Paketler!$A$5:$A$24,0)),0))</f>
        <v/>
      </c>
      <c r="H1387" s="17" t="str">
        <f aca="false">IF(F1387="","",G1387-E1387)</f>
        <v/>
      </c>
      <c r="I1387" s="18" t="str">
        <f aca="true">IF(F1387="","",F1387-TODAY())</f>
        <v/>
      </c>
      <c r="J1387" s="19" t="str">
        <f aca="true">IF(F1387="","",IF(TODAY()&lt;D1387,"Başlamadı",IF(TODAY()&gt;F1387,"Bitti",IF(F1387-TODAY()&lt;=7,"Bitiyor","Aktif"))))</f>
        <v/>
      </c>
      <c r="K1387" s="19" t="str">
        <f aca="false">IF(OR(J1387="Aktif",J1387="Bitiyor"),F1387+ROW()/1000000,"")</f>
        <v/>
      </c>
    </row>
    <row r="1388" customFormat="false" ht="15" hidden="false" customHeight="false" outlineLevel="0" collapsed="false">
      <c r="A1388" s="12"/>
      <c r="B1388" s="12"/>
      <c r="C1388" s="13"/>
      <c r="D1388" s="14"/>
      <c r="E1388" s="15"/>
      <c r="F1388" s="16" t="str">
        <f aca="false">IF(OR(C1388="",D1388=""),"",EDATE(D1388,IFERROR(INDEX(Paketler!$B$5:$B$24,MATCH(C1388,Paketler!$A$5:$A$24,0)),0))-1)</f>
        <v/>
      </c>
      <c r="G1388" s="17" t="str">
        <f aca="false">IF(F1388="","",IFERROR(INDEX(Paketler!$C$5:$C$24,MATCH(C1388,Paketler!$A$5:$A$24,0)),0))</f>
        <v/>
      </c>
      <c r="H1388" s="17" t="str">
        <f aca="false">IF(F1388="","",G1388-E1388)</f>
        <v/>
      </c>
      <c r="I1388" s="18" t="str">
        <f aca="true">IF(F1388="","",F1388-TODAY())</f>
        <v/>
      </c>
      <c r="J1388" s="19" t="str">
        <f aca="true">IF(F1388="","",IF(TODAY()&lt;D1388,"Başlamadı",IF(TODAY()&gt;F1388,"Bitti",IF(F1388-TODAY()&lt;=7,"Bitiyor","Aktif"))))</f>
        <v/>
      </c>
      <c r="K1388" s="19" t="str">
        <f aca="false">IF(OR(J1388="Aktif",J1388="Bitiyor"),F1388+ROW()/1000000,"")</f>
        <v/>
      </c>
    </row>
    <row r="1389" customFormat="false" ht="15" hidden="false" customHeight="false" outlineLevel="0" collapsed="false">
      <c r="A1389" s="12"/>
      <c r="B1389" s="12"/>
      <c r="C1389" s="13"/>
      <c r="D1389" s="14"/>
      <c r="E1389" s="15"/>
      <c r="F1389" s="16" t="str">
        <f aca="false">IF(OR(C1389="",D1389=""),"",EDATE(D1389,IFERROR(INDEX(Paketler!$B$5:$B$24,MATCH(C1389,Paketler!$A$5:$A$24,0)),0))-1)</f>
        <v/>
      </c>
      <c r="G1389" s="17" t="str">
        <f aca="false">IF(F1389="","",IFERROR(INDEX(Paketler!$C$5:$C$24,MATCH(C1389,Paketler!$A$5:$A$24,0)),0))</f>
        <v/>
      </c>
      <c r="H1389" s="17" t="str">
        <f aca="false">IF(F1389="","",G1389-E1389)</f>
        <v/>
      </c>
      <c r="I1389" s="18" t="str">
        <f aca="true">IF(F1389="","",F1389-TODAY())</f>
        <v/>
      </c>
      <c r="J1389" s="19" t="str">
        <f aca="true">IF(F1389="","",IF(TODAY()&lt;D1389,"Başlamadı",IF(TODAY()&gt;F1389,"Bitti",IF(F1389-TODAY()&lt;=7,"Bitiyor","Aktif"))))</f>
        <v/>
      </c>
      <c r="K1389" s="19" t="str">
        <f aca="false">IF(OR(J1389="Aktif",J1389="Bitiyor"),F1389+ROW()/1000000,"")</f>
        <v/>
      </c>
    </row>
    <row r="1390" customFormat="false" ht="15" hidden="false" customHeight="false" outlineLevel="0" collapsed="false">
      <c r="A1390" s="12"/>
      <c r="B1390" s="12"/>
      <c r="C1390" s="13"/>
      <c r="D1390" s="14"/>
      <c r="E1390" s="15"/>
      <c r="F1390" s="16" t="str">
        <f aca="false">IF(OR(C1390="",D1390=""),"",EDATE(D1390,IFERROR(INDEX(Paketler!$B$5:$B$24,MATCH(C1390,Paketler!$A$5:$A$24,0)),0))-1)</f>
        <v/>
      </c>
      <c r="G1390" s="17" t="str">
        <f aca="false">IF(F1390="","",IFERROR(INDEX(Paketler!$C$5:$C$24,MATCH(C1390,Paketler!$A$5:$A$24,0)),0))</f>
        <v/>
      </c>
      <c r="H1390" s="17" t="str">
        <f aca="false">IF(F1390="","",G1390-E1390)</f>
        <v/>
      </c>
      <c r="I1390" s="18" t="str">
        <f aca="true">IF(F1390="","",F1390-TODAY())</f>
        <v/>
      </c>
      <c r="J1390" s="19" t="str">
        <f aca="true">IF(F1390="","",IF(TODAY()&lt;D1390,"Başlamadı",IF(TODAY()&gt;F1390,"Bitti",IF(F1390-TODAY()&lt;=7,"Bitiyor","Aktif"))))</f>
        <v/>
      </c>
      <c r="K1390" s="19" t="str">
        <f aca="false">IF(OR(J1390="Aktif",J1390="Bitiyor"),F1390+ROW()/1000000,"")</f>
        <v/>
      </c>
    </row>
    <row r="1391" customFormat="false" ht="15" hidden="false" customHeight="false" outlineLevel="0" collapsed="false">
      <c r="A1391" s="12"/>
      <c r="B1391" s="12"/>
      <c r="C1391" s="13"/>
      <c r="D1391" s="14"/>
      <c r="E1391" s="15"/>
      <c r="F1391" s="16" t="str">
        <f aca="false">IF(OR(C1391="",D1391=""),"",EDATE(D1391,IFERROR(INDEX(Paketler!$B$5:$B$24,MATCH(C1391,Paketler!$A$5:$A$24,0)),0))-1)</f>
        <v/>
      </c>
      <c r="G1391" s="17" t="str">
        <f aca="false">IF(F1391="","",IFERROR(INDEX(Paketler!$C$5:$C$24,MATCH(C1391,Paketler!$A$5:$A$24,0)),0))</f>
        <v/>
      </c>
      <c r="H1391" s="17" t="str">
        <f aca="false">IF(F1391="","",G1391-E1391)</f>
        <v/>
      </c>
      <c r="I1391" s="18" t="str">
        <f aca="true">IF(F1391="","",F1391-TODAY())</f>
        <v/>
      </c>
      <c r="J1391" s="19" t="str">
        <f aca="true">IF(F1391="","",IF(TODAY()&lt;D1391,"Başlamadı",IF(TODAY()&gt;F1391,"Bitti",IF(F1391-TODAY()&lt;=7,"Bitiyor","Aktif"))))</f>
        <v/>
      </c>
      <c r="K1391" s="19" t="str">
        <f aca="false">IF(OR(J1391="Aktif",J1391="Bitiyor"),F1391+ROW()/1000000,"")</f>
        <v/>
      </c>
    </row>
    <row r="1392" customFormat="false" ht="15" hidden="false" customHeight="false" outlineLevel="0" collapsed="false">
      <c r="A1392" s="12"/>
      <c r="B1392" s="12"/>
      <c r="C1392" s="13"/>
      <c r="D1392" s="14"/>
      <c r="E1392" s="15"/>
      <c r="F1392" s="16" t="str">
        <f aca="false">IF(OR(C1392="",D1392=""),"",EDATE(D1392,IFERROR(INDEX(Paketler!$B$5:$B$24,MATCH(C1392,Paketler!$A$5:$A$24,0)),0))-1)</f>
        <v/>
      </c>
      <c r="G1392" s="17" t="str">
        <f aca="false">IF(F1392="","",IFERROR(INDEX(Paketler!$C$5:$C$24,MATCH(C1392,Paketler!$A$5:$A$24,0)),0))</f>
        <v/>
      </c>
      <c r="H1392" s="17" t="str">
        <f aca="false">IF(F1392="","",G1392-E1392)</f>
        <v/>
      </c>
      <c r="I1392" s="18" t="str">
        <f aca="true">IF(F1392="","",F1392-TODAY())</f>
        <v/>
      </c>
      <c r="J1392" s="19" t="str">
        <f aca="true">IF(F1392="","",IF(TODAY()&lt;D1392,"Başlamadı",IF(TODAY()&gt;F1392,"Bitti",IF(F1392-TODAY()&lt;=7,"Bitiyor","Aktif"))))</f>
        <v/>
      </c>
      <c r="K1392" s="19" t="str">
        <f aca="false">IF(OR(J1392="Aktif",J1392="Bitiyor"),F1392+ROW()/1000000,"")</f>
        <v/>
      </c>
    </row>
    <row r="1393" customFormat="false" ht="15" hidden="false" customHeight="false" outlineLevel="0" collapsed="false">
      <c r="A1393" s="12"/>
      <c r="B1393" s="12"/>
      <c r="C1393" s="13"/>
      <c r="D1393" s="14"/>
      <c r="E1393" s="15"/>
      <c r="F1393" s="16" t="str">
        <f aca="false">IF(OR(C1393="",D1393=""),"",EDATE(D1393,IFERROR(INDEX(Paketler!$B$5:$B$24,MATCH(C1393,Paketler!$A$5:$A$24,0)),0))-1)</f>
        <v/>
      </c>
      <c r="G1393" s="17" t="str">
        <f aca="false">IF(F1393="","",IFERROR(INDEX(Paketler!$C$5:$C$24,MATCH(C1393,Paketler!$A$5:$A$24,0)),0))</f>
        <v/>
      </c>
      <c r="H1393" s="17" t="str">
        <f aca="false">IF(F1393="","",G1393-E1393)</f>
        <v/>
      </c>
      <c r="I1393" s="18" t="str">
        <f aca="true">IF(F1393="","",F1393-TODAY())</f>
        <v/>
      </c>
      <c r="J1393" s="19" t="str">
        <f aca="true">IF(F1393="","",IF(TODAY()&lt;D1393,"Başlamadı",IF(TODAY()&gt;F1393,"Bitti",IF(F1393-TODAY()&lt;=7,"Bitiyor","Aktif"))))</f>
        <v/>
      </c>
      <c r="K1393" s="19" t="str">
        <f aca="false">IF(OR(J1393="Aktif",J1393="Bitiyor"),F1393+ROW()/1000000,"")</f>
        <v/>
      </c>
    </row>
    <row r="1394" customFormat="false" ht="15" hidden="false" customHeight="false" outlineLevel="0" collapsed="false">
      <c r="A1394" s="12"/>
      <c r="B1394" s="12"/>
      <c r="C1394" s="13"/>
      <c r="D1394" s="14"/>
      <c r="E1394" s="15"/>
      <c r="F1394" s="16" t="str">
        <f aca="false">IF(OR(C1394="",D1394=""),"",EDATE(D1394,IFERROR(INDEX(Paketler!$B$5:$B$24,MATCH(C1394,Paketler!$A$5:$A$24,0)),0))-1)</f>
        <v/>
      </c>
      <c r="G1394" s="17" t="str">
        <f aca="false">IF(F1394="","",IFERROR(INDEX(Paketler!$C$5:$C$24,MATCH(C1394,Paketler!$A$5:$A$24,0)),0))</f>
        <v/>
      </c>
      <c r="H1394" s="17" t="str">
        <f aca="false">IF(F1394="","",G1394-E1394)</f>
        <v/>
      </c>
      <c r="I1394" s="18" t="str">
        <f aca="true">IF(F1394="","",F1394-TODAY())</f>
        <v/>
      </c>
      <c r="J1394" s="19" t="str">
        <f aca="true">IF(F1394="","",IF(TODAY()&lt;D1394,"Başlamadı",IF(TODAY()&gt;F1394,"Bitti",IF(F1394-TODAY()&lt;=7,"Bitiyor","Aktif"))))</f>
        <v/>
      </c>
      <c r="K1394" s="19" t="str">
        <f aca="false">IF(OR(J1394="Aktif",J1394="Bitiyor"),F1394+ROW()/1000000,"")</f>
        <v/>
      </c>
    </row>
    <row r="1395" customFormat="false" ht="15" hidden="false" customHeight="false" outlineLevel="0" collapsed="false">
      <c r="A1395" s="12"/>
      <c r="B1395" s="12"/>
      <c r="C1395" s="13"/>
      <c r="D1395" s="14"/>
      <c r="E1395" s="15"/>
      <c r="F1395" s="16" t="str">
        <f aca="false">IF(OR(C1395="",D1395=""),"",EDATE(D1395,IFERROR(INDEX(Paketler!$B$5:$B$24,MATCH(C1395,Paketler!$A$5:$A$24,0)),0))-1)</f>
        <v/>
      </c>
      <c r="G1395" s="17" t="str">
        <f aca="false">IF(F1395="","",IFERROR(INDEX(Paketler!$C$5:$C$24,MATCH(C1395,Paketler!$A$5:$A$24,0)),0))</f>
        <v/>
      </c>
      <c r="H1395" s="17" t="str">
        <f aca="false">IF(F1395="","",G1395-E1395)</f>
        <v/>
      </c>
      <c r="I1395" s="18" t="str">
        <f aca="true">IF(F1395="","",F1395-TODAY())</f>
        <v/>
      </c>
      <c r="J1395" s="19" t="str">
        <f aca="true">IF(F1395="","",IF(TODAY()&lt;D1395,"Başlamadı",IF(TODAY()&gt;F1395,"Bitti",IF(F1395-TODAY()&lt;=7,"Bitiyor","Aktif"))))</f>
        <v/>
      </c>
      <c r="K1395" s="19" t="str">
        <f aca="false">IF(OR(J1395="Aktif",J1395="Bitiyor"),F1395+ROW()/1000000,"")</f>
        <v/>
      </c>
    </row>
    <row r="1396" customFormat="false" ht="15" hidden="false" customHeight="false" outlineLevel="0" collapsed="false">
      <c r="A1396" s="12"/>
      <c r="B1396" s="12"/>
      <c r="C1396" s="13"/>
      <c r="D1396" s="14"/>
      <c r="E1396" s="15"/>
      <c r="F1396" s="16" t="str">
        <f aca="false">IF(OR(C1396="",D1396=""),"",EDATE(D1396,IFERROR(INDEX(Paketler!$B$5:$B$24,MATCH(C1396,Paketler!$A$5:$A$24,0)),0))-1)</f>
        <v/>
      </c>
      <c r="G1396" s="17" t="str">
        <f aca="false">IF(F1396="","",IFERROR(INDEX(Paketler!$C$5:$C$24,MATCH(C1396,Paketler!$A$5:$A$24,0)),0))</f>
        <v/>
      </c>
      <c r="H1396" s="17" t="str">
        <f aca="false">IF(F1396="","",G1396-E1396)</f>
        <v/>
      </c>
      <c r="I1396" s="18" t="str">
        <f aca="true">IF(F1396="","",F1396-TODAY())</f>
        <v/>
      </c>
      <c r="J1396" s="19" t="str">
        <f aca="true">IF(F1396="","",IF(TODAY()&lt;D1396,"Başlamadı",IF(TODAY()&gt;F1396,"Bitti",IF(F1396-TODAY()&lt;=7,"Bitiyor","Aktif"))))</f>
        <v/>
      </c>
      <c r="K1396" s="19" t="str">
        <f aca="false">IF(OR(J1396="Aktif",J1396="Bitiyor"),F1396+ROW()/1000000,"")</f>
        <v/>
      </c>
    </row>
    <row r="1397" customFormat="false" ht="15" hidden="false" customHeight="false" outlineLevel="0" collapsed="false">
      <c r="A1397" s="12"/>
      <c r="B1397" s="12"/>
      <c r="C1397" s="13"/>
      <c r="D1397" s="14"/>
      <c r="E1397" s="15"/>
      <c r="F1397" s="16" t="str">
        <f aca="false">IF(OR(C1397="",D1397=""),"",EDATE(D1397,IFERROR(INDEX(Paketler!$B$5:$B$24,MATCH(C1397,Paketler!$A$5:$A$24,0)),0))-1)</f>
        <v/>
      </c>
      <c r="G1397" s="17" t="str">
        <f aca="false">IF(F1397="","",IFERROR(INDEX(Paketler!$C$5:$C$24,MATCH(C1397,Paketler!$A$5:$A$24,0)),0))</f>
        <v/>
      </c>
      <c r="H1397" s="17" t="str">
        <f aca="false">IF(F1397="","",G1397-E1397)</f>
        <v/>
      </c>
      <c r="I1397" s="18" t="str">
        <f aca="true">IF(F1397="","",F1397-TODAY())</f>
        <v/>
      </c>
      <c r="J1397" s="19" t="str">
        <f aca="true">IF(F1397="","",IF(TODAY()&lt;D1397,"Başlamadı",IF(TODAY()&gt;F1397,"Bitti",IF(F1397-TODAY()&lt;=7,"Bitiyor","Aktif"))))</f>
        <v/>
      </c>
      <c r="K1397" s="19" t="str">
        <f aca="false">IF(OR(J1397="Aktif",J1397="Bitiyor"),F1397+ROW()/1000000,"")</f>
        <v/>
      </c>
    </row>
    <row r="1398" customFormat="false" ht="15" hidden="false" customHeight="false" outlineLevel="0" collapsed="false">
      <c r="A1398" s="12"/>
      <c r="B1398" s="12"/>
      <c r="C1398" s="13"/>
      <c r="D1398" s="14"/>
      <c r="E1398" s="15"/>
      <c r="F1398" s="16" t="str">
        <f aca="false">IF(OR(C1398="",D1398=""),"",EDATE(D1398,IFERROR(INDEX(Paketler!$B$5:$B$24,MATCH(C1398,Paketler!$A$5:$A$24,0)),0))-1)</f>
        <v/>
      </c>
      <c r="G1398" s="17" t="str">
        <f aca="false">IF(F1398="","",IFERROR(INDEX(Paketler!$C$5:$C$24,MATCH(C1398,Paketler!$A$5:$A$24,0)),0))</f>
        <v/>
      </c>
      <c r="H1398" s="17" t="str">
        <f aca="false">IF(F1398="","",G1398-E1398)</f>
        <v/>
      </c>
      <c r="I1398" s="18" t="str">
        <f aca="true">IF(F1398="","",F1398-TODAY())</f>
        <v/>
      </c>
      <c r="J1398" s="19" t="str">
        <f aca="true">IF(F1398="","",IF(TODAY()&lt;D1398,"Başlamadı",IF(TODAY()&gt;F1398,"Bitti",IF(F1398-TODAY()&lt;=7,"Bitiyor","Aktif"))))</f>
        <v/>
      </c>
      <c r="K1398" s="19" t="str">
        <f aca="false">IF(OR(J1398="Aktif",J1398="Bitiyor"),F1398+ROW()/1000000,"")</f>
        <v/>
      </c>
    </row>
    <row r="1399" customFormat="false" ht="15" hidden="false" customHeight="false" outlineLevel="0" collapsed="false">
      <c r="A1399" s="12"/>
      <c r="B1399" s="12"/>
      <c r="C1399" s="13"/>
      <c r="D1399" s="14"/>
      <c r="E1399" s="15"/>
      <c r="F1399" s="16" t="str">
        <f aca="false">IF(OR(C1399="",D1399=""),"",EDATE(D1399,IFERROR(INDEX(Paketler!$B$5:$B$24,MATCH(C1399,Paketler!$A$5:$A$24,0)),0))-1)</f>
        <v/>
      </c>
      <c r="G1399" s="17" t="str">
        <f aca="false">IF(F1399="","",IFERROR(INDEX(Paketler!$C$5:$C$24,MATCH(C1399,Paketler!$A$5:$A$24,0)),0))</f>
        <v/>
      </c>
      <c r="H1399" s="17" t="str">
        <f aca="false">IF(F1399="","",G1399-E1399)</f>
        <v/>
      </c>
      <c r="I1399" s="18" t="str">
        <f aca="true">IF(F1399="","",F1399-TODAY())</f>
        <v/>
      </c>
      <c r="J1399" s="19" t="str">
        <f aca="true">IF(F1399="","",IF(TODAY()&lt;D1399,"Başlamadı",IF(TODAY()&gt;F1399,"Bitti",IF(F1399-TODAY()&lt;=7,"Bitiyor","Aktif"))))</f>
        <v/>
      </c>
      <c r="K1399" s="19" t="str">
        <f aca="false">IF(OR(J1399="Aktif",J1399="Bitiyor"),F1399+ROW()/1000000,"")</f>
        <v/>
      </c>
    </row>
    <row r="1400" customFormat="false" ht="15" hidden="false" customHeight="false" outlineLevel="0" collapsed="false">
      <c r="A1400" s="12"/>
      <c r="B1400" s="12"/>
      <c r="C1400" s="13"/>
      <c r="D1400" s="14"/>
      <c r="E1400" s="15"/>
      <c r="F1400" s="16" t="str">
        <f aca="false">IF(OR(C1400="",D1400=""),"",EDATE(D1400,IFERROR(INDEX(Paketler!$B$5:$B$24,MATCH(C1400,Paketler!$A$5:$A$24,0)),0))-1)</f>
        <v/>
      </c>
      <c r="G1400" s="17" t="str">
        <f aca="false">IF(F1400="","",IFERROR(INDEX(Paketler!$C$5:$C$24,MATCH(C1400,Paketler!$A$5:$A$24,0)),0))</f>
        <v/>
      </c>
      <c r="H1400" s="17" t="str">
        <f aca="false">IF(F1400="","",G1400-E1400)</f>
        <v/>
      </c>
      <c r="I1400" s="18" t="str">
        <f aca="true">IF(F1400="","",F1400-TODAY())</f>
        <v/>
      </c>
      <c r="J1400" s="19" t="str">
        <f aca="true">IF(F1400="","",IF(TODAY()&lt;D1400,"Başlamadı",IF(TODAY()&gt;F1400,"Bitti",IF(F1400-TODAY()&lt;=7,"Bitiyor","Aktif"))))</f>
        <v/>
      </c>
      <c r="K1400" s="19" t="str">
        <f aca="false">IF(OR(J1400="Aktif",J1400="Bitiyor"),F1400+ROW()/1000000,"")</f>
        <v/>
      </c>
    </row>
    <row r="1401" customFormat="false" ht="15" hidden="false" customHeight="false" outlineLevel="0" collapsed="false">
      <c r="A1401" s="12"/>
      <c r="B1401" s="12"/>
      <c r="C1401" s="13"/>
      <c r="D1401" s="14"/>
      <c r="E1401" s="15"/>
      <c r="F1401" s="16" t="str">
        <f aca="false">IF(OR(C1401="",D1401=""),"",EDATE(D1401,IFERROR(INDEX(Paketler!$B$5:$B$24,MATCH(C1401,Paketler!$A$5:$A$24,0)),0))-1)</f>
        <v/>
      </c>
      <c r="G1401" s="17" t="str">
        <f aca="false">IF(F1401="","",IFERROR(INDEX(Paketler!$C$5:$C$24,MATCH(C1401,Paketler!$A$5:$A$24,0)),0))</f>
        <v/>
      </c>
      <c r="H1401" s="17" t="str">
        <f aca="false">IF(F1401="","",G1401-E1401)</f>
        <v/>
      </c>
      <c r="I1401" s="18" t="str">
        <f aca="true">IF(F1401="","",F1401-TODAY())</f>
        <v/>
      </c>
      <c r="J1401" s="19" t="str">
        <f aca="true">IF(F1401="","",IF(TODAY()&lt;D1401,"Başlamadı",IF(TODAY()&gt;F1401,"Bitti",IF(F1401-TODAY()&lt;=7,"Bitiyor","Aktif"))))</f>
        <v/>
      </c>
      <c r="K1401" s="19" t="str">
        <f aca="false">IF(OR(J1401="Aktif",J1401="Bitiyor"),F1401+ROW()/1000000,"")</f>
        <v/>
      </c>
    </row>
    <row r="1402" customFormat="false" ht="15" hidden="false" customHeight="false" outlineLevel="0" collapsed="false">
      <c r="A1402" s="12"/>
      <c r="B1402" s="12"/>
      <c r="C1402" s="13"/>
      <c r="D1402" s="14"/>
      <c r="E1402" s="15"/>
      <c r="F1402" s="16" t="str">
        <f aca="false">IF(OR(C1402="",D1402=""),"",EDATE(D1402,IFERROR(INDEX(Paketler!$B$5:$B$24,MATCH(C1402,Paketler!$A$5:$A$24,0)),0))-1)</f>
        <v/>
      </c>
      <c r="G1402" s="17" t="str">
        <f aca="false">IF(F1402="","",IFERROR(INDEX(Paketler!$C$5:$C$24,MATCH(C1402,Paketler!$A$5:$A$24,0)),0))</f>
        <v/>
      </c>
      <c r="H1402" s="17" t="str">
        <f aca="false">IF(F1402="","",G1402-E1402)</f>
        <v/>
      </c>
      <c r="I1402" s="18" t="str">
        <f aca="true">IF(F1402="","",F1402-TODAY())</f>
        <v/>
      </c>
      <c r="J1402" s="19" t="str">
        <f aca="true">IF(F1402="","",IF(TODAY()&lt;D1402,"Başlamadı",IF(TODAY()&gt;F1402,"Bitti",IF(F1402-TODAY()&lt;=7,"Bitiyor","Aktif"))))</f>
        <v/>
      </c>
      <c r="K1402" s="19" t="str">
        <f aca="false">IF(OR(J1402="Aktif",J1402="Bitiyor"),F1402+ROW()/1000000,"")</f>
        <v/>
      </c>
    </row>
    <row r="1403" customFormat="false" ht="15" hidden="false" customHeight="false" outlineLevel="0" collapsed="false">
      <c r="A1403" s="12"/>
      <c r="B1403" s="12"/>
      <c r="C1403" s="13"/>
      <c r="D1403" s="14"/>
      <c r="E1403" s="15"/>
      <c r="F1403" s="16" t="str">
        <f aca="false">IF(OR(C1403="",D1403=""),"",EDATE(D1403,IFERROR(INDEX(Paketler!$B$5:$B$24,MATCH(C1403,Paketler!$A$5:$A$24,0)),0))-1)</f>
        <v/>
      </c>
      <c r="G1403" s="17" t="str">
        <f aca="false">IF(F1403="","",IFERROR(INDEX(Paketler!$C$5:$C$24,MATCH(C1403,Paketler!$A$5:$A$24,0)),0))</f>
        <v/>
      </c>
      <c r="H1403" s="17" t="str">
        <f aca="false">IF(F1403="","",G1403-E1403)</f>
        <v/>
      </c>
      <c r="I1403" s="18" t="str">
        <f aca="true">IF(F1403="","",F1403-TODAY())</f>
        <v/>
      </c>
      <c r="J1403" s="19" t="str">
        <f aca="true">IF(F1403="","",IF(TODAY()&lt;D1403,"Başlamadı",IF(TODAY()&gt;F1403,"Bitti",IF(F1403-TODAY()&lt;=7,"Bitiyor","Aktif"))))</f>
        <v/>
      </c>
      <c r="K1403" s="19" t="str">
        <f aca="false">IF(OR(J1403="Aktif",J1403="Bitiyor"),F1403+ROW()/1000000,"")</f>
        <v/>
      </c>
    </row>
    <row r="1404" customFormat="false" ht="15" hidden="false" customHeight="false" outlineLevel="0" collapsed="false">
      <c r="A1404" s="12"/>
      <c r="B1404" s="12"/>
      <c r="C1404" s="13"/>
      <c r="D1404" s="14"/>
      <c r="E1404" s="15"/>
      <c r="F1404" s="16" t="str">
        <f aca="false">IF(OR(C1404="",D1404=""),"",EDATE(D1404,IFERROR(INDEX(Paketler!$B$5:$B$24,MATCH(C1404,Paketler!$A$5:$A$24,0)),0))-1)</f>
        <v/>
      </c>
      <c r="G1404" s="17" t="str">
        <f aca="false">IF(F1404="","",IFERROR(INDEX(Paketler!$C$5:$C$24,MATCH(C1404,Paketler!$A$5:$A$24,0)),0))</f>
        <v/>
      </c>
      <c r="H1404" s="17" t="str">
        <f aca="false">IF(F1404="","",G1404-E1404)</f>
        <v/>
      </c>
      <c r="I1404" s="18" t="str">
        <f aca="true">IF(F1404="","",F1404-TODAY())</f>
        <v/>
      </c>
      <c r="J1404" s="19" t="str">
        <f aca="true">IF(F1404="","",IF(TODAY()&lt;D1404,"Başlamadı",IF(TODAY()&gt;F1404,"Bitti",IF(F1404-TODAY()&lt;=7,"Bitiyor","Aktif"))))</f>
        <v/>
      </c>
      <c r="K1404" s="19" t="str">
        <f aca="false">IF(OR(J1404="Aktif",J1404="Bitiyor"),F1404+ROW()/1000000,"")</f>
        <v/>
      </c>
    </row>
    <row r="1405" customFormat="false" ht="15" hidden="false" customHeight="false" outlineLevel="0" collapsed="false">
      <c r="A1405" s="12"/>
      <c r="B1405" s="12"/>
      <c r="C1405" s="13"/>
      <c r="D1405" s="14"/>
      <c r="E1405" s="15"/>
      <c r="F1405" s="16" t="str">
        <f aca="false">IF(OR(C1405="",D1405=""),"",EDATE(D1405,IFERROR(INDEX(Paketler!$B$5:$B$24,MATCH(C1405,Paketler!$A$5:$A$24,0)),0))-1)</f>
        <v/>
      </c>
      <c r="G1405" s="17" t="str">
        <f aca="false">IF(F1405="","",IFERROR(INDEX(Paketler!$C$5:$C$24,MATCH(C1405,Paketler!$A$5:$A$24,0)),0))</f>
        <v/>
      </c>
      <c r="H1405" s="17" t="str">
        <f aca="false">IF(F1405="","",G1405-E1405)</f>
        <v/>
      </c>
      <c r="I1405" s="18" t="str">
        <f aca="true">IF(F1405="","",F1405-TODAY())</f>
        <v/>
      </c>
      <c r="J1405" s="19" t="str">
        <f aca="true">IF(F1405="","",IF(TODAY()&lt;D1405,"Başlamadı",IF(TODAY()&gt;F1405,"Bitti",IF(F1405-TODAY()&lt;=7,"Bitiyor","Aktif"))))</f>
        <v/>
      </c>
      <c r="K1405" s="19" t="str">
        <f aca="false">IF(OR(J1405="Aktif",J1405="Bitiyor"),F1405+ROW()/1000000,"")</f>
        <v/>
      </c>
    </row>
    <row r="1406" customFormat="false" ht="15" hidden="false" customHeight="false" outlineLevel="0" collapsed="false">
      <c r="A1406" s="12"/>
      <c r="B1406" s="12"/>
      <c r="C1406" s="13"/>
      <c r="D1406" s="14"/>
      <c r="E1406" s="15"/>
      <c r="F1406" s="16" t="str">
        <f aca="false">IF(OR(C1406="",D1406=""),"",EDATE(D1406,IFERROR(INDEX(Paketler!$B$5:$B$24,MATCH(C1406,Paketler!$A$5:$A$24,0)),0))-1)</f>
        <v/>
      </c>
      <c r="G1406" s="17" t="str">
        <f aca="false">IF(F1406="","",IFERROR(INDEX(Paketler!$C$5:$C$24,MATCH(C1406,Paketler!$A$5:$A$24,0)),0))</f>
        <v/>
      </c>
      <c r="H1406" s="17" t="str">
        <f aca="false">IF(F1406="","",G1406-E1406)</f>
        <v/>
      </c>
      <c r="I1406" s="18" t="str">
        <f aca="true">IF(F1406="","",F1406-TODAY())</f>
        <v/>
      </c>
      <c r="J1406" s="19" t="str">
        <f aca="true">IF(F1406="","",IF(TODAY()&lt;D1406,"Başlamadı",IF(TODAY()&gt;F1406,"Bitti",IF(F1406-TODAY()&lt;=7,"Bitiyor","Aktif"))))</f>
        <v/>
      </c>
      <c r="K1406" s="19" t="str">
        <f aca="false">IF(OR(J1406="Aktif",J1406="Bitiyor"),F1406+ROW()/1000000,"")</f>
        <v/>
      </c>
    </row>
    <row r="1407" customFormat="false" ht="15" hidden="false" customHeight="false" outlineLevel="0" collapsed="false">
      <c r="A1407" s="12"/>
      <c r="B1407" s="12"/>
      <c r="C1407" s="13"/>
      <c r="D1407" s="14"/>
      <c r="E1407" s="15"/>
      <c r="F1407" s="16" t="str">
        <f aca="false">IF(OR(C1407="",D1407=""),"",EDATE(D1407,IFERROR(INDEX(Paketler!$B$5:$B$24,MATCH(C1407,Paketler!$A$5:$A$24,0)),0))-1)</f>
        <v/>
      </c>
      <c r="G1407" s="17" t="str">
        <f aca="false">IF(F1407="","",IFERROR(INDEX(Paketler!$C$5:$C$24,MATCH(C1407,Paketler!$A$5:$A$24,0)),0))</f>
        <v/>
      </c>
      <c r="H1407" s="17" t="str">
        <f aca="false">IF(F1407="","",G1407-E1407)</f>
        <v/>
      </c>
      <c r="I1407" s="18" t="str">
        <f aca="true">IF(F1407="","",F1407-TODAY())</f>
        <v/>
      </c>
      <c r="J1407" s="19" t="str">
        <f aca="true">IF(F1407="","",IF(TODAY()&lt;D1407,"Başlamadı",IF(TODAY()&gt;F1407,"Bitti",IF(F1407-TODAY()&lt;=7,"Bitiyor","Aktif"))))</f>
        <v/>
      </c>
      <c r="K1407" s="19" t="str">
        <f aca="false">IF(OR(J1407="Aktif",J1407="Bitiyor"),F1407+ROW()/1000000,"")</f>
        <v/>
      </c>
    </row>
    <row r="1408" customFormat="false" ht="15" hidden="false" customHeight="false" outlineLevel="0" collapsed="false">
      <c r="A1408" s="12"/>
      <c r="B1408" s="12"/>
      <c r="C1408" s="13"/>
      <c r="D1408" s="14"/>
      <c r="E1408" s="15"/>
      <c r="F1408" s="16" t="str">
        <f aca="false">IF(OR(C1408="",D1408=""),"",EDATE(D1408,IFERROR(INDEX(Paketler!$B$5:$B$24,MATCH(C1408,Paketler!$A$5:$A$24,0)),0))-1)</f>
        <v/>
      </c>
      <c r="G1408" s="17" t="str">
        <f aca="false">IF(F1408="","",IFERROR(INDEX(Paketler!$C$5:$C$24,MATCH(C1408,Paketler!$A$5:$A$24,0)),0))</f>
        <v/>
      </c>
      <c r="H1408" s="17" t="str">
        <f aca="false">IF(F1408="","",G1408-E1408)</f>
        <v/>
      </c>
      <c r="I1408" s="18" t="str">
        <f aca="true">IF(F1408="","",F1408-TODAY())</f>
        <v/>
      </c>
      <c r="J1408" s="19" t="str">
        <f aca="true">IF(F1408="","",IF(TODAY()&lt;D1408,"Başlamadı",IF(TODAY()&gt;F1408,"Bitti",IF(F1408-TODAY()&lt;=7,"Bitiyor","Aktif"))))</f>
        <v/>
      </c>
      <c r="K1408" s="19" t="str">
        <f aca="false">IF(OR(J1408="Aktif",J1408="Bitiyor"),F1408+ROW()/1000000,"")</f>
        <v/>
      </c>
    </row>
    <row r="1409" customFormat="false" ht="15" hidden="false" customHeight="false" outlineLevel="0" collapsed="false">
      <c r="A1409" s="12"/>
      <c r="B1409" s="12"/>
      <c r="C1409" s="13"/>
      <c r="D1409" s="14"/>
      <c r="E1409" s="15"/>
      <c r="F1409" s="16" t="str">
        <f aca="false">IF(OR(C1409="",D1409=""),"",EDATE(D1409,IFERROR(INDEX(Paketler!$B$5:$B$24,MATCH(C1409,Paketler!$A$5:$A$24,0)),0))-1)</f>
        <v/>
      </c>
      <c r="G1409" s="17" t="str">
        <f aca="false">IF(F1409="","",IFERROR(INDEX(Paketler!$C$5:$C$24,MATCH(C1409,Paketler!$A$5:$A$24,0)),0))</f>
        <v/>
      </c>
      <c r="H1409" s="17" t="str">
        <f aca="false">IF(F1409="","",G1409-E1409)</f>
        <v/>
      </c>
      <c r="I1409" s="18" t="str">
        <f aca="true">IF(F1409="","",F1409-TODAY())</f>
        <v/>
      </c>
      <c r="J1409" s="19" t="str">
        <f aca="true">IF(F1409="","",IF(TODAY()&lt;D1409,"Başlamadı",IF(TODAY()&gt;F1409,"Bitti",IF(F1409-TODAY()&lt;=7,"Bitiyor","Aktif"))))</f>
        <v/>
      </c>
      <c r="K1409" s="19" t="str">
        <f aca="false">IF(OR(J1409="Aktif",J1409="Bitiyor"),F1409+ROW()/1000000,"")</f>
        <v/>
      </c>
    </row>
    <row r="1410" customFormat="false" ht="15" hidden="false" customHeight="false" outlineLevel="0" collapsed="false">
      <c r="A1410" s="12"/>
      <c r="B1410" s="12"/>
      <c r="C1410" s="13"/>
      <c r="D1410" s="14"/>
      <c r="E1410" s="15"/>
      <c r="F1410" s="16" t="str">
        <f aca="false">IF(OR(C1410="",D1410=""),"",EDATE(D1410,IFERROR(INDEX(Paketler!$B$5:$B$24,MATCH(C1410,Paketler!$A$5:$A$24,0)),0))-1)</f>
        <v/>
      </c>
      <c r="G1410" s="17" t="str">
        <f aca="false">IF(F1410="","",IFERROR(INDEX(Paketler!$C$5:$C$24,MATCH(C1410,Paketler!$A$5:$A$24,0)),0))</f>
        <v/>
      </c>
      <c r="H1410" s="17" t="str">
        <f aca="false">IF(F1410="","",G1410-E1410)</f>
        <v/>
      </c>
      <c r="I1410" s="18" t="str">
        <f aca="true">IF(F1410="","",F1410-TODAY())</f>
        <v/>
      </c>
      <c r="J1410" s="19" t="str">
        <f aca="true">IF(F1410="","",IF(TODAY()&lt;D1410,"Başlamadı",IF(TODAY()&gt;F1410,"Bitti",IF(F1410-TODAY()&lt;=7,"Bitiyor","Aktif"))))</f>
        <v/>
      </c>
      <c r="K1410" s="19" t="str">
        <f aca="false">IF(OR(J1410="Aktif",J1410="Bitiyor"),F1410+ROW()/1000000,"")</f>
        <v/>
      </c>
    </row>
    <row r="1411" customFormat="false" ht="15" hidden="false" customHeight="false" outlineLevel="0" collapsed="false">
      <c r="A1411" s="12"/>
      <c r="B1411" s="12"/>
      <c r="C1411" s="13"/>
      <c r="D1411" s="14"/>
      <c r="E1411" s="15"/>
      <c r="F1411" s="16" t="str">
        <f aca="false">IF(OR(C1411="",D1411=""),"",EDATE(D1411,IFERROR(INDEX(Paketler!$B$5:$B$24,MATCH(C1411,Paketler!$A$5:$A$24,0)),0))-1)</f>
        <v/>
      </c>
      <c r="G1411" s="17" t="str">
        <f aca="false">IF(F1411="","",IFERROR(INDEX(Paketler!$C$5:$C$24,MATCH(C1411,Paketler!$A$5:$A$24,0)),0))</f>
        <v/>
      </c>
      <c r="H1411" s="17" t="str">
        <f aca="false">IF(F1411="","",G1411-E1411)</f>
        <v/>
      </c>
      <c r="I1411" s="18" t="str">
        <f aca="true">IF(F1411="","",F1411-TODAY())</f>
        <v/>
      </c>
      <c r="J1411" s="19" t="str">
        <f aca="true">IF(F1411="","",IF(TODAY()&lt;D1411,"Başlamadı",IF(TODAY()&gt;F1411,"Bitti",IF(F1411-TODAY()&lt;=7,"Bitiyor","Aktif"))))</f>
        <v/>
      </c>
      <c r="K1411" s="19" t="str">
        <f aca="false">IF(OR(J1411="Aktif",J1411="Bitiyor"),F1411+ROW()/1000000,"")</f>
        <v/>
      </c>
    </row>
    <row r="1412" customFormat="false" ht="15" hidden="false" customHeight="false" outlineLevel="0" collapsed="false">
      <c r="A1412" s="12"/>
      <c r="B1412" s="12"/>
      <c r="C1412" s="13"/>
      <c r="D1412" s="14"/>
      <c r="E1412" s="15"/>
      <c r="F1412" s="16" t="str">
        <f aca="false">IF(OR(C1412="",D1412=""),"",EDATE(D1412,IFERROR(INDEX(Paketler!$B$5:$B$24,MATCH(C1412,Paketler!$A$5:$A$24,0)),0))-1)</f>
        <v/>
      </c>
      <c r="G1412" s="17" t="str">
        <f aca="false">IF(F1412="","",IFERROR(INDEX(Paketler!$C$5:$C$24,MATCH(C1412,Paketler!$A$5:$A$24,0)),0))</f>
        <v/>
      </c>
      <c r="H1412" s="17" t="str">
        <f aca="false">IF(F1412="","",G1412-E1412)</f>
        <v/>
      </c>
      <c r="I1412" s="18" t="str">
        <f aca="true">IF(F1412="","",F1412-TODAY())</f>
        <v/>
      </c>
      <c r="J1412" s="19" t="str">
        <f aca="true">IF(F1412="","",IF(TODAY()&lt;D1412,"Başlamadı",IF(TODAY()&gt;F1412,"Bitti",IF(F1412-TODAY()&lt;=7,"Bitiyor","Aktif"))))</f>
        <v/>
      </c>
      <c r="K1412" s="19" t="str">
        <f aca="false">IF(OR(J1412="Aktif",J1412="Bitiyor"),F1412+ROW()/1000000,"")</f>
        <v/>
      </c>
    </row>
    <row r="1413" customFormat="false" ht="15" hidden="false" customHeight="false" outlineLevel="0" collapsed="false">
      <c r="A1413" s="12"/>
      <c r="B1413" s="12"/>
      <c r="C1413" s="13"/>
      <c r="D1413" s="14"/>
      <c r="E1413" s="15"/>
      <c r="F1413" s="16" t="str">
        <f aca="false">IF(OR(C1413="",D1413=""),"",EDATE(D1413,IFERROR(INDEX(Paketler!$B$5:$B$24,MATCH(C1413,Paketler!$A$5:$A$24,0)),0))-1)</f>
        <v/>
      </c>
      <c r="G1413" s="17" t="str">
        <f aca="false">IF(F1413="","",IFERROR(INDEX(Paketler!$C$5:$C$24,MATCH(C1413,Paketler!$A$5:$A$24,0)),0))</f>
        <v/>
      </c>
      <c r="H1413" s="17" t="str">
        <f aca="false">IF(F1413="","",G1413-E1413)</f>
        <v/>
      </c>
      <c r="I1413" s="18" t="str">
        <f aca="true">IF(F1413="","",F1413-TODAY())</f>
        <v/>
      </c>
      <c r="J1413" s="19" t="str">
        <f aca="true">IF(F1413="","",IF(TODAY()&lt;D1413,"Başlamadı",IF(TODAY()&gt;F1413,"Bitti",IF(F1413-TODAY()&lt;=7,"Bitiyor","Aktif"))))</f>
        <v/>
      </c>
      <c r="K1413" s="19" t="str">
        <f aca="false">IF(OR(J1413="Aktif",J1413="Bitiyor"),F1413+ROW()/1000000,"")</f>
        <v/>
      </c>
    </row>
    <row r="1414" customFormat="false" ht="15" hidden="false" customHeight="false" outlineLevel="0" collapsed="false">
      <c r="A1414" s="12"/>
      <c r="B1414" s="12"/>
      <c r="C1414" s="13"/>
      <c r="D1414" s="14"/>
      <c r="E1414" s="15"/>
      <c r="F1414" s="16" t="str">
        <f aca="false">IF(OR(C1414="",D1414=""),"",EDATE(D1414,IFERROR(INDEX(Paketler!$B$5:$B$24,MATCH(C1414,Paketler!$A$5:$A$24,0)),0))-1)</f>
        <v/>
      </c>
      <c r="G1414" s="17" t="str">
        <f aca="false">IF(F1414="","",IFERROR(INDEX(Paketler!$C$5:$C$24,MATCH(C1414,Paketler!$A$5:$A$24,0)),0))</f>
        <v/>
      </c>
      <c r="H1414" s="17" t="str">
        <f aca="false">IF(F1414="","",G1414-E1414)</f>
        <v/>
      </c>
      <c r="I1414" s="18" t="str">
        <f aca="true">IF(F1414="","",F1414-TODAY())</f>
        <v/>
      </c>
      <c r="J1414" s="19" t="str">
        <f aca="true">IF(F1414="","",IF(TODAY()&lt;D1414,"Başlamadı",IF(TODAY()&gt;F1414,"Bitti",IF(F1414-TODAY()&lt;=7,"Bitiyor","Aktif"))))</f>
        <v/>
      </c>
      <c r="K1414" s="19" t="str">
        <f aca="false">IF(OR(J1414="Aktif",J1414="Bitiyor"),F1414+ROW()/1000000,"")</f>
        <v/>
      </c>
    </row>
    <row r="1415" customFormat="false" ht="15" hidden="false" customHeight="false" outlineLevel="0" collapsed="false">
      <c r="A1415" s="12"/>
      <c r="B1415" s="12"/>
      <c r="C1415" s="13"/>
      <c r="D1415" s="14"/>
      <c r="E1415" s="15"/>
      <c r="F1415" s="16" t="str">
        <f aca="false">IF(OR(C1415="",D1415=""),"",EDATE(D1415,IFERROR(INDEX(Paketler!$B$5:$B$24,MATCH(C1415,Paketler!$A$5:$A$24,0)),0))-1)</f>
        <v/>
      </c>
      <c r="G1415" s="17" t="str">
        <f aca="false">IF(F1415="","",IFERROR(INDEX(Paketler!$C$5:$C$24,MATCH(C1415,Paketler!$A$5:$A$24,0)),0))</f>
        <v/>
      </c>
      <c r="H1415" s="17" t="str">
        <f aca="false">IF(F1415="","",G1415-E1415)</f>
        <v/>
      </c>
      <c r="I1415" s="18" t="str">
        <f aca="true">IF(F1415="","",F1415-TODAY())</f>
        <v/>
      </c>
      <c r="J1415" s="19" t="str">
        <f aca="true">IF(F1415="","",IF(TODAY()&lt;D1415,"Başlamadı",IF(TODAY()&gt;F1415,"Bitti",IF(F1415-TODAY()&lt;=7,"Bitiyor","Aktif"))))</f>
        <v/>
      </c>
      <c r="K1415" s="19" t="str">
        <f aca="false">IF(OR(J1415="Aktif",J1415="Bitiyor"),F1415+ROW()/1000000,"")</f>
        <v/>
      </c>
    </row>
    <row r="1416" customFormat="false" ht="15" hidden="false" customHeight="false" outlineLevel="0" collapsed="false">
      <c r="A1416" s="12"/>
      <c r="B1416" s="12"/>
      <c r="C1416" s="13"/>
      <c r="D1416" s="14"/>
      <c r="E1416" s="15"/>
      <c r="F1416" s="16" t="str">
        <f aca="false">IF(OR(C1416="",D1416=""),"",EDATE(D1416,IFERROR(INDEX(Paketler!$B$5:$B$24,MATCH(C1416,Paketler!$A$5:$A$24,0)),0))-1)</f>
        <v/>
      </c>
      <c r="G1416" s="17" t="str">
        <f aca="false">IF(F1416="","",IFERROR(INDEX(Paketler!$C$5:$C$24,MATCH(C1416,Paketler!$A$5:$A$24,0)),0))</f>
        <v/>
      </c>
      <c r="H1416" s="17" t="str">
        <f aca="false">IF(F1416="","",G1416-E1416)</f>
        <v/>
      </c>
      <c r="I1416" s="18" t="str">
        <f aca="true">IF(F1416="","",F1416-TODAY())</f>
        <v/>
      </c>
      <c r="J1416" s="19" t="str">
        <f aca="true">IF(F1416="","",IF(TODAY()&lt;D1416,"Başlamadı",IF(TODAY()&gt;F1416,"Bitti",IF(F1416-TODAY()&lt;=7,"Bitiyor","Aktif"))))</f>
        <v/>
      </c>
      <c r="K1416" s="19" t="str">
        <f aca="false">IF(OR(J1416="Aktif",J1416="Bitiyor"),F1416+ROW()/1000000,"")</f>
        <v/>
      </c>
    </row>
    <row r="1417" customFormat="false" ht="15" hidden="false" customHeight="false" outlineLevel="0" collapsed="false">
      <c r="A1417" s="12"/>
      <c r="B1417" s="12"/>
      <c r="C1417" s="13"/>
      <c r="D1417" s="14"/>
      <c r="E1417" s="15"/>
      <c r="F1417" s="16" t="str">
        <f aca="false">IF(OR(C1417="",D1417=""),"",EDATE(D1417,IFERROR(INDEX(Paketler!$B$5:$B$24,MATCH(C1417,Paketler!$A$5:$A$24,0)),0))-1)</f>
        <v/>
      </c>
      <c r="G1417" s="17" t="str">
        <f aca="false">IF(F1417="","",IFERROR(INDEX(Paketler!$C$5:$C$24,MATCH(C1417,Paketler!$A$5:$A$24,0)),0))</f>
        <v/>
      </c>
      <c r="H1417" s="17" t="str">
        <f aca="false">IF(F1417="","",G1417-E1417)</f>
        <v/>
      </c>
      <c r="I1417" s="18" t="str">
        <f aca="true">IF(F1417="","",F1417-TODAY())</f>
        <v/>
      </c>
      <c r="J1417" s="19" t="str">
        <f aca="true">IF(F1417="","",IF(TODAY()&lt;D1417,"Başlamadı",IF(TODAY()&gt;F1417,"Bitti",IF(F1417-TODAY()&lt;=7,"Bitiyor","Aktif"))))</f>
        <v/>
      </c>
      <c r="K1417" s="19" t="str">
        <f aca="false">IF(OR(J1417="Aktif",J1417="Bitiyor"),F1417+ROW()/1000000,"")</f>
        <v/>
      </c>
    </row>
    <row r="1418" customFormat="false" ht="15" hidden="false" customHeight="false" outlineLevel="0" collapsed="false">
      <c r="A1418" s="12"/>
      <c r="B1418" s="12"/>
      <c r="C1418" s="13"/>
      <c r="D1418" s="14"/>
      <c r="E1418" s="15"/>
      <c r="F1418" s="16" t="str">
        <f aca="false">IF(OR(C1418="",D1418=""),"",EDATE(D1418,IFERROR(INDEX(Paketler!$B$5:$B$24,MATCH(C1418,Paketler!$A$5:$A$24,0)),0))-1)</f>
        <v/>
      </c>
      <c r="G1418" s="17" t="str">
        <f aca="false">IF(F1418="","",IFERROR(INDEX(Paketler!$C$5:$C$24,MATCH(C1418,Paketler!$A$5:$A$24,0)),0))</f>
        <v/>
      </c>
      <c r="H1418" s="17" t="str">
        <f aca="false">IF(F1418="","",G1418-E1418)</f>
        <v/>
      </c>
      <c r="I1418" s="18" t="str">
        <f aca="true">IF(F1418="","",F1418-TODAY())</f>
        <v/>
      </c>
      <c r="J1418" s="19" t="str">
        <f aca="true">IF(F1418="","",IF(TODAY()&lt;D1418,"Başlamadı",IF(TODAY()&gt;F1418,"Bitti",IF(F1418-TODAY()&lt;=7,"Bitiyor","Aktif"))))</f>
        <v/>
      </c>
      <c r="K1418" s="19" t="str">
        <f aca="false">IF(OR(J1418="Aktif",J1418="Bitiyor"),F1418+ROW()/1000000,"")</f>
        <v/>
      </c>
    </row>
    <row r="1419" customFormat="false" ht="15" hidden="false" customHeight="false" outlineLevel="0" collapsed="false">
      <c r="A1419" s="12"/>
      <c r="B1419" s="12"/>
      <c r="C1419" s="13"/>
      <c r="D1419" s="14"/>
      <c r="E1419" s="15"/>
      <c r="F1419" s="16" t="str">
        <f aca="false">IF(OR(C1419="",D1419=""),"",EDATE(D1419,IFERROR(INDEX(Paketler!$B$5:$B$24,MATCH(C1419,Paketler!$A$5:$A$24,0)),0))-1)</f>
        <v/>
      </c>
      <c r="G1419" s="17" t="str">
        <f aca="false">IF(F1419="","",IFERROR(INDEX(Paketler!$C$5:$C$24,MATCH(C1419,Paketler!$A$5:$A$24,0)),0))</f>
        <v/>
      </c>
      <c r="H1419" s="17" t="str">
        <f aca="false">IF(F1419="","",G1419-E1419)</f>
        <v/>
      </c>
      <c r="I1419" s="18" t="str">
        <f aca="true">IF(F1419="","",F1419-TODAY())</f>
        <v/>
      </c>
      <c r="J1419" s="19" t="str">
        <f aca="true">IF(F1419="","",IF(TODAY()&lt;D1419,"Başlamadı",IF(TODAY()&gt;F1419,"Bitti",IF(F1419-TODAY()&lt;=7,"Bitiyor","Aktif"))))</f>
        <v/>
      </c>
      <c r="K1419" s="19" t="str">
        <f aca="false">IF(OR(J1419="Aktif",J1419="Bitiyor"),F1419+ROW()/1000000,"")</f>
        <v/>
      </c>
    </row>
    <row r="1420" customFormat="false" ht="15" hidden="false" customHeight="false" outlineLevel="0" collapsed="false">
      <c r="A1420" s="12"/>
      <c r="B1420" s="12"/>
      <c r="C1420" s="13"/>
      <c r="D1420" s="14"/>
      <c r="E1420" s="15"/>
      <c r="F1420" s="16" t="str">
        <f aca="false">IF(OR(C1420="",D1420=""),"",EDATE(D1420,IFERROR(INDEX(Paketler!$B$5:$B$24,MATCH(C1420,Paketler!$A$5:$A$24,0)),0))-1)</f>
        <v/>
      </c>
      <c r="G1420" s="17" t="str">
        <f aca="false">IF(F1420="","",IFERROR(INDEX(Paketler!$C$5:$C$24,MATCH(C1420,Paketler!$A$5:$A$24,0)),0))</f>
        <v/>
      </c>
      <c r="H1420" s="17" t="str">
        <f aca="false">IF(F1420="","",G1420-E1420)</f>
        <v/>
      </c>
      <c r="I1420" s="18" t="str">
        <f aca="true">IF(F1420="","",F1420-TODAY())</f>
        <v/>
      </c>
      <c r="J1420" s="19" t="str">
        <f aca="true">IF(F1420="","",IF(TODAY()&lt;D1420,"Başlamadı",IF(TODAY()&gt;F1420,"Bitti",IF(F1420-TODAY()&lt;=7,"Bitiyor","Aktif"))))</f>
        <v/>
      </c>
      <c r="K1420" s="19" t="str">
        <f aca="false">IF(OR(J1420="Aktif",J1420="Bitiyor"),F1420+ROW()/1000000,"")</f>
        <v/>
      </c>
    </row>
    <row r="1421" customFormat="false" ht="15" hidden="false" customHeight="false" outlineLevel="0" collapsed="false">
      <c r="A1421" s="12"/>
      <c r="B1421" s="12"/>
      <c r="C1421" s="13"/>
      <c r="D1421" s="14"/>
      <c r="E1421" s="15"/>
      <c r="F1421" s="16" t="str">
        <f aca="false">IF(OR(C1421="",D1421=""),"",EDATE(D1421,IFERROR(INDEX(Paketler!$B$5:$B$24,MATCH(C1421,Paketler!$A$5:$A$24,0)),0))-1)</f>
        <v/>
      </c>
      <c r="G1421" s="17" t="str">
        <f aca="false">IF(F1421="","",IFERROR(INDEX(Paketler!$C$5:$C$24,MATCH(C1421,Paketler!$A$5:$A$24,0)),0))</f>
        <v/>
      </c>
      <c r="H1421" s="17" t="str">
        <f aca="false">IF(F1421="","",G1421-E1421)</f>
        <v/>
      </c>
      <c r="I1421" s="18" t="str">
        <f aca="true">IF(F1421="","",F1421-TODAY())</f>
        <v/>
      </c>
      <c r="J1421" s="19" t="str">
        <f aca="true">IF(F1421="","",IF(TODAY()&lt;D1421,"Başlamadı",IF(TODAY()&gt;F1421,"Bitti",IF(F1421-TODAY()&lt;=7,"Bitiyor","Aktif"))))</f>
        <v/>
      </c>
      <c r="K1421" s="19" t="str">
        <f aca="false">IF(OR(J1421="Aktif",J1421="Bitiyor"),F1421+ROW()/1000000,"")</f>
        <v/>
      </c>
    </row>
    <row r="1422" customFormat="false" ht="15" hidden="false" customHeight="false" outlineLevel="0" collapsed="false">
      <c r="A1422" s="12"/>
      <c r="B1422" s="12"/>
      <c r="C1422" s="13"/>
      <c r="D1422" s="14"/>
      <c r="E1422" s="15"/>
      <c r="F1422" s="16" t="str">
        <f aca="false">IF(OR(C1422="",D1422=""),"",EDATE(D1422,IFERROR(INDEX(Paketler!$B$5:$B$24,MATCH(C1422,Paketler!$A$5:$A$24,0)),0))-1)</f>
        <v/>
      </c>
      <c r="G1422" s="17" t="str">
        <f aca="false">IF(F1422="","",IFERROR(INDEX(Paketler!$C$5:$C$24,MATCH(C1422,Paketler!$A$5:$A$24,0)),0))</f>
        <v/>
      </c>
      <c r="H1422" s="17" t="str">
        <f aca="false">IF(F1422="","",G1422-E1422)</f>
        <v/>
      </c>
      <c r="I1422" s="18" t="str">
        <f aca="true">IF(F1422="","",F1422-TODAY())</f>
        <v/>
      </c>
      <c r="J1422" s="19" t="str">
        <f aca="true">IF(F1422="","",IF(TODAY()&lt;D1422,"Başlamadı",IF(TODAY()&gt;F1422,"Bitti",IF(F1422-TODAY()&lt;=7,"Bitiyor","Aktif"))))</f>
        <v/>
      </c>
      <c r="K1422" s="19" t="str">
        <f aca="false">IF(OR(J1422="Aktif",J1422="Bitiyor"),F1422+ROW()/1000000,"")</f>
        <v/>
      </c>
    </row>
    <row r="1423" customFormat="false" ht="15" hidden="false" customHeight="false" outlineLevel="0" collapsed="false">
      <c r="A1423" s="12"/>
      <c r="B1423" s="12"/>
      <c r="C1423" s="13"/>
      <c r="D1423" s="14"/>
      <c r="E1423" s="15"/>
      <c r="F1423" s="16" t="str">
        <f aca="false">IF(OR(C1423="",D1423=""),"",EDATE(D1423,IFERROR(INDEX(Paketler!$B$5:$B$24,MATCH(C1423,Paketler!$A$5:$A$24,0)),0))-1)</f>
        <v/>
      </c>
      <c r="G1423" s="17" t="str">
        <f aca="false">IF(F1423="","",IFERROR(INDEX(Paketler!$C$5:$C$24,MATCH(C1423,Paketler!$A$5:$A$24,0)),0))</f>
        <v/>
      </c>
      <c r="H1423" s="17" t="str">
        <f aca="false">IF(F1423="","",G1423-E1423)</f>
        <v/>
      </c>
      <c r="I1423" s="18" t="str">
        <f aca="true">IF(F1423="","",F1423-TODAY())</f>
        <v/>
      </c>
      <c r="J1423" s="19" t="str">
        <f aca="true">IF(F1423="","",IF(TODAY()&lt;D1423,"Başlamadı",IF(TODAY()&gt;F1423,"Bitti",IF(F1423-TODAY()&lt;=7,"Bitiyor","Aktif"))))</f>
        <v/>
      </c>
      <c r="K1423" s="19" t="str">
        <f aca="false">IF(OR(J1423="Aktif",J1423="Bitiyor"),F1423+ROW()/1000000,"")</f>
        <v/>
      </c>
    </row>
    <row r="1424" customFormat="false" ht="15" hidden="false" customHeight="false" outlineLevel="0" collapsed="false">
      <c r="A1424" s="12"/>
      <c r="B1424" s="12"/>
      <c r="C1424" s="13"/>
      <c r="D1424" s="14"/>
      <c r="E1424" s="15"/>
      <c r="F1424" s="16" t="str">
        <f aca="false">IF(OR(C1424="",D1424=""),"",EDATE(D1424,IFERROR(INDEX(Paketler!$B$5:$B$24,MATCH(C1424,Paketler!$A$5:$A$24,0)),0))-1)</f>
        <v/>
      </c>
      <c r="G1424" s="17" t="str">
        <f aca="false">IF(F1424="","",IFERROR(INDEX(Paketler!$C$5:$C$24,MATCH(C1424,Paketler!$A$5:$A$24,0)),0))</f>
        <v/>
      </c>
      <c r="H1424" s="17" t="str">
        <f aca="false">IF(F1424="","",G1424-E1424)</f>
        <v/>
      </c>
      <c r="I1424" s="18" t="str">
        <f aca="true">IF(F1424="","",F1424-TODAY())</f>
        <v/>
      </c>
      <c r="J1424" s="19" t="str">
        <f aca="true">IF(F1424="","",IF(TODAY()&lt;D1424,"Başlamadı",IF(TODAY()&gt;F1424,"Bitti",IF(F1424-TODAY()&lt;=7,"Bitiyor","Aktif"))))</f>
        <v/>
      </c>
      <c r="K1424" s="19" t="str">
        <f aca="false">IF(OR(J1424="Aktif",J1424="Bitiyor"),F1424+ROW()/1000000,"")</f>
        <v/>
      </c>
    </row>
    <row r="1425" customFormat="false" ht="15" hidden="false" customHeight="false" outlineLevel="0" collapsed="false">
      <c r="A1425" s="12"/>
      <c r="B1425" s="12"/>
      <c r="C1425" s="13"/>
      <c r="D1425" s="14"/>
      <c r="E1425" s="15"/>
      <c r="F1425" s="16" t="str">
        <f aca="false">IF(OR(C1425="",D1425=""),"",EDATE(D1425,IFERROR(INDEX(Paketler!$B$5:$B$24,MATCH(C1425,Paketler!$A$5:$A$24,0)),0))-1)</f>
        <v/>
      </c>
      <c r="G1425" s="17" t="str">
        <f aca="false">IF(F1425="","",IFERROR(INDEX(Paketler!$C$5:$C$24,MATCH(C1425,Paketler!$A$5:$A$24,0)),0))</f>
        <v/>
      </c>
      <c r="H1425" s="17" t="str">
        <f aca="false">IF(F1425="","",G1425-E1425)</f>
        <v/>
      </c>
      <c r="I1425" s="18" t="str">
        <f aca="true">IF(F1425="","",F1425-TODAY())</f>
        <v/>
      </c>
      <c r="J1425" s="19" t="str">
        <f aca="true">IF(F1425="","",IF(TODAY()&lt;D1425,"Başlamadı",IF(TODAY()&gt;F1425,"Bitti",IF(F1425-TODAY()&lt;=7,"Bitiyor","Aktif"))))</f>
        <v/>
      </c>
      <c r="K1425" s="19" t="str">
        <f aca="false">IF(OR(J1425="Aktif",J1425="Bitiyor"),F1425+ROW()/1000000,"")</f>
        <v/>
      </c>
    </row>
    <row r="1426" customFormat="false" ht="15" hidden="false" customHeight="false" outlineLevel="0" collapsed="false">
      <c r="A1426" s="12"/>
      <c r="B1426" s="12"/>
      <c r="C1426" s="13"/>
      <c r="D1426" s="14"/>
      <c r="E1426" s="15"/>
      <c r="F1426" s="16" t="str">
        <f aca="false">IF(OR(C1426="",D1426=""),"",EDATE(D1426,IFERROR(INDEX(Paketler!$B$5:$B$24,MATCH(C1426,Paketler!$A$5:$A$24,0)),0))-1)</f>
        <v/>
      </c>
      <c r="G1426" s="17" t="str">
        <f aca="false">IF(F1426="","",IFERROR(INDEX(Paketler!$C$5:$C$24,MATCH(C1426,Paketler!$A$5:$A$24,0)),0))</f>
        <v/>
      </c>
      <c r="H1426" s="17" t="str">
        <f aca="false">IF(F1426="","",G1426-E1426)</f>
        <v/>
      </c>
      <c r="I1426" s="18" t="str">
        <f aca="true">IF(F1426="","",F1426-TODAY())</f>
        <v/>
      </c>
      <c r="J1426" s="19" t="str">
        <f aca="true">IF(F1426="","",IF(TODAY()&lt;D1426,"Başlamadı",IF(TODAY()&gt;F1426,"Bitti",IF(F1426-TODAY()&lt;=7,"Bitiyor","Aktif"))))</f>
        <v/>
      </c>
      <c r="K1426" s="19" t="str">
        <f aca="false">IF(OR(J1426="Aktif",J1426="Bitiyor"),F1426+ROW()/1000000,"")</f>
        <v/>
      </c>
    </row>
    <row r="1427" customFormat="false" ht="15" hidden="false" customHeight="false" outlineLevel="0" collapsed="false">
      <c r="A1427" s="12"/>
      <c r="B1427" s="12"/>
      <c r="C1427" s="13"/>
      <c r="D1427" s="14"/>
      <c r="E1427" s="15"/>
      <c r="F1427" s="16" t="str">
        <f aca="false">IF(OR(C1427="",D1427=""),"",EDATE(D1427,IFERROR(INDEX(Paketler!$B$5:$B$24,MATCH(C1427,Paketler!$A$5:$A$24,0)),0))-1)</f>
        <v/>
      </c>
      <c r="G1427" s="17" t="str">
        <f aca="false">IF(F1427="","",IFERROR(INDEX(Paketler!$C$5:$C$24,MATCH(C1427,Paketler!$A$5:$A$24,0)),0))</f>
        <v/>
      </c>
      <c r="H1427" s="17" t="str">
        <f aca="false">IF(F1427="","",G1427-E1427)</f>
        <v/>
      </c>
      <c r="I1427" s="18" t="str">
        <f aca="true">IF(F1427="","",F1427-TODAY())</f>
        <v/>
      </c>
      <c r="J1427" s="19" t="str">
        <f aca="true">IF(F1427="","",IF(TODAY()&lt;D1427,"Başlamadı",IF(TODAY()&gt;F1427,"Bitti",IF(F1427-TODAY()&lt;=7,"Bitiyor","Aktif"))))</f>
        <v/>
      </c>
      <c r="K1427" s="19" t="str">
        <f aca="false">IF(OR(J1427="Aktif",J1427="Bitiyor"),F1427+ROW()/1000000,"")</f>
        <v/>
      </c>
    </row>
    <row r="1428" customFormat="false" ht="15" hidden="false" customHeight="false" outlineLevel="0" collapsed="false">
      <c r="A1428" s="12"/>
      <c r="B1428" s="12"/>
      <c r="C1428" s="13"/>
      <c r="D1428" s="14"/>
      <c r="E1428" s="15"/>
      <c r="F1428" s="16" t="str">
        <f aca="false">IF(OR(C1428="",D1428=""),"",EDATE(D1428,IFERROR(INDEX(Paketler!$B$5:$B$24,MATCH(C1428,Paketler!$A$5:$A$24,0)),0))-1)</f>
        <v/>
      </c>
      <c r="G1428" s="17" t="str">
        <f aca="false">IF(F1428="","",IFERROR(INDEX(Paketler!$C$5:$C$24,MATCH(C1428,Paketler!$A$5:$A$24,0)),0))</f>
        <v/>
      </c>
      <c r="H1428" s="17" t="str">
        <f aca="false">IF(F1428="","",G1428-E1428)</f>
        <v/>
      </c>
      <c r="I1428" s="18" t="str">
        <f aca="true">IF(F1428="","",F1428-TODAY())</f>
        <v/>
      </c>
      <c r="J1428" s="19" t="str">
        <f aca="true">IF(F1428="","",IF(TODAY()&lt;D1428,"Başlamadı",IF(TODAY()&gt;F1428,"Bitti",IF(F1428-TODAY()&lt;=7,"Bitiyor","Aktif"))))</f>
        <v/>
      </c>
      <c r="K1428" s="19" t="str">
        <f aca="false">IF(OR(J1428="Aktif",J1428="Bitiyor"),F1428+ROW()/1000000,"")</f>
        <v/>
      </c>
    </row>
    <row r="1429" customFormat="false" ht="15" hidden="false" customHeight="false" outlineLevel="0" collapsed="false">
      <c r="A1429" s="12"/>
      <c r="B1429" s="12"/>
      <c r="C1429" s="13"/>
      <c r="D1429" s="14"/>
      <c r="E1429" s="15"/>
      <c r="F1429" s="16" t="str">
        <f aca="false">IF(OR(C1429="",D1429=""),"",EDATE(D1429,IFERROR(INDEX(Paketler!$B$5:$B$24,MATCH(C1429,Paketler!$A$5:$A$24,0)),0))-1)</f>
        <v/>
      </c>
      <c r="G1429" s="17" t="str">
        <f aca="false">IF(F1429="","",IFERROR(INDEX(Paketler!$C$5:$C$24,MATCH(C1429,Paketler!$A$5:$A$24,0)),0))</f>
        <v/>
      </c>
      <c r="H1429" s="17" t="str">
        <f aca="false">IF(F1429="","",G1429-E1429)</f>
        <v/>
      </c>
      <c r="I1429" s="18" t="str">
        <f aca="true">IF(F1429="","",F1429-TODAY())</f>
        <v/>
      </c>
      <c r="J1429" s="19" t="str">
        <f aca="true">IF(F1429="","",IF(TODAY()&lt;D1429,"Başlamadı",IF(TODAY()&gt;F1429,"Bitti",IF(F1429-TODAY()&lt;=7,"Bitiyor","Aktif"))))</f>
        <v/>
      </c>
      <c r="K1429" s="19" t="str">
        <f aca="false">IF(OR(J1429="Aktif",J1429="Bitiyor"),F1429+ROW()/1000000,"")</f>
        <v/>
      </c>
    </row>
    <row r="1430" customFormat="false" ht="15" hidden="false" customHeight="false" outlineLevel="0" collapsed="false">
      <c r="A1430" s="12"/>
      <c r="B1430" s="12"/>
      <c r="C1430" s="13"/>
      <c r="D1430" s="14"/>
      <c r="E1430" s="15"/>
      <c r="F1430" s="16" t="str">
        <f aca="false">IF(OR(C1430="",D1430=""),"",EDATE(D1430,IFERROR(INDEX(Paketler!$B$5:$B$24,MATCH(C1430,Paketler!$A$5:$A$24,0)),0))-1)</f>
        <v/>
      </c>
      <c r="G1430" s="17" t="str">
        <f aca="false">IF(F1430="","",IFERROR(INDEX(Paketler!$C$5:$C$24,MATCH(C1430,Paketler!$A$5:$A$24,0)),0))</f>
        <v/>
      </c>
      <c r="H1430" s="17" t="str">
        <f aca="false">IF(F1430="","",G1430-E1430)</f>
        <v/>
      </c>
      <c r="I1430" s="18" t="str">
        <f aca="true">IF(F1430="","",F1430-TODAY())</f>
        <v/>
      </c>
      <c r="J1430" s="19" t="str">
        <f aca="true">IF(F1430="","",IF(TODAY()&lt;D1430,"Başlamadı",IF(TODAY()&gt;F1430,"Bitti",IF(F1430-TODAY()&lt;=7,"Bitiyor","Aktif"))))</f>
        <v/>
      </c>
      <c r="K1430" s="19" t="str">
        <f aca="false">IF(OR(J1430="Aktif",J1430="Bitiyor"),F1430+ROW()/1000000,"")</f>
        <v/>
      </c>
    </row>
    <row r="1431" customFormat="false" ht="15" hidden="false" customHeight="false" outlineLevel="0" collapsed="false">
      <c r="A1431" s="12"/>
      <c r="B1431" s="12"/>
      <c r="C1431" s="13"/>
      <c r="D1431" s="14"/>
      <c r="E1431" s="15"/>
      <c r="F1431" s="16" t="str">
        <f aca="false">IF(OR(C1431="",D1431=""),"",EDATE(D1431,IFERROR(INDEX(Paketler!$B$5:$B$24,MATCH(C1431,Paketler!$A$5:$A$24,0)),0))-1)</f>
        <v/>
      </c>
      <c r="G1431" s="17" t="str">
        <f aca="false">IF(F1431="","",IFERROR(INDEX(Paketler!$C$5:$C$24,MATCH(C1431,Paketler!$A$5:$A$24,0)),0))</f>
        <v/>
      </c>
      <c r="H1431" s="17" t="str">
        <f aca="false">IF(F1431="","",G1431-E1431)</f>
        <v/>
      </c>
      <c r="I1431" s="18" t="str">
        <f aca="true">IF(F1431="","",F1431-TODAY())</f>
        <v/>
      </c>
      <c r="J1431" s="19" t="str">
        <f aca="true">IF(F1431="","",IF(TODAY()&lt;D1431,"Başlamadı",IF(TODAY()&gt;F1431,"Bitti",IF(F1431-TODAY()&lt;=7,"Bitiyor","Aktif"))))</f>
        <v/>
      </c>
      <c r="K1431" s="19" t="str">
        <f aca="false">IF(OR(J1431="Aktif",J1431="Bitiyor"),F1431+ROW()/1000000,"")</f>
        <v/>
      </c>
    </row>
    <row r="1432" customFormat="false" ht="15" hidden="false" customHeight="false" outlineLevel="0" collapsed="false">
      <c r="A1432" s="12"/>
      <c r="B1432" s="12"/>
      <c r="C1432" s="13"/>
      <c r="D1432" s="14"/>
      <c r="E1432" s="15"/>
      <c r="F1432" s="16" t="str">
        <f aca="false">IF(OR(C1432="",D1432=""),"",EDATE(D1432,IFERROR(INDEX(Paketler!$B$5:$B$24,MATCH(C1432,Paketler!$A$5:$A$24,0)),0))-1)</f>
        <v/>
      </c>
      <c r="G1432" s="17" t="str">
        <f aca="false">IF(F1432="","",IFERROR(INDEX(Paketler!$C$5:$C$24,MATCH(C1432,Paketler!$A$5:$A$24,0)),0))</f>
        <v/>
      </c>
      <c r="H1432" s="17" t="str">
        <f aca="false">IF(F1432="","",G1432-E1432)</f>
        <v/>
      </c>
      <c r="I1432" s="18" t="str">
        <f aca="true">IF(F1432="","",F1432-TODAY())</f>
        <v/>
      </c>
      <c r="J1432" s="19" t="str">
        <f aca="true">IF(F1432="","",IF(TODAY()&lt;D1432,"Başlamadı",IF(TODAY()&gt;F1432,"Bitti",IF(F1432-TODAY()&lt;=7,"Bitiyor","Aktif"))))</f>
        <v/>
      </c>
      <c r="K1432" s="19" t="str">
        <f aca="false">IF(OR(J1432="Aktif",J1432="Bitiyor"),F1432+ROW()/1000000,"")</f>
        <v/>
      </c>
    </row>
    <row r="1433" customFormat="false" ht="15" hidden="false" customHeight="false" outlineLevel="0" collapsed="false">
      <c r="A1433" s="12"/>
      <c r="B1433" s="12"/>
      <c r="C1433" s="13"/>
      <c r="D1433" s="14"/>
      <c r="E1433" s="15"/>
      <c r="F1433" s="16" t="str">
        <f aca="false">IF(OR(C1433="",D1433=""),"",EDATE(D1433,IFERROR(INDEX(Paketler!$B$5:$B$24,MATCH(C1433,Paketler!$A$5:$A$24,0)),0))-1)</f>
        <v/>
      </c>
      <c r="G1433" s="17" t="str">
        <f aca="false">IF(F1433="","",IFERROR(INDEX(Paketler!$C$5:$C$24,MATCH(C1433,Paketler!$A$5:$A$24,0)),0))</f>
        <v/>
      </c>
      <c r="H1433" s="17" t="str">
        <f aca="false">IF(F1433="","",G1433-E1433)</f>
        <v/>
      </c>
      <c r="I1433" s="18" t="str">
        <f aca="true">IF(F1433="","",F1433-TODAY())</f>
        <v/>
      </c>
      <c r="J1433" s="19" t="str">
        <f aca="true">IF(F1433="","",IF(TODAY()&lt;D1433,"Başlamadı",IF(TODAY()&gt;F1433,"Bitti",IF(F1433-TODAY()&lt;=7,"Bitiyor","Aktif"))))</f>
        <v/>
      </c>
      <c r="K1433" s="19" t="str">
        <f aca="false">IF(OR(J1433="Aktif",J1433="Bitiyor"),F1433+ROW()/1000000,"")</f>
        <v/>
      </c>
    </row>
    <row r="1434" customFormat="false" ht="15" hidden="false" customHeight="false" outlineLevel="0" collapsed="false">
      <c r="A1434" s="12"/>
      <c r="B1434" s="12"/>
      <c r="C1434" s="13"/>
      <c r="D1434" s="14"/>
      <c r="E1434" s="15"/>
      <c r="F1434" s="16" t="str">
        <f aca="false">IF(OR(C1434="",D1434=""),"",EDATE(D1434,IFERROR(INDEX(Paketler!$B$5:$B$24,MATCH(C1434,Paketler!$A$5:$A$24,0)),0))-1)</f>
        <v/>
      </c>
      <c r="G1434" s="17" t="str">
        <f aca="false">IF(F1434="","",IFERROR(INDEX(Paketler!$C$5:$C$24,MATCH(C1434,Paketler!$A$5:$A$24,0)),0))</f>
        <v/>
      </c>
      <c r="H1434" s="17" t="str">
        <f aca="false">IF(F1434="","",G1434-E1434)</f>
        <v/>
      </c>
      <c r="I1434" s="18" t="str">
        <f aca="true">IF(F1434="","",F1434-TODAY())</f>
        <v/>
      </c>
      <c r="J1434" s="19" t="str">
        <f aca="true">IF(F1434="","",IF(TODAY()&lt;D1434,"Başlamadı",IF(TODAY()&gt;F1434,"Bitti",IF(F1434-TODAY()&lt;=7,"Bitiyor","Aktif"))))</f>
        <v/>
      </c>
      <c r="K1434" s="19" t="str">
        <f aca="false">IF(OR(J1434="Aktif",J1434="Bitiyor"),F1434+ROW()/1000000,"")</f>
        <v/>
      </c>
    </row>
    <row r="1435" customFormat="false" ht="15" hidden="false" customHeight="false" outlineLevel="0" collapsed="false">
      <c r="A1435" s="12"/>
      <c r="B1435" s="12"/>
      <c r="C1435" s="13"/>
      <c r="D1435" s="14"/>
      <c r="E1435" s="15"/>
      <c r="F1435" s="16" t="str">
        <f aca="false">IF(OR(C1435="",D1435=""),"",EDATE(D1435,IFERROR(INDEX(Paketler!$B$5:$B$24,MATCH(C1435,Paketler!$A$5:$A$24,0)),0))-1)</f>
        <v/>
      </c>
      <c r="G1435" s="17" t="str">
        <f aca="false">IF(F1435="","",IFERROR(INDEX(Paketler!$C$5:$C$24,MATCH(C1435,Paketler!$A$5:$A$24,0)),0))</f>
        <v/>
      </c>
      <c r="H1435" s="17" t="str">
        <f aca="false">IF(F1435="","",G1435-E1435)</f>
        <v/>
      </c>
      <c r="I1435" s="18" t="str">
        <f aca="true">IF(F1435="","",F1435-TODAY())</f>
        <v/>
      </c>
      <c r="J1435" s="19" t="str">
        <f aca="true">IF(F1435="","",IF(TODAY()&lt;D1435,"Başlamadı",IF(TODAY()&gt;F1435,"Bitti",IF(F1435-TODAY()&lt;=7,"Bitiyor","Aktif"))))</f>
        <v/>
      </c>
      <c r="K1435" s="19" t="str">
        <f aca="false">IF(OR(J1435="Aktif",J1435="Bitiyor"),F1435+ROW()/1000000,"")</f>
        <v/>
      </c>
    </row>
    <row r="1436" customFormat="false" ht="15" hidden="false" customHeight="false" outlineLevel="0" collapsed="false">
      <c r="A1436" s="12"/>
      <c r="B1436" s="12"/>
      <c r="C1436" s="13"/>
      <c r="D1436" s="14"/>
      <c r="E1436" s="15"/>
      <c r="F1436" s="16" t="str">
        <f aca="false">IF(OR(C1436="",D1436=""),"",EDATE(D1436,IFERROR(INDEX(Paketler!$B$5:$B$24,MATCH(C1436,Paketler!$A$5:$A$24,0)),0))-1)</f>
        <v/>
      </c>
      <c r="G1436" s="17" t="str">
        <f aca="false">IF(F1436="","",IFERROR(INDEX(Paketler!$C$5:$C$24,MATCH(C1436,Paketler!$A$5:$A$24,0)),0))</f>
        <v/>
      </c>
      <c r="H1436" s="17" t="str">
        <f aca="false">IF(F1436="","",G1436-E1436)</f>
        <v/>
      </c>
      <c r="I1436" s="18" t="str">
        <f aca="true">IF(F1436="","",F1436-TODAY())</f>
        <v/>
      </c>
      <c r="J1436" s="19" t="str">
        <f aca="true">IF(F1436="","",IF(TODAY()&lt;D1436,"Başlamadı",IF(TODAY()&gt;F1436,"Bitti",IF(F1436-TODAY()&lt;=7,"Bitiyor","Aktif"))))</f>
        <v/>
      </c>
      <c r="K1436" s="19" t="str">
        <f aca="false">IF(OR(J1436="Aktif",J1436="Bitiyor"),F1436+ROW()/1000000,"")</f>
        <v/>
      </c>
    </row>
    <row r="1437" customFormat="false" ht="15" hidden="false" customHeight="false" outlineLevel="0" collapsed="false">
      <c r="A1437" s="12"/>
      <c r="B1437" s="12"/>
      <c r="C1437" s="13"/>
      <c r="D1437" s="14"/>
      <c r="E1437" s="15"/>
      <c r="F1437" s="16" t="str">
        <f aca="false">IF(OR(C1437="",D1437=""),"",EDATE(D1437,IFERROR(INDEX(Paketler!$B$5:$B$24,MATCH(C1437,Paketler!$A$5:$A$24,0)),0))-1)</f>
        <v/>
      </c>
      <c r="G1437" s="17" t="str">
        <f aca="false">IF(F1437="","",IFERROR(INDEX(Paketler!$C$5:$C$24,MATCH(C1437,Paketler!$A$5:$A$24,0)),0))</f>
        <v/>
      </c>
      <c r="H1437" s="17" t="str">
        <f aca="false">IF(F1437="","",G1437-E1437)</f>
        <v/>
      </c>
      <c r="I1437" s="18" t="str">
        <f aca="true">IF(F1437="","",F1437-TODAY())</f>
        <v/>
      </c>
      <c r="J1437" s="19" t="str">
        <f aca="true">IF(F1437="","",IF(TODAY()&lt;D1437,"Başlamadı",IF(TODAY()&gt;F1437,"Bitti",IF(F1437-TODAY()&lt;=7,"Bitiyor","Aktif"))))</f>
        <v/>
      </c>
      <c r="K1437" s="19" t="str">
        <f aca="false">IF(OR(J1437="Aktif",J1437="Bitiyor"),F1437+ROW()/1000000,"")</f>
        <v/>
      </c>
    </row>
    <row r="1438" customFormat="false" ht="15" hidden="false" customHeight="false" outlineLevel="0" collapsed="false">
      <c r="A1438" s="12"/>
      <c r="B1438" s="12"/>
      <c r="C1438" s="13"/>
      <c r="D1438" s="14"/>
      <c r="E1438" s="15"/>
      <c r="F1438" s="16" t="str">
        <f aca="false">IF(OR(C1438="",D1438=""),"",EDATE(D1438,IFERROR(INDEX(Paketler!$B$5:$B$24,MATCH(C1438,Paketler!$A$5:$A$24,0)),0))-1)</f>
        <v/>
      </c>
      <c r="G1438" s="17" t="str">
        <f aca="false">IF(F1438="","",IFERROR(INDEX(Paketler!$C$5:$C$24,MATCH(C1438,Paketler!$A$5:$A$24,0)),0))</f>
        <v/>
      </c>
      <c r="H1438" s="17" t="str">
        <f aca="false">IF(F1438="","",G1438-E1438)</f>
        <v/>
      </c>
      <c r="I1438" s="18" t="str">
        <f aca="true">IF(F1438="","",F1438-TODAY())</f>
        <v/>
      </c>
      <c r="J1438" s="19" t="str">
        <f aca="true">IF(F1438="","",IF(TODAY()&lt;D1438,"Başlamadı",IF(TODAY()&gt;F1438,"Bitti",IF(F1438-TODAY()&lt;=7,"Bitiyor","Aktif"))))</f>
        <v/>
      </c>
      <c r="K1438" s="19" t="str">
        <f aca="false">IF(OR(J1438="Aktif",J1438="Bitiyor"),F1438+ROW()/1000000,"")</f>
        <v/>
      </c>
    </row>
    <row r="1439" customFormat="false" ht="15" hidden="false" customHeight="false" outlineLevel="0" collapsed="false">
      <c r="A1439" s="12"/>
      <c r="B1439" s="12"/>
      <c r="C1439" s="13"/>
      <c r="D1439" s="14"/>
      <c r="E1439" s="15"/>
      <c r="F1439" s="16" t="str">
        <f aca="false">IF(OR(C1439="",D1439=""),"",EDATE(D1439,IFERROR(INDEX(Paketler!$B$5:$B$24,MATCH(C1439,Paketler!$A$5:$A$24,0)),0))-1)</f>
        <v/>
      </c>
      <c r="G1439" s="17" t="str">
        <f aca="false">IF(F1439="","",IFERROR(INDEX(Paketler!$C$5:$C$24,MATCH(C1439,Paketler!$A$5:$A$24,0)),0))</f>
        <v/>
      </c>
      <c r="H1439" s="17" t="str">
        <f aca="false">IF(F1439="","",G1439-E1439)</f>
        <v/>
      </c>
      <c r="I1439" s="18" t="str">
        <f aca="true">IF(F1439="","",F1439-TODAY())</f>
        <v/>
      </c>
      <c r="J1439" s="19" t="str">
        <f aca="true">IF(F1439="","",IF(TODAY()&lt;D1439,"Başlamadı",IF(TODAY()&gt;F1439,"Bitti",IF(F1439-TODAY()&lt;=7,"Bitiyor","Aktif"))))</f>
        <v/>
      </c>
      <c r="K1439" s="19" t="str">
        <f aca="false">IF(OR(J1439="Aktif",J1439="Bitiyor"),F1439+ROW()/1000000,"")</f>
        <v/>
      </c>
    </row>
    <row r="1440" customFormat="false" ht="15" hidden="false" customHeight="false" outlineLevel="0" collapsed="false">
      <c r="A1440" s="12"/>
      <c r="B1440" s="12"/>
      <c r="C1440" s="13"/>
      <c r="D1440" s="14"/>
      <c r="E1440" s="15"/>
      <c r="F1440" s="16" t="str">
        <f aca="false">IF(OR(C1440="",D1440=""),"",EDATE(D1440,IFERROR(INDEX(Paketler!$B$5:$B$24,MATCH(C1440,Paketler!$A$5:$A$24,0)),0))-1)</f>
        <v/>
      </c>
      <c r="G1440" s="17" t="str">
        <f aca="false">IF(F1440="","",IFERROR(INDEX(Paketler!$C$5:$C$24,MATCH(C1440,Paketler!$A$5:$A$24,0)),0))</f>
        <v/>
      </c>
      <c r="H1440" s="17" t="str">
        <f aca="false">IF(F1440="","",G1440-E1440)</f>
        <v/>
      </c>
      <c r="I1440" s="18" t="str">
        <f aca="true">IF(F1440="","",F1440-TODAY())</f>
        <v/>
      </c>
      <c r="J1440" s="19" t="str">
        <f aca="true">IF(F1440="","",IF(TODAY()&lt;D1440,"Başlamadı",IF(TODAY()&gt;F1440,"Bitti",IF(F1440-TODAY()&lt;=7,"Bitiyor","Aktif"))))</f>
        <v/>
      </c>
      <c r="K1440" s="19" t="str">
        <f aca="false">IF(OR(J1440="Aktif",J1440="Bitiyor"),F1440+ROW()/1000000,"")</f>
        <v/>
      </c>
    </row>
    <row r="1441" customFormat="false" ht="15" hidden="false" customHeight="false" outlineLevel="0" collapsed="false">
      <c r="A1441" s="12"/>
      <c r="B1441" s="12"/>
      <c r="C1441" s="13"/>
      <c r="D1441" s="14"/>
      <c r="E1441" s="15"/>
      <c r="F1441" s="16" t="str">
        <f aca="false">IF(OR(C1441="",D1441=""),"",EDATE(D1441,IFERROR(INDEX(Paketler!$B$5:$B$24,MATCH(C1441,Paketler!$A$5:$A$24,0)),0))-1)</f>
        <v/>
      </c>
      <c r="G1441" s="17" t="str">
        <f aca="false">IF(F1441="","",IFERROR(INDEX(Paketler!$C$5:$C$24,MATCH(C1441,Paketler!$A$5:$A$24,0)),0))</f>
        <v/>
      </c>
      <c r="H1441" s="17" t="str">
        <f aca="false">IF(F1441="","",G1441-E1441)</f>
        <v/>
      </c>
      <c r="I1441" s="18" t="str">
        <f aca="true">IF(F1441="","",F1441-TODAY())</f>
        <v/>
      </c>
      <c r="J1441" s="19" t="str">
        <f aca="true">IF(F1441="","",IF(TODAY()&lt;D1441,"Başlamadı",IF(TODAY()&gt;F1441,"Bitti",IF(F1441-TODAY()&lt;=7,"Bitiyor","Aktif"))))</f>
        <v/>
      </c>
      <c r="K1441" s="19" t="str">
        <f aca="false">IF(OR(J1441="Aktif",J1441="Bitiyor"),F1441+ROW()/1000000,"")</f>
        <v/>
      </c>
    </row>
    <row r="1442" customFormat="false" ht="15" hidden="false" customHeight="false" outlineLevel="0" collapsed="false">
      <c r="A1442" s="12"/>
      <c r="B1442" s="12"/>
      <c r="C1442" s="13"/>
      <c r="D1442" s="14"/>
      <c r="E1442" s="15"/>
      <c r="F1442" s="16" t="str">
        <f aca="false">IF(OR(C1442="",D1442=""),"",EDATE(D1442,IFERROR(INDEX(Paketler!$B$5:$B$24,MATCH(C1442,Paketler!$A$5:$A$24,0)),0))-1)</f>
        <v/>
      </c>
      <c r="G1442" s="17" t="str">
        <f aca="false">IF(F1442="","",IFERROR(INDEX(Paketler!$C$5:$C$24,MATCH(C1442,Paketler!$A$5:$A$24,0)),0))</f>
        <v/>
      </c>
      <c r="H1442" s="17" t="str">
        <f aca="false">IF(F1442="","",G1442-E1442)</f>
        <v/>
      </c>
      <c r="I1442" s="18" t="str">
        <f aca="true">IF(F1442="","",F1442-TODAY())</f>
        <v/>
      </c>
      <c r="J1442" s="19" t="str">
        <f aca="true">IF(F1442="","",IF(TODAY()&lt;D1442,"Başlamadı",IF(TODAY()&gt;F1442,"Bitti",IF(F1442-TODAY()&lt;=7,"Bitiyor","Aktif"))))</f>
        <v/>
      </c>
      <c r="K1442" s="19" t="str">
        <f aca="false">IF(OR(J1442="Aktif",J1442="Bitiyor"),F1442+ROW()/1000000,"")</f>
        <v/>
      </c>
    </row>
    <row r="1443" customFormat="false" ht="15" hidden="false" customHeight="false" outlineLevel="0" collapsed="false">
      <c r="A1443" s="12"/>
      <c r="B1443" s="12"/>
      <c r="C1443" s="13"/>
      <c r="D1443" s="14"/>
      <c r="E1443" s="15"/>
      <c r="F1443" s="16" t="str">
        <f aca="false">IF(OR(C1443="",D1443=""),"",EDATE(D1443,IFERROR(INDEX(Paketler!$B$5:$B$24,MATCH(C1443,Paketler!$A$5:$A$24,0)),0))-1)</f>
        <v/>
      </c>
      <c r="G1443" s="17" t="str">
        <f aca="false">IF(F1443="","",IFERROR(INDEX(Paketler!$C$5:$C$24,MATCH(C1443,Paketler!$A$5:$A$24,0)),0))</f>
        <v/>
      </c>
      <c r="H1443" s="17" t="str">
        <f aca="false">IF(F1443="","",G1443-E1443)</f>
        <v/>
      </c>
      <c r="I1443" s="18" t="str">
        <f aca="true">IF(F1443="","",F1443-TODAY())</f>
        <v/>
      </c>
      <c r="J1443" s="19" t="str">
        <f aca="true">IF(F1443="","",IF(TODAY()&lt;D1443,"Başlamadı",IF(TODAY()&gt;F1443,"Bitti",IF(F1443-TODAY()&lt;=7,"Bitiyor","Aktif"))))</f>
        <v/>
      </c>
      <c r="K1443" s="19" t="str">
        <f aca="false">IF(OR(J1443="Aktif",J1443="Bitiyor"),F1443+ROW()/1000000,"")</f>
        <v/>
      </c>
    </row>
    <row r="1444" customFormat="false" ht="15" hidden="false" customHeight="false" outlineLevel="0" collapsed="false">
      <c r="A1444" s="12"/>
      <c r="B1444" s="12"/>
      <c r="C1444" s="13"/>
      <c r="D1444" s="14"/>
      <c r="E1444" s="15"/>
      <c r="F1444" s="16" t="str">
        <f aca="false">IF(OR(C1444="",D1444=""),"",EDATE(D1444,IFERROR(INDEX(Paketler!$B$5:$B$24,MATCH(C1444,Paketler!$A$5:$A$24,0)),0))-1)</f>
        <v/>
      </c>
      <c r="G1444" s="17" t="str">
        <f aca="false">IF(F1444="","",IFERROR(INDEX(Paketler!$C$5:$C$24,MATCH(C1444,Paketler!$A$5:$A$24,0)),0))</f>
        <v/>
      </c>
      <c r="H1444" s="17" t="str">
        <f aca="false">IF(F1444="","",G1444-E1444)</f>
        <v/>
      </c>
      <c r="I1444" s="18" t="str">
        <f aca="true">IF(F1444="","",F1444-TODAY())</f>
        <v/>
      </c>
      <c r="J1444" s="19" t="str">
        <f aca="true">IF(F1444="","",IF(TODAY()&lt;D1444,"Başlamadı",IF(TODAY()&gt;F1444,"Bitti",IF(F1444-TODAY()&lt;=7,"Bitiyor","Aktif"))))</f>
        <v/>
      </c>
      <c r="K1444" s="19" t="str">
        <f aca="false">IF(OR(J1444="Aktif",J1444="Bitiyor"),F1444+ROW()/1000000,"")</f>
        <v/>
      </c>
    </row>
    <row r="1445" customFormat="false" ht="15" hidden="false" customHeight="false" outlineLevel="0" collapsed="false">
      <c r="A1445" s="12"/>
      <c r="B1445" s="12"/>
      <c r="C1445" s="13"/>
      <c r="D1445" s="14"/>
      <c r="E1445" s="15"/>
      <c r="F1445" s="16" t="str">
        <f aca="false">IF(OR(C1445="",D1445=""),"",EDATE(D1445,IFERROR(INDEX(Paketler!$B$5:$B$24,MATCH(C1445,Paketler!$A$5:$A$24,0)),0))-1)</f>
        <v/>
      </c>
      <c r="G1445" s="17" t="str">
        <f aca="false">IF(F1445="","",IFERROR(INDEX(Paketler!$C$5:$C$24,MATCH(C1445,Paketler!$A$5:$A$24,0)),0))</f>
        <v/>
      </c>
      <c r="H1445" s="17" t="str">
        <f aca="false">IF(F1445="","",G1445-E1445)</f>
        <v/>
      </c>
      <c r="I1445" s="18" t="str">
        <f aca="true">IF(F1445="","",F1445-TODAY())</f>
        <v/>
      </c>
      <c r="J1445" s="19" t="str">
        <f aca="true">IF(F1445="","",IF(TODAY()&lt;D1445,"Başlamadı",IF(TODAY()&gt;F1445,"Bitti",IF(F1445-TODAY()&lt;=7,"Bitiyor","Aktif"))))</f>
        <v/>
      </c>
      <c r="K1445" s="19" t="str">
        <f aca="false">IF(OR(J1445="Aktif",J1445="Bitiyor"),F1445+ROW()/1000000,"")</f>
        <v/>
      </c>
    </row>
    <row r="1446" customFormat="false" ht="15" hidden="false" customHeight="false" outlineLevel="0" collapsed="false">
      <c r="A1446" s="12"/>
      <c r="B1446" s="12"/>
      <c r="C1446" s="13"/>
      <c r="D1446" s="14"/>
      <c r="E1446" s="15"/>
      <c r="F1446" s="16" t="str">
        <f aca="false">IF(OR(C1446="",D1446=""),"",EDATE(D1446,IFERROR(INDEX(Paketler!$B$5:$B$24,MATCH(C1446,Paketler!$A$5:$A$24,0)),0))-1)</f>
        <v/>
      </c>
      <c r="G1446" s="17" t="str">
        <f aca="false">IF(F1446="","",IFERROR(INDEX(Paketler!$C$5:$C$24,MATCH(C1446,Paketler!$A$5:$A$24,0)),0))</f>
        <v/>
      </c>
      <c r="H1446" s="17" t="str">
        <f aca="false">IF(F1446="","",G1446-E1446)</f>
        <v/>
      </c>
      <c r="I1446" s="18" t="str">
        <f aca="true">IF(F1446="","",F1446-TODAY())</f>
        <v/>
      </c>
      <c r="J1446" s="19" t="str">
        <f aca="true">IF(F1446="","",IF(TODAY()&lt;D1446,"Başlamadı",IF(TODAY()&gt;F1446,"Bitti",IF(F1446-TODAY()&lt;=7,"Bitiyor","Aktif"))))</f>
        <v/>
      </c>
      <c r="K1446" s="19" t="str">
        <f aca="false">IF(OR(J1446="Aktif",J1446="Bitiyor"),F1446+ROW()/1000000,"")</f>
        <v/>
      </c>
    </row>
    <row r="1447" customFormat="false" ht="15" hidden="false" customHeight="false" outlineLevel="0" collapsed="false">
      <c r="A1447" s="12"/>
      <c r="B1447" s="12"/>
      <c r="C1447" s="13"/>
      <c r="D1447" s="14"/>
      <c r="E1447" s="15"/>
      <c r="F1447" s="16" t="str">
        <f aca="false">IF(OR(C1447="",D1447=""),"",EDATE(D1447,IFERROR(INDEX(Paketler!$B$5:$B$24,MATCH(C1447,Paketler!$A$5:$A$24,0)),0))-1)</f>
        <v/>
      </c>
      <c r="G1447" s="17" t="str">
        <f aca="false">IF(F1447="","",IFERROR(INDEX(Paketler!$C$5:$C$24,MATCH(C1447,Paketler!$A$5:$A$24,0)),0))</f>
        <v/>
      </c>
      <c r="H1447" s="17" t="str">
        <f aca="false">IF(F1447="","",G1447-E1447)</f>
        <v/>
      </c>
      <c r="I1447" s="18" t="str">
        <f aca="true">IF(F1447="","",F1447-TODAY())</f>
        <v/>
      </c>
      <c r="J1447" s="19" t="str">
        <f aca="true">IF(F1447="","",IF(TODAY()&lt;D1447,"Başlamadı",IF(TODAY()&gt;F1447,"Bitti",IF(F1447-TODAY()&lt;=7,"Bitiyor","Aktif"))))</f>
        <v/>
      </c>
      <c r="K1447" s="19" t="str">
        <f aca="false">IF(OR(J1447="Aktif",J1447="Bitiyor"),F1447+ROW()/1000000,"")</f>
        <v/>
      </c>
    </row>
    <row r="1448" customFormat="false" ht="15" hidden="false" customHeight="false" outlineLevel="0" collapsed="false">
      <c r="A1448" s="12"/>
      <c r="B1448" s="12"/>
      <c r="C1448" s="13"/>
      <c r="D1448" s="14"/>
      <c r="E1448" s="15"/>
      <c r="F1448" s="16" t="str">
        <f aca="false">IF(OR(C1448="",D1448=""),"",EDATE(D1448,IFERROR(INDEX(Paketler!$B$5:$B$24,MATCH(C1448,Paketler!$A$5:$A$24,0)),0))-1)</f>
        <v/>
      </c>
      <c r="G1448" s="17" t="str">
        <f aca="false">IF(F1448="","",IFERROR(INDEX(Paketler!$C$5:$C$24,MATCH(C1448,Paketler!$A$5:$A$24,0)),0))</f>
        <v/>
      </c>
      <c r="H1448" s="17" t="str">
        <f aca="false">IF(F1448="","",G1448-E1448)</f>
        <v/>
      </c>
      <c r="I1448" s="18" t="str">
        <f aca="true">IF(F1448="","",F1448-TODAY())</f>
        <v/>
      </c>
      <c r="J1448" s="19" t="str">
        <f aca="true">IF(F1448="","",IF(TODAY()&lt;D1448,"Başlamadı",IF(TODAY()&gt;F1448,"Bitti",IF(F1448-TODAY()&lt;=7,"Bitiyor","Aktif"))))</f>
        <v/>
      </c>
      <c r="K1448" s="19" t="str">
        <f aca="false">IF(OR(J1448="Aktif",J1448="Bitiyor"),F1448+ROW()/1000000,"")</f>
        <v/>
      </c>
    </row>
    <row r="1449" customFormat="false" ht="15" hidden="false" customHeight="false" outlineLevel="0" collapsed="false">
      <c r="A1449" s="12"/>
      <c r="B1449" s="12"/>
      <c r="C1449" s="13"/>
      <c r="D1449" s="14"/>
      <c r="E1449" s="15"/>
      <c r="F1449" s="16" t="str">
        <f aca="false">IF(OR(C1449="",D1449=""),"",EDATE(D1449,IFERROR(INDEX(Paketler!$B$5:$B$24,MATCH(C1449,Paketler!$A$5:$A$24,0)),0))-1)</f>
        <v/>
      </c>
      <c r="G1449" s="17" t="str">
        <f aca="false">IF(F1449="","",IFERROR(INDEX(Paketler!$C$5:$C$24,MATCH(C1449,Paketler!$A$5:$A$24,0)),0))</f>
        <v/>
      </c>
      <c r="H1449" s="17" t="str">
        <f aca="false">IF(F1449="","",G1449-E1449)</f>
        <v/>
      </c>
      <c r="I1449" s="18" t="str">
        <f aca="true">IF(F1449="","",F1449-TODAY())</f>
        <v/>
      </c>
      <c r="J1449" s="19" t="str">
        <f aca="true">IF(F1449="","",IF(TODAY()&lt;D1449,"Başlamadı",IF(TODAY()&gt;F1449,"Bitti",IF(F1449-TODAY()&lt;=7,"Bitiyor","Aktif"))))</f>
        <v/>
      </c>
      <c r="K1449" s="19" t="str">
        <f aca="false">IF(OR(J1449="Aktif",J1449="Bitiyor"),F1449+ROW()/1000000,"")</f>
        <v/>
      </c>
    </row>
    <row r="1450" customFormat="false" ht="15" hidden="false" customHeight="false" outlineLevel="0" collapsed="false">
      <c r="A1450" s="12"/>
      <c r="B1450" s="12"/>
      <c r="C1450" s="13"/>
      <c r="D1450" s="14"/>
      <c r="E1450" s="15"/>
      <c r="F1450" s="16" t="str">
        <f aca="false">IF(OR(C1450="",D1450=""),"",EDATE(D1450,IFERROR(INDEX(Paketler!$B$5:$B$24,MATCH(C1450,Paketler!$A$5:$A$24,0)),0))-1)</f>
        <v/>
      </c>
      <c r="G1450" s="17" t="str">
        <f aca="false">IF(F1450="","",IFERROR(INDEX(Paketler!$C$5:$C$24,MATCH(C1450,Paketler!$A$5:$A$24,0)),0))</f>
        <v/>
      </c>
      <c r="H1450" s="17" t="str">
        <f aca="false">IF(F1450="","",G1450-E1450)</f>
        <v/>
      </c>
      <c r="I1450" s="18" t="str">
        <f aca="true">IF(F1450="","",F1450-TODAY())</f>
        <v/>
      </c>
      <c r="J1450" s="19" t="str">
        <f aca="true">IF(F1450="","",IF(TODAY()&lt;D1450,"Başlamadı",IF(TODAY()&gt;F1450,"Bitti",IF(F1450-TODAY()&lt;=7,"Bitiyor","Aktif"))))</f>
        <v/>
      </c>
      <c r="K1450" s="19" t="str">
        <f aca="false">IF(OR(J1450="Aktif",J1450="Bitiyor"),F1450+ROW()/1000000,"")</f>
        <v/>
      </c>
    </row>
    <row r="1451" customFormat="false" ht="15" hidden="false" customHeight="false" outlineLevel="0" collapsed="false">
      <c r="A1451" s="12"/>
      <c r="B1451" s="12"/>
      <c r="C1451" s="13"/>
      <c r="D1451" s="14"/>
      <c r="E1451" s="15"/>
      <c r="F1451" s="16" t="str">
        <f aca="false">IF(OR(C1451="",D1451=""),"",EDATE(D1451,IFERROR(INDEX(Paketler!$B$5:$B$24,MATCH(C1451,Paketler!$A$5:$A$24,0)),0))-1)</f>
        <v/>
      </c>
      <c r="G1451" s="17" t="str">
        <f aca="false">IF(F1451="","",IFERROR(INDEX(Paketler!$C$5:$C$24,MATCH(C1451,Paketler!$A$5:$A$24,0)),0))</f>
        <v/>
      </c>
      <c r="H1451" s="17" t="str">
        <f aca="false">IF(F1451="","",G1451-E1451)</f>
        <v/>
      </c>
      <c r="I1451" s="18" t="str">
        <f aca="true">IF(F1451="","",F1451-TODAY())</f>
        <v/>
      </c>
      <c r="J1451" s="19" t="str">
        <f aca="true">IF(F1451="","",IF(TODAY()&lt;D1451,"Başlamadı",IF(TODAY()&gt;F1451,"Bitti",IF(F1451-TODAY()&lt;=7,"Bitiyor","Aktif"))))</f>
        <v/>
      </c>
      <c r="K1451" s="19" t="str">
        <f aca="false">IF(OR(J1451="Aktif",J1451="Bitiyor"),F1451+ROW()/1000000,"")</f>
        <v/>
      </c>
    </row>
    <row r="1452" customFormat="false" ht="15" hidden="false" customHeight="false" outlineLevel="0" collapsed="false">
      <c r="A1452" s="12"/>
      <c r="B1452" s="12"/>
      <c r="C1452" s="13"/>
      <c r="D1452" s="14"/>
      <c r="E1452" s="15"/>
      <c r="F1452" s="16" t="str">
        <f aca="false">IF(OR(C1452="",D1452=""),"",EDATE(D1452,IFERROR(INDEX(Paketler!$B$5:$B$24,MATCH(C1452,Paketler!$A$5:$A$24,0)),0))-1)</f>
        <v/>
      </c>
      <c r="G1452" s="17" t="str">
        <f aca="false">IF(F1452="","",IFERROR(INDEX(Paketler!$C$5:$C$24,MATCH(C1452,Paketler!$A$5:$A$24,0)),0))</f>
        <v/>
      </c>
      <c r="H1452" s="17" t="str">
        <f aca="false">IF(F1452="","",G1452-E1452)</f>
        <v/>
      </c>
      <c r="I1452" s="18" t="str">
        <f aca="true">IF(F1452="","",F1452-TODAY())</f>
        <v/>
      </c>
      <c r="J1452" s="19" t="str">
        <f aca="true">IF(F1452="","",IF(TODAY()&lt;D1452,"Başlamadı",IF(TODAY()&gt;F1452,"Bitti",IF(F1452-TODAY()&lt;=7,"Bitiyor","Aktif"))))</f>
        <v/>
      </c>
      <c r="K1452" s="19" t="str">
        <f aca="false">IF(OR(J1452="Aktif",J1452="Bitiyor"),F1452+ROW()/1000000,"")</f>
        <v/>
      </c>
    </row>
    <row r="1453" customFormat="false" ht="15" hidden="false" customHeight="false" outlineLevel="0" collapsed="false">
      <c r="A1453" s="12"/>
      <c r="B1453" s="12"/>
      <c r="C1453" s="13"/>
      <c r="D1453" s="14"/>
      <c r="E1453" s="15"/>
      <c r="F1453" s="16" t="str">
        <f aca="false">IF(OR(C1453="",D1453=""),"",EDATE(D1453,IFERROR(INDEX(Paketler!$B$5:$B$24,MATCH(C1453,Paketler!$A$5:$A$24,0)),0))-1)</f>
        <v/>
      </c>
      <c r="G1453" s="17" t="str">
        <f aca="false">IF(F1453="","",IFERROR(INDEX(Paketler!$C$5:$C$24,MATCH(C1453,Paketler!$A$5:$A$24,0)),0))</f>
        <v/>
      </c>
      <c r="H1453" s="17" t="str">
        <f aca="false">IF(F1453="","",G1453-E1453)</f>
        <v/>
      </c>
      <c r="I1453" s="18" t="str">
        <f aca="true">IF(F1453="","",F1453-TODAY())</f>
        <v/>
      </c>
      <c r="J1453" s="19" t="str">
        <f aca="true">IF(F1453="","",IF(TODAY()&lt;D1453,"Başlamadı",IF(TODAY()&gt;F1453,"Bitti",IF(F1453-TODAY()&lt;=7,"Bitiyor","Aktif"))))</f>
        <v/>
      </c>
      <c r="K1453" s="19" t="str">
        <f aca="false">IF(OR(J1453="Aktif",J1453="Bitiyor"),F1453+ROW()/1000000,"")</f>
        <v/>
      </c>
    </row>
    <row r="1454" customFormat="false" ht="15" hidden="false" customHeight="false" outlineLevel="0" collapsed="false">
      <c r="A1454" s="12"/>
      <c r="B1454" s="12"/>
      <c r="C1454" s="13"/>
      <c r="D1454" s="14"/>
      <c r="E1454" s="15"/>
      <c r="F1454" s="16" t="str">
        <f aca="false">IF(OR(C1454="",D1454=""),"",EDATE(D1454,IFERROR(INDEX(Paketler!$B$5:$B$24,MATCH(C1454,Paketler!$A$5:$A$24,0)),0))-1)</f>
        <v/>
      </c>
      <c r="G1454" s="17" t="str">
        <f aca="false">IF(F1454="","",IFERROR(INDEX(Paketler!$C$5:$C$24,MATCH(C1454,Paketler!$A$5:$A$24,0)),0))</f>
        <v/>
      </c>
      <c r="H1454" s="17" t="str">
        <f aca="false">IF(F1454="","",G1454-E1454)</f>
        <v/>
      </c>
      <c r="I1454" s="18" t="str">
        <f aca="true">IF(F1454="","",F1454-TODAY())</f>
        <v/>
      </c>
      <c r="J1454" s="19" t="str">
        <f aca="true">IF(F1454="","",IF(TODAY()&lt;D1454,"Başlamadı",IF(TODAY()&gt;F1454,"Bitti",IF(F1454-TODAY()&lt;=7,"Bitiyor","Aktif"))))</f>
        <v/>
      </c>
      <c r="K1454" s="19" t="str">
        <f aca="false">IF(OR(J1454="Aktif",J1454="Bitiyor"),F1454+ROW()/1000000,"")</f>
        <v/>
      </c>
    </row>
    <row r="1455" customFormat="false" ht="15" hidden="false" customHeight="false" outlineLevel="0" collapsed="false">
      <c r="A1455" s="12"/>
      <c r="B1455" s="12"/>
      <c r="C1455" s="13"/>
      <c r="D1455" s="14"/>
      <c r="E1455" s="15"/>
      <c r="F1455" s="16" t="str">
        <f aca="false">IF(OR(C1455="",D1455=""),"",EDATE(D1455,IFERROR(INDEX(Paketler!$B$5:$B$24,MATCH(C1455,Paketler!$A$5:$A$24,0)),0))-1)</f>
        <v/>
      </c>
      <c r="G1455" s="17" t="str">
        <f aca="false">IF(F1455="","",IFERROR(INDEX(Paketler!$C$5:$C$24,MATCH(C1455,Paketler!$A$5:$A$24,0)),0))</f>
        <v/>
      </c>
      <c r="H1455" s="17" t="str">
        <f aca="false">IF(F1455="","",G1455-E1455)</f>
        <v/>
      </c>
      <c r="I1455" s="18" t="str">
        <f aca="true">IF(F1455="","",F1455-TODAY())</f>
        <v/>
      </c>
      <c r="J1455" s="19" t="str">
        <f aca="true">IF(F1455="","",IF(TODAY()&lt;D1455,"Başlamadı",IF(TODAY()&gt;F1455,"Bitti",IF(F1455-TODAY()&lt;=7,"Bitiyor","Aktif"))))</f>
        <v/>
      </c>
      <c r="K1455" s="19" t="str">
        <f aca="false">IF(OR(J1455="Aktif",J1455="Bitiyor"),F1455+ROW()/1000000,"")</f>
        <v/>
      </c>
    </row>
    <row r="1456" customFormat="false" ht="15" hidden="false" customHeight="false" outlineLevel="0" collapsed="false">
      <c r="A1456" s="12"/>
      <c r="B1456" s="12"/>
      <c r="C1456" s="13"/>
      <c r="D1456" s="14"/>
      <c r="E1456" s="15"/>
      <c r="F1456" s="16" t="str">
        <f aca="false">IF(OR(C1456="",D1456=""),"",EDATE(D1456,IFERROR(INDEX(Paketler!$B$5:$B$24,MATCH(C1456,Paketler!$A$5:$A$24,0)),0))-1)</f>
        <v/>
      </c>
      <c r="G1456" s="17" t="str">
        <f aca="false">IF(F1456="","",IFERROR(INDEX(Paketler!$C$5:$C$24,MATCH(C1456,Paketler!$A$5:$A$24,0)),0))</f>
        <v/>
      </c>
      <c r="H1456" s="17" t="str">
        <f aca="false">IF(F1456="","",G1456-E1456)</f>
        <v/>
      </c>
      <c r="I1456" s="18" t="str">
        <f aca="true">IF(F1456="","",F1456-TODAY())</f>
        <v/>
      </c>
      <c r="J1456" s="19" t="str">
        <f aca="true">IF(F1456="","",IF(TODAY()&lt;D1456,"Başlamadı",IF(TODAY()&gt;F1456,"Bitti",IF(F1456-TODAY()&lt;=7,"Bitiyor","Aktif"))))</f>
        <v/>
      </c>
      <c r="K1456" s="19" t="str">
        <f aca="false">IF(OR(J1456="Aktif",J1456="Bitiyor"),F1456+ROW()/1000000,"")</f>
        <v/>
      </c>
    </row>
    <row r="1457" customFormat="false" ht="15" hidden="false" customHeight="false" outlineLevel="0" collapsed="false">
      <c r="A1457" s="12"/>
      <c r="B1457" s="12"/>
      <c r="C1457" s="13"/>
      <c r="D1457" s="14"/>
      <c r="E1457" s="15"/>
      <c r="F1457" s="16" t="str">
        <f aca="false">IF(OR(C1457="",D1457=""),"",EDATE(D1457,IFERROR(INDEX(Paketler!$B$5:$B$24,MATCH(C1457,Paketler!$A$5:$A$24,0)),0))-1)</f>
        <v/>
      </c>
      <c r="G1457" s="17" t="str">
        <f aca="false">IF(F1457="","",IFERROR(INDEX(Paketler!$C$5:$C$24,MATCH(C1457,Paketler!$A$5:$A$24,0)),0))</f>
        <v/>
      </c>
      <c r="H1457" s="17" t="str">
        <f aca="false">IF(F1457="","",G1457-E1457)</f>
        <v/>
      </c>
      <c r="I1457" s="18" t="str">
        <f aca="true">IF(F1457="","",F1457-TODAY())</f>
        <v/>
      </c>
      <c r="J1457" s="19" t="str">
        <f aca="true">IF(F1457="","",IF(TODAY()&lt;D1457,"Başlamadı",IF(TODAY()&gt;F1457,"Bitti",IF(F1457-TODAY()&lt;=7,"Bitiyor","Aktif"))))</f>
        <v/>
      </c>
      <c r="K1457" s="19" t="str">
        <f aca="false">IF(OR(J1457="Aktif",J1457="Bitiyor"),F1457+ROW()/1000000,"")</f>
        <v/>
      </c>
    </row>
    <row r="1458" customFormat="false" ht="15" hidden="false" customHeight="false" outlineLevel="0" collapsed="false">
      <c r="A1458" s="12"/>
      <c r="B1458" s="12"/>
      <c r="C1458" s="13"/>
      <c r="D1458" s="14"/>
      <c r="E1458" s="15"/>
      <c r="F1458" s="16" t="str">
        <f aca="false">IF(OR(C1458="",D1458=""),"",EDATE(D1458,IFERROR(INDEX(Paketler!$B$5:$B$24,MATCH(C1458,Paketler!$A$5:$A$24,0)),0))-1)</f>
        <v/>
      </c>
      <c r="G1458" s="17" t="str">
        <f aca="false">IF(F1458="","",IFERROR(INDEX(Paketler!$C$5:$C$24,MATCH(C1458,Paketler!$A$5:$A$24,0)),0))</f>
        <v/>
      </c>
      <c r="H1458" s="17" t="str">
        <f aca="false">IF(F1458="","",G1458-E1458)</f>
        <v/>
      </c>
      <c r="I1458" s="18" t="str">
        <f aca="true">IF(F1458="","",F1458-TODAY())</f>
        <v/>
      </c>
      <c r="J1458" s="19" t="str">
        <f aca="true">IF(F1458="","",IF(TODAY()&lt;D1458,"Başlamadı",IF(TODAY()&gt;F1458,"Bitti",IF(F1458-TODAY()&lt;=7,"Bitiyor","Aktif"))))</f>
        <v/>
      </c>
      <c r="K1458" s="19" t="str">
        <f aca="false">IF(OR(J1458="Aktif",J1458="Bitiyor"),F1458+ROW()/1000000,"")</f>
        <v/>
      </c>
    </row>
    <row r="1459" customFormat="false" ht="15" hidden="false" customHeight="false" outlineLevel="0" collapsed="false">
      <c r="A1459" s="12"/>
      <c r="B1459" s="12"/>
      <c r="C1459" s="13"/>
      <c r="D1459" s="14"/>
      <c r="E1459" s="15"/>
      <c r="F1459" s="16" t="str">
        <f aca="false">IF(OR(C1459="",D1459=""),"",EDATE(D1459,IFERROR(INDEX(Paketler!$B$5:$B$24,MATCH(C1459,Paketler!$A$5:$A$24,0)),0))-1)</f>
        <v/>
      </c>
      <c r="G1459" s="17" t="str">
        <f aca="false">IF(F1459="","",IFERROR(INDEX(Paketler!$C$5:$C$24,MATCH(C1459,Paketler!$A$5:$A$24,0)),0))</f>
        <v/>
      </c>
      <c r="H1459" s="17" t="str">
        <f aca="false">IF(F1459="","",G1459-E1459)</f>
        <v/>
      </c>
      <c r="I1459" s="18" t="str">
        <f aca="true">IF(F1459="","",F1459-TODAY())</f>
        <v/>
      </c>
      <c r="J1459" s="19" t="str">
        <f aca="true">IF(F1459="","",IF(TODAY()&lt;D1459,"Başlamadı",IF(TODAY()&gt;F1459,"Bitti",IF(F1459-TODAY()&lt;=7,"Bitiyor","Aktif"))))</f>
        <v/>
      </c>
      <c r="K1459" s="19" t="str">
        <f aca="false">IF(OR(J1459="Aktif",J1459="Bitiyor"),F1459+ROW()/1000000,"")</f>
        <v/>
      </c>
    </row>
    <row r="1460" customFormat="false" ht="15" hidden="false" customHeight="false" outlineLevel="0" collapsed="false">
      <c r="A1460" s="12"/>
      <c r="B1460" s="12"/>
      <c r="C1460" s="13"/>
      <c r="D1460" s="14"/>
      <c r="E1460" s="15"/>
      <c r="F1460" s="16" t="str">
        <f aca="false">IF(OR(C1460="",D1460=""),"",EDATE(D1460,IFERROR(INDEX(Paketler!$B$5:$B$24,MATCH(C1460,Paketler!$A$5:$A$24,0)),0))-1)</f>
        <v/>
      </c>
      <c r="G1460" s="17" t="str">
        <f aca="false">IF(F1460="","",IFERROR(INDEX(Paketler!$C$5:$C$24,MATCH(C1460,Paketler!$A$5:$A$24,0)),0))</f>
        <v/>
      </c>
      <c r="H1460" s="17" t="str">
        <f aca="false">IF(F1460="","",G1460-E1460)</f>
        <v/>
      </c>
      <c r="I1460" s="18" t="str">
        <f aca="true">IF(F1460="","",F1460-TODAY())</f>
        <v/>
      </c>
      <c r="J1460" s="19" t="str">
        <f aca="true">IF(F1460="","",IF(TODAY()&lt;D1460,"Başlamadı",IF(TODAY()&gt;F1460,"Bitti",IF(F1460-TODAY()&lt;=7,"Bitiyor","Aktif"))))</f>
        <v/>
      </c>
      <c r="K1460" s="19" t="str">
        <f aca="false">IF(OR(J1460="Aktif",J1460="Bitiyor"),F1460+ROW()/1000000,"")</f>
        <v/>
      </c>
    </row>
    <row r="1461" customFormat="false" ht="15" hidden="false" customHeight="false" outlineLevel="0" collapsed="false">
      <c r="A1461" s="12"/>
      <c r="B1461" s="12"/>
      <c r="C1461" s="13"/>
      <c r="D1461" s="14"/>
      <c r="E1461" s="15"/>
      <c r="F1461" s="16" t="str">
        <f aca="false">IF(OR(C1461="",D1461=""),"",EDATE(D1461,IFERROR(INDEX(Paketler!$B$5:$B$24,MATCH(C1461,Paketler!$A$5:$A$24,0)),0))-1)</f>
        <v/>
      </c>
      <c r="G1461" s="17" t="str">
        <f aca="false">IF(F1461="","",IFERROR(INDEX(Paketler!$C$5:$C$24,MATCH(C1461,Paketler!$A$5:$A$24,0)),0))</f>
        <v/>
      </c>
      <c r="H1461" s="17" t="str">
        <f aca="false">IF(F1461="","",G1461-E1461)</f>
        <v/>
      </c>
      <c r="I1461" s="18" t="str">
        <f aca="true">IF(F1461="","",F1461-TODAY())</f>
        <v/>
      </c>
      <c r="J1461" s="19" t="str">
        <f aca="true">IF(F1461="","",IF(TODAY()&lt;D1461,"Başlamadı",IF(TODAY()&gt;F1461,"Bitti",IF(F1461-TODAY()&lt;=7,"Bitiyor","Aktif"))))</f>
        <v/>
      </c>
      <c r="K1461" s="19" t="str">
        <f aca="false">IF(OR(J1461="Aktif",J1461="Bitiyor"),F1461+ROW()/1000000,"")</f>
        <v/>
      </c>
    </row>
    <row r="1462" customFormat="false" ht="15" hidden="false" customHeight="false" outlineLevel="0" collapsed="false">
      <c r="A1462" s="12"/>
      <c r="B1462" s="12"/>
      <c r="C1462" s="13"/>
      <c r="D1462" s="14"/>
      <c r="E1462" s="15"/>
      <c r="F1462" s="16" t="str">
        <f aca="false">IF(OR(C1462="",D1462=""),"",EDATE(D1462,IFERROR(INDEX(Paketler!$B$5:$B$24,MATCH(C1462,Paketler!$A$5:$A$24,0)),0))-1)</f>
        <v/>
      </c>
      <c r="G1462" s="17" t="str">
        <f aca="false">IF(F1462="","",IFERROR(INDEX(Paketler!$C$5:$C$24,MATCH(C1462,Paketler!$A$5:$A$24,0)),0))</f>
        <v/>
      </c>
      <c r="H1462" s="17" t="str">
        <f aca="false">IF(F1462="","",G1462-E1462)</f>
        <v/>
      </c>
      <c r="I1462" s="18" t="str">
        <f aca="true">IF(F1462="","",F1462-TODAY())</f>
        <v/>
      </c>
      <c r="J1462" s="19" t="str">
        <f aca="true">IF(F1462="","",IF(TODAY()&lt;D1462,"Başlamadı",IF(TODAY()&gt;F1462,"Bitti",IF(F1462-TODAY()&lt;=7,"Bitiyor","Aktif"))))</f>
        <v/>
      </c>
      <c r="K1462" s="19" t="str">
        <f aca="false">IF(OR(J1462="Aktif",J1462="Bitiyor"),F1462+ROW()/1000000,"")</f>
        <v/>
      </c>
    </row>
    <row r="1463" customFormat="false" ht="15" hidden="false" customHeight="false" outlineLevel="0" collapsed="false">
      <c r="A1463" s="12"/>
      <c r="B1463" s="12"/>
      <c r="C1463" s="13"/>
      <c r="D1463" s="14"/>
      <c r="E1463" s="15"/>
      <c r="F1463" s="16" t="str">
        <f aca="false">IF(OR(C1463="",D1463=""),"",EDATE(D1463,IFERROR(INDEX(Paketler!$B$5:$B$24,MATCH(C1463,Paketler!$A$5:$A$24,0)),0))-1)</f>
        <v/>
      </c>
      <c r="G1463" s="17" t="str">
        <f aca="false">IF(F1463="","",IFERROR(INDEX(Paketler!$C$5:$C$24,MATCH(C1463,Paketler!$A$5:$A$24,0)),0))</f>
        <v/>
      </c>
      <c r="H1463" s="17" t="str">
        <f aca="false">IF(F1463="","",G1463-E1463)</f>
        <v/>
      </c>
      <c r="I1463" s="18" t="str">
        <f aca="true">IF(F1463="","",F1463-TODAY())</f>
        <v/>
      </c>
      <c r="J1463" s="19" t="str">
        <f aca="true">IF(F1463="","",IF(TODAY()&lt;D1463,"Başlamadı",IF(TODAY()&gt;F1463,"Bitti",IF(F1463-TODAY()&lt;=7,"Bitiyor","Aktif"))))</f>
        <v/>
      </c>
      <c r="K1463" s="19" t="str">
        <f aca="false">IF(OR(J1463="Aktif",J1463="Bitiyor"),F1463+ROW()/1000000,"")</f>
        <v/>
      </c>
    </row>
    <row r="1464" customFormat="false" ht="15" hidden="false" customHeight="false" outlineLevel="0" collapsed="false">
      <c r="A1464" s="12"/>
      <c r="B1464" s="12"/>
      <c r="C1464" s="13"/>
      <c r="D1464" s="14"/>
      <c r="E1464" s="15"/>
      <c r="F1464" s="16" t="str">
        <f aca="false">IF(OR(C1464="",D1464=""),"",EDATE(D1464,IFERROR(INDEX(Paketler!$B$5:$B$24,MATCH(C1464,Paketler!$A$5:$A$24,0)),0))-1)</f>
        <v/>
      </c>
      <c r="G1464" s="17" t="str">
        <f aca="false">IF(F1464="","",IFERROR(INDEX(Paketler!$C$5:$C$24,MATCH(C1464,Paketler!$A$5:$A$24,0)),0))</f>
        <v/>
      </c>
      <c r="H1464" s="17" t="str">
        <f aca="false">IF(F1464="","",G1464-E1464)</f>
        <v/>
      </c>
      <c r="I1464" s="18" t="str">
        <f aca="true">IF(F1464="","",F1464-TODAY())</f>
        <v/>
      </c>
      <c r="J1464" s="19" t="str">
        <f aca="true">IF(F1464="","",IF(TODAY()&lt;D1464,"Başlamadı",IF(TODAY()&gt;F1464,"Bitti",IF(F1464-TODAY()&lt;=7,"Bitiyor","Aktif"))))</f>
        <v/>
      </c>
      <c r="K1464" s="19" t="str">
        <f aca="false">IF(OR(J1464="Aktif",J1464="Bitiyor"),F1464+ROW()/1000000,"")</f>
        <v/>
      </c>
    </row>
    <row r="1465" customFormat="false" ht="15" hidden="false" customHeight="false" outlineLevel="0" collapsed="false">
      <c r="A1465" s="12"/>
      <c r="B1465" s="12"/>
      <c r="C1465" s="13"/>
      <c r="D1465" s="14"/>
      <c r="E1465" s="15"/>
      <c r="F1465" s="16" t="str">
        <f aca="false">IF(OR(C1465="",D1465=""),"",EDATE(D1465,IFERROR(INDEX(Paketler!$B$5:$B$24,MATCH(C1465,Paketler!$A$5:$A$24,0)),0))-1)</f>
        <v/>
      </c>
      <c r="G1465" s="17" t="str">
        <f aca="false">IF(F1465="","",IFERROR(INDEX(Paketler!$C$5:$C$24,MATCH(C1465,Paketler!$A$5:$A$24,0)),0))</f>
        <v/>
      </c>
      <c r="H1465" s="17" t="str">
        <f aca="false">IF(F1465="","",G1465-E1465)</f>
        <v/>
      </c>
      <c r="I1465" s="18" t="str">
        <f aca="true">IF(F1465="","",F1465-TODAY())</f>
        <v/>
      </c>
      <c r="J1465" s="19" t="str">
        <f aca="true">IF(F1465="","",IF(TODAY()&lt;D1465,"Başlamadı",IF(TODAY()&gt;F1465,"Bitti",IF(F1465-TODAY()&lt;=7,"Bitiyor","Aktif"))))</f>
        <v/>
      </c>
      <c r="K1465" s="19" t="str">
        <f aca="false">IF(OR(J1465="Aktif",J1465="Bitiyor"),F1465+ROW()/1000000,"")</f>
        <v/>
      </c>
    </row>
    <row r="1466" customFormat="false" ht="15" hidden="false" customHeight="false" outlineLevel="0" collapsed="false">
      <c r="A1466" s="12"/>
      <c r="B1466" s="12"/>
      <c r="C1466" s="13"/>
      <c r="D1466" s="14"/>
      <c r="E1466" s="15"/>
      <c r="F1466" s="16" t="str">
        <f aca="false">IF(OR(C1466="",D1466=""),"",EDATE(D1466,IFERROR(INDEX(Paketler!$B$5:$B$24,MATCH(C1466,Paketler!$A$5:$A$24,0)),0))-1)</f>
        <v/>
      </c>
      <c r="G1466" s="17" t="str">
        <f aca="false">IF(F1466="","",IFERROR(INDEX(Paketler!$C$5:$C$24,MATCH(C1466,Paketler!$A$5:$A$24,0)),0))</f>
        <v/>
      </c>
      <c r="H1466" s="17" t="str">
        <f aca="false">IF(F1466="","",G1466-E1466)</f>
        <v/>
      </c>
      <c r="I1466" s="18" t="str">
        <f aca="true">IF(F1466="","",F1466-TODAY())</f>
        <v/>
      </c>
      <c r="J1466" s="19" t="str">
        <f aca="true">IF(F1466="","",IF(TODAY()&lt;D1466,"Başlamadı",IF(TODAY()&gt;F1466,"Bitti",IF(F1466-TODAY()&lt;=7,"Bitiyor","Aktif"))))</f>
        <v/>
      </c>
      <c r="K1466" s="19" t="str">
        <f aca="false">IF(OR(J1466="Aktif",J1466="Bitiyor"),F1466+ROW()/1000000,"")</f>
        <v/>
      </c>
    </row>
    <row r="1467" customFormat="false" ht="15" hidden="false" customHeight="false" outlineLevel="0" collapsed="false">
      <c r="A1467" s="12"/>
      <c r="B1467" s="12"/>
      <c r="C1467" s="13"/>
      <c r="D1467" s="14"/>
      <c r="E1467" s="15"/>
      <c r="F1467" s="16" t="str">
        <f aca="false">IF(OR(C1467="",D1467=""),"",EDATE(D1467,IFERROR(INDEX(Paketler!$B$5:$B$24,MATCH(C1467,Paketler!$A$5:$A$24,0)),0))-1)</f>
        <v/>
      </c>
      <c r="G1467" s="17" t="str">
        <f aca="false">IF(F1467="","",IFERROR(INDEX(Paketler!$C$5:$C$24,MATCH(C1467,Paketler!$A$5:$A$24,0)),0))</f>
        <v/>
      </c>
      <c r="H1467" s="17" t="str">
        <f aca="false">IF(F1467="","",G1467-E1467)</f>
        <v/>
      </c>
      <c r="I1467" s="18" t="str">
        <f aca="true">IF(F1467="","",F1467-TODAY())</f>
        <v/>
      </c>
      <c r="J1467" s="19" t="str">
        <f aca="true">IF(F1467="","",IF(TODAY()&lt;D1467,"Başlamadı",IF(TODAY()&gt;F1467,"Bitti",IF(F1467-TODAY()&lt;=7,"Bitiyor","Aktif"))))</f>
        <v/>
      </c>
      <c r="K1467" s="19" t="str">
        <f aca="false">IF(OR(J1467="Aktif",J1467="Bitiyor"),F1467+ROW()/1000000,"")</f>
        <v/>
      </c>
    </row>
    <row r="1468" customFormat="false" ht="15" hidden="false" customHeight="false" outlineLevel="0" collapsed="false">
      <c r="A1468" s="12"/>
      <c r="B1468" s="12"/>
      <c r="C1468" s="13"/>
      <c r="D1468" s="14"/>
      <c r="E1468" s="15"/>
      <c r="F1468" s="16" t="str">
        <f aca="false">IF(OR(C1468="",D1468=""),"",EDATE(D1468,IFERROR(INDEX(Paketler!$B$5:$B$24,MATCH(C1468,Paketler!$A$5:$A$24,0)),0))-1)</f>
        <v/>
      </c>
      <c r="G1468" s="17" t="str">
        <f aca="false">IF(F1468="","",IFERROR(INDEX(Paketler!$C$5:$C$24,MATCH(C1468,Paketler!$A$5:$A$24,0)),0))</f>
        <v/>
      </c>
      <c r="H1468" s="17" t="str">
        <f aca="false">IF(F1468="","",G1468-E1468)</f>
        <v/>
      </c>
      <c r="I1468" s="18" t="str">
        <f aca="true">IF(F1468="","",F1468-TODAY())</f>
        <v/>
      </c>
      <c r="J1468" s="19" t="str">
        <f aca="true">IF(F1468="","",IF(TODAY()&lt;D1468,"Başlamadı",IF(TODAY()&gt;F1468,"Bitti",IF(F1468-TODAY()&lt;=7,"Bitiyor","Aktif"))))</f>
        <v/>
      </c>
      <c r="K1468" s="19" t="str">
        <f aca="false">IF(OR(J1468="Aktif",J1468="Bitiyor"),F1468+ROW()/1000000,"")</f>
        <v/>
      </c>
    </row>
    <row r="1469" customFormat="false" ht="15" hidden="false" customHeight="false" outlineLevel="0" collapsed="false">
      <c r="A1469" s="12"/>
      <c r="B1469" s="12"/>
      <c r="C1469" s="13"/>
      <c r="D1469" s="14"/>
      <c r="E1469" s="15"/>
      <c r="F1469" s="16" t="str">
        <f aca="false">IF(OR(C1469="",D1469=""),"",EDATE(D1469,IFERROR(INDEX(Paketler!$B$5:$B$24,MATCH(C1469,Paketler!$A$5:$A$24,0)),0))-1)</f>
        <v/>
      </c>
      <c r="G1469" s="17" t="str">
        <f aca="false">IF(F1469="","",IFERROR(INDEX(Paketler!$C$5:$C$24,MATCH(C1469,Paketler!$A$5:$A$24,0)),0))</f>
        <v/>
      </c>
      <c r="H1469" s="17" t="str">
        <f aca="false">IF(F1469="","",G1469-E1469)</f>
        <v/>
      </c>
      <c r="I1469" s="18" t="str">
        <f aca="true">IF(F1469="","",F1469-TODAY())</f>
        <v/>
      </c>
      <c r="J1469" s="19" t="str">
        <f aca="true">IF(F1469="","",IF(TODAY()&lt;D1469,"Başlamadı",IF(TODAY()&gt;F1469,"Bitti",IF(F1469-TODAY()&lt;=7,"Bitiyor","Aktif"))))</f>
        <v/>
      </c>
      <c r="K1469" s="19" t="str">
        <f aca="false">IF(OR(J1469="Aktif",J1469="Bitiyor"),F1469+ROW()/1000000,"")</f>
        <v/>
      </c>
    </row>
    <row r="1470" customFormat="false" ht="15" hidden="false" customHeight="false" outlineLevel="0" collapsed="false">
      <c r="A1470" s="12"/>
      <c r="B1470" s="12"/>
      <c r="C1470" s="13"/>
      <c r="D1470" s="14"/>
      <c r="E1470" s="15"/>
      <c r="F1470" s="16" t="str">
        <f aca="false">IF(OR(C1470="",D1470=""),"",EDATE(D1470,IFERROR(INDEX(Paketler!$B$5:$B$24,MATCH(C1470,Paketler!$A$5:$A$24,0)),0))-1)</f>
        <v/>
      </c>
      <c r="G1470" s="17" t="str">
        <f aca="false">IF(F1470="","",IFERROR(INDEX(Paketler!$C$5:$C$24,MATCH(C1470,Paketler!$A$5:$A$24,0)),0))</f>
        <v/>
      </c>
      <c r="H1470" s="17" t="str">
        <f aca="false">IF(F1470="","",G1470-E1470)</f>
        <v/>
      </c>
      <c r="I1470" s="18" t="str">
        <f aca="true">IF(F1470="","",F1470-TODAY())</f>
        <v/>
      </c>
      <c r="J1470" s="19" t="str">
        <f aca="true">IF(F1470="","",IF(TODAY()&lt;D1470,"Başlamadı",IF(TODAY()&gt;F1470,"Bitti",IF(F1470-TODAY()&lt;=7,"Bitiyor","Aktif"))))</f>
        <v/>
      </c>
      <c r="K1470" s="19" t="str">
        <f aca="false">IF(OR(J1470="Aktif",J1470="Bitiyor"),F1470+ROW()/1000000,"")</f>
        <v/>
      </c>
    </row>
    <row r="1471" customFormat="false" ht="15" hidden="false" customHeight="false" outlineLevel="0" collapsed="false">
      <c r="A1471" s="12"/>
      <c r="B1471" s="12"/>
      <c r="C1471" s="13"/>
      <c r="D1471" s="14"/>
      <c r="E1471" s="15"/>
      <c r="F1471" s="16" t="str">
        <f aca="false">IF(OR(C1471="",D1471=""),"",EDATE(D1471,IFERROR(INDEX(Paketler!$B$5:$B$24,MATCH(C1471,Paketler!$A$5:$A$24,0)),0))-1)</f>
        <v/>
      </c>
      <c r="G1471" s="17" t="str">
        <f aca="false">IF(F1471="","",IFERROR(INDEX(Paketler!$C$5:$C$24,MATCH(C1471,Paketler!$A$5:$A$24,0)),0))</f>
        <v/>
      </c>
      <c r="H1471" s="17" t="str">
        <f aca="false">IF(F1471="","",G1471-E1471)</f>
        <v/>
      </c>
      <c r="I1471" s="18" t="str">
        <f aca="true">IF(F1471="","",F1471-TODAY())</f>
        <v/>
      </c>
      <c r="J1471" s="19" t="str">
        <f aca="true">IF(F1471="","",IF(TODAY()&lt;D1471,"Başlamadı",IF(TODAY()&gt;F1471,"Bitti",IF(F1471-TODAY()&lt;=7,"Bitiyor","Aktif"))))</f>
        <v/>
      </c>
      <c r="K1471" s="19" t="str">
        <f aca="false">IF(OR(J1471="Aktif",J1471="Bitiyor"),F1471+ROW()/1000000,"")</f>
        <v/>
      </c>
    </row>
    <row r="1472" customFormat="false" ht="15" hidden="false" customHeight="false" outlineLevel="0" collapsed="false">
      <c r="A1472" s="12"/>
      <c r="B1472" s="12"/>
      <c r="C1472" s="13"/>
      <c r="D1472" s="14"/>
      <c r="E1472" s="15"/>
      <c r="F1472" s="16" t="str">
        <f aca="false">IF(OR(C1472="",D1472=""),"",EDATE(D1472,IFERROR(INDEX(Paketler!$B$5:$B$24,MATCH(C1472,Paketler!$A$5:$A$24,0)),0))-1)</f>
        <v/>
      </c>
      <c r="G1472" s="17" t="str">
        <f aca="false">IF(F1472="","",IFERROR(INDEX(Paketler!$C$5:$C$24,MATCH(C1472,Paketler!$A$5:$A$24,0)),0))</f>
        <v/>
      </c>
      <c r="H1472" s="17" t="str">
        <f aca="false">IF(F1472="","",G1472-E1472)</f>
        <v/>
      </c>
      <c r="I1472" s="18" t="str">
        <f aca="true">IF(F1472="","",F1472-TODAY())</f>
        <v/>
      </c>
      <c r="J1472" s="19" t="str">
        <f aca="true">IF(F1472="","",IF(TODAY()&lt;D1472,"Başlamadı",IF(TODAY()&gt;F1472,"Bitti",IF(F1472-TODAY()&lt;=7,"Bitiyor","Aktif"))))</f>
        <v/>
      </c>
      <c r="K1472" s="19" t="str">
        <f aca="false">IF(OR(J1472="Aktif",J1472="Bitiyor"),F1472+ROW()/1000000,"")</f>
        <v/>
      </c>
    </row>
    <row r="1473" customFormat="false" ht="15" hidden="false" customHeight="false" outlineLevel="0" collapsed="false">
      <c r="A1473" s="12"/>
      <c r="B1473" s="12"/>
      <c r="C1473" s="13"/>
      <c r="D1473" s="14"/>
      <c r="E1473" s="15"/>
      <c r="F1473" s="16" t="str">
        <f aca="false">IF(OR(C1473="",D1473=""),"",EDATE(D1473,IFERROR(INDEX(Paketler!$B$5:$B$24,MATCH(C1473,Paketler!$A$5:$A$24,0)),0))-1)</f>
        <v/>
      </c>
      <c r="G1473" s="17" t="str">
        <f aca="false">IF(F1473="","",IFERROR(INDEX(Paketler!$C$5:$C$24,MATCH(C1473,Paketler!$A$5:$A$24,0)),0))</f>
        <v/>
      </c>
      <c r="H1473" s="17" t="str">
        <f aca="false">IF(F1473="","",G1473-E1473)</f>
        <v/>
      </c>
      <c r="I1473" s="18" t="str">
        <f aca="true">IF(F1473="","",F1473-TODAY())</f>
        <v/>
      </c>
      <c r="J1473" s="19" t="str">
        <f aca="true">IF(F1473="","",IF(TODAY()&lt;D1473,"Başlamadı",IF(TODAY()&gt;F1473,"Bitti",IF(F1473-TODAY()&lt;=7,"Bitiyor","Aktif"))))</f>
        <v/>
      </c>
      <c r="K1473" s="19" t="str">
        <f aca="false">IF(OR(J1473="Aktif",J1473="Bitiyor"),F1473+ROW()/1000000,"")</f>
        <v/>
      </c>
    </row>
    <row r="1474" customFormat="false" ht="15" hidden="false" customHeight="false" outlineLevel="0" collapsed="false">
      <c r="A1474" s="12"/>
      <c r="B1474" s="12"/>
      <c r="C1474" s="13"/>
      <c r="D1474" s="14"/>
      <c r="E1474" s="15"/>
      <c r="F1474" s="16" t="str">
        <f aca="false">IF(OR(C1474="",D1474=""),"",EDATE(D1474,IFERROR(INDEX(Paketler!$B$5:$B$24,MATCH(C1474,Paketler!$A$5:$A$24,0)),0))-1)</f>
        <v/>
      </c>
      <c r="G1474" s="17" t="str">
        <f aca="false">IF(F1474="","",IFERROR(INDEX(Paketler!$C$5:$C$24,MATCH(C1474,Paketler!$A$5:$A$24,0)),0))</f>
        <v/>
      </c>
      <c r="H1474" s="17" t="str">
        <f aca="false">IF(F1474="","",G1474-E1474)</f>
        <v/>
      </c>
      <c r="I1474" s="18" t="str">
        <f aca="true">IF(F1474="","",F1474-TODAY())</f>
        <v/>
      </c>
      <c r="J1474" s="19" t="str">
        <f aca="true">IF(F1474="","",IF(TODAY()&lt;D1474,"Başlamadı",IF(TODAY()&gt;F1474,"Bitti",IF(F1474-TODAY()&lt;=7,"Bitiyor","Aktif"))))</f>
        <v/>
      </c>
      <c r="K1474" s="19" t="str">
        <f aca="false">IF(OR(J1474="Aktif",J1474="Bitiyor"),F1474+ROW()/1000000,"")</f>
        <v/>
      </c>
    </row>
    <row r="1475" customFormat="false" ht="15" hidden="false" customHeight="false" outlineLevel="0" collapsed="false">
      <c r="A1475" s="12"/>
      <c r="B1475" s="12"/>
      <c r="C1475" s="13"/>
      <c r="D1475" s="14"/>
      <c r="E1475" s="15"/>
      <c r="F1475" s="16" t="str">
        <f aca="false">IF(OR(C1475="",D1475=""),"",EDATE(D1475,IFERROR(INDEX(Paketler!$B$5:$B$24,MATCH(C1475,Paketler!$A$5:$A$24,0)),0))-1)</f>
        <v/>
      </c>
      <c r="G1475" s="17" t="str">
        <f aca="false">IF(F1475="","",IFERROR(INDEX(Paketler!$C$5:$C$24,MATCH(C1475,Paketler!$A$5:$A$24,0)),0))</f>
        <v/>
      </c>
      <c r="H1475" s="17" t="str">
        <f aca="false">IF(F1475="","",G1475-E1475)</f>
        <v/>
      </c>
      <c r="I1475" s="18" t="str">
        <f aca="true">IF(F1475="","",F1475-TODAY())</f>
        <v/>
      </c>
      <c r="J1475" s="19" t="str">
        <f aca="true">IF(F1475="","",IF(TODAY()&lt;D1475,"Başlamadı",IF(TODAY()&gt;F1475,"Bitti",IF(F1475-TODAY()&lt;=7,"Bitiyor","Aktif"))))</f>
        <v/>
      </c>
      <c r="K1475" s="19" t="str">
        <f aca="false">IF(OR(J1475="Aktif",J1475="Bitiyor"),F1475+ROW()/1000000,"")</f>
        <v/>
      </c>
    </row>
    <row r="1476" customFormat="false" ht="15" hidden="false" customHeight="false" outlineLevel="0" collapsed="false">
      <c r="A1476" s="12"/>
      <c r="B1476" s="12"/>
      <c r="C1476" s="13"/>
      <c r="D1476" s="14"/>
      <c r="E1476" s="15"/>
      <c r="F1476" s="16" t="str">
        <f aca="false">IF(OR(C1476="",D1476=""),"",EDATE(D1476,IFERROR(INDEX(Paketler!$B$5:$B$24,MATCH(C1476,Paketler!$A$5:$A$24,0)),0))-1)</f>
        <v/>
      </c>
      <c r="G1476" s="17" t="str">
        <f aca="false">IF(F1476="","",IFERROR(INDEX(Paketler!$C$5:$C$24,MATCH(C1476,Paketler!$A$5:$A$24,0)),0))</f>
        <v/>
      </c>
      <c r="H1476" s="17" t="str">
        <f aca="false">IF(F1476="","",G1476-E1476)</f>
        <v/>
      </c>
      <c r="I1476" s="18" t="str">
        <f aca="true">IF(F1476="","",F1476-TODAY())</f>
        <v/>
      </c>
      <c r="J1476" s="19" t="str">
        <f aca="true">IF(F1476="","",IF(TODAY()&lt;D1476,"Başlamadı",IF(TODAY()&gt;F1476,"Bitti",IF(F1476-TODAY()&lt;=7,"Bitiyor","Aktif"))))</f>
        <v/>
      </c>
      <c r="K1476" s="19" t="str">
        <f aca="false">IF(OR(J1476="Aktif",J1476="Bitiyor"),F1476+ROW()/1000000,"")</f>
        <v/>
      </c>
    </row>
    <row r="1477" customFormat="false" ht="15" hidden="false" customHeight="false" outlineLevel="0" collapsed="false">
      <c r="A1477" s="12"/>
      <c r="B1477" s="12"/>
      <c r="C1477" s="13"/>
      <c r="D1477" s="14"/>
      <c r="E1477" s="15"/>
      <c r="F1477" s="16" t="str">
        <f aca="false">IF(OR(C1477="",D1477=""),"",EDATE(D1477,IFERROR(INDEX(Paketler!$B$5:$B$24,MATCH(C1477,Paketler!$A$5:$A$24,0)),0))-1)</f>
        <v/>
      </c>
      <c r="G1477" s="17" t="str">
        <f aca="false">IF(F1477="","",IFERROR(INDEX(Paketler!$C$5:$C$24,MATCH(C1477,Paketler!$A$5:$A$24,0)),0))</f>
        <v/>
      </c>
      <c r="H1477" s="17" t="str">
        <f aca="false">IF(F1477="","",G1477-E1477)</f>
        <v/>
      </c>
      <c r="I1477" s="18" t="str">
        <f aca="true">IF(F1477="","",F1477-TODAY())</f>
        <v/>
      </c>
      <c r="J1477" s="19" t="str">
        <f aca="true">IF(F1477="","",IF(TODAY()&lt;D1477,"Başlamadı",IF(TODAY()&gt;F1477,"Bitti",IF(F1477-TODAY()&lt;=7,"Bitiyor","Aktif"))))</f>
        <v/>
      </c>
      <c r="K1477" s="19" t="str">
        <f aca="false">IF(OR(J1477="Aktif",J1477="Bitiyor"),F1477+ROW()/1000000,"")</f>
        <v/>
      </c>
    </row>
    <row r="1478" customFormat="false" ht="15" hidden="false" customHeight="false" outlineLevel="0" collapsed="false">
      <c r="A1478" s="12"/>
      <c r="B1478" s="12"/>
      <c r="C1478" s="13"/>
      <c r="D1478" s="14"/>
      <c r="E1478" s="15"/>
      <c r="F1478" s="16" t="str">
        <f aca="false">IF(OR(C1478="",D1478=""),"",EDATE(D1478,IFERROR(INDEX(Paketler!$B$5:$B$24,MATCH(C1478,Paketler!$A$5:$A$24,0)),0))-1)</f>
        <v/>
      </c>
      <c r="G1478" s="17" t="str">
        <f aca="false">IF(F1478="","",IFERROR(INDEX(Paketler!$C$5:$C$24,MATCH(C1478,Paketler!$A$5:$A$24,0)),0))</f>
        <v/>
      </c>
      <c r="H1478" s="17" t="str">
        <f aca="false">IF(F1478="","",G1478-E1478)</f>
        <v/>
      </c>
      <c r="I1478" s="18" t="str">
        <f aca="true">IF(F1478="","",F1478-TODAY())</f>
        <v/>
      </c>
      <c r="J1478" s="19" t="str">
        <f aca="true">IF(F1478="","",IF(TODAY()&lt;D1478,"Başlamadı",IF(TODAY()&gt;F1478,"Bitti",IF(F1478-TODAY()&lt;=7,"Bitiyor","Aktif"))))</f>
        <v/>
      </c>
      <c r="K1478" s="19" t="str">
        <f aca="false">IF(OR(J1478="Aktif",J1478="Bitiyor"),F1478+ROW()/1000000,"")</f>
        <v/>
      </c>
    </row>
    <row r="1479" customFormat="false" ht="15" hidden="false" customHeight="false" outlineLevel="0" collapsed="false">
      <c r="A1479" s="12"/>
      <c r="B1479" s="12"/>
      <c r="C1479" s="13"/>
      <c r="D1479" s="14"/>
      <c r="E1479" s="15"/>
      <c r="F1479" s="16" t="str">
        <f aca="false">IF(OR(C1479="",D1479=""),"",EDATE(D1479,IFERROR(INDEX(Paketler!$B$5:$B$24,MATCH(C1479,Paketler!$A$5:$A$24,0)),0))-1)</f>
        <v/>
      </c>
      <c r="G1479" s="17" t="str">
        <f aca="false">IF(F1479="","",IFERROR(INDEX(Paketler!$C$5:$C$24,MATCH(C1479,Paketler!$A$5:$A$24,0)),0))</f>
        <v/>
      </c>
      <c r="H1479" s="17" t="str">
        <f aca="false">IF(F1479="","",G1479-E1479)</f>
        <v/>
      </c>
      <c r="I1479" s="18" t="str">
        <f aca="true">IF(F1479="","",F1479-TODAY())</f>
        <v/>
      </c>
      <c r="J1479" s="19" t="str">
        <f aca="true">IF(F1479="","",IF(TODAY()&lt;D1479,"Başlamadı",IF(TODAY()&gt;F1479,"Bitti",IF(F1479-TODAY()&lt;=7,"Bitiyor","Aktif"))))</f>
        <v/>
      </c>
      <c r="K1479" s="19" t="str">
        <f aca="false">IF(OR(J1479="Aktif",J1479="Bitiyor"),F1479+ROW()/1000000,"")</f>
        <v/>
      </c>
    </row>
    <row r="1480" customFormat="false" ht="15" hidden="false" customHeight="false" outlineLevel="0" collapsed="false">
      <c r="A1480" s="12"/>
      <c r="B1480" s="12"/>
      <c r="C1480" s="13"/>
      <c r="D1480" s="14"/>
      <c r="E1480" s="15"/>
      <c r="F1480" s="16" t="str">
        <f aca="false">IF(OR(C1480="",D1480=""),"",EDATE(D1480,IFERROR(INDEX(Paketler!$B$5:$B$24,MATCH(C1480,Paketler!$A$5:$A$24,0)),0))-1)</f>
        <v/>
      </c>
      <c r="G1480" s="17" t="str">
        <f aca="false">IF(F1480="","",IFERROR(INDEX(Paketler!$C$5:$C$24,MATCH(C1480,Paketler!$A$5:$A$24,0)),0))</f>
        <v/>
      </c>
      <c r="H1480" s="17" t="str">
        <f aca="false">IF(F1480="","",G1480-E1480)</f>
        <v/>
      </c>
      <c r="I1480" s="18" t="str">
        <f aca="true">IF(F1480="","",F1480-TODAY())</f>
        <v/>
      </c>
      <c r="J1480" s="19" t="str">
        <f aca="true">IF(F1480="","",IF(TODAY()&lt;D1480,"Başlamadı",IF(TODAY()&gt;F1480,"Bitti",IF(F1480-TODAY()&lt;=7,"Bitiyor","Aktif"))))</f>
        <v/>
      </c>
      <c r="K1480" s="19" t="str">
        <f aca="false">IF(OR(J1480="Aktif",J1480="Bitiyor"),F1480+ROW()/1000000,"")</f>
        <v/>
      </c>
    </row>
    <row r="1481" customFormat="false" ht="15" hidden="false" customHeight="false" outlineLevel="0" collapsed="false">
      <c r="A1481" s="12"/>
      <c r="B1481" s="12"/>
      <c r="C1481" s="13"/>
      <c r="D1481" s="14"/>
      <c r="E1481" s="15"/>
      <c r="F1481" s="16" t="str">
        <f aca="false">IF(OR(C1481="",D1481=""),"",EDATE(D1481,IFERROR(INDEX(Paketler!$B$5:$B$24,MATCH(C1481,Paketler!$A$5:$A$24,0)),0))-1)</f>
        <v/>
      </c>
      <c r="G1481" s="17" t="str">
        <f aca="false">IF(F1481="","",IFERROR(INDEX(Paketler!$C$5:$C$24,MATCH(C1481,Paketler!$A$5:$A$24,0)),0))</f>
        <v/>
      </c>
      <c r="H1481" s="17" t="str">
        <f aca="false">IF(F1481="","",G1481-E1481)</f>
        <v/>
      </c>
      <c r="I1481" s="18" t="str">
        <f aca="true">IF(F1481="","",F1481-TODAY())</f>
        <v/>
      </c>
      <c r="J1481" s="19" t="str">
        <f aca="true">IF(F1481="","",IF(TODAY()&lt;D1481,"Başlamadı",IF(TODAY()&gt;F1481,"Bitti",IF(F1481-TODAY()&lt;=7,"Bitiyor","Aktif"))))</f>
        <v/>
      </c>
      <c r="K1481" s="19" t="str">
        <f aca="false">IF(OR(J1481="Aktif",J1481="Bitiyor"),F1481+ROW()/1000000,"")</f>
        <v/>
      </c>
    </row>
    <row r="1482" customFormat="false" ht="15" hidden="false" customHeight="false" outlineLevel="0" collapsed="false">
      <c r="A1482" s="12"/>
      <c r="B1482" s="12"/>
      <c r="C1482" s="13"/>
      <c r="D1482" s="14"/>
      <c r="E1482" s="15"/>
      <c r="F1482" s="16" t="str">
        <f aca="false">IF(OR(C1482="",D1482=""),"",EDATE(D1482,IFERROR(INDEX(Paketler!$B$5:$B$24,MATCH(C1482,Paketler!$A$5:$A$24,0)),0))-1)</f>
        <v/>
      </c>
      <c r="G1482" s="17" t="str">
        <f aca="false">IF(F1482="","",IFERROR(INDEX(Paketler!$C$5:$C$24,MATCH(C1482,Paketler!$A$5:$A$24,0)),0))</f>
        <v/>
      </c>
      <c r="H1482" s="17" t="str">
        <f aca="false">IF(F1482="","",G1482-E1482)</f>
        <v/>
      </c>
      <c r="I1482" s="18" t="str">
        <f aca="true">IF(F1482="","",F1482-TODAY())</f>
        <v/>
      </c>
      <c r="J1482" s="19" t="str">
        <f aca="true">IF(F1482="","",IF(TODAY()&lt;D1482,"Başlamadı",IF(TODAY()&gt;F1482,"Bitti",IF(F1482-TODAY()&lt;=7,"Bitiyor","Aktif"))))</f>
        <v/>
      </c>
      <c r="K1482" s="19" t="str">
        <f aca="false">IF(OR(J1482="Aktif",J1482="Bitiyor"),F1482+ROW()/1000000,"")</f>
        <v/>
      </c>
    </row>
    <row r="1483" customFormat="false" ht="15" hidden="false" customHeight="false" outlineLevel="0" collapsed="false">
      <c r="A1483" s="12"/>
      <c r="B1483" s="12"/>
      <c r="C1483" s="13"/>
      <c r="D1483" s="14"/>
      <c r="E1483" s="15"/>
      <c r="F1483" s="16" t="str">
        <f aca="false">IF(OR(C1483="",D1483=""),"",EDATE(D1483,IFERROR(INDEX(Paketler!$B$5:$B$24,MATCH(C1483,Paketler!$A$5:$A$24,0)),0))-1)</f>
        <v/>
      </c>
      <c r="G1483" s="17" t="str">
        <f aca="false">IF(F1483="","",IFERROR(INDEX(Paketler!$C$5:$C$24,MATCH(C1483,Paketler!$A$5:$A$24,0)),0))</f>
        <v/>
      </c>
      <c r="H1483" s="17" t="str">
        <f aca="false">IF(F1483="","",G1483-E1483)</f>
        <v/>
      </c>
      <c r="I1483" s="18" t="str">
        <f aca="true">IF(F1483="","",F1483-TODAY())</f>
        <v/>
      </c>
      <c r="J1483" s="19" t="str">
        <f aca="true">IF(F1483="","",IF(TODAY()&lt;D1483,"Başlamadı",IF(TODAY()&gt;F1483,"Bitti",IF(F1483-TODAY()&lt;=7,"Bitiyor","Aktif"))))</f>
        <v/>
      </c>
      <c r="K1483" s="19" t="str">
        <f aca="false">IF(OR(J1483="Aktif",J1483="Bitiyor"),F1483+ROW()/1000000,"")</f>
        <v/>
      </c>
    </row>
    <row r="1484" customFormat="false" ht="15" hidden="false" customHeight="false" outlineLevel="0" collapsed="false">
      <c r="A1484" s="12"/>
      <c r="B1484" s="12"/>
      <c r="C1484" s="13"/>
      <c r="D1484" s="14"/>
      <c r="E1484" s="15"/>
      <c r="F1484" s="16" t="str">
        <f aca="false">IF(OR(C1484="",D1484=""),"",EDATE(D1484,IFERROR(INDEX(Paketler!$B$5:$B$24,MATCH(C1484,Paketler!$A$5:$A$24,0)),0))-1)</f>
        <v/>
      </c>
      <c r="G1484" s="17" t="str">
        <f aca="false">IF(F1484="","",IFERROR(INDEX(Paketler!$C$5:$C$24,MATCH(C1484,Paketler!$A$5:$A$24,0)),0))</f>
        <v/>
      </c>
      <c r="H1484" s="17" t="str">
        <f aca="false">IF(F1484="","",G1484-E1484)</f>
        <v/>
      </c>
      <c r="I1484" s="18" t="str">
        <f aca="true">IF(F1484="","",F1484-TODAY())</f>
        <v/>
      </c>
      <c r="J1484" s="19" t="str">
        <f aca="true">IF(F1484="","",IF(TODAY()&lt;D1484,"Başlamadı",IF(TODAY()&gt;F1484,"Bitti",IF(F1484-TODAY()&lt;=7,"Bitiyor","Aktif"))))</f>
        <v/>
      </c>
      <c r="K1484" s="19" t="str">
        <f aca="false">IF(OR(J1484="Aktif",J1484="Bitiyor"),F1484+ROW()/1000000,"")</f>
        <v/>
      </c>
    </row>
    <row r="1485" customFormat="false" ht="15" hidden="false" customHeight="false" outlineLevel="0" collapsed="false">
      <c r="A1485" s="12"/>
      <c r="B1485" s="12"/>
      <c r="C1485" s="13"/>
      <c r="D1485" s="14"/>
      <c r="E1485" s="15"/>
      <c r="F1485" s="16" t="str">
        <f aca="false">IF(OR(C1485="",D1485=""),"",EDATE(D1485,IFERROR(INDEX(Paketler!$B$5:$B$24,MATCH(C1485,Paketler!$A$5:$A$24,0)),0))-1)</f>
        <v/>
      </c>
      <c r="G1485" s="17" t="str">
        <f aca="false">IF(F1485="","",IFERROR(INDEX(Paketler!$C$5:$C$24,MATCH(C1485,Paketler!$A$5:$A$24,0)),0))</f>
        <v/>
      </c>
      <c r="H1485" s="17" t="str">
        <f aca="false">IF(F1485="","",G1485-E1485)</f>
        <v/>
      </c>
      <c r="I1485" s="18" t="str">
        <f aca="true">IF(F1485="","",F1485-TODAY())</f>
        <v/>
      </c>
      <c r="J1485" s="19" t="str">
        <f aca="true">IF(F1485="","",IF(TODAY()&lt;D1485,"Başlamadı",IF(TODAY()&gt;F1485,"Bitti",IF(F1485-TODAY()&lt;=7,"Bitiyor","Aktif"))))</f>
        <v/>
      </c>
      <c r="K1485" s="19" t="str">
        <f aca="false">IF(OR(J1485="Aktif",J1485="Bitiyor"),F1485+ROW()/1000000,"")</f>
        <v/>
      </c>
    </row>
    <row r="1486" customFormat="false" ht="15" hidden="false" customHeight="false" outlineLevel="0" collapsed="false">
      <c r="A1486" s="12"/>
      <c r="B1486" s="12"/>
      <c r="C1486" s="13"/>
      <c r="D1486" s="14"/>
      <c r="E1486" s="15"/>
      <c r="F1486" s="16" t="str">
        <f aca="false">IF(OR(C1486="",D1486=""),"",EDATE(D1486,IFERROR(INDEX(Paketler!$B$5:$B$24,MATCH(C1486,Paketler!$A$5:$A$24,0)),0))-1)</f>
        <v/>
      </c>
      <c r="G1486" s="17" t="str">
        <f aca="false">IF(F1486="","",IFERROR(INDEX(Paketler!$C$5:$C$24,MATCH(C1486,Paketler!$A$5:$A$24,0)),0))</f>
        <v/>
      </c>
      <c r="H1486" s="17" t="str">
        <f aca="false">IF(F1486="","",G1486-E1486)</f>
        <v/>
      </c>
      <c r="I1486" s="18" t="str">
        <f aca="true">IF(F1486="","",F1486-TODAY())</f>
        <v/>
      </c>
      <c r="J1486" s="19" t="str">
        <f aca="true">IF(F1486="","",IF(TODAY()&lt;D1486,"Başlamadı",IF(TODAY()&gt;F1486,"Bitti",IF(F1486-TODAY()&lt;=7,"Bitiyor","Aktif"))))</f>
        <v/>
      </c>
      <c r="K1486" s="19" t="str">
        <f aca="false">IF(OR(J1486="Aktif",J1486="Bitiyor"),F1486+ROW()/1000000,"")</f>
        <v/>
      </c>
    </row>
    <row r="1487" customFormat="false" ht="15" hidden="false" customHeight="false" outlineLevel="0" collapsed="false">
      <c r="A1487" s="12"/>
      <c r="B1487" s="12"/>
      <c r="C1487" s="13"/>
      <c r="D1487" s="14"/>
      <c r="E1487" s="15"/>
      <c r="F1487" s="16" t="str">
        <f aca="false">IF(OR(C1487="",D1487=""),"",EDATE(D1487,IFERROR(INDEX(Paketler!$B$5:$B$24,MATCH(C1487,Paketler!$A$5:$A$24,0)),0))-1)</f>
        <v/>
      </c>
      <c r="G1487" s="17" t="str">
        <f aca="false">IF(F1487="","",IFERROR(INDEX(Paketler!$C$5:$C$24,MATCH(C1487,Paketler!$A$5:$A$24,0)),0))</f>
        <v/>
      </c>
      <c r="H1487" s="17" t="str">
        <f aca="false">IF(F1487="","",G1487-E1487)</f>
        <v/>
      </c>
      <c r="I1487" s="18" t="str">
        <f aca="true">IF(F1487="","",F1487-TODAY())</f>
        <v/>
      </c>
      <c r="J1487" s="19" t="str">
        <f aca="true">IF(F1487="","",IF(TODAY()&lt;D1487,"Başlamadı",IF(TODAY()&gt;F1487,"Bitti",IF(F1487-TODAY()&lt;=7,"Bitiyor","Aktif"))))</f>
        <v/>
      </c>
      <c r="K1487" s="19" t="str">
        <f aca="false">IF(OR(J1487="Aktif",J1487="Bitiyor"),F1487+ROW()/1000000,"")</f>
        <v/>
      </c>
    </row>
    <row r="1488" customFormat="false" ht="15" hidden="false" customHeight="false" outlineLevel="0" collapsed="false">
      <c r="A1488" s="12"/>
      <c r="B1488" s="12"/>
      <c r="C1488" s="13"/>
      <c r="D1488" s="14"/>
      <c r="E1488" s="15"/>
      <c r="F1488" s="16" t="str">
        <f aca="false">IF(OR(C1488="",D1488=""),"",EDATE(D1488,IFERROR(INDEX(Paketler!$B$5:$B$24,MATCH(C1488,Paketler!$A$5:$A$24,0)),0))-1)</f>
        <v/>
      </c>
      <c r="G1488" s="17" t="str">
        <f aca="false">IF(F1488="","",IFERROR(INDEX(Paketler!$C$5:$C$24,MATCH(C1488,Paketler!$A$5:$A$24,0)),0))</f>
        <v/>
      </c>
      <c r="H1488" s="17" t="str">
        <f aca="false">IF(F1488="","",G1488-E1488)</f>
        <v/>
      </c>
      <c r="I1488" s="18" t="str">
        <f aca="true">IF(F1488="","",F1488-TODAY())</f>
        <v/>
      </c>
      <c r="J1488" s="19" t="str">
        <f aca="true">IF(F1488="","",IF(TODAY()&lt;D1488,"Başlamadı",IF(TODAY()&gt;F1488,"Bitti",IF(F1488-TODAY()&lt;=7,"Bitiyor","Aktif"))))</f>
        <v/>
      </c>
      <c r="K1488" s="19" t="str">
        <f aca="false">IF(OR(J1488="Aktif",J1488="Bitiyor"),F1488+ROW()/1000000,"")</f>
        <v/>
      </c>
    </row>
    <row r="1489" customFormat="false" ht="15" hidden="false" customHeight="false" outlineLevel="0" collapsed="false">
      <c r="A1489" s="12"/>
      <c r="B1489" s="12"/>
      <c r="C1489" s="13"/>
      <c r="D1489" s="14"/>
      <c r="E1489" s="15"/>
      <c r="F1489" s="16" t="str">
        <f aca="false">IF(OR(C1489="",D1489=""),"",EDATE(D1489,IFERROR(INDEX(Paketler!$B$5:$B$24,MATCH(C1489,Paketler!$A$5:$A$24,0)),0))-1)</f>
        <v/>
      </c>
      <c r="G1489" s="17" t="str">
        <f aca="false">IF(F1489="","",IFERROR(INDEX(Paketler!$C$5:$C$24,MATCH(C1489,Paketler!$A$5:$A$24,0)),0))</f>
        <v/>
      </c>
      <c r="H1489" s="17" t="str">
        <f aca="false">IF(F1489="","",G1489-E1489)</f>
        <v/>
      </c>
      <c r="I1489" s="18" t="str">
        <f aca="true">IF(F1489="","",F1489-TODAY())</f>
        <v/>
      </c>
      <c r="J1489" s="19" t="str">
        <f aca="true">IF(F1489="","",IF(TODAY()&lt;D1489,"Başlamadı",IF(TODAY()&gt;F1489,"Bitti",IF(F1489-TODAY()&lt;=7,"Bitiyor","Aktif"))))</f>
        <v/>
      </c>
      <c r="K1489" s="19" t="str">
        <f aca="false">IF(OR(J1489="Aktif",J1489="Bitiyor"),F1489+ROW()/1000000,"")</f>
        <v/>
      </c>
    </row>
    <row r="1490" customFormat="false" ht="15" hidden="false" customHeight="false" outlineLevel="0" collapsed="false">
      <c r="A1490" s="12"/>
      <c r="B1490" s="12"/>
      <c r="C1490" s="13"/>
      <c r="D1490" s="14"/>
      <c r="E1490" s="15"/>
      <c r="F1490" s="16" t="str">
        <f aca="false">IF(OR(C1490="",D1490=""),"",EDATE(D1490,IFERROR(INDEX(Paketler!$B$5:$B$24,MATCH(C1490,Paketler!$A$5:$A$24,0)),0))-1)</f>
        <v/>
      </c>
      <c r="G1490" s="17" t="str">
        <f aca="false">IF(F1490="","",IFERROR(INDEX(Paketler!$C$5:$C$24,MATCH(C1490,Paketler!$A$5:$A$24,0)),0))</f>
        <v/>
      </c>
      <c r="H1490" s="17" t="str">
        <f aca="false">IF(F1490="","",G1490-E1490)</f>
        <v/>
      </c>
      <c r="I1490" s="18" t="str">
        <f aca="true">IF(F1490="","",F1490-TODAY())</f>
        <v/>
      </c>
      <c r="J1490" s="19" t="str">
        <f aca="true">IF(F1490="","",IF(TODAY()&lt;D1490,"Başlamadı",IF(TODAY()&gt;F1490,"Bitti",IF(F1490-TODAY()&lt;=7,"Bitiyor","Aktif"))))</f>
        <v/>
      </c>
      <c r="K1490" s="19" t="str">
        <f aca="false">IF(OR(J1490="Aktif",J1490="Bitiyor"),F1490+ROW()/1000000,"")</f>
        <v/>
      </c>
    </row>
    <row r="1491" customFormat="false" ht="15" hidden="false" customHeight="false" outlineLevel="0" collapsed="false">
      <c r="A1491" s="12"/>
      <c r="B1491" s="12"/>
      <c r="C1491" s="13"/>
      <c r="D1491" s="14"/>
      <c r="E1491" s="15"/>
      <c r="F1491" s="16" t="str">
        <f aca="false">IF(OR(C1491="",D1491=""),"",EDATE(D1491,IFERROR(INDEX(Paketler!$B$5:$B$24,MATCH(C1491,Paketler!$A$5:$A$24,0)),0))-1)</f>
        <v/>
      </c>
      <c r="G1491" s="17" t="str">
        <f aca="false">IF(F1491="","",IFERROR(INDEX(Paketler!$C$5:$C$24,MATCH(C1491,Paketler!$A$5:$A$24,0)),0))</f>
        <v/>
      </c>
      <c r="H1491" s="17" t="str">
        <f aca="false">IF(F1491="","",G1491-E1491)</f>
        <v/>
      </c>
      <c r="I1491" s="18" t="str">
        <f aca="true">IF(F1491="","",F1491-TODAY())</f>
        <v/>
      </c>
      <c r="J1491" s="19" t="str">
        <f aca="true">IF(F1491="","",IF(TODAY()&lt;D1491,"Başlamadı",IF(TODAY()&gt;F1491,"Bitti",IF(F1491-TODAY()&lt;=7,"Bitiyor","Aktif"))))</f>
        <v/>
      </c>
      <c r="K1491" s="19" t="str">
        <f aca="false">IF(OR(J1491="Aktif",J1491="Bitiyor"),F1491+ROW()/1000000,"")</f>
        <v/>
      </c>
    </row>
    <row r="1492" customFormat="false" ht="15" hidden="false" customHeight="false" outlineLevel="0" collapsed="false">
      <c r="A1492" s="12"/>
      <c r="B1492" s="12"/>
      <c r="C1492" s="13"/>
      <c r="D1492" s="14"/>
      <c r="E1492" s="15"/>
      <c r="F1492" s="16" t="str">
        <f aca="false">IF(OR(C1492="",D1492=""),"",EDATE(D1492,IFERROR(INDEX(Paketler!$B$5:$B$24,MATCH(C1492,Paketler!$A$5:$A$24,0)),0))-1)</f>
        <v/>
      </c>
      <c r="G1492" s="17" t="str">
        <f aca="false">IF(F1492="","",IFERROR(INDEX(Paketler!$C$5:$C$24,MATCH(C1492,Paketler!$A$5:$A$24,0)),0))</f>
        <v/>
      </c>
      <c r="H1492" s="17" t="str">
        <f aca="false">IF(F1492="","",G1492-E1492)</f>
        <v/>
      </c>
      <c r="I1492" s="18" t="str">
        <f aca="true">IF(F1492="","",F1492-TODAY())</f>
        <v/>
      </c>
      <c r="J1492" s="19" t="str">
        <f aca="true">IF(F1492="","",IF(TODAY()&lt;D1492,"Başlamadı",IF(TODAY()&gt;F1492,"Bitti",IF(F1492-TODAY()&lt;=7,"Bitiyor","Aktif"))))</f>
        <v/>
      </c>
      <c r="K1492" s="19" t="str">
        <f aca="false">IF(OR(J1492="Aktif",J1492="Bitiyor"),F1492+ROW()/1000000,"")</f>
        <v/>
      </c>
    </row>
    <row r="1493" customFormat="false" ht="15" hidden="false" customHeight="false" outlineLevel="0" collapsed="false">
      <c r="A1493" s="12"/>
      <c r="B1493" s="12"/>
      <c r="C1493" s="13"/>
      <c r="D1493" s="14"/>
      <c r="E1493" s="15"/>
      <c r="F1493" s="16" t="str">
        <f aca="false">IF(OR(C1493="",D1493=""),"",EDATE(D1493,IFERROR(INDEX(Paketler!$B$5:$B$24,MATCH(C1493,Paketler!$A$5:$A$24,0)),0))-1)</f>
        <v/>
      </c>
      <c r="G1493" s="17" t="str">
        <f aca="false">IF(F1493="","",IFERROR(INDEX(Paketler!$C$5:$C$24,MATCH(C1493,Paketler!$A$5:$A$24,0)),0))</f>
        <v/>
      </c>
      <c r="H1493" s="17" t="str">
        <f aca="false">IF(F1493="","",G1493-E1493)</f>
        <v/>
      </c>
      <c r="I1493" s="18" t="str">
        <f aca="true">IF(F1493="","",F1493-TODAY())</f>
        <v/>
      </c>
      <c r="J1493" s="19" t="str">
        <f aca="true">IF(F1493="","",IF(TODAY()&lt;D1493,"Başlamadı",IF(TODAY()&gt;F1493,"Bitti",IF(F1493-TODAY()&lt;=7,"Bitiyor","Aktif"))))</f>
        <v/>
      </c>
      <c r="K1493" s="19" t="str">
        <f aca="false">IF(OR(J1493="Aktif",J1493="Bitiyor"),F1493+ROW()/1000000,"")</f>
        <v/>
      </c>
    </row>
    <row r="1494" customFormat="false" ht="15" hidden="false" customHeight="false" outlineLevel="0" collapsed="false">
      <c r="A1494" s="12"/>
      <c r="B1494" s="12"/>
      <c r="C1494" s="13"/>
      <c r="D1494" s="14"/>
      <c r="E1494" s="15"/>
      <c r="F1494" s="16" t="str">
        <f aca="false">IF(OR(C1494="",D1494=""),"",EDATE(D1494,IFERROR(INDEX(Paketler!$B$5:$B$24,MATCH(C1494,Paketler!$A$5:$A$24,0)),0))-1)</f>
        <v/>
      </c>
      <c r="G1494" s="17" t="str">
        <f aca="false">IF(F1494="","",IFERROR(INDEX(Paketler!$C$5:$C$24,MATCH(C1494,Paketler!$A$5:$A$24,0)),0))</f>
        <v/>
      </c>
      <c r="H1494" s="17" t="str">
        <f aca="false">IF(F1494="","",G1494-E1494)</f>
        <v/>
      </c>
      <c r="I1494" s="18" t="str">
        <f aca="true">IF(F1494="","",F1494-TODAY())</f>
        <v/>
      </c>
      <c r="J1494" s="19" t="str">
        <f aca="true">IF(F1494="","",IF(TODAY()&lt;D1494,"Başlamadı",IF(TODAY()&gt;F1494,"Bitti",IF(F1494-TODAY()&lt;=7,"Bitiyor","Aktif"))))</f>
        <v/>
      </c>
      <c r="K1494" s="19" t="str">
        <f aca="false">IF(OR(J1494="Aktif",J1494="Bitiyor"),F1494+ROW()/1000000,"")</f>
        <v/>
      </c>
    </row>
    <row r="1495" customFormat="false" ht="15" hidden="false" customHeight="false" outlineLevel="0" collapsed="false">
      <c r="A1495" s="12"/>
      <c r="B1495" s="12"/>
      <c r="C1495" s="13"/>
      <c r="D1495" s="14"/>
      <c r="E1495" s="15"/>
      <c r="F1495" s="16" t="str">
        <f aca="false">IF(OR(C1495="",D1495=""),"",EDATE(D1495,IFERROR(INDEX(Paketler!$B$5:$B$24,MATCH(C1495,Paketler!$A$5:$A$24,0)),0))-1)</f>
        <v/>
      </c>
      <c r="G1495" s="17" t="str">
        <f aca="false">IF(F1495="","",IFERROR(INDEX(Paketler!$C$5:$C$24,MATCH(C1495,Paketler!$A$5:$A$24,0)),0))</f>
        <v/>
      </c>
      <c r="H1495" s="17" t="str">
        <f aca="false">IF(F1495="","",G1495-E1495)</f>
        <v/>
      </c>
      <c r="I1495" s="18" t="str">
        <f aca="true">IF(F1495="","",F1495-TODAY())</f>
        <v/>
      </c>
      <c r="J1495" s="19" t="str">
        <f aca="true">IF(F1495="","",IF(TODAY()&lt;D1495,"Başlamadı",IF(TODAY()&gt;F1495,"Bitti",IF(F1495-TODAY()&lt;=7,"Bitiyor","Aktif"))))</f>
        <v/>
      </c>
      <c r="K1495" s="19" t="str">
        <f aca="false">IF(OR(J1495="Aktif",J1495="Bitiyor"),F1495+ROW()/1000000,"")</f>
        <v/>
      </c>
    </row>
    <row r="1496" customFormat="false" ht="15" hidden="false" customHeight="false" outlineLevel="0" collapsed="false">
      <c r="A1496" s="12"/>
      <c r="B1496" s="12"/>
      <c r="C1496" s="13"/>
      <c r="D1496" s="14"/>
      <c r="E1496" s="15"/>
      <c r="F1496" s="16" t="str">
        <f aca="false">IF(OR(C1496="",D1496=""),"",EDATE(D1496,IFERROR(INDEX(Paketler!$B$5:$B$24,MATCH(C1496,Paketler!$A$5:$A$24,0)),0))-1)</f>
        <v/>
      </c>
      <c r="G1496" s="17" t="str">
        <f aca="false">IF(F1496="","",IFERROR(INDEX(Paketler!$C$5:$C$24,MATCH(C1496,Paketler!$A$5:$A$24,0)),0))</f>
        <v/>
      </c>
      <c r="H1496" s="17" t="str">
        <f aca="false">IF(F1496="","",G1496-E1496)</f>
        <v/>
      </c>
      <c r="I1496" s="18" t="str">
        <f aca="true">IF(F1496="","",F1496-TODAY())</f>
        <v/>
      </c>
      <c r="J1496" s="19" t="str">
        <f aca="true">IF(F1496="","",IF(TODAY()&lt;D1496,"Başlamadı",IF(TODAY()&gt;F1496,"Bitti",IF(F1496-TODAY()&lt;=7,"Bitiyor","Aktif"))))</f>
        <v/>
      </c>
      <c r="K1496" s="19" t="str">
        <f aca="false">IF(OR(J1496="Aktif",J1496="Bitiyor"),F1496+ROW()/1000000,"")</f>
        <v/>
      </c>
    </row>
    <row r="1497" customFormat="false" ht="15" hidden="false" customHeight="false" outlineLevel="0" collapsed="false">
      <c r="A1497" s="12"/>
      <c r="B1497" s="12"/>
      <c r="C1497" s="13"/>
      <c r="D1497" s="14"/>
      <c r="E1497" s="15"/>
      <c r="F1497" s="16" t="str">
        <f aca="false">IF(OR(C1497="",D1497=""),"",EDATE(D1497,IFERROR(INDEX(Paketler!$B$5:$B$24,MATCH(C1497,Paketler!$A$5:$A$24,0)),0))-1)</f>
        <v/>
      </c>
      <c r="G1497" s="17" t="str">
        <f aca="false">IF(F1497="","",IFERROR(INDEX(Paketler!$C$5:$C$24,MATCH(C1497,Paketler!$A$5:$A$24,0)),0))</f>
        <v/>
      </c>
      <c r="H1497" s="17" t="str">
        <f aca="false">IF(F1497="","",G1497-E1497)</f>
        <v/>
      </c>
      <c r="I1497" s="18" t="str">
        <f aca="true">IF(F1497="","",F1497-TODAY())</f>
        <v/>
      </c>
      <c r="J1497" s="19" t="str">
        <f aca="true">IF(F1497="","",IF(TODAY()&lt;D1497,"Başlamadı",IF(TODAY()&gt;F1497,"Bitti",IF(F1497-TODAY()&lt;=7,"Bitiyor","Aktif"))))</f>
        <v/>
      </c>
      <c r="K1497" s="19" t="str">
        <f aca="false">IF(OR(J1497="Aktif",J1497="Bitiyor"),F1497+ROW()/1000000,"")</f>
        <v/>
      </c>
    </row>
    <row r="1498" customFormat="false" ht="15" hidden="false" customHeight="false" outlineLevel="0" collapsed="false">
      <c r="A1498" s="12"/>
      <c r="B1498" s="12"/>
      <c r="C1498" s="13"/>
      <c r="D1498" s="14"/>
      <c r="E1498" s="15"/>
      <c r="F1498" s="16" t="str">
        <f aca="false">IF(OR(C1498="",D1498=""),"",EDATE(D1498,IFERROR(INDEX(Paketler!$B$5:$B$24,MATCH(C1498,Paketler!$A$5:$A$24,0)),0))-1)</f>
        <v/>
      </c>
      <c r="G1498" s="17" t="str">
        <f aca="false">IF(F1498="","",IFERROR(INDEX(Paketler!$C$5:$C$24,MATCH(C1498,Paketler!$A$5:$A$24,0)),0))</f>
        <v/>
      </c>
      <c r="H1498" s="17" t="str">
        <f aca="false">IF(F1498="","",G1498-E1498)</f>
        <v/>
      </c>
      <c r="I1498" s="18" t="str">
        <f aca="true">IF(F1498="","",F1498-TODAY())</f>
        <v/>
      </c>
      <c r="J1498" s="19" t="str">
        <f aca="true">IF(F1498="","",IF(TODAY()&lt;D1498,"Başlamadı",IF(TODAY()&gt;F1498,"Bitti",IF(F1498-TODAY()&lt;=7,"Bitiyor","Aktif"))))</f>
        <v/>
      </c>
      <c r="K1498" s="19" t="str">
        <f aca="false">IF(OR(J1498="Aktif",J1498="Bitiyor"),F1498+ROW()/1000000,"")</f>
        <v/>
      </c>
    </row>
    <row r="1499" customFormat="false" ht="15" hidden="false" customHeight="false" outlineLevel="0" collapsed="false">
      <c r="A1499" s="12"/>
      <c r="B1499" s="12"/>
      <c r="C1499" s="13"/>
      <c r="D1499" s="14"/>
      <c r="E1499" s="15"/>
      <c r="F1499" s="16" t="str">
        <f aca="false">IF(OR(C1499="",D1499=""),"",EDATE(D1499,IFERROR(INDEX(Paketler!$B$5:$B$24,MATCH(C1499,Paketler!$A$5:$A$24,0)),0))-1)</f>
        <v/>
      </c>
      <c r="G1499" s="17" t="str">
        <f aca="false">IF(F1499="","",IFERROR(INDEX(Paketler!$C$5:$C$24,MATCH(C1499,Paketler!$A$5:$A$24,0)),0))</f>
        <v/>
      </c>
      <c r="H1499" s="17" t="str">
        <f aca="false">IF(F1499="","",G1499-E1499)</f>
        <v/>
      </c>
      <c r="I1499" s="18" t="str">
        <f aca="true">IF(F1499="","",F1499-TODAY())</f>
        <v/>
      </c>
      <c r="J1499" s="19" t="str">
        <f aca="true">IF(F1499="","",IF(TODAY()&lt;D1499,"Başlamadı",IF(TODAY()&gt;F1499,"Bitti",IF(F1499-TODAY()&lt;=7,"Bitiyor","Aktif"))))</f>
        <v/>
      </c>
      <c r="K1499" s="19" t="str">
        <f aca="false">IF(OR(J1499="Aktif",J1499="Bitiyor"),F1499+ROW()/1000000,"")</f>
        <v/>
      </c>
    </row>
    <row r="1500" customFormat="false" ht="15" hidden="false" customHeight="false" outlineLevel="0" collapsed="false">
      <c r="A1500" s="12"/>
      <c r="B1500" s="12"/>
      <c r="C1500" s="13"/>
      <c r="D1500" s="14"/>
      <c r="E1500" s="15"/>
      <c r="F1500" s="16" t="str">
        <f aca="false">IF(OR(C1500="",D1500=""),"",EDATE(D1500,IFERROR(INDEX(Paketler!$B$5:$B$24,MATCH(C1500,Paketler!$A$5:$A$24,0)),0))-1)</f>
        <v/>
      </c>
      <c r="G1500" s="17" t="str">
        <f aca="false">IF(F1500="","",IFERROR(INDEX(Paketler!$C$5:$C$24,MATCH(C1500,Paketler!$A$5:$A$24,0)),0))</f>
        <v/>
      </c>
      <c r="H1500" s="17" t="str">
        <f aca="false">IF(F1500="","",G1500-E1500)</f>
        <v/>
      </c>
      <c r="I1500" s="18" t="str">
        <f aca="true">IF(F1500="","",F1500-TODAY())</f>
        <v/>
      </c>
      <c r="J1500" s="19" t="str">
        <f aca="true">IF(F1500="","",IF(TODAY()&lt;D1500,"Başlamadı",IF(TODAY()&gt;F1500,"Bitti",IF(F1500-TODAY()&lt;=7,"Bitiyor","Aktif"))))</f>
        <v/>
      </c>
      <c r="K1500" s="19" t="str">
        <f aca="false">IF(OR(J1500="Aktif",J1500="Bitiyor"),F1500+ROW()/1000000,"")</f>
        <v/>
      </c>
    </row>
    <row r="1501" customFormat="false" ht="15" hidden="false" customHeight="false" outlineLevel="0" collapsed="false">
      <c r="A1501" s="12"/>
      <c r="B1501" s="12"/>
      <c r="C1501" s="13"/>
      <c r="D1501" s="14"/>
      <c r="E1501" s="15"/>
      <c r="F1501" s="16" t="str">
        <f aca="false">IF(OR(C1501="",D1501=""),"",EDATE(D1501,IFERROR(INDEX(Paketler!$B$5:$B$24,MATCH(C1501,Paketler!$A$5:$A$24,0)),0))-1)</f>
        <v/>
      </c>
      <c r="G1501" s="17" t="str">
        <f aca="false">IF(F1501="","",IFERROR(INDEX(Paketler!$C$5:$C$24,MATCH(C1501,Paketler!$A$5:$A$24,0)),0))</f>
        <v/>
      </c>
      <c r="H1501" s="17" t="str">
        <f aca="false">IF(F1501="","",G1501-E1501)</f>
        <v/>
      </c>
      <c r="I1501" s="18" t="str">
        <f aca="true">IF(F1501="","",F1501-TODAY())</f>
        <v/>
      </c>
      <c r="J1501" s="19" t="str">
        <f aca="true">IF(F1501="","",IF(TODAY()&lt;D1501,"Başlamadı",IF(TODAY()&gt;F1501,"Bitti",IF(F1501-TODAY()&lt;=7,"Bitiyor","Aktif"))))</f>
        <v/>
      </c>
      <c r="K1501" s="19" t="str">
        <f aca="false">IF(OR(J1501="Aktif",J1501="Bitiyor"),F1501+ROW()/1000000,"")</f>
        <v/>
      </c>
    </row>
    <row r="1502" customFormat="false" ht="15" hidden="false" customHeight="false" outlineLevel="0" collapsed="false">
      <c r="A1502" s="12"/>
      <c r="B1502" s="12"/>
      <c r="C1502" s="13"/>
      <c r="D1502" s="14"/>
      <c r="E1502" s="15"/>
      <c r="F1502" s="16" t="str">
        <f aca="false">IF(OR(C1502="",D1502=""),"",EDATE(D1502,IFERROR(INDEX(Paketler!$B$5:$B$24,MATCH(C1502,Paketler!$A$5:$A$24,0)),0))-1)</f>
        <v/>
      </c>
      <c r="G1502" s="17" t="str">
        <f aca="false">IF(F1502="","",IFERROR(INDEX(Paketler!$C$5:$C$24,MATCH(C1502,Paketler!$A$5:$A$24,0)),0))</f>
        <v/>
      </c>
      <c r="H1502" s="17" t="str">
        <f aca="false">IF(F1502="","",G1502-E1502)</f>
        <v/>
      </c>
      <c r="I1502" s="18" t="str">
        <f aca="true">IF(F1502="","",F1502-TODAY())</f>
        <v/>
      </c>
      <c r="J1502" s="19" t="str">
        <f aca="true">IF(F1502="","",IF(TODAY()&lt;D1502,"Başlamadı",IF(TODAY()&gt;F1502,"Bitti",IF(F1502-TODAY()&lt;=7,"Bitiyor","Aktif"))))</f>
        <v/>
      </c>
      <c r="K1502" s="19" t="str">
        <f aca="false">IF(OR(J1502="Aktif",J1502="Bitiyor"),F1502+ROW()/1000000,"")</f>
        <v/>
      </c>
    </row>
    <row r="1503" customFormat="false" ht="15" hidden="false" customHeight="false" outlineLevel="0" collapsed="false">
      <c r="A1503" s="12"/>
      <c r="B1503" s="12"/>
      <c r="C1503" s="13"/>
      <c r="D1503" s="14"/>
      <c r="E1503" s="15"/>
      <c r="F1503" s="16" t="str">
        <f aca="false">IF(OR(C1503="",D1503=""),"",EDATE(D1503,IFERROR(INDEX(Paketler!$B$5:$B$24,MATCH(C1503,Paketler!$A$5:$A$24,0)),0))-1)</f>
        <v/>
      </c>
      <c r="G1503" s="17" t="str">
        <f aca="false">IF(F1503="","",IFERROR(INDEX(Paketler!$C$5:$C$24,MATCH(C1503,Paketler!$A$5:$A$24,0)),0))</f>
        <v/>
      </c>
      <c r="H1503" s="17" t="str">
        <f aca="false">IF(F1503="","",G1503-E1503)</f>
        <v/>
      </c>
      <c r="I1503" s="18" t="str">
        <f aca="true">IF(F1503="","",F1503-TODAY())</f>
        <v/>
      </c>
      <c r="J1503" s="19" t="str">
        <f aca="true">IF(F1503="","",IF(TODAY()&lt;D1503,"Başlamadı",IF(TODAY()&gt;F1503,"Bitti",IF(F1503-TODAY()&lt;=7,"Bitiyor","Aktif"))))</f>
        <v/>
      </c>
      <c r="K1503" s="19" t="str">
        <f aca="false">IF(OR(J1503="Aktif",J1503="Bitiyor"),F1503+ROW()/1000000,"")</f>
        <v/>
      </c>
    </row>
    <row r="1504" customFormat="false" ht="15" hidden="false" customHeight="false" outlineLevel="0" collapsed="false">
      <c r="A1504" s="12"/>
      <c r="B1504" s="12"/>
      <c r="C1504" s="13"/>
      <c r="D1504" s="14"/>
      <c r="E1504" s="15"/>
      <c r="F1504" s="16" t="str">
        <f aca="false">IF(OR(C1504="",D1504=""),"",EDATE(D1504,IFERROR(INDEX(Paketler!$B$5:$B$24,MATCH(C1504,Paketler!$A$5:$A$24,0)),0))-1)</f>
        <v/>
      </c>
      <c r="G1504" s="17" t="str">
        <f aca="false">IF(F1504="","",IFERROR(INDEX(Paketler!$C$5:$C$24,MATCH(C1504,Paketler!$A$5:$A$24,0)),0))</f>
        <v/>
      </c>
      <c r="H1504" s="17" t="str">
        <f aca="false">IF(F1504="","",G1504-E1504)</f>
        <v/>
      </c>
      <c r="I1504" s="18" t="str">
        <f aca="true">IF(F1504="","",F1504-TODAY())</f>
        <v/>
      </c>
      <c r="J1504" s="19" t="str">
        <f aca="true">IF(F1504="","",IF(TODAY()&lt;D1504,"Başlamadı",IF(TODAY()&gt;F1504,"Bitti",IF(F1504-TODAY()&lt;=7,"Bitiyor","Aktif"))))</f>
        <v/>
      </c>
      <c r="K1504" s="19" t="str">
        <f aca="false">IF(OR(J1504="Aktif",J1504="Bitiyor"),F1504+ROW()/1000000,"")</f>
        <v/>
      </c>
    </row>
    <row r="1505" customFormat="false" ht="15" hidden="false" customHeight="false" outlineLevel="0" collapsed="false">
      <c r="A1505" s="12"/>
      <c r="B1505" s="12"/>
      <c r="C1505" s="13"/>
      <c r="D1505" s="14"/>
      <c r="E1505" s="15"/>
      <c r="F1505" s="16" t="str">
        <f aca="false">IF(OR(C1505="",D1505=""),"",EDATE(D1505,IFERROR(INDEX(Paketler!$B$5:$B$24,MATCH(C1505,Paketler!$A$5:$A$24,0)),0))-1)</f>
        <v/>
      </c>
      <c r="G1505" s="17" t="str">
        <f aca="false">IF(F1505="","",IFERROR(INDEX(Paketler!$C$5:$C$24,MATCH(C1505,Paketler!$A$5:$A$24,0)),0))</f>
        <v/>
      </c>
      <c r="H1505" s="17" t="str">
        <f aca="false">IF(F1505="","",G1505-E1505)</f>
        <v/>
      </c>
      <c r="I1505" s="18" t="str">
        <f aca="true">IF(F1505="","",F1505-TODAY())</f>
        <v/>
      </c>
      <c r="J1505" s="19" t="str">
        <f aca="true">IF(F1505="","",IF(TODAY()&lt;D1505,"Başlamadı",IF(TODAY()&gt;F1505,"Bitti",IF(F1505-TODAY()&lt;=7,"Bitiyor","Aktif"))))</f>
        <v/>
      </c>
      <c r="K1505" s="19" t="str">
        <f aca="false">IF(OR(J1505="Aktif",J1505="Bitiyor"),F1505+ROW()/1000000,"")</f>
        <v/>
      </c>
    </row>
    <row r="1506" customFormat="false" ht="15" hidden="false" customHeight="false" outlineLevel="0" collapsed="false">
      <c r="A1506" s="12"/>
      <c r="B1506" s="12"/>
      <c r="C1506" s="13"/>
      <c r="D1506" s="14"/>
      <c r="E1506" s="15"/>
      <c r="F1506" s="16" t="str">
        <f aca="false">IF(OR(C1506="",D1506=""),"",EDATE(D1506,IFERROR(INDEX(Paketler!$B$5:$B$24,MATCH(C1506,Paketler!$A$5:$A$24,0)),0))-1)</f>
        <v/>
      </c>
      <c r="G1506" s="17" t="str">
        <f aca="false">IF(F1506="","",IFERROR(INDEX(Paketler!$C$5:$C$24,MATCH(C1506,Paketler!$A$5:$A$24,0)),0))</f>
        <v/>
      </c>
      <c r="H1506" s="17" t="str">
        <f aca="false">IF(F1506="","",G1506-E1506)</f>
        <v/>
      </c>
      <c r="I1506" s="18" t="str">
        <f aca="true">IF(F1506="","",F1506-TODAY())</f>
        <v/>
      </c>
      <c r="J1506" s="19" t="str">
        <f aca="true">IF(F1506="","",IF(TODAY()&lt;D1506,"Başlamadı",IF(TODAY()&gt;F1506,"Bitti",IF(F1506-TODAY()&lt;=7,"Bitiyor","Aktif"))))</f>
        <v/>
      </c>
      <c r="K1506" s="19" t="str">
        <f aca="false">IF(OR(J1506="Aktif",J1506="Bitiyor"),F1506+ROW()/1000000,"")</f>
        <v/>
      </c>
    </row>
    <row r="1507" customFormat="false" ht="15" hidden="false" customHeight="false" outlineLevel="0" collapsed="false">
      <c r="A1507" s="12"/>
      <c r="B1507" s="12"/>
      <c r="C1507" s="13"/>
      <c r="D1507" s="14"/>
      <c r="E1507" s="15"/>
      <c r="F1507" s="16" t="str">
        <f aca="false">IF(OR(C1507="",D1507=""),"",EDATE(D1507,IFERROR(INDEX(Paketler!$B$5:$B$24,MATCH(C1507,Paketler!$A$5:$A$24,0)),0))-1)</f>
        <v/>
      </c>
      <c r="G1507" s="17" t="str">
        <f aca="false">IF(F1507="","",IFERROR(INDEX(Paketler!$C$5:$C$24,MATCH(C1507,Paketler!$A$5:$A$24,0)),0))</f>
        <v/>
      </c>
      <c r="H1507" s="17" t="str">
        <f aca="false">IF(F1507="","",G1507-E1507)</f>
        <v/>
      </c>
      <c r="I1507" s="18" t="str">
        <f aca="true">IF(F1507="","",F1507-TODAY())</f>
        <v/>
      </c>
      <c r="J1507" s="19" t="str">
        <f aca="true">IF(F1507="","",IF(TODAY()&lt;D1507,"Başlamadı",IF(TODAY()&gt;F1507,"Bitti",IF(F1507-TODAY()&lt;=7,"Bitiyor","Aktif"))))</f>
        <v/>
      </c>
      <c r="K1507" s="19" t="str">
        <f aca="false">IF(OR(J1507="Aktif",J1507="Bitiyor"),F1507+ROW()/1000000,"")</f>
        <v/>
      </c>
    </row>
    <row r="1508" customFormat="false" ht="15" hidden="false" customHeight="false" outlineLevel="0" collapsed="false">
      <c r="A1508" s="12"/>
      <c r="B1508" s="12"/>
      <c r="C1508" s="13"/>
      <c r="D1508" s="14"/>
      <c r="E1508" s="15"/>
      <c r="F1508" s="16" t="str">
        <f aca="false">IF(OR(C1508="",D1508=""),"",EDATE(D1508,IFERROR(INDEX(Paketler!$B$5:$B$24,MATCH(C1508,Paketler!$A$5:$A$24,0)),0))-1)</f>
        <v/>
      </c>
      <c r="G1508" s="17" t="str">
        <f aca="false">IF(F1508="","",IFERROR(INDEX(Paketler!$C$5:$C$24,MATCH(C1508,Paketler!$A$5:$A$24,0)),0))</f>
        <v/>
      </c>
      <c r="H1508" s="17" t="str">
        <f aca="false">IF(F1508="","",G1508-E1508)</f>
        <v/>
      </c>
      <c r="I1508" s="18" t="str">
        <f aca="true">IF(F1508="","",F1508-TODAY())</f>
        <v/>
      </c>
      <c r="J1508" s="19" t="str">
        <f aca="true">IF(F1508="","",IF(TODAY()&lt;D1508,"Başlamadı",IF(TODAY()&gt;F1508,"Bitti",IF(F1508-TODAY()&lt;=7,"Bitiyor","Aktif"))))</f>
        <v/>
      </c>
      <c r="K1508" s="19" t="str">
        <f aca="false">IF(OR(J1508="Aktif",J1508="Bitiyor"),F1508+ROW()/1000000,"")</f>
        <v/>
      </c>
    </row>
    <row r="1509" customFormat="false" ht="15" hidden="false" customHeight="false" outlineLevel="0" collapsed="false">
      <c r="A1509" s="12"/>
      <c r="B1509" s="12"/>
      <c r="C1509" s="13"/>
      <c r="D1509" s="14"/>
      <c r="E1509" s="15"/>
      <c r="F1509" s="16" t="str">
        <f aca="false">IF(OR(C1509="",D1509=""),"",EDATE(D1509,IFERROR(INDEX(Paketler!$B$5:$B$24,MATCH(C1509,Paketler!$A$5:$A$24,0)),0))-1)</f>
        <v/>
      </c>
      <c r="G1509" s="17" t="str">
        <f aca="false">IF(F1509="","",IFERROR(INDEX(Paketler!$C$5:$C$24,MATCH(C1509,Paketler!$A$5:$A$24,0)),0))</f>
        <v/>
      </c>
      <c r="H1509" s="17" t="str">
        <f aca="false">IF(F1509="","",G1509-E1509)</f>
        <v/>
      </c>
      <c r="I1509" s="18" t="str">
        <f aca="true">IF(F1509="","",F1509-TODAY())</f>
        <v/>
      </c>
      <c r="J1509" s="19" t="str">
        <f aca="true">IF(F1509="","",IF(TODAY()&lt;D1509,"Başlamadı",IF(TODAY()&gt;F1509,"Bitti",IF(F1509-TODAY()&lt;=7,"Bitiyor","Aktif"))))</f>
        <v/>
      </c>
      <c r="K1509" s="19" t="str">
        <f aca="false">IF(OR(J1509="Aktif",J1509="Bitiyor"),F1509+ROW()/1000000,"")</f>
        <v/>
      </c>
    </row>
    <row r="1510" customFormat="false" ht="15" hidden="false" customHeight="false" outlineLevel="0" collapsed="false">
      <c r="A1510" s="12"/>
      <c r="B1510" s="12"/>
      <c r="C1510" s="13"/>
      <c r="D1510" s="14"/>
      <c r="E1510" s="15"/>
      <c r="F1510" s="16" t="str">
        <f aca="false">IF(OR(C1510="",D1510=""),"",EDATE(D1510,IFERROR(INDEX(Paketler!$B$5:$B$24,MATCH(C1510,Paketler!$A$5:$A$24,0)),0))-1)</f>
        <v/>
      </c>
      <c r="G1510" s="17" t="str">
        <f aca="false">IF(F1510="","",IFERROR(INDEX(Paketler!$C$5:$C$24,MATCH(C1510,Paketler!$A$5:$A$24,0)),0))</f>
        <v/>
      </c>
      <c r="H1510" s="17" t="str">
        <f aca="false">IF(F1510="","",G1510-E1510)</f>
        <v/>
      </c>
      <c r="I1510" s="18" t="str">
        <f aca="true">IF(F1510="","",F1510-TODAY())</f>
        <v/>
      </c>
      <c r="J1510" s="19" t="str">
        <f aca="true">IF(F1510="","",IF(TODAY()&lt;D1510,"Başlamadı",IF(TODAY()&gt;F1510,"Bitti",IF(F1510-TODAY()&lt;=7,"Bitiyor","Aktif"))))</f>
        <v/>
      </c>
      <c r="K1510" s="19" t="str">
        <f aca="false">IF(OR(J1510="Aktif",J1510="Bitiyor"),F1510+ROW()/1000000,"")</f>
        <v/>
      </c>
    </row>
    <row r="1511" customFormat="false" ht="15" hidden="false" customHeight="false" outlineLevel="0" collapsed="false">
      <c r="A1511" s="12"/>
      <c r="B1511" s="12"/>
      <c r="C1511" s="13"/>
      <c r="D1511" s="14"/>
      <c r="E1511" s="15"/>
      <c r="F1511" s="16" t="str">
        <f aca="false">IF(OR(C1511="",D1511=""),"",EDATE(D1511,IFERROR(INDEX(Paketler!$B$5:$B$24,MATCH(C1511,Paketler!$A$5:$A$24,0)),0))-1)</f>
        <v/>
      </c>
      <c r="G1511" s="17" t="str">
        <f aca="false">IF(F1511="","",IFERROR(INDEX(Paketler!$C$5:$C$24,MATCH(C1511,Paketler!$A$5:$A$24,0)),0))</f>
        <v/>
      </c>
      <c r="H1511" s="17" t="str">
        <f aca="false">IF(F1511="","",G1511-E1511)</f>
        <v/>
      </c>
      <c r="I1511" s="18" t="str">
        <f aca="true">IF(F1511="","",F1511-TODAY())</f>
        <v/>
      </c>
      <c r="J1511" s="19" t="str">
        <f aca="true">IF(F1511="","",IF(TODAY()&lt;D1511,"Başlamadı",IF(TODAY()&gt;F1511,"Bitti",IF(F1511-TODAY()&lt;=7,"Bitiyor","Aktif"))))</f>
        <v/>
      </c>
      <c r="K1511" s="19" t="str">
        <f aca="false">IF(OR(J1511="Aktif",J1511="Bitiyor"),F1511+ROW()/1000000,"")</f>
        <v/>
      </c>
    </row>
    <row r="1512" customFormat="false" ht="15" hidden="false" customHeight="false" outlineLevel="0" collapsed="false">
      <c r="A1512" s="12"/>
      <c r="B1512" s="12"/>
      <c r="C1512" s="13"/>
      <c r="D1512" s="14"/>
      <c r="E1512" s="15"/>
      <c r="F1512" s="16" t="str">
        <f aca="false">IF(OR(C1512="",D1512=""),"",EDATE(D1512,IFERROR(INDEX(Paketler!$B$5:$B$24,MATCH(C1512,Paketler!$A$5:$A$24,0)),0))-1)</f>
        <v/>
      </c>
      <c r="G1512" s="17" t="str">
        <f aca="false">IF(F1512="","",IFERROR(INDEX(Paketler!$C$5:$C$24,MATCH(C1512,Paketler!$A$5:$A$24,0)),0))</f>
        <v/>
      </c>
      <c r="H1512" s="17" t="str">
        <f aca="false">IF(F1512="","",G1512-E1512)</f>
        <v/>
      </c>
      <c r="I1512" s="18" t="str">
        <f aca="true">IF(F1512="","",F1512-TODAY())</f>
        <v/>
      </c>
      <c r="J1512" s="19" t="str">
        <f aca="true">IF(F1512="","",IF(TODAY()&lt;D1512,"Başlamadı",IF(TODAY()&gt;F1512,"Bitti",IF(F1512-TODAY()&lt;=7,"Bitiyor","Aktif"))))</f>
        <v/>
      </c>
      <c r="K1512" s="19" t="str">
        <f aca="false">IF(OR(J1512="Aktif",J1512="Bitiyor"),F1512+ROW()/1000000,"")</f>
        <v/>
      </c>
    </row>
    <row r="1513" customFormat="false" ht="15" hidden="false" customHeight="false" outlineLevel="0" collapsed="false">
      <c r="A1513" s="12"/>
      <c r="B1513" s="12"/>
      <c r="C1513" s="13"/>
      <c r="D1513" s="14"/>
      <c r="E1513" s="15"/>
      <c r="F1513" s="16" t="str">
        <f aca="false">IF(OR(C1513="",D1513=""),"",EDATE(D1513,IFERROR(INDEX(Paketler!$B$5:$B$24,MATCH(C1513,Paketler!$A$5:$A$24,0)),0))-1)</f>
        <v/>
      </c>
      <c r="G1513" s="17" t="str">
        <f aca="false">IF(F1513="","",IFERROR(INDEX(Paketler!$C$5:$C$24,MATCH(C1513,Paketler!$A$5:$A$24,0)),0))</f>
        <v/>
      </c>
      <c r="H1513" s="17" t="str">
        <f aca="false">IF(F1513="","",G1513-E1513)</f>
        <v/>
      </c>
      <c r="I1513" s="18" t="str">
        <f aca="true">IF(F1513="","",F1513-TODAY())</f>
        <v/>
      </c>
      <c r="J1513" s="19" t="str">
        <f aca="true">IF(F1513="","",IF(TODAY()&lt;D1513,"Başlamadı",IF(TODAY()&gt;F1513,"Bitti",IF(F1513-TODAY()&lt;=7,"Bitiyor","Aktif"))))</f>
        <v/>
      </c>
      <c r="K1513" s="19" t="str">
        <f aca="false">IF(OR(J1513="Aktif",J1513="Bitiyor"),F1513+ROW()/1000000,"")</f>
        <v/>
      </c>
    </row>
    <row r="1514" customFormat="false" ht="15" hidden="false" customHeight="false" outlineLevel="0" collapsed="false">
      <c r="A1514" s="12"/>
      <c r="B1514" s="12"/>
      <c r="C1514" s="13"/>
      <c r="D1514" s="14"/>
      <c r="E1514" s="15"/>
      <c r="F1514" s="16" t="str">
        <f aca="false">IF(OR(C1514="",D1514=""),"",EDATE(D1514,IFERROR(INDEX(Paketler!$B$5:$B$24,MATCH(C1514,Paketler!$A$5:$A$24,0)),0))-1)</f>
        <v/>
      </c>
      <c r="G1514" s="17" t="str">
        <f aca="false">IF(F1514="","",IFERROR(INDEX(Paketler!$C$5:$C$24,MATCH(C1514,Paketler!$A$5:$A$24,0)),0))</f>
        <v/>
      </c>
      <c r="H1514" s="17" t="str">
        <f aca="false">IF(F1514="","",G1514-E1514)</f>
        <v/>
      </c>
      <c r="I1514" s="18" t="str">
        <f aca="true">IF(F1514="","",F1514-TODAY())</f>
        <v/>
      </c>
      <c r="J1514" s="19" t="str">
        <f aca="true">IF(F1514="","",IF(TODAY()&lt;D1514,"Başlamadı",IF(TODAY()&gt;F1514,"Bitti",IF(F1514-TODAY()&lt;=7,"Bitiyor","Aktif"))))</f>
        <v/>
      </c>
      <c r="K1514" s="19" t="str">
        <f aca="false">IF(OR(J1514="Aktif",J1514="Bitiyor"),F1514+ROW()/1000000,"")</f>
        <v/>
      </c>
    </row>
    <row r="1515" customFormat="false" ht="15" hidden="false" customHeight="false" outlineLevel="0" collapsed="false">
      <c r="A1515" s="12"/>
      <c r="B1515" s="12"/>
      <c r="C1515" s="13"/>
      <c r="D1515" s="14"/>
      <c r="E1515" s="15"/>
      <c r="F1515" s="16" t="str">
        <f aca="false">IF(OR(C1515="",D1515=""),"",EDATE(D1515,IFERROR(INDEX(Paketler!$B$5:$B$24,MATCH(C1515,Paketler!$A$5:$A$24,0)),0))-1)</f>
        <v/>
      </c>
      <c r="G1515" s="17" t="str">
        <f aca="false">IF(F1515="","",IFERROR(INDEX(Paketler!$C$5:$C$24,MATCH(C1515,Paketler!$A$5:$A$24,0)),0))</f>
        <v/>
      </c>
      <c r="H1515" s="17" t="str">
        <f aca="false">IF(F1515="","",G1515-E1515)</f>
        <v/>
      </c>
      <c r="I1515" s="18" t="str">
        <f aca="true">IF(F1515="","",F1515-TODAY())</f>
        <v/>
      </c>
      <c r="J1515" s="19" t="str">
        <f aca="true">IF(F1515="","",IF(TODAY()&lt;D1515,"Başlamadı",IF(TODAY()&gt;F1515,"Bitti",IF(F1515-TODAY()&lt;=7,"Bitiyor","Aktif"))))</f>
        <v/>
      </c>
      <c r="K1515" s="19" t="str">
        <f aca="false">IF(OR(J1515="Aktif",J1515="Bitiyor"),F1515+ROW()/1000000,"")</f>
        <v/>
      </c>
    </row>
    <row r="1516" customFormat="false" ht="15" hidden="false" customHeight="false" outlineLevel="0" collapsed="false">
      <c r="A1516" s="12"/>
      <c r="B1516" s="12"/>
      <c r="C1516" s="13"/>
      <c r="D1516" s="14"/>
      <c r="E1516" s="15"/>
      <c r="F1516" s="16" t="str">
        <f aca="false">IF(OR(C1516="",D1516=""),"",EDATE(D1516,IFERROR(INDEX(Paketler!$B$5:$B$24,MATCH(C1516,Paketler!$A$5:$A$24,0)),0))-1)</f>
        <v/>
      </c>
      <c r="G1516" s="17" t="str">
        <f aca="false">IF(F1516="","",IFERROR(INDEX(Paketler!$C$5:$C$24,MATCH(C1516,Paketler!$A$5:$A$24,0)),0))</f>
        <v/>
      </c>
      <c r="H1516" s="17" t="str">
        <f aca="false">IF(F1516="","",G1516-E1516)</f>
        <v/>
      </c>
      <c r="I1516" s="18" t="str">
        <f aca="true">IF(F1516="","",F1516-TODAY())</f>
        <v/>
      </c>
      <c r="J1516" s="19" t="str">
        <f aca="true">IF(F1516="","",IF(TODAY()&lt;D1516,"Başlamadı",IF(TODAY()&gt;F1516,"Bitti",IF(F1516-TODAY()&lt;=7,"Bitiyor","Aktif"))))</f>
        <v/>
      </c>
      <c r="K1516" s="19" t="str">
        <f aca="false">IF(OR(J1516="Aktif",J1516="Bitiyor"),F1516+ROW()/1000000,"")</f>
        <v/>
      </c>
    </row>
    <row r="1517" customFormat="false" ht="15" hidden="false" customHeight="false" outlineLevel="0" collapsed="false">
      <c r="A1517" s="12"/>
      <c r="B1517" s="12"/>
      <c r="C1517" s="13"/>
      <c r="D1517" s="14"/>
      <c r="E1517" s="15"/>
      <c r="F1517" s="16" t="str">
        <f aca="false">IF(OR(C1517="",D1517=""),"",EDATE(D1517,IFERROR(INDEX(Paketler!$B$5:$B$24,MATCH(C1517,Paketler!$A$5:$A$24,0)),0))-1)</f>
        <v/>
      </c>
      <c r="G1517" s="17" t="str">
        <f aca="false">IF(F1517="","",IFERROR(INDEX(Paketler!$C$5:$C$24,MATCH(C1517,Paketler!$A$5:$A$24,0)),0))</f>
        <v/>
      </c>
      <c r="H1517" s="17" t="str">
        <f aca="false">IF(F1517="","",G1517-E1517)</f>
        <v/>
      </c>
      <c r="I1517" s="18" t="str">
        <f aca="true">IF(F1517="","",F1517-TODAY())</f>
        <v/>
      </c>
      <c r="J1517" s="19" t="str">
        <f aca="true">IF(F1517="","",IF(TODAY()&lt;D1517,"Başlamadı",IF(TODAY()&gt;F1517,"Bitti",IF(F1517-TODAY()&lt;=7,"Bitiyor","Aktif"))))</f>
        <v/>
      </c>
      <c r="K1517" s="19" t="str">
        <f aca="false">IF(OR(J1517="Aktif",J1517="Bitiyor"),F1517+ROW()/1000000,"")</f>
        <v/>
      </c>
    </row>
    <row r="1518" customFormat="false" ht="15" hidden="false" customHeight="false" outlineLevel="0" collapsed="false">
      <c r="A1518" s="12"/>
      <c r="B1518" s="12"/>
      <c r="C1518" s="13"/>
      <c r="D1518" s="14"/>
      <c r="E1518" s="15"/>
      <c r="F1518" s="16" t="str">
        <f aca="false">IF(OR(C1518="",D1518=""),"",EDATE(D1518,IFERROR(INDEX(Paketler!$B$5:$B$24,MATCH(C1518,Paketler!$A$5:$A$24,0)),0))-1)</f>
        <v/>
      </c>
      <c r="G1518" s="17" t="str">
        <f aca="false">IF(F1518="","",IFERROR(INDEX(Paketler!$C$5:$C$24,MATCH(C1518,Paketler!$A$5:$A$24,0)),0))</f>
        <v/>
      </c>
      <c r="H1518" s="17" t="str">
        <f aca="false">IF(F1518="","",G1518-E1518)</f>
        <v/>
      </c>
      <c r="I1518" s="18" t="str">
        <f aca="true">IF(F1518="","",F1518-TODAY())</f>
        <v/>
      </c>
      <c r="J1518" s="19" t="str">
        <f aca="true">IF(F1518="","",IF(TODAY()&lt;D1518,"Başlamadı",IF(TODAY()&gt;F1518,"Bitti",IF(F1518-TODAY()&lt;=7,"Bitiyor","Aktif"))))</f>
        <v/>
      </c>
      <c r="K1518" s="19" t="str">
        <f aca="false">IF(OR(J1518="Aktif",J1518="Bitiyor"),F1518+ROW()/1000000,"")</f>
        <v/>
      </c>
    </row>
    <row r="1519" customFormat="false" ht="15" hidden="false" customHeight="false" outlineLevel="0" collapsed="false">
      <c r="A1519" s="12"/>
      <c r="B1519" s="12"/>
      <c r="C1519" s="13"/>
      <c r="D1519" s="14"/>
      <c r="E1519" s="15"/>
      <c r="F1519" s="16" t="str">
        <f aca="false">IF(OR(C1519="",D1519=""),"",EDATE(D1519,IFERROR(INDEX(Paketler!$B$5:$B$24,MATCH(C1519,Paketler!$A$5:$A$24,0)),0))-1)</f>
        <v/>
      </c>
      <c r="G1519" s="17" t="str">
        <f aca="false">IF(F1519="","",IFERROR(INDEX(Paketler!$C$5:$C$24,MATCH(C1519,Paketler!$A$5:$A$24,0)),0))</f>
        <v/>
      </c>
      <c r="H1519" s="17" t="str">
        <f aca="false">IF(F1519="","",G1519-E1519)</f>
        <v/>
      </c>
      <c r="I1519" s="18" t="str">
        <f aca="true">IF(F1519="","",F1519-TODAY())</f>
        <v/>
      </c>
      <c r="J1519" s="19" t="str">
        <f aca="true">IF(F1519="","",IF(TODAY()&lt;D1519,"Başlamadı",IF(TODAY()&gt;F1519,"Bitti",IF(F1519-TODAY()&lt;=7,"Bitiyor","Aktif"))))</f>
        <v/>
      </c>
      <c r="K1519" s="19" t="str">
        <f aca="false">IF(OR(J1519="Aktif",J1519="Bitiyor"),F1519+ROW()/1000000,"")</f>
        <v/>
      </c>
    </row>
    <row r="1520" customFormat="false" ht="15" hidden="false" customHeight="false" outlineLevel="0" collapsed="false">
      <c r="A1520" s="12"/>
      <c r="B1520" s="12"/>
      <c r="C1520" s="13"/>
      <c r="D1520" s="14"/>
      <c r="E1520" s="15"/>
      <c r="F1520" s="16" t="str">
        <f aca="false">IF(OR(C1520="",D1520=""),"",EDATE(D1520,IFERROR(INDEX(Paketler!$B$5:$B$24,MATCH(C1520,Paketler!$A$5:$A$24,0)),0))-1)</f>
        <v/>
      </c>
      <c r="G1520" s="17" t="str">
        <f aca="false">IF(F1520="","",IFERROR(INDEX(Paketler!$C$5:$C$24,MATCH(C1520,Paketler!$A$5:$A$24,0)),0))</f>
        <v/>
      </c>
      <c r="H1520" s="17" t="str">
        <f aca="false">IF(F1520="","",G1520-E1520)</f>
        <v/>
      </c>
      <c r="I1520" s="18" t="str">
        <f aca="true">IF(F1520="","",F1520-TODAY())</f>
        <v/>
      </c>
      <c r="J1520" s="19" t="str">
        <f aca="true">IF(F1520="","",IF(TODAY()&lt;D1520,"Başlamadı",IF(TODAY()&gt;F1520,"Bitti",IF(F1520-TODAY()&lt;=7,"Bitiyor","Aktif"))))</f>
        <v/>
      </c>
      <c r="K1520" s="19" t="str">
        <f aca="false">IF(OR(J1520="Aktif",J1520="Bitiyor"),F1520+ROW()/1000000,"")</f>
        <v/>
      </c>
    </row>
    <row r="1521" customFormat="false" ht="15" hidden="false" customHeight="false" outlineLevel="0" collapsed="false">
      <c r="A1521" s="12"/>
      <c r="B1521" s="12"/>
      <c r="C1521" s="13"/>
      <c r="D1521" s="14"/>
      <c r="E1521" s="15"/>
      <c r="F1521" s="16" t="str">
        <f aca="false">IF(OR(C1521="",D1521=""),"",EDATE(D1521,IFERROR(INDEX(Paketler!$B$5:$B$24,MATCH(C1521,Paketler!$A$5:$A$24,0)),0))-1)</f>
        <v/>
      </c>
      <c r="G1521" s="17" t="str">
        <f aca="false">IF(F1521="","",IFERROR(INDEX(Paketler!$C$5:$C$24,MATCH(C1521,Paketler!$A$5:$A$24,0)),0))</f>
        <v/>
      </c>
      <c r="H1521" s="17" t="str">
        <f aca="false">IF(F1521="","",G1521-E1521)</f>
        <v/>
      </c>
      <c r="I1521" s="18" t="str">
        <f aca="true">IF(F1521="","",F1521-TODAY())</f>
        <v/>
      </c>
      <c r="J1521" s="19" t="str">
        <f aca="true">IF(F1521="","",IF(TODAY()&lt;D1521,"Başlamadı",IF(TODAY()&gt;F1521,"Bitti",IF(F1521-TODAY()&lt;=7,"Bitiyor","Aktif"))))</f>
        <v/>
      </c>
      <c r="K1521" s="19" t="str">
        <f aca="false">IF(OR(J1521="Aktif",J1521="Bitiyor"),F1521+ROW()/1000000,"")</f>
        <v/>
      </c>
    </row>
    <row r="1522" customFormat="false" ht="15" hidden="false" customHeight="false" outlineLevel="0" collapsed="false">
      <c r="A1522" s="12"/>
      <c r="B1522" s="12"/>
      <c r="C1522" s="13"/>
      <c r="D1522" s="14"/>
      <c r="E1522" s="15"/>
      <c r="F1522" s="16" t="str">
        <f aca="false">IF(OR(C1522="",D1522=""),"",EDATE(D1522,IFERROR(INDEX(Paketler!$B$5:$B$24,MATCH(C1522,Paketler!$A$5:$A$24,0)),0))-1)</f>
        <v/>
      </c>
      <c r="G1522" s="17" t="str">
        <f aca="false">IF(F1522="","",IFERROR(INDEX(Paketler!$C$5:$C$24,MATCH(C1522,Paketler!$A$5:$A$24,0)),0))</f>
        <v/>
      </c>
      <c r="H1522" s="17" t="str">
        <f aca="false">IF(F1522="","",G1522-E1522)</f>
        <v/>
      </c>
      <c r="I1522" s="18" t="str">
        <f aca="true">IF(F1522="","",F1522-TODAY())</f>
        <v/>
      </c>
      <c r="J1522" s="19" t="str">
        <f aca="true">IF(F1522="","",IF(TODAY()&lt;D1522,"Başlamadı",IF(TODAY()&gt;F1522,"Bitti",IF(F1522-TODAY()&lt;=7,"Bitiyor","Aktif"))))</f>
        <v/>
      </c>
      <c r="K1522" s="19" t="str">
        <f aca="false">IF(OR(J1522="Aktif",J1522="Bitiyor"),F1522+ROW()/1000000,"")</f>
        <v/>
      </c>
    </row>
    <row r="1523" customFormat="false" ht="15" hidden="false" customHeight="false" outlineLevel="0" collapsed="false">
      <c r="A1523" s="12"/>
      <c r="B1523" s="12"/>
      <c r="C1523" s="13"/>
      <c r="D1523" s="14"/>
      <c r="E1523" s="15"/>
      <c r="F1523" s="16" t="str">
        <f aca="false">IF(OR(C1523="",D1523=""),"",EDATE(D1523,IFERROR(INDEX(Paketler!$B$5:$B$24,MATCH(C1523,Paketler!$A$5:$A$24,0)),0))-1)</f>
        <v/>
      </c>
      <c r="G1523" s="17" t="str">
        <f aca="false">IF(F1523="","",IFERROR(INDEX(Paketler!$C$5:$C$24,MATCH(C1523,Paketler!$A$5:$A$24,0)),0))</f>
        <v/>
      </c>
      <c r="H1523" s="17" t="str">
        <f aca="false">IF(F1523="","",G1523-E1523)</f>
        <v/>
      </c>
      <c r="I1523" s="18" t="str">
        <f aca="true">IF(F1523="","",F1523-TODAY())</f>
        <v/>
      </c>
      <c r="J1523" s="19" t="str">
        <f aca="true">IF(F1523="","",IF(TODAY()&lt;D1523,"Başlamadı",IF(TODAY()&gt;F1523,"Bitti",IF(F1523-TODAY()&lt;=7,"Bitiyor","Aktif"))))</f>
        <v/>
      </c>
      <c r="K1523" s="19" t="str">
        <f aca="false">IF(OR(J1523="Aktif",J1523="Bitiyor"),F1523+ROW()/1000000,"")</f>
        <v/>
      </c>
    </row>
    <row r="1524" customFormat="false" ht="15" hidden="false" customHeight="false" outlineLevel="0" collapsed="false">
      <c r="A1524" s="12"/>
      <c r="B1524" s="12"/>
      <c r="C1524" s="13"/>
      <c r="D1524" s="14"/>
      <c r="E1524" s="15"/>
      <c r="F1524" s="16" t="str">
        <f aca="false">IF(OR(C1524="",D1524=""),"",EDATE(D1524,IFERROR(INDEX(Paketler!$B$5:$B$24,MATCH(C1524,Paketler!$A$5:$A$24,0)),0))-1)</f>
        <v/>
      </c>
      <c r="G1524" s="17" t="str">
        <f aca="false">IF(F1524="","",IFERROR(INDEX(Paketler!$C$5:$C$24,MATCH(C1524,Paketler!$A$5:$A$24,0)),0))</f>
        <v/>
      </c>
      <c r="H1524" s="17" t="str">
        <f aca="false">IF(F1524="","",G1524-E1524)</f>
        <v/>
      </c>
      <c r="I1524" s="18" t="str">
        <f aca="true">IF(F1524="","",F1524-TODAY())</f>
        <v/>
      </c>
      <c r="J1524" s="19" t="str">
        <f aca="true">IF(F1524="","",IF(TODAY()&lt;D1524,"Başlamadı",IF(TODAY()&gt;F1524,"Bitti",IF(F1524-TODAY()&lt;=7,"Bitiyor","Aktif"))))</f>
        <v/>
      </c>
      <c r="K1524" s="19" t="str">
        <f aca="false">IF(OR(J1524="Aktif",J1524="Bitiyor"),F1524+ROW()/1000000,"")</f>
        <v/>
      </c>
    </row>
    <row r="1525" customFormat="false" ht="15" hidden="false" customHeight="false" outlineLevel="0" collapsed="false">
      <c r="A1525" s="12"/>
      <c r="B1525" s="12"/>
      <c r="C1525" s="13"/>
      <c r="D1525" s="14"/>
      <c r="E1525" s="15"/>
      <c r="F1525" s="16" t="str">
        <f aca="false">IF(OR(C1525="",D1525=""),"",EDATE(D1525,IFERROR(INDEX(Paketler!$B$5:$B$24,MATCH(C1525,Paketler!$A$5:$A$24,0)),0))-1)</f>
        <v/>
      </c>
      <c r="G1525" s="17" t="str">
        <f aca="false">IF(F1525="","",IFERROR(INDEX(Paketler!$C$5:$C$24,MATCH(C1525,Paketler!$A$5:$A$24,0)),0))</f>
        <v/>
      </c>
      <c r="H1525" s="17" t="str">
        <f aca="false">IF(F1525="","",G1525-E1525)</f>
        <v/>
      </c>
      <c r="I1525" s="18" t="str">
        <f aca="true">IF(F1525="","",F1525-TODAY())</f>
        <v/>
      </c>
      <c r="J1525" s="19" t="str">
        <f aca="true">IF(F1525="","",IF(TODAY()&lt;D1525,"Başlamadı",IF(TODAY()&gt;F1525,"Bitti",IF(F1525-TODAY()&lt;=7,"Bitiyor","Aktif"))))</f>
        <v/>
      </c>
      <c r="K1525" s="19" t="str">
        <f aca="false">IF(OR(J1525="Aktif",J1525="Bitiyor"),F1525+ROW()/1000000,"")</f>
        <v/>
      </c>
    </row>
    <row r="1526" customFormat="false" ht="15" hidden="false" customHeight="false" outlineLevel="0" collapsed="false">
      <c r="A1526" s="12"/>
      <c r="B1526" s="12"/>
      <c r="C1526" s="13"/>
      <c r="D1526" s="14"/>
      <c r="E1526" s="15"/>
      <c r="F1526" s="16" t="str">
        <f aca="false">IF(OR(C1526="",D1526=""),"",EDATE(D1526,IFERROR(INDEX(Paketler!$B$5:$B$24,MATCH(C1526,Paketler!$A$5:$A$24,0)),0))-1)</f>
        <v/>
      </c>
      <c r="G1526" s="17" t="str">
        <f aca="false">IF(F1526="","",IFERROR(INDEX(Paketler!$C$5:$C$24,MATCH(C1526,Paketler!$A$5:$A$24,0)),0))</f>
        <v/>
      </c>
      <c r="H1526" s="17" t="str">
        <f aca="false">IF(F1526="","",G1526-E1526)</f>
        <v/>
      </c>
      <c r="I1526" s="18" t="str">
        <f aca="true">IF(F1526="","",F1526-TODAY())</f>
        <v/>
      </c>
      <c r="J1526" s="19" t="str">
        <f aca="true">IF(F1526="","",IF(TODAY()&lt;D1526,"Başlamadı",IF(TODAY()&gt;F1526,"Bitti",IF(F1526-TODAY()&lt;=7,"Bitiyor","Aktif"))))</f>
        <v/>
      </c>
      <c r="K1526" s="19" t="str">
        <f aca="false">IF(OR(J1526="Aktif",J1526="Bitiyor"),F1526+ROW()/1000000,"")</f>
        <v/>
      </c>
    </row>
    <row r="1527" customFormat="false" ht="15" hidden="false" customHeight="false" outlineLevel="0" collapsed="false">
      <c r="A1527" s="12"/>
      <c r="B1527" s="12"/>
      <c r="C1527" s="13"/>
      <c r="D1527" s="14"/>
      <c r="E1527" s="15"/>
      <c r="F1527" s="16" t="str">
        <f aca="false">IF(OR(C1527="",D1527=""),"",EDATE(D1527,IFERROR(INDEX(Paketler!$B$5:$B$24,MATCH(C1527,Paketler!$A$5:$A$24,0)),0))-1)</f>
        <v/>
      </c>
      <c r="G1527" s="17" t="str">
        <f aca="false">IF(F1527="","",IFERROR(INDEX(Paketler!$C$5:$C$24,MATCH(C1527,Paketler!$A$5:$A$24,0)),0))</f>
        <v/>
      </c>
      <c r="H1527" s="17" t="str">
        <f aca="false">IF(F1527="","",G1527-E1527)</f>
        <v/>
      </c>
      <c r="I1527" s="18" t="str">
        <f aca="true">IF(F1527="","",F1527-TODAY())</f>
        <v/>
      </c>
      <c r="J1527" s="19" t="str">
        <f aca="true">IF(F1527="","",IF(TODAY()&lt;D1527,"Başlamadı",IF(TODAY()&gt;F1527,"Bitti",IF(F1527-TODAY()&lt;=7,"Bitiyor","Aktif"))))</f>
        <v/>
      </c>
      <c r="K1527" s="19" t="str">
        <f aca="false">IF(OR(J1527="Aktif",J1527="Bitiyor"),F1527+ROW()/1000000,"")</f>
        <v/>
      </c>
    </row>
    <row r="1528" customFormat="false" ht="15" hidden="false" customHeight="false" outlineLevel="0" collapsed="false">
      <c r="A1528" s="12"/>
      <c r="B1528" s="12"/>
      <c r="C1528" s="13"/>
      <c r="D1528" s="14"/>
      <c r="E1528" s="15"/>
      <c r="F1528" s="16" t="str">
        <f aca="false">IF(OR(C1528="",D1528=""),"",EDATE(D1528,IFERROR(INDEX(Paketler!$B$5:$B$24,MATCH(C1528,Paketler!$A$5:$A$24,0)),0))-1)</f>
        <v/>
      </c>
      <c r="G1528" s="17" t="str">
        <f aca="false">IF(F1528="","",IFERROR(INDEX(Paketler!$C$5:$C$24,MATCH(C1528,Paketler!$A$5:$A$24,0)),0))</f>
        <v/>
      </c>
      <c r="H1528" s="17" t="str">
        <f aca="false">IF(F1528="","",G1528-E1528)</f>
        <v/>
      </c>
      <c r="I1528" s="18" t="str">
        <f aca="true">IF(F1528="","",F1528-TODAY())</f>
        <v/>
      </c>
      <c r="J1528" s="19" t="str">
        <f aca="true">IF(F1528="","",IF(TODAY()&lt;D1528,"Başlamadı",IF(TODAY()&gt;F1528,"Bitti",IF(F1528-TODAY()&lt;=7,"Bitiyor","Aktif"))))</f>
        <v/>
      </c>
      <c r="K1528" s="19" t="str">
        <f aca="false">IF(OR(J1528="Aktif",J1528="Bitiyor"),F1528+ROW()/1000000,"")</f>
        <v/>
      </c>
    </row>
    <row r="1529" customFormat="false" ht="15" hidden="false" customHeight="false" outlineLevel="0" collapsed="false">
      <c r="A1529" s="12"/>
      <c r="B1529" s="12"/>
      <c r="C1529" s="13"/>
      <c r="D1529" s="14"/>
      <c r="E1529" s="15"/>
      <c r="F1529" s="16" t="str">
        <f aca="false">IF(OR(C1529="",D1529=""),"",EDATE(D1529,IFERROR(INDEX(Paketler!$B$5:$B$24,MATCH(C1529,Paketler!$A$5:$A$24,0)),0))-1)</f>
        <v/>
      </c>
      <c r="G1529" s="17" t="str">
        <f aca="false">IF(F1529="","",IFERROR(INDEX(Paketler!$C$5:$C$24,MATCH(C1529,Paketler!$A$5:$A$24,0)),0))</f>
        <v/>
      </c>
      <c r="H1529" s="17" t="str">
        <f aca="false">IF(F1529="","",G1529-E1529)</f>
        <v/>
      </c>
      <c r="I1529" s="18" t="str">
        <f aca="true">IF(F1529="","",F1529-TODAY())</f>
        <v/>
      </c>
      <c r="J1529" s="19" t="str">
        <f aca="true">IF(F1529="","",IF(TODAY()&lt;D1529,"Başlamadı",IF(TODAY()&gt;F1529,"Bitti",IF(F1529-TODAY()&lt;=7,"Bitiyor","Aktif"))))</f>
        <v/>
      </c>
      <c r="K1529" s="19" t="str">
        <f aca="false">IF(OR(J1529="Aktif",J1529="Bitiyor"),F1529+ROW()/1000000,"")</f>
        <v/>
      </c>
    </row>
    <row r="1530" customFormat="false" ht="15" hidden="false" customHeight="false" outlineLevel="0" collapsed="false">
      <c r="A1530" s="12"/>
      <c r="B1530" s="12"/>
      <c r="C1530" s="13"/>
      <c r="D1530" s="14"/>
      <c r="E1530" s="15"/>
      <c r="F1530" s="16" t="str">
        <f aca="false">IF(OR(C1530="",D1530=""),"",EDATE(D1530,IFERROR(INDEX(Paketler!$B$5:$B$24,MATCH(C1530,Paketler!$A$5:$A$24,0)),0))-1)</f>
        <v/>
      </c>
      <c r="G1530" s="17" t="str">
        <f aca="false">IF(F1530="","",IFERROR(INDEX(Paketler!$C$5:$C$24,MATCH(C1530,Paketler!$A$5:$A$24,0)),0))</f>
        <v/>
      </c>
      <c r="H1530" s="17" t="str">
        <f aca="false">IF(F1530="","",G1530-E1530)</f>
        <v/>
      </c>
      <c r="I1530" s="18" t="str">
        <f aca="true">IF(F1530="","",F1530-TODAY())</f>
        <v/>
      </c>
      <c r="J1530" s="19" t="str">
        <f aca="true">IF(F1530="","",IF(TODAY()&lt;D1530,"Başlamadı",IF(TODAY()&gt;F1530,"Bitti",IF(F1530-TODAY()&lt;=7,"Bitiyor","Aktif"))))</f>
        <v/>
      </c>
      <c r="K1530" s="19" t="str">
        <f aca="false">IF(OR(J1530="Aktif",J1530="Bitiyor"),F1530+ROW()/1000000,"")</f>
        <v/>
      </c>
    </row>
    <row r="1531" customFormat="false" ht="15" hidden="false" customHeight="false" outlineLevel="0" collapsed="false">
      <c r="A1531" s="12"/>
      <c r="B1531" s="12"/>
      <c r="C1531" s="13"/>
      <c r="D1531" s="14"/>
      <c r="E1531" s="15"/>
      <c r="F1531" s="16" t="str">
        <f aca="false">IF(OR(C1531="",D1531=""),"",EDATE(D1531,IFERROR(INDEX(Paketler!$B$5:$B$24,MATCH(C1531,Paketler!$A$5:$A$24,0)),0))-1)</f>
        <v/>
      </c>
      <c r="G1531" s="17" t="str">
        <f aca="false">IF(F1531="","",IFERROR(INDEX(Paketler!$C$5:$C$24,MATCH(C1531,Paketler!$A$5:$A$24,0)),0))</f>
        <v/>
      </c>
      <c r="H1531" s="17" t="str">
        <f aca="false">IF(F1531="","",G1531-E1531)</f>
        <v/>
      </c>
      <c r="I1531" s="18" t="str">
        <f aca="true">IF(F1531="","",F1531-TODAY())</f>
        <v/>
      </c>
      <c r="J1531" s="19" t="str">
        <f aca="true">IF(F1531="","",IF(TODAY()&lt;D1531,"Başlamadı",IF(TODAY()&gt;F1531,"Bitti",IF(F1531-TODAY()&lt;=7,"Bitiyor","Aktif"))))</f>
        <v/>
      </c>
      <c r="K1531" s="19" t="str">
        <f aca="false">IF(OR(J1531="Aktif",J1531="Bitiyor"),F1531+ROW()/1000000,"")</f>
        <v/>
      </c>
    </row>
    <row r="1532" customFormat="false" ht="15" hidden="false" customHeight="false" outlineLevel="0" collapsed="false">
      <c r="A1532" s="12"/>
      <c r="B1532" s="12"/>
      <c r="C1532" s="13"/>
      <c r="D1532" s="14"/>
      <c r="E1532" s="15"/>
      <c r="F1532" s="16" t="str">
        <f aca="false">IF(OR(C1532="",D1532=""),"",EDATE(D1532,IFERROR(INDEX(Paketler!$B$5:$B$24,MATCH(C1532,Paketler!$A$5:$A$24,0)),0))-1)</f>
        <v/>
      </c>
      <c r="G1532" s="17" t="str">
        <f aca="false">IF(F1532="","",IFERROR(INDEX(Paketler!$C$5:$C$24,MATCH(C1532,Paketler!$A$5:$A$24,0)),0))</f>
        <v/>
      </c>
      <c r="H1532" s="17" t="str">
        <f aca="false">IF(F1532="","",G1532-E1532)</f>
        <v/>
      </c>
      <c r="I1532" s="18" t="str">
        <f aca="true">IF(F1532="","",F1532-TODAY())</f>
        <v/>
      </c>
      <c r="J1532" s="19" t="str">
        <f aca="true">IF(F1532="","",IF(TODAY()&lt;D1532,"Başlamadı",IF(TODAY()&gt;F1532,"Bitti",IF(F1532-TODAY()&lt;=7,"Bitiyor","Aktif"))))</f>
        <v/>
      </c>
      <c r="K1532" s="19" t="str">
        <f aca="false">IF(OR(J1532="Aktif",J1532="Bitiyor"),F1532+ROW()/1000000,"")</f>
        <v/>
      </c>
    </row>
    <row r="1533" customFormat="false" ht="15" hidden="false" customHeight="false" outlineLevel="0" collapsed="false">
      <c r="A1533" s="12"/>
      <c r="B1533" s="12"/>
      <c r="C1533" s="13"/>
      <c r="D1533" s="14"/>
      <c r="E1533" s="15"/>
      <c r="F1533" s="16" t="str">
        <f aca="false">IF(OR(C1533="",D1533=""),"",EDATE(D1533,IFERROR(INDEX(Paketler!$B$5:$B$24,MATCH(C1533,Paketler!$A$5:$A$24,0)),0))-1)</f>
        <v/>
      </c>
      <c r="G1533" s="17" t="str">
        <f aca="false">IF(F1533="","",IFERROR(INDEX(Paketler!$C$5:$C$24,MATCH(C1533,Paketler!$A$5:$A$24,0)),0))</f>
        <v/>
      </c>
      <c r="H1533" s="17" t="str">
        <f aca="false">IF(F1533="","",G1533-E1533)</f>
        <v/>
      </c>
      <c r="I1533" s="18" t="str">
        <f aca="true">IF(F1533="","",F1533-TODAY())</f>
        <v/>
      </c>
      <c r="J1533" s="19" t="str">
        <f aca="true">IF(F1533="","",IF(TODAY()&lt;D1533,"Başlamadı",IF(TODAY()&gt;F1533,"Bitti",IF(F1533-TODAY()&lt;=7,"Bitiyor","Aktif"))))</f>
        <v/>
      </c>
      <c r="K1533" s="19" t="str">
        <f aca="false">IF(OR(J1533="Aktif",J1533="Bitiyor"),F1533+ROW()/1000000,"")</f>
        <v/>
      </c>
    </row>
    <row r="1534" customFormat="false" ht="15" hidden="false" customHeight="false" outlineLevel="0" collapsed="false">
      <c r="A1534" s="12"/>
      <c r="B1534" s="12"/>
      <c r="C1534" s="13"/>
      <c r="D1534" s="14"/>
      <c r="E1534" s="15"/>
      <c r="F1534" s="16" t="str">
        <f aca="false">IF(OR(C1534="",D1534=""),"",EDATE(D1534,IFERROR(INDEX(Paketler!$B$5:$B$24,MATCH(C1534,Paketler!$A$5:$A$24,0)),0))-1)</f>
        <v/>
      </c>
      <c r="G1534" s="17" t="str">
        <f aca="false">IF(F1534="","",IFERROR(INDEX(Paketler!$C$5:$C$24,MATCH(C1534,Paketler!$A$5:$A$24,0)),0))</f>
        <v/>
      </c>
      <c r="H1534" s="17" t="str">
        <f aca="false">IF(F1534="","",G1534-E1534)</f>
        <v/>
      </c>
      <c r="I1534" s="18" t="str">
        <f aca="true">IF(F1534="","",F1534-TODAY())</f>
        <v/>
      </c>
      <c r="J1534" s="19" t="str">
        <f aca="true">IF(F1534="","",IF(TODAY()&lt;D1534,"Başlamadı",IF(TODAY()&gt;F1534,"Bitti",IF(F1534-TODAY()&lt;=7,"Bitiyor","Aktif"))))</f>
        <v/>
      </c>
      <c r="K1534" s="19" t="str">
        <f aca="false">IF(OR(J1534="Aktif",J1534="Bitiyor"),F1534+ROW()/1000000,"")</f>
        <v/>
      </c>
    </row>
    <row r="1535" customFormat="false" ht="15" hidden="false" customHeight="false" outlineLevel="0" collapsed="false">
      <c r="A1535" s="12"/>
      <c r="B1535" s="12"/>
      <c r="C1535" s="13"/>
      <c r="D1535" s="14"/>
      <c r="E1535" s="15"/>
      <c r="F1535" s="16" t="str">
        <f aca="false">IF(OR(C1535="",D1535=""),"",EDATE(D1535,IFERROR(INDEX(Paketler!$B$5:$B$24,MATCH(C1535,Paketler!$A$5:$A$24,0)),0))-1)</f>
        <v/>
      </c>
      <c r="G1535" s="17" t="str">
        <f aca="false">IF(F1535="","",IFERROR(INDEX(Paketler!$C$5:$C$24,MATCH(C1535,Paketler!$A$5:$A$24,0)),0))</f>
        <v/>
      </c>
      <c r="H1535" s="17" t="str">
        <f aca="false">IF(F1535="","",G1535-E1535)</f>
        <v/>
      </c>
      <c r="I1535" s="18" t="str">
        <f aca="true">IF(F1535="","",F1535-TODAY())</f>
        <v/>
      </c>
      <c r="J1535" s="19" t="str">
        <f aca="true">IF(F1535="","",IF(TODAY()&lt;D1535,"Başlamadı",IF(TODAY()&gt;F1535,"Bitti",IF(F1535-TODAY()&lt;=7,"Bitiyor","Aktif"))))</f>
        <v/>
      </c>
      <c r="K1535" s="19" t="str">
        <f aca="false">IF(OR(J1535="Aktif",J1535="Bitiyor"),F1535+ROW()/1000000,"")</f>
        <v/>
      </c>
    </row>
    <row r="1536" customFormat="false" ht="15" hidden="false" customHeight="false" outlineLevel="0" collapsed="false">
      <c r="A1536" s="12"/>
      <c r="B1536" s="12"/>
      <c r="C1536" s="13"/>
      <c r="D1536" s="14"/>
      <c r="E1536" s="15"/>
      <c r="F1536" s="16" t="str">
        <f aca="false">IF(OR(C1536="",D1536=""),"",EDATE(D1536,IFERROR(INDEX(Paketler!$B$5:$B$24,MATCH(C1536,Paketler!$A$5:$A$24,0)),0))-1)</f>
        <v/>
      </c>
      <c r="G1536" s="17" t="str">
        <f aca="false">IF(F1536="","",IFERROR(INDEX(Paketler!$C$5:$C$24,MATCH(C1536,Paketler!$A$5:$A$24,0)),0))</f>
        <v/>
      </c>
      <c r="H1536" s="17" t="str">
        <f aca="false">IF(F1536="","",G1536-E1536)</f>
        <v/>
      </c>
      <c r="I1536" s="18" t="str">
        <f aca="true">IF(F1536="","",F1536-TODAY())</f>
        <v/>
      </c>
      <c r="J1536" s="19" t="str">
        <f aca="true">IF(F1536="","",IF(TODAY()&lt;D1536,"Başlamadı",IF(TODAY()&gt;F1536,"Bitti",IF(F1536-TODAY()&lt;=7,"Bitiyor","Aktif"))))</f>
        <v/>
      </c>
      <c r="K1536" s="19" t="str">
        <f aca="false">IF(OR(J1536="Aktif",J1536="Bitiyor"),F1536+ROW()/1000000,"")</f>
        <v/>
      </c>
    </row>
    <row r="1537" customFormat="false" ht="15" hidden="false" customHeight="false" outlineLevel="0" collapsed="false">
      <c r="A1537" s="12"/>
      <c r="B1537" s="12"/>
      <c r="C1537" s="13"/>
      <c r="D1537" s="14"/>
      <c r="E1537" s="15"/>
      <c r="F1537" s="16" t="str">
        <f aca="false">IF(OR(C1537="",D1537=""),"",EDATE(D1537,IFERROR(INDEX(Paketler!$B$5:$B$24,MATCH(C1537,Paketler!$A$5:$A$24,0)),0))-1)</f>
        <v/>
      </c>
      <c r="G1537" s="17" t="str">
        <f aca="false">IF(F1537="","",IFERROR(INDEX(Paketler!$C$5:$C$24,MATCH(C1537,Paketler!$A$5:$A$24,0)),0))</f>
        <v/>
      </c>
      <c r="H1537" s="17" t="str">
        <f aca="false">IF(F1537="","",G1537-E1537)</f>
        <v/>
      </c>
      <c r="I1537" s="18" t="str">
        <f aca="true">IF(F1537="","",F1537-TODAY())</f>
        <v/>
      </c>
      <c r="J1537" s="19" t="str">
        <f aca="true">IF(F1537="","",IF(TODAY()&lt;D1537,"Başlamadı",IF(TODAY()&gt;F1537,"Bitti",IF(F1537-TODAY()&lt;=7,"Bitiyor","Aktif"))))</f>
        <v/>
      </c>
      <c r="K1537" s="19" t="str">
        <f aca="false">IF(OR(J1537="Aktif",J1537="Bitiyor"),F1537+ROW()/1000000,"")</f>
        <v/>
      </c>
    </row>
    <row r="1538" customFormat="false" ht="15" hidden="false" customHeight="false" outlineLevel="0" collapsed="false">
      <c r="A1538" s="12"/>
      <c r="B1538" s="12"/>
      <c r="C1538" s="13"/>
      <c r="D1538" s="14"/>
      <c r="E1538" s="15"/>
      <c r="F1538" s="16" t="str">
        <f aca="false">IF(OR(C1538="",D1538=""),"",EDATE(D1538,IFERROR(INDEX(Paketler!$B$5:$B$24,MATCH(C1538,Paketler!$A$5:$A$24,0)),0))-1)</f>
        <v/>
      </c>
      <c r="G1538" s="17" t="str">
        <f aca="false">IF(F1538="","",IFERROR(INDEX(Paketler!$C$5:$C$24,MATCH(C1538,Paketler!$A$5:$A$24,0)),0))</f>
        <v/>
      </c>
      <c r="H1538" s="17" t="str">
        <f aca="false">IF(F1538="","",G1538-E1538)</f>
        <v/>
      </c>
      <c r="I1538" s="18" t="str">
        <f aca="true">IF(F1538="","",F1538-TODAY())</f>
        <v/>
      </c>
      <c r="J1538" s="19" t="str">
        <f aca="true">IF(F1538="","",IF(TODAY()&lt;D1538,"Başlamadı",IF(TODAY()&gt;F1538,"Bitti",IF(F1538-TODAY()&lt;=7,"Bitiyor","Aktif"))))</f>
        <v/>
      </c>
      <c r="K1538" s="19" t="str">
        <f aca="false">IF(OR(J1538="Aktif",J1538="Bitiyor"),F1538+ROW()/1000000,"")</f>
        <v/>
      </c>
    </row>
    <row r="1539" customFormat="false" ht="15" hidden="false" customHeight="false" outlineLevel="0" collapsed="false">
      <c r="A1539" s="12"/>
      <c r="B1539" s="12"/>
      <c r="C1539" s="13"/>
      <c r="D1539" s="14"/>
      <c r="E1539" s="15"/>
      <c r="F1539" s="16" t="str">
        <f aca="false">IF(OR(C1539="",D1539=""),"",EDATE(D1539,IFERROR(INDEX(Paketler!$B$5:$B$24,MATCH(C1539,Paketler!$A$5:$A$24,0)),0))-1)</f>
        <v/>
      </c>
      <c r="G1539" s="17" t="str">
        <f aca="false">IF(F1539="","",IFERROR(INDEX(Paketler!$C$5:$C$24,MATCH(C1539,Paketler!$A$5:$A$24,0)),0))</f>
        <v/>
      </c>
      <c r="H1539" s="17" t="str">
        <f aca="false">IF(F1539="","",G1539-E1539)</f>
        <v/>
      </c>
      <c r="I1539" s="18" t="str">
        <f aca="true">IF(F1539="","",F1539-TODAY())</f>
        <v/>
      </c>
      <c r="J1539" s="19" t="str">
        <f aca="true">IF(F1539="","",IF(TODAY()&lt;D1539,"Başlamadı",IF(TODAY()&gt;F1539,"Bitti",IF(F1539-TODAY()&lt;=7,"Bitiyor","Aktif"))))</f>
        <v/>
      </c>
      <c r="K1539" s="19" t="str">
        <f aca="false">IF(OR(J1539="Aktif",J1539="Bitiyor"),F1539+ROW()/1000000,"")</f>
        <v/>
      </c>
    </row>
    <row r="1540" customFormat="false" ht="15" hidden="false" customHeight="false" outlineLevel="0" collapsed="false">
      <c r="A1540" s="12"/>
      <c r="B1540" s="12"/>
      <c r="C1540" s="13"/>
      <c r="D1540" s="14"/>
      <c r="E1540" s="15"/>
      <c r="F1540" s="16" t="str">
        <f aca="false">IF(OR(C1540="",D1540=""),"",EDATE(D1540,IFERROR(INDEX(Paketler!$B$5:$B$24,MATCH(C1540,Paketler!$A$5:$A$24,0)),0))-1)</f>
        <v/>
      </c>
      <c r="G1540" s="17" t="str">
        <f aca="false">IF(F1540="","",IFERROR(INDEX(Paketler!$C$5:$C$24,MATCH(C1540,Paketler!$A$5:$A$24,0)),0))</f>
        <v/>
      </c>
      <c r="H1540" s="17" t="str">
        <f aca="false">IF(F1540="","",G1540-E1540)</f>
        <v/>
      </c>
      <c r="I1540" s="18" t="str">
        <f aca="true">IF(F1540="","",F1540-TODAY())</f>
        <v/>
      </c>
      <c r="J1540" s="19" t="str">
        <f aca="true">IF(F1540="","",IF(TODAY()&lt;D1540,"Başlamadı",IF(TODAY()&gt;F1540,"Bitti",IF(F1540-TODAY()&lt;=7,"Bitiyor","Aktif"))))</f>
        <v/>
      </c>
      <c r="K1540" s="19" t="str">
        <f aca="false">IF(OR(J1540="Aktif",J1540="Bitiyor"),F1540+ROW()/1000000,"")</f>
        <v/>
      </c>
    </row>
    <row r="1541" customFormat="false" ht="15" hidden="false" customHeight="false" outlineLevel="0" collapsed="false">
      <c r="A1541" s="12"/>
      <c r="B1541" s="12"/>
      <c r="C1541" s="13"/>
      <c r="D1541" s="14"/>
      <c r="E1541" s="15"/>
      <c r="F1541" s="16" t="str">
        <f aca="false">IF(OR(C1541="",D1541=""),"",EDATE(D1541,IFERROR(INDEX(Paketler!$B$5:$B$24,MATCH(C1541,Paketler!$A$5:$A$24,0)),0))-1)</f>
        <v/>
      </c>
      <c r="G1541" s="17" t="str">
        <f aca="false">IF(F1541="","",IFERROR(INDEX(Paketler!$C$5:$C$24,MATCH(C1541,Paketler!$A$5:$A$24,0)),0))</f>
        <v/>
      </c>
      <c r="H1541" s="17" t="str">
        <f aca="false">IF(F1541="","",G1541-E1541)</f>
        <v/>
      </c>
      <c r="I1541" s="18" t="str">
        <f aca="true">IF(F1541="","",F1541-TODAY())</f>
        <v/>
      </c>
      <c r="J1541" s="19" t="str">
        <f aca="true">IF(F1541="","",IF(TODAY()&lt;D1541,"Başlamadı",IF(TODAY()&gt;F1541,"Bitti",IF(F1541-TODAY()&lt;=7,"Bitiyor","Aktif"))))</f>
        <v/>
      </c>
      <c r="K1541" s="19" t="str">
        <f aca="false">IF(OR(J1541="Aktif",J1541="Bitiyor"),F1541+ROW()/1000000,"")</f>
        <v/>
      </c>
    </row>
    <row r="1542" customFormat="false" ht="15" hidden="false" customHeight="false" outlineLevel="0" collapsed="false">
      <c r="A1542" s="12"/>
      <c r="B1542" s="12"/>
      <c r="C1542" s="13"/>
      <c r="D1542" s="14"/>
      <c r="E1542" s="15"/>
      <c r="F1542" s="16" t="str">
        <f aca="false">IF(OR(C1542="",D1542=""),"",EDATE(D1542,IFERROR(INDEX(Paketler!$B$5:$B$24,MATCH(C1542,Paketler!$A$5:$A$24,0)),0))-1)</f>
        <v/>
      </c>
      <c r="G1542" s="17" t="str">
        <f aca="false">IF(F1542="","",IFERROR(INDEX(Paketler!$C$5:$C$24,MATCH(C1542,Paketler!$A$5:$A$24,0)),0))</f>
        <v/>
      </c>
      <c r="H1542" s="17" t="str">
        <f aca="false">IF(F1542="","",G1542-E1542)</f>
        <v/>
      </c>
      <c r="I1542" s="18" t="str">
        <f aca="true">IF(F1542="","",F1542-TODAY())</f>
        <v/>
      </c>
      <c r="J1542" s="19" t="str">
        <f aca="true">IF(F1542="","",IF(TODAY()&lt;D1542,"Başlamadı",IF(TODAY()&gt;F1542,"Bitti",IF(F1542-TODAY()&lt;=7,"Bitiyor","Aktif"))))</f>
        <v/>
      </c>
      <c r="K1542" s="19" t="str">
        <f aca="false">IF(OR(J1542="Aktif",J1542="Bitiyor"),F1542+ROW()/1000000,"")</f>
        <v/>
      </c>
    </row>
    <row r="1543" customFormat="false" ht="15" hidden="false" customHeight="false" outlineLevel="0" collapsed="false">
      <c r="A1543" s="12"/>
      <c r="B1543" s="12"/>
      <c r="C1543" s="13"/>
      <c r="D1543" s="14"/>
      <c r="E1543" s="15"/>
      <c r="F1543" s="16" t="str">
        <f aca="false">IF(OR(C1543="",D1543=""),"",EDATE(D1543,IFERROR(INDEX(Paketler!$B$5:$B$24,MATCH(C1543,Paketler!$A$5:$A$24,0)),0))-1)</f>
        <v/>
      </c>
      <c r="G1543" s="17" t="str">
        <f aca="false">IF(F1543="","",IFERROR(INDEX(Paketler!$C$5:$C$24,MATCH(C1543,Paketler!$A$5:$A$24,0)),0))</f>
        <v/>
      </c>
      <c r="H1543" s="17" t="str">
        <f aca="false">IF(F1543="","",G1543-E1543)</f>
        <v/>
      </c>
      <c r="I1543" s="18" t="str">
        <f aca="true">IF(F1543="","",F1543-TODAY())</f>
        <v/>
      </c>
      <c r="J1543" s="19" t="str">
        <f aca="true">IF(F1543="","",IF(TODAY()&lt;D1543,"Başlamadı",IF(TODAY()&gt;F1543,"Bitti",IF(F1543-TODAY()&lt;=7,"Bitiyor","Aktif"))))</f>
        <v/>
      </c>
      <c r="K1543" s="19" t="str">
        <f aca="false">IF(OR(J1543="Aktif",J1543="Bitiyor"),F1543+ROW()/1000000,"")</f>
        <v/>
      </c>
    </row>
    <row r="1544" customFormat="false" ht="15" hidden="false" customHeight="false" outlineLevel="0" collapsed="false">
      <c r="A1544" s="12"/>
      <c r="B1544" s="12"/>
      <c r="C1544" s="13"/>
      <c r="D1544" s="14"/>
      <c r="E1544" s="15"/>
      <c r="F1544" s="16" t="str">
        <f aca="false">IF(OR(C1544="",D1544=""),"",EDATE(D1544,IFERROR(INDEX(Paketler!$B$5:$B$24,MATCH(C1544,Paketler!$A$5:$A$24,0)),0))-1)</f>
        <v/>
      </c>
      <c r="G1544" s="17" t="str">
        <f aca="false">IF(F1544="","",IFERROR(INDEX(Paketler!$C$5:$C$24,MATCH(C1544,Paketler!$A$5:$A$24,0)),0))</f>
        <v/>
      </c>
      <c r="H1544" s="17" t="str">
        <f aca="false">IF(F1544="","",G1544-E1544)</f>
        <v/>
      </c>
      <c r="I1544" s="18" t="str">
        <f aca="true">IF(F1544="","",F1544-TODAY())</f>
        <v/>
      </c>
      <c r="J1544" s="19" t="str">
        <f aca="true">IF(F1544="","",IF(TODAY()&lt;D1544,"Başlamadı",IF(TODAY()&gt;F1544,"Bitti",IF(F1544-TODAY()&lt;=7,"Bitiyor","Aktif"))))</f>
        <v/>
      </c>
      <c r="K1544" s="19" t="str">
        <f aca="false">IF(OR(J1544="Aktif",J1544="Bitiyor"),F1544+ROW()/1000000,"")</f>
        <v/>
      </c>
    </row>
    <row r="1545" customFormat="false" ht="15" hidden="false" customHeight="false" outlineLevel="0" collapsed="false">
      <c r="A1545" s="12"/>
      <c r="B1545" s="12"/>
      <c r="C1545" s="13"/>
      <c r="D1545" s="14"/>
      <c r="E1545" s="15"/>
      <c r="F1545" s="16" t="str">
        <f aca="false">IF(OR(C1545="",D1545=""),"",EDATE(D1545,IFERROR(INDEX(Paketler!$B$5:$B$24,MATCH(C1545,Paketler!$A$5:$A$24,0)),0))-1)</f>
        <v/>
      </c>
      <c r="G1545" s="17" t="str">
        <f aca="false">IF(F1545="","",IFERROR(INDEX(Paketler!$C$5:$C$24,MATCH(C1545,Paketler!$A$5:$A$24,0)),0))</f>
        <v/>
      </c>
      <c r="H1545" s="17" t="str">
        <f aca="false">IF(F1545="","",G1545-E1545)</f>
        <v/>
      </c>
      <c r="I1545" s="18" t="str">
        <f aca="true">IF(F1545="","",F1545-TODAY())</f>
        <v/>
      </c>
      <c r="J1545" s="19" t="str">
        <f aca="true">IF(F1545="","",IF(TODAY()&lt;D1545,"Başlamadı",IF(TODAY()&gt;F1545,"Bitti",IF(F1545-TODAY()&lt;=7,"Bitiyor","Aktif"))))</f>
        <v/>
      </c>
      <c r="K1545" s="19" t="str">
        <f aca="false">IF(OR(J1545="Aktif",J1545="Bitiyor"),F1545+ROW()/1000000,"")</f>
        <v/>
      </c>
    </row>
    <row r="1546" customFormat="false" ht="15" hidden="false" customHeight="false" outlineLevel="0" collapsed="false">
      <c r="A1546" s="12"/>
      <c r="B1546" s="12"/>
      <c r="C1546" s="13"/>
      <c r="D1546" s="14"/>
      <c r="E1546" s="15"/>
      <c r="F1546" s="16" t="str">
        <f aca="false">IF(OR(C1546="",D1546=""),"",EDATE(D1546,IFERROR(INDEX(Paketler!$B$5:$B$24,MATCH(C1546,Paketler!$A$5:$A$24,0)),0))-1)</f>
        <v/>
      </c>
      <c r="G1546" s="17" t="str">
        <f aca="false">IF(F1546="","",IFERROR(INDEX(Paketler!$C$5:$C$24,MATCH(C1546,Paketler!$A$5:$A$24,0)),0))</f>
        <v/>
      </c>
      <c r="H1546" s="17" t="str">
        <f aca="false">IF(F1546="","",G1546-E1546)</f>
        <v/>
      </c>
      <c r="I1546" s="18" t="str">
        <f aca="true">IF(F1546="","",F1546-TODAY())</f>
        <v/>
      </c>
      <c r="J1546" s="19" t="str">
        <f aca="true">IF(F1546="","",IF(TODAY()&lt;D1546,"Başlamadı",IF(TODAY()&gt;F1546,"Bitti",IF(F1546-TODAY()&lt;=7,"Bitiyor","Aktif"))))</f>
        <v/>
      </c>
      <c r="K1546" s="19" t="str">
        <f aca="false">IF(OR(J1546="Aktif",J1546="Bitiyor"),F1546+ROW()/1000000,"")</f>
        <v/>
      </c>
    </row>
    <row r="1547" customFormat="false" ht="15" hidden="false" customHeight="false" outlineLevel="0" collapsed="false">
      <c r="A1547" s="12"/>
      <c r="B1547" s="12"/>
      <c r="C1547" s="13"/>
      <c r="D1547" s="14"/>
      <c r="E1547" s="15"/>
      <c r="F1547" s="16" t="str">
        <f aca="false">IF(OR(C1547="",D1547=""),"",EDATE(D1547,IFERROR(INDEX(Paketler!$B$5:$B$24,MATCH(C1547,Paketler!$A$5:$A$24,0)),0))-1)</f>
        <v/>
      </c>
      <c r="G1547" s="17" t="str">
        <f aca="false">IF(F1547="","",IFERROR(INDEX(Paketler!$C$5:$C$24,MATCH(C1547,Paketler!$A$5:$A$24,0)),0))</f>
        <v/>
      </c>
      <c r="H1547" s="17" t="str">
        <f aca="false">IF(F1547="","",G1547-E1547)</f>
        <v/>
      </c>
      <c r="I1547" s="18" t="str">
        <f aca="true">IF(F1547="","",F1547-TODAY())</f>
        <v/>
      </c>
      <c r="J1547" s="19" t="str">
        <f aca="true">IF(F1547="","",IF(TODAY()&lt;D1547,"Başlamadı",IF(TODAY()&gt;F1547,"Bitti",IF(F1547-TODAY()&lt;=7,"Bitiyor","Aktif"))))</f>
        <v/>
      </c>
      <c r="K1547" s="19" t="str">
        <f aca="false">IF(OR(J1547="Aktif",J1547="Bitiyor"),F1547+ROW()/1000000,"")</f>
        <v/>
      </c>
    </row>
    <row r="1548" customFormat="false" ht="15" hidden="false" customHeight="false" outlineLevel="0" collapsed="false">
      <c r="A1548" s="12"/>
      <c r="B1548" s="12"/>
      <c r="C1548" s="13"/>
      <c r="D1548" s="14"/>
      <c r="E1548" s="15"/>
      <c r="F1548" s="16" t="str">
        <f aca="false">IF(OR(C1548="",D1548=""),"",EDATE(D1548,IFERROR(INDEX(Paketler!$B$5:$B$24,MATCH(C1548,Paketler!$A$5:$A$24,0)),0))-1)</f>
        <v/>
      </c>
      <c r="G1548" s="17" t="str">
        <f aca="false">IF(F1548="","",IFERROR(INDEX(Paketler!$C$5:$C$24,MATCH(C1548,Paketler!$A$5:$A$24,0)),0))</f>
        <v/>
      </c>
      <c r="H1548" s="17" t="str">
        <f aca="false">IF(F1548="","",G1548-E1548)</f>
        <v/>
      </c>
      <c r="I1548" s="18" t="str">
        <f aca="true">IF(F1548="","",F1548-TODAY())</f>
        <v/>
      </c>
      <c r="J1548" s="19" t="str">
        <f aca="true">IF(F1548="","",IF(TODAY()&lt;D1548,"Başlamadı",IF(TODAY()&gt;F1548,"Bitti",IF(F1548-TODAY()&lt;=7,"Bitiyor","Aktif"))))</f>
        <v/>
      </c>
      <c r="K1548" s="19" t="str">
        <f aca="false">IF(OR(J1548="Aktif",J1548="Bitiyor"),F1548+ROW()/1000000,"")</f>
        <v/>
      </c>
    </row>
    <row r="1549" customFormat="false" ht="15" hidden="false" customHeight="false" outlineLevel="0" collapsed="false">
      <c r="A1549" s="12"/>
      <c r="B1549" s="12"/>
      <c r="C1549" s="13"/>
      <c r="D1549" s="14"/>
      <c r="E1549" s="15"/>
      <c r="F1549" s="16" t="str">
        <f aca="false">IF(OR(C1549="",D1549=""),"",EDATE(D1549,IFERROR(INDEX(Paketler!$B$5:$B$24,MATCH(C1549,Paketler!$A$5:$A$24,0)),0))-1)</f>
        <v/>
      </c>
      <c r="G1549" s="17" t="str">
        <f aca="false">IF(F1549="","",IFERROR(INDEX(Paketler!$C$5:$C$24,MATCH(C1549,Paketler!$A$5:$A$24,0)),0))</f>
        <v/>
      </c>
      <c r="H1549" s="17" t="str">
        <f aca="false">IF(F1549="","",G1549-E1549)</f>
        <v/>
      </c>
      <c r="I1549" s="18" t="str">
        <f aca="true">IF(F1549="","",F1549-TODAY())</f>
        <v/>
      </c>
      <c r="J1549" s="19" t="str">
        <f aca="true">IF(F1549="","",IF(TODAY()&lt;D1549,"Başlamadı",IF(TODAY()&gt;F1549,"Bitti",IF(F1549-TODAY()&lt;=7,"Bitiyor","Aktif"))))</f>
        <v/>
      </c>
      <c r="K1549" s="19" t="str">
        <f aca="false">IF(OR(J1549="Aktif",J1549="Bitiyor"),F1549+ROW()/1000000,"")</f>
        <v/>
      </c>
    </row>
    <row r="1550" customFormat="false" ht="15" hidden="false" customHeight="false" outlineLevel="0" collapsed="false">
      <c r="A1550" s="12"/>
      <c r="B1550" s="12"/>
      <c r="C1550" s="13"/>
      <c r="D1550" s="14"/>
      <c r="E1550" s="15"/>
      <c r="F1550" s="16" t="str">
        <f aca="false">IF(OR(C1550="",D1550=""),"",EDATE(D1550,IFERROR(INDEX(Paketler!$B$5:$B$24,MATCH(C1550,Paketler!$A$5:$A$24,0)),0))-1)</f>
        <v/>
      </c>
      <c r="G1550" s="17" t="str">
        <f aca="false">IF(F1550="","",IFERROR(INDEX(Paketler!$C$5:$C$24,MATCH(C1550,Paketler!$A$5:$A$24,0)),0))</f>
        <v/>
      </c>
      <c r="H1550" s="17" t="str">
        <f aca="false">IF(F1550="","",G1550-E1550)</f>
        <v/>
      </c>
      <c r="I1550" s="18" t="str">
        <f aca="true">IF(F1550="","",F1550-TODAY())</f>
        <v/>
      </c>
      <c r="J1550" s="19" t="str">
        <f aca="true">IF(F1550="","",IF(TODAY()&lt;D1550,"Başlamadı",IF(TODAY()&gt;F1550,"Bitti",IF(F1550-TODAY()&lt;=7,"Bitiyor","Aktif"))))</f>
        <v/>
      </c>
      <c r="K1550" s="19" t="str">
        <f aca="false">IF(OR(J1550="Aktif",J1550="Bitiyor"),F1550+ROW()/1000000,"")</f>
        <v/>
      </c>
    </row>
    <row r="1551" customFormat="false" ht="15" hidden="false" customHeight="false" outlineLevel="0" collapsed="false">
      <c r="A1551" s="12"/>
      <c r="B1551" s="12"/>
      <c r="C1551" s="13"/>
      <c r="D1551" s="14"/>
      <c r="E1551" s="15"/>
      <c r="F1551" s="16" t="str">
        <f aca="false">IF(OR(C1551="",D1551=""),"",EDATE(D1551,IFERROR(INDEX(Paketler!$B$5:$B$24,MATCH(C1551,Paketler!$A$5:$A$24,0)),0))-1)</f>
        <v/>
      </c>
      <c r="G1551" s="17" t="str">
        <f aca="false">IF(F1551="","",IFERROR(INDEX(Paketler!$C$5:$C$24,MATCH(C1551,Paketler!$A$5:$A$24,0)),0))</f>
        <v/>
      </c>
      <c r="H1551" s="17" t="str">
        <f aca="false">IF(F1551="","",G1551-E1551)</f>
        <v/>
      </c>
      <c r="I1551" s="18" t="str">
        <f aca="true">IF(F1551="","",F1551-TODAY())</f>
        <v/>
      </c>
      <c r="J1551" s="19" t="str">
        <f aca="true">IF(F1551="","",IF(TODAY()&lt;D1551,"Başlamadı",IF(TODAY()&gt;F1551,"Bitti",IF(F1551-TODAY()&lt;=7,"Bitiyor","Aktif"))))</f>
        <v/>
      </c>
      <c r="K1551" s="19" t="str">
        <f aca="false">IF(OR(J1551="Aktif",J1551="Bitiyor"),F1551+ROW()/1000000,"")</f>
        <v/>
      </c>
    </row>
    <row r="1552" customFormat="false" ht="15" hidden="false" customHeight="false" outlineLevel="0" collapsed="false">
      <c r="A1552" s="12"/>
      <c r="B1552" s="12"/>
      <c r="C1552" s="13"/>
      <c r="D1552" s="14"/>
      <c r="E1552" s="15"/>
      <c r="F1552" s="16" t="str">
        <f aca="false">IF(OR(C1552="",D1552=""),"",EDATE(D1552,IFERROR(INDEX(Paketler!$B$5:$B$24,MATCH(C1552,Paketler!$A$5:$A$24,0)),0))-1)</f>
        <v/>
      </c>
      <c r="G1552" s="17" t="str">
        <f aca="false">IF(F1552="","",IFERROR(INDEX(Paketler!$C$5:$C$24,MATCH(C1552,Paketler!$A$5:$A$24,0)),0))</f>
        <v/>
      </c>
      <c r="H1552" s="17" t="str">
        <f aca="false">IF(F1552="","",G1552-E1552)</f>
        <v/>
      </c>
      <c r="I1552" s="18" t="str">
        <f aca="true">IF(F1552="","",F1552-TODAY())</f>
        <v/>
      </c>
      <c r="J1552" s="19" t="str">
        <f aca="true">IF(F1552="","",IF(TODAY()&lt;D1552,"Başlamadı",IF(TODAY()&gt;F1552,"Bitti",IF(F1552-TODAY()&lt;=7,"Bitiyor","Aktif"))))</f>
        <v/>
      </c>
      <c r="K1552" s="19" t="str">
        <f aca="false">IF(OR(J1552="Aktif",J1552="Bitiyor"),F1552+ROW()/1000000,"")</f>
        <v/>
      </c>
    </row>
    <row r="1553" customFormat="false" ht="15" hidden="false" customHeight="false" outlineLevel="0" collapsed="false">
      <c r="A1553" s="12"/>
      <c r="B1553" s="12"/>
      <c r="C1553" s="13"/>
      <c r="D1553" s="14"/>
      <c r="E1553" s="15"/>
      <c r="F1553" s="16" t="str">
        <f aca="false">IF(OR(C1553="",D1553=""),"",EDATE(D1553,IFERROR(INDEX(Paketler!$B$5:$B$24,MATCH(C1553,Paketler!$A$5:$A$24,0)),0))-1)</f>
        <v/>
      </c>
      <c r="G1553" s="17" t="str">
        <f aca="false">IF(F1553="","",IFERROR(INDEX(Paketler!$C$5:$C$24,MATCH(C1553,Paketler!$A$5:$A$24,0)),0))</f>
        <v/>
      </c>
      <c r="H1553" s="17" t="str">
        <f aca="false">IF(F1553="","",G1553-E1553)</f>
        <v/>
      </c>
      <c r="I1553" s="18" t="str">
        <f aca="true">IF(F1553="","",F1553-TODAY())</f>
        <v/>
      </c>
      <c r="J1553" s="19" t="str">
        <f aca="true">IF(F1553="","",IF(TODAY()&lt;D1553,"Başlamadı",IF(TODAY()&gt;F1553,"Bitti",IF(F1553-TODAY()&lt;=7,"Bitiyor","Aktif"))))</f>
        <v/>
      </c>
      <c r="K1553" s="19" t="str">
        <f aca="false">IF(OR(J1553="Aktif",J1553="Bitiyor"),F1553+ROW()/1000000,"")</f>
        <v/>
      </c>
    </row>
    <row r="1554" customFormat="false" ht="15" hidden="false" customHeight="false" outlineLevel="0" collapsed="false">
      <c r="A1554" s="12"/>
      <c r="B1554" s="12"/>
      <c r="C1554" s="13"/>
      <c r="D1554" s="14"/>
      <c r="E1554" s="15"/>
      <c r="F1554" s="16" t="str">
        <f aca="false">IF(OR(C1554="",D1554=""),"",EDATE(D1554,IFERROR(INDEX(Paketler!$B$5:$B$24,MATCH(C1554,Paketler!$A$5:$A$24,0)),0))-1)</f>
        <v/>
      </c>
      <c r="G1554" s="17" t="str">
        <f aca="false">IF(F1554="","",IFERROR(INDEX(Paketler!$C$5:$C$24,MATCH(C1554,Paketler!$A$5:$A$24,0)),0))</f>
        <v/>
      </c>
      <c r="H1554" s="17" t="str">
        <f aca="false">IF(F1554="","",G1554-E1554)</f>
        <v/>
      </c>
      <c r="I1554" s="18" t="str">
        <f aca="true">IF(F1554="","",F1554-TODAY())</f>
        <v/>
      </c>
      <c r="J1554" s="19" t="str">
        <f aca="true">IF(F1554="","",IF(TODAY()&lt;D1554,"Başlamadı",IF(TODAY()&gt;F1554,"Bitti",IF(F1554-TODAY()&lt;=7,"Bitiyor","Aktif"))))</f>
        <v/>
      </c>
      <c r="K1554" s="19" t="str">
        <f aca="false">IF(OR(J1554="Aktif",J1554="Bitiyor"),F1554+ROW()/1000000,"")</f>
        <v/>
      </c>
    </row>
    <row r="1555" customFormat="false" ht="15" hidden="false" customHeight="false" outlineLevel="0" collapsed="false">
      <c r="A1555" s="12"/>
      <c r="B1555" s="12"/>
      <c r="C1555" s="13"/>
      <c r="D1555" s="14"/>
      <c r="E1555" s="15"/>
      <c r="F1555" s="16" t="str">
        <f aca="false">IF(OR(C1555="",D1555=""),"",EDATE(D1555,IFERROR(INDEX(Paketler!$B$5:$B$24,MATCH(C1555,Paketler!$A$5:$A$24,0)),0))-1)</f>
        <v/>
      </c>
      <c r="G1555" s="17" t="str">
        <f aca="false">IF(F1555="","",IFERROR(INDEX(Paketler!$C$5:$C$24,MATCH(C1555,Paketler!$A$5:$A$24,0)),0))</f>
        <v/>
      </c>
      <c r="H1555" s="17" t="str">
        <f aca="false">IF(F1555="","",G1555-E1555)</f>
        <v/>
      </c>
      <c r="I1555" s="18" t="str">
        <f aca="true">IF(F1555="","",F1555-TODAY())</f>
        <v/>
      </c>
      <c r="J1555" s="19" t="str">
        <f aca="true">IF(F1555="","",IF(TODAY()&lt;D1555,"Başlamadı",IF(TODAY()&gt;F1555,"Bitti",IF(F1555-TODAY()&lt;=7,"Bitiyor","Aktif"))))</f>
        <v/>
      </c>
      <c r="K1555" s="19" t="str">
        <f aca="false">IF(OR(J1555="Aktif",J1555="Bitiyor"),F1555+ROW()/1000000,"")</f>
        <v/>
      </c>
    </row>
    <row r="1556" customFormat="false" ht="15" hidden="false" customHeight="false" outlineLevel="0" collapsed="false">
      <c r="A1556" s="12"/>
      <c r="B1556" s="12"/>
      <c r="C1556" s="13"/>
      <c r="D1556" s="14"/>
      <c r="E1556" s="15"/>
      <c r="F1556" s="16" t="str">
        <f aca="false">IF(OR(C1556="",D1556=""),"",EDATE(D1556,IFERROR(INDEX(Paketler!$B$5:$B$24,MATCH(C1556,Paketler!$A$5:$A$24,0)),0))-1)</f>
        <v/>
      </c>
      <c r="G1556" s="17" t="str">
        <f aca="false">IF(F1556="","",IFERROR(INDEX(Paketler!$C$5:$C$24,MATCH(C1556,Paketler!$A$5:$A$24,0)),0))</f>
        <v/>
      </c>
      <c r="H1556" s="17" t="str">
        <f aca="false">IF(F1556="","",G1556-E1556)</f>
        <v/>
      </c>
      <c r="I1556" s="18" t="str">
        <f aca="true">IF(F1556="","",F1556-TODAY())</f>
        <v/>
      </c>
      <c r="J1556" s="19" t="str">
        <f aca="true">IF(F1556="","",IF(TODAY()&lt;D1556,"Başlamadı",IF(TODAY()&gt;F1556,"Bitti",IF(F1556-TODAY()&lt;=7,"Bitiyor","Aktif"))))</f>
        <v/>
      </c>
      <c r="K1556" s="19" t="str">
        <f aca="false">IF(OR(J1556="Aktif",J1556="Bitiyor"),F1556+ROW()/1000000,"")</f>
        <v/>
      </c>
    </row>
    <row r="1557" customFormat="false" ht="15" hidden="false" customHeight="false" outlineLevel="0" collapsed="false">
      <c r="A1557" s="12"/>
      <c r="B1557" s="12"/>
      <c r="C1557" s="13"/>
      <c r="D1557" s="14"/>
      <c r="E1557" s="15"/>
      <c r="F1557" s="16" t="str">
        <f aca="false">IF(OR(C1557="",D1557=""),"",EDATE(D1557,IFERROR(INDEX(Paketler!$B$5:$B$24,MATCH(C1557,Paketler!$A$5:$A$24,0)),0))-1)</f>
        <v/>
      </c>
      <c r="G1557" s="17" t="str">
        <f aca="false">IF(F1557="","",IFERROR(INDEX(Paketler!$C$5:$C$24,MATCH(C1557,Paketler!$A$5:$A$24,0)),0))</f>
        <v/>
      </c>
      <c r="H1557" s="17" t="str">
        <f aca="false">IF(F1557="","",G1557-E1557)</f>
        <v/>
      </c>
      <c r="I1557" s="18" t="str">
        <f aca="true">IF(F1557="","",F1557-TODAY())</f>
        <v/>
      </c>
      <c r="J1557" s="19" t="str">
        <f aca="true">IF(F1557="","",IF(TODAY()&lt;D1557,"Başlamadı",IF(TODAY()&gt;F1557,"Bitti",IF(F1557-TODAY()&lt;=7,"Bitiyor","Aktif"))))</f>
        <v/>
      </c>
      <c r="K1557" s="19" t="str">
        <f aca="false">IF(OR(J1557="Aktif",J1557="Bitiyor"),F1557+ROW()/1000000,"")</f>
        <v/>
      </c>
    </row>
    <row r="1558" customFormat="false" ht="15" hidden="false" customHeight="false" outlineLevel="0" collapsed="false">
      <c r="A1558" s="12"/>
      <c r="B1558" s="12"/>
      <c r="C1558" s="13"/>
      <c r="D1558" s="14"/>
      <c r="E1558" s="15"/>
      <c r="F1558" s="16" t="str">
        <f aca="false">IF(OR(C1558="",D1558=""),"",EDATE(D1558,IFERROR(INDEX(Paketler!$B$5:$B$24,MATCH(C1558,Paketler!$A$5:$A$24,0)),0))-1)</f>
        <v/>
      </c>
      <c r="G1558" s="17" t="str">
        <f aca="false">IF(F1558="","",IFERROR(INDEX(Paketler!$C$5:$C$24,MATCH(C1558,Paketler!$A$5:$A$24,0)),0))</f>
        <v/>
      </c>
      <c r="H1558" s="17" t="str">
        <f aca="false">IF(F1558="","",G1558-E1558)</f>
        <v/>
      </c>
      <c r="I1558" s="18" t="str">
        <f aca="true">IF(F1558="","",F1558-TODAY())</f>
        <v/>
      </c>
      <c r="J1558" s="19" t="str">
        <f aca="true">IF(F1558="","",IF(TODAY()&lt;D1558,"Başlamadı",IF(TODAY()&gt;F1558,"Bitti",IF(F1558-TODAY()&lt;=7,"Bitiyor","Aktif"))))</f>
        <v/>
      </c>
      <c r="K1558" s="19" t="str">
        <f aca="false">IF(OR(J1558="Aktif",J1558="Bitiyor"),F1558+ROW()/1000000,"")</f>
        <v/>
      </c>
    </row>
    <row r="1559" customFormat="false" ht="15" hidden="false" customHeight="false" outlineLevel="0" collapsed="false">
      <c r="A1559" s="12"/>
      <c r="B1559" s="12"/>
      <c r="C1559" s="13"/>
      <c r="D1559" s="14"/>
      <c r="E1559" s="15"/>
      <c r="F1559" s="16" t="str">
        <f aca="false">IF(OR(C1559="",D1559=""),"",EDATE(D1559,IFERROR(INDEX(Paketler!$B$5:$B$24,MATCH(C1559,Paketler!$A$5:$A$24,0)),0))-1)</f>
        <v/>
      </c>
      <c r="G1559" s="17" t="str">
        <f aca="false">IF(F1559="","",IFERROR(INDEX(Paketler!$C$5:$C$24,MATCH(C1559,Paketler!$A$5:$A$24,0)),0))</f>
        <v/>
      </c>
      <c r="H1559" s="17" t="str">
        <f aca="false">IF(F1559="","",G1559-E1559)</f>
        <v/>
      </c>
      <c r="I1559" s="18" t="str">
        <f aca="true">IF(F1559="","",F1559-TODAY())</f>
        <v/>
      </c>
      <c r="J1559" s="19" t="str">
        <f aca="true">IF(F1559="","",IF(TODAY()&lt;D1559,"Başlamadı",IF(TODAY()&gt;F1559,"Bitti",IF(F1559-TODAY()&lt;=7,"Bitiyor","Aktif"))))</f>
        <v/>
      </c>
      <c r="K1559" s="19" t="str">
        <f aca="false">IF(OR(J1559="Aktif",J1559="Bitiyor"),F1559+ROW()/1000000,"")</f>
        <v/>
      </c>
    </row>
    <row r="1560" customFormat="false" ht="15" hidden="false" customHeight="false" outlineLevel="0" collapsed="false">
      <c r="A1560" s="12"/>
      <c r="B1560" s="12"/>
      <c r="C1560" s="13"/>
      <c r="D1560" s="14"/>
      <c r="E1560" s="15"/>
      <c r="F1560" s="16" t="str">
        <f aca="false">IF(OR(C1560="",D1560=""),"",EDATE(D1560,IFERROR(INDEX(Paketler!$B$5:$B$24,MATCH(C1560,Paketler!$A$5:$A$24,0)),0))-1)</f>
        <v/>
      </c>
      <c r="G1560" s="17" t="str">
        <f aca="false">IF(F1560="","",IFERROR(INDEX(Paketler!$C$5:$C$24,MATCH(C1560,Paketler!$A$5:$A$24,0)),0))</f>
        <v/>
      </c>
      <c r="H1560" s="17" t="str">
        <f aca="false">IF(F1560="","",G1560-E1560)</f>
        <v/>
      </c>
      <c r="I1560" s="18" t="str">
        <f aca="true">IF(F1560="","",F1560-TODAY())</f>
        <v/>
      </c>
      <c r="J1560" s="19" t="str">
        <f aca="true">IF(F1560="","",IF(TODAY()&lt;D1560,"Başlamadı",IF(TODAY()&gt;F1560,"Bitti",IF(F1560-TODAY()&lt;=7,"Bitiyor","Aktif"))))</f>
        <v/>
      </c>
      <c r="K1560" s="19" t="str">
        <f aca="false">IF(OR(J1560="Aktif",J1560="Bitiyor"),F1560+ROW()/1000000,"")</f>
        <v/>
      </c>
    </row>
    <row r="1561" customFormat="false" ht="15" hidden="false" customHeight="false" outlineLevel="0" collapsed="false">
      <c r="A1561" s="12"/>
      <c r="B1561" s="12"/>
      <c r="C1561" s="13"/>
      <c r="D1561" s="14"/>
      <c r="E1561" s="15"/>
      <c r="F1561" s="16" t="str">
        <f aca="false">IF(OR(C1561="",D1561=""),"",EDATE(D1561,IFERROR(INDEX(Paketler!$B$5:$B$24,MATCH(C1561,Paketler!$A$5:$A$24,0)),0))-1)</f>
        <v/>
      </c>
      <c r="G1561" s="17" t="str">
        <f aca="false">IF(F1561="","",IFERROR(INDEX(Paketler!$C$5:$C$24,MATCH(C1561,Paketler!$A$5:$A$24,0)),0))</f>
        <v/>
      </c>
      <c r="H1561" s="17" t="str">
        <f aca="false">IF(F1561="","",G1561-E1561)</f>
        <v/>
      </c>
      <c r="I1561" s="18" t="str">
        <f aca="true">IF(F1561="","",F1561-TODAY())</f>
        <v/>
      </c>
      <c r="J1561" s="19" t="str">
        <f aca="true">IF(F1561="","",IF(TODAY()&lt;D1561,"Başlamadı",IF(TODAY()&gt;F1561,"Bitti",IF(F1561-TODAY()&lt;=7,"Bitiyor","Aktif"))))</f>
        <v/>
      </c>
      <c r="K1561" s="19" t="str">
        <f aca="false">IF(OR(J1561="Aktif",J1561="Bitiyor"),F1561+ROW()/1000000,"")</f>
        <v/>
      </c>
    </row>
    <row r="1562" customFormat="false" ht="15" hidden="false" customHeight="false" outlineLevel="0" collapsed="false">
      <c r="A1562" s="12"/>
      <c r="B1562" s="12"/>
      <c r="C1562" s="13"/>
      <c r="D1562" s="14"/>
      <c r="E1562" s="15"/>
      <c r="F1562" s="16" t="str">
        <f aca="false">IF(OR(C1562="",D1562=""),"",EDATE(D1562,IFERROR(INDEX(Paketler!$B$5:$B$24,MATCH(C1562,Paketler!$A$5:$A$24,0)),0))-1)</f>
        <v/>
      </c>
      <c r="G1562" s="17" t="str">
        <f aca="false">IF(F1562="","",IFERROR(INDEX(Paketler!$C$5:$C$24,MATCH(C1562,Paketler!$A$5:$A$24,0)),0))</f>
        <v/>
      </c>
      <c r="H1562" s="17" t="str">
        <f aca="false">IF(F1562="","",G1562-E1562)</f>
        <v/>
      </c>
      <c r="I1562" s="18" t="str">
        <f aca="true">IF(F1562="","",F1562-TODAY())</f>
        <v/>
      </c>
      <c r="J1562" s="19" t="str">
        <f aca="true">IF(F1562="","",IF(TODAY()&lt;D1562,"Başlamadı",IF(TODAY()&gt;F1562,"Bitti",IF(F1562-TODAY()&lt;=7,"Bitiyor","Aktif"))))</f>
        <v/>
      </c>
      <c r="K1562" s="19" t="str">
        <f aca="false">IF(OR(J1562="Aktif",J1562="Bitiyor"),F1562+ROW()/1000000,"")</f>
        <v/>
      </c>
    </row>
    <row r="1563" customFormat="false" ht="15" hidden="false" customHeight="false" outlineLevel="0" collapsed="false">
      <c r="A1563" s="12"/>
      <c r="B1563" s="12"/>
      <c r="C1563" s="13"/>
      <c r="D1563" s="14"/>
      <c r="E1563" s="15"/>
      <c r="F1563" s="16" t="str">
        <f aca="false">IF(OR(C1563="",D1563=""),"",EDATE(D1563,IFERROR(INDEX(Paketler!$B$5:$B$24,MATCH(C1563,Paketler!$A$5:$A$24,0)),0))-1)</f>
        <v/>
      </c>
      <c r="G1563" s="17" t="str">
        <f aca="false">IF(F1563="","",IFERROR(INDEX(Paketler!$C$5:$C$24,MATCH(C1563,Paketler!$A$5:$A$24,0)),0))</f>
        <v/>
      </c>
      <c r="H1563" s="17" t="str">
        <f aca="false">IF(F1563="","",G1563-E1563)</f>
        <v/>
      </c>
      <c r="I1563" s="18" t="str">
        <f aca="true">IF(F1563="","",F1563-TODAY())</f>
        <v/>
      </c>
      <c r="J1563" s="19" t="str">
        <f aca="true">IF(F1563="","",IF(TODAY()&lt;D1563,"Başlamadı",IF(TODAY()&gt;F1563,"Bitti",IF(F1563-TODAY()&lt;=7,"Bitiyor","Aktif"))))</f>
        <v/>
      </c>
      <c r="K1563" s="19" t="str">
        <f aca="false">IF(OR(J1563="Aktif",J1563="Bitiyor"),F1563+ROW()/1000000,"")</f>
        <v/>
      </c>
    </row>
    <row r="1564" customFormat="false" ht="15" hidden="false" customHeight="false" outlineLevel="0" collapsed="false">
      <c r="A1564" s="12"/>
      <c r="B1564" s="12"/>
      <c r="C1564" s="13"/>
      <c r="D1564" s="14"/>
      <c r="E1564" s="15"/>
      <c r="F1564" s="16" t="str">
        <f aca="false">IF(OR(C1564="",D1564=""),"",EDATE(D1564,IFERROR(INDEX(Paketler!$B$5:$B$24,MATCH(C1564,Paketler!$A$5:$A$24,0)),0))-1)</f>
        <v/>
      </c>
      <c r="G1564" s="17" t="str">
        <f aca="false">IF(F1564="","",IFERROR(INDEX(Paketler!$C$5:$C$24,MATCH(C1564,Paketler!$A$5:$A$24,0)),0))</f>
        <v/>
      </c>
      <c r="H1564" s="17" t="str">
        <f aca="false">IF(F1564="","",G1564-E1564)</f>
        <v/>
      </c>
      <c r="I1564" s="18" t="str">
        <f aca="true">IF(F1564="","",F1564-TODAY())</f>
        <v/>
      </c>
      <c r="J1564" s="19" t="str">
        <f aca="true">IF(F1564="","",IF(TODAY()&lt;D1564,"Başlamadı",IF(TODAY()&gt;F1564,"Bitti",IF(F1564-TODAY()&lt;=7,"Bitiyor","Aktif"))))</f>
        <v/>
      </c>
      <c r="K1564" s="19" t="str">
        <f aca="false">IF(OR(J1564="Aktif",J1564="Bitiyor"),F1564+ROW()/1000000,"")</f>
        <v/>
      </c>
    </row>
    <row r="1565" customFormat="false" ht="15" hidden="false" customHeight="false" outlineLevel="0" collapsed="false">
      <c r="A1565" s="12"/>
      <c r="B1565" s="12"/>
      <c r="C1565" s="13"/>
      <c r="D1565" s="14"/>
      <c r="E1565" s="15"/>
      <c r="F1565" s="16" t="str">
        <f aca="false">IF(OR(C1565="",D1565=""),"",EDATE(D1565,IFERROR(INDEX(Paketler!$B$5:$B$24,MATCH(C1565,Paketler!$A$5:$A$24,0)),0))-1)</f>
        <v/>
      </c>
      <c r="G1565" s="17" t="str">
        <f aca="false">IF(F1565="","",IFERROR(INDEX(Paketler!$C$5:$C$24,MATCH(C1565,Paketler!$A$5:$A$24,0)),0))</f>
        <v/>
      </c>
      <c r="H1565" s="17" t="str">
        <f aca="false">IF(F1565="","",G1565-E1565)</f>
        <v/>
      </c>
      <c r="I1565" s="18" t="str">
        <f aca="true">IF(F1565="","",F1565-TODAY())</f>
        <v/>
      </c>
      <c r="J1565" s="19" t="str">
        <f aca="true">IF(F1565="","",IF(TODAY()&lt;D1565,"Başlamadı",IF(TODAY()&gt;F1565,"Bitti",IF(F1565-TODAY()&lt;=7,"Bitiyor","Aktif"))))</f>
        <v/>
      </c>
      <c r="K1565" s="19" t="str">
        <f aca="false">IF(OR(J1565="Aktif",J1565="Bitiyor"),F1565+ROW()/1000000,"")</f>
        <v/>
      </c>
    </row>
    <row r="1566" customFormat="false" ht="15" hidden="false" customHeight="false" outlineLevel="0" collapsed="false">
      <c r="A1566" s="12"/>
      <c r="B1566" s="12"/>
      <c r="C1566" s="13"/>
      <c r="D1566" s="14"/>
      <c r="E1566" s="15"/>
      <c r="F1566" s="16" t="str">
        <f aca="false">IF(OR(C1566="",D1566=""),"",EDATE(D1566,IFERROR(INDEX(Paketler!$B$5:$B$24,MATCH(C1566,Paketler!$A$5:$A$24,0)),0))-1)</f>
        <v/>
      </c>
      <c r="G1566" s="17" t="str">
        <f aca="false">IF(F1566="","",IFERROR(INDEX(Paketler!$C$5:$C$24,MATCH(C1566,Paketler!$A$5:$A$24,0)),0))</f>
        <v/>
      </c>
      <c r="H1566" s="17" t="str">
        <f aca="false">IF(F1566="","",G1566-E1566)</f>
        <v/>
      </c>
      <c r="I1566" s="18" t="str">
        <f aca="true">IF(F1566="","",F1566-TODAY())</f>
        <v/>
      </c>
      <c r="J1566" s="19" t="str">
        <f aca="true">IF(F1566="","",IF(TODAY()&lt;D1566,"Başlamadı",IF(TODAY()&gt;F1566,"Bitti",IF(F1566-TODAY()&lt;=7,"Bitiyor","Aktif"))))</f>
        <v/>
      </c>
      <c r="K1566" s="19" t="str">
        <f aca="false">IF(OR(J1566="Aktif",J1566="Bitiyor"),F1566+ROW()/1000000,"")</f>
        <v/>
      </c>
    </row>
    <row r="1567" customFormat="false" ht="15" hidden="false" customHeight="false" outlineLevel="0" collapsed="false">
      <c r="A1567" s="12"/>
      <c r="B1567" s="12"/>
      <c r="C1567" s="13"/>
      <c r="D1567" s="14"/>
      <c r="E1567" s="15"/>
      <c r="F1567" s="16" t="str">
        <f aca="false">IF(OR(C1567="",D1567=""),"",EDATE(D1567,IFERROR(INDEX(Paketler!$B$5:$B$24,MATCH(C1567,Paketler!$A$5:$A$24,0)),0))-1)</f>
        <v/>
      </c>
      <c r="G1567" s="17" t="str">
        <f aca="false">IF(F1567="","",IFERROR(INDEX(Paketler!$C$5:$C$24,MATCH(C1567,Paketler!$A$5:$A$24,0)),0))</f>
        <v/>
      </c>
      <c r="H1567" s="17" t="str">
        <f aca="false">IF(F1567="","",G1567-E1567)</f>
        <v/>
      </c>
      <c r="I1567" s="18" t="str">
        <f aca="true">IF(F1567="","",F1567-TODAY())</f>
        <v/>
      </c>
      <c r="J1567" s="19" t="str">
        <f aca="true">IF(F1567="","",IF(TODAY()&lt;D1567,"Başlamadı",IF(TODAY()&gt;F1567,"Bitti",IF(F1567-TODAY()&lt;=7,"Bitiyor","Aktif"))))</f>
        <v/>
      </c>
      <c r="K1567" s="19" t="str">
        <f aca="false">IF(OR(J1567="Aktif",J1567="Bitiyor"),F1567+ROW()/1000000,"")</f>
        <v/>
      </c>
    </row>
    <row r="1568" customFormat="false" ht="15" hidden="false" customHeight="false" outlineLevel="0" collapsed="false">
      <c r="A1568" s="12"/>
      <c r="B1568" s="12"/>
      <c r="C1568" s="13"/>
      <c r="D1568" s="14"/>
      <c r="E1568" s="15"/>
      <c r="F1568" s="16" t="str">
        <f aca="false">IF(OR(C1568="",D1568=""),"",EDATE(D1568,IFERROR(INDEX(Paketler!$B$5:$B$24,MATCH(C1568,Paketler!$A$5:$A$24,0)),0))-1)</f>
        <v/>
      </c>
      <c r="G1568" s="17" t="str">
        <f aca="false">IF(F1568="","",IFERROR(INDEX(Paketler!$C$5:$C$24,MATCH(C1568,Paketler!$A$5:$A$24,0)),0))</f>
        <v/>
      </c>
      <c r="H1568" s="17" t="str">
        <f aca="false">IF(F1568="","",G1568-E1568)</f>
        <v/>
      </c>
      <c r="I1568" s="18" t="str">
        <f aca="true">IF(F1568="","",F1568-TODAY())</f>
        <v/>
      </c>
      <c r="J1568" s="19" t="str">
        <f aca="true">IF(F1568="","",IF(TODAY()&lt;D1568,"Başlamadı",IF(TODAY()&gt;F1568,"Bitti",IF(F1568-TODAY()&lt;=7,"Bitiyor","Aktif"))))</f>
        <v/>
      </c>
      <c r="K1568" s="19" t="str">
        <f aca="false">IF(OR(J1568="Aktif",J1568="Bitiyor"),F1568+ROW()/1000000,"")</f>
        <v/>
      </c>
    </row>
    <row r="1569" customFormat="false" ht="15" hidden="false" customHeight="false" outlineLevel="0" collapsed="false">
      <c r="A1569" s="12"/>
      <c r="B1569" s="12"/>
      <c r="C1569" s="13"/>
      <c r="D1569" s="14"/>
      <c r="E1569" s="15"/>
      <c r="F1569" s="16" t="str">
        <f aca="false">IF(OR(C1569="",D1569=""),"",EDATE(D1569,IFERROR(INDEX(Paketler!$B$5:$B$24,MATCH(C1569,Paketler!$A$5:$A$24,0)),0))-1)</f>
        <v/>
      </c>
      <c r="G1569" s="17" t="str">
        <f aca="false">IF(F1569="","",IFERROR(INDEX(Paketler!$C$5:$C$24,MATCH(C1569,Paketler!$A$5:$A$24,0)),0))</f>
        <v/>
      </c>
      <c r="H1569" s="17" t="str">
        <f aca="false">IF(F1569="","",G1569-E1569)</f>
        <v/>
      </c>
      <c r="I1569" s="18" t="str">
        <f aca="true">IF(F1569="","",F1569-TODAY())</f>
        <v/>
      </c>
      <c r="J1569" s="19" t="str">
        <f aca="true">IF(F1569="","",IF(TODAY()&lt;D1569,"Başlamadı",IF(TODAY()&gt;F1569,"Bitti",IF(F1569-TODAY()&lt;=7,"Bitiyor","Aktif"))))</f>
        <v/>
      </c>
      <c r="K1569" s="19" t="str">
        <f aca="false">IF(OR(J1569="Aktif",J1569="Bitiyor"),F1569+ROW()/1000000,"")</f>
        <v/>
      </c>
    </row>
    <row r="1570" customFormat="false" ht="15" hidden="false" customHeight="false" outlineLevel="0" collapsed="false">
      <c r="A1570" s="12"/>
      <c r="B1570" s="12"/>
      <c r="C1570" s="13"/>
      <c r="D1570" s="14"/>
      <c r="E1570" s="15"/>
      <c r="F1570" s="16" t="str">
        <f aca="false">IF(OR(C1570="",D1570=""),"",EDATE(D1570,IFERROR(INDEX(Paketler!$B$5:$B$24,MATCH(C1570,Paketler!$A$5:$A$24,0)),0))-1)</f>
        <v/>
      </c>
      <c r="G1570" s="17" t="str">
        <f aca="false">IF(F1570="","",IFERROR(INDEX(Paketler!$C$5:$C$24,MATCH(C1570,Paketler!$A$5:$A$24,0)),0))</f>
        <v/>
      </c>
      <c r="H1570" s="17" t="str">
        <f aca="false">IF(F1570="","",G1570-E1570)</f>
        <v/>
      </c>
      <c r="I1570" s="18" t="str">
        <f aca="true">IF(F1570="","",F1570-TODAY())</f>
        <v/>
      </c>
      <c r="J1570" s="19" t="str">
        <f aca="true">IF(F1570="","",IF(TODAY()&lt;D1570,"Başlamadı",IF(TODAY()&gt;F1570,"Bitti",IF(F1570-TODAY()&lt;=7,"Bitiyor","Aktif"))))</f>
        <v/>
      </c>
      <c r="K1570" s="19" t="str">
        <f aca="false">IF(OR(J1570="Aktif",J1570="Bitiyor"),F1570+ROW()/1000000,"")</f>
        <v/>
      </c>
    </row>
    <row r="1571" customFormat="false" ht="15" hidden="false" customHeight="false" outlineLevel="0" collapsed="false">
      <c r="A1571" s="12"/>
      <c r="B1571" s="12"/>
      <c r="C1571" s="13"/>
      <c r="D1571" s="14"/>
      <c r="E1571" s="15"/>
      <c r="F1571" s="16" t="str">
        <f aca="false">IF(OR(C1571="",D1571=""),"",EDATE(D1571,IFERROR(INDEX(Paketler!$B$5:$B$24,MATCH(C1571,Paketler!$A$5:$A$24,0)),0))-1)</f>
        <v/>
      </c>
      <c r="G1571" s="17" t="str">
        <f aca="false">IF(F1571="","",IFERROR(INDEX(Paketler!$C$5:$C$24,MATCH(C1571,Paketler!$A$5:$A$24,0)),0))</f>
        <v/>
      </c>
      <c r="H1571" s="17" t="str">
        <f aca="false">IF(F1571="","",G1571-E1571)</f>
        <v/>
      </c>
      <c r="I1571" s="18" t="str">
        <f aca="true">IF(F1571="","",F1571-TODAY())</f>
        <v/>
      </c>
      <c r="J1571" s="19" t="str">
        <f aca="true">IF(F1571="","",IF(TODAY()&lt;D1571,"Başlamadı",IF(TODAY()&gt;F1571,"Bitti",IF(F1571-TODAY()&lt;=7,"Bitiyor","Aktif"))))</f>
        <v/>
      </c>
      <c r="K1571" s="19" t="str">
        <f aca="false">IF(OR(J1571="Aktif",J1571="Bitiyor"),F1571+ROW()/1000000,"")</f>
        <v/>
      </c>
    </row>
    <row r="1572" customFormat="false" ht="15" hidden="false" customHeight="false" outlineLevel="0" collapsed="false">
      <c r="A1572" s="12"/>
      <c r="B1572" s="12"/>
      <c r="C1572" s="13"/>
      <c r="D1572" s="14"/>
      <c r="E1572" s="15"/>
      <c r="F1572" s="16" t="str">
        <f aca="false">IF(OR(C1572="",D1572=""),"",EDATE(D1572,IFERROR(INDEX(Paketler!$B$5:$B$24,MATCH(C1572,Paketler!$A$5:$A$24,0)),0))-1)</f>
        <v/>
      </c>
      <c r="G1572" s="17" t="str">
        <f aca="false">IF(F1572="","",IFERROR(INDEX(Paketler!$C$5:$C$24,MATCH(C1572,Paketler!$A$5:$A$24,0)),0))</f>
        <v/>
      </c>
      <c r="H1572" s="17" t="str">
        <f aca="false">IF(F1572="","",G1572-E1572)</f>
        <v/>
      </c>
      <c r="I1572" s="18" t="str">
        <f aca="true">IF(F1572="","",F1572-TODAY())</f>
        <v/>
      </c>
      <c r="J1572" s="19" t="str">
        <f aca="true">IF(F1572="","",IF(TODAY()&lt;D1572,"Başlamadı",IF(TODAY()&gt;F1572,"Bitti",IF(F1572-TODAY()&lt;=7,"Bitiyor","Aktif"))))</f>
        <v/>
      </c>
      <c r="K1572" s="19" t="str">
        <f aca="false">IF(OR(J1572="Aktif",J1572="Bitiyor"),F1572+ROW()/1000000,"")</f>
        <v/>
      </c>
    </row>
    <row r="1573" customFormat="false" ht="15" hidden="false" customHeight="false" outlineLevel="0" collapsed="false">
      <c r="A1573" s="12"/>
      <c r="B1573" s="12"/>
      <c r="C1573" s="13"/>
      <c r="D1573" s="14"/>
      <c r="E1573" s="15"/>
      <c r="F1573" s="16" t="str">
        <f aca="false">IF(OR(C1573="",D1573=""),"",EDATE(D1573,IFERROR(INDEX(Paketler!$B$5:$B$24,MATCH(C1573,Paketler!$A$5:$A$24,0)),0))-1)</f>
        <v/>
      </c>
      <c r="G1573" s="17" t="str">
        <f aca="false">IF(F1573="","",IFERROR(INDEX(Paketler!$C$5:$C$24,MATCH(C1573,Paketler!$A$5:$A$24,0)),0))</f>
        <v/>
      </c>
      <c r="H1573" s="17" t="str">
        <f aca="false">IF(F1573="","",G1573-E1573)</f>
        <v/>
      </c>
      <c r="I1573" s="18" t="str">
        <f aca="true">IF(F1573="","",F1573-TODAY())</f>
        <v/>
      </c>
      <c r="J1573" s="19" t="str">
        <f aca="true">IF(F1573="","",IF(TODAY()&lt;D1573,"Başlamadı",IF(TODAY()&gt;F1573,"Bitti",IF(F1573-TODAY()&lt;=7,"Bitiyor","Aktif"))))</f>
        <v/>
      </c>
      <c r="K1573" s="19" t="str">
        <f aca="false">IF(OR(J1573="Aktif",J1573="Bitiyor"),F1573+ROW()/1000000,"")</f>
        <v/>
      </c>
    </row>
    <row r="1574" customFormat="false" ht="15" hidden="false" customHeight="false" outlineLevel="0" collapsed="false">
      <c r="A1574" s="12"/>
      <c r="B1574" s="12"/>
      <c r="C1574" s="13"/>
      <c r="D1574" s="14"/>
      <c r="E1574" s="15"/>
      <c r="F1574" s="16" t="str">
        <f aca="false">IF(OR(C1574="",D1574=""),"",EDATE(D1574,IFERROR(INDEX(Paketler!$B$5:$B$24,MATCH(C1574,Paketler!$A$5:$A$24,0)),0))-1)</f>
        <v/>
      </c>
      <c r="G1574" s="17" t="str">
        <f aca="false">IF(F1574="","",IFERROR(INDEX(Paketler!$C$5:$C$24,MATCH(C1574,Paketler!$A$5:$A$24,0)),0))</f>
        <v/>
      </c>
      <c r="H1574" s="17" t="str">
        <f aca="false">IF(F1574="","",G1574-E1574)</f>
        <v/>
      </c>
      <c r="I1574" s="18" t="str">
        <f aca="true">IF(F1574="","",F1574-TODAY())</f>
        <v/>
      </c>
      <c r="J1574" s="19" t="str">
        <f aca="true">IF(F1574="","",IF(TODAY()&lt;D1574,"Başlamadı",IF(TODAY()&gt;F1574,"Bitti",IF(F1574-TODAY()&lt;=7,"Bitiyor","Aktif"))))</f>
        <v/>
      </c>
      <c r="K1574" s="19" t="str">
        <f aca="false">IF(OR(J1574="Aktif",J1574="Bitiyor"),F1574+ROW()/1000000,"")</f>
        <v/>
      </c>
    </row>
    <row r="1575" customFormat="false" ht="15" hidden="false" customHeight="false" outlineLevel="0" collapsed="false">
      <c r="A1575" s="12"/>
      <c r="B1575" s="12"/>
      <c r="C1575" s="13"/>
      <c r="D1575" s="14"/>
      <c r="E1575" s="15"/>
      <c r="F1575" s="16" t="str">
        <f aca="false">IF(OR(C1575="",D1575=""),"",EDATE(D1575,IFERROR(INDEX(Paketler!$B$5:$B$24,MATCH(C1575,Paketler!$A$5:$A$24,0)),0))-1)</f>
        <v/>
      </c>
      <c r="G1575" s="17" t="str">
        <f aca="false">IF(F1575="","",IFERROR(INDEX(Paketler!$C$5:$C$24,MATCH(C1575,Paketler!$A$5:$A$24,0)),0))</f>
        <v/>
      </c>
      <c r="H1575" s="17" t="str">
        <f aca="false">IF(F1575="","",G1575-E1575)</f>
        <v/>
      </c>
      <c r="I1575" s="18" t="str">
        <f aca="true">IF(F1575="","",F1575-TODAY())</f>
        <v/>
      </c>
      <c r="J1575" s="19" t="str">
        <f aca="true">IF(F1575="","",IF(TODAY()&lt;D1575,"Başlamadı",IF(TODAY()&gt;F1575,"Bitti",IF(F1575-TODAY()&lt;=7,"Bitiyor","Aktif"))))</f>
        <v/>
      </c>
      <c r="K1575" s="19" t="str">
        <f aca="false">IF(OR(J1575="Aktif",J1575="Bitiyor"),F1575+ROW()/1000000,"")</f>
        <v/>
      </c>
    </row>
    <row r="1576" customFormat="false" ht="15" hidden="false" customHeight="false" outlineLevel="0" collapsed="false">
      <c r="A1576" s="12"/>
      <c r="B1576" s="12"/>
      <c r="C1576" s="13"/>
      <c r="D1576" s="14"/>
      <c r="E1576" s="15"/>
      <c r="F1576" s="16" t="str">
        <f aca="false">IF(OR(C1576="",D1576=""),"",EDATE(D1576,IFERROR(INDEX(Paketler!$B$5:$B$24,MATCH(C1576,Paketler!$A$5:$A$24,0)),0))-1)</f>
        <v/>
      </c>
      <c r="G1576" s="17" t="str">
        <f aca="false">IF(F1576="","",IFERROR(INDEX(Paketler!$C$5:$C$24,MATCH(C1576,Paketler!$A$5:$A$24,0)),0))</f>
        <v/>
      </c>
      <c r="H1576" s="17" t="str">
        <f aca="false">IF(F1576="","",G1576-E1576)</f>
        <v/>
      </c>
      <c r="I1576" s="18" t="str">
        <f aca="true">IF(F1576="","",F1576-TODAY())</f>
        <v/>
      </c>
      <c r="J1576" s="19" t="str">
        <f aca="true">IF(F1576="","",IF(TODAY()&lt;D1576,"Başlamadı",IF(TODAY()&gt;F1576,"Bitti",IF(F1576-TODAY()&lt;=7,"Bitiyor","Aktif"))))</f>
        <v/>
      </c>
      <c r="K1576" s="19" t="str">
        <f aca="false">IF(OR(J1576="Aktif",J1576="Bitiyor"),F1576+ROW()/1000000,"")</f>
        <v/>
      </c>
    </row>
    <row r="1577" customFormat="false" ht="15" hidden="false" customHeight="false" outlineLevel="0" collapsed="false">
      <c r="A1577" s="12"/>
      <c r="B1577" s="12"/>
      <c r="C1577" s="13"/>
      <c r="D1577" s="14"/>
      <c r="E1577" s="15"/>
      <c r="F1577" s="16" t="str">
        <f aca="false">IF(OR(C1577="",D1577=""),"",EDATE(D1577,IFERROR(INDEX(Paketler!$B$5:$B$24,MATCH(C1577,Paketler!$A$5:$A$24,0)),0))-1)</f>
        <v/>
      </c>
      <c r="G1577" s="17" t="str">
        <f aca="false">IF(F1577="","",IFERROR(INDEX(Paketler!$C$5:$C$24,MATCH(C1577,Paketler!$A$5:$A$24,0)),0))</f>
        <v/>
      </c>
      <c r="H1577" s="17" t="str">
        <f aca="false">IF(F1577="","",G1577-E1577)</f>
        <v/>
      </c>
      <c r="I1577" s="18" t="str">
        <f aca="true">IF(F1577="","",F1577-TODAY())</f>
        <v/>
      </c>
      <c r="J1577" s="19" t="str">
        <f aca="true">IF(F1577="","",IF(TODAY()&lt;D1577,"Başlamadı",IF(TODAY()&gt;F1577,"Bitti",IF(F1577-TODAY()&lt;=7,"Bitiyor","Aktif"))))</f>
        <v/>
      </c>
      <c r="K1577" s="19" t="str">
        <f aca="false">IF(OR(J1577="Aktif",J1577="Bitiyor"),F1577+ROW()/1000000,"")</f>
        <v/>
      </c>
    </row>
    <row r="1578" customFormat="false" ht="15" hidden="false" customHeight="false" outlineLevel="0" collapsed="false">
      <c r="A1578" s="12"/>
      <c r="B1578" s="12"/>
      <c r="C1578" s="13"/>
      <c r="D1578" s="14"/>
      <c r="E1578" s="15"/>
      <c r="F1578" s="16" t="str">
        <f aca="false">IF(OR(C1578="",D1578=""),"",EDATE(D1578,IFERROR(INDEX(Paketler!$B$5:$B$24,MATCH(C1578,Paketler!$A$5:$A$24,0)),0))-1)</f>
        <v/>
      </c>
      <c r="G1578" s="17" t="str">
        <f aca="false">IF(F1578="","",IFERROR(INDEX(Paketler!$C$5:$C$24,MATCH(C1578,Paketler!$A$5:$A$24,0)),0))</f>
        <v/>
      </c>
      <c r="H1578" s="17" t="str">
        <f aca="false">IF(F1578="","",G1578-E1578)</f>
        <v/>
      </c>
      <c r="I1578" s="18" t="str">
        <f aca="true">IF(F1578="","",F1578-TODAY())</f>
        <v/>
      </c>
      <c r="J1578" s="19" t="str">
        <f aca="true">IF(F1578="","",IF(TODAY()&lt;D1578,"Başlamadı",IF(TODAY()&gt;F1578,"Bitti",IF(F1578-TODAY()&lt;=7,"Bitiyor","Aktif"))))</f>
        <v/>
      </c>
      <c r="K1578" s="19" t="str">
        <f aca="false">IF(OR(J1578="Aktif",J1578="Bitiyor"),F1578+ROW()/1000000,"")</f>
        <v/>
      </c>
    </row>
    <row r="1579" customFormat="false" ht="15" hidden="false" customHeight="false" outlineLevel="0" collapsed="false">
      <c r="A1579" s="12"/>
      <c r="B1579" s="12"/>
      <c r="C1579" s="13"/>
      <c r="D1579" s="14"/>
      <c r="E1579" s="15"/>
      <c r="F1579" s="16" t="str">
        <f aca="false">IF(OR(C1579="",D1579=""),"",EDATE(D1579,IFERROR(INDEX(Paketler!$B$5:$B$24,MATCH(C1579,Paketler!$A$5:$A$24,0)),0))-1)</f>
        <v/>
      </c>
      <c r="G1579" s="17" t="str">
        <f aca="false">IF(F1579="","",IFERROR(INDEX(Paketler!$C$5:$C$24,MATCH(C1579,Paketler!$A$5:$A$24,0)),0))</f>
        <v/>
      </c>
      <c r="H1579" s="17" t="str">
        <f aca="false">IF(F1579="","",G1579-E1579)</f>
        <v/>
      </c>
      <c r="I1579" s="18" t="str">
        <f aca="true">IF(F1579="","",F1579-TODAY())</f>
        <v/>
      </c>
      <c r="J1579" s="19" t="str">
        <f aca="true">IF(F1579="","",IF(TODAY()&lt;D1579,"Başlamadı",IF(TODAY()&gt;F1579,"Bitti",IF(F1579-TODAY()&lt;=7,"Bitiyor","Aktif"))))</f>
        <v/>
      </c>
      <c r="K1579" s="19" t="str">
        <f aca="false">IF(OR(J1579="Aktif",J1579="Bitiyor"),F1579+ROW()/1000000,"")</f>
        <v/>
      </c>
    </row>
    <row r="1580" customFormat="false" ht="15" hidden="false" customHeight="false" outlineLevel="0" collapsed="false">
      <c r="A1580" s="12"/>
      <c r="B1580" s="12"/>
      <c r="C1580" s="13"/>
      <c r="D1580" s="14"/>
      <c r="E1580" s="15"/>
      <c r="F1580" s="16" t="str">
        <f aca="false">IF(OR(C1580="",D1580=""),"",EDATE(D1580,IFERROR(INDEX(Paketler!$B$5:$B$24,MATCH(C1580,Paketler!$A$5:$A$24,0)),0))-1)</f>
        <v/>
      </c>
      <c r="G1580" s="17" t="str">
        <f aca="false">IF(F1580="","",IFERROR(INDEX(Paketler!$C$5:$C$24,MATCH(C1580,Paketler!$A$5:$A$24,0)),0))</f>
        <v/>
      </c>
      <c r="H1580" s="17" t="str">
        <f aca="false">IF(F1580="","",G1580-E1580)</f>
        <v/>
      </c>
      <c r="I1580" s="18" t="str">
        <f aca="true">IF(F1580="","",F1580-TODAY())</f>
        <v/>
      </c>
      <c r="J1580" s="19" t="str">
        <f aca="true">IF(F1580="","",IF(TODAY()&lt;D1580,"Başlamadı",IF(TODAY()&gt;F1580,"Bitti",IF(F1580-TODAY()&lt;=7,"Bitiyor","Aktif"))))</f>
        <v/>
      </c>
      <c r="K1580" s="19" t="str">
        <f aca="false">IF(OR(J1580="Aktif",J1580="Bitiyor"),F1580+ROW()/1000000,"")</f>
        <v/>
      </c>
    </row>
    <row r="1581" customFormat="false" ht="15" hidden="false" customHeight="false" outlineLevel="0" collapsed="false">
      <c r="A1581" s="12"/>
      <c r="B1581" s="12"/>
      <c r="C1581" s="13"/>
      <c r="D1581" s="14"/>
      <c r="E1581" s="15"/>
      <c r="F1581" s="16" t="str">
        <f aca="false">IF(OR(C1581="",D1581=""),"",EDATE(D1581,IFERROR(INDEX(Paketler!$B$5:$B$24,MATCH(C1581,Paketler!$A$5:$A$24,0)),0))-1)</f>
        <v/>
      </c>
      <c r="G1581" s="17" t="str">
        <f aca="false">IF(F1581="","",IFERROR(INDEX(Paketler!$C$5:$C$24,MATCH(C1581,Paketler!$A$5:$A$24,0)),0))</f>
        <v/>
      </c>
      <c r="H1581" s="17" t="str">
        <f aca="false">IF(F1581="","",G1581-E1581)</f>
        <v/>
      </c>
      <c r="I1581" s="18" t="str">
        <f aca="true">IF(F1581="","",F1581-TODAY())</f>
        <v/>
      </c>
      <c r="J1581" s="19" t="str">
        <f aca="true">IF(F1581="","",IF(TODAY()&lt;D1581,"Başlamadı",IF(TODAY()&gt;F1581,"Bitti",IF(F1581-TODAY()&lt;=7,"Bitiyor","Aktif"))))</f>
        <v/>
      </c>
      <c r="K1581" s="19" t="str">
        <f aca="false">IF(OR(J1581="Aktif",J1581="Bitiyor"),F1581+ROW()/1000000,"")</f>
        <v/>
      </c>
    </row>
    <row r="1582" customFormat="false" ht="15" hidden="false" customHeight="false" outlineLevel="0" collapsed="false">
      <c r="A1582" s="12"/>
      <c r="B1582" s="12"/>
      <c r="C1582" s="13"/>
      <c r="D1582" s="14"/>
      <c r="E1582" s="15"/>
      <c r="F1582" s="16" t="str">
        <f aca="false">IF(OR(C1582="",D1582=""),"",EDATE(D1582,IFERROR(INDEX(Paketler!$B$5:$B$24,MATCH(C1582,Paketler!$A$5:$A$24,0)),0))-1)</f>
        <v/>
      </c>
      <c r="G1582" s="17" t="str">
        <f aca="false">IF(F1582="","",IFERROR(INDEX(Paketler!$C$5:$C$24,MATCH(C1582,Paketler!$A$5:$A$24,0)),0))</f>
        <v/>
      </c>
      <c r="H1582" s="17" t="str">
        <f aca="false">IF(F1582="","",G1582-E1582)</f>
        <v/>
      </c>
      <c r="I1582" s="18" t="str">
        <f aca="true">IF(F1582="","",F1582-TODAY())</f>
        <v/>
      </c>
      <c r="J1582" s="19" t="str">
        <f aca="true">IF(F1582="","",IF(TODAY()&lt;D1582,"Başlamadı",IF(TODAY()&gt;F1582,"Bitti",IF(F1582-TODAY()&lt;=7,"Bitiyor","Aktif"))))</f>
        <v/>
      </c>
      <c r="K1582" s="19" t="str">
        <f aca="false">IF(OR(J1582="Aktif",J1582="Bitiyor"),F1582+ROW()/1000000,"")</f>
        <v/>
      </c>
    </row>
    <row r="1583" customFormat="false" ht="15" hidden="false" customHeight="false" outlineLevel="0" collapsed="false">
      <c r="A1583" s="12"/>
      <c r="B1583" s="12"/>
      <c r="C1583" s="13"/>
      <c r="D1583" s="14"/>
      <c r="E1583" s="15"/>
      <c r="F1583" s="16" t="str">
        <f aca="false">IF(OR(C1583="",D1583=""),"",EDATE(D1583,IFERROR(INDEX(Paketler!$B$5:$B$24,MATCH(C1583,Paketler!$A$5:$A$24,0)),0))-1)</f>
        <v/>
      </c>
      <c r="G1583" s="17" t="str">
        <f aca="false">IF(F1583="","",IFERROR(INDEX(Paketler!$C$5:$C$24,MATCH(C1583,Paketler!$A$5:$A$24,0)),0))</f>
        <v/>
      </c>
      <c r="H1583" s="17" t="str">
        <f aca="false">IF(F1583="","",G1583-E1583)</f>
        <v/>
      </c>
      <c r="I1583" s="18" t="str">
        <f aca="true">IF(F1583="","",F1583-TODAY())</f>
        <v/>
      </c>
      <c r="J1583" s="19" t="str">
        <f aca="true">IF(F1583="","",IF(TODAY()&lt;D1583,"Başlamadı",IF(TODAY()&gt;F1583,"Bitti",IF(F1583-TODAY()&lt;=7,"Bitiyor","Aktif"))))</f>
        <v/>
      </c>
      <c r="K1583" s="19" t="str">
        <f aca="false">IF(OR(J1583="Aktif",J1583="Bitiyor"),F1583+ROW()/1000000,"")</f>
        <v/>
      </c>
    </row>
    <row r="1584" customFormat="false" ht="15" hidden="false" customHeight="false" outlineLevel="0" collapsed="false">
      <c r="A1584" s="12"/>
      <c r="B1584" s="12"/>
      <c r="C1584" s="13"/>
      <c r="D1584" s="14"/>
      <c r="E1584" s="15"/>
      <c r="F1584" s="16" t="str">
        <f aca="false">IF(OR(C1584="",D1584=""),"",EDATE(D1584,IFERROR(INDEX(Paketler!$B$5:$B$24,MATCH(C1584,Paketler!$A$5:$A$24,0)),0))-1)</f>
        <v/>
      </c>
      <c r="G1584" s="17" t="str">
        <f aca="false">IF(F1584="","",IFERROR(INDEX(Paketler!$C$5:$C$24,MATCH(C1584,Paketler!$A$5:$A$24,0)),0))</f>
        <v/>
      </c>
      <c r="H1584" s="17" t="str">
        <f aca="false">IF(F1584="","",G1584-E1584)</f>
        <v/>
      </c>
      <c r="I1584" s="18" t="str">
        <f aca="true">IF(F1584="","",F1584-TODAY())</f>
        <v/>
      </c>
      <c r="J1584" s="19" t="str">
        <f aca="true">IF(F1584="","",IF(TODAY()&lt;D1584,"Başlamadı",IF(TODAY()&gt;F1584,"Bitti",IF(F1584-TODAY()&lt;=7,"Bitiyor","Aktif"))))</f>
        <v/>
      </c>
      <c r="K1584" s="19" t="str">
        <f aca="false">IF(OR(J1584="Aktif",J1584="Bitiyor"),F1584+ROW()/1000000,"")</f>
        <v/>
      </c>
    </row>
    <row r="1585" customFormat="false" ht="15" hidden="false" customHeight="false" outlineLevel="0" collapsed="false">
      <c r="A1585" s="12"/>
      <c r="B1585" s="12"/>
      <c r="C1585" s="13"/>
      <c r="D1585" s="14"/>
      <c r="E1585" s="15"/>
      <c r="F1585" s="16" t="str">
        <f aca="false">IF(OR(C1585="",D1585=""),"",EDATE(D1585,IFERROR(INDEX(Paketler!$B$5:$B$24,MATCH(C1585,Paketler!$A$5:$A$24,0)),0))-1)</f>
        <v/>
      </c>
      <c r="G1585" s="17" t="str">
        <f aca="false">IF(F1585="","",IFERROR(INDEX(Paketler!$C$5:$C$24,MATCH(C1585,Paketler!$A$5:$A$24,0)),0))</f>
        <v/>
      </c>
      <c r="H1585" s="17" t="str">
        <f aca="false">IF(F1585="","",G1585-E1585)</f>
        <v/>
      </c>
      <c r="I1585" s="18" t="str">
        <f aca="true">IF(F1585="","",F1585-TODAY())</f>
        <v/>
      </c>
      <c r="J1585" s="19" t="str">
        <f aca="true">IF(F1585="","",IF(TODAY()&lt;D1585,"Başlamadı",IF(TODAY()&gt;F1585,"Bitti",IF(F1585-TODAY()&lt;=7,"Bitiyor","Aktif"))))</f>
        <v/>
      </c>
      <c r="K1585" s="19" t="str">
        <f aca="false">IF(OR(J1585="Aktif",J1585="Bitiyor"),F1585+ROW()/1000000,"")</f>
        <v/>
      </c>
    </row>
    <row r="1586" customFormat="false" ht="15" hidden="false" customHeight="false" outlineLevel="0" collapsed="false">
      <c r="A1586" s="12"/>
      <c r="B1586" s="12"/>
      <c r="C1586" s="13"/>
      <c r="D1586" s="14"/>
      <c r="E1586" s="15"/>
      <c r="F1586" s="16" t="str">
        <f aca="false">IF(OR(C1586="",D1586=""),"",EDATE(D1586,IFERROR(INDEX(Paketler!$B$5:$B$24,MATCH(C1586,Paketler!$A$5:$A$24,0)),0))-1)</f>
        <v/>
      </c>
      <c r="G1586" s="17" t="str">
        <f aca="false">IF(F1586="","",IFERROR(INDEX(Paketler!$C$5:$C$24,MATCH(C1586,Paketler!$A$5:$A$24,0)),0))</f>
        <v/>
      </c>
      <c r="H1586" s="17" t="str">
        <f aca="false">IF(F1586="","",G1586-E1586)</f>
        <v/>
      </c>
      <c r="I1586" s="18" t="str">
        <f aca="true">IF(F1586="","",F1586-TODAY())</f>
        <v/>
      </c>
      <c r="J1586" s="19" t="str">
        <f aca="true">IF(F1586="","",IF(TODAY()&lt;D1586,"Başlamadı",IF(TODAY()&gt;F1586,"Bitti",IF(F1586-TODAY()&lt;=7,"Bitiyor","Aktif"))))</f>
        <v/>
      </c>
      <c r="K1586" s="19" t="str">
        <f aca="false">IF(OR(J1586="Aktif",J1586="Bitiyor"),F1586+ROW()/1000000,"")</f>
        <v/>
      </c>
    </row>
    <row r="1587" customFormat="false" ht="15" hidden="false" customHeight="false" outlineLevel="0" collapsed="false">
      <c r="A1587" s="12"/>
      <c r="B1587" s="12"/>
      <c r="C1587" s="13"/>
      <c r="D1587" s="14"/>
      <c r="E1587" s="15"/>
      <c r="F1587" s="16" t="str">
        <f aca="false">IF(OR(C1587="",D1587=""),"",EDATE(D1587,IFERROR(INDEX(Paketler!$B$5:$B$24,MATCH(C1587,Paketler!$A$5:$A$24,0)),0))-1)</f>
        <v/>
      </c>
      <c r="G1587" s="17" t="str">
        <f aca="false">IF(F1587="","",IFERROR(INDEX(Paketler!$C$5:$C$24,MATCH(C1587,Paketler!$A$5:$A$24,0)),0))</f>
        <v/>
      </c>
      <c r="H1587" s="17" t="str">
        <f aca="false">IF(F1587="","",G1587-E1587)</f>
        <v/>
      </c>
      <c r="I1587" s="18" t="str">
        <f aca="true">IF(F1587="","",F1587-TODAY())</f>
        <v/>
      </c>
      <c r="J1587" s="19" t="str">
        <f aca="true">IF(F1587="","",IF(TODAY()&lt;D1587,"Başlamadı",IF(TODAY()&gt;F1587,"Bitti",IF(F1587-TODAY()&lt;=7,"Bitiyor","Aktif"))))</f>
        <v/>
      </c>
      <c r="K1587" s="19" t="str">
        <f aca="false">IF(OR(J1587="Aktif",J1587="Bitiyor"),F1587+ROW()/1000000,"")</f>
        <v/>
      </c>
    </row>
    <row r="1588" customFormat="false" ht="15" hidden="false" customHeight="false" outlineLevel="0" collapsed="false">
      <c r="A1588" s="12"/>
      <c r="B1588" s="12"/>
      <c r="C1588" s="13"/>
      <c r="D1588" s="14"/>
      <c r="E1588" s="15"/>
      <c r="F1588" s="16" t="str">
        <f aca="false">IF(OR(C1588="",D1588=""),"",EDATE(D1588,IFERROR(INDEX(Paketler!$B$5:$B$24,MATCH(C1588,Paketler!$A$5:$A$24,0)),0))-1)</f>
        <v/>
      </c>
      <c r="G1588" s="17" t="str">
        <f aca="false">IF(F1588="","",IFERROR(INDEX(Paketler!$C$5:$C$24,MATCH(C1588,Paketler!$A$5:$A$24,0)),0))</f>
        <v/>
      </c>
      <c r="H1588" s="17" t="str">
        <f aca="false">IF(F1588="","",G1588-E1588)</f>
        <v/>
      </c>
      <c r="I1588" s="18" t="str">
        <f aca="true">IF(F1588="","",F1588-TODAY())</f>
        <v/>
      </c>
      <c r="J1588" s="19" t="str">
        <f aca="true">IF(F1588="","",IF(TODAY()&lt;D1588,"Başlamadı",IF(TODAY()&gt;F1588,"Bitti",IF(F1588-TODAY()&lt;=7,"Bitiyor","Aktif"))))</f>
        <v/>
      </c>
      <c r="K1588" s="19" t="str">
        <f aca="false">IF(OR(J1588="Aktif",J1588="Bitiyor"),F1588+ROW()/1000000,"")</f>
        <v/>
      </c>
    </row>
    <row r="1589" customFormat="false" ht="15" hidden="false" customHeight="false" outlineLevel="0" collapsed="false">
      <c r="A1589" s="12"/>
      <c r="B1589" s="12"/>
      <c r="C1589" s="13"/>
      <c r="D1589" s="14"/>
      <c r="E1589" s="15"/>
      <c r="F1589" s="16" t="str">
        <f aca="false">IF(OR(C1589="",D1589=""),"",EDATE(D1589,IFERROR(INDEX(Paketler!$B$5:$B$24,MATCH(C1589,Paketler!$A$5:$A$24,0)),0))-1)</f>
        <v/>
      </c>
      <c r="G1589" s="17" t="str">
        <f aca="false">IF(F1589="","",IFERROR(INDEX(Paketler!$C$5:$C$24,MATCH(C1589,Paketler!$A$5:$A$24,0)),0))</f>
        <v/>
      </c>
      <c r="H1589" s="17" t="str">
        <f aca="false">IF(F1589="","",G1589-E1589)</f>
        <v/>
      </c>
      <c r="I1589" s="18" t="str">
        <f aca="true">IF(F1589="","",F1589-TODAY())</f>
        <v/>
      </c>
      <c r="J1589" s="19" t="str">
        <f aca="true">IF(F1589="","",IF(TODAY()&lt;D1589,"Başlamadı",IF(TODAY()&gt;F1589,"Bitti",IF(F1589-TODAY()&lt;=7,"Bitiyor","Aktif"))))</f>
        <v/>
      </c>
      <c r="K1589" s="19" t="str">
        <f aca="false">IF(OR(J1589="Aktif",J1589="Bitiyor"),F1589+ROW()/1000000,"")</f>
        <v/>
      </c>
    </row>
    <row r="1590" customFormat="false" ht="15" hidden="false" customHeight="false" outlineLevel="0" collapsed="false">
      <c r="A1590" s="12"/>
      <c r="B1590" s="12"/>
      <c r="C1590" s="13"/>
      <c r="D1590" s="14"/>
      <c r="E1590" s="15"/>
      <c r="F1590" s="16" t="str">
        <f aca="false">IF(OR(C1590="",D1590=""),"",EDATE(D1590,IFERROR(INDEX(Paketler!$B$5:$B$24,MATCH(C1590,Paketler!$A$5:$A$24,0)),0))-1)</f>
        <v/>
      </c>
      <c r="G1590" s="17" t="str">
        <f aca="false">IF(F1590="","",IFERROR(INDEX(Paketler!$C$5:$C$24,MATCH(C1590,Paketler!$A$5:$A$24,0)),0))</f>
        <v/>
      </c>
      <c r="H1590" s="17" t="str">
        <f aca="false">IF(F1590="","",G1590-E1590)</f>
        <v/>
      </c>
      <c r="I1590" s="18" t="str">
        <f aca="true">IF(F1590="","",F1590-TODAY())</f>
        <v/>
      </c>
      <c r="J1590" s="19" t="str">
        <f aca="true">IF(F1590="","",IF(TODAY()&lt;D1590,"Başlamadı",IF(TODAY()&gt;F1590,"Bitti",IF(F1590-TODAY()&lt;=7,"Bitiyor","Aktif"))))</f>
        <v/>
      </c>
      <c r="K1590" s="19" t="str">
        <f aca="false">IF(OR(J1590="Aktif",J1590="Bitiyor"),F1590+ROW()/1000000,"")</f>
        <v/>
      </c>
    </row>
    <row r="1591" customFormat="false" ht="15" hidden="false" customHeight="false" outlineLevel="0" collapsed="false">
      <c r="A1591" s="12"/>
      <c r="B1591" s="12"/>
      <c r="C1591" s="13"/>
      <c r="D1591" s="14"/>
      <c r="E1591" s="15"/>
      <c r="F1591" s="16" t="str">
        <f aca="false">IF(OR(C1591="",D1591=""),"",EDATE(D1591,IFERROR(INDEX(Paketler!$B$5:$B$24,MATCH(C1591,Paketler!$A$5:$A$24,0)),0))-1)</f>
        <v/>
      </c>
      <c r="G1591" s="17" t="str">
        <f aca="false">IF(F1591="","",IFERROR(INDEX(Paketler!$C$5:$C$24,MATCH(C1591,Paketler!$A$5:$A$24,0)),0))</f>
        <v/>
      </c>
      <c r="H1591" s="17" t="str">
        <f aca="false">IF(F1591="","",G1591-E1591)</f>
        <v/>
      </c>
      <c r="I1591" s="18" t="str">
        <f aca="true">IF(F1591="","",F1591-TODAY())</f>
        <v/>
      </c>
      <c r="J1591" s="19" t="str">
        <f aca="true">IF(F1591="","",IF(TODAY()&lt;D1591,"Başlamadı",IF(TODAY()&gt;F1591,"Bitti",IF(F1591-TODAY()&lt;=7,"Bitiyor","Aktif"))))</f>
        <v/>
      </c>
      <c r="K1591" s="19" t="str">
        <f aca="false">IF(OR(J1591="Aktif",J1591="Bitiyor"),F1591+ROW()/1000000,"")</f>
        <v/>
      </c>
    </row>
    <row r="1592" customFormat="false" ht="15" hidden="false" customHeight="false" outlineLevel="0" collapsed="false">
      <c r="A1592" s="12"/>
      <c r="B1592" s="12"/>
      <c r="C1592" s="13"/>
      <c r="D1592" s="14"/>
      <c r="E1592" s="15"/>
      <c r="F1592" s="16" t="str">
        <f aca="false">IF(OR(C1592="",D1592=""),"",EDATE(D1592,IFERROR(INDEX(Paketler!$B$5:$B$24,MATCH(C1592,Paketler!$A$5:$A$24,0)),0))-1)</f>
        <v/>
      </c>
      <c r="G1592" s="17" t="str">
        <f aca="false">IF(F1592="","",IFERROR(INDEX(Paketler!$C$5:$C$24,MATCH(C1592,Paketler!$A$5:$A$24,0)),0))</f>
        <v/>
      </c>
      <c r="H1592" s="17" t="str">
        <f aca="false">IF(F1592="","",G1592-E1592)</f>
        <v/>
      </c>
      <c r="I1592" s="18" t="str">
        <f aca="true">IF(F1592="","",F1592-TODAY())</f>
        <v/>
      </c>
      <c r="J1592" s="19" t="str">
        <f aca="true">IF(F1592="","",IF(TODAY()&lt;D1592,"Başlamadı",IF(TODAY()&gt;F1592,"Bitti",IF(F1592-TODAY()&lt;=7,"Bitiyor","Aktif"))))</f>
        <v/>
      </c>
      <c r="K1592" s="19" t="str">
        <f aca="false">IF(OR(J1592="Aktif",J1592="Bitiyor"),F1592+ROW()/1000000,"")</f>
        <v/>
      </c>
    </row>
    <row r="1593" customFormat="false" ht="15" hidden="false" customHeight="false" outlineLevel="0" collapsed="false">
      <c r="A1593" s="12"/>
      <c r="B1593" s="12"/>
      <c r="C1593" s="13"/>
      <c r="D1593" s="14"/>
      <c r="E1593" s="15"/>
      <c r="F1593" s="16" t="str">
        <f aca="false">IF(OR(C1593="",D1593=""),"",EDATE(D1593,IFERROR(INDEX(Paketler!$B$5:$B$24,MATCH(C1593,Paketler!$A$5:$A$24,0)),0))-1)</f>
        <v/>
      </c>
      <c r="G1593" s="17" t="str">
        <f aca="false">IF(F1593="","",IFERROR(INDEX(Paketler!$C$5:$C$24,MATCH(C1593,Paketler!$A$5:$A$24,0)),0))</f>
        <v/>
      </c>
      <c r="H1593" s="17" t="str">
        <f aca="false">IF(F1593="","",G1593-E1593)</f>
        <v/>
      </c>
      <c r="I1593" s="18" t="str">
        <f aca="true">IF(F1593="","",F1593-TODAY())</f>
        <v/>
      </c>
      <c r="J1593" s="19" t="str">
        <f aca="true">IF(F1593="","",IF(TODAY()&lt;D1593,"Başlamadı",IF(TODAY()&gt;F1593,"Bitti",IF(F1593-TODAY()&lt;=7,"Bitiyor","Aktif"))))</f>
        <v/>
      </c>
      <c r="K1593" s="19" t="str">
        <f aca="false">IF(OR(J1593="Aktif",J1593="Bitiyor"),F1593+ROW()/1000000,"")</f>
        <v/>
      </c>
    </row>
    <row r="1594" customFormat="false" ht="15" hidden="false" customHeight="false" outlineLevel="0" collapsed="false">
      <c r="A1594" s="12"/>
      <c r="B1594" s="12"/>
      <c r="C1594" s="13"/>
      <c r="D1594" s="14"/>
      <c r="E1594" s="15"/>
      <c r="F1594" s="16" t="str">
        <f aca="false">IF(OR(C1594="",D1594=""),"",EDATE(D1594,IFERROR(INDEX(Paketler!$B$5:$B$24,MATCH(C1594,Paketler!$A$5:$A$24,0)),0))-1)</f>
        <v/>
      </c>
      <c r="G1594" s="17" t="str">
        <f aca="false">IF(F1594="","",IFERROR(INDEX(Paketler!$C$5:$C$24,MATCH(C1594,Paketler!$A$5:$A$24,0)),0))</f>
        <v/>
      </c>
      <c r="H1594" s="17" t="str">
        <f aca="false">IF(F1594="","",G1594-E1594)</f>
        <v/>
      </c>
      <c r="I1594" s="18" t="str">
        <f aca="true">IF(F1594="","",F1594-TODAY())</f>
        <v/>
      </c>
      <c r="J1594" s="19" t="str">
        <f aca="true">IF(F1594="","",IF(TODAY()&lt;D1594,"Başlamadı",IF(TODAY()&gt;F1594,"Bitti",IF(F1594-TODAY()&lt;=7,"Bitiyor","Aktif"))))</f>
        <v/>
      </c>
      <c r="K1594" s="19" t="str">
        <f aca="false">IF(OR(J1594="Aktif",J1594="Bitiyor"),F1594+ROW()/1000000,"")</f>
        <v/>
      </c>
    </row>
    <row r="1595" customFormat="false" ht="15" hidden="false" customHeight="false" outlineLevel="0" collapsed="false">
      <c r="A1595" s="12"/>
      <c r="B1595" s="12"/>
      <c r="C1595" s="13"/>
      <c r="D1595" s="14"/>
      <c r="E1595" s="15"/>
      <c r="F1595" s="16" t="str">
        <f aca="false">IF(OR(C1595="",D1595=""),"",EDATE(D1595,IFERROR(INDEX(Paketler!$B$5:$B$24,MATCH(C1595,Paketler!$A$5:$A$24,0)),0))-1)</f>
        <v/>
      </c>
      <c r="G1595" s="17" t="str">
        <f aca="false">IF(F1595="","",IFERROR(INDEX(Paketler!$C$5:$C$24,MATCH(C1595,Paketler!$A$5:$A$24,0)),0))</f>
        <v/>
      </c>
      <c r="H1595" s="17" t="str">
        <f aca="false">IF(F1595="","",G1595-E1595)</f>
        <v/>
      </c>
      <c r="I1595" s="18" t="str">
        <f aca="true">IF(F1595="","",F1595-TODAY())</f>
        <v/>
      </c>
      <c r="J1595" s="19" t="str">
        <f aca="true">IF(F1595="","",IF(TODAY()&lt;D1595,"Başlamadı",IF(TODAY()&gt;F1595,"Bitti",IF(F1595-TODAY()&lt;=7,"Bitiyor","Aktif"))))</f>
        <v/>
      </c>
      <c r="K1595" s="19" t="str">
        <f aca="false">IF(OR(J1595="Aktif",J1595="Bitiyor"),F1595+ROW()/1000000,"")</f>
        <v/>
      </c>
    </row>
    <row r="1596" customFormat="false" ht="15" hidden="false" customHeight="false" outlineLevel="0" collapsed="false">
      <c r="A1596" s="12"/>
      <c r="B1596" s="12"/>
      <c r="C1596" s="13"/>
      <c r="D1596" s="14"/>
      <c r="E1596" s="15"/>
      <c r="F1596" s="16" t="str">
        <f aca="false">IF(OR(C1596="",D1596=""),"",EDATE(D1596,IFERROR(INDEX(Paketler!$B$5:$B$24,MATCH(C1596,Paketler!$A$5:$A$24,0)),0))-1)</f>
        <v/>
      </c>
      <c r="G1596" s="17" t="str">
        <f aca="false">IF(F1596="","",IFERROR(INDEX(Paketler!$C$5:$C$24,MATCH(C1596,Paketler!$A$5:$A$24,0)),0))</f>
        <v/>
      </c>
      <c r="H1596" s="17" t="str">
        <f aca="false">IF(F1596="","",G1596-E1596)</f>
        <v/>
      </c>
      <c r="I1596" s="18" t="str">
        <f aca="true">IF(F1596="","",F1596-TODAY())</f>
        <v/>
      </c>
      <c r="J1596" s="19" t="str">
        <f aca="true">IF(F1596="","",IF(TODAY()&lt;D1596,"Başlamadı",IF(TODAY()&gt;F1596,"Bitti",IF(F1596-TODAY()&lt;=7,"Bitiyor","Aktif"))))</f>
        <v/>
      </c>
      <c r="K1596" s="19" t="str">
        <f aca="false">IF(OR(J1596="Aktif",J1596="Bitiyor"),F1596+ROW()/1000000,"")</f>
        <v/>
      </c>
    </row>
    <row r="1597" customFormat="false" ht="15" hidden="false" customHeight="false" outlineLevel="0" collapsed="false">
      <c r="A1597" s="12"/>
      <c r="B1597" s="12"/>
      <c r="C1597" s="13"/>
      <c r="D1597" s="14"/>
      <c r="E1597" s="15"/>
      <c r="F1597" s="16" t="str">
        <f aca="false">IF(OR(C1597="",D1597=""),"",EDATE(D1597,IFERROR(INDEX(Paketler!$B$5:$B$24,MATCH(C1597,Paketler!$A$5:$A$24,0)),0))-1)</f>
        <v/>
      </c>
      <c r="G1597" s="17" t="str">
        <f aca="false">IF(F1597="","",IFERROR(INDEX(Paketler!$C$5:$C$24,MATCH(C1597,Paketler!$A$5:$A$24,0)),0))</f>
        <v/>
      </c>
      <c r="H1597" s="17" t="str">
        <f aca="false">IF(F1597="","",G1597-E1597)</f>
        <v/>
      </c>
      <c r="I1597" s="18" t="str">
        <f aca="true">IF(F1597="","",F1597-TODAY())</f>
        <v/>
      </c>
      <c r="J1597" s="19" t="str">
        <f aca="true">IF(F1597="","",IF(TODAY()&lt;D1597,"Başlamadı",IF(TODAY()&gt;F1597,"Bitti",IF(F1597-TODAY()&lt;=7,"Bitiyor","Aktif"))))</f>
        <v/>
      </c>
      <c r="K1597" s="19" t="str">
        <f aca="false">IF(OR(J1597="Aktif",J1597="Bitiyor"),F1597+ROW()/1000000,"")</f>
        <v/>
      </c>
    </row>
    <row r="1598" customFormat="false" ht="15" hidden="false" customHeight="false" outlineLevel="0" collapsed="false">
      <c r="A1598" s="12"/>
      <c r="B1598" s="12"/>
      <c r="C1598" s="13"/>
      <c r="D1598" s="14"/>
      <c r="E1598" s="15"/>
      <c r="F1598" s="16" t="str">
        <f aca="false">IF(OR(C1598="",D1598=""),"",EDATE(D1598,IFERROR(INDEX(Paketler!$B$5:$B$24,MATCH(C1598,Paketler!$A$5:$A$24,0)),0))-1)</f>
        <v/>
      </c>
      <c r="G1598" s="17" t="str">
        <f aca="false">IF(F1598="","",IFERROR(INDEX(Paketler!$C$5:$C$24,MATCH(C1598,Paketler!$A$5:$A$24,0)),0))</f>
        <v/>
      </c>
      <c r="H1598" s="17" t="str">
        <f aca="false">IF(F1598="","",G1598-E1598)</f>
        <v/>
      </c>
      <c r="I1598" s="18" t="str">
        <f aca="true">IF(F1598="","",F1598-TODAY())</f>
        <v/>
      </c>
      <c r="J1598" s="19" t="str">
        <f aca="true">IF(F1598="","",IF(TODAY()&lt;D1598,"Başlamadı",IF(TODAY()&gt;F1598,"Bitti",IF(F1598-TODAY()&lt;=7,"Bitiyor","Aktif"))))</f>
        <v/>
      </c>
      <c r="K1598" s="19" t="str">
        <f aca="false">IF(OR(J1598="Aktif",J1598="Bitiyor"),F1598+ROW()/1000000,"")</f>
        <v/>
      </c>
    </row>
    <row r="1599" customFormat="false" ht="15" hidden="false" customHeight="false" outlineLevel="0" collapsed="false">
      <c r="A1599" s="12"/>
      <c r="B1599" s="12"/>
      <c r="C1599" s="13"/>
      <c r="D1599" s="14"/>
      <c r="E1599" s="15"/>
      <c r="F1599" s="16" t="str">
        <f aca="false">IF(OR(C1599="",D1599=""),"",EDATE(D1599,IFERROR(INDEX(Paketler!$B$5:$B$24,MATCH(C1599,Paketler!$A$5:$A$24,0)),0))-1)</f>
        <v/>
      </c>
      <c r="G1599" s="17" t="str">
        <f aca="false">IF(F1599="","",IFERROR(INDEX(Paketler!$C$5:$C$24,MATCH(C1599,Paketler!$A$5:$A$24,0)),0))</f>
        <v/>
      </c>
      <c r="H1599" s="17" t="str">
        <f aca="false">IF(F1599="","",G1599-E1599)</f>
        <v/>
      </c>
      <c r="I1599" s="18" t="str">
        <f aca="true">IF(F1599="","",F1599-TODAY())</f>
        <v/>
      </c>
      <c r="J1599" s="19" t="str">
        <f aca="true">IF(F1599="","",IF(TODAY()&lt;D1599,"Başlamadı",IF(TODAY()&gt;F1599,"Bitti",IF(F1599-TODAY()&lt;=7,"Bitiyor","Aktif"))))</f>
        <v/>
      </c>
      <c r="K1599" s="19" t="str">
        <f aca="false">IF(OR(J1599="Aktif",J1599="Bitiyor"),F1599+ROW()/1000000,"")</f>
        <v/>
      </c>
    </row>
    <row r="1600" customFormat="false" ht="15" hidden="false" customHeight="false" outlineLevel="0" collapsed="false">
      <c r="A1600" s="12"/>
      <c r="B1600" s="12"/>
      <c r="C1600" s="13"/>
      <c r="D1600" s="14"/>
      <c r="E1600" s="15"/>
      <c r="F1600" s="16" t="str">
        <f aca="false">IF(OR(C1600="",D1600=""),"",EDATE(D1600,IFERROR(INDEX(Paketler!$B$5:$B$24,MATCH(C1600,Paketler!$A$5:$A$24,0)),0))-1)</f>
        <v/>
      </c>
      <c r="G1600" s="17" t="str">
        <f aca="false">IF(F1600="","",IFERROR(INDEX(Paketler!$C$5:$C$24,MATCH(C1600,Paketler!$A$5:$A$24,0)),0))</f>
        <v/>
      </c>
      <c r="H1600" s="17" t="str">
        <f aca="false">IF(F1600="","",G1600-E1600)</f>
        <v/>
      </c>
      <c r="I1600" s="18" t="str">
        <f aca="true">IF(F1600="","",F1600-TODAY())</f>
        <v/>
      </c>
      <c r="J1600" s="19" t="str">
        <f aca="true">IF(F1600="","",IF(TODAY()&lt;D1600,"Başlamadı",IF(TODAY()&gt;F1600,"Bitti",IF(F1600-TODAY()&lt;=7,"Bitiyor","Aktif"))))</f>
        <v/>
      </c>
      <c r="K1600" s="19" t="str">
        <f aca="false">IF(OR(J1600="Aktif",J1600="Bitiyor"),F1600+ROW()/1000000,"")</f>
        <v/>
      </c>
    </row>
    <row r="1601" customFormat="false" ht="15" hidden="false" customHeight="false" outlineLevel="0" collapsed="false">
      <c r="A1601" s="12"/>
      <c r="B1601" s="12"/>
      <c r="C1601" s="13"/>
      <c r="D1601" s="14"/>
      <c r="E1601" s="15"/>
      <c r="F1601" s="16" t="str">
        <f aca="false">IF(OR(C1601="",D1601=""),"",EDATE(D1601,IFERROR(INDEX(Paketler!$B$5:$B$24,MATCH(C1601,Paketler!$A$5:$A$24,0)),0))-1)</f>
        <v/>
      </c>
      <c r="G1601" s="17" t="str">
        <f aca="false">IF(F1601="","",IFERROR(INDEX(Paketler!$C$5:$C$24,MATCH(C1601,Paketler!$A$5:$A$24,0)),0))</f>
        <v/>
      </c>
      <c r="H1601" s="17" t="str">
        <f aca="false">IF(F1601="","",G1601-E1601)</f>
        <v/>
      </c>
      <c r="I1601" s="18" t="str">
        <f aca="true">IF(F1601="","",F1601-TODAY())</f>
        <v/>
      </c>
      <c r="J1601" s="19" t="str">
        <f aca="true">IF(F1601="","",IF(TODAY()&lt;D1601,"Başlamadı",IF(TODAY()&gt;F1601,"Bitti",IF(F1601-TODAY()&lt;=7,"Bitiyor","Aktif"))))</f>
        <v/>
      </c>
      <c r="K1601" s="19" t="str">
        <f aca="false">IF(OR(J1601="Aktif",J1601="Bitiyor"),F1601+ROW()/1000000,"")</f>
        <v/>
      </c>
    </row>
    <row r="1602" customFormat="false" ht="15" hidden="false" customHeight="false" outlineLevel="0" collapsed="false">
      <c r="A1602" s="12"/>
      <c r="B1602" s="12"/>
      <c r="C1602" s="13"/>
      <c r="D1602" s="14"/>
      <c r="E1602" s="15"/>
      <c r="F1602" s="16" t="str">
        <f aca="false">IF(OR(C1602="",D1602=""),"",EDATE(D1602,IFERROR(INDEX(Paketler!$B$5:$B$24,MATCH(C1602,Paketler!$A$5:$A$24,0)),0))-1)</f>
        <v/>
      </c>
      <c r="G1602" s="17" t="str">
        <f aca="false">IF(F1602="","",IFERROR(INDEX(Paketler!$C$5:$C$24,MATCH(C1602,Paketler!$A$5:$A$24,0)),0))</f>
        <v/>
      </c>
      <c r="H1602" s="17" t="str">
        <f aca="false">IF(F1602="","",G1602-E1602)</f>
        <v/>
      </c>
      <c r="I1602" s="18" t="str">
        <f aca="true">IF(F1602="","",F1602-TODAY())</f>
        <v/>
      </c>
      <c r="J1602" s="19" t="str">
        <f aca="true">IF(F1602="","",IF(TODAY()&lt;D1602,"Başlamadı",IF(TODAY()&gt;F1602,"Bitti",IF(F1602-TODAY()&lt;=7,"Bitiyor","Aktif"))))</f>
        <v/>
      </c>
      <c r="K1602" s="19" t="str">
        <f aca="false">IF(OR(J1602="Aktif",J1602="Bitiyor"),F1602+ROW()/1000000,"")</f>
        <v/>
      </c>
    </row>
    <row r="1603" customFormat="false" ht="15" hidden="false" customHeight="false" outlineLevel="0" collapsed="false">
      <c r="A1603" s="12"/>
      <c r="B1603" s="12"/>
      <c r="C1603" s="13"/>
      <c r="D1603" s="14"/>
      <c r="E1603" s="15"/>
      <c r="F1603" s="16" t="str">
        <f aca="false">IF(OR(C1603="",D1603=""),"",EDATE(D1603,IFERROR(INDEX(Paketler!$B$5:$B$24,MATCH(C1603,Paketler!$A$5:$A$24,0)),0))-1)</f>
        <v/>
      </c>
      <c r="G1603" s="17" t="str">
        <f aca="false">IF(F1603="","",IFERROR(INDEX(Paketler!$C$5:$C$24,MATCH(C1603,Paketler!$A$5:$A$24,0)),0))</f>
        <v/>
      </c>
      <c r="H1603" s="17" t="str">
        <f aca="false">IF(F1603="","",G1603-E1603)</f>
        <v/>
      </c>
      <c r="I1603" s="18" t="str">
        <f aca="true">IF(F1603="","",F1603-TODAY())</f>
        <v/>
      </c>
      <c r="J1603" s="19" t="str">
        <f aca="true">IF(F1603="","",IF(TODAY()&lt;D1603,"Başlamadı",IF(TODAY()&gt;F1603,"Bitti",IF(F1603-TODAY()&lt;=7,"Bitiyor","Aktif"))))</f>
        <v/>
      </c>
      <c r="K1603" s="19" t="str">
        <f aca="false">IF(OR(J1603="Aktif",J1603="Bitiyor"),F1603+ROW()/1000000,"")</f>
        <v/>
      </c>
    </row>
    <row r="1604" customFormat="false" ht="15" hidden="false" customHeight="false" outlineLevel="0" collapsed="false">
      <c r="A1604" s="12"/>
      <c r="B1604" s="12"/>
      <c r="C1604" s="13"/>
      <c r="D1604" s="14"/>
      <c r="E1604" s="15"/>
      <c r="F1604" s="16" t="str">
        <f aca="false">IF(OR(C1604="",D1604=""),"",EDATE(D1604,IFERROR(INDEX(Paketler!$B$5:$B$24,MATCH(C1604,Paketler!$A$5:$A$24,0)),0))-1)</f>
        <v/>
      </c>
      <c r="G1604" s="17" t="str">
        <f aca="false">IF(F1604="","",IFERROR(INDEX(Paketler!$C$5:$C$24,MATCH(C1604,Paketler!$A$5:$A$24,0)),0))</f>
        <v/>
      </c>
      <c r="H1604" s="17" t="str">
        <f aca="false">IF(F1604="","",G1604-E1604)</f>
        <v/>
      </c>
      <c r="I1604" s="18" t="str">
        <f aca="true">IF(F1604="","",F1604-TODAY())</f>
        <v/>
      </c>
      <c r="J1604" s="19" t="str">
        <f aca="true">IF(F1604="","",IF(TODAY()&lt;D1604,"Başlamadı",IF(TODAY()&gt;F1604,"Bitti",IF(F1604-TODAY()&lt;=7,"Bitiyor","Aktif"))))</f>
        <v/>
      </c>
      <c r="K1604" s="19" t="str">
        <f aca="false">IF(OR(J1604="Aktif",J1604="Bitiyor"),F1604+ROW()/1000000,"")</f>
        <v/>
      </c>
    </row>
    <row r="1605" customFormat="false" ht="15" hidden="false" customHeight="false" outlineLevel="0" collapsed="false">
      <c r="A1605" s="12"/>
      <c r="B1605" s="12"/>
      <c r="C1605" s="13"/>
      <c r="D1605" s="14"/>
      <c r="E1605" s="15"/>
      <c r="F1605" s="16" t="str">
        <f aca="false">IF(OR(C1605="",D1605=""),"",EDATE(D1605,IFERROR(INDEX(Paketler!$B$5:$B$24,MATCH(C1605,Paketler!$A$5:$A$24,0)),0))-1)</f>
        <v/>
      </c>
      <c r="G1605" s="17" t="str">
        <f aca="false">IF(F1605="","",IFERROR(INDEX(Paketler!$C$5:$C$24,MATCH(C1605,Paketler!$A$5:$A$24,0)),0))</f>
        <v/>
      </c>
      <c r="H1605" s="17" t="str">
        <f aca="false">IF(F1605="","",G1605-E1605)</f>
        <v/>
      </c>
      <c r="I1605" s="18" t="str">
        <f aca="true">IF(F1605="","",F1605-TODAY())</f>
        <v/>
      </c>
      <c r="J1605" s="19" t="str">
        <f aca="true">IF(F1605="","",IF(TODAY()&lt;D1605,"Başlamadı",IF(TODAY()&gt;F1605,"Bitti",IF(F1605-TODAY()&lt;=7,"Bitiyor","Aktif"))))</f>
        <v/>
      </c>
      <c r="K1605" s="19" t="str">
        <f aca="false">IF(OR(J1605="Aktif",J1605="Bitiyor"),F1605+ROW()/1000000,"")</f>
        <v/>
      </c>
    </row>
    <row r="1606" customFormat="false" ht="15" hidden="false" customHeight="false" outlineLevel="0" collapsed="false">
      <c r="A1606" s="12"/>
      <c r="B1606" s="12"/>
      <c r="C1606" s="13"/>
      <c r="D1606" s="14"/>
      <c r="E1606" s="15"/>
      <c r="F1606" s="16" t="str">
        <f aca="false">IF(OR(C1606="",D1606=""),"",EDATE(D1606,IFERROR(INDEX(Paketler!$B$5:$B$24,MATCH(C1606,Paketler!$A$5:$A$24,0)),0))-1)</f>
        <v/>
      </c>
      <c r="G1606" s="17" t="str">
        <f aca="false">IF(F1606="","",IFERROR(INDEX(Paketler!$C$5:$C$24,MATCH(C1606,Paketler!$A$5:$A$24,0)),0))</f>
        <v/>
      </c>
      <c r="H1606" s="17" t="str">
        <f aca="false">IF(F1606="","",G1606-E1606)</f>
        <v/>
      </c>
      <c r="I1606" s="18" t="str">
        <f aca="true">IF(F1606="","",F1606-TODAY())</f>
        <v/>
      </c>
      <c r="J1606" s="19" t="str">
        <f aca="true">IF(F1606="","",IF(TODAY()&lt;D1606,"Başlamadı",IF(TODAY()&gt;F1606,"Bitti",IF(F1606-TODAY()&lt;=7,"Bitiyor","Aktif"))))</f>
        <v/>
      </c>
      <c r="K1606" s="19" t="str">
        <f aca="false">IF(OR(J1606="Aktif",J1606="Bitiyor"),F1606+ROW()/1000000,"")</f>
        <v/>
      </c>
    </row>
    <row r="1607" customFormat="false" ht="15" hidden="false" customHeight="false" outlineLevel="0" collapsed="false">
      <c r="A1607" s="12"/>
      <c r="B1607" s="12"/>
      <c r="C1607" s="13"/>
      <c r="D1607" s="14"/>
      <c r="E1607" s="15"/>
      <c r="F1607" s="16" t="str">
        <f aca="false">IF(OR(C1607="",D1607=""),"",EDATE(D1607,IFERROR(INDEX(Paketler!$B$5:$B$24,MATCH(C1607,Paketler!$A$5:$A$24,0)),0))-1)</f>
        <v/>
      </c>
      <c r="G1607" s="17" t="str">
        <f aca="false">IF(F1607="","",IFERROR(INDEX(Paketler!$C$5:$C$24,MATCH(C1607,Paketler!$A$5:$A$24,0)),0))</f>
        <v/>
      </c>
      <c r="H1607" s="17" t="str">
        <f aca="false">IF(F1607="","",G1607-E1607)</f>
        <v/>
      </c>
      <c r="I1607" s="18" t="str">
        <f aca="true">IF(F1607="","",F1607-TODAY())</f>
        <v/>
      </c>
      <c r="J1607" s="19" t="str">
        <f aca="true">IF(F1607="","",IF(TODAY()&lt;D1607,"Başlamadı",IF(TODAY()&gt;F1607,"Bitti",IF(F1607-TODAY()&lt;=7,"Bitiyor","Aktif"))))</f>
        <v/>
      </c>
      <c r="K1607" s="19" t="str">
        <f aca="false">IF(OR(J1607="Aktif",J1607="Bitiyor"),F1607+ROW()/1000000,"")</f>
        <v/>
      </c>
    </row>
    <row r="1608" customFormat="false" ht="15" hidden="false" customHeight="false" outlineLevel="0" collapsed="false">
      <c r="A1608" s="12"/>
      <c r="B1608" s="12"/>
      <c r="C1608" s="13"/>
      <c r="D1608" s="14"/>
      <c r="E1608" s="15"/>
      <c r="F1608" s="16" t="str">
        <f aca="false">IF(OR(C1608="",D1608=""),"",EDATE(D1608,IFERROR(INDEX(Paketler!$B$5:$B$24,MATCH(C1608,Paketler!$A$5:$A$24,0)),0))-1)</f>
        <v/>
      </c>
      <c r="G1608" s="17" t="str">
        <f aca="false">IF(F1608="","",IFERROR(INDEX(Paketler!$C$5:$C$24,MATCH(C1608,Paketler!$A$5:$A$24,0)),0))</f>
        <v/>
      </c>
      <c r="H1608" s="17" t="str">
        <f aca="false">IF(F1608="","",G1608-E1608)</f>
        <v/>
      </c>
      <c r="I1608" s="18" t="str">
        <f aca="true">IF(F1608="","",F1608-TODAY())</f>
        <v/>
      </c>
      <c r="J1608" s="19" t="str">
        <f aca="true">IF(F1608="","",IF(TODAY()&lt;D1608,"Başlamadı",IF(TODAY()&gt;F1608,"Bitti",IF(F1608-TODAY()&lt;=7,"Bitiyor","Aktif"))))</f>
        <v/>
      </c>
      <c r="K1608" s="19" t="str">
        <f aca="false">IF(OR(J1608="Aktif",J1608="Bitiyor"),F1608+ROW()/1000000,"")</f>
        <v/>
      </c>
    </row>
    <row r="1609" customFormat="false" ht="15" hidden="false" customHeight="false" outlineLevel="0" collapsed="false">
      <c r="A1609" s="12"/>
      <c r="B1609" s="12"/>
      <c r="C1609" s="13"/>
      <c r="D1609" s="14"/>
      <c r="E1609" s="15"/>
      <c r="F1609" s="16" t="str">
        <f aca="false">IF(OR(C1609="",D1609=""),"",EDATE(D1609,IFERROR(INDEX(Paketler!$B$5:$B$24,MATCH(C1609,Paketler!$A$5:$A$24,0)),0))-1)</f>
        <v/>
      </c>
      <c r="G1609" s="17" t="str">
        <f aca="false">IF(F1609="","",IFERROR(INDEX(Paketler!$C$5:$C$24,MATCH(C1609,Paketler!$A$5:$A$24,0)),0))</f>
        <v/>
      </c>
      <c r="H1609" s="17" t="str">
        <f aca="false">IF(F1609="","",G1609-E1609)</f>
        <v/>
      </c>
      <c r="I1609" s="18" t="str">
        <f aca="true">IF(F1609="","",F1609-TODAY())</f>
        <v/>
      </c>
      <c r="J1609" s="19" t="str">
        <f aca="true">IF(F1609="","",IF(TODAY()&lt;D1609,"Başlamadı",IF(TODAY()&gt;F1609,"Bitti",IF(F1609-TODAY()&lt;=7,"Bitiyor","Aktif"))))</f>
        <v/>
      </c>
      <c r="K1609" s="19" t="str">
        <f aca="false">IF(OR(J1609="Aktif",J1609="Bitiyor"),F1609+ROW()/1000000,"")</f>
        <v/>
      </c>
    </row>
    <row r="1610" customFormat="false" ht="15" hidden="false" customHeight="false" outlineLevel="0" collapsed="false">
      <c r="A1610" s="12"/>
      <c r="B1610" s="12"/>
      <c r="C1610" s="13"/>
      <c r="D1610" s="14"/>
      <c r="E1610" s="15"/>
      <c r="F1610" s="16" t="str">
        <f aca="false">IF(OR(C1610="",D1610=""),"",EDATE(D1610,IFERROR(INDEX(Paketler!$B$5:$B$24,MATCH(C1610,Paketler!$A$5:$A$24,0)),0))-1)</f>
        <v/>
      </c>
      <c r="G1610" s="17" t="str">
        <f aca="false">IF(F1610="","",IFERROR(INDEX(Paketler!$C$5:$C$24,MATCH(C1610,Paketler!$A$5:$A$24,0)),0))</f>
        <v/>
      </c>
      <c r="H1610" s="17" t="str">
        <f aca="false">IF(F1610="","",G1610-E1610)</f>
        <v/>
      </c>
      <c r="I1610" s="18" t="str">
        <f aca="true">IF(F1610="","",F1610-TODAY())</f>
        <v/>
      </c>
      <c r="J1610" s="19" t="str">
        <f aca="true">IF(F1610="","",IF(TODAY()&lt;D1610,"Başlamadı",IF(TODAY()&gt;F1610,"Bitti",IF(F1610-TODAY()&lt;=7,"Bitiyor","Aktif"))))</f>
        <v/>
      </c>
      <c r="K1610" s="19" t="str">
        <f aca="false">IF(OR(J1610="Aktif",J1610="Bitiyor"),F1610+ROW()/1000000,"")</f>
        <v/>
      </c>
    </row>
    <row r="1611" customFormat="false" ht="15" hidden="false" customHeight="false" outlineLevel="0" collapsed="false">
      <c r="A1611" s="12"/>
      <c r="B1611" s="12"/>
      <c r="C1611" s="13"/>
      <c r="D1611" s="14"/>
      <c r="E1611" s="15"/>
      <c r="F1611" s="16" t="str">
        <f aca="false">IF(OR(C1611="",D1611=""),"",EDATE(D1611,IFERROR(INDEX(Paketler!$B$5:$B$24,MATCH(C1611,Paketler!$A$5:$A$24,0)),0))-1)</f>
        <v/>
      </c>
      <c r="G1611" s="17" t="str">
        <f aca="false">IF(F1611="","",IFERROR(INDEX(Paketler!$C$5:$C$24,MATCH(C1611,Paketler!$A$5:$A$24,0)),0))</f>
        <v/>
      </c>
      <c r="H1611" s="17" t="str">
        <f aca="false">IF(F1611="","",G1611-E1611)</f>
        <v/>
      </c>
      <c r="I1611" s="18" t="str">
        <f aca="true">IF(F1611="","",F1611-TODAY())</f>
        <v/>
      </c>
      <c r="J1611" s="19" t="str">
        <f aca="true">IF(F1611="","",IF(TODAY()&lt;D1611,"Başlamadı",IF(TODAY()&gt;F1611,"Bitti",IF(F1611-TODAY()&lt;=7,"Bitiyor","Aktif"))))</f>
        <v/>
      </c>
      <c r="K1611" s="19" t="str">
        <f aca="false">IF(OR(J1611="Aktif",J1611="Bitiyor"),F1611+ROW()/1000000,"")</f>
        <v/>
      </c>
    </row>
    <row r="1612" customFormat="false" ht="15" hidden="false" customHeight="false" outlineLevel="0" collapsed="false">
      <c r="A1612" s="12"/>
      <c r="B1612" s="12"/>
      <c r="C1612" s="13"/>
      <c r="D1612" s="14"/>
      <c r="E1612" s="15"/>
      <c r="F1612" s="16" t="str">
        <f aca="false">IF(OR(C1612="",D1612=""),"",EDATE(D1612,IFERROR(INDEX(Paketler!$B$5:$B$24,MATCH(C1612,Paketler!$A$5:$A$24,0)),0))-1)</f>
        <v/>
      </c>
      <c r="G1612" s="17" t="str">
        <f aca="false">IF(F1612="","",IFERROR(INDEX(Paketler!$C$5:$C$24,MATCH(C1612,Paketler!$A$5:$A$24,0)),0))</f>
        <v/>
      </c>
      <c r="H1612" s="17" t="str">
        <f aca="false">IF(F1612="","",G1612-E1612)</f>
        <v/>
      </c>
      <c r="I1612" s="18" t="str">
        <f aca="true">IF(F1612="","",F1612-TODAY())</f>
        <v/>
      </c>
      <c r="J1612" s="19" t="str">
        <f aca="true">IF(F1612="","",IF(TODAY()&lt;D1612,"Başlamadı",IF(TODAY()&gt;F1612,"Bitti",IF(F1612-TODAY()&lt;=7,"Bitiyor","Aktif"))))</f>
        <v/>
      </c>
      <c r="K1612" s="19" t="str">
        <f aca="false">IF(OR(J1612="Aktif",J1612="Bitiyor"),F1612+ROW()/1000000,"")</f>
        <v/>
      </c>
    </row>
    <row r="1613" customFormat="false" ht="15" hidden="false" customHeight="false" outlineLevel="0" collapsed="false">
      <c r="A1613" s="12"/>
      <c r="B1613" s="12"/>
      <c r="C1613" s="13"/>
      <c r="D1613" s="14"/>
      <c r="E1613" s="15"/>
      <c r="F1613" s="16" t="str">
        <f aca="false">IF(OR(C1613="",D1613=""),"",EDATE(D1613,IFERROR(INDEX(Paketler!$B$5:$B$24,MATCH(C1613,Paketler!$A$5:$A$24,0)),0))-1)</f>
        <v/>
      </c>
      <c r="G1613" s="17" t="str">
        <f aca="false">IF(F1613="","",IFERROR(INDEX(Paketler!$C$5:$C$24,MATCH(C1613,Paketler!$A$5:$A$24,0)),0))</f>
        <v/>
      </c>
      <c r="H1613" s="17" t="str">
        <f aca="false">IF(F1613="","",G1613-E1613)</f>
        <v/>
      </c>
      <c r="I1613" s="18" t="str">
        <f aca="true">IF(F1613="","",F1613-TODAY())</f>
        <v/>
      </c>
      <c r="J1613" s="19" t="str">
        <f aca="true">IF(F1613="","",IF(TODAY()&lt;D1613,"Başlamadı",IF(TODAY()&gt;F1613,"Bitti",IF(F1613-TODAY()&lt;=7,"Bitiyor","Aktif"))))</f>
        <v/>
      </c>
      <c r="K1613" s="19" t="str">
        <f aca="false">IF(OR(J1613="Aktif",J1613="Bitiyor"),F1613+ROW()/1000000,"")</f>
        <v/>
      </c>
    </row>
    <row r="1614" customFormat="false" ht="15" hidden="false" customHeight="false" outlineLevel="0" collapsed="false">
      <c r="A1614" s="12"/>
      <c r="B1614" s="12"/>
      <c r="C1614" s="13"/>
      <c r="D1614" s="14"/>
      <c r="E1614" s="15"/>
      <c r="F1614" s="16" t="str">
        <f aca="false">IF(OR(C1614="",D1614=""),"",EDATE(D1614,IFERROR(INDEX(Paketler!$B$5:$B$24,MATCH(C1614,Paketler!$A$5:$A$24,0)),0))-1)</f>
        <v/>
      </c>
      <c r="G1614" s="17" t="str">
        <f aca="false">IF(F1614="","",IFERROR(INDEX(Paketler!$C$5:$C$24,MATCH(C1614,Paketler!$A$5:$A$24,0)),0))</f>
        <v/>
      </c>
      <c r="H1614" s="17" t="str">
        <f aca="false">IF(F1614="","",G1614-E1614)</f>
        <v/>
      </c>
      <c r="I1614" s="18" t="str">
        <f aca="true">IF(F1614="","",F1614-TODAY())</f>
        <v/>
      </c>
      <c r="J1614" s="19" t="str">
        <f aca="true">IF(F1614="","",IF(TODAY()&lt;D1614,"Başlamadı",IF(TODAY()&gt;F1614,"Bitti",IF(F1614-TODAY()&lt;=7,"Bitiyor","Aktif"))))</f>
        <v/>
      </c>
      <c r="K1614" s="19" t="str">
        <f aca="false">IF(OR(J1614="Aktif",J1614="Bitiyor"),F1614+ROW()/1000000,"")</f>
        <v/>
      </c>
    </row>
    <row r="1615" customFormat="false" ht="15" hidden="false" customHeight="false" outlineLevel="0" collapsed="false">
      <c r="A1615" s="12"/>
      <c r="B1615" s="12"/>
      <c r="C1615" s="13"/>
      <c r="D1615" s="14"/>
      <c r="E1615" s="15"/>
      <c r="F1615" s="16" t="str">
        <f aca="false">IF(OR(C1615="",D1615=""),"",EDATE(D1615,IFERROR(INDEX(Paketler!$B$5:$B$24,MATCH(C1615,Paketler!$A$5:$A$24,0)),0))-1)</f>
        <v/>
      </c>
      <c r="G1615" s="17" t="str">
        <f aca="false">IF(F1615="","",IFERROR(INDEX(Paketler!$C$5:$C$24,MATCH(C1615,Paketler!$A$5:$A$24,0)),0))</f>
        <v/>
      </c>
      <c r="H1615" s="17" t="str">
        <f aca="false">IF(F1615="","",G1615-E1615)</f>
        <v/>
      </c>
      <c r="I1615" s="18" t="str">
        <f aca="true">IF(F1615="","",F1615-TODAY())</f>
        <v/>
      </c>
      <c r="J1615" s="19" t="str">
        <f aca="true">IF(F1615="","",IF(TODAY()&lt;D1615,"Başlamadı",IF(TODAY()&gt;F1615,"Bitti",IF(F1615-TODAY()&lt;=7,"Bitiyor","Aktif"))))</f>
        <v/>
      </c>
      <c r="K1615" s="19" t="str">
        <f aca="false">IF(OR(J1615="Aktif",J1615="Bitiyor"),F1615+ROW()/1000000,"")</f>
        <v/>
      </c>
    </row>
    <row r="1616" customFormat="false" ht="15" hidden="false" customHeight="false" outlineLevel="0" collapsed="false">
      <c r="A1616" s="12"/>
      <c r="B1616" s="12"/>
      <c r="C1616" s="13"/>
      <c r="D1616" s="14"/>
      <c r="E1616" s="15"/>
      <c r="F1616" s="16" t="str">
        <f aca="false">IF(OR(C1616="",D1616=""),"",EDATE(D1616,IFERROR(INDEX(Paketler!$B$5:$B$24,MATCH(C1616,Paketler!$A$5:$A$24,0)),0))-1)</f>
        <v/>
      </c>
      <c r="G1616" s="17" t="str">
        <f aca="false">IF(F1616="","",IFERROR(INDEX(Paketler!$C$5:$C$24,MATCH(C1616,Paketler!$A$5:$A$24,0)),0))</f>
        <v/>
      </c>
      <c r="H1616" s="17" t="str">
        <f aca="false">IF(F1616="","",G1616-E1616)</f>
        <v/>
      </c>
      <c r="I1616" s="18" t="str">
        <f aca="true">IF(F1616="","",F1616-TODAY())</f>
        <v/>
      </c>
      <c r="J1616" s="19" t="str">
        <f aca="true">IF(F1616="","",IF(TODAY()&lt;D1616,"Başlamadı",IF(TODAY()&gt;F1616,"Bitti",IF(F1616-TODAY()&lt;=7,"Bitiyor","Aktif"))))</f>
        <v/>
      </c>
      <c r="K1616" s="19" t="str">
        <f aca="false">IF(OR(J1616="Aktif",J1616="Bitiyor"),F1616+ROW()/1000000,"")</f>
        <v/>
      </c>
    </row>
    <row r="1617" customFormat="false" ht="15" hidden="false" customHeight="false" outlineLevel="0" collapsed="false">
      <c r="A1617" s="12"/>
      <c r="B1617" s="12"/>
      <c r="C1617" s="13"/>
      <c r="D1617" s="14"/>
      <c r="E1617" s="15"/>
      <c r="F1617" s="16" t="str">
        <f aca="false">IF(OR(C1617="",D1617=""),"",EDATE(D1617,IFERROR(INDEX(Paketler!$B$5:$B$24,MATCH(C1617,Paketler!$A$5:$A$24,0)),0))-1)</f>
        <v/>
      </c>
      <c r="G1617" s="17" t="str">
        <f aca="false">IF(F1617="","",IFERROR(INDEX(Paketler!$C$5:$C$24,MATCH(C1617,Paketler!$A$5:$A$24,0)),0))</f>
        <v/>
      </c>
      <c r="H1617" s="17" t="str">
        <f aca="false">IF(F1617="","",G1617-E1617)</f>
        <v/>
      </c>
      <c r="I1617" s="18" t="str">
        <f aca="true">IF(F1617="","",F1617-TODAY())</f>
        <v/>
      </c>
      <c r="J1617" s="19" t="str">
        <f aca="true">IF(F1617="","",IF(TODAY()&lt;D1617,"Başlamadı",IF(TODAY()&gt;F1617,"Bitti",IF(F1617-TODAY()&lt;=7,"Bitiyor","Aktif"))))</f>
        <v/>
      </c>
      <c r="K1617" s="19" t="str">
        <f aca="false">IF(OR(J1617="Aktif",J1617="Bitiyor"),F1617+ROW()/1000000,"")</f>
        <v/>
      </c>
    </row>
    <row r="1618" customFormat="false" ht="15" hidden="false" customHeight="false" outlineLevel="0" collapsed="false">
      <c r="A1618" s="12"/>
      <c r="B1618" s="12"/>
      <c r="C1618" s="13"/>
      <c r="D1618" s="14"/>
      <c r="E1618" s="15"/>
      <c r="F1618" s="16" t="str">
        <f aca="false">IF(OR(C1618="",D1618=""),"",EDATE(D1618,IFERROR(INDEX(Paketler!$B$5:$B$24,MATCH(C1618,Paketler!$A$5:$A$24,0)),0))-1)</f>
        <v/>
      </c>
      <c r="G1618" s="17" t="str">
        <f aca="false">IF(F1618="","",IFERROR(INDEX(Paketler!$C$5:$C$24,MATCH(C1618,Paketler!$A$5:$A$24,0)),0))</f>
        <v/>
      </c>
      <c r="H1618" s="17" t="str">
        <f aca="false">IF(F1618="","",G1618-E1618)</f>
        <v/>
      </c>
      <c r="I1618" s="18" t="str">
        <f aca="true">IF(F1618="","",F1618-TODAY())</f>
        <v/>
      </c>
      <c r="J1618" s="19" t="str">
        <f aca="true">IF(F1618="","",IF(TODAY()&lt;D1618,"Başlamadı",IF(TODAY()&gt;F1618,"Bitti",IF(F1618-TODAY()&lt;=7,"Bitiyor","Aktif"))))</f>
        <v/>
      </c>
      <c r="K1618" s="19" t="str">
        <f aca="false">IF(OR(J1618="Aktif",J1618="Bitiyor"),F1618+ROW()/1000000,"")</f>
        <v/>
      </c>
    </row>
    <row r="1619" customFormat="false" ht="15" hidden="false" customHeight="false" outlineLevel="0" collapsed="false">
      <c r="A1619" s="12"/>
      <c r="B1619" s="12"/>
      <c r="C1619" s="13"/>
      <c r="D1619" s="14"/>
      <c r="E1619" s="15"/>
      <c r="F1619" s="16" t="str">
        <f aca="false">IF(OR(C1619="",D1619=""),"",EDATE(D1619,IFERROR(INDEX(Paketler!$B$5:$B$24,MATCH(C1619,Paketler!$A$5:$A$24,0)),0))-1)</f>
        <v/>
      </c>
      <c r="G1619" s="17" t="str">
        <f aca="false">IF(F1619="","",IFERROR(INDEX(Paketler!$C$5:$C$24,MATCH(C1619,Paketler!$A$5:$A$24,0)),0))</f>
        <v/>
      </c>
      <c r="H1619" s="17" t="str">
        <f aca="false">IF(F1619="","",G1619-E1619)</f>
        <v/>
      </c>
      <c r="I1619" s="18" t="str">
        <f aca="true">IF(F1619="","",F1619-TODAY())</f>
        <v/>
      </c>
      <c r="J1619" s="19" t="str">
        <f aca="true">IF(F1619="","",IF(TODAY()&lt;D1619,"Başlamadı",IF(TODAY()&gt;F1619,"Bitti",IF(F1619-TODAY()&lt;=7,"Bitiyor","Aktif"))))</f>
        <v/>
      </c>
      <c r="K1619" s="19" t="str">
        <f aca="false">IF(OR(J1619="Aktif",J1619="Bitiyor"),F1619+ROW()/1000000,"")</f>
        <v/>
      </c>
    </row>
    <row r="1620" customFormat="false" ht="15" hidden="false" customHeight="false" outlineLevel="0" collapsed="false">
      <c r="A1620" s="12"/>
      <c r="B1620" s="12"/>
      <c r="C1620" s="13"/>
      <c r="D1620" s="14"/>
      <c r="E1620" s="15"/>
      <c r="F1620" s="16" t="str">
        <f aca="false">IF(OR(C1620="",D1620=""),"",EDATE(D1620,IFERROR(INDEX(Paketler!$B$5:$B$24,MATCH(C1620,Paketler!$A$5:$A$24,0)),0))-1)</f>
        <v/>
      </c>
      <c r="G1620" s="17" t="str">
        <f aca="false">IF(F1620="","",IFERROR(INDEX(Paketler!$C$5:$C$24,MATCH(C1620,Paketler!$A$5:$A$24,0)),0))</f>
        <v/>
      </c>
      <c r="H1620" s="17" t="str">
        <f aca="false">IF(F1620="","",G1620-E1620)</f>
        <v/>
      </c>
      <c r="I1620" s="18" t="str">
        <f aca="true">IF(F1620="","",F1620-TODAY())</f>
        <v/>
      </c>
      <c r="J1620" s="19" t="str">
        <f aca="true">IF(F1620="","",IF(TODAY()&lt;D1620,"Başlamadı",IF(TODAY()&gt;F1620,"Bitti",IF(F1620-TODAY()&lt;=7,"Bitiyor","Aktif"))))</f>
        <v/>
      </c>
      <c r="K1620" s="19" t="str">
        <f aca="false">IF(OR(J1620="Aktif",J1620="Bitiyor"),F1620+ROW()/1000000,"")</f>
        <v/>
      </c>
    </row>
    <row r="1621" customFormat="false" ht="15" hidden="false" customHeight="false" outlineLevel="0" collapsed="false">
      <c r="A1621" s="12"/>
      <c r="B1621" s="12"/>
      <c r="C1621" s="13"/>
      <c r="D1621" s="14"/>
      <c r="E1621" s="15"/>
      <c r="F1621" s="16" t="str">
        <f aca="false">IF(OR(C1621="",D1621=""),"",EDATE(D1621,IFERROR(INDEX(Paketler!$B$5:$B$24,MATCH(C1621,Paketler!$A$5:$A$24,0)),0))-1)</f>
        <v/>
      </c>
      <c r="G1621" s="17" t="str">
        <f aca="false">IF(F1621="","",IFERROR(INDEX(Paketler!$C$5:$C$24,MATCH(C1621,Paketler!$A$5:$A$24,0)),0))</f>
        <v/>
      </c>
      <c r="H1621" s="17" t="str">
        <f aca="false">IF(F1621="","",G1621-E1621)</f>
        <v/>
      </c>
      <c r="I1621" s="18" t="str">
        <f aca="true">IF(F1621="","",F1621-TODAY())</f>
        <v/>
      </c>
      <c r="J1621" s="19" t="str">
        <f aca="true">IF(F1621="","",IF(TODAY()&lt;D1621,"Başlamadı",IF(TODAY()&gt;F1621,"Bitti",IF(F1621-TODAY()&lt;=7,"Bitiyor","Aktif"))))</f>
        <v/>
      </c>
      <c r="K1621" s="19" t="str">
        <f aca="false">IF(OR(J1621="Aktif",J1621="Bitiyor"),F1621+ROW()/1000000,"")</f>
        <v/>
      </c>
    </row>
    <row r="1622" customFormat="false" ht="15" hidden="false" customHeight="false" outlineLevel="0" collapsed="false">
      <c r="A1622" s="12"/>
      <c r="B1622" s="12"/>
      <c r="C1622" s="13"/>
      <c r="D1622" s="14"/>
      <c r="E1622" s="15"/>
      <c r="F1622" s="16" t="str">
        <f aca="false">IF(OR(C1622="",D1622=""),"",EDATE(D1622,IFERROR(INDEX(Paketler!$B$5:$B$24,MATCH(C1622,Paketler!$A$5:$A$24,0)),0))-1)</f>
        <v/>
      </c>
      <c r="G1622" s="17" t="str">
        <f aca="false">IF(F1622="","",IFERROR(INDEX(Paketler!$C$5:$C$24,MATCH(C1622,Paketler!$A$5:$A$24,0)),0))</f>
        <v/>
      </c>
      <c r="H1622" s="17" t="str">
        <f aca="false">IF(F1622="","",G1622-E1622)</f>
        <v/>
      </c>
      <c r="I1622" s="18" t="str">
        <f aca="true">IF(F1622="","",F1622-TODAY())</f>
        <v/>
      </c>
      <c r="J1622" s="19" t="str">
        <f aca="true">IF(F1622="","",IF(TODAY()&lt;D1622,"Başlamadı",IF(TODAY()&gt;F1622,"Bitti",IF(F1622-TODAY()&lt;=7,"Bitiyor","Aktif"))))</f>
        <v/>
      </c>
      <c r="K1622" s="19" t="str">
        <f aca="false">IF(OR(J1622="Aktif",J1622="Bitiyor"),F1622+ROW()/1000000,"")</f>
        <v/>
      </c>
    </row>
    <row r="1623" customFormat="false" ht="15" hidden="false" customHeight="false" outlineLevel="0" collapsed="false">
      <c r="A1623" s="12"/>
      <c r="B1623" s="12"/>
      <c r="C1623" s="13"/>
      <c r="D1623" s="14"/>
      <c r="E1623" s="15"/>
      <c r="F1623" s="16" t="str">
        <f aca="false">IF(OR(C1623="",D1623=""),"",EDATE(D1623,IFERROR(INDEX(Paketler!$B$5:$B$24,MATCH(C1623,Paketler!$A$5:$A$24,0)),0))-1)</f>
        <v/>
      </c>
      <c r="G1623" s="17" t="str">
        <f aca="false">IF(F1623="","",IFERROR(INDEX(Paketler!$C$5:$C$24,MATCH(C1623,Paketler!$A$5:$A$24,0)),0))</f>
        <v/>
      </c>
      <c r="H1623" s="17" t="str">
        <f aca="false">IF(F1623="","",G1623-E1623)</f>
        <v/>
      </c>
      <c r="I1623" s="18" t="str">
        <f aca="true">IF(F1623="","",F1623-TODAY())</f>
        <v/>
      </c>
      <c r="J1623" s="19" t="str">
        <f aca="true">IF(F1623="","",IF(TODAY()&lt;D1623,"Başlamadı",IF(TODAY()&gt;F1623,"Bitti",IF(F1623-TODAY()&lt;=7,"Bitiyor","Aktif"))))</f>
        <v/>
      </c>
      <c r="K1623" s="19" t="str">
        <f aca="false">IF(OR(J1623="Aktif",J1623="Bitiyor"),F1623+ROW()/1000000,"")</f>
        <v/>
      </c>
    </row>
    <row r="1624" customFormat="false" ht="15" hidden="false" customHeight="false" outlineLevel="0" collapsed="false">
      <c r="A1624" s="12"/>
      <c r="B1624" s="12"/>
      <c r="C1624" s="13"/>
      <c r="D1624" s="14"/>
      <c r="E1624" s="15"/>
      <c r="F1624" s="16" t="str">
        <f aca="false">IF(OR(C1624="",D1624=""),"",EDATE(D1624,IFERROR(INDEX(Paketler!$B$5:$B$24,MATCH(C1624,Paketler!$A$5:$A$24,0)),0))-1)</f>
        <v/>
      </c>
      <c r="G1624" s="17" t="str">
        <f aca="false">IF(F1624="","",IFERROR(INDEX(Paketler!$C$5:$C$24,MATCH(C1624,Paketler!$A$5:$A$24,0)),0))</f>
        <v/>
      </c>
      <c r="H1624" s="17" t="str">
        <f aca="false">IF(F1624="","",G1624-E1624)</f>
        <v/>
      </c>
      <c r="I1624" s="18" t="str">
        <f aca="true">IF(F1624="","",F1624-TODAY())</f>
        <v/>
      </c>
      <c r="J1624" s="19" t="str">
        <f aca="true">IF(F1624="","",IF(TODAY()&lt;D1624,"Başlamadı",IF(TODAY()&gt;F1624,"Bitti",IF(F1624-TODAY()&lt;=7,"Bitiyor","Aktif"))))</f>
        <v/>
      </c>
      <c r="K1624" s="19" t="str">
        <f aca="false">IF(OR(J1624="Aktif",J1624="Bitiyor"),F1624+ROW()/1000000,"")</f>
        <v/>
      </c>
    </row>
    <row r="1625" customFormat="false" ht="15" hidden="false" customHeight="false" outlineLevel="0" collapsed="false">
      <c r="A1625" s="12"/>
      <c r="B1625" s="12"/>
      <c r="C1625" s="13"/>
      <c r="D1625" s="14"/>
      <c r="E1625" s="15"/>
      <c r="F1625" s="16" t="str">
        <f aca="false">IF(OR(C1625="",D1625=""),"",EDATE(D1625,IFERROR(INDEX(Paketler!$B$5:$B$24,MATCH(C1625,Paketler!$A$5:$A$24,0)),0))-1)</f>
        <v/>
      </c>
      <c r="G1625" s="17" t="str">
        <f aca="false">IF(F1625="","",IFERROR(INDEX(Paketler!$C$5:$C$24,MATCH(C1625,Paketler!$A$5:$A$24,0)),0))</f>
        <v/>
      </c>
      <c r="H1625" s="17" t="str">
        <f aca="false">IF(F1625="","",G1625-E1625)</f>
        <v/>
      </c>
      <c r="I1625" s="18" t="str">
        <f aca="true">IF(F1625="","",F1625-TODAY())</f>
        <v/>
      </c>
      <c r="J1625" s="19" t="str">
        <f aca="true">IF(F1625="","",IF(TODAY()&lt;D1625,"Başlamadı",IF(TODAY()&gt;F1625,"Bitti",IF(F1625-TODAY()&lt;=7,"Bitiyor","Aktif"))))</f>
        <v/>
      </c>
      <c r="K1625" s="19" t="str">
        <f aca="false">IF(OR(J1625="Aktif",J1625="Bitiyor"),F1625+ROW()/1000000,"")</f>
        <v/>
      </c>
    </row>
    <row r="1626" customFormat="false" ht="15" hidden="false" customHeight="false" outlineLevel="0" collapsed="false">
      <c r="A1626" s="12"/>
      <c r="B1626" s="12"/>
      <c r="C1626" s="13"/>
      <c r="D1626" s="14"/>
      <c r="E1626" s="15"/>
      <c r="F1626" s="16" t="str">
        <f aca="false">IF(OR(C1626="",D1626=""),"",EDATE(D1626,IFERROR(INDEX(Paketler!$B$5:$B$24,MATCH(C1626,Paketler!$A$5:$A$24,0)),0))-1)</f>
        <v/>
      </c>
      <c r="G1626" s="17" t="str">
        <f aca="false">IF(F1626="","",IFERROR(INDEX(Paketler!$C$5:$C$24,MATCH(C1626,Paketler!$A$5:$A$24,0)),0))</f>
        <v/>
      </c>
      <c r="H1626" s="17" t="str">
        <f aca="false">IF(F1626="","",G1626-E1626)</f>
        <v/>
      </c>
      <c r="I1626" s="18" t="str">
        <f aca="true">IF(F1626="","",F1626-TODAY())</f>
        <v/>
      </c>
      <c r="J1626" s="19" t="str">
        <f aca="true">IF(F1626="","",IF(TODAY()&lt;D1626,"Başlamadı",IF(TODAY()&gt;F1626,"Bitti",IF(F1626-TODAY()&lt;=7,"Bitiyor","Aktif"))))</f>
        <v/>
      </c>
      <c r="K1626" s="19" t="str">
        <f aca="false">IF(OR(J1626="Aktif",J1626="Bitiyor"),F1626+ROW()/1000000,"")</f>
        <v/>
      </c>
    </row>
    <row r="1627" customFormat="false" ht="15" hidden="false" customHeight="false" outlineLevel="0" collapsed="false">
      <c r="A1627" s="12"/>
      <c r="B1627" s="12"/>
      <c r="C1627" s="13"/>
      <c r="D1627" s="14"/>
      <c r="E1627" s="15"/>
      <c r="F1627" s="16" t="str">
        <f aca="false">IF(OR(C1627="",D1627=""),"",EDATE(D1627,IFERROR(INDEX(Paketler!$B$5:$B$24,MATCH(C1627,Paketler!$A$5:$A$24,0)),0))-1)</f>
        <v/>
      </c>
      <c r="G1627" s="17" t="str">
        <f aca="false">IF(F1627="","",IFERROR(INDEX(Paketler!$C$5:$C$24,MATCH(C1627,Paketler!$A$5:$A$24,0)),0))</f>
        <v/>
      </c>
      <c r="H1627" s="17" t="str">
        <f aca="false">IF(F1627="","",G1627-E1627)</f>
        <v/>
      </c>
      <c r="I1627" s="18" t="str">
        <f aca="true">IF(F1627="","",F1627-TODAY())</f>
        <v/>
      </c>
      <c r="J1627" s="19" t="str">
        <f aca="true">IF(F1627="","",IF(TODAY()&lt;D1627,"Başlamadı",IF(TODAY()&gt;F1627,"Bitti",IF(F1627-TODAY()&lt;=7,"Bitiyor","Aktif"))))</f>
        <v/>
      </c>
      <c r="K1627" s="19" t="str">
        <f aca="false">IF(OR(J1627="Aktif",J1627="Bitiyor"),F1627+ROW()/1000000,"")</f>
        <v/>
      </c>
    </row>
    <row r="1628" customFormat="false" ht="15" hidden="false" customHeight="false" outlineLevel="0" collapsed="false">
      <c r="A1628" s="12"/>
      <c r="B1628" s="12"/>
      <c r="C1628" s="13"/>
      <c r="D1628" s="14"/>
      <c r="E1628" s="15"/>
      <c r="F1628" s="16" t="str">
        <f aca="false">IF(OR(C1628="",D1628=""),"",EDATE(D1628,IFERROR(INDEX(Paketler!$B$5:$B$24,MATCH(C1628,Paketler!$A$5:$A$24,0)),0))-1)</f>
        <v/>
      </c>
      <c r="G1628" s="17" t="str">
        <f aca="false">IF(F1628="","",IFERROR(INDEX(Paketler!$C$5:$C$24,MATCH(C1628,Paketler!$A$5:$A$24,0)),0))</f>
        <v/>
      </c>
      <c r="H1628" s="17" t="str">
        <f aca="false">IF(F1628="","",G1628-E1628)</f>
        <v/>
      </c>
      <c r="I1628" s="18" t="str">
        <f aca="true">IF(F1628="","",F1628-TODAY())</f>
        <v/>
      </c>
      <c r="J1628" s="19" t="str">
        <f aca="true">IF(F1628="","",IF(TODAY()&lt;D1628,"Başlamadı",IF(TODAY()&gt;F1628,"Bitti",IF(F1628-TODAY()&lt;=7,"Bitiyor","Aktif"))))</f>
        <v/>
      </c>
      <c r="K1628" s="19" t="str">
        <f aca="false">IF(OR(J1628="Aktif",J1628="Bitiyor"),F1628+ROW()/1000000,"")</f>
        <v/>
      </c>
    </row>
    <row r="1629" customFormat="false" ht="15" hidden="false" customHeight="false" outlineLevel="0" collapsed="false">
      <c r="A1629" s="12"/>
      <c r="B1629" s="12"/>
      <c r="C1629" s="13"/>
      <c r="D1629" s="14"/>
      <c r="E1629" s="15"/>
      <c r="F1629" s="16" t="str">
        <f aca="false">IF(OR(C1629="",D1629=""),"",EDATE(D1629,IFERROR(INDEX(Paketler!$B$5:$B$24,MATCH(C1629,Paketler!$A$5:$A$24,0)),0))-1)</f>
        <v/>
      </c>
      <c r="G1629" s="17" t="str">
        <f aca="false">IF(F1629="","",IFERROR(INDEX(Paketler!$C$5:$C$24,MATCH(C1629,Paketler!$A$5:$A$24,0)),0))</f>
        <v/>
      </c>
      <c r="H1629" s="17" t="str">
        <f aca="false">IF(F1629="","",G1629-E1629)</f>
        <v/>
      </c>
      <c r="I1629" s="18" t="str">
        <f aca="true">IF(F1629="","",F1629-TODAY())</f>
        <v/>
      </c>
      <c r="J1629" s="19" t="str">
        <f aca="true">IF(F1629="","",IF(TODAY()&lt;D1629,"Başlamadı",IF(TODAY()&gt;F1629,"Bitti",IF(F1629-TODAY()&lt;=7,"Bitiyor","Aktif"))))</f>
        <v/>
      </c>
      <c r="K1629" s="19" t="str">
        <f aca="false">IF(OR(J1629="Aktif",J1629="Bitiyor"),F1629+ROW()/1000000,"")</f>
        <v/>
      </c>
    </row>
    <row r="1630" customFormat="false" ht="15" hidden="false" customHeight="false" outlineLevel="0" collapsed="false">
      <c r="A1630" s="12"/>
      <c r="B1630" s="12"/>
      <c r="C1630" s="13"/>
      <c r="D1630" s="14"/>
      <c r="E1630" s="15"/>
      <c r="F1630" s="16" t="str">
        <f aca="false">IF(OR(C1630="",D1630=""),"",EDATE(D1630,IFERROR(INDEX(Paketler!$B$5:$B$24,MATCH(C1630,Paketler!$A$5:$A$24,0)),0))-1)</f>
        <v/>
      </c>
      <c r="G1630" s="17" t="str">
        <f aca="false">IF(F1630="","",IFERROR(INDEX(Paketler!$C$5:$C$24,MATCH(C1630,Paketler!$A$5:$A$24,0)),0))</f>
        <v/>
      </c>
      <c r="H1630" s="17" t="str">
        <f aca="false">IF(F1630="","",G1630-E1630)</f>
        <v/>
      </c>
      <c r="I1630" s="18" t="str">
        <f aca="true">IF(F1630="","",F1630-TODAY())</f>
        <v/>
      </c>
      <c r="J1630" s="19" t="str">
        <f aca="true">IF(F1630="","",IF(TODAY()&lt;D1630,"Başlamadı",IF(TODAY()&gt;F1630,"Bitti",IF(F1630-TODAY()&lt;=7,"Bitiyor","Aktif"))))</f>
        <v/>
      </c>
      <c r="K1630" s="19" t="str">
        <f aca="false">IF(OR(J1630="Aktif",J1630="Bitiyor"),F1630+ROW()/1000000,"")</f>
        <v/>
      </c>
    </row>
    <row r="1631" customFormat="false" ht="15" hidden="false" customHeight="false" outlineLevel="0" collapsed="false">
      <c r="A1631" s="12"/>
      <c r="B1631" s="12"/>
      <c r="C1631" s="13"/>
      <c r="D1631" s="14"/>
      <c r="E1631" s="15"/>
      <c r="F1631" s="16" t="str">
        <f aca="false">IF(OR(C1631="",D1631=""),"",EDATE(D1631,IFERROR(INDEX(Paketler!$B$5:$B$24,MATCH(C1631,Paketler!$A$5:$A$24,0)),0))-1)</f>
        <v/>
      </c>
      <c r="G1631" s="17" t="str">
        <f aca="false">IF(F1631="","",IFERROR(INDEX(Paketler!$C$5:$C$24,MATCH(C1631,Paketler!$A$5:$A$24,0)),0))</f>
        <v/>
      </c>
      <c r="H1631" s="17" t="str">
        <f aca="false">IF(F1631="","",G1631-E1631)</f>
        <v/>
      </c>
      <c r="I1631" s="18" t="str">
        <f aca="true">IF(F1631="","",F1631-TODAY())</f>
        <v/>
      </c>
      <c r="J1631" s="19" t="str">
        <f aca="true">IF(F1631="","",IF(TODAY()&lt;D1631,"Başlamadı",IF(TODAY()&gt;F1631,"Bitti",IF(F1631-TODAY()&lt;=7,"Bitiyor","Aktif"))))</f>
        <v/>
      </c>
      <c r="K1631" s="19" t="str">
        <f aca="false">IF(OR(J1631="Aktif",J1631="Bitiyor"),F1631+ROW()/1000000,"")</f>
        <v/>
      </c>
    </row>
    <row r="1632" customFormat="false" ht="15" hidden="false" customHeight="false" outlineLevel="0" collapsed="false">
      <c r="A1632" s="12"/>
      <c r="B1632" s="12"/>
      <c r="C1632" s="13"/>
      <c r="D1632" s="14"/>
      <c r="E1632" s="15"/>
      <c r="F1632" s="16" t="str">
        <f aca="false">IF(OR(C1632="",D1632=""),"",EDATE(D1632,IFERROR(INDEX(Paketler!$B$5:$B$24,MATCH(C1632,Paketler!$A$5:$A$24,0)),0))-1)</f>
        <v/>
      </c>
      <c r="G1632" s="17" t="str">
        <f aca="false">IF(F1632="","",IFERROR(INDEX(Paketler!$C$5:$C$24,MATCH(C1632,Paketler!$A$5:$A$24,0)),0))</f>
        <v/>
      </c>
      <c r="H1632" s="17" t="str">
        <f aca="false">IF(F1632="","",G1632-E1632)</f>
        <v/>
      </c>
      <c r="I1632" s="18" t="str">
        <f aca="true">IF(F1632="","",F1632-TODAY())</f>
        <v/>
      </c>
      <c r="J1632" s="19" t="str">
        <f aca="true">IF(F1632="","",IF(TODAY()&lt;D1632,"Başlamadı",IF(TODAY()&gt;F1632,"Bitti",IF(F1632-TODAY()&lt;=7,"Bitiyor","Aktif"))))</f>
        <v/>
      </c>
      <c r="K1632" s="19" t="str">
        <f aca="false">IF(OR(J1632="Aktif",J1632="Bitiyor"),F1632+ROW()/1000000,"")</f>
        <v/>
      </c>
    </row>
    <row r="1633" customFormat="false" ht="15" hidden="false" customHeight="false" outlineLevel="0" collapsed="false">
      <c r="A1633" s="12"/>
      <c r="B1633" s="12"/>
      <c r="C1633" s="13"/>
      <c r="D1633" s="14"/>
      <c r="E1633" s="15"/>
      <c r="F1633" s="16" t="str">
        <f aca="false">IF(OR(C1633="",D1633=""),"",EDATE(D1633,IFERROR(INDEX(Paketler!$B$5:$B$24,MATCH(C1633,Paketler!$A$5:$A$24,0)),0))-1)</f>
        <v/>
      </c>
      <c r="G1633" s="17" t="str">
        <f aca="false">IF(F1633="","",IFERROR(INDEX(Paketler!$C$5:$C$24,MATCH(C1633,Paketler!$A$5:$A$24,0)),0))</f>
        <v/>
      </c>
      <c r="H1633" s="17" t="str">
        <f aca="false">IF(F1633="","",G1633-E1633)</f>
        <v/>
      </c>
      <c r="I1633" s="18" t="str">
        <f aca="true">IF(F1633="","",F1633-TODAY())</f>
        <v/>
      </c>
      <c r="J1633" s="19" t="str">
        <f aca="true">IF(F1633="","",IF(TODAY()&lt;D1633,"Başlamadı",IF(TODAY()&gt;F1633,"Bitti",IF(F1633-TODAY()&lt;=7,"Bitiyor","Aktif"))))</f>
        <v/>
      </c>
      <c r="K1633" s="19" t="str">
        <f aca="false">IF(OR(J1633="Aktif",J1633="Bitiyor"),F1633+ROW()/1000000,"")</f>
        <v/>
      </c>
    </row>
    <row r="1634" customFormat="false" ht="15" hidden="false" customHeight="false" outlineLevel="0" collapsed="false">
      <c r="A1634" s="12"/>
      <c r="B1634" s="12"/>
      <c r="C1634" s="13"/>
      <c r="D1634" s="14"/>
      <c r="E1634" s="15"/>
      <c r="F1634" s="16" t="str">
        <f aca="false">IF(OR(C1634="",D1634=""),"",EDATE(D1634,IFERROR(INDEX(Paketler!$B$5:$B$24,MATCH(C1634,Paketler!$A$5:$A$24,0)),0))-1)</f>
        <v/>
      </c>
      <c r="G1634" s="17" t="str">
        <f aca="false">IF(F1634="","",IFERROR(INDEX(Paketler!$C$5:$C$24,MATCH(C1634,Paketler!$A$5:$A$24,0)),0))</f>
        <v/>
      </c>
      <c r="H1634" s="17" t="str">
        <f aca="false">IF(F1634="","",G1634-E1634)</f>
        <v/>
      </c>
      <c r="I1634" s="18" t="str">
        <f aca="true">IF(F1634="","",F1634-TODAY())</f>
        <v/>
      </c>
      <c r="J1634" s="19" t="str">
        <f aca="true">IF(F1634="","",IF(TODAY()&lt;D1634,"Başlamadı",IF(TODAY()&gt;F1634,"Bitti",IF(F1634-TODAY()&lt;=7,"Bitiyor","Aktif"))))</f>
        <v/>
      </c>
      <c r="K1634" s="19" t="str">
        <f aca="false">IF(OR(J1634="Aktif",J1634="Bitiyor"),F1634+ROW()/1000000,"")</f>
        <v/>
      </c>
    </row>
    <row r="1635" customFormat="false" ht="15" hidden="false" customHeight="false" outlineLevel="0" collapsed="false">
      <c r="A1635" s="12"/>
      <c r="B1635" s="12"/>
      <c r="C1635" s="13"/>
      <c r="D1635" s="14"/>
      <c r="E1635" s="15"/>
      <c r="F1635" s="16" t="str">
        <f aca="false">IF(OR(C1635="",D1635=""),"",EDATE(D1635,IFERROR(INDEX(Paketler!$B$5:$B$24,MATCH(C1635,Paketler!$A$5:$A$24,0)),0))-1)</f>
        <v/>
      </c>
      <c r="G1635" s="17" t="str">
        <f aca="false">IF(F1635="","",IFERROR(INDEX(Paketler!$C$5:$C$24,MATCH(C1635,Paketler!$A$5:$A$24,0)),0))</f>
        <v/>
      </c>
      <c r="H1635" s="17" t="str">
        <f aca="false">IF(F1635="","",G1635-E1635)</f>
        <v/>
      </c>
      <c r="I1635" s="18" t="str">
        <f aca="true">IF(F1635="","",F1635-TODAY())</f>
        <v/>
      </c>
      <c r="J1635" s="19" t="str">
        <f aca="true">IF(F1635="","",IF(TODAY()&lt;D1635,"Başlamadı",IF(TODAY()&gt;F1635,"Bitti",IF(F1635-TODAY()&lt;=7,"Bitiyor","Aktif"))))</f>
        <v/>
      </c>
      <c r="K1635" s="19" t="str">
        <f aca="false">IF(OR(J1635="Aktif",J1635="Bitiyor"),F1635+ROW()/1000000,"")</f>
        <v/>
      </c>
    </row>
    <row r="1636" customFormat="false" ht="15" hidden="false" customHeight="false" outlineLevel="0" collapsed="false">
      <c r="A1636" s="12"/>
      <c r="B1636" s="12"/>
      <c r="C1636" s="13"/>
      <c r="D1636" s="14"/>
      <c r="E1636" s="15"/>
      <c r="F1636" s="16" t="str">
        <f aca="false">IF(OR(C1636="",D1636=""),"",EDATE(D1636,IFERROR(INDEX(Paketler!$B$5:$B$24,MATCH(C1636,Paketler!$A$5:$A$24,0)),0))-1)</f>
        <v/>
      </c>
      <c r="G1636" s="17" t="str">
        <f aca="false">IF(F1636="","",IFERROR(INDEX(Paketler!$C$5:$C$24,MATCH(C1636,Paketler!$A$5:$A$24,0)),0))</f>
        <v/>
      </c>
      <c r="H1636" s="17" t="str">
        <f aca="false">IF(F1636="","",G1636-E1636)</f>
        <v/>
      </c>
      <c r="I1636" s="18" t="str">
        <f aca="true">IF(F1636="","",F1636-TODAY())</f>
        <v/>
      </c>
      <c r="J1636" s="19" t="str">
        <f aca="true">IF(F1636="","",IF(TODAY()&lt;D1636,"Başlamadı",IF(TODAY()&gt;F1636,"Bitti",IF(F1636-TODAY()&lt;=7,"Bitiyor","Aktif"))))</f>
        <v/>
      </c>
      <c r="K1636" s="19" t="str">
        <f aca="false">IF(OR(J1636="Aktif",J1636="Bitiyor"),F1636+ROW()/1000000,"")</f>
        <v/>
      </c>
    </row>
    <row r="1637" customFormat="false" ht="15" hidden="false" customHeight="false" outlineLevel="0" collapsed="false">
      <c r="A1637" s="12"/>
      <c r="B1637" s="12"/>
      <c r="C1637" s="13"/>
      <c r="D1637" s="14"/>
      <c r="E1637" s="15"/>
      <c r="F1637" s="16" t="str">
        <f aca="false">IF(OR(C1637="",D1637=""),"",EDATE(D1637,IFERROR(INDEX(Paketler!$B$5:$B$24,MATCH(C1637,Paketler!$A$5:$A$24,0)),0))-1)</f>
        <v/>
      </c>
      <c r="G1637" s="17" t="str">
        <f aca="false">IF(F1637="","",IFERROR(INDEX(Paketler!$C$5:$C$24,MATCH(C1637,Paketler!$A$5:$A$24,0)),0))</f>
        <v/>
      </c>
      <c r="H1637" s="17" t="str">
        <f aca="false">IF(F1637="","",G1637-E1637)</f>
        <v/>
      </c>
      <c r="I1637" s="18" t="str">
        <f aca="true">IF(F1637="","",F1637-TODAY())</f>
        <v/>
      </c>
      <c r="J1637" s="19" t="str">
        <f aca="true">IF(F1637="","",IF(TODAY()&lt;D1637,"Başlamadı",IF(TODAY()&gt;F1637,"Bitti",IF(F1637-TODAY()&lt;=7,"Bitiyor","Aktif"))))</f>
        <v/>
      </c>
      <c r="K1637" s="19" t="str">
        <f aca="false">IF(OR(J1637="Aktif",J1637="Bitiyor"),F1637+ROW()/1000000,"")</f>
        <v/>
      </c>
    </row>
    <row r="1638" customFormat="false" ht="15" hidden="false" customHeight="false" outlineLevel="0" collapsed="false">
      <c r="A1638" s="12"/>
      <c r="B1638" s="12"/>
      <c r="C1638" s="13"/>
      <c r="D1638" s="14"/>
      <c r="E1638" s="15"/>
      <c r="F1638" s="16" t="str">
        <f aca="false">IF(OR(C1638="",D1638=""),"",EDATE(D1638,IFERROR(INDEX(Paketler!$B$5:$B$24,MATCH(C1638,Paketler!$A$5:$A$24,0)),0))-1)</f>
        <v/>
      </c>
      <c r="G1638" s="17" t="str">
        <f aca="false">IF(F1638="","",IFERROR(INDEX(Paketler!$C$5:$C$24,MATCH(C1638,Paketler!$A$5:$A$24,0)),0))</f>
        <v/>
      </c>
      <c r="H1638" s="17" t="str">
        <f aca="false">IF(F1638="","",G1638-E1638)</f>
        <v/>
      </c>
      <c r="I1638" s="18" t="str">
        <f aca="true">IF(F1638="","",F1638-TODAY())</f>
        <v/>
      </c>
      <c r="J1638" s="19" t="str">
        <f aca="true">IF(F1638="","",IF(TODAY()&lt;D1638,"Başlamadı",IF(TODAY()&gt;F1638,"Bitti",IF(F1638-TODAY()&lt;=7,"Bitiyor","Aktif"))))</f>
        <v/>
      </c>
      <c r="K1638" s="19" t="str">
        <f aca="false">IF(OR(J1638="Aktif",J1638="Bitiyor"),F1638+ROW()/1000000,"")</f>
        <v/>
      </c>
    </row>
    <row r="1639" customFormat="false" ht="15" hidden="false" customHeight="false" outlineLevel="0" collapsed="false">
      <c r="A1639" s="12"/>
      <c r="B1639" s="12"/>
      <c r="C1639" s="13"/>
      <c r="D1639" s="14"/>
      <c r="E1639" s="15"/>
      <c r="F1639" s="16" t="str">
        <f aca="false">IF(OR(C1639="",D1639=""),"",EDATE(D1639,IFERROR(INDEX(Paketler!$B$5:$B$24,MATCH(C1639,Paketler!$A$5:$A$24,0)),0))-1)</f>
        <v/>
      </c>
      <c r="G1639" s="17" t="str">
        <f aca="false">IF(F1639="","",IFERROR(INDEX(Paketler!$C$5:$C$24,MATCH(C1639,Paketler!$A$5:$A$24,0)),0))</f>
        <v/>
      </c>
      <c r="H1639" s="17" t="str">
        <f aca="false">IF(F1639="","",G1639-E1639)</f>
        <v/>
      </c>
      <c r="I1639" s="18" t="str">
        <f aca="true">IF(F1639="","",F1639-TODAY())</f>
        <v/>
      </c>
      <c r="J1639" s="19" t="str">
        <f aca="true">IF(F1639="","",IF(TODAY()&lt;D1639,"Başlamadı",IF(TODAY()&gt;F1639,"Bitti",IF(F1639-TODAY()&lt;=7,"Bitiyor","Aktif"))))</f>
        <v/>
      </c>
      <c r="K1639" s="19" t="str">
        <f aca="false">IF(OR(J1639="Aktif",J1639="Bitiyor"),F1639+ROW()/1000000,"")</f>
        <v/>
      </c>
    </row>
    <row r="1640" customFormat="false" ht="15" hidden="false" customHeight="false" outlineLevel="0" collapsed="false">
      <c r="A1640" s="12"/>
      <c r="B1640" s="12"/>
      <c r="C1640" s="13"/>
      <c r="D1640" s="14"/>
      <c r="E1640" s="15"/>
      <c r="F1640" s="16" t="str">
        <f aca="false">IF(OR(C1640="",D1640=""),"",EDATE(D1640,IFERROR(INDEX(Paketler!$B$5:$B$24,MATCH(C1640,Paketler!$A$5:$A$24,0)),0))-1)</f>
        <v/>
      </c>
      <c r="G1640" s="17" t="str">
        <f aca="false">IF(F1640="","",IFERROR(INDEX(Paketler!$C$5:$C$24,MATCH(C1640,Paketler!$A$5:$A$24,0)),0))</f>
        <v/>
      </c>
      <c r="H1640" s="17" t="str">
        <f aca="false">IF(F1640="","",G1640-E1640)</f>
        <v/>
      </c>
      <c r="I1640" s="18" t="str">
        <f aca="true">IF(F1640="","",F1640-TODAY())</f>
        <v/>
      </c>
      <c r="J1640" s="19" t="str">
        <f aca="true">IF(F1640="","",IF(TODAY()&lt;D1640,"Başlamadı",IF(TODAY()&gt;F1640,"Bitti",IF(F1640-TODAY()&lt;=7,"Bitiyor","Aktif"))))</f>
        <v/>
      </c>
      <c r="K1640" s="19" t="str">
        <f aca="false">IF(OR(J1640="Aktif",J1640="Bitiyor"),F1640+ROW()/1000000,"")</f>
        <v/>
      </c>
    </row>
    <row r="1641" customFormat="false" ht="15" hidden="false" customHeight="false" outlineLevel="0" collapsed="false">
      <c r="A1641" s="12"/>
      <c r="B1641" s="12"/>
      <c r="C1641" s="13"/>
      <c r="D1641" s="14"/>
      <c r="E1641" s="15"/>
      <c r="F1641" s="16" t="str">
        <f aca="false">IF(OR(C1641="",D1641=""),"",EDATE(D1641,IFERROR(INDEX(Paketler!$B$5:$B$24,MATCH(C1641,Paketler!$A$5:$A$24,0)),0))-1)</f>
        <v/>
      </c>
      <c r="G1641" s="17" t="str">
        <f aca="false">IF(F1641="","",IFERROR(INDEX(Paketler!$C$5:$C$24,MATCH(C1641,Paketler!$A$5:$A$24,0)),0))</f>
        <v/>
      </c>
      <c r="H1641" s="17" t="str">
        <f aca="false">IF(F1641="","",G1641-E1641)</f>
        <v/>
      </c>
      <c r="I1641" s="18" t="str">
        <f aca="true">IF(F1641="","",F1641-TODAY())</f>
        <v/>
      </c>
      <c r="J1641" s="19" t="str">
        <f aca="true">IF(F1641="","",IF(TODAY()&lt;D1641,"Başlamadı",IF(TODAY()&gt;F1641,"Bitti",IF(F1641-TODAY()&lt;=7,"Bitiyor","Aktif"))))</f>
        <v/>
      </c>
      <c r="K1641" s="19" t="str">
        <f aca="false">IF(OR(J1641="Aktif",J1641="Bitiyor"),F1641+ROW()/1000000,"")</f>
        <v/>
      </c>
    </row>
    <row r="1642" customFormat="false" ht="15" hidden="false" customHeight="false" outlineLevel="0" collapsed="false">
      <c r="A1642" s="12"/>
      <c r="B1642" s="12"/>
      <c r="C1642" s="13"/>
      <c r="D1642" s="14"/>
      <c r="E1642" s="15"/>
      <c r="F1642" s="16" t="str">
        <f aca="false">IF(OR(C1642="",D1642=""),"",EDATE(D1642,IFERROR(INDEX(Paketler!$B$5:$B$24,MATCH(C1642,Paketler!$A$5:$A$24,0)),0))-1)</f>
        <v/>
      </c>
      <c r="G1642" s="17" t="str">
        <f aca="false">IF(F1642="","",IFERROR(INDEX(Paketler!$C$5:$C$24,MATCH(C1642,Paketler!$A$5:$A$24,0)),0))</f>
        <v/>
      </c>
      <c r="H1642" s="17" t="str">
        <f aca="false">IF(F1642="","",G1642-E1642)</f>
        <v/>
      </c>
      <c r="I1642" s="18" t="str">
        <f aca="true">IF(F1642="","",F1642-TODAY())</f>
        <v/>
      </c>
      <c r="J1642" s="19" t="str">
        <f aca="true">IF(F1642="","",IF(TODAY()&lt;D1642,"Başlamadı",IF(TODAY()&gt;F1642,"Bitti",IF(F1642-TODAY()&lt;=7,"Bitiyor","Aktif"))))</f>
        <v/>
      </c>
      <c r="K1642" s="19" t="str">
        <f aca="false">IF(OR(J1642="Aktif",J1642="Bitiyor"),F1642+ROW()/1000000,"")</f>
        <v/>
      </c>
    </row>
    <row r="1643" customFormat="false" ht="15" hidden="false" customHeight="false" outlineLevel="0" collapsed="false">
      <c r="A1643" s="12"/>
      <c r="B1643" s="12"/>
      <c r="C1643" s="13"/>
      <c r="D1643" s="14"/>
      <c r="E1643" s="15"/>
      <c r="F1643" s="16" t="str">
        <f aca="false">IF(OR(C1643="",D1643=""),"",EDATE(D1643,IFERROR(INDEX(Paketler!$B$5:$B$24,MATCH(C1643,Paketler!$A$5:$A$24,0)),0))-1)</f>
        <v/>
      </c>
      <c r="G1643" s="17" t="str">
        <f aca="false">IF(F1643="","",IFERROR(INDEX(Paketler!$C$5:$C$24,MATCH(C1643,Paketler!$A$5:$A$24,0)),0))</f>
        <v/>
      </c>
      <c r="H1643" s="17" t="str">
        <f aca="false">IF(F1643="","",G1643-E1643)</f>
        <v/>
      </c>
      <c r="I1643" s="18" t="str">
        <f aca="true">IF(F1643="","",F1643-TODAY())</f>
        <v/>
      </c>
      <c r="J1643" s="19" t="str">
        <f aca="true">IF(F1643="","",IF(TODAY()&lt;D1643,"Başlamadı",IF(TODAY()&gt;F1643,"Bitti",IF(F1643-TODAY()&lt;=7,"Bitiyor","Aktif"))))</f>
        <v/>
      </c>
      <c r="K1643" s="19" t="str">
        <f aca="false">IF(OR(J1643="Aktif",J1643="Bitiyor"),F1643+ROW()/1000000,"")</f>
        <v/>
      </c>
    </row>
    <row r="1644" customFormat="false" ht="15" hidden="false" customHeight="false" outlineLevel="0" collapsed="false">
      <c r="A1644" s="12"/>
      <c r="B1644" s="12"/>
      <c r="C1644" s="13"/>
      <c r="D1644" s="14"/>
      <c r="E1644" s="15"/>
      <c r="F1644" s="16" t="str">
        <f aca="false">IF(OR(C1644="",D1644=""),"",EDATE(D1644,IFERROR(INDEX(Paketler!$B$5:$B$24,MATCH(C1644,Paketler!$A$5:$A$24,0)),0))-1)</f>
        <v/>
      </c>
      <c r="G1644" s="17" t="str">
        <f aca="false">IF(F1644="","",IFERROR(INDEX(Paketler!$C$5:$C$24,MATCH(C1644,Paketler!$A$5:$A$24,0)),0))</f>
        <v/>
      </c>
      <c r="H1644" s="17" t="str">
        <f aca="false">IF(F1644="","",G1644-E1644)</f>
        <v/>
      </c>
      <c r="I1644" s="18" t="str">
        <f aca="true">IF(F1644="","",F1644-TODAY())</f>
        <v/>
      </c>
      <c r="J1644" s="19" t="str">
        <f aca="true">IF(F1644="","",IF(TODAY()&lt;D1644,"Başlamadı",IF(TODAY()&gt;F1644,"Bitti",IF(F1644-TODAY()&lt;=7,"Bitiyor","Aktif"))))</f>
        <v/>
      </c>
      <c r="K1644" s="19" t="str">
        <f aca="false">IF(OR(J1644="Aktif",J1644="Bitiyor"),F1644+ROW()/1000000,"")</f>
        <v/>
      </c>
    </row>
    <row r="1645" customFormat="false" ht="15" hidden="false" customHeight="false" outlineLevel="0" collapsed="false">
      <c r="A1645" s="12"/>
      <c r="B1645" s="12"/>
      <c r="C1645" s="13"/>
      <c r="D1645" s="14"/>
      <c r="E1645" s="15"/>
      <c r="F1645" s="16" t="str">
        <f aca="false">IF(OR(C1645="",D1645=""),"",EDATE(D1645,IFERROR(INDEX(Paketler!$B$5:$B$24,MATCH(C1645,Paketler!$A$5:$A$24,0)),0))-1)</f>
        <v/>
      </c>
      <c r="G1645" s="17" t="str">
        <f aca="false">IF(F1645="","",IFERROR(INDEX(Paketler!$C$5:$C$24,MATCH(C1645,Paketler!$A$5:$A$24,0)),0))</f>
        <v/>
      </c>
      <c r="H1645" s="17" t="str">
        <f aca="false">IF(F1645="","",G1645-E1645)</f>
        <v/>
      </c>
      <c r="I1645" s="18" t="str">
        <f aca="true">IF(F1645="","",F1645-TODAY())</f>
        <v/>
      </c>
      <c r="J1645" s="19" t="str">
        <f aca="true">IF(F1645="","",IF(TODAY()&lt;D1645,"Başlamadı",IF(TODAY()&gt;F1645,"Bitti",IF(F1645-TODAY()&lt;=7,"Bitiyor","Aktif"))))</f>
        <v/>
      </c>
      <c r="K1645" s="19" t="str">
        <f aca="false">IF(OR(J1645="Aktif",J1645="Bitiyor"),F1645+ROW()/1000000,"")</f>
        <v/>
      </c>
    </row>
    <row r="1646" customFormat="false" ht="15" hidden="false" customHeight="false" outlineLevel="0" collapsed="false">
      <c r="A1646" s="12"/>
      <c r="B1646" s="12"/>
      <c r="C1646" s="13"/>
      <c r="D1646" s="14"/>
      <c r="E1646" s="15"/>
      <c r="F1646" s="16" t="str">
        <f aca="false">IF(OR(C1646="",D1646=""),"",EDATE(D1646,IFERROR(INDEX(Paketler!$B$5:$B$24,MATCH(C1646,Paketler!$A$5:$A$24,0)),0))-1)</f>
        <v/>
      </c>
      <c r="G1646" s="17" t="str">
        <f aca="false">IF(F1646="","",IFERROR(INDEX(Paketler!$C$5:$C$24,MATCH(C1646,Paketler!$A$5:$A$24,0)),0))</f>
        <v/>
      </c>
      <c r="H1646" s="17" t="str">
        <f aca="false">IF(F1646="","",G1646-E1646)</f>
        <v/>
      </c>
      <c r="I1646" s="18" t="str">
        <f aca="true">IF(F1646="","",F1646-TODAY())</f>
        <v/>
      </c>
      <c r="J1646" s="19" t="str">
        <f aca="true">IF(F1646="","",IF(TODAY()&lt;D1646,"Başlamadı",IF(TODAY()&gt;F1646,"Bitti",IF(F1646-TODAY()&lt;=7,"Bitiyor","Aktif"))))</f>
        <v/>
      </c>
      <c r="K1646" s="19" t="str">
        <f aca="false">IF(OR(J1646="Aktif",J1646="Bitiyor"),F1646+ROW()/1000000,"")</f>
        <v/>
      </c>
    </row>
    <row r="1647" customFormat="false" ht="15" hidden="false" customHeight="false" outlineLevel="0" collapsed="false">
      <c r="A1647" s="12"/>
      <c r="B1647" s="12"/>
      <c r="C1647" s="13"/>
      <c r="D1647" s="14"/>
      <c r="E1647" s="15"/>
      <c r="F1647" s="16" t="str">
        <f aca="false">IF(OR(C1647="",D1647=""),"",EDATE(D1647,IFERROR(INDEX(Paketler!$B$5:$B$24,MATCH(C1647,Paketler!$A$5:$A$24,0)),0))-1)</f>
        <v/>
      </c>
      <c r="G1647" s="17" t="str">
        <f aca="false">IF(F1647="","",IFERROR(INDEX(Paketler!$C$5:$C$24,MATCH(C1647,Paketler!$A$5:$A$24,0)),0))</f>
        <v/>
      </c>
      <c r="H1647" s="17" t="str">
        <f aca="false">IF(F1647="","",G1647-E1647)</f>
        <v/>
      </c>
      <c r="I1647" s="18" t="str">
        <f aca="true">IF(F1647="","",F1647-TODAY())</f>
        <v/>
      </c>
      <c r="J1647" s="19" t="str">
        <f aca="true">IF(F1647="","",IF(TODAY()&lt;D1647,"Başlamadı",IF(TODAY()&gt;F1647,"Bitti",IF(F1647-TODAY()&lt;=7,"Bitiyor","Aktif"))))</f>
        <v/>
      </c>
      <c r="K1647" s="19" t="str">
        <f aca="false">IF(OR(J1647="Aktif",J1647="Bitiyor"),F1647+ROW()/1000000,"")</f>
        <v/>
      </c>
    </row>
    <row r="1648" customFormat="false" ht="15" hidden="false" customHeight="false" outlineLevel="0" collapsed="false">
      <c r="A1648" s="12"/>
      <c r="B1648" s="12"/>
      <c r="C1648" s="13"/>
      <c r="D1648" s="14"/>
      <c r="E1648" s="15"/>
      <c r="F1648" s="16" t="str">
        <f aca="false">IF(OR(C1648="",D1648=""),"",EDATE(D1648,IFERROR(INDEX(Paketler!$B$5:$B$24,MATCH(C1648,Paketler!$A$5:$A$24,0)),0))-1)</f>
        <v/>
      </c>
      <c r="G1648" s="17" t="str">
        <f aca="false">IF(F1648="","",IFERROR(INDEX(Paketler!$C$5:$C$24,MATCH(C1648,Paketler!$A$5:$A$24,0)),0))</f>
        <v/>
      </c>
      <c r="H1648" s="17" t="str">
        <f aca="false">IF(F1648="","",G1648-E1648)</f>
        <v/>
      </c>
      <c r="I1648" s="18" t="str">
        <f aca="true">IF(F1648="","",F1648-TODAY())</f>
        <v/>
      </c>
      <c r="J1648" s="19" t="str">
        <f aca="true">IF(F1648="","",IF(TODAY()&lt;D1648,"Başlamadı",IF(TODAY()&gt;F1648,"Bitti",IF(F1648-TODAY()&lt;=7,"Bitiyor","Aktif"))))</f>
        <v/>
      </c>
      <c r="K1648" s="19" t="str">
        <f aca="false">IF(OR(J1648="Aktif",J1648="Bitiyor"),F1648+ROW()/1000000,"")</f>
        <v/>
      </c>
    </row>
    <row r="1649" customFormat="false" ht="15" hidden="false" customHeight="false" outlineLevel="0" collapsed="false">
      <c r="A1649" s="12"/>
      <c r="B1649" s="12"/>
      <c r="C1649" s="13"/>
      <c r="D1649" s="14"/>
      <c r="E1649" s="15"/>
      <c r="F1649" s="16" t="str">
        <f aca="false">IF(OR(C1649="",D1649=""),"",EDATE(D1649,IFERROR(INDEX(Paketler!$B$5:$B$24,MATCH(C1649,Paketler!$A$5:$A$24,0)),0))-1)</f>
        <v/>
      </c>
      <c r="G1649" s="17" t="str">
        <f aca="false">IF(F1649="","",IFERROR(INDEX(Paketler!$C$5:$C$24,MATCH(C1649,Paketler!$A$5:$A$24,0)),0))</f>
        <v/>
      </c>
      <c r="H1649" s="17" t="str">
        <f aca="false">IF(F1649="","",G1649-E1649)</f>
        <v/>
      </c>
      <c r="I1649" s="18" t="str">
        <f aca="true">IF(F1649="","",F1649-TODAY())</f>
        <v/>
      </c>
      <c r="J1649" s="19" t="str">
        <f aca="true">IF(F1649="","",IF(TODAY()&lt;D1649,"Başlamadı",IF(TODAY()&gt;F1649,"Bitti",IF(F1649-TODAY()&lt;=7,"Bitiyor","Aktif"))))</f>
        <v/>
      </c>
      <c r="K1649" s="19" t="str">
        <f aca="false">IF(OR(J1649="Aktif",J1649="Bitiyor"),F1649+ROW()/1000000,"")</f>
        <v/>
      </c>
    </row>
    <row r="1650" customFormat="false" ht="15" hidden="false" customHeight="false" outlineLevel="0" collapsed="false">
      <c r="A1650" s="12"/>
      <c r="B1650" s="12"/>
      <c r="C1650" s="13"/>
      <c r="D1650" s="14"/>
      <c r="E1650" s="15"/>
      <c r="F1650" s="16" t="str">
        <f aca="false">IF(OR(C1650="",D1650=""),"",EDATE(D1650,IFERROR(INDEX(Paketler!$B$5:$B$24,MATCH(C1650,Paketler!$A$5:$A$24,0)),0))-1)</f>
        <v/>
      </c>
      <c r="G1650" s="17" t="str">
        <f aca="false">IF(F1650="","",IFERROR(INDEX(Paketler!$C$5:$C$24,MATCH(C1650,Paketler!$A$5:$A$24,0)),0))</f>
        <v/>
      </c>
      <c r="H1650" s="17" t="str">
        <f aca="false">IF(F1650="","",G1650-E1650)</f>
        <v/>
      </c>
      <c r="I1650" s="18" t="str">
        <f aca="true">IF(F1650="","",F1650-TODAY())</f>
        <v/>
      </c>
      <c r="J1650" s="19" t="str">
        <f aca="true">IF(F1650="","",IF(TODAY()&lt;D1650,"Başlamadı",IF(TODAY()&gt;F1650,"Bitti",IF(F1650-TODAY()&lt;=7,"Bitiyor","Aktif"))))</f>
        <v/>
      </c>
      <c r="K1650" s="19" t="str">
        <f aca="false">IF(OR(J1650="Aktif",J1650="Bitiyor"),F1650+ROW()/1000000,"")</f>
        <v/>
      </c>
    </row>
    <row r="1651" customFormat="false" ht="15" hidden="false" customHeight="false" outlineLevel="0" collapsed="false">
      <c r="A1651" s="12"/>
      <c r="B1651" s="12"/>
      <c r="C1651" s="13"/>
      <c r="D1651" s="14"/>
      <c r="E1651" s="15"/>
      <c r="F1651" s="16" t="str">
        <f aca="false">IF(OR(C1651="",D1651=""),"",EDATE(D1651,IFERROR(INDEX(Paketler!$B$5:$B$24,MATCH(C1651,Paketler!$A$5:$A$24,0)),0))-1)</f>
        <v/>
      </c>
      <c r="G1651" s="17" t="str">
        <f aca="false">IF(F1651="","",IFERROR(INDEX(Paketler!$C$5:$C$24,MATCH(C1651,Paketler!$A$5:$A$24,0)),0))</f>
        <v/>
      </c>
      <c r="H1651" s="17" t="str">
        <f aca="false">IF(F1651="","",G1651-E1651)</f>
        <v/>
      </c>
      <c r="I1651" s="18" t="str">
        <f aca="true">IF(F1651="","",F1651-TODAY())</f>
        <v/>
      </c>
      <c r="J1651" s="19" t="str">
        <f aca="true">IF(F1651="","",IF(TODAY()&lt;D1651,"Başlamadı",IF(TODAY()&gt;F1651,"Bitti",IF(F1651-TODAY()&lt;=7,"Bitiyor","Aktif"))))</f>
        <v/>
      </c>
      <c r="K1651" s="19" t="str">
        <f aca="false">IF(OR(J1651="Aktif",J1651="Bitiyor"),F1651+ROW()/1000000,"")</f>
        <v/>
      </c>
    </row>
    <row r="1652" customFormat="false" ht="15" hidden="false" customHeight="false" outlineLevel="0" collapsed="false">
      <c r="A1652" s="12"/>
      <c r="B1652" s="12"/>
      <c r="C1652" s="13"/>
      <c r="D1652" s="14"/>
      <c r="E1652" s="15"/>
      <c r="F1652" s="16" t="str">
        <f aca="false">IF(OR(C1652="",D1652=""),"",EDATE(D1652,IFERROR(INDEX(Paketler!$B$5:$B$24,MATCH(C1652,Paketler!$A$5:$A$24,0)),0))-1)</f>
        <v/>
      </c>
      <c r="G1652" s="17" t="str">
        <f aca="false">IF(F1652="","",IFERROR(INDEX(Paketler!$C$5:$C$24,MATCH(C1652,Paketler!$A$5:$A$24,0)),0))</f>
        <v/>
      </c>
      <c r="H1652" s="17" t="str">
        <f aca="false">IF(F1652="","",G1652-E1652)</f>
        <v/>
      </c>
      <c r="I1652" s="18" t="str">
        <f aca="true">IF(F1652="","",F1652-TODAY())</f>
        <v/>
      </c>
      <c r="J1652" s="19" t="str">
        <f aca="true">IF(F1652="","",IF(TODAY()&lt;D1652,"Başlamadı",IF(TODAY()&gt;F1652,"Bitti",IF(F1652-TODAY()&lt;=7,"Bitiyor","Aktif"))))</f>
        <v/>
      </c>
      <c r="K1652" s="19" t="str">
        <f aca="false">IF(OR(J1652="Aktif",J1652="Bitiyor"),F1652+ROW()/1000000,"")</f>
        <v/>
      </c>
    </row>
    <row r="1653" customFormat="false" ht="15" hidden="false" customHeight="false" outlineLevel="0" collapsed="false">
      <c r="A1653" s="12"/>
      <c r="B1653" s="12"/>
      <c r="C1653" s="13"/>
      <c r="D1653" s="14"/>
      <c r="E1653" s="15"/>
      <c r="F1653" s="16" t="str">
        <f aca="false">IF(OR(C1653="",D1653=""),"",EDATE(D1653,IFERROR(INDEX(Paketler!$B$5:$B$24,MATCH(C1653,Paketler!$A$5:$A$24,0)),0))-1)</f>
        <v/>
      </c>
      <c r="G1653" s="17" t="str">
        <f aca="false">IF(F1653="","",IFERROR(INDEX(Paketler!$C$5:$C$24,MATCH(C1653,Paketler!$A$5:$A$24,0)),0))</f>
        <v/>
      </c>
      <c r="H1653" s="17" t="str">
        <f aca="false">IF(F1653="","",G1653-E1653)</f>
        <v/>
      </c>
      <c r="I1653" s="18" t="str">
        <f aca="true">IF(F1653="","",F1653-TODAY())</f>
        <v/>
      </c>
      <c r="J1653" s="19" t="str">
        <f aca="true">IF(F1653="","",IF(TODAY()&lt;D1653,"Başlamadı",IF(TODAY()&gt;F1653,"Bitti",IF(F1653-TODAY()&lt;=7,"Bitiyor","Aktif"))))</f>
        <v/>
      </c>
      <c r="K1653" s="19" t="str">
        <f aca="false">IF(OR(J1653="Aktif",J1653="Bitiyor"),F1653+ROW()/1000000,"")</f>
        <v/>
      </c>
    </row>
    <row r="1654" customFormat="false" ht="15" hidden="false" customHeight="false" outlineLevel="0" collapsed="false">
      <c r="A1654" s="12"/>
      <c r="B1654" s="12"/>
      <c r="C1654" s="13"/>
      <c r="D1654" s="14"/>
      <c r="E1654" s="15"/>
      <c r="F1654" s="16" t="str">
        <f aca="false">IF(OR(C1654="",D1654=""),"",EDATE(D1654,IFERROR(INDEX(Paketler!$B$5:$B$24,MATCH(C1654,Paketler!$A$5:$A$24,0)),0))-1)</f>
        <v/>
      </c>
      <c r="G1654" s="17" t="str">
        <f aca="false">IF(F1654="","",IFERROR(INDEX(Paketler!$C$5:$C$24,MATCH(C1654,Paketler!$A$5:$A$24,0)),0))</f>
        <v/>
      </c>
      <c r="H1654" s="17" t="str">
        <f aca="false">IF(F1654="","",G1654-E1654)</f>
        <v/>
      </c>
      <c r="I1654" s="18" t="str">
        <f aca="true">IF(F1654="","",F1654-TODAY())</f>
        <v/>
      </c>
      <c r="J1654" s="19" t="str">
        <f aca="true">IF(F1654="","",IF(TODAY()&lt;D1654,"Başlamadı",IF(TODAY()&gt;F1654,"Bitti",IF(F1654-TODAY()&lt;=7,"Bitiyor","Aktif"))))</f>
        <v/>
      </c>
      <c r="K1654" s="19" t="str">
        <f aca="false">IF(OR(J1654="Aktif",J1654="Bitiyor"),F1654+ROW()/1000000,"")</f>
        <v/>
      </c>
    </row>
    <row r="1655" customFormat="false" ht="15" hidden="false" customHeight="false" outlineLevel="0" collapsed="false">
      <c r="A1655" s="12"/>
      <c r="B1655" s="12"/>
      <c r="C1655" s="13"/>
      <c r="D1655" s="14"/>
      <c r="E1655" s="15"/>
      <c r="F1655" s="16" t="str">
        <f aca="false">IF(OR(C1655="",D1655=""),"",EDATE(D1655,IFERROR(INDEX(Paketler!$B$5:$B$24,MATCH(C1655,Paketler!$A$5:$A$24,0)),0))-1)</f>
        <v/>
      </c>
      <c r="G1655" s="17" t="str">
        <f aca="false">IF(F1655="","",IFERROR(INDEX(Paketler!$C$5:$C$24,MATCH(C1655,Paketler!$A$5:$A$24,0)),0))</f>
        <v/>
      </c>
      <c r="H1655" s="17" t="str">
        <f aca="false">IF(F1655="","",G1655-E1655)</f>
        <v/>
      </c>
      <c r="I1655" s="18" t="str">
        <f aca="true">IF(F1655="","",F1655-TODAY())</f>
        <v/>
      </c>
      <c r="J1655" s="19" t="str">
        <f aca="true">IF(F1655="","",IF(TODAY()&lt;D1655,"Başlamadı",IF(TODAY()&gt;F1655,"Bitti",IF(F1655-TODAY()&lt;=7,"Bitiyor","Aktif"))))</f>
        <v/>
      </c>
      <c r="K1655" s="19" t="str">
        <f aca="false">IF(OR(J1655="Aktif",J1655="Bitiyor"),F1655+ROW()/1000000,"")</f>
        <v/>
      </c>
    </row>
    <row r="1656" customFormat="false" ht="15" hidden="false" customHeight="false" outlineLevel="0" collapsed="false">
      <c r="A1656" s="12"/>
      <c r="B1656" s="12"/>
      <c r="C1656" s="13"/>
      <c r="D1656" s="14"/>
      <c r="E1656" s="15"/>
      <c r="F1656" s="16" t="str">
        <f aca="false">IF(OR(C1656="",D1656=""),"",EDATE(D1656,IFERROR(INDEX(Paketler!$B$5:$B$24,MATCH(C1656,Paketler!$A$5:$A$24,0)),0))-1)</f>
        <v/>
      </c>
      <c r="G1656" s="17" t="str">
        <f aca="false">IF(F1656="","",IFERROR(INDEX(Paketler!$C$5:$C$24,MATCH(C1656,Paketler!$A$5:$A$24,0)),0))</f>
        <v/>
      </c>
      <c r="H1656" s="17" t="str">
        <f aca="false">IF(F1656="","",G1656-E1656)</f>
        <v/>
      </c>
      <c r="I1656" s="18" t="str">
        <f aca="true">IF(F1656="","",F1656-TODAY())</f>
        <v/>
      </c>
      <c r="J1656" s="19" t="str">
        <f aca="true">IF(F1656="","",IF(TODAY()&lt;D1656,"Başlamadı",IF(TODAY()&gt;F1656,"Bitti",IF(F1656-TODAY()&lt;=7,"Bitiyor","Aktif"))))</f>
        <v/>
      </c>
      <c r="K1656" s="19" t="str">
        <f aca="false">IF(OR(J1656="Aktif",J1656="Bitiyor"),F1656+ROW()/1000000,"")</f>
        <v/>
      </c>
    </row>
    <row r="1657" customFormat="false" ht="15" hidden="false" customHeight="false" outlineLevel="0" collapsed="false">
      <c r="A1657" s="12"/>
      <c r="B1657" s="12"/>
      <c r="C1657" s="13"/>
      <c r="D1657" s="14"/>
      <c r="E1657" s="15"/>
      <c r="F1657" s="16" t="str">
        <f aca="false">IF(OR(C1657="",D1657=""),"",EDATE(D1657,IFERROR(INDEX(Paketler!$B$5:$B$24,MATCH(C1657,Paketler!$A$5:$A$24,0)),0))-1)</f>
        <v/>
      </c>
      <c r="G1657" s="17" t="str">
        <f aca="false">IF(F1657="","",IFERROR(INDEX(Paketler!$C$5:$C$24,MATCH(C1657,Paketler!$A$5:$A$24,0)),0))</f>
        <v/>
      </c>
      <c r="H1657" s="17" t="str">
        <f aca="false">IF(F1657="","",G1657-E1657)</f>
        <v/>
      </c>
      <c r="I1657" s="18" t="str">
        <f aca="true">IF(F1657="","",F1657-TODAY())</f>
        <v/>
      </c>
      <c r="J1657" s="19" t="str">
        <f aca="true">IF(F1657="","",IF(TODAY()&lt;D1657,"Başlamadı",IF(TODAY()&gt;F1657,"Bitti",IF(F1657-TODAY()&lt;=7,"Bitiyor","Aktif"))))</f>
        <v/>
      </c>
      <c r="K1657" s="19" t="str">
        <f aca="false">IF(OR(J1657="Aktif",J1657="Bitiyor"),F1657+ROW()/1000000,"")</f>
        <v/>
      </c>
    </row>
    <row r="1658" customFormat="false" ht="15" hidden="false" customHeight="false" outlineLevel="0" collapsed="false">
      <c r="A1658" s="12"/>
      <c r="B1658" s="12"/>
      <c r="C1658" s="13"/>
      <c r="D1658" s="14"/>
      <c r="E1658" s="15"/>
      <c r="F1658" s="16" t="str">
        <f aca="false">IF(OR(C1658="",D1658=""),"",EDATE(D1658,IFERROR(INDEX(Paketler!$B$5:$B$24,MATCH(C1658,Paketler!$A$5:$A$24,0)),0))-1)</f>
        <v/>
      </c>
      <c r="G1658" s="17" t="str">
        <f aca="false">IF(F1658="","",IFERROR(INDEX(Paketler!$C$5:$C$24,MATCH(C1658,Paketler!$A$5:$A$24,0)),0))</f>
        <v/>
      </c>
      <c r="H1658" s="17" t="str">
        <f aca="false">IF(F1658="","",G1658-E1658)</f>
        <v/>
      </c>
      <c r="I1658" s="18" t="str">
        <f aca="true">IF(F1658="","",F1658-TODAY())</f>
        <v/>
      </c>
      <c r="J1658" s="19" t="str">
        <f aca="true">IF(F1658="","",IF(TODAY()&lt;D1658,"Başlamadı",IF(TODAY()&gt;F1658,"Bitti",IF(F1658-TODAY()&lt;=7,"Bitiyor","Aktif"))))</f>
        <v/>
      </c>
      <c r="K1658" s="19" t="str">
        <f aca="false">IF(OR(J1658="Aktif",J1658="Bitiyor"),F1658+ROW()/1000000,"")</f>
        <v/>
      </c>
    </row>
    <row r="1659" customFormat="false" ht="15" hidden="false" customHeight="false" outlineLevel="0" collapsed="false">
      <c r="A1659" s="12"/>
      <c r="B1659" s="12"/>
      <c r="C1659" s="13"/>
      <c r="D1659" s="14"/>
      <c r="E1659" s="15"/>
      <c r="F1659" s="16" t="str">
        <f aca="false">IF(OR(C1659="",D1659=""),"",EDATE(D1659,IFERROR(INDEX(Paketler!$B$5:$B$24,MATCH(C1659,Paketler!$A$5:$A$24,0)),0))-1)</f>
        <v/>
      </c>
      <c r="G1659" s="17" t="str">
        <f aca="false">IF(F1659="","",IFERROR(INDEX(Paketler!$C$5:$C$24,MATCH(C1659,Paketler!$A$5:$A$24,0)),0))</f>
        <v/>
      </c>
      <c r="H1659" s="17" t="str">
        <f aca="false">IF(F1659="","",G1659-E1659)</f>
        <v/>
      </c>
      <c r="I1659" s="18" t="str">
        <f aca="true">IF(F1659="","",F1659-TODAY())</f>
        <v/>
      </c>
      <c r="J1659" s="19" t="str">
        <f aca="true">IF(F1659="","",IF(TODAY()&lt;D1659,"Başlamadı",IF(TODAY()&gt;F1659,"Bitti",IF(F1659-TODAY()&lt;=7,"Bitiyor","Aktif"))))</f>
        <v/>
      </c>
      <c r="K1659" s="19" t="str">
        <f aca="false">IF(OR(J1659="Aktif",J1659="Bitiyor"),F1659+ROW()/1000000,"")</f>
        <v/>
      </c>
    </row>
    <row r="1660" customFormat="false" ht="15" hidden="false" customHeight="false" outlineLevel="0" collapsed="false">
      <c r="A1660" s="12"/>
      <c r="B1660" s="12"/>
      <c r="C1660" s="13"/>
      <c r="D1660" s="14"/>
      <c r="E1660" s="15"/>
      <c r="F1660" s="16" t="str">
        <f aca="false">IF(OR(C1660="",D1660=""),"",EDATE(D1660,IFERROR(INDEX(Paketler!$B$5:$B$24,MATCH(C1660,Paketler!$A$5:$A$24,0)),0))-1)</f>
        <v/>
      </c>
      <c r="G1660" s="17" t="str">
        <f aca="false">IF(F1660="","",IFERROR(INDEX(Paketler!$C$5:$C$24,MATCH(C1660,Paketler!$A$5:$A$24,0)),0))</f>
        <v/>
      </c>
      <c r="H1660" s="17" t="str">
        <f aca="false">IF(F1660="","",G1660-E1660)</f>
        <v/>
      </c>
      <c r="I1660" s="18" t="str">
        <f aca="true">IF(F1660="","",F1660-TODAY())</f>
        <v/>
      </c>
      <c r="J1660" s="19" t="str">
        <f aca="true">IF(F1660="","",IF(TODAY()&lt;D1660,"Başlamadı",IF(TODAY()&gt;F1660,"Bitti",IF(F1660-TODAY()&lt;=7,"Bitiyor","Aktif"))))</f>
        <v/>
      </c>
      <c r="K1660" s="19" t="str">
        <f aca="false">IF(OR(J1660="Aktif",J1660="Bitiyor"),F1660+ROW()/1000000,"")</f>
        <v/>
      </c>
    </row>
    <row r="1661" customFormat="false" ht="15" hidden="false" customHeight="false" outlineLevel="0" collapsed="false">
      <c r="A1661" s="12"/>
      <c r="B1661" s="12"/>
      <c r="C1661" s="13"/>
      <c r="D1661" s="14"/>
      <c r="E1661" s="15"/>
      <c r="F1661" s="16" t="str">
        <f aca="false">IF(OR(C1661="",D1661=""),"",EDATE(D1661,IFERROR(INDEX(Paketler!$B$5:$B$24,MATCH(C1661,Paketler!$A$5:$A$24,0)),0))-1)</f>
        <v/>
      </c>
      <c r="G1661" s="17" t="str">
        <f aca="false">IF(F1661="","",IFERROR(INDEX(Paketler!$C$5:$C$24,MATCH(C1661,Paketler!$A$5:$A$24,0)),0))</f>
        <v/>
      </c>
      <c r="H1661" s="17" t="str">
        <f aca="false">IF(F1661="","",G1661-E1661)</f>
        <v/>
      </c>
      <c r="I1661" s="18" t="str">
        <f aca="true">IF(F1661="","",F1661-TODAY())</f>
        <v/>
      </c>
      <c r="J1661" s="19" t="str">
        <f aca="true">IF(F1661="","",IF(TODAY()&lt;D1661,"Başlamadı",IF(TODAY()&gt;F1661,"Bitti",IF(F1661-TODAY()&lt;=7,"Bitiyor","Aktif"))))</f>
        <v/>
      </c>
      <c r="K1661" s="19" t="str">
        <f aca="false">IF(OR(J1661="Aktif",J1661="Bitiyor"),F1661+ROW()/1000000,"")</f>
        <v/>
      </c>
    </row>
    <row r="1662" customFormat="false" ht="15" hidden="false" customHeight="false" outlineLevel="0" collapsed="false">
      <c r="A1662" s="12"/>
      <c r="B1662" s="12"/>
      <c r="C1662" s="13"/>
      <c r="D1662" s="14"/>
      <c r="E1662" s="15"/>
      <c r="F1662" s="16" t="str">
        <f aca="false">IF(OR(C1662="",D1662=""),"",EDATE(D1662,IFERROR(INDEX(Paketler!$B$5:$B$24,MATCH(C1662,Paketler!$A$5:$A$24,0)),0))-1)</f>
        <v/>
      </c>
      <c r="G1662" s="17" t="str">
        <f aca="false">IF(F1662="","",IFERROR(INDEX(Paketler!$C$5:$C$24,MATCH(C1662,Paketler!$A$5:$A$24,0)),0))</f>
        <v/>
      </c>
      <c r="H1662" s="17" t="str">
        <f aca="false">IF(F1662="","",G1662-E1662)</f>
        <v/>
      </c>
      <c r="I1662" s="18" t="str">
        <f aca="true">IF(F1662="","",F1662-TODAY())</f>
        <v/>
      </c>
      <c r="J1662" s="19" t="str">
        <f aca="true">IF(F1662="","",IF(TODAY()&lt;D1662,"Başlamadı",IF(TODAY()&gt;F1662,"Bitti",IF(F1662-TODAY()&lt;=7,"Bitiyor","Aktif"))))</f>
        <v/>
      </c>
      <c r="K1662" s="19" t="str">
        <f aca="false">IF(OR(J1662="Aktif",J1662="Bitiyor"),F1662+ROW()/1000000,"")</f>
        <v/>
      </c>
    </row>
    <row r="1663" customFormat="false" ht="15" hidden="false" customHeight="false" outlineLevel="0" collapsed="false">
      <c r="A1663" s="12"/>
      <c r="B1663" s="12"/>
      <c r="C1663" s="13"/>
      <c r="D1663" s="14"/>
      <c r="E1663" s="15"/>
      <c r="F1663" s="16" t="str">
        <f aca="false">IF(OR(C1663="",D1663=""),"",EDATE(D1663,IFERROR(INDEX(Paketler!$B$5:$B$24,MATCH(C1663,Paketler!$A$5:$A$24,0)),0))-1)</f>
        <v/>
      </c>
      <c r="G1663" s="17" t="str">
        <f aca="false">IF(F1663="","",IFERROR(INDEX(Paketler!$C$5:$C$24,MATCH(C1663,Paketler!$A$5:$A$24,0)),0))</f>
        <v/>
      </c>
      <c r="H1663" s="17" t="str">
        <f aca="false">IF(F1663="","",G1663-E1663)</f>
        <v/>
      </c>
      <c r="I1663" s="18" t="str">
        <f aca="true">IF(F1663="","",F1663-TODAY())</f>
        <v/>
      </c>
      <c r="J1663" s="19" t="str">
        <f aca="true">IF(F1663="","",IF(TODAY()&lt;D1663,"Başlamadı",IF(TODAY()&gt;F1663,"Bitti",IF(F1663-TODAY()&lt;=7,"Bitiyor","Aktif"))))</f>
        <v/>
      </c>
      <c r="K1663" s="19" t="str">
        <f aca="false">IF(OR(J1663="Aktif",J1663="Bitiyor"),F1663+ROW()/1000000,"")</f>
        <v/>
      </c>
    </row>
    <row r="1664" customFormat="false" ht="15" hidden="false" customHeight="false" outlineLevel="0" collapsed="false">
      <c r="A1664" s="12"/>
      <c r="B1664" s="12"/>
      <c r="C1664" s="13"/>
      <c r="D1664" s="14"/>
      <c r="E1664" s="15"/>
      <c r="F1664" s="16" t="str">
        <f aca="false">IF(OR(C1664="",D1664=""),"",EDATE(D1664,IFERROR(INDEX(Paketler!$B$5:$B$24,MATCH(C1664,Paketler!$A$5:$A$24,0)),0))-1)</f>
        <v/>
      </c>
      <c r="G1664" s="17" t="str">
        <f aca="false">IF(F1664="","",IFERROR(INDEX(Paketler!$C$5:$C$24,MATCH(C1664,Paketler!$A$5:$A$24,0)),0))</f>
        <v/>
      </c>
      <c r="H1664" s="17" t="str">
        <f aca="false">IF(F1664="","",G1664-E1664)</f>
        <v/>
      </c>
      <c r="I1664" s="18" t="str">
        <f aca="true">IF(F1664="","",F1664-TODAY())</f>
        <v/>
      </c>
      <c r="J1664" s="19" t="str">
        <f aca="true">IF(F1664="","",IF(TODAY()&lt;D1664,"Başlamadı",IF(TODAY()&gt;F1664,"Bitti",IF(F1664-TODAY()&lt;=7,"Bitiyor","Aktif"))))</f>
        <v/>
      </c>
      <c r="K1664" s="19" t="str">
        <f aca="false">IF(OR(J1664="Aktif",J1664="Bitiyor"),F1664+ROW()/1000000,"")</f>
        <v/>
      </c>
    </row>
    <row r="1665" customFormat="false" ht="15" hidden="false" customHeight="false" outlineLevel="0" collapsed="false">
      <c r="A1665" s="12"/>
      <c r="B1665" s="12"/>
      <c r="C1665" s="13"/>
      <c r="D1665" s="14"/>
      <c r="E1665" s="15"/>
      <c r="F1665" s="16" t="str">
        <f aca="false">IF(OR(C1665="",D1665=""),"",EDATE(D1665,IFERROR(INDEX(Paketler!$B$5:$B$24,MATCH(C1665,Paketler!$A$5:$A$24,0)),0))-1)</f>
        <v/>
      </c>
      <c r="G1665" s="17" t="str">
        <f aca="false">IF(F1665="","",IFERROR(INDEX(Paketler!$C$5:$C$24,MATCH(C1665,Paketler!$A$5:$A$24,0)),0))</f>
        <v/>
      </c>
      <c r="H1665" s="17" t="str">
        <f aca="false">IF(F1665="","",G1665-E1665)</f>
        <v/>
      </c>
      <c r="I1665" s="18" t="str">
        <f aca="true">IF(F1665="","",F1665-TODAY())</f>
        <v/>
      </c>
      <c r="J1665" s="19" t="str">
        <f aca="true">IF(F1665="","",IF(TODAY()&lt;D1665,"Başlamadı",IF(TODAY()&gt;F1665,"Bitti",IF(F1665-TODAY()&lt;=7,"Bitiyor","Aktif"))))</f>
        <v/>
      </c>
      <c r="K1665" s="19" t="str">
        <f aca="false">IF(OR(J1665="Aktif",J1665="Bitiyor"),F1665+ROW()/1000000,"")</f>
        <v/>
      </c>
    </row>
    <row r="1666" customFormat="false" ht="15" hidden="false" customHeight="false" outlineLevel="0" collapsed="false">
      <c r="A1666" s="12"/>
      <c r="B1666" s="12"/>
      <c r="C1666" s="13"/>
      <c r="D1666" s="14"/>
      <c r="E1666" s="15"/>
      <c r="F1666" s="16" t="str">
        <f aca="false">IF(OR(C1666="",D1666=""),"",EDATE(D1666,IFERROR(INDEX(Paketler!$B$5:$B$24,MATCH(C1666,Paketler!$A$5:$A$24,0)),0))-1)</f>
        <v/>
      </c>
      <c r="G1666" s="17" t="str">
        <f aca="false">IF(F1666="","",IFERROR(INDEX(Paketler!$C$5:$C$24,MATCH(C1666,Paketler!$A$5:$A$24,0)),0))</f>
        <v/>
      </c>
      <c r="H1666" s="17" t="str">
        <f aca="false">IF(F1666="","",G1666-E1666)</f>
        <v/>
      </c>
      <c r="I1666" s="18" t="str">
        <f aca="true">IF(F1666="","",F1666-TODAY())</f>
        <v/>
      </c>
      <c r="J1666" s="19" t="str">
        <f aca="true">IF(F1666="","",IF(TODAY()&lt;D1666,"Başlamadı",IF(TODAY()&gt;F1666,"Bitti",IF(F1666-TODAY()&lt;=7,"Bitiyor","Aktif"))))</f>
        <v/>
      </c>
      <c r="K1666" s="19" t="str">
        <f aca="false">IF(OR(J1666="Aktif",J1666="Bitiyor"),F1666+ROW()/1000000,"")</f>
        <v/>
      </c>
    </row>
    <row r="1667" customFormat="false" ht="15" hidden="false" customHeight="false" outlineLevel="0" collapsed="false">
      <c r="A1667" s="12"/>
      <c r="B1667" s="12"/>
      <c r="C1667" s="13"/>
      <c r="D1667" s="14"/>
      <c r="E1667" s="15"/>
      <c r="F1667" s="16" t="str">
        <f aca="false">IF(OR(C1667="",D1667=""),"",EDATE(D1667,IFERROR(INDEX(Paketler!$B$5:$B$24,MATCH(C1667,Paketler!$A$5:$A$24,0)),0))-1)</f>
        <v/>
      </c>
      <c r="G1667" s="17" t="str">
        <f aca="false">IF(F1667="","",IFERROR(INDEX(Paketler!$C$5:$C$24,MATCH(C1667,Paketler!$A$5:$A$24,0)),0))</f>
        <v/>
      </c>
      <c r="H1667" s="17" t="str">
        <f aca="false">IF(F1667="","",G1667-E1667)</f>
        <v/>
      </c>
      <c r="I1667" s="18" t="str">
        <f aca="true">IF(F1667="","",F1667-TODAY())</f>
        <v/>
      </c>
      <c r="J1667" s="19" t="str">
        <f aca="true">IF(F1667="","",IF(TODAY()&lt;D1667,"Başlamadı",IF(TODAY()&gt;F1667,"Bitti",IF(F1667-TODAY()&lt;=7,"Bitiyor","Aktif"))))</f>
        <v/>
      </c>
      <c r="K1667" s="19" t="str">
        <f aca="false">IF(OR(J1667="Aktif",J1667="Bitiyor"),F1667+ROW()/1000000,"")</f>
        <v/>
      </c>
    </row>
    <row r="1668" customFormat="false" ht="15" hidden="false" customHeight="false" outlineLevel="0" collapsed="false">
      <c r="A1668" s="12"/>
      <c r="B1668" s="12"/>
      <c r="C1668" s="13"/>
      <c r="D1668" s="14"/>
      <c r="E1668" s="15"/>
      <c r="F1668" s="16" t="str">
        <f aca="false">IF(OR(C1668="",D1668=""),"",EDATE(D1668,IFERROR(INDEX(Paketler!$B$5:$B$24,MATCH(C1668,Paketler!$A$5:$A$24,0)),0))-1)</f>
        <v/>
      </c>
      <c r="G1668" s="17" t="str">
        <f aca="false">IF(F1668="","",IFERROR(INDEX(Paketler!$C$5:$C$24,MATCH(C1668,Paketler!$A$5:$A$24,0)),0))</f>
        <v/>
      </c>
      <c r="H1668" s="17" t="str">
        <f aca="false">IF(F1668="","",G1668-E1668)</f>
        <v/>
      </c>
      <c r="I1668" s="18" t="str">
        <f aca="true">IF(F1668="","",F1668-TODAY())</f>
        <v/>
      </c>
      <c r="J1668" s="19" t="str">
        <f aca="true">IF(F1668="","",IF(TODAY()&lt;D1668,"Başlamadı",IF(TODAY()&gt;F1668,"Bitti",IF(F1668-TODAY()&lt;=7,"Bitiyor","Aktif"))))</f>
        <v/>
      </c>
      <c r="K1668" s="19" t="str">
        <f aca="false">IF(OR(J1668="Aktif",J1668="Bitiyor"),F1668+ROW()/1000000,"")</f>
        <v/>
      </c>
    </row>
    <row r="1669" customFormat="false" ht="15" hidden="false" customHeight="false" outlineLevel="0" collapsed="false">
      <c r="A1669" s="12"/>
      <c r="B1669" s="12"/>
      <c r="C1669" s="13"/>
      <c r="D1669" s="14"/>
      <c r="E1669" s="15"/>
      <c r="F1669" s="16" t="str">
        <f aca="false">IF(OR(C1669="",D1669=""),"",EDATE(D1669,IFERROR(INDEX(Paketler!$B$5:$B$24,MATCH(C1669,Paketler!$A$5:$A$24,0)),0))-1)</f>
        <v/>
      </c>
      <c r="G1669" s="17" t="str">
        <f aca="false">IF(F1669="","",IFERROR(INDEX(Paketler!$C$5:$C$24,MATCH(C1669,Paketler!$A$5:$A$24,0)),0))</f>
        <v/>
      </c>
      <c r="H1669" s="17" t="str">
        <f aca="false">IF(F1669="","",G1669-E1669)</f>
        <v/>
      </c>
      <c r="I1669" s="18" t="str">
        <f aca="true">IF(F1669="","",F1669-TODAY())</f>
        <v/>
      </c>
      <c r="J1669" s="19" t="str">
        <f aca="true">IF(F1669="","",IF(TODAY()&lt;D1669,"Başlamadı",IF(TODAY()&gt;F1669,"Bitti",IF(F1669-TODAY()&lt;=7,"Bitiyor","Aktif"))))</f>
        <v/>
      </c>
      <c r="K1669" s="19" t="str">
        <f aca="false">IF(OR(J1669="Aktif",J1669="Bitiyor"),F1669+ROW()/1000000,"")</f>
        <v/>
      </c>
    </row>
    <row r="1670" customFormat="false" ht="15" hidden="false" customHeight="false" outlineLevel="0" collapsed="false">
      <c r="A1670" s="12"/>
      <c r="B1670" s="12"/>
      <c r="C1670" s="13"/>
      <c r="D1670" s="14"/>
      <c r="E1670" s="15"/>
      <c r="F1670" s="16" t="str">
        <f aca="false">IF(OR(C1670="",D1670=""),"",EDATE(D1670,IFERROR(INDEX(Paketler!$B$5:$B$24,MATCH(C1670,Paketler!$A$5:$A$24,0)),0))-1)</f>
        <v/>
      </c>
      <c r="G1670" s="17" t="str">
        <f aca="false">IF(F1670="","",IFERROR(INDEX(Paketler!$C$5:$C$24,MATCH(C1670,Paketler!$A$5:$A$24,0)),0))</f>
        <v/>
      </c>
      <c r="H1670" s="17" t="str">
        <f aca="false">IF(F1670="","",G1670-E1670)</f>
        <v/>
      </c>
      <c r="I1670" s="18" t="str">
        <f aca="true">IF(F1670="","",F1670-TODAY())</f>
        <v/>
      </c>
      <c r="J1670" s="19" t="str">
        <f aca="true">IF(F1670="","",IF(TODAY()&lt;D1670,"Başlamadı",IF(TODAY()&gt;F1670,"Bitti",IF(F1670-TODAY()&lt;=7,"Bitiyor","Aktif"))))</f>
        <v/>
      </c>
      <c r="K1670" s="19" t="str">
        <f aca="false">IF(OR(J1670="Aktif",J1670="Bitiyor"),F1670+ROW()/1000000,"")</f>
        <v/>
      </c>
    </row>
    <row r="1671" customFormat="false" ht="15" hidden="false" customHeight="false" outlineLevel="0" collapsed="false">
      <c r="A1671" s="12"/>
      <c r="B1671" s="12"/>
      <c r="C1671" s="13"/>
      <c r="D1671" s="14"/>
      <c r="E1671" s="15"/>
      <c r="F1671" s="16" t="str">
        <f aca="false">IF(OR(C1671="",D1671=""),"",EDATE(D1671,IFERROR(INDEX(Paketler!$B$5:$B$24,MATCH(C1671,Paketler!$A$5:$A$24,0)),0))-1)</f>
        <v/>
      </c>
      <c r="G1671" s="17" t="str">
        <f aca="false">IF(F1671="","",IFERROR(INDEX(Paketler!$C$5:$C$24,MATCH(C1671,Paketler!$A$5:$A$24,0)),0))</f>
        <v/>
      </c>
      <c r="H1671" s="17" t="str">
        <f aca="false">IF(F1671="","",G1671-E1671)</f>
        <v/>
      </c>
      <c r="I1671" s="18" t="str">
        <f aca="true">IF(F1671="","",F1671-TODAY())</f>
        <v/>
      </c>
      <c r="J1671" s="19" t="str">
        <f aca="true">IF(F1671="","",IF(TODAY()&lt;D1671,"Başlamadı",IF(TODAY()&gt;F1671,"Bitti",IF(F1671-TODAY()&lt;=7,"Bitiyor","Aktif"))))</f>
        <v/>
      </c>
      <c r="K1671" s="19" t="str">
        <f aca="false">IF(OR(J1671="Aktif",J1671="Bitiyor"),F1671+ROW()/1000000,"")</f>
        <v/>
      </c>
    </row>
    <row r="1672" customFormat="false" ht="15" hidden="false" customHeight="false" outlineLevel="0" collapsed="false">
      <c r="A1672" s="12"/>
      <c r="B1672" s="12"/>
      <c r="C1672" s="13"/>
      <c r="D1672" s="14"/>
      <c r="E1672" s="15"/>
      <c r="F1672" s="16" t="str">
        <f aca="false">IF(OR(C1672="",D1672=""),"",EDATE(D1672,IFERROR(INDEX(Paketler!$B$5:$B$24,MATCH(C1672,Paketler!$A$5:$A$24,0)),0))-1)</f>
        <v/>
      </c>
      <c r="G1672" s="17" t="str">
        <f aca="false">IF(F1672="","",IFERROR(INDEX(Paketler!$C$5:$C$24,MATCH(C1672,Paketler!$A$5:$A$24,0)),0))</f>
        <v/>
      </c>
      <c r="H1672" s="17" t="str">
        <f aca="false">IF(F1672="","",G1672-E1672)</f>
        <v/>
      </c>
      <c r="I1672" s="18" t="str">
        <f aca="true">IF(F1672="","",F1672-TODAY())</f>
        <v/>
      </c>
      <c r="J1672" s="19" t="str">
        <f aca="true">IF(F1672="","",IF(TODAY()&lt;D1672,"Başlamadı",IF(TODAY()&gt;F1672,"Bitti",IF(F1672-TODAY()&lt;=7,"Bitiyor","Aktif"))))</f>
        <v/>
      </c>
      <c r="K1672" s="19" t="str">
        <f aca="false">IF(OR(J1672="Aktif",J1672="Bitiyor"),F1672+ROW()/1000000,"")</f>
        <v/>
      </c>
    </row>
    <row r="1673" customFormat="false" ht="15" hidden="false" customHeight="false" outlineLevel="0" collapsed="false">
      <c r="A1673" s="12"/>
      <c r="B1673" s="12"/>
      <c r="C1673" s="13"/>
      <c r="D1673" s="14"/>
      <c r="E1673" s="15"/>
      <c r="F1673" s="16" t="str">
        <f aca="false">IF(OR(C1673="",D1673=""),"",EDATE(D1673,IFERROR(INDEX(Paketler!$B$5:$B$24,MATCH(C1673,Paketler!$A$5:$A$24,0)),0))-1)</f>
        <v/>
      </c>
      <c r="G1673" s="17" t="str">
        <f aca="false">IF(F1673="","",IFERROR(INDEX(Paketler!$C$5:$C$24,MATCH(C1673,Paketler!$A$5:$A$24,0)),0))</f>
        <v/>
      </c>
      <c r="H1673" s="17" t="str">
        <f aca="false">IF(F1673="","",G1673-E1673)</f>
        <v/>
      </c>
      <c r="I1673" s="18" t="str">
        <f aca="true">IF(F1673="","",F1673-TODAY())</f>
        <v/>
      </c>
      <c r="J1673" s="19" t="str">
        <f aca="true">IF(F1673="","",IF(TODAY()&lt;D1673,"Başlamadı",IF(TODAY()&gt;F1673,"Bitti",IF(F1673-TODAY()&lt;=7,"Bitiyor","Aktif"))))</f>
        <v/>
      </c>
      <c r="K1673" s="19" t="str">
        <f aca="false">IF(OR(J1673="Aktif",J1673="Bitiyor"),F1673+ROW()/1000000,"")</f>
        <v/>
      </c>
    </row>
    <row r="1674" customFormat="false" ht="15" hidden="false" customHeight="false" outlineLevel="0" collapsed="false">
      <c r="A1674" s="12"/>
      <c r="B1674" s="12"/>
      <c r="C1674" s="13"/>
      <c r="D1674" s="14"/>
      <c r="E1674" s="15"/>
      <c r="F1674" s="16" t="str">
        <f aca="false">IF(OR(C1674="",D1674=""),"",EDATE(D1674,IFERROR(INDEX(Paketler!$B$5:$B$24,MATCH(C1674,Paketler!$A$5:$A$24,0)),0))-1)</f>
        <v/>
      </c>
      <c r="G1674" s="17" t="str">
        <f aca="false">IF(F1674="","",IFERROR(INDEX(Paketler!$C$5:$C$24,MATCH(C1674,Paketler!$A$5:$A$24,0)),0))</f>
        <v/>
      </c>
      <c r="H1674" s="17" t="str">
        <f aca="false">IF(F1674="","",G1674-E1674)</f>
        <v/>
      </c>
      <c r="I1674" s="18" t="str">
        <f aca="true">IF(F1674="","",F1674-TODAY())</f>
        <v/>
      </c>
      <c r="J1674" s="19" t="str">
        <f aca="true">IF(F1674="","",IF(TODAY()&lt;D1674,"Başlamadı",IF(TODAY()&gt;F1674,"Bitti",IF(F1674-TODAY()&lt;=7,"Bitiyor","Aktif"))))</f>
        <v/>
      </c>
      <c r="K1674" s="19" t="str">
        <f aca="false">IF(OR(J1674="Aktif",J1674="Bitiyor"),F1674+ROW()/1000000,"")</f>
        <v/>
      </c>
    </row>
    <row r="1675" customFormat="false" ht="15" hidden="false" customHeight="false" outlineLevel="0" collapsed="false">
      <c r="A1675" s="12"/>
      <c r="B1675" s="12"/>
      <c r="C1675" s="13"/>
      <c r="D1675" s="14"/>
      <c r="E1675" s="15"/>
      <c r="F1675" s="16" t="str">
        <f aca="false">IF(OR(C1675="",D1675=""),"",EDATE(D1675,IFERROR(INDEX(Paketler!$B$5:$B$24,MATCH(C1675,Paketler!$A$5:$A$24,0)),0))-1)</f>
        <v/>
      </c>
      <c r="G1675" s="17" t="str">
        <f aca="false">IF(F1675="","",IFERROR(INDEX(Paketler!$C$5:$C$24,MATCH(C1675,Paketler!$A$5:$A$24,0)),0))</f>
        <v/>
      </c>
      <c r="H1675" s="17" t="str">
        <f aca="false">IF(F1675="","",G1675-E1675)</f>
        <v/>
      </c>
      <c r="I1675" s="18" t="str">
        <f aca="true">IF(F1675="","",F1675-TODAY())</f>
        <v/>
      </c>
      <c r="J1675" s="19" t="str">
        <f aca="true">IF(F1675="","",IF(TODAY()&lt;D1675,"Başlamadı",IF(TODAY()&gt;F1675,"Bitti",IF(F1675-TODAY()&lt;=7,"Bitiyor","Aktif"))))</f>
        <v/>
      </c>
      <c r="K1675" s="19" t="str">
        <f aca="false">IF(OR(J1675="Aktif",J1675="Bitiyor"),F1675+ROW()/1000000,"")</f>
        <v/>
      </c>
    </row>
    <row r="1676" customFormat="false" ht="15" hidden="false" customHeight="false" outlineLevel="0" collapsed="false">
      <c r="A1676" s="12"/>
      <c r="B1676" s="12"/>
      <c r="C1676" s="13"/>
      <c r="D1676" s="14"/>
      <c r="E1676" s="15"/>
      <c r="F1676" s="16" t="str">
        <f aca="false">IF(OR(C1676="",D1676=""),"",EDATE(D1676,IFERROR(INDEX(Paketler!$B$5:$B$24,MATCH(C1676,Paketler!$A$5:$A$24,0)),0))-1)</f>
        <v/>
      </c>
      <c r="G1676" s="17" t="str">
        <f aca="false">IF(F1676="","",IFERROR(INDEX(Paketler!$C$5:$C$24,MATCH(C1676,Paketler!$A$5:$A$24,0)),0))</f>
        <v/>
      </c>
      <c r="H1676" s="17" t="str">
        <f aca="false">IF(F1676="","",G1676-E1676)</f>
        <v/>
      </c>
      <c r="I1676" s="18" t="str">
        <f aca="true">IF(F1676="","",F1676-TODAY())</f>
        <v/>
      </c>
      <c r="J1676" s="19" t="str">
        <f aca="true">IF(F1676="","",IF(TODAY()&lt;D1676,"Başlamadı",IF(TODAY()&gt;F1676,"Bitti",IF(F1676-TODAY()&lt;=7,"Bitiyor","Aktif"))))</f>
        <v/>
      </c>
      <c r="K1676" s="19" t="str">
        <f aca="false">IF(OR(J1676="Aktif",J1676="Bitiyor"),F1676+ROW()/1000000,"")</f>
        <v/>
      </c>
    </row>
    <row r="1677" customFormat="false" ht="15" hidden="false" customHeight="false" outlineLevel="0" collapsed="false">
      <c r="A1677" s="12"/>
      <c r="B1677" s="12"/>
      <c r="C1677" s="13"/>
      <c r="D1677" s="14"/>
      <c r="E1677" s="15"/>
      <c r="F1677" s="16" t="str">
        <f aca="false">IF(OR(C1677="",D1677=""),"",EDATE(D1677,IFERROR(INDEX(Paketler!$B$5:$B$24,MATCH(C1677,Paketler!$A$5:$A$24,0)),0))-1)</f>
        <v/>
      </c>
      <c r="G1677" s="17" t="str">
        <f aca="false">IF(F1677="","",IFERROR(INDEX(Paketler!$C$5:$C$24,MATCH(C1677,Paketler!$A$5:$A$24,0)),0))</f>
        <v/>
      </c>
      <c r="H1677" s="17" t="str">
        <f aca="false">IF(F1677="","",G1677-E1677)</f>
        <v/>
      </c>
      <c r="I1677" s="18" t="str">
        <f aca="true">IF(F1677="","",F1677-TODAY())</f>
        <v/>
      </c>
      <c r="J1677" s="19" t="str">
        <f aca="true">IF(F1677="","",IF(TODAY()&lt;D1677,"Başlamadı",IF(TODAY()&gt;F1677,"Bitti",IF(F1677-TODAY()&lt;=7,"Bitiyor","Aktif"))))</f>
        <v/>
      </c>
      <c r="K1677" s="19" t="str">
        <f aca="false">IF(OR(J1677="Aktif",J1677="Bitiyor"),F1677+ROW()/1000000,"")</f>
        <v/>
      </c>
    </row>
    <row r="1678" customFormat="false" ht="15" hidden="false" customHeight="false" outlineLevel="0" collapsed="false">
      <c r="A1678" s="12"/>
      <c r="B1678" s="12"/>
      <c r="C1678" s="13"/>
      <c r="D1678" s="14"/>
      <c r="E1678" s="15"/>
      <c r="F1678" s="16" t="str">
        <f aca="false">IF(OR(C1678="",D1678=""),"",EDATE(D1678,IFERROR(INDEX(Paketler!$B$5:$B$24,MATCH(C1678,Paketler!$A$5:$A$24,0)),0))-1)</f>
        <v/>
      </c>
      <c r="G1678" s="17" t="str">
        <f aca="false">IF(F1678="","",IFERROR(INDEX(Paketler!$C$5:$C$24,MATCH(C1678,Paketler!$A$5:$A$24,0)),0))</f>
        <v/>
      </c>
      <c r="H1678" s="17" t="str">
        <f aca="false">IF(F1678="","",G1678-E1678)</f>
        <v/>
      </c>
      <c r="I1678" s="18" t="str">
        <f aca="true">IF(F1678="","",F1678-TODAY())</f>
        <v/>
      </c>
      <c r="J1678" s="19" t="str">
        <f aca="true">IF(F1678="","",IF(TODAY()&lt;D1678,"Başlamadı",IF(TODAY()&gt;F1678,"Bitti",IF(F1678-TODAY()&lt;=7,"Bitiyor","Aktif"))))</f>
        <v/>
      </c>
      <c r="K1678" s="19" t="str">
        <f aca="false">IF(OR(J1678="Aktif",J1678="Bitiyor"),F1678+ROW()/1000000,"")</f>
        <v/>
      </c>
    </row>
    <row r="1679" customFormat="false" ht="15" hidden="false" customHeight="false" outlineLevel="0" collapsed="false">
      <c r="A1679" s="12"/>
      <c r="B1679" s="12"/>
      <c r="C1679" s="13"/>
      <c r="D1679" s="14"/>
      <c r="E1679" s="15"/>
      <c r="F1679" s="16" t="str">
        <f aca="false">IF(OR(C1679="",D1679=""),"",EDATE(D1679,IFERROR(INDEX(Paketler!$B$5:$B$24,MATCH(C1679,Paketler!$A$5:$A$24,0)),0))-1)</f>
        <v/>
      </c>
      <c r="G1679" s="17" t="str">
        <f aca="false">IF(F1679="","",IFERROR(INDEX(Paketler!$C$5:$C$24,MATCH(C1679,Paketler!$A$5:$A$24,0)),0))</f>
        <v/>
      </c>
      <c r="H1679" s="17" t="str">
        <f aca="false">IF(F1679="","",G1679-E1679)</f>
        <v/>
      </c>
      <c r="I1679" s="18" t="str">
        <f aca="true">IF(F1679="","",F1679-TODAY())</f>
        <v/>
      </c>
      <c r="J1679" s="19" t="str">
        <f aca="true">IF(F1679="","",IF(TODAY()&lt;D1679,"Başlamadı",IF(TODAY()&gt;F1679,"Bitti",IF(F1679-TODAY()&lt;=7,"Bitiyor","Aktif"))))</f>
        <v/>
      </c>
      <c r="K1679" s="19" t="str">
        <f aca="false">IF(OR(J1679="Aktif",J1679="Bitiyor"),F1679+ROW()/1000000,"")</f>
        <v/>
      </c>
    </row>
    <row r="1680" customFormat="false" ht="15" hidden="false" customHeight="false" outlineLevel="0" collapsed="false">
      <c r="A1680" s="12"/>
      <c r="B1680" s="12"/>
      <c r="C1680" s="13"/>
      <c r="D1680" s="14"/>
      <c r="E1680" s="15"/>
      <c r="F1680" s="16" t="str">
        <f aca="false">IF(OR(C1680="",D1680=""),"",EDATE(D1680,IFERROR(INDEX(Paketler!$B$5:$B$24,MATCH(C1680,Paketler!$A$5:$A$24,0)),0))-1)</f>
        <v/>
      </c>
      <c r="G1680" s="17" t="str">
        <f aca="false">IF(F1680="","",IFERROR(INDEX(Paketler!$C$5:$C$24,MATCH(C1680,Paketler!$A$5:$A$24,0)),0))</f>
        <v/>
      </c>
      <c r="H1680" s="17" t="str">
        <f aca="false">IF(F1680="","",G1680-E1680)</f>
        <v/>
      </c>
      <c r="I1680" s="18" t="str">
        <f aca="true">IF(F1680="","",F1680-TODAY())</f>
        <v/>
      </c>
      <c r="J1680" s="19" t="str">
        <f aca="true">IF(F1680="","",IF(TODAY()&lt;D1680,"Başlamadı",IF(TODAY()&gt;F1680,"Bitti",IF(F1680-TODAY()&lt;=7,"Bitiyor","Aktif"))))</f>
        <v/>
      </c>
      <c r="K1680" s="19" t="str">
        <f aca="false">IF(OR(J1680="Aktif",J1680="Bitiyor"),F1680+ROW()/1000000,"")</f>
        <v/>
      </c>
    </row>
    <row r="1681" customFormat="false" ht="15" hidden="false" customHeight="false" outlineLevel="0" collapsed="false">
      <c r="A1681" s="12"/>
      <c r="B1681" s="12"/>
      <c r="C1681" s="13"/>
      <c r="D1681" s="14"/>
      <c r="E1681" s="15"/>
      <c r="F1681" s="16" t="str">
        <f aca="false">IF(OR(C1681="",D1681=""),"",EDATE(D1681,IFERROR(INDEX(Paketler!$B$5:$B$24,MATCH(C1681,Paketler!$A$5:$A$24,0)),0))-1)</f>
        <v/>
      </c>
      <c r="G1681" s="17" t="str">
        <f aca="false">IF(F1681="","",IFERROR(INDEX(Paketler!$C$5:$C$24,MATCH(C1681,Paketler!$A$5:$A$24,0)),0))</f>
        <v/>
      </c>
      <c r="H1681" s="17" t="str">
        <f aca="false">IF(F1681="","",G1681-E1681)</f>
        <v/>
      </c>
      <c r="I1681" s="18" t="str">
        <f aca="true">IF(F1681="","",F1681-TODAY())</f>
        <v/>
      </c>
      <c r="J1681" s="19" t="str">
        <f aca="true">IF(F1681="","",IF(TODAY()&lt;D1681,"Başlamadı",IF(TODAY()&gt;F1681,"Bitti",IF(F1681-TODAY()&lt;=7,"Bitiyor","Aktif"))))</f>
        <v/>
      </c>
      <c r="K1681" s="19" t="str">
        <f aca="false">IF(OR(J1681="Aktif",J1681="Bitiyor"),F1681+ROW()/1000000,"")</f>
        <v/>
      </c>
    </row>
    <row r="1682" customFormat="false" ht="15" hidden="false" customHeight="false" outlineLevel="0" collapsed="false">
      <c r="A1682" s="12"/>
      <c r="B1682" s="12"/>
      <c r="C1682" s="13"/>
      <c r="D1682" s="14"/>
      <c r="E1682" s="15"/>
      <c r="F1682" s="16" t="str">
        <f aca="false">IF(OR(C1682="",D1682=""),"",EDATE(D1682,IFERROR(INDEX(Paketler!$B$5:$B$24,MATCH(C1682,Paketler!$A$5:$A$24,0)),0))-1)</f>
        <v/>
      </c>
      <c r="G1682" s="17" t="str">
        <f aca="false">IF(F1682="","",IFERROR(INDEX(Paketler!$C$5:$C$24,MATCH(C1682,Paketler!$A$5:$A$24,0)),0))</f>
        <v/>
      </c>
      <c r="H1682" s="17" t="str">
        <f aca="false">IF(F1682="","",G1682-E1682)</f>
        <v/>
      </c>
      <c r="I1682" s="18" t="str">
        <f aca="true">IF(F1682="","",F1682-TODAY())</f>
        <v/>
      </c>
      <c r="J1682" s="19" t="str">
        <f aca="true">IF(F1682="","",IF(TODAY()&lt;D1682,"Başlamadı",IF(TODAY()&gt;F1682,"Bitti",IF(F1682-TODAY()&lt;=7,"Bitiyor","Aktif"))))</f>
        <v/>
      </c>
      <c r="K1682" s="19" t="str">
        <f aca="false">IF(OR(J1682="Aktif",J1682="Bitiyor"),F1682+ROW()/1000000,"")</f>
        <v/>
      </c>
    </row>
    <row r="1683" customFormat="false" ht="15" hidden="false" customHeight="false" outlineLevel="0" collapsed="false">
      <c r="A1683" s="12"/>
      <c r="B1683" s="12"/>
      <c r="C1683" s="13"/>
      <c r="D1683" s="14"/>
      <c r="E1683" s="15"/>
      <c r="F1683" s="16" t="str">
        <f aca="false">IF(OR(C1683="",D1683=""),"",EDATE(D1683,IFERROR(INDEX(Paketler!$B$5:$B$24,MATCH(C1683,Paketler!$A$5:$A$24,0)),0))-1)</f>
        <v/>
      </c>
      <c r="G1683" s="17" t="str">
        <f aca="false">IF(F1683="","",IFERROR(INDEX(Paketler!$C$5:$C$24,MATCH(C1683,Paketler!$A$5:$A$24,0)),0))</f>
        <v/>
      </c>
      <c r="H1683" s="17" t="str">
        <f aca="false">IF(F1683="","",G1683-E1683)</f>
        <v/>
      </c>
      <c r="I1683" s="18" t="str">
        <f aca="true">IF(F1683="","",F1683-TODAY())</f>
        <v/>
      </c>
      <c r="J1683" s="19" t="str">
        <f aca="true">IF(F1683="","",IF(TODAY()&lt;D1683,"Başlamadı",IF(TODAY()&gt;F1683,"Bitti",IF(F1683-TODAY()&lt;=7,"Bitiyor","Aktif"))))</f>
        <v/>
      </c>
      <c r="K1683" s="19" t="str">
        <f aca="false">IF(OR(J1683="Aktif",J1683="Bitiyor"),F1683+ROW()/1000000,"")</f>
        <v/>
      </c>
    </row>
    <row r="1684" customFormat="false" ht="15" hidden="false" customHeight="false" outlineLevel="0" collapsed="false">
      <c r="A1684" s="12"/>
      <c r="B1684" s="12"/>
      <c r="C1684" s="13"/>
      <c r="D1684" s="14"/>
      <c r="E1684" s="15"/>
      <c r="F1684" s="16" t="str">
        <f aca="false">IF(OR(C1684="",D1684=""),"",EDATE(D1684,IFERROR(INDEX(Paketler!$B$5:$B$24,MATCH(C1684,Paketler!$A$5:$A$24,0)),0))-1)</f>
        <v/>
      </c>
      <c r="G1684" s="17" t="str">
        <f aca="false">IF(F1684="","",IFERROR(INDEX(Paketler!$C$5:$C$24,MATCH(C1684,Paketler!$A$5:$A$24,0)),0))</f>
        <v/>
      </c>
      <c r="H1684" s="17" t="str">
        <f aca="false">IF(F1684="","",G1684-E1684)</f>
        <v/>
      </c>
      <c r="I1684" s="18" t="str">
        <f aca="true">IF(F1684="","",F1684-TODAY())</f>
        <v/>
      </c>
      <c r="J1684" s="19" t="str">
        <f aca="true">IF(F1684="","",IF(TODAY()&lt;D1684,"Başlamadı",IF(TODAY()&gt;F1684,"Bitti",IF(F1684-TODAY()&lt;=7,"Bitiyor","Aktif"))))</f>
        <v/>
      </c>
      <c r="K1684" s="19" t="str">
        <f aca="false">IF(OR(J1684="Aktif",J1684="Bitiyor"),F1684+ROW()/1000000,"")</f>
        <v/>
      </c>
    </row>
    <row r="1685" customFormat="false" ht="15" hidden="false" customHeight="false" outlineLevel="0" collapsed="false">
      <c r="A1685" s="12"/>
      <c r="B1685" s="12"/>
      <c r="C1685" s="13"/>
      <c r="D1685" s="14"/>
      <c r="E1685" s="15"/>
      <c r="F1685" s="16" t="str">
        <f aca="false">IF(OR(C1685="",D1685=""),"",EDATE(D1685,IFERROR(INDEX(Paketler!$B$5:$B$24,MATCH(C1685,Paketler!$A$5:$A$24,0)),0))-1)</f>
        <v/>
      </c>
      <c r="G1685" s="17" t="str">
        <f aca="false">IF(F1685="","",IFERROR(INDEX(Paketler!$C$5:$C$24,MATCH(C1685,Paketler!$A$5:$A$24,0)),0))</f>
        <v/>
      </c>
      <c r="H1685" s="17" t="str">
        <f aca="false">IF(F1685="","",G1685-E1685)</f>
        <v/>
      </c>
      <c r="I1685" s="18" t="str">
        <f aca="true">IF(F1685="","",F1685-TODAY())</f>
        <v/>
      </c>
      <c r="J1685" s="19" t="str">
        <f aca="true">IF(F1685="","",IF(TODAY()&lt;D1685,"Başlamadı",IF(TODAY()&gt;F1685,"Bitti",IF(F1685-TODAY()&lt;=7,"Bitiyor","Aktif"))))</f>
        <v/>
      </c>
      <c r="K1685" s="19" t="str">
        <f aca="false">IF(OR(J1685="Aktif",J1685="Bitiyor"),F1685+ROW()/1000000,"")</f>
        <v/>
      </c>
    </row>
    <row r="1686" customFormat="false" ht="15" hidden="false" customHeight="false" outlineLevel="0" collapsed="false">
      <c r="A1686" s="12"/>
      <c r="B1686" s="12"/>
      <c r="C1686" s="13"/>
      <c r="D1686" s="14"/>
      <c r="E1686" s="15"/>
      <c r="F1686" s="16" t="str">
        <f aca="false">IF(OR(C1686="",D1686=""),"",EDATE(D1686,IFERROR(INDEX(Paketler!$B$5:$B$24,MATCH(C1686,Paketler!$A$5:$A$24,0)),0))-1)</f>
        <v/>
      </c>
      <c r="G1686" s="17" t="str">
        <f aca="false">IF(F1686="","",IFERROR(INDEX(Paketler!$C$5:$C$24,MATCH(C1686,Paketler!$A$5:$A$24,0)),0))</f>
        <v/>
      </c>
      <c r="H1686" s="17" t="str">
        <f aca="false">IF(F1686="","",G1686-E1686)</f>
        <v/>
      </c>
      <c r="I1686" s="18" t="str">
        <f aca="true">IF(F1686="","",F1686-TODAY())</f>
        <v/>
      </c>
      <c r="J1686" s="19" t="str">
        <f aca="true">IF(F1686="","",IF(TODAY()&lt;D1686,"Başlamadı",IF(TODAY()&gt;F1686,"Bitti",IF(F1686-TODAY()&lt;=7,"Bitiyor","Aktif"))))</f>
        <v/>
      </c>
      <c r="K1686" s="19" t="str">
        <f aca="false">IF(OR(J1686="Aktif",J1686="Bitiyor"),F1686+ROW()/1000000,"")</f>
        <v/>
      </c>
    </row>
    <row r="1687" customFormat="false" ht="15" hidden="false" customHeight="false" outlineLevel="0" collapsed="false">
      <c r="A1687" s="12"/>
      <c r="B1687" s="12"/>
      <c r="C1687" s="13"/>
      <c r="D1687" s="14"/>
      <c r="E1687" s="15"/>
      <c r="F1687" s="16" t="str">
        <f aca="false">IF(OR(C1687="",D1687=""),"",EDATE(D1687,IFERROR(INDEX(Paketler!$B$5:$B$24,MATCH(C1687,Paketler!$A$5:$A$24,0)),0))-1)</f>
        <v/>
      </c>
      <c r="G1687" s="17" t="str">
        <f aca="false">IF(F1687="","",IFERROR(INDEX(Paketler!$C$5:$C$24,MATCH(C1687,Paketler!$A$5:$A$24,0)),0))</f>
        <v/>
      </c>
      <c r="H1687" s="17" t="str">
        <f aca="false">IF(F1687="","",G1687-E1687)</f>
        <v/>
      </c>
      <c r="I1687" s="18" t="str">
        <f aca="true">IF(F1687="","",F1687-TODAY())</f>
        <v/>
      </c>
      <c r="J1687" s="19" t="str">
        <f aca="true">IF(F1687="","",IF(TODAY()&lt;D1687,"Başlamadı",IF(TODAY()&gt;F1687,"Bitti",IF(F1687-TODAY()&lt;=7,"Bitiyor","Aktif"))))</f>
        <v/>
      </c>
      <c r="K1687" s="19" t="str">
        <f aca="false">IF(OR(J1687="Aktif",J1687="Bitiyor"),F1687+ROW()/1000000,"")</f>
        <v/>
      </c>
    </row>
    <row r="1688" customFormat="false" ht="15" hidden="false" customHeight="false" outlineLevel="0" collapsed="false">
      <c r="A1688" s="12"/>
      <c r="B1688" s="12"/>
      <c r="C1688" s="13"/>
      <c r="D1688" s="14"/>
      <c r="E1688" s="15"/>
      <c r="F1688" s="16" t="str">
        <f aca="false">IF(OR(C1688="",D1688=""),"",EDATE(D1688,IFERROR(INDEX(Paketler!$B$5:$B$24,MATCH(C1688,Paketler!$A$5:$A$24,0)),0))-1)</f>
        <v/>
      </c>
      <c r="G1688" s="17" t="str">
        <f aca="false">IF(F1688="","",IFERROR(INDEX(Paketler!$C$5:$C$24,MATCH(C1688,Paketler!$A$5:$A$24,0)),0))</f>
        <v/>
      </c>
      <c r="H1688" s="17" t="str">
        <f aca="false">IF(F1688="","",G1688-E1688)</f>
        <v/>
      </c>
      <c r="I1688" s="18" t="str">
        <f aca="true">IF(F1688="","",F1688-TODAY())</f>
        <v/>
      </c>
      <c r="J1688" s="19" t="str">
        <f aca="true">IF(F1688="","",IF(TODAY()&lt;D1688,"Başlamadı",IF(TODAY()&gt;F1688,"Bitti",IF(F1688-TODAY()&lt;=7,"Bitiyor","Aktif"))))</f>
        <v/>
      </c>
      <c r="K1688" s="19" t="str">
        <f aca="false">IF(OR(J1688="Aktif",J1688="Bitiyor"),F1688+ROW()/1000000,"")</f>
        <v/>
      </c>
    </row>
    <row r="1689" customFormat="false" ht="15" hidden="false" customHeight="false" outlineLevel="0" collapsed="false">
      <c r="A1689" s="12"/>
      <c r="B1689" s="12"/>
      <c r="C1689" s="13"/>
      <c r="D1689" s="14"/>
      <c r="E1689" s="15"/>
      <c r="F1689" s="16" t="str">
        <f aca="false">IF(OR(C1689="",D1689=""),"",EDATE(D1689,IFERROR(INDEX(Paketler!$B$5:$B$24,MATCH(C1689,Paketler!$A$5:$A$24,0)),0))-1)</f>
        <v/>
      </c>
      <c r="G1689" s="17" t="str">
        <f aca="false">IF(F1689="","",IFERROR(INDEX(Paketler!$C$5:$C$24,MATCH(C1689,Paketler!$A$5:$A$24,0)),0))</f>
        <v/>
      </c>
      <c r="H1689" s="17" t="str">
        <f aca="false">IF(F1689="","",G1689-E1689)</f>
        <v/>
      </c>
      <c r="I1689" s="18" t="str">
        <f aca="true">IF(F1689="","",F1689-TODAY())</f>
        <v/>
      </c>
      <c r="J1689" s="19" t="str">
        <f aca="true">IF(F1689="","",IF(TODAY()&lt;D1689,"Başlamadı",IF(TODAY()&gt;F1689,"Bitti",IF(F1689-TODAY()&lt;=7,"Bitiyor","Aktif"))))</f>
        <v/>
      </c>
      <c r="K1689" s="19" t="str">
        <f aca="false">IF(OR(J1689="Aktif",J1689="Bitiyor"),F1689+ROW()/1000000,"")</f>
        <v/>
      </c>
    </row>
    <row r="1690" customFormat="false" ht="15" hidden="false" customHeight="false" outlineLevel="0" collapsed="false">
      <c r="A1690" s="12"/>
      <c r="B1690" s="12"/>
      <c r="C1690" s="13"/>
      <c r="D1690" s="14"/>
      <c r="E1690" s="15"/>
      <c r="F1690" s="16" t="str">
        <f aca="false">IF(OR(C1690="",D1690=""),"",EDATE(D1690,IFERROR(INDEX(Paketler!$B$5:$B$24,MATCH(C1690,Paketler!$A$5:$A$24,0)),0))-1)</f>
        <v/>
      </c>
      <c r="G1690" s="17" t="str">
        <f aca="false">IF(F1690="","",IFERROR(INDEX(Paketler!$C$5:$C$24,MATCH(C1690,Paketler!$A$5:$A$24,0)),0))</f>
        <v/>
      </c>
      <c r="H1690" s="17" t="str">
        <f aca="false">IF(F1690="","",G1690-E1690)</f>
        <v/>
      </c>
      <c r="I1690" s="18" t="str">
        <f aca="true">IF(F1690="","",F1690-TODAY())</f>
        <v/>
      </c>
      <c r="J1690" s="19" t="str">
        <f aca="true">IF(F1690="","",IF(TODAY()&lt;D1690,"Başlamadı",IF(TODAY()&gt;F1690,"Bitti",IF(F1690-TODAY()&lt;=7,"Bitiyor","Aktif"))))</f>
        <v/>
      </c>
      <c r="K1690" s="19" t="str">
        <f aca="false">IF(OR(J1690="Aktif",J1690="Bitiyor"),F1690+ROW()/1000000,"")</f>
        <v/>
      </c>
    </row>
    <row r="1691" customFormat="false" ht="15" hidden="false" customHeight="false" outlineLevel="0" collapsed="false">
      <c r="A1691" s="12"/>
      <c r="B1691" s="12"/>
      <c r="C1691" s="13"/>
      <c r="D1691" s="14"/>
      <c r="E1691" s="15"/>
      <c r="F1691" s="16" t="str">
        <f aca="false">IF(OR(C1691="",D1691=""),"",EDATE(D1691,IFERROR(INDEX(Paketler!$B$5:$B$24,MATCH(C1691,Paketler!$A$5:$A$24,0)),0))-1)</f>
        <v/>
      </c>
      <c r="G1691" s="17" t="str">
        <f aca="false">IF(F1691="","",IFERROR(INDEX(Paketler!$C$5:$C$24,MATCH(C1691,Paketler!$A$5:$A$24,0)),0))</f>
        <v/>
      </c>
      <c r="H1691" s="17" t="str">
        <f aca="false">IF(F1691="","",G1691-E1691)</f>
        <v/>
      </c>
      <c r="I1691" s="18" t="str">
        <f aca="true">IF(F1691="","",F1691-TODAY())</f>
        <v/>
      </c>
      <c r="J1691" s="19" t="str">
        <f aca="true">IF(F1691="","",IF(TODAY()&lt;D1691,"Başlamadı",IF(TODAY()&gt;F1691,"Bitti",IF(F1691-TODAY()&lt;=7,"Bitiyor","Aktif"))))</f>
        <v/>
      </c>
      <c r="K1691" s="19" t="str">
        <f aca="false">IF(OR(J1691="Aktif",J1691="Bitiyor"),F1691+ROW()/1000000,"")</f>
        <v/>
      </c>
    </row>
    <row r="1692" customFormat="false" ht="15" hidden="false" customHeight="false" outlineLevel="0" collapsed="false">
      <c r="A1692" s="12"/>
      <c r="B1692" s="12"/>
      <c r="C1692" s="13"/>
      <c r="D1692" s="14"/>
      <c r="E1692" s="15"/>
      <c r="F1692" s="16" t="str">
        <f aca="false">IF(OR(C1692="",D1692=""),"",EDATE(D1692,IFERROR(INDEX(Paketler!$B$5:$B$24,MATCH(C1692,Paketler!$A$5:$A$24,0)),0))-1)</f>
        <v/>
      </c>
      <c r="G1692" s="17" t="str">
        <f aca="false">IF(F1692="","",IFERROR(INDEX(Paketler!$C$5:$C$24,MATCH(C1692,Paketler!$A$5:$A$24,0)),0))</f>
        <v/>
      </c>
      <c r="H1692" s="17" t="str">
        <f aca="false">IF(F1692="","",G1692-E1692)</f>
        <v/>
      </c>
      <c r="I1692" s="18" t="str">
        <f aca="true">IF(F1692="","",F1692-TODAY())</f>
        <v/>
      </c>
      <c r="J1692" s="19" t="str">
        <f aca="true">IF(F1692="","",IF(TODAY()&lt;D1692,"Başlamadı",IF(TODAY()&gt;F1692,"Bitti",IF(F1692-TODAY()&lt;=7,"Bitiyor","Aktif"))))</f>
        <v/>
      </c>
      <c r="K1692" s="19" t="str">
        <f aca="false">IF(OR(J1692="Aktif",J1692="Bitiyor"),F1692+ROW()/1000000,"")</f>
        <v/>
      </c>
    </row>
    <row r="1693" customFormat="false" ht="15" hidden="false" customHeight="false" outlineLevel="0" collapsed="false">
      <c r="A1693" s="12"/>
      <c r="B1693" s="12"/>
      <c r="C1693" s="13"/>
      <c r="D1693" s="14"/>
      <c r="E1693" s="15"/>
      <c r="F1693" s="16" t="str">
        <f aca="false">IF(OR(C1693="",D1693=""),"",EDATE(D1693,IFERROR(INDEX(Paketler!$B$5:$B$24,MATCH(C1693,Paketler!$A$5:$A$24,0)),0))-1)</f>
        <v/>
      </c>
      <c r="G1693" s="17" t="str">
        <f aca="false">IF(F1693="","",IFERROR(INDEX(Paketler!$C$5:$C$24,MATCH(C1693,Paketler!$A$5:$A$24,0)),0))</f>
        <v/>
      </c>
      <c r="H1693" s="17" t="str">
        <f aca="false">IF(F1693="","",G1693-E1693)</f>
        <v/>
      </c>
      <c r="I1693" s="18" t="str">
        <f aca="true">IF(F1693="","",F1693-TODAY())</f>
        <v/>
      </c>
      <c r="J1693" s="19" t="str">
        <f aca="true">IF(F1693="","",IF(TODAY()&lt;D1693,"Başlamadı",IF(TODAY()&gt;F1693,"Bitti",IF(F1693-TODAY()&lt;=7,"Bitiyor","Aktif"))))</f>
        <v/>
      </c>
      <c r="K1693" s="19" t="str">
        <f aca="false">IF(OR(J1693="Aktif",J1693="Bitiyor"),F1693+ROW()/1000000,"")</f>
        <v/>
      </c>
    </row>
    <row r="1694" customFormat="false" ht="15" hidden="false" customHeight="false" outlineLevel="0" collapsed="false">
      <c r="A1694" s="12"/>
      <c r="B1694" s="12"/>
      <c r="C1694" s="13"/>
      <c r="D1694" s="14"/>
      <c r="E1694" s="15"/>
      <c r="F1694" s="16" t="str">
        <f aca="false">IF(OR(C1694="",D1694=""),"",EDATE(D1694,IFERROR(INDEX(Paketler!$B$5:$B$24,MATCH(C1694,Paketler!$A$5:$A$24,0)),0))-1)</f>
        <v/>
      </c>
      <c r="G1694" s="17" t="str">
        <f aca="false">IF(F1694="","",IFERROR(INDEX(Paketler!$C$5:$C$24,MATCH(C1694,Paketler!$A$5:$A$24,0)),0))</f>
        <v/>
      </c>
      <c r="H1694" s="17" t="str">
        <f aca="false">IF(F1694="","",G1694-E1694)</f>
        <v/>
      </c>
      <c r="I1694" s="18" t="str">
        <f aca="true">IF(F1694="","",F1694-TODAY())</f>
        <v/>
      </c>
      <c r="J1694" s="19" t="str">
        <f aca="true">IF(F1694="","",IF(TODAY()&lt;D1694,"Başlamadı",IF(TODAY()&gt;F1694,"Bitti",IF(F1694-TODAY()&lt;=7,"Bitiyor","Aktif"))))</f>
        <v/>
      </c>
      <c r="K1694" s="19" t="str">
        <f aca="false">IF(OR(J1694="Aktif",J1694="Bitiyor"),F1694+ROW()/1000000,"")</f>
        <v/>
      </c>
    </row>
    <row r="1695" customFormat="false" ht="15" hidden="false" customHeight="false" outlineLevel="0" collapsed="false">
      <c r="A1695" s="12"/>
      <c r="B1695" s="12"/>
      <c r="C1695" s="13"/>
      <c r="D1695" s="14"/>
      <c r="E1695" s="15"/>
      <c r="F1695" s="16" t="str">
        <f aca="false">IF(OR(C1695="",D1695=""),"",EDATE(D1695,IFERROR(INDEX(Paketler!$B$5:$B$24,MATCH(C1695,Paketler!$A$5:$A$24,0)),0))-1)</f>
        <v/>
      </c>
      <c r="G1695" s="17" t="str">
        <f aca="false">IF(F1695="","",IFERROR(INDEX(Paketler!$C$5:$C$24,MATCH(C1695,Paketler!$A$5:$A$24,0)),0))</f>
        <v/>
      </c>
      <c r="H1695" s="17" t="str">
        <f aca="false">IF(F1695="","",G1695-E1695)</f>
        <v/>
      </c>
      <c r="I1695" s="18" t="str">
        <f aca="true">IF(F1695="","",F1695-TODAY())</f>
        <v/>
      </c>
      <c r="J1695" s="19" t="str">
        <f aca="true">IF(F1695="","",IF(TODAY()&lt;D1695,"Başlamadı",IF(TODAY()&gt;F1695,"Bitti",IF(F1695-TODAY()&lt;=7,"Bitiyor","Aktif"))))</f>
        <v/>
      </c>
      <c r="K1695" s="19" t="str">
        <f aca="false">IF(OR(J1695="Aktif",J1695="Bitiyor"),F1695+ROW()/1000000,"")</f>
        <v/>
      </c>
    </row>
    <row r="1696" customFormat="false" ht="15" hidden="false" customHeight="false" outlineLevel="0" collapsed="false">
      <c r="A1696" s="12"/>
      <c r="B1696" s="12"/>
      <c r="C1696" s="13"/>
      <c r="D1696" s="14"/>
      <c r="E1696" s="15"/>
      <c r="F1696" s="16" t="str">
        <f aca="false">IF(OR(C1696="",D1696=""),"",EDATE(D1696,IFERROR(INDEX(Paketler!$B$5:$B$24,MATCH(C1696,Paketler!$A$5:$A$24,0)),0))-1)</f>
        <v/>
      </c>
      <c r="G1696" s="17" t="str">
        <f aca="false">IF(F1696="","",IFERROR(INDEX(Paketler!$C$5:$C$24,MATCH(C1696,Paketler!$A$5:$A$24,0)),0))</f>
        <v/>
      </c>
      <c r="H1696" s="17" t="str">
        <f aca="false">IF(F1696="","",G1696-E1696)</f>
        <v/>
      </c>
      <c r="I1696" s="18" t="str">
        <f aca="true">IF(F1696="","",F1696-TODAY())</f>
        <v/>
      </c>
      <c r="J1696" s="19" t="str">
        <f aca="true">IF(F1696="","",IF(TODAY()&lt;D1696,"Başlamadı",IF(TODAY()&gt;F1696,"Bitti",IF(F1696-TODAY()&lt;=7,"Bitiyor","Aktif"))))</f>
        <v/>
      </c>
      <c r="K1696" s="19" t="str">
        <f aca="false">IF(OR(J1696="Aktif",J1696="Bitiyor"),F1696+ROW()/1000000,"")</f>
        <v/>
      </c>
    </row>
    <row r="1697" customFormat="false" ht="15" hidden="false" customHeight="false" outlineLevel="0" collapsed="false">
      <c r="A1697" s="12"/>
      <c r="B1697" s="12"/>
      <c r="C1697" s="13"/>
      <c r="D1697" s="14"/>
      <c r="E1697" s="15"/>
      <c r="F1697" s="16" t="str">
        <f aca="false">IF(OR(C1697="",D1697=""),"",EDATE(D1697,IFERROR(INDEX(Paketler!$B$5:$B$24,MATCH(C1697,Paketler!$A$5:$A$24,0)),0))-1)</f>
        <v/>
      </c>
      <c r="G1697" s="17" t="str">
        <f aca="false">IF(F1697="","",IFERROR(INDEX(Paketler!$C$5:$C$24,MATCH(C1697,Paketler!$A$5:$A$24,0)),0))</f>
        <v/>
      </c>
      <c r="H1697" s="17" t="str">
        <f aca="false">IF(F1697="","",G1697-E1697)</f>
        <v/>
      </c>
      <c r="I1697" s="18" t="str">
        <f aca="true">IF(F1697="","",F1697-TODAY())</f>
        <v/>
      </c>
      <c r="J1697" s="19" t="str">
        <f aca="true">IF(F1697="","",IF(TODAY()&lt;D1697,"Başlamadı",IF(TODAY()&gt;F1697,"Bitti",IF(F1697-TODAY()&lt;=7,"Bitiyor","Aktif"))))</f>
        <v/>
      </c>
      <c r="K1697" s="19" t="str">
        <f aca="false">IF(OR(J1697="Aktif",J1697="Bitiyor"),F1697+ROW()/1000000,"")</f>
        <v/>
      </c>
    </row>
    <row r="1698" customFormat="false" ht="15" hidden="false" customHeight="false" outlineLevel="0" collapsed="false">
      <c r="A1698" s="12"/>
      <c r="B1698" s="12"/>
      <c r="C1698" s="13"/>
      <c r="D1698" s="14"/>
      <c r="E1698" s="15"/>
      <c r="F1698" s="16" t="str">
        <f aca="false">IF(OR(C1698="",D1698=""),"",EDATE(D1698,IFERROR(INDEX(Paketler!$B$5:$B$24,MATCH(C1698,Paketler!$A$5:$A$24,0)),0))-1)</f>
        <v/>
      </c>
      <c r="G1698" s="17" t="str">
        <f aca="false">IF(F1698="","",IFERROR(INDEX(Paketler!$C$5:$C$24,MATCH(C1698,Paketler!$A$5:$A$24,0)),0))</f>
        <v/>
      </c>
      <c r="H1698" s="17" t="str">
        <f aca="false">IF(F1698="","",G1698-E1698)</f>
        <v/>
      </c>
      <c r="I1698" s="18" t="str">
        <f aca="true">IF(F1698="","",F1698-TODAY())</f>
        <v/>
      </c>
      <c r="J1698" s="19" t="str">
        <f aca="true">IF(F1698="","",IF(TODAY()&lt;D1698,"Başlamadı",IF(TODAY()&gt;F1698,"Bitti",IF(F1698-TODAY()&lt;=7,"Bitiyor","Aktif"))))</f>
        <v/>
      </c>
      <c r="K1698" s="19" t="str">
        <f aca="false">IF(OR(J1698="Aktif",J1698="Bitiyor"),F1698+ROW()/1000000,"")</f>
        <v/>
      </c>
    </row>
    <row r="1699" customFormat="false" ht="15" hidden="false" customHeight="false" outlineLevel="0" collapsed="false">
      <c r="A1699" s="12"/>
      <c r="B1699" s="12"/>
      <c r="C1699" s="13"/>
      <c r="D1699" s="14"/>
      <c r="E1699" s="15"/>
      <c r="F1699" s="16" t="str">
        <f aca="false">IF(OR(C1699="",D1699=""),"",EDATE(D1699,IFERROR(INDEX(Paketler!$B$5:$B$24,MATCH(C1699,Paketler!$A$5:$A$24,0)),0))-1)</f>
        <v/>
      </c>
      <c r="G1699" s="17" t="str">
        <f aca="false">IF(F1699="","",IFERROR(INDEX(Paketler!$C$5:$C$24,MATCH(C1699,Paketler!$A$5:$A$24,0)),0))</f>
        <v/>
      </c>
      <c r="H1699" s="17" t="str">
        <f aca="false">IF(F1699="","",G1699-E1699)</f>
        <v/>
      </c>
      <c r="I1699" s="18" t="str">
        <f aca="true">IF(F1699="","",F1699-TODAY())</f>
        <v/>
      </c>
      <c r="J1699" s="19" t="str">
        <f aca="true">IF(F1699="","",IF(TODAY()&lt;D1699,"Başlamadı",IF(TODAY()&gt;F1699,"Bitti",IF(F1699-TODAY()&lt;=7,"Bitiyor","Aktif"))))</f>
        <v/>
      </c>
      <c r="K1699" s="19" t="str">
        <f aca="false">IF(OR(J1699="Aktif",J1699="Bitiyor"),F1699+ROW()/1000000,"")</f>
        <v/>
      </c>
    </row>
    <row r="1700" customFormat="false" ht="15" hidden="false" customHeight="false" outlineLevel="0" collapsed="false">
      <c r="A1700" s="12"/>
      <c r="B1700" s="12"/>
      <c r="C1700" s="13"/>
      <c r="D1700" s="14"/>
      <c r="E1700" s="15"/>
      <c r="F1700" s="16" t="str">
        <f aca="false">IF(OR(C1700="",D1700=""),"",EDATE(D1700,IFERROR(INDEX(Paketler!$B$5:$B$24,MATCH(C1700,Paketler!$A$5:$A$24,0)),0))-1)</f>
        <v/>
      </c>
      <c r="G1700" s="17" t="str">
        <f aca="false">IF(F1700="","",IFERROR(INDEX(Paketler!$C$5:$C$24,MATCH(C1700,Paketler!$A$5:$A$24,0)),0))</f>
        <v/>
      </c>
      <c r="H1700" s="17" t="str">
        <f aca="false">IF(F1700="","",G1700-E1700)</f>
        <v/>
      </c>
      <c r="I1700" s="18" t="str">
        <f aca="true">IF(F1700="","",F1700-TODAY())</f>
        <v/>
      </c>
      <c r="J1700" s="19" t="str">
        <f aca="true">IF(F1700="","",IF(TODAY()&lt;D1700,"Başlamadı",IF(TODAY()&gt;F1700,"Bitti",IF(F1700-TODAY()&lt;=7,"Bitiyor","Aktif"))))</f>
        <v/>
      </c>
      <c r="K1700" s="19" t="str">
        <f aca="false">IF(OR(J1700="Aktif",J1700="Bitiyor"),F1700+ROW()/1000000,"")</f>
        <v/>
      </c>
    </row>
    <row r="1701" customFormat="false" ht="15" hidden="false" customHeight="false" outlineLevel="0" collapsed="false">
      <c r="A1701" s="12"/>
      <c r="B1701" s="12"/>
      <c r="C1701" s="13"/>
      <c r="D1701" s="14"/>
      <c r="E1701" s="15"/>
      <c r="F1701" s="16" t="str">
        <f aca="false">IF(OR(C1701="",D1701=""),"",EDATE(D1701,IFERROR(INDEX(Paketler!$B$5:$B$24,MATCH(C1701,Paketler!$A$5:$A$24,0)),0))-1)</f>
        <v/>
      </c>
      <c r="G1701" s="17" t="str">
        <f aca="false">IF(F1701="","",IFERROR(INDEX(Paketler!$C$5:$C$24,MATCH(C1701,Paketler!$A$5:$A$24,0)),0))</f>
        <v/>
      </c>
      <c r="H1701" s="17" t="str">
        <f aca="false">IF(F1701="","",G1701-E1701)</f>
        <v/>
      </c>
      <c r="I1701" s="18" t="str">
        <f aca="true">IF(F1701="","",F1701-TODAY())</f>
        <v/>
      </c>
      <c r="J1701" s="19" t="str">
        <f aca="true">IF(F1701="","",IF(TODAY()&lt;D1701,"Başlamadı",IF(TODAY()&gt;F1701,"Bitti",IF(F1701-TODAY()&lt;=7,"Bitiyor","Aktif"))))</f>
        <v/>
      </c>
      <c r="K1701" s="19" t="str">
        <f aca="false">IF(OR(J1701="Aktif",J1701="Bitiyor"),F1701+ROW()/1000000,"")</f>
        <v/>
      </c>
    </row>
    <row r="1702" customFormat="false" ht="15" hidden="false" customHeight="false" outlineLevel="0" collapsed="false">
      <c r="A1702" s="12"/>
      <c r="B1702" s="12"/>
      <c r="C1702" s="13"/>
      <c r="D1702" s="14"/>
      <c r="E1702" s="15"/>
      <c r="F1702" s="16" t="str">
        <f aca="false">IF(OR(C1702="",D1702=""),"",EDATE(D1702,IFERROR(INDEX(Paketler!$B$5:$B$24,MATCH(C1702,Paketler!$A$5:$A$24,0)),0))-1)</f>
        <v/>
      </c>
      <c r="G1702" s="17" t="str">
        <f aca="false">IF(F1702="","",IFERROR(INDEX(Paketler!$C$5:$C$24,MATCH(C1702,Paketler!$A$5:$A$24,0)),0))</f>
        <v/>
      </c>
      <c r="H1702" s="17" t="str">
        <f aca="false">IF(F1702="","",G1702-E1702)</f>
        <v/>
      </c>
      <c r="I1702" s="18" t="str">
        <f aca="true">IF(F1702="","",F1702-TODAY())</f>
        <v/>
      </c>
      <c r="J1702" s="19" t="str">
        <f aca="true">IF(F1702="","",IF(TODAY()&lt;D1702,"Başlamadı",IF(TODAY()&gt;F1702,"Bitti",IF(F1702-TODAY()&lt;=7,"Bitiyor","Aktif"))))</f>
        <v/>
      </c>
      <c r="K1702" s="19" t="str">
        <f aca="false">IF(OR(J1702="Aktif",J1702="Bitiyor"),F1702+ROW()/1000000,"")</f>
        <v/>
      </c>
    </row>
    <row r="1703" customFormat="false" ht="15" hidden="false" customHeight="false" outlineLevel="0" collapsed="false">
      <c r="A1703" s="12"/>
      <c r="B1703" s="12"/>
      <c r="C1703" s="13"/>
      <c r="D1703" s="14"/>
      <c r="E1703" s="15"/>
      <c r="F1703" s="16" t="str">
        <f aca="false">IF(OR(C1703="",D1703=""),"",EDATE(D1703,IFERROR(INDEX(Paketler!$B$5:$B$24,MATCH(C1703,Paketler!$A$5:$A$24,0)),0))-1)</f>
        <v/>
      </c>
      <c r="G1703" s="17" t="str">
        <f aca="false">IF(F1703="","",IFERROR(INDEX(Paketler!$C$5:$C$24,MATCH(C1703,Paketler!$A$5:$A$24,0)),0))</f>
        <v/>
      </c>
      <c r="H1703" s="17" t="str">
        <f aca="false">IF(F1703="","",G1703-E1703)</f>
        <v/>
      </c>
      <c r="I1703" s="18" t="str">
        <f aca="true">IF(F1703="","",F1703-TODAY())</f>
        <v/>
      </c>
      <c r="J1703" s="19" t="str">
        <f aca="true">IF(F1703="","",IF(TODAY()&lt;D1703,"Başlamadı",IF(TODAY()&gt;F1703,"Bitti",IF(F1703-TODAY()&lt;=7,"Bitiyor","Aktif"))))</f>
        <v/>
      </c>
      <c r="K1703" s="19" t="str">
        <f aca="false">IF(OR(J1703="Aktif",J1703="Bitiyor"),F1703+ROW()/1000000,"")</f>
        <v/>
      </c>
    </row>
    <row r="1704" customFormat="false" ht="15" hidden="false" customHeight="false" outlineLevel="0" collapsed="false">
      <c r="A1704" s="12"/>
      <c r="B1704" s="12"/>
      <c r="C1704" s="13"/>
      <c r="D1704" s="14"/>
      <c r="E1704" s="15"/>
      <c r="F1704" s="16" t="str">
        <f aca="false">IF(OR(C1704="",D1704=""),"",EDATE(D1704,IFERROR(INDEX(Paketler!$B$5:$B$24,MATCH(C1704,Paketler!$A$5:$A$24,0)),0))-1)</f>
        <v/>
      </c>
      <c r="G1704" s="17" t="str">
        <f aca="false">IF(F1704="","",IFERROR(INDEX(Paketler!$C$5:$C$24,MATCH(C1704,Paketler!$A$5:$A$24,0)),0))</f>
        <v/>
      </c>
      <c r="H1704" s="17" t="str">
        <f aca="false">IF(F1704="","",G1704-E1704)</f>
        <v/>
      </c>
      <c r="I1704" s="18" t="str">
        <f aca="true">IF(F1704="","",F1704-TODAY())</f>
        <v/>
      </c>
      <c r="J1704" s="19" t="str">
        <f aca="true">IF(F1704="","",IF(TODAY()&lt;D1704,"Başlamadı",IF(TODAY()&gt;F1704,"Bitti",IF(F1704-TODAY()&lt;=7,"Bitiyor","Aktif"))))</f>
        <v/>
      </c>
      <c r="K1704" s="19" t="str">
        <f aca="false">IF(OR(J1704="Aktif",J1704="Bitiyor"),F1704+ROW()/1000000,"")</f>
        <v/>
      </c>
    </row>
    <row r="1705" customFormat="false" ht="15" hidden="false" customHeight="false" outlineLevel="0" collapsed="false">
      <c r="A1705" s="12"/>
      <c r="B1705" s="12"/>
      <c r="C1705" s="13"/>
      <c r="D1705" s="14"/>
      <c r="E1705" s="15"/>
      <c r="F1705" s="16" t="str">
        <f aca="false">IF(OR(C1705="",D1705=""),"",EDATE(D1705,IFERROR(INDEX(Paketler!$B$5:$B$24,MATCH(C1705,Paketler!$A$5:$A$24,0)),0))-1)</f>
        <v/>
      </c>
      <c r="G1705" s="17" t="str">
        <f aca="false">IF(F1705="","",IFERROR(INDEX(Paketler!$C$5:$C$24,MATCH(C1705,Paketler!$A$5:$A$24,0)),0))</f>
        <v/>
      </c>
      <c r="H1705" s="17" t="str">
        <f aca="false">IF(F1705="","",G1705-E1705)</f>
        <v/>
      </c>
      <c r="I1705" s="18" t="str">
        <f aca="true">IF(F1705="","",F1705-TODAY())</f>
        <v/>
      </c>
      <c r="J1705" s="19" t="str">
        <f aca="true">IF(F1705="","",IF(TODAY()&lt;D1705,"Başlamadı",IF(TODAY()&gt;F1705,"Bitti",IF(F1705-TODAY()&lt;=7,"Bitiyor","Aktif"))))</f>
        <v/>
      </c>
      <c r="K1705" s="19" t="str">
        <f aca="false">IF(OR(J1705="Aktif",J1705="Bitiyor"),F1705+ROW()/1000000,"")</f>
        <v/>
      </c>
    </row>
    <row r="1706" customFormat="false" ht="15" hidden="false" customHeight="false" outlineLevel="0" collapsed="false">
      <c r="A1706" s="12"/>
      <c r="B1706" s="12"/>
      <c r="C1706" s="13"/>
      <c r="D1706" s="14"/>
      <c r="E1706" s="15"/>
      <c r="F1706" s="16" t="str">
        <f aca="false">IF(OR(C1706="",D1706=""),"",EDATE(D1706,IFERROR(INDEX(Paketler!$B$5:$B$24,MATCH(C1706,Paketler!$A$5:$A$24,0)),0))-1)</f>
        <v/>
      </c>
      <c r="G1706" s="17" t="str">
        <f aca="false">IF(F1706="","",IFERROR(INDEX(Paketler!$C$5:$C$24,MATCH(C1706,Paketler!$A$5:$A$24,0)),0))</f>
        <v/>
      </c>
      <c r="H1706" s="17" t="str">
        <f aca="false">IF(F1706="","",G1706-E1706)</f>
        <v/>
      </c>
      <c r="I1706" s="18" t="str">
        <f aca="true">IF(F1706="","",F1706-TODAY())</f>
        <v/>
      </c>
      <c r="J1706" s="19" t="str">
        <f aca="true">IF(F1706="","",IF(TODAY()&lt;D1706,"Başlamadı",IF(TODAY()&gt;F1706,"Bitti",IF(F1706-TODAY()&lt;=7,"Bitiyor","Aktif"))))</f>
        <v/>
      </c>
      <c r="K1706" s="19" t="str">
        <f aca="false">IF(OR(J1706="Aktif",J1706="Bitiyor"),F1706+ROW()/1000000,"")</f>
        <v/>
      </c>
    </row>
    <row r="1707" customFormat="false" ht="15" hidden="false" customHeight="false" outlineLevel="0" collapsed="false">
      <c r="A1707" s="12"/>
      <c r="B1707" s="12"/>
      <c r="C1707" s="13"/>
      <c r="D1707" s="14"/>
      <c r="E1707" s="15"/>
      <c r="F1707" s="16" t="str">
        <f aca="false">IF(OR(C1707="",D1707=""),"",EDATE(D1707,IFERROR(INDEX(Paketler!$B$5:$B$24,MATCH(C1707,Paketler!$A$5:$A$24,0)),0))-1)</f>
        <v/>
      </c>
      <c r="G1707" s="17" t="str">
        <f aca="false">IF(F1707="","",IFERROR(INDEX(Paketler!$C$5:$C$24,MATCH(C1707,Paketler!$A$5:$A$24,0)),0))</f>
        <v/>
      </c>
      <c r="H1707" s="17" t="str">
        <f aca="false">IF(F1707="","",G1707-E1707)</f>
        <v/>
      </c>
      <c r="I1707" s="18" t="str">
        <f aca="true">IF(F1707="","",F1707-TODAY())</f>
        <v/>
      </c>
      <c r="J1707" s="19" t="str">
        <f aca="true">IF(F1707="","",IF(TODAY()&lt;D1707,"Başlamadı",IF(TODAY()&gt;F1707,"Bitti",IF(F1707-TODAY()&lt;=7,"Bitiyor","Aktif"))))</f>
        <v/>
      </c>
      <c r="K1707" s="19" t="str">
        <f aca="false">IF(OR(J1707="Aktif",J1707="Bitiyor"),F1707+ROW()/1000000,"")</f>
        <v/>
      </c>
    </row>
    <row r="1708" customFormat="false" ht="15" hidden="false" customHeight="false" outlineLevel="0" collapsed="false">
      <c r="A1708" s="12"/>
      <c r="B1708" s="12"/>
      <c r="C1708" s="13"/>
      <c r="D1708" s="14"/>
      <c r="E1708" s="15"/>
      <c r="F1708" s="16" t="str">
        <f aca="false">IF(OR(C1708="",D1708=""),"",EDATE(D1708,IFERROR(INDEX(Paketler!$B$5:$B$24,MATCH(C1708,Paketler!$A$5:$A$24,0)),0))-1)</f>
        <v/>
      </c>
      <c r="G1708" s="17" t="str">
        <f aca="false">IF(F1708="","",IFERROR(INDEX(Paketler!$C$5:$C$24,MATCH(C1708,Paketler!$A$5:$A$24,0)),0))</f>
        <v/>
      </c>
      <c r="H1708" s="17" t="str">
        <f aca="false">IF(F1708="","",G1708-E1708)</f>
        <v/>
      </c>
      <c r="I1708" s="18" t="str">
        <f aca="true">IF(F1708="","",F1708-TODAY())</f>
        <v/>
      </c>
      <c r="J1708" s="19" t="str">
        <f aca="true">IF(F1708="","",IF(TODAY()&lt;D1708,"Başlamadı",IF(TODAY()&gt;F1708,"Bitti",IF(F1708-TODAY()&lt;=7,"Bitiyor","Aktif"))))</f>
        <v/>
      </c>
      <c r="K1708" s="19" t="str">
        <f aca="false">IF(OR(J1708="Aktif",J1708="Bitiyor"),F1708+ROW()/1000000,"")</f>
        <v/>
      </c>
    </row>
    <row r="1709" customFormat="false" ht="15" hidden="false" customHeight="false" outlineLevel="0" collapsed="false">
      <c r="A1709" s="12"/>
      <c r="B1709" s="12"/>
      <c r="C1709" s="13"/>
      <c r="D1709" s="14"/>
      <c r="E1709" s="15"/>
      <c r="F1709" s="16" t="str">
        <f aca="false">IF(OR(C1709="",D1709=""),"",EDATE(D1709,IFERROR(INDEX(Paketler!$B$5:$B$24,MATCH(C1709,Paketler!$A$5:$A$24,0)),0))-1)</f>
        <v/>
      </c>
      <c r="G1709" s="17" t="str">
        <f aca="false">IF(F1709="","",IFERROR(INDEX(Paketler!$C$5:$C$24,MATCH(C1709,Paketler!$A$5:$A$24,0)),0))</f>
        <v/>
      </c>
      <c r="H1709" s="17" t="str">
        <f aca="false">IF(F1709="","",G1709-E1709)</f>
        <v/>
      </c>
      <c r="I1709" s="18" t="str">
        <f aca="true">IF(F1709="","",F1709-TODAY())</f>
        <v/>
      </c>
      <c r="J1709" s="19" t="str">
        <f aca="true">IF(F1709="","",IF(TODAY()&lt;D1709,"Başlamadı",IF(TODAY()&gt;F1709,"Bitti",IF(F1709-TODAY()&lt;=7,"Bitiyor","Aktif"))))</f>
        <v/>
      </c>
      <c r="K1709" s="19" t="str">
        <f aca="false">IF(OR(J1709="Aktif",J1709="Bitiyor"),F1709+ROW()/1000000,"")</f>
        <v/>
      </c>
    </row>
    <row r="1710" customFormat="false" ht="15" hidden="false" customHeight="false" outlineLevel="0" collapsed="false">
      <c r="A1710" s="12"/>
      <c r="B1710" s="12"/>
      <c r="C1710" s="13"/>
      <c r="D1710" s="14"/>
      <c r="E1710" s="15"/>
      <c r="F1710" s="16" t="str">
        <f aca="false">IF(OR(C1710="",D1710=""),"",EDATE(D1710,IFERROR(INDEX(Paketler!$B$5:$B$24,MATCH(C1710,Paketler!$A$5:$A$24,0)),0))-1)</f>
        <v/>
      </c>
      <c r="G1710" s="17" t="str">
        <f aca="false">IF(F1710="","",IFERROR(INDEX(Paketler!$C$5:$C$24,MATCH(C1710,Paketler!$A$5:$A$24,0)),0))</f>
        <v/>
      </c>
      <c r="H1710" s="17" t="str">
        <f aca="false">IF(F1710="","",G1710-E1710)</f>
        <v/>
      </c>
      <c r="I1710" s="18" t="str">
        <f aca="true">IF(F1710="","",F1710-TODAY())</f>
        <v/>
      </c>
      <c r="J1710" s="19" t="str">
        <f aca="true">IF(F1710="","",IF(TODAY()&lt;D1710,"Başlamadı",IF(TODAY()&gt;F1710,"Bitti",IF(F1710-TODAY()&lt;=7,"Bitiyor","Aktif"))))</f>
        <v/>
      </c>
      <c r="K1710" s="19" t="str">
        <f aca="false">IF(OR(J1710="Aktif",J1710="Bitiyor"),F1710+ROW()/1000000,"")</f>
        <v/>
      </c>
    </row>
    <row r="1711" customFormat="false" ht="15" hidden="false" customHeight="false" outlineLevel="0" collapsed="false">
      <c r="A1711" s="12"/>
      <c r="B1711" s="12"/>
      <c r="C1711" s="13"/>
      <c r="D1711" s="14"/>
      <c r="E1711" s="15"/>
      <c r="F1711" s="16" t="str">
        <f aca="false">IF(OR(C1711="",D1711=""),"",EDATE(D1711,IFERROR(INDEX(Paketler!$B$5:$B$24,MATCH(C1711,Paketler!$A$5:$A$24,0)),0))-1)</f>
        <v/>
      </c>
      <c r="G1711" s="17" t="str">
        <f aca="false">IF(F1711="","",IFERROR(INDEX(Paketler!$C$5:$C$24,MATCH(C1711,Paketler!$A$5:$A$24,0)),0))</f>
        <v/>
      </c>
      <c r="H1711" s="17" t="str">
        <f aca="false">IF(F1711="","",G1711-E1711)</f>
        <v/>
      </c>
      <c r="I1711" s="18" t="str">
        <f aca="true">IF(F1711="","",F1711-TODAY())</f>
        <v/>
      </c>
      <c r="J1711" s="19" t="str">
        <f aca="true">IF(F1711="","",IF(TODAY()&lt;D1711,"Başlamadı",IF(TODAY()&gt;F1711,"Bitti",IF(F1711-TODAY()&lt;=7,"Bitiyor","Aktif"))))</f>
        <v/>
      </c>
      <c r="K1711" s="19" t="str">
        <f aca="false">IF(OR(J1711="Aktif",J1711="Bitiyor"),F1711+ROW()/1000000,"")</f>
        <v/>
      </c>
    </row>
    <row r="1712" customFormat="false" ht="15" hidden="false" customHeight="false" outlineLevel="0" collapsed="false">
      <c r="A1712" s="12"/>
      <c r="B1712" s="12"/>
      <c r="C1712" s="13"/>
      <c r="D1712" s="14"/>
      <c r="E1712" s="15"/>
      <c r="F1712" s="16" t="str">
        <f aca="false">IF(OR(C1712="",D1712=""),"",EDATE(D1712,IFERROR(INDEX(Paketler!$B$5:$B$24,MATCH(C1712,Paketler!$A$5:$A$24,0)),0))-1)</f>
        <v/>
      </c>
      <c r="G1712" s="17" t="str">
        <f aca="false">IF(F1712="","",IFERROR(INDEX(Paketler!$C$5:$C$24,MATCH(C1712,Paketler!$A$5:$A$24,0)),0))</f>
        <v/>
      </c>
      <c r="H1712" s="17" t="str">
        <f aca="false">IF(F1712="","",G1712-E1712)</f>
        <v/>
      </c>
      <c r="I1712" s="18" t="str">
        <f aca="true">IF(F1712="","",F1712-TODAY())</f>
        <v/>
      </c>
      <c r="J1712" s="19" t="str">
        <f aca="true">IF(F1712="","",IF(TODAY()&lt;D1712,"Başlamadı",IF(TODAY()&gt;F1712,"Bitti",IF(F1712-TODAY()&lt;=7,"Bitiyor","Aktif"))))</f>
        <v/>
      </c>
      <c r="K1712" s="19" t="str">
        <f aca="false">IF(OR(J1712="Aktif",J1712="Bitiyor"),F1712+ROW()/1000000,"")</f>
        <v/>
      </c>
    </row>
    <row r="1713" customFormat="false" ht="15" hidden="false" customHeight="false" outlineLevel="0" collapsed="false">
      <c r="A1713" s="12"/>
      <c r="B1713" s="12"/>
      <c r="C1713" s="13"/>
      <c r="D1713" s="14"/>
      <c r="E1713" s="15"/>
      <c r="F1713" s="16" t="str">
        <f aca="false">IF(OR(C1713="",D1713=""),"",EDATE(D1713,IFERROR(INDEX(Paketler!$B$5:$B$24,MATCH(C1713,Paketler!$A$5:$A$24,0)),0))-1)</f>
        <v/>
      </c>
      <c r="G1713" s="17" t="str">
        <f aca="false">IF(F1713="","",IFERROR(INDEX(Paketler!$C$5:$C$24,MATCH(C1713,Paketler!$A$5:$A$24,0)),0))</f>
        <v/>
      </c>
      <c r="H1713" s="17" t="str">
        <f aca="false">IF(F1713="","",G1713-E1713)</f>
        <v/>
      </c>
      <c r="I1713" s="18" t="str">
        <f aca="true">IF(F1713="","",F1713-TODAY())</f>
        <v/>
      </c>
      <c r="J1713" s="19" t="str">
        <f aca="true">IF(F1713="","",IF(TODAY()&lt;D1713,"Başlamadı",IF(TODAY()&gt;F1713,"Bitti",IF(F1713-TODAY()&lt;=7,"Bitiyor","Aktif"))))</f>
        <v/>
      </c>
      <c r="K1713" s="19" t="str">
        <f aca="false">IF(OR(J1713="Aktif",J1713="Bitiyor"),F1713+ROW()/1000000,"")</f>
        <v/>
      </c>
    </row>
    <row r="1714" customFormat="false" ht="15" hidden="false" customHeight="false" outlineLevel="0" collapsed="false">
      <c r="A1714" s="12"/>
      <c r="B1714" s="12"/>
      <c r="C1714" s="13"/>
      <c r="D1714" s="14"/>
      <c r="E1714" s="15"/>
      <c r="F1714" s="16" t="str">
        <f aca="false">IF(OR(C1714="",D1714=""),"",EDATE(D1714,IFERROR(INDEX(Paketler!$B$5:$B$24,MATCH(C1714,Paketler!$A$5:$A$24,0)),0))-1)</f>
        <v/>
      </c>
      <c r="G1714" s="17" t="str">
        <f aca="false">IF(F1714="","",IFERROR(INDEX(Paketler!$C$5:$C$24,MATCH(C1714,Paketler!$A$5:$A$24,0)),0))</f>
        <v/>
      </c>
      <c r="H1714" s="17" t="str">
        <f aca="false">IF(F1714="","",G1714-E1714)</f>
        <v/>
      </c>
      <c r="I1714" s="18" t="str">
        <f aca="true">IF(F1714="","",F1714-TODAY())</f>
        <v/>
      </c>
      <c r="J1714" s="19" t="str">
        <f aca="true">IF(F1714="","",IF(TODAY()&lt;D1714,"Başlamadı",IF(TODAY()&gt;F1714,"Bitti",IF(F1714-TODAY()&lt;=7,"Bitiyor","Aktif"))))</f>
        <v/>
      </c>
      <c r="K1714" s="19" t="str">
        <f aca="false">IF(OR(J1714="Aktif",J1714="Bitiyor"),F1714+ROW()/1000000,"")</f>
        <v/>
      </c>
    </row>
    <row r="1715" customFormat="false" ht="15" hidden="false" customHeight="false" outlineLevel="0" collapsed="false">
      <c r="A1715" s="12"/>
      <c r="B1715" s="12"/>
      <c r="C1715" s="13"/>
      <c r="D1715" s="14"/>
      <c r="E1715" s="15"/>
      <c r="F1715" s="16" t="str">
        <f aca="false">IF(OR(C1715="",D1715=""),"",EDATE(D1715,IFERROR(INDEX(Paketler!$B$5:$B$24,MATCH(C1715,Paketler!$A$5:$A$24,0)),0))-1)</f>
        <v/>
      </c>
      <c r="G1715" s="17" t="str">
        <f aca="false">IF(F1715="","",IFERROR(INDEX(Paketler!$C$5:$C$24,MATCH(C1715,Paketler!$A$5:$A$24,0)),0))</f>
        <v/>
      </c>
      <c r="H1715" s="17" t="str">
        <f aca="false">IF(F1715="","",G1715-E1715)</f>
        <v/>
      </c>
      <c r="I1715" s="18" t="str">
        <f aca="true">IF(F1715="","",F1715-TODAY())</f>
        <v/>
      </c>
      <c r="J1715" s="19" t="str">
        <f aca="true">IF(F1715="","",IF(TODAY()&lt;D1715,"Başlamadı",IF(TODAY()&gt;F1715,"Bitti",IF(F1715-TODAY()&lt;=7,"Bitiyor","Aktif"))))</f>
        <v/>
      </c>
      <c r="K1715" s="19" t="str">
        <f aca="false">IF(OR(J1715="Aktif",J1715="Bitiyor"),F1715+ROW()/1000000,"")</f>
        <v/>
      </c>
    </row>
    <row r="1716" customFormat="false" ht="15" hidden="false" customHeight="false" outlineLevel="0" collapsed="false">
      <c r="A1716" s="12"/>
      <c r="B1716" s="12"/>
      <c r="C1716" s="13"/>
      <c r="D1716" s="14"/>
      <c r="E1716" s="15"/>
      <c r="F1716" s="16" t="str">
        <f aca="false">IF(OR(C1716="",D1716=""),"",EDATE(D1716,IFERROR(INDEX(Paketler!$B$5:$B$24,MATCH(C1716,Paketler!$A$5:$A$24,0)),0))-1)</f>
        <v/>
      </c>
      <c r="G1716" s="17" t="str">
        <f aca="false">IF(F1716="","",IFERROR(INDEX(Paketler!$C$5:$C$24,MATCH(C1716,Paketler!$A$5:$A$24,0)),0))</f>
        <v/>
      </c>
      <c r="H1716" s="17" t="str">
        <f aca="false">IF(F1716="","",G1716-E1716)</f>
        <v/>
      </c>
      <c r="I1716" s="18" t="str">
        <f aca="true">IF(F1716="","",F1716-TODAY())</f>
        <v/>
      </c>
      <c r="J1716" s="19" t="str">
        <f aca="true">IF(F1716="","",IF(TODAY()&lt;D1716,"Başlamadı",IF(TODAY()&gt;F1716,"Bitti",IF(F1716-TODAY()&lt;=7,"Bitiyor","Aktif"))))</f>
        <v/>
      </c>
      <c r="K1716" s="19" t="str">
        <f aca="false">IF(OR(J1716="Aktif",J1716="Bitiyor"),F1716+ROW()/1000000,"")</f>
        <v/>
      </c>
    </row>
    <row r="1717" customFormat="false" ht="15" hidden="false" customHeight="false" outlineLevel="0" collapsed="false">
      <c r="A1717" s="12"/>
      <c r="B1717" s="12"/>
      <c r="C1717" s="13"/>
      <c r="D1717" s="14"/>
      <c r="E1717" s="15"/>
      <c r="F1717" s="16" t="str">
        <f aca="false">IF(OR(C1717="",D1717=""),"",EDATE(D1717,IFERROR(INDEX(Paketler!$B$5:$B$24,MATCH(C1717,Paketler!$A$5:$A$24,0)),0))-1)</f>
        <v/>
      </c>
      <c r="G1717" s="17" t="str">
        <f aca="false">IF(F1717="","",IFERROR(INDEX(Paketler!$C$5:$C$24,MATCH(C1717,Paketler!$A$5:$A$24,0)),0))</f>
        <v/>
      </c>
      <c r="H1717" s="17" t="str">
        <f aca="false">IF(F1717="","",G1717-E1717)</f>
        <v/>
      </c>
      <c r="I1717" s="18" t="str">
        <f aca="true">IF(F1717="","",F1717-TODAY())</f>
        <v/>
      </c>
      <c r="J1717" s="19" t="str">
        <f aca="true">IF(F1717="","",IF(TODAY()&lt;D1717,"Başlamadı",IF(TODAY()&gt;F1717,"Bitti",IF(F1717-TODAY()&lt;=7,"Bitiyor","Aktif"))))</f>
        <v/>
      </c>
      <c r="K1717" s="19" t="str">
        <f aca="false">IF(OR(J1717="Aktif",J1717="Bitiyor"),F1717+ROW()/1000000,"")</f>
        <v/>
      </c>
    </row>
    <row r="1718" customFormat="false" ht="15" hidden="false" customHeight="false" outlineLevel="0" collapsed="false">
      <c r="A1718" s="12"/>
      <c r="B1718" s="12"/>
      <c r="C1718" s="13"/>
      <c r="D1718" s="14"/>
      <c r="E1718" s="15"/>
      <c r="F1718" s="16" t="str">
        <f aca="false">IF(OR(C1718="",D1718=""),"",EDATE(D1718,IFERROR(INDEX(Paketler!$B$5:$B$24,MATCH(C1718,Paketler!$A$5:$A$24,0)),0))-1)</f>
        <v/>
      </c>
      <c r="G1718" s="17" t="str">
        <f aca="false">IF(F1718="","",IFERROR(INDEX(Paketler!$C$5:$C$24,MATCH(C1718,Paketler!$A$5:$A$24,0)),0))</f>
        <v/>
      </c>
      <c r="H1718" s="17" t="str">
        <f aca="false">IF(F1718="","",G1718-E1718)</f>
        <v/>
      </c>
      <c r="I1718" s="18" t="str">
        <f aca="true">IF(F1718="","",F1718-TODAY())</f>
        <v/>
      </c>
      <c r="J1718" s="19" t="str">
        <f aca="true">IF(F1718="","",IF(TODAY()&lt;D1718,"Başlamadı",IF(TODAY()&gt;F1718,"Bitti",IF(F1718-TODAY()&lt;=7,"Bitiyor","Aktif"))))</f>
        <v/>
      </c>
      <c r="K1718" s="19" t="str">
        <f aca="false">IF(OR(J1718="Aktif",J1718="Bitiyor"),F1718+ROW()/1000000,"")</f>
        <v/>
      </c>
    </row>
    <row r="1719" customFormat="false" ht="15" hidden="false" customHeight="false" outlineLevel="0" collapsed="false">
      <c r="A1719" s="12"/>
      <c r="B1719" s="12"/>
      <c r="C1719" s="13"/>
      <c r="D1719" s="14"/>
      <c r="E1719" s="15"/>
      <c r="F1719" s="16" t="str">
        <f aca="false">IF(OR(C1719="",D1719=""),"",EDATE(D1719,IFERROR(INDEX(Paketler!$B$5:$B$24,MATCH(C1719,Paketler!$A$5:$A$24,0)),0))-1)</f>
        <v/>
      </c>
      <c r="G1719" s="17" t="str">
        <f aca="false">IF(F1719="","",IFERROR(INDEX(Paketler!$C$5:$C$24,MATCH(C1719,Paketler!$A$5:$A$24,0)),0))</f>
        <v/>
      </c>
      <c r="H1719" s="17" t="str">
        <f aca="false">IF(F1719="","",G1719-E1719)</f>
        <v/>
      </c>
      <c r="I1719" s="18" t="str">
        <f aca="true">IF(F1719="","",F1719-TODAY())</f>
        <v/>
      </c>
      <c r="J1719" s="19" t="str">
        <f aca="true">IF(F1719="","",IF(TODAY()&lt;D1719,"Başlamadı",IF(TODAY()&gt;F1719,"Bitti",IF(F1719-TODAY()&lt;=7,"Bitiyor","Aktif"))))</f>
        <v/>
      </c>
      <c r="K1719" s="19" t="str">
        <f aca="false">IF(OR(J1719="Aktif",J1719="Bitiyor"),F1719+ROW()/1000000,"")</f>
        <v/>
      </c>
    </row>
    <row r="1720" customFormat="false" ht="15" hidden="false" customHeight="false" outlineLevel="0" collapsed="false">
      <c r="A1720" s="12"/>
      <c r="B1720" s="12"/>
      <c r="C1720" s="13"/>
      <c r="D1720" s="14"/>
      <c r="E1720" s="15"/>
      <c r="F1720" s="16" t="str">
        <f aca="false">IF(OR(C1720="",D1720=""),"",EDATE(D1720,IFERROR(INDEX(Paketler!$B$5:$B$24,MATCH(C1720,Paketler!$A$5:$A$24,0)),0))-1)</f>
        <v/>
      </c>
      <c r="G1720" s="17" t="str">
        <f aca="false">IF(F1720="","",IFERROR(INDEX(Paketler!$C$5:$C$24,MATCH(C1720,Paketler!$A$5:$A$24,0)),0))</f>
        <v/>
      </c>
      <c r="H1720" s="17" t="str">
        <f aca="false">IF(F1720="","",G1720-E1720)</f>
        <v/>
      </c>
      <c r="I1720" s="18" t="str">
        <f aca="true">IF(F1720="","",F1720-TODAY())</f>
        <v/>
      </c>
      <c r="J1720" s="19" t="str">
        <f aca="true">IF(F1720="","",IF(TODAY()&lt;D1720,"Başlamadı",IF(TODAY()&gt;F1720,"Bitti",IF(F1720-TODAY()&lt;=7,"Bitiyor","Aktif"))))</f>
        <v/>
      </c>
      <c r="K1720" s="19" t="str">
        <f aca="false">IF(OR(J1720="Aktif",J1720="Bitiyor"),F1720+ROW()/1000000,"")</f>
        <v/>
      </c>
    </row>
    <row r="1721" customFormat="false" ht="15" hidden="false" customHeight="false" outlineLevel="0" collapsed="false">
      <c r="A1721" s="12"/>
      <c r="B1721" s="12"/>
      <c r="C1721" s="13"/>
      <c r="D1721" s="14"/>
      <c r="E1721" s="15"/>
      <c r="F1721" s="16" t="str">
        <f aca="false">IF(OR(C1721="",D1721=""),"",EDATE(D1721,IFERROR(INDEX(Paketler!$B$5:$B$24,MATCH(C1721,Paketler!$A$5:$A$24,0)),0))-1)</f>
        <v/>
      </c>
      <c r="G1721" s="17" t="str">
        <f aca="false">IF(F1721="","",IFERROR(INDEX(Paketler!$C$5:$C$24,MATCH(C1721,Paketler!$A$5:$A$24,0)),0))</f>
        <v/>
      </c>
      <c r="H1721" s="17" t="str">
        <f aca="false">IF(F1721="","",G1721-E1721)</f>
        <v/>
      </c>
      <c r="I1721" s="18" t="str">
        <f aca="true">IF(F1721="","",F1721-TODAY())</f>
        <v/>
      </c>
      <c r="J1721" s="19" t="str">
        <f aca="true">IF(F1721="","",IF(TODAY()&lt;D1721,"Başlamadı",IF(TODAY()&gt;F1721,"Bitti",IF(F1721-TODAY()&lt;=7,"Bitiyor","Aktif"))))</f>
        <v/>
      </c>
      <c r="K1721" s="19" t="str">
        <f aca="false">IF(OR(J1721="Aktif",J1721="Bitiyor"),F1721+ROW()/1000000,"")</f>
        <v/>
      </c>
    </row>
    <row r="1722" customFormat="false" ht="15" hidden="false" customHeight="false" outlineLevel="0" collapsed="false">
      <c r="A1722" s="12"/>
      <c r="B1722" s="12"/>
      <c r="C1722" s="13"/>
      <c r="D1722" s="14"/>
      <c r="E1722" s="15"/>
      <c r="F1722" s="16" t="str">
        <f aca="false">IF(OR(C1722="",D1722=""),"",EDATE(D1722,IFERROR(INDEX(Paketler!$B$5:$B$24,MATCH(C1722,Paketler!$A$5:$A$24,0)),0))-1)</f>
        <v/>
      </c>
      <c r="G1722" s="17" t="str">
        <f aca="false">IF(F1722="","",IFERROR(INDEX(Paketler!$C$5:$C$24,MATCH(C1722,Paketler!$A$5:$A$24,0)),0))</f>
        <v/>
      </c>
      <c r="H1722" s="17" t="str">
        <f aca="false">IF(F1722="","",G1722-E1722)</f>
        <v/>
      </c>
      <c r="I1722" s="18" t="str">
        <f aca="true">IF(F1722="","",F1722-TODAY())</f>
        <v/>
      </c>
      <c r="J1722" s="19" t="str">
        <f aca="true">IF(F1722="","",IF(TODAY()&lt;D1722,"Başlamadı",IF(TODAY()&gt;F1722,"Bitti",IF(F1722-TODAY()&lt;=7,"Bitiyor","Aktif"))))</f>
        <v/>
      </c>
      <c r="K1722" s="19" t="str">
        <f aca="false">IF(OR(J1722="Aktif",J1722="Bitiyor"),F1722+ROW()/1000000,"")</f>
        <v/>
      </c>
    </row>
    <row r="1723" customFormat="false" ht="15" hidden="false" customHeight="false" outlineLevel="0" collapsed="false">
      <c r="A1723" s="12"/>
      <c r="B1723" s="12"/>
      <c r="C1723" s="13"/>
      <c r="D1723" s="14"/>
      <c r="E1723" s="15"/>
      <c r="F1723" s="16" t="str">
        <f aca="false">IF(OR(C1723="",D1723=""),"",EDATE(D1723,IFERROR(INDEX(Paketler!$B$5:$B$24,MATCH(C1723,Paketler!$A$5:$A$24,0)),0))-1)</f>
        <v/>
      </c>
      <c r="G1723" s="17" t="str">
        <f aca="false">IF(F1723="","",IFERROR(INDEX(Paketler!$C$5:$C$24,MATCH(C1723,Paketler!$A$5:$A$24,0)),0))</f>
        <v/>
      </c>
      <c r="H1723" s="17" t="str">
        <f aca="false">IF(F1723="","",G1723-E1723)</f>
        <v/>
      </c>
      <c r="I1723" s="18" t="str">
        <f aca="true">IF(F1723="","",F1723-TODAY())</f>
        <v/>
      </c>
      <c r="J1723" s="19" t="str">
        <f aca="true">IF(F1723="","",IF(TODAY()&lt;D1723,"Başlamadı",IF(TODAY()&gt;F1723,"Bitti",IF(F1723-TODAY()&lt;=7,"Bitiyor","Aktif"))))</f>
        <v/>
      </c>
      <c r="K1723" s="19" t="str">
        <f aca="false">IF(OR(J1723="Aktif",J1723="Bitiyor"),F1723+ROW()/1000000,"")</f>
        <v/>
      </c>
    </row>
    <row r="1724" customFormat="false" ht="15" hidden="false" customHeight="false" outlineLevel="0" collapsed="false">
      <c r="A1724" s="12"/>
      <c r="B1724" s="12"/>
      <c r="C1724" s="13"/>
      <c r="D1724" s="14"/>
      <c r="E1724" s="15"/>
      <c r="F1724" s="16" t="str">
        <f aca="false">IF(OR(C1724="",D1724=""),"",EDATE(D1724,IFERROR(INDEX(Paketler!$B$5:$B$24,MATCH(C1724,Paketler!$A$5:$A$24,0)),0))-1)</f>
        <v/>
      </c>
      <c r="G1724" s="17" t="str">
        <f aca="false">IF(F1724="","",IFERROR(INDEX(Paketler!$C$5:$C$24,MATCH(C1724,Paketler!$A$5:$A$24,0)),0))</f>
        <v/>
      </c>
      <c r="H1724" s="17" t="str">
        <f aca="false">IF(F1724="","",G1724-E1724)</f>
        <v/>
      </c>
      <c r="I1724" s="18" t="str">
        <f aca="true">IF(F1724="","",F1724-TODAY())</f>
        <v/>
      </c>
      <c r="J1724" s="19" t="str">
        <f aca="true">IF(F1724="","",IF(TODAY()&lt;D1724,"Başlamadı",IF(TODAY()&gt;F1724,"Bitti",IF(F1724-TODAY()&lt;=7,"Bitiyor","Aktif"))))</f>
        <v/>
      </c>
      <c r="K1724" s="19" t="str">
        <f aca="false">IF(OR(J1724="Aktif",J1724="Bitiyor"),F1724+ROW()/1000000,"")</f>
        <v/>
      </c>
    </row>
    <row r="1725" customFormat="false" ht="15" hidden="false" customHeight="false" outlineLevel="0" collapsed="false">
      <c r="A1725" s="12"/>
      <c r="B1725" s="12"/>
      <c r="C1725" s="13"/>
      <c r="D1725" s="14"/>
      <c r="E1725" s="15"/>
      <c r="F1725" s="16" t="str">
        <f aca="false">IF(OR(C1725="",D1725=""),"",EDATE(D1725,IFERROR(INDEX(Paketler!$B$5:$B$24,MATCH(C1725,Paketler!$A$5:$A$24,0)),0))-1)</f>
        <v/>
      </c>
      <c r="G1725" s="17" t="str">
        <f aca="false">IF(F1725="","",IFERROR(INDEX(Paketler!$C$5:$C$24,MATCH(C1725,Paketler!$A$5:$A$24,0)),0))</f>
        <v/>
      </c>
      <c r="H1725" s="17" t="str">
        <f aca="false">IF(F1725="","",G1725-E1725)</f>
        <v/>
      </c>
      <c r="I1725" s="18" t="str">
        <f aca="true">IF(F1725="","",F1725-TODAY())</f>
        <v/>
      </c>
      <c r="J1725" s="19" t="str">
        <f aca="true">IF(F1725="","",IF(TODAY()&lt;D1725,"Başlamadı",IF(TODAY()&gt;F1725,"Bitti",IF(F1725-TODAY()&lt;=7,"Bitiyor","Aktif"))))</f>
        <v/>
      </c>
      <c r="K1725" s="19" t="str">
        <f aca="false">IF(OR(J1725="Aktif",J1725="Bitiyor"),F1725+ROW()/1000000,"")</f>
        <v/>
      </c>
    </row>
    <row r="1726" customFormat="false" ht="15" hidden="false" customHeight="false" outlineLevel="0" collapsed="false">
      <c r="A1726" s="12"/>
      <c r="B1726" s="12"/>
      <c r="C1726" s="13"/>
      <c r="D1726" s="14"/>
      <c r="E1726" s="15"/>
      <c r="F1726" s="16" t="str">
        <f aca="false">IF(OR(C1726="",D1726=""),"",EDATE(D1726,IFERROR(INDEX(Paketler!$B$5:$B$24,MATCH(C1726,Paketler!$A$5:$A$24,0)),0))-1)</f>
        <v/>
      </c>
      <c r="G1726" s="17" t="str">
        <f aca="false">IF(F1726="","",IFERROR(INDEX(Paketler!$C$5:$C$24,MATCH(C1726,Paketler!$A$5:$A$24,0)),0))</f>
        <v/>
      </c>
      <c r="H1726" s="17" t="str">
        <f aca="false">IF(F1726="","",G1726-E1726)</f>
        <v/>
      </c>
      <c r="I1726" s="18" t="str">
        <f aca="true">IF(F1726="","",F1726-TODAY())</f>
        <v/>
      </c>
      <c r="J1726" s="19" t="str">
        <f aca="true">IF(F1726="","",IF(TODAY()&lt;D1726,"Başlamadı",IF(TODAY()&gt;F1726,"Bitti",IF(F1726-TODAY()&lt;=7,"Bitiyor","Aktif"))))</f>
        <v/>
      </c>
      <c r="K1726" s="19" t="str">
        <f aca="false">IF(OR(J1726="Aktif",J1726="Bitiyor"),F1726+ROW()/1000000,"")</f>
        <v/>
      </c>
    </row>
    <row r="1727" customFormat="false" ht="15" hidden="false" customHeight="false" outlineLevel="0" collapsed="false">
      <c r="A1727" s="12"/>
      <c r="B1727" s="12"/>
      <c r="C1727" s="13"/>
      <c r="D1727" s="14"/>
      <c r="E1727" s="15"/>
      <c r="F1727" s="16" t="str">
        <f aca="false">IF(OR(C1727="",D1727=""),"",EDATE(D1727,IFERROR(INDEX(Paketler!$B$5:$B$24,MATCH(C1727,Paketler!$A$5:$A$24,0)),0))-1)</f>
        <v/>
      </c>
      <c r="G1727" s="17" t="str">
        <f aca="false">IF(F1727="","",IFERROR(INDEX(Paketler!$C$5:$C$24,MATCH(C1727,Paketler!$A$5:$A$24,0)),0))</f>
        <v/>
      </c>
      <c r="H1727" s="17" t="str">
        <f aca="false">IF(F1727="","",G1727-E1727)</f>
        <v/>
      </c>
      <c r="I1727" s="18" t="str">
        <f aca="true">IF(F1727="","",F1727-TODAY())</f>
        <v/>
      </c>
      <c r="J1727" s="19" t="str">
        <f aca="true">IF(F1727="","",IF(TODAY()&lt;D1727,"Başlamadı",IF(TODAY()&gt;F1727,"Bitti",IF(F1727-TODAY()&lt;=7,"Bitiyor","Aktif"))))</f>
        <v/>
      </c>
      <c r="K1727" s="19" t="str">
        <f aca="false">IF(OR(J1727="Aktif",J1727="Bitiyor"),F1727+ROW()/1000000,"")</f>
        <v/>
      </c>
    </row>
    <row r="1728" customFormat="false" ht="15" hidden="false" customHeight="false" outlineLevel="0" collapsed="false">
      <c r="A1728" s="12"/>
      <c r="B1728" s="12"/>
      <c r="C1728" s="13"/>
      <c r="D1728" s="14"/>
      <c r="E1728" s="15"/>
      <c r="F1728" s="16" t="str">
        <f aca="false">IF(OR(C1728="",D1728=""),"",EDATE(D1728,IFERROR(INDEX(Paketler!$B$5:$B$24,MATCH(C1728,Paketler!$A$5:$A$24,0)),0))-1)</f>
        <v/>
      </c>
      <c r="G1728" s="17" t="str">
        <f aca="false">IF(F1728="","",IFERROR(INDEX(Paketler!$C$5:$C$24,MATCH(C1728,Paketler!$A$5:$A$24,0)),0))</f>
        <v/>
      </c>
      <c r="H1728" s="17" t="str">
        <f aca="false">IF(F1728="","",G1728-E1728)</f>
        <v/>
      </c>
      <c r="I1728" s="18" t="str">
        <f aca="true">IF(F1728="","",F1728-TODAY())</f>
        <v/>
      </c>
      <c r="J1728" s="19" t="str">
        <f aca="true">IF(F1728="","",IF(TODAY()&lt;D1728,"Başlamadı",IF(TODAY()&gt;F1728,"Bitti",IF(F1728-TODAY()&lt;=7,"Bitiyor","Aktif"))))</f>
        <v/>
      </c>
      <c r="K1728" s="19" t="str">
        <f aca="false">IF(OR(J1728="Aktif",J1728="Bitiyor"),F1728+ROW()/1000000,"")</f>
        <v/>
      </c>
    </row>
    <row r="1729" customFormat="false" ht="15" hidden="false" customHeight="false" outlineLevel="0" collapsed="false">
      <c r="A1729" s="12"/>
      <c r="B1729" s="12"/>
      <c r="C1729" s="13"/>
      <c r="D1729" s="14"/>
      <c r="E1729" s="15"/>
      <c r="F1729" s="16" t="str">
        <f aca="false">IF(OR(C1729="",D1729=""),"",EDATE(D1729,IFERROR(INDEX(Paketler!$B$5:$B$24,MATCH(C1729,Paketler!$A$5:$A$24,0)),0))-1)</f>
        <v/>
      </c>
      <c r="G1729" s="17" t="str">
        <f aca="false">IF(F1729="","",IFERROR(INDEX(Paketler!$C$5:$C$24,MATCH(C1729,Paketler!$A$5:$A$24,0)),0))</f>
        <v/>
      </c>
      <c r="H1729" s="17" t="str">
        <f aca="false">IF(F1729="","",G1729-E1729)</f>
        <v/>
      </c>
      <c r="I1729" s="18" t="str">
        <f aca="true">IF(F1729="","",F1729-TODAY())</f>
        <v/>
      </c>
      <c r="J1729" s="19" t="str">
        <f aca="true">IF(F1729="","",IF(TODAY()&lt;D1729,"Başlamadı",IF(TODAY()&gt;F1729,"Bitti",IF(F1729-TODAY()&lt;=7,"Bitiyor","Aktif"))))</f>
        <v/>
      </c>
      <c r="K1729" s="19" t="str">
        <f aca="false">IF(OR(J1729="Aktif",J1729="Bitiyor"),F1729+ROW()/1000000,"")</f>
        <v/>
      </c>
    </row>
    <row r="1730" customFormat="false" ht="15" hidden="false" customHeight="false" outlineLevel="0" collapsed="false">
      <c r="A1730" s="12"/>
      <c r="B1730" s="12"/>
      <c r="C1730" s="13"/>
      <c r="D1730" s="14"/>
      <c r="E1730" s="15"/>
      <c r="F1730" s="16" t="str">
        <f aca="false">IF(OR(C1730="",D1730=""),"",EDATE(D1730,IFERROR(INDEX(Paketler!$B$5:$B$24,MATCH(C1730,Paketler!$A$5:$A$24,0)),0))-1)</f>
        <v/>
      </c>
      <c r="G1730" s="17" t="str">
        <f aca="false">IF(F1730="","",IFERROR(INDEX(Paketler!$C$5:$C$24,MATCH(C1730,Paketler!$A$5:$A$24,0)),0))</f>
        <v/>
      </c>
      <c r="H1730" s="17" t="str">
        <f aca="false">IF(F1730="","",G1730-E1730)</f>
        <v/>
      </c>
      <c r="I1730" s="18" t="str">
        <f aca="true">IF(F1730="","",F1730-TODAY())</f>
        <v/>
      </c>
      <c r="J1730" s="19" t="str">
        <f aca="true">IF(F1730="","",IF(TODAY()&lt;D1730,"Başlamadı",IF(TODAY()&gt;F1730,"Bitti",IF(F1730-TODAY()&lt;=7,"Bitiyor","Aktif"))))</f>
        <v/>
      </c>
      <c r="K1730" s="19" t="str">
        <f aca="false">IF(OR(J1730="Aktif",J1730="Bitiyor"),F1730+ROW()/1000000,"")</f>
        <v/>
      </c>
    </row>
    <row r="1731" customFormat="false" ht="15" hidden="false" customHeight="false" outlineLevel="0" collapsed="false">
      <c r="A1731" s="12"/>
      <c r="B1731" s="12"/>
      <c r="C1731" s="13"/>
      <c r="D1731" s="14"/>
      <c r="E1731" s="15"/>
      <c r="F1731" s="16" t="str">
        <f aca="false">IF(OR(C1731="",D1731=""),"",EDATE(D1731,IFERROR(INDEX(Paketler!$B$5:$B$24,MATCH(C1731,Paketler!$A$5:$A$24,0)),0))-1)</f>
        <v/>
      </c>
      <c r="G1731" s="17" t="str">
        <f aca="false">IF(F1731="","",IFERROR(INDEX(Paketler!$C$5:$C$24,MATCH(C1731,Paketler!$A$5:$A$24,0)),0))</f>
        <v/>
      </c>
      <c r="H1731" s="17" t="str">
        <f aca="false">IF(F1731="","",G1731-E1731)</f>
        <v/>
      </c>
      <c r="I1731" s="18" t="str">
        <f aca="true">IF(F1731="","",F1731-TODAY())</f>
        <v/>
      </c>
      <c r="J1731" s="19" t="str">
        <f aca="true">IF(F1731="","",IF(TODAY()&lt;D1731,"Başlamadı",IF(TODAY()&gt;F1731,"Bitti",IF(F1731-TODAY()&lt;=7,"Bitiyor","Aktif"))))</f>
        <v/>
      </c>
      <c r="K1731" s="19" t="str">
        <f aca="false">IF(OR(J1731="Aktif",J1731="Bitiyor"),F1731+ROW()/1000000,"")</f>
        <v/>
      </c>
    </row>
    <row r="1732" customFormat="false" ht="15" hidden="false" customHeight="false" outlineLevel="0" collapsed="false">
      <c r="A1732" s="12"/>
      <c r="B1732" s="12"/>
      <c r="C1732" s="13"/>
      <c r="D1732" s="14"/>
      <c r="E1732" s="15"/>
      <c r="F1732" s="16" t="str">
        <f aca="false">IF(OR(C1732="",D1732=""),"",EDATE(D1732,IFERROR(INDEX(Paketler!$B$5:$B$24,MATCH(C1732,Paketler!$A$5:$A$24,0)),0))-1)</f>
        <v/>
      </c>
      <c r="G1732" s="17" t="str">
        <f aca="false">IF(F1732="","",IFERROR(INDEX(Paketler!$C$5:$C$24,MATCH(C1732,Paketler!$A$5:$A$24,0)),0))</f>
        <v/>
      </c>
      <c r="H1732" s="17" t="str">
        <f aca="false">IF(F1732="","",G1732-E1732)</f>
        <v/>
      </c>
      <c r="I1732" s="18" t="str">
        <f aca="true">IF(F1732="","",F1732-TODAY())</f>
        <v/>
      </c>
      <c r="J1732" s="19" t="str">
        <f aca="true">IF(F1732="","",IF(TODAY()&lt;D1732,"Başlamadı",IF(TODAY()&gt;F1732,"Bitti",IF(F1732-TODAY()&lt;=7,"Bitiyor","Aktif"))))</f>
        <v/>
      </c>
      <c r="K1732" s="19" t="str">
        <f aca="false">IF(OR(J1732="Aktif",J1732="Bitiyor"),F1732+ROW()/1000000,"")</f>
        <v/>
      </c>
    </row>
    <row r="1733" customFormat="false" ht="15" hidden="false" customHeight="false" outlineLevel="0" collapsed="false">
      <c r="A1733" s="12"/>
      <c r="B1733" s="12"/>
      <c r="C1733" s="13"/>
      <c r="D1733" s="14"/>
      <c r="E1733" s="15"/>
      <c r="F1733" s="16" t="str">
        <f aca="false">IF(OR(C1733="",D1733=""),"",EDATE(D1733,IFERROR(INDEX(Paketler!$B$5:$B$24,MATCH(C1733,Paketler!$A$5:$A$24,0)),0))-1)</f>
        <v/>
      </c>
      <c r="G1733" s="17" t="str">
        <f aca="false">IF(F1733="","",IFERROR(INDEX(Paketler!$C$5:$C$24,MATCH(C1733,Paketler!$A$5:$A$24,0)),0))</f>
        <v/>
      </c>
      <c r="H1733" s="17" t="str">
        <f aca="false">IF(F1733="","",G1733-E1733)</f>
        <v/>
      </c>
      <c r="I1733" s="18" t="str">
        <f aca="true">IF(F1733="","",F1733-TODAY())</f>
        <v/>
      </c>
      <c r="J1733" s="19" t="str">
        <f aca="true">IF(F1733="","",IF(TODAY()&lt;D1733,"Başlamadı",IF(TODAY()&gt;F1733,"Bitti",IF(F1733-TODAY()&lt;=7,"Bitiyor","Aktif"))))</f>
        <v/>
      </c>
      <c r="K1733" s="19" t="str">
        <f aca="false">IF(OR(J1733="Aktif",J1733="Bitiyor"),F1733+ROW()/1000000,"")</f>
        <v/>
      </c>
    </row>
    <row r="1734" customFormat="false" ht="15" hidden="false" customHeight="false" outlineLevel="0" collapsed="false">
      <c r="A1734" s="12"/>
      <c r="B1734" s="12"/>
      <c r="C1734" s="13"/>
      <c r="D1734" s="14"/>
      <c r="E1734" s="15"/>
      <c r="F1734" s="16" t="str">
        <f aca="false">IF(OR(C1734="",D1734=""),"",EDATE(D1734,IFERROR(INDEX(Paketler!$B$5:$B$24,MATCH(C1734,Paketler!$A$5:$A$24,0)),0))-1)</f>
        <v/>
      </c>
      <c r="G1734" s="17" t="str">
        <f aca="false">IF(F1734="","",IFERROR(INDEX(Paketler!$C$5:$C$24,MATCH(C1734,Paketler!$A$5:$A$24,0)),0))</f>
        <v/>
      </c>
      <c r="H1734" s="17" t="str">
        <f aca="false">IF(F1734="","",G1734-E1734)</f>
        <v/>
      </c>
      <c r="I1734" s="18" t="str">
        <f aca="true">IF(F1734="","",F1734-TODAY())</f>
        <v/>
      </c>
      <c r="J1734" s="19" t="str">
        <f aca="true">IF(F1734="","",IF(TODAY()&lt;D1734,"Başlamadı",IF(TODAY()&gt;F1734,"Bitti",IF(F1734-TODAY()&lt;=7,"Bitiyor","Aktif"))))</f>
        <v/>
      </c>
      <c r="K1734" s="19" t="str">
        <f aca="false">IF(OR(J1734="Aktif",J1734="Bitiyor"),F1734+ROW()/1000000,"")</f>
        <v/>
      </c>
    </row>
    <row r="1735" customFormat="false" ht="15" hidden="false" customHeight="false" outlineLevel="0" collapsed="false">
      <c r="A1735" s="12"/>
      <c r="B1735" s="12"/>
      <c r="C1735" s="13"/>
      <c r="D1735" s="14"/>
      <c r="E1735" s="15"/>
      <c r="F1735" s="16" t="str">
        <f aca="false">IF(OR(C1735="",D1735=""),"",EDATE(D1735,IFERROR(INDEX(Paketler!$B$5:$B$24,MATCH(C1735,Paketler!$A$5:$A$24,0)),0))-1)</f>
        <v/>
      </c>
      <c r="G1735" s="17" t="str">
        <f aca="false">IF(F1735="","",IFERROR(INDEX(Paketler!$C$5:$C$24,MATCH(C1735,Paketler!$A$5:$A$24,0)),0))</f>
        <v/>
      </c>
      <c r="H1735" s="17" t="str">
        <f aca="false">IF(F1735="","",G1735-E1735)</f>
        <v/>
      </c>
      <c r="I1735" s="18" t="str">
        <f aca="true">IF(F1735="","",F1735-TODAY())</f>
        <v/>
      </c>
      <c r="J1735" s="19" t="str">
        <f aca="true">IF(F1735="","",IF(TODAY()&lt;D1735,"Başlamadı",IF(TODAY()&gt;F1735,"Bitti",IF(F1735-TODAY()&lt;=7,"Bitiyor","Aktif"))))</f>
        <v/>
      </c>
      <c r="K1735" s="19" t="str">
        <f aca="false">IF(OR(J1735="Aktif",J1735="Bitiyor"),F1735+ROW()/1000000,"")</f>
        <v/>
      </c>
    </row>
    <row r="1736" customFormat="false" ht="15" hidden="false" customHeight="false" outlineLevel="0" collapsed="false">
      <c r="A1736" s="12"/>
      <c r="B1736" s="12"/>
      <c r="C1736" s="13"/>
      <c r="D1736" s="14"/>
      <c r="E1736" s="15"/>
      <c r="F1736" s="16" t="str">
        <f aca="false">IF(OR(C1736="",D1736=""),"",EDATE(D1736,IFERROR(INDEX(Paketler!$B$5:$B$24,MATCH(C1736,Paketler!$A$5:$A$24,0)),0))-1)</f>
        <v/>
      </c>
      <c r="G1736" s="17" t="str">
        <f aca="false">IF(F1736="","",IFERROR(INDEX(Paketler!$C$5:$C$24,MATCH(C1736,Paketler!$A$5:$A$24,0)),0))</f>
        <v/>
      </c>
      <c r="H1736" s="17" t="str">
        <f aca="false">IF(F1736="","",G1736-E1736)</f>
        <v/>
      </c>
      <c r="I1736" s="18" t="str">
        <f aca="true">IF(F1736="","",F1736-TODAY())</f>
        <v/>
      </c>
      <c r="J1736" s="19" t="str">
        <f aca="true">IF(F1736="","",IF(TODAY()&lt;D1736,"Başlamadı",IF(TODAY()&gt;F1736,"Bitti",IF(F1736-TODAY()&lt;=7,"Bitiyor","Aktif"))))</f>
        <v/>
      </c>
      <c r="K1736" s="19" t="str">
        <f aca="false">IF(OR(J1736="Aktif",J1736="Bitiyor"),F1736+ROW()/1000000,"")</f>
        <v/>
      </c>
    </row>
    <row r="1737" customFormat="false" ht="15" hidden="false" customHeight="false" outlineLevel="0" collapsed="false">
      <c r="A1737" s="12"/>
      <c r="B1737" s="12"/>
      <c r="C1737" s="13"/>
      <c r="D1737" s="14"/>
      <c r="E1737" s="15"/>
      <c r="F1737" s="16" t="str">
        <f aca="false">IF(OR(C1737="",D1737=""),"",EDATE(D1737,IFERROR(INDEX(Paketler!$B$5:$B$24,MATCH(C1737,Paketler!$A$5:$A$24,0)),0))-1)</f>
        <v/>
      </c>
      <c r="G1737" s="17" t="str">
        <f aca="false">IF(F1737="","",IFERROR(INDEX(Paketler!$C$5:$C$24,MATCH(C1737,Paketler!$A$5:$A$24,0)),0))</f>
        <v/>
      </c>
      <c r="H1737" s="17" t="str">
        <f aca="false">IF(F1737="","",G1737-E1737)</f>
        <v/>
      </c>
      <c r="I1737" s="18" t="str">
        <f aca="true">IF(F1737="","",F1737-TODAY())</f>
        <v/>
      </c>
      <c r="J1737" s="19" t="str">
        <f aca="true">IF(F1737="","",IF(TODAY()&lt;D1737,"Başlamadı",IF(TODAY()&gt;F1737,"Bitti",IF(F1737-TODAY()&lt;=7,"Bitiyor","Aktif"))))</f>
        <v/>
      </c>
      <c r="K1737" s="19" t="str">
        <f aca="false">IF(OR(J1737="Aktif",J1737="Bitiyor"),F1737+ROW()/1000000,"")</f>
        <v/>
      </c>
    </row>
    <row r="1738" customFormat="false" ht="15" hidden="false" customHeight="false" outlineLevel="0" collapsed="false">
      <c r="A1738" s="12"/>
      <c r="B1738" s="12"/>
      <c r="C1738" s="13"/>
      <c r="D1738" s="14"/>
      <c r="E1738" s="15"/>
      <c r="F1738" s="16" t="str">
        <f aca="false">IF(OR(C1738="",D1738=""),"",EDATE(D1738,IFERROR(INDEX(Paketler!$B$5:$B$24,MATCH(C1738,Paketler!$A$5:$A$24,0)),0))-1)</f>
        <v/>
      </c>
      <c r="G1738" s="17" t="str">
        <f aca="false">IF(F1738="","",IFERROR(INDEX(Paketler!$C$5:$C$24,MATCH(C1738,Paketler!$A$5:$A$24,0)),0))</f>
        <v/>
      </c>
      <c r="H1738" s="17" t="str">
        <f aca="false">IF(F1738="","",G1738-E1738)</f>
        <v/>
      </c>
      <c r="I1738" s="18" t="str">
        <f aca="true">IF(F1738="","",F1738-TODAY())</f>
        <v/>
      </c>
      <c r="J1738" s="19" t="str">
        <f aca="true">IF(F1738="","",IF(TODAY()&lt;D1738,"Başlamadı",IF(TODAY()&gt;F1738,"Bitti",IF(F1738-TODAY()&lt;=7,"Bitiyor","Aktif"))))</f>
        <v/>
      </c>
      <c r="K1738" s="19" t="str">
        <f aca="false">IF(OR(J1738="Aktif",J1738="Bitiyor"),F1738+ROW()/1000000,"")</f>
        <v/>
      </c>
    </row>
    <row r="1739" customFormat="false" ht="15" hidden="false" customHeight="false" outlineLevel="0" collapsed="false">
      <c r="A1739" s="12"/>
      <c r="B1739" s="12"/>
      <c r="C1739" s="13"/>
      <c r="D1739" s="14"/>
      <c r="E1739" s="15"/>
      <c r="F1739" s="16" t="str">
        <f aca="false">IF(OR(C1739="",D1739=""),"",EDATE(D1739,IFERROR(INDEX(Paketler!$B$5:$B$24,MATCH(C1739,Paketler!$A$5:$A$24,0)),0))-1)</f>
        <v/>
      </c>
      <c r="G1739" s="17" t="str">
        <f aca="false">IF(F1739="","",IFERROR(INDEX(Paketler!$C$5:$C$24,MATCH(C1739,Paketler!$A$5:$A$24,0)),0))</f>
        <v/>
      </c>
      <c r="H1739" s="17" t="str">
        <f aca="false">IF(F1739="","",G1739-E1739)</f>
        <v/>
      </c>
      <c r="I1739" s="18" t="str">
        <f aca="true">IF(F1739="","",F1739-TODAY())</f>
        <v/>
      </c>
      <c r="J1739" s="19" t="str">
        <f aca="true">IF(F1739="","",IF(TODAY()&lt;D1739,"Başlamadı",IF(TODAY()&gt;F1739,"Bitti",IF(F1739-TODAY()&lt;=7,"Bitiyor","Aktif"))))</f>
        <v/>
      </c>
      <c r="K1739" s="19" t="str">
        <f aca="false">IF(OR(J1739="Aktif",J1739="Bitiyor"),F1739+ROW()/1000000,"")</f>
        <v/>
      </c>
    </row>
    <row r="1740" customFormat="false" ht="15" hidden="false" customHeight="false" outlineLevel="0" collapsed="false">
      <c r="A1740" s="12"/>
      <c r="B1740" s="12"/>
      <c r="C1740" s="13"/>
      <c r="D1740" s="14"/>
      <c r="E1740" s="15"/>
      <c r="F1740" s="16" t="str">
        <f aca="false">IF(OR(C1740="",D1740=""),"",EDATE(D1740,IFERROR(INDEX(Paketler!$B$5:$B$24,MATCH(C1740,Paketler!$A$5:$A$24,0)),0))-1)</f>
        <v/>
      </c>
      <c r="G1740" s="17" t="str">
        <f aca="false">IF(F1740="","",IFERROR(INDEX(Paketler!$C$5:$C$24,MATCH(C1740,Paketler!$A$5:$A$24,0)),0))</f>
        <v/>
      </c>
      <c r="H1740" s="17" t="str">
        <f aca="false">IF(F1740="","",G1740-E1740)</f>
        <v/>
      </c>
      <c r="I1740" s="18" t="str">
        <f aca="true">IF(F1740="","",F1740-TODAY())</f>
        <v/>
      </c>
      <c r="J1740" s="19" t="str">
        <f aca="true">IF(F1740="","",IF(TODAY()&lt;D1740,"Başlamadı",IF(TODAY()&gt;F1740,"Bitti",IF(F1740-TODAY()&lt;=7,"Bitiyor","Aktif"))))</f>
        <v/>
      </c>
      <c r="K1740" s="19" t="str">
        <f aca="false">IF(OR(J1740="Aktif",J1740="Bitiyor"),F1740+ROW()/1000000,"")</f>
        <v/>
      </c>
    </row>
    <row r="1741" customFormat="false" ht="15" hidden="false" customHeight="false" outlineLevel="0" collapsed="false">
      <c r="A1741" s="12"/>
      <c r="B1741" s="12"/>
      <c r="C1741" s="13"/>
      <c r="D1741" s="14"/>
      <c r="E1741" s="15"/>
      <c r="F1741" s="16" t="str">
        <f aca="false">IF(OR(C1741="",D1741=""),"",EDATE(D1741,IFERROR(INDEX(Paketler!$B$5:$B$24,MATCH(C1741,Paketler!$A$5:$A$24,0)),0))-1)</f>
        <v/>
      </c>
      <c r="G1741" s="17" t="str">
        <f aca="false">IF(F1741="","",IFERROR(INDEX(Paketler!$C$5:$C$24,MATCH(C1741,Paketler!$A$5:$A$24,0)),0))</f>
        <v/>
      </c>
      <c r="H1741" s="17" t="str">
        <f aca="false">IF(F1741="","",G1741-E1741)</f>
        <v/>
      </c>
      <c r="I1741" s="18" t="str">
        <f aca="true">IF(F1741="","",F1741-TODAY())</f>
        <v/>
      </c>
      <c r="J1741" s="19" t="str">
        <f aca="true">IF(F1741="","",IF(TODAY()&lt;D1741,"Başlamadı",IF(TODAY()&gt;F1741,"Bitti",IF(F1741-TODAY()&lt;=7,"Bitiyor","Aktif"))))</f>
        <v/>
      </c>
      <c r="K1741" s="19" t="str">
        <f aca="false">IF(OR(J1741="Aktif",J1741="Bitiyor"),F1741+ROW()/1000000,"")</f>
        <v/>
      </c>
    </row>
    <row r="1742" customFormat="false" ht="15" hidden="false" customHeight="false" outlineLevel="0" collapsed="false">
      <c r="A1742" s="12"/>
      <c r="B1742" s="12"/>
      <c r="C1742" s="13"/>
      <c r="D1742" s="14"/>
      <c r="E1742" s="15"/>
      <c r="F1742" s="16" t="str">
        <f aca="false">IF(OR(C1742="",D1742=""),"",EDATE(D1742,IFERROR(INDEX(Paketler!$B$5:$B$24,MATCH(C1742,Paketler!$A$5:$A$24,0)),0))-1)</f>
        <v/>
      </c>
      <c r="G1742" s="17" t="str">
        <f aca="false">IF(F1742="","",IFERROR(INDEX(Paketler!$C$5:$C$24,MATCH(C1742,Paketler!$A$5:$A$24,0)),0))</f>
        <v/>
      </c>
      <c r="H1742" s="17" t="str">
        <f aca="false">IF(F1742="","",G1742-E1742)</f>
        <v/>
      </c>
      <c r="I1742" s="18" t="str">
        <f aca="true">IF(F1742="","",F1742-TODAY())</f>
        <v/>
      </c>
      <c r="J1742" s="19" t="str">
        <f aca="true">IF(F1742="","",IF(TODAY()&lt;D1742,"Başlamadı",IF(TODAY()&gt;F1742,"Bitti",IF(F1742-TODAY()&lt;=7,"Bitiyor","Aktif"))))</f>
        <v/>
      </c>
      <c r="K1742" s="19" t="str">
        <f aca="false">IF(OR(J1742="Aktif",J1742="Bitiyor"),F1742+ROW()/1000000,"")</f>
        <v/>
      </c>
    </row>
    <row r="1743" customFormat="false" ht="15" hidden="false" customHeight="false" outlineLevel="0" collapsed="false">
      <c r="A1743" s="12"/>
      <c r="B1743" s="12"/>
      <c r="C1743" s="13"/>
      <c r="D1743" s="14"/>
      <c r="E1743" s="15"/>
      <c r="F1743" s="16" t="str">
        <f aca="false">IF(OR(C1743="",D1743=""),"",EDATE(D1743,IFERROR(INDEX(Paketler!$B$5:$B$24,MATCH(C1743,Paketler!$A$5:$A$24,0)),0))-1)</f>
        <v/>
      </c>
      <c r="G1743" s="17" t="str">
        <f aca="false">IF(F1743="","",IFERROR(INDEX(Paketler!$C$5:$C$24,MATCH(C1743,Paketler!$A$5:$A$24,0)),0))</f>
        <v/>
      </c>
      <c r="H1743" s="17" t="str">
        <f aca="false">IF(F1743="","",G1743-E1743)</f>
        <v/>
      </c>
      <c r="I1743" s="18" t="str">
        <f aca="true">IF(F1743="","",F1743-TODAY())</f>
        <v/>
      </c>
      <c r="J1743" s="19" t="str">
        <f aca="true">IF(F1743="","",IF(TODAY()&lt;D1743,"Başlamadı",IF(TODAY()&gt;F1743,"Bitti",IF(F1743-TODAY()&lt;=7,"Bitiyor","Aktif"))))</f>
        <v/>
      </c>
      <c r="K1743" s="19" t="str">
        <f aca="false">IF(OR(J1743="Aktif",J1743="Bitiyor"),F1743+ROW()/1000000,"")</f>
        <v/>
      </c>
    </row>
    <row r="1744" customFormat="false" ht="15" hidden="false" customHeight="false" outlineLevel="0" collapsed="false">
      <c r="A1744" s="12"/>
      <c r="B1744" s="12"/>
      <c r="C1744" s="13"/>
      <c r="D1744" s="14"/>
      <c r="E1744" s="15"/>
      <c r="F1744" s="16" t="str">
        <f aca="false">IF(OR(C1744="",D1744=""),"",EDATE(D1744,IFERROR(INDEX(Paketler!$B$5:$B$24,MATCH(C1744,Paketler!$A$5:$A$24,0)),0))-1)</f>
        <v/>
      </c>
      <c r="G1744" s="17" t="str">
        <f aca="false">IF(F1744="","",IFERROR(INDEX(Paketler!$C$5:$C$24,MATCH(C1744,Paketler!$A$5:$A$24,0)),0))</f>
        <v/>
      </c>
      <c r="H1744" s="17" t="str">
        <f aca="false">IF(F1744="","",G1744-E1744)</f>
        <v/>
      </c>
      <c r="I1744" s="18" t="str">
        <f aca="true">IF(F1744="","",F1744-TODAY())</f>
        <v/>
      </c>
      <c r="J1744" s="19" t="str">
        <f aca="true">IF(F1744="","",IF(TODAY()&lt;D1744,"Başlamadı",IF(TODAY()&gt;F1744,"Bitti",IF(F1744-TODAY()&lt;=7,"Bitiyor","Aktif"))))</f>
        <v/>
      </c>
      <c r="K1744" s="19" t="str">
        <f aca="false">IF(OR(J1744="Aktif",J1744="Bitiyor"),F1744+ROW()/1000000,"")</f>
        <v/>
      </c>
    </row>
    <row r="1745" customFormat="false" ht="15" hidden="false" customHeight="false" outlineLevel="0" collapsed="false">
      <c r="A1745" s="12"/>
      <c r="B1745" s="12"/>
      <c r="C1745" s="13"/>
      <c r="D1745" s="14"/>
      <c r="E1745" s="15"/>
      <c r="F1745" s="16" t="str">
        <f aca="false">IF(OR(C1745="",D1745=""),"",EDATE(D1745,IFERROR(INDEX(Paketler!$B$5:$B$24,MATCH(C1745,Paketler!$A$5:$A$24,0)),0))-1)</f>
        <v/>
      </c>
      <c r="G1745" s="17" t="str">
        <f aca="false">IF(F1745="","",IFERROR(INDEX(Paketler!$C$5:$C$24,MATCH(C1745,Paketler!$A$5:$A$24,0)),0))</f>
        <v/>
      </c>
      <c r="H1745" s="17" t="str">
        <f aca="false">IF(F1745="","",G1745-E1745)</f>
        <v/>
      </c>
      <c r="I1745" s="18" t="str">
        <f aca="true">IF(F1745="","",F1745-TODAY())</f>
        <v/>
      </c>
      <c r="J1745" s="19" t="str">
        <f aca="true">IF(F1745="","",IF(TODAY()&lt;D1745,"Başlamadı",IF(TODAY()&gt;F1745,"Bitti",IF(F1745-TODAY()&lt;=7,"Bitiyor","Aktif"))))</f>
        <v/>
      </c>
      <c r="K1745" s="19" t="str">
        <f aca="false">IF(OR(J1745="Aktif",J1745="Bitiyor"),F1745+ROW()/1000000,"")</f>
        <v/>
      </c>
    </row>
    <row r="1746" customFormat="false" ht="15" hidden="false" customHeight="false" outlineLevel="0" collapsed="false">
      <c r="A1746" s="12"/>
      <c r="B1746" s="12"/>
      <c r="C1746" s="13"/>
      <c r="D1746" s="14"/>
      <c r="E1746" s="15"/>
      <c r="F1746" s="16" t="str">
        <f aca="false">IF(OR(C1746="",D1746=""),"",EDATE(D1746,IFERROR(INDEX(Paketler!$B$5:$B$24,MATCH(C1746,Paketler!$A$5:$A$24,0)),0))-1)</f>
        <v/>
      </c>
      <c r="G1746" s="17" t="str">
        <f aca="false">IF(F1746="","",IFERROR(INDEX(Paketler!$C$5:$C$24,MATCH(C1746,Paketler!$A$5:$A$24,0)),0))</f>
        <v/>
      </c>
      <c r="H1746" s="17" t="str">
        <f aca="false">IF(F1746="","",G1746-E1746)</f>
        <v/>
      </c>
      <c r="I1746" s="18" t="str">
        <f aca="true">IF(F1746="","",F1746-TODAY())</f>
        <v/>
      </c>
      <c r="J1746" s="19" t="str">
        <f aca="true">IF(F1746="","",IF(TODAY()&lt;D1746,"Başlamadı",IF(TODAY()&gt;F1746,"Bitti",IF(F1746-TODAY()&lt;=7,"Bitiyor","Aktif"))))</f>
        <v/>
      </c>
      <c r="K1746" s="19" t="str">
        <f aca="false">IF(OR(J1746="Aktif",J1746="Bitiyor"),F1746+ROW()/1000000,"")</f>
        <v/>
      </c>
    </row>
    <row r="1747" customFormat="false" ht="15" hidden="false" customHeight="false" outlineLevel="0" collapsed="false">
      <c r="A1747" s="12"/>
      <c r="B1747" s="12"/>
      <c r="C1747" s="13"/>
      <c r="D1747" s="14"/>
      <c r="E1747" s="15"/>
      <c r="F1747" s="16" t="str">
        <f aca="false">IF(OR(C1747="",D1747=""),"",EDATE(D1747,IFERROR(INDEX(Paketler!$B$5:$B$24,MATCH(C1747,Paketler!$A$5:$A$24,0)),0))-1)</f>
        <v/>
      </c>
      <c r="G1747" s="17" t="str">
        <f aca="false">IF(F1747="","",IFERROR(INDEX(Paketler!$C$5:$C$24,MATCH(C1747,Paketler!$A$5:$A$24,0)),0))</f>
        <v/>
      </c>
      <c r="H1747" s="17" t="str">
        <f aca="false">IF(F1747="","",G1747-E1747)</f>
        <v/>
      </c>
      <c r="I1747" s="18" t="str">
        <f aca="true">IF(F1747="","",F1747-TODAY())</f>
        <v/>
      </c>
      <c r="J1747" s="19" t="str">
        <f aca="true">IF(F1747="","",IF(TODAY()&lt;D1747,"Başlamadı",IF(TODAY()&gt;F1747,"Bitti",IF(F1747-TODAY()&lt;=7,"Bitiyor","Aktif"))))</f>
        <v/>
      </c>
      <c r="K1747" s="19" t="str">
        <f aca="false">IF(OR(J1747="Aktif",J1747="Bitiyor"),F1747+ROW()/1000000,"")</f>
        <v/>
      </c>
    </row>
    <row r="1748" customFormat="false" ht="15" hidden="false" customHeight="false" outlineLevel="0" collapsed="false">
      <c r="A1748" s="12"/>
      <c r="B1748" s="12"/>
      <c r="C1748" s="13"/>
      <c r="D1748" s="14"/>
      <c r="E1748" s="15"/>
      <c r="F1748" s="16" t="str">
        <f aca="false">IF(OR(C1748="",D1748=""),"",EDATE(D1748,IFERROR(INDEX(Paketler!$B$5:$B$24,MATCH(C1748,Paketler!$A$5:$A$24,0)),0))-1)</f>
        <v/>
      </c>
      <c r="G1748" s="17" t="str">
        <f aca="false">IF(F1748="","",IFERROR(INDEX(Paketler!$C$5:$C$24,MATCH(C1748,Paketler!$A$5:$A$24,0)),0))</f>
        <v/>
      </c>
      <c r="H1748" s="17" t="str">
        <f aca="false">IF(F1748="","",G1748-E1748)</f>
        <v/>
      </c>
      <c r="I1748" s="18" t="str">
        <f aca="true">IF(F1748="","",F1748-TODAY())</f>
        <v/>
      </c>
      <c r="J1748" s="19" t="str">
        <f aca="true">IF(F1748="","",IF(TODAY()&lt;D1748,"Başlamadı",IF(TODAY()&gt;F1748,"Bitti",IF(F1748-TODAY()&lt;=7,"Bitiyor","Aktif"))))</f>
        <v/>
      </c>
      <c r="K1748" s="19" t="str">
        <f aca="false">IF(OR(J1748="Aktif",J1748="Bitiyor"),F1748+ROW()/1000000,"")</f>
        <v/>
      </c>
    </row>
    <row r="1749" customFormat="false" ht="15" hidden="false" customHeight="false" outlineLevel="0" collapsed="false">
      <c r="A1749" s="12"/>
      <c r="B1749" s="12"/>
      <c r="C1749" s="13"/>
      <c r="D1749" s="14"/>
      <c r="E1749" s="15"/>
      <c r="F1749" s="16" t="str">
        <f aca="false">IF(OR(C1749="",D1749=""),"",EDATE(D1749,IFERROR(INDEX(Paketler!$B$5:$B$24,MATCH(C1749,Paketler!$A$5:$A$24,0)),0))-1)</f>
        <v/>
      </c>
      <c r="G1749" s="17" t="str">
        <f aca="false">IF(F1749="","",IFERROR(INDEX(Paketler!$C$5:$C$24,MATCH(C1749,Paketler!$A$5:$A$24,0)),0))</f>
        <v/>
      </c>
      <c r="H1749" s="17" t="str">
        <f aca="false">IF(F1749="","",G1749-E1749)</f>
        <v/>
      </c>
      <c r="I1749" s="18" t="str">
        <f aca="true">IF(F1749="","",F1749-TODAY())</f>
        <v/>
      </c>
      <c r="J1749" s="19" t="str">
        <f aca="true">IF(F1749="","",IF(TODAY()&lt;D1749,"Başlamadı",IF(TODAY()&gt;F1749,"Bitti",IF(F1749-TODAY()&lt;=7,"Bitiyor","Aktif"))))</f>
        <v/>
      </c>
      <c r="K1749" s="19" t="str">
        <f aca="false">IF(OR(J1749="Aktif",J1749="Bitiyor"),F1749+ROW()/1000000,"")</f>
        <v/>
      </c>
    </row>
    <row r="1750" customFormat="false" ht="15" hidden="false" customHeight="false" outlineLevel="0" collapsed="false">
      <c r="A1750" s="12"/>
      <c r="B1750" s="12"/>
      <c r="C1750" s="13"/>
      <c r="D1750" s="14"/>
      <c r="E1750" s="15"/>
      <c r="F1750" s="16" t="str">
        <f aca="false">IF(OR(C1750="",D1750=""),"",EDATE(D1750,IFERROR(INDEX(Paketler!$B$5:$B$24,MATCH(C1750,Paketler!$A$5:$A$24,0)),0))-1)</f>
        <v/>
      </c>
      <c r="G1750" s="17" t="str">
        <f aca="false">IF(F1750="","",IFERROR(INDEX(Paketler!$C$5:$C$24,MATCH(C1750,Paketler!$A$5:$A$24,0)),0))</f>
        <v/>
      </c>
      <c r="H1750" s="17" t="str">
        <f aca="false">IF(F1750="","",G1750-E1750)</f>
        <v/>
      </c>
      <c r="I1750" s="18" t="str">
        <f aca="true">IF(F1750="","",F1750-TODAY())</f>
        <v/>
      </c>
      <c r="J1750" s="19" t="str">
        <f aca="true">IF(F1750="","",IF(TODAY()&lt;D1750,"Başlamadı",IF(TODAY()&gt;F1750,"Bitti",IF(F1750-TODAY()&lt;=7,"Bitiyor","Aktif"))))</f>
        <v/>
      </c>
      <c r="K1750" s="19" t="str">
        <f aca="false">IF(OR(J1750="Aktif",J1750="Bitiyor"),F1750+ROW()/1000000,"")</f>
        <v/>
      </c>
    </row>
    <row r="1751" customFormat="false" ht="15" hidden="false" customHeight="false" outlineLevel="0" collapsed="false">
      <c r="A1751" s="12"/>
      <c r="B1751" s="12"/>
      <c r="C1751" s="13"/>
      <c r="D1751" s="14"/>
      <c r="E1751" s="15"/>
      <c r="F1751" s="16" t="str">
        <f aca="false">IF(OR(C1751="",D1751=""),"",EDATE(D1751,IFERROR(INDEX(Paketler!$B$5:$B$24,MATCH(C1751,Paketler!$A$5:$A$24,0)),0))-1)</f>
        <v/>
      </c>
      <c r="G1751" s="17" t="str">
        <f aca="false">IF(F1751="","",IFERROR(INDEX(Paketler!$C$5:$C$24,MATCH(C1751,Paketler!$A$5:$A$24,0)),0))</f>
        <v/>
      </c>
      <c r="H1751" s="17" t="str">
        <f aca="false">IF(F1751="","",G1751-E1751)</f>
        <v/>
      </c>
      <c r="I1751" s="18" t="str">
        <f aca="true">IF(F1751="","",F1751-TODAY())</f>
        <v/>
      </c>
      <c r="J1751" s="19" t="str">
        <f aca="true">IF(F1751="","",IF(TODAY()&lt;D1751,"Başlamadı",IF(TODAY()&gt;F1751,"Bitti",IF(F1751-TODAY()&lt;=7,"Bitiyor","Aktif"))))</f>
        <v/>
      </c>
      <c r="K1751" s="19" t="str">
        <f aca="false">IF(OR(J1751="Aktif",J1751="Bitiyor"),F1751+ROW()/1000000,"")</f>
        <v/>
      </c>
    </row>
    <row r="1752" customFormat="false" ht="15" hidden="false" customHeight="false" outlineLevel="0" collapsed="false">
      <c r="A1752" s="12"/>
      <c r="B1752" s="12"/>
      <c r="C1752" s="13"/>
      <c r="D1752" s="14"/>
      <c r="E1752" s="15"/>
      <c r="F1752" s="16" t="str">
        <f aca="false">IF(OR(C1752="",D1752=""),"",EDATE(D1752,IFERROR(INDEX(Paketler!$B$5:$B$24,MATCH(C1752,Paketler!$A$5:$A$24,0)),0))-1)</f>
        <v/>
      </c>
      <c r="G1752" s="17" t="str">
        <f aca="false">IF(F1752="","",IFERROR(INDEX(Paketler!$C$5:$C$24,MATCH(C1752,Paketler!$A$5:$A$24,0)),0))</f>
        <v/>
      </c>
      <c r="H1752" s="17" t="str">
        <f aca="false">IF(F1752="","",G1752-E1752)</f>
        <v/>
      </c>
      <c r="I1752" s="18" t="str">
        <f aca="true">IF(F1752="","",F1752-TODAY())</f>
        <v/>
      </c>
      <c r="J1752" s="19" t="str">
        <f aca="true">IF(F1752="","",IF(TODAY()&lt;D1752,"Başlamadı",IF(TODAY()&gt;F1752,"Bitti",IF(F1752-TODAY()&lt;=7,"Bitiyor","Aktif"))))</f>
        <v/>
      </c>
      <c r="K1752" s="19" t="str">
        <f aca="false">IF(OR(J1752="Aktif",J1752="Bitiyor"),F1752+ROW()/1000000,"")</f>
        <v/>
      </c>
    </row>
    <row r="1753" customFormat="false" ht="15" hidden="false" customHeight="false" outlineLevel="0" collapsed="false">
      <c r="A1753" s="12"/>
      <c r="B1753" s="12"/>
      <c r="C1753" s="13"/>
      <c r="D1753" s="14"/>
      <c r="E1753" s="15"/>
      <c r="F1753" s="16" t="str">
        <f aca="false">IF(OR(C1753="",D1753=""),"",EDATE(D1753,IFERROR(INDEX(Paketler!$B$5:$B$24,MATCH(C1753,Paketler!$A$5:$A$24,0)),0))-1)</f>
        <v/>
      </c>
      <c r="G1753" s="17" t="str">
        <f aca="false">IF(F1753="","",IFERROR(INDEX(Paketler!$C$5:$C$24,MATCH(C1753,Paketler!$A$5:$A$24,0)),0))</f>
        <v/>
      </c>
      <c r="H1753" s="17" t="str">
        <f aca="false">IF(F1753="","",G1753-E1753)</f>
        <v/>
      </c>
      <c r="I1753" s="18" t="str">
        <f aca="true">IF(F1753="","",F1753-TODAY())</f>
        <v/>
      </c>
      <c r="J1753" s="19" t="str">
        <f aca="true">IF(F1753="","",IF(TODAY()&lt;D1753,"Başlamadı",IF(TODAY()&gt;F1753,"Bitti",IF(F1753-TODAY()&lt;=7,"Bitiyor","Aktif"))))</f>
        <v/>
      </c>
      <c r="K1753" s="19" t="str">
        <f aca="false">IF(OR(J1753="Aktif",J1753="Bitiyor"),F1753+ROW()/1000000,"")</f>
        <v/>
      </c>
    </row>
    <row r="1754" customFormat="false" ht="15" hidden="false" customHeight="false" outlineLevel="0" collapsed="false">
      <c r="A1754" s="12"/>
      <c r="B1754" s="12"/>
      <c r="C1754" s="13"/>
      <c r="D1754" s="14"/>
      <c r="E1754" s="15"/>
      <c r="F1754" s="16" t="str">
        <f aca="false">IF(OR(C1754="",D1754=""),"",EDATE(D1754,IFERROR(INDEX(Paketler!$B$5:$B$24,MATCH(C1754,Paketler!$A$5:$A$24,0)),0))-1)</f>
        <v/>
      </c>
      <c r="G1754" s="17" t="str">
        <f aca="false">IF(F1754="","",IFERROR(INDEX(Paketler!$C$5:$C$24,MATCH(C1754,Paketler!$A$5:$A$24,0)),0))</f>
        <v/>
      </c>
      <c r="H1754" s="17" t="str">
        <f aca="false">IF(F1754="","",G1754-E1754)</f>
        <v/>
      </c>
      <c r="I1754" s="18" t="str">
        <f aca="true">IF(F1754="","",F1754-TODAY())</f>
        <v/>
      </c>
      <c r="J1754" s="19" t="str">
        <f aca="true">IF(F1754="","",IF(TODAY()&lt;D1754,"Başlamadı",IF(TODAY()&gt;F1754,"Bitti",IF(F1754-TODAY()&lt;=7,"Bitiyor","Aktif"))))</f>
        <v/>
      </c>
      <c r="K1754" s="19" t="str">
        <f aca="false">IF(OR(J1754="Aktif",J1754="Bitiyor"),F1754+ROW()/1000000,"")</f>
        <v/>
      </c>
    </row>
    <row r="1755" customFormat="false" ht="15" hidden="false" customHeight="false" outlineLevel="0" collapsed="false">
      <c r="A1755" s="12"/>
      <c r="B1755" s="12"/>
      <c r="C1755" s="13"/>
      <c r="D1755" s="14"/>
      <c r="E1755" s="15"/>
      <c r="F1755" s="16" t="str">
        <f aca="false">IF(OR(C1755="",D1755=""),"",EDATE(D1755,IFERROR(INDEX(Paketler!$B$5:$B$24,MATCH(C1755,Paketler!$A$5:$A$24,0)),0))-1)</f>
        <v/>
      </c>
      <c r="G1755" s="17" t="str">
        <f aca="false">IF(F1755="","",IFERROR(INDEX(Paketler!$C$5:$C$24,MATCH(C1755,Paketler!$A$5:$A$24,0)),0))</f>
        <v/>
      </c>
      <c r="H1755" s="17" t="str">
        <f aca="false">IF(F1755="","",G1755-E1755)</f>
        <v/>
      </c>
      <c r="I1755" s="18" t="str">
        <f aca="true">IF(F1755="","",F1755-TODAY())</f>
        <v/>
      </c>
      <c r="J1755" s="19" t="str">
        <f aca="true">IF(F1755="","",IF(TODAY()&lt;D1755,"Başlamadı",IF(TODAY()&gt;F1755,"Bitti",IF(F1755-TODAY()&lt;=7,"Bitiyor","Aktif"))))</f>
        <v/>
      </c>
      <c r="K1755" s="19" t="str">
        <f aca="false">IF(OR(J1755="Aktif",J1755="Bitiyor"),F1755+ROW()/1000000,"")</f>
        <v/>
      </c>
    </row>
    <row r="1756" customFormat="false" ht="15" hidden="false" customHeight="false" outlineLevel="0" collapsed="false">
      <c r="A1756" s="12"/>
      <c r="B1756" s="12"/>
      <c r="C1756" s="13"/>
      <c r="D1756" s="14"/>
      <c r="E1756" s="15"/>
      <c r="F1756" s="16" t="str">
        <f aca="false">IF(OR(C1756="",D1756=""),"",EDATE(D1756,IFERROR(INDEX(Paketler!$B$5:$B$24,MATCH(C1756,Paketler!$A$5:$A$24,0)),0))-1)</f>
        <v/>
      </c>
      <c r="G1756" s="17" t="str">
        <f aca="false">IF(F1756="","",IFERROR(INDEX(Paketler!$C$5:$C$24,MATCH(C1756,Paketler!$A$5:$A$24,0)),0))</f>
        <v/>
      </c>
      <c r="H1756" s="17" t="str">
        <f aca="false">IF(F1756="","",G1756-E1756)</f>
        <v/>
      </c>
      <c r="I1756" s="18" t="str">
        <f aca="true">IF(F1756="","",F1756-TODAY())</f>
        <v/>
      </c>
      <c r="J1756" s="19" t="str">
        <f aca="true">IF(F1756="","",IF(TODAY()&lt;D1756,"Başlamadı",IF(TODAY()&gt;F1756,"Bitti",IF(F1756-TODAY()&lt;=7,"Bitiyor","Aktif"))))</f>
        <v/>
      </c>
      <c r="K1756" s="19" t="str">
        <f aca="false">IF(OR(J1756="Aktif",J1756="Bitiyor"),F1756+ROW()/1000000,"")</f>
        <v/>
      </c>
    </row>
    <row r="1757" customFormat="false" ht="15" hidden="false" customHeight="false" outlineLevel="0" collapsed="false">
      <c r="A1757" s="12"/>
      <c r="B1757" s="12"/>
      <c r="C1757" s="13"/>
      <c r="D1757" s="14"/>
      <c r="E1757" s="15"/>
      <c r="F1757" s="16" t="str">
        <f aca="false">IF(OR(C1757="",D1757=""),"",EDATE(D1757,IFERROR(INDEX(Paketler!$B$5:$B$24,MATCH(C1757,Paketler!$A$5:$A$24,0)),0))-1)</f>
        <v/>
      </c>
      <c r="G1757" s="17" t="str">
        <f aca="false">IF(F1757="","",IFERROR(INDEX(Paketler!$C$5:$C$24,MATCH(C1757,Paketler!$A$5:$A$24,0)),0))</f>
        <v/>
      </c>
      <c r="H1757" s="17" t="str">
        <f aca="false">IF(F1757="","",G1757-E1757)</f>
        <v/>
      </c>
      <c r="I1757" s="18" t="str">
        <f aca="true">IF(F1757="","",F1757-TODAY())</f>
        <v/>
      </c>
      <c r="J1757" s="19" t="str">
        <f aca="true">IF(F1757="","",IF(TODAY()&lt;D1757,"Başlamadı",IF(TODAY()&gt;F1757,"Bitti",IF(F1757-TODAY()&lt;=7,"Bitiyor","Aktif"))))</f>
        <v/>
      </c>
      <c r="K1757" s="19" t="str">
        <f aca="false">IF(OR(J1757="Aktif",J1757="Bitiyor"),F1757+ROW()/1000000,"")</f>
        <v/>
      </c>
    </row>
    <row r="1758" customFormat="false" ht="15" hidden="false" customHeight="false" outlineLevel="0" collapsed="false">
      <c r="A1758" s="12"/>
      <c r="B1758" s="12"/>
      <c r="C1758" s="13"/>
      <c r="D1758" s="14"/>
      <c r="E1758" s="15"/>
      <c r="F1758" s="16" t="str">
        <f aca="false">IF(OR(C1758="",D1758=""),"",EDATE(D1758,IFERROR(INDEX(Paketler!$B$5:$B$24,MATCH(C1758,Paketler!$A$5:$A$24,0)),0))-1)</f>
        <v/>
      </c>
      <c r="G1758" s="17" t="str">
        <f aca="false">IF(F1758="","",IFERROR(INDEX(Paketler!$C$5:$C$24,MATCH(C1758,Paketler!$A$5:$A$24,0)),0))</f>
        <v/>
      </c>
      <c r="H1758" s="17" t="str">
        <f aca="false">IF(F1758="","",G1758-E1758)</f>
        <v/>
      </c>
      <c r="I1758" s="18" t="str">
        <f aca="true">IF(F1758="","",F1758-TODAY())</f>
        <v/>
      </c>
      <c r="J1758" s="19" t="str">
        <f aca="true">IF(F1758="","",IF(TODAY()&lt;D1758,"Başlamadı",IF(TODAY()&gt;F1758,"Bitti",IF(F1758-TODAY()&lt;=7,"Bitiyor","Aktif"))))</f>
        <v/>
      </c>
      <c r="K1758" s="19" t="str">
        <f aca="false">IF(OR(J1758="Aktif",J1758="Bitiyor"),F1758+ROW()/1000000,"")</f>
        <v/>
      </c>
    </row>
    <row r="1759" customFormat="false" ht="15" hidden="false" customHeight="false" outlineLevel="0" collapsed="false">
      <c r="A1759" s="12"/>
      <c r="B1759" s="12"/>
      <c r="C1759" s="13"/>
      <c r="D1759" s="14"/>
      <c r="E1759" s="15"/>
      <c r="F1759" s="16" t="str">
        <f aca="false">IF(OR(C1759="",D1759=""),"",EDATE(D1759,IFERROR(INDEX(Paketler!$B$5:$B$24,MATCH(C1759,Paketler!$A$5:$A$24,0)),0))-1)</f>
        <v/>
      </c>
      <c r="G1759" s="17" t="str">
        <f aca="false">IF(F1759="","",IFERROR(INDEX(Paketler!$C$5:$C$24,MATCH(C1759,Paketler!$A$5:$A$24,0)),0))</f>
        <v/>
      </c>
      <c r="H1759" s="17" t="str">
        <f aca="false">IF(F1759="","",G1759-E1759)</f>
        <v/>
      </c>
      <c r="I1759" s="18" t="str">
        <f aca="true">IF(F1759="","",F1759-TODAY())</f>
        <v/>
      </c>
      <c r="J1759" s="19" t="str">
        <f aca="true">IF(F1759="","",IF(TODAY()&lt;D1759,"Başlamadı",IF(TODAY()&gt;F1759,"Bitti",IF(F1759-TODAY()&lt;=7,"Bitiyor","Aktif"))))</f>
        <v/>
      </c>
      <c r="K1759" s="19" t="str">
        <f aca="false">IF(OR(J1759="Aktif",J1759="Bitiyor"),F1759+ROW()/1000000,"")</f>
        <v/>
      </c>
    </row>
    <row r="1760" customFormat="false" ht="15" hidden="false" customHeight="false" outlineLevel="0" collapsed="false">
      <c r="A1760" s="12"/>
      <c r="B1760" s="12"/>
      <c r="C1760" s="13"/>
      <c r="D1760" s="14"/>
      <c r="E1760" s="15"/>
      <c r="F1760" s="16" t="str">
        <f aca="false">IF(OR(C1760="",D1760=""),"",EDATE(D1760,IFERROR(INDEX(Paketler!$B$5:$B$24,MATCH(C1760,Paketler!$A$5:$A$24,0)),0))-1)</f>
        <v/>
      </c>
      <c r="G1760" s="17" t="str">
        <f aca="false">IF(F1760="","",IFERROR(INDEX(Paketler!$C$5:$C$24,MATCH(C1760,Paketler!$A$5:$A$24,0)),0))</f>
        <v/>
      </c>
      <c r="H1760" s="17" t="str">
        <f aca="false">IF(F1760="","",G1760-E1760)</f>
        <v/>
      </c>
      <c r="I1760" s="18" t="str">
        <f aca="true">IF(F1760="","",F1760-TODAY())</f>
        <v/>
      </c>
      <c r="J1760" s="19" t="str">
        <f aca="true">IF(F1760="","",IF(TODAY()&lt;D1760,"Başlamadı",IF(TODAY()&gt;F1760,"Bitti",IF(F1760-TODAY()&lt;=7,"Bitiyor","Aktif"))))</f>
        <v/>
      </c>
      <c r="K1760" s="19" t="str">
        <f aca="false">IF(OR(J1760="Aktif",J1760="Bitiyor"),F1760+ROW()/1000000,"")</f>
        <v/>
      </c>
    </row>
    <row r="1761" customFormat="false" ht="15" hidden="false" customHeight="false" outlineLevel="0" collapsed="false">
      <c r="A1761" s="12"/>
      <c r="B1761" s="12"/>
      <c r="C1761" s="13"/>
      <c r="D1761" s="14"/>
      <c r="E1761" s="15"/>
      <c r="F1761" s="16" t="str">
        <f aca="false">IF(OR(C1761="",D1761=""),"",EDATE(D1761,IFERROR(INDEX(Paketler!$B$5:$B$24,MATCH(C1761,Paketler!$A$5:$A$24,0)),0))-1)</f>
        <v/>
      </c>
      <c r="G1761" s="17" t="str">
        <f aca="false">IF(F1761="","",IFERROR(INDEX(Paketler!$C$5:$C$24,MATCH(C1761,Paketler!$A$5:$A$24,0)),0))</f>
        <v/>
      </c>
      <c r="H1761" s="17" t="str">
        <f aca="false">IF(F1761="","",G1761-E1761)</f>
        <v/>
      </c>
      <c r="I1761" s="18" t="str">
        <f aca="true">IF(F1761="","",F1761-TODAY())</f>
        <v/>
      </c>
      <c r="J1761" s="19" t="str">
        <f aca="true">IF(F1761="","",IF(TODAY()&lt;D1761,"Başlamadı",IF(TODAY()&gt;F1761,"Bitti",IF(F1761-TODAY()&lt;=7,"Bitiyor","Aktif"))))</f>
        <v/>
      </c>
      <c r="K1761" s="19" t="str">
        <f aca="false">IF(OR(J1761="Aktif",J1761="Bitiyor"),F1761+ROW()/1000000,"")</f>
        <v/>
      </c>
    </row>
    <row r="1762" customFormat="false" ht="15" hidden="false" customHeight="false" outlineLevel="0" collapsed="false">
      <c r="A1762" s="12"/>
      <c r="B1762" s="12"/>
      <c r="C1762" s="13"/>
      <c r="D1762" s="14"/>
      <c r="E1762" s="15"/>
      <c r="F1762" s="16" t="str">
        <f aca="false">IF(OR(C1762="",D1762=""),"",EDATE(D1762,IFERROR(INDEX(Paketler!$B$5:$B$24,MATCH(C1762,Paketler!$A$5:$A$24,0)),0))-1)</f>
        <v/>
      </c>
      <c r="G1762" s="17" t="str">
        <f aca="false">IF(F1762="","",IFERROR(INDEX(Paketler!$C$5:$C$24,MATCH(C1762,Paketler!$A$5:$A$24,0)),0))</f>
        <v/>
      </c>
      <c r="H1762" s="17" t="str">
        <f aca="false">IF(F1762="","",G1762-E1762)</f>
        <v/>
      </c>
      <c r="I1762" s="18" t="str">
        <f aca="true">IF(F1762="","",F1762-TODAY())</f>
        <v/>
      </c>
      <c r="J1762" s="19" t="str">
        <f aca="true">IF(F1762="","",IF(TODAY()&lt;D1762,"Başlamadı",IF(TODAY()&gt;F1762,"Bitti",IF(F1762-TODAY()&lt;=7,"Bitiyor","Aktif"))))</f>
        <v/>
      </c>
      <c r="K1762" s="19" t="str">
        <f aca="false">IF(OR(J1762="Aktif",J1762="Bitiyor"),F1762+ROW()/1000000,"")</f>
        <v/>
      </c>
    </row>
    <row r="1763" customFormat="false" ht="15" hidden="false" customHeight="false" outlineLevel="0" collapsed="false">
      <c r="A1763" s="12"/>
      <c r="B1763" s="12"/>
      <c r="C1763" s="13"/>
      <c r="D1763" s="14"/>
      <c r="E1763" s="15"/>
      <c r="F1763" s="16" t="str">
        <f aca="false">IF(OR(C1763="",D1763=""),"",EDATE(D1763,IFERROR(INDEX(Paketler!$B$5:$B$24,MATCH(C1763,Paketler!$A$5:$A$24,0)),0))-1)</f>
        <v/>
      </c>
      <c r="G1763" s="17" t="str">
        <f aca="false">IF(F1763="","",IFERROR(INDEX(Paketler!$C$5:$C$24,MATCH(C1763,Paketler!$A$5:$A$24,0)),0))</f>
        <v/>
      </c>
      <c r="H1763" s="17" t="str">
        <f aca="false">IF(F1763="","",G1763-E1763)</f>
        <v/>
      </c>
      <c r="I1763" s="18" t="str">
        <f aca="true">IF(F1763="","",F1763-TODAY())</f>
        <v/>
      </c>
      <c r="J1763" s="19" t="str">
        <f aca="true">IF(F1763="","",IF(TODAY()&lt;D1763,"Başlamadı",IF(TODAY()&gt;F1763,"Bitti",IF(F1763-TODAY()&lt;=7,"Bitiyor","Aktif"))))</f>
        <v/>
      </c>
      <c r="K1763" s="19" t="str">
        <f aca="false">IF(OR(J1763="Aktif",J1763="Bitiyor"),F1763+ROW()/1000000,"")</f>
        <v/>
      </c>
    </row>
    <row r="1764" customFormat="false" ht="15" hidden="false" customHeight="false" outlineLevel="0" collapsed="false">
      <c r="A1764" s="12"/>
      <c r="B1764" s="12"/>
      <c r="C1764" s="13"/>
      <c r="D1764" s="14"/>
      <c r="E1764" s="15"/>
      <c r="F1764" s="16" t="str">
        <f aca="false">IF(OR(C1764="",D1764=""),"",EDATE(D1764,IFERROR(INDEX(Paketler!$B$5:$B$24,MATCH(C1764,Paketler!$A$5:$A$24,0)),0))-1)</f>
        <v/>
      </c>
      <c r="G1764" s="17" t="str">
        <f aca="false">IF(F1764="","",IFERROR(INDEX(Paketler!$C$5:$C$24,MATCH(C1764,Paketler!$A$5:$A$24,0)),0))</f>
        <v/>
      </c>
      <c r="H1764" s="17" t="str">
        <f aca="false">IF(F1764="","",G1764-E1764)</f>
        <v/>
      </c>
      <c r="I1764" s="18" t="str">
        <f aca="true">IF(F1764="","",F1764-TODAY())</f>
        <v/>
      </c>
      <c r="J1764" s="19" t="str">
        <f aca="true">IF(F1764="","",IF(TODAY()&lt;D1764,"Başlamadı",IF(TODAY()&gt;F1764,"Bitti",IF(F1764-TODAY()&lt;=7,"Bitiyor","Aktif"))))</f>
        <v/>
      </c>
      <c r="K1764" s="19" t="str">
        <f aca="false">IF(OR(J1764="Aktif",J1764="Bitiyor"),F1764+ROW()/1000000,"")</f>
        <v/>
      </c>
    </row>
    <row r="1765" customFormat="false" ht="15" hidden="false" customHeight="false" outlineLevel="0" collapsed="false">
      <c r="A1765" s="12"/>
      <c r="B1765" s="12"/>
      <c r="C1765" s="13"/>
      <c r="D1765" s="14"/>
      <c r="E1765" s="15"/>
      <c r="F1765" s="16" t="str">
        <f aca="false">IF(OR(C1765="",D1765=""),"",EDATE(D1765,IFERROR(INDEX(Paketler!$B$5:$B$24,MATCH(C1765,Paketler!$A$5:$A$24,0)),0))-1)</f>
        <v/>
      </c>
      <c r="G1765" s="17" t="str">
        <f aca="false">IF(F1765="","",IFERROR(INDEX(Paketler!$C$5:$C$24,MATCH(C1765,Paketler!$A$5:$A$24,0)),0))</f>
        <v/>
      </c>
      <c r="H1765" s="17" t="str">
        <f aca="false">IF(F1765="","",G1765-E1765)</f>
        <v/>
      </c>
      <c r="I1765" s="18" t="str">
        <f aca="true">IF(F1765="","",F1765-TODAY())</f>
        <v/>
      </c>
      <c r="J1765" s="19" t="str">
        <f aca="true">IF(F1765="","",IF(TODAY()&lt;D1765,"Başlamadı",IF(TODAY()&gt;F1765,"Bitti",IF(F1765-TODAY()&lt;=7,"Bitiyor","Aktif"))))</f>
        <v/>
      </c>
      <c r="K1765" s="19" t="str">
        <f aca="false">IF(OR(J1765="Aktif",J1765="Bitiyor"),F1765+ROW()/1000000,"")</f>
        <v/>
      </c>
    </row>
    <row r="1766" customFormat="false" ht="15" hidden="false" customHeight="false" outlineLevel="0" collapsed="false">
      <c r="A1766" s="12"/>
      <c r="B1766" s="12"/>
      <c r="C1766" s="13"/>
      <c r="D1766" s="14"/>
      <c r="E1766" s="15"/>
      <c r="F1766" s="16" t="str">
        <f aca="false">IF(OR(C1766="",D1766=""),"",EDATE(D1766,IFERROR(INDEX(Paketler!$B$5:$B$24,MATCH(C1766,Paketler!$A$5:$A$24,0)),0))-1)</f>
        <v/>
      </c>
      <c r="G1766" s="17" t="str">
        <f aca="false">IF(F1766="","",IFERROR(INDEX(Paketler!$C$5:$C$24,MATCH(C1766,Paketler!$A$5:$A$24,0)),0))</f>
        <v/>
      </c>
      <c r="H1766" s="17" t="str">
        <f aca="false">IF(F1766="","",G1766-E1766)</f>
        <v/>
      </c>
      <c r="I1766" s="18" t="str">
        <f aca="true">IF(F1766="","",F1766-TODAY())</f>
        <v/>
      </c>
      <c r="J1766" s="19" t="str">
        <f aca="true">IF(F1766="","",IF(TODAY()&lt;D1766,"Başlamadı",IF(TODAY()&gt;F1766,"Bitti",IF(F1766-TODAY()&lt;=7,"Bitiyor","Aktif"))))</f>
        <v/>
      </c>
      <c r="K1766" s="19" t="str">
        <f aca="false">IF(OR(J1766="Aktif",J1766="Bitiyor"),F1766+ROW()/1000000,"")</f>
        <v/>
      </c>
    </row>
    <row r="1767" customFormat="false" ht="15" hidden="false" customHeight="false" outlineLevel="0" collapsed="false">
      <c r="A1767" s="12"/>
      <c r="B1767" s="12"/>
      <c r="C1767" s="13"/>
      <c r="D1767" s="14"/>
      <c r="E1767" s="15"/>
      <c r="F1767" s="16" t="str">
        <f aca="false">IF(OR(C1767="",D1767=""),"",EDATE(D1767,IFERROR(INDEX(Paketler!$B$5:$B$24,MATCH(C1767,Paketler!$A$5:$A$24,0)),0))-1)</f>
        <v/>
      </c>
      <c r="G1767" s="17" t="str">
        <f aca="false">IF(F1767="","",IFERROR(INDEX(Paketler!$C$5:$C$24,MATCH(C1767,Paketler!$A$5:$A$24,0)),0))</f>
        <v/>
      </c>
      <c r="H1767" s="17" t="str">
        <f aca="false">IF(F1767="","",G1767-E1767)</f>
        <v/>
      </c>
      <c r="I1767" s="18" t="str">
        <f aca="true">IF(F1767="","",F1767-TODAY())</f>
        <v/>
      </c>
      <c r="J1767" s="19" t="str">
        <f aca="true">IF(F1767="","",IF(TODAY()&lt;D1767,"Başlamadı",IF(TODAY()&gt;F1767,"Bitti",IF(F1767-TODAY()&lt;=7,"Bitiyor","Aktif"))))</f>
        <v/>
      </c>
      <c r="K1767" s="19" t="str">
        <f aca="false">IF(OR(J1767="Aktif",J1767="Bitiyor"),F1767+ROW()/1000000,"")</f>
        <v/>
      </c>
    </row>
    <row r="1768" customFormat="false" ht="15" hidden="false" customHeight="false" outlineLevel="0" collapsed="false">
      <c r="A1768" s="12"/>
      <c r="B1768" s="12"/>
      <c r="C1768" s="13"/>
      <c r="D1768" s="14"/>
      <c r="E1768" s="15"/>
      <c r="F1768" s="16" t="str">
        <f aca="false">IF(OR(C1768="",D1768=""),"",EDATE(D1768,IFERROR(INDEX(Paketler!$B$5:$B$24,MATCH(C1768,Paketler!$A$5:$A$24,0)),0))-1)</f>
        <v/>
      </c>
      <c r="G1768" s="17" t="str">
        <f aca="false">IF(F1768="","",IFERROR(INDEX(Paketler!$C$5:$C$24,MATCH(C1768,Paketler!$A$5:$A$24,0)),0))</f>
        <v/>
      </c>
      <c r="H1768" s="17" t="str">
        <f aca="false">IF(F1768="","",G1768-E1768)</f>
        <v/>
      </c>
      <c r="I1768" s="18" t="str">
        <f aca="true">IF(F1768="","",F1768-TODAY())</f>
        <v/>
      </c>
      <c r="J1768" s="19" t="str">
        <f aca="true">IF(F1768="","",IF(TODAY()&lt;D1768,"Başlamadı",IF(TODAY()&gt;F1768,"Bitti",IF(F1768-TODAY()&lt;=7,"Bitiyor","Aktif"))))</f>
        <v/>
      </c>
      <c r="K1768" s="19" t="str">
        <f aca="false">IF(OR(J1768="Aktif",J1768="Bitiyor"),F1768+ROW()/1000000,"")</f>
        <v/>
      </c>
    </row>
    <row r="1769" customFormat="false" ht="15" hidden="false" customHeight="false" outlineLevel="0" collapsed="false">
      <c r="A1769" s="12"/>
      <c r="B1769" s="12"/>
      <c r="C1769" s="13"/>
      <c r="D1769" s="14"/>
      <c r="E1769" s="15"/>
      <c r="F1769" s="16" t="str">
        <f aca="false">IF(OR(C1769="",D1769=""),"",EDATE(D1769,IFERROR(INDEX(Paketler!$B$5:$B$24,MATCH(C1769,Paketler!$A$5:$A$24,0)),0))-1)</f>
        <v/>
      </c>
      <c r="G1769" s="17" t="str">
        <f aca="false">IF(F1769="","",IFERROR(INDEX(Paketler!$C$5:$C$24,MATCH(C1769,Paketler!$A$5:$A$24,0)),0))</f>
        <v/>
      </c>
      <c r="H1769" s="17" t="str">
        <f aca="false">IF(F1769="","",G1769-E1769)</f>
        <v/>
      </c>
      <c r="I1769" s="18" t="str">
        <f aca="true">IF(F1769="","",F1769-TODAY())</f>
        <v/>
      </c>
      <c r="J1769" s="19" t="str">
        <f aca="true">IF(F1769="","",IF(TODAY()&lt;D1769,"Başlamadı",IF(TODAY()&gt;F1769,"Bitti",IF(F1769-TODAY()&lt;=7,"Bitiyor","Aktif"))))</f>
        <v/>
      </c>
      <c r="K1769" s="19" t="str">
        <f aca="false">IF(OR(J1769="Aktif",J1769="Bitiyor"),F1769+ROW()/1000000,"")</f>
        <v/>
      </c>
    </row>
    <row r="1770" customFormat="false" ht="15" hidden="false" customHeight="false" outlineLevel="0" collapsed="false">
      <c r="A1770" s="12"/>
      <c r="B1770" s="12"/>
      <c r="C1770" s="13"/>
      <c r="D1770" s="14"/>
      <c r="E1770" s="15"/>
      <c r="F1770" s="16" t="str">
        <f aca="false">IF(OR(C1770="",D1770=""),"",EDATE(D1770,IFERROR(INDEX(Paketler!$B$5:$B$24,MATCH(C1770,Paketler!$A$5:$A$24,0)),0))-1)</f>
        <v/>
      </c>
      <c r="G1770" s="17" t="str">
        <f aca="false">IF(F1770="","",IFERROR(INDEX(Paketler!$C$5:$C$24,MATCH(C1770,Paketler!$A$5:$A$24,0)),0))</f>
        <v/>
      </c>
      <c r="H1770" s="17" t="str">
        <f aca="false">IF(F1770="","",G1770-E1770)</f>
        <v/>
      </c>
      <c r="I1770" s="18" t="str">
        <f aca="true">IF(F1770="","",F1770-TODAY())</f>
        <v/>
      </c>
      <c r="J1770" s="19" t="str">
        <f aca="true">IF(F1770="","",IF(TODAY()&lt;D1770,"Başlamadı",IF(TODAY()&gt;F1770,"Bitti",IF(F1770-TODAY()&lt;=7,"Bitiyor","Aktif"))))</f>
        <v/>
      </c>
      <c r="K1770" s="19" t="str">
        <f aca="false">IF(OR(J1770="Aktif",J1770="Bitiyor"),F1770+ROW()/1000000,"")</f>
        <v/>
      </c>
    </row>
    <row r="1771" customFormat="false" ht="15" hidden="false" customHeight="false" outlineLevel="0" collapsed="false">
      <c r="A1771" s="12"/>
      <c r="B1771" s="12"/>
      <c r="C1771" s="13"/>
      <c r="D1771" s="14"/>
      <c r="E1771" s="15"/>
      <c r="F1771" s="16" t="str">
        <f aca="false">IF(OR(C1771="",D1771=""),"",EDATE(D1771,IFERROR(INDEX(Paketler!$B$5:$B$24,MATCH(C1771,Paketler!$A$5:$A$24,0)),0))-1)</f>
        <v/>
      </c>
      <c r="G1771" s="17" t="str">
        <f aca="false">IF(F1771="","",IFERROR(INDEX(Paketler!$C$5:$C$24,MATCH(C1771,Paketler!$A$5:$A$24,0)),0))</f>
        <v/>
      </c>
      <c r="H1771" s="17" t="str">
        <f aca="false">IF(F1771="","",G1771-E1771)</f>
        <v/>
      </c>
      <c r="I1771" s="18" t="str">
        <f aca="true">IF(F1771="","",F1771-TODAY())</f>
        <v/>
      </c>
      <c r="J1771" s="19" t="str">
        <f aca="true">IF(F1771="","",IF(TODAY()&lt;D1771,"Başlamadı",IF(TODAY()&gt;F1771,"Bitti",IF(F1771-TODAY()&lt;=7,"Bitiyor","Aktif"))))</f>
        <v/>
      </c>
      <c r="K1771" s="19" t="str">
        <f aca="false">IF(OR(J1771="Aktif",J1771="Bitiyor"),F1771+ROW()/1000000,"")</f>
        <v/>
      </c>
    </row>
    <row r="1772" customFormat="false" ht="15" hidden="false" customHeight="false" outlineLevel="0" collapsed="false">
      <c r="A1772" s="12"/>
      <c r="B1772" s="12"/>
      <c r="C1772" s="13"/>
      <c r="D1772" s="14"/>
      <c r="E1772" s="15"/>
      <c r="F1772" s="16" t="str">
        <f aca="false">IF(OR(C1772="",D1772=""),"",EDATE(D1772,IFERROR(INDEX(Paketler!$B$5:$B$24,MATCH(C1772,Paketler!$A$5:$A$24,0)),0))-1)</f>
        <v/>
      </c>
      <c r="G1772" s="17" t="str">
        <f aca="false">IF(F1772="","",IFERROR(INDEX(Paketler!$C$5:$C$24,MATCH(C1772,Paketler!$A$5:$A$24,0)),0))</f>
        <v/>
      </c>
      <c r="H1772" s="17" t="str">
        <f aca="false">IF(F1772="","",G1772-E1772)</f>
        <v/>
      </c>
      <c r="I1772" s="18" t="str">
        <f aca="true">IF(F1772="","",F1772-TODAY())</f>
        <v/>
      </c>
      <c r="J1772" s="19" t="str">
        <f aca="true">IF(F1772="","",IF(TODAY()&lt;D1772,"Başlamadı",IF(TODAY()&gt;F1772,"Bitti",IF(F1772-TODAY()&lt;=7,"Bitiyor","Aktif"))))</f>
        <v/>
      </c>
      <c r="K1772" s="19" t="str">
        <f aca="false">IF(OR(J1772="Aktif",J1772="Bitiyor"),F1772+ROW()/1000000,"")</f>
        <v/>
      </c>
    </row>
    <row r="1773" customFormat="false" ht="15" hidden="false" customHeight="false" outlineLevel="0" collapsed="false">
      <c r="A1773" s="12"/>
      <c r="B1773" s="12"/>
      <c r="C1773" s="13"/>
      <c r="D1773" s="14"/>
      <c r="E1773" s="15"/>
      <c r="F1773" s="16" t="str">
        <f aca="false">IF(OR(C1773="",D1773=""),"",EDATE(D1773,IFERROR(INDEX(Paketler!$B$5:$B$24,MATCH(C1773,Paketler!$A$5:$A$24,0)),0))-1)</f>
        <v/>
      </c>
      <c r="G1773" s="17" t="str">
        <f aca="false">IF(F1773="","",IFERROR(INDEX(Paketler!$C$5:$C$24,MATCH(C1773,Paketler!$A$5:$A$24,0)),0))</f>
        <v/>
      </c>
      <c r="H1773" s="17" t="str">
        <f aca="false">IF(F1773="","",G1773-E1773)</f>
        <v/>
      </c>
      <c r="I1773" s="18" t="str">
        <f aca="true">IF(F1773="","",F1773-TODAY())</f>
        <v/>
      </c>
      <c r="J1773" s="19" t="str">
        <f aca="true">IF(F1773="","",IF(TODAY()&lt;D1773,"Başlamadı",IF(TODAY()&gt;F1773,"Bitti",IF(F1773-TODAY()&lt;=7,"Bitiyor","Aktif"))))</f>
        <v/>
      </c>
      <c r="K1773" s="19" t="str">
        <f aca="false">IF(OR(J1773="Aktif",J1773="Bitiyor"),F1773+ROW()/1000000,"")</f>
        <v/>
      </c>
    </row>
    <row r="1774" customFormat="false" ht="15" hidden="false" customHeight="false" outlineLevel="0" collapsed="false">
      <c r="A1774" s="12"/>
      <c r="B1774" s="12"/>
      <c r="C1774" s="13"/>
      <c r="D1774" s="14"/>
      <c r="E1774" s="15"/>
      <c r="F1774" s="16" t="str">
        <f aca="false">IF(OR(C1774="",D1774=""),"",EDATE(D1774,IFERROR(INDEX(Paketler!$B$5:$B$24,MATCH(C1774,Paketler!$A$5:$A$24,0)),0))-1)</f>
        <v/>
      </c>
      <c r="G1774" s="17" t="str">
        <f aca="false">IF(F1774="","",IFERROR(INDEX(Paketler!$C$5:$C$24,MATCH(C1774,Paketler!$A$5:$A$24,0)),0))</f>
        <v/>
      </c>
      <c r="H1774" s="17" t="str">
        <f aca="false">IF(F1774="","",G1774-E1774)</f>
        <v/>
      </c>
      <c r="I1774" s="18" t="str">
        <f aca="true">IF(F1774="","",F1774-TODAY())</f>
        <v/>
      </c>
      <c r="J1774" s="19" t="str">
        <f aca="true">IF(F1774="","",IF(TODAY()&lt;D1774,"Başlamadı",IF(TODAY()&gt;F1774,"Bitti",IF(F1774-TODAY()&lt;=7,"Bitiyor","Aktif"))))</f>
        <v/>
      </c>
      <c r="K1774" s="19" t="str">
        <f aca="false">IF(OR(J1774="Aktif",J1774="Bitiyor"),F1774+ROW()/1000000,"")</f>
        <v/>
      </c>
    </row>
    <row r="1775" customFormat="false" ht="15" hidden="false" customHeight="false" outlineLevel="0" collapsed="false">
      <c r="A1775" s="12"/>
      <c r="B1775" s="12"/>
      <c r="C1775" s="13"/>
      <c r="D1775" s="14"/>
      <c r="E1775" s="15"/>
      <c r="F1775" s="16" t="str">
        <f aca="false">IF(OR(C1775="",D1775=""),"",EDATE(D1775,IFERROR(INDEX(Paketler!$B$5:$B$24,MATCH(C1775,Paketler!$A$5:$A$24,0)),0))-1)</f>
        <v/>
      </c>
      <c r="G1775" s="17" t="str">
        <f aca="false">IF(F1775="","",IFERROR(INDEX(Paketler!$C$5:$C$24,MATCH(C1775,Paketler!$A$5:$A$24,0)),0))</f>
        <v/>
      </c>
      <c r="H1775" s="17" t="str">
        <f aca="false">IF(F1775="","",G1775-E1775)</f>
        <v/>
      </c>
      <c r="I1775" s="18" t="str">
        <f aca="true">IF(F1775="","",F1775-TODAY())</f>
        <v/>
      </c>
      <c r="J1775" s="19" t="str">
        <f aca="true">IF(F1775="","",IF(TODAY()&lt;D1775,"Başlamadı",IF(TODAY()&gt;F1775,"Bitti",IF(F1775-TODAY()&lt;=7,"Bitiyor","Aktif"))))</f>
        <v/>
      </c>
      <c r="K1775" s="19" t="str">
        <f aca="false">IF(OR(J1775="Aktif",J1775="Bitiyor"),F1775+ROW()/1000000,"")</f>
        <v/>
      </c>
    </row>
    <row r="1776" customFormat="false" ht="15" hidden="false" customHeight="false" outlineLevel="0" collapsed="false">
      <c r="A1776" s="12"/>
      <c r="B1776" s="12"/>
      <c r="C1776" s="13"/>
      <c r="D1776" s="14"/>
      <c r="E1776" s="15"/>
      <c r="F1776" s="16" t="str">
        <f aca="false">IF(OR(C1776="",D1776=""),"",EDATE(D1776,IFERROR(INDEX(Paketler!$B$5:$B$24,MATCH(C1776,Paketler!$A$5:$A$24,0)),0))-1)</f>
        <v/>
      </c>
      <c r="G1776" s="17" t="str">
        <f aca="false">IF(F1776="","",IFERROR(INDEX(Paketler!$C$5:$C$24,MATCH(C1776,Paketler!$A$5:$A$24,0)),0))</f>
        <v/>
      </c>
      <c r="H1776" s="17" t="str">
        <f aca="false">IF(F1776="","",G1776-E1776)</f>
        <v/>
      </c>
      <c r="I1776" s="18" t="str">
        <f aca="true">IF(F1776="","",F1776-TODAY())</f>
        <v/>
      </c>
      <c r="J1776" s="19" t="str">
        <f aca="true">IF(F1776="","",IF(TODAY()&lt;D1776,"Başlamadı",IF(TODAY()&gt;F1776,"Bitti",IF(F1776-TODAY()&lt;=7,"Bitiyor","Aktif"))))</f>
        <v/>
      </c>
      <c r="K1776" s="19" t="str">
        <f aca="false">IF(OR(J1776="Aktif",J1776="Bitiyor"),F1776+ROW()/1000000,"")</f>
        <v/>
      </c>
    </row>
    <row r="1777" customFormat="false" ht="15" hidden="false" customHeight="false" outlineLevel="0" collapsed="false">
      <c r="A1777" s="12"/>
      <c r="B1777" s="12"/>
      <c r="C1777" s="13"/>
      <c r="D1777" s="14"/>
      <c r="E1777" s="15"/>
      <c r="F1777" s="16" t="str">
        <f aca="false">IF(OR(C1777="",D1777=""),"",EDATE(D1777,IFERROR(INDEX(Paketler!$B$5:$B$24,MATCH(C1777,Paketler!$A$5:$A$24,0)),0))-1)</f>
        <v/>
      </c>
      <c r="G1777" s="17" t="str">
        <f aca="false">IF(F1777="","",IFERROR(INDEX(Paketler!$C$5:$C$24,MATCH(C1777,Paketler!$A$5:$A$24,0)),0))</f>
        <v/>
      </c>
      <c r="H1777" s="17" t="str">
        <f aca="false">IF(F1777="","",G1777-E1777)</f>
        <v/>
      </c>
      <c r="I1777" s="18" t="str">
        <f aca="true">IF(F1777="","",F1777-TODAY())</f>
        <v/>
      </c>
      <c r="J1777" s="19" t="str">
        <f aca="true">IF(F1777="","",IF(TODAY()&lt;D1777,"Başlamadı",IF(TODAY()&gt;F1777,"Bitti",IF(F1777-TODAY()&lt;=7,"Bitiyor","Aktif"))))</f>
        <v/>
      </c>
      <c r="K1777" s="19" t="str">
        <f aca="false">IF(OR(J1777="Aktif",J1777="Bitiyor"),F1777+ROW()/1000000,"")</f>
        <v/>
      </c>
    </row>
    <row r="1778" customFormat="false" ht="15" hidden="false" customHeight="false" outlineLevel="0" collapsed="false">
      <c r="A1778" s="12"/>
      <c r="B1778" s="12"/>
      <c r="C1778" s="13"/>
      <c r="D1778" s="14"/>
      <c r="E1778" s="15"/>
      <c r="F1778" s="16" t="str">
        <f aca="false">IF(OR(C1778="",D1778=""),"",EDATE(D1778,IFERROR(INDEX(Paketler!$B$5:$B$24,MATCH(C1778,Paketler!$A$5:$A$24,0)),0))-1)</f>
        <v/>
      </c>
      <c r="G1778" s="17" t="str">
        <f aca="false">IF(F1778="","",IFERROR(INDEX(Paketler!$C$5:$C$24,MATCH(C1778,Paketler!$A$5:$A$24,0)),0))</f>
        <v/>
      </c>
      <c r="H1778" s="17" t="str">
        <f aca="false">IF(F1778="","",G1778-E1778)</f>
        <v/>
      </c>
      <c r="I1778" s="18" t="str">
        <f aca="true">IF(F1778="","",F1778-TODAY())</f>
        <v/>
      </c>
      <c r="J1778" s="19" t="str">
        <f aca="true">IF(F1778="","",IF(TODAY()&lt;D1778,"Başlamadı",IF(TODAY()&gt;F1778,"Bitti",IF(F1778-TODAY()&lt;=7,"Bitiyor","Aktif"))))</f>
        <v/>
      </c>
      <c r="K1778" s="19" t="str">
        <f aca="false">IF(OR(J1778="Aktif",J1778="Bitiyor"),F1778+ROW()/1000000,"")</f>
        <v/>
      </c>
    </row>
    <row r="1779" customFormat="false" ht="15" hidden="false" customHeight="false" outlineLevel="0" collapsed="false">
      <c r="A1779" s="12"/>
      <c r="B1779" s="12"/>
      <c r="C1779" s="13"/>
      <c r="D1779" s="14"/>
      <c r="E1779" s="15"/>
      <c r="F1779" s="16" t="str">
        <f aca="false">IF(OR(C1779="",D1779=""),"",EDATE(D1779,IFERROR(INDEX(Paketler!$B$5:$B$24,MATCH(C1779,Paketler!$A$5:$A$24,0)),0))-1)</f>
        <v/>
      </c>
      <c r="G1779" s="17" t="str">
        <f aca="false">IF(F1779="","",IFERROR(INDEX(Paketler!$C$5:$C$24,MATCH(C1779,Paketler!$A$5:$A$24,0)),0))</f>
        <v/>
      </c>
      <c r="H1779" s="17" t="str">
        <f aca="false">IF(F1779="","",G1779-E1779)</f>
        <v/>
      </c>
      <c r="I1779" s="18" t="str">
        <f aca="true">IF(F1779="","",F1779-TODAY())</f>
        <v/>
      </c>
      <c r="J1779" s="19" t="str">
        <f aca="true">IF(F1779="","",IF(TODAY()&lt;D1779,"Başlamadı",IF(TODAY()&gt;F1779,"Bitti",IF(F1779-TODAY()&lt;=7,"Bitiyor","Aktif"))))</f>
        <v/>
      </c>
      <c r="K1779" s="19" t="str">
        <f aca="false">IF(OR(J1779="Aktif",J1779="Bitiyor"),F1779+ROW()/1000000,"")</f>
        <v/>
      </c>
    </row>
    <row r="1780" customFormat="false" ht="15" hidden="false" customHeight="false" outlineLevel="0" collapsed="false">
      <c r="A1780" s="12"/>
      <c r="B1780" s="12"/>
      <c r="C1780" s="13"/>
      <c r="D1780" s="14"/>
      <c r="E1780" s="15"/>
      <c r="F1780" s="16" t="str">
        <f aca="false">IF(OR(C1780="",D1780=""),"",EDATE(D1780,IFERROR(INDEX(Paketler!$B$5:$B$24,MATCH(C1780,Paketler!$A$5:$A$24,0)),0))-1)</f>
        <v/>
      </c>
      <c r="G1780" s="17" t="str">
        <f aca="false">IF(F1780="","",IFERROR(INDEX(Paketler!$C$5:$C$24,MATCH(C1780,Paketler!$A$5:$A$24,0)),0))</f>
        <v/>
      </c>
      <c r="H1780" s="17" t="str">
        <f aca="false">IF(F1780="","",G1780-E1780)</f>
        <v/>
      </c>
      <c r="I1780" s="18" t="str">
        <f aca="true">IF(F1780="","",F1780-TODAY())</f>
        <v/>
      </c>
      <c r="J1780" s="19" t="str">
        <f aca="true">IF(F1780="","",IF(TODAY()&lt;D1780,"Başlamadı",IF(TODAY()&gt;F1780,"Bitti",IF(F1780-TODAY()&lt;=7,"Bitiyor","Aktif"))))</f>
        <v/>
      </c>
      <c r="K1780" s="19" t="str">
        <f aca="false">IF(OR(J1780="Aktif",J1780="Bitiyor"),F1780+ROW()/1000000,"")</f>
        <v/>
      </c>
    </row>
    <row r="1781" customFormat="false" ht="15" hidden="false" customHeight="false" outlineLevel="0" collapsed="false">
      <c r="A1781" s="12"/>
      <c r="B1781" s="12"/>
      <c r="C1781" s="13"/>
      <c r="D1781" s="14"/>
      <c r="E1781" s="15"/>
      <c r="F1781" s="16" t="str">
        <f aca="false">IF(OR(C1781="",D1781=""),"",EDATE(D1781,IFERROR(INDEX(Paketler!$B$5:$B$24,MATCH(C1781,Paketler!$A$5:$A$24,0)),0))-1)</f>
        <v/>
      </c>
      <c r="G1781" s="17" t="str">
        <f aca="false">IF(F1781="","",IFERROR(INDEX(Paketler!$C$5:$C$24,MATCH(C1781,Paketler!$A$5:$A$24,0)),0))</f>
        <v/>
      </c>
      <c r="H1781" s="17" t="str">
        <f aca="false">IF(F1781="","",G1781-E1781)</f>
        <v/>
      </c>
      <c r="I1781" s="18" t="str">
        <f aca="true">IF(F1781="","",F1781-TODAY())</f>
        <v/>
      </c>
      <c r="J1781" s="19" t="str">
        <f aca="true">IF(F1781="","",IF(TODAY()&lt;D1781,"Başlamadı",IF(TODAY()&gt;F1781,"Bitti",IF(F1781-TODAY()&lt;=7,"Bitiyor","Aktif"))))</f>
        <v/>
      </c>
      <c r="K1781" s="19" t="str">
        <f aca="false">IF(OR(J1781="Aktif",J1781="Bitiyor"),F1781+ROW()/1000000,"")</f>
        <v/>
      </c>
    </row>
    <row r="1782" customFormat="false" ht="15" hidden="false" customHeight="false" outlineLevel="0" collapsed="false">
      <c r="A1782" s="12"/>
      <c r="B1782" s="12"/>
      <c r="C1782" s="13"/>
      <c r="D1782" s="14"/>
      <c r="E1782" s="15"/>
      <c r="F1782" s="16" t="str">
        <f aca="false">IF(OR(C1782="",D1782=""),"",EDATE(D1782,IFERROR(INDEX(Paketler!$B$5:$B$24,MATCH(C1782,Paketler!$A$5:$A$24,0)),0))-1)</f>
        <v/>
      </c>
      <c r="G1782" s="17" t="str">
        <f aca="false">IF(F1782="","",IFERROR(INDEX(Paketler!$C$5:$C$24,MATCH(C1782,Paketler!$A$5:$A$24,0)),0))</f>
        <v/>
      </c>
      <c r="H1782" s="17" t="str">
        <f aca="false">IF(F1782="","",G1782-E1782)</f>
        <v/>
      </c>
      <c r="I1782" s="18" t="str">
        <f aca="true">IF(F1782="","",F1782-TODAY())</f>
        <v/>
      </c>
      <c r="J1782" s="19" t="str">
        <f aca="true">IF(F1782="","",IF(TODAY()&lt;D1782,"Başlamadı",IF(TODAY()&gt;F1782,"Bitti",IF(F1782-TODAY()&lt;=7,"Bitiyor","Aktif"))))</f>
        <v/>
      </c>
      <c r="K1782" s="19" t="str">
        <f aca="false">IF(OR(J1782="Aktif",J1782="Bitiyor"),F1782+ROW()/1000000,"")</f>
        <v/>
      </c>
    </row>
    <row r="1783" customFormat="false" ht="15" hidden="false" customHeight="false" outlineLevel="0" collapsed="false">
      <c r="A1783" s="12"/>
      <c r="B1783" s="12"/>
      <c r="C1783" s="13"/>
      <c r="D1783" s="14"/>
      <c r="E1783" s="15"/>
      <c r="F1783" s="16" t="str">
        <f aca="false">IF(OR(C1783="",D1783=""),"",EDATE(D1783,IFERROR(INDEX(Paketler!$B$5:$B$24,MATCH(C1783,Paketler!$A$5:$A$24,0)),0))-1)</f>
        <v/>
      </c>
      <c r="G1783" s="17" t="str">
        <f aca="false">IF(F1783="","",IFERROR(INDEX(Paketler!$C$5:$C$24,MATCH(C1783,Paketler!$A$5:$A$24,0)),0))</f>
        <v/>
      </c>
      <c r="H1783" s="17" t="str">
        <f aca="false">IF(F1783="","",G1783-E1783)</f>
        <v/>
      </c>
      <c r="I1783" s="18" t="str">
        <f aca="true">IF(F1783="","",F1783-TODAY())</f>
        <v/>
      </c>
      <c r="J1783" s="19" t="str">
        <f aca="true">IF(F1783="","",IF(TODAY()&lt;D1783,"Başlamadı",IF(TODAY()&gt;F1783,"Bitti",IF(F1783-TODAY()&lt;=7,"Bitiyor","Aktif"))))</f>
        <v/>
      </c>
      <c r="K1783" s="19" t="str">
        <f aca="false">IF(OR(J1783="Aktif",J1783="Bitiyor"),F1783+ROW()/1000000,"")</f>
        <v/>
      </c>
    </row>
    <row r="1784" customFormat="false" ht="15" hidden="false" customHeight="false" outlineLevel="0" collapsed="false">
      <c r="A1784" s="12"/>
      <c r="B1784" s="12"/>
      <c r="C1784" s="13"/>
      <c r="D1784" s="14"/>
      <c r="E1784" s="15"/>
      <c r="F1784" s="16" t="str">
        <f aca="false">IF(OR(C1784="",D1784=""),"",EDATE(D1784,IFERROR(INDEX(Paketler!$B$5:$B$24,MATCH(C1784,Paketler!$A$5:$A$24,0)),0))-1)</f>
        <v/>
      </c>
      <c r="G1784" s="17" t="str">
        <f aca="false">IF(F1784="","",IFERROR(INDEX(Paketler!$C$5:$C$24,MATCH(C1784,Paketler!$A$5:$A$24,0)),0))</f>
        <v/>
      </c>
      <c r="H1784" s="17" t="str">
        <f aca="false">IF(F1784="","",G1784-E1784)</f>
        <v/>
      </c>
      <c r="I1784" s="18" t="str">
        <f aca="true">IF(F1784="","",F1784-TODAY())</f>
        <v/>
      </c>
      <c r="J1784" s="19" t="str">
        <f aca="true">IF(F1784="","",IF(TODAY()&lt;D1784,"Başlamadı",IF(TODAY()&gt;F1784,"Bitti",IF(F1784-TODAY()&lt;=7,"Bitiyor","Aktif"))))</f>
        <v/>
      </c>
      <c r="K1784" s="19" t="str">
        <f aca="false">IF(OR(J1784="Aktif",J1784="Bitiyor"),F1784+ROW()/1000000,"")</f>
        <v/>
      </c>
    </row>
    <row r="1785" customFormat="false" ht="15" hidden="false" customHeight="false" outlineLevel="0" collapsed="false">
      <c r="A1785" s="12"/>
      <c r="B1785" s="12"/>
      <c r="C1785" s="13"/>
      <c r="D1785" s="14"/>
      <c r="E1785" s="15"/>
      <c r="F1785" s="16" t="str">
        <f aca="false">IF(OR(C1785="",D1785=""),"",EDATE(D1785,IFERROR(INDEX(Paketler!$B$5:$B$24,MATCH(C1785,Paketler!$A$5:$A$24,0)),0))-1)</f>
        <v/>
      </c>
      <c r="G1785" s="17" t="str">
        <f aca="false">IF(F1785="","",IFERROR(INDEX(Paketler!$C$5:$C$24,MATCH(C1785,Paketler!$A$5:$A$24,0)),0))</f>
        <v/>
      </c>
      <c r="H1785" s="17" t="str">
        <f aca="false">IF(F1785="","",G1785-E1785)</f>
        <v/>
      </c>
      <c r="I1785" s="18" t="str">
        <f aca="true">IF(F1785="","",F1785-TODAY())</f>
        <v/>
      </c>
      <c r="J1785" s="19" t="str">
        <f aca="true">IF(F1785="","",IF(TODAY()&lt;D1785,"Başlamadı",IF(TODAY()&gt;F1785,"Bitti",IF(F1785-TODAY()&lt;=7,"Bitiyor","Aktif"))))</f>
        <v/>
      </c>
      <c r="K1785" s="19" t="str">
        <f aca="false">IF(OR(J1785="Aktif",J1785="Bitiyor"),F1785+ROW()/1000000,"")</f>
        <v/>
      </c>
    </row>
    <row r="1786" customFormat="false" ht="15" hidden="false" customHeight="false" outlineLevel="0" collapsed="false">
      <c r="A1786" s="12"/>
      <c r="B1786" s="12"/>
      <c r="C1786" s="13"/>
      <c r="D1786" s="14"/>
      <c r="E1786" s="15"/>
      <c r="F1786" s="16" t="str">
        <f aca="false">IF(OR(C1786="",D1786=""),"",EDATE(D1786,IFERROR(INDEX(Paketler!$B$5:$B$24,MATCH(C1786,Paketler!$A$5:$A$24,0)),0))-1)</f>
        <v/>
      </c>
      <c r="G1786" s="17" t="str">
        <f aca="false">IF(F1786="","",IFERROR(INDEX(Paketler!$C$5:$C$24,MATCH(C1786,Paketler!$A$5:$A$24,0)),0))</f>
        <v/>
      </c>
      <c r="H1786" s="17" t="str">
        <f aca="false">IF(F1786="","",G1786-E1786)</f>
        <v/>
      </c>
      <c r="I1786" s="18" t="str">
        <f aca="true">IF(F1786="","",F1786-TODAY())</f>
        <v/>
      </c>
      <c r="J1786" s="19" t="str">
        <f aca="true">IF(F1786="","",IF(TODAY()&lt;D1786,"Başlamadı",IF(TODAY()&gt;F1786,"Bitti",IF(F1786-TODAY()&lt;=7,"Bitiyor","Aktif"))))</f>
        <v/>
      </c>
      <c r="K1786" s="19" t="str">
        <f aca="false">IF(OR(J1786="Aktif",J1786="Bitiyor"),F1786+ROW()/1000000,"")</f>
        <v/>
      </c>
    </row>
    <row r="1787" customFormat="false" ht="15" hidden="false" customHeight="false" outlineLevel="0" collapsed="false">
      <c r="A1787" s="12"/>
      <c r="B1787" s="12"/>
      <c r="C1787" s="13"/>
      <c r="D1787" s="14"/>
      <c r="E1787" s="15"/>
      <c r="F1787" s="16" t="str">
        <f aca="false">IF(OR(C1787="",D1787=""),"",EDATE(D1787,IFERROR(INDEX(Paketler!$B$5:$B$24,MATCH(C1787,Paketler!$A$5:$A$24,0)),0))-1)</f>
        <v/>
      </c>
      <c r="G1787" s="17" t="str">
        <f aca="false">IF(F1787="","",IFERROR(INDEX(Paketler!$C$5:$C$24,MATCH(C1787,Paketler!$A$5:$A$24,0)),0))</f>
        <v/>
      </c>
      <c r="H1787" s="17" t="str">
        <f aca="false">IF(F1787="","",G1787-E1787)</f>
        <v/>
      </c>
      <c r="I1787" s="18" t="str">
        <f aca="true">IF(F1787="","",F1787-TODAY())</f>
        <v/>
      </c>
      <c r="J1787" s="19" t="str">
        <f aca="true">IF(F1787="","",IF(TODAY()&lt;D1787,"Başlamadı",IF(TODAY()&gt;F1787,"Bitti",IF(F1787-TODAY()&lt;=7,"Bitiyor","Aktif"))))</f>
        <v/>
      </c>
      <c r="K1787" s="19" t="str">
        <f aca="false">IF(OR(J1787="Aktif",J1787="Bitiyor"),F1787+ROW()/1000000,"")</f>
        <v/>
      </c>
    </row>
    <row r="1788" customFormat="false" ht="15" hidden="false" customHeight="false" outlineLevel="0" collapsed="false">
      <c r="A1788" s="12"/>
      <c r="B1788" s="12"/>
      <c r="C1788" s="13"/>
      <c r="D1788" s="14"/>
      <c r="E1788" s="15"/>
      <c r="F1788" s="16" t="str">
        <f aca="false">IF(OR(C1788="",D1788=""),"",EDATE(D1788,IFERROR(INDEX(Paketler!$B$5:$B$24,MATCH(C1788,Paketler!$A$5:$A$24,0)),0))-1)</f>
        <v/>
      </c>
      <c r="G1788" s="17" t="str">
        <f aca="false">IF(F1788="","",IFERROR(INDEX(Paketler!$C$5:$C$24,MATCH(C1788,Paketler!$A$5:$A$24,0)),0))</f>
        <v/>
      </c>
      <c r="H1788" s="17" t="str">
        <f aca="false">IF(F1788="","",G1788-E1788)</f>
        <v/>
      </c>
      <c r="I1788" s="18" t="str">
        <f aca="true">IF(F1788="","",F1788-TODAY())</f>
        <v/>
      </c>
      <c r="J1788" s="19" t="str">
        <f aca="true">IF(F1788="","",IF(TODAY()&lt;D1788,"Başlamadı",IF(TODAY()&gt;F1788,"Bitti",IF(F1788-TODAY()&lt;=7,"Bitiyor","Aktif"))))</f>
        <v/>
      </c>
      <c r="K1788" s="19" t="str">
        <f aca="false">IF(OR(J1788="Aktif",J1788="Bitiyor"),F1788+ROW()/1000000,"")</f>
        <v/>
      </c>
    </row>
    <row r="1789" customFormat="false" ht="15" hidden="false" customHeight="false" outlineLevel="0" collapsed="false">
      <c r="A1789" s="12"/>
      <c r="B1789" s="12"/>
      <c r="C1789" s="13"/>
      <c r="D1789" s="14"/>
      <c r="E1789" s="15"/>
      <c r="F1789" s="16" t="str">
        <f aca="false">IF(OR(C1789="",D1789=""),"",EDATE(D1789,IFERROR(INDEX(Paketler!$B$5:$B$24,MATCH(C1789,Paketler!$A$5:$A$24,0)),0))-1)</f>
        <v/>
      </c>
      <c r="G1789" s="17" t="str">
        <f aca="false">IF(F1789="","",IFERROR(INDEX(Paketler!$C$5:$C$24,MATCH(C1789,Paketler!$A$5:$A$24,0)),0))</f>
        <v/>
      </c>
      <c r="H1789" s="17" t="str">
        <f aca="false">IF(F1789="","",G1789-E1789)</f>
        <v/>
      </c>
      <c r="I1789" s="18" t="str">
        <f aca="true">IF(F1789="","",F1789-TODAY())</f>
        <v/>
      </c>
      <c r="J1789" s="19" t="str">
        <f aca="true">IF(F1789="","",IF(TODAY()&lt;D1789,"Başlamadı",IF(TODAY()&gt;F1789,"Bitti",IF(F1789-TODAY()&lt;=7,"Bitiyor","Aktif"))))</f>
        <v/>
      </c>
      <c r="K1789" s="19" t="str">
        <f aca="false">IF(OR(J1789="Aktif",J1789="Bitiyor"),F1789+ROW()/1000000,"")</f>
        <v/>
      </c>
    </row>
    <row r="1790" customFormat="false" ht="15" hidden="false" customHeight="false" outlineLevel="0" collapsed="false">
      <c r="A1790" s="12"/>
      <c r="B1790" s="12"/>
      <c r="C1790" s="13"/>
      <c r="D1790" s="14"/>
      <c r="E1790" s="15"/>
      <c r="F1790" s="16" t="str">
        <f aca="false">IF(OR(C1790="",D1790=""),"",EDATE(D1790,IFERROR(INDEX(Paketler!$B$5:$B$24,MATCH(C1790,Paketler!$A$5:$A$24,0)),0))-1)</f>
        <v/>
      </c>
      <c r="G1790" s="17" t="str">
        <f aca="false">IF(F1790="","",IFERROR(INDEX(Paketler!$C$5:$C$24,MATCH(C1790,Paketler!$A$5:$A$24,0)),0))</f>
        <v/>
      </c>
      <c r="H1790" s="17" t="str">
        <f aca="false">IF(F1790="","",G1790-E1790)</f>
        <v/>
      </c>
      <c r="I1790" s="18" t="str">
        <f aca="true">IF(F1790="","",F1790-TODAY())</f>
        <v/>
      </c>
      <c r="J1790" s="19" t="str">
        <f aca="true">IF(F1790="","",IF(TODAY()&lt;D1790,"Başlamadı",IF(TODAY()&gt;F1790,"Bitti",IF(F1790-TODAY()&lt;=7,"Bitiyor","Aktif"))))</f>
        <v/>
      </c>
      <c r="K1790" s="19" t="str">
        <f aca="false">IF(OR(J1790="Aktif",J1790="Bitiyor"),F1790+ROW()/1000000,"")</f>
        <v/>
      </c>
    </row>
    <row r="1791" customFormat="false" ht="15" hidden="false" customHeight="false" outlineLevel="0" collapsed="false">
      <c r="A1791" s="12"/>
      <c r="B1791" s="12"/>
      <c r="C1791" s="13"/>
      <c r="D1791" s="14"/>
      <c r="E1791" s="15"/>
      <c r="F1791" s="16" t="str">
        <f aca="false">IF(OR(C1791="",D1791=""),"",EDATE(D1791,IFERROR(INDEX(Paketler!$B$5:$B$24,MATCH(C1791,Paketler!$A$5:$A$24,0)),0))-1)</f>
        <v/>
      </c>
      <c r="G1791" s="17" t="str">
        <f aca="false">IF(F1791="","",IFERROR(INDEX(Paketler!$C$5:$C$24,MATCH(C1791,Paketler!$A$5:$A$24,0)),0))</f>
        <v/>
      </c>
      <c r="H1791" s="17" t="str">
        <f aca="false">IF(F1791="","",G1791-E1791)</f>
        <v/>
      </c>
      <c r="I1791" s="18" t="str">
        <f aca="true">IF(F1791="","",F1791-TODAY())</f>
        <v/>
      </c>
      <c r="J1791" s="19" t="str">
        <f aca="true">IF(F1791="","",IF(TODAY()&lt;D1791,"Başlamadı",IF(TODAY()&gt;F1791,"Bitti",IF(F1791-TODAY()&lt;=7,"Bitiyor","Aktif"))))</f>
        <v/>
      </c>
      <c r="K1791" s="19" t="str">
        <f aca="false">IF(OR(J1791="Aktif",J1791="Bitiyor"),F1791+ROW()/1000000,"")</f>
        <v/>
      </c>
    </row>
    <row r="1792" customFormat="false" ht="15" hidden="false" customHeight="false" outlineLevel="0" collapsed="false">
      <c r="A1792" s="12"/>
      <c r="B1792" s="12"/>
      <c r="C1792" s="13"/>
      <c r="D1792" s="14"/>
      <c r="E1792" s="15"/>
      <c r="F1792" s="16" t="str">
        <f aca="false">IF(OR(C1792="",D1792=""),"",EDATE(D1792,IFERROR(INDEX(Paketler!$B$5:$B$24,MATCH(C1792,Paketler!$A$5:$A$24,0)),0))-1)</f>
        <v/>
      </c>
      <c r="G1792" s="17" t="str">
        <f aca="false">IF(F1792="","",IFERROR(INDEX(Paketler!$C$5:$C$24,MATCH(C1792,Paketler!$A$5:$A$24,0)),0))</f>
        <v/>
      </c>
      <c r="H1792" s="17" t="str">
        <f aca="false">IF(F1792="","",G1792-E1792)</f>
        <v/>
      </c>
      <c r="I1792" s="18" t="str">
        <f aca="true">IF(F1792="","",F1792-TODAY())</f>
        <v/>
      </c>
      <c r="J1792" s="19" t="str">
        <f aca="true">IF(F1792="","",IF(TODAY()&lt;D1792,"Başlamadı",IF(TODAY()&gt;F1792,"Bitti",IF(F1792-TODAY()&lt;=7,"Bitiyor","Aktif"))))</f>
        <v/>
      </c>
      <c r="K1792" s="19" t="str">
        <f aca="false">IF(OR(J1792="Aktif",J1792="Bitiyor"),F1792+ROW()/1000000,"")</f>
        <v/>
      </c>
    </row>
    <row r="1793" customFormat="false" ht="15" hidden="false" customHeight="false" outlineLevel="0" collapsed="false">
      <c r="A1793" s="12"/>
      <c r="B1793" s="12"/>
      <c r="C1793" s="13"/>
      <c r="D1793" s="14"/>
      <c r="E1793" s="15"/>
      <c r="F1793" s="16" t="str">
        <f aca="false">IF(OR(C1793="",D1793=""),"",EDATE(D1793,IFERROR(INDEX(Paketler!$B$5:$B$24,MATCH(C1793,Paketler!$A$5:$A$24,0)),0))-1)</f>
        <v/>
      </c>
      <c r="G1793" s="17" t="str">
        <f aca="false">IF(F1793="","",IFERROR(INDEX(Paketler!$C$5:$C$24,MATCH(C1793,Paketler!$A$5:$A$24,0)),0))</f>
        <v/>
      </c>
      <c r="H1793" s="17" t="str">
        <f aca="false">IF(F1793="","",G1793-E1793)</f>
        <v/>
      </c>
      <c r="I1793" s="18" t="str">
        <f aca="true">IF(F1793="","",F1793-TODAY())</f>
        <v/>
      </c>
      <c r="J1793" s="19" t="str">
        <f aca="true">IF(F1793="","",IF(TODAY()&lt;D1793,"Başlamadı",IF(TODAY()&gt;F1793,"Bitti",IF(F1793-TODAY()&lt;=7,"Bitiyor","Aktif"))))</f>
        <v/>
      </c>
      <c r="K1793" s="19" t="str">
        <f aca="false">IF(OR(J1793="Aktif",J1793="Bitiyor"),F1793+ROW()/1000000,"")</f>
        <v/>
      </c>
    </row>
    <row r="1794" customFormat="false" ht="15" hidden="false" customHeight="false" outlineLevel="0" collapsed="false">
      <c r="A1794" s="12"/>
      <c r="B1794" s="12"/>
      <c r="C1794" s="13"/>
      <c r="D1794" s="14"/>
      <c r="E1794" s="15"/>
      <c r="F1794" s="16" t="str">
        <f aca="false">IF(OR(C1794="",D1794=""),"",EDATE(D1794,IFERROR(INDEX(Paketler!$B$5:$B$24,MATCH(C1794,Paketler!$A$5:$A$24,0)),0))-1)</f>
        <v/>
      </c>
      <c r="G1794" s="17" t="str">
        <f aca="false">IF(F1794="","",IFERROR(INDEX(Paketler!$C$5:$C$24,MATCH(C1794,Paketler!$A$5:$A$24,0)),0))</f>
        <v/>
      </c>
      <c r="H1794" s="17" t="str">
        <f aca="false">IF(F1794="","",G1794-E1794)</f>
        <v/>
      </c>
      <c r="I1794" s="18" t="str">
        <f aca="true">IF(F1794="","",F1794-TODAY())</f>
        <v/>
      </c>
      <c r="J1794" s="19" t="str">
        <f aca="true">IF(F1794="","",IF(TODAY()&lt;D1794,"Başlamadı",IF(TODAY()&gt;F1794,"Bitti",IF(F1794-TODAY()&lt;=7,"Bitiyor","Aktif"))))</f>
        <v/>
      </c>
      <c r="K1794" s="19" t="str">
        <f aca="false">IF(OR(J1794="Aktif",J1794="Bitiyor"),F1794+ROW()/1000000,"")</f>
        <v/>
      </c>
    </row>
    <row r="1795" customFormat="false" ht="15" hidden="false" customHeight="false" outlineLevel="0" collapsed="false">
      <c r="A1795" s="12"/>
      <c r="B1795" s="12"/>
      <c r="C1795" s="13"/>
      <c r="D1795" s="14"/>
      <c r="E1795" s="15"/>
      <c r="F1795" s="16" t="str">
        <f aca="false">IF(OR(C1795="",D1795=""),"",EDATE(D1795,IFERROR(INDEX(Paketler!$B$5:$B$24,MATCH(C1795,Paketler!$A$5:$A$24,0)),0))-1)</f>
        <v/>
      </c>
      <c r="G1795" s="17" t="str">
        <f aca="false">IF(F1795="","",IFERROR(INDEX(Paketler!$C$5:$C$24,MATCH(C1795,Paketler!$A$5:$A$24,0)),0))</f>
        <v/>
      </c>
      <c r="H1795" s="17" t="str">
        <f aca="false">IF(F1795="","",G1795-E1795)</f>
        <v/>
      </c>
      <c r="I1795" s="18" t="str">
        <f aca="true">IF(F1795="","",F1795-TODAY())</f>
        <v/>
      </c>
      <c r="J1795" s="19" t="str">
        <f aca="true">IF(F1795="","",IF(TODAY()&lt;D1795,"Başlamadı",IF(TODAY()&gt;F1795,"Bitti",IF(F1795-TODAY()&lt;=7,"Bitiyor","Aktif"))))</f>
        <v/>
      </c>
      <c r="K1795" s="19" t="str">
        <f aca="false">IF(OR(J1795="Aktif",J1795="Bitiyor"),F1795+ROW()/1000000,"")</f>
        <v/>
      </c>
    </row>
    <row r="1796" customFormat="false" ht="15" hidden="false" customHeight="false" outlineLevel="0" collapsed="false">
      <c r="A1796" s="12"/>
      <c r="B1796" s="12"/>
      <c r="C1796" s="13"/>
      <c r="D1796" s="14"/>
      <c r="E1796" s="15"/>
      <c r="F1796" s="16" t="str">
        <f aca="false">IF(OR(C1796="",D1796=""),"",EDATE(D1796,IFERROR(INDEX(Paketler!$B$5:$B$24,MATCH(C1796,Paketler!$A$5:$A$24,0)),0))-1)</f>
        <v/>
      </c>
      <c r="G1796" s="17" t="str">
        <f aca="false">IF(F1796="","",IFERROR(INDEX(Paketler!$C$5:$C$24,MATCH(C1796,Paketler!$A$5:$A$24,0)),0))</f>
        <v/>
      </c>
      <c r="H1796" s="17" t="str">
        <f aca="false">IF(F1796="","",G1796-E1796)</f>
        <v/>
      </c>
      <c r="I1796" s="18" t="str">
        <f aca="true">IF(F1796="","",F1796-TODAY())</f>
        <v/>
      </c>
      <c r="J1796" s="19" t="str">
        <f aca="true">IF(F1796="","",IF(TODAY()&lt;D1796,"Başlamadı",IF(TODAY()&gt;F1796,"Bitti",IF(F1796-TODAY()&lt;=7,"Bitiyor","Aktif"))))</f>
        <v/>
      </c>
      <c r="K1796" s="19" t="str">
        <f aca="false">IF(OR(J1796="Aktif",J1796="Bitiyor"),F1796+ROW()/1000000,"")</f>
        <v/>
      </c>
    </row>
    <row r="1797" customFormat="false" ht="15" hidden="false" customHeight="false" outlineLevel="0" collapsed="false">
      <c r="A1797" s="12"/>
      <c r="B1797" s="12"/>
      <c r="C1797" s="13"/>
      <c r="D1797" s="14"/>
      <c r="E1797" s="15"/>
      <c r="F1797" s="16" t="str">
        <f aca="false">IF(OR(C1797="",D1797=""),"",EDATE(D1797,IFERROR(INDEX(Paketler!$B$5:$B$24,MATCH(C1797,Paketler!$A$5:$A$24,0)),0))-1)</f>
        <v/>
      </c>
      <c r="G1797" s="17" t="str">
        <f aca="false">IF(F1797="","",IFERROR(INDEX(Paketler!$C$5:$C$24,MATCH(C1797,Paketler!$A$5:$A$24,0)),0))</f>
        <v/>
      </c>
      <c r="H1797" s="17" t="str">
        <f aca="false">IF(F1797="","",G1797-E1797)</f>
        <v/>
      </c>
      <c r="I1797" s="18" t="str">
        <f aca="true">IF(F1797="","",F1797-TODAY())</f>
        <v/>
      </c>
      <c r="J1797" s="19" t="str">
        <f aca="true">IF(F1797="","",IF(TODAY()&lt;D1797,"Başlamadı",IF(TODAY()&gt;F1797,"Bitti",IF(F1797-TODAY()&lt;=7,"Bitiyor","Aktif"))))</f>
        <v/>
      </c>
      <c r="K1797" s="19" t="str">
        <f aca="false">IF(OR(J1797="Aktif",J1797="Bitiyor"),F1797+ROW()/1000000,"")</f>
        <v/>
      </c>
    </row>
    <row r="1798" customFormat="false" ht="15" hidden="false" customHeight="false" outlineLevel="0" collapsed="false">
      <c r="A1798" s="12"/>
      <c r="B1798" s="12"/>
      <c r="C1798" s="13"/>
      <c r="D1798" s="14"/>
      <c r="E1798" s="15"/>
      <c r="F1798" s="16" t="str">
        <f aca="false">IF(OR(C1798="",D1798=""),"",EDATE(D1798,IFERROR(INDEX(Paketler!$B$5:$B$24,MATCH(C1798,Paketler!$A$5:$A$24,0)),0))-1)</f>
        <v/>
      </c>
      <c r="G1798" s="17" t="str">
        <f aca="false">IF(F1798="","",IFERROR(INDEX(Paketler!$C$5:$C$24,MATCH(C1798,Paketler!$A$5:$A$24,0)),0))</f>
        <v/>
      </c>
      <c r="H1798" s="17" t="str">
        <f aca="false">IF(F1798="","",G1798-E1798)</f>
        <v/>
      </c>
      <c r="I1798" s="18" t="str">
        <f aca="true">IF(F1798="","",F1798-TODAY())</f>
        <v/>
      </c>
      <c r="J1798" s="19" t="str">
        <f aca="true">IF(F1798="","",IF(TODAY()&lt;D1798,"Başlamadı",IF(TODAY()&gt;F1798,"Bitti",IF(F1798-TODAY()&lt;=7,"Bitiyor","Aktif"))))</f>
        <v/>
      </c>
      <c r="K1798" s="19" t="str">
        <f aca="false">IF(OR(J1798="Aktif",J1798="Bitiyor"),F1798+ROW()/1000000,"")</f>
        <v/>
      </c>
    </row>
    <row r="1799" customFormat="false" ht="15" hidden="false" customHeight="false" outlineLevel="0" collapsed="false">
      <c r="A1799" s="12"/>
      <c r="B1799" s="12"/>
      <c r="C1799" s="13"/>
      <c r="D1799" s="14"/>
      <c r="E1799" s="15"/>
      <c r="F1799" s="16" t="str">
        <f aca="false">IF(OR(C1799="",D1799=""),"",EDATE(D1799,IFERROR(INDEX(Paketler!$B$5:$B$24,MATCH(C1799,Paketler!$A$5:$A$24,0)),0))-1)</f>
        <v/>
      </c>
      <c r="G1799" s="17" t="str">
        <f aca="false">IF(F1799="","",IFERROR(INDEX(Paketler!$C$5:$C$24,MATCH(C1799,Paketler!$A$5:$A$24,0)),0))</f>
        <v/>
      </c>
      <c r="H1799" s="17" t="str">
        <f aca="false">IF(F1799="","",G1799-E1799)</f>
        <v/>
      </c>
      <c r="I1799" s="18" t="str">
        <f aca="true">IF(F1799="","",F1799-TODAY())</f>
        <v/>
      </c>
      <c r="J1799" s="19" t="str">
        <f aca="true">IF(F1799="","",IF(TODAY()&lt;D1799,"Başlamadı",IF(TODAY()&gt;F1799,"Bitti",IF(F1799-TODAY()&lt;=7,"Bitiyor","Aktif"))))</f>
        <v/>
      </c>
      <c r="K1799" s="19" t="str">
        <f aca="false">IF(OR(J1799="Aktif",J1799="Bitiyor"),F1799+ROW()/1000000,"")</f>
        <v/>
      </c>
    </row>
    <row r="1800" customFormat="false" ht="15" hidden="false" customHeight="false" outlineLevel="0" collapsed="false">
      <c r="A1800" s="12"/>
      <c r="B1800" s="12"/>
      <c r="C1800" s="13"/>
      <c r="D1800" s="14"/>
      <c r="E1800" s="15"/>
      <c r="F1800" s="16" t="str">
        <f aca="false">IF(OR(C1800="",D1800=""),"",EDATE(D1800,IFERROR(INDEX(Paketler!$B$5:$B$24,MATCH(C1800,Paketler!$A$5:$A$24,0)),0))-1)</f>
        <v/>
      </c>
      <c r="G1800" s="17" t="str">
        <f aca="false">IF(F1800="","",IFERROR(INDEX(Paketler!$C$5:$C$24,MATCH(C1800,Paketler!$A$5:$A$24,0)),0))</f>
        <v/>
      </c>
      <c r="H1800" s="17" t="str">
        <f aca="false">IF(F1800="","",G1800-E1800)</f>
        <v/>
      </c>
      <c r="I1800" s="18" t="str">
        <f aca="true">IF(F1800="","",F1800-TODAY())</f>
        <v/>
      </c>
      <c r="J1800" s="19" t="str">
        <f aca="true">IF(F1800="","",IF(TODAY()&lt;D1800,"Başlamadı",IF(TODAY()&gt;F1800,"Bitti",IF(F1800-TODAY()&lt;=7,"Bitiyor","Aktif"))))</f>
        <v/>
      </c>
      <c r="K1800" s="19" t="str">
        <f aca="false">IF(OR(J1800="Aktif",J1800="Bitiyor"),F1800+ROW()/1000000,"")</f>
        <v/>
      </c>
    </row>
    <row r="1801" customFormat="false" ht="15" hidden="false" customHeight="false" outlineLevel="0" collapsed="false">
      <c r="A1801" s="12"/>
      <c r="B1801" s="12"/>
      <c r="C1801" s="13"/>
      <c r="D1801" s="14"/>
      <c r="E1801" s="15"/>
      <c r="F1801" s="16" t="str">
        <f aca="false">IF(OR(C1801="",D1801=""),"",EDATE(D1801,IFERROR(INDEX(Paketler!$B$5:$B$24,MATCH(C1801,Paketler!$A$5:$A$24,0)),0))-1)</f>
        <v/>
      </c>
      <c r="G1801" s="17" t="str">
        <f aca="false">IF(F1801="","",IFERROR(INDEX(Paketler!$C$5:$C$24,MATCH(C1801,Paketler!$A$5:$A$24,0)),0))</f>
        <v/>
      </c>
      <c r="H1801" s="17" t="str">
        <f aca="false">IF(F1801="","",G1801-E1801)</f>
        <v/>
      </c>
      <c r="I1801" s="18" t="str">
        <f aca="true">IF(F1801="","",F1801-TODAY())</f>
        <v/>
      </c>
      <c r="J1801" s="19" t="str">
        <f aca="true">IF(F1801="","",IF(TODAY()&lt;D1801,"Başlamadı",IF(TODAY()&gt;F1801,"Bitti",IF(F1801-TODAY()&lt;=7,"Bitiyor","Aktif"))))</f>
        <v/>
      </c>
      <c r="K1801" s="19" t="str">
        <f aca="false">IF(OR(J1801="Aktif",J1801="Bitiyor"),F1801+ROW()/1000000,"")</f>
        <v/>
      </c>
    </row>
    <row r="1802" customFormat="false" ht="15" hidden="false" customHeight="false" outlineLevel="0" collapsed="false">
      <c r="A1802" s="12"/>
      <c r="B1802" s="12"/>
      <c r="C1802" s="13"/>
      <c r="D1802" s="14"/>
      <c r="E1802" s="15"/>
      <c r="F1802" s="16" t="str">
        <f aca="false">IF(OR(C1802="",D1802=""),"",EDATE(D1802,IFERROR(INDEX(Paketler!$B$5:$B$24,MATCH(C1802,Paketler!$A$5:$A$24,0)),0))-1)</f>
        <v/>
      </c>
      <c r="G1802" s="17" t="str">
        <f aca="false">IF(F1802="","",IFERROR(INDEX(Paketler!$C$5:$C$24,MATCH(C1802,Paketler!$A$5:$A$24,0)),0))</f>
        <v/>
      </c>
      <c r="H1802" s="17" t="str">
        <f aca="false">IF(F1802="","",G1802-E1802)</f>
        <v/>
      </c>
      <c r="I1802" s="18" t="str">
        <f aca="true">IF(F1802="","",F1802-TODAY())</f>
        <v/>
      </c>
      <c r="J1802" s="19" t="str">
        <f aca="true">IF(F1802="","",IF(TODAY()&lt;D1802,"Başlamadı",IF(TODAY()&gt;F1802,"Bitti",IF(F1802-TODAY()&lt;=7,"Bitiyor","Aktif"))))</f>
        <v/>
      </c>
      <c r="K1802" s="19" t="str">
        <f aca="false">IF(OR(J1802="Aktif",J1802="Bitiyor"),F1802+ROW()/1000000,"")</f>
        <v/>
      </c>
    </row>
    <row r="1803" customFormat="false" ht="15" hidden="false" customHeight="false" outlineLevel="0" collapsed="false">
      <c r="A1803" s="12"/>
      <c r="B1803" s="12"/>
      <c r="C1803" s="13"/>
      <c r="D1803" s="14"/>
      <c r="E1803" s="15"/>
      <c r="F1803" s="16" t="str">
        <f aca="false">IF(OR(C1803="",D1803=""),"",EDATE(D1803,IFERROR(INDEX(Paketler!$B$5:$B$24,MATCH(C1803,Paketler!$A$5:$A$24,0)),0))-1)</f>
        <v/>
      </c>
      <c r="G1803" s="17" t="str">
        <f aca="false">IF(F1803="","",IFERROR(INDEX(Paketler!$C$5:$C$24,MATCH(C1803,Paketler!$A$5:$A$24,0)),0))</f>
        <v/>
      </c>
      <c r="H1803" s="17" t="str">
        <f aca="false">IF(F1803="","",G1803-E1803)</f>
        <v/>
      </c>
      <c r="I1803" s="18" t="str">
        <f aca="true">IF(F1803="","",F1803-TODAY())</f>
        <v/>
      </c>
      <c r="J1803" s="19" t="str">
        <f aca="true">IF(F1803="","",IF(TODAY()&lt;D1803,"Başlamadı",IF(TODAY()&gt;F1803,"Bitti",IF(F1803-TODAY()&lt;=7,"Bitiyor","Aktif"))))</f>
        <v/>
      </c>
      <c r="K1803" s="19" t="str">
        <f aca="false">IF(OR(J1803="Aktif",J1803="Bitiyor"),F1803+ROW()/1000000,"")</f>
        <v/>
      </c>
    </row>
    <row r="1804" customFormat="false" ht="15" hidden="false" customHeight="false" outlineLevel="0" collapsed="false">
      <c r="A1804" s="12"/>
      <c r="B1804" s="12"/>
      <c r="C1804" s="13"/>
      <c r="D1804" s="14"/>
      <c r="E1804" s="15"/>
      <c r="F1804" s="16" t="str">
        <f aca="false">IF(OR(C1804="",D1804=""),"",EDATE(D1804,IFERROR(INDEX(Paketler!$B$5:$B$24,MATCH(C1804,Paketler!$A$5:$A$24,0)),0))-1)</f>
        <v/>
      </c>
      <c r="G1804" s="17" t="str">
        <f aca="false">IF(F1804="","",IFERROR(INDEX(Paketler!$C$5:$C$24,MATCH(C1804,Paketler!$A$5:$A$24,0)),0))</f>
        <v/>
      </c>
      <c r="H1804" s="17" t="str">
        <f aca="false">IF(F1804="","",G1804-E1804)</f>
        <v/>
      </c>
      <c r="I1804" s="18" t="str">
        <f aca="true">IF(F1804="","",F1804-TODAY())</f>
        <v/>
      </c>
      <c r="J1804" s="19" t="str">
        <f aca="true">IF(F1804="","",IF(TODAY()&lt;D1804,"Başlamadı",IF(TODAY()&gt;F1804,"Bitti",IF(F1804-TODAY()&lt;=7,"Bitiyor","Aktif"))))</f>
        <v/>
      </c>
      <c r="K1804" s="19" t="str">
        <f aca="false">IF(OR(J1804="Aktif",J1804="Bitiyor"),F1804+ROW()/1000000,"")</f>
        <v/>
      </c>
    </row>
    <row r="1805" customFormat="false" ht="15" hidden="false" customHeight="false" outlineLevel="0" collapsed="false">
      <c r="A1805" s="12"/>
      <c r="B1805" s="12"/>
      <c r="C1805" s="13"/>
      <c r="D1805" s="14"/>
      <c r="E1805" s="15"/>
      <c r="F1805" s="16" t="str">
        <f aca="false">IF(OR(C1805="",D1805=""),"",EDATE(D1805,IFERROR(INDEX(Paketler!$B$5:$B$24,MATCH(C1805,Paketler!$A$5:$A$24,0)),0))-1)</f>
        <v/>
      </c>
      <c r="G1805" s="17" t="str">
        <f aca="false">IF(F1805="","",IFERROR(INDEX(Paketler!$C$5:$C$24,MATCH(C1805,Paketler!$A$5:$A$24,0)),0))</f>
        <v/>
      </c>
      <c r="H1805" s="17" t="str">
        <f aca="false">IF(F1805="","",G1805-E1805)</f>
        <v/>
      </c>
      <c r="I1805" s="18" t="str">
        <f aca="true">IF(F1805="","",F1805-TODAY())</f>
        <v/>
      </c>
      <c r="J1805" s="19" t="str">
        <f aca="true">IF(F1805="","",IF(TODAY()&lt;D1805,"Başlamadı",IF(TODAY()&gt;F1805,"Bitti",IF(F1805-TODAY()&lt;=7,"Bitiyor","Aktif"))))</f>
        <v/>
      </c>
      <c r="K1805" s="19" t="str">
        <f aca="false">IF(OR(J1805="Aktif",J1805="Bitiyor"),F1805+ROW()/1000000,"")</f>
        <v/>
      </c>
    </row>
    <row r="1806" customFormat="false" ht="15" hidden="false" customHeight="false" outlineLevel="0" collapsed="false">
      <c r="A1806" s="12"/>
      <c r="B1806" s="12"/>
      <c r="C1806" s="13"/>
      <c r="D1806" s="14"/>
      <c r="E1806" s="15"/>
      <c r="F1806" s="16" t="str">
        <f aca="false">IF(OR(C1806="",D1806=""),"",EDATE(D1806,IFERROR(INDEX(Paketler!$B$5:$B$24,MATCH(C1806,Paketler!$A$5:$A$24,0)),0))-1)</f>
        <v/>
      </c>
      <c r="G1806" s="17" t="str">
        <f aca="false">IF(F1806="","",IFERROR(INDEX(Paketler!$C$5:$C$24,MATCH(C1806,Paketler!$A$5:$A$24,0)),0))</f>
        <v/>
      </c>
      <c r="H1806" s="17" t="str">
        <f aca="false">IF(F1806="","",G1806-E1806)</f>
        <v/>
      </c>
      <c r="I1806" s="18" t="str">
        <f aca="true">IF(F1806="","",F1806-TODAY())</f>
        <v/>
      </c>
      <c r="J1806" s="19" t="str">
        <f aca="true">IF(F1806="","",IF(TODAY()&lt;D1806,"Başlamadı",IF(TODAY()&gt;F1806,"Bitti",IF(F1806-TODAY()&lt;=7,"Bitiyor","Aktif"))))</f>
        <v/>
      </c>
      <c r="K1806" s="19" t="str">
        <f aca="false">IF(OR(J1806="Aktif",J1806="Bitiyor"),F1806+ROW()/1000000,"")</f>
        <v/>
      </c>
    </row>
    <row r="1807" customFormat="false" ht="15" hidden="false" customHeight="false" outlineLevel="0" collapsed="false">
      <c r="A1807" s="12"/>
      <c r="B1807" s="12"/>
      <c r="C1807" s="13"/>
      <c r="D1807" s="14"/>
      <c r="E1807" s="15"/>
      <c r="F1807" s="16" t="str">
        <f aca="false">IF(OR(C1807="",D1807=""),"",EDATE(D1807,IFERROR(INDEX(Paketler!$B$5:$B$24,MATCH(C1807,Paketler!$A$5:$A$24,0)),0))-1)</f>
        <v/>
      </c>
      <c r="G1807" s="17" t="str">
        <f aca="false">IF(F1807="","",IFERROR(INDEX(Paketler!$C$5:$C$24,MATCH(C1807,Paketler!$A$5:$A$24,0)),0))</f>
        <v/>
      </c>
      <c r="H1807" s="17" t="str">
        <f aca="false">IF(F1807="","",G1807-E1807)</f>
        <v/>
      </c>
      <c r="I1807" s="18" t="str">
        <f aca="true">IF(F1807="","",F1807-TODAY())</f>
        <v/>
      </c>
      <c r="J1807" s="19" t="str">
        <f aca="true">IF(F1807="","",IF(TODAY()&lt;D1807,"Başlamadı",IF(TODAY()&gt;F1807,"Bitti",IF(F1807-TODAY()&lt;=7,"Bitiyor","Aktif"))))</f>
        <v/>
      </c>
      <c r="K1807" s="19" t="str">
        <f aca="false">IF(OR(J1807="Aktif",J1807="Bitiyor"),F1807+ROW()/1000000,"")</f>
        <v/>
      </c>
    </row>
    <row r="1808" customFormat="false" ht="15" hidden="false" customHeight="false" outlineLevel="0" collapsed="false">
      <c r="A1808" s="12"/>
      <c r="B1808" s="12"/>
      <c r="C1808" s="13"/>
      <c r="D1808" s="14"/>
      <c r="E1808" s="15"/>
      <c r="F1808" s="16" t="str">
        <f aca="false">IF(OR(C1808="",D1808=""),"",EDATE(D1808,IFERROR(INDEX(Paketler!$B$5:$B$24,MATCH(C1808,Paketler!$A$5:$A$24,0)),0))-1)</f>
        <v/>
      </c>
      <c r="G1808" s="17" t="str">
        <f aca="false">IF(F1808="","",IFERROR(INDEX(Paketler!$C$5:$C$24,MATCH(C1808,Paketler!$A$5:$A$24,0)),0))</f>
        <v/>
      </c>
      <c r="H1808" s="17" t="str">
        <f aca="false">IF(F1808="","",G1808-E1808)</f>
        <v/>
      </c>
      <c r="I1808" s="18" t="str">
        <f aca="true">IF(F1808="","",F1808-TODAY())</f>
        <v/>
      </c>
      <c r="J1808" s="19" t="str">
        <f aca="true">IF(F1808="","",IF(TODAY()&lt;D1808,"Başlamadı",IF(TODAY()&gt;F1808,"Bitti",IF(F1808-TODAY()&lt;=7,"Bitiyor","Aktif"))))</f>
        <v/>
      </c>
      <c r="K1808" s="19" t="str">
        <f aca="false">IF(OR(J1808="Aktif",J1808="Bitiyor"),F1808+ROW()/1000000,"")</f>
        <v/>
      </c>
    </row>
    <row r="1809" customFormat="false" ht="15" hidden="false" customHeight="false" outlineLevel="0" collapsed="false">
      <c r="A1809" s="12"/>
      <c r="B1809" s="12"/>
      <c r="C1809" s="13"/>
      <c r="D1809" s="14"/>
      <c r="E1809" s="15"/>
      <c r="F1809" s="16" t="str">
        <f aca="false">IF(OR(C1809="",D1809=""),"",EDATE(D1809,IFERROR(INDEX(Paketler!$B$5:$B$24,MATCH(C1809,Paketler!$A$5:$A$24,0)),0))-1)</f>
        <v/>
      </c>
      <c r="G1809" s="17" t="str">
        <f aca="false">IF(F1809="","",IFERROR(INDEX(Paketler!$C$5:$C$24,MATCH(C1809,Paketler!$A$5:$A$24,0)),0))</f>
        <v/>
      </c>
      <c r="H1809" s="17" t="str">
        <f aca="false">IF(F1809="","",G1809-E1809)</f>
        <v/>
      </c>
      <c r="I1809" s="18" t="str">
        <f aca="true">IF(F1809="","",F1809-TODAY())</f>
        <v/>
      </c>
      <c r="J1809" s="19" t="str">
        <f aca="true">IF(F1809="","",IF(TODAY()&lt;D1809,"Başlamadı",IF(TODAY()&gt;F1809,"Bitti",IF(F1809-TODAY()&lt;=7,"Bitiyor","Aktif"))))</f>
        <v/>
      </c>
      <c r="K1809" s="19" t="str">
        <f aca="false">IF(OR(J1809="Aktif",J1809="Bitiyor"),F1809+ROW()/1000000,"")</f>
        <v/>
      </c>
    </row>
    <row r="1810" customFormat="false" ht="15" hidden="false" customHeight="false" outlineLevel="0" collapsed="false">
      <c r="A1810" s="12"/>
      <c r="B1810" s="12"/>
      <c r="C1810" s="13"/>
      <c r="D1810" s="14"/>
      <c r="E1810" s="15"/>
      <c r="F1810" s="16" t="str">
        <f aca="false">IF(OR(C1810="",D1810=""),"",EDATE(D1810,IFERROR(INDEX(Paketler!$B$5:$B$24,MATCH(C1810,Paketler!$A$5:$A$24,0)),0))-1)</f>
        <v/>
      </c>
      <c r="G1810" s="17" t="str">
        <f aca="false">IF(F1810="","",IFERROR(INDEX(Paketler!$C$5:$C$24,MATCH(C1810,Paketler!$A$5:$A$24,0)),0))</f>
        <v/>
      </c>
      <c r="H1810" s="17" t="str">
        <f aca="false">IF(F1810="","",G1810-E1810)</f>
        <v/>
      </c>
      <c r="I1810" s="18" t="str">
        <f aca="true">IF(F1810="","",F1810-TODAY())</f>
        <v/>
      </c>
      <c r="J1810" s="19" t="str">
        <f aca="true">IF(F1810="","",IF(TODAY()&lt;D1810,"Başlamadı",IF(TODAY()&gt;F1810,"Bitti",IF(F1810-TODAY()&lt;=7,"Bitiyor","Aktif"))))</f>
        <v/>
      </c>
      <c r="K1810" s="19" t="str">
        <f aca="false">IF(OR(J1810="Aktif",J1810="Bitiyor"),F1810+ROW()/1000000,"")</f>
        <v/>
      </c>
    </row>
    <row r="1811" customFormat="false" ht="15" hidden="false" customHeight="false" outlineLevel="0" collapsed="false">
      <c r="A1811" s="12"/>
      <c r="B1811" s="12"/>
      <c r="C1811" s="13"/>
      <c r="D1811" s="14"/>
      <c r="E1811" s="15"/>
      <c r="F1811" s="16" t="str">
        <f aca="false">IF(OR(C1811="",D1811=""),"",EDATE(D1811,IFERROR(INDEX(Paketler!$B$5:$B$24,MATCH(C1811,Paketler!$A$5:$A$24,0)),0))-1)</f>
        <v/>
      </c>
      <c r="G1811" s="17" t="str">
        <f aca="false">IF(F1811="","",IFERROR(INDEX(Paketler!$C$5:$C$24,MATCH(C1811,Paketler!$A$5:$A$24,0)),0))</f>
        <v/>
      </c>
      <c r="H1811" s="17" t="str">
        <f aca="false">IF(F1811="","",G1811-E1811)</f>
        <v/>
      </c>
      <c r="I1811" s="18" t="str">
        <f aca="true">IF(F1811="","",F1811-TODAY())</f>
        <v/>
      </c>
      <c r="J1811" s="19" t="str">
        <f aca="true">IF(F1811="","",IF(TODAY()&lt;D1811,"Başlamadı",IF(TODAY()&gt;F1811,"Bitti",IF(F1811-TODAY()&lt;=7,"Bitiyor","Aktif"))))</f>
        <v/>
      </c>
      <c r="K1811" s="19" t="str">
        <f aca="false">IF(OR(J1811="Aktif",J1811="Bitiyor"),F1811+ROW()/1000000,"")</f>
        <v/>
      </c>
    </row>
    <row r="1812" customFormat="false" ht="15" hidden="false" customHeight="false" outlineLevel="0" collapsed="false">
      <c r="A1812" s="12"/>
      <c r="B1812" s="12"/>
      <c r="C1812" s="13"/>
      <c r="D1812" s="14"/>
      <c r="E1812" s="15"/>
      <c r="F1812" s="16" t="str">
        <f aca="false">IF(OR(C1812="",D1812=""),"",EDATE(D1812,IFERROR(INDEX(Paketler!$B$5:$B$24,MATCH(C1812,Paketler!$A$5:$A$24,0)),0))-1)</f>
        <v/>
      </c>
      <c r="G1812" s="17" t="str">
        <f aca="false">IF(F1812="","",IFERROR(INDEX(Paketler!$C$5:$C$24,MATCH(C1812,Paketler!$A$5:$A$24,0)),0))</f>
        <v/>
      </c>
      <c r="H1812" s="17" t="str">
        <f aca="false">IF(F1812="","",G1812-E1812)</f>
        <v/>
      </c>
      <c r="I1812" s="18" t="str">
        <f aca="true">IF(F1812="","",F1812-TODAY())</f>
        <v/>
      </c>
      <c r="J1812" s="19" t="str">
        <f aca="true">IF(F1812="","",IF(TODAY()&lt;D1812,"Başlamadı",IF(TODAY()&gt;F1812,"Bitti",IF(F1812-TODAY()&lt;=7,"Bitiyor","Aktif"))))</f>
        <v/>
      </c>
      <c r="K1812" s="19" t="str">
        <f aca="false">IF(OR(J1812="Aktif",J1812="Bitiyor"),F1812+ROW()/1000000,"")</f>
        <v/>
      </c>
    </row>
    <row r="1813" customFormat="false" ht="15" hidden="false" customHeight="false" outlineLevel="0" collapsed="false">
      <c r="A1813" s="12"/>
      <c r="B1813" s="12"/>
      <c r="C1813" s="13"/>
      <c r="D1813" s="14"/>
      <c r="E1813" s="15"/>
      <c r="F1813" s="16" t="str">
        <f aca="false">IF(OR(C1813="",D1813=""),"",EDATE(D1813,IFERROR(INDEX(Paketler!$B$5:$B$24,MATCH(C1813,Paketler!$A$5:$A$24,0)),0))-1)</f>
        <v/>
      </c>
      <c r="G1813" s="17" t="str">
        <f aca="false">IF(F1813="","",IFERROR(INDEX(Paketler!$C$5:$C$24,MATCH(C1813,Paketler!$A$5:$A$24,0)),0))</f>
        <v/>
      </c>
      <c r="H1813" s="17" t="str">
        <f aca="false">IF(F1813="","",G1813-E1813)</f>
        <v/>
      </c>
      <c r="I1813" s="18" t="str">
        <f aca="true">IF(F1813="","",F1813-TODAY())</f>
        <v/>
      </c>
      <c r="J1813" s="19" t="str">
        <f aca="true">IF(F1813="","",IF(TODAY()&lt;D1813,"Başlamadı",IF(TODAY()&gt;F1813,"Bitti",IF(F1813-TODAY()&lt;=7,"Bitiyor","Aktif"))))</f>
        <v/>
      </c>
      <c r="K1813" s="19" t="str">
        <f aca="false">IF(OR(J1813="Aktif",J1813="Bitiyor"),F1813+ROW()/1000000,"")</f>
        <v/>
      </c>
    </row>
    <row r="1814" customFormat="false" ht="15" hidden="false" customHeight="false" outlineLevel="0" collapsed="false">
      <c r="A1814" s="12"/>
      <c r="B1814" s="12"/>
      <c r="C1814" s="13"/>
      <c r="D1814" s="14"/>
      <c r="E1814" s="15"/>
      <c r="F1814" s="16" t="str">
        <f aca="false">IF(OR(C1814="",D1814=""),"",EDATE(D1814,IFERROR(INDEX(Paketler!$B$5:$B$24,MATCH(C1814,Paketler!$A$5:$A$24,0)),0))-1)</f>
        <v/>
      </c>
      <c r="G1814" s="17" t="str">
        <f aca="false">IF(F1814="","",IFERROR(INDEX(Paketler!$C$5:$C$24,MATCH(C1814,Paketler!$A$5:$A$24,0)),0))</f>
        <v/>
      </c>
      <c r="H1814" s="17" t="str">
        <f aca="false">IF(F1814="","",G1814-E1814)</f>
        <v/>
      </c>
      <c r="I1814" s="18" t="str">
        <f aca="true">IF(F1814="","",F1814-TODAY())</f>
        <v/>
      </c>
      <c r="J1814" s="19" t="str">
        <f aca="true">IF(F1814="","",IF(TODAY()&lt;D1814,"Başlamadı",IF(TODAY()&gt;F1814,"Bitti",IF(F1814-TODAY()&lt;=7,"Bitiyor","Aktif"))))</f>
        <v/>
      </c>
      <c r="K1814" s="19" t="str">
        <f aca="false">IF(OR(J1814="Aktif",J1814="Bitiyor"),F1814+ROW()/1000000,"")</f>
        <v/>
      </c>
    </row>
    <row r="1815" customFormat="false" ht="15" hidden="false" customHeight="false" outlineLevel="0" collapsed="false">
      <c r="A1815" s="12"/>
      <c r="B1815" s="12"/>
      <c r="C1815" s="13"/>
      <c r="D1815" s="14"/>
      <c r="E1815" s="15"/>
      <c r="F1815" s="16" t="str">
        <f aca="false">IF(OR(C1815="",D1815=""),"",EDATE(D1815,IFERROR(INDEX(Paketler!$B$5:$B$24,MATCH(C1815,Paketler!$A$5:$A$24,0)),0))-1)</f>
        <v/>
      </c>
      <c r="G1815" s="17" t="str">
        <f aca="false">IF(F1815="","",IFERROR(INDEX(Paketler!$C$5:$C$24,MATCH(C1815,Paketler!$A$5:$A$24,0)),0))</f>
        <v/>
      </c>
      <c r="H1815" s="17" t="str">
        <f aca="false">IF(F1815="","",G1815-E1815)</f>
        <v/>
      </c>
      <c r="I1815" s="18" t="str">
        <f aca="true">IF(F1815="","",F1815-TODAY())</f>
        <v/>
      </c>
      <c r="J1815" s="19" t="str">
        <f aca="true">IF(F1815="","",IF(TODAY()&lt;D1815,"Başlamadı",IF(TODAY()&gt;F1815,"Bitti",IF(F1815-TODAY()&lt;=7,"Bitiyor","Aktif"))))</f>
        <v/>
      </c>
      <c r="K1815" s="19" t="str">
        <f aca="false">IF(OR(J1815="Aktif",J1815="Bitiyor"),F1815+ROW()/1000000,"")</f>
        <v/>
      </c>
    </row>
    <row r="1816" customFormat="false" ht="15" hidden="false" customHeight="false" outlineLevel="0" collapsed="false">
      <c r="A1816" s="12"/>
      <c r="B1816" s="12"/>
      <c r="C1816" s="13"/>
      <c r="D1816" s="14"/>
      <c r="E1816" s="15"/>
      <c r="F1816" s="16" t="str">
        <f aca="false">IF(OR(C1816="",D1816=""),"",EDATE(D1816,IFERROR(INDEX(Paketler!$B$5:$B$24,MATCH(C1816,Paketler!$A$5:$A$24,0)),0))-1)</f>
        <v/>
      </c>
      <c r="G1816" s="17" t="str">
        <f aca="false">IF(F1816="","",IFERROR(INDEX(Paketler!$C$5:$C$24,MATCH(C1816,Paketler!$A$5:$A$24,0)),0))</f>
        <v/>
      </c>
      <c r="H1816" s="17" t="str">
        <f aca="false">IF(F1816="","",G1816-E1816)</f>
        <v/>
      </c>
      <c r="I1816" s="18" t="str">
        <f aca="true">IF(F1816="","",F1816-TODAY())</f>
        <v/>
      </c>
      <c r="J1816" s="19" t="str">
        <f aca="true">IF(F1816="","",IF(TODAY()&lt;D1816,"Başlamadı",IF(TODAY()&gt;F1816,"Bitti",IF(F1816-TODAY()&lt;=7,"Bitiyor","Aktif"))))</f>
        <v/>
      </c>
      <c r="K1816" s="19" t="str">
        <f aca="false">IF(OR(J1816="Aktif",J1816="Bitiyor"),F1816+ROW()/1000000,"")</f>
        <v/>
      </c>
    </row>
    <row r="1817" customFormat="false" ht="15" hidden="false" customHeight="false" outlineLevel="0" collapsed="false">
      <c r="A1817" s="12"/>
      <c r="B1817" s="12"/>
      <c r="C1817" s="13"/>
      <c r="D1817" s="14"/>
      <c r="E1817" s="15"/>
      <c r="F1817" s="16" t="str">
        <f aca="false">IF(OR(C1817="",D1817=""),"",EDATE(D1817,IFERROR(INDEX(Paketler!$B$5:$B$24,MATCH(C1817,Paketler!$A$5:$A$24,0)),0))-1)</f>
        <v/>
      </c>
      <c r="G1817" s="17" t="str">
        <f aca="false">IF(F1817="","",IFERROR(INDEX(Paketler!$C$5:$C$24,MATCH(C1817,Paketler!$A$5:$A$24,0)),0))</f>
        <v/>
      </c>
      <c r="H1817" s="17" t="str">
        <f aca="false">IF(F1817="","",G1817-E1817)</f>
        <v/>
      </c>
      <c r="I1817" s="18" t="str">
        <f aca="true">IF(F1817="","",F1817-TODAY())</f>
        <v/>
      </c>
      <c r="J1817" s="19" t="str">
        <f aca="true">IF(F1817="","",IF(TODAY()&lt;D1817,"Başlamadı",IF(TODAY()&gt;F1817,"Bitti",IF(F1817-TODAY()&lt;=7,"Bitiyor","Aktif"))))</f>
        <v/>
      </c>
      <c r="K1817" s="19" t="str">
        <f aca="false">IF(OR(J1817="Aktif",J1817="Bitiyor"),F1817+ROW()/1000000,"")</f>
        <v/>
      </c>
    </row>
    <row r="1818" customFormat="false" ht="15" hidden="false" customHeight="false" outlineLevel="0" collapsed="false">
      <c r="A1818" s="12"/>
      <c r="B1818" s="12"/>
      <c r="C1818" s="13"/>
      <c r="D1818" s="14"/>
      <c r="E1818" s="15"/>
      <c r="F1818" s="16" t="str">
        <f aca="false">IF(OR(C1818="",D1818=""),"",EDATE(D1818,IFERROR(INDEX(Paketler!$B$5:$B$24,MATCH(C1818,Paketler!$A$5:$A$24,0)),0))-1)</f>
        <v/>
      </c>
      <c r="G1818" s="17" t="str">
        <f aca="false">IF(F1818="","",IFERROR(INDEX(Paketler!$C$5:$C$24,MATCH(C1818,Paketler!$A$5:$A$24,0)),0))</f>
        <v/>
      </c>
      <c r="H1818" s="17" t="str">
        <f aca="false">IF(F1818="","",G1818-E1818)</f>
        <v/>
      </c>
      <c r="I1818" s="18" t="str">
        <f aca="true">IF(F1818="","",F1818-TODAY())</f>
        <v/>
      </c>
      <c r="J1818" s="19" t="str">
        <f aca="true">IF(F1818="","",IF(TODAY()&lt;D1818,"Başlamadı",IF(TODAY()&gt;F1818,"Bitti",IF(F1818-TODAY()&lt;=7,"Bitiyor","Aktif"))))</f>
        <v/>
      </c>
      <c r="K1818" s="19" t="str">
        <f aca="false">IF(OR(J1818="Aktif",J1818="Bitiyor"),F1818+ROW()/1000000,"")</f>
        <v/>
      </c>
    </row>
    <row r="1819" customFormat="false" ht="15" hidden="false" customHeight="false" outlineLevel="0" collapsed="false">
      <c r="A1819" s="12"/>
      <c r="B1819" s="12"/>
      <c r="C1819" s="13"/>
      <c r="D1819" s="14"/>
      <c r="E1819" s="15"/>
      <c r="F1819" s="16" t="str">
        <f aca="false">IF(OR(C1819="",D1819=""),"",EDATE(D1819,IFERROR(INDEX(Paketler!$B$5:$B$24,MATCH(C1819,Paketler!$A$5:$A$24,0)),0))-1)</f>
        <v/>
      </c>
      <c r="G1819" s="17" t="str">
        <f aca="false">IF(F1819="","",IFERROR(INDEX(Paketler!$C$5:$C$24,MATCH(C1819,Paketler!$A$5:$A$24,0)),0))</f>
        <v/>
      </c>
      <c r="H1819" s="17" t="str">
        <f aca="false">IF(F1819="","",G1819-E1819)</f>
        <v/>
      </c>
      <c r="I1819" s="18" t="str">
        <f aca="true">IF(F1819="","",F1819-TODAY())</f>
        <v/>
      </c>
      <c r="J1819" s="19" t="str">
        <f aca="true">IF(F1819="","",IF(TODAY()&lt;D1819,"Başlamadı",IF(TODAY()&gt;F1819,"Bitti",IF(F1819-TODAY()&lt;=7,"Bitiyor","Aktif"))))</f>
        <v/>
      </c>
      <c r="K1819" s="19" t="str">
        <f aca="false">IF(OR(J1819="Aktif",J1819="Bitiyor"),F1819+ROW()/1000000,"")</f>
        <v/>
      </c>
    </row>
    <row r="1820" customFormat="false" ht="15" hidden="false" customHeight="false" outlineLevel="0" collapsed="false">
      <c r="A1820" s="12"/>
      <c r="B1820" s="12"/>
      <c r="C1820" s="13"/>
      <c r="D1820" s="14"/>
      <c r="E1820" s="15"/>
      <c r="F1820" s="16" t="str">
        <f aca="false">IF(OR(C1820="",D1820=""),"",EDATE(D1820,IFERROR(INDEX(Paketler!$B$5:$B$24,MATCH(C1820,Paketler!$A$5:$A$24,0)),0))-1)</f>
        <v/>
      </c>
      <c r="G1820" s="17" t="str">
        <f aca="false">IF(F1820="","",IFERROR(INDEX(Paketler!$C$5:$C$24,MATCH(C1820,Paketler!$A$5:$A$24,0)),0))</f>
        <v/>
      </c>
      <c r="H1820" s="17" t="str">
        <f aca="false">IF(F1820="","",G1820-E1820)</f>
        <v/>
      </c>
      <c r="I1820" s="18" t="str">
        <f aca="true">IF(F1820="","",F1820-TODAY())</f>
        <v/>
      </c>
      <c r="J1820" s="19" t="str">
        <f aca="true">IF(F1820="","",IF(TODAY()&lt;D1820,"Başlamadı",IF(TODAY()&gt;F1820,"Bitti",IF(F1820-TODAY()&lt;=7,"Bitiyor","Aktif"))))</f>
        <v/>
      </c>
      <c r="K1820" s="19" t="str">
        <f aca="false">IF(OR(J1820="Aktif",J1820="Bitiyor"),F1820+ROW()/1000000,"")</f>
        <v/>
      </c>
    </row>
    <row r="1821" customFormat="false" ht="15" hidden="false" customHeight="false" outlineLevel="0" collapsed="false">
      <c r="A1821" s="12"/>
      <c r="B1821" s="12"/>
      <c r="C1821" s="13"/>
      <c r="D1821" s="14"/>
      <c r="E1821" s="15"/>
      <c r="F1821" s="16" t="str">
        <f aca="false">IF(OR(C1821="",D1821=""),"",EDATE(D1821,IFERROR(INDEX(Paketler!$B$5:$B$24,MATCH(C1821,Paketler!$A$5:$A$24,0)),0))-1)</f>
        <v/>
      </c>
      <c r="G1821" s="17" t="str">
        <f aca="false">IF(F1821="","",IFERROR(INDEX(Paketler!$C$5:$C$24,MATCH(C1821,Paketler!$A$5:$A$24,0)),0))</f>
        <v/>
      </c>
      <c r="H1821" s="17" t="str">
        <f aca="false">IF(F1821="","",G1821-E1821)</f>
        <v/>
      </c>
      <c r="I1821" s="18" t="str">
        <f aca="true">IF(F1821="","",F1821-TODAY())</f>
        <v/>
      </c>
      <c r="J1821" s="19" t="str">
        <f aca="true">IF(F1821="","",IF(TODAY()&lt;D1821,"Başlamadı",IF(TODAY()&gt;F1821,"Bitti",IF(F1821-TODAY()&lt;=7,"Bitiyor","Aktif"))))</f>
        <v/>
      </c>
      <c r="K1821" s="19" t="str">
        <f aca="false">IF(OR(J1821="Aktif",J1821="Bitiyor"),F1821+ROW()/1000000,"")</f>
        <v/>
      </c>
    </row>
    <row r="1822" customFormat="false" ht="15" hidden="false" customHeight="false" outlineLevel="0" collapsed="false">
      <c r="A1822" s="12"/>
      <c r="B1822" s="12"/>
      <c r="C1822" s="13"/>
      <c r="D1822" s="14"/>
      <c r="E1822" s="15"/>
      <c r="F1822" s="16" t="str">
        <f aca="false">IF(OR(C1822="",D1822=""),"",EDATE(D1822,IFERROR(INDEX(Paketler!$B$5:$B$24,MATCH(C1822,Paketler!$A$5:$A$24,0)),0))-1)</f>
        <v/>
      </c>
      <c r="G1822" s="17" t="str">
        <f aca="false">IF(F1822="","",IFERROR(INDEX(Paketler!$C$5:$C$24,MATCH(C1822,Paketler!$A$5:$A$24,0)),0))</f>
        <v/>
      </c>
      <c r="H1822" s="17" t="str">
        <f aca="false">IF(F1822="","",G1822-E1822)</f>
        <v/>
      </c>
      <c r="I1822" s="18" t="str">
        <f aca="true">IF(F1822="","",F1822-TODAY())</f>
        <v/>
      </c>
      <c r="J1822" s="19" t="str">
        <f aca="true">IF(F1822="","",IF(TODAY()&lt;D1822,"Başlamadı",IF(TODAY()&gt;F1822,"Bitti",IF(F1822-TODAY()&lt;=7,"Bitiyor","Aktif"))))</f>
        <v/>
      </c>
      <c r="K1822" s="19" t="str">
        <f aca="false">IF(OR(J1822="Aktif",J1822="Bitiyor"),F1822+ROW()/1000000,"")</f>
        <v/>
      </c>
    </row>
    <row r="1823" customFormat="false" ht="15" hidden="false" customHeight="false" outlineLevel="0" collapsed="false">
      <c r="A1823" s="12"/>
      <c r="B1823" s="12"/>
      <c r="C1823" s="13"/>
      <c r="D1823" s="14"/>
      <c r="E1823" s="15"/>
      <c r="F1823" s="16" t="str">
        <f aca="false">IF(OR(C1823="",D1823=""),"",EDATE(D1823,IFERROR(INDEX(Paketler!$B$5:$B$24,MATCH(C1823,Paketler!$A$5:$A$24,0)),0))-1)</f>
        <v/>
      </c>
      <c r="G1823" s="17" t="str">
        <f aca="false">IF(F1823="","",IFERROR(INDEX(Paketler!$C$5:$C$24,MATCH(C1823,Paketler!$A$5:$A$24,0)),0))</f>
        <v/>
      </c>
      <c r="H1823" s="17" t="str">
        <f aca="false">IF(F1823="","",G1823-E1823)</f>
        <v/>
      </c>
      <c r="I1823" s="18" t="str">
        <f aca="true">IF(F1823="","",F1823-TODAY())</f>
        <v/>
      </c>
      <c r="J1823" s="19" t="str">
        <f aca="true">IF(F1823="","",IF(TODAY()&lt;D1823,"Başlamadı",IF(TODAY()&gt;F1823,"Bitti",IF(F1823-TODAY()&lt;=7,"Bitiyor","Aktif"))))</f>
        <v/>
      </c>
      <c r="K1823" s="19" t="str">
        <f aca="false">IF(OR(J1823="Aktif",J1823="Bitiyor"),F1823+ROW()/1000000,"")</f>
        <v/>
      </c>
    </row>
    <row r="1824" customFormat="false" ht="15" hidden="false" customHeight="false" outlineLevel="0" collapsed="false">
      <c r="A1824" s="12"/>
      <c r="B1824" s="12"/>
      <c r="C1824" s="13"/>
      <c r="D1824" s="14"/>
      <c r="E1824" s="15"/>
      <c r="F1824" s="16" t="str">
        <f aca="false">IF(OR(C1824="",D1824=""),"",EDATE(D1824,IFERROR(INDEX(Paketler!$B$5:$B$24,MATCH(C1824,Paketler!$A$5:$A$24,0)),0))-1)</f>
        <v/>
      </c>
      <c r="G1824" s="17" t="str">
        <f aca="false">IF(F1824="","",IFERROR(INDEX(Paketler!$C$5:$C$24,MATCH(C1824,Paketler!$A$5:$A$24,0)),0))</f>
        <v/>
      </c>
      <c r="H1824" s="17" t="str">
        <f aca="false">IF(F1824="","",G1824-E1824)</f>
        <v/>
      </c>
      <c r="I1824" s="18" t="str">
        <f aca="true">IF(F1824="","",F1824-TODAY())</f>
        <v/>
      </c>
      <c r="J1824" s="19" t="str">
        <f aca="true">IF(F1824="","",IF(TODAY()&lt;D1824,"Başlamadı",IF(TODAY()&gt;F1824,"Bitti",IF(F1824-TODAY()&lt;=7,"Bitiyor","Aktif"))))</f>
        <v/>
      </c>
      <c r="K1824" s="19" t="str">
        <f aca="false">IF(OR(J1824="Aktif",J1824="Bitiyor"),F1824+ROW()/1000000,"")</f>
        <v/>
      </c>
    </row>
    <row r="1825" customFormat="false" ht="15" hidden="false" customHeight="false" outlineLevel="0" collapsed="false">
      <c r="A1825" s="12"/>
      <c r="B1825" s="12"/>
      <c r="C1825" s="13"/>
      <c r="D1825" s="14"/>
      <c r="E1825" s="15"/>
      <c r="F1825" s="16" t="str">
        <f aca="false">IF(OR(C1825="",D1825=""),"",EDATE(D1825,IFERROR(INDEX(Paketler!$B$5:$B$24,MATCH(C1825,Paketler!$A$5:$A$24,0)),0))-1)</f>
        <v/>
      </c>
      <c r="G1825" s="17" t="str">
        <f aca="false">IF(F1825="","",IFERROR(INDEX(Paketler!$C$5:$C$24,MATCH(C1825,Paketler!$A$5:$A$24,0)),0))</f>
        <v/>
      </c>
      <c r="H1825" s="17" t="str">
        <f aca="false">IF(F1825="","",G1825-E1825)</f>
        <v/>
      </c>
      <c r="I1825" s="18" t="str">
        <f aca="true">IF(F1825="","",F1825-TODAY())</f>
        <v/>
      </c>
      <c r="J1825" s="19" t="str">
        <f aca="true">IF(F1825="","",IF(TODAY()&lt;D1825,"Başlamadı",IF(TODAY()&gt;F1825,"Bitti",IF(F1825-TODAY()&lt;=7,"Bitiyor","Aktif"))))</f>
        <v/>
      </c>
      <c r="K1825" s="19" t="str">
        <f aca="false">IF(OR(J1825="Aktif",J1825="Bitiyor"),F1825+ROW()/1000000,"")</f>
        <v/>
      </c>
    </row>
    <row r="1826" customFormat="false" ht="15" hidden="false" customHeight="false" outlineLevel="0" collapsed="false">
      <c r="A1826" s="12"/>
      <c r="B1826" s="12"/>
      <c r="C1826" s="13"/>
      <c r="D1826" s="14"/>
      <c r="E1826" s="15"/>
      <c r="F1826" s="16" t="str">
        <f aca="false">IF(OR(C1826="",D1826=""),"",EDATE(D1826,IFERROR(INDEX(Paketler!$B$5:$B$24,MATCH(C1826,Paketler!$A$5:$A$24,0)),0))-1)</f>
        <v/>
      </c>
      <c r="G1826" s="17" t="str">
        <f aca="false">IF(F1826="","",IFERROR(INDEX(Paketler!$C$5:$C$24,MATCH(C1826,Paketler!$A$5:$A$24,0)),0))</f>
        <v/>
      </c>
      <c r="H1826" s="17" t="str">
        <f aca="false">IF(F1826="","",G1826-E1826)</f>
        <v/>
      </c>
      <c r="I1826" s="18" t="str">
        <f aca="true">IF(F1826="","",F1826-TODAY())</f>
        <v/>
      </c>
      <c r="J1826" s="19" t="str">
        <f aca="true">IF(F1826="","",IF(TODAY()&lt;D1826,"Başlamadı",IF(TODAY()&gt;F1826,"Bitti",IF(F1826-TODAY()&lt;=7,"Bitiyor","Aktif"))))</f>
        <v/>
      </c>
      <c r="K1826" s="19" t="str">
        <f aca="false">IF(OR(J1826="Aktif",J1826="Bitiyor"),F1826+ROW()/1000000,"")</f>
        <v/>
      </c>
    </row>
    <row r="1827" customFormat="false" ht="15" hidden="false" customHeight="false" outlineLevel="0" collapsed="false">
      <c r="A1827" s="12"/>
      <c r="B1827" s="12"/>
      <c r="C1827" s="13"/>
      <c r="D1827" s="14"/>
      <c r="E1827" s="15"/>
      <c r="F1827" s="16" t="str">
        <f aca="false">IF(OR(C1827="",D1827=""),"",EDATE(D1827,IFERROR(INDEX(Paketler!$B$5:$B$24,MATCH(C1827,Paketler!$A$5:$A$24,0)),0))-1)</f>
        <v/>
      </c>
      <c r="G1827" s="17" t="str">
        <f aca="false">IF(F1827="","",IFERROR(INDEX(Paketler!$C$5:$C$24,MATCH(C1827,Paketler!$A$5:$A$24,0)),0))</f>
        <v/>
      </c>
      <c r="H1827" s="17" t="str">
        <f aca="false">IF(F1827="","",G1827-E1827)</f>
        <v/>
      </c>
      <c r="I1827" s="18" t="str">
        <f aca="true">IF(F1827="","",F1827-TODAY())</f>
        <v/>
      </c>
      <c r="J1827" s="19" t="str">
        <f aca="true">IF(F1827="","",IF(TODAY()&lt;D1827,"Başlamadı",IF(TODAY()&gt;F1827,"Bitti",IF(F1827-TODAY()&lt;=7,"Bitiyor","Aktif"))))</f>
        <v/>
      </c>
      <c r="K1827" s="19" t="str">
        <f aca="false">IF(OR(J1827="Aktif",J1827="Bitiyor"),F1827+ROW()/1000000,"")</f>
        <v/>
      </c>
    </row>
    <row r="1828" customFormat="false" ht="15" hidden="false" customHeight="false" outlineLevel="0" collapsed="false">
      <c r="A1828" s="12"/>
      <c r="B1828" s="12"/>
      <c r="C1828" s="13"/>
      <c r="D1828" s="14"/>
      <c r="E1828" s="15"/>
      <c r="F1828" s="16" t="str">
        <f aca="false">IF(OR(C1828="",D1828=""),"",EDATE(D1828,IFERROR(INDEX(Paketler!$B$5:$B$24,MATCH(C1828,Paketler!$A$5:$A$24,0)),0))-1)</f>
        <v/>
      </c>
      <c r="G1828" s="17" t="str">
        <f aca="false">IF(F1828="","",IFERROR(INDEX(Paketler!$C$5:$C$24,MATCH(C1828,Paketler!$A$5:$A$24,0)),0))</f>
        <v/>
      </c>
      <c r="H1828" s="17" t="str">
        <f aca="false">IF(F1828="","",G1828-E1828)</f>
        <v/>
      </c>
      <c r="I1828" s="18" t="str">
        <f aca="true">IF(F1828="","",F1828-TODAY())</f>
        <v/>
      </c>
      <c r="J1828" s="19" t="str">
        <f aca="true">IF(F1828="","",IF(TODAY()&lt;D1828,"Başlamadı",IF(TODAY()&gt;F1828,"Bitti",IF(F1828-TODAY()&lt;=7,"Bitiyor","Aktif"))))</f>
        <v/>
      </c>
      <c r="K1828" s="19" t="str">
        <f aca="false">IF(OR(J1828="Aktif",J1828="Bitiyor"),F1828+ROW()/1000000,"")</f>
        <v/>
      </c>
    </row>
    <row r="1829" customFormat="false" ht="15" hidden="false" customHeight="false" outlineLevel="0" collapsed="false">
      <c r="A1829" s="12"/>
      <c r="B1829" s="12"/>
      <c r="C1829" s="13"/>
      <c r="D1829" s="14"/>
      <c r="E1829" s="15"/>
      <c r="F1829" s="16" t="str">
        <f aca="false">IF(OR(C1829="",D1829=""),"",EDATE(D1829,IFERROR(INDEX(Paketler!$B$5:$B$24,MATCH(C1829,Paketler!$A$5:$A$24,0)),0))-1)</f>
        <v/>
      </c>
      <c r="G1829" s="17" t="str">
        <f aca="false">IF(F1829="","",IFERROR(INDEX(Paketler!$C$5:$C$24,MATCH(C1829,Paketler!$A$5:$A$24,0)),0))</f>
        <v/>
      </c>
      <c r="H1829" s="17" t="str">
        <f aca="false">IF(F1829="","",G1829-E1829)</f>
        <v/>
      </c>
      <c r="I1829" s="18" t="str">
        <f aca="true">IF(F1829="","",F1829-TODAY())</f>
        <v/>
      </c>
      <c r="J1829" s="19" t="str">
        <f aca="true">IF(F1829="","",IF(TODAY()&lt;D1829,"Başlamadı",IF(TODAY()&gt;F1829,"Bitti",IF(F1829-TODAY()&lt;=7,"Bitiyor","Aktif"))))</f>
        <v/>
      </c>
      <c r="K1829" s="19" t="str">
        <f aca="false">IF(OR(J1829="Aktif",J1829="Bitiyor"),F1829+ROW()/1000000,"")</f>
        <v/>
      </c>
    </row>
    <row r="1830" customFormat="false" ht="15" hidden="false" customHeight="false" outlineLevel="0" collapsed="false">
      <c r="A1830" s="12"/>
      <c r="B1830" s="12"/>
      <c r="C1830" s="13"/>
      <c r="D1830" s="14"/>
      <c r="E1830" s="15"/>
      <c r="F1830" s="16" t="str">
        <f aca="false">IF(OR(C1830="",D1830=""),"",EDATE(D1830,IFERROR(INDEX(Paketler!$B$5:$B$24,MATCH(C1830,Paketler!$A$5:$A$24,0)),0))-1)</f>
        <v/>
      </c>
      <c r="G1830" s="17" t="str">
        <f aca="false">IF(F1830="","",IFERROR(INDEX(Paketler!$C$5:$C$24,MATCH(C1830,Paketler!$A$5:$A$24,0)),0))</f>
        <v/>
      </c>
      <c r="H1830" s="17" t="str">
        <f aca="false">IF(F1830="","",G1830-E1830)</f>
        <v/>
      </c>
      <c r="I1830" s="18" t="str">
        <f aca="true">IF(F1830="","",F1830-TODAY())</f>
        <v/>
      </c>
      <c r="J1830" s="19" t="str">
        <f aca="true">IF(F1830="","",IF(TODAY()&lt;D1830,"Başlamadı",IF(TODAY()&gt;F1830,"Bitti",IF(F1830-TODAY()&lt;=7,"Bitiyor","Aktif"))))</f>
        <v/>
      </c>
      <c r="K1830" s="19" t="str">
        <f aca="false">IF(OR(J1830="Aktif",J1830="Bitiyor"),F1830+ROW()/1000000,"")</f>
        <v/>
      </c>
    </row>
    <row r="1831" customFormat="false" ht="15" hidden="false" customHeight="false" outlineLevel="0" collapsed="false">
      <c r="A1831" s="12"/>
      <c r="B1831" s="12"/>
      <c r="C1831" s="13"/>
      <c r="D1831" s="14"/>
      <c r="E1831" s="15"/>
      <c r="F1831" s="16" t="str">
        <f aca="false">IF(OR(C1831="",D1831=""),"",EDATE(D1831,IFERROR(INDEX(Paketler!$B$5:$B$24,MATCH(C1831,Paketler!$A$5:$A$24,0)),0))-1)</f>
        <v/>
      </c>
      <c r="G1831" s="17" t="str">
        <f aca="false">IF(F1831="","",IFERROR(INDEX(Paketler!$C$5:$C$24,MATCH(C1831,Paketler!$A$5:$A$24,0)),0))</f>
        <v/>
      </c>
      <c r="H1831" s="17" t="str">
        <f aca="false">IF(F1831="","",G1831-E1831)</f>
        <v/>
      </c>
      <c r="I1831" s="18" t="str">
        <f aca="true">IF(F1831="","",F1831-TODAY())</f>
        <v/>
      </c>
      <c r="J1831" s="19" t="str">
        <f aca="true">IF(F1831="","",IF(TODAY()&lt;D1831,"Başlamadı",IF(TODAY()&gt;F1831,"Bitti",IF(F1831-TODAY()&lt;=7,"Bitiyor","Aktif"))))</f>
        <v/>
      </c>
      <c r="K1831" s="19" t="str">
        <f aca="false">IF(OR(J1831="Aktif",J1831="Bitiyor"),F1831+ROW()/1000000,"")</f>
        <v/>
      </c>
    </row>
    <row r="1832" customFormat="false" ht="15" hidden="false" customHeight="false" outlineLevel="0" collapsed="false">
      <c r="A1832" s="12"/>
      <c r="B1832" s="12"/>
      <c r="C1832" s="13"/>
      <c r="D1832" s="14"/>
      <c r="E1832" s="15"/>
      <c r="F1832" s="16" t="str">
        <f aca="false">IF(OR(C1832="",D1832=""),"",EDATE(D1832,IFERROR(INDEX(Paketler!$B$5:$B$24,MATCH(C1832,Paketler!$A$5:$A$24,0)),0))-1)</f>
        <v/>
      </c>
      <c r="G1832" s="17" t="str">
        <f aca="false">IF(F1832="","",IFERROR(INDEX(Paketler!$C$5:$C$24,MATCH(C1832,Paketler!$A$5:$A$24,0)),0))</f>
        <v/>
      </c>
      <c r="H1832" s="17" t="str">
        <f aca="false">IF(F1832="","",G1832-E1832)</f>
        <v/>
      </c>
      <c r="I1832" s="18" t="str">
        <f aca="true">IF(F1832="","",F1832-TODAY())</f>
        <v/>
      </c>
      <c r="J1832" s="19" t="str">
        <f aca="true">IF(F1832="","",IF(TODAY()&lt;D1832,"Başlamadı",IF(TODAY()&gt;F1832,"Bitti",IF(F1832-TODAY()&lt;=7,"Bitiyor","Aktif"))))</f>
        <v/>
      </c>
      <c r="K1832" s="19" t="str">
        <f aca="false">IF(OR(J1832="Aktif",J1832="Bitiyor"),F1832+ROW()/1000000,"")</f>
        <v/>
      </c>
    </row>
    <row r="1833" customFormat="false" ht="15" hidden="false" customHeight="false" outlineLevel="0" collapsed="false">
      <c r="A1833" s="12"/>
      <c r="B1833" s="12"/>
      <c r="C1833" s="13"/>
      <c r="D1833" s="14"/>
      <c r="E1833" s="15"/>
      <c r="F1833" s="16" t="str">
        <f aca="false">IF(OR(C1833="",D1833=""),"",EDATE(D1833,IFERROR(INDEX(Paketler!$B$5:$B$24,MATCH(C1833,Paketler!$A$5:$A$24,0)),0))-1)</f>
        <v/>
      </c>
      <c r="G1833" s="17" t="str">
        <f aca="false">IF(F1833="","",IFERROR(INDEX(Paketler!$C$5:$C$24,MATCH(C1833,Paketler!$A$5:$A$24,0)),0))</f>
        <v/>
      </c>
      <c r="H1833" s="17" t="str">
        <f aca="false">IF(F1833="","",G1833-E1833)</f>
        <v/>
      </c>
      <c r="I1833" s="18" t="str">
        <f aca="true">IF(F1833="","",F1833-TODAY())</f>
        <v/>
      </c>
      <c r="J1833" s="19" t="str">
        <f aca="true">IF(F1833="","",IF(TODAY()&lt;D1833,"Başlamadı",IF(TODAY()&gt;F1833,"Bitti",IF(F1833-TODAY()&lt;=7,"Bitiyor","Aktif"))))</f>
        <v/>
      </c>
      <c r="K1833" s="19" t="str">
        <f aca="false">IF(OR(J1833="Aktif",J1833="Bitiyor"),F1833+ROW()/1000000,"")</f>
        <v/>
      </c>
    </row>
    <row r="1834" customFormat="false" ht="15" hidden="false" customHeight="false" outlineLevel="0" collapsed="false">
      <c r="A1834" s="12"/>
      <c r="B1834" s="12"/>
      <c r="C1834" s="13"/>
      <c r="D1834" s="14"/>
      <c r="E1834" s="15"/>
      <c r="F1834" s="16" t="str">
        <f aca="false">IF(OR(C1834="",D1834=""),"",EDATE(D1834,IFERROR(INDEX(Paketler!$B$5:$B$24,MATCH(C1834,Paketler!$A$5:$A$24,0)),0))-1)</f>
        <v/>
      </c>
      <c r="G1834" s="17" t="str">
        <f aca="false">IF(F1834="","",IFERROR(INDEX(Paketler!$C$5:$C$24,MATCH(C1834,Paketler!$A$5:$A$24,0)),0))</f>
        <v/>
      </c>
      <c r="H1834" s="17" t="str">
        <f aca="false">IF(F1834="","",G1834-E1834)</f>
        <v/>
      </c>
      <c r="I1834" s="18" t="str">
        <f aca="true">IF(F1834="","",F1834-TODAY())</f>
        <v/>
      </c>
      <c r="J1834" s="19" t="str">
        <f aca="true">IF(F1834="","",IF(TODAY()&lt;D1834,"Başlamadı",IF(TODAY()&gt;F1834,"Bitti",IF(F1834-TODAY()&lt;=7,"Bitiyor","Aktif"))))</f>
        <v/>
      </c>
      <c r="K1834" s="19" t="str">
        <f aca="false">IF(OR(J1834="Aktif",J1834="Bitiyor"),F1834+ROW()/1000000,"")</f>
        <v/>
      </c>
    </row>
    <row r="1835" customFormat="false" ht="15" hidden="false" customHeight="false" outlineLevel="0" collapsed="false">
      <c r="A1835" s="12"/>
      <c r="B1835" s="12"/>
      <c r="C1835" s="13"/>
      <c r="D1835" s="14"/>
      <c r="E1835" s="15"/>
      <c r="F1835" s="16" t="str">
        <f aca="false">IF(OR(C1835="",D1835=""),"",EDATE(D1835,IFERROR(INDEX(Paketler!$B$5:$B$24,MATCH(C1835,Paketler!$A$5:$A$24,0)),0))-1)</f>
        <v/>
      </c>
      <c r="G1835" s="17" t="str">
        <f aca="false">IF(F1835="","",IFERROR(INDEX(Paketler!$C$5:$C$24,MATCH(C1835,Paketler!$A$5:$A$24,0)),0))</f>
        <v/>
      </c>
      <c r="H1835" s="17" t="str">
        <f aca="false">IF(F1835="","",G1835-E1835)</f>
        <v/>
      </c>
      <c r="I1835" s="18" t="str">
        <f aca="true">IF(F1835="","",F1835-TODAY())</f>
        <v/>
      </c>
      <c r="J1835" s="19" t="str">
        <f aca="true">IF(F1835="","",IF(TODAY()&lt;D1835,"Başlamadı",IF(TODAY()&gt;F1835,"Bitti",IF(F1835-TODAY()&lt;=7,"Bitiyor","Aktif"))))</f>
        <v/>
      </c>
      <c r="K1835" s="19" t="str">
        <f aca="false">IF(OR(J1835="Aktif",J1835="Bitiyor"),F1835+ROW()/1000000,"")</f>
        <v/>
      </c>
    </row>
    <row r="1836" customFormat="false" ht="15" hidden="false" customHeight="false" outlineLevel="0" collapsed="false">
      <c r="A1836" s="12"/>
      <c r="B1836" s="12"/>
      <c r="C1836" s="13"/>
      <c r="D1836" s="14"/>
      <c r="E1836" s="15"/>
      <c r="F1836" s="16" t="str">
        <f aca="false">IF(OR(C1836="",D1836=""),"",EDATE(D1836,IFERROR(INDEX(Paketler!$B$5:$B$24,MATCH(C1836,Paketler!$A$5:$A$24,0)),0))-1)</f>
        <v/>
      </c>
      <c r="G1836" s="17" t="str">
        <f aca="false">IF(F1836="","",IFERROR(INDEX(Paketler!$C$5:$C$24,MATCH(C1836,Paketler!$A$5:$A$24,0)),0))</f>
        <v/>
      </c>
      <c r="H1836" s="17" t="str">
        <f aca="false">IF(F1836="","",G1836-E1836)</f>
        <v/>
      </c>
      <c r="I1836" s="18" t="str">
        <f aca="true">IF(F1836="","",F1836-TODAY())</f>
        <v/>
      </c>
      <c r="J1836" s="19" t="str">
        <f aca="true">IF(F1836="","",IF(TODAY()&lt;D1836,"Başlamadı",IF(TODAY()&gt;F1836,"Bitti",IF(F1836-TODAY()&lt;=7,"Bitiyor","Aktif"))))</f>
        <v/>
      </c>
      <c r="K1836" s="19" t="str">
        <f aca="false">IF(OR(J1836="Aktif",J1836="Bitiyor"),F1836+ROW()/1000000,"")</f>
        <v/>
      </c>
    </row>
    <row r="1837" customFormat="false" ht="15" hidden="false" customHeight="false" outlineLevel="0" collapsed="false">
      <c r="A1837" s="12"/>
      <c r="B1837" s="12"/>
      <c r="C1837" s="13"/>
      <c r="D1837" s="14"/>
      <c r="E1837" s="15"/>
      <c r="F1837" s="16" t="str">
        <f aca="false">IF(OR(C1837="",D1837=""),"",EDATE(D1837,IFERROR(INDEX(Paketler!$B$5:$B$24,MATCH(C1837,Paketler!$A$5:$A$24,0)),0))-1)</f>
        <v/>
      </c>
      <c r="G1837" s="17" t="str">
        <f aca="false">IF(F1837="","",IFERROR(INDEX(Paketler!$C$5:$C$24,MATCH(C1837,Paketler!$A$5:$A$24,0)),0))</f>
        <v/>
      </c>
      <c r="H1837" s="17" t="str">
        <f aca="false">IF(F1837="","",G1837-E1837)</f>
        <v/>
      </c>
      <c r="I1837" s="18" t="str">
        <f aca="true">IF(F1837="","",F1837-TODAY())</f>
        <v/>
      </c>
      <c r="J1837" s="19" t="str">
        <f aca="true">IF(F1837="","",IF(TODAY()&lt;D1837,"Başlamadı",IF(TODAY()&gt;F1837,"Bitti",IF(F1837-TODAY()&lt;=7,"Bitiyor","Aktif"))))</f>
        <v/>
      </c>
      <c r="K1837" s="19" t="str">
        <f aca="false">IF(OR(J1837="Aktif",J1837="Bitiyor"),F1837+ROW()/1000000,"")</f>
        <v/>
      </c>
    </row>
    <row r="1838" customFormat="false" ht="15" hidden="false" customHeight="false" outlineLevel="0" collapsed="false">
      <c r="A1838" s="12"/>
      <c r="B1838" s="12"/>
      <c r="C1838" s="13"/>
      <c r="D1838" s="14"/>
      <c r="E1838" s="15"/>
      <c r="F1838" s="16" t="str">
        <f aca="false">IF(OR(C1838="",D1838=""),"",EDATE(D1838,IFERROR(INDEX(Paketler!$B$5:$B$24,MATCH(C1838,Paketler!$A$5:$A$24,0)),0))-1)</f>
        <v/>
      </c>
      <c r="G1838" s="17" t="str">
        <f aca="false">IF(F1838="","",IFERROR(INDEX(Paketler!$C$5:$C$24,MATCH(C1838,Paketler!$A$5:$A$24,0)),0))</f>
        <v/>
      </c>
      <c r="H1838" s="17" t="str">
        <f aca="false">IF(F1838="","",G1838-E1838)</f>
        <v/>
      </c>
      <c r="I1838" s="18" t="str">
        <f aca="true">IF(F1838="","",F1838-TODAY())</f>
        <v/>
      </c>
      <c r="J1838" s="19" t="str">
        <f aca="true">IF(F1838="","",IF(TODAY()&lt;D1838,"Başlamadı",IF(TODAY()&gt;F1838,"Bitti",IF(F1838-TODAY()&lt;=7,"Bitiyor","Aktif"))))</f>
        <v/>
      </c>
      <c r="K1838" s="19" t="str">
        <f aca="false">IF(OR(J1838="Aktif",J1838="Bitiyor"),F1838+ROW()/1000000,"")</f>
        <v/>
      </c>
    </row>
    <row r="1839" customFormat="false" ht="15" hidden="false" customHeight="false" outlineLevel="0" collapsed="false">
      <c r="A1839" s="12"/>
      <c r="B1839" s="12"/>
      <c r="C1839" s="13"/>
      <c r="D1839" s="14"/>
      <c r="E1839" s="15"/>
      <c r="F1839" s="16" t="str">
        <f aca="false">IF(OR(C1839="",D1839=""),"",EDATE(D1839,IFERROR(INDEX(Paketler!$B$5:$B$24,MATCH(C1839,Paketler!$A$5:$A$24,0)),0))-1)</f>
        <v/>
      </c>
      <c r="G1839" s="17" t="str">
        <f aca="false">IF(F1839="","",IFERROR(INDEX(Paketler!$C$5:$C$24,MATCH(C1839,Paketler!$A$5:$A$24,0)),0))</f>
        <v/>
      </c>
      <c r="H1839" s="17" t="str">
        <f aca="false">IF(F1839="","",G1839-E1839)</f>
        <v/>
      </c>
      <c r="I1839" s="18" t="str">
        <f aca="true">IF(F1839="","",F1839-TODAY())</f>
        <v/>
      </c>
      <c r="J1839" s="19" t="str">
        <f aca="true">IF(F1839="","",IF(TODAY()&lt;D1839,"Başlamadı",IF(TODAY()&gt;F1839,"Bitti",IF(F1839-TODAY()&lt;=7,"Bitiyor","Aktif"))))</f>
        <v/>
      </c>
      <c r="K1839" s="19" t="str">
        <f aca="false">IF(OR(J1839="Aktif",J1839="Bitiyor"),F1839+ROW()/1000000,"")</f>
        <v/>
      </c>
    </row>
    <row r="1840" customFormat="false" ht="15" hidden="false" customHeight="false" outlineLevel="0" collapsed="false">
      <c r="A1840" s="12"/>
      <c r="B1840" s="12"/>
      <c r="C1840" s="13"/>
      <c r="D1840" s="14"/>
      <c r="E1840" s="15"/>
      <c r="F1840" s="16" t="str">
        <f aca="false">IF(OR(C1840="",D1840=""),"",EDATE(D1840,IFERROR(INDEX(Paketler!$B$5:$B$24,MATCH(C1840,Paketler!$A$5:$A$24,0)),0))-1)</f>
        <v/>
      </c>
      <c r="G1840" s="17" t="str">
        <f aca="false">IF(F1840="","",IFERROR(INDEX(Paketler!$C$5:$C$24,MATCH(C1840,Paketler!$A$5:$A$24,0)),0))</f>
        <v/>
      </c>
      <c r="H1840" s="17" t="str">
        <f aca="false">IF(F1840="","",G1840-E1840)</f>
        <v/>
      </c>
      <c r="I1840" s="18" t="str">
        <f aca="true">IF(F1840="","",F1840-TODAY())</f>
        <v/>
      </c>
      <c r="J1840" s="19" t="str">
        <f aca="true">IF(F1840="","",IF(TODAY()&lt;D1840,"Başlamadı",IF(TODAY()&gt;F1840,"Bitti",IF(F1840-TODAY()&lt;=7,"Bitiyor","Aktif"))))</f>
        <v/>
      </c>
      <c r="K1840" s="19" t="str">
        <f aca="false">IF(OR(J1840="Aktif",J1840="Bitiyor"),F1840+ROW()/1000000,"")</f>
        <v/>
      </c>
    </row>
    <row r="1841" customFormat="false" ht="15" hidden="false" customHeight="false" outlineLevel="0" collapsed="false">
      <c r="A1841" s="12"/>
      <c r="B1841" s="12"/>
      <c r="C1841" s="13"/>
      <c r="D1841" s="14"/>
      <c r="E1841" s="15"/>
      <c r="F1841" s="16" t="str">
        <f aca="false">IF(OR(C1841="",D1841=""),"",EDATE(D1841,IFERROR(INDEX(Paketler!$B$5:$B$24,MATCH(C1841,Paketler!$A$5:$A$24,0)),0))-1)</f>
        <v/>
      </c>
      <c r="G1841" s="17" t="str">
        <f aca="false">IF(F1841="","",IFERROR(INDEX(Paketler!$C$5:$C$24,MATCH(C1841,Paketler!$A$5:$A$24,0)),0))</f>
        <v/>
      </c>
      <c r="H1841" s="17" t="str">
        <f aca="false">IF(F1841="","",G1841-E1841)</f>
        <v/>
      </c>
      <c r="I1841" s="18" t="str">
        <f aca="true">IF(F1841="","",F1841-TODAY())</f>
        <v/>
      </c>
      <c r="J1841" s="19" t="str">
        <f aca="true">IF(F1841="","",IF(TODAY()&lt;D1841,"Başlamadı",IF(TODAY()&gt;F1841,"Bitti",IF(F1841-TODAY()&lt;=7,"Bitiyor","Aktif"))))</f>
        <v/>
      </c>
      <c r="K1841" s="19" t="str">
        <f aca="false">IF(OR(J1841="Aktif",J1841="Bitiyor"),F1841+ROW()/1000000,"")</f>
        <v/>
      </c>
    </row>
    <row r="1842" customFormat="false" ht="15" hidden="false" customHeight="false" outlineLevel="0" collapsed="false">
      <c r="A1842" s="12"/>
      <c r="B1842" s="12"/>
      <c r="C1842" s="13"/>
      <c r="D1842" s="14"/>
      <c r="E1842" s="15"/>
      <c r="F1842" s="16" t="str">
        <f aca="false">IF(OR(C1842="",D1842=""),"",EDATE(D1842,IFERROR(INDEX(Paketler!$B$5:$B$24,MATCH(C1842,Paketler!$A$5:$A$24,0)),0))-1)</f>
        <v/>
      </c>
      <c r="G1842" s="17" t="str">
        <f aca="false">IF(F1842="","",IFERROR(INDEX(Paketler!$C$5:$C$24,MATCH(C1842,Paketler!$A$5:$A$24,0)),0))</f>
        <v/>
      </c>
      <c r="H1842" s="17" t="str">
        <f aca="false">IF(F1842="","",G1842-E1842)</f>
        <v/>
      </c>
      <c r="I1842" s="18" t="str">
        <f aca="true">IF(F1842="","",F1842-TODAY())</f>
        <v/>
      </c>
      <c r="J1842" s="19" t="str">
        <f aca="true">IF(F1842="","",IF(TODAY()&lt;D1842,"Başlamadı",IF(TODAY()&gt;F1842,"Bitti",IF(F1842-TODAY()&lt;=7,"Bitiyor","Aktif"))))</f>
        <v/>
      </c>
      <c r="K1842" s="19" t="str">
        <f aca="false">IF(OR(J1842="Aktif",J1842="Bitiyor"),F1842+ROW()/1000000,"")</f>
        <v/>
      </c>
    </row>
    <row r="1843" customFormat="false" ht="15" hidden="false" customHeight="false" outlineLevel="0" collapsed="false">
      <c r="A1843" s="12"/>
      <c r="B1843" s="12"/>
      <c r="C1843" s="13"/>
      <c r="D1843" s="14"/>
      <c r="E1843" s="15"/>
      <c r="F1843" s="16" t="str">
        <f aca="false">IF(OR(C1843="",D1843=""),"",EDATE(D1843,IFERROR(INDEX(Paketler!$B$5:$B$24,MATCH(C1843,Paketler!$A$5:$A$24,0)),0))-1)</f>
        <v/>
      </c>
      <c r="G1843" s="17" t="str">
        <f aca="false">IF(F1843="","",IFERROR(INDEX(Paketler!$C$5:$C$24,MATCH(C1843,Paketler!$A$5:$A$24,0)),0))</f>
        <v/>
      </c>
      <c r="H1843" s="17" t="str">
        <f aca="false">IF(F1843="","",G1843-E1843)</f>
        <v/>
      </c>
      <c r="I1843" s="18" t="str">
        <f aca="true">IF(F1843="","",F1843-TODAY())</f>
        <v/>
      </c>
      <c r="J1843" s="19" t="str">
        <f aca="true">IF(F1843="","",IF(TODAY()&lt;D1843,"Başlamadı",IF(TODAY()&gt;F1843,"Bitti",IF(F1843-TODAY()&lt;=7,"Bitiyor","Aktif"))))</f>
        <v/>
      </c>
      <c r="K1843" s="19" t="str">
        <f aca="false">IF(OR(J1843="Aktif",J1843="Bitiyor"),F1843+ROW()/1000000,"")</f>
        <v/>
      </c>
    </row>
    <row r="1844" customFormat="false" ht="15" hidden="false" customHeight="false" outlineLevel="0" collapsed="false">
      <c r="A1844" s="12"/>
      <c r="B1844" s="12"/>
      <c r="C1844" s="13"/>
      <c r="D1844" s="14"/>
      <c r="E1844" s="15"/>
      <c r="F1844" s="16" t="str">
        <f aca="false">IF(OR(C1844="",D1844=""),"",EDATE(D1844,IFERROR(INDEX(Paketler!$B$5:$B$24,MATCH(C1844,Paketler!$A$5:$A$24,0)),0))-1)</f>
        <v/>
      </c>
      <c r="G1844" s="17" t="str">
        <f aca="false">IF(F1844="","",IFERROR(INDEX(Paketler!$C$5:$C$24,MATCH(C1844,Paketler!$A$5:$A$24,0)),0))</f>
        <v/>
      </c>
      <c r="H1844" s="17" t="str">
        <f aca="false">IF(F1844="","",G1844-E1844)</f>
        <v/>
      </c>
      <c r="I1844" s="18" t="str">
        <f aca="true">IF(F1844="","",F1844-TODAY())</f>
        <v/>
      </c>
      <c r="J1844" s="19" t="str">
        <f aca="true">IF(F1844="","",IF(TODAY()&lt;D1844,"Başlamadı",IF(TODAY()&gt;F1844,"Bitti",IF(F1844-TODAY()&lt;=7,"Bitiyor","Aktif"))))</f>
        <v/>
      </c>
      <c r="K1844" s="19" t="str">
        <f aca="false">IF(OR(J1844="Aktif",J1844="Bitiyor"),F1844+ROW()/1000000,"")</f>
        <v/>
      </c>
    </row>
    <row r="1845" customFormat="false" ht="15" hidden="false" customHeight="false" outlineLevel="0" collapsed="false">
      <c r="A1845" s="12"/>
      <c r="B1845" s="12"/>
      <c r="C1845" s="13"/>
      <c r="D1845" s="14"/>
      <c r="E1845" s="15"/>
      <c r="F1845" s="16" t="str">
        <f aca="false">IF(OR(C1845="",D1845=""),"",EDATE(D1845,IFERROR(INDEX(Paketler!$B$5:$B$24,MATCH(C1845,Paketler!$A$5:$A$24,0)),0))-1)</f>
        <v/>
      </c>
      <c r="G1845" s="17" t="str">
        <f aca="false">IF(F1845="","",IFERROR(INDEX(Paketler!$C$5:$C$24,MATCH(C1845,Paketler!$A$5:$A$24,0)),0))</f>
        <v/>
      </c>
      <c r="H1845" s="17" t="str">
        <f aca="false">IF(F1845="","",G1845-E1845)</f>
        <v/>
      </c>
      <c r="I1845" s="18" t="str">
        <f aca="true">IF(F1845="","",F1845-TODAY())</f>
        <v/>
      </c>
      <c r="J1845" s="19" t="str">
        <f aca="true">IF(F1845="","",IF(TODAY()&lt;D1845,"Başlamadı",IF(TODAY()&gt;F1845,"Bitti",IF(F1845-TODAY()&lt;=7,"Bitiyor","Aktif"))))</f>
        <v/>
      </c>
      <c r="K1845" s="19" t="str">
        <f aca="false">IF(OR(J1845="Aktif",J1845="Bitiyor"),F1845+ROW()/1000000,"")</f>
        <v/>
      </c>
    </row>
    <row r="1846" customFormat="false" ht="15" hidden="false" customHeight="false" outlineLevel="0" collapsed="false">
      <c r="A1846" s="12"/>
      <c r="B1846" s="12"/>
      <c r="C1846" s="13"/>
      <c r="D1846" s="14"/>
      <c r="E1846" s="15"/>
      <c r="F1846" s="16" t="str">
        <f aca="false">IF(OR(C1846="",D1846=""),"",EDATE(D1846,IFERROR(INDEX(Paketler!$B$5:$B$24,MATCH(C1846,Paketler!$A$5:$A$24,0)),0))-1)</f>
        <v/>
      </c>
      <c r="G1846" s="17" t="str">
        <f aca="false">IF(F1846="","",IFERROR(INDEX(Paketler!$C$5:$C$24,MATCH(C1846,Paketler!$A$5:$A$24,0)),0))</f>
        <v/>
      </c>
      <c r="H1846" s="17" t="str">
        <f aca="false">IF(F1846="","",G1846-E1846)</f>
        <v/>
      </c>
      <c r="I1846" s="18" t="str">
        <f aca="true">IF(F1846="","",F1846-TODAY())</f>
        <v/>
      </c>
      <c r="J1846" s="19" t="str">
        <f aca="true">IF(F1846="","",IF(TODAY()&lt;D1846,"Başlamadı",IF(TODAY()&gt;F1846,"Bitti",IF(F1846-TODAY()&lt;=7,"Bitiyor","Aktif"))))</f>
        <v/>
      </c>
      <c r="K1846" s="19" t="str">
        <f aca="false">IF(OR(J1846="Aktif",J1846="Bitiyor"),F1846+ROW()/1000000,"")</f>
        <v/>
      </c>
    </row>
    <row r="1847" customFormat="false" ht="15" hidden="false" customHeight="false" outlineLevel="0" collapsed="false">
      <c r="A1847" s="12"/>
      <c r="B1847" s="12"/>
      <c r="C1847" s="13"/>
      <c r="D1847" s="14"/>
      <c r="E1847" s="15"/>
      <c r="F1847" s="16" t="str">
        <f aca="false">IF(OR(C1847="",D1847=""),"",EDATE(D1847,IFERROR(INDEX(Paketler!$B$5:$B$24,MATCH(C1847,Paketler!$A$5:$A$24,0)),0))-1)</f>
        <v/>
      </c>
      <c r="G1847" s="17" t="str">
        <f aca="false">IF(F1847="","",IFERROR(INDEX(Paketler!$C$5:$C$24,MATCH(C1847,Paketler!$A$5:$A$24,0)),0))</f>
        <v/>
      </c>
      <c r="H1847" s="17" t="str">
        <f aca="false">IF(F1847="","",G1847-E1847)</f>
        <v/>
      </c>
      <c r="I1847" s="18" t="str">
        <f aca="true">IF(F1847="","",F1847-TODAY())</f>
        <v/>
      </c>
      <c r="J1847" s="19" t="str">
        <f aca="true">IF(F1847="","",IF(TODAY()&lt;D1847,"Başlamadı",IF(TODAY()&gt;F1847,"Bitti",IF(F1847-TODAY()&lt;=7,"Bitiyor","Aktif"))))</f>
        <v/>
      </c>
      <c r="K1847" s="19" t="str">
        <f aca="false">IF(OR(J1847="Aktif",J1847="Bitiyor"),F1847+ROW()/1000000,"")</f>
        <v/>
      </c>
    </row>
    <row r="1848" customFormat="false" ht="15" hidden="false" customHeight="false" outlineLevel="0" collapsed="false">
      <c r="A1848" s="12"/>
      <c r="B1848" s="12"/>
      <c r="C1848" s="13"/>
      <c r="D1848" s="14"/>
      <c r="E1848" s="15"/>
      <c r="F1848" s="16" t="str">
        <f aca="false">IF(OR(C1848="",D1848=""),"",EDATE(D1848,IFERROR(INDEX(Paketler!$B$5:$B$24,MATCH(C1848,Paketler!$A$5:$A$24,0)),0))-1)</f>
        <v/>
      </c>
      <c r="G1848" s="17" t="str">
        <f aca="false">IF(F1848="","",IFERROR(INDEX(Paketler!$C$5:$C$24,MATCH(C1848,Paketler!$A$5:$A$24,0)),0))</f>
        <v/>
      </c>
      <c r="H1848" s="17" t="str">
        <f aca="false">IF(F1848="","",G1848-E1848)</f>
        <v/>
      </c>
      <c r="I1848" s="18" t="str">
        <f aca="true">IF(F1848="","",F1848-TODAY())</f>
        <v/>
      </c>
      <c r="J1848" s="19" t="str">
        <f aca="true">IF(F1848="","",IF(TODAY()&lt;D1848,"Başlamadı",IF(TODAY()&gt;F1848,"Bitti",IF(F1848-TODAY()&lt;=7,"Bitiyor","Aktif"))))</f>
        <v/>
      </c>
      <c r="K1848" s="19" t="str">
        <f aca="false">IF(OR(J1848="Aktif",J1848="Bitiyor"),F1848+ROW()/1000000,"")</f>
        <v/>
      </c>
    </row>
    <row r="1849" customFormat="false" ht="15" hidden="false" customHeight="false" outlineLevel="0" collapsed="false">
      <c r="A1849" s="12"/>
      <c r="B1849" s="12"/>
      <c r="C1849" s="13"/>
      <c r="D1849" s="14"/>
      <c r="E1849" s="15"/>
      <c r="F1849" s="16" t="str">
        <f aca="false">IF(OR(C1849="",D1849=""),"",EDATE(D1849,IFERROR(INDEX(Paketler!$B$5:$B$24,MATCH(C1849,Paketler!$A$5:$A$24,0)),0))-1)</f>
        <v/>
      </c>
      <c r="G1849" s="17" t="str">
        <f aca="false">IF(F1849="","",IFERROR(INDEX(Paketler!$C$5:$C$24,MATCH(C1849,Paketler!$A$5:$A$24,0)),0))</f>
        <v/>
      </c>
      <c r="H1849" s="17" t="str">
        <f aca="false">IF(F1849="","",G1849-E1849)</f>
        <v/>
      </c>
      <c r="I1849" s="18" t="str">
        <f aca="true">IF(F1849="","",F1849-TODAY())</f>
        <v/>
      </c>
      <c r="J1849" s="19" t="str">
        <f aca="true">IF(F1849="","",IF(TODAY()&lt;D1849,"Başlamadı",IF(TODAY()&gt;F1849,"Bitti",IF(F1849-TODAY()&lt;=7,"Bitiyor","Aktif"))))</f>
        <v/>
      </c>
      <c r="K1849" s="19" t="str">
        <f aca="false">IF(OR(J1849="Aktif",J1849="Bitiyor"),F1849+ROW()/1000000,"")</f>
        <v/>
      </c>
    </row>
    <row r="1850" customFormat="false" ht="15" hidden="false" customHeight="false" outlineLevel="0" collapsed="false">
      <c r="A1850" s="12"/>
      <c r="B1850" s="12"/>
      <c r="C1850" s="13"/>
      <c r="D1850" s="14"/>
      <c r="E1850" s="15"/>
      <c r="F1850" s="16" t="str">
        <f aca="false">IF(OR(C1850="",D1850=""),"",EDATE(D1850,IFERROR(INDEX(Paketler!$B$5:$B$24,MATCH(C1850,Paketler!$A$5:$A$24,0)),0))-1)</f>
        <v/>
      </c>
      <c r="G1850" s="17" t="str">
        <f aca="false">IF(F1850="","",IFERROR(INDEX(Paketler!$C$5:$C$24,MATCH(C1850,Paketler!$A$5:$A$24,0)),0))</f>
        <v/>
      </c>
      <c r="H1850" s="17" t="str">
        <f aca="false">IF(F1850="","",G1850-E1850)</f>
        <v/>
      </c>
      <c r="I1850" s="18" t="str">
        <f aca="true">IF(F1850="","",F1850-TODAY())</f>
        <v/>
      </c>
      <c r="J1850" s="19" t="str">
        <f aca="true">IF(F1850="","",IF(TODAY()&lt;D1850,"Başlamadı",IF(TODAY()&gt;F1850,"Bitti",IF(F1850-TODAY()&lt;=7,"Bitiyor","Aktif"))))</f>
        <v/>
      </c>
      <c r="K1850" s="19" t="str">
        <f aca="false">IF(OR(J1850="Aktif",J1850="Bitiyor"),F1850+ROW()/1000000,"")</f>
        <v/>
      </c>
    </row>
    <row r="1851" customFormat="false" ht="15" hidden="false" customHeight="false" outlineLevel="0" collapsed="false">
      <c r="A1851" s="12"/>
      <c r="B1851" s="12"/>
      <c r="C1851" s="13"/>
      <c r="D1851" s="14"/>
      <c r="E1851" s="15"/>
      <c r="F1851" s="16" t="str">
        <f aca="false">IF(OR(C1851="",D1851=""),"",EDATE(D1851,IFERROR(INDEX(Paketler!$B$5:$B$24,MATCH(C1851,Paketler!$A$5:$A$24,0)),0))-1)</f>
        <v/>
      </c>
      <c r="G1851" s="17" t="str">
        <f aca="false">IF(F1851="","",IFERROR(INDEX(Paketler!$C$5:$C$24,MATCH(C1851,Paketler!$A$5:$A$24,0)),0))</f>
        <v/>
      </c>
      <c r="H1851" s="17" t="str">
        <f aca="false">IF(F1851="","",G1851-E1851)</f>
        <v/>
      </c>
      <c r="I1851" s="18" t="str">
        <f aca="true">IF(F1851="","",F1851-TODAY())</f>
        <v/>
      </c>
      <c r="J1851" s="19" t="str">
        <f aca="true">IF(F1851="","",IF(TODAY()&lt;D1851,"Başlamadı",IF(TODAY()&gt;F1851,"Bitti",IF(F1851-TODAY()&lt;=7,"Bitiyor","Aktif"))))</f>
        <v/>
      </c>
      <c r="K1851" s="19" t="str">
        <f aca="false">IF(OR(J1851="Aktif",J1851="Bitiyor"),F1851+ROW()/1000000,"")</f>
        <v/>
      </c>
    </row>
    <row r="1852" customFormat="false" ht="15" hidden="false" customHeight="false" outlineLevel="0" collapsed="false">
      <c r="A1852" s="12"/>
      <c r="B1852" s="12"/>
      <c r="C1852" s="13"/>
      <c r="D1852" s="14"/>
      <c r="E1852" s="15"/>
      <c r="F1852" s="16" t="str">
        <f aca="false">IF(OR(C1852="",D1852=""),"",EDATE(D1852,IFERROR(INDEX(Paketler!$B$5:$B$24,MATCH(C1852,Paketler!$A$5:$A$24,0)),0))-1)</f>
        <v/>
      </c>
      <c r="G1852" s="17" t="str">
        <f aca="false">IF(F1852="","",IFERROR(INDEX(Paketler!$C$5:$C$24,MATCH(C1852,Paketler!$A$5:$A$24,0)),0))</f>
        <v/>
      </c>
      <c r="H1852" s="17" t="str">
        <f aca="false">IF(F1852="","",G1852-E1852)</f>
        <v/>
      </c>
      <c r="I1852" s="18" t="str">
        <f aca="true">IF(F1852="","",F1852-TODAY())</f>
        <v/>
      </c>
      <c r="J1852" s="19" t="str">
        <f aca="true">IF(F1852="","",IF(TODAY()&lt;D1852,"Başlamadı",IF(TODAY()&gt;F1852,"Bitti",IF(F1852-TODAY()&lt;=7,"Bitiyor","Aktif"))))</f>
        <v/>
      </c>
      <c r="K1852" s="19" t="str">
        <f aca="false">IF(OR(J1852="Aktif",J1852="Bitiyor"),F1852+ROW()/1000000,"")</f>
        <v/>
      </c>
    </row>
    <row r="1853" customFormat="false" ht="15" hidden="false" customHeight="false" outlineLevel="0" collapsed="false">
      <c r="A1853" s="12"/>
      <c r="B1853" s="12"/>
      <c r="C1853" s="13"/>
      <c r="D1853" s="14"/>
      <c r="E1853" s="15"/>
      <c r="F1853" s="16" t="str">
        <f aca="false">IF(OR(C1853="",D1853=""),"",EDATE(D1853,IFERROR(INDEX(Paketler!$B$5:$B$24,MATCH(C1853,Paketler!$A$5:$A$24,0)),0))-1)</f>
        <v/>
      </c>
      <c r="G1853" s="17" t="str">
        <f aca="false">IF(F1853="","",IFERROR(INDEX(Paketler!$C$5:$C$24,MATCH(C1853,Paketler!$A$5:$A$24,0)),0))</f>
        <v/>
      </c>
      <c r="H1853" s="17" t="str">
        <f aca="false">IF(F1853="","",G1853-E1853)</f>
        <v/>
      </c>
      <c r="I1853" s="18" t="str">
        <f aca="true">IF(F1853="","",F1853-TODAY())</f>
        <v/>
      </c>
      <c r="J1853" s="19" t="str">
        <f aca="true">IF(F1853="","",IF(TODAY()&lt;D1853,"Başlamadı",IF(TODAY()&gt;F1853,"Bitti",IF(F1853-TODAY()&lt;=7,"Bitiyor","Aktif"))))</f>
        <v/>
      </c>
      <c r="K1853" s="19" t="str">
        <f aca="false">IF(OR(J1853="Aktif",J1853="Bitiyor"),F1853+ROW()/1000000,"")</f>
        <v/>
      </c>
    </row>
    <row r="1854" customFormat="false" ht="15" hidden="false" customHeight="false" outlineLevel="0" collapsed="false">
      <c r="A1854" s="12"/>
      <c r="B1854" s="12"/>
      <c r="C1854" s="13"/>
      <c r="D1854" s="14"/>
      <c r="E1854" s="15"/>
      <c r="F1854" s="16" t="str">
        <f aca="false">IF(OR(C1854="",D1854=""),"",EDATE(D1854,IFERROR(INDEX(Paketler!$B$5:$B$24,MATCH(C1854,Paketler!$A$5:$A$24,0)),0))-1)</f>
        <v/>
      </c>
      <c r="G1854" s="17" t="str">
        <f aca="false">IF(F1854="","",IFERROR(INDEX(Paketler!$C$5:$C$24,MATCH(C1854,Paketler!$A$5:$A$24,0)),0))</f>
        <v/>
      </c>
      <c r="H1854" s="17" t="str">
        <f aca="false">IF(F1854="","",G1854-E1854)</f>
        <v/>
      </c>
      <c r="I1854" s="18" t="str">
        <f aca="true">IF(F1854="","",F1854-TODAY())</f>
        <v/>
      </c>
      <c r="J1854" s="19" t="str">
        <f aca="true">IF(F1854="","",IF(TODAY()&lt;D1854,"Başlamadı",IF(TODAY()&gt;F1854,"Bitti",IF(F1854-TODAY()&lt;=7,"Bitiyor","Aktif"))))</f>
        <v/>
      </c>
      <c r="K1854" s="19" t="str">
        <f aca="false">IF(OR(J1854="Aktif",J1854="Bitiyor"),F1854+ROW()/1000000,"")</f>
        <v/>
      </c>
    </row>
    <row r="1855" customFormat="false" ht="15" hidden="false" customHeight="false" outlineLevel="0" collapsed="false">
      <c r="A1855" s="12"/>
      <c r="B1855" s="12"/>
      <c r="C1855" s="13"/>
      <c r="D1855" s="14"/>
      <c r="E1855" s="15"/>
      <c r="F1855" s="16" t="str">
        <f aca="false">IF(OR(C1855="",D1855=""),"",EDATE(D1855,IFERROR(INDEX(Paketler!$B$5:$B$24,MATCH(C1855,Paketler!$A$5:$A$24,0)),0))-1)</f>
        <v/>
      </c>
      <c r="G1855" s="17" t="str">
        <f aca="false">IF(F1855="","",IFERROR(INDEX(Paketler!$C$5:$C$24,MATCH(C1855,Paketler!$A$5:$A$24,0)),0))</f>
        <v/>
      </c>
      <c r="H1855" s="17" t="str">
        <f aca="false">IF(F1855="","",G1855-E1855)</f>
        <v/>
      </c>
      <c r="I1855" s="18" t="str">
        <f aca="true">IF(F1855="","",F1855-TODAY())</f>
        <v/>
      </c>
      <c r="J1855" s="19" t="str">
        <f aca="true">IF(F1855="","",IF(TODAY()&lt;D1855,"Başlamadı",IF(TODAY()&gt;F1855,"Bitti",IF(F1855-TODAY()&lt;=7,"Bitiyor","Aktif"))))</f>
        <v/>
      </c>
      <c r="K1855" s="19" t="str">
        <f aca="false">IF(OR(J1855="Aktif",J1855="Bitiyor"),F1855+ROW()/1000000,"")</f>
        <v/>
      </c>
    </row>
    <row r="1856" customFormat="false" ht="15" hidden="false" customHeight="false" outlineLevel="0" collapsed="false">
      <c r="A1856" s="12"/>
      <c r="B1856" s="12"/>
      <c r="C1856" s="13"/>
      <c r="D1856" s="14"/>
      <c r="E1856" s="15"/>
      <c r="F1856" s="16" t="str">
        <f aca="false">IF(OR(C1856="",D1856=""),"",EDATE(D1856,IFERROR(INDEX(Paketler!$B$5:$B$24,MATCH(C1856,Paketler!$A$5:$A$24,0)),0))-1)</f>
        <v/>
      </c>
      <c r="G1856" s="17" t="str">
        <f aca="false">IF(F1856="","",IFERROR(INDEX(Paketler!$C$5:$C$24,MATCH(C1856,Paketler!$A$5:$A$24,0)),0))</f>
        <v/>
      </c>
      <c r="H1856" s="17" t="str">
        <f aca="false">IF(F1856="","",G1856-E1856)</f>
        <v/>
      </c>
      <c r="I1856" s="18" t="str">
        <f aca="true">IF(F1856="","",F1856-TODAY())</f>
        <v/>
      </c>
      <c r="J1856" s="19" t="str">
        <f aca="true">IF(F1856="","",IF(TODAY()&lt;D1856,"Başlamadı",IF(TODAY()&gt;F1856,"Bitti",IF(F1856-TODAY()&lt;=7,"Bitiyor","Aktif"))))</f>
        <v/>
      </c>
      <c r="K1856" s="19" t="str">
        <f aca="false">IF(OR(J1856="Aktif",J1856="Bitiyor"),F1856+ROW()/1000000,"")</f>
        <v/>
      </c>
    </row>
    <row r="1857" customFormat="false" ht="15" hidden="false" customHeight="false" outlineLevel="0" collapsed="false">
      <c r="A1857" s="12"/>
      <c r="B1857" s="12"/>
      <c r="C1857" s="13"/>
      <c r="D1857" s="14"/>
      <c r="E1857" s="15"/>
      <c r="F1857" s="16" t="str">
        <f aca="false">IF(OR(C1857="",D1857=""),"",EDATE(D1857,IFERROR(INDEX(Paketler!$B$5:$B$24,MATCH(C1857,Paketler!$A$5:$A$24,0)),0))-1)</f>
        <v/>
      </c>
      <c r="G1857" s="17" t="str">
        <f aca="false">IF(F1857="","",IFERROR(INDEX(Paketler!$C$5:$C$24,MATCH(C1857,Paketler!$A$5:$A$24,0)),0))</f>
        <v/>
      </c>
      <c r="H1857" s="17" t="str">
        <f aca="false">IF(F1857="","",G1857-E1857)</f>
        <v/>
      </c>
      <c r="I1857" s="18" t="str">
        <f aca="true">IF(F1857="","",F1857-TODAY())</f>
        <v/>
      </c>
      <c r="J1857" s="19" t="str">
        <f aca="true">IF(F1857="","",IF(TODAY()&lt;D1857,"Başlamadı",IF(TODAY()&gt;F1857,"Bitti",IF(F1857-TODAY()&lt;=7,"Bitiyor","Aktif"))))</f>
        <v/>
      </c>
      <c r="K1857" s="19" t="str">
        <f aca="false">IF(OR(J1857="Aktif",J1857="Bitiyor"),F1857+ROW()/1000000,"")</f>
        <v/>
      </c>
    </row>
    <row r="1858" customFormat="false" ht="15" hidden="false" customHeight="false" outlineLevel="0" collapsed="false">
      <c r="A1858" s="12"/>
      <c r="B1858" s="12"/>
      <c r="C1858" s="13"/>
      <c r="D1858" s="14"/>
      <c r="E1858" s="15"/>
      <c r="F1858" s="16" t="str">
        <f aca="false">IF(OR(C1858="",D1858=""),"",EDATE(D1858,IFERROR(INDEX(Paketler!$B$5:$B$24,MATCH(C1858,Paketler!$A$5:$A$24,0)),0))-1)</f>
        <v/>
      </c>
      <c r="G1858" s="17" t="str">
        <f aca="false">IF(F1858="","",IFERROR(INDEX(Paketler!$C$5:$C$24,MATCH(C1858,Paketler!$A$5:$A$24,0)),0))</f>
        <v/>
      </c>
      <c r="H1858" s="17" t="str">
        <f aca="false">IF(F1858="","",G1858-E1858)</f>
        <v/>
      </c>
      <c r="I1858" s="18" t="str">
        <f aca="true">IF(F1858="","",F1858-TODAY())</f>
        <v/>
      </c>
      <c r="J1858" s="19" t="str">
        <f aca="true">IF(F1858="","",IF(TODAY()&lt;D1858,"Başlamadı",IF(TODAY()&gt;F1858,"Bitti",IF(F1858-TODAY()&lt;=7,"Bitiyor","Aktif"))))</f>
        <v/>
      </c>
      <c r="K1858" s="19" t="str">
        <f aca="false">IF(OR(J1858="Aktif",J1858="Bitiyor"),F1858+ROW()/1000000,"")</f>
        <v/>
      </c>
    </row>
    <row r="1859" customFormat="false" ht="15" hidden="false" customHeight="false" outlineLevel="0" collapsed="false">
      <c r="A1859" s="12"/>
      <c r="B1859" s="12"/>
      <c r="C1859" s="13"/>
      <c r="D1859" s="14"/>
      <c r="E1859" s="15"/>
      <c r="F1859" s="16" t="str">
        <f aca="false">IF(OR(C1859="",D1859=""),"",EDATE(D1859,IFERROR(INDEX(Paketler!$B$5:$B$24,MATCH(C1859,Paketler!$A$5:$A$24,0)),0))-1)</f>
        <v/>
      </c>
      <c r="G1859" s="17" t="str">
        <f aca="false">IF(F1859="","",IFERROR(INDEX(Paketler!$C$5:$C$24,MATCH(C1859,Paketler!$A$5:$A$24,0)),0))</f>
        <v/>
      </c>
      <c r="H1859" s="17" t="str">
        <f aca="false">IF(F1859="","",G1859-E1859)</f>
        <v/>
      </c>
      <c r="I1859" s="18" t="str">
        <f aca="true">IF(F1859="","",F1859-TODAY())</f>
        <v/>
      </c>
      <c r="J1859" s="19" t="str">
        <f aca="true">IF(F1859="","",IF(TODAY()&lt;D1859,"Başlamadı",IF(TODAY()&gt;F1859,"Bitti",IF(F1859-TODAY()&lt;=7,"Bitiyor","Aktif"))))</f>
        <v/>
      </c>
      <c r="K1859" s="19" t="str">
        <f aca="false">IF(OR(J1859="Aktif",J1859="Bitiyor"),F1859+ROW()/1000000,"")</f>
        <v/>
      </c>
    </row>
    <row r="1860" customFormat="false" ht="15" hidden="false" customHeight="false" outlineLevel="0" collapsed="false">
      <c r="A1860" s="12"/>
      <c r="B1860" s="12"/>
      <c r="C1860" s="13"/>
      <c r="D1860" s="14"/>
      <c r="E1860" s="15"/>
      <c r="F1860" s="16" t="str">
        <f aca="false">IF(OR(C1860="",D1860=""),"",EDATE(D1860,IFERROR(INDEX(Paketler!$B$5:$B$24,MATCH(C1860,Paketler!$A$5:$A$24,0)),0))-1)</f>
        <v/>
      </c>
      <c r="G1860" s="17" t="str">
        <f aca="false">IF(F1860="","",IFERROR(INDEX(Paketler!$C$5:$C$24,MATCH(C1860,Paketler!$A$5:$A$24,0)),0))</f>
        <v/>
      </c>
      <c r="H1860" s="17" t="str">
        <f aca="false">IF(F1860="","",G1860-E1860)</f>
        <v/>
      </c>
      <c r="I1860" s="18" t="str">
        <f aca="true">IF(F1860="","",F1860-TODAY())</f>
        <v/>
      </c>
      <c r="J1860" s="19" t="str">
        <f aca="true">IF(F1860="","",IF(TODAY()&lt;D1860,"Başlamadı",IF(TODAY()&gt;F1860,"Bitti",IF(F1860-TODAY()&lt;=7,"Bitiyor","Aktif"))))</f>
        <v/>
      </c>
      <c r="K1860" s="19" t="str">
        <f aca="false">IF(OR(J1860="Aktif",J1860="Bitiyor"),F1860+ROW()/1000000,"")</f>
        <v/>
      </c>
    </row>
    <row r="1861" customFormat="false" ht="15" hidden="false" customHeight="false" outlineLevel="0" collapsed="false">
      <c r="A1861" s="12"/>
      <c r="B1861" s="12"/>
      <c r="C1861" s="13"/>
      <c r="D1861" s="14"/>
      <c r="E1861" s="15"/>
      <c r="F1861" s="16" t="str">
        <f aca="false">IF(OR(C1861="",D1861=""),"",EDATE(D1861,IFERROR(INDEX(Paketler!$B$5:$B$24,MATCH(C1861,Paketler!$A$5:$A$24,0)),0))-1)</f>
        <v/>
      </c>
      <c r="G1861" s="17" t="str">
        <f aca="false">IF(F1861="","",IFERROR(INDEX(Paketler!$C$5:$C$24,MATCH(C1861,Paketler!$A$5:$A$24,0)),0))</f>
        <v/>
      </c>
      <c r="H1861" s="17" t="str">
        <f aca="false">IF(F1861="","",G1861-E1861)</f>
        <v/>
      </c>
      <c r="I1861" s="18" t="str">
        <f aca="true">IF(F1861="","",F1861-TODAY())</f>
        <v/>
      </c>
      <c r="J1861" s="19" t="str">
        <f aca="true">IF(F1861="","",IF(TODAY()&lt;D1861,"Başlamadı",IF(TODAY()&gt;F1861,"Bitti",IF(F1861-TODAY()&lt;=7,"Bitiyor","Aktif"))))</f>
        <v/>
      </c>
      <c r="K1861" s="19" t="str">
        <f aca="false">IF(OR(J1861="Aktif",J1861="Bitiyor"),F1861+ROW()/1000000,"")</f>
        <v/>
      </c>
    </row>
    <row r="1862" customFormat="false" ht="15" hidden="false" customHeight="false" outlineLevel="0" collapsed="false">
      <c r="A1862" s="12"/>
      <c r="B1862" s="12"/>
      <c r="C1862" s="13"/>
      <c r="D1862" s="14"/>
      <c r="E1862" s="15"/>
      <c r="F1862" s="16" t="str">
        <f aca="false">IF(OR(C1862="",D1862=""),"",EDATE(D1862,IFERROR(INDEX(Paketler!$B$5:$B$24,MATCH(C1862,Paketler!$A$5:$A$24,0)),0))-1)</f>
        <v/>
      </c>
      <c r="G1862" s="17" t="str">
        <f aca="false">IF(F1862="","",IFERROR(INDEX(Paketler!$C$5:$C$24,MATCH(C1862,Paketler!$A$5:$A$24,0)),0))</f>
        <v/>
      </c>
      <c r="H1862" s="17" t="str">
        <f aca="false">IF(F1862="","",G1862-E1862)</f>
        <v/>
      </c>
      <c r="I1862" s="18" t="str">
        <f aca="true">IF(F1862="","",F1862-TODAY())</f>
        <v/>
      </c>
      <c r="J1862" s="19" t="str">
        <f aca="true">IF(F1862="","",IF(TODAY()&lt;D1862,"Başlamadı",IF(TODAY()&gt;F1862,"Bitti",IF(F1862-TODAY()&lt;=7,"Bitiyor","Aktif"))))</f>
        <v/>
      </c>
      <c r="K1862" s="19" t="str">
        <f aca="false">IF(OR(J1862="Aktif",J1862="Bitiyor"),F1862+ROW()/1000000,"")</f>
        <v/>
      </c>
    </row>
    <row r="1863" customFormat="false" ht="15" hidden="false" customHeight="false" outlineLevel="0" collapsed="false">
      <c r="A1863" s="12"/>
      <c r="B1863" s="12"/>
      <c r="C1863" s="13"/>
      <c r="D1863" s="14"/>
      <c r="E1863" s="15"/>
      <c r="F1863" s="16" t="str">
        <f aca="false">IF(OR(C1863="",D1863=""),"",EDATE(D1863,IFERROR(INDEX(Paketler!$B$5:$B$24,MATCH(C1863,Paketler!$A$5:$A$24,0)),0))-1)</f>
        <v/>
      </c>
      <c r="G1863" s="17" t="str">
        <f aca="false">IF(F1863="","",IFERROR(INDEX(Paketler!$C$5:$C$24,MATCH(C1863,Paketler!$A$5:$A$24,0)),0))</f>
        <v/>
      </c>
      <c r="H1863" s="17" t="str">
        <f aca="false">IF(F1863="","",G1863-E1863)</f>
        <v/>
      </c>
      <c r="I1863" s="18" t="str">
        <f aca="true">IF(F1863="","",F1863-TODAY())</f>
        <v/>
      </c>
      <c r="J1863" s="19" t="str">
        <f aca="true">IF(F1863="","",IF(TODAY()&lt;D1863,"Başlamadı",IF(TODAY()&gt;F1863,"Bitti",IF(F1863-TODAY()&lt;=7,"Bitiyor","Aktif"))))</f>
        <v/>
      </c>
      <c r="K1863" s="19" t="str">
        <f aca="false">IF(OR(J1863="Aktif",J1863="Bitiyor"),F1863+ROW()/1000000,"")</f>
        <v/>
      </c>
    </row>
    <row r="1864" customFormat="false" ht="15" hidden="false" customHeight="false" outlineLevel="0" collapsed="false">
      <c r="A1864" s="12"/>
      <c r="B1864" s="12"/>
      <c r="C1864" s="13"/>
      <c r="D1864" s="14"/>
      <c r="E1864" s="15"/>
      <c r="F1864" s="16" t="str">
        <f aca="false">IF(OR(C1864="",D1864=""),"",EDATE(D1864,IFERROR(INDEX(Paketler!$B$5:$B$24,MATCH(C1864,Paketler!$A$5:$A$24,0)),0))-1)</f>
        <v/>
      </c>
      <c r="G1864" s="17" t="str">
        <f aca="false">IF(F1864="","",IFERROR(INDEX(Paketler!$C$5:$C$24,MATCH(C1864,Paketler!$A$5:$A$24,0)),0))</f>
        <v/>
      </c>
      <c r="H1864" s="17" t="str">
        <f aca="false">IF(F1864="","",G1864-E1864)</f>
        <v/>
      </c>
      <c r="I1864" s="18" t="str">
        <f aca="true">IF(F1864="","",F1864-TODAY())</f>
        <v/>
      </c>
      <c r="J1864" s="19" t="str">
        <f aca="true">IF(F1864="","",IF(TODAY()&lt;D1864,"Başlamadı",IF(TODAY()&gt;F1864,"Bitti",IF(F1864-TODAY()&lt;=7,"Bitiyor","Aktif"))))</f>
        <v/>
      </c>
      <c r="K1864" s="19" t="str">
        <f aca="false">IF(OR(J1864="Aktif",J1864="Bitiyor"),F1864+ROW()/1000000,"")</f>
        <v/>
      </c>
    </row>
    <row r="1865" customFormat="false" ht="15" hidden="false" customHeight="false" outlineLevel="0" collapsed="false">
      <c r="A1865" s="12"/>
      <c r="B1865" s="12"/>
      <c r="C1865" s="13"/>
      <c r="D1865" s="14"/>
      <c r="E1865" s="15"/>
      <c r="F1865" s="16" t="str">
        <f aca="false">IF(OR(C1865="",D1865=""),"",EDATE(D1865,IFERROR(INDEX(Paketler!$B$5:$B$24,MATCH(C1865,Paketler!$A$5:$A$24,0)),0))-1)</f>
        <v/>
      </c>
      <c r="G1865" s="17" t="str">
        <f aca="false">IF(F1865="","",IFERROR(INDEX(Paketler!$C$5:$C$24,MATCH(C1865,Paketler!$A$5:$A$24,0)),0))</f>
        <v/>
      </c>
      <c r="H1865" s="17" t="str">
        <f aca="false">IF(F1865="","",G1865-E1865)</f>
        <v/>
      </c>
      <c r="I1865" s="18" t="str">
        <f aca="true">IF(F1865="","",F1865-TODAY())</f>
        <v/>
      </c>
      <c r="J1865" s="19" t="str">
        <f aca="true">IF(F1865="","",IF(TODAY()&lt;D1865,"Başlamadı",IF(TODAY()&gt;F1865,"Bitti",IF(F1865-TODAY()&lt;=7,"Bitiyor","Aktif"))))</f>
        <v/>
      </c>
      <c r="K1865" s="19" t="str">
        <f aca="false">IF(OR(J1865="Aktif",J1865="Bitiyor"),F1865+ROW()/1000000,"")</f>
        <v/>
      </c>
    </row>
    <row r="1866" customFormat="false" ht="15" hidden="false" customHeight="false" outlineLevel="0" collapsed="false">
      <c r="A1866" s="12"/>
      <c r="B1866" s="12"/>
      <c r="C1866" s="13"/>
      <c r="D1866" s="14"/>
      <c r="E1866" s="15"/>
      <c r="F1866" s="16" t="str">
        <f aca="false">IF(OR(C1866="",D1866=""),"",EDATE(D1866,IFERROR(INDEX(Paketler!$B$5:$B$24,MATCH(C1866,Paketler!$A$5:$A$24,0)),0))-1)</f>
        <v/>
      </c>
      <c r="G1866" s="17" t="str">
        <f aca="false">IF(F1866="","",IFERROR(INDEX(Paketler!$C$5:$C$24,MATCH(C1866,Paketler!$A$5:$A$24,0)),0))</f>
        <v/>
      </c>
      <c r="H1866" s="17" t="str">
        <f aca="false">IF(F1866="","",G1866-E1866)</f>
        <v/>
      </c>
      <c r="I1866" s="18" t="str">
        <f aca="true">IF(F1866="","",F1866-TODAY())</f>
        <v/>
      </c>
      <c r="J1866" s="19" t="str">
        <f aca="true">IF(F1866="","",IF(TODAY()&lt;D1866,"Başlamadı",IF(TODAY()&gt;F1866,"Bitti",IF(F1866-TODAY()&lt;=7,"Bitiyor","Aktif"))))</f>
        <v/>
      </c>
      <c r="K1866" s="19" t="str">
        <f aca="false">IF(OR(J1866="Aktif",J1866="Bitiyor"),F1866+ROW()/1000000,"")</f>
        <v/>
      </c>
    </row>
    <row r="1867" customFormat="false" ht="15" hidden="false" customHeight="false" outlineLevel="0" collapsed="false">
      <c r="A1867" s="12"/>
      <c r="B1867" s="12"/>
      <c r="C1867" s="13"/>
      <c r="D1867" s="14"/>
      <c r="E1867" s="15"/>
      <c r="F1867" s="16" t="str">
        <f aca="false">IF(OR(C1867="",D1867=""),"",EDATE(D1867,IFERROR(INDEX(Paketler!$B$5:$B$24,MATCH(C1867,Paketler!$A$5:$A$24,0)),0))-1)</f>
        <v/>
      </c>
      <c r="G1867" s="17" t="str">
        <f aca="false">IF(F1867="","",IFERROR(INDEX(Paketler!$C$5:$C$24,MATCH(C1867,Paketler!$A$5:$A$24,0)),0))</f>
        <v/>
      </c>
      <c r="H1867" s="17" t="str">
        <f aca="false">IF(F1867="","",G1867-E1867)</f>
        <v/>
      </c>
      <c r="I1867" s="18" t="str">
        <f aca="true">IF(F1867="","",F1867-TODAY())</f>
        <v/>
      </c>
      <c r="J1867" s="19" t="str">
        <f aca="true">IF(F1867="","",IF(TODAY()&lt;D1867,"Başlamadı",IF(TODAY()&gt;F1867,"Bitti",IF(F1867-TODAY()&lt;=7,"Bitiyor","Aktif"))))</f>
        <v/>
      </c>
      <c r="K1867" s="19" t="str">
        <f aca="false">IF(OR(J1867="Aktif",J1867="Bitiyor"),F1867+ROW()/1000000,"")</f>
        <v/>
      </c>
    </row>
    <row r="1868" customFormat="false" ht="15" hidden="false" customHeight="false" outlineLevel="0" collapsed="false">
      <c r="A1868" s="12"/>
      <c r="B1868" s="12"/>
      <c r="C1868" s="13"/>
      <c r="D1868" s="14"/>
      <c r="E1868" s="15"/>
      <c r="F1868" s="16" t="str">
        <f aca="false">IF(OR(C1868="",D1868=""),"",EDATE(D1868,IFERROR(INDEX(Paketler!$B$5:$B$24,MATCH(C1868,Paketler!$A$5:$A$24,0)),0))-1)</f>
        <v/>
      </c>
      <c r="G1868" s="17" t="str">
        <f aca="false">IF(F1868="","",IFERROR(INDEX(Paketler!$C$5:$C$24,MATCH(C1868,Paketler!$A$5:$A$24,0)),0))</f>
        <v/>
      </c>
      <c r="H1868" s="17" t="str">
        <f aca="false">IF(F1868="","",G1868-E1868)</f>
        <v/>
      </c>
      <c r="I1868" s="18" t="str">
        <f aca="true">IF(F1868="","",F1868-TODAY())</f>
        <v/>
      </c>
      <c r="J1868" s="19" t="str">
        <f aca="true">IF(F1868="","",IF(TODAY()&lt;D1868,"Başlamadı",IF(TODAY()&gt;F1868,"Bitti",IF(F1868-TODAY()&lt;=7,"Bitiyor","Aktif"))))</f>
        <v/>
      </c>
      <c r="K1868" s="19" t="str">
        <f aca="false">IF(OR(J1868="Aktif",J1868="Bitiyor"),F1868+ROW()/1000000,"")</f>
        <v/>
      </c>
    </row>
    <row r="1869" customFormat="false" ht="15" hidden="false" customHeight="false" outlineLevel="0" collapsed="false">
      <c r="A1869" s="12"/>
      <c r="B1869" s="12"/>
      <c r="C1869" s="13"/>
      <c r="D1869" s="14"/>
      <c r="E1869" s="15"/>
      <c r="F1869" s="16" t="str">
        <f aca="false">IF(OR(C1869="",D1869=""),"",EDATE(D1869,IFERROR(INDEX(Paketler!$B$5:$B$24,MATCH(C1869,Paketler!$A$5:$A$24,0)),0))-1)</f>
        <v/>
      </c>
      <c r="G1869" s="17" t="str">
        <f aca="false">IF(F1869="","",IFERROR(INDEX(Paketler!$C$5:$C$24,MATCH(C1869,Paketler!$A$5:$A$24,0)),0))</f>
        <v/>
      </c>
      <c r="H1869" s="17" t="str">
        <f aca="false">IF(F1869="","",G1869-E1869)</f>
        <v/>
      </c>
      <c r="I1869" s="18" t="str">
        <f aca="true">IF(F1869="","",F1869-TODAY())</f>
        <v/>
      </c>
      <c r="J1869" s="19" t="str">
        <f aca="true">IF(F1869="","",IF(TODAY()&lt;D1869,"Başlamadı",IF(TODAY()&gt;F1869,"Bitti",IF(F1869-TODAY()&lt;=7,"Bitiyor","Aktif"))))</f>
        <v/>
      </c>
      <c r="K1869" s="19" t="str">
        <f aca="false">IF(OR(J1869="Aktif",J1869="Bitiyor"),F1869+ROW()/1000000,"")</f>
        <v/>
      </c>
    </row>
    <row r="1870" customFormat="false" ht="15" hidden="false" customHeight="false" outlineLevel="0" collapsed="false">
      <c r="A1870" s="12"/>
      <c r="B1870" s="12"/>
      <c r="C1870" s="13"/>
      <c r="D1870" s="14"/>
      <c r="E1870" s="15"/>
      <c r="F1870" s="16" t="str">
        <f aca="false">IF(OR(C1870="",D1870=""),"",EDATE(D1870,IFERROR(INDEX(Paketler!$B$5:$B$24,MATCH(C1870,Paketler!$A$5:$A$24,0)),0))-1)</f>
        <v/>
      </c>
      <c r="G1870" s="17" t="str">
        <f aca="false">IF(F1870="","",IFERROR(INDEX(Paketler!$C$5:$C$24,MATCH(C1870,Paketler!$A$5:$A$24,0)),0))</f>
        <v/>
      </c>
      <c r="H1870" s="17" t="str">
        <f aca="false">IF(F1870="","",G1870-E1870)</f>
        <v/>
      </c>
      <c r="I1870" s="18" t="str">
        <f aca="true">IF(F1870="","",F1870-TODAY())</f>
        <v/>
      </c>
      <c r="J1870" s="19" t="str">
        <f aca="true">IF(F1870="","",IF(TODAY()&lt;D1870,"Başlamadı",IF(TODAY()&gt;F1870,"Bitti",IF(F1870-TODAY()&lt;=7,"Bitiyor","Aktif"))))</f>
        <v/>
      </c>
      <c r="K1870" s="19" t="str">
        <f aca="false">IF(OR(J1870="Aktif",J1870="Bitiyor"),F1870+ROW()/1000000,"")</f>
        <v/>
      </c>
    </row>
    <row r="1871" customFormat="false" ht="15" hidden="false" customHeight="false" outlineLevel="0" collapsed="false">
      <c r="A1871" s="12"/>
      <c r="B1871" s="12"/>
      <c r="C1871" s="13"/>
      <c r="D1871" s="14"/>
      <c r="E1871" s="15"/>
      <c r="F1871" s="16" t="str">
        <f aca="false">IF(OR(C1871="",D1871=""),"",EDATE(D1871,IFERROR(INDEX(Paketler!$B$5:$B$24,MATCH(C1871,Paketler!$A$5:$A$24,0)),0))-1)</f>
        <v/>
      </c>
      <c r="G1871" s="17" t="str">
        <f aca="false">IF(F1871="","",IFERROR(INDEX(Paketler!$C$5:$C$24,MATCH(C1871,Paketler!$A$5:$A$24,0)),0))</f>
        <v/>
      </c>
      <c r="H1871" s="17" t="str">
        <f aca="false">IF(F1871="","",G1871-E1871)</f>
        <v/>
      </c>
      <c r="I1871" s="18" t="str">
        <f aca="true">IF(F1871="","",F1871-TODAY())</f>
        <v/>
      </c>
      <c r="J1871" s="19" t="str">
        <f aca="true">IF(F1871="","",IF(TODAY()&lt;D1871,"Başlamadı",IF(TODAY()&gt;F1871,"Bitti",IF(F1871-TODAY()&lt;=7,"Bitiyor","Aktif"))))</f>
        <v/>
      </c>
      <c r="K1871" s="19" t="str">
        <f aca="false">IF(OR(J1871="Aktif",J1871="Bitiyor"),F1871+ROW()/1000000,"")</f>
        <v/>
      </c>
    </row>
    <row r="1872" customFormat="false" ht="15" hidden="false" customHeight="false" outlineLevel="0" collapsed="false">
      <c r="A1872" s="12"/>
      <c r="B1872" s="12"/>
      <c r="C1872" s="13"/>
      <c r="D1872" s="14"/>
      <c r="E1872" s="15"/>
      <c r="F1872" s="16" t="str">
        <f aca="false">IF(OR(C1872="",D1872=""),"",EDATE(D1872,IFERROR(INDEX(Paketler!$B$5:$B$24,MATCH(C1872,Paketler!$A$5:$A$24,0)),0))-1)</f>
        <v/>
      </c>
      <c r="G1872" s="17" t="str">
        <f aca="false">IF(F1872="","",IFERROR(INDEX(Paketler!$C$5:$C$24,MATCH(C1872,Paketler!$A$5:$A$24,0)),0))</f>
        <v/>
      </c>
      <c r="H1872" s="17" t="str">
        <f aca="false">IF(F1872="","",G1872-E1872)</f>
        <v/>
      </c>
      <c r="I1872" s="18" t="str">
        <f aca="true">IF(F1872="","",F1872-TODAY())</f>
        <v/>
      </c>
      <c r="J1872" s="19" t="str">
        <f aca="true">IF(F1872="","",IF(TODAY()&lt;D1872,"Başlamadı",IF(TODAY()&gt;F1872,"Bitti",IF(F1872-TODAY()&lt;=7,"Bitiyor","Aktif"))))</f>
        <v/>
      </c>
      <c r="K1872" s="19" t="str">
        <f aca="false">IF(OR(J1872="Aktif",J1872="Bitiyor"),F1872+ROW()/1000000,"")</f>
        <v/>
      </c>
    </row>
    <row r="1873" customFormat="false" ht="15" hidden="false" customHeight="false" outlineLevel="0" collapsed="false">
      <c r="A1873" s="12"/>
      <c r="B1873" s="12"/>
      <c r="C1873" s="13"/>
      <c r="D1873" s="14"/>
      <c r="E1873" s="15"/>
      <c r="F1873" s="16" t="str">
        <f aca="false">IF(OR(C1873="",D1873=""),"",EDATE(D1873,IFERROR(INDEX(Paketler!$B$5:$B$24,MATCH(C1873,Paketler!$A$5:$A$24,0)),0))-1)</f>
        <v/>
      </c>
      <c r="G1873" s="17" t="str">
        <f aca="false">IF(F1873="","",IFERROR(INDEX(Paketler!$C$5:$C$24,MATCH(C1873,Paketler!$A$5:$A$24,0)),0))</f>
        <v/>
      </c>
      <c r="H1873" s="17" t="str">
        <f aca="false">IF(F1873="","",G1873-E1873)</f>
        <v/>
      </c>
      <c r="I1873" s="18" t="str">
        <f aca="true">IF(F1873="","",F1873-TODAY())</f>
        <v/>
      </c>
      <c r="J1873" s="19" t="str">
        <f aca="true">IF(F1873="","",IF(TODAY()&lt;D1873,"Başlamadı",IF(TODAY()&gt;F1873,"Bitti",IF(F1873-TODAY()&lt;=7,"Bitiyor","Aktif"))))</f>
        <v/>
      </c>
      <c r="K1873" s="19" t="str">
        <f aca="false">IF(OR(J1873="Aktif",J1873="Bitiyor"),F1873+ROW()/1000000,"")</f>
        <v/>
      </c>
    </row>
    <row r="1874" customFormat="false" ht="15" hidden="false" customHeight="false" outlineLevel="0" collapsed="false">
      <c r="A1874" s="12"/>
      <c r="B1874" s="12"/>
      <c r="C1874" s="13"/>
      <c r="D1874" s="14"/>
      <c r="E1874" s="15"/>
      <c r="F1874" s="16" t="str">
        <f aca="false">IF(OR(C1874="",D1874=""),"",EDATE(D1874,IFERROR(INDEX(Paketler!$B$5:$B$24,MATCH(C1874,Paketler!$A$5:$A$24,0)),0))-1)</f>
        <v/>
      </c>
      <c r="G1874" s="17" t="str">
        <f aca="false">IF(F1874="","",IFERROR(INDEX(Paketler!$C$5:$C$24,MATCH(C1874,Paketler!$A$5:$A$24,0)),0))</f>
        <v/>
      </c>
      <c r="H1874" s="17" t="str">
        <f aca="false">IF(F1874="","",G1874-E1874)</f>
        <v/>
      </c>
      <c r="I1874" s="18" t="str">
        <f aca="true">IF(F1874="","",F1874-TODAY())</f>
        <v/>
      </c>
      <c r="J1874" s="19" t="str">
        <f aca="true">IF(F1874="","",IF(TODAY()&lt;D1874,"Başlamadı",IF(TODAY()&gt;F1874,"Bitti",IF(F1874-TODAY()&lt;=7,"Bitiyor","Aktif"))))</f>
        <v/>
      </c>
      <c r="K1874" s="19" t="str">
        <f aca="false">IF(OR(J1874="Aktif",J1874="Bitiyor"),F1874+ROW()/1000000,"")</f>
        <v/>
      </c>
    </row>
    <row r="1875" customFormat="false" ht="15" hidden="false" customHeight="false" outlineLevel="0" collapsed="false">
      <c r="A1875" s="12"/>
      <c r="B1875" s="12"/>
      <c r="C1875" s="13"/>
      <c r="D1875" s="14"/>
      <c r="E1875" s="15"/>
      <c r="F1875" s="16" t="str">
        <f aca="false">IF(OR(C1875="",D1875=""),"",EDATE(D1875,IFERROR(INDEX(Paketler!$B$5:$B$24,MATCH(C1875,Paketler!$A$5:$A$24,0)),0))-1)</f>
        <v/>
      </c>
      <c r="G1875" s="17" t="str">
        <f aca="false">IF(F1875="","",IFERROR(INDEX(Paketler!$C$5:$C$24,MATCH(C1875,Paketler!$A$5:$A$24,0)),0))</f>
        <v/>
      </c>
      <c r="H1875" s="17" t="str">
        <f aca="false">IF(F1875="","",G1875-E1875)</f>
        <v/>
      </c>
      <c r="I1875" s="18" t="str">
        <f aca="true">IF(F1875="","",F1875-TODAY())</f>
        <v/>
      </c>
      <c r="J1875" s="19" t="str">
        <f aca="true">IF(F1875="","",IF(TODAY()&lt;D1875,"Başlamadı",IF(TODAY()&gt;F1875,"Bitti",IF(F1875-TODAY()&lt;=7,"Bitiyor","Aktif"))))</f>
        <v/>
      </c>
      <c r="K1875" s="19" t="str">
        <f aca="false">IF(OR(J1875="Aktif",J1875="Bitiyor"),F1875+ROW()/1000000,"")</f>
        <v/>
      </c>
    </row>
    <row r="1876" customFormat="false" ht="15" hidden="false" customHeight="false" outlineLevel="0" collapsed="false">
      <c r="A1876" s="12"/>
      <c r="B1876" s="12"/>
      <c r="C1876" s="13"/>
      <c r="D1876" s="14"/>
      <c r="E1876" s="15"/>
      <c r="F1876" s="16" t="str">
        <f aca="false">IF(OR(C1876="",D1876=""),"",EDATE(D1876,IFERROR(INDEX(Paketler!$B$5:$B$24,MATCH(C1876,Paketler!$A$5:$A$24,0)),0))-1)</f>
        <v/>
      </c>
      <c r="G1876" s="17" t="str">
        <f aca="false">IF(F1876="","",IFERROR(INDEX(Paketler!$C$5:$C$24,MATCH(C1876,Paketler!$A$5:$A$24,0)),0))</f>
        <v/>
      </c>
      <c r="H1876" s="17" t="str">
        <f aca="false">IF(F1876="","",G1876-E1876)</f>
        <v/>
      </c>
      <c r="I1876" s="18" t="str">
        <f aca="true">IF(F1876="","",F1876-TODAY())</f>
        <v/>
      </c>
      <c r="J1876" s="19" t="str">
        <f aca="true">IF(F1876="","",IF(TODAY()&lt;D1876,"Başlamadı",IF(TODAY()&gt;F1876,"Bitti",IF(F1876-TODAY()&lt;=7,"Bitiyor","Aktif"))))</f>
        <v/>
      </c>
      <c r="K1876" s="19" t="str">
        <f aca="false">IF(OR(J1876="Aktif",J1876="Bitiyor"),F1876+ROW()/1000000,"")</f>
        <v/>
      </c>
    </row>
    <row r="1877" customFormat="false" ht="15" hidden="false" customHeight="false" outlineLevel="0" collapsed="false">
      <c r="A1877" s="12"/>
      <c r="B1877" s="12"/>
      <c r="C1877" s="13"/>
      <c r="D1877" s="14"/>
      <c r="E1877" s="15"/>
      <c r="F1877" s="16" t="str">
        <f aca="false">IF(OR(C1877="",D1877=""),"",EDATE(D1877,IFERROR(INDEX(Paketler!$B$5:$B$24,MATCH(C1877,Paketler!$A$5:$A$24,0)),0))-1)</f>
        <v/>
      </c>
      <c r="G1877" s="17" t="str">
        <f aca="false">IF(F1877="","",IFERROR(INDEX(Paketler!$C$5:$C$24,MATCH(C1877,Paketler!$A$5:$A$24,0)),0))</f>
        <v/>
      </c>
      <c r="H1877" s="17" t="str">
        <f aca="false">IF(F1877="","",G1877-E1877)</f>
        <v/>
      </c>
      <c r="I1877" s="18" t="str">
        <f aca="true">IF(F1877="","",F1877-TODAY())</f>
        <v/>
      </c>
      <c r="J1877" s="19" t="str">
        <f aca="true">IF(F1877="","",IF(TODAY()&lt;D1877,"Başlamadı",IF(TODAY()&gt;F1877,"Bitti",IF(F1877-TODAY()&lt;=7,"Bitiyor","Aktif"))))</f>
        <v/>
      </c>
      <c r="K1877" s="19" t="str">
        <f aca="false">IF(OR(J1877="Aktif",J1877="Bitiyor"),F1877+ROW()/1000000,"")</f>
        <v/>
      </c>
    </row>
    <row r="1878" customFormat="false" ht="15" hidden="false" customHeight="false" outlineLevel="0" collapsed="false">
      <c r="A1878" s="12"/>
      <c r="B1878" s="12"/>
      <c r="C1878" s="13"/>
      <c r="D1878" s="14"/>
      <c r="E1878" s="15"/>
      <c r="F1878" s="16" t="str">
        <f aca="false">IF(OR(C1878="",D1878=""),"",EDATE(D1878,IFERROR(INDEX(Paketler!$B$5:$B$24,MATCH(C1878,Paketler!$A$5:$A$24,0)),0))-1)</f>
        <v/>
      </c>
      <c r="G1878" s="17" t="str">
        <f aca="false">IF(F1878="","",IFERROR(INDEX(Paketler!$C$5:$C$24,MATCH(C1878,Paketler!$A$5:$A$24,0)),0))</f>
        <v/>
      </c>
      <c r="H1878" s="17" t="str">
        <f aca="false">IF(F1878="","",G1878-E1878)</f>
        <v/>
      </c>
      <c r="I1878" s="18" t="str">
        <f aca="true">IF(F1878="","",F1878-TODAY())</f>
        <v/>
      </c>
      <c r="J1878" s="19" t="str">
        <f aca="true">IF(F1878="","",IF(TODAY()&lt;D1878,"Başlamadı",IF(TODAY()&gt;F1878,"Bitti",IF(F1878-TODAY()&lt;=7,"Bitiyor","Aktif"))))</f>
        <v/>
      </c>
      <c r="K1878" s="19" t="str">
        <f aca="false">IF(OR(J1878="Aktif",J1878="Bitiyor"),F1878+ROW()/1000000,"")</f>
        <v/>
      </c>
    </row>
    <row r="1879" customFormat="false" ht="15" hidden="false" customHeight="false" outlineLevel="0" collapsed="false">
      <c r="A1879" s="12"/>
      <c r="B1879" s="12"/>
      <c r="C1879" s="13"/>
      <c r="D1879" s="14"/>
      <c r="E1879" s="15"/>
      <c r="F1879" s="16" t="str">
        <f aca="false">IF(OR(C1879="",D1879=""),"",EDATE(D1879,IFERROR(INDEX(Paketler!$B$5:$B$24,MATCH(C1879,Paketler!$A$5:$A$24,0)),0))-1)</f>
        <v/>
      </c>
      <c r="G1879" s="17" t="str">
        <f aca="false">IF(F1879="","",IFERROR(INDEX(Paketler!$C$5:$C$24,MATCH(C1879,Paketler!$A$5:$A$24,0)),0))</f>
        <v/>
      </c>
      <c r="H1879" s="17" t="str">
        <f aca="false">IF(F1879="","",G1879-E1879)</f>
        <v/>
      </c>
      <c r="I1879" s="18" t="str">
        <f aca="true">IF(F1879="","",F1879-TODAY())</f>
        <v/>
      </c>
      <c r="J1879" s="19" t="str">
        <f aca="true">IF(F1879="","",IF(TODAY()&lt;D1879,"Başlamadı",IF(TODAY()&gt;F1879,"Bitti",IF(F1879-TODAY()&lt;=7,"Bitiyor","Aktif"))))</f>
        <v/>
      </c>
      <c r="K1879" s="19" t="str">
        <f aca="false">IF(OR(J1879="Aktif",J1879="Bitiyor"),F1879+ROW()/1000000,"")</f>
        <v/>
      </c>
    </row>
    <row r="1880" customFormat="false" ht="15" hidden="false" customHeight="false" outlineLevel="0" collapsed="false">
      <c r="A1880" s="12"/>
      <c r="B1880" s="12"/>
      <c r="C1880" s="13"/>
      <c r="D1880" s="14"/>
      <c r="E1880" s="15"/>
      <c r="F1880" s="16" t="str">
        <f aca="false">IF(OR(C1880="",D1880=""),"",EDATE(D1880,IFERROR(INDEX(Paketler!$B$5:$B$24,MATCH(C1880,Paketler!$A$5:$A$24,0)),0))-1)</f>
        <v/>
      </c>
      <c r="G1880" s="17" t="str">
        <f aca="false">IF(F1880="","",IFERROR(INDEX(Paketler!$C$5:$C$24,MATCH(C1880,Paketler!$A$5:$A$24,0)),0))</f>
        <v/>
      </c>
      <c r="H1880" s="17" t="str">
        <f aca="false">IF(F1880="","",G1880-E1880)</f>
        <v/>
      </c>
      <c r="I1880" s="18" t="str">
        <f aca="true">IF(F1880="","",F1880-TODAY())</f>
        <v/>
      </c>
      <c r="J1880" s="19" t="str">
        <f aca="true">IF(F1880="","",IF(TODAY()&lt;D1880,"Başlamadı",IF(TODAY()&gt;F1880,"Bitti",IF(F1880-TODAY()&lt;=7,"Bitiyor","Aktif"))))</f>
        <v/>
      </c>
      <c r="K1880" s="19" t="str">
        <f aca="false">IF(OR(J1880="Aktif",J1880="Bitiyor"),F1880+ROW()/1000000,"")</f>
        <v/>
      </c>
    </row>
    <row r="1881" customFormat="false" ht="15" hidden="false" customHeight="false" outlineLevel="0" collapsed="false">
      <c r="A1881" s="12"/>
      <c r="B1881" s="12"/>
      <c r="C1881" s="13"/>
      <c r="D1881" s="14"/>
      <c r="E1881" s="15"/>
      <c r="F1881" s="16" t="str">
        <f aca="false">IF(OR(C1881="",D1881=""),"",EDATE(D1881,IFERROR(INDEX(Paketler!$B$5:$B$24,MATCH(C1881,Paketler!$A$5:$A$24,0)),0))-1)</f>
        <v/>
      </c>
      <c r="G1881" s="17" t="str">
        <f aca="false">IF(F1881="","",IFERROR(INDEX(Paketler!$C$5:$C$24,MATCH(C1881,Paketler!$A$5:$A$24,0)),0))</f>
        <v/>
      </c>
      <c r="H1881" s="17" t="str">
        <f aca="false">IF(F1881="","",G1881-E1881)</f>
        <v/>
      </c>
      <c r="I1881" s="18" t="str">
        <f aca="true">IF(F1881="","",F1881-TODAY())</f>
        <v/>
      </c>
      <c r="J1881" s="19" t="str">
        <f aca="true">IF(F1881="","",IF(TODAY()&lt;D1881,"Başlamadı",IF(TODAY()&gt;F1881,"Bitti",IF(F1881-TODAY()&lt;=7,"Bitiyor","Aktif"))))</f>
        <v/>
      </c>
      <c r="K1881" s="19" t="str">
        <f aca="false">IF(OR(J1881="Aktif",J1881="Bitiyor"),F1881+ROW()/1000000,"")</f>
        <v/>
      </c>
    </row>
    <row r="1882" customFormat="false" ht="15" hidden="false" customHeight="false" outlineLevel="0" collapsed="false">
      <c r="A1882" s="12"/>
      <c r="B1882" s="12"/>
      <c r="C1882" s="13"/>
      <c r="D1882" s="14"/>
      <c r="E1882" s="15"/>
      <c r="F1882" s="16" t="str">
        <f aca="false">IF(OR(C1882="",D1882=""),"",EDATE(D1882,IFERROR(INDEX(Paketler!$B$5:$B$24,MATCH(C1882,Paketler!$A$5:$A$24,0)),0))-1)</f>
        <v/>
      </c>
      <c r="G1882" s="17" t="str">
        <f aca="false">IF(F1882="","",IFERROR(INDEX(Paketler!$C$5:$C$24,MATCH(C1882,Paketler!$A$5:$A$24,0)),0))</f>
        <v/>
      </c>
      <c r="H1882" s="17" t="str">
        <f aca="false">IF(F1882="","",G1882-E1882)</f>
        <v/>
      </c>
      <c r="I1882" s="18" t="str">
        <f aca="true">IF(F1882="","",F1882-TODAY())</f>
        <v/>
      </c>
      <c r="J1882" s="19" t="str">
        <f aca="true">IF(F1882="","",IF(TODAY()&lt;D1882,"Başlamadı",IF(TODAY()&gt;F1882,"Bitti",IF(F1882-TODAY()&lt;=7,"Bitiyor","Aktif"))))</f>
        <v/>
      </c>
      <c r="K1882" s="19" t="str">
        <f aca="false">IF(OR(J1882="Aktif",J1882="Bitiyor"),F1882+ROW()/1000000,"")</f>
        <v/>
      </c>
    </row>
    <row r="1883" customFormat="false" ht="15" hidden="false" customHeight="false" outlineLevel="0" collapsed="false">
      <c r="A1883" s="12"/>
      <c r="B1883" s="12"/>
      <c r="C1883" s="13"/>
      <c r="D1883" s="14"/>
      <c r="E1883" s="15"/>
      <c r="F1883" s="16" t="str">
        <f aca="false">IF(OR(C1883="",D1883=""),"",EDATE(D1883,IFERROR(INDEX(Paketler!$B$5:$B$24,MATCH(C1883,Paketler!$A$5:$A$24,0)),0))-1)</f>
        <v/>
      </c>
      <c r="G1883" s="17" t="str">
        <f aca="false">IF(F1883="","",IFERROR(INDEX(Paketler!$C$5:$C$24,MATCH(C1883,Paketler!$A$5:$A$24,0)),0))</f>
        <v/>
      </c>
      <c r="H1883" s="17" t="str">
        <f aca="false">IF(F1883="","",G1883-E1883)</f>
        <v/>
      </c>
      <c r="I1883" s="18" t="str">
        <f aca="true">IF(F1883="","",F1883-TODAY())</f>
        <v/>
      </c>
      <c r="J1883" s="19" t="str">
        <f aca="true">IF(F1883="","",IF(TODAY()&lt;D1883,"Başlamadı",IF(TODAY()&gt;F1883,"Bitti",IF(F1883-TODAY()&lt;=7,"Bitiyor","Aktif"))))</f>
        <v/>
      </c>
      <c r="K1883" s="19" t="str">
        <f aca="false">IF(OR(J1883="Aktif",J1883="Bitiyor"),F1883+ROW()/1000000,"")</f>
        <v/>
      </c>
    </row>
    <row r="1884" customFormat="false" ht="15" hidden="false" customHeight="false" outlineLevel="0" collapsed="false">
      <c r="A1884" s="12"/>
      <c r="B1884" s="12"/>
      <c r="C1884" s="13"/>
      <c r="D1884" s="14"/>
      <c r="E1884" s="15"/>
      <c r="F1884" s="16" t="str">
        <f aca="false">IF(OR(C1884="",D1884=""),"",EDATE(D1884,IFERROR(INDEX(Paketler!$B$5:$B$24,MATCH(C1884,Paketler!$A$5:$A$24,0)),0))-1)</f>
        <v/>
      </c>
      <c r="G1884" s="17" t="str">
        <f aca="false">IF(F1884="","",IFERROR(INDEX(Paketler!$C$5:$C$24,MATCH(C1884,Paketler!$A$5:$A$24,0)),0))</f>
        <v/>
      </c>
      <c r="H1884" s="17" t="str">
        <f aca="false">IF(F1884="","",G1884-E1884)</f>
        <v/>
      </c>
      <c r="I1884" s="18" t="str">
        <f aca="true">IF(F1884="","",F1884-TODAY())</f>
        <v/>
      </c>
      <c r="J1884" s="19" t="str">
        <f aca="true">IF(F1884="","",IF(TODAY()&lt;D1884,"Başlamadı",IF(TODAY()&gt;F1884,"Bitti",IF(F1884-TODAY()&lt;=7,"Bitiyor","Aktif"))))</f>
        <v/>
      </c>
      <c r="K1884" s="19" t="str">
        <f aca="false">IF(OR(J1884="Aktif",J1884="Bitiyor"),F1884+ROW()/1000000,"")</f>
        <v/>
      </c>
    </row>
    <row r="1885" customFormat="false" ht="15" hidden="false" customHeight="false" outlineLevel="0" collapsed="false">
      <c r="A1885" s="12"/>
      <c r="B1885" s="12"/>
      <c r="C1885" s="13"/>
      <c r="D1885" s="14"/>
      <c r="E1885" s="15"/>
      <c r="F1885" s="16" t="str">
        <f aca="false">IF(OR(C1885="",D1885=""),"",EDATE(D1885,IFERROR(INDEX(Paketler!$B$5:$B$24,MATCH(C1885,Paketler!$A$5:$A$24,0)),0))-1)</f>
        <v/>
      </c>
      <c r="G1885" s="17" t="str">
        <f aca="false">IF(F1885="","",IFERROR(INDEX(Paketler!$C$5:$C$24,MATCH(C1885,Paketler!$A$5:$A$24,0)),0))</f>
        <v/>
      </c>
      <c r="H1885" s="17" t="str">
        <f aca="false">IF(F1885="","",G1885-E1885)</f>
        <v/>
      </c>
      <c r="I1885" s="18" t="str">
        <f aca="true">IF(F1885="","",F1885-TODAY())</f>
        <v/>
      </c>
      <c r="J1885" s="19" t="str">
        <f aca="true">IF(F1885="","",IF(TODAY()&lt;D1885,"Başlamadı",IF(TODAY()&gt;F1885,"Bitti",IF(F1885-TODAY()&lt;=7,"Bitiyor","Aktif"))))</f>
        <v/>
      </c>
      <c r="K1885" s="19" t="str">
        <f aca="false">IF(OR(J1885="Aktif",J1885="Bitiyor"),F1885+ROW()/1000000,"")</f>
        <v/>
      </c>
    </row>
    <row r="1886" customFormat="false" ht="15" hidden="false" customHeight="false" outlineLevel="0" collapsed="false">
      <c r="A1886" s="12"/>
      <c r="B1886" s="12"/>
      <c r="C1886" s="13"/>
      <c r="D1886" s="14"/>
      <c r="E1886" s="15"/>
      <c r="F1886" s="16" t="str">
        <f aca="false">IF(OR(C1886="",D1886=""),"",EDATE(D1886,IFERROR(INDEX(Paketler!$B$5:$B$24,MATCH(C1886,Paketler!$A$5:$A$24,0)),0))-1)</f>
        <v/>
      </c>
      <c r="G1886" s="17" t="str">
        <f aca="false">IF(F1886="","",IFERROR(INDEX(Paketler!$C$5:$C$24,MATCH(C1886,Paketler!$A$5:$A$24,0)),0))</f>
        <v/>
      </c>
      <c r="H1886" s="17" t="str">
        <f aca="false">IF(F1886="","",G1886-E1886)</f>
        <v/>
      </c>
      <c r="I1886" s="18" t="str">
        <f aca="true">IF(F1886="","",F1886-TODAY())</f>
        <v/>
      </c>
      <c r="J1886" s="19" t="str">
        <f aca="true">IF(F1886="","",IF(TODAY()&lt;D1886,"Başlamadı",IF(TODAY()&gt;F1886,"Bitti",IF(F1886-TODAY()&lt;=7,"Bitiyor","Aktif"))))</f>
        <v/>
      </c>
      <c r="K1886" s="19" t="str">
        <f aca="false">IF(OR(J1886="Aktif",J1886="Bitiyor"),F1886+ROW()/1000000,"")</f>
        <v/>
      </c>
    </row>
    <row r="1887" customFormat="false" ht="15" hidden="false" customHeight="false" outlineLevel="0" collapsed="false">
      <c r="A1887" s="12"/>
      <c r="B1887" s="12"/>
      <c r="C1887" s="13"/>
      <c r="D1887" s="14"/>
      <c r="E1887" s="15"/>
      <c r="F1887" s="16" t="str">
        <f aca="false">IF(OR(C1887="",D1887=""),"",EDATE(D1887,IFERROR(INDEX(Paketler!$B$5:$B$24,MATCH(C1887,Paketler!$A$5:$A$24,0)),0))-1)</f>
        <v/>
      </c>
      <c r="G1887" s="17" t="str">
        <f aca="false">IF(F1887="","",IFERROR(INDEX(Paketler!$C$5:$C$24,MATCH(C1887,Paketler!$A$5:$A$24,0)),0))</f>
        <v/>
      </c>
      <c r="H1887" s="17" t="str">
        <f aca="false">IF(F1887="","",G1887-E1887)</f>
        <v/>
      </c>
      <c r="I1887" s="18" t="str">
        <f aca="true">IF(F1887="","",F1887-TODAY())</f>
        <v/>
      </c>
      <c r="J1887" s="19" t="str">
        <f aca="true">IF(F1887="","",IF(TODAY()&lt;D1887,"Başlamadı",IF(TODAY()&gt;F1887,"Bitti",IF(F1887-TODAY()&lt;=7,"Bitiyor","Aktif"))))</f>
        <v/>
      </c>
      <c r="K1887" s="19" t="str">
        <f aca="false">IF(OR(J1887="Aktif",J1887="Bitiyor"),F1887+ROW()/1000000,"")</f>
        <v/>
      </c>
    </row>
    <row r="1888" customFormat="false" ht="15" hidden="false" customHeight="false" outlineLevel="0" collapsed="false">
      <c r="A1888" s="12"/>
      <c r="B1888" s="12"/>
      <c r="C1888" s="13"/>
      <c r="D1888" s="14"/>
      <c r="E1888" s="15"/>
      <c r="F1888" s="16" t="str">
        <f aca="false">IF(OR(C1888="",D1888=""),"",EDATE(D1888,IFERROR(INDEX(Paketler!$B$5:$B$24,MATCH(C1888,Paketler!$A$5:$A$24,0)),0))-1)</f>
        <v/>
      </c>
      <c r="G1888" s="17" t="str">
        <f aca="false">IF(F1888="","",IFERROR(INDEX(Paketler!$C$5:$C$24,MATCH(C1888,Paketler!$A$5:$A$24,0)),0))</f>
        <v/>
      </c>
      <c r="H1888" s="17" t="str">
        <f aca="false">IF(F1888="","",G1888-E1888)</f>
        <v/>
      </c>
      <c r="I1888" s="18" t="str">
        <f aca="true">IF(F1888="","",F1888-TODAY())</f>
        <v/>
      </c>
      <c r="J1888" s="19" t="str">
        <f aca="true">IF(F1888="","",IF(TODAY()&lt;D1888,"Başlamadı",IF(TODAY()&gt;F1888,"Bitti",IF(F1888-TODAY()&lt;=7,"Bitiyor","Aktif"))))</f>
        <v/>
      </c>
      <c r="K1888" s="19" t="str">
        <f aca="false">IF(OR(J1888="Aktif",J1888="Bitiyor"),F1888+ROW()/1000000,"")</f>
        <v/>
      </c>
    </row>
    <row r="1889" customFormat="false" ht="15" hidden="false" customHeight="false" outlineLevel="0" collapsed="false">
      <c r="A1889" s="12"/>
      <c r="B1889" s="12"/>
      <c r="C1889" s="13"/>
      <c r="D1889" s="14"/>
      <c r="E1889" s="15"/>
      <c r="F1889" s="16" t="str">
        <f aca="false">IF(OR(C1889="",D1889=""),"",EDATE(D1889,IFERROR(INDEX(Paketler!$B$5:$B$24,MATCH(C1889,Paketler!$A$5:$A$24,0)),0))-1)</f>
        <v/>
      </c>
      <c r="G1889" s="17" t="str">
        <f aca="false">IF(F1889="","",IFERROR(INDEX(Paketler!$C$5:$C$24,MATCH(C1889,Paketler!$A$5:$A$24,0)),0))</f>
        <v/>
      </c>
      <c r="H1889" s="17" t="str">
        <f aca="false">IF(F1889="","",G1889-E1889)</f>
        <v/>
      </c>
      <c r="I1889" s="18" t="str">
        <f aca="true">IF(F1889="","",F1889-TODAY())</f>
        <v/>
      </c>
      <c r="J1889" s="19" t="str">
        <f aca="true">IF(F1889="","",IF(TODAY()&lt;D1889,"Başlamadı",IF(TODAY()&gt;F1889,"Bitti",IF(F1889-TODAY()&lt;=7,"Bitiyor","Aktif"))))</f>
        <v/>
      </c>
      <c r="K1889" s="19" t="str">
        <f aca="false">IF(OR(J1889="Aktif",J1889="Bitiyor"),F1889+ROW()/1000000,"")</f>
        <v/>
      </c>
    </row>
    <row r="1890" customFormat="false" ht="15" hidden="false" customHeight="false" outlineLevel="0" collapsed="false">
      <c r="A1890" s="12"/>
      <c r="B1890" s="12"/>
      <c r="C1890" s="13"/>
      <c r="D1890" s="14"/>
      <c r="E1890" s="15"/>
      <c r="F1890" s="16" t="str">
        <f aca="false">IF(OR(C1890="",D1890=""),"",EDATE(D1890,IFERROR(INDEX(Paketler!$B$5:$B$24,MATCH(C1890,Paketler!$A$5:$A$24,0)),0))-1)</f>
        <v/>
      </c>
      <c r="G1890" s="17" t="str">
        <f aca="false">IF(F1890="","",IFERROR(INDEX(Paketler!$C$5:$C$24,MATCH(C1890,Paketler!$A$5:$A$24,0)),0))</f>
        <v/>
      </c>
      <c r="H1890" s="17" t="str">
        <f aca="false">IF(F1890="","",G1890-E1890)</f>
        <v/>
      </c>
      <c r="I1890" s="18" t="str">
        <f aca="true">IF(F1890="","",F1890-TODAY())</f>
        <v/>
      </c>
      <c r="J1890" s="19" t="str">
        <f aca="true">IF(F1890="","",IF(TODAY()&lt;D1890,"Başlamadı",IF(TODAY()&gt;F1890,"Bitti",IF(F1890-TODAY()&lt;=7,"Bitiyor","Aktif"))))</f>
        <v/>
      </c>
      <c r="K1890" s="19" t="str">
        <f aca="false">IF(OR(J1890="Aktif",J1890="Bitiyor"),F1890+ROW()/1000000,"")</f>
        <v/>
      </c>
    </row>
    <row r="1891" customFormat="false" ht="15" hidden="false" customHeight="false" outlineLevel="0" collapsed="false">
      <c r="A1891" s="12"/>
      <c r="B1891" s="12"/>
      <c r="C1891" s="13"/>
      <c r="D1891" s="14"/>
      <c r="E1891" s="15"/>
      <c r="F1891" s="16" t="str">
        <f aca="false">IF(OR(C1891="",D1891=""),"",EDATE(D1891,IFERROR(INDEX(Paketler!$B$5:$B$24,MATCH(C1891,Paketler!$A$5:$A$24,0)),0))-1)</f>
        <v/>
      </c>
      <c r="G1891" s="17" t="str">
        <f aca="false">IF(F1891="","",IFERROR(INDEX(Paketler!$C$5:$C$24,MATCH(C1891,Paketler!$A$5:$A$24,0)),0))</f>
        <v/>
      </c>
      <c r="H1891" s="17" t="str">
        <f aca="false">IF(F1891="","",G1891-E1891)</f>
        <v/>
      </c>
      <c r="I1891" s="18" t="str">
        <f aca="true">IF(F1891="","",F1891-TODAY())</f>
        <v/>
      </c>
      <c r="J1891" s="19" t="str">
        <f aca="true">IF(F1891="","",IF(TODAY()&lt;D1891,"Başlamadı",IF(TODAY()&gt;F1891,"Bitti",IF(F1891-TODAY()&lt;=7,"Bitiyor","Aktif"))))</f>
        <v/>
      </c>
      <c r="K1891" s="19" t="str">
        <f aca="false">IF(OR(J1891="Aktif",J1891="Bitiyor"),F1891+ROW()/1000000,"")</f>
        <v/>
      </c>
    </row>
    <row r="1892" customFormat="false" ht="15" hidden="false" customHeight="false" outlineLevel="0" collapsed="false">
      <c r="A1892" s="12"/>
      <c r="B1892" s="12"/>
      <c r="C1892" s="13"/>
      <c r="D1892" s="14"/>
      <c r="E1892" s="15"/>
      <c r="F1892" s="16" t="str">
        <f aca="false">IF(OR(C1892="",D1892=""),"",EDATE(D1892,IFERROR(INDEX(Paketler!$B$5:$B$24,MATCH(C1892,Paketler!$A$5:$A$24,0)),0))-1)</f>
        <v/>
      </c>
      <c r="G1892" s="17" t="str">
        <f aca="false">IF(F1892="","",IFERROR(INDEX(Paketler!$C$5:$C$24,MATCH(C1892,Paketler!$A$5:$A$24,0)),0))</f>
        <v/>
      </c>
      <c r="H1892" s="17" t="str">
        <f aca="false">IF(F1892="","",G1892-E1892)</f>
        <v/>
      </c>
      <c r="I1892" s="18" t="str">
        <f aca="true">IF(F1892="","",F1892-TODAY())</f>
        <v/>
      </c>
      <c r="J1892" s="19" t="str">
        <f aca="true">IF(F1892="","",IF(TODAY()&lt;D1892,"Başlamadı",IF(TODAY()&gt;F1892,"Bitti",IF(F1892-TODAY()&lt;=7,"Bitiyor","Aktif"))))</f>
        <v/>
      </c>
      <c r="K1892" s="19" t="str">
        <f aca="false">IF(OR(J1892="Aktif",J1892="Bitiyor"),F1892+ROW()/1000000,"")</f>
        <v/>
      </c>
    </row>
    <row r="1893" customFormat="false" ht="15" hidden="false" customHeight="false" outlineLevel="0" collapsed="false">
      <c r="A1893" s="12"/>
      <c r="B1893" s="12"/>
      <c r="C1893" s="13"/>
      <c r="D1893" s="14"/>
      <c r="E1893" s="15"/>
      <c r="F1893" s="16" t="str">
        <f aca="false">IF(OR(C1893="",D1893=""),"",EDATE(D1893,IFERROR(INDEX(Paketler!$B$5:$B$24,MATCH(C1893,Paketler!$A$5:$A$24,0)),0))-1)</f>
        <v/>
      </c>
      <c r="G1893" s="17" t="str">
        <f aca="false">IF(F1893="","",IFERROR(INDEX(Paketler!$C$5:$C$24,MATCH(C1893,Paketler!$A$5:$A$24,0)),0))</f>
        <v/>
      </c>
      <c r="H1893" s="17" t="str">
        <f aca="false">IF(F1893="","",G1893-E1893)</f>
        <v/>
      </c>
      <c r="I1893" s="18" t="str">
        <f aca="true">IF(F1893="","",F1893-TODAY())</f>
        <v/>
      </c>
      <c r="J1893" s="19" t="str">
        <f aca="true">IF(F1893="","",IF(TODAY()&lt;D1893,"Başlamadı",IF(TODAY()&gt;F1893,"Bitti",IF(F1893-TODAY()&lt;=7,"Bitiyor","Aktif"))))</f>
        <v/>
      </c>
      <c r="K1893" s="19" t="str">
        <f aca="false">IF(OR(J1893="Aktif",J1893="Bitiyor"),F1893+ROW()/1000000,"")</f>
        <v/>
      </c>
    </row>
    <row r="1894" customFormat="false" ht="15" hidden="false" customHeight="false" outlineLevel="0" collapsed="false">
      <c r="A1894" s="12"/>
      <c r="B1894" s="12"/>
      <c r="C1894" s="13"/>
      <c r="D1894" s="14"/>
      <c r="E1894" s="15"/>
      <c r="F1894" s="16" t="str">
        <f aca="false">IF(OR(C1894="",D1894=""),"",EDATE(D1894,IFERROR(INDEX(Paketler!$B$5:$B$24,MATCH(C1894,Paketler!$A$5:$A$24,0)),0))-1)</f>
        <v/>
      </c>
      <c r="G1894" s="17" t="str">
        <f aca="false">IF(F1894="","",IFERROR(INDEX(Paketler!$C$5:$C$24,MATCH(C1894,Paketler!$A$5:$A$24,0)),0))</f>
        <v/>
      </c>
      <c r="H1894" s="17" t="str">
        <f aca="false">IF(F1894="","",G1894-E1894)</f>
        <v/>
      </c>
      <c r="I1894" s="18" t="str">
        <f aca="true">IF(F1894="","",F1894-TODAY())</f>
        <v/>
      </c>
      <c r="J1894" s="19" t="str">
        <f aca="true">IF(F1894="","",IF(TODAY()&lt;D1894,"Başlamadı",IF(TODAY()&gt;F1894,"Bitti",IF(F1894-TODAY()&lt;=7,"Bitiyor","Aktif"))))</f>
        <v/>
      </c>
      <c r="K1894" s="19" t="str">
        <f aca="false">IF(OR(J1894="Aktif",J1894="Bitiyor"),F1894+ROW()/1000000,"")</f>
        <v/>
      </c>
    </row>
    <row r="1895" customFormat="false" ht="15" hidden="false" customHeight="false" outlineLevel="0" collapsed="false">
      <c r="A1895" s="12"/>
      <c r="B1895" s="12"/>
      <c r="C1895" s="13"/>
      <c r="D1895" s="14"/>
      <c r="E1895" s="15"/>
      <c r="F1895" s="16" t="str">
        <f aca="false">IF(OR(C1895="",D1895=""),"",EDATE(D1895,IFERROR(INDEX(Paketler!$B$5:$B$24,MATCH(C1895,Paketler!$A$5:$A$24,0)),0))-1)</f>
        <v/>
      </c>
      <c r="G1895" s="17" t="str">
        <f aca="false">IF(F1895="","",IFERROR(INDEX(Paketler!$C$5:$C$24,MATCH(C1895,Paketler!$A$5:$A$24,0)),0))</f>
        <v/>
      </c>
      <c r="H1895" s="17" t="str">
        <f aca="false">IF(F1895="","",G1895-E1895)</f>
        <v/>
      </c>
      <c r="I1895" s="18" t="str">
        <f aca="true">IF(F1895="","",F1895-TODAY())</f>
        <v/>
      </c>
      <c r="J1895" s="19" t="str">
        <f aca="true">IF(F1895="","",IF(TODAY()&lt;D1895,"Başlamadı",IF(TODAY()&gt;F1895,"Bitti",IF(F1895-TODAY()&lt;=7,"Bitiyor","Aktif"))))</f>
        <v/>
      </c>
      <c r="K1895" s="19" t="str">
        <f aca="false">IF(OR(J1895="Aktif",J1895="Bitiyor"),F1895+ROW()/1000000,"")</f>
        <v/>
      </c>
    </row>
    <row r="1896" customFormat="false" ht="15" hidden="false" customHeight="false" outlineLevel="0" collapsed="false">
      <c r="A1896" s="12"/>
      <c r="B1896" s="12"/>
      <c r="C1896" s="13"/>
      <c r="D1896" s="14"/>
      <c r="E1896" s="15"/>
      <c r="F1896" s="16" t="str">
        <f aca="false">IF(OR(C1896="",D1896=""),"",EDATE(D1896,IFERROR(INDEX(Paketler!$B$5:$B$24,MATCH(C1896,Paketler!$A$5:$A$24,0)),0))-1)</f>
        <v/>
      </c>
      <c r="G1896" s="17" t="str">
        <f aca="false">IF(F1896="","",IFERROR(INDEX(Paketler!$C$5:$C$24,MATCH(C1896,Paketler!$A$5:$A$24,0)),0))</f>
        <v/>
      </c>
      <c r="H1896" s="17" t="str">
        <f aca="false">IF(F1896="","",G1896-E1896)</f>
        <v/>
      </c>
      <c r="I1896" s="18" t="str">
        <f aca="true">IF(F1896="","",F1896-TODAY())</f>
        <v/>
      </c>
      <c r="J1896" s="19" t="str">
        <f aca="true">IF(F1896="","",IF(TODAY()&lt;D1896,"Başlamadı",IF(TODAY()&gt;F1896,"Bitti",IF(F1896-TODAY()&lt;=7,"Bitiyor","Aktif"))))</f>
        <v/>
      </c>
      <c r="K1896" s="19" t="str">
        <f aca="false">IF(OR(J1896="Aktif",J1896="Bitiyor"),F1896+ROW()/1000000,"")</f>
        <v/>
      </c>
    </row>
    <row r="1897" customFormat="false" ht="15" hidden="false" customHeight="false" outlineLevel="0" collapsed="false">
      <c r="A1897" s="12"/>
      <c r="B1897" s="12"/>
      <c r="C1897" s="13"/>
      <c r="D1897" s="14"/>
      <c r="E1897" s="15"/>
      <c r="F1897" s="16" t="str">
        <f aca="false">IF(OR(C1897="",D1897=""),"",EDATE(D1897,IFERROR(INDEX(Paketler!$B$5:$B$24,MATCH(C1897,Paketler!$A$5:$A$24,0)),0))-1)</f>
        <v/>
      </c>
      <c r="G1897" s="17" t="str">
        <f aca="false">IF(F1897="","",IFERROR(INDEX(Paketler!$C$5:$C$24,MATCH(C1897,Paketler!$A$5:$A$24,0)),0))</f>
        <v/>
      </c>
      <c r="H1897" s="17" t="str">
        <f aca="false">IF(F1897="","",G1897-E1897)</f>
        <v/>
      </c>
      <c r="I1897" s="18" t="str">
        <f aca="true">IF(F1897="","",F1897-TODAY())</f>
        <v/>
      </c>
      <c r="J1897" s="19" t="str">
        <f aca="true">IF(F1897="","",IF(TODAY()&lt;D1897,"Başlamadı",IF(TODAY()&gt;F1897,"Bitti",IF(F1897-TODAY()&lt;=7,"Bitiyor","Aktif"))))</f>
        <v/>
      </c>
      <c r="K1897" s="19" t="str">
        <f aca="false">IF(OR(J1897="Aktif",J1897="Bitiyor"),F1897+ROW()/1000000,"")</f>
        <v/>
      </c>
    </row>
    <row r="1898" customFormat="false" ht="15" hidden="false" customHeight="false" outlineLevel="0" collapsed="false">
      <c r="A1898" s="12"/>
      <c r="B1898" s="12"/>
      <c r="C1898" s="13"/>
      <c r="D1898" s="14"/>
      <c r="E1898" s="15"/>
      <c r="F1898" s="16" t="str">
        <f aca="false">IF(OR(C1898="",D1898=""),"",EDATE(D1898,IFERROR(INDEX(Paketler!$B$5:$B$24,MATCH(C1898,Paketler!$A$5:$A$24,0)),0))-1)</f>
        <v/>
      </c>
      <c r="G1898" s="17" t="str">
        <f aca="false">IF(F1898="","",IFERROR(INDEX(Paketler!$C$5:$C$24,MATCH(C1898,Paketler!$A$5:$A$24,0)),0))</f>
        <v/>
      </c>
      <c r="H1898" s="17" t="str">
        <f aca="false">IF(F1898="","",G1898-E1898)</f>
        <v/>
      </c>
      <c r="I1898" s="18" t="str">
        <f aca="true">IF(F1898="","",F1898-TODAY())</f>
        <v/>
      </c>
      <c r="J1898" s="19" t="str">
        <f aca="true">IF(F1898="","",IF(TODAY()&lt;D1898,"Başlamadı",IF(TODAY()&gt;F1898,"Bitti",IF(F1898-TODAY()&lt;=7,"Bitiyor","Aktif"))))</f>
        <v/>
      </c>
      <c r="K1898" s="19" t="str">
        <f aca="false">IF(OR(J1898="Aktif",J1898="Bitiyor"),F1898+ROW()/1000000,"")</f>
        <v/>
      </c>
    </row>
    <row r="1899" customFormat="false" ht="15" hidden="false" customHeight="false" outlineLevel="0" collapsed="false">
      <c r="A1899" s="12"/>
      <c r="B1899" s="12"/>
      <c r="C1899" s="13"/>
      <c r="D1899" s="14"/>
      <c r="E1899" s="15"/>
      <c r="F1899" s="16" t="str">
        <f aca="false">IF(OR(C1899="",D1899=""),"",EDATE(D1899,IFERROR(INDEX(Paketler!$B$5:$B$24,MATCH(C1899,Paketler!$A$5:$A$24,0)),0))-1)</f>
        <v/>
      </c>
      <c r="G1899" s="17" t="str">
        <f aca="false">IF(F1899="","",IFERROR(INDEX(Paketler!$C$5:$C$24,MATCH(C1899,Paketler!$A$5:$A$24,0)),0))</f>
        <v/>
      </c>
      <c r="H1899" s="17" t="str">
        <f aca="false">IF(F1899="","",G1899-E1899)</f>
        <v/>
      </c>
      <c r="I1899" s="18" t="str">
        <f aca="true">IF(F1899="","",F1899-TODAY())</f>
        <v/>
      </c>
      <c r="J1899" s="19" t="str">
        <f aca="true">IF(F1899="","",IF(TODAY()&lt;D1899,"Başlamadı",IF(TODAY()&gt;F1899,"Bitti",IF(F1899-TODAY()&lt;=7,"Bitiyor","Aktif"))))</f>
        <v/>
      </c>
      <c r="K1899" s="19" t="str">
        <f aca="false">IF(OR(J1899="Aktif",J1899="Bitiyor"),F1899+ROW()/1000000,"")</f>
        <v/>
      </c>
    </row>
    <row r="1900" customFormat="false" ht="15" hidden="false" customHeight="false" outlineLevel="0" collapsed="false">
      <c r="A1900" s="12"/>
      <c r="B1900" s="12"/>
      <c r="C1900" s="13"/>
      <c r="D1900" s="14"/>
      <c r="E1900" s="15"/>
      <c r="F1900" s="16" t="str">
        <f aca="false">IF(OR(C1900="",D1900=""),"",EDATE(D1900,IFERROR(INDEX(Paketler!$B$5:$B$24,MATCH(C1900,Paketler!$A$5:$A$24,0)),0))-1)</f>
        <v/>
      </c>
      <c r="G1900" s="17" t="str">
        <f aca="false">IF(F1900="","",IFERROR(INDEX(Paketler!$C$5:$C$24,MATCH(C1900,Paketler!$A$5:$A$24,0)),0))</f>
        <v/>
      </c>
      <c r="H1900" s="17" t="str">
        <f aca="false">IF(F1900="","",G1900-E1900)</f>
        <v/>
      </c>
      <c r="I1900" s="18" t="str">
        <f aca="true">IF(F1900="","",F1900-TODAY())</f>
        <v/>
      </c>
      <c r="J1900" s="19" t="str">
        <f aca="true">IF(F1900="","",IF(TODAY()&lt;D1900,"Başlamadı",IF(TODAY()&gt;F1900,"Bitti",IF(F1900-TODAY()&lt;=7,"Bitiyor","Aktif"))))</f>
        <v/>
      </c>
      <c r="K1900" s="19" t="str">
        <f aca="false">IF(OR(J1900="Aktif",J1900="Bitiyor"),F1900+ROW()/1000000,"")</f>
        <v/>
      </c>
    </row>
    <row r="1901" customFormat="false" ht="15" hidden="false" customHeight="false" outlineLevel="0" collapsed="false">
      <c r="A1901" s="12"/>
      <c r="B1901" s="12"/>
      <c r="C1901" s="13"/>
      <c r="D1901" s="14"/>
      <c r="E1901" s="15"/>
      <c r="F1901" s="16" t="str">
        <f aca="false">IF(OR(C1901="",D1901=""),"",EDATE(D1901,IFERROR(INDEX(Paketler!$B$5:$B$24,MATCH(C1901,Paketler!$A$5:$A$24,0)),0))-1)</f>
        <v/>
      </c>
      <c r="G1901" s="17" t="str">
        <f aca="false">IF(F1901="","",IFERROR(INDEX(Paketler!$C$5:$C$24,MATCH(C1901,Paketler!$A$5:$A$24,0)),0))</f>
        <v/>
      </c>
      <c r="H1901" s="17" t="str">
        <f aca="false">IF(F1901="","",G1901-E1901)</f>
        <v/>
      </c>
      <c r="I1901" s="18" t="str">
        <f aca="true">IF(F1901="","",F1901-TODAY())</f>
        <v/>
      </c>
      <c r="J1901" s="19" t="str">
        <f aca="true">IF(F1901="","",IF(TODAY()&lt;D1901,"Başlamadı",IF(TODAY()&gt;F1901,"Bitti",IF(F1901-TODAY()&lt;=7,"Bitiyor","Aktif"))))</f>
        <v/>
      </c>
      <c r="K1901" s="19" t="str">
        <f aca="false">IF(OR(J1901="Aktif",J1901="Bitiyor"),F1901+ROW()/1000000,"")</f>
        <v/>
      </c>
    </row>
    <row r="1902" customFormat="false" ht="15" hidden="false" customHeight="false" outlineLevel="0" collapsed="false">
      <c r="A1902" s="12"/>
      <c r="B1902" s="12"/>
      <c r="C1902" s="13"/>
      <c r="D1902" s="14"/>
      <c r="E1902" s="15"/>
      <c r="F1902" s="16" t="str">
        <f aca="false">IF(OR(C1902="",D1902=""),"",EDATE(D1902,IFERROR(INDEX(Paketler!$B$5:$B$24,MATCH(C1902,Paketler!$A$5:$A$24,0)),0))-1)</f>
        <v/>
      </c>
      <c r="G1902" s="17" t="str">
        <f aca="false">IF(F1902="","",IFERROR(INDEX(Paketler!$C$5:$C$24,MATCH(C1902,Paketler!$A$5:$A$24,0)),0))</f>
        <v/>
      </c>
      <c r="H1902" s="17" t="str">
        <f aca="false">IF(F1902="","",G1902-E1902)</f>
        <v/>
      </c>
      <c r="I1902" s="18" t="str">
        <f aca="true">IF(F1902="","",F1902-TODAY())</f>
        <v/>
      </c>
      <c r="J1902" s="19" t="str">
        <f aca="true">IF(F1902="","",IF(TODAY()&lt;D1902,"Başlamadı",IF(TODAY()&gt;F1902,"Bitti",IF(F1902-TODAY()&lt;=7,"Bitiyor","Aktif"))))</f>
        <v/>
      </c>
      <c r="K1902" s="19" t="str">
        <f aca="false">IF(OR(J1902="Aktif",J1902="Bitiyor"),F1902+ROW()/1000000,"")</f>
        <v/>
      </c>
    </row>
    <row r="1903" customFormat="false" ht="15" hidden="false" customHeight="false" outlineLevel="0" collapsed="false">
      <c r="A1903" s="12"/>
      <c r="B1903" s="12"/>
      <c r="C1903" s="13"/>
      <c r="D1903" s="14"/>
      <c r="E1903" s="15"/>
      <c r="F1903" s="16" t="str">
        <f aca="false">IF(OR(C1903="",D1903=""),"",EDATE(D1903,IFERROR(INDEX(Paketler!$B$5:$B$24,MATCH(C1903,Paketler!$A$5:$A$24,0)),0))-1)</f>
        <v/>
      </c>
      <c r="G1903" s="17" t="str">
        <f aca="false">IF(F1903="","",IFERROR(INDEX(Paketler!$C$5:$C$24,MATCH(C1903,Paketler!$A$5:$A$24,0)),0))</f>
        <v/>
      </c>
      <c r="H1903" s="17" t="str">
        <f aca="false">IF(F1903="","",G1903-E1903)</f>
        <v/>
      </c>
      <c r="I1903" s="18" t="str">
        <f aca="true">IF(F1903="","",F1903-TODAY())</f>
        <v/>
      </c>
      <c r="J1903" s="19" t="str">
        <f aca="true">IF(F1903="","",IF(TODAY()&lt;D1903,"Başlamadı",IF(TODAY()&gt;F1903,"Bitti",IF(F1903-TODAY()&lt;=7,"Bitiyor","Aktif"))))</f>
        <v/>
      </c>
      <c r="K1903" s="19" t="str">
        <f aca="false">IF(OR(J1903="Aktif",J1903="Bitiyor"),F1903+ROW()/1000000,"")</f>
        <v/>
      </c>
    </row>
    <row r="1904" customFormat="false" ht="15" hidden="false" customHeight="false" outlineLevel="0" collapsed="false">
      <c r="A1904" s="12"/>
      <c r="B1904" s="12"/>
      <c r="C1904" s="13"/>
      <c r="D1904" s="14"/>
      <c r="E1904" s="15"/>
      <c r="F1904" s="16" t="str">
        <f aca="false">IF(OR(C1904="",D1904=""),"",EDATE(D1904,IFERROR(INDEX(Paketler!$B$5:$B$24,MATCH(C1904,Paketler!$A$5:$A$24,0)),0))-1)</f>
        <v/>
      </c>
      <c r="G1904" s="17" t="str">
        <f aca="false">IF(F1904="","",IFERROR(INDEX(Paketler!$C$5:$C$24,MATCH(C1904,Paketler!$A$5:$A$24,0)),0))</f>
        <v/>
      </c>
      <c r="H1904" s="17" t="str">
        <f aca="false">IF(F1904="","",G1904-E1904)</f>
        <v/>
      </c>
      <c r="I1904" s="18" t="str">
        <f aca="true">IF(F1904="","",F1904-TODAY())</f>
        <v/>
      </c>
      <c r="J1904" s="19" t="str">
        <f aca="true">IF(F1904="","",IF(TODAY()&lt;D1904,"Başlamadı",IF(TODAY()&gt;F1904,"Bitti",IF(F1904-TODAY()&lt;=7,"Bitiyor","Aktif"))))</f>
        <v/>
      </c>
      <c r="K1904" s="19" t="str">
        <f aca="false">IF(OR(J1904="Aktif",J1904="Bitiyor"),F1904+ROW()/1000000,"")</f>
        <v/>
      </c>
    </row>
    <row r="1905" customFormat="false" ht="15" hidden="false" customHeight="false" outlineLevel="0" collapsed="false">
      <c r="A1905" s="12"/>
      <c r="B1905" s="12"/>
      <c r="C1905" s="13"/>
      <c r="D1905" s="14"/>
      <c r="E1905" s="15"/>
      <c r="F1905" s="16" t="str">
        <f aca="false">IF(OR(C1905="",D1905=""),"",EDATE(D1905,IFERROR(INDEX(Paketler!$B$5:$B$24,MATCH(C1905,Paketler!$A$5:$A$24,0)),0))-1)</f>
        <v/>
      </c>
      <c r="G1905" s="17" t="str">
        <f aca="false">IF(F1905="","",IFERROR(INDEX(Paketler!$C$5:$C$24,MATCH(C1905,Paketler!$A$5:$A$24,0)),0))</f>
        <v/>
      </c>
      <c r="H1905" s="17" t="str">
        <f aca="false">IF(F1905="","",G1905-E1905)</f>
        <v/>
      </c>
      <c r="I1905" s="18" t="str">
        <f aca="true">IF(F1905="","",F1905-TODAY())</f>
        <v/>
      </c>
      <c r="J1905" s="19" t="str">
        <f aca="true">IF(F1905="","",IF(TODAY()&lt;D1905,"Başlamadı",IF(TODAY()&gt;F1905,"Bitti",IF(F1905-TODAY()&lt;=7,"Bitiyor","Aktif"))))</f>
        <v/>
      </c>
      <c r="K1905" s="19" t="str">
        <f aca="false">IF(OR(J1905="Aktif",J1905="Bitiyor"),F1905+ROW()/1000000,"")</f>
        <v/>
      </c>
    </row>
    <row r="1906" customFormat="false" ht="15" hidden="false" customHeight="false" outlineLevel="0" collapsed="false">
      <c r="A1906" s="12"/>
      <c r="B1906" s="12"/>
      <c r="C1906" s="13"/>
      <c r="D1906" s="14"/>
      <c r="E1906" s="15"/>
      <c r="F1906" s="16" t="str">
        <f aca="false">IF(OR(C1906="",D1906=""),"",EDATE(D1906,IFERROR(INDEX(Paketler!$B$5:$B$24,MATCH(C1906,Paketler!$A$5:$A$24,0)),0))-1)</f>
        <v/>
      </c>
      <c r="G1906" s="17" t="str">
        <f aca="false">IF(F1906="","",IFERROR(INDEX(Paketler!$C$5:$C$24,MATCH(C1906,Paketler!$A$5:$A$24,0)),0))</f>
        <v/>
      </c>
      <c r="H1906" s="17" t="str">
        <f aca="false">IF(F1906="","",G1906-E1906)</f>
        <v/>
      </c>
      <c r="I1906" s="18" t="str">
        <f aca="true">IF(F1906="","",F1906-TODAY())</f>
        <v/>
      </c>
      <c r="J1906" s="19" t="str">
        <f aca="true">IF(F1906="","",IF(TODAY()&lt;D1906,"Başlamadı",IF(TODAY()&gt;F1906,"Bitti",IF(F1906-TODAY()&lt;=7,"Bitiyor","Aktif"))))</f>
        <v/>
      </c>
      <c r="K1906" s="19" t="str">
        <f aca="false">IF(OR(J1906="Aktif",J1906="Bitiyor"),F1906+ROW()/1000000,"")</f>
        <v/>
      </c>
    </row>
    <row r="1907" customFormat="false" ht="15" hidden="false" customHeight="false" outlineLevel="0" collapsed="false">
      <c r="A1907" s="12"/>
      <c r="B1907" s="12"/>
      <c r="C1907" s="13"/>
      <c r="D1907" s="14"/>
      <c r="E1907" s="15"/>
      <c r="F1907" s="16" t="str">
        <f aca="false">IF(OR(C1907="",D1907=""),"",EDATE(D1907,IFERROR(INDEX(Paketler!$B$5:$B$24,MATCH(C1907,Paketler!$A$5:$A$24,0)),0))-1)</f>
        <v/>
      </c>
      <c r="G1907" s="17" t="str">
        <f aca="false">IF(F1907="","",IFERROR(INDEX(Paketler!$C$5:$C$24,MATCH(C1907,Paketler!$A$5:$A$24,0)),0))</f>
        <v/>
      </c>
      <c r="H1907" s="17" t="str">
        <f aca="false">IF(F1907="","",G1907-E1907)</f>
        <v/>
      </c>
      <c r="I1907" s="18" t="str">
        <f aca="true">IF(F1907="","",F1907-TODAY())</f>
        <v/>
      </c>
      <c r="J1907" s="19" t="str">
        <f aca="true">IF(F1907="","",IF(TODAY()&lt;D1907,"Başlamadı",IF(TODAY()&gt;F1907,"Bitti",IF(F1907-TODAY()&lt;=7,"Bitiyor","Aktif"))))</f>
        <v/>
      </c>
      <c r="K1907" s="19" t="str">
        <f aca="false">IF(OR(J1907="Aktif",J1907="Bitiyor"),F1907+ROW()/1000000,"")</f>
        <v/>
      </c>
    </row>
    <row r="1908" customFormat="false" ht="15" hidden="false" customHeight="false" outlineLevel="0" collapsed="false">
      <c r="A1908" s="12"/>
      <c r="B1908" s="12"/>
      <c r="C1908" s="13"/>
      <c r="D1908" s="14"/>
      <c r="E1908" s="15"/>
      <c r="F1908" s="16" t="str">
        <f aca="false">IF(OR(C1908="",D1908=""),"",EDATE(D1908,IFERROR(INDEX(Paketler!$B$5:$B$24,MATCH(C1908,Paketler!$A$5:$A$24,0)),0))-1)</f>
        <v/>
      </c>
      <c r="G1908" s="17" t="str">
        <f aca="false">IF(F1908="","",IFERROR(INDEX(Paketler!$C$5:$C$24,MATCH(C1908,Paketler!$A$5:$A$24,0)),0))</f>
        <v/>
      </c>
      <c r="H1908" s="17" t="str">
        <f aca="false">IF(F1908="","",G1908-E1908)</f>
        <v/>
      </c>
      <c r="I1908" s="18" t="str">
        <f aca="true">IF(F1908="","",F1908-TODAY())</f>
        <v/>
      </c>
      <c r="J1908" s="19" t="str">
        <f aca="true">IF(F1908="","",IF(TODAY()&lt;D1908,"Başlamadı",IF(TODAY()&gt;F1908,"Bitti",IF(F1908-TODAY()&lt;=7,"Bitiyor","Aktif"))))</f>
        <v/>
      </c>
      <c r="K1908" s="19" t="str">
        <f aca="false">IF(OR(J1908="Aktif",J1908="Bitiyor"),F1908+ROW()/1000000,"")</f>
        <v/>
      </c>
    </row>
    <row r="1909" customFormat="false" ht="15" hidden="false" customHeight="false" outlineLevel="0" collapsed="false">
      <c r="A1909" s="12"/>
      <c r="B1909" s="12"/>
      <c r="C1909" s="13"/>
      <c r="D1909" s="14"/>
      <c r="E1909" s="15"/>
      <c r="F1909" s="16" t="str">
        <f aca="false">IF(OR(C1909="",D1909=""),"",EDATE(D1909,IFERROR(INDEX(Paketler!$B$5:$B$24,MATCH(C1909,Paketler!$A$5:$A$24,0)),0))-1)</f>
        <v/>
      </c>
      <c r="G1909" s="17" t="str">
        <f aca="false">IF(F1909="","",IFERROR(INDEX(Paketler!$C$5:$C$24,MATCH(C1909,Paketler!$A$5:$A$24,0)),0))</f>
        <v/>
      </c>
      <c r="H1909" s="17" t="str">
        <f aca="false">IF(F1909="","",G1909-E1909)</f>
        <v/>
      </c>
      <c r="I1909" s="18" t="str">
        <f aca="true">IF(F1909="","",F1909-TODAY())</f>
        <v/>
      </c>
      <c r="J1909" s="19" t="str">
        <f aca="true">IF(F1909="","",IF(TODAY()&lt;D1909,"Başlamadı",IF(TODAY()&gt;F1909,"Bitti",IF(F1909-TODAY()&lt;=7,"Bitiyor","Aktif"))))</f>
        <v/>
      </c>
      <c r="K1909" s="19" t="str">
        <f aca="false">IF(OR(J1909="Aktif",J1909="Bitiyor"),F1909+ROW()/1000000,"")</f>
        <v/>
      </c>
    </row>
    <row r="1910" customFormat="false" ht="15" hidden="false" customHeight="false" outlineLevel="0" collapsed="false">
      <c r="A1910" s="12"/>
      <c r="B1910" s="12"/>
      <c r="C1910" s="13"/>
      <c r="D1910" s="14"/>
      <c r="E1910" s="15"/>
      <c r="F1910" s="16" t="str">
        <f aca="false">IF(OR(C1910="",D1910=""),"",EDATE(D1910,IFERROR(INDEX(Paketler!$B$5:$B$24,MATCH(C1910,Paketler!$A$5:$A$24,0)),0))-1)</f>
        <v/>
      </c>
      <c r="G1910" s="17" t="str">
        <f aca="false">IF(F1910="","",IFERROR(INDEX(Paketler!$C$5:$C$24,MATCH(C1910,Paketler!$A$5:$A$24,0)),0))</f>
        <v/>
      </c>
      <c r="H1910" s="17" t="str">
        <f aca="false">IF(F1910="","",G1910-E1910)</f>
        <v/>
      </c>
      <c r="I1910" s="18" t="str">
        <f aca="true">IF(F1910="","",F1910-TODAY())</f>
        <v/>
      </c>
      <c r="J1910" s="19" t="str">
        <f aca="true">IF(F1910="","",IF(TODAY()&lt;D1910,"Başlamadı",IF(TODAY()&gt;F1910,"Bitti",IF(F1910-TODAY()&lt;=7,"Bitiyor","Aktif"))))</f>
        <v/>
      </c>
      <c r="K1910" s="19" t="str">
        <f aca="false">IF(OR(J1910="Aktif",J1910="Bitiyor"),F1910+ROW()/1000000,"")</f>
        <v/>
      </c>
    </row>
    <row r="1911" customFormat="false" ht="15" hidden="false" customHeight="false" outlineLevel="0" collapsed="false">
      <c r="A1911" s="12"/>
      <c r="B1911" s="12"/>
      <c r="C1911" s="13"/>
      <c r="D1911" s="14"/>
      <c r="E1911" s="15"/>
      <c r="F1911" s="16" t="str">
        <f aca="false">IF(OR(C1911="",D1911=""),"",EDATE(D1911,IFERROR(INDEX(Paketler!$B$5:$B$24,MATCH(C1911,Paketler!$A$5:$A$24,0)),0))-1)</f>
        <v/>
      </c>
      <c r="G1911" s="17" t="str">
        <f aca="false">IF(F1911="","",IFERROR(INDEX(Paketler!$C$5:$C$24,MATCH(C1911,Paketler!$A$5:$A$24,0)),0))</f>
        <v/>
      </c>
      <c r="H1911" s="17" t="str">
        <f aca="false">IF(F1911="","",G1911-E1911)</f>
        <v/>
      </c>
      <c r="I1911" s="18" t="str">
        <f aca="true">IF(F1911="","",F1911-TODAY())</f>
        <v/>
      </c>
      <c r="J1911" s="19" t="str">
        <f aca="true">IF(F1911="","",IF(TODAY()&lt;D1911,"Başlamadı",IF(TODAY()&gt;F1911,"Bitti",IF(F1911-TODAY()&lt;=7,"Bitiyor","Aktif"))))</f>
        <v/>
      </c>
      <c r="K1911" s="19" t="str">
        <f aca="false">IF(OR(J1911="Aktif",J1911="Bitiyor"),F1911+ROW()/1000000,"")</f>
        <v/>
      </c>
    </row>
    <row r="1912" customFormat="false" ht="15" hidden="false" customHeight="false" outlineLevel="0" collapsed="false">
      <c r="A1912" s="12"/>
      <c r="B1912" s="12"/>
      <c r="C1912" s="13"/>
      <c r="D1912" s="14"/>
      <c r="E1912" s="15"/>
      <c r="F1912" s="16" t="str">
        <f aca="false">IF(OR(C1912="",D1912=""),"",EDATE(D1912,IFERROR(INDEX(Paketler!$B$5:$B$24,MATCH(C1912,Paketler!$A$5:$A$24,0)),0))-1)</f>
        <v/>
      </c>
      <c r="G1912" s="17" t="str">
        <f aca="false">IF(F1912="","",IFERROR(INDEX(Paketler!$C$5:$C$24,MATCH(C1912,Paketler!$A$5:$A$24,0)),0))</f>
        <v/>
      </c>
      <c r="H1912" s="17" t="str">
        <f aca="false">IF(F1912="","",G1912-E1912)</f>
        <v/>
      </c>
      <c r="I1912" s="18" t="str">
        <f aca="true">IF(F1912="","",F1912-TODAY())</f>
        <v/>
      </c>
      <c r="J1912" s="19" t="str">
        <f aca="true">IF(F1912="","",IF(TODAY()&lt;D1912,"Başlamadı",IF(TODAY()&gt;F1912,"Bitti",IF(F1912-TODAY()&lt;=7,"Bitiyor","Aktif"))))</f>
        <v/>
      </c>
      <c r="K1912" s="19" t="str">
        <f aca="false">IF(OR(J1912="Aktif",J1912="Bitiyor"),F1912+ROW()/1000000,"")</f>
        <v/>
      </c>
    </row>
    <row r="1913" customFormat="false" ht="15" hidden="false" customHeight="false" outlineLevel="0" collapsed="false">
      <c r="A1913" s="12"/>
      <c r="B1913" s="12"/>
      <c r="C1913" s="13"/>
      <c r="D1913" s="14"/>
      <c r="E1913" s="15"/>
      <c r="F1913" s="16" t="str">
        <f aca="false">IF(OR(C1913="",D1913=""),"",EDATE(D1913,IFERROR(INDEX(Paketler!$B$5:$B$24,MATCH(C1913,Paketler!$A$5:$A$24,0)),0))-1)</f>
        <v/>
      </c>
      <c r="G1913" s="17" t="str">
        <f aca="false">IF(F1913="","",IFERROR(INDEX(Paketler!$C$5:$C$24,MATCH(C1913,Paketler!$A$5:$A$24,0)),0))</f>
        <v/>
      </c>
      <c r="H1913" s="17" t="str">
        <f aca="false">IF(F1913="","",G1913-E1913)</f>
        <v/>
      </c>
      <c r="I1913" s="18" t="str">
        <f aca="true">IF(F1913="","",F1913-TODAY())</f>
        <v/>
      </c>
      <c r="J1913" s="19" t="str">
        <f aca="true">IF(F1913="","",IF(TODAY()&lt;D1913,"Başlamadı",IF(TODAY()&gt;F1913,"Bitti",IF(F1913-TODAY()&lt;=7,"Bitiyor","Aktif"))))</f>
        <v/>
      </c>
      <c r="K1913" s="19" t="str">
        <f aca="false">IF(OR(J1913="Aktif",J1913="Bitiyor"),F1913+ROW()/1000000,"")</f>
        <v/>
      </c>
    </row>
    <row r="1914" customFormat="false" ht="15" hidden="false" customHeight="false" outlineLevel="0" collapsed="false">
      <c r="A1914" s="12"/>
      <c r="B1914" s="12"/>
      <c r="C1914" s="13"/>
      <c r="D1914" s="14"/>
      <c r="E1914" s="15"/>
      <c r="F1914" s="16" t="str">
        <f aca="false">IF(OR(C1914="",D1914=""),"",EDATE(D1914,IFERROR(INDEX(Paketler!$B$5:$B$24,MATCH(C1914,Paketler!$A$5:$A$24,0)),0))-1)</f>
        <v/>
      </c>
      <c r="G1914" s="17" t="str">
        <f aca="false">IF(F1914="","",IFERROR(INDEX(Paketler!$C$5:$C$24,MATCH(C1914,Paketler!$A$5:$A$24,0)),0))</f>
        <v/>
      </c>
      <c r="H1914" s="17" t="str">
        <f aca="false">IF(F1914="","",G1914-E1914)</f>
        <v/>
      </c>
      <c r="I1914" s="18" t="str">
        <f aca="true">IF(F1914="","",F1914-TODAY())</f>
        <v/>
      </c>
      <c r="J1914" s="19" t="str">
        <f aca="true">IF(F1914="","",IF(TODAY()&lt;D1914,"Başlamadı",IF(TODAY()&gt;F1914,"Bitti",IF(F1914-TODAY()&lt;=7,"Bitiyor","Aktif"))))</f>
        <v/>
      </c>
      <c r="K1914" s="19" t="str">
        <f aca="false">IF(OR(J1914="Aktif",J1914="Bitiyor"),F1914+ROW()/1000000,"")</f>
        <v/>
      </c>
    </row>
    <row r="1915" customFormat="false" ht="15" hidden="false" customHeight="false" outlineLevel="0" collapsed="false">
      <c r="A1915" s="12"/>
      <c r="B1915" s="12"/>
      <c r="C1915" s="13"/>
      <c r="D1915" s="14"/>
      <c r="E1915" s="15"/>
      <c r="F1915" s="16" t="str">
        <f aca="false">IF(OR(C1915="",D1915=""),"",EDATE(D1915,IFERROR(INDEX(Paketler!$B$5:$B$24,MATCH(C1915,Paketler!$A$5:$A$24,0)),0))-1)</f>
        <v/>
      </c>
      <c r="G1915" s="17" t="str">
        <f aca="false">IF(F1915="","",IFERROR(INDEX(Paketler!$C$5:$C$24,MATCH(C1915,Paketler!$A$5:$A$24,0)),0))</f>
        <v/>
      </c>
      <c r="H1915" s="17" t="str">
        <f aca="false">IF(F1915="","",G1915-E1915)</f>
        <v/>
      </c>
      <c r="I1915" s="18" t="str">
        <f aca="true">IF(F1915="","",F1915-TODAY())</f>
        <v/>
      </c>
      <c r="J1915" s="19" t="str">
        <f aca="true">IF(F1915="","",IF(TODAY()&lt;D1915,"Başlamadı",IF(TODAY()&gt;F1915,"Bitti",IF(F1915-TODAY()&lt;=7,"Bitiyor","Aktif"))))</f>
        <v/>
      </c>
      <c r="K1915" s="19" t="str">
        <f aca="false">IF(OR(J1915="Aktif",J1915="Bitiyor"),F1915+ROW()/1000000,"")</f>
        <v/>
      </c>
    </row>
    <row r="1916" customFormat="false" ht="15" hidden="false" customHeight="false" outlineLevel="0" collapsed="false">
      <c r="A1916" s="12"/>
      <c r="B1916" s="12"/>
      <c r="C1916" s="13"/>
      <c r="D1916" s="14"/>
      <c r="E1916" s="15"/>
      <c r="F1916" s="16" t="str">
        <f aca="false">IF(OR(C1916="",D1916=""),"",EDATE(D1916,IFERROR(INDEX(Paketler!$B$5:$B$24,MATCH(C1916,Paketler!$A$5:$A$24,0)),0))-1)</f>
        <v/>
      </c>
      <c r="G1916" s="17" t="str">
        <f aca="false">IF(F1916="","",IFERROR(INDEX(Paketler!$C$5:$C$24,MATCH(C1916,Paketler!$A$5:$A$24,0)),0))</f>
        <v/>
      </c>
      <c r="H1916" s="17" t="str">
        <f aca="false">IF(F1916="","",G1916-E1916)</f>
        <v/>
      </c>
      <c r="I1916" s="18" t="str">
        <f aca="true">IF(F1916="","",F1916-TODAY())</f>
        <v/>
      </c>
      <c r="J1916" s="19" t="str">
        <f aca="true">IF(F1916="","",IF(TODAY()&lt;D1916,"Başlamadı",IF(TODAY()&gt;F1916,"Bitti",IF(F1916-TODAY()&lt;=7,"Bitiyor","Aktif"))))</f>
        <v/>
      </c>
      <c r="K1916" s="19" t="str">
        <f aca="false">IF(OR(J1916="Aktif",J1916="Bitiyor"),F1916+ROW()/1000000,"")</f>
        <v/>
      </c>
    </row>
    <row r="1917" customFormat="false" ht="15" hidden="false" customHeight="false" outlineLevel="0" collapsed="false">
      <c r="A1917" s="12"/>
      <c r="B1917" s="12"/>
      <c r="C1917" s="13"/>
      <c r="D1917" s="14"/>
      <c r="E1917" s="15"/>
      <c r="F1917" s="16" t="str">
        <f aca="false">IF(OR(C1917="",D1917=""),"",EDATE(D1917,IFERROR(INDEX(Paketler!$B$5:$B$24,MATCH(C1917,Paketler!$A$5:$A$24,0)),0))-1)</f>
        <v/>
      </c>
      <c r="G1917" s="17" t="str">
        <f aca="false">IF(F1917="","",IFERROR(INDEX(Paketler!$C$5:$C$24,MATCH(C1917,Paketler!$A$5:$A$24,0)),0))</f>
        <v/>
      </c>
      <c r="H1917" s="17" t="str">
        <f aca="false">IF(F1917="","",G1917-E1917)</f>
        <v/>
      </c>
      <c r="I1917" s="18" t="str">
        <f aca="true">IF(F1917="","",F1917-TODAY())</f>
        <v/>
      </c>
      <c r="J1917" s="19" t="str">
        <f aca="true">IF(F1917="","",IF(TODAY()&lt;D1917,"Başlamadı",IF(TODAY()&gt;F1917,"Bitti",IF(F1917-TODAY()&lt;=7,"Bitiyor","Aktif"))))</f>
        <v/>
      </c>
      <c r="K1917" s="19" t="str">
        <f aca="false">IF(OR(J1917="Aktif",J1917="Bitiyor"),F1917+ROW()/1000000,"")</f>
        <v/>
      </c>
    </row>
    <row r="1918" customFormat="false" ht="15" hidden="false" customHeight="false" outlineLevel="0" collapsed="false">
      <c r="A1918" s="12"/>
      <c r="B1918" s="12"/>
      <c r="C1918" s="13"/>
      <c r="D1918" s="14"/>
      <c r="E1918" s="15"/>
      <c r="F1918" s="16" t="str">
        <f aca="false">IF(OR(C1918="",D1918=""),"",EDATE(D1918,IFERROR(INDEX(Paketler!$B$5:$B$24,MATCH(C1918,Paketler!$A$5:$A$24,0)),0))-1)</f>
        <v/>
      </c>
      <c r="G1918" s="17" t="str">
        <f aca="false">IF(F1918="","",IFERROR(INDEX(Paketler!$C$5:$C$24,MATCH(C1918,Paketler!$A$5:$A$24,0)),0))</f>
        <v/>
      </c>
      <c r="H1918" s="17" t="str">
        <f aca="false">IF(F1918="","",G1918-E1918)</f>
        <v/>
      </c>
      <c r="I1918" s="18" t="str">
        <f aca="true">IF(F1918="","",F1918-TODAY())</f>
        <v/>
      </c>
      <c r="J1918" s="19" t="str">
        <f aca="true">IF(F1918="","",IF(TODAY()&lt;D1918,"Başlamadı",IF(TODAY()&gt;F1918,"Bitti",IF(F1918-TODAY()&lt;=7,"Bitiyor","Aktif"))))</f>
        <v/>
      </c>
      <c r="K1918" s="19" t="str">
        <f aca="false">IF(OR(J1918="Aktif",J1918="Bitiyor"),F1918+ROW()/1000000,"")</f>
        <v/>
      </c>
    </row>
    <row r="1919" customFormat="false" ht="15" hidden="false" customHeight="false" outlineLevel="0" collapsed="false">
      <c r="A1919" s="12"/>
      <c r="B1919" s="12"/>
      <c r="C1919" s="13"/>
      <c r="D1919" s="14"/>
      <c r="E1919" s="15"/>
      <c r="F1919" s="16" t="str">
        <f aca="false">IF(OR(C1919="",D1919=""),"",EDATE(D1919,IFERROR(INDEX(Paketler!$B$5:$B$24,MATCH(C1919,Paketler!$A$5:$A$24,0)),0))-1)</f>
        <v/>
      </c>
      <c r="G1919" s="17" t="str">
        <f aca="false">IF(F1919="","",IFERROR(INDEX(Paketler!$C$5:$C$24,MATCH(C1919,Paketler!$A$5:$A$24,0)),0))</f>
        <v/>
      </c>
      <c r="H1919" s="17" t="str">
        <f aca="false">IF(F1919="","",G1919-E1919)</f>
        <v/>
      </c>
      <c r="I1919" s="18" t="str">
        <f aca="true">IF(F1919="","",F1919-TODAY())</f>
        <v/>
      </c>
      <c r="J1919" s="19" t="str">
        <f aca="true">IF(F1919="","",IF(TODAY()&lt;D1919,"Başlamadı",IF(TODAY()&gt;F1919,"Bitti",IF(F1919-TODAY()&lt;=7,"Bitiyor","Aktif"))))</f>
        <v/>
      </c>
      <c r="K1919" s="19" t="str">
        <f aca="false">IF(OR(J1919="Aktif",J1919="Bitiyor"),F1919+ROW()/1000000,"")</f>
        <v/>
      </c>
    </row>
    <row r="1920" customFormat="false" ht="15" hidden="false" customHeight="false" outlineLevel="0" collapsed="false">
      <c r="A1920" s="12"/>
      <c r="B1920" s="12"/>
      <c r="C1920" s="13"/>
      <c r="D1920" s="14"/>
      <c r="E1920" s="15"/>
      <c r="F1920" s="16" t="str">
        <f aca="false">IF(OR(C1920="",D1920=""),"",EDATE(D1920,IFERROR(INDEX(Paketler!$B$5:$B$24,MATCH(C1920,Paketler!$A$5:$A$24,0)),0))-1)</f>
        <v/>
      </c>
      <c r="G1920" s="17" t="str">
        <f aca="false">IF(F1920="","",IFERROR(INDEX(Paketler!$C$5:$C$24,MATCH(C1920,Paketler!$A$5:$A$24,0)),0))</f>
        <v/>
      </c>
      <c r="H1920" s="17" t="str">
        <f aca="false">IF(F1920="","",G1920-E1920)</f>
        <v/>
      </c>
      <c r="I1920" s="18" t="str">
        <f aca="true">IF(F1920="","",F1920-TODAY())</f>
        <v/>
      </c>
      <c r="J1920" s="19" t="str">
        <f aca="true">IF(F1920="","",IF(TODAY()&lt;D1920,"Başlamadı",IF(TODAY()&gt;F1920,"Bitti",IF(F1920-TODAY()&lt;=7,"Bitiyor","Aktif"))))</f>
        <v/>
      </c>
      <c r="K1920" s="19" t="str">
        <f aca="false">IF(OR(J1920="Aktif",J1920="Bitiyor"),F1920+ROW()/1000000,"")</f>
        <v/>
      </c>
    </row>
    <row r="1921" customFormat="false" ht="15" hidden="false" customHeight="false" outlineLevel="0" collapsed="false">
      <c r="A1921" s="12"/>
      <c r="B1921" s="12"/>
      <c r="C1921" s="13"/>
      <c r="D1921" s="14"/>
      <c r="E1921" s="15"/>
      <c r="F1921" s="16" t="str">
        <f aca="false">IF(OR(C1921="",D1921=""),"",EDATE(D1921,IFERROR(INDEX(Paketler!$B$5:$B$24,MATCH(C1921,Paketler!$A$5:$A$24,0)),0))-1)</f>
        <v/>
      </c>
      <c r="G1921" s="17" t="str">
        <f aca="false">IF(F1921="","",IFERROR(INDEX(Paketler!$C$5:$C$24,MATCH(C1921,Paketler!$A$5:$A$24,0)),0))</f>
        <v/>
      </c>
      <c r="H1921" s="17" t="str">
        <f aca="false">IF(F1921="","",G1921-E1921)</f>
        <v/>
      </c>
      <c r="I1921" s="18" t="str">
        <f aca="true">IF(F1921="","",F1921-TODAY())</f>
        <v/>
      </c>
      <c r="J1921" s="19" t="str">
        <f aca="true">IF(F1921="","",IF(TODAY()&lt;D1921,"Başlamadı",IF(TODAY()&gt;F1921,"Bitti",IF(F1921-TODAY()&lt;=7,"Bitiyor","Aktif"))))</f>
        <v/>
      </c>
      <c r="K1921" s="19" t="str">
        <f aca="false">IF(OR(J1921="Aktif",J1921="Bitiyor"),F1921+ROW()/1000000,"")</f>
        <v/>
      </c>
    </row>
    <row r="1922" customFormat="false" ht="15" hidden="false" customHeight="false" outlineLevel="0" collapsed="false">
      <c r="A1922" s="12"/>
      <c r="B1922" s="12"/>
      <c r="C1922" s="13"/>
      <c r="D1922" s="14"/>
      <c r="E1922" s="15"/>
      <c r="F1922" s="16" t="str">
        <f aca="false">IF(OR(C1922="",D1922=""),"",EDATE(D1922,IFERROR(INDEX(Paketler!$B$5:$B$24,MATCH(C1922,Paketler!$A$5:$A$24,0)),0))-1)</f>
        <v/>
      </c>
      <c r="G1922" s="17" t="str">
        <f aca="false">IF(F1922="","",IFERROR(INDEX(Paketler!$C$5:$C$24,MATCH(C1922,Paketler!$A$5:$A$24,0)),0))</f>
        <v/>
      </c>
      <c r="H1922" s="17" t="str">
        <f aca="false">IF(F1922="","",G1922-E1922)</f>
        <v/>
      </c>
      <c r="I1922" s="18" t="str">
        <f aca="true">IF(F1922="","",F1922-TODAY())</f>
        <v/>
      </c>
      <c r="J1922" s="19" t="str">
        <f aca="true">IF(F1922="","",IF(TODAY()&lt;D1922,"Başlamadı",IF(TODAY()&gt;F1922,"Bitti",IF(F1922-TODAY()&lt;=7,"Bitiyor","Aktif"))))</f>
        <v/>
      </c>
      <c r="K1922" s="19" t="str">
        <f aca="false">IF(OR(J1922="Aktif",J1922="Bitiyor"),F1922+ROW()/1000000,"")</f>
        <v/>
      </c>
    </row>
    <row r="1923" customFormat="false" ht="15" hidden="false" customHeight="false" outlineLevel="0" collapsed="false">
      <c r="A1923" s="12"/>
      <c r="B1923" s="12"/>
      <c r="C1923" s="13"/>
      <c r="D1923" s="14"/>
      <c r="E1923" s="15"/>
      <c r="F1923" s="16" t="str">
        <f aca="false">IF(OR(C1923="",D1923=""),"",EDATE(D1923,IFERROR(INDEX(Paketler!$B$5:$B$24,MATCH(C1923,Paketler!$A$5:$A$24,0)),0))-1)</f>
        <v/>
      </c>
      <c r="G1923" s="17" t="str">
        <f aca="false">IF(F1923="","",IFERROR(INDEX(Paketler!$C$5:$C$24,MATCH(C1923,Paketler!$A$5:$A$24,0)),0))</f>
        <v/>
      </c>
      <c r="H1923" s="17" t="str">
        <f aca="false">IF(F1923="","",G1923-E1923)</f>
        <v/>
      </c>
      <c r="I1923" s="18" t="str">
        <f aca="true">IF(F1923="","",F1923-TODAY())</f>
        <v/>
      </c>
      <c r="J1923" s="19" t="str">
        <f aca="true">IF(F1923="","",IF(TODAY()&lt;D1923,"Başlamadı",IF(TODAY()&gt;F1923,"Bitti",IF(F1923-TODAY()&lt;=7,"Bitiyor","Aktif"))))</f>
        <v/>
      </c>
      <c r="K1923" s="19" t="str">
        <f aca="false">IF(OR(J1923="Aktif",J1923="Bitiyor"),F1923+ROW()/1000000,"")</f>
        <v/>
      </c>
    </row>
    <row r="1924" customFormat="false" ht="15" hidden="false" customHeight="false" outlineLevel="0" collapsed="false">
      <c r="A1924" s="12"/>
      <c r="B1924" s="12"/>
      <c r="C1924" s="13"/>
      <c r="D1924" s="14"/>
      <c r="E1924" s="15"/>
      <c r="F1924" s="16" t="str">
        <f aca="false">IF(OR(C1924="",D1924=""),"",EDATE(D1924,IFERROR(INDEX(Paketler!$B$5:$B$24,MATCH(C1924,Paketler!$A$5:$A$24,0)),0))-1)</f>
        <v/>
      </c>
      <c r="G1924" s="17" t="str">
        <f aca="false">IF(F1924="","",IFERROR(INDEX(Paketler!$C$5:$C$24,MATCH(C1924,Paketler!$A$5:$A$24,0)),0))</f>
        <v/>
      </c>
      <c r="H1924" s="17" t="str">
        <f aca="false">IF(F1924="","",G1924-E1924)</f>
        <v/>
      </c>
      <c r="I1924" s="18" t="str">
        <f aca="true">IF(F1924="","",F1924-TODAY())</f>
        <v/>
      </c>
      <c r="J1924" s="19" t="str">
        <f aca="true">IF(F1924="","",IF(TODAY()&lt;D1924,"Başlamadı",IF(TODAY()&gt;F1924,"Bitti",IF(F1924-TODAY()&lt;=7,"Bitiyor","Aktif"))))</f>
        <v/>
      </c>
      <c r="K1924" s="19" t="str">
        <f aca="false">IF(OR(J1924="Aktif",J1924="Bitiyor"),F1924+ROW()/1000000,"")</f>
        <v/>
      </c>
    </row>
    <row r="1925" customFormat="false" ht="15" hidden="false" customHeight="false" outlineLevel="0" collapsed="false">
      <c r="A1925" s="12"/>
      <c r="B1925" s="12"/>
      <c r="C1925" s="13"/>
      <c r="D1925" s="14"/>
      <c r="E1925" s="15"/>
      <c r="F1925" s="16" t="str">
        <f aca="false">IF(OR(C1925="",D1925=""),"",EDATE(D1925,IFERROR(INDEX(Paketler!$B$5:$B$24,MATCH(C1925,Paketler!$A$5:$A$24,0)),0))-1)</f>
        <v/>
      </c>
      <c r="G1925" s="17" t="str">
        <f aca="false">IF(F1925="","",IFERROR(INDEX(Paketler!$C$5:$C$24,MATCH(C1925,Paketler!$A$5:$A$24,0)),0))</f>
        <v/>
      </c>
      <c r="H1925" s="17" t="str">
        <f aca="false">IF(F1925="","",G1925-E1925)</f>
        <v/>
      </c>
      <c r="I1925" s="18" t="str">
        <f aca="true">IF(F1925="","",F1925-TODAY())</f>
        <v/>
      </c>
      <c r="J1925" s="19" t="str">
        <f aca="true">IF(F1925="","",IF(TODAY()&lt;D1925,"Başlamadı",IF(TODAY()&gt;F1925,"Bitti",IF(F1925-TODAY()&lt;=7,"Bitiyor","Aktif"))))</f>
        <v/>
      </c>
      <c r="K1925" s="19" t="str">
        <f aca="false">IF(OR(J1925="Aktif",J1925="Bitiyor"),F1925+ROW()/1000000,"")</f>
        <v/>
      </c>
    </row>
    <row r="1926" customFormat="false" ht="15" hidden="false" customHeight="false" outlineLevel="0" collapsed="false">
      <c r="A1926" s="12"/>
      <c r="B1926" s="12"/>
      <c r="C1926" s="13"/>
      <c r="D1926" s="14"/>
      <c r="E1926" s="15"/>
      <c r="F1926" s="16" t="str">
        <f aca="false">IF(OR(C1926="",D1926=""),"",EDATE(D1926,IFERROR(INDEX(Paketler!$B$5:$B$24,MATCH(C1926,Paketler!$A$5:$A$24,0)),0))-1)</f>
        <v/>
      </c>
      <c r="G1926" s="17" t="str">
        <f aca="false">IF(F1926="","",IFERROR(INDEX(Paketler!$C$5:$C$24,MATCH(C1926,Paketler!$A$5:$A$24,0)),0))</f>
        <v/>
      </c>
      <c r="H1926" s="17" t="str">
        <f aca="false">IF(F1926="","",G1926-E1926)</f>
        <v/>
      </c>
      <c r="I1926" s="18" t="str">
        <f aca="true">IF(F1926="","",F1926-TODAY())</f>
        <v/>
      </c>
      <c r="J1926" s="19" t="str">
        <f aca="true">IF(F1926="","",IF(TODAY()&lt;D1926,"Başlamadı",IF(TODAY()&gt;F1926,"Bitti",IF(F1926-TODAY()&lt;=7,"Bitiyor","Aktif"))))</f>
        <v/>
      </c>
      <c r="K1926" s="19" t="str">
        <f aca="false">IF(OR(J1926="Aktif",J1926="Bitiyor"),F1926+ROW()/1000000,"")</f>
        <v/>
      </c>
    </row>
    <row r="1927" customFormat="false" ht="15" hidden="false" customHeight="false" outlineLevel="0" collapsed="false">
      <c r="A1927" s="12"/>
      <c r="B1927" s="12"/>
      <c r="C1927" s="13"/>
      <c r="D1927" s="14"/>
      <c r="E1927" s="15"/>
      <c r="F1927" s="16" t="str">
        <f aca="false">IF(OR(C1927="",D1927=""),"",EDATE(D1927,IFERROR(INDEX(Paketler!$B$5:$B$24,MATCH(C1927,Paketler!$A$5:$A$24,0)),0))-1)</f>
        <v/>
      </c>
      <c r="G1927" s="17" t="str">
        <f aca="false">IF(F1927="","",IFERROR(INDEX(Paketler!$C$5:$C$24,MATCH(C1927,Paketler!$A$5:$A$24,0)),0))</f>
        <v/>
      </c>
      <c r="H1927" s="17" t="str">
        <f aca="false">IF(F1927="","",G1927-E1927)</f>
        <v/>
      </c>
      <c r="I1927" s="18" t="str">
        <f aca="true">IF(F1927="","",F1927-TODAY())</f>
        <v/>
      </c>
      <c r="J1927" s="19" t="str">
        <f aca="true">IF(F1927="","",IF(TODAY()&lt;D1927,"Başlamadı",IF(TODAY()&gt;F1927,"Bitti",IF(F1927-TODAY()&lt;=7,"Bitiyor","Aktif"))))</f>
        <v/>
      </c>
      <c r="K1927" s="19" t="str">
        <f aca="false">IF(OR(J1927="Aktif",J1927="Bitiyor"),F1927+ROW()/1000000,"")</f>
        <v/>
      </c>
    </row>
    <row r="1928" customFormat="false" ht="15" hidden="false" customHeight="false" outlineLevel="0" collapsed="false">
      <c r="A1928" s="12"/>
      <c r="B1928" s="12"/>
      <c r="C1928" s="13"/>
      <c r="D1928" s="14"/>
      <c r="E1928" s="15"/>
      <c r="F1928" s="16" t="str">
        <f aca="false">IF(OR(C1928="",D1928=""),"",EDATE(D1928,IFERROR(INDEX(Paketler!$B$5:$B$24,MATCH(C1928,Paketler!$A$5:$A$24,0)),0))-1)</f>
        <v/>
      </c>
      <c r="G1928" s="17" t="str">
        <f aca="false">IF(F1928="","",IFERROR(INDEX(Paketler!$C$5:$C$24,MATCH(C1928,Paketler!$A$5:$A$24,0)),0))</f>
        <v/>
      </c>
      <c r="H1928" s="17" t="str">
        <f aca="false">IF(F1928="","",G1928-E1928)</f>
        <v/>
      </c>
      <c r="I1928" s="18" t="str">
        <f aca="true">IF(F1928="","",F1928-TODAY())</f>
        <v/>
      </c>
      <c r="J1928" s="19" t="str">
        <f aca="true">IF(F1928="","",IF(TODAY()&lt;D1928,"Başlamadı",IF(TODAY()&gt;F1928,"Bitti",IF(F1928-TODAY()&lt;=7,"Bitiyor","Aktif"))))</f>
        <v/>
      </c>
      <c r="K1928" s="19" t="str">
        <f aca="false">IF(OR(J1928="Aktif",J1928="Bitiyor"),F1928+ROW()/1000000,"")</f>
        <v/>
      </c>
    </row>
    <row r="1929" customFormat="false" ht="15" hidden="false" customHeight="false" outlineLevel="0" collapsed="false">
      <c r="A1929" s="12"/>
      <c r="B1929" s="12"/>
      <c r="C1929" s="13"/>
      <c r="D1929" s="14"/>
      <c r="E1929" s="15"/>
      <c r="F1929" s="16" t="str">
        <f aca="false">IF(OR(C1929="",D1929=""),"",EDATE(D1929,IFERROR(INDEX(Paketler!$B$5:$B$24,MATCH(C1929,Paketler!$A$5:$A$24,0)),0))-1)</f>
        <v/>
      </c>
      <c r="G1929" s="17" t="str">
        <f aca="false">IF(F1929="","",IFERROR(INDEX(Paketler!$C$5:$C$24,MATCH(C1929,Paketler!$A$5:$A$24,0)),0))</f>
        <v/>
      </c>
      <c r="H1929" s="17" t="str">
        <f aca="false">IF(F1929="","",G1929-E1929)</f>
        <v/>
      </c>
      <c r="I1929" s="18" t="str">
        <f aca="true">IF(F1929="","",F1929-TODAY())</f>
        <v/>
      </c>
      <c r="J1929" s="19" t="str">
        <f aca="true">IF(F1929="","",IF(TODAY()&lt;D1929,"Başlamadı",IF(TODAY()&gt;F1929,"Bitti",IF(F1929-TODAY()&lt;=7,"Bitiyor","Aktif"))))</f>
        <v/>
      </c>
      <c r="K1929" s="19" t="str">
        <f aca="false">IF(OR(J1929="Aktif",J1929="Bitiyor"),F1929+ROW()/1000000,"")</f>
        <v/>
      </c>
    </row>
    <row r="1930" customFormat="false" ht="15" hidden="false" customHeight="false" outlineLevel="0" collapsed="false">
      <c r="A1930" s="12"/>
      <c r="B1930" s="12"/>
      <c r="C1930" s="13"/>
      <c r="D1930" s="14"/>
      <c r="E1930" s="15"/>
      <c r="F1930" s="16" t="str">
        <f aca="false">IF(OR(C1930="",D1930=""),"",EDATE(D1930,IFERROR(INDEX(Paketler!$B$5:$B$24,MATCH(C1930,Paketler!$A$5:$A$24,0)),0))-1)</f>
        <v/>
      </c>
      <c r="G1930" s="17" t="str">
        <f aca="false">IF(F1930="","",IFERROR(INDEX(Paketler!$C$5:$C$24,MATCH(C1930,Paketler!$A$5:$A$24,0)),0))</f>
        <v/>
      </c>
      <c r="H1930" s="17" t="str">
        <f aca="false">IF(F1930="","",G1930-E1930)</f>
        <v/>
      </c>
      <c r="I1930" s="18" t="str">
        <f aca="true">IF(F1930="","",F1930-TODAY())</f>
        <v/>
      </c>
      <c r="J1930" s="19" t="str">
        <f aca="true">IF(F1930="","",IF(TODAY()&lt;D1930,"Başlamadı",IF(TODAY()&gt;F1930,"Bitti",IF(F1930-TODAY()&lt;=7,"Bitiyor","Aktif"))))</f>
        <v/>
      </c>
      <c r="K1930" s="19" t="str">
        <f aca="false">IF(OR(J1930="Aktif",J1930="Bitiyor"),F1930+ROW()/1000000,"")</f>
        <v/>
      </c>
    </row>
    <row r="1931" customFormat="false" ht="15" hidden="false" customHeight="false" outlineLevel="0" collapsed="false">
      <c r="A1931" s="12"/>
      <c r="B1931" s="12"/>
      <c r="C1931" s="13"/>
      <c r="D1931" s="14"/>
      <c r="E1931" s="15"/>
      <c r="F1931" s="16" t="str">
        <f aca="false">IF(OR(C1931="",D1931=""),"",EDATE(D1931,IFERROR(INDEX(Paketler!$B$5:$B$24,MATCH(C1931,Paketler!$A$5:$A$24,0)),0))-1)</f>
        <v/>
      </c>
      <c r="G1931" s="17" t="str">
        <f aca="false">IF(F1931="","",IFERROR(INDEX(Paketler!$C$5:$C$24,MATCH(C1931,Paketler!$A$5:$A$24,0)),0))</f>
        <v/>
      </c>
      <c r="H1931" s="17" t="str">
        <f aca="false">IF(F1931="","",G1931-E1931)</f>
        <v/>
      </c>
      <c r="I1931" s="18" t="str">
        <f aca="true">IF(F1931="","",F1931-TODAY())</f>
        <v/>
      </c>
      <c r="J1931" s="19" t="str">
        <f aca="true">IF(F1931="","",IF(TODAY()&lt;D1931,"Başlamadı",IF(TODAY()&gt;F1931,"Bitti",IF(F1931-TODAY()&lt;=7,"Bitiyor","Aktif"))))</f>
        <v/>
      </c>
      <c r="K1931" s="19" t="str">
        <f aca="false">IF(OR(J1931="Aktif",J1931="Bitiyor"),F1931+ROW()/1000000,"")</f>
        <v/>
      </c>
    </row>
    <row r="1932" customFormat="false" ht="15" hidden="false" customHeight="false" outlineLevel="0" collapsed="false">
      <c r="A1932" s="12"/>
      <c r="B1932" s="12"/>
      <c r="C1932" s="13"/>
      <c r="D1932" s="14"/>
      <c r="E1932" s="15"/>
      <c r="F1932" s="16" t="str">
        <f aca="false">IF(OR(C1932="",D1932=""),"",EDATE(D1932,IFERROR(INDEX(Paketler!$B$5:$B$24,MATCH(C1932,Paketler!$A$5:$A$24,0)),0))-1)</f>
        <v/>
      </c>
      <c r="G1932" s="17" t="str">
        <f aca="false">IF(F1932="","",IFERROR(INDEX(Paketler!$C$5:$C$24,MATCH(C1932,Paketler!$A$5:$A$24,0)),0))</f>
        <v/>
      </c>
      <c r="H1932" s="17" t="str">
        <f aca="false">IF(F1932="","",G1932-E1932)</f>
        <v/>
      </c>
      <c r="I1932" s="18" t="str">
        <f aca="true">IF(F1932="","",F1932-TODAY())</f>
        <v/>
      </c>
      <c r="J1932" s="19" t="str">
        <f aca="true">IF(F1932="","",IF(TODAY()&lt;D1932,"Başlamadı",IF(TODAY()&gt;F1932,"Bitti",IF(F1932-TODAY()&lt;=7,"Bitiyor","Aktif"))))</f>
        <v/>
      </c>
      <c r="K1932" s="19" t="str">
        <f aca="false">IF(OR(J1932="Aktif",J1932="Bitiyor"),F1932+ROW()/1000000,"")</f>
        <v/>
      </c>
    </row>
    <row r="1933" customFormat="false" ht="15" hidden="false" customHeight="false" outlineLevel="0" collapsed="false">
      <c r="A1933" s="12"/>
      <c r="B1933" s="12"/>
      <c r="C1933" s="13"/>
      <c r="D1933" s="14"/>
      <c r="E1933" s="15"/>
      <c r="F1933" s="16" t="str">
        <f aca="false">IF(OR(C1933="",D1933=""),"",EDATE(D1933,IFERROR(INDEX(Paketler!$B$5:$B$24,MATCH(C1933,Paketler!$A$5:$A$24,0)),0))-1)</f>
        <v/>
      </c>
      <c r="G1933" s="17" t="str">
        <f aca="false">IF(F1933="","",IFERROR(INDEX(Paketler!$C$5:$C$24,MATCH(C1933,Paketler!$A$5:$A$24,0)),0))</f>
        <v/>
      </c>
      <c r="H1933" s="17" t="str">
        <f aca="false">IF(F1933="","",G1933-E1933)</f>
        <v/>
      </c>
      <c r="I1933" s="18" t="str">
        <f aca="true">IF(F1933="","",F1933-TODAY())</f>
        <v/>
      </c>
      <c r="J1933" s="19" t="str">
        <f aca="true">IF(F1933="","",IF(TODAY()&lt;D1933,"Başlamadı",IF(TODAY()&gt;F1933,"Bitti",IF(F1933-TODAY()&lt;=7,"Bitiyor","Aktif"))))</f>
        <v/>
      </c>
      <c r="K1933" s="19" t="str">
        <f aca="false">IF(OR(J1933="Aktif",J1933="Bitiyor"),F1933+ROW()/1000000,"")</f>
        <v/>
      </c>
    </row>
    <row r="1934" customFormat="false" ht="15" hidden="false" customHeight="false" outlineLevel="0" collapsed="false">
      <c r="A1934" s="12"/>
      <c r="B1934" s="12"/>
      <c r="C1934" s="13"/>
      <c r="D1934" s="14"/>
      <c r="E1934" s="15"/>
      <c r="F1934" s="16" t="str">
        <f aca="false">IF(OR(C1934="",D1934=""),"",EDATE(D1934,IFERROR(INDEX(Paketler!$B$5:$B$24,MATCH(C1934,Paketler!$A$5:$A$24,0)),0))-1)</f>
        <v/>
      </c>
      <c r="G1934" s="17" t="str">
        <f aca="false">IF(F1934="","",IFERROR(INDEX(Paketler!$C$5:$C$24,MATCH(C1934,Paketler!$A$5:$A$24,0)),0))</f>
        <v/>
      </c>
      <c r="H1934" s="17" t="str">
        <f aca="false">IF(F1934="","",G1934-E1934)</f>
        <v/>
      </c>
      <c r="I1934" s="18" t="str">
        <f aca="true">IF(F1934="","",F1934-TODAY())</f>
        <v/>
      </c>
      <c r="J1934" s="19" t="str">
        <f aca="true">IF(F1934="","",IF(TODAY()&lt;D1934,"Başlamadı",IF(TODAY()&gt;F1934,"Bitti",IF(F1934-TODAY()&lt;=7,"Bitiyor","Aktif"))))</f>
        <v/>
      </c>
      <c r="K1934" s="19" t="str">
        <f aca="false">IF(OR(J1934="Aktif",J1934="Bitiyor"),F1934+ROW()/1000000,"")</f>
        <v/>
      </c>
    </row>
    <row r="1935" customFormat="false" ht="15" hidden="false" customHeight="false" outlineLevel="0" collapsed="false">
      <c r="A1935" s="12"/>
      <c r="B1935" s="12"/>
      <c r="C1935" s="13"/>
      <c r="D1935" s="14"/>
      <c r="E1935" s="15"/>
      <c r="F1935" s="16" t="str">
        <f aca="false">IF(OR(C1935="",D1935=""),"",EDATE(D1935,IFERROR(INDEX(Paketler!$B$5:$B$24,MATCH(C1935,Paketler!$A$5:$A$24,0)),0))-1)</f>
        <v/>
      </c>
      <c r="G1935" s="17" t="str">
        <f aca="false">IF(F1935="","",IFERROR(INDEX(Paketler!$C$5:$C$24,MATCH(C1935,Paketler!$A$5:$A$24,0)),0))</f>
        <v/>
      </c>
      <c r="H1935" s="17" t="str">
        <f aca="false">IF(F1935="","",G1935-E1935)</f>
        <v/>
      </c>
      <c r="I1935" s="18" t="str">
        <f aca="true">IF(F1935="","",F1935-TODAY())</f>
        <v/>
      </c>
      <c r="J1935" s="19" t="str">
        <f aca="true">IF(F1935="","",IF(TODAY()&lt;D1935,"Başlamadı",IF(TODAY()&gt;F1935,"Bitti",IF(F1935-TODAY()&lt;=7,"Bitiyor","Aktif"))))</f>
        <v/>
      </c>
      <c r="K1935" s="19" t="str">
        <f aca="false">IF(OR(J1935="Aktif",J1935="Bitiyor"),F1935+ROW()/1000000,"")</f>
        <v/>
      </c>
    </row>
    <row r="1936" customFormat="false" ht="15" hidden="false" customHeight="false" outlineLevel="0" collapsed="false">
      <c r="A1936" s="12"/>
      <c r="B1936" s="12"/>
      <c r="C1936" s="13"/>
      <c r="D1936" s="14"/>
      <c r="E1936" s="15"/>
      <c r="F1936" s="16" t="str">
        <f aca="false">IF(OR(C1936="",D1936=""),"",EDATE(D1936,IFERROR(INDEX(Paketler!$B$5:$B$24,MATCH(C1936,Paketler!$A$5:$A$24,0)),0))-1)</f>
        <v/>
      </c>
      <c r="G1936" s="17" t="str">
        <f aca="false">IF(F1936="","",IFERROR(INDEX(Paketler!$C$5:$C$24,MATCH(C1936,Paketler!$A$5:$A$24,0)),0))</f>
        <v/>
      </c>
      <c r="H1936" s="17" t="str">
        <f aca="false">IF(F1936="","",G1936-E1936)</f>
        <v/>
      </c>
      <c r="I1936" s="18" t="str">
        <f aca="true">IF(F1936="","",F1936-TODAY())</f>
        <v/>
      </c>
      <c r="J1936" s="19" t="str">
        <f aca="true">IF(F1936="","",IF(TODAY()&lt;D1936,"Başlamadı",IF(TODAY()&gt;F1936,"Bitti",IF(F1936-TODAY()&lt;=7,"Bitiyor","Aktif"))))</f>
        <v/>
      </c>
      <c r="K1936" s="19" t="str">
        <f aca="false">IF(OR(J1936="Aktif",J1936="Bitiyor"),F1936+ROW()/1000000,"")</f>
        <v/>
      </c>
    </row>
    <row r="1937" customFormat="false" ht="15" hidden="false" customHeight="false" outlineLevel="0" collapsed="false">
      <c r="A1937" s="12"/>
      <c r="B1937" s="12"/>
      <c r="C1937" s="13"/>
      <c r="D1937" s="14"/>
      <c r="E1937" s="15"/>
      <c r="F1937" s="16" t="str">
        <f aca="false">IF(OR(C1937="",D1937=""),"",EDATE(D1937,IFERROR(INDEX(Paketler!$B$5:$B$24,MATCH(C1937,Paketler!$A$5:$A$24,0)),0))-1)</f>
        <v/>
      </c>
      <c r="G1937" s="17" t="str">
        <f aca="false">IF(F1937="","",IFERROR(INDEX(Paketler!$C$5:$C$24,MATCH(C1937,Paketler!$A$5:$A$24,0)),0))</f>
        <v/>
      </c>
      <c r="H1937" s="17" t="str">
        <f aca="false">IF(F1937="","",G1937-E1937)</f>
        <v/>
      </c>
      <c r="I1937" s="18" t="str">
        <f aca="true">IF(F1937="","",F1937-TODAY())</f>
        <v/>
      </c>
      <c r="J1937" s="19" t="str">
        <f aca="true">IF(F1937="","",IF(TODAY()&lt;D1937,"Başlamadı",IF(TODAY()&gt;F1937,"Bitti",IF(F1937-TODAY()&lt;=7,"Bitiyor","Aktif"))))</f>
        <v/>
      </c>
      <c r="K1937" s="19" t="str">
        <f aca="false">IF(OR(J1937="Aktif",J1937="Bitiyor"),F1937+ROW()/1000000,"")</f>
        <v/>
      </c>
    </row>
    <row r="1938" customFormat="false" ht="15" hidden="false" customHeight="false" outlineLevel="0" collapsed="false">
      <c r="A1938" s="12"/>
      <c r="B1938" s="12"/>
      <c r="C1938" s="13"/>
      <c r="D1938" s="14"/>
      <c r="E1938" s="15"/>
      <c r="F1938" s="16" t="str">
        <f aca="false">IF(OR(C1938="",D1938=""),"",EDATE(D1938,IFERROR(INDEX(Paketler!$B$5:$B$24,MATCH(C1938,Paketler!$A$5:$A$24,0)),0))-1)</f>
        <v/>
      </c>
      <c r="G1938" s="17" t="str">
        <f aca="false">IF(F1938="","",IFERROR(INDEX(Paketler!$C$5:$C$24,MATCH(C1938,Paketler!$A$5:$A$24,0)),0))</f>
        <v/>
      </c>
      <c r="H1938" s="17" t="str">
        <f aca="false">IF(F1938="","",G1938-E1938)</f>
        <v/>
      </c>
      <c r="I1938" s="18" t="str">
        <f aca="true">IF(F1938="","",F1938-TODAY())</f>
        <v/>
      </c>
      <c r="J1938" s="19" t="str">
        <f aca="true">IF(F1938="","",IF(TODAY()&lt;D1938,"Başlamadı",IF(TODAY()&gt;F1938,"Bitti",IF(F1938-TODAY()&lt;=7,"Bitiyor","Aktif"))))</f>
        <v/>
      </c>
      <c r="K1938" s="19" t="str">
        <f aca="false">IF(OR(J1938="Aktif",J1938="Bitiyor"),F1938+ROW()/1000000,"")</f>
        <v/>
      </c>
    </row>
    <row r="1939" customFormat="false" ht="15" hidden="false" customHeight="false" outlineLevel="0" collapsed="false">
      <c r="A1939" s="12"/>
      <c r="B1939" s="12"/>
      <c r="C1939" s="13"/>
      <c r="D1939" s="14"/>
      <c r="E1939" s="15"/>
      <c r="F1939" s="16" t="str">
        <f aca="false">IF(OR(C1939="",D1939=""),"",EDATE(D1939,IFERROR(INDEX(Paketler!$B$5:$B$24,MATCH(C1939,Paketler!$A$5:$A$24,0)),0))-1)</f>
        <v/>
      </c>
      <c r="G1939" s="17" t="str">
        <f aca="false">IF(F1939="","",IFERROR(INDEX(Paketler!$C$5:$C$24,MATCH(C1939,Paketler!$A$5:$A$24,0)),0))</f>
        <v/>
      </c>
      <c r="H1939" s="17" t="str">
        <f aca="false">IF(F1939="","",G1939-E1939)</f>
        <v/>
      </c>
      <c r="I1939" s="18" t="str">
        <f aca="true">IF(F1939="","",F1939-TODAY())</f>
        <v/>
      </c>
      <c r="J1939" s="19" t="str">
        <f aca="true">IF(F1939="","",IF(TODAY()&lt;D1939,"Başlamadı",IF(TODAY()&gt;F1939,"Bitti",IF(F1939-TODAY()&lt;=7,"Bitiyor","Aktif"))))</f>
        <v/>
      </c>
      <c r="K1939" s="19" t="str">
        <f aca="false">IF(OR(J1939="Aktif",J1939="Bitiyor"),F1939+ROW()/1000000,"")</f>
        <v/>
      </c>
    </row>
    <row r="1940" customFormat="false" ht="15" hidden="false" customHeight="false" outlineLevel="0" collapsed="false">
      <c r="A1940" s="12"/>
      <c r="B1940" s="12"/>
      <c r="C1940" s="13"/>
      <c r="D1940" s="14"/>
      <c r="E1940" s="15"/>
      <c r="F1940" s="16" t="str">
        <f aca="false">IF(OR(C1940="",D1940=""),"",EDATE(D1940,IFERROR(INDEX(Paketler!$B$5:$B$24,MATCH(C1940,Paketler!$A$5:$A$24,0)),0))-1)</f>
        <v/>
      </c>
      <c r="G1940" s="17" t="str">
        <f aca="false">IF(F1940="","",IFERROR(INDEX(Paketler!$C$5:$C$24,MATCH(C1940,Paketler!$A$5:$A$24,0)),0))</f>
        <v/>
      </c>
      <c r="H1940" s="17" t="str">
        <f aca="false">IF(F1940="","",G1940-E1940)</f>
        <v/>
      </c>
      <c r="I1940" s="18" t="str">
        <f aca="true">IF(F1940="","",F1940-TODAY())</f>
        <v/>
      </c>
      <c r="J1940" s="19" t="str">
        <f aca="true">IF(F1940="","",IF(TODAY()&lt;D1940,"Başlamadı",IF(TODAY()&gt;F1940,"Bitti",IF(F1940-TODAY()&lt;=7,"Bitiyor","Aktif"))))</f>
        <v/>
      </c>
      <c r="K1940" s="19" t="str">
        <f aca="false">IF(OR(J1940="Aktif",J1940="Bitiyor"),F1940+ROW()/1000000,"")</f>
        <v/>
      </c>
    </row>
    <row r="1941" customFormat="false" ht="15" hidden="false" customHeight="false" outlineLevel="0" collapsed="false">
      <c r="A1941" s="12"/>
      <c r="B1941" s="12"/>
      <c r="C1941" s="13"/>
      <c r="D1941" s="14"/>
      <c r="E1941" s="15"/>
      <c r="F1941" s="16" t="str">
        <f aca="false">IF(OR(C1941="",D1941=""),"",EDATE(D1941,IFERROR(INDEX(Paketler!$B$5:$B$24,MATCH(C1941,Paketler!$A$5:$A$24,0)),0))-1)</f>
        <v/>
      </c>
      <c r="G1941" s="17" t="str">
        <f aca="false">IF(F1941="","",IFERROR(INDEX(Paketler!$C$5:$C$24,MATCH(C1941,Paketler!$A$5:$A$24,0)),0))</f>
        <v/>
      </c>
      <c r="H1941" s="17" t="str">
        <f aca="false">IF(F1941="","",G1941-E1941)</f>
        <v/>
      </c>
      <c r="I1941" s="18" t="str">
        <f aca="true">IF(F1941="","",F1941-TODAY())</f>
        <v/>
      </c>
      <c r="J1941" s="19" t="str">
        <f aca="true">IF(F1941="","",IF(TODAY()&lt;D1941,"Başlamadı",IF(TODAY()&gt;F1941,"Bitti",IF(F1941-TODAY()&lt;=7,"Bitiyor","Aktif"))))</f>
        <v/>
      </c>
      <c r="K1941" s="19" t="str">
        <f aca="false">IF(OR(J1941="Aktif",J1941="Bitiyor"),F1941+ROW()/1000000,"")</f>
        <v/>
      </c>
    </row>
    <row r="1942" customFormat="false" ht="15" hidden="false" customHeight="false" outlineLevel="0" collapsed="false">
      <c r="A1942" s="12"/>
      <c r="B1942" s="12"/>
      <c r="C1942" s="13"/>
      <c r="D1942" s="14"/>
      <c r="E1942" s="15"/>
      <c r="F1942" s="16" t="str">
        <f aca="false">IF(OR(C1942="",D1942=""),"",EDATE(D1942,IFERROR(INDEX(Paketler!$B$5:$B$24,MATCH(C1942,Paketler!$A$5:$A$24,0)),0))-1)</f>
        <v/>
      </c>
      <c r="G1942" s="17" t="str">
        <f aca="false">IF(F1942="","",IFERROR(INDEX(Paketler!$C$5:$C$24,MATCH(C1942,Paketler!$A$5:$A$24,0)),0))</f>
        <v/>
      </c>
      <c r="H1942" s="17" t="str">
        <f aca="false">IF(F1942="","",G1942-E1942)</f>
        <v/>
      </c>
      <c r="I1942" s="18" t="str">
        <f aca="true">IF(F1942="","",F1942-TODAY())</f>
        <v/>
      </c>
      <c r="J1942" s="19" t="str">
        <f aca="true">IF(F1942="","",IF(TODAY()&lt;D1942,"Başlamadı",IF(TODAY()&gt;F1942,"Bitti",IF(F1942-TODAY()&lt;=7,"Bitiyor","Aktif"))))</f>
        <v/>
      </c>
      <c r="K1942" s="19" t="str">
        <f aca="false">IF(OR(J1942="Aktif",J1942="Bitiyor"),F1942+ROW()/1000000,"")</f>
        <v/>
      </c>
    </row>
    <row r="1943" customFormat="false" ht="15" hidden="false" customHeight="false" outlineLevel="0" collapsed="false">
      <c r="A1943" s="12"/>
      <c r="B1943" s="12"/>
      <c r="C1943" s="13"/>
      <c r="D1943" s="14"/>
      <c r="E1943" s="15"/>
      <c r="F1943" s="16" t="str">
        <f aca="false">IF(OR(C1943="",D1943=""),"",EDATE(D1943,IFERROR(INDEX(Paketler!$B$5:$B$24,MATCH(C1943,Paketler!$A$5:$A$24,0)),0))-1)</f>
        <v/>
      </c>
      <c r="G1943" s="17" t="str">
        <f aca="false">IF(F1943="","",IFERROR(INDEX(Paketler!$C$5:$C$24,MATCH(C1943,Paketler!$A$5:$A$24,0)),0))</f>
        <v/>
      </c>
      <c r="H1943" s="17" t="str">
        <f aca="false">IF(F1943="","",G1943-E1943)</f>
        <v/>
      </c>
      <c r="I1943" s="18" t="str">
        <f aca="true">IF(F1943="","",F1943-TODAY())</f>
        <v/>
      </c>
      <c r="J1943" s="19" t="str">
        <f aca="true">IF(F1943="","",IF(TODAY()&lt;D1943,"Başlamadı",IF(TODAY()&gt;F1943,"Bitti",IF(F1943-TODAY()&lt;=7,"Bitiyor","Aktif"))))</f>
        <v/>
      </c>
      <c r="K1943" s="19" t="str">
        <f aca="false">IF(OR(J1943="Aktif",J1943="Bitiyor"),F1943+ROW()/1000000,"")</f>
        <v/>
      </c>
    </row>
    <row r="1944" customFormat="false" ht="15" hidden="false" customHeight="false" outlineLevel="0" collapsed="false">
      <c r="A1944" s="12"/>
      <c r="B1944" s="12"/>
      <c r="C1944" s="13"/>
      <c r="D1944" s="14"/>
      <c r="E1944" s="15"/>
      <c r="F1944" s="16" t="str">
        <f aca="false">IF(OR(C1944="",D1944=""),"",EDATE(D1944,IFERROR(INDEX(Paketler!$B$5:$B$24,MATCH(C1944,Paketler!$A$5:$A$24,0)),0))-1)</f>
        <v/>
      </c>
      <c r="G1944" s="17" t="str">
        <f aca="false">IF(F1944="","",IFERROR(INDEX(Paketler!$C$5:$C$24,MATCH(C1944,Paketler!$A$5:$A$24,0)),0))</f>
        <v/>
      </c>
      <c r="H1944" s="17" t="str">
        <f aca="false">IF(F1944="","",G1944-E1944)</f>
        <v/>
      </c>
      <c r="I1944" s="18" t="str">
        <f aca="true">IF(F1944="","",F1944-TODAY())</f>
        <v/>
      </c>
      <c r="J1944" s="19" t="str">
        <f aca="true">IF(F1944="","",IF(TODAY()&lt;D1944,"Başlamadı",IF(TODAY()&gt;F1944,"Bitti",IF(F1944-TODAY()&lt;=7,"Bitiyor","Aktif"))))</f>
        <v/>
      </c>
      <c r="K1944" s="19" t="str">
        <f aca="false">IF(OR(J1944="Aktif",J1944="Bitiyor"),F1944+ROW()/1000000,"")</f>
        <v/>
      </c>
    </row>
    <row r="1945" customFormat="false" ht="15" hidden="false" customHeight="false" outlineLevel="0" collapsed="false">
      <c r="A1945" s="12"/>
      <c r="B1945" s="12"/>
      <c r="C1945" s="13"/>
      <c r="D1945" s="14"/>
      <c r="E1945" s="15"/>
      <c r="F1945" s="16" t="str">
        <f aca="false">IF(OR(C1945="",D1945=""),"",EDATE(D1945,IFERROR(INDEX(Paketler!$B$5:$B$24,MATCH(C1945,Paketler!$A$5:$A$24,0)),0))-1)</f>
        <v/>
      </c>
      <c r="G1945" s="17" t="str">
        <f aca="false">IF(F1945="","",IFERROR(INDEX(Paketler!$C$5:$C$24,MATCH(C1945,Paketler!$A$5:$A$24,0)),0))</f>
        <v/>
      </c>
      <c r="H1945" s="17" t="str">
        <f aca="false">IF(F1945="","",G1945-E1945)</f>
        <v/>
      </c>
      <c r="I1945" s="18" t="str">
        <f aca="true">IF(F1945="","",F1945-TODAY())</f>
        <v/>
      </c>
      <c r="J1945" s="19" t="str">
        <f aca="true">IF(F1945="","",IF(TODAY()&lt;D1945,"Başlamadı",IF(TODAY()&gt;F1945,"Bitti",IF(F1945-TODAY()&lt;=7,"Bitiyor","Aktif"))))</f>
        <v/>
      </c>
      <c r="K1945" s="19" t="str">
        <f aca="false">IF(OR(J1945="Aktif",J1945="Bitiyor"),F1945+ROW()/1000000,"")</f>
        <v/>
      </c>
    </row>
    <row r="1946" customFormat="false" ht="15" hidden="false" customHeight="false" outlineLevel="0" collapsed="false">
      <c r="A1946" s="12"/>
      <c r="B1946" s="12"/>
      <c r="C1946" s="13"/>
      <c r="D1946" s="14"/>
      <c r="E1946" s="15"/>
      <c r="F1946" s="16" t="str">
        <f aca="false">IF(OR(C1946="",D1946=""),"",EDATE(D1946,IFERROR(INDEX(Paketler!$B$5:$B$24,MATCH(C1946,Paketler!$A$5:$A$24,0)),0))-1)</f>
        <v/>
      </c>
      <c r="G1946" s="17" t="str">
        <f aca="false">IF(F1946="","",IFERROR(INDEX(Paketler!$C$5:$C$24,MATCH(C1946,Paketler!$A$5:$A$24,0)),0))</f>
        <v/>
      </c>
      <c r="H1946" s="17" t="str">
        <f aca="false">IF(F1946="","",G1946-E1946)</f>
        <v/>
      </c>
      <c r="I1946" s="18" t="str">
        <f aca="true">IF(F1946="","",F1946-TODAY())</f>
        <v/>
      </c>
      <c r="J1946" s="19" t="str">
        <f aca="true">IF(F1946="","",IF(TODAY()&lt;D1946,"Başlamadı",IF(TODAY()&gt;F1946,"Bitti",IF(F1946-TODAY()&lt;=7,"Bitiyor","Aktif"))))</f>
        <v/>
      </c>
      <c r="K1946" s="19" t="str">
        <f aca="false">IF(OR(J1946="Aktif",J1946="Bitiyor"),F1946+ROW()/1000000,"")</f>
        <v/>
      </c>
    </row>
    <row r="1947" customFormat="false" ht="15" hidden="false" customHeight="false" outlineLevel="0" collapsed="false">
      <c r="A1947" s="12"/>
      <c r="B1947" s="12"/>
      <c r="C1947" s="13"/>
      <c r="D1947" s="14"/>
      <c r="E1947" s="15"/>
      <c r="F1947" s="16" t="str">
        <f aca="false">IF(OR(C1947="",D1947=""),"",EDATE(D1947,IFERROR(INDEX(Paketler!$B$5:$B$24,MATCH(C1947,Paketler!$A$5:$A$24,0)),0))-1)</f>
        <v/>
      </c>
      <c r="G1947" s="17" t="str">
        <f aca="false">IF(F1947="","",IFERROR(INDEX(Paketler!$C$5:$C$24,MATCH(C1947,Paketler!$A$5:$A$24,0)),0))</f>
        <v/>
      </c>
      <c r="H1947" s="17" t="str">
        <f aca="false">IF(F1947="","",G1947-E1947)</f>
        <v/>
      </c>
      <c r="I1947" s="18" t="str">
        <f aca="true">IF(F1947="","",F1947-TODAY())</f>
        <v/>
      </c>
      <c r="J1947" s="19" t="str">
        <f aca="true">IF(F1947="","",IF(TODAY()&lt;D1947,"Başlamadı",IF(TODAY()&gt;F1947,"Bitti",IF(F1947-TODAY()&lt;=7,"Bitiyor","Aktif"))))</f>
        <v/>
      </c>
      <c r="K1947" s="19" t="str">
        <f aca="false">IF(OR(J1947="Aktif",J1947="Bitiyor"),F1947+ROW()/1000000,"")</f>
        <v/>
      </c>
    </row>
    <row r="1948" customFormat="false" ht="15" hidden="false" customHeight="false" outlineLevel="0" collapsed="false">
      <c r="A1948" s="12"/>
      <c r="B1948" s="12"/>
      <c r="C1948" s="13"/>
      <c r="D1948" s="14"/>
      <c r="E1948" s="15"/>
      <c r="F1948" s="16" t="str">
        <f aca="false">IF(OR(C1948="",D1948=""),"",EDATE(D1948,IFERROR(INDEX(Paketler!$B$5:$B$24,MATCH(C1948,Paketler!$A$5:$A$24,0)),0))-1)</f>
        <v/>
      </c>
      <c r="G1948" s="17" t="str">
        <f aca="false">IF(F1948="","",IFERROR(INDEX(Paketler!$C$5:$C$24,MATCH(C1948,Paketler!$A$5:$A$24,0)),0))</f>
        <v/>
      </c>
      <c r="H1948" s="17" t="str">
        <f aca="false">IF(F1948="","",G1948-E1948)</f>
        <v/>
      </c>
      <c r="I1948" s="18" t="str">
        <f aca="true">IF(F1948="","",F1948-TODAY())</f>
        <v/>
      </c>
      <c r="J1948" s="19" t="str">
        <f aca="true">IF(F1948="","",IF(TODAY()&lt;D1948,"Başlamadı",IF(TODAY()&gt;F1948,"Bitti",IF(F1948-TODAY()&lt;=7,"Bitiyor","Aktif"))))</f>
        <v/>
      </c>
      <c r="K1948" s="19" t="str">
        <f aca="false">IF(OR(J1948="Aktif",J1948="Bitiyor"),F1948+ROW()/1000000,"")</f>
        <v/>
      </c>
    </row>
    <row r="1949" customFormat="false" ht="15" hidden="false" customHeight="false" outlineLevel="0" collapsed="false">
      <c r="A1949" s="12"/>
      <c r="B1949" s="12"/>
      <c r="C1949" s="13"/>
      <c r="D1949" s="14"/>
      <c r="E1949" s="15"/>
      <c r="F1949" s="16" t="str">
        <f aca="false">IF(OR(C1949="",D1949=""),"",EDATE(D1949,IFERROR(INDEX(Paketler!$B$5:$B$24,MATCH(C1949,Paketler!$A$5:$A$24,0)),0))-1)</f>
        <v/>
      </c>
      <c r="G1949" s="17" t="str">
        <f aca="false">IF(F1949="","",IFERROR(INDEX(Paketler!$C$5:$C$24,MATCH(C1949,Paketler!$A$5:$A$24,0)),0))</f>
        <v/>
      </c>
      <c r="H1949" s="17" t="str">
        <f aca="false">IF(F1949="","",G1949-E1949)</f>
        <v/>
      </c>
      <c r="I1949" s="18" t="str">
        <f aca="true">IF(F1949="","",F1949-TODAY())</f>
        <v/>
      </c>
      <c r="J1949" s="19" t="str">
        <f aca="true">IF(F1949="","",IF(TODAY()&lt;D1949,"Başlamadı",IF(TODAY()&gt;F1949,"Bitti",IF(F1949-TODAY()&lt;=7,"Bitiyor","Aktif"))))</f>
        <v/>
      </c>
      <c r="K1949" s="19" t="str">
        <f aca="false">IF(OR(J1949="Aktif",J1949="Bitiyor"),F1949+ROW()/1000000,"")</f>
        <v/>
      </c>
    </row>
    <row r="1950" customFormat="false" ht="15" hidden="false" customHeight="false" outlineLevel="0" collapsed="false">
      <c r="A1950" s="12"/>
      <c r="B1950" s="12"/>
      <c r="C1950" s="13"/>
      <c r="D1950" s="14"/>
      <c r="E1950" s="15"/>
      <c r="F1950" s="16" t="str">
        <f aca="false">IF(OR(C1950="",D1950=""),"",EDATE(D1950,IFERROR(INDEX(Paketler!$B$5:$B$24,MATCH(C1950,Paketler!$A$5:$A$24,0)),0))-1)</f>
        <v/>
      </c>
      <c r="G1950" s="17" t="str">
        <f aca="false">IF(F1950="","",IFERROR(INDEX(Paketler!$C$5:$C$24,MATCH(C1950,Paketler!$A$5:$A$24,0)),0))</f>
        <v/>
      </c>
      <c r="H1950" s="17" t="str">
        <f aca="false">IF(F1950="","",G1950-E1950)</f>
        <v/>
      </c>
      <c r="I1950" s="18" t="str">
        <f aca="true">IF(F1950="","",F1950-TODAY())</f>
        <v/>
      </c>
      <c r="J1950" s="19" t="str">
        <f aca="true">IF(F1950="","",IF(TODAY()&lt;D1950,"Başlamadı",IF(TODAY()&gt;F1950,"Bitti",IF(F1950-TODAY()&lt;=7,"Bitiyor","Aktif"))))</f>
        <v/>
      </c>
      <c r="K1950" s="19" t="str">
        <f aca="false">IF(OR(J1950="Aktif",J1950="Bitiyor"),F1950+ROW()/1000000,"")</f>
        <v/>
      </c>
    </row>
    <row r="1951" customFormat="false" ht="15" hidden="false" customHeight="false" outlineLevel="0" collapsed="false">
      <c r="A1951" s="12"/>
      <c r="B1951" s="12"/>
      <c r="C1951" s="13"/>
      <c r="D1951" s="14"/>
      <c r="E1951" s="15"/>
      <c r="F1951" s="16" t="str">
        <f aca="false">IF(OR(C1951="",D1951=""),"",EDATE(D1951,IFERROR(INDEX(Paketler!$B$5:$B$24,MATCH(C1951,Paketler!$A$5:$A$24,0)),0))-1)</f>
        <v/>
      </c>
      <c r="G1951" s="17" t="str">
        <f aca="false">IF(F1951="","",IFERROR(INDEX(Paketler!$C$5:$C$24,MATCH(C1951,Paketler!$A$5:$A$24,0)),0))</f>
        <v/>
      </c>
      <c r="H1951" s="17" t="str">
        <f aca="false">IF(F1951="","",G1951-E1951)</f>
        <v/>
      </c>
      <c r="I1951" s="18" t="str">
        <f aca="true">IF(F1951="","",F1951-TODAY())</f>
        <v/>
      </c>
      <c r="J1951" s="19" t="str">
        <f aca="true">IF(F1951="","",IF(TODAY()&lt;D1951,"Başlamadı",IF(TODAY()&gt;F1951,"Bitti",IF(F1951-TODAY()&lt;=7,"Bitiyor","Aktif"))))</f>
        <v/>
      </c>
      <c r="K1951" s="19" t="str">
        <f aca="false">IF(OR(J1951="Aktif",J1951="Bitiyor"),F1951+ROW()/1000000,"")</f>
        <v/>
      </c>
    </row>
    <row r="1952" customFormat="false" ht="15" hidden="false" customHeight="false" outlineLevel="0" collapsed="false">
      <c r="A1952" s="12"/>
      <c r="B1952" s="12"/>
      <c r="C1952" s="13"/>
      <c r="D1952" s="14"/>
      <c r="E1952" s="15"/>
      <c r="F1952" s="16" t="str">
        <f aca="false">IF(OR(C1952="",D1952=""),"",EDATE(D1952,IFERROR(INDEX(Paketler!$B$5:$B$24,MATCH(C1952,Paketler!$A$5:$A$24,0)),0))-1)</f>
        <v/>
      </c>
      <c r="G1952" s="17" t="str">
        <f aca="false">IF(F1952="","",IFERROR(INDEX(Paketler!$C$5:$C$24,MATCH(C1952,Paketler!$A$5:$A$24,0)),0))</f>
        <v/>
      </c>
      <c r="H1952" s="17" t="str">
        <f aca="false">IF(F1952="","",G1952-E1952)</f>
        <v/>
      </c>
      <c r="I1952" s="18" t="str">
        <f aca="true">IF(F1952="","",F1952-TODAY())</f>
        <v/>
      </c>
      <c r="J1952" s="19" t="str">
        <f aca="true">IF(F1952="","",IF(TODAY()&lt;D1952,"Başlamadı",IF(TODAY()&gt;F1952,"Bitti",IF(F1952-TODAY()&lt;=7,"Bitiyor","Aktif"))))</f>
        <v/>
      </c>
      <c r="K1952" s="19" t="str">
        <f aca="false">IF(OR(J1952="Aktif",J1952="Bitiyor"),F1952+ROW()/1000000,"")</f>
        <v/>
      </c>
    </row>
    <row r="1953" customFormat="false" ht="15" hidden="false" customHeight="false" outlineLevel="0" collapsed="false">
      <c r="A1953" s="12"/>
      <c r="B1953" s="12"/>
      <c r="C1953" s="13"/>
      <c r="D1953" s="14"/>
      <c r="E1953" s="15"/>
      <c r="F1953" s="16" t="str">
        <f aca="false">IF(OR(C1953="",D1953=""),"",EDATE(D1953,IFERROR(INDEX(Paketler!$B$5:$B$24,MATCH(C1953,Paketler!$A$5:$A$24,0)),0))-1)</f>
        <v/>
      </c>
      <c r="G1953" s="17" t="str">
        <f aca="false">IF(F1953="","",IFERROR(INDEX(Paketler!$C$5:$C$24,MATCH(C1953,Paketler!$A$5:$A$24,0)),0))</f>
        <v/>
      </c>
      <c r="H1953" s="17" t="str">
        <f aca="false">IF(F1953="","",G1953-E1953)</f>
        <v/>
      </c>
      <c r="I1953" s="18" t="str">
        <f aca="true">IF(F1953="","",F1953-TODAY())</f>
        <v/>
      </c>
      <c r="J1953" s="19" t="str">
        <f aca="true">IF(F1953="","",IF(TODAY()&lt;D1953,"Başlamadı",IF(TODAY()&gt;F1953,"Bitti",IF(F1953-TODAY()&lt;=7,"Bitiyor","Aktif"))))</f>
        <v/>
      </c>
      <c r="K1953" s="19" t="str">
        <f aca="false">IF(OR(J1953="Aktif",J1953="Bitiyor"),F1953+ROW()/1000000,"")</f>
        <v/>
      </c>
    </row>
    <row r="1954" customFormat="false" ht="15" hidden="false" customHeight="false" outlineLevel="0" collapsed="false">
      <c r="A1954" s="12"/>
      <c r="B1954" s="12"/>
      <c r="C1954" s="13"/>
      <c r="D1954" s="14"/>
      <c r="E1954" s="15"/>
      <c r="F1954" s="16" t="str">
        <f aca="false">IF(OR(C1954="",D1954=""),"",EDATE(D1954,IFERROR(INDEX(Paketler!$B$5:$B$24,MATCH(C1954,Paketler!$A$5:$A$24,0)),0))-1)</f>
        <v/>
      </c>
      <c r="G1954" s="17" t="str">
        <f aca="false">IF(F1954="","",IFERROR(INDEX(Paketler!$C$5:$C$24,MATCH(C1954,Paketler!$A$5:$A$24,0)),0))</f>
        <v/>
      </c>
      <c r="H1954" s="17" t="str">
        <f aca="false">IF(F1954="","",G1954-E1954)</f>
        <v/>
      </c>
      <c r="I1954" s="18" t="str">
        <f aca="true">IF(F1954="","",F1954-TODAY())</f>
        <v/>
      </c>
      <c r="J1954" s="19" t="str">
        <f aca="true">IF(F1954="","",IF(TODAY()&lt;D1954,"Başlamadı",IF(TODAY()&gt;F1954,"Bitti",IF(F1954-TODAY()&lt;=7,"Bitiyor","Aktif"))))</f>
        <v/>
      </c>
      <c r="K1954" s="19" t="str">
        <f aca="false">IF(OR(J1954="Aktif",J1954="Bitiyor"),F1954+ROW()/1000000,"")</f>
        <v/>
      </c>
    </row>
    <row r="1955" customFormat="false" ht="15" hidden="false" customHeight="false" outlineLevel="0" collapsed="false">
      <c r="A1955" s="12"/>
      <c r="B1955" s="12"/>
      <c r="C1955" s="13"/>
      <c r="D1955" s="14"/>
      <c r="E1955" s="15"/>
      <c r="F1955" s="16" t="str">
        <f aca="false">IF(OR(C1955="",D1955=""),"",EDATE(D1955,IFERROR(INDEX(Paketler!$B$5:$B$24,MATCH(C1955,Paketler!$A$5:$A$24,0)),0))-1)</f>
        <v/>
      </c>
      <c r="G1955" s="17" t="str">
        <f aca="false">IF(F1955="","",IFERROR(INDEX(Paketler!$C$5:$C$24,MATCH(C1955,Paketler!$A$5:$A$24,0)),0))</f>
        <v/>
      </c>
      <c r="H1955" s="17" t="str">
        <f aca="false">IF(F1955="","",G1955-E1955)</f>
        <v/>
      </c>
      <c r="I1955" s="18" t="str">
        <f aca="true">IF(F1955="","",F1955-TODAY())</f>
        <v/>
      </c>
      <c r="J1955" s="19" t="str">
        <f aca="true">IF(F1955="","",IF(TODAY()&lt;D1955,"Başlamadı",IF(TODAY()&gt;F1955,"Bitti",IF(F1955-TODAY()&lt;=7,"Bitiyor","Aktif"))))</f>
        <v/>
      </c>
      <c r="K1955" s="19" t="str">
        <f aca="false">IF(OR(J1955="Aktif",J1955="Bitiyor"),F1955+ROW()/1000000,"")</f>
        <v/>
      </c>
    </row>
    <row r="1956" customFormat="false" ht="15" hidden="false" customHeight="false" outlineLevel="0" collapsed="false">
      <c r="A1956" s="12"/>
      <c r="B1956" s="12"/>
      <c r="C1956" s="13"/>
      <c r="D1956" s="14"/>
      <c r="E1956" s="15"/>
      <c r="F1956" s="16" t="str">
        <f aca="false">IF(OR(C1956="",D1956=""),"",EDATE(D1956,IFERROR(INDEX(Paketler!$B$5:$B$24,MATCH(C1956,Paketler!$A$5:$A$24,0)),0))-1)</f>
        <v/>
      </c>
      <c r="G1956" s="17" t="str">
        <f aca="false">IF(F1956="","",IFERROR(INDEX(Paketler!$C$5:$C$24,MATCH(C1956,Paketler!$A$5:$A$24,0)),0))</f>
        <v/>
      </c>
      <c r="H1956" s="17" t="str">
        <f aca="false">IF(F1956="","",G1956-E1956)</f>
        <v/>
      </c>
      <c r="I1956" s="18" t="str">
        <f aca="true">IF(F1956="","",F1956-TODAY())</f>
        <v/>
      </c>
      <c r="J1956" s="19" t="str">
        <f aca="true">IF(F1956="","",IF(TODAY()&lt;D1956,"Başlamadı",IF(TODAY()&gt;F1956,"Bitti",IF(F1956-TODAY()&lt;=7,"Bitiyor","Aktif"))))</f>
        <v/>
      </c>
      <c r="K1956" s="19" t="str">
        <f aca="false">IF(OR(J1956="Aktif",J1956="Bitiyor"),F1956+ROW()/1000000,"")</f>
        <v/>
      </c>
    </row>
    <row r="1957" customFormat="false" ht="15" hidden="false" customHeight="false" outlineLevel="0" collapsed="false">
      <c r="A1957" s="12"/>
      <c r="B1957" s="12"/>
      <c r="C1957" s="13"/>
      <c r="D1957" s="14"/>
      <c r="E1957" s="15"/>
      <c r="F1957" s="16" t="str">
        <f aca="false">IF(OR(C1957="",D1957=""),"",EDATE(D1957,IFERROR(INDEX(Paketler!$B$5:$B$24,MATCH(C1957,Paketler!$A$5:$A$24,0)),0))-1)</f>
        <v/>
      </c>
      <c r="G1957" s="17" t="str">
        <f aca="false">IF(F1957="","",IFERROR(INDEX(Paketler!$C$5:$C$24,MATCH(C1957,Paketler!$A$5:$A$24,0)),0))</f>
        <v/>
      </c>
      <c r="H1957" s="17" t="str">
        <f aca="false">IF(F1957="","",G1957-E1957)</f>
        <v/>
      </c>
      <c r="I1957" s="18" t="str">
        <f aca="true">IF(F1957="","",F1957-TODAY())</f>
        <v/>
      </c>
      <c r="J1957" s="19" t="str">
        <f aca="true">IF(F1957="","",IF(TODAY()&lt;D1957,"Başlamadı",IF(TODAY()&gt;F1957,"Bitti",IF(F1957-TODAY()&lt;=7,"Bitiyor","Aktif"))))</f>
        <v/>
      </c>
      <c r="K1957" s="19" t="str">
        <f aca="false">IF(OR(J1957="Aktif",J1957="Bitiyor"),F1957+ROW()/1000000,"")</f>
        <v/>
      </c>
    </row>
    <row r="1958" customFormat="false" ht="15" hidden="false" customHeight="false" outlineLevel="0" collapsed="false">
      <c r="A1958" s="12"/>
      <c r="B1958" s="12"/>
      <c r="C1958" s="13"/>
      <c r="D1958" s="14"/>
      <c r="E1958" s="15"/>
      <c r="F1958" s="16" t="str">
        <f aca="false">IF(OR(C1958="",D1958=""),"",EDATE(D1958,IFERROR(INDEX(Paketler!$B$5:$B$24,MATCH(C1958,Paketler!$A$5:$A$24,0)),0))-1)</f>
        <v/>
      </c>
      <c r="G1958" s="17" t="str">
        <f aca="false">IF(F1958="","",IFERROR(INDEX(Paketler!$C$5:$C$24,MATCH(C1958,Paketler!$A$5:$A$24,0)),0))</f>
        <v/>
      </c>
      <c r="H1958" s="17" t="str">
        <f aca="false">IF(F1958="","",G1958-E1958)</f>
        <v/>
      </c>
      <c r="I1958" s="18" t="str">
        <f aca="true">IF(F1958="","",F1958-TODAY())</f>
        <v/>
      </c>
      <c r="J1958" s="19" t="str">
        <f aca="true">IF(F1958="","",IF(TODAY()&lt;D1958,"Başlamadı",IF(TODAY()&gt;F1958,"Bitti",IF(F1958-TODAY()&lt;=7,"Bitiyor","Aktif"))))</f>
        <v/>
      </c>
      <c r="K1958" s="19" t="str">
        <f aca="false">IF(OR(J1958="Aktif",J1958="Bitiyor"),F1958+ROW()/1000000,"")</f>
        <v/>
      </c>
    </row>
    <row r="1959" customFormat="false" ht="15" hidden="false" customHeight="false" outlineLevel="0" collapsed="false">
      <c r="A1959" s="12"/>
      <c r="B1959" s="12"/>
      <c r="C1959" s="13"/>
      <c r="D1959" s="14"/>
      <c r="E1959" s="15"/>
      <c r="F1959" s="16" t="str">
        <f aca="false">IF(OR(C1959="",D1959=""),"",EDATE(D1959,IFERROR(INDEX(Paketler!$B$5:$B$24,MATCH(C1959,Paketler!$A$5:$A$24,0)),0))-1)</f>
        <v/>
      </c>
      <c r="G1959" s="17" t="str">
        <f aca="false">IF(F1959="","",IFERROR(INDEX(Paketler!$C$5:$C$24,MATCH(C1959,Paketler!$A$5:$A$24,0)),0))</f>
        <v/>
      </c>
      <c r="H1959" s="17" t="str">
        <f aca="false">IF(F1959="","",G1959-E1959)</f>
        <v/>
      </c>
      <c r="I1959" s="18" t="str">
        <f aca="true">IF(F1959="","",F1959-TODAY())</f>
        <v/>
      </c>
      <c r="J1959" s="19" t="str">
        <f aca="true">IF(F1959="","",IF(TODAY()&lt;D1959,"Başlamadı",IF(TODAY()&gt;F1959,"Bitti",IF(F1959-TODAY()&lt;=7,"Bitiyor","Aktif"))))</f>
        <v/>
      </c>
      <c r="K1959" s="19" t="str">
        <f aca="false">IF(OR(J1959="Aktif",J1959="Bitiyor"),F1959+ROW()/1000000,"")</f>
        <v/>
      </c>
    </row>
    <row r="1960" customFormat="false" ht="15" hidden="false" customHeight="false" outlineLevel="0" collapsed="false">
      <c r="A1960" s="12"/>
      <c r="B1960" s="12"/>
      <c r="C1960" s="13"/>
      <c r="D1960" s="14"/>
      <c r="E1960" s="15"/>
      <c r="F1960" s="16" t="str">
        <f aca="false">IF(OR(C1960="",D1960=""),"",EDATE(D1960,IFERROR(INDEX(Paketler!$B$5:$B$24,MATCH(C1960,Paketler!$A$5:$A$24,0)),0))-1)</f>
        <v/>
      </c>
      <c r="G1960" s="17" t="str">
        <f aca="false">IF(F1960="","",IFERROR(INDEX(Paketler!$C$5:$C$24,MATCH(C1960,Paketler!$A$5:$A$24,0)),0))</f>
        <v/>
      </c>
      <c r="H1960" s="17" t="str">
        <f aca="false">IF(F1960="","",G1960-E1960)</f>
        <v/>
      </c>
      <c r="I1960" s="18" t="str">
        <f aca="true">IF(F1960="","",F1960-TODAY())</f>
        <v/>
      </c>
      <c r="J1960" s="19" t="str">
        <f aca="true">IF(F1960="","",IF(TODAY()&lt;D1960,"Başlamadı",IF(TODAY()&gt;F1960,"Bitti",IF(F1960-TODAY()&lt;=7,"Bitiyor","Aktif"))))</f>
        <v/>
      </c>
      <c r="K1960" s="19" t="str">
        <f aca="false">IF(OR(J1960="Aktif",J1960="Bitiyor"),F1960+ROW()/1000000,"")</f>
        <v/>
      </c>
    </row>
    <row r="1961" customFormat="false" ht="15" hidden="false" customHeight="false" outlineLevel="0" collapsed="false">
      <c r="A1961" s="12"/>
      <c r="B1961" s="12"/>
      <c r="C1961" s="13"/>
      <c r="D1961" s="14"/>
      <c r="E1961" s="15"/>
      <c r="F1961" s="16" t="str">
        <f aca="false">IF(OR(C1961="",D1961=""),"",EDATE(D1961,IFERROR(INDEX(Paketler!$B$5:$B$24,MATCH(C1961,Paketler!$A$5:$A$24,0)),0))-1)</f>
        <v/>
      </c>
      <c r="G1961" s="17" t="str">
        <f aca="false">IF(F1961="","",IFERROR(INDEX(Paketler!$C$5:$C$24,MATCH(C1961,Paketler!$A$5:$A$24,0)),0))</f>
        <v/>
      </c>
      <c r="H1961" s="17" t="str">
        <f aca="false">IF(F1961="","",G1961-E1961)</f>
        <v/>
      </c>
      <c r="I1961" s="18" t="str">
        <f aca="true">IF(F1961="","",F1961-TODAY())</f>
        <v/>
      </c>
      <c r="J1961" s="19" t="str">
        <f aca="true">IF(F1961="","",IF(TODAY()&lt;D1961,"Başlamadı",IF(TODAY()&gt;F1961,"Bitti",IF(F1961-TODAY()&lt;=7,"Bitiyor","Aktif"))))</f>
        <v/>
      </c>
      <c r="K1961" s="19" t="str">
        <f aca="false">IF(OR(J1961="Aktif",J1961="Bitiyor"),F1961+ROW()/1000000,"")</f>
        <v/>
      </c>
    </row>
    <row r="1962" customFormat="false" ht="15" hidden="false" customHeight="false" outlineLevel="0" collapsed="false">
      <c r="A1962" s="12"/>
      <c r="B1962" s="12"/>
      <c r="C1962" s="13"/>
      <c r="D1962" s="14"/>
      <c r="E1962" s="15"/>
      <c r="F1962" s="16" t="str">
        <f aca="false">IF(OR(C1962="",D1962=""),"",EDATE(D1962,IFERROR(INDEX(Paketler!$B$5:$B$24,MATCH(C1962,Paketler!$A$5:$A$24,0)),0))-1)</f>
        <v/>
      </c>
      <c r="G1962" s="17" t="str">
        <f aca="false">IF(F1962="","",IFERROR(INDEX(Paketler!$C$5:$C$24,MATCH(C1962,Paketler!$A$5:$A$24,0)),0))</f>
        <v/>
      </c>
      <c r="H1962" s="17" t="str">
        <f aca="false">IF(F1962="","",G1962-E1962)</f>
        <v/>
      </c>
      <c r="I1962" s="18" t="str">
        <f aca="true">IF(F1962="","",F1962-TODAY())</f>
        <v/>
      </c>
      <c r="J1962" s="19" t="str">
        <f aca="true">IF(F1962="","",IF(TODAY()&lt;D1962,"Başlamadı",IF(TODAY()&gt;F1962,"Bitti",IF(F1962-TODAY()&lt;=7,"Bitiyor","Aktif"))))</f>
        <v/>
      </c>
      <c r="K1962" s="19" t="str">
        <f aca="false">IF(OR(J1962="Aktif",J1962="Bitiyor"),F1962+ROW()/1000000,"")</f>
        <v/>
      </c>
    </row>
    <row r="1963" customFormat="false" ht="15" hidden="false" customHeight="false" outlineLevel="0" collapsed="false">
      <c r="A1963" s="12"/>
      <c r="B1963" s="12"/>
      <c r="C1963" s="13"/>
      <c r="D1963" s="14"/>
      <c r="E1963" s="15"/>
      <c r="F1963" s="16" t="str">
        <f aca="false">IF(OR(C1963="",D1963=""),"",EDATE(D1963,IFERROR(INDEX(Paketler!$B$5:$B$24,MATCH(C1963,Paketler!$A$5:$A$24,0)),0))-1)</f>
        <v/>
      </c>
      <c r="G1963" s="17" t="str">
        <f aca="false">IF(F1963="","",IFERROR(INDEX(Paketler!$C$5:$C$24,MATCH(C1963,Paketler!$A$5:$A$24,0)),0))</f>
        <v/>
      </c>
      <c r="H1963" s="17" t="str">
        <f aca="false">IF(F1963="","",G1963-E1963)</f>
        <v/>
      </c>
      <c r="I1963" s="18" t="str">
        <f aca="true">IF(F1963="","",F1963-TODAY())</f>
        <v/>
      </c>
      <c r="J1963" s="19" t="str">
        <f aca="true">IF(F1963="","",IF(TODAY()&lt;D1963,"Başlamadı",IF(TODAY()&gt;F1963,"Bitti",IF(F1963-TODAY()&lt;=7,"Bitiyor","Aktif"))))</f>
        <v/>
      </c>
      <c r="K1963" s="19" t="str">
        <f aca="false">IF(OR(J1963="Aktif",J1963="Bitiyor"),F1963+ROW()/1000000,"")</f>
        <v/>
      </c>
    </row>
    <row r="1964" customFormat="false" ht="15" hidden="false" customHeight="false" outlineLevel="0" collapsed="false">
      <c r="A1964" s="12"/>
      <c r="B1964" s="12"/>
      <c r="C1964" s="13"/>
      <c r="D1964" s="14"/>
      <c r="E1964" s="15"/>
      <c r="F1964" s="16" t="str">
        <f aca="false">IF(OR(C1964="",D1964=""),"",EDATE(D1964,IFERROR(INDEX(Paketler!$B$5:$B$24,MATCH(C1964,Paketler!$A$5:$A$24,0)),0))-1)</f>
        <v/>
      </c>
      <c r="G1964" s="17" t="str">
        <f aca="false">IF(F1964="","",IFERROR(INDEX(Paketler!$C$5:$C$24,MATCH(C1964,Paketler!$A$5:$A$24,0)),0))</f>
        <v/>
      </c>
      <c r="H1964" s="17" t="str">
        <f aca="false">IF(F1964="","",G1964-E1964)</f>
        <v/>
      </c>
      <c r="I1964" s="18" t="str">
        <f aca="true">IF(F1964="","",F1964-TODAY())</f>
        <v/>
      </c>
      <c r="J1964" s="19" t="str">
        <f aca="true">IF(F1964="","",IF(TODAY()&lt;D1964,"Başlamadı",IF(TODAY()&gt;F1964,"Bitti",IF(F1964-TODAY()&lt;=7,"Bitiyor","Aktif"))))</f>
        <v/>
      </c>
      <c r="K1964" s="19" t="str">
        <f aca="false">IF(OR(J1964="Aktif",J1964="Bitiyor"),F1964+ROW()/1000000,"")</f>
        <v/>
      </c>
    </row>
    <row r="1965" customFormat="false" ht="15" hidden="false" customHeight="false" outlineLevel="0" collapsed="false">
      <c r="A1965" s="12"/>
      <c r="B1965" s="12"/>
      <c r="C1965" s="13"/>
      <c r="D1965" s="14"/>
      <c r="E1965" s="15"/>
      <c r="F1965" s="16" t="str">
        <f aca="false">IF(OR(C1965="",D1965=""),"",EDATE(D1965,IFERROR(INDEX(Paketler!$B$5:$B$24,MATCH(C1965,Paketler!$A$5:$A$24,0)),0))-1)</f>
        <v/>
      </c>
      <c r="G1965" s="17" t="str">
        <f aca="false">IF(F1965="","",IFERROR(INDEX(Paketler!$C$5:$C$24,MATCH(C1965,Paketler!$A$5:$A$24,0)),0))</f>
        <v/>
      </c>
      <c r="H1965" s="17" t="str">
        <f aca="false">IF(F1965="","",G1965-E1965)</f>
        <v/>
      </c>
      <c r="I1965" s="18" t="str">
        <f aca="true">IF(F1965="","",F1965-TODAY())</f>
        <v/>
      </c>
      <c r="J1965" s="19" t="str">
        <f aca="true">IF(F1965="","",IF(TODAY()&lt;D1965,"Başlamadı",IF(TODAY()&gt;F1965,"Bitti",IF(F1965-TODAY()&lt;=7,"Bitiyor","Aktif"))))</f>
        <v/>
      </c>
      <c r="K1965" s="19" t="str">
        <f aca="false">IF(OR(J1965="Aktif",J1965="Bitiyor"),F1965+ROW()/1000000,"")</f>
        <v/>
      </c>
    </row>
    <row r="1966" customFormat="false" ht="15" hidden="false" customHeight="false" outlineLevel="0" collapsed="false">
      <c r="A1966" s="12"/>
      <c r="B1966" s="12"/>
      <c r="C1966" s="13"/>
      <c r="D1966" s="14"/>
      <c r="E1966" s="15"/>
      <c r="F1966" s="16" t="str">
        <f aca="false">IF(OR(C1966="",D1966=""),"",EDATE(D1966,IFERROR(INDEX(Paketler!$B$5:$B$24,MATCH(C1966,Paketler!$A$5:$A$24,0)),0))-1)</f>
        <v/>
      </c>
      <c r="G1966" s="17" t="str">
        <f aca="false">IF(F1966="","",IFERROR(INDEX(Paketler!$C$5:$C$24,MATCH(C1966,Paketler!$A$5:$A$24,0)),0))</f>
        <v/>
      </c>
      <c r="H1966" s="17" t="str">
        <f aca="false">IF(F1966="","",G1966-E1966)</f>
        <v/>
      </c>
      <c r="I1966" s="18" t="str">
        <f aca="true">IF(F1966="","",F1966-TODAY())</f>
        <v/>
      </c>
      <c r="J1966" s="19" t="str">
        <f aca="true">IF(F1966="","",IF(TODAY()&lt;D1966,"Başlamadı",IF(TODAY()&gt;F1966,"Bitti",IF(F1966-TODAY()&lt;=7,"Bitiyor","Aktif"))))</f>
        <v/>
      </c>
      <c r="K1966" s="19" t="str">
        <f aca="false">IF(OR(J1966="Aktif",J1966="Bitiyor"),F1966+ROW()/1000000,"")</f>
        <v/>
      </c>
    </row>
    <row r="1967" customFormat="false" ht="15" hidden="false" customHeight="false" outlineLevel="0" collapsed="false">
      <c r="A1967" s="12"/>
      <c r="B1967" s="12"/>
      <c r="C1967" s="13"/>
      <c r="D1967" s="14"/>
      <c r="E1967" s="15"/>
      <c r="F1967" s="16" t="str">
        <f aca="false">IF(OR(C1967="",D1967=""),"",EDATE(D1967,IFERROR(INDEX(Paketler!$B$5:$B$24,MATCH(C1967,Paketler!$A$5:$A$24,0)),0))-1)</f>
        <v/>
      </c>
      <c r="G1967" s="17" t="str">
        <f aca="false">IF(F1967="","",IFERROR(INDEX(Paketler!$C$5:$C$24,MATCH(C1967,Paketler!$A$5:$A$24,0)),0))</f>
        <v/>
      </c>
      <c r="H1967" s="17" t="str">
        <f aca="false">IF(F1967="","",G1967-E1967)</f>
        <v/>
      </c>
      <c r="I1967" s="18" t="str">
        <f aca="true">IF(F1967="","",F1967-TODAY())</f>
        <v/>
      </c>
      <c r="J1967" s="19" t="str">
        <f aca="true">IF(F1967="","",IF(TODAY()&lt;D1967,"Başlamadı",IF(TODAY()&gt;F1967,"Bitti",IF(F1967-TODAY()&lt;=7,"Bitiyor","Aktif"))))</f>
        <v/>
      </c>
      <c r="K1967" s="19" t="str">
        <f aca="false">IF(OR(J1967="Aktif",J1967="Bitiyor"),F1967+ROW()/1000000,"")</f>
        <v/>
      </c>
    </row>
    <row r="1968" customFormat="false" ht="15" hidden="false" customHeight="false" outlineLevel="0" collapsed="false">
      <c r="A1968" s="12"/>
      <c r="B1968" s="12"/>
      <c r="C1968" s="13"/>
      <c r="D1968" s="14"/>
      <c r="E1968" s="15"/>
      <c r="F1968" s="16" t="str">
        <f aca="false">IF(OR(C1968="",D1968=""),"",EDATE(D1968,IFERROR(INDEX(Paketler!$B$5:$B$24,MATCH(C1968,Paketler!$A$5:$A$24,0)),0))-1)</f>
        <v/>
      </c>
      <c r="G1968" s="17" t="str">
        <f aca="false">IF(F1968="","",IFERROR(INDEX(Paketler!$C$5:$C$24,MATCH(C1968,Paketler!$A$5:$A$24,0)),0))</f>
        <v/>
      </c>
      <c r="H1968" s="17" t="str">
        <f aca="false">IF(F1968="","",G1968-E1968)</f>
        <v/>
      </c>
      <c r="I1968" s="18" t="str">
        <f aca="true">IF(F1968="","",F1968-TODAY())</f>
        <v/>
      </c>
      <c r="J1968" s="19" t="str">
        <f aca="true">IF(F1968="","",IF(TODAY()&lt;D1968,"Başlamadı",IF(TODAY()&gt;F1968,"Bitti",IF(F1968-TODAY()&lt;=7,"Bitiyor","Aktif"))))</f>
        <v/>
      </c>
      <c r="K1968" s="19" t="str">
        <f aca="false">IF(OR(J1968="Aktif",J1968="Bitiyor"),F1968+ROW()/1000000,"")</f>
        <v/>
      </c>
    </row>
    <row r="1969" customFormat="false" ht="15" hidden="false" customHeight="false" outlineLevel="0" collapsed="false">
      <c r="A1969" s="12"/>
      <c r="B1969" s="12"/>
      <c r="C1969" s="13"/>
      <c r="D1969" s="14"/>
      <c r="E1969" s="15"/>
      <c r="F1969" s="16" t="str">
        <f aca="false">IF(OR(C1969="",D1969=""),"",EDATE(D1969,IFERROR(INDEX(Paketler!$B$5:$B$24,MATCH(C1969,Paketler!$A$5:$A$24,0)),0))-1)</f>
        <v/>
      </c>
      <c r="G1969" s="17" t="str">
        <f aca="false">IF(F1969="","",IFERROR(INDEX(Paketler!$C$5:$C$24,MATCH(C1969,Paketler!$A$5:$A$24,0)),0))</f>
        <v/>
      </c>
      <c r="H1969" s="17" t="str">
        <f aca="false">IF(F1969="","",G1969-E1969)</f>
        <v/>
      </c>
      <c r="I1969" s="18" t="str">
        <f aca="true">IF(F1969="","",F1969-TODAY())</f>
        <v/>
      </c>
      <c r="J1969" s="19" t="str">
        <f aca="true">IF(F1969="","",IF(TODAY()&lt;D1969,"Başlamadı",IF(TODAY()&gt;F1969,"Bitti",IF(F1969-TODAY()&lt;=7,"Bitiyor","Aktif"))))</f>
        <v/>
      </c>
      <c r="K1969" s="19" t="str">
        <f aca="false">IF(OR(J1969="Aktif",J1969="Bitiyor"),F1969+ROW()/1000000,"")</f>
        <v/>
      </c>
    </row>
    <row r="1970" customFormat="false" ht="15" hidden="false" customHeight="false" outlineLevel="0" collapsed="false">
      <c r="A1970" s="12"/>
      <c r="B1970" s="12"/>
      <c r="C1970" s="13"/>
      <c r="D1970" s="14"/>
      <c r="E1970" s="15"/>
      <c r="F1970" s="16" t="str">
        <f aca="false">IF(OR(C1970="",D1970=""),"",EDATE(D1970,IFERROR(INDEX(Paketler!$B$5:$B$24,MATCH(C1970,Paketler!$A$5:$A$24,0)),0))-1)</f>
        <v/>
      </c>
      <c r="G1970" s="17" t="str">
        <f aca="false">IF(F1970="","",IFERROR(INDEX(Paketler!$C$5:$C$24,MATCH(C1970,Paketler!$A$5:$A$24,0)),0))</f>
        <v/>
      </c>
      <c r="H1970" s="17" t="str">
        <f aca="false">IF(F1970="","",G1970-E1970)</f>
        <v/>
      </c>
      <c r="I1970" s="18" t="str">
        <f aca="true">IF(F1970="","",F1970-TODAY())</f>
        <v/>
      </c>
      <c r="J1970" s="19" t="str">
        <f aca="true">IF(F1970="","",IF(TODAY()&lt;D1970,"Başlamadı",IF(TODAY()&gt;F1970,"Bitti",IF(F1970-TODAY()&lt;=7,"Bitiyor","Aktif"))))</f>
        <v/>
      </c>
      <c r="K1970" s="19" t="str">
        <f aca="false">IF(OR(J1970="Aktif",J1970="Bitiyor"),F1970+ROW()/1000000,"")</f>
        <v/>
      </c>
    </row>
    <row r="1971" customFormat="false" ht="15" hidden="false" customHeight="false" outlineLevel="0" collapsed="false">
      <c r="A1971" s="12"/>
      <c r="B1971" s="12"/>
      <c r="C1971" s="13"/>
      <c r="D1971" s="14"/>
      <c r="E1971" s="15"/>
      <c r="F1971" s="16" t="str">
        <f aca="false">IF(OR(C1971="",D1971=""),"",EDATE(D1971,IFERROR(INDEX(Paketler!$B$5:$B$24,MATCH(C1971,Paketler!$A$5:$A$24,0)),0))-1)</f>
        <v/>
      </c>
      <c r="G1971" s="17" t="str">
        <f aca="false">IF(F1971="","",IFERROR(INDEX(Paketler!$C$5:$C$24,MATCH(C1971,Paketler!$A$5:$A$24,0)),0))</f>
        <v/>
      </c>
      <c r="H1971" s="17" t="str">
        <f aca="false">IF(F1971="","",G1971-E1971)</f>
        <v/>
      </c>
      <c r="I1971" s="18" t="str">
        <f aca="true">IF(F1971="","",F1971-TODAY())</f>
        <v/>
      </c>
      <c r="J1971" s="19" t="str">
        <f aca="true">IF(F1971="","",IF(TODAY()&lt;D1971,"Başlamadı",IF(TODAY()&gt;F1971,"Bitti",IF(F1971-TODAY()&lt;=7,"Bitiyor","Aktif"))))</f>
        <v/>
      </c>
      <c r="K1971" s="19" t="str">
        <f aca="false">IF(OR(J1971="Aktif",J1971="Bitiyor"),F1971+ROW()/1000000,"")</f>
        <v/>
      </c>
    </row>
    <row r="1972" customFormat="false" ht="15" hidden="false" customHeight="false" outlineLevel="0" collapsed="false">
      <c r="A1972" s="12"/>
      <c r="B1972" s="12"/>
      <c r="C1972" s="13"/>
      <c r="D1972" s="14"/>
      <c r="E1972" s="15"/>
      <c r="F1972" s="16" t="str">
        <f aca="false">IF(OR(C1972="",D1972=""),"",EDATE(D1972,IFERROR(INDEX(Paketler!$B$5:$B$24,MATCH(C1972,Paketler!$A$5:$A$24,0)),0))-1)</f>
        <v/>
      </c>
      <c r="G1972" s="17" t="str">
        <f aca="false">IF(F1972="","",IFERROR(INDEX(Paketler!$C$5:$C$24,MATCH(C1972,Paketler!$A$5:$A$24,0)),0))</f>
        <v/>
      </c>
      <c r="H1972" s="17" t="str">
        <f aca="false">IF(F1972="","",G1972-E1972)</f>
        <v/>
      </c>
      <c r="I1972" s="18" t="str">
        <f aca="true">IF(F1972="","",F1972-TODAY())</f>
        <v/>
      </c>
      <c r="J1972" s="19" t="str">
        <f aca="true">IF(F1972="","",IF(TODAY()&lt;D1972,"Başlamadı",IF(TODAY()&gt;F1972,"Bitti",IF(F1972-TODAY()&lt;=7,"Bitiyor","Aktif"))))</f>
        <v/>
      </c>
      <c r="K1972" s="19" t="str">
        <f aca="false">IF(OR(J1972="Aktif",J1972="Bitiyor"),F1972+ROW()/1000000,"")</f>
        <v/>
      </c>
    </row>
    <row r="1973" customFormat="false" ht="15" hidden="false" customHeight="false" outlineLevel="0" collapsed="false">
      <c r="A1973" s="12"/>
      <c r="B1973" s="12"/>
      <c r="C1973" s="13"/>
      <c r="D1973" s="14"/>
      <c r="E1973" s="15"/>
      <c r="F1973" s="16" t="str">
        <f aca="false">IF(OR(C1973="",D1973=""),"",EDATE(D1973,IFERROR(INDEX(Paketler!$B$5:$B$24,MATCH(C1973,Paketler!$A$5:$A$24,0)),0))-1)</f>
        <v/>
      </c>
      <c r="G1973" s="17" t="str">
        <f aca="false">IF(F1973="","",IFERROR(INDEX(Paketler!$C$5:$C$24,MATCH(C1973,Paketler!$A$5:$A$24,0)),0))</f>
        <v/>
      </c>
      <c r="H1973" s="17" t="str">
        <f aca="false">IF(F1973="","",G1973-E1973)</f>
        <v/>
      </c>
      <c r="I1973" s="18" t="str">
        <f aca="true">IF(F1973="","",F1973-TODAY())</f>
        <v/>
      </c>
      <c r="J1973" s="19" t="str">
        <f aca="true">IF(F1973="","",IF(TODAY()&lt;D1973,"Başlamadı",IF(TODAY()&gt;F1973,"Bitti",IF(F1973-TODAY()&lt;=7,"Bitiyor","Aktif"))))</f>
        <v/>
      </c>
      <c r="K1973" s="19" t="str">
        <f aca="false">IF(OR(J1973="Aktif",J1973="Bitiyor"),F1973+ROW()/1000000,"")</f>
        <v/>
      </c>
    </row>
    <row r="1974" customFormat="false" ht="15" hidden="false" customHeight="false" outlineLevel="0" collapsed="false">
      <c r="A1974" s="12"/>
      <c r="B1974" s="12"/>
      <c r="C1974" s="13"/>
      <c r="D1974" s="14"/>
      <c r="E1974" s="15"/>
      <c r="F1974" s="16" t="str">
        <f aca="false">IF(OR(C1974="",D1974=""),"",EDATE(D1974,IFERROR(INDEX(Paketler!$B$5:$B$24,MATCH(C1974,Paketler!$A$5:$A$24,0)),0))-1)</f>
        <v/>
      </c>
      <c r="G1974" s="17" t="str">
        <f aca="false">IF(F1974="","",IFERROR(INDEX(Paketler!$C$5:$C$24,MATCH(C1974,Paketler!$A$5:$A$24,0)),0))</f>
        <v/>
      </c>
      <c r="H1974" s="17" t="str">
        <f aca="false">IF(F1974="","",G1974-E1974)</f>
        <v/>
      </c>
      <c r="I1974" s="18" t="str">
        <f aca="true">IF(F1974="","",F1974-TODAY())</f>
        <v/>
      </c>
      <c r="J1974" s="19" t="str">
        <f aca="true">IF(F1974="","",IF(TODAY()&lt;D1974,"Başlamadı",IF(TODAY()&gt;F1974,"Bitti",IF(F1974-TODAY()&lt;=7,"Bitiyor","Aktif"))))</f>
        <v/>
      </c>
      <c r="K1974" s="19" t="str">
        <f aca="false">IF(OR(J1974="Aktif",J1974="Bitiyor"),F1974+ROW()/1000000,"")</f>
        <v/>
      </c>
    </row>
    <row r="1975" customFormat="false" ht="15" hidden="false" customHeight="false" outlineLevel="0" collapsed="false">
      <c r="A1975" s="12"/>
      <c r="B1975" s="12"/>
      <c r="C1975" s="13"/>
      <c r="D1975" s="14"/>
      <c r="E1975" s="15"/>
      <c r="F1975" s="16" t="str">
        <f aca="false">IF(OR(C1975="",D1975=""),"",EDATE(D1975,IFERROR(INDEX(Paketler!$B$5:$B$24,MATCH(C1975,Paketler!$A$5:$A$24,0)),0))-1)</f>
        <v/>
      </c>
      <c r="G1975" s="17" t="str">
        <f aca="false">IF(F1975="","",IFERROR(INDEX(Paketler!$C$5:$C$24,MATCH(C1975,Paketler!$A$5:$A$24,0)),0))</f>
        <v/>
      </c>
      <c r="H1975" s="17" t="str">
        <f aca="false">IF(F1975="","",G1975-E1975)</f>
        <v/>
      </c>
      <c r="I1975" s="18" t="str">
        <f aca="true">IF(F1975="","",F1975-TODAY())</f>
        <v/>
      </c>
      <c r="J1975" s="19" t="str">
        <f aca="true">IF(F1975="","",IF(TODAY()&lt;D1975,"Başlamadı",IF(TODAY()&gt;F1975,"Bitti",IF(F1975-TODAY()&lt;=7,"Bitiyor","Aktif"))))</f>
        <v/>
      </c>
      <c r="K1975" s="19" t="str">
        <f aca="false">IF(OR(J1975="Aktif",J1975="Bitiyor"),F1975+ROW()/1000000,"")</f>
        <v/>
      </c>
    </row>
    <row r="1976" customFormat="false" ht="15" hidden="false" customHeight="false" outlineLevel="0" collapsed="false">
      <c r="A1976" s="12"/>
      <c r="B1976" s="12"/>
      <c r="C1976" s="13"/>
      <c r="D1976" s="14"/>
      <c r="E1976" s="15"/>
      <c r="F1976" s="16" t="str">
        <f aca="false">IF(OR(C1976="",D1976=""),"",EDATE(D1976,IFERROR(INDEX(Paketler!$B$5:$B$24,MATCH(C1976,Paketler!$A$5:$A$24,0)),0))-1)</f>
        <v/>
      </c>
      <c r="G1976" s="17" t="str">
        <f aca="false">IF(F1976="","",IFERROR(INDEX(Paketler!$C$5:$C$24,MATCH(C1976,Paketler!$A$5:$A$24,0)),0))</f>
        <v/>
      </c>
      <c r="H1976" s="17" t="str">
        <f aca="false">IF(F1976="","",G1976-E1976)</f>
        <v/>
      </c>
      <c r="I1976" s="18" t="str">
        <f aca="true">IF(F1976="","",F1976-TODAY())</f>
        <v/>
      </c>
      <c r="J1976" s="19" t="str">
        <f aca="true">IF(F1976="","",IF(TODAY()&lt;D1976,"Başlamadı",IF(TODAY()&gt;F1976,"Bitti",IF(F1976-TODAY()&lt;=7,"Bitiyor","Aktif"))))</f>
        <v/>
      </c>
      <c r="K1976" s="19" t="str">
        <f aca="false">IF(OR(J1976="Aktif",J1976="Bitiyor"),F1976+ROW()/1000000,"")</f>
        <v/>
      </c>
    </row>
    <row r="1977" customFormat="false" ht="15" hidden="false" customHeight="false" outlineLevel="0" collapsed="false">
      <c r="A1977" s="12"/>
      <c r="B1977" s="12"/>
      <c r="C1977" s="13"/>
      <c r="D1977" s="14"/>
      <c r="E1977" s="15"/>
      <c r="F1977" s="16" t="str">
        <f aca="false">IF(OR(C1977="",D1977=""),"",EDATE(D1977,IFERROR(INDEX(Paketler!$B$5:$B$24,MATCH(C1977,Paketler!$A$5:$A$24,0)),0))-1)</f>
        <v/>
      </c>
      <c r="G1977" s="17" t="str">
        <f aca="false">IF(F1977="","",IFERROR(INDEX(Paketler!$C$5:$C$24,MATCH(C1977,Paketler!$A$5:$A$24,0)),0))</f>
        <v/>
      </c>
      <c r="H1977" s="17" t="str">
        <f aca="false">IF(F1977="","",G1977-E1977)</f>
        <v/>
      </c>
      <c r="I1977" s="18" t="str">
        <f aca="true">IF(F1977="","",F1977-TODAY())</f>
        <v/>
      </c>
      <c r="J1977" s="19" t="str">
        <f aca="true">IF(F1977="","",IF(TODAY()&lt;D1977,"Başlamadı",IF(TODAY()&gt;F1977,"Bitti",IF(F1977-TODAY()&lt;=7,"Bitiyor","Aktif"))))</f>
        <v/>
      </c>
      <c r="K1977" s="19" t="str">
        <f aca="false">IF(OR(J1977="Aktif",J1977="Bitiyor"),F1977+ROW()/1000000,"")</f>
        <v/>
      </c>
    </row>
    <row r="1978" customFormat="false" ht="15" hidden="false" customHeight="false" outlineLevel="0" collapsed="false">
      <c r="A1978" s="12"/>
      <c r="B1978" s="12"/>
      <c r="C1978" s="13"/>
      <c r="D1978" s="14"/>
      <c r="E1978" s="15"/>
      <c r="F1978" s="16" t="str">
        <f aca="false">IF(OR(C1978="",D1978=""),"",EDATE(D1978,IFERROR(INDEX(Paketler!$B$5:$B$24,MATCH(C1978,Paketler!$A$5:$A$24,0)),0))-1)</f>
        <v/>
      </c>
      <c r="G1978" s="17" t="str">
        <f aca="false">IF(F1978="","",IFERROR(INDEX(Paketler!$C$5:$C$24,MATCH(C1978,Paketler!$A$5:$A$24,0)),0))</f>
        <v/>
      </c>
      <c r="H1978" s="17" t="str">
        <f aca="false">IF(F1978="","",G1978-E1978)</f>
        <v/>
      </c>
      <c r="I1978" s="18" t="str">
        <f aca="true">IF(F1978="","",F1978-TODAY())</f>
        <v/>
      </c>
      <c r="J1978" s="19" t="str">
        <f aca="true">IF(F1978="","",IF(TODAY()&lt;D1978,"Başlamadı",IF(TODAY()&gt;F1978,"Bitti",IF(F1978-TODAY()&lt;=7,"Bitiyor","Aktif"))))</f>
        <v/>
      </c>
      <c r="K1978" s="19" t="str">
        <f aca="false">IF(OR(J1978="Aktif",J1978="Bitiyor"),F1978+ROW()/1000000,"")</f>
        <v/>
      </c>
    </row>
    <row r="1979" customFormat="false" ht="15" hidden="false" customHeight="false" outlineLevel="0" collapsed="false">
      <c r="A1979" s="12"/>
      <c r="B1979" s="12"/>
      <c r="C1979" s="13"/>
      <c r="D1979" s="14"/>
      <c r="E1979" s="15"/>
      <c r="F1979" s="16" t="str">
        <f aca="false">IF(OR(C1979="",D1979=""),"",EDATE(D1979,IFERROR(INDEX(Paketler!$B$5:$B$24,MATCH(C1979,Paketler!$A$5:$A$24,0)),0))-1)</f>
        <v/>
      </c>
      <c r="G1979" s="17" t="str">
        <f aca="false">IF(F1979="","",IFERROR(INDEX(Paketler!$C$5:$C$24,MATCH(C1979,Paketler!$A$5:$A$24,0)),0))</f>
        <v/>
      </c>
      <c r="H1979" s="17" t="str">
        <f aca="false">IF(F1979="","",G1979-E1979)</f>
        <v/>
      </c>
      <c r="I1979" s="18" t="str">
        <f aca="true">IF(F1979="","",F1979-TODAY())</f>
        <v/>
      </c>
      <c r="J1979" s="19" t="str">
        <f aca="true">IF(F1979="","",IF(TODAY()&lt;D1979,"Başlamadı",IF(TODAY()&gt;F1979,"Bitti",IF(F1979-TODAY()&lt;=7,"Bitiyor","Aktif"))))</f>
        <v/>
      </c>
      <c r="K1979" s="19" t="str">
        <f aca="false">IF(OR(J1979="Aktif",J1979="Bitiyor"),F1979+ROW()/1000000,"")</f>
        <v/>
      </c>
    </row>
    <row r="1980" customFormat="false" ht="15" hidden="false" customHeight="false" outlineLevel="0" collapsed="false">
      <c r="A1980" s="12"/>
      <c r="B1980" s="12"/>
      <c r="C1980" s="13"/>
      <c r="D1980" s="14"/>
      <c r="E1980" s="15"/>
      <c r="F1980" s="16" t="str">
        <f aca="false">IF(OR(C1980="",D1980=""),"",EDATE(D1980,IFERROR(INDEX(Paketler!$B$5:$B$24,MATCH(C1980,Paketler!$A$5:$A$24,0)),0))-1)</f>
        <v/>
      </c>
      <c r="G1980" s="17" t="str">
        <f aca="false">IF(F1980="","",IFERROR(INDEX(Paketler!$C$5:$C$24,MATCH(C1980,Paketler!$A$5:$A$24,0)),0))</f>
        <v/>
      </c>
      <c r="H1980" s="17" t="str">
        <f aca="false">IF(F1980="","",G1980-E1980)</f>
        <v/>
      </c>
      <c r="I1980" s="18" t="str">
        <f aca="true">IF(F1980="","",F1980-TODAY())</f>
        <v/>
      </c>
      <c r="J1980" s="19" t="str">
        <f aca="true">IF(F1980="","",IF(TODAY()&lt;D1980,"Başlamadı",IF(TODAY()&gt;F1980,"Bitti",IF(F1980-TODAY()&lt;=7,"Bitiyor","Aktif"))))</f>
        <v/>
      </c>
      <c r="K1980" s="19" t="str">
        <f aca="false">IF(OR(J1980="Aktif",J1980="Bitiyor"),F1980+ROW()/1000000,"")</f>
        <v/>
      </c>
    </row>
    <row r="1981" customFormat="false" ht="15" hidden="false" customHeight="false" outlineLevel="0" collapsed="false">
      <c r="A1981" s="12"/>
      <c r="B1981" s="12"/>
      <c r="C1981" s="13"/>
      <c r="D1981" s="14"/>
      <c r="E1981" s="15"/>
      <c r="F1981" s="16" t="str">
        <f aca="false">IF(OR(C1981="",D1981=""),"",EDATE(D1981,IFERROR(INDEX(Paketler!$B$5:$B$24,MATCH(C1981,Paketler!$A$5:$A$24,0)),0))-1)</f>
        <v/>
      </c>
      <c r="G1981" s="17" t="str">
        <f aca="false">IF(F1981="","",IFERROR(INDEX(Paketler!$C$5:$C$24,MATCH(C1981,Paketler!$A$5:$A$24,0)),0))</f>
        <v/>
      </c>
      <c r="H1981" s="17" t="str">
        <f aca="false">IF(F1981="","",G1981-E1981)</f>
        <v/>
      </c>
      <c r="I1981" s="18" t="str">
        <f aca="true">IF(F1981="","",F1981-TODAY())</f>
        <v/>
      </c>
      <c r="J1981" s="19" t="str">
        <f aca="true">IF(F1981="","",IF(TODAY()&lt;D1981,"Başlamadı",IF(TODAY()&gt;F1981,"Bitti",IF(F1981-TODAY()&lt;=7,"Bitiyor","Aktif"))))</f>
        <v/>
      </c>
      <c r="K1981" s="19" t="str">
        <f aca="false">IF(OR(J1981="Aktif",J1981="Bitiyor"),F1981+ROW()/1000000,"")</f>
        <v/>
      </c>
    </row>
    <row r="1982" customFormat="false" ht="15" hidden="false" customHeight="false" outlineLevel="0" collapsed="false">
      <c r="A1982" s="12"/>
      <c r="B1982" s="12"/>
      <c r="C1982" s="13"/>
      <c r="D1982" s="14"/>
      <c r="E1982" s="15"/>
      <c r="F1982" s="16" t="str">
        <f aca="false">IF(OR(C1982="",D1982=""),"",EDATE(D1982,IFERROR(INDEX(Paketler!$B$5:$B$24,MATCH(C1982,Paketler!$A$5:$A$24,0)),0))-1)</f>
        <v/>
      </c>
      <c r="G1982" s="17" t="str">
        <f aca="false">IF(F1982="","",IFERROR(INDEX(Paketler!$C$5:$C$24,MATCH(C1982,Paketler!$A$5:$A$24,0)),0))</f>
        <v/>
      </c>
      <c r="H1982" s="17" t="str">
        <f aca="false">IF(F1982="","",G1982-E1982)</f>
        <v/>
      </c>
      <c r="I1982" s="18" t="str">
        <f aca="true">IF(F1982="","",F1982-TODAY())</f>
        <v/>
      </c>
      <c r="J1982" s="19" t="str">
        <f aca="true">IF(F1982="","",IF(TODAY()&lt;D1982,"Başlamadı",IF(TODAY()&gt;F1982,"Bitti",IF(F1982-TODAY()&lt;=7,"Bitiyor","Aktif"))))</f>
        <v/>
      </c>
      <c r="K1982" s="19" t="str">
        <f aca="false">IF(OR(J1982="Aktif",J1982="Bitiyor"),F1982+ROW()/1000000,"")</f>
        <v/>
      </c>
    </row>
    <row r="1983" customFormat="false" ht="15" hidden="false" customHeight="false" outlineLevel="0" collapsed="false">
      <c r="A1983" s="12"/>
      <c r="B1983" s="12"/>
      <c r="C1983" s="13"/>
      <c r="D1983" s="14"/>
      <c r="E1983" s="15"/>
      <c r="F1983" s="16" t="str">
        <f aca="false">IF(OR(C1983="",D1983=""),"",EDATE(D1983,IFERROR(INDEX(Paketler!$B$5:$B$24,MATCH(C1983,Paketler!$A$5:$A$24,0)),0))-1)</f>
        <v/>
      </c>
      <c r="G1983" s="17" t="str">
        <f aca="false">IF(F1983="","",IFERROR(INDEX(Paketler!$C$5:$C$24,MATCH(C1983,Paketler!$A$5:$A$24,0)),0))</f>
        <v/>
      </c>
      <c r="H1983" s="17" t="str">
        <f aca="false">IF(F1983="","",G1983-E1983)</f>
        <v/>
      </c>
      <c r="I1983" s="18" t="str">
        <f aca="true">IF(F1983="","",F1983-TODAY())</f>
        <v/>
      </c>
      <c r="J1983" s="19" t="str">
        <f aca="true">IF(F1983="","",IF(TODAY()&lt;D1983,"Başlamadı",IF(TODAY()&gt;F1983,"Bitti",IF(F1983-TODAY()&lt;=7,"Bitiyor","Aktif"))))</f>
        <v/>
      </c>
      <c r="K1983" s="19" t="str">
        <f aca="false">IF(OR(J1983="Aktif",J1983="Bitiyor"),F1983+ROW()/1000000,"")</f>
        <v/>
      </c>
    </row>
    <row r="1984" customFormat="false" ht="15" hidden="false" customHeight="false" outlineLevel="0" collapsed="false">
      <c r="A1984" s="12"/>
      <c r="B1984" s="12"/>
      <c r="C1984" s="13"/>
      <c r="D1984" s="14"/>
      <c r="E1984" s="15"/>
      <c r="F1984" s="16" t="str">
        <f aca="false">IF(OR(C1984="",D1984=""),"",EDATE(D1984,IFERROR(INDEX(Paketler!$B$5:$B$24,MATCH(C1984,Paketler!$A$5:$A$24,0)),0))-1)</f>
        <v/>
      </c>
      <c r="G1984" s="17" t="str">
        <f aca="false">IF(F1984="","",IFERROR(INDEX(Paketler!$C$5:$C$24,MATCH(C1984,Paketler!$A$5:$A$24,0)),0))</f>
        <v/>
      </c>
      <c r="H1984" s="17" t="str">
        <f aca="false">IF(F1984="","",G1984-E1984)</f>
        <v/>
      </c>
      <c r="I1984" s="18" t="str">
        <f aca="true">IF(F1984="","",F1984-TODAY())</f>
        <v/>
      </c>
      <c r="J1984" s="19" t="str">
        <f aca="true">IF(F1984="","",IF(TODAY()&lt;D1984,"Başlamadı",IF(TODAY()&gt;F1984,"Bitti",IF(F1984-TODAY()&lt;=7,"Bitiyor","Aktif"))))</f>
        <v/>
      </c>
      <c r="K1984" s="19" t="str">
        <f aca="false">IF(OR(J1984="Aktif",J1984="Bitiyor"),F1984+ROW()/1000000,"")</f>
        <v/>
      </c>
    </row>
    <row r="1985" customFormat="false" ht="15" hidden="false" customHeight="false" outlineLevel="0" collapsed="false">
      <c r="A1985" s="12"/>
      <c r="B1985" s="12"/>
      <c r="C1985" s="13"/>
      <c r="D1985" s="14"/>
      <c r="E1985" s="15"/>
      <c r="F1985" s="16" t="str">
        <f aca="false">IF(OR(C1985="",D1985=""),"",EDATE(D1985,IFERROR(INDEX(Paketler!$B$5:$B$24,MATCH(C1985,Paketler!$A$5:$A$24,0)),0))-1)</f>
        <v/>
      </c>
      <c r="G1985" s="17" t="str">
        <f aca="false">IF(F1985="","",IFERROR(INDEX(Paketler!$C$5:$C$24,MATCH(C1985,Paketler!$A$5:$A$24,0)),0))</f>
        <v/>
      </c>
      <c r="H1985" s="17" t="str">
        <f aca="false">IF(F1985="","",G1985-E1985)</f>
        <v/>
      </c>
      <c r="I1985" s="18" t="str">
        <f aca="true">IF(F1985="","",F1985-TODAY())</f>
        <v/>
      </c>
      <c r="J1985" s="19" t="str">
        <f aca="true">IF(F1985="","",IF(TODAY()&lt;D1985,"Başlamadı",IF(TODAY()&gt;F1985,"Bitti",IF(F1985-TODAY()&lt;=7,"Bitiyor","Aktif"))))</f>
        <v/>
      </c>
      <c r="K1985" s="19" t="str">
        <f aca="false">IF(OR(J1985="Aktif",J1985="Bitiyor"),F1985+ROW()/1000000,"")</f>
        <v/>
      </c>
    </row>
    <row r="1986" customFormat="false" ht="15" hidden="false" customHeight="false" outlineLevel="0" collapsed="false">
      <c r="A1986" s="12"/>
      <c r="B1986" s="12"/>
      <c r="C1986" s="13"/>
      <c r="D1986" s="14"/>
      <c r="E1986" s="15"/>
      <c r="F1986" s="16" t="str">
        <f aca="false">IF(OR(C1986="",D1986=""),"",EDATE(D1986,IFERROR(INDEX(Paketler!$B$5:$B$24,MATCH(C1986,Paketler!$A$5:$A$24,0)),0))-1)</f>
        <v/>
      </c>
      <c r="G1986" s="17" t="str">
        <f aca="false">IF(F1986="","",IFERROR(INDEX(Paketler!$C$5:$C$24,MATCH(C1986,Paketler!$A$5:$A$24,0)),0))</f>
        <v/>
      </c>
      <c r="H1986" s="17" t="str">
        <f aca="false">IF(F1986="","",G1986-E1986)</f>
        <v/>
      </c>
      <c r="I1986" s="18" t="str">
        <f aca="true">IF(F1986="","",F1986-TODAY())</f>
        <v/>
      </c>
      <c r="J1986" s="19" t="str">
        <f aca="true">IF(F1986="","",IF(TODAY()&lt;D1986,"Başlamadı",IF(TODAY()&gt;F1986,"Bitti",IF(F1986-TODAY()&lt;=7,"Bitiyor","Aktif"))))</f>
        <v/>
      </c>
      <c r="K1986" s="19" t="str">
        <f aca="false">IF(OR(J1986="Aktif",J1986="Bitiyor"),F1986+ROW()/1000000,"")</f>
        <v/>
      </c>
    </row>
    <row r="1987" customFormat="false" ht="15" hidden="false" customHeight="false" outlineLevel="0" collapsed="false">
      <c r="A1987" s="12"/>
      <c r="B1987" s="12"/>
      <c r="C1987" s="13"/>
      <c r="D1987" s="14"/>
      <c r="E1987" s="15"/>
      <c r="F1987" s="16" t="str">
        <f aca="false">IF(OR(C1987="",D1987=""),"",EDATE(D1987,IFERROR(INDEX(Paketler!$B$5:$B$24,MATCH(C1987,Paketler!$A$5:$A$24,0)),0))-1)</f>
        <v/>
      </c>
      <c r="G1987" s="17" t="str">
        <f aca="false">IF(F1987="","",IFERROR(INDEX(Paketler!$C$5:$C$24,MATCH(C1987,Paketler!$A$5:$A$24,0)),0))</f>
        <v/>
      </c>
      <c r="H1987" s="17" t="str">
        <f aca="false">IF(F1987="","",G1987-E1987)</f>
        <v/>
      </c>
      <c r="I1987" s="18" t="str">
        <f aca="true">IF(F1987="","",F1987-TODAY())</f>
        <v/>
      </c>
      <c r="J1987" s="19" t="str">
        <f aca="true">IF(F1987="","",IF(TODAY()&lt;D1987,"Başlamadı",IF(TODAY()&gt;F1987,"Bitti",IF(F1987-TODAY()&lt;=7,"Bitiyor","Aktif"))))</f>
        <v/>
      </c>
      <c r="K1987" s="19" t="str">
        <f aca="false">IF(OR(J1987="Aktif",J1987="Bitiyor"),F1987+ROW()/1000000,"")</f>
        <v/>
      </c>
    </row>
    <row r="1988" customFormat="false" ht="15" hidden="false" customHeight="false" outlineLevel="0" collapsed="false">
      <c r="A1988" s="12"/>
      <c r="B1988" s="12"/>
      <c r="C1988" s="13"/>
      <c r="D1988" s="14"/>
      <c r="E1988" s="15"/>
      <c r="F1988" s="16" t="str">
        <f aca="false">IF(OR(C1988="",D1988=""),"",EDATE(D1988,IFERROR(INDEX(Paketler!$B$5:$B$24,MATCH(C1988,Paketler!$A$5:$A$24,0)),0))-1)</f>
        <v/>
      </c>
      <c r="G1988" s="17" t="str">
        <f aca="false">IF(F1988="","",IFERROR(INDEX(Paketler!$C$5:$C$24,MATCH(C1988,Paketler!$A$5:$A$24,0)),0))</f>
        <v/>
      </c>
      <c r="H1988" s="17" t="str">
        <f aca="false">IF(F1988="","",G1988-E1988)</f>
        <v/>
      </c>
      <c r="I1988" s="18" t="str">
        <f aca="true">IF(F1988="","",F1988-TODAY())</f>
        <v/>
      </c>
      <c r="J1988" s="19" t="str">
        <f aca="true">IF(F1988="","",IF(TODAY()&lt;D1988,"Başlamadı",IF(TODAY()&gt;F1988,"Bitti",IF(F1988-TODAY()&lt;=7,"Bitiyor","Aktif"))))</f>
        <v/>
      </c>
      <c r="K1988" s="19" t="str">
        <f aca="false">IF(OR(J1988="Aktif",J1988="Bitiyor"),F1988+ROW()/1000000,"")</f>
        <v/>
      </c>
    </row>
    <row r="1989" customFormat="false" ht="15" hidden="false" customHeight="false" outlineLevel="0" collapsed="false">
      <c r="A1989" s="12"/>
      <c r="B1989" s="12"/>
      <c r="C1989" s="13"/>
      <c r="D1989" s="14"/>
      <c r="E1989" s="15"/>
      <c r="F1989" s="16" t="str">
        <f aca="false">IF(OR(C1989="",D1989=""),"",EDATE(D1989,IFERROR(INDEX(Paketler!$B$5:$B$24,MATCH(C1989,Paketler!$A$5:$A$24,0)),0))-1)</f>
        <v/>
      </c>
      <c r="G1989" s="17" t="str">
        <f aca="false">IF(F1989="","",IFERROR(INDEX(Paketler!$C$5:$C$24,MATCH(C1989,Paketler!$A$5:$A$24,0)),0))</f>
        <v/>
      </c>
      <c r="H1989" s="17" t="str">
        <f aca="false">IF(F1989="","",G1989-E1989)</f>
        <v/>
      </c>
      <c r="I1989" s="18" t="str">
        <f aca="true">IF(F1989="","",F1989-TODAY())</f>
        <v/>
      </c>
      <c r="J1989" s="19" t="str">
        <f aca="true">IF(F1989="","",IF(TODAY()&lt;D1989,"Başlamadı",IF(TODAY()&gt;F1989,"Bitti",IF(F1989-TODAY()&lt;=7,"Bitiyor","Aktif"))))</f>
        <v/>
      </c>
      <c r="K1989" s="19" t="str">
        <f aca="false">IF(OR(J1989="Aktif",J1989="Bitiyor"),F1989+ROW()/1000000,"")</f>
        <v/>
      </c>
    </row>
    <row r="1990" customFormat="false" ht="15" hidden="false" customHeight="false" outlineLevel="0" collapsed="false">
      <c r="A1990" s="12"/>
      <c r="B1990" s="12"/>
      <c r="C1990" s="13"/>
      <c r="D1990" s="14"/>
      <c r="E1990" s="15"/>
      <c r="F1990" s="16" t="str">
        <f aca="false">IF(OR(C1990="",D1990=""),"",EDATE(D1990,IFERROR(INDEX(Paketler!$B$5:$B$24,MATCH(C1990,Paketler!$A$5:$A$24,0)),0))-1)</f>
        <v/>
      </c>
      <c r="G1990" s="17" t="str">
        <f aca="false">IF(F1990="","",IFERROR(INDEX(Paketler!$C$5:$C$24,MATCH(C1990,Paketler!$A$5:$A$24,0)),0))</f>
        <v/>
      </c>
      <c r="H1990" s="17" t="str">
        <f aca="false">IF(F1990="","",G1990-E1990)</f>
        <v/>
      </c>
      <c r="I1990" s="18" t="str">
        <f aca="true">IF(F1990="","",F1990-TODAY())</f>
        <v/>
      </c>
      <c r="J1990" s="19" t="str">
        <f aca="true">IF(F1990="","",IF(TODAY()&lt;D1990,"Başlamadı",IF(TODAY()&gt;F1990,"Bitti",IF(F1990-TODAY()&lt;=7,"Bitiyor","Aktif"))))</f>
        <v/>
      </c>
      <c r="K1990" s="19" t="str">
        <f aca="false">IF(OR(J1990="Aktif",J1990="Bitiyor"),F1990+ROW()/1000000,"")</f>
        <v/>
      </c>
    </row>
    <row r="1991" customFormat="false" ht="15" hidden="false" customHeight="false" outlineLevel="0" collapsed="false">
      <c r="A1991" s="12"/>
      <c r="B1991" s="12"/>
      <c r="C1991" s="13"/>
      <c r="D1991" s="14"/>
      <c r="E1991" s="15"/>
      <c r="F1991" s="16" t="str">
        <f aca="false">IF(OR(C1991="",D1991=""),"",EDATE(D1991,IFERROR(INDEX(Paketler!$B$5:$B$24,MATCH(C1991,Paketler!$A$5:$A$24,0)),0))-1)</f>
        <v/>
      </c>
      <c r="G1991" s="17" t="str">
        <f aca="false">IF(F1991="","",IFERROR(INDEX(Paketler!$C$5:$C$24,MATCH(C1991,Paketler!$A$5:$A$24,0)),0))</f>
        <v/>
      </c>
      <c r="H1991" s="17" t="str">
        <f aca="false">IF(F1991="","",G1991-E1991)</f>
        <v/>
      </c>
      <c r="I1991" s="18" t="str">
        <f aca="true">IF(F1991="","",F1991-TODAY())</f>
        <v/>
      </c>
      <c r="J1991" s="19" t="str">
        <f aca="true">IF(F1991="","",IF(TODAY()&lt;D1991,"Başlamadı",IF(TODAY()&gt;F1991,"Bitti",IF(F1991-TODAY()&lt;=7,"Bitiyor","Aktif"))))</f>
        <v/>
      </c>
      <c r="K1991" s="19" t="str">
        <f aca="false">IF(OR(J1991="Aktif",J1991="Bitiyor"),F1991+ROW()/1000000,"")</f>
        <v/>
      </c>
    </row>
    <row r="1992" customFormat="false" ht="15" hidden="false" customHeight="false" outlineLevel="0" collapsed="false">
      <c r="A1992" s="12"/>
      <c r="B1992" s="12"/>
      <c r="C1992" s="13"/>
      <c r="D1992" s="14"/>
      <c r="E1992" s="15"/>
      <c r="F1992" s="16" t="str">
        <f aca="false">IF(OR(C1992="",D1992=""),"",EDATE(D1992,IFERROR(INDEX(Paketler!$B$5:$B$24,MATCH(C1992,Paketler!$A$5:$A$24,0)),0))-1)</f>
        <v/>
      </c>
      <c r="G1992" s="17" t="str">
        <f aca="false">IF(F1992="","",IFERROR(INDEX(Paketler!$C$5:$C$24,MATCH(C1992,Paketler!$A$5:$A$24,0)),0))</f>
        <v/>
      </c>
      <c r="H1992" s="17" t="str">
        <f aca="false">IF(F1992="","",G1992-E1992)</f>
        <v/>
      </c>
      <c r="I1992" s="18" t="str">
        <f aca="true">IF(F1992="","",F1992-TODAY())</f>
        <v/>
      </c>
      <c r="J1992" s="19" t="str">
        <f aca="true">IF(F1992="","",IF(TODAY()&lt;D1992,"Başlamadı",IF(TODAY()&gt;F1992,"Bitti",IF(F1992-TODAY()&lt;=7,"Bitiyor","Aktif"))))</f>
        <v/>
      </c>
      <c r="K1992" s="19" t="str">
        <f aca="false">IF(OR(J1992="Aktif",J1992="Bitiyor"),F1992+ROW()/1000000,"")</f>
        <v/>
      </c>
    </row>
    <row r="1993" customFormat="false" ht="15" hidden="false" customHeight="false" outlineLevel="0" collapsed="false">
      <c r="A1993" s="12"/>
      <c r="B1993" s="12"/>
      <c r="C1993" s="13"/>
      <c r="D1993" s="14"/>
      <c r="E1993" s="15"/>
      <c r="F1993" s="16" t="str">
        <f aca="false">IF(OR(C1993="",D1993=""),"",EDATE(D1993,IFERROR(INDEX(Paketler!$B$5:$B$24,MATCH(C1993,Paketler!$A$5:$A$24,0)),0))-1)</f>
        <v/>
      </c>
      <c r="G1993" s="17" t="str">
        <f aca="false">IF(F1993="","",IFERROR(INDEX(Paketler!$C$5:$C$24,MATCH(C1993,Paketler!$A$5:$A$24,0)),0))</f>
        <v/>
      </c>
      <c r="H1993" s="17" t="str">
        <f aca="false">IF(F1993="","",G1993-E1993)</f>
        <v/>
      </c>
      <c r="I1993" s="18" t="str">
        <f aca="true">IF(F1993="","",F1993-TODAY())</f>
        <v/>
      </c>
      <c r="J1993" s="19" t="str">
        <f aca="true">IF(F1993="","",IF(TODAY()&lt;D1993,"Başlamadı",IF(TODAY()&gt;F1993,"Bitti",IF(F1993-TODAY()&lt;=7,"Bitiyor","Aktif"))))</f>
        <v/>
      </c>
      <c r="K1993" s="19" t="str">
        <f aca="false">IF(OR(J1993="Aktif",J1993="Bitiyor"),F1993+ROW()/1000000,"")</f>
        <v/>
      </c>
    </row>
    <row r="1994" customFormat="false" ht="15" hidden="false" customHeight="false" outlineLevel="0" collapsed="false">
      <c r="A1994" s="12"/>
      <c r="B1994" s="12"/>
      <c r="C1994" s="13"/>
      <c r="D1994" s="14"/>
      <c r="E1994" s="15"/>
      <c r="F1994" s="16" t="str">
        <f aca="false">IF(OR(C1994="",D1994=""),"",EDATE(D1994,IFERROR(INDEX(Paketler!$B$5:$B$24,MATCH(C1994,Paketler!$A$5:$A$24,0)),0))-1)</f>
        <v/>
      </c>
      <c r="G1994" s="17" t="str">
        <f aca="false">IF(F1994="","",IFERROR(INDEX(Paketler!$C$5:$C$24,MATCH(C1994,Paketler!$A$5:$A$24,0)),0))</f>
        <v/>
      </c>
      <c r="H1994" s="17" t="str">
        <f aca="false">IF(F1994="","",G1994-E1994)</f>
        <v/>
      </c>
      <c r="I1994" s="18" t="str">
        <f aca="true">IF(F1994="","",F1994-TODAY())</f>
        <v/>
      </c>
      <c r="J1994" s="19" t="str">
        <f aca="true">IF(F1994="","",IF(TODAY()&lt;D1994,"Başlamadı",IF(TODAY()&gt;F1994,"Bitti",IF(F1994-TODAY()&lt;=7,"Bitiyor","Aktif"))))</f>
        <v/>
      </c>
      <c r="K1994" s="19" t="str">
        <f aca="false">IF(OR(J1994="Aktif",J1994="Bitiyor"),F1994+ROW()/1000000,"")</f>
        <v/>
      </c>
    </row>
    <row r="1995" customFormat="false" ht="15" hidden="false" customHeight="false" outlineLevel="0" collapsed="false">
      <c r="A1995" s="12"/>
      <c r="B1995" s="12"/>
      <c r="C1995" s="13"/>
      <c r="D1995" s="14"/>
      <c r="E1995" s="15"/>
      <c r="F1995" s="16" t="str">
        <f aca="false">IF(OR(C1995="",D1995=""),"",EDATE(D1995,IFERROR(INDEX(Paketler!$B$5:$B$24,MATCH(C1995,Paketler!$A$5:$A$24,0)),0))-1)</f>
        <v/>
      </c>
      <c r="G1995" s="17" t="str">
        <f aca="false">IF(F1995="","",IFERROR(INDEX(Paketler!$C$5:$C$24,MATCH(C1995,Paketler!$A$5:$A$24,0)),0))</f>
        <v/>
      </c>
      <c r="H1995" s="17" t="str">
        <f aca="false">IF(F1995="","",G1995-E1995)</f>
        <v/>
      </c>
      <c r="I1995" s="18" t="str">
        <f aca="true">IF(F1995="","",F1995-TODAY())</f>
        <v/>
      </c>
      <c r="J1995" s="19" t="str">
        <f aca="true">IF(F1995="","",IF(TODAY()&lt;D1995,"Başlamadı",IF(TODAY()&gt;F1995,"Bitti",IF(F1995-TODAY()&lt;=7,"Bitiyor","Aktif"))))</f>
        <v/>
      </c>
      <c r="K1995" s="19" t="str">
        <f aca="false">IF(OR(J1995="Aktif",J1995="Bitiyor"),F1995+ROW()/1000000,"")</f>
        <v/>
      </c>
    </row>
    <row r="1996" customFormat="false" ht="15" hidden="false" customHeight="false" outlineLevel="0" collapsed="false">
      <c r="A1996" s="12"/>
      <c r="B1996" s="12"/>
      <c r="C1996" s="13"/>
      <c r="D1996" s="14"/>
      <c r="E1996" s="15"/>
      <c r="F1996" s="16" t="str">
        <f aca="false">IF(OR(C1996="",D1996=""),"",EDATE(D1996,IFERROR(INDEX(Paketler!$B$5:$B$24,MATCH(C1996,Paketler!$A$5:$A$24,0)),0))-1)</f>
        <v/>
      </c>
      <c r="G1996" s="17" t="str">
        <f aca="false">IF(F1996="","",IFERROR(INDEX(Paketler!$C$5:$C$24,MATCH(C1996,Paketler!$A$5:$A$24,0)),0))</f>
        <v/>
      </c>
      <c r="H1996" s="17" t="str">
        <f aca="false">IF(F1996="","",G1996-E1996)</f>
        <v/>
      </c>
      <c r="I1996" s="18" t="str">
        <f aca="true">IF(F1996="","",F1996-TODAY())</f>
        <v/>
      </c>
      <c r="J1996" s="19" t="str">
        <f aca="true">IF(F1996="","",IF(TODAY()&lt;D1996,"Başlamadı",IF(TODAY()&gt;F1996,"Bitti",IF(F1996-TODAY()&lt;=7,"Bitiyor","Aktif"))))</f>
        <v/>
      </c>
      <c r="K1996" s="19" t="str">
        <f aca="false">IF(OR(J1996="Aktif",J1996="Bitiyor"),F1996+ROW()/1000000,"")</f>
        <v/>
      </c>
    </row>
    <row r="1997" customFormat="false" ht="15" hidden="false" customHeight="false" outlineLevel="0" collapsed="false">
      <c r="A1997" s="12"/>
      <c r="B1997" s="12"/>
      <c r="C1997" s="13"/>
      <c r="D1997" s="14"/>
      <c r="E1997" s="15"/>
      <c r="F1997" s="16" t="str">
        <f aca="false">IF(OR(C1997="",D1997=""),"",EDATE(D1997,IFERROR(INDEX(Paketler!$B$5:$B$24,MATCH(C1997,Paketler!$A$5:$A$24,0)),0))-1)</f>
        <v/>
      </c>
      <c r="G1997" s="17" t="str">
        <f aca="false">IF(F1997="","",IFERROR(INDEX(Paketler!$C$5:$C$24,MATCH(C1997,Paketler!$A$5:$A$24,0)),0))</f>
        <v/>
      </c>
      <c r="H1997" s="17" t="str">
        <f aca="false">IF(F1997="","",G1997-E1997)</f>
        <v/>
      </c>
      <c r="I1997" s="18" t="str">
        <f aca="true">IF(F1997="","",F1997-TODAY())</f>
        <v/>
      </c>
      <c r="J1997" s="19" t="str">
        <f aca="true">IF(F1997="","",IF(TODAY()&lt;D1997,"Başlamadı",IF(TODAY()&gt;F1997,"Bitti",IF(F1997-TODAY()&lt;=7,"Bitiyor","Aktif"))))</f>
        <v/>
      </c>
      <c r="K1997" s="19" t="str">
        <f aca="false">IF(OR(J1997="Aktif",J1997="Bitiyor"),F1997+ROW()/1000000,"")</f>
        <v/>
      </c>
    </row>
    <row r="1998" customFormat="false" ht="15" hidden="false" customHeight="false" outlineLevel="0" collapsed="false">
      <c r="A1998" s="12"/>
      <c r="B1998" s="12"/>
      <c r="C1998" s="13"/>
      <c r="D1998" s="14"/>
      <c r="E1998" s="15"/>
      <c r="F1998" s="16" t="str">
        <f aca="false">IF(OR(C1998="",D1998=""),"",EDATE(D1998,IFERROR(INDEX(Paketler!$B$5:$B$24,MATCH(C1998,Paketler!$A$5:$A$24,0)),0))-1)</f>
        <v/>
      </c>
      <c r="G1998" s="17" t="str">
        <f aca="false">IF(F1998="","",IFERROR(INDEX(Paketler!$C$5:$C$24,MATCH(C1998,Paketler!$A$5:$A$24,0)),0))</f>
        <v/>
      </c>
      <c r="H1998" s="17" t="str">
        <f aca="false">IF(F1998="","",G1998-E1998)</f>
        <v/>
      </c>
      <c r="I1998" s="18" t="str">
        <f aca="true">IF(F1998="","",F1998-TODAY())</f>
        <v/>
      </c>
      <c r="J1998" s="19" t="str">
        <f aca="true">IF(F1998="","",IF(TODAY()&lt;D1998,"Başlamadı",IF(TODAY()&gt;F1998,"Bitti",IF(F1998-TODAY()&lt;=7,"Bitiyor","Aktif"))))</f>
        <v/>
      </c>
      <c r="K1998" s="19" t="str">
        <f aca="false">IF(OR(J1998="Aktif",J1998="Bitiyor"),F1998+ROW()/1000000,"")</f>
        <v/>
      </c>
    </row>
    <row r="1999" customFormat="false" ht="15" hidden="false" customHeight="false" outlineLevel="0" collapsed="false">
      <c r="A1999" s="12"/>
      <c r="B1999" s="12"/>
      <c r="C1999" s="13"/>
      <c r="D1999" s="14"/>
      <c r="E1999" s="15"/>
      <c r="F1999" s="16" t="str">
        <f aca="false">IF(OR(C1999="",D1999=""),"",EDATE(D1999,IFERROR(INDEX(Paketler!$B$5:$B$24,MATCH(C1999,Paketler!$A$5:$A$24,0)),0))-1)</f>
        <v/>
      </c>
      <c r="G1999" s="17" t="str">
        <f aca="false">IF(F1999="","",IFERROR(INDEX(Paketler!$C$5:$C$24,MATCH(C1999,Paketler!$A$5:$A$24,0)),0))</f>
        <v/>
      </c>
      <c r="H1999" s="17" t="str">
        <f aca="false">IF(F1999="","",G1999-E1999)</f>
        <v/>
      </c>
      <c r="I1999" s="18" t="str">
        <f aca="true">IF(F1999="","",F1999-TODAY())</f>
        <v/>
      </c>
      <c r="J1999" s="19" t="str">
        <f aca="true">IF(F1999="","",IF(TODAY()&lt;D1999,"Başlamadı",IF(TODAY()&gt;F1999,"Bitti",IF(F1999-TODAY()&lt;=7,"Bitiyor","Aktif"))))</f>
        <v/>
      </c>
      <c r="K1999" s="19" t="str">
        <f aca="false">IF(OR(J1999="Aktif",J1999="Bitiyor"),F1999+ROW()/1000000,"")</f>
        <v/>
      </c>
    </row>
    <row r="2000" customFormat="false" ht="15" hidden="false" customHeight="false" outlineLevel="0" collapsed="false">
      <c r="A2000" s="12"/>
      <c r="B2000" s="12"/>
      <c r="C2000" s="13"/>
      <c r="D2000" s="14"/>
      <c r="E2000" s="15"/>
      <c r="F2000" s="16" t="str">
        <f aca="false">IF(OR(C2000="",D2000=""),"",EDATE(D2000,IFERROR(INDEX(Paketler!$B$5:$B$24,MATCH(C2000,Paketler!$A$5:$A$24,0)),0))-1)</f>
        <v/>
      </c>
      <c r="G2000" s="17" t="str">
        <f aca="false">IF(F2000="","",IFERROR(INDEX(Paketler!$C$5:$C$24,MATCH(C2000,Paketler!$A$5:$A$24,0)),0))</f>
        <v/>
      </c>
      <c r="H2000" s="17" t="str">
        <f aca="false">IF(F2000="","",G2000-E2000)</f>
        <v/>
      </c>
      <c r="I2000" s="18" t="str">
        <f aca="true">IF(F2000="","",F2000-TODAY())</f>
        <v/>
      </c>
      <c r="J2000" s="19" t="str">
        <f aca="true">IF(F2000="","",IF(TODAY()&lt;D2000,"Başlamadı",IF(TODAY()&gt;F2000,"Bitti",IF(F2000-TODAY()&lt;=7,"Bitiyor","Aktif"))))</f>
        <v/>
      </c>
      <c r="K2000" s="19" t="str">
        <f aca="false">IF(OR(J2000="Aktif",J2000="Bitiyor"),F2000+ROW()/1000000,"")</f>
        <v/>
      </c>
    </row>
    <row r="2001" customFormat="false" ht="15" hidden="false" customHeight="false" outlineLevel="0" collapsed="false">
      <c r="A2001" s="12"/>
      <c r="B2001" s="12"/>
      <c r="C2001" s="13"/>
      <c r="D2001" s="14"/>
      <c r="E2001" s="15"/>
      <c r="F2001" s="16" t="str">
        <f aca="false">IF(OR(C2001="",D2001=""),"",EDATE(D2001,IFERROR(INDEX(Paketler!$B$5:$B$24,MATCH(C2001,Paketler!$A$5:$A$24,0)),0))-1)</f>
        <v/>
      </c>
      <c r="G2001" s="17" t="str">
        <f aca="false">IF(F2001="","",IFERROR(INDEX(Paketler!$C$5:$C$24,MATCH(C2001,Paketler!$A$5:$A$24,0)),0))</f>
        <v/>
      </c>
      <c r="H2001" s="17" t="str">
        <f aca="false">IF(F2001="","",G2001-E2001)</f>
        <v/>
      </c>
      <c r="I2001" s="18" t="str">
        <f aca="true">IF(F2001="","",F2001-TODAY())</f>
        <v/>
      </c>
      <c r="J2001" s="19" t="str">
        <f aca="true">IF(F2001="","",IF(TODAY()&lt;D2001,"Başlamadı",IF(TODAY()&gt;F2001,"Bitti",IF(F2001-TODAY()&lt;=7,"Bitiyor","Aktif"))))</f>
        <v/>
      </c>
      <c r="K2001" s="19" t="str">
        <f aca="false">IF(OR(J2001="Aktif",J2001="Bitiyor"),F2001+ROW()/1000000,"")</f>
        <v/>
      </c>
    </row>
    <row r="2002" customFormat="false" ht="15" hidden="false" customHeight="false" outlineLevel="0" collapsed="false">
      <c r="A2002" s="12"/>
      <c r="B2002" s="12"/>
      <c r="C2002" s="13"/>
      <c r="D2002" s="14"/>
      <c r="E2002" s="15"/>
      <c r="F2002" s="16" t="str">
        <f aca="false">IF(OR(C2002="",D2002=""),"",EDATE(D2002,IFERROR(INDEX(Paketler!$B$5:$B$24,MATCH(C2002,Paketler!$A$5:$A$24,0)),0))-1)</f>
        <v/>
      </c>
      <c r="G2002" s="17" t="str">
        <f aca="false">IF(F2002="","",IFERROR(INDEX(Paketler!$C$5:$C$24,MATCH(C2002,Paketler!$A$5:$A$24,0)),0))</f>
        <v/>
      </c>
      <c r="H2002" s="17" t="str">
        <f aca="false">IF(F2002="","",G2002-E2002)</f>
        <v/>
      </c>
      <c r="I2002" s="18" t="str">
        <f aca="true">IF(F2002="","",F2002-TODAY())</f>
        <v/>
      </c>
      <c r="J2002" s="19" t="str">
        <f aca="true">IF(F2002="","",IF(TODAY()&lt;D2002,"Başlamadı",IF(TODAY()&gt;F2002,"Bitti",IF(F2002-TODAY()&lt;=7,"Bitiyor","Aktif"))))</f>
        <v/>
      </c>
      <c r="K2002" s="19" t="str">
        <f aca="false">IF(OR(J2002="Aktif",J2002="Bitiyor"),F2002+ROW()/1000000,"")</f>
        <v/>
      </c>
    </row>
    <row r="2003" customFormat="false" ht="15" hidden="false" customHeight="false" outlineLevel="0" collapsed="false">
      <c r="A2003" s="12"/>
      <c r="B2003" s="12"/>
      <c r="C2003" s="13"/>
      <c r="D2003" s="14"/>
      <c r="E2003" s="15"/>
      <c r="F2003" s="16" t="str">
        <f aca="false">IF(OR(C2003="",D2003=""),"",EDATE(D2003,IFERROR(INDEX(Paketler!$B$5:$B$24,MATCH(C2003,Paketler!$A$5:$A$24,0)),0))-1)</f>
        <v/>
      </c>
      <c r="G2003" s="17" t="str">
        <f aca="false">IF(F2003="","",IFERROR(INDEX(Paketler!$C$5:$C$24,MATCH(C2003,Paketler!$A$5:$A$24,0)),0))</f>
        <v/>
      </c>
      <c r="H2003" s="17" t="str">
        <f aca="false">IF(F2003="","",G2003-E2003)</f>
        <v/>
      </c>
      <c r="I2003" s="18" t="str">
        <f aca="true">IF(F2003="","",F2003-TODAY())</f>
        <v/>
      </c>
      <c r="J2003" s="19" t="str">
        <f aca="true">IF(F2003="","",IF(TODAY()&lt;D2003,"Başlamadı",IF(TODAY()&gt;F2003,"Bitti",IF(F2003-TODAY()&lt;=7,"Bitiyor","Aktif"))))</f>
        <v/>
      </c>
      <c r="K2003" s="19" t="str">
        <f aca="false">IF(OR(J2003="Aktif",J2003="Bitiyor"),F2003+ROW()/1000000,"")</f>
        <v/>
      </c>
    </row>
    <row r="2004" customFormat="false" ht="15" hidden="false" customHeight="false" outlineLevel="0" collapsed="false">
      <c r="A2004" s="12"/>
      <c r="B2004" s="12"/>
      <c r="C2004" s="13"/>
      <c r="D2004" s="14"/>
      <c r="E2004" s="15"/>
      <c r="F2004" s="16" t="str">
        <f aca="false">IF(OR(C2004="",D2004=""),"",EDATE(D2004,IFERROR(INDEX(Paketler!$B$5:$B$24,MATCH(C2004,Paketler!$A$5:$A$24,0)),0))-1)</f>
        <v/>
      </c>
      <c r="G2004" s="17" t="str">
        <f aca="false">IF(F2004="","",IFERROR(INDEX(Paketler!$C$5:$C$24,MATCH(C2004,Paketler!$A$5:$A$24,0)),0))</f>
        <v/>
      </c>
      <c r="H2004" s="17" t="str">
        <f aca="false">IF(F2004="","",G2004-E2004)</f>
        <v/>
      </c>
      <c r="I2004" s="18" t="str">
        <f aca="true">IF(F2004="","",F2004-TODAY())</f>
        <v/>
      </c>
      <c r="J2004" s="19" t="str">
        <f aca="true">IF(F2004="","",IF(TODAY()&lt;D2004,"Başlamadı",IF(TODAY()&gt;F2004,"Bitti",IF(F2004-TODAY()&lt;=7,"Bitiyor","Aktif"))))</f>
        <v/>
      </c>
      <c r="K2004" s="19" t="str">
        <f aca="false">IF(OR(J2004="Aktif",J2004="Bitiyor"),F2004+ROW()/1000000,"")</f>
        <v/>
      </c>
    </row>
  </sheetData>
  <conditionalFormatting sqref="J5:J2004">
    <cfRule type="cellIs" priority="2" operator="equal" aboveAverage="0" equalAverage="0" bottom="0" percent="0" rank="0" text="" dxfId="0">
      <formula>"Bitiyor"</formula>
    </cfRule>
    <cfRule type="cellIs" priority="3" operator="equal" aboveAverage="0" equalAverage="0" bottom="0" percent="0" rank="0" text="" dxfId="1">
      <formula>"Bitti"</formula>
    </cfRule>
    <cfRule type="cellIs" priority="4" operator="equal" aboveAverage="0" equalAverage="0" bottom="0" percent="0" rank="0" text="" dxfId="2">
      <formula>"Aktif"</formula>
    </cfRule>
  </conditionalFormatting>
  <conditionalFormatting sqref="H5:H2004">
    <cfRule type="expression" priority="5" aboveAverage="0" equalAverage="0" bottom="0" percent="0" rank="0" text="" dxfId="3">
      <formula>AND(ISNUMBER(H5),H5&gt;0)</formula>
    </cfRule>
  </conditionalFormatting>
  <dataValidations count="3">
    <dataValidation allowBlank="true" error="Sıfır ya da daha büyük bir sayı gir." errorStyle="stop" errorTitle="Kontrol" operator="greaterThanOrEqual" showDropDown="false" showErrorMessage="true" showInputMessage="false" sqref="E5:E2004" type="decimal">
      <formula1>0</formula1>
      <formula2>0</formula2>
    </dataValidation>
    <dataValidation allowBlank="true" error="Listeden seç." errorStyle="stop" errorTitle="Kontrol" operator="between" showDropDown="false" showErrorMessage="true" showInputMessage="false" sqref="C5:C2004" type="list">
      <formula1>Paketler!$A$5:$A$24</formula1>
      <formula2>0</formula2>
    </dataValidation>
    <dataValidation allowBlank="true" error="Geçerli bir tarih gir (örnek: 05.10.2026)." errorStyle="stop" errorTitle="Kontrol" operator="greaterThan" showDropDown="false" showErrorMessage="true" showInputMessage="false" sqref="D5:D2004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4"/>
  </cols>
  <sheetData>
    <row r="1" customFormat="false" ht="19.7" hidden="false" customHeight="false" outlineLevel="0" collapsed="false">
      <c r="A1" s="8" t="s">
        <v>44</v>
      </c>
    </row>
    <row r="2" customFormat="false" ht="15" hidden="false" customHeight="false" outlineLevel="0" collapsed="false">
      <c r="A2" s="9" t="s">
        <v>45</v>
      </c>
    </row>
    <row r="4" customFormat="false" ht="27.75" hidden="false" customHeight="true" outlineLevel="0" collapsed="false">
      <c r="A4" s="10" t="s">
        <v>28</v>
      </c>
      <c r="B4" s="10" t="s">
        <v>46</v>
      </c>
      <c r="C4" s="10" t="s">
        <v>31</v>
      </c>
      <c r="D4" s="11" t="s">
        <v>47</v>
      </c>
    </row>
    <row r="5" customFormat="false" ht="15" hidden="false" customHeight="false" outlineLevel="0" collapsed="false">
      <c r="A5" s="12" t="s">
        <v>37</v>
      </c>
      <c r="B5" s="21" t="n">
        <v>1</v>
      </c>
      <c r="C5" s="15" t="n">
        <v>3000</v>
      </c>
      <c r="D5" s="18" t="n">
        <f aca="false">IF(A5="","",COUNTIFS(Üyelikler!$C$5:$C$2004,A5,Üyelikler!$J$5:$J$2004,"Aktif")+COUNTIFS(Üyelikler!$C$5:$C$2004,A5,Üyelikler!$J$5:$J$2004,"Bitiyor"))</f>
        <v>1</v>
      </c>
    </row>
    <row r="6" customFormat="false" ht="15" hidden="false" customHeight="false" outlineLevel="0" collapsed="false">
      <c r="A6" s="12" t="s">
        <v>39</v>
      </c>
      <c r="B6" s="21" t="n">
        <v>3</v>
      </c>
      <c r="C6" s="15" t="n">
        <v>8000</v>
      </c>
      <c r="D6" s="18" t="n">
        <f aca="false">IF(A6="","",COUNTIFS(Üyelikler!$C$5:$C$2004,A6,Üyelikler!$J$5:$J$2004,"Aktif")+COUNTIFS(Üyelikler!$C$5:$C$2004,A6,Üyelikler!$J$5:$J$2004,"Bitiyor"))</f>
        <v>1</v>
      </c>
    </row>
    <row r="7" customFormat="false" ht="15" hidden="false" customHeight="false" outlineLevel="0" collapsed="false">
      <c r="A7" s="12" t="s">
        <v>41</v>
      </c>
      <c r="B7" s="21" t="n">
        <v>12</v>
      </c>
      <c r="C7" s="15" t="n">
        <v>27000</v>
      </c>
      <c r="D7" s="18" t="n">
        <f aca="false">IF(A7="","",COUNTIFS(Üyelikler!$C$5:$C$2004,A7,Üyelikler!$J$5:$J$2004,"Aktif")+COUNTIFS(Üyelikler!$C$5:$C$2004,A7,Üyelikler!$J$5:$J$2004,"Bitiyor"))</f>
        <v>1</v>
      </c>
    </row>
    <row r="8" customFormat="false" ht="15" hidden="false" customHeight="false" outlineLevel="0" collapsed="false">
      <c r="A8" s="12"/>
      <c r="B8" s="21"/>
      <c r="C8" s="15"/>
      <c r="D8" s="18" t="str">
        <f aca="false">IF(A8="","",COUNTIFS(Üyelikler!$C$5:$C$2004,A8,Üyelikler!$J$5:$J$2004,"Aktif")+COUNTIFS(Üyelikler!$C$5:$C$2004,A8,Üyelikler!$J$5:$J$2004,"Bitiyor"))</f>
        <v/>
      </c>
    </row>
    <row r="9" customFormat="false" ht="15" hidden="false" customHeight="false" outlineLevel="0" collapsed="false">
      <c r="A9" s="12"/>
      <c r="B9" s="21"/>
      <c r="C9" s="15"/>
      <c r="D9" s="18" t="str">
        <f aca="false">IF(A9="","",COUNTIFS(Üyelikler!$C$5:$C$2004,A9,Üyelikler!$J$5:$J$2004,"Aktif")+COUNTIFS(Üyelikler!$C$5:$C$2004,A9,Üyelikler!$J$5:$J$2004,"Bitiyor"))</f>
        <v/>
      </c>
    </row>
    <row r="10" customFormat="false" ht="15" hidden="false" customHeight="false" outlineLevel="0" collapsed="false">
      <c r="A10" s="12"/>
      <c r="B10" s="21"/>
      <c r="C10" s="15"/>
      <c r="D10" s="18" t="str">
        <f aca="false">IF(A10="","",COUNTIFS(Üyelikler!$C$5:$C$2004,A10,Üyelikler!$J$5:$J$2004,"Aktif")+COUNTIFS(Üyelikler!$C$5:$C$2004,A10,Üyelikler!$J$5:$J$2004,"Bitiyor"))</f>
        <v/>
      </c>
    </row>
    <row r="11" customFormat="false" ht="15" hidden="false" customHeight="false" outlineLevel="0" collapsed="false">
      <c r="A11" s="12"/>
      <c r="B11" s="21"/>
      <c r="C11" s="15"/>
      <c r="D11" s="18" t="str">
        <f aca="false">IF(A11="","",COUNTIFS(Üyelikler!$C$5:$C$2004,A11,Üyelikler!$J$5:$J$2004,"Aktif")+COUNTIFS(Üyelikler!$C$5:$C$2004,A11,Üyelikler!$J$5:$J$2004,"Bitiyor"))</f>
        <v/>
      </c>
    </row>
    <row r="12" customFormat="false" ht="15" hidden="false" customHeight="false" outlineLevel="0" collapsed="false">
      <c r="A12" s="12"/>
      <c r="B12" s="21"/>
      <c r="C12" s="15"/>
      <c r="D12" s="18" t="str">
        <f aca="false">IF(A12="","",COUNTIFS(Üyelikler!$C$5:$C$2004,A12,Üyelikler!$J$5:$J$2004,"Aktif")+COUNTIFS(Üyelikler!$C$5:$C$2004,A12,Üyelikler!$J$5:$J$2004,"Bitiyor"))</f>
        <v/>
      </c>
    </row>
    <row r="13" customFormat="false" ht="15" hidden="false" customHeight="false" outlineLevel="0" collapsed="false">
      <c r="A13" s="12"/>
      <c r="B13" s="21"/>
      <c r="C13" s="15"/>
      <c r="D13" s="18" t="str">
        <f aca="false">IF(A13="","",COUNTIFS(Üyelikler!$C$5:$C$2004,A13,Üyelikler!$J$5:$J$2004,"Aktif")+COUNTIFS(Üyelikler!$C$5:$C$2004,A13,Üyelikler!$J$5:$J$2004,"Bitiyor"))</f>
        <v/>
      </c>
    </row>
    <row r="14" customFormat="false" ht="15" hidden="false" customHeight="false" outlineLevel="0" collapsed="false">
      <c r="A14" s="12"/>
      <c r="B14" s="21"/>
      <c r="C14" s="15"/>
      <c r="D14" s="18" t="str">
        <f aca="false">IF(A14="","",COUNTIFS(Üyelikler!$C$5:$C$2004,A14,Üyelikler!$J$5:$J$2004,"Aktif")+COUNTIFS(Üyelikler!$C$5:$C$2004,A14,Üyelikler!$J$5:$J$2004,"Bitiyor"))</f>
        <v/>
      </c>
    </row>
    <row r="15" customFormat="false" ht="15" hidden="false" customHeight="false" outlineLevel="0" collapsed="false">
      <c r="A15" s="12"/>
      <c r="B15" s="21"/>
      <c r="C15" s="15"/>
      <c r="D15" s="18" t="str">
        <f aca="false">IF(A15="","",COUNTIFS(Üyelikler!$C$5:$C$2004,A15,Üyelikler!$J$5:$J$2004,"Aktif")+COUNTIFS(Üyelikler!$C$5:$C$2004,A15,Üyelikler!$J$5:$J$2004,"Bitiyor"))</f>
        <v/>
      </c>
    </row>
    <row r="16" customFormat="false" ht="15" hidden="false" customHeight="false" outlineLevel="0" collapsed="false">
      <c r="A16" s="12"/>
      <c r="B16" s="21"/>
      <c r="C16" s="15"/>
      <c r="D16" s="18" t="str">
        <f aca="false">IF(A16="","",COUNTIFS(Üyelikler!$C$5:$C$2004,A16,Üyelikler!$J$5:$J$2004,"Aktif")+COUNTIFS(Üyelikler!$C$5:$C$2004,A16,Üyelikler!$J$5:$J$2004,"Bitiyor"))</f>
        <v/>
      </c>
    </row>
    <row r="17" customFormat="false" ht="15" hidden="false" customHeight="false" outlineLevel="0" collapsed="false">
      <c r="A17" s="12"/>
      <c r="B17" s="21"/>
      <c r="C17" s="15"/>
      <c r="D17" s="18" t="str">
        <f aca="false">IF(A17="","",COUNTIFS(Üyelikler!$C$5:$C$2004,A17,Üyelikler!$J$5:$J$2004,"Aktif")+COUNTIFS(Üyelikler!$C$5:$C$2004,A17,Üyelikler!$J$5:$J$2004,"Bitiyor"))</f>
        <v/>
      </c>
    </row>
    <row r="18" customFormat="false" ht="15" hidden="false" customHeight="false" outlineLevel="0" collapsed="false">
      <c r="A18" s="12"/>
      <c r="B18" s="21"/>
      <c r="C18" s="15"/>
      <c r="D18" s="18" t="str">
        <f aca="false">IF(A18="","",COUNTIFS(Üyelikler!$C$5:$C$2004,A18,Üyelikler!$J$5:$J$2004,"Aktif")+COUNTIFS(Üyelikler!$C$5:$C$2004,A18,Üyelikler!$J$5:$J$2004,"Bitiyor"))</f>
        <v/>
      </c>
    </row>
    <row r="19" customFormat="false" ht="15" hidden="false" customHeight="false" outlineLevel="0" collapsed="false">
      <c r="A19" s="12"/>
      <c r="B19" s="21"/>
      <c r="C19" s="15"/>
      <c r="D19" s="18" t="str">
        <f aca="false">IF(A19="","",COUNTIFS(Üyelikler!$C$5:$C$2004,A19,Üyelikler!$J$5:$J$2004,"Aktif")+COUNTIFS(Üyelikler!$C$5:$C$2004,A19,Üyelikler!$J$5:$J$2004,"Bitiyor"))</f>
        <v/>
      </c>
    </row>
    <row r="20" customFormat="false" ht="15" hidden="false" customHeight="false" outlineLevel="0" collapsed="false">
      <c r="A20" s="12"/>
      <c r="B20" s="21"/>
      <c r="C20" s="15"/>
      <c r="D20" s="18" t="str">
        <f aca="false">IF(A20="","",COUNTIFS(Üyelikler!$C$5:$C$2004,A20,Üyelikler!$J$5:$J$2004,"Aktif")+COUNTIFS(Üyelikler!$C$5:$C$2004,A20,Üyelikler!$J$5:$J$2004,"Bitiyor"))</f>
        <v/>
      </c>
    </row>
    <row r="21" customFormat="false" ht="15" hidden="false" customHeight="false" outlineLevel="0" collapsed="false">
      <c r="A21" s="12"/>
      <c r="B21" s="21"/>
      <c r="C21" s="15"/>
      <c r="D21" s="18" t="str">
        <f aca="false">IF(A21="","",COUNTIFS(Üyelikler!$C$5:$C$2004,A21,Üyelikler!$J$5:$J$2004,"Aktif")+COUNTIFS(Üyelikler!$C$5:$C$2004,A21,Üyelikler!$J$5:$J$2004,"Bitiyor"))</f>
        <v/>
      </c>
    </row>
    <row r="22" customFormat="false" ht="15" hidden="false" customHeight="false" outlineLevel="0" collapsed="false">
      <c r="A22" s="12"/>
      <c r="B22" s="21"/>
      <c r="C22" s="15"/>
      <c r="D22" s="18" t="str">
        <f aca="false">IF(A22="","",COUNTIFS(Üyelikler!$C$5:$C$2004,A22,Üyelikler!$J$5:$J$2004,"Aktif")+COUNTIFS(Üyelikler!$C$5:$C$2004,A22,Üyelikler!$J$5:$J$2004,"Bitiyor"))</f>
        <v/>
      </c>
    </row>
    <row r="23" customFormat="false" ht="15" hidden="false" customHeight="false" outlineLevel="0" collapsed="false">
      <c r="A23" s="12"/>
      <c r="B23" s="21"/>
      <c r="C23" s="15"/>
      <c r="D23" s="18" t="str">
        <f aca="false">IF(A23="","",COUNTIFS(Üyelikler!$C$5:$C$2004,A23,Üyelikler!$J$5:$J$2004,"Aktif")+COUNTIFS(Üyelikler!$C$5:$C$2004,A23,Üyelikler!$J$5:$J$2004,"Bitiyor"))</f>
        <v/>
      </c>
    </row>
    <row r="24" customFormat="false" ht="15" hidden="false" customHeight="false" outlineLevel="0" collapsed="false">
      <c r="A24" s="12"/>
      <c r="B24" s="21"/>
      <c r="C24" s="15"/>
      <c r="D24" s="18" t="str">
        <f aca="false">IF(A24="","",COUNTIFS(Üyelikler!$C$5:$C$2004,A24,Üyelikler!$J$5:$J$2004,"Aktif")+COUNTIFS(Üyelikler!$C$5:$C$2004,A24,Üyelikler!$J$5:$J$2004,"Bitiyor"))</f>
        <v/>
      </c>
    </row>
  </sheetData>
  <dataValidations count="2">
    <dataValidation allowBlank="true" error="Sıfır ya da daha büyük bir sayı gir." errorStyle="stop" errorTitle="Kontrol" operator="greaterThanOrEqual" showDropDown="false" showErrorMessage="true" showInputMessage="false" sqref="B5:C24" type="decimal">
      <formula1>0</formula1>
      <formula2>0</formula2>
    </dataValidation>
    <dataValidation allowBlank="true" error="Bu ad zaten var. Her ad bir kez girilebilir." errorStyle="stop" errorTitle="Kontrol" operator="between" showDropDown="false" showErrorMessage="true" showInputMessage="false" sqref="A5:A24" type="custom">
      <formula1>COUNTIF($A$5:$A$24,A5)=1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5" min="3" style="0" width="16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3"/>
    <col collapsed="false" customWidth="true" hidden="false" outlineLevel="0" max="9" min="9" style="0" width="26"/>
    <col collapsed="false" customWidth="true" hidden="false" outlineLevel="0" max="12" min="10" style="0" width="15"/>
  </cols>
  <sheetData>
    <row r="1" customFormat="false" ht="19.7" hidden="false" customHeight="false" outlineLevel="0" collapsed="false">
      <c r="A1" s="8" t="s">
        <v>48</v>
      </c>
    </row>
    <row r="2" customFormat="false" ht="15" hidden="false" customHeight="false" outlineLevel="0" collapsed="false">
      <c r="A2" s="9" t="s">
        <v>49</v>
      </c>
    </row>
    <row r="3" customFormat="false" ht="15" hidden="false" customHeight="false" outlineLevel="0" collapsed="false">
      <c r="B3" s="22" t="s">
        <v>50</v>
      </c>
      <c r="C3" s="23" t="n">
        <v>2026</v>
      </c>
    </row>
    <row r="5" customFormat="false" ht="30" hidden="false" customHeight="true" outlineLevel="0" collapsed="false">
      <c r="B5" s="24" t="s">
        <v>47</v>
      </c>
      <c r="C5" s="24" t="s">
        <v>51</v>
      </c>
      <c r="D5" s="24" t="s">
        <v>52</v>
      </c>
      <c r="E5" s="24" t="s">
        <v>53</v>
      </c>
      <c r="F5" s="24" t="s">
        <v>54</v>
      </c>
    </row>
    <row r="6" customFormat="false" ht="27.75" hidden="false" customHeight="true" outlineLevel="0" collapsed="false">
      <c r="B6" s="25" t="n">
        <f aca="false">COUNTIF(Üyelikler!$J$5:$J$2004,"Aktif")+COUNTIF(Üyelikler!$J$5:$J$2004,"Bitiyor")</f>
        <v>3</v>
      </c>
      <c r="C6" s="26" t="n">
        <f aca="false">COUNTIF(Üyelikler!$J$5:$J$2004,"Bitiyor")</f>
        <v>1</v>
      </c>
      <c r="D6" s="25" t="n">
        <f aca="false">COUNTIFS(Üyelikler!$I$5:$I$2004,"&gt;=0",Üyelikler!$I$5:$I$2004,"&lt;=30",Üyelikler!$J$5:$J$2004,"&lt;&gt;Başlamadı")</f>
        <v>1</v>
      </c>
      <c r="E6" s="27" t="n">
        <f aca="false">SUMIFS(Üyelikler!$H$5:$H$2004,Üyelikler!$H$5:$H$2004,"&gt;0")</f>
        <v>6000</v>
      </c>
      <c r="F6" s="28" t="n">
        <f aca="false">D23</f>
        <v>38000</v>
      </c>
    </row>
    <row r="9" customFormat="false" ht="15" hidden="false" customHeight="false" outlineLevel="0" collapsed="false">
      <c r="B9" s="29" t="s">
        <v>55</v>
      </c>
      <c r="F9" s="29" t="s">
        <v>56</v>
      </c>
    </row>
    <row r="10" customFormat="false" ht="21.75" hidden="false" customHeight="true" outlineLevel="0" collapsed="false">
      <c r="B10" s="10" t="s">
        <v>57</v>
      </c>
      <c r="C10" s="10" t="s">
        <v>58</v>
      </c>
      <c r="D10" s="10" t="s">
        <v>59</v>
      </c>
      <c r="F10" s="10" t="s">
        <v>26</v>
      </c>
      <c r="G10" s="10" t="s">
        <v>11</v>
      </c>
      <c r="H10" s="10" t="s">
        <v>28</v>
      </c>
    </row>
    <row r="11" customFormat="false" ht="15" hidden="false" customHeight="false" outlineLevel="0" collapsed="false">
      <c r="B11" s="30" t="s">
        <v>60</v>
      </c>
      <c r="C11" s="31" t="n">
        <f aca="false">COUNTIFS(Üyelikler!$D$5:$D$2004,"&gt;="&amp;DATE($C$3,1,1),Üyelikler!$D$5:$D$2004,"&lt;"&amp;DATE($C$3,2,1))</f>
        <v>0</v>
      </c>
      <c r="D11" s="17" t="n">
        <f aca="false">SUMIFS(Üyelikler!$E$5:$E$2004,Üyelikler!$D$5:$D$2004,"&gt;="&amp;DATE($C$3,1,1),Üyelikler!$D$5:$D$2004,"&lt;"&amp;DATE($C$3,2,1))</f>
        <v>0</v>
      </c>
      <c r="F11" s="30" t="str">
        <f aca="false">IFERROR(INDEX(Üyelikler!$A$5:$A$2004,MATCH(SMALL(Üyelikler!$K$5:$K$2004,1),Üyelikler!$K$5:$K$2004,0))&amp;"","")</f>
        <v>Üye Alfa</v>
      </c>
      <c r="G11" s="16" t="n">
        <f aca="false">IF(F11="","",INDEX(Üyelikler!$F$5:$F$2004,MATCH(SMALL(Üyelikler!$K$5:$K$2004,1),Üyelikler!$K$5:$K$2004,0)))</f>
        <v>46301</v>
      </c>
      <c r="H11" s="19" t="str">
        <f aca="false">IF(F11="","",INDEX(Üyelikler!$C$5:$C$2004,MATCH(SMALL(Üyelikler!$K$5:$K$2004,1),Üyelikler!$K$5:$K$2004,0)))</f>
        <v>Aylık</v>
      </c>
    </row>
    <row r="12" customFormat="false" ht="15" hidden="false" customHeight="false" outlineLevel="0" collapsed="false">
      <c r="B12" s="32" t="s">
        <v>61</v>
      </c>
      <c r="C12" s="33" t="n">
        <f aca="false">COUNTIFS(Üyelikler!$D$5:$D$2004,"&gt;="&amp;DATE($C$3,2,1),Üyelikler!$D$5:$D$2004,"&lt;"&amp;DATE($C$3,3,1))</f>
        <v>1</v>
      </c>
      <c r="D12" s="34" t="n">
        <f aca="false">SUMIFS(Üyelikler!$E$5:$E$2004,Üyelikler!$D$5:$D$2004,"&gt;="&amp;DATE($C$3,2,1),Üyelikler!$D$5:$D$2004,"&lt;"&amp;DATE($C$3,3,1))</f>
        <v>27000</v>
      </c>
      <c r="F12" s="32" t="str">
        <f aca="false">IFERROR(INDEX(Üyelikler!$A$5:$A$2004,MATCH(SMALL(Üyelikler!$K$5:$K$2004,2),Üyelikler!$K$5:$K$2004,0))&amp;"","")</f>
        <v>Üye Beta</v>
      </c>
      <c r="G12" s="35" t="n">
        <f aca="false">IF(F12="","",INDEX(Üyelikler!$F$5:$F$2004,MATCH(SMALL(Üyelikler!$K$5:$K$2004,2),Üyelikler!$K$5:$K$2004,0)))</f>
        <v>46350</v>
      </c>
      <c r="H12" s="36" t="str">
        <f aca="false">IF(F12="","",INDEX(Üyelikler!$C$5:$C$2004,MATCH(SMALL(Üyelikler!$K$5:$K$2004,2),Üyelikler!$K$5:$K$2004,0)))</f>
        <v>3 aylık</v>
      </c>
    </row>
    <row r="13" customFormat="false" ht="15" hidden="false" customHeight="false" outlineLevel="0" collapsed="false">
      <c r="B13" s="30" t="s">
        <v>62</v>
      </c>
      <c r="C13" s="31" t="n">
        <f aca="false">COUNTIFS(Üyelikler!$D$5:$D$2004,"&gt;="&amp;DATE($C$3,3,1),Üyelikler!$D$5:$D$2004,"&lt;"&amp;DATE($C$3,4,1))</f>
        <v>0</v>
      </c>
      <c r="D13" s="17" t="n">
        <f aca="false">SUMIFS(Üyelikler!$E$5:$E$2004,Üyelikler!$D$5:$D$2004,"&gt;="&amp;DATE($C$3,3,1),Üyelikler!$D$5:$D$2004,"&lt;"&amp;DATE($C$3,4,1))</f>
        <v>0</v>
      </c>
      <c r="F13" s="30" t="str">
        <f aca="false">IFERROR(INDEX(Üyelikler!$A$5:$A$2004,MATCH(SMALL(Üyelikler!$K$5:$K$2004,3),Üyelikler!$K$5:$K$2004,0))&amp;"","")</f>
        <v>Üye Gama</v>
      </c>
      <c r="G13" s="16" t="n">
        <f aca="false">IF(F13="","",INDEX(Üyelikler!$F$5:$F$2004,MATCH(SMALL(Üyelikler!$K$5:$K$2004,3),Üyelikler!$K$5:$K$2004,0)))</f>
        <v>46418</v>
      </c>
      <c r="H13" s="19" t="str">
        <f aca="false">IF(F13="","",INDEX(Üyelikler!$C$5:$C$2004,MATCH(SMALL(Üyelikler!$K$5:$K$2004,3),Üyelikler!$K$5:$K$2004,0)))</f>
        <v>Yıllık</v>
      </c>
    </row>
    <row r="14" customFormat="false" ht="15" hidden="false" customHeight="false" outlineLevel="0" collapsed="false">
      <c r="B14" s="32" t="s">
        <v>63</v>
      </c>
      <c r="C14" s="33" t="n">
        <f aca="false">COUNTIFS(Üyelikler!$D$5:$D$2004,"&gt;="&amp;DATE($C$3,4,1),Üyelikler!$D$5:$D$2004,"&lt;"&amp;DATE($C$3,5,1))</f>
        <v>0</v>
      </c>
      <c r="D14" s="34" t="n">
        <f aca="false">SUMIFS(Üyelikler!$E$5:$E$2004,Üyelikler!$D$5:$D$2004,"&gt;="&amp;DATE($C$3,4,1),Üyelikler!$D$5:$D$2004,"&lt;"&amp;DATE($C$3,5,1))</f>
        <v>0</v>
      </c>
      <c r="F14" s="32" t="str">
        <f aca="false">IFERROR(INDEX(Üyelikler!$A$5:$A$2004,MATCH(SMALL(Üyelikler!$K$5:$K$2004,4),Üyelikler!$K$5:$K$2004,0))&amp;"","")</f>
        <v/>
      </c>
      <c r="G14" s="35" t="str">
        <f aca="false">IF(F14="","",INDEX(Üyelikler!$F$5:$F$2004,MATCH(SMALL(Üyelikler!$K$5:$K$2004,4),Üyelikler!$K$5:$K$2004,0)))</f>
        <v/>
      </c>
      <c r="H14" s="36" t="str">
        <f aca="false">IF(F14="","",INDEX(Üyelikler!$C$5:$C$2004,MATCH(SMALL(Üyelikler!$K$5:$K$2004,4),Üyelikler!$K$5:$K$2004,0)))</f>
        <v/>
      </c>
    </row>
    <row r="15" customFormat="false" ht="15" hidden="false" customHeight="false" outlineLevel="0" collapsed="false">
      <c r="B15" s="30" t="s">
        <v>64</v>
      </c>
      <c r="C15" s="31" t="n">
        <f aca="false">COUNTIFS(Üyelikler!$D$5:$D$2004,"&gt;="&amp;DATE($C$3,5,1),Üyelikler!$D$5:$D$2004,"&lt;"&amp;DATE($C$3,6,1))</f>
        <v>0</v>
      </c>
      <c r="D15" s="17" t="n">
        <f aca="false">SUMIFS(Üyelikler!$E$5:$E$2004,Üyelikler!$D$5:$D$2004,"&gt;="&amp;DATE($C$3,5,1),Üyelikler!$D$5:$D$2004,"&lt;"&amp;DATE($C$3,6,1))</f>
        <v>0</v>
      </c>
      <c r="F15" s="30" t="str">
        <f aca="false">IFERROR(INDEX(Üyelikler!$A$5:$A$2004,MATCH(SMALL(Üyelikler!$K$5:$K$2004,5),Üyelikler!$K$5:$K$2004,0))&amp;"","")</f>
        <v/>
      </c>
      <c r="G15" s="16" t="str">
        <f aca="false">IF(F15="","",INDEX(Üyelikler!$F$5:$F$2004,MATCH(SMALL(Üyelikler!$K$5:$K$2004,5),Üyelikler!$K$5:$K$2004,0)))</f>
        <v/>
      </c>
      <c r="H15" s="19" t="str">
        <f aca="false">IF(F15="","",INDEX(Üyelikler!$C$5:$C$2004,MATCH(SMALL(Üyelikler!$K$5:$K$2004,5),Üyelikler!$K$5:$K$2004,0)))</f>
        <v/>
      </c>
    </row>
    <row r="16" customFormat="false" ht="15" hidden="false" customHeight="false" outlineLevel="0" collapsed="false">
      <c r="B16" s="32" t="s">
        <v>65</v>
      </c>
      <c r="C16" s="33" t="n">
        <f aca="false">COUNTIFS(Üyelikler!$D$5:$D$2004,"&gt;="&amp;DATE($C$3,6,1),Üyelikler!$D$5:$D$2004,"&lt;"&amp;DATE($C$3,7,1))</f>
        <v>0</v>
      </c>
      <c r="D16" s="34" t="n">
        <f aca="false">SUMIFS(Üyelikler!$E$5:$E$2004,Üyelikler!$D$5:$D$2004,"&gt;="&amp;DATE($C$3,6,1),Üyelikler!$D$5:$D$2004,"&lt;"&amp;DATE($C$3,7,1))</f>
        <v>0</v>
      </c>
      <c r="F16" s="32" t="str">
        <f aca="false">IFERROR(INDEX(Üyelikler!$A$5:$A$2004,MATCH(SMALL(Üyelikler!$K$5:$K$2004,6),Üyelikler!$K$5:$K$2004,0))&amp;"","")</f>
        <v/>
      </c>
      <c r="G16" s="35" t="str">
        <f aca="false">IF(F16="","",INDEX(Üyelikler!$F$5:$F$2004,MATCH(SMALL(Üyelikler!$K$5:$K$2004,6),Üyelikler!$K$5:$K$2004,0)))</f>
        <v/>
      </c>
      <c r="H16" s="36" t="str">
        <f aca="false">IF(F16="","",INDEX(Üyelikler!$C$5:$C$2004,MATCH(SMALL(Üyelikler!$K$5:$K$2004,6),Üyelikler!$K$5:$K$2004,0)))</f>
        <v/>
      </c>
    </row>
    <row r="17" customFormat="false" ht="15" hidden="false" customHeight="false" outlineLevel="0" collapsed="false">
      <c r="B17" s="30" t="s">
        <v>66</v>
      </c>
      <c r="C17" s="31" t="n">
        <f aca="false">COUNTIFS(Üyelikler!$D$5:$D$2004,"&gt;="&amp;DATE($C$3,7,1),Üyelikler!$D$5:$D$2004,"&lt;"&amp;DATE($C$3,8,1))</f>
        <v>0</v>
      </c>
      <c r="D17" s="17" t="n">
        <f aca="false">SUMIFS(Üyelikler!$E$5:$E$2004,Üyelikler!$D$5:$D$2004,"&gt;="&amp;DATE($C$3,7,1),Üyelikler!$D$5:$D$2004,"&lt;"&amp;DATE($C$3,8,1))</f>
        <v>0</v>
      </c>
      <c r="F17" s="30" t="str">
        <f aca="false">IFERROR(INDEX(Üyelikler!$A$5:$A$2004,MATCH(SMALL(Üyelikler!$K$5:$K$2004,7),Üyelikler!$K$5:$K$2004,0))&amp;"","")</f>
        <v/>
      </c>
      <c r="G17" s="16" t="str">
        <f aca="false">IF(F17="","",INDEX(Üyelikler!$F$5:$F$2004,MATCH(SMALL(Üyelikler!$K$5:$K$2004,7),Üyelikler!$K$5:$K$2004,0)))</f>
        <v/>
      </c>
      <c r="H17" s="19" t="str">
        <f aca="false">IF(F17="","",INDEX(Üyelikler!$C$5:$C$2004,MATCH(SMALL(Üyelikler!$K$5:$K$2004,7),Üyelikler!$K$5:$K$2004,0)))</f>
        <v/>
      </c>
    </row>
    <row r="18" customFormat="false" ht="15" hidden="false" customHeight="false" outlineLevel="0" collapsed="false">
      <c r="B18" s="32" t="s">
        <v>67</v>
      </c>
      <c r="C18" s="33" t="n">
        <f aca="false">COUNTIFS(Üyelikler!$D$5:$D$2004,"&gt;="&amp;DATE($C$3,8,1),Üyelikler!$D$5:$D$2004,"&lt;"&amp;DATE($C$3,9,1))</f>
        <v>2</v>
      </c>
      <c r="D18" s="34" t="n">
        <f aca="false">SUMIFS(Üyelikler!$E$5:$E$2004,Üyelikler!$D$5:$D$2004,"&gt;="&amp;DATE($C$3,8,1),Üyelikler!$D$5:$D$2004,"&lt;"&amp;DATE($C$3,9,1))</f>
        <v>8000</v>
      </c>
      <c r="F18" s="32" t="str">
        <f aca="false">IFERROR(INDEX(Üyelikler!$A$5:$A$2004,MATCH(SMALL(Üyelikler!$K$5:$K$2004,8),Üyelikler!$K$5:$K$2004,0))&amp;"","")</f>
        <v/>
      </c>
      <c r="G18" s="35" t="str">
        <f aca="false">IF(F18="","",INDEX(Üyelikler!$F$5:$F$2004,MATCH(SMALL(Üyelikler!$K$5:$K$2004,8),Üyelikler!$K$5:$K$2004,0)))</f>
        <v/>
      </c>
      <c r="H18" s="36" t="str">
        <f aca="false">IF(F18="","",INDEX(Üyelikler!$C$5:$C$2004,MATCH(SMALL(Üyelikler!$K$5:$K$2004,8),Üyelikler!$K$5:$K$2004,0)))</f>
        <v/>
      </c>
    </row>
    <row r="19" customFormat="false" ht="15" hidden="false" customHeight="false" outlineLevel="0" collapsed="false">
      <c r="B19" s="30" t="s">
        <v>68</v>
      </c>
      <c r="C19" s="31" t="n">
        <f aca="false">COUNTIFS(Üyelikler!$D$5:$D$2004,"&gt;="&amp;DATE($C$3,9,1),Üyelikler!$D$5:$D$2004,"&lt;"&amp;DATE($C$3,10,1))</f>
        <v>1</v>
      </c>
      <c r="D19" s="17" t="n">
        <f aca="false">SUMIFS(Üyelikler!$E$5:$E$2004,Üyelikler!$D$5:$D$2004,"&gt;="&amp;DATE($C$3,9,1),Üyelikler!$D$5:$D$2004,"&lt;"&amp;DATE($C$3,10,1))</f>
        <v>3000</v>
      </c>
      <c r="F19" s="30" t="str">
        <f aca="false">IFERROR(INDEX(Üyelikler!$A$5:$A$2004,MATCH(SMALL(Üyelikler!$K$5:$K$2004,9),Üyelikler!$K$5:$K$2004,0))&amp;"","")</f>
        <v/>
      </c>
      <c r="G19" s="16" t="str">
        <f aca="false">IF(F19="","",INDEX(Üyelikler!$F$5:$F$2004,MATCH(SMALL(Üyelikler!$K$5:$K$2004,9),Üyelikler!$K$5:$K$2004,0)))</f>
        <v/>
      </c>
      <c r="H19" s="19" t="str">
        <f aca="false">IF(F19="","",INDEX(Üyelikler!$C$5:$C$2004,MATCH(SMALL(Üyelikler!$K$5:$K$2004,9),Üyelikler!$K$5:$K$2004,0)))</f>
        <v/>
      </c>
    </row>
    <row r="20" customFormat="false" ht="15" hidden="false" customHeight="false" outlineLevel="0" collapsed="false">
      <c r="B20" s="32" t="s">
        <v>69</v>
      </c>
      <c r="C20" s="33" t="n">
        <f aca="false">COUNTIFS(Üyelikler!$D$5:$D$2004,"&gt;="&amp;DATE($C$3,10,1),Üyelikler!$D$5:$D$2004,"&lt;"&amp;DATE($C$3,11,1))</f>
        <v>1</v>
      </c>
      <c r="D20" s="34" t="n">
        <f aca="false">SUMIFS(Üyelikler!$E$5:$E$2004,Üyelikler!$D$5:$D$2004,"&gt;="&amp;DATE($C$3,10,1),Üyelikler!$D$5:$D$2004,"&lt;"&amp;DATE($C$3,11,1))</f>
        <v>0</v>
      </c>
      <c r="F20" s="32" t="str">
        <f aca="false">IFERROR(INDEX(Üyelikler!$A$5:$A$2004,MATCH(SMALL(Üyelikler!$K$5:$K$2004,10),Üyelikler!$K$5:$K$2004,0))&amp;"","")</f>
        <v/>
      </c>
      <c r="G20" s="35" t="str">
        <f aca="false">IF(F20="","",INDEX(Üyelikler!$F$5:$F$2004,MATCH(SMALL(Üyelikler!$K$5:$K$2004,10),Üyelikler!$K$5:$K$2004,0)))</f>
        <v/>
      </c>
      <c r="H20" s="36" t="str">
        <f aca="false">IF(F20="","",INDEX(Üyelikler!$C$5:$C$2004,MATCH(SMALL(Üyelikler!$K$5:$K$2004,10),Üyelikler!$K$5:$K$2004,0)))</f>
        <v/>
      </c>
    </row>
    <row r="21" customFormat="false" ht="15" hidden="false" customHeight="false" outlineLevel="0" collapsed="false">
      <c r="B21" s="30" t="s">
        <v>70</v>
      </c>
      <c r="C21" s="31" t="n">
        <f aca="false">COUNTIFS(Üyelikler!$D$5:$D$2004,"&gt;="&amp;DATE($C$3,11,1),Üyelikler!$D$5:$D$2004,"&lt;"&amp;DATE($C$3,12,1))</f>
        <v>0</v>
      </c>
      <c r="D21" s="17" t="n">
        <f aca="false">SUMIFS(Üyelikler!$E$5:$E$2004,Üyelikler!$D$5:$D$2004,"&gt;="&amp;DATE($C$3,11,1),Üyelikler!$D$5:$D$2004,"&lt;"&amp;DATE($C$3,12,1))</f>
        <v>0</v>
      </c>
    </row>
    <row r="22" customFormat="false" ht="15" hidden="false" customHeight="false" outlineLevel="0" collapsed="false">
      <c r="B22" s="32" t="s">
        <v>71</v>
      </c>
      <c r="C22" s="33" t="n">
        <f aca="false">COUNTIFS(Üyelikler!$D$5:$D$2004,"&gt;="&amp;DATE($C$3,12,1),Üyelikler!$D$5:$D$2004,"&lt;"&amp;DATE($C$3,13,1))</f>
        <v>0</v>
      </c>
      <c r="D22" s="34" t="n">
        <f aca="false">SUMIFS(Üyelikler!$E$5:$E$2004,Üyelikler!$D$5:$D$2004,"&gt;="&amp;DATE($C$3,12,1),Üyelikler!$D$5:$D$2004,"&lt;"&amp;DATE($C$3,13,1))</f>
        <v>0</v>
      </c>
    </row>
    <row r="23" customFormat="false" ht="15" hidden="false" customHeight="false" outlineLevel="0" collapsed="false">
      <c r="B23" s="37" t="s">
        <v>72</v>
      </c>
      <c r="C23" s="38" t="n">
        <f aca="false">SUM(C11:C22)</f>
        <v>5</v>
      </c>
      <c r="D23" s="39" t="n">
        <f aca="false">SUM(D11:D22)</f>
        <v>38000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6"/>
  </cols>
  <sheetData>
    <row r="1" customFormat="false" ht="19.7" hidden="false" customHeight="false" outlineLevel="0" collapsed="false">
      <c r="B1" s="8" t="s">
        <v>73</v>
      </c>
    </row>
    <row r="2" customFormat="false" ht="30" hidden="false" customHeight="true" outlineLevel="0" collapsed="false">
      <c r="B2" s="40" t="s">
        <v>74</v>
      </c>
      <c r="C2" s="40"/>
    </row>
    <row r="3" customFormat="false" ht="31.5" hidden="false" customHeight="true" outlineLevel="0" collapsed="false">
      <c r="B3" s="41" t="s">
        <v>75</v>
      </c>
      <c r="C3" s="41"/>
    </row>
    <row r="5" customFormat="false" ht="15" hidden="false" customHeight="false" outlineLevel="0" collapsed="false">
      <c r="B5" s="42" t="s">
        <v>76</v>
      </c>
      <c r="C5" s="42" t="s">
        <v>77</v>
      </c>
    </row>
    <row r="6" customFormat="false" ht="31.5" hidden="false" customHeight="true" outlineLevel="0" collapsed="false">
      <c r="B6" s="43" t="s">
        <v>78</v>
      </c>
      <c r="C6" s="44" t="s">
        <v>79</v>
      </c>
    </row>
    <row r="7" customFormat="false" ht="31.5" hidden="false" customHeight="true" outlineLevel="0" collapsed="false">
      <c r="B7" s="45" t="s">
        <v>80</v>
      </c>
      <c r="C7" s="46" t="s">
        <v>81</v>
      </c>
    </row>
    <row r="8" customFormat="false" ht="31.5" hidden="false" customHeight="true" outlineLevel="0" collapsed="false">
      <c r="B8" s="43" t="s">
        <v>82</v>
      </c>
      <c r="C8" s="44" t="s">
        <v>83</v>
      </c>
    </row>
    <row r="9" customFormat="false" ht="31.5" hidden="false" customHeight="true" outlineLevel="0" collapsed="false">
      <c r="B9" s="45" t="s">
        <v>84</v>
      </c>
      <c r="C9" s="46" t="s">
        <v>85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2026-10-04T22:00:00Z</dcterms:created>
  <dc:creator>openpyxl</dc:creator>
  <dc:description/>
  <dc:language>en-US</dc:language>
  <cp:lastModifiedBy/>
  <dcterms:modified xsi:type="dcterms:W3CDTF">2026-10-04T22:00:01Z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