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Takip" sheetId="2" state="visible" r:id="rId4"/>
    <sheet name="Alışkanlıklar" sheetId="3" state="visible" r:id="rId5"/>
    <sheet name="Aylar" sheetId="4" state="visible" r:id="rId6"/>
    <sheet name="Seri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<sst xmlns="http://schemas.openxmlformats.org/spreadsheetml/2006/main" count="82" uniqueCount="80">
  <si>
    <t xml:space="preserve">EXCEL KLİNİĞİ</t>
  </si>
  <si>
    <t xml:space="preserve">RİTİM  |  Alışkanlık takibi</t>
  </si>
  <si>
    <t xml:space="preserve">Her gün bir işaret koy; serini, haftalık hedefini ve aylık gidişini dosya saysın.</t>
  </si>
  <si>
    <t xml:space="preserve">NASIL KULLANILIR</t>
  </si>
  <si>
    <t xml:space="preserve">1. Alışkanlıklar</t>
  </si>
  <si>
    <t xml:space="preserve">Yılı, takip edeceğin alışkanlıkları ve haftada kaç gün yapmayı hedeflediğini yaz.</t>
  </si>
  <si>
    <t xml:space="preserve">2. Takip</t>
  </si>
  <si>
    <t xml:space="preserve">Her gün, yaptığın alışkanlığın hücresine 1 yaz. Bugünün satırı yeşil görünür.</t>
  </si>
  <si>
    <t xml:space="preserve">3. Alışkanlıklar sayfasına dön</t>
  </si>
  <si>
    <t xml:space="preserve">Toplam gün, bu ay, bu hafta ile hedef, son 30 gün oranı, şimdiki seri ve en uzun seri hesaplanır.</t>
  </si>
  <si>
    <t xml:space="preserve">4. Aylar</t>
  </si>
  <si>
    <t xml:space="preserve">Her alışkanlığı her ay kaç gün yaptığını gösterir.</t>
  </si>
  <si>
    <t xml:space="preserve">BİLMEN GEREKENLER</t>
  </si>
  <si>
    <t xml:space="preserve">Seri</t>
  </si>
  <si>
    <t xml:space="preserve">Art arda işaretlenen gün sayısıdır. Bugünü henüz işaretlemediysen dünkü seri gösterilir; dün de boşsa seri sıfırlanır.</t>
  </si>
  <si>
    <t xml:space="preserve">Hafta</t>
  </si>
  <si>
    <t xml:space="preserve">Hafta pazartesi başlar.</t>
  </si>
  <si>
    <t xml:space="preserve">Tek yıl</t>
  </si>
  <si>
    <t xml:space="preserve">Bir dosya bir yılı tutar. Yeni yıl için boş bir kopyayla başla.</t>
  </si>
  <si>
    <t xml:space="preserve">Kapasite</t>
  </si>
  <si>
    <t xml:space="preserve">15 alışkanlık, bir yıl.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</si>
  <si>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</si>
  <si>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</si>
  <si>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</si>
  <si>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</si>
  <si>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</si>
  <si>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Takip</t>
  </si>
  <si>
    <t xml:space="preserve">Yaptığın günün hücresine 1 yaz. Bugünün satırı yeşil renklidir.</t>
  </si>
  <si>
    <t xml:space="preserve">Tarih</t>
  </si>
  <si>
    <t xml:space="preserve">Gün</t>
  </si>
  <si>
    <t xml:space="preserve">y</t>
  </si>
  <si>
    <t xml:space="preserve">Alışkanlıklar</t>
  </si>
  <si>
    <t xml:space="preserve">Yılı ve takip edeceğin alışkanlıkları yaz. Gerisi Takip sayfasındaki işaretlerinden hesaplanır.</t>
  </si>
  <si>
    <t xml:space="preserve">Yıl</t>
  </si>
  <si>
    <t xml:space="preserve">Alışkanlık</t>
  </si>
  <si>
    <t xml:space="preserve">Haftalık hedef (gün)</t>
  </si>
  <si>
    <t xml:space="preserve">Toplam gün</t>
  </si>
  <si>
    <t xml:space="preserve">Bu ay</t>
  </si>
  <si>
    <t xml:space="preserve">Bu hafta</t>
  </si>
  <si>
    <t xml:space="preserve">Son 30 gün</t>
  </si>
  <si>
    <t xml:space="preserve">Şimdiki seri</t>
  </si>
  <si>
    <t xml:space="preserve">En uzun seri</t>
  </si>
  <si>
    <t xml:space="preserve">Yürüyüş (30 dk)</t>
  </si>
  <si>
    <t xml:space="preserve">Kitap okuma (20 sayfa)</t>
  </si>
  <si>
    <t xml:space="preserve">İngilizce çalışma</t>
  </si>
  <si>
    <t xml:space="preserve">Su (2 litre)</t>
  </si>
  <si>
    <t xml:space="preserve">Aylara Göre</t>
  </si>
  <si>
    <t xml:space="preserve">Her alışkanlığı her ay kaç gün yaptığın.</t>
  </si>
  <si>
    <t xml:space="preserve">Oca</t>
  </si>
  <si>
    <t xml:space="preserve">Şub</t>
  </si>
  <si>
    <t xml:space="preserve">Mar</t>
  </si>
  <si>
    <t xml:space="preserve">Nis</t>
  </si>
  <si>
    <t xml:space="preserve">May</t>
  </si>
  <si>
    <t xml:space="preserve">Haz</t>
  </si>
  <si>
    <t xml:space="preserve">Tem</t>
  </si>
  <si>
    <t xml:space="preserve">Ağu</t>
  </si>
  <si>
    <t xml:space="preserve">Eyl</t>
  </si>
  <si>
    <t xml:space="preserve">Eki</t>
  </si>
  <si>
    <t xml:space="preserve">Kas</t>
  </si>
  <si>
    <t xml:space="preserve">Ara</t>
  </si>
  <si>
    <t xml:space="preserve">Toplam</t>
  </si>
  <si>
    <t xml:space="preserve">Seri (dokunma)</t>
  </si>
  <si>
    <t xml:space="preserve">Art arda gün sayısının ara hesabı. Bu sayfayı değiştirme.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</si>
  <si>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</si>
  <si>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</si>
  <si>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Sağlıkla ilgili özel bilgileri paylaşmak zorunda değilsin; alışkanlık adlarını genel tutabilirsin. Yapay zekanın verdiği rakamları dosyadaki özet sayfasıyla karşılaştır.</t>
  </si>
  <si>
    <t xml:space="preserve">Ne için</t>
  </si>
  <si>
    <t xml:space="preserve">Komut (kopyala, yapıştır)</t>
  </si>
  <si>
    <t xml:space="preserve">Gidiş yorumu</t>
  </si>
  <si>
    <t xml:space="preserve">[Alışkanlıklar sayfası] Hedefime göre hangi alışkanlıkta iyiyim, hangisinde geride kalıyorum? Kısa ve dürüst yorumla.</t>
  </si>
  <si>
    <t xml:space="preserve">Kopma günleri</t>
  </si>
  <si>
    <t xml:space="preserve">[Takip sayfası] Serilerimin en çok hangi günlerde bozulduğunu bul. O günler için küçük bir önlem öner.</t>
  </si>
  <si>
    <t xml:space="preserve">Hedef ayarı</t>
  </si>
  <si>
    <t xml:space="preserve">[Alışkanlıklar sayfası] Son 30 gün oranıma bakarak haftalık hedeflerimi gerçekçi olacak şekilde yeniden öner.</t>
  </si>
  <si>
    <t xml:space="preserve">Küçük adım</t>
  </si>
  <si>
    <t xml:space="preserve">[Alışkanlık adı] alışkanlığını sürdüremiyorum. İki dakikada yapılabilecek daha küçük bir sürümünü öner.</t>
  </si>
  <si>
    <t xml:space="preserve">Aylık özet</t>
  </si>
  <si>
    <t xml:space="preserve">[Aylar sayfası] Aylara göre gidişimi üç cümleyle özetle ve gelecek ay için tek bir odak öner.</t>
  </si>
  <si>
    <t xml:space="preserve">Hatırlatma planı</t>
  </si>
  <si>
    <t xml:space="preserve">Bu alışkanlıklar için günün hangi saatine hangi hatırlatmayı koymalıyım? Sabah, öğle ve akşam olarak planla.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</si>
</sst>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.mm\.yyyy"/>
    <numFmt numFmtId="166" formatCode="General"/>
    <numFmt numFmtId="167" formatCode="0"/>
    <numFmt numFmtId="168" formatCode="#,##0;[RED]\-#,##0;\-"/>
    <numFmt numFmtId="169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475467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1F6F43"/>
      </font>
      <fill>
        <patternFill>
          <bgColor rgb="FFB7E4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B7E4C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0" customFormat="false" ht="18" hidden="false" customHeight="true" outlineLevel="0" collapsed="false">
      <c r="B10" s="5" t="s">
        <v>10</v>
      </c>
      <c r="C10" s="6" t="s">
        <v>11</v>
      </c>
    </row>
    <row r="12" customFormat="false" ht="19.5" hidden="false" customHeight="true" outlineLevel="0" collapsed="false">
      <c r="B12" s="4" t="s">
        <v>12</v>
      </c>
      <c r="C12" s="4"/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6" customFormat="false" ht="18" hidden="false" customHeight="true" outlineLevel="0" collapsed="false">
      <c r="B16" s="5" t="s">
        <v>19</v>
      </c>
      <c r="C16" s="6" t="s">
        <v>20</v>
      </c>
    </row>
    <row r="18" customFormat="false" ht="19.5" hidden="false" customHeight="true" outlineLevel="0" collapsed="false">
      <c r="B18" s="4" t="s">
        <v>21</v>
      </c>
      <c r="C18" s="4"/>
    </row>
    <row r="19" customFormat="false" ht="18" hidden="false" customHeight="true" outlineLevel="0" collapsed="false">
      <c r="B19" s="7" t="s">
        <v>22</v>
      </c>
      <c r="C19" s="6" t="s">
        <v>23</v>
      </c>
    </row>
    <row r="20" customFormat="false" ht="18" hidden="false" customHeight="true" outlineLevel="0" collapsed="false">
      <c r="B20" s="5" t="s">
        <v>24</v>
      </c>
      <c r="C20" s="6" t="s">
        <v>25</v>
      </c>
    </row>
  </sheetData>
  <mergeCells count="6">
    <mergeCell ref="B2:C2"/>
    <mergeCell ref="B3:C3"/>
    <mergeCell ref="B4:C4"/>
    <mergeCell ref="B6:C6"/>
    <mergeCell ref="B12:C12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S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17" min="3" style="0" width="13"/>
    <col collapsed="false" customWidth="true" hidden="true" outlineLevel="0" max="19" min="18" style="0" width="4"/>
  </cols>
  <sheetData>
    <row r="1" customFormat="false" ht="19.7" hidden="false" customHeight="false" outlineLevel="0" collapsed="false">
      <c r="A1" s="8" t="s">
        <v>26</v>
      </c>
    </row>
    <row r="2" customFormat="false" ht="15" hidden="false" customHeight="false" outlineLevel="0" collapsed="false">
      <c r="A2" s="9" t="s">
        <v>27</v>
      </c>
    </row>
    <row r="4" customFormat="false" ht="33.75" hidden="false" customHeight="true" outlineLevel="0" collapsed="false">
      <c r="A4" s="10" t="s">
        <v>28</v>
      </c>
      <c r="B4" s="10" t="s">
        <v>29</v>
      </c>
      <c r="C4" s="10" t="str">
        <f aca="false">IF(Alışkanlıklar!A5="","",Alışkanlıklar!A5)</f>
        <v>Yürüyüş (30 dk)</v>
      </c>
      <c r="D4" s="10" t="str">
        <f aca="false">IF(Alışkanlıklar!A6="","",Alışkanlıklar!A6)</f>
        <v>Kitap okuma (20 sayfa)</v>
      </c>
      <c r="E4" s="10" t="str">
        <f aca="false">IF(Alışkanlıklar!A7="","",Alışkanlıklar!A7)</f>
        <v>İngilizce çalışma</v>
      </c>
      <c r="F4" s="10" t="str">
        <f aca="false">IF(Alışkanlıklar!A8="","",Alışkanlıklar!A8)</f>
        <v>Su (2 litre)</v>
      </c>
      <c r="G4" s="10" t="str">
        <f aca="false">IF(Alışkanlıklar!A9="","",Alışkanlıklar!A9)</f>
        <v/>
      </c>
      <c r="H4" s="10" t="str">
        <f aca="false">IF(Alışkanlıklar!A10="","",Alışkanlıklar!A10)</f>
        <v/>
      </c>
      <c r="I4" s="10" t="str">
        <f aca="false">IF(Alışkanlıklar!A11="","",Alışkanlıklar!A11)</f>
        <v/>
      </c>
      <c r="J4" s="10" t="str">
        <f aca="false">IF(Alışkanlıklar!A12="","",Alışkanlıklar!A12)</f>
        <v/>
      </c>
      <c r="K4" s="10" t="str">
        <f aca="false">IF(Alışkanlıklar!A13="","",Alışkanlıklar!A13)</f>
        <v/>
      </c>
      <c r="L4" s="10" t="str">
        <f aca="false">IF(Alışkanlıklar!A14="","",Alışkanlıklar!A14)</f>
        <v/>
      </c>
      <c r="M4" s="10" t="str">
        <f aca="false">IF(Alışkanlıklar!A15="","",Alışkanlıklar!A15)</f>
        <v/>
      </c>
      <c r="N4" s="10" t="str">
        <f aca="false">IF(Alışkanlıklar!A16="","",Alışkanlıklar!A16)</f>
        <v/>
      </c>
      <c r="O4" s="10" t="str">
        <f aca="false">IF(Alışkanlıklar!A17="","",Alışkanlıklar!A17)</f>
        <v/>
      </c>
      <c r="P4" s="10" t="str">
        <f aca="false">IF(Alışkanlıklar!A18="","",Alışkanlıklar!A18)</f>
        <v/>
      </c>
      <c r="Q4" s="10" t="str">
        <f aca="false">IF(Alışkanlıklar!A19="","",Alışkanlıklar!A19)</f>
        <v/>
      </c>
      <c r="R4" s="10" t="s">
        <v>30</v>
      </c>
      <c r="S4" s="10" t="s">
        <v>30</v>
      </c>
    </row>
    <row r="5" customFormat="false" ht="3.75" hidden="false" customHeight="true" outlineLevel="0" collapsed="false"/>
    <row r="6" customFormat="false" ht="15" hidden="false" customHeight="false" outlineLevel="0" collapsed="false">
      <c r="A6" s="11" t="n">
        <f aca="false">DATE(Alışkanlıklar!$K$3,1,1)</f>
        <v>46023</v>
      </c>
      <c r="B6" s="12" t="str">
        <f aca="false">IF(A6="","",CHOOSE(WEEKDAY(A6,2),"Pzt","Sal","Çar","Per","Cum","Cmt","Paz"))</f>
        <v>Per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 t="n">
        <f aca="false">IF(A6="",0,A6)</f>
        <v>46023</v>
      </c>
      <c r="S6" s="15" t="n">
        <f aca="false">IF(A6="",0,MONTH(A6))</f>
        <v>1</v>
      </c>
    </row>
    <row r="7" customFormat="false" ht="15" hidden="false" customHeight="false" outlineLevel="0" collapsed="false">
      <c r="A7" s="11" t="n">
        <f aca="false">A6+1</f>
        <v>46024</v>
      </c>
      <c r="B7" s="12" t="str">
        <f aca="false">IF(A7="","",CHOOSE(WEEKDAY(A7,2),"Pzt","Sal","Çar","Per","Cum","Cmt","Paz"))</f>
        <v>Cum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4" t="n">
        <f aca="false">IF(A7="",0,A7)</f>
        <v>46024</v>
      </c>
      <c r="S7" s="15" t="n">
        <f aca="false">IF(A7="",0,MONTH(A7))</f>
        <v>1</v>
      </c>
    </row>
    <row r="8" customFormat="false" ht="15" hidden="false" customHeight="false" outlineLevel="0" collapsed="false">
      <c r="A8" s="11" t="n">
        <f aca="false">A7+1</f>
        <v>46025</v>
      </c>
      <c r="B8" s="12" t="str">
        <f aca="false">IF(A8="","",CHOOSE(WEEKDAY(A8,2),"Pzt","Sal","Çar","Per","Cum","Cmt","Paz"))</f>
        <v>Cmt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4" t="n">
        <f aca="false">IF(A8="",0,A8)</f>
        <v>46025</v>
      </c>
      <c r="S8" s="15" t="n">
        <f aca="false">IF(A8="",0,MONTH(A8))</f>
        <v>1</v>
      </c>
    </row>
    <row r="9" customFormat="false" ht="15" hidden="false" customHeight="false" outlineLevel="0" collapsed="false">
      <c r="A9" s="11" t="n">
        <f aca="false">A8+1</f>
        <v>46026</v>
      </c>
      <c r="B9" s="12" t="str">
        <f aca="false">IF(A9="","",CHOOSE(WEEKDAY(A9,2),"Pzt","Sal","Çar","Per","Cum","Cmt","Paz"))</f>
        <v>Paz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4" t="n">
        <f aca="false">IF(A9="",0,A9)</f>
        <v>46026</v>
      </c>
      <c r="S9" s="15" t="n">
        <f aca="false">IF(A9="",0,MONTH(A9))</f>
        <v>1</v>
      </c>
    </row>
    <row r="10" customFormat="false" ht="15" hidden="false" customHeight="false" outlineLevel="0" collapsed="false">
      <c r="A10" s="11" t="n">
        <f aca="false">A9+1</f>
        <v>46027</v>
      </c>
      <c r="B10" s="12" t="str">
        <f aca="false">IF(A10="","",CHOOSE(WEEKDAY(A10,2),"Pzt","Sal","Çar","Per","Cum","Cmt","Paz"))</f>
        <v>Pzt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4" t="n">
        <f aca="false">IF(A10="",0,A10)</f>
        <v>46027</v>
      </c>
      <c r="S10" s="15" t="n">
        <f aca="false">IF(A10="",0,MONTH(A10))</f>
        <v>1</v>
      </c>
    </row>
    <row r="11" customFormat="false" ht="15" hidden="false" customHeight="false" outlineLevel="0" collapsed="false">
      <c r="A11" s="11" t="n">
        <f aca="false">A10+1</f>
        <v>46028</v>
      </c>
      <c r="B11" s="12" t="str">
        <f aca="false">IF(A11="","",CHOOSE(WEEKDAY(A11,2),"Pzt","Sal","Çar","Per","Cum","Cmt","Paz"))</f>
        <v>Sal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4" t="n">
        <f aca="false">IF(A11="",0,A11)</f>
        <v>46028</v>
      </c>
      <c r="S11" s="15" t="n">
        <f aca="false">IF(A11="",0,MONTH(A11))</f>
        <v>1</v>
      </c>
    </row>
    <row r="12" customFormat="false" ht="15" hidden="false" customHeight="false" outlineLevel="0" collapsed="false">
      <c r="A12" s="11" t="n">
        <f aca="false">A11+1</f>
        <v>46029</v>
      </c>
      <c r="B12" s="12" t="str">
        <f aca="false">IF(A12="","",CHOOSE(WEEKDAY(A12,2),"Pzt","Sal","Çar","Per","Cum","Cmt","Paz"))</f>
        <v>Çar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4" t="n">
        <f aca="false">IF(A12="",0,A12)</f>
        <v>46029</v>
      </c>
      <c r="S12" s="15" t="n">
        <f aca="false">IF(A12="",0,MONTH(A12))</f>
        <v>1</v>
      </c>
    </row>
    <row r="13" customFormat="false" ht="15" hidden="false" customHeight="false" outlineLevel="0" collapsed="false">
      <c r="A13" s="11" t="n">
        <f aca="false">A12+1</f>
        <v>46030</v>
      </c>
      <c r="B13" s="12" t="str">
        <f aca="false">IF(A13="","",CHOOSE(WEEKDAY(A13,2),"Pzt","Sal","Çar","Per","Cum","Cmt","Paz"))</f>
        <v>Per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4" t="n">
        <f aca="false">IF(A13="",0,A13)</f>
        <v>46030</v>
      </c>
      <c r="S13" s="15" t="n">
        <f aca="false">IF(A13="",0,MONTH(A13))</f>
        <v>1</v>
      </c>
    </row>
    <row r="14" customFormat="false" ht="15" hidden="false" customHeight="false" outlineLevel="0" collapsed="false">
      <c r="A14" s="11" t="n">
        <f aca="false">A13+1</f>
        <v>46031</v>
      </c>
      <c r="B14" s="12" t="str">
        <f aca="false">IF(A14="","",CHOOSE(WEEKDAY(A14,2),"Pzt","Sal","Çar","Per","Cum","Cmt","Paz"))</f>
        <v>Cum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4" t="n">
        <f aca="false">IF(A14="",0,A14)</f>
        <v>46031</v>
      </c>
      <c r="S14" s="15" t="n">
        <f aca="false">IF(A14="",0,MONTH(A14))</f>
        <v>1</v>
      </c>
    </row>
    <row r="15" customFormat="false" ht="15" hidden="false" customHeight="false" outlineLevel="0" collapsed="false">
      <c r="A15" s="11" t="n">
        <f aca="false">A14+1</f>
        <v>46032</v>
      </c>
      <c r="B15" s="12" t="str">
        <f aca="false">IF(A15="","",CHOOSE(WEEKDAY(A15,2),"Pzt","Sal","Çar","Per","Cum","Cmt","Paz"))</f>
        <v>Cmt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4" t="n">
        <f aca="false">IF(A15="",0,A15)</f>
        <v>46032</v>
      </c>
      <c r="S15" s="15" t="n">
        <f aca="false">IF(A15="",0,MONTH(A15))</f>
        <v>1</v>
      </c>
    </row>
    <row r="16" customFormat="false" ht="15" hidden="false" customHeight="false" outlineLevel="0" collapsed="false">
      <c r="A16" s="11" t="n">
        <f aca="false">A15+1</f>
        <v>46033</v>
      </c>
      <c r="B16" s="12" t="str">
        <f aca="false">IF(A16="","",CHOOSE(WEEKDAY(A16,2),"Pzt","Sal","Çar","Per","Cum","Cmt","Paz"))</f>
        <v>Paz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4" t="n">
        <f aca="false">IF(A16="",0,A16)</f>
        <v>46033</v>
      </c>
      <c r="S16" s="15" t="n">
        <f aca="false">IF(A16="",0,MONTH(A16))</f>
        <v>1</v>
      </c>
    </row>
    <row r="17" customFormat="false" ht="15" hidden="false" customHeight="false" outlineLevel="0" collapsed="false">
      <c r="A17" s="11" t="n">
        <f aca="false">A16+1</f>
        <v>46034</v>
      </c>
      <c r="B17" s="12" t="str">
        <f aca="false">IF(A17="","",CHOOSE(WEEKDAY(A17,2),"Pzt","Sal","Çar","Per","Cum","Cmt","Paz"))</f>
        <v>Pzt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4" t="n">
        <f aca="false">IF(A17="",0,A17)</f>
        <v>46034</v>
      </c>
      <c r="S17" s="15" t="n">
        <f aca="false">IF(A17="",0,MONTH(A17))</f>
        <v>1</v>
      </c>
    </row>
    <row r="18" customFormat="false" ht="15" hidden="false" customHeight="false" outlineLevel="0" collapsed="false">
      <c r="A18" s="11" t="n">
        <f aca="false">A17+1</f>
        <v>46035</v>
      </c>
      <c r="B18" s="12" t="str">
        <f aca="false">IF(A18="","",CHOOSE(WEEKDAY(A18,2),"Pzt","Sal","Çar","Per","Cum","Cmt","Paz"))</f>
        <v>Sal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4" t="n">
        <f aca="false">IF(A18="",0,A18)</f>
        <v>46035</v>
      </c>
      <c r="S18" s="15" t="n">
        <f aca="false">IF(A18="",0,MONTH(A18))</f>
        <v>1</v>
      </c>
    </row>
    <row r="19" customFormat="false" ht="15" hidden="false" customHeight="false" outlineLevel="0" collapsed="false">
      <c r="A19" s="11" t="n">
        <f aca="false">A18+1</f>
        <v>46036</v>
      </c>
      <c r="B19" s="12" t="str">
        <f aca="false">IF(A19="","",CHOOSE(WEEKDAY(A19,2),"Pzt","Sal","Çar","Per","Cum","Cmt","Paz"))</f>
        <v>Çar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4" t="n">
        <f aca="false">IF(A19="",0,A19)</f>
        <v>46036</v>
      </c>
      <c r="S19" s="15" t="n">
        <f aca="false">IF(A19="",0,MONTH(A19))</f>
        <v>1</v>
      </c>
    </row>
    <row r="20" customFormat="false" ht="15" hidden="false" customHeight="false" outlineLevel="0" collapsed="false">
      <c r="A20" s="11" t="n">
        <f aca="false">A19+1</f>
        <v>46037</v>
      </c>
      <c r="B20" s="12" t="str">
        <f aca="false">IF(A20="","",CHOOSE(WEEKDAY(A20,2),"Pzt","Sal","Çar","Per","Cum","Cmt","Paz"))</f>
        <v>Per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4" t="n">
        <f aca="false">IF(A20="",0,A20)</f>
        <v>46037</v>
      </c>
      <c r="S20" s="15" t="n">
        <f aca="false">IF(A20="",0,MONTH(A20))</f>
        <v>1</v>
      </c>
    </row>
    <row r="21" customFormat="false" ht="15" hidden="false" customHeight="false" outlineLevel="0" collapsed="false">
      <c r="A21" s="11" t="n">
        <f aca="false">A20+1</f>
        <v>46038</v>
      </c>
      <c r="B21" s="12" t="str">
        <f aca="false">IF(A21="","",CHOOSE(WEEKDAY(A21,2),"Pzt","Sal","Çar","Per","Cum","Cmt","Paz"))</f>
        <v>Cum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4" t="n">
        <f aca="false">IF(A21="",0,A21)</f>
        <v>46038</v>
      </c>
      <c r="S21" s="15" t="n">
        <f aca="false">IF(A21="",0,MONTH(A21))</f>
        <v>1</v>
      </c>
    </row>
    <row r="22" customFormat="false" ht="15" hidden="false" customHeight="false" outlineLevel="0" collapsed="false">
      <c r="A22" s="11" t="n">
        <f aca="false">A21+1</f>
        <v>46039</v>
      </c>
      <c r="B22" s="12" t="str">
        <f aca="false">IF(A22="","",CHOOSE(WEEKDAY(A22,2),"Pzt","Sal","Çar","Per","Cum","Cmt","Paz"))</f>
        <v>Cmt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4" t="n">
        <f aca="false">IF(A22="",0,A22)</f>
        <v>46039</v>
      </c>
      <c r="S22" s="15" t="n">
        <f aca="false">IF(A22="",0,MONTH(A22))</f>
        <v>1</v>
      </c>
    </row>
    <row r="23" customFormat="false" ht="15" hidden="false" customHeight="false" outlineLevel="0" collapsed="false">
      <c r="A23" s="11" t="n">
        <f aca="false">A22+1</f>
        <v>46040</v>
      </c>
      <c r="B23" s="12" t="str">
        <f aca="false">IF(A23="","",CHOOSE(WEEKDAY(A23,2),"Pzt","Sal","Çar","Per","Cum","Cmt","Paz"))</f>
        <v>Paz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4" t="n">
        <f aca="false">IF(A23="",0,A23)</f>
        <v>46040</v>
      </c>
      <c r="S23" s="15" t="n">
        <f aca="false">IF(A23="",0,MONTH(A23))</f>
        <v>1</v>
      </c>
    </row>
    <row r="24" customFormat="false" ht="15" hidden="false" customHeight="false" outlineLevel="0" collapsed="false">
      <c r="A24" s="11" t="n">
        <f aca="false">A23+1</f>
        <v>46041</v>
      </c>
      <c r="B24" s="12" t="str">
        <f aca="false">IF(A24="","",CHOOSE(WEEKDAY(A24,2),"Pzt","Sal","Çar","Per","Cum","Cmt","Paz"))</f>
        <v>Pzt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4" t="n">
        <f aca="false">IF(A24="",0,A24)</f>
        <v>46041</v>
      </c>
      <c r="S24" s="15" t="n">
        <f aca="false">IF(A24="",0,MONTH(A24))</f>
        <v>1</v>
      </c>
    </row>
    <row r="25" customFormat="false" ht="15" hidden="false" customHeight="false" outlineLevel="0" collapsed="false">
      <c r="A25" s="11" t="n">
        <f aca="false">A24+1</f>
        <v>46042</v>
      </c>
      <c r="B25" s="12" t="str">
        <f aca="false">IF(A25="","",CHOOSE(WEEKDAY(A25,2),"Pzt","Sal","Çar","Per","Cum","Cmt","Paz"))</f>
        <v>Sal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4" t="n">
        <f aca="false">IF(A25="",0,A25)</f>
        <v>46042</v>
      </c>
      <c r="S25" s="15" t="n">
        <f aca="false">IF(A25="",0,MONTH(A25))</f>
        <v>1</v>
      </c>
    </row>
    <row r="26" customFormat="false" ht="15" hidden="false" customHeight="false" outlineLevel="0" collapsed="false">
      <c r="A26" s="11" t="n">
        <f aca="false">A25+1</f>
        <v>46043</v>
      </c>
      <c r="B26" s="12" t="str">
        <f aca="false">IF(A26="","",CHOOSE(WEEKDAY(A26,2),"Pzt","Sal","Çar","Per","Cum","Cmt","Paz"))</f>
        <v>Çar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4" t="n">
        <f aca="false">IF(A26="",0,A26)</f>
        <v>46043</v>
      </c>
      <c r="S26" s="15" t="n">
        <f aca="false">IF(A26="",0,MONTH(A26))</f>
        <v>1</v>
      </c>
    </row>
    <row r="27" customFormat="false" ht="15" hidden="false" customHeight="false" outlineLevel="0" collapsed="false">
      <c r="A27" s="11" t="n">
        <f aca="false">A26+1</f>
        <v>46044</v>
      </c>
      <c r="B27" s="12" t="str">
        <f aca="false">IF(A27="","",CHOOSE(WEEKDAY(A27,2),"Pzt","Sal","Çar","Per","Cum","Cmt","Paz"))</f>
        <v>Per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4" t="n">
        <f aca="false">IF(A27="",0,A27)</f>
        <v>46044</v>
      </c>
      <c r="S27" s="15" t="n">
        <f aca="false">IF(A27="",0,MONTH(A27))</f>
        <v>1</v>
      </c>
    </row>
    <row r="28" customFormat="false" ht="15" hidden="false" customHeight="false" outlineLevel="0" collapsed="false">
      <c r="A28" s="11" t="n">
        <f aca="false">A27+1</f>
        <v>46045</v>
      </c>
      <c r="B28" s="12" t="str">
        <f aca="false">IF(A28="","",CHOOSE(WEEKDAY(A28,2),"Pzt","Sal","Çar","Per","Cum","Cmt","Paz"))</f>
        <v>Cum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4" t="n">
        <f aca="false">IF(A28="",0,A28)</f>
        <v>46045</v>
      </c>
      <c r="S28" s="15" t="n">
        <f aca="false">IF(A28="",0,MONTH(A28))</f>
        <v>1</v>
      </c>
    </row>
    <row r="29" customFormat="false" ht="15" hidden="false" customHeight="false" outlineLevel="0" collapsed="false">
      <c r="A29" s="11" t="n">
        <f aca="false">A28+1</f>
        <v>46046</v>
      </c>
      <c r="B29" s="12" t="str">
        <f aca="false">IF(A29="","",CHOOSE(WEEKDAY(A29,2),"Pzt","Sal","Çar","Per","Cum","Cmt","Paz"))</f>
        <v>Cmt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4" t="n">
        <f aca="false">IF(A29="",0,A29)</f>
        <v>46046</v>
      </c>
      <c r="S29" s="15" t="n">
        <f aca="false">IF(A29="",0,MONTH(A29))</f>
        <v>1</v>
      </c>
    </row>
    <row r="30" customFormat="false" ht="15" hidden="false" customHeight="false" outlineLevel="0" collapsed="false">
      <c r="A30" s="11" t="n">
        <f aca="false">A29+1</f>
        <v>46047</v>
      </c>
      <c r="B30" s="12" t="str">
        <f aca="false">IF(A30="","",CHOOSE(WEEKDAY(A30,2),"Pzt","Sal","Çar","Per","Cum","Cmt","Paz"))</f>
        <v>Paz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4" t="n">
        <f aca="false">IF(A30="",0,A30)</f>
        <v>46047</v>
      </c>
      <c r="S30" s="15" t="n">
        <f aca="false">IF(A30="",0,MONTH(A30))</f>
        <v>1</v>
      </c>
    </row>
    <row r="31" customFormat="false" ht="15" hidden="false" customHeight="false" outlineLevel="0" collapsed="false">
      <c r="A31" s="11" t="n">
        <f aca="false">A30+1</f>
        <v>46048</v>
      </c>
      <c r="B31" s="12" t="str">
        <f aca="false">IF(A31="","",CHOOSE(WEEKDAY(A31,2),"Pzt","Sal","Çar","Per","Cum","Cmt","Paz"))</f>
        <v>Pzt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4" t="n">
        <f aca="false">IF(A31="",0,A31)</f>
        <v>46048</v>
      </c>
      <c r="S31" s="15" t="n">
        <f aca="false">IF(A31="",0,MONTH(A31))</f>
        <v>1</v>
      </c>
    </row>
    <row r="32" customFormat="false" ht="15" hidden="false" customHeight="false" outlineLevel="0" collapsed="false">
      <c r="A32" s="11" t="n">
        <f aca="false">A31+1</f>
        <v>46049</v>
      </c>
      <c r="B32" s="12" t="str">
        <f aca="false">IF(A32="","",CHOOSE(WEEKDAY(A32,2),"Pzt","Sal","Çar","Per","Cum","Cmt","Paz"))</f>
        <v>Sal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4" t="n">
        <f aca="false">IF(A32="",0,A32)</f>
        <v>46049</v>
      </c>
      <c r="S32" s="15" t="n">
        <f aca="false">IF(A32="",0,MONTH(A32))</f>
        <v>1</v>
      </c>
    </row>
    <row r="33" customFormat="false" ht="15" hidden="false" customHeight="false" outlineLevel="0" collapsed="false">
      <c r="A33" s="11" t="n">
        <f aca="false">A32+1</f>
        <v>46050</v>
      </c>
      <c r="B33" s="12" t="str">
        <f aca="false">IF(A33="","",CHOOSE(WEEKDAY(A33,2),"Pzt","Sal","Çar","Per","Cum","Cmt","Paz"))</f>
        <v>Çar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4" t="n">
        <f aca="false">IF(A33="",0,A33)</f>
        <v>46050</v>
      </c>
      <c r="S33" s="15" t="n">
        <f aca="false">IF(A33="",0,MONTH(A33))</f>
        <v>1</v>
      </c>
    </row>
    <row r="34" customFormat="false" ht="15" hidden="false" customHeight="false" outlineLevel="0" collapsed="false">
      <c r="A34" s="11" t="n">
        <f aca="false">A33+1</f>
        <v>46051</v>
      </c>
      <c r="B34" s="12" t="str">
        <f aca="false">IF(A34="","",CHOOSE(WEEKDAY(A34,2),"Pzt","Sal","Çar","Per","Cum","Cmt","Paz"))</f>
        <v>Per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4" t="n">
        <f aca="false">IF(A34="",0,A34)</f>
        <v>46051</v>
      </c>
      <c r="S34" s="15" t="n">
        <f aca="false">IF(A34="",0,MONTH(A34))</f>
        <v>1</v>
      </c>
    </row>
    <row r="35" customFormat="false" ht="15" hidden="false" customHeight="false" outlineLevel="0" collapsed="false">
      <c r="A35" s="11" t="n">
        <f aca="false">A34+1</f>
        <v>46052</v>
      </c>
      <c r="B35" s="12" t="str">
        <f aca="false">IF(A35="","",CHOOSE(WEEKDAY(A35,2),"Pzt","Sal","Çar","Per","Cum","Cmt","Paz"))</f>
        <v>Cum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4" t="n">
        <f aca="false">IF(A35="",0,A35)</f>
        <v>46052</v>
      </c>
      <c r="S35" s="15" t="n">
        <f aca="false">IF(A35="",0,MONTH(A35))</f>
        <v>1</v>
      </c>
    </row>
    <row r="36" customFormat="false" ht="15" hidden="false" customHeight="false" outlineLevel="0" collapsed="false">
      <c r="A36" s="11" t="n">
        <f aca="false">A35+1</f>
        <v>46053</v>
      </c>
      <c r="B36" s="12" t="str">
        <f aca="false">IF(A36="","",CHOOSE(WEEKDAY(A36,2),"Pzt","Sal","Çar","Per","Cum","Cmt","Paz"))</f>
        <v>Cmt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4" t="n">
        <f aca="false">IF(A36="",0,A36)</f>
        <v>46053</v>
      </c>
      <c r="S36" s="15" t="n">
        <f aca="false">IF(A36="",0,MONTH(A36))</f>
        <v>1</v>
      </c>
    </row>
    <row r="37" customFormat="false" ht="15" hidden="false" customHeight="false" outlineLevel="0" collapsed="false">
      <c r="A37" s="11" t="n">
        <f aca="false">A36+1</f>
        <v>46054</v>
      </c>
      <c r="B37" s="12" t="str">
        <f aca="false">IF(A37="","",CHOOSE(WEEKDAY(A37,2),"Pzt","Sal","Çar","Per","Cum","Cmt","Paz"))</f>
        <v>Paz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 t="n">
        <f aca="false">IF(A37="",0,A37)</f>
        <v>46054</v>
      </c>
      <c r="S37" s="15" t="n">
        <f aca="false">IF(A37="",0,MONTH(A37))</f>
        <v>2</v>
      </c>
    </row>
    <row r="38" customFormat="false" ht="15" hidden="false" customHeight="false" outlineLevel="0" collapsed="false">
      <c r="A38" s="11" t="n">
        <f aca="false">A37+1</f>
        <v>46055</v>
      </c>
      <c r="B38" s="12" t="str">
        <f aca="false">IF(A38="","",CHOOSE(WEEKDAY(A38,2),"Pzt","Sal","Çar","Per","Cum","Cmt","Paz"))</f>
        <v>Pzt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4" t="n">
        <f aca="false">IF(A38="",0,A38)</f>
        <v>46055</v>
      </c>
      <c r="S38" s="15" t="n">
        <f aca="false">IF(A38="",0,MONTH(A38))</f>
        <v>2</v>
      </c>
    </row>
    <row r="39" customFormat="false" ht="15" hidden="false" customHeight="false" outlineLevel="0" collapsed="false">
      <c r="A39" s="11" t="n">
        <f aca="false">A38+1</f>
        <v>46056</v>
      </c>
      <c r="B39" s="12" t="str">
        <f aca="false">IF(A39="","",CHOOSE(WEEKDAY(A39,2),"Pzt","Sal","Çar","Per","Cum","Cmt","Paz"))</f>
        <v>Sal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4" t="n">
        <f aca="false">IF(A39="",0,A39)</f>
        <v>46056</v>
      </c>
      <c r="S39" s="15" t="n">
        <f aca="false">IF(A39="",0,MONTH(A39))</f>
        <v>2</v>
      </c>
    </row>
    <row r="40" customFormat="false" ht="15" hidden="false" customHeight="false" outlineLevel="0" collapsed="false">
      <c r="A40" s="11" t="n">
        <f aca="false">A39+1</f>
        <v>46057</v>
      </c>
      <c r="B40" s="12" t="str">
        <f aca="false">IF(A40="","",CHOOSE(WEEKDAY(A40,2),"Pzt","Sal","Çar","Per","Cum","Cmt","Paz"))</f>
        <v>Çar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4" t="n">
        <f aca="false">IF(A40="",0,A40)</f>
        <v>46057</v>
      </c>
      <c r="S40" s="15" t="n">
        <f aca="false">IF(A40="",0,MONTH(A40))</f>
        <v>2</v>
      </c>
    </row>
    <row r="41" customFormat="false" ht="15" hidden="false" customHeight="false" outlineLevel="0" collapsed="false">
      <c r="A41" s="11" t="n">
        <f aca="false">A40+1</f>
        <v>46058</v>
      </c>
      <c r="B41" s="12" t="str">
        <f aca="false">IF(A41="","",CHOOSE(WEEKDAY(A41,2),"Pzt","Sal","Çar","Per","Cum","Cmt","Paz"))</f>
        <v>Per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 t="n">
        <f aca="false">IF(A41="",0,A41)</f>
        <v>46058</v>
      </c>
      <c r="S41" s="15" t="n">
        <f aca="false">IF(A41="",0,MONTH(A41))</f>
        <v>2</v>
      </c>
    </row>
    <row r="42" customFormat="false" ht="15" hidden="false" customHeight="false" outlineLevel="0" collapsed="false">
      <c r="A42" s="11" t="n">
        <f aca="false">A41+1</f>
        <v>46059</v>
      </c>
      <c r="B42" s="12" t="str">
        <f aca="false">IF(A42="","",CHOOSE(WEEKDAY(A42,2),"Pzt","Sal","Çar","Per","Cum","Cmt","Paz"))</f>
        <v>Cum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4" t="n">
        <f aca="false">IF(A42="",0,A42)</f>
        <v>46059</v>
      </c>
      <c r="S42" s="15" t="n">
        <f aca="false">IF(A42="",0,MONTH(A42))</f>
        <v>2</v>
      </c>
    </row>
    <row r="43" customFormat="false" ht="15" hidden="false" customHeight="false" outlineLevel="0" collapsed="false">
      <c r="A43" s="11" t="n">
        <f aca="false">A42+1</f>
        <v>46060</v>
      </c>
      <c r="B43" s="12" t="str">
        <f aca="false">IF(A43="","",CHOOSE(WEEKDAY(A43,2),"Pzt","Sal","Çar","Per","Cum","Cmt","Paz"))</f>
        <v>Cmt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4" t="n">
        <f aca="false">IF(A43="",0,A43)</f>
        <v>46060</v>
      </c>
      <c r="S43" s="15" t="n">
        <f aca="false">IF(A43="",0,MONTH(A43))</f>
        <v>2</v>
      </c>
    </row>
    <row r="44" customFormat="false" ht="15" hidden="false" customHeight="false" outlineLevel="0" collapsed="false">
      <c r="A44" s="11" t="n">
        <f aca="false">A43+1</f>
        <v>46061</v>
      </c>
      <c r="B44" s="12" t="str">
        <f aca="false">IF(A44="","",CHOOSE(WEEKDAY(A44,2),"Pzt","Sal","Çar","Per","Cum","Cmt","Paz"))</f>
        <v>Paz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4" t="n">
        <f aca="false">IF(A44="",0,A44)</f>
        <v>46061</v>
      </c>
      <c r="S44" s="15" t="n">
        <f aca="false">IF(A44="",0,MONTH(A44))</f>
        <v>2</v>
      </c>
    </row>
    <row r="45" customFormat="false" ht="15" hidden="false" customHeight="false" outlineLevel="0" collapsed="false">
      <c r="A45" s="11" t="n">
        <f aca="false">A44+1</f>
        <v>46062</v>
      </c>
      <c r="B45" s="12" t="str">
        <f aca="false">IF(A45="","",CHOOSE(WEEKDAY(A45,2),"Pzt","Sal","Çar","Per","Cum","Cmt","Paz"))</f>
        <v>Pzt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4" t="n">
        <f aca="false">IF(A45="",0,A45)</f>
        <v>46062</v>
      </c>
      <c r="S45" s="15" t="n">
        <f aca="false">IF(A45="",0,MONTH(A45))</f>
        <v>2</v>
      </c>
    </row>
    <row r="46" customFormat="false" ht="15" hidden="false" customHeight="false" outlineLevel="0" collapsed="false">
      <c r="A46" s="11" t="n">
        <f aca="false">A45+1</f>
        <v>46063</v>
      </c>
      <c r="B46" s="12" t="str">
        <f aca="false">IF(A46="","",CHOOSE(WEEKDAY(A46,2),"Pzt","Sal","Çar","Per","Cum","Cmt","Paz"))</f>
        <v>Sal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4" t="n">
        <f aca="false">IF(A46="",0,A46)</f>
        <v>46063</v>
      </c>
      <c r="S46" s="15" t="n">
        <f aca="false">IF(A46="",0,MONTH(A46))</f>
        <v>2</v>
      </c>
    </row>
    <row r="47" customFormat="false" ht="15" hidden="false" customHeight="false" outlineLevel="0" collapsed="false">
      <c r="A47" s="11" t="n">
        <f aca="false">A46+1</f>
        <v>46064</v>
      </c>
      <c r="B47" s="12" t="str">
        <f aca="false">IF(A47="","",CHOOSE(WEEKDAY(A47,2),"Pzt","Sal","Çar","Per","Cum","Cmt","Paz"))</f>
        <v>Çar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4" t="n">
        <f aca="false">IF(A47="",0,A47)</f>
        <v>46064</v>
      </c>
      <c r="S47" s="15" t="n">
        <f aca="false">IF(A47="",0,MONTH(A47))</f>
        <v>2</v>
      </c>
    </row>
    <row r="48" customFormat="false" ht="15" hidden="false" customHeight="false" outlineLevel="0" collapsed="false">
      <c r="A48" s="11" t="n">
        <f aca="false">A47+1</f>
        <v>46065</v>
      </c>
      <c r="B48" s="12" t="str">
        <f aca="false">IF(A48="","",CHOOSE(WEEKDAY(A48,2),"Pzt","Sal","Çar","Per","Cum","Cmt","Paz"))</f>
        <v>Per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4" t="n">
        <f aca="false">IF(A48="",0,A48)</f>
        <v>46065</v>
      </c>
      <c r="S48" s="15" t="n">
        <f aca="false">IF(A48="",0,MONTH(A48))</f>
        <v>2</v>
      </c>
    </row>
    <row r="49" customFormat="false" ht="15" hidden="false" customHeight="false" outlineLevel="0" collapsed="false">
      <c r="A49" s="11" t="n">
        <f aca="false">A48+1</f>
        <v>46066</v>
      </c>
      <c r="B49" s="12" t="str">
        <f aca="false">IF(A49="","",CHOOSE(WEEKDAY(A49,2),"Pzt","Sal","Çar","Per","Cum","Cmt","Paz"))</f>
        <v>Cum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4" t="n">
        <f aca="false">IF(A49="",0,A49)</f>
        <v>46066</v>
      </c>
      <c r="S49" s="15" t="n">
        <f aca="false">IF(A49="",0,MONTH(A49))</f>
        <v>2</v>
      </c>
    </row>
    <row r="50" customFormat="false" ht="15" hidden="false" customHeight="false" outlineLevel="0" collapsed="false">
      <c r="A50" s="11" t="n">
        <f aca="false">A49+1</f>
        <v>46067</v>
      </c>
      <c r="B50" s="12" t="str">
        <f aca="false">IF(A50="","",CHOOSE(WEEKDAY(A50,2),"Pzt","Sal","Çar","Per","Cum","Cmt","Paz"))</f>
        <v>Cmt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4" t="n">
        <f aca="false">IF(A50="",0,A50)</f>
        <v>46067</v>
      </c>
      <c r="S50" s="15" t="n">
        <f aca="false">IF(A50="",0,MONTH(A50))</f>
        <v>2</v>
      </c>
    </row>
    <row r="51" customFormat="false" ht="15" hidden="false" customHeight="false" outlineLevel="0" collapsed="false">
      <c r="A51" s="11" t="n">
        <f aca="false">A50+1</f>
        <v>46068</v>
      </c>
      <c r="B51" s="12" t="str">
        <f aca="false">IF(A51="","",CHOOSE(WEEKDAY(A51,2),"Pzt","Sal","Çar","Per","Cum","Cmt","Paz"))</f>
        <v>Paz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4" t="n">
        <f aca="false">IF(A51="",0,A51)</f>
        <v>46068</v>
      </c>
      <c r="S51" s="15" t="n">
        <f aca="false">IF(A51="",0,MONTH(A51))</f>
        <v>2</v>
      </c>
    </row>
    <row r="52" customFormat="false" ht="15" hidden="false" customHeight="false" outlineLevel="0" collapsed="false">
      <c r="A52" s="11" t="n">
        <f aca="false">A51+1</f>
        <v>46069</v>
      </c>
      <c r="B52" s="12" t="str">
        <f aca="false">IF(A52="","",CHOOSE(WEEKDAY(A52,2),"Pzt","Sal","Çar","Per","Cum","Cmt","Paz"))</f>
        <v>Pzt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4" t="n">
        <f aca="false">IF(A52="",0,A52)</f>
        <v>46069</v>
      </c>
      <c r="S52" s="15" t="n">
        <f aca="false">IF(A52="",0,MONTH(A52))</f>
        <v>2</v>
      </c>
    </row>
    <row r="53" customFormat="false" ht="15" hidden="false" customHeight="false" outlineLevel="0" collapsed="false">
      <c r="A53" s="11" t="n">
        <f aca="false">A52+1</f>
        <v>46070</v>
      </c>
      <c r="B53" s="12" t="str">
        <f aca="false">IF(A53="","",CHOOSE(WEEKDAY(A53,2),"Pzt","Sal","Çar","Per","Cum","Cmt","Paz"))</f>
        <v>Sal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4" t="n">
        <f aca="false">IF(A53="",0,A53)</f>
        <v>46070</v>
      </c>
      <c r="S53" s="15" t="n">
        <f aca="false">IF(A53="",0,MONTH(A53))</f>
        <v>2</v>
      </c>
    </row>
    <row r="54" customFormat="false" ht="15" hidden="false" customHeight="false" outlineLevel="0" collapsed="false">
      <c r="A54" s="11" t="n">
        <f aca="false">A53+1</f>
        <v>46071</v>
      </c>
      <c r="B54" s="12" t="str">
        <f aca="false">IF(A54="","",CHOOSE(WEEKDAY(A54,2),"Pzt","Sal","Çar","Per","Cum","Cmt","Paz"))</f>
        <v>Çar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4" t="n">
        <f aca="false">IF(A54="",0,A54)</f>
        <v>46071</v>
      </c>
      <c r="S54" s="15" t="n">
        <f aca="false">IF(A54="",0,MONTH(A54))</f>
        <v>2</v>
      </c>
    </row>
    <row r="55" customFormat="false" ht="15" hidden="false" customHeight="false" outlineLevel="0" collapsed="false">
      <c r="A55" s="11" t="n">
        <f aca="false">A54+1</f>
        <v>46072</v>
      </c>
      <c r="B55" s="12" t="str">
        <f aca="false">IF(A55="","",CHOOSE(WEEKDAY(A55,2),"Pzt","Sal","Çar","Per","Cum","Cmt","Paz"))</f>
        <v>Per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4" t="n">
        <f aca="false">IF(A55="",0,A55)</f>
        <v>46072</v>
      </c>
      <c r="S55" s="15" t="n">
        <f aca="false">IF(A55="",0,MONTH(A55))</f>
        <v>2</v>
      </c>
    </row>
    <row r="56" customFormat="false" ht="15" hidden="false" customHeight="false" outlineLevel="0" collapsed="false">
      <c r="A56" s="11" t="n">
        <f aca="false">A55+1</f>
        <v>46073</v>
      </c>
      <c r="B56" s="12" t="str">
        <f aca="false">IF(A56="","",CHOOSE(WEEKDAY(A56,2),"Pzt","Sal","Çar","Per","Cum","Cmt","Paz"))</f>
        <v>Cum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4" t="n">
        <f aca="false">IF(A56="",0,A56)</f>
        <v>46073</v>
      </c>
      <c r="S56" s="15" t="n">
        <f aca="false">IF(A56="",0,MONTH(A56))</f>
        <v>2</v>
      </c>
    </row>
    <row r="57" customFormat="false" ht="15" hidden="false" customHeight="false" outlineLevel="0" collapsed="false">
      <c r="A57" s="11" t="n">
        <f aca="false">A56+1</f>
        <v>46074</v>
      </c>
      <c r="B57" s="12" t="str">
        <f aca="false">IF(A57="","",CHOOSE(WEEKDAY(A57,2),"Pzt","Sal","Çar","Per","Cum","Cmt","Paz"))</f>
        <v>Cmt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4" t="n">
        <f aca="false">IF(A57="",0,A57)</f>
        <v>46074</v>
      </c>
      <c r="S57" s="15" t="n">
        <f aca="false">IF(A57="",0,MONTH(A57))</f>
        <v>2</v>
      </c>
    </row>
    <row r="58" customFormat="false" ht="15" hidden="false" customHeight="false" outlineLevel="0" collapsed="false">
      <c r="A58" s="11" t="n">
        <f aca="false">A57+1</f>
        <v>46075</v>
      </c>
      <c r="B58" s="12" t="str">
        <f aca="false">IF(A58="","",CHOOSE(WEEKDAY(A58,2),"Pzt","Sal","Çar","Per","Cum","Cmt","Paz"))</f>
        <v>Paz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4" t="n">
        <f aca="false">IF(A58="",0,A58)</f>
        <v>46075</v>
      </c>
      <c r="S58" s="15" t="n">
        <f aca="false">IF(A58="",0,MONTH(A58))</f>
        <v>2</v>
      </c>
    </row>
    <row r="59" customFormat="false" ht="15" hidden="false" customHeight="false" outlineLevel="0" collapsed="false">
      <c r="A59" s="11" t="n">
        <f aca="false">A58+1</f>
        <v>46076</v>
      </c>
      <c r="B59" s="12" t="str">
        <f aca="false">IF(A59="","",CHOOSE(WEEKDAY(A59,2),"Pzt","Sal","Çar","Per","Cum","Cmt","Paz"))</f>
        <v>Pzt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4" t="n">
        <f aca="false">IF(A59="",0,A59)</f>
        <v>46076</v>
      </c>
      <c r="S59" s="15" t="n">
        <f aca="false">IF(A59="",0,MONTH(A59))</f>
        <v>2</v>
      </c>
    </row>
    <row r="60" customFormat="false" ht="15" hidden="false" customHeight="false" outlineLevel="0" collapsed="false">
      <c r="A60" s="11" t="n">
        <f aca="false">A59+1</f>
        <v>46077</v>
      </c>
      <c r="B60" s="12" t="str">
        <f aca="false">IF(A60="","",CHOOSE(WEEKDAY(A60,2),"Pzt","Sal","Çar","Per","Cum","Cmt","Paz"))</f>
        <v>Sal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4" t="n">
        <f aca="false">IF(A60="",0,A60)</f>
        <v>46077</v>
      </c>
      <c r="S60" s="15" t="n">
        <f aca="false">IF(A60="",0,MONTH(A60))</f>
        <v>2</v>
      </c>
    </row>
    <row r="61" customFormat="false" ht="15" hidden="false" customHeight="false" outlineLevel="0" collapsed="false">
      <c r="A61" s="11" t="n">
        <f aca="false">A60+1</f>
        <v>46078</v>
      </c>
      <c r="B61" s="12" t="str">
        <f aca="false">IF(A61="","",CHOOSE(WEEKDAY(A61,2),"Pzt","Sal","Çar","Per","Cum","Cmt","Paz"))</f>
        <v>Çar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4" t="n">
        <f aca="false">IF(A61="",0,A61)</f>
        <v>46078</v>
      </c>
      <c r="S61" s="15" t="n">
        <f aca="false">IF(A61="",0,MONTH(A61))</f>
        <v>2</v>
      </c>
    </row>
    <row r="62" customFormat="false" ht="15" hidden="false" customHeight="false" outlineLevel="0" collapsed="false">
      <c r="A62" s="11" t="n">
        <f aca="false">A61+1</f>
        <v>46079</v>
      </c>
      <c r="B62" s="12" t="str">
        <f aca="false">IF(A62="","",CHOOSE(WEEKDAY(A62,2),"Pzt","Sal","Çar","Per","Cum","Cmt","Paz"))</f>
        <v>Per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4" t="n">
        <f aca="false">IF(A62="",0,A62)</f>
        <v>46079</v>
      </c>
      <c r="S62" s="15" t="n">
        <f aca="false">IF(A62="",0,MONTH(A62))</f>
        <v>2</v>
      </c>
    </row>
    <row r="63" customFormat="false" ht="15" hidden="false" customHeight="false" outlineLevel="0" collapsed="false">
      <c r="A63" s="11" t="n">
        <f aca="false">A62+1</f>
        <v>46080</v>
      </c>
      <c r="B63" s="12" t="str">
        <f aca="false">IF(A63="","",CHOOSE(WEEKDAY(A63,2),"Pzt","Sal","Çar","Per","Cum","Cmt","Paz"))</f>
        <v>Cum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4" t="n">
        <f aca="false">IF(A63="",0,A63)</f>
        <v>46080</v>
      </c>
      <c r="S63" s="15" t="n">
        <f aca="false">IF(A63="",0,MONTH(A63))</f>
        <v>2</v>
      </c>
    </row>
    <row r="64" customFormat="false" ht="15" hidden="false" customHeight="false" outlineLevel="0" collapsed="false">
      <c r="A64" s="11" t="n">
        <f aca="false">A63+1</f>
        <v>46081</v>
      </c>
      <c r="B64" s="12" t="str">
        <f aca="false">IF(A64="","",CHOOSE(WEEKDAY(A64,2),"Pzt","Sal","Çar","Per","Cum","Cmt","Paz"))</f>
        <v>Cmt</v>
      </c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4" t="n">
        <f aca="false">IF(A64="",0,A64)</f>
        <v>46081</v>
      </c>
      <c r="S64" s="15" t="n">
        <f aca="false">IF(A64="",0,MONTH(A64))</f>
        <v>2</v>
      </c>
    </row>
    <row r="65" customFormat="false" ht="15" hidden="false" customHeight="false" outlineLevel="0" collapsed="false">
      <c r="A65" s="11" t="n">
        <f aca="false">A64+1</f>
        <v>46082</v>
      </c>
      <c r="B65" s="12" t="str">
        <f aca="false">IF(A65="","",CHOOSE(WEEKDAY(A65,2),"Pzt","Sal","Çar","Per","Cum","Cmt","Paz"))</f>
        <v>Paz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4" t="n">
        <f aca="false">IF(A65="",0,A65)</f>
        <v>46082</v>
      </c>
      <c r="S65" s="15" t="n">
        <f aca="false">IF(A65="",0,MONTH(A65))</f>
        <v>3</v>
      </c>
    </row>
    <row r="66" customFormat="false" ht="15" hidden="false" customHeight="false" outlineLevel="0" collapsed="false">
      <c r="A66" s="11" t="n">
        <f aca="false">A65+1</f>
        <v>46083</v>
      </c>
      <c r="B66" s="12" t="str">
        <f aca="false">IF(A66="","",CHOOSE(WEEKDAY(A66,2),"Pzt","Sal","Çar","Per","Cum","Cmt","Paz"))</f>
        <v>Pzt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4" t="n">
        <f aca="false">IF(A66="",0,A66)</f>
        <v>46083</v>
      </c>
      <c r="S66" s="15" t="n">
        <f aca="false">IF(A66="",0,MONTH(A66))</f>
        <v>3</v>
      </c>
    </row>
    <row r="67" customFormat="false" ht="15" hidden="false" customHeight="false" outlineLevel="0" collapsed="false">
      <c r="A67" s="11" t="n">
        <f aca="false">A66+1</f>
        <v>46084</v>
      </c>
      <c r="B67" s="12" t="str">
        <f aca="false">IF(A67="","",CHOOSE(WEEKDAY(A67,2),"Pzt","Sal","Çar","Per","Cum","Cmt","Paz"))</f>
        <v>Sal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4" t="n">
        <f aca="false">IF(A67="",0,A67)</f>
        <v>46084</v>
      </c>
      <c r="S67" s="15" t="n">
        <f aca="false">IF(A67="",0,MONTH(A67))</f>
        <v>3</v>
      </c>
    </row>
    <row r="68" customFormat="false" ht="15" hidden="false" customHeight="false" outlineLevel="0" collapsed="false">
      <c r="A68" s="11" t="n">
        <f aca="false">A67+1</f>
        <v>46085</v>
      </c>
      <c r="B68" s="12" t="str">
        <f aca="false">IF(A68="","",CHOOSE(WEEKDAY(A68,2),"Pzt","Sal","Çar","Per","Cum","Cmt","Paz"))</f>
        <v>Çar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4" t="n">
        <f aca="false">IF(A68="",0,A68)</f>
        <v>46085</v>
      </c>
      <c r="S68" s="15" t="n">
        <f aca="false">IF(A68="",0,MONTH(A68))</f>
        <v>3</v>
      </c>
    </row>
    <row r="69" customFormat="false" ht="15" hidden="false" customHeight="false" outlineLevel="0" collapsed="false">
      <c r="A69" s="11" t="n">
        <f aca="false">A68+1</f>
        <v>46086</v>
      </c>
      <c r="B69" s="12" t="str">
        <f aca="false">IF(A69="","",CHOOSE(WEEKDAY(A69,2),"Pzt","Sal","Çar","Per","Cum","Cmt","Paz"))</f>
        <v>Per</v>
      </c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4" t="n">
        <f aca="false">IF(A69="",0,A69)</f>
        <v>46086</v>
      </c>
      <c r="S69" s="15" t="n">
        <f aca="false">IF(A69="",0,MONTH(A69))</f>
        <v>3</v>
      </c>
    </row>
    <row r="70" customFormat="false" ht="15" hidden="false" customHeight="false" outlineLevel="0" collapsed="false">
      <c r="A70" s="11" t="n">
        <f aca="false">A69+1</f>
        <v>46087</v>
      </c>
      <c r="B70" s="12" t="str">
        <f aca="false">IF(A70="","",CHOOSE(WEEKDAY(A70,2),"Pzt","Sal","Çar","Per","Cum","Cmt","Paz"))</f>
        <v>Cum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4" t="n">
        <f aca="false">IF(A70="",0,A70)</f>
        <v>46087</v>
      </c>
      <c r="S70" s="15" t="n">
        <f aca="false">IF(A70="",0,MONTH(A70))</f>
        <v>3</v>
      </c>
    </row>
    <row r="71" customFormat="false" ht="15" hidden="false" customHeight="false" outlineLevel="0" collapsed="false">
      <c r="A71" s="11" t="n">
        <f aca="false">A70+1</f>
        <v>46088</v>
      </c>
      <c r="B71" s="12" t="str">
        <f aca="false">IF(A71="","",CHOOSE(WEEKDAY(A71,2),"Pzt","Sal","Çar","Per","Cum","Cmt","Paz"))</f>
        <v>Cmt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4" t="n">
        <f aca="false">IF(A71="",0,A71)</f>
        <v>46088</v>
      </c>
      <c r="S71" s="15" t="n">
        <f aca="false">IF(A71="",0,MONTH(A71))</f>
        <v>3</v>
      </c>
    </row>
    <row r="72" customFormat="false" ht="15" hidden="false" customHeight="false" outlineLevel="0" collapsed="false">
      <c r="A72" s="11" t="n">
        <f aca="false">A71+1</f>
        <v>46089</v>
      </c>
      <c r="B72" s="12" t="str">
        <f aca="false">IF(A72="","",CHOOSE(WEEKDAY(A72,2),"Pzt","Sal","Çar","Per","Cum","Cmt","Paz"))</f>
        <v>Paz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4" t="n">
        <f aca="false">IF(A72="",0,A72)</f>
        <v>46089</v>
      </c>
      <c r="S72" s="15" t="n">
        <f aca="false">IF(A72="",0,MONTH(A72))</f>
        <v>3</v>
      </c>
    </row>
    <row r="73" customFormat="false" ht="15" hidden="false" customHeight="false" outlineLevel="0" collapsed="false">
      <c r="A73" s="11" t="n">
        <f aca="false">A72+1</f>
        <v>46090</v>
      </c>
      <c r="B73" s="12" t="str">
        <f aca="false">IF(A73="","",CHOOSE(WEEKDAY(A73,2),"Pzt","Sal","Çar","Per","Cum","Cmt","Paz"))</f>
        <v>Pzt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4" t="n">
        <f aca="false">IF(A73="",0,A73)</f>
        <v>46090</v>
      </c>
      <c r="S73" s="15" t="n">
        <f aca="false">IF(A73="",0,MONTH(A73))</f>
        <v>3</v>
      </c>
    </row>
    <row r="74" customFormat="false" ht="15" hidden="false" customHeight="false" outlineLevel="0" collapsed="false">
      <c r="A74" s="11" t="n">
        <f aca="false">A73+1</f>
        <v>46091</v>
      </c>
      <c r="B74" s="12" t="str">
        <f aca="false">IF(A74="","",CHOOSE(WEEKDAY(A74,2),"Pzt","Sal","Çar","Per","Cum","Cmt","Paz"))</f>
        <v>Sal</v>
      </c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4" t="n">
        <f aca="false">IF(A74="",0,A74)</f>
        <v>46091</v>
      </c>
      <c r="S74" s="15" t="n">
        <f aca="false">IF(A74="",0,MONTH(A74))</f>
        <v>3</v>
      </c>
    </row>
    <row r="75" customFormat="false" ht="15" hidden="false" customHeight="false" outlineLevel="0" collapsed="false">
      <c r="A75" s="11" t="n">
        <f aca="false">A74+1</f>
        <v>46092</v>
      </c>
      <c r="B75" s="12" t="str">
        <f aca="false">IF(A75="","",CHOOSE(WEEKDAY(A75,2),"Pzt","Sal","Çar","Per","Cum","Cmt","Paz"))</f>
        <v>Çar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4" t="n">
        <f aca="false">IF(A75="",0,A75)</f>
        <v>46092</v>
      </c>
      <c r="S75" s="15" t="n">
        <f aca="false">IF(A75="",0,MONTH(A75))</f>
        <v>3</v>
      </c>
    </row>
    <row r="76" customFormat="false" ht="15" hidden="false" customHeight="false" outlineLevel="0" collapsed="false">
      <c r="A76" s="11" t="n">
        <f aca="false">A75+1</f>
        <v>46093</v>
      </c>
      <c r="B76" s="12" t="str">
        <f aca="false">IF(A76="","",CHOOSE(WEEKDAY(A76,2),"Pzt","Sal","Çar","Per","Cum","Cmt","Paz"))</f>
        <v>Per</v>
      </c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4" t="n">
        <f aca="false">IF(A76="",0,A76)</f>
        <v>46093</v>
      </c>
      <c r="S76" s="15" t="n">
        <f aca="false">IF(A76="",0,MONTH(A76))</f>
        <v>3</v>
      </c>
    </row>
    <row r="77" customFormat="false" ht="15" hidden="false" customHeight="false" outlineLevel="0" collapsed="false">
      <c r="A77" s="11" t="n">
        <f aca="false">A76+1</f>
        <v>46094</v>
      </c>
      <c r="B77" s="12" t="str">
        <f aca="false">IF(A77="","",CHOOSE(WEEKDAY(A77,2),"Pzt","Sal","Çar","Per","Cum","Cmt","Paz"))</f>
        <v>Cum</v>
      </c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4" t="n">
        <f aca="false">IF(A77="",0,A77)</f>
        <v>46094</v>
      </c>
      <c r="S77" s="15" t="n">
        <f aca="false">IF(A77="",0,MONTH(A77))</f>
        <v>3</v>
      </c>
    </row>
    <row r="78" customFormat="false" ht="15" hidden="false" customHeight="false" outlineLevel="0" collapsed="false">
      <c r="A78" s="11" t="n">
        <f aca="false">A77+1</f>
        <v>46095</v>
      </c>
      <c r="B78" s="12" t="str">
        <f aca="false">IF(A78="","",CHOOSE(WEEKDAY(A78,2),"Pzt","Sal","Çar","Per","Cum","Cmt","Paz"))</f>
        <v>Cmt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4" t="n">
        <f aca="false">IF(A78="",0,A78)</f>
        <v>46095</v>
      </c>
      <c r="S78" s="15" t="n">
        <f aca="false">IF(A78="",0,MONTH(A78))</f>
        <v>3</v>
      </c>
    </row>
    <row r="79" customFormat="false" ht="15" hidden="false" customHeight="false" outlineLevel="0" collapsed="false">
      <c r="A79" s="11" t="n">
        <f aca="false">A78+1</f>
        <v>46096</v>
      </c>
      <c r="B79" s="12" t="str">
        <f aca="false">IF(A79="","",CHOOSE(WEEKDAY(A79,2),"Pzt","Sal","Çar","Per","Cum","Cmt","Paz"))</f>
        <v>Paz</v>
      </c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4" t="n">
        <f aca="false">IF(A79="",0,A79)</f>
        <v>46096</v>
      </c>
      <c r="S79" s="15" t="n">
        <f aca="false">IF(A79="",0,MONTH(A79))</f>
        <v>3</v>
      </c>
    </row>
    <row r="80" customFormat="false" ht="15" hidden="false" customHeight="false" outlineLevel="0" collapsed="false">
      <c r="A80" s="11" t="n">
        <f aca="false">A79+1</f>
        <v>46097</v>
      </c>
      <c r="B80" s="12" t="str">
        <f aca="false">IF(A80="","",CHOOSE(WEEKDAY(A80,2),"Pzt","Sal","Çar","Per","Cum","Cmt","Paz"))</f>
        <v>Pzt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4" t="n">
        <f aca="false">IF(A80="",0,A80)</f>
        <v>46097</v>
      </c>
      <c r="S80" s="15" t="n">
        <f aca="false">IF(A80="",0,MONTH(A80))</f>
        <v>3</v>
      </c>
    </row>
    <row r="81" customFormat="false" ht="15" hidden="false" customHeight="false" outlineLevel="0" collapsed="false">
      <c r="A81" s="11" t="n">
        <f aca="false">A80+1</f>
        <v>46098</v>
      </c>
      <c r="B81" s="12" t="str">
        <f aca="false">IF(A81="","",CHOOSE(WEEKDAY(A81,2),"Pzt","Sal","Çar","Per","Cum","Cmt","Paz"))</f>
        <v>Sal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4" t="n">
        <f aca="false">IF(A81="",0,A81)</f>
        <v>46098</v>
      </c>
      <c r="S81" s="15" t="n">
        <f aca="false">IF(A81="",0,MONTH(A81))</f>
        <v>3</v>
      </c>
    </row>
    <row r="82" customFormat="false" ht="15" hidden="false" customHeight="false" outlineLevel="0" collapsed="false">
      <c r="A82" s="11" t="n">
        <f aca="false">A81+1</f>
        <v>46099</v>
      </c>
      <c r="B82" s="12" t="str">
        <f aca="false">IF(A82="","",CHOOSE(WEEKDAY(A82,2),"Pzt","Sal","Çar","Per","Cum","Cmt","Paz"))</f>
        <v>Çar</v>
      </c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4" t="n">
        <f aca="false">IF(A82="",0,A82)</f>
        <v>46099</v>
      </c>
      <c r="S82" s="15" t="n">
        <f aca="false">IF(A82="",0,MONTH(A82))</f>
        <v>3</v>
      </c>
    </row>
    <row r="83" customFormat="false" ht="15" hidden="false" customHeight="false" outlineLevel="0" collapsed="false">
      <c r="A83" s="11" t="n">
        <f aca="false">A82+1</f>
        <v>46100</v>
      </c>
      <c r="B83" s="12" t="str">
        <f aca="false">IF(A83="","",CHOOSE(WEEKDAY(A83,2),"Pzt","Sal","Çar","Per","Cum","Cmt","Paz"))</f>
        <v>Per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4" t="n">
        <f aca="false">IF(A83="",0,A83)</f>
        <v>46100</v>
      </c>
      <c r="S83" s="15" t="n">
        <f aca="false">IF(A83="",0,MONTH(A83))</f>
        <v>3</v>
      </c>
    </row>
    <row r="84" customFormat="false" ht="15" hidden="false" customHeight="false" outlineLevel="0" collapsed="false">
      <c r="A84" s="11" t="n">
        <f aca="false">A83+1</f>
        <v>46101</v>
      </c>
      <c r="B84" s="12" t="str">
        <f aca="false">IF(A84="","",CHOOSE(WEEKDAY(A84,2),"Pzt","Sal","Çar","Per","Cum","Cmt","Paz"))</f>
        <v>Cum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4" t="n">
        <f aca="false">IF(A84="",0,A84)</f>
        <v>46101</v>
      </c>
      <c r="S84" s="15" t="n">
        <f aca="false">IF(A84="",0,MONTH(A84))</f>
        <v>3</v>
      </c>
    </row>
    <row r="85" customFormat="false" ht="15" hidden="false" customHeight="false" outlineLevel="0" collapsed="false">
      <c r="A85" s="11" t="n">
        <f aca="false">A84+1</f>
        <v>46102</v>
      </c>
      <c r="B85" s="12" t="str">
        <f aca="false">IF(A85="","",CHOOSE(WEEKDAY(A85,2),"Pzt","Sal","Çar","Per","Cum","Cmt","Paz"))</f>
        <v>Cmt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4" t="n">
        <f aca="false">IF(A85="",0,A85)</f>
        <v>46102</v>
      </c>
      <c r="S85" s="15" t="n">
        <f aca="false">IF(A85="",0,MONTH(A85))</f>
        <v>3</v>
      </c>
    </row>
    <row r="86" customFormat="false" ht="15" hidden="false" customHeight="false" outlineLevel="0" collapsed="false">
      <c r="A86" s="11" t="n">
        <f aca="false">A85+1</f>
        <v>46103</v>
      </c>
      <c r="B86" s="12" t="str">
        <f aca="false">IF(A86="","",CHOOSE(WEEKDAY(A86,2),"Pzt","Sal","Çar","Per","Cum","Cmt","Paz"))</f>
        <v>Paz</v>
      </c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4" t="n">
        <f aca="false">IF(A86="",0,A86)</f>
        <v>46103</v>
      </c>
      <c r="S86" s="15" t="n">
        <f aca="false">IF(A86="",0,MONTH(A86))</f>
        <v>3</v>
      </c>
    </row>
    <row r="87" customFormat="false" ht="15" hidden="false" customHeight="false" outlineLevel="0" collapsed="false">
      <c r="A87" s="11" t="n">
        <f aca="false">A86+1</f>
        <v>46104</v>
      </c>
      <c r="B87" s="12" t="str">
        <f aca="false">IF(A87="","",CHOOSE(WEEKDAY(A87,2),"Pzt","Sal","Çar","Per","Cum","Cmt","Paz"))</f>
        <v>Pzt</v>
      </c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4" t="n">
        <f aca="false">IF(A87="",0,A87)</f>
        <v>46104</v>
      </c>
      <c r="S87" s="15" t="n">
        <f aca="false">IF(A87="",0,MONTH(A87))</f>
        <v>3</v>
      </c>
    </row>
    <row r="88" customFormat="false" ht="15" hidden="false" customHeight="false" outlineLevel="0" collapsed="false">
      <c r="A88" s="11" t="n">
        <f aca="false">A87+1</f>
        <v>46105</v>
      </c>
      <c r="B88" s="12" t="str">
        <f aca="false">IF(A88="","",CHOOSE(WEEKDAY(A88,2),"Pzt","Sal","Çar","Per","Cum","Cmt","Paz"))</f>
        <v>Sal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4" t="n">
        <f aca="false">IF(A88="",0,A88)</f>
        <v>46105</v>
      </c>
      <c r="S88" s="15" t="n">
        <f aca="false">IF(A88="",0,MONTH(A88))</f>
        <v>3</v>
      </c>
    </row>
    <row r="89" customFormat="false" ht="15" hidden="false" customHeight="false" outlineLevel="0" collapsed="false">
      <c r="A89" s="11" t="n">
        <f aca="false">A88+1</f>
        <v>46106</v>
      </c>
      <c r="B89" s="12" t="str">
        <f aca="false">IF(A89="","",CHOOSE(WEEKDAY(A89,2),"Pzt","Sal","Çar","Per","Cum","Cmt","Paz"))</f>
        <v>Çar</v>
      </c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4" t="n">
        <f aca="false">IF(A89="",0,A89)</f>
        <v>46106</v>
      </c>
      <c r="S89" s="15" t="n">
        <f aca="false">IF(A89="",0,MONTH(A89))</f>
        <v>3</v>
      </c>
    </row>
    <row r="90" customFormat="false" ht="15" hidden="false" customHeight="false" outlineLevel="0" collapsed="false">
      <c r="A90" s="11" t="n">
        <f aca="false">A89+1</f>
        <v>46107</v>
      </c>
      <c r="B90" s="12" t="str">
        <f aca="false">IF(A90="","",CHOOSE(WEEKDAY(A90,2),"Pzt","Sal","Çar","Per","Cum","Cmt","Paz"))</f>
        <v>Per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4" t="n">
        <f aca="false">IF(A90="",0,A90)</f>
        <v>46107</v>
      </c>
      <c r="S90" s="15" t="n">
        <f aca="false">IF(A90="",0,MONTH(A90))</f>
        <v>3</v>
      </c>
    </row>
    <row r="91" customFormat="false" ht="15" hidden="false" customHeight="false" outlineLevel="0" collapsed="false">
      <c r="A91" s="11" t="n">
        <f aca="false">A90+1</f>
        <v>46108</v>
      </c>
      <c r="B91" s="12" t="str">
        <f aca="false">IF(A91="","",CHOOSE(WEEKDAY(A91,2),"Pzt","Sal","Çar","Per","Cum","Cmt","Paz"))</f>
        <v>Cum</v>
      </c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4" t="n">
        <f aca="false">IF(A91="",0,A91)</f>
        <v>46108</v>
      </c>
      <c r="S91" s="15" t="n">
        <f aca="false">IF(A91="",0,MONTH(A91))</f>
        <v>3</v>
      </c>
    </row>
    <row r="92" customFormat="false" ht="15" hidden="false" customHeight="false" outlineLevel="0" collapsed="false">
      <c r="A92" s="11" t="n">
        <f aca="false">A91+1</f>
        <v>46109</v>
      </c>
      <c r="B92" s="12" t="str">
        <f aca="false">IF(A92="","",CHOOSE(WEEKDAY(A92,2),"Pzt","Sal","Çar","Per","Cum","Cmt","Paz"))</f>
        <v>Cmt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4" t="n">
        <f aca="false">IF(A92="",0,A92)</f>
        <v>46109</v>
      </c>
      <c r="S92" s="15" t="n">
        <f aca="false">IF(A92="",0,MONTH(A92))</f>
        <v>3</v>
      </c>
    </row>
    <row r="93" customFormat="false" ht="15" hidden="false" customHeight="false" outlineLevel="0" collapsed="false">
      <c r="A93" s="11" t="n">
        <f aca="false">A92+1</f>
        <v>46110</v>
      </c>
      <c r="B93" s="12" t="str">
        <f aca="false">IF(A93="","",CHOOSE(WEEKDAY(A93,2),"Pzt","Sal","Çar","Per","Cum","Cmt","Paz"))</f>
        <v>Paz</v>
      </c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4" t="n">
        <f aca="false">IF(A93="",0,A93)</f>
        <v>46110</v>
      </c>
      <c r="S93" s="15" t="n">
        <f aca="false">IF(A93="",0,MONTH(A93))</f>
        <v>3</v>
      </c>
    </row>
    <row r="94" customFormat="false" ht="15" hidden="false" customHeight="false" outlineLevel="0" collapsed="false">
      <c r="A94" s="11" t="n">
        <f aca="false">A93+1</f>
        <v>46111</v>
      </c>
      <c r="B94" s="12" t="str">
        <f aca="false">IF(A94="","",CHOOSE(WEEKDAY(A94,2),"Pzt","Sal","Çar","Per","Cum","Cmt","Paz"))</f>
        <v>Pzt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4" t="n">
        <f aca="false">IF(A94="",0,A94)</f>
        <v>46111</v>
      </c>
      <c r="S94" s="15" t="n">
        <f aca="false">IF(A94="",0,MONTH(A94))</f>
        <v>3</v>
      </c>
    </row>
    <row r="95" customFormat="false" ht="15" hidden="false" customHeight="false" outlineLevel="0" collapsed="false">
      <c r="A95" s="11" t="n">
        <f aca="false">A94+1</f>
        <v>46112</v>
      </c>
      <c r="B95" s="12" t="str">
        <f aca="false">IF(A95="","",CHOOSE(WEEKDAY(A95,2),"Pzt","Sal","Çar","Per","Cum","Cmt","Paz"))</f>
        <v>Sal</v>
      </c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4" t="n">
        <f aca="false">IF(A95="",0,A95)</f>
        <v>46112</v>
      </c>
      <c r="S95" s="15" t="n">
        <f aca="false">IF(A95="",0,MONTH(A95))</f>
        <v>3</v>
      </c>
    </row>
    <row r="96" customFormat="false" ht="15" hidden="false" customHeight="false" outlineLevel="0" collapsed="false">
      <c r="A96" s="11" t="n">
        <f aca="false">A95+1</f>
        <v>46113</v>
      </c>
      <c r="B96" s="12" t="str">
        <f aca="false">IF(A96="","",CHOOSE(WEEKDAY(A96,2),"Pzt","Sal","Çar","Per","Cum","Cmt","Paz"))</f>
        <v>Çar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4" t="n">
        <f aca="false">IF(A96="",0,A96)</f>
        <v>46113</v>
      </c>
      <c r="S96" s="15" t="n">
        <f aca="false">IF(A96="",0,MONTH(A96))</f>
        <v>4</v>
      </c>
    </row>
    <row r="97" customFormat="false" ht="15" hidden="false" customHeight="false" outlineLevel="0" collapsed="false">
      <c r="A97" s="11" t="n">
        <f aca="false">A96+1</f>
        <v>46114</v>
      </c>
      <c r="B97" s="12" t="str">
        <f aca="false">IF(A97="","",CHOOSE(WEEKDAY(A97,2),"Pzt","Sal","Çar","Per","Cum","Cmt","Paz"))</f>
        <v>Per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4" t="n">
        <f aca="false">IF(A97="",0,A97)</f>
        <v>46114</v>
      </c>
      <c r="S97" s="15" t="n">
        <f aca="false">IF(A97="",0,MONTH(A97))</f>
        <v>4</v>
      </c>
    </row>
    <row r="98" customFormat="false" ht="15" hidden="false" customHeight="false" outlineLevel="0" collapsed="false">
      <c r="A98" s="11" t="n">
        <f aca="false">A97+1</f>
        <v>46115</v>
      </c>
      <c r="B98" s="12" t="str">
        <f aca="false">IF(A98="","",CHOOSE(WEEKDAY(A98,2),"Pzt","Sal","Çar","Per","Cum","Cmt","Paz"))</f>
        <v>Cum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4" t="n">
        <f aca="false">IF(A98="",0,A98)</f>
        <v>46115</v>
      </c>
      <c r="S98" s="15" t="n">
        <f aca="false">IF(A98="",0,MONTH(A98))</f>
        <v>4</v>
      </c>
    </row>
    <row r="99" customFormat="false" ht="15" hidden="false" customHeight="false" outlineLevel="0" collapsed="false">
      <c r="A99" s="11" t="n">
        <f aca="false">A98+1</f>
        <v>46116</v>
      </c>
      <c r="B99" s="12" t="str">
        <f aca="false">IF(A99="","",CHOOSE(WEEKDAY(A99,2),"Pzt","Sal","Çar","Per","Cum","Cmt","Paz"))</f>
        <v>Cmt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4" t="n">
        <f aca="false">IF(A99="",0,A99)</f>
        <v>46116</v>
      </c>
      <c r="S99" s="15" t="n">
        <f aca="false">IF(A99="",0,MONTH(A99))</f>
        <v>4</v>
      </c>
    </row>
    <row r="100" customFormat="false" ht="15" hidden="false" customHeight="false" outlineLevel="0" collapsed="false">
      <c r="A100" s="11" t="n">
        <f aca="false">A99+1</f>
        <v>46117</v>
      </c>
      <c r="B100" s="12" t="str">
        <f aca="false">IF(A100="","",CHOOSE(WEEKDAY(A100,2),"Pzt","Sal","Çar","Per","Cum","Cmt","Paz"))</f>
        <v>Paz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4" t="n">
        <f aca="false">IF(A100="",0,A100)</f>
        <v>46117</v>
      </c>
      <c r="S100" s="15" t="n">
        <f aca="false">IF(A100="",0,MONTH(A100))</f>
        <v>4</v>
      </c>
    </row>
    <row r="101" customFormat="false" ht="15" hidden="false" customHeight="false" outlineLevel="0" collapsed="false">
      <c r="A101" s="11" t="n">
        <f aca="false">A100+1</f>
        <v>46118</v>
      </c>
      <c r="B101" s="12" t="str">
        <f aca="false">IF(A101="","",CHOOSE(WEEKDAY(A101,2),"Pzt","Sal","Çar","Per","Cum","Cmt","Paz"))</f>
        <v>Pzt</v>
      </c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4" t="n">
        <f aca="false">IF(A101="",0,A101)</f>
        <v>46118</v>
      </c>
      <c r="S101" s="15" t="n">
        <f aca="false">IF(A101="",0,MONTH(A101))</f>
        <v>4</v>
      </c>
    </row>
    <row r="102" customFormat="false" ht="15" hidden="false" customHeight="false" outlineLevel="0" collapsed="false">
      <c r="A102" s="11" t="n">
        <f aca="false">A101+1</f>
        <v>46119</v>
      </c>
      <c r="B102" s="12" t="str">
        <f aca="false">IF(A102="","",CHOOSE(WEEKDAY(A102,2),"Pzt","Sal","Çar","Per","Cum","Cmt","Paz"))</f>
        <v>Sal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4" t="n">
        <f aca="false">IF(A102="",0,A102)</f>
        <v>46119</v>
      </c>
      <c r="S102" s="15" t="n">
        <f aca="false">IF(A102="",0,MONTH(A102))</f>
        <v>4</v>
      </c>
    </row>
    <row r="103" customFormat="false" ht="15" hidden="false" customHeight="false" outlineLevel="0" collapsed="false">
      <c r="A103" s="11" t="n">
        <f aca="false">A102+1</f>
        <v>46120</v>
      </c>
      <c r="B103" s="12" t="str">
        <f aca="false">IF(A103="","",CHOOSE(WEEKDAY(A103,2),"Pzt","Sal","Çar","Per","Cum","Cmt","Paz"))</f>
        <v>Çar</v>
      </c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4" t="n">
        <f aca="false">IF(A103="",0,A103)</f>
        <v>46120</v>
      </c>
      <c r="S103" s="15" t="n">
        <f aca="false">IF(A103="",0,MONTH(A103))</f>
        <v>4</v>
      </c>
    </row>
    <row r="104" customFormat="false" ht="15" hidden="false" customHeight="false" outlineLevel="0" collapsed="false">
      <c r="A104" s="11" t="n">
        <f aca="false">A103+1</f>
        <v>46121</v>
      </c>
      <c r="B104" s="12" t="str">
        <f aca="false">IF(A104="","",CHOOSE(WEEKDAY(A104,2),"Pzt","Sal","Çar","Per","Cum","Cmt","Paz"))</f>
        <v>Per</v>
      </c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4" t="n">
        <f aca="false">IF(A104="",0,A104)</f>
        <v>46121</v>
      </c>
      <c r="S104" s="15" t="n">
        <f aca="false">IF(A104="",0,MONTH(A104))</f>
        <v>4</v>
      </c>
    </row>
    <row r="105" customFormat="false" ht="15" hidden="false" customHeight="false" outlineLevel="0" collapsed="false">
      <c r="A105" s="11" t="n">
        <f aca="false">A104+1</f>
        <v>46122</v>
      </c>
      <c r="B105" s="12" t="str">
        <f aca="false">IF(A105="","",CHOOSE(WEEKDAY(A105,2),"Pzt","Sal","Çar","Per","Cum","Cmt","Paz"))</f>
        <v>Cum</v>
      </c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4" t="n">
        <f aca="false">IF(A105="",0,A105)</f>
        <v>46122</v>
      </c>
      <c r="S105" s="15" t="n">
        <f aca="false">IF(A105="",0,MONTH(A105))</f>
        <v>4</v>
      </c>
    </row>
    <row r="106" customFormat="false" ht="15" hidden="false" customHeight="false" outlineLevel="0" collapsed="false">
      <c r="A106" s="11" t="n">
        <f aca="false">A105+1</f>
        <v>46123</v>
      </c>
      <c r="B106" s="12" t="str">
        <f aca="false">IF(A106="","",CHOOSE(WEEKDAY(A106,2),"Pzt","Sal","Çar","Per","Cum","Cmt","Paz"))</f>
        <v>Cmt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4" t="n">
        <f aca="false">IF(A106="",0,A106)</f>
        <v>46123</v>
      </c>
      <c r="S106" s="15" t="n">
        <f aca="false">IF(A106="",0,MONTH(A106))</f>
        <v>4</v>
      </c>
    </row>
    <row r="107" customFormat="false" ht="15" hidden="false" customHeight="false" outlineLevel="0" collapsed="false">
      <c r="A107" s="11" t="n">
        <f aca="false">A106+1</f>
        <v>46124</v>
      </c>
      <c r="B107" s="12" t="str">
        <f aca="false">IF(A107="","",CHOOSE(WEEKDAY(A107,2),"Pzt","Sal","Çar","Per","Cum","Cmt","Paz"))</f>
        <v>Paz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4" t="n">
        <f aca="false">IF(A107="",0,A107)</f>
        <v>46124</v>
      </c>
      <c r="S107" s="15" t="n">
        <f aca="false">IF(A107="",0,MONTH(A107))</f>
        <v>4</v>
      </c>
    </row>
    <row r="108" customFormat="false" ht="15" hidden="false" customHeight="false" outlineLevel="0" collapsed="false">
      <c r="A108" s="11" t="n">
        <f aca="false">A107+1</f>
        <v>46125</v>
      </c>
      <c r="B108" s="12" t="str">
        <f aca="false">IF(A108="","",CHOOSE(WEEKDAY(A108,2),"Pzt","Sal","Çar","Per","Cum","Cmt","Paz"))</f>
        <v>Pzt</v>
      </c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4" t="n">
        <f aca="false">IF(A108="",0,A108)</f>
        <v>46125</v>
      </c>
      <c r="S108" s="15" t="n">
        <f aca="false">IF(A108="",0,MONTH(A108))</f>
        <v>4</v>
      </c>
    </row>
    <row r="109" customFormat="false" ht="15" hidden="false" customHeight="false" outlineLevel="0" collapsed="false">
      <c r="A109" s="11" t="n">
        <f aca="false">A108+1</f>
        <v>46126</v>
      </c>
      <c r="B109" s="12" t="str">
        <f aca="false">IF(A109="","",CHOOSE(WEEKDAY(A109,2),"Pzt","Sal","Çar","Per","Cum","Cmt","Paz"))</f>
        <v>Sal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4" t="n">
        <f aca="false">IF(A109="",0,A109)</f>
        <v>46126</v>
      </c>
      <c r="S109" s="15" t="n">
        <f aca="false">IF(A109="",0,MONTH(A109))</f>
        <v>4</v>
      </c>
    </row>
    <row r="110" customFormat="false" ht="15" hidden="false" customHeight="false" outlineLevel="0" collapsed="false">
      <c r="A110" s="11" t="n">
        <f aca="false">A109+1</f>
        <v>46127</v>
      </c>
      <c r="B110" s="12" t="str">
        <f aca="false">IF(A110="","",CHOOSE(WEEKDAY(A110,2),"Pzt","Sal","Çar","Per","Cum","Cmt","Paz"))</f>
        <v>Çar</v>
      </c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4" t="n">
        <f aca="false">IF(A110="",0,A110)</f>
        <v>46127</v>
      </c>
      <c r="S110" s="15" t="n">
        <f aca="false">IF(A110="",0,MONTH(A110))</f>
        <v>4</v>
      </c>
    </row>
    <row r="111" customFormat="false" ht="15" hidden="false" customHeight="false" outlineLevel="0" collapsed="false">
      <c r="A111" s="11" t="n">
        <f aca="false">A110+1</f>
        <v>46128</v>
      </c>
      <c r="B111" s="12" t="str">
        <f aca="false">IF(A111="","",CHOOSE(WEEKDAY(A111,2),"Pzt","Sal","Çar","Per","Cum","Cmt","Paz"))</f>
        <v>Per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4" t="n">
        <f aca="false">IF(A111="",0,A111)</f>
        <v>46128</v>
      </c>
      <c r="S111" s="15" t="n">
        <f aca="false">IF(A111="",0,MONTH(A111))</f>
        <v>4</v>
      </c>
    </row>
    <row r="112" customFormat="false" ht="15" hidden="false" customHeight="false" outlineLevel="0" collapsed="false">
      <c r="A112" s="11" t="n">
        <f aca="false">A111+1</f>
        <v>46129</v>
      </c>
      <c r="B112" s="12" t="str">
        <f aca="false">IF(A112="","",CHOOSE(WEEKDAY(A112,2),"Pzt","Sal","Çar","Per","Cum","Cmt","Paz"))</f>
        <v>Cum</v>
      </c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4" t="n">
        <f aca="false">IF(A112="",0,A112)</f>
        <v>46129</v>
      </c>
      <c r="S112" s="15" t="n">
        <f aca="false">IF(A112="",0,MONTH(A112))</f>
        <v>4</v>
      </c>
    </row>
    <row r="113" customFormat="false" ht="15" hidden="false" customHeight="false" outlineLevel="0" collapsed="false">
      <c r="A113" s="11" t="n">
        <f aca="false">A112+1</f>
        <v>46130</v>
      </c>
      <c r="B113" s="12" t="str">
        <f aca="false">IF(A113="","",CHOOSE(WEEKDAY(A113,2),"Pzt","Sal","Çar","Per","Cum","Cmt","Paz"))</f>
        <v>Cmt</v>
      </c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4" t="n">
        <f aca="false">IF(A113="",0,A113)</f>
        <v>46130</v>
      </c>
      <c r="S113" s="15" t="n">
        <f aca="false">IF(A113="",0,MONTH(A113))</f>
        <v>4</v>
      </c>
    </row>
    <row r="114" customFormat="false" ht="15" hidden="false" customHeight="false" outlineLevel="0" collapsed="false">
      <c r="A114" s="11" t="n">
        <f aca="false">A113+1</f>
        <v>46131</v>
      </c>
      <c r="B114" s="12" t="str">
        <f aca="false">IF(A114="","",CHOOSE(WEEKDAY(A114,2),"Pzt","Sal","Çar","Per","Cum","Cmt","Paz"))</f>
        <v>Paz</v>
      </c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4" t="n">
        <f aca="false">IF(A114="",0,A114)</f>
        <v>46131</v>
      </c>
      <c r="S114" s="15" t="n">
        <f aca="false">IF(A114="",0,MONTH(A114))</f>
        <v>4</v>
      </c>
    </row>
    <row r="115" customFormat="false" ht="15" hidden="false" customHeight="false" outlineLevel="0" collapsed="false">
      <c r="A115" s="11" t="n">
        <f aca="false">A114+1</f>
        <v>46132</v>
      </c>
      <c r="B115" s="12" t="str">
        <f aca="false">IF(A115="","",CHOOSE(WEEKDAY(A115,2),"Pzt","Sal","Çar","Per","Cum","Cmt","Paz"))</f>
        <v>Pzt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4" t="n">
        <f aca="false">IF(A115="",0,A115)</f>
        <v>46132</v>
      </c>
      <c r="S115" s="15" t="n">
        <f aca="false">IF(A115="",0,MONTH(A115))</f>
        <v>4</v>
      </c>
    </row>
    <row r="116" customFormat="false" ht="15" hidden="false" customHeight="false" outlineLevel="0" collapsed="false">
      <c r="A116" s="11" t="n">
        <f aca="false">A115+1</f>
        <v>46133</v>
      </c>
      <c r="B116" s="12" t="str">
        <f aca="false">IF(A116="","",CHOOSE(WEEKDAY(A116,2),"Pzt","Sal","Çar","Per","Cum","Cmt","Paz"))</f>
        <v>Sal</v>
      </c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4" t="n">
        <f aca="false">IF(A116="",0,A116)</f>
        <v>46133</v>
      </c>
      <c r="S116" s="15" t="n">
        <f aca="false">IF(A116="",0,MONTH(A116))</f>
        <v>4</v>
      </c>
    </row>
    <row r="117" customFormat="false" ht="15" hidden="false" customHeight="false" outlineLevel="0" collapsed="false">
      <c r="A117" s="11" t="n">
        <f aca="false">A116+1</f>
        <v>46134</v>
      </c>
      <c r="B117" s="12" t="str">
        <f aca="false">IF(A117="","",CHOOSE(WEEKDAY(A117,2),"Pzt","Sal","Çar","Per","Cum","Cmt","Paz"))</f>
        <v>Çar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4" t="n">
        <f aca="false">IF(A117="",0,A117)</f>
        <v>46134</v>
      </c>
      <c r="S117" s="15" t="n">
        <f aca="false">IF(A117="",0,MONTH(A117))</f>
        <v>4</v>
      </c>
    </row>
    <row r="118" customFormat="false" ht="15" hidden="false" customHeight="false" outlineLevel="0" collapsed="false">
      <c r="A118" s="11" t="n">
        <f aca="false">A117+1</f>
        <v>46135</v>
      </c>
      <c r="B118" s="12" t="str">
        <f aca="false">IF(A118="","",CHOOSE(WEEKDAY(A118,2),"Pzt","Sal","Çar","Per","Cum","Cmt","Paz"))</f>
        <v>Per</v>
      </c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4" t="n">
        <f aca="false">IF(A118="",0,A118)</f>
        <v>46135</v>
      </c>
      <c r="S118" s="15" t="n">
        <f aca="false">IF(A118="",0,MONTH(A118))</f>
        <v>4</v>
      </c>
    </row>
    <row r="119" customFormat="false" ht="15" hidden="false" customHeight="false" outlineLevel="0" collapsed="false">
      <c r="A119" s="11" t="n">
        <f aca="false">A118+1</f>
        <v>46136</v>
      </c>
      <c r="B119" s="12" t="str">
        <f aca="false">IF(A119="","",CHOOSE(WEEKDAY(A119,2),"Pzt","Sal","Çar","Per","Cum","Cmt","Paz"))</f>
        <v>Cum</v>
      </c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4" t="n">
        <f aca="false">IF(A119="",0,A119)</f>
        <v>46136</v>
      </c>
      <c r="S119" s="15" t="n">
        <f aca="false">IF(A119="",0,MONTH(A119))</f>
        <v>4</v>
      </c>
    </row>
    <row r="120" customFormat="false" ht="15" hidden="false" customHeight="false" outlineLevel="0" collapsed="false">
      <c r="A120" s="11" t="n">
        <f aca="false">A119+1</f>
        <v>46137</v>
      </c>
      <c r="B120" s="12" t="str">
        <f aca="false">IF(A120="","",CHOOSE(WEEKDAY(A120,2),"Pzt","Sal","Çar","Per","Cum","Cmt","Paz"))</f>
        <v>Cmt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4" t="n">
        <f aca="false">IF(A120="",0,A120)</f>
        <v>46137</v>
      </c>
      <c r="S120" s="15" t="n">
        <f aca="false">IF(A120="",0,MONTH(A120))</f>
        <v>4</v>
      </c>
    </row>
    <row r="121" customFormat="false" ht="15" hidden="false" customHeight="false" outlineLevel="0" collapsed="false">
      <c r="A121" s="11" t="n">
        <f aca="false">A120+1</f>
        <v>46138</v>
      </c>
      <c r="B121" s="12" t="str">
        <f aca="false">IF(A121="","",CHOOSE(WEEKDAY(A121,2),"Pzt","Sal","Çar","Per","Cum","Cmt","Paz"))</f>
        <v>Paz</v>
      </c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4" t="n">
        <f aca="false">IF(A121="",0,A121)</f>
        <v>46138</v>
      </c>
      <c r="S121" s="15" t="n">
        <f aca="false">IF(A121="",0,MONTH(A121))</f>
        <v>4</v>
      </c>
    </row>
    <row r="122" customFormat="false" ht="15" hidden="false" customHeight="false" outlineLevel="0" collapsed="false">
      <c r="A122" s="11" t="n">
        <f aca="false">A121+1</f>
        <v>46139</v>
      </c>
      <c r="B122" s="12" t="str">
        <f aca="false">IF(A122="","",CHOOSE(WEEKDAY(A122,2),"Pzt","Sal","Çar","Per","Cum","Cmt","Paz"))</f>
        <v>Pzt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4" t="n">
        <f aca="false">IF(A122="",0,A122)</f>
        <v>46139</v>
      </c>
      <c r="S122" s="15" t="n">
        <f aca="false">IF(A122="",0,MONTH(A122))</f>
        <v>4</v>
      </c>
    </row>
    <row r="123" customFormat="false" ht="15" hidden="false" customHeight="false" outlineLevel="0" collapsed="false">
      <c r="A123" s="11" t="n">
        <f aca="false">A122+1</f>
        <v>46140</v>
      </c>
      <c r="B123" s="12" t="str">
        <f aca="false">IF(A123="","",CHOOSE(WEEKDAY(A123,2),"Pzt","Sal","Çar","Per","Cum","Cmt","Paz"))</f>
        <v>Sal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4" t="n">
        <f aca="false">IF(A123="",0,A123)</f>
        <v>46140</v>
      </c>
      <c r="S123" s="15" t="n">
        <f aca="false">IF(A123="",0,MONTH(A123))</f>
        <v>4</v>
      </c>
    </row>
    <row r="124" customFormat="false" ht="15" hidden="false" customHeight="false" outlineLevel="0" collapsed="false">
      <c r="A124" s="11" t="n">
        <f aca="false">A123+1</f>
        <v>46141</v>
      </c>
      <c r="B124" s="12" t="str">
        <f aca="false">IF(A124="","",CHOOSE(WEEKDAY(A124,2),"Pzt","Sal","Çar","Per","Cum","Cmt","Paz"))</f>
        <v>Çar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4" t="n">
        <f aca="false">IF(A124="",0,A124)</f>
        <v>46141</v>
      </c>
      <c r="S124" s="15" t="n">
        <f aca="false">IF(A124="",0,MONTH(A124))</f>
        <v>4</v>
      </c>
    </row>
    <row r="125" customFormat="false" ht="15" hidden="false" customHeight="false" outlineLevel="0" collapsed="false">
      <c r="A125" s="11" t="n">
        <f aca="false">A124+1</f>
        <v>46142</v>
      </c>
      <c r="B125" s="12" t="str">
        <f aca="false">IF(A125="","",CHOOSE(WEEKDAY(A125,2),"Pzt","Sal","Çar","Per","Cum","Cmt","Paz"))</f>
        <v>Per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4" t="n">
        <f aca="false">IF(A125="",0,A125)</f>
        <v>46142</v>
      </c>
      <c r="S125" s="15" t="n">
        <f aca="false">IF(A125="",0,MONTH(A125))</f>
        <v>4</v>
      </c>
    </row>
    <row r="126" customFormat="false" ht="15" hidden="false" customHeight="false" outlineLevel="0" collapsed="false">
      <c r="A126" s="11" t="n">
        <f aca="false">A125+1</f>
        <v>46143</v>
      </c>
      <c r="B126" s="12" t="str">
        <f aca="false">IF(A126="","",CHOOSE(WEEKDAY(A126,2),"Pzt","Sal","Çar","Per","Cum","Cmt","Paz"))</f>
        <v>Cum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4" t="n">
        <f aca="false">IF(A126="",0,A126)</f>
        <v>46143</v>
      </c>
      <c r="S126" s="15" t="n">
        <f aca="false">IF(A126="",0,MONTH(A126))</f>
        <v>5</v>
      </c>
    </row>
    <row r="127" customFormat="false" ht="15" hidden="false" customHeight="false" outlineLevel="0" collapsed="false">
      <c r="A127" s="11" t="n">
        <f aca="false">A126+1</f>
        <v>46144</v>
      </c>
      <c r="B127" s="12" t="str">
        <f aca="false">IF(A127="","",CHOOSE(WEEKDAY(A127,2),"Pzt","Sal","Çar","Per","Cum","Cmt","Paz"))</f>
        <v>Cmt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4" t="n">
        <f aca="false">IF(A127="",0,A127)</f>
        <v>46144</v>
      </c>
      <c r="S127" s="15" t="n">
        <f aca="false">IF(A127="",0,MONTH(A127))</f>
        <v>5</v>
      </c>
    </row>
    <row r="128" customFormat="false" ht="15" hidden="false" customHeight="false" outlineLevel="0" collapsed="false">
      <c r="A128" s="11" t="n">
        <f aca="false">A127+1</f>
        <v>46145</v>
      </c>
      <c r="B128" s="12" t="str">
        <f aca="false">IF(A128="","",CHOOSE(WEEKDAY(A128,2),"Pzt","Sal","Çar","Per","Cum","Cmt","Paz"))</f>
        <v>Paz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4" t="n">
        <f aca="false">IF(A128="",0,A128)</f>
        <v>46145</v>
      </c>
      <c r="S128" s="15" t="n">
        <f aca="false">IF(A128="",0,MONTH(A128))</f>
        <v>5</v>
      </c>
    </row>
    <row r="129" customFormat="false" ht="15" hidden="false" customHeight="false" outlineLevel="0" collapsed="false">
      <c r="A129" s="11" t="n">
        <f aca="false">A128+1</f>
        <v>46146</v>
      </c>
      <c r="B129" s="12" t="str">
        <f aca="false">IF(A129="","",CHOOSE(WEEKDAY(A129,2),"Pzt","Sal","Çar","Per","Cum","Cmt","Paz"))</f>
        <v>Pzt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4" t="n">
        <f aca="false">IF(A129="",0,A129)</f>
        <v>46146</v>
      </c>
      <c r="S129" s="15" t="n">
        <f aca="false">IF(A129="",0,MONTH(A129))</f>
        <v>5</v>
      </c>
    </row>
    <row r="130" customFormat="false" ht="15" hidden="false" customHeight="false" outlineLevel="0" collapsed="false">
      <c r="A130" s="11" t="n">
        <f aca="false">A129+1</f>
        <v>46147</v>
      </c>
      <c r="B130" s="12" t="str">
        <f aca="false">IF(A130="","",CHOOSE(WEEKDAY(A130,2),"Pzt","Sal","Çar","Per","Cum","Cmt","Paz"))</f>
        <v>Sal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4" t="n">
        <f aca="false">IF(A130="",0,A130)</f>
        <v>46147</v>
      </c>
      <c r="S130" s="15" t="n">
        <f aca="false">IF(A130="",0,MONTH(A130))</f>
        <v>5</v>
      </c>
    </row>
    <row r="131" customFormat="false" ht="15" hidden="false" customHeight="false" outlineLevel="0" collapsed="false">
      <c r="A131" s="11" t="n">
        <f aca="false">A130+1</f>
        <v>46148</v>
      </c>
      <c r="B131" s="12" t="str">
        <f aca="false">IF(A131="","",CHOOSE(WEEKDAY(A131,2),"Pzt","Sal","Çar","Per","Cum","Cmt","Paz"))</f>
        <v>Çar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4" t="n">
        <f aca="false">IF(A131="",0,A131)</f>
        <v>46148</v>
      </c>
      <c r="S131" s="15" t="n">
        <f aca="false">IF(A131="",0,MONTH(A131))</f>
        <v>5</v>
      </c>
    </row>
    <row r="132" customFormat="false" ht="15" hidden="false" customHeight="false" outlineLevel="0" collapsed="false">
      <c r="A132" s="11" t="n">
        <f aca="false">A131+1</f>
        <v>46149</v>
      </c>
      <c r="B132" s="12" t="str">
        <f aca="false">IF(A132="","",CHOOSE(WEEKDAY(A132,2),"Pzt","Sal","Çar","Per","Cum","Cmt","Paz"))</f>
        <v>Per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4" t="n">
        <f aca="false">IF(A132="",0,A132)</f>
        <v>46149</v>
      </c>
      <c r="S132" s="15" t="n">
        <f aca="false">IF(A132="",0,MONTH(A132))</f>
        <v>5</v>
      </c>
    </row>
    <row r="133" customFormat="false" ht="15" hidden="false" customHeight="false" outlineLevel="0" collapsed="false">
      <c r="A133" s="11" t="n">
        <f aca="false">A132+1</f>
        <v>46150</v>
      </c>
      <c r="B133" s="12" t="str">
        <f aca="false">IF(A133="","",CHOOSE(WEEKDAY(A133,2),"Pzt","Sal","Çar","Per","Cum","Cmt","Paz"))</f>
        <v>Cum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4" t="n">
        <f aca="false">IF(A133="",0,A133)</f>
        <v>46150</v>
      </c>
      <c r="S133" s="15" t="n">
        <f aca="false">IF(A133="",0,MONTH(A133))</f>
        <v>5</v>
      </c>
    </row>
    <row r="134" customFormat="false" ht="15" hidden="false" customHeight="false" outlineLevel="0" collapsed="false">
      <c r="A134" s="11" t="n">
        <f aca="false">A133+1</f>
        <v>46151</v>
      </c>
      <c r="B134" s="12" t="str">
        <f aca="false">IF(A134="","",CHOOSE(WEEKDAY(A134,2),"Pzt","Sal","Çar","Per","Cum","Cmt","Paz"))</f>
        <v>Cmt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4" t="n">
        <f aca="false">IF(A134="",0,A134)</f>
        <v>46151</v>
      </c>
      <c r="S134" s="15" t="n">
        <f aca="false">IF(A134="",0,MONTH(A134))</f>
        <v>5</v>
      </c>
    </row>
    <row r="135" customFormat="false" ht="15" hidden="false" customHeight="false" outlineLevel="0" collapsed="false">
      <c r="A135" s="11" t="n">
        <f aca="false">A134+1</f>
        <v>46152</v>
      </c>
      <c r="B135" s="12" t="str">
        <f aca="false">IF(A135="","",CHOOSE(WEEKDAY(A135,2),"Pzt","Sal","Çar","Per","Cum","Cmt","Paz"))</f>
        <v>Paz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4" t="n">
        <f aca="false">IF(A135="",0,A135)</f>
        <v>46152</v>
      </c>
      <c r="S135" s="15" t="n">
        <f aca="false">IF(A135="",0,MONTH(A135))</f>
        <v>5</v>
      </c>
    </row>
    <row r="136" customFormat="false" ht="15" hidden="false" customHeight="false" outlineLevel="0" collapsed="false">
      <c r="A136" s="11" t="n">
        <f aca="false">A135+1</f>
        <v>46153</v>
      </c>
      <c r="B136" s="12" t="str">
        <f aca="false">IF(A136="","",CHOOSE(WEEKDAY(A136,2),"Pzt","Sal","Çar","Per","Cum","Cmt","Paz"))</f>
        <v>Pzt</v>
      </c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4" t="n">
        <f aca="false">IF(A136="",0,A136)</f>
        <v>46153</v>
      </c>
      <c r="S136" s="15" t="n">
        <f aca="false">IF(A136="",0,MONTH(A136))</f>
        <v>5</v>
      </c>
    </row>
    <row r="137" customFormat="false" ht="15" hidden="false" customHeight="false" outlineLevel="0" collapsed="false">
      <c r="A137" s="11" t="n">
        <f aca="false">A136+1</f>
        <v>46154</v>
      </c>
      <c r="B137" s="12" t="str">
        <f aca="false">IF(A137="","",CHOOSE(WEEKDAY(A137,2),"Pzt","Sal","Çar","Per","Cum","Cmt","Paz"))</f>
        <v>Sal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4" t="n">
        <f aca="false">IF(A137="",0,A137)</f>
        <v>46154</v>
      </c>
      <c r="S137" s="15" t="n">
        <f aca="false">IF(A137="",0,MONTH(A137))</f>
        <v>5</v>
      </c>
    </row>
    <row r="138" customFormat="false" ht="15" hidden="false" customHeight="false" outlineLevel="0" collapsed="false">
      <c r="A138" s="11" t="n">
        <f aca="false">A137+1</f>
        <v>46155</v>
      </c>
      <c r="B138" s="12" t="str">
        <f aca="false">IF(A138="","",CHOOSE(WEEKDAY(A138,2),"Pzt","Sal","Çar","Per","Cum","Cmt","Paz"))</f>
        <v>Çar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4" t="n">
        <f aca="false">IF(A138="",0,A138)</f>
        <v>46155</v>
      </c>
      <c r="S138" s="15" t="n">
        <f aca="false">IF(A138="",0,MONTH(A138))</f>
        <v>5</v>
      </c>
    </row>
    <row r="139" customFormat="false" ht="15" hidden="false" customHeight="false" outlineLevel="0" collapsed="false">
      <c r="A139" s="11" t="n">
        <f aca="false">A138+1</f>
        <v>46156</v>
      </c>
      <c r="B139" s="12" t="str">
        <f aca="false">IF(A139="","",CHOOSE(WEEKDAY(A139,2),"Pzt","Sal","Çar","Per","Cum","Cmt","Paz"))</f>
        <v>Per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4" t="n">
        <f aca="false">IF(A139="",0,A139)</f>
        <v>46156</v>
      </c>
      <c r="S139" s="15" t="n">
        <f aca="false">IF(A139="",0,MONTH(A139))</f>
        <v>5</v>
      </c>
    </row>
    <row r="140" customFormat="false" ht="15" hidden="false" customHeight="false" outlineLevel="0" collapsed="false">
      <c r="A140" s="11" t="n">
        <f aca="false">A139+1</f>
        <v>46157</v>
      </c>
      <c r="B140" s="12" t="str">
        <f aca="false">IF(A140="","",CHOOSE(WEEKDAY(A140,2),"Pzt","Sal","Çar","Per","Cum","Cmt","Paz"))</f>
        <v>Cum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4" t="n">
        <f aca="false">IF(A140="",0,A140)</f>
        <v>46157</v>
      </c>
      <c r="S140" s="15" t="n">
        <f aca="false">IF(A140="",0,MONTH(A140))</f>
        <v>5</v>
      </c>
    </row>
    <row r="141" customFormat="false" ht="15" hidden="false" customHeight="false" outlineLevel="0" collapsed="false">
      <c r="A141" s="11" t="n">
        <f aca="false">A140+1</f>
        <v>46158</v>
      </c>
      <c r="B141" s="12" t="str">
        <f aca="false">IF(A141="","",CHOOSE(WEEKDAY(A141,2),"Pzt","Sal","Çar","Per","Cum","Cmt","Paz"))</f>
        <v>Cmt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4" t="n">
        <f aca="false">IF(A141="",0,A141)</f>
        <v>46158</v>
      </c>
      <c r="S141" s="15" t="n">
        <f aca="false">IF(A141="",0,MONTH(A141))</f>
        <v>5</v>
      </c>
    </row>
    <row r="142" customFormat="false" ht="15" hidden="false" customHeight="false" outlineLevel="0" collapsed="false">
      <c r="A142" s="11" t="n">
        <f aca="false">A141+1</f>
        <v>46159</v>
      </c>
      <c r="B142" s="12" t="str">
        <f aca="false">IF(A142="","",CHOOSE(WEEKDAY(A142,2),"Pzt","Sal","Çar","Per","Cum","Cmt","Paz"))</f>
        <v>Paz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4" t="n">
        <f aca="false">IF(A142="",0,A142)</f>
        <v>46159</v>
      </c>
      <c r="S142" s="15" t="n">
        <f aca="false">IF(A142="",0,MONTH(A142))</f>
        <v>5</v>
      </c>
    </row>
    <row r="143" customFormat="false" ht="15" hidden="false" customHeight="false" outlineLevel="0" collapsed="false">
      <c r="A143" s="11" t="n">
        <f aca="false">A142+1</f>
        <v>46160</v>
      </c>
      <c r="B143" s="12" t="str">
        <f aca="false">IF(A143="","",CHOOSE(WEEKDAY(A143,2),"Pzt","Sal","Çar","Per","Cum","Cmt","Paz"))</f>
        <v>Pzt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4" t="n">
        <f aca="false">IF(A143="",0,A143)</f>
        <v>46160</v>
      </c>
      <c r="S143" s="15" t="n">
        <f aca="false">IF(A143="",0,MONTH(A143))</f>
        <v>5</v>
      </c>
    </row>
    <row r="144" customFormat="false" ht="15" hidden="false" customHeight="false" outlineLevel="0" collapsed="false">
      <c r="A144" s="11" t="n">
        <f aca="false">A143+1</f>
        <v>46161</v>
      </c>
      <c r="B144" s="12" t="str">
        <f aca="false">IF(A144="","",CHOOSE(WEEKDAY(A144,2),"Pzt","Sal","Çar","Per","Cum","Cmt","Paz"))</f>
        <v>Sal</v>
      </c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4" t="n">
        <f aca="false">IF(A144="",0,A144)</f>
        <v>46161</v>
      </c>
      <c r="S144" s="15" t="n">
        <f aca="false">IF(A144="",0,MONTH(A144))</f>
        <v>5</v>
      </c>
    </row>
    <row r="145" customFormat="false" ht="15" hidden="false" customHeight="false" outlineLevel="0" collapsed="false">
      <c r="A145" s="11" t="n">
        <f aca="false">A144+1</f>
        <v>46162</v>
      </c>
      <c r="B145" s="12" t="str">
        <f aca="false">IF(A145="","",CHOOSE(WEEKDAY(A145,2),"Pzt","Sal","Çar","Per","Cum","Cmt","Paz"))</f>
        <v>Çar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4" t="n">
        <f aca="false">IF(A145="",0,A145)</f>
        <v>46162</v>
      </c>
      <c r="S145" s="15" t="n">
        <f aca="false">IF(A145="",0,MONTH(A145))</f>
        <v>5</v>
      </c>
    </row>
    <row r="146" customFormat="false" ht="15" hidden="false" customHeight="false" outlineLevel="0" collapsed="false">
      <c r="A146" s="11" t="n">
        <f aca="false">A145+1</f>
        <v>46163</v>
      </c>
      <c r="B146" s="12" t="str">
        <f aca="false">IF(A146="","",CHOOSE(WEEKDAY(A146,2),"Pzt","Sal","Çar","Per","Cum","Cmt","Paz"))</f>
        <v>Per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4" t="n">
        <f aca="false">IF(A146="",0,A146)</f>
        <v>46163</v>
      </c>
      <c r="S146" s="15" t="n">
        <f aca="false">IF(A146="",0,MONTH(A146))</f>
        <v>5</v>
      </c>
    </row>
    <row r="147" customFormat="false" ht="15" hidden="false" customHeight="false" outlineLevel="0" collapsed="false">
      <c r="A147" s="11" t="n">
        <f aca="false">A146+1</f>
        <v>46164</v>
      </c>
      <c r="B147" s="12" t="str">
        <f aca="false">IF(A147="","",CHOOSE(WEEKDAY(A147,2),"Pzt","Sal","Çar","Per","Cum","Cmt","Paz"))</f>
        <v>Cum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4" t="n">
        <f aca="false">IF(A147="",0,A147)</f>
        <v>46164</v>
      </c>
      <c r="S147" s="15" t="n">
        <f aca="false">IF(A147="",0,MONTH(A147))</f>
        <v>5</v>
      </c>
    </row>
    <row r="148" customFormat="false" ht="15" hidden="false" customHeight="false" outlineLevel="0" collapsed="false">
      <c r="A148" s="11" t="n">
        <f aca="false">A147+1</f>
        <v>46165</v>
      </c>
      <c r="B148" s="12" t="str">
        <f aca="false">IF(A148="","",CHOOSE(WEEKDAY(A148,2),"Pzt","Sal","Çar","Per","Cum","Cmt","Paz"))</f>
        <v>Cmt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4" t="n">
        <f aca="false">IF(A148="",0,A148)</f>
        <v>46165</v>
      </c>
      <c r="S148" s="15" t="n">
        <f aca="false">IF(A148="",0,MONTH(A148))</f>
        <v>5</v>
      </c>
    </row>
    <row r="149" customFormat="false" ht="15" hidden="false" customHeight="false" outlineLevel="0" collapsed="false">
      <c r="A149" s="11" t="n">
        <f aca="false">A148+1</f>
        <v>46166</v>
      </c>
      <c r="B149" s="12" t="str">
        <f aca="false">IF(A149="","",CHOOSE(WEEKDAY(A149,2),"Pzt","Sal","Çar","Per","Cum","Cmt","Paz"))</f>
        <v>Paz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4" t="n">
        <f aca="false">IF(A149="",0,A149)</f>
        <v>46166</v>
      </c>
      <c r="S149" s="15" t="n">
        <f aca="false">IF(A149="",0,MONTH(A149))</f>
        <v>5</v>
      </c>
    </row>
    <row r="150" customFormat="false" ht="15" hidden="false" customHeight="false" outlineLevel="0" collapsed="false">
      <c r="A150" s="11" t="n">
        <f aca="false">A149+1</f>
        <v>46167</v>
      </c>
      <c r="B150" s="12" t="str">
        <f aca="false">IF(A150="","",CHOOSE(WEEKDAY(A150,2),"Pzt","Sal","Çar","Per","Cum","Cmt","Paz"))</f>
        <v>Pzt</v>
      </c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4" t="n">
        <f aca="false">IF(A150="",0,A150)</f>
        <v>46167</v>
      </c>
      <c r="S150" s="15" t="n">
        <f aca="false">IF(A150="",0,MONTH(A150))</f>
        <v>5</v>
      </c>
    </row>
    <row r="151" customFormat="false" ht="15" hidden="false" customHeight="false" outlineLevel="0" collapsed="false">
      <c r="A151" s="11" t="n">
        <f aca="false">A150+1</f>
        <v>46168</v>
      </c>
      <c r="B151" s="12" t="str">
        <f aca="false">IF(A151="","",CHOOSE(WEEKDAY(A151,2),"Pzt","Sal","Çar","Per","Cum","Cmt","Paz"))</f>
        <v>Sal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4" t="n">
        <f aca="false">IF(A151="",0,A151)</f>
        <v>46168</v>
      </c>
      <c r="S151" s="15" t="n">
        <f aca="false">IF(A151="",0,MONTH(A151))</f>
        <v>5</v>
      </c>
    </row>
    <row r="152" customFormat="false" ht="15" hidden="false" customHeight="false" outlineLevel="0" collapsed="false">
      <c r="A152" s="11" t="n">
        <f aca="false">A151+1</f>
        <v>46169</v>
      </c>
      <c r="B152" s="12" t="str">
        <f aca="false">IF(A152="","",CHOOSE(WEEKDAY(A152,2),"Pzt","Sal","Çar","Per","Cum","Cmt","Paz"))</f>
        <v>Çar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4" t="n">
        <f aca="false">IF(A152="",0,A152)</f>
        <v>46169</v>
      </c>
      <c r="S152" s="15" t="n">
        <f aca="false">IF(A152="",0,MONTH(A152))</f>
        <v>5</v>
      </c>
    </row>
    <row r="153" customFormat="false" ht="15" hidden="false" customHeight="false" outlineLevel="0" collapsed="false">
      <c r="A153" s="11" t="n">
        <f aca="false">A152+1</f>
        <v>46170</v>
      </c>
      <c r="B153" s="12" t="str">
        <f aca="false">IF(A153="","",CHOOSE(WEEKDAY(A153,2),"Pzt","Sal","Çar","Per","Cum","Cmt","Paz"))</f>
        <v>Per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4" t="n">
        <f aca="false">IF(A153="",0,A153)</f>
        <v>46170</v>
      </c>
      <c r="S153" s="15" t="n">
        <f aca="false">IF(A153="",0,MONTH(A153))</f>
        <v>5</v>
      </c>
    </row>
    <row r="154" customFormat="false" ht="15" hidden="false" customHeight="false" outlineLevel="0" collapsed="false">
      <c r="A154" s="11" t="n">
        <f aca="false">A153+1</f>
        <v>46171</v>
      </c>
      <c r="B154" s="12" t="str">
        <f aca="false">IF(A154="","",CHOOSE(WEEKDAY(A154,2),"Pzt","Sal","Çar","Per","Cum","Cmt","Paz"))</f>
        <v>Cum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4" t="n">
        <f aca="false">IF(A154="",0,A154)</f>
        <v>46171</v>
      </c>
      <c r="S154" s="15" t="n">
        <f aca="false">IF(A154="",0,MONTH(A154))</f>
        <v>5</v>
      </c>
    </row>
    <row r="155" customFormat="false" ht="15" hidden="false" customHeight="false" outlineLevel="0" collapsed="false">
      <c r="A155" s="11" t="n">
        <f aca="false">A154+1</f>
        <v>46172</v>
      </c>
      <c r="B155" s="12" t="str">
        <f aca="false">IF(A155="","",CHOOSE(WEEKDAY(A155,2),"Pzt","Sal","Çar","Per","Cum","Cmt","Paz"))</f>
        <v>Cmt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4" t="n">
        <f aca="false">IF(A155="",0,A155)</f>
        <v>46172</v>
      </c>
      <c r="S155" s="15" t="n">
        <f aca="false">IF(A155="",0,MONTH(A155))</f>
        <v>5</v>
      </c>
    </row>
    <row r="156" customFormat="false" ht="15" hidden="false" customHeight="false" outlineLevel="0" collapsed="false">
      <c r="A156" s="11" t="n">
        <f aca="false">A155+1</f>
        <v>46173</v>
      </c>
      <c r="B156" s="12" t="str">
        <f aca="false">IF(A156="","",CHOOSE(WEEKDAY(A156,2),"Pzt","Sal","Çar","Per","Cum","Cmt","Paz"))</f>
        <v>Paz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4" t="n">
        <f aca="false">IF(A156="",0,A156)</f>
        <v>46173</v>
      </c>
      <c r="S156" s="15" t="n">
        <f aca="false">IF(A156="",0,MONTH(A156))</f>
        <v>5</v>
      </c>
    </row>
    <row r="157" customFormat="false" ht="15" hidden="false" customHeight="false" outlineLevel="0" collapsed="false">
      <c r="A157" s="11" t="n">
        <f aca="false">A156+1</f>
        <v>46174</v>
      </c>
      <c r="B157" s="12" t="str">
        <f aca="false">IF(A157="","",CHOOSE(WEEKDAY(A157,2),"Pzt","Sal","Çar","Per","Cum","Cmt","Paz"))</f>
        <v>Pzt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4" t="n">
        <f aca="false">IF(A157="",0,A157)</f>
        <v>46174</v>
      </c>
      <c r="S157" s="15" t="n">
        <f aca="false">IF(A157="",0,MONTH(A157))</f>
        <v>6</v>
      </c>
    </row>
    <row r="158" customFormat="false" ht="15" hidden="false" customHeight="false" outlineLevel="0" collapsed="false">
      <c r="A158" s="11" t="n">
        <f aca="false">A157+1</f>
        <v>46175</v>
      </c>
      <c r="B158" s="12" t="str">
        <f aca="false">IF(A158="","",CHOOSE(WEEKDAY(A158,2),"Pzt","Sal","Çar","Per","Cum","Cmt","Paz"))</f>
        <v>Sal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4" t="n">
        <f aca="false">IF(A158="",0,A158)</f>
        <v>46175</v>
      </c>
      <c r="S158" s="15" t="n">
        <f aca="false">IF(A158="",0,MONTH(A158))</f>
        <v>6</v>
      </c>
    </row>
    <row r="159" customFormat="false" ht="15" hidden="false" customHeight="false" outlineLevel="0" collapsed="false">
      <c r="A159" s="11" t="n">
        <f aca="false">A158+1</f>
        <v>46176</v>
      </c>
      <c r="B159" s="12" t="str">
        <f aca="false">IF(A159="","",CHOOSE(WEEKDAY(A159,2),"Pzt","Sal","Çar","Per","Cum","Cmt","Paz"))</f>
        <v>Çar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4" t="n">
        <f aca="false">IF(A159="",0,A159)</f>
        <v>46176</v>
      </c>
      <c r="S159" s="15" t="n">
        <f aca="false">IF(A159="",0,MONTH(A159))</f>
        <v>6</v>
      </c>
    </row>
    <row r="160" customFormat="false" ht="15" hidden="false" customHeight="false" outlineLevel="0" collapsed="false">
      <c r="A160" s="11" t="n">
        <f aca="false">A159+1</f>
        <v>46177</v>
      </c>
      <c r="B160" s="12" t="str">
        <f aca="false">IF(A160="","",CHOOSE(WEEKDAY(A160,2),"Pzt","Sal","Çar","Per","Cum","Cmt","Paz"))</f>
        <v>Per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4" t="n">
        <f aca="false">IF(A160="",0,A160)</f>
        <v>46177</v>
      </c>
      <c r="S160" s="15" t="n">
        <f aca="false">IF(A160="",0,MONTH(A160))</f>
        <v>6</v>
      </c>
    </row>
    <row r="161" customFormat="false" ht="15" hidden="false" customHeight="false" outlineLevel="0" collapsed="false">
      <c r="A161" s="11" t="n">
        <f aca="false">A160+1</f>
        <v>46178</v>
      </c>
      <c r="B161" s="12" t="str">
        <f aca="false">IF(A161="","",CHOOSE(WEEKDAY(A161,2),"Pzt","Sal","Çar","Per","Cum","Cmt","Paz"))</f>
        <v>Cum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4" t="n">
        <f aca="false">IF(A161="",0,A161)</f>
        <v>46178</v>
      </c>
      <c r="S161" s="15" t="n">
        <f aca="false">IF(A161="",0,MONTH(A161))</f>
        <v>6</v>
      </c>
    </row>
    <row r="162" customFormat="false" ht="15" hidden="false" customHeight="false" outlineLevel="0" collapsed="false">
      <c r="A162" s="11" t="n">
        <f aca="false">A161+1</f>
        <v>46179</v>
      </c>
      <c r="B162" s="12" t="str">
        <f aca="false">IF(A162="","",CHOOSE(WEEKDAY(A162,2),"Pzt","Sal","Çar","Per","Cum","Cmt","Paz"))</f>
        <v>Cmt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4" t="n">
        <f aca="false">IF(A162="",0,A162)</f>
        <v>46179</v>
      </c>
      <c r="S162" s="15" t="n">
        <f aca="false">IF(A162="",0,MONTH(A162))</f>
        <v>6</v>
      </c>
    </row>
    <row r="163" customFormat="false" ht="15" hidden="false" customHeight="false" outlineLevel="0" collapsed="false">
      <c r="A163" s="11" t="n">
        <f aca="false">A162+1</f>
        <v>46180</v>
      </c>
      <c r="B163" s="12" t="str">
        <f aca="false">IF(A163="","",CHOOSE(WEEKDAY(A163,2),"Pzt","Sal","Çar","Per","Cum","Cmt","Paz"))</f>
        <v>Paz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4" t="n">
        <f aca="false">IF(A163="",0,A163)</f>
        <v>46180</v>
      </c>
      <c r="S163" s="15" t="n">
        <f aca="false">IF(A163="",0,MONTH(A163))</f>
        <v>6</v>
      </c>
    </row>
    <row r="164" customFormat="false" ht="15" hidden="false" customHeight="false" outlineLevel="0" collapsed="false">
      <c r="A164" s="11" t="n">
        <f aca="false">A163+1</f>
        <v>46181</v>
      </c>
      <c r="B164" s="12" t="str">
        <f aca="false">IF(A164="","",CHOOSE(WEEKDAY(A164,2),"Pzt","Sal","Çar","Per","Cum","Cmt","Paz"))</f>
        <v>Pzt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4" t="n">
        <f aca="false">IF(A164="",0,A164)</f>
        <v>46181</v>
      </c>
      <c r="S164" s="15" t="n">
        <f aca="false">IF(A164="",0,MONTH(A164))</f>
        <v>6</v>
      </c>
    </row>
    <row r="165" customFormat="false" ht="15" hidden="false" customHeight="false" outlineLevel="0" collapsed="false">
      <c r="A165" s="11" t="n">
        <f aca="false">A164+1</f>
        <v>46182</v>
      </c>
      <c r="B165" s="12" t="str">
        <f aca="false">IF(A165="","",CHOOSE(WEEKDAY(A165,2),"Pzt","Sal","Çar","Per","Cum","Cmt","Paz"))</f>
        <v>Sal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4" t="n">
        <f aca="false">IF(A165="",0,A165)</f>
        <v>46182</v>
      </c>
      <c r="S165" s="15" t="n">
        <f aca="false">IF(A165="",0,MONTH(A165))</f>
        <v>6</v>
      </c>
    </row>
    <row r="166" customFormat="false" ht="15" hidden="false" customHeight="false" outlineLevel="0" collapsed="false">
      <c r="A166" s="11" t="n">
        <f aca="false">A165+1</f>
        <v>46183</v>
      </c>
      <c r="B166" s="12" t="str">
        <f aca="false">IF(A166="","",CHOOSE(WEEKDAY(A166,2),"Pzt","Sal","Çar","Per","Cum","Cmt","Paz"))</f>
        <v>Çar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4" t="n">
        <f aca="false">IF(A166="",0,A166)</f>
        <v>46183</v>
      </c>
      <c r="S166" s="15" t="n">
        <f aca="false">IF(A166="",0,MONTH(A166))</f>
        <v>6</v>
      </c>
    </row>
    <row r="167" customFormat="false" ht="15" hidden="false" customHeight="false" outlineLevel="0" collapsed="false">
      <c r="A167" s="11" t="n">
        <f aca="false">A166+1</f>
        <v>46184</v>
      </c>
      <c r="B167" s="12" t="str">
        <f aca="false">IF(A167="","",CHOOSE(WEEKDAY(A167,2),"Pzt","Sal","Çar","Per","Cum","Cmt","Paz"))</f>
        <v>Per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4" t="n">
        <f aca="false">IF(A167="",0,A167)</f>
        <v>46184</v>
      </c>
      <c r="S167" s="15" t="n">
        <f aca="false">IF(A167="",0,MONTH(A167))</f>
        <v>6</v>
      </c>
    </row>
    <row r="168" customFormat="false" ht="15" hidden="false" customHeight="false" outlineLevel="0" collapsed="false">
      <c r="A168" s="11" t="n">
        <f aca="false">A167+1</f>
        <v>46185</v>
      </c>
      <c r="B168" s="12" t="str">
        <f aca="false">IF(A168="","",CHOOSE(WEEKDAY(A168,2),"Pzt","Sal","Çar","Per","Cum","Cmt","Paz"))</f>
        <v>Cum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4" t="n">
        <f aca="false">IF(A168="",0,A168)</f>
        <v>46185</v>
      </c>
      <c r="S168" s="15" t="n">
        <f aca="false">IF(A168="",0,MONTH(A168))</f>
        <v>6</v>
      </c>
    </row>
    <row r="169" customFormat="false" ht="15" hidden="false" customHeight="false" outlineLevel="0" collapsed="false">
      <c r="A169" s="11" t="n">
        <f aca="false">A168+1</f>
        <v>46186</v>
      </c>
      <c r="B169" s="12" t="str">
        <f aca="false">IF(A169="","",CHOOSE(WEEKDAY(A169,2),"Pzt","Sal","Çar","Per","Cum","Cmt","Paz"))</f>
        <v>Cmt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4" t="n">
        <f aca="false">IF(A169="",0,A169)</f>
        <v>46186</v>
      </c>
      <c r="S169" s="15" t="n">
        <f aca="false">IF(A169="",0,MONTH(A169))</f>
        <v>6</v>
      </c>
    </row>
    <row r="170" customFormat="false" ht="15" hidden="false" customHeight="false" outlineLevel="0" collapsed="false">
      <c r="A170" s="11" t="n">
        <f aca="false">A169+1</f>
        <v>46187</v>
      </c>
      <c r="B170" s="12" t="str">
        <f aca="false">IF(A170="","",CHOOSE(WEEKDAY(A170,2),"Pzt","Sal","Çar","Per","Cum","Cmt","Paz"))</f>
        <v>Paz</v>
      </c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4" t="n">
        <f aca="false">IF(A170="",0,A170)</f>
        <v>46187</v>
      </c>
      <c r="S170" s="15" t="n">
        <f aca="false">IF(A170="",0,MONTH(A170))</f>
        <v>6</v>
      </c>
    </row>
    <row r="171" customFormat="false" ht="15" hidden="false" customHeight="false" outlineLevel="0" collapsed="false">
      <c r="A171" s="11" t="n">
        <f aca="false">A170+1</f>
        <v>46188</v>
      </c>
      <c r="B171" s="12" t="str">
        <f aca="false">IF(A171="","",CHOOSE(WEEKDAY(A171,2),"Pzt","Sal","Çar","Per","Cum","Cmt","Paz"))</f>
        <v>Pzt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4" t="n">
        <f aca="false">IF(A171="",0,A171)</f>
        <v>46188</v>
      </c>
      <c r="S171" s="15" t="n">
        <f aca="false">IF(A171="",0,MONTH(A171))</f>
        <v>6</v>
      </c>
    </row>
    <row r="172" customFormat="false" ht="15" hidden="false" customHeight="false" outlineLevel="0" collapsed="false">
      <c r="A172" s="11" t="n">
        <f aca="false">A171+1</f>
        <v>46189</v>
      </c>
      <c r="B172" s="12" t="str">
        <f aca="false">IF(A172="","",CHOOSE(WEEKDAY(A172,2),"Pzt","Sal","Çar","Per","Cum","Cmt","Paz"))</f>
        <v>Sal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4" t="n">
        <f aca="false">IF(A172="",0,A172)</f>
        <v>46189</v>
      </c>
      <c r="S172" s="15" t="n">
        <f aca="false">IF(A172="",0,MONTH(A172))</f>
        <v>6</v>
      </c>
    </row>
    <row r="173" customFormat="false" ht="15" hidden="false" customHeight="false" outlineLevel="0" collapsed="false">
      <c r="A173" s="11" t="n">
        <f aca="false">A172+1</f>
        <v>46190</v>
      </c>
      <c r="B173" s="12" t="str">
        <f aca="false">IF(A173="","",CHOOSE(WEEKDAY(A173,2),"Pzt","Sal","Çar","Per","Cum","Cmt","Paz"))</f>
        <v>Çar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4" t="n">
        <f aca="false">IF(A173="",0,A173)</f>
        <v>46190</v>
      </c>
      <c r="S173" s="15" t="n">
        <f aca="false">IF(A173="",0,MONTH(A173))</f>
        <v>6</v>
      </c>
    </row>
    <row r="174" customFormat="false" ht="15" hidden="false" customHeight="false" outlineLevel="0" collapsed="false">
      <c r="A174" s="11" t="n">
        <f aca="false">A173+1</f>
        <v>46191</v>
      </c>
      <c r="B174" s="12" t="str">
        <f aca="false">IF(A174="","",CHOOSE(WEEKDAY(A174,2),"Pzt","Sal","Çar","Per","Cum","Cmt","Paz"))</f>
        <v>Per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4" t="n">
        <f aca="false">IF(A174="",0,A174)</f>
        <v>46191</v>
      </c>
      <c r="S174" s="15" t="n">
        <f aca="false">IF(A174="",0,MONTH(A174))</f>
        <v>6</v>
      </c>
    </row>
    <row r="175" customFormat="false" ht="15" hidden="false" customHeight="false" outlineLevel="0" collapsed="false">
      <c r="A175" s="11" t="n">
        <f aca="false">A174+1</f>
        <v>46192</v>
      </c>
      <c r="B175" s="12" t="str">
        <f aca="false">IF(A175="","",CHOOSE(WEEKDAY(A175,2),"Pzt","Sal","Çar","Per","Cum","Cmt","Paz"))</f>
        <v>Cum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4" t="n">
        <f aca="false">IF(A175="",0,A175)</f>
        <v>46192</v>
      </c>
      <c r="S175" s="15" t="n">
        <f aca="false">IF(A175="",0,MONTH(A175))</f>
        <v>6</v>
      </c>
    </row>
    <row r="176" customFormat="false" ht="15" hidden="false" customHeight="false" outlineLevel="0" collapsed="false">
      <c r="A176" s="11" t="n">
        <f aca="false">A175+1</f>
        <v>46193</v>
      </c>
      <c r="B176" s="12" t="str">
        <f aca="false">IF(A176="","",CHOOSE(WEEKDAY(A176,2),"Pzt","Sal","Çar","Per","Cum","Cmt","Paz"))</f>
        <v>Cmt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4" t="n">
        <f aca="false">IF(A176="",0,A176)</f>
        <v>46193</v>
      </c>
      <c r="S176" s="15" t="n">
        <f aca="false">IF(A176="",0,MONTH(A176))</f>
        <v>6</v>
      </c>
    </row>
    <row r="177" customFormat="false" ht="15" hidden="false" customHeight="false" outlineLevel="0" collapsed="false">
      <c r="A177" s="11" t="n">
        <f aca="false">A176+1</f>
        <v>46194</v>
      </c>
      <c r="B177" s="12" t="str">
        <f aca="false">IF(A177="","",CHOOSE(WEEKDAY(A177,2),"Pzt","Sal","Çar","Per","Cum","Cmt","Paz"))</f>
        <v>Paz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4" t="n">
        <f aca="false">IF(A177="",0,A177)</f>
        <v>46194</v>
      </c>
      <c r="S177" s="15" t="n">
        <f aca="false">IF(A177="",0,MONTH(A177))</f>
        <v>6</v>
      </c>
    </row>
    <row r="178" customFormat="false" ht="15" hidden="false" customHeight="false" outlineLevel="0" collapsed="false">
      <c r="A178" s="11" t="n">
        <f aca="false">A177+1</f>
        <v>46195</v>
      </c>
      <c r="B178" s="12" t="str">
        <f aca="false">IF(A178="","",CHOOSE(WEEKDAY(A178,2),"Pzt","Sal","Çar","Per","Cum","Cmt","Paz"))</f>
        <v>Pzt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4" t="n">
        <f aca="false">IF(A178="",0,A178)</f>
        <v>46195</v>
      </c>
      <c r="S178" s="15" t="n">
        <f aca="false">IF(A178="",0,MONTH(A178))</f>
        <v>6</v>
      </c>
    </row>
    <row r="179" customFormat="false" ht="15" hidden="false" customHeight="false" outlineLevel="0" collapsed="false">
      <c r="A179" s="11" t="n">
        <f aca="false">A178+1</f>
        <v>46196</v>
      </c>
      <c r="B179" s="12" t="str">
        <f aca="false">IF(A179="","",CHOOSE(WEEKDAY(A179,2),"Pzt","Sal","Çar","Per","Cum","Cmt","Paz"))</f>
        <v>Sal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4" t="n">
        <f aca="false">IF(A179="",0,A179)</f>
        <v>46196</v>
      </c>
      <c r="S179" s="15" t="n">
        <f aca="false">IF(A179="",0,MONTH(A179))</f>
        <v>6</v>
      </c>
    </row>
    <row r="180" customFormat="false" ht="15" hidden="false" customHeight="false" outlineLevel="0" collapsed="false">
      <c r="A180" s="11" t="n">
        <f aca="false">A179+1</f>
        <v>46197</v>
      </c>
      <c r="B180" s="12" t="str">
        <f aca="false">IF(A180="","",CHOOSE(WEEKDAY(A180,2),"Pzt","Sal","Çar","Per","Cum","Cmt","Paz"))</f>
        <v>Çar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4" t="n">
        <f aca="false">IF(A180="",0,A180)</f>
        <v>46197</v>
      </c>
      <c r="S180" s="15" t="n">
        <f aca="false">IF(A180="",0,MONTH(A180))</f>
        <v>6</v>
      </c>
    </row>
    <row r="181" customFormat="false" ht="15" hidden="false" customHeight="false" outlineLevel="0" collapsed="false">
      <c r="A181" s="11" t="n">
        <f aca="false">A180+1</f>
        <v>46198</v>
      </c>
      <c r="B181" s="12" t="str">
        <f aca="false">IF(A181="","",CHOOSE(WEEKDAY(A181,2),"Pzt","Sal","Çar","Per","Cum","Cmt","Paz"))</f>
        <v>Per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4" t="n">
        <f aca="false">IF(A181="",0,A181)</f>
        <v>46198</v>
      </c>
      <c r="S181" s="15" t="n">
        <f aca="false">IF(A181="",0,MONTH(A181))</f>
        <v>6</v>
      </c>
    </row>
    <row r="182" customFormat="false" ht="15" hidden="false" customHeight="false" outlineLevel="0" collapsed="false">
      <c r="A182" s="11" t="n">
        <f aca="false">A181+1</f>
        <v>46199</v>
      </c>
      <c r="B182" s="12" t="str">
        <f aca="false">IF(A182="","",CHOOSE(WEEKDAY(A182,2),"Pzt","Sal","Çar","Per","Cum","Cmt","Paz"))</f>
        <v>Cum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4" t="n">
        <f aca="false">IF(A182="",0,A182)</f>
        <v>46199</v>
      </c>
      <c r="S182" s="15" t="n">
        <f aca="false">IF(A182="",0,MONTH(A182))</f>
        <v>6</v>
      </c>
    </row>
    <row r="183" customFormat="false" ht="15" hidden="false" customHeight="false" outlineLevel="0" collapsed="false">
      <c r="A183" s="11" t="n">
        <f aca="false">A182+1</f>
        <v>46200</v>
      </c>
      <c r="B183" s="12" t="str">
        <f aca="false">IF(A183="","",CHOOSE(WEEKDAY(A183,2),"Pzt","Sal","Çar","Per","Cum","Cmt","Paz"))</f>
        <v>Cmt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4" t="n">
        <f aca="false">IF(A183="",0,A183)</f>
        <v>46200</v>
      </c>
      <c r="S183" s="15" t="n">
        <f aca="false">IF(A183="",0,MONTH(A183))</f>
        <v>6</v>
      </c>
    </row>
    <row r="184" customFormat="false" ht="15" hidden="false" customHeight="false" outlineLevel="0" collapsed="false">
      <c r="A184" s="11" t="n">
        <f aca="false">A183+1</f>
        <v>46201</v>
      </c>
      <c r="B184" s="12" t="str">
        <f aca="false">IF(A184="","",CHOOSE(WEEKDAY(A184,2),"Pzt","Sal","Çar","Per","Cum","Cmt","Paz"))</f>
        <v>Paz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4" t="n">
        <f aca="false">IF(A184="",0,A184)</f>
        <v>46201</v>
      </c>
      <c r="S184" s="15" t="n">
        <f aca="false">IF(A184="",0,MONTH(A184))</f>
        <v>6</v>
      </c>
    </row>
    <row r="185" customFormat="false" ht="15" hidden="false" customHeight="false" outlineLevel="0" collapsed="false">
      <c r="A185" s="11" t="n">
        <f aca="false">A184+1</f>
        <v>46202</v>
      </c>
      <c r="B185" s="12" t="str">
        <f aca="false">IF(A185="","",CHOOSE(WEEKDAY(A185,2),"Pzt","Sal","Çar","Per","Cum","Cmt","Paz"))</f>
        <v>Pzt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4" t="n">
        <f aca="false">IF(A185="",0,A185)</f>
        <v>46202</v>
      </c>
      <c r="S185" s="15" t="n">
        <f aca="false">IF(A185="",0,MONTH(A185))</f>
        <v>6</v>
      </c>
    </row>
    <row r="186" customFormat="false" ht="15" hidden="false" customHeight="false" outlineLevel="0" collapsed="false">
      <c r="A186" s="11" t="n">
        <f aca="false">A185+1</f>
        <v>46203</v>
      </c>
      <c r="B186" s="12" t="str">
        <f aca="false">IF(A186="","",CHOOSE(WEEKDAY(A186,2),"Pzt","Sal","Çar","Per","Cum","Cmt","Paz"))</f>
        <v>Sal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4" t="n">
        <f aca="false">IF(A186="",0,A186)</f>
        <v>46203</v>
      </c>
      <c r="S186" s="15" t="n">
        <f aca="false">IF(A186="",0,MONTH(A186))</f>
        <v>6</v>
      </c>
    </row>
    <row r="187" customFormat="false" ht="15" hidden="false" customHeight="false" outlineLevel="0" collapsed="false">
      <c r="A187" s="11" t="n">
        <f aca="false">A186+1</f>
        <v>46204</v>
      </c>
      <c r="B187" s="12" t="str">
        <f aca="false">IF(A187="","",CHOOSE(WEEKDAY(A187,2),"Pzt","Sal","Çar","Per","Cum","Cmt","Paz"))</f>
        <v>Çar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4" t="n">
        <f aca="false">IF(A187="",0,A187)</f>
        <v>46204</v>
      </c>
      <c r="S187" s="15" t="n">
        <f aca="false">IF(A187="",0,MONTH(A187))</f>
        <v>7</v>
      </c>
    </row>
    <row r="188" customFormat="false" ht="15" hidden="false" customHeight="false" outlineLevel="0" collapsed="false">
      <c r="A188" s="11" t="n">
        <f aca="false">A187+1</f>
        <v>46205</v>
      </c>
      <c r="B188" s="12" t="str">
        <f aca="false">IF(A188="","",CHOOSE(WEEKDAY(A188,2),"Pzt","Sal","Çar","Per","Cum","Cmt","Paz"))</f>
        <v>Per</v>
      </c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4" t="n">
        <f aca="false">IF(A188="",0,A188)</f>
        <v>46205</v>
      </c>
      <c r="S188" s="15" t="n">
        <f aca="false">IF(A188="",0,MONTH(A188))</f>
        <v>7</v>
      </c>
    </row>
    <row r="189" customFormat="false" ht="15" hidden="false" customHeight="false" outlineLevel="0" collapsed="false">
      <c r="A189" s="11" t="n">
        <f aca="false">A188+1</f>
        <v>46206</v>
      </c>
      <c r="B189" s="12" t="str">
        <f aca="false">IF(A189="","",CHOOSE(WEEKDAY(A189,2),"Pzt","Sal","Çar","Per","Cum","Cmt","Paz"))</f>
        <v>Cum</v>
      </c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4" t="n">
        <f aca="false">IF(A189="",0,A189)</f>
        <v>46206</v>
      </c>
      <c r="S189" s="15" t="n">
        <f aca="false">IF(A189="",0,MONTH(A189))</f>
        <v>7</v>
      </c>
    </row>
    <row r="190" customFormat="false" ht="15" hidden="false" customHeight="false" outlineLevel="0" collapsed="false">
      <c r="A190" s="11" t="n">
        <f aca="false">A189+1</f>
        <v>46207</v>
      </c>
      <c r="B190" s="12" t="str">
        <f aca="false">IF(A190="","",CHOOSE(WEEKDAY(A190,2),"Pzt","Sal","Çar","Per","Cum","Cmt","Paz"))</f>
        <v>Cmt</v>
      </c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4" t="n">
        <f aca="false">IF(A190="",0,A190)</f>
        <v>46207</v>
      </c>
      <c r="S190" s="15" t="n">
        <f aca="false">IF(A190="",0,MONTH(A190))</f>
        <v>7</v>
      </c>
    </row>
    <row r="191" customFormat="false" ht="15" hidden="false" customHeight="false" outlineLevel="0" collapsed="false">
      <c r="A191" s="11" t="n">
        <f aca="false">A190+1</f>
        <v>46208</v>
      </c>
      <c r="B191" s="12" t="str">
        <f aca="false">IF(A191="","",CHOOSE(WEEKDAY(A191,2),"Pzt","Sal","Çar","Per","Cum","Cmt","Paz"))</f>
        <v>Paz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4" t="n">
        <f aca="false">IF(A191="",0,A191)</f>
        <v>46208</v>
      </c>
      <c r="S191" s="15" t="n">
        <f aca="false">IF(A191="",0,MONTH(A191))</f>
        <v>7</v>
      </c>
    </row>
    <row r="192" customFormat="false" ht="15" hidden="false" customHeight="false" outlineLevel="0" collapsed="false">
      <c r="A192" s="11" t="n">
        <f aca="false">A191+1</f>
        <v>46209</v>
      </c>
      <c r="B192" s="12" t="str">
        <f aca="false">IF(A192="","",CHOOSE(WEEKDAY(A192,2),"Pzt","Sal","Çar","Per","Cum","Cmt","Paz"))</f>
        <v>Pzt</v>
      </c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4" t="n">
        <f aca="false">IF(A192="",0,A192)</f>
        <v>46209</v>
      </c>
      <c r="S192" s="15" t="n">
        <f aca="false">IF(A192="",0,MONTH(A192))</f>
        <v>7</v>
      </c>
    </row>
    <row r="193" customFormat="false" ht="15" hidden="false" customHeight="false" outlineLevel="0" collapsed="false">
      <c r="A193" s="11" t="n">
        <f aca="false">A192+1</f>
        <v>46210</v>
      </c>
      <c r="B193" s="12" t="str">
        <f aca="false">IF(A193="","",CHOOSE(WEEKDAY(A193,2),"Pzt","Sal","Çar","Per","Cum","Cmt","Paz"))</f>
        <v>Sal</v>
      </c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4" t="n">
        <f aca="false">IF(A193="",0,A193)</f>
        <v>46210</v>
      </c>
      <c r="S193" s="15" t="n">
        <f aca="false">IF(A193="",0,MONTH(A193))</f>
        <v>7</v>
      </c>
    </row>
    <row r="194" customFormat="false" ht="15" hidden="false" customHeight="false" outlineLevel="0" collapsed="false">
      <c r="A194" s="11" t="n">
        <f aca="false">A193+1</f>
        <v>46211</v>
      </c>
      <c r="B194" s="12" t="str">
        <f aca="false">IF(A194="","",CHOOSE(WEEKDAY(A194,2),"Pzt","Sal","Çar","Per","Cum","Cmt","Paz"))</f>
        <v>Çar</v>
      </c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4" t="n">
        <f aca="false">IF(A194="",0,A194)</f>
        <v>46211</v>
      </c>
      <c r="S194" s="15" t="n">
        <f aca="false">IF(A194="",0,MONTH(A194))</f>
        <v>7</v>
      </c>
    </row>
    <row r="195" customFormat="false" ht="15" hidden="false" customHeight="false" outlineLevel="0" collapsed="false">
      <c r="A195" s="11" t="n">
        <f aca="false">A194+1</f>
        <v>46212</v>
      </c>
      <c r="B195" s="12" t="str">
        <f aca="false">IF(A195="","",CHOOSE(WEEKDAY(A195,2),"Pzt","Sal","Çar","Per","Cum","Cmt","Paz"))</f>
        <v>Per</v>
      </c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4" t="n">
        <f aca="false">IF(A195="",0,A195)</f>
        <v>46212</v>
      </c>
      <c r="S195" s="15" t="n">
        <f aca="false">IF(A195="",0,MONTH(A195))</f>
        <v>7</v>
      </c>
    </row>
    <row r="196" customFormat="false" ht="15" hidden="false" customHeight="false" outlineLevel="0" collapsed="false">
      <c r="A196" s="11" t="n">
        <f aca="false">A195+1</f>
        <v>46213</v>
      </c>
      <c r="B196" s="12" t="str">
        <f aca="false">IF(A196="","",CHOOSE(WEEKDAY(A196,2),"Pzt","Sal","Çar","Per","Cum","Cmt","Paz"))</f>
        <v>Cum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4" t="n">
        <f aca="false">IF(A196="",0,A196)</f>
        <v>46213</v>
      </c>
      <c r="S196" s="15" t="n">
        <f aca="false">IF(A196="",0,MONTH(A196))</f>
        <v>7</v>
      </c>
    </row>
    <row r="197" customFormat="false" ht="15" hidden="false" customHeight="false" outlineLevel="0" collapsed="false">
      <c r="A197" s="11" t="n">
        <f aca="false">A196+1</f>
        <v>46214</v>
      </c>
      <c r="B197" s="12" t="str">
        <f aca="false">IF(A197="","",CHOOSE(WEEKDAY(A197,2),"Pzt","Sal","Çar","Per","Cum","Cmt","Paz"))</f>
        <v>Cmt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4" t="n">
        <f aca="false">IF(A197="",0,A197)</f>
        <v>46214</v>
      </c>
      <c r="S197" s="15" t="n">
        <f aca="false">IF(A197="",0,MONTH(A197))</f>
        <v>7</v>
      </c>
    </row>
    <row r="198" customFormat="false" ht="15" hidden="false" customHeight="false" outlineLevel="0" collapsed="false">
      <c r="A198" s="11" t="n">
        <f aca="false">A197+1</f>
        <v>46215</v>
      </c>
      <c r="B198" s="12" t="str">
        <f aca="false">IF(A198="","",CHOOSE(WEEKDAY(A198,2),"Pzt","Sal","Çar","Per","Cum","Cmt","Paz"))</f>
        <v>Paz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4" t="n">
        <f aca="false">IF(A198="",0,A198)</f>
        <v>46215</v>
      </c>
      <c r="S198" s="15" t="n">
        <f aca="false">IF(A198="",0,MONTH(A198))</f>
        <v>7</v>
      </c>
    </row>
    <row r="199" customFormat="false" ht="15" hidden="false" customHeight="false" outlineLevel="0" collapsed="false">
      <c r="A199" s="11" t="n">
        <f aca="false">A198+1</f>
        <v>46216</v>
      </c>
      <c r="B199" s="12" t="str">
        <f aca="false">IF(A199="","",CHOOSE(WEEKDAY(A199,2),"Pzt","Sal","Çar","Per","Cum","Cmt","Paz"))</f>
        <v>Pzt</v>
      </c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4" t="n">
        <f aca="false">IF(A199="",0,A199)</f>
        <v>46216</v>
      </c>
      <c r="S199" s="15" t="n">
        <f aca="false">IF(A199="",0,MONTH(A199))</f>
        <v>7</v>
      </c>
    </row>
    <row r="200" customFormat="false" ht="15" hidden="false" customHeight="false" outlineLevel="0" collapsed="false">
      <c r="A200" s="11" t="n">
        <f aca="false">A199+1</f>
        <v>46217</v>
      </c>
      <c r="B200" s="12" t="str">
        <f aca="false">IF(A200="","",CHOOSE(WEEKDAY(A200,2),"Pzt","Sal","Çar","Per","Cum","Cmt","Paz"))</f>
        <v>Sal</v>
      </c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4" t="n">
        <f aca="false">IF(A200="",0,A200)</f>
        <v>46217</v>
      </c>
      <c r="S200" s="15" t="n">
        <f aca="false">IF(A200="",0,MONTH(A200))</f>
        <v>7</v>
      </c>
    </row>
    <row r="201" customFormat="false" ht="15" hidden="false" customHeight="false" outlineLevel="0" collapsed="false">
      <c r="A201" s="11" t="n">
        <f aca="false">A200+1</f>
        <v>46218</v>
      </c>
      <c r="B201" s="12" t="str">
        <f aca="false">IF(A201="","",CHOOSE(WEEKDAY(A201,2),"Pzt","Sal","Çar","Per","Cum","Cmt","Paz"))</f>
        <v>Çar</v>
      </c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4" t="n">
        <f aca="false">IF(A201="",0,A201)</f>
        <v>46218</v>
      </c>
      <c r="S201" s="15" t="n">
        <f aca="false">IF(A201="",0,MONTH(A201))</f>
        <v>7</v>
      </c>
    </row>
    <row r="202" customFormat="false" ht="15" hidden="false" customHeight="false" outlineLevel="0" collapsed="false">
      <c r="A202" s="11" t="n">
        <f aca="false">A201+1</f>
        <v>46219</v>
      </c>
      <c r="B202" s="12" t="str">
        <f aca="false">IF(A202="","",CHOOSE(WEEKDAY(A202,2),"Pzt","Sal","Çar","Per","Cum","Cmt","Paz"))</f>
        <v>Per</v>
      </c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4" t="n">
        <f aca="false">IF(A202="",0,A202)</f>
        <v>46219</v>
      </c>
      <c r="S202" s="15" t="n">
        <f aca="false">IF(A202="",0,MONTH(A202))</f>
        <v>7</v>
      </c>
    </row>
    <row r="203" customFormat="false" ht="15" hidden="false" customHeight="false" outlineLevel="0" collapsed="false">
      <c r="A203" s="11" t="n">
        <f aca="false">A202+1</f>
        <v>46220</v>
      </c>
      <c r="B203" s="12" t="str">
        <f aca="false">IF(A203="","",CHOOSE(WEEKDAY(A203,2),"Pzt","Sal","Çar","Per","Cum","Cmt","Paz"))</f>
        <v>Cum</v>
      </c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4" t="n">
        <f aca="false">IF(A203="",0,A203)</f>
        <v>46220</v>
      </c>
      <c r="S203" s="15" t="n">
        <f aca="false">IF(A203="",0,MONTH(A203))</f>
        <v>7</v>
      </c>
    </row>
    <row r="204" customFormat="false" ht="15" hidden="false" customHeight="false" outlineLevel="0" collapsed="false">
      <c r="A204" s="11" t="n">
        <f aca="false">A203+1</f>
        <v>46221</v>
      </c>
      <c r="B204" s="12" t="str">
        <f aca="false">IF(A204="","",CHOOSE(WEEKDAY(A204,2),"Pzt","Sal","Çar","Per","Cum","Cmt","Paz"))</f>
        <v>Cmt</v>
      </c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4" t="n">
        <f aca="false">IF(A204="",0,A204)</f>
        <v>46221</v>
      </c>
      <c r="S204" s="15" t="n">
        <f aca="false">IF(A204="",0,MONTH(A204))</f>
        <v>7</v>
      </c>
    </row>
    <row r="205" customFormat="false" ht="15" hidden="false" customHeight="false" outlineLevel="0" collapsed="false">
      <c r="A205" s="11" t="n">
        <f aca="false">A204+1</f>
        <v>46222</v>
      </c>
      <c r="B205" s="12" t="str">
        <f aca="false">IF(A205="","",CHOOSE(WEEKDAY(A205,2),"Pzt","Sal","Çar","Per","Cum","Cmt","Paz"))</f>
        <v>Paz</v>
      </c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4" t="n">
        <f aca="false">IF(A205="",0,A205)</f>
        <v>46222</v>
      </c>
      <c r="S205" s="15" t="n">
        <f aca="false">IF(A205="",0,MONTH(A205))</f>
        <v>7</v>
      </c>
    </row>
    <row r="206" customFormat="false" ht="15" hidden="false" customHeight="false" outlineLevel="0" collapsed="false">
      <c r="A206" s="11" t="n">
        <f aca="false">A205+1</f>
        <v>46223</v>
      </c>
      <c r="B206" s="12" t="str">
        <f aca="false">IF(A206="","",CHOOSE(WEEKDAY(A206,2),"Pzt","Sal","Çar","Per","Cum","Cmt","Paz"))</f>
        <v>Pzt</v>
      </c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4" t="n">
        <f aca="false">IF(A206="",0,A206)</f>
        <v>46223</v>
      </c>
      <c r="S206" s="15" t="n">
        <f aca="false">IF(A206="",0,MONTH(A206))</f>
        <v>7</v>
      </c>
    </row>
    <row r="207" customFormat="false" ht="15" hidden="false" customHeight="false" outlineLevel="0" collapsed="false">
      <c r="A207" s="11" t="n">
        <f aca="false">A206+1</f>
        <v>46224</v>
      </c>
      <c r="B207" s="12" t="str">
        <f aca="false">IF(A207="","",CHOOSE(WEEKDAY(A207,2),"Pzt","Sal","Çar","Per","Cum","Cmt","Paz"))</f>
        <v>Sal</v>
      </c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4" t="n">
        <f aca="false">IF(A207="",0,A207)</f>
        <v>46224</v>
      </c>
      <c r="S207" s="15" t="n">
        <f aca="false">IF(A207="",0,MONTH(A207))</f>
        <v>7</v>
      </c>
    </row>
    <row r="208" customFormat="false" ht="15" hidden="false" customHeight="false" outlineLevel="0" collapsed="false">
      <c r="A208" s="11" t="n">
        <f aca="false">A207+1</f>
        <v>46225</v>
      </c>
      <c r="B208" s="12" t="str">
        <f aca="false">IF(A208="","",CHOOSE(WEEKDAY(A208,2),"Pzt","Sal","Çar","Per","Cum","Cmt","Paz"))</f>
        <v>Çar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4" t="n">
        <f aca="false">IF(A208="",0,A208)</f>
        <v>46225</v>
      </c>
      <c r="S208" s="15" t="n">
        <f aca="false">IF(A208="",0,MONTH(A208))</f>
        <v>7</v>
      </c>
    </row>
    <row r="209" customFormat="false" ht="15" hidden="false" customHeight="false" outlineLevel="0" collapsed="false">
      <c r="A209" s="11" t="n">
        <f aca="false">A208+1</f>
        <v>46226</v>
      </c>
      <c r="B209" s="12" t="str">
        <f aca="false">IF(A209="","",CHOOSE(WEEKDAY(A209,2),"Pzt","Sal","Çar","Per","Cum","Cmt","Paz"))</f>
        <v>Per</v>
      </c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4" t="n">
        <f aca="false">IF(A209="",0,A209)</f>
        <v>46226</v>
      </c>
      <c r="S209" s="15" t="n">
        <f aca="false">IF(A209="",0,MONTH(A209))</f>
        <v>7</v>
      </c>
    </row>
    <row r="210" customFormat="false" ht="15" hidden="false" customHeight="false" outlineLevel="0" collapsed="false">
      <c r="A210" s="11" t="n">
        <f aca="false">A209+1</f>
        <v>46227</v>
      </c>
      <c r="B210" s="12" t="str">
        <f aca="false">IF(A210="","",CHOOSE(WEEKDAY(A210,2),"Pzt","Sal","Çar","Per","Cum","Cmt","Paz"))</f>
        <v>Cum</v>
      </c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4" t="n">
        <f aca="false">IF(A210="",0,A210)</f>
        <v>46227</v>
      </c>
      <c r="S210" s="15" t="n">
        <f aca="false">IF(A210="",0,MONTH(A210))</f>
        <v>7</v>
      </c>
    </row>
    <row r="211" customFormat="false" ht="15" hidden="false" customHeight="false" outlineLevel="0" collapsed="false">
      <c r="A211" s="11" t="n">
        <f aca="false">A210+1</f>
        <v>46228</v>
      </c>
      <c r="B211" s="12" t="str">
        <f aca="false">IF(A211="","",CHOOSE(WEEKDAY(A211,2),"Pzt","Sal","Çar","Per","Cum","Cmt","Paz"))</f>
        <v>Cmt</v>
      </c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4" t="n">
        <f aca="false">IF(A211="",0,A211)</f>
        <v>46228</v>
      </c>
      <c r="S211" s="15" t="n">
        <f aca="false">IF(A211="",0,MONTH(A211))</f>
        <v>7</v>
      </c>
    </row>
    <row r="212" customFormat="false" ht="15" hidden="false" customHeight="false" outlineLevel="0" collapsed="false">
      <c r="A212" s="11" t="n">
        <f aca="false">A211+1</f>
        <v>46229</v>
      </c>
      <c r="B212" s="12" t="str">
        <f aca="false">IF(A212="","",CHOOSE(WEEKDAY(A212,2),"Pzt","Sal","Çar","Per","Cum","Cmt","Paz"))</f>
        <v>Paz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4" t="n">
        <f aca="false">IF(A212="",0,A212)</f>
        <v>46229</v>
      </c>
      <c r="S212" s="15" t="n">
        <f aca="false">IF(A212="",0,MONTH(A212))</f>
        <v>7</v>
      </c>
    </row>
    <row r="213" customFormat="false" ht="15" hidden="false" customHeight="false" outlineLevel="0" collapsed="false">
      <c r="A213" s="11" t="n">
        <f aca="false">A212+1</f>
        <v>46230</v>
      </c>
      <c r="B213" s="12" t="str">
        <f aca="false">IF(A213="","",CHOOSE(WEEKDAY(A213,2),"Pzt","Sal","Çar","Per","Cum","Cmt","Paz"))</f>
        <v>Pzt</v>
      </c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4" t="n">
        <f aca="false">IF(A213="",0,A213)</f>
        <v>46230</v>
      </c>
      <c r="S213" s="15" t="n">
        <f aca="false">IF(A213="",0,MONTH(A213))</f>
        <v>7</v>
      </c>
    </row>
    <row r="214" customFormat="false" ht="15" hidden="false" customHeight="false" outlineLevel="0" collapsed="false">
      <c r="A214" s="11" t="n">
        <f aca="false">A213+1</f>
        <v>46231</v>
      </c>
      <c r="B214" s="12" t="str">
        <f aca="false">IF(A214="","",CHOOSE(WEEKDAY(A214,2),"Pzt","Sal","Çar","Per","Cum","Cmt","Paz"))</f>
        <v>Sal</v>
      </c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4" t="n">
        <f aca="false">IF(A214="",0,A214)</f>
        <v>46231</v>
      </c>
      <c r="S214" s="15" t="n">
        <f aca="false">IF(A214="",0,MONTH(A214))</f>
        <v>7</v>
      </c>
    </row>
    <row r="215" customFormat="false" ht="15" hidden="false" customHeight="false" outlineLevel="0" collapsed="false">
      <c r="A215" s="11" t="n">
        <f aca="false">A214+1</f>
        <v>46232</v>
      </c>
      <c r="B215" s="12" t="str">
        <f aca="false">IF(A215="","",CHOOSE(WEEKDAY(A215,2),"Pzt","Sal","Çar","Per","Cum","Cmt","Paz"))</f>
        <v>Çar</v>
      </c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4" t="n">
        <f aca="false">IF(A215="",0,A215)</f>
        <v>46232</v>
      </c>
      <c r="S215" s="15" t="n">
        <f aca="false">IF(A215="",0,MONTH(A215))</f>
        <v>7</v>
      </c>
    </row>
    <row r="216" customFormat="false" ht="15" hidden="false" customHeight="false" outlineLevel="0" collapsed="false">
      <c r="A216" s="11" t="n">
        <f aca="false">A215+1</f>
        <v>46233</v>
      </c>
      <c r="B216" s="12" t="str">
        <f aca="false">IF(A216="","",CHOOSE(WEEKDAY(A216,2),"Pzt","Sal","Çar","Per","Cum","Cmt","Paz"))</f>
        <v>Per</v>
      </c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4" t="n">
        <f aca="false">IF(A216="",0,A216)</f>
        <v>46233</v>
      </c>
      <c r="S216" s="15" t="n">
        <f aca="false">IF(A216="",0,MONTH(A216))</f>
        <v>7</v>
      </c>
    </row>
    <row r="217" customFormat="false" ht="15" hidden="false" customHeight="false" outlineLevel="0" collapsed="false">
      <c r="A217" s="11" t="n">
        <f aca="false">A216+1</f>
        <v>46234</v>
      </c>
      <c r="B217" s="12" t="str">
        <f aca="false">IF(A217="","",CHOOSE(WEEKDAY(A217,2),"Pzt","Sal","Çar","Per","Cum","Cmt","Paz"))</f>
        <v>Cum</v>
      </c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4" t="n">
        <f aca="false">IF(A217="",0,A217)</f>
        <v>46234</v>
      </c>
      <c r="S217" s="15" t="n">
        <f aca="false">IF(A217="",0,MONTH(A217))</f>
        <v>7</v>
      </c>
    </row>
    <row r="218" customFormat="false" ht="15" hidden="false" customHeight="false" outlineLevel="0" collapsed="false">
      <c r="A218" s="11" t="n">
        <f aca="false">A217+1</f>
        <v>46235</v>
      </c>
      <c r="B218" s="12" t="str">
        <f aca="false">IF(A218="","",CHOOSE(WEEKDAY(A218,2),"Pzt","Sal","Çar","Per","Cum","Cmt","Paz"))</f>
        <v>Cmt</v>
      </c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4" t="n">
        <f aca="false">IF(A218="",0,A218)</f>
        <v>46235</v>
      </c>
      <c r="S218" s="15" t="n">
        <f aca="false">IF(A218="",0,MONTH(A218))</f>
        <v>8</v>
      </c>
    </row>
    <row r="219" customFormat="false" ht="15" hidden="false" customHeight="false" outlineLevel="0" collapsed="false">
      <c r="A219" s="11" t="n">
        <f aca="false">A218+1</f>
        <v>46236</v>
      </c>
      <c r="B219" s="12" t="str">
        <f aca="false">IF(A219="","",CHOOSE(WEEKDAY(A219,2),"Pzt","Sal","Çar","Per","Cum","Cmt","Paz"))</f>
        <v>Paz</v>
      </c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4" t="n">
        <f aca="false">IF(A219="",0,A219)</f>
        <v>46236</v>
      </c>
      <c r="S219" s="15" t="n">
        <f aca="false">IF(A219="",0,MONTH(A219))</f>
        <v>8</v>
      </c>
    </row>
    <row r="220" customFormat="false" ht="15" hidden="false" customHeight="false" outlineLevel="0" collapsed="false">
      <c r="A220" s="11" t="n">
        <f aca="false">A219+1</f>
        <v>46237</v>
      </c>
      <c r="B220" s="12" t="str">
        <f aca="false">IF(A220="","",CHOOSE(WEEKDAY(A220,2),"Pzt","Sal","Çar","Per","Cum","Cmt","Paz"))</f>
        <v>Pzt</v>
      </c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4" t="n">
        <f aca="false">IF(A220="",0,A220)</f>
        <v>46237</v>
      </c>
      <c r="S220" s="15" t="n">
        <f aca="false">IF(A220="",0,MONTH(A220))</f>
        <v>8</v>
      </c>
    </row>
    <row r="221" customFormat="false" ht="15" hidden="false" customHeight="false" outlineLevel="0" collapsed="false">
      <c r="A221" s="11" t="n">
        <f aca="false">A220+1</f>
        <v>46238</v>
      </c>
      <c r="B221" s="12" t="str">
        <f aca="false">IF(A221="","",CHOOSE(WEEKDAY(A221,2),"Pzt","Sal","Çar","Per","Cum","Cmt","Paz"))</f>
        <v>Sal</v>
      </c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4" t="n">
        <f aca="false">IF(A221="",0,A221)</f>
        <v>46238</v>
      </c>
      <c r="S221" s="15" t="n">
        <f aca="false">IF(A221="",0,MONTH(A221))</f>
        <v>8</v>
      </c>
    </row>
    <row r="222" customFormat="false" ht="15" hidden="false" customHeight="false" outlineLevel="0" collapsed="false">
      <c r="A222" s="11" t="n">
        <f aca="false">A221+1</f>
        <v>46239</v>
      </c>
      <c r="B222" s="12" t="str">
        <f aca="false">IF(A222="","",CHOOSE(WEEKDAY(A222,2),"Pzt","Sal","Çar","Per","Cum","Cmt","Paz"))</f>
        <v>Çar</v>
      </c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4" t="n">
        <f aca="false">IF(A222="",0,A222)</f>
        <v>46239</v>
      </c>
      <c r="S222" s="15" t="n">
        <f aca="false">IF(A222="",0,MONTH(A222))</f>
        <v>8</v>
      </c>
    </row>
    <row r="223" customFormat="false" ht="15" hidden="false" customHeight="false" outlineLevel="0" collapsed="false">
      <c r="A223" s="11" t="n">
        <f aca="false">A222+1</f>
        <v>46240</v>
      </c>
      <c r="B223" s="12" t="str">
        <f aca="false">IF(A223="","",CHOOSE(WEEKDAY(A223,2),"Pzt","Sal","Çar","Per","Cum","Cmt","Paz"))</f>
        <v>Per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4" t="n">
        <f aca="false">IF(A223="",0,A223)</f>
        <v>46240</v>
      </c>
      <c r="S223" s="15" t="n">
        <f aca="false">IF(A223="",0,MONTH(A223))</f>
        <v>8</v>
      </c>
    </row>
    <row r="224" customFormat="false" ht="15" hidden="false" customHeight="false" outlineLevel="0" collapsed="false">
      <c r="A224" s="11" t="n">
        <f aca="false">A223+1</f>
        <v>46241</v>
      </c>
      <c r="B224" s="12" t="str">
        <f aca="false">IF(A224="","",CHOOSE(WEEKDAY(A224,2),"Pzt","Sal","Çar","Per","Cum","Cmt","Paz"))</f>
        <v>Cum</v>
      </c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4" t="n">
        <f aca="false">IF(A224="",0,A224)</f>
        <v>46241</v>
      </c>
      <c r="S224" s="15" t="n">
        <f aca="false">IF(A224="",0,MONTH(A224))</f>
        <v>8</v>
      </c>
    </row>
    <row r="225" customFormat="false" ht="15" hidden="false" customHeight="false" outlineLevel="0" collapsed="false">
      <c r="A225" s="11" t="n">
        <f aca="false">A224+1</f>
        <v>46242</v>
      </c>
      <c r="B225" s="12" t="str">
        <f aca="false">IF(A225="","",CHOOSE(WEEKDAY(A225,2),"Pzt","Sal","Çar","Per","Cum","Cmt","Paz"))</f>
        <v>Cmt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4" t="n">
        <f aca="false">IF(A225="",0,A225)</f>
        <v>46242</v>
      </c>
      <c r="S225" s="15" t="n">
        <f aca="false">IF(A225="",0,MONTH(A225))</f>
        <v>8</v>
      </c>
    </row>
    <row r="226" customFormat="false" ht="15" hidden="false" customHeight="false" outlineLevel="0" collapsed="false">
      <c r="A226" s="11" t="n">
        <f aca="false">A225+1</f>
        <v>46243</v>
      </c>
      <c r="B226" s="12" t="str">
        <f aca="false">IF(A226="","",CHOOSE(WEEKDAY(A226,2),"Pzt","Sal","Çar","Per","Cum","Cmt","Paz"))</f>
        <v>Paz</v>
      </c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4" t="n">
        <f aca="false">IF(A226="",0,A226)</f>
        <v>46243</v>
      </c>
      <c r="S226" s="15" t="n">
        <f aca="false">IF(A226="",0,MONTH(A226))</f>
        <v>8</v>
      </c>
    </row>
    <row r="227" customFormat="false" ht="15" hidden="false" customHeight="false" outlineLevel="0" collapsed="false">
      <c r="A227" s="11" t="n">
        <f aca="false">A226+1</f>
        <v>46244</v>
      </c>
      <c r="B227" s="12" t="str">
        <f aca="false">IF(A227="","",CHOOSE(WEEKDAY(A227,2),"Pzt","Sal","Çar","Per","Cum","Cmt","Paz"))</f>
        <v>Pzt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4" t="n">
        <f aca="false">IF(A227="",0,A227)</f>
        <v>46244</v>
      </c>
      <c r="S227" s="15" t="n">
        <f aca="false">IF(A227="",0,MONTH(A227))</f>
        <v>8</v>
      </c>
    </row>
    <row r="228" customFormat="false" ht="15" hidden="false" customHeight="false" outlineLevel="0" collapsed="false">
      <c r="A228" s="11" t="n">
        <f aca="false">A227+1</f>
        <v>46245</v>
      </c>
      <c r="B228" s="12" t="str">
        <f aca="false">IF(A228="","",CHOOSE(WEEKDAY(A228,2),"Pzt","Sal","Çar","Per","Cum","Cmt","Paz"))</f>
        <v>Sal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4" t="n">
        <f aca="false">IF(A228="",0,A228)</f>
        <v>46245</v>
      </c>
      <c r="S228" s="15" t="n">
        <f aca="false">IF(A228="",0,MONTH(A228))</f>
        <v>8</v>
      </c>
    </row>
    <row r="229" customFormat="false" ht="15" hidden="false" customHeight="false" outlineLevel="0" collapsed="false">
      <c r="A229" s="11" t="n">
        <f aca="false">A228+1</f>
        <v>46246</v>
      </c>
      <c r="B229" s="12" t="str">
        <f aca="false">IF(A229="","",CHOOSE(WEEKDAY(A229,2),"Pzt","Sal","Çar","Per","Cum","Cmt","Paz"))</f>
        <v>Çar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4" t="n">
        <f aca="false">IF(A229="",0,A229)</f>
        <v>46246</v>
      </c>
      <c r="S229" s="15" t="n">
        <f aca="false">IF(A229="",0,MONTH(A229))</f>
        <v>8</v>
      </c>
    </row>
    <row r="230" customFormat="false" ht="15" hidden="false" customHeight="false" outlineLevel="0" collapsed="false">
      <c r="A230" s="11" t="n">
        <f aca="false">A229+1</f>
        <v>46247</v>
      </c>
      <c r="B230" s="12" t="str">
        <f aca="false">IF(A230="","",CHOOSE(WEEKDAY(A230,2),"Pzt","Sal","Çar","Per","Cum","Cmt","Paz"))</f>
        <v>Per</v>
      </c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4" t="n">
        <f aca="false">IF(A230="",0,A230)</f>
        <v>46247</v>
      </c>
      <c r="S230" s="15" t="n">
        <f aca="false">IF(A230="",0,MONTH(A230))</f>
        <v>8</v>
      </c>
    </row>
    <row r="231" customFormat="false" ht="15" hidden="false" customHeight="false" outlineLevel="0" collapsed="false">
      <c r="A231" s="11" t="n">
        <f aca="false">A230+1</f>
        <v>46248</v>
      </c>
      <c r="B231" s="12" t="str">
        <f aca="false">IF(A231="","",CHOOSE(WEEKDAY(A231,2),"Pzt","Sal","Çar","Per","Cum","Cmt","Paz"))</f>
        <v>Cum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4" t="n">
        <f aca="false">IF(A231="",0,A231)</f>
        <v>46248</v>
      </c>
      <c r="S231" s="15" t="n">
        <f aca="false">IF(A231="",0,MONTH(A231))</f>
        <v>8</v>
      </c>
    </row>
    <row r="232" customFormat="false" ht="15" hidden="false" customHeight="false" outlineLevel="0" collapsed="false">
      <c r="A232" s="11" t="n">
        <f aca="false">A231+1</f>
        <v>46249</v>
      </c>
      <c r="B232" s="12" t="str">
        <f aca="false">IF(A232="","",CHOOSE(WEEKDAY(A232,2),"Pzt","Sal","Çar","Per","Cum","Cmt","Paz"))</f>
        <v>Cmt</v>
      </c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4" t="n">
        <f aca="false">IF(A232="",0,A232)</f>
        <v>46249</v>
      </c>
      <c r="S232" s="15" t="n">
        <f aca="false">IF(A232="",0,MONTH(A232))</f>
        <v>8</v>
      </c>
    </row>
    <row r="233" customFormat="false" ht="15" hidden="false" customHeight="false" outlineLevel="0" collapsed="false">
      <c r="A233" s="11" t="n">
        <f aca="false">A232+1</f>
        <v>46250</v>
      </c>
      <c r="B233" s="12" t="str">
        <f aca="false">IF(A233="","",CHOOSE(WEEKDAY(A233,2),"Pzt","Sal","Çar","Per","Cum","Cmt","Paz"))</f>
        <v>Paz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4" t="n">
        <f aca="false">IF(A233="",0,A233)</f>
        <v>46250</v>
      </c>
      <c r="S233" s="15" t="n">
        <f aca="false">IF(A233="",0,MONTH(A233))</f>
        <v>8</v>
      </c>
    </row>
    <row r="234" customFormat="false" ht="15" hidden="false" customHeight="false" outlineLevel="0" collapsed="false">
      <c r="A234" s="11" t="n">
        <f aca="false">A233+1</f>
        <v>46251</v>
      </c>
      <c r="B234" s="12" t="str">
        <f aca="false">IF(A234="","",CHOOSE(WEEKDAY(A234,2),"Pzt","Sal","Çar","Per","Cum","Cmt","Paz"))</f>
        <v>Pzt</v>
      </c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4" t="n">
        <f aca="false">IF(A234="",0,A234)</f>
        <v>46251</v>
      </c>
      <c r="S234" s="15" t="n">
        <f aca="false">IF(A234="",0,MONTH(A234))</f>
        <v>8</v>
      </c>
    </row>
    <row r="235" customFormat="false" ht="15" hidden="false" customHeight="false" outlineLevel="0" collapsed="false">
      <c r="A235" s="11" t="n">
        <f aca="false">A234+1</f>
        <v>46252</v>
      </c>
      <c r="B235" s="12" t="str">
        <f aca="false">IF(A235="","",CHOOSE(WEEKDAY(A235,2),"Pzt","Sal","Çar","Per","Cum","Cmt","Paz"))</f>
        <v>Sal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4" t="n">
        <f aca="false">IF(A235="",0,A235)</f>
        <v>46252</v>
      </c>
      <c r="S235" s="15" t="n">
        <f aca="false">IF(A235="",0,MONTH(A235))</f>
        <v>8</v>
      </c>
    </row>
    <row r="236" customFormat="false" ht="15" hidden="false" customHeight="false" outlineLevel="0" collapsed="false">
      <c r="A236" s="11" t="n">
        <f aca="false">A235+1</f>
        <v>46253</v>
      </c>
      <c r="B236" s="12" t="str">
        <f aca="false">IF(A236="","",CHOOSE(WEEKDAY(A236,2),"Pzt","Sal","Çar","Per","Cum","Cmt","Paz"))</f>
        <v>Çar</v>
      </c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4" t="n">
        <f aca="false">IF(A236="",0,A236)</f>
        <v>46253</v>
      </c>
      <c r="S236" s="15" t="n">
        <f aca="false">IF(A236="",0,MONTH(A236))</f>
        <v>8</v>
      </c>
    </row>
    <row r="237" customFormat="false" ht="15" hidden="false" customHeight="false" outlineLevel="0" collapsed="false">
      <c r="A237" s="11" t="n">
        <f aca="false">A236+1</f>
        <v>46254</v>
      </c>
      <c r="B237" s="12" t="str">
        <f aca="false">IF(A237="","",CHOOSE(WEEKDAY(A237,2),"Pzt","Sal","Çar","Per","Cum","Cmt","Paz"))</f>
        <v>Per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4" t="n">
        <f aca="false">IF(A237="",0,A237)</f>
        <v>46254</v>
      </c>
      <c r="S237" s="15" t="n">
        <f aca="false">IF(A237="",0,MONTH(A237))</f>
        <v>8</v>
      </c>
    </row>
    <row r="238" customFormat="false" ht="15" hidden="false" customHeight="false" outlineLevel="0" collapsed="false">
      <c r="A238" s="11" t="n">
        <f aca="false">A237+1</f>
        <v>46255</v>
      </c>
      <c r="B238" s="12" t="str">
        <f aca="false">IF(A238="","",CHOOSE(WEEKDAY(A238,2),"Pzt","Sal","Çar","Per","Cum","Cmt","Paz"))</f>
        <v>Cum</v>
      </c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4" t="n">
        <f aca="false">IF(A238="",0,A238)</f>
        <v>46255</v>
      </c>
      <c r="S238" s="15" t="n">
        <f aca="false">IF(A238="",0,MONTH(A238))</f>
        <v>8</v>
      </c>
    </row>
    <row r="239" customFormat="false" ht="15" hidden="false" customHeight="false" outlineLevel="0" collapsed="false">
      <c r="A239" s="11" t="n">
        <f aca="false">A238+1</f>
        <v>46256</v>
      </c>
      <c r="B239" s="12" t="str">
        <f aca="false">IF(A239="","",CHOOSE(WEEKDAY(A239,2),"Pzt","Sal","Çar","Per","Cum","Cmt","Paz"))</f>
        <v>Cmt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4" t="n">
        <f aca="false">IF(A239="",0,A239)</f>
        <v>46256</v>
      </c>
      <c r="S239" s="15" t="n">
        <f aca="false">IF(A239="",0,MONTH(A239))</f>
        <v>8</v>
      </c>
    </row>
    <row r="240" customFormat="false" ht="15" hidden="false" customHeight="false" outlineLevel="0" collapsed="false">
      <c r="A240" s="11" t="n">
        <f aca="false">A239+1</f>
        <v>46257</v>
      </c>
      <c r="B240" s="12" t="str">
        <f aca="false">IF(A240="","",CHOOSE(WEEKDAY(A240,2),"Pzt","Sal","Çar","Per","Cum","Cmt","Paz"))</f>
        <v>Paz</v>
      </c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4" t="n">
        <f aca="false">IF(A240="",0,A240)</f>
        <v>46257</v>
      </c>
      <c r="S240" s="15" t="n">
        <f aca="false">IF(A240="",0,MONTH(A240))</f>
        <v>8</v>
      </c>
    </row>
    <row r="241" customFormat="false" ht="15" hidden="false" customHeight="false" outlineLevel="0" collapsed="false">
      <c r="A241" s="11" t="n">
        <f aca="false">A240+1</f>
        <v>46258</v>
      </c>
      <c r="B241" s="12" t="str">
        <f aca="false">IF(A241="","",CHOOSE(WEEKDAY(A241,2),"Pzt","Sal","Çar","Per","Cum","Cmt","Paz"))</f>
        <v>Pzt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4" t="n">
        <f aca="false">IF(A241="",0,A241)</f>
        <v>46258</v>
      </c>
      <c r="S241" s="15" t="n">
        <f aca="false">IF(A241="",0,MONTH(A241))</f>
        <v>8</v>
      </c>
    </row>
    <row r="242" customFormat="false" ht="15" hidden="false" customHeight="false" outlineLevel="0" collapsed="false">
      <c r="A242" s="11" t="n">
        <f aca="false">A241+1</f>
        <v>46259</v>
      </c>
      <c r="B242" s="12" t="str">
        <f aca="false">IF(A242="","",CHOOSE(WEEKDAY(A242,2),"Pzt","Sal","Çar","Per","Cum","Cmt","Paz"))</f>
        <v>Sal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4" t="n">
        <f aca="false">IF(A242="",0,A242)</f>
        <v>46259</v>
      </c>
      <c r="S242" s="15" t="n">
        <f aca="false">IF(A242="",0,MONTH(A242))</f>
        <v>8</v>
      </c>
    </row>
    <row r="243" customFormat="false" ht="15" hidden="false" customHeight="false" outlineLevel="0" collapsed="false">
      <c r="A243" s="11" t="n">
        <f aca="false">A242+1</f>
        <v>46260</v>
      </c>
      <c r="B243" s="12" t="str">
        <f aca="false">IF(A243="","",CHOOSE(WEEKDAY(A243,2),"Pzt","Sal","Çar","Per","Cum","Cmt","Paz"))</f>
        <v>Çar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4" t="n">
        <f aca="false">IF(A243="",0,A243)</f>
        <v>46260</v>
      </c>
      <c r="S243" s="15" t="n">
        <f aca="false">IF(A243="",0,MONTH(A243))</f>
        <v>8</v>
      </c>
    </row>
    <row r="244" customFormat="false" ht="15" hidden="false" customHeight="false" outlineLevel="0" collapsed="false">
      <c r="A244" s="11" t="n">
        <f aca="false">A243+1</f>
        <v>46261</v>
      </c>
      <c r="B244" s="12" t="str">
        <f aca="false">IF(A244="","",CHOOSE(WEEKDAY(A244,2),"Pzt","Sal","Çar","Per","Cum","Cmt","Paz"))</f>
        <v>Per</v>
      </c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4" t="n">
        <f aca="false">IF(A244="",0,A244)</f>
        <v>46261</v>
      </c>
      <c r="S244" s="15" t="n">
        <f aca="false">IF(A244="",0,MONTH(A244))</f>
        <v>8</v>
      </c>
    </row>
    <row r="245" customFormat="false" ht="15" hidden="false" customHeight="false" outlineLevel="0" collapsed="false">
      <c r="A245" s="11" t="n">
        <f aca="false">A244+1</f>
        <v>46262</v>
      </c>
      <c r="B245" s="12" t="str">
        <f aca="false">IF(A245="","",CHOOSE(WEEKDAY(A245,2),"Pzt","Sal","Çar","Per","Cum","Cmt","Paz"))</f>
        <v>Cum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4" t="n">
        <f aca="false">IF(A245="",0,A245)</f>
        <v>46262</v>
      </c>
      <c r="S245" s="15" t="n">
        <f aca="false">IF(A245="",0,MONTH(A245))</f>
        <v>8</v>
      </c>
    </row>
    <row r="246" customFormat="false" ht="15" hidden="false" customHeight="false" outlineLevel="0" collapsed="false">
      <c r="A246" s="11" t="n">
        <f aca="false">A245+1</f>
        <v>46263</v>
      </c>
      <c r="B246" s="12" t="str">
        <f aca="false">IF(A246="","",CHOOSE(WEEKDAY(A246,2),"Pzt","Sal","Çar","Per","Cum","Cmt","Paz"))</f>
        <v>Cmt</v>
      </c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4" t="n">
        <f aca="false">IF(A246="",0,A246)</f>
        <v>46263</v>
      </c>
      <c r="S246" s="15" t="n">
        <f aca="false">IF(A246="",0,MONTH(A246))</f>
        <v>8</v>
      </c>
    </row>
    <row r="247" customFormat="false" ht="15" hidden="false" customHeight="false" outlineLevel="0" collapsed="false">
      <c r="A247" s="11" t="n">
        <f aca="false">A246+1</f>
        <v>46264</v>
      </c>
      <c r="B247" s="12" t="str">
        <f aca="false">IF(A247="","",CHOOSE(WEEKDAY(A247,2),"Pzt","Sal","Çar","Per","Cum","Cmt","Paz"))</f>
        <v>Paz</v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4" t="n">
        <f aca="false">IF(A247="",0,A247)</f>
        <v>46264</v>
      </c>
      <c r="S247" s="15" t="n">
        <f aca="false">IF(A247="",0,MONTH(A247))</f>
        <v>8</v>
      </c>
    </row>
    <row r="248" customFormat="false" ht="15" hidden="false" customHeight="false" outlineLevel="0" collapsed="false">
      <c r="A248" s="11" t="n">
        <f aca="false">A247+1</f>
        <v>46265</v>
      </c>
      <c r="B248" s="12" t="str">
        <f aca="false">IF(A248="","",CHOOSE(WEEKDAY(A248,2),"Pzt","Sal","Çar","Per","Cum","Cmt","Paz"))</f>
        <v>Pzt</v>
      </c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4" t="n">
        <f aca="false">IF(A248="",0,A248)</f>
        <v>46265</v>
      </c>
      <c r="S248" s="15" t="n">
        <f aca="false">IF(A248="",0,MONTH(A248))</f>
        <v>8</v>
      </c>
    </row>
    <row r="249" customFormat="false" ht="15" hidden="false" customHeight="false" outlineLevel="0" collapsed="false">
      <c r="A249" s="11" t="n">
        <f aca="false">A248+1</f>
        <v>46266</v>
      </c>
      <c r="B249" s="12" t="str">
        <f aca="false">IF(A249="","",CHOOSE(WEEKDAY(A249,2),"Pzt","Sal","Çar","Per","Cum","Cmt","Paz"))</f>
        <v>Sal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4" t="n">
        <f aca="false">IF(A249="",0,A249)</f>
        <v>46266</v>
      </c>
      <c r="S249" s="15" t="n">
        <f aca="false">IF(A249="",0,MONTH(A249))</f>
        <v>9</v>
      </c>
    </row>
    <row r="250" customFormat="false" ht="15" hidden="false" customHeight="false" outlineLevel="0" collapsed="false">
      <c r="A250" s="11" t="n">
        <f aca="false">A249+1</f>
        <v>46267</v>
      </c>
      <c r="B250" s="12" t="str">
        <f aca="false">IF(A250="","",CHOOSE(WEEKDAY(A250,2),"Pzt","Sal","Çar","Per","Cum","Cmt","Paz"))</f>
        <v>Çar</v>
      </c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4" t="n">
        <f aca="false">IF(A250="",0,A250)</f>
        <v>46267</v>
      </c>
      <c r="S250" s="15" t="n">
        <f aca="false">IF(A250="",0,MONTH(A250))</f>
        <v>9</v>
      </c>
    </row>
    <row r="251" customFormat="false" ht="15" hidden="false" customHeight="false" outlineLevel="0" collapsed="false">
      <c r="A251" s="11" t="n">
        <f aca="false">A250+1</f>
        <v>46268</v>
      </c>
      <c r="B251" s="12" t="str">
        <f aca="false">IF(A251="","",CHOOSE(WEEKDAY(A251,2),"Pzt","Sal","Çar","Per","Cum","Cmt","Paz"))</f>
        <v>Per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4" t="n">
        <f aca="false">IF(A251="",0,A251)</f>
        <v>46268</v>
      </c>
      <c r="S251" s="15" t="n">
        <f aca="false">IF(A251="",0,MONTH(A251))</f>
        <v>9</v>
      </c>
    </row>
    <row r="252" customFormat="false" ht="15" hidden="false" customHeight="false" outlineLevel="0" collapsed="false">
      <c r="A252" s="11" t="n">
        <f aca="false">A251+1</f>
        <v>46269</v>
      </c>
      <c r="B252" s="12" t="str">
        <f aca="false">IF(A252="","",CHOOSE(WEEKDAY(A252,2),"Pzt","Sal","Çar","Per","Cum","Cmt","Paz"))</f>
        <v>Cum</v>
      </c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4" t="n">
        <f aca="false">IF(A252="",0,A252)</f>
        <v>46269</v>
      </c>
      <c r="S252" s="15" t="n">
        <f aca="false">IF(A252="",0,MONTH(A252))</f>
        <v>9</v>
      </c>
    </row>
    <row r="253" customFormat="false" ht="15" hidden="false" customHeight="false" outlineLevel="0" collapsed="false">
      <c r="A253" s="11" t="n">
        <f aca="false">A252+1</f>
        <v>46270</v>
      </c>
      <c r="B253" s="12" t="str">
        <f aca="false">IF(A253="","",CHOOSE(WEEKDAY(A253,2),"Pzt","Sal","Çar","Per","Cum","Cmt","Paz"))</f>
        <v>Cmt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4" t="n">
        <f aca="false">IF(A253="",0,A253)</f>
        <v>46270</v>
      </c>
      <c r="S253" s="15" t="n">
        <f aca="false">IF(A253="",0,MONTH(A253))</f>
        <v>9</v>
      </c>
    </row>
    <row r="254" customFormat="false" ht="15" hidden="false" customHeight="false" outlineLevel="0" collapsed="false">
      <c r="A254" s="11" t="n">
        <f aca="false">A253+1</f>
        <v>46271</v>
      </c>
      <c r="B254" s="12" t="str">
        <f aca="false">IF(A254="","",CHOOSE(WEEKDAY(A254,2),"Pzt","Sal","Çar","Per","Cum","Cmt","Paz"))</f>
        <v>Paz</v>
      </c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4" t="n">
        <f aca="false">IF(A254="",0,A254)</f>
        <v>46271</v>
      </c>
      <c r="S254" s="15" t="n">
        <f aca="false">IF(A254="",0,MONTH(A254))</f>
        <v>9</v>
      </c>
    </row>
    <row r="255" customFormat="false" ht="15" hidden="false" customHeight="false" outlineLevel="0" collapsed="false">
      <c r="A255" s="11" t="n">
        <f aca="false">A254+1</f>
        <v>46272</v>
      </c>
      <c r="B255" s="12" t="str">
        <f aca="false">IF(A255="","",CHOOSE(WEEKDAY(A255,2),"Pzt","Sal","Çar","Per","Cum","Cmt","Paz"))</f>
        <v>Pzt</v>
      </c>
      <c r="C255" s="13" t="n">
        <v>1</v>
      </c>
      <c r="D255" s="13" t="n">
        <v>1</v>
      </c>
      <c r="E255" s="13" t="n">
        <v>1</v>
      </c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4" t="n">
        <f aca="false">IF(A255="",0,A255)</f>
        <v>46272</v>
      </c>
      <c r="S255" s="15" t="n">
        <f aca="false">IF(A255="",0,MONTH(A255))</f>
        <v>9</v>
      </c>
    </row>
    <row r="256" customFormat="false" ht="15" hidden="false" customHeight="false" outlineLevel="0" collapsed="false">
      <c r="A256" s="11" t="n">
        <f aca="false">A255+1</f>
        <v>46273</v>
      </c>
      <c r="B256" s="12" t="str">
        <f aca="false">IF(A256="","",CHOOSE(WEEKDAY(A256,2),"Pzt","Sal","Çar","Per","Cum","Cmt","Paz"))</f>
        <v>Sal</v>
      </c>
      <c r="C256" s="13" t="n">
        <v>1</v>
      </c>
      <c r="D256" s="13" t="n">
        <v>1</v>
      </c>
      <c r="E256" s="13"/>
      <c r="F256" s="13" t="n">
        <v>1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4" t="n">
        <f aca="false">IF(A256="",0,A256)</f>
        <v>46273</v>
      </c>
      <c r="S256" s="15" t="n">
        <f aca="false">IF(A256="",0,MONTH(A256))</f>
        <v>9</v>
      </c>
    </row>
    <row r="257" customFormat="false" ht="15" hidden="false" customHeight="false" outlineLevel="0" collapsed="false">
      <c r="A257" s="11" t="n">
        <f aca="false">A256+1</f>
        <v>46274</v>
      </c>
      <c r="B257" s="12" t="str">
        <f aca="false">IF(A257="","",CHOOSE(WEEKDAY(A257,2),"Pzt","Sal","Çar","Per","Cum","Cmt","Paz"))</f>
        <v>Çar</v>
      </c>
      <c r="C257" s="13" t="n">
        <v>1</v>
      </c>
      <c r="D257" s="13" t="n">
        <v>1</v>
      </c>
      <c r="E257" s="13" t="n">
        <v>1</v>
      </c>
      <c r="F257" s="13" t="n">
        <v>1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4" t="n">
        <f aca="false">IF(A257="",0,A257)</f>
        <v>46274</v>
      </c>
      <c r="S257" s="15" t="n">
        <f aca="false">IF(A257="",0,MONTH(A257))</f>
        <v>9</v>
      </c>
    </row>
    <row r="258" customFormat="false" ht="15" hidden="false" customHeight="false" outlineLevel="0" collapsed="false">
      <c r="A258" s="11" t="n">
        <f aca="false">A257+1</f>
        <v>46275</v>
      </c>
      <c r="B258" s="12" t="str">
        <f aca="false">IF(A258="","",CHOOSE(WEEKDAY(A258,2),"Pzt","Sal","Çar","Per","Cum","Cmt","Paz"))</f>
        <v>Per</v>
      </c>
      <c r="C258" s="13" t="n">
        <v>1</v>
      </c>
      <c r="D258" s="13" t="n">
        <v>1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4" t="n">
        <f aca="false">IF(A258="",0,A258)</f>
        <v>46275</v>
      </c>
      <c r="S258" s="15" t="n">
        <f aca="false">IF(A258="",0,MONTH(A258))</f>
        <v>9</v>
      </c>
    </row>
    <row r="259" customFormat="false" ht="15" hidden="false" customHeight="false" outlineLevel="0" collapsed="false">
      <c r="A259" s="11" t="n">
        <f aca="false">A258+1</f>
        <v>46276</v>
      </c>
      <c r="B259" s="12" t="str">
        <f aca="false">IF(A259="","",CHOOSE(WEEKDAY(A259,2),"Pzt","Sal","Çar","Per","Cum","Cmt","Paz"))</f>
        <v>Cum</v>
      </c>
      <c r="C259" s="13" t="n">
        <v>1</v>
      </c>
      <c r="D259" s="13" t="n">
        <v>1</v>
      </c>
      <c r="E259" s="13" t="n">
        <v>1</v>
      </c>
      <c r="F259" s="13" t="n">
        <v>1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4" t="n">
        <f aca="false">IF(A259="",0,A259)</f>
        <v>46276</v>
      </c>
      <c r="S259" s="15" t="n">
        <f aca="false">IF(A259="",0,MONTH(A259))</f>
        <v>9</v>
      </c>
    </row>
    <row r="260" customFormat="false" ht="15" hidden="false" customHeight="false" outlineLevel="0" collapsed="false">
      <c r="A260" s="11" t="n">
        <f aca="false">A259+1</f>
        <v>46277</v>
      </c>
      <c r="B260" s="12" t="str">
        <f aca="false">IF(A260="","",CHOOSE(WEEKDAY(A260,2),"Pzt","Sal","Çar","Per","Cum","Cmt","Paz"))</f>
        <v>Cmt</v>
      </c>
      <c r="C260" s="13"/>
      <c r="D260" s="13" t="n">
        <v>1</v>
      </c>
      <c r="E260" s="13"/>
      <c r="F260" s="13" t="n">
        <v>1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4" t="n">
        <f aca="false">IF(A260="",0,A260)</f>
        <v>46277</v>
      </c>
      <c r="S260" s="15" t="n">
        <f aca="false">IF(A260="",0,MONTH(A260))</f>
        <v>9</v>
      </c>
    </row>
    <row r="261" customFormat="false" ht="15" hidden="false" customHeight="false" outlineLevel="0" collapsed="false">
      <c r="A261" s="11" t="n">
        <f aca="false">A260+1</f>
        <v>46278</v>
      </c>
      <c r="B261" s="12" t="str">
        <f aca="false">IF(A261="","",CHOOSE(WEEKDAY(A261,2),"Pzt","Sal","Çar","Per","Cum","Cmt","Paz"))</f>
        <v>Paz</v>
      </c>
      <c r="C261" s="13" t="n">
        <v>1</v>
      </c>
      <c r="D261" s="13" t="n">
        <v>1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4" t="n">
        <f aca="false">IF(A261="",0,A261)</f>
        <v>46278</v>
      </c>
      <c r="S261" s="15" t="n">
        <f aca="false">IF(A261="",0,MONTH(A261))</f>
        <v>9</v>
      </c>
    </row>
    <row r="262" customFormat="false" ht="15" hidden="false" customHeight="false" outlineLevel="0" collapsed="false">
      <c r="A262" s="11" t="n">
        <f aca="false">A261+1</f>
        <v>46279</v>
      </c>
      <c r="B262" s="12" t="str">
        <f aca="false">IF(A262="","",CHOOSE(WEEKDAY(A262,2),"Pzt","Sal","Çar","Per","Cum","Cmt","Paz"))</f>
        <v>Pzt</v>
      </c>
      <c r="C262" s="13" t="n">
        <v>1</v>
      </c>
      <c r="D262" s="13" t="n">
        <v>1</v>
      </c>
      <c r="E262" s="13" t="n">
        <v>1</v>
      </c>
      <c r="F262" s="13" t="n">
        <v>1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4" t="n">
        <f aca="false">IF(A262="",0,A262)</f>
        <v>46279</v>
      </c>
      <c r="S262" s="15" t="n">
        <f aca="false">IF(A262="",0,MONTH(A262))</f>
        <v>9</v>
      </c>
    </row>
    <row r="263" customFormat="false" ht="15" hidden="false" customHeight="false" outlineLevel="0" collapsed="false">
      <c r="A263" s="11" t="n">
        <f aca="false">A262+1</f>
        <v>46280</v>
      </c>
      <c r="B263" s="12" t="str">
        <f aca="false">IF(A263="","",CHOOSE(WEEKDAY(A263,2),"Pzt","Sal","Çar","Per","Cum","Cmt","Paz"))</f>
        <v>Sal</v>
      </c>
      <c r="C263" s="13" t="n">
        <v>1</v>
      </c>
      <c r="D263" s="13" t="n">
        <v>1</v>
      </c>
      <c r="E263" s="13"/>
      <c r="F263" s="13" t="n">
        <v>1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4" t="n">
        <f aca="false">IF(A263="",0,A263)</f>
        <v>46280</v>
      </c>
      <c r="S263" s="15" t="n">
        <f aca="false">IF(A263="",0,MONTH(A263))</f>
        <v>9</v>
      </c>
    </row>
    <row r="264" customFormat="false" ht="15" hidden="false" customHeight="false" outlineLevel="0" collapsed="false">
      <c r="A264" s="11" t="n">
        <f aca="false">A263+1</f>
        <v>46281</v>
      </c>
      <c r="B264" s="12" t="str">
        <f aca="false">IF(A264="","",CHOOSE(WEEKDAY(A264,2),"Pzt","Sal","Çar","Per","Cum","Cmt","Paz"))</f>
        <v>Çar</v>
      </c>
      <c r="C264" s="13" t="n">
        <v>1</v>
      </c>
      <c r="D264" s="13" t="n">
        <v>1</v>
      </c>
      <c r="E264" s="13" t="n">
        <v>1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4" t="n">
        <f aca="false">IF(A264="",0,A264)</f>
        <v>46281</v>
      </c>
      <c r="S264" s="15" t="n">
        <f aca="false">IF(A264="",0,MONTH(A264))</f>
        <v>9</v>
      </c>
    </row>
    <row r="265" customFormat="false" ht="15" hidden="false" customHeight="false" outlineLevel="0" collapsed="false">
      <c r="A265" s="11" t="n">
        <f aca="false">A264+1</f>
        <v>46282</v>
      </c>
      <c r="B265" s="12" t="str">
        <f aca="false">IF(A265="","",CHOOSE(WEEKDAY(A265,2),"Pzt","Sal","Çar","Per","Cum","Cmt","Paz"))</f>
        <v>Per</v>
      </c>
      <c r="C265" s="13" t="n">
        <v>1</v>
      </c>
      <c r="D265" s="13" t="n">
        <v>1</v>
      </c>
      <c r="E265" s="13"/>
      <c r="F265" s="13" t="n">
        <v>1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4" t="n">
        <f aca="false">IF(A265="",0,A265)</f>
        <v>46282</v>
      </c>
      <c r="S265" s="15" t="n">
        <f aca="false">IF(A265="",0,MONTH(A265))</f>
        <v>9</v>
      </c>
    </row>
    <row r="266" customFormat="false" ht="15" hidden="false" customHeight="false" outlineLevel="0" collapsed="false">
      <c r="A266" s="11" t="n">
        <f aca="false">A265+1</f>
        <v>46283</v>
      </c>
      <c r="B266" s="12" t="str">
        <f aca="false">IF(A266="","",CHOOSE(WEEKDAY(A266,2),"Pzt","Sal","Çar","Per","Cum","Cmt","Paz"))</f>
        <v>Cum</v>
      </c>
      <c r="C266" s="13" t="n">
        <v>1</v>
      </c>
      <c r="D266" s="13" t="n">
        <v>1</v>
      </c>
      <c r="E266" s="13" t="n">
        <v>1</v>
      </c>
      <c r="F266" s="13" t="n">
        <v>1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4" t="n">
        <f aca="false">IF(A266="",0,A266)</f>
        <v>46283</v>
      </c>
      <c r="S266" s="15" t="n">
        <f aca="false">IF(A266="",0,MONTH(A266))</f>
        <v>9</v>
      </c>
    </row>
    <row r="267" customFormat="false" ht="15" hidden="false" customHeight="false" outlineLevel="0" collapsed="false">
      <c r="A267" s="11" t="n">
        <f aca="false">A266+1</f>
        <v>46284</v>
      </c>
      <c r="B267" s="12" t="str">
        <f aca="false">IF(A267="","",CHOOSE(WEEKDAY(A267,2),"Pzt","Sal","Çar","Per","Cum","Cmt","Paz"))</f>
        <v>Cmt</v>
      </c>
      <c r="C267" s="13"/>
      <c r="D267" s="13" t="n">
        <v>1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4" t="n">
        <f aca="false">IF(A267="",0,A267)</f>
        <v>46284</v>
      </c>
      <c r="S267" s="15" t="n">
        <f aca="false">IF(A267="",0,MONTH(A267))</f>
        <v>9</v>
      </c>
    </row>
    <row r="268" customFormat="false" ht="15" hidden="false" customHeight="false" outlineLevel="0" collapsed="false">
      <c r="A268" s="11" t="n">
        <f aca="false">A267+1</f>
        <v>46285</v>
      </c>
      <c r="B268" s="12" t="str">
        <f aca="false">IF(A268="","",CHOOSE(WEEKDAY(A268,2),"Pzt","Sal","Çar","Per","Cum","Cmt","Paz"))</f>
        <v>Paz</v>
      </c>
      <c r="C268" s="13" t="n">
        <v>1</v>
      </c>
      <c r="D268" s="13" t="n">
        <v>1</v>
      </c>
      <c r="E268" s="13"/>
      <c r="F268" s="13" t="n">
        <v>1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4" t="n">
        <f aca="false">IF(A268="",0,A268)</f>
        <v>46285</v>
      </c>
      <c r="S268" s="15" t="n">
        <f aca="false">IF(A268="",0,MONTH(A268))</f>
        <v>9</v>
      </c>
    </row>
    <row r="269" customFormat="false" ht="15" hidden="false" customHeight="false" outlineLevel="0" collapsed="false">
      <c r="A269" s="11" t="n">
        <f aca="false">A268+1</f>
        <v>46286</v>
      </c>
      <c r="B269" s="12" t="str">
        <f aca="false">IF(A269="","",CHOOSE(WEEKDAY(A269,2),"Pzt","Sal","Çar","Per","Cum","Cmt","Paz"))</f>
        <v>Pzt</v>
      </c>
      <c r="C269" s="13" t="n">
        <v>1</v>
      </c>
      <c r="D269" s="13" t="n">
        <v>1</v>
      </c>
      <c r="E269" s="13" t="n">
        <v>1</v>
      </c>
      <c r="F269" s="13" t="n">
        <v>1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4" t="n">
        <f aca="false">IF(A269="",0,A269)</f>
        <v>46286</v>
      </c>
      <c r="S269" s="15" t="n">
        <f aca="false">IF(A269="",0,MONTH(A269))</f>
        <v>9</v>
      </c>
    </row>
    <row r="270" customFormat="false" ht="15" hidden="false" customHeight="false" outlineLevel="0" collapsed="false">
      <c r="A270" s="11" t="n">
        <f aca="false">A269+1</f>
        <v>46287</v>
      </c>
      <c r="B270" s="12" t="str">
        <f aca="false">IF(A270="","",CHOOSE(WEEKDAY(A270,2),"Pzt","Sal","Çar","Per","Cum","Cmt","Paz"))</f>
        <v>Sal</v>
      </c>
      <c r="C270" s="13" t="n">
        <v>1</v>
      </c>
      <c r="D270" s="13" t="n">
        <v>1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4" t="n">
        <f aca="false">IF(A270="",0,A270)</f>
        <v>46287</v>
      </c>
      <c r="S270" s="15" t="n">
        <f aca="false">IF(A270="",0,MONTH(A270))</f>
        <v>9</v>
      </c>
    </row>
    <row r="271" customFormat="false" ht="15" hidden="false" customHeight="false" outlineLevel="0" collapsed="false">
      <c r="A271" s="11" t="n">
        <f aca="false">A270+1</f>
        <v>46288</v>
      </c>
      <c r="B271" s="12" t="str">
        <f aca="false">IF(A271="","",CHOOSE(WEEKDAY(A271,2),"Pzt","Sal","Çar","Per","Cum","Cmt","Paz"))</f>
        <v>Çar</v>
      </c>
      <c r="C271" s="13" t="n">
        <v>1</v>
      </c>
      <c r="D271" s="13" t="n">
        <v>1</v>
      </c>
      <c r="E271" s="13" t="n">
        <v>1</v>
      </c>
      <c r="F271" s="13" t="n">
        <v>1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4" t="n">
        <f aca="false">IF(A271="",0,A271)</f>
        <v>46288</v>
      </c>
      <c r="S271" s="15" t="n">
        <f aca="false">IF(A271="",0,MONTH(A271))</f>
        <v>9</v>
      </c>
    </row>
    <row r="272" customFormat="false" ht="15" hidden="false" customHeight="false" outlineLevel="0" collapsed="false">
      <c r="A272" s="11" t="n">
        <f aca="false">A271+1</f>
        <v>46289</v>
      </c>
      <c r="B272" s="12" t="str">
        <f aca="false">IF(A272="","",CHOOSE(WEEKDAY(A272,2),"Pzt","Sal","Çar","Per","Cum","Cmt","Paz"))</f>
        <v>Per</v>
      </c>
      <c r="C272" s="13" t="n">
        <v>1</v>
      </c>
      <c r="D272" s="13" t="n">
        <v>1</v>
      </c>
      <c r="E272" s="13"/>
      <c r="F272" s="13" t="n">
        <v>1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4" t="n">
        <f aca="false">IF(A272="",0,A272)</f>
        <v>46289</v>
      </c>
      <c r="S272" s="15" t="n">
        <f aca="false">IF(A272="",0,MONTH(A272))</f>
        <v>9</v>
      </c>
    </row>
    <row r="273" customFormat="false" ht="15" hidden="false" customHeight="false" outlineLevel="0" collapsed="false">
      <c r="A273" s="11" t="n">
        <f aca="false">A272+1</f>
        <v>46290</v>
      </c>
      <c r="B273" s="12" t="str">
        <f aca="false">IF(A273="","",CHOOSE(WEEKDAY(A273,2),"Pzt","Sal","Çar","Per","Cum","Cmt","Paz"))</f>
        <v>Cum</v>
      </c>
      <c r="C273" s="13" t="n">
        <v>1</v>
      </c>
      <c r="D273" s="13" t="n">
        <v>1</v>
      </c>
      <c r="E273" s="13" t="n">
        <v>1</v>
      </c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4" t="n">
        <f aca="false">IF(A273="",0,A273)</f>
        <v>46290</v>
      </c>
      <c r="S273" s="15" t="n">
        <f aca="false">IF(A273="",0,MONTH(A273))</f>
        <v>9</v>
      </c>
    </row>
    <row r="274" customFormat="false" ht="15" hidden="false" customHeight="false" outlineLevel="0" collapsed="false">
      <c r="A274" s="11" t="n">
        <f aca="false">A273+1</f>
        <v>46291</v>
      </c>
      <c r="B274" s="12" t="str">
        <f aca="false">IF(A274="","",CHOOSE(WEEKDAY(A274,2),"Pzt","Sal","Çar","Per","Cum","Cmt","Paz"))</f>
        <v>Cmt</v>
      </c>
      <c r="C274" s="13"/>
      <c r="D274" s="13" t="n">
        <v>1</v>
      </c>
      <c r="E274" s="13"/>
      <c r="F274" s="13" t="n">
        <v>1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4" t="n">
        <f aca="false">IF(A274="",0,A274)</f>
        <v>46291</v>
      </c>
      <c r="S274" s="15" t="n">
        <f aca="false">IF(A274="",0,MONTH(A274))</f>
        <v>9</v>
      </c>
    </row>
    <row r="275" customFormat="false" ht="15" hidden="false" customHeight="false" outlineLevel="0" collapsed="false">
      <c r="A275" s="11" t="n">
        <f aca="false">A274+1</f>
        <v>46292</v>
      </c>
      <c r="B275" s="12" t="str">
        <f aca="false">IF(A275="","",CHOOSE(WEEKDAY(A275,2),"Pzt","Sal","Çar","Per","Cum","Cmt","Paz"))</f>
        <v>Paz</v>
      </c>
      <c r="C275" s="13" t="n">
        <v>1</v>
      </c>
      <c r="D275" s="13" t="n">
        <v>1</v>
      </c>
      <c r="E275" s="13"/>
      <c r="F275" s="13" t="n">
        <v>1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4" t="n">
        <f aca="false">IF(A275="",0,A275)</f>
        <v>46292</v>
      </c>
      <c r="S275" s="15" t="n">
        <f aca="false">IF(A275="",0,MONTH(A275))</f>
        <v>9</v>
      </c>
    </row>
    <row r="276" customFormat="false" ht="15" hidden="false" customHeight="false" outlineLevel="0" collapsed="false">
      <c r="A276" s="11" t="n">
        <f aca="false">A275+1</f>
        <v>46293</v>
      </c>
      <c r="B276" s="12" t="str">
        <f aca="false">IF(A276="","",CHOOSE(WEEKDAY(A276,2),"Pzt","Sal","Çar","Per","Cum","Cmt","Paz"))</f>
        <v>Pzt</v>
      </c>
      <c r="C276" s="13" t="n">
        <v>1</v>
      </c>
      <c r="D276" s="13" t="n">
        <v>1</v>
      </c>
      <c r="E276" s="13" t="n">
        <v>1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4" t="n">
        <f aca="false">IF(A276="",0,A276)</f>
        <v>46293</v>
      </c>
      <c r="S276" s="15" t="n">
        <f aca="false">IF(A276="",0,MONTH(A276))</f>
        <v>9</v>
      </c>
    </row>
    <row r="277" customFormat="false" ht="15" hidden="false" customHeight="false" outlineLevel="0" collapsed="false">
      <c r="A277" s="11" t="n">
        <f aca="false">A276+1</f>
        <v>46294</v>
      </c>
      <c r="B277" s="12" t="str">
        <f aca="false">IF(A277="","",CHOOSE(WEEKDAY(A277,2),"Pzt","Sal","Çar","Per","Cum","Cmt","Paz"))</f>
        <v>Sal</v>
      </c>
      <c r="C277" s="13" t="n">
        <v>1</v>
      </c>
      <c r="D277" s="13" t="n">
        <v>1</v>
      </c>
      <c r="E277" s="13"/>
      <c r="F277" s="13" t="n">
        <v>1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4" t="n">
        <f aca="false">IF(A277="",0,A277)</f>
        <v>46294</v>
      </c>
      <c r="S277" s="15" t="n">
        <f aca="false">IF(A277="",0,MONTH(A277))</f>
        <v>9</v>
      </c>
    </row>
    <row r="278" customFormat="false" ht="15" hidden="false" customHeight="false" outlineLevel="0" collapsed="false">
      <c r="A278" s="11" t="n">
        <f aca="false">A277+1</f>
        <v>46295</v>
      </c>
      <c r="B278" s="12" t="str">
        <f aca="false">IF(A278="","",CHOOSE(WEEKDAY(A278,2),"Pzt","Sal","Çar","Per","Cum","Cmt","Paz"))</f>
        <v>Çar</v>
      </c>
      <c r="C278" s="13" t="n">
        <v>1</v>
      </c>
      <c r="D278" s="13" t="n">
        <v>1</v>
      </c>
      <c r="E278" s="13" t="n">
        <v>1</v>
      </c>
      <c r="F278" s="13" t="n">
        <v>1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4" t="n">
        <f aca="false">IF(A278="",0,A278)</f>
        <v>46295</v>
      </c>
      <c r="S278" s="15" t="n">
        <f aca="false">IF(A278="",0,MONTH(A278))</f>
        <v>9</v>
      </c>
    </row>
    <row r="279" customFormat="false" ht="15" hidden="false" customHeight="false" outlineLevel="0" collapsed="false">
      <c r="A279" s="11" t="n">
        <f aca="false">A278+1</f>
        <v>46296</v>
      </c>
      <c r="B279" s="12" t="str">
        <f aca="false">IF(A279="","",CHOOSE(WEEKDAY(A279,2),"Pzt","Sal","Çar","Per","Cum","Cmt","Paz"))</f>
        <v>Per</v>
      </c>
      <c r="C279" s="13" t="n">
        <v>1</v>
      </c>
      <c r="D279" s="13" t="n">
        <v>1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4" t="n">
        <f aca="false">IF(A279="",0,A279)</f>
        <v>46296</v>
      </c>
      <c r="S279" s="15" t="n">
        <f aca="false">IF(A279="",0,MONTH(A279))</f>
        <v>10</v>
      </c>
    </row>
    <row r="280" customFormat="false" ht="15" hidden="false" customHeight="false" outlineLevel="0" collapsed="false">
      <c r="A280" s="11" t="n">
        <f aca="false">A279+1</f>
        <v>46297</v>
      </c>
      <c r="B280" s="12" t="str">
        <f aca="false">IF(A280="","",CHOOSE(WEEKDAY(A280,2),"Pzt","Sal","Çar","Per","Cum","Cmt","Paz"))</f>
        <v>Cum</v>
      </c>
      <c r="C280" s="13" t="n">
        <v>1</v>
      </c>
      <c r="D280" s="13" t="n">
        <v>1</v>
      </c>
      <c r="E280" s="13" t="n">
        <v>1</v>
      </c>
      <c r="F280" s="13" t="n">
        <v>1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4" t="n">
        <f aca="false">IF(A280="",0,A280)</f>
        <v>46297</v>
      </c>
      <c r="S280" s="15" t="n">
        <f aca="false">IF(A280="",0,MONTH(A280))</f>
        <v>10</v>
      </c>
    </row>
    <row r="281" customFormat="false" ht="15" hidden="false" customHeight="false" outlineLevel="0" collapsed="false">
      <c r="A281" s="11" t="n">
        <f aca="false">A280+1</f>
        <v>46298</v>
      </c>
      <c r="B281" s="12" t="str">
        <f aca="false">IF(A281="","",CHOOSE(WEEKDAY(A281,2),"Pzt","Sal","Çar","Per","Cum","Cmt","Paz"))</f>
        <v>Cmt</v>
      </c>
      <c r="C281" s="13"/>
      <c r="D281" s="13" t="n">
        <v>1</v>
      </c>
      <c r="E281" s="13"/>
      <c r="F281" s="13" t="n">
        <v>1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4" t="n">
        <f aca="false">IF(A281="",0,A281)</f>
        <v>46298</v>
      </c>
      <c r="S281" s="15" t="n">
        <f aca="false">IF(A281="",0,MONTH(A281))</f>
        <v>10</v>
      </c>
    </row>
    <row r="282" customFormat="false" ht="15" hidden="false" customHeight="false" outlineLevel="0" collapsed="false">
      <c r="A282" s="11" t="n">
        <f aca="false">A281+1</f>
        <v>46299</v>
      </c>
      <c r="B282" s="12" t="str">
        <f aca="false">IF(A282="","",CHOOSE(WEEKDAY(A282,2),"Pzt","Sal","Çar","Per","Cum","Cmt","Paz"))</f>
        <v>Paz</v>
      </c>
      <c r="C282" s="13" t="n">
        <v>1</v>
      </c>
      <c r="D282" s="13" t="n">
        <v>1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4" t="n">
        <f aca="false">IF(A282="",0,A282)</f>
        <v>46299</v>
      </c>
      <c r="S282" s="15" t="n">
        <f aca="false">IF(A282="",0,MONTH(A282))</f>
        <v>10</v>
      </c>
    </row>
    <row r="283" customFormat="false" ht="15" hidden="false" customHeight="false" outlineLevel="0" collapsed="false">
      <c r="A283" s="11" t="n">
        <f aca="false">A282+1</f>
        <v>46300</v>
      </c>
      <c r="B283" s="12" t="str">
        <f aca="false">IF(A283="","",CHOOSE(WEEKDAY(A283,2),"Pzt","Sal","Çar","Per","Cum","Cmt","Paz"))</f>
        <v>Pzt</v>
      </c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4" t="n">
        <f aca="false">IF(A283="",0,A283)</f>
        <v>46300</v>
      </c>
      <c r="S283" s="15" t="n">
        <f aca="false">IF(A283="",0,MONTH(A283))</f>
        <v>10</v>
      </c>
    </row>
    <row r="284" customFormat="false" ht="15" hidden="false" customHeight="false" outlineLevel="0" collapsed="false">
      <c r="A284" s="11" t="n">
        <f aca="false">A283+1</f>
        <v>46301</v>
      </c>
      <c r="B284" s="12" t="str">
        <f aca="false">IF(A284="","",CHOOSE(WEEKDAY(A284,2),"Pzt","Sal","Çar","Per","Cum","Cmt","Paz"))</f>
        <v>Sal</v>
      </c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4" t="n">
        <f aca="false">IF(A284="",0,A284)</f>
        <v>46301</v>
      </c>
      <c r="S284" s="15" t="n">
        <f aca="false">IF(A284="",0,MONTH(A284))</f>
        <v>10</v>
      </c>
    </row>
    <row r="285" customFormat="false" ht="15" hidden="false" customHeight="false" outlineLevel="0" collapsed="false">
      <c r="A285" s="11" t="n">
        <f aca="false">A284+1</f>
        <v>46302</v>
      </c>
      <c r="B285" s="12" t="str">
        <f aca="false">IF(A285="","",CHOOSE(WEEKDAY(A285,2),"Pzt","Sal","Çar","Per","Cum","Cmt","Paz"))</f>
        <v>Çar</v>
      </c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4" t="n">
        <f aca="false">IF(A285="",0,A285)</f>
        <v>46302</v>
      </c>
      <c r="S285" s="15" t="n">
        <f aca="false">IF(A285="",0,MONTH(A285))</f>
        <v>10</v>
      </c>
    </row>
    <row r="286" customFormat="false" ht="15" hidden="false" customHeight="false" outlineLevel="0" collapsed="false">
      <c r="A286" s="11" t="n">
        <f aca="false">A285+1</f>
        <v>46303</v>
      </c>
      <c r="B286" s="12" t="str">
        <f aca="false">IF(A286="","",CHOOSE(WEEKDAY(A286,2),"Pzt","Sal","Çar","Per","Cum","Cmt","Paz"))</f>
        <v>Per</v>
      </c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4" t="n">
        <f aca="false">IF(A286="",0,A286)</f>
        <v>46303</v>
      </c>
      <c r="S286" s="15" t="n">
        <f aca="false">IF(A286="",0,MONTH(A286))</f>
        <v>10</v>
      </c>
    </row>
    <row r="287" customFormat="false" ht="15" hidden="false" customHeight="false" outlineLevel="0" collapsed="false">
      <c r="A287" s="11" t="n">
        <f aca="false">A286+1</f>
        <v>46304</v>
      </c>
      <c r="B287" s="12" t="str">
        <f aca="false">IF(A287="","",CHOOSE(WEEKDAY(A287,2),"Pzt","Sal","Çar","Per","Cum","Cmt","Paz"))</f>
        <v>Cum</v>
      </c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4" t="n">
        <f aca="false">IF(A287="",0,A287)</f>
        <v>46304</v>
      </c>
      <c r="S287" s="15" t="n">
        <f aca="false">IF(A287="",0,MONTH(A287))</f>
        <v>10</v>
      </c>
    </row>
    <row r="288" customFormat="false" ht="15" hidden="false" customHeight="false" outlineLevel="0" collapsed="false">
      <c r="A288" s="11" t="n">
        <f aca="false">A287+1</f>
        <v>46305</v>
      </c>
      <c r="B288" s="12" t="str">
        <f aca="false">IF(A288="","",CHOOSE(WEEKDAY(A288,2),"Pzt","Sal","Çar","Per","Cum","Cmt","Paz"))</f>
        <v>Cmt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4" t="n">
        <f aca="false">IF(A288="",0,A288)</f>
        <v>46305</v>
      </c>
      <c r="S288" s="15" t="n">
        <f aca="false">IF(A288="",0,MONTH(A288))</f>
        <v>10</v>
      </c>
    </row>
    <row r="289" customFormat="false" ht="15" hidden="false" customHeight="false" outlineLevel="0" collapsed="false">
      <c r="A289" s="11" t="n">
        <f aca="false">A288+1</f>
        <v>46306</v>
      </c>
      <c r="B289" s="12" t="str">
        <f aca="false">IF(A289="","",CHOOSE(WEEKDAY(A289,2),"Pzt","Sal","Çar","Per","Cum","Cmt","Paz"))</f>
        <v>Paz</v>
      </c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4" t="n">
        <f aca="false">IF(A289="",0,A289)</f>
        <v>46306</v>
      </c>
      <c r="S289" s="15" t="n">
        <f aca="false">IF(A289="",0,MONTH(A289))</f>
        <v>10</v>
      </c>
    </row>
    <row r="290" customFormat="false" ht="15" hidden="false" customHeight="false" outlineLevel="0" collapsed="false">
      <c r="A290" s="11" t="n">
        <f aca="false">A289+1</f>
        <v>46307</v>
      </c>
      <c r="B290" s="12" t="str">
        <f aca="false">IF(A290="","",CHOOSE(WEEKDAY(A290,2),"Pzt","Sal","Çar","Per","Cum","Cmt","Paz"))</f>
        <v>Pzt</v>
      </c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4" t="n">
        <f aca="false">IF(A290="",0,A290)</f>
        <v>46307</v>
      </c>
      <c r="S290" s="15" t="n">
        <f aca="false">IF(A290="",0,MONTH(A290))</f>
        <v>10</v>
      </c>
    </row>
    <row r="291" customFormat="false" ht="15" hidden="false" customHeight="false" outlineLevel="0" collapsed="false">
      <c r="A291" s="11" t="n">
        <f aca="false">A290+1</f>
        <v>46308</v>
      </c>
      <c r="B291" s="12" t="str">
        <f aca="false">IF(A291="","",CHOOSE(WEEKDAY(A291,2),"Pzt","Sal","Çar","Per","Cum","Cmt","Paz"))</f>
        <v>Sal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4" t="n">
        <f aca="false">IF(A291="",0,A291)</f>
        <v>46308</v>
      </c>
      <c r="S291" s="15" t="n">
        <f aca="false">IF(A291="",0,MONTH(A291))</f>
        <v>10</v>
      </c>
    </row>
    <row r="292" customFormat="false" ht="15" hidden="false" customHeight="false" outlineLevel="0" collapsed="false">
      <c r="A292" s="11" t="n">
        <f aca="false">A291+1</f>
        <v>46309</v>
      </c>
      <c r="B292" s="12" t="str">
        <f aca="false">IF(A292="","",CHOOSE(WEEKDAY(A292,2),"Pzt","Sal","Çar","Per","Cum","Cmt","Paz"))</f>
        <v>Çar</v>
      </c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4" t="n">
        <f aca="false">IF(A292="",0,A292)</f>
        <v>46309</v>
      </c>
      <c r="S292" s="15" t="n">
        <f aca="false">IF(A292="",0,MONTH(A292))</f>
        <v>10</v>
      </c>
    </row>
    <row r="293" customFormat="false" ht="15" hidden="false" customHeight="false" outlineLevel="0" collapsed="false">
      <c r="A293" s="11" t="n">
        <f aca="false">A292+1</f>
        <v>46310</v>
      </c>
      <c r="B293" s="12" t="str">
        <f aca="false">IF(A293="","",CHOOSE(WEEKDAY(A293,2),"Pzt","Sal","Çar","Per","Cum","Cmt","Paz"))</f>
        <v>Per</v>
      </c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4" t="n">
        <f aca="false">IF(A293="",0,A293)</f>
        <v>46310</v>
      </c>
      <c r="S293" s="15" t="n">
        <f aca="false">IF(A293="",0,MONTH(A293))</f>
        <v>10</v>
      </c>
    </row>
    <row r="294" customFormat="false" ht="15" hidden="false" customHeight="false" outlineLevel="0" collapsed="false">
      <c r="A294" s="11" t="n">
        <f aca="false">A293+1</f>
        <v>46311</v>
      </c>
      <c r="B294" s="12" t="str">
        <f aca="false">IF(A294="","",CHOOSE(WEEKDAY(A294,2),"Pzt","Sal","Çar","Per","Cum","Cmt","Paz"))</f>
        <v>Cum</v>
      </c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4" t="n">
        <f aca="false">IF(A294="",0,A294)</f>
        <v>46311</v>
      </c>
      <c r="S294" s="15" t="n">
        <f aca="false">IF(A294="",0,MONTH(A294))</f>
        <v>10</v>
      </c>
    </row>
    <row r="295" customFormat="false" ht="15" hidden="false" customHeight="false" outlineLevel="0" collapsed="false">
      <c r="A295" s="11" t="n">
        <f aca="false">A294+1</f>
        <v>46312</v>
      </c>
      <c r="B295" s="12" t="str">
        <f aca="false">IF(A295="","",CHOOSE(WEEKDAY(A295,2),"Pzt","Sal","Çar","Per","Cum","Cmt","Paz"))</f>
        <v>Cmt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4" t="n">
        <f aca="false">IF(A295="",0,A295)</f>
        <v>46312</v>
      </c>
      <c r="S295" s="15" t="n">
        <f aca="false">IF(A295="",0,MONTH(A295))</f>
        <v>10</v>
      </c>
    </row>
    <row r="296" customFormat="false" ht="15" hidden="false" customHeight="false" outlineLevel="0" collapsed="false">
      <c r="A296" s="11" t="n">
        <f aca="false">A295+1</f>
        <v>46313</v>
      </c>
      <c r="B296" s="12" t="str">
        <f aca="false">IF(A296="","",CHOOSE(WEEKDAY(A296,2),"Pzt","Sal","Çar","Per","Cum","Cmt","Paz"))</f>
        <v>Paz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4" t="n">
        <f aca="false">IF(A296="",0,A296)</f>
        <v>46313</v>
      </c>
      <c r="S296" s="15" t="n">
        <f aca="false">IF(A296="",0,MONTH(A296))</f>
        <v>10</v>
      </c>
    </row>
    <row r="297" customFormat="false" ht="15" hidden="false" customHeight="false" outlineLevel="0" collapsed="false">
      <c r="A297" s="11" t="n">
        <f aca="false">A296+1</f>
        <v>46314</v>
      </c>
      <c r="B297" s="12" t="str">
        <f aca="false">IF(A297="","",CHOOSE(WEEKDAY(A297,2),"Pzt","Sal","Çar","Per","Cum","Cmt","Paz"))</f>
        <v>Pzt</v>
      </c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4" t="n">
        <f aca="false">IF(A297="",0,A297)</f>
        <v>46314</v>
      </c>
      <c r="S297" s="15" t="n">
        <f aca="false">IF(A297="",0,MONTH(A297))</f>
        <v>10</v>
      </c>
    </row>
    <row r="298" customFormat="false" ht="15" hidden="false" customHeight="false" outlineLevel="0" collapsed="false">
      <c r="A298" s="11" t="n">
        <f aca="false">A297+1</f>
        <v>46315</v>
      </c>
      <c r="B298" s="12" t="str">
        <f aca="false">IF(A298="","",CHOOSE(WEEKDAY(A298,2),"Pzt","Sal","Çar","Per","Cum","Cmt","Paz"))</f>
        <v>Sal</v>
      </c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4" t="n">
        <f aca="false">IF(A298="",0,A298)</f>
        <v>46315</v>
      </c>
      <c r="S298" s="15" t="n">
        <f aca="false">IF(A298="",0,MONTH(A298))</f>
        <v>10</v>
      </c>
    </row>
    <row r="299" customFormat="false" ht="15" hidden="false" customHeight="false" outlineLevel="0" collapsed="false">
      <c r="A299" s="11" t="n">
        <f aca="false">A298+1</f>
        <v>46316</v>
      </c>
      <c r="B299" s="12" t="str">
        <f aca="false">IF(A299="","",CHOOSE(WEEKDAY(A299,2),"Pzt","Sal","Çar","Per","Cum","Cmt","Paz"))</f>
        <v>Çar</v>
      </c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4" t="n">
        <f aca="false">IF(A299="",0,A299)</f>
        <v>46316</v>
      </c>
      <c r="S299" s="15" t="n">
        <f aca="false">IF(A299="",0,MONTH(A299))</f>
        <v>10</v>
      </c>
    </row>
    <row r="300" customFormat="false" ht="15" hidden="false" customHeight="false" outlineLevel="0" collapsed="false">
      <c r="A300" s="11" t="n">
        <f aca="false">A299+1</f>
        <v>46317</v>
      </c>
      <c r="B300" s="12" t="str">
        <f aca="false">IF(A300="","",CHOOSE(WEEKDAY(A300,2),"Pzt","Sal","Çar","Per","Cum","Cmt","Paz"))</f>
        <v>Per</v>
      </c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4" t="n">
        <f aca="false">IF(A300="",0,A300)</f>
        <v>46317</v>
      </c>
      <c r="S300" s="15" t="n">
        <f aca="false">IF(A300="",0,MONTH(A300))</f>
        <v>10</v>
      </c>
    </row>
    <row r="301" customFormat="false" ht="15" hidden="false" customHeight="false" outlineLevel="0" collapsed="false">
      <c r="A301" s="11" t="n">
        <f aca="false">A300+1</f>
        <v>46318</v>
      </c>
      <c r="B301" s="12" t="str">
        <f aca="false">IF(A301="","",CHOOSE(WEEKDAY(A301,2),"Pzt","Sal","Çar","Per","Cum","Cmt","Paz"))</f>
        <v>Cum</v>
      </c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4" t="n">
        <f aca="false">IF(A301="",0,A301)</f>
        <v>46318</v>
      </c>
      <c r="S301" s="15" t="n">
        <f aca="false">IF(A301="",0,MONTH(A301))</f>
        <v>10</v>
      </c>
    </row>
    <row r="302" customFormat="false" ht="15" hidden="false" customHeight="false" outlineLevel="0" collapsed="false">
      <c r="A302" s="11" t="n">
        <f aca="false">A301+1</f>
        <v>46319</v>
      </c>
      <c r="B302" s="12" t="str">
        <f aca="false">IF(A302="","",CHOOSE(WEEKDAY(A302,2),"Pzt","Sal","Çar","Per","Cum","Cmt","Paz"))</f>
        <v>Cmt</v>
      </c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4" t="n">
        <f aca="false">IF(A302="",0,A302)</f>
        <v>46319</v>
      </c>
      <c r="S302" s="15" t="n">
        <f aca="false">IF(A302="",0,MONTH(A302))</f>
        <v>10</v>
      </c>
    </row>
    <row r="303" customFormat="false" ht="15" hidden="false" customHeight="false" outlineLevel="0" collapsed="false">
      <c r="A303" s="11" t="n">
        <f aca="false">A302+1</f>
        <v>46320</v>
      </c>
      <c r="B303" s="12" t="str">
        <f aca="false">IF(A303="","",CHOOSE(WEEKDAY(A303,2),"Pzt","Sal","Çar","Per","Cum","Cmt","Paz"))</f>
        <v>Paz</v>
      </c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4" t="n">
        <f aca="false">IF(A303="",0,A303)</f>
        <v>46320</v>
      </c>
      <c r="S303" s="15" t="n">
        <f aca="false">IF(A303="",0,MONTH(A303))</f>
        <v>10</v>
      </c>
    </row>
    <row r="304" customFormat="false" ht="15" hidden="false" customHeight="false" outlineLevel="0" collapsed="false">
      <c r="A304" s="11" t="n">
        <f aca="false">A303+1</f>
        <v>46321</v>
      </c>
      <c r="B304" s="12" t="str">
        <f aca="false">IF(A304="","",CHOOSE(WEEKDAY(A304,2),"Pzt","Sal","Çar","Per","Cum","Cmt","Paz"))</f>
        <v>Pzt</v>
      </c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4" t="n">
        <f aca="false">IF(A304="",0,A304)</f>
        <v>46321</v>
      </c>
      <c r="S304" s="15" t="n">
        <f aca="false">IF(A304="",0,MONTH(A304))</f>
        <v>10</v>
      </c>
    </row>
    <row r="305" customFormat="false" ht="15" hidden="false" customHeight="false" outlineLevel="0" collapsed="false">
      <c r="A305" s="11" t="n">
        <f aca="false">A304+1</f>
        <v>46322</v>
      </c>
      <c r="B305" s="12" t="str">
        <f aca="false">IF(A305="","",CHOOSE(WEEKDAY(A305,2),"Pzt","Sal","Çar","Per","Cum","Cmt","Paz"))</f>
        <v>Sal</v>
      </c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4" t="n">
        <f aca="false">IF(A305="",0,A305)</f>
        <v>46322</v>
      </c>
      <c r="S305" s="15" t="n">
        <f aca="false">IF(A305="",0,MONTH(A305))</f>
        <v>10</v>
      </c>
    </row>
    <row r="306" customFormat="false" ht="15" hidden="false" customHeight="false" outlineLevel="0" collapsed="false">
      <c r="A306" s="11" t="n">
        <f aca="false">A305+1</f>
        <v>46323</v>
      </c>
      <c r="B306" s="12" t="str">
        <f aca="false">IF(A306="","",CHOOSE(WEEKDAY(A306,2),"Pzt","Sal","Çar","Per","Cum","Cmt","Paz"))</f>
        <v>Çar</v>
      </c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4" t="n">
        <f aca="false">IF(A306="",0,A306)</f>
        <v>46323</v>
      </c>
      <c r="S306" s="15" t="n">
        <f aca="false">IF(A306="",0,MONTH(A306))</f>
        <v>10</v>
      </c>
    </row>
    <row r="307" customFormat="false" ht="15" hidden="false" customHeight="false" outlineLevel="0" collapsed="false">
      <c r="A307" s="11" t="n">
        <f aca="false">A306+1</f>
        <v>46324</v>
      </c>
      <c r="B307" s="12" t="str">
        <f aca="false">IF(A307="","",CHOOSE(WEEKDAY(A307,2),"Pzt","Sal","Çar","Per","Cum","Cmt","Paz"))</f>
        <v>Per</v>
      </c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4" t="n">
        <f aca="false">IF(A307="",0,A307)</f>
        <v>46324</v>
      </c>
      <c r="S307" s="15" t="n">
        <f aca="false">IF(A307="",0,MONTH(A307))</f>
        <v>10</v>
      </c>
    </row>
    <row r="308" customFormat="false" ht="15" hidden="false" customHeight="false" outlineLevel="0" collapsed="false">
      <c r="A308" s="11" t="n">
        <f aca="false">A307+1</f>
        <v>46325</v>
      </c>
      <c r="B308" s="12" t="str">
        <f aca="false">IF(A308="","",CHOOSE(WEEKDAY(A308,2),"Pzt","Sal","Çar","Per","Cum","Cmt","Paz"))</f>
        <v>Cum</v>
      </c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4" t="n">
        <f aca="false">IF(A308="",0,A308)</f>
        <v>46325</v>
      </c>
      <c r="S308" s="15" t="n">
        <f aca="false">IF(A308="",0,MONTH(A308))</f>
        <v>10</v>
      </c>
    </row>
    <row r="309" customFormat="false" ht="15" hidden="false" customHeight="false" outlineLevel="0" collapsed="false">
      <c r="A309" s="11" t="n">
        <f aca="false">A308+1</f>
        <v>46326</v>
      </c>
      <c r="B309" s="12" t="str">
        <f aca="false">IF(A309="","",CHOOSE(WEEKDAY(A309,2),"Pzt","Sal","Çar","Per","Cum","Cmt","Paz"))</f>
        <v>Cmt</v>
      </c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4" t="n">
        <f aca="false">IF(A309="",0,A309)</f>
        <v>46326</v>
      </c>
      <c r="S309" s="15" t="n">
        <f aca="false">IF(A309="",0,MONTH(A309))</f>
        <v>10</v>
      </c>
    </row>
    <row r="310" customFormat="false" ht="15" hidden="false" customHeight="false" outlineLevel="0" collapsed="false">
      <c r="A310" s="11" t="n">
        <f aca="false">A309+1</f>
        <v>46327</v>
      </c>
      <c r="B310" s="12" t="str">
        <f aca="false">IF(A310="","",CHOOSE(WEEKDAY(A310,2),"Pzt","Sal","Çar","Per","Cum","Cmt","Paz"))</f>
        <v>Paz</v>
      </c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4" t="n">
        <f aca="false">IF(A310="",0,A310)</f>
        <v>46327</v>
      </c>
      <c r="S310" s="15" t="n">
        <f aca="false">IF(A310="",0,MONTH(A310))</f>
        <v>11</v>
      </c>
    </row>
    <row r="311" customFormat="false" ht="15" hidden="false" customHeight="false" outlineLevel="0" collapsed="false">
      <c r="A311" s="11" t="n">
        <f aca="false">A310+1</f>
        <v>46328</v>
      </c>
      <c r="B311" s="12" t="str">
        <f aca="false">IF(A311="","",CHOOSE(WEEKDAY(A311,2),"Pzt","Sal","Çar","Per","Cum","Cmt","Paz"))</f>
        <v>Pzt</v>
      </c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4" t="n">
        <f aca="false">IF(A311="",0,A311)</f>
        <v>46328</v>
      </c>
      <c r="S311" s="15" t="n">
        <f aca="false">IF(A311="",0,MONTH(A311))</f>
        <v>11</v>
      </c>
    </row>
    <row r="312" customFormat="false" ht="15" hidden="false" customHeight="false" outlineLevel="0" collapsed="false">
      <c r="A312" s="11" t="n">
        <f aca="false">A311+1</f>
        <v>46329</v>
      </c>
      <c r="B312" s="12" t="str">
        <f aca="false">IF(A312="","",CHOOSE(WEEKDAY(A312,2),"Pzt","Sal","Çar","Per","Cum","Cmt","Paz"))</f>
        <v>Sal</v>
      </c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4" t="n">
        <f aca="false">IF(A312="",0,A312)</f>
        <v>46329</v>
      </c>
      <c r="S312" s="15" t="n">
        <f aca="false">IF(A312="",0,MONTH(A312))</f>
        <v>11</v>
      </c>
    </row>
    <row r="313" customFormat="false" ht="15" hidden="false" customHeight="false" outlineLevel="0" collapsed="false">
      <c r="A313" s="11" t="n">
        <f aca="false">A312+1</f>
        <v>46330</v>
      </c>
      <c r="B313" s="12" t="str">
        <f aca="false">IF(A313="","",CHOOSE(WEEKDAY(A313,2),"Pzt","Sal","Çar","Per","Cum","Cmt","Paz"))</f>
        <v>Çar</v>
      </c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4" t="n">
        <f aca="false">IF(A313="",0,A313)</f>
        <v>46330</v>
      </c>
      <c r="S313" s="15" t="n">
        <f aca="false">IF(A313="",0,MONTH(A313))</f>
        <v>11</v>
      </c>
    </row>
    <row r="314" customFormat="false" ht="15" hidden="false" customHeight="false" outlineLevel="0" collapsed="false">
      <c r="A314" s="11" t="n">
        <f aca="false">A313+1</f>
        <v>46331</v>
      </c>
      <c r="B314" s="12" t="str">
        <f aca="false">IF(A314="","",CHOOSE(WEEKDAY(A314,2),"Pzt","Sal","Çar","Per","Cum","Cmt","Paz"))</f>
        <v>Per</v>
      </c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4" t="n">
        <f aca="false">IF(A314="",0,A314)</f>
        <v>46331</v>
      </c>
      <c r="S314" s="15" t="n">
        <f aca="false">IF(A314="",0,MONTH(A314))</f>
        <v>11</v>
      </c>
    </row>
    <row r="315" customFormat="false" ht="15" hidden="false" customHeight="false" outlineLevel="0" collapsed="false">
      <c r="A315" s="11" t="n">
        <f aca="false">A314+1</f>
        <v>46332</v>
      </c>
      <c r="B315" s="12" t="str">
        <f aca="false">IF(A315="","",CHOOSE(WEEKDAY(A315,2),"Pzt","Sal","Çar","Per","Cum","Cmt","Paz"))</f>
        <v>Cum</v>
      </c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4" t="n">
        <f aca="false">IF(A315="",0,A315)</f>
        <v>46332</v>
      </c>
      <c r="S315" s="15" t="n">
        <f aca="false">IF(A315="",0,MONTH(A315))</f>
        <v>11</v>
      </c>
    </row>
    <row r="316" customFormat="false" ht="15" hidden="false" customHeight="false" outlineLevel="0" collapsed="false">
      <c r="A316" s="11" t="n">
        <f aca="false">A315+1</f>
        <v>46333</v>
      </c>
      <c r="B316" s="12" t="str">
        <f aca="false">IF(A316="","",CHOOSE(WEEKDAY(A316,2),"Pzt","Sal","Çar","Per","Cum","Cmt","Paz"))</f>
        <v>Cmt</v>
      </c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4" t="n">
        <f aca="false">IF(A316="",0,A316)</f>
        <v>46333</v>
      </c>
      <c r="S316" s="15" t="n">
        <f aca="false">IF(A316="",0,MONTH(A316))</f>
        <v>11</v>
      </c>
    </row>
    <row r="317" customFormat="false" ht="15" hidden="false" customHeight="false" outlineLevel="0" collapsed="false">
      <c r="A317" s="11" t="n">
        <f aca="false">A316+1</f>
        <v>46334</v>
      </c>
      <c r="B317" s="12" t="str">
        <f aca="false">IF(A317="","",CHOOSE(WEEKDAY(A317,2),"Pzt","Sal","Çar","Per","Cum","Cmt","Paz"))</f>
        <v>Paz</v>
      </c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4" t="n">
        <f aca="false">IF(A317="",0,A317)</f>
        <v>46334</v>
      </c>
      <c r="S317" s="15" t="n">
        <f aca="false">IF(A317="",0,MONTH(A317))</f>
        <v>11</v>
      </c>
    </row>
    <row r="318" customFormat="false" ht="15" hidden="false" customHeight="false" outlineLevel="0" collapsed="false">
      <c r="A318" s="11" t="n">
        <f aca="false">A317+1</f>
        <v>46335</v>
      </c>
      <c r="B318" s="12" t="str">
        <f aca="false">IF(A318="","",CHOOSE(WEEKDAY(A318,2),"Pzt","Sal","Çar","Per","Cum","Cmt","Paz"))</f>
        <v>Pzt</v>
      </c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4" t="n">
        <f aca="false">IF(A318="",0,A318)</f>
        <v>46335</v>
      </c>
      <c r="S318" s="15" t="n">
        <f aca="false">IF(A318="",0,MONTH(A318))</f>
        <v>11</v>
      </c>
    </row>
    <row r="319" customFormat="false" ht="15" hidden="false" customHeight="false" outlineLevel="0" collapsed="false">
      <c r="A319" s="11" t="n">
        <f aca="false">A318+1</f>
        <v>46336</v>
      </c>
      <c r="B319" s="12" t="str">
        <f aca="false">IF(A319="","",CHOOSE(WEEKDAY(A319,2),"Pzt","Sal","Çar","Per","Cum","Cmt","Paz"))</f>
        <v>Sal</v>
      </c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4" t="n">
        <f aca="false">IF(A319="",0,A319)</f>
        <v>46336</v>
      </c>
      <c r="S319" s="15" t="n">
        <f aca="false">IF(A319="",0,MONTH(A319))</f>
        <v>11</v>
      </c>
    </row>
    <row r="320" customFormat="false" ht="15" hidden="false" customHeight="false" outlineLevel="0" collapsed="false">
      <c r="A320" s="11" t="n">
        <f aca="false">A319+1</f>
        <v>46337</v>
      </c>
      <c r="B320" s="12" t="str">
        <f aca="false">IF(A320="","",CHOOSE(WEEKDAY(A320,2),"Pzt","Sal","Çar","Per","Cum","Cmt","Paz"))</f>
        <v>Çar</v>
      </c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4" t="n">
        <f aca="false">IF(A320="",0,A320)</f>
        <v>46337</v>
      </c>
      <c r="S320" s="15" t="n">
        <f aca="false">IF(A320="",0,MONTH(A320))</f>
        <v>11</v>
      </c>
    </row>
    <row r="321" customFormat="false" ht="15" hidden="false" customHeight="false" outlineLevel="0" collapsed="false">
      <c r="A321" s="11" t="n">
        <f aca="false">A320+1</f>
        <v>46338</v>
      </c>
      <c r="B321" s="12" t="str">
        <f aca="false">IF(A321="","",CHOOSE(WEEKDAY(A321,2),"Pzt","Sal","Çar","Per","Cum","Cmt","Paz"))</f>
        <v>Per</v>
      </c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4" t="n">
        <f aca="false">IF(A321="",0,A321)</f>
        <v>46338</v>
      </c>
      <c r="S321" s="15" t="n">
        <f aca="false">IF(A321="",0,MONTH(A321))</f>
        <v>11</v>
      </c>
    </row>
    <row r="322" customFormat="false" ht="15" hidden="false" customHeight="false" outlineLevel="0" collapsed="false">
      <c r="A322" s="11" t="n">
        <f aca="false">A321+1</f>
        <v>46339</v>
      </c>
      <c r="B322" s="12" t="str">
        <f aca="false">IF(A322="","",CHOOSE(WEEKDAY(A322,2),"Pzt","Sal","Çar","Per","Cum","Cmt","Paz"))</f>
        <v>Cum</v>
      </c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4" t="n">
        <f aca="false">IF(A322="",0,A322)</f>
        <v>46339</v>
      </c>
      <c r="S322" s="15" t="n">
        <f aca="false">IF(A322="",0,MONTH(A322))</f>
        <v>11</v>
      </c>
    </row>
    <row r="323" customFormat="false" ht="15" hidden="false" customHeight="false" outlineLevel="0" collapsed="false">
      <c r="A323" s="11" t="n">
        <f aca="false">A322+1</f>
        <v>46340</v>
      </c>
      <c r="B323" s="12" t="str">
        <f aca="false">IF(A323="","",CHOOSE(WEEKDAY(A323,2),"Pzt","Sal","Çar","Per","Cum","Cmt","Paz"))</f>
        <v>Cmt</v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4" t="n">
        <f aca="false">IF(A323="",0,A323)</f>
        <v>46340</v>
      </c>
      <c r="S323" s="15" t="n">
        <f aca="false">IF(A323="",0,MONTH(A323))</f>
        <v>11</v>
      </c>
    </row>
    <row r="324" customFormat="false" ht="15" hidden="false" customHeight="false" outlineLevel="0" collapsed="false">
      <c r="A324" s="11" t="n">
        <f aca="false">A323+1</f>
        <v>46341</v>
      </c>
      <c r="B324" s="12" t="str">
        <f aca="false">IF(A324="","",CHOOSE(WEEKDAY(A324,2),"Pzt","Sal","Çar","Per","Cum","Cmt","Paz"))</f>
        <v>Paz</v>
      </c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4" t="n">
        <f aca="false">IF(A324="",0,A324)</f>
        <v>46341</v>
      </c>
      <c r="S324" s="15" t="n">
        <f aca="false">IF(A324="",0,MONTH(A324))</f>
        <v>11</v>
      </c>
    </row>
    <row r="325" customFormat="false" ht="15" hidden="false" customHeight="false" outlineLevel="0" collapsed="false">
      <c r="A325" s="11" t="n">
        <f aca="false">A324+1</f>
        <v>46342</v>
      </c>
      <c r="B325" s="12" t="str">
        <f aca="false">IF(A325="","",CHOOSE(WEEKDAY(A325,2),"Pzt","Sal","Çar","Per","Cum","Cmt","Paz"))</f>
        <v>Pzt</v>
      </c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4" t="n">
        <f aca="false">IF(A325="",0,A325)</f>
        <v>46342</v>
      </c>
      <c r="S325" s="15" t="n">
        <f aca="false">IF(A325="",0,MONTH(A325))</f>
        <v>11</v>
      </c>
    </row>
    <row r="326" customFormat="false" ht="15" hidden="false" customHeight="false" outlineLevel="0" collapsed="false">
      <c r="A326" s="11" t="n">
        <f aca="false">A325+1</f>
        <v>46343</v>
      </c>
      <c r="B326" s="12" t="str">
        <f aca="false">IF(A326="","",CHOOSE(WEEKDAY(A326,2),"Pzt","Sal","Çar","Per","Cum","Cmt","Paz"))</f>
        <v>Sal</v>
      </c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4" t="n">
        <f aca="false">IF(A326="",0,A326)</f>
        <v>46343</v>
      </c>
      <c r="S326" s="15" t="n">
        <f aca="false">IF(A326="",0,MONTH(A326))</f>
        <v>11</v>
      </c>
    </row>
    <row r="327" customFormat="false" ht="15" hidden="false" customHeight="false" outlineLevel="0" collapsed="false">
      <c r="A327" s="11" t="n">
        <f aca="false">A326+1</f>
        <v>46344</v>
      </c>
      <c r="B327" s="12" t="str">
        <f aca="false">IF(A327="","",CHOOSE(WEEKDAY(A327,2),"Pzt","Sal","Çar","Per","Cum","Cmt","Paz"))</f>
        <v>Çar</v>
      </c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4" t="n">
        <f aca="false">IF(A327="",0,A327)</f>
        <v>46344</v>
      </c>
      <c r="S327" s="15" t="n">
        <f aca="false">IF(A327="",0,MONTH(A327))</f>
        <v>11</v>
      </c>
    </row>
    <row r="328" customFormat="false" ht="15" hidden="false" customHeight="false" outlineLevel="0" collapsed="false">
      <c r="A328" s="11" t="n">
        <f aca="false">A327+1</f>
        <v>46345</v>
      </c>
      <c r="B328" s="12" t="str">
        <f aca="false">IF(A328="","",CHOOSE(WEEKDAY(A328,2),"Pzt","Sal","Çar","Per","Cum","Cmt","Paz"))</f>
        <v>Per</v>
      </c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4" t="n">
        <f aca="false">IF(A328="",0,A328)</f>
        <v>46345</v>
      </c>
      <c r="S328" s="15" t="n">
        <f aca="false">IF(A328="",0,MONTH(A328))</f>
        <v>11</v>
      </c>
    </row>
    <row r="329" customFormat="false" ht="15" hidden="false" customHeight="false" outlineLevel="0" collapsed="false">
      <c r="A329" s="11" t="n">
        <f aca="false">A328+1</f>
        <v>46346</v>
      </c>
      <c r="B329" s="12" t="str">
        <f aca="false">IF(A329="","",CHOOSE(WEEKDAY(A329,2),"Pzt","Sal","Çar","Per","Cum","Cmt","Paz"))</f>
        <v>Cum</v>
      </c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4" t="n">
        <f aca="false">IF(A329="",0,A329)</f>
        <v>46346</v>
      </c>
      <c r="S329" s="15" t="n">
        <f aca="false">IF(A329="",0,MONTH(A329))</f>
        <v>11</v>
      </c>
    </row>
    <row r="330" customFormat="false" ht="15" hidden="false" customHeight="false" outlineLevel="0" collapsed="false">
      <c r="A330" s="11" t="n">
        <f aca="false">A329+1</f>
        <v>46347</v>
      </c>
      <c r="B330" s="12" t="str">
        <f aca="false">IF(A330="","",CHOOSE(WEEKDAY(A330,2),"Pzt","Sal","Çar","Per","Cum","Cmt","Paz"))</f>
        <v>Cmt</v>
      </c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4" t="n">
        <f aca="false">IF(A330="",0,A330)</f>
        <v>46347</v>
      </c>
      <c r="S330" s="15" t="n">
        <f aca="false">IF(A330="",0,MONTH(A330))</f>
        <v>11</v>
      </c>
    </row>
    <row r="331" customFormat="false" ht="15" hidden="false" customHeight="false" outlineLevel="0" collapsed="false">
      <c r="A331" s="11" t="n">
        <f aca="false">A330+1</f>
        <v>46348</v>
      </c>
      <c r="B331" s="12" t="str">
        <f aca="false">IF(A331="","",CHOOSE(WEEKDAY(A331,2),"Pzt","Sal","Çar","Per","Cum","Cmt","Paz"))</f>
        <v>Paz</v>
      </c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4" t="n">
        <f aca="false">IF(A331="",0,A331)</f>
        <v>46348</v>
      </c>
      <c r="S331" s="15" t="n">
        <f aca="false">IF(A331="",0,MONTH(A331))</f>
        <v>11</v>
      </c>
    </row>
    <row r="332" customFormat="false" ht="15" hidden="false" customHeight="false" outlineLevel="0" collapsed="false">
      <c r="A332" s="11" t="n">
        <f aca="false">A331+1</f>
        <v>46349</v>
      </c>
      <c r="B332" s="12" t="str">
        <f aca="false">IF(A332="","",CHOOSE(WEEKDAY(A332,2),"Pzt","Sal","Çar","Per","Cum","Cmt","Paz"))</f>
        <v>Pzt</v>
      </c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4" t="n">
        <f aca="false">IF(A332="",0,A332)</f>
        <v>46349</v>
      </c>
      <c r="S332" s="15" t="n">
        <f aca="false">IF(A332="",0,MONTH(A332))</f>
        <v>11</v>
      </c>
    </row>
    <row r="333" customFormat="false" ht="15" hidden="false" customHeight="false" outlineLevel="0" collapsed="false">
      <c r="A333" s="11" t="n">
        <f aca="false">A332+1</f>
        <v>46350</v>
      </c>
      <c r="B333" s="12" t="str">
        <f aca="false">IF(A333="","",CHOOSE(WEEKDAY(A333,2),"Pzt","Sal","Çar","Per","Cum","Cmt","Paz"))</f>
        <v>Sal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4" t="n">
        <f aca="false">IF(A333="",0,A333)</f>
        <v>46350</v>
      </c>
      <c r="S333" s="15" t="n">
        <f aca="false">IF(A333="",0,MONTH(A333))</f>
        <v>11</v>
      </c>
    </row>
    <row r="334" customFormat="false" ht="15" hidden="false" customHeight="false" outlineLevel="0" collapsed="false">
      <c r="A334" s="11" t="n">
        <f aca="false">A333+1</f>
        <v>46351</v>
      </c>
      <c r="B334" s="12" t="str">
        <f aca="false">IF(A334="","",CHOOSE(WEEKDAY(A334,2),"Pzt","Sal","Çar","Per","Cum","Cmt","Paz"))</f>
        <v>Çar</v>
      </c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4" t="n">
        <f aca="false">IF(A334="",0,A334)</f>
        <v>46351</v>
      </c>
      <c r="S334" s="15" t="n">
        <f aca="false">IF(A334="",0,MONTH(A334))</f>
        <v>11</v>
      </c>
    </row>
    <row r="335" customFormat="false" ht="15" hidden="false" customHeight="false" outlineLevel="0" collapsed="false">
      <c r="A335" s="11" t="n">
        <f aca="false">A334+1</f>
        <v>46352</v>
      </c>
      <c r="B335" s="12" t="str">
        <f aca="false">IF(A335="","",CHOOSE(WEEKDAY(A335,2),"Pzt","Sal","Çar","Per","Cum","Cmt","Paz"))</f>
        <v>Per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4" t="n">
        <f aca="false">IF(A335="",0,A335)</f>
        <v>46352</v>
      </c>
      <c r="S335" s="15" t="n">
        <f aca="false">IF(A335="",0,MONTH(A335))</f>
        <v>11</v>
      </c>
    </row>
    <row r="336" customFormat="false" ht="15" hidden="false" customHeight="false" outlineLevel="0" collapsed="false">
      <c r="A336" s="11" t="n">
        <f aca="false">A335+1</f>
        <v>46353</v>
      </c>
      <c r="B336" s="12" t="str">
        <f aca="false">IF(A336="","",CHOOSE(WEEKDAY(A336,2),"Pzt","Sal","Çar","Per","Cum","Cmt","Paz"))</f>
        <v>Cum</v>
      </c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4" t="n">
        <f aca="false">IF(A336="",0,A336)</f>
        <v>46353</v>
      </c>
      <c r="S336" s="15" t="n">
        <f aca="false">IF(A336="",0,MONTH(A336))</f>
        <v>11</v>
      </c>
    </row>
    <row r="337" customFormat="false" ht="15" hidden="false" customHeight="false" outlineLevel="0" collapsed="false">
      <c r="A337" s="11" t="n">
        <f aca="false">A336+1</f>
        <v>46354</v>
      </c>
      <c r="B337" s="12" t="str">
        <f aca="false">IF(A337="","",CHOOSE(WEEKDAY(A337,2),"Pzt","Sal","Çar","Per","Cum","Cmt","Paz"))</f>
        <v>Cmt</v>
      </c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4" t="n">
        <f aca="false">IF(A337="",0,A337)</f>
        <v>46354</v>
      </c>
      <c r="S337" s="15" t="n">
        <f aca="false">IF(A337="",0,MONTH(A337))</f>
        <v>11</v>
      </c>
    </row>
    <row r="338" customFormat="false" ht="15" hidden="false" customHeight="false" outlineLevel="0" collapsed="false">
      <c r="A338" s="11" t="n">
        <f aca="false">A337+1</f>
        <v>46355</v>
      </c>
      <c r="B338" s="12" t="str">
        <f aca="false">IF(A338="","",CHOOSE(WEEKDAY(A338,2),"Pzt","Sal","Çar","Per","Cum","Cmt","Paz"))</f>
        <v>Paz</v>
      </c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4" t="n">
        <f aca="false">IF(A338="",0,A338)</f>
        <v>46355</v>
      </c>
      <c r="S338" s="15" t="n">
        <f aca="false">IF(A338="",0,MONTH(A338))</f>
        <v>11</v>
      </c>
    </row>
    <row r="339" customFormat="false" ht="15" hidden="false" customHeight="false" outlineLevel="0" collapsed="false">
      <c r="A339" s="11" t="n">
        <f aca="false">A338+1</f>
        <v>46356</v>
      </c>
      <c r="B339" s="12" t="str">
        <f aca="false">IF(A339="","",CHOOSE(WEEKDAY(A339,2),"Pzt","Sal","Çar","Per","Cum","Cmt","Paz"))</f>
        <v>Pzt</v>
      </c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4" t="n">
        <f aca="false">IF(A339="",0,A339)</f>
        <v>46356</v>
      </c>
      <c r="S339" s="15" t="n">
        <f aca="false">IF(A339="",0,MONTH(A339))</f>
        <v>11</v>
      </c>
    </row>
    <row r="340" customFormat="false" ht="15" hidden="false" customHeight="false" outlineLevel="0" collapsed="false">
      <c r="A340" s="11" t="n">
        <f aca="false">A339+1</f>
        <v>46357</v>
      </c>
      <c r="B340" s="12" t="str">
        <f aca="false">IF(A340="","",CHOOSE(WEEKDAY(A340,2),"Pzt","Sal","Çar","Per","Cum","Cmt","Paz"))</f>
        <v>Sal</v>
      </c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4" t="n">
        <f aca="false">IF(A340="",0,A340)</f>
        <v>46357</v>
      </c>
      <c r="S340" s="15" t="n">
        <f aca="false">IF(A340="",0,MONTH(A340))</f>
        <v>12</v>
      </c>
    </row>
    <row r="341" customFormat="false" ht="15" hidden="false" customHeight="false" outlineLevel="0" collapsed="false">
      <c r="A341" s="11" t="n">
        <f aca="false">A340+1</f>
        <v>46358</v>
      </c>
      <c r="B341" s="12" t="str">
        <f aca="false">IF(A341="","",CHOOSE(WEEKDAY(A341,2),"Pzt","Sal","Çar","Per","Cum","Cmt","Paz"))</f>
        <v>Çar</v>
      </c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4" t="n">
        <f aca="false">IF(A341="",0,A341)</f>
        <v>46358</v>
      </c>
      <c r="S341" s="15" t="n">
        <f aca="false">IF(A341="",0,MONTH(A341))</f>
        <v>12</v>
      </c>
    </row>
    <row r="342" customFormat="false" ht="15" hidden="false" customHeight="false" outlineLevel="0" collapsed="false">
      <c r="A342" s="11" t="n">
        <f aca="false">A341+1</f>
        <v>46359</v>
      </c>
      <c r="B342" s="12" t="str">
        <f aca="false">IF(A342="","",CHOOSE(WEEKDAY(A342,2),"Pzt","Sal","Çar","Per","Cum","Cmt","Paz"))</f>
        <v>Per</v>
      </c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4" t="n">
        <f aca="false">IF(A342="",0,A342)</f>
        <v>46359</v>
      </c>
      <c r="S342" s="15" t="n">
        <f aca="false">IF(A342="",0,MONTH(A342))</f>
        <v>12</v>
      </c>
    </row>
    <row r="343" customFormat="false" ht="15" hidden="false" customHeight="false" outlineLevel="0" collapsed="false">
      <c r="A343" s="11" t="n">
        <f aca="false">A342+1</f>
        <v>46360</v>
      </c>
      <c r="B343" s="12" t="str">
        <f aca="false">IF(A343="","",CHOOSE(WEEKDAY(A343,2),"Pzt","Sal","Çar","Per","Cum","Cmt","Paz"))</f>
        <v>Cum</v>
      </c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4" t="n">
        <f aca="false">IF(A343="",0,A343)</f>
        <v>46360</v>
      </c>
      <c r="S343" s="15" t="n">
        <f aca="false">IF(A343="",0,MONTH(A343))</f>
        <v>12</v>
      </c>
    </row>
    <row r="344" customFormat="false" ht="15" hidden="false" customHeight="false" outlineLevel="0" collapsed="false">
      <c r="A344" s="11" t="n">
        <f aca="false">A343+1</f>
        <v>46361</v>
      </c>
      <c r="B344" s="12" t="str">
        <f aca="false">IF(A344="","",CHOOSE(WEEKDAY(A344,2),"Pzt","Sal","Çar","Per","Cum","Cmt","Paz"))</f>
        <v>Cmt</v>
      </c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4" t="n">
        <f aca="false">IF(A344="",0,A344)</f>
        <v>46361</v>
      </c>
      <c r="S344" s="15" t="n">
        <f aca="false">IF(A344="",0,MONTH(A344))</f>
        <v>12</v>
      </c>
    </row>
    <row r="345" customFormat="false" ht="15" hidden="false" customHeight="false" outlineLevel="0" collapsed="false">
      <c r="A345" s="11" t="n">
        <f aca="false">A344+1</f>
        <v>46362</v>
      </c>
      <c r="B345" s="12" t="str">
        <f aca="false">IF(A345="","",CHOOSE(WEEKDAY(A345,2),"Pzt","Sal","Çar","Per","Cum","Cmt","Paz"))</f>
        <v>Paz</v>
      </c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4" t="n">
        <f aca="false">IF(A345="",0,A345)</f>
        <v>46362</v>
      </c>
      <c r="S345" s="15" t="n">
        <f aca="false">IF(A345="",0,MONTH(A345))</f>
        <v>12</v>
      </c>
    </row>
    <row r="346" customFormat="false" ht="15" hidden="false" customHeight="false" outlineLevel="0" collapsed="false">
      <c r="A346" s="11" t="n">
        <f aca="false">A345+1</f>
        <v>46363</v>
      </c>
      <c r="B346" s="12" t="str">
        <f aca="false">IF(A346="","",CHOOSE(WEEKDAY(A346,2),"Pzt","Sal","Çar","Per","Cum","Cmt","Paz"))</f>
        <v>Pzt</v>
      </c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4" t="n">
        <f aca="false">IF(A346="",0,A346)</f>
        <v>46363</v>
      </c>
      <c r="S346" s="15" t="n">
        <f aca="false">IF(A346="",0,MONTH(A346))</f>
        <v>12</v>
      </c>
    </row>
    <row r="347" customFormat="false" ht="15" hidden="false" customHeight="false" outlineLevel="0" collapsed="false">
      <c r="A347" s="11" t="n">
        <f aca="false">A346+1</f>
        <v>46364</v>
      </c>
      <c r="B347" s="12" t="str">
        <f aca="false">IF(A347="","",CHOOSE(WEEKDAY(A347,2),"Pzt","Sal","Çar","Per","Cum","Cmt","Paz"))</f>
        <v>Sal</v>
      </c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4" t="n">
        <f aca="false">IF(A347="",0,A347)</f>
        <v>46364</v>
      </c>
      <c r="S347" s="15" t="n">
        <f aca="false">IF(A347="",0,MONTH(A347))</f>
        <v>12</v>
      </c>
    </row>
    <row r="348" customFormat="false" ht="15" hidden="false" customHeight="false" outlineLevel="0" collapsed="false">
      <c r="A348" s="11" t="n">
        <f aca="false">A347+1</f>
        <v>46365</v>
      </c>
      <c r="B348" s="12" t="str">
        <f aca="false">IF(A348="","",CHOOSE(WEEKDAY(A348,2),"Pzt","Sal","Çar","Per","Cum","Cmt","Paz"))</f>
        <v>Çar</v>
      </c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4" t="n">
        <f aca="false">IF(A348="",0,A348)</f>
        <v>46365</v>
      </c>
      <c r="S348" s="15" t="n">
        <f aca="false">IF(A348="",0,MONTH(A348))</f>
        <v>12</v>
      </c>
    </row>
    <row r="349" customFormat="false" ht="15" hidden="false" customHeight="false" outlineLevel="0" collapsed="false">
      <c r="A349" s="11" t="n">
        <f aca="false">A348+1</f>
        <v>46366</v>
      </c>
      <c r="B349" s="12" t="str">
        <f aca="false">IF(A349="","",CHOOSE(WEEKDAY(A349,2),"Pzt","Sal","Çar","Per","Cum","Cmt","Paz"))</f>
        <v>Per</v>
      </c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4" t="n">
        <f aca="false">IF(A349="",0,A349)</f>
        <v>46366</v>
      </c>
      <c r="S349" s="15" t="n">
        <f aca="false">IF(A349="",0,MONTH(A349))</f>
        <v>12</v>
      </c>
    </row>
    <row r="350" customFormat="false" ht="15" hidden="false" customHeight="false" outlineLevel="0" collapsed="false">
      <c r="A350" s="11" t="n">
        <f aca="false">A349+1</f>
        <v>46367</v>
      </c>
      <c r="B350" s="12" t="str">
        <f aca="false">IF(A350="","",CHOOSE(WEEKDAY(A350,2),"Pzt","Sal","Çar","Per","Cum","Cmt","Paz"))</f>
        <v>Cum</v>
      </c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4" t="n">
        <f aca="false">IF(A350="",0,A350)</f>
        <v>46367</v>
      </c>
      <c r="S350" s="15" t="n">
        <f aca="false">IF(A350="",0,MONTH(A350))</f>
        <v>12</v>
      </c>
    </row>
    <row r="351" customFormat="false" ht="15" hidden="false" customHeight="false" outlineLevel="0" collapsed="false">
      <c r="A351" s="11" t="n">
        <f aca="false">A350+1</f>
        <v>46368</v>
      </c>
      <c r="B351" s="12" t="str">
        <f aca="false">IF(A351="","",CHOOSE(WEEKDAY(A351,2),"Pzt","Sal","Çar","Per","Cum","Cmt","Paz"))</f>
        <v>Cmt</v>
      </c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4" t="n">
        <f aca="false">IF(A351="",0,A351)</f>
        <v>46368</v>
      </c>
      <c r="S351" s="15" t="n">
        <f aca="false">IF(A351="",0,MONTH(A351))</f>
        <v>12</v>
      </c>
    </row>
    <row r="352" customFormat="false" ht="15" hidden="false" customHeight="false" outlineLevel="0" collapsed="false">
      <c r="A352" s="11" t="n">
        <f aca="false">A351+1</f>
        <v>46369</v>
      </c>
      <c r="B352" s="12" t="str">
        <f aca="false">IF(A352="","",CHOOSE(WEEKDAY(A352,2),"Pzt","Sal","Çar","Per","Cum","Cmt","Paz"))</f>
        <v>Paz</v>
      </c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4" t="n">
        <f aca="false">IF(A352="",0,A352)</f>
        <v>46369</v>
      </c>
      <c r="S352" s="15" t="n">
        <f aca="false">IF(A352="",0,MONTH(A352))</f>
        <v>12</v>
      </c>
    </row>
    <row r="353" customFormat="false" ht="15" hidden="false" customHeight="false" outlineLevel="0" collapsed="false">
      <c r="A353" s="11" t="n">
        <f aca="false">A352+1</f>
        <v>46370</v>
      </c>
      <c r="B353" s="12" t="str">
        <f aca="false">IF(A353="","",CHOOSE(WEEKDAY(A353,2),"Pzt","Sal","Çar","Per","Cum","Cmt","Paz"))</f>
        <v>Pzt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4" t="n">
        <f aca="false">IF(A353="",0,A353)</f>
        <v>46370</v>
      </c>
      <c r="S353" s="15" t="n">
        <f aca="false">IF(A353="",0,MONTH(A353))</f>
        <v>12</v>
      </c>
    </row>
    <row r="354" customFormat="false" ht="15" hidden="false" customHeight="false" outlineLevel="0" collapsed="false">
      <c r="A354" s="11" t="n">
        <f aca="false">A353+1</f>
        <v>46371</v>
      </c>
      <c r="B354" s="12" t="str">
        <f aca="false">IF(A354="","",CHOOSE(WEEKDAY(A354,2),"Pzt","Sal","Çar","Per","Cum","Cmt","Paz"))</f>
        <v>Sal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4" t="n">
        <f aca="false">IF(A354="",0,A354)</f>
        <v>46371</v>
      </c>
      <c r="S354" s="15" t="n">
        <f aca="false">IF(A354="",0,MONTH(A354))</f>
        <v>12</v>
      </c>
    </row>
    <row r="355" customFormat="false" ht="15" hidden="false" customHeight="false" outlineLevel="0" collapsed="false">
      <c r="A355" s="11" t="n">
        <f aca="false">A354+1</f>
        <v>46372</v>
      </c>
      <c r="B355" s="12" t="str">
        <f aca="false">IF(A355="","",CHOOSE(WEEKDAY(A355,2),"Pzt","Sal","Çar","Per","Cum","Cmt","Paz"))</f>
        <v>Çar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4" t="n">
        <f aca="false">IF(A355="",0,A355)</f>
        <v>46372</v>
      </c>
      <c r="S355" s="15" t="n">
        <f aca="false">IF(A355="",0,MONTH(A355))</f>
        <v>12</v>
      </c>
    </row>
    <row r="356" customFormat="false" ht="15" hidden="false" customHeight="false" outlineLevel="0" collapsed="false">
      <c r="A356" s="11" t="n">
        <f aca="false">A355+1</f>
        <v>46373</v>
      </c>
      <c r="B356" s="12" t="str">
        <f aca="false">IF(A356="","",CHOOSE(WEEKDAY(A356,2),"Pzt","Sal","Çar","Per","Cum","Cmt","Paz"))</f>
        <v>Per</v>
      </c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4" t="n">
        <f aca="false">IF(A356="",0,A356)</f>
        <v>46373</v>
      </c>
      <c r="S356" s="15" t="n">
        <f aca="false">IF(A356="",0,MONTH(A356))</f>
        <v>12</v>
      </c>
    </row>
    <row r="357" customFormat="false" ht="15" hidden="false" customHeight="false" outlineLevel="0" collapsed="false">
      <c r="A357" s="11" t="n">
        <f aca="false">A356+1</f>
        <v>46374</v>
      </c>
      <c r="B357" s="12" t="str">
        <f aca="false">IF(A357="","",CHOOSE(WEEKDAY(A357,2),"Pzt","Sal","Çar","Per","Cum","Cmt","Paz"))</f>
        <v>Cum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4" t="n">
        <f aca="false">IF(A357="",0,A357)</f>
        <v>46374</v>
      </c>
      <c r="S357" s="15" t="n">
        <f aca="false">IF(A357="",0,MONTH(A357))</f>
        <v>12</v>
      </c>
    </row>
    <row r="358" customFormat="false" ht="15" hidden="false" customHeight="false" outlineLevel="0" collapsed="false">
      <c r="A358" s="11" t="n">
        <f aca="false">A357+1</f>
        <v>46375</v>
      </c>
      <c r="B358" s="12" t="str">
        <f aca="false">IF(A358="","",CHOOSE(WEEKDAY(A358,2),"Pzt","Sal","Çar","Per","Cum","Cmt","Paz"))</f>
        <v>Cmt</v>
      </c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4" t="n">
        <f aca="false">IF(A358="",0,A358)</f>
        <v>46375</v>
      </c>
      <c r="S358" s="15" t="n">
        <f aca="false">IF(A358="",0,MONTH(A358))</f>
        <v>12</v>
      </c>
    </row>
    <row r="359" customFormat="false" ht="15" hidden="false" customHeight="false" outlineLevel="0" collapsed="false">
      <c r="A359" s="11" t="n">
        <f aca="false">A358+1</f>
        <v>46376</v>
      </c>
      <c r="B359" s="12" t="str">
        <f aca="false">IF(A359="","",CHOOSE(WEEKDAY(A359,2),"Pzt","Sal","Çar","Per","Cum","Cmt","Paz"))</f>
        <v>Paz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4" t="n">
        <f aca="false">IF(A359="",0,A359)</f>
        <v>46376</v>
      </c>
      <c r="S359" s="15" t="n">
        <f aca="false">IF(A359="",0,MONTH(A359))</f>
        <v>12</v>
      </c>
    </row>
    <row r="360" customFormat="false" ht="15" hidden="false" customHeight="false" outlineLevel="0" collapsed="false">
      <c r="A360" s="11" t="n">
        <f aca="false">A359+1</f>
        <v>46377</v>
      </c>
      <c r="B360" s="12" t="str">
        <f aca="false">IF(A360="","",CHOOSE(WEEKDAY(A360,2),"Pzt","Sal","Çar","Per","Cum","Cmt","Paz"))</f>
        <v>Pzt</v>
      </c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4" t="n">
        <f aca="false">IF(A360="",0,A360)</f>
        <v>46377</v>
      </c>
      <c r="S360" s="15" t="n">
        <f aca="false">IF(A360="",0,MONTH(A360))</f>
        <v>12</v>
      </c>
    </row>
    <row r="361" customFormat="false" ht="15" hidden="false" customHeight="false" outlineLevel="0" collapsed="false">
      <c r="A361" s="11" t="n">
        <f aca="false">A360+1</f>
        <v>46378</v>
      </c>
      <c r="B361" s="12" t="str">
        <f aca="false">IF(A361="","",CHOOSE(WEEKDAY(A361,2),"Pzt","Sal","Çar","Per","Cum","Cmt","Paz"))</f>
        <v>Sal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4" t="n">
        <f aca="false">IF(A361="",0,A361)</f>
        <v>46378</v>
      </c>
      <c r="S361" s="15" t="n">
        <f aca="false">IF(A361="",0,MONTH(A361))</f>
        <v>12</v>
      </c>
    </row>
    <row r="362" customFormat="false" ht="15" hidden="false" customHeight="false" outlineLevel="0" collapsed="false">
      <c r="A362" s="11" t="n">
        <f aca="false">A361+1</f>
        <v>46379</v>
      </c>
      <c r="B362" s="12" t="str">
        <f aca="false">IF(A362="","",CHOOSE(WEEKDAY(A362,2),"Pzt","Sal","Çar","Per","Cum","Cmt","Paz"))</f>
        <v>Çar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4" t="n">
        <f aca="false">IF(A362="",0,A362)</f>
        <v>46379</v>
      </c>
      <c r="S362" s="15" t="n">
        <f aca="false">IF(A362="",0,MONTH(A362))</f>
        <v>12</v>
      </c>
    </row>
    <row r="363" customFormat="false" ht="15" hidden="false" customHeight="false" outlineLevel="0" collapsed="false">
      <c r="A363" s="11" t="n">
        <f aca="false">A362+1</f>
        <v>46380</v>
      </c>
      <c r="B363" s="12" t="str">
        <f aca="false">IF(A363="","",CHOOSE(WEEKDAY(A363,2),"Pzt","Sal","Çar","Per","Cum","Cmt","Paz"))</f>
        <v>Per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4" t="n">
        <f aca="false">IF(A363="",0,A363)</f>
        <v>46380</v>
      </c>
      <c r="S363" s="15" t="n">
        <f aca="false">IF(A363="",0,MONTH(A363))</f>
        <v>12</v>
      </c>
    </row>
    <row r="364" customFormat="false" ht="15" hidden="false" customHeight="false" outlineLevel="0" collapsed="false">
      <c r="A364" s="11" t="n">
        <f aca="false">A363+1</f>
        <v>46381</v>
      </c>
      <c r="B364" s="12" t="str">
        <f aca="false">IF(A364="","",CHOOSE(WEEKDAY(A364,2),"Pzt","Sal","Çar","Per","Cum","Cmt","Paz"))</f>
        <v>Cum</v>
      </c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4" t="n">
        <f aca="false">IF(A364="",0,A364)</f>
        <v>46381</v>
      </c>
      <c r="S364" s="15" t="n">
        <f aca="false">IF(A364="",0,MONTH(A364))</f>
        <v>12</v>
      </c>
    </row>
    <row r="365" customFormat="false" ht="15" hidden="false" customHeight="false" outlineLevel="0" collapsed="false">
      <c r="A365" s="11" t="n">
        <f aca="false">A364+1</f>
        <v>46382</v>
      </c>
      <c r="B365" s="12" t="str">
        <f aca="false">IF(A365="","",CHOOSE(WEEKDAY(A365,2),"Pzt","Sal","Çar","Per","Cum","Cmt","Paz"))</f>
        <v>Cmt</v>
      </c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4" t="n">
        <f aca="false">IF(A365="",0,A365)</f>
        <v>46382</v>
      </c>
      <c r="S365" s="15" t="n">
        <f aca="false">IF(A365="",0,MONTH(A365))</f>
        <v>12</v>
      </c>
    </row>
    <row r="366" customFormat="false" ht="15" hidden="false" customHeight="false" outlineLevel="0" collapsed="false">
      <c r="A366" s="11" t="n">
        <f aca="false">A365+1</f>
        <v>46383</v>
      </c>
      <c r="B366" s="12" t="str">
        <f aca="false">IF(A366="","",CHOOSE(WEEKDAY(A366,2),"Pzt","Sal","Çar","Per","Cum","Cmt","Paz"))</f>
        <v>Paz</v>
      </c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4" t="n">
        <f aca="false">IF(A366="",0,A366)</f>
        <v>46383</v>
      </c>
      <c r="S366" s="15" t="n">
        <f aca="false">IF(A366="",0,MONTH(A366))</f>
        <v>12</v>
      </c>
    </row>
    <row r="367" customFormat="false" ht="15" hidden="false" customHeight="false" outlineLevel="0" collapsed="false">
      <c r="A367" s="11" t="n">
        <f aca="false">A366+1</f>
        <v>46384</v>
      </c>
      <c r="B367" s="12" t="str">
        <f aca="false">IF(A367="","",CHOOSE(WEEKDAY(A367,2),"Pzt","Sal","Çar","Per","Cum","Cmt","Paz"))</f>
        <v>Pzt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4" t="n">
        <f aca="false">IF(A367="",0,A367)</f>
        <v>46384</v>
      </c>
      <c r="S367" s="15" t="n">
        <f aca="false">IF(A367="",0,MONTH(A367))</f>
        <v>12</v>
      </c>
    </row>
    <row r="368" customFormat="false" ht="15" hidden="false" customHeight="false" outlineLevel="0" collapsed="false">
      <c r="A368" s="11" t="n">
        <f aca="false">A367+1</f>
        <v>46385</v>
      </c>
      <c r="B368" s="12" t="str">
        <f aca="false">IF(A368="","",CHOOSE(WEEKDAY(A368,2),"Pzt","Sal","Çar","Per","Cum","Cmt","Paz"))</f>
        <v>Sal</v>
      </c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4" t="n">
        <f aca="false">IF(A368="",0,A368)</f>
        <v>46385</v>
      </c>
      <c r="S368" s="15" t="n">
        <f aca="false">IF(A368="",0,MONTH(A368))</f>
        <v>12</v>
      </c>
    </row>
    <row r="369" customFormat="false" ht="15" hidden="false" customHeight="false" outlineLevel="0" collapsed="false">
      <c r="A369" s="11" t="n">
        <f aca="false">A368+1</f>
        <v>46386</v>
      </c>
      <c r="B369" s="12" t="str">
        <f aca="false">IF(A369="","",CHOOSE(WEEKDAY(A369,2),"Pzt","Sal","Çar","Per","Cum","Cmt","Paz"))</f>
        <v>Çar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4" t="n">
        <f aca="false">IF(A369="",0,A369)</f>
        <v>46386</v>
      </c>
      <c r="S369" s="15" t="n">
        <f aca="false">IF(A369="",0,MONTH(A369))</f>
        <v>12</v>
      </c>
    </row>
    <row r="370" customFormat="false" ht="15" hidden="false" customHeight="false" outlineLevel="0" collapsed="false">
      <c r="A370" s="11" t="n">
        <f aca="false">A369+1</f>
        <v>46387</v>
      </c>
      <c r="B370" s="12" t="str">
        <f aca="false">IF(A370="","",CHOOSE(WEEKDAY(A370,2),"Pzt","Sal","Çar","Per","Cum","Cmt","Paz"))</f>
        <v>Per</v>
      </c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4" t="n">
        <f aca="false">IF(A370="",0,A370)</f>
        <v>46387</v>
      </c>
      <c r="S370" s="15" t="n">
        <f aca="false">IF(A370="",0,MONTH(A370))</f>
        <v>12</v>
      </c>
    </row>
    <row r="371" customFormat="false" ht="15" hidden="false" customHeight="false" outlineLevel="0" collapsed="false">
      <c r="A371" s="11" t="str">
        <f aca="false">IF(YEAR(A370+1)=Alışkanlıklar!$K$3,A370+1,"")</f>
        <v/>
      </c>
      <c r="B371" s="12" t="str">
        <f aca="false">IF(A371="","",CHOOSE(WEEKDAY(A371,2),"Pzt","Sal","Çar","Per","Cum","Cmt","Paz"))</f>
        <v/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5" t="n">
        <f aca="false">IF(A371="",0,A371)</f>
        <v>0</v>
      </c>
      <c r="S371" s="15" t="n">
        <f aca="false">IF(A371="",0,MONTH(A371))</f>
        <v>0</v>
      </c>
    </row>
  </sheetData>
  <conditionalFormatting sqref="A6:Q371">
    <cfRule type="expression" priority="2" aboveAverage="0" equalAverage="0" bottom="0" percent="0" rank="0" text="" dxfId="0">
      <formula>$R6=TODAY()</formula>
    </cfRule>
  </conditionalFormatting>
  <conditionalFormatting sqref="C6:Q371">
    <cfRule type="expression" priority="3" aboveAverage="0" equalAverage="0" bottom="0" percent="0" rank="0" text="" dxfId="1">
      <formula>C6=1</formula>
    </cfRule>
  </conditionalFormatting>
  <dataValidations count="1">
    <dataValidation allowBlank="true" error="Yaptıysan 1 yaz, yapmadıysan boş bırak." errorStyle="stop" errorTitle="Kontrol" operator="between" showDropDown="false" showErrorMessage="true" showInputMessage="false" sqref="C6:Q371" type="whole">
      <formula1>1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8" min="7" style="0" width="11"/>
  </cols>
  <sheetData>
    <row r="1" customFormat="false" ht="19.7" hidden="false" customHeight="false" outlineLevel="0" collapsed="false">
      <c r="A1" s="8" t="s">
        <v>31</v>
      </c>
    </row>
    <row r="2" customFormat="false" ht="15" hidden="false" customHeight="false" outlineLevel="0" collapsed="false">
      <c r="A2" s="9" t="s">
        <v>32</v>
      </c>
    </row>
    <row r="3" customFormat="false" ht="15" hidden="false" customHeight="false" outlineLevel="0" collapsed="false">
      <c r="J3" s="16" t="s">
        <v>33</v>
      </c>
      <c r="K3" s="17" t="n">
        <v>2026</v>
      </c>
    </row>
    <row r="4" customFormat="false" ht="27.75" hidden="false" customHeight="true" outlineLevel="0" collapsed="false">
      <c r="A4" s="18" t="s">
        <v>34</v>
      </c>
      <c r="B4" s="18" t="s">
        <v>35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41</v>
      </c>
    </row>
    <row r="5" customFormat="false" ht="15" hidden="false" customHeight="false" outlineLevel="0" collapsed="false">
      <c r="A5" s="19" t="s">
        <v>42</v>
      </c>
      <c r="B5" s="20" t="n">
        <v>5</v>
      </c>
      <c r="C5" s="21" t="n">
        <f aca="false">IF(A5="","",COUNT(Takip!$C$6:$C$371))</f>
        <v>24</v>
      </c>
      <c r="D5" s="21" t="n">
        <f aca="true">IF(A5="","",SUMPRODUCT((Takip!$S$6:$S$371=MONTH(TODAY()))*(Takip!$R$6:$R$371&lt;=TODAY())*(Takip!$C$6:$C$371&lt;&gt;"")))</f>
        <v>3</v>
      </c>
      <c r="E5" s="22" t="str">
        <f aca="true">IF(A5="","",SUMPRODUCT((Takip!$R$6:$R$371&gt;=TODAY()-WEEKDAY(TODAY(),2)+1)*(Takip!$R$6:$R$371&lt;=TODAY())*(Takip!$C$6:$C$371&lt;&gt;""))&amp;" / "&amp;B5)</f>
        <v>6 / 5</v>
      </c>
      <c r="F5" s="23" t="n">
        <f aca="true">IF(A5="","",SUMPRODUCT((Takip!$R$6:$R$371&gt;TODAY()-30)*(Takip!$R$6:$R$371&lt;=TODAY())*(Takip!$C$6:$C$371&lt;&gt;""))/30)</f>
        <v>0.8</v>
      </c>
      <c r="G5" s="24" t="n">
        <f aca="true">IF(A5="","",IFERROR(IF(INDEX(Takip!$C$6:$C$371,MATCH(TODAY(),Takip!$R$6:$R$371,0))&lt;&gt;"",INDEX(Seri!$C$6:$C$371,MATCH(TODAY(),Takip!$R$6:$R$371,0)),IF(MATCH(TODAY(),Takip!$R$6:$R$371,0)=1,0,INDEX(Seri!$C$6:$C$371,MATCH(TODAY(),Takip!$R$6:$R$371,0)-1))),0))</f>
        <v>1</v>
      </c>
      <c r="H5" s="21" t="n">
        <f aca="false">IF(A5="","",MAX(Seri!$C$6:$C$371))</f>
        <v>6</v>
      </c>
    </row>
    <row r="6" customFormat="false" ht="15" hidden="false" customHeight="false" outlineLevel="0" collapsed="false">
      <c r="A6" s="19" t="s">
        <v>43</v>
      </c>
      <c r="B6" s="20" t="n">
        <v>7</v>
      </c>
      <c r="C6" s="21" t="n">
        <f aca="false">IF(A6="","",COUNT(Takip!$D$6:$D$371))</f>
        <v>28</v>
      </c>
      <c r="D6" s="21" t="n">
        <f aca="true">IF(A6="","",SUMPRODUCT((Takip!$S$6:$S$371=MONTH(TODAY()))*(Takip!$R$6:$R$371&lt;=TODAY())*(Takip!$D$6:$D$371&lt;&gt;"")))</f>
        <v>4</v>
      </c>
      <c r="E6" s="22" t="str">
        <f aca="true">IF(A6="","",SUMPRODUCT((Takip!$R$6:$R$371&gt;=TODAY()-WEEKDAY(TODAY(),2)+1)*(Takip!$R$6:$R$371&lt;=TODAY())*(Takip!$D$6:$D$371&lt;&gt;""))&amp;" / "&amp;B6)</f>
        <v>7 / 7</v>
      </c>
      <c r="F6" s="23" t="n">
        <f aca="true">IF(A6="","",SUMPRODUCT((Takip!$R$6:$R$371&gt;TODAY()-30)*(Takip!$R$6:$R$371&lt;=TODAY())*(Takip!$D$6:$D$371&lt;&gt;""))/30)</f>
        <v>0.933333333333333</v>
      </c>
      <c r="G6" s="24" t="n">
        <f aca="true">IF(A6="","",IFERROR(IF(INDEX(Takip!$D$6:$D$371,MATCH(TODAY(),Takip!$R$6:$R$371,0))&lt;&gt;"",INDEX(Seri!$D$6:$D$371,MATCH(TODAY(),Takip!$R$6:$R$371,0)),IF(MATCH(TODAY(),Takip!$R$6:$R$371,0)=1,0,INDEX(Seri!$D$6:$D$371,MATCH(TODAY(),Takip!$R$6:$R$371,0)-1))),0))</f>
        <v>28</v>
      </c>
      <c r="H6" s="21" t="n">
        <f aca="false">IF(A6="","",MAX(Seri!$D$6:$D$371))</f>
        <v>28</v>
      </c>
    </row>
    <row r="7" customFormat="false" ht="15" hidden="false" customHeight="false" outlineLevel="0" collapsed="false">
      <c r="A7" s="19" t="s">
        <v>44</v>
      </c>
      <c r="B7" s="20" t="n">
        <v>4</v>
      </c>
      <c r="C7" s="21" t="n">
        <f aca="false">IF(A7="","",COUNT(Takip!$E$6:$E$371))</f>
        <v>12</v>
      </c>
      <c r="D7" s="21" t="n">
        <f aca="true">IF(A7="","",SUMPRODUCT((Takip!$S$6:$S$371=MONTH(TODAY()))*(Takip!$R$6:$R$371&lt;=TODAY())*(Takip!$E$6:$E$371&lt;&gt;"")))</f>
        <v>1</v>
      </c>
      <c r="E7" s="22" t="str">
        <f aca="true">IF(A7="","",SUMPRODUCT((Takip!$R$6:$R$371&gt;=TODAY()-WEEKDAY(TODAY(),2)+1)*(Takip!$R$6:$R$371&lt;=TODAY())*(Takip!$E$6:$E$371&lt;&gt;""))&amp;" / "&amp;B7)</f>
        <v>3 / 4</v>
      </c>
      <c r="F7" s="23" t="n">
        <f aca="true">IF(A7="","",SUMPRODUCT((Takip!$R$6:$R$371&gt;TODAY()-30)*(Takip!$R$6:$R$371&lt;=TODAY())*(Takip!$E$6:$E$371&lt;&gt;""))/30)</f>
        <v>0.4</v>
      </c>
      <c r="G7" s="24" t="n">
        <f aca="true">IF(A7="","",IFERROR(IF(INDEX(Takip!$E$6:$E$371,MATCH(TODAY(),Takip!$R$6:$R$371,0))&lt;&gt;"",INDEX(Seri!$E$6:$E$371,MATCH(TODAY(),Takip!$R$6:$R$371,0)),IF(MATCH(TODAY(),Takip!$R$6:$R$371,0)=1,0,INDEX(Seri!$E$6:$E$371,MATCH(TODAY(),Takip!$R$6:$R$371,0)-1))),0))</f>
        <v>0</v>
      </c>
      <c r="H7" s="21" t="n">
        <f aca="false">IF(A7="","",MAX(Seri!$E$6:$E$371))</f>
        <v>1</v>
      </c>
    </row>
    <row r="8" customFormat="false" ht="15" hidden="false" customHeight="false" outlineLevel="0" collapsed="false">
      <c r="A8" s="19" t="s">
        <v>45</v>
      </c>
      <c r="B8" s="20" t="n">
        <v>7</v>
      </c>
      <c r="C8" s="21" t="n">
        <f aca="false">IF(A8="","",COUNT(Takip!$F$6:$F$371))</f>
        <v>18</v>
      </c>
      <c r="D8" s="21" t="n">
        <f aca="true">IF(A8="","",SUMPRODUCT((Takip!$S$6:$S$371=MONTH(TODAY()))*(Takip!$R$6:$R$371&lt;=TODAY())*(Takip!$F$6:$F$371&lt;&gt;"")))</f>
        <v>2</v>
      </c>
      <c r="E8" s="22" t="str">
        <f aca="true">IF(A8="","",SUMPRODUCT((Takip!$R$6:$R$371&gt;=TODAY()-WEEKDAY(TODAY(),2)+1)*(Takip!$R$6:$R$371&lt;=TODAY())*(Takip!$F$6:$F$371&lt;&gt;""))&amp;" / "&amp;B8)</f>
        <v>4 / 7</v>
      </c>
      <c r="F8" s="23" t="n">
        <f aca="true">IF(A8="","",SUMPRODUCT((Takip!$R$6:$R$371&gt;TODAY()-30)*(Takip!$R$6:$R$371&lt;=TODAY())*(Takip!$F$6:$F$371&lt;&gt;""))/30)</f>
        <v>0.6</v>
      </c>
      <c r="G8" s="24" t="n">
        <f aca="true">IF(A8="","",IFERROR(IF(INDEX(Takip!$F$6:$F$371,MATCH(TODAY(),Takip!$R$6:$R$371,0))&lt;&gt;"",INDEX(Seri!$F$6:$F$371,MATCH(TODAY(),Takip!$R$6:$R$371,0)),IF(MATCH(TODAY(),Takip!$R$6:$R$371,0)=1,0,INDEX(Seri!$F$6:$F$371,MATCH(TODAY(),Takip!$R$6:$R$371,0)-1))),0))</f>
        <v>2</v>
      </c>
      <c r="H8" s="21" t="n">
        <f aca="false">IF(A8="","",MAX(Seri!$F$6:$F$371))</f>
        <v>2</v>
      </c>
    </row>
    <row r="9" customFormat="false" ht="15" hidden="false" customHeight="false" outlineLevel="0" collapsed="false">
      <c r="A9" s="19"/>
      <c r="B9" s="20"/>
      <c r="C9" s="21" t="str">
        <f aca="false">IF(A9="","",COUNT(Takip!$G$6:$G$371))</f>
        <v/>
      </c>
      <c r="D9" s="21" t="str">
        <f aca="true">IF(A9="","",SUMPRODUCT((Takip!$S$6:$S$371=MONTH(TODAY()))*(Takip!$R$6:$R$371&lt;=TODAY())*(Takip!$G$6:$G$371&lt;&gt;"")))</f>
        <v/>
      </c>
      <c r="E9" s="22" t="str">
        <f aca="true">IF(A9="","",SUMPRODUCT((Takip!$R$6:$R$371&gt;=TODAY()-WEEKDAY(TODAY(),2)+1)*(Takip!$R$6:$R$371&lt;=TODAY())*(Takip!$G$6:$G$371&lt;&gt;""))&amp;" / "&amp;B9)</f>
        <v/>
      </c>
      <c r="F9" s="23" t="str">
        <f aca="true">IF(A9="","",SUMPRODUCT((Takip!$R$6:$R$371&gt;TODAY()-30)*(Takip!$R$6:$R$371&lt;=TODAY())*(Takip!$G$6:$G$371&lt;&gt;""))/30)</f>
        <v/>
      </c>
      <c r="G9" s="24" t="str">
        <f aca="true">IF(A9="","",IFERROR(IF(INDEX(Takip!$G$6:$G$371,MATCH(TODAY(),Takip!$R$6:$R$371,0))&lt;&gt;"",INDEX(Seri!$G$6:$G$371,MATCH(TODAY(),Takip!$R$6:$R$371,0)),IF(MATCH(TODAY(),Takip!$R$6:$R$371,0)=1,0,INDEX(Seri!$G$6:$G$371,MATCH(TODAY(),Takip!$R$6:$R$371,0)-1))),0))</f>
        <v/>
      </c>
      <c r="H9" s="21" t="str">
        <f aca="false">IF(A9="","",MAX(Seri!$G$6:$G$371))</f>
        <v/>
      </c>
    </row>
    <row r="10" customFormat="false" ht="15" hidden="false" customHeight="false" outlineLevel="0" collapsed="false">
      <c r="A10" s="19"/>
      <c r="B10" s="20"/>
      <c r="C10" s="21" t="str">
        <f aca="false">IF(A10="","",COUNT(Takip!$H$6:$H$371))</f>
        <v/>
      </c>
      <c r="D10" s="21" t="str">
        <f aca="true">IF(A10="","",SUMPRODUCT((Takip!$S$6:$S$371=MONTH(TODAY()))*(Takip!$R$6:$R$371&lt;=TODAY())*(Takip!$H$6:$H$371&lt;&gt;"")))</f>
        <v/>
      </c>
      <c r="E10" s="22" t="str">
        <f aca="true">IF(A10="","",SUMPRODUCT((Takip!$R$6:$R$371&gt;=TODAY()-WEEKDAY(TODAY(),2)+1)*(Takip!$R$6:$R$371&lt;=TODAY())*(Takip!$H$6:$H$371&lt;&gt;""))&amp;" / "&amp;B10)</f>
        <v/>
      </c>
      <c r="F10" s="23" t="str">
        <f aca="true">IF(A10="","",SUMPRODUCT((Takip!$R$6:$R$371&gt;TODAY()-30)*(Takip!$R$6:$R$371&lt;=TODAY())*(Takip!$H$6:$H$371&lt;&gt;""))/30)</f>
        <v/>
      </c>
      <c r="G10" s="24" t="str">
        <f aca="true">IF(A10="","",IFERROR(IF(INDEX(Takip!$H$6:$H$371,MATCH(TODAY(),Takip!$R$6:$R$371,0))&lt;&gt;"",INDEX(Seri!$H$6:$H$371,MATCH(TODAY(),Takip!$R$6:$R$371,0)),IF(MATCH(TODAY(),Takip!$R$6:$R$371,0)=1,0,INDEX(Seri!$H$6:$H$371,MATCH(TODAY(),Takip!$R$6:$R$371,0)-1))),0))</f>
        <v/>
      </c>
      <c r="H10" s="21" t="str">
        <f aca="false">IF(A10="","",MAX(Seri!$H$6:$H$371))</f>
        <v/>
      </c>
    </row>
    <row r="11" customFormat="false" ht="15" hidden="false" customHeight="false" outlineLevel="0" collapsed="false">
      <c r="A11" s="19"/>
      <c r="B11" s="20"/>
      <c r="C11" s="21" t="str">
        <f aca="false">IF(A11="","",COUNT(Takip!$I$6:$I$371))</f>
        <v/>
      </c>
      <c r="D11" s="21" t="str">
        <f aca="true">IF(A11="","",SUMPRODUCT((Takip!$S$6:$S$371=MONTH(TODAY()))*(Takip!$R$6:$R$371&lt;=TODAY())*(Takip!$I$6:$I$371&lt;&gt;"")))</f>
        <v/>
      </c>
      <c r="E11" s="22" t="str">
        <f aca="true">IF(A11="","",SUMPRODUCT((Takip!$R$6:$R$371&gt;=TODAY()-WEEKDAY(TODAY(),2)+1)*(Takip!$R$6:$R$371&lt;=TODAY())*(Takip!$I$6:$I$371&lt;&gt;""))&amp;" / "&amp;B11)</f>
        <v/>
      </c>
      <c r="F11" s="23" t="str">
        <f aca="true">IF(A11="","",SUMPRODUCT((Takip!$R$6:$R$371&gt;TODAY()-30)*(Takip!$R$6:$R$371&lt;=TODAY())*(Takip!$I$6:$I$371&lt;&gt;""))/30)</f>
        <v/>
      </c>
      <c r="G11" s="24" t="str">
        <f aca="true">IF(A11="","",IFERROR(IF(INDEX(Takip!$I$6:$I$371,MATCH(TODAY(),Takip!$R$6:$R$371,0))&lt;&gt;"",INDEX(Seri!$I$6:$I$371,MATCH(TODAY(),Takip!$R$6:$R$371,0)),IF(MATCH(TODAY(),Takip!$R$6:$R$371,0)=1,0,INDEX(Seri!$I$6:$I$371,MATCH(TODAY(),Takip!$R$6:$R$371,0)-1))),0))</f>
        <v/>
      </c>
      <c r="H11" s="21" t="str">
        <f aca="false">IF(A11="","",MAX(Seri!$I$6:$I$371))</f>
        <v/>
      </c>
    </row>
    <row r="12" customFormat="false" ht="15" hidden="false" customHeight="false" outlineLevel="0" collapsed="false">
      <c r="A12" s="19"/>
      <c r="B12" s="20"/>
      <c r="C12" s="21" t="str">
        <f aca="false">IF(A12="","",COUNT(Takip!$J$6:$J$371))</f>
        <v/>
      </c>
      <c r="D12" s="21" t="str">
        <f aca="true">IF(A12="","",SUMPRODUCT((Takip!$S$6:$S$371=MONTH(TODAY()))*(Takip!$R$6:$R$371&lt;=TODAY())*(Takip!$J$6:$J$371&lt;&gt;"")))</f>
        <v/>
      </c>
      <c r="E12" s="22" t="str">
        <f aca="true">IF(A12="","",SUMPRODUCT((Takip!$R$6:$R$371&gt;=TODAY()-WEEKDAY(TODAY(),2)+1)*(Takip!$R$6:$R$371&lt;=TODAY())*(Takip!$J$6:$J$371&lt;&gt;""))&amp;" / "&amp;B12)</f>
        <v/>
      </c>
      <c r="F12" s="23" t="str">
        <f aca="true">IF(A12="","",SUMPRODUCT((Takip!$R$6:$R$371&gt;TODAY()-30)*(Takip!$R$6:$R$371&lt;=TODAY())*(Takip!$J$6:$J$371&lt;&gt;""))/30)</f>
        <v/>
      </c>
      <c r="G12" s="24" t="str">
        <f aca="true">IF(A12="","",IFERROR(IF(INDEX(Takip!$J$6:$J$371,MATCH(TODAY(),Takip!$R$6:$R$371,0))&lt;&gt;"",INDEX(Seri!$J$6:$J$371,MATCH(TODAY(),Takip!$R$6:$R$371,0)),IF(MATCH(TODAY(),Takip!$R$6:$R$371,0)=1,0,INDEX(Seri!$J$6:$J$371,MATCH(TODAY(),Takip!$R$6:$R$371,0)-1))),0))</f>
        <v/>
      </c>
      <c r="H12" s="21" t="str">
        <f aca="false">IF(A12="","",MAX(Seri!$J$6:$J$371))</f>
        <v/>
      </c>
    </row>
    <row r="13" customFormat="false" ht="15" hidden="false" customHeight="false" outlineLevel="0" collapsed="false">
      <c r="A13" s="19"/>
      <c r="B13" s="20"/>
      <c r="C13" s="21" t="str">
        <f aca="false">IF(A13="","",COUNT(Takip!$K$6:$K$371))</f>
        <v/>
      </c>
      <c r="D13" s="21" t="str">
        <f aca="true">IF(A13="","",SUMPRODUCT((Takip!$S$6:$S$371=MONTH(TODAY()))*(Takip!$R$6:$R$371&lt;=TODAY())*(Takip!$K$6:$K$371&lt;&gt;"")))</f>
        <v/>
      </c>
      <c r="E13" s="22" t="str">
        <f aca="true">IF(A13="","",SUMPRODUCT((Takip!$R$6:$R$371&gt;=TODAY()-WEEKDAY(TODAY(),2)+1)*(Takip!$R$6:$R$371&lt;=TODAY())*(Takip!$K$6:$K$371&lt;&gt;""))&amp;" / "&amp;B13)</f>
        <v/>
      </c>
      <c r="F13" s="23" t="str">
        <f aca="true">IF(A13="","",SUMPRODUCT((Takip!$R$6:$R$371&gt;TODAY()-30)*(Takip!$R$6:$R$371&lt;=TODAY())*(Takip!$K$6:$K$371&lt;&gt;""))/30)</f>
        <v/>
      </c>
      <c r="G13" s="24" t="str">
        <f aca="true">IF(A13="","",IFERROR(IF(INDEX(Takip!$K$6:$K$371,MATCH(TODAY(),Takip!$R$6:$R$371,0))&lt;&gt;"",INDEX(Seri!$K$6:$K$371,MATCH(TODAY(),Takip!$R$6:$R$371,0)),IF(MATCH(TODAY(),Takip!$R$6:$R$371,0)=1,0,INDEX(Seri!$K$6:$K$371,MATCH(TODAY(),Takip!$R$6:$R$371,0)-1))),0))</f>
        <v/>
      </c>
      <c r="H13" s="21" t="str">
        <f aca="false">IF(A13="","",MAX(Seri!$K$6:$K$371))</f>
        <v/>
      </c>
    </row>
    <row r="14" customFormat="false" ht="15" hidden="false" customHeight="false" outlineLevel="0" collapsed="false">
      <c r="A14" s="19"/>
      <c r="B14" s="20"/>
      <c r="C14" s="21" t="str">
        <f aca="false">IF(A14="","",COUNT(Takip!$L$6:$L$371))</f>
        <v/>
      </c>
      <c r="D14" s="21" t="str">
        <f aca="true">IF(A14="","",SUMPRODUCT((Takip!$S$6:$S$371=MONTH(TODAY()))*(Takip!$R$6:$R$371&lt;=TODAY())*(Takip!$L$6:$L$371&lt;&gt;"")))</f>
        <v/>
      </c>
      <c r="E14" s="22" t="str">
        <f aca="true">IF(A14="","",SUMPRODUCT((Takip!$R$6:$R$371&gt;=TODAY()-WEEKDAY(TODAY(),2)+1)*(Takip!$R$6:$R$371&lt;=TODAY())*(Takip!$L$6:$L$371&lt;&gt;""))&amp;" / "&amp;B14)</f>
        <v/>
      </c>
      <c r="F14" s="23" t="str">
        <f aca="true">IF(A14="","",SUMPRODUCT((Takip!$R$6:$R$371&gt;TODAY()-30)*(Takip!$R$6:$R$371&lt;=TODAY())*(Takip!$L$6:$L$371&lt;&gt;""))/30)</f>
        <v/>
      </c>
      <c r="G14" s="24" t="str">
        <f aca="true">IF(A14="","",IFERROR(IF(INDEX(Takip!$L$6:$L$371,MATCH(TODAY(),Takip!$R$6:$R$371,0))&lt;&gt;"",INDEX(Seri!$L$6:$L$371,MATCH(TODAY(),Takip!$R$6:$R$371,0)),IF(MATCH(TODAY(),Takip!$R$6:$R$371,0)=1,0,INDEX(Seri!$L$6:$L$371,MATCH(TODAY(),Takip!$R$6:$R$371,0)-1))),0))</f>
        <v/>
      </c>
      <c r="H14" s="21" t="str">
        <f aca="false">IF(A14="","",MAX(Seri!$L$6:$L$371))</f>
        <v/>
      </c>
    </row>
    <row r="15" customFormat="false" ht="15" hidden="false" customHeight="false" outlineLevel="0" collapsed="false">
      <c r="A15" s="19"/>
      <c r="B15" s="20"/>
      <c r="C15" s="21" t="str">
        <f aca="false">IF(A15="","",COUNT(Takip!$M$6:$M$371))</f>
        <v/>
      </c>
      <c r="D15" s="21" t="str">
        <f aca="true">IF(A15="","",SUMPRODUCT((Takip!$S$6:$S$371=MONTH(TODAY()))*(Takip!$R$6:$R$371&lt;=TODAY())*(Takip!$M$6:$M$371&lt;&gt;"")))</f>
        <v/>
      </c>
      <c r="E15" s="22" t="str">
        <f aca="true">IF(A15="","",SUMPRODUCT((Takip!$R$6:$R$371&gt;=TODAY()-WEEKDAY(TODAY(),2)+1)*(Takip!$R$6:$R$371&lt;=TODAY())*(Takip!$M$6:$M$371&lt;&gt;""))&amp;" / "&amp;B15)</f>
        <v/>
      </c>
      <c r="F15" s="23" t="str">
        <f aca="true">IF(A15="","",SUMPRODUCT((Takip!$R$6:$R$371&gt;TODAY()-30)*(Takip!$R$6:$R$371&lt;=TODAY())*(Takip!$M$6:$M$371&lt;&gt;""))/30)</f>
        <v/>
      </c>
      <c r="G15" s="24" t="str">
        <f aca="true">IF(A15="","",IFERROR(IF(INDEX(Takip!$M$6:$M$371,MATCH(TODAY(),Takip!$R$6:$R$371,0))&lt;&gt;"",INDEX(Seri!$M$6:$M$371,MATCH(TODAY(),Takip!$R$6:$R$371,0)),IF(MATCH(TODAY(),Takip!$R$6:$R$371,0)=1,0,INDEX(Seri!$M$6:$M$371,MATCH(TODAY(),Takip!$R$6:$R$371,0)-1))),0))</f>
        <v/>
      </c>
      <c r="H15" s="21" t="str">
        <f aca="false">IF(A15="","",MAX(Seri!$M$6:$M$371))</f>
        <v/>
      </c>
    </row>
    <row r="16" customFormat="false" ht="15" hidden="false" customHeight="false" outlineLevel="0" collapsed="false">
      <c r="A16" s="19"/>
      <c r="B16" s="20"/>
      <c r="C16" s="21" t="str">
        <f aca="false">IF(A16="","",COUNT(Takip!$N$6:$N$371))</f>
        <v/>
      </c>
      <c r="D16" s="21" t="str">
        <f aca="true">IF(A16="","",SUMPRODUCT((Takip!$S$6:$S$371=MONTH(TODAY()))*(Takip!$R$6:$R$371&lt;=TODAY())*(Takip!$N$6:$N$371&lt;&gt;"")))</f>
        <v/>
      </c>
      <c r="E16" s="22" t="str">
        <f aca="true">IF(A16="","",SUMPRODUCT((Takip!$R$6:$R$371&gt;=TODAY()-WEEKDAY(TODAY(),2)+1)*(Takip!$R$6:$R$371&lt;=TODAY())*(Takip!$N$6:$N$371&lt;&gt;""))&amp;" / "&amp;B16)</f>
        <v/>
      </c>
      <c r="F16" s="23" t="str">
        <f aca="true">IF(A16="","",SUMPRODUCT((Takip!$R$6:$R$371&gt;TODAY()-30)*(Takip!$R$6:$R$371&lt;=TODAY())*(Takip!$N$6:$N$371&lt;&gt;""))/30)</f>
        <v/>
      </c>
      <c r="G16" s="24" t="str">
        <f aca="true">IF(A16="","",IFERROR(IF(INDEX(Takip!$N$6:$N$371,MATCH(TODAY(),Takip!$R$6:$R$371,0))&lt;&gt;"",INDEX(Seri!$N$6:$N$371,MATCH(TODAY(),Takip!$R$6:$R$371,0)),IF(MATCH(TODAY(),Takip!$R$6:$R$371,0)=1,0,INDEX(Seri!$N$6:$N$371,MATCH(TODAY(),Takip!$R$6:$R$371,0)-1))),0))</f>
        <v/>
      </c>
      <c r="H16" s="21" t="str">
        <f aca="false">IF(A16="","",MAX(Seri!$N$6:$N$371))</f>
        <v/>
      </c>
    </row>
    <row r="17" customFormat="false" ht="15" hidden="false" customHeight="false" outlineLevel="0" collapsed="false">
      <c r="A17" s="19"/>
      <c r="B17" s="20"/>
      <c r="C17" s="21" t="str">
        <f aca="false">IF(A17="","",COUNT(Takip!$O$6:$O$371))</f>
        <v/>
      </c>
      <c r="D17" s="21" t="str">
        <f aca="true">IF(A17="","",SUMPRODUCT((Takip!$S$6:$S$371=MONTH(TODAY()))*(Takip!$R$6:$R$371&lt;=TODAY())*(Takip!$O$6:$O$371&lt;&gt;"")))</f>
        <v/>
      </c>
      <c r="E17" s="22" t="str">
        <f aca="true">IF(A17="","",SUMPRODUCT((Takip!$R$6:$R$371&gt;=TODAY()-WEEKDAY(TODAY(),2)+1)*(Takip!$R$6:$R$371&lt;=TODAY())*(Takip!$O$6:$O$371&lt;&gt;""))&amp;" / "&amp;B17)</f>
        <v/>
      </c>
      <c r="F17" s="23" t="str">
        <f aca="true">IF(A17="","",SUMPRODUCT((Takip!$R$6:$R$371&gt;TODAY()-30)*(Takip!$R$6:$R$371&lt;=TODAY())*(Takip!$O$6:$O$371&lt;&gt;""))/30)</f>
        <v/>
      </c>
      <c r="G17" s="24" t="str">
        <f aca="true">IF(A17="","",IFERROR(IF(INDEX(Takip!$O$6:$O$371,MATCH(TODAY(),Takip!$R$6:$R$371,0))&lt;&gt;"",INDEX(Seri!$O$6:$O$371,MATCH(TODAY(),Takip!$R$6:$R$371,0)),IF(MATCH(TODAY(),Takip!$R$6:$R$371,0)=1,0,INDEX(Seri!$O$6:$O$371,MATCH(TODAY(),Takip!$R$6:$R$371,0)-1))),0))</f>
        <v/>
      </c>
      <c r="H17" s="21" t="str">
        <f aca="false">IF(A17="","",MAX(Seri!$O$6:$O$371))</f>
        <v/>
      </c>
    </row>
    <row r="18" customFormat="false" ht="15" hidden="false" customHeight="false" outlineLevel="0" collapsed="false">
      <c r="A18" s="19"/>
      <c r="B18" s="20"/>
      <c r="C18" s="21" t="str">
        <f aca="false">IF(A18="","",COUNT(Takip!$P$6:$P$371))</f>
        <v/>
      </c>
      <c r="D18" s="21" t="str">
        <f aca="true">IF(A18="","",SUMPRODUCT((Takip!$S$6:$S$371=MONTH(TODAY()))*(Takip!$R$6:$R$371&lt;=TODAY())*(Takip!$P$6:$P$371&lt;&gt;"")))</f>
        <v/>
      </c>
      <c r="E18" s="22" t="str">
        <f aca="true">IF(A18="","",SUMPRODUCT((Takip!$R$6:$R$371&gt;=TODAY()-WEEKDAY(TODAY(),2)+1)*(Takip!$R$6:$R$371&lt;=TODAY())*(Takip!$P$6:$P$371&lt;&gt;""))&amp;" / "&amp;B18)</f>
        <v/>
      </c>
      <c r="F18" s="23" t="str">
        <f aca="true">IF(A18="","",SUMPRODUCT((Takip!$R$6:$R$371&gt;TODAY()-30)*(Takip!$R$6:$R$371&lt;=TODAY())*(Takip!$P$6:$P$371&lt;&gt;""))/30)</f>
        <v/>
      </c>
      <c r="G18" s="24" t="str">
        <f aca="true">IF(A18="","",IFERROR(IF(INDEX(Takip!$P$6:$P$371,MATCH(TODAY(),Takip!$R$6:$R$371,0))&lt;&gt;"",INDEX(Seri!$P$6:$P$371,MATCH(TODAY(),Takip!$R$6:$R$371,0)),IF(MATCH(TODAY(),Takip!$R$6:$R$371,0)=1,0,INDEX(Seri!$P$6:$P$371,MATCH(TODAY(),Takip!$R$6:$R$371,0)-1))),0))</f>
        <v/>
      </c>
      <c r="H18" s="21" t="str">
        <f aca="false">IF(A18="","",MAX(Seri!$P$6:$P$371))</f>
        <v/>
      </c>
    </row>
    <row r="19" customFormat="false" ht="15" hidden="false" customHeight="false" outlineLevel="0" collapsed="false">
      <c r="A19" s="19"/>
      <c r="B19" s="20"/>
      <c r="C19" s="21" t="str">
        <f aca="false">IF(A19="","",COUNT(Takip!$Q$6:$Q$371))</f>
        <v/>
      </c>
      <c r="D19" s="21" t="str">
        <f aca="true">IF(A19="","",SUMPRODUCT((Takip!$S$6:$S$371=MONTH(TODAY()))*(Takip!$R$6:$R$371&lt;=TODAY())*(Takip!$Q$6:$Q$371&lt;&gt;"")))</f>
        <v/>
      </c>
      <c r="E19" s="22" t="str">
        <f aca="true">IF(A19="","",SUMPRODUCT((Takip!$R$6:$R$371&gt;=TODAY()-WEEKDAY(TODAY(),2)+1)*(Takip!$R$6:$R$371&lt;=TODAY())*(Takip!$Q$6:$Q$371&lt;&gt;""))&amp;" / "&amp;B19)</f>
        <v/>
      </c>
      <c r="F19" s="23" t="str">
        <f aca="true">IF(A19="","",SUMPRODUCT((Takip!$R$6:$R$371&gt;TODAY()-30)*(Takip!$R$6:$R$371&lt;=TODAY())*(Takip!$Q$6:$Q$371&lt;&gt;""))/30)</f>
        <v/>
      </c>
      <c r="G19" s="24" t="str">
        <f aca="true">IF(A19="","",IFERROR(IF(INDEX(Takip!$Q$6:$Q$371,MATCH(TODAY(),Takip!$R$6:$R$371,0))&lt;&gt;"",INDEX(Seri!$Q$6:$Q$371,MATCH(TODAY(),Takip!$R$6:$R$371,0)),IF(MATCH(TODAY(),Takip!$R$6:$R$371,0)=1,0,INDEX(Seri!$Q$6:$Q$371,MATCH(TODAY(),Takip!$R$6:$R$371,0)-1))),0))</f>
        <v/>
      </c>
      <c r="H19" s="21" t="str">
        <f aca="false">IF(A19="","",MAX(Seri!$Q$6:$Q$371))</f>
        <v/>
      </c>
    </row>
  </sheetData>
  <dataValidations count="1">
    <dataValidation allowBlank="true" error="1 ile 7 arasında bir tam sayı gir." errorStyle="stop" errorTitle="Kontrol" operator="between" showDropDown="false" showErrorMessage="true" showInputMessage="false" sqref="B5:B19" type="whole">
      <formula1>1</formula1>
      <formula2>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9"/>
    <col collapsed="false" customWidth="true" hidden="false" outlineLevel="0" max="14" min="14" style="0" width="10"/>
  </cols>
  <sheetData>
    <row r="1" customFormat="false" ht="19.7" hidden="false" customHeight="false" outlineLevel="0" collapsed="false">
      <c r="A1" s="8" t="s">
        <v>46</v>
      </c>
    </row>
    <row r="2" customFormat="false" ht="15" hidden="false" customHeight="false" outlineLevel="0" collapsed="false">
      <c r="A2" s="9" t="s">
        <v>47</v>
      </c>
    </row>
    <row r="4" customFormat="false" ht="21.75" hidden="false" customHeight="true" outlineLevel="0" collapsed="false">
      <c r="A4" s="10" t="s">
        <v>34</v>
      </c>
      <c r="B4" s="10" t="s">
        <v>48</v>
      </c>
      <c r="C4" s="10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0" t="s">
        <v>55</v>
      </c>
      <c r="J4" s="10" t="s">
        <v>56</v>
      </c>
      <c r="K4" s="10" t="s">
        <v>57</v>
      </c>
      <c r="L4" s="10" t="s">
        <v>58</v>
      </c>
      <c r="M4" s="10" t="s">
        <v>59</v>
      </c>
      <c r="N4" s="10" t="s">
        <v>60</v>
      </c>
    </row>
    <row r="5" customFormat="false" ht="15" hidden="false" customHeight="false" outlineLevel="0" collapsed="false">
      <c r="A5" s="25" t="str">
        <f aca="false">IF(Alışkanlıklar!A5="","",Alışkanlıklar!A5)</f>
        <v>Yürüyüş (30 dk)</v>
      </c>
      <c r="B5" s="21" t="n">
        <f aca="false">IF($A5="","",SUMPRODUCT((Takip!$S$6:$S$371=1)*(Takip!$C$6:$C$371&lt;&gt;"")))</f>
        <v>0</v>
      </c>
      <c r="C5" s="21" t="n">
        <f aca="false">IF($A5="","",SUMPRODUCT((Takip!$S$6:$S$371=2)*(Takip!$C$6:$C$371&lt;&gt;"")))</f>
        <v>0</v>
      </c>
      <c r="D5" s="21" t="n">
        <f aca="false">IF($A5="","",SUMPRODUCT((Takip!$S$6:$S$371=3)*(Takip!$C$6:$C$371&lt;&gt;"")))</f>
        <v>0</v>
      </c>
      <c r="E5" s="21" t="n">
        <f aca="false">IF($A5="","",SUMPRODUCT((Takip!$S$6:$S$371=4)*(Takip!$C$6:$C$371&lt;&gt;"")))</f>
        <v>0</v>
      </c>
      <c r="F5" s="21" t="n">
        <f aca="false">IF($A5="","",SUMPRODUCT((Takip!$S$6:$S$371=5)*(Takip!$C$6:$C$371&lt;&gt;"")))</f>
        <v>0</v>
      </c>
      <c r="G5" s="21" t="n">
        <f aca="false">IF($A5="","",SUMPRODUCT((Takip!$S$6:$S$371=6)*(Takip!$C$6:$C$371&lt;&gt;"")))</f>
        <v>0</v>
      </c>
      <c r="H5" s="21" t="n">
        <f aca="false">IF($A5="","",SUMPRODUCT((Takip!$S$6:$S$371=7)*(Takip!$C$6:$C$371&lt;&gt;"")))</f>
        <v>0</v>
      </c>
      <c r="I5" s="21" t="n">
        <f aca="false">IF($A5="","",SUMPRODUCT((Takip!$S$6:$S$371=8)*(Takip!$C$6:$C$371&lt;&gt;"")))</f>
        <v>0</v>
      </c>
      <c r="J5" s="21" t="n">
        <f aca="false">IF($A5="","",SUMPRODUCT((Takip!$S$6:$S$371=9)*(Takip!$C$6:$C$371&lt;&gt;"")))</f>
        <v>21</v>
      </c>
      <c r="K5" s="21" t="n">
        <f aca="false">IF($A5="","",SUMPRODUCT((Takip!$S$6:$S$371=10)*(Takip!$C$6:$C$371&lt;&gt;"")))</f>
        <v>3</v>
      </c>
      <c r="L5" s="21" t="n">
        <f aca="false">IF($A5="","",SUMPRODUCT((Takip!$S$6:$S$371=11)*(Takip!$C$6:$C$371&lt;&gt;"")))</f>
        <v>0</v>
      </c>
      <c r="M5" s="21" t="n">
        <f aca="false">IF($A5="","",SUMPRODUCT((Takip!$S$6:$S$371=12)*(Takip!$C$6:$C$371&lt;&gt;"")))</f>
        <v>0</v>
      </c>
      <c r="N5" s="21" t="n">
        <f aca="false">IF(A5="","",SUM(B5:M5))</f>
        <v>24</v>
      </c>
    </row>
    <row r="6" customFormat="false" ht="15" hidden="false" customHeight="false" outlineLevel="0" collapsed="false">
      <c r="A6" s="26" t="str">
        <f aca="false">IF(Alışkanlıklar!A6="","",Alışkanlıklar!A6)</f>
        <v>Kitap okuma (20 sayfa)</v>
      </c>
      <c r="B6" s="27" t="n">
        <f aca="false">IF($A6="","",SUMPRODUCT((Takip!$S$6:$S$371=1)*(Takip!$D$6:$D$371&lt;&gt;"")))</f>
        <v>0</v>
      </c>
      <c r="C6" s="27" t="n">
        <f aca="false">IF($A6="","",SUMPRODUCT((Takip!$S$6:$S$371=2)*(Takip!$D$6:$D$371&lt;&gt;"")))</f>
        <v>0</v>
      </c>
      <c r="D6" s="27" t="n">
        <f aca="false">IF($A6="","",SUMPRODUCT((Takip!$S$6:$S$371=3)*(Takip!$D$6:$D$371&lt;&gt;"")))</f>
        <v>0</v>
      </c>
      <c r="E6" s="27" t="n">
        <f aca="false">IF($A6="","",SUMPRODUCT((Takip!$S$6:$S$371=4)*(Takip!$D$6:$D$371&lt;&gt;"")))</f>
        <v>0</v>
      </c>
      <c r="F6" s="27" t="n">
        <f aca="false">IF($A6="","",SUMPRODUCT((Takip!$S$6:$S$371=5)*(Takip!$D$6:$D$371&lt;&gt;"")))</f>
        <v>0</v>
      </c>
      <c r="G6" s="27" t="n">
        <f aca="false">IF($A6="","",SUMPRODUCT((Takip!$S$6:$S$371=6)*(Takip!$D$6:$D$371&lt;&gt;"")))</f>
        <v>0</v>
      </c>
      <c r="H6" s="27" t="n">
        <f aca="false">IF($A6="","",SUMPRODUCT((Takip!$S$6:$S$371=7)*(Takip!$D$6:$D$371&lt;&gt;"")))</f>
        <v>0</v>
      </c>
      <c r="I6" s="27" t="n">
        <f aca="false">IF($A6="","",SUMPRODUCT((Takip!$S$6:$S$371=8)*(Takip!$D$6:$D$371&lt;&gt;"")))</f>
        <v>0</v>
      </c>
      <c r="J6" s="27" t="n">
        <f aca="false">IF($A6="","",SUMPRODUCT((Takip!$S$6:$S$371=9)*(Takip!$D$6:$D$371&lt;&gt;"")))</f>
        <v>24</v>
      </c>
      <c r="K6" s="27" t="n">
        <f aca="false">IF($A6="","",SUMPRODUCT((Takip!$S$6:$S$371=10)*(Takip!$D$6:$D$371&lt;&gt;"")))</f>
        <v>4</v>
      </c>
      <c r="L6" s="27" t="n">
        <f aca="false">IF($A6="","",SUMPRODUCT((Takip!$S$6:$S$371=11)*(Takip!$D$6:$D$371&lt;&gt;"")))</f>
        <v>0</v>
      </c>
      <c r="M6" s="27" t="n">
        <f aca="false">IF($A6="","",SUMPRODUCT((Takip!$S$6:$S$371=12)*(Takip!$D$6:$D$371&lt;&gt;"")))</f>
        <v>0</v>
      </c>
      <c r="N6" s="27" t="n">
        <f aca="false">IF(A6="","",SUM(B6:M6))</f>
        <v>28</v>
      </c>
    </row>
    <row r="7" customFormat="false" ht="15" hidden="false" customHeight="false" outlineLevel="0" collapsed="false">
      <c r="A7" s="25" t="str">
        <f aca="false">IF(Alışkanlıklar!A7="","",Alışkanlıklar!A7)</f>
        <v>İngilizce çalışma</v>
      </c>
      <c r="B7" s="21" t="n">
        <f aca="false">IF($A7="","",SUMPRODUCT((Takip!$S$6:$S$371=1)*(Takip!$E$6:$E$371&lt;&gt;"")))</f>
        <v>0</v>
      </c>
      <c r="C7" s="21" t="n">
        <f aca="false">IF($A7="","",SUMPRODUCT((Takip!$S$6:$S$371=2)*(Takip!$E$6:$E$371&lt;&gt;"")))</f>
        <v>0</v>
      </c>
      <c r="D7" s="21" t="n">
        <f aca="false">IF($A7="","",SUMPRODUCT((Takip!$S$6:$S$371=3)*(Takip!$E$6:$E$371&lt;&gt;"")))</f>
        <v>0</v>
      </c>
      <c r="E7" s="21" t="n">
        <f aca="false">IF($A7="","",SUMPRODUCT((Takip!$S$6:$S$371=4)*(Takip!$E$6:$E$371&lt;&gt;"")))</f>
        <v>0</v>
      </c>
      <c r="F7" s="21" t="n">
        <f aca="false">IF($A7="","",SUMPRODUCT((Takip!$S$6:$S$371=5)*(Takip!$E$6:$E$371&lt;&gt;"")))</f>
        <v>0</v>
      </c>
      <c r="G7" s="21" t="n">
        <f aca="false">IF($A7="","",SUMPRODUCT((Takip!$S$6:$S$371=6)*(Takip!$E$6:$E$371&lt;&gt;"")))</f>
        <v>0</v>
      </c>
      <c r="H7" s="21" t="n">
        <f aca="false">IF($A7="","",SUMPRODUCT((Takip!$S$6:$S$371=7)*(Takip!$E$6:$E$371&lt;&gt;"")))</f>
        <v>0</v>
      </c>
      <c r="I7" s="21" t="n">
        <f aca="false">IF($A7="","",SUMPRODUCT((Takip!$S$6:$S$371=8)*(Takip!$E$6:$E$371&lt;&gt;"")))</f>
        <v>0</v>
      </c>
      <c r="J7" s="21" t="n">
        <f aca="false">IF($A7="","",SUMPRODUCT((Takip!$S$6:$S$371=9)*(Takip!$E$6:$E$371&lt;&gt;"")))</f>
        <v>11</v>
      </c>
      <c r="K7" s="21" t="n">
        <f aca="false">IF($A7="","",SUMPRODUCT((Takip!$S$6:$S$371=10)*(Takip!$E$6:$E$371&lt;&gt;"")))</f>
        <v>1</v>
      </c>
      <c r="L7" s="21" t="n">
        <f aca="false">IF($A7="","",SUMPRODUCT((Takip!$S$6:$S$371=11)*(Takip!$E$6:$E$371&lt;&gt;"")))</f>
        <v>0</v>
      </c>
      <c r="M7" s="21" t="n">
        <f aca="false">IF($A7="","",SUMPRODUCT((Takip!$S$6:$S$371=12)*(Takip!$E$6:$E$371&lt;&gt;"")))</f>
        <v>0</v>
      </c>
      <c r="N7" s="21" t="n">
        <f aca="false">IF(A7="","",SUM(B7:M7))</f>
        <v>12</v>
      </c>
    </row>
    <row r="8" customFormat="false" ht="15" hidden="false" customHeight="false" outlineLevel="0" collapsed="false">
      <c r="A8" s="26" t="str">
        <f aca="false">IF(Alışkanlıklar!A8="","",Alışkanlıklar!A8)</f>
        <v>Su (2 litre)</v>
      </c>
      <c r="B8" s="27" t="n">
        <f aca="false">IF($A8="","",SUMPRODUCT((Takip!$S$6:$S$371=1)*(Takip!$F$6:$F$371&lt;&gt;"")))</f>
        <v>0</v>
      </c>
      <c r="C8" s="27" t="n">
        <f aca="false">IF($A8="","",SUMPRODUCT((Takip!$S$6:$S$371=2)*(Takip!$F$6:$F$371&lt;&gt;"")))</f>
        <v>0</v>
      </c>
      <c r="D8" s="27" t="n">
        <f aca="false">IF($A8="","",SUMPRODUCT((Takip!$S$6:$S$371=3)*(Takip!$F$6:$F$371&lt;&gt;"")))</f>
        <v>0</v>
      </c>
      <c r="E8" s="27" t="n">
        <f aca="false">IF($A8="","",SUMPRODUCT((Takip!$S$6:$S$371=4)*(Takip!$F$6:$F$371&lt;&gt;"")))</f>
        <v>0</v>
      </c>
      <c r="F8" s="27" t="n">
        <f aca="false">IF($A8="","",SUMPRODUCT((Takip!$S$6:$S$371=5)*(Takip!$F$6:$F$371&lt;&gt;"")))</f>
        <v>0</v>
      </c>
      <c r="G8" s="27" t="n">
        <f aca="false">IF($A8="","",SUMPRODUCT((Takip!$S$6:$S$371=6)*(Takip!$F$6:$F$371&lt;&gt;"")))</f>
        <v>0</v>
      </c>
      <c r="H8" s="27" t="n">
        <f aca="false">IF($A8="","",SUMPRODUCT((Takip!$S$6:$S$371=7)*(Takip!$F$6:$F$371&lt;&gt;"")))</f>
        <v>0</v>
      </c>
      <c r="I8" s="27" t="n">
        <f aca="false">IF($A8="","",SUMPRODUCT((Takip!$S$6:$S$371=8)*(Takip!$F$6:$F$371&lt;&gt;"")))</f>
        <v>0</v>
      </c>
      <c r="J8" s="27" t="n">
        <f aca="false">IF($A8="","",SUMPRODUCT((Takip!$S$6:$S$371=9)*(Takip!$F$6:$F$371&lt;&gt;"")))</f>
        <v>16</v>
      </c>
      <c r="K8" s="27" t="n">
        <f aca="false">IF($A8="","",SUMPRODUCT((Takip!$S$6:$S$371=10)*(Takip!$F$6:$F$371&lt;&gt;"")))</f>
        <v>2</v>
      </c>
      <c r="L8" s="27" t="n">
        <f aca="false">IF($A8="","",SUMPRODUCT((Takip!$S$6:$S$371=11)*(Takip!$F$6:$F$371&lt;&gt;"")))</f>
        <v>0</v>
      </c>
      <c r="M8" s="27" t="n">
        <f aca="false">IF($A8="","",SUMPRODUCT((Takip!$S$6:$S$371=12)*(Takip!$F$6:$F$371&lt;&gt;"")))</f>
        <v>0</v>
      </c>
      <c r="N8" s="27" t="n">
        <f aca="false">IF(A8="","",SUM(B8:M8))</f>
        <v>18</v>
      </c>
    </row>
    <row r="9" customFormat="false" ht="15" hidden="false" customHeight="false" outlineLevel="0" collapsed="false">
      <c r="A9" s="25" t="str">
        <f aca="false">IF(Alışkanlıklar!A9="","",Alışkanlıklar!A9)</f>
        <v/>
      </c>
      <c r="B9" s="21" t="str">
        <f aca="false">IF($A9="","",SUMPRODUCT((Takip!$S$6:$S$371=1)*(Takip!$G$6:$G$371&lt;&gt;"")))</f>
        <v/>
      </c>
      <c r="C9" s="21" t="str">
        <f aca="false">IF($A9="","",SUMPRODUCT((Takip!$S$6:$S$371=2)*(Takip!$G$6:$G$371&lt;&gt;"")))</f>
        <v/>
      </c>
      <c r="D9" s="21" t="str">
        <f aca="false">IF($A9="","",SUMPRODUCT((Takip!$S$6:$S$371=3)*(Takip!$G$6:$G$371&lt;&gt;"")))</f>
        <v/>
      </c>
      <c r="E9" s="21" t="str">
        <f aca="false">IF($A9="","",SUMPRODUCT((Takip!$S$6:$S$371=4)*(Takip!$G$6:$G$371&lt;&gt;"")))</f>
        <v/>
      </c>
      <c r="F9" s="21" t="str">
        <f aca="false">IF($A9="","",SUMPRODUCT((Takip!$S$6:$S$371=5)*(Takip!$G$6:$G$371&lt;&gt;"")))</f>
        <v/>
      </c>
      <c r="G9" s="21" t="str">
        <f aca="false">IF($A9="","",SUMPRODUCT((Takip!$S$6:$S$371=6)*(Takip!$G$6:$G$371&lt;&gt;"")))</f>
        <v/>
      </c>
      <c r="H9" s="21" t="str">
        <f aca="false">IF($A9="","",SUMPRODUCT((Takip!$S$6:$S$371=7)*(Takip!$G$6:$G$371&lt;&gt;"")))</f>
        <v/>
      </c>
      <c r="I9" s="21" t="str">
        <f aca="false">IF($A9="","",SUMPRODUCT((Takip!$S$6:$S$371=8)*(Takip!$G$6:$G$371&lt;&gt;"")))</f>
        <v/>
      </c>
      <c r="J9" s="21" t="str">
        <f aca="false">IF($A9="","",SUMPRODUCT((Takip!$S$6:$S$371=9)*(Takip!$G$6:$G$371&lt;&gt;"")))</f>
        <v/>
      </c>
      <c r="K9" s="21" t="str">
        <f aca="false">IF($A9="","",SUMPRODUCT((Takip!$S$6:$S$371=10)*(Takip!$G$6:$G$371&lt;&gt;"")))</f>
        <v/>
      </c>
      <c r="L9" s="21" t="str">
        <f aca="false">IF($A9="","",SUMPRODUCT((Takip!$S$6:$S$371=11)*(Takip!$G$6:$G$371&lt;&gt;"")))</f>
        <v/>
      </c>
      <c r="M9" s="21" t="str">
        <f aca="false">IF($A9="","",SUMPRODUCT((Takip!$S$6:$S$371=12)*(Takip!$G$6:$G$371&lt;&gt;"")))</f>
        <v/>
      </c>
      <c r="N9" s="21" t="str">
        <f aca="false">IF(A9="","",SUM(B9:M9))</f>
        <v/>
      </c>
    </row>
    <row r="10" customFormat="false" ht="15" hidden="false" customHeight="false" outlineLevel="0" collapsed="false">
      <c r="A10" s="26" t="str">
        <f aca="false">IF(Alışkanlıklar!A10="","",Alışkanlıklar!A10)</f>
        <v/>
      </c>
      <c r="B10" s="27" t="str">
        <f aca="false">IF($A10="","",SUMPRODUCT((Takip!$S$6:$S$371=1)*(Takip!$H$6:$H$371&lt;&gt;"")))</f>
        <v/>
      </c>
      <c r="C10" s="27" t="str">
        <f aca="false">IF($A10="","",SUMPRODUCT((Takip!$S$6:$S$371=2)*(Takip!$H$6:$H$371&lt;&gt;"")))</f>
        <v/>
      </c>
      <c r="D10" s="27" t="str">
        <f aca="false">IF($A10="","",SUMPRODUCT((Takip!$S$6:$S$371=3)*(Takip!$H$6:$H$371&lt;&gt;"")))</f>
        <v/>
      </c>
      <c r="E10" s="27" t="str">
        <f aca="false">IF($A10="","",SUMPRODUCT((Takip!$S$6:$S$371=4)*(Takip!$H$6:$H$371&lt;&gt;"")))</f>
        <v/>
      </c>
      <c r="F10" s="27" t="str">
        <f aca="false">IF($A10="","",SUMPRODUCT((Takip!$S$6:$S$371=5)*(Takip!$H$6:$H$371&lt;&gt;"")))</f>
        <v/>
      </c>
      <c r="G10" s="27" t="str">
        <f aca="false">IF($A10="","",SUMPRODUCT((Takip!$S$6:$S$371=6)*(Takip!$H$6:$H$371&lt;&gt;"")))</f>
        <v/>
      </c>
      <c r="H10" s="27" t="str">
        <f aca="false">IF($A10="","",SUMPRODUCT((Takip!$S$6:$S$371=7)*(Takip!$H$6:$H$371&lt;&gt;"")))</f>
        <v/>
      </c>
      <c r="I10" s="27" t="str">
        <f aca="false">IF($A10="","",SUMPRODUCT((Takip!$S$6:$S$371=8)*(Takip!$H$6:$H$371&lt;&gt;"")))</f>
        <v/>
      </c>
      <c r="J10" s="27" t="str">
        <f aca="false">IF($A10="","",SUMPRODUCT((Takip!$S$6:$S$371=9)*(Takip!$H$6:$H$371&lt;&gt;"")))</f>
        <v/>
      </c>
      <c r="K10" s="27" t="str">
        <f aca="false">IF($A10="","",SUMPRODUCT((Takip!$S$6:$S$371=10)*(Takip!$H$6:$H$371&lt;&gt;"")))</f>
        <v/>
      </c>
      <c r="L10" s="27" t="str">
        <f aca="false">IF($A10="","",SUMPRODUCT((Takip!$S$6:$S$371=11)*(Takip!$H$6:$H$371&lt;&gt;"")))</f>
        <v/>
      </c>
      <c r="M10" s="27" t="str">
        <f aca="false">IF($A10="","",SUMPRODUCT((Takip!$S$6:$S$371=12)*(Takip!$H$6:$H$371&lt;&gt;"")))</f>
        <v/>
      </c>
      <c r="N10" s="27" t="str">
        <f aca="false">IF(A10="","",SUM(B10:M10))</f>
        <v/>
      </c>
    </row>
    <row r="11" customFormat="false" ht="15" hidden="false" customHeight="false" outlineLevel="0" collapsed="false">
      <c r="A11" s="25" t="str">
        <f aca="false">IF(Alışkanlıklar!A11="","",Alışkanlıklar!A11)</f>
        <v/>
      </c>
      <c r="B11" s="21" t="str">
        <f aca="false">IF($A11="","",SUMPRODUCT((Takip!$S$6:$S$371=1)*(Takip!$I$6:$I$371&lt;&gt;"")))</f>
        <v/>
      </c>
      <c r="C11" s="21" t="str">
        <f aca="false">IF($A11="","",SUMPRODUCT((Takip!$S$6:$S$371=2)*(Takip!$I$6:$I$371&lt;&gt;"")))</f>
        <v/>
      </c>
      <c r="D11" s="21" t="str">
        <f aca="false">IF($A11="","",SUMPRODUCT((Takip!$S$6:$S$371=3)*(Takip!$I$6:$I$371&lt;&gt;"")))</f>
        <v/>
      </c>
      <c r="E11" s="21" t="str">
        <f aca="false">IF($A11="","",SUMPRODUCT((Takip!$S$6:$S$371=4)*(Takip!$I$6:$I$371&lt;&gt;"")))</f>
        <v/>
      </c>
      <c r="F11" s="21" t="str">
        <f aca="false">IF($A11="","",SUMPRODUCT((Takip!$S$6:$S$371=5)*(Takip!$I$6:$I$371&lt;&gt;"")))</f>
        <v/>
      </c>
      <c r="G11" s="21" t="str">
        <f aca="false">IF($A11="","",SUMPRODUCT((Takip!$S$6:$S$371=6)*(Takip!$I$6:$I$371&lt;&gt;"")))</f>
        <v/>
      </c>
      <c r="H11" s="21" t="str">
        <f aca="false">IF($A11="","",SUMPRODUCT((Takip!$S$6:$S$371=7)*(Takip!$I$6:$I$371&lt;&gt;"")))</f>
        <v/>
      </c>
      <c r="I11" s="21" t="str">
        <f aca="false">IF($A11="","",SUMPRODUCT((Takip!$S$6:$S$371=8)*(Takip!$I$6:$I$371&lt;&gt;"")))</f>
        <v/>
      </c>
      <c r="J11" s="21" t="str">
        <f aca="false">IF($A11="","",SUMPRODUCT((Takip!$S$6:$S$371=9)*(Takip!$I$6:$I$371&lt;&gt;"")))</f>
        <v/>
      </c>
      <c r="K11" s="21" t="str">
        <f aca="false">IF($A11="","",SUMPRODUCT((Takip!$S$6:$S$371=10)*(Takip!$I$6:$I$371&lt;&gt;"")))</f>
        <v/>
      </c>
      <c r="L11" s="21" t="str">
        <f aca="false">IF($A11="","",SUMPRODUCT((Takip!$S$6:$S$371=11)*(Takip!$I$6:$I$371&lt;&gt;"")))</f>
        <v/>
      </c>
      <c r="M11" s="21" t="str">
        <f aca="false">IF($A11="","",SUMPRODUCT((Takip!$S$6:$S$371=12)*(Takip!$I$6:$I$371&lt;&gt;"")))</f>
        <v/>
      </c>
      <c r="N11" s="21" t="str">
        <f aca="false">IF(A11="","",SUM(B11:M11))</f>
        <v/>
      </c>
    </row>
    <row r="12" customFormat="false" ht="15" hidden="false" customHeight="false" outlineLevel="0" collapsed="false">
      <c r="A12" s="26" t="str">
        <f aca="false">IF(Alışkanlıklar!A12="","",Alışkanlıklar!A12)</f>
        <v/>
      </c>
      <c r="B12" s="27" t="str">
        <f aca="false">IF($A12="","",SUMPRODUCT((Takip!$S$6:$S$371=1)*(Takip!$J$6:$J$371&lt;&gt;"")))</f>
        <v/>
      </c>
      <c r="C12" s="27" t="str">
        <f aca="false">IF($A12="","",SUMPRODUCT((Takip!$S$6:$S$371=2)*(Takip!$J$6:$J$371&lt;&gt;"")))</f>
        <v/>
      </c>
      <c r="D12" s="27" t="str">
        <f aca="false">IF($A12="","",SUMPRODUCT((Takip!$S$6:$S$371=3)*(Takip!$J$6:$J$371&lt;&gt;"")))</f>
        <v/>
      </c>
      <c r="E12" s="27" t="str">
        <f aca="false">IF($A12="","",SUMPRODUCT((Takip!$S$6:$S$371=4)*(Takip!$J$6:$J$371&lt;&gt;"")))</f>
        <v/>
      </c>
      <c r="F12" s="27" t="str">
        <f aca="false">IF($A12="","",SUMPRODUCT((Takip!$S$6:$S$371=5)*(Takip!$J$6:$J$371&lt;&gt;"")))</f>
        <v/>
      </c>
      <c r="G12" s="27" t="str">
        <f aca="false">IF($A12="","",SUMPRODUCT((Takip!$S$6:$S$371=6)*(Takip!$J$6:$J$371&lt;&gt;"")))</f>
        <v/>
      </c>
      <c r="H12" s="27" t="str">
        <f aca="false">IF($A12="","",SUMPRODUCT((Takip!$S$6:$S$371=7)*(Takip!$J$6:$J$371&lt;&gt;"")))</f>
        <v/>
      </c>
      <c r="I12" s="27" t="str">
        <f aca="false">IF($A12="","",SUMPRODUCT((Takip!$S$6:$S$371=8)*(Takip!$J$6:$J$371&lt;&gt;"")))</f>
        <v/>
      </c>
      <c r="J12" s="27" t="str">
        <f aca="false">IF($A12="","",SUMPRODUCT((Takip!$S$6:$S$371=9)*(Takip!$J$6:$J$371&lt;&gt;"")))</f>
        <v/>
      </c>
      <c r="K12" s="27" t="str">
        <f aca="false">IF($A12="","",SUMPRODUCT((Takip!$S$6:$S$371=10)*(Takip!$J$6:$J$371&lt;&gt;"")))</f>
        <v/>
      </c>
      <c r="L12" s="27" t="str">
        <f aca="false">IF($A12="","",SUMPRODUCT((Takip!$S$6:$S$371=11)*(Takip!$J$6:$J$371&lt;&gt;"")))</f>
        <v/>
      </c>
      <c r="M12" s="27" t="str">
        <f aca="false">IF($A12="","",SUMPRODUCT((Takip!$S$6:$S$371=12)*(Takip!$J$6:$J$371&lt;&gt;"")))</f>
        <v/>
      </c>
      <c r="N12" s="27" t="str">
        <f aca="false">IF(A12="","",SUM(B12:M12))</f>
        <v/>
      </c>
    </row>
    <row r="13" customFormat="false" ht="15" hidden="false" customHeight="false" outlineLevel="0" collapsed="false">
      <c r="A13" s="25" t="str">
        <f aca="false">IF(Alışkanlıklar!A13="","",Alışkanlıklar!A13)</f>
        <v/>
      </c>
      <c r="B13" s="21" t="str">
        <f aca="false">IF($A13="","",SUMPRODUCT((Takip!$S$6:$S$371=1)*(Takip!$K$6:$K$371&lt;&gt;"")))</f>
        <v/>
      </c>
      <c r="C13" s="21" t="str">
        <f aca="false">IF($A13="","",SUMPRODUCT((Takip!$S$6:$S$371=2)*(Takip!$K$6:$K$371&lt;&gt;"")))</f>
        <v/>
      </c>
      <c r="D13" s="21" t="str">
        <f aca="false">IF($A13="","",SUMPRODUCT((Takip!$S$6:$S$371=3)*(Takip!$K$6:$K$371&lt;&gt;"")))</f>
        <v/>
      </c>
      <c r="E13" s="21" t="str">
        <f aca="false">IF($A13="","",SUMPRODUCT((Takip!$S$6:$S$371=4)*(Takip!$K$6:$K$371&lt;&gt;"")))</f>
        <v/>
      </c>
      <c r="F13" s="21" t="str">
        <f aca="false">IF($A13="","",SUMPRODUCT((Takip!$S$6:$S$371=5)*(Takip!$K$6:$K$371&lt;&gt;"")))</f>
        <v/>
      </c>
      <c r="G13" s="21" t="str">
        <f aca="false">IF($A13="","",SUMPRODUCT((Takip!$S$6:$S$371=6)*(Takip!$K$6:$K$371&lt;&gt;"")))</f>
        <v/>
      </c>
      <c r="H13" s="21" t="str">
        <f aca="false">IF($A13="","",SUMPRODUCT((Takip!$S$6:$S$371=7)*(Takip!$K$6:$K$371&lt;&gt;"")))</f>
        <v/>
      </c>
      <c r="I13" s="21" t="str">
        <f aca="false">IF($A13="","",SUMPRODUCT((Takip!$S$6:$S$371=8)*(Takip!$K$6:$K$371&lt;&gt;"")))</f>
        <v/>
      </c>
      <c r="J13" s="21" t="str">
        <f aca="false">IF($A13="","",SUMPRODUCT((Takip!$S$6:$S$371=9)*(Takip!$K$6:$K$371&lt;&gt;"")))</f>
        <v/>
      </c>
      <c r="K13" s="21" t="str">
        <f aca="false">IF($A13="","",SUMPRODUCT((Takip!$S$6:$S$371=10)*(Takip!$K$6:$K$371&lt;&gt;"")))</f>
        <v/>
      </c>
      <c r="L13" s="21" t="str">
        <f aca="false">IF($A13="","",SUMPRODUCT((Takip!$S$6:$S$371=11)*(Takip!$K$6:$K$371&lt;&gt;"")))</f>
        <v/>
      </c>
      <c r="M13" s="21" t="str">
        <f aca="false">IF($A13="","",SUMPRODUCT((Takip!$S$6:$S$371=12)*(Takip!$K$6:$K$371&lt;&gt;"")))</f>
        <v/>
      </c>
      <c r="N13" s="21" t="str">
        <f aca="false">IF(A13="","",SUM(B13:M13))</f>
        <v/>
      </c>
    </row>
    <row r="14" customFormat="false" ht="15" hidden="false" customHeight="false" outlineLevel="0" collapsed="false">
      <c r="A14" s="26" t="str">
        <f aca="false">IF(Alışkanlıklar!A14="","",Alışkanlıklar!A14)</f>
        <v/>
      </c>
      <c r="B14" s="27" t="str">
        <f aca="false">IF($A14="","",SUMPRODUCT((Takip!$S$6:$S$371=1)*(Takip!$L$6:$L$371&lt;&gt;"")))</f>
        <v/>
      </c>
      <c r="C14" s="27" t="str">
        <f aca="false">IF($A14="","",SUMPRODUCT((Takip!$S$6:$S$371=2)*(Takip!$L$6:$L$371&lt;&gt;"")))</f>
        <v/>
      </c>
      <c r="D14" s="27" t="str">
        <f aca="false">IF($A14="","",SUMPRODUCT((Takip!$S$6:$S$371=3)*(Takip!$L$6:$L$371&lt;&gt;"")))</f>
        <v/>
      </c>
      <c r="E14" s="27" t="str">
        <f aca="false">IF($A14="","",SUMPRODUCT((Takip!$S$6:$S$371=4)*(Takip!$L$6:$L$371&lt;&gt;"")))</f>
        <v/>
      </c>
      <c r="F14" s="27" t="str">
        <f aca="false">IF($A14="","",SUMPRODUCT((Takip!$S$6:$S$371=5)*(Takip!$L$6:$L$371&lt;&gt;"")))</f>
        <v/>
      </c>
      <c r="G14" s="27" t="str">
        <f aca="false">IF($A14="","",SUMPRODUCT((Takip!$S$6:$S$371=6)*(Takip!$L$6:$L$371&lt;&gt;"")))</f>
        <v/>
      </c>
      <c r="H14" s="27" t="str">
        <f aca="false">IF($A14="","",SUMPRODUCT((Takip!$S$6:$S$371=7)*(Takip!$L$6:$L$371&lt;&gt;"")))</f>
        <v/>
      </c>
      <c r="I14" s="27" t="str">
        <f aca="false">IF($A14="","",SUMPRODUCT((Takip!$S$6:$S$371=8)*(Takip!$L$6:$L$371&lt;&gt;"")))</f>
        <v/>
      </c>
      <c r="J14" s="27" t="str">
        <f aca="false">IF($A14="","",SUMPRODUCT((Takip!$S$6:$S$371=9)*(Takip!$L$6:$L$371&lt;&gt;"")))</f>
        <v/>
      </c>
      <c r="K14" s="27" t="str">
        <f aca="false">IF($A14="","",SUMPRODUCT((Takip!$S$6:$S$371=10)*(Takip!$L$6:$L$371&lt;&gt;"")))</f>
        <v/>
      </c>
      <c r="L14" s="27" t="str">
        <f aca="false">IF($A14="","",SUMPRODUCT((Takip!$S$6:$S$371=11)*(Takip!$L$6:$L$371&lt;&gt;"")))</f>
        <v/>
      </c>
      <c r="M14" s="27" t="str">
        <f aca="false">IF($A14="","",SUMPRODUCT((Takip!$S$6:$S$371=12)*(Takip!$L$6:$L$371&lt;&gt;"")))</f>
        <v/>
      </c>
      <c r="N14" s="27" t="str">
        <f aca="false">IF(A14="","",SUM(B14:M14))</f>
        <v/>
      </c>
    </row>
    <row r="15" customFormat="false" ht="15" hidden="false" customHeight="false" outlineLevel="0" collapsed="false">
      <c r="A15" s="25" t="str">
        <f aca="false">IF(Alışkanlıklar!A15="","",Alışkanlıklar!A15)</f>
        <v/>
      </c>
      <c r="B15" s="21" t="str">
        <f aca="false">IF($A15="","",SUMPRODUCT((Takip!$S$6:$S$371=1)*(Takip!$M$6:$M$371&lt;&gt;"")))</f>
        <v/>
      </c>
      <c r="C15" s="21" t="str">
        <f aca="false">IF($A15="","",SUMPRODUCT((Takip!$S$6:$S$371=2)*(Takip!$M$6:$M$371&lt;&gt;"")))</f>
        <v/>
      </c>
      <c r="D15" s="21" t="str">
        <f aca="false">IF($A15="","",SUMPRODUCT((Takip!$S$6:$S$371=3)*(Takip!$M$6:$M$371&lt;&gt;"")))</f>
        <v/>
      </c>
      <c r="E15" s="21" t="str">
        <f aca="false">IF($A15="","",SUMPRODUCT((Takip!$S$6:$S$371=4)*(Takip!$M$6:$M$371&lt;&gt;"")))</f>
        <v/>
      </c>
      <c r="F15" s="21" t="str">
        <f aca="false">IF($A15="","",SUMPRODUCT((Takip!$S$6:$S$371=5)*(Takip!$M$6:$M$371&lt;&gt;"")))</f>
        <v/>
      </c>
      <c r="G15" s="21" t="str">
        <f aca="false">IF($A15="","",SUMPRODUCT((Takip!$S$6:$S$371=6)*(Takip!$M$6:$M$371&lt;&gt;"")))</f>
        <v/>
      </c>
      <c r="H15" s="21" t="str">
        <f aca="false">IF($A15="","",SUMPRODUCT((Takip!$S$6:$S$371=7)*(Takip!$M$6:$M$371&lt;&gt;"")))</f>
        <v/>
      </c>
      <c r="I15" s="21" t="str">
        <f aca="false">IF($A15="","",SUMPRODUCT((Takip!$S$6:$S$371=8)*(Takip!$M$6:$M$371&lt;&gt;"")))</f>
        <v/>
      </c>
      <c r="J15" s="21" t="str">
        <f aca="false">IF($A15="","",SUMPRODUCT((Takip!$S$6:$S$371=9)*(Takip!$M$6:$M$371&lt;&gt;"")))</f>
        <v/>
      </c>
      <c r="K15" s="21" t="str">
        <f aca="false">IF($A15="","",SUMPRODUCT((Takip!$S$6:$S$371=10)*(Takip!$M$6:$M$371&lt;&gt;"")))</f>
        <v/>
      </c>
      <c r="L15" s="21" t="str">
        <f aca="false">IF($A15="","",SUMPRODUCT((Takip!$S$6:$S$371=11)*(Takip!$M$6:$M$371&lt;&gt;"")))</f>
        <v/>
      </c>
      <c r="M15" s="21" t="str">
        <f aca="false">IF($A15="","",SUMPRODUCT((Takip!$S$6:$S$371=12)*(Takip!$M$6:$M$371&lt;&gt;"")))</f>
        <v/>
      </c>
      <c r="N15" s="21" t="str">
        <f aca="false">IF(A15="","",SUM(B15:M15))</f>
        <v/>
      </c>
    </row>
    <row r="16" customFormat="false" ht="15" hidden="false" customHeight="false" outlineLevel="0" collapsed="false">
      <c r="A16" s="26" t="str">
        <f aca="false">IF(Alışkanlıklar!A16="","",Alışkanlıklar!A16)</f>
        <v/>
      </c>
      <c r="B16" s="27" t="str">
        <f aca="false">IF($A16="","",SUMPRODUCT((Takip!$S$6:$S$371=1)*(Takip!$N$6:$N$371&lt;&gt;"")))</f>
        <v/>
      </c>
      <c r="C16" s="27" t="str">
        <f aca="false">IF($A16="","",SUMPRODUCT((Takip!$S$6:$S$371=2)*(Takip!$N$6:$N$371&lt;&gt;"")))</f>
        <v/>
      </c>
      <c r="D16" s="27" t="str">
        <f aca="false">IF($A16="","",SUMPRODUCT((Takip!$S$6:$S$371=3)*(Takip!$N$6:$N$371&lt;&gt;"")))</f>
        <v/>
      </c>
      <c r="E16" s="27" t="str">
        <f aca="false">IF($A16="","",SUMPRODUCT((Takip!$S$6:$S$371=4)*(Takip!$N$6:$N$371&lt;&gt;"")))</f>
        <v/>
      </c>
      <c r="F16" s="27" t="str">
        <f aca="false">IF($A16="","",SUMPRODUCT((Takip!$S$6:$S$371=5)*(Takip!$N$6:$N$371&lt;&gt;"")))</f>
        <v/>
      </c>
      <c r="G16" s="27" t="str">
        <f aca="false">IF($A16="","",SUMPRODUCT((Takip!$S$6:$S$371=6)*(Takip!$N$6:$N$371&lt;&gt;"")))</f>
        <v/>
      </c>
      <c r="H16" s="27" t="str">
        <f aca="false">IF($A16="","",SUMPRODUCT((Takip!$S$6:$S$371=7)*(Takip!$N$6:$N$371&lt;&gt;"")))</f>
        <v/>
      </c>
      <c r="I16" s="27" t="str">
        <f aca="false">IF($A16="","",SUMPRODUCT((Takip!$S$6:$S$371=8)*(Takip!$N$6:$N$371&lt;&gt;"")))</f>
        <v/>
      </c>
      <c r="J16" s="27" t="str">
        <f aca="false">IF($A16="","",SUMPRODUCT((Takip!$S$6:$S$371=9)*(Takip!$N$6:$N$371&lt;&gt;"")))</f>
        <v/>
      </c>
      <c r="K16" s="27" t="str">
        <f aca="false">IF($A16="","",SUMPRODUCT((Takip!$S$6:$S$371=10)*(Takip!$N$6:$N$371&lt;&gt;"")))</f>
        <v/>
      </c>
      <c r="L16" s="27" t="str">
        <f aca="false">IF($A16="","",SUMPRODUCT((Takip!$S$6:$S$371=11)*(Takip!$N$6:$N$371&lt;&gt;"")))</f>
        <v/>
      </c>
      <c r="M16" s="27" t="str">
        <f aca="false">IF($A16="","",SUMPRODUCT((Takip!$S$6:$S$371=12)*(Takip!$N$6:$N$371&lt;&gt;"")))</f>
        <v/>
      </c>
      <c r="N16" s="27" t="str">
        <f aca="false">IF(A16="","",SUM(B16:M16))</f>
        <v/>
      </c>
    </row>
    <row r="17" customFormat="false" ht="15" hidden="false" customHeight="false" outlineLevel="0" collapsed="false">
      <c r="A17" s="25" t="str">
        <f aca="false">IF(Alışkanlıklar!A17="","",Alışkanlıklar!A17)</f>
        <v/>
      </c>
      <c r="B17" s="21" t="str">
        <f aca="false">IF($A17="","",SUMPRODUCT((Takip!$S$6:$S$371=1)*(Takip!$O$6:$O$371&lt;&gt;"")))</f>
        <v/>
      </c>
      <c r="C17" s="21" t="str">
        <f aca="false">IF($A17="","",SUMPRODUCT((Takip!$S$6:$S$371=2)*(Takip!$O$6:$O$371&lt;&gt;"")))</f>
        <v/>
      </c>
      <c r="D17" s="21" t="str">
        <f aca="false">IF($A17="","",SUMPRODUCT((Takip!$S$6:$S$371=3)*(Takip!$O$6:$O$371&lt;&gt;"")))</f>
        <v/>
      </c>
      <c r="E17" s="21" t="str">
        <f aca="false">IF($A17="","",SUMPRODUCT((Takip!$S$6:$S$371=4)*(Takip!$O$6:$O$371&lt;&gt;"")))</f>
        <v/>
      </c>
      <c r="F17" s="21" t="str">
        <f aca="false">IF($A17="","",SUMPRODUCT((Takip!$S$6:$S$371=5)*(Takip!$O$6:$O$371&lt;&gt;"")))</f>
        <v/>
      </c>
      <c r="G17" s="21" t="str">
        <f aca="false">IF($A17="","",SUMPRODUCT((Takip!$S$6:$S$371=6)*(Takip!$O$6:$O$371&lt;&gt;"")))</f>
        <v/>
      </c>
      <c r="H17" s="21" t="str">
        <f aca="false">IF($A17="","",SUMPRODUCT((Takip!$S$6:$S$371=7)*(Takip!$O$6:$O$371&lt;&gt;"")))</f>
        <v/>
      </c>
      <c r="I17" s="21" t="str">
        <f aca="false">IF($A17="","",SUMPRODUCT((Takip!$S$6:$S$371=8)*(Takip!$O$6:$O$371&lt;&gt;"")))</f>
        <v/>
      </c>
      <c r="J17" s="21" t="str">
        <f aca="false">IF($A17="","",SUMPRODUCT((Takip!$S$6:$S$371=9)*(Takip!$O$6:$O$371&lt;&gt;"")))</f>
        <v/>
      </c>
      <c r="K17" s="21" t="str">
        <f aca="false">IF($A17="","",SUMPRODUCT((Takip!$S$6:$S$371=10)*(Takip!$O$6:$O$371&lt;&gt;"")))</f>
        <v/>
      </c>
      <c r="L17" s="21" t="str">
        <f aca="false">IF($A17="","",SUMPRODUCT((Takip!$S$6:$S$371=11)*(Takip!$O$6:$O$371&lt;&gt;"")))</f>
        <v/>
      </c>
      <c r="M17" s="21" t="str">
        <f aca="false">IF($A17="","",SUMPRODUCT((Takip!$S$6:$S$371=12)*(Takip!$O$6:$O$371&lt;&gt;"")))</f>
        <v/>
      </c>
      <c r="N17" s="21" t="str">
        <f aca="false">IF(A17="","",SUM(B17:M17))</f>
        <v/>
      </c>
    </row>
    <row r="18" customFormat="false" ht="15" hidden="false" customHeight="false" outlineLevel="0" collapsed="false">
      <c r="A18" s="26" t="str">
        <f aca="false">IF(Alışkanlıklar!A18="","",Alışkanlıklar!A18)</f>
        <v/>
      </c>
      <c r="B18" s="27" t="str">
        <f aca="false">IF($A18="","",SUMPRODUCT((Takip!$S$6:$S$371=1)*(Takip!$P$6:$P$371&lt;&gt;"")))</f>
        <v/>
      </c>
      <c r="C18" s="27" t="str">
        <f aca="false">IF($A18="","",SUMPRODUCT((Takip!$S$6:$S$371=2)*(Takip!$P$6:$P$371&lt;&gt;"")))</f>
        <v/>
      </c>
      <c r="D18" s="27" t="str">
        <f aca="false">IF($A18="","",SUMPRODUCT((Takip!$S$6:$S$371=3)*(Takip!$P$6:$P$371&lt;&gt;"")))</f>
        <v/>
      </c>
      <c r="E18" s="27" t="str">
        <f aca="false">IF($A18="","",SUMPRODUCT((Takip!$S$6:$S$371=4)*(Takip!$P$6:$P$371&lt;&gt;"")))</f>
        <v/>
      </c>
      <c r="F18" s="27" t="str">
        <f aca="false">IF($A18="","",SUMPRODUCT((Takip!$S$6:$S$371=5)*(Takip!$P$6:$P$371&lt;&gt;"")))</f>
        <v/>
      </c>
      <c r="G18" s="27" t="str">
        <f aca="false">IF($A18="","",SUMPRODUCT((Takip!$S$6:$S$371=6)*(Takip!$P$6:$P$371&lt;&gt;"")))</f>
        <v/>
      </c>
      <c r="H18" s="27" t="str">
        <f aca="false">IF($A18="","",SUMPRODUCT((Takip!$S$6:$S$371=7)*(Takip!$P$6:$P$371&lt;&gt;"")))</f>
        <v/>
      </c>
      <c r="I18" s="27" t="str">
        <f aca="false">IF($A18="","",SUMPRODUCT((Takip!$S$6:$S$371=8)*(Takip!$P$6:$P$371&lt;&gt;"")))</f>
        <v/>
      </c>
      <c r="J18" s="27" t="str">
        <f aca="false">IF($A18="","",SUMPRODUCT((Takip!$S$6:$S$371=9)*(Takip!$P$6:$P$371&lt;&gt;"")))</f>
        <v/>
      </c>
      <c r="K18" s="27" t="str">
        <f aca="false">IF($A18="","",SUMPRODUCT((Takip!$S$6:$S$371=10)*(Takip!$P$6:$P$371&lt;&gt;"")))</f>
        <v/>
      </c>
      <c r="L18" s="27" t="str">
        <f aca="false">IF($A18="","",SUMPRODUCT((Takip!$S$6:$S$371=11)*(Takip!$P$6:$P$371&lt;&gt;"")))</f>
        <v/>
      </c>
      <c r="M18" s="27" t="str">
        <f aca="false">IF($A18="","",SUMPRODUCT((Takip!$S$6:$S$371=12)*(Takip!$P$6:$P$371&lt;&gt;"")))</f>
        <v/>
      </c>
      <c r="N18" s="27" t="str">
        <f aca="false">IF(A18="","",SUM(B18:M18))</f>
        <v/>
      </c>
    </row>
    <row r="19" customFormat="false" ht="15" hidden="false" customHeight="false" outlineLevel="0" collapsed="false">
      <c r="A19" s="25" t="str">
        <f aca="false">IF(Alışkanlıklar!A19="","",Alışkanlıklar!A19)</f>
        <v/>
      </c>
      <c r="B19" s="21" t="str">
        <f aca="false">IF($A19="","",SUMPRODUCT((Takip!$S$6:$S$371=1)*(Takip!$Q$6:$Q$371&lt;&gt;"")))</f>
        <v/>
      </c>
      <c r="C19" s="21" t="str">
        <f aca="false">IF($A19="","",SUMPRODUCT((Takip!$S$6:$S$371=2)*(Takip!$Q$6:$Q$371&lt;&gt;"")))</f>
        <v/>
      </c>
      <c r="D19" s="21" t="str">
        <f aca="false">IF($A19="","",SUMPRODUCT((Takip!$S$6:$S$371=3)*(Takip!$Q$6:$Q$371&lt;&gt;"")))</f>
        <v/>
      </c>
      <c r="E19" s="21" t="str">
        <f aca="false">IF($A19="","",SUMPRODUCT((Takip!$S$6:$S$371=4)*(Takip!$Q$6:$Q$371&lt;&gt;"")))</f>
        <v/>
      </c>
      <c r="F19" s="21" t="str">
        <f aca="false">IF($A19="","",SUMPRODUCT((Takip!$S$6:$S$371=5)*(Takip!$Q$6:$Q$371&lt;&gt;"")))</f>
        <v/>
      </c>
      <c r="G19" s="21" t="str">
        <f aca="false">IF($A19="","",SUMPRODUCT((Takip!$S$6:$S$371=6)*(Takip!$Q$6:$Q$371&lt;&gt;"")))</f>
        <v/>
      </c>
      <c r="H19" s="21" t="str">
        <f aca="false">IF($A19="","",SUMPRODUCT((Takip!$S$6:$S$371=7)*(Takip!$Q$6:$Q$371&lt;&gt;"")))</f>
        <v/>
      </c>
      <c r="I19" s="21" t="str">
        <f aca="false">IF($A19="","",SUMPRODUCT((Takip!$S$6:$S$371=8)*(Takip!$Q$6:$Q$371&lt;&gt;"")))</f>
        <v/>
      </c>
      <c r="J19" s="21" t="str">
        <f aca="false">IF($A19="","",SUMPRODUCT((Takip!$S$6:$S$371=9)*(Takip!$Q$6:$Q$371&lt;&gt;"")))</f>
        <v/>
      </c>
      <c r="K19" s="21" t="str">
        <f aca="false">IF($A19="","",SUMPRODUCT((Takip!$S$6:$S$371=10)*(Takip!$Q$6:$Q$371&lt;&gt;"")))</f>
        <v/>
      </c>
      <c r="L19" s="21" t="str">
        <f aca="false">IF($A19="","",SUMPRODUCT((Takip!$S$6:$S$371=11)*(Takip!$Q$6:$Q$371&lt;&gt;"")))</f>
        <v/>
      </c>
      <c r="M19" s="21" t="str">
        <f aca="false">IF($A19="","",SUMPRODUCT((Takip!$S$6:$S$371=12)*(Takip!$Q$6:$Q$371&lt;&gt;"")))</f>
        <v/>
      </c>
      <c r="N19" s="21" t="str">
        <f aca="false">IF(A19="","",SUM(B19:M19))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Q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9.7" hidden="false" customHeight="false" outlineLevel="0" collapsed="false">
      <c r="A1" s="8" t="s">
        <v>61</v>
      </c>
    </row>
    <row r="2" customFormat="false" ht="15" hidden="false" customHeight="false" outlineLevel="0" collapsed="false">
      <c r="A2" s="9" t="s">
        <v>62</v>
      </c>
    </row>
    <row r="6" customFormat="false" ht="15" hidden="false" customHeight="false" outlineLevel="0" collapsed="false">
      <c r="A6" s="14" t="n">
        <f aca="false">Takip!R6</f>
        <v>46023</v>
      </c>
      <c r="C6" s="15" t="n">
        <f aca="false">IF(Takip!C6="",0,1)</f>
        <v>0</v>
      </c>
      <c r="D6" s="15" t="n">
        <f aca="false">IF(Takip!D6="",0,1)</f>
        <v>0</v>
      </c>
      <c r="E6" s="15" t="n">
        <f aca="false">IF(Takip!E6="",0,1)</f>
        <v>0</v>
      </c>
      <c r="F6" s="15" t="n">
        <f aca="false">IF(Takip!F6="",0,1)</f>
        <v>0</v>
      </c>
      <c r="G6" s="15" t="n">
        <f aca="false">IF(Takip!G6="",0,1)</f>
        <v>0</v>
      </c>
      <c r="H6" s="15" t="n">
        <f aca="false">IF(Takip!H6="",0,1)</f>
        <v>0</v>
      </c>
      <c r="I6" s="15" t="n">
        <f aca="false">IF(Takip!I6="",0,1)</f>
        <v>0</v>
      </c>
      <c r="J6" s="15" t="n">
        <f aca="false">IF(Takip!J6="",0,1)</f>
        <v>0</v>
      </c>
      <c r="K6" s="15" t="n">
        <f aca="false">IF(Takip!K6="",0,1)</f>
        <v>0</v>
      </c>
      <c r="L6" s="15" t="n">
        <f aca="false">IF(Takip!L6="",0,1)</f>
        <v>0</v>
      </c>
      <c r="M6" s="15" t="n">
        <f aca="false">IF(Takip!M6="",0,1)</f>
        <v>0</v>
      </c>
      <c r="N6" s="15" t="n">
        <f aca="false">IF(Takip!N6="",0,1)</f>
        <v>0</v>
      </c>
      <c r="O6" s="15" t="n">
        <f aca="false">IF(Takip!O6="",0,1)</f>
        <v>0</v>
      </c>
      <c r="P6" s="15" t="n">
        <f aca="false">IF(Takip!P6="",0,1)</f>
        <v>0</v>
      </c>
      <c r="Q6" s="15" t="n">
        <f aca="false">IF(Takip!Q6="",0,1)</f>
        <v>0</v>
      </c>
    </row>
    <row r="7" customFormat="false" ht="15" hidden="false" customHeight="false" outlineLevel="0" collapsed="false">
      <c r="A7" s="14" t="n">
        <f aca="false">Takip!R7</f>
        <v>46024</v>
      </c>
      <c r="C7" s="15" t="n">
        <f aca="false">IF(Takip!C7="",0,C6+1)</f>
        <v>0</v>
      </c>
      <c r="D7" s="15" t="n">
        <f aca="false">IF(Takip!D7="",0,D6+1)</f>
        <v>0</v>
      </c>
      <c r="E7" s="15" t="n">
        <f aca="false">IF(Takip!E7="",0,E6+1)</f>
        <v>0</v>
      </c>
      <c r="F7" s="15" t="n">
        <f aca="false">IF(Takip!F7="",0,F6+1)</f>
        <v>0</v>
      </c>
      <c r="G7" s="15" t="n">
        <f aca="false">IF(Takip!G7="",0,G6+1)</f>
        <v>0</v>
      </c>
      <c r="H7" s="15" t="n">
        <f aca="false">IF(Takip!H7="",0,H6+1)</f>
        <v>0</v>
      </c>
      <c r="I7" s="15" t="n">
        <f aca="false">IF(Takip!I7="",0,I6+1)</f>
        <v>0</v>
      </c>
      <c r="J7" s="15" t="n">
        <f aca="false">IF(Takip!J7="",0,J6+1)</f>
        <v>0</v>
      </c>
      <c r="K7" s="15" t="n">
        <f aca="false">IF(Takip!K7="",0,K6+1)</f>
        <v>0</v>
      </c>
      <c r="L7" s="15" t="n">
        <f aca="false">IF(Takip!L7="",0,L6+1)</f>
        <v>0</v>
      </c>
      <c r="M7" s="15" t="n">
        <f aca="false">IF(Takip!M7="",0,M6+1)</f>
        <v>0</v>
      </c>
      <c r="N7" s="15" t="n">
        <f aca="false">IF(Takip!N7="",0,N6+1)</f>
        <v>0</v>
      </c>
      <c r="O7" s="15" t="n">
        <f aca="false">IF(Takip!O7="",0,O6+1)</f>
        <v>0</v>
      </c>
      <c r="P7" s="15" t="n">
        <f aca="false">IF(Takip!P7="",0,P6+1)</f>
        <v>0</v>
      </c>
      <c r="Q7" s="15" t="n">
        <f aca="false">IF(Takip!Q7="",0,Q6+1)</f>
        <v>0</v>
      </c>
    </row>
    <row r="8" customFormat="false" ht="15" hidden="false" customHeight="false" outlineLevel="0" collapsed="false">
      <c r="A8" s="14" t="n">
        <f aca="false">Takip!R8</f>
        <v>46025</v>
      </c>
      <c r="C8" s="15" t="n">
        <f aca="false">IF(Takip!C8="",0,C7+1)</f>
        <v>0</v>
      </c>
      <c r="D8" s="15" t="n">
        <f aca="false">IF(Takip!D8="",0,D7+1)</f>
        <v>0</v>
      </c>
      <c r="E8" s="15" t="n">
        <f aca="false">IF(Takip!E8="",0,E7+1)</f>
        <v>0</v>
      </c>
      <c r="F8" s="15" t="n">
        <f aca="false">IF(Takip!F8="",0,F7+1)</f>
        <v>0</v>
      </c>
      <c r="G8" s="15" t="n">
        <f aca="false">IF(Takip!G8="",0,G7+1)</f>
        <v>0</v>
      </c>
      <c r="H8" s="15" t="n">
        <f aca="false">IF(Takip!H8="",0,H7+1)</f>
        <v>0</v>
      </c>
      <c r="I8" s="15" t="n">
        <f aca="false">IF(Takip!I8="",0,I7+1)</f>
        <v>0</v>
      </c>
      <c r="J8" s="15" t="n">
        <f aca="false">IF(Takip!J8="",0,J7+1)</f>
        <v>0</v>
      </c>
      <c r="K8" s="15" t="n">
        <f aca="false">IF(Takip!K8="",0,K7+1)</f>
        <v>0</v>
      </c>
      <c r="L8" s="15" t="n">
        <f aca="false">IF(Takip!L8="",0,L7+1)</f>
        <v>0</v>
      </c>
      <c r="M8" s="15" t="n">
        <f aca="false">IF(Takip!M8="",0,M7+1)</f>
        <v>0</v>
      </c>
      <c r="N8" s="15" t="n">
        <f aca="false">IF(Takip!N8="",0,N7+1)</f>
        <v>0</v>
      </c>
      <c r="O8" s="15" t="n">
        <f aca="false">IF(Takip!O8="",0,O7+1)</f>
        <v>0</v>
      </c>
      <c r="P8" s="15" t="n">
        <f aca="false">IF(Takip!P8="",0,P7+1)</f>
        <v>0</v>
      </c>
      <c r="Q8" s="15" t="n">
        <f aca="false">IF(Takip!Q8="",0,Q7+1)</f>
        <v>0</v>
      </c>
    </row>
    <row r="9" customFormat="false" ht="15" hidden="false" customHeight="false" outlineLevel="0" collapsed="false">
      <c r="A9" s="14" t="n">
        <f aca="false">Takip!R9</f>
        <v>46026</v>
      </c>
      <c r="C9" s="15" t="n">
        <f aca="false">IF(Takip!C9="",0,C8+1)</f>
        <v>0</v>
      </c>
      <c r="D9" s="15" t="n">
        <f aca="false">IF(Takip!D9="",0,D8+1)</f>
        <v>0</v>
      </c>
      <c r="E9" s="15" t="n">
        <f aca="false">IF(Takip!E9="",0,E8+1)</f>
        <v>0</v>
      </c>
      <c r="F9" s="15" t="n">
        <f aca="false">IF(Takip!F9="",0,F8+1)</f>
        <v>0</v>
      </c>
      <c r="G9" s="15" t="n">
        <f aca="false">IF(Takip!G9="",0,G8+1)</f>
        <v>0</v>
      </c>
      <c r="H9" s="15" t="n">
        <f aca="false">IF(Takip!H9="",0,H8+1)</f>
        <v>0</v>
      </c>
      <c r="I9" s="15" t="n">
        <f aca="false">IF(Takip!I9="",0,I8+1)</f>
        <v>0</v>
      </c>
      <c r="J9" s="15" t="n">
        <f aca="false">IF(Takip!J9="",0,J8+1)</f>
        <v>0</v>
      </c>
      <c r="K9" s="15" t="n">
        <f aca="false">IF(Takip!K9="",0,K8+1)</f>
        <v>0</v>
      </c>
      <c r="L9" s="15" t="n">
        <f aca="false">IF(Takip!L9="",0,L8+1)</f>
        <v>0</v>
      </c>
      <c r="M9" s="15" t="n">
        <f aca="false">IF(Takip!M9="",0,M8+1)</f>
        <v>0</v>
      </c>
      <c r="N9" s="15" t="n">
        <f aca="false">IF(Takip!N9="",0,N8+1)</f>
        <v>0</v>
      </c>
      <c r="O9" s="15" t="n">
        <f aca="false">IF(Takip!O9="",0,O8+1)</f>
        <v>0</v>
      </c>
      <c r="P9" s="15" t="n">
        <f aca="false">IF(Takip!P9="",0,P8+1)</f>
        <v>0</v>
      </c>
      <c r="Q9" s="15" t="n">
        <f aca="false">IF(Takip!Q9="",0,Q8+1)</f>
        <v>0</v>
      </c>
    </row>
    <row r="10" customFormat="false" ht="15" hidden="false" customHeight="false" outlineLevel="0" collapsed="false">
      <c r="A10" s="14" t="n">
        <f aca="false">Takip!R10</f>
        <v>46027</v>
      </c>
      <c r="C10" s="15" t="n">
        <f aca="false">IF(Takip!C10="",0,C9+1)</f>
        <v>0</v>
      </c>
      <c r="D10" s="15" t="n">
        <f aca="false">IF(Takip!D10="",0,D9+1)</f>
        <v>0</v>
      </c>
      <c r="E10" s="15" t="n">
        <f aca="false">IF(Takip!E10="",0,E9+1)</f>
        <v>0</v>
      </c>
      <c r="F10" s="15" t="n">
        <f aca="false">IF(Takip!F10="",0,F9+1)</f>
        <v>0</v>
      </c>
      <c r="G10" s="15" t="n">
        <f aca="false">IF(Takip!G10="",0,G9+1)</f>
        <v>0</v>
      </c>
      <c r="H10" s="15" t="n">
        <f aca="false">IF(Takip!H10="",0,H9+1)</f>
        <v>0</v>
      </c>
      <c r="I10" s="15" t="n">
        <f aca="false">IF(Takip!I10="",0,I9+1)</f>
        <v>0</v>
      </c>
      <c r="J10" s="15" t="n">
        <f aca="false">IF(Takip!J10="",0,J9+1)</f>
        <v>0</v>
      </c>
      <c r="K10" s="15" t="n">
        <f aca="false">IF(Takip!K10="",0,K9+1)</f>
        <v>0</v>
      </c>
      <c r="L10" s="15" t="n">
        <f aca="false">IF(Takip!L10="",0,L9+1)</f>
        <v>0</v>
      </c>
      <c r="M10" s="15" t="n">
        <f aca="false">IF(Takip!M10="",0,M9+1)</f>
        <v>0</v>
      </c>
      <c r="N10" s="15" t="n">
        <f aca="false">IF(Takip!N10="",0,N9+1)</f>
        <v>0</v>
      </c>
      <c r="O10" s="15" t="n">
        <f aca="false">IF(Takip!O10="",0,O9+1)</f>
        <v>0</v>
      </c>
      <c r="P10" s="15" t="n">
        <f aca="false">IF(Takip!P10="",0,P9+1)</f>
        <v>0</v>
      </c>
      <c r="Q10" s="15" t="n">
        <f aca="false">IF(Takip!Q10="",0,Q9+1)</f>
        <v>0</v>
      </c>
    </row>
    <row r="11" customFormat="false" ht="15" hidden="false" customHeight="false" outlineLevel="0" collapsed="false">
      <c r="A11" s="14" t="n">
        <f aca="false">Takip!R11</f>
        <v>46028</v>
      </c>
      <c r="C11" s="15" t="n">
        <f aca="false">IF(Takip!C11="",0,C10+1)</f>
        <v>0</v>
      </c>
      <c r="D11" s="15" t="n">
        <f aca="false">IF(Takip!D11="",0,D10+1)</f>
        <v>0</v>
      </c>
      <c r="E11" s="15" t="n">
        <f aca="false">IF(Takip!E11="",0,E10+1)</f>
        <v>0</v>
      </c>
      <c r="F11" s="15" t="n">
        <f aca="false">IF(Takip!F11="",0,F10+1)</f>
        <v>0</v>
      </c>
      <c r="G11" s="15" t="n">
        <f aca="false">IF(Takip!G11="",0,G10+1)</f>
        <v>0</v>
      </c>
      <c r="H11" s="15" t="n">
        <f aca="false">IF(Takip!H11="",0,H10+1)</f>
        <v>0</v>
      </c>
      <c r="I11" s="15" t="n">
        <f aca="false">IF(Takip!I11="",0,I10+1)</f>
        <v>0</v>
      </c>
      <c r="J11" s="15" t="n">
        <f aca="false">IF(Takip!J11="",0,J10+1)</f>
        <v>0</v>
      </c>
      <c r="K11" s="15" t="n">
        <f aca="false">IF(Takip!K11="",0,K10+1)</f>
        <v>0</v>
      </c>
      <c r="L11" s="15" t="n">
        <f aca="false">IF(Takip!L11="",0,L10+1)</f>
        <v>0</v>
      </c>
      <c r="M11" s="15" t="n">
        <f aca="false">IF(Takip!M11="",0,M10+1)</f>
        <v>0</v>
      </c>
      <c r="N11" s="15" t="n">
        <f aca="false">IF(Takip!N11="",0,N10+1)</f>
        <v>0</v>
      </c>
      <c r="O11" s="15" t="n">
        <f aca="false">IF(Takip!O11="",0,O10+1)</f>
        <v>0</v>
      </c>
      <c r="P11" s="15" t="n">
        <f aca="false">IF(Takip!P11="",0,P10+1)</f>
        <v>0</v>
      </c>
      <c r="Q11" s="15" t="n">
        <f aca="false">IF(Takip!Q11="",0,Q10+1)</f>
        <v>0</v>
      </c>
    </row>
    <row r="12" customFormat="false" ht="15" hidden="false" customHeight="false" outlineLevel="0" collapsed="false">
      <c r="A12" s="14" t="n">
        <f aca="false">Takip!R12</f>
        <v>46029</v>
      </c>
      <c r="C12" s="15" t="n">
        <f aca="false">IF(Takip!C12="",0,C11+1)</f>
        <v>0</v>
      </c>
      <c r="D12" s="15" t="n">
        <f aca="false">IF(Takip!D12="",0,D11+1)</f>
        <v>0</v>
      </c>
      <c r="E12" s="15" t="n">
        <f aca="false">IF(Takip!E12="",0,E11+1)</f>
        <v>0</v>
      </c>
      <c r="F12" s="15" t="n">
        <f aca="false">IF(Takip!F12="",0,F11+1)</f>
        <v>0</v>
      </c>
      <c r="G12" s="15" t="n">
        <f aca="false">IF(Takip!G12="",0,G11+1)</f>
        <v>0</v>
      </c>
      <c r="H12" s="15" t="n">
        <f aca="false">IF(Takip!H12="",0,H11+1)</f>
        <v>0</v>
      </c>
      <c r="I12" s="15" t="n">
        <f aca="false">IF(Takip!I12="",0,I11+1)</f>
        <v>0</v>
      </c>
      <c r="J12" s="15" t="n">
        <f aca="false">IF(Takip!J12="",0,J11+1)</f>
        <v>0</v>
      </c>
      <c r="K12" s="15" t="n">
        <f aca="false">IF(Takip!K12="",0,K11+1)</f>
        <v>0</v>
      </c>
      <c r="L12" s="15" t="n">
        <f aca="false">IF(Takip!L12="",0,L11+1)</f>
        <v>0</v>
      </c>
      <c r="M12" s="15" t="n">
        <f aca="false">IF(Takip!M12="",0,M11+1)</f>
        <v>0</v>
      </c>
      <c r="N12" s="15" t="n">
        <f aca="false">IF(Takip!N12="",0,N11+1)</f>
        <v>0</v>
      </c>
      <c r="O12" s="15" t="n">
        <f aca="false">IF(Takip!O12="",0,O11+1)</f>
        <v>0</v>
      </c>
      <c r="P12" s="15" t="n">
        <f aca="false">IF(Takip!P12="",0,P11+1)</f>
        <v>0</v>
      </c>
      <c r="Q12" s="15" t="n">
        <f aca="false">IF(Takip!Q12="",0,Q11+1)</f>
        <v>0</v>
      </c>
    </row>
    <row r="13" customFormat="false" ht="15" hidden="false" customHeight="false" outlineLevel="0" collapsed="false">
      <c r="A13" s="14" t="n">
        <f aca="false">Takip!R13</f>
        <v>46030</v>
      </c>
      <c r="C13" s="15" t="n">
        <f aca="false">IF(Takip!C13="",0,C12+1)</f>
        <v>0</v>
      </c>
      <c r="D13" s="15" t="n">
        <f aca="false">IF(Takip!D13="",0,D12+1)</f>
        <v>0</v>
      </c>
      <c r="E13" s="15" t="n">
        <f aca="false">IF(Takip!E13="",0,E12+1)</f>
        <v>0</v>
      </c>
      <c r="F13" s="15" t="n">
        <f aca="false">IF(Takip!F13="",0,F12+1)</f>
        <v>0</v>
      </c>
      <c r="G13" s="15" t="n">
        <f aca="false">IF(Takip!G13="",0,G12+1)</f>
        <v>0</v>
      </c>
      <c r="H13" s="15" t="n">
        <f aca="false">IF(Takip!H13="",0,H12+1)</f>
        <v>0</v>
      </c>
      <c r="I13" s="15" t="n">
        <f aca="false">IF(Takip!I13="",0,I12+1)</f>
        <v>0</v>
      </c>
      <c r="J13" s="15" t="n">
        <f aca="false">IF(Takip!J13="",0,J12+1)</f>
        <v>0</v>
      </c>
      <c r="K13" s="15" t="n">
        <f aca="false">IF(Takip!K13="",0,K12+1)</f>
        <v>0</v>
      </c>
      <c r="L13" s="15" t="n">
        <f aca="false">IF(Takip!L13="",0,L12+1)</f>
        <v>0</v>
      </c>
      <c r="M13" s="15" t="n">
        <f aca="false">IF(Takip!M13="",0,M12+1)</f>
        <v>0</v>
      </c>
      <c r="N13" s="15" t="n">
        <f aca="false">IF(Takip!N13="",0,N12+1)</f>
        <v>0</v>
      </c>
      <c r="O13" s="15" t="n">
        <f aca="false">IF(Takip!O13="",0,O12+1)</f>
        <v>0</v>
      </c>
      <c r="P13" s="15" t="n">
        <f aca="false">IF(Takip!P13="",0,P12+1)</f>
        <v>0</v>
      </c>
      <c r="Q13" s="15" t="n">
        <f aca="false">IF(Takip!Q13="",0,Q12+1)</f>
        <v>0</v>
      </c>
    </row>
    <row r="14" customFormat="false" ht="15" hidden="false" customHeight="false" outlineLevel="0" collapsed="false">
      <c r="A14" s="14" t="n">
        <f aca="false">Takip!R14</f>
        <v>46031</v>
      </c>
      <c r="C14" s="15" t="n">
        <f aca="false">IF(Takip!C14="",0,C13+1)</f>
        <v>0</v>
      </c>
      <c r="D14" s="15" t="n">
        <f aca="false">IF(Takip!D14="",0,D13+1)</f>
        <v>0</v>
      </c>
      <c r="E14" s="15" t="n">
        <f aca="false">IF(Takip!E14="",0,E13+1)</f>
        <v>0</v>
      </c>
      <c r="F14" s="15" t="n">
        <f aca="false">IF(Takip!F14="",0,F13+1)</f>
        <v>0</v>
      </c>
      <c r="G14" s="15" t="n">
        <f aca="false">IF(Takip!G14="",0,G13+1)</f>
        <v>0</v>
      </c>
      <c r="H14" s="15" t="n">
        <f aca="false">IF(Takip!H14="",0,H13+1)</f>
        <v>0</v>
      </c>
      <c r="I14" s="15" t="n">
        <f aca="false">IF(Takip!I14="",0,I13+1)</f>
        <v>0</v>
      </c>
      <c r="J14" s="15" t="n">
        <f aca="false">IF(Takip!J14="",0,J13+1)</f>
        <v>0</v>
      </c>
      <c r="K14" s="15" t="n">
        <f aca="false">IF(Takip!K14="",0,K13+1)</f>
        <v>0</v>
      </c>
      <c r="L14" s="15" t="n">
        <f aca="false">IF(Takip!L14="",0,L13+1)</f>
        <v>0</v>
      </c>
      <c r="M14" s="15" t="n">
        <f aca="false">IF(Takip!M14="",0,M13+1)</f>
        <v>0</v>
      </c>
      <c r="N14" s="15" t="n">
        <f aca="false">IF(Takip!N14="",0,N13+1)</f>
        <v>0</v>
      </c>
      <c r="O14" s="15" t="n">
        <f aca="false">IF(Takip!O14="",0,O13+1)</f>
        <v>0</v>
      </c>
      <c r="P14" s="15" t="n">
        <f aca="false">IF(Takip!P14="",0,P13+1)</f>
        <v>0</v>
      </c>
      <c r="Q14" s="15" t="n">
        <f aca="false">IF(Takip!Q14="",0,Q13+1)</f>
        <v>0</v>
      </c>
    </row>
    <row r="15" customFormat="false" ht="15" hidden="false" customHeight="false" outlineLevel="0" collapsed="false">
      <c r="A15" s="14" t="n">
        <f aca="false">Takip!R15</f>
        <v>46032</v>
      </c>
      <c r="C15" s="15" t="n">
        <f aca="false">IF(Takip!C15="",0,C14+1)</f>
        <v>0</v>
      </c>
      <c r="D15" s="15" t="n">
        <f aca="false">IF(Takip!D15="",0,D14+1)</f>
        <v>0</v>
      </c>
      <c r="E15" s="15" t="n">
        <f aca="false">IF(Takip!E15="",0,E14+1)</f>
        <v>0</v>
      </c>
      <c r="F15" s="15" t="n">
        <f aca="false">IF(Takip!F15="",0,F14+1)</f>
        <v>0</v>
      </c>
      <c r="G15" s="15" t="n">
        <f aca="false">IF(Takip!G15="",0,G14+1)</f>
        <v>0</v>
      </c>
      <c r="H15" s="15" t="n">
        <f aca="false">IF(Takip!H15="",0,H14+1)</f>
        <v>0</v>
      </c>
      <c r="I15" s="15" t="n">
        <f aca="false">IF(Takip!I15="",0,I14+1)</f>
        <v>0</v>
      </c>
      <c r="J15" s="15" t="n">
        <f aca="false">IF(Takip!J15="",0,J14+1)</f>
        <v>0</v>
      </c>
      <c r="K15" s="15" t="n">
        <f aca="false">IF(Takip!K15="",0,K14+1)</f>
        <v>0</v>
      </c>
      <c r="L15" s="15" t="n">
        <f aca="false">IF(Takip!L15="",0,L14+1)</f>
        <v>0</v>
      </c>
      <c r="M15" s="15" t="n">
        <f aca="false">IF(Takip!M15="",0,M14+1)</f>
        <v>0</v>
      </c>
      <c r="N15" s="15" t="n">
        <f aca="false">IF(Takip!N15="",0,N14+1)</f>
        <v>0</v>
      </c>
      <c r="O15" s="15" t="n">
        <f aca="false">IF(Takip!O15="",0,O14+1)</f>
        <v>0</v>
      </c>
      <c r="P15" s="15" t="n">
        <f aca="false">IF(Takip!P15="",0,P14+1)</f>
        <v>0</v>
      </c>
      <c r="Q15" s="15" t="n">
        <f aca="false">IF(Takip!Q15="",0,Q14+1)</f>
        <v>0</v>
      </c>
    </row>
    <row r="16" customFormat="false" ht="15" hidden="false" customHeight="false" outlineLevel="0" collapsed="false">
      <c r="A16" s="14" t="n">
        <f aca="false">Takip!R16</f>
        <v>46033</v>
      </c>
      <c r="C16" s="15" t="n">
        <f aca="false">IF(Takip!C16="",0,C15+1)</f>
        <v>0</v>
      </c>
      <c r="D16" s="15" t="n">
        <f aca="false">IF(Takip!D16="",0,D15+1)</f>
        <v>0</v>
      </c>
      <c r="E16" s="15" t="n">
        <f aca="false">IF(Takip!E16="",0,E15+1)</f>
        <v>0</v>
      </c>
      <c r="F16" s="15" t="n">
        <f aca="false">IF(Takip!F16="",0,F15+1)</f>
        <v>0</v>
      </c>
      <c r="G16" s="15" t="n">
        <f aca="false">IF(Takip!G16="",0,G15+1)</f>
        <v>0</v>
      </c>
      <c r="H16" s="15" t="n">
        <f aca="false">IF(Takip!H16="",0,H15+1)</f>
        <v>0</v>
      </c>
      <c r="I16" s="15" t="n">
        <f aca="false">IF(Takip!I16="",0,I15+1)</f>
        <v>0</v>
      </c>
      <c r="J16" s="15" t="n">
        <f aca="false">IF(Takip!J16="",0,J15+1)</f>
        <v>0</v>
      </c>
      <c r="K16" s="15" t="n">
        <f aca="false">IF(Takip!K16="",0,K15+1)</f>
        <v>0</v>
      </c>
      <c r="L16" s="15" t="n">
        <f aca="false">IF(Takip!L16="",0,L15+1)</f>
        <v>0</v>
      </c>
      <c r="M16" s="15" t="n">
        <f aca="false">IF(Takip!M16="",0,M15+1)</f>
        <v>0</v>
      </c>
      <c r="N16" s="15" t="n">
        <f aca="false">IF(Takip!N16="",0,N15+1)</f>
        <v>0</v>
      </c>
      <c r="O16" s="15" t="n">
        <f aca="false">IF(Takip!O16="",0,O15+1)</f>
        <v>0</v>
      </c>
      <c r="P16" s="15" t="n">
        <f aca="false">IF(Takip!P16="",0,P15+1)</f>
        <v>0</v>
      </c>
      <c r="Q16" s="15" t="n">
        <f aca="false">IF(Takip!Q16="",0,Q15+1)</f>
        <v>0</v>
      </c>
    </row>
    <row r="17" customFormat="false" ht="15" hidden="false" customHeight="false" outlineLevel="0" collapsed="false">
      <c r="A17" s="14" t="n">
        <f aca="false">Takip!R17</f>
        <v>46034</v>
      </c>
      <c r="C17" s="15" t="n">
        <f aca="false">IF(Takip!C17="",0,C16+1)</f>
        <v>0</v>
      </c>
      <c r="D17" s="15" t="n">
        <f aca="false">IF(Takip!D17="",0,D16+1)</f>
        <v>0</v>
      </c>
      <c r="E17" s="15" t="n">
        <f aca="false">IF(Takip!E17="",0,E16+1)</f>
        <v>0</v>
      </c>
      <c r="F17" s="15" t="n">
        <f aca="false">IF(Takip!F17="",0,F16+1)</f>
        <v>0</v>
      </c>
      <c r="G17" s="15" t="n">
        <f aca="false">IF(Takip!G17="",0,G16+1)</f>
        <v>0</v>
      </c>
      <c r="H17" s="15" t="n">
        <f aca="false">IF(Takip!H17="",0,H16+1)</f>
        <v>0</v>
      </c>
      <c r="I17" s="15" t="n">
        <f aca="false">IF(Takip!I17="",0,I16+1)</f>
        <v>0</v>
      </c>
      <c r="J17" s="15" t="n">
        <f aca="false">IF(Takip!J17="",0,J16+1)</f>
        <v>0</v>
      </c>
      <c r="K17" s="15" t="n">
        <f aca="false">IF(Takip!K17="",0,K16+1)</f>
        <v>0</v>
      </c>
      <c r="L17" s="15" t="n">
        <f aca="false">IF(Takip!L17="",0,L16+1)</f>
        <v>0</v>
      </c>
      <c r="M17" s="15" t="n">
        <f aca="false">IF(Takip!M17="",0,M16+1)</f>
        <v>0</v>
      </c>
      <c r="N17" s="15" t="n">
        <f aca="false">IF(Takip!N17="",0,N16+1)</f>
        <v>0</v>
      </c>
      <c r="O17" s="15" t="n">
        <f aca="false">IF(Takip!O17="",0,O16+1)</f>
        <v>0</v>
      </c>
      <c r="P17" s="15" t="n">
        <f aca="false">IF(Takip!P17="",0,P16+1)</f>
        <v>0</v>
      </c>
      <c r="Q17" s="15" t="n">
        <f aca="false">IF(Takip!Q17="",0,Q16+1)</f>
        <v>0</v>
      </c>
    </row>
    <row r="18" customFormat="false" ht="15" hidden="false" customHeight="false" outlineLevel="0" collapsed="false">
      <c r="A18" s="14" t="n">
        <f aca="false">Takip!R18</f>
        <v>46035</v>
      </c>
      <c r="C18" s="15" t="n">
        <f aca="false">IF(Takip!C18="",0,C17+1)</f>
        <v>0</v>
      </c>
      <c r="D18" s="15" t="n">
        <f aca="false">IF(Takip!D18="",0,D17+1)</f>
        <v>0</v>
      </c>
      <c r="E18" s="15" t="n">
        <f aca="false">IF(Takip!E18="",0,E17+1)</f>
        <v>0</v>
      </c>
      <c r="F18" s="15" t="n">
        <f aca="false">IF(Takip!F18="",0,F17+1)</f>
        <v>0</v>
      </c>
      <c r="G18" s="15" t="n">
        <f aca="false">IF(Takip!G18="",0,G17+1)</f>
        <v>0</v>
      </c>
      <c r="H18" s="15" t="n">
        <f aca="false">IF(Takip!H18="",0,H17+1)</f>
        <v>0</v>
      </c>
      <c r="I18" s="15" t="n">
        <f aca="false">IF(Takip!I18="",0,I17+1)</f>
        <v>0</v>
      </c>
      <c r="J18" s="15" t="n">
        <f aca="false">IF(Takip!J18="",0,J17+1)</f>
        <v>0</v>
      </c>
      <c r="K18" s="15" t="n">
        <f aca="false">IF(Takip!K18="",0,K17+1)</f>
        <v>0</v>
      </c>
      <c r="L18" s="15" t="n">
        <f aca="false">IF(Takip!L18="",0,L17+1)</f>
        <v>0</v>
      </c>
      <c r="M18" s="15" t="n">
        <f aca="false">IF(Takip!M18="",0,M17+1)</f>
        <v>0</v>
      </c>
      <c r="N18" s="15" t="n">
        <f aca="false">IF(Takip!N18="",0,N17+1)</f>
        <v>0</v>
      </c>
      <c r="O18" s="15" t="n">
        <f aca="false">IF(Takip!O18="",0,O17+1)</f>
        <v>0</v>
      </c>
      <c r="P18" s="15" t="n">
        <f aca="false">IF(Takip!P18="",0,P17+1)</f>
        <v>0</v>
      </c>
      <c r="Q18" s="15" t="n">
        <f aca="false">IF(Takip!Q18="",0,Q17+1)</f>
        <v>0</v>
      </c>
    </row>
    <row r="19" customFormat="false" ht="15" hidden="false" customHeight="false" outlineLevel="0" collapsed="false">
      <c r="A19" s="14" t="n">
        <f aca="false">Takip!R19</f>
        <v>46036</v>
      </c>
      <c r="C19" s="15" t="n">
        <f aca="false">IF(Takip!C19="",0,C18+1)</f>
        <v>0</v>
      </c>
      <c r="D19" s="15" t="n">
        <f aca="false">IF(Takip!D19="",0,D18+1)</f>
        <v>0</v>
      </c>
      <c r="E19" s="15" t="n">
        <f aca="false">IF(Takip!E19="",0,E18+1)</f>
        <v>0</v>
      </c>
      <c r="F19" s="15" t="n">
        <f aca="false">IF(Takip!F19="",0,F18+1)</f>
        <v>0</v>
      </c>
      <c r="G19" s="15" t="n">
        <f aca="false">IF(Takip!G19="",0,G18+1)</f>
        <v>0</v>
      </c>
      <c r="H19" s="15" t="n">
        <f aca="false">IF(Takip!H19="",0,H18+1)</f>
        <v>0</v>
      </c>
      <c r="I19" s="15" t="n">
        <f aca="false">IF(Takip!I19="",0,I18+1)</f>
        <v>0</v>
      </c>
      <c r="J19" s="15" t="n">
        <f aca="false">IF(Takip!J19="",0,J18+1)</f>
        <v>0</v>
      </c>
      <c r="K19" s="15" t="n">
        <f aca="false">IF(Takip!K19="",0,K18+1)</f>
        <v>0</v>
      </c>
      <c r="L19" s="15" t="n">
        <f aca="false">IF(Takip!L19="",0,L18+1)</f>
        <v>0</v>
      </c>
      <c r="M19" s="15" t="n">
        <f aca="false">IF(Takip!M19="",0,M18+1)</f>
        <v>0</v>
      </c>
      <c r="N19" s="15" t="n">
        <f aca="false">IF(Takip!N19="",0,N18+1)</f>
        <v>0</v>
      </c>
      <c r="O19" s="15" t="n">
        <f aca="false">IF(Takip!O19="",0,O18+1)</f>
        <v>0</v>
      </c>
      <c r="P19" s="15" t="n">
        <f aca="false">IF(Takip!P19="",0,P18+1)</f>
        <v>0</v>
      </c>
      <c r="Q19" s="15" t="n">
        <f aca="false">IF(Takip!Q19="",0,Q18+1)</f>
        <v>0</v>
      </c>
    </row>
    <row r="20" customFormat="false" ht="15" hidden="false" customHeight="false" outlineLevel="0" collapsed="false">
      <c r="A20" s="14" t="n">
        <f aca="false">Takip!R20</f>
        <v>46037</v>
      </c>
      <c r="C20" s="15" t="n">
        <f aca="false">IF(Takip!C20="",0,C19+1)</f>
        <v>0</v>
      </c>
      <c r="D20" s="15" t="n">
        <f aca="false">IF(Takip!D20="",0,D19+1)</f>
        <v>0</v>
      </c>
      <c r="E20" s="15" t="n">
        <f aca="false">IF(Takip!E20="",0,E19+1)</f>
        <v>0</v>
      </c>
      <c r="F20" s="15" t="n">
        <f aca="false">IF(Takip!F20="",0,F19+1)</f>
        <v>0</v>
      </c>
      <c r="G20" s="15" t="n">
        <f aca="false">IF(Takip!G20="",0,G19+1)</f>
        <v>0</v>
      </c>
      <c r="H20" s="15" t="n">
        <f aca="false">IF(Takip!H20="",0,H19+1)</f>
        <v>0</v>
      </c>
      <c r="I20" s="15" t="n">
        <f aca="false">IF(Takip!I20="",0,I19+1)</f>
        <v>0</v>
      </c>
      <c r="J20" s="15" t="n">
        <f aca="false">IF(Takip!J20="",0,J19+1)</f>
        <v>0</v>
      </c>
      <c r="K20" s="15" t="n">
        <f aca="false">IF(Takip!K20="",0,K19+1)</f>
        <v>0</v>
      </c>
      <c r="L20" s="15" t="n">
        <f aca="false">IF(Takip!L20="",0,L19+1)</f>
        <v>0</v>
      </c>
      <c r="M20" s="15" t="n">
        <f aca="false">IF(Takip!M20="",0,M19+1)</f>
        <v>0</v>
      </c>
      <c r="N20" s="15" t="n">
        <f aca="false">IF(Takip!N20="",0,N19+1)</f>
        <v>0</v>
      </c>
      <c r="O20" s="15" t="n">
        <f aca="false">IF(Takip!O20="",0,O19+1)</f>
        <v>0</v>
      </c>
      <c r="P20" s="15" t="n">
        <f aca="false">IF(Takip!P20="",0,P19+1)</f>
        <v>0</v>
      </c>
      <c r="Q20" s="15" t="n">
        <f aca="false">IF(Takip!Q20="",0,Q19+1)</f>
        <v>0</v>
      </c>
    </row>
    <row r="21" customFormat="false" ht="15" hidden="false" customHeight="false" outlineLevel="0" collapsed="false">
      <c r="A21" s="14" t="n">
        <f aca="false">Takip!R21</f>
        <v>46038</v>
      </c>
      <c r="C21" s="15" t="n">
        <f aca="false">IF(Takip!C21="",0,C20+1)</f>
        <v>0</v>
      </c>
      <c r="D21" s="15" t="n">
        <f aca="false">IF(Takip!D21="",0,D20+1)</f>
        <v>0</v>
      </c>
      <c r="E21" s="15" t="n">
        <f aca="false">IF(Takip!E21="",0,E20+1)</f>
        <v>0</v>
      </c>
      <c r="F21" s="15" t="n">
        <f aca="false">IF(Takip!F21="",0,F20+1)</f>
        <v>0</v>
      </c>
      <c r="G21" s="15" t="n">
        <f aca="false">IF(Takip!G21="",0,G20+1)</f>
        <v>0</v>
      </c>
      <c r="H21" s="15" t="n">
        <f aca="false">IF(Takip!H21="",0,H20+1)</f>
        <v>0</v>
      </c>
      <c r="I21" s="15" t="n">
        <f aca="false">IF(Takip!I21="",0,I20+1)</f>
        <v>0</v>
      </c>
      <c r="J21" s="15" t="n">
        <f aca="false">IF(Takip!J21="",0,J20+1)</f>
        <v>0</v>
      </c>
      <c r="K21" s="15" t="n">
        <f aca="false">IF(Takip!K21="",0,K20+1)</f>
        <v>0</v>
      </c>
      <c r="L21" s="15" t="n">
        <f aca="false">IF(Takip!L21="",0,L20+1)</f>
        <v>0</v>
      </c>
      <c r="M21" s="15" t="n">
        <f aca="false">IF(Takip!M21="",0,M20+1)</f>
        <v>0</v>
      </c>
      <c r="N21" s="15" t="n">
        <f aca="false">IF(Takip!N21="",0,N20+1)</f>
        <v>0</v>
      </c>
      <c r="O21" s="15" t="n">
        <f aca="false">IF(Takip!O21="",0,O20+1)</f>
        <v>0</v>
      </c>
      <c r="P21" s="15" t="n">
        <f aca="false">IF(Takip!P21="",0,P20+1)</f>
        <v>0</v>
      </c>
      <c r="Q21" s="15" t="n">
        <f aca="false">IF(Takip!Q21="",0,Q20+1)</f>
        <v>0</v>
      </c>
    </row>
    <row r="22" customFormat="false" ht="15" hidden="false" customHeight="false" outlineLevel="0" collapsed="false">
      <c r="A22" s="14" t="n">
        <f aca="false">Takip!R22</f>
        <v>46039</v>
      </c>
      <c r="C22" s="15" t="n">
        <f aca="false">IF(Takip!C22="",0,C21+1)</f>
        <v>0</v>
      </c>
      <c r="D22" s="15" t="n">
        <f aca="false">IF(Takip!D22="",0,D21+1)</f>
        <v>0</v>
      </c>
      <c r="E22" s="15" t="n">
        <f aca="false">IF(Takip!E22="",0,E21+1)</f>
        <v>0</v>
      </c>
      <c r="F22" s="15" t="n">
        <f aca="false">IF(Takip!F22="",0,F21+1)</f>
        <v>0</v>
      </c>
      <c r="G22" s="15" t="n">
        <f aca="false">IF(Takip!G22="",0,G21+1)</f>
        <v>0</v>
      </c>
      <c r="H22" s="15" t="n">
        <f aca="false">IF(Takip!H22="",0,H21+1)</f>
        <v>0</v>
      </c>
      <c r="I22" s="15" t="n">
        <f aca="false">IF(Takip!I22="",0,I21+1)</f>
        <v>0</v>
      </c>
      <c r="J22" s="15" t="n">
        <f aca="false">IF(Takip!J22="",0,J21+1)</f>
        <v>0</v>
      </c>
      <c r="K22" s="15" t="n">
        <f aca="false">IF(Takip!K22="",0,K21+1)</f>
        <v>0</v>
      </c>
      <c r="L22" s="15" t="n">
        <f aca="false">IF(Takip!L22="",0,L21+1)</f>
        <v>0</v>
      </c>
      <c r="M22" s="15" t="n">
        <f aca="false">IF(Takip!M22="",0,M21+1)</f>
        <v>0</v>
      </c>
      <c r="N22" s="15" t="n">
        <f aca="false">IF(Takip!N22="",0,N21+1)</f>
        <v>0</v>
      </c>
      <c r="O22" s="15" t="n">
        <f aca="false">IF(Takip!O22="",0,O21+1)</f>
        <v>0</v>
      </c>
      <c r="P22" s="15" t="n">
        <f aca="false">IF(Takip!P22="",0,P21+1)</f>
        <v>0</v>
      </c>
      <c r="Q22" s="15" t="n">
        <f aca="false">IF(Takip!Q22="",0,Q21+1)</f>
        <v>0</v>
      </c>
    </row>
    <row r="23" customFormat="false" ht="15" hidden="false" customHeight="false" outlineLevel="0" collapsed="false">
      <c r="A23" s="14" t="n">
        <f aca="false">Takip!R23</f>
        <v>46040</v>
      </c>
      <c r="C23" s="15" t="n">
        <f aca="false">IF(Takip!C23="",0,C22+1)</f>
        <v>0</v>
      </c>
      <c r="D23" s="15" t="n">
        <f aca="false">IF(Takip!D23="",0,D22+1)</f>
        <v>0</v>
      </c>
      <c r="E23" s="15" t="n">
        <f aca="false">IF(Takip!E23="",0,E22+1)</f>
        <v>0</v>
      </c>
      <c r="F23" s="15" t="n">
        <f aca="false">IF(Takip!F23="",0,F22+1)</f>
        <v>0</v>
      </c>
      <c r="G23" s="15" t="n">
        <f aca="false">IF(Takip!G23="",0,G22+1)</f>
        <v>0</v>
      </c>
      <c r="H23" s="15" t="n">
        <f aca="false">IF(Takip!H23="",0,H22+1)</f>
        <v>0</v>
      </c>
      <c r="I23" s="15" t="n">
        <f aca="false">IF(Takip!I23="",0,I22+1)</f>
        <v>0</v>
      </c>
      <c r="J23" s="15" t="n">
        <f aca="false">IF(Takip!J23="",0,J22+1)</f>
        <v>0</v>
      </c>
      <c r="K23" s="15" t="n">
        <f aca="false">IF(Takip!K23="",0,K22+1)</f>
        <v>0</v>
      </c>
      <c r="L23" s="15" t="n">
        <f aca="false">IF(Takip!L23="",0,L22+1)</f>
        <v>0</v>
      </c>
      <c r="M23" s="15" t="n">
        <f aca="false">IF(Takip!M23="",0,M22+1)</f>
        <v>0</v>
      </c>
      <c r="N23" s="15" t="n">
        <f aca="false">IF(Takip!N23="",0,N22+1)</f>
        <v>0</v>
      </c>
      <c r="O23" s="15" t="n">
        <f aca="false">IF(Takip!O23="",0,O22+1)</f>
        <v>0</v>
      </c>
      <c r="P23" s="15" t="n">
        <f aca="false">IF(Takip!P23="",0,P22+1)</f>
        <v>0</v>
      </c>
      <c r="Q23" s="15" t="n">
        <f aca="false">IF(Takip!Q23="",0,Q22+1)</f>
        <v>0</v>
      </c>
    </row>
    <row r="24" customFormat="false" ht="15" hidden="false" customHeight="false" outlineLevel="0" collapsed="false">
      <c r="A24" s="14" t="n">
        <f aca="false">Takip!R24</f>
        <v>46041</v>
      </c>
      <c r="C24" s="15" t="n">
        <f aca="false">IF(Takip!C24="",0,C23+1)</f>
        <v>0</v>
      </c>
      <c r="D24" s="15" t="n">
        <f aca="false">IF(Takip!D24="",0,D23+1)</f>
        <v>0</v>
      </c>
      <c r="E24" s="15" t="n">
        <f aca="false">IF(Takip!E24="",0,E23+1)</f>
        <v>0</v>
      </c>
      <c r="F24" s="15" t="n">
        <f aca="false">IF(Takip!F24="",0,F23+1)</f>
        <v>0</v>
      </c>
      <c r="G24" s="15" t="n">
        <f aca="false">IF(Takip!G24="",0,G23+1)</f>
        <v>0</v>
      </c>
      <c r="H24" s="15" t="n">
        <f aca="false">IF(Takip!H24="",0,H23+1)</f>
        <v>0</v>
      </c>
      <c r="I24" s="15" t="n">
        <f aca="false">IF(Takip!I24="",0,I23+1)</f>
        <v>0</v>
      </c>
      <c r="J24" s="15" t="n">
        <f aca="false">IF(Takip!J24="",0,J23+1)</f>
        <v>0</v>
      </c>
      <c r="K24" s="15" t="n">
        <f aca="false">IF(Takip!K24="",0,K23+1)</f>
        <v>0</v>
      </c>
      <c r="L24" s="15" t="n">
        <f aca="false">IF(Takip!L24="",0,L23+1)</f>
        <v>0</v>
      </c>
      <c r="M24" s="15" t="n">
        <f aca="false">IF(Takip!M24="",0,M23+1)</f>
        <v>0</v>
      </c>
      <c r="N24" s="15" t="n">
        <f aca="false">IF(Takip!N24="",0,N23+1)</f>
        <v>0</v>
      </c>
      <c r="O24" s="15" t="n">
        <f aca="false">IF(Takip!O24="",0,O23+1)</f>
        <v>0</v>
      </c>
      <c r="P24" s="15" t="n">
        <f aca="false">IF(Takip!P24="",0,P23+1)</f>
        <v>0</v>
      </c>
      <c r="Q24" s="15" t="n">
        <f aca="false">IF(Takip!Q24="",0,Q23+1)</f>
        <v>0</v>
      </c>
    </row>
    <row r="25" customFormat="false" ht="15" hidden="false" customHeight="false" outlineLevel="0" collapsed="false">
      <c r="A25" s="14" t="n">
        <f aca="false">Takip!R25</f>
        <v>46042</v>
      </c>
      <c r="C25" s="15" t="n">
        <f aca="false">IF(Takip!C25="",0,C24+1)</f>
        <v>0</v>
      </c>
      <c r="D25" s="15" t="n">
        <f aca="false">IF(Takip!D25="",0,D24+1)</f>
        <v>0</v>
      </c>
      <c r="E25" s="15" t="n">
        <f aca="false">IF(Takip!E25="",0,E24+1)</f>
        <v>0</v>
      </c>
      <c r="F25" s="15" t="n">
        <f aca="false">IF(Takip!F25="",0,F24+1)</f>
        <v>0</v>
      </c>
      <c r="G25" s="15" t="n">
        <f aca="false">IF(Takip!G25="",0,G24+1)</f>
        <v>0</v>
      </c>
      <c r="H25" s="15" t="n">
        <f aca="false">IF(Takip!H25="",0,H24+1)</f>
        <v>0</v>
      </c>
      <c r="I25" s="15" t="n">
        <f aca="false">IF(Takip!I25="",0,I24+1)</f>
        <v>0</v>
      </c>
      <c r="J25" s="15" t="n">
        <f aca="false">IF(Takip!J25="",0,J24+1)</f>
        <v>0</v>
      </c>
      <c r="K25" s="15" t="n">
        <f aca="false">IF(Takip!K25="",0,K24+1)</f>
        <v>0</v>
      </c>
      <c r="L25" s="15" t="n">
        <f aca="false">IF(Takip!L25="",0,L24+1)</f>
        <v>0</v>
      </c>
      <c r="M25" s="15" t="n">
        <f aca="false">IF(Takip!M25="",0,M24+1)</f>
        <v>0</v>
      </c>
      <c r="N25" s="15" t="n">
        <f aca="false">IF(Takip!N25="",0,N24+1)</f>
        <v>0</v>
      </c>
      <c r="O25" s="15" t="n">
        <f aca="false">IF(Takip!O25="",0,O24+1)</f>
        <v>0</v>
      </c>
      <c r="P25" s="15" t="n">
        <f aca="false">IF(Takip!P25="",0,P24+1)</f>
        <v>0</v>
      </c>
      <c r="Q25" s="15" t="n">
        <f aca="false">IF(Takip!Q25="",0,Q24+1)</f>
        <v>0</v>
      </c>
    </row>
    <row r="26" customFormat="false" ht="15" hidden="false" customHeight="false" outlineLevel="0" collapsed="false">
      <c r="A26" s="14" t="n">
        <f aca="false">Takip!R26</f>
        <v>46043</v>
      </c>
      <c r="C26" s="15" t="n">
        <f aca="false">IF(Takip!C26="",0,C25+1)</f>
        <v>0</v>
      </c>
      <c r="D26" s="15" t="n">
        <f aca="false">IF(Takip!D26="",0,D25+1)</f>
        <v>0</v>
      </c>
      <c r="E26" s="15" t="n">
        <f aca="false">IF(Takip!E26="",0,E25+1)</f>
        <v>0</v>
      </c>
      <c r="F26" s="15" t="n">
        <f aca="false">IF(Takip!F26="",0,F25+1)</f>
        <v>0</v>
      </c>
      <c r="G26" s="15" t="n">
        <f aca="false">IF(Takip!G26="",0,G25+1)</f>
        <v>0</v>
      </c>
      <c r="H26" s="15" t="n">
        <f aca="false">IF(Takip!H26="",0,H25+1)</f>
        <v>0</v>
      </c>
      <c r="I26" s="15" t="n">
        <f aca="false">IF(Takip!I26="",0,I25+1)</f>
        <v>0</v>
      </c>
      <c r="J26" s="15" t="n">
        <f aca="false">IF(Takip!J26="",0,J25+1)</f>
        <v>0</v>
      </c>
      <c r="K26" s="15" t="n">
        <f aca="false">IF(Takip!K26="",0,K25+1)</f>
        <v>0</v>
      </c>
      <c r="L26" s="15" t="n">
        <f aca="false">IF(Takip!L26="",0,L25+1)</f>
        <v>0</v>
      </c>
      <c r="M26" s="15" t="n">
        <f aca="false">IF(Takip!M26="",0,M25+1)</f>
        <v>0</v>
      </c>
      <c r="N26" s="15" t="n">
        <f aca="false">IF(Takip!N26="",0,N25+1)</f>
        <v>0</v>
      </c>
      <c r="O26" s="15" t="n">
        <f aca="false">IF(Takip!O26="",0,O25+1)</f>
        <v>0</v>
      </c>
      <c r="P26" s="15" t="n">
        <f aca="false">IF(Takip!P26="",0,P25+1)</f>
        <v>0</v>
      </c>
      <c r="Q26" s="15" t="n">
        <f aca="false">IF(Takip!Q26="",0,Q25+1)</f>
        <v>0</v>
      </c>
    </row>
    <row r="27" customFormat="false" ht="15" hidden="false" customHeight="false" outlineLevel="0" collapsed="false">
      <c r="A27" s="14" t="n">
        <f aca="false">Takip!R27</f>
        <v>46044</v>
      </c>
      <c r="C27" s="15" t="n">
        <f aca="false">IF(Takip!C27="",0,C26+1)</f>
        <v>0</v>
      </c>
      <c r="D27" s="15" t="n">
        <f aca="false">IF(Takip!D27="",0,D26+1)</f>
        <v>0</v>
      </c>
      <c r="E27" s="15" t="n">
        <f aca="false">IF(Takip!E27="",0,E26+1)</f>
        <v>0</v>
      </c>
      <c r="F27" s="15" t="n">
        <f aca="false">IF(Takip!F27="",0,F26+1)</f>
        <v>0</v>
      </c>
      <c r="G27" s="15" t="n">
        <f aca="false">IF(Takip!G27="",0,G26+1)</f>
        <v>0</v>
      </c>
      <c r="H27" s="15" t="n">
        <f aca="false">IF(Takip!H27="",0,H26+1)</f>
        <v>0</v>
      </c>
      <c r="I27" s="15" t="n">
        <f aca="false">IF(Takip!I27="",0,I26+1)</f>
        <v>0</v>
      </c>
      <c r="J27" s="15" t="n">
        <f aca="false">IF(Takip!J27="",0,J26+1)</f>
        <v>0</v>
      </c>
      <c r="K27" s="15" t="n">
        <f aca="false">IF(Takip!K27="",0,K26+1)</f>
        <v>0</v>
      </c>
      <c r="L27" s="15" t="n">
        <f aca="false">IF(Takip!L27="",0,L26+1)</f>
        <v>0</v>
      </c>
      <c r="M27" s="15" t="n">
        <f aca="false">IF(Takip!M27="",0,M26+1)</f>
        <v>0</v>
      </c>
      <c r="N27" s="15" t="n">
        <f aca="false">IF(Takip!N27="",0,N26+1)</f>
        <v>0</v>
      </c>
      <c r="O27" s="15" t="n">
        <f aca="false">IF(Takip!O27="",0,O26+1)</f>
        <v>0</v>
      </c>
      <c r="P27" s="15" t="n">
        <f aca="false">IF(Takip!P27="",0,P26+1)</f>
        <v>0</v>
      </c>
      <c r="Q27" s="15" t="n">
        <f aca="false">IF(Takip!Q27="",0,Q26+1)</f>
        <v>0</v>
      </c>
    </row>
    <row r="28" customFormat="false" ht="15" hidden="false" customHeight="false" outlineLevel="0" collapsed="false">
      <c r="A28" s="14" t="n">
        <f aca="false">Takip!R28</f>
        <v>46045</v>
      </c>
      <c r="C28" s="15" t="n">
        <f aca="false">IF(Takip!C28="",0,C27+1)</f>
        <v>0</v>
      </c>
      <c r="D28" s="15" t="n">
        <f aca="false">IF(Takip!D28="",0,D27+1)</f>
        <v>0</v>
      </c>
      <c r="E28" s="15" t="n">
        <f aca="false">IF(Takip!E28="",0,E27+1)</f>
        <v>0</v>
      </c>
      <c r="F28" s="15" t="n">
        <f aca="false">IF(Takip!F28="",0,F27+1)</f>
        <v>0</v>
      </c>
      <c r="G28" s="15" t="n">
        <f aca="false">IF(Takip!G28="",0,G27+1)</f>
        <v>0</v>
      </c>
      <c r="H28" s="15" t="n">
        <f aca="false">IF(Takip!H28="",0,H27+1)</f>
        <v>0</v>
      </c>
      <c r="I28" s="15" t="n">
        <f aca="false">IF(Takip!I28="",0,I27+1)</f>
        <v>0</v>
      </c>
      <c r="J28" s="15" t="n">
        <f aca="false">IF(Takip!J28="",0,J27+1)</f>
        <v>0</v>
      </c>
      <c r="K28" s="15" t="n">
        <f aca="false">IF(Takip!K28="",0,K27+1)</f>
        <v>0</v>
      </c>
      <c r="L28" s="15" t="n">
        <f aca="false">IF(Takip!L28="",0,L27+1)</f>
        <v>0</v>
      </c>
      <c r="M28" s="15" t="n">
        <f aca="false">IF(Takip!M28="",0,M27+1)</f>
        <v>0</v>
      </c>
      <c r="N28" s="15" t="n">
        <f aca="false">IF(Takip!N28="",0,N27+1)</f>
        <v>0</v>
      </c>
      <c r="O28" s="15" t="n">
        <f aca="false">IF(Takip!O28="",0,O27+1)</f>
        <v>0</v>
      </c>
      <c r="P28" s="15" t="n">
        <f aca="false">IF(Takip!P28="",0,P27+1)</f>
        <v>0</v>
      </c>
      <c r="Q28" s="15" t="n">
        <f aca="false">IF(Takip!Q28="",0,Q27+1)</f>
        <v>0</v>
      </c>
    </row>
    <row r="29" customFormat="false" ht="15" hidden="false" customHeight="false" outlineLevel="0" collapsed="false">
      <c r="A29" s="14" t="n">
        <f aca="false">Takip!R29</f>
        <v>46046</v>
      </c>
      <c r="C29" s="15" t="n">
        <f aca="false">IF(Takip!C29="",0,C28+1)</f>
        <v>0</v>
      </c>
      <c r="D29" s="15" t="n">
        <f aca="false">IF(Takip!D29="",0,D28+1)</f>
        <v>0</v>
      </c>
      <c r="E29" s="15" t="n">
        <f aca="false">IF(Takip!E29="",0,E28+1)</f>
        <v>0</v>
      </c>
      <c r="F29" s="15" t="n">
        <f aca="false">IF(Takip!F29="",0,F28+1)</f>
        <v>0</v>
      </c>
      <c r="G29" s="15" t="n">
        <f aca="false">IF(Takip!G29="",0,G28+1)</f>
        <v>0</v>
      </c>
      <c r="H29" s="15" t="n">
        <f aca="false">IF(Takip!H29="",0,H28+1)</f>
        <v>0</v>
      </c>
      <c r="I29" s="15" t="n">
        <f aca="false">IF(Takip!I29="",0,I28+1)</f>
        <v>0</v>
      </c>
      <c r="J29" s="15" t="n">
        <f aca="false">IF(Takip!J29="",0,J28+1)</f>
        <v>0</v>
      </c>
      <c r="K29" s="15" t="n">
        <f aca="false">IF(Takip!K29="",0,K28+1)</f>
        <v>0</v>
      </c>
      <c r="L29" s="15" t="n">
        <f aca="false">IF(Takip!L29="",0,L28+1)</f>
        <v>0</v>
      </c>
      <c r="M29" s="15" t="n">
        <f aca="false">IF(Takip!M29="",0,M28+1)</f>
        <v>0</v>
      </c>
      <c r="N29" s="15" t="n">
        <f aca="false">IF(Takip!N29="",0,N28+1)</f>
        <v>0</v>
      </c>
      <c r="O29" s="15" t="n">
        <f aca="false">IF(Takip!O29="",0,O28+1)</f>
        <v>0</v>
      </c>
      <c r="P29" s="15" t="n">
        <f aca="false">IF(Takip!P29="",0,P28+1)</f>
        <v>0</v>
      </c>
      <c r="Q29" s="15" t="n">
        <f aca="false">IF(Takip!Q29="",0,Q28+1)</f>
        <v>0</v>
      </c>
    </row>
    <row r="30" customFormat="false" ht="15" hidden="false" customHeight="false" outlineLevel="0" collapsed="false">
      <c r="A30" s="14" t="n">
        <f aca="false">Takip!R30</f>
        <v>46047</v>
      </c>
      <c r="C30" s="15" t="n">
        <f aca="false">IF(Takip!C30="",0,C29+1)</f>
        <v>0</v>
      </c>
      <c r="D30" s="15" t="n">
        <f aca="false">IF(Takip!D30="",0,D29+1)</f>
        <v>0</v>
      </c>
      <c r="E30" s="15" t="n">
        <f aca="false">IF(Takip!E30="",0,E29+1)</f>
        <v>0</v>
      </c>
      <c r="F30" s="15" t="n">
        <f aca="false">IF(Takip!F30="",0,F29+1)</f>
        <v>0</v>
      </c>
      <c r="G30" s="15" t="n">
        <f aca="false">IF(Takip!G30="",0,G29+1)</f>
        <v>0</v>
      </c>
      <c r="H30" s="15" t="n">
        <f aca="false">IF(Takip!H30="",0,H29+1)</f>
        <v>0</v>
      </c>
      <c r="I30" s="15" t="n">
        <f aca="false">IF(Takip!I30="",0,I29+1)</f>
        <v>0</v>
      </c>
      <c r="J30" s="15" t="n">
        <f aca="false">IF(Takip!J30="",0,J29+1)</f>
        <v>0</v>
      </c>
      <c r="K30" s="15" t="n">
        <f aca="false">IF(Takip!K30="",0,K29+1)</f>
        <v>0</v>
      </c>
      <c r="L30" s="15" t="n">
        <f aca="false">IF(Takip!L30="",0,L29+1)</f>
        <v>0</v>
      </c>
      <c r="M30" s="15" t="n">
        <f aca="false">IF(Takip!M30="",0,M29+1)</f>
        <v>0</v>
      </c>
      <c r="N30" s="15" t="n">
        <f aca="false">IF(Takip!N30="",0,N29+1)</f>
        <v>0</v>
      </c>
      <c r="O30" s="15" t="n">
        <f aca="false">IF(Takip!O30="",0,O29+1)</f>
        <v>0</v>
      </c>
      <c r="P30" s="15" t="n">
        <f aca="false">IF(Takip!P30="",0,P29+1)</f>
        <v>0</v>
      </c>
      <c r="Q30" s="15" t="n">
        <f aca="false">IF(Takip!Q30="",0,Q29+1)</f>
        <v>0</v>
      </c>
    </row>
    <row r="31" customFormat="false" ht="15" hidden="false" customHeight="false" outlineLevel="0" collapsed="false">
      <c r="A31" s="14" t="n">
        <f aca="false">Takip!R31</f>
        <v>46048</v>
      </c>
      <c r="C31" s="15" t="n">
        <f aca="false">IF(Takip!C31="",0,C30+1)</f>
        <v>0</v>
      </c>
      <c r="D31" s="15" t="n">
        <f aca="false">IF(Takip!D31="",0,D30+1)</f>
        <v>0</v>
      </c>
      <c r="E31" s="15" t="n">
        <f aca="false">IF(Takip!E31="",0,E30+1)</f>
        <v>0</v>
      </c>
      <c r="F31" s="15" t="n">
        <f aca="false">IF(Takip!F31="",0,F30+1)</f>
        <v>0</v>
      </c>
      <c r="G31" s="15" t="n">
        <f aca="false">IF(Takip!G31="",0,G30+1)</f>
        <v>0</v>
      </c>
      <c r="H31" s="15" t="n">
        <f aca="false">IF(Takip!H31="",0,H30+1)</f>
        <v>0</v>
      </c>
      <c r="I31" s="15" t="n">
        <f aca="false">IF(Takip!I31="",0,I30+1)</f>
        <v>0</v>
      </c>
      <c r="J31" s="15" t="n">
        <f aca="false">IF(Takip!J31="",0,J30+1)</f>
        <v>0</v>
      </c>
      <c r="K31" s="15" t="n">
        <f aca="false">IF(Takip!K31="",0,K30+1)</f>
        <v>0</v>
      </c>
      <c r="L31" s="15" t="n">
        <f aca="false">IF(Takip!L31="",0,L30+1)</f>
        <v>0</v>
      </c>
      <c r="M31" s="15" t="n">
        <f aca="false">IF(Takip!M31="",0,M30+1)</f>
        <v>0</v>
      </c>
      <c r="N31" s="15" t="n">
        <f aca="false">IF(Takip!N31="",0,N30+1)</f>
        <v>0</v>
      </c>
      <c r="O31" s="15" t="n">
        <f aca="false">IF(Takip!O31="",0,O30+1)</f>
        <v>0</v>
      </c>
      <c r="P31" s="15" t="n">
        <f aca="false">IF(Takip!P31="",0,P30+1)</f>
        <v>0</v>
      </c>
      <c r="Q31" s="15" t="n">
        <f aca="false">IF(Takip!Q31="",0,Q30+1)</f>
        <v>0</v>
      </c>
    </row>
    <row r="32" customFormat="false" ht="15" hidden="false" customHeight="false" outlineLevel="0" collapsed="false">
      <c r="A32" s="14" t="n">
        <f aca="false">Takip!R32</f>
        <v>46049</v>
      </c>
      <c r="C32" s="15" t="n">
        <f aca="false">IF(Takip!C32="",0,C31+1)</f>
        <v>0</v>
      </c>
      <c r="D32" s="15" t="n">
        <f aca="false">IF(Takip!D32="",0,D31+1)</f>
        <v>0</v>
      </c>
      <c r="E32" s="15" t="n">
        <f aca="false">IF(Takip!E32="",0,E31+1)</f>
        <v>0</v>
      </c>
      <c r="F32" s="15" t="n">
        <f aca="false">IF(Takip!F32="",0,F31+1)</f>
        <v>0</v>
      </c>
      <c r="G32" s="15" t="n">
        <f aca="false">IF(Takip!G32="",0,G31+1)</f>
        <v>0</v>
      </c>
      <c r="H32" s="15" t="n">
        <f aca="false">IF(Takip!H32="",0,H31+1)</f>
        <v>0</v>
      </c>
      <c r="I32" s="15" t="n">
        <f aca="false">IF(Takip!I32="",0,I31+1)</f>
        <v>0</v>
      </c>
      <c r="J32" s="15" t="n">
        <f aca="false">IF(Takip!J32="",0,J31+1)</f>
        <v>0</v>
      </c>
      <c r="K32" s="15" t="n">
        <f aca="false">IF(Takip!K32="",0,K31+1)</f>
        <v>0</v>
      </c>
      <c r="L32" s="15" t="n">
        <f aca="false">IF(Takip!L32="",0,L31+1)</f>
        <v>0</v>
      </c>
      <c r="M32" s="15" t="n">
        <f aca="false">IF(Takip!M32="",0,M31+1)</f>
        <v>0</v>
      </c>
      <c r="N32" s="15" t="n">
        <f aca="false">IF(Takip!N32="",0,N31+1)</f>
        <v>0</v>
      </c>
      <c r="O32" s="15" t="n">
        <f aca="false">IF(Takip!O32="",0,O31+1)</f>
        <v>0</v>
      </c>
      <c r="P32" s="15" t="n">
        <f aca="false">IF(Takip!P32="",0,P31+1)</f>
        <v>0</v>
      </c>
      <c r="Q32" s="15" t="n">
        <f aca="false">IF(Takip!Q32="",0,Q31+1)</f>
        <v>0</v>
      </c>
    </row>
    <row r="33" customFormat="false" ht="15" hidden="false" customHeight="false" outlineLevel="0" collapsed="false">
      <c r="A33" s="14" t="n">
        <f aca="false">Takip!R33</f>
        <v>46050</v>
      </c>
      <c r="C33" s="15" t="n">
        <f aca="false">IF(Takip!C33="",0,C32+1)</f>
        <v>0</v>
      </c>
      <c r="D33" s="15" t="n">
        <f aca="false">IF(Takip!D33="",0,D32+1)</f>
        <v>0</v>
      </c>
      <c r="E33" s="15" t="n">
        <f aca="false">IF(Takip!E33="",0,E32+1)</f>
        <v>0</v>
      </c>
      <c r="F33" s="15" t="n">
        <f aca="false">IF(Takip!F33="",0,F32+1)</f>
        <v>0</v>
      </c>
      <c r="G33" s="15" t="n">
        <f aca="false">IF(Takip!G33="",0,G32+1)</f>
        <v>0</v>
      </c>
      <c r="H33" s="15" t="n">
        <f aca="false">IF(Takip!H33="",0,H32+1)</f>
        <v>0</v>
      </c>
      <c r="I33" s="15" t="n">
        <f aca="false">IF(Takip!I33="",0,I32+1)</f>
        <v>0</v>
      </c>
      <c r="J33" s="15" t="n">
        <f aca="false">IF(Takip!J33="",0,J32+1)</f>
        <v>0</v>
      </c>
      <c r="K33" s="15" t="n">
        <f aca="false">IF(Takip!K33="",0,K32+1)</f>
        <v>0</v>
      </c>
      <c r="L33" s="15" t="n">
        <f aca="false">IF(Takip!L33="",0,L32+1)</f>
        <v>0</v>
      </c>
      <c r="M33" s="15" t="n">
        <f aca="false">IF(Takip!M33="",0,M32+1)</f>
        <v>0</v>
      </c>
      <c r="N33" s="15" t="n">
        <f aca="false">IF(Takip!N33="",0,N32+1)</f>
        <v>0</v>
      </c>
      <c r="O33" s="15" t="n">
        <f aca="false">IF(Takip!O33="",0,O32+1)</f>
        <v>0</v>
      </c>
      <c r="P33" s="15" t="n">
        <f aca="false">IF(Takip!P33="",0,P32+1)</f>
        <v>0</v>
      </c>
      <c r="Q33" s="15" t="n">
        <f aca="false">IF(Takip!Q33="",0,Q32+1)</f>
        <v>0</v>
      </c>
    </row>
    <row r="34" customFormat="false" ht="15" hidden="false" customHeight="false" outlineLevel="0" collapsed="false">
      <c r="A34" s="14" t="n">
        <f aca="false">Takip!R34</f>
        <v>46051</v>
      </c>
      <c r="C34" s="15" t="n">
        <f aca="false">IF(Takip!C34="",0,C33+1)</f>
        <v>0</v>
      </c>
      <c r="D34" s="15" t="n">
        <f aca="false">IF(Takip!D34="",0,D33+1)</f>
        <v>0</v>
      </c>
      <c r="E34" s="15" t="n">
        <f aca="false">IF(Takip!E34="",0,E33+1)</f>
        <v>0</v>
      </c>
      <c r="F34" s="15" t="n">
        <f aca="false">IF(Takip!F34="",0,F33+1)</f>
        <v>0</v>
      </c>
      <c r="G34" s="15" t="n">
        <f aca="false">IF(Takip!G34="",0,G33+1)</f>
        <v>0</v>
      </c>
      <c r="H34" s="15" t="n">
        <f aca="false">IF(Takip!H34="",0,H33+1)</f>
        <v>0</v>
      </c>
      <c r="I34" s="15" t="n">
        <f aca="false">IF(Takip!I34="",0,I33+1)</f>
        <v>0</v>
      </c>
      <c r="J34" s="15" t="n">
        <f aca="false">IF(Takip!J34="",0,J33+1)</f>
        <v>0</v>
      </c>
      <c r="K34" s="15" t="n">
        <f aca="false">IF(Takip!K34="",0,K33+1)</f>
        <v>0</v>
      </c>
      <c r="L34" s="15" t="n">
        <f aca="false">IF(Takip!L34="",0,L33+1)</f>
        <v>0</v>
      </c>
      <c r="M34" s="15" t="n">
        <f aca="false">IF(Takip!M34="",0,M33+1)</f>
        <v>0</v>
      </c>
      <c r="N34" s="15" t="n">
        <f aca="false">IF(Takip!N34="",0,N33+1)</f>
        <v>0</v>
      </c>
      <c r="O34" s="15" t="n">
        <f aca="false">IF(Takip!O34="",0,O33+1)</f>
        <v>0</v>
      </c>
      <c r="P34" s="15" t="n">
        <f aca="false">IF(Takip!P34="",0,P33+1)</f>
        <v>0</v>
      </c>
      <c r="Q34" s="15" t="n">
        <f aca="false">IF(Takip!Q34="",0,Q33+1)</f>
        <v>0</v>
      </c>
    </row>
    <row r="35" customFormat="false" ht="15" hidden="false" customHeight="false" outlineLevel="0" collapsed="false">
      <c r="A35" s="14" t="n">
        <f aca="false">Takip!R35</f>
        <v>46052</v>
      </c>
      <c r="C35" s="15" t="n">
        <f aca="false">IF(Takip!C35="",0,C34+1)</f>
        <v>0</v>
      </c>
      <c r="D35" s="15" t="n">
        <f aca="false">IF(Takip!D35="",0,D34+1)</f>
        <v>0</v>
      </c>
      <c r="E35" s="15" t="n">
        <f aca="false">IF(Takip!E35="",0,E34+1)</f>
        <v>0</v>
      </c>
      <c r="F35" s="15" t="n">
        <f aca="false">IF(Takip!F35="",0,F34+1)</f>
        <v>0</v>
      </c>
      <c r="G35" s="15" t="n">
        <f aca="false">IF(Takip!G35="",0,G34+1)</f>
        <v>0</v>
      </c>
      <c r="H35" s="15" t="n">
        <f aca="false">IF(Takip!H35="",0,H34+1)</f>
        <v>0</v>
      </c>
      <c r="I35" s="15" t="n">
        <f aca="false">IF(Takip!I35="",0,I34+1)</f>
        <v>0</v>
      </c>
      <c r="J35" s="15" t="n">
        <f aca="false">IF(Takip!J35="",0,J34+1)</f>
        <v>0</v>
      </c>
      <c r="K35" s="15" t="n">
        <f aca="false">IF(Takip!K35="",0,K34+1)</f>
        <v>0</v>
      </c>
      <c r="L35" s="15" t="n">
        <f aca="false">IF(Takip!L35="",0,L34+1)</f>
        <v>0</v>
      </c>
      <c r="M35" s="15" t="n">
        <f aca="false">IF(Takip!M35="",0,M34+1)</f>
        <v>0</v>
      </c>
      <c r="N35" s="15" t="n">
        <f aca="false">IF(Takip!N35="",0,N34+1)</f>
        <v>0</v>
      </c>
      <c r="O35" s="15" t="n">
        <f aca="false">IF(Takip!O35="",0,O34+1)</f>
        <v>0</v>
      </c>
      <c r="P35" s="15" t="n">
        <f aca="false">IF(Takip!P35="",0,P34+1)</f>
        <v>0</v>
      </c>
      <c r="Q35" s="15" t="n">
        <f aca="false">IF(Takip!Q35="",0,Q34+1)</f>
        <v>0</v>
      </c>
    </row>
    <row r="36" customFormat="false" ht="15" hidden="false" customHeight="false" outlineLevel="0" collapsed="false">
      <c r="A36" s="14" t="n">
        <f aca="false">Takip!R36</f>
        <v>46053</v>
      </c>
      <c r="C36" s="15" t="n">
        <f aca="false">IF(Takip!C36="",0,C35+1)</f>
        <v>0</v>
      </c>
      <c r="D36" s="15" t="n">
        <f aca="false">IF(Takip!D36="",0,D35+1)</f>
        <v>0</v>
      </c>
      <c r="E36" s="15" t="n">
        <f aca="false">IF(Takip!E36="",0,E35+1)</f>
        <v>0</v>
      </c>
      <c r="F36" s="15" t="n">
        <f aca="false">IF(Takip!F36="",0,F35+1)</f>
        <v>0</v>
      </c>
      <c r="G36" s="15" t="n">
        <f aca="false">IF(Takip!G36="",0,G35+1)</f>
        <v>0</v>
      </c>
      <c r="H36" s="15" t="n">
        <f aca="false">IF(Takip!H36="",0,H35+1)</f>
        <v>0</v>
      </c>
      <c r="I36" s="15" t="n">
        <f aca="false">IF(Takip!I36="",0,I35+1)</f>
        <v>0</v>
      </c>
      <c r="J36" s="15" t="n">
        <f aca="false">IF(Takip!J36="",0,J35+1)</f>
        <v>0</v>
      </c>
      <c r="K36" s="15" t="n">
        <f aca="false">IF(Takip!K36="",0,K35+1)</f>
        <v>0</v>
      </c>
      <c r="L36" s="15" t="n">
        <f aca="false">IF(Takip!L36="",0,L35+1)</f>
        <v>0</v>
      </c>
      <c r="M36" s="15" t="n">
        <f aca="false">IF(Takip!M36="",0,M35+1)</f>
        <v>0</v>
      </c>
      <c r="N36" s="15" t="n">
        <f aca="false">IF(Takip!N36="",0,N35+1)</f>
        <v>0</v>
      </c>
      <c r="O36" s="15" t="n">
        <f aca="false">IF(Takip!O36="",0,O35+1)</f>
        <v>0</v>
      </c>
      <c r="P36" s="15" t="n">
        <f aca="false">IF(Takip!P36="",0,P35+1)</f>
        <v>0</v>
      </c>
      <c r="Q36" s="15" t="n">
        <f aca="false">IF(Takip!Q36="",0,Q35+1)</f>
        <v>0</v>
      </c>
    </row>
    <row r="37" customFormat="false" ht="15" hidden="false" customHeight="false" outlineLevel="0" collapsed="false">
      <c r="A37" s="14" t="n">
        <f aca="false">Takip!R37</f>
        <v>46054</v>
      </c>
      <c r="C37" s="15" t="n">
        <f aca="false">IF(Takip!C37="",0,C36+1)</f>
        <v>0</v>
      </c>
      <c r="D37" s="15" t="n">
        <f aca="false">IF(Takip!D37="",0,D36+1)</f>
        <v>0</v>
      </c>
      <c r="E37" s="15" t="n">
        <f aca="false">IF(Takip!E37="",0,E36+1)</f>
        <v>0</v>
      </c>
      <c r="F37" s="15" t="n">
        <f aca="false">IF(Takip!F37="",0,F36+1)</f>
        <v>0</v>
      </c>
      <c r="G37" s="15" t="n">
        <f aca="false">IF(Takip!G37="",0,G36+1)</f>
        <v>0</v>
      </c>
      <c r="H37" s="15" t="n">
        <f aca="false">IF(Takip!H37="",0,H36+1)</f>
        <v>0</v>
      </c>
      <c r="I37" s="15" t="n">
        <f aca="false">IF(Takip!I37="",0,I36+1)</f>
        <v>0</v>
      </c>
      <c r="J37" s="15" t="n">
        <f aca="false">IF(Takip!J37="",0,J36+1)</f>
        <v>0</v>
      </c>
      <c r="K37" s="15" t="n">
        <f aca="false">IF(Takip!K37="",0,K36+1)</f>
        <v>0</v>
      </c>
      <c r="L37" s="15" t="n">
        <f aca="false">IF(Takip!L37="",0,L36+1)</f>
        <v>0</v>
      </c>
      <c r="M37" s="15" t="n">
        <f aca="false">IF(Takip!M37="",0,M36+1)</f>
        <v>0</v>
      </c>
      <c r="N37" s="15" t="n">
        <f aca="false">IF(Takip!N37="",0,N36+1)</f>
        <v>0</v>
      </c>
      <c r="O37" s="15" t="n">
        <f aca="false">IF(Takip!O37="",0,O36+1)</f>
        <v>0</v>
      </c>
      <c r="P37" s="15" t="n">
        <f aca="false">IF(Takip!P37="",0,P36+1)</f>
        <v>0</v>
      </c>
      <c r="Q37" s="15" t="n">
        <f aca="false">IF(Takip!Q37="",0,Q36+1)</f>
        <v>0</v>
      </c>
    </row>
    <row r="38" customFormat="false" ht="15" hidden="false" customHeight="false" outlineLevel="0" collapsed="false">
      <c r="A38" s="14" t="n">
        <f aca="false">Takip!R38</f>
        <v>46055</v>
      </c>
      <c r="C38" s="15" t="n">
        <f aca="false">IF(Takip!C38="",0,C37+1)</f>
        <v>0</v>
      </c>
      <c r="D38" s="15" t="n">
        <f aca="false">IF(Takip!D38="",0,D37+1)</f>
        <v>0</v>
      </c>
      <c r="E38" s="15" t="n">
        <f aca="false">IF(Takip!E38="",0,E37+1)</f>
        <v>0</v>
      </c>
      <c r="F38" s="15" t="n">
        <f aca="false">IF(Takip!F38="",0,F37+1)</f>
        <v>0</v>
      </c>
      <c r="G38" s="15" t="n">
        <f aca="false">IF(Takip!G38="",0,G37+1)</f>
        <v>0</v>
      </c>
      <c r="H38" s="15" t="n">
        <f aca="false">IF(Takip!H38="",0,H37+1)</f>
        <v>0</v>
      </c>
      <c r="I38" s="15" t="n">
        <f aca="false">IF(Takip!I38="",0,I37+1)</f>
        <v>0</v>
      </c>
      <c r="J38" s="15" t="n">
        <f aca="false">IF(Takip!J38="",0,J37+1)</f>
        <v>0</v>
      </c>
      <c r="K38" s="15" t="n">
        <f aca="false">IF(Takip!K38="",0,K37+1)</f>
        <v>0</v>
      </c>
      <c r="L38" s="15" t="n">
        <f aca="false">IF(Takip!L38="",0,L37+1)</f>
        <v>0</v>
      </c>
      <c r="M38" s="15" t="n">
        <f aca="false">IF(Takip!M38="",0,M37+1)</f>
        <v>0</v>
      </c>
      <c r="N38" s="15" t="n">
        <f aca="false">IF(Takip!N38="",0,N37+1)</f>
        <v>0</v>
      </c>
      <c r="O38" s="15" t="n">
        <f aca="false">IF(Takip!O38="",0,O37+1)</f>
        <v>0</v>
      </c>
      <c r="P38" s="15" t="n">
        <f aca="false">IF(Takip!P38="",0,P37+1)</f>
        <v>0</v>
      </c>
      <c r="Q38" s="15" t="n">
        <f aca="false">IF(Takip!Q38="",0,Q37+1)</f>
        <v>0</v>
      </c>
    </row>
    <row r="39" customFormat="false" ht="15" hidden="false" customHeight="false" outlineLevel="0" collapsed="false">
      <c r="A39" s="14" t="n">
        <f aca="false">Takip!R39</f>
        <v>46056</v>
      </c>
      <c r="C39" s="15" t="n">
        <f aca="false">IF(Takip!C39="",0,C38+1)</f>
        <v>0</v>
      </c>
      <c r="D39" s="15" t="n">
        <f aca="false">IF(Takip!D39="",0,D38+1)</f>
        <v>0</v>
      </c>
      <c r="E39" s="15" t="n">
        <f aca="false">IF(Takip!E39="",0,E38+1)</f>
        <v>0</v>
      </c>
      <c r="F39" s="15" t="n">
        <f aca="false">IF(Takip!F39="",0,F38+1)</f>
        <v>0</v>
      </c>
      <c r="G39" s="15" t="n">
        <f aca="false">IF(Takip!G39="",0,G38+1)</f>
        <v>0</v>
      </c>
      <c r="H39" s="15" t="n">
        <f aca="false">IF(Takip!H39="",0,H38+1)</f>
        <v>0</v>
      </c>
      <c r="I39" s="15" t="n">
        <f aca="false">IF(Takip!I39="",0,I38+1)</f>
        <v>0</v>
      </c>
      <c r="J39" s="15" t="n">
        <f aca="false">IF(Takip!J39="",0,J38+1)</f>
        <v>0</v>
      </c>
      <c r="K39" s="15" t="n">
        <f aca="false">IF(Takip!K39="",0,K38+1)</f>
        <v>0</v>
      </c>
      <c r="L39" s="15" t="n">
        <f aca="false">IF(Takip!L39="",0,L38+1)</f>
        <v>0</v>
      </c>
      <c r="M39" s="15" t="n">
        <f aca="false">IF(Takip!M39="",0,M38+1)</f>
        <v>0</v>
      </c>
      <c r="N39" s="15" t="n">
        <f aca="false">IF(Takip!N39="",0,N38+1)</f>
        <v>0</v>
      </c>
      <c r="O39" s="15" t="n">
        <f aca="false">IF(Takip!O39="",0,O38+1)</f>
        <v>0</v>
      </c>
      <c r="P39" s="15" t="n">
        <f aca="false">IF(Takip!P39="",0,P38+1)</f>
        <v>0</v>
      </c>
      <c r="Q39" s="15" t="n">
        <f aca="false">IF(Takip!Q39="",0,Q38+1)</f>
        <v>0</v>
      </c>
    </row>
    <row r="40" customFormat="false" ht="15" hidden="false" customHeight="false" outlineLevel="0" collapsed="false">
      <c r="A40" s="14" t="n">
        <f aca="false">Takip!R40</f>
        <v>46057</v>
      </c>
      <c r="C40" s="15" t="n">
        <f aca="false">IF(Takip!C40="",0,C39+1)</f>
        <v>0</v>
      </c>
      <c r="D40" s="15" t="n">
        <f aca="false">IF(Takip!D40="",0,D39+1)</f>
        <v>0</v>
      </c>
      <c r="E40" s="15" t="n">
        <f aca="false">IF(Takip!E40="",0,E39+1)</f>
        <v>0</v>
      </c>
      <c r="F40" s="15" t="n">
        <f aca="false">IF(Takip!F40="",0,F39+1)</f>
        <v>0</v>
      </c>
      <c r="G40" s="15" t="n">
        <f aca="false">IF(Takip!G40="",0,G39+1)</f>
        <v>0</v>
      </c>
      <c r="H40" s="15" t="n">
        <f aca="false">IF(Takip!H40="",0,H39+1)</f>
        <v>0</v>
      </c>
      <c r="I40" s="15" t="n">
        <f aca="false">IF(Takip!I40="",0,I39+1)</f>
        <v>0</v>
      </c>
      <c r="J40" s="15" t="n">
        <f aca="false">IF(Takip!J40="",0,J39+1)</f>
        <v>0</v>
      </c>
      <c r="K40" s="15" t="n">
        <f aca="false">IF(Takip!K40="",0,K39+1)</f>
        <v>0</v>
      </c>
      <c r="L40" s="15" t="n">
        <f aca="false">IF(Takip!L40="",0,L39+1)</f>
        <v>0</v>
      </c>
      <c r="M40" s="15" t="n">
        <f aca="false">IF(Takip!M40="",0,M39+1)</f>
        <v>0</v>
      </c>
      <c r="N40" s="15" t="n">
        <f aca="false">IF(Takip!N40="",0,N39+1)</f>
        <v>0</v>
      </c>
      <c r="O40" s="15" t="n">
        <f aca="false">IF(Takip!O40="",0,O39+1)</f>
        <v>0</v>
      </c>
      <c r="P40" s="15" t="n">
        <f aca="false">IF(Takip!P40="",0,P39+1)</f>
        <v>0</v>
      </c>
      <c r="Q40" s="15" t="n">
        <f aca="false">IF(Takip!Q40="",0,Q39+1)</f>
        <v>0</v>
      </c>
    </row>
    <row r="41" customFormat="false" ht="15" hidden="false" customHeight="false" outlineLevel="0" collapsed="false">
      <c r="A41" s="14" t="n">
        <f aca="false">Takip!R41</f>
        <v>46058</v>
      </c>
      <c r="C41" s="15" t="n">
        <f aca="false">IF(Takip!C41="",0,C40+1)</f>
        <v>0</v>
      </c>
      <c r="D41" s="15" t="n">
        <f aca="false">IF(Takip!D41="",0,D40+1)</f>
        <v>0</v>
      </c>
      <c r="E41" s="15" t="n">
        <f aca="false">IF(Takip!E41="",0,E40+1)</f>
        <v>0</v>
      </c>
      <c r="F41" s="15" t="n">
        <f aca="false">IF(Takip!F41="",0,F40+1)</f>
        <v>0</v>
      </c>
      <c r="G41" s="15" t="n">
        <f aca="false">IF(Takip!G41="",0,G40+1)</f>
        <v>0</v>
      </c>
      <c r="H41" s="15" t="n">
        <f aca="false">IF(Takip!H41="",0,H40+1)</f>
        <v>0</v>
      </c>
      <c r="I41" s="15" t="n">
        <f aca="false">IF(Takip!I41="",0,I40+1)</f>
        <v>0</v>
      </c>
      <c r="J41" s="15" t="n">
        <f aca="false">IF(Takip!J41="",0,J40+1)</f>
        <v>0</v>
      </c>
      <c r="K41" s="15" t="n">
        <f aca="false">IF(Takip!K41="",0,K40+1)</f>
        <v>0</v>
      </c>
      <c r="L41" s="15" t="n">
        <f aca="false">IF(Takip!L41="",0,L40+1)</f>
        <v>0</v>
      </c>
      <c r="M41" s="15" t="n">
        <f aca="false">IF(Takip!M41="",0,M40+1)</f>
        <v>0</v>
      </c>
      <c r="N41" s="15" t="n">
        <f aca="false">IF(Takip!N41="",0,N40+1)</f>
        <v>0</v>
      </c>
      <c r="O41" s="15" t="n">
        <f aca="false">IF(Takip!O41="",0,O40+1)</f>
        <v>0</v>
      </c>
      <c r="P41" s="15" t="n">
        <f aca="false">IF(Takip!P41="",0,P40+1)</f>
        <v>0</v>
      </c>
      <c r="Q41" s="15" t="n">
        <f aca="false">IF(Takip!Q41="",0,Q40+1)</f>
        <v>0</v>
      </c>
    </row>
    <row r="42" customFormat="false" ht="15" hidden="false" customHeight="false" outlineLevel="0" collapsed="false">
      <c r="A42" s="14" t="n">
        <f aca="false">Takip!R42</f>
        <v>46059</v>
      </c>
      <c r="C42" s="15" t="n">
        <f aca="false">IF(Takip!C42="",0,C41+1)</f>
        <v>0</v>
      </c>
      <c r="D42" s="15" t="n">
        <f aca="false">IF(Takip!D42="",0,D41+1)</f>
        <v>0</v>
      </c>
      <c r="E42" s="15" t="n">
        <f aca="false">IF(Takip!E42="",0,E41+1)</f>
        <v>0</v>
      </c>
      <c r="F42" s="15" t="n">
        <f aca="false">IF(Takip!F42="",0,F41+1)</f>
        <v>0</v>
      </c>
      <c r="G42" s="15" t="n">
        <f aca="false">IF(Takip!G42="",0,G41+1)</f>
        <v>0</v>
      </c>
      <c r="H42" s="15" t="n">
        <f aca="false">IF(Takip!H42="",0,H41+1)</f>
        <v>0</v>
      </c>
      <c r="I42" s="15" t="n">
        <f aca="false">IF(Takip!I42="",0,I41+1)</f>
        <v>0</v>
      </c>
      <c r="J42" s="15" t="n">
        <f aca="false">IF(Takip!J42="",0,J41+1)</f>
        <v>0</v>
      </c>
      <c r="K42" s="15" t="n">
        <f aca="false">IF(Takip!K42="",0,K41+1)</f>
        <v>0</v>
      </c>
      <c r="L42" s="15" t="n">
        <f aca="false">IF(Takip!L42="",0,L41+1)</f>
        <v>0</v>
      </c>
      <c r="M42" s="15" t="n">
        <f aca="false">IF(Takip!M42="",0,M41+1)</f>
        <v>0</v>
      </c>
      <c r="N42" s="15" t="n">
        <f aca="false">IF(Takip!N42="",0,N41+1)</f>
        <v>0</v>
      </c>
      <c r="O42" s="15" t="n">
        <f aca="false">IF(Takip!O42="",0,O41+1)</f>
        <v>0</v>
      </c>
      <c r="P42" s="15" t="n">
        <f aca="false">IF(Takip!P42="",0,P41+1)</f>
        <v>0</v>
      </c>
      <c r="Q42" s="15" t="n">
        <f aca="false">IF(Takip!Q42="",0,Q41+1)</f>
        <v>0</v>
      </c>
    </row>
    <row r="43" customFormat="false" ht="15" hidden="false" customHeight="false" outlineLevel="0" collapsed="false">
      <c r="A43" s="14" t="n">
        <f aca="false">Takip!R43</f>
        <v>46060</v>
      </c>
      <c r="C43" s="15" t="n">
        <f aca="false">IF(Takip!C43="",0,C42+1)</f>
        <v>0</v>
      </c>
      <c r="D43" s="15" t="n">
        <f aca="false">IF(Takip!D43="",0,D42+1)</f>
        <v>0</v>
      </c>
      <c r="E43" s="15" t="n">
        <f aca="false">IF(Takip!E43="",0,E42+1)</f>
        <v>0</v>
      </c>
      <c r="F43" s="15" t="n">
        <f aca="false">IF(Takip!F43="",0,F42+1)</f>
        <v>0</v>
      </c>
      <c r="G43" s="15" t="n">
        <f aca="false">IF(Takip!G43="",0,G42+1)</f>
        <v>0</v>
      </c>
      <c r="H43" s="15" t="n">
        <f aca="false">IF(Takip!H43="",0,H42+1)</f>
        <v>0</v>
      </c>
      <c r="I43" s="15" t="n">
        <f aca="false">IF(Takip!I43="",0,I42+1)</f>
        <v>0</v>
      </c>
      <c r="J43" s="15" t="n">
        <f aca="false">IF(Takip!J43="",0,J42+1)</f>
        <v>0</v>
      </c>
      <c r="K43" s="15" t="n">
        <f aca="false">IF(Takip!K43="",0,K42+1)</f>
        <v>0</v>
      </c>
      <c r="L43" s="15" t="n">
        <f aca="false">IF(Takip!L43="",0,L42+1)</f>
        <v>0</v>
      </c>
      <c r="M43" s="15" t="n">
        <f aca="false">IF(Takip!M43="",0,M42+1)</f>
        <v>0</v>
      </c>
      <c r="N43" s="15" t="n">
        <f aca="false">IF(Takip!N43="",0,N42+1)</f>
        <v>0</v>
      </c>
      <c r="O43" s="15" t="n">
        <f aca="false">IF(Takip!O43="",0,O42+1)</f>
        <v>0</v>
      </c>
      <c r="P43" s="15" t="n">
        <f aca="false">IF(Takip!P43="",0,P42+1)</f>
        <v>0</v>
      </c>
      <c r="Q43" s="15" t="n">
        <f aca="false">IF(Takip!Q43="",0,Q42+1)</f>
        <v>0</v>
      </c>
    </row>
    <row r="44" customFormat="false" ht="15" hidden="false" customHeight="false" outlineLevel="0" collapsed="false">
      <c r="A44" s="14" t="n">
        <f aca="false">Takip!R44</f>
        <v>46061</v>
      </c>
      <c r="C44" s="15" t="n">
        <f aca="false">IF(Takip!C44="",0,C43+1)</f>
        <v>0</v>
      </c>
      <c r="D44" s="15" t="n">
        <f aca="false">IF(Takip!D44="",0,D43+1)</f>
        <v>0</v>
      </c>
      <c r="E44" s="15" t="n">
        <f aca="false">IF(Takip!E44="",0,E43+1)</f>
        <v>0</v>
      </c>
      <c r="F44" s="15" t="n">
        <f aca="false">IF(Takip!F44="",0,F43+1)</f>
        <v>0</v>
      </c>
      <c r="G44" s="15" t="n">
        <f aca="false">IF(Takip!G44="",0,G43+1)</f>
        <v>0</v>
      </c>
      <c r="H44" s="15" t="n">
        <f aca="false">IF(Takip!H44="",0,H43+1)</f>
        <v>0</v>
      </c>
      <c r="I44" s="15" t="n">
        <f aca="false">IF(Takip!I44="",0,I43+1)</f>
        <v>0</v>
      </c>
      <c r="J44" s="15" t="n">
        <f aca="false">IF(Takip!J44="",0,J43+1)</f>
        <v>0</v>
      </c>
      <c r="K44" s="15" t="n">
        <f aca="false">IF(Takip!K44="",0,K43+1)</f>
        <v>0</v>
      </c>
      <c r="L44" s="15" t="n">
        <f aca="false">IF(Takip!L44="",0,L43+1)</f>
        <v>0</v>
      </c>
      <c r="M44" s="15" t="n">
        <f aca="false">IF(Takip!M44="",0,M43+1)</f>
        <v>0</v>
      </c>
      <c r="N44" s="15" t="n">
        <f aca="false">IF(Takip!N44="",0,N43+1)</f>
        <v>0</v>
      </c>
      <c r="O44" s="15" t="n">
        <f aca="false">IF(Takip!O44="",0,O43+1)</f>
        <v>0</v>
      </c>
      <c r="P44" s="15" t="n">
        <f aca="false">IF(Takip!P44="",0,P43+1)</f>
        <v>0</v>
      </c>
      <c r="Q44" s="15" t="n">
        <f aca="false">IF(Takip!Q44="",0,Q43+1)</f>
        <v>0</v>
      </c>
    </row>
    <row r="45" customFormat="false" ht="15" hidden="false" customHeight="false" outlineLevel="0" collapsed="false">
      <c r="A45" s="14" t="n">
        <f aca="false">Takip!R45</f>
        <v>46062</v>
      </c>
      <c r="C45" s="15" t="n">
        <f aca="false">IF(Takip!C45="",0,C44+1)</f>
        <v>0</v>
      </c>
      <c r="D45" s="15" t="n">
        <f aca="false">IF(Takip!D45="",0,D44+1)</f>
        <v>0</v>
      </c>
      <c r="E45" s="15" t="n">
        <f aca="false">IF(Takip!E45="",0,E44+1)</f>
        <v>0</v>
      </c>
      <c r="F45" s="15" t="n">
        <f aca="false">IF(Takip!F45="",0,F44+1)</f>
        <v>0</v>
      </c>
      <c r="G45" s="15" t="n">
        <f aca="false">IF(Takip!G45="",0,G44+1)</f>
        <v>0</v>
      </c>
      <c r="H45" s="15" t="n">
        <f aca="false">IF(Takip!H45="",0,H44+1)</f>
        <v>0</v>
      </c>
      <c r="I45" s="15" t="n">
        <f aca="false">IF(Takip!I45="",0,I44+1)</f>
        <v>0</v>
      </c>
      <c r="J45" s="15" t="n">
        <f aca="false">IF(Takip!J45="",0,J44+1)</f>
        <v>0</v>
      </c>
      <c r="K45" s="15" t="n">
        <f aca="false">IF(Takip!K45="",0,K44+1)</f>
        <v>0</v>
      </c>
      <c r="L45" s="15" t="n">
        <f aca="false">IF(Takip!L45="",0,L44+1)</f>
        <v>0</v>
      </c>
      <c r="M45" s="15" t="n">
        <f aca="false">IF(Takip!M45="",0,M44+1)</f>
        <v>0</v>
      </c>
      <c r="N45" s="15" t="n">
        <f aca="false">IF(Takip!N45="",0,N44+1)</f>
        <v>0</v>
      </c>
      <c r="O45" s="15" t="n">
        <f aca="false">IF(Takip!O45="",0,O44+1)</f>
        <v>0</v>
      </c>
      <c r="P45" s="15" t="n">
        <f aca="false">IF(Takip!P45="",0,P44+1)</f>
        <v>0</v>
      </c>
      <c r="Q45" s="15" t="n">
        <f aca="false">IF(Takip!Q45="",0,Q44+1)</f>
        <v>0</v>
      </c>
    </row>
    <row r="46" customFormat="false" ht="15" hidden="false" customHeight="false" outlineLevel="0" collapsed="false">
      <c r="A46" s="14" t="n">
        <f aca="false">Takip!R46</f>
        <v>46063</v>
      </c>
      <c r="C46" s="15" t="n">
        <f aca="false">IF(Takip!C46="",0,C45+1)</f>
        <v>0</v>
      </c>
      <c r="D46" s="15" t="n">
        <f aca="false">IF(Takip!D46="",0,D45+1)</f>
        <v>0</v>
      </c>
      <c r="E46" s="15" t="n">
        <f aca="false">IF(Takip!E46="",0,E45+1)</f>
        <v>0</v>
      </c>
      <c r="F46" s="15" t="n">
        <f aca="false">IF(Takip!F46="",0,F45+1)</f>
        <v>0</v>
      </c>
      <c r="G46" s="15" t="n">
        <f aca="false">IF(Takip!G46="",0,G45+1)</f>
        <v>0</v>
      </c>
      <c r="H46" s="15" t="n">
        <f aca="false">IF(Takip!H46="",0,H45+1)</f>
        <v>0</v>
      </c>
      <c r="I46" s="15" t="n">
        <f aca="false">IF(Takip!I46="",0,I45+1)</f>
        <v>0</v>
      </c>
      <c r="J46" s="15" t="n">
        <f aca="false">IF(Takip!J46="",0,J45+1)</f>
        <v>0</v>
      </c>
      <c r="K46" s="15" t="n">
        <f aca="false">IF(Takip!K46="",0,K45+1)</f>
        <v>0</v>
      </c>
      <c r="L46" s="15" t="n">
        <f aca="false">IF(Takip!L46="",0,L45+1)</f>
        <v>0</v>
      </c>
      <c r="M46" s="15" t="n">
        <f aca="false">IF(Takip!M46="",0,M45+1)</f>
        <v>0</v>
      </c>
      <c r="N46" s="15" t="n">
        <f aca="false">IF(Takip!N46="",0,N45+1)</f>
        <v>0</v>
      </c>
      <c r="O46" s="15" t="n">
        <f aca="false">IF(Takip!O46="",0,O45+1)</f>
        <v>0</v>
      </c>
      <c r="P46" s="15" t="n">
        <f aca="false">IF(Takip!P46="",0,P45+1)</f>
        <v>0</v>
      </c>
      <c r="Q46" s="15" t="n">
        <f aca="false">IF(Takip!Q46="",0,Q45+1)</f>
        <v>0</v>
      </c>
    </row>
    <row r="47" customFormat="false" ht="15" hidden="false" customHeight="false" outlineLevel="0" collapsed="false">
      <c r="A47" s="14" t="n">
        <f aca="false">Takip!R47</f>
        <v>46064</v>
      </c>
      <c r="C47" s="15" t="n">
        <f aca="false">IF(Takip!C47="",0,C46+1)</f>
        <v>0</v>
      </c>
      <c r="D47" s="15" t="n">
        <f aca="false">IF(Takip!D47="",0,D46+1)</f>
        <v>0</v>
      </c>
      <c r="E47" s="15" t="n">
        <f aca="false">IF(Takip!E47="",0,E46+1)</f>
        <v>0</v>
      </c>
      <c r="F47" s="15" t="n">
        <f aca="false">IF(Takip!F47="",0,F46+1)</f>
        <v>0</v>
      </c>
      <c r="G47" s="15" t="n">
        <f aca="false">IF(Takip!G47="",0,G46+1)</f>
        <v>0</v>
      </c>
      <c r="H47" s="15" t="n">
        <f aca="false">IF(Takip!H47="",0,H46+1)</f>
        <v>0</v>
      </c>
      <c r="I47" s="15" t="n">
        <f aca="false">IF(Takip!I47="",0,I46+1)</f>
        <v>0</v>
      </c>
      <c r="J47" s="15" t="n">
        <f aca="false">IF(Takip!J47="",0,J46+1)</f>
        <v>0</v>
      </c>
      <c r="K47" s="15" t="n">
        <f aca="false">IF(Takip!K47="",0,K46+1)</f>
        <v>0</v>
      </c>
      <c r="L47" s="15" t="n">
        <f aca="false">IF(Takip!L47="",0,L46+1)</f>
        <v>0</v>
      </c>
      <c r="M47" s="15" t="n">
        <f aca="false">IF(Takip!M47="",0,M46+1)</f>
        <v>0</v>
      </c>
      <c r="N47" s="15" t="n">
        <f aca="false">IF(Takip!N47="",0,N46+1)</f>
        <v>0</v>
      </c>
      <c r="O47" s="15" t="n">
        <f aca="false">IF(Takip!O47="",0,O46+1)</f>
        <v>0</v>
      </c>
      <c r="P47" s="15" t="n">
        <f aca="false">IF(Takip!P47="",0,P46+1)</f>
        <v>0</v>
      </c>
      <c r="Q47" s="15" t="n">
        <f aca="false">IF(Takip!Q47="",0,Q46+1)</f>
        <v>0</v>
      </c>
    </row>
    <row r="48" customFormat="false" ht="15" hidden="false" customHeight="false" outlineLevel="0" collapsed="false">
      <c r="A48" s="14" t="n">
        <f aca="false">Takip!R48</f>
        <v>46065</v>
      </c>
      <c r="C48" s="15" t="n">
        <f aca="false">IF(Takip!C48="",0,C47+1)</f>
        <v>0</v>
      </c>
      <c r="D48" s="15" t="n">
        <f aca="false">IF(Takip!D48="",0,D47+1)</f>
        <v>0</v>
      </c>
      <c r="E48" s="15" t="n">
        <f aca="false">IF(Takip!E48="",0,E47+1)</f>
        <v>0</v>
      </c>
      <c r="F48" s="15" t="n">
        <f aca="false">IF(Takip!F48="",0,F47+1)</f>
        <v>0</v>
      </c>
      <c r="G48" s="15" t="n">
        <f aca="false">IF(Takip!G48="",0,G47+1)</f>
        <v>0</v>
      </c>
      <c r="H48" s="15" t="n">
        <f aca="false">IF(Takip!H48="",0,H47+1)</f>
        <v>0</v>
      </c>
      <c r="I48" s="15" t="n">
        <f aca="false">IF(Takip!I48="",0,I47+1)</f>
        <v>0</v>
      </c>
      <c r="J48" s="15" t="n">
        <f aca="false">IF(Takip!J48="",0,J47+1)</f>
        <v>0</v>
      </c>
      <c r="K48" s="15" t="n">
        <f aca="false">IF(Takip!K48="",0,K47+1)</f>
        <v>0</v>
      </c>
      <c r="L48" s="15" t="n">
        <f aca="false">IF(Takip!L48="",0,L47+1)</f>
        <v>0</v>
      </c>
      <c r="M48" s="15" t="n">
        <f aca="false">IF(Takip!M48="",0,M47+1)</f>
        <v>0</v>
      </c>
      <c r="N48" s="15" t="n">
        <f aca="false">IF(Takip!N48="",0,N47+1)</f>
        <v>0</v>
      </c>
      <c r="O48" s="15" t="n">
        <f aca="false">IF(Takip!O48="",0,O47+1)</f>
        <v>0</v>
      </c>
      <c r="P48" s="15" t="n">
        <f aca="false">IF(Takip!P48="",0,P47+1)</f>
        <v>0</v>
      </c>
      <c r="Q48" s="15" t="n">
        <f aca="false">IF(Takip!Q48="",0,Q47+1)</f>
        <v>0</v>
      </c>
    </row>
    <row r="49" customFormat="false" ht="15" hidden="false" customHeight="false" outlineLevel="0" collapsed="false">
      <c r="A49" s="14" t="n">
        <f aca="false">Takip!R49</f>
        <v>46066</v>
      </c>
      <c r="C49" s="15" t="n">
        <f aca="false">IF(Takip!C49="",0,C48+1)</f>
        <v>0</v>
      </c>
      <c r="D49" s="15" t="n">
        <f aca="false">IF(Takip!D49="",0,D48+1)</f>
        <v>0</v>
      </c>
      <c r="E49" s="15" t="n">
        <f aca="false">IF(Takip!E49="",0,E48+1)</f>
        <v>0</v>
      </c>
      <c r="F49" s="15" t="n">
        <f aca="false">IF(Takip!F49="",0,F48+1)</f>
        <v>0</v>
      </c>
      <c r="G49" s="15" t="n">
        <f aca="false">IF(Takip!G49="",0,G48+1)</f>
        <v>0</v>
      </c>
      <c r="H49" s="15" t="n">
        <f aca="false">IF(Takip!H49="",0,H48+1)</f>
        <v>0</v>
      </c>
      <c r="I49" s="15" t="n">
        <f aca="false">IF(Takip!I49="",0,I48+1)</f>
        <v>0</v>
      </c>
      <c r="J49" s="15" t="n">
        <f aca="false">IF(Takip!J49="",0,J48+1)</f>
        <v>0</v>
      </c>
      <c r="K49" s="15" t="n">
        <f aca="false">IF(Takip!K49="",0,K48+1)</f>
        <v>0</v>
      </c>
      <c r="L49" s="15" t="n">
        <f aca="false">IF(Takip!L49="",0,L48+1)</f>
        <v>0</v>
      </c>
      <c r="M49" s="15" t="n">
        <f aca="false">IF(Takip!M49="",0,M48+1)</f>
        <v>0</v>
      </c>
      <c r="N49" s="15" t="n">
        <f aca="false">IF(Takip!N49="",0,N48+1)</f>
        <v>0</v>
      </c>
      <c r="O49" s="15" t="n">
        <f aca="false">IF(Takip!O49="",0,O48+1)</f>
        <v>0</v>
      </c>
      <c r="P49" s="15" t="n">
        <f aca="false">IF(Takip!P49="",0,P48+1)</f>
        <v>0</v>
      </c>
      <c r="Q49" s="15" t="n">
        <f aca="false">IF(Takip!Q49="",0,Q48+1)</f>
        <v>0</v>
      </c>
    </row>
    <row r="50" customFormat="false" ht="15" hidden="false" customHeight="false" outlineLevel="0" collapsed="false">
      <c r="A50" s="14" t="n">
        <f aca="false">Takip!R50</f>
        <v>46067</v>
      </c>
      <c r="C50" s="15" t="n">
        <f aca="false">IF(Takip!C50="",0,C49+1)</f>
        <v>0</v>
      </c>
      <c r="D50" s="15" t="n">
        <f aca="false">IF(Takip!D50="",0,D49+1)</f>
        <v>0</v>
      </c>
      <c r="E50" s="15" t="n">
        <f aca="false">IF(Takip!E50="",0,E49+1)</f>
        <v>0</v>
      </c>
      <c r="F50" s="15" t="n">
        <f aca="false">IF(Takip!F50="",0,F49+1)</f>
        <v>0</v>
      </c>
      <c r="G50" s="15" t="n">
        <f aca="false">IF(Takip!G50="",0,G49+1)</f>
        <v>0</v>
      </c>
      <c r="H50" s="15" t="n">
        <f aca="false">IF(Takip!H50="",0,H49+1)</f>
        <v>0</v>
      </c>
      <c r="I50" s="15" t="n">
        <f aca="false">IF(Takip!I50="",0,I49+1)</f>
        <v>0</v>
      </c>
      <c r="J50" s="15" t="n">
        <f aca="false">IF(Takip!J50="",0,J49+1)</f>
        <v>0</v>
      </c>
      <c r="K50" s="15" t="n">
        <f aca="false">IF(Takip!K50="",0,K49+1)</f>
        <v>0</v>
      </c>
      <c r="L50" s="15" t="n">
        <f aca="false">IF(Takip!L50="",0,L49+1)</f>
        <v>0</v>
      </c>
      <c r="M50" s="15" t="n">
        <f aca="false">IF(Takip!M50="",0,M49+1)</f>
        <v>0</v>
      </c>
      <c r="N50" s="15" t="n">
        <f aca="false">IF(Takip!N50="",0,N49+1)</f>
        <v>0</v>
      </c>
      <c r="O50" s="15" t="n">
        <f aca="false">IF(Takip!O50="",0,O49+1)</f>
        <v>0</v>
      </c>
      <c r="P50" s="15" t="n">
        <f aca="false">IF(Takip!P50="",0,P49+1)</f>
        <v>0</v>
      </c>
      <c r="Q50" s="15" t="n">
        <f aca="false">IF(Takip!Q50="",0,Q49+1)</f>
        <v>0</v>
      </c>
    </row>
    <row r="51" customFormat="false" ht="15" hidden="false" customHeight="false" outlineLevel="0" collapsed="false">
      <c r="A51" s="14" t="n">
        <f aca="false">Takip!R51</f>
        <v>46068</v>
      </c>
      <c r="C51" s="15" t="n">
        <f aca="false">IF(Takip!C51="",0,C50+1)</f>
        <v>0</v>
      </c>
      <c r="D51" s="15" t="n">
        <f aca="false">IF(Takip!D51="",0,D50+1)</f>
        <v>0</v>
      </c>
      <c r="E51" s="15" t="n">
        <f aca="false">IF(Takip!E51="",0,E50+1)</f>
        <v>0</v>
      </c>
      <c r="F51" s="15" t="n">
        <f aca="false">IF(Takip!F51="",0,F50+1)</f>
        <v>0</v>
      </c>
      <c r="G51" s="15" t="n">
        <f aca="false">IF(Takip!G51="",0,G50+1)</f>
        <v>0</v>
      </c>
      <c r="H51" s="15" t="n">
        <f aca="false">IF(Takip!H51="",0,H50+1)</f>
        <v>0</v>
      </c>
      <c r="I51" s="15" t="n">
        <f aca="false">IF(Takip!I51="",0,I50+1)</f>
        <v>0</v>
      </c>
      <c r="J51" s="15" t="n">
        <f aca="false">IF(Takip!J51="",0,J50+1)</f>
        <v>0</v>
      </c>
      <c r="K51" s="15" t="n">
        <f aca="false">IF(Takip!K51="",0,K50+1)</f>
        <v>0</v>
      </c>
      <c r="L51" s="15" t="n">
        <f aca="false">IF(Takip!L51="",0,L50+1)</f>
        <v>0</v>
      </c>
      <c r="M51" s="15" t="n">
        <f aca="false">IF(Takip!M51="",0,M50+1)</f>
        <v>0</v>
      </c>
      <c r="N51" s="15" t="n">
        <f aca="false">IF(Takip!N51="",0,N50+1)</f>
        <v>0</v>
      </c>
      <c r="O51" s="15" t="n">
        <f aca="false">IF(Takip!O51="",0,O50+1)</f>
        <v>0</v>
      </c>
      <c r="P51" s="15" t="n">
        <f aca="false">IF(Takip!P51="",0,P50+1)</f>
        <v>0</v>
      </c>
      <c r="Q51" s="15" t="n">
        <f aca="false">IF(Takip!Q51="",0,Q50+1)</f>
        <v>0</v>
      </c>
    </row>
    <row r="52" customFormat="false" ht="15" hidden="false" customHeight="false" outlineLevel="0" collapsed="false">
      <c r="A52" s="14" t="n">
        <f aca="false">Takip!R52</f>
        <v>46069</v>
      </c>
      <c r="C52" s="15" t="n">
        <f aca="false">IF(Takip!C52="",0,C51+1)</f>
        <v>0</v>
      </c>
      <c r="D52" s="15" t="n">
        <f aca="false">IF(Takip!D52="",0,D51+1)</f>
        <v>0</v>
      </c>
      <c r="E52" s="15" t="n">
        <f aca="false">IF(Takip!E52="",0,E51+1)</f>
        <v>0</v>
      </c>
      <c r="F52" s="15" t="n">
        <f aca="false">IF(Takip!F52="",0,F51+1)</f>
        <v>0</v>
      </c>
      <c r="G52" s="15" t="n">
        <f aca="false">IF(Takip!G52="",0,G51+1)</f>
        <v>0</v>
      </c>
      <c r="H52" s="15" t="n">
        <f aca="false">IF(Takip!H52="",0,H51+1)</f>
        <v>0</v>
      </c>
      <c r="I52" s="15" t="n">
        <f aca="false">IF(Takip!I52="",0,I51+1)</f>
        <v>0</v>
      </c>
      <c r="J52" s="15" t="n">
        <f aca="false">IF(Takip!J52="",0,J51+1)</f>
        <v>0</v>
      </c>
      <c r="K52" s="15" t="n">
        <f aca="false">IF(Takip!K52="",0,K51+1)</f>
        <v>0</v>
      </c>
      <c r="L52" s="15" t="n">
        <f aca="false">IF(Takip!L52="",0,L51+1)</f>
        <v>0</v>
      </c>
      <c r="M52" s="15" t="n">
        <f aca="false">IF(Takip!M52="",0,M51+1)</f>
        <v>0</v>
      </c>
      <c r="N52" s="15" t="n">
        <f aca="false">IF(Takip!N52="",0,N51+1)</f>
        <v>0</v>
      </c>
      <c r="O52" s="15" t="n">
        <f aca="false">IF(Takip!O52="",0,O51+1)</f>
        <v>0</v>
      </c>
      <c r="P52" s="15" t="n">
        <f aca="false">IF(Takip!P52="",0,P51+1)</f>
        <v>0</v>
      </c>
      <c r="Q52" s="15" t="n">
        <f aca="false">IF(Takip!Q52="",0,Q51+1)</f>
        <v>0</v>
      </c>
    </row>
    <row r="53" customFormat="false" ht="15" hidden="false" customHeight="false" outlineLevel="0" collapsed="false">
      <c r="A53" s="14" t="n">
        <f aca="false">Takip!R53</f>
        <v>46070</v>
      </c>
      <c r="C53" s="15" t="n">
        <f aca="false">IF(Takip!C53="",0,C52+1)</f>
        <v>0</v>
      </c>
      <c r="D53" s="15" t="n">
        <f aca="false">IF(Takip!D53="",0,D52+1)</f>
        <v>0</v>
      </c>
      <c r="E53" s="15" t="n">
        <f aca="false">IF(Takip!E53="",0,E52+1)</f>
        <v>0</v>
      </c>
      <c r="F53" s="15" t="n">
        <f aca="false">IF(Takip!F53="",0,F52+1)</f>
        <v>0</v>
      </c>
      <c r="G53" s="15" t="n">
        <f aca="false">IF(Takip!G53="",0,G52+1)</f>
        <v>0</v>
      </c>
      <c r="H53" s="15" t="n">
        <f aca="false">IF(Takip!H53="",0,H52+1)</f>
        <v>0</v>
      </c>
      <c r="I53" s="15" t="n">
        <f aca="false">IF(Takip!I53="",0,I52+1)</f>
        <v>0</v>
      </c>
      <c r="J53" s="15" t="n">
        <f aca="false">IF(Takip!J53="",0,J52+1)</f>
        <v>0</v>
      </c>
      <c r="K53" s="15" t="n">
        <f aca="false">IF(Takip!K53="",0,K52+1)</f>
        <v>0</v>
      </c>
      <c r="L53" s="15" t="n">
        <f aca="false">IF(Takip!L53="",0,L52+1)</f>
        <v>0</v>
      </c>
      <c r="M53" s="15" t="n">
        <f aca="false">IF(Takip!M53="",0,M52+1)</f>
        <v>0</v>
      </c>
      <c r="N53" s="15" t="n">
        <f aca="false">IF(Takip!N53="",0,N52+1)</f>
        <v>0</v>
      </c>
      <c r="O53" s="15" t="n">
        <f aca="false">IF(Takip!O53="",0,O52+1)</f>
        <v>0</v>
      </c>
      <c r="P53" s="15" t="n">
        <f aca="false">IF(Takip!P53="",0,P52+1)</f>
        <v>0</v>
      </c>
      <c r="Q53" s="15" t="n">
        <f aca="false">IF(Takip!Q53="",0,Q52+1)</f>
        <v>0</v>
      </c>
    </row>
    <row r="54" customFormat="false" ht="15" hidden="false" customHeight="false" outlineLevel="0" collapsed="false">
      <c r="A54" s="14" t="n">
        <f aca="false">Takip!R54</f>
        <v>46071</v>
      </c>
      <c r="C54" s="15" t="n">
        <f aca="false">IF(Takip!C54="",0,C53+1)</f>
        <v>0</v>
      </c>
      <c r="D54" s="15" t="n">
        <f aca="false">IF(Takip!D54="",0,D53+1)</f>
        <v>0</v>
      </c>
      <c r="E54" s="15" t="n">
        <f aca="false">IF(Takip!E54="",0,E53+1)</f>
        <v>0</v>
      </c>
      <c r="F54" s="15" t="n">
        <f aca="false">IF(Takip!F54="",0,F53+1)</f>
        <v>0</v>
      </c>
      <c r="G54" s="15" t="n">
        <f aca="false">IF(Takip!G54="",0,G53+1)</f>
        <v>0</v>
      </c>
      <c r="H54" s="15" t="n">
        <f aca="false">IF(Takip!H54="",0,H53+1)</f>
        <v>0</v>
      </c>
      <c r="I54" s="15" t="n">
        <f aca="false">IF(Takip!I54="",0,I53+1)</f>
        <v>0</v>
      </c>
      <c r="J54" s="15" t="n">
        <f aca="false">IF(Takip!J54="",0,J53+1)</f>
        <v>0</v>
      </c>
      <c r="K54" s="15" t="n">
        <f aca="false">IF(Takip!K54="",0,K53+1)</f>
        <v>0</v>
      </c>
      <c r="L54" s="15" t="n">
        <f aca="false">IF(Takip!L54="",0,L53+1)</f>
        <v>0</v>
      </c>
      <c r="M54" s="15" t="n">
        <f aca="false">IF(Takip!M54="",0,M53+1)</f>
        <v>0</v>
      </c>
      <c r="N54" s="15" t="n">
        <f aca="false">IF(Takip!N54="",0,N53+1)</f>
        <v>0</v>
      </c>
      <c r="O54" s="15" t="n">
        <f aca="false">IF(Takip!O54="",0,O53+1)</f>
        <v>0</v>
      </c>
      <c r="P54" s="15" t="n">
        <f aca="false">IF(Takip!P54="",0,P53+1)</f>
        <v>0</v>
      </c>
      <c r="Q54" s="15" t="n">
        <f aca="false">IF(Takip!Q54="",0,Q53+1)</f>
        <v>0</v>
      </c>
    </row>
    <row r="55" customFormat="false" ht="15" hidden="false" customHeight="false" outlineLevel="0" collapsed="false">
      <c r="A55" s="14" t="n">
        <f aca="false">Takip!R55</f>
        <v>46072</v>
      </c>
      <c r="C55" s="15" t="n">
        <f aca="false">IF(Takip!C55="",0,C54+1)</f>
        <v>0</v>
      </c>
      <c r="D55" s="15" t="n">
        <f aca="false">IF(Takip!D55="",0,D54+1)</f>
        <v>0</v>
      </c>
      <c r="E55" s="15" t="n">
        <f aca="false">IF(Takip!E55="",0,E54+1)</f>
        <v>0</v>
      </c>
      <c r="F55" s="15" t="n">
        <f aca="false">IF(Takip!F55="",0,F54+1)</f>
        <v>0</v>
      </c>
      <c r="G55" s="15" t="n">
        <f aca="false">IF(Takip!G55="",0,G54+1)</f>
        <v>0</v>
      </c>
      <c r="H55" s="15" t="n">
        <f aca="false">IF(Takip!H55="",0,H54+1)</f>
        <v>0</v>
      </c>
      <c r="I55" s="15" t="n">
        <f aca="false">IF(Takip!I55="",0,I54+1)</f>
        <v>0</v>
      </c>
      <c r="J55" s="15" t="n">
        <f aca="false">IF(Takip!J55="",0,J54+1)</f>
        <v>0</v>
      </c>
      <c r="K55" s="15" t="n">
        <f aca="false">IF(Takip!K55="",0,K54+1)</f>
        <v>0</v>
      </c>
      <c r="L55" s="15" t="n">
        <f aca="false">IF(Takip!L55="",0,L54+1)</f>
        <v>0</v>
      </c>
      <c r="M55" s="15" t="n">
        <f aca="false">IF(Takip!M55="",0,M54+1)</f>
        <v>0</v>
      </c>
      <c r="N55" s="15" t="n">
        <f aca="false">IF(Takip!N55="",0,N54+1)</f>
        <v>0</v>
      </c>
      <c r="O55" s="15" t="n">
        <f aca="false">IF(Takip!O55="",0,O54+1)</f>
        <v>0</v>
      </c>
      <c r="P55" s="15" t="n">
        <f aca="false">IF(Takip!P55="",0,P54+1)</f>
        <v>0</v>
      </c>
      <c r="Q55" s="15" t="n">
        <f aca="false">IF(Takip!Q55="",0,Q54+1)</f>
        <v>0</v>
      </c>
    </row>
    <row r="56" customFormat="false" ht="15" hidden="false" customHeight="false" outlineLevel="0" collapsed="false">
      <c r="A56" s="14" t="n">
        <f aca="false">Takip!R56</f>
        <v>46073</v>
      </c>
      <c r="C56" s="15" t="n">
        <f aca="false">IF(Takip!C56="",0,C55+1)</f>
        <v>0</v>
      </c>
      <c r="D56" s="15" t="n">
        <f aca="false">IF(Takip!D56="",0,D55+1)</f>
        <v>0</v>
      </c>
      <c r="E56" s="15" t="n">
        <f aca="false">IF(Takip!E56="",0,E55+1)</f>
        <v>0</v>
      </c>
      <c r="F56" s="15" t="n">
        <f aca="false">IF(Takip!F56="",0,F55+1)</f>
        <v>0</v>
      </c>
      <c r="G56" s="15" t="n">
        <f aca="false">IF(Takip!G56="",0,G55+1)</f>
        <v>0</v>
      </c>
      <c r="H56" s="15" t="n">
        <f aca="false">IF(Takip!H56="",0,H55+1)</f>
        <v>0</v>
      </c>
      <c r="I56" s="15" t="n">
        <f aca="false">IF(Takip!I56="",0,I55+1)</f>
        <v>0</v>
      </c>
      <c r="J56" s="15" t="n">
        <f aca="false">IF(Takip!J56="",0,J55+1)</f>
        <v>0</v>
      </c>
      <c r="K56" s="15" t="n">
        <f aca="false">IF(Takip!K56="",0,K55+1)</f>
        <v>0</v>
      </c>
      <c r="L56" s="15" t="n">
        <f aca="false">IF(Takip!L56="",0,L55+1)</f>
        <v>0</v>
      </c>
      <c r="M56" s="15" t="n">
        <f aca="false">IF(Takip!M56="",0,M55+1)</f>
        <v>0</v>
      </c>
      <c r="N56" s="15" t="n">
        <f aca="false">IF(Takip!N56="",0,N55+1)</f>
        <v>0</v>
      </c>
      <c r="O56" s="15" t="n">
        <f aca="false">IF(Takip!O56="",0,O55+1)</f>
        <v>0</v>
      </c>
      <c r="P56" s="15" t="n">
        <f aca="false">IF(Takip!P56="",0,P55+1)</f>
        <v>0</v>
      </c>
      <c r="Q56" s="15" t="n">
        <f aca="false">IF(Takip!Q56="",0,Q55+1)</f>
        <v>0</v>
      </c>
    </row>
    <row r="57" customFormat="false" ht="15" hidden="false" customHeight="false" outlineLevel="0" collapsed="false">
      <c r="A57" s="14" t="n">
        <f aca="false">Takip!R57</f>
        <v>46074</v>
      </c>
      <c r="C57" s="15" t="n">
        <f aca="false">IF(Takip!C57="",0,C56+1)</f>
        <v>0</v>
      </c>
      <c r="D57" s="15" t="n">
        <f aca="false">IF(Takip!D57="",0,D56+1)</f>
        <v>0</v>
      </c>
      <c r="E57" s="15" t="n">
        <f aca="false">IF(Takip!E57="",0,E56+1)</f>
        <v>0</v>
      </c>
      <c r="F57" s="15" t="n">
        <f aca="false">IF(Takip!F57="",0,F56+1)</f>
        <v>0</v>
      </c>
      <c r="G57" s="15" t="n">
        <f aca="false">IF(Takip!G57="",0,G56+1)</f>
        <v>0</v>
      </c>
      <c r="H57" s="15" t="n">
        <f aca="false">IF(Takip!H57="",0,H56+1)</f>
        <v>0</v>
      </c>
      <c r="I57" s="15" t="n">
        <f aca="false">IF(Takip!I57="",0,I56+1)</f>
        <v>0</v>
      </c>
      <c r="J57" s="15" t="n">
        <f aca="false">IF(Takip!J57="",0,J56+1)</f>
        <v>0</v>
      </c>
      <c r="K57" s="15" t="n">
        <f aca="false">IF(Takip!K57="",0,K56+1)</f>
        <v>0</v>
      </c>
      <c r="L57" s="15" t="n">
        <f aca="false">IF(Takip!L57="",0,L56+1)</f>
        <v>0</v>
      </c>
      <c r="M57" s="15" t="n">
        <f aca="false">IF(Takip!M57="",0,M56+1)</f>
        <v>0</v>
      </c>
      <c r="N57" s="15" t="n">
        <f aca="false">IF(Takip!N57="",0,N56+1)</f>
        <v>0</v>
      </c>
      <c r="O57" s="15" t="n">
        <f aca="false">IF(Takip!O57="",0,O56+1)</f>
        <v>0</v>
      </c>
      <c r="P57" s="15" t="n">
        <f aca="false">IF(Takip!P57="",0,P56+1)</f>
        <v>0</v>
      </c>
      <c r="Q57" s="15" t="n">
        <f aca="false">IF(Takip!Q57="",0,Q56+1)</f>
        <v>0</v>
      </c>
    </row>
    <row r="58" customFormat="false" ht="15" hidden="false" customHeight="false" outlineLevel="0" collapsed="false">
      <c r="A58" s="14" t="n">
        <f aca="false">Takip!R58</f>
        <v>46075</v>
      </c>
      <c r="C58" s="15" t="n">
        <f aca="false">IF(Takip!C58="",0,C57+1)</f>
        <v>0</v>
      </c>
      <c r="D58" s="15" t="n">
        <f aca="false">IF(Takip!D58="",0,D57+1)</f>
        <v>0</v>
      </c>
      <c r="E58" s="15" t="n">
        <f aca="false">IF(Takip!E58="",0,E57+1)</f>
        <v>0</v>
      </c>
      <c r="F58" s="15" t="n">
        <f aca="false">IF(Takip!F58="",0,F57+1)</f>
        <v>0</v>
      </c>
      <c r="G58" s="15" t="n">
        <f aca="false">IF(Takip!G58="",0,G57+1)</f>
        <v>0</v>
      </c>
      <c r="H58" s="15" t="n">
        <f aca="false">IF(Takip!H58="",0,H57+1)</f>
        <v>0</v>
      </c>
      <c r="I58" s="15" t="n">
        <f aca="false">IF(Takip!I58="",0,I57+1)</f>
        <v>0</v>
      </c>
      <c r="J58" s="15" t="n">
        <f aca="false">IF(Takip!J58="",0,J57+1)</f>
        <v>0</v>
      </c>
      <c r="K58" s="15" t="n">
        <f aca="false">IF(Takip!K58="",0,K57+1)</f>
        <v>0</v>
      </c>
      <c r="L58" s="15" t="n">
        <f aca="false">IF(Takip!L58="",0,L57+1)</f>
        <v>0</v>
      </c>
      <c r="M58" s="15" t="n">
        <f aca="false">IF(Takip!M58="",0,M57+1)</f>
        <v>0</v>
      </c>
      <c r="N58" s="15" t="n">
        <f aca="false">IF(Takip!N58="",0,N57+1)</f>
        <v>0</v>
      </c>
      <c r="O58" s="15" t="n">
        <f aca="false">IF(Takip!O58="",0,O57+1)</f>
        <v>0</v>
      </c>
      <c r="P58" s="15" t="n">
        <f aca="false">IF(Takip!P58="",0,P57+1)</f>
        <v>0</v>
      </c>
      <c r="Q58" s="15" t="n">
        <f aca="false">IF(Takip!Q58="",0,Q57+1)</f>
        <v>0</v>
      </c>
    </row>
    <row r="59" customFormat="false" ht="15" hidden="false" customHeight="false" outlineLevel="0" collapsed="false">
      <c r="A59" s="14" t="n">
        <f aca="false">Takip!R59</f>
        <v>46076</v>
      </c>
      <c r="C59" s="15" t="n">
        <f aca="false">IF(Takip!C59="",0,C58+1)</f>
        <v>0</v>
      </c>
      <c r="D59" s="15" t="n">
        <f aca="false">IF(Takip!D59="",0,D58+1)</f>
        <v>0</v>
      </c>
      <c r="E59" s="15" t="n">
        <f aca="false">IF(Takip!E59="",0,E58+1)</f>
        <v>0</v>
      </c>
      <c r="F59" s="15" t="n">
        <f aca="false">IF(Takip!F59="",0,F58+1)</f>
        <v>0</v>
      </c>
      <c r="G59" s="15" t="n">
        <f aca="false">IF(Takip!G59="",0,G58+1)</f>
        <v>0</v>
      </c>
      <c r="H59" s="15" t="n">
        <f aca="false">IF(Takip!H59="",0,H58+1)</f>
        <v>0</v>
      </c>
      <c r="I59" s="15" t="n">
        <f aca="false">IF(Takip!I59="",0,I58+1)</f>
        <v>0</v>
      </c>
      <c r="J59" s="15" t="n">
        <f aca="false">IF(Takip!J59="",0,J58+1)</f>
        <v>0</v>
      </c>
      <c r="K59" s="15" t="n">
        <f aca="false">IF(Takip!K59="",0,K58+1)</f>
        <v>0</v>
      </c>
      <c r="L59" s="15" t="n">
        <f aca="false">IF(Takip!L59="",0,L58+1)</f>
        <v>0</v>
      </c>
      <c r="M59" s="15" t="n">
        <f aca="false">IF(Takip!M59="",0,M58+1)</f>
        <v>0</v>
      </c>
      <c r="N59" s="15" t="n">
        <f aca="false">IF(Takip!N59="",0,N58+1)</f>
        <v>0</v>
      </c>
      <c r="O59" s="15" t="n">
        <f aca="false">IF(Takip!O59="",0,O58+1)</f>
        <v>0</v>
      </c>
      <c r="P59" s="15" t="n">
        <f aca="false">IF(Takip!P59="",0,P58+1)</f>
        <v>0</v>
      </c>
      <c r="Q59" s="15" t="n">
        <f aca="false">IF(Takip!Q59="",0,Q58+1)</f>
        <v>0</v>
      </c>
    </row>
    <row r="60" customFormat="false" ht="15" hidden="false" customHeight="false" outlineLevel="0" collapsed="false">
      <c r="A60" s="14" t="n">
        <f aca="false">Takip!R60</f>
        <v>46077</v>
      </c>
      <c r="C60" s="15" t="n">
        <f aca="false">IF(Takip!C60="",0,C59+1)</f>
        <v>0</v>
      </c>
      <c r="D60" s="15" t="n">
        <f aca="false">IF(Takip!D60="",0,D59+1)</f>
        <v>0</v>
      </c>
      <c r="E60" s="15" t="n">
        <f aca="false">IF(Takip!E60="",0,E59+1)</f>
        <v>0</v>
      </c>
      <c r="F60" s="15" t="n">
        <f aca="false">IF(Takip!F60="",0,F59+1)</f>
        <v>0</v>
      </c>
      <c r="G60" s="15" t="n">
        <f aca="false">IF(Takip!G60="",0,G59+1)</f>
        <v>0</v>
      </c>
      <c r="H60" s="15" t="n">
        <f aca="false">IF(Takip!H60="",0,H59+1)</f>
        <v>0</v>
      </c>
      <c r="I60" s="15" t="n">
        <f aca="false">IF(Takip!I60="",0,I59+1)</f>
        <v>0</v>
      </c>
      <c r="J60" s="15" t="n">
        <f aca="false">IF(Takip!J60="",0,J59+1)</f>
        <v>0</v>
      </c>
      <c r="K60" s="15" t="n">
        <f aca="false">IF(Takip!K60="",0,K59+1)</f>
        <v>0</v>
      </c>
      <c r="L60" s="15" t="n">
        <f aca="false">IF(Takip!L60="",0,L59+1)</f>
        <v>0</v>
      </c>
      <c r="M60" s="15" t="n">
        <f aca="false">IF(Takip!M60="",0,M59+1)</f>
        <v>0</v>
      </c>
      <c r="N60" s="15" t="n">
        <f aca="false">IF(Takip!N60="",0,N59+1)</f>
        <v>0</v>
      </c>
      <c r="O60" s="15" t="n">
        <f aca="false">IF(Takip!O60="",0,O59+1)</f>
        <v>0</v>
      </c>
      <c r="P60" s="15" t="n">
        <f aca="false">IF(Takip!P60="",0,P59+1)</f>
        <v>0</v>
      </c>
      <c r="Q60" s="15" t="n">
        <f aca="false">IF(Takip!Q60="",0,Q59+1)</f>
        <v>0</v>
      </c>
    </row>
    <row r="61" customFormat="false" ht="15" hidden="false" customHeight="false" outlineLevel="0" collapsed="false">
      <c r="A61" s="14" t="n">
        <f aca="false">Takip!R61</f>
        <v>46078</v>
      </c>
      <c r="C61" s="15" t="n">
        <f aca="false">IF(Takip!C61="",0,C60+1)</f>
        <v>0</v>
      </c>
      <c r="D61" s="15" t="n">
        <f aca="false">IF(Takip!D61="",0,D60+1)</f>
        <v>0</v>
      </c>
      <c r="E61" s="15" t="n">
        <f aca="false">IF(Takip!E61="",0,E60+1)</f>
        <v>0</v>
      </c>
      <c r="F61" s="15" t="n">
        <f aca="false">IF(Takip!F61="",0,F60+1)</f>
        <v>0</v>
      </c>
      <c r="G61" s="15" t="n">
        <f aca="false">IF(Takip!G61="",0,G60+1)</f>
        <v>0</v>
      </c>
      <c r="H61" s="15" t="n">
        <f aca="false">IF(Takip!H61="",0,H60+1)</f>
        <v>0</v>
      </c>
      <c r="I61" s="15" t="n">
        <f aca="false">IF(Takip!I61="",0,I60+1)</f>
        <v>0</v>
      </c>
      <c r="J61" s="15" t="n">
        <f aca="false">IF(Takip!J61="",0,J60+1)</f>
        <v>0</v>
      </c>
      <c r="K61" s="15" t="n">
        <f aca="false">IF(Takip!K61="",0,K60+1)</f>
        <v>0</v>
      </c>
      <c r="L61" s="15" t="n">
        <f aca="false">IF(Takip!L61="",0,L60+1)</f>
        <v>0</v>
      </c>
      <c r="M61" s="15" t="n">
        <f aca="false">IF(Takip!M61="",0,M60+1)</f>
        <v>0</v>
      </c>
      <c r="N61" s="15" t="n">
        <f aca="false">IF(Takip!N61="",0,N60+1)</f>
        <v>0</v>
      </c>
      <c r="O61" s="15" t="n">
        <f aca="false">IF(Takip!O61="",0,O60+1)</f>
        <v>0</v>
      </c>
      <c r="P61" s="15" t="n">
        <f aca="false">IF(Takip!P61="",0,P60+1)</f>
        <v>0</v>
      </c>
      <c r="Q61" s="15" t="n">
        <f aca="false">IF(Takip!Q61="",0,Q60+1)</f>
        <v>0</v>
      </c>
    </row>
    <row r="62" customFormat="false" ht="15" hidden="false" customHeight="false" outlineLevel="0" collapsed="false">
      <c r="A62" s="14" t="n">
        <f aca="false">Takip!R62</f>
        <v>46079</v>
      </c>
      <c r="C62" s="15" t="n">
        <f aca="false">IF(Takip!C62="",0,C61+1)</f>
        <v>0</v>
      </c>
      <c r="D62" s="15" t="n">
        <f aca="false">IF(Takip!D62="",0,D61+1)</f>
        <v>0</v>
      </c>
      <c r="E62" s="15" t="n">
        <f aca="false">IF(Takip!E62="",0,E61+1)</f>
        <v>0</v>
      </c>
      <c r="F62" s="15" t="n">
        <f aca="false">IF(Takip!F62="",0,F61+1)</f>
        <v>0</v>
      </c>
      <c r="G62" s="15" t="n">
        <f aca="false">IF(Takip!G62="",0,G61+1)</f>
        <v>0</v>
      </c>
      <c r="H62" s="15" t="n">
        <f aca="false">IF(Takip!H62="",0,H61+1)</f>
        <v>0</v>
      </c>
      <c r="I62" s="15" t="n">
        <f aca="false">IF(Takip!I62="",0,I61+1)</f>
        <v>0</v>
      </c>
      <c r="J62" s="15" t="n">
        <f aca="false">IF(Takip!J62="",0,J61+1)</f>
        <v>0</v>
      </c>
      <c r="K62" s="15" t="n">
        <f aca="false">IF(Takip!K62="",0,K61+1)</f>
        <v>0</v>
      </c>
      <c r="L62" s="15" t="n">
        <f aca="false">IF(Takip!L62="",0,L61+1)</f>
        <v>0</v>
      </c>
      <c r="M62" s="15" t="n">
        <f aca="false">IF(Takip!M62="",0,M61+1)</f>
        <v>0</v>
      </c>
      <c r="N62" s="15" t="n">
        <f aca="false">IF(Takip!N62="",0,N61+1)</f>
        <v>0</v>
      </c>
      <c r="O62" s="15" t="n">
        <f aca="false">IF(Takip!O62="",0,O61+1)</f>
        <v>0</v>
      </c>
      <c r="P62" s="15" t="n">
        <f aca="false">IF(Takip!P62="",0,P61+1)</f>
        <v>0</v>
      </c>
      <c r="Q62" s="15" t="n">
        <f aca="false">IF(Takip!Q62="",0,Q61+1)</f>
        <v>0</v>
      </c>
    </row>
    <row r="63" customFormat="false" ht="15" hidden="false" customHeight="false" outlineLevel="0" collapsed="false">
      <c r="A63" s="14" t="n">
        <f aca="false">Takip!R63</f>
        <v>46080</v>
      </c>
      <c r="C63" s="15" t="n">
        <f aca="false">IF(Takip!C63="",0,C62+1)</f>
        <v>0</v>
      </c>
      <c r="D63" s="15" t="n">
        <f aca="false">IF(Takip!D63="",0,D62+1)</f>
        <v>0</v>
      </c>
      <c r="E63" s="15" t="n">
        <f aca="false">IF(Takip!E63="",0,E62+1)</f>
        <v>0</v>
      </c>
      <c r="F63" s="15" t="n">
        <f aca="false">IF(Takip!F63="",0,F62+1)</f>
        <v>0</v>
      </c>
      <c r="G63" s="15" t="n">
        <f aca="false">IF(Takip!G63="",0,G62+1)</f>
        <v>0</v>
      </c>
      <c r="H63" s="15" t="n">
        <f aca="false">IF(Takip!H63="",0,H62+1)</f>
        <v>0</v>
      </c>
      <c r="I63" s="15" t="n">
        <f aca="false">IF(Takip!I63="",0,I62+1)</f>
        <v>0</v>
      </c>
      <c r="J63" s="15" t="n">
        <f aca="false">IF(Takip!J63="",0,J62+1)</f>
        <v>0</v>
      </c>
      <c r="K63" s="15" t="n">
        <f aca="false">IF(Takip!K63="",0,K62+1)</f>
        <v>0</v>
      </c>
      <c r="L63" s="15" t="n">
        <f aca="false">IF(Takip!L63="",0,L62+1)</f>
        <v>0</v>
      </c>
      <c r="M63" s="15" t="n">
        <f aca="false">IF(Takip!M63="",0,M62+1)</f>
        <v>0</v>
      </c>
      <c r="N63" s="15" t="n">
        <f aca="false">IF(Takip!N63="",0,N62+1)</f>
        <v>0</v>
      </c>
      <c r="O63" s="15" t="n">
        <f aca="false">IF(Takip!O63="",0,O62+1)</f>
        <v>0</v>
      </c>
      <c r="P63" s="15" t="n">
        <f aca="false">IF(Takip!P63="",0,P62+1)</f>
        <v>0</v>
      </c>
      <c r="Q63" s="15" t="n">
        <f aca="false">IF(Takip!Q63="",0,Q62+1)</f>
        <v>0</v>
      </c>
    </row>
    <row r="64" customFormat="false" ht="15" hidden="false" customHeight="false" outlineLevel="0" collapsed="false">
      <c r="A64" s="14" t="n">
        <f aca="false">Takip!R64</f>
        <v>46081</v>
      </c>
      <c r="C64" s="15" t="n">
        <f aca="false">IF(Takip!C64="",0,C63+1)</f>
        <v>0</v>
      </c>
      <c r="D64" s="15" t="n">
        <f aca="false">IF(Takip!D64="",0,D63+1)</f>
        <v>0</v>
      </c>
      <c r="E64" s="15" t="n">
        <f aca="false">IF(Takip!E64="",0,E63+1)</f>
        <v>0</v>
      </c>
      <c r="F64" s="15" t="n">
        <f aca="false">IF(Takip!F64="",0,F63+1)</f>
        <v>0</v>
      </c>
      <c r="G64" s="15" t="n">
        <f aca="false">IF(Takip!G64="",0,G63+1)</f>
        <v>0</v>
      </c>
      <c r="H64" s="15" t="n">
        <f aca="false">IF(Takip!H64="",0,H63+1)</f>
        <v>0</v>
      </c>
      <c r="I64" s="15" t="n">
        <f aca="false">IF(Takip!I64="",0,I63+1)</f>
        <v>0</v>
      </c>
      <c r="J64" s="15" t="n">
        <f aca="false">IF(Takip!J64="",0,J63+1)</f>
        <v>0</v>
      </c>
      <c r="K64" s="15" t="n">
        <f aca="false">IF(Takip!K64="",0,K63+1)</f>
        <v>0</v>
      </c>
      <c r="L64" s="15" t="n">
        <f aca="false">IF(Takip!L64="",0,L63+1)</f>
        <v>0</v>
      </c>
      <c r="M64" s="15" t="n">
        <f aca="false">IF(Takip!M64="",0,M63+1)</f>
        <v>0</v>
      </c>
      <c r="N64" s="15" t="n">
        <f aca="false">IF(Takip!N64="",0,N63+1)</f>
        <v>0</v>
      </c>
      <c r="O64" s="15" t="n">
        <f aca="false">IF(Takip!O64="",0,O63+1)</f>
        <v>0</v>
      </c>
      <c r="P64" s="15" t="n">
        <f aca="false">IF(Takip!P64="",0,P63+1)</f>
        <v>0</v>
      </c>
      <c r="Q64" s="15" t="n">
        <f aca="false">IF(Takip!Q64="",0,Q63+1)</f>
        <v>0</v>
      </c>
    </row>
    <row r="65" customFormat="false" ht="15" hidden="false" customHeight="false" outlineLevel="0" collapsed="false">
      <c r="A65" s="14" t="n">
        <f aca="false">Takip!R65</f>
        <v>46082</v>
      </c>
      <c r="C65" s="15" t="n">
        <f aca="false">IF(Takip!C65="",0,C64+1)</f>
        <v>0</v>
      </c>
      <c r="D65" s="15" t="n">
        <f aca="false">IF(Takip!D65="",0,D64+1)</f>
        <v>0</v>
      </c>
      <c r="E65" s="15" t="n">
        <f aca="false">IF(Takip!E65="",0,E64+1)</f>
        <v>0</v>
      </c>
      <c r="F65" s="15" t="n">
        <f aca="false">IF(Takip!F65="",0,F64+1)</f>
        <v>0</v>
      </c>
      <c r="G65" s="15" t="n">
        <f aca="false">IF(Takip!G65="",0,G64+1)</f>
        <v>0</v>
      </c>
      <c r="H65" s="15" t="n">
        <f aca="false">IF(Takip!H65="",0,H64+1)</f>
        <v>0</v>
      </c>
      <c r="I65" s="15" t="n">
        <f aca="false">IF(Takip!I65="",0,I64+1)</f>
        <v>0</v>
      </c>
      <c r="J65" s="15" t="n">
        <f aca="false">IF(Takip!J65="",0,J64+1)</f>
        <v>0</v>
      </c>
      <c r="K65" s="15" t="n">
        <f aca="false">IF(Takip!K65="",0,K64+1)</f>
        <v>0</v>
      </c>
      <c r="L65" s="15" t="n">
        <f aca="false">IF(Takip!L65="",0,L64+1)</f>
        <v>0</v>
      </c>
      <c r="M65" s="15" t="n">
        <f aca="false">IF(Takip!M65="",0,M64+1)</f>
        <v>0</v>
      </c>
      <c r="N65" s="15" t="n">
        <f aca="false">IF(Takip!N65="",0,N64+1)</f>
        <v>0</v>
      </c>
      <c r="O65" s="15" t="n">
        <f aca="false">IF(Takip!O65="",0,O64+1)</f>
        <v>0</v>
      </c>
      <c r="P65" s="15" t="n">
        <f aca="false">IF(Takip!P65="",0,P64+1)</f>
        <v>0</v>
      </c>
      <c r="Q65" s="15" t="n">
        <f aca="false">IF(Takip!Q65="",0,Q64+1)</f>
        <v>0</v>
      </c>
    </row>
    <row r="66" customFormat="false" ht="15" hidden="false" customHeight="false" outlineLevel="0" collapsed="false">
      <c r="A66" s="14" t="n">
        <f aca="false">Takip!R66</f>
        <v>46083</v>
      </c>
      <c r="C66" s="15" t="n">
        <f aca="false">IF(Takip!C66="",0,C65+1)</f>
        <v>0</v>
      </c>
      <c r="D66" s="15" t="n">
        <f aca="false">IF(Takip!D66="",0,D65+1)</f>
        <v>0</v>
      </c>
      <c r="E66" s="15" t="n">
        <f aca="false">IF(Takip!E66="",0,E65+1)</f>
        <v>0</v>
      </c>
      <c r="F66" s="15" t="n">
        <f aca="false">IF(Takip!F66="",0,F65+1)</f>
        <v>0</v>
      </c>
      <c r="G66" s="15" t="n">
        <f aca="false">IF(Takip!G66="",0,G65+1)</f>
        <v>0</v>
      </c>
      <c r="H66" s="15" t="n">
        <f aca="false">IF(Takip!H66="",0,H65+1)</f>
        <v>0</v>
      </c>
      <c r="I66" s="15" t="n">
        <f aca="false">IF(Takip!I66="",0,I65+1)</f>
        <v>0</v>
      </c>
      <c r="J66" s="15" t="n">
        <f aca="false">IF(Takip!J66="",0,J65+1)</f>
        <v>0</v>
      </c>
      <c r="K66" s="15" t="n">
        <f aca="false">IF(Takip!K66="",0,K65+1)</f>
        <v>0</v>
      </c>
      <c r="L66" s="15" t="n">
        <f aca="false">IF(Takip!L66="",0,L65+1)</f>
        <v>0</v>
      </c>
      <c r="M66" s="15" t="n">
        <f aca="false">IF(Takip!M66="",0,M65+1)</f>
        <v>0</v>
      </c>
      <c r="N66" s="15" t="n">
        <f aca="false">IF(Takip!N66="",0,N65+1)</f>
        <v>0</v>
      </c>
      <c r="O66" s="15" t="n">
        <f aca="false">IF(Takip!O66="",0,O65+1)</f>
        <v>0</v>
      </c>
      <c r="P66" s="15" t="n">
        <f aca="false">IF(Takip!P66="",0,P65+1)</f>
        <v>0</v>
      </c>
      <c r="Q66" s="15" t="n">
        <f aca="false">IF(Takip!Q66="",0,Q65+1)</f>
        <v>0</v>
      </c>
    </row>
    <row r="67" customFormat="false" ht="15" hidden="false" customHeight="false" outlineLevel="0" collapsed="false">
      <c r="A67" s="14" t="n">
        <f aca="false">Takip!R67</f>
        <v>46084</v>
      </c>
      <c r="C67" s="15" t="n">
        <f aca="false">IF(Takip!C67="",0,C66+1)</f>
        <v>0</v>
      </c>
      <c r="D67" s="15" t="n">
        <f aca="false">IF(Takip!D67="",0,D66+1)</f>
        <v>0</v>
      </c>
      <c r="E67" s="15" t="n">
        <f aca="false">IF(Takip!E67="",0,E66+1)</f>
        <v>0</v>
      </c>
      <c r="F67" s="15" t="n">
        <f aca="false">IF(Takip!F67="",0,F66+1)</f>
        <v>0</v>
      </c>
      <c r="G67" s="15" t="n">
        <f aca="false">IF(Takip!G67="",0,G66+1)</f>
        <v>0</v>
      </c>
      <c r="H67" s="15" t="n">
        <f aca="false">IF(Takip!H67="",0,H66+1)</f>
        <v>0</v>
      </c>
      <c r="I67" s="15" t="n">
        <f aca="false">IF(Takip!I67="",0,I66+1)</f>
        <v>0</v>
      </c>
      <c r="J67" s="15" t="n">
        <f aca="false">IF(Takip!J67="",0,J66+1)</f>
        <v>0</v>
      </c>
      <c r="K67" s="15" t="n">
        <f aca="false">IF(Takip!K67="",0,K66+1)</f>
        <v>0</v>
      </c>
      <c r="L67" s="15" t="n">
        <f aca="false">IF(Takip!L67="",0,L66+1)</f>
        <v>0</v>
      </c>
      <c r="M67" s="15" t="n">
        <f aca="false">IF(Takip!M67="",0,M66+1)</f>
        <v>0</v>
      </c>
      <c r="N67" s="15" t="n">
        <f aca="false">IF(Takip!N67="",0,N66+1)</f>
        <v>0</v>
      </c>
      <c r="O67" s="15" t="n">
        <f aca="false">IF(Takip!O67="",0,O66+1)</f>
        <v>0</v>
      </c>
      <c r="P67" s="15" t="n">
        <f aca="false">IF(Takip!P67="",0,P66+1)</f>
        <v>0</v>
      </c>
      <c r="Q67" s="15" t="n">
        <f aca="false">IF(Takip!Q67="",0,Q66+1)</f>
        <v>0</v>
      </c>
    </row>
    <row r="68" customFormat="false" ht="15" hidden="false" customHeight="false" outlineLevel="0" collapsed="false">
      <c r="A68" s="14" t="n">
        <f aca="false">Takip!R68</f>
        <v>46085</v>
      </c>
      <c r="C68" s="15" t="n">
        <f aca="false">IF(Takip!C68="",0,C67+1)</f>
        <v>0</v>
      </c>
      <c r="D68" s="15" t="n">
        <f aca="false">IF(Takip!D68="",0,D67+1)</f>
        <v>0</v>
      </c>
      <c r="E68" s="15" t="n">
        <f aca="false">IF(Takip!E68="",0,E67+1)</f>
        <v>0</v>
      </c>
      <c r="F68" s="15" t="n">
        <f aca="false">IF(Takip!F68="",0,F67+1)</f>
        <v>0</v>
      </c>
      <c r="G68" s="15" t="n">
        <f aca="false">IF(Takip!G68="",0,G67+1)</f>
        <v>0</v>
      </c>
      <c r="H68" s="15" t="n">
        <f aca="false">IF(Takip!H68="",0,H67+1)</f>
        <v>0</v>
      </c>
      <c r="I68" s="15" t="n">
        <f aca="false">IF(Takip!I68="",0,I67+1)</f>
        <v>0</v>
      </c>
      <c r="J68" s="15" t="n">
        <f aca="false">IF(Takip!J68="",0,J67+1)</f>
        <v>0</v>
      </c>
      <c r="K68" s="15" t="n">
        <f aca="false">IF(Takip!K68="",0,K67+1)</f>
        <v>0</v>
      </c>
      <c r="L68" s="15" t="n">
        <f aca="false">IF(Takip!L68="",0,L67+1)</f>
        <v>0</v>
      </c>
      <c r="M68" s="15" t="n">
        <f aca="false">IF(Takip!M68="",0,M67+1)</f>
        <v>0</v>
      </c>
      <c r="N68" s="15" t="n">
        <f aca="false">IF(Takip!N68="",0,N67+1)</f>
        <v>0</v>
      </c>
      <c r="O68" s="15" t="n">
        <f aca="false">IF(Takip!O68="",0,O67+1)</f>
        <v>0</v>
      </c>
      <c r="P68" s="15" t="n">
        <f aca="false">IF(Takip!P68="",0,P67+1)</f>
        <v>0</v>
      </c>
      <c r="Q68" s="15" t="n">
        <f aca="false">IF(Takip!Q68="",0,Q67+1)</f>
        <v>0</v>
      </c>
    </row>
    <row r="69" customFormat="false" ht="15" hidden="false" customHeight="false" outlineLevel="0" collapsed="false">
      <c r="A69" s="14" t="n">
        <f aca="false">Takip!R69</f>
        <v>46086</v>
      </c>
      <c r="C69" s="15" t="n">
        <f aca="false">IF(Takip!C69="",0,C68+1)</f>
        <v>0</v>
      </c>
      <c r="D69" s="15" t="n">
        <f aca="false">IF(Takip!D69="",0,D68+1)</f>
        <v>0</v>
      </c>
      <c r="E69" s="15" t="n">
        <f aca="false">IF(Takip!E69="",0,E68+1)</f>
        <v>0</v>
      </c>
      <c r="F69" s="15" t="n">
        <f aca="false">IF(Takip!F69="",0,F68+1)</f>
        <v>0</v>
      </c>
      <c r="G69" s="15" t="n">
        <f aca="false">IF(Takip!G69="",0,G68+1)</f>
        <v>0</v>
      </c>
      <c r="H69" s="15" t="n">
        <f aca="false">IF(Takip!H69="",0,H68+1)</f>
        <v>0</v>
      </c>
      <c r="I69" s="15" t="n">
        <f aca="false">IF(Takip!I69="",0,I68+1)</f>
        <v>0</v>
      </c>
      <c r="J69" s="15" t="n">
        <f aca="false">IF(Takip!J69="",0,J68+1)</f>
        <v>0</v>
      </c>
      <c r="K69" s="15" t="n">
        <f aca="false">IF(Takip!K69="",0,K68+1)</f>
        <v>0</v>
      </c>
      <c r="L69" s="15" t="n">
        <f aca="false">IF(Takip!L69="",0,L68+1)</f>
        <v>0</v>
      </c>
      <c r="M69" s="15" t="n">
        <f aca="false">IF(Takip!M69="",0,M68+1)</f>
        <v>0</v>
      </c>
      <c r="N69" s="15" t="n">
        <f aca="false">IF(Takip!N69="",0,N68+1)</f>
        <v>0</v>
      </c>
      <c r="O69" s="15" t="n">
        <f aca="false">IF(Takip!O69="",0,O68+1)</f>
        <v>0</v>
      </c>
      <c r="P69" s="15" t="n">
        <f aca="false">IF(Takip!P69="",0,P68+1)</f>
        <v>0</v>
      </c>
      <c r="Q69" s="15" t="n">
        <f aca="false">IF(Takip!Q69="",0,Q68+1)</f>
        <v>0</v>
      </c>
    </row>
    <row r="70" customFormat="false" ht="15" hidden="false" customHeight="false" outlineLevel="0" collapsed="false">
      <c r="A70" s="14" t="n">
        <f aca="false">Takip!R70</f>
        <v>46087</v>
      </c>
      <c r="C70" s="15" t="n">
        <f aca="false">IF(Takip!C70="",0,C69+1)</f>
        <v>0</v>
      </c>
      <c r="D70" s="15" t="n">
        <f aca="false">IF(Takip!D70="",0,D69+1)</f>
        <v>0</v>
      </c>
      <c r="E70" s="15" t="n">
        <f aca="false">IF(Takip!E70="",0,E69+1)</f>
        <v>0</v>
      </c>
      <c r="F70" s="15" t="n">
        <f aca="false">IF(Takip!F70="",0,F69+1)</f>
        <v>0</v>
      </c>
      <c r="G70" s="15" t="n">
        <f aca="false">IF(Takip!G70="",0,G69+1)</f>
        <v>0</v>
      </c>
      <c r="H70" s="15" t="n">
        <f aca="false">IF(Takip!H70="",0,H69+1)</f>
        <v>0</v>
      </c>
      <c r="I70" s="15" t="n">
        <f aca="false">IF(Takip!I70="",0,I69+1)</f>
        <v>0</v>
      </c>
      <c r="J70" s="15" t="n">
        <f aca="false">IF(Takip!J70="",0,J69+1)</f>
        <v>0</v>
      </c>
      <c r="K70" s="15" t="n">
        <f aca="false">IF(Takip!K70="",0,K69+1)</f>
        <v>0</v>
      </c>
      <c r="L70" s="15" t="n">
        <f aca="false">IF(Takip!L70="",0,L69+1)</f>
        <v>0</v>
      </c>
      <c r="M70" s="15" t="n">
        <f aca="false">IF(Takip!M70="",0,M69+1)</f>
        <v>0</v>
      </c>
      <c r="N70" s="15" t="n">
        <f aca="false">IF(Takip!N70="",0,N69+1)</f>
        <v>0</v>
      </c>
      <c r="O70" s="15" t="n">
        <f aca="false">IF(Takip!O70="",0,O69+1)</f>
        <v>0</v>
      </c>
      <c r="P70" s="15" t="n">
        <f aca="false">IF(Takip!P70="",0,P69+1)</f>
        <v>0</v>
      </c>
      <c r="Q70" s="15" t="n">
        <f aca="false">IF(Takip!Q70="",0,Q69+1)</f>
        <v>0</v>
      </c>
    </row>
    <row r="71" customFormat="false" ht="15" hidden="false" customHeight="false" outlineLevel="0" collapsed="false">
      <c r="A71" s="14" t="n">
        <f aca="false">Takip!R71</f>
        <v>46088</v>
      </c>
      <c r="C71" s="15" t="n">
        <f aca="false">IF(Takip!C71="",0,C70+1)</f>
        <v>0</v>
      </c>
      <c r="D71" s="15" t="n">
        <f aca="false">IF(Takip!D71="",0,D70+1)</f>
        <v>0</v>
      </c>
      <c r="E71" s="15" t="n">
        <f aca="false">IF(Takip!E71="",0,E70+1)</f>
        <v>0</v>
      </c>
      <c r="F71" s="15" t="n">
        <f aca="false">IF(Takip!F71="",0,F70+1)</f>
        <v>0</v>
      </c>
      <c r="G71" s="15" t="n">
        <f aca="false">IF(Takip!G71="",0,G70+1)</f>
        <v>0</v>
      </c>
      <c r="H71" s="15" t="n">
        <f aca="false">IF(Takip!H71="",0,H70+1)</f>
        <v>0</v>
      </c>
      <c r="I71" s="15" t="n">
        <f aca="false">IF(Takip!I71="",0,I70+1)</f>
        <v>0</v>
      </c>
      <c r="J71" s="15" t="n">
        <f aca="false">IF(Takip!J71="",0,J70+1)</f>
        <v>0</v>
      </c>
      <c r="K71" s="15" t="n">
        <f aca="false">IF(Takip!K71="",0,K70+1)</f>
        <v>0</v>
      </c>
      <c r="L71" s="15" t="n">
        <f aca="false">IF(Takip!L71="",0,L70+1)</f>
        <v>0</v>
      </c>
      <c r="M71" s="15" t="n">
        <f aca="false">IF(Takip!M71="",0,M70+1)</f>
        <v>0</v>
      </c>
      <c r="N71" s="15" t="n">
        <f aca="false">IF(Takip!N71="",0,N70+1)</f>
        <v>0</v>
      </c>
      <c r="O71" s="15" t="n">
        <f aca="false">IF(Takip!O71="",0,O70+1)</f>
        <v>0</v>
      </c>
      <c r="P71" s="15" t="n">
        <f aca="false">IF(Takip!P71="",0,P70+1)</f>
        <v>0</v>
      </c>
      <c r="Q71" s="15" t="n">
        <f aca="false">IF(Takip!Q71="",0,Q70+1)</f>
        <v>0</v>
      </c>
    </row>
    <row r="72" customFormat="false" ht="15" hidden="false" customHeight="false" outlineLevel="0" collapsed="false">
      <c r="A72" s="14" t="n">
        <f aca="false">Takip!R72</f>
        <v>46089</v>
      </c>
      <c r="C72" s="15" t="n">
        <f aca="false">IF(Takip!C72="",0,C71+1)</f>
        <v>0</v>
      </c>
      <c r="D72" s="15" t="n">
        <f aca="false">IF(Takip!D72="",0,D71+1)</f>
        <v>0</v>
      </c>
      <c r="E72" s="15" t="n">
        <f aca="false">IF(Takip!E72="",0,E71+1)</f>
        <v>0</v>
      </c>
      <c r="F72" s="15" t="n">
        <f aca="false">IF(Takip!F72="",0,F71+1)</f>
        <v>0</v>
      </c>
      <c r="G72" s="15" t="n">
        <f aca="false">IF(Takip!G72="",0,G71+1)</f>
        <v>0</v>
      </c>
      <c r="H72" s="15" t="n">
        <f aca="false">IF(Takip!H72="",0,H71+1)</f>
        <v>0</v>
      </c>
      <c r="I72" s="15" t="n">
        <f aca="false">IF(Takip!I72="",0,I71+1)</f>
        <v>0</v>
      </c>
      <c r="J72" s="15" t="n">
        <f aca="false">IF(Takip!J72="",0,J71+1)</f>
        <v>0</v>
      </c>
      <c r="K72" s="15" t="n">
        <f aca="false">IF(Takip!K72="",0,K71+1)</f>
        <v>0</v>
      </c>
      <c r="L72" s="15" t="n">
        <f aca="false">IF(Takip!L72="",0,L71+1)</f>
        <v>0</v>
      </c>
      <c r="M72" s="15" t="n">
        <f aca="false">IF(Takip!M72="",0,M71+1)</f>
        <v>0</v>
      </c>
      <c r="N72" s="15" t="n">
        <f aca="false">IF(Takip!N72="",0,N71+1)</f>
        <v>0</v>
      </c>
      <c r="O72" s="15" t="n">
        <f aca="false">IF(Takip!O72="",0,O71+1)</f>
        <v>0</v>
      </c>
      <c r="P72" s="15" t="n">
        <f aca="false">IF(Takip!P72="",0,P71+1)</f>
        <v>0</v>
      </c>
      <c r="Q72" s="15" t="n">
        <f aca="false">IF(Takip!Q72="",0,Q71+1)</f>
        <v>0</v>
      </c>
    </row>
    <row r="73" customFormat="false" ht="15" hidden="false" customHeight="false" outlineLevel="0" collapsed="false">
      <c r="A73" s="14" t="n">
        <f aca="false">Takip!R73</f>
        <v>46090</v>
      </c>
      <c r="C73" s="15" t="n">
        <f aca="false">IF(Takip!C73="",0,C72+1)</f>
        <v>0</v>
      </c>
      <c r="D73" s="15" t="n">
        <f aca="false">IF(Takip!D73="",0,D72+1)</f>
        <v>0</v>
      </c>
      <c r="E73" s="15" t="n">
        <f aca="false">IF(Takip!E73="",0,E72+1)</f>
        <v>0</v>
      </c>
      <c r="F73" s="15" t="n">
        <f aca="false">IF(Takip!F73="",0,F72+1)</f>
        <v>0</v>
      </c>
      <c r="G73" s="15" t="n">
        <f aca="false">IF(Takip!G73="",0,G72+1)</f>
        <v>0</v>
      </c>
      <c r="H73" s="15" t="n">
        <f aca="false">IF(Takip!H73="",0,H72+1)</f>
        <v>0</v>
      </c>
      <c r="I73" s="15" t="n">
        <f aca="false">IF(Takip!I73="",0,I72+1)</f>
        <v>0</v>
      </c>
      <c r="J73" s="15" t="n">
        <f aca="false">IF(Takip!J73="",0,J72+1)</f>
        <v>0</v>
      </c>
      <c r="K73" s="15" t="n">
        <f aca="false">IF(Takip!K73="",0,K72+1)</f>
        <v>0</v>
      </c>
      <c r="L73" s="15" t="n">
        <f aca="false">IF(Takip!L73="",0,L72+1)</f>
        <v>0</v>
      </c>
      <c r="M73" s="15" t="n">
        <f aca="false">IF(Takip!M73="",0,M72+1)</f>
        <v>0</v>
      </c>
      <c r="N73" s="15" t="n">
        <f aca="false">IF(Takip!N73="",0,N72+1)</f>
        <v>0</v>
      </c>
      <c r="O73" s="15" t="n">
        <f aca="false">IF(Takip!O73="",0,O72+1)</f>
        <v>0</v>
      </c>
      <c r="P73" s="15" t="n">
        <f aca="false">IF(Takip!P73="",0,P72+1)</f>
        <v>0</v>
      </c>
      <c r="Q73" s="15" t="n">
        <f aca="false">IF(Takip!Q73="",0,Q72+1)</f>
        <v>0</v>
      </c>
    </row>
    <row r="74" customFormat="false" ht="15" hidden="false" customHeight="false" outlineLevel="0" collapsed="false">
      <c r="A74" s="14" t="n">
        <f aca="false">Takip!R74</f>
        <v>46091</v>
      </c>
      <c r="C74" s="15" t="n">
        <f aca="false">IF(Takip!C74="",0,C73+1)</f>
        <v>0</v>
      </c>
      <c r="D74" s="15" t="n">
        <f aca="false">IF(Takip!D74="",0,D73+1)</f>
        <v>0</v>
      </c>
      <c r="E74" s="15" t="n">
        <f aca="false">IF(Takip!E74="",0,E73+1)</f>
        <v>0</v>
      </c>
      <c r="F74" s="15" t="n">
        <f aca="false">IF(Takip!F74="",0,F73+1)</f>
        <v>0</v>
      </c>
      <c r="G74" s="15" t="n">
        <f aca="false">IF(Takip!G74="",0,G73+1)</f>
        <v>0</v>
      </c>
      <c r="H74" s="15" t="n">
        <f aca="false">IF(Takip!H74="",0,H73+1)</f>
        <v>0</v>
      </c>
      <c r="I74" s="15" t="n">
        <f aca="false">IF(Takip!I74="",0,I73+1)</f>
        <v>0</v>
      </c>
      <c r="J74" s="15" t="n">
        <f aca="false">IF(Takip!J74="",0,J73+1)</f>
        <v>0</v>
      </c>
      <c r="K74" s="15" t="n">
        <f aca="false">IF(Takip!K74="",0,K73+1)</f>
        <v>0</v>
      </c>
      <c r="L74" s="15" t="n">
        <f aca="false">IF(Takip!L74="",0,L73+1)</f>
        <v>0</v>
      </c>
      <c r="M74" s="15" t="n">
        <f aca="false">IF(Takip!M74="",0,M73+1)</f>
        <v>0</v>
      </c>
      <c r="N74" s="15" t="n">
        <f aca="false">IF(Takip!N74="",0,N73+1)</f>
        <v>0</v>
      </c>
      <c r="O74" s="15" t="n">
        <f aca="false">IF(Takip!O74="",0,O73+1)</f>
        <v>0</v>
      </c>
      <c r="P74" s="15" t="n">
        <f aca="false">IF(Takip!P74="",0,P73+1)</f>
        <v>0</v>
      </c>
      <c r="Q74" s="15" t="n">
        <f aca="false">IF(Takip!Q74="",0,Q73+1)</f>
        <v>0</v>
      </c>
    </row>
    <row r="75" customFormat="false" ht="15" hidden="false" customHeight="false" outlineLevel="0" collapsed="false">
      <c r="A75" s="14" t="n">
        <f aca="false">Takip!R75</f>
        <v>46092</v>
      </c>
      <c r="C75" s="15" t="n">
        <f aca="false">IF(Takip!C75="",0,C74+1)</f>
        <v>0</v>
      </c>
      <c r="D75" s="15" t="n">
        <f aca="false">IF(Takip!D75="",0,D74+1)</f>
        <v>0</v>
      </c>
      <c r="E75" s="15" t="n">
        <f aca="false">IF(Takip!E75="",0,E74+1)</f>
        <v>0</v>
      </c>
      <c r="F75" s="15" t="n">
        <f aca="false">IF(Takip!F75="",0,F74+1)</f>
        <v>0</v>
      </c>
      <c r="G75" s="15" t="n">
        <f aca="false">IF(Takip!G75="",0,G74+1)</f>
        <v>0</v>
      </c>
      <c r="H75" s="15" t="n">
        <f aca="false">IF(Takip!H75="",0,H74+1)</f>
        <v>0</v>
      </c>
      <c r="I75" s="15" t="n">
        <f aca="false">IF(Takip!I75="",0,I74+1)</f>
        <v>0</v>
      </c>
      <c r="J75" s="15" t="n">
        <f aca="false">IF(Takip!J75="",0,J74+1)</f>
        <v>0</v>
      </c>
      <c r="K75" s="15" t="n">
        <f aca="false">IF(Takip!K75="",0,K74+1)</f>
        <v>0</v>
      </c>
      <c r="L75" s="15" t="n">
        <f aca="false">IF(Takip!L75="",0,L74+1)</f>
        <v>0</v>
      </c>
      <c r="M75" s="15" t="n">
        <f aca="false">IF(Takip!M75="",0,M74+1)</f>
        <v>0</v>
      </c>
      <c r="N75" s="15" t="n">
        <f aca="false">IF(Takip!N75="",0,N74+1)</f>
        <v>0</v>
      </c>
      <c r="O75" s="15" t="n">
        <f aca="false">IF(Takip!O75="",0,O74+1)</f>
        <v>0</v>
      </c>
      <c r="P75" s="15" t="n">
        <f aca="false">IF(Takip!P75="",0,P74+1)</f>
        <v>0</v>
      </c>
      <c r="Q75" s="15" t="n">
        <f aca="false">IF(Takip!Q75="",0,Q74+1)</f>
        <v>0</v>
      </c>
    </row>
    <row r="76" customFormat="false" ht="15" hidden="false" customHeight="false" outlineLevel="0" collapsed="false">
      <c r="A76" s="14" t="n">
        <f aca="false">Takip!R76</f>
        <v>46093</v>
      </c>
      <c r="C76" s="15" t="n">
        <f aca="false">IF(Takip!C76="",0,C75+1)</f>
        <v>0</v>
      </c>
      <c r="D76" s="15" t="n">
        <f aca="false">IF(Takip!D76="",0,D75+1)</f>
        <v>0</v>
      </c>
      <c r="E76" s="15" t="n">
        <f aca="false">IF(Takip!E76="",0,E75+1)</f>
        <v>0</v>
      </c>
      <c r="F76" s="15" t="n">
        <f aca="false">IF(Takip!F76="",0,F75+1)</f>
        <v>0</v>
      </c>
      <c r="G76" s="15" t="n">
        <f aca="false">IF(Takip!G76="",0,G75+1)</f>
        <v>0</v>
      </c>
      <c r="H76" s="15" t="n">
        <f aca="false">IF(Takip!H76="",0,H75+1)</f>
        <v>0</v>
      </c>
      <c r="I76" s="15" t="n">
        <f aca="false">IF(Takip!I76="",0,I75+1)</f>
        <v>0</v>
      </c>
      <c r="J76" s="15" t="n">
        <f aca="false">IF(Takip!J76="",0,J75+1)</f>
        <v>0</v>
      </c>
      <c r="K76" s="15" t="n">
        <f aca="false">IF(Takip!K76="",0,K75+1)</f>
        <v>0</v>
      </c>
      <c r="L76" s="15" t="n">
        <f aca="false">IF(Takip!L76="",0,L75+1)</f>
        <v>0</v>
      </c>
      <c r="M76" s="15" t="n">
        <f aca="false">IF(Takip!M76="",0,M75+1)</f>
        <v>0</v>
      </c>
      <c r="N76" s="15" t="n">
        <f aca="false">IF(Takip!N76="",0,N75+1)</f>
        <v>0</v>
      </c>
      <c r="O76" s="15" t="n">
        <f aca="false">IF(Takip!O76="",0,O75+1)</f>
        <v>0</v>
      </c>
      <c r="P76" s="15" t="n">
        <f aca="false">IF(Takip!P76="",0,P75+1)</f>
        <v>0</v>
      </c>
      <c r="Q76" s="15" t="n">
        <f aca="false">IF(Takip!Q76="",0,Q75+1)</f>
        <v>0</v>
      </c>
    </row>
    <row r="77" customFormat="false" ht="15" hidden="false" customHeight="false" outlineLevel="0" collapsed="false">
      <c r="A77" s="14" t="n">
        <f aca="false">Takip!R77</f>
        <v>46094</v>
      </c>
      <c r="C77" s="15" t="n">
        <f aca="false">IF(Takip!C77="",0,C76+1)</f>
        <v>0</v>
      </c>
      <c r="D77" s="15" t="n">
        <f aca="false">IF(Takip!D77="",0,D76+1)</f>
        <v>0</v>
      </c>
      <c r="E77" s="15" t="n">
        <f aca="false">IF(Takip!E77="",0,E76+1)</f>
        <v>0</v>
      </c>
      <c r="F77" s="15" t="n">
        <f aca="false">IF(Takip!F77="",0,F76+1)</f>
        <v>0</v>
      </c>
      <c r="G77" s="15" t="n">
        <f aca="false">IF(Takip!G77="",0,G76+1)</f>
        <v>0</v>
      </c>
      <c r="H77" s="15" t="n">
        <f aca="false">IF(Takip!H77="",0,H76+1)</f>
        <v>0</v>
      </c>
      <c r="I77" s="15" t="n">
        <f aca="false">IF(Takip!I77="",0,I76+1)</f>
        <v>0</v>
      </c>
      <c r="J77" s="15" t="n">
        <f aca="false">IF(Takip!J77="",0,J76+1)</f>
        <v>0</v>
      </c>
      <c r="K77" s="15" t="n">
        <f aca="false">IF(Takip!K77="",0,K76+1)</f>
        <v>0</v>
      </c>
      <c r="L77" s="15" t="n">
        <f aca="false">IF(Takip!L77="",0,L76+1)</f>
        <v>0</v>
      </c>
      <c r="M77" s="15" t="n">
        <f aca="false">IF(Takip!M77="",0,M76+1)</f>
        <v>0</v>
      </c>
      <c r="N77" s="15" t="n">
        <f aca="false">IF(Takip!N77="",0,N76+1)</f>
        <v>0</v>
      </c>
      <c r="O77" s="15" t="n">
        <f aca="false">IF(Takip!O77="",0,O76+1)</f>
        <v>0</v>
      </c>
      <c r="P77" s="15" t="n">
        <f aca="false">IF(Takip!P77="",0,P76+1)</f>
        <v>0</v>
      </c>
      <c r="Q77" s="15" t="n">
        <f aca="false">IF(Takip!Q77="",0,Q76+1)</f>
        <v>0</v>
      </c>
    </row>
    <row r="78" customFormat="false" ht="15" hidden="false" customHeight="false" outlineLevel="0" collapsed="false">
      <c r="A78" s="14" t="n">
        <f aca="false">Takip!R78</f>
        <v>46095</v>
      </c>
      <c r="C78" s="15" t="n">
        <f aca="false">IF(Takip!C78="",0,C77+1)</f>
        <v>0</v>
      </c>
      <c r="D78" s="15" t="n">
        <f aca="false">IF(Takip!D78="",0,D77+1)</f>
        <v>0</v>
      </c>
      <c r="E78" s="15" t="n">
        <f aca="false">IF(Takip!E78="",0,E77+1)</f>
        <v>0</v>
      </c>
      <c r="F78" s="15" t="n">
        <f aca="false">IF(Takip!F78="",0,F77+1)</f>
        <v>0</v>
      </c>
      <c r="G78" s="15" t="n">
        <f aca="false">IF(Takip!G78="",0,G77+1)</f>
        <v>0</v>
      </c>
      <c r="H78" s="15" t="n">
        <f aca="false">IF(Takip!H78="",0,H77+1)</f>
        <v>0</v>
      </c>
      <c r="I78" s="15" t="n">
        <f aca="false">IF(Takip!I78="",0,I77+1)</f>
        <v>0</v>
      </c>
      <c r="J78" s="15" t="n">
        <f aca="false">IF(Takip!J78="",0,J77+1)</f>
        <v>0</v>
      </c>
      <c r="K78" s="15" t="n">
        <f aca="false">IF(Takip!K78="",0,K77+1)</f>
        <v>0</v>
      </c>
      <c r="L78" s="15" t="n">
        <f aca="false">IF(Takip!L78="",0,L77+1)</f>
        <v>0</v>
      </c>
      <c r="M78" s="15" t="n">
        <f aca="false">IF(Takip!M78="",0,M77+1)</f>
        <v>0</v>
      </c>
      <c r="N78" s="15" t="n">
        <f aca="false">IF(Takip!N78="",0,N77+1)</f>
        <v>0</v>
      </c>
      <c r="O78" s="15" t="n">
        <f aca="false">IF(Takip!O78="",0,O77+1)</f>
        <v>0</v>
      </c>
      <c r="P78" s="15" t="n">
        <f aca="false">IF(Takip!P78="",0,P77+1)</f>
        <v>0</v>
      </c>
      <c r="Q78" s="15" t="n">
        <f aca="false">IF(Takip!Q78="",0,Q77+1)</f>
        <v>0</v>
      </c>
    </row>
    <row r="79" customFormat="false" ht="15" hidden="false" customHeight="false" outlineLevel="0" collapsed="false">
      <c r="A79" s="14" t="n">
        <f aca="false">Takip!R79</f>
        <v>46096</v>
      </c>
      <c r="C79" s="15" t="n">
        <f aca="false">IF(Takip!C79="",0,C78+1)</f>
        <v>0</v>
      </c>
      <c r="D79" s="15" t="n">
        <f aca="false">IF(Takip!D79="",0,D78+1)</f>
        <v>0</v>
      </c>
      <c r="E79" s="15" t="n">
        <f aca="false">IF(Takip!E79="",0,E78+1)</f>
        <v>0</v>
      </c>
      <c r="F79" s="15" t="n">
        <f aca="false">IF(Takip!F79="",0,F78+1)</f>
        <v>0</v>
      </c>
      <c r="G79" s="15" t="n">
        <f aca="false">IF(Takip!G79="",0,G78+1)</f>
        <v>0</v>
      </c>
      <c r="H79" s="15" t="n">
        <f aca="false">IF(Takip!H79="",0,H78+1)</f>
        <v>0</v>
      </c>
      <c r="I79" s="15" t="n">
        <f aca="false">IF(Takip!I79="",0,I78+1)</f>
        <v>0</v>
      </c>
      <c r="J79" s="15" t="n">
        <f aca="false">IF(Takip!J79="",0,J78+1)</f>
        <v>0</v>
      </c>
      <c r="K79" s="15" t="n">
        <f aca="false">IF(Takip!K79="",0,K78+1)</f>
        <v>0</v>
      </c>
      <c r="L79" s="15" t="n">
        <f aca="false">IF(Takip!L79="",0,L78+1)</f>
        <v>0</v>
      </c>
      <c r="M79" s="15" t="n">
        <f aca="false">IF(Takip!M79="",0,M78+1)</f>
        <v>0</v>
      </c>
      <c r="N79" s="15" t="n">
        <f aca="false">IF(Takip!N79="",0,N78+1)</f>
        <v>0</v>
      </c>
      <c r="O79" s="15" t="n">
        <f aca="false">IF(Takip!O79="",0,O78+1)</f>
        <v>0</v>
      </c>
      <c r="P79" s="15" t="n">
        <f aca="false">IF(Takip!P79="",0,P78+1)</f>
        <v>0</v>
      </c>
      <c r="Q79" s="15" t="n">
        <f aca="false">IF(Takip!Q79="",0,Q78+1)</f>
        <v>0</v>
      </c>
    </row>
    <row r="80" customFormat="false" ht="15" hidden="false" customHeight="false" outlineLevel="0" collapsed="false">
      <c r="A80" s="14" t="n">
        <f aca="false">Takip!R80</f>
        <v>46097</v>
      </c>
      <c r="C80" s="15" t="n">
        <f aca="false">IF(Takip!C80="",0,C79+1)</f>
        <v>0</v>
      </c>
      <c r="D80" s="15" t="n">
        <f aca="false">IF(Takip!D80="",0,D79+1)</f>
        <v>0</v>
      </c>
      <c r="E80" s="15" t="n">
        <f aca="false">IF(Takip!E80="",0,E79+1)</f>
        <v>0</v>
      </c>
      <c r="F80" s="15" t="n">
        <f aca="false">IF(Takip!F80="",0,F79+1)</f>
        <v>0</v>
      </c>
      <c r="G80" s="15" t="n">
        <f aca="false">IF(Takip!G80="",0,G79+1)</f>
        <v>0</v>
      </c>
      <c r="H80" s="15" t="n">
        <f aca="false">IF(Takip!H80="",0,H79+1)</f>
        <v>0</v>
      </c>
      <c r="I80" s="15" t="n">
        <f aca="false">IF(Takip!I80="",0,I79+1)</f>
        <v>0</v>
      </c>
      <c r="J80" s="15" t="n">
        <f aca="false">IF(Takip!J80="",0,J79+1)</f>
        <v>0</v>
      </c>
      <c r="K80" s="15" t="n">
        <f aca="false">IF(Takip!K80="",0,K79+1)</f>
        <v>0</v>
      </c>
      <c r="L80" s="15" t="n">
        <f aca="false">IF(Takip!L80="",0,L79+1)</f>
        <v>0</v>
      </c>
      <c r="M80" s="15" t="n">
        <f aca="false">IF(Takip!M80="",0,M79+1)</f>
        <v>0</v>
      </c>
      <c r="N80" s="15" t="n">
        <f aca="false">IF(Takip!N80="",0,N79+1)</f>
        <v>0</v>
      </c>
      <c r="O80" s="15" t="n">
        <f aca="false">IF(Takip!O80="",0,O79+1)</f>
        <v>0</v>
      </c>
      <c r="P80" s="15" t="n">
        <f aca="false">IF(Takip!P80="",0,P79+1)</f>
        <v>0</v>
      </c>
      <c r="Q80" s="15" t="n">
        <f aca="false">IF(Takip!Q80="",0,Q79+1)</f>
        <v>0</v>
      </c>
    </row>
    <row r="81" customFormat="false" ht="15" hidden="false" customHeight="false" outlineLevel="0" collapsed="false">
      <c r="A81" s="14" t="n">
        <f aca="false">Takip!R81</f>
        <v>46098</v>
      </c>
      <c r="C81" s="15" t="n">
        <f aca="false">IF(Takip!C81="",0,C80+1)</f>
        <v>0</v>
      </c>
      <c r="D81" s="15" t="n">
        <f aca="false">IF(Takip!D81="",0,D80+1)</f>
        <v>0</v>
      </c>
      <c r="E81" s="15" t="n">
        <f aca="false">IF(Takip!E81="",0,E80+1)</f>
        <v>0</v>
      </c>
      <c r="F81" s="15" t="n">
        <f aca="false">IF(Takip!F81="",0,F80+1)</f>
        <v>0</v>
      </c>
      <c r="G81" s="15" t="n">
        <f aca="false">IF(Takip!G81="",0,G80+1)</f>
        <v>0</v>
      </c>
      <c r="H81" s="15" t="n">
        <f aca="false">IF(Takip!H81="",0,H80+1)</f>
        <v>0</v>
      </c>
      <c r="I81" s="15" t="n">
        <f aca="false">IF(Takip!I81="",0,I80+1)</f>
        <v>0</v>
      </c>
      <c r="J81" s="15" t="n">
        <f aca="false">IF(Takip!J81="",0,J80+1)</f>
        <v>0</v>
      </c>
      <c r="K81" s="15" t="n">
        <f aca="false">IF(Takip!K81="",0,K80+1)</f>
        <v>0</v>
      </c>
      <c r="L81" s="15" t="n">
        <f aca="false">IF(Takip!L81="",0,L80+1)</f>
        <v>0</v>
      </c>
      <c r="M81" s="15" t="n">
        <f aca="false">IF(Takip!M81="",0,M80+1)</f>
        <v>0</v>
      </c>
      <c r="N81" s="15" t="n">
        <f aca="false">IF(Takip!N81="",0,N80+1)</f>
        <v>0</v>
      </c>
      <c r="O81" s="15" t="n">
        <f aca="false">IF(Takip!O81="",0,O80+1)</f>
        <v>0</v>
      </c>
      <c r="P81" s="15" t="n">
        <f aca="false">IF(Takip!P81="",0,P80+1)</f>
        <v>0</v>
      </c>
      <c r="Q81" s="15" t="n">
        <f aca="false">IF(Takip!Q81="",0,Q80+1)</f>
        <v>0</v>
      </c>
    </row>
    <row r="82" customFormat="false" ht="15" hidden="false" customHeight="false" outlineLevel="0" collapsed="false">
      <c r="A82" s="14" t="n">
        <f aca="false">Takip!R82</f>
        <v>46099</v>
      </c>
      <c r="C82" s="15" t="n">
        <f aca="false">IF(Takip!C82="",0,C81+1)</f>
        <v>0</v>
      </c>
      <c r="D82" s="15" t="n">
        <f aca="false">IF(Takip!D82="",0,D81+1)</f>
        <v>0</v>
      </c>
      <c r="E82" s="15" t="n">
        <f aca="false">IF(Takip!E82="",0,E81+1)</f>
        <v>0</v>
      </c>
      <c r="F82" s="15" t="n">
        <f aca="false">IF(Takip!F82="",0,F81+1)</f>
        <v>0</v>
      </c>
      <c r="G82" s="15" t="n">
        <f aca="false">IF(Takip!G82="",0,G81+1)</f>
        <v>0</v>
      </c>
      <c r="H82" s="15" t="n">
        <f aca="false">IF(Takip!H82="",0,H81+1)</f>
        <v>0</v>
      </c>
      <c r="I82" s="15" t="n">
        <f aca="false">IF(Takip!I82="",0,I81+1)</f>
        <v>0</v>
      </c>
      <c r="J82" s="15" t="n">
        <f aca="false">IF(Takip!J82="",0,J81+1)</f>
        <v>0</v>
      </c>
      <c r="K82" s="15" t="n">
        <f aca="false">IF(Takip!K82="",0,K81+1)</f>
        <v>0</v>
      </c>
      <c r="L82" s="15" t="n">
        <f aca="false">IF(Takip!L82="",0,L81+1)</f>
        <v>0</v>
      </c>
      <c r="M82" s="15" t="n">
        <f aca="false">IF(Takip!M82="",0,M81+1)</f>
        <v>0</v>
      </c>
      <c r="N82" s="15" t="n">
        <f aca="false">IF(Takip!N82="",0,N81+1)</f>
        <v>0</v>
      </c>
      <c r="O82" s="15" t="n">
        <f aca="false">IF(Takip!O82="",0,O81+1)</f>
        <v>0</v>
      </c>
      <c r="P82" s="15" t="n">
        <f aca="false">IF(Takip!P82="",0,P81+1)</f>
        <v>0</v>
      </c>
      <c r="Q82" s="15" t="n">
        <f aca="false">IF(Takip!Q82="",0,Q81+1)</f>
        <v>0</v>
      </c>
    </row>
    <row r="83" customFormat="false" ht="15" hidden="false" customHeight="false" outlineLevel="0" collapsed="false">
      <c r="A83" s="14" t="n">
        <f aca="false">Takip!R83</f>
        <v>46100</v>
      </c>
      <c r="C83" s="15" t="n">
        <f aca="false">IF(Takip!C83="",0,C82+1)</f>
        <v>0</v>
      </c>
      <c r="D83" s="15" t="n">
        <f aca="false">IF(Takip!D83="",0,D82+1)</f>
        <v>0</v>
      </c>
      <c r="E83" s="15" t="n">
        <f aca="false">IF(Takip!E83="",0,E82+1)</f>
        <v>0</v>
      </c>
      <c r="F83" s="15" t="n">
        <f aca="false">IF(Takip!F83="",0,F82+1)</f>
        <v>0</v>
      </c>
      <c r="G83" s="15" t="n">
        <f aca="false">IF(Takip!G83="",0,G82+1)</f>
        <v>0</v>
      </c>
      <c r="H83" s="15" t="n">
        <f aca="false">IF(Takip!H83="",0,H82+1)</f>
        <v>0</v>
      </c>
      <c r="I83" s="15" t="n">
        <f aca="false">IF(Takip!I83="",0,I82+1)</f>
        <v>0</v>
      </c>
      <c r="J83" s="15" t="n">
        <f aca="false">IF(Takip!J83="",0,J82+1)</f>
        <v>0</v>
      </c>
      <c r="K83" s="15" t="n">
        <f aca="false">IF(Takip!K83="",0,K82+1)</f>
        <v>0</v>
      </c>
      <c r="L83" s="15" t="n">
        <f aca="false">IF(Takip!L83="",0,L82+1)</f>
        <v>0</v>
      </c>
      <c r="M83" s="15" t="n">
        <f aca="false">IF(Takip!M83="",0,M82+1)</f>
        <v>0</v>
      </c>
      <c r="N83" s="15" t="n">
        <f aca="false">IF(Takip!N83="",0,N82+1)</f>
        <v>0</v>
      </c>
      <c r="O83" s="15" t="n">
        <f aca="false">IF(Takip!O83="",0,O82+1)</f>
        <v>0</v>
      </c>
      <c r="P83" s="15" t="n">
        <f aca="false">IF(Takip!P83="",0,P82+1)</f>
        <v>0</v>
      </c>
      <c r="Q83" s="15" t="n">
        <f aca="false">IF(Takip!Q83="",0,Q82+1)</f>
        <v>0</v>
      </c>
    </row>
    <row r="84" customFormat="false" ht="15" hidden="false" customHeight="false" outlineLevel="0" collapsed="false">
      <c r="A84" s="14" t="n">
        <f aca="false">Takip!R84</f>
        <v>46101</v>
      </c>
      <c r="C84" s="15" t="n">
        <f aca="false">IF(Takip!C84="",0,C83+1)</f>
        <v>0</v>
      </c>
      <c r="D84" s="15" t="n">
        <f aca="false">IF(Takip!D84="",0,D83+1)</f>
        <v>0</v>
      </c>
      <c r="E84" s="15" t="n">
        <f aca="false">IF(Takip!E84="",0,E83+1)</f>
        <v>0</v>
      </c>
      <c r="F84" s="15" t="n">
        <f aca="false">IF(Takip!F84="",0,F83+1)</f>
        <v>0</v>
      </c>
      <c r="G84" s="15" t="n">
        <f aca="false">IF(Takip!G84="",0,G83+1)</f>
        <v>0</v>
      </c>
      <c r="H84" s="15" t="n">
        <f aca="false">IF(Takip!H84="",0,H83+1)</f>
        <v>0</v>
      </c>
      <c r="I84" s="15" t="n">
        <f aca="false">IF(Takip!I84="",0,I83+1)</f>
        <v>0</v>
      </c>
      <c r="J84" s="15" t="n">
        <f aca="false">IF(Takip!J84="",0,J83+1)</f>
        <v>0</v>
      </c>
      <c r="K84" s="15" t="n">
        <f aca="false">IF(Takip!K84="",0,K83+1)</f>
        <v>0</v>
      </c>
      <c r="L84" s="15" t="n">
        <f aca="false">IF(Takip!L84="",0,L83+1)</f>
        <v>0</v>
      </c>
      <c r="M84" s="15" t="n">
        <f aca="false">IF(Takip!M84="",0,M83+1)</f>
        <v>0</v>
      </c>
      <c r="N84" s="15" t="n">
        <f aca="false">IF(Takip!N84="",0,N83+1)</f>
        <v>0</v>
      </c>
      <c r="O84" s="15" t="n">
        <f aca="false">IF(Takip!O84="",0,O83+1)</f>
        <v>0</v>
      </c>
      <c r="P84" s="15" t="n">
        <f aca="false">IF(Takip!P84="",0,P83+1)</f>
        <v>0</v>
      </c>
      <c r="Q84" s="15" t="n">
        <f aca="false">IF(Takip!Q84="",0,Q83+1)</f>
        <v>0</v>
      </c>
    </row>
    <row r="85" customFormat="false" ht="15" hidden="false" customHeight="false" outlineLevel="0" collapsed="false">
      <c r="A85" s="14" t="n">
        <f aca="false">Takip!R85</f>
        <v>46102</v>
      </c>
      <c r="C85" s="15" t="n">
        <f aca="false">IF(Takip!C85="",0,C84+1)</f>
        <v>0</v>
      </c>
      <c r="D85" s="15" t="n">
        <f aca="false">IF(Takip!D85="",0,D84+1)</f>
        <v>0</v>
      </c>
      <c r="E85" s="15" t="n">
        <f aca="false">IF(Takip!E85="",0,E84+1)</f>
        <v>0</v>
      </c>
      <c r="F85" s="15" t="n">
        <f aca="false">IF(Takip!F85="",0,F84+1)</f>
        <v>0</v>
      </c>
      <c r="G85" s="15" t="n">
        <f aca="false">IF(Takip!G85="",0,G84+1)</f>
        <v>0</v>
      </c>
      <c r="H85" s="15" t="n">
        <f aca="false">IF(Takip!H85="",0,H84+1)</f>
        <v>0</v>
      </c>
      <c r="I85" s="15" t="n">
        <f aca="false">IF(Takip!I85="",0,I84+1)</f>
        <v>0</v>
      </c>
      <c r="J85" s="15" t="n">
        <f aca="false">IF(Takip!J85="",0,J84+1)</f>
        <v>0</v>
      </c>
      <c r="K85" s="15" t="n">
        <f aca="false">IF(Takip!K85="",0,K84+1)</f>
        <v>0</v>
      </c>
      <c r="L85" s="15" t="n">
        <f aca="false">IF(Takip!L85="",0,L84+1)</f>
        <v>0</v>
      </c>
      <c r="M85" s="15" t="n">
        <f aca="false">IF(Takip!M85="",0,M84+1)</f>
        <v>0</v>
      </c>
      <c r="N85" s="15" t="n">
        <f aca="false">IF(Takip!N85="",0,N84+1)</f>
        <v>0</v>
      </c>
      <c r="O85" s="15" t="n">
        <f aca="false">IF(Takip!O85="",0,O84+1)</f>
        <v>0</v>
      </c>
      <c r="P85" s="15" t="n">
        <f aca="false">IF(Takip!P85="",0,P84+1)</f>
        <v>0</v>
      </c>
      <c r="Q85" s="15" t="n">
        <f aca="false">IF(Takip!Q85="",0,Q84+1)</f>
        <v>0</v>
      </c>
    </row>
    <row r="86" customFormat="false" ht="15" hidden="false" customHeight="false" outlineLevel="0" collapsed="false">
      <c r="A86" s="14" t="n">
        <f aca="false">Takip!R86</f>
        <v>46103</v>
      </c>
      <c r="C86" s="15" t="n">
        <f aca="false">IF(Takip!C86="",0,C85+1)</f>
        <v>0</v>
      </c>
      <c r="D86" s="15" t="n">
        <f aca="false">IF(Takip!D86="",0,D85+1)</f>
        <v>0</v>
      </c>
      <c r="E86" s="15" t="n">
        <f aca="false">IF(Takip!E86="",0,E85+1)</f>
        <v>0</v>
      </c>
      <c r="F86" s="15" t="n">
        <f aca="false">IF(Takip!F86="",0,F85+1)</f>
        <v>0</v>
      </c>
      <c r="G86" s="15" t="n">
        <f aca="false">IF(Takip!G86="",0,G85+1)</f>
        <v>0</v>
      </c>
      <c r="H86" s="15" t="n">
        <f aca="false">IF(Takip!H86="",0,H85+1)</f>
        <v>0</v>
      </c>
      <c r="I86" s="15" t="n">
        <f aca="false">IF(Takip!I86="",0,I85+1)</f>
        <v>0</v>
      </c>
      <c r="J86" s="15" t="n">
        <f aca="false">IF(Takip!J86="",0,J85+1)</f>
        <v>0</v>
      </c>
      <c r="K86" s="15" t="n">
        <f aca="false">IF(Takip!K86="",0,K85+1)</f>
        <v>0</v>
      </c>
      <c r="L86" s="15" t="n">
        <f aca="false">IF(Takip!L86="",0,L85+1)</f>
        <v>0</v>
      </c>
      <c r="M86" s="15" t="n">
        <f aca="false">IF(Takip!M86="",0,M85+1)</f>
        <v>0</v>
      </c>
      <c r="N86" s="15" t="n">
        <f aca="false">IF(Takip!N86="",0,N85+1)</f>
        <v>0</v>
      </c>
      <c r="O86" s="15" t="n">
        <f aca="false">IF(Takip!O86="",0,O85+1)</f>
        <v>0</v>
      </c>
      <c r="P86" s="15" t="n">
        <f aca="false">IF(Takip!P86="",0,P85+1)</f>
        <v>0</v>
      </c>
      <c r="Q86" s="15" t="n">
        <f aca="false">IF(Takip!Q86="",0,Q85+1)</f>
        <v>0</v>
      </c>
    </row>
    <row r="87" customFormat="false" ht="15" hidden="false" customHeight="false" outlineLevel="0" collapsed="false">
      <c r="A87" s="14" t="n">
        <f aca="false">Takip!R87</f>
        <v>46104</v>
      </c>
      <c r="C87" s="15" t="n">
        <f aca="false">IF(Takip!C87="",0,C86+1)</f>
        <v>0</v>
      </c>
      <c r="D87" s="15" t="n">
        <f aca="false">IF(Takip!D87="",0,D86+1)</f>
        <v>0</v>
      </c>
      <c r="E87" s="15" t="n">
        <f aca="false">IF(Takip!E87="",0,E86+1)</f>
        <v>0</v>
      </c>
      <c r="F87" s="15" t="n">
        <f aca="false">IF(Takip!F87="",0,F86+1)</f>
        <v>0</v>
      </c>
      <c r="G87" s="15" t="n">
        <f aca="false">IF(Takip!G87="",0,G86+1)</f>
        <v>0</v>
      </c>
      <c r="H87" s="15" t="n">
        <f aca="false">IF(Takip!H87="",0,H86+1)</f>
        <v>0</v>
      </c>
      <c r="I87" s="15" t="n">
        <f aca="false">IF(Takip!I87="",0,I86+1)</f>
        <v>0</v>
      </c>
      <c r="J87" s="15" t="n">
        <f aca="false">IF(Takip!J87="",0,J86+1)</f>
        <v>0</v>
      </c>
      <c r="K87" s="15" t="n">
        <f aca="false">IF(Takip!K87="",0,K86+1)</f>
        <v>0</v>
      </c>
      <c r="L87" s="15" t="n">
        <f aca="false">IF(Takip!L87="",0,L86+1)</f>
        <v>0</v>
      </c>
      <c r="M87" s="15" t="n">
        <f aca="false">IF(Takip!M87="",0,M86+1)</f>
        <v>0</v>
      </c>
      <c r="N87" s="15" t="n">
        <f aca="false">IF(Takip!N87="",0,N86+1)</f>
        <v>0</v>
      </c>
      <c r="O87" s="15" t="n">
        <f aca="false">IF(Takip!O87="",0,O86+1)</f>
        <v>0</v>
      </c>
      <c r="P87" s="15" t="n">
        <f aca="false">IF(Takip!P87="",0,P86+1)</f>
        <v>0</v>
      </c>
      <c r="Q87" s="15" t="n">
        <f aca="false">IF(Takip!Q87="",0,Q86+1)</f>
        <v>0</v>
      </c>
    </row>
    <row r="88" customFormat="false" ht="15" hidden="false" customHeight="false" outlineLevel="0" collapsed="false">
      <c r="A88" s="14" t="n">
        <f aca="false">Takip!R88</f>
        <v>46105</v>
      </c>
      <c r="C88" s="15" t="n">
        <f aca="false">IF(Takip!C88="",0,C87+1)</f>
        <v>0</v>
      </c>
      <c r="D88" s="15" t="n">
        <f aca="false">IF(Takip!D88="",0,D87+1)</f>
        <v>0</v>
      </c>
      <c r="E88" s="15" t="n">
        <f aca="false">IF(Takip!E88="",0,E87+1)</f>
        <v>0</v>
      </c>
      <c r="F88" s="15" t="n">
        <f aca="false">IF(Takip!F88="",0,F87+1)</f>
        <v>0</v>
      </c>
      <c r="G88" s="15" t="n">
        <f aca="false">IF(Takip!G88="",0,G87+1)</f>
        <v>0</v>
      </c>
      <c r="H88" s="15" t="n">
        <f aca="false">IF(Takip!H88="",0,H87+1)</f>
        <v>0</v>
      </c>
      <c r="I88" s="15" t="n">
        <f aca="false">IF(Takip!I88="",0,I87+1)</f>
        <v>0</v>
      </c>
      <c r="J88" s="15" t="n">
        <f aca="false">IF(Takip!J88="",0,J87+1)</f>
        <v>0</v>
      </c>
      <c r="K88" s="15" t="n">
        <f aca="false">IF(Takip!K88="",0,K87+1)</f>
        <v>0</v>
      </c>
      <c r="L88" s="15" t="n">
        <f aca="false">IF(Takip!L88="",0,L87+1)</f>
        <v>0</v>
      </c>
      <c r="M88" s="15" t="n">
        <f aca="false">IF(Takip!M88="",0,M87+1)</f>
        <v>0</v>
      </c>
      <c r="N88" s="15" t="n">
        <f aca="false">IF(Takip!N88="",0,N87+1)</f>
        <v>0</v>
      </c>
      <c r="O88" s="15" t="n">
        <f aca="false">IF(Takip!O88="",0,O87+1)</f>
        <v>0</v>
      </c>
      <c r="P88" s="15" t="n">
        <f aca="false">IF(Takip!P88="",0,P87+1)</f>
        <v>0</v>
      </c>
      <c r="Q88" s="15" t="n">
        <f aca="false">IF(Takip!Q88="",0,Q87+1)</f>
        <v>0</v>
      </c>
    </row>
    <row r="89" customFormat="false" ht="15" hidden="false" customHeight="false" outlineLevel="0" collapsed="false">
      <c r="A89" s="14" t="n">
        <f aca="false">Takip!R89</f>
        <v>46106</v>
      </c>
      <c r="C89" s="15" t="n">
        <f aca="false">IF(Takip!C89="",0,C88+1)</f>
        <v>0</v>
      </c>
      <c r="D89" s="15" t="n">
        <f aca="false">IF(Takip!D89="",0,D88+1)</f>
        <v>0</v>
      </c>
      <c r="E89" s="15" t="n">
        <f aca="false">IF(Takip!E89="",0,E88+1)</f>
        <v>0</v>
      </c>
      <c r="F89" s="15" t="n">
        <f aca="false">IF(Takip!F89="",0,F88+1)</f>
        <v>0</v>
      </c>
      <c r="G89" s="15" t="n">
        <f aca="false">IF(Takip!G89="",0,G88+1)</f>
        <v>0</v>
      </c>
      <c r="H89" s="15" t="n">
        <f aca="false">IF(Takip!H89="",0,H88+1)</f>
        <v>0</v>
      </c>
      <c r="I89" s="15" t="n">
        <f aca="false">IF(Takip!I89="",0,I88+1)</f>
        <v>0</v>
      </c>
      <c r="J89" s="15" t="n">
        <f aca="false">IF(Takip!J89="",0,J88+1)</f>
        <v>0</v>
      </c>
      <c r="K89" s="15" t="n">
        <f aca="false">IF(Takip!K89="",0,K88+1)</f>
        <v>0</v>
      </c>
      <c r="L89" s="15" t="n">
        <f aca="false">IF(Takip!L89="",0,L88+1)</f>
        <v>0</v>
      </c>
      <c r="M89" s="15" t="n">
        <f aca="false">IF(Takip!M89="",0,M88+1)</f>
        <v>0</v>
      </c>
      <c r="N89" s="15" t="n">
        <f aca="false">IF(Takip!N89="",0,N88+1)</f>
        <v>0</v>
      </c>
      <c r="O89" s="15" t="n">
        <f aca="false">IF(Takip!O89="",0,O88+1)</f>
        <v>0</v>
      </c>
      <c r="P89" s="15" t="n">
        <f aca="false">IF(Takip!P89="",0,P88+1)</f>
        <v>0</v>
      </c>
      <c r="Q89" s="15" t="n">
        <f aca="false">IF(Takip!Q89="",0,Q88+1)</f>
        <v>0</v>
      </c>
    </row>
    <row r="90" customFormat="false" ht="15" hidden="false" customHeight="false" outlineLevel="0" collapsed="false">
      <c r="A90" s="14" t="n">
        <f aca="false">Takip!R90</f>
        <v>46107</v>
      </c>
      <c r="C90" s="15" t="n">
        <f aca="false">IF(Takip!C90="",0,C89+1)</f>
        <v>0</v>
      </c>
      <c r="D90" s="15" t="n">
        <f aca="false">IF(Takip!D90="",0,D89+1)</f>
        <v>0</v>
      </c>
      <c r="E90" s="15" t="n">
        <f aca="false">IF(Takip!E90="",0,E89+1)</f>
        <v>0</v>
      </c>
      <c r="F90" s="15" t="n">
        <f aca="false">IF(Takip!F90="",0,F89+1)</f>
        <v>0</v>
      </c>
      <c r="G90" s="15" t="n">
        <f aca="false">IF(Takip!G90="",0,G89+1)</f>
        <v>0</v>
      </c>
      <c r="H90" s="15" t="n">
        <f aca="false">IF(Takip!H90="",0,H89+1)</f>
        <v>0</v>
      </c>
      <c r="I90" s="15" t="n">
        <f aca="false">IF(Takip!I90="",0,I89+1)</f>
        <v>0</v>
      </c>
      <c r="J90" s="15" t="n">
        <f aca="false">IF(Takip!J90="",0,J89+1)</f>
        <v>0</v>
      </c>
      <c r="K90" s="15" t="n">
        <f aca="false">IF(Takip!K90="",0,K89+1)</f>
        <v>0</v>
      </c>
      <c r="L90" s="15" t="n">
        <f aca="false">IF(Takip!L90="",0,L89+1)</f>
        <v>0</v>
      </c>
      <c r="M90" s="15" t="n">
        <f aca="false">IF(Takip!M90="",0,M89+1)</f>
        <v>0</v>
      </c>
      <c r="N90" s="15" t="n">
        <f aca="false">IF(Takip!N90="",0,N89+1)</f>
        <v>0</v>
      </c>
      <c r="O90" s="15" t="n">
        <f aca="false">IF(Takip!O90="",0,O89+1)</f>
        <v>0</v>
      </c>
      <c r="P90" s="15" t="n">
        <f aca="false">IF(Takip!P90="",0,P89+1)</f>
        <v>0</v>
      </c>
      <c r="Q90" s="15" t="n">
        <f aca="false">IF(Takip!Q90="",0,Q89+1)</f>
        <v>0</v>
      </c>
    </row>
    <row r="91" customFormat="false" ht="15" hidden="false" customHeight="false" outlineLevel="0" collapsed="false">
      <c r="A91" s="14" t="n">
        <f aca="false">Takip!R91</f>
        <v>46108</v>
      </c>
      <c r="C91" s="15" t="n">
        <f aca="false">IF(Takip!C91="",0,C90+1)</f>
        <v>0</v>
      </c>
      <c r="D91" s="15" t="n">
        <f aca="false">IF(Takip!D91="",0,D90+1)</f>
        <v>0</v>
      </c>
      <c r="E91" s="15" t="n">
        <f aca="false">IF(Takip!E91="",0,E90+1)</f>
        <v>0</v>
      </c>
      <c r="F91" s="15" t="n">
        <f aca="false">IF(Takip!F91="",0,F90+1)</f>
        <v>0</v>
      </c>
      <c r="G91" s="15" t="n">
        <f aca="false">IF(Takip!G91="",0,G90+1)</f>
        <v>0</v>
      </c>
      <c r="H91" s="15" t="n">
        <f aca="false">IF(Takip!H91="",0,H90+1)</f>
        <v>0</v>
      </c>
      <c r="I91" s="15" t="n">
        <f aca="false">IF(Takip!I91="",0,I90+1)</f>
        <v>0</v>
      </c>
      <c r="J91" s="15" t="n">
        <f aca="false">IF(Takip!J91="",0,J90+1)</f>
        <v>0</v>
      </c>
      <c r="K91" s="15" t="n">
        <f aca="false">IF(Takip!K91="",0,K90+1)</f>
        <v>0</v>
      </c>
      <c r="L91" s="15" t="n">
        <f aca="false">IF(Takip!L91="",0,L90+1)</f>
        <v>0</v>
      </c>
      <c r="M91" s="15" t="n">
        <f aca="false">IF(Takip!M91="",0,M90+1)</f>
        <v>0</v>
      </c>
      <c r="N91" s="15" t="n">
        <f aca="false">IF(Takip!N91="",0,N90+1)</f>
        <v>0</v>
      </c>
      <c r="O91" s="15" t="n">
        <f aca="false">IF(Takip!O91="",0,O90+1)</f>
        <v>0</v>
      </c>
      <c r="P91" s="15" t="n">
        <f aca="false">IF(Takip!P91="",0,P90+1)</f>
        <v>0</v>
      </c>
      <c r="Q91" s="15" t="n">
        <f aca="false">IF(Takip!Q91="",0,Q90+1)</f>
        <v>0</v>
      </c>
    </row>
    <row r="92" customFormat="false" ht="15" hidden="false" customHeight="false" outlineLevel="0" collapsed="false">
      <c r="A92" s="14" t="n">
        <f aca="false">Takip!R92</f>
        <v>46109</v>
      </c>
      <c r="C92" s="15" t="n">
        <f aca="false">IF(Takip!C92="",0,C91+1)</f>
        <v>0</v>
      </c>
      <c r="D92" s="15" t="n">
        <f aca="false">IF(Takip!D92="",0,D91+1)</f>
        <v>0</v>
      </c>
      <c r="E92" s="15" t="n">
        <f aca="false">IF(Takip!E92="",0,E91+1)</f>
        <v>0</v>
      </c>
      <c r="F92" s="15" t="n">
        <f aca="false">IF(Takip!F92="",0,F91+1)</f>
        <v>0</v>
      </c>
      <c r="G92" s="15" t="n">
        <f aca="false">IF(Takip!G92="",0,G91+1)</f>
        <v>0</v>
      </c>
      <c r="H92" s="15" t="n">
        <f aca="false">IF(Takip!H92="",0,H91+1)</f>
        <v>0</v>
      </c>
      <c r="I92" s="15" t="n">
        <f aca="false">IF(Takip!I92="",0,I91+1)</f>
        <v>0</v>
      </c>
      <c r="J92" s="15" t="n">
        <f aca="false">IF(Takip!J92="",0,J91+1)</f>
        <v>0</v>
      </c>
      <c r="K92" s="15" t="n">
        <f aca="false">IF(Takip!K92="",0,K91+1)</f>
        <v>0</v>
      </c>
      <c r="L92" s="15" t="n">
        <f aca="false">IF(Takip!L92="",0,L91+1)</f>
        <v>0</v>
      </c>
      <c r="M92" s="15" t="n">
        <f aca="false">IF(Takip!M92="",0,M91+1)</f>
        <v>0</v>
      </c>
      <c r="N92" s="15" t="n">
        <f aca="false">IF(Takip!N92="",0,N91+1)</f>
        <v>0</v>
      </c>
      <c r="O92" s="15" t="n">
        <f aca="false">IF(Takip!O92="",0,O91+1)</f>
        <v>0</v>
      </c>
      <c r="P92" s="15" t="n">
        <f aca="false">IF(Takip!P92="",0,P91+1)</f>
        <v>0</v>
      </c>
      <c r="Q92" s="15" t="n">
        <f aca="false">IF(Takip!Q92="",0,Q91+1)</f>
        <v>0</v>
      </c>
    </row>
    <row r="93" customFormat="false" ht="15" hidden="false" customHeight="false" outlineLevel="0" collapsed="false">
      <c r="A93" s="14" t="n">
        <f aca="false">Takip!R93</f>
        <v>46110</v>
      </c>
      <c r="C93" s="15" t="n">
        <f aca="false">IF(Takip!C93="",0,C92+1)</f>
        <v>0</v>
      </c>
      <c r="D93" s="15" t="n">
        <f aca="false">IF(Takip!D93="",0,D92+1)</f>
        <v>0</v>
      </c>
      <c r="E93" s="15" t="n">
        <f aca="false">IF(Takip!E93="",0,E92+1)</f>
        <v>0</v>
      </c>
      <c r="F93" s="15" t="n">
        <f aca="false">IF(Takip!F93="",0,F92+1)</f>
        <v>0</v>
      </c>
      <c r="G93" s="15" t="n">
        <f aca="false">IF(Takip!G93="",0,G92+1)</f>
        <v>0</v>
      </c>
      <c r="H93" s="15" t="n">
        <f aca="false">IF(Takip!H93="",0,H92+1)</f>
        <v>0</v>
      </c>
      <c r="I93" s="15" t="n">
        <f aca="false">IF(Takip!I93="",0,I92+1)</f>
        <v>0</v>
      </c>
      <c r="J93" s="15" t="n">
        <f aca="false">IF(Takip!J93="",0,J92+1)</f>
        <v>0</v>
      </c>
      <c r="K93" s="15" t="n">
        <f aca="false">IF(Takip!K93="",0,K92+1)</f>
        <v>0</v>
      </c>
      <c r="L93" s="15" t="n">
        <f aca="false">IF(Takip!L93="",0,L92+1)</f>
        <v>0</v>
      </c>
      <c r="M93" s="15" t="n">
        <f aca="false">IF(Takip!M93="",0,M92+1)</f>
        <v>0</v>
      </c>
      <c r="N93" s="15" t="n">
        <f aca="false">IF(Takip!N93="",0,N92+1)</f>
        <v>0</v>
      </c>
      <c r="O93" s="15" t="n">
        <f aca="false">IF(Takip!O93="",0,O92+1)</f>
        <v>0</v>
      </c>
      <c r="P93" s="15" t="n">
        <f aca="false">IF(Takip!P93="",0,P92+1)</f>
        <v>0</v>
      </c>
      <c r="Q93" s="15" t="n">
        <f aca="false">IF(Takip!Q93="",0,Q92+1)</f>
        <v>0</v>
      </c>
    </row>
    <row r="94" customFormat="false" ht="15" hidden="false" customHeight="false" outlineLevel="0" collapsed="false">
      <c r="A94" s="14" t="n">
        <f aca="false">Takip!R94</f>
        <v>46111</v>
      </c>
      <c r="C94" s="15" t="n">
        <f aca="false">IF(Takip!C94="",0,C93+1)</f>
        <v>0</v>
      </c>
      <c r="D94" s="15" t="n">
        <f aca="false">IF(Takip!D94="",0,D93+1)</f>
        <v>0</v>
      </c>
      <c r="E94" s="15" t="n">
        <f aca="false">IF(Takip!E94="",0,E93+1)</f>
        <v>0</v>
      </c>
      <c r="F94" s="15" t="n">
        <f aca="false">IF(Takip!F94="",0,F93+1)</f>
        <v>0</v>
      </c>
      <c r="G94" s="15" t="n">
        <f aca="false">IF(Takip!G94="",0,G93+1)</f>
        <v>0</v>
      </c>
      <c r="H94" s="15" t="n">
        <f aca="false">IF(Takip!H94="",0,H93+1)</f>
        <v>0</v>
      </c>
      <c r="I94" s="15" t="n">
        <f aca="false">IF(Takip!I94="",0,I93+1)</f>
        <v>0</v>
      </c>
      <c r="J94" s="15" t="n">
        <f aca="false">IF(Takip!J94="",0,J93+1)</f>
        <v>0</v>
      </c>
      <c r="K94" s="15" t="n">
        <f aca="false">IF(Takip!K94="",0,K93+1)</f>
        <v>0</v>
      </c>
      <c r="L94" s="15" t="n">
        <f aca="false">IF(Takip!L94="",0,L93+1)</f>
        <v>0</v>
      </c>
      <c r="M94" s="15" t="n">
        <f aca="false">IF(Takip!M94="",0,M93+1)</f>
        <v>0</v>
      </c>
      <c r="N94" s="15" t="n">
        <f aca="false">IF(Takip!N94="",0,N93+1)</f>
        <v>0</v>
      </c>
      <c r="O94" s="15" t="n">
        <f aca="false">IF(Takip!O94="",0,O93+1)</f>
        <v>0</v>
      </c>
      <c r="P94" s="15" t="n">
        <f aca="false">IF(Takip!P94="",0,P93+1)</f>
        <v>0</v>
      </c>
      <c r="Q94" s="15" t="n">
        <f aca="false">IF(Takip!Q94="",0,Q93+1)</f>
        <v>0</v>
      </c>
    </row>
    <row r="95" customFormat="false" ht="15" hidden="false" customHeight="false" outlineLevel="0" collapsed="false">
      <c r="A95" s="14" t="n">
        <f aca="false">Takip!R95</f>
        <v>46112</v>
      </c>
      <c r="C95" s="15" t="n">
        <f aca="false">IF(Takip!C95="",0,C94+1)</f>
        <v>0</v>
      </c>
      <c r="D95" s="15" t="n">
        <f aca="false">IF(Takip!D95="",0,D94+1)</f>
        <v>0</v>
      </c>
      <c r="E95" s="15" t="n">
        <f aca="false">IF(Takip!E95="",0,E94+1)</f>
        <v>0</v>
      </c>
      <c r="F95" s="15" t="n">
        <f aca="false">IF(Takip!F95="",0,F94+1)</f>
        <v>0</v>
      </c>
      <c r="G95" s="15" t="n">
        <f aca="false">IF(Takip!G95="",0,G94+1)</f>
        <v>0</v>
      </c>
      <c r="H95" s="15" t="n">
        <f aca="false">IF(Takip!H95="",0,H94+1)</f>
        <v>0</v>
      </c>
      <c r="I95" s="15" t="n">
        <f aca="false">IF(Takip!I95="",0,I94+1)</f>
        <v>0</v>
      </c>
      <c r="J95" s="15" t="n">
        <f aca="false">IF(Takip!J95="",0,J94+1)</f>
        <v>0</v>
      </c>
      <c r="K95" s="15" t="n">
        <f aca="false">IF(Takip!K95="",0,K94+1)</f>
        <v>0</v>
      </c>
      <c r="L95" s="15" t="n">
        <f aca="false">IF(Takip!L95="",0,L94+1)</f>
        <v>0</v>
      </c>
      <c r="M95" s="15" t="n">
        <f aca="false">IF(Takip!M95="",0,M94+1)</f>
        <v>0</v>
      </c>
      <c r="N95" s="15" t="n">
        <f aca="false">IF(Takip!N95="",0,N94+1)</f>
        <v>0</v>
      </c>
      <c r="O95" s="15" t="n">
        <f aca="false">IF(Takip!O95="",0,O94+1)</f>
        <v>0</v>
      </c>
      <c r="P95" s="15" t="n">
        <f aca="false">IF(Takip!P95="",0,P94+1)</f>
        <v>0</v>
      </c>
      <c r="Q95" s="15" t="n">
        <f aca="false">IF(Takip!Q95="",0,Q94+1)</f>
        <v>0</v>
      </c>
    </row>
    <row r="96" customFormat="false" ht="15" hidden="false" customHeight="false" outlineLevel="0" collapsed="false">
      <c r="A96" s="14" t="n">
        <f aca="false">Takip!R96</f>
        <v>46113</v>
      </c>
      <c r="C96" s="15" t="n">
        <f aca="false">IF(Takip!C96="",0,C95+1)</f>
        <v>0</v>
      </c>
      <c r="D96" s="15" t="n">
        <f aca="false">IF(Takip!D96="",0,D95+1)</f>
        <v>0</v>
      </c>
      <c r="E96" s="15" t="n">
        <f aca="false">IF(Takip!E96="",0,E95+1)</f>
        <v>0</v>
      </c>
      <c r="F96" s="15" t="n">
        <f aca="false">IF(Takip!F96="",0,F95+1)</f>
        <v>0</v>
      </c>
      <c r="G96" s="15" t="n">
        <f aca="false">IF(Takip!G96="",0,G95+1)</f>
        <v>0</v>
      </c>
      <c r="H96" s="15" t="n">
        <f aca="false">IF(Takip!H96="",0,H95+1)</f>
        <v>0</v>
      </c>
      <c r="I96" s="15" t="n">
        <f aca="false">IF(Takip!I96="",0,I95+1)</f>
        <v>0</v>
      </c>
      <c r="J96" s="15" t="n">
        <f aca="false">IF(Takip!J96="",0,J95+1)</f>
        <v>0</v>
      </c>
      <c r="K96" s="15" t="n">
        <f aca="false">IF(Takip!K96="",0,K95+1)</f>
        <v>0</v>
      </c>
      <c r="L96" s="15" t="n">
        <f aca="false">IF(Takip!L96="",0,L95+1)</f>
        <v>0</v>
      </c>
      <c r="M96" s="15" t="n">
        <f aca="false">IF(Takip!M96="",0,M95+1)</f>
        <v>0</v>
      </c>
      <c r="N96" s="15" t="n">
        <f aca="false">IF(Takip!N96="",0,N95+1)</f>
        <v>0</v>
      </c>
      <c r="O96" s="15" t="n">
        <f aca="false">IF(Takip!O96="",0,O95+1)</f>
        <v>0</v>
      </c>
      <c r="P96" s="15" t="n">
        <f aca="false">IF(Takip!P96="",0,P95+1)</f>
        <v>0</v>
      </c>
      <c r="Q96" s="15" t="n">
        <f aca="false">IF(Takip!Q96="",0,Q95+1)</f>
        <v>0</v>
      </c>
    </row>
    <row r="97" customFormat="false" ht="15" hidden="false" customHeight="false" outlineLevel="0" collapsed="false">
      <c r="A97" s="14" t="n">
        <f aca="false">Takip!R97</f>
        <v>46114</v>
      </c>
      <c r="C97" s="15" t="n">
        <f aca="false">IF(Takip!C97="",0,C96+1)</f>
        <v>0</v>
      </c>
      <c r="D97" s="15" t="n">
        <f aca="false">IF(Takip!D97="",0,D96+1)</f>
        <v>0</v>
      </c>
      <c r="E97" s="15" t="n">
        <f aca="false">IF(Takip!E97="",0,E96+1)</f>
        <v>0</v>
      </c>
      <c r="F97" s="15" t="n">
        <f aca="false">IF(Takip!F97="",0,F96+1)</f>
        <v>0</v>
      </c>
      <c r="G97" s="15" t="n">
        <f aca="false">IF(Takip!G97="",0,G96+1)</f>
        <v>0</v>
      </c>
      <c r="H97" s="15" t="n">
        <f aca="false">IF(Takip!H97="",0,H96+1)</f>
        <v>0</v>
      </c>
      <c r="I97" s="15" t="n">
        <f aca="false">IF(Takip!I97="",0,I96+1)</f>
        <v>0</v>
      </c>
      <c r="J97" s="15" t="n">
        <f aca="false">IF(Takip!J97="",0,J96+1)</f>
        <v>0</v>
      </c>
      <c r="K97" s="15" t="n">
        <f aca="false">IF(Takip!K97="",0,K96+1)</f>
        <v>0</v>
      </c>
      <c r="L97" s="15" t="n">
        <f aca="false">IF(Takip!L97="",0,L96+1)</f>
        <v>0</v>
      </c>
      <c r="M97" s="15" t="n">
        <f aca="false">IF(Takip!M97="",0,M96+1)</f>
        <v>0</v>
      </c>
      <c r="N97" s="15" t="n">
        <f aca="false">IF(Takip!N97="",0,N96+1)</f>
        <v>0</v>
      </c>
      <c r="O97" s="15" t="n">
        <f aca="false">IF(Takip!O97="",0,O96+1)</f>
        <v>0</v>
      </c>
      <c r="P97" s="15" t="n">
        <f aca="false">IF(Takip!P97="",0,P96+1)</f>
        <v>0</v>
      </c>
      <c r="Q97" s="15" t="n">
        <f aca="false">IF(Takip!Q97="",0,Q96+1)</f>
        <v>0</v>
      </c>
    </row>
    <row r="98" customFormat="false" ht="15" hidden="false" customHeight="false" outlineLevel="0" collapsed="false">
      <c r="A98" s="14" t="n">
        <f aca="false">Takip!R98</f>
        <v>46115</v>
      </c>
      <c r="C98" s="15" t="n">
        <f aca="false">IF(Takip!C98="",0,C97+1)</f>
        <v>0</v>
      </c>
      <c r="D98" s="15" t="n">
        <f aca="false">IF(Takip!D98="",0,D97+1)</f>
        <v>0</v>
      </c>
      <c r="E98" s="15" t="n">
        <f aca="false">IF(Takip!E98="",0,E97+1)</f>
        <v>0</v>
      </c>
      <c r="F98" s="15" t="n">
        <f aca="false">IF(Takip!F98="",0,F97+1)</f>
        <v>0</v>
      </c>
      <c r="G98" s="15" t="n">
        <f aca="false">IF(Takip!G98="",0,G97+1)</f>
        <v>0</v>
      </c>
      <c r="H98" s="15" t="n">
        <f aca="false">IF(Takip!H98="",0,H97+1)</f>
        <v>0</v>
      </c>
      <c r="I98" s="15" t="n">
        <f aca="false">IF(Takip!I98="",0,I97+1)</f>
        <v>0</v>
      </c>
      <c r="J98" s="15" t="n">
        <f aca="false">IF(Takip!J98="",0,J97+1)</f>
        <v>0</v>
      </c>
      <c r="K98" s="15" t="n">
        <f aca="false">IF(Takip!K98="",0,K97+1)</f>
        <v>0</v>
      </c>
      <c r="L98" s="15" t="n">
        <f aca="false">IF(Takip!L98="",0,L97+1)</f>
        <v>0</v>
      </c>
      <c r="M98" s="15" t="n">
        <f aca="false">IF(Takip!M98="",0,M97+1)</f>
        <v>0</v>
      </c>
      <c r="N98" s="15" t="n">
        <f aca="false">IF(Takip!N98="",0,N97+1)</f>
        <v>0</v>
      </c>
      <c r="O98" s="15" t="n">
        <f aca="false">IF(Takip!O98="",0,O97+1)</f>
        <v>0</v>
      </c>
      <c r="P98" s="15" t="n">
        <f aca="false">IF(Takip!P98="",0,P97+1)</f>
        <v>0</v>
      </c>
      <c r="Q98" s="15" t="n">
        <f aca="false">IF(Takip!Q98="",0,Q97+1)</f>
        <v>0</v>
      </c>
    </row>
    <row r="99" customFormat="false" ht="15" hidden="false" customHeight="false" outlineLevel="0" collapsed="false">
      <c r="A99" s="14" t="n">
        <f aca="false">Takip!R99</f>
        <v>46116</v>
      </c>
      <c r="C99" s="15" t="n">
        <f aca="false">IF(Takip!C99="",0,C98+1)</f>
        <v>0</v>
      </c>
      <c r="D99" s="15" t="n">
        <f aca="false">IF(Takip!D99="",0,D98+1)</f>
        <v>0</v>
      </c>
      <c r="E99" s="15" t="n">
        <f aca="false">IF(Takip!E99="",0,E98+1)</f>
        <v>0</v>
      </c>
      <c r="F99" s="15" t="n">
        <f aca="false">IF(Takip!F99="",0,F98+1)</f>
        <v>0</v>
      </c>
      <c r="G99" s="15" t="n">
        <f aca="false">IF(Takip!G99="",0,G98+1)</f>
        <v>0</v>
      </c>
      <c r="H99" s="15" t="n">
        <f aca="false">IF(Takip!H99="",0,H98+1)</f>
        <v>0</v>
      </c>
      <c r="I99" s="15" t="n">
        <f aca="false">IF(Takip!I99="",0,I98+1)</f>
        <v>0</v>
      </c>
      <c r="J99" s="15" t="n">
        <f aca="false">IF(Takip!J99="",0,J98+1)</f>
        <v>0</v>
      </c>
      <c r="K99" s="15" t="n">
        <f aca="false">IF(Takip!K99="",0,K98+1)</f>
        <v>0</v>
      </c>
      <c r="L99" s="15" t="n">
        <f aca="false">IF(Takip!L99="",0,L98+1)</f>
        <v>0</v>
      </c>
      <c r="M99" s="15" t="n">
        <f aca="false">IF(Takip!M99="",0,M98+1)</f>
        <v>0</v>
      </c>
      <c r="N99" s="15" t="n">
        <f aca="false">IF(Takip!N99="",0,N98+1)</f>
        <v>0</v>
      </c>
      <c r="O99" s="15" t="n">
        <f aca="false">IF(Takip!O99="",0,O98+1)</f>
        <v>0</v>
      </c>
      <c r="P99" s="15" t="n">
        <f aca="false">IF(Takip!P99="",0,P98+1)</f>
        <v>0</v>
      </c>
      <c r="Q99" s="15" t="n">
        <f aca="false">IF(Takip!Q99="",0,Q98+1)</f>
        <v>0</v>
      </c>
    </row>
    <row r="100" customFormat="false" ht="15" hidden="false" customHeight="false" outlineLevel="0" collapsed="false">
      <c r="A100" s="14" t="n">
        <f aca="false">Takip!R100</f>
        <v>46117</v>
      </c>
      <c r="C100" s="15" t="n">
        <f aca="false">IF(Takip!C100="",0,C99+1)</f>
        <v>0</v>
      </c>
      <c r="D100" s="15" t="n">
        <f aca="false">IF(Takip!D100="",0,D99+1)</f>
        <v>0</v>
      </c>
      <c r="E100" s="15" t="n">
        <f aca="false">IF(Takip!E100="",0,E99+1)</f>
        <v>0</v>
      </c>
      <c r="F100" s="15" t="n">
        <f aca="false">IF(Takip!F100="",0,F99+1)</f>
        <v>0</v>
      </c>
      <c r="G100" s="15" t="n">
        <f aca="false">IF(Takip!G100="",0,G99+1)</f>
        <v>0</v>
      </c>
      <c r="H100" s="15" t="n">
        <f aca="false">IF(Takip!H100="",0,H99+1)</f>
        <v>0</v>
      </c>
      <c r="I100" s="15" t="n">
        <f aca="false">IF(Takip!I100="",0,I99+1)</f>
        <v>0</v>
      </c>
      <c r="J100" s="15" t="n">
        <f aca="false">IF(Takip!J100="",0,J99+1)</f>
        <v>0</v>
      </c>
      <c r="K100" s="15" t="n">
        <f aca="false">IF(Takip!K100="",0,K99+1)</f>
        <v>0</v>
      </c>
      <c r="L100" s="15" t="n">
        <f aca="false">IF(Takip!L100="",0,L99+1)</f>
        <v>0</v>
      </c>
      <c r="M100" s="15" t="n">
        <f aca="false">IF(Takip!M100="",0,M99+1)</f>
        <v>0</v>
      </c>
      <c r="N100" s="15" t="n">
        <f aca="false">IF(Takip!N100="",0,N99+1)</f>
        <v>0</v>
      </c>
      <c r="O100" s="15" t="n">
        <f aca="false">IF(Takip!O100="",0,O99+1)</f>
        <v>0</v>
      </c>
      <c r="P100" s="15" t="n">
        <f aca="false">IF(Takip!P100="",0,P99+1)</f>
        <v>0</v>
      </c>
      <c r="Q100" s="15" t="n">
        <f aca="false">IF(Takip!Q100="",0,Q99+1)</f>
        <v>0</v>
      </c>
    </row>
    <row r="101" customFormat="false" ht="15" hidden="false" customHeight="false" outlineLevel="0" collapsed="false">
      <c r="A101" s="14" t="n">
        <f aca="false">Takip!R101</f>
        <v>46118</v>
      </c>
      <c r="C101" s="15" t="n">
        <f aca="false">IF(Takip!C101="",0,C100+1)</f>
        <v>0</v>
      </c>
      <c r="D101" s="15" t="n">
        <f aca="false">IF(Takip!D101="",0,D100+1)</f>
        <v>0</v>
      </c>
      <c r="E101" s="15" t="n">
        <f aca="false">IF(Takip!E101="",0,E100+1)</f>
        <v>0</v>
      </c>
      <c r="F101" s="15" t="n">
        <f aca="false">IF(Takip!F101="",0,F100+1)</f>
        <v>0</v>
      </c>
      <c r="G101" s="15" t="n">
        <f aca="false">IF(Takip!G101="",0,G100+1)</f>
        <v>0</v>
      </c>
      <c r="H101" s="15" t="n">
        <f aca="false">IF(Takip!H101="",0,H100+1)</f>
        <v>0</v>
      </c>
      <c r="I101" s="15" t="n">
        <f aca="false">IF(Takip!I101="",0,I100+1)</f>
        <v>0</v>
      </c>
      <c r="J101" s="15" t="n">
        <f aca="false">IF(Takip!J101="",0,J100+1)</f>
        <v>0</v>
      </c>
      <c r="K101" s="15" t="n">
        <f aca="false">IF(Takip!K101="",0,K100+1)</f>
        <v>0</v>
      </c>
      <c r="L101" s="15" t="n">
        <f aca="false">IF(Takip!L101="",0,L100+1)</f>
        <v>0</v>
      </c>
      <c r="M101" s="15" t="n">
        <f aca="false">IF(Takip!M101="",0,M100+1)</f>
        <v>0</v>
      </c>
      <c r="N101" s="15" t="n">
        <f aca="false">IF(Takip!N101="",0,N100+1)</f>
        <v>0</v>
      </c>
      <c r="O101" s="15" t="n">
        <f aca="false">IF(Takip!O101="",0,O100+1)</f>
        <v>0</v>
      </c>
      <c r="P101" s="15" t="n">
        <f aca="false">IF(Takip!P101="",0,P100+1)</f>
        <v>0</v>
      </c>
      <c r="Q101" s="15" t="n">
        <f aca="false">IF(Takip!Q101="",0,Q100+1)</f>
        <v>0</v>
      </c>
    </row>
    <row r="102" customFormat="false" ht="15" hidden="false" customHeight="false" outlineLevel="0" collapsed="false">
      <c r="A102" s="14" t="n">
        <f aca="false">Takip!R102</f>
        <v>46119</v>
      </c>
      <c r="C102" s="15" t="n">
        <f aca="false">IF(Takip!C102="",0,C101+1)</f>
        <v>0</v>
      </c>
      <c r="D102" s="15" t="n">
        <f aca="false">IF(Takip!D102="",0,D101+1)</f>
        <v>0</v>
      </c>
      <c r="E102" s="15" t="n">
        <f aca="false">IF(Takip!E102="",0,E101+1)</f>
        <v>0</v>
      </c>
      <c r="F102" s="15" t="n">
        <f aca="false">IF(Takip!F102="",0,F101+1)</f>
        <v>0</v>
      </c>
      <c r="G102" s="15" t="n">
        <f aca="false">IF(Takip!G102="",0,G101+1)</f>
        <v>0</v>
      </c>
      <c r="H102" s="15" t="n">
        <f aca="false">IF(Takip!H102="",0,H101+1)</f>
        <v>0</v>
      </c>
      <c r="I102" s="15" t="n">
        <f aca="false">IF(Takip!I102="",0,I101+1)</f>
        <v>0</v>
      </c>
      <c r="J102" s="15" t="n">
        <f aca="false">IF(Takip!J102="",0,J101+1)</f>
        <v>0</v>
      </c>
      <c r="K102" s="15" t="n">
        <f aca="false">IF(Takip!K102="",0,K101+1)</f>
        <v>0</v>
      </c>
      <c r="L102" s="15" t="n">
        <f aca="false">IF(Takip!L102="",0,L101+1)</f>
        <v>0</v>
      </c>
      <c r="M102" s="15" t="n">
        <f aca="false">IF(Takip!M102="",0,M101+1)</f>
        <v>0</v>
      </c>
      <c r="N102" s="15" t="n">
        <f aca="false">IF(Takip!N102="",0,N101+1)</f>
        <v>0</v>
      </c>
      <c r="O102" s="15" t="n">
        <f aca="false">IF(Takip!O102="",0,O101+1)</f>
        <v>0</v>
      </c>
      <c r="P102" s="15" t="n">
        <f aca="false">IF(Takip!P102="",0,P101+1)</f>
        <v>0</v>
      </c>
      <c r="Q102" s="15" t="n">
        <f aca="false">IF(Takip!Q102="",0,Q101+1)</f>
        <v>0</v>
      </c>
    </row>
    <row r="103" customFormat="false" ht="15" hidden="false" customHeight="false" outlineLevel="0" collapsed="false">
      <c r="A103" s="14" t="n">
        <f aca="false">Takip!R103</f>
        <v>46120</v>
      </c>
      <c r="C103" s="15" t="n">
        <f aca="false">IF(Takip!C103="",0,C102+1)</f>
        <v>0</v>
      </c>
      <c r="D103" s="15" t="n">
        <f aca="false">IF(Takip!D103="",0,D102+1)</f>
        <v>0</v>
      </c>
      <c r="E103" s="15" t="n">
        <f aca="false">IF(Takip!E103="",0,E102+1)</f>
        <v>0</v>
      </c>
      <c r="F103" s="15" t="n">
        <f aca="false">IF(Takip!F103="",0,F102+1)</f>
        <v>0</v>
      </c>
      <c r="G103" s="15" t="n">
        <f aca="false">IF(Takip!G103="",0,G102+1)</f>
        <v>0</v>
      </c>
      <c r="H103" s="15" t="n">
        <f aca="false">IF(Takip!H103="",0,H102+1)</f>
        <v>0</v>
      </c>
      <c r="I103" s="15" t="n">
        <f aca="false">IF(Takip!I103="",0,I102+1)</f>
        <v>0</v>
      </c>
      <c r="J103" s="15" t="n">
        <f aca="false">IF(Takip!J103="",0,J102+1)</f>
        <v>0</v>
      </c>
      <c r="K103" s="15" t="n">
        <f aca="false">IF(Takip!K103="",0,K102+1)</f>
        <v>0</v>
      </c>
      <c r="L103" s="15" t="n">
        <f aca="false">IF(Takip!L103="",0,L102+1)</f>
        <v>0</v>
      </c>
      <c r="M103" s="15" t="n">
        <f aca="false">IF(Takip!M103="",0,M102+1)</f>
        <v>0</v>
      </c>
      <c r="N103" s="15" t="n">
        <f aca="false">IF(Takip!N103="",0,N102+1)</f>
        <v>0</v>
      </c>
      <c r="O103" s="15" t="n">
        <f aca="false">IF(Takip!O103="",0,O102+1)</f>
        <v>0</v>
      </c>
      <c r="P103" s="15" t="n">
        <f aca="false">IF(Takip!P103="",0,P102+1)</f>
        <v>0</v>
      </c>
      <c r="Q103" s="15" t="n">
        <f aca="false">IF(Takip!Q103="",0,Q102+1)</f>
        <v>0</v>
      </c>
    </row>
    <row r="104" customFormat="false" ht="15" hidden="false" customHeight="false" outlineLevel="0" collapsed="false">
      <c r="A104" s="14" t="n">
        <f aca="false">Takip!R104</f>
        <v>46121</v>
      </c>
      <c r="C104" s="15" t="n">
        <f aca="false">IF(Takip!C104="",0,C103+1)</f>
        <v>0</v>
      </c>
      <c r="D104" s="15" t="n">
        <f aca="false">IF(Takip!D104="",0,D103+1)</f>
        <v>0</v>
      </c>
      <c r="E104" s="15" t="n">
        <f aca="false">IF(Takip!E104="",0,E103+1)</f>
        <v>0</v>
      </c>
      <c r="F104" s="15" t="n">
        <f aca="false">IF(Takip!F104="",0,F103+1)</f>
        <v>0</v>
      </c>
      <c r="G104" s="15" t="n">
        <f aca="false">IF(Takip!G104="",0,G103+1)</f>
        <v>0</v>
      </c>
      <c r="H104" s="15" t="n">
        <f aca="false">IF(Takip!H104="",0,H103+1)</f>
        <v>0</v>
      </c>
      <c r="I104" s="15" t="n">
        <f aca="false">IF(Takip!I104="",0,I103+1)</f>
        <v>0</v>
      </c>
      <c r="J104" s="15" t="n">
        <f aca="false">IF(Takip!J104="",0,J103+1)</f>
        <v>0</v>
      </c>
      <c r="K104" s="15" t="n">
        <f aca="false">IF(Takip!K104="",0,K103+1)</f>
        <v>0</v>
      </c>
      <c r="L104" s="15" t="n">
        <f aca="false">IF(Takip!L104="",0,L103+1)</f>
        <v>0</v>
      </c>
      <c r="M104" s="15" t="n">
        <f aca="false">IF(Takip!M104="",0,M103+1)</f>
        <v>0</v>
      </c>
      <c r="N104" s="15" t="n">
        <f aca="false">IF(Takip!N104="",0,N103+1)</f>
        <v>0</v>
      </c>
      <c r="O104" s="15" t="n">
        <f aca="false">IF(Takip!O104="",0,O103+1)</f>
        <v>0</v>
      </c>
      <c r="P104" s="15" t="n">
        <f aca="false">IF(Takip!P104="",0,P103+1)</f>
        <v>0</v>
      </c>
      <c r="Q104" s="15" t="n">
        <f aca="false">IF(Takip!Q104="",0,Q103+1)</f>
        <v>0</v>
      </c>
    </row>
    <row r="105" customFormat="false" ht="15" hidden="false" customHeight="false" outlineLevel="0" collapsed="false">
      <c r="A105" s="14" t="n">
        <f aca="false">Takip!R105</f>
        <v>46122</v>
      </c>
      <c r="C105" s="15" t="n">
        <f aca="false">IF(Takip!C105="",0,C104+1)</f>
        <v>0</v>
      </c>
      <c r="D105" s="15" t="n">
        <f aca="false">IF(Takip!D105="",0,D104+1)</f>
        <v>0</v>
      </c>
      <c r="E105" s="15" t="n">
        <f aca="false">IF(Takip!E105="",0,E104+1)</f>
        <v>0</v>
      </c>
      <c r="F105" s="15" t="n">
        <f aca="false">IF(Takip!F105="",0,F104+1)</f>
        <v>0</v>
      </c>
      <c r="G105" s="15" t="n">
        <f aca="false">IF(Takip!G105="",0,G104+1)</f>
        <v>0</v>
      </c>
      <c r="H105" s="15" t="n">
        <f aca="false">IF(Takip!H105="",0,H104+1)</f>
        <v>0</v>
      </c>
      <c r="I105" s="15" t="n">
        <f aca="false">IF(Takip!I105="",0,I104+1)</f>
        <v>0</v>
      </c>
      <c r="J105" s="15" t="n">
        <f aca="false">IF(Takip!J105="",0,J104+1)</f>
        <v>0</v>
      </c>
      <c r="K105" s="15" t="n">
        <f aca="false">IF(Takip!K105="",0,K104+1)</f>
        <v>0</v>
      </c>
      <c r="L105" s="15" t="n">
        <f aca="false">IF(Takip!L105="",0,L104+1)</f>
        <v>0</v>
      </c>
      <c r="M105" s="15" t="n">
        <f aca="false">IF(Takip!M105="",0,M104+1)</f>
        <v>0</v>
      </c>
      <c r="N105" s="15" t="n">
        <f aca="false">IF(Takip!N105="",0,N104+1)</f>
        <v>0</v>
      </c>
      <c r="O105" s="15" t="n">
        <f aca="false">IF(Takip!O105="",0,O104+1)</f>
        <v>0</v>
      </c>
      <c r="P105" s="15" t="n">
        <f aca="false">IF(Takip!P105="",0,P104+1)</f>
        <v>0</v>
      </c>
      <c r="Q105" s="15" t="n">
        <f aca="false">IF(Takip!Q105="",0,Q104+1)</f>
        <v>0</v>
      </c>
    </row>
    <row r="106" customFormat="false" ht="15" hidden="false" customHeight="false" outlineLevel="0" collapsed="false">
      <c r="A106" s="14" t="n">
        <f aca="false">Takip!R106</f>
        <v>46123</v>
      </c>
      <c r="C106" s="15" t="n">
        <f aca="false">IF(Takip!C106="",0,C105+1)</f>
        <v>0</v>
      </c>
      <c r="D106" s="15" t="n">
        <f aca="false">IF(Takip!D106="",0,D105+1)</f>
        <v>0</v>
      </c>
      <c r="E106" s="15" t="n">
        <f aca="false">IF(Takip!E106="",0,E105+1)</f>
        <v>0</v>
      </c>
      <c r="F106" s="15" t="n">
        <f aca="false">IF(Takip!F106="",0,F105+1)</f>
        <v>0</v>
      </c>
      <c r="G106" s="15" t="n">
        <f aca="false">IF(Takip!G106="",0,G105+1)</f>
        <v>0</v>
      </c>
      <c r="H106" s="15" t="n">
        <f aca="false">IF(Takip!H106="",0,H105+1)</f>
        <v>0</v>
      </c>
      <c r="I106" s="15" t="n">
        <f aca="false">IF(Takip!I106="",0,I105+1)</f>
        <v>0</v>
      </c>
      <c r="J106" s="15" t="n">
        <f aca="false">IF(Takip!J106="",0,J105+1)</f>
        <v>0</v>
      </c>
      <c r="K106" s="15" t="n">
        <f aca="false">IF(Takip!K106="",0,K105+1)</f>
        <v>0</v>
      </c>
      <c r="L106" s="15" t="n">
        <f aca="false">IF(Takip!L106="",0,L105+1)</f>
        <v>0</v>
      </c>
      <c r="M106" s="15" t="n">
        <f aca="false">IF(Takip!M106="",0,M105+1)</f>
        <v>0</v>
      </c>
      <c r="N106" s="15" t="n">
        <f aca="false">IF(Takip!N106="",0,N105+1)</f>
        <v>0</v>
      </c>
      <c r="O106" s="15" t="n">
        <f aca="false">IF(Takip!O106="",0,O105+1)</f>
        <v>0</v>
      </c>
      <c r="P106" s="15" t="n">
        <f aca="false">IF(Takip!P106="",0,P105+1)</f>
        <v>0</v>
      </c>
      <c r="Q106" s="15" t="n">
        <f aca="false">IF(Takip!Q106="",0,Q105+1)</f>
        <v>0</v>
      </c>
    </row>
    <row r="107" customFormat="false" ht="15" hidden="false" customHeight="false" outlineLevel="0" collapsed="false">
      <c r="A107" s="14" t="n">
        <f aca="false">Takip!R107</f>
        <v>46124</v>
      </c>
      <c r="C107" s="15" t="n">
        <f aca="false">IF(Takip!C107="",0,C106+1)</f>
        <v>0</v>
      </c>
      <c r="D107" s="15" t="n">
        <f aca="false">IF(Takip!D107="",0,D106+1)</f>
        <v>0</v>
      </c>
      <c r="E107" s="15" t="n">
        <f aca="false">IF(Takip!E107="",0,E106+1)</f>
        <v>0</v>
      </c>
      <c r="F107" s="15" t="n">
        <f aca="false">IF(Takip!F107="",0,F106+1)</f>
        <v>0</v>
      </c>
      <c r="G107" s="15" t="n">
        <f aca="false">IF(Takip!G107="",0,G106+1)</f>
        <v>0</v>
      </c>
      <c r="H107" s="15" t="n">
        <f aca="false">IF(Takip!H107="",0,H106+1)</f>
        <v>0</v>
      </c>
      <c r="I107" s="15" t="n">
        <f aca="false">IF(Takip!I107="",0,I106+1)</f>
        <v>0</v>
      </c>
      <c r="J107" s="15" t="n">
        <f aca="false">IF(Takip!J107="",0,J106+1)</f>
        <v>0</v>
      </c>
      <c r="K107" s="15" t="n">
        <f aca="false">IF(Takip!K107="",0,K106+1)</f>
        <v>0</v>
      </c>
      <c r="L107" s="15" t="n">
        <f aca="false">IF(Takip!L107="",0,L106+1)</f>
        <v>0</v>
      </c>
      <c r="M107" s="15" t="n">
        <f aca="false">IF(Takip!M107="",0,M106+1)</f>
        <v>0</v>
      </c>
      <c r="N107" s="15" t="n">
        <f aca="false">IF(Takip!N107="",0,N106+1)</f>
        <v>0</v>
      </c>
      <c r="O107" s="15" t="n">
        <f aca="false">IF(Takip!O107="",0,O106+1)</f>
        <v>0</v>
      </c>
      <c r="P107" s="15" t="n">
        <f aca="false">IF(Takip!P107="",0,P106+1)</f>
        <v>0</v>
      </c>
      <c r="Q107" s="15" t="n">
        <f aca="false">IF(Takip!Q107="",0,Q106+1)</f>
        <v>0</v>
      </c>
    </row>
    <row r="108" customFormat="false" ht="15" hidden="false" customHeight="false" outlineLevel="0" collapsed="false">
      <c r="A108" s="14" t="n">
        <f aca="false">Takip!R108</f>
        <v>46125</v>
      </c>
      <c r="C108" s="15" t="n">
        <f aca="false">IF(Takip!C108="",0,C107+1)</f>
        <v>0</v>
      </c>
      <c r="D108" s="15" t="n">
        <f aca="false">IF(Takip!D108="",0,D107+1)</f>
        <v>0</v>
      </c>
      <c r="E108" s="15" t="n">
        <f aca="false">IF(Takip!E108="",0,E107+1)</f>
        <v>0</v>
      </c>
      <c r="F108" s="15" t="n">
        <f aca="false">IF(Takip!F108="",0,F107+1)</f>
        <v>0</v>
      </c>
      <c r="G108" s="15" t="n">
        <f aca="false">IF(Takip!G108="",0,G107+1)</f>
        <v>0</v>
      </c>
      <c r="H108" s="15" t="n">
        <f aca="false">IF(Takip!H108="",0,H107+1)</f>
        <v>0</v>
      </c>
      <c r="I108" s="15" t="n">
        <f aca="false">IF(Takip!I108="",0,I107+1)</f>
        <v>0</v>
      </c>
      <c r="J108" s="15" t="n">
        <f aca="false">IF(Takip!J108="",0,J107+1)</f>
        <v>0</v>
      </c>
      <c r="K108" s="15" t="n">
        <f aca="false">IF(Takip!K108="",0,K107+1)</f>
        <v>0</v>
      </c>
      <c r="L108" s="15" t="n">
        <f aca="false">IF(Takip!L108="",0,L107+1)</f>
        <v>0</v>
      </c>
      <c r="M108" s="15" t="n">
        <f aca="false">IF(Takip!M108="",0,M107+1)</f>
        <v>0</v>
      </c>
      <c r="N108" s="15" t="n">
        <f aca="false">IF(Takip!N108="",0,N107+1)</f>
        <v>0</v>
      </c>
      <c r="O108" s="15" t="n">
        <f aca="false">IF(Takip!O108="",0,O107+1)</f>
        <v>0</v>
      </c>
      <c r="P108" s="15" t="n">
        <f aca="false">IF(Takip!P108="",0,P107+1)</f>
        <v>0</v>
      </c>
      <c r="Q108" s="15" t="n">
        <f aca="false">IF(Takip!Q108="",0,Q107+1)</f>
        <v>0</v>
      </c>
    </row>
    <row r="109" customFormat="false" ht="15" hidden="false" customHeight="false" outlineLevel="0" collapsed="false">
      <c r="A109" s="14" t="n">
        <f aca="false">Takip!R109</f>
        <v>46126</v>
      </c>
      <c r="C109" s="15" t="n">
        <f aca="false">IF(Takip!C109="",0,C108+1)</f>
        <v>0</v>
      </c>
      <c r="D109" s="15" t="n">
        <f aca="false">IF(Takip!D109="",0,D108+1)</f>
        <v>0</v>
      </c>
      <c r="E109" s="15" t="n">
        <f aca="false">IF(Takip!E109="",0,E108+1)</f>
        <v>0</v>
      </c>
      <c r="F109" s="15" t="n">
        <f aca="false">IF(Takip!F109="",0,F108+1)</f>
        <v>0</v>
      </c>
      <c r="G109" s="15" t="n">
        <f aca="false">IF(Takip!G109="",0,G108+1)</f>
        <v>0</v>
      </c>
      <c r="H109" s="15" t="n">
        <f aca="false">IF(Takip!H109="",0,H108+1)</f>
        <v>0</v>
      </c>
      <c r="I109" s="15" t="n">
        <f aca="false">IF(Takip!I109="",0,I108+1)</f>
        <v>0</v>
      </c>
      <c r="J109" s="15" t="n">
        <f aca="false">IF(Takip!J109="",0,J108+1)</f>
        <v>0</v>
      </c>
      <c r="K109" s="15" t="n">
        <f aca="false">IF(Takip!K109="",0,K108+1)</f>
        <v>0</v>
      </c>
      <c r="L109" s="15" t="n">
        <f aca="false">IF(Takip!L109="",0,L108+1)</f>
        <v>0</v>
      </c>
      <c r="M109" s="15" t="n">
        <f aca="false">IF(Takip!M109="",0,M108+1)</f>
        <v>0</v>
      </c>
      <c r="N109" s="15" t="n">
        <f aca="false">IF(Takip!N109="",0,N108+1)</f>
        <v>0</v>
      </c>
      <c r="O109" s="15" t="n">
        <f aca="false">IF(Takip!O109="",0,O108+1)</f>
        <v>0</v>
      </c>
      <c r="P109" s="15" t="n">
        <f aca="false">IF(Takip!P109="",0,P108+1)</f>
        <v>0</v>
      </c>
      <c r="Q109" s="15" t="n">
        <f aca="false">IF(Takip!Q109="",0,Q108+1)</f>
        <v>0</v>
      </c>
    </row>
    <row r="110" customFormat="false" ht="15" hidden="false" customHeight="false" outlineLevel="0" collapsed="false">
      <c r="A110" s="14" t="n">
        <f aca="false">Takip!R110</f>
        <v>46127</v>
      </c>
      <c r="C110" s="15" t="n">
        <f aca="false">IF(Takip!C110="",0,C109+1)</f>
        <v>0</v>
      </c>
      <c r="D110" s="15" t="n">
        <f aca="false">IF(Takip!D110="",0,D109+1)</f>
        <v>0</v>
      </c>
      <c r="E110" s="15" t="n">
        <f aca="false">IF(Takip!E110="",0,E109+1)</f>
        <v>0</v>
      </c>
      <c r="F110" s="15" t="n">
        <f aca="false">IF(Takip!F110="",0,F109+1)</f>
        <v>0</v>
      </c>
      <c r="G110" s="15" t="n">
        <f aca="false">IF(Takip!G110="",0,G109+1)</f>
        <v>0</v>
      </c>
      <c r="H110" s="15" t="n">
        <f aca="false">IF(Takip!H110="",0,H109+1)</f>
        <v>0</v>
      </c>
      <c r="I110" s="15" t="n">
        <f aca="false">IF(Takip!I110="",0,I109+1)</f>
        <v>0</v>
      </c>
      <c r="J110" s="15" t="n">
        <f aca="false">IF(Takip!J110="",0,J109+1)</f>
        <v>0</v>
      </c>
      <c r="K110" s="15" t="n">
        <f aca="false">IF(Takip!K110="",0,K109+1)</f>
        <v>0</v>
      </c>
      <c r="L110" s="15" t="n">
        <f aca="false">IF(Takip!L110="",0,L109+1)</f>
        <v>0</v>
      </c>
      <c r="M110" s="15" t="n">
        <f aca="false">IF(Takip!M110="",0,M109+1)</f>
        <v>0</v>
      </c>
      <c r="N110" s="15" t="n">
        <f aca="false">IF(Takip!N110="",0,N109+1)</f>
        <v>0</v>
      </c>
      <c r="O110" s="15" t="n">
        <f aca="false">IF(Takip!O110="",0,O109+1)</f>
        <v>0</v>
      </c>
      <c r="P110" s="15" t="n">
        <f aca="false">IF(Takip!P110="",0,P109+1)</f>
        <v>0</v>
      </c>
      <c r="Q110" s="15" t="n">
        <f aca="false">IF(Takip!Q110="",0,Q109+1)</f>
        <v>0</v>
      </c>
    </row>
    <row r="111" customFormat="false" ht="15" hidden="false" customHeight="false" outlineLevel="0" collapsed="false">
      <c r="A111" s="14" t="n">
        <f aca="false">Takip!R111</f>
        <v>46128</v>
      </c>
      <c r="C111" s="15" t="n">
        <f aca="false">IF(Takip!C111="",0,C110+1)</f>
        <v>0</v>
      </c>
      <c r="D111" s="15" t="n">
        <f aca="false">IF(Takip!D111="",0,D110+1)</f>
        <v>0</v>
      </c>
      <c r="E111" s="15" t="n">
        <f aca="false">IF(Takip!E111="",0,E110+1)</f>
        <v>0</v>
      </c>
      <c r="F111" s="15" t="n">
        <f aca="false">IF(Takip!F111="",0,F110+1)</f>
        <v>0</v>
      </c>
      <c r="G111" s="15" t="n">
        <f aca="false">IF(Takip!G111="",0,G110+1)</f>
        <v>0</v>
      </c>
      <c r="H111" s="15" t="n">
        <f aca="false">IF(Takip!H111="",0,H110+1)</f>
        <v>0</v>
      </c>
      <c r="I111" s="15" t="n">
        <f aca="false">IF(Takip!I111="",0,I110+1)</f>
        <v>0</v>
      </c>
      <c r="J111" s="15" t="n">
        <f aca="false">IF(Takip!J111="",0,J110+1)</f>
        <v>0</v>
      </c>
      <c r="K111" s="15" t="n">
        <f aca="false">IF(Takip!K111="",0,K110+1)</f>
        <v>0</v>
      </c>
      <c r="L111" s="15" t="n">
        <f aca="false">IF(Takip!L111="",0,L110+1)</f>
        <v>0</v>
      </c>
      <c r="M111" s="15" t="n">
        <f aca="false">IF(Takip!M111="",0,M110+1)</f>
        <v>0</v>
      </c>
      <c r="N111" s="15" t="n">
        <f aca="false">IF(Takip!N111="",0,N110+1)</f>
        <v>0</v>
      </c>
      <c r="O111" s="15" t="n">
        <f aca="false">IF(Takip!O111="",0,O110+1)</f>
        <v>0</v>
      </c>
      <c r="P111" s="15" t="n">
        <f aca="false">IF(Takip!P111="",0,P110+1)</f>
        <v>0</v>
      </c>
      <c r="Q111" s="15" t="n">
        <f aca="false">IF(Takip!Q111="",0,Q110+1)</f>
        <v>0</v>
      </c>
    </row>
    <row r="112" customFormat="false" ht="15" hidden="false" customHeight="false" outlineLevel="0" collapsed="false">
      <c r="A112" s="14" t="n">
        <f aca="false">Takip!R112</f>
        <v>46129</v>
      </c>
      <c r="C112" s="15" t="n">
        <f aca="false">IF(Takip!C112="",0,C111+1)</f>
        <v>0</v>
      </c>
      <c r="D112" s="15" t="n">
        <f aca="false">IF(Takip!D112="",0,D111+1)</f>
        <v>0</v>
      </c>
      <c r="E112" s="15" t="n">
        <f aca="false">IF(Takip!E112="",0,E111+1)</f>
        <v>0</v>
      </c>
      <c r="F112" s="15" t="n">
        <f aca="false">IF(Takip!F112="",0,F111+1)</f>
        <v>0</v>
      </c>
      <c r="G112" s="15" t="n">
        <f aca="false">IF(Takip!G112="",0,G111+1)</f>
        <v>0</v>
      </c>
      <c r="H112" s="15" t="n">
        <f aca="false">IF(Takip!H112="",0,H111+1)</f>
        <v>0</v>
      </c>
      <c r="I112" s="15" t="n">
        <f aca="false">IF(Takip!I112="",0,I111+1)</f>
        <v>0</v>
      </c>
      <c r="J112" s="15" t="n">
        <f aca="false">IF(Takip!J112="",0,J111+1)</f>
        <v>0</v>
      </c>
      <c r="K112" s="15" t="n">
        <f aca="false">IF(Takip!K112="",0,K111+1)</f>
        <v>0</v>
      </c>
      <c r="L112" s="15" t="n">
        <f aca="false">IF(Takip!L112="",0,L111+1)</f>
        <v>0</v>
      </c>
      <c r="M112" s="15" t="n">
        <f aca="false">IF(Takip!M112="",0,M111+1)</f>
        <v>0</v>
      </c>
      <c r="N112" s="15" t="n">
        <f aca="false">IF(Takip!N112="",0,N111+1)</f>
        <v>0</v>
      </c>
      <c r="O112" s="15" t="n">
        <f aca="false">IF(Takip!O112="",0,O111+1)</f>
        <v>0</v>
      </c>
      <c r="P112" s="15" t="n">
        <f aca="false">IF(Takip!P112="",0,P111+1)</f>
        <v>0</v>
      </c>
      <c r="Q112" s="15" t="n">
        <f aca="false">IF(Takip!Q112="",0,Q111+1)</f>
        <v>0</v>
      </c>
    </row>
    <row r="113" customFormat="false" ht="15" hidden="false" customHeight="false" outlineLevel="0" collapsed="false">
      <c r="A113" s="14" t="n">
        <f aca="false">Takip!R113</f>
        <v>46130</v>
      </c>
      <c r="C113" s="15" t="n">
        <f aca="false">IF(Takip!C113="",0,C112+1)</f>
        <v>0</v>
      </c>
      <c r="D113" s="15" t="n">
        <f aca="false">IF(Takip!D113="",0,D112+1)</f>
        <v>0</v>
      </c>
      <c r="E113" s="15" t="n">
        <f aca="false">IF(Takip!E113="",0,E112+1)</f>
        <v>0</v>
      </c>
      <c r="F113" s="15" t="n">
        <f aca="false">IF(Takip!F113="",0,F112+1)</f>
        <v>0</v>
      </c>
      <c r="G113" s="15" t="n">
        <f aca="false">IF(Takip!G113="",0,G112+1)</f>
        <v>0</v>
      </c>
      <c r="H113" s="15" t="n">
        <f aca="false">IF(Takip!H113="",0,H112+1)</f>
        <v>0</v>
      </c>
      <c r="I113" s="15" t="n">
        <f aca="false">IF(Takip!I113="",0,I112+1)</f>
        <v>0</v>
      </c>
      <c r="J113" s="15" t="n">
        <f aca="false">IF(Takip!J113="",0,J112+1)</f>
        <v>0</v>
      </c>
      <c r="K113" s="15" t="n">
        <f aca="false">IF(Takip!K113="",0,K112+1)</f>
        <v>0</v>
      </c>
      <c r="L113" s="15" t="n">
        <f aca="false">IF(Takip!L113="",0,L112+1)</f>
        <v>0</v>
      </c>
      <c r="M113" s="15" t="n">
        <f aca="false">IF(Takip!M113="",0,M112+1)</f>
        <v>0</v>
      </c>
      <c r="N113" s="15" t="n">
        <f aca="false">IF(Takip!N113="",0,N112+1)</f>
        <v>0</v>
      </c>
      <c r="O113" s="15" t="n">
        <f aca="false">IF(Takip!O113="",0,O112+1)</f>
        <v>0</v>
      </c>
      <c r="P113" s="15" t="n">
        <f aca="false">IF(Takip!P113="",0,P112+1)</f>
        <v>0</v>
      </c>
      <c r="Q113" s="15" t="n">
        <f aca="false">IF(Takip!Q113="",0,Q112+1)</f>
        <v>0</v>
      </c>
    </row>
    <row r="114" customFormat="false" ht="15" hidden="false" customHeight="false" outlineLevel="0" collapsed="false">
      <c r="A114" s="14" t="n">
        <f aca="false">Takip!R114</f>
        <v>46131</v>
      </c>
      <c r="C114" s="15" t="n">
        <f aca="false">IF(Takip!C114="",0,C113+1)</f>
        <v>0</v>
      </c>
      <c r="D114" s="15" t="n">
        <f aca="false">IF(Takip!D114="",0,D113+1)</f>
        <v>0</v>
      </c>
      <c r="E114" s="15" t="n">
        <f aca="false">IF(Takip!E114="",0,E113+1)</f>
        <v>0</v>
      </c>
      <c r="F114" s="15" t="n">
        <f aca="false">IF(Takip!F114="",0,F113+1)</f>
        <v>0</v>
      </c>
      <c r="G114" s="15" t="n">
        <f aca="false">IF(Takip!G114="",0,G113+1)</f>
        <v>0</v>
      </c>
      <c r="H114" s="15" t="n">
        <f aca="false">IF(Takip!H114="",0,H113+1)</f>
        <v>0</v>
      </c>
      <c r="I114" s="15" t="n">
        <f aca="false">IF(Takip!I114="",0,I113+1)</f>
        <v>0</v>
      </c>
      <c r="J114" s="15" t="n">
        <f aca="false">IF(Takip!J114="",0,J113+1)</f>
        <v>0</v>
      </c>
      <c r="K114" s="15" t="n">
        <f aca="false">IF(Takip!K114="",0,K113+1)</f>
        <v>0</v>
      </c>
      <c r="L114" s="15" t="n">
        <f aca="false">IF(Takip!L114="",0,L113+1)</f>
        <v>0</v>
      </c>
      <c r="M114" s="15" t="n">
        <f aca="false">IF(Takip!M114="",0,M113+1)</f>
        <v>0</v>
      </c>
      <c r="N114" s="15" t="n">
        <f aca="false">IF(Takip!N114="",0,N113+1)</f>
        <v>0</v>
      </c>
      <c r="O114" s="15" t="n">
        <f aca="false">IF(Takip!O114="",0,O113+1)</f>
        <v>0</v>
      </c>
      <c r="P114" s="15" t="n">
        <f aca="false">IF(Takip!P114="",0,P113+1)</f>
        <v>0</v>
      </c>
      <c r="Q114" s="15" t="n">
        <f aca="false">IF(Takip!Q114="",0,Q113+1)</f>
        <v>0</v>
      </c>
    </row>
    <row r="115" customFormat="false" ht="15" hidden="false" customHeight="false" outlineLevel="0" collapsed="false">
      <c r="A115" s="14" t="n">
        <f aca="false">Takip!R115</f>
        <v>46132</v>
      </c>
      <c r="C115" s="15" t="n">
        <f aca="false">IF(Takip!C115="",0,C114+1)</f>
        <v>0</v>
      </c>
      <c r="D115" s="15" t="n">
        <f aca="false">IF(Takip!D115="",0,D114+1)</f>
        <v>0</v>
      </c>
      <c r="E115" s="15" t="n">
        <f aca="false">IF(Takip!E115="",0,E114+1)</f>
        <v>0</v>
      </c>
      <c r="F115" s="15" t="n">
        <f aca="false">IF(Takip!F115="",0,F114+1)</f>
        <v>0</v>
      </c>
      <c r="G115" s="15" t="n">
        <f aca="false">IF(Takip!G115="",0,G114+1)</f>
        <v>0</v>
      </c>
      <c r="H115" s="15" t="n">
        <f aca="false">IF(Takip!H115="",0,H114+1)</f>
        <v>0</v>
      </c>
      <c r="I115" s="15" t="n">
        <f aca="false">IF(Takip!I115="",0,I114+1)</f>
        <v>0</v>
      </c>
      <c r="J115" s="15" t="n">
        <f aca="false">IF(Takip!J115="",0,J114+1)</f>
        <v>0</v>
      </c>
      <c r="K115" s="15" t="n">
        <f aca="false">IF(Takip!K115="",0,K114+1)</f>
        <v>0</v>
      </c>
      <c r="L115" s="15" t="n">
        <f aca="false">IF(Takip!L115="",0,L114+1)</f>
        <v>0</v>
      </c>
      <c r="M115" s="15" t="n">
        <f aca="false">IF(Takip!M115="",0,M114+1)</f>
        <v>0</v>
      </c>
      <c r="N115" s="15" t="n">
        <f aca="false">IF(Takip!N115="",0,N114+1)</f>
        <v>0</v>
      </c>
      <c r="O115" s="15" t="n">
        <f aca="false">IF(Takip!O115="",0,O114+1)</f>
        <v>0</v>
      </c>
      <c r="P115" s="15" t="n">
        <f aca="false">IF(Takip!P115="",0,P114+1)</f>
        <v>0</v>
      </c>
      <c r="Q115" s="15" t="n">
        <f aca="false">IF(Takip!Q115="",0,Q114+1)</f>
        <v>0</v>
      </c>
    </row>
    <row r="116" customFormat="false" ht="15" hidden="false" customHeight="false" outlineLevel="0" collapsed="false">
      <c r="A116" s="14" t="n">
        <f aca="false">Takip!R116</f>
        <v>46133</v>
      </c>
      <c r="C116" s="15" t="n">
        <f aca="false">IF(Takip!C116="",0,C115+1)</f>
        <v>0</v>
      </c>
      <c r="D116" s="15" t="n">
        <f aca="false">IF(Takip!D116="",0,D115+1)</f>
        <v>0</v>
      </c>
      <c r="E116" s="15" t="n">
        <f aca="false">IF(Takip!E116="",0,E115+1)</f>
        <v>0</v>
      </c>
      <c r="F116" s="15" t="n">
        <f aca="false">IF(Takip!F116="",0,F115+1)</f>
        <v>0</v>
      </c>
      <c r="G116" s="15" t="n">
        <f aca="false">IF(Takip!G116="",0,G115+1)</f>
        <v>0</v>
      </c>
      <c r="H116" s="15" t="n">
        <f aca="false">IF(Takip!H116="",0,H115+1)</f>
        <v>0</v>
      </c>
      <c r="I116" s="15" t="n">
        <f aca="false">IF(Takip!I116="",0,I115+1)</f>
        <v>0</v>
      </c>
      <c r="J116" s="15" t="n">
        <f aca="false">IF(Takip!J116="",0,J115+1)</f>
        <v>0</v>
      </c>
      <c r="K116" s="15" t="n">
        <f aca="false">IF(Takip!K116="",0,K115+1)</f>
        <v>0</v>
      </c>
      <c r="L116" s="15" t="n">
        <f aca="false">IF(Takip!L116="",0,L115+1)</f>
        <v>0</v>
      </c>
      <c r="M116" s="15" t="n">
        <f aca="false">IF(Takip!M116="",0,M115+1)</f>
        <v>0</v>
      </c>
      <c r="N116" s="15" t="n">
        <f aca="false">IF(Takip!N116="",0,N115+1)</f>
        <v>0</v>
      </c>
      <c r="O116" s="15" t="n">
        <f aca="false">IF(Takip!O116="",0,O115+1)</f>
        <v>0</v>
      </c>
      <c r="P116" s="15" t="n">
        <f aca="false">IF(Takip!P116="",0,P115+1)</f>
        <v>0</v>
      </c>
      <c r="Q116" s="15" t="n">
        <f aca="false">IF(Takip!Q116="",0,Q115+1)</f>
        <v>0</v>
      </c>
    </row>
    <row r="117" customFormat="false" ht="15" hidden="false" customHeight="false" outlineLevel="0" collapsed="false">
      <c r="A117" s="14" t="n">
        <f aca="false">Takip!R117</f>
        <v>46134</v>
      </c>
      <c r="C117" s="15" t="n">
        <f aca="false">IF(Takip!C117="",0,C116+1)</f>
        <v>0</v>
      </c>
      <c r="D117" s="15" t="n">
        <f aca="false">IF(Takip!D117="",0,D116+1)</f>
        <v>0</v>
      </c>
      <c r="E117" s="15" t="n">
        <f aca="false">IF(Takip!E117="",0,E116+1)</f>
        <v>0</v>
      </c>
      <c r="F117" s="15" t="n">
        <f aca="false">IF(Takip!F117="",0,F116+1)</f>
        <v>0</v>
      </c>
      <c r="G117" s="15" t="n">
        <f aca="false">IF(Takip!G117="",0,G116+1)</f>
        <v>0</v>
      </c>
      <c r="H117" s="15" t="n">
        <f aca="false">IF(Takip!H117="",0,H116+1)</f>
        <v>0</v>
      </c>
      <c r="I117" s="15" t="n">
        <f aca="false">IF(Takip!I117="",0,I116+1)</f>
        <v>0</v>
      </c>
      <c r="J117" s="15" t="n">
        <f aca="false">IF(Takip!J117="",0,J116+1)</f>
        <v>0</v>
      </c>
      <c r="K117" s="15" t="n">
        <f aca="false">IF(Takip!K117="",0,K116+1)</f>
        <v>0</v>
      </c>
      <c r="L117" s="15" t="n">
        <f aca="false">IF(Takip!L117="",0,L116+1)</f>
        <v>0</v>
      </c>
      <c r="M117" s="15" t="n">
        <f aca="false">IF(Takip!M117="",0,M116+1)</f>
        <v>0</v>
      </c>
      <c r="N117" s="15" t="n">
        <f aca="false">IF(Takip!N117="",0,N116+1)</f>
        <v>0</v>
      </c>
      <c r="O117" s="15" t="n">
        <f aca="false">IF(Takip!O117="",0,O116+1)</f>
        <v>0</v>
      </c>
      <c r="P117" s="15" t="n">
        <f aca="false">IF(Takip!P117="",0,P116+1)</f>
        <v>0</v>
      </c>
      <c r="Q117" s="15" t="n">
        <f aca="false">IF(Takip!Q117="",0,Q116+1)</f>
        <v>0</v>
      </c>
    </row>
    <row r="118" customFormat="false" ht="15" hidden="false" customHeight="false" outlineLevel="0" collapsed="false">
      <c r="A118" s="14" t="n">
        <f aca="false">Takip!R118</f>
        <v>46135</v>
      </c>
      <c r="C118" s="15" t="n">
        <f aca="false">IF(Takip!C118="",0,C117+1)</f>
        <v>0</v>
      </c>
      <c r="D118" s="15" t="n">
        <f aca="false">IF(Takip!D118="",0,D117+1)</f>
        <v>0</v>
      </c>
      <c r="E118" s="15" t="n">
        <f aca="false">IF(Takip!E118="",0,E117+1)</f>
        <v>0</v>
      </c>
      <c r="F118" s="15" t="n">
        <f aca="false">IF(Takip!F118="",0,F117+1)</f>
        <v>0</v>
      </c>
      <c r="G118" s="15" t="n">
        <f aca="false">IF(Takip!G118="",0,G117+1)</f>
        <v>0</v>
      </c>
      <c r="H118" s="15" t="n">
        <f aca="false">IF(Takip!H118="",0,H117+1)</f>
        <v>0</v>
      </c>
      <c r="I118" s="15" t="n">
        <f aca="false">IF(Takip!I118="",0,I117+1)</f>
        <v>0</v>
      </c>
      <c r="J118" s="15" t="n">
        <f aca="false">IF(Takip!J118="",0,J117+1)</f>
        <v>0</v>
      </c>
      <c r="K118" s="15" t="n">
        <f aca="false">IF(Takip!K118="",0,K117+1)</f>
        <v>0</v>
      </c>
      <c r="L118" s="15" t="n">
        <f aca="false">IF(Takip!L118="",0,L117+1)</f>
        <v>0</v>
      </c>
      <c r="M118" s="15" t="n">
        <f aca="false">IF(Takip!M118="",0,M117+1)</f>
        <v>0</v>
      </c>
      <c r="N118" s="15" t="n">
        <f aca="false">IF(Takip!N118="",0,N117+1)</f>
        <v>0</v>
      </c>
      <c r="O118" s="15" t="n">
        <f aca="false">IF(Takip!O118="",0,O117+1)</f>
        <v>0</v>
      </c>
      <c r="P118" s="15" t="n">
        <f aca="false">IF(Takip!P118="",0,P117+1)</f>
        <v>0</v>
      </c>
      <c r="Q118" s="15" t="n">
        <f aca="false">IF(Takip!Q118="",0,Q117+1)</f>
        <v>0</v>
      </c>
    </row>
    <row r="119" customFormat="false" ht="15" hidden="false" customHeight="false" outlineLevel="0" collapsed="false">
      <c r="A119" s="14" t="n">
        <f aca="false">Takip!R119</f>
        <v>46136</v>
      </c>
      <c r="C119" s="15" t="n">
        <f aca="false">IF(Takip!C119="",0,C118+1)</f>
        <v>0</v>
      </c>
      <c r="D119" s="15" t="n">
        <f aca="false">IF(Takip!D119="",0,D118+1)</f>
        <v>0</v>
      </c>
      <c r="E119" s="15" t="n">
        <f aca="false">IF(Takip!E119="",0,E118+1)</f>
        <v>0</v>
      </c>
      <c r="F119" s="15" t="n">
        <f aca="false">IF(Takip!F119="",0,F118+1)</f>
        <v>0</v>
      </c>
      <c r="G119" s="15" t="n">
        <f aca="false">IF(Takip!G119="",0,G118+1)</f>
        <v>0</v>
      </c>
      <c r="H119" s="15" t="n">
        <f aca="false">IF(Takip!H119="",0,H118+1)</f>
        <v>0</v>
      </c>
      <c r="I119" s="15" t="n">
        <f aca="false">IF(Takip!I119="",0,I118+1)</f>
        <v>0</v>
      </c>
      <c r="J119" s="15" t="n">
        <f aca="false">IF(Takip!J119="",0,J118+1)</f>
        <v>0</v>
      </c>
      <c r="K119" s="15" t="n">
        <f aca="false">IF(Takip!K119="",0,K118+1)</f>
        <v>0</v>
      </c>
      <c r="L119" s="15" t="n">
        <f aca="false">IF(Takip!L119="",0,L118+1)</f>
        <v>0</v>
      </c>
      <c r="M119" s="15" t="n">
        <f aca="false">IF(Takip!M119="",0,M118+1)</f>
        <v>0</v>
      </c>
      <c r="N119" s="15" t="n">
        <f aca="false">IF(Takip!N119="",0,N118+1)</f>
        <v>0</v>
      </c>
      <c r="O119" s="15" t="n">
        <f aca="false">IF(Takip!O119="",0,O118+1)</f>
        <v>0</v>
      </c>
      <c r="P119" s="15" t="n">
        <f aca="false">IF(Takip!P119="",0,P118+1)</f>
        <v>0</v>
      </c>
      <c r="Q119" s="15" t="n">
        <f aca="false">IF(Takip!Q119="",0,Q118+1)</f>
        <v>0</v>
      </c>
    </row>
    <row r="120" customFormat="false" ht="15" hidden="false" customHeight="false" outlineLevel="0" collapsed="false">
      <c r="A120" s="14" t="n">
        <f aca="false">Takip!R120</f>
        <v>46137</v>
      </c>
      <c r="C120" s="15" t="n">
        <f aca="false">IF(Takip!C120="",0,C119+1)</f>
        <v>0</v>
      </c>
      <c r="D120" s="15" t="n">
        <f aca="false">IF(Takip!D120="",0,D119+1)</f>
        <v>0</v>
      </c>
      <c r="E120" s="15" t="n">
        <f aca="false">IF(Takip!E120="",0,E119+1)</f>
        <v>0</v>
      </c>
      <c r="F120" s="15" t="n">
        <f aca="false">IF(Takip!F120="",0,F119+1)</f>
        <v>0</v>
      </c>
      <c r="G120" s="15" t="n">
        <f aca="false">IF(Takip!G120="",0,G119+1)</f>
        <v>0</v>
      </c>
      <c r="H120" s="15" t="n">
        <f aca="false">IF(Takip!H120="",0,H119+1)</f>
        <v>0</v>
      </c>
      <c r="I120" s="15" t="n">
        <f aca="false">IF(Takip!I120="",0,I119+1)</f>
        <v>0</v>
      </c>
      <c r="J120" s="15" t="n">
        <f aca="false">IF(Takip!J120="",0,J119+1)</f>
        <v>0</v>
      </c>
      <c r="K120" s="15" t="n">
        <f aca="false">IF(Takip!K120="",0,K119+1)</f>
        <v>0</v>
      </c>
      <c r="L120" s="15" t="n">
        <f aca="false">IF(Takip!L120="",0,L119+1)</f>
        <v>0</v>
      </c>
      <c r="M120" s="15" t="n">
        <f aca="false">IF(Takip!M120="",0,M119+1)</f>
        <v>0</v>
      </c>
      <c r="N120" s="15" t="n">
        <f aca="false">IF(Takip!N120="",0,N119+1)</f>
        <v>0</v>
      </c>
      <c r="O120" s="15" t="n">
        <f aca="false">IF(Takip!O120="",0,O119+1)</f>
        <v>0</v>
      </c>
      <c r="P120" s="15" t="n">
        <f aca="false">IF(Takip!P120="",0,P119+1)</f>
        <v>0</v>
      </c>
      <c r="Q120" s="15" t="n">
        <f aca="false">IF(Takip!Q120="",0,Q119+1)</f>
        <v>0</v>
      </c>
    </row>
    <row r="121" customFormat="false" ht="15" hidden="false" customHeight="false" outlineLevel="0" collapsed="false">
      <c r="A121" s="14" t="n">
        <f aca="false">Takip!R121</f>
        <v>46138</v>
      </c>
      <c r="C121" s="15" t="n">
        <f aca="false">IF(Takip!C121="",0,C120+1)</f>
        <v>0</v>
      </c>
      <c r="D121" s="15" t="n">
        <f aca="false">IF(Takip!D121="",0,D120+1)</f>
        <v>0</v>
      </c>
      <c r="E121" s="15" t="n">
        <f aca="false">IF(Takip!E121="",0,E120+1)</f>
        <v>0</v>
      </c>
      <c r="F121" s="15" t="n">
        <f aca="false">IF(Takip!F121="",0,F120+1)</f>
        <v>0</v>
      </c>
      <c r="G121" s="15" t="n">
        <f aca="false">IF(Takip!G121="",0,G120+1)</f>
        <v>0</v>
      </c>
      <c r="H121" s="15" t="n">
        <f aca="false">IF(Takip!H121="",0,H120+1)</f>
        <v>0</v>
      </c>
      <c r="I121" s="15" t="n">
        <f aca="false">IF(Takip!I121="",0,I120+1)</f>
        <v>0</v>
      </c>
      <c r="J121" s="15" t="n">
        <f aca="false">IF(Takip!J121="",0,J120+1)</f>
        <v>0</v>
      </c>
      <c r="K121" s="15" t="n">
        <f aca="false">IF(Takip!K121="",0,K120+1)</f>
        <v>0</v>
      </c>
      <c r="L121" s="15" t="n">
        <f aca="false">IF(Takip!L121="",0,L120+1)</f>
        <v>0</v>
      </c>
      <c r="M121" s="15" t="n">
        <f aca="false">IF(Takip!M121="",0,M120+1)</f>
        <v>0</v>
      </c>
      <c r="N121" s="15" t="n">
        <f aca="false">IF(Takip!N121="",0,N120+1)</f>
        <v>0</v>
      </c>
      <c r="O121" s="15" t="n">
        <f aca="false">IF(Takip!O121="",0,O120+1)</f>
        <v>0</v>
      </c>
      <c r="P121" s="15" t="n">
        <f aca="false">IF(Takip!P121="",0,P120+1)</f>
        <v>0</v>
      </c>
      <c r="Q121" s="15" t="n">
        <f aca="false">IF(Takip!Q121="",0,Q120+1)</f>
        <v>0</v>
      </c>
    </row>
    <row r="122" customFormat="false" ht="15" hidden="false" customHeight="false" outlineLevel="0" collapsed="false">
      <c r="A122" s="14" t="n">
        <f aca="false">Takip!R122</f>
        <v>46139</v>
      </c>
      <c r="C122" s="15" t="n">
        <f aca="false">IF(Takip!C122="",0,C121+1)</f>
        <v>0</v>
      </c>
      <c r="D122" s="15" t="n">
        <f aca="false">IF(Takip!D122="",0,D121+1)</f>
        <v>0</v>
      </c>
      <c r="E122" s="15" t="n">
        <f aca="false">IF(Takip!E122="",0,E121+1)</f>
        <v>0</v>
      </c>
      <c r="F122" s="15" t="n">
        <f aca="false">IF(Takip!F122="",0,F121+1)</f>
        <v>0</v>
      </c>
      <c r="G122" s="15" t="n">
        <f aca="false">IF(Takip!G122="",0,G121+1)</f>
        <v>0</v>
      </c>
      <c r="H122" s="15" t="n">
        <f aca="false">IF(Takip!H122="",0,H121+1)</f>
        <v>0</v>
      </c>
      <c r="I122" s="15" t="n">
        <f aca="false">IF(Takip!I122="",0,I121+1)</f>
        <v>0</v>
      </c>
      <c r="J122" s="15" t="n">
        <f aca="false">IF(Takip!J122="",0,J121+1)</f>
        <v>0</v>
      </c>
      <c r="K122" s="15" t="n">
        <f aca="false">IF(Takip!K122="",0,K121+1)</f>
        <v>0</v>
      </c>
      <c r="L122" s="15" t="n">
        <f aca="false">IF(Takip!L122="",0,L121+1)</f>
        <v>0</v>
      </c>
      <c r="M122" s="15" t="n">
        <f aca="false">IF(Takip!M122="",0,M121+1)</f>
        <v>0</v>
      </c>
      <c r="N122" s="15" t="n">
        <f aca="false">IF(Takip!N122="",0,N121+1)</f>
        <v>0</v>
      </c>
      <c r="O122" s="15" t="n">
        <f aca="false">IF(Takip!O122="",0,O121+1)</f>
        <v>0</v>
      </c>
      <c r="P122" s="15" t="n">
        <f aca="false">IF(Takip!P122="",0,P121+1)</f>
        <v>0</v>
      </c>
      <c r="Q122" s="15" t="n">
        <f aca="false">IF(Takip!Q122="",0,Q121+1)</f>
        <v>0</v>
      </c>
    </row>
    <row r="123" customFormat="false" ht="15" hidden="false" customHeight="false" outlineLevel="0" collapsed="false">
      <c r="A123" s="14" t="n">
        <f aca="false">Takip!R123</f>
        <v>46140</v>
      </c>
      <c r="C123" s="15" t="n">
        <f aca="false">IF(Takip!C123="",0,C122+1)</f>
        <v>0</v>
      </c>
      <c r="D123" s="15" t="n">
        <f aca="false">IF(Takip!D123="",0,D122+1)</f>
        <v>0</v>
      </c>
      <c r="E123" s="15" t="n">
        <f aca="false">IF(Takip!E123="",0,E122+1)</f>
        <v>0</v>
      </c>
      <c r="F123" s="15" t="n">
        <f aca="false">IF(Takip!F123="",0,F122+1)</f>
        <v>0</v>
      </c>
      <c r="G123" s="15" t="n">
        <f aca="false">IF(Takip!G123="",0,G122+1)</f>
        <v>0</v>
      </c>
      <c r="H123" s="15" t="n">
        <f aca="false">IF(Takip!H123="",0,H122+1)</f>
        <v>0</v>
      </c>
      <c r="I123" s="15" t="n">
        <f aca="false">IF(Takip!I123="",0,I122+1)</f>
        <v>0</v>
      </c>
      <c r="J123" s="15" t="n">
        <f aca="false">IF(Takip!J123="",0,J122+1)</f>
        <v>0</v>
      </c>
      <c r="K123" s="15" t="n">
        <f aca="false">IF(Takip!K123="",0,K122+1)</f>
        <v>0</v>
      </c>
      <c r="L123" s="15" t="n">
        <f aca="false">IF(Takip!L123="",0,L122+1)</f>
        <v>0</v>
      </c>
      <c r="M123" s="15" t="n">
        <f aca="false">IF(Takip!M123="",0,M122+1)</f>
        <v>0</v>
      </c>
      <c r="N123" s="15" t="n">
        <f aca="false">IF(Takip!N123="",0,N122+1)</f>
        <v>0</v>
      </c>
      <c r="O123" s="15" t="n">
        <f aca="false">IF(Takip!O123="",0,O122+1)</f>
        <v>0</v>
      </c>
      <c r="P123" s="15" t="n">
        <f aca="false">IF(Takip!P123="",0,P122+1)</f>
        <v>0</v>
      </c>
      <c r="Q123" s="15" t="n">
        <f aca="false">IF(Takip!Q123="",0,Q122+1)</f>
        <v>0</v>
      </c>
    </row>
    <row r="124" customFormat="false" ht="15" hidden="false" customHeight="false" outlineLevel="0" collapsed="false">
      <c r="A124" s="14" t="n">
        <f aca="false">Takip!R124</f>
        <v>46141</v>
      </c>
      <c r="C124" s="15" t="n">
        <f aca="false">IF(Takip!C124="",0,C123+1)</f>
        <v>0</v>
      </c>
      <c r="D124" s="15" t="n">
        <f aca="false">IF(Takip!D124="",0,D123+1)</f>
        <v>0</v>
      </c>
      <c r="E124" s="15" t="n">
        <f aca="false">IF(Takip!E124="",0,E123+1)</f>
        <v>0</v>
      </c>
      <c r="F124" s="15" t="n">
        <f aca="false">IF(Takip!F124="",0,F123+1)</f>
        <v>0</v>
      </c>
      <c r="G124" s="15" t="n">
        <f aca="false">IF(Takip!G124="",0,G123+1)</f>
        <v>0</v>
      </c>
      <c r="H124" s="15" t="n">
        <f aca="false">IF(Takip!H124="",0,H123+1)</f>
        <v>0</v>
      </c>
      <c r="I124" s="15" t="n">
        <f aca="false">IF(Takip!I124="",0,I123+1)</f>
        <v>0</v>
      </c>
      <c r="J124" s="15" t="n">
        <f aca="false">IF(Takip!J124="",0,J123+1)</f>
        <v>0</v>
      </c>
      <c r="K124" s="15" t="n">
        <f aca="false">IF(Takip!K124="",0,K123+1)</f>
        <v>0</v>
      </c>
      <c r="L124" s="15" t="n">
        <f aca="false">IF(Takip!L124="",0,L123+1)</f>
        <v>0</v>
      </c>
      <c r="M124" s="15" t="n">
        <f aca="false">IF(Takip!M124="",0,M123+1)</f>
        <v>0</v>
      </c>
      <c r="N124" s="15" t="n">
        <f aca="false">IF(Takip!N124="",0,N123+1)</f>
        <v>0</v>
      </c>
      <c r="O124" s="15" t="n">
        <f aca="false">IF(Takip!O124="",0,O123+1)</f>
        <v>0</v>
      </c>
      <c r="P124" s="15" t="n">
        <f aca="false">IF(Takip!P124="",0,P123+1)</f>
        <v>0</v>
      </c>
      <c r="Q124" s="15" t="n">
        <f aca="false">IF(Takip!Q124="",0,Q123+1)</f>
        <v>0</v>
      </c>
    </row>
    <row r="125" customFormat="false" ht="15" hidden="false" customHeight="false" outlineLevel="0" collapsed="false">
      <c r="A125" s="14" t="n">
        <f aca="false">Takip!R125</f>
        <v>46142</v>
      </c>
      <c r="C125" s="15" t="n">
        <f aca="false">IF(Takip!C125="",0,C124+1)</f>
        <v>0</v>
      </c>
      <c r="D125" s="15" t="n">
        <f aca="false">IF(Takip!D125="",0,D124+1)</f>
        <v>0</v>
      </c>
      <c r="E125" s="15" t="n">
        <f aca="false">IF(Takip!E125="",0,E124+1)</f>
        <v>0</v>
      </c>
      <c r="F125" s="15" t="n">
        <f aca="false">IF(Takip!F125="",0,F124+1)</f>
        <v>0</v>
      </c>
      <c r="G125" s="15" t="n">
        <f aca="false">IF(Takip!G125="",0,G124+1)</f>
        <v>0</v>
      </c>
      <c r="H125" s="15" t="n">
        <f aca="false">IF(Takip!H125="",0,H124+1)</f>
        <v>0</v>
      </c>
      <c r="I125" s="15" t="n">
        <f aca="false">IF(Takip!I125="",0,I124+1)</f>
        <v>0</v>
      </c>
      <c r="J125" s="15" t="n">
        <f aca="false">IF(Takip!J125="",0,J124+1)</f>
        <v>0</v>
      </c>
      <c r="K125" s="15" t="n">
        <f aca="false">IF(Takip!K125="",0,K124+1)</f>
        <v>0</v>
      </c>
      <c r="L125" s="15" t="n">
        <f aca="false">IF(Takip!L125="",0,L124+1)</f>
        <v>0</v>
      </c>
      <c r="M125" s="15" t="n">
        <f aca="false">IF(Takip!M125="",0,M124+1)</f>
        <v>0</v>
      </c>
      <c r="N125" s="15" t="n">
        <f aca="false">IF(Takip!N125="",0,N124+1)</f>
        <v>0</v>
      </c>
      <c r="O125" s="15" t="n">
        <f aca="false">IF(Takip!O125="",0,O124+1)</f>
        <v>0</v>
      </c>
      <c r="P125" s="15" t="n">
        <f aca="false">IF(Takip!P125="",0,P124+1)</f>
        <v>0</v>
      </c>
      <c r="Q125" s="15" t="n">
        <f aca="false">IF(Takip!Q125="",0,Q124+1)</f>
        <v>0</v>
      </c>
    </row>
    <row r="126" customFormat="false" ht="15" hidden="false" customHeight="false" outlineLevel="0" collapsed="false">
      <c r="A126" s="14" t="n">
        <f aca="false">Takip!R126</f>
        <v>46143</v>
      </c>
      <c r="C126" s="15" t="n">
        <f aca="false">IF(Takip!C126="",0,C125+1)</f>
        <v>0</v>
      </c>
      <c r="D126" s="15" t="n">
        <f aca="false">IF(Takip!D126="",0,D125+1)</f>
        <v>0</v>
      </c>
      <c r="E126" s="15" t="n">
        <f aca="false">IF(Takip!E126="",0,E125+1)</f>
        <v>0</v>
      </c>
      <c r="F126" s="15" t="n">
        <f aca="false">IF(Takip!F126="",0,F125+1)</f>
        <v>0</v>
      </c>
      <c r="G126" s="15" t="n">
        <f aca="false">IF(Takip!G126="",0,G125+1)</f>
        <v>0</v>
      </c>
      <c r="H126" s="15" t="n">
        <f aca="false">IF(Takip!H126="",0,H125+1)</f>
        <v>0</v>
      </c>
      <c r="I126" s="15" t="n">
        <f aca="false">IF(Takip!I126="",0,I125+1)</f>
        <v>0</v>
      </c>
      <c r="J126" s="15" t="n">
        <f aca="false">IF(Takip!J126="",0,J125+1)</f>
        <v>0</v>
      </c>
      <c r="K126" s="15" t="n">
        <f aca="false">IF(Takip!K126="",0,K125+1)</f>
        <v>0</v>
      </c>
      <c r="L126" s="15" t="n">
        <f aca="false">IF(Takip!L126="",0,L125+1)</f>
        <v>0</v>
      </c>
      <c r="M126" s="15" t="n">
        <f aca="false">IF(Takip!M126="",0,M125+1)</f>
        <v>0</v>
      </c>
      <c r="N126" s="15" t="n">
        <f aca="false">IF(Takip!N126="",0,N125+1)</f>
        <v>0</v>
      </c>
      <c r="O126" s="15" t="n">
        <f aca="false">IF(Takip!O126="",0,O125+1)</f>
        <v>0</v>
      </c>
      <c r="P126" s="15" t="n">
        <f aca="false">IF(Takip!P126="",0,P125+1)</f>
        <v>0</v>
      </c>
      <c r="Q126" s="15" t="n">
        <f aca="false">IF(Takip!Q126="",0,Q125+1)</f>
        <v>0</v>
      </c>
    </row>
    <row r="127" customFormat="false" ht="15" hidden="false" customHeight="false" outlineLevel="0" collapsed="false">
      <c r="A127" s="14" t="n">
        <f aca="false">Takip!R127</f>
        <v>46144</v>
      </c>
      <c r="C127" s="15" t="n">
        <f aca="false">IF(Takip!C127="",0,C126+1)</f>
        <v>0</v>
      </c>
      <c r="D127" s="15" t="n">
        <f aca="false">IF(Takip!D127="",0,D126+1)</f>
        <v>0</v>
      </c>
      <c r="E127" s="15" t="n">
        <f aca="false">IF(Takip!E127="",0,E126+1)</f>
        <v>0</v>
      </c>
      <c r="F127" s="15" t="n">
        <f aca="false">IF(Takip!F127="",0,F126+1)</f>
        <v>0</v>
      </c>
      <c r="G127" s="15" t="n">
        <f aca="false">IF(Takip!G127="",0,G126+1)</f>
        <v>0</v>
      </c>
      <c r="H127" s="15" t="n">
        <f aca="false">IF(Takip!H127="",0,H126+1)</f>
        <v>0</v>
      </c>
      <c r="I127" s="15" t="n">
        <f aca="false">IF(Takip!I127="",0,I126+1)</f>
        <v>0</v>
      </c>
      <c r="J127" s="15" t="n">
        <f aca="false">IF(Takip!J127="",0,J126+1)</f>
        <v>0</v>
      </c>
      <c r="K127" s="15" t="n">
        <f aca="false">IF(Takip!K127="",0,K126+1)</f>
        <v>0</v>
      </c>
      <c r="L127" s="15" t="n">
        <f aca="false">IF(Takip!L127="",0,L126+1)</f>
        <v>0</v>
      </c>
      <c r="M127" s="15" t="n">
        <f aca="false">IF(Takip!M127="",0,M126+1)</f>
        <v>0</v>
      </c>
      <c r="N127" s="15" t="n">
        <f aca="false">IF(Takip!N127="",0,N126+1)</f>
        <v>0</v>
      </c>
      <c r="O127" s="15" t="n">
        <f aca="false">IF(Takip!O127="",0,O126+1)</f>
        <v>0</v>
      </c>
      <c r="P127" s="15" t="n">
        <f aca="false">IF(Takip!P127="",0,P126+1)</f>
        <v>0</v>
      </c>
      <c r="Q127" s="15" t="n">
        <f aca="false">IF(Takip!Q127="",0,Q126+1)</f>
        <v>0</v>
      </c>
    </row>
    <row r="128" customFormat="false" ht="15" hidden="false" customHeight="false" outlineLevel="0" collapsed="false">
      <c r="A128" s="14" t="n">
        <f aca="false">Takip!R128</f>
        <v>46145</v>
      </c>
      <c r="C128" s="15" t="n">
        <f aca="false">IF(Takip!C128="",0,C127+1)</f>
        <v>0</v>
      </c>
      <c r="D128" s="15" t="n">
        <f aca="false">IF(Takip!D128="",0,D127+1)</f>
        <v>0</v>
      </c>
      <c r="E128" s="15" t="n">
        <f aca="false">IF(Takip!E128="",0,E127+1)</f>
        <v>0</v>
      </c>
      <c r="F128" s="15" t="n">
        <f aca="false">IF(Takip!F128="",0,F127+1)</f>
        <v>0</v>
      </c>
      <c r="G128" s="15" t="n">
        <f aca="false">IF(Takip!G128="",0,G127+1)</f>
        <v>0</v>
      </c>
      <c r="H128" s="15" t="n">
        <f aca="false">IF(Takip!H128="",0,H127+1)</f>
        <v>0</v>
      </c>
      <c r="I128" s="15" t="n">
        <f aca="false">IF(Takip!I128="",0,I127+1)</f>
        <v>0</v>
      </c>
      <c r="J128" s="15" t="n">
        <f aca="false">IF(Takip!J128="",0,J127+1)</f>
        <v>0</v>
      </c>
      <c r="K128" s="15" t="n">
        <f aca="false">IF(Takip!K128="",0,K127+1)</f>
        <v>0</v>
      </c>
      <c r="L128" s="15" t="n">
        <f aca="false">IF(Takip!L128="",0,L127+1)</f>
        <v>0</v>
      </c>
      <c r="M128" s="15" t="n">
        <f aca="false">IF(Takip!M128="",0,M127+1)</f>
        <v>0</v>
      </c>
      <c r="N128" s="15" t="n">
        <f aca="false">IF(Takip!N128="",0,N127+1)</f>
        <v>0</v>
      </c>
      <c r="O128" s="15" t="n">
        <f aca="false">IF(Takip!O128="",0,O127+1)</f>
        <v>0</v>
      </c>
      <c r="P128" s="15" t="n">
        <f aca="false">IF(Takip!P128="",0,P127+1)</f>
        <v>0</v>
      </c>
      <c r="Q128" s="15" t="n">
        <f aca="false">IF(Takip!Q128="",0,Q127+1)</f>
        <v>0</v>
      </c>
    </row>
    <row r="129" customFormat="false" ht="15" hidden="false" customHeight="false" outlineLevel="0" collapsed="false">
      <c r="A129" s="14" t="n">
        <f aca="false">Takip!R129</f>
        <v>46146</v>
      </c>
      <c r="C129" s="15" t="n">
        <f aca="false">IF(Takip!C129="",0,C128+1)</f>
        <v>0</v>
      </c>
      <c r="D129" s="15" t="n">
        <f aca="false">IF(Takip!D129="",0,D128+1)</f>
        <v>0</v>
      </c>
      <c r="E129" s="15" t="n">
        <f aca="false">IF(Takip!E129="",0,E128+1)</f>
        <v>0</v>
      </c>
      <c r="F129" s="15" t="n">
        <f aca="false">IF(Takip!F129="",0,F128+1)</f>
        <v>0</v>
      </c>
      <c r="G129" s="15" t="n">
        <f aca="false">IF(Takip!G129="",0,G128+1)</f>
        <v>0</v>
      </c>
      <c r="H129" s="15" t="n">
        <f aca="false">IF(Takip!H129="",0,H128+1)</f>
        <v>0</v>
      </c>
      <c r="I129" s="15" t="n">
        <f aca="false">IF(Takip!I129="",0,I128+1)</f>
        <v>0</v>
      </c>
      <c r="J129" s="15" t="n">
        <f aca="false">IF(Takip!J129="",0,J128+1)</f>
        <v>0</v>
      </c>
      <c r="K129" s="15" t="n">
        <f aca="false">IF(Takip!K129="",0,K128+1)</f>
        <v>0</v>
      </c>
      <c r="L129" s="15" t="n">
        <f aca="false">IF(Takip!L129="",0,L128+1)</f>
        <v>0</v>
      </c>
      <c r="M129" s="15" t="n">
        <f aca="false">IF(Takip!M129="",0,M128+1)</f>
        <v>0</v>
      </c>
      <c r="N129" s="15" t="n">
        <f aca="false">IF(Takip!N129="",0,N128+1)</f>
        <v>0</v>
      </c>
      <c r="O129" s="15" t="n">
        <f aca="false">IF(Takip!O129="",0,O128+1)</f>
        <v>0</v>
      </c>
      <c r="P129" s="15" t="n">
        <f aca="false">IF(Takip!P129="",0,P128+1)</f>
        <v>0</v>
      </c>
      <c r="Q129" s="15" t="n">
        <f aca="false">IF(Takip!Q129="",0,Q128+1)</f>
        <v>0</v>
      </c>
    </row>
    <row r="130" customFormat="false" ht="15" hidden="false" customHeight="false" outlineLevel="0" collapsed="false">
      <c r="A130" s="14" t="n">
        <f aca="false">Takip!R130</f>
        <v>46147</v>
      </c>
      <c r="C130" s="15" t="n">
        <f aca="false">IF(Takip!C130="",0,C129+1)</f>
        <v>0</v>
      </c>
      <c r="D130" s="15" t="n">
        <f aca="false">IF(Takip!D130="",0,D129+1)</f>
        <v>0</v>
      </c>
      <c r="E130" s="15" t="n">
        <f aca="false">IF(Takip!E130="",0,E129+1)</f>
        <v>0</v>
      </c>
      <c r="F130" s="15" t="n">
        <f aca="false">IF(Takip!F130="",0,F129+1)</f>
        <v>0</v>
      </c>
      <c r="G130" s="15" t="n">
        <f aca="false">IF(Takip!G130="",0,G129+1)</f>
        <v>0</v>
      </c>
      <c r="H130" s="15" t="n">
        <f aca="false">IF(Takip!H130="",0,H129+1)</f>
        <v>0</v>
      </c>
      <c r="I130" s="15" t="n">
        <f aca="false">IF(Takip!I130="",0,I129+1)</f>
        <v>0</v>
      </c>
      <c r="J130" s="15" t="n">
        <f aca="false">IF(Takip!J130="",0,J129+1)</f>
        <v>0</v>
      </c>
      <c r="K130" s="15" t="n">
        <f aca="false">IF(Takip!K130="",0,K129+1)</f>
        <v>0</v>
      </c>
      <c r="L130" s="15" t="n">
        <f aca="false">IF(Takip!L130="",0,L129+1)</f>
        <v>0</v>
      </c>
      <c r="M130" s="15" t="n">
        <f aca="false">IF(Takip!M130="",0,M129+1)</f>
        <v>0</v>
      </c>
      <c r="N130" s="15" t="n">
        <f aca="false">IF(Takip!N130="",0,N129+1)</f>
        <v>0</v>
      </c>
      <c r="O130" s="15" t="n">
        <f aca="false">IF(Takip!O130="",0,O129+1)</f>
        <v>0</v>
      </c>
      <c r="P130" s="15" t="n">
        <f aca="false">IF(Takip!P130="",0,P129+1)</f>
        <v>0</v>
      </c>
      <c r="Q130" s="15" t="n">
        <f aca="false">IF(Takip!Q130="",0,Q129+1)</f>
        <v>0</v>
      </c>
    </row>
    <row r="131" customFormat="false" ht="15" hidden="false" customHeight="false" outlineLevel="0" collapsed="false">
      <c r="A131" s="14" t="n">
        <f aca="false">Takip!R131</f>
        <v>46148</v>
      </c>
      <c r="C131" s="15" t="n">
        <f aca="false">IF(Takip!C131="",0,C130+1)</f>
        <v>0</v>
      </c>
      <c r="D131" s="15" t="n">
        <f aca="false">IF(Takip!D131="",0,D130+1)</f>
        <v>0</v>
      </c>
      <c r="E131" s="15" t="n">
        <f aca="false">IF(Takip!E131="",0,E130+1)</f>
        <v>0</v>
      </c>
      <c r="F131" s="15" t="n">
        <f aca="false">IF(Takip!F131="",0,F130+1)</f>
        <v>0</v>
      </c>
      <c r="G131" s="15" t="n">
        <f aca="false">IF(Takip!G131="",0,G130+1)</f>
        <v>0</v>
      </c>
      <c r="H131" s="15" t="n">
        <f aca="false">IF(Takip!H131="",0,H130+1)</f>
        <v>0</v>
      </c>
      <c r="I131" s="15" t="n">
        <f aca="false">IF(Takip!I131="",0,I130+1)</f>
        <v>0</v>
      </c>
      <c r="J131" s="15" t="n">
        <f aca="false">IF(Takip!J131="",0,J130+1)</f>
        <v>0</v>
      </c>
      <c r="K131" s="15" t="n">
        <f aca="false">IF(Takip!K131="",0,K130+1)</f>
        <v>0</v>
      </c>
      <c r="L131" s="15" t="n">
        <f aca="false">IF(Takip!L131="",0,L130+1)</f>
        <v>0</v>
      </c>
      <c r="M131" s="15" t="n">
        <f aca="false">IF(Takip!M131="",0,M130+1)</f>
        <v>0</v>
      </c>
      <c r="N131" s="15" t="n">
        <f aca="false">IF(Takip!N131="",0,N130+1)</f>
        <v>0</v>
      </c>
      <c r="O131" s="15" t="n">
        <f aca="false">IF(Takip!O131="",0,O130+1)</f>
        <v>0</v>
      </c>
      <c r="P131" s="15" t="n">
        <f aca="false">IF(Takip!P131="",0,P130+1)</f>
        <v>0</v>
      </c>
      <c r="Q131" s="15" t="n">
        <f aca="false">IF(Takip!Q131="",0,Q130+1)</f>
        <v>0</v>
      </c>
    </row>
    <row r="132" customFormat="false" ht="15" hidden="false" customHeight="false" outlineLevel="0" collapsed="false">
      <c r="A132" s="14" t="n">
        <f aca="false">Takip!R132</f>
        <v>46149</v>
      </c>
      <c r="C132" s="15" t="n">
        <f aca="false">IF(Takip!C132="",0,C131+1)</f>
        <v>0</v>
      </c>
      <c r="D132" s="15" t="n">
        <f aca="false">IF(Takip!D132="",0,D131+1)</f>
        <v>0</v>
      </c>
      <c r="E132" s="15" t="n">
        <f aca="false">IF(Takip!E132="",0,E131+1)</f>
        <v>0</v>
      </c>
      <c r="F132" s="15" t="n">
        <f aca="false">IF(Takip!F132="",0,F131+1)</f>
        <v>0</v>
      </c>
      <c r="G132" s="15" t="n">
        <f aca="false">IF(Takip!G132="",0,G131+1)</f>
        <v>0</v>
      </c>
      <c r="H132" s="15" t="n">
        <f aca="false">IF(Takip!H132="",0,H131+1)</f>
        <v>0</v>
      </c>
      <c r="I132" s="15" t="n">
        <f aca="false">IF(Takip!I132="",0,I131+1)</f>
        <v>0</v>
      </c>
      <c r="J132" s="15" t="n">
        <f aca="false">IF(Takip!J132="",0,J131+1)</f>
        <v>0</v>
      </c>
      <c r="K132" s="15" t="n">
        <f aca="false">IF(Takip!K132="",0,K131+1)</f>
        <v>0</v>
      </c>
      <c r="L132" s="15" t="n">
        <f aca="false">IF(Takip!L132="",0,L131+1)</f>
        <v>0</v>
      </c>
      <c r="M132" s="15" t="n">
        <f aca="false">IF(Takip!M132="",0,M131+1)</f>
        <v>0</v>
      </c>
      <c r="N132" s="15" t="n">
        <f aca="false">IF(Takip!N132="",0,N131+1)</f>
        <v>0</v>
      </c>
      <c r="O132" s="15" t="n">
        <f aca="false">IF(Takip!O132="",0,O131+1)</f>
        <v>0</v>
      </c>
      <c r="P132" s="15" t="n">
        <f aca="false">IF(Takip!P132="",0,P131+1)</f>
        <v>0</v>
      </c>
      <c r="Q132" s="15" t="n">
        <f aca="false">IF(Takip!Q132="",0,Q131+1)</f>
        <v>0</v>
      </c>
    </row>
    <row r="133" customFormat="false" ht="15" hidden="false" customHeight="false" outlineLevel="0" collapsed="false">
      <c r="A133" s="14" t="n">
        <f aca="false">Takip!R133</f>
        <v>46150</v>
      </c>
      <c r="C133" s="15" t="n">
        <f aca="false">IF(Takip!C133="",0,C132+1)</f>
        <v>0</v>
      </c>
      <c r="D133" s="15" t="n">
        <f aca="false">IF(Takip!D133="",0,D132+1)</f>
        <v>0</v>
      </c>
      <c r="E133" s="15" t="n">
        <f aca="false">IF(Takip!E133="",0,E132+1)</f>
        <v>0</v>
      </c>
      <c r="F133" s="15" t="n">
        <f aca="false">IF(Takip!F133="",0,F132+1)</f>
        <v>0</v>
      </c>
      <c r="G133" s="15" t="n">
        <f aca="false">IF(Takip!G133="",0,G132+1)</f>
        <v>0</v>
      </c>
      <c r="H133" s="15" t="n">
        <f aca="false">IF(Takip!H133="",0,H132+1)</f>
        <v>0</v>
      </c>
      <c r="I133" s="15" t="n">
        <f aca="false">IF(Takip!I133="",0,I132+1)</f>
        <v>0</v>
      </c>
      <c r="J133" s="15" t="n">
        <f aca="false">IF(Takip!J133="",0,J132+1)</f>
        <v>0</v>
      </c>
      <c r="K133" s="15" t="n">
        <f aca="false">IF(Takip!K133="",0,K132+1)</f>
        <v>0</v>
      </c>
      <c r="L133" s="15" t="n">
        <f aca="false">IF(Takip!L133="",0,L132+1)</f>
        <v>0</v>
      </c>
      <c r="M133" s="15" t="n">
        <f aca="false">IF(Takip!M133="",0,M132+1)</f>
        <v>0</v>
      </c>
      <c r="N133" s="15" t="n">
        <f aca="false">IF(Takip!N133="",0,N132+1)</f>
        <v>0</v>
      </c>
      <c r="O133" s="15" t="n">
        <f aca="false">IF(Takip!O133="",0,O132+1)</f>
        <v>0</v>
      </c>
      <c r="P133" s="15" t="n">
        <f aca="false">IF(Takip!P133="",0,P132+1)</f>
        <v>0</v>
      </c>
      <c r="Q133" s="15" t="n">
        <f aca="false">IF(Takip!Q133="",0,Q132+1)</f>
        <v>0</v>
      </c>
    </row>
    <row r="134" customFormat="false" ht="15" hidden="false" customHeight="false" outlineLevel="0" collapsed="false">
      <c r="A134" s="14" t="n">
        <f aca="false">Takip!R134</f>
        <v>46151</v>
      </c>
      <c r="C134" s="15" t="n">
        <f aca="false">IF(Takip!C134="",0,C133+1)</f>
        <v>0</v>
      </c>
      <c r="D134" s="15" t="n">
        <f aca="false">IF(Takip!D134="",0,D133+1)</f>
        <v>0</v>
      </c>
      <c r="E134" s="15" t="n">
        <f aca="false">IF(Takip!E134="",0,E133+1)</f>
        <v>0</v>
      </c>
      <c r="F134" s="15" t="n">
        <f aca="false">IF(Takip!F134="",0,F133+1)</f>
        <v>0</v>
      </c>
      <c r="G134" s="15" t="n">
        <f aca="false">IF(Takip!G134="",0,G133+1)</f>
        <v>0</v>
      </c>
      <c r="H134" s="15" t="n">
        <f aca="false">IF(Takip!H134="",0,H133+1)</f>
        <v>0</v>
      </c>
      <c r="I134" s="15" t="n">
        <f aca="false">IF(Takip!I134="",0,I133+1)</f>
        <v>0</v>
      </c>
      <c r="J134" s="15" t="n">
        <f aca="false">IF(Takip!J134="",0,J133+1)</f>
        <v>0</v>
      </c>
      <c r="K134" s="15" t="n">
        <f aca="false">IF(Takip!K134="",0,K133+1)</f>
        <v>0</v>
      </c>
      <c r="L134" s="15" t="n">
        <f aca="false">IF(Takip!L134="",0,L133+1)</f>
        <v>0</v>
      </c>
      <c r="M134" s="15" t="n">
        <f aca="false">IF(Takip!M134="",0,M133+1)</f>
        <v>0</v>
      </c>
      <c r="N134" s="15" t="n">
        <f aca="false">IF(Takip!N134="",0,N133+1)</f>
        <v>0</v>
      </c>
      <c r="O134" s="15" t="n">
        <f aca="false">IF(Takip!O134="",0,O133+1)</f>
        <v>0</v>
      </c>
      <c r="P134" s="15" t="n">
        <f aca="false">IF(Takip!P134="",0,P133+1)</f>
        <v>0</v>
      </c>
      <c r="Q134" s="15" t="n">
        <f aca="false">IF(Takip!Q134="",0,Q133+1)</f>
        <v>0</v>
      </c>
    </row>
    <row r="135" customFormat="false" ht="15" hidden="false" customHeight="false" outlineLevel="0" collapsed="false">
      <c r="A135" s="14" t="n">
        <f aca="false">Takip!R135</f>
        <v>46152</v>
      </c>
      <c r="C135" s="15" t="n">
        <f aca="false">IF(Takip!C135="",0,C134+1)</f>
        <v>0</v>
      </c>
      <c r="D135" s="15" t="n">
        <f aca="false">IF(Takip!D135="",0,D134+1)</f>
        <v>0</v>
      </c>
      <c r="E135" s="15" t="n">
        <f aca="false">IF(Takip!E135="",0,E134+1)</f>
        <v>0</v>
      </c>
      <c r="F135" s="15" t="n">
        <f aca="false">IF(Takip!F135="",0,F134+1)</f>
        <v>0</v>
      </c>
      <c r="G135" s="15" t="n">
        <f aca="false">IF(Takip!G135="",0,G134+1)</f>
        <v>0</v>
      </c>
      <c r="H135" s="15" t="n">
        <f aca="false">IF(Takip!H135="",0,H134+1)</f>
        <v>0</v>
      </c>
      <c r="I135" s="15" t="n">
        <f aca="false">IF(Takip!I135="",0,I134+1)</f>
        <v>0</v>
      </c>
      <c r="J135" s="15" t="n">
        <f aca="false">IF(Takip!J135="",0,J134+1)</f>
        <v>0</v>
      </c>
      <c r="K135" s="15" t="n">
        <f aca="false">IF(Takip!K135="",0,K134+1)</f>
        <v>0</v>
      </c>
      <c r="L135" s="15" t="n">
        <f aca="false">IF(Takip!L135="",0,L134+1)</f>
        <v>0</v>
      </c>
      <c r="M135" s="15" t="n">
        <f aca="false">IF(Takip!M135="",0,M134+1)</f>
        <v>0</v>
      </c>
      <c r="N135" s="15" t="n">
        <f aca="false">IF(Takip!N135="",0,N134+1)</f>
        <v>0</v>
      </c>
      <c r="O135" s="15" t="n">
        <f aca="false">IF(Takip!O135="",0,O134+1)</f>
        <v>0</v>
      </c>
      <c r="P135" s="15" t="n">
        <f aca="false">IF(Takip!P135="",0,P134+1)</f>
        <v>0</v>
      </c>
      <c r="Q135" s="15" t="n">
        <f aca="false">IF(Takip!Q135="",0,Q134+1)</f>
        <v>0</v>
      </c>
    </row>
    <row r="136" customFormat="false" ht="15" hidden="false" customHeight="false" outlineLevel="0" collapsed="false">
      <c r="A136" s="14" t="n">
        <f aca="false">Takip!R136</f>
        <v>46153</v>
      </c>
      <c r="C136" s="15" t="n">
        <f aca="false">IF(Takip!C136="",0,C135+1)</f>
        <v>0</v>
      </c>
      <c r="D136" s="15" t="n">
        <f aca="false">IF(Takip!D136="",0,D135+1)</f>
        <v>0</v>
      </c>
      <c r="E136" s="15" t="n">
        <f aca="false">IF(Takip!E136="",0,E135+1)</f>
        <v>0</v>
      </c>
      <c r="F136" s="15" t="n">
        <f aca="false">IF(Takip!F136="",0,F135+1)</f>
        <v>0</v>
      </c>
      <c r="G136" s="15" t="n">
        <f aca="false">IF(Takip!G136="",0,G135+1)</f>
        <v>0</v>
      </c>
      <c r="H136" s="15" t="n">
        <f aca="false">IF(Takip!H136="",0,H135+1)</f>
        <v>0</v>
      </c>
      <c r="I136" s="15" t="n">
        <f aca="false">IF(Takip!I136="",0,I135+1)</f>
        <v>0</v>
      </c>
      <c r="J136" s="15" t="n">
        <f aca="false">IF(Takip!J136="",0,J135+1)</f>
        <v>0</v>
      </c>
      <c r="K136" s="15" t="n">
        <f aca="false">IF(Takip!K136="",0,K135+1)</f>
        <v>0</v>
      </c>
      <c r="L136" s="15" t="n">
        <f aca="false">IF(Takip!L136="",0,L135+1)</f>
        <v>0</v>
      </c>
      <c r="M136" s="15" t="n">
        <f aca="false">IF(Takip!M136="",0,M135+1)</f>
        <v>0</v>
      </c>
      <c r="N136" s="15" t="n">
        <f aca="false">IF(Takip!N136="",0,N135+1)</f>
        <v>0</v>
      </c>
      <c r="O136" s="15" t="n">
        <f aca="false">IF(Takip!O136="",0,O135+1)</f>
        <v>0</v>
      </c>
      <c r="P136" s="15" t="n">
        <f aca="false">IF(Takip!P136="",0,P135+1)</f>
        <v>0</v>
      </c>
      <c r="Q136" s="15" t="n">
        <f aca="false">IF(Takip!Q136="",0,Q135+1)</f>
        <v>0</v>
      </c>
    </row>
    <row r="137" customFormat="false" ht="15" hidden="false" customHeight="false" outlineLevel="0" collapsed="false">
      <c r="A137" s="14" t="n">
        <f aca="false">Takip!R137</f>
        <v>46154</v>
      </c>
      <c r="C137" s="15" t="n">
        <f aca="false">IF(Takip!C137="",0,C136+1)</f>
        <v>0</v>
      </c>
      <c r="D137" s="15" t="n">
        <f aca="false">IF(Takip!D137="",0,D136+1)</f>
        <v>0</v>
      </c>
      <c r="E137" s="15" t="n">
        <f aca="false">IF(Takip!E137="",0,E136+1)</f>
        <v>0</v>
      </c>
      <c r="F137" s="15" t="n">
        <f aca="false">IF(Takip!F137="",0,F136+1)</f>
        <v>0</v>
      </c>
      <c r="G137" s="15" t="n">
        <f aca="false">IF(Takip!G137="",0,G136+1)</f>
        <v>0</v>
      </c>
      <c r="H137" s="15" t="n">
        <f aca="false">IF(Takip!H137="",0,H136+1)</f>
        <v>0</v>
      </c>
      <c r="I137" s="15" t="n">
        <f aca="false">IF(Takip!I137="",0,I136+1)</f>
        <v>0</v>
      </c>
      <c r="J137" s="15" t="n">
        <f aca="false">IF(Takip!J137="",0,J136+1)</f>
        <v>0</v>
      </c>
      <c r="K137" s="15" t="n">
        <f aca="false">IF(Takip!K137="",0,K136+1)</f>
        <v>0</v>
      </c>
      <c r="L137" s="15" t="n">
        <f aca="false">IF(Takip!L137="",0,L136+1)</f>
        <v>0</v>
      </c>
      <c r="M137" s="15" t="n">
        <f aca="false">IF(Takip!M137="",0,M136+1)</f>
        <v>0</v>
      </c>
      <c r="N137" s="15" t="n">
        <f aca="false">IF(Takip!N137="",0,N136+1)</f>
        <v>0</v>
      </c>
      <c r="O137" s="15" t="n">
        <f aca="false">IF(Takip!O137="",0,O136+1)</f>
        <v>0</v>
      </c>
      <c r="P137" s="15" t="n">
        <f aca="false">IF(Takip!P137="",0,P136+1)</f>
        <v>0</v>
      </c>
      <c r="Q137" s="15" t="n">
        <f aca="false">IF(Takip!Q137="",0,Q136+1)</f>
        <v>0</v>
      </c>
    </row>
    <row r="138" customFormat="false" ht="15" hidden="false" customHeight="false" outlineLevel="0" collapsed="false">
      <c r="A138" s="14" t="n">
        <f aca="false">Takip!R138</f>
        <v>46155</v>
      </c>
      <c r="C138" s="15" t="n">
        <f aca="false">IF(Takip!C138="",0,C137+1)</f>
        <v>0</v>
      </c>
      <c r="D138" s="15" t="n">
        <f aca="false">IF(Takip!D138="",0,D137+1)</f>
        <v>0</v>
      </c>
      <c r="E138" s="15" t="n">
        <f aca="false">IF(Takip!E138="",0,E137+1)</f>
        <v>0</v>
      </c>
      <c r="F138" s="15" t="n">
        <f aca="false">IF(Takip!F138="",0,F137+1)</f>
        <v>0</v>
      </c>
      <c r="G138" s="15" t="n">
        <f aca="false">IF(Takip!G138="",0,G137+1)</f>
        <v>0</v>
      </c>
      <c r="H138" s="15" t="n">
        <f aca="false">IF(Takip!H138="",0,H137+1)</f>
        <v>0</v>
      </c>
      <c r="I138" s="15" t="n">
        <f aca="false">IF(Takip!I138="",0,I137+1)</f>
        <v>0</v>
      </c>
      <c r="J138" s="15" t="n">
        <f aca="false">IF(Takip!J138="",0,J137+1)</f>
        <v>0</v>
      </c>
      <c r="K138" s="15" t="n">
        <f aca="false">IF(Takip!K138="",0,K137+1)</f>
        <v>0</v>
      </c>
      <c r="L138" s="15" t="n">
        <f aca="false">IF(Takip!L138="",0,L137+1)</f>
        <v>0</v>
      </c>
      <c r="M138" s="15" t="n">
        <f aca="false">IF(Takip!M138="",0,M137+1)</f>
        <v>0</v>
      </c>
      <c r="N138" s="15" t="n">
        <f aca="false">IF(Takip!N138="",0,N137+1)</f>
        <v>0</v>
      </c>
      <c r="O138" s="15" t="n">
        <f aca="false">IF(Takip!O138="",0,O137+1)</f>
        <v>0</v>
      </c>
      <c r="P138" s="15" t="n">
        <f aca="false">IF(Takip!P138="",0,P137+1)</f>
        <v>0</v>
      </c>
      <c r="Q138" s="15" t="n">
        <f aca="false">IF(Takip!Q138="",0,Q137+1)</f>
        <v>0</v>
      </c>
    </row>
    <row r="139" customFormat="false" ht="15" hidden="false" customHeight="false" outlineLevel="0" collapsed="false">
      <c r="A139" s="14" t="n">
        <f aca="false">Takip!R139</f>
        <v>46156</v>
      </c>
      <c r="C139" s="15" t="n">
        <f aca="false">IF(Takip!C139="",0,C138+1)</f>
        <v>0</v>
      </c>
      <c r="D139" s="15" t="n">
        <f aca="false">IF(Takip!D139="",0,D138+1)</f>
        <v>0</v>
      </c>
      <c r="E139" s="15" t="n">
        <f aca="false">IF(Takip!E139="",0,E138+1)</f>
        <v>0</v>
      </c>
      <c r="F139" s="15" t="n">
        <f aca="false">IF(Takip!F139="",0,F138+1)</f>
        <v>0</v>
      </c>
      <c r="G139" s="15" t="n">
        <f aca="false">IF(Takip!G139="",0,G138+1)</f>
        <v>0</v>
      </c>
      <c r="H139" s="15" t="n">
        <f aca="false">IF(Takip!H139="",0,H138+1)</f>
        <v>0</v>
      </c>
      <c r="I139" s="15" t="n">
        <f aca="false">IF(Takip!I139="",0,I138+1)</f>
        <v>0</v>
      </c>
      <c r="J139" s="15" t="n">
        <f aca="false">IF(Takip!J139="",0,J138+1)</f>
        <v>0</v>
      </c>
      <c r="K139" s="15" t="n">
        <f aca="false">IF(Takip!K139="",0,K138+1)</f>
        <v>0</v>
      </c>
      <c r="L139" s="15" t="n">
        <f aca="false">IF(Takip!L139="",0,L138+1)</f>
        <v>0</v>
      </c>
      <c r="M139" s="15" t="n">
        <f aca="false">IF(Takip!M139="",0,M138+1)</f>
        <v>0</v>
      </c>
      <c r="N139" s="15" t="n">
        <f aca="false">IF(Takip!N139="",0,N138+1)</f>
        <v>0</v>
      </c>
      <c r="O139" s="15" t="n">
        <f aca="false">IF(Takip!O139="",0,O138+1)</f>
        <v>0</v>
      </c>
      <c r="P139" s="15" t="n">
        <f aca="false">IF(Takip!P139="",0,P138+1)</f>
        <v>0</v>
      </c>
      <c r="Q139" s="15" t="n">
        <f aca="false">IF(Takip!Q139="",0,Q138+1)</f>
        <v>0</v>
      </c>
    </row>
    <row r="140" customFormat="false" ht="15" hidden="false" customHeight="false" outlineLevel="0" collapsed="false">
      <c r="A140" s="14" t="n">
        <f aca="false">Takip!R140</f>
        <v>46157</v>
      </c>
      <c r="C140" s="15" t="n">
        <f aca="false">IF(Takip!C140="",0,C139+1)</f>
        <v>0</v>
      </c>
      <c r="D140" s="15" t="n">
        <f aca="false">IF(Takip!D140="",0,D139+1)</f>
        <v>0</v>
      </c>
      <c r="E140" s="15" t="n">
        <f aca="false">IF(Takip!E140="",0,E139+1)</f>
        <v>0</v>
      </c>
      <c r="F140" s="15" t="n">
        <f aca="false">IF(Takip!F140="",0,F139+1)</f>
        <v>0</v>
      </c>
      <c r="G140" s="15" t="n">
        <f aca="false">IF(Takip!G140="",0,G139+1)</f>
        <v>0</v>
      </c>
      <c r="H140" s="15" t="n">
        <f aca="false">IF(Takip!H140="",0,H139+1)</f>
        <v>0</v>
      </c>
      <c r="I140" s="15" t="n">
        <f aca="false">IF(Takip!I140="",0,I139+1)</f>
        <v>0</v>
      </c>
      <c r="J140" s="15" t="n">
        <f aca="false">IF(Takip!J140="",0,J139+1)</f>
        <v>0</v>
      </c>
      <c r="K140" s="15" t="n">
        <f aca="false">IF(Takip!K140="",0,K139+1)</f>
        <v>0</v>
      </c>
      <c r="L140" s="15" t="n">
        <f aca="false">IF(Takip!L140="",0,L139+1)</f>
        <v>0</v>
      </c>
      <c r="M140" s="15" t="n">
        <f aca="false">IF(Takip!M140="",0,M139+1)</f>
        <v>0</v>
      </c>
      <c r="N140" s="15" t="n">
        <f aca="false">IF(Takip!N140="",0,N139+1)</f>
        <v>0</v>
      </c>
      <c r="O140" s="15" t="n">
        <f aca="false">IF(Takip!O140="",0,O139+1)</f>
        <v>0</v>
      </c>
      <c r="P140" s="15" t="n">
        <f aca="false">IF(Takip!P140="",0,P139+1)</f>
        <v>0</v>
      </c>
      <c r="Q140" s="15" t="n">
        <f aca="false">IF(Takip!Q140="",0,Q139+1)</f>
        <v>0</v>
      </c>
    </row>
    <row r="141" customFormat="false" ht="15" hidden="false" customHeight="false" outlineLevel="0" collapsed="false">
      <c r="A141" s="14" t="n">
        <f aca="false">Takip!R141</f>
        <v>46158</v>
      </c>
      <c r="C141" s="15" t="n">
        <f aca="false">IF(Takip!C141="",0,C140+1)</f>
        <v>0</v>
      </c>
      <c r="D141" s="15" t="n">
        <f aca="false">IF(Takip!D141="",0,D140+1)</f>
        <v>0</v>
      </c>
      <c r="E141" s="15" t="n">
        <f aca="false">IF(Takip!E141="",0,E140+1)</f>
        <v>0</v>
      </c>
      <c r="F141" s="15" t="n">
        <f aca="false">IF(Takip!F141="",0,F140+1)</f>
        <v>0</v>
      </c>
      <c r="G141" s="15" t="n">
        <f aca="false">IF(Takip!G141="",0,G140+1)</f>
        <v>0</v>
      </c>
      <c r="H141" s="15" t="n">
        <f aca="false">IF(Takip!H141="",0,H140+1)</f>
        <v>0</v>
      </c>
      <c r="I141" s="15" t="n">
        <f aca="false">IF(Takip!I141="",0,I140+1)</f>
        <v>0</v>
      </c>
      <c r="J141" s="15" t="n">
        <f aca="false">IF(Takip!J141="",0,J140+1)</f>
        <v>0</v>
      </c>
      <c r="K141" s="15" t="n">
        <f aca="false">IF(Takip!K141="",0,K140+1)</f>
        <v>0</v>
      </c>
      <c r="L141" s="15" t="n">
        <f aca="false">IF(Takip!L141="",0,L140+1)</f>
        <v>0</v>
      </c>
      <c r="M141" s="15" t="n">
        <f aca="false">IF(Takip!M141="",0,M140+1)</f>
        <v>0</v>
      </c>
      <c r="N141" s="15" t="n">
        <f aca="false">IF(Takip!N141="",0,N140+1)</f>
        <v>0</v>
      </c>
      <c r="O141" s="15" t="n">
        <f aca="false">IF(Takip!O141="",0,O140+1)</f>
        <v>0</v>
      </c>
      <c r="P141" s="15" t="n">
        <f aca="false">IF(Takip!P141="",0,P140+1)</f>
        <v>0</v>
      </c>
      <c r="Q141" s="15" t="n">
        <f aca="false">IF(Takip!Q141="",0,Q140+1)</f>
        <v>0</v>
      </c>
    </row>
    <row r="142" customFormat="false" ht="15" hidden="false" customHeight="false" outlineLevel="0" collapsed="false">
      <c r="A142" s="14" t="n">
        <f aca="false">Takip!R142</f>
        <v>46159</v>
      </c>
      <c r="C142" s="15" t="n">
        <f aca="false">IF(Takip!C142="",0,C141+1)</f>
        <v>0</v>
      </c>
      <c r="D142" s="15" t="n">
        <f aca="false">IF(Takip!D142="",0,D141+1)</f>
        <v>0</v>
      </c>
      <c r="E142" s="15" t="n">
        <f aca="false">IF(Takip!E142="",0,E141+1)</f>
        <v>0</v>
      </c>
      <c r="F142" s="15" t="n">
        <f aca="false">IF(Takip!F142="",0,F141+1)</f>
        <v>0</v>
      </c>
      <c r="G142" s="15" t="n">
        <f aca="false">IF(Takip!G142="",0,G141+1)</f>
        <v>0</v>
      </c>
      <c r="H142" s="15" t="n">
        <f aca="false">IF(Takip!H142="",0,H141+1)</f>
        <v>0</v>
      </c>
      <c r="I142" s="15" t="n">
        <f aca="false">IF(Takip!I142="",0,I141+1)</f>
        <v>0</v>
      </c>
      <c r="J142" s="15" t="n">
        <f aca="false">IF(Takip!J142="",0,J141+1)</f>
        <v>0</v>
      </c>
      <c r="K142" s="15" t="n">
        <f aca="false">IF(Takip!K142="",0,K141+1)</f>
        <v>0</v>
      </c>
      <c r="L142" s="15" t="n">
        <f aca="false">IF(Takip!L142="",0,L141+1)</f>
        <v>0</v>
      </c>
      <c r="M142" s="15" t="n">
        <f aca="false">IF(Takip!M142="",0,M141+1)</f>
        <v>0</v>
      </c>
      <c r="N142" s="15" t="n">
        <f aca="false">IF(Takip!N142="",0,N141+1)</f>
        <v>0</v>
      </c>
      <c r="O142" s="15" t="n">
        <f aca="false">IF(Takip!O142="",0,O141+1)</f>
        <v>0</v>
      </c>
      <c r="P142" s="15" t="n">
        <f aca="false">IF(Takip!P142="",0,P141+1)</f>
        <v>0</v>
      </c>
      <c r="Q142" s="15" t="n">
        <f aca="false">IF(Takip!Q142="",0,Q141+1)</f>
        <v>0</v>
      </c>
    </row>
    <row r="143" customFormat="false" ht="15" hidden="false" customHeight="false" outlineLevel="0" collapsed="false">
      <c r="A143" s="14" t="n">
        <f aca="false">Takip!R143</f>
        <v>46160</v>
      </c>
      <c r="C143" s="15" t="n">
        <f aca="false">IF(Takip!C143="",0,C142+1)</f>
        <v>0</v>
      </c>
      <c r="D143" s="15" t="n">
        <f aca="false">IF(Takip!D143="",0,D142+1)</f>
        <v>0</v>
      </c>
      <c r="E143" s="15" t="n">
        <f aca="false">IF(Takip!E143="",0,E142+1)</f>
        <v>0</v>
      </c>
      <c r="F143" s="15" t="n">
        <f aca="false">IF(Takip!F143="",0,F142+1)</f>
        <v>0</v>
      </c>
      <c r="G143" s="15" t="n">
        <f aca="false">IF(Takip!G143="",0,G142+1)</f>
        <v>0</v>
      </c>
      <c r="H143" s="15" t="n">
        <f aca="false">IF(Takip!H143="",0,H142+1)</f>
        <v>0</v>
      </c>
      <c r="I143" s="15" t="n">
        <f aca="false">IF(Takip!I143="",0,I142+1)</f>
        <v>0</v>
      </c>
      <c r="J143" s="15" t="n">
        <f aca="false">IF(Takip!J143="",0,J142+1)</f>
        <v>0</v>
      </c>
      <c r="K143" s="15" t="n">
        <f aca="false">IF(Takip!K143="",0,K142+1)</f>
        <v>0</v>
      </c>
      <c r="L143" s="15" t="n">
        <f aca="false">IF(Takip!L143="",0,L142+1)</f>
        <v>0</v>
      </c>
      <c r="M143" s="15" t="n">
        <f aca="false">IF(Takip!M143="",0,M142+1)</f>
        <v>0</v>
      </c>
      <c r="N143" s="15" t="n">
        <f aca="false">IF(Takip!N143="",0,N142+1)</f>
        <v>0</v>
      </c>
      <c r="O143" s="15" t="n">
        <f aca="false">IF(Takip!O143="",0,O142+1)</f>
        <v>0</v>
      </c>
      <c r="P143" s="15" t="n">
        <f aca="false">IF(Takip!P143="",0,P142+1)</f>
        <v>0</v>
      </c>
      <c r="Q143" s="15" t="n">
        <f aca="false">IF(Takip!Q143="",0,Q142+1)</f>
        <v>0</v>
      </c>
    </row>
    <row r="144" customFormat="false" ht="15" hidden="false" customHeight="false" outlineLevel="0" collapsed="false">
      <c r="A144" s="14" t="n">
        <f aca="false">Takip!R144</f>
        <v>46161</v>
      </c>
      <c r="C144" s="15" t="n">
        <f aca="false">IF(Takip!C144="",0,C143+1)</f>
        <v>0</v>
      </c>
      <c r="D144" s="15" t="n">
        <f aca="false">IF(Takip!D144="",0,D143+1)</f>
        <v>0</v>
      </c>
      <c r="E144" s="15" t="n">
        <f aca="false">IF(Takip!E144="",0,E143+1)</f>
        <v>0</v>
      </c>
      <c r="F144" s="15" t="n">
        <f aca="false">IF(Takip!F144="",0,F143+1)</f>
        <v>0</v>
      </c>
      <c r="G144" s="15" t="n">
        <f aca="false">IF(Takip!G144="",0,G143+1)</f>
        <v>0</v>
      </c>
      <c r="H144" s="15" t="n">
        <f aca="false">IF(Takip!H144="",0,H143+1)</f>
        <v>0</v>
      </c>
      <c r="I144" s="15" t="n">
        <f aca="false">IF(Takip!I144="",0,I143+1)</f>
        <v>0</v>
      </c>
      <c r="J144" s="15" t="n">
        <f aca="false">IF(Takip!J144="",0,J143+1)</f>
        <v>0</v>
      </c>
      <c r="K144" s="15" t="n">
        <f aca="false">IF(Takip!K144="",0,K143+1)</f>
        <v>0</v>
      </c>
      <c r="L144" s="15" t="n">
        <f aca="false">IF(Takip!L144="",0,L143+1)</f>
        <v>0</v>
      </c>
      <c r="M144" s="15" t="n">
        <f aca="false">IF(Takip!M144="",0,M143+1)</f>
        <v>0</v>
      </c>
      <c r="N144" s="15" t="n">
        <f aca="false">IF(Takip!N144="",0,N143+1)</f>
        <v>0</v>
      </c>
      <c r="O144" s="15" t="n">
        <f aca="false">IF(Takip!O144="",0,O143+1)</f>
        <v>0</v>
      </c>
      <c r="P144" s="15" t="n">
        <f aca="false">IF(Takip!P144="",0,P143+1)</f>
        <v>0</v>
      </c>
      <c r="Q144" s="15" t="n">
        <f aca="false">IF(Takip!Q144="",0,Q143+1)</f>
        <v>0</v>
      </c>
    </row>
    <row r="145" customFormat="false" ht="15" hidden="false" customHeight="false" outlineLevel="0" collapsed="false">
      <c r="A145" s="14" t="n">
        <f aca="false">Takip!R145</f>
        <v>46162</v>
      </c>
      <c r="C145" s="15" t="n">
        <f aca="false">IF(Takip!C145="",0,C144+1)</f>
        <v>0</v>
      </c>
      <c r="D145" s="15" t="n">
        <f aca="false">IF(Takip!D145="",0,D144+1)</f>
        <v>0</v>
      </c>
      <c r="E145" s="15" t="n">
        <f aca="false">IF(Takip!E145="",0,E144+1)</f>
        <v>0</v>
      </c>
      <c r="F145" s="15" t="n">
        <f aca="false">IF(Takip!F145="",0,F144+1)</f>
        <v>0</v>
      </c>
      <c r="G145" s="15" t="n">
        <f aca="false">IF(Takip!G145="",0,G144+1)</f>
        <v>0</v>
      </c>
      <c r="H145" s="15" t="n">
        <f aca="false">IF(Takip!H145="",0,H144+1)</f>
        <v>0</v>
      </c>
      <c r="I145" s="15" t="n">
        <f aca="false">IF(Takip!I145="",0,I144+1)</f>
        <v>0</v>
      </c>
      <c r="J145" s="15" t="n">
        <f aca="false">IF(Takip!J145="",0,J144+1)</f>
        <v>0</v>
      </c>
      <c r="K145" s="15" t="n">
        <f aca="false">IF(Takip!K145="",0,K144+1)</f>
        <v>0</v>
      </c>
      <c r="L145" s="15" t="n">
        <f aca="false">IF(Takip!L145="",0,L144+1)</f>
        <v>0</v>
      </c>
      <c r="M145" s="15" t="n">
        <f aca="false">IF(Takip!M145="",0,M144+1)</f>
        <v>0</v>
      </c>
      <c r="N145" s="15" t="n">
        <f aca="false">IF(Takip!N145="",0,N144+1)</f>
        <v>0</v>
      </c>
      <c r="O145" s="15" t="n">
        <f aca="false">IF(Takip!O145="",0,O144+1)</f>
        <v>0</v>
      </c>
      <c r="P145" s="15" t="n">
        <f aca="false">IF(Takip!P145="",0,P144+1)</f>
        <v>0</v>
      </c>
      <c r="Q145" s="15" t="n">
        <f aca="false">IF(Takip!Q145="",0,Q144+1)</f>
        <v>0</v>
      </c>
    </row>
    <row r="146" customFormat="false" ht="15" hidden="false" customHeight="false" outlineLevel="0" collapsed="false">
      <c r="A146" s="14" t="n">
        <f aca="false">Takip!R146</f>
        <v>46163</v>
      </c>
      <c r="C146" s="15" t="n">
        <f aca="false">IF(Takip!C146="",0,C145+1)</f>
        <v>0</v>
      </c>
      <c r="D146" s="15" t="n">
        <f aca="false">IF(Takip!D146="",0,D145+1)</f>
        <v>0</v>
      </c>
      <c r="E146" s="15" t="n">
        <f aca="false">IF(Takip!E146="",0,E145+1)</f>
        <v>0</v>
      </c>
      <c r="F146" s="15" t="n">
        <f aca="false">IF(Takip!F146="",0,F145+1)</f>
        <v>0</v>
      </c>
      <c r="G146" s="15" t="n">
        <f aca="false">IF(Takip!G146="",0,G145+1)</f>
        <v>0</v>
      </c>
      <c r="H146" s="15" t="n">
        <f aca="false">IF(Takip!H146="",0,H145+1)</f>
        <v>0</v>
      </c>
      <c r="I146" s="15" t="n">
        <f aca="false">IF(Takip!I146="",0,I145+1)</f>
        <v>0</v>
      </c>
      <c r="J146" s="15" t="n">
        <f aca="false">IF(Takip!J146="",0,J145+1)</f>
        <v>0</v>
      </c>
      <c r="K146" s="15" t="n">
        <f aca="false">IF(Takip!K146="",0,K145+1)</f>
        <v>0</v>
      </c>
      <c r="L146" s="15" t="n">
        <f aca="false">IF(Takip!L146="",0,L145+1)</f>
        <v>0</v>
      </c>
      <c r="M146" s="15" t="n">
        <f aca="false">IF(Takip!M146="",0,M145+1)</f>
        <v>0</v>
      </c>
      <c r="N146" s="15" t="n">
        <f aca="false">IF(Takip!N146="",0,N145+1)</f>
        <v>0</v>
      </c>
      <c r="O146" s="15" t="n">
        <f aca="false">IF(Takip!O146="",0,O145+1)</f>
        <v>0</v>
      </c>
      <c r="P146" s="15" t="n">
        <f aca="false">IF(Takip!P146="",0,P145+1)</f>
        <v>0</v>
      </c>
      <c r="Q146" s="15" t="n">
        <f aca="false">IF(Takip!Q146="",0,Q145+1)</f>
        <v>0</v>
      </c>
    </row>
    <row r="147" customFormat="false" ht="15" hidden="false" customHeight="false" outlineLevel="0" collapsed="false">
      <c r="A147" s="14" t="n">
        <f aca="false">Takip!R147</f>
        <v>46164</v>
      </c>
      <c r="C147" s="15" t="n">
        <f aca="false">IF(Takip!C147="",0,C146+1)</f>
        <v>0</v>
      </c>
      <c r="D147" s="15" t="n">
        <f aca="false">IF(Takip!D147="",0,D146+1)</f>
        <v>0</v>
      </c>
      <c r="E147" s="15" t="n">
        <f aca="false">IF(Takip!E147="",0,E146+1)</f>
        <v>0</v>
      </c>
      <c r="F147" s="15" t="n">
        <f aca="false">IF(Takip!F147="",0,F146+1)</f>
        <v>0</v>
      </c>
      <c r="G147" s="15" t="n">
        <f aca="false">IF(Takip!G147="",0,G146+1)</f>
        <v>0</v>
      </c>
      <c r="H147" s="15" t="n">
        <f aca="false">IF(Takip!H147="",0,H146+1)</f>
        <v>0</v>
      </c>
      <c r="I147" s="15" t="n">
        <f aca="false">IF(Takip!I147="",0,I146+1)</f>
        <v>0</v>
      </c>
      <c r="J147" s="15" t="n">
        <f aca="false">IF(Takip!J147="",0,J146+1)</f>
        <v>0</v>
      </c>
      <c r="K147" s="15" t="n">
        <f aca="false">IF(Takip!K147="",0,K146+1)</f>
        <v>0</v>
      </c>
      <c r="L147" s="15" t="n">
        <f aca="false">IF(Takip!L147="",0,L146+1)</f>
        <v>0</v>
      </c>
      <c r="M147" s="15" t="n">
        <f aca="false">IF(Takip!M147="",0,M146+1)</f>
        <v>0</v>
      </c>
      <c r="N147" s="15" t="n">
        <f aca="false">IF(Takip!N147="",0,N146+1)</f>
        <v>0</v>
      </c>
      <c r="O147" s="15" t="n">
        <f aca="false">IF(Takip!O147="",0,O146+1)</f>
        <v>0</v>
      </c>
      <c r="P147" s="15" t="n">
        <f aca="false">IF(Takip!P147="",0,P146+1)</f>
        <v>0</v>
      </c>
      <c r="Q147" s="15" t="n">
        <f aca="false">IF(Takip!Q147="",0,Q146+1)</f>
        <v>0</v>
      </c>
    </row>
    <row r="148" customFormat="false" ht="15" hidden="false" customHeight="false" outlineLevel="0" collapsed="false">
      <c r="A148" s="14" t="n">
        <f aca="false">Takip!R148</f>
        <v>46165</v>
      </c>
      <c r="C148" s="15" t="n">
        <f aca="false">IF(Takip!C148="",0,C147+1)</f>
        <v>0</v>
      </c>
      <c r="D148" s="15" t="n">
        <f aca="false">IF(Takip!D148="",0,D147+1)</f>
        <v>0</v>
      </c>
      <c r="E148" s="15" t="n">
        <f aca="false">IF(Takip!E148="",0,E147+1)</f>
        <v>0</v>
      </c>
      <c r="F148" s="15" t="n">
        <f aca="false">IF(Takip!F148="",0,F147+1)</f>
        <v>0</v>
      </c>
      <c r="G148" s="15" t="n">
        <f aca="false">IF(Takip!G148="",0,G147+1)</f>
        <v>0</v>
      </c>
      <c r="H148" s="15" t="n">
        <f aca="false">IF(Takip!H148="",0,H147+1)</f>
        <v>0</v>
      </c>
      <c r="I148" s="15" t="n">
        <f aca="false">IF(Takip!I148="",0,I147+1)</f>
        <v>0</v>
      </c>
      <c r="J148" s="15" t="n">
        <f aca="false">IF(Takip!J148="",0,J147+1)</f>
        <v>0</v>
      </c>
      <c r="K148" s="15" t="n">
        <f aca="false">IF(Takip!K148="",0,K147+1)</f>
        <v>0</v>
      </c>
      <c r="L148" s="15" t="n">
        <f aca="false">IF(Takip!L148="",0,L147+1)</f>
        <v>0</v>
      </c>
      <c r="M148" s="15" t="n">
        <f aca="false">IF(Takip!M148="",0,M147+1)</f>
        <v>0</v>
      </c>
      <c r="N148" s="15" t="n">
        <f aca="false">IF(Takip!N148="",0,N147+1)</f>
        <v>0</v>
      </c>
      <c r="O148" s="15" t="n">
        <f aca="false">IF(Takip!O148="",0,O147+1)</f>
        <v>0</v>
      </c>
      <c r="P148" s="15" t="n">
        <f aca="false">IF(Takip!P148="",0,P147+1)</f>
        <v>0</v>
      </c>
      <c r="Q148" s="15" t="n">
        <f aca="false">IF(Takip!Q148="",0,Q147+1)</f>
        <v>0</v>
      </c>
    </row>
    <row r="149" customFormat="false" ht="15" hidden="false" customHeight="false" outlineLevel="0" collapsed="false">
      <c r="A149" s="14" t="n">
        <f aca="false">Takip!R149</f>
        <v>46166</v>
      </c>
      <c r="C149" s="15" t="n">
        <f aca="false">IF(Takip!C149="",0,C148+1)</f>
        <v>0</v>
      </c>
      <c r="D149" s="15" t="n">
        <f aca="false">IF(Takip!D149="",0,D148+1)</f>
        <v>0</v>
      </c>
      <c r="E149" s="15" t="n">
        <f aca="false">IF(Takip!E149="",0,E148+1)</f>
        <v>0</v>
      </c>
      <c r="F149" s="15" t="n">
        <f aca="false">IF(Takip!F149="",0,F148+1)</f>
        <v>0</v>
      </c>
      <c r="G149" s="15" t="n">
        <f aca="false">IF(Takip!G149="",0,G148+1)</f>
        <v>0</v>
      </c>
      <c r="H149" s="15" t="n">
        <f aca="false">IF(Takip!H149="",0,H148+1)</f>
        <v>0</v>
      </c>
      <c r="I149" s="15" t="n">
        <f aca="false">IF(Takip!I149="",0,I148+1)</f>
        <v>0</v>
      </c>
      <c r="J149" s="15" t="n">
        <f aca="false">IF(Takip!J149="",0,J148+1)</f>
        <v>0</v>
      </c>
      <c r="K149" s="15" t="n">
        <f aca="false">IF(Takip!K149="",0,K148+1)</f>
        <v>0</v>
      </c>
      <c r="L149" s="15" t="n">
        <f aca="false">IF(Takip!L149="",0,L148+1)</f>
        <v>0</v>
      </c>
      <c r="M149" s="15" t="n">
        <f aca="false">IF(Takip!M149="",0,M148+1)</f>
        <v>0</v>
      </c>
      <c r="N149" s="15" t="n">
        <f aca="false">IF(Takip!N149="",0,N148+1)</f>
        <v>0</v>
      </c>
      <c r="O149" s="15" t="n">
        <f aca="false">IF(Takip!O149="",0,O148+1)</f>
        <v>0</v>
      </c>
      <c r="P149" s="15" t="n">
        <f aca="false">IF(Takip!P149="",0,P148+1)</f>
        <v>0</v>
      </c>
      <c r="Q149" s="15" t="n">
        <f aca="false">IF(Takip!Q149="",0,Q148+1)</f>
        <v>0</v>
      </c>
    </row>
    <row r="150" customFormat="false" ht="15" hidden="false" customHeight="false" outlineLevel="0" collapsed="false">
      <c r="A150" s="14" t="n">
        <f aca="false">Takip!R150</f>
        <v>46167</v>
      </c>
      <c r="C150" s="15" t="n">
        <f aca="false">IF(Takip!C150="",0,C149+1)</f>
        <v>0</v>
      </c>
      <c r="D150" s="15" t="n">
        <f aca="false">IF(Takip!D150="",0,D149+1)</f>
        <v>0</v>
      </c>
      <c r="E150" s="15" t="n">
        <f aca="false">IF(Takip!E150="",0,E149+1)</f>
        <v>0</v>
      </c>
      <c r="F150" s="15" t="n">
        <f aca="false">IF(Takip!F150="",0,F149+1)</f>
        <v>0</v>
      </c>
      <c r="G150" s="15" t="n">
        <f aca="false">IF(Takip!G150="",0,G149+1)</f>
        <v>0</v>
      </c>
      <c r="H150" s="15" t="n">
        <f aca="false">IF(Takip!H150="",0,H149+1)</f>
        <v>0</v>
      </c>
      <c r="I150" s="15" t="n">
        <f aca="false">IF(Takip!I150="",0,I149+1)</f>
        <v>0</v>
      </c>
      <c r="J150" s="15" t="n">
        <f aca="false">IF(Takip!J150="",0,J149+1)</f>
        <v>0</v>
      </c>
      <c r="K150" s="15" t="n">
        <f aca="false">IF(Takip!K150="",0,K149+1)</f>
        <v>0</v>
      </c>
      <c r="L150" s="15" t="n">
        <f aca="false">IF(Takip!L150="",0,L149+1)</f>
        <v>0</v>
      </c>
      <c r="M150" s="15" t="n">
        <f aca="false">IF(Takip!M150="",0,M149+1)</f>
        <v>0</v>
      </c>
      <c r="N150" s="15" t="n">
        <f aca="false">IF(Takip!N150="",0,N149+1)</f>
        <v>0</v>
      </c>
      <c r="O150" s="15" t="n">
        <f aca="false">IF(Takip!O150="",0,O149+1)</f>
        <v>0</v>
      </c>
      <c r="P150" s="15" t="n">
        <f aca="false">IF(Takip!P150="",0,P149+1)</f>
        <v>0</v>
      </c>
      <c r="Q150" s="15" t="n">
        <f aca="false">IF(Takip!Q150="",0,Q149+1)</f>
        <v>0</v>
      </c>
    </row>
    <row r="151" customFormat="false" ht="15" hidden="false" customHeight="false" outlineLevel="0" collapsed="false">
      <c r="A151" s="14" t="n">
        <f aca="false">Takip!R151</f>
        <v>46168</v>
      </c>
      <c r="C151" s="15" t="n">
        <f aca="false">IF(Takip!C151="",0,C150+1)</f>
        <v>0</v>
      </c>
      <c r="D151" s="15" t="n">
        <f aca="false">IF(Takip!D151="",0,D150+1)</f>
        <v>0</v>
      </c>
      <c r="E151" s="15" t="n">
        <f aca="false">IF(Takip!E151="",0,E150+1)</f>
        <v>0</v>
      </c>
      <c r="F151" s="15" t="n">
        <f aca="false">IF(Takip!F151="",0,F150+1)</f>
        <v>0</v>
      </c>
      <c r="G151" s="15" t="n">
        <f aca="false">IF(Takip!G151="",0,G150+1)</f>
        <v>0</v>
      </c>
      <c r="H151" s="15" t="n">
        <f aca="false">IF(Takip!H151="",0,H150+1)</f>
        <v>0</v>
      </c>
      <c r="I151" s="15" t="n">
        <f aca="false">IF(Takip!I151="",0,I150+1)</f>
        <v>0</v>
      </c>
      <c r="J151" s="15" t="n">
        <f aca="false">IF(Takip!J151="",0,J150+1)</f>
        <v>0</v>
      </c>
      <c r="K151" s="15" t="n">
        <f aca="false">IF(Takip!K151="",0,K150+1)</f>
        <v>0</v>
      </c>
      <c r="L151" s="15" t="n">
        <f aca="false">IF(Takip!L151="",0,L150+1)</f>
        <v>0</v>
      </c>
      <c r="M151" s="15" t="n">
        <f aca="false">IF(Takip!M151="",0,M150+1)</f>
        <v>0</v>
      </c>
      <c r="N151" s="15" t="n">
        <f aca="false">IF(Takip!N151="",0,N150+1)</f>
        <v>0</v>
      </c>
      <c r="O151" s="15" t="n">
        <f aca="false">IF(Takip!O151="",0,O150+1)</f>
        <v>0</v>
      </c>
      <c r="P151" s="15" t="n">
        <f aca="false">IF(Takip!P151="",0,P150+1)</f>
        <v>0</v>
      </c>
      <c r="Q151" s="15" t="n">
        <f aca="false">IF(Takip!Q151="",0,Q150+1)</f>
        <v>0</v>
      </c>
    </row>
    <row r="152" customFormat="false" ht="15" hidden="false" customHeight="false" outlineLevel="0" collapsed="false">
      <c r="A152" s="14" t="n">
        <f aca="false">Takip!R152</f>
        <v>46169</v>
      </c>
      <c r="C152" s="15" t="n">
        <f aca="false">IF(Takip!C152="",0,C151+1)</f>
        <v>0</v>
      </c>
      <c r="D152" s="15" t="n">
        <f aca="false">IF(Takip!D152="",0,D151+1)</f>
        <v>0</v>
      </c>
      <c r="E152" s="15" t="n">
        <f aca="false">IF(Takip!E152="",0,E151+1)</f>
        <v>0</v>
      </c>
      <c r="F152" s="15" t="n">
        <f aca="false">IF(Takip!F152="",0,F151+1)</f>
        <v>0</v>
      </c>
      <c r="G152" s="15" t="n">
        <f aca="false">IF(Takip!G152="",0,G151+1)</f>
        <v>0</v>
      </c>
      <c r="H152" s="15" t="n">
        <f aca="false">IF(Takip!H152="",0,H151+1)</f>
        <v>0</v>
      </c>
      <c r="I152" s="15" t="n">
        <f aca="false">IF(Takip!I152="",0,I151+1)</f>
        <v>0</v>
      </c>
      <c r="J152" s="15" t="n">
        <f aca="false">IF(Takip!J152="",0,J151+1)</f>
        <v>0</v>
      </c>
      <c r="K152" s="15" t="n">
        <f aca="false">IF(Takip!K152="",0,K151+1)</f>
        <v>0</v>
      </c>
      <c r="L152" s="15" t="n">
        <f aca="false">IF(Takip!L152="",0,L151+1)</f>
        <v>0</v>
      </c>
      <c r="M152" s="15" t="n">
        <f aca="false">IF(Takip!M152="",0,M151+1)</f>
        <v>0</v>
      </c>
      <c r="N152" s="15" t="n">
        <f aca="false">IF(Takip!N152="",0,N151+1)</f>
        <v>0</v>
      </c>
      <c r="O152" s="15" t="n">
        <f aca="false">IF(Takip!O152="",0,O151+1)</f>
        <v>0</v>
      </c>
      <c r="P152" s="15" t="n">
        <f aca="false">IF(Takip!P152="",0,P151+1)</f>
        <v>0</v>
      </c>
      <c r="Q152" s="15" t="n">
        <f aca="false">IF(Takip!Q152="",0,Q151+1)</f>
        <v>0</v>
      </c>
    </row>
    <row r="153" customFormat="false" ht="15" hidden="false" customHeight="false" outlineLevel="0" collapsed="false">
      <c r="A153" s="14" t="n">
        <f aca="false">Takip!R153</f>
        <v>46170</v>
      </c>
      <c r="C153" s="15" t="n">
        <f aca="false">IF(Takip!C153="",0,C152+1)</f>
        <v>0</v>
      </c>
      <c r="D153" s="15" t="n">
        <f aca="false">IF(Takip!D153="",0,D152+1)</f>
        <v>0</v>
      </c>
      <c r="E153" s="15" t="n">
        <f aca="false">IF(Takip!E153="",0,E152+1)</f>
        <v>0</v>
      </c>
      <c r="F153" s="15" t="n">
        <f aca="false">IF(Takip!F153="",0,F152+1)</f>
        <v>0</v>
      </c>
      <c r="G153" s="15" t="n">
        <f aca="false">IF(Takip!G153="",0,G152+1)</f>
        <v>0</v>
      </c>
      <c r="H153" s="15" t="n">
        <f aca="false">IF(Takip!H153="",0,H152+1)</f>
        <v>0</v>
      </c>
      <c r="I153" s="15" t="n">
        <f aca="false">IF(Takip!I153="",0,I152+1)</f>
        <v>0</v>
      </c>
      <c r="J153" s="15" t="n">
        <f aca="false">IF(Takip!J153="",0,J152+1)</f>
        <v>0</v>
      </c>
      <c r="K153" s="15" t="n">
        <f aca="false">IF(Takip!K153="",0,K152+1)</f>
        <v>0</v>
      </c>
      <c r="L153" s="15" t="n">
        <f aca="false">IF(Takip!L153="",0,L152+1)</f>
        <v>0</v>
      </c>
      <c r="M153" s="15" t="n">
        <f aca="false">IF(Takip!M153="",0,M152+1)</f>
        <v>0</v>
      </c>
      <c r="N153" s="15" t="n">
        <f aca="false">IF(Takip!N153="",0,N152+1)</f>
        <v>0</v>
      </c>
      <c r="O153" s="15" t="n">
        <f aca="false">IF(Takip!O153="",0,O152+1)</f>
        <v>0</v>
      </c>
      <c r="P153" s="15" t="n">
        <f aca="false">IF(Takip!P153="",0,P152+1)</f>
        <v>0</v>
      </c>
      <c r="Q153" s="15" t="n">
        <f aca="false">IF(Takip!Q153="",0,Q152+1)</f>
        <v>0</v>
      </c>
    </row>
    <row r="154" customFormat="false" ht="15" hidden="false" customHeight="false" outlineLevel="0" collapsed="false">
      <c r="A154" s="14" t="n">
        <f aca="false">Takip!R154</f>
        <v>46171</v>
      </c>
      <c r="C154" s="15" t="n">
        <f aca="false">IF(Takip!C154="",0,C153+1)</f>
        <v>0</v>
      </c>
      <c r="D154" s="15" t="n">
        <f aca="false">IF(Takip!D154="",0,D153+1)</f>
        <v>0</v>
      </c>
      <c r="E154" s="15" t="n">
        <f aca="false">IF(Takip!E154="",0,E153+1)</f>
        <v>0</v>
      </c>
      <c r="F154" s="15" t="n">
        <f aca="false">IF(Takip!F154="",0,F153+1)</f>
        <v>0</v>
      </c>
      <c r="G154" s="15" t="n">
        <f aca="false">IF(Takip!G154="",0,G153+1)</f>
        <v>0</v>
      </c>
      <c r="H154" s="15" t="n">
        <f aca="false">IF(Takip!H154="",0,H153+1)</f>
        <v>0</v>
      </c>
      <c r="I154" s="15" t="n">
        <f aca="false">IF(Takip!I154="",0,I153+1)</f>
        <v>0</v>
      </c>
      <c r="J154" s="15" t="n">
        <f aca="false">IF(Takip!J154="",0,J153+1)</f>
        <v>0</v>
      </c>
      <c r="K154" s="15" t="n">
        <f aca="false">IF(Takip!K154="",0,K153+1)</f>
        <v>0</v>
      </c>
      <c r="L154" s="15" t="n">
        <f aca="false">IF(Takip!L154="",0,L153+1)</f>
        <v>0</v>
      </c>
      <c r="M154" s="15" t="n">
        <f aca="false">IF(Takip!M154="",0,M153+1)</f>
        <v>0</v>
      </c>
      <c r="N154" s="15" t="n">
        <f aca="false">IF(Takip!N154="",0,N153+1)</f>
        <v>0</v>
      </c>
      <c r="O154" s="15" t="n">
        <f aca="false">IF(Takip!O154="",0,O153+1)</f>
        <v>0</v>
      </c>
      <c r="P154" s="15" t="n">
        <f aca="false">IF(Takip!P154="",0,P153+1)</f>
        <v>0</v>
      </c>
      <c r="Q154" s="15" t="n">
        <f aca="false">IF(Takip!Q154="",0,Q153+1)</f>
        <v>0</v>
      </c>
    </row>
    <row r="155" customFormat="false" ht="15" hidden="false" customHeight="false" outlineLevel="0" collapsed="false">
      <c r="A155" s="14" t="n">
        <f aca="false">Takip!R155</f>
        <v>46172</v>
      </c>
      <c r="C155" s="15" t="n">
        <f aca="false">IF(Takip!C155="",0,C154+1)</f>
        <v>0</v>
      </c>
      <c r="D155" s="15" t="n">
        <f aca="false">IF(Takip!D155="",0,D154+1)</f>
        <v>0</v>
      </c>
      <c r="E155" s="15" t="n">
        <f aca="false">IF(Takip!E155="",0,E154+1)</f>
        <v>0</v>
      </c>
      <c r="F155" s="15" t="n">
        <f aca="false">IF(Takip!F155="",0,F154+1)</f>
        <v>0</v>
      </c>
      <c r="G155" s="15" t="n">
        <f aca="false">IF(Takip!G155="",0,G154+1)</f>
        <v>0</v>
      </c>
      <c r="H155" s="15" t="n">
        <f aca="false">IF(Takip!H155="",0,H154+1)</f>
        <v>0</v>
      </c>
      <c r="I155" s="15" t="n">
        <f aca="false">IF(Takip!I155="",0,I154+1)</f>
        <v>0</v>
      </c>
      <c r="J155" s="15" t="n">
        <f aca="false">IF(Takip!J155="",0,J154+1)</f>
        <v>0</v>
      </c>
      <c r="K155" s="15" t="n">
        <f aca="false">IF(Takip!K155="",0,K154+1)</f>
        <v>0</v>
      </c>
      <c r="L155" s="15" t="n">
        <f aca="false">IF(Takip!L155="",0,L154+1)</f>
        <v>0</v>
      </c>
      <c r="M155" s="15" t="n">
        <f aca="false">IF(Takip!M155="",0,M154+1)</f>
        <v>0</v>
      </c>
      <c r="N155" s="15" t="n">
        <f aca="false">IF(Takip!N155="",0,N154+1)</f>
        <v>0</v>
      </c>
      <c r="O155" s="15" t="n">
        <f aca="false">IF(Takip!O155="",0,O154+1)</f>
        <v>0</v>
      </c>
      <c r="P155" s="15" t="n">
        <f aca="false">IF(Takip!P155="",0,P154+1)</f>
        <v>0</v>
      </c>
      <c r="Q155" s="15" t="n">
        <f aca="false">IF(Takip!Q155="",0,Q154+1)</f>
        <v>0</v>
      </c>
    </row>
    <row r="156" customFormat="false" ht="15" hidden="false" customHeight="false" outlineLevel="0" collapsed="false">
      <c r="A156" s="14" t="n">
        <f aca="false">Takip!R156</f>
        <v>46173</v>
      </c>
      <c r="C156" s="15" t="n">
        <f aca="false">IF(Takip!C156="",0,C155+1)</f>
        <v>0</v>
      </c>
      <c r="D156" s="15" t="n">
        <f aca="false">IF(Takip!D156="",0,D155+1)</f>
        <v>0</v>
      </c>
      <c r="E156" s="15" t="n">
        <f aca="false">IF(Takip!E156="",0,E155+1)</f>
        <v>0</v>
      </c>
      <c r="F156" s="15" t="n">
        <f aca="false">IF(Takip!F156="",0,F155+1)</f>
        <v>0</v>
      </c>
      <c r="G156" s="15" t="n">
        <f aca="false">IF(Takip!G156="",0,G155+1)</f>
        <v>0</v>
      </c>
      <c r="H156" s="15" t="n">
        <f aca="false">IF(Takip!H156="",0,H155+1)</f>
        <v>0</v>
      </c>
      <c r="I156" s="15" t="n">
        <f aca="false">IF(Takip!I156="",0,I155+1)</f>
        <v>0</v>
      </c>
      <c r="J156" s="15" t="n">
        <f aca="false">IF(Takip!J156="",0,J155+1)</f>
        <v>0</v>
      </c>
      <c r="K156" s="15" t="n">
        <f aca="false">IF(Takip!K156="",0,K155+1)</f>
        <v>0</v>
      </c>
      <c r="L156" s="15" t="n">
        <f aca="false">IF(Takip!L156="",0,L155+1)</f>
        <v>0</v>
      </c>
      <c r="M156" s="15" t="n">
        <f aca="false">IF(Takip!M156="",0,M155+1)</f>
        <v>0</v>
      </c>
      <c r="N156" s="15" t="n">
        <f aca="false">IF(Takip!N156="",0,N155+1)</f>
        <v>0</v>
      </c>
      <c r="O156" s="15" t="n">
        <f aca="false">IF(Takip!O156="",0,O155+1)</f>
        <v>0</v>
      </c>
      <c r="P156" s="15" t="n">
        <f aca="false">IF(Takip!P156="",0,P155+1)</f>
        <v>0</v>
      </c>
      <c r="Q156" s="15" t="n">
        <f aca="false">IF(Takip!Q156="",0,Q155+1)</f>
        <v>0</v>
      </c>
    </row>
    <row r="157" customFormat="false" ht="15" hidden="false" customHeight="false" outlineLevel="0" collapsed="false">
      <c r="A157" s="14" t="n">
        <f aca="false">Takip!R157</f>
        <v>46174</v>
      </c>
      <c r="C157" s="15" t="n">
        <f aca="false">IF(Takip!C157="",0,C156+1)</f>
        <v>0</v>
      </c>
      <c r="D157" s="15" t="n">
        <f aca="false">IF(Takip!D157="",0,D156+1)</f>
        <v>0</v>
      </c>
      <c r="E157" s="15" t="n">
        <f aca="false">IF(Takip!E157="",0,E156+1)</f>
        <v>0</v>
      </c>
      <c r="F157" s="15" t="n">
        <f aca="false">IF(Takip!F157="",0,F156+1)</f>
        <v>0</v>
      </c>
      <c r="G157" s="15" t="n">
        <f aca="false">IF(Takip!G157="",0,G156+1)</f>
        <v>0</v>
      </c>
      <c r="H157" s="15" t="n">
        <f aca="false">IF(Takip!H157="",0,H156+1)</f>
        <v>0</v>
      </c>
      <c r="I157" s="15" t="n">
        <f aca="false">IF(Takip!I157="",0,I156+1)</f>
        <v>0</v>
      </c>
      <c r="J157" s="15" t="n">
        <f aca="false">IF(Takip!J157="",0,J156+1)</f>
        <v>0</v>
      </c>
      <c r="K157" s="15" t="n">
        <f aca="false">IF(Takip!K157="",0,K156+1)</f>
        <v>0</v>
      </c>
      <c r="L157" s="15" t="n">
        <f aca="false">IF(Takip!L157="",0,L156+1)</f>
        <v>0</v>
      </c>
      <c r="M157" s="15" t="n">
        <f aca="false">IF(Takip!M157="",0,M156+1)</f>
        <v>0</v>
      </c>
      <c r="N157" s="15" t="n">
        <f aca="false">IF(Takip!N157="",0,N156+1)</f>
        <v>0</v>
      </c>
      <c r="O157" s="15" t="n">
        <f aca="false">IF(Takip!O157="",0,O156+1)</f>
        <v>0</v>
      </c>
      <c r="P157" s="15" t="n">
        <f aca="false">IF(Takip!P157="",0,P156+1)</f>
        <v>0</v>
      </c>
      <c r="Q157" s="15" t="n">
        <f aca="false">IF(Takip!Q157="",0,Q156+1)</f>
        <v>0</v>
      </c>
    </row>
    <row r="158" customFormat="false" ht="15" hidden="false" customHeight="false" outlineLevel="0" collapsed="false">
      <c r="A158" s="14" t="n">
        <f aca="false">Takip!R158</f>
        <v>46175</v>
      </c>
      <c r="C158" s="15" t="n">
        <f aca="false">IF(Takip!C158="",0,C157+1)</f>
        <v>0</v>
      </c>
      <c r="D158" s="15" t="n">
        <f aca="false">IF(Takip!D158="",0,D157+1)</f>
        <v>0</v>
      </c>
      <c r="E158" s="15" t="n">
        <f aca="false">IF(Takip!E158="",0,E157+1)</f>
        <v>0</v>
      </c>
      <c r="F158" s="15" t="n">
        <f aca="false">IF(Takip!F158="",0,F157+1)</f>
        <v>0</v>
      </c>
      <c r="G158" s="15" t="n">
        <f aca="false">IF(Takip!G158="",0,G157+1)</f>
        <v>0</v>
      </c>
      <c r="H158" s="15" t="n">
        <f aca="false">IF(Takip!H158="",0,H157+1)</f>
        <v>0</v>
      </c>
      <c r="I158" s="15" t="n">
        <f aca="false">IF(Takip!I158="",0,I157+1)</f>
        <v>0</v>
      </c>
      <c r="J158" s="15" t="n">
        <f aca="false">IF(Takip!J158="",0,J157+1)</f>
        <v>0</v>
      </c>
      <c r="K158" s="15" t="n">
        <f aca="false">IF(Takip!K158="",0,K157+1)</f>
        <v>0</v>
      </c>
      <c r="L158" s="15" t="n">
        <f aca="false">IF(Takip!L158="",0,L157+1)</f>
        <v>0</v>
      </c>
      <c r="M158" s="15" t="n">
        <f aca="false">IF(Takip!M158="",0,M157+1)</f>
        <v>0</v>
      </c>
      <c r="N158" s="15" t="n">
        <f aca="false">IF(Takip!N158="",0,N157+1)</f>
        <v>0</v>
      </c>
      <c r="O158" s="15" t="n">
        <f aca="false">IF(Takip!O158="",0,O157+1)</f>
        <v>0</v>
      </c>
      <c r="P158" s="15" t="n">
        <f aca="false">IF(Takip!P158="",0,P157+1)</f>
        <v>0</v>
      </c>
      <c r="Q158" s="15" t="n">
        <f aca="false">IF(Takip!Q158="",0,Q157+1)</f>
        <v>0</v>
      </c>
    </row>
    <row r="159" customFormat="false" ht="15" hidden="false" customHeight="false" outlineLevel="0" collapsed="false">
      <c r="A159" s="14" t="n">
        <f aca="false">Takip!R159</f>
        <v>46176</v>
      </c>
      <c r="C159" s="15" t="n">
        <f aca="false">IF(Takip!C159="",0,C158+1)</f>
        <v>0</v>
      </c>
      <c r="D159" s="15" t="n">
        <f aca="false">IF(Takip!D159="",0,D158+1)</f>
        <v>0</v>
      </c>
      <c r="E159" s="15" t="n">
        <f aca="false">IF(Takip!E159="",0,E158+1)</f>
        <v>0</v>
      </c>
      <c r="F159" s="15" t="n">
        <f aca="false">IF(Takip!F159="",0,F158+1)</f>
        <v>0</v>
      </c>
      <c r="G159" s="15" t="n">
        <f aca="false">IF(Takip!G159="",0,G158+1)</f>
        <v>0</v>
      </c>
      <c r="H159" s="15" t="n">
        <f aca="false">IF(Takip!H159="",0,H158+1)</f>
        <v>0</v>
      </c>
      <c r="I159" s="15" t="n">
        <f aca="false">IF(Takip!I159="",0,I158+1)</f>
        <v>0</v>
      </c>
      <c r="J159" s="15" t="n">
        <f aca="false">IF(Takip!J159="",0,J158+1)</f>
        <v>0</v>
      </c>
      <c r="K159" s="15" t="n">
        <f aca="false">IF(Takip!K159="",0,K158+1)</f>
        <v>0</v>
      </c>
      <c r="L159" s="15" t="n">
        <f aca="false">IF(Takip!L159="",0,L158+1)</f>
        <v>0</v>
      </c>
      <c r="M159" s="15" t="n">
        <f aca="false">IF(Takip!M159="",0,M158+1)</f>
        <v>0</v>
      </c>
      <c r="N159" s="15" t="n">
        <f aca="false">IF(Takip!N159="",0,N158+1)</f>
        <v>0</v>
      </c>
      <c r="O159" s="15" t="n">
        <f aca="false">IF(Takip!O159="",0,O158+1)</f>
        <v>0</v>
      </c>
      <c r="P159" s="15" t="n">
        <f aca="false">IF(Takip!P159="",0,P158+1)</f>
        <v>0</v>
      </c>
      <c r="Q159" s="15" t="n">
        <f aca="false">IF(Takip!Q159="",0,Q158+1)</f>
        <v>0</v>
      </c>
    </row>
    <row r="160" customFormat="false" ht="15" hidden="false" customHeight="false" outlineLevel="0" collapsed="false">
      <c r="A160" s="14" t="n">
        <f aca="false">Takip!R160</f>
        <v>46177</v>
      </c>
      <c r="C160" s="15" t="n">
        <f aca="false">IF(Takip!C160="",0,C159+1)</f>
        <v>0</v>
      </c>
      <c r="D160" s="15" t="n">
        <f aca="false">IF(Takip!D160="",0,D159+1)</f>
        <v>0</v>
      </c>
      <c r="E160" s="15" t="n">
        <f aca="false">IF(Takip!E160="",0,E159+1)</f>
        <v>0</v>
      </c>
      <c r="F160" s="15" t="n">
        <f aca="false">IF(Takip!F160="",0,F159+1)</f>
        <v>0</v>
      </c>
      <c r="G160" s="15" t="n">
        <f aca="false">IF(Takip!G160="",0,G159+1)</f>
        <v>0</v>
      </c>
      <c r="H160" s="15" t="n">
        <f aca="false">IF(Takip!H160="",0,H159+1)</f>
        <v>0</v>
      </c>
      <c r="I160" s="15" t="n">
        <f aca="false">IF(Takip!I160="",0,I159+1)</f>
        <v>0</v>
      </c>
      <c r="J160" s="15" t="n">
        <f aca="false">IF(Takip!J160="",0,J159+1)</f>
        <v>0</v>
      </c>
      <c r="K160" s="15" t="n">
        <f aca="false">IF(Takip!K160="",0,K159+1)</f>
        <v>0</v>
      </c>
      <c r="L160" s="15" t="n">
        <f aca="false">IF(Takip!L160="",0,L159+1)</f>
        <v>0</v>
      </c>
      <c r="M160" s="15" t="n">
        <f aca="false">IF(Takip!M160="",0,M159+1)</f>
        <v>0</v>
      </c>
      <c r="N160" s="15" t="n">
        <f aca="false">IF(Takip!N160="",0,N159+1)</f>
        <v>0</v>
      </c>
      <c r="O160" s="15" t="n">
        <f aca="false">IF(Takip!O160="",0,O159+1)</f>
        <v>0</v>
      </c>
      <c r="P160" s="15" t="n">
        <f aca="false">IF(Takip!P160="",0,P159+1)</f>
        <v>0</v>
      </c>
      <c r="Q160" s="15" t="n">
        <f aca="false">IF(Takip!Q160="",0,Q159+1)</f>
        <v>0</v>
      </c>
    </row>
    <row r="161" customFormat="false" ht="15" hidden="false" customHeight="false" outlineLevel="0" collapsed="false">
      <c r="A161" s="14" t="n">
        <f aca="false">Takip!R161</f>
        <v>46178</v>
      </c>
      <c r="C161" s="15" t="n">
        <f aca="false">IF(Takip!C161="",0,C160+1)</f>
        <v>0</v>
      </c>
      <c r="D161" s="15" t="n">
        <f aca="false">IF(Takip!D161="",0,D160+1)</f>
        <v>0</v>
      </c>
      <c r="E161" s="15" t="n">
        <f aca="false">IF(Takip!E161="",0,E160+1)</f>
        <v>0</v>
      </c>
      <c r="F161" s="15" t="n">
        <f aca="false">IF(Takip!F161="",0,F160+1)</f>
        <v>0</v>
      </c>
      <c r="G161" s="15" t="n">
        <f aca="false">IF(Takip!G161="",0,G160+1)</f>
        <v>0</v>
      </c>
      <c r="H161" s="15" t="n">
        <f aca="false">IF(Takip!H161="",0,H160+1)</f>
        <v>0</v>
      </c>
      <c r="I161" s="15" t="n">
        <f aca="false">IF(Takip!I161="",0,I160+1)</f>
        <v>0</v>
      </c>
      <c r="J161" s="15" t="n">
        <f aca="false">IF(Takip!J161="",0,J160+1)</f>
        <v>0</v>
      </c>
      <c r="K161" s="15" t="n">
        <f aca="false">IF(Takip!K161="",0,K160+1)</f>
        <v>0</v>
      </c>
      <c r="L161" s="15" t="n">
        <f aca="false">IF(Takip!L161="",0,L160+1)</f>
        <v>0</v>
      </c>
      <c r="M161" s="15" t="n">
        <f aca="false">IF(Takip!M161="",0,M160+1)</f>
        <v>0</v>
      </c>
      <c r="N161" s="15" t="n">
        <f aca="false">IF(Takip!N161="",0,N160+1)</f>
        <v>0</v>
      </c>
      <c r="O161" s="15" t="n">
        <f aca="false">IF(Takip!O161="",0,O160+1)</f>
        <v>0</v>
      </c>
      <c r="P161" s="15" t="n">
        <f aca="false">IF(Takip!P161="",0,P160+1)</f>
        <v>0</v>
      </c>
      <c r="Q161" s="15" t="n">
        <f aca="false">IF(Takip!Q161="",0,Q160+1)</f>
        <v>0</v>
      </c>
    </row>
    <row r="162" customFormat="false" ht="15" hidden="false" customHeight="false" outlineLevel="0" collapsed="false">
      <c r="A162" s="14" t="n">
        <f aca="false">Takip!R162</f>
        <v>46179</v>
      </c>
      <c r="C162" s="15" t="n">
        <f aca="false">IF(Takip!C162="",0,C161+1)</f>
        <v>0</v>
      </c>
      <c r="D162" s="15" t="n">
        <f aca="false">IF(Takip!D162="",0,D161+1)</f>
        <v>0</v>
      </c>
      <c r="E162" s="15" t="n">
        <f aca="false">IF(Takip!E162="",0,E161+1)</f>
        <v>0</v>
      </c>
      <c r="F162" s="15" t="n">
        <f aca="false">IF(Takip!F162="",0,F161+1)</f>
        <v>0</v>
      </c>
      <c r="G162" s="15" t="n">
        <f aca="false">IF(Takip!G162="",0,G161+1)</f>
        <v>0</v>
      </c>
      <c r="H162" s="15" t="n">
        <f aca="false">IF(Takip!H162="",0,H161+1)</f>
        <v>0</v>
      </c>
      <c r="I162" s="15" t="n">
        <f aca="false">IF(Takip!I162="",0,I161+1)</f>
        <v>0</v>
      </c>
      <c r="J162" s="15" t="n">
        <f aca="false">IF(Takip!J162="",0,J161+1)</f>
        <v>0</v>
      </c>
      <c r="K162" s="15" t="n">
        <f aca="false">IF(Takip!K162="",0,K161+1)</f>
        <v>0</v>
      </c>
      <c r="L162" s="15" t="n">
        <f aca="false">IF(Takip!L162="",0,L161+1)</f>
        <v>0</v>
      </c>
      <c r="M162" s="15" t="n">
        <f aca="false">IF(Takip!M162="",0,M161+1)</f>
        <v>0</v>
      </c>
      <c r="N162" s="15" t="n">
        <f aca="false">IF(Takip!N162="",0,N161+1)</f>
        <v>0</v>
      </c>
      <c r="O162" s="15" t="n">
        <f aca="false">IF(Takip!O162="",0,O161+1)</f>
        <v>0</v>
      </c>
      <c r="P162" s="15" t="n">
        <f aca="false">IF(Takip!P162="",0,P161+1)</f>
        <v>0</v>
      </c>
      <c r="Q162" s="15" t="n">
        <f aca="false">IF(Takip!Q162="",0,Q161+1)</f>
        <v>0</v>
      </c>
    </row>
    <row r="163" customFormat="false" ht="15" hidden="false" customHeight="false" outlineLevel="0" collapsed="false">
      <c r="A163" s="14" t="n">
        <f aca="false">Takip!R163</f>
        <v>46180</v>
      </c>
      <c r="C163" s="15" t="n">
        <f aca="false">IF(Takip!C163="",0,C162+1)</f>
        <v>0</v>
      </c>
      <c r="D163" s="15" t="n">
        <f aca="false">IF(Takip!D163="",0,D162+1)</f>
        <v>0</v>
      </c>
      <c r="E163" s="15" t="n">
        <f aca="false">IF(Takip!E163="",0,E162+1)</f>
        <v>0</v>
      </c>
      <c r="F163" s="15" t="n">
        <f aca="false">IF(Takip!F163="",0,F162+1)</f>
        <v>0</v>
      </c>
      <c r="G163" s="15" t="n">
        <f aca="false">IF(Takip!G163="",0,G162+1)</f>
        <v>0</v>
      </c>
      <c r="H163" s="15" t="n">
        <f aca="false">IF(Takip!H163="",0,H162+1)</f>
        <v>0</v>
      </c>
      <c r="I163" s="15" t="n">
        <f aca="false">IF(Takip!I163="",0,I162+1)</f>
        <v>0</v>
      </c>
      <c r="J163" s="15" t="n">
        <f aca="false">IF(Takip!J163="",0,J162+1)</f>
        <v>0</v>
      </c>
      <c r="K163" s="15" t="n">
        <f aca="false">IF(Takip!K163="",0,K162+1)</f>
        <v>0</v>
      </c>
      <c r="L163" s="15" t="n">
        <f aca="false">IF(Takip!L163="",0,L162+1)</f>
        <v>0</v>
      </c>
      <c r="M163" s="15" t="n">
        <f aca="false">IF(Takip!M163="",0,M162+1)</f>
        <v>0</v>
      </c>
      <c r="N163" s="15" t="n">
        <f aca="false">IF(Takip!N163="",0,N162+1)</f>
        <v>0</v>
      </c>
      <c r="O163" s="15" t="n">
        <f aca="false">IF(Takip!O163="",0,O162+1)</f>
        <v>0</v>
      </c>
      <c r="P163" s="15" t="n">
        <f aca="false">IF(Takip!P163="",0,P162+1)</f>
        <v>0</v>
      </c>
      <c r="Q163" s="15" t="n">
        <f aca="false">IF(Takip!Q163="",0,Q162+1)</f>
        <v>0</v>
      </c>
    </row>
    <row r="164" customFormat="false" ht="15" hidden="false" customHeight="false" outlineLevel="0" collapsed="false">
      <c r="A164" s="14" t="n">
        <f aca="false">Takip!R164</f>
        <v>46181</v>
      </c>
      <c r="C164" s="15" t="n">
        <f aca="false">IF(Takip!C164="",0,C163+1)</f>
        <v>0</v>
      </c>
      <c r="D164" s="15" t="n">
        <f aca="false">IF(Takip!D164="",0,D163+1)</f>
        <v>0</v>
      </c>
      <c r="E164" s="15" t="n">
        <f aca="false">IF(Takip!E164="",0,E163+1)</f>
        <v>0</v>
      </c>
      <c r="F164" s="15" t="n">
        <f aca="false">IF(Takip!F164="",0,F163+1)</f>
        <v>0</v>
      </c>
      <c r="G164" s="15" t="n">
        <f aca="false">IF(Takip!G164="",0,G163+1)</f>
        <v>0</v>
      </c>
      <c r="H164" s="15" t="n">
        <f aca="false">IF(Takip!H164="",0,H163+1)</f>
        <v>0</v>
      </c>
      <c r="I164" s="15" t="n">
        <f aca="false">IF(Takip!I164="",0,I163+1)</f>
        <v>0</v>
      </c>
      <c r="J164" s="15" t="n">
        <f aca="false">IF(Takip!J164="",0,J163+1)</f>
        <v>0</v>
      </c>
      <c r="K164" s="15" t="n">
        <f aca="false">IF(Takip!K164="",0,K163+1)</f>
        <v>0</v>
      </c>
      <c r="L164" s="15" t="n">
        <f aca="false">IF(Takip!L164="",0,L163+1)</f>
        <v>0</v>
      </c>
      <c r="M164" s="15" t="n">
        <f aca="false">IF(Takip!M164="",0,M163+1)</f>
        <v>0</v>
      </c>
      <c r="N164" s="15" t="n">
        <f aca="false">IF(Takip!N164="",0,N163+1)</f>
        <v>0</v>
      </c>
      <c r="O164" s="15" t="n">
        <f aca="false">IF(Takip!O164="",0,O163+1)</f>
        <v>0</v>
      </c>
      <c r="P164" s="15" t="n">
        <f aca="false">IF(Takip!P164="",0,P163+1)</f>
        <v>0</v>
      </c>
      <c r="Q164" s="15" t="n">
        <f aca="false">IF(Takip!Q164="",0,Q163+1)</f>
        <v>0</v>
      </c>
    </row>
    <row r="165" customFormat="false" ht="15" hidden="false" customHeight="false" outlineLevel="0" collapsed="false">
      <c r="A165" s="14" t="n">
        <f aca="false">Takip!R165</f>
        <v>46182</v>
      </c>
      <c r="C165" s="15" t="n">
        <f aca="false">IF(Takip!C165="",0,C164+1)</f>
        <v>0</v>
      </c>
      <c r="D165" s="15" t="n">
        <f aca="false">IF(Takip!D165="",0,D164+1)</f>
        <v>0</v>
      </c>
      <c r="E165" s="15" t="n">
        <f aca="false">IF(Takip!E165="",0,E164+1)</f>
        <v>0</v>
      </c>
      <c r="F165" s="15" t="n">
        <f aca="false">IF(Takip!F165="",0,F164+1)</f>
        <v>0</v>
      </c>
      <c r="G165" s="15" t="n">
        <f aca="false">IF(Takip!G165="",0,G164+1)</f>
        <v>0</v>
      </c>
      <c r="H165" s="15" t="n">
        <f aca="false">IF(Takip!H165="",0,H164+1)</f>
        <v>0</v>
      </c>
      <c r="I165" s="15" t="n">
        <f aca="false">IF(Takip!I165="",0,I164+1)</f>
        <v>0</v>
      </c>
      <c r="J165" s="15" t="n">
        <f aca="false">IF(Takip!J165="",0,J164+1)</f>
        <v>0</v>
      </c>
      <c r="K165" s="15" t="n">
        <f aca="false">IF(Takip!K165="",0,K164+1)</f>
        <v>0</v>
      </c>
      <c r="L165" s="15" t="n">
        <f aca="false">IF(Takip!L165="",0,L164+1)</f>
        <v>0</v>
      </c>
      <c r="M165" s="15" t="n">
        <f aca="false">IF(Takip!M165="",0,M164+1)</f>
        <v>0</v>
      </c>
      <c r="N165" s="15" t="n">
        <f aca="false">IF(Takip!N165="",0,N164+1)</f>
        <v>0</v>
      </c>
      <c r="O165" s="15" t="n">
        <f aca="false">IF(Takip!O165="",0,O164+1)</f>
        <v>0</v>
      </c>
      <c r="P165" s="15" t="n">
        <f aca="false">IF(Takip!P165="",0,P164+1)</f>
        <v>0</v>
      </c>
      <c r="Q165" s="15" t="n">
        <f aca="false">IF(Takip!Q165="",0,Q164+1)</f>
        <v>0</v>
      </c>
    </row>
    <row r="166" customFormat="false" ht="15" hidden="false" customHeight="false" outlineLevel="0" collapsed="false">
      <c r="A166" s="14" t="n">
        <f aca="false">Takip!R166</f>
        <v>46183</v>
      </c>
      <c r="C166" s="15" t="n">
        <f aca="false">IF(Takip!C166="",0,C165+1)</f>
        <v>0</v>
      </c>
      <c r="D166" s="15" t="n">
        <f aca="false">IF(Takip!D166="",0,D165+1)</f>
        <v>0</v>
      </c>
      <c r="E166" s="15" t="n">
        <f aca="false">IF(Takip!E166="",0,E165+1)</f>
        <v>0</v>
      </c>
      <c r="F166" s="15" t="n">
        <f aca="false">IF(Takip!F166="",0,F165+1)</f>
        <v>0</v>
      </c>
      <c r="G166" s="15" t="n">
        <f aca="false">IF(Takip!G166="",0,G165+1)</f>
        <v>0</v>
      </c>
      <c r="H166" s="15" t="n">
        <f aca="false">IF(Takip!H166="",0,H165+1)</f>
        <v>0</v>
      </c>
      <c r="I166" s="15" t="n">
        <f aca="false">IF(Takip!I166="",0,I165+1)</f>
        <v>0</v>
      </c>
      <c r="J166" s="15" t="n">
        <f aca="false">IF(Takip!J166="",0,J165+1)</f>
        <v>0</v>
      </c>
      <c r="K166" s="15" t="n">
        <f aca="false">IF(Takip!K166="",0,K165+1)</f>
        <v>0</v>
      </c>
      <c r="L166" s="15" t="n">
        <f aca="false">IF(Takip!L166="",0,L165+1)</f>
        <v>0</v>
      </c>
      <c r="M166" s="15" t="n">
        <f aca="false">IF(Takip!M166="",0,M165+1)</f>
        <v>0</v>
      </c>
      <c r="N166" s="15" t="n">
        <f aca="false">IF(Takip!N166="",0,N165+1)</f>
        <v>0</v>
      </c>
      <c r="O166" s="15" t="n">
        <f aca="false">IF(Takip!O166="",0,O165+1)</f>
        <v>0</v>
      </c>
      <c r="P166" s="15" t="n">
        <f aca="false">IF(Takip!P166="",0,P165+1)</f>
        <v>0</v>
      </c>
      <c r="Q166" s="15" t="n">
        <f aca="false">IF(Takip!Q166="",0,Q165+1)</f>
        <v>0</v>
      </c>
    </row>
    <row r="167" customFormat="false" ht="15" hidden="false" customHeight="false" outlineLevel="0" collapsed="false">
      <c r="A167" s="14" t="n">
        <f aca="false">Takip!R167</f>
        <v>46184</v>
      </c>
      <c r="C167" s="15" t="n">
        <f aca="false">IF(Takip!C167="",0,C166+1)</f>
        <v>0</v>
      </c>
      <c r="D167" s="15" t="n">
        <f aca="false">IF(Takip!D167="",0,D166+1)</f>
        <v>0</v>
      </c>
      <c r="E167" s="15" t="n">
        <f aca="false">IF(Takip!E167="",0,E166+1)</f>
        <v>0</v>
      </c>
      <c r="F167" s="15" t="n">
        <f aca="false">IF(Takip!F167="",0,F166+1)</f>
        <v>0</v>
      </c>
      <c r="G167" s="15" t="n">
        <f aca="false">IF(Takip!G167="",0,G166+1)</f>
        <v>0</v>
      </c>
      <c r="H167" s="15" t="n">
        <f aca="false">IF(Takip!H167="",0,H166+1)</f>
        <v>0</v>
      </c>
      <c r="I167" s="15" t="n">
        <f aca="false">IF(Takip!I167="",0,I166+1)</f>
        <v>0</v>
      </c>
      <c r="J167" s="15" t="n">
        <f aca="false">IF(Takip!J167="",0,J166+1)</f>
        <v>0</v>
      </c>
      <c r="K167" s="15" t="n">
        <f aca="false">IF(Takip!K167="",0,K166+1)</f>
        <v>0</v>
      </c>
      <c r="L167" s="15" t="n">
        <f aca="false">IF(Takip!L167="",0,L166+1)</f>
        <v>0</v>
      </c>
      <c r="M167" s="15" t="n">
        <f aca="false">IF(Takip!M167="",0,M166+1)</f>
        <v>0</v>
      </c>
      <c r="N167" s="15" t="n">
        <f aca="false">IF(Takip!N167="",0,N166+1)</f>
        <v>0</v>
      </c>
      <c r="O167" s="15" t="n">
        <f aca="false">IF(Takip!O167="",0,O166+1)</f>
        <v>0</v>
      </c>
      <c r="P167" s="15" t="n">
        <f aca="false">IF(Takip!P167="",0,P166+1)</f>
        <v>0</v>
      </c>
      <c r="Q167" s="15" t="n">
        <f aca="false">IF(Takip!Q167="",0,Q166+1)</f>
        <v>0</v>
      </c>
    </row>
    <row r="168" customFormat="false" ht="15" hidden="false" customHeight="false" outlineLevel="0" collapsed="false">
      <c r="A168" s="14" t="n">
        <f aca="false">Takip!R168</f>
        <v>46185</v>
      </c>
      <c r="C168" s="15" t="n">
        <f aca="false">IF(Takip!C168="",0,C167+1)</f>
        <v>0</v>
      </c>
      <c r="D168" s="15" t="n">
        <f aca="false">IF(Takip!D168="",0,D167+1)</f>
        <v>0</v>
      </c>
      <c r="E168" s="15" t="n">
        <f aca="false">IF(Takip!E168="",0,E167+1)</f>
        <v>0</v>
      </c>
      <c r="F168" s="15" t="n">
        <f aca="false">IF(Takip!F168="",0,F167+1)</f>
        <v>0</v>
      </c>
      <c r="G168" s="15" t="n">
        <f aca="false">IF(Takip!G168="",0,G167+1)</f>
        <v>0</v>
      </c>
      <c r="H168" s="15" t="n">
        <f aca="false">IF(Takip!H168="",0,H167+1)</f>
        <v>0</v>
      </c>
      <c r="I168" s="15" t="n">
        <f aca="false">IF(Takip!I168="",0,I167+1)</f>
        <v>0</v>
      </c>
      <c r="J168" s="15" t="n">
        <f aca="false">IF(Takip!J168="",0,J167+1)</f>
        <v>0</v>
      </c>
      <c r="K168" s="15" t="n">
        <f aca="false">IF(Takip!K168="",0,K167+1)</f>
        <v>0</v>
      </c>
      <c r="L168" s="15" t="n">
        <f aca="false">IF(Takip!L168="",0,L167+1)</f>
        <v>0</v>
      </c>
      <c r="M168" s="15" t="n">
        <f aca="false">IF(Takip!M168="",0,M167+1)</f>
        <v>0</v>
      </c>
      <c r="N168" s="15" t="n">
        <f aca="false">IF(Takip!N168="",0,N167+1)</f>
        <v>0</v>
      </c>
      <c r="O168" s="15" t="n">
        <f aca="false">IF(Takip!O168="",0,O167+1)</f>
        <v>0</v>
      </c>
      <c r="P168" s="15" t="n">
        <f aca="false">IF(Takip!P168="",0,P167+1)</f>
        <v>0</v>
      </c>
      <c r="Q168" s="15" t="n">
        <f aca="false">IF(Takip!Q168="",0,Q167+1)</f>
        <v>0</v>
      </c>
    </row>
    <row r="169" customFormat="false" ht="15" hidden="false" customHeight="false" outlineLevel="0" collapsed="false">
      <c r="A169" s="14" t="n">
        <f aca="false">Takip!R169</f>
        <v>46186</v>
      </c>
      <c r="C169" s="15" t="n">
        <f aca="false">IF(Takip!C169="",0,C168+1)</f>
        <v>0</v>
      </c>
      <c r="D169" s="15" t="n">
        <f aca="false">IF(Takip!D169="",0,D168+1)</f>
        <v>0</v>
      </c>
      <c r="E169" s="15" t="n">
        <f aca="false">IF(Takip!E169="",0,E168+1)</f>
        <v>0</v>
      </c>
      <c r="F169" s="15" t="n">
        <f aca="false">IF(Takip!F169="",0,F168+1)</f>
        <v>0</v>
      </c>
      <c r="G169" s="15" t="n">
        <f aca="false">IF(Takip!G169="",0,G168+1)</f>
        <v>0</v>
      </c>
      <c r="H169" s="15" t="n">
        <f aca="false">IF(Takip!H169="",0,H168+1)</f>
        <v>0</v>
      </c>
      <c r="I169" s="15" t="n">
        <f aca="false">IF(Takip!I169="",0,I168+1)</f>
        <v>0</v>
      </c>
      <c r="J169" s="15" t="n">
        <f aca="false">IF(Takip!J169="",0,J168+1)</f>
        <v>0</v>
      </c>
      <c r="K169" s="15" t="n">
        <f aca="false">IF(Takip!K169="",0,K168+1)</f>
        <v>0</v>
      </c>
      <c r="L169" s="15" t="n">
        <f aca="false">IF(Takip!L169="",0,L168+1)</f>
        <v>0</v>
      </c>
      <c r="M169" s="15" t="n">
        <f aca="false">IF(Takip!M169="",0,M168+1)</f>
        <v>0</v>
      </c>
      <c r="N169" s="15" t="n">
        <f aca="false">IF(Takip!N169="",0,N168+1)</f>
        <v>0</v>
      </c>
      <c r="O169" s="15" t="n">
        <f aca="false">IF(Takip!O169="",0,O168+1)</f>
        <v>0</v>
      </c>
      <c r="P169" s="15" t="n">
        <f aca="false">IF(Takip!P169="",0,P168+1)</f>
        <v>0</v>
      </c>
      <c r="Q169" s="15" t="n">
        <f aca="false">IF(Takip!Q169="",0,Q168+1)</f>
        <v>0</v>
      </c>
    </row>
    <row r="170" customFormat="false" ht="15" hidden="false" customHeight="false" outlineLevel="0" collapsed="false">
      <c r="A170" s="14" t="n">
        <f aca="false">Takip!R170</f>
        <v>46187</v>
      </c>
      <c r="C170" s="15" t="n">
        <f aca="false">IF(Takip!C170="",0,C169+1)</f>
        <v>0</v>
      </c>
      <c r="D170" s="15" t="n">
        <f aca="false">IF(Takip!D170="",0,D169+1)</f>
        <v>0</v>
      </c>
      <c r="E170" s="15" t="n">
        <f aca="false">IF(Takip!E170="",0,E169+1)</f>
        <v>0</v>
      </c>
      <c r="F170" s="15" t="n">
        <f aca="false">IF(Takip!F170="",0,F169+1)</f>
        <v>0</v>
      </c>
      <c r="G170" s="15" t="n">
        <f aca="false">IF(Takip!G170="",0,G169+1)</f>
        <v>0</v>
      </c>
      <c r="H170" s="15" t="n">
        <f aca="false">IF(Takip!H170="",0,H169+1)</f>
        <v>0</v>
      </c>
      <c r="I170" s="15" t="n">
        <f aca="false">IF(Takip!I170="",0,I169+1)</f>
        <v>0</v>
      </c>
      <c r="J170" s="15" t="n">
        <f aca="false">IF(Takip!J170="",0,J169+1)</f>
        <v>0</v>
      </c>
      <c r="K170" s="15" t="n">
        <f aca="false">IF(Takip!K170="",0,K169+1)</f>
        <v>0</v>
      </c>
      <c r="L170" s="15" t="n">
        <f aca="false">IF(Takip!L170="",0,L169+1)</f>
        <v>0</v>
      </c>
      <c r="M170" s="15" t="n">
        <f aca="false">IF(Takip!M170="",0,M169+1)</f>
        <v>0</v>
      </c>
      <c r="N170" s="15" t="n">
        <f aca="false">IF(Takip!N170="",0,N169+1)</f>
        <v>0</v>
      </c>
      <c r="O170" s="15" t="n">
        <f aca="false">IF(Takip!O170="",0,O169+1)</f>
        <v>0</v>
      </c>
      <c r="P170" s="15" t="n">
        <f aca="false">IF(Takip!P170="",0,P169+1)</f>
        <v>0</v>
      </c>
      <c r="Q170" s="15" t="n">
        <f aca="false">IF(Takip!Q170="",0,Q169+1)</f>
        <v>0</v>
      </c>
    </row>
    <row r="171" customFormat="false" ht="15" hidden="false" customHeight="false" outlineLevel="0" collapsed="false">
      <c r="A171" s="14" t="n">
        <f aca="false">Takip!R171</f>
        <v>46188</v>
      </c>
      <c r="C171" s="15" t="n">
        <f aca="false">IF(Takip!C171="",0,C170+1)</f>
        <v>0</v>
      </c>
      <c r="D171" s="15" t="n">
        <f aca="false">IF(Takip!D171="",0,D170+1)</f>
        <v>0</v>
      </c>
      <c r="E171" s="15" t="n">
        <f aca="false">IF(Takip!E171="",0,E170+1)</f>
        <v>0</v>
      </c>
      <c r="F171" s="15" t="n">
        <f aca="false">IF(Takip!F171="",0,F170+1)</f>
        <v>0</v>
      </c>
      <c r="G171" s="15" t="n">
        <f aca="false">IF(Takip!G171="",0,G170+1)</f>
        <v>0</v>
      </c>
      <c r="H171" s="15" t="n">
        <f aca="false">IF(Takip!H171="",0,H170+1)</f>
        <v>0</v>
      </c>
      <c r="I171" s="15" t="n">
        <f aca="false">IF(Takip!I171="",0,I170+1)</f>
        <v>0</v>
      </c>
      <c r="J171" s="15" t="n">
        <f aca="false">IF(Takip!J171="",0,J170+1)</f>
        <v>0</v>
      </c>
      <c r="K171" s="15" t="n">
        <f aca="false">IF(Takip!K171="",0,K170+1)</f>
        <v>0</v>
      </c>
      <c r="L171" s="15" t="n">
        <f aca="false">IF(Takip!L171="",0,L170+1)</f>
        <v>0</v>
      </c>
      <c r="M171" s="15" t="n">
        <f aca="false">IF(Takip!M171="",0,M170+1)</f>
        <v>0</v>
      </c>
      <c r="N171" s="15" t="n">
        <f aca="false">IF(Takip!N171="",0,N170+1)</f>
        <v>0</v>
      </c>
      <c r="O171" s="15" t="n">
        <f aca="false">IF(Takip!O171="",0,O170+1)</f>
        <v>0</v>
      </c>
      <c r="P171" s="15" t="n">
        <f aca="false">IF(Takip!P171="",0,P170+1)</f>
        <v>0</v>
      </c>
      <c r="Q171" s="15" t="n">
        <f aca="false">IF(Takip!Q171="",0,Q170+1)</f>
        <v>0</v>
      </c>
    </row>
    <row r="172" customFormat="false" ht="15" hidden="false" customHeight="false" outlineLevel="0" collapsed="false">
      <c r="A172" s="14" t="n">
        <f aca="false">Takip!R172</f>
        <v>46189</v>
      </c>
      <c r="C172" s="15" t="n">
        <f aca="false">IF(Takip!C172="",0,C171+1)</f>
        <v>0</v>
      </c>
      <c r="D172" s="15" t="n">
        <f aca="false">IF(Takip!D172="",0,D171+1)</f>
        <v>0</v>
      </c>
      <c r="E172" s="15" t="n">
        <f aca="false">IF(Takip!E172="",0,E171+1)</f>
        <v>0</v>
      </c>
      <c r="F172" s="15" t="n">
        <f aca="false">IF(Takip!F172="",0,F171+1)</f>
        <v>0</v>
      </c>
      <c r="G172" s="15" t="n">
        <f aca="false">IF(Takip!G172="",0,G171+1)</f>
        <v>0</v>
      </c>
      <c r="H172" s="15" t="n">
        <f aca="false">IF(Takip!H172="",0,H171+1)</f>
        <v>0</v>
      </c>
      <c r="I172" s="15" t="n">
        <f aca="false">IF(Takip!I172="",0,I171+1)</f>
        <v>0</v>
      </c>
      <c r="J172" s="15" t="n">
        <f aca="false">IF(Takip!J172="",0,J171+1)</f>
        <v>0</v>
      </c>
      <c r="K172" s="15" t="n">
        <f aca="false">IF(Takip!K172="",0,K171+1)</f>
        <v>0</v>
      </c>
      <c r="L172" s="15" t="n">
        <f aca="false">IF(Takip!L172="",0,L171+1)</f>
        <v>0</v>
      </c>
      <c r="M172" s="15" t="n">
        <f aca="false">IF(Takip!M172="",0,M171+1)</f>
        <v>0</v>
      </c>
      <c r="N172" s="15" t="n">
        <f aca="false">IF(Takip!N172="",0,N171+1)</f>
        <v>0</v>
      </c>
      <c r="O172" s="15" t="n">
        <f aca="false">IF(Takip!O172="",0,O171+1)</f>
        <v>0</v>
      </c>
      <c r="P172" s="15" t="n">
        <f aca="false">IF(Takip!P172="",0,P171+1)</f>
        <v>0</v>
      </c>
      <c r="Q172" s="15" t="n">
        <f aca="false">IF(Takip!Q172="",0,Q171+1)</f>
        <v>0</v>
      </c>
    </row>
    <row r="173" customFormat="false" ht="15" hidden="false" customHeight="false" outlineLevel="0" collapsed="false">
      <c r="A173" s="14" t="n">
        <f aca="false">Takip!R173</f>
        <v>46190</v>
      </c>
      <c r="C173" s="15" t="n">
        <f aca="false">IF(Takip!C173="",0,C172+1)</f>
        <v>0</v>
      </c>
      <c r="D173" s="15" t="n">
        <f aca="false">IF(Takip!D173="",0,D172+1)</f>
        <v>0</v>
      </c>
      <c r="E173" s="15" t="n">
        <f aca="false">IF(Takip!E173="",0,E172+1)</f>
        <v>0</v>
      </c>
      <c r="F173" s="15" t="n">
        <f aca="false">IF(Takip!F173="",0,F172+1)</f>
        <v>0</v>
      </c>
      <c r="G173" s="15" t="n">
        <f aca="false">IF(Takip!G173="",0,G172+1)</f>
        <v>0</v>
      </c>
      <c r="H173" s="15" t="n">
        <f aca="false">IF(Takip!H173="",0,H172+1)</f>
        <v>0</v>
      </c>
      <c r="I173" s="15" t="n">
        <f aca="false">IF(Takip!I173="",0,I172+1)</f>
        <v>0</v>
      </c>
      <c r="J173" s="15" t="n">
        <f aca="false">IF(Takip!J173="",0,J172+1)</f>
        <v>0</v>
      </c>
      <c r="K173" s="15" t="n">
        <f aca="false">IF(Takip!K173="",0,K172+1)</f>
        <v>0</v>
      </c>
      <c r="L173" s="15" t="n">
        <f aca="false">IF(Takip!L173="",0,L172+1)</f>
        <v>0</v>
      </c>
      <c r="M173" s="15" t="n">
        <f aca="false">IF(Takip!M173="",0,M172+1)</f>
        <v>0</v>
      </c>
      <c r="N173" s="15" t="n">
        <f aca="false">IF(Takip!N173="",0,N172+1)</f>
        <v>0</v>
      </c>
      <c r="O173" s="15" t="n">
        <f aca="false">IF(Takip!O173="",0,O172+1)</f>
        <v>0</v>
      </c>
      <c r="P173" s="15" t="n">
        <f aca="false">IF(Takip!P173="",0,P172+1)</f>
        <v>0</v>
      </c>
      <c r="Q173" s="15" t="n">
        <f aca="false">IF(Takip!Q173="",0,Q172+1)</f>
        <v>0</v>
      </c>
    </row>
    <row r="174" customFormat="false" ht="15" hidden="false" customHeight="false" outlineLevel="0" collapsed="false">
      <c r="A174" s="14" t="n">
        <f aca="false">Takip!R174</f>
        <v>46191</v>
      </c>
      <c r="C174" s="15" t="n">
        <f aca="false">IF(Takip!C174="",0,C173+1)</f>
        <v>0</v>
      </c>
      <c r="D174" s="15" t="n">
        <f aca="false">IF(Takip!D174="",0,D173+1)</f>
        <v>0</v>
      </c>
      <c r="E174" s="15" t="n">
        <f aca="false">IF(Takip!E174="",0,E173+1)</f>
        <v>0</v>
      </c>
      <c r="F174" s="15" t="n">
        <f aca="false">IF(Takip!F174="",0,F173+1)</f>
        <v>0</v>
      </c>
      <c r="G174" s="15" t="n">
        <f aca="false">IF(Takip!G174="",0,G173+1)</f>
        <v>0</v>
      </c>
      <c r="H174" s="15" t="n">
        <f aca="false">IF(Takip!H174="",0,H173+1)</f>
        <v>0</v>
      </c>
      <c r="I174" s="15" t="n">
        <f aca="false">IF(Takip!I174="",0,I173+1)</f>
        <v>0</v>
      </c>
      <c r="J174" s="15" t="n">
        <f aca="false">IF(Takip!J174="",0,J173+1)</f>
        <v>0</v>
      </c>
      <c r="K174" s="15" t="n">
        <f aca="false">IF(Takip!K174="",0,K173+1)</f>
        <v>0</v>
      </c>
      <c r="L174" s="15" t="n">
        <f aca="false">IF(Takip!L174="",0,L173+1)</f>
        <v>0</v>
      </c>
      <c r="M174" s="15" t="n">
        <f aca="false">IF(Takip!M174="",0,M173+1)</f>
        <v>0</v>
      </c>
      <c r="N174" s="15" t="n">
        <f aca="false">IF(Takip!N174="",0,N173+1)</f>
        <v>0</v>
      </c>
      <c r="O174" s="15" t="n">
        <f aca="false">IF(Takip!O174="",0,O173+1)</f>
        <v>0</v>
      </c>
      <c r="P174" s="15" t="n">
        <f aca="false">IF(Takip!P174="",0,P173+1)</f>
        <v>0</v>
      </c>
      <c r="Q174" s="15" t="n">
        <f aca="false">IF(Takip!Q174="",0,Q173+1)</f>
        <v>0</v>
      </c>
    </row>
    <row r="175" customFormat="false" ht="15" hidden="false" customHeight="false" outlineLevel="0" collapsed="false">
      <c r="A175" s="14" t="n">
        <f aca="false">Takip!R175</f>
        <v>46192</v>
      </c>
      <c r="C175" s="15" t="n">
        <f aca="false">IF(Takip!C175="",0,C174+1)</f>
        <v>0</v>
      </c>
      <c r="D175" s="15" t="n">
        <f aca="false">IF(Takip!D175="",0,D174+1)</f>
        <v>0</v>
      </c>
      <c r="E175" s="15" t="n">
        <f aca="false">IF(Takip!E175="",0,E174+1)</f>
        <v>0</v>
      </c>
      <c r="F175" s="15" t="n">
        <f aca="false">IF(Takip!F175="",0,F174+1)</f>
        <v>0</v>
      </c>
      <c r="G175" s="15" t="n">
        <f aca="false">IF(Takip!G175="",0,G174+1)</f>
        <v>0</v>
      </c>
      <c r="H175" s="15" t="n">
        <f aca="false">IF(Takip!H175="",0,H174+1)</f>
        <v>0</v>
      </c>
      <c r="I175" s="15" t="n">
        <f aca="false">IF(Takip!I175="",0,I174+1)</f>
        <v>0</v>
      </c>
      <c r="J175" s="15" t="n">
        <f aca="false">IF(Takip!J175="",0,J174+1)</f>
        <v>0</v>
      </c>
      <c r="K175" s="15" t="n">
        <f aca="false">IF(Takip!K175="",0,K174+1)</f>
        <v>0</v>
      </c>
      <c r="L175" s="15" t="n">
        <f aca="false">IF(Takip!L175="",0,L174+1)</f>
        <v>0</v>
      </c>
      <c r="M175" s="15" t="n">
        <f aca="false">IF(Takip!M175="",0,M174+1)</f>
        <v>0</v>
      </c>
      <c r="N175" s="15" t="n">
        <f aca="false">IF(Takip!N175="",0,N174+1)</f>
        <v>0</v>
      </c>
      <c r="O175" s="15" t="n">
        <f aca="false">IF(Takip!O175="",0,O174+1)</f>
        <v>0</v>
      </c>
      <c r="P175" s="15" t="n">
        <f aca="false">IF(Takip!P175="",0,P174+1)</f>
        <v>0</v>
      </c>
      <c r="Q175" s="15" t="n">
        <f aca="false">IF(Takip!Q175="",0,Q174+1)</f>
        <v>0</v>
      </c>
    </row>
    <row r="176" customFormat="false" ht="15" hidden="false" customHeight="false" outlineLevel="0" collapsed="false">
      <c r="A176" s="14" t="n">
        <f aca="false">Takip!R176</f>
        <v>46193</v>
      </c>
      <c r="C176" s="15" t="n">
        <f aca="false">IF(Takip!C176="",0,C175+1)</f>
        <v>0</v>
      </c>
      <c r="D176" s="15" t="n">
        <f aca="false">IF(Takip!D176="",0,D175+1)</f>
        <v>0</v>
      </c>
      <c r="E176" s="15" t="n">
        <f aca="false">IF(Takip!E176="",0,E175+1)</f>
        <v>0</v>
      </c>
      <c r="F176" s="15" t="n">
        <f aca="false">IF(Takip!F176="",0,F175+1)</f>
        <v>0</v>
      </c>
      <c r="G176" s="15" t="n">
        <f aca="false">IF(Takip!G176="",0,G175+1)</f>
        <v>0</v>
      </c>
      <c r="H176" s="15" t="n">
        <f aca="false">IF(Takip!H176="",0,H175+1)</f>
        <v>0</v>
      </c>
      <c r="I176" s="15" t="n">
        <f aca="false">IF(Takip!I176="",0,I175+1)</f>
        <v>0</v>
      </c>
      <c r="J176" s="15" t="n">
        <f aca="false">IF(Takip!J176="",0,J175+1)</f>
        <v>0</v>
      </c>
      <c r="K176" s="15" t="n">
        <f aca="false">IF(Takip!K176="",0,K175+1)</f>
        <v>0</v>
      </c>
      <c r="L176" s="15" t="n">
        <f aca="false">IF(Takip!L176="",0,L175+1)</f>
        <v>0</v>
      </c>
      <c r="M176" s="15" t="n">
        <f aca="false">IF(Takip!M176="",0,M175+1)</f>
        <v>0</v>
      </c>
      <c r="N176" s="15" t="n">
        <f aca="false">IF(Takip!N176="",0,N175+1)</f>
        <v>0</v>
      </c>
      <c r="O176" s="15" t="n">
        <f aca="false">IF(Takip!O176="",0,O175+1)</f>
        <v>0</v>
      </c>
      <c r="P176" s="15" t="n">
        <f aca="false">IF(Takip!P176="",0,P175+1)</f>
        <v>0</v>
      </c>
      <c r="Q176" s="15" t="n">
        <f aca="false">IF(Takip!Q176="",0,Q175+1)</f>
        <v>0</v>
      </c>
    </row>
    <row r="177" customFormat="false" ht="15" hidden="false" customHeight="false" outlineLevel="0" collapsed="false">
      <c r="A177" s="14" t="n">
        <f aca="false">Takip!R177</f>
        <v>46194</v>
      </c>
      <c r="C177" s="15" t="n">
        <f aca="false">IF(Takip!C177="",0,C176+1)</f>
        <v>0</v>
      </c>
      <c r="D177" s="15" t="n">
        <f aca="false">IF(Takip!D177="",0,D176+1)</f>
        <v>0</v>
      </c>
      <c r="E177" s="15" t="n">
        <f aca="false">IF(Takip!E177="",0,E176+1)</f>
        <v>0</v>
      </c>
      <c r="F177" s="15" t="n">
        <f aca="false">IF(Takip!F177="",0,F176+1)</f>
        <v>0</v>
      </c>
      <c r="G177" s="15" t="n">
        <f aca="false">IF(Takip!G177="",0,G176+1)</f>
        <v>0</v>
      </c>
      <c r="H177" s="15" t="n">
        <f aca="false">IF(Takip!H177="",0,H176+1)</f>
        <v>0</v>
      </c>
      <c r="I177" s="15" t="n">
        <f aca="false">IF(Takip!I177="",0,I176+1)</f>
        <v>0</v>
      </c>
      <c r="J177" s="15" t="n">
        <f aca="false">IF(Takip!J177="",0,J176+1)</f>
        <v>0</v>
      </c>
      <c r="K177" s="15" t="n">
        <f aca="false">IF(Takip!K177="",0,K176+1)</f>
        <v>0</v>
      </c>
      <c r="L177" s="15" t="n">
        <f aca="false">IF(Takip!L177="",0,L176+1)</f>
        <v>0</v>
      </c>
      <c r="M177" s="15" t="n">
        <f aca="false">IF(Takip!M177="",0,M176+1)</f>
        <v>0</v>
      </c>
      <c r="N177" s="15" t="n">
        <f aca="false">IF(Takip!N177="",0,N176+1)</f>
        <v>0</v>
      </c>
      <c r="O177" s="15" t="n">
        <f aca="false">IF(Takip!O177="",0,O176+1)</f>
        <v>0</v>
      </c>
      <c r="P177" s="15" t="n">
        <f aca="false">IF(Takip!P177="",0,P176+1)</f>
        <v>0</v>
      </c>
      <c r="Q177" s="15" t="n">
        <f aca="false">IF(Takip!Q177="",0,Q176+1)</f>
        <v>0</v>
      </c>
    </row>
    <row r="178" customFormat="false" ht="15" hidden="false" customHeight="false" outlineLevel="0" collapsed="false">
      <c r="A178" s="14" t="n">
        <f aca="false">Takip!R178</f>
        <v>46195</v>
      </c>
      <c r="C178" s="15" t="n">
        <f aca="false">IF(Takip!C178="",0,C177+1)</f>
        <v>0</v>
      </c>
      <c r="D178" s="15" t="n">
        <f aca="false">IF(Takip!D178="",0,D177+1)</f>
        <v>0</v>
      </c>
      <c r="E178" s="15" t="n">
        <f aca="false">IF(Takip!E178="",0,E177+1)</f>
        <v>0</v>
      </c>
      <c r="F178" s="15" t="n">
        <f aca="false">IF(Takip!F178="",0,F177+1)</f>
        <v>0</v>
      </c>
      <c r="G178" s="15" t="n">
        <f aca="false">IF(Takip!G178="",0,G177+1)</f>
        <v>0</v>
      </c>
      <c r="H178" s="15" t="n">
        <f aca="false">IF(Takip!H178="",0,H177+1)</f>
        <v>0</v>
      </c>
      <c r="I178" s="15" t="n">
        <f aca="false">IF(Takip!I178="",0,I177+1)</f>
        <v>0</v>
      </c>
      <c r="J178" s="15" t="n">
        <f aca="false">IF(Takip!J178="",0,J177+1)</f>
        <v>0</v>
      </c>
      <c r="K178" s="15" t="n">
        <f aca="false">IF(Takip!K178="",0,K177+1)</f>
        <v>0</v>
      </c>
      <c r="L178" s="15" t="n">
        <f aca="false">IF(Takip!L178="",0,L177+1)</f>
        <v>0</v>
      </c>
      <c r="M178" s="15" t="n">
        <f aca="false">IF(Takip!M178="",0,M177+1)</f>
        <v>0</v>
      </c>
      <c r="N178" s="15" t="n">
        <f aca="false">IF(Takip!N178="",0,N177+1)</f>
        <v>0</v>
      </c>
      <c r="O178" s="15" t="n">
        <f aca="false">IF(Takip!O178="",0,O177+1)</f>
        <v>0</v>
      </c>
      <c r="P178" s="15" t="n">
        <f aca="false">IF(Takip!P178="",0,P177+1)</f>
        <v>0</v>
      </c>
      <c r="Q178" s="15" t="n">
        <f aca="false">IF(Takip!Q178="",0,Q177+1)</f>
        <v>0</v>
      </c>
    </row>
    <row r="179" customFormat="false" ht="15" hidden="false" customHeight="false" outlineLevel="0" collapsed="false">
      <c r="A179" s="14" t="n">
        <f aca="false">Takip!R179</f>
        <v>46196</v>
      </c>
      <c r="C179" s="15" t="n">
        <f aca="false">IF(Takip!C179="",0,C178+1)</f>
        <v>0</v>
      </c>
      <c r="D179" s="15" t="n">
        <f aca="false">IF(Takip!D179="",0,D178+1)</f>
        <v>0</v>
      </c>
      <c r="E179" s="15" t="n">
        <f aca="false">IF(Takip!E179="",0,E178+1)</f>
        <v>0</v>
      </c>
      <c r="F179" s="15" t="n">
        <f aca="false">IF(Takip!F179="",0,F178+1)</f>
        <v>0</v>
      </c>
      <c r="G179" s="15" t="n">
        <f aca="false">IF(Takip!G179="",0,G178+1)</f>
        <v>0</v>
      </c>
      <c r="H179" s="15" t="n">
        <f aca="false">IF(Takip!H179="",0,H178+1)</f>
        <v>0</v>
      </c>
      <c r="I179" s="15" t="n">
        <f aca="false">IF(Takip!I179="",0,I178+1)</f>
        <v>0</v>
      </c>
      <c r="J179" s="15" t="n">
        <f aca="false">IF(Takip!J179="",0,J178+1)</f>
        <v>0</v>
      </c>
      <c r="K179" s="15" t="n">
        <f aca="false">IF(Takip!K179="",0,K178+1)</f>
        <v>0</v>
      </c>
      <c r="L179" s="15" t="n">
        <f aca="false">IF(Takip!L179="",0,L178+1)</f>
        <v>0</v>
      </c>
      <c r="M179" s="15" t="n">
        <f aca="false">IF(Takip!M179="",0,M178+1)</f>
        <v>0</v>
      </c>
      <c r="N179" s="15" t="n">
        <f aca="false">IF(Takip!N179="",0,N178+1)</f>
        <v>0</v>
      </c>
      <c r="O179" s="15" t="n">
        <f aca="false">IF(Takip!O179="",0,O178+1)</f>
        <v>0</v>
      </c>
      <c r="P179" s="15" t="n">
        <f aca="false">IF(Takip!P179="",0,P178+1)</f>
        <v>0</v>
      </c>
      <c r="Q179" s="15" t="n">
        <f aca="false">IF(Takip!Q179="",0,Q178+1)</f>
        <v>0</v>
      </c>
    </row>
    <row r="180" customFormat="false" ht="15" hidden="false" customHeight="false" outlineLevel="0" collapsed="false">
      <c r="A180" s="14" t="n">
        <f aca="false">Takip!R180</f>
        <v>46197</v>
      </c>
      <c r="C180" s="15" t="n">
        <f aca="false">IF(Takip!C180="",0,C179+1)</f>
        <v>0</v>
      </c>
      <c r="D180" s="15" t="n">
        <f aca="false">IF(Takip!D180="",0,D179+1)</f>
        <v>0</v>
      </c>
      <c r="E180" s="15" t="n">
        <f aca="false">IF(Takip!E180="",0,E179+1)</f>
        <v>0</v>
      </c>
      <c r="F180" s="15" t="n">
        <f aca="false">IF(Takip!F180="",0,F179+1)</f>
        <v>0</v>
      </c>
      <c r="G180" s="15" t="n">
        <f aca="false">IF(Takip!G180="",0,G179+1)</f>
        <v>0</v>
      </c>
      <c r="H180" s="15" t="n">
        <f aca="false">IF(Takip!H180="",0,H179+1)</f>
        <v>0</v>
      </c>
      <c r="I180" s="15" t="n">
        <f aca="false">IF(Takip!I180="",0,I179+1)</f>
        <v>0</v>
      </c>
      <c r="J180" s="15" t="n">
        <f aca="false">IF(Takip!J180="",0,J179+1)</f>
        <v>0</v>
      </c>
      <c r="K180" s="15" t="n">
        <f aca="false">IF(Takip!K180="",0,K179+1)</f>
        <v>0</v>
      </c>
      <c r="L180" s="15" t="n">
        <f aca="false">IF(Takip!L180="",0,L179+1)</f>
        <v>0</v>
      </c>
      <c r="M180" s="15" t="n">
        <f aca="false">IF(Takip!M180="",0,M179+1)</f>
        <v>0</v>
      </c>
      <c r="N180" s="15" t="n">
        <f aca="false">IF(Takip!N180="",0,N179+1)</f>
        <v>0</v>
      </c>
      <c r="O180" s="15" t="n">
        <f aca="false">IF(Takip!O180="",0,O179+1)</f>
        <v>0</v>
      </c>
      <c r="P180" s="15" t="n">
        <f aca="false">IF(Takip!P180="",0,P179+1)</f>
        <v>0</v>
      </c>
      <c r="Q180" s="15" t="n">
        <f aca="false">IF(Takip!Q180="",0,Q179+1)</f>
        <v>0</v>
      </c>
    </row>
    <row r="181" customFormat="false" ht="15" hidden="false" customHeight="false" outlineLevel="0" collapsed="false">
      <c r="A181" s="14" t="n">
        <f aca="false">Takip!R181</f>
        <v>46198</v>
      </c>
      <c r="C181" s="15" t="n">
        <f aca="false">IF(Takip!C181="",0,C180+1)</f>
        <v>0</v>
      </c>
      <c r="D181" s="15" t="n">
        <f aca="false">IF(Takip!D181="",0,D180+1)</f>
        <v>0</v>
      </c>
      <c r="E181" s="15" t="n">
        <f aca="false">IF(Takip!E181="",0,E180+1)</f>
        <v>0</v>
      </c>
      <c r="F181" s="15" t="n">
        <f aca="false">IF(Takip!F181="",0,F180+1)</f>
        <v>0</v>
      </c>
      <c r="G181" s="15" t="n">
        <f aca="false">IF(Takip!G181="",0,G180+1)</f>
        <v>0</v>
      </c>
      <c r="H181" s="15" t="n">
        <f aca="false">IF(Takip!H181="",0,H180+1)</f>
        <v>0</v>
      </c>
      <c r="I181" s="15" t="n">
        <f aca="false">IF(Takip!I181="",0,I180+1)</f>
        <v>0</v>
      </c>
      <c r="J181" s="15" t="n">
        <f aca="false">IF(Takip!J181="",0,J180+1)</f>
        <v>0</v>
      </c>
      <c r="K181" s="15" t="n">
        <f aca="false">IF(Takip!K181="",0,K180+1)</f>
        <v>0</v>
      </c>
      <c r="L181" s="15" t="n">
        <f aca="false">IF(Takip!L181="",0,L180+1)</f>
        <v>0</v>
      </c>
      <c r="M181" s="15" t="n">
        <f aca="false">IF(Takip!M181="",0,M180+1)</f>
        <v>0</v>
      </c>
      <c r="N181" s="15" t="n">
        <f aca="false">IF(Takip!N181="",0,N180+1)</f>
        <v>0</v>
      </c>
      <c r="O181" s="15" t="n">
        <f aca="false">IF(Takip!O181="",0,O180+1)</f>
        <v>0</v>
      </c>
      <c r="P181" s="15" t="n">
        <f aca="false">IF(Takip!P181="",0,P180+1)</f>
        <v>0</v>
      </c>
      <c r="Q181" s="15" t="n">
        <f aca="false">IF(Takip!Q181="",0,Q180+1)</f>
        <v>0</v>
      </c>
    </row>
    <row r="182" customFormat="false" ht="15" hidden="false" customHeight="false" outlineLevel="0" collapsed="false">
      <c r="A182" s="14" t="n">
        <f aca="false">Takip!R182</f>
        <v>46199</v>
      </c>
      <c r="C182" s="15" t="n">
        <f aca="false">IF(Takip!C182="",0,C181+1)</f>
        <v>0</v>
      </c>
      <c r="D182" s="15" t="n">
        <f aca="false">IF(Takip!D182="",0,D181+1)</f>
        <v>0</v>
      </c>
      <c r="E182" s="15" t="n">
        <f aca="false">IF(Takip!E182="",0,E181+1)</f>
        <v>0</v>
      </c>
      <c r="F182" s="15" t="n">
        <f aca="false">IF(Takip!F182="",0,F181+1)</f>
        <v>0</v>
      </c>
      <c r="G182" s="15" t="n">
        <f aca="false">IF(Takip!G182="",0,G181+1)</f>
        <v>0</v>
      </c>
      <c r="H182" s="15" t="n">
        <f aca="false">IF(Takip!H182="",0,H181+1)</f>
        <v>0</v>
      </c>
      <c r="I182" s="15" t="n">
        <f aca="false">IF(Takip!I182="",0,I181+1)</f>
        <v>0</v>
      </c>
      <c r="J182" s="15" t="n">
        <f aca="false">IF(Takip!J182="",0,J181+1)</f>
        <v>0</v>
      </c>
      <c r="K182" s="15" t="n">
        <f aca="false">IF(Takip!K182="",0,K181+1)</f>
        <v>0</v>
      </c>
      <c r="L182" s="15" t="n">
        <f aca="false">IF(Takip!L182="",0,L181+1)</f>
        <v>0</v>
      </c>
      <c r="M182" s="15" t="n">
        <f aca="false">IF(Takip!M182="",0,M181+1)</f>
        <v>0</v>
      </c>
      <c r="N182" s="15" t="n">
        <f aca="false">IF(Takip!N182="",0,N181+1)</f>
        <v>0</v>
      </c>
      <c r="O182" s="15" t="n">
        <f aca="false">IF(Takip!O182="",0,O181+1)</f>
        <v>0</v>
      </c>
      <c r="P182" s="15" t="n">
        <f aca="false">IF(Takip!P182="",0,P181+1)</f>
        <v>0</v>
      </c>
      <c r="Q182" s="15" t="n">
        <f aca="false">IF(Takip!Q182="",0,Q181+1)</f>
        <v>0</v>
      </c>
    </row>
    <row r="183" customFormat="false" ht="15" hidden="false" customHeight="false" outlineLevel="0" collapsed="false">
      <c r="A183" s="14" t="n">
        <f aca="false">Takip!R183</f>
        <v>46200</v>
      </c>
      <c r="C183" s="15" t="n">
        <f aca="false">IF(Takip!C183="",0,C182+1)</f>
        <v>0</v>
      </c>
      <c r="D183" s="15" t="n">
        <f aca="false">IF(Takip!D183="",0,D182+1)</f>
        <v>0</v>
      </c>
      <c r="E183" s="15" t="n">
        <f aca="false">IF(Takip!E183="",0,E182+1)</f>
        <v>0</v>
      </c>
      <c r="F183" s="15" t="n">
        <f aca="false">IF(Takip!F183="",0,F182+1)</f>
        <v>0</v>
      </c>
      <c r="G183" s="15" t="n">
        <f aca="false">IF(Takip!G183="",0,G182+1)</f>
        <v>0</v>
      </c>
      <c r="H183" s="15" t="n">
        <f aca="false">IF(Takip!H183="",0,H182+1)</f>
        <v>0</v>
      </c>
      <c r="I183" s="15" t="n">
        <f aca="false">IF(Takip!I183="",0,I182+1)</f>
        <v>0</v>
      </c>
      <c r="J183" s="15" t="n">
        <f aca="false">IF(Takip!J183="",0,J182+1)</f>
        <v>0</v>
      </c>
      <c r="K183" s="15" t="n">
        <f aca="false">IF(Takip!K183="",0,K182+1)</f>
        <v>0</v>
      </c>
      <c r="L183" s="15" t="n">
        <f aca="false">IF(Takip!L183="",0,L182+1)</f>
        <v>0</v>
      </c>
      <c r="M183" s="15" t="n">
        <f aca="false">IF(Takip!M183="",0,M182+1)</f>
        <v>0</v>
      </c>
      <c r="N183" s="15" t="n">
        <f aca="false">IF(Takip!N183="",0,N182+1)</f>
        <v>0</v>
      </c>
      <c r="O183" s="15" t="n">
        <f aca="false">IF(Takip!O183="",0,O182+1)</f>
        <v>0</v>
      </c>
      <c r="P183" s="15" t="n">
        <f aca="false">IF(Takip!P183="",0,P182+1)</f>
        <v>0</v>
      </c>
      <c r="Q183" s="15" t="n">
        <f aca="false">IF(Takip!Q183="",0,Q182+1)</f>
        <v>0</v>
      </c>
    </row>
    <row r="184" customFormat="false" ht="15" hidden="false" customHeight="false" outlineLevel="0" collapsed="false">
      <c r="A184" s="14" t="n">
        <f aca="false">Takip!R184</f>
        <v>46201</v>
      </c>
      <c r="C184" s="15" t="n">
        <f aca="false">IF(Takip!C184="",0,C183+1)</f>
        <v>0</v>
      </c>
      <c r="D184" s="15" t="n">
        <f aca="false">IF(Takip!D184="",0,D183+1)</f>
        <v>0</v>
      </c>
      <c r="E184" s="15" t="n">
        <f aca="false">IF(Takip!E184="",0,E183+1)</f>
        <v>0</v>
      </c>
      <c r="F184" s="15" t="n">
        <f aca="false">IF(Takip!F184="",0,F183+1)</f>
        <v>0</v>
      </c>
      <c r="G184" s="15" t="n">
        <f aca="false">IF(Takip!G184="",0,G183+1)</f>
        <v>0</v>
      </c>
      <c r="H184" s="15" t="n">
        <f aca="false">IF(Takip!H184="",0,H183+1)</f>
        <v>0</v>
      </c>
      <c r="I184" s="15" t="n">
        <f aca="false">IF(Takip!I184="",0,I183+1)</f>
        <v>0</v>
      </c>
      <c r="J184" s="15" t="n">
        <f aca="false">IF(Takip!J184="",0,J183+1)</f>
        <v>0</v>
      </c>
      <c r="K184" s="15" t="n">
        <f aca="false">IF(Takip!K184="",0,K183+1)</f>
        <v>0</v>
      </c>
      <c r="L184" s="15" t="n">
        <f aca="false">IF(Takip!L184="",0,L183+1)</f>
        <v>0</v>
      </c>
      <c r="M184" s="15" t="n">
        <f aca="false">IF(Takip!M184="",0,M183+1)</f>
        <v>0</v>
      </c>
      <c r="N184" s="15" t="n">
        <f aca="false">IF(Takip!N184="",0,N183+1)</f>
        <v>0</v>
      </c>
      <c r="O184" s="15" t="n">
        <f aca="false">IF(Takip!O184="",0,O183+1)</f>
        <v>0</v>
      </c>
      <c r="P184" s="15" t="n">
        <f aca="false">IF(Takip!P184="",0,P183+1)</f>
        <v>0</v>
      </c>
      <c r="Q184" s="15" t="n">
        <f aca="false">IF(Takip!Q184="",0,Q183+1)</f>
        <v>0</v>
      </c>
    </row>
    <row r="185" customFormat="false" ht="15" hidden="false" customHeight="false" outlineLevel="0" collapsed="false">
      <c r="A185" s="14" t="n">
        <f aca="false">Takip!R185</f>
        <v>46202</v>
      </c>
      <c r="C185" s="15" t="n">
        <f aca="false">IF(Takip!C185="",0,C184+1)</f>
        <v>0</v>
      </c>
      <c r="D185" s="15" t="n">
        <f aca="false">IF(Takip!D185="",0,D184+1)</f>
        <v>0</v>
      </c>
      <c r="E185" s="15" t="n">
        <f aca="false">IF(Takip!E185="",0,E184+1)</f>
        <v>0</v>
      </c>
      <c r="F185" s="15" t="n">
        <f aca="false">IF(Takip!F185="",0,F184+1)</f>
        <v>0</v>
      </c>
      <c r="G185" s="15" t="n">
        <f aca="false">IF(Takip!G185="",0,G184+1)</f>
        <v>0</v>
      </c>
      <c r="H185" s="15" t="n">
        <f aca="false">IF(Takip!H185="",0,H184+1)</f>
        <v>0</v>
      </c>
      <c r="I185" s="15" t="n">
        <f aca="false">IF(Takip!I185="",0,I184+1)</f>
        <v>0</v>
      </c>
      <c r="J185" s="15" t="n">
        <f aca="false">IF(Takip!J185="",0,J184+1)</f>
        <v>0</v>
      </c>
      <c r="K185" s="15" t="n">
        <f aca="false">IF(Takip!K185="",0,K184+1)</f>
        <v>0</v>
      </c>
      <c r="L185" s="15" t="n">
        <f aca="false">IF(Takip!L185="",0,L184+1)</f>
        <v>0</v>
      </c>
      <c r="M185" s="15" t="n">
        <f aca="false">IF(Takip!M185="",0,M184+1)</f>
        <v>0</v>
      </c>
      <c r="N185" s="15" t="n">
        <f aca="false">IF(Takip!N185="",0,N184+1)</f>
        <v>0</v>
      </c>
      <c r="O185" s="15" t="n">
        <f aca="false">IF(Takip!O185="",0,O184+1)</f>
        <v>0</v>
      </c>
      <c r="P185" s="15" t="n">
        <f aca="false">IF(Takip!P185="",0,P184+1)</f>
        <v>0</v>
      </c>
      <c r="Q185" s="15" t="n">
        <f aca="false">IF(Takip!Q185="",0,Q184+1)</f>
        <v>0</v>
      </c>
    </row>
    <row r="186" customFormat="false" ht="15" hidden="false" customHeight="false" outlineLevel="0" collapsed="false">
      <c r="A186" s="14" t="n">
        <f aca="false">Takip!R186</f>
        <v>46203</v>
      </c>
      <c r="C186" s="15" t="n">
        <f aca="false">IF(Takip!C186="",0,C185+1)</f>
        <v>0</v>
      </c>
      <c r="D186" s="15" t="n">
        <f aca="false">IF(Takip!D186="",0,D185+1)</f>
        <v>0</v>
      </c>
      <c r="E186" s="15" t="n">
        <f aca="false">IF(Takip!E186="",0,E185+1)</f>
        <v>0</v>
      </c>
      <c r="F186" s="15" t="n">
        <f aca="false">IF(Takip!F186="",0,F185+1)</f>
        <v>0</v>
      </c>
      <c r="G186" s="15" t="n">
        <f aca="false">IF(Takip!G186="",0,G185+1)</f>
        <v>0</v>
      </c>
      <c r="H186" s="15" t="n">
        <f aca="false">IF(Takip!H186="",0,H185+1)</f>
        <v>0</v>
      </c>
      <c r="I186" s="15" t="n">
        <f aca="false">IF(Takip!I186="",0,I185+1)</f>
        <v>0</v>
      </c>
      <c r="J186" s="15" t="n">
        <f aca="false">IF(Takip!J186="",0,J185+1)</f>
        <v>0</v>
      </c>
      <c r="K186" s="15" t="n">
        <f aca="false">IF(Takip!K186="",0,K185+1)</f>
        <v>0</v>
      </c>
      <c r="L186" s="15" t="n">
        <f aca="false">IF(Takip!L186="",0,L185+1)</f>
        <v>0</v>
      </c>
      <c r="M186" s="15" t="n">
        <f aca="false">IF(Takip!M186="",0,M185+1)</f>
        <v>0</v>
      </c>
      <c r="N186" s="15" t="n">
        <f aca="false">IF(Takip!N186="",0,N185+1)</f>
        <v>0</v>
      </c>
      <c r="O186" s="15" t="n">
        <f aca="false">IF(Takip!O186="",0,O185+1)</f>
        <v>0</v>
      </c>
      <c r="P186" s="15" t="n">
        <f aca="false">IF(Takip!P186="",0,P185+1)</f>
        <v>0</v>
      </c>
      <c r="Q186" s="15" t="n">
        <f aca="false">IF(Takip!Q186="",0,Q185+1)</f>
        <v>0</v>
      </c>
    </row>
    <row r="187" customFormat="false" ht="15" hidden="false" customHeight="false" outlineLevel="0" collapsed="false">
      <c r="A187" s="14" t="n">
        <f aca="false">Takip!R187</f>
        <v>46204</v>
      </c>
      <c r="C187" s="15" t="n">
        <f aca="false">IF(Takip!C187="",0,C186+1)</f>
        <v>0</v>
      </c>
      <c r="D187" s="15" t="n">
        <f aca="false">IF(Takip!D187="",0,D186+1)</f>
        <v>0</v>
      </c>
      <c r="E187" s="15" t="n">
        <f aca="false">IF(Takip!E187="",0,E186+1)</f>
        <v>0</v>
      </c>
      <c r="F187" s="15" t="n">
        <f aca="false">IF(Takip!F187="",0,F186+1)</f>
        <v>0</v>
      </c>
      <c r="G187" s="15" t="n">
        <f aca="false">IF(Takip!G187="",0,G186+1)</f>
        <v>0</v>
      </c>
      <c r="H187" s="15" t="n">
        <f aca="false">IF(Takip!H187="",0,H186+1)</f>
        <v>0</v>
      </c>
      <c r="I187" s="15" t="n">
        <f aca="false">IF(Takip!I187="",0,I186+1)</f>
        <v>0</v>
      </c>
      <c r="J187" s="15" t="n">
        <f aca="false">IF(Takip!J187="",0,J186+1)</f>
        <v>0</v>
      </c>
      <c r="K187" s="15" t="n">
        <f aca="false">IF(Takip!K187="",0,K186+1)</f>
        <v>0</v>
      </c>
      <c r="L187" s="15" t="n">
        <f aca="false">IF(Takip!L187="",0,L186+1)</f>
        <v>0</v>
      </c>
      <c r="M187" s="15" t="n">
        <f aca="false">IF(Takip!M187="",0,M186+1)</f>
        <v>0</v>
      </c>
      <c r="N187" s="15" t="n">
        <f aca="false">IF(Takip!N187="",0,N186+1)</f>
        <v>0</v>
      </c>
      <c r="O187" s="15" t="n">
        <f aca="false">IF(Takip!O187="",0,O186+1)</f>
        <v>0</v>
      </c>
      <c r="P187" s="15" t="n">
        <f aca="false">IF(Takip!P187="",0,P186+1)</f>
        <v>0</v>
      </c>
      <c r="Q187" s="15" t="n">
        <f aca="false">IF(Takip!Q187="",0,Q186+1)</f>
        <v>0</v>
      </c>
    </row>
    <row r="188" customFormat="false" ht="15" hidden="false" customHeight="false" outlineLevel="0" collapsed="false">
      <c r="A188" s="14" t="n">
        <f aca="false">Takip!R188</f>
        <v>46205</v>
      </c>
      <c r="C188" s="15" t="n">
        <f aca="false">IF(Takip!C188="",0,C187+1)</f>
        <v>0</v>
      </c>
      <c r="D188" s="15" t="n">
        <f aca="false">IF(Takip!D188="",0,D187+1)</f>
        <v>0</v>
      </c>
      <c r="E188" s="15" t="n">
        <f aca="false">IF(Takip!E188="",0,E187+1)</f>
        <v>0</v>
      </c>
      <c r="F188" s="15" t="n">
        <f aca="false">IF(Takip!F188="",0,F187+1)</f>
        <v>0</v>
      </c>
      <c r="G188" s="15" t="n">
        <f aca="false">IF(Takip!G188="",0,G187+1)</f>
        <v>0</v>
      </c>
      <c r="H188" s="15" t="n">
        <f aca="false">IF(Takip!H188="",0,H187+1)</f>
        <v>0</v>
      </c>
      <c r="I188" s="15" t="n">
        <f aca="false">IF(Takip!I188="",0,I187+1)</f>
        <v>0</v>
      </c>
      <c r="J188" s="15" t="n">
        <f aca="false">IF(Takip!J188="",0,J187+1)</f>
        <v>0</v>
      </c>
      <c r="K188" s="15" t="n">
        <f aca="false">IF(Takip!K188="",0,K187+1)</f>
        <v>0</v>
      </c>
      <c r="L188" s="15" t="n">
        <f aca="false">IF(Takip!L188="",0,L187+1)</f>
        <v>0</v>
      </c>
      <c r="M188" s="15" t="n">
        <f aca="false">IF(Takip!M188="",0,M187+1)</f>
        <v>0</v>
      </c>
      <c r="N188" s="15" t="n">
        <f aca="false">IF(Takip!N188="",0,N187+1)</f>
        <v>0</v>
      </c>
      <c r="O188" s="15" t="n">
        <f aca="false">IF(Takip!O188="",0,O187+1)</f>
        <v>0</v>
      </c>
      <c r="P188" s="15" t="n">
        <f aca="false">IF(Takip!P188="",0,P187+1)</f>
        <v>0</v>
      </c>
      <c r="Q188" s="15" t="n">
        <f aca="false">IF(Takip!Q188="",0,Q187+1)</f>
        <v>0</v>
      </c>
    </row>
    <row r="189" customFormat="false" ht="15" hidden="false" customHeight="false" outlineLevel="0" collapsed="false">
      <c r="A189" s="14" t="n">
        <f aca="false">Takip!R189</f>
        <v>46206</v>
      </c>
      <c r="C189" s="15" t="n">
        <f aca="false">IF(Takip!C189="",0,C188+1)</f>
        <v>0</v>
      </c>
      <c r="D189" s="15" t="n">
        <f aca="false">IF(Takip!D189="",0,D188+1)</f>
        <v>0</v>
      </c>
      <c r="E189" s="15" t="n">
        <f aca="false">IF(Takip!E189="",0,E188+1)</f>
        <v>0</v>
      </c>
      <c r="F189" s="15" t="n">
        <f aca="false">IF(Takip!F189="",0,F188+1)</f>
        <v>0</v>
      </c>
      <c r="G189" s="15" t="n">
        <f aca="false">IF(Takip!G189="",0,G188+1)</f>
        <v>0</v>
      </c>
      <c r="H189" s="15" t="n">
        <f aca="false">IF(Takip!H189="",0,H188+1)</f>
        <v>0</v>
      </c>
      <c r="I189" s="15" t="n">
        <f aca="false">IF(Takip!I189="",0,I188+1)</f>
        <v>0</v>
      </c>
      <c r="J189" s="15" t="n">
        <f aca="false">IF(Takip!J189="",0,J188+1)</f>
        <v>0</v>
      </c>
      <c r="K189" s="15" t="n">
        <f aca="false">IF(Takip!K189="",0,K188+1)</f>
        <v>0</v>
      </c>
      <c r="L189" s="15" t="n">
        <f aca="false">IF(Takip!L189="",0,L188+1)</f>
        <v>0</v>
      </c>
      <c r="M189" s="15" t="n">
        <f aca="false">IF(Takip!M189="",0,M188+1)</f>
        <v>0</v>
      </c>
      <c r="N189" s="15" t="n">
        <f aca="false">IF(Takip!N189="",0,N188+1)</f>
        <v>0</v>
      </c>
      <c r="O189" s="15" t="n">
        <f aca="false">IF(Takip!O189="",0,O188+1)</f>
        <v>0</v>
      </c>
      <c r="P189" s="15" t="n">
        <f aca="false">IF(Takip!P189="",0,P188+1)</f>
        <v>0</v>
      </c>
      <c r="Q189" s="15" t="n">
        <f aca="false">IF(Takip!Q189="",0,Q188+1)</f>
        <v>0</v>
      </c>
    </row>
    <row r="190" customFormat="false" ht="15" hidden="false" customHeight="false" outlineLevel="0" collapsed="false">
      <c r="A190" s="14" t="n">
        <f aca="false">Takip!R190</f>
        <v>46207</v>
      </c>
      <c r="C190" s="15" t="n">
        <f aca="false">IF(Takip!C190="",0,C189+1)</f>
        <v>0</v>
      </c>
      <c r="D190" s="15" t="n">
        <f aca="false">IF(Takip!D190="",0,D189+1)</f>
        <v>0</v>
      </c>
      <c r="E190" s="15" t="n">
        <f aca="false">IF(Takip!E190="",0,E189+1)</f>
        <v>0</v>
      </c>
      <c r="F190" s="15" t="n">
        <f aca="false">IF(Takip!F190="",0,F189+1)</f>
        <v>0</v>
      </c>
      <c r="G190" s="15" t="n">
        <f aca="false">IF(Takip!G190="",0,G189+1)</f>
        <v>0</v>
      </c>
      <c r="H190" s="15" t="n">
        <f aca="false">IF(Takip!H190="",0,H189+1)</f>
        <v>0</v>
      </c>
      <c r="I190" s="15" t="n">
        <f aca="false">IF(Takip!I190="",0,I189+1)</f>
        <v>0</v>
      </c>
      <c r="J190" s="15" t="n">
        <f aca="false">IF(Takip!J190="",0,J189+1)</f>
        <v>0</v>
      </c>
      <c r="K190" s="15" t="n">
        <f aca="false">IF(Takip!K190="",0,K189+1)</f>
        <v>0</v>
      </c>
      <c r="L190" s="15" t="n">
        <f aca="false">IF(Takip!L190="",0,L189+1)</f>
        <v>0</v>
      </c>
      <c r="M190" s="15" t="n">
        <f aca="false">IF(Takip!M190="",0,M189+1)</f>
        <v>0</v>
      </c>
      <c r="N190" s="15" t="n">
        <f aca="false">IF(Takip!N190="",0,N189+1)</f>
        <v>0</v>
      </c>
      <c r="O190" s="15" t="n">
        <f aca="false">IF(Takip!O190="",0,O189+1)</f>
        <v>0</v>
      </c>
      <c r="P190" s="15" t="n">
        <f aca="false">IF(Takip!P190="",0,P189+1)</f>
        <v>0</v>
      </c>
      <c r="Q190" s="15" t="n">
        <f aca="false">IF(Takip!Q190="",0,Q189+1)</f>
        <v>0</v>
      </c>
    </row>
    <row r="191" customFormat="false" ht="15" hidden="false" customHeight="false" outlineLevel="0" collapsed="false">
      <c r="A191" s="14" t="n">
        <f aca="false">Takip!R191</f>
        <v>46208</v>
      </c>
      <c r="C191" s="15" t="n">
        <f aca="false">IF(Takip!C191="",0,C190+1)</f>
        <v>0</v>
      </c>
      <c r="D191" s="15" t="n">
        <f aca="false">IF(Takip!D191="",0,D190+1)</f>
        <v>0</v>
      </c>
      <c r="E191" s="15" t="n">
        <f aca="false">IF(Takip!E191="",0,E190+1)</f>
        <v>0</v>
      </c>
      <c r="F191" s="15" t="n">
        <f aca="false">IF(Takip!F191="",0,F190+1)</f>
        <v>0</v>
      </c>
      <c r="G191" s="15" t="n">
        <f aca="false">IF(Takip!G191="",0,G190+1)</f>
        <v>0</v>
      </c>
      <c r="H191" s="15" t="n">
        <f aca="false">IF(Takip!H191="",0,H190+1)</f>
        <v>0</v>
      </c>
      <c r="I191" s="15" t="n">
        <f aca="false">IF(Takip!I191="",0,I190+1)</f>
        <v>0</v>
      </c>
      <c r="J191" s="15" t="n">
        <f aca="false">IF(Takip!J191="",0,J190+1)</f>
        <v>0</v>
      </c>
      <c r="K191" s="15" t="n">
        <f aca="false">IF(Takip!K191="",0,K190+1)</f>
        <v>0</v>
      </c>
      <c r="L191" s="15" t="n">
        <f aca="false">IF(Takip!L191="",0,L190+1)</f>
        <v>0</v>
      </c>
      <c r="M191" s="15" t="n">
        <f aca="false">IF(Takip!M191="",0,M190+1)</f>
        <v>0</v>
      </c>
      <c r="N191" s="15" t="n">
        <f aca="false">IF(Takip!N191="",0,N190+1)</f>
        <v>0</v>
      </c>
      <c r="O191" s="15" t="n">
        <f aca="false">IF(Takip!O191="",0,O190+1)</f>
        <v>0</v>
      </c>
      <c r="P191" s="15" t="n">
        <f aca="false">IF(Takip!P191="",0,P190+1)</f>
        <v>0</v>
      </c>
      <c r="Q191" s="15" t="n">
        <f aca="false">IF(Takip!Q191="",0,Q190+1)</f>
        <v>0</v>
      </c>
    </row>
    <row r="192" customFormat="false" ht="15" hidden="false" customHeight="false" outlineLevel="0" collapsed="false">
      <c r="A192" s="14" t="n">
        <f aca="false">Takip!R192</f>
        <v>46209</v>
      </c>
      <c r="C192" s="15" t="n">
        <f aca="false">IF(Takip!C192="",0,C191+1)</f>
        <v>0</v>
      </c>
      <c r="D192" s="15" t="n">
        <f aca="false">IF(Takip!D192="",0,D191+1)</f>
        <v>0</v>
      </c>
      <c r="E192" s="15" t="n">
        <f aca="false">IF(Takip!E192="",0,E191+1)</f>
        <v>0</v>
      </c>
      <c r="F192" s="15" t="n">
        <f aca="false">IF(Takip!F192="",0,F191+1)</f>
        <v>0</v>
      </c>
      <c r="G192" s="15" t="n">
        <f aca="false">IF(Takip!G192="",0,G191+1)</f>
        <v>0</v>
      </c>
      <c r="H192" s="15" t="n">
        <f aca="false">IF(Takip!H192="",0,H191+1)</f>
        <v>0</v>
      </c>
      <c r="I192" s="15" t="n">
        <f aca="false">IF(Takip!I192="",0,I191+1)</f>
        <v>0</v>
      </c>
      <c r="J192" s="15" t="n">
        <f aca="false">IF(Takip!J192="",0,J191+1)</f>
        <v>0</v>
      </c>
      <c r="K192" s="15" t="n">
        <f aca="false">IF(Takip!K192="",0,K191+1)</f>
        <v>0</v>
      </c>
      <c r="L192" s="15" t="n">
        <f aca="false">IF(Takip!L192="",0,L191+1)</f>
        <v>0</v>
      </c>
      <c r="M192" s="15" t="n">
        <f aca="false">IF(Takip!M192="",0,M191+1)</f>
        <v>0</v>
      </c>
      <c r="N192" s="15" t="n">
        <f aca="false">IF(Takip!N192="",0,N191+1)</f>
        <v>0</v>
      </c>
      <c r="O192" s="15" t="n">
        <f aca="false">IF(Takip!O192="",0,O191+1)</f>
        <v>0</v>
      </c>
      <c r="P192" s="15" t="n">
        <f aca="false">IF(Takip!P192="",0,P191+1)</f>
        <v>0</v>
      </c>
      <c r="Q192" s="15" t="n">
        <f aca="false">IF(Takip!Q192="",0,Q191+1)</f>
        <v>0</v>
      </c>
    </row>
    <row r="193" customFormat="false" ht="15" hidden="false" customHeight="false" outlineLevel="0" collapsed="false">
      <c r="A193" s="14" t="n">
        <f aca="false">Takip!R193</f>
        <v>46210</v>
      </c>
      <c r="C193" s="15" t="n">
        <f aca="false">IF(Takip!C193="",0,C192+1)</f>
        <v>0</v>
      </c>
      <c r="D193" s="15" t="n">
        <f aca="false">IF(Takip!D193="",0,D192+1)</f>
        <v>0</v>
      </c>
      <c r="E193" s="15" t="n">
        <f aca="false">IF(Takip!E193="",0,E192+1)</f>
        <v>0</v>
      </c>
      <c r="F193" s="15" t="n">
        <f aca="false">IF(Takip!F193="",0,F192+1)</f>
        <v>0</v>
      </c>
      <c r="G193" s="15" t="n">
        <f aca="false">IF(Takip!G193="",0,G192+1)</f>
        <v>0</v>
      </c>
      <c r="H193" s="15" t="n">
        <f aca="false">IF(Takip!H193="",0,H192+1)</f>
        <v>0</v>
      </c>
      <c r="I193" s="15" t="n">
        <f aca="false">IF(Takip!I193="",0,I192+1)</f>
        <v>0</v>
      </c>
      <c r="J193" s="15" t="n">
        <f aca="false">IF(Takip!J193="",0,J192+1)</f>
        <v>0</v>
      </c>
      <c r="K193" s="15" t="n">
        <f aca="false">IF(Takip!K193="",0,K192+1)</f>
        <v>0</v>
      </c>
      <c r="L193" s="15" t="n">
        <f aca="false">IF(Takip!L193="",0,L192+1)</f>
        <v>0</v>
      </c>
      <c r="M193" s="15" t="n">
        <f aca="false">IF(Takip!M193="",0,M192+1)</f>
        <v>0</v>
      </c>
      <c r="N193" s="15" t="n">
        <f aca="false">IF(Takip!N193="",0,N192+1)</f>
        <v>0</v>
      </c>
      <c r="O193" s="15" t="n">
        <f aca="false">IF(Takip!O193="",0,O192+1)</f>
        <v>0</v>
      </c>
      <c r="P193" s="15" t="n">
        <f aca="false">IF(Takip!P193="",0,P192+1)</f>
        <v>0</v>
      </c>
      <c r="Q193" s="15" t="n">
        <f aca="false">IF(Takip!Q193="",0,Q192+1)</f>
        <v>0</v>
      </c>
    </row>
    <row r="194" customFormat="false" ht="15" hidden="false" customHeight="false" outlineLevel="0" collapsed="false">
      <c r="A194" s="14" t="n">
        <f aca="false">Takip!R194</f>
        <v>46211</v>
      </c>
      <c r="C194" s="15" t="n">
        <f aca="false">IF(Takip!C194="",0,C193+1)</f>
        <v>0</v>
      </c>
      <c r="D194" s="15" t="n">
        <f aca="false">IF(Takip!D194="",0,D193+1)</f>
        <v>0</v>
      </c>
      <c r="E194" s="15" t="n">
        <f aca="false">IF(Takip!E194="",0,E193+1)</f>
        <v>0</v>
      </c>
      <c r="F194" s="15" t="n">
        <f aca="false">IF(Takip!F194="",0,F193+1)</f>
        <v>0</v>
      </c>
      <c r="G194" s="15" t="n">
        <f aca="false">IF(Takip!G194="",0,G193+1)</f>
        <v>0</v>
      </c>
      <c r="H194" s="15" t="n">
        <f aca="false">IF(Takip!H194="",0,H193+1)</f>
        <v>0</v>
      </c>
      <c r="I194" s="15" t="n">
        <f aca="false">IF(Takip!I194="",0,I193+1)</f>
        <v>0</v>
      </c>
      <c r="J194" s="15" t="n">
        <f aca="false">IF(Takip!J194="",0,J193+1)</f>
        <v>0</v>
      </c>
      <c r="K194" s="15" t="n">
        <f aca="false">IF(Takip!K194="",0,K193+1)</f>
        <v>0</v>
      </c>
      <c r="L194" s="15" t="n">
        <f aca="false">IF(Takip!L194="",0,L193+1)</f>
        <v>0</v>
      </c>
      <c r="M194" s="15" t="n">
        <f aca="false">IF(Takip!M194="",0,M193+1)</f>
        <v>0</v>
      </c>
      <c r="N194" s="15" t="n">
        <f aca="false">IF(Takip!N194="",0,N193+1)</f>
        <v>0</v>
      </c>
      <c r="O194" s="15" t="n">
        <f aca="false">IF(Takip!O194="",0,O193+1)</f>
        <v>0</v>
      </c>
      <c r="P194" s="15" t="n">
        <f aca="false">IF(Takip!P194="",0,P193+1)</f>
        <v>0</v>
      </c>
      <c r="Q194" s="15" t="n">
        <f aca="false">IF(Takip!Q194="",0,Q193+1)</f>
        <v>0</v>
      </c>
    </row>
    <row r="195" customFormat="false" ht="15" hidden="false" customHeight="false" outlineLevel="0" collapsed="false">
      <c r="A195" s="14" t="n">
        <f aca="false">Takip!R195</f>
        <v>46212</v>
      </c>
      <c r="C195" s="15" t="n">
        <f aca="false">IF(Takip!C195="",0,C194+1)</f>
        <v>0</v>
      </c>
      <c r="D195" s="15" t="n">
        <f aca="false">IF(Takip!D195="",0,D194+1)</f>
        <v>0</v>
      </c>
      <c r="E195" s="15" t="n">
        <f aca="false">IF(Takip!E195="",0,E194+1)</f>
        <v>0</v>
      </c>
      <c r="F195" s="15" t="n">
        <f aca="false">IF(Takip!F195="",0,F194+1)</f>
        <v>0</v>
      </c>
      <c r="G195" s="15" t="n">
        <f aca="false">IF(Takip!G195="",0,G194+1)</f>
        <v>0</v>
      </c>
      <c r="H195" s="15" t="n">
        <f aca="false">IF(Takip!H195="",0,H194+1)</f>
        <v>0</v>
      </c>
      <c r="I195" s="15" t="n">
        <f aca="false">IF(Takip!I195="",0,I194+1)</f>
        <v>0</v>
      </c>
      <c r="J195" s="15" t="n">
        <f aca="false">IF(Takip!J195="",0,J194+1)</f>
        <v>0</v>
      </c>
      <c r="K195" s="15" t="n">
        <f aca="false">IF(Takip!K195="",0,K194+1)</f>
        <v>0</v>
      </c>
      <c r="L195" s="15" t="n">
        <f aca="false">IF(Takip!L195="",0,L194+1)</f>
        <v>0</v>
      </c>
      <c r="M195" s="15" t="n">
        <f aca="false">IF(Takip!M195="",0,M194+1)</f>
        <v>0</v>
      </c>
      <c r="N195" s="15" t="n">
        <f aca="false">IF(Takip!N195="",0,N194+1)</f>
        <v>0</v>
      </c>
      <c r="O195" s="15" t="n">
        <f aca="false">IF(Takip!O195="",0,O194+1)</f>
        <v>0</v>
      </c>
      <c r="P195" s="15" t="n">
        <f aca="false">IF(Takip!P195="",0,P194+1)</f>
        <v>0</v>
      </c>
      <c r="Q195" s="15" t="n">
        <f aca="false">IF(Takip!Q195="",0,Q194+1)</f>
        <v>0</v>
      </c>
    </row>
    <row r="196" customFormat="false" ht="15" hidden="false" customHeight="false" outlineLevel="0" collapsed="false">
      <c r="A196" s="14" t="n">
        <f aca="false">Takip!R196</f>
        <v>46213</v>
      </c>
      <c r="C196" s="15" t="n">
        <f aca="false">IF(Takip!C196="",0,C195+1)</f>
        <v>0</v>
      </c>
      <c r="D196" s="15" t="n">
        <f aca="false">IF(Takip!D196="",0,D195+1)</f>
        <v>0</v>
      </c>
      <c r="E196" s="15" t="n">
        <f aca="false">IF(Takip!E196="",0,E195+1)</f>
        <v>0</v>
      </c>
      <c r="F196" s="15" t="n">
        <f aca="false">IF(Takip!F196="",0,F195+1)</f>
        <v>0</v>
      </c>
      <c r="G196" s="15" t="n">
        <f aca="false">IF(Takip!G196="",0,G195+1)</f>
        <v>0</v>
      </c>
      <c r="H196" s="15" t="n">
        <f aca="false">IF(Takip!H196="",0,H195+1)</f>
        <v>0</v>
      </c>
      <c r="I196" s="15" t="n">
        <f aca="false">IF(Takip!I196="",0,I195+1)</f>
        <v>0</v>
      </c>
      <c r="J196" s="15" t="n">
        <f aca="false">IF(Takip!J196="",0,J195+1)</f>
        <v>0</v>
      </c>
      <c r="K196" s="15" t="n">
        <f aca="false">IF(Takip!K196="",0,K195+1)</f>
        <v>0</v>
      </c>
      <c r="L196" s="15" t="n">
        <f aca="false">IF(Takip!L196="",0,L195+1)</f>
        <v>0</v>
      </c>
      <c r="M196" s="15" t="n">
        <f aca="false">IF(Takip!M196="",0,M195+1)</f>
        <v>0</v>
      </c>
      <c r="N196" s="15" t="n">
        <f aca="false">IF(Takip!N196="",0,N195+1)</f>
        <v>0</v>
      </c>
      <c r="O196" s="15" t="n">
        <f aca="false">IF(Takip!O196="",0,O195+1)</f>
        <v>0</v>
      </c>
      <c r="P196" s="15" t="n">
        <f aca="false">IF(Takip!P196="",0,P195+1)</f>
        <v>0</v>
      </c>
      <c r="Q196" s="15" t="n">
        <f aca="false">IF(Takip!Q196="",0,Q195+1)</f>
        <v>0</v>
      </c>
    </row>
    <row r="197" customFormat="false" ht="15" hidden="false" customHeight="false" outlineLevel="0" collapsed="false">
      <c r="A197" s="14" t="n">
        <f aca="false">Takip!R197</f>
        <v>46214</v>
      </c>
      <c r="C197" s="15" t="n">
        <f aca="false">IF(Takip!C197="",0,C196+1)</f>
        <v>0</v>
      </c>
      <c r="D197" s="15" t="n">
        <f aca="false">IF(Takip!D197="",0,D196+1)</f>
        <v>0</v>
      </c>
      <c r="E197" s="15" t="n">
        <f aca="false">IF(Takip!E197="",0,E196+1)</f>
        <v>0</v>
      </c>
      <c r="F197" s="15" t="n">
        <f aca="false">IF(Takip!F197="",0,F196+1)</f>
        <v>0</v>
      </c>
      <c r="G197" s="15" t="n">
        <f aca="false">IF(Takip!G197="",0,G196+1)</f>
        <v>0</v>
      </c>
      <c r="H197" s="15" t="n">
        <f aca="false">IF(Takip!H197="",0,H196+1)</f>
        <v>0</v>
      </c>
      <c r="I197" s="15" t="n">
        <f aca="false">IF(Takip!I197="",0,I196+1)</f>
        <v>0</v>
      </c>
      <c r="J197" s="15" t="n">
        <f aca="false">IF(Takip!J197="",0,J196+1)</f>
        <v>0</v>
      </c>
      <c r="K197" s="15" t="n">
        <f aca="false">IF(Takip!K197="",0,K196+1)</f>
        <v>0</v>
      </c>
      <c r="L197" s="15" t="n">
        <f aca="false">IF(Takip!L197="",0,L196+1)</f>
        <v>0</v>
      </c>
      <c r="M197" s="15" t="n">
        <f aca="false">IF(Takip!M197="",0,M196+1)</f>
        <v>0</v>
      </c>
      <c r="N197" s="15" t="n">
        <f aca="false">IF(Takip!N197="",0,N196+1)</f>
        <v>0</v>
      </c>
      <c r="O197" s="15" t="n">
        <f aca="false">IF(Takip!O197="",0,O196+1)</f>
        <v>0</v>
      </c>
      <c r="P197" s="15" t="n">
        <f aca="false">IF(Takip!P197="",0,P196+1)</f>
        <v>0</v>
      </c>
      <c r="Q197" s="15" t="n">
        <f aca="false">IF(Takip!Q197="",0,Q196+1)</f>
        <v>0</v>
      </c>
    </row>
    <row r="198" customFormat="false" ht="15" hidden="false" customHeight="false" outlineLevel="0" collapsed="false">
      <c r="A198" s="14" t="n">
        <f aca="false">Takip!R198</f>
        <v>46215</v>
      </c>
      <c r="C198" s="15" t="n">
        <f aca="false">IF(Takip!C198="",0,C197+1)</f>
        <v>0</v>
      </c>
      <c r="D198" s="15" t="n">
        <f aca="false">IF(Takip!D198="",0,D197+1)</f>
        <v>0</v>
      </c>
      <c r="E198" s="15" t="n">
        <f aca="false">IF(Takip!E198="",0,E197+1)</f>
        <v>0</v>
      </c>
      <c r="F198" s="15" t="n">
        <f aca="false">IF(Takip!F198="",0,F197+1)</f>
        <v>0</v>
      </c>
      <c r="G198" s="15" t="n">
        <f aca="false">IF(Takip!G198="",0,G197+1)</f>
        <v>0</v>
      </c>
      <c r="H198" s="15" t="n">
        <f aca="false">IF(Takip!H198="",0,H197+1)</f>
        <v>0</v>
      </c>
      <c r="I198" s="15" t="n">
        <f aca="false">IF(Takip!I198="",0,I197+1)</f>
        <v>0</v>
      </c>
      <c r="J198" s="15" t="n">
        <f aca="false">IF(Takip!J198="",0,J197+1)</f>
        <v>0</v>
      </c>
      <c r="K198" s="15" t="n">
        <f aca="false">IF(Takip!K198="",0,K197+1)</f>
        <v>0</v>
      </c>
      <c r="L198" s="15" t="n">
        <f aca="false">IF(Takip!L198="",0,L197+1)</f>
        <v>0</v>
      </c>
      <c r="M198" s="15" t="n">
        <f aca="false">IF(Takip!M198="",0,M197+1)</f>
        <v>0</v>
      </c>
      <c r="N198" s="15" t="n">
        <f aca="false">IF(Takip!N198="",0,N197+1)</f>
        <v>0</v>
      </c>
      <c r="O198" s="15" t="n">
        <f aca="false">IF(Takip!O198="",0,O197+1)</f>
        <v>0</v>
      </c>
      <c r="P198" s="15" t="n">
        <f aca="false">IF(Takip!P198="",0,P197+1)</f>
        <v>0</v>
      </c>
      <c r="Q198" s="15" t="n">
        <f aca="false">IF(Takip!Q198="",0,Q197+1)</f>
        <v>0</v>
      </c>
    </row>
    <row r="199" customFormat="false" ht="15" hidden="false" customHeight="false" outlineLevel="0" collapsed="false">
      <c r="A199" s="14" t="n">
        <f aca="false">Takip!R199</f>
        <v>46216</v>
      </c>
      <c r="C199" s="15" t="n">
        <f aca="false">IF(Takip!C199="",0,C198+1)</f>
        <v>0</v>
      </c>
      <c r="D199" s="15" t="n">
        <f aca="false">IF(Takip!D199="",0,D198+1)</f>
        <v>0</v>
      </c>
      <c r="E199" s="15" t="n">
        <f aca="false">IF(Takip!E199="",0,E198+1)</f>
        <v>0</v>
      </c>
      <c r="F199" s="15" t="n">
        <f aca="false">IF(Takip!F199="",0,F198+1)</f>
        <v>0</v>
      </c>
      <c r="G199" s="15" t="n">
        <f aca="false">IF(Takip!G199="",0,G198+1)</f>
        <v>0</v>
      </c>
      <c r="H199" s="15" t="n">
        <f aca="false">IF(Takip!H199="",0,H198+1)</f>
        <v>0</v>
      </c>
      <c r="I199" s="15" t="n">
        <f aca="false">IF(Takip!I199="",0,I198+1)</f>
        <v>0</v>
      </c>
      <c r="J199" s="15" t="n">
        <f aca="false">IF(Takip!J199="",0,J198+1)</f>
        <v>0</v>
      </c>
      <c r="K199" s="15" t="n">
        <f aca="false">IF(Takip!K199="",0,K198+1)</f>
        <v>0</v>
      </c>
      <c r="L199" s="15" t="n">
        <f aca="false">IF(Takip!L199="",0,L198+1)</f>
        <v>0</v>
      </c>
      <c r="M199" s="15" t="n">
        <f aca="false">IF(Takip!M199="",0,M198+1)</f>
        <v>0</v>
      </c>
      <c r="N199" s="15" t="n">
        <f aca="false">IF(Takip!N199="",0,N198+1)</f>
        <v>0</v>
      </c>
      <c r="O199" s="15" t="n">
        <f aca="false">IF(Takip!O199="",0,O198+1)</f>
        <v>0</v>
      </c>
      <c r="P199" s="15" t="n">
        <f aca="false">IF(Takip!P199="",0,P198+1)</f>
        <v>0</v>
      </c>
      <c r="Q199" s="15" t="n">
        <f aca="false">IF(Takip!Q199="",0,Q198+1)</f>
        <v>0</v>
      </c>
    </row>
    <row r="200" customFormat="false" ht="15" hidden="false" customHeight="false" outlineLevel="0" collapsed="false">
      <c r="A200" s="14" t="n">
        <f aca="false">Takip!R200</f>
        <v>46217</v>
      </c>
      <c r="C200" s="15" t="n">
        <f aca="false">IF(Takip!C200="",0,C199+1)</f>
        <v>0</v>
      </c>
      <c r="D200" s="15" t="n">
        <f aca="false">IF(Takip!D200="",0,D199+1)</f>
        <v>0</v>
      </c>
      <c r="E200" s="15" t="n">
        <f aca="false">IF(Takip!E200="",0,E199+1)</f>
        <v>0</v>
      </c>
      <c r="F200" s="15" t="n">
        <f aca="false">IF(Takip!F200="",0,F199+1)</f>
        <v>0</v>
      </c>
      <c r="G200" s="15" t="n">
        <f aca="false">IF(Takip!G200="",0,G199+1)</f>
        <v>0</v>
      </c>
      <c r="H200" s="15" t="n">
        <f aca="false">IF(Takip!H200="",0,H199+1)</f>
        <v>0</v>
      </c>
      <c r="I200" s="15" t="n">
        <f aca="false">IF(Takip!I200="",0,I199+1)</f>
        <v>0</v>
      </c>
      <c r="J200" s="15" t="n">
        <f aca="false">IF(Takip!J200="",0,J199+1)</f>
        <v>0</v>
      </c>
      <c r="K200" s="15" t="n">
        <f aca="false">IF(Takip!K200="",0,K199+1)</f>
        <v>0</v>
      </c>
      <c r="L200" s="15" t="n">
        <f aca="false">IF(Takip!L200="",0,L199+1)</f>
        <v>0</v>
      </c>
      <c r="M200" s="15" t="n">
        <f aca="false">IF(Takip!M200="",0,M199+1)</f>
        <v>0</v>
      </c>
      <c r="N200" s="15" t="n">
        <f aca="false">IF(Takip!N200="",0,N199+1)</f>
        <v>0</v>
      </c>
      <c r="O200" s="15" t="n">
        <f aca="false">IF(Takip!O200="",0,O199+1)</f>
        <v>0</v>
      </c>
      <c r="P200" s="15" t="n">
        <f aca="false">IF(Takip!P200="",0,P199+1)</f>
        <v>0</v>
      </c>
      <c r="Q200" s="15" t="n">
        <f aca="false">IF(Takip!Q200="",0,Q199+1)</f>
        <v>0</v>
      </c>
    </row>
    <row r="201" customFormat="false" ht="15" hidden="false" customHeight="false" outlineLevel="0" collapsed="false">
      <c r="A201" s="14" t="n">
        <f aca="false">Takip!R201</f>
        <v>46218</v>
      </c>
      <c r="C201" s="15" t="n">
        <f aca="false">IF(Takip!C201="",0,C200+1)</f>
        <v>0</v>
      </c>
      <c r="D201" s="15" t="n">
        <f aca="false">IF(Takip!D201="",0,D200+1)</f>
        <v>0</v>
      </c>
      <c r="E201" s="15" t="n">
        <f aca="false">IF(Takip!E201="",0,E200+1)</f>
        <v>0</v>
      </c>
      <c r="F201" s="15" t="n">
        <f aca="false">IF(Takip!F201="",0,F200+1)</f>
        <v>0</v>
      </c>
      <c r="G201" s="15" t="n">
        <f aca="false">IF(Takip!G201="",0,G200+1)</f>
        <v>0</v>
      </c>
      <c r="H201" s="15" t="n">
        <f aca="false">IF(Takip!H201="",0,H200+1)</f>
        <v>0</v>
      </c>
      <c r="I201" s="15" t="n">
        <f aca="false">IF(Takip!I201="",0,I200+1)</f>
        <v>0</v>
      </c>
      <c r="J201" s="15" t="n">
        <f aca="false">IF(Takip!J201="",0,J200+1)</f>
        <v>0</v>
      </c>
      <c r="K201" s="15" t="n">
        <f aca="false">IF(Takip!K201="",0,K200+1)</f>
        <v>0</v>
      </c>
      <c r="L201" s="15" t="n">
        <f aca="false">IF(Takip!L201="",0,L200+1)</f>
        <v>0</v>
      </c>
      <c r="M201" s="15" t="n">
        <f aca="false">IF(Takip!M201="",0,M200+1)</f>
        <v>0</v>
      </c>
      <c r="N201" s="15" t="n">
        <f aca="false">IF(Takip!N201="",0,N200+1)</f>
        <v>0</v>
      </c>
      <c r="O201" s="15" t="n">
        <f aca="false">IF(Takip!O201="",0,O200+1)</f>
        <v>0</v>
      </c>
      <c r="P201" s="15" t="n">
        <f aca="false">IF(Takip!P201="",0,P200+1)</f>
        <v>0</v>
      </c>
      <c r="Q201" s="15" t="n">
        <f aca="false">IF(Takip!Q201="",0,Q200+1)</f>
        <v>0</v>
      </c>
    </row>
    <row r="202" customFormat="false" ht="15" hidden="false" customHeight="false" outlineLevel="0" collapsed="false">
      <c r="A202" s="14" t="n">
        <f aca="false">Takip!R202</f>
        <v>46219</v>
      </c>
      <c r="C202" s="15" t="n">
        <f aca="false">IF(Takip!C202="",0,C201+1)</f>
        <v>0</v>
      </c>
      <c r="D202" s="15" t="n">
        <f aca="false">IF(Takip!D202="",0,D201+1)</f>
        <v>0</v>
      </c>
      <c r="E202" s="15" t="n">
        <f aca="false">IF(Takip!E202="",0,E201+1)</f>
        <v>0</v>
      </c>
      <c r="F202" s="15" t="n">
        <f aca="false">IF(Takip!F202="",0,F201+1)</f>
        <v>0</v>
      </c>
      <c r="G202" s="15" t="n">
        <f aca="false">IF(Takip!G202="",0,G201+1)</f>
        <v>0</v>
      </c>
      <c r="H202" s="15" t="n">
        <f aca="false">IF(Takip!H202="",0,H201+1)</f>
        <v>0</v>
      </c>
      <c r="I202" s="15" t="n">
        <f aca="false">IF(Takip!I202="",0,I201+1)</f>
        <v>0</v>
      </c>
      <c r="J202" s="15" t="n">
        <f aca="false">IF(Takip!J202="",0,J201+1)</f>
        <v>0</v>
      </c>
      <c r="K202" s="15" t="n">
        <f aca="false">IF(Takip!K202="",0,K201+1)</f>
        <v>0</v>
      </c>
      <c r="L202" s="15" t="n">
        <f aca="false">IF(Takip!L202="",0,L201+1)</f>
        <v>0</v>
      </c>
      <c r="M202" s="15" t="n">
        <f aca="false">IF(Takip!M202="",0,M201+1)</f>
        <v>0</v>
      </c>
      <c r="N202" s="15" t="n">
        <f aca="false">IF(Takip!N202="",0,N201+1)</f>
        <v>0</v>
      </c>
      <c r="O202" s="15" t="n">
        <f aca="false">IF(Takip!O202="",0,O201+1)</f>
        <v>0</v>
      </c>
      <c r="P202" s="15" t="n">
        <f aca="false">IF(Takip!P202="",0,P201+1)</f>
        <v>0</v>
      </c>
      <c r="Q202" s="15" t="n">
        <f aca="false">IF(Takip!Q202="",0,Q201+1)</f>
        <v>0</v>
      </c>
    </row>
    <row r="203" customFormat="false" ht="15" hidden="false" customHeight="false" outlineLevel="0" collapsed="false">
      <c r="A203" s="14" t="n">
        <f aca="false">Takip!R203</f>
        <v>46220</v>
      </c>
      <c r="C203" s="15" t="n">
        <f aca="false">IF(Takip!C203="",0,C202+1)</f>
        <v>0</v>
      </c>
      <c r="D203" s="15" t="n">
        <f aca="false">IF(Takip!D203="",0,D202+1)</f>
        <v>0</v>
      </c>
      <c r="E203" s="15" t="n">
        <f aca="false">IF(Takip!E203="",0,E202+1)</f>
        <v>0</v>
      </c>
      <c r="F203" s="15" t="n">
        <f aca="false">IF(Takip!F203="",0,F202+1)</f>
        <v>0</v>
      </c>
      <c r="G203" s="15" t="n">
        <f aca="false">IF(Takip!G203="",0,G202+1)</f>
        <v>0</v>
      </c>
      <c r="H203" s="15" t="n">
        <f aca="false">IF(Takip!H203="",0,H202+1)</f>
        <v>0</v>
      </c>
      <c r="I203" s="15" t="n">
        <f aca="false">IF(Takip!I203="",0,I202+1)</f>
        <v>0</v>
      </c>
      <c r="J203" s="15" t="n">
        <f aca="false">IF(Takip!J203="",0,J202+1)</f>
        <v>0</v>
      </c>
      <c r="K203" s="15" t="n">
        <f aca="false">IF(Takip!K203="",0,K202+1)</f>
        <v>0</v>
      </c>
      <c r="L203" s="15" t="n">
        <f aca="false">IF(Takip!L203="",0,L202+1)</f>
        <v>0</v>
      </c>
      <c r="M203" s="15" t="n">
        <f aca="false">IF(Takip!M203="",0,M202+1)</f>
        <v>0</v>
      </c>
      <c r="N203" s="15" t="n">
        <f aca="false">IF(Takip!N203="",0,N202+1)</f>
        <v>0</v>
      </c>
      <c r="O203" s="15" t="n">
        <f aca="false">IF(Takip!O203="",0,O202+1)</f>
        <v>0</v>
      </c>
      <c r="P203" s="15" t="n">
        <f aca="false">IF(Takip!P203="",0,P202+1)</f>
        <v>0</v>
      </c>
      <c r="Q203" s="15" t="n">
        <f aca="false">IF(Takip!Q203="",0,Q202+1)</f>
        <v>0</v>
      </c>
    </row>
    <row r="204" customFormat="false" ht="15" hidden="false" customHeight="false" outlineLevel="0" collapsed="false">
      <c r="A204" s="14" t="n">
        <f aca="false">Takip!R204</f>
        <v>46221</v>
      </c>
      <c r="C204" s="15" t="n">
        <f aca="false">IF(Takip!C204="",0,C203+1)</f>
        <v>0</v>
      </c>
      <c r="D204" s="15" t="n">
        <f aca="false">IF(Takip!D204="",0,D203+1)</f>
        <v>0</v>
      </c>
      <c r="E204" s="15" t="n">
        <f aca="false">IF(Takip!E204="",0,E203+1)</f>
        <v>0</v>
      </c>
      <c r="F204" s="15" t="n">
        <f aca="false">IF(Takip!F204="",0,F203+1)</f>
        <v>0</v>
      </c>
      <c r="G204" s="15" t="n">
        <f aca="false">IF(Takip!G204="",0,G203+1)</f>
        <v>0</v>
      </c>
      <c r="H204" s="15" t="n">
        <f aca="false">IF(Takip!H204="",0,H203+1)</f>
        <v>0</v>
      </c>
      <c r="I204" s="15" t="n">
        <f aca="false">IF(Takip!I204="",0,I203+1)</f>
        <v>0</v>
      </c>
      <c r="J204" s="15" t="n">
        <f aca="false">IF(Takip!J204="",0,J203+1)</f>
        <v>0</v>
      </c>
      <c r="K204" s="15" t="n">
        <f aca="false">IF(Takip!K204="",0,K203+1)</f>
        <v>0</v>
      </c>
      <c r="L204" s="15" t="n">
        <f aca="false">IF(Takip!L204="",0,L203+1)</f>
        <v>0</v>
      </c>
      <c r="M204" s="15" t="n">
        <f aca="false">IF(Takip!M204="",0,M203+1)</f>
        <v>0</v>
      </c>
      <c r="N204" s="15" t="n">
        <f aca="false">IF(Takip!N204="",0,N203+1)</f>
        <v>0</v>
      </c>
      <c r="O204" s="15" t="n">
        <f aca="false">IF(Takip!O204="",0,O203+1)</f>
        <v>0</v>
      </c>
      <c r="P204" s="15" t="n">
        <f aca="false">IF(Takip!P204="",0,P203+1)</f>
        <v>0</v>
      </c>
      <c r="Q204" s="15" t="n">
        <f aca="false">IF(Takip!Q204="",0,Q203+1)</f>
        <v>0</v>
      </c>
    </row>
    <row r="205" customFormat="false" ht="15" hidden="false" customHeight="false" outlineLevel="0" collapsed="false">
      <c r="A205" s="14" t="n">
        <f aca="false">Takip!R205</f>
        <v>46222</v>
      </c>
      <c r="C205" s="15" t="n">
        <f aca="false">IF(Takip!C205="",0,C204+1)</f>
        <v>0</v>
      </c>
      <c r="D205" s="15" t="n">
        <f aca="false">IF(Takip!D205="",0,D204+1)</f>
        <v>0</v>
      </c>
      <c r="E205" s="15" t="n">
        <f aca="false">IF(Takip!E205="",0,E204+1)</f>
        <v>0</v>
      </c>
      <c r="F205" s="15" t="n">
        <f aca="false">IF(Takip!F205="",0,F204+1)</f>
        <v>0</v>
      </c>
      <c r="G205" s="15" t="n">
        <f aca="false">IF(Takip!G205="",0,G204+1)</f>
        <v>0</v>
      </c>
      <c r="H205" s="15" t="n">
        <f aca="false">IF(Takip!H205="",0,H204+1)</f>
        <v>0</v>
      </c>
      <c r="I205" s="15" t="n">
        <f aca="false">IF(Takip!I205="",0,I204+1)</f>
        <v>0</v>
      </c>
      <c r="J205" s="15" t="n">
        <f aca="false">IF(Takip!J205="",0,J204+1)</f>
        <v>0</v>
      </c>
      <c r="K205" s="15" t="n">
        <f aca="false">IF(Takip!K205="",0,K204+1)</f>
        <v>0</v>
      </c>
      <c r="L205" s="15" t="n">
        <f aca="false">IF(Takip!L205="",0,L204+1)</f>
        <v>0</v>
      </c>
      <c r="M205" s="15" t="n">
        <f aca="false">IF(Takip!M205="",0,M204+1)</f>
        <v>0</v>
      </c>
      <c r="N205" s="15" t="n">
        <f aca="false">IF(Takip!N205="",0,N204+1)</f>
        <v>0</v>
      </c>
      <c r="O205" s="15" t="n">
        <f aca="false">IF(Takip!O205="",0,O204+1)</f>
        <v>0</v>
      </c>
      <c r="P205" s="15" t="n">
        <f aca="false">IF(Takip!P205="",0,P204+1)</f>
        <v>0</v>
      </c>
      <c r="Q205" s="15" t="n">
        <f aca="false">IF(Takip!Q205="",0,Q204+1)</f>
        <v>0</v>
      </c>
    </row>
    <row r="206" customFormat="false" ht="15" hidden="false" customHeight="false" outlineLevel="0" collapsed="false">
      <c r="A206" s="14" t="n">
        <f aca="false">Takip!R206</f>
        <v>46223</v>
      </c>
      <c r="C206" s="15" t="n">
        <f aca="false">IF(Takip!C206="",0,C205+1)</f>
        <v>0</v>
      </c>
      <c r="D206" s="15" t="n">
        <f aca="false">IF(Takip!D206="",0,D205+1)</f>
        <v>0</v>
      </c>
      <c r="E206" s="15" t="n">
        <f aca="false">IF(Takip!E206="",0,E205+1)</f>
        <v>0</v>
      </c>
      <c r="F206" s="15" t="n">
        <f aca="false">IF(Takip!F206="",0,F205+1)</f>
        <v>0</v>
      </c>
      <c r="G206" s="15" t="n">
        <f aca="false">IF(Takip!G206="",0,G205+1)</f>
        <v>0</v>
      </c>
      <c r="H206" s="15" t="n">
        <f aca="false">IF(Takip!H206="",0,H205+1)</f>
        <v>0</v>
      </c>
      <c r="I206" s="15" t="n">
        <f aca="false">IF(Takip!I206="",0,I205+1)</f>
        <v>0</v>
      </c>
      <c r="J206" s="15" t="n">
        <f aca="false">IF(Takip!J206="",0,J205+1)</f>
        <v>0</v>
      </c>
      <c r="K206" s="15" t="n">
        <f aca="false">IF(Takip!K206="",0,K205+1)</f>
        <v>0</v>
      </c>
      <c r="L206" s="15" t="n">
        <f aca="false">IF(Takip!L206="",0,L205+1)</f>
        <v>0</v>
      </c>
      <c r="M206" s="15" t="n">
        <f aca="false">IF(Takip!M206="",0,M205+1)</f>
        <v>0</v>
      </c>
      <c r="N206" s="15" t="n">
        <f aca="false">IF(Takip!N206="",0,N205+1)</f>
        <v>0</v>
      </c>
      <c r="O206" s="15" t="n">
        <f aca="false">IF(Takip!O206="",0,O205+1)</f>
        <v>0</v>
      </c>
      <c r="P206" s="15" t="n">
        <f aca="false">IF(Takip!P206="",0,P205+1)</f>
        <v>0</v>
      </c>
      <c r="Q206" s="15" t="n">
        <f aca="false">IF(Takip!Q206="",0,Q205+1)</f>
        <v>0</v>
      </c>
    </row>
    <row r="207" customFormat="false" ht="15" hidden="false" customHeight="false" outlineLevel="0" collapsed="false">
      <c r="A207" s="14" t="n">
        <f aca="false">Takip!R207</f>
        <v>46224</v>
      </c>
      <c r="C207" s="15" t="n">
        <f aca="false">IF(Takip!C207="",0,C206+1)</f>
        <v>0</v>
      </c>
      <c r="D207" s="15" t="n">
        <f aca="false">IF(Takip!D207="",0,D206+1)</f>
        <v>0</v>
      </c>
      <c r="E207" s="15" t="n">
        <f aca="false">IF(Takip!E207="",0,E206+1)</f>
        <v>0</v>
      </c>
      <c r="F207" s="15" t="n">
        <f aca="false">IF(Takip!F207="",0,F206+1)</f>
        <v>0</v>
      </c>
      <c r="G207" s="15" t="n">
        <f aca="false">IF(Takip!G207="",0,G206+1)</f>
        <v>0</v>
      </c>
      <c r="H207" s="15" t="n">
        <f aca="false">IF(Takip!H207="",0,H206+1)</f>
        <v>0</v>
      </c>
      <c r="I207" s="15" t="n">
        <f aca="false">IF(Takip!I207="",0,I206+1)</f>
        <v>0</v>
      </c>
      <c r="J207" s="15" t="n">
        <f aca="false">IF(Takip!J207="",0,J206+1)</f>
        <v>0</v>
      </c>
      <c r="K207" s="15" t="n">
        <f aca="false">IF(Takip!K207="",0,K206+1)</f>
        <v>0</v>
      </c>
      <c r="L207" s="15" t="n">
        <f aca="false">IF(Takip!L207="",0,L206+1)</f>
        <v>0</v>
      </c>
      <c r="M207" s="15" t="n">
        <f aca="false">IF(Takip!M207="",0,M206+1)</f>
        <v>0</v>
      </c>
      <c r="N207" s="15" t="n">
        <f aca="false">IF(Takip!N207="",0,N206+1)</f>
        <v>0</v>
      </c>
      <c r="O207" s="15" t="n">
        <f aca="false">IF(Takip!O207="",0,O206+1)</f>
        <v>0</v>
      </c>
      <c r="P207" s="15" t="n">
        <f aca="false">IF(Takip!P207="",0,P206+1)</f>
        <v>0</v>
      </c>
      <c r="Q207" s="15" t="n">
        <f aca="false">IF(Takip!Q207="",0,Q206+1)</f>
        <v>0</v>
      </c>
    </row>
    <row r="208" customFormat="false" ht="15" hidden="false" customHeight="false" outlineLevel="0" collapsed="false">
      <c r="A208" s="14" t="n">
        <f aca="false">Takip!R208</f>
        <v>46225</v>
      </c>
      <c r="C208" s="15" t="n">
        <f aca="false">IF(Takip!C208="",0,C207+1)</f>
        <v>0</v>
      </c>
      <c r="D208" s="15" t="n">
        <f aca="false">IF(Takip!D208="",0,D207+1)</f>
        <v>0</v>
      </c>
      <c r="E208" s="15" t="n">
        <f aca="false">IF(Takip!E208="",0,E207+1)</f>
        <v>0</v>
      </c>
      <c r="F208" s="15" t="n">
        <f aca="false">IF(Takip!F208="",0,F207+1)</f>
        <v>0</v>
      </c>
      <c r="G208" s="15" t="n">
        <f aca="false">IF(Takip!G208="",0,G207+1)</f>
        <v>0</v>
      </c>
      <c r="H208" s="15" t="n">
        <f aca="false">IF(Takip!H208="",0,H207+1)</f>
        <v>0</v>
      </c>
      <c r="I208" s="15" t="n">
        <f aca="false">IF(Takip!I208="",0,I207+1)</f>
        <v>0</v>
      </c>
      <c r="J208" s="15" t="n">
        <f aca="false">IF(Takip!J208="",0,J207+1)</f>
        <v>0</v>
      </c>
      <c r="K208" s="15" t="n">
        <f aca="false">IF(Takip!K208="",0,K207+1)</f>
        <v>0</v>
      </c>
      <c r="L208" s="15" t="n">
        <f aca="false">IF(Takip!L208="",0,L207+1)</f>
        <v>0</v>
      </c>
      <c r="M208" s="15" t="n">
        <f aca="false">IF(Takip!M208="",0,M207+1)</f>
        <v>0</v>
      </c>
      <c r="N208" s="15" t="n">
        <f aca="false">IF(Takip!N208="",0,N207+1)</f>
        <v>0</v>
      </c>
      <c r="O208" s="15" t="n">
        <f aca="false">IF(Takip!O208="",0,O207+1)</f>
        <v>0</v>
      </c>
      <c r="P208" s="15" t="n">
        <f aca="false">IF(Takip!P208="",0,P207+1)</f>
        <v>0</v>
      </c>
      <c r="Q208" s="15" t="n">
        <f aca="false">IF(Takip!Q208="",0,Q207+1)</f>
        <v>0</v>
      </c>
    </row>
    <row r="209" customFormat="false" ht="15" hidden="false" customHeight="false" outlineLevel="0" collapsed="false">
      <c r="A209" s="14" t="n">
        <f aca="false">Takip!R209</f>
        <v>46226</v>
      </c>
      <c r="C209" s="15" t="n">
        <f aca="false">IF(Takip!C209="",0,C208+1)</f>
        <v>0</v>
      </c>
      <c r="D209" s="15" t="n">
        <f aca="false">IF(Takip!D209="",0,D208+1)</f>
        <v>0</v>
      </c>
      <c r="E209" s="15" t="n">
        <f aca="false">IF(Takip!E209="",0,E208+1)</f>
        <v>0</v>
      </c>
      <c r="F209" s="15" t="n">
        <f aca="false">IF(Takip!F209="",0,F208+1)</f>
        <v>0</v>
      </c>
      <c r="G209" s="15" t="n">
        <f aca="false">IF(Takip!G209="",0,G208+1)</f>
        <v>0</v>
      </c>
      <c r="H209" s="15" t="n">
        <f aca="false">IF(Takip!H209="",0,H208+1)</f>
        <v>0</v>
      </c>
      <c r="I209" s="15" t="n">
        <f aca="false">IF(Takip!I209="",0,I208+1)</f>
        <v>0</v>
      </c>
      <c r="J209" s="15" t="n">
        <f aca="false">IF(Takip!J209="",0,J208+1)</f>
        <v>0</v>
      </c>
      <c r="K209" s="15" t="n">
        <f aca="false">IF(Takip!K209="",0,K208+1)</f>
        <v>0</v>
      </c>
      <c r="L209" s="15" t="n">
        <f aca="false">IF(Takip!L209="",0,L208+1)</f>
        <v>0</v>
      </c>
      <c r="M209" s="15" t="n">
        <f aca="false">IF(Takip!M209="",0,M208+1)</f>
        <v>0</v>
      </c>
      <c r="N209" s="15" t="n">
        <f aca="false">IF(Takip!N209="",0,N208+1)</f>
        <v>0</v>
      </c>
      <c r="O209" s="15" t="n">
        <f aca="false">IF(Takip!O209="",0,O208+1)</f>
        <v>0</v>
      </c>
      <c r="P209" s="15" t="n">
        <f aca="false">IF(Takip!P209="",0,P208+1)</f>
        <v>0</v>
      </c>
      <c r="Q209" s="15" t="n">
        <f aca="false">IF(Takip!Q209="",0,Q208+1)</f>
        <v>0</v>
      </c>
    </row>
    <row r="210" customFormat="false" ht="15" hidden="false" customHeight="false" outlineLevel="0" collapsed="false">
      <c r="A210" s="14" t="n">
        <f aca="false">Takip!R210</f>
        <v>46227</v>
      </c>
      <c r="C210" s="15" t="n">
        <f aca="false">IF(Takip!C210="",0,C209+1)</f>
        <v>0</v>
      </c>
      <c r="D210" s="15" t="n">
        <f aca="false">IF(Takip!D210="",0,D209+1)</f>
        <v>0</v>
      </c>
      <c r="E210" s="15" t="n">
        <f aca="false">IF(Takip!E210="",0,E209+1)</f>
        <v>0</v>
      </c>
      <c r="F210" s="15" t="n">
        <f aca="false">IF(Takip!F210="",0,F209+1)</f>
        <v>0</v>
      </c>
      <c r="G210" s="15" t="n">
        <f aca="false">IF(Takip!G210="",0,G209+1)</f>
        <v>0</v>
      </c>
      <c r="H210" s="15" t="n">
        <f aca="false">IF(Takip!H210="",0,H209+1)</f>
        <v>0</v>
      </c>
      <c r="I210" s="15" t="n">
        <f aca="false">IF(Takip!I210="",0,I209+1)</f>
        <v>0</v>
      </c>
      <c r="J210" s="15" t="n">
        <f aca="false">IF(Takip!J210="",0,J209+1)</f>
        <v>0</v>
      </c>
      <c r="K210" s="15" t="n">
        <f aca="false">IF(Takip!K210="",0,K209+1)</f>
        <v>0</v>
      </c>
      <c r="L210" s="15" t="n">
        <f aca="false">IF(Takip!L210="",0,L209+1)</f>
        <v>0</v>
      </c>
      <c r="M210" s="15" t="n">
        <f aca="false">IF(Takip!M210="",0,M209+1)</f>
        <v>0</v>
      </c>
      <c r="N210" s="15" t="n">
        <f aca="false">IF(Takip!N210="",0,N209+1)</f>
        <v>0</v>
      </c>
      <c r="O210" s="15" t="n">
        <f aca="false">IF(Takip!O210="",0,O209+1)</f>
        <v>0</v>
      </c>
      <c r="P210" s="15" t="n">
        <f aca="false">IF(Takip!P210="",0,P209+1)</f>
        <v>0</v>
      </c>
      <c r="Q210" s="15" t="n">
        <f aca="false">IF(Takip!Q210="",0,Q209+1)</f>
        <v>0</v>
      </c>
    </row>
    <row r="211" customFormat="false" ht="15" hidden="false" customHeight="false" outlineLevel="0" collapsed="false">
      <c r="A211" s="14" t="n">
        <f aca="false">Takip!R211</f>
        <v>46228</v>
      </c>
      <c r="C211" s="15" t="n">
        <f aca="false">IF(Takip!C211="",0,C210+1)</f>
        <v>0</v>
      </c>
      <c r="D211" s="15" t="n">
        <f aca="false">IF(Takip!D211="",0,D210+1)</f>
        <v>0</v>
      </c>
      <c r="E211" s="15" t="n">
        <f aca="false">IF(Takip!E211="",0,E210+1)</f>
        <v>0</v>
      </c>
      <c r="F211" s="15" t="n">
        <f aca="false">IF(Takip!F211="",0,F210+1)</f>
        <v>0</v>
      </c>
      <c r="G211" s="15" t="n">
        <f aca="false">IF(Takip!G211="",0,G210+1)</f>
        <v>0</v>
      </c>
      <c r="H211" s="15" t="n">
        <f aca="false">IF(Takip!H211="",0,H210+1)</f>
        <v>0</v>
      </c>
      <c r="I211" s="15" t="n">
        <f aca="false">IF(Takip!I211="",0,I210+1)</f>
        <v>0</v>
      </c>
      <c r="J211" s="15" t="n">
        <f aca="false">IF(Takip!J211="",0,J210+1)</f>
        <v>0</v>
      </c>
      <c r="K211" s="15" t="n">
        <f aca="false">IF(Takip!K211="",0,K210+1)</f>
        <v>0</v>
      </c>
      <c r="L211" s="15" t="n">
        <f aca="false">IF(Takip!L211="",0,L210+1)</f>
        <v>0</v>
      </c>
      <c r="M211" s="15" t="n">
        <f aca="false">IF(Takip!M211="",0,M210+1)</f>
        <v>0</v>
      </c>
      <c r="N211" s="15" t="n">
        <f aca="false">IF(Takip!N211="",0,N210+1)</f>
        <v>0</v>
      </c>
      <c r="O211" s="15" t="n">
        <f aca="false">IF(Takip!O211="",0,O210+1)</f>
        <v>0</v>
      </c>
      <c r="P211" s="15" t="n">
        <f aca="false">IF(Takip!P211="",0,P210+1)</f>
        <v>0</v>
      </c>
      <c r="Q211" s="15" t="n">
        <f aca="false">IF(Takip!Q211="",0,Q210+1)</f>
        <v>0</v>
      </c>
    </row>
    <row r="212" customFormat="false" ht="15" hidden="false" customHeight="false" outlineLevel="0" collapsed="false">
      <c r="A212" s="14" t="n">
        <f aca="false">Takip!R212</f>
        <v>46229</v>
      </c>
      <c r="C212" s="15" t="n">
        <f aca="false">IF(Takip!C212="",0,C211+1)</f>
        <v>0</v>
      </c>
      <c r="D212" s="15" t="n">
        <f aca="false">IF(Takip!D212="",0,D211+1)</f>
        <v>0</v>
      </c>
      <c r="E212" s="15" t="n">
        <f aca="false">IF(Takip!E212="",0,E211+1)</f>
        <v>0</v>
      </c>
      <c r="F212" s="15" t="n">
        <f aca="false">IF(Takip!F212="",0,F211+1)</f>
        <v>0</v>
      </c>
      <c r="G212" s="15" t="n">
        <f aca="false">IF(Takip!G212="",0,G211+1)</f>
        <v>0</v>
      </c>
      <c r="H212" s="15" t="n">
        <f aca="false">IF(Takip!H212="",0,H211+1)</f>
        <v>0</v>
      </c>
      <c r="I212" s="15" t="n">
        <f aca="false">IF(Takip!I212="",0,I211+1)</f>
        <v>0</v>
      </c>
      <c r="J212" s="15" t="n">
        <f aca="false">IF(Takip!J212="",0,J211+1)</f>
        <v>0</v>
      </c>
      <c r="K212" s="15" t="n">
        <f aca="false">IF(Takip!K212="",0,K211+1)</f>
        <v>0</v>
      </c>
      <c r="L212" s="15" t="n">
        <f aca="false">IF(Takip!L212="",0,L211+1)</f>
        <v>0</v>
      </c>
      <c r="M212" s="15" t="n">
        <f aca="false">IF(Takip!M212="",0,M211+1)</f>
        <v>0</v>
      </c>
      <c r="N212" s="15" t="n">
        <f aca="false">IF(Takip!N212="",0,N211+1)</f>
        <v>0</v>
      </c>
      <c r="O212" s="15" t="n">
        <f aca="false">IF(Takip!O212="",0,O211+1)</f>
        <v>0</v>
      </c>
      <c r="P212" s="15" t="n">
        <f aca="false">IF(Takip!P212="",0,P211+1)</f>
        <v>0</v>
      </c>
      <c r="Q212" s="15" t="n">
        <f aca="false">IF(Takip!Q212="",0,Q211+1)</f>
        <v>0</v>
      </c>
    </row>
    <row r="213" customFormat="false" ht="15" hidden="false" customHeight="false" outlineLevel="0" collapsed="false">
      <c r="A213" s="14" t="n">
        <f aca="false">Takip!R213</f>
        <v>46230</v>
      </c>
      <c r="C213" s="15" t="n">
        <f aca="false">IF(Takip!C213="",0,C212+1)</f>
        <v>0</v>
      </c>
      <c r="D213" s="15" t="n">
        <f aca="false">IF(Takip!D213="",0,D212+1)</f>
        <v>0</v>
      </c>
      <c r="E213" s="15" t="n">
        <f aca="false">IF(Takip!E213="",0,E212+1)</f>
        <v>0</v>
      </c>
      <c r="F213" s="15" t="n">
        <f aca="false">IF(Takip!F213="",0,F212+1)</f>
        <v>0</v>
      </c>
      <c r="G213" s="15" t="n">
        <f aca="false">IF(Takip!G213="",0,G212+1)</f>
        <v>0</v>
      </c>
      <c r="H213" s="15" t="n">
        <f aca="false">IF(Takip!H213="",0,H212+1)</f>
        <v>0</v>
      </c>
      <c r="I213" s="15" t="n">
        <f aca="false">IF(Takip!I213="",0,I212+1)</f>
        <v>0</v>
      </c>
      <c r="J213" s="15" t="n">
        <f aca="false">IF(Takip!J213="",0,J212+1)</f>
        <v>0</v>
      </c>
      <c r="K213" s="15" t="n">
        <f aca="false">IF(Takip!K213="",0,K212+1)</f>
        <v>0</v>
      </c>
      <c r="L213" s="15" t="n">
        <f aca="false">IF(Takip!L213="",0,L212+1)</f>
        <v>0</v>
      </c>
      <c r="M213" s="15" t="n">
        <f aca="false">IF(Takip!M213="",0,M212+1)</f>
        <v>0</v>
      </c>
      <c r="N213" s="15" t="n">
        <f aca="false">IF(Takip!N213="",0,N212+1)</f>
        <v>0</v>
      </c>
      <c r="O213" s="15" t="n">
        <f aca="false">IF(Takip!O213="",0,O212+1)</f>
        <v>0</v>
      </c>
      <c r="P213" s="15" t="n">
        <f aca="false">IF(Takip!P213="",0,P212+1)</f>
        <v>0</v>
      </c>
      <c r="Q213" s="15" t="n">
        <f aca="false">IF(Takip!Q213="",0,Q212+1)</f>
        <v>0</v>
      </c>
    </row>
    <row r="214" customFormat="false" ht="15" hidden="false" customHeight="false" outlineLevel="0" collapsed="false">
      <c r="A214" s="14" t="n">
        <f aca="false">Takip!R214</f>
        <v>46231</v>
      </c>
      <c r="C214" s="15" t="n">
        <f aca="false">IF(Takip!C214="",0,C213+1)</f>
        <v>0</v>
      </c>
      <c r="D214" s="15" t="n">
        <f aca="false">IF(Takip!D214="",0,D213+1)</f>
        <v>0</v>
      </c>
      <c r="E214" s="15" t="n">
        <f aca="false">IF(Takip!E214="",0,E213+1)</f>
        <v>0</v>
      </c>
      <c r="F214" s="15" t="n">
        <f aca="false">IF(Takip!F214="",0,F213+1)</f>
        <v>0</v>
      </c>
      <c r="G214" s="15" t="n">
        <f aca="false">IF(Takip!G214="",0,G213+1)</f>
        <v>0</v>
      </c>
      <c r="H214" s="15" t="n">
        <f aca="false">IF(Takip!H214="",0,H213+1)</f>
        <v>0</v>
      </c>
      <c r="I214" s="15" t="n">
        <f aca="false">IF(Takip!I214="",0,I213+1)</f>
        <v>0</v>
      </c>
      <c r="J214" s="15" t="n">
        <f aca="false">IF(Takip!J214="",0,J213+1)</f>
        <v>0</v>
      </c>
      <c r="K214" s="15" t="n">
        <f aca="false">IF(Takip!K214="",0,K213+1)</f>
        <v>0</v>
      </c>
      <c r="L214" s="15" t="n">
        <f aca="false">IF(Takip!L214="",0,L213+1)</f>
        <v>0</v>
      </c>
      <c r="M214" s="15" t="n">
        <f aca="false">IF(Takip!M214="",0,M213+1)</f>
        <v>0</v>
      </c>
      <c r="N214" s="15" t="n">
        <f aca="false">IF(Takip!N214="",0,N213+1)</f>
        <v>0</v>
      </c>
      <c r="O214" s="15" t="n">
        <f aca="false">IF(Takip!O214="",0,O213+1)</f>
        <v>0</v>
      </c>
      <c r="P214" s="15" t="n">
        <f aca="false">IF(Takip!P214="",0,P213+1)</f>
        <v>0</v>
      </c>
      <c r="Q214" s="15" t="n">
        <f aca="false">IF(Takip!Q214="",0,Q213+1)</f>
        <v>0</v>
      </c>
    </row>
    <row r="215" customFormat="false" ht="15" hidden="false" customHeight="false" outlineLevel="0" collapsed="false">
      <c r="A215" s="14" t="n">
        <f aca="false">Takip!R215</f>
        <v>46232</v>
      </c>
      <c r="C215" s="15" t="n">
        <f aca="false">IF(Takip!C215="",0,C214+1)</f>
        <v>0</v>
      </c>
      <c r="D215" s="15" t="n">
        <f aca="false">IF(Takip!D215="",0,D214+1)</f>
        <v>0</v>
      </c>
      <c r="E215" s="15" t="n">
        <f aca="false">IF(Takip!E215="",0,E214+1)</f>
        <v>0</v>
      </c>
      <c r="F215" s="15" t="n">
        <f aca="false">IF(Takip!F215="",0,F214+1)</f>
        <v>0</v>
      </c>
      <c r="G215" s="15" t="n">
        <f aca="false">IF(Takip!G215="",0,G214+1)</f>
        <v>0</v>
      </c>
      <c r="H215" s="15" t="n">
        <f aca="false">IF(Takip!H215="",0,H214+1)</f>
        <v>0</v>
      </c>
      <c r="I215" s="15" t="n">
        <f aca="false">IF(Takip!I215="",0,I214+1)</f>
        <v>0</v>
      </c>
      <c r="J215" s="15" t="n">
        <f aca="false">IF(Takip!J215="",0,J214+1)</f>
        <v>0</v>
      </c>
      <c r="K215" s="15" t="n">
        <f aca="false">IF(Takip!K215="",0,K214+1)</f>
        <v>0</v>
      </c>
      <c r="L215" s="15" t="n">
        <f aca="false">IF(Takip!L215="",0,L214+1)</f>
        <v>0</v>
      </c>
      <c r="M215" s="15" t="n">
        <f aca="false">IF(Takip!M215="",0,M214+1)</f>
        <v>0</v>
      </c>
      <c r="N215" s="15" t="n">
        <f aca="false">IF(Takip!N215="",0,N214+1)</f>
        <v>0</v>
      </c>
      <c r="O215" s="15" t="n">
        <f aca="false">IF(Takip!O215="",0,O214+1)</f>
        <v>0</v>
      </c>
      <c r="P215" s="15" t="n">
        <f aca="false">IF(Takip!P215="",0,P214+1)</f>
        <v>0</v>
      </c>
      <c r="Q215" s="15" t="n">
        <f aca="false">IF(Takip!Q215="",0,Q214+1)</f>
        <v>0</v>
      </c>
    </row>
    <row r="216" customFormat="false" ht="15" hidden="false" customHeight="false" outlineLevel="0" collapsed="false">
      <c r="A216" s="14" t="n">
        <f aca="false">Takip!R216</f>
        <v>46233</v>
      </c>
      <c r="C216" s="15" t="n">
        <f aca="false">IF(Takip!C216="",0,C215+1)</f>
        <v>0</v>
      </c>
      <c r="D216" s="15" t="n">
        <f aca="false">IF(Takip!D216="",0,D215+1)</f>
        <v>0</v>
      </c>
      <c r="E216" s="15" t="n">
        <f aca="false">IF(Takip!E216="",0,E215+1)</f>
        <v>0</v>
      </c>
      <c r="F216" s="15" t="n">
        <f aca="false">IF(Takip!F216="",0,F215+1)</f>
        <v>0</v>
      </c>
      <c r="G216" s="15" t="n">
        <f aca="false">IF(Takip!G216="",0,G215+1)</f>
        <v>0</v>
      </c>
      <c r="H216" s="15" t="n">
        <f aca="false">IF(Takip!H216="",0,H215+1)</f>
        <v>0</v>
      </c>
      <c r="I216" s="15" t="n">
        <f aca="false">IF(Takip!I216="",0,I215+1)</f>
        <v>0</v>
      </c>
      <c r="J216" s="15" t="n">
        <f aca="false">IF(Takip!J216="",0,J215+1)</f>
        <v>0</v>
      </c>
      <c r="K216" s="15" t="n">
        <f aca="false">IF(Takip!K216="",0,K215+1)</f>
        <v>0</v>
      </c>
      <c r="L216" s="15" t="n">
        <f aca="false">IF(Takip!L216="",0,L215+1)</f>
        <v>0</v>
      </c>
      <c r="M216" s="15" t="n">
        <f aca="false">IF(Takip!M216="",0,M215+1)</f>
        <v>0</v>
      </c>
      <c r="N216" s="15" t="n">
        <f aca="false">IF(Takip!N216="",0,N215+1)</f>
        <v>0</v>
      </c>
      <c r="O216" s="15" t="n">
        <f aca="false">IF(Takip!O216="",0,O215+1)</f>
        <v>0</v>
      </c>
      <c r="P216" s="15" t="n">
        <f aca="false">IF(Takip!P216="",0,P215+1)</f>
        <v>0</v>
      </c>
      <c r="Q216" s="15" t="n">
        <f aca="false">IF(Takip!Q216="",0,Q215+1)</f>
        <v>0</v>
      </c>
    </row>
    <row r="217" customFormat="false" ht="15" hidden="false" customHeight="false" outlineLevel="0" collapsed="false">
      <c r="A217" s="14" t="n">
        <f aca="false">Takip!R217</f>
        <v>46234</v>
      </c>
      <c r="C217" s="15" t="n">
        <f aca="false">IF(Takip!C217="",0,C216+1)</f>
        <v>0</v>
      </c>
      <c r="D217" s="15" t="n">
        <f aca="false">IF(Takip!D217="",0,D216+1)</f>
        <v>0</v>
      </c>
      <c r="E217" s="15" t="n">
        <f aca="false">IF(Takip!E217="",0,E216+1)</f>
        <v>0</v>
      </c>
      <c r="F217" s="15" t="n">
        <f aca="false">IF(Takip!F217="",0,F216+1)</f>
        <v>0</v>
      </c>
      <c r="G217" s="15" t="n">
        <f aca="false">IF(Takip!G217="",0,G216+1)</f>
        <v>0</v>
      </c>
      <c r="H217" s="15" t="n">
        <f aca="false">IF(Takip!H217="",0,H216+1)</f>
        <v>0</v>
      </c>
      <c r="I217" s="15" t="n">
        <f aca="false">IF(Takip!I217="",0,I216+1)</f>
        <v>0</v>
      </c>
      <c r="J217" s="15" t="n">
        <f aca="false">IF(Takip!J217="",0,J216+1)</f>
        <v>0</v>
      </c>
      <c r="K217" s="15" t="n">
        <f aca="false">IF(Takip!K217="",0,K216+1)</f>
        <v>0</v>
      </c>
      <c r="L217" s="15" t="n">
        <f aca="false">IF(Takip!L217="",0,L216+1)</f>
        <v>0</v>
      </c>
      <c r="M217" s="15" t="n">
        <f aca="false">IF(Takip!M217="",0,M216+1)</f>
        <v>0</v>
      </c>
      <c r="N217" s="15" t="n">
        <f aca="false">IF(Takip!N217="",0,N216+1)</f>
        <v>0</v>
      </c>
      <c r="O217" s="15" t="n">
        <f aca="false">IF(Takip!O217="",0,O216+1)</f>
        <v>0</v>
      </c>
      <c r="P217" s="15" t="n">
        <f aca="false">IF(Takip!P217="",0,P216+1)</f>
        <v>0</v>
      </c>
      <c r="Q217" s="15" t="n">
        <f aca="false">IF(Takip!Q217="",0,Q216+1)</f>
        <v>0</v>
      </c>
    </row>
    <row r="218" customFormat="false" ht="15" hidden="false" customHeight="false" outlineLevel="0" collapsed="false">
      <c r="A218" s="14" t="n">
        <f aca="false">Takip!R218</f>
        <v>46235</v>
      </c>
      <c r="C218" s="15" t="n">
        <f aca="false">IF(Takip!C218="",0,C217+1)</f>
        <v>0</v>
      </c>
      <c r="D218" s="15" t="n">
        <f aca="false">IF(Takip!D218="",0,D217+1)</f>
        <v>0</v>
      </c>
      <c r="E218" s="15" t="n">
        <f aca="false">IF(Takip!E218="",0,E217+1)</f>
        <v>0</v>
      </c>
      <c r="F218" s="15" t="n">
        <f aca="false">IF(Takip!F218="",0,F217+1)</f>
        <v>0</v>
      </c>
      <c r="G218" s="15" t="n">
        <f aca="false">IF(Takip!G218="",0,G217+1)</f>
        <v>0</v>
      </c>
      <c r="H218" s="15" t="n">
        <f aca="false">IF(Takip!H218="",0,H217+1)</f>
        <v>0</v>
      </c>
      <c r="I218" s="15" t="n">
        <f aca="false">IF(Takip!I218="",0,I217+1)</f>
        <v>0</v>
      </c>
      <c r="J218" s="15" t="n">
        <f aca="false">IF(Takip!J218="",0,J217+1)</f>
        <v>0</v>
      </c>
      <c r="K218" s="15" t="n">
        <f aca="false">IF(Takip!K218="",0,K217+1)</f>
        <v>0</v>
      </c>
      <c r="L218" s="15" t="n">
        <f aca="false">IF(Takip!L218="",0,L217+1)</f>
        <v>0</v>
      </c>
      <c r="M218" s="15" t="n">
        <f aca="false">IF(Takip!M218="",0,M217+1)</f>
        <v>0</v>
      </c>
      <c r="N218" s="15" t="n">
        <f aca="false">IF(Takip!N218="",0,N217+1)</f>
        <v>0</v>
      </c>
      <c r="O218" s="15" t="n">
        <f aca="false">IF(Takip!O218="",0,O217+1)</f>
        <v>0</v>
      </c>
      <c r="P218" s="15" t="n">
        <f aca="false">IF(Takip!P218="",0,P217+1)</f>
        <v>0</v>
      </c>
      <c r="Q218" s="15" t="n">
        <f aca="false">IF(Takip!Q218="",0,Q217+1)</f>
        <v>0</v>
      </c>
    </row>
    <row r="219" customFormat="false" ht="15" hidden="false" customHeight="false" outlineLevel="0" collapsed="false">
      <c r="A219" s="14" t="n">
        <f aca="false">Takip!R219</f>
        <v>46236</v>
      </c>
      <c r="C219" s="15" t="n">
        <f aca="false">IF(Takip!C219="",0,C218+1)</f>
        <v>0</v>
      </c>
      <c r="D219" s="15" t="n">
        <f aca="false">IF(Takip!D219="",0,D218+1)</f>
        <v>0</v>
      </c>
      <c r="E219" s="15" t="n">
        <f aca="false">IF(Takip!E219="",0,E218+1)</f>
        <v>0</v>
      </c>
      <c r="F219" s="15" t="n">
        <f aca="false">IF(Takip!F219="",0,F218+1)</f>
        <v>0</v>
      </c>
      <c r="G219" s="15" t="n">
        <f aca="false">IF(Takip!G219="",0,G218+1)</f>
        <v>0</v>
      </c>
      <c r="H219" s="15" t="n">
        <f aca="false">IF(Takip!H219="",0,H218+1)</f>
        <v>0</v>
      </c>
      <c r="I219" s="15" t="n">
        <f aca="false">IF(Takip!I219="",0,I218+1)</f>
        <v>0</v>
      </c>
      <c r="J219" s="15" t="n">
        <f aca="false">IF(Takip!J219="",0,J218+1)</f>
        <v>0</v>
      </c>
      <c r="K219" s="15" t="n">
        <f aca="false">IF(Takip!K219="",0,K218+1)</f>
        <v>0</v>
      </c>
      <c r="L219" s="15" t="n">
        <f aca="false">IF(Takip!L219="",0,L218+1)</f>
        <v>0</v>
      </c>
      <c r="M219" s="15" t="n">
        <f aca="false">IF(Takip!M219="",0,M218+1)</f>
        <v>0</v>
      </c>
      <c r="N219" s="15" t="n">
        <f aca="false">IF(Takip!N219="",0,N218+1)</f>
        <v>0</v>
      </c>
      <c r="O219" s="15" t="n">
        <f aca="false">IF(Takip!O219="",0,O218+1)</f>
        <v>0</v>
      </c>
      <c r="P219" s="15" t="n">
        <f aca="false">IF(Takip!P219="",0,P218+1)</f>
        <v>0</v>
      </c>
      <c r="Q219" s="15" t="n">
        <f aca="false">IF(Takip!Q219="",0,Q218+1)</f>
        <v>0</v>
      </c>
    </row>
    <row r="220" customFormat="false" ht="15" hidden="false" customHeight="false" outlineLevel="0" collapsed="false">
      <c r="A220" s="14" t="n">
        <f aca="false">Takip!R220</f>
        <v>46237</v>
      </c>
      <c r="C220" s="15" t="n">
        <f aca="false">IF(Takip!C220="",0,C219+1)</f>
        <v>0</v>
      </c>
      <c r="D220" s="15" t="n">
        <f aca="false">IF(Takip!D220="",0,D219+1)</f>
        <v>0</v>
      </c>
      <c r="E220" s="15" t="n">
        <f aca="false">IF(Takip!E220="",0,E219+1)</f>
        <v>0</v>
      </c>
      <c r="F220" s="15" t="n">
        <f aca="false">IF(Takip!F220="",0,F219+1)</f>
        <v>0</v>
      </c>
      <c r="G220" s="15" t="n">
        <f aca="false">IF(Takip!G220="",0,G219+1)</f>
        <v>0</v>
      </c>
      <c r="H220" s="15" t="n">
        <f aca="false">IF(Takip!H220="",0,H219+1)</f>
        <v>0</v>
      </c>
      <c r="I220" s="15" t="n">
        <f aca="false">IF(Takip!I220="",0,I219+1)</f>
        <v>0</v>
      </c>
      <c r="J220" s="15" t="n">
        <f aca="false">IF(Takip!J220="",0,J219+1)</f>
        <v>0</v>
      </c>
      <c r="K220" s="15" t="n">
        <f aca="false">IF(Takip!K220="",0,K219+1)</f>
        <v>0</v>
      </c>
      <c r="L220" s="15" t="n">
        <f aca="false">IF(Takip!L220="",0,L219+1)</f>
        <v>0</v>
      </c>
      <c r="M220" s="15" t="n">
        <f aca="false">IF(Takip!M220="",0,M219+1)</f>
        <v>0</v>
      </c>
      <c r="N220" s="15" t="n">
        <f aca="false">IF(Takip!N220="",0,N219+1)</f>
        <v>0</v>
      </c>
      <c r="O220" s="15" t="n">
        <f aca="false">IF(Takip!O220="",0,O219+1)</f>
        <v>0</v>
      </c>
      <c r="P220" s="15" t="n">
        <f aca="false">IF(Takip!P220="",0,P219+1)</f>
        <v>0</v>
      </c>
      <c r="Q220" s="15" t="n">
        <f aca="false">IF(Takip!Q220="",0,Q219+1)</f>
        <v>0</v>
      </c>
    </row>
    <row r="221" customFormat="false" ht="15" hidden="false" customHeight="false" outlineLevel="0" collapsed="false">
      <c r="A221" s="14" t="n">
        <f aca="false">Takip!R221</f>
        <v>46238</v>
      </c>
      <c r="C221" s="15" t="n">
        <f aca="false">IF(Takip!C221="",0,C220+1)</f>
        <v>0</v>
      </c>
      <c r="D221" s="15" t="n">
        <f aca="false">IF(Takip!D221="",0,D220+1)</f>
        <v>0</v>
      </c>
      <c r="E221" s="15" t="n">
        <f aca="false">IF(Takip!E221="",0,E220+1)</f>
        <v>0</v>
      </c>
      <c r="F221" s="15" t="n">
        <f aca="false">IF(Takip!F221="",0,F220+1)</f>
        <v>0</v>
      </c>
      <c r="G221" s="15" t="n">
        <f aca="false">IF(Takip!G221="",0,G220+1)</f>
        <v>0</v>
      </c>
      <c r="H221" s="15" t="n">
        <f aca="false">IF(Takip!H221="",0,H220+1)</f>
        <v>0</v>
      </c>
      <c r="I221" s="15" t="n">
        <f aca="false">IF(Takip!I221="",0,I220+1)</f>
        <v>0</v>
      </c>
      <c r="J221" s="15" t="n">
        <f aca="false">IF(Takip!J221="",0,J220+1)</f>
        <v>0</v>
      </c>
      <c r="K221" s="15" t="n">
        <f aca="false">IF(Takip!K221="",0,K220+1)</f>
        <v>0</v>
      </c>
      <c r="L221" s="15" t="n">
        <f aca="false">IF(Takip!L221="",0,L220+1)</f>
        <v>0</v>
      </c>
      <c r="M221" s="15" t="n">
        <f aca="false">IF(Takip!M221="",0,M220+1)</f>
        <v>0</v>
      </c>
      <c r="N221" s="15" t="n">
        <f aca="false">IF(Takip!N221="",0,N220+1)</f>
        <v>0</v>
      </c>
      <c r="O221" s="15" t="n">
        <f aca="false">IF(Takip!O221="",0,O220+1)</f>
        <v>0</v>
      </c>
      <c r="P221" s="15" t="n">
        <f aca="false">IF(Takip!P221="",0,P220+1)</f>
        <v>0</v>
      </c>
      <c r="Q221" s="15" t="n">
        <f aca="false">IF(Takip!Q221="",0,Q220+1)</f>
        <v>0</v>
      </c>
    </row>
    <row r="222" customFormat="false" ht="15" hidden="false" customHeight="false" outlineLevel="0" collapsed="false">
      <c r="A222" s="14" t="n">
        <f aca="false">Takip!R222</f>
        <v>46239</v>
      </c>
      <c r="C222" s="15" t="n">
        <f aca="false">IF(Takip!C222="",0,C221+1)</f>
        <v>0</v>
      </c>
      <c r="D222" s="15" t="n">
        <f aca="false">IF(Takip!D222="",0,D221+1)</f>
        <v>0</v>
      </c>
      <c r="E222" s="15" t="n">
        <f aca="false">IF(Takip!E222="",0,E221+1)</f>
        <v>0</v>
      </c>
      <c r="F222" s="15" t="n">
        <f aca="false">IF(Takip!F222="",0,F221+1)</f>
        <v>0</v>
      </c>
      <c r="G222" s="15" t="n">
        <f aca="false">IF(Takip!G222="",0,G221+1)</f>
        <v>0</v>
      </c>
      <c r="H222" s="15" t="n">
        <f aca="false">IF(Takip!H222="",0,H221+1)</f>
        <v>0</v>
      </c>
      <c r="I222" s="15" t="n">
        <f aca="false">IF(Takip!I222="",0,I221+1)</f>
        <v>0</v>
      </c>
      <c r="J222" s="15" t="n">
        <f aca="false">IF(Takip!J222="",0,J221+1)</f>
        <v>0</v>
      </c>
      <c r="K222" s="15" t="n">
        <f aca="false">IF(Takip!K222="",0,K221+1)</f>
        <v>0</v>
      </c>
      <c r="L222" s="15" t="n">
        <f aca="false">IF(Takip!L222="",0,L221+1)</f>
        <v>0</v>
      </c>
      <c r="M222" s="15" t="n">
        <f aca="false">IF(Takip!M222="",0,M221+1)</f>
        <v>0</v>
      </c>
      <c r="N222" s="15" t="n">
        <f aca="false">IF(Takip!N222="",0,N221+1)</f>
        <v>0</v>
      </c>
      <c r="O222" s="15" t="n">
        <f aca="false">IF(Takip!O222="",0,O221+1)</f>
        <v>0</v>
      </c>
      <c r="P222" s="15" t="n">
        <f aca="false">IF(Takip!P222="",0,P221+1)</f>
        <v>0</v>
      </c>
      <c r="Q222" s="15" t="n">
        <f aca="false">IF(Takip!Q222="",0,Q221+1)</f>
        <v>0</v>
      </c>
    </row>
    <row r="223" customFormat="false" ht="15" hidden="false" customHeight="false" outlineLevel="0" collapsed="false">
      <c r="A223" s="14" t="n">
        <f aca="false">Takip!R223</f>
        <v>46240</v>
      </c>
      <c r="C223" s="15" t="n">
        <f aca="false">IF(Takip!C223="",0,C222+1)</f>
        <v>0</v>
      </c>
      <c r="D223" s="15" t="n">
        <f aca="false">IF(Takip!D223="",0,D222+1)</f>
        <v>0</v>
      </c>
      <c r="E223" s="15" t="n">
        <f aca="false">IF(Takip!E223="",0,E222+1)</f>
        <v>0</v>
      </c>
      <c r="F223" s="15" t="n">
        <f aca="false">IF(Takip!F223="",0,F222+1)</f>
        <v>0</v>
      </c>
      <c r="G223" s="15" t="n">
        <f aca="false">IF(Takip!G223="",0,G222+1)</f>
        <v>0</v>
      </c>
      <c r="H223" s="15" t="n">
        <f aca="false">IF(Takip!H223="",0,H222+1)</f>
        <v>0</v>
      </c>
      <c r="I223" s="15" t="n">
        <f aca="false">IF(Takip!I223="",0,I222+1)</f>
        <v>0</v>
      </c>
      <c r="J223" s="15" t="n">
        <f aca="false">IF(Takip!J223="",0,J222+1)</f>
        <v>0</v>
      </c>
      <c r="K223" s="15" t="n">
        <f aca="false">IF(Takip!K223="",0,K222+1)</f>
        <v>0</v>
      </c>
      <c r="L223" s="15" t="n">
        <f aca="false">IF(Takip!L223="",0,L222+1)</f>
        <v>0</v>
      </c>
      <c r="M223" s="15" t="n">
        <f aca="false">IF(Takip!M223="",0,M222+1)</f>
        <v>0</v>
      </c>
      <c r="N223" s="15" t="n">
        <f aca="false">IF(Takip!N223="",0,N222+1)</f>
        <v>0</v>
      </c>
      <c r="O223" s="15" t="n">
        <f aca="false">IF(Takip!O223="",0,O222+1)</f>
        <v>0</v>
      </c>
      <c r="P223" s="15" t="n">
        <f aca="false">IF(Takip!P223="",0,P222+1)</f>
        <v>0</v>
      </c>
      <c r="Q223" s="15" t="n">
        <f aca="false">IF(Takip!Q223="",0,Q222+1)</f>
        <v>0</v>
      </c>
    </row>
    <row r="224" customFormat="false" ht="15" hidden="false" customHeight="false" outlineLevel="0" collapsed="false">
      <c r="A224" s="14" t="n">
        <f aca="false">Takip!R224</f>
        <v>46241</v>
      </c>
      <c r="C224" s="15" t="n">
        <f aca="false">IF(Takip!C224="",0,C223+1)</f>
        <v>0</v>
      </c>
      <c r="D224" s="15" t="n">
        <f aca="false">IF(Takip!D224="",0,D223+1)</f>
        <v>0</v>
      </c>
      <c r="E224" s="15" t="n">
        <f aca="false">IF(Takip!E224="",0,E223+1)</f>
        <v>0</v>
      </c>
      <c r="F224" s="15" t="n">
        <f aca="false">IF(Takip!F224="",0,F223+1)</f>
        <v>0</v>
      </c>
      <c r="G224" s="15" t="n">
        <f aca="false">IF(Takip!G224="",0,G223+1)</f>
        <v>0</v>
      </c>
      <c r="H224" s="15" t="n">
        <f aca="false">IF(Takip!H224="",0,H223+1)</f>
        <v>0</v>
      </c>
      <c r="I224" s="15" t="n">
        <f aca="false">IF(Takip!I224="",0,I223+1)</f>
        <v>0</v>
      </c>
      <c r="J224" s="15" t="n">
        <f aca="false">IF(Takip!J224="",0,J223+1)</f>
        <v>0</v>
      </c>
      <c r="K224" s="15" t="n">
        <f aca="false">IF(Takip!K224="",0,K223+1)</f>
        <v>0</v>
      </c>
      <c r="L224" s="15" t="n">
        <f aca="false">IF(Takip!L224="",0,L223+1)</f>
        <v>0</v>
      </c>
      <c r="M224" s="15" t="n">
        <f aca="false">IF(Takip!M224="",0,M223+1)</f>
        <v>0</v>
      </c>
      <c r="N224" s="15" t="n">
        <f aca="false">IF(Takip!N224="",0,N223+1)</f>
        <v>0</v>
      </c>
      <c r="O224" s="15" t="n">
        <f aca="false">IF(Takip!O224="",0,O223+1)</f>
        <v>0</v>
      </c>
      <c r="P224" s="15" t="n">
        <f aca="false">IF(Takip!P224="",0,P223+1)</f>
        <v>0</v>
      </c>
      <c r="Q224" s="15" t="n">
        <f aca="false">IF(Takip!Q224="",0,Q223+1)</f>
        <v>0</v>
      </c>
    </row>
    <row r="225" customFormat="false" ht="15" hidden="false" customHeight="false" outlineLevel="0" collapsed="false">
      <c r="A225" s="14" t="n">
        <f aca="false">Takip!R225</f>
        <v>46242</v>
      </c>
      <c r="C225" s="15" t="n">
        <f aca="false">IF(Takip!C225="",0,C224+1)</f>
        <v>0</v>
      </c>
      <c r="D225" s="15" t="n">
        <f aca="false">IF(Takip!D225="",0,D224+1)</f>
        <v>0</v>
      </c>
      <c r="E225" s="15" t="n">
        <f aca="false">IF(Takip!E225="",0,E224+1)</f>
        <v>0</v>
      </c>
      <c r="F225" s="15" t="n">
        <f aca="false">IF(Takip!F225="",0,F224+1)</f>
        <v>0</v>
      </c>
      <c r="G225" s="15" t="n">
        <f aca="false">IF(Takip!G225="",0,G224+1)</f>
        <v>0</v>
      </c>
      <c r="H225" s="15" t="n">
        <f aca="false">IF(Takip!H225="",0,H224+1)</f>
        <v>0</v>
      </c>
      <c r="I225" s="15" t="n">
        <f aca="false">IF(Takip!I225="",0,I224+1)</f>
        <v>0</v>
      </c>
      <c r="J225" s="15" t="n">
        <f aca="false">IF(Takip!J225="",0,J224+1)</f>
        <v>0</v>
      </c>
      <c r="K225" s="15" t="n">
        <f aca="false">IF(Takip!K225="",0,K224+1)</f>
        <v>0</v>
      </c>
      <c r="L225" s="15" t="n">
        <f aca="false">IF(Takip!L225="",0,L224+1)</f>
        <v>0</v>
      </c>
      <c r="M225" s="15" t="n">
        <f aca="false">IF(Takip!M225="",0,M224+1)</f>
        <v>0</v>
      </c>
      <c r="N225" s="15" t="n">
        <f aca="false">IF(Takip!N225="",0,N224+1)</f>
        <v>0</v>
      </c>
      <c r="O225" s="15" t="n">
        <f aca="false">IF(Takip!O225="",0,O224+1)</f>
        <v>0</v>
      </c>
      <c r="P225" s="15" t="n">
        <f aca="false">IF(Takip!P225="",0,P224+1)</f>
        <v>0</v>
      </c>
      <c r="Q225" s="15" t="n">
        <f aca="false">IF(Takip!Q225="",0,Q224+1)</f>
        <v>0</v>
      </c>
    </row>
    <row r="226" customFormat="false" ht="15" hidden="false" customHeight="false" outlineLevel="0" collapsed="false">
      <c r="A226" s="14" t="n">
        <f aca="false">Takip!R226</f>
        <v>46243</v>
      </c>
      <c r="C226" s="15" t="n">
        <f aca="false">IF(Takip!C226="",0,C225+1)</f>
        <v>0</v>
      </c>
      <c r="D226" s="15" t="n">
        <f aca="false">IF(Takip!D226="",0,D225+1)</f>
        <v>0</v>
      </c>
      <c r="E226" s="15" t="n">
        <f aca="false">IF(Takip!E226="",0,E225+1)</f>
        <v>0</v>
      </c>
      <c r="F226" s="15" t="n">
        <f aca="false">IF(Takip!F226="",0,F225+1)</f>
        <v>0</v>
      </c>
      <c r="G226" s="15" t="n">
        <f aca="false">IF(Takip!G226="",0,G225+1)</f>
        <v>0</v>
      </c>
      <c r="H226" s="15" t="n">
        <f aca="false">IF(Takip!H226="",0,H225+1)</f>
        <v>0</v>
      </c>
      <c r="I226" s="15" t="n">
        <f aca="false">IF(Takip!I226="",0,I225+1)</f>
        <v>0</v>
      </c>
      <c r="J226" s="15" t="n">
        <f aca="false">IF(Takip!J226="",0,J225+1)</f>
        <v>0</v>
      </c>
      <c r="K226" s="15" t="n">
        <f aca="false">IF(Takip!K226="",0,K225+1)</f>
        <v>0</v>
      </c>
      <c r="L226" s="15" t="n">
        <f aca="false">IF(Takip!L226="",0,L225+1)</f>
        <v>0</v>
      </c>
      <c r="M226" s="15" t="n">
        <f aca="false">IF(Takip!M226="",0,M225+1)</f>
        <v>0</v>
      </c>
      <c r="N226" s="15" t="n">
        <f aca="false">IF(Takip!N226="",0,N225+1)</f>
        <v>0</v>
      </c>
      <c r="O226" s="15" t="n">
        <f aca="false">IF(Takip!O226="",0,O225+1)</f>
        <v>0</v>
      </c>
      <c r="P226" s="15" t="n">
        <f aca="false">IF(Takip!P226="",0,P225+1)</f>
        <v>0</v>
      </c>
      <c r="Q226" s="15" t="n">
        <f aca="false">IF(Takip!Q226="",0,Q225+1)</f>
        <v>0</v>
      </c>
    </row>
    <row r="227" customFormat="false" ht="15" hidden="false" customHeight="false" outlineLevel="0" collapsed="false">
      <c r="A227" s="14" t="n">
        <f aca="false">Takip!R227</f>
        <v>46244</v>
      </c>
      <c r="C227" s="15" t="n">
        <f aca="false">IF(Takip!C227="",0,C226+1)</f>
        <v>0</v>
      </c>
      <c r="D227" s="15" t="n">
        <f aca="false">IF(Takip!D227="",0,D226+1)</f>
        <v>0</v>
      </c>
      <c r="E227" s="15" t="n">
        <f aca="false">IF(Takip!E227="",0,E226+1)</f>
        <v>0</v>
      </c>
      <c r="F227" s="15" t="n">
        <f aca="false">IF(Takip!F227="",0,F226+1)</f>
        <v>0</v>
      </c>
      <c r="G227" s="15" t="n">
        <f aca="false">IF(Takip!G227="",0,G226+1)</f>
        <v>0</v>
      </c>
      <c r="H227" s="15" t="n">
        <f aca="false">IF(Takip!H227="",0,H226+1)</f>
        <v>0</v>
      </c>
      <c r="I227" s="15" t="n">
        <f aca="false">IF(Takip!I227="",0,I226+1)</f>
        <v>0</v>
      </c>
      <c r="J227" s="15" t="n">
        <f aca="false">IF(Takip!J227="",0,J226+1)</f>
        <v>0</v>
      </c>
      <c r="K227" s="15" t="n">
        <f aca="false">IF(Takip!K227="",0,K226+1)</f>
        <v>0</v>
      </c>
      <c r="L227" s="15" t="n">
        <f aca="false">IF(Takip!L227="",0,L226+1)</f>
        <v>0</v>
      </c>
      <c r="M227" s="15" t="n">
        <f aca="false">IF(Takip!M227="",0,M226+1)</f>
        <v>0</v>
      </c>
      <c r="N227" s="15" t="n">
        <f aca="false">IF(Takip!N227="",0,N226+1)</f>
        <v>0</v>
      </c>
      <c r="O227" s="15" t="n">
        <f aca="false">IF(Takip!O227="",0,O226+1)</f>
        <v>0</v>
      </c>
      <c r="P227" s="15" t="n">
        <f aca="false">IF(Takip!P227="",0,P226+1)</f>
        <v>0</v>
      </c>
      <c r="Q227" s="15" t="n">
        <f aca="false">IF(Takip!Q227="",0,Q226+1)</f>
        <v>0</v>
      </c>
    </row>
    <row r="228" customFormat="false" ht="15" hidden="false" customHeight="false" outlineLevel="0" collapsed="false">
      <c r="A228" s="14" t="n">
        <f aca="false">Takip!R228</f>
        <v>46245</v>
      </c>
      <c r="C228" s="15" t="n">
        <f aca="false">IF(Takip!C228="",0,C227+1)</f>
        <v>0</v>
      </c>
      <c r="D228" s="15" t="n">
        <f aca="false">IF(Takip!D228="",0,D227+1)</f>
        <v>0</v>
      </c>
      <c r="E228" s="15" t="n">
        <f aca="false">IF(Takip!E228="",0,E227+1)</f>
        <v>0</v>
      </c>
      <c r="F228" s="15" t="n">
        <f aca="false">IF(Takip!F228="",0,F227+1)</f>
        <v>0</v>
      </c>
      <c r="G228" s="15" t="n">
        <f aca="false">IF(Takip!G228="",0,G227+1)</f>
        <v>0</v>
      </c>
      <c r="H228" s="15" t="n">
        <f aca="false">IF(Takip!H228="",0,H227+1)</f>
        <v>0</v>
      </c>
      <c r="I228" s="15" t="n">
        <f aca="false">IF(Takip!I228="",0,I227+1)</f>
        <v>0</v>
      </c>
      <c r="J228" s="15" t="n">
        <f aca="false">IF(Takip!J228="",0,J227+1)</f>
        <v>0</v>
      </c>
      <c r="K228" s="15" t="n">
        <f aca="false">IF(Takip!K228="",0,K227+1)</f>
        <v>0</v>
      </c>
      <c r="L228" s="15" t="n">
        <f aca="false">IF(Takip!L228="",0,L227+1)</f>
        <v>0</v>
      </c>
      <c r="M228" s="15" t="n">
        <f aca="false">IF(Takip!M228="",0,M227+1)</f>
        <v>0</v>
      </c>
      <c r="N228" s="15" t="n">
        <f aca="false">IF(Takip!N228="",0,N227+1)</f>
        <v>0</v>
      </c>
      <c r="O228" s="15" t="n">
        <f aca="false">IF(Takip!O228="",0,O227+1)</f>
        <v>0</v>
      </c>
      <c r="P228" s="15" t="n">
        <f aca="false">IF(Takip!P228="",0,P227+1)</f>
        <v>0</v>
      </c>
      <c r="Q228" s="15" t="n">
        <f aca="false">IF(Takip!Q228="",0,Q227+1)</f>
        <v>0</v>
      </c>
    </row>
    <row r="229" customFormat="false" ht="15" hidden="false" customHeight="false" outlineLevel="0" collapsed="false">
      <c r="A229" s="14" t="n">
        <f aca="false">Takip!R229</f>
        <v>46246</v>
      </c>
      <c r="C229" s="15" t="n">
        <f aca="false">IF(Takip!C229="",0,C228+1)</f>
        <v>0</v>
      </c>
      <c r="D229" s="15" t="n">
        <f aca="false">IF(Takip!D229="",0,D228+1)</f>
        <v>0</v>
      </c>
      <c r="E229" s="15" t="n">
        <f aca="false">IF(Takip!E229="",0,E228+1)</f>
        <v>0</v>
      </c>
      <c r="F229" s="15" t="n">
        <f aca="false">IF(Takip!F229="",0,F228+1)</f>
        <v>0</v>
      </c>
      <c r="G229" s="15" t="n">
        <f aca="false">IF(Takip!G229="",0,G228+1)</f>
        <v>0</v>
      </c>
      <c r="H229" s="15" t="n">
        <f aca="false">IF(Takip!H229="",0,H228+1)</f>
        <v>0</v>
      </c>
      <c r="I229" s="15" t="n">
        <f aca="false">IF(Takip!I229="",0,I228+1)</f>
        <v>0</v>
      </c>
      <c r="J229" s="15" t="n">
        <f aca="false">IF(Takip!J229="",0,J228+1)</f>
        <v>0</v>
      </c>
      <c r="K229" s="15" t="n">
        <f aca="false">IF(Takip!K229="",0,K228+1)</f>
        <v>0</v>
      </c>
      <c r="L229" s="15" t="n">
        <f aca="false">IF(Takip!L229="",0,L228+1)</f>
        <v>0</v>
      </c>
      <c r="M229" s="15" t="n">
        <f aca="false">IF(Takip!M229="",0,M228+1)</f>
        <v>0</v>
      </c>
      <c r="N229" s="15" t="n">
        <f aca="false">IF(Takip!N229="",0,N228+1)</f>
        <v>0</v>
      </c>
      <c r="O229" s="15" t="n">
        <f aca="false">IF(Takip!O229="",0,O228+1)</f>
        <v>0</v>
      </c>
      <c r="P229" s="15" t="n">
        <f aca="false">IF(Takip!P229="",0,P228+1)</f>
        <v>0</v>
      </c>
      <c r="Q229" s="15" t="n">
        <f aca="false">IF(Takip!Q229="",0,Q228+1)</f>
        <v>0</v>
      </c>
    </row>
    <row r="230" customFormat="false" ht="15" hidden="false" customHeight="false" outlineLevel="0" collapsed="false">
      <c r="A230" s="14" t="n">
        <f aca="false">Takip!R230</f>
        <v>46247</v>
      </c>
      <c r="C230" s="15" t="n">
        <f aca="false">IF(Takip!C230="",0,C229+1)</f>
        <v>0</v>
      </c>
      <c r="D230" s="15" t="n">
        <f aca="false">IF(Takip!D230="",0,D229+1)</f>
        <v>0</v>
      </c>
      <c r="E230" s="15" t="n">
        <f aca="false">IF(Takip!E230="",0,E229+1)</f>
        <v>0</v>
      </c>
      <c r="F230" s="15" t="n">
        <f aca="false">IF(Takip!F230="",0,F229+1)</f>
        <v>0</v>
      </c>
      <c r="G230" s="15" t="n">
        <f aca="false">IF(Takip!G230="",0,G229+1)</f>
        <v>0</v>
      </c>
      <c r="H230" s="15" t="n">
        <f aca="false">IF(Takip!H230="",0,H229+1)</f>
        <v>0</v>
      </c>
      <c r="I230" s="15" t="n">
        <f aca="false">IF(Takip!I230="",0,I229+1)</f>
        <v>0</v>
      </c>
      <c r="J230" s="15" t="n">
        <f aca="false">IF(Takip!J230="",0,J229+1)</f>
        <v>0</v>
      </c>
      <c r="K230" s="15" t="n">
        <f aca="false">IF(Takip!K230="",0,K229+1)</f>
        <v>0</v>
      </c>
      <c r="L230" s="15" t="n">
        <f aca="false">IF(Takip!L230="",0,L229+1)</f>
        <v>0</v>
      </c>
      <c r="M230" s="15" t="n">
        <f aca="false">IF(Takip!M230="",0,M229+1)</f>
        <v>0</v>
      </c>
      <c r="N230" s="15" t="n">
        <f aca="false">IF(Takip!N230="",0,N229+1)</f>
        <v>0</v>
      </c>
      <c r="O230" s="15" t="n">
        <f aca="false">IF(Takip!O230="",0,O229+1)</f>
        <v>0</v>
      </c>
      <c r="P230" s="15" t="n">
        <f aca="false">IF(Takip!P230="",0,P229+1)</f>
        <v>0</v>
      </c>
      <c r="Q230" s="15" t="n">
        <f aca="false">IF(Takip!Q230="",0,Q229+1)</f>
        <v>0</v>
      </c>
    </row>
    <row r="231" customFormat="false" ht="15" hidden="false" customHeight="false" outlineLevel="0" collapsed="false">
      <c r="A231" s="14" t="n">
        <f aca="false">Takip!R231</f>
        <v>46248</v>
      </c>
      <c r="C231" s="15" t="n">
        <f aca="false">IF(Takip!C231="",0,C230+1)</f>
        <v>0</v>
      </c>
      <c r="D231" s="15" t="n">
        <f aca="false">IF(Takip!D231="",0,D230+1)</f>
        <v>0</v>
      </c>
      <c r="E231" s="15" t="n">
        <f aca="false">IF(Takip!E231="",0,E230+1)</f>
        <v>0</v>
      </c>
      <c r="F231" s="15" t="n">
        <f aca="false">IF(Takip!F231="",0,F230+1)</f>
        <v>0</v>
      </c>
      <c r="G231" s="15" t="n">
        <f aca="false">IF(Takip!G231="",0,G230+1)</f>
        <v>0</v>
      </c>
      <c r="H231" s="15" t="n">
        <f aca="false">IF(Takip!H231="",0,H230+1)</f>
        <v>0</v>
      </c>
      <c r="I231" s="15" t="n">
        <f aca="false">IF(Takip!I231="",0,I230+1)</f>
        <v>0</v>
      </c>
      <c r="J231" s="15" t="n">
        <f aca="false">IF(Takip!J231="",0,J230+1)</f>
        <v>0</v>
      </c>
      <c r="K231" s="15" t="n">
        <f aca="false">IF(Takip!K231="",0,K230+1)</f>
        <v>0</v>
      </c>
      <c r="L231" s="15" t="n">
        <f aca="false">IF(Takip!L231="",0,L230+1)</f>
        <v>0</v>
      </c>
      <c r="M231" s="15" t="n">
        <f aca="false">IF(Takip!M231="",0,M230+1)</f>
        <v>0</v>
      </c>
      <c r="N231" s="15" t="n">
        <f aca="false">IF(Takip!N231="",0,N230+1)</f>
        <v>0</v>
      </c>
      <c r="O231" s="15" t="n">
        <f aca="false">IF(Takip!O231="",0,O230+1)</f>
        <v>0</v>
      </c>
      <c r="P231" s="15" t="n">
        <f aca="false">IF(Takip!P231="",0,P230+1)</f>
        <v>0</v>
      </c>
      <c r="Q231" s="15" t="n">
        <f aca="false">IF(Takip!Q231="",0,Q230+1)</f>
        <v>0</v>
      </c>
    </row>
    <row r="232" customFormat="false" ht="15" hidden="false" customHeight="false" outlineLevel="0" collapsed="false">
      <c r="A232" s="14" t="n">
        <f aca="false">Takip!R232</f>
        <v>46249</v>
      </c>
      <c r="C232" s="15" t="n">
        <f aca="false">IF(Takip!C232="",0,C231+1)</f>
        <v>0</v>
      </c>
      <c r="D232" s="15" t="n">
        <f aca="false">IF(Takip!D232="",0,D231+1)</f>
        <v>0</v>
      </c>
      <c r="E232" s="15" t="n">
        <f aca="false">IF(Takip!E232="",0,E231+1)</f>
        <v>0</v>
      </c>
      <c r="F232" s="15" t="n">
        <f aca="false">IF(Takip!F232="",0,F231+1)</f>
        <v>0</v>
      </c>
      <c r="G232" s="15" t="n">
        <f aca="false">IF(Takip!G232="",0,G231+1)</f>
        <v>0</v>
      </c>
      <c r="H232" s="15" t="n">
        <f aca="false">IF(Takip!H232="",0,H231+1)</f>
        <v>0</v>
      </c>
      <c r="I232" s="15" t="n">
        <f aca="false">IF(Takip!I232="",0,I231+1)</f>
        <v>0</v>
      </c>
      <c r="J232" s="15" t="n">
        <f aca="false">IF(Takip!J232="",0,J231+1)</f>
        <v>0</v>
      </c>
      <c r="K232" s="15" t="n">
        <f aca="false">IF(Takip!K232="",0,K231+1)</f>
        <v>0</v>
      </c>
      <c r="L232" s="15" t="n">
        <f aca="false">IF(Takip!L232="",0,L231+1)</f>
        <v>0</v>
      </c>
      <c r="M232" s="15" t="n">
        <f aca="false">IF(Takip!M232="",0,M231+1)</f>
        <v>0</v>
      </c>
      <c r="N232" s="15" t="n">
        <f aca="false">IF(Takip!N232="",0,N231+1)</f>
        <v>0</v>
      </c>
      <c r="O232" s="15" t="n">
        <f aca="false">IF(Takip!O232="",0,O231+1)</f>
        <v>0</v>
      </c>
      <c r="P232" s="15" t="n">
        <f aca="false">IF(Takip!P232="",0,P231+1)</f>
        <v>0</v>
      </c>
      <c r="Q232" s="15" t="n">
        <f aca="false">IF(Takip!Q232="",0,Q231+1)</f>
        <v>0</v>
      </c>
    </row>
    <row r="233" customFormat="false" ht="15" hidden="false" customHeight="false" outlineLevel="0" collapsed="false">
      <c r="A233" s="14" t="n">
        <f aca="false">Takip!R233</f>
        <v>46250</v>
      </c>
      <c r="C233" s="15" t="n">
        <f aca="false">IF(Takip!C233="",0,C232+1)</f>
        <v>0</v>
      </c>
      <c r="D233" s="15" t="n">
        <f aca="false">IF(Takip!D233="",0,D232+1)</f>
        <v>0</v>
      </c>
      <c r="E233" s="15" t="n">
        <f aca="false">IF(Takip!E233="",0,E232+1)</f>
        <v>0</v>
      </c>
      <c r="F233" s="15" t="n">
        <f aca="false">IF(Takip!F233="",0,F232+1)</f>
        <v>0</v>
      </c>
      <c r="G233" s="15" t="n">
        <f aca="false">IF(Takip!G233="",0,G232+1)</f>
        <v>0</v>
      </c>
      <c r="H233" s="15" t="n">
        <f aca="false">IF(Takip!H233="",0,H232+1)</f>
        <v>0</v>
      </c>
      <c r="I233" s="15" t="n">
        <f aca="false">IF(Takip!I233="",0,I232+1)</f>
        <v>0</v>
      </c>
      <c r="J233" s="15" t="n">
        <f aca="false">IF(Takip!J233="",0,J232+1)</f>
        <v>0</v>
      </c>
      <c r="K233" s="15" t="n">
        <f aca="false">IF(Takip!K233="",0,K232+1)</f>
        <v>0</v>
      </c>
      <c r="L233" s="15" t="n">
        <f aca="false">IF(Takip!L233="",0,L232+1)</f>
        <v>0</v>
      </c>
      <c r="M233" s="15" t="n">
        <f aca="false">IF(Takip!M233="",0,M232+1)</f>
        <v>0</v>
      </c>
      <c r="N233" s="15" t="n">
        <f aca="false">IF(Takip!N233="",0,N232+1)</f>
        <v>0</v>
      </c>
      <c r="O233" s="15" t="n">
        <f aca="false">IF(Takip!O233="",0,O232+1)</f>
        <v>0</v>
      </c>
      <c r="P233" s="15" t="n">
        <f aca="false">IF(Takip!P233="",0,P232+1)</f>
        <v>0</v>
      </c>
      <c r="Q233" s="15" t="n">
        <f aca="false">IF(Takip!Q233="",0,Q232+1)</f>
        <v>0</v>
      </c>
    </row>
    <row r="234" customFormat="false" ht="15" hidden="false" customHeight="false" outlineLevel="0" collapsed="false">
      <c r="A234" s="14" t="n">
        <f aca="false">Takip!R234</f>
        <v>46251</v>
      </c>
      <c r="C234" s="15" t="n">
        <f aca="false">IF(Takip!C234="",0,C233+1)</f>
        <v>0</v>
      </c>
      <c r="D234" s="15" t="n">
        <f aca="false">IF(Takip!D234="",0,D233+1)</f>
        <v>0</v>
      </c>
      <c r="E234" s="15" t="n">
        <f aca="false">IF(Takip!E234="",0,E233+1)</f>
        <v>0</v>
      </c>
      <c r="F234" s="15" t="n">
        <f aca="false">IF(Takip!F234="",0,F233+1)</f>
        <v>0</v>
      </c>
      <c r="G234" s="15" t="n">
        <f aca="false">IF(Takip!G234="",0,G233+1)</f>
        <v>0</v>
      </c>
      <c r="H234" s="15" t="n">
        <f aca="false">IF(Takip!H234="",0,H233+1)</f>
        <v>0</v>
      </c>
      <c r="I234" s="15" t="n">
        <f aca="false">IF(Takip!I234="",0,I233+1)</f>
        <v>0</v>
      </c>
      <c r="J234" s="15" t="n">
        <f aca="false">IF(Takip!J234="",0,J233+1)</f>
        <v>0</v>
      </c>
      <c r="K234" s="15" t="n">
        <f aca="false">IF(Takip!K234="",0,K233+1)</f>
        <v>0</v>
      </c>
      <c r="L234" s="15" t="n">
        <f aca="false">IF(Takip!L234="",0,L233+1)</f>
        <v>0</v>
      </c>
      <c r="M234" s="15" t="n">
        <f aca="false">IF(Takip!M234="",0,M233+1)</f>
        <v>0</v>
      </c>
      <c r="N234" s="15" t="n">
        <f aca="false">IF(Takip!N234="",0,N233+1)</f>
        <v>0</v>
      </c>
      <c r="O234" s="15" t="n">
        <f aca="false">IF(Takip!O234="",0,O233+1)</f>
        <v>0</v>
      </c>
      <c r="P234" s="15" t="n">
        <f aca="false">IF(Takip!P234="",0,P233+1)</f>
        <v>0</v>
      </c>
      <c r="Q234" s="15" t="n">
        <f aca="false">IF(Takip!Q234="",0,Q233+1)</f>
        <v>0</v>
      </c>
    </row>
    <row r="235" customFormat="false" ht="15" hidden="false" customHeight="false" outlineLevel="0" collapsed="false">
      <c r="A235" s="14" t="n">
        <f aca="false">Takip!R235</f>
        <v>46252</v>
      </c>
      <c r="C235" s="15" t="n">
        <f aca="false">IF(Takip!C235="",0,C234+1)</f>
        <v>0</v>
      </c>
      <c r="D235" s="15" t="n">
        <f aca="false">IF(Takip!D235="",0,D234+1)</f>
        <v>0</v>
      </c>
      <c r="E235" s="15" t="n">
        <f aca="false">IF(Takip!E235="",0,E234+1)</f>
        <v>0</v>
      </c>
      <c r="F235" s="15" t="n">
        <f aca="false">IF(Takip!F235="",0,F234+1)</f>
        <v>0</v>
      </c>
      <c r="G235" s="15" t="n">
        <f aca="false">IF(Takip!G235="",0,G234+1)</f>
        <v>0</v>
      </c>
      <c r="H235" s="15" t="n">
        <f aca="false">IF(Takip!H235="",0,H234+1)</f>
        <v>0</v>
      </c>
      <c r="I235" s="15" t="n">
        <f aca="false">IF(Takip!I235="",0,I234+1)</f>
        <v>0</v>
      </c>
      <c r="J235" s="15" t="n">
        <f aca="false">IF(Takip!J235="",0,J234+1)</f>
        <v>0</v>
      </c>
      <c r="K235" s="15" t="n">
        <f aca="false">IF(Takip!K235="",0,K234+1)</f>
        <v>0</v>
      </c>
      <c r="L235" s="15" t="n">
        <f aca="false">IF(Takip!L235="",0,L234+1)</f>
        <v>0</v>
      </c>
      <c r="M235" s="15" t="n">
        <f aca="false">IF(Takip!M235="",0,M234+1)</f>
        <v>0</v>
      </c>
      <c r="N235" s="15" t="n">
        <f aca="false">IF(Takip!N235="",0,N234+1)</f>
        <v>0</v>
      </c>
      <c r="O235" s="15" t="n">
        <f aca="false">IF(Takip!O235="",0,O234+1)</f>
        <v>0</v>
      </c>
      <c r="P235" s="15" t="n">
        <f aca="false">IF(Takip!P235="",0,P234+1)</f>
        <v>0</v>
      </c>
      <c r="Q235" s="15" t="n">
        <f aca="false">IF(Takip!Q235="",0,Q234+1)</f>
        <v>0</v>
      </c>
    </row>
    <row r="236" customFormat="false" ht="15" hidden="false" customHeight="false" outlineLevel="0" collapsed="false">
      <c r="A236" s="14" t="n">
        <f aca="false">Takip!R236</f>
        <v>46253</v>
      </c>
      <c r="C236" s="15" t="n">
        <f aca="false">IF(Takip!C236="",0,C235+1)</f>
        <v>0</v>
      </c>
      <c r="D236" s="15" t="n">
        <f aca="false">IF(Takip!D236="",0,D235+1)</f>
        <v>0</v>
      </c>
      <c r="E236" s="15" t="n">
        <f aca="false">IF(Takip!E236="",0,E235+1)</f>
        <v>0</v>
      </c>
      <c r="F236" s="15" t="n">
        <f aca="false">IF(Takip!F236="",0,F235+1)</f>
        <v>0</v>
      </c>
      <c r="G236" s="15" t="n">
        <f aca="false">IF(Takip!G236="",0,G235+1)</f>
        <v>0</v>
      </c>
      <c r="H236" s="15" t="n">
        <f aca="false">IF(Takip!H236="",0,H235+1)</f>
        <v>0</v>
      </c>
      <c r="I236" s="15" t="n">
        <f aca="false">IF(Takip!I236="",0,I235+1)</f>
        <v>0</v>
      </c>
      <c r="J236" s="15" t="n">
        <f aca="false">IF(Takip!J236="",0,J235+1)</f>
        <v>0</v>
      </c>
      <c r="K236" s="15" t="n">
        <f aca="false">IF(Takip!K236="",0,K235+1)</f>
        <v>0</v>
      </c>
      <c r="L236" s="15" t="n">
        <f aca="false">IF(Takip!L236="",0,L235+1)</f>
        <v>0</v>
      </c>
      <c r="M236" s="15" t="n">
        <f aca="false">IF(Takip!M236="",0,M235+1)</f>
        <v>0</v>
      </c>
      <c r="N236" s="15" t="n">
        <f aca="false">IF(Takip!N236="",0,N235+1)</f>
        <v>0</v>
      </c>
      <c r="O236" s="15" t="n">
        <f aca="false">IF(Takip!O236="",0,O235+1)</f>
        <v>0</v>
      </c>
      <c r="P236" s="15" t="n">
        <f aca="false">IF(Takip!P236="",0,P235+1)</f>
        <v>0</v>
      </c>
      <c r="Q236" s="15" t="n">
        <f aca="false">IF(Takip!Q236="",0,Q235+1)</f>
        <v>0</v>
      </c>
    </row>
    <row r="237" customFormat="false" ht="15" hidden="false" customHeight="false" outlineLevel="0" collapsed="false">
      <c r="A237" s="14" t="n">
        <f aca="false">Takip!R237</f>
        <v>46254</v>
      </c>
      <c r="C237" s="15" t="n">
        <f aca="false">IF(Takip!C237="",0,C236+1)</f>
        <v>0</v>
      </c>
      <c r="D237" s="15" t="n">
        <f aca="false">IF(Takip!D237="",0,D236+1)</f>
        <v>0</v>
      </c>
      <c r="E237" s="15" t="n">
        <f aca="false">IF(Takip!E237="",0,E236+1)</f>
        <v>0</v>
      </c>
      <c r="F237" s="15" t="n">
        <f aca="false">IF(Takip!F237="",0,F236+1)</f>
        <v>0</v>
      </c>
      <c r="G237" s="15" t="n">
        <f aca="false">IF(Takip!G237="",0,G236+1)</f>
        <v>0</v>
      </c>
      <c r="H237" s="15" t="n">
        <f aca="false">IF(Takip!H237="",0,H236+1)</f>
        <v>0</v>
      </c>
      <c r="I237" s="15" t="n">
        <f aca="false">IF(Takip!I237="",0,I236+1)</f>
        <v>0</v>
      </c>
      <c r="J237" s="15" t="n">
        <f aca="false">IF(Takip!J237="",0,J236+1)</f>
        <v>0</v>
      </c>
      <c r="K237" s="15" t="n">
        <f aca="false">IF(Takip!K237="",0,K236+1)</f>
        <v>0</v>
      </c>
      <c r="L237" s="15" t="n">
        <f aca="false">IF(Takip!L237="",0,L236+1)</f>
        <v>0</v>
      </c>
      <c r="M237" s="15" t="n">
        <f aca="false">IF(Takip!M237="",0,M236+1)</f>
        <v>0</v>
      </c>
      <c r="N237" s="15" t="n">
        <f aca="false">IF(Takip!N237="",0,N236+1)</f>
        <v>0</v>
      </c>
      <c r="O237" s="15" t="n">
        <f aca="false">IF(Takip!O237="",0,O236+1)</f>
        <v>0</v>
      </c>
      <c r="P237" s="15" t="n">
        <f aca="false">IF(Takip!P237="",0,P236+1)</f>
        <v>0</v>
      </c>
      <c r="Q237" s="15" t="n">
        <f aca="false">IF(Takip!Q237="",0,Q236+1)</f>
        <v>0</v>
      </c>
    </row>
    <row r="238" customFormat="false" ht="15" hidden="false" customHeight="false" outlineLevel="0" collapsed="false">
      <c r="A238" s="14" t="n">
        <f aca="false">Takip!R238</f>
        <v>46255</v>
      </c>
      <c r="C238" s="15" t="n">
        <f aca="false">IF(Takip!C238="",0,C237+1)</f>
        <v>0</v>
      </c>
      <c r="D238" s="15" t="n">
        <f aca="false">IF(Takip!D238="",0,D237+1)</f>
        <v>0</v>
      </c>
      <c r="E238" s="15" t="n">
        <f aca="false">IF(Takip!E238="",0,E237+1)</f>
        <v>0</v>
      </c>
      <c r="F238" s="15" t="n">
        <f aca="false">IF(Takip!F238="",0,F237+1)</f>
        <v>0</v>
      </c>
      <c r="G238" s="15" t="n">
        <f aca="false">IF(Takip!G238="",0,G237+1)</f>
        <v>0</v>
      </c>
      <c r="H238" s="15" t="n">
        <f aca="false">IF(Takip!H238="",0,H237+1)</f>
        <v>0</v>
      </c>
      <c r="I238" s="15" t="n">
        <f aca="false">IF(Takip!I238="",0,I237+1)</f>
        <v>0</v>
      </c>
      <c r="J238" s="15" t="n">
        <f aca="false">IF(Takip!J238="",0,J237+1)</f>
        <v>0</v>
      </c>
      <c r="K238" s="15" t="n">
        <f aca="false">IF(Takip!K238="",0,K237+1)</f>
        <v>0</v>
      </c>
      <c r="L238" s="15" t="n">
        <f aca="false">IF(Takip!L238="",0,L237+1)</f>
        <v>0</v>
      </c>
      <c r="M238" s="15" t="n">
        <f aca="false">IF(Takip!M238="",0,M237+1)</f>
        <v>0</v>
      </c>
      <c r="N238" s="15" t="n">
        <f aca="false">IF(Takip!N238="",0,N237+1)</f>
        <v>0</v>
      </c>
      <c r="O238" s="15" t="n">
        <f aca="false">IF(Takip!O238="",0,O237+1)</f>
        <v>0</v>
      </c>
      <c r="P238" s="15" t="n">
        <f aca="false">IF(Takip!P238="",0,P237+1)</f>
        <v>0</v>
      </c>
      <c r="Q238" s="15" t="n">
        <f aca="false">IF(Takip!Q238="",0,Q237+1)</f>
        <v>0</v>
      </c>
    </row>
    <row r="239" customFormat="false" ht="15" hidden="false" customHeight="false" outlineLevel="0" collapsed="false">
      <c r="A239" s="14" t="n">
        <f aca="false">Takip!R239</f>
        <v>46256</v>
      </c>
      <c r="C239" s="15" t="n">
        <f aca="false">IF(Takip!C239="",0,C238+1)</f>
        <v>0</v>
      </c>
      <c r="D239" s="15" t="n">
        <f aca="false">IF(Takip!D239="",0,D238+1)</f>
        <v>0</v>
      </c>
      <c r="E239" s="15" t="n">
        <f aca="false">IF(Takip!E239="",0,E238+1)</f>
        <v>0</v>
      </c>
      <c r="F239" s="15" t="n">
        <f aca="false">IF(Takip!F239="",0,F238+1)</f>
        <v>0</v>
      </c>
      <c r="G239" s="15" t="n">
        <f aca="false">IF(Takip!G239="",0,G238+1)</f>
        <v>0</v>
      </c>
      <c r="H239" s="15" t="n">
        <f aca="false">IF(Takip!H239="",0,H238+1)</f>
        <v>0</v>
      </c>
      <c r="I239" s="15" t="n">
        <f aca="false">IF(Takip!I239="",0,I238+1)</f>
        <v>0</v>
      </c>
      <c r="J239" s="15" t="n">
        <f aca="false">IF(Takip!J239="",0,J238+1)</f>
        <v>0</v>
      </c>
      <c r="K239" s="15" t="n">
        <f aca="false">IF(Takip!K239="",0,K238+1)</f>
        <v>0</v>
      </c>
      <c r="L239" s="15" t="n">
        <f aca="false">IF(Takip!L239="",0,L238+1)</f>
        <v>0</v>
      </c>
      <c r="M239" s="15" t="n">
        <f aca="false">IF(Takip!M239="",0,M238+1)</f>
        <v>0</v>
      </c>
      <c r="N239" s="15" t="n">
        <f aca="false">IF(Takip!N239="",0,N238+1)</f>
        <v>0</v>
      </c>
      <c r="O239" s="15" t="n">
        <f aca="false">IF(Takip!O239="",0,O238+1)</f>
        <v>0</v>
      </c>
      <c r="P239" s="15" t="n">
        <f aca="false">IF(Takip!P239="",0,P238+1)</f>
        <v>0</v>
      </c>
      <c r="Q239" s="15" t="n">
        <f aca="false">IF(Takip!Q239="",0,Q238+1)</f>
        <v>0</v>
      </c>
    </row>
    <row r="240" customFormat="false" ht="15" hidden="false" customHeight="false" outlineLevel="0" collapsed="false">
      <c r="A240" s="14" t="n">
        <f aca="false">Takip!R240</f>
        <v>46257</v>
      </c>
      <c r="C240" s="15" t="n">
        <f aca="false">IF(Takip!C240="",0,C239+1)</f>
        <v>0</v>
      </c>
      <c r="D240" s="15" t="n">
        <f aca="false">IF(Takip!D240="",0,D239+1)</f>
        <v>0</v>
      </c>
      <c r="E240" s="15" t="n">
        <f aca="false">IF(Takip!E240="",0,E239+1)</f>
        <v>0</v>
      </c>
      <c r="F240" s="15" t="n">
        <f aca="false">IF(Takip!F240="",0,F239+1)</f>
        <v>0</v>
      </c>
      <c r="G240" s="15" t="n">
        <f aca="false">IF(Takip!G240="",0,G239+1)</f>
        <v>0</v>
      </c>
      <c r="H240" s="15" t="n">
        <f aca="false">IF(Takip!H240="",0,H239+1)</f>
        <v>0</v>
      </c>
      <c r="I240" s="15" t="n">
        <f aca="false">IF(Takip!I240="",0,I239+1)</f>
        <v>0</v>
      </c>
      <c r="J240" s="15" t="n">
        <f aca="false">IF(Takip!J240="",0,J239+1)</f>
        <v>0</v>
      </c>
      <c r="K240" s="15" t="n">
        <f aca="false">IF(Takip!K240="",0,K239+1)</f>
        <v>0</v>
      </c>
      <c r="L240" s="15" t="n">
        <f aca="false">IF(Takip!L240="",0,L239+1)</f>
        <v>0</v>
      </c>
      <c r="M240" s="15" t="n">
        <f aca="false">IF(Takip!M240="",0,M239+1)</f>
        <v>0</v>
      </c>
      <c r="N240" s="15" t="n">
        <f aca="false">IF(Takip!N240="",0,N239+1)</f>
        <v>0</v>
      </c>
      <c r="O240" s="15" t="n">
        <f aca="false">IF(Takip!O240="",0,O239+1)</f>
        <v>0</v>
      </c>
      <c r="P240" s="15" t="n">
        <f aca="false">IF(Takip!P240="",0,P239+1)</f>
        <v>0</v>
      </c>
      <c r="Q240" s="15" t="n">
        <f aca="false">IF(Takip!Q240="",0,Q239+1)</f>
        <v>0</v>
      </c>
    </row>
    <row r="241" customFormat="false" ht="15" hidden="false" customHeight="false" outlineLevel="0" collapsed="false">
      <c r="A241" s="14" t="n">
        <f aca="false">Takip!R241</f>
        <v>46258</v>
      </c>
      <c r="C241" s="15" t="n">
        <f aca="false">IF(Takip!C241="",0,C240+1)</f>
        <v>0</v>
      </c>
      <c r="D241" s="15" t="n">
        <f aca="false">IF(Takip!D241="",0,D240+1)</f>
        <v>0</v>
      </c>
      <c r="E241" s="15" t="n">
        <f aca="false">IF(Takip!E241="",0,E240+1)</f>
        <v>0</v>
      </c>
      <c r="F241" s="15" t="n">
        <f aca="false">IF(Takip!F241="",0,F240+1)</f>
        <v>0</v>
      </c>
      <c r="G241" s="15" t="n">
        <f aca="false">IF(Takip!G241="",0,G240+1)</f>
        <v>0</v>
      </c>
      <c r="H241" s="15" t="n">
        <f aca="false">IF(Takip!H241="",0,H240+1)</f>
        <v>0</v>
      </c>
      <c r="I241" s="15" t="n">
        <f aca="false">IF(Takip!I241="",0,I240+1)</f>
        <v>0</v>
      </c>
      <c r="J241" s="15" t="n">
        <f aca="false">IF(Takip!J241="",0,J240+1)</f>
        <v>0</v>
      </c>
      <c r="K241" s="15" t="n">
        <f aca="false">IF(Takip!K241="",0,K240+1)</f>
        <v>0</v>
      </c>
      <c r="L241" s="15" t="n">
        <f aca="false">IF(Takip!L241="",0,L240+1)</f>
        <v>0</v>
      </c>
      <c r="M241" s="15" t="n">
        <f aca="false">IF(Takip!M241="",0,M240+1)</f>
        <v>0</v>
      </c>
      <c r="N241" s="15" t="n">
        <f aca="false">IF(Takip!N241="",0,N240+1)</f>
        <v>0</v>
      </c>
      <c r="O241" s="15" t="n">
        <f aca="false">IF(Takip!O241="",0,O240+1)</f>
        <v>0</v>
      </c>
      <c r="P241" s="15" t="n">
        <f aca="false">IF(Takip!P241="",0,P240+1)</f>
        <v>0</v>
      </c>
      <c r="Q241" s="15" t="n">
        <f aca="false">IF(Takip!Q241="",0,Q240+1)</f>
        <v>0</v>
      </c>
    </row>
    <row r="242" customFormat="false" ht="15" hidden="false" customHeight="false" outlineLevel="0" collapsed="false">
      <c r="A242" s="14" t="n">
        <f aca="false">Takip!R242</f>
        <v>46259</v>
      </c>
      <c r="C242" s="15" t="n">
        <f aca="false">IF(Takip!C242="",0,C241+1)</f>
        <v>0</v>
      </c>
      <c r="D242" s="15" t="n">
        <f aca="false">IF(Takip!D242="",0,D241+1)</f>
        <v>0</v>
      </c>
      <c r="E242" s="15" t="n">
        <f aca="false">IF(Takip!E242="",0,E241+1)</f>
        <v>0</v>
      </c>
      <c r="F242" s="15" t="n">
        <f aca="false">IF(Takip!F242="",0,F241+1)</f>
        <v>0</v>
      </c>
      <c r="G242" s="15" t="n">
        <f aca="false">IF(Takip!G242="",0,G241+1)</f>
        <v>0</v>
      </c>
      <c r="H242" s="15" t="n">
        <f aca="false">IF(Takip!H242="",0,H241+1)</f>
        <v>0</v>
      </c>
      <c r="I242" s="15" t="n">
        <f aca="false">IF(Takip!I242="",0,I241+1)</f>
        <v>0</v>
      </c>
      <c r="J242" s="15" t="n">
        <f aca="false">IF(Takip!J242="",0,J241+1)</f>
        <v>0</v>
      </c>
      <c r="K242" s="15" t="n">
        <f aca="false">IF(Takip!K242="",0,K241+1)</f>
        <v>0</v>
      </c>
      <c r="L242" s="15" t="n">
        <f aca="false">IF(Takip!L242="",0,L241+1)</f>
        <v>0</v>
      </c>
      <c r="M242" s="15" t="n">
        <f aca="false">IF(Takip!M242="",0,M241+1)</f>
        <v>0</v>
      </c>
      <c r="N242" s="15" t="n">
        <f aca="false">IF(Takip!N242="",0,N241+1)</f>
        <v>0</v>
      </c>
      <c r="O242" s="15" t="n">
        <f aca="false">IF(Takip!O242="",0,O241+1)</f>
        <v>0</v>
      </c>
      <c r="P242" s="15" t="n">
        <f aca="false">IF(Takip!P242="",0,P241+1)</f>
        <v>0</v>
      </c>
      <c r="Q242" s="15" t="n">
        <f aca="false">IF(Takip!Q242="",0,Q241+1)</f>
        <v>0</v>
      </c>
    </row>
    <row r="243" customFormat="false" ht="15" hidden="false" customHeight="false" outlineLevel="0" collapsed="false">
      <c r="A243" s="14" t="n">
        <f aca="false">Takip!R243</f>
        <v>46260</v>
      </c>
      <c r="C243" s="15" t="n">
        <f aca="false">IF(Takip!C243="",0,C242+1)</f>
        <v>0</v>
      </c>
      <c r="D243" s="15" t="n">
        <f aca="false">IF(Takip!D243="",0,D242+1)</f>
        <v>0</v>
      </c>
      <c r="E243" s="15" t="n">
        <f aca="false">IF(Takip!E243="",0,E242+1)</f>
        <v>0</v>
      </c>
      <c r="F243" s="15" t="n">
        <f aca="false">IF(Takip!F243="",0,F242+1)</f>
        <v>0</v>
      </c>
      <c r="G243" s="15" t="n">
        <f aca="false">IF(Takip!G243="",0,G242+1)</f>
        <v>0</v>
      </c>
      <c r="H243" s="15" t="n">
        <f aca="false">IF(Takip!H243="",0,H242+1)</f>
        <v>0</v>
      </c>
      <c r="I243" s="15" t="n">
        <f aca="false">IF(Takip!I243="",0,I242+1)</f>
        <v>0</v>
      </c>
      <c r="J243" s="15" t="n">
        <f aca="false">IF(Takip!J243="",0,J242+1)</f>
        <v>0</v>
      </c>
      <c r="K243" s="15" t="n">
        <f aca="false">IF(Takip!K243="",0,K242+1)</f>
        <v>0</v>
      </c>
      <c r="L243" s="15" t="n">
        <f aca="false">IF(Takip!L243="",0,L242+1)</f>
        <v>0</v>
      </c>
      <c r="M243" s="15" t="n">
        <f aca="false">IF(Takip!M243="",0,M242+1)</f>
        <v>0</v>
      </c>
      <c r="N243" s="15" t="n">
        <f aca="false">IF(Takip!N243="",0,N242+1)</f>
        <v>0</v>
      </c>
      <c r="O243" s="15" t="n">
        <f aca="false">IF(Takip!O243="",0,O242+1)</f>
        <v>0</v>
      </c>
      <c r="P243" s="15" t="n">
        <f aca="false">IF(Takip!P243="",0,P242+1)</f>
        <v>0</v>
      </c>
      <c r="Q243" s="15" t="n">
        <f aca="false">IF(Takip!Q243="",0,Q242+1)</f>
        <v>0</v>
      </c>
    </row>
    <row r="244" customFormat="false" ht="15" hidden="false" customHeight="false" outlineLevel="0" collapsed="false">
      <c r="A244" s="14" t="n">
        <f aca="false">Takip!R244</f>
        <v>46261</v>
      </c>
      <c r="C244" s="15" t="n">
        <f aca="false">IF(Takip!C244="",0,C243+1)</f>
        <v>0</v>
      </c>
      <c r="D244" s="15" t="n">
        <f aca="false">IF(Takip!D244="",0,D243+1)</f>
        <v>0</v>
      </c>
      <c r="E244" s="15" t="n">
        <f aca="false">IF(Takip!E244="",0,E243+1)</f>
        <v>0</v>
      </c>
      <c r="F244" s="15" t="n">
        <f aca="false">IF(Takip!F244="",0,F243+1)</f>
        <v>0</v>
      </c>
      <c r="G244" s="15" t="n">
        <f aca="false">IF(Takip!G244="",0,G243+1)</f>
        <v>0</v>
      </c>
      <c r="H244" s="15" t="n">
        <f aca="false">IF(Takip!H244="",0,H243+1)</f>
        <v>0</v>
      </c>
      <c r="I244" s="15" t="n">
        <f aca="false">IF(Takip!I244="",0,I243+1)</f>
        <v>0</v>
      </c>
      <c r="J244" s="15" t="n">
        <f aca="false">IF(Takip!J244="",0,J243+1)</f>
        <v>0</v>
      </c>
      <c r="K244" s="15" t="n">
        <f aca="false">IF(Takip!K244="",0,K243+1)</f>
        <v>0</v>
      </c>
      <c r="L244" s="15" t="n">
        <f aca="false">IF(Takip!L244="",0,L243+1)</f>
        <v>0</v>
      </c>
      <c r="M244" s="15" t="n">
        <f aca="false">IF(Takip!M244="",0,M243+1)</f>
        <v>0</v>
      </c>
      <c r="N244" s="15" t="n">
        <f aca="false">IF(Takip!N244="",0,N243+1)</f>
        <v>0</v>
      </c>
      <c r="O244" s="15" t="n">
        <f aca="false">IF(Takip!O244="",0,O243+1)</f>
        <v>0</v>
      </c>
      <c r="P244" s="15" t="n">
        <f aca="false">IF(Takip!P244="",0,P243+1)</f>
        <v>0</v>
      </c>
      <c r="Q244" s="15" t="n">
        <f aca="false">IF(Takip!Q244="",0,Q243+1)</f>
        <v>0</v>
      </c>
    </row>
    <row r="245" customFormat="false" ht="15" hidden="false" customHeight="false" outlineLevel="0" collapsed="false">
      <c r="A245" s="14" t="n">
        <f aca="false">Takip!R245</f>
        <v>46262</v>
      </c>
      <c r="C245" s="15" t="n">
        <f aca="false">IF(Takip!C245="",0,C244+1)</f>
        <v>0</v>
      </c>
      <c r="D245" s="15" t="n">
        <f aca="false">IF(Takip!D245="",0,D244+1)</f>
        <v>0</v>
      </c>
      <c r="E245" s="15" t="n">
        <f aca="false">IF(Takip!E245="",0,E244+1)</f>
        <v>0</v>
      </c>
      <c r="F245" s="15" t="n">
        <f aca="false">IF(Takip!F245="",0,F244+1)</f>
        <v>0</v>
      </c>
      <c r="G245" s="15" t="n">
        <f aca="false">IF(Takip!G245="",0,G244+1)</f>
        <v>0</v>
      </c>
      <c r="H245" s="15" t="n">
        <f aca="false">IF(Takip!H245="",0,H244+1)</f>
        <v>0</v>
      </c>
      <c r="I245" s="15" t="n">
        <f aca="false">IF(Takip!I245="",0,I244+1)</f>
        <v>0</v>
      </c>
      <c r="J245" s="15" t="n">
        <f aca="false">IF(Takip!J245="",0,J244+1)</f>
        <v>0</v>
      </c>
      <c r="K245" s="15" t="n">
        <f aca="false">IF(Takip!K245="",0,K244+1)</f>
        <v>0</v>
      </c>
      <c r="L245" s="15" t="n">
        <f aca="false">IF(Takip!L245="",0,L244+1)</f>
        <v>0</v>
      </c>
      <c r="M245" s="15" t="n">
        <f aca="false">IF(Takip!M245="",0,M244+1)</f>
        <v>0</v>
      </c>
      <c r="N245" s="15" t="n">
        <f aca="false">IF(Takip!N245="",0,N244+1)</f>
        <v>0</v>
      </c>
      <c r="O245" s="15" t="n">
        <f aca="false">IF(Takip!O245="",0,O244+1)</f>
        <v>0</v>
      </c>
      <c r="P245" s="15" t="n">
        <f aca="false">IF(Takip!P245="",0,P244+1)</f>
        <v>0</v>
      </c>
      <c r="Q245" s="15" t="n">
        <f aca="false">IF(Takip!Q245="",0,Q244+1)</f>
        <v>0</v>
      </c>
    </row>
    <row r="246" customFormat="false" ht="15" hidden="false" customHeight="false" outlineLevel="0" collapsed="false">
      <c r="A246" s="14" t="n">
        <f aca="false">Takip!R246</f>
        <v>46263</v>
      </c>
      <c r="C246" s="15" t="n">
        <f aca="false">IF(Takip!C246="",0,C245+1)</f>
        <v>0</v>
      </c>
      <c r="D246" s="15" t="n">
        <f aca="false">IF(Takip!D246="",0,D245+1)</f>
        <v>0</v>
      </c>
      <c r="E246" s="15" t="n">
        <f aca="false">IF(Takip!E246="",0,E245+1)</f>
        <v>0</v>
      </c>
      <c r="F246" s="15" t="n">
        <f aca="false">IF(Takip!F246="",0,F245+1)</f>
        <v>0</v>
      </c>
      <c r="G246" s="15" t="n">
        <f aca="false">IF(Takip!G246="",0,G245+1)</f>
        <v>0</v>
      </c>
      <c r="H246" s="15" t="n">
        <f aca="false">IF(Takip!H246="",0,H245+1)</f>
        <v>0</v>
      </c>
      <c r="I246" s="15" t="n">
        <f aca="false">IF(Takip!I246="",0,I245+1)</f>
        <v>0</v>
      </c>
      <c r="J246" s="15" t="n">
        <f aca="false">IF(Takip!J246="",0,J245+1)</f>
        <v>0</v>
      </c>
      <c r="K246" s="15" t="n">
        <f aca="false">IF(Takip!K246="",0,K245+1)</f>
        <v>0</v>
      </c>
      <c r="L246" s="15" t="n">
        <f aca="false">IF(Takip!L246="",0,L245+1)</f>
        <v>0</v>
      </c>
      <c r="M246" s="15" t="n">
        <f aca="false">IF(Takip!M246="",0,M245+1)</f>
        <v>0</v>
      </c>
      <c r="N246" s="15" t="n">
        <f aca="false">IF(Takip!N246="",0,N245+1)</f>
        <v>0</v>
      </c>
      <c r="O246" s="15" t="n">
        <f aca="false">IF(Takip!O246="",0,O245+1)</f>
        <v>0</v>
      </c>
      <c r="P246" s="15" t="n">
        <f aca="false">IF(Takip!P246="",0,P245+1)</f>
        <v>0</v>
      </c>
      <c r="Q246" s="15" t="n">
        <f aca="false">IF(Takip!Q246="",0,Q245+1)</f>
        <v>0</v>
      </c>
    </row>
    <row r="247" customFormat="false" ht="15" hidden="false" customHeight="false" outlineLevel="0" collapsed="false">
      <c r="A247" s="14" t="n">
        <f aca="false">Takip!R247</f>
        <v>46264</v>
      </c>
      <c r="C247" s="15" t="n">
        <f aca="false">IF(Takip!C247="",0,C246+1)</f>
        <v>0</v>
      </c>
      <c r="D247" s="15" t="n">
        <f aca="false">IF(Takip!D247="",0,D246+1)</f>
        <v>0</v>
      </c>
      <c r="E247" s="15" t="n">
        <f aca="false">IF(Takip!E247="",0,E246+1)</f>
        <v>0</v>
      </c>
      <c r="F247" s="15" t="n">
        <f aca="false">IF(Takip!F247="",0,F246+1)</f>
        <v>0</v>
      </c>
      <c r="G247" s="15" t="n">
        <f aca="false">IF(Takip!G247="",0,G246+1)</f>
        <v>0</v>
      </c>
      <c r="H247" s="15" t="n">
        <f aca="false">IF(Takip!H247="",0,H246+1)</f>
        <v>0</v>
      </c>
      <c r="I247" s="15" t="n">
        <f aca="false">IF(Takip!I247="",0,I246+1)</f>
        <v>0</v>
      </c>
      <c r="J247" s="15" t="n">
        <f aca="false">IF(Takip!J247="",0,J246+1)</f>
        <v>0</v>
      </c>
      <c r="K247" s="15" t="n">
        <f aca="false">IF(Takip!K247="",0,K246+1)</f>
        <v>0</v>
      </c>
      <c r="L247" s="15" t="n">
        <f aca="false">IF(Takip!L247="",0,L246+1)</f>
        <v>0</v>
      </c>
      <c r="M247" s="15" t="n">
        <f aca="false">IF(Takip!M247="",0,M246+1)</f>
        <v>0</v>
      </c>
      <c r="N247" s="15" t="n">
        <f aca="false">IF(Takip!N247="",0,N246+1)</f>
        <v>0</v>
      </c>
      <c r="O247" s="15" t="n">
        <f aca="false">IF(Takip!O247="",0,O246+1)</f>
        <v>0</v>
      </c>
      <c r="P247" s="15" t="n">
        <f aca="false">IF(Takip!P247="",0,P246+1)</f>
        <v>0</v>
      </c>
      <c r="Q247" s="15" t="n">
        <f aca="false">IF(Takip!Q247="",0,Q246+1)</f>
        <v>0</v>
      </c>
    </row>
    <row r="248" customFormat="false" ht="15" hidden="false" customHeight="false" outlineLevel="0" collapsed="false">
      <c r="A248" s="14" t="n">
        <f aca="false">Takip!R248</f>
        <v>46265</v>
      </c>
      <c r="C248" s="15" t="n">
        <f aca="false">IF(Takip!C248="",0,C247+1)</f>
        <v>0</v>
      </c>
      <c r="D248" s="15" t="n">
        <f aca="false">IF(Takip!D248="",0,D247+1)</f>
        <v>0</v>
      </c>
      <c r="E248" s="15" t="n">
        <f aca="false">IF(Takip!E248="",0,E247+1)</f>
        <v>0</v>
      </c>
      <c r="F248" s="15" t="n">
        <f aca="false">IF(Takip!F248="",0,F247+1)</f>
        <v>0</v>
      </c>
      <c r="G248" s="15" t="n">
        <f aca="false">IF(Takip!G248="",0,G247+1)</f>
        <v>0</v>
      </c>
      <c r="H248" s="15" t="n">
        <f aca="false">IF(Takip!H248="",0,H247+1)</f>
        <v>0</v>
      </c>
      <c r="I248" s="15" t="n">
        <f aca="false">IF(Takip!I248="",0,I247+1)</f>
        <v>0</v>
      </c>
      <c r="J248" s="15" t="n">
        <f aca="false">IF(Takip!J248="",0,J247+1)</f>
        <v>0</v>
      </c>
      <c r="K248" s="15" t="n">
        <f aca="false">IF(Takip!K248="",0,K247+1)</f>
        <v>0</v>
      </c>
      <c r="L248" s="15" t="n">
        <f aca="false">IF(Takip!L248="",0,L247+1)</f>
        <v>0</v>
      </c>
      <c r="M248" s="15" t="n">
        <f aca="false">IF(Takip!M248="",0,M247+1)</f>
        <v>0</v>
      </c>
      <c r="N248" s="15" t="n">
        <f aca="false">IF(Takip!N248="",0,N247+1)</f>
        <v>0</v>
      </c>
      <c r="O248" s="15" t="n">
        <f aca="false">IF(Takip!O248="",0,O247+1)</f>
        <v>0</v>
      </c>
      <c r="P248" s="15" t="n">
        <f aca="false">IF(Takip!P248="",0,P247+1)</f>
        <v>0</v>
      </c>
      <c r="Q248" s="15" t="n">
        <f aca="false">IF(Takip!Q248="",0,Q247+1)</f>
        <v>0</v>
      </c>
    </row>
    <row r="249" customFormat="false" ht="15" hidden="false" customHeight="false" outlineLevel="0" collapsed="false">
      <c r="A249" s="14" t="n">
        <f aca="false">Takip!R249</f>
        <v>46266</v>
      </c>
      <c r="C249" s="15" t="n">
        <f aca="false">IF(Takip!C249="",0,C248+1)</f>
        <v>0</v>
      </c>
      <c r="D249" s="15" t="n">
        <f aca="false">IF(Takip!D249="",0,D248+1)</f>
        <v>0</v>
      </c>
      <c r="E249" s="15" t="n">
        <f aca="false">IF(Takip!E249="",0,E248+1)</f>
        <v>0</v>
      </c>
      <c r="F249" s="15" t="n">
        <f aca="false">IF(Takip!F249="",0,F248+1)</f>
        <v>0</v>
      </c>
      <c r="G249" s="15" t="n">
        <f aca="false">IF(Takip!G249="",0,G248+1)</f>
        <v>0</v>
      </c>
      <c r="H249" s="15" t="n">
        <f aca="false">IF(Takip!H249="",0,H248+1)</f>
        <v>0</v>
      </c>
      <c r="I249" s="15" t="n">
        <f aca="false">IF(Takip!I249="",0,I248+1)</f>
        <v>0</v>
      </c>
      <c r="J249" s="15" t="n">
        <f aca="false">IF(Takip!J249="",0,J248+1)</f>
        <v>0</v>
      </c>
      <c r="K249" s="15" t="n">
        <f aca="false">IF(Takip!K249="",0,K248+1)</f>
        <v>0</v>
      </c>
      <c r="L249" s="15" t="n">
        <f aca="false">IF(Takip!L249="",0,L248+1)</f>
        <v>0</v>
      </c>
      <c r="M249" s="15" t="n">
        <f aca="false">IF(Takip!M249="",0,M248+1)</f>
        <v>0</v>
      </c>
      <c r="N249" s="15" t="n">
        <f aca="false">IF(Takip!N249="",0,N248+1)</f>
        <v>0</v>
      </c>
      <c r="O249" s="15" t="n">
        <f aca="false">IF(Takip!O249="",0,O248+1)</f>
        <v>0</v>
      </c>
      <c r="P249" s="15" t="n">
        <f aca="false">IF(Takip!P249="",0,P248+1)</f>
        <v>0</v>
      </c>
      <c r="Q249" s="15" t="n">
        <f aca="false">IF(Takip!Q249="",0,Q248+1)</f>
        <v>0</v>
      </c>
    </row>
    <row r="250" customFormat="false" ht="15" hidden="false" customHeight="false" outlineLevel="0" collapsed="false">
      <c r="A250" s="14" t="n">
        <f aca="false">Takip!R250</f>
        <v>46267</v>
      </c>
      <c r="C250" s="15" t="n">
        <f aca="false">IF(Takip!C250="",0,C249+1)</f>
        <v>0</v>
      </c>
      <c r="D250" s="15" t="n">
        <f aca="false">IF(Takip!D250="",0,D249+1)</f>
        <v>0</v>
      </c>
      <c r="E250" s="15" t="n">
        <f aca="false">IF(Takip!E250="",0,E249+1)</f>
        <v>0</v>
      </c>
      <c r="F250" s="15" t="n">
        <f aca="false">IF(Takip!F250="",0,F249+1)</f>
        <v>0</v>
      </c>
      <c r="G250" s="15" t="n">
        <f aca="false">IF(Takip!G250="",0,G249+1)</f>
        <v>0</v>
      </c>
      <c r="H250" s="15" t="n">
        <f aca="false">IF(Takip!H250="",0,H249+1)</f>
        <v>0</v>
      </c>
      <c r="I250" s="15" t="n">
        <f aca="false">IF(Takip!I250="",0,I249+1)</f>
        <v>0</v>
      </c>
      <c r="J250" s="15" t="n">
        <f aca="false">IF(Takip!J250="",0,J249+1)</f>
        <v>0</v>
      </c>
      <c r="K250" s="15" t="n">
        <f aca="false">IF(Takip!K250="",0,K249+1)</f>
        <v>0</v>
      </c>
      <c r="L250" s="15" t="n">
        <f aca="false">IF(Takip!L250="",0,L249+1)</f>
        <v>0</v>
      </c>
      <c r="M250" s="15" t="n">
        <f aca="false">IF(Takip!M250="",0,M249+1)</f>
        <v>0</v>
      </c>
      <c r="N250" s="15" t="n">
        <f aca="false">IF(Takip!N250="",0,N249+1)</f>
        <v>0</v>
      </c>
      <c r="O250" s="15" t="n">
        <f aca="false">IF(Takip!O250="",0,O249+1)</f>
        <v>0</v>
      </c>
      <c r="P250" s="15" t="n">
        <f aca="false">IF(Takip!P250="",0,P249+1)</f>
        <v>0</v>
      </c>
      <c r="Q250" s="15" t="n">
        <f aca="false">IF(Takip!Q250="",0,Q249+1)</f>
        <v>0</v>
      </c>
    </row>
    <row r="251" customFormat="false" ht="15" hidden="false" customHeight="false" outlineLevel="0" collapsed="false">
      <c r="A251" s="14" t="n">
        <f aca="false">Takip!R251</f>
        <v>46268</v>
      </c>
      <c r="C251" s="15" t="n">
        <f aca="false">IF(Takip!C251="",0,C250+1)</f>
        <v>0</v>
      </c>
      <c r="D251" s="15" t="n">
        <f aca="false">IF(Takip!D251="",0,D250+1)</f>
        <v>0</v>
      </c>
      <c r="E251" s="15" t="n">
        <f aca="false">IF(Takip!E251="",0,E250+1)</f>
        <v>0</v>
      </c>
      <c r="F251" s="15" t="n">
        <f aca="false">IF(Takip!F251="",0,F250+1)</f>
        <v>0</v>
      </c>
      <c r="G251" s="15" t="n">
        <f aca="false">IF(Takip!G251="",0,G250+1)</f>
        <v>0</v>
      </c>
      <c r="H251" s="15" t="n">
        <f aca="false">IF(Takip!H251="",0,H250+1)</f>
        <v>0</v>
      </c>
      <c r="I251" s="15" t="n">
        <f aca="false">IF(Takip!I251="",0,I250+1)</f>
        <v>0</v>
      </c>
      <c r="J251" s="15" t="n">
        <f aca="false">IF(Takip!J251="",0,J250+1)</f>
        <v>0</v>
      </c>
      <c r="K251" s="15" t="n">
        <f aca="false">IF(Takip!K251="",0,K250+1)</f>
        <v>0</v>
      </c>
      <c r="L251" s="15" t="n">
        <f aca="false">IF(Takip!L251="",0,L250+1)</f>
        <v>0</v>
      </c>
      <c r="M251" s="15" t="n">
        <f aca="false">IF(Takip!M251="",0,M250+1)</f>
        <v>0</v>
      </c>
      <c r="N251" s="15" t="n">
        <f aca="false">IF(Takip!N251="",0,N250+1)</f>
        <v>0</v>
      </c>
      <c r="O251" s="15" t="n">
        <f aca="false">IF(Takip!O251="",0,O250+1)</f>
        <v>0</v>
      </c>
      <c r="P251" s="15" t="n">
        <f aca="false">IF(Takip!P251="",0,P250+1)</f>
        <v>0</v>
      </c>
      <c r="Q251" s="15" t="n">
        <f aca="false">IF(Takip!Q251="",0,Q250+1)</f>
        <v>0</v>
      </c>
    </row>
    <row r="252" customFormat="false" ht="15" hidden="false" customHeight="false" outlineLevel="0" collapsed="false">
      <c r="A252" s="14" t="n">
        <f aca="false">Takip!R252</f>
        <v>46269</v>
      </c>
      <c r="C252" s="15" t="n">
        <f aca="false">IF(Takip!C252="",0,C251+1)</f>
        <v>0</v>
      </c>
      <c r="D252" s="15" t="n">
        <f aca="false">IF(Takip!D252="",0,D251+1)</f>
        <v>0</v>
      </c>
      <c r="E252" s="15" t="n">
        <f aca="false">IF(Takip!E252="",0,E251+1)</f>
        <v>0</v>
      </c>
      <c r="F252" s="15" t="n">
        <f aca="false">IF(Takip!F252="",0,F251+1)</f>
        <v>0</v>
      </c>
      <c r="G252" s="15" t="n">
        <f aca="false">IF(Takip!G252="",0,G251+1)</f>
        <v>0</v>
      </c>
      <c r="H252" s="15" t="n">
        <f aca="false">IF(Takip!H252="",0,H251+1)</f>
        <v>0</v>
      </c>
      <c r="I252" s="15" t="n">
        <f aca="false">IF(Takip!I252="",0,I251+1)</f>
        <v>0</v>
      </c>
      <c r="J252" s="15" t="n">
        <f aca="false">IF(Takip!J252="",0,J251+1)</f>
        <v>0</v>
      </c>
      <c r="K252" s="15" t="n">
        <f aca="false">IF(Takip!K252="",0,K251+1)</f>
        <v>0</v>
      </c>
      <c r="L252" s="15" t="n">
        <f aca="false">IF(Takip!L252="",0,L251+1)</f>
        <v>0</v>
      </c>
      <c r="M252" s="15" t="n">
        <f aca="false">IF(Takip!M252="",0,M251+1)</f>
        <v>0</v>
      </c>
      <c r="N252" s="15" t="n">
        <f aca="false">IF(Takip!N252="",0,N251+1)</f>
        <v>0</v>
      </c>
      <c r="O252" s="15" t="n">
        <f aca="false">IF(Takip!O252="",0,O251+1)</f>
        <v>0</v>
      </c>
      <c r="P252" s="15" t="n">
        <f aca="false">IF(Takip!P252="",0,P251+1)</f>
        <v>0</v>
      </c>
      <c r="Q252" s="15" t="n">
        <f aca="false">IF(Takip!Q252="",0,Q251+1)</f>
        <v>0</v>
      </c>
    </row>
    <row r="253" customFormat="false" ht="15" hidden="false" customHeight="false" outlineLevel="0" collapsed="false">
      <c r="A253" s="14" t="n">
        <f aca="false">Takip!R253</f>
        <v>46270</v>
      </c>
      <c r="C253" s="15" t="n">
        <f aca="false">IF(Takip!C253="",0,C252+1)</f>
        <v>0</v>
      </c>
      <c r="D253" s="15" t="n">
        <f aca="false">IF(Takip!D253="",0,D252+1)</f>
        <v>0</v>
      </c>
      <c r="E253" s="15" t="n">
        <f aca="false">IF(Takip!E253="",0,E252+1)</f>
        <v>0</v>
      </c>
      <c r="F253" s="15" t="n">
        <f aca="false">IF(Takip!F253="",0,F252+1)</f>
        <v>0</v>
      </c>
      <c r="G253" s="15" t="n">
        <f aca="false">IF(Takip!G253="",0,G252+1)</f>
        <v>0</v>
      </c>
      <c r="H253" s="15" t="n">
        <f aca="false">IF(Takip!H253="",0,H252+1)</f>
        <v>0</v>
      </c>
      <c r="I253" s="15" t="n">
        <f aca="false">IF(Takip!I253="",0,I252+1)</f>
        <v>0</v>
      </c>
      <c r="J253" s="15" t="n">
        <f aca="false">IF(Takip!J253="",0,J252+1)</f>
        <v>0</v>
      </c>
      <c r="K253" s="15" t="n">
        <f aca="false">IF(Takip!K253="",0,K252+1)</f>
        <v>0</v>
      </c>
      <c r="L253" s="15" t="n">
        <f aca="false">IF(Takip!L253="",0,L252+1)</f>
        <v>0</v>
      </c>
      <c r="M253" s="15" t="n">
        <f aca="false">IF(Takip!M253="",0,M252+1)</f>
        <v>0</v>
      </c>
      <c r="N253" s="15" t="n">
        <f aca="false">IF(Takip!N253="",0,N252+1)</f>
        <v>0</v>
      </c>
      <c r="O253" s="15" t="n">
        <f aca="false">IF(Takip!O253="",0,O252+1)</f>
        <v>0</v>
      </c>
      <c r="P253" s="15" t="n">
        <f aca="false">IF(Takip!P253="",0,P252+1)</f>
        <v>0</v>
      </c>
      <c r="Q253" s="15" t="n">
        <f aca="false">IF(Takip!Q253="",0,Q252+1)</f>
        <v>0</v>
      </c>
    </row>
    <row r="254" customFormat="false" ht="15" hidden="false" customHeight="false" outlineLevel="0" collapsed="false">
      <c r="A254" s="14" t="n">
        <f aca="false">Takip!R254</f>
        <v>46271</v>
      </c>
      <c r="C254" s="15" t="n">
        <f aca="false">IF(Takip!C254="",0,C253+1)</f>
        <v>0</v>
      </c>
      <c r="D254" s="15" t="n">
        <f aca="false">IF(Takip!D254="",0,D253+1)</f>
        <v>0</v>
      </c>
      <c r="E254" s="15" t="n">
        <f aca="false">IF(Takip!E254="",0,E253+1)</f>
        <v>0</v>
      </c>
      <c r="F254" s="15" t="n">
        <f aca="false">IF(Takip!F254="",0,F253+1)</f>
        <v>0</v>
      </c>
      <c r="G254" s="15" t="n">
        <f aca="false">IF(Takip!G254="",0,G253+1)</f>
        <v>0</v>
      </c>
      <c r="H254" s="15" t="n">
        <f aca="false">IF(Takip!H254="",0,H253+1)</f>
        <v>0</v>
      </c>
      <c r="I254" s="15" t="n">
        <f aca="false">IF(Takip!I254="",0,I253+1)</f>
        <v>0</v>
      </c>
      <c r="J254" s="15" t="n">
        <f aca="false">IF(Takip!J254="",0,J253+1)</f>
        <v>0</v>
      </c>
      <c r="K254" s="15" t="n">
        <f aca="false">IF(Takip!K254="",0,K253+1)</f>
        <v>0</v>
      </c>
      <c r="L254" s="15" t="n">
        <f aca="false">IF(Takip!L254="",0,L253+1)</f>
        <v>0</v>
      </c>
      <c r="M254" s="15" t="n">
        <f aca="false">IF(Takip!M254="",0,M253+1)</f>
        <v>0</v>
      </c>
      <c r="N254" s="15" t="n">
        <f aca="false">IF(Takip!N254="",0,N253+1)</f>
        <v>0</v>
      </c>
      <c r="O254" s="15" t="n">
        <f aca="false">IF(Takip!O254="",0,O253+1)</f>
        <v>0</v>
      </c>
      <c r="P254" s="15" t="n">
        <f aca="false">IF(Takip!P254="",0,P253+1)</f>
        <v>0</v>
      </c>
      <c r="Q254" s="15" t="n">
        <f aca="false">IF(Takip!Q254="",0,Q253+1)</f>
        <v>0</v>
      </c>
    </row>
    <row r="255" customFormat="false" ht="15" hidden="false" customHeight="false" outlineLevel="0" collapsed="false">
      <c r="A255" s="14" t="n">
        <f aca="false">Takip!R255</f>
        <v>46272</v>
      </c>
      <c r="C255" s="15" t="n">
        <f aca="false">IF(Takip!C255="",0,C254+1)</f>
        <v>1</v>
      </c>
      <c r="D255" s="15" t="n">
        <f aca="false">IF(Takip!D255="",0,D254+1)</f>
        <v>1</v>
      </c>
      <c r="E255" s="15" t="n">
        <f aca="false">IF(Takip!E255="",0,E254+1)</f>
        <v>1</v>
      </c>
      <c r="F255" s="15" t="n">
        <f aca="false">IF(Takip!F255="",0,F254+1)</f>
        <v>0</v>
      </c>
      <c r="G255" s="15" t="n">
        <f aca="false">IF(Takip!G255="",0,G254+1)</f>
        <v>0</v>
      </c>
      <c r="H255" s="15" t="n">
        <f aca="false">IF(Takip!H255="",0,H254+1)</f>
        <v>0</v>
      </c>
      <c r="I255" s="15" t="n">
        <f aca="false">IF(Takip!I255="",0,I254+1)</f>
        <v>0</v>
      </c>
      <c r="J255" s="15" t="n">
        <f aca="false">IF(Takip!J255="",0,J254+1)</f>
        <v>0</v>
      </c>
      <c r="K255" s="15" t="n">
        <f aca="false">IF(Takip!K255="",0,K254+1)</f>
        <v>0</v>
      </c>
      <c r="L255" s="15" t="n">
        <f aca="false">IF(Takip!L255="",0,L254+1)</f>
        <v>0</v>
      </c>
      <c r="M255" s="15" t="n">
        <f aca="false">IF(Takip!M255="",0,M254+1)</f>
        <v>0</v>
      </c>
      <c r="N255" s="15" t="n">
        <f aca="false">IF(Takip!N255="",0,N254+1)</f>
        <v>0</v>
      </c>
      <c r="O255" s="15" t="n">
        <f aca="false">IF(Takip!O255="",0,O254+1)</f>
        <v>0</v>
      </c>
      <c r="P255" s="15" t="n">
        <f aca="false">IF(Takip!P255="",0,P254+1)</f>
        <v>0</v>
      </c>
      <c r="Q255" s="15" t="n">
        <f aca="false">IF(Takip!Q255="",0,Q254+1)</f>
        <v>0</v>
      </c>
    </row>
    <row r="256" customFormat="false" ht="15" hidden="false" customHeight="false" outlineLevel="0" collapsed="false">
      <c r="A256" s="14" t="n">
        <f aca="false">Takip!R256</f>
        <v>46273</v>
      </c>
      <c r="C256" s="15" t="n">
        <f aca="false">IF(Takip!C256="",0,C255+1)</f>
        <v>2</v>
      </c>
      <c r="D256" s="15" t="n">
        <f aca="false">IF(Takip!D256="",0,D255+1)</f>
        <v>2</v>
      </c>
      <c r="E256" s="15" t="n">
        <f aca="false">IF(Takip!E256="",0,E255+1)</f>
        <v>0</v>
      </c>
      <c r="F256" s="15" t="n">
        <f aca="false">IF(Takip!F256="",0,F255+1)</f>
        <v>1</v>
      </c>
      <c r="G256" s="15" t="n">
        <f aca="false">IF(Takip!G256="",0,G255+1)</f>
        <v>0</v>
      </c>
      <c r="H256" s="15" t="n">
        <f aca="false">IF(Takip!H256="",0,H255+1)</f>
        <v>0</v>
      </c>
      <c r="I256" s="15" t="n">
        <f aca="false">IF(Takip!I256="",0,I255+1)</f>
        <v>0</v>
      </c>
      <c r="J256" s="15" t="n">
        <f aca="false">IF(Takip!J256="",0,J255+1)</f>
        <v>0</v>
      </c>
      <c r="K256" s="15" t="n">
        <f aca="false">IF(Takip!K256="",0,K255+1)</f>
        <v>0</v>
      </c>
      <c r="L256" s="15" t="n">
        <f aca="false">IF(Takip!L256="",0,L255+1)</f>
        <v>0</v>
      </c>
      <c r="M256" s="15" t="n">
        <f aca="false">IF(Takip!M256="",0,M255+1)</f>
        <v>0</v>
      </c>
      <c r="N256" s="15" t="n">
        <f aca="false">IF(Takip!N256="",0,N255+1)</f>
        <v>0</v>
      </c>
      <c r="O256" s="15" t="n">
        <f aca="false">IF(Takip!O256="",0,O255+1)</f>
        <v>0</v>
      </c>
      <c r="P256" s="15" t="n">
        <f aca="false">IF(Takip!P256="",0,P255+1)</f>
        <v>0</v>
      </c>
      <c r="Q256" s="15" t="n">
        <f aca="false">IF(Takip!Q256="",0,Q255+1)</f>
        <v>0</v>
      </c>
    </row>
    <row r="257" customFormat="false" ht="15" hidden="false" customHeight="false" outlineLevel="0" collapsed="false">
      <c r="A257" s="14" t="n">
        <f aca="false">Takip!R257</f>
        <v>46274</v>
      </c>
      <c r="C257" s="15" t="n">
        <f aca="false">IF(Takip!C257="",0,C256+1)</f>
        <v>3</v>
      </c>
      <c r="D257" s="15" t="n">
        <f aca="false">IF(Takip!D257="",0,D256+1)</f>
        <v>3</v>
      </c>
      <c r="E257" s="15" t="n">
        <f aca="false">IF(Takip!E257="",0,E256+1)</f>
        <v>1</v>
      </c>
      <c r="F257" s="15" t="n">
        <f aca="false">IF(Takip!F257="",0,F256+1)</f>
        <v>2</v>
      </c>
      <c r="G257" s="15" t="n">
        <f aca="false">IF(Takip!G257="",0,G256+1)</f>
        <v>0</v>
      </c>
      <c r="H257" s="15" t="n">
        <f aca="false">IF(Takip!H257="",0,H256+1)</f>
        <v>0</v>
      </c>
      <c r="I257" s="15" t="n">
        <f aca="false">IF(Takip!I257="",0,I256+1)</f>
        <v>0</v>
      </c>
      <c r="J257" s="15" t="n">
        <f aca="false">IF(Takip!J257="",0,J256+1)</f>
        <v>0</v>
      </c>
      <c r="K257" s="15" t="n">
        <f aca="false">IF(Takip!K257="",0,K256+1)</f>
        <v>0</v>
      </c>
      <c r="L257" s="15" t="n">
        <f aca="false">IF(Takip!L257="",0,L256+1)</f>
        <v>0</v>
      </c>
      <c r="M257" s="15" t="n">
        <f aca="false">IF(Takip!M257="",0,M256+1)</f>
        <v>0</v>
      </c>
      <c r="N257" s="15" t="n">
        <f aca="false">IF(Takip!N257="",0,N256+1)</f>
        <v>0</v>
      </c>
      <c r="O257" s="15" t="n">
        <f aca="false">IF(Takip!O257="",0,O256+1)</f>
        <v>0</v>
      </c>
      <c r="P257" s="15" t="n">
        <f aca="false">IF(Takip!P257="",0,P256+1)</f>
        <v>0</v>
      </c>
      <c r="Q257" s="15" t="n">
        <f aca="false">IF(Takip!Q257="",0,Q256+1)</f>
        <v>0</v>
      </c>
    </row>
    <row r="258" customFormat="false" ht="15" hidden="false" customHeight="false" outlineLevel="0" collapsed="false">
      <c r="A258" s="14" t="n">
        <f aca="false">Takip!R258</f>
        <v>46275</v>
      </c>
      <c r="C258" s="15" t="n">
        <f aca="false">IF(Takip!C258="",0,C257+1)</f>
        <v>4</v>
      </c>
      <c r="D258" s="15" t="n">
        <f aca="false">IF(Takip!D258="",0,D257+1)</f>
        <v>4</v>
      </c>
      <c r="E258" s="15" t="n">
        <f aca="false">IF(Takip!E258="",0,E257+1)</f>
        <v>0</v>
      </c>
      <c r="F258" s="15" t="n">
        <f aca="false">IF(Takip!F258="",0,F257+1)</f>
        <v>0</v>
      </c>
      <c r="G258" s="15" t="n">
        <f aca="false">IF(Takip!G258="",0,G257+1)</f>
        <v>0</v>
      </c>
      <c r="H258" s="15" t="n">
        <f aca="false">IF(Takip!H258="",0,H257+1)</f>
        <v>0</v>
      </c>
      <c r="I258" s="15" t="n">
        <f aca="false">IF(Takip!I258="",0,I257+1)</f>
        <v>0</v>
      </c>
      <c r="J258" s="15" t="n">
        <f aca="false">IF(Takip!J258="",0,J257+1)</f>
        <v>0</v>
      </c>
      <c r="K258" s="15" t="n">
        <f aca="false">IF(Takip!K258="",0,K257+1)</f>
        <v>0</v>
      </c>
      <c r="L258" s="15" t="n">
        <f aca="false">IF(Takip!L258="",0,L257+1)</f>
        <v>0</v>
      </c>
      <c r="M258" s="15" t="n">
        <f aca="false">IF(Takip!M258="",0,M257+1)</f>
        <v>0</v>
      </c>
      <c r="N258" s="15" t="n">
        <f aca="false">IF(Takip!N258="",0,N257+1)</f>
        <v>0</v>
      </c>
      <c r="O258" s="15" t="n">
        <f aca="false">IF(Takip!O258="",0,O257+1)</f>
        <v>0</v>
      </c>
      <c r="P258" s="15" t="n">
        <f aca="false">IF(Takip!P258="",0,P257+1)</f>
        <v>0</v>
      </c>
      <c r="Q258" s="15" t="n">
        <f aca="false">IF(Takip!Q258="",0,Q257+1)</f>
        <v>0</v>
      </c>
    </row>
    <row r="259" customFormat="false" ht="15" hidden="false" customHeight="false" outlineLevel="0" collapsed="false">
      <c r="A259" s="14" t="n">
        <f aca="false">Takip!R259</f>
        <v>46276</v>
      </c>
      <c r="C259" s="15" t="n">
        <f aca="false">IF(Takip!C259="",0,C258+1)</f>
        <v>5</v>
      </c>
      <c r="D259" s="15" t="n">
        <f aca="false">IF(Takip!D259="",0,D258+1)</f>
        <v>5</v>
      </c>
      <c r="E259" s="15" t="n">
        <f aca="false">IF(Takip!E259="",0,E258+1)</f>
        <v>1</v>
      </c>
      <c r="F259" s="15" t="n">
        <f aca="false">IF(Takip!F259="",0,F258+1)</f>
        <v>1</v>
      </c>
      <c r="G259" s="15" t="n">
        <f aca="false">IF(Takip!G259="",0,G258+1)</f>
        <v>0</v>
      </c>
      <c r="H259" s="15" t="n">
        <f aca="false">IF(Takip!H259="",0,H258+1)</f>
        <v>0</v>
      </c>
      <c r="I259" s="15" t="n">
        <f aca="false">IF(Takip!I259="",0,I258+1)</f>
        <v>0</v>
      </c>
      <c r="J259" s="15" t="n">
        <f aca="false">IF(Takip!J259="",0,J258+1)</f>
        <v>0</v>
      </c>
      <c r="K259" s="15" t="n">
        <f aca="false">IF(Takip!K259="",0,K258+1)</f>
        <v>0</v>
      </c>
      <c r="L259" s="15" t="n">
        <f aca="false">IF(Takip!L259="",0,L258+1)</f>
        <v>0</v>
      </c>
      <c r="M259" s="15" t="n">
        <f aca="false">IF(Takip!M259="",0,M258+1)</f>
        <v>0</v>
      </c>
      <c r="N259" s="15" t="n">
        <f aca="false">IF(Takip!N259="",0,N258+1)</f>
        <v>0</v>
      </c>
      <c r="O259" s="15" t="n">
        <f aca="false">IF(Takip!O259="",0,O258+1)</f>
        <v>0</v>
      </c>
      <c r="P259" s="15" t="n">
        <f aca="false">IF(Takip!P259="",0,P258+1)</f>
        <v>0</v>
      </c>
      <c r="Q259" s="15" t="n">
        <f aca="false">IF(Takip!Q259="",0,Q258+1)</f>
        <v>0</v>
      </c>
    </row>
    <row r="260" customFormat="false" ht="15" hidden="false" customHeight="false" outlineLevel="0" collapsed="false">
      <c r="A260" s="14" t="n">
        <f aca="false">Takip!R260</f>
        <v>46277</v>
      </c>
      <c r="C260" s="15" t="n">
        <f aca="false">IF(Takip!C260="",0,C259+1)</f>
        <v>0</v>
      </c>
      <c r="D260" s="15" t="n">
        <f aca="false">IF(Takip!D260="",0,D259+1)</f>
        <v>6</v>
      </c>
      <c r="E260" s="15" t="n">
        <f aca="false">IF(Takip!E260="",0,E259+1)</f>
        <v>0</v>
      </c>
      <c r="F260" s="15" t="n">
        <f aca="false">IF(Takip!F260="",0,F259+1)</f>
        <v>2</v>
      </c>
      <c r="G260" s="15" t="n">
        <f aca="false">IF(Takip!G260="",0,G259+1)</f>
        <v>0</v>
      </c>
      <c r="H260" s="15" t="n">
        <f aca="false">IF(Takip!H260="",0,H259+1)</f>
        <v>0</v>
      </c>
      <c r="I260" s="15" t="n">
        <f aca="false">IF(Takip!I260="",0,I259+1)</f>
        <v>0</v>
      </c>
      <c r="J260" s="15" t="n">
        <f aca="false">IF(Takip!J260="",0,J259+1)</f>
        <v>0</v>
      </c>
      <c r="K260" s="15" t="n">
        <f aca="false">IF(Takip!K260="",0,K259+1)</f>
        <v>0</v>
      </c>
      <c r="L260" s="15" t="n">
        <f aca="false">IF(Takip!L260="",0,L259+1)</f>
        <v>0</v>
      </c>
      <c r="M260" s="15" t="n">
        <f aca="false">IF(Takip!M260="",0,M259+1)</f>
        <v>0</v>
      </c>
      <c r="N260" s="15" t="n">
        <f aca="false">IF(Takip!N260="",0,N259+1)</f>
        <v>0</v>
      </c>
      <c r="O260" s="15" t="n">
        <f aca="false">IF(Takip!O260="",0,O259+1)</f>
        <v>0</v>
      </c>
      <c r="P260" s="15" t="n">
        <f aca="false">IF(Takip!P260="",0,P259+1)</f>
        <v>0</v>
      </c>
      <c r="Q260" s="15" t="n">
        <f aca="false">IF(Takip!Q260="",0,Q259+1)</f>
        <v>0</v>
      </c>
    </row>
    <row r="261" customFormat="false" ht="15" hidden="false" customHeight="false" outlineLevel="0" collapsed="false">
      <c r="A261" s="14" t="n">
        <f aca="false">Takip!R261</f>
        <v>46278</v>
      </c>
      <c r="C261" s="15" t="n">
        <f aca="false">IF(Takip!C261="",0,C260+1)</f>
        <v>1</v>
      </c>
      <c r="D261" s="15" t="n">
        <f aca="false">IF(Takip!D261="",0,D260+1)</f>
        <v>7</v>
      </c>
      <c r="E261" s="15" t="n">
        <f aca="false">IF(Takip!E261="",0,E260+1)</f>
        <v>0</v>
      </c>
      <c r="F261" s="15" t="n">
        <f aca="false">IF(Takip!F261="",0,F260+1)</f>
        <v>0</v>
      </c>
      <c r="G261" s="15" t="n">
        <f aca="false">IF(Takip!G261="",0,G260+1)</f>
        <v>0</v>
      </c>
      <c r="H261" s="15" t="n">
        <f aca="false">IF(Takip!H261="",0,H260+1)</f>
        <v>0</v>
      </c>
      <c r="I261" s="15" t="n">
        <f aca="false">IF(Takip!I261="",0,I260+1)</f>
        <v>0</v>
      </c>
      <c r="J261" s="15" t="n">
        <f aca="false">IF(Takip!J261="",0,J260+1)</f>
        <v>0</v>
      </c>
      <c r="K261" s="15" t="n">
        <f aca="false">IF(Takip!K261="",0,K260+1)</f>
        <v>0</v>
      </c>
      <c r="L261" s="15" t="n">
        <f aca="false">IF(Takip!L261="",0,L260+1)</f>
        <v>0</v>
      </c>
      <c r="M261" s="15" t="n">
        <f aca="false">IF(Takip!M261="",0,M260+1)</f>
        <v>0</v>
      </c>
      <c r="N261" s="15" t="n">
        <f aca="false">IF(Takip!N261="",0,N260+1)</f>
        <v>0</v>
      </c>
      <c r="O261" s="15" t="n">
        <f aca="false">IF(Takip!O261="",0,O260+1)</f>
        <v>0</v>
      </c>
      <c r="P261" s="15" t="n">
        <f aca="false">IF(Takip!P261="",0,P260+1)</f>
        <v>0</v>
      </c>
      <c r="Q261" s="15" t="n">
        <f aca="false">IF(Takip!Q261="",0,Q260+1)</f>
        <v>0</v>
      </c>
    </row>
    <row r="262" customFormat="false" ht="15" hidden="false" customHeight="false" outlineLevel="0" collapsed="false">
      <c r="A262" s="14" t="n">
        <f aca="false">Takip!R262</f>
        <v>46279</v>
      </c>
      <c r="C262" s="15" t="n">
        <f aca="false">IF(Takip!C262="",0,C261+1)</f>
        <v>2</v>
      </c>
      <c r="D262" s="15" t="n">
        <f aca="false">IF(Takip!D262="",0,D261+1)</f>
        <v>8</v>
      </c>
      <c r="E262" s="15" t="n">
        <f aca="false">IF(Takip!E262="",0,E261+1)</f>
        <v>1</v>
      </c>
      <c r="F262" s="15" t="n">
        <f aca="false">IF(Takip!F262="",0,F261+1)</f>
        <v>1</v>
      </c>
      <c r="G262" s="15" t="n">
        <f aca="false">IF(Takip!G262="",0,G261+1)</f>
        <v>0</v>
      </c>
      <c r="H262" s="15" t="n">
        <f aca="false">IF(Takip!H262="",0,H261+1)</f>
        <v>0</v>
      </c>
      <c r="I262" s="15" t="n">
        <f aca="false">IF(Takip!I262="",0,I261+1)</f>
        <v>0</v>
      </c>
      <c r="J262" s="15" t="n">
        <f aca="false">IF(Takip!J262="",0,J261+1)</f>
        <v>0</v>
      </c>
      <c r="K262" s="15" t="n">
        <f aca="false">IF(Takip!K262="",0,K261+1)</f>
        <v>0</v>
      </c>
      <c r="L262" s="15" t="n">
        <f aca="false">IF(Takip!L262="",0,L261+1)</f>
        <v>0</v>
      </c>
      <c r="M262" s="15" t="n">
        <f aca="false">IF(Takip!M262="",0,M261+1)</f>
        <v>0</v>
      </c>
      <c r="N262" s="15" t="n">
        <f aca="false">IF(Takip!N262="",0,N261+1)</f>
        <v>0</v>
      </c>
      <c r="O262" s="15" t="n">
        <f aca="false">IF(Takip!O262="",0,O261+1)</f>
        <v>0</v>
      </c>
      <c r="P262" s="15" t="n">
        <f aca="false">IF(Takip!P262="",0,P261+1)</f>
        <v>0</v>
      </c>
      <c r="Q262" s="15" t="n">
        <f aca="false">IF(Takip!Q262="",0,Q261+1)</f>
        <v>0</v>
      </c>
    </row>
    <row r="263" customFormat="false" ht="15" hidden="false" customHeight="false" outlineLevel="0" collapsed="false">
      <c r="A263" s="14" t="n">
        <f aca="false">Takip!R263</f>
        <v>46280</v>
      </c>
      <c r="C263" s="15" t="n">
        <f aca="false">IF(Takip!C263="",0,C262+1)</f>
        <v>3</v>
      </c>
      <c r="D263" s="15" t="n">
        <f aca="false">IF(Takip!D263="",0,D262+1)</f>
        <v>9</v>
      </c>
      <c r="E263" s="15" t="n">
        <f aca="false">IF(Takip!E263="",0,E262+1)</f>
        <v>0</v>
      </c>
      <c r="F263" s="15" t="n">
        <f aca="false">IF(Takip!F263="",0,F262+1)</f>
        <v>2</v>
      </c>
      <c r="G263" s="15" t="n">
        <f aca="false">IF(Takip!G263="",0,G262+1)</f>
        <v>0</v>
      </c>
      <c r="H263" s="15" t="n">
        <f aca="false">IF(Takip!H263="",0,H262+1)</f>
        <v>0</v>
      </c>
      <c r="I263" s="15" t="n">
        <f aca="false">IF(Takip!I263="",0,I262+1)</f>
        <v>0</v>
      </c>
      <c r="J263" s="15" t="n">
        <f aca="false">IF(Takip!J263="",0,J262+1)</f>
        <v>0</v>
      </c>
      <c r="K263" s="15" t="n">
        <f aca="false">IF(Takip!K263="",0,K262+1)</f>
        <v>0</v>
      </c>
      <c r="L263" s="15" t="n">
        <f aca="false">IF(Takip!L263="",0,L262+1)</f>
        <v>0</v>
      </c>
      <c r="M263" s="15" t="n">
        <f aca="false">IF(Takip!M263="",0,M262+1)</f>
        <v>0</v>
      </c>
      <c r="N263" s="15" t="n">
        <f aca="false">IF(Takip!N263="",0,N262+1)</f>
        <v>0</v>
      </c>
      <c r="O263" s="15" t="n">
        <f aca="false">IF(Takip!O263="",0,O262+1)</f>
        <v>0</v>
      </c>
      <c r="P263" s="15" t="n">
        <f aca="false">IF(Takip!P263="",0,P262+1)</f>
        <v>0</v>
      </c>
      <c r="Q263" s="15" t="n">
        <f aca="false">IF(Takip!Q263="",0,Q262+1)</f>
        <v>0</v>
      </c>
    </row>
    <row r="264" customFormat="false" ht="15" hidden="false" customHeight="false" outlineLevel="0" collapsed="false">
      <c r="A264" s="14" t="n">
        <f aca="false">Takip!R264</f>
        <v>46281</v>
      </c>
      <c r="C264" s="15" t="n">
        <f aca="false">IF(Takip!C264="",0,C263+1)</f>
        <v>4</v>
      </c>
      <c r="D264" s="15" t="n">
        <f aca="false">IF(Takip!D264="",0,D263+1)</f>
        <v>10</v>
      </c>
      <c r="E264" s="15" t="n">
        <f aca="false">IF(Takip!E264="",0,E263+1)</f>
        <v>1</v>
      </c>
      <c r="F264" s="15" t="n">
        <f aca="false">IF(Takip!F264="",0,F263+1)</f>
        <v>0</v>
      </c>
      <c r="G264" s="15" t="n">
        <f aca="false">IF(Takip!G264="",0,G263+1)</f>
        <v>0</v>
      </c>
      <c r="H264" s="15" t="n">
        <f aca="false">IF(Takip!H264="",0,H263+1)</f>
        <v>0</v>
      </c>
      <c r="I264" s="15" t="n">
        <f aca="false">IF(Takip!I264="",0,I263+1)</f>
        <v>0</v>
      </c>
      <c r="J264" s="15" t="n">
        <f aca="false">IF(Takip!J264="",0,J263+1)</f>
        <v>0</v>
      </c>
      <c r="K264" s="15" t="n">
        <f aca="false">IF(Takip!K264="",0,K263+1)</f>
        <v>0</v>
      </c>
      <c r="L264" s="15" t="n">
        <f aca="false">IF(Takip!L264="",0,L263+1)</f>
        <v>0</v>
      </c>
      <c r="M264" s="15" t="n">
        <f aca="false">IF(Takip!M264="",0,M263+1)</f>
        <v>0</v>
      </c>
      <c r="N264" s="15" t="n">
        <f aca="false">IF(Takip!N264="",0,N263+1)</f>
        <v>0</v>
      </c>
      <c r="O264" s="15" t="n">
        <f aca="false">IF(Takip!O264="",0,O263+1)</f>
        <v>0</v>
      </c>
      <c r="P264" s="15" t="n">
        <f aca="false">IF(Takip!P264="",0,P263+1)</f>
        <v>0</v>
      </c>
      <c r="Q264" s="15" t="n">
        <f aca="false">IF(Takip!Q264="",0,Q263+1)</f>
        <v>0</v>
      </c>
    </row>
    <row r="265" customFormat="false" ht="15" hidden="false" customHeight="false" outlineLevel="0" collapsed="false">
      <c r="A265" s="14" t="n">
        <f aca="false">Takip!R265</f>
        <v>46282</v>
      </c>
      <c r="C265" s="15" t="n">
        <f aca="false">IF(Takip!C265="",0,C264+1)</f>
        <v>5</v>
      </c>
      <c r="D265" s="15" t="n">
        <f aca="false">IF(Takip!D265="",0,D264+1)</f>
        <v>11</v>
      </c>
      <c r="E265" s="15" t="n">
        <f aca="false">IF(Takip!E265="",0,E264+1)</f>
        <v>0</v>
      </c>
      <c r="F265" s="15" t="n">
        <f aca="false">IF(Takip!F265="",0,F264+1)</f>
        <v>1</v>
      </c>
      <c r="G265" s="15" t="n">
        <f aca="false">IF(Takip!G265="",0,G264+1)</f>
        <v>0</v>
      </c>
      <c r="H265" s="15" t="n">
        <f aca="false">IF(Takip!H265="",0,H264+1)</f>
        <v>0</v>
      </c>
      <c r="I265" s="15" t="n">
        <f aca="false">IF(Takip!I265="",0,I264+1)</f>
        <v>0</v>
      </c>
      <c r="J265" s="15" t="n">
        <f aca="false">IF(Takip!J265="",0,J264+1)</f>
        <v>0</v>
      </c>
      <c r="K265" s="15" t="n">
        <f aca="false">IF(Takip!K265="",0,K264+1)</f>
        <v>0</v>
      </c>
      <c r="L265" s="15" t="n">
        <f aca="false">IF(Takip!L265="",0,L264+1)</f>
        <v>0</v>
      </c>
      <c r="M265" s="15" t="n">
        <f aca="false">IF(Takip!M265="",0,M264+1)</f>
        <v>0</v>
      </c>
      <c r="N265" s="15" t="n">
        <f aca="false">IF(Takip!N265="",0,N264+1)</f>
        <v>0</v>
      </c>
      <c r="O265" s="15" t="n">
        <f aca="false">IF(Takip!O265="",0,O264+1)</f>
        <v>0</v>
      </c>
      <c r="P265" s="15" t="n">
        <f aca="false">IF(Takip!P265="",0,P264+1)</f>
        <v>0</v>
      </c>
      <c r="Q265" s="15" t="n">
        <f aca="false">IF(Takip!Q265="",0,Q264+1)</f>
        <v>0</v>
      </c>
    </row>
    <row r="266" customFormat="false" ht="15" hidden="false" customHeight="false" outlineLevel="0" collapsed="false">
      <c r="A266" s="14" t="n">
        <f aca="false">Takip!R266</f>
        <v>46283</v>
      </c>
      <c r="C266" s="15" t="n">
        <f aca="false">IF(Takip!C266="",0,C265+1)</f>
        <v>6</v>
      </c>
      <c r="D266" s="15" t="n">
        <f aca="false">IF(Takip!D266="",0,D265+1)</f>
        <v>12</v>
      </c>
      <c r="E266" s="15" t="n">
        <f aca="false">IF(Takip!E266="",0,E265+1)</f>
        <v>1</v>
      </c>
      <c r="F266" s="15" t="n">
        <f aca="false">IF(Takip!F266="",0,F265+1)</f>
        <v>2</v>
      </c>
      <c r="G266" s="15" t="n">
        <f aca="false">IF(Takip!G266="",0,G265+1)</f>
        <v>0</v>
      </c>
      <c r="H266" s="15" t="n">
        <f aca="false">IF(Takip!H266="",0,H265+1)</f>
        <v>0</v>
      </c>
      <c r="I266" s="15" t="n">
        <f aca="false">IF(Takip!I266="",0,I265+1)</f>
        <v>0</v>
      </c>
      <c r="J266" s="15" t="n">
        <f aca="false">IF(Takip!J266="",0,J265+1)</f>
        <v>0</v>
      </c>
      <c r="K266" s="15" t="n">
        <f aca="false">IF(Takip!K266="",0,K265+1)</f>
        <v>0</v>
      </c>
      <c r="L266" s="15" t="n">
        <f aca="false">IF(Takip!L266="",0,L265+1)</f>
        <v>0</v>
      </c>
      <c r="M266" s="15" t="n">
        <f aca="false">IF(Takip!M266="",0,M265+1)</f>
        <v>0</v>
      </c>
      <c r="N266" s="15" t="n">
        <f aca="false">IF(Takip!N266="",0,N265+1)</f>
        <v>0</v>
      </c>
      <c r="O266" s="15" t="n">
        <f aca="false">IF(Takip!O266="",0,O265+1)</f>
        <v>0</v>
      </c>
      <c r="P266" s="15" t="n">
        <f aca="false">IF(Takip!P266="",0,P265+1)</f>
        <v>0</v>
      </c>
      <c r="Q266" s="15" t="n">
        <f aca="false">IF(Takip!Q266="",0,Q265+1)</f>
        <v>0</v>
      </c>
    </row>
    <row r="267" customFormat="false" ht="15" hidden="false" customHeight="false" outlineLevel="0" collapsed="false">
      <c r="A267" s="14" t="n">
        <f aca="false">Takip!R267</f>
        <v>46284</v>
      </c>
      <c r="C267" s="15" t="n">
        <f aca="false">IF(Takip!C267="",0,C266+1)</f>
        <v>0</v>
      </c>
      <c r="D267" s="15" t="n">
        <f aca="false">IF(Takip!D267="",0,D266+1)</f>
        <v>13</v>
      </c>
      <c r="E267" s="15" t="n">
        <f aca="false">IF(Takip!E267="",0,E266+1)</f>
        <v>0</v>
      </c>
      <c r="F267" s="15" t="n">
        <f aca="false">IF(Takip!F267="",0,F266+1)</f>
        <v>0</v>
      </c>
      <c r="G267" s="15" t="n">
        <f aca="false">IF(Takip!G267="",0,G266+1)</f>
        <v>0</v>
      </c>
      <c r="H267" s="15" t="n">
        <f aca="false">IF(Takip!H267="",0,H266+1)</f>
        <v>0</v>
      </c>
      <c r="I267" s="15" t="n">
        <f aca="false">IF(Takip!I267="",0,I266+1)</f>
        <v>0</v>
      </c>
      <c r="J267" s="15" t="n">
        <f aca="false">IF(Takip!J267="",0,J266+1)</f>
        <v>0</v>
      </c>
      <c r="K267" s="15" t="n">
        <f aca="false">IF(Takip!K267="",0,K266+1)</f>
        <v>0</v>
      </c>
      <c r="L267" s="15" t="n">
        <f aca="false">IF(Takip!L267="",0,L266+1)</f>
        <v>0</v>
      </c>
      <c r="M267" s="15" t="n">
        <f aca="false">IF(Takip!M267="",0,M266+1)</f>
        <v>0</v>
      </c>
      <c r="N267" s="15" t="n">
        <f aca="false">IF(Takip!N267="",0,N266+1)</f>
        <v>0</v>
      </c>
      <c r="O267" s="15" t="n">
        <f aca="false">IF(Takip!O267="",0,O266+1)</f>
        <v>0</v>
      </c>
      <c r="P267" s="15" t="n">
        <f aca="false">IF(Takip!P267="",0,P266+1)</f>
        <v>0</v>
      </c>
      <c r="Q267" s="15" t="n">
        <f aca="false">IF(Takip!Q267="",0,Q266+1)</f>
        <v>0</v>
      </c>
    </row>
    <row r="268" customFormat="false" ht="15" hidden="false" customHeight="false" outlineLevel="0" collapsed="false">
      <c r="A268" s="14" t="n">
        <f aca="false">Takip!R268</f>
        <v>46285</v>
      </c>
      <c r="C268" s="15" t="n">
        <f aca="false">IF(Takip!C268="",0,C267+1)</f>
        <v>1</v>
      </c>
      <c r="D268" s="15" t="n">
        <f aca="false">IF(Takip!D268="",0,D267+1)</f>
        <v>14</v>
      </c>
      <c r="E268" s="15" t="n">
        <f aca="false">IF(Takip!E268="",0,E267+1)</f>
        <v>0</v>
      </c>
      <c r="F268" s="15" t="n">
        <f aca="false">IF(Takip!F268="",0,F267+1)</f>
        <v>1</v>
      </c>
      <c r="G268" s="15" t="n">
        <f aca="false">IF(Takip!G268="",0,G267+1)</f>
        <v>0</v>
      </c>
      <c r="H268" s="15" t="n">
        <f aca="false">IF(Takip!H268="",0,H267+1)</f>
        <v>0</v>
      </c>
      <c r="I268" s="15" t="n">
        <f aca="false">IF(Takip!I268="",0,I267+1)</f>
        <v>0</v>
      </c>
      <c r="J268" s="15" t="n">
        <f aca="false">IF(Takip!J268="",0,J267+1)</f>
        <v>0</v>
      </c>
      <c r="K268" s="15" t="n">
        <f aca="false">IF(Takip!K268="",0,K267+1)</f>
        <v>0</v>
      </c>
      <c r="L268" s="15" t="n">
        <f aca="false">IF(Takip!L268="",0,L267+1)</f>
        <v>0</v>
      </c>
      <c r="M268" s="15" t="n">
        <f aca="false">IF(Takip!M268="",0,M267+1)</f>
        <v>0</v>
      </c>
      <c r="N268" s="15" t="n">
        <f aca="false">IF(Takip!N268="",0,N267+1)</f>
        <v>0</v>
      </c>
      <c r="O268" s="15" t="n">
        <f aca="false">IF(Takip!O268="",0,O267+1)</f>
        <v>0</v>
      </c>
      <c r="P268" s="15" t="n">
        <f aca="false">IF(Takip!P268="",0,P267+1)</f>
        <v>0</v>
      </c>
      <c r="Q268" s="15" t="n">
        <f aca="false">IF(Takip!Q268="",0,Q267+1)</f>
        <v>0</v>
      </c>
    </row>
    <row r="269" customFormat="false" ht="15" hidden="false" customHeight="false" outlineLevel="0" collapsed="false">
      <c r="A269" s="14" t="n">
        <f aca="false">Takip!R269</f>
        <v>46286</v>
      </c>
      <c r="C269" s="15" t="n">
        <f aca="false">IF(Takip!C269="",0,C268+1)</f>
        <v>2</v>
      </c>
      <c r="D269" s="15" t="n">
        <f aca="false">IF(Takip!D269="",0,D268+1)</f>
        <v>15</v>
      </c>
      <c r="E269" s="15" t="n">
        <f aca="false">IF(Takip!E269="",0,E268+1)</f>
        <v>1</v>
      </c>
      <c r="F269" s="15" t="n">
        <f aca="false">IF(Takip!F269="",0,F268+1)</f>
        <v>2</v>
      </c>
      <c r="G269" s="15" t="n">
        <f aca="false">IF(Takip!G269="",0,G268+1)</f>
        <v>0</v>
      </c>
      <c r="H269" s="15" t="n">
        <f aca="false">IF(Takip!H269="",0,H268+1)</f>
        <v>0</v>
      </c>
      <c r="I269" s="15" t="n">
        <f aca="false">IF(Takip!I269="",0,I268+1)</f>
        <v>0</v>
      </c>
      <c r="J269" s="15" t="n">
        <f aca="false">IF(Takip!J269="",0,J268+1)</f>
        <v>0</v>
      </c>
      <c r="K269" s="15" t="n">
        <f aca="false">IF(Takip!K269="",0,K268+1)</f>
        <v>0</v>
      </c>
      <c r="L269" s="15" t="n">
        <f aca="false">IF(Takip!L269="",0,L268+1)</f>
        <v>0</v>
      </c>
      <c r="M269" s="15" t="n">
        <f aca="false">IF(Takip!M269="",0,M268+1)</f>
        <v>0</v>
      </c>
      <c r="N269" s="15" t="n">
        <f aca="false">IF(Takip!N269="",0,N268+1)</f>
        <v>0</v>
      </c>
      <c r="O269" s="15" t="n">
        <f aca="false">IF(Takip!O269="",0,O268+1)</f>
        <v>0</v>
      </c>
      <c r="P269" s="15" t="n">
        <f aca="false">IF(Takip!P269="",0,P268+1)</f>
        <v>0</v>
      </c>
      <c r="Q269" s="15" t="n">
        <f aca="false">IF(Takip!Q269="",0,Q268+1)</f>
        <v>0</v>
      </c>
    </row>
    <row r="270" customFormat="false" ht="15" hidden="false" customHeight="false" outlineLevel="0" collapsed="false">
      <c r="A270" s="14" t="n">
        <f aca="false">Takip!R270</f>
        <v>46287</v>
      </c>
      <c r="C270" s="15" t="n">
        <f aca="false">IF(Takip!C270="",0,C269+1)</f>
        <v>3</v>
      </c>
      <c r="D270" s="15" t="n">
        <f aca="false">IF(Takip!D270="",0,D269+1)</f>
        <v>16</v>
      </c>
      <c r="E270" s="15" t="n">
        <f aca="false">IF(Takip!E270="",0,E269+1)</f>
        <v>0</v>
      </c>
      <c r="F270" s="15" t="n">
        <f aca="false">IF(Takip!F270="",0,F269+1)</f>
        <v>0</v>
      </c>
      <c r="G270" s="15" t="n">
        <f aca="false">IF(Takip!G270="",0,G269+1)</f>
        <v>0</v>
      </c>
      <c r="H270" s="15" t="n">
        <f aca="false">IF(Takip!H270="",0,H269+1)</f>
        <v>0</v>
      </c>
      <c r="I270" s="15" t="n">
        <f aca="false">IF(Takip!I270="",0,I269+1)</f>
        <v>0</v>
      </c>
      <c r="J270" s="15" t="n">
        <f aca="false">IF(Takip!J270="",0,J269+1)</f>
        <v>0</v>
      </c>
      <c r="K270" s="15" t="n">
        <f aca="false">IF(Takip!K270="",0,K269+1)</f>
        <v>0</v>
      </c>
      <c r="L270" s="15" t="n">
        <f aca="false">IF(Takip!L270="",0,L269+1)</f>
        <v>0</v>
      </c>
      <c r="M270" s="15" t="n">
        <f aca="false">IF(Takip!M270="",0,M269+1)</f>
        <v>0</v>
      </c>
      <c r="N270" s="15" t="n">
        <f aca="false">IF(Takip!N270="",0,N269+1)</f>
        <v>0</v>
      </c>
      <c r="O270" s="15" t="n">
        <f aca="false">IF(Takip!O270="",0,O269+1)</f>
        <v>0</v>
      </c>
      <c r="P270" s="15" t="n">
        <f aca="false">IF(Takip!P270="",0,P269+1)</f>
        <v>0</v>
      </c>
      <c r="Q270" s="15" t="n">
        <f aca="false">IF(Takip!Q270="",0,Q269+1)</f>
        <v>0</v>
      </c>
    </row>
    <row r="271" customFormat="false" ht="15" hidden="false" customHeight="false" outlineLevel="0" collapsed="false">
      <c r="A271" s="14" t="n">
        <f aca="false">Takip!R271</f>
        <v>46288</v>
      </c>
      <c r="C271" s="15" t="n">
        <f aca="false">IF(Takip!C271="",0,C270+1)</f>
        <v>4</v>
      </c>
      <c r="D271" s="15" t="n">
        <f aca="false">IF(Takip!D271="",0,D270+1)</f>
        <v>17</v>
      </c>
      <c r="E271" s="15" t="n">
        <f aca="false">IF(Takip!E271="",0,E270+1)</f>
        <v>1</v>
      </c>
      <c r="F271" s="15" t="n">
        <f aca="false">IF(Takip!F271="",0,F270+1)</f>
        <v>1</v>
      </c>
      <c r="G271" s="15" t="n">
        <f aca="false">IF(Takip!G271="",0,G270+1)</f>
        <v>0</v>
      </c>
      <c r="H271" s="15" t="n">
        <f aca="false">IF(Takip!H271="",0,H270+1)</f>
        <v>0</v>
      </c>
      <c r="I271" s="15" t="n">
        <f aca="false">IF(Takip!I271="",0,I270+1)</f>
        <v>0</v>
      </c>
      <c r="J271" s="15" t="n">
        <f aca="false">IF(Takip!J271="",0,J270+1)</f>
        <v>0</v>
      </c>
      <c r="K271" s="15" t="n">
        <f aca="false">IF(Takip!K271="",0,K270+1)</f>
        <v>0</v>
      </c>
      <c r="L271" s="15" t="n">
        <f aca="false">IF(Takip!L271="",0,L270+1)</f>
        <v>0</v>
      </c>
      <c r="M271" s="15" t="n">
        <f aca="false">IF(Takip!M271="",0,M270+1)</f>
        <v>0</v>
      </c>
      <c r="N271" s="15" t="n">
        <f aca="false">IF(Takip!N271="",0,N270+1)</f>
        <v>0</v>
      </c>
      <c r="O271" s="15" t="n">
        <f aca="false">IF(Takip!O271="",0,O270+1)</f>
        <v>0</v>
      </c>
      <c r="P271" s="15" t="n">
        <f aca="false">IF(Takip!P271="",0,P270+1)</f>
        <v>0</v>
      </c>
      <c r="Q271" s="15" t="n">
        <f aca="false">IF(Takip!Q271="",0,Q270+1)</f>
        <v>0</v>
      </c>
    </row>
    <row r="272" customFormat="false" ht="15" hidden="false" customHeight="false" outlineLevel="0" collapsed="false">
      <c r="A272" s="14" t="n">
        <f aca="false">Takip!R272</f>
        <v>46289</v>
      </c>
      <c r="C272" s="15" t="n">
        <f aca="false">IF(Takip!C272="",0,C271+1)</f>
        <v>5</v>
      </c>
      <c r="D272" s="15" t="n">
        <f aca="false">IF(Takip!D272="",0,D271+1)</f>
        <v>18</v>
      </c>
      <c r="E272" s="15" t="n">
        <f aca="false">IF(Takip!E272="",0,E271+1)</f>
        <v>0</v>
      </c>
      <c r="F272" s="15" t="n">
        <f aca="false">IF(Takip!F272="",0,F271+1)</f>
        <v>2</v>
      </c>
      <c r="G272" s="15" t="n">
        <f aca="false">IF(Takip!G272="",0,G271+1)</f>
        <v>0</v>
      </c>
      <c r="H272" s="15" t="n">
        <f aca="false">IF(Takip!H272="",0,H271+1)</f>
        <v>0</v>
      </c>
      <c r="I272" s="15" t="n">
        <f aca="false">IF(Takip!I272="",0,I271+1)</f>
        <v>0</v>
      </c>
      <c r="J272" s="15" t="n">
        <f aca="false">IF(Takip!J272="",0,J271+1)</f>
        <v>0</v>
      </c>
      <c r="K272" s="15" t="n">
        <f aca="false">IF(Takip!K272="",0,K271+1)</f>
        <v>0</v>
      </c>
      <c r="L272" s="15" t="n">
        <f aca="false">IF(Takip!L272="",0,L271+1)</f>
        <v>0</v>
      </c>
      <c r="M272" s="15" t="n">
        <f aca="false">IF(Takip!M272="",0,M271+1)</f>
        <v>0</v>
      </c>
      <c r="N272" s="15" t="n">
        <f aca="false">IF(Takip!N272="",0,N271+1)</f>
        <v>0</v>
      </c>
      <c r="O272" s="15" t="n">
        <f aca="false">IF(Takip!O272="",0,O271+1)</f>
        <v>0</v>
      </c>
      <c r="P272" s="15" t="n">
        <f aca="false">IF(Takip!P272="",0,P271+1)</f>
        <v>0</v>
      </c>
      <c r="Q272" s="15" t="n">
        <f aca="false">IF(Takip!Q272="",0,Q271+1)</f>
        <v>0</v>
      </c>
    </row>
    <row r="273" customFormat="false" ht="15" hidden="false" customHeight="false" outlineLevel="0" collapsed="false">
      <c r="A273" s="14" t="n">
        <f aca="false">Takip!R273</f>
        <v>46290</v>
      </c>
      <c r="C273" s="15" t="n">
        <f aca="false">IF(Takip!C273="",0,C272+1)</f>
        <v>6</v>
      </c>
      <c r="D273" s="15" t="n">
        <f aca="false">IF(Takip!D273="",0,D272+1)</f>
        <v>19</v>
      </c>
      <c r="E273" s="15" t="n">
        <f aca="false">IF(Takip!E273="",0,E272+1)</f>
        <v>1</v>
      </c>
      <c r="F273" s="15" t="n">
        <f aca="false">IF(Takip!F273="",0,F272+1)</f>
        <v>0</v>
      </c>
      <c r="G273" s="15" t="n">
        <f aca="false">IF(Takip!G273="",0,G272+1)</f>
        <v>0</v>
      </c>
      <c r="H273" s="15" t="n">
        <f aca="false">IF(Takip!H273="",0,H272+1)</f>
        <v>0</v>
      </c>
      <c r="I273" s="15" t="n">
        <f aca="false">IF(Takip!I273="",0,I272+1)</f>
        <v>0</v>
      </c>
      <c r="J273" s="15" t="n">
        <f aca="false">IF(Takip!J273="",0,J272+1)</f>
        <v>0</v>
      </c>
      <c r="K273" s="15" t="n">
        <f aca="false">IF(Takip!K273="",0,K272+1)</f>
        <v>0</v>
      </c>
      <c r="L273" s="15" t="n">
        <f aca="false">IF(Takip!L273="",0,L272+1)</f>
        <v>0</v>
      </c>
      <c r="M273" s="15" t="n">
        <f aca="false">IF(Takip!M273="",0,M272+1)</f>
        <v>0</v>
      </c>
      <c r="N273" s="15" t="n">
        <f aca="false">IF(Takip!N273="",0,N272+1)</f>
        <v>0</v>
      </c>
      <c r="O273" s="15" t="n">
        <f aca="false">IF(Takip!O273="",0,O272+1)</f>
        <v>0</v>
      </c>
      <c r="P273" s="15" t="n">
        <f aca="false">IF(Takip!P273="",0,P272+1)</f>
        <v>0</v>
      </c>
      <c r="Q273" s="15" t="n">
        <f aca="false">IF(Takip!Q273="",0,Q272+1)</f>
        <v>0</v>
      </c>
    </row>
    <row r="274" customFormat="false" ht="15" hidden="false" customHeight="false" outlineLevel="0" collapsed="false">
      <c r="A274" s="14" t="n">
        <f aca="false">Takip!R274</f>
        <v>46291</v>
      </c>
      <c r="C274" s="15" t="n">
        <f aca="false">IF(Takip!C274="",0,C273+1)</f>
        <v>0</v>
      </c>
      <c r="D274" s="15" t="n">
        <f aca="false">IF(Takip!D274="",0,D273+1)</f>
        <v>20</v>
      </c>
      <c r="E274" s="15" t="n">
        <f aca="false">IF(Takip!E274="",0,E273+1)</f>
        <v>0</v>
      </c>
      <c r="F274" s="15" t="n">
        <f aca="false">IF(Takip!F274="",0,F273+1)</f>
        <v>1</v>
      </c>
      <c r="G274" s="15" t="n">
        <f aca="false">IF(Takip!G274="",0,G273+1)</f>
        <v>0</v>
      </c>
      <c r="H274" s="15" t="n">
        <f aca="false">IF(Takip!H274="",0,H273+1)</f>
        <v>0</v>
      </c>
      <c r="I274" s="15" t="n">
        <f aca="false">IF(Takip!I274="",0,I273+1)</f>
        <v>0</v>
      </c>
      <c r="J274" s="15" t="n">
        <f aca="false">IF(Takip!J274="",0,J273+1)</f>
        <v>0</v>
      </c>
      <c r="K274" s="15" t="n">
        <f aca="false">IF(Takip!K274="",0,K273+1)</f>
        <v>0</v>
      </c>
      <c r="L274" s="15" t="n">
        <f aca="false">IF(Takip!L274="",0,L273+1)</f>
        <v>0</v>
      </c>
      <c r="M274" s="15" t="n">
        <f aca="false">IF(Takip!M274="",0,M273+1)</f>
        <v>0</v>
      </c>
      <c r="N274" s="15" t="n">
        <f aca="false">IF(Takip!N274="",0,N273+1)</f>
        <v>0</v>
      </c>
      <c r="O274" s="15" t="n">
        <f aca="false">IF(Takip!O274="",0,O273+1)</f>
        <v>0</v>
      </c>
      <c r="P274" s="15" t="n">
        <f aca="false">IF(Takip!P274="",0,P273+1)</f>
        <v>0</v>
      </c>
      <c r="Q274" s="15" t="n">
        <f aca="false">IF(Takip!Q274="",0,Q273+1)</f>
        <v>0</v>
      </c>
    </row>
    <row r="275" customFormat="false" ht="15" hidden="false" customHeight="false" outlineLevel="0" collapsed="false">
      <c r="A275" s="14" t="n">
        <f aca="false">Takip!R275</f>
        <v>46292</v>
      </c>
      <c r="C275" s="15" t="n">
        <f aca="false">IF(Takip!C275="",0,C274+1)</f>
        <v>1</v>
      </c>
      <c r="D275" s="15" t="n">
        <f aca="false">IF(Takip!D275="",0,D274+1)</f>
        <v>21</v>
      </c>
      <c r="E275" s="15" t="n">
        <f aca="false">IF(Takip!E275="",0,E274+1)</f>
        <v>0</v>
      </c>
      <c r="F275" s="15" t="n">
        <f aca="false">IF(Takip!F275="",0,F274+1)</f>
        <v>2</v>
      </c>
      <c r="G275" s="15" t="n">
        <f aca="false">IF(Takip!G275="",0,G274+1)</f>
        <v>0</v>
      </c>
      <c r="H275" s="15" t="n">
        <f aca="false">IF(Takip!H275="",0,H274+1)</f>
        <v>0</v>
      </c>
      <c r="I275" s="15" t="n">
        <f aca="false">IF(Takip!I275="",0,I274+1)</f>
        <v>0</v>
      </c>
      <c r="J275" s="15" t="n">
        <f aca="false">IF(Takip!J275="",0,J274+1)</f>
        <v>0</v>
      </c>
      <c r="K275" s="15" t="n">
        <f aca="false">IF(Takip!K275="",0,K274+1)</f>
        <v>0</v>
      </c>
      <c r="L275" s="15" t="n">
        <f aca="false">IF(Takip!L275="",0,L274+1)</f>
        <v>0</v>
      </c>
      <c r="M275" s="15" t="n">
        <f aca="false">IF(Takip!M275="",0,M274+1)</f>
        <v>0</v>
      </c>
      <c r="N275" s="15" t="n">
        <f aca="false">IF(Takip!N275="",0,N274+1)</f>
        <v>0</v>
      </c>
      <c r="O275" s="15" t="n">
        <f aca="false">IF(Takip!O275="",0,O274+1)</f>
        <v>0</v>
      </c>
      <c r="P275" s="15" t="n">
        <f aca="false">IF(Takip!P275="",0,P274+1)</f>
        <v>0</v>
      </c>
      <c r="Q275" s="15" t="n">
        <f aca="false">IF(Takip!Q275="",0,Q274+1)</f>
        <v>0</v>
      </c>
    </row>
    <row r="276" customFormat="false" ht="15" hidden="false" customHeight="false" outlineLevel="0" collapsed="false">
      <c r="A276" s="14" t="n">
        <f aca="false">Takip!R276</f>
        <v>46293</v>
      </c>
      <c r="C276" s="15" t="n">
        <f aca="false">IF(Takip!C276="",0,C275+1)</f>
        <v>2</v>
      </c>
      <c r="D276" s="15" t="n">
        <f aca="false">IF(Takip!D276="",0,D275+1)</f>
        <v>22</v>
      </c>
      <c r="E276" s="15" t="n">
        <f aca="false">IF(Takip!E276="",0,E275+1)</f>
        <v>1</v>
      </c>
      <c r="F276" s="15" t="n">
        <f aca="false">IF(Takip!F276="",0,F275+1)</f>
        <v>0</v>
      </c>
      <c r="G276" s="15" t="n">
        <f aca="false">IF(Takip!G276="",0,G275+1)</f>
        <v>0</v>
      </c>
      <c r="H276" s="15" t="n">
        <f aca="false">IF(Takip!H276="",0,H275+1)</f>
        <v>0</v>
      </c>
      <c r="I276" s="15" t="n">
        <f aca="false">IF(Takip!I276="",0,I275+1)</f>
        <v>0</v>
      </c>
      <c r="J276" s="15" t="n">
        <f aca="false">IF(Takip!J276="",0,J275+1)</f>
        <v>0</v>
      </c>
      <c r="K276" s="15" t="n">
        <f aca="false">IF(Takip!K276="",0,K275+1)</f>
        <v>0</v>
      </c>
      <c r="L276" s="15" t="n">
        <f aca="false">IF(Takip!L276="",0,L275+1)</f>
        <v>0</v>
      </c>
      <c r="M276" s="15" t="n">
        <f aca="false">IF(Takip!M276="",0,M275+1)</f>
        <v>0</v>
      </c>
      <c r="N276" s="15" t="n">
        <f aca="false">IF(Takip!N276="",0,N275+1)</f>
        <v>0</v>
      </c>
      <c r="O276" s="15" t="n">
        <f aca="false">IF(Takip!O276="",0,O275+1)</f>
        <v>0</v>
      </c>
      <c r="P276" s="15" t="n">
        <f aca="false">IF(Takip!P276="",0,P275+1)</f>
        <v>0</v>
      </c>
      <c r="Q276" s="15" t="n">
        <f aca="false">IF(Takip!Q276="",0,Q275+1)</f>
        <v>0</v>
      </c>
    </row>
    <row r="277" customFormat="false" ht="15" hidden="false" customHeight="false" outlineLevel="0" collapsed="false">
      <c r="A277" s="14" t="n">
        <f aca="false">Takip!R277</f>
        <v>46294</v>
      </c>
      <c r="C277" s="15" t="n">
        <f aca="false">IF(Takip!C277="",0,C276+1)</f>
        <v>3</v>
      </c>
      <c r="D277" s="15" t="n">
        <f aca="false">IF(Takip!D277="",0,D276+1)</f>
        <v>23</v>
      </c>
      <c r="E277" s="15" t="n">
        <f aca="false">IF(Takip!E277="",0,E276+1)</f>
        <v>0</v>
      </c>
      <c r="F277" s="15" t="n">
        <f aca="false">IF(Takip!F277="",0,F276+1)</f>
        <v>1</v>
      </c>
      <c r="G277" s="15" t="n">
        <f aca="false">IF(Takip!G277="",0,G276+1)</f>
        <v>0</v>
      </c>
      <c r="H277" s="15" t="n">
        <f aca="false">IF(Takip!H277="",0,H276+1)</f>
        <v>0</v>
      </c>
      <c r="I277" s="15" t="n">
        <f aca="false">IF(Takip!I277="",0,I276+1)</f>
        <v>0</v>
      </c>
      <c r="J277" s="15" t="n">
        <f aca="false">IF(Takip!J277="",0,J276+1)</f>
        <v>0</v>
      </c>
      <c r="K277" s="15" t="n">
        <f aca="false">IF(Takip!K277="",0,K276+1)</f>
        <v>0</v>
      </c>
      <c r="L277" s="15" t="n">
        <f aca="false">IF(Takip!L277="",0,L276+1)</f>
        <v>0</v>
      </c>
      <c r="M277" s="15" t="n">
        <f aca="false">IF(Takip!M277="",0,M276+1)</f>
        <v>0</v>
      </c>
      <c r="N277" s="15" t="n">
        <f aca="false">IF(Takip!N277="",0,N276+1)</f>
        <v>0</v>
      </c>
      <c r="O277" s="15" t="n">
        <f aca="false">IF(Takip!O277="",0,O276+1)</f>
        <v>0</v>
      </c>
      <c r="P277" s="15" t="n">
        <f aca="false">IF(Takip!P277="",0,P276+1)</f>
        <v>0</v>
      </c>
      <c r="Q277" s="15" t="n">
        <f aca="false">IF(Takip!Q277="",0,Q276+1)</f>
        <v>0</v>
      </c>
    </row>
    <row r="278" customFormat="false" ht="15" hidden="false" customHeight="false" outlineLevel="0" collapsed="false">
      <c r="A278" s="14" t="n">
        <f aca="false">Takip!R278</f>
        <v>46295</v>
      </c>
      <c r="C278" s="15" t="n">
        <f aca="false">IF(Takip!C278="",0,C277+1)</f>
        <v>4</v>
      </c>
      <c r="D278" s="15" t="n">
        <f aca="false">IF(Takip!D278="",0,D277+1)</f>
        <v>24</v>
      </c>
      <c r="E278" s="15" t="n">
        <f aca="false">IF(Takip!E278="",0,E277+1)</f>
        <v>1</v>
      </c>
      <c r="F278" s="15" t="n">
        <f aca="false">IF(Takip!F278="",0,F277+1)</f>
        <v>2</v>
      </c>
      <c r="G278" s="15" t="n">
        <f aca="false">IF(Takip!G278="",0,G277+1)</f>
        <v>0</v>
      </c>
      <c r="H278" s="15" t="n">
        <f aca="false">IF(Takip!H278="",0,H277+1)</f>
        <v>0</v>
      </c>
      <c r="I278" s="15" t="n">
        <f aca="false">IF(Takip!I278="",0,I277+1)</f>
        <v>0</v>
      </c>
      <c r="J278" s="15" t="n">
        <f aca="false">IF(Takip!J278="",0,J277+1)</f>
        <v>0</v>
      </c>
      <c r="K278" s="15" t="n">
        <f aca="false">IF(Takip!K278="",0,K277+1)</f>
        <v>0</v>
      </c>
      <c r="L278" s="15" t="n">
        <f aca="false">IF(Takip!L278="",0,L277+1)</f>
        <v>0</v>
      </c>
      <c r="M278" s="15" t="n">
        <f aca="false">IF(Takip!M278="",0,M277+1)</f>
        <v>0</v>
      </c>
      <c r="N278" s="15" t="n">
        <f aca="false">IF(Takip!N278="",0,N277+1)</f>
        <v>0</v>
      </c>
      <c r="O278" s="15" t="n">
        <f aca="false">IF(Takip!O278="",0,O277+1)</f>
        <v>0</v>
      </c>
      <c r="P278" s="15" t="n">
        <f aca="false">IF(Takip!P278="",0,P277+1)</f>
        <v>0</v>
      </c>
      <c r="Q278" s="15" t="n">
        <f aca="false">IF(Takip!Q278="",0,Q277+1)</f>
        <v>0</v>
      </c>
    </row>
    <row r="279" customFormat="false" ht="15" hidden="false" customHeight="false" outlineLevel="0" collapsed="false">
      <c r="A279" s="14" t="n">
        <f aca="false">Takip!R279</f>
        <v>46296</v>
      </c>
      <c r="C279" s="15" t="n">
        <f aca="false">IF(Takip!C279="",0,C278+1)</f>
        <v>5</v>
      </c>
      <c r="D279" s="15" t="n">
        <f aca="false">IF(Takip!D279="",0,D278+1)</f>
        <v>25</v>
      </c>
      <c r="E279" s="15" t="n">
        <f aca="false">IF(Takip!E279="",0,E278+1)</f>
        <v>0</v>
      </c>
      <c r="F279" s="15" t="n">
        <f aca="false">IF(Takip!F279="",0,F278+1)</f>
        <v>0</v>
      </c>
      <c r="G279" s="15" t="n">
        <f aca="false">IF(Takip!G279="",0,G278+1)</f>
        <v>0</v>
      </c>
      <c r="H279" s="15" t="n">
        <f aca="false">IF(Takip!H279="",0,H278+1)</f>
        <v>0</v>
      </c>
      <c r="I279" s="15" t="n">
        <f aca="false">IF(Takip!I279="",0,I278+1)</f>
        <v>0</v>
      </c>
      <c r="J279" s="15" t="n">
        <f aca="false">IF(Takip!J279="",0,J278+1)</f>
        <v>0</v>
      </c>
      <c r="K279" s="15" t="n">
        <f aca="false">IF(Takip!K279="",0,K278+1)</f>
        <v>0</v>
      </c>
      <c r="L279" s="15" t="n">
        <f aca="false">IF(Takip!L279="",0,L278+1)</f>
        <v>0</v>
      </c>
      <c r="M279" s="15" t="n">
        <f aca="false">IF(Takip!M279="",0,M278+1)</f>
        <v>0</v>
      </c>
      <c r="N279" s="15" t="n">
        <f aca="false">IF(Takip!N279="",0,N278+1)</f>
        <v>0</v>
      </c>
      <c r="O279" s="15" t="n">
        <f aca="false">IF(Takip!O279="",0,O278+1)</f>
        <v>0</v>
      </c>
      <c r="P279" s="15" t="n">
        <f aca="false">IF(Takip!P279="",0,P278+1)</f>
        <v>0</v>
      </c>
      <c r="Q279" s="15" t="n">
        <f aca="false">IF(Takip!Q279="",0,Q278+1)</f>
        <v>0</v>
      </c>
    </row>
    <row r="280" customFormat="false" ht="15" hidden="false" customHeight="false" outlineLevel="0" collapsed="false">
      <c r="A280" s="14" t="n">
        <f aca="false">Takip!R280</f>
        <v>46297</v>
      </c>
      <c r="C280" s="15" t="n">
        <f aca="false">IF(Takip!C280="",0,C279+1)</f>
        <v>6</v>
      </c>
      <c r="D280" s="15" t="n">
        <f aca="false">IF(Takip!D280="",0,D279+1)</f>
        <v>26</v>
      </c>
      <c r="E280" s="15" t="n">
        <f aca="false">IF(Takip!E280="",0,E279+1)</f>
        <v>1</v>
      </c>
      <c r="F280" s="15" t="n">
        <f aca="false">IF(Takip!F280="",0,F279+1)</f>
        <v>1</v>
      </c>
      <c r="G280" s="15" t="n">
        <f aca="false">IF(Takip!G280="",0,G279+1)</f>
        <v>0</v>
      </c>
      <c r="H280" s="15" t="n">
        <f aca="false">IF(Takip!H280="",0,H279+1)</f>
        <v>0</v>
      </c>
      <c r="I280" s="15" t="n">
        <f aca="false">IF(Takip!I280="",0,I279+1)</f>
        <v>0</v>
      </c>
      <c r="J280" s="15" t="n">
        <f aca="false">IF(Takip!J280="",0,J279+1)</f>
        <v>0</v>
      </c>
      <c r="K280" s="15" t="n">
        <f aca="false">IF(Takip!K280="",0,K279+1)</f>
        <v>0</v>
      </c>
      <c r="L280" s="15" t="n">
        <f aca="false">IF(Takip!L280="",0,L279+1)</f>
        <v>0</v>
      </c>
      <c r="M280" s="15" t="n">
        <f aca="false">IF(Takip!M280="",0,M279+1)</f>
        <v>0</v>
      </c>
      <c r="N280" s="15" t="n">
        <f aca="false">IF(Takip!N280="",0,N279+1)</f>
        <v>0</v>
      </c>
      <c r="O280" s="15" t="n">
        <f aca="false">IF(Takip!O280="",0,O279+1)</f>
        <v>0</v>
      </c>
      <c r="P280" s="15" t="n">
        <f aca="false">IF(Takip!P280="",0,P279+1)</f>
        <v>0</v>
      </c>
      <c r="Q280" s="15" t="n">
        <f aca="false">IF(Takip!Q280="",0,Q279+1)</f>
        <v>0</v>
      </c>
    </row>
    <row r="281" customFormat="false" ht="15" hidden="false" customHeight="false" outlineLevel="0" collapsed="false">
      <c r="A281" s="14" t="n">
        <f aca="false">Takip!R281</f>
        <v>46298</v>
      </c>
      <c r="C281" s="15" t="n">
        <f aca="false">IF(Takip!C281="",0,C280+1)</f>
        <v>0</v>
      </c>
      <c r="D281" s="15" t="n">
        <f aca="false">IF(Takip!D281="",0,D280+1)</f>
        <v>27</v>
      </c>
      <c r="E281" s="15" t="n">
        <f aca="false">IF(Takip!E281="",0,E280+1)</f>
        <v>0</v>
      </c>
      <c r="F281" s="15" t="n">
        <f aca="false">IF(Takip!F281="",0,F280+1)</f>
        <v>2</v>
      </c>
      <c r="G281" s="15" t="n">
        <f aca="false">IF(Takip!G281="",0,G280+1)</f>
        <v>0</v>
      </c>
      <c r="H281" s="15" t="n">
        <f aca="false">IF(Takip!H281="",0,H280+1)</f>
        <v>0</v>
      </c>
      <c r="I281" s="15" t="n">
        <f aca="false">IF(Takip!I281="",0,I280+1)</f>
        <v>0</v>
      </c>
      <c r="J281" s="15" t="n">
        <f aca="false">IF(Takip!J281="",0,J280+1)</f>
        <v>0</v>
      </c>
      <c r="K281" s="15" t="n">
        <f aca="false">IF(Takip!K281="",0,K280+1)</f>
        <v>0</v>
      </c>
      <c r="L281" s="15" t="n">
        <f aca="false">IF(Takip!L281="",0,L280+1)</f>
        <v>0</v>
      </c>
      <c r="M281" s="15" t="n">
        <f aca="false">IF(Takip!M281="",0,M280+1)</f>
        <v>0</v>
      </c>
      <c r="N281" s="15" t="n">
        <f aca="false">IF(Takip!N281="",0,N280+1)</f>
        <v>0</v>
      </c>
      <c r="O281" s="15" t="n">
        <f aca="false">IF(Takip!O281="",0,O280+1)</f>
        <v>0</v>
      </c>
      <c r="P281" s="15" t="n">
        <f aca="false">IF(Takip!P281="",0,P280+1)</f>
        <v>0</v>
      </c>
      <c r="Q281" s="15" t="n">
        <f aca="false">IF(Takip!Q281="",0,Q280+1)</f>
        <v>0</v>
      </c>
    </row>
    <row r="282" customFormat="false" ht="15" hidden="false" customHeight="false" outlineLevel="0" collapsed="false">
      <c r="A282" s="14" t="n">
        <f aca="false">Takip!R282</f>
        <v>46299</v>
      </c>
      <c r="C282" s="15" t="n">
        <f aca="false">IF(Takip!C282="",0,C281+1)</f>
        <v>1</v>
      </c>
      <c r="D282" s="15" t="n">
        <f aca="false">IF(Takip!D282="",0,D281+1)</f>
        <v>28</v>
      </c>
      <c r="E282" s="15" t="n">
        <f aca="false">IF(Takip!E282="",0,E281+1)</f>
        <v>0</v>
      </c>
      <c r="F282" s="15" t="n">
        <f aca="false">IF(Takip!F282="",0,F281+1)</f>
        <v>0</v>
      </c>
      <c r="G282" s="15" t="n">
        <f aca="false">IF(Takip!G282="",0,G281+1)</f>
        <v>0</v>
      </c>
      <c r="H282" s="15" t="n">
        <f aca="false">IF(Takip!H282="",0,H281+1)</f>
        <v>0</v>
      </c>
      <c r="I282" s="15" t="n">
        <f aca="false">IF(Takip!I282="",0,I281+1)</f>
        <v>0</v>
      </c>
      <c r="J282" s="15" t="n">
        <f aca="false">IF(Takip!J282="",0,J281+1)</f>
        <v>0</v>
      </c>
      <c r="K282" s="15" t="n">
        <f aca="false">IF(Takip!K282="",0,K281+1)</f>
        <v>0</v>
      </c>
      <c r="L282" s="15" t="n">
        <f aca="false">IF(Takip!L282="",0,L281+1)</f>
        <v>0</v>
      </c>
      <c r="M282" s="15" t="n">
        <f aca="false">IF(Takip!M282="",0,M281+1)</f>
        <v>0</v>
      </c>
      <c r="N282" s="15" t="n">
        <f aca="false">IF(Takip!N282="",0,N281+1)</f>
        <v>0</v>
      </c>
      <c r="O282" s="15" t="n">
        <f aca="false">IF(Takip!O282="",0,O281+1)</f>
        <v>0</v>
      </c>
      <c r="P282" s="15" t="n">
        <f aca="false">IF(Takip!P282="",0,P281+1)</f>
        <v>0</v>
      </c>
      <c r="Q282" s="15" t="n">
        <f aca="false">IF(Takip!Q282="",0,Q281+1)</f>
        <v>0</v>
      </c>
    </row>
    <row r="283" customFormat="false" ht="15" hidden="false" customHeight="false" outlineLevel="0" collapsed="false">
      <c r="A283" s="14" t="n">
        <f aca="false">Takip!R283</f>
        <v>46300</v>
      </c>
      <c r="C283" s="15" t="n">
        <f aca="false">IF(Takip!C283="",0,C282+1)</f>
        <v>0</v>
      </c>
      <c r="D283" s="15" t="n">
        <f aca="false">IF(Takip!D283="",0,D282+1)</f>
        <v>0</v>
      </c>
      <c r="E283" s="15" t="n">
        <f aca="false">IF(Takip!E283="",0,E282+1)</f>
        <v>0</v>
      </c>
      <c r="F283" s="15" t="n">
        <f aca="false">IF(Takip!F283="",0,F282+1)</f>
        <v>0</v>
      </c>
      <c r="G283" s="15" t="n">
        <f aca="false">IF(Takip!G283="",0,G282+1)</f>
        <v>0</v>
      </c>
      <c r="H283" s="15" t="n">
        <f aca="false">IF(Takip!H283="",0,H282+1)</f>
        <v>0</v>
      </c>
      <c r="I283" s="15" t="n">
        <f aca="false">IF(Takip!I283="",0,I282+1)</f>
        <v>0</v>
      </c>
      <c r="J283" s="15" t="n">
        <f aca="false">IF(Takip!J283="",0,J282+1)</f>
        <v>0</v>
      </c>
      <c r="K283" s="15" t="n">
        <f aca="false">IF(Takip!K283="",0,K282+1)</f>
        <v>0</v>
      </c>
      <c r="L283" s="15" t="n">
        <f aca="false">IF(Takip!L283="",0,L282+1)</f>
        <v>0</v>
      </c>
      <c r="M283" s="15" t="n">
        <f aca="false">IF(Takip!M283="",0,M282+1)</f>
        <v>0</v>
      </c>
      <c r="N283" s="15" t="n">
        <f aca="false">IF(Takip!N283="",0,N282+1)</f>
        <v>0</v>
      </c>
      <c r="O283" s="15" t="n">
        <f aca="false">IF(Takip!O283="",0,O282+1)</f>
        <v>0</v>
      </c>
      <c r="P283" s="15" t="n">
        <f aca="false">IF(Takip!P283="",0,P282+1)</f>
        <v>0</v>
      </c>
      <c r="Q283" s="15" t="n">
        <f aca="false">IF(Takip!Q283="",0,Q282+1)</f>
        <v>0</v>
      </c>
    </row>
    <row r="284" customFormat="false" ht="15" hidden="false" customHeight="false" outlineLevel="0" collapsed="false">
      <c r="A284" s="14" t="n">
        <f aca="false">Takip!R284</f>
        <v>46301</v>
      </c>
      <c r="C284" s="15" t="n">
        <f aca="false">IF(Takip!C284="",0,C283+1)</f>
        <v>0</v>
      </c>
      <c r="D284" s="15" t="n">
        <f aca="false">IF(Takip!D284="",0,D283+1)</f>
        <v>0</v>
      </c>
      <c r="E284" s="15" t="n">
        <f aca="false">IF(Takip!E284="",0,E283+1)</f>
        <v>0</v>
      </c>
      <c r="F284" s="15" t="n">
        <f aca="false">IF(Takip!F284="",0,F283+1)</f>
        <v>0</v>
      </c>
      <c r="G284" s="15" t="n">
        <f aca="false">IF(Takip!G284="",0,G283+1)</f>
        <v>0</v>
      </c>
      <c r="H284" s="15" t="n">
        <f aca="false">IF(Takip!H284="",0,H283+1)</f>
        <v>0</v>
      </c>
      <c r="I284" s="15" t="n">
        <f aca="false">IF(Takip!I284="",0,I283+1)</f>
        <v>0</v>
      </c>
      <c r="J284" s="15" t="n">
        <f aca="false">IF(Takip!J284="",0,J283+1)</f>
        <v>0</v>
      </c>
      <c r="K284" s="15" t="n">
        <f aca="false">IF(Takip!K284="",0,K283+1)</f>
        <v>0</v>
      </c>
      <c r="L284" s="15" t="n">
        <f aca="false">IF(Takip!L284="",0,L283+1)</f>
        <v>0</v>
      </c>
      <c r="M284" s="15" t="n">
        <f aca="false">IF(Takip!M284="",0,M283+1)</f>
        <v>0</v>
      </c>
      <c r="N284" s="15" t="n">
        <f aca="false">IF(Takip!N284="",0,N283+1)</f>
        <v>0</v>
      </c>
      <c r="O284" s="15" t="n">
        <f aca="false">IF(Takip!O284="",0,O283+1)</f>
        <v>0</v>
      </c>
      <c r="P284" s="15" t="n">
        <f aca="false">IF(Takip!P284="",0,P283+1)</f>
        <v>0</v>
      </c>
      <c r="Q284" s="15" t="n">
        <f aca="false">IF(Takip!Q284="",0,Q283+1)</f>
        <v>0</v>
      </c>
    </row>
    <row r="285" customFormat="false" ht="15" hidden="false" customHeight="false" outlineLevel="0" collapsed="false">
      <c r="A285" s="14" t="n">
        <f aca="false">Takip!R285</f>
        <v>46302</v>
      </c>
      <c r="C285" s="15" t="n">
        <f aca="false">IF(Takip!C285="",0,C284+1)</f>
        <v>0</v>
      </c>
      <c r="D285" s="15" t="n">
        <f aca="false">IF(Takip!D285="",0,D284+1)</f>
        <v>0</v>
      </c>
      <c r="E285" s="15" t="n">
        <f aca="false">IF(Takip!E285="",0,E284+1)</f>
        <v>0</v>
      </c>
      <c r="F285" s="15" t="n">
        <f aca="false">IF(Takip!F285="",0,F284+1)</f>
        <v>0</v>
      </c>
      <c r="G285" s="15" t="n">
        <f aca="false">IF(Takip!G285="",0,G284+1)</f>
        <v>0</v>
      </c>
      <c r="H285" s="15" t="n">
        <f aca="false">IF(Takip!H285="",0,H284+1)</f>
        <v>0</v>
      </c>
      <c r="I285" s="15" t="n">
        <f aca="false">IF(Takip!I285="",0,I284+1)</f>
        <v>0</v>
      </c>
      <c r="J285" s="15" t="n">
        <f aca="false">IF(Takip!J285="",0,J284+1)</f>
        <v>0</v>
      </c>
      <c r="K285" s="15" t="n">
        <f aca="false">IF(Takip!K285="",0,K284+1)</f>
        <v>0</v>
      </c>
      <c r="L285" s="15" t="n">
        <f aca="false">IF(Takip!L285="",0,L284+1)</f>
        <v>0</v>
      </c>
      <c r="M285" s="15" t="n">
        <f aca="false">IF(Takip!M285="",0,M284+1)</f>
        <v>0</v>
      </c>
      <c r="N285" s="15" t="n">
        <f aca="false">IF(Takip!N285="",0,N284+1)</f>
        <v>0</v>
      </c>
      <c r="O285" s="15" t="n">
        <f aca="false">IF(Takip!O285="",0,O284+1)</f>
        <v>0</v>
      </c>
      <c r="P285" s="15" t="n">
        <f aca="false">IF(Takip!P285="",0,P284+1)</f>
        <v>0</v>
      </c>
      <c r="Q285" s="15" t="n">
        <f aca="false">IF(Takip!Q285="",0,Q284+1)</f>
        <v>0</v>
      </c>
    </row>
    <row r="286" customFormat="false" ht="15" hidden="false" customHeight="false" outlineLevel="0" collapsed="false">
      <c r="A286" s="14" t="n">
        <f aca="false">Takip!R286</f>
        <v>46303</v>
      </c>
      <c r="C286" s="15" t="n">
        <f aca="false">IF(Takip!C286="",0,C285+1)</f>
        <v>0</v>
      </c>
      <c r="D286" s="15" t="n">
        <f aca="false">IF(Takip!D286="",0,D285+1)</f>
        <v>0</v>
      </c>
      <c r="E286" s="15" t="n">
        <f aca="false">IF(Takip!E286="",0,E285+1)</f>
        <v>0</v>
      </c>
      <c r="F286" s="15" t="n">
        <f aca="false">IF(Takip!F286="",0,F285+1)</f>
        <v>0</v>
      </c>
      <c r="G286" s="15" t="n">
        <f aca="false">IF(Takip!G286="",0,G285+1)</f>
        <v>0</v>
      </c>
      <c r="H286" s="15" t="n">
        <f aca="false">IF(Takip!H286="",0,H285+1)</f>
        <v>0</v>
      </c>
      <c r="I286" s="15" t="n">
        <f aca="false">IF(Takip!I286="",0,I285+1)</f>
        <v>0</v>
      </c>
      <c r="J286" s="15" t="n">
        <f aca="false">IF(Takip!J286="",0,J285+1)</f>
        <v>0</v>
      </c>
      <c r="K286" s="15" t="n">
        <f aca="false">IF(Takip!K286="",0,K285+1)</f>
        <v>0</v>
      </c>
      <c r="L286" s="15" t="n">
        <f aca="false">IF(Takip!L286="",0,L285+1)</f>
        <v>0</v>
      </c>
      <c r="M286" s="15" t="n">
        <f aca="false">IF(Takip!M286="",0,M285+1)</f>
        <v>0</v>
      </c>
      <c r="N286" s="15" t="n">
        <f aca="false">IF(Takip!N286="",0,N285+1)</f>
        <v>0</v>
      </c>
      <c r="O286" s="15" t="n">
        <f aca="false">IF(Takip!O286="",0,O285+1)</f>
        <v>0</v>
      </c>
      <c r="P286" s="15" t="n">
        <f aca="false">IF(Takip!P286="",0,P285+1)</f>
        <v>0</v>
      </c>
      <c r="Q286" s="15" t="n">
        <f aca="false">IF(Takip!Q286="",0,Q285+1)</f>
        <v>0</v>
      </c>
    </row>
    <row r="287" customFormat="false" ht="15" hidden="false" customHeight="false" outlineLevel="0" collapsed="false">
      <c r="A287" s="14" t="n">
        <f aca="false">Takip!R287</f>
        <v>46304</v>
      </c>
      <c r="C287" s="15" t="n">
        <f aca="false">IF(Takip!C287="",0,C286+1)</f>
        <v>0</v>
      </c>
      <c r="D287" s="15" t="n">
        <f aca="false">IF(Takip!D287="",0,D286+1)</f>
        <v>0</v>
      </c>
      <c r="E287" s="15" t="n">
        <f aca="false">IF(Takip!E287="",0,E286+1)</f>
        <v>0</v>
      </c>
      <c r="F287" s="15" t="n">
        <f aca="false">IF(Takip!F287="",0,F286+1)</f>
        <v>0</v>
      </c>
      <c r="G287" s="15" t="n">
        <f aca="false">IF(Takip!G287="",0,G286+1)</f>
        <v>0</v>
      </c>
      <c r="H287" s="15" t="n">
        <f aca="false">IF(Takip!H287="",0,H286+1)</f>
        <v>0</v>
      </c>
      <c r="I287" s="15" t="n">
        <f aca="false">IF(Takip!I287="",0,I286+1)</f>
        <v>0</v>
      </c>
      <c r="J287" s="15" t="n">
        <f aca="false">IF(Takip!J287="",0,J286+1)</f>
        <v>0</v>
      </c>
      <c r="K287" s="15" t="n">
        <f aca="false">IF(Takip!K287="",0,K286+1)</f>
        <v>0</v>
      </c>
      <c r="L287" s="15" t="n">
        <f aca="false">IF(Takip!L287="",0,L286+1)</f>
        <v>0</v>
      </c>
      <c r="M287" s="15" t="n">
        <f aca="false">IF(Takip!M287="",0,M286+1)</f>
        <v>0</v>
      </c>
      <c r="N287" s="15" t="n">
        <f aca="false">IF(Takip!N287="",0,N286+1)</f>
        <v>0</v>
      </c>
      <c r="O287" s="15" t="n">
        <f aca="false">IF(Takip!O287="",0,O286+1)</f>
        <v>0</v>
      </c>
      <c r="P287" s="15" t="n">
        <f aca="false">IF(Takip!P287="",0,P286+1)</f>
        <v>0</v>
      </c>
      <c r="Q287" s="15" t="n">
        <f aca="false">IF(Takip!Q287="",0,Q286+1)</f>
        <v>0</v>
      </c>
    </row>
    <row r="288" customFormat="false" ht="15" hidden="false" customHeight="false" outlineLevel="0" collapsed="false">
      <c r="A288" s="14" t="n">
        <f aca="false">Takip!R288</f>
        <v>46305</v>
      </c>
      <c r="C288" s="15" t="n">
        <f aca="false">IF(Takip!C288="",0,C287+1)</f>
        <v>0</v>
      </c>
      <c r="D288" s="15" t="n">
        <f aca="false">IF(Takip!D288="",0,D287+1)</f>
        <v>0</v>
      </c>
      <c r="E288" s="15" t="n">
        <f aca="false">IF(Takip!E288="",0,E287+1)</f>
        <v>0</v>
      </c>
      <c r="F288" s="15" t="n">
        <f aca="false">IF(Takip!F288="",0,F287+1)</f>
        <v>0</v>
      </c>
      <c r="G288" s="15" t="n">
        <f aca="false">IF(Takip!G288="",0,G287+1)</f>
        <v>0</v>
      </c>
      <c r="H288" s="15" t="n">
        <f aca="false">IF(Takip!H288="",0,H287+1)</f>
        <v>0</v>
      </c>
      <c r="I288" s="15" t="n">
        <f aca="false">IF(Takip!I288="",0,I287+1)</f>
        <v>0</v>
      </c>
      <c r="J288" s="15" t="n">
        <f aca="false">IF(Takip!J288="",0,J287+1)</f>
        <v>0</v>
      </c>
      <c r="K288" s="15" t="n">
        <f aca="false">IF(Takip!K288="",0,K287+1)</f>
        <v>0</v>
      </c>
      <c r="L288" s="15" t="n">
        <f aca="false">IF(Takip!L288="",0,L287+1)</f>
        <v>0</v>
      </c>
      <c r="M288" s="15" t="n">
        <f aca="false">IF(Takip!M288="",0,M287+1)</f>
        <v>0</v>
      </c>
      <c r="N288" s="15" t="n">
        <f aca="false">IF(Takip!N288="",0,N287+1)</f>
        <v>0</v>
      </c>
      <c r="O288" s="15" t="n">
        <f aca="false">IF(Takip!O288="",0,O287+1)</f>
        <v>0</v>
      </c>
      <c r="P288" s="15" t="n">
        <f aca="false">IF(Takip!P288="",0,P287+1)</f>
        <v>0</v>
      </c>
      <c r="Q288" s="15" t="n">
        <f aca="false">IF(Takip!Q288="",0,Q287+1)</f>
        <v>0</v>
      </c>
    </row>
    <row r="289" customFormat="false" ht="15" hidden="false" customHeight="false" outlineLevel="0" collapsed="false">
      <c r="A289" s="14" t="n">
        <f aca="false">Takip!R289</f>
        <v>46306</v>
      </c>
      <c r="C289" s="15" t="n">
        <f aca="false">IF(Takip!C289="",0,C288+1)</f>
        <v>0</v>
      </c>
      <c r="D289" s="15" t="n">
        <f aca="false">IF(Takip!D289="",0,D288+1)</f>
        <v>0</v>
      </c>
      <c r="E289" s="15" t="n">
        <f aca="false">IF(Takip!E289="",0,E288+1)</f>
        <v>0</v>
      </c>
      <c r="F289" s="15" t="n">
        <f aca="false">IF(Takip!F289="",0,F288+1)</f>
        <v>0</v>
      </c>
      <c r="G289" s="15" t="n">
        <f aca="false">IF(Takip!G289="",0,G288+1)</f>
        <v>0</v>
      </c>
      <c r="H289" s="15" t="n">
        <f aca="false">IF(Takip!H289="",0,H288+1)</f>
        <v>0</v>
      </c>
      <c r="I289" s="15" t="n">
        <f aca="false">IF(Takip!I289="",0,I288+1)</f>
        <v>0</v>
      </c>
      <c r="J289" s="15" t="n">
        <f aca="false">IF(Takip!J289="",0,J288+1)</f>
        <v>0</v>
      </c>
      <c r="K289" s="15" t="n">
        <f aca="false">IF(Takip!K289="",0,K288+1)</f>
        <v>0</v>
      </c>
      <c r="L289" s="15" t="n">
        <f aca="false">IF(Takip!L289="",0,L288+1)</f>
        <v>0</v>
      </c>
      <c r="M289" s="15" t="n">
        <f aca="false">IF(Takip!M289="",0,M288+1)</f>
        <v>0</v>
      </c>
      <c r="N289" s="15" t="n">
        <f aca="false">IF(Takip!N289="",0,N288+1)</f>
        <v>0</v>
      </c>
      <c r="O289" s="15" t="n">
        <f aca="false">IF(Takip!O289="",0,O288+1)</f>
        <v>0</v>
      </c>
      <c r="P289" s="15" t="n">
        <f aca="false">IF(Takip!P289="",0,P288+1)</f>
        <v>0</v>
      </c>
      <c r="Q289" s="15" t="n">
        <f aca="false">IF(Takip!Q289="",0,Q288+1)</f>
        <v>0</v>
      </c>
    </row>
    <row r="290" customFormat="false" ht="15" hidden="false" customHeight="false" outlineLevel="0" collapsed="false">
      <c r="A290" s="14" t="n">
        <f aca="false">Takip!R290</f>
        <v>46307</v>
      </c>
      <c r="C290" s="15" t="n">
        <f aca="false">IF(Takip!C290="",0,C289+1)</f>
        <v>0</v>
      </c>
      <c r="D290" s="15" t="n">
        <f aca="false">IF(Takip!D290="",0,D289+1)</f>
        <v>0</v>
      </c>
      <c r="E290" s="15" t="n">
        <f aca="false">IF(Takip!E290="",0,E289+1)</f>
        <v>0</v>
      </c>
      <c r="F290" s="15" t="n">
        <f aca="false">IF(Takip!F290="",0,F289+1)</f>
        <v>0</v>
      </c>
      <c r="G290" s="15" t="n">
        <f aca="false">IF(Takip!G290="",0,G289+1)</f>
        <v>0</v>
      </c>
      <c r="H290" s="15" t="n">
        <f aca="false">IF(Takip!H290="",0,H289+1)</f>
        <v>0</v>
      </c>
      <c r="I290" s="15" t="n">
        <f aca="false">IF(Takip!I290="",0,I289+1)</f>
        <v>0</v>
      </c>
      <c r="J290" s="15" t="n">
        <f aca="false">IF(Takip!J290="",0,J289+1)</f>
        <v>0</v>
      </c>
      <c r="K290" s="15" t="n">
        <f aca="false">IF(Takip!K290="",0,K289+1)</f>
        <v>0</v>
      </c>
      <c r="L290" s="15" t="n">
        <f aca="false">IF(Takip!L290="",0,L289+1)</f>
        <v>0</v>
      </c>
      <c r="M290" s="15" t="n">
        <f aca="false">IF(Takip!M290="",0,M289+1)</f>
        <v>0</v>
      </c>
      <c r="N290" s="15" t="n">
        <f aca="false">IF(Takip!N290="",0,N289+1)</f>
        <v>0</v>
      </c>
      <c r="O290" s="15" t="n">
        <f aca="false">IF(Takip!O290="",0,O289+1)</f>
        <v>0</v>
      </c>
      <c r="P290" s="15" t="n">
        <f aca="false">IF(Takip!P290="",0,P289+1)</f>
        <v>0</v>
      </c>
      <c r="Q290" s="15" t="n">
        <f aca="false">IF(Takip!Q290="",0,Q289+1)</f>
        <v>0</v>
      </c>
    </row>
    <row r="291" customFormat="false" ht="15" hidden="false" customHeight="false" outlineLevel="0" collapsed="false">
      <c r="A291" s="14" t="n">
        <f aca="false">Takip!R291</f>
        <v>46308</v>
      </c>
      <c r="C291" s="15" t="n">
        <f aca="false">IF(Takip!C291="",0,C290+1)</f>
        <v>0</v>
      </c>
      <c r="D291" s="15" t="n">
        <f aca="false">IF(Takip!D291="",0,D290+1)</f>
        <v>0</v>
      </c>
      <c r="E291" s="15" t="n">
        <f aca="false">IF(Takip!E291="",0,E290+1)</f>
        <v>0</v>
      </c>
      <c r="F291" s="15" t="n">
        <f aca="false">IF(Takip!F291="",0,F290+1)</f>
        <v>0</v>
      </c>
      <c r="G291" s="15" t="n">
        <f aca="false">IF(Takip!G291="",0,G290+1)</f>
        <v>0</v>
      </c>
      <c r="H291" s="15" t="n">
        <f aca="false">IF(Takip!H291="",0,H290+1)</f>
        <v>0</v>
      </c>
      <c r="I291" s="15" t="n">
        <f aca="false">IF(Takip!I291="",0,I290+1)</f>
        <v>0</v>
      </c>
      <c r="J291" s="15" t="n">
        <f aca="false">IF(Takip!J291="",0,J290+1)</f>
        <v>0</v>
      </c>
      <c r="K291" s="15" t="n">
        <f aca="false">IF(Takip!K291="",0,K290+1)</f>
        <v>0</v>
      </c>
      <c r="L291" s="15" t="n">
        <f aca="false">IF(Takip!L291="",0,L290+1)</f>
        <v>0</v>
      </c>
      <c r="M291" s="15" t="n">
        <f aca="false">IF(Takip!M291="",0,M290+1)</f>
        <v>0</v>
      </c>
      <c r="N291" s="15" t="n">
        <f aca="false">IF(Takip!N291="",0,N290+1)</f>
        <v>0</v>
      </c>
      <c r="O291" s="15" t="n">
        <f aca="false">IF(Takip!O291="",0,O290+1)</f>
        <v>0</v>
      </c>
      <c r="P291" s="15" t="n">
        <f aca="false">IF(Takip!P291="",0,P290+1)</f>
        <v>0</v>
      </c>
      <c r="Q291" s="15" t="n">
        <f aca="false">IF(Takip!Q291="",0,Q290+1)</f>
        <v>0</v>
      </c>
    </row>
    <row r="292" customFormat="false" ht="15" hidden="false" customHeight="false" outlineLevel="0" collapsed="false">
      <c r="A292" s="14" t="n">
        <f aca="false">Takip!R292</f>
        <v>46309</v>
      </c>
      <c r="C292" s="15" t="n">
        <f aca="false">IF(Takip!C292="",0,C291+1)</f>
        <v>0</v>
      </c>
      <c r="D292" s="15" t="n">
        <f aca="false">IF(Takip!D292="",0,D291+1)</f>
        <v>0</v>
      </c>
      <c r="E292" s="15" t="n">
        <f aca="false">IF(Takip!E292="",0,E291+1)</f>
        <v>0</v>
      </c>
      <c r="F292" s="15" t="n">
        <f aca="false">IF(Takip!F292="",0,F291+1)</f>
        <v>0</v>
      </c>
      <c r="G292" s="15" t="n">
        <f aca="false">IF(Takip!G292="",0,G291+1)</f>
        <v>0</v>
      </c>
      <c r="H292" s="15" t="n">
        <f aca="false">IF(Takip!H292="",0,H291+1)</f>
        <v>0</v>
      </c>
      <c r="I292" s="15" t="n">
        <f aca="false">IF(Takip!I292="",0,I291+1)</f>
        <v>0</v>
      </c>
      <c r="J292" s="15" t="n">
        <f aca="false">IF(Takip!J292="",0,J291+1)</f>
        <v>0</v>
      </c>
      <c r="K292" s="15" t="n">
        <f aca="false">IF(Takip!K292="",0,K291+1)</f>
        <v>0</v>
      </c>
      <c r="L292" s="15" t="n">
        <f aca="false">IF(Takip!L292="",0,L291+1)</f>
        <v>0</v>
      </c>
      <c r="M292" s="15" t="n">
        <f aca="false">IF(Takip!M292="",0,M291+1)</f>
        <v>0</v>
      </c>
      <c r="N292" s="15" t="n">
        <f aca="false">IF(Takip!N292="",0,N291+1)</f>
        <v>0</v>
      </c>
      <c r="O292" s="15" t="n">
        <f aca="false">IF(Takip!O292="",0,O291+1)</f>
        <v>0</v>
      </c>
      <c r="P292" s="15" t="n">
        <f aca="false">IF(Takip!P292="",0,P291+1)</f>
        <v>0</v>
      </c>
      <c r="Q292" s="15" t="n">
        <f aca="false">IF(Takip!Q292="",0,Q291+1)</f>
        <v>0</v>
      </c>
    </row>
    <row r="293" customFormat="false" ht="15" hidden="false" customHeight="false" outlineLevel="0" collapsed="false">
      <c r="A293" s="14" t="n">
        <f aca="false">Takip!R293</f>
        <v>46310</v>
      </c>
      <c r="C293" s="15" t="n">
        <f aca="false">IF(Takip!C293="",0,C292+1)</f>
        <v>0</v>
      </c>
      <c r="D293" s="15" t="n">
        <f aca="false">IF(Takip!D293="",0,D292+1)</f>
        <v>0</v>
      </c>
      <c r="E293" s="15" t="n">
        <f aca="false">IF(Takip!E293="",0,E292+1)</f>
        <v>0</v>
      </c>
      <c r="F293" s="15" t="n">
        <f aca="false">IF(Takip!F293="",0,F292+1)</f>
        <v>0</v>
      </c>
      <c r="G293" s="15" t="n">
        <f aca="false">IF(Takip!G293="",0,G292+1)</f>
        <v>0</v>
      </c>
      <c r="H293" s="15" t="n">
        <f aca="false">IF(Takip!H293="",0,H292+1)</f>
        <v>0</v>
      </c>
      <c r="I293" s="15" t="n">
        <f aca="false">IF(Takip!I293="",0,I292+1)</f>
        <v>0</v>
      </c>
      <c r="J293" s="15" t="n">
        <f aca="false">IF(Takip!J293="",0,J292+1)</f>
        <v>0</v>
      </c>
      <c r="K293" s="15" t="n">
        <f aca="false">IF(Takip!K293="",0,K292+1)</f>
        <v>0</v>
      </c>
      <c r="L293" s="15" t="n">
        <f aca="false">IF(Takip!L293="",0,L292+1)</f>
        <v>0</v>
      </c>
      <c r="M293" s="15" t="n">
        <f aca="false">IF(Takip!M293="",0,M292+1)</f>
        <v>0</v>
      </c>
      <c r="N293" s="15" t="n">
        <f aca="false">IF(Takip!N293="",0,N292+1)</f>
        <v>0</v>
      </c>
      <c r="O293" s="15" t="n">
        <f aca="false">IF(Takip!O293="",0,O292+1)</f>
        <v>0</v>
      </c>
      <c r="P293" s="15" t="n">
        <f aca="false">IF(Takip!P293="",0,P292+1)</f>
        <v>0</v>
      </c>
      <c r="Q293" s="15" t="n">
        <f aca="false">IF(Takip!Q293="",0,Q292+1)</f>
        <v>0</v>
      </c>
    </row>
    <row r="294" customFormat="false" ht="15" hidden="false" customHeight="false" outlineLevel="0" collapsed="false">
      <c r="A294" s="14" t="n">
        <f aca="false">Takip!R294</f>
        <v>46311</v>
      </c>
      <c r="C294" s="15" t="n">
        <f aca="false">IF(Takip!C294="",0,C293+1)</f>
        <v>0</v>
      </c>
      <c r="D294" s="15" t="n">
        <f aca="false">IF(Takip!D294="",0,D293+1)</f>
        <v>0</v>
      </c>
      <c r="E294" s="15" t="n">
        <f aca="false">IF(Takip!E294="",0,E293+1)</f>
        <v>0</v>
      </c>
      <c r="F294" s="15" t="n">
        <f aca="false">IF(Takip!F294="",0,F293+1)</f>
        <v>0</v>
      </c>
      <c r="G294" s="15" t="n">
        <f aca="false">IF(Takip!G294="",0,G293+1)</f>
        <v>0</v>
      </c>
      <c r="H294" s="15" t="n">
        <f aca="false">IF(Takip!H294="",0,H293+1)</f>
        <v>0</v>
      </c>
      <c r="I294" s="15" t="n">
        <f aca="false">IF(Takip!I294="",0,I293+1)</f>
        <v>0</v>
      </c>
      <c r="J294" s="15" t="n">
        <f aca="false">IF(Takip!J294="",0,J293+1)</f>
        <v>0</v>
      </c>
      <c r="K294" s="15" t="n">
        <f aca="false">IF(Takip!K294="",0,K293+1)</f>
        <v>0</v>
      </c>
      <c r="L294" s="15" t="n">
        <f aca="false">IF(Takip!L294="",0,L293+1)</f>
        <v>0</v>
      </c>
      <c r="M294" s="15" t="n">
        <f aca="false">IF(Takip!M294="",0,M293+1)</f>
        <v>0</v>
      </c>
      <c r="N294" s="15" t="n">
        <f aca="false">IF(Takip!N294="",0,N293+1)</f>
        <v>0</v>
      </c>
      <c r="O294" s="15" t="n">
        <f aca="false">IF(Takip!O294="",0,O293+1)</f>
        <v>0</v>
      </c>
      <c r="P294" s="15" t="n">
        <f aca="false">IF(Takip!P294="",0,P293+1)</f>
        <v>0</v>
      </c>
      <c r="Q294" s="15" t="n">
        <f aca="false">IF(Takip!Q294="",0,Q293+1)</f>
        <v>0</v>
      </c>
    </row>
    <row r="295" customFormat="false" ht="15" hidden="false" customHeight="false" outlineLevel="0" collapsed="false">
      <c r="A295" s="14" t="n">
        <f aca="false">Takip!R295</f>
        <v>46312</v>
      </c>
      <c r="C295" s="15" t="n">
        <f aca="false">IF(Takip!C295="",0,C294+1)</f>
        <v>0</v>
      </c>
      <c r="D295" s="15" t="n">
        <f aca="false">IF(Takip!D295="",0,D294+1)</f>
        <v>0</v>
      </c>
      <c r="E295" s="15" t="n">
        <f aca="false">IF(Takip!E295="",0,E294+1)</f>
        <v>0</v>
      </c>
      <c r="F295" s="15" t="n">
        <f aca="false">IF(Takip!F295="",0,F294+1)</f>
        <v>0</v>
      </c>
      <c r="G295" s="15" t="n">
        <f aca="false">IF(Takip!G295="",0,G294+1)</f>
        <v>0</v>
      </c>
      <c r="H295" s="15" t="n">
        <f aca="false">IF(Takip!H295="",0,H294+1)</f>
        <v>0</v>
      </c>
      <c r="I295" s="15" t="n">
        <f aca="false">IF(Takip!I295="",0,I294+1)</f>
        <v>0</v>
      </c>
      <c r="J295" s="15" t="n">
        <f aca="false">IF(Takip!J295="",0,J294+1)</f>
        <v>0</v>
      </c>
      <c r="K295" s="15" t="n">
        <f aca="false">IF(Takip!K295="",0,K294+1)</f>
        <v>0</v>
      </c>
      <c r="L295" s="15" t="n">
        <f aca="false">IF(Takip!L295="",0,L294+1)</f>
        <v>0</v>
      </c>
      <c r="M295" s="15" t="n">
        <f aca="false">IF(Takip!M295="",0,M294+1)</f>
        <v>0</v>
      </c>
      <c r="N295" s="15" t="n">
        <f aca="false">IF(Takip!N295="",0,N294+1)</f>
        <v>0</v>
      </c>
      <c r="O295" s="15" t="n">
        <f aca="false">IF(Takip!O295="",0,O294+1)</f>
        <v>0</v>
      </c>
      <c r="P295" s="15" t="n">
        <f aca="false">IF(Takip!P295="",0,P294+1)</f>
        <v>0</v>
      </c>
      <c r="Q295" s="15" t="n">
        <f aca="false">IF(Takip!Q295="",0,Q294+1)</f>
        <v>0</v>
      </c>
    </row>
    <row r="296" customFormat="false" ht="15" hidden="false" customHeight="false" outlineLevel="0" collapsed="false">
      <c r="A296" s="14" t="n">
        <f aca="false">Takip!R296</f>
        <v>46313</v>
      </c>
      <c r="C296" s="15" t="n">
        <f aca="false">IF(Takip!C296="",0,C295+1)</f>
        <v>0</v>
      </c>
      <c r="D296" s="15" t="n">
        <f aca="false">IF(Takip!D296="",0,D295+1)</f>
        <v>0</v>
      </c>
      <c r="E296" s="15" t="n">
        <f aca="false">IF(Takip!E296="",0,E295+1)</f>
        <v>0</v>
      </c>
      <c r="F296" s="15" t="n">
        <f aca="false">IF(Takip!F296="",0,F295+1)</f>
        <v>0</v>
      </c>
      <c r="G296" s="15" t="n">
        <f aca="false">IF(Takip!G296="",0,G295+1)</f>
        <v>0</v>
      </c>
      <c r="H296" s="15" t="n">
        <f aca="false">IF(Takip!H296="",0,H295+1)</f>
        <v>0</v>
      </c>
      <c r="I296" s="15" t="n">
        <f aca="false">IF(Takip!I296="",0,I295+1)</f>
        <v>0</v>
      </c>
      <c r="J296" s="15" t="n">
        <f aca="false">IF(Takip!J296="",0,J295+1)</f>
        <v>0</v>
      </c>
      <c r="K296" s="15" t="n">
        <f aca="false">IF(Takip!K296="",0,K295+1)</f>
        <v>0</v>
      </c>
      <c r="L296" s="15" t="n">
        <f aca="false">IF(Takip!L296="",0,L295+1)</f>
        <v>0</v>
      </c>
      <c r="M296" s="15" t="n">
        <f aca="false">IF(Takip!M296="",0,M295+1)</f>
        <v>0</v>
      </c>
      <c r="N296" s="15" t="n">
        <f aca="false">IF(Takip!N296="",0,N295+1)</f>
        <v>0</v>
      </c>
      <c r="O296" s="15" t="n">
        <f aca="false">IF(Takip!O296="",0,O295+1)</f>
        <v>0</v>
      </c>
      <c r="P296" s="15" t="n">
        <f aca="false">IF(Takip!P296="",0,P295+1)</f>
        <v>0</v>
      </c>
      <c r="Q296" s="15" t="n">
        <f aca="false">IF(Takip!Q296="",0,Q295+1)</f>
        <v>0</v>
      </c>
    </row>
    <row r="297" customFormat="false" ht="15" hidden="false" customHeight="false" outlineLevel="0" collapsed="false">
      <c r="A297" s="14" t="n">
        <f aca="false">Takip!R297</f>
        <v>46314</v>
      </c>
      <c r="C297" s="15" t="n">
        <f aca="false">IF(Takip!C297="",0,C296+1)</f>
        <v>0</v>
      </c>
      <c r="D297" s="15" t="n">
        <f aca="false">IF(Takip!D297="",0,D296+1)</f>
        <v>0</v>
      </c>
      <c r="E297" s="15" t="n">
        <f aca="false">IF(Takip!E297="",0,E296+1)</f>
        <v>0</v>
      </c>
      <c r="F297" s="15" t="n">
        <f aca="false">IF(Takip!F297="",0,F296+1)</f>
        <v>0</v>
      </c>
      <c r="G297" s="15" t="n">
        <f aca="false">IF(Takip!G297="",0,G296+1)</f>
        <v>0</v>
      </c>
      <c r="H297" s="15" t="n">
        <f aca="false">IF(Takip!H297="",0,H296+1)</f>
        <v>0</v>
      </c>
      <c r="I297" s="15" t="n">
        <f aca="false">IF(Takip!I297="",0,I296+1)</f>
        <v>0</v>
      </c>
      <c r="J297" s="15" t="n">
        <f aca="false">IF(Takip!J297="",0,J296+1)</f>
        <v>0</v>
      </c>
      <c r="K297" s="15" t="n">
        <f aca="false">IF(Takip!K297="",0,K296+1)</f>
        <v>0</v>
      </c>
      <c r="L297" s="15" t="n">
        <f aca="false">IF(Takip!L297="",0,L296+1)</f>
        <v>0</v>
      </c>
      <c r="M297" s="15" t="n">
        <f aca="false">IF(Takip!M297="",0,M296+1)</f>
        <v>0</v>
      </c>
      <c r="N297" s="15" t="n">
        <f aca="false">IF(Takip!N297="",0,N296+1)</f>
        <v>0</v>
      </c>
      <c r="O297" s="15" t="n">
        <f aca="false">IF(Takip!O297="",0,O296+1)</f>
        <v>0</v>
      </c>
      <c r="P297" s="15" t="n">
        <f aca="false">IF(Takip!P297="",0,P296+1)</f>
        <v>0</v>
      </c>
      <c r="Q297" s="15" t="n">
        <f aca="false">IF(Takip!Q297="",0,Q296+1)</f>
        <v>0</v>
      </c>
    </row>
    <row r="298" customFormat="false" ht="15" hidden="false" customHeight="false" outlineLevel="0" collapsed="false">
      <c r="A298" s="14" t="n">
        <f aca="false">Takip!R298</f>
        <v>46315</v>
      </c>
      <c r="C298" s="15" t="n">
        <f aca="false">IF(Takip!C298="",0,C297+1)</f>
        <v>0</v>
      </c>
      <c r="D298" s="15" t="n">
        <f aca="false">IF(Takip!D298="",0,D297+1)</f>
        <v>0</v>
      </c>
      <c r="E298" s="15" t="n">
        <f aca="false">IF(Takip!E298="",0,E297+1)</f>
        <v>0</v>
      </c>
      <c r="F298" s="15" t="n">
        <f aca="false">IF(Takip!F298="",0,F297+1)</f>
        <v>0</v>
      </c>
      <c r="G298" s="15" t="n">
        <f aca="false">IF(Takip!G298="",0,G297+1)</f>
        <v>0</v>
      </c>
      <c r="H298" s="15" t="n">
        <f aca="false">IF(Takip!H298="",0,H297+1)</f>
        <v>0</v>
      </c>
      <c r="I298" s="15" t="n">
        <f aca="false">IF(Takip!I298="",0,I297+1)</f>
        <v>0</v>
      </c>
      <c r="J298" s="15" t="n">
        <f aca="false">IF(Takip!J298="",0,J297+1)</f>
        <v>0</v>
      </c>
      <c r="K298" s="15" t="n">
        <f aca="false">IF(Takip!K298="",0,K297+1)</f>
        <v>0</v>
      </c>
      <c r="L298" s="15" t="n">
        <f aca="false">IF(Takip!L298="",0,L297+1)</f>
        <v>0</v>
      </c>
      <c r="M298" s="15" t="n">
        <f aca="false">IF(Takip!M298="",0,M297+1)</f>
        <v>0</v>
      </c>
      <c r="N298" s="15" t="n">
        <f aca="false">IF(Takip!N298="",0,N297+1)</f>
        <v>0</v>
      </c>
      <c r="O298" s="15" t="n">
        <f aca="false">IF(Takip!O298="",0,O297+1)</f>
        <v>0</v>
      </c>
      <c r="P298" s="15" t="n">
        <f aca="false">IF(Takip!P298="",0,P297+1)</f>
        <v>0</v>
      </c>
      <c r="Q298" s="15" t="n">
        <f aca="false">IF(Takip!Q298="",0,Q297+1)</f>
        <v>0</v>
      </c>
    </row>
    <row r="299" customFormat="false" ht="15" hidden="false" customHeight="false" outlineLevel="0" collapsed="false">
      <c r="A299" s="14" t="n">
        <f aca="false">Takip!R299</f>
        <v>46316</v>
      </c>
      <c r="C299" s="15" t="n">
        <f aca="false">IF(Takip!C299="",0,C298+1)</f>
        <v>0</v>
      </c>
      <c r="D299" s="15" t="n">
        <f aca="false">IF(Takip!D299="",0,D298+1)</f>
        <v>0</v>
      </c>
      <c r="E299" s="15" t="n">
        <f aca="false">IF(Takip!E299="",0,E298+1)</f>
        <v>0</v>
      </c>
      <c r="F299" s="15" t="n">
        <f aca="false">IF(Takip!F299="",0,F298+1)</f>
        <v>0</v>
      </c>
      <c r="G299" s="15" t="n">
        <f aca="false">IF(Takip!G299="",0,G298+1)</f>
        <v>0</v>
      </c>
      <c r="H299" s="15" t="n">
        <f aca="false">IF(Takip!H299="",0,H298+1)</f>
        <v>0</v>
      </c>
      <c r="I299" s="15" t="n">
        <f aca="false">IF(Takip!I299="",0,I298+1)</f>
        <v>0</v>
      </c>
      <c r="J299" s="15" t="n">
        <f aca="false">IF(Takip!J299="",0,J298+1)</f>
        <v>0</v>
      </c>
      <c r="K299" s="15" t="n">
        <f aca="false">IF(Takip!K299="",0,K298+1)</f>
        <v>0</v>
      </c>
      <c r="L299" s="15" t="n">
        <f aca="false">IF(Takip!L299="",0,L298+1)</f>
        <v>0</v>
      </c>
      <c r="M299" s="15" t="n">
        <f aca="false">IF(Takip!M299="",0,M298+1)</f>
        <v>0</v>
      </c>
      <c r="N299" s="15" t="n">
        <f aca="false">IF(Takip!N299="",0,N298+1)</f>
        <v>0</v>
      </c>
      <c r="O299" s="15" t="n">
        <f aca="false">IF(Takip!O299="",0,O298+1)</f>
        <v>0</v>
      </c>
      <c r="P299" s="15" t="n">
        <f aca="false">IF(Takip!P299="",0,P298+1)</f>
        <v>0</v>
      </c>
      <c r="Q299" s="15" t="n">
        <f aca="false">IF(Takip!Q299="",0,Q298+1)</f>
        <v>0</v>
      </c>
    </row>
    <row r="300" customFormat="false" ht="15" hidden="false" customHeight="false" outlineLevel="0" collapsed="false">
      <c r="A300" s="14" t="n">
        <f aca="false">Takip!R300</f>
        <v>46317</v>
      </c>
      <c r="C300" s="15" t="n">
        <f aca="false">IF(Takip!C300="",0,C299+1)</f>
        <v>0</v>
      </c>
      <c r="D300" s="15" t="n">
        <f aca="false">IF(Takip!D300="",0,D299+1)</f>
        <v>0</v>
      </c>
      <c r="E300" s="15" t="n">
        <f aca="false">IF(Takip!E300="",0,E299+1)</f>
        <v>0</v>
      </c>
      <c r="F300" s="15" t="n">
        <f aca="false">IF(Takip!F300="",0,F299+1)</f>
        <v>0</v>
      </c>
      <c r="G300" s="15" t="n">
        <f aca="false">IF(Takip!G300="",0,G299+1)</f>
        <v>0</v>
      </c>
      <c r="H300" s="15" t="n">
        <f aca="false">IF(Takip!H300="",0,H299+1)</f>
        <v>0</v>
      </c>
      <c r="I300" s="15" t="n">
        <f aca="false">IF(Takip!I300="",0,I299+1)</f>
        <v>0</v>
      </c>
      <c r="J300" s="15" t="n">
        <f aca="false">IF(Takip!J300="",0,J299+1)</f>
        <v>0</v>
      </c>
      <c r="K300" s="15" t="n">
        <f aca="false">IF(Takip!K300="",0,K299+1)</f>
        <v>0</v>
      </c>
      <c r="L300" s="15" t="n">
        <f aca="false">IF(Takip!L300="",0,L299+1)</f>
        <v>0</v>
      </c>
      <c r="M300" s="15" t="n">
        <f aca="false">IF(Takip!M300="",0,M299+1)</f>
        <v>0</v>
      </c>
      <c r="N300" s="15" t="n">
        <f aca="false">IF(Takip!N300="",0,N299+1)</f>
        <v>0</v>
      </c>
      <c r="O300" s="15" t="n">
        <f aca="false">IF(Takip!O300="",0,O299+1)</f>
        <v>0</v>
      </c>
      <c r="P300" s="15" t="n">
        <f aca="false">IF(Takip!P300="",0,P299+1)</f>
        <v>0</v>
      </c>
      <c r="Q300" s="15" t="n">
        <f aca="false">IF(Takip!Q300="",0,Q299+1)</f>
        <v>0</v>
      </c>
    </row>
    <row r="301" customFormat="false" ht="15" hidden="false" customHeight="false" outlineLevel="0" collapsed="false">
      <c r="A301" s="14" t="n">
        <f aca="false">Takip!R301</f>
        <v>46318</v>
      </c>
      <c r="C301" s="15" t="n">
        <f aca="false">IF(Takip!C301="",0,C300+1)</f>
        <v>0</v>
      </c>
      <c r="D301" s="15" t="n">
        <f aca="false">IF(Takip!D301="",0,D300+1)</f>
        <v>0</v>
      </c>
      <c r="E301" s="15" t="n">
        <f aca="false">IF(Takip!E301="",0,E300+1)</f>
        <v>0</v>
      </c>
      <c r="F301" s="15" t="n">
        <f aca="false">IF(Takip!F301="",0,F300+1)</f>
        <v>0</v>
      </c>
      <c r="G301" s="15" t="n">
        <f aca="false">IF(Takip!G301="",0,G300+1)</f>
        <v>0</v>
      </c>
      <c r="H301" s="15" t="n">
        <f aca="false">IF(Takip!H301="",0,H300+1)</f>
        <v>0</v>
      </c>
      <c r="I301" s="15" t="n">
        <f aca="false">IF(Takip!I301="",0,I300+1)</f>
        <v>0</v>
      </c>
      <c r="J301" s="15" t="n">
        <f aca="false">IF(Takip!J301="",0,J300+1)</f>
        <v>0</v>
      </c>
      <c r="K301" s="15" t="n">
        <f aca="false">IF(Takip!K301="",0,K300+1)</f>
        <v>0</v>
      </c>
      <c r="L301" s="15" t="n">
        <f aca="false">IF(Takip!L301="",0,L300+1)</f>
        <v>0</v>
      </c>
      <c r="M301" s="15" t="n">
        <f aca="false">IF(Takip!M301="",0,M300+1)</f>
        <v>0</v>
      </c>
      <c r="N301" s="15" t="n">
        <f aca="false">IF(Takip!N301="",0,N300+1)</f>
        <v>0</v>
      </c>
      <c r="O301" s="15" t="n">
        <f aca="false">IF(Takip!O301="",0,O300+1)</f>
        <v>0</v>
      </c>
      <c r="P301" s="15" t="n">
        <f aca="false">IF(Takip!P301="",0,P300+1)</f>
        <v>0</v>
      </c>
      <c r="Q301" s="15" t="n">
        <f aca="false">IF(Takip!Q301="",0,Q300+1)</f>
        <v>0</v>
      </c>
    </row>
    <row r="302" customFormat="false" ht="15" hidden="false" customHeight="false" outlineLevel="0" collapsed="false">
      <c r="A302" s="14" t="n">
        <f aca="false">Takip!R302</f>
        <v>46319</v>
      </c>
      <c r="C302" s="15" t="n">
        <f aca="false">IF(Takip!C302="",0,C301+1)</f>
        <v>0</v>
      </c>
      <c r="D302" s="15" t="n">
        <f aca="false">IF(Takip!D302="",0,D301+1)</f>
        <v>0</v>
      </c>
      <c r="E302" s="15" t="n">
        <f aca="false">IF(Takip!E302="",0,E301+1)</f>
        <v>0</v>
      </c>
      <c r="F302" s="15" t="n">
        <f aca="false">IF(Takip!F302="",0,F301+1)</f>
        <v>0</v>
      </c>
      <c r="G302" s="15" t="n">
        <f aca="false">IF(Takip!G302="",0,G301+1)</f>
        <v>0</v>
      </c>
      <c r="H302" s="15" t="n">
        <f aca="false">IF(Takip!H302="",0,H301+1)</f>
        <v>0</v>
      </c>
      <c r="I302" s="15" t="n">
        <f aca="false">IF(Takip!I302="",0,I301+1)</f>
        <v>0</v>
      </c>
      <c r="J302" s="15" t="n">
        <f aca="false">IF(Takip!J302="",0,J301+1)</f>
        <v>0</v>
      </c>
      <c r="K302" s="15" t="n">
        <f aca="false">IF(Takip!K302="",0,K301+1)</f>
        <v>0</v>
      </c>
      <c r="L302" s="15" t="n">
        <f aca="false">IF(Takip!L302="",0,L301+1)</f>
        <v>0</v>
      </c>
      <c r="M302" s="15" t="n">
        <f aca="false">IF(Takip!M302="",0,M301+1)</f>
        <v>0</v>
      </c>
      <c r="N302" s="15" t="n">
        <f aca="false">IF(Takip!N302="",0,N301+1)</f>
        <v>0</v>
      </c>
      <c r="O302" s="15" t="n">
        <f aca="false">IF(Takip!O302="",0,O301+1)</f>
        <v>0</v>
      </c>
      <c r="P302" s="15" t="n">
        <f aca="false">IF(Takip!P302="",0,P301+1)</f>
        <v>0</v>
      </c>
      <c r="Q302" s="15" t="n">
        <f aca="false">IF(Takip!Q302="",0,Q301+1)</f>
        <v>0</v>
      </c>
    </row>
    <row r="303" customFormat="false" ht="15" hidden="false" customHeight="false" outlineLevel="0" collapsed="false">
      <c r="A303" s="14" t="n">
        <f aca="false">Takip!R303</f>
        <v>46320</v>
      </c>
      <c r="C303" s="15" t="n">
        <f aca="false">IF(Takip!C303="",0,C302+1)</f>
        <v>0</v>
      </c>
      <c r="D303" s="15" t="n">
        <f aca="false">IF(Takip!D303="",0,D302+1)</f>
        <v>0</v>
      </c>
      <c r="E303" s="15" t="n">
        <f aca="false">IF(Takip!E303="",0,E302+1)</f>
        <v>0</v>
      </c>
      <c r="F303" s="15" t="n">
        <f aca="false">IF(Takip!F303="",0,F302+1)</f>
        <v>0</v>
      </c>
      <c r="G303" s="15" t="n">
        <f aca="false">IF(Takip!G303="",0,G302+1)</f>
        <v>0</v>
      </c>
      <c r="H303" s="15" t="n">
        <f aca="false">IF(Takip!H303="",0,H302+1)</f>
        <v>0</v>
      </c>
      <c r="I303" s="15" t="n">
        <f aca="false">IF(Takip!I303="",0,I302+1)</f>
        <v>0</v>
      </c>
      <c r="J303" s="15" t="n">
        <f aca="false">IF(Takip!J303="",0,J302+1)</f>
        <v>0</v>
      </c>
      <c r="K303" s="15" t="n">
        <f aca="false">IF(Takip!K303="",0,K302+1)</f>
        <v>0</v>
      </c>
      <c r="L303" s="15" t="n">
        <f aca="false">IF(Takip!L303="",0,L302+1)</f>
        <v>0</v>
      </c>
      <c r="M303" s="15" t="n">
        <f aca="false">IF(Takip!M303="",0,M302+1)</f>
        <v>0</v>
      </c>
      <c r="N303" s="15" t="n">
        <f aca="false">IF(Takip!N303="",0,N302+1)</f>
        <v>0</v>
      </c>
      <c r="O303" s="15" t="n">
        <f aca="false">IF(Takip!O303="",0,O302+1)</f>
        <v>0</v>
      </c>
      <c r="P303" s="15" t="n">
        <f aca="false">IF(Takip!P303="",0,P302+1)</f>
        <v>0</v>
      </c>
      <c r="Q303" s="15" t="n">
        <f aca="false">IF(Takip!Q303="",0,Q302+1)</f>
        <v>0</v>
      </c>
    </row>
    <row r="304" customFormat="false" ht="15" hidden="false" customHeight="false" outlineLevel="0" collapsed="false">
      <c r="A304" s="14" t="n">
        <f aca="false">Takip!R304</f>
        <v>46321</v>
      </c>
      <c r="C304" s="15" t="n">
        <f aca="false">IF(Takip!C304="",0,C303+1)</f>
        <v>0</v>
      </c>
      <c r="D304" s="15" t="n">
        <f aca="false">IF(Takip!D304="",0,D303+1)</f>
        <v>0</v>
      </c>
      <c r="E304" s="15" t="n">
        <f aca="false">IF(Takip!E304="",0,E303+1)</f>
        <v>0</v>
      </c>
      <c r="F304" s="15" t="n">
        <f aca="false">IF(Takip!F304="",0,F303+1)</f>
        <v>0</v>
      </c>
      <c r="G304" s="15" t="n">
        <f aca="false">IF(Takip!G304="",0,G303+1)</f>
        <v>0</v>
      </c>
      <c r="H304" s="15" t="n">
        <f aca="false">IF(Takip!H304="",0,H303+1)</f>
        <v>0</v>
      </c>
      <c r="I304" s="15" t="n">
        <f aca="false">IF(Takip!I304="",0,I303+1)</f>
        <v>0</v>
      </c>
      <c r="J304" s="15" t="n">
        <f aca="false">IF(Takip!J304="",0,J303+1)</f>
        <v>0</v>
      </c>
      <c r="K304" s="15" t="n">
        <f aca="false">IF(Takip!K304="",0,K303+1)</f>
        <v>0</v>
      </c>
      <c r="L304" s="15" t="n">
        <f aca="false">IF(Takip!L304="",0,L303+1)</f>
        <v>0</v>
      </c>
      <c r="M304" s="15" t="n">
        <f aca="false">IF(Takip!M304="",0,M303+1)</f>
        <v>0</v>
      </c>
      <c r="N304" s="15" t="n">
        <f aca="false">IF(Takip!N304="",0,N303+1)</f>
        <v>0</v>
      </c>
      <c r="O304" s="15" t="n">
        <f aca="false">IF(Takip!O304="",0,O303+1)</f>
        <v>0</v>
      </c>
      <c r="P304" s="15" t="n">
        <f aca="false">IF(Takip!P304="",0,P303+1)</f>
        <v>0</v>
      </c>
      <c r="Q304" s="15" t="n">
        <f aca="false">IF(Takip!Q304="",0,Q303+1)</f>
        <v>0</v>
      </c>
    </row>
    <row r="305" customFormat="false" ht="15" hidden="false" customHeight="false" outlineLevel="0" collapsed="false">
      <c r="A305" s="14" t="n">
        <f aca="false">Takip!R305</f>
        <v>46322</v>
      </c>
      <c r="C305" s="15" t="n">
        <f aca="false">IF(Takip!C305="",0,C304+1)</f>
        <v>0</v>
      </c>
      <c r="D305" s="15" t="n">
        <f aca="false">IF(Takip!D305="",0,D304+1)</f>
        <v>0</v>
      </c>
      <c r="E305" s="15" t="n">
        <f aca="false">IF(Takip!E305="",0,E304+1)</f>
        <v>0</v>
      </c>
      <c r="F305" s="15" t="n">
        <f aca="false">IF(Takip!F305="",0,F304+1)</f>
        <v>0</v>
      </c>
      <c r="G305" s="15" t="n">
        <f aca="false">IF(Takip!G305="",0,G304+1)</f>
        <v>0</v>
      </c>
      <c r="H305" s="15" t="n">
        <f aca="false">IF(Takip!H305="",0,H304+1)</f>
        <v>0</v>
      </c>
      <c r="I305" s="15" t="n">
        <f aca="false">IF(Takip!I305="",0,I304+1)</f>
        <v>0</v>
      </c>
      <c r="J305" s="15" t="n">
        <f aca="false">IF(Takip!J305="",0,J304+1)</f>
        <v>0</v>
      </c>
      <c r="K305" s="15" t="n">
        <f aca="false">IF(Takip!K305="",0,K304+1)</f>
        <v>0</v>
      </c>
      <c r="L305" s="15" t="n">
        <f aca="false">IF(Takip!L305="",0,L304+1)</f>
        <v>0</v>
      </c>
      <c r="M305" s="15" t="n">
        <f aca="false">IF(Takip!M305="",0,M304+1)</f>
        <v>0</v>
      </c>
      <c r="N305" s="15" t="n">
        <f aca="false">IF(Takip!N305="",0,N304+1)</f>
        <v>0</v>
      </c>
      <c r="O305" s="15" t="n">
        <f aca="false">IF(Takip!O305="",0,O304+1)</f>
        <v>0</v>
      </c>
      <c r="P305" s="15" t="n">
        <f aca="false">IF(Takip!P305="",0,P304+1)</f>
        <v>0</v>
      </c>
      <c r="Q305" s="15" t="n">
        <f aca="false">IF(Takip!Q305="",0,Q304+1)</f>
        <v>0</v>
      </c>
    </row>
    <row r="306" customFormat="false" ht="15" hidden="false" customHeight="false" outlineLevel="0" collapsed="false">
      <c r="A306" s="14" t="n">
        <f aca="false">Takip!R306</f>
        <v>46323</v>
      </c>
      <c r="C306" s="15" t="n">
        <f aca="false">IF(Takip!C306="",0,C305+1)</f>
        <v>0</v>
      </c>
      <c r="D306" s="15" t="n">
        <f aca="false">IF(Takip!D306="",0,D305+1)</f>
        <v>0</v>
      </c>
      <c r="E306" s="15" t="n">
        <f aca="false">IF(Takip!E306="",0,E305+1)</f>
        <v>0</v>
      </c>
      <c r="F306" s="15" t="n">
        <f aca="false">IF(Takip!F306="",0,F305+1)</f>
        <v>0</v>
      </c>
      <c r="G306" s="15" t="n">
        <f aca="false">IF(Takip!G306="",0,G305+1)</f>
        <v>0</v>
      </c>
      <c r="H306" s="15" t="n">
        <f aca="false">IF(Takip!H306="",0,H305+1)</f>
        <v>0</v>
      </c>
      <c r="I306" s="15" t="n">
        <f aca="false">IF(Takip!I306="",0,I305+1)</f>
        <v>0</v>
      </c>
      <c r="J306" s="15" t="n">
        <f aca="false">IF(Takip!J306="",0,J305+1)</f>
        <v>0</v>
      </c>
      <c r="K306" s="15" t="n">
        <f aca="false">IF(Takip!K306="",0,K305+1)</f>
        <v>0</v>
      </c>
      <c r="L306" s="15" t="n">
        <f aca="false">IF(Takip!L306="",0,L305+1)</f>
        <v>0</v>
      </c>
      <c r="M306" s="15" t="n">
        <f aca="false">IF(Takip!M306="",0,M305+1)</f>
        <v>0</v>
      </c>
      <c r="N306" s="15" t="n">
        <f aca="false">IF(Takip!N306="",0,N305+1)</f>
        <v>0</v>
      </c>
      <c r="O306" s="15" t="n">
        <f aca="false">IF(Takip!O306="",0,O305+1)</f>
        <v>0</v>
      </c>
      <c r="P306" s="15" t="n">
        <f aca="false">IF(Takip!P306="",0,P305+1)</f>
        <v>0</v>
      </c>
      <c r="Q306" s="15" t="n">
        <f aca="false">IF(Takip!Q306="",0,Q305+1)</f>
        <v>0</v>
      </c>
    </row>
    <row r="307" customFormat="false" ht="15" hidden="false" customHeight="false" outlineLevel="0" collapsed="false">
      <c r="A307" s="14" t="n">
        <f aca="false">Takip!R307</f>
        <v>46324</v>
      </c>
      <c r="C307" s="15" t="n">
        <f aca="false">IF(Takip!C307="",0,C306+1)</f>
        <v>0</v>
      </c>
      <c r="D307" s="15" t="n">
        <f aca="false">IF(Takip!D307="",0,D306+1)</f>
        <v>0</v>
      </c>
      <c r="E307" s="15" t="n">
        <f aca="false">IF(Takip!E307="",0,E306+1)</f>
        <v>0</v>
      </c>
      <c r="F307" s="15" t="n">
        <f aca="false">IF(Takip!F307="",0,F306+1)</f>
        <v>0</v>
      </c>
      <c r="G307" s="15" t="n">
        <f aca="false">IF(Takip!G307="",0,G306+1)</f>
        <v>0</v>
      </c>
      <c r="H307" s="15" t="n">
        <f aca="false">IF(Takip!H307="",0,H306+1)</f>
        <v>0</v>
      </c>
      <c r="I307" s="15" t="n">
        <f aca="false">IF(Takip!I307="",0,I306+1)</f>
        <v>0</v>
      </c>
      <c r="J307" s="15" t="n">
        <f aca="false">IF(Takip!J307="",0,J306+1)</f>
        <v>0</v>
      </c>
      <c r="K307" s="15" t="n">
        <f aca="false">IF(Takip!K307="",0,K306+1)</f>
        <v>0</v>
      </c>
      <c r="L307" s="15" t="n">
        <f aca="false">IF(Takip!L307="",0,L306+1)</f>
        <v>0</v>
      </c>
      <c r="M307" s="15" t="n">
        <f aca="false">IF(Takip!M307="",0,M306+1)</f>
        <v>0</v>
      </c>
      <c r="N307" s="15" t="n">
        <f aca="false">IF(Takip!N307="",0,N306+1)</f>
        <v>0</v>
      </c>
      <c r="O307" s="15" t="n">
        <f aca="false">IF(Takip!O307="",0,O306+1)</f>
        <v>0</v>
      </c>
      <c r="P307" s="15" t="n">
        <f aca="false">IF(Takip!P307="",0,P306+1)</f>
        <v>0</v>
      </c>
      <c r="Q307" s="15" t="n">
        <f aca="false">IF(Takip!Q307="",0,Q306+1)</f>
        <v>0</v>
      </c>
    </row>
    <row r="308" customFormat="false" ht="15" hidden="false" customHeight="false" outlineLevel="0" collapsed="false">
      <c r="A308" s="14" t="n">
        <f aca="false">Takip!R308</f>
        <v>46325</v>
      </c>
      <c r="C308" s="15" t="n">
        <f aca="false">IF(Takip!C308="",0,C307+1)</f>
        <v>0</v>
      </c>
      <c r="D308" s="15" t="n">
        <f aca="false">IF(Takip!D308="",0,D307+1)</f>
        <v>0</v>
      </c>
      <c r="E308" s="15" t="n">
        <f aca="false">IF(Takip!E308="",0,E307+1)</f>
        <v>0</v>
      </c>
      <c r="F308" s="15" t="n">
        <f aca="false">IF(Takip!F308="",0,F307+1)</f>
        <v>0</v>
      </c>
      <c r="G308" s="15" t="n">
        <f aca="false">IF(Takip!G308="",0,G307+1)</f>
        <v>0</v>
      </c>
      <c r="H308" s="15" t="n">
        <f aca="false">IF(Takip!H308="",0,H307+1)</f>
        <v>0</v>
      </c>
      <c r="I308" s="15" t="n">
        <f aca="false">IF(Takip!I308="",0,I307+1)</f>
        <v>0</v>
      </c>
      <c r="J308" s="15" t="n">
        <f aca="false">IF(Takip!J308="",0,J307+1)</f>
        <v>0</v>
      </c>
      <c r="K308" s="15" t="n">
        <f aca="false">IF(Takip!K308="",0,K307+1)</f>
        <v>0</v>
      </c>
      <c r="L308" s="15" t="n">
        <f aca="false">IF(Takip!L308="",0,L307+1)</f>
        <v>0</v>
      </c>
      <c r="M308" s="15" t="n">
        <f aca="false">IF(Takip!M308="",0,M307+1)</f>
        <v>0</v>
      </c>
      <c r="N308" s="15" t="n">
        <f aca="false">IF(Takip!N308="",0,N307+1)</f>
        <v>0</v>
      </c>
      <c r="O308" s="15" t="n">
        <f aca="false">IF(Takip!O308="",0,O307+1)</f>
        <v>0</v>
      </c>
      <c r="P308" s="15" t="n">
        <f aca="false">IF(Takip!P308="",0,P307+1)</f>
        <v>0</v>
      </c>
      <c r="Q308" s="15" t="n">
        <f aca="false">IF(Takip!Q308="",0,Q307+1)</f>
        <v>0</v>
      </c>
    </row>
    <row r="309" customFormat="false" ht="15" hidden="false" customHeight="false" outlineLevel="0" collapsed="false">
      <c r="A309" s="14" t="n">
        <f aca="false">Takip!R309</f>
        <v>46326</v>
      </c>
      <c r="C309" s="15" t="n">
        <f aca="false">IF(Takip!C309="",0,C308+1)</f>
        <v>0</v>
      </c>
      <c r="D309" s="15" t="n">
        <f aca="false">IF(Takip!D309="",0,D308+1)</f>
        <v>0</v>
      </c>
      <c r="E309" s="15" t="n">
        <f aca="false">IF(Takip!E309="",0,E308+1)</f>
        <v>0</v>
      </c>
      <c r="F309" s="15" t="n">
        <f aca="false">IF(Takip!F309="",0,F308+1)</f>
        <v>0</v>
      </c>
      <c r="G309" s="15" t="n">
        <f aca="false">IF(Takip!G309="",0,G308+1)</f>
        <v>0</v>
      </c>
      <c r="H309" s="15" t="n">
        <f aca="false">IF(Takip!H309="",0,H308+1)</f>
        <v>0</v>
      </c>
      <c r="I309" s="15" t="n">
        <f aca="false">IF(Takip!I309="",0,I308+1)</f>
        <v>0</v>
      </c>
      <c r="J309" s="15" t="n">
        <f aca="false">IF(Takip!J309="",0,J308+1)</f>
        <v>0</v>
      </c>
      <c r="K309" s="15" t="n">
        <f aca="false">IF(Takip!K309="",0,K308+1)</f>
        <v>0</v>
      </c>
      <c r="L309" s="15" t="n">
        <f aca="false">IF(Takip!L309="",0,L308+1)</f>
        <v>0</v>
      </c>
      <c r="M309" s="15" t="n">
        <f aca="false">IF(Takip!M309="",0,M308+1)</f>
        <v>0</v>
      </c>
      <c r="N309" s="15" t="n">
        <f aca="false">IF(Takip!N309="",0,N308+1)</f>
        <v>0</v>
      </c>
      <c r="O309" s="15" t="n">
        <f aca="false">IF(Takip!O309="",0,O308+1)</f>
        <v>0</v>
      </c>
      <c r="P309" s="15" t="n">
        <f aca="false">IF(Takip!P309="",0,P308+1)</f>
        <v>0</v>
      </c>
      <c r="Q309" s="15" t="n">
        <f aca="false">IF(Takip!Q309="",0,Q308+1)</f>
        <v>0</v>
      </c>
    </row>
    <row r="310" customFormat="false" ht="15" hidden="false" customHeight="false" outlineLevel="0" collapsed="false">
      <c r="A310" s="14" t="n">
        <f aca="false">Takip!R310</f>
        <v>46327</v>
      </c>
      <c r="C310" s="15" t="n">
        <f aca="false">IF(Takip!C310="",0,C309+1)</f>
        <v>0</v>
      </c>
      <c r="D310" s="15" t="n">
        <f aca="false">IF(Takip!D310="",0,D309+1)</f>
        <v>0</v>
      </c>
      <c r="E310" s="15" t="n">
        <f aca="false">IF(Takip!E310="",0,E309+1)</f>
        <v>0</v>
      </c>
      <c r="F310" s="15" t="n">
        <f aca="false">IF(Takip!F310="",0,F309+1)</f>
        <v>0</v>
      </c>
      <c r="G310" s="15" t="n">
        <f aca="false">IF(Takip!G310="",0,G309+1)</f>
        <v>0</v>
      </c>
      <c r="H310" s="15" t="n">
        <f aca="false">IF(Takip!H310="",0,H309+1)</f>
        <v>0</v>
      </c>
      <c r="I310" s="15" t="n">
        <f aca="false">IF(Takip!I310="",0,I309+1)</f>
        <v>0</v>
      </c>
      <c r="J310" s="15" t="n">
        <f aca="false">IF(Takip!J310="",0,J309+1)</f>
        <v>0</v>
      </c>
      <c r="K310" s="15" t="n">
        <f aca="false">IF(Takip!K310="",0,K309+1)</f>
        <v>0</v>
      </c>
      <c r="L310" s="15" t="n">
        <f aca="false">IF(Takip!L310="",0,L309+1)</f>
        <v>0</v>
      </c>
      <c r="M310" s="15" t="n">
        <f aca="false">IF(Takip!M310="",0,M309+1)</f>
        <v>0</v>
      </c>
      <c r="N310" s="15" t="n">
        <f aca="false">IF(Takip!N310="",0,N309+1)</f>
        <v>0</v>
      </c>
      <c r="O310" s="15" t="n">
        <f aca="false">IF(Takip!O310="",0,O309+1)</f>
        <v>0</v>
      </c>
      <c r="P310" s="15" t="n">
        <f aca="false">IF(Takip!P310="",0,P309+1)</f>
        <v>0</v>
      </c>
      <c r="Q310" s="15" t="n">
        <f aca="false">IF(Takip!Q310="",0,Q309+1)</f>
        <v>0</v>
      </c>
    </row>
    <row r="311" customFormat="false" ht="15" hidden="false" customHeight="false" outlineLevel="0" collapsed="false">
      <c r="A311" s="14" t="n">
        <f aca="false">Takip!R311</f>
        <v>46328</v>
      </c>
      <c r="C311" s="15" t="n">
        <f aca="false">IF(Takip!C311="",0,C310+1)</f>
        <v>0</v>
      </c>
      <c r="D311" s="15" t="n">
        <f aca="false">IF(Takip!D311="",0,D310+1)</f>
        <v>0</v>
      </c>
      <c r="E311" s="15" t="n">
        <f aca="false">IF(Takip!E311="",0,E310+1)</f>
        <v>0</v>
      </c>
      <c r="F311" s="15" t="n">
        <f aca="false">IF(Takip!F311="",0,F310+1)</f>
        <v>0</v>
      </c>
      <c r="G311" s="15" t="n">
        <f aca="false">IF(Takip!G311="",0,G310+1)</f>
        <v>0</v>
      </c>
      <c r="H311" s="15" t="n">
        <f aca="false">IF(Takip!H311="",0,H310+1)</f>
        <v>0</v>
      </c>
      <c r="I311" s="15" t="n">
        <f aca="false">IF(Takip!I311="",0,I310+1)</f>
        <v>0</v>
      </c>
      <c r="J311" s="15" t="n">
        <f aca="false">IF(Takip!J311="",0,J310+1)</f>
        <v>0</v>
      </c>
      <c r="K311" s="15" t="n">
        <f aca="false">IF(Takip!K311="",0,K310+1)</f>
        <v>0</v>
      </c>
      <c r="L311" s="15" t="n">
        <f aca="false">IF(Takip!L311="",0,L310+1)</f>
        <v>0</v>
      </c>
      <c r="M311" s="15" t="n">
        <f aca="false">IF(Takip!M311="",0,M310+1)</f>
        <v>0</v>
      </c>
      <c r="N311" s="15" t="n">
        <f aca="false">IF(Takip!N311="",0,N310+1)</f>
        <v>0</v>
      </c>
      <c r="O311" s="15" t="n">
        <f aca="false">IF(Takip!O311="",0,O310+1)</f>
        <v>0</v>
      </c>
      <c r="P311" s="15" t="n">
        <f aca="false">IF(Takip!P311="",0,P310+1)</f>
        <v>0</v>
      </c>
      <c r="Q311" s="15" t="n">
        <f aca="false">IF(Takip!Q311="",0,Q310+1)</f>
        <v>0</v>
      </c>
    </row>
    <row r="312" customFormat="false" ht="15" hidden="false" customHeight="false" outlineLevel="0" collapsed="false">
      <c r="A312" s="14" t="n">
        <f aca="false">Takip!R312</f>
        <v>46329</v>
      </c>
      <c r="C312" s="15" t="n">
        <f aca="false">IF(Takip!C312="",0,C311+1)</f>
        <v>0</v>
      </c>
      <c r="D312" s="15" t="n">
        <f aca="false">IF(Takip!D312="",0,D311+1)</f>
        <v>0</v>
      </c>
      <c r="E312" s="15" t="n">
        <f aca="false">IF(Takip!E312="",0,E311+1)</f>
        <v>0</v>
      </c>
      <c r="F312" s="15" t="n">
        <f aca="false">IF(Takip!F312="",0,F311+1)</f>
        <v>0</v>
      </c>
      <c r="G312" s="15" t="n">
        <f aca="false">IF(Takip!G312="",0,G311+1)</f>
        <v>0</v>
      </c>
      <c r="H312" s="15" t="n">
        <f aca="false">IF(Takip!H312="",0,H311+1)</f>
        <v>0</v>
      </c>
      <c r="I312" s="15" t="n">
        <f aca="false">IF(Takip!I312="",0,I311+1)</f>
        <v>0</v>
      </c>
      <c r="J312" s="15" t="n">
        <f aca="false">IF(Takip!J312="",0,J311+1)</f>
        <v>0</v>
      </c>
      <c r="K312" s="15" t="n">
        <f aca="false">IF(Takip!K312="",0,K311+1)</f>
        <v>0</v>
      </c>
      <c r="L312" s="15" t="n">
        <f aca="false">IF(Takip!L312="",0,L311+1)</f>
        <v>0</v>
      </c>
      <c r="M312" s="15" t="n">
        <f aca="false">IF(Takip!M312="",0,M311+1)</f>
        <v>0</v>
      </c>
      <c r="N312" s="15" t="n">
        <f aca="false">IF(Takip!N312="",0,N311+1)</f>
        <v>0</v>
      </c>
      <c r="O312" s="15" t="n">
        <f aca="false">IF(Takip!O312="",0,O311+1)</f>
        <v>0</v>
      </c>
      <c r="P312" s="15" t="n">
        <f aca="false">IF(Takip!P312="",0,P311+1)</f>
        <v>0</v>
      </c>
      <c r="Q312" s="15" t="n">
        <f aca="false">IF(Takip!Q312="",0,Q311+1)</f>
        <v>0</v>
      </c>
    </row>
    <row r="313" customFormat="false" ht="15" hidden="false" customHeight="false" outlineLevel="0" collapsed="false">
      <c r="A313" s="14" t="n">
        <f aca="false">Takip!R313</f>
        <v>46330</v>
      </c>
      <c r="C313" s="15" t="n">
        <f aca="false">IF(Takip!C313="",0,C312+1)</f>
        <v>0</v>
      </c>
      <c r="D313" s="15" t="n">
        <f aca="false">IF(Takip!D313="",0,D312+1)</f>
        <v>0</v>
      </c>
      <c r="E313" s="15" t="n">
        <f aca="false">IF(Takip!E313="",0,E312+1)</f>
        <v>0</v>
      </c>
      <c r="F313" s="15" t="n">
        <f aca="false">IF(Takip!F313="",0,F312+1)</f>
        <v>0</v>
      </c>
      <c r="G313" s="15" t="n">
        <f aca="false">IF(Takip!G313="",0,G312+1)</f>
        <v>0</v>
      </c>
      <c r="H313" s="15" t="n">
        <f aca="false">IF(Takip!H313="",0,H312+1)</f>
        <v>0</v>
      </c>
      <c r="I313" s="15" t="n">
        <f aca="false">IF(Takip!I313="",0,I312+1)</f>
        <v>0</v>
      </c>
      <c r="J313" s="15" t="n">
        <f aca="false">IF(Takip!J313="",0,J312+1)</f>
        <v>0</v>
      </c>
      <c r="K313" s="15" t="n">
        <f aca="false">IF(Takip!K313="",0,K312+1)</f>
        <v>0</v>
      </c>
      <c r="L313" s="15" t="n">
        <f aca="false">IF(Takip!L313="",0,L312+1)</f>
        <v>0</v>
      </c>
      <c r="M313" s="15" t="n">
        <f aca="false">IF(Takip!M313="",0,M312+1)</f>
        <v>0</v>
      </c>
      <c r="N313" s="15" t="n">
        <f aca="false">IF(Takip!N313="",0,N312+1)</f>
        <v>0</v>
      </c>
      <c r="O313" s="15" t="n">
        <f aca="false">IF(Takip!O313="",0,O312+1)</f>
        <v>0</v>
      </c>
      <c r="P313" s="15" t="n">
        <f aca="false">IF(Takip!P313="",0,P312+1)</f>
        <v>0</v>
      </c>
      <c r="Q313" s="15" t="n">
        <f aca="false">IF(Takip!Q313="",0,Q312+1)</f>
        <v>0</v>
      </c>
    </row>
    <row r="314" customFormat="false" ht="15" hidden="false" customHeight="false" outlineLevel="0" collapsed="false">
      <c r="A314" s="14" t="n">
        <f aca="false">Takip!R314</f>
        <v>46331</v>
      </c>
      <c r="C314" s="15" t="n">
        <f aca="false">IF(Takip!C314="",0,C313+1)</f>
        <v>0</v>
      </c>
      <c r="D314" s="15" t="n">
        <f aca="false">IF(Takip!D314="",0,D313+1)</f>
        <v>0</v>
      </c>
      <c r="E314" s="15" t="n">
        <f aca="false">IF(Takip!E314="",0,E313+1)</f>
        <v>0</v>
      </c>
      <c r="F314" s="15" t="n">
        <f aca="false">IF(Takip!F314="",0,F313+1)</f>
        <v>0</v>
      </c>
      <c r="G314" s="15" t="n">
        <f aca="false">IF(Takip!G314="",0,G313+1)</f>
        <v>0</v>
      </c>
      <c r="H314" s="15" t="n">
        <f aca="false">IF(Takip!H314="",0,H313+1)</f>
        <v>0</v>
      </c>
      <c r="I314" s="15" t="n">
        <f aca="false">IF(Takip!I314="",0,I313+1)</f>
        <v>0</v>
      </c>
      <c r="J314" s="15" t="n">
        <f aca="false">IF(Takip!J314="",0,J313+1)</f>
        <v>0</v>
      </c>
      <c r="K314" s="15" t="n">
        <f aca="false">IF(Takip!K314="",0,K313+1)</f>
        <v>0</v>
      </c>
      <c r="L314" s="15" t="n">
        <f aca="false">IF(Takip!L314="",0,L313+1)</f>
        <v>0</v>
      </c>
      <c r="M314" s="15" t="n">
        <f aca="false">IF(Takip!M314="",0,M313+1)</f>
        <v>0</v>
      </c>
      <c r="N314" s="15" t="n">
        <f aca="false">IF(Takip!N314="",0,N313+1)</f>
        <v>0</v>
      </c>
      <c r="O314" s="15" t="n">
        <f aca="false">IF(Takip!O314="",0,O313+1)</f>
        <v>0</v>
      </c>
      <c r="P314" s="15" t="n">
        <f aca="false">IF(Takip!P314="",0,P313+1)</f>
        <v>0</v>
      </c>
      <c r="Q314" s="15" t="n">
        <f aca="false">IF(Takip!Q314="",0,Q313+1)</f>
        <v>0</v>
      </c>
    </row>
    <row r="315" customFormat="false" ht="15" hidden="false" customHeight="false" outlineLevel="0" collapsed="false">
      <c r="A315" s="14" t="n">
        <f aca="false">Takip!R315</f>
        <v>46332</v>
      </c>
      <c r="C315" s="15" t="n">
        <f aca="false">IF(Takip!C315="",0,C314+1)</f>
        <v>0</v>
      </c>
      <c r="D315" s="15" t="n">
        <f aca="false">IF(Takip!D315="",0,D314+1)</f>
        <v>0</v>
      </c>
      <c r="E315" s="15" t="n">
        <f aca="false">IF(Takip!E315="",0,E314+1)</f>
        <v>0</v>
      </c>
      <c r="F315" s="15" t="n">
        <f aca="false">IF(Takip!F315="",0,F314+1)</f>
        <v>0</v>
      </c>
      <c r="G315" s="15" t="n">
        <f aca="false">IF(Takip!G315="",0,G314+1)</f>
        <v>0</v>
      </c>
      <c r="H315" s="15" t="n">
        <f aca="false">IF(Takip!H315="",0,H314+1)</f>
        <v>0</v>
      </c>
      <c r="I315" s="15" t="n">
        <f aca="false">IF(Takip!I315="",0,I314+1)</f>
        <v>0</v>
      </c>
      <c r="J315" s="15" t="n">
        <f aca="false">IF(Takip!J315="",0,J314+1)</f>
        <v>0</v>
      </c>
      <c r="K315" s="15" t="n">
        <f aca="false">IF(Takip!K315="",0,K314+1)</f>
        <v>0</v>
      </c>
      <c r="L315" s="15" t="n">
        <f aca="false">IF(Takip!L315="",0,L314+1)</f>
        <v>0</v>
      </c>
      <c r="M315" s="15" t="n">
        <f aca="false">IF(Takip!M315="",0,M314+1)</f>
        <v>0</v>
      </c>
      <c r="N315" s="15" t="n">
        <f aca="false">IF(Takip!N315="",0,N314+1)</f>
        <v>0</v>
      </c>
      <c r="O315" s="15" t="n">
        <f aca="false">IF(Takip!O315="",0,O314+1)</f>
        <v>0</v>
      </c>
      <c r="P315" s="15" t="n">
        <f aca="false">IF(Takip!P315="",0,P314+1)</f>
        <v>0</v>
      </c>
      <c r="Q315" s="15" t="n">
        <f aca="false">IF(Takip!Q315="",0,Q314+1)</f>
        <v>0</v>
      </c>
    </row>
    <row r="316" customFormat="false" ht="15" hidden="false" customHeight="false" outlineLevel="0" collapsed="false">
      <c r="A316" s="14" t="n">
        <f aca="false">Takip!R316</f>
        <v>46333</v>
      </c>
      <c r="C316" s="15" t="n">
        <f aca="false">IF(Takip!C316="",0,C315+1)</f>
        <v>0</v>
      </c>
      <c r="D316" s="15" t="n">
        <f aca="false">IF(Takip!D316="",0,D315+1)</f>
        <v>0</v>
      </c>
      <c r="E316" s="15" t="n">
        <f aca="false">IF(Takip!E316="",0,E315+1)</f>
        <v>0</v>
      </c>
      <c r="F316" s="15" t="n">
        <f aca="false">IF(Takip!F316="",0,F315+1)</f>
        <v>0</v>
      </c>
      <c r="G316" s="15" t="n">
        <f aca="false">IF(Takip!G316="",0,G315+1)</f>
        <v>0</v>
      </c>
      <c r="H316" s="15" t="n">
        <f aca="false">IF(Takip!H316="",0,H315+1)</f>
        <v>0</v>
      </c>
      <c r="I316" s="15" t="n">
        <f aca="false">IF(Takip!I316="",0,I315+1)</f>
        <v>0</v>
      </c>
      <c r="J316" s="15" t="n">
        <f aca="false">IF(Takip!J316="",0,J315+1)</f>
        <v>0</v>
      </c>
      <c r="K316" s="15" t="n">
        <f aca="false">IF(Takip!K316="",0,K315+1)</f>
        <v>0</v>
      </c>
      <c r="L316" s="15" t="n">
        <f aca="false">IF(Takip!L316="",0,L315+1)</f>
        <v>0</v>
      </c>
      <c r="M316" s="15" t="n">
        <f aca="false">IF(Takip!M316="",0,M315+1)</f>
        <v>0</v>
      </c>
      <c r="N316" s="15" t="n">
        <f aca="false">IF(Takip!N316="",0,N315+1)</f>
        <v>0</v>
      </c>
      <c r="O316" s="15" t="n">
        <f aca="false">IF(Takip!O316="",0,O315+1)</f>
        <v>0</v>
      </c>
      <c r="P316" s="15" t="n">
        <f aca="false">IF(Takip!P316="",0,P315+1)</f>
        <v>0</v>
      </c>
      <c r="Q316" s="15" t="n">
        <f aca="false">IF(Takip!Q316="",0,Q315+1)</f>
        <v>0</v>
      </c>
    </row>
    <row r="317" customFormat="false" ht="15" hidden="false" customHeight="false" outlineLevel="0" collapsed="false">
      <c r="A317" s="14" t="n">
        <f aca="false">Takip!R317</f>
        <v>46334</v>
      </c>
      <c r="C317" s="15" t="n">
        <f aca="false">IF(Takip!C317="",0,C316+1)</f>
        <v>0</v>
      </c>
      <c r="D317" s="15" t="n">
        <f aca="false">IF(Takip!D317="",0,D316+1)</f>
        <v>0</v>
      </c>
      <c r="E317" s="15" t="n">
        <f aca="false">IF(Takip!E317="",0,E316+1)</f>
        <v>0</v>
      </c>
      <c r="F317" s="15" t="n">
        <f aca="false">IF(Takip!F317="",0,F316+1)</f>
        <v>0</v>
      </c>
      <c r="G317" s="15" t="n">
        <f aca="false">IF(Takip!G317="",0,G316+1)</f>
        <v>0</v>
      </c>
      <c r="H317" s="15" t="n">
        <f aca="false">IF(Takip!H317="",0,H316+1)</f>
        <v>0</v>
      </c>
      <c r="I317" s="15" t="n">
        <f aca="false">IF(Takip!I317="",0,I316+1)</f>
        <v>0</v>
      </c>
      <c r="J317" s="15" t="n">
        <f aca="false">IF(Takip!J317="",0,J316+1)</f>
        <v>0</v>
      </c>
      <c r="K317" s="15" t="n">
        <f aca="false">IF(Takip!K317="",0,K316+1)</f>
        <v>0</v>
      </c>
      <c r="L317" s="15" t="n">
        <f aca="false">IF(Takip!L317="",0,L316+1)</f>
        <v>0</v>
      </c>
      <c r="M317" s="15" t="n">
        <f aca="false">IF(Takip!M317="",0,M316+1)</f>
        <v>0</v>
      </c>
      <c r="N317" s="15" t="n">
        <f aca="false">IF(Takip!N317="",0,N316+1)</f>
        <v>0</v>
      </c>
      <c r="O317" s="15" t="n">
        <f aca="false">IF(Takip!O317="",0,O316+1)</f>
        <v>0</v>
      </c>
      <c r="P317" s="15" t="n">
        <f aca="false">IF(Takip!P317="",0,P316+1)</f>
        <v>0</v>
      </c>
      <c r="Q317" s="15" t="n">
        <f aca="false">IF(Takip!Q317="",0,Q316+1)</f>
        <v>0</v>
      </c>
    </row>
    <row r="318" customFormat="false" ht="15" hidden="false" customHeight="false" outlineLevel="0" collapsed="false">
      <c r="A318" s="14" t="n">
        <f aca="false">Takip!R318</f>
        <v>46335</v>
      </c>
      <c r="C318" s="15" t="n">
        <f aca="false">IF(Takip!C318="",0,C317+1)</f>
        <v>0</v>
      </c>
      <c r="D318" s="15" t="n">
        <f aca="false">IF(Takip!D318="",0,D317+1)</f>
        <v>0</v>
      </c>
      <c r="E318" s="15" t="n">
        <f aca="false">IF(Takip!E318="",0,E317+1)</f>
        <v>0</v>
      </c>
      <c r="F318" s="15" t="n">
        <f aca="false">IF(Takip!F318="",0,F317+1)</f>
        <v>0</v>
      </c>
      <c r="G318" s="15" t="n">
        <f aca="false">IF(Takip!G318="",0,G317+1)</f>
        <v>0</v>
      </c>
      <c r="H318" s="15" t="n">
        <f aca="false">IF(Takip!H318="",0,H317+1)</f>
        <v>0</v>
      </c>
      <c r="I318" s="15" t="n">
        <f aca="false">IF(Takip!I318="",0,I317+1)</f>
        <v>0</v>
      </c>
      <c r="J318" s="15" t="n">
        <f aca="false">IF(Takip!J318="",0,J317+1)</f>
        <v>0</v>
      </c>
      <c r="K318" s="15" t="n">
        <f aca="false">IF(Takip!K318="",0,K317+1)</f>
        <v>0</v>
      </c>
      <c r="L318" s="15" t="n">
        <f aca="false">IF(Takip!L318="",0,L317+1)</f>
        <v>0</v>
      </c>
      <c r="M318" s="15" t="n">
        <f aca="false">IF(Takip!M318="",0,M317+1)</f>
        <v>0</v>
      </c>
      <c r="N318" s="15" t="n">
        <f aca="false">IF(Takip!N318="",0,N317+1)</f>
        <v>0</v>
      </c>
      <c r="O318" s="15" t="n">
        <f aca="false">IF(Takip!O318="",0,O317+1)</f>
        <v>0</v>
      </c>
      <c r="P318" s="15" t="n">
        <f aca="false">IF(Takip!P318="",0,P317+1)</f>
        <v>0</v>
      </c>
      <c r="Q318" s="15" t="n">
        <f aca="false">IF(Takip!Q318="",0,Q317+1)</f>
        <v>0</v>
      </c>
    </row>
    <row r="319" customFormat="false" ht="15" hidden="false" customHeight="false" outlineLevel="0" collapsed="false">
      <c r="A319" s="14" t="n">
        <f aca="false">Takip!R319</f>
        <v>46336</v>
      </c>
      <c r="C319" s="15" t="n">
        <f aca="false">IF(Takip!C319="",0,C318+1)</f>
        <v>0</v>
      </c>
      <c r="D319" s="15" t="n">
        <f aca="false">IF(Takip!D319="",0,D318+1)</f>
        <v>0</v>
      </c>
      <c r="E319" s="15" t="n">
        <f aca="false">IF(Takip!E319="",0,E318+1)</f>
        <v>0</v>
      </c>
      <c r="F319" s="15" t="n">
        <f aca="false">IF(Takip!F319="",0,F318+1)</f>
        <v>0</v>
      </c>
      <c r="G319" s="15" t="n">
        <f aca="false">IF(Takip!G319="",0,G318+1)</f>
        <v>0</v>
      </c>
      <c r="H319" s="15" t="n">
        <f aca="false">IF(Takip!H319="",0,H318+1)</f>
        <v>0</v>
      </c>
      <c r="I319" s="15" t="n">
        <f aca="false">IF(Takip!I319="",0,I318+1)</f>
        <v>0</v>
      </c>
      <c r="J319" s="15" t="n">
        <f aca="false">IF(Takip!J319="",0,J318+1)</f>
        <v>0</v>
      </c>
      <c r="K319" s="15" t="n">
        <f aca="false">IF(Takip!K319="",0,K318+1)</f>
        <v>0</v>
      </c>
      <c r="L319" s="15" t="n">
        <f aca="false">IF(Takip!L319="",0,L318+1)</f>
        <v>0</v>
      </c>
      <c r="M319" s="15" t="n">
        <f aca="false">IF(Takip!M319="",0,M318+1)</f>
        <v>0</v>
      </c>
      <c r="N319" s="15" t="n">
        <f aca="false">IF(Takip!N319="",0,N318+1)</f>
        <v>0</v>
      </c>
      <c r="O319" s="15" t="n">
        <f aca="false">IF(Takip!O319="",0,O318+1)</f>
        <v>0</v>
      </c>
      <c r="P319" s="15" t="n">
        <f aca="false">IF(Takip!P319="",0,P318+1)</f>
        <v>0</v>
      </c>
      <c r="Q319" s="15" t="n">
        <f aca="false">IF(Takip!Q319="",0,Q318+1)</f>
        <v>0</v>
      </c>
    </row>
    <row r="320" customFormat="false" ht="15" hidden="false" customHeight="false" outlineLevel="0" collapsed="false">
      <c r="A320" s="14" t="n">
        <f aca="false">Takip!R320</f>
        <v>46337</v>
      </c>
      <c r="C320" s="15" t="n">
        <f aca="false">IF(Takip!C320="",0,C319+1)</f>
        <v>0</v>
      </c>
      <c r="D320" s="15" t="n">
        <f aca="false">IF(Takip!D320="",0,D319+1)</f>
        <v>0</v>
      </c>
      <c r="E320" s="15" t="n">
        <f aca="false">IF(Takip!E320="",0,E319+1)</f>
        <v>0</v>
      </c>
      <c r="F320" s="15" t="n">
        <f aca="false">IF(Takip!F320="",0,F319+1)</f>
        <v>0</v>
      </c>
      <c r="G320" s="15" t="n">
        <f aca="false">IF(Takip!G320="",0,G319+1)</f>
        <v>0</v>
      </c>
      <c r="H320" s="15" t="n">
        <f aca="false">IF(Takip!H320="",0,H319+1)</f>
        <v>0</v>
      </c>
      <c r="I320" s="15" t="n">
        <f aca="false">IF(Takip!I320="",0,I319+1)</f>
        <v>0</v>
      </c>
      <c r="J320" s="15" t="n">
        <f aca="false">IF(Takip!J320="",0,J319+1)</f>
        <v>0</v>
      </c>
      <c r="K320" s="15" t="n">
        <f aca="false">IF(Takip!K320="",0,K319+1)</f>
        <v>0</v>
      </c>
      <c r="L320" s="15" t="n">
        <f aca="false">IF(Takip!L320="",0,L319+1)</f>
        <v>0</v>
      </c>
      <c r="M320" s="15" t="n">
        <f aca="false">IF(Takip!M320="",0,M319+1)</f>
        <v>0</v>
      </c>
      <c r="N320" s="15" t="n">
        <f aca="false">IF(Takip!N320="",0,N319+1)</f>
        <v>0</v>
      </c>
      <c r="O320" s="15" t="n">
        <f aca="false">IF(Takip!O320="",0,O319+1)</f>
        <v>0</v>
      </c>
      <c r="P320" s="15" t="n">
        <f aca="false">IF(Takip!P320="",0,P319+1)</f>
        <v>0</v>
      </c>
      <c r="Q320" s="15" t="n">
        <f aca="false">IF(Takip!Q320="",0,Q319+1)</f>
        <v>0</v>
      </c>
    </row>
    <row r="321" customFormat="false" ht="15" hidden="false" customHeight="false" outlineLevel="0" collapsed="false">
      <c r="A321" s="14" t="n">
        <f aca="false">Takip!R321</f>
        <v>46338</v>
      </c>
      <c r="C321" s="15" t="n">
        <f aca="false">IF(Takip!C321="",0,C320+1)</f>
        <v>0</v>
      </c>
      <c r="D321" s="15" t="n">
        <f aca="false">IF(Takip!D321="",0,D320+1)</f>
        <v>0</v>
      </c>
      <c r="E321" s="15" t="n">
        <f aca="false">IF(Takip!E321="",0,E320+1)</f>
        <v>0</v>
      </c>
      <c r="F321" s="15" t="n">
        <f aca="false">IF(Takip!F321="",0,F320+1)</f>
        <v>0</v>
      </c>
      <c r="G321" s="15" t="n">
        <f aca="false">IF(Takip!G321="",0,G320+1)</f>
        <v>0</v>
      </c>
      <c r="H321" s="15" t="n">
        <f aca="false">IF(Takip!H321="",0,H320+1)</f>
        <v>0</v>
      </c>
      <c r="I321" s="15" t="n">
        <f aca="false">IF(Takip!I321="",0,I320+1)</f>
        <v>0</v>
      </c>
      <c r="J321" s="15" t="n">
        <f aca="false">IF(Takip!J321="",0,J320+1)</f>
        <v>0</v>
      </c>
      <c r="K321" s="15" t="n">
        <f aca="false">IF(Takip!K321="",0,K320+1)</f>
        <v>0</v>
      </c>
      <c r="L321" s="15" t="n">
        <f aca="false">IF(Takip!L321="",0,L320+1)</f>
        <v>0</v>
      </c>
      <c r="M321" s="15" t="n">
        <f aca="false">IF(Takip!M321="",0,M320+1)</f>
        <v>0</v>
      </c>
      <c r="N321" s="15" t="n">
        <f aca="false">IF(Takip!N321="",0,N320+1)</f>
        <v>0</v>
      </c>
      <c r="O321" s="15" t="n">
        <f aca="false">IF(Takip!O321="",0,O320+1)</f>
        <v>0</v>
      </c>
      <c r="P321" s="15" t="n">
        <f aca="false">IF(Takip!P321="",0,P320+1)</f>
        <v>0</v>
      </c>
      <c r="Q321" s="15" t="n">
        <f aca="false">IF(Takip!Q321="",0,Q320+1)</f>
        <v>0</v>
      </c>
    </row>
    <row r="322" customFormat="false" ht="15" hidden="false" customHeight="false" outlineLevel="0" collapsed="false">
      <c r="A322" s="14" t="n">
        <f aca="false">Takip!R322</f>
        <v>46339</v>
      </c>
      <c r="C322" s="15" t="n">
        <f aca="false">IF(Takip!C322="",0,C321+1)</f>
        <v>0</v>
      </c>
      <c r="D322" s="15" t="n">
        <f aca="false">IF(Takip!D322="",0,D321+1)</f>
        <v>0</v>
      </c>
      <c r="E322" s="15" t="n">
        <f aca="false">IF(Takip!E322="",0,E321+1)</f>
        <v>0</v>
      </c>
      <c r="F322" s="15" t="n">
        <f aca="false">IF(Takip!F322="",0,F321+1)</f>
        <v>0</v>
      </c>
      <c r="G322" s="15" t="n">
        <f aca="false">IF(Takip!G322="",0,G321+1)</f>
        <v>0</v>
      </c>
      <c r="H322" s="15" t="n">
        <f aca="false">IF(Takip!H322="",0,H321+1)</f>
        <v>0</v>
      </c>
      <c r="I322" s="15" t="n">
        <f aca="false">IF(Takip!I322="",0,I321+1)</f>
        <v>0</v>
      </c>
      <c r="J322" s="15" t="n">
        <f aca="false">IF(Takip!J322="",0,J321+1)</f>
        <v>0</v>
      </c>
      <c r="K322" s="15" t="n">
        <f aca="false">IF(Takip!K322="",0,K321+1)</f>
        <v>0</v>
      </c>
      <c r="L322" s="15" t="n">
        <f aca="false">IF(Takip!L322="",0,L321+1)</f>
        <v>0</v>
      </c>
      <c r="M322" s="15" t="n">
        <f aca="false">IF(Takip!M322="",0,M321+1)</f>
        <v>0</v>
      </c>
      <c r="N322" s="15" t="n">
        <f aca="false">IF(Takip!N322="",0,N321+1)</f>
        <v>0</v>
      </c>
      <c r="O322" s="15" t="n">
        <f aca="false">IF(Takip!O322="",0,O321+1)</f>
        <v>0</v>
      </c>
      <c r="P322" s="15" t="n">
        <f aca="false">IF(Takip!P322="",0,P321+1)</f>
        <v>0</v>
      </c>
      <c r="Q322" s="15" t="n">
        <f aca="false">IF(Takip!Q322="",0,Q321+1)</f>
        <v>0</v>
      </c>
    </row>
    <row r="323" customFormat="false" ht="15" hidden="false" customHeight="false" outlineLevel="0" collapsed="false">
      <c r="A323" s="14" t="n">
        <f aca="false">Takip!R323</f>
        <v>46340</v>
      </c>
      <c r="C323" s="15" t="n">
        <f aca="false">IF(Takip!C323="",0,C322+1)</f>
        <v>0</v>
      </c>
      <c r="D323" s="15" t="n">
        <f aca="false">IF(Takip!D323="",0,D322+1)</f>
        <v>0</v>
      </c>
      <c r="E323" s="15" t="n">
        <f aca="false">IF(Takip!E323="",0,E322+1)</f>
        <v>0</v>
      </c>
      <c r="F323" s="15" t="n">
        <f aca="false">IF(Takip!F323="",0,F322+1)</f>
        <v>0</v>
      </c>
      <c r="G323" s="15" t="n">
        <f aca="false">IF(Takip!G323="",0,G322+1)</f>
        <v>0</v>
      </c>
      <c r="H323" s="15" t="n">
        <f aca="false">IF(Takip!H323="",0,H322+1)</f>
        <v>0</v>
      </c>
      <c r="I323" s="15" t="n">
        <f aca="false">IF(Takip!I323="",0,I322+1)</f>
        <v>0</v>
      </c>
      <c r="J323" s="15" t="n">
        <f aca="false">IF(Takip!J323="",0,J322+1)</f>
        <v>0</v>
      </c>
      <c r="K323" s="15" t="n">
        <f aca="false">IF(Takip!K323="",0,K322+1)</f>
        <v>0</v>
      </c>
      <c r="L323" s="15" t="n">
        <f aca="false">IF(Takip!L323="",0,L322+1)</f>
        <v>0</v>
      </c>
      <c r="M323" s="15" t="n">
        <f aca="false">IF(Takip!M323="",0,M322+1)</f>
        <v>0</v>
      </c>
      <c r="N323" s="15" t="n">
        <f aca="false">IF(Takip!N323="",0,N322+1)</f>
        <v>0</v>
      </c>
      <c r="O323" s="15" t="n">
        <f aca="false">IF(Takip!O323="",0,O322+1)</f>
        <v>0</v>
      </c>
      <c r="P323" s="15" t="n">
        <f aca="false">IF(Takip!P323="",0,P322+1)</f>
        <v>0</v>
      </c>
      <c r="Q323" s="15" t="n">
        <f aca="false">IF(Takip!Q323="",0,Q322+1)</f>
        <v>0</v>
      </c>
    </row>
    <row r="324" customFormat="false" ht="15" hidden="false" customHeight="false" outlineLevel="0" collapsed="false">
      <c r="A324" s="14" t="n">
        <f aca="false">Takip!R324</f>
        <v>46341</v>
      </c>
      <c r="C324" s="15" t="n">
        <f aca="false">IF(Takip!C324="",0,C323+1)</f>
        <v>0</v>
      </c>
      <c r="D324" s="15" t="n">
        <f aca="false">IF(Takip!D324="",0,D323+1)</f>
        <v>0</v>
      </c>
      <c r="E324" s="15" t="n">
        <f aca="false">IF(Takip!E324="",0,E323+1)</f>
        <v>0</v>
      </c>
      <c r="F324" s="15" t="n">
        <f aca="false">IF(Takip!F324="",0,F323+1)</f>
        <v>0</v>
      </c>
      <c r="G324" s="15" t="n">
        <f aca="false">IF(Takip!G324="",0,G323+1)</f>
        <v>0</v>
      </c>
      <c r="H324" s="15" t="n">
        <f aca="false">IF(Takip!H324="",0,H323+1)</f>
        <v>0</v>
      </c>
      <c r="I324" s="15" t="n">
        <f aca="false">IF(Takip!I324="",0,I323+1)</f>
        <v>0</v>
      </c>
      <c r="J324" s="15" t="n">
        <f aca="false">IF(Takip!J324="",0,J323+1)</f>
        <v>0</v>
      </c>
      <c r="K324" s="15" t="n">
        <f aca="false">IF(Takip!K324="",0,K323+1)</f>
        <v>0</v>
      </c>
      <c r="L324" s="15" t="n">
        <f aca="false">IF(Takip!L324="",0,L323+1)</f>
        <v>0</v>
      </c>
      <c r="M324" s="15" t="n">
        <f aca="false">IF(Takip!M324="",0,M323+1)</f>
        <v>0</v>
      </c>
      <c r="N324" s="15" t="n">
        <f aca="false">IF(Takip!N324="",0,N323+1)</f>
        <v>0</v>
      </c>
      <c r="O324" s="15" t="n">
        <f aca="false">IF(Takip!O324="",0,O323+1)</f>
        <v>0</v>
      </c>
      <c r="P324" s="15" t="n">
        <f aca="false">IF(Takip!P324="",0,P323+1)</f>
        <v>0</v>
      </c>
      <c r="Q324" s="15" t="n">
        <f aca="false">IF(Takip!Q324="",0,Q323+1)</f>
        <v>0</v>
      </c>
    </row>
    <row r="325" customFormat="false" ht="15" hidden="false" customHeight="false" outlineLevel="0" collapsed="false">
      <c r="A325" s="14" t="n">
        <f aca="false">Takip!R325</f>
        <v>46342</v>
      </c>
      <c r="C325" s="15" t="n">
        <f aca="false">IF(Takip!C325="",0,C324+1)</f>
        <v>0</v>
      </c>
      <c r="D325" s="15" t="n">
        <f aca="false">IF(Takip!D325="",0,D324+1)</f>
        <v>0</v>
      </c>
      <c r="E325" s="15" t="n">
        <f aca="false">IF(Takip!E325="",0,E324+1)</f>
        <v>0</v>
      </c>
      <c r="F325" s="15" t="n">
        <f aca="false">IF(Takip!F325="",0,F324+1)</f>
        <v>0</v>
      </c>
      <c r="G325" s="15" t="n">
        <f aca="false">IF(Takip!G325="",0,G324+1)</f>
        <v>0</v>
      </c>
      <c r="H325" s="15" t="n">
        <f aca="false">IF(Takip!H325="",0,H324+1)</f>
        <v>0</v>
      </c>
      <c r="I325" s="15" t="n">
        <f aca="false">IF(Takip!I325="",0,I324+1)</f>
        <v>0</v>
      </c>
      <c r="J325" s="15" t="n">
        <f aca="false">IF(Takip!J325="",0,J324+1)</f>
        <v>0</v>
      </c>
      <c r="K325" s="15" t="n">
        <f aca="false">IF(Takip!K325="",0,K324+1)</f>
        <v>0</v>
      </c>
      <c r="L325" s="15" t="n">
        <f aca="false">IF(Takip!L325="",0,L324+1)</f>
        <v>0</v>
      </c>
      <c r="M325" s="15" t="n">
        <f aca="false">IF(Takip!M325="",0,M324+1)</f>
        <v>0</v>
      </c>
      <c r="N325" s="15" t="n">
        <f aca="false">IF(Takip!N325="",0,N324+1)</f>
        <v>0</v>
      </c>
      <c r="O325" s="15" t="n">
        <f aca="false">IF(Takip!O325="",0,O324+1)</f>
        <v>0</v>
      </c>
      <c r="P325" s="15" t="n">
        <f aca="false">IF(Takip!P325="",0,P324+1)</f>
        <v>0</v>
      </c>
      <c r="Q325" s="15" t="n">
        <f aca="false">IF(Takip!Q325="",0,Q324+1)</f>
        <v>0</v>
      </c>
    </row>
    <row r="326" customFormat="false" ht="15" hidden="false" customHeight="false" outlineLevel="0" collapsed="false">
      <c r="A326" s="14" t="n">
        <f aca="false">Takip!R326</f>
        <v>46343</v>
      </c>
      <c r="C326" s="15" t="n">
        <f aca="false">IF(Takip!C326="",0,C325+1)</f>
        <v>0</v>
      </c>
      <c r="D326" s="15" t="n">
        <f aca="false">IF(Takip!D326="",0,D325+1)</f>
        <v>0</v>
      </c>
      <c r="E326" s="15" t="n">
        <f aca="false">IF(Takip!E326="",0,E325+1)</f>
        <v>0</v>
      </c>
      <c r="F326" s="15" t="n">
        <f aca="false">IF(Takip!F326="",0,F325+1)</f>
        <v>0</v>
      </c>
      <c r="G326" s="15" t="n">
        <f aca="false">IF(Takip!G326="",0,G325+1)</f>
        <v>0</v>
      </c>
      <c r="H326" s="15" t="n">
        <f aca="false">IF(Takip!H326="",0,H325+1)</f>
        <v>0</v>
      </c>
      <c r="I326" s="15" t="n">
        <f aca="false">IF(Takip!I326="",0,I325+1)</f>
        <v>0</v>
      </c>
      <c r="J326" s="15" t="n">
        <f aca="false">IF(Takip!J326="",0,J325+1)</f>
        <v>0</v>
      </c>
      <c r="K326" s="15" t="n">
        <f aca="false">IF(Takip!K326="",0,K325+1)</f>
        <v>0</v>
      </c>
      <c r="L326" s="15" t="n">
        <f aca="false">IF(Takip!L326="",0,L325+1)</f>
        <v>0</v>
      </c>
      <c r="M326" s="15" t="n">
        <f aca="false">IF(Takip!M326="",0,M325+1)</f>
        <v>0</v>
      </c>
      <c r="N326" s="15" t="n">
        <f aca="false">IF(Takip!N326="",0,N325+1)</f>
        <v>0</v>
      </c>
      <c r="O326" s="15" t="n">
        <f aca="false">IF(Takip!O326="",0,O325+1)</f>
        <v>0</v>
      </c>
      <c r="P326" s="15" t="n">
        <f aca="false">IF(Takip!P326="",0,P325+1)</f>
        <v>0</v>
      </c>
      <c r="Q326" s="15" t="n">
        <f aca="false">IF(Takip!Q326="",0,Q325+1)</f>
        <v>0</v>
      </c>
    </row>
    <row r="327" customFormat="false" ht="15" hidden="false" customHeight="false" outlineLevel="0" collapsed="false">
      <c r="A327" s="14" t="n">
        <f aca="false">Takip!R327</f>
        <v>46344</v>
      </c>
      <c r="C327" s="15" t="n">
        <f aca="false">IF(Takip!C327="",0,C326+1)</f>
        <v>0</v>
      </c>
      <c r="D327" s="15" t="n">
        <f aca="false">IF(Takip!D327="",0,D326+1)</f>
        <v>0</v>
      </c>
      <c r="E327" s="15" t="n">
        <f aca="false">IF(Takip!E327="",0,E326+1)</f>
        <v>0</v>
      </c>
      <c r="F327" s="15" t="n">
        <f aca="false">IF(Takip!F327="",0,F326+1)</f>
        <v>0</v>
      </c>
      <c r="G327" s="15" t="n">
        <f aca="false">IF(Takip!G327="",0,G326+1)</f>
        <v>0</v>
      </c>
      <c r="H327" s="15" t="n">
        <f aca="false">IF(Takip!H327="",0,H326+1)</f>
        <v>0</v>
      </c>
      <c r="I327" s="15" t="n">
        <f aca="false">IF(Takip!I327="",0,I326+1)</f>
        <v>0</v>
      </c>
      <c r="J327" s="15" t="n">
        <f aca="false">IF(Takip!J327="",0,J326+1)</f>
        <v>0</v>
      </c>
      <c r="K327" s="15" t="n">
        <f aca="false">IF(Takip!K327="",0,K326+1)</f>
        <v>0</v>
      </c>
      <c r="L327" s="15" t="n">
        <f aca="false">IF(Takip!L327="",0,L326+1)</f>
        <v>0</v>
      </c>
      <c r="M327" s="15" t="n">
        <f aca="false">IF(Takip!M327="",0,M326+1)</f>
        <v>0</v>
      </c>
      <c r="N327" s="15" t="n">
        <f aca="false">IF(Takip!N327="",0,N326+1)</f>
        <v>0</v>
      </c>
      <c r="O327" s="15" t="n">
        <f aca="false">IF(Takip!O327="",0,O326+1)</f>
        <v>0</v>
      </c>
      <c r="P327" s="15" t="n">
        <f aca="false">IF(Takip!P327="",0,P326+1)</f>
        <v>0</v>
      </c>
      <c r="Q327" s="15" t="n">
        <f aca="false">IF(Takip!Q327="",0,Q326+1)</f>
        <v>0</v>
      </c>
    </row>
    <row r="328" customFormat="false" ht="15" hidden="false" customHeight="false" outlineLevel="0" collapsed="false">
      <c r="A328" s="14" t="n">
        <f aca="false">Takip!R328</f>
        <v>46345</v>
      </c>
      <c r="C328" s="15" t="n">
        <f aca="false">IF(Takip!C328="",0,C327+1)</f>
        <v>0</v>
      </c>
      <c r="D328" s="15" t="n">
        <f aca="false">IF(Takip!D328="",0,D327+1)</f>
        <v>0</v>
      </c>
      <c r="E328" s="15" t="n">
        <f aca="false">IF(Takip!E328="",0,E327+1)</f>
        <v>0</v>
      </c>
      <c r="F328" s="15" t="n">
        <f aca="false">IF(Takip!F328="",0,F327+1)</f>
        <v>0</v>
      </c>
      <c r="G328" s="15" t="n">
        <f aca="false">IF(Takip!G328="",0,G327+1)</f>
        <v>0</v>
      </c>
      <c r="H328" s="15" t="n">
        <f aca="false">IF(Takip!H328="",0,H327+1)</f>
        <v>0</v>
      </c>
      <c r="I328" s="15" t="n">
        <f aca="false">IF(Takip!I328="",0,I327+1)</f>
        <v>0</v>
      </c>
      <c r="J328" s="15" t="n">
        <f aca="false">IF(Takip!J328="",0,J327+1)</f>
        <v>0</v>
      </c>
      <c r="K328" s="15" t="n">
        <f aca="false">IF(Takip!K328="",0,K327+1)</f>
        <v>0</v>
      </c>
      <c r="L328" s="15" t="n">
        <f aca="false">IF(Takip!L328="",0,L327+1)</f>
        <v>0</v>
      </c>
      <c r="M328" s="15" t="n">
        <f aca="false">IF(Takip!M328="",0,M327+1)</f>
        <v>0</v>
      </c>
      <c r="N328" s="15" t="n">
        <f aca="false">IF(Takip!N328="",0,N327+1)</f>
        <v>0</v>
      </c>
      <c r="O328" s="15" t="n">
        <f aca="false">IF(Takip!O328="",0,O327+1)</f>
        <v>0</v>
      </c>
      <c r="P328" s="15" t="n">
        <f aca="false">IF(Takip!P328="",0,P327+1)</f>
        <v>0</v>
      </c>
      <c r="Q328" s="15" t="n">
        <f aca="false">IF(Takip!Q328="",0,Q327+1)</f>
        <v>0</v>
      </c>
    </row>
    <row r="329" customFormat="false" ht="15" hidden="false" customHeight="false" outlineLevel="0" collapsed="false">
      <c r="A329" s="14" t="n">
        <f aca="false">Takip!R329</f>
        <v>46346</v>
      </c>
      <c r="C329" s="15" t="n">
        <f aca="false">IF(Takip!C329="",0,C328+1)</f>
        <v>0</v>
      </c>
      <c r="D329" s="15" t="n">
        <f aca="false">IF(Takip!D329="",0,D328+1)</f>
        <v>0</v>
      </c>
      <c r="E329" s="15" t="n">
        <f aca="false">IF(Takip!E329="",0,E328+1)</f>
        <v>0</v>
      </c>
      <c r="F329" s="15" t="n">
        <f aca="false">IF(Takip!F329="",0,F328+1)</f>
        <v>0</v>
      </c>
      <c r="G329" s="15" t="n">
        <f aca="false">IF(Takip!G329="",0,G328+1)</f>
        <v>0</v>
      </c>
      <c r="H329" s="15" t="n">
        <f aca="false">IF(Takip!H329="",0,H328+1)</f>
        <v>0</v>
      </c>
      <c r="I329" s="15" t="n">
        <f aca="false">IF(Takip!I329="",0,I328+1)</f>
        <v>0</v>
      </c>
      <c r="J329" s="15" t="n">
        <f aca="false">IF(Takip!J329="",0,J328+1)</f>
        <v>0</v>
      </c>
      <c r="K329" s="15" t="n">
        <f aca="false">IF(Takip!K329="",0,K328+1)</f>
        <v>0</v>
      </c>
      <c r="L329" s="15" t="n">
        <f aca="false">IF(Takip!L329="",0,L328+1)</f>
        <v>0</v>
      </c>
      <c r="M329" s="15" t="n">
        <f aca="false">IF(Takip!M329="",0,M328+1)</f>
        <v>0</v>
      </c>
      <c r="N329" s="15" t="n">
        <f aca="false">IF(Takip!N329="",0,N328+1)</f>
        <v>0</v>
      </c>
      <c r="O329" s="15" t="n">
        <f aca="false">IF(Takip!O329="",0,O328+1)</f>
        <v>0</v>
      </c>
      <c r="P329" s="15" t="n">
        <f aca="false">IF(Takip!P329="",0,P328+1)</f>
        <v>0</v>
      </c>
      <c r="Q329" s="15" t="n">
        <f aca="false">IF(Takip!Q329="",0,Q328+1)</f>
        <v>0</v>
      </c>
    </row>
    <row r="330" customFormat="false" ht="15" hidden="false" customHeight="false" outlineLevel="0" collapsed="false">
      <c r="A330" s="14" t="n">
        <f aca="false">Takip!R330</f>
        <v>46347</v>
      </c>
      <c r="C330" s="15" t="n">
        <f aca="false">IF(Takip!C330="",0,C329+1)</f>
        <v>0</v>
      </c>
      <c r="D330" s="15" t="n">
        <f aca="false">IF(Takip!D330="",0,D329+1)</f>
        <v>0</v>
      </c>
      <c r="E330" s="15" t="n">
        <f aca="false">IF(Takip!E330="",0,E329+1)</f>
        <v>0</v>
      </c>
      <c r="F330" s="15" t="n">
        <f aca="false">IF(Takip!F330="",0,F329+1)</f>
        <v>0</v>
      </c>
      <c r="G330" s="15" t="n">
        <f aca="false">IF(Takip!G330="",0,G329+1)</f>
        <v>0</v>
      </c>
      <c r="H330" s="15" t="n">
        <f aca="false">IF(Takip!H330="",0,H329+1)</f>
        <v>0</v>
      </c>
      <c r="I330" s="15" t="n">
        <f aca="false">IF(Takip!I330="",0,I329+1)</f>
        <v>0</v>
      </c>
      <c r="J330" s="15" t="n">
        <f aca="false">IF(Takip!J330="",0,J329+1)</f>
        <v>0</v>
      </c>
      <c r="K330" s="15" t="n">
        <f aca="false">IF(Takip!K330="",0,K329+1)</f>
        <v>0</v>
      </c>
      <c r="L330" s="15" t="n">
        <f aca="false">IF(Takip!L330="",0,L329+1)</f>
        <v>0</v>
      </c>
      <c r="M330" s="15" t="n">
        <f aca="false">IF(Takip!M330="",0,M329+1)</f>
        <v>0</v>
      </c>
      <c r="N330" s="15" t="n">
        <f aca="false">IF(Takip!N330="",0,N329+1)</f>
        <v>0</v>
      </c>
      <c r="O330" s="15" t="n">
        <f aca="false">IF(Takip!O330="",0,O329+1)</f>
        <v>0</v>
      </c>
      <c r="P330" s="15" t="n">
        <f aca="false">IF(Takip!P330="",0,P329+1)</f>
        <v>0</v>
      </c>
      <c r="Q330" s="15" t="n">
        <f aca="false">IF(Takip!Q330="",0,Q329+1)</f>
        <v>0</v>
      </c>
    </row>
    <row r="331" customFormat="false" ht="15" hidden="false" customHeight="false" outlineLevel="0" collapsed="false">
      <c r="A331" s="14" t="n">
        <f aca="false">Takip!R331</f>
        <v>46348</v>
      </c>
      <c r="C331" s="15" t="n">
        <f aca="false">IF(Takip!C331="",0,C330+1)</f>
        <v>0</v>
      </c>
      <c r="D331" s="15" t="n">
        <f aca="false">IF(Takip!D331="",0,D330+1)</f>
        <v>0</v>
      </c>
      <c r="E331" s="15" t="n">
        <f aca="false">IF(Takip!E331="",0,E330+1)</f>
        <v>0</v>
      </c>
      <c r="F331" s="15" t="n">
        <f aca="false">IF(Takip!F331="",0,F330+1)</f>
        <v>0</v>
      </c>
      <c r="G331" s="15" t="n">
        <f aca="false">IF(Takip!G331="",0,G330+1)</f>
        <v>0</v>
      </c>
      <c r="H331" s="15" t="n">
        <f aca="false">IF(Takip!H331="",0,H330+1)</f>
        <v>0</v>
      </c>
      <c r="I331" s="15" t="n">
        <f aca="false">IF(Takip!I331="",0,I330+1)</f>
        <v>0</v>
      </c>
      <c r="J331" s="15" t="n">
        <f aca="false">IF(Takip!J331="",0,J330+1)</f>
        <v>0</v>
      </c>
      <c r="K331" s="15" t="n">
        <f aca="false">IF(Takip!K331="",0,K330+1)</f>
        <v>0</v>
      </c>
      <c r="L331" s="15" t="n">
        <f aca="false">IF(Takip!L331="",0,L330+1)</f>
        <v>0</v>
      </c>
      <c r="M331" s="15" t="n">
        <f aca="false">IF(Takip!M331="",0,M330+1)</f>
        <v>0</v>
      </c>
      <c r="N331" s="15" t="n">
        <f aca="false">IF(Takip!N331="",0,N330+1)</f>
        <v>0</v>
      </c>
      <c r="O331" s="15" t="n">
        <f aca="false">IF(Takip!O331="",0,O330+1)</f>
        <v>0</v>
      </c>
      <c r="P331" s="15" t="n">
        <f aca="false">IF(Takip!P331="",0,P330+1)</f>
        <v>0</v>
      </c>
      <c r="Q331" s="15" t="n">
        <f aca="false">IF(Takip!Q331="",0,Q330+1)</f>
        <v>0</v>
      </c>
    </row>
    <row r="332" customFormat="false" ht="15" hidden="false" customHeight="false" outlineLevel="0" collapsed="false">
      <c r="A332" s="14" t="n">
        <f aca="false">Takip!R332</f>
        <v>46349</v>
      </c>
      <c r="C332" s="15" t="n">
        <f aca="false">IF(Takip!C332="",0,C331+1)</f>
        <v>0</v>
      </c>
      <c r="D332" s="15" t="n">
        <f aca="false">IF(Takip!D332="",0,D331+1)</f>
        <v>0</v>
      </c>
      <c r="E332" s="15" t="n">
        <f aca="false">IF(Takip!E332="",0,E331+1)</f>
        <v>0</v>
      </c>
      <c r="F332" s="15" t="n">
        <f aca="false">IF(Takip!F332="",0,F331+1)</f>
        <v>0</v>
      </c>
      <c r="G332" s="15" t="n">
        <f aca="false">IF(Takip!G332="",0,G331+1)</f>
        <v>0</v>
      </c>
      <c r="H332" s="15" t="n">
        <f aca="false">IF(Takip!H332="",0,H331+1)</f>
        <v>0</v>
      </c>
      <c r="I332" s="15" t="n">
        <f aca="false">IF(Takip!I332="",0,I331+1)</f>
        <v>0</v>
      </c>
      <c r="J332" s="15" t="n">
        <f aca="false">IF(Takip!J332="",0,J331+1)</f>
        <v>0</v>
      </c>
      <c r="K332" s="15" t="n">
        <f aca="false">IF(Takip!K332="",0,K331+1)</f>
        <v>0</v>
      </c>
      <c r="L332" s="15" t="n">
        <f aca="false">IF(Takip!L332="",0,L331+1)</f>
        <v>0</v>
      </c>
      <c r="M332" s="15" t="n">
        <f aca="false">IF(Takip!M332="",0,M331+1)</f>
        <v>0</v>
      </c>
      <c r="N332" s="15" t="n">
        <f aca="false">IF(Takip!N332="",0,N331+1)</f>
        <v>0</v>
      </c>
      <c r="O332" s="15" t="n">
        <f aca="false">IF(Takip!O332="",0,O331+1)</f>
        <v>0</v>
      </c>
      <c r="P332" s="15" t="n">
        <f aca="false">IF(Takip!P332="",0,P331+1)</f>
        <v>0</v>
      </c>
      <c r="Q332" s="15" t="n">
        <f aca="false">IF(Takip!Q332="",0,Q331+1)</f>
        <v>0</v>
      </c>
    </row>
    <row r="333" customFormat="false" ht="15" hidden="false" customHeight="false" outlineLevel="0" collapsed="false">
      <c r="A333" s="14" t="n">
        <f aca="false">Takip!R333</f>
        <v>46350</v>
      </c>
      <c r="C333" s="15" t="n">
        <f aca="false">IF(Takip!C333="",0,C332+1)</f>
        <v>0</v>
      </c>
      <c r="D333" s="15" t="n">
        <f aca="false">IF(Takip!D333="",0,D332+1)</f>
        <v>0</v>
      </c>
      <c r="E333" s="15" t="n">
        <f aca="false">IF(Takip!E333="",0,E332+1)</f>
        <v>0</v>
      </c>
      <c r="F333" s="15" t="n">
        <f aca="false">IF(Takip!F333="",0,F332+1)</f>
        <v>0</v>
      </c>
      <c r="G333" s="15" t="n">
        <f aca="false">IF(Takip!G333="",0,G332+1)</f>
        <v>0</v>
      </c>
      <c r="H333" s="15" t="n">
        <f aca="false">IF(Takip!H333="",0,H332+1)</f>
        <v>0</v>
      </c>
      <c r="I333" s="15" t="n">
        <f aca="false">IF(Takip!I333="",0,I332+1)</f>
        <v>0</v>
      </c>
      <c r="J333" s="15" t="n">
        <f aca="false">IF(Takip!J333="",0,J332+1)</f>
        <v>0</v>
      </c>
      <c r="K333" s="15" t="n">
        <f aca="false">IF(Takip!K333="",0,K332+1)</f>
        <v>0</v>
      </c>
      <c r="L333" s="15" t="n">
        <f aca="false">IF(Takip!L333="",0,L332+1)</f>
        <v>0</v>
      </c>
      <c r="M333" s="15" t="n">
        <f aca="false">IF(Takip!M333="",0,M332+1)</f>
        <v>0</v>
      </c>
      <c r="N333" s="15" t="n">
        <f aca="false">IF(Takip!N333="",0,N332+1)</f>
        <v>0</v>
      </c>
      <c r="O333" s="15" t="n">
        <f aca="false">IF(Takip!O333="",0,O332+1)</f>
        <v>0</v>
      </c>
      <c r="P333" s="15" t="n">
        <f aca="false">IF(Takip!P333="",0,P332+1)</f>
        <v>0</v>
      </c>
      <c r="Q333" s="15" t="n">
        <f aca="false">IF(Takip!Q333="",0,Q332+1)</f>
        <v>0</v>
      </c>
    </row>
    <row r="334" customFormat="false" ht="15" hidden="false" customHeight="false" outlineLevel="0" collapsed="false">
      <c r="A334" s="14" t="n">
        <f aca="false">Takip!R334</f>
        <v>46351</v>
      </c>
      <c r="C334" s="15" t="n">
        <f aca="false">IF(Takip!C334="",0,C333+1)</f>
        <v>0</v>
      </c>
      <c r="D334" s="15" t="n">
        <f aca="false">IF(Takip!D334="",0,D333+1)</f>
        <v>0</v>
      </c>
      <c r="E334" s="15" t="n">
        <f aca="false">IF(Takip!E334="",0,E333+1)</f>
        <v>0</v>
      </c>
      <c r="F334" s="15" t="n">
        <f aca="false">IF(Takip!F334="",0,F333+1)</f>
        <v>0</v>
      </c>
      <c r="G334" s="15" t="n">
        <f aca="false">IF(Takip!G334="",0,G333+1)</f>
        <v>0</v>
      </c>
      <c r="H334" s="15" t="n">
        <f aca="false">IF(Takip!H334="",0,H333+1)</f>
        <v>0</v>
      </c>
      <c r="I334" s="15" t="n">
        <f aca="false">IF(Takip!I334="",0,I333+1)</f>
        <v>0</v>
      </c>
      <c r="J334" s="15" t="n">
        <f aca="false">IF(Takip!J334="",0,J333+1)</f>
        <v>0</v>
      </c>
      <c r="K334" s="15" t="n">
        <f aca="false">IF(Takip!K334="",0,K333+1)</f>
        <v>0</v>
      </c>
      <c r="L334" s="15" t="n">
        <f aca="false">IF(Takip!L334="",0,L333+1)</f>
        <v>0</v>
      </c>
      <c r="M334" s="15" t="n">
        <f aca="false">IF(Takip!M334="",0,M333+1)</f>
        <v>0</v>
      </c>
      <c r="N334" s="15" t="n">
        <f aca="false">IF(Takip!N334="",0,N333+1)</f>
        <v>0</v>
      </c>
      <c r="O334" s="15" t="n">
        <f aca="false">IF(Takip!O334="",0,O333+1)</f>
        <v>0</v>
      </c>
      <c r="P334" s="15" t="n">
        <f aca="false">IF(Takip!P334="",0,P333+1)</f>
        <v>0</v>
      </c>
      <c r="Q334" s="15" t="n">
        <f aca="false">IF(Takip!Q334="",0,Q333+1)</f>
        <v>0</v>
      </c>
    </row>
    <row r="335" customFormat="false" ht="15" hidden="false" customHeight="false" outlineLevel="0" collapsed="false">
      <c r="A335" s="14" t="n">
        <f aca="false">Takip!R335</f>
        <v>46352</v>
      </c>
      <c r="C335" s="15" t="n">
        <f aca="false">IF(Takip!C335="",0,C334+1)</f>
        <v>0</v>
      </c>
      <c r="D335" s="15" t="n">
        <f aca="false">IF(Takip!D335="",0,D334+1)</f>
        <v>0</v>
      </c>
      <c r="E335" s="15" t="n">
        <f aca="false">IF(Takip!E335="",0,E334+1)</f>
        <v>0</v>
      </c>
      <c r="F335" s="15" t="n">
        <f aca="false">IF(Takip!F335="",0,F334+1)</f>
        <v>0</v>
      </c>
      <c r="G335" s="15" t="n">
        <f aca="false">IF(Takip!G335="",0,G334+1)</f>
        <v>0</v>
      </c>
      <c r="H335" s="15" t="n">
        <f aca="false">IF(Takip!H335="",0,H334+1)</f>
        <v>0</v>
      </c>
      <c r="I335" s="15" t="n">
        <f aca="false">IF(Takip!I335="",0,I334+1)</f>
        <v>0</v>
      </c>
      <c r="J335" s="15" t="n">
        <f aca="false">IF(Takip!J335="",0,J334+1)</f>
        <v>0</v>
      </c>
      <c r="K335" s="15" t="n">
        <f aca="false">IF(Takip!K335="",0,K334+1)</f>
        <v>0</v>
      </c>
      <c r="L335" s="15" t="n">
        <f aca="false">IF(Takip!L335="",0,L334+1)</f>
        <v>0</v>
      </c>
      <c r="M335" s="15" t="n">
        <f aca="false">IF(Takip!M335="",0,M334+1)</f>
        <v>0</v>
      </c>
      <c r="N335" s="15" t="n">
        <f aca="false">IF(Takip!N335="",0,N334+1)</f>
        <v>0</v>
      </c>
      <c r="O335" s="15" t="n">
        <f aca="false">IF(Takip!O335="",0,O334+1)</f>
        <v>0</v>
      </c>
      <c r="P335" s="15" t="n">
        <f aca="false">IF(Takip!P335="",0,P334+1)</f>
        <v>0</v>
      </c>
      <c r="Q335" s="15" t="n">
        <f aca="false">IF(Takip!Q335="",0,Q334+1)</f>
        <v>0</v>
      </c>
    </row>
    <row r="336" customFormat="false" ht="15" hidden="false" customHeight="false" outlineLevel="0" collapsed="false">
      <c r="A336" s="14" t="n">
        <f aca="false">Takip!R336</f>
        <v>46353</v>
      </c>
      <c r="C336" s="15" t="n">
        <f aca="false">IF(Takip!C336="",0,C335+1)</f>
        <v>0</v>
      </c>
      <c r="D336" s="15" t="n">
        <f aca="false">IF(Takip!D336="",0,D335+1)</f>
        <v>0</v>
      </c>
      <c r="E336" s="15" t="n">
        <f aca="false">IF(Takip!E336="",0,E335+1)</f>
        <v>0</v>
      </c>
      <c r="F336" s="15" t="n">
        <f aca="false">IF(Takip!F336="",0,F335+1)</f>
        <v>0</v>
      </c>
      <c r="G336" s="15" t="n">
        <f aca="false">IF(Takip!G336="",0,G335+1)</f>
        <v>0</v>
      </c>
      <c r="H336" s="15" t="n">
        <f aca="false">IF(Takip!H336="",0,H335+1)</f>
        <v>0</v>
      </c>
      <c r="I336" s="15" t="n">
        <f aca="false">IF(Takip!I336="",0,I335+1)</f>
        <v>0</v>
      </c>
      <c r="J336" s="15" t="n">
        <f aca="false">IF(Takip!J336="",0,J335+1)</f>
        <v>0</v>
      </c>
      <c r="K336" s="15" t="n">
        <f aca="false">IF(Takip!K336="",0,K335+1)</f>
        <v>0</v>
      </c>
      <c r="L336" s="15" t="n">
        <f aca="false">IF(Takip!L336="",0,L335+1)</f>
        <v>0</v>
      </c>
      <c r="M336" s="15" t="n">
        <f aca="false">IF(Takip!M336="",0,M335+1)</f>
        <v>0</v>
      </c>
      <c r="N336" s="15" t="n">
        <f aca="false">IF(Takip!N336="",0,N335+1)</f>
        <v>0</v>
      </c>
      <c r="O336" s="15" t="n">
        <f aca="false">IF(Takip!O336="",0,O335+1)</f>
        <v>0</v>
      </c>
      <c r="P336" s="15" t="n">
        <f aca="false">IF(Takip!P336="",0,P335+1)</f>
        <v>0</v>
      </c>
      <c r="Q336" s="15" t="n">
        <f aca="false">IF(Takip!Q336="",0,Q335+1)</f>
        <v>0</v>
      </c>
    </row>
    <row r="337" customFormat="false" ht="15" hidden="false" customHeight="false" outlineLevel="0" collapsed="false">
      <c r="A337" s="14" t="n">
        <f aca="false">Takip!R337</f>
        <v>46354</v>
      </c>
      <c r="C337" s="15" t="n">
        <f aca="false">IF(Takip!C337="",0,C336+1)</f>
        <v>0</v>
      </c>
      <c r="D337" s="15" t="n">
        <f aca="false">IF(Takip!D337="",0,D336+1)</f>
        <v>0</v>
      </c>
      <c r="E337" s="15" t="n">
        <f aca="false">IF(Takip!E337="",0,E336+1)</f>
        <v>0</v>
      </c>
      <c r="F337" s="15" t="n">
        <f aca="false">IF(Takip!F337="",0,F336+1)</f>
        <v>0</v>
      </c>
      <c r="G337" s="15" t="n">
        <f aca="false">IF(Takip!G337="",0,G336+1)</f>
        <v>0</v>
      </c>
      <c r="H337" s="15" t="n">
        <f aca="false">IF(Takip!H337="",0,H336+1)</f>
        <v>0</v>
      </c>
      <c r="I337" s="15" t="n">
        <f aca="false">IF(Takip!I337="",0,I336+1)</f>
        <v>0</v>
      </c>
      <c r="J337" s="15" t="n">
        <f aca="false">IF(Takip!J337="",0,J336+1)</f>
        <v>0</v>
      </c>
      <c r="K337" s="15" t="n">
        <f aca="false">IF(Takip!K337="",0,K336+1)</f>
        <v>0</v>
      </c>
      <c r="L337" s="15" t="n">
        <f aca="false">IF(Takip!L337="",0,L336+1)</f>
        <v>0</v>
      </c>
      <c r="M337" s="15" t="n">
        <f aca="false">IF(Takip!M337="",0,M336+1)</f>
        <v>0</v>
      </c>
      <c r="N337" s="15" t="n">
        <f aca="false">IF(Takip!N337="",0,N336+1)</f>
        <v>0</v>
      </c>
      <c r="O337" s="15" t="n">
        <f aca="false">IF(Takip!O337="",0,O336+1)</f>
        <v>0</v>
      </c>
      <c r="P337" s="15" t="n">
        <f aca="false">IF(Takip!P337="",0,P336+1)</f>
        <v>0</v>
      </c>
      <c r="Q337" s="15" t="n">
        <f aca="false">IF(Takip!Q337="",0,Q336+1)</f>
        <v>0</v>
      </c>
    </row>
    <row r="338" customFormat="false" ht="15" hidden="false" customHeight="false" outlineLevel="0" collapsed="false">
      <c r="A338" s="14" t="n">
        <f aca="false">Takip!R338</f>
        <v>46355</v>
      </c>
      <c r="C338" s="15" t="n">
        <f aca="false">IF(Takip!C338="",0,C337+1)</f>
        <v>0</v>
      </c>
      <c r="D338" s="15" t="n">
        <f aca="false">IF(Takip!D338="",0,D337+1)</f>
        <v>0</v>
      </c>
      <c r="E338" s="15" t="n">
        <f aca="false">IF(Takip!E338="",0,E337+1)</f>
        <v>0</v>
      </c>
      <c r="F338" s="15" t="n">
        <f aca="false">IF(Takip!F338="",0,F337+1)</f>
        <v>0</v>
      </c>
      <c r="G338" s="15" t="n">
        <f aca="false">IF(Takip!G338="",0,G337+1)</f>
        <v>0</v>
      </c>
      <c r="H338" s="15" t="n">
        <f aca="false">IF(Takip!H338="",0,H337+1)</f>
        <v>0</v>
      </c>
      <c r="I338" s="15" t="n">
        <f aca="false">IF(Takip!I338="",0,I337+1)</f>
        <v>0</v>
      </c>
      <c r="J338" s="15" t="n">
        <f aca="false">IF(Takip!J338="",0,J337+1)</f>
        <v>0</v>
      </c>
      <c r="K338" s="15" t="n">
        <f aca="false">IF(Takip!K338="",0,K337+1)</f>
        <v>0</v>
      </c>
      <c r="L338" s="15" t="n">
        <f aca="false">IF(Takip!L338="",0,L337+1)</f>
        <v>0</v>
      </c>
      <c r="M338" s="15" t="n">
        <f aca="false">IF(Takip!M338="",0,M337+1)</f>
        <v>0</v>
      </c>
      <c r="N338" s="15" t="n">
        <f aca="false">IF(Takip!N338="",0,N337+1)</f>
        <v>0</v>
      </c>
      <c r="O338" s="15" t="n">
        <f aca="false">IF(Takip!O338="",0,O337+1)</f>
        <v>0</v>
      </c>
      <c r="P338" s="15" t="n">
        <f aca="false">IF(Takip!P338="",0,P337+1)</f>
        <v>0</v>
      </c>
      <c r="Q338" s="15" t="n">
        <f aca="false">IF(Takip!Q338="",0,Q337+1)</f>
        <v>0</v>
      </c>
    </row>
    <row r="339" customFormat="false" ht="15" hidden="false" customHeight="false" outlineLevel="0" collapsed="false">
      <c r="A339" s="14" t="n">
        <f aca="false">Takip!R339</f>
        <v>46356</v>
      </c>
      <c r="C339" s="15" t="n">
        <f aca="false">IF(Takip!C339="",0,C338+1)</f>
        <v>0</v>
      </c>
      <c r="D339" s="15" t="n">
        <f aca="false">IF(Takip!D339="",0,D338+1)</f>
        <v>0</v>
      </c>
      <c r="E339" s="15" t="n">
        <f aca="false">IF(Takip!E339="",0,E338+1)</f>
        <v>0</v>
      </c>
      <c r="F339" s="15" t="n">
        <f aca="false">IF(Takip!F339="",0,F338+1)</f>
        <v>0</v>
      </c>
      <c r="G339" s="15" t="n">
        <f aca="false">IF(Takip!G339="",0,G338+1)</f>
        <v>0</v>
      </c>
      <c r="H339" s="15" t="n">
        <f aca="false">IF(Takip!H339="",0,H338+1)</f>
        <v>0</v>
      </c>
      <c r="I339" s="15" t="n">
        <f aca="false">IF(Takip!I339="",0,I338+1)</f>
        <v>0</v>
      </c>
      <c r="J339" s="15" t="n">
        <f aca="false">IF(Takip!J339="",0,J338+1)</f>
        <v>0</v>
      </c>
      <c r="K339" s="15" t="n">
        <f aca="false">IF(Takip!K339="",0,K338+1)</f>
        <v>0</v>
      </c>
      <c r="L339" s="15" t="n">
        <f aca="false">IF(Takip!L339="",0,L338+1)</f>
        <v>0</v>
      </c>
      <c r="M339" s="15" t="n">
        <f aca="false">IF(Takip!M339="",0,M338+1)</f>
        <v>0</v>
      </c>
      <c r="N339" s="15" t="n">
        <f aca="false">IF(Takip!N339="",0,N338+1)</f>
        <v>0</v>
      </c>
      <c r="O339" s="15" t="n">
        <f aca="false">IF(Takip!O339="",0,O338+1)</f>
        <v>0</v>
      </c>
      <c r="P339" s="15" t="n">
        <f aca="false">IF(Takip!P339="",0,P338+1)</f>
        <v>0</v>
      </c>
      <c r="Q339" s="15" t="n">
        <f aca="false">IF(Takip!Q339="",0,Q338+1)</f>
        <v>0</v>
      </c>
    </row>
    <row r="340" customFormat="false" ht="15" hidden="false" customHeight="false" outlineLevel="0" collapsed="false">
      <c r="A340" s="14" t="n">
        <f aca="false">Takip!R340</f>
        <v>46357</v>
      </c>
      <c r="C340" s="15" t="n">
        <f aca="false">IF(Takip!C340="",0,C339+1)</f>
        <v>0</v>
      </c>
      <c r="D340" s="15" t="n">
        <f aca="false">IF(Takip!D340="",0,D339+1)</f>
        <v>0</v>
      </c>
      <c r="E340" s="15" t="n">
        <f aca="false">IF(Takip!E340="",0,E339+1)</f>
        <v>0</v>
      </c>
      <c r="F340" s="15" t="n">
        <f aca="false">IF(Takip!F340="",0,F339+1)</f>
        <v>0</v>
      </c>
      <c r="G340" s="15" t="n">
        <f aca="false">IF(Takip!G340="",0,G339+1)</f>
        <v>0</v>
      </c>
      <c r="H340" s="15" t="n">
        <f aca="false">IF(Takip!H340="",0,H339+1)</f>
        <v>0</v>
      </c>
      <c r="I340" s="15" t="n">
        <f aca="false">IF(Takip!I340="",0,I339+1)</f>
        <v>0</v>
      </c>
      <c r="J340" s="15" t="n">
        <f aca="false">IF(Takip!J340="",0,J339+1)</f>
        <v>0</v>
      </c>
      <c r="K340" s="15" t="n">
        <f aca="false">IF(Takip!K340="",0,K339+1)</f>
        <v>0</v>
      </c>
      <c r="L340" s="15" t="n">
        <f aca="false">IF(Takip!L340="",0,L339+1)</f>
        <v>0</v>
      </c>
      <c r="M340" s="15" t="n">
        <f aca="false">IF(Takip!M340="",0,M339+1)</f>
        <v>0</v>
      </c>
      <c r="N340" s="15" t="n">
        <f aca="false">IF(Takip!N340="",0,N339+1)</f>
        <v>0</v>
      </c>
      <c r="O340" s="15" t="n">
        <f aca="false">IF(Takip!O340="",0,O339+1)</f>
        <v>0</v>
      </c>
      <c r="P340" s="15" t="n">
        <f aca="false">IF(Takip!P340="",0,P339+1)</f>
        <v>0</v>
      </c>
      <c r="Q340" s="15" t="n">
        <f aca="false">IF(Takip!Q340="",0,Q339+1)</f>
        <v>0</v>
      </c>
    </row>
    <row r="341" customFormat="false" ht="15" hidden="false" customHeight="false" outlineLevel="0" collapsed="false">
      <c r="A341" s="14" t="n">
        <f aca="false">Takip!R341</f>
        <v>46358</v>
      </c>
      <c r="C341" s="15" t="n">
        <f aca="false">IF(Takip!C341="",0,C340+1)</f>
        <v>0</v>
      </c>
      <c r="D341" s="15" t="n">
        <f aca="false">IF(Takip!D341="",0,D340+1)</f>
        <v>0</v>
      </c>
      <c r="E341" s="15" t="n">
        <f aca="false">IF(Takip!E341="",0,E340+1)</f>
        <v>0</v>
      </c>
      <c r="F341" s="15" t="n">
        <f aca="false">IF(Takip!F341="",0,F340+1)</f>
        <v>0</v>
      </c>
      <c r="G341" s="15" t="n">
        <f aca="false">IF(Takip!G341="",0,G340+1)</f>
        <v>0</v>
      </c>
      <c r="H341" s="15" t="n">
        <f aca="false">IF(Takip!H341="",0,H340+1)</f>
        <v>0</v>
      </c>
      <c r="I341" s="15" t="n">
        <f aca="false">IF(Takip!I341="",0,I340+1)</f>
        <v>0</v>
      </c>
      <c r="J341" s="15" t="n">
        <f aca="false">IF(Takip!J341="",0,J340+1)</f>
        <v>0</v>
      </c>
      <c r="K341" s="15" t="n">
        <f aca="false">IF(Takip!K341="",0,K340+1)</f>
        <v>0</v>
      </c>
      <c r="L341" s="15" t="n">
        <f aca="false">IF(Takip!L341="",0,L340+1)</f>
        <v>0</v>
      </c>
      <c r="M341" s="15" t="n">
        <f aca="false">IF(Takip!M341="",0,M340+1)</f>
        <v>0</v>
      </c>
      <c r="N341" s="15" t="n">
        <f aca="false">IF(Takip!N341="",0,N340+1)</f>
        <v>0</v>
      </c>
      <c r="O341" s="15" t="n">
        <f aca="false">IF(Takip!O341="",0,O340+1)</f>
        <v>0</v>
      </c>
      <c r="P341" s="15" t="n">
        <f aca="false">IF(Takip!P341="",0,P340+1)</f>
        <v>0</v>
      </c>
      <c r="Q341" s="15" t="n">
        <f aca="false">IF(Takip!Q341="",0,Q340+1)</f>
        <v>0</v>
      </c>
    </row>
    <row r="342" customFormat="false" ht="15" hidden="false" customHeight="false" outlineLevel="0" collapsed="false">
      <c r="A342" s="14" t="n">
        <f aca="false">Takip!R342</f>
        <v>46359</v>
      </c>
      <c r="C342" s="15" t="n">
        <f aca="false">IF(Takip!C342="",0,C341+1)</f>
        <v>0</v>
      </c>
      <c r="D342" s="15" t="n">
        <f aca="false">IF(Takip!D342="",0,D341+1)</f>
        <v>0</v>
      </c>
      <c r="E342" s="15" t="n">
        <f aca="false">IF(Takip!E342="",0,E341+1)</f>
        <v>0</v>
      </c>
      <c r="F342" s="15" t="n">
        <f aca="false">IF(Takip!F342="",0,F341+1)</f>
        <v>0</v>
      </c>
      <c r="G342" s="15" t="n">
        <f aca="false">IF(Takip!G342="",0,G341+1)</f>
        <v>0</v>
      </c>
      <c r="H342" s="15" t="n">
        <f aca="false">IF(Takip!H342="",0,H341+1)</f>
        <v>0</v>
      </c>
      <c r="I342" s="15" t="n">
        <f aca="false">IF(Takip!I342="",0,I341+1)</f>
        <v>0</v>
      </c>
      <c r="J342" s="15" t="n">
        <f aca="false">IF(Takip!J342="",0,J341+1)</f>
        <v>0</v>
      </c>
      <c r="K342" s="15" t="n">
        <f aca="false">IF(Takip!K342="",0,K341+1)</f>
        <v>0</v>
      </c>
      <c r="L342" s="15" t="n">
        <f aca="false">IF(Takip!L342="",0,L341+1)</f>
        <v>0</v>
      </c>
      <c r="M342" s="15" t="n">
        <f aca="false">IF(Takip!M342="",0,M341+1)</f>
        <v>0</v>
      </c>
      <c r="N342" s="15" t="n">
        <f aca="false">IF(Takip!N342="",0,N341+1)</f>
        <v>0</v>
      </c>
      <c r="O342" s="15" t="n">
        <f aca="false">IF(Takip!O342="",0,O341+1)</f>
        <v>0</v>
      </c>
      <c r="P342" s="15" t="n">
        <f aca="false">IF(Takip!P342="",0,P341+1)</f>
        <v>0</v>
      </c>
      <c r="Q342" s="15" t="n">
        <f aca="false">IF(Takip!Q342="",0,Q341+1)</f>
        <v>0</v>
      </c>
    </row>
    <row r="343" customFormat="false" ht="15" hidden="false" customHeight="false" outlineLevel="0" collapsed="false">
      <c r="A343" s="14" t="n">
        <f aca="false">Takip!R343</f>
        <v>46360</v>
      </c>
      <c r="C343" s="15" t="n">
        <f aca="false">IF(Takip!C343="",0,C342+1)</f>
        <v>0</v>
      </c>
      <c r="D343" s="15" t="n">
        <f aca="false">IF(Takip!D343="",0,D342+1)</f>
        <v>0</v>
      </c>
      <c r="E343" s="15" t="n">
        <f aca="false">IF(Takip!E343="",0,E342+1)</f>
        <v>0</v>
      </c>
      <c r="F343" s="15" t="n">
        <f aca="false">IF(Takip!F343="",0,F342+1)</f>
        <v>0</v>
      </c>
      <c r="G343" s="15" t="n">
        <f aca="false">IF(Takip!G343="",0,G342+1)</f>
        <v>0</v>
      </c>
      <c r="H343" s="15" t="n">
        <f aca="false">IF(Takip!H343="",0,H342+1)</f>
        <v>0</v>
      </c>
      <c r="I343" s="15" t="n">
        <f aca="false">IF(Takip!I343="",0,I342+1)</f>
        <v>0</v>
      </c>
      <c r="J343" s="15" t="n">
        <f aca="false">IF(Takip!J343="",0,J342+1)</f>
        <v>0</v>
      </c>
      <c r="K343" s="15" t="n">
        <f aca="false">IF(Takip!K343="",0,K342+1)</f>
        <v>0</v>
      </c>
      <c r="L343" s="15" t="n">
        <f aca="false">IF(Takip!L343="",0,L342+1)</f>
        <v>0</v>
      </c>
      <c r="M343" s="15" t="n">
        <f aca="false">IF(Takip!M343="",0,M342+1)</f>
        <v>0</v>
      </c>
      <c r="N343" s="15" t="n">
        <f aca="false">IF(Takip!N343="",0,N342+1)</f>
        <v>0</v>
      </c>
      <c r="O343" s="15" t="n">
        <f aca="false">IF(Takip!O343="",0,O342+1)</f>
        <v>0</v>
      </c>
      <c r="P343" s="15" t="n">
        <f aca="false">IF(Takip!P343="",0,P342+1)</f>
        <v>0</v>
      </c>
      <c r="Q343" s="15" t="n">
        <f aca="false">IF(Takip!Q343="",0,Q342+1)</f>
        <v>0</v>
      </c>
    </row>
    <row r="344" customFormat="false" ht="15" hidden="false" customHeight="false" outlineLevel="0" collapsed="false">
      <c r="A344" s="14" t="n">
        <f aca="false">Takip!R344</f>
        <v>46361</v>
      </c>
      <c r="C344" s="15" t="n">
        <f aca="false">IF(Takip!C344="",0,C343+1)</f>
        <v>0</v>
      </c>
      <c r="D344" s="15" t="n">
        <f aca="false">IF(Takip!D344="",0,D343+1)</f>
        <v>0</v>
      </c>
      <c r="E344" s="15" t="n">
        <f aca="false">IF(Takip!E344="",0,E343+1)</f>
        <v>0</v>
      </c>
      <c r="F344" s="15" t="n">
        <f aca="false">IF(Takip!F344="",0,F343+1)</f>
        <v>0</v>
      </c>
      <c r="G344" s="15" t="n">
        <f aca="false">IF(Takip!G344="",0,G343+1)</f>
        <v>0</v>
      </c>
      <c r="H344" s="15" t="n">
        <f aca="false">IF(Takip!H344="",0,H343+1)</f>
        <v>0</v>
      </c>
      <c r="I344" s="15" t="n">
        <f aca="false">IF(Takip!I344="",0,I343+1)</f>
        <v>0</v>
      </c>
      <c r="J344" s="15" t="n">
        <f aca="false">IF(Takip!J344="",0,J343+1)</f>
        <v>0</v>
      </c>
      <c r="K344" s="15" t="n">
        <f aca="false">IF(Takip!K344="",0,K343+1)</f>
        <v>0</v>
      </c>
      <c r="L344" s="15" t="n">
        <f aca="false">IF(Takip!L344="",0,L343+1)</f>
        <v>0</v>
      </c>
      <c r="M344" s="15" t="n">
        <f aca="false">IF(Takip!M344="",0,M343+1)</f>
        <v>0</v>
      </c>
      <c r="N344" s="15" t="n">
        <f aca="false">IF(Takip!N344="",0,N343+1)</f>
        <v>0</v>
      </c>
      <c r="O344" s="15" t="n">
        <f aca="false">IF(Takip!O344="",0,O343+1)</f>
        <v>0</v>
      </c>
      <c r="P344" s="15" t="n">
        <f aca="false">IF(Takip!P344="",0,P343+1)</f>
        <v>0</v>
      </c>
      <c r="Q344" s="15" t="n">
        <f aca="false">IF(Takip!Q344="",0,Q343+1)</f>
        <v>0</v>
      </c>
    </row>
    <row r="345" customFormat="false" ht="15" hidden="false" customHeight="false" outlineLevel="0" collapsed="false">
      <c r="A345" s="14" t="n">
        <f aca="false">Takip!R345</f>
        <v>46362</v>
      </c>
      <c r="C345" s="15" t="n">
        <f aca="false">IF(Takip!C345="",0,C344+1)</f>
        <v>0</v>
      </c>
      <c r="D345" s="15" t="n">
        <f aca="false">IF(Takip!D345="",0,D344+1)</f>
        <v>0</v>
      </c>
      <c r="E345" s="15" t="n">
        <f aca="false">IF(Takip!E345="",0,E344+1)</f>
        <v>0</v>
      </c>
      <c r="F345" s="15" t="n">
        <f aca="false">IF(Takip!F345="",0,F344+1)</f>
        <v>0</v>
      </c>
      <c r="G345" s="15" t="n">
        <f aca="false">IF(Takip!G345="",0,G344+1)</f>
        <v>0</v>
      </c>
      <c r="H345" s="15" t="n">
        <f aca="false">IF(Takip!H345="",0,H344+1)</f>
        <v>0</v>
      </c>
      <c r="I345" s="15" t="n">
        <f aca="false">IF(Takip!I345="",0,I344+1)</f>
        <v>0</v>
      </c>
      <c r="J345" s="15" t="n">
        <f aca="false">IF(Takip!J345="",0,J344+1)</f>
        <v>0</v>
      </c>
      <c r="K345" s="15" t="n">
        <f aca="false">IF(Takip!K345="",0,K344+1)</f>
        <v>0</v>
      </c>
      <c r="L345" s="15" t="n">
        <f aca="false">IF(Takip!L345="",0,L344+1)</f>
        <v>0</v>
      </c>
      <c r="M345" s="15" t="n">
        <f aca="false">IF(Takip!M345="",0,M344+1)</f>
        <v>0</v>
      </c>
      <c r="N345" s="15" t="n">
        <f aca="false">IF(Takip!N345="",0,N344+1)</f>
        <v>0</v>
      </c>
      <c r="O345" s="15" t="n">
        <f aca="false">IF(Takip!O345="",0,O344+1)</f>
        <v>0</v>
      </c>
      <c r="P345" s="15" t="n">
        <f aca="false">IF(Takip!P345="",0,P344+1)</f>
        <v>0</v>
      </c>
      <c r="Q345" s="15" t="n">
        <f aca="false">IF(Takip!Q345="",0,Q344+1)</f>
        <v>0</v>
      </c>
    </row>
    <row r="346" customFormat="false" ht="15" hidden="false" customHeight="false" outlineLevel="0" collapsed="false">
      <c r="A346" s="14" t="n">
        <f aca="false">Takip!R346</f>
        <v>46363</v>
      </c>
      <c r="C346" s="15" t="n">
        <f aca="false">IF(Takip!C346="",0,C345+1)</f>
        <v>0</v>
      </c>
      <c r="D346" s="15" t="n">
        <f aca="false">IF(Takip!D346="",0,D345+1)</f>
        <v>0</v>
      </c>
      <c r="E346" s="15" t="n">
        <f aca="false">IF(Takip!E346="",0,E345+1)</f>
        <v>0</v>
      </c>
      <c r="F346" s="15" t="n">
        <f aca="false">IF(Takip!F346="",0,F345+1)</f>
        <v>0</v>
      </c>
      <c r="G346" s="15" t="n">
        <f aca="false">IF(Takip!G346="",0,G345+1)</f>
        <v>0</v>
      </c>
      <c r="H346" s="15" t="n">
        <f aca="false">IF(Takip!H346="",0,H345+1)</f>
        <v>0</v>
      </c>
      <c r="I346" s="15" t="n">
        <f aca="false">IF(Takip!I346="",0,I345+1)</f>
        <v>0</v>
      </c>
      <c r="J346" s="15" t="n">
        <f aca="false">IF(Takip!J346="",0,J345+1)</f>
        <v>0</v>
      </c>
      <c r="K346" s="15" t="n">
        <f aca="false">IF(Takip!K346="",0,K345+1)</f>
        <v>0</v>
      </c>
      <c r="L346" s="15" t="n">
        <f aca="false">IF(Takip!L346="",0,L345+1)</f>
        <v>0</v>
      </c>
      <c r="M346" s="15" t="n">
        <f aca="false">IF(Takip!M346="",0,M345+1)</f>
        <v>0</v>
      </c>
      <c r="N346" s="15" t="n">
        <f aca="false">IF(Takip!N346="",0,N345+1)</f>
        <v>0</v>
      </c>
      <c r="O346" s="15" t="n">
        <f aca="false">IF(Takip!O346="",0,O345+1)</f>
        <v>0</v>
      </c>
      <c r="P346" s="15" t="n">
        <f aca="false">IF(Takip!P346="",0,P345+1)</f>
        <v>0</v>
      </c>
      <c r="Q346" s="15" t="n">
        <f aca="false">IF(Takip!Q346="",0,Q345+1)</f>
        <v>0</v>
      </c>
    </row>
    <row r="347" customFormat="false" ht="15" hidden="false" customHeight="false" outlineLevel="0" collapsed="false">
      <c r="A347" s="14" t="n">
        <f aca="false">Takip!R347</f>
        <v>46364</v>
      </c>
      <c r="C347" s="15" t="n">
        <f aca="false">IF(Takip!C347="",0,C346+1)</f>
        <v>0</v>
      </c>
      <c r="D347" s="15" t="n">
        <f aca="false">IF(Takip!D347="",0,D346+1)</f>
        <v>0</v>
      </c>
      <c r="E347" s="15" t="n">
        <f aca="false">IF(Takip!E347="",0,E346+1)</f>
        <v>0</v>
      </c>
      <c r="F347" s="15" t="n">
        <f aca="false">IF(Takip!F347="",0,F346+1)</f>
        <v>0</v>
      </c>
      <c r="G347" s="15" t="n">
        <f aca="false">IF(Takip!G347="",0,G346+1)</f>
        <v>0</v>
      </c>
      <c r="H347" s="15" t="n">
        <f aca="false">IF(Takip!H347="",0,H346+1)</f>
        <v>0</v>
      </c>
      <c r="I347" s="15" t="n">
        <f aca="false">IF(Takip!I347="",0,I346+1)</f>
        <v>0</v>
      </c>
      <c r="J347" s="15" t="n">
        <f aca="false">IF(Takip!J347="",0,J346+1)</f>
        <v>0</v>
      </c>
      <c r="K347" s="15" t="n">
        <f aca="false">IF(Takip!K347="",0,K346+1)</f>
        <v>0</v>
      </c>
      <c r="L347" s="15" t="n">
        <f aca="false">IF(Takip!L347="",0,L346+1)</f>
        <v>0</v>
      </c>
      <c r="M347" s="15" t="n">
        <f aca="false">IF(Takip!M347="",0,M346+1)</f>
        <v>0</v>
      </c>
      <c r="N347" s="15" t="n">
        <f aca="false">IF(Takip!N347="",0,N346+1)</f>
        <v>0</v>
      </c>
      <c r="O347" s="15" t="n">
        <f aca="false">IF(Takip!O347="",0,O346+1)</f>
        <v>0</v>
      </c>
      <c r="P347" s="15" t="n">
        <f aca="false">IF(Takip!P347="",0,P346+1)</f>
        <v>0</v>
      </c>
      <c r="Q347" s="15" t="n">
        <f aca="false">IF(Takip!Q347="",0,Q346+1)</f>
        <v>0</v>
      </c>
    </row>
    <row r="348" customFormat="false" ht="15" hidden="false" customHeight="false" outlineLevel="0" collapsed="false">
      <c r="A348" s="14" t="n">
        <f aca="false">Takip!R348</f>
        <v>46365</v>
      </c>
      <c r="C348" s="15" t="n">
        <f aca="false">IF(Takip!C348="",0,C347+1)</f>
        <v>0</v>
      </c>
      <c r="D348" s="15" t="n">
        <f aca="false">IF(Takip!D348="",0,D347+1)</f>
        <v>0</v>
      </c>
      <c r="E348" s="15" t="n">
        <f aca="false">IF(Takip!E348="",0,E347+1)</f>
        <v>0</v>
      </c>
      <c r="F348" s="15" t="n">
        <f aca="false">IF(Takip!F348="",0,F347+1)</f>
        <v>0</v>
      </c>
      <c r="G348" s="15" t="n">
        <f aca="false">IF(Takip!G348="",0,G347+1)</f>
        <v>0</v>
      </c>
      <c r="H348" s="15" t="n">
        <f aca="false">IF(Takip!H348="",0,H347+1)</f>
        <v>0</v>
      </c>
      <c r="I348" s="15" t="n">
        <f aca="false">IF(Takip!I348="",0,I347+1)</f>
        <v>0</v>
      </c>
      <c r="J348" s="15" t="n">
        <f aca="false">IF(Takip!J348="",0,J347+1)</f>
        <v>0</v>
      </c>
      <c r="K348" s="15" t="n">
        <f aca="false">IF(Takip!K348="",0,K347+1)</f>
        <v>0</v>
      </c>
      <c r="L348" s="15" t="n">
        <f aca="false">IF(Takip!L348="",0,L347+1)</f>
        <v>0</v>
      </c>
      <c r="M348" s="15" t="n">
        <f aca="false">IF(Takip!M348="",0,M347+1)</f>
        <v>0</v>
      </c>
      <c r="N348" s="15" t="n">
        <f aca="false">IF(Takip!N348="",0,N347+1)</f>
        <v>0</v>
      </c>
      <c r="O348" s="15" t="n">
        <f aca="false">IF(Takip!O348="",0,O347+1)</f>
        <v>0</v>
      </c>
      <c r="P348" s="15" t="n">
        <f aca="false">IF(Takip!P348="",0,P347+1)</f>
        <v>0</v>
      </c>
      <c r="Q348" s="15" t="n">
        <f aca="false">IF(Takip!Q348="",0,Q347+1)</f>
        <v>0</v>
      </c>
    </row>
    <row r="349" customFormat="false" ht="15" hidden="false" customHeight="false" outlineLevel="0" collapsed="false">
      <c r="A349" s="14" t="n">
        <f aca="false">Takip!R349</f>
        <v>46366</v>
      </c>
      <c r="C349" s="15" t="n">
        <f aca="false">IF(Takip!C349="",0,C348+1)</f>
        <v>0</v>
      </c>
      <c r="D349" s="15" t="n">
        <f aca="false">IF(Takip!D349="",0,D348+1)</f>
        <v>0</v>
      </c>
      <c r="E349" s="15" t="n">
        <f aca="false">IF(Takip!E349="",0,E348+1)</f>
        <v>0</v>
      </c>
      <c r="F349" s="15" t="n">
        <f aca="false">IF(Takip!F349="",0,F348+1)</f>
        <v>0</v>
      </c>
      <c r="G349" s="15" t="n">
        <f aca="false">IF(Takip!G349="",0,G348+1)</f>
        <v>0</v>
      </c>
      <c r="H349" s="15" t="n">
        <f aca="false">IF(Takip!H349="",0,H348+1)</f>
        <v>0</v>
      </c>
      <c r="I349" s="15" t="n">
        <f aca="false">IF(Takip!I349="",0,I348+1)</f>
        <v>0</v>
      </c>
      <c r="J349" s="15" t="n">
        <f aca="false">IF(Takip!J349="",0,J348+1)</f>
        <v>0</v>
      </c>
      <c r="K349" s="15" t="n">
        <f aca="false">IF(Takip!K349="",0,K348+1)</f>
        <v>0</v>
      </c>
      <c r="L349" s="15" t="n">
        <f aca="false">IF(Takip!L349="",0,L348+1)</f>
        <v>0</v>
      </c>
      <c r="M349" s="15" t="n">
        <f aca="false">IF(Takip!M349="",0,M348+1)</f>
        <v>0</v>
      </c>
      <c r="N349" s="15" t="n">
        <f aca="false">IF(Takip!N349="",0,N348+1)</f>
        <v>0</v>
      </c>
      <c r="O349" s="15" t="n">
        <f aca="false">IF(Takip!O349="",0,O348+1)</f>
        <v>0</v>
      </c>
      <c r="P349" s="15" t="n">
        <f aca="false">IF(Takip!P349="",0,P348+1)</f>
        <v>0</v>
      </c>
      <c r="Q349" s="15" t="n">
        <f aca="false">IF(Takip!Q349="",0,Q348+1)</f>
        <v>0</v>
      </c>
    </row>
    <row r="350" customFormat="false" ht="15" hidden="false" customHeight="false" outlineLevel="0" collapsed="false">
      <c r="A350" s="14" t="n">
        <f aca="false">Takip!R350</f>
        <v>46367</v>
      </c>
      <c r="C350" s="15" t="n">
        <f aca="false">IF(Takip!C350="",0,C349+1)</f>
        <v>0</v>
      </c>
      <c r="D350" s="15" t="n">
        <f aca="false">IF(Takip!D350="",0,D349+1)</f>
        <v>0</v>
      </c>
      <c r="E350" s="15" t="n">
        <f aca="false">IF(Takip!E350="",0,E349+1)</f>
        <v>0</v>
      </c>
      <c r="F350" s="15" t="n">
        <f aca="false">IF(Takip!F350="",0,F349+1)</f>
        <v>0</v>
      </c>
      <c r="G350" s="15" t="n">
        <f aca="false">IF(Takip!G350="",0,G349+1)</f>
        <v>0</v>
      </c>
      <c r="H350" s="15" t="n">
        <f aca="false">IF(Takip!H350="",0,H349+1)</f>
        <v>0</v>
      </c>
      <c r="I350" s="15" t="n">
        <f aca="false">IF(Takip!I350="",0,I349+1)</f>
        <v>0</v>
      </c>
      <c r="J350" s="15" t="n">
        <f aca="false">IF(Takip!J350="",0,J349+1)</f>
        <v>0</v>
      </c>
      <c r="K350" s="15" t="n">
        <f aca="false">IF(Takip!K350="",0,K349+1)</f>
        <v>0</v>
      </c>
      <c r="L350" s="15" t="n">
        <f aca="false">IF(Takip!L350="",0,L349+1)</f>
        <v>0</v>
      </c>
      <c r="M350" s="15" t="n">
        <f aca="false">IF(Takip!M350="",0,M349+1)</f>
        <v>0</v>
      </c>
      <c r="N350" s="15" t="n">
        <f aca="false">IF(Takip!N350="",0,N349+1)</f>
        <v>0</v>
      </c>
      <c r="O350" s="15" t="n">
        <f aca="false">IF(Takip!O350="",0,O349+1)</f>
        <v>0</v>
      </c>
      <c r="P350" s="15" t="n">
        <f aca="false">IF(Takip!P350="",0,P349+1)</f>
        <v>0</v>
      </c>
      <c r="Q350" s="15" t="n">
        <f aca="false">IF(Takip!Q350="",0,Q349+1)</f>
        <v>0</v>
      </c>
    </row>
    <row r="351" customFormat="false" ht="15" hidden="false" customHeight="false" outlineLevel="0" collapsed="false">
      <c r="A351" s="14" t="n">
        <f aca="false">Takip!R351</f>
        <v>46368</v>
      </c>
      <c r="C351" s="15" t="n">
        <f aca="false">IF(Takip!C351="",0,C350+1)</f>
        <v>0</v>
      </c>
      <c r="D351" s="15" t="n">
        <f aca="false">IF(Takip!D351="",0,D350+1)</f>
        <v>0</v>
      </c>
      <c r="E351" s="15" t="n">
        <f aca="false">IF(Takip!E351="",0,E350+1)</f>
        <v>0</v>
      </c>
      <c r="F351" s="15" t="n">
        <f aca="false">IF(Takip!F351="",0,F350+1)</f>
        <v>0</v>
      </c>
      <c r="G351" s="15" t="n">
        <f aca="false">IF(Takip!G351="",0,G350+1)</f>
        <v>0</v>
      </c>
      <c r="H351" s="15" t="n">
        <f aca="false">IF(Takip!H351="",0,H350+1)</f>
        <v>0</v>
      </c>
      <c r="I351" s="15" t="n">
        <f aca="false">IF(Takip!I351="",0,I350+1)</f>
        <v>0</v>
      </c>
      <c r="J351" s="15" t="n">
        <f aca="false">IF(Takip!J351="",0,J350+1)</f>
        <v>0</v>
      </c>
      <c r="K351" s="15" t="n">
        <f aca="false">IF(Takip!K351="",0,K350+1)</f>
        <v>0</v>
      </c>
      <c r="L351" s="15" t="n">
        <f aca="false">IF(Takip!L351="",0,L350+1)</f>
        <v>0</v>
      </c>
      <c r="M351" s="15" t="n">
        <f aca="false">IF(Takip!M351="",0,M350+1)</f>
        <v>0</v>
      </c>
      <c r="N351" s="15" t="n">
        <f aca="false">IF(Takip!N351="",0,N350+1)</f>
        <v>0</v>
      </c>
      <c r="O351" s="15" t="n">
        <f aca="false">IF(Takip!O351="",0,O350+1)</f>
        <v>0</v>
      </c>
      <c r="P351" s="15" t="n">
        <f aca="false">IF(Takip!P351="",0,P350+1)</f>
        <v>0</v>
      </c>
      <c r="Q351" s="15" t="n">
        <f aca="false">IF(Takip!Q351="",0,Q350+1)</f>
        <v>0</v>
      </c>
    </row>
    <row r="352" customFormat="false" ht="15" hidden="false" customHeight="false" outlineLevel="0" collapsed="false">
      <c r="A352" s="14" t="n">
        <f aca="false">Takip!R352</f>
        <v>46369</v>
      </c>
      <c r="C352" s="15" t="n">
        <f aca="false">IF(Takip!C352="",0,C351+1)</f>
        <v>0</v>
      </c>
      <c r="D352" s="15" t="n">
        <f aca="false">IF(Takip!D352="",0,D351+1)</f>
        <v>0</v>
      </c>
      <c r="E352" s="15" t="n">
        <f aca="false">IF(Takip!E352="",0,E351+1)</f>
        <v>0</v>
      </c>
      <c r="F352" s="15" t="n">
        <f aca="false">IF(Takip!F352="",0,F351+1)</f>
        <v>0</v>
      </c>
      <c r="G352" s="15" t="n">
        <f aca="false">IF(Takip!G352="",0,G351+1)</f>
        <v>0</v>
      </c>
      <c r="H352" s="15" t="n">
        <f aca="false">IF(Takip!H352="",0,H351+1)</f>
        <v>0</v>
      </c>
      <c r="I352" s="15" t="n">
        <f aca="false">IF(Takip!I352="",0,I351+1)</f>
        <v>0</v>
      </c>
      <c r="J352" s="15" t="n">
        <f aca="false">IF(Takip!J352="",0,J351+1)</f>
        <v>0</v>
      </c>
      <c r="K352" s="15" t="n">
        <f aca="false">IF(Takip!K352="",0,K351+1)</f>
        <v>0</v>
      </c>
      <c r="L352" s="15" t="n">
        <f aca="false">IF(Takip!L352="",0,L351+1)</f>
        <v>0</v>
      </c>
      <c r="M352" s="15" t="n">
        <f aca="false">IF(Takip!M352="",0,M351+1)</f>
        <v>0</v>
      </c>
      <c r="N352" s="15" t="n">
        <f aca="false">IF(Takip!N352="",0,N351+1)</f>
        <v>0</v>
      </c>
      <c r="O352" s="15" t="n">
        <f aca="false">IF(Takip!O352="",0,O351+1)</f>
        <v>0</v>
      </c>
      <c r="P352" s="15" t="n">
        <f aca="false">IF(Takip!P352="",0,P351+1)</f>
        <v>0</v>
      </c>
      <c r="Q352" s="15" t="n">
        <f aca="false">IF(Takip!Q352="",0,Q351+1)</f>
        <v>0</v>
      </c>
    </row>
    <row r="353" customFormat="false" ht="15" hidden="false" customHeight="false" outlineLevel="0" collapsed="false">
      <c r="A353" s="14" t="n">
        <f aca="false">Takip!R353</f>
        <v>46370</v>
      </c>
      <c r="C353" s="15" t="n">
        <f aca="false">IF(Takip!C353="",0,C352+1)</f>
        <v>0</v>
      </c>
      <c r="D353" s="15" t="n">
        <f aca="false">IF(Takip!D353="",0,D352+1)</f>
        <v>0</v>
      </c>
      <c r="E353" s="15" t="n">
        <f aca="false">IF(Takip!E353="",0,E352+1)</f>
        <v>0</v>
      </c>
      <c r="F353" s="15" t="n">
        <f aca="false">IF(Takip!F353="",0,F352+1)</f>
        <v>0</v>
      </c>
      <c r="G353" s="15" t="n">
        <f aca="false">IF(Takip!G353="",0,G352+1)</f>
        <v>0</v>
      </c>
      <c r="H353" s="15" t="n">
        <f aca="false">IF(Takip!H353="",0,H352+1)</f>
        <v>0</v>
      </c>
      <c r="I353" s="15" t="n">
        <f aca="false">IF(Takip!I353="",0,I352+1)</f>
        <v>0</v>
      </c>
      <c r="J353" s="15" t="n">
        <f aca="false">IF(Takip!J353="",0,J352+1)</f>
        <v>0</v>
      </c>
      <c r="K353" s="15" t="n">
        <f aca="false">IF(Takip!K353="",0,K352+1)</f>
        <v>0</v>
      </c>
      <c r="L353" s="15" t="n">
        <f aca="false">IF(Takip!L353="",0,L352+1)</f>
        <v>0</v>
      </c>
      <c r="M353" s="15" t="n">
        <f aca="false">IF(Takip!M353="",0,M352+1)</f>
        <v>0</v>
      </c>
      <c r="N353" s="15" t="n">
        <f aca="false">IF(Takip!N353="",0,N352+1)</f>
        <v>0</v>
      </c>
      <c r="O353" s="15" t="n">
        <f aca="false">IF(Takip!O353="",0,O352+1)</f>
        <v>0</v>
      </c>
      <c r="P353" s="15" t="n">
        <f aca="false">IF(Takip!P353="",0,P352+1)</f>
        <v>0</v>
      </c>
      <c r="Q353" s="15" t="n">
        <f aca="false">IF(Takip!Q353="",0,Q352+1)</f>
        <v>0</v>
      </c>
    </row>
    <row r="354" customFormat="false" ht="15" hidden="false" customHeight="false" outlineLevel="0" collapsed="false">
      <c r="A354" s="14" t="n">
        <f aca="false">Takip!R354</f>
        <v>46371</v>
      </c>
      <c r="C354" s="15" t="n">
        <f aca="false">IF(Takip!C354="",0,C353+1)</f>
        <v>0</v>
      </c>
      <c r="D354" s="15" t="n">
        <f aca="false">IF(Takip!D354="",0,D353+1)</f>
        <v>0</v>
      </c>
      <c r="E354" s="15" t="n">
        <f aca="false">IF(Takip!E354="",0,E353+1)</f>
        <v>0</v>
      </c>
      <c r="F354" s="15" t="n">
        <f aca="false">IF(Takip!F354="",0,F353+1)</f>
        <v>0</v>
      </c>
      <c r="G354" s="15" t="n">
        <f aca="false">IF(Takip!G354="",0,G353+1)</f>
        <v>0</v>
      </c>
      <c r="H354" s="15" t="n">
        <f aca="false">IF(Takip!H354="",0,H353+1)</f>
        <v>0</v>
      </c>
      <c r="I354" s="15" t="n">
        <f aca="false">IF(Takip!I354="",0,I353+1)</f>
        <v>0</v>
      </c>
      <c r="J354" s="15" t="n">
        <f aca="false">IF(Takip!J354="",0,J353+1)</f>
        <v>0</v>
      </c>
      <c r="K354" s="15" t="n">
        <f aca="false">IF(Takip!K354="",0,K353+1)</f>
        <v>0</v>
      </c>
      <c r="L354" s="15" t="n">
        <f aca="false">IF(Takip!L354="",0,L353+1)</f>
        <v>0</v>
      </c>
      <c r="M354" s="15" t="n">
        <f aca="false">IF(Takip!M354="",0,M353+1)</f>
        <v>0</v>
      </c>
      <c r="N354" s="15" t="n">
        <f aca="false">IF(Takip!N354="",0,N353+1)</f>
        <v>0</v>
      </c>
      <c r="O354" s="15" t="n">
        <f aca="false">IF(Takip!O354="",0,O353+1)</f>
        <v>0</v>
      </c>
      <c r="P354" s="15" t="n">
        <f aca="false">IF(Takip!P354="",0,P353+1)</f>
        <v>0</v>
      </c>
      <c r="Q354" s="15" t="n">
        <f aca="false">IF(Takip!Q354="",0,Q353+1)</f>
        <v>0</v>
      </c>
    </row>
    <row r="355" customFormat="false" ht="15" hidden="false" customHeight="false" outlineLevel="0" collapsed="false">
      <c r="A355" s="14" t="n">
        <f aca="false">Takip!R355</f>
        <v>46372</v>
      </c>
      <c r="C355" s="15" t="n">
        <f aca="false">IF(Takip!C355="",0,C354+1)</f>
        <v>0</v>
      </c>
      <c r="D355" s="15" t="n">
        <f aca="false">IF(Takip!D355="",0,D354+1)</f>
        <v>0</v>
      </c>
      <c r="E355" s="15" t="n">
        <f aca="false">IF(Takip!E355="",0,E354+1)</f>
        <v>0</v>
      </c>
      <c r="F355" s="15" t="n">
        <f aca="false">IF(Takip!F355="",0,F354+1)</f>
        <v>0</v>
      </c>
      <c r="G355" s="15" t="n">
        <f aca="false">IF(Takip!G355="",0,G354+1)</f>
        <v>0</v>
      </c>
      <c r="H355" s="15" t="n">
        <f aca="false">IF(Takip!H355="",0,H354+1)</f>
        <v>0</v>
      </c>
      <c r="I355" s="15" t="n">
        <f aca="false">IF(Takip!I355="",0,I354+1)</f>
        <v>0</v>
      </c>
      <c r="J355" s="15" t="n">
        <f aca="false">IF(Takip!J355="",0,J354+1)</f>
        <v>0</v>
      </c>
      <c r="K355" s="15" t="n">
        <f aca="false">IF(Takip!K355="",0,K354+1)</f>
        <v>0</v>
      </c>
      <c r="L355" s="15" t="n">
        <f aca="false">IF(Takip!L355="",0,L354+1)</f>
        <v>0</v>
      </c>
      <c r="M355" s="15" t="n">
        <f aca="false">IF(Takip!M355="",0,M354+1)</f>
        <v>0</v>
      </c>
      <c r="N355" s="15" t="n">
        <f aca="false">IF(Takip!N355="",0,N354+1)</f>
        <v>0</v>
      </c>
      <c r="O355" s="15" t="n">
        <f aca="false">IF(Takip!O355="",0,O354+1)</f>
        <v>0</v>
      </c>
      <c r="P355" s="15" t="n">
        <f aca="false">IF(Takip!P355="",0,P354+1)</f>
        <v>0</v>
      </c>
      <c r="Q355" s="15" t="n">
        <f aca="false">IF(Takip!Q355="",0,Q354+1)</f>
        <v>0</v>
      </c>
    </row>
    <row r="356" customFormat="false" ht="15" hidden="false" customHeight="false" outlineLevel="0" collapsed="false">
      <c r="A356" s="14" t="n">
        <f aca="false">Takip!R356</f>
        <v>46373</v>
      </c>
      <c r="C356" s="15" t="n">
        <f aca="false">IF(Takip!C356="",0,C355+1)</f>
        <v>0</v>
      </c>
      <c r="D356" s="15" t="n">
        <f aca="false">IF(Takip!D356="",0,D355+1)</f>
        <v>0</v>
      </c>
      <c r="E356" s="15" t="n">
        <f aca="false">IF(Takip!E356="",0,E355+1)</f>
        <v>0</v>
      </c>
      <c r="F356" s="15" t="n">
        <f aca="false">IF(Takip!F356="",0,F355+1)</f>
        <v>0</v>
      </c>
      <c r="G356" s="15" t="n">
        <f aca="false">IF(Takip!G356="",0,G355+1)</f>
        <v>0</v>
      </c>
      <c r="H356" s="15" t="n">
        <f aca="false">IF(Takip!H356="",0,H355+1)</f>
        <v>0</v>
      </c>
      <c r="I356" s="15" t="n">
        <f aca="false">IF(Takip!I356="",0,I355+1)</f>
        <v>0</v>
      </c>
      <c r="J356" s="15" t="n">
        <f aca="false">IF(Takip!J356="",0,J355+1)</f>
        <v>0</v>
      </c>
      <c r="K356" s="15" t="n">
        <f aca="false">IF(Takip!K356="",0,K355+1)</f>
        <v>0</v>
      </c>
      <c r="L356" s="15" t="n">
        <f aca="false">IF(Takip!L356="",0,L355+1)</f>
        <v>0</v>
      </c>
      <c r="M356" s="15" t="n">
        <f aca="false">IF(Takip!M356="",0,M355+1)</f>
        <v>0</v>
      </c>
      <c r="N356" s="15" t="n">
        <f aca="false">IF(Takip!N356="",0,N355+1)</f>
        <v>0</v>
      </c>
      <c r="O356" s="15" t="n">
        <f aca="false">IF(Takip!O356="",0,O355+1)</f>
        <v>0</v>
      </c>
      <c r="P356" s="15" t="n">
        <f aca="false">IF(Takip!P356="",0,P355+1)</f>
        <v>0</v>
      </c>
      <c r="Q356" s="15" t="n">
        <f aca="false">IF(Takip!Q356="",0,Q355+1)</f>
        <v>0</v>
      </c>
    </row>
    <row r="357" customFormat="false" ht="15" hidden="false" customHeight="false" outlineLevel="0" collapsed="false">
      <c r="A357" s="14" t="n">
        <f aca="false">Takip!R357</f>
        <v>46374</v>
      </c>
      <c r="C357" s="15" t="n">
        <f aca="false">IF(Takip!C357="",0,C356+1)</f>
        <v>0</v>
      </c>
      <c r="D357" s="15" t="n">
        <f aca="false">IF(Takip!D357="",0,D356+1)</f>
        <v>0</v>
      </c>
      <c r="E357" s="15" t="n">
        <f aca="false">IF(Takip!E357="",0,E356+1)</f>
        <v>0</v>
      </c>
      <c r="F357" s="15" t="n">
        <f aca="false">IF(Takip!F357="",0,F356+1)</f>
        <v>0</v>
      </c>
      <c r="G357" s="15" t="n">
        <f aca="false">IF(Takip!G357="",0,G356+1)</f>
        <v>0</v>
      </c>
      <c r="H357" s="15" t="n">
        <f aca="false">IF(Takip!H357="",0,H356+1)</f>
        <v>0</v>
      </c>
      <c r="I357" s="15" t="n">
        <f aca="false">IF(Takip!I357="",0,I356+1)</f>
        <v>0</v>
      </c>
      <c r="J357" s="15" t="n">
        <f aca="false">IF(Takip!J357="",0,J356+1)</f>
        <v>0</v>
      </c>
      <c r="K357" s="15" t="n">
        <f aca="false">IF(Takip!K357="",0,K356+1)</f>
        <v>0</v>
      </c>
      <c r="L357" s="15" t="n">
        <f aca="false">IF(Takip!L357="",0,L356+1)</f>
        <v>0</v>
      </c>
      <c r="M357" s="15" t="n">
        <f aca="false">IF(Takip!M357="",0,M356+1)</f>
        <v>0</v>
      </c>
      <c r="N357" s="15" t="n">
        <f aca="false">IF(Takip!N357="",0,N356+1)</f>
        <v>0</v>
      </c>
      <c r="O357" s="15" t="n">
        <f aca="false">IF(Takip!O357="",0,O356+1)</f>
        <v>0</v>
      </c>
      <c r="P357" s="15" t="n">
        <f aca="false">IF(Takip!P357="",0,P356+1)</f>
        <v>0</v>
      </c>
      <c r="Q357" s="15" t="n">
        <f aca="false">IF(Takip!Q357="",0,Q356+1)</f>
        <v>0</v>
      </c>
    </row>
    <row r="358" customFormat="false" ht="15" hidden="false" customHeight="false" outlineLevel="0" collapsed="false">
      <c r="A358" s="14" t="n">
        <f aca="false">Takip!R358</f>
        <v>46375</v>
      </c>
      <c r="C358" s="15" t="n">
        <f aca="false">IF(Takip!C358="",0,C357+1)</f>
        <v>0</v>
      </c>
      <c r="D358" s="15" t="n">
        <f aca="false">IF(Takip!D358="",0,D357+1)</f>
        <v>0</v>
      </c>
      <c r="E358" s="15" t="n">
        <f aca="false">IF(Takip!E358="",0,E357+1)</f>
        <v>0</v>
      </c>
      <c r="F358" s="15" t="n">
        <f aca="false">IF(Takip!F358="",0,F357+1)</f>
        <v>0</v>
      </c>
      <c r="G358" s="15" t="n">
        <f aca="false">IF(Takip!G358="",0,G357+1)</f>
        <v>0</v>
      </c>
      <c r="H358" s="15" t="n">
        <f aca="false">IF(Takip!H358="",0,H357+1)</f>
        <v>0</v>
      </c>
      <c r="I358" s="15" t="n">
        <f aca="false">IF(Takip!I358="",0,I357+1)</f>
        <v>0</v>
      </c>
      <c r="J358" s="15" t="n">
        <f aca="false">IF(Takip!J358="",0,J357+1)</f>
        <v>0</v>
      </c>
      <c r="K358" s="15" t="n">
        <f aca="false">IF(Takip!K358="",0,K357+1)</f>
        <v>0</v>
      </c>
      <c r="L358" s="15" t="n">
        <f aca="false">IF(Takip!L358="",0,L357+1)</f>
        <v>0</v>
      </c>
      <c r="M358" s="15" t="n">
        <f aca="false">IF(Takip!M358="",0,M357+1)</f>
        <v>0</v>
      </c>
      <c r="N358" s="15" t="n">
        <f aca="false">IF(Takip!N358="",0,N357+1)</f>
        <v>0</v>
      </c>
      <c r="O358" s="15" t="n">
        <f aca="false">IF(Takip!O358="",0,O357+1)</f>
        <v>0</v>
      </c>
      <c r="P358" s="15" t="n">
        <f aca="false">IF(Takip!P358="",0,P357+1)</f>
        <v>0</v>
      </c>
      <c r="Q358" s="15" t="n">
        <f aca="false">IF(Takip!Q358="",0,Q357+1)</f>
        <v>0</v>
      </c>
    </row>
    <row r="359" customFormat="false" ht="15" hidden="false" customHeight="false" outlineLevel="0" collapsed="false">
      <c r="A359" s="14" t="n">
        <f aca="false">Takip!R359</f>
        <v>46376</v>
      </c>
      <c r="C359" s="15" t="n">
        <f aca="false">IF(Takip!C359="",0,C358+1)</f>
        <v>0</v>
      </c>
      <c r="D359" s="15" t="n">
        <f aca="false">IF(Takip!D359="",0,D358+1)</f>
        <v>0</v>
      </c>
      <c r="E359" s="15" t="n">
        <f aca="false">IF(Takip!E359="",0,E358+1)</f>
        <v>0</v>
      </c>
      <c r="F359" s="15" t="n">
        <f aca="false">IF(Takip!F359="",0,F358+1)</f>
        <v>0</v>
      </c>
      <c r="G359" s="15" t="n">
        <f aca="false">IF(Takip!G359="",0,G358+1)</f>
        <v>0</v>
      </c>
      <c r="H359" s="15" t="n">
        <f aca="false">IF(Takip!H359="",0,H358+1)</f>
        <v>0</v>
      </c>
      <c r="I359" s="15" t="n">
        <f aca="false">IF(Takip!I359="",0,I358+1)</f>
        <v>0</v>
      </c>
      <c r="J359" s="15" t="n">
        <f aca="false">IF(Takip!J359="",0,J358+1)</f>
        <v>0</v>
      </c>
      <c r="K359" s="15" t="n">
        <f aca="false">IF(Takip!K359="",0,K358+1)</f>
        <v>0</v>
      </c>
      <c r="L359" s="15" t="n">
        <f aca="false">IF(Takip!L359="",0,L358+1)</f>
        <v>0</v>
      </c>
      <c r="M359" s="15" t="n">
        <f aca="false">IF(Takip!M359="",0,M358+1)</f>
        <v>0</v>
      </c>
      <c r="N359" s="15" t="n">
        <f aca="false">IF(Takip!N359="",0,N358+1)</f>
        <v>0</v>
      </c>
      <c r="O359" s="15" t="n">
        <f aca="false">IF(Takip!O359="",0,O358+1)</f>
        <v>0</v>
      </c>
      <c r="P359" s="15" t="n">
        <f aca="false">IF(Takip!P359="",0,P358+1)</f>
        <v>0</v>
      </c>
      <c r="Q359" s="15" t="n">
        <f aca="false">IF(Takip!Q359="",0,Q358+1)</f>
        <v>0</v>
      </c>
    </row>
    <row r="360" customFormat="false" ht="15" hidden="false" customHeight="false" outlineLevel="0" collapsed="false">
      <c r="A360" s="14" t="n">
        <f aca="false">Takip!R360</f>
        <v>46377</v>
      </c>
      <c r="C360" s="15" t="n">
        <f aca="false">IF(Takip!C360="",0,C359+1)</f>
        <v>0</v>
      </c>
      <c r="D360" s="15" t="n">
        <f aca="false">IF(Takip!D360="",0,D359+1)</f>
        <v>0</v>
      </c>
      <c r="E360" s="15" t="n">
        <f aca="false">IF(Takip!E360="",0,E359+1)</f>
        <v>0</v>
      </c>
      <c r="F360" s="15" t="n">
        <f aca="false">IF(Takip!F360="",0,F359+1)</f>
        <v>0</v>
      </c>
      <c r="G360" s="15" t="n">
        <f aca="false">IF(Takip!G360="",0,G359+1)</f>
        <v>0</v>
      </c>
      <c r="H360" s="15" t="n">
        <f aca="false">IF(Takip!H360="",0,H359+1)</f>
        <v>0</v>
      </c>
      <c r="I360" s="15" t="n">
        <f aca="false">IF(Takip!I360="",0,I359+1)</f>
        <v>0</v>
      </c>
      <c r="J360" s="15" t="n">
        <f aca="false">IF(Takip!J360="",0,J359+1)</f>
        <v>0</v>
      </c>
      <c r="K360" s="15" t="n">
        <f aca="false">IF(Takip!K360="",0,K359+1)</f>
        <v>0</v>
      </c>
      <c r="L360" s="15" t="n">
        <f aca="false">IF(Takip!L360="",0,L359+1)</f>
        <v>0</v>
      </c>
      <c r="M360" s="15" t="n">
        <f aca="false">IF(Takip!M360="",0,M359+1)</f>
        <v>0</v>
      </c>
      <c r="N360" s="15" t="n">
        <f aca="false">IF(Takip!N360="",0,N359+1)</f>
        <v>0</v>
      </c>
      <c r="O360" s="15" t="n">
        <f aca="false">IF(Takip!O360="",0,O359+1)</f>
        <v>0</v>
      </c>
      <c r="P360" s="15" t="n">
        <f aca="false">IF(Takip!P360="",0,P359+1)</f>
        <v>0</v>
      </c>
      <c r="Q360" s="15" t="n">
        <f aca="false">IF(Takip!Q360="",0,Q359+1)</f>
        <v>0</v>
      </c>
    </row>
    <row r="361" customFormat="false" ht="15" hidden="false" customHeight="false" outlineLevel="0" collapsed="false">
      <c r="A361" s="14" t="n">
        <f aca="false">Takip!R361</f>
        <v>46378</v>
      </c>
      <c r="C361" s="15" t="n">
        <f aca="false">IF(Takip!C361="",0,C360+1)</f>
        <v>0</v>
      </c>
      <c r="D361" s="15" t="n">
        <f aca="false">IF(Takip!D361="",0,D360+1)</f>
        <v>0</v>
      </c>
      <c r="E361" s="15" t="n">
        <f aca="false">IF(Takip!E361="",0,E360+1)</f>
        <v>0</v>
      </c>
      <c r="F361" s="15" t="n">
        <f aca="false">IF(Takip!F361="",0,F360+1)</f>
        <v>0</v>
      </c>
      <c r="G361" s="15" t="n">
        <f aca="false">IF(Takip!G361="",0,G360+1)</f>
        <v>0</v>
      </c>
      <c r="H361" s="15" t="n">
        <f aca="false">IF(Takip!H361="",0,H360+1)</f>
        <v>0</v>
      </c>
      <c r="I361" s="15" t="n">
        <f aca="false">IF(Takip!I361="",0,I360+1)</f>
        <v>0</v>
      </c>
      <c r="J361" s="15" t="n">
        <f aca="false">IF(Takip!J361="",0,J360+1)</f>
        <v>0</v>
      </c>
      <c r="K361" s="15" t="n">
        <f aca="false">IF(Takip!K361="",0,K360+1)</f>
        <v>0</v>
      </c>
      <c r="L361" s="15" t="n">
        <f aca="false">IF(Takip!L361="",0,L360+1)</f>
        <v>0</v>
      </c>
      <c r="M361" s="15" t="n">
        <f aca="false">IF(Takip!M361="",0,M360+1)</f>
        <v>0</v>
      </c>
      <c r="N361" s="15" t="n">
        <f aca="false">IF(Takip!N361="",0,N360+1)</f>
        <v>0</v>
      </c>
      <c r="O361" s="15" t="n">
        <f aca="false">IF(Takip!O361="",0,O360+1)</f>
        <v>0</v>
      </c>
      <c r="P361" s="15" t="n">
        <f aca="false">IF(Takip!P361="",0,P360+1)</f>
        <v>0</v>
      </c>
      <c r="Q361" s="15" t="n">
        <f aca="false">IF(Takip!Q361="",0,Q360+1)</f>
        <v>0</v>
      </c>
    </row>
    <row r="362" customFormat="false" ht="15" hidden="false" customHeight="false" outlineLevel="0" collapsed="false">
      <c r="A362" s="14" t="n">
        <f aca="false">Takip!R362</f>
        <v>46379</v>
      </c>
      <c r="C362" s="15" t="n">
        <f aca="false">IF(Takip!C362="",0,C361+1)</f>
        <v>0</v>
      </c>
      <c r="D362" s="15" t="n">
        <f aca="false">IF(Takip!D362="",0,D361+1)</f>
        <v>0</v>
      </c>
      <c r="E362" s="15" t="n">
        <f aca="false">IF(Takip!E362="",0,E361+1)</f>
        <v>0</v>
      </c>
      <c r="F362" s="15" t="n">
        <f aca="false">IF(Takip!F362="",0,F361+1)</f>
        <v>0</v>
      </c>
      <c r="G362" s="15" t="n">
        <f aca="false">IF(Takip!G362="",0,G361+1)</f>
        <v>0</v>
      </c>
      <c r="H362" s="15" t="n">
        <f aca="false">IF(Takip!H362="",0,H361+1)</f>
        <v>0</v>
      </c>
      <c r="I362" s="15" t="n">
        <f aca="false">IF(Takip!I362="",0,I361+1)</f>
        <v>0</v>
      </c>
      <c r="J362" s="15" t="n">
        <f aca="false">IF(Takip!J362="",0,J361+1)</f>
        <v>0</v>
      </c>
      <c r="K362" s="15" t="n">
        <f aca="false">IF(Takip!K362="",0,K361+1)</f>
        <v>0</v>
      </c>
      <c r="L362" s="15" t="n">
        <f aca="false">IF(Takip!L362="",0,L361+1)</f>
        <v>0</v>
      </c>
      <c r="M362" s="15" t="n">
        <f aca="false">IF(Takip!M362="",0,M361+1)</f>
        <v>0</v>
      </c>
      <c r="N362" s="15" t="n">
        <f aca="false">IF(Takip!N362="",0,N361+1)</f>
        <v>0</v>
      </c>
      <c r="O362" s="15" t="n">
        <f aca="false">IF(Takip!O362="",0,O361+1)</f>
        <v>0</v>
      </c>
      <c r="P362" s="15" t="n">
        <f aca="false">IF(Takip!P362="",0,P361+1)</f>
        <v>0</v>
      </c>
      <c r="Q362" s="15" t="n">
        <f aca="false">IF(Takip!Q362="",0,Q361+1)</f>
        <v>0</v>
      </c>
    </row>
    <row r="363" customFormat="false" ht="15" hidden="false" customHeight="false" outlineLevel="0" collapsed="false">
      <c r="A363" s="14" t="n">
        <f aca="false">Takip!R363</f>
        <v>46380</v>
      </c>
      <c r="C363" s="15" t="n">
        <f aca="false">IF(Takip!C363="",0,C362+1)</f>
        <v>0</v>
      </c>
      <c r="D363" s="15" t="n">
        <f aca="false">IF(Takip!D363="",0,D362+1)</f>
        <v>0</v>
      </c>
      <c r="E363" s="15" t="n">
        <f aca="false">IF(Takip!E363="",0,E362+1)</f>
        <v>0</v>
      </c>
      <c r="F363" s="15" t="n">
        <f aca="false">IF(Takip!F363="",0,F362+1)</f>
        <v>0</v>
      </c>
      <c r="G363" s="15" t="n">
        <f aca="false">IF(Takip!G363="",0,G362+1)</f>
        <v>0</v>
      </c>
      <c r="H363" s="15" t="n">
        <f aca="false">IF(Takip!H363="",0,H362+1)</f>
        <v>0</v>
      </c>
      <c r="I363" s="15" t="n">
        <f aca="false">IF(Takip!I363="",0,I362+1)</f>
        <v>0</v>
      </c>
      <c r="J363" s="15" t="n">
        <f aca="false">IF(Takip!J363="",0,J362+1)</f>
        <v>0</v>
      </c>
      <c r="K363" s="15" t="n">
        <f aca="false">IF(Takip!K363="",0,K362+1)</f>
        <v>0</v>
      </c>
      <c r="L363" s="15" t="n">
        <f aca="false">IF(Takip!L363="",0,L362+1)</f>
        <v>0</v>
      </c>
      <c r="M363" s="15" t="n">
        <f aca="false">IF(Takip!M363="",0,M362+1)</f>
        <v>0</v>
      </c>
      <c r="N363" s="15" t="n">
        <f aca="false">IF(Takip!N363="",0,N362+1)</f>
        <v>0</v>
      </c>
      <c r="O363" s="15" t="n">
        <f aca="false">IF(Takip!O363="",0,O362+1)</f>
        <v>0</v>
      </c>
      <c r="P363" s="15" t="n">
        <f aca="false">IF(Takip!P363="",0,P362+1)</f>
        <v>0</v>
      </c>
      <c r="Q363" s="15" t="n">
        <f aca="false">IF(Takip!Q363="",0,Q362+1)</f>
        <v>0</v>
      </c>
    </row>
    <row r="364" customFormat="false" ht="15" hidden="false" customHeight="false" outlineLevel="0" collapsed="false">
      <c r="A364" s="14" t="n">
        <f aca="false">Takip!R364</f>
        <v>46381</v>
      </c>
      <c r="C364" s="15" t="n">
        <f aca="false">IF(Takip!C364="",0,C363+1)</f>
        <v>0</v>
      </c>
      <c r="D364" s="15" t="n">
        <f aca="false">IF(Takip!D364="",0,D363+1)</f>
        <v>0</v>
      </c>
      <c r="E364" s="15" t="n">
        <f aca="false">IF(Takip!E364="",0,E363+1)</f>
        <v>0</v>
      </c>
      <c r="F364" s="15" t="n">
        <f aca="false">IF(Takip!F364="",0,F363+1)</f>
        <v>0</v>
      </c>
      <c r="G364" s="15" t="n">
        <f aca="false">IF(Takip!G364="",0,G363+1)</f>
        <v>0</v>
      </c>
      <c r="H364" s="15" t="n">
        <f aca="false">IF(Takip!H364="",0,H363+1)</f>
        <v>0</v>
      </c>
      <c r="I364" s="15" t="n">
        <f aca="false">IF(Takip!I364="",0,I363+1)</f>
        <v>0</v>
      </c>
      <c r="J364" s="15" t="n">
        <f aca="false">IF(Takip!J364="",0,J363+1)</f>
        <v>0</v>
      </c>
      <c r="K364" s="15" t="n">
        <f aca="false">IF(Takip!K364="",0,K363+1)</f>
        <v>0</v>
      </c>
      <c r="L364" s="15" t="n">
        <f aca="false">IF(Takip!L364="",0,L363+1)</f>
        <v>0</v>
      </c>
      <c r="M364" s="15" t="n">
        <f aca="false">IF(Takip!M364="",0,M363+1)</f>
        <v>0</v>
      </c>
      <c r="N364" s="15" t="n">
        <f aca="false">IF(Takip!N364="",0,N363+1)</f>
        <v>0</v>
      </c>
      <c r="O364" s="15" t="n">
        <f aca="false">IF(Takip!O364="",0,O363+1)</f>
        <v>0</v>
      </c>
      <c r="P364" s="15" t="n">
        <f aca="false">IF(Takip!P364="",0,P363+1)</f>
        <v>0</v>
      </c>
      <c r="Q364" s="15" t="n">
        <f aca="false">IF(Takip!Q364="",0,Q363+1)</f>
        <v>0</v>
      </c>
    </row>
    <row r="365" customFormat="false" ht="15" hidden="false" customHeight="false" outlineLevel="0" collapsed="false">
      <c r="A365" s="14" t="n">
        <f aca="false">Takip!R365</f>
        <v>46382</v>
      </c>
      <c r="C365" s="15" t="n">
        <f aca="false">IF(Takip!C365="",0,C364+1)</f>
        <v>0</v>
      </c>
      <c r="D365" s="15" t="n">
        <f aca="false">IF(Takip!D365="",0,D364+1)</f>
        <v>0</v>
      </c>
      <c r="E365" s="15" t="n">
        <f aca="false">IF(Takip!E365="",0,E364+1)</f>
        <v>0</v>
      </c>
      <c r="F365" s="15" t="n">
        <f aca="false">IF(Takip!F365="",0,F364+1)</f>
        <v>0</v>
      </c>
      <c r="G365" s="15" t="n">
        <f aca="false">IF(Takip!G365="",0,G364+1)</f>
        <v>0</v>
      </c>
      <c r="H365" s="15" t="n">
        <f aca="false">IF(Takip!H365="",0,H364+1)</f>
        <v>0</v>
      </c>
      <c r="I365" s="15" t="n">
        <f aca="false">IF(Takip!I365="",0,I364+1)</f>
        <v>0</v>
      </c>
      <c r="J365" s="15" t="n">
        <f aca="false">IF(Takip!J365="",0,J364+1)</f>
        <v>0</v>
      </c>
      <c r="K365" s="15" t="n">
        <f aca="false">IF(Takip!K365="",0,K364+1)</f>
        <v>0</v>
      </c>
      <c r="L365" s="15" t="n">
        <f aca="false">IF(Takip!L365="",0,L364+1)</f>
        <v>0</v>
      </c>
      <c r="M365" s="15" t="n">
        <f aca="false">IF(Takip!M365="",0,M364+1)</f>
        <v>0</v>
      </c>
      <c r="N365" s="15" t="n">
        <f aca="false">IF(Takip!N365="",0,N364+1)</f>
        <v>0</v>
      </c>
      <c r="O365" s="15" t="n">
        <f aca="false">IF(Takip!O365="",0,O364+1)</f>
        <v>0</v>
      </c>
      <c r="P365" s="15" t="n">
        <f aca="false">IF(Takip!P365="",0,P364+1)</f>
        <v>0</v>
      </c>
      <c r="Q365" s="15" t="n">
        <f aca="false">IF(Takip!Q365="",0,Q364+1)</f>
        <v>0</v>
      </c>
    </row>
    <row r="366" customFormat="false" ht="15" hidden="false" customHeight="false" outlineLevel="0" collapsed="false">
      <c r="A366" s="14" t="n">
        <f aca="false">Takip!R366</f>
        <v>46383</v>
      </c>
      <c r="C366" s="15" t="n">
        <f aca="false">IF(Takip!C366="",0,C365+1)</f>
        <v>0</v>
      </c>
      <c r="D366" s="15" t="n">
        <f aca="false">IF(Takip!D366="",0,D365+1)</f>
        <v>0</v>
      </c>
      <c r="E366" s="15" t="n">
        <f aca="false">IF(Takip!E366="",0,E365+1)</f>
        <v>0</v>
      </c>
      <c r="F366" s="15" t="n">
        <f aca="false">IF(Takip!F366="",0,F365+1)</f>
        <v>0</v>
      </c>
      <c r="G366" s="15" t="n">
        <f aca="false">IF(Takip!G366="",0,G365+1)</f>
        <v>0</v>
      </c>
      <c r="H366" s="15" t="n">
        <f aca="false">IF(Takip!H366="",0,H365+1)</f>
        <v>0</v>
      </c>
      <c r="I366" s="15" t="n">
        <f aca="false">IF(Takip!I366="",0,I365+1)</f>
        <v>0</v>
      </c>
      <c r="J366" s="15" t="n">
        <f aca="false">IF(Takip!J366="",0,J365+1)</f>
        <v>0</v>
      </c>
      <c r="K366" s="15" t="n">
        <f aca="false">IF(Takip!K366="",0,K365+1)</f>
        <v>0</v>
      </c>
      <c r="L366" s="15" t="n">
        <f aca="false">IF(Takip!L366="",0,L365+1)</f>
        <v>0</v>
      </c>
      <c r="M366" s="15" t="n">
        <f aca="false">IF(Takip!M366="",0,M365+1)</f>
        <v>0</v>
      </c>
      <c r="N366" s="15" t="n">
        <f aca="false">IF(Takip!N366="",0,N365+1)</f>
        <v>0</v>
      </c>
      <c r="O366" s="15" t="n">
        <f aca="false">IF(Takip!O366="",0,O365+1)</f>
        <v>0</v>
      </c>
      <c r="P366" s="15" t="n">
        <f aca="false">IF(Takip!P366="",0,P365+1)</f>
        <v>0</v>
      </c>
      <c r="Q366" s="15" t="n">
        <f aca="false">IF(Takip!Q366="",0,Q365+1)</f>
        <v>0</v>
      </c>
    </row>
    <row r="367" customFormat="false" ht="15" hidden="false" customHeight="false" outlineLevel="0" collapsed="false">
      <c r="A367" s="14" t="n">
        <f aca="false">Takip!R367</f>
        <v>46384</v>
      </c>
      <c r="C367" s="15" t="n">
        <f aca="false">IF(Takip!C367="",0,C366+1)</f>
        <v>0</v>
      </c>
      <c r="D367" s="15" t="n">
        <f aca="false">IF(Takip!D367="",0,D366+1)</f>
        <v>0</v>
      </c>
      <c r="E367" s="15" t="n">
        <f aca="false">IF(Takip!E367="",0,E366+1)</f>
        <v>0</v>
      </c>
      <c r="F367" s="15" t="n">
        <f aca="false">IF(Takip!F367="",0,F366+1)</f>
        <v>0</v>
      </c>
      <c r="G367" s="15" t="n">
        <f aca="false">IF(Takip!G367="",0,G366+1)</f>
        <v>0</v>
      </c>
      <c r="H367" s="15" t="n">
        <f aca="false">IF(Takip!H367="",0,H366+1)</f>
        <v>0</v>
      </c>
      <c r="I367" s="15" t="n">
        <f aca="false">IF(Takip!I367="",0,I366+1)</f>
        <v>0</v>
      </c>
      <c r="J367" s="15" t="n">
        <f aca="false">IF(Takip!J367="",0,J366+1)</f>
        <v>0</v>
      </c>
      <c r="K367" s="15" t="n">
        <f aca="false">IF(Takip!K367="",0,K366+1)</f>
        <v>0</v>
      </c>
      <c r="L367" s="15" t="n">
        <f aca="false">IF(Takip!L367="",0,L366+1)</f>
        <v>0</v>
      </c>
      <c r="M367" s="15" t="n">
        <f aca="false">IF(Takip!M367="",0,M366+1)</f>
        <v>0</v>
      </c>
      <c r="N367" s="15" t="n">
        <f aca="false">IF(Takip!N367="",0,N366+1)</f>
        <v>0</v>
      </c>
      <c r="O367" s="15" t="n">
        <f aca="false">IF(Takip!O367="",0,O366+1)</f>
        <v>0</v>
      </c>
      <c r="P367" s="15" t="n">
        <f aca="false">IF(Takip!P367="",0,P366+1)</f>
        <v>0</v>
      </c>
      <c r="Q367" s="15" t="n">
        <f aca="false">IF(Takip!Q367="",0,Q366+1)</f>
        <v>0</v>
      </c>
    </row>
    <row r="368" customFormat="false" ht="15" hidden="false" customHeight="false" outlineLevel="0" collapsed="false">
      <c r="A368" s="14" t="n">
        <f aca="false">Takip!R368</f>
        <v>46385</v>
      </c>
      <c r="C368" s="15" t="n">
        <f aca="false">IF(Takip!C368="",0,C367+1)</f>
        <v>0</v>
      </c>
      <c r="D368" s="15" t="n">
        <f aca="false">IF(Takip!D368="",0,D367+1)</f>
        <v>0</v>
      </c>
      <c r="E368" s="15" t="n">
        <f aca="false">IF(Takip!E368="",0,E367+1)</f>
        <v>0</v>
      </c>
      <c r="F368" s="15" t="n">
        <f aca="false">IF(Takip!F368="",0,F367+1)</f>
        <v>0</v>
      </c>
      <c r="G368" s="15" t="n">
        <f aca="false">IF(Takip!G368="",0,G367+1)</f>
        <v>0</v>
      </c>
      <c r="H368" s="15" t="n">
        <f aca="false">IF(Takip!H368="",0,H367+1)</f>
        <v>0</v>
      </c>
      <c r="I368" s="15" t="n">
        <f aca="false">IF(Takip!I368="",0,I367+1)</f>
        <v>0</v>
      </c>
      <c r="J368" s="15" t="n">
        <f aca="false">IF(Takip!J368="",0,J367+1)</f>
        <v>0</v>
      </c>
      <c r="K368" s="15" t="n">
        <f aca="false">IF(Takip!K368="",0,K367+1)</f>
        <v>0</v>
      </c>
      <c r="L368" s="15" t="n">
        <f aca="false">IF(Takip!L368="",0,L367+1)</f>
        <v>0</v>
      </c>
      <c r="M368" s="15" t="n">
        <f aca="false">IF(Takip!M368="",0,M367+1)</f>
        <v>0</v>
      </c>
      <c r="N368" s="15" t="n">
        <f aca="false">IF(Takip!N368="",0,N367+1)</f>
        <v>0</v>
      </c>
      <c r="O368" s="15" t="n">
        <f aca="false">IF(Takip!O368="",0,O367+1)</f>
        <v>0</v>
      </c>
      <c r="P368" s="15" t="n">
        <f aca="false">IF(Takip!P368="",0,P367+1)</f>
        <v>0</v>
      </c>
      <c r="Q368" s="15" t="n">
        <f aca="false">IF(Takip!Q368="",0,Q367+1)</f>
        <v>0</v>
      </c>
    </row>
    <row r="369" customFormat="false" ht="15" hidden="false" customHeight="false" outlineLevel="0" collapsed="false">
      <c r="A369" s="14" t="n">
        <f aca="false">Takip!R369</f>
        <v>46386</v>
      </c>
      <c r="C369" s="15" t="n">
        <f aca="false">IF(Takip!C369="",0,C368+1)</f>
        <v>0</v>
      </c>
      <c r="D369" s="15" t="n">
        <f aca="false">IF(Takip!D369="",0,D368+1)</f>
        <v>0</v>
      </c>
      <c r="E369" s="15" t="n">
        <f aca="false">IF(Takip!E369="",0,E368+1)</f>
        <v>0</v>
      </c>
      <c r="F369" s="15" t="n">
        <f aca="false">IF(Takip!F369="",0,F368+1)</f>
        <v>0</v>
      </c>
      <c r="G369" s="15" t="n">
        <f aca="false">IF(Takip!G369="",0,G368+1)</f>
        <v>0</v>
      </c>
      <c r="H369" s="15" t="n">
        <f aca="false">IF(Takip!H369="",0,H368+1)</f>
        <v>0</v>
      </c>
      <c r="I369" s="15" t="n">
        <f aca="false">IF(Takip!I369="",0,I368+1)</f>
        <v>0</v>
      </c>
      <c r="J369" s="15" t="n">
        <f aca="false">IF(Takip!J369="",0,J368+1)</f>
        <v>0</v>
      </c>
      <c r="K369" s="15" t="n">
        <f aca="false">IF(Takip!K369="",0,K368+1)</f>
        <v>0</v>
      </c>
      <c r="L369" s="15" t="n">
        <f aca="false">IF(Takip!L369="",0,L368+1)</f>
        <v>0</v>
      </c>
      <c r="M369" s="15" t="n">
        <f aca="false">IF(Takip!M369="",0,M368+1)</f>
        <v>0</v>
      </c>
      <c r="N369" s="15" t="n">
        <f aca="false">IF(Takip!N369="",0,N368+1)</f>
        <v>0</v>
      </c>
      <c r="O369" s="15" t="n">
        <f aca="false">IF(Takip!O369="",0,O368+1)</f>
        <v>0</v>
      </c>
      <c r="P369" s="15" t="n">
        <f aca="false">IF(Takip!P369="",0,P368+1)</f>
        <v>0</v>
      </c>
      <c r="Q369" s="15" t="n">
        <f aca="false">IF(Takip!Q369="",0,Q368+1)</f>
        <v>0</v>
      </c>
    </row>
    <row r="370" customFormat="false" ht="15" hidden="false" customHeight="false" outlineLevel="0" collapsed="false">
      <c r="A370" s="14" t="n">
        <f aca="false">Takip!R370</f>
        <v>46387</v>
      </c>
      <c r="C370" s="15" t="n">
        <f aca="false">IF(Takip!C370="",0,C369+1)</f>
        <v>0</v>
      </c>
      <c r="D370" s="15" t="n">
        <f aca="false">IF(Takip!D370="",0,D369+1)</f>
        <v>0</v>
      </c>
      <c r="E370" s="15" t="n">
        <f aca="false">IF(Takip!E370="",0,E369+1)</f>
        <v>0</v>
      </c>
      <c r="F370" s="15" t="n">
        <f aca="false">IF(Takip!F370="",0,F369+1)</f>
        <v>0</v>
      </c>
      <c r="G370" s="15" t="n">
        <f aca="false">IF(Takip!G370="",0,G369+1)</f>
        <v>0</v>
      </c>
      <c r="H370" s="15" t="n">
        <f aca="false">IF(Takip!H370="",0,H369+1)</f>
        <v>0</v>
      </c>
      <c r="I370" s="15" t="n">
        <f aca="false">IF(Takip!I370="",0,I369+1)</f>
        <v>0</v>
      </c>
      <c r="J370" s="15" t="n">
        <f aca="false">IF(Takip!J370="",0,J369+1)</f>
        <v>0</v>
      </c>
      <c r="K370" s="15" t="n">
        <f aca="false">IF(Takip!K370="",0,K369+1)</f>
        <v>0</v>
      </c>
      <c r="L370" s="15" t="n">
        <f aca="false">IF(Takip!L370="",0,L369+1)</f>
        <v>0</v>
      </c>
      <c r="M370" s="15" t="n">
        <f aca="false">IF(Takip!M370="",0,M369+1)</f>
        <v>0</v>
      </c>
      <c r="N370" s="15" t="n">
        <f aca="false">IF(Takip!N370="",0,N369+1)</f>
        <v>0</v>
      </c>
      <c r="O370" s="15" t="n">
        <f aca="false">IF(Takip!O370="",0,O369+1)</f>
        <v>0</v>
      </c>
      <c r="P370" s="15" t="n">
        <f aca="false">IF(Takip!P370="",0,P369+1)</f>
        <v>0</v>
      </c>
      <c r="Q370" s="15" t="n">
        <f aca="false">IF(Takip!Q370="",0,Q369+1)</f>
        <v>0</v>
      </c>
    </row>
    <row r="371" customFormat="false" ht="15" hidden="false" customHeight="false" outlineLevel="0" collapsed="false">
      <c r="A371" s="0" t="n">
        <f aca="false">Takip!R371</f>
        <v>0</v>
      </c>
      <c r="C371" s="0" t="n">
        <f aca="false">IF(Takip!C371="",0,C370+1)</f>
        <v>0</v>
      </c>
      <c r="D371" s="0" t="n">
        <f aca="false">IF(Takip!D371="",0,D370+1)</f>
        <v>0</v>
      </c>
      <c r="E371" s="0" t="n">
        <f aca="false">IF(Takip!E371="",0,E370+1)</f>
        <v>0</v>
      </c>
      <c r="F371" s="0" t="n">
        <f aca="false">IF(Takip!F371="",0,F370+1)</f>
        <v>0</v>
      </c>
      <c r="G371" s="0" t="n">
        <f aca="false">IF(Takip!G371="",0,G370+1)</f>
        <v>0</v>
      </c>
      <c r="H371" s="0" t="n">
        <f aca="false">IF(Takip!H371="",0,H370+1)</f>
        <v>0</v>
      </c>
      <c r="I371" s="0" t="n">
        <f aca="false">IF(Takip!I371="",0,I370+1)</f>
        <v>0</v>
      </c>
      <c r="J371" s="0" t="n">
        <f aca="false">IF(Takip!J371="",0,J370+1)</f>
        <v>0</v>
      </c>
      <c r="K371" s="0" t="n">
        <f aca="false">IF(Takip!K371="",0,K370+1)</f>
        <v>0</v>
      </c>
      <c r="L371" s="0" t="n">
        <f aca="false">IF(Takip!L371="",0,L370+1)</f>
        <v>0</v>
      </c>
      <c r="M371" s="0" t="n">
        <f aca="false">IF(Takip!M371="",0,M370+1)</f>
        <v>0</v>
      </c>
      <c r="N371" s="0" t="n">
        <f aca="false">IF(Takip!N371="",0,N370+1)</f>
        <v>0</v>
      </c>
      <c r="O371" s="0" t="n">
        <f aca="false">IF(Takip!O371="",0,O370+1)</f>
        <v>0</v>
      </c>
      <c r="P371" s="0" t="n">
        <f aca="false">IF(Takip!P371="",0,P370+1)</f>
        <v>0</v>
      </c>
      <c r="Q371" s="0" t="n">
        <f aca="false">IF(Takip!Q371="",0,Q370+1)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63</v>
      </c>
    </row>
    <row r="2" customFormat="false" ht="30" hidden="false" customHeight="true" outlineLevel="0" collapsed="false">
      <c r="B2" s="28" t="s">
        <v>64</v>
      </c>
      <c r="C2" s="28"/>
    </row>
    <row r="3" customFormat="false" ht="31.5" hidden="false" customHeight="true" outlineLevel="0" collapsed="false">
      <c r="B3" s="29" t="s">
        <v>65</v>
      </c>
      <c r="C3" s="29"/>
    </row>
    <row r="5" customFormat="false" ht="15" hidden="false" customHeight="false" outlineLevel="0" collapsed="false">
      <c r="B5" s="30" t="s">
        <v>66</v>
      </c>
      <c r="C5" s="30" t="s">
        <v>67</v>
      </c>
    </row>
    <row r="6" customFormat="false" ht="31.5" hidden="false" customHeight="true" outlineLevel="0" collapsed="false">
      <c r="B6" s="31" t="s">
        <v>68</v>
      </c>
      <c r="C6" s="32" t="s">
        <v>69</v>
      </c>
    </row>
    <row r="7" customFormat="false" ht="31.5" hidden="false" customHeight="true" outlineLevel="0" collapsed="false">
      <c r="B7" s="33" t="s">
        <v>70</v>
      </c>
      <c r="C7" s="34" t="s">
        <v>71</v>
      </c>
    </row>
    <row r="8" customFormat="false" ht="31.5" hidden="false" customHeight="true" outlineLevel="0" collapsed="false">
      <c r="B8" s="31" t="s">
        <v>72</v>
      </c>
      <c r="C8" s="32" t="s">
        <v>73</v>
      </c>
    </row>
    <row r="9" customFormat="false" ht="31.5" hidden="false" customHeight="true" outlineLevel="0" collapsed="false">
      <c r="B9" s="33" t="s">
        <v>74</v>
      </c>
      <c r="C9" s="34" t="s">
        <v>75</v>
      </c>
    </row>
    <row r="10" customFormat="false" ht="31.5" hidden="false" customHeight="true" outlineLevel="0" collapsed="false">
      <c r="B10" s="31" t="s">
        <v>76</v>
      </c>
      <c r="C10" s="32" t="s">
        <v>77</v>
      </c>
    </row>
    <row r="11" customFormat="false" ht="31.5" hidden="false" customHeight="true" outlineLevel="0" collapsed="false">
      <c r="B11" s="33" t="s">
        <v>78</v>
      </c>
      <c r="C11" s="34" t="s">
        <v>79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