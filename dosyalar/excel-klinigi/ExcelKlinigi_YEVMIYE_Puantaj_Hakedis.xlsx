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Puantaj" sheetId="2" state="visible" r:id="rId4"/>
    <sheet name="Ödemeler" sheetId="3" state="visible" r:id="rId5"/>
    <sheet name="Kişiler" sheetId="4" state="visible" r:id="rId6"/>
    <sheet name="Özet" sheetId="5" state="visible" r:id="rId7"/>
    <sheet name="Listeler" sheetId="6" state="visible" r:id="rId8"/>
    <sheet name="AI Komutları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<sst xmlns="http://schemas.openxmlformats.org/spreadsheetml/2006/main" count="101" uniqueCount="78">
  <si>
    <t xml:space="preserve">EXCEL KLİNİĞİ</t>
  </si>
  <si>
    <t xml:space="preserve">YEVMİYE  |  Gündelik işçi puantaj ve hakediş</t>
  </si>
  <si>
    <t xml:space="preserve">Kim kaç gün çalıştı, ne kadar hak etti, ne kadar avans aldı, kime ne kadar borcun kaldı.</t>
  </si>
  <si>
    <t xml:space="preserve">NASIL KULLANILIR</t>
  </si>
  <si>
    <t xml:space="preserve">1. Kişiler</t>
  </si>
  <si>
    <t xml:space="preserve">Çalışanları, günlük ücreti ve mesai saat ücretini yaz.</t>
  </si>
  <si>
    <t xml:space="preserve">2. Puantaj</t>
  </si>
  <si>
    <t xml:space="preserve">Her çalışılan günü kişi ve iş ile gir.</t>
  </si>
  <si>
    <t xml:space="preserve">3. Ödemeler</t>
  </si>
  <si>
    <t xml:space="preserve">Verdiğin avans ve ödemeleri yaz.</t>
  </si>
  <si>
    <t xml:space="preserve">4. Özet</t>
  </si>
  <si>
    <t xml:space="preserve">Dönemi seç; hakediş, ödenen ve kalan borç ile iş bazında işçilik maliyeti hesaplanır.</t>
  </si>
  <si>
    <t xml:space="preserve">BİLMEN GEREKENLER</t>
  </si>
  <si>
    <t xml:space="preserve">Dönem</t>
  </si>
  <si>
    <t xml:space="preserve">Hakediş ve ödenen, yalnızca seçtiğin iki tarih arasındaki kayıtlardan hesaplanır. Önceki dönemden devreden borç eklenmez.</t>
  </si>
  <si>
    <t xml:space="preserve">Resmî belge değil</t>
  </si>
  <si>
    <t xml:space="preserve">Bordro, SGK bildirimi ya da resmî puantaj yerine geçmez.</t>
  </si>
  <si>
    <t xml:space="preserve">Kapasite</t>
  </si>
  <si>
    <t xml:space="preserve">Kişiler: 40 satır; Puantaj: 3000 satır; Ödemeler: 600 satır.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</si>
  <si>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</si>
  <si>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</si>
  <si>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</si>
  <si>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</si>
  <si>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</si>
  <si>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Puantaj</t>
  </si>
  <si>
    <t xml:space="preserve">Her çalışılan gün bir satır. Yarım gün için 0,5 yaz.</t>
  </si>
  <si>
    <t xml:space="preserve">Tarih</t>
  </si>
  <si>
    <t xml:space="preserve">Kişi</t>
  </si>
  <si>
    <t xml:space="preserve">Gün</t>
  </si>
  <si>
    <t xml:space="preserve">Mesai (saat)</t>
  </si>
  <si>
    <t xml:space="preserve">İş</t>
  </si>
  <si>
    <t xml:space="preserve">Not</t>
  </si>
  <si>
    <t xml:space="preserve">Maliyet (₺)</t>
  </si>
  <si>
    <t xml:space="preserve">İşçi Alfa</t>
  </si>
  <si>
    <t xml:space="preserve">Şantiye Alfa</t>
  </si>
  <si>
    <t xml:space="preserve">İşçi Beta</t>
  </si>
  <si>
    <t xml:space="preserve">Şantiye Beta</t>
  </si>
  <si>
    <t xml:space="preserve">İşçi Gama</t>
  </si>
  <si>
    <t xml:space="preserve">Atölye</t>
  </si>
  <si>
    <t xml:space="preserve">Ödemeler</t>
  </si>
  <si>
    <t xml:space="preserve">Verdiğin her avansı ve ödemeyi yaz.</t>
  </si>
  <si>
    <t xml:space="preserve">Tür</t>
  </si>
  <si>
    <t xml:space="preserve">Tutar (₺)</t>
  </si>
  <si>
    <t xml:space="preserve">Avans</t>
  </si>
  <si>
    <t xml:space="preserve">Ödeme</t>
  </si>
  <si>
    <t xml:space="preserve">Kişiler</t>
  </si>
  <si>
    <t xml:space="preserve">Çalışanları ve ücretlerini yaz. Gün, hakediş ve kalan, Özet sayfasındaki döneme göre hesaplanır.</t>
  </si>
  <si>
    <t xml:space="preserve">Ad</t>
  </si>
  <si>
    <t xml:space="preserve">Günlük ücret (₺)</t>
  </si>
  <si>
    <t xml:space="preserve">Mesai saat ücreti (₺)</t>
  </si>
  <si>
    <t xml:space="preserve">Hakediş (₺)</t>
  </si>
  <si>
    <t xml:space="preserve">Ödenen (₺)</t>
  </si>
  <si>
    <t xml:space="preserve">Kalan (₺)</t>
  </si>
  <si>
    <t xml:space="preserve">Özet</t>
  </si>
  <si>
    <t xml:space="preserve">Dönemin başlangıç ve bitiş tarihini yaz; bütün hesaplar bu döneme göre yapılır.</t>
  </si>
  <si>
    <t xml:space="preserve">Dönem başlangıcı</t>
  </si>
  <si>
    <t xml:space="preserve">Dönem bitişi</t>
  </si>
  <si>
    <t xml:space="preserve">Çalışılan gün</t>
  </si>
  <si>
    <t xml:space="preserve">Hakediş</t>
  </si>
  <si>
    <t xml:space="preserve">Ödenen</t>
  </si>
  <si>
    <t xml:space="preserve">Kalan borç</t>
  </si>
  <si>
    <t xml:space="preserve">İşe göre (dönem)</t>
  </si>
  <si>
    <t xml:space="preserve">İşçilik maliyeti (₺)</t>
  </si>
  <si>
    <t xml:space="preserve">Listeler</t>
  </si>
  <si>
    <t xml:space="preserve">Açılır listelerde çıkan seçenekler. Sarı hücrelere kendi seçeneklerini yaz.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</si>
  <si>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</si>
  <si>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</si>
  <si>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Çalışan adlarını takma adla değiştir. Yapay zekanın verdiği rakamları dosyadaki özet sayfasıyla karşılaştır.</t>
  </si>
  <si>
    <t xml:space="preserve">Ne için</t>
  </si>
  <si>
    <t xml:space="preserve">Komut (kopyala, yapıştır)</t>
  </si>
  <si>
    <t xml:space="preserve">Hakediş özeti</t>
  </si>
  <si>
    <t xml:space="preserve">[Kişiler sayfası] Bu dönem her kişiye ödenecek tutarı tek satırlık mesajlar halinde yaz.</t>
  </si>
  <si>
    <t xml:space="preserve">Maliyet</t>
  </si>
  <si>
    <t xml:space="preserve">[Özet sayfası] İşçilik maliyeti hangi işte yoğunlaşmış? Yorumla.</t>
  </si>
  <si>
    <t xml:space="preserve">Mesai</t>
  </si>
  <si>
    <t xml:space="preserve">[Puantaj sayfası] En çok mesai yapan kişileri ve günleri çıkar.</t>
  </si>
  <si>
    <t xml:space="preserve">Kontrol</t>
  </si>
  <si>
    <t xml:space="preserve">[Puantaj sayfası] Aynı kişiye aynı gün için birden fazla satır girilmiş mi?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</si>
</sst>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.mm\.yyyy"/>
    <numFmt numFmtId="166" formatCode="0.0"/>
    <numFmt numFmtId="167" formatCode="#,##0.00&quot; ₺&quot;;[RED]\-#,##0.00&quot; ₺&quot;;\-"/>
    <numFmt numFmtId="168" formatCode="#,##0.00&quot; ₺&quot;"/>
    <numFmt numFmtId="169" formatCode="#,##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2"/>
      <color rgb="FFB42318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3F4F6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993366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B42318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0" customFormat="false" ht="18" hidden="false" customHeight="true" outlineLevel="0" collapsed="false">
      <c r="B10" s="5" t="s">
        <v>10</v>
      </c>
      <c r="C10" s="6" t="s">
        <v>11</v>
      </c>
    </row>
    <row r="12" customFormat="false" ht="19.5" hidden="false" customHeight="true" outlineLevel="0" collapsed="false">
      <c r="B12" s="4" t="s">
        <v>12</v>
      </c>
      <c r="C12" s="4"/>
    </row>
    <row r="13" customFormat="false" ht="30" hidden="false" customHeight="true" outlineLevel="0" collapsed="false">
      <c r="B13" s="5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5" customFormat="false" ht="18" hidden="false" customHeight="true" outlineLevel="0" collapsed="false">
      <c r="B15" s="5" t="s">
        <v>17</v>
      </c>
      <c r="C15" s="6" t="s">
        <v>18</v>
      </c>
    </row>
    <row r="17" customFormat="false" ht="19.5" hidden="false" customHeight="true" outlineLevel="0" collapsed="false">
      <c r="B17" s="4" t="s">
        <v>19</v>
      </c>
      <c r="C17" s="4"/>
    </row>
    <row r="18" customFormat="false" ht="18" hidden="false" customHeight="true" outlineLevel="0" collapsed="false">
      <c r="B18" s="7" t="s">
        <v>20</v>
      </c>
      <c r="C18" s="6" t="s">
        <v>21</v>
      </c>
    </row>
    <row r="19" customFormat="false" ht="18" hidden="false" customHeight="true" outlineLevel="0" collapsed="false">
      <c r="B19" s="5" t="s">
        <v>22</v>
      </c>
      <c r="C19" s="6" t="s">
        <v>23</v>
      </c>
    </row>
  </sheetData>
  <mergeCells count="6">
    <mergeCell ref="B2:C2"/>
    <mergeCell ref="B3:C3"/>
    <mergeCell ref="B4:C4"/>
    <mergeCell ref="B6:C6"/>
    <mergeCell ref="B12:C12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G3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8" t="s">
        <v>24</v>
      </c>
    </row>
    <row r="2" customFormat="false" ht="15" hidden="false" customHeight="false" outlineLevel="0" collapsed="false">
      <c r="A2" s="9" t="s">
        <v>25</v>
      </c>
    </row>
    <row r="4" customFormat="false" ht="27.75" hidden="false" customHeight="true" outlineLevel="0" collapsed="false">
      <c r="A4" s="10" t="s">
        <v>26</v>
      </c>
      <c r="B4" s="10" t="s">
        <v>27</v>
      </c>
      <c r="C4" s="10" t="s">
        <v>28</v>
      </c>
      <c r="D4" s="10" t="s">
        <v>29</v>
      </c>
      <c r="E4" s="10" t="s">
        <v>30</v>
      </c>
      <c r="F4" s="10" t="s">
        <v>31</v>
      </c>
      <c r="G4" s="11" t="s">
        <v>32</v>
      </c>
    </row>
    <row r="5" customFormat="false" ht="15" hidden="false" customHeight="false" outlineLevel="0" collapsed="false">
      <c r="A5" s="12" t="n">
        <v>46296</v>
      </c>
      <c r="B5" s="13" t="s">
        <v>33</v>
      </c>
      <c r="C5" s="14" t="n">
        <v>1</v>
      </c>
      <c r="D5" s="14" t="n">
        <v>2</v>
      </c>
      <c r="E5" s="13" t="s">
        <v>34</v>
      </c>
      <c r="F5" s="15"/>
      <c r="G5" s="16" t="n">
        <f aca="false">IF(OR(B5="",A5=""),"",C5*IFERROR(INDEX(Kişiler!$B$5:$B$44,MATCH(B5,Kişiler!$A$5:$A$44,0)),0)+D5*IFERROR(INDEX(Kişiler!$C$5:$C$44,MATCH(B5,Kişiler!$A$5:$A$44,0)),0))</f>
        <v>2600</v>
      </c>
    </row>
    <row r="6" customFormat="false" ht="15" hidden="false" customHeight="false" outlineLevel="0" collapsed="false">
      <c r="A6" s="12" t="n">
        <v>46296</v>
      </c>
      <c r="B6" s="13" t="s">
        <v>35</v>
      </c>
      <c r="C6" s="14" t="n">
        <v>1</v>
      </c>
      <c r="D6" s="14"/>
      <c r="E6" s="13" t="s">
        <v>34</v>
      </c>
      <c r="F6" s="15"/>
      <c r="G6" s="16" t="n">
        <f aca="false">IF(OR(B6="",A6=""),"",C6*IFERROR(INDEX(Kişiler!$B$5:$B$44,MATCH(B6,Kişiler!$A$5:$A$44,0)),0)+D6*IFERROR(INDEX(Kişiler!$C$5:$C$44,MATCH(B6,Kişiler!$A$5:$A$44,0)),0))</f>
        <v>1800</v>
      </c>
    </row>
    <row r="7" customFormat="false" ht="15" hidden="false" customHeight="false" outlineLevel="0" collapsed="false">
      <c r="A7" s="12" t="n">
        <v>46297</v>
      </c>
      <c r="B7" s="13" t="s">
        <v>33</v>
      </c>
      <c r="C7" s="14" t="n">
        <v>1</v>
      </c>
      <c r="D7" s="14"/>
      <c r="E7" s="13" t="s">
        <v>36</v>
      </c>
      <c r="F7" s="15"/>
      <c r="G7" s="16" t="n">
        <f aca="false">IF(OR(B7="",A7=""),"",C7*IFERROR(INDEX(Kişiler!$B$5:$B$44,MATCH(B7,Kişiler!$A$5:$A$44,0)),0)+D7*IFERROR(INDEX(Kişiler!$C$5:$C$44,MATCH(B7,Kişiler!$A$5:$A$44,0)),0))</f>
        <v>2000</v>
      </c>
    </row>
    <row r="8" customFormat="false" ht="15" hidden="false" customHeight="false" outlineLevel="0" collapsed="false">
      <c r="A8" s="12" t="n">
        <v>46297</v>
      </c>
      <c r="B8" s="13" t="s">
        <v>37</v>
      </c>
      <c r="C8" s="14" t="n">
        <v>0.5</v>
      </c>
      <c r="D8" s="14"/>
      <c r="E8" s="13" t="s">
        <v>36</v>
      </c>
      <c r="F8" s="15"/>
      <c r="G8" s="16" t="n">
        <f aca="false">IF(OR(B8="",A8=""),"",C8*IFERROR(INDEX(Kişiler!$B$5:$B$44,MATCH(B8,Kişiler!$A$5:$A$44,0)),0)+D8*IFERROR(INDEX(Kişiler!$C$5:$C$44,MATCH(B8,Kişiler!$A$5:$A$44,0)),0))</f>
        <v>1250</v>
      </c>
    </row>
    <row r="9" customFormat="false" ht="15" hidden="false" customHeight="false" outlineLevel="0" collapsed="false">
      <c r="A9" s="12" t="n">
        <v>46298</v>
      </c>
      <c r="B9" s="13" t="s">
        <v>33</v>
      </c>
      <c r="C9" s="14" t="n">
        <v>1</v>
      </c>
      <c r="D9" s="14"/>
      <c r="E9" s="13" t="s">
        <v>34</v>
      </c>
      <c r="F9" s="15"/>
      <c r="G9" s="16" t="n">
        <f aca="false">IF(OR(B9="",A9=""),"",C9*IFERROR(INDEX(Kişiler!$B$5:$B$44,MATCH(B9,Kişiler!$A$5:$A$44,0)),0)+D9*IFERROR(INDEX(Kişiler!$C$5:$C$44,MATCH(B9,Kişiler!$A$5:$A$44,0)),0))</f>
        <v>2000</v>
      </c>
    </row>
    <row r="10" customFormat="false" ht="15" hidden="false" customHeight="false" outlineLevel="0" collapsed="false">
      <c r="A10" s="12" t="n">
        <v>46293</v>
      </c>
      <c r="B10" s="13" t="s">
        <v>35</v>
      </c>
      <c r="C10" s="14" t="n">
        <v>1</v>
      </c>
      <c r="D10" s="14"/>
      <c r="E10" s="13" t="s">
        <v>38</v>
      </c>
      <c r="F10" s="15"/>
      <c r="G10" s="16" t="n">
        <f aca="false">IF(OR(B10="",A10=""),"",C10*IFERROR(INDEX(Kişiler!$B$5:$B$44,MATCH(B10,Kişiler!$A$5:$A$44,0)),0)+D10*IFERROR(INDEX(Kişiler!$C$5:$C$44,MATCH(B10,Kişiler!$A$5:$A$44,0)),0))</f>
        <v>1800</v>
      </c>
    </row>
    <row r="11" customFormat="false" ht="15" hidden="false" customHeight="false" outlineLevel="0" collapsed="false">
      <c r="A11" s="12"/>
      <c r="B11" s="13"/>
      <c r="C11" s="14"/>
      <c r="D11" s="14"/>
      <c r="E11" s="13"/>
      <c r="F11" s="15"/>
      <c r="G11" s="16" t="str">
        <f aca="false">IF(OR(B11="",A11=""),"",C11*IFERROR(INDEX(Kişiler!$B$5:$B$44,MATCH(B11,Kişiler!$A$5:$A$44,0)),0)+D11*IFERROR(INDEX(Kişiler!$C$5:$C$44,MATCH(B11,Kişiler!$A$5:$A$44,0)),0))</f>
        <v/>
      </c>
    </row>
    <row r="12" customFormat="false" ht="15" hidden="false" customHeight="false" outlineLevel="0" collapsed="false">
      <c r="A12" s="12"/>
      <c r="B12" s="13"/>
      <c r="C12" s="14"/>
      <c r="D12" s="14"/>
      <c r="E12" s="13"/>
      <c r="F12" s="15"/>
      <c r="G12" s="16" t="str">
        <f aca="false">IF(OR(B12="",A12=""),"",C12*IFERROR(INDEX(Kişiler!$B$5:$B$44,MATCH(B12,Kişiler!$A$5:$A$44,0)),0)+D12*IFERROR(INDEX(Kişiler!$C$5:$C$44,MATCH(B12,Kişiler!$A$5:$A$44,0)),0))</f>
        <v/>
      </c>
    </row>
    <row r="13" customFormat="false" ht="15" hidden="false" customHeight="false" outlineLevel="0" collapsed="false">
      <c r="A13" s="12"/>
      <c r="B13" s="13"/>
      <c r="C13" s="14"/>
      <c r="D13" s="14"/>
      <c r="E13" s="13"/>
      <c r="F13" s="15"/>
      <c r="G13" s="16" t="str">
        <f aca="false">IF(OR(B13="",A13=""),"",C13*IFERROR(INDEX(Kişiler!$B$5:$B$44,MATCH(B13,Kişiler!$A$5:$A$44,0)),0)+D13*IFERROR(INDEX(Kişiler!$C$5:$C$44,MATCH(B13,Kişiler!$A$5:$A$44,0)),0))</f>
        <v/>
      </c>
    </row>
    <row r="14" customFormat="false" ht="15" hidden="false" customHeight="false" outlineLevel="0" collapsed="false">
      <c r="A14" s="12"/>
      <c r="B14" s="13"/>
      <c r="C14" s="14"/>
      <c r="D14" s="14"/>
      <c r="E14" s="13"/>
      <c r="F14" s="15"/>
      <c r="G14" s="16" t="str">
        <f aca="false">IF(OR(B14="",A14=""),"",C14*IFERROR(INDEX(Kişiler!$B$5:$B$44,MATCH(B14,Kişiler!$A$5:$A$44,0)),0)+D14*IFERROR(INDEX(Kişiler!$C$5:$C$44,MATCH(B14,Kişiler!$A$5:$A$44,0)),0))</f>
        <v/>
      </c>
    </row>
    <row r="15" customFormat="false" ht="15" hidden="false" customHeight="false" outlineLevel="0" collapsed="false">
      <c r="A15" s="12"/>
      <c r="B15" s="13"/>
      <c r="C15" s="14"/>
      <c r="D15" s="14"/>
      <c r="E15" s="13"/>
      <c r="F15" s="15"/>
      <c r="G15" s="16" t="str">
        <f aca="false">IF(OR(B15="",A15=""),"",C15*IFERROR(INDEX(Kişiler!$B$5:$B$44,MATCH(B15,Kişiler!$A$5:$A$44,0)),0)+D15*IFERROR(INDEX(Kişiler!$C$5:$C$44,MATCH(B15,Kişiler!$A$5:$A$44,0)),0))</f>
        <v/>
      </c>
    </row>
    <row r="16" customFormat="false" ht="15" hidden="false" customHeight="false" outlineLevel="0" collapsed="false">
      <c r="A16" s="12"/>
      <c r="B16" s="13"/>
      <c r="C16" s="14"/>
      <c r="D16" s="14"/>
      <c r="E16" s="13"/>
      <c r="F16" s="15"/>
      <c r="G16" s="16" t="str">
        <f aca="false">IF(OR(B16="",A16=""),"",C16*IFERROR(INDEX(Kişiler!$B$5:$B$44,MATCH(B16,Kişiler!$A$5:$A$44,0)),0)+D16*IFERROR(INDEX(Kişiler!$C$5:$C$44,MATCH(B16,Kişiler!$A$5:$A$44,0)),0))</f>
        <v/>
      </c>
    </row>
    <row r="17" customFormat="false" ht="15" hidden="false" customHeight="false" outlineLevel="0" collapsed="false">
      <c r="A17" s="12"/>
      <c r="B17" s="13"/>
      <c r="C17" s="14"/>
      <c r="D17" s="14"/>
      <c r="E17" s="13"/>
      <c r="F17" s="15"/>
      <c r="G17" s="16" t="str">
        <f aca="false">IF(OR(B17="",A17=""),"",C17*IFERROR(INDEX(Kişiler!$B$5:$B$44,MATCH(B17,Kişiler!$A$5:$A$44,0)),0)+D17*IFERROR(INDEX(Kişiler!$C$5:$C$44,MATCH(B17,Kişiler!$A$5:$A$44,0)),0))</f>
        <v/>
      </c>
    </row>
    <row r="18" customFormat="false" ht="15" hidden="false" customHeight="false" outlineLevel="0" collapsed="false">
      <c r="A18" s="12"/>
      <c r="B18" s="13"/>
      <c r="C18" s="14"/>
      <c r="D18" s="14"/>
      <c r="E18" s="13"/>
      <c r="F18" s="15"/>
      <c r="G18" s="16" t="str">
        <f aca="false">IF(OR(B18="",A18=""),"",C18*IFERROR(INDEX(Kişiler!$B$5:$B$44,MATCH(B18,Kişiler!$A$5:$A$44,0)),0)+D18*IFERROR(INDEX(Kişiler!$C$5:$C$44,MATCH(B18,Kişiler!$A$5:$A$44,0)),0))</f>
        <v/>
      </c>
    </row>
    <row r="19" customFormat="false" ht="15" hidden="false" customHeight="false" outlineLevel="0" collapsed="false">
      <c r="A19" s="12"/>
      <c r="B19" s="13"/>
      <c r="C19" s="14"/>
      <c r="D19" s="14"/>
      <c r="E19" s="13"/>
      <c r="F19" s="15"/>
      <c r="G19" s="16" t="str">
        <f aca="false">IF(OR(B19="",A19=""),"",C19*IFERROR(INDEX(Kişiler!$B$5:$B$44,MATCH(B19,Kişiler!$A$5:$A$44,0)),0)+D19*IFERROR(INDEX(Kişiler!$C$5:$C$44,MATCH(B19,Kişiler!$A$5:$A$44,0)),0))</f>
        <v/>
      </c>
    </row>
    <row r="20" customFormat="false" ht="15" hidden="false" customHeight="false" outlineLevel="0" collapsed="false">
      <c r="A20" s="12"/>
      <c r="B20" s="13"/>
      <c r="C20" s="14"/>
      <c r="D20" s="14"/>
      <c r="E20" s="13"/>
      <c r="F20" s="15"/>
      <c r="G20" s="16" t="str">
        <f aca="false">IF(OR(B20="",A20=""),"",C20*IFERROR(INDEX(Kişiler!$B$5:$B$44,MATCH(B20,Kişiler!$A$5:$A$44,0)),0)+D20*IFERROR(INDEX(Kişiler!$C$5:$C$44,MATCH(B20,Kişiler!$A$5:$A$44,0)),0))</f>
        <v/>
      </c>
    </row>
    <row r="21" customFormat="false" ht="15" hidden="false" customHeight="false" outlineLevel="0" collapsed="false">
      <c r="A21" s="12"/>
      <c r="B21" s="13"/>
      <c r="C21" s="14"/>
      <c r="D21" s="14"/>
      <c r="E21" s="13"/>
      <c r="F21" s="15"/>
      <c r="G21" s="16" t="str">
        <f aca="false">IF(OR(B21="",A21=""),"",C21*IFERROR(INDEX(Kişiler!$B$5:$B$44,MATCH(B21,Kişiler!$A$5:$A$44,0)),0)+D21*IFERROR(INDEX(Kişiler!$C$5:$C$44,MATCH(B21,Kişiler!$A$5:$A$44,0)),0))</f>
        <v/>
      </c>
    </row>
    <row r="22" customFormat="false" ht="15" hidden="false" customHeight="false" outlineLevel="0" collapsed="false">
      <c r="A22" s="12"/>
      <c r="B22" s="13"/>
      <c r="C22" s="14"/>
      <c r="D22" s="14"/>
      <c r="E22" s="13"/>
      <c r="F22" s="15"/>
      <c r="G22" s="16" t="str">
        <f aca="false">IF(OR(B22="",A22=""),"",C22*IFERROR(INDEX(Kişiler!$B$5:$B$44,MATCH(B22,Kişiler!$A$5:$A$44,0)),0)+D22*IFERROR(INDEX(Kişiler!$C$5:$C$44,MATCH(B22,Kişiler!$A$5:$A$44,0)),0))</f>
        <v/>
      </c>
    </row>
    <row r="23" customFormat="false" ht="15" hidden="false" customHeight="false" outlineLevel="0" collapsed="false">
      <c r="A23" s="12"/>
      <c r="B23" s="13"/>
      <c r="C23" s="14"/>
      <c r="D23" s="14"/>
      <c r="E23" s="13"/>
      <c r="F23" s="15"/>
      <c r="G23" s="16" t="str">
        <f aca="false">IF(OR(B23="",A23=""),"",C23*IFERROR(INDEX(Kişiler!$B$5:$B$44,MATCH(B23,Kişiler!$A$5:$A$44,0)),0)+D23*IFERROR(INDEX(Kişiler!$C$5:$C$44,MATCH(B23,Kişiler!$A$5:$A$44,0)),0))</f>
        <v/>
      </c>
    </row>
    <row r="24" customFormat="false" ht="15" hidden="false" customHeight="false" outlineLevel="0" collapsed="false">
      <c r="A24" s="12"/>
      <c r="B24" s="13"/>
      <c r="C24" s="14"/>
      <c r="D24" s="14"/>
      <c r="E24" s="13"/>
      <c r="F24" s="15"/>
      <c r="G24" s="16" t="str">
        <f aca="false">IF(OR(B24="",A24=""),"",C24*IFERROR(INDEX(Kişiler!$B$5:$B$44,MATCH(B24,Kişiler!$A$5:$A$44,0)),0)+D24*IFERROR(INDEX(Kişiler!$C$5:$C$44,MATCH(B24,Kişiler!$A$5:$A$44,0)),0))</f>
        <v/>
      </c>
    </row>
    <row r="25" customFormat="false" ht="15" hidden="false" customHeight="false" outlineLevel="0" collapsed="false">
      <c r="A25" s="12"/>
      <c r="B25" s="13"/>
      <c r="C25" s="14"/>
      <c r="D25" s="14"/>
      <c r="E25" s="13"/>
      <c r="F25" s="15"/>
      <c r="G25" s="16" t="str">
        <f aca="false">IF(OR(B25="",A25=""),"",C25*IFERROR(INDEX(Kişiler!$B$5:$B$44,MATCH(B25,Kişiler!$A$5:$A$44,0)),0)+D25*IFERROR(INDEX(Kişiler!$C$5:$C$44,MATCH(B25,Kişiler!$A$5:$A$44,0)),0))</f>
        <v/>
      </c>
    </row>
    <row r="26" customFormat="false" ht="15" hidden="false" customHeight="false" outlineLevel="0" collapsed="false">
      <c r="A26" s="12"/>
      <c r="B26" s="13"/>
      <c r="C26" s="14"/>
      <c r="D26" s="14"/>
      <c r="E26" s="13"/>
      <c r="F26" s="15"/>
      <c r="G26" s="16" t="str">
        <f aca="false">IF(OR(B26="",A26=""),"",C26*IFERROR(INDEX(Kişiler!$B$5:$B$44,MATCH(B26,Kişiler!$A$5:$A$44,0)),0)+D26*IFERROR(INDEX(Kişiler!$C$5:$C$44,MATCH(B26,Kişiler!$A$5:$A$44,0)),0))</f>
        <v/>
      </c>
    </row>
    <row r="27" customFormat="false" ht="15" hidden="false" customHeight="false" outlineLevel="0" collapsed="false">
      <c r="A27" s="12"/>
      <c r="B27" s="13"/>
      <c r="C27" s="14"/>
      <c r="D27" s="14"/>
      <c r="E27" s="13"/>
      <c r="F27" s="15"/>
      <c r="G27" s="16" t="str">
        <f aca="false">IF(OR(B27="",A27=""),"",C27*IFERROR(INDEX(Kişiler!$B$5:$B$44,MATCH(B27,Kişiler!$A$5:$A$44,0)),0)+D27*IFERROR(INDEX(Kişiler!$C$5:$C$44,MATCH(B27,Kişiler!$A$5:$A$44,0)),0))</f>
        <v/>
      </c>
    </row>
    <row r="28" customFormat="false" ht="15" hidden="false" customHeight="false" outlineLevel="0" collapsed="false">
      <c r="A28" s="12"/>
      <c r="B28" s="13"/>
      <c r="C28" s="14"/>
      <c r="D28" s="14"/>
      <c r="E28" s="13"/>
      <c r="F28" s="15"/>
      <c r="G28" s="16" t="str">
        <f aca="false">IF(OR(B28="",A28=""),"",C28*IFERROR(INDEX(Kişiler!$B$5:$B$44,MATCH(B28,Kişiler!$A$5:$A$44,0)),0)+D28*IFERROR(INDEX(Kişiler!$C$5:$C$44,MATCH(B28,Kişiler!$A$5:$A$44,0)),0))</f>
        <v/>
      </c>
    </row>
    <row r="29" customFormat="false" ht="15" hidden="false" customHeight="false" outlineLevel="0" collapsed="false">
      <c r="A29" s="12"/>
      <c r="B29" s="13"/>
      <c r="C29" s="14"/>
      <c r="D29" s="14"/>
      <c r="E29" s="13"/>
      <c r="F29" s="15"/>
      <c r="G29" s="16" t="str">
        <f aca="false">IF(OR(B29="",A29=""),"",C29*IFERROR(INDEX(Kişiler!$B$5:$B$44,MATCH(B29,Kişiler!$A$5:$A$44,0)),0)+D29*IFERROR(INDEX(Kişiler!$C$5:$C$44,MATCH(B29,Kişiler!$A$5:$A$44,0)),0))</f>
        <v/>
      </c>
    </row>
    <row r="30" customFormat="false" ht="15" hidden="false" customHeight="false" outlineLevel="0" collapsed="false">
      <c r="A30" s="12"/>
      <c r="B30" s="13"/>
      <c r="C30" s="14"/>
      <c r="D30" s="14"/>
      <c r="E30" s="13"/>
      <c r="F30" s="15"/>
      <c r="G30" s="16" t="str">
        <f aca="false">IF(OR(B30="",A30=""),"",C30*IFERROR(INDEX(Kişiler!$B$5:$B$44,MATCH(B30,Kişiler!$A$5:$A$44,0)),0)+D30*IFERROR(INDEX(Kişiler!$C$5:$C$44,MATCH(B30,Kişiler!$A$5:$A$44,0)),0))</f>
        <v/>
      </c>
    </row>
    <row r="31" customFormat="false" ht="15" hidden="false" customHeight="false" outlineLevel="0" collapsed="false">
      <c r="A31" s="12"/>
      <c r="B31" s="13"/>
      <c r="C31" s="14"/>
      <c r="D31" s="14"/>
      <c r="E31" s="13"/>
      <c r="F31" s="15"/>
      <c r="G31" s="16" t="str">
        <f aca="false">IF(OR(B31="",A31=""),"",C31*IFERROR(INDEX(Kişiler!$B$5:$B$44,MATCH(B31,Kişiler!$A$5:$A$44,0)),0)+D31*IFERROR(INDEX(Kişiler!$C$5:$C$44,MATCH(B31,Kişiler!$A$5:$A$44,0)),0))</f>
        <v/>
      </c>
    </row>
    <row r="32" customFormat="false" ht="15" hidden="false" customHeight="false" outlineLevel="0" collapsed="false">
      <c r="A32" s="12"/>
      <c r="B32" s="13"/>
      <c r="C32" s="14"/>
      <c r="D32" s="14"/>
      <c r="E32" s="13"/>
      <c r="F32" s="15"/>
      <c r="G32" s="16" t="str">
        <f aca="false">IF(OR(B32="",A32=""),"",C32*IFERROR(INDEX(Kişiler!$B$5:$B$44,MATCH(B32,Kişiler!$A$5:$A$44,0)),0)+D32*IFERROR(INDEX(Kişiler!$C$5:$C$44,MATCH(B32,Kişiler!$A$5:$A$44,0)),0))</f>
        <v/>
      </c>
    </row>
    <row r="33" customFormat="false" ht="15" hidden="false" customHeight="false" outlineLevel="0" collapsed="false">
      <c r="A33" s="12"/>
      <c r="B33" s="13"/>
      <c r="C33" s="14"/>
      <c r="D33" s="14"/>
      <c r="E33" s="13"/>
      <c r="F33" s="15"/>
      <c r="G33" s="16" t="str">
        <f aca="false">IF(OR(B33="",A33=""),"",C33*IFERROR(INDEX(Kişiler!$B$5:$B$44,MATCH(B33,Kişiler!$A$5:$A$44,0)),0)+D33*IFERROR(INDEX(Kişiler!$C$5:$C$44,MATCH(B33,Kişiler!$A$5:$A$44,0)),0))</f>
        <v/>
      </c>
    </row>
    <row r="34" customFormat="false" ht="15" hidden="false" customHeight="false" outlineLevel="0" collapsed="false">
      <c r="A34" s="12"/>
      <c r="B34" s="13"/>
      <c r="C34" s="14"/>
      <c r="D34" s="14"/>
      <c r="E34" s="13"/>
      <c r="F34" s="15"/>
      <c r="G34" s="16" t="str">
        <f aca="false">IF(OR(B34="",A34=""),"",C34*IFERROR(INDEX(Kişiler!$B$5:$B$44,MATCH(B34,Kişiler!$A$5:$A$44,0)),0)+D34*IFERROR(INDEX(Kişiler!$C$5:$C$44,MATCH(B34,Kişiler!$A$5:$A$44,0)),0))</f>
        <v/>
      </c>
    </row>
    <row r="35" customFormat="false" ht="15" hidden="false" customHeight="false" outlineLevel="0" collapsed="false">
      <c r="A35" s="12"/>
      <c r="B35" s="13"/>
      <c r="C35" s="14"/>
      <c r="D35" s="14"/>
      <c r="E35" s="13"/>
      <c r="F35" s="15"/>
      <c r="G35" s="16" t="str">
        <f aca="false">IF(OR(B35="",A35=""),"",C35*IFERROR(INDEX(Kişiler!$B$5:$B$44,MATCH(B35,Kişiler!$A$5:$A$44,0)),0)+D35*IFERROR(INDEX(Kişiler!$C$5:$C$44,MATCH(B35,Kişiler!$A$5:$A$44,0)),0))</f>
        <v/>
      </c>
    </row>
    <row r="36" customFormat="false" ht="15" hidden="false" customHeight="false" outlineLevel="0" collapsed="false">
      <c r="A36" s="12"/>
      <c r="B36" s="13"/>
      <c r="C36" s="14"/>
      <c r="D36" s="14"/>
      <c r="E36" s="13"/>
      <c r="F36" s="15"/>
      <c r="G36" s="16" t="str">
        <f aca="false">IF(OR(B36="",A36=""),"",C36*IFERROR(INDEX(Kişiler!$B$5:$B$44,MATCH(B36,Kişiler!$A$5:$A$44,0)),0)+D36*IFERROR(INDEX(Kişiler!$C$5:$C$44,MATCH(B36,Kişiler!$A$5:$A$44,0)),0))</f>
        <v/>
      </c>
    </row>
    <row r="37" customFormat="false" ht="15" hidden="false" customHeight="false" outlineLevel="0" collapsed="false">
      <c r="A37" s="12"/>
      <c r="B37" s="13"/>
      <c r="C37" s="14"/>
      <c r="D37" s="14"/>
      <c r="E37" s="13"/>
      <c r="F37" s="15"/>
      <c r="G37" s="16" t="str">
        <f aca="false">IF(OR(B37="",A37=""),"",C37*IFERROR(INDEX(Kişiler!$B$5:$B$44,MATCH(B37,Kişiler!$A$5:$A$44,0)),0)+D37*IFERROR(INDEX(Kişiler!$C$5:$C$44,MATCH(B37,Kişiler!$A$5:$A$44,0)),0))</f>
        <v/>
      </c>
    </row>
    <row r="38" customFormat="false" ht="15" hidden="false" customHeight="false" outlineLevel="0" collapsed="false">
      <c r="A38" s="12"/>
      <c r="B38" s="13"/>
      <c r="C38" s="14"/>
      <c r="D38" s="14"/>
      <c r="E38" s="13"/>
      <c r="F38" s="15"/>
      <c r="G38" s="16" t="str">
        <f aca="false">IF(OR(B38="",A38=""),"",C38*IFERROR(INDEX(Kişiler!$B$5:$B$44,MATCH(B38,Kişiler!$A$5:$A$44,0)),0)+D38*IFERROR(INDEX(Kişiler!$C$5:$C$44,MATCH(B38,Kişiler!$A$5:$A$44,0)),0))</f>
        <v/>
      </c>
    </row>
    <row r="39" customFormat="false" ht="15" hidden="false" customHeight="false" outlineLevel="0" collapsed="false">
      <c r="A39" s="12"/>
      <c r="B39" s="13"/>
      <c r="C39" s="14"/>
      <c r="D39" s="14"/>
      <c r="E39" s="13"/>
      <c r="F39" s="15"/>
      <c r="G39" s="16" t="str">
        <f aca="false">IF(OR(B39="",A39=""),"",C39*IFERROR(INDEX(Kişiler!$B$5:$B$44,MATCH(B39,Kişiler!$A$5:$A$44,0)),0)+D39*IFERROR(INDEX(Kişiler!$C$5:$C$44,MATCH(B39,Kişiler!$A$5:$A$44,0)),0))</f>
        <v/>
      </c>
    </row>
    <row r="40" customFormat="false" ht="15" hidden="false" customHeight="false" outlineLevel="0" collapsed="false">
      <c r="A40" s="12"/>
      <c r="B40" s="13"/>
      <c r="C40" s="14"/>
      <c r="D40" s="14"/>
      <c r="E40" s="13"/>
      <c r="F40" s="15"/>
      <c r="G40" s="16" t="str">
        <f aca="false">IF(OR(B40="",A40=""),"",C40*IFERROR(INDEX(Kişiler!$B$5:$B$44,MATCH(B40,Kişiler!$A$5:$A$44,0)),0)+D40*IFERROR(INDEX(Kişiler!$C$5:$C$44,MATCH(B40,Kişiler!$A$5:$A$44,0)),0))</f>
        <v/>
      </c>
    </row>
    <row r="41" customFormat="false" ht="15" hidden="false" customHeight="false" outlineLevel="0" collapsed="false">
      <c r="A41" s="12"/>
      <c r="B41" s="13"/>
      <c r="C41" s="14"/>
      <c r="D41" s="14"/>
      <c r="E41" s="13"/>
      <c r="F41" s="15"/>
      <c r="G41" s="16" t="str">
        <f aca="false">IF(OR(B41="",A41=""),"",C41*IFERROR(INDEX(Kişiler!$B$5:$B$44,MATCH(B41,Kişiler!$A$5:$A$44,0)),0)+D41*IFERROR(INDEX(Kişiler!$C$5:$C$44,MATCH(B41,Kişiler!$A$5:$A$44,0)),0))</f>
        <v/>
      </c>
    </row>
    <row r="42" customFormat="false" ht="15" hidden="false" customHeight="false" outlineLevel="0" collapsed="false">
      <c r="A42" s="12"/>
      <c r="B42" s="13"/>
      <c r="C42" s="14"/>
      <c r="D42" s="14"/>
      <c r="E42" s="13"/>
      <c r="F42" s="15"/>
      <c r="G42" s="16" t="str">
        <f aca="false">IF(OR(B42="",A42=""),"",C42*IFERROR(INDEX(Kişiler!$B$5:$B$44,MATCH(B42,Kişiler!$A$5:$A$44,0)),0)+D42*IFERROR(INDEX(Kişiler!$C$5:$C$44,MATCH(B42,Kişiler!$A$5:$A$44,0)),0))</f>
        <v/>
      </c>
    </row>
    <row r="43" customFormat="false" ht="15" hidden="false" customHeight="false" outlineLevel="0" collapsed="false">
      <c r="A43" s="12"/>
      <c r="B43" s="13"/>
      <c r="C43" s="14"/>
      <c r="D43" s="14"/>
      <c r="E43" s="13"/>
      <c r="F43" s="15"/>
      <c r="G43" s="16" t="str">
        <f aca="false">IF(OR(B43="",A43=""),"",C43*IFERROR(INDEX(Kişiler!$B$5:$B$44,MATCH(B43,Kişiler!$A$5:$A$44,0)),0)+D43*IFERROR(INDEX(Kişiler!$C$5:$C$44,MATCH(B43,Kişiler!$A$5:$A$44,0)),0))</f>
        <v/>
      </c>
    </row>
    <row r="44" customFormat="false" ht="15" hidden="false" customHeight="false" outlineLevel="0" collapsed="false">
      <c r="A44" s="12"/>
      <c r="B44" s="13"/>
      <c r="C44" s="14"/>
      <c r="D44" s="14"/>
      <c r="E44" s="13"/>
      <c r="F44" s="15"/>
      <c r="G44" s="16" t="str">
        <f aca="false">IF(OR(B44="",A44=""),"",C44*IFERROR(INDEX(Kişiler!$B$5:$B$44,MATCH(B44,Kişiler!$A$5:$A$44,0)),0)+D44*IFERROR(INDEX(Kişiler!$C$5:$C$44,MATCH(B44,Kişiler!$A$5:$A$44,0)),0))</f>
        <v/>
      </c>
    </row>
    <row r="45" customFormat="false" ht="15" hidden="false" customHeight="false" outlineLevel="0" collapsed="false">
      <c r="A45" s="12"/>
      <c r="B45" s="13"/>
      <c r="C45" s="14"/>
      <c r="D45" s="14"/>
      <c r="E45" s="13"/>
      <c r="F45" s="15"/>
      <c r="G45" s="16" t="str">
        <f aca="false">IF(OR(B45="",A45=""),"",C45*IFERROR(INDEX(Kişiler!$B$5:$B$44,MATCH(B45,Kişiler!$A$5:$A$44,0)),0)+D45*IFERROR(INDEX(Kişiler!$C$5:$C$44,MATCH(B45,Kişiler!$A$5:$A$44,0)),0))</f>
        <v/>
      </c>
    </row>
    <row r="46" customFormat="false" ht="15" hidden="false" customHeight="false" outlineLevel="0" collapsed="false">
      <c r="A46" s="12"/>
      <c r="B46" s="13"/>
      <c r="C46" s="14"/>
      <c r="D46" s="14"/>
      <c r="E46" s="13"/>
      <c r="F46" s="15"/>
      <c r="G46" s="16" t="str">
        <f aca="false">IF(OR(B46="",A46=""),"",C46*IFERROR(INDEX(Kişiler!$B$5:$B$44,MATCH(B46,Kişiler!$A$5:$A$44,0)),0)+D46*IFERROR(INDEX(Kişiler!$C$5:$C$44,MATCH(B46,Kişiler!$A$5:$A$44,0)),0))</f>
        <v/>
      </c>
    </row>
    <row r="47" customFormat="false" ht="15" hidden="false" customHeight="false" outlineLevel="0" collapsed="false">
      <c r="A47" s="12"/>
      <c r="B47" s="13"/>
      <c r="C47" s="14"/>
      <c r="D47" s="14"/>
      <c r="E47" s="13"/>
      <c r="F47" s="15"/>
      <c r="G47" s="16" t="str">
        <f aca="false">IF(OR(B47="",A47=""),"",C47*IFERROR(INDEX(Kişiler!$B$5:$B$44,MATCH(B47,Kişiler!$A$5:$A$44,0)),0)+D47*IFERROR(INDEX(Kişiler!$C$5:$C$44,MATCH(B47,Kişiler!$A$5:$A$44,0)),0))</f>
        <v/>
      </c>
    </row>
    <row r="48" customFormat="false" ht="15" hidden="false" customHeight="false" outlineLevel="0" collapsed="false">
      <c r="A48" s="12"/>
      <c r="B48" s="13"/>
      <c r="C48" s="14"/>
      <c r="D48" s="14"/>
      <c r="E48" s="13"/>
      <c r="F48" s="15"/>
      <c r="G48" s="16" t="str">
        <f aca="false">IF(OR(B48="",A48=""),"",C48*IFERROR(INDEX(Kişiler!$B$5:$B$44,MATCH(B48,Kişiler!$A$5:$A$44,0)),0)+D48*IFERROR(INDEX(Kişiler!$C$5:$C$44,MATCH(B48,Kişiler!$A$5:$A$44,0)),0))</f>
        <v/>
      </c>
    </row>
    <row r="49" customFormat="false" ht="15" hidden="false" customHeight="false" outlineLevel="0" collapsed="false">
      <c r="A49" s="12"/>
      <c r="B49" s="13"/>
      <c r="C49" s="14"/>
      <c r="D49" s="14"/>
      <c r="E49" s="13"/>
      <c r="F49" s="15"/>
      <c r="G49" s="16" t="str">
        <f aca="false">IF(OR(B49="",A49=""),"",C49*IFERROR(INDEX(Kişiler!$B$5:$B$44,MATCH(B49,Kişiler!$A$5:$A$44,0)),0)+D49*IFERROR(INDEX(Kişiler!$C$5:$C$44,MATCH(B49,Kişiler!$A$5:$A$44,0)),0))</f>
        <v/>
      </c>
    </row>
    <row r="50" customFormat="false" ht="15" hidden="false" customHeight="false" outlineLevel="0" collapsed="false">
      <c r="A50" s="12"/>
      <c r="B50" s="13"/>
      <c r="C50" s="14"/>
      <c r="D50" s="14"/>
      <c r="E50" s="13"/>
      <c r="F50" s="15"/>
      <c r="G50" s="16" t="str">
        <f aca="false">IF(OR(B50="",A50=""),"",C50*IFERROR(INDEX(Kişiler!$B$5:$B$44,MATCH(B50,Kişiler!$A$5:$A$44,0)),0)+D50*IFERROR(INDEX(Kişiler!$C$5:$C$44,MATCH(B50,Kişiler!$A$5:$A$44,0)),0))</f>
        <v/>
      </c>
    </row>
    <row r="51" customFormat="false" ht="15" hidden="false" customHeight="false" outlineLevel="0" collapsed="false">
      <c r="A51" s="12"/>
      <c r="B51" s="13"/>
      <c r="C51" s="14"/>
      <c r="D51" s="14"/>
      <c r="E51" s="13"/>
      <c r="F51" s="15"/>
      <c r="G51" s="16" t="str">
        <f aca="false">IF(OR(B51="",A51=""),"",C51*IFERROR(INDEX(Kişiler!$B$5:$B$44,MATCH(B51,Kişiler!$A$5:$A$44,0)),0)+D51*IFERROR(INDEX(Kişiler!$C$5:$C$44,MATCH(B51,Kişiler!$A$5:$A$44,0)),0))</f>
        <v/>
      </c>
    </row>
    <row r="52" customFormat="false" ht="15" hidden="false" customHeight="false" outlineLevel="0" collapsed="false">
      <c r="A52" s="12"/>
      <c r="B52" s="13"/>
      <c r="C52" s="14"/>
      <c r="D52" s="14"/>
      <c r="E52" s="13"/>
      <c r="F52" s="15"/>
      <c r="G52" s="16" t="str">
        <f aca="false">IF(OR(B52="",A52=""),"",C52*IFERROR(INDEX(Kişiler!$B$5:$B$44,MATCH(B52,Kişiler!$A$5:$A$44,0)),0)+D52*IFERROR(INDEX(Kişiler!$C$5:$C$44,MATCH(B52,Kişiler!$A$5:$A$44,0)),0))</f>
        <v/>
      </c>
    </row>
    <row r="53" customFormat="false" ht="15" hidden="false" customHeight="false" outlineLevel="0" collapsed="false">
      <c r="A53" s="12"/>
      <c r="B53" s="13"/>
      <c r="C53" s="14"/>
      <c r="D53" s="14"/>
      <c r="E53" s="13"/>
      <c r="F53" s="15"/>
      <c r="G53" s="16" t="str">
        <f aca="false">IF(OR(B53="",A53=""),"",C53*IFERROR(INDEX(Kişiler!$B$5:$B$44,MATCH(B53,Kişiler!$A$5:$A$44,0)),0)+D53*IFERROR(INDEX(Kişiler!$C$5:$C$44,MATCH(B53,Kişiler!$A$5:$A$44,0)),0))</f>
        <v/>
      </c>
    </row>
    <row r="54" customFormat="false" ht="15" hidden="false" customHeight="false" outlineLevel="0" collapsed="false">
      <c r="A54" s="12"/>
      <c r="B54" s="13"/>
      <c r="C54" s="14"/>
      <c r="D54" s="14"/>
      <c r="E54" s="13"/>
      <c r="F54" s="15"/>
      <c r="G54" s="16" t="str">
        <f aca="false">IF(OR(B54="",A54=""),"",C54*IFERROR(INDEX(Kişiler!$B$5:$B$44,MATCH(B54,Kişiler!$A$5:$A$44,0)),0)+D54*IFERROR(INDEX(Kişiler!$C$5:$C$44,MATCH(B54,Kişiler!$A$5:$A$44,0)),0))</f>
        <v/>
      </c>
    </row>
    <row r="55" customFormat="false" ht="15" hidden="false" customHeight="false" outlineLevel="0" collapsed="false">
      <c r="A55" s="12"/>
      <c r="B55" s="13"/>
      <c r="C55" s="14"/>
      <c r="D55" s="14"/>
      <c r="E55" s="13"/>
      <c r="F55" s="15"/>
      <c r="G55" s="16" t="str">
        <f aca="false">IF(OR(B55="",A55=""),"",C55*IFERROR(INDEX(Kişiler!$B$5:$B$44,MATCH(B55,Kişiler!$A$5:$A$44,0)),0)+D55*IFERROR(INDEX(Kişiler!$C$5:$C$44,MATCH(B55,Kişiler!$A$5:$A$44,0)),0))</f>
        <v/>
      </c>
    </row>
    <row r="56" customFormat="false" ht="15" hidden="false" customHeight="false" outlineLevel="0" collapsed="false">
      <c r="A56" s="12"/>
      <c r="B56" s="13"/>
      <c r="C56" s="14"/>
      <c r="D56" s="14"/>
      <c r="E56" s="13"/>
      <c r="F56" s="15"/>
      <c r="G56" s="16" t="str">
        <f aca="false">IF(OR(B56="",A56=""),"",C56*IFERROR(INDEX(Kişiler!$B$5:$B$44,MATCH(B56,Kişiler!$A$5:$A$44,0)),0)+D56*IFERROR(INDEX(Kişiler!$C$5:$C$44,MATCH(B56,Kişiler!$A$5:$A$44,0)),0))</f>
        <v/>
      </c>
    </row>
    <row r="57" customFormat="false" ht="15" hidden="false" customHeight="false" outlineLevel="0" collapsed="false">
      <c r="A57" s="12"/>
      <c r="B57" s="13"/>
      <c r="C57" s="14"/>
      <c r="D57" s="14"/>
      <c r="E57" s="13"/>
      <c r="F57" s="15"/>
      <c r="G57" s="16" t="str">
        <f aca="false">IF(OR(B57="",A57=""),"",C57*IFERROR(INDEX(Kişiler!$B$5:$B$44,MATCH(B57,Kişiler!$A$5:$A$44,0)),0)+D57*IFERROR(INDEX(Kişiler!$C$5:$C$44,MATCH(B57,Kişiler!$A$5:$A$44,0)),0))</f>
        <v/>
      </c>
    </row>
    <row r="58" customFormat="false" ht="15" hidden="false" customHeight="false" outlineLevel="0" collapsed="false">
      <c r="A58" s="12"/>
      <c r="B58" s="13"/>
      <c r="C58" s="14"/>
      <c r="D58" s="14"/>
      <c r="E58" s="13"/>
      <c r="F58" s="15"/>
      <c r="G58" s="16" t="str">
        <f aca="false">IF(OR(B58="",A58=""),"",C58*IFERROR(INDEX(Kişiler!$B$5:$B$44,MATCH(B58,Kişiler!$A$5:$A$44,0)),0)+D58*IFERROR(INDEX(Kişiler!$C$5:$C$44,MATCH(B58,Kişiler!$A$5:$A$44,0)),0))</f>
        <v/>
      </c>
    </row>
    <row r="59" customFormat="false" ht="15" hidden="false" customHeight="false" outlineLevel="0" collapsed="false">
      <c r="A59" s="12"/>
      <c r="B59" s="13"/>
      <c r="C59" s="14"/>
      <c r="D59" s="14"/>
      <c r="E59" s="13"/>
      <c r="F59" s="15"/>
      <c r="G59" s="16" t="str">
        <f aca="false">IF(OR(B59="",A59=""),"",C59*IFERROR(INDEX(Kişiler!$B$5:$B$44,MATCH(B59,Kişiler!$A$5:$A$44,0)),0)+D59*IFERROR(INDEX(Kişiler!$C$5:$C$44,MATCH(B59,Kişiler!$A$5:$A$44,0)),0))</f>
        <v/>
      </c>
    </row>
    <row r="60" customFormat="false" ht="15" hidden="false" customHeight="false" outlineLevel="0" collapsed="false">
      <c r="A60" s="12"/>
      <c r="B60" s="13"/>
      <c r="C60" s="14"/>
      <c r="D60" s="14"/>
      <c r="E60" s="13"/>
      <c r="F60" s="15"/>
      <c r="G60" s="16" t="str">
        <f aca="false">IF(OR(B60="",A60=""),"",C60*IFERROR(INDEX(Kişiler!$B$5:$B$44,MATCH(B60,Kişiler!$A$5:$A$44,0)),0)+D60*IFERROR(INDEX(Kişiler!$C$5:$C$44,MATCH(B60,Kişiler!$A$5:$A$44,0)),0))</f>
        <v/>
      </c>
    </row>
    <row r="61" customFormat="false" ht="15" hidden="false" customHeight="false" outlineLevel="0" collapsed="false">
      <c r="A61" s="12"/>
      <c r="B61" s="13"/>
      <c r="C61" s="14"/>
      <c r="D61" s="14"/>
      <c r="E61" s="13"/>
      <c r="F61" s="15"/>
      <c r="G61" s="16" t="str">
        <f aca="false">IF(OR(B61="",A61=""),"",C61*IFERROR(INDEX(Kişiler!$B$5:$B$44,MATCH(B61,Kişiler!$A$5:$A$44,0)),0)+D61*IFERROR(INDEX(Kişiler!$C$5:$C$44,MATCH(B61,Kişiler!$A$5:$A$44,0)),0))</f>
        <v/>
      </c>
    </row>
    <row r="62" customFormat="false" ht="15" hidden="false" customHeight="false" outlineLevel="0" collapsed="false">
      <c r="A62" s="12"/>
      <c r="B62" s="13"/>
      <c r="C62" s="14"/>
      <c r="D62" s="14"/>
      <c r="E62" s="13"/>
      <c r="F62" s="15"/>
      <c r="G62" s="16" t="str">
        <f aca="false">IF(OR(B62="",A62=""),"",C62*IFERROR(INDEX(Kişiler!$B$5:$B$44,MATCH(B62,Kişiler!$A$5:$A$44,0)),0)+D62*IFERROR(INDEX(Kişiler!$C$5:$C$44,MATCH(B62,Kişiler!$A$5:$A$44,0)),0))</f>
        <v/>
      </c>
    </row>
    <row r="63" customFormat="false" ht="15" hidden="false" customHeight="false" outlineLevel="0" collapsed="false">
      <c r="A63" s="12"/>
      <c r="B63" s="13"/>
      <c r="C63" s="14"/>
      <c r="D63" s="14"/>
      <c r="E63" s="13"/>
      <c r="F63" s="15"/>
      <c r="G63" s="16" t="str">
        <f aca="false">IF(OR(B63="",A63=""),"",C63*IFERROR(INDEX(Kişiler!$B$5:$B$44,MATCH(B63,Kişiler!$A$5:$A$44,0)),0)+D63*IFERROR(INDEX(Kişiler!$C$5:$C$44,MATCH(B63,Kişiler!$A$5:$A$44,0)),0))</f>
        <v/>
      </c>
    </row>
    <row r="64" customFormat="false" ht="15" hidden="false" customHeight="false" outlineLevel="0" collapsed="false">
      <c r="A64" s="12"/>
      <c r="B64" s="13"/>
      <c r="C64" s="14"/>
      <c r="D64" s="14"/>
      <c r="E64" s="13"/>
      <c r="F64" s="15"/>
      <c r="G64" s="16" t="str">
        <f aca="false">IF(OR(B64="",A64=""),"",C64*IFERROR(INDEX(Kişiler!$B$5:$B$44,MATCH(B64,Kişiler!$A$5:$A$44,0)),0)+D64*IFERROR(INDEX(Kişiler!$C$5:$C$44,MATCH(B64,Kişiler!$A$5:$A$44,0)),0))</f>
        <v/>
      </c>
    </row>
    <row r="65" customFormat="false" ht="15" hidden="false" customHeight="false" outlineLevel="0" collapsed="false">
      <c r="A65" s="12"/>
      <c r="B65" s="13"/>
      <c r="C65" s="14"/>
      <c r="D65" s="14"/>
      <c r="E65" s="13"/>
      <c r="F65" s="15"/>
      <c r="G65" s="16" t="str">
        <f aca="false">IF(OR(B65="",A65=""),"",C65*IFERROR(INDEX(Kişiler!$B$5:$B$44,MATCH(B65,Kişiler!$A$5:$A$44,0)),0)+D65*IFERROR(INDEX(Kişiler!$C$5:$C$44,MATCH(B65,Kişiler!$A$5:$A$44,0)),0))</f>
        <v/>
      </c>
    </row>
    <row r="66" customFormat="false" ht="15" hidden="false" customHeight="false" outlineLevel="0" collapsed="false">
      <c r="A66" s="12"/>
      <c r="B66" s="13"/>
      <c r="C66" s="14"/>
      <c r="D66" s="14"/>
      <c r="E66" s="13"/>
      <c r="F66" s="15"/>
      <c r="G66" s="16" t="str">
        <f aca="false">IF(OR(B66="",A66=""),"",C66*IFERROR(INDEX(Kişiler!$B$5:$B$44,MATCH(B66,Kişiler!$A$5:$A$44,0)),0)+D66*IFERROR(INDEX(Kişiler!$C$5:$C$44,MATCH(B66,Kişiler!$A$5:$A$44,0)),0))</f>
        <v/>
      </c>
    </row>
    <row r="67" customFormat="false" ht="15" hidden="false" customHeight="false" outlineLevel="0" collapsed="false">
      <c r="A67" s="12"/>
      <c r="B67" s="13"/>
      <c r="C67" s="14"/>
      <c r="D67" s="14"/>
      <c r="E67" s="13"/>
      <c r="F67" s="15"/>
      <c r="G67" s="16" t="str">
        <f aca="false">IF(OR(B67="",A67=""),"",C67*IFERROR(INDEX(Kişiler!$B$5:$B$44,MATCH(B67,Kişiler!$A$5:$A$44,0)),0)+D67*IFERROR(INDEX(Kişiler!$C$5:$C$44,MATCH(B67,Kişiler!$A$5:$A$44,0)),0))</f>
        <v/>
      </c>
    </row>
    <row r="68" customFormat="false" ht="15" hidden="false" customHeight="false" outlineLevel="0" collapsed="false">
      <c r="A68" s="12"/>
      <c r="B68" s="13"/>
      <c r="C68" s="14"/>
      <c r="D68" s="14"/>
      <c r="E68" s="13"/>
      <c r="F68" s="15"/>
      <c r="G68" s="16" t="str">
        <f aca="false">IF(OR(B68="",A68=""),"",C68*IFERROR(INDEX(Kişiler!$B$5:$B$44,MATCH(B68,Kişiler!$A$5:$A$44,0)),0)+D68*IFERROR(INDEX(Kişiler!$C$5:$C$44,MATCH(B68,Kişiler!$A$5:$A$44,0)),0))</f>
        <v/>
      </c>
    </row>
    <row r="69" customFormat="false" ht="15" hidden="false" customHeight="false" outlineLevel="0" collapsed="false">
      <c r="A69" s="12"/>
      <c r="B69" s="13"/>
      <c r="C69" s="14"/>
      <c r="D69" s="14"/>
      <c r="E69" s="13"/>
      <c r="F69" s="15"/>
      <c r="G69" s="16" t="str">
        <f aca="false">IF(OR(B69="",A69=""),"",C69*IFERROR(INDEX(Kişiler!$B$5:$B$44,MATCH(B69,Kişiler!$A$5:$A$44,0)),0)+D69*IFERROR(INDEX(Kişiler!$C$5:$C$44,MATCH(B69,Kişiler!$A$5:$A$44,0)),0))</f>
        <v/>
      </c>
    </row>
    <row r="70" customFormat="false" ht="15" hidden="false" customHeight="false" outlineLevel="0" collapsed="false">
      <c r="A70" s="12"/>
      <c r="B70" s="13"/>
      <c r="C70" s="14"/>
      <c r="D70" s="14"/>
      <c r="E70" s="13"/>
      <c r="F70" s="15"/>
      <c r="G70" s="16" t="str">
        <f aca="false">IF(OR(B70="",A70=""),"",C70*IFERROR(INDEX(Kişiler!$B$5:$B$44,MATCH(B70,Kişiler!$A$5:$A$44,0)),0)+D70*IFERROR(INDEX(Kişiler!$C$5:$C$44,MATCH(B70,Kişiler!$A$5:$A$44,0)),0))</f>
        <v/>
      </c>
    </row>
    <row r="71" customFormat="false" ht="15" hidden="false" customHeight="false" outlineLevel="0" collapsed="false">
      <c r="A71" s="12"/>
      <c r="B71" s="13"/>
      <c r="C71" s="14"/>
      <c r="D71" s="14"/>
      <c r="E71" s="13"/>
      <c r="F71" s="15"/>
      <c r="G71" s="16" t="str">
        <f aca="false">IF(OR(B71="",A71=""),"",C71*IFERROR(INDEX(Kişiler!$B$5:$B$44,MATCH(B71,Kişiler!$A$5:$A$44,0)),0)+D71*IFERROR(INDEX(Kişiler!$C$5:$C$44,MATCH(B71,Kişiler!$A$5:$A$44,0)),0))</f>
        <v/>
      </c>
    </row>
    <row r="72" customFormat="false" ht="15" hidden="false" customHeight="false" outlineLevel="0" collapsed="false">
      <c r="A72" s="12"/>
      <c r="B72" s="13"/>
      <c r="C72" s="14"/>
      <c r="D72" s="14"/>
      <c r="E72" s="13"/>
      <c r="F72" s="15"/>
      <c r="G72" s="16" t="str">
        <f aca="false">IF(OR(B72="",A72=""),"",C72*IFERROR(INDEX(Kişiler!$B$5:$B$44,MATCH(B72,Kişiler!$A$5:$A$44,0)),0)+D72*IFERROR(INDEX(Kişiler!$C$5:$C$44,MATCH(B72,Kişiler!$A$5:$A$44,0)),0))</f>
        <v/>
      </c>
    </row>
    <row r="73" customFormat="false" ht="15" hidden="false" customHeight="false" outlineLevel="0" collapsed="false">
      <c r="A73" s="12"/>
      <c r="B73" s="13"/>
      <c r="C73" s="14"/>
      <c r="D73" s="14"/>
      <c r="E73" s="13"/>
      <c r="F73" s="15"/>
      <c r="G73" s="16" t="str">
        <f aca="false">IF(OR(B73="",A73=""),"",C73*IFERROR(INDEX(Kişiler!$B$5:$B$44,MATCH(B73,Kişiler!$A$5:$A$44,0)),0)+D73*IFERROR(INDEX(Kişiler!$C$5:$C$44,MATCH(B73,Kişiler!$A$5:$A$44,0)),0))</f>
        <v/>
      </c>
    </row>
    <row r="74" customFormat="false" ht="15" hidden="false" customHeight="false" outlineLevel="0" collapsed="false">
      <c r="A74" s="12"/>
      <c r="B74" s="13"/>
      <c r="C74" s="14"/>
      <c r="D74" s="14"/>
      <c r="E74" s="13"/>
      <c r="F74" s="15"/>
      <c r="G74" s="16" t="str">
        <f aca="false">IF(OR(B74="",A74=""),"",C74*IFERROR(INDEX(Kişiler!$B$5:$B$44,MATCH(B74,Kişiler!$A$5:$A$44,0)),0)+D74*IFERROR(INDEX(Kişiler!$C$5:$C$44,MATCH(B74,Kişiler!$A$5:$A$44,0)),0))</f>
        <v/>
      </c>
    </row>
    <row r="75" customFormat="false" ht="15" hidden="false" customHeight="false" outlineLevel="0" collapsed="false">
      <c r="A75" s="12"/>
      <c r="B75" s="13"/>
      <c r="C75" s="14"/>
      <c r="D75" s="14"/>
      <c r="E75" s="13"/>
      <c r="F75" s="15"/>
      <c r="G75" s="16" t="str">
        <f aca="false">IF(OR(B75="",A75=""),"",C75*IFERROR(INDEX(Kişiler!$B$5:$B$44,MATCH(B75,Kişiler!$A$5:$A$44,0)),0)+D75*IFERROR(INDEX(Kişiler!$C$5:$C$44,MATCH(B75,Kişiler!$A$5:$A$44,0)),0))</f>
        <v/>
      </c>
    </row>
    <row r="76" customFormat="false" ht="15" hidden="false" customHeight="false" outlineLevel="0" collapsed="false">
      <c r="A76" s="12"/>
      <c r="B76" s="13"/>
      <c r="C76" s="14"/>
      <c r="D76" s="14"/>
      <c r="E76" s="13"/>
      <c r="F76" s="15"/>
      <c r="G76" s="16" t="str">
        <f aca="false">IF(OR(B76="",A76=""),"",C76*IFERROR(INDEX(Kişiler!$B$5:$B$44,MATCH(B76,Kişiler!$A$5:$A$44,0)),0)+D76*IFERROR(INDEX(Kişiler!$C$5:$C$44,MATCH(B76,Kişiler!$A$5:$A$44,0)),0))</f>
        <v/>
      </c>
    </row>
    <row r="77" customFormat="false" ht="15" hidden="false" customHeight="false" outlineLevel="0" collapsed="false">
      <c r="A77" s="12"/>
      <c r="B77" s="13"/>
      <c r="C77" s="14"/>
      <c r="D77" s="14"/>
      <c r="E77" s="13"/>
      <c r="F77" s="15"/>
      <c r="G77" s="16" t="str">
        <f aca="false">IF(OR(B77="",A77=""),"",C77*IFERROR(INDEX(Kişiler!$B$5:$B$44,MATCH(B77,Kişiler!$A$5:$A$44,0)),0)+D77*IFERROR(INDEX(Kişiler!$C$5:$C$44,MATCH(B77,Kişiler!$A$5:$A$44,0)),0))</f>
        <v/>
      </c>
    </row>
    <row r="78" customFormat="false" ht="15" hidden="false" customHeight="false" outlineLevel="0" collapsed="false">
      <c r="A78" s="12"/>
      <c r="B78" s="13"/>
      <c r="C78" s="14"/>
      <c r="D78" s="14"/>
      <c r="E78" s="13"/>
      <c r="F78" s="15"/>
      <c r="G78" s="16" t="str">
        <f aca="false">IF(OR(B78="",A78=""),"",C78*IFERROR(INDEX(Kişiler!$B$5:$B$44,MATCH(B78,Kişiler!$A$5:$A$44,0)),0)+D78*IFERROR(INDEX(Kişiler!$C$5:$C$44,MATCH(B78,Kişiler!$A$5:$A$44,0)),0))</f>
        <v/>
      </c>
    </row>
    <row r="79" customFormat="false" ht="15" hidden="false" customHeight="false" outlineLevel="0" collapsed="false">
      <c r="A79" s="12"/>
      <c r="B79" s="13"/>
      <c r="C79" s="14"/>
      <c r="D79" s="14"/>
      <c r="E79" s="13"/>
      <c r="F79" s="15"/>
      <c r="G79" s="16" t="str">
        <f aca="false">IF(OR(B79="",A79=""),"",C79*IFERROR(INDEX(Kişiler!$B$5:$B$44,MATCH(B79,Kişiler!$A$5:$A$44,0)),0)+D79*IFERROR(INDEX(Kişiler!$C$5:$C$44,MATCH(B79,Kişiler!$A$5:$A$44,0)),0))</f>
        <v/>
      </c>
    </row>
    <row r="80" customFormat="false" ht="15" hidden="false" customHeight="false" outlineLevel="0" collapsed="false">
      <c r="A80" s="12"/>
      <c r="B80" s="13"/>
      <c r="C80" s="14"/>
      <c r="D80" s="14"/>
      <c r="E80" s="13"/>
      <c r="F80" s="15"/>
      <c r="G80" s="16" t="str">
        <f aca="false">IF(OR(B80="",A80=""),"",C80*IFERROR(INDEX(Kişiler!$B$5:$B$44,MATCH(B80,Kişiler!$A$5:$A$44,0)),0)+D80*IFERROR(INDEX(Kişiler!$C$5:$C$44,MATCH(B80,Kişiler!$A$5:$A$44,0)),0))</f>
        <v/>
      </c>
    </row>
    <row r="81" customFormat="false" ht="15" hidden="false" customHeight="false" outlineLevel="0" collapsed="false">
      <c r="A81" s="12"/>
      <c r="B81" s="13"/>
      <c r="C81" s="14"/>
      <c r="D81" s="14"/>
      <c r="E81" s="13"/>
      <c r="F81" s="15"/>
      <c r="G81" s="16" t="str">
        <f aca="false">IF(OR(B81="",A81=""),"",C81*IFERROR(INDEX(Kişiler!$B$5:$B$44,MATCH(B81,Kişiler!$A$5:$A$44,0)),0)+D81*IFERROR(INDEX(Kişiler!$C$5:$C$44,MATCH(B81,Kişiler!$A$5:$A$44,0)),0))</f>
        <v/>
      </c>
    </row>
    <row r="82" customFormat="false" ht="15" hidden="false" customHeight="false" outlineLevel="0" collapsed="false">
      <c r="A82" s="12"/>
      <c r="B82" s="13"/>
      <c r="C82" s="14"/>
      <c r="D82" s="14"/>
      <c r="E82" s="13"/>
      <c r="F82" s="15"/>
      <c r="G82" s="16" t="str">
        <f aca="false">IF(OR(B82="",A82=""),"",C82*IFERROR(INDEX(Kişiler!$B$5:$B$44,MATCH(B82,Kişiler!$A$5:$A$44,0)),0)+D82*IFERROR(INDEX(Kişiler!$C$5:$C$44,MATCH(B82,Kişiler!$A$5:$A$44,0)),0))</f>
        <v/>
      </c>
    </row>
    <row r="83" customFormat="false" ht="15" hidden="false" customHeight="false" outlineLevel="0" collapsed="false">
      <c r="A83" s="12"/>
      <c r="B83" s="13"/>
      <c r="C83" s="14"/>
      <c r="D83" s="14"/>
      <c r="E83" s="13"/>
      <c r="F83" s="15"/>
      <c r="G83" s="16" t="str">
        <f aca="false">IF(OR(B83="",A83=""),"",C83*IFERROR(INDEX(Kişiler!$B$5:$B$44,MATCH(B83,Kişiler!$A$5:$A$44,0)),0)+D83*IFERROR(INDEX(Kişiler!$C$5:$C$44,MATCH(B83,Kişiler!$A$5:$A$44,0)),0))</f>
        <v/>
      </c>
    </row>
    <row r="84" customFormat="false" ht="15" hidden="false" customHeight="false" outlineLevel="0" collapsed="false">
      <c r="A84" s="12"/>
      <c r="B84" s="13"/>
      <c r="C84" s="14"/>
      <c r="D84" s="14"/>
      <c r="E84" s="13"/>
      <c r="F84" s="15"/>
      <c r="G84" s="16" t="str">
        <f aca="false">IF(OR(B84="",A84=""),"",C84*IFERROR(INDEX(Kişiler!$B$5:$B$44,MATCH(B84,Kişiler!$A$5:$A$44,0)),0)+D84*IFERROR(INDEX(Kişiler!$C$5:$C$44,MATCH(B84,Kişiler!$A$5:$A$44,0)),0))</f>
        <v/>
      </c>
    </row>
    <row r="85" customFormat="false" ht="15" hidden="false" customHeight="false" outlineLevel="0" collapsed="false">
      <c r="A85" s="12"/>
      <c r="B85" s="13"/>
      <c r="C85" s="14"/>
      <c r="D85" s="14"/>
      <c r="E85" s="13"/>
      <c r="F85" s="15"/>
      <c r="G85" s="16" t="str">
        <f aca="false">IF(OR(B85="",A85=""),"",C85*IFERROR(INDEX(Kişiler!$B$5:$B$44,MATCH(B85,Kişiler!$A$5:$A$44,0)),0)+D85*IFERROR(INDEX(Kişiler!$C$5:$C$44,MATCH(B85,Kişiler!$A$5:$A$44,0)),0))</f>
        <v/>
      </c>
    </row>
    <row r="86" customFormat="false" ht="15" hidden="false" customHeight="false" outlineLevel="0" collapsed="false">
      <c r="A86" s="12"/>
      <c r="B86" s="13"/>
      <c r="C86" s="14"/>
      <c r="D86" s="14"/>
      <c r="E86" s="13"/>
      <c r="F86" s="15"/>
      <c r="G86" s="16" t="str">
        <f aca="false">IF(OR(B86="",A86=""),"",C86*IFERROR(INDEX(Kişiler!$B$5:$B$44,MATCH(B86,Kişiler!$A$5:$A$44,0)),0)+D86*IFERROR(INDEX(Kişiler!$C$5:$C$44,MATCH(B86,Kişiler!$A$5:$A$44,0)),0))</f>
        <v/>
      </c>
    </row>
    <row r="87" customFormat="false" ht="15" hidden="false" customHeight="false" outlineLevel="0" collapsed="false">
      <c r="A87" s="12"/>
      <c r="B87" s="13"/>
      <c r="C87" s="14"/>
      <c r="D87" s="14"/>
      <c r="E87" s="13"/>
      <c r="F87" s="15"/>
      <c r="G87" s="16" t="str">
        <f aca="false">IF(OR(B87="",A87=""),"",C87*IFERROR(INDEX(Kişiler!$B$5:$B$44,MATCH(B87,Kişiler!$A$5:$A$44,0)),0)+D87*IFERROR(INDEX(Kişiler!$C$5:$C$44,MATCH(B87,Kişiler!$A$5:$A$44,0)),0))</f>
        <v/>
      </c>
    </row>
    <row r="88" customFormat="false" ht="15" hidden="false" customHeight="false" outlineLevel="0" collapsed="false">
      <c r="A88" s="12"/>
      <c r="B88" s="13"/>
      <c r="C88" s="14"/>
      <c r="D88" s="14"/>
      <c r="E88" s="13"/>
      <c r="F88" s="15"/>
      <c r="G88" s="16" t="str">
        <f aca="false">IF(OR(B88="",A88=""),"",C88*IFERROR(INDEX(Kişiler!$B$5:$B$44,MATCH(B88,Kişiler!$A$5:$A$44,0)),0)+D88*IFERROR(INDEX(Kişiler!$C$5:$C$44,MATCH(B88,Kişiler!$A$5:$A$44,0)),0))</f>
        <v/>
      </c>
    </row>
    <row r="89" customFormat="false" ht="15" hidden="false" customHeight="false" outlineLevel="0" collapsed="false">
      <c r="A89" s="12"/>
      <c r="B89" s="13"/>
      <c r="C89" s="14"/>
      <c r="D89" s="14"/>
      <c r="E89" s="13"/>
      <c r="F89" s="15"/>
      <c r="G89" s="16" t="str">
        <f aca="false">IF(OR(B89="",A89=""),"",C89*IFERROR(INDEX(Kişiler!$B$5:$B$44,MATCH(B89,Kişiler!$A$5:$A$44,0)),0)+D89*IFERROR(INDEX(Kişiler!$C$5:$C$44,MATCH(B89,Kişiler!$A$5:$A$44,0)),0))</f>
        <v/>
      </c>
    </row>
    <row r="90" customFormat="false" ht="15" hidden="false" customHeight="false" outlineLevel="0" collapsed="false">
      <c r="A90" s="12"/>
      <c r="B90" s="13"/>
      <c r="C90" s="14"/>
      <c r="D90" s="14"/>
      <c r="E90" s="13"/>
      <c r="F90" s="15"/>
      <c r="G90" s="16" t="str">
        <f aca="false">IF(OR(B90="",A90=""),"",C90*IFERROR(INDEX(Kişiler!$B$5:$B$44,MATCH(B90,Kişiler!$A$5:$A$44,0)),0)+D90*IFERROR(INDEX(Kişiler!$C$5:$C$44,MATCH(B90,Kişiler!$A$5:$A$44,0)),0))</f>
        <v/>
      </c>
    </row>
    <row r="91" customFormat="false" ht="15" hidden="false" customHeight="false" outlineLevel="0" collapsed="false">
      <c r="A91" s="12"/>
      <c r="B91" s="13"/>
      <c r="C91" s="14"/>
      <c r="D91" s="14"/>
      <c r="E91" s="13"/>
      <c r="F91" s="15"/>
      <c r="G91" s="16" t="str">
        <f aca="false">IF(OR(B91="",A91=""),"",C91*IFERROR(INDEX(Kişiler!$B$5:$B$44,MATCH(B91,Kişiler!$A$5:$A$44,0)),0)+D91*IFERROR(INDEX(Kişiler!$C$5:$C$44,MATCH(B91,Kişiler!$A$5:$A$44,0)),0))</f>
        <v/>
      </c>
    </row>
    <row r="92" customFormat="false" ht="15" hidden="false" customHeight="false" outlineLevel="0" collapsed="false">
      <c r="A92" s="12"/>
      <c r="B92" s="13"/>
      <c r="C92" s="14"/>
      <c r="D92" s="14"/>
      <c r="E92" s="13"/>
      <c r="F92" s="15"/>
      <c r="G92" s="16" t="str">
        <f aca="false">IF(OR(B92="",A92=""),"",C92*IFERROR(INDEX(Kişiler!$B$5:$B$44,MATCH(B92,Kişiler!$A$5:$A$44,0)),0)+D92*IFERROR(INDEX(Kişiler!$C$5:$C$44,MATCH(B92,Kişiler!$A$5:$A$44,0)),0))</f>
        <v/>
      </c>
    </row>
    <row r="93" customFormat="false" ht="15" hidden="false" customHeight="false" outlineLevel="0" collapsed="false">
      <c r="A93" s="12"/>
      <c r="B93" s="13"/>
      <c r="C93" s="14"/>
      <c r="D93" s="14"/>
      <c r="E93" s="13"/>
      <c r="F93" s="15"/>
      <c r="G93" s="16" t="str">
        <f aca="false">IF(OR(B93="",A93=""),"",C93*IFERROR(INDEX(Kişiler!$B$5:$B$44,MATCH(B93,Kişiler!$A$5:$A$44,0)),0)+D93*IFERROR(INDEX(Kişiler!$C$5:$C$44,MATCH(B93,Kişiler!$A$5:$A$44,0)),0))</f>
        <v/>
      </c>
    </row>
    <row r="94" customFormat="false" ht="15" hidden="false" customHeight="false" outlineLevel="0" collapsed="false">
      <c r="A94" s="12"/>
      <c r="B94" s="13"/>
      <c r="C94" s="14"/>
      <c r="D94" s="14"/>
      <c r="E94" s="13"/>
      <c r="F94" s="15"/>
      <c r="G94" s="16" t="str">
        <f aca="false">IF(OR(B94="",A94=""),"",C94*IFERROR(INDEX(Kişiler!$B$5:$B$44,MATCH(B94,Kişiler!$A$5:$A$44,0)),0)+D94*IFERROR(INDEX(Kişiler!$C$5:$C$44,MATCH(B94,Kişiler!$A$5:$A$44,0)),0))</f>
        <v/>
      </c>
    </row>
    <row r="95" customFormat="false" ht="15" hidden="false" customHeight="false" outlineLevel="0" collapsed="false">
      <c r="A95" s="12"/>
      <c r="B95" s="13"/>
      <c r="C95" s="14"/>
      <c r="D95" s="14"/>
      <c r="E95" s="13"/>
      <c r="F95" s="15"/>
      <c r="G95" s="16" t="str">
        <f aca="false">IF(OR(B95="",A95=""),"",C95*IFERROR(INDEX(Kişiler!$B$5:$B$44,MATCH(B95,Kişiler!$A$5:$A$44,0)),0)+D95*IFERROR(INDEX(Kişiler!$C$5:$C$44,MATCH(B95,Kişiler!$A$5:$A$44,0)),0))</f>
        <v/>
      </c>
    </row>
    <row r="96" customFormat="false" ht="15" hidden="false" customHeight="false" outlineLevel="0" collapsed="false">
      <c r="A96" s="12"/>
      <c r="B96" s="13"/>
      <c r="C96" s="14"/>
      <c r="D96" s="14"/>
      <c r="E96" s="13"/>
      <c r="F96" s="15"/>
      <c r="G96" s="16" t="str">
        <f aca="false">IF(OR(B96="",A96=""),"",C96*IFERROR(INDEX(Kişiler!$B$5:$B$44,MATCH(B96,Kişiler!$A$5:$A$44,0)),0)+D96*IFERROR(INDEX(Kişiler!$C$5:$C$44,MATCH(B96,Kişiler!$A$5:$A$44,0)),0))</f>
        <v/>
      </c>
    </row>
    <row r="97" customFormat="false" ht="15" hidden="false" customHeight="false" outlineLevel="0" collapsed="false">
      <c r="A97" s="12"/>
      <c r="B97" s="13"/>
      <c r="C97" s="14"/>
      <c r="D97" s="14"/>
      <c r="E97" s="13"/>
      <c r="F97" s="15"/>
      <c r="G97" s="16" t="str">
        <f aca="false">IF(OR(B97="",A97=""),"",C97*IFERROR(INDEX(Kişiler!$B$5:$B$44,MATCH(B97,Kişiler!$A$5:$A$44,0)),0)+D97*IFERROR(INDEX(Kişiler!$C$5:$C$44,MATCH(B97,Kişiler!$A$5:$A$44,0)),0))</f>
        <v/>
      </c>
    </row>
    <row r="98" customFormat="false" ht="15" hidden="false" customHeight="false" outlineLevel="0" collapsed="false">
      <c r="A98" s="12"/>
      <c r="B98" s="13"/>
      <c r="C98" s="14"/>
      <c r="D98" s="14"/>
      <c r="E98" s="13"/>
      <c r="F98" s="15"/>
      <c r="G98" s="16" t="str">
        <f aca="false">IF(OR(B98="",A98=""),"",C98*IFERROR(INDEX(Kişiler!$B$5:$B$44,MATCH(B98,Kişiler!$A$5:$A$44,0)),0)+D98*IFERROR(INDEX(Kişiler!$C$5:$C$44,MATCH(B98,Kişiler!$A$5:$A$44,0)),0))</f>
        <v/>
      </c>
    </row>
    <row r="99" customFormat="false" ht="15" hidden="false" customHeight="false" outlineLevel="0" collapsed="false">
      <c r="A99" s="12"/>
      <c r="B99" s="13"/>
      <c r="C99" s="14"/>
      <c r="D99" s="14"/>
      <c r="E99" s="13"/>
      <c r="F99" s="15"/>
      <c r="G99" s="16" t="str">
        <f aca="false">IF(OR(B99="",A99=""),"",C99*IFERROR(INDEX(Kişiler!$B$5:$B$44,MATCH(B99,Kişiler!$A$5:$A$44,0)),0)+D99*IFERROR(INDEX(Kişiler!$C$5:$C$44,MATCH(B99,Kişiler!$A$5:$A$44,0)),0))</f>
        <v/>
      </c>
    </row>
    <row r="100" customFormat="false" ht="15" hidden="false" customHeight="false" outlineLevel="0" collapsed="false">
      <c r="A100" s="12"/>
      <c r="B100" s="13"/>
      <c r="C100" s="14"/>
      <c r="D100" s="14"/>
      <c r="E100" s="13"/>
      <c r="F100" s="15"/>
      <c r="G100" s="16" t="str">
        <f aca="false">IF(OR(B100="",A100=""),"",C100*IFERROR(INDEX(Kişiler!$B$5:$B$44,MATCH(B100,Kişiler!$A$5:$A$44,0)),0)+D100*IFERROR(INDEX(Kişiler!$C$5:$C$44,MATCH(B100,Kişiler!$A$5:$A$44,0)),0))</f>
        <v/>
      </c>
    </row>
    <row r="101" customFormat="false" ht="15" hidden="false" customHeight="false" outlineLevel="0" collapsed="false">
      <c r="A101" s="12"/>
      <c r="B101" s="13"/>
      <c r="C101" s="14"/>
      <c r="D101" s="14"/>
      <c r="E101" s="13"/>
      <c r="F101" s="15"/>
      <c r="G101" s="16" t="str">
        <f aca="false">IF(OR(B101="",A101=""),"",C101*IFERROR(INDEX(Kişiler!$B$5:$B$44,MATCH(B101,Kişiler!$A$5:$A$44,0)),0)+D101*IFERROR(INDEX(Kişiler!$C$5:$C$44,MATCH(B101,Kişiler!$A$5:$A$44,0)),0))</f>
        <v/>
      </c>
    </row>
    <row r="102" customFormat="false" ht="15" hidden="false" customHeight="false" outlineLevel="0" collapsed="false">
      <c r="A102" s="12"/>
      <c r="B102" s="13"/>
      <c r="C102" s="14"/>
      <c r="D102" s="14"/>
      <c r="E102" s="13"/>
      <c r="F102" s="15"/>
      <c r="G102" s="16" t="str">
        <f aca="false">IF(OR(B102="",A102=""),"",C102*IFERROR(INDEX(Kişiler!$B$5:$B$44,MATCH(B102,Kişiler!$A$5:$A$44,0)),0)+D102*IFERROR(INDEX(Kişiler!$C$5:$C$44,MATCH(B102,Kişiler!$A$5:$A$44,0)),0))</f>
        <v/>
      </c>
    </row>
    <row r="103" customFormat="false" ht="15" hidden="false" customHeight="false" outlineLevel="0" collapsed="false">
      <c r="A103" s="12"/>
      <c r="B103" s="13"/>
      <c r="C103" s="14"/>
      <c r="D103" s="14"/>
      <c r="E103" s="13"/>
      <c r="F103" s="15"/>
      <c r="G103" s="16" t="str">
        <f aca="false">IF(OR(B103="",A103=""),"",C103*IFERROR(INDEX(Kişiler!$B$5:$B$44,MATCH(B103,Kişiler!$A$5:$A$44,0)),0)+D103*IFERROR(INDEX(Kişiler!$C$5:$C$44,MATCH(B103,Kişiler!$A$5:$A$44,0)),0))</f>
        <v/>
      </c>
    </row>
    <row r="104" customFormat="false" ht="15" hidden="false" customHeight="false" outlineLevel="0" collapsed="false">
      <c r="A104" s="12"/>
      <c r="B104" s="13"/>
      <c r="C104" s="14"/>
      <c r="D104" s="14"/>
      <c r="E104" s="13"/>
      <c r="F104" s="15"/>
      <c r="G104" s="16" t="str">
        <f aca="false">IF(OR(B104="",A104=""),"",C104*IFERROR(INDEX(Kişiler!$B$5:$B$44,MATCH(B104,Kişiler!$A$5:$A$44,0)),0)+D104*IFERROR(INDEX(Kişiler!$C$5:$C$44,MATCH(B104,Kişiler!$A$5:$A$44,0)),0))</f>
        <v/>
      </c>
    </row>
    <row r="105" customFormat="false" ht="15" hidden="false" customHeight="false" outlineLevel="0" collapsed="false">
      <c r="A105" s="12"/>
      <c r="B105" s="13"/>
      <c r="C105" s="14"/>
      <c r="D105" s="14"/>
      <c r="E105" s="13"/>
      <c r="F105" s="15"/>
      <c r="G105" s="16" t="str">
        <f aca="false">IF(OR(B105="",A105=""),"",C105*IFERROR(INDEX(Kişiler!$B$5:$B$44,MATCH(B105,Kişiler!$A$5:$A$44,0)),0)+D105*IFERROR(INDEX(Kişiler!$C$5:$C$44,MATCH(B105,Kişiler!$A$5:$A$44,0)),0))</f>
        <v/>
      </c>
    </row>
    <row r="106" customFormat="false" ht="15" hidden="false" customHeight="false" outlineLevel="0" collapsed="false">
      <c r="A106" s="12"/>
      <c r="B106" s="13"/>
      <c r="C106" s="14"/>
      <c r="D106" s="14"/>
      <c r="E106" s="13"/>
      <c r="F106" s="15"/>
      <c r="G106" s="16" t="str">
        <f aca="false">IF(OR(B106="",A106=""),"",C106*IFERROR(INDEX(Kişiler!$B$5:$B$44,MATCH(B106,Kişiler!$A$5:$A$44,0)),0)+D106*IFERROR(INDEX(Kişiler!$C$5:$C$44,MATCH(B106,Kişiler!$A$5:$A$44,0)),0))</f>
        <v/>
      </c>
    </row>
    <row r="107" customFormat="false" ht="15" hidden="false" customHeight="false" outlineLevel="0" collapsed="false">
      <c r="A107" s="12"/>
      <c r="B107" s="13"/>
      <c r="C107" s="14"/>
      <c r="D107" s="14"/>
      <c r="E107" s="13"/>
      <c r="F107" s="15"/>
      <c r="G107" s="16" t="str">
        <f aca="false">IF(OR(B107="",A107=""),"",C107*IFERROR(INDEX(Kişiler!$B$5:$B$44,MATCH(B107,Kişiler!$A$5:$A$44,0)),0)+D107*IFERROR(INDEX(Kişiler!$C$5:$C$44,MATCH(B107,Kişiler!$A$5:$A$44,0)),0))</f>
        <v/>
      </c>
    </row>
    <row r="108" customFormat="false" ht="15" hidden="false" customHeight="false" outlineLevel="0" collapsed="false">
      <c r="A108" s="12"/>
      <c r="B108" s="13"/>
      <c r="C108" s="14"/>
      <c r="D108" s="14"/>
      <c r="E108" s="13"/>
      <c r="F108" s="15"/>
      <c r="G108" s="16" t="str">
        <f aca="false">IF(OR(B108="",A108=""),"",C108*IFERROR(INDEX(Kişiler!$B$5:$B$44,MATCH(B108,Kişiler!$A$5:$A$44,0)),0)+D108*IFERROR(INDEX(Kişiler!$C$5:$C$44,MATCH(B108,Kişiler!$A$5:$A$44,0)),0))</f>
        <v/>
      </c>
    </row>
    <row r="109" customFormat="false" ht="15" hidden="false" customHeight="false" outlineLevel="0" collapsed="false">
      <c r="A109" s="12"/>
      <c r="B109" s="13"/>
      <c r="C109" s="14"/>
      <c r="D109" s="14"/>
      <c r="E109" s="13"/>
      <c r="F109" s="15"/>
      <c r="G109" s="16" t="str">
        <f aca="false">IF(OR(B109="",A109=""),"",C109*IFERROR(INDEX(Kişiler!$B$5:$B$44,MATCH(B109,Kişiler!$A$5:$A$44,0)),0)+D109*IFERROR(INDEX(Kişiler!$C$5:$C$44,MATCH(B109,Kişiler!$A$5:$A$44,0)),0))</f>
        <v/>
      </c>
    </row>
    <row r="110" customFormat="false" ht="15" hidden="false" customHeight="false" outlineLevel="0" collapsed="false">
      <c r="A110" s="12"/>
      <c r="B110" s="13"/>
      <c r="C110" s="14"/>
      <c r="D110" s="14"/>
      <c r="E110" s="13"/>
      <c r="F110" s="15"/>
      <c r="G110" s="16" t="str">
        <f aca="false">IF(OR(B110="",A110=""),"",C110*IFERROR(INDEX(Kişiler!$B$5:$B$44,MATCH(B110,Kişiler!$A$5:$A$44,0)),0)+D110*IFERROR(INDEX(Kişiler!$C$5:$C$44,MATCH(B110,Kişiler!$A$5:$A$44,0)),0))</f>
        <v/>
      </c>
    </row>
    <row r="111" customFormat="false" ht="15" hidden="false" customHeight="false" outlineLevel="0" collapsed="false">
      <c r="A111" s="12"/>
      <c r="B111" s="13"/>
      <c r="C111" s="14"/>
      <c r="D111" s="14"/>
      <c r="E111" s="13"/>
      <c r="F111" s="15"/>
      <c r="G111" s="16" t="str">
        <f aca="false">IF(OR(B111="",A111=""),"",C111*IFERROR(INDEX(Kişiler!$B$5:$B$44,MATCH(B111,Kişiler!$A$5:$A$44,0)),0)+D111*IFERROR(INDEX(Kişiler!$C$5:$C$44,MATCH(B111,Kişiler!$A$5:$A$44,0)),0))</f>
        <v/>
      </c>
    </row>
    <row r="112" customFormat="false" ht="15" hidden="false" customHeight="false" outlineLevel="0" collapsed="false">
      <c r="A112" s="12"/>
      <c r="B112" s="13"/>
      <c r="C112" s="14"/>
      <c r="D112" s="14"/>
      <c r="E112" s="13"/>
      <c r="F112" s="15"/>
      <c r="G112" s="16" t="str">
        <f aca="false">IF(OR(B112="",A112=""),"",C112*IFERROR(INDEX(Kişiler!$B$5:$B$44,MATCH(B112,Kişiler!$A$5:$A$44,0)),0)+D112*IFERROR(INDEX(Kişiler!$C$5:$C$44,MATCH(B112,Kişiler!$A$5:$A$44,0)),0))</f>
        <v/>
      </c>
    </row>
    <row r="113" customFormat="false" ht="15" hidden="false" customHeight="false" outlineLevel="0" collapsed="false">
      <c r="A113" s="12"/>
      <c r="B113" s="13"/>
      <c r="C113" s="14"/>
      <c r="D113" s="14"/>
      <c r="E113" s="13"/>
      <c r="F113" s="15"/>
      <c r="G113" s="16" t="str">
        <f aca="false">IF(OR(B113="",A113=""),"",C113*IFERROR(INDEX(Kişiler!$B$5:$B$44,MATCH(B113,Kişiler!$A$5:$A$44,0)),0)+D113*IFERROR(INDEX(Kişiler!$C$5:$C$44,MATCH(B113,Kişiler!$A$5:$A$44,0)),0))</f>
        <v/>
      </c>
    </row>
    <row r="114" customFormat="false" ht="15" hidden="false" customHeight="false" outlineLevel="0" collapsed="false">
      <c r="A114" s="12"/>
      <c r="B114" s="13"/>
      <c r="C114" s="14"/>
      <c r="D114" s="14"/>
      <c r="E114" s="13"/>
      <c r="F114" s="15"/>
      <c r="G114" s="16" t="str">
        <f aca="false">IF(OR(B114="",A114=""),"",C114*IFERROR(INDEX(Kişiler!$B$5:$B$44,MATCH(B114,Kişiler!$A$5:$A$44,0)),0)+D114*IFERROR(INDEX(Kişiler!$C$5:$C$44,MATCH(B114,Kişiler!$A$5:$A$44,0)),0))</f>
        <v/>
      </c>
    </row>
    <row r="115" customFormat="false" ht="15" hidden="false" customHeight="false" outlineLevel="0" collapsed="false">
      <c r="A115" s="12"/>
      <c r="B115" s="13"/>
      <c r="C115" s="14"/>
      <c r="D115" s="14"/>
      <c r="E115" s="13"/>
      <c r="F115" s="15"/>
      <c r="G115" s="16" t="str">
        <f aca="false">IF(OR(B115="",A115=""),"",C115*IFERROR(INDEX(Kişiler!$B$5:$B$44,MATCH(B115,Kişiler!$A$5:$A$44,0)),0)+D115*IFERROR(INDEX(Kişiler!$C$5:$C$44,MATCH(B115,Kişiler!$A$5:$A$44,0)),0))</f>
        <v/>
      </c>
    </row>
    <row r="116" customFormat="false" ht="15" hidden="false" customHeight="false" outlineLevel="0" collapsed="false">
      <c r="A116" s="12"/>
      <c r="B116" s="13"/>
      <c r="C116" s="14"/>
      <c r="D116" s="14"/>
      <c r="E116" s="13"/>
      <c r="F116" s="15"/>
      <c r="G116" s="16" t="str">
        <f aca="false">IF(OR(B116="",A116=""),"",C116*IFERROR(INDEX(Kişiler!$B$5:$B$44,MATCH(B116,Kişiler!$A$5:$A$44,0)),0)+D116*IFERROR(INDEX(Kişiler!$C$5:$C$44,MATCH(B116,Kişiler!$A$5:$A$44,0)),0))</f>
        <v/>
      </c>
    </row>
    <row r="117" customFormat="false" ht="15" hidden="false" customHeight="false" outlineLevel="0" collapsed="false">
      <c r="A117" s="12"/>
      <c r="B117" s="13"/>
      <c r="C117" s="14"/>
      <c r="D117" s="14"/>
      <c r="E117" s="13"/>
      <c r="F117" s="15"/>
      <c r="G117" s="16" t="str">
        <f aca="false">IF(OR(B117="",A117=""),"",C117*IFERROR(INDEX(Kişiler!$B$5:$B$44,MATCH(B117,Kişiler!$A$5:$A$44,0)),0)+D117*IFERROR(INDEX(Kişiler!$C$5:$C$44,MATCH(B117,Kişiler!$A$5:$A$44,0)),0))</f>
        <v/>
      </c>
    </row>
    <row r="118" customFormat="false" ht="15" hidden="false" customHeight="false" outlineLevel="0" collapsed="false">
      <c r="A118" s="12"/>
      <c r="B118" s="13"/>
      <c r="C118" s="14"/>
      <c r="D118" s="14"/>
      <c r="E118" s="13"/>
      <c r="F118" s="15"/>
      <c r="G118" s="16" t="str">
        <f aca="false">IF(OR(B118="",A118=""),"",C118*IFERROR(INDEX(Kişiler!$B$5:$B$44,MATCH(B118,Kişiler!$A$5:$A$44,0)),0)+D118*IFERROR(INDEX(Kişiler!$C$5:$C$44,MATCH(B118,Kişiler!$A$5:$A$44,0)),0))</f>
        <v/>
      </c>
    </row>
    <row r="119" customFormat="false" ht="15" hidden="false" customHeight="false" outlineLevel="0" collapsed="false">
      <c r="A119" s="12"/>
      <c r="B119" s="13"/>
      <c r="C119" s="14"/>
      <c r="D119" s="14"/>
      <c r="E119" s="13"/>
      <c r="F119" s="15"/>
      <c r="G119" s="16" t="str">
        <f aca="false">IF(OR(B119="",A119=""),"",C119*IFERROR(INDEX(Kişiler!$B$5:$B$44,MATCH(B119,Kişiler!$A$5:$A$44,0)),0)+D119*IFERROR(INDEX(Kişiler!$C$5:$C$44,MATCH(B119,Kişiler!$A$5:$A$44,0)),0))</f>
        <v/>
      </c>
    </row>
    <row r="120" customFormat="false" ht="15" hidden="false" customHeight="false" outlineLevel="0" collapsed="false">
      <c r="A120" s="12"/>
      <c r="B120" s="13"/>
      <c r="C120" s="14"/>
      <c r="D120" s="14"/>
      <c r="E120" s="13"/>
      <c r="F120" s="15"/>
      <c r="G120" s="16" t="str">
        <f aca="false">IF(OR(B120="",A120=""),"",C120*IFERROR(INDEX(Kişiler!$B$5:$B$44,MATCH(B120,Kişiler!$A$5:$A$44,0)),0)+D120*IFERROR(INDEX(Kişiler!$C$5:$C$44,MATCH(B120,Kişiler!$A$5:$A$44,0)),0))</f>
        <v/>
      </c>
    </row>
    <row r="121" customFormat="false" ht="15" hidden="false" customHeight="false" outlineLevel="0" collapsed="false">
      <c r="A121" s="12"/>
      <c r="B121" s="13"/>
      <c r="C121" s="14"/>
      <c r="D121" s="14"/>
      <c r="E121" s="13"/>
      <c r="F121" s="15"/>
      <c r="G121" s="16" t="str">
        <f aca="false">IF(OR(B121="",A121=""),"",C121*IFERROR(INDEX(Kişiler!$B$5:$B$44,MATCH(B121,Kişiler!$A$5:$A$44,0)),0)+D121*IFERROR(INDEX(Kişiler!$C$5:$C$44,MATCH(B121,Kişiler!$A$5:$A$44,0)),0))</f>
        <v/>
      </c>
    </row>
    <row r="122" customFormat="false" ht="15" hidden="false" customHeight="false" outlineLevel="0" collapsed="false">
      <c r="A122" s="12"/>
      <c r="B122" s="13"/>
      <c r="C122" s="14"/>
      <c r="D122" s="14"/>
      <c r="E122" s="13"/>
      <c r="F122" s="15"/>
      <c r="G122" s="16" t="str">
        <f aca="false">IF(OR(B122="",A122=""),"",C122*IFERROR(INDEX(Kişiler!$B$5:$B$44,MATCH(B122,Kişiler!$A$5:$A$44,0)),0)+D122*IFERROR(INDEX(Kişiler!$C$5:$C$44,MATCH(B122,Kişiler!$A$5:$A$44,0)),0))</f>
        <v/>
      </c>
    </row>
    <row r="123" customFormat="false" ht="15" hidden="false" customHeight="false" outlineLevel="0" collapsed="false">
      <c r="A123" s="12"/>
      <c r="B123" s="13"/>
      <c r="C123" s="14"/>
      <c r="D123" s="14"/>
      <c r="E123" s="13"/>
      <c r="F123" s="15"/>
      <c r="G123" s="16" t="str">
        <f aca="false">IF(OR(B123="",A123=""),"",C123*IFERROR(INDEX(Kişiler!$B$5:$B$44,MATCH(B123,Kişiler!$A$5:$A$44,0)),0)+D123*IFERROR(INDEX(Kişiler!$C$5:$C$44,MATCH(B123,Kişiler!$A$5:$A$44,0)),0))</f>
        <v/>
      </c>
    </row>
    <row r="124" customFormat="false" ht="15" hidden="false" customHeight="false" outlineLevel="0" collapsed="false">
      <c r="A124" s="12"/>
      <c r="B124" s="13"/>
      <c r="C124" s="14"/>
      <c r="D124" s="14"/>
      <c r="E124" s="13"/>
      <c r="F124" s="15"/>
      <c r="G124" s="16" t="str">
        <f aca="false">IF(OR(B124="",A124=""),"",C124*IFERROR(INDEX(Kişiler!$B$5:$B$44,MATCH(B124,Kişiler!$A$5:$A$44,0)),0)+D124*IFERROR(INDEX(Kişiler!$C$5:$C$44,MATCH(B124,Kişiler!$A$5:$A$44,0)),0))</f>
        <v/>
      </c>
    </row>
    <row r="125" customFormat="false" ht="15" hidden="false" customHeight="false" outlineLevel="0" collapsed="false">
      <c r="A125" s="12"/>
      <c r="B125" s="13"/>
      <c r="C125" s="14"/>
      <c r="D125" s="14"/>
      <c r="E125" s="13"/>
      <c r="F125" s="15"/>
      <c r="G125" s="16" t="str">
        <f aca="false">IF(OR(B125="",A125=""),"",C125*IFERROR(INDEX(Kişiler!$B$5:$B$44,MATCH(B125,Kişiler!$A$5:$A$44,0)),0)+D125*IFERROR(INDEX(Kişiler!$C$5:$C$44,MATCH(B125,Kişiler!$A$5:$A$44,0)),0))</f>
        <v/>
      </c>
    </row>
    <row r="126" customFormat="false" ht="15" hidden="false" customHeight="false" outlineLevel="0" collapsed="false">
      <c r="A126" s="12"/>
      <c r="B126" s="13"/>
      <c r="C126" s="14"/>
      <c r="D126" s="14"/>
      <c r="E126" s="13"/>
      <c r="F126" s="15"/>
      <c r="G126" s="16" t="str">
        <f aca="false">IF(OR(B126="",A126=""),"",C126*IFERROR(INDEX(Kişiler!$B$5:$B$44,MATCH(B126,Kişiler!$A$5:$A$44,0)),0)+D126*IFERROR(INDEX(Kişiler!$C$5:$C$44,MATCH(B126,Kişiler!$A$5:$A$44,0)),0))</f>
        <v/>
      </c>
    </row>
    <row r="127" customFormat="false" ht="15" hidden="false" customHeight="false" outlineLevel="0" collapsed="false">
      <c r="A127" s="12"/>
      <c r="B127" s="13"/>
      <c r="C127" s="14"/>
      <c r="D127" s="14"/>
      <c r="E127" s="13"/>
      <c r="F127" s="15"/>
      <c r="G127" s="16" t="str">
        <f aca="false">IF(OR(B127="",A127=""),"",C127*IFERROR(INDEX(Kişiler!$B$5:$B$44,MATCH(B127,Kişiler!$A$5:$A$44,0)),0)+D127*IFERROR(INDEX(Kişiler!$C$5:$C$44,MATCH(B127,Kişiler!$A$5:$A$44,0)),0))</f>
        <v/>
      </c>
    </row>
    <row r="128" customFormat="false" ht="15" hidden="false" customHeight="false" outlineLevel="0" collapsed="false">
      <c r="A128" s="12"/>
      <c r="B128" s="13"/>
      <c r="C128" s="14"/>
      <c r="D128" s="14"/>
      <c r="E128" s="13"/>
      <c r="F128" s="15"/>
      <c r="G128" s="16" t="str">
        <f aca="false">IF(OR(B128="",A128=""),"",C128*IFERROR(INDEX(Kişiler!$B$5:$B$44,MATCH(B128,Kişiler!$A$5:$A$44,0)),0)+D128*IFERROR(INDEX(Kişiler!$C$5:$C$44,MATCH(B128,Kişiler!$A$5:$A$44,0)),0))</f>
        <v/>
      </c>
    </row>
    <row r="129" customFormat="false" ht="15" hidden="false" customHeight="false" outlineLevel="0" collapsed="false">
      <c r="A129" s="12"/>
      <c r="B129" s="13"/>
      <c r="C129" s="14"/>
      <c r="D129" s="14"/>
      <c r="E129" s="13"/>
      <c r="F129" s="15"/>
      <c r="G129" s="16" t="str">
        <f aca="false">IF(OR(B129="",A129=""),"",C129*IFERROR(INDEX(Kişiler!$B$5:$B$44,MATCH(B129,Kişiler!$A$5:$A$44,0)),0)+D129*IFERROR(INDEX(Kişiler!$C$5:$C$44,MATCH(B129,Kişiler!$A$5:$A$44,0)),0))</f>
        <v/>
      </c>
    </row>
    <row r="130" customFormat="false" ht="15" hidden="false" customHeight="false" outlineLevel="0" collapsed="false">
      <c r="A130" s="12"/>
      <c r="B130" s="13"/>
      <c r="C130" s="14"/>
      <c r="D130" s="14"/>
      <c r="E130" s="13"/>
      <c r="F130" s="15"/>
      <c r="G130" s="16" t="str">
        <f aca="false">IF(OR(B130="",A130=""),"",C130*IFERROR(INDEX(Kişiler!$B$5:$B$44,MATCH(B130,Kişiler!$A$5:$A$44,0)),0)+D130*IFERROR(INDEX(Kişiler!$C$5:$C$44,MATCH(B130,Kişiler!$A$5:$A$44,0)),0))</f>
        <v/>
      </c>
    </row>
    <row r="131" customFormat="false" ht="15" hidden="false" customHeight="false" outlineLevel="0" collapsed="false">
      <c r="A131" s="12"/>
      <c r="B131" s="13"/>
      <c r="C131" s="14"/>
      <c r="D131" s="14"/>
      <c r="E131" s="13"/>
      <c r="F131" s="15"/>
      <c r="G131" s="16" t="str">
        <f aca="false">IF(OR(B131="",A131=""),"",C131*IFERROR(INDEX(Kişiler!$B$5:$B$44,MATCH(B131,Kişiler!$A$5:$A$44,0)),0)+D131*IFERROR(INDEX(Kişiler!$C$5:$C$44,MATCH(B131,Kişiler!$A$5:$A$44,0)),0))</f>
        <v/>
      </c>
    </row>
    <row r="132" customFormat="false" ht="15" hidden="false" customHeight="false" outlineLevel="0" collapsed="false">
      <c r="A132" s="12"/>
      <c r="B132" s="13"/>
      <c r="C132" s="14"/>
      <c r="D132" s="14"/>
      <c r="E132" s="13"/>
      <c r="F132" s="15"/>
      <c r="G132" s="16" t="str">
        <f aca="false">IF(OR(B132="",A132=""),"",C132*IFERROR(INDEX(Kişiler!$B$5:$B$44,MATCH(B132,Kişiler!$A$5:$A$44,0)),0)+D132*IFERROR(INDEX(Kişiler!$C$5:$C$44,MATCH(B132,Kişiler!$A$5:$A$44,0)),0))</f>
        <v/>
      </c>
    </row>
    <row r="133" customFormat="false" ht="15" hidden="false" customHeight="false" outlineLevel="0" collapsed="false">
      <c r="A133" s="12"/>
      <c r="B133" s="13"/>
      <c r="C133" s="14"/>
      <c r="D133" s="14"/>
      <c r="E133" s="13"/>
      <c r="F133" s="15"/>
      <c r="G133" s="16" t="str">
        <f aca="false">IF(OR(B133="",A133=""),"",C133*IFERROR(INDEX(Kişiler!$B$5:$B$44,MATCH(B133,Kişiler!$A$5:$A$44,0)),0)+D133*IFERROR(INDEX(Kişiler!$C$5:$C$44,MATCH(B133,Kişiler!$A$5:$A$44,0)),0))</f>
        <v/>
      </c>
    </row>
    <row r="134" customFormat="false" ht="15" hidden="false" customHeight="false" outlineLevel="0" collapsed="false">
      <c r="A134" s="12"/>
      <c r="B134" s="13"/>
      <c r="C134" s="14"/>
      <c r="D134" s="14"/>
      <c r="E134" s="13"/>
      <c r="F134" s="15"/>
      <c r="G134" s="16" t="str">
        <f aca="false">IF(OR(B134="",A134=""),"",C134*IFERROR(INDEX(Kişiler!$B$5:$B$44,MATCH(B134,Kişiler!$A$5:$A$44,0)),0)+D134*IFERROR(INDEX(Kişiler!$C$5:$C$44,MATCH(B134,Kişiler!$A$5:$A$44,0)),0))</f>
        <v/>
      </c>
    </row>
    <row r="135" customFormat="false" ht="15" hidden="false" customHeight="false" outlineLevel="0" collapsed="false">
      <c r="A135" s="12"/>
      <c r="B135" s="13"/>
      <c r="C135" s="14"/>
      <c r="D135" s="14"/>
      <c r="E135" s="13"/>
      <c r="F135" s="15"/>
      <c r="G135" s="16" t="str">
        <f aca="false">IF(OR(B135="",A135=""),"",C135*IFERROR(INDEX(Kişiler!$B$5:$B$44,MATCH(B135,Kişiler!$A$5:$A$44,0)),0)+D135*IFERROR(INDEX(Kişiler!$C$5:$C$44,MATCH(B135,Kişiler!$A$5:$A$44,0)),0))</f>
        <v/>
      </c>
    </row>
    <row r="136" customFormat="false" ht="15" hidden="false" customHeight="false" outlineLevel="0" collapsed="false">
      <c r="A136" s="12"/>
      <c r="B136" s="13"/>
      <c r="C136" s="14"/>
      <c r="D136" s="14"/>
      <c r="E136" s="13"/>
      <c r="F136" s="15"/>
      <c r="G136" s="16" t="str">
        <f aca="false">IF(OR(B136="",A136=""),"",C136*IFERROR(INDEX(Kişiler!$B$5:$B$44,MATCH(B136,Kişiler!$A$5:$A$44,0)),0)+D136*IFERROR(INDEX(Kişiler!$C$5:$C$44,MATCH(B136,Kişiler!$A$5:$A$44,0)),0))</f>
        <v/>
      </c>
    </row>
    <row r="137" customFormat="false" ht="15" hidden="false" customHeight="false" outlineLevel="0" collapsed="false">
      <c r="A137" s="12"/>
      <c r="B137" s="13"/>
      <c r="C137" s="14"/>
      <c r="D137" s="14"/>
      <c r="E137" s="13"/>
      <c r="F137" s="15"/>
      <c r="G137" s="16" t="str">
        <f aca="false">IF(OR(B137="",A137=""),"",C137*IFERROR(INDEX(Kişiler!$B$5:$B$44,MATCH(B137,Kişiler!$A$5:$A$44,0)),0)+D137*IFERROR(INDEX(Kişiler!$C$5:$C$44,MATCH(B137,Kişiler!$A$5:$A$44,0)),0))</f>
        <v/>
      </c>
    </row>
    <row r="138" customFormat="false" ht="15" hidden="false" customHeight="false" outlineLevel="0" collapsed="false">
      <c r="A138" s="12"/>
      <c r="B138" s="13"/>
      <c r="C138" s="14"/>
      <c r="D138" s="14"/>
      <c r="E138" s="13"/>
      <c r="F138" s="15"/>
      <c r="G138" s="16" t="str">
        <f aca="false">IF(OR(B138="",A138=""),"",C138*IFERROR(INDEX(Kişiler!$B$5:$B$44,MATCH(B138,Kişiler!$A$5:$A$44,0)),0)+D138*IFERROR(INDEX(Kişiler!$C$5:$C$44,MATCH(B138,Kişiler!$A$5:$A$44,0)),0))</f>
        <v/>
      </c>
    </row>
    <row r="139" customFormat="false" ht="15" hidden="false" customHeight="false" outlineLevel="0" collapsed="false">
      <c r="A139" s="12"/>
      <c r="B139" s="13"/>
      <c r="C139" s="14"/>
      <c r="D139" s="14"/>
      <c r="E139" s="13"/>
      <c r="F139" s="15"/>
      <c r="G139" s="16" t="str">
        <f aca="false">IF(OR(B139="",A139=""),"",C139*IFERROR(INDEX(Kişiler!$B$5:$B$44,MATCH(B139,Kişiler!$A$5:$A$44,0)),0)+D139*IFERROR(INDEX(Kişiler!$C$5:$C$44,MATCH(B139,Kişiler!$A$5:$A$44,0)),0))</f>
        <v/>
      </c>
    </row>
    <row r="140" customFormat="false" ht="15" hidden="false" customHeight="false" outlineLevel="0" collapsed="false">
      <c r="A140" s="12"/>
      <c r="B140" s="13"/>
      <c r="C140" s="14"/>
      <c r="D140" s="14"/>
      <c r="E140" s="13"/>
      <c r="F140" s="15"/>
      <c r="G140" s="16" t="str">
        <f aca="false">IF(OR(B140="",A140=""),"",C140*IFERROR(INDEX(Kişiler!$B$5:$B$44,MATCH(B140,Kişiler!$A$5:$A$44,0)),0)+D140*IFERROR(INDEX(Kişiler!$C$5:$C$44,MATCH(B140,Kişiler!$A$5:$A$44,0)),0))</f>
        <v/>
      </c>
    </row>
    <row r="141" customFormat="false" ht="15" hidden="false" customHeight="false" outlineLevel="0" collapsed="false">
      <c r="A141" s="12"/>
      <c r="B141" s="13"/>
      <c r="C141" s="14"/>
      <c r="D141" s="14"/>
      <c r="E141" s="13"/>
      <c r="F141" s="15"/>
      <c r="G141" s="16" t="str">
        <f aca="false">IF(OR(B141="",A141=""),"",C141*IFERROR(INDEX(Kişiler!$B$5:$B$44,MATCH(B141,Kişiler!$A$5:$A$44,0)),0)+D141*IFERROR(INDEX(Kişiler!$C$5:$C$44,MATCH(B141,Kişiler!$A$5:$A$44,0)),0))</f>
        <v/>
      </c>
    </row>
    <row r="142" customFormat="false" ht="15" hidden="false" customHeight="false" outlineLevel="0" collapsed="false">
      <c r="A142" s="12"/>
      <c r="B142" s="13"/>
      <c r="C142" s="14"/>
      <c r="D142" s="14"/>
      <c r="E142" s="13"/>
      <c r="F142" s="15"/>
      <c r="G142" s="16" t="str">
        <f aca="false">IF(OR(B142="",A142=""),"",C142*IFERROR(INDEX(Kişiler!$B$5:$B$44,MATCH(B142,Kişiler!$A$5:$A$44,0)),0)+D142*IFERROR(INDEX(Kişiler!$C$5:$C$44,MATCH(B142,Kişiler!$A$5:$A$44,0)),0))</f>
        <v/>
      </c>
    </row>
    <row r="143" customFormat="false" ht="15" hidden="false" customHeight="false" outlineLevel="0" collapsed="false">
      <c r="A143" s="12"/>
      <c r="B143" s="13"/>
      <c r="C143" s="14"/>
      <c r="D143" s="14"/>
      <c r="E143" s="13"/>
      <c r="F143" s="15"/>
      <c r="G143" s="16" t="str">
        <f aca="false">IF(OR(B143="",A143=""),"",C143*IFERROR(INDEX(Kişiler!$B$5:$B$44,MATCH(B143,Kişiler!$A$5:$A$44,0)),0)+D143*IFERROR(INDEX(Kişiler!$C$5:$C$44,MATCH(B143,Kişiler!$A$5:$A$44,0)),0))</f>
        <v/>
      </c>
    </row>
    <row r="144" customFormat="false" ht="15" hidden="false" customHeight="false" outlineLevel="0" collapsed="false">
      <c r="A144" s="12"/>
      <c r="B144" s="13"/>
      <c r="C144" s="14"/>
      <c r="D144" s="14"/>
      <c r="E144" s="13"/>
      <c r="F144" s="15"/>
      <c r="G144" s="16" t="str">
        <f aca="false">IF(OR(B144="",A144=""),"",C144*IFERROR(INDEX(Kişiler!$B$5:$B$44,MATCH(B144,Kişiler!$A$5:$A$44,0)),0)+D144*IFERROR(INDEX(Kişiler!$C$5:$C$44,MATCH(B144,Kişiler!$A$5:$A$44,0)),0))</f>
        <v/>
      </c>
    </row>
    <row r="145" customFormat="false" ht="15" hidden="false" customHeight="false" outlineLevel="0" collapsed="false">
      <c r="A145" s="12"/>
      <c r="B145" s="13"/>
      <c r="C145" s="14"/>
      <c r="D145" s="14"/>
      <c r="E145" s="13"/>
      <c r="F145" s="15"/>
      <c r="G145" s="16" t="str">
        <f aca="false">IF(OR(B145="",A145=""),"",C145*IFERROR(INDEX(Kişiler!$B$5:$B$44,MATCH(B145,Kişiler!$A$5:$A$44,0)),0)+D145*IFERROR(INDEX(Kişiler!$C$5:$C$44,MATCH(B145,Kişiler!$A$5:$A$44,0)),0))</f>
        <v/>
      </c>
    </row>
    <row r="146" customFormat="false" ht="15" hidden="false" customHeight="false" outlineLevel="0" collapsed="false">
      <c r="A146" s="12"/>
      <c r="B146" s="13"/>
      <c r="C146" s="14"/>
      <c r="D146" s="14"/>
      <c r="E146" s="13"/>
      <c r="F146" s="15"/>
      <c r="G146" s="16" t="str">
        <f aca="false">IF(OR(B146="",A146=""),"",C146*IFERROR(INDEX(Kişiler!$B$5:$B$44,MATCH(B146,Kişiler!$A$5:$A$44,0)),0)+D146*IFERROR(INDEX(Kişiler!$C$5:$C$44,MATCH(B146,Kişiler!$A$5:$A$44,0)),0))</f>
        <v/>
      </c>
    </row>
    <row r="147" customFormat="false" ht="15" hidden="false" customHeight="false" outlineLevel="0" collapsed="false">
      <c r="A147" s="12"/>
      <c r="B147" s="13"/>
      <c r="C147" s="14"/>
      <c r="D147" s="14"/>
      <c r="E147" s="13"/>
      <c r="F147" s="15"/>
      <c r="G147" s="16" t="str">
        <f aca="false">IF(OR(B147="",A147=""),"",C147*IFERROR(INDEX(Kişiler!$B$5:$B$44,MATCH(B147,Kişiler!$A$5:$A$44,0)),0)+D147*IFERROR(INDEX(Kişiler!$C$5:$C$44,MATCH(B147,Kişiler!$A$5:$A$44,0)),0))</f>
        <v/>
      </c>
    </row>
    <row r="148" customFormat="false" ht="15" hidden="false" customHeight="false" outlineLevel="0" collapsed="false">
      <c r="A148" s="12"/>
      <c r="B148" s="13"/>
      <c r="C148" s="14"/>
      <c r="D148" s="14"/>
      <c r="E148" s="13"/>
      <c r="F148" s="15"/>
      <c r="G148" s="16" t="str">
        <f aca="false">IF(OR(B148="",A148=""),"",C148*IFERROR(INDEX(Kişiler!$B$5:$B$44,MATCH(B148,Kişiler!$A$5:$A$44,0)),0)+D148*IFERROR(INDEX(Kişiler!$C$5:$C$44,MATCH(B148,Kişiler!$A$5:$A$44,0)),0))</f>
        <v/>
      </c>
    </row>
    <row r="149" customFormat="false" ht="15" hidden="false" customHeight="false" outlineLevel="0" collapsed="false">
      <c r="A149" s="12"/>
      <c r="B149" s="13"/>
      <c r="C149" s="14"/>
      <c r="D149" s="14"/>
      <c r="E149" s="13"/>
      <c r="F149" s="15"/>
      <c r="G149" s="16" t="str">
        <f aca="false">IF(OR(B149="",A149=""),"",C149*IFERROR(INDEX(Kişiler!$B$5:$B$44,MATCH(B149,Kişiler!$A$5:$A$44,0)),0)+D149*IFERROR(INDEX(Kişiler!$C$5:$C$44,MATCH(B149,Kişiler!$A$5:$A$44,0)),0))</f>
        <v/>
      </c>
    </row>
    <row r="150" customFormat="false" ht="15" hidden="false" customHeight="false" outlineLevel="0" collapsed="false">
      <c r="A150" s="12"/>
      <c r="B150" s="13"/>
      <c r="C150" s="14"/>
      <c r="D150" s="14"/>
      <c r="E150" s="13"/>
      <c r="F150" s="15"/>
      <c r="G150" s="16" t="str">
        <f aca="false">IF(OR(B150="",A150=""),"",C150*IFERROR(INDEX(Kişiler!$B$5:$B$44,MATCH(B150,Kişiler!$A$5:$A$44,0)),0)+D150*IFERROR(INDEX(Kişiler!$C$5:$C$44,MATCH(B150,Kişiler!$A$5:$A$44,0)),0))</f>
        <v/>
      </c>
    </row>
    <row r="151" customFormat="false" ht="15" hidden="false" customHeight="false" outlineLevel="0" collapsed="false">
      <c r="A151" s="12"/>
      <c r="B151" s="13"/>
      <c r="C151" s="14"/>
      <c r="D151" s="14"/>
      <c r="E151" s="13"/>
      <c r="F151" s="15"/>
      <c r="G151" s="16" t="str">
        <f aca="false">IF(OR(B151="",A151=""),"",C151*IFERROR(INDEX(Kişiler!$B$5:$B$44,MATCH(B151,Kişiler!$A$5:$A$44,0)),0)+D151*IFERROR(INDEX(Kişiler!$C$5:$C$44,MATCH(B151,Kişiler!$A$5:$A$44,0)),0))</f>
        <v/>
      </c>
    </row>
    <row r="152" customFormat="false" ht="15" hidden="false" customHeight="false" outlineLevel="0" collapsed="false">
      <c r="A152" s="12"/>
      <c r="B152" s="13"/>
      <c r="C152" s="14"/>
      <c r="D152" s="14"/>
      <c r="E152" s="13"/>
      <c r="F152" s="15"/>
      <c r="G152" s="16" t="str">
        <f aca="false">IF(OR(B152="",A152=""),"",C152*IFERROR(INDEX(Kişiler!$B$5:$B$44,MATCH(B152,Kişiler!$A$5:$A$44,0)),0)+D152*IFERROR(INDEX(Kişiler!$C$5:$C$44,MATCH(B152,Kişiler!$A$5:$A$44,0)),0))</f>
        <v/>
      </c>
    </row>
    <row r="153" customFormat="false" ht="15" hidden="false" customHeight="false" outlineLevel="0" collapsed="false">
      <c r="A153" s="12"/>
      <c r="B153" s="13"/>
      <c r="C153" s="14"/>
      <c r="D153" s="14"/>
      <c r="E153" s="13"/>
      <c r="F153" s="15"/>
      <c r="G153" s="16" t="str">
        <f aca="false">IF(OR(B153="",A153=""),"",C153*IFERROR(INDEX(Kişiler!$B$5:$B$44,MATCH(B153,Kişiler!$A$5:$A$44,0)),0)+D153*IFERROR(INDEX(Kişiler!$C$5:$C$44,MATCH(B153,Kişiler!$A$5:$A$44,0)),0))</f>
        <v/>
      </c>
    </row>
    <row r="154" customFormat="false" ht="15" hidden="false" customHeight="false" outlineLevel="0" collapsed="false">
      <c r="A154" s="12"/>
      <c r="B154" s="13"/>
      <c r="C154" s="14"/>
      <c r="D154" s="14"/>
      <c r="E154" s="13"/>
      <c r="F154" s="15"/>
      <c r="G154" s="16" t="str">
        <f aca="false">IF(OR(B154="",A154=""),"",C154*IFERROR(INDEX(Kişiler!$B$5:$B$44,MATCH(B154,Kişiler!$A$5:$A$44,0)),0)+D154*IFERROR(INDEX(Kişiler!$C$5:$C$44,MATCH(B154,Kişiler!$A$5:$A$44,0)),0))</f>
        <v/>
      </c>
    </row>
    <row r="155" customFormat="false" ht="15" hidden="false" customHeight="false" outlineLevel="0" collapsed="false">
      <c r="A155" s="12"/>
      <c r="B155" s="13"/>
      <c r="C155" s="14"/>
      <c r="D155" s="14"/>
      <c r="E155" s="13"/>
      <c r="F155" s="15"/>
      <c r="G155" s="16" t="str">
        <f aca="false">IF(OR(B155="",A155=""),"",C155*IFERROR(INDEX(Kişiler!$B$5:$B$44,MATCH(B155,Kişiler!$A$5:$A$44,0)),0)+D155*IFERROR(INDEX(Kişiler!$C$5:$C$44,MATCH(B155,Kişiler!$A$5:$A$44,0)),0))</f>
        <v/>
      </c>
    </row>
    <row r="156" customFormat="false" ht="15" hidden="false" customHeight="false" outlineLevel="0" collapsed="false">
      <c r="A156" s="12"/>
      <c r="B156" s="13"/>
      <c r="C156" s="14"/>
      <c r="D156" s="14"/>
      <c r="E156" s="13"/>
      <c r="F156" s="15"/>
      <c r="G156" s="16" t="str">
        <f aca="false">IF(OR(B156="",A156=""),"",C156*IFERROR(INDEX(Kişiler!$B$5:$B$44,MATCH(B156,Kişiler!$A$5:$A$44,0)),0)+D156*IFERROR(INDEX(Kişiler!$C$5:$C$44,MATCH(B156,Kişiler!$A$5:$A$44,0)),0))</f>
        <v/>
      </c>
    </row>
    <row r="157" customFormat="false" ht="15" hidden="false" customHeight="false" outlineLevel="0" collapsed="false">
      <c r="A157" s="12"/>
      <c r="B157" s="13"/>
      <c r="C157" s="14"/>
      <c r="D157" s="14"/>
      <c r="E157" s="13"/>
      <c r="F157" s="15"/>
      <c r="G157" s="16" t="str">
        <f aca="false">IF(OR(B157="",A157=""),"",C157*IFERROR(INDEX(Kişiler!$B$5:$B$44,MATCH(B157,Kişiler!$A$5:$A$44,0)),0)+D157*IFERROR(INDEX(Kişiler!$C$5:$C$44,MATCH(B157,Kişiler!$A$5:$A$44,0)),0))</f>
        <v/>
      </c>
    </row>
    <row r="158" customFormat="false" ht="15" hidden="false" customHeight="false" outlineLevel="0" collapsed="false">
      <c r="A158" s="12"/>
      <c r="B158" s="13"/>
      <c r="C158" s="14"/>
      <c r="D158" s="14"/>
      <c r="E158" s="13"/>
      <c r="F158" s="15"/>
      <c r="G158" s="16" t="str">
        <f aca="false">IF(OR(B158="",A158=""),"",C158*IFERROR(INDEX(Kişiler!$B$5:$B$44,MATCH(B158,Kişiler!$A$5:$A$44,0)),0)+D158*IFERROR(INDEX(Kişiler!$C$5:$C$44,MATCH(B158,Kişiler!$A$5:$A$44,0)),0))</f>
        <v/>
      </c>
    </row>
    <row r="159" customFormat="false" ht="15" hidden="false" customHeight="false" outlineLevel="0" collapsed="false">
      <c r="A159" s="12"/>
      <c r="B159" s="13"/>
      <c r="C159" s="14"/>
      <c r="D159" s="14"/>
      <c r="E159" s="13"/>
      <c r="F159" s="15"/>
      <c r="G159" s="16" t="str">
        <f aca="false">IF(OR(B159="",A159=""),"",C159*IFERROR(INDEX(Kişiler!$B$5:$B$44,MATCH(B159,Kişiler!$A$5:$A$44,0)),0)+D159*IFERROR(INDEX(Kişiler!$C$5:$C$44,MATCH(B159,Kişiler!$A$5:$A$44,0)),0))</f>
        <v/>
      </c>
    </row>
    <row r="160" customFormat="false" ht="15" hidden="false" customHeight="false" outlineLevel="0" collapsed="false">
      <c r="A160" s="12"/>
      <c r="B160" s="13"/>
      <c r="C160" s="14"/>
      <c r="D160" s="14"/>
      <c r="E160" s="13"/>
      <c r="F160" s="15"/>
      <c r="G160" s="16" t="str">
        <f aca="false">IF(OR(B160="",A160=""),"",C160*IFERROR(INDEX(Kişiler!$B$5:$B$44,MATCH(B160,Kişiler!$A$5:$A$44,0)),0)+D160*IFERROR(INDEX(Kişiler!$C$5:$C$44,MATCH(B160,Kişiler!$A$5:$A$44,0)),0))</f>
        <v/>
      </c>
    </row>
    <row r="161" customFormat="false" ht="15" hidden="false" customHeight="false" outlineLevel="0" collapsed="false">
      <c r="A161" s="12"/>
      <c r="B161" s="13"/>
      <c r="C161" s="14"/>
      <c r="D161" s="14"/>
      <c r="E161" s="13"/>
      <c r="F161" s="15"/>
      <c r="G161" s="16" t="str">
        <f aca="false">IF(OR(B161="",A161=""),"",C161*IFERROR(INDEX(Kişiler!$B$5:$B$44,MATCH(B161,Kişiler!$A$5:$A$44,0)),0)+D161*IFERROR(INDEX(Kişiler!$C$5:$C$44,MATCH(B161,Kişiler!$A$5:$A$44,0)),0))</f>
        <v/>
      </c>
    </row>
    <row r="162" customFormat="false" ht="15" hidden="false" customHeight="false" outlineLevel="0" collapsed="false">
      <c r="A162" s="12"/>
      <c r="B162" s="13"/>
      <c r="C162" s="14"/>
      <c r="D162" s="14"/>
      <c r="E162" s="13"/>
      <c r="F162" s="15"/>
      <c r="G162" s="16" t="str">
        <f aca="false">IF(OR(B162="",A162=""),"",C162*IFERROR(INDEX(Kişiler!$B$5:$B$44,MATCH(B162,Kişiler!$A$5:$A$44,0)),0)+D162*IFERROR(INDEX(Kişiler!$C$5:$C$44,MATCH(B162,Kişiler!$A$5:$A$44,0)),0))</f>
        <v/>
      </c>
    </row>
    <row r="163" customFormat="false" ht="15" hidden="false" customHeight="false" outlineLevel="0" collapsed="false">
      <c r="A163" s="12"/>
      <c r="B163" s="13"/>
      <c r="C163" s="14"/>
      <c r="D163" s="14"/>
      <c r="E163" s="13"/>
      <c r="F163" s="15"/>
      <c r="G163" s="16" t="str">
        <f aca="false">IF(OR(B163="",A163=""),"",C163*IFERROR(INDEX(Kişiler!$B$5:$B$44,MATCH(B163,Kişiler!$A$5:$A$44,0)),0)+D163*IFERROR(INDEX(Kişiler!$C$5:$C$44,MATCH(B163,Kişiler!$A$5:$A$44,0)),0))</f>
        <v/>
      </c>
    </row>
    <row r="164" customFormat="false" ht="15" hidden="false" customHeight="false" outlineLevel="0" collapsed="false">
      <c r="A164" s="12"/>
      <c r="B164" s="13"/>
      <c r="C164" s="14"/>
      <c r="D164" s="14"/>
      <c r="E164" s="13"/>
      <c r="F164" s="15"/>
      <c r="G164" s="16" t="str">
        <f aca="false">IF(OR(B164="",A164=""),"",C164*IFERROR(INDEX(Kişiler!$B$5:$B$44,MATCH(B164,Kişiler!$A$5:$A$44,0)),0)+D164*IFERROR(INDEX(Kişiler!$C$5:$C$44,MATCH(B164,Kişiler!$A$5:$A$44,0)),0))</f>
        <v/>
      </c>
    </row>
    <row r="165" customFormat="false" ht="15" hidden="false" customHeight="false" outlineLevel="0" collapsed="false">
      <c r="A165" s="12"/>
      <c r="B165" s="13"/>
      <c r="C165" s="14"/>
      <c r="D165" s="14"/>
      <c r="E165" s="13"/>
      <c r="F165" s="15"/>
      <c r="G165" s="16" t="str">
        <f aca="false">IF(OR(B165="",A165=""),"",C165*IFERROR(INDEX(Kişiler!$B$5:$B$44,MATCH(B165,Kişiler!$A$5:$A$44,0)),0)+D165*IFERROR(INDEX(Kişiler!$C$5:$C$44,MATCH(B165,Kişiler!$A$5:$A$44,0)),0))</f>
        <v/>
      </c>
    </row>
    <row r="166" customFormat="false" ht="15" hidden="false" customHeight="false" outlineLevel="0" collapsed="false">
      <c r="A166" s="12"/>
      <c r="B166" s="13"/>
      <c r="C166" s="14"/>
      <c r="D166" s="14"/>
      <c r="E166" s="13"/>
      <c r="F166" s="15"/>
      <c r="G166" s="16" t="str">
        <f aca="false">IF(OR(B166="",A166=""),"",C166*IFERROR(INDEX(Kişiler!$B$5:$B$44,MATCH(B166,Kişiler!$A$5:$A$44,0)),0)+D166*IFERROR(INDEX(Kişiler!$C$5:$C$44,MATCH(B166,Kişiler!$A$5:$A$44,0)),0))</f>
        <v/>
      </c>
    </row>
    <row r="167" customFormat="false" ht="15" hidden="false" customHeight="false" outlineLevel="0" collapsed="false">
      <c r="A167" s="12"/>
      <c r="B167" s="13"/>
      <c r="C167" s="14"/>
      <c r="D167" s="14"/>
      <c r="E167" s="13"/>
      <c r="F167" s="15"/>
      <c r="G167" s="16" t="str">
        <f aca="false">IF(OR(B167="",A167=""),"",C167*IFERROR(INDEX(Kişiler!$B$5:$B$44,MATCH(B167,Kişiler!$A$5:$A$44,0)),0)+D167*IFERROR(INDEX(Kişiler!$C$5:$C$44,MATCH(B167,Kişiler!$A$5:$A$44,0)),0))</f>
        <v/>
      </c>
    </row>
    <row r="168" customFormat="false" ht="15" hidden="false" customHeight="false" outlineLevel="0" collapsed="false">
      <c r="A168" s="12"/>
      <c r="B168" s="13"/>
      <c r="C168" s="14"/>
      <c r="D168" s="14"/>
      <c r="E168" s="13"/>
      <c r="F168" s="15"/>
      <c r="G168" s="16" t="str">
        <f aca="false">IF(OR(B168="",A168=""),"",C168*IFERROR(INDEX(Kişiler!$B$5:$B$44,MATCH(B168,Kişiler!$A$5:$A$44,0)),0)+D168*IFERROR(INDEX(Kişiler!$C$5:$C$44,MATCH(B168,Kişiler!$A$5:$A$44,0)),0))</f>
        <v/>
      </c>
    </row>
    <row r="169" customFormat="false" ht="15" hidden="false" customHeight="false" outlineLevel="0" collapsed="false">
      <c r="A169" s="12"/>
      <c r="B169" s="13"/>
      <c r="C169" s="14"/>
      <c r="D169" s="14"/>
      <c r="E169" s="13"/>
      <c r="F169" s="15"/>
      <c r="G169" s="16" t="str">
        <f aca="false">IF(OR(B169="",A169=""),"",C169*IFERROR(INDEX(Kişiler!$B$5:$B$44,MATCH(B169,Kişiler!$A$5:$A$44,0)),0)+D169*IFERROR(INDEX(Kişiler!$C$5:$C$44,MATCH(B169,Kişiler!$A$5:$A$44,0)),0))</f>
        <v/>
      </c>
    </row>
    <row r="170" customFormat="false" ht="15" hidden="false" customHeight="false" outlineLevel="0" collapsed="false">
      <c r="A170" s="12"/>
      <c r="B170" s="13"/>
      <c r="C170" s="14"/>
      <c r="D170" s="14"/>
      <c r="E170" s="13"/>
      <c r="F170" s="15"/>
      <c r="G170" s="16" t="str">
        <f aca="false">IF(OR(B170="",A170=""),"",C170*IFERROR(INDEX(Kişiler!$B$5:$B$44,MATCH(B170,Kişiler!$A$5:$A$44,0)),0)+D170*IFERROR(INDEX(Kişiler!$C$5:$C$44,MATCH(B170,Kişiler!$A$5:$A$44,0)),0))</f>
        <v/>
      </c>
    </row>
    <row r="171" customFormat="false" ht="15" hidden="false" customHeight="false" outlineLevel="0" collapsed="false">
      <c r="A171" s="12"/>
      <c r="B171" s="13"/>
      <c r="C171" s="14"/>
      <c r="D171" s="14"/>
      <c r="E171" s="13"/>
      <c r="F171" s="15"/>
      <c r="G171" s="16" t="str">
        <f aca="false">IF(OR(B171="",A171=""),"",C171*IFERROR(INDEX(Kişiler!$B$5:$B$44,MATCH(B171,Kişiler!$A$5:$A$44,0)),0)+D171*IFERROR(INDEX(Kişiler!$C$5:$C$44,MATCH(B171,Kişiler!$A$5:$A$44,0)),0))</f>
        <v/>
      </c>
    </row>
    <row r="172" customFormat="false" ht="15" hidden="false" customHeight="false" outlineLevel="0" collapsed="false">
      <c r="A172" s="12"/>
      <c r="B172" s="13"/>
      <c r="C172" s="14"/>
      <c r="D172" s="14"/>
      <c r="E172" s="13"/>
      <c r="F172" s="15"/>
      <c r="G172" s="16" t="str">
        <f aca="false">IF(OR(B172="",A172=""),"",C172*IFERROR(INDEX(Kişiler!$B$5:$B$44,MATCH(B172,Kişiler!$A$5:$A$44,0)),0)+D172*IFERROR(INDEX(Kişiler!$C$5:$C$44,MATCH(B172,Kişiler!$A$5:$A$44,0)),0))</f>
        <v/>
      </c>
    </row>
    <row r="173" customFormat="false" ht="15" hidden="false" customHeight="false" outlineLevel="0" collapsed="false">
      <c r="A173" s="12"/>
      <c r="B173" s="13"/>
      <c r="C173" s="14"/>
      <c r="D173" s="14"/>
      <c r="E173" s="13"/>
      <c r="F173" s="15"/>
      <c r="G173" s="16" t="str">
        <f aca="false">IF(OR(B173="",A173=""),"",C173*IFERROR(INDEX(Kişiler!$B$5:$B$44,MATCH(B173,Kişiler!$A$5:$A$44,0)),0)+D173*IFERROR(INDEX(Kişiler!$C$5:$C$44,MATCH(B173,Kişiler!$A$5:$A$44,0)),0))</f>
        <v/>
      </c>
    </row>
    <row r="174" customFormat="false" ht="15" hidden="false" customHeight="false" outlineLevel="0" collapsed="false">
      <c r="A174" s="12"/>
      <c r="B174" s="13"/>
      <c r="C174" s="14"/>
      <c r="D174" s="14"/>
      <c r="E174" s="13"/>
      <c r="F174" s="15"/>
      <c r="G174" s="16" t="str">
        <f aca="false">IF(OR(B174="",A174=""),"",C174*IFERROR(INDEX(Kişiler!$B$5:$B$44,MATCH(B174,Kişiler!$A$5:$A$44,0)),0)+D174*IFERROR(INDEX(Kişiler!$C$5:$C$44,MATCH(B174,Kişiler!$A$5:$A$44,0)),0))</f>
        <v/>
      </c>
    </row>
    <row r="175" customFormat="false" ht="15" hidden="false" customHeight="false" outlineLevel="0" collapsed="false">
      <c r="A175" s="12"/>
      <c r="B175" s="13"/>
      <c r="C175" s="14"/>
      <c r="D175" s="14"/>
      <c r="E175" s="13"/>
      <c r="F175" s="15"/>
      <c r="G175" s="16" t="str">
        <f aca="false">IF(OR(B175="",A175=""),"",C175*IFERROR(INDEX(Kişiler!$B$5:$B$44,MATCH(B175,Kişiler!$A$5:$A$44,0)),0)+D175*IFERROR(INDEX(Kişiler!$C$5:$C$44,MATCH(B175,Kişiler!$A$5:$A$44,0)),0))</f>
        <v/>
      </c>
    </row>
    <row r="176" customFormat="false" ht="15" hidden="false" customHeight="false" outlineLevel="0" collapsed="false">
      <c r="A176" s="12"/>
      <c r="B176" s="13"/>
      <c r="C176" s="14"/>
      <c r="D176" s="14"/>
      <c r="E176" s="13"/>
      <c r="F176" s="15"/>
      <c r="G176" s="16" t="str">
        <f aca="false">IF(OR(B176="",A176=""),"",C176*IFERROR(INDEX(Kişiler!$B$5:$B$44,MATCH(B176,Kişiler!$A$5:$A$44,0)),0)+D176*IFERROR(INDEX(Kişiler!$C$5:$C$44,MATCH(B176,Kişiler!$A$5:$A$44,0)),0))</f>
        <v/>
      </c>
    </row>
    <row r="177" customFormat="false" ht="15" hidden="false" customHeight="false" outlineLevel="0" collapsed="false">
      <c r="A177" s="12"/>
      <c r="B177" s="13"/>
      <c r="C177" s="14"/>
      <c r="D177" s="14"/>
      <c r="E177" s="13"/>
      <c r="F177" s="15"/>
      <c r="G177" s="16" t="str">
        <f aca="false">IF(OR(B177="",A177=""),"",C177*IFERROR(INDEX(Kişiler!$B$5:$B$44,MATCH(B177,Kişiler!$A$5:$A$44,0)),0)+D177*IFERROR(INDEX(Kişiler!$C$5:$C$44,MATCH(B177,Kişiler!$A$5:$A$44,0)),0))</f>
        <v/>
      </c>
    </row>
    <row r="178" customFormat="false" ht="15" hidden="false" customHeight="false" outlineLevel="0" collapsed="false">
      <c r="A178" s="12"/>
      <c r="B178" s="13"/>
      <c r="C178" s="14"/>
      <c r="D178" s="14"/>
      <c r="E178" s="13"/>
      <c r="F178" s="15"/>
      <c r="G178" s="16" t="str">
        <f aca="false">IF(OR(B178="",A178=""),"",C178*IFERROR(INDEX(Kişiler!$B$5:$B$44,MATCH(B178,Kişiler!$A$5:$A$44,0)),0)+D178*IFERROR(INDEX(Kişiler!$C$5:$C$44,MATCH(B178,Kişiler!$A$5:$A$44,0)),0))</f>
        <v/>
      </c>
    </row>
    <row r="179" customFormat="false" ht="15" hidden="false" customHeight="false" outlineLevel="0" collapsed="false">
      <c r="A179" s="12"/>
      <c r="B179" s="13"/>
      <c r="C179" s="14"/>
      <c r="D179" s="14"/>
      <c r="E179" s="13"/>
      <c r="F179" s="15"/>
      <c r="G179" s="16" t="str">
        <f aca="false">IF(OR(B179="",A179=""),"",C179*IFERROR(INDEX(Kişiler!$B$5:$B$44,MATCH(B179,Kişiler!$A$5:$A$44,0)),0)+D179*IFERROR(INDEX(Kişiler!$C$5:$C$44,MATCH(B179,Kişiler!$A$5:$A$44,0)),0))</f>
        <v/>
      </c>
    </row>
    <row r="180" customFormat="false" ht="15" hidden="false" customHeight="false" outlineLevel="0" collapsed="false">
      <c r="A180" s="12"/>
      <c r="B180" s="13"/>
      <c r="C180" s="14"/>
      <c r="D180" s="14"/>
      <c r="E180" s="13"/>
      <c r="F180" s="15"/>
      <c r="G180" s="16" t="str">
        <f aca="false">IF(OR(B180="",A180=""),"",C180*IFERROR(INDEX(Kişiler!$B$5:$B$44,MATCH(B180,Kişiler!$A$5:$A$44,0)),0)+D180*IFERROR(INDEX(Kişiler!$C$5:$C$44,MATCH(B180,Kişiler!$A$5:$A$44,0)),0))</f>
        <v/>
      </c>
    </row>
    <row r="181" customFormat="false" ht="15" hidden="false" customHeight="false" outlineLevel="0" collapsed="false">
      <c r="A181" s="12"/>
      <c r="B181" s="13"/>
      <c r="C181" s="14"/>
      <c r="D181" s="14"/>
      <c r="E181" s="13"/>
      <c r="F181" s="15"/>
      <c r="G181" s="16" t="str">
        <f aca="false">IF(OR(B181="",A181=""),"",C181*IFERROR(INDEX(Kişiler!$B$5:$B$44,MATCH(B181,Kişiler!$A$5:$A$44,0)),0)+D181*IFERROR(INDEX(Kişiler!$C$5:$C$44,MATCH(B181,Kişiler!$A$5:$A$44,0)),0))</f>
        <v/>
      </c>
    </row>
    <row r="182" customFormat="false" ht="15" hidden="false" customHeight="false" outlineLevel="0" collapsed="false">
      <c r="A182" s="12"/>
      <c r="B182" s="13"/>
      <c r="C182" s="14"/>
      <c r="D182" s="14"/>
      <c r="E182" s="13"/>
      <c r="F182" s="15"/>
      <c r="G182" s="16" t="str">
        <f aca="false">IF(OR(B182="",A182=""),"",C182*IFERROR(INDEX(Kişiler!$B$5:$B$44,MATCH(B182,Kişiler!$A$5:$A$44,0)),0)+D182*IFERROR(INDEX(Kişiler!$C$5:$C$44,MATCH(B182,Kişiler!$A$5:$A$44,0)),0))</f>
        <v/>
      </c>
    </row>
    <row r="183" customFormat="false" ht="15" hidden="false" customHeight="false" outlineLevel="0" collapsed="false">
      <c r="A183" s="12"/>
      <c r="B183" s="13"/>
      <c r="C183" s="14"/>
      <c r="D183" s="14"/>
      <c r="E183" s="13"/>
      <c r="F183" s="15"/>
      <c r="G183" s="16" t="str">
        <f aca="false">IF(OR(B183="",A183=""),"",C183*IFERROR(INDEX(Kişiler!$B$5:$B$44,MATCH(B183,Kişiler!$A$5:$A$44,0)),0)+D183*IFERROR(INDEX(Kişiler!$C$5:$C$44,MATCH(B183,Kişiler!$A$5:$A$44,0)),0))</f>
        <v/>
      </c>
    </row>
    <row r="184" customFormat="false" ht="15" hidden="false" customHeight="false" outlineLevel="0" collapsed="false">
      <c r="A184" s="12"/>
      <c r="B184" s="13"/>
      <c r="C184" s="14"/>
      <c r="D184" s="14"/>
      <c r="E184" s="13"/>
      <c r="F184" s="15"/>
      <c r="G184" s="16" t="str">
        <f aca="false">IF(OR(B184="",A184=""),"",C184*IFERROR(INDEX(Kişiler!$B$5:$B$44,MATCH(B184,Kişiler!$A$5:$A$44,0)),0)+D184*IFERROR(INDEX(Kişiler!$C$5:$C$44,MATCH(B184,Kişiler!$A$5:$A$44,0)),0))</f>
        <v/>
      </c>
    </row>
    <row r="185" customFormat="false" ht="15" hidden="false" customHeight="false" outlineLevel="0" collapsed="false">
      <c r="A185" s="12"/>
      <c r="B185" s="13"/>
      <c r="C185" s="14"/>
      <c r="D185" s="14"/>
      <c r="E185" s="13"/>
      <c r="F185" s="15"/>
      <c r="G185" s="16" t="str">
        <f aca="false">IF(OR(B185="",A185=""),"",C185*IFERROR(INDEX(Kişiler!$B$5:$B$44,MATCH(B185,Kişiler!$A$5:$A$44,0)),0)+D185*IFERROR(INDEX(Kişiler!$C$5:$C$44,MATCH(B185,Kişiler!$A$5:$A$44,0)),0))</f>
        <v/>
      </c>
    </row>
    <row r="186" customFormat="false" ht="15" hidden="false" customHeight="false" outlineLevel="0" collapsed="false">
      <c r="A186" s="12"/>
      <c r="B186" s="13"/>
      <c r="C186" s="14"/>
      <c r="D186" s="14"/>
      <c r="E186" s="13"/>
      <c r="F186" s="15"/>
      <c r="G186" s="16" t="str">
        <f aca="false">IF(OR(B186="",A186=""),"",C186*IFERROR(INDEX(Kişiler!$B$5:$B$44,MATCH(B186,Kişiler!$A$5:$A$44,0)),0)+D186*IFERROR(INDEX(Kişiler!$C$5:$C$44,MATCH(B186,Kişiler!$A$5:$A$44,0)),0))</f>
        <v/>
      </c>
    </row>
    <row r="187" customFormat="false" ht="15" hidden="false" customHeight="false" outlineLevel="0" collapsed="false">
      <c r="A187" s="12"/>
      <c r="B187" s="13"/>
      <c r="C187" s="14"/>
      <c r="D187" s="14"/>
      <c r="E187" s="13"/>
      <c r="F187" s="15"/>
      <c r="G187" s="16" t="str">
        <f aca="false">IF(OR(B187="",A187=""),"",C187*IFERROR(INDEX(Kişiler!$B$5:$B$44,MATCH(B187,Kişiler!$A$5:$A$44,0)),0)+D187*IFERROR(INDEX(Kişiler!$C$5:$C$44,MATCH(B187,Kişiler!$A$5:$A$44,0)),0))</f>
        <v/>
      </c>
    </row>
    <row r="188" customFormat="false" ht="15" hidden="false" customHeight="false" outlineLevel="0" collapsed="false">
      <c r="A188" s="12"/>
      <c r="B188" s="13"/>
      <c r="C188" s="14"/>
      <c r="D188" s="14"/>
      <c r="E188" s="13"/>
      <c r="F188" s="15"/>
      <c r="G188" s="16" t="str">
        <f aca="false">IF(OR(B188="",A188=""),"",C188*IFERROR(INDEX(Kişiler!$B$5:$B$44,MATCH(B188,Kişiler!$A$5:$A$44,0)),0)+D188*IFERROR(INDEX(Kişiler!$C$5:$C$44,MATCH(B188,Kişiler!$A$5:$A$44,0)),0))</f>
        <v/>
      </c>
    </row>
    <row r="189" customFormat="false" ht="15" hidden="false" customHeight="false" outlineLevel="0" collapsed="false">
      <c r="A189" s="12"/>
      <c r="B189" s="13"/>
      <c r="C189" s="14"/>
      <c r="D189" s="14"/>
      <c r="E189" s="13"/>
      <c r="F189" s="15"/>
      <c r="G189" s="16" t="str">
        <f aca="false">IF(OR(B189="",A189=""),"",C189*IFERROR(INDEX(Kişiler!$B$5:$B$44,MATCH(B189,Kişiler!$A$5:$A$44,0)),0)+D189*IFERROR(INDEX(Kişiler!$C$5:$C$44,MATCH(B189,Kişiler!$A$5:$A$44,0)),0))</f>
        <v/>
      </c>
    </row>
    <row r="190" customFormat="false" ht="15" hidden="false" customHeight="false" outlineLevel="0" collapsed="false">
      <c r="A190" s="12"/>
      <c r="B190" s="13"/>
      <c r="C190" s="14"/>
      <c r="D190" s="14"/>
      <c r="E190" s="13"/>
      <c r="F190" s="15"/>
      <c r="G190" s="16" t="str">
        <f aca="false">IF(OR(B190="",A190=""),"",C190*IFERROR(INDEX(Kişiler!$B$5:$B$44,MATCH(B190,Kişiler!$A$5:$A$44,0)),0)+D190*IFERROR(INDEX(Kişiler!$C$5:$C$44,MATCH(B190,Kişiler!$A$5:$A$44,0)),0))</f>
        <v/>
      </c>
    </row>
    <row r="191" customFormat="false" ht="15" hidden="false" customHeight="false" outlineLevel="0" collapsed="false">
      <c r="A191" s="12"/>
      <c r="B191" s="13"/>
      <c r="C191" s="14"/>
      <c r="D191" s="14"/>
      <c r="E191" s="13"/>
      <c r="F191" s="15"/>
      <c r="G191" s="16" t="str">
        <f aca="false">IF(OR(B191="",A191=""),"",C191*IFERROR(INDEX(Kişiler!$B$5:$B$44,MATCH(B191,Kişiler!$A$5:$A$44,0)),0)+D191*IFERROR(INDEX(Kişiler!$C$5:$C$44,MATCH(B191,Kişiler!$A$5:$A$44,0)),0))</f>
        <v/>
      </c>
    </row>
    <row r="192" customFormat="false" ht="15" hidden="false" customHeight="false" outlineLevel="0" collapsed="false">
      <c r="A192" s="12"/>
      <c r="B192" s="13"/>
      <c r="C192" s="14"/>
      <c r="D192" s="14"/>
      <c r="E192" s="13"/>
      <c r="F192" s="15"/>
      <c r="G192" s="16" t="str">
        <f aca="false">IF(OR(B192="",A192=""),"",C192*IFERROR(INDEX(Kişiler!$B$5:$B$44,MATCH(B192,Kişiler!$A$5:$A$44,0)),0)+D192*IFERROR(INDEX(Kişiler!$C$5:$C$44,MATCH(B192,Kişiler!$A$5:$A$44,0)),0))</f>
        <v/>
      </c>
    </row>
    <row r="193" customFormat="false" ht="15" hidden="false" customHeight="false" outlineLevel="0" collapsed="false">
      <c r="A193" s="12"/>
      <c r="B193" s="13"/>
      <c r="C193" s="14"/>
      <c r="D193" s="14"/>
      <c r="E193" s="13"/>
      <c r="F193" s="15"/>
      <c r="G193" s="16" t="str">
        <f aca="false">IF(OR(B193="",A193=""),"",C193*IFERROR(INDEX(Kişiler!$B$5:$B$44,MATCH(B193,Kişiler!$A$5:$A$44,0)),0)+D193*IFERROR(INDEX(Kişiler!$C$5:$C$44,MATCH(B193,Kişiler!$A$5:$A$44,0)),0))</f>
        <v/>
      </c>
    </row>
    <row r="194" customFormat="false" ht="15" hidden="false" customHeight="false" outlineLevel="0" collapsed="false">
      <c r="A194" s="12"/>
      <c r="B194" s="13"/>
      <c r="C194" s="14"/>
      <c r="D194" s="14"/>
      <c r="E194" s="13"/>
      <c r="F194" s="15"/>
      <c r="G194" s="16" t="str">
        <f aca="false">IF(OR(B194="",A194=""),"",C194*IFERROR(INDEX(Kişiler!$B$5:$B$44,MATCH(B194,Kişiler!$A$5:$A$44,0)),0)+D194*IFERROR(INDEX(Kişiler!$C$5:$C$44,MATCH(B194,Kişiler!$A$5:$A$44,0)),0))</f>
        <v/>
      </c>
    </row>
    <row r="195" customFormat="false" ht="15" hidden="false" customHeight="false" outlineLevel="0" collapsed="false">
      <c r="A195" s="12"/>
      <c r="B195" s="13"/>
      <c r="C195" s="14"/>
      <c r="D195" s="14"/>
      <c r="E195" s="13"/>
      <c r="F195" s="15"/>
      <c r="G195" s="16" t="str">
        <f aca="false">IF(OR(B195="",A195=""),"",C195*IFERROR(INDEX(Kişiler!$B$5:$B$44,MATCH(B195,Kişiler!$A$5:$A$44,0)),0)+D195*IFERROR(INDEX(Kişiler!$C$5:$C$44,MATCH(B195,Kişiler!$A$5:$A$44,0)),0))</f>
        <v/>
      </c>
    </row>
    <row r="196" customFormat="false" ht="15" hidden="false" customHeight="false" outlineLevel="0" collapsed="false">
      <c r="A196" s="12"/>
      <c r="B196" s="13"/>
      <c r="C196" s="14"/>
      <c r="D196" s="14"/>
      <c r="E196" s="13"/>
      <c r="F196" s="15"/>
      <c r="G196" s="16" t="str">
        <f aca="false">IF(OR(B196="",A196=""),"",C196*IFERROR(INDEX(Kişiler!$B$5:$B$44,MATCH(B196,Kişiler!$A$5:$A$44,0)),0)+D196*IFERROR(INDEX(Kişiler!$C$5:$C$44,MATCH(B196,Kişiler!$A$5:$A$44,0)),0))</f>
        <v/>
      </c>
    </row>
    <row r="197" customFormat="false" ht="15" hidden="false" customHeight="false" outlineLevel="0" collapsed="false">
      <c r="A197" s="12"/>
      <c r="B197" s="13"/>
      <c r="C197" s="14"/>
      <c r="D197" s="14"/>
      <c r="E197" s="13"/>
      <c r="F197" s="15"/>
      <c r="G197" s="16" t="str">
        <f aca="false">IF(OR(B197="",A197=""),"",C197*IFERROR(INDEX(Kişiler!$B$5:$B$44,MATCH(B197,Kişiler!$A$5:$A$44,0)),0)+D197*IFERROR(INDEX(Kişiler!$C$5:$C$44,MATCH(B197,Kişiler!$A$5:$A$44,0)),0))</f>
        <v/>
      </c>
    </row>
    <row r="198" customFormat="false" ht="15" hidden="false" customHeight="false" outlineLevel="0" collapsed="false">
      <c r="A198" s="12"/>
      <c r="B198" s="13"/>
      <c r="C198" s="14"/>
      <c r="D198" s="14"/>
      <c r="E198" s="13"/>
      <c r="F198" s="15"/>
      <c r="G198" s="16" t="str">
        <f aca="false">IF(OR(B198="",A198=""),"",C198*IFERROR(INDEX(Kişiler!$B$5:$B$44,MATCH(B198,Kişiler!$A$5:$A$44,0)),0)+D198*IFERROR(INDEX(Kişiler!$C$5:$C$44,MATCH(B198,Kişiler!$A$5:$A$44,0)),0))</f>
        <v/>
      </c>
    </row>
    <row r="199" customFormat="false" ht="15" hidden="false" customHeight="false" outlineLevel="0" collapsed="false">
      <c r="A199" s="12"/>
      <c r="B199" s="13"/>
      <c r="C199" s="14"/>
      <c r="D199" s="14"/>
      <c r="E199" s="13"/>
      <c r="F199" s="15"/>
      <c r="G199" s="16" t="str">
        <f aca="false">IF(OR(B199="",A199=""),"",C199*IFERROR(INDEX(Kişiler!$B$5:$B$44,MATCH(B199,Kişiler!$A$5:$A$44,0)),0)+D199*IFERROR(INDEX(Kişiler!$C$5:$C$44,MATCH(B199,Kişiler!$A$5:$A$44,0)),0))</f>
        <v/>
      </c>
    </row>
    <row r="200" customFormat="false" ht="15" hidden="false" customHeight="false" outlineLevel="0" collapsed="false">
      <c r="A200" s="12"/>
      <c r="B200" s="13"/>
      <c r="C200" s="14"/>
      <c r="D200" s="14"/>
      <c r="E200" s="13"/>
      <c r="F200" s="15"/>
      <c r="G200" s="16" t="str">
        <f aca="false">IF(OR(B200="",A200=""),"",C200*IFERROR(INDEX(Kişiler!$B$5:$B$44,MATCH(B200,Kişiler!$A$5:$A$44,0)),0)+D200*IFERROR(INDEX(Kişiler!$C$5:$C$44,MATCH(B200,Kişiler!$A$5:$A$44,0)),0))</f>
        <v/>
      </c>
    </row>
    <row r="201" customFormat="false" ht="15" hidden="false" customHeight="false" outlineLevel="0" collapsed="false">
      <c r="A201" s="12"/>
      <c r="B201" s="13"/>
      <c r="C201" s="14"/>
      <c r="D201" s="14"/>
      <c r="E201" s="13"/>
      <c r="F201" s="15"/>
      <c r="G201" s="16" t="str">
        <f aca="false">IF(OR(B201="",A201=""),"",C201*IFERROR(INDEX(Kişiler!$B$5:$B$44,MATCH(B201,Kişiler!$A$5:$A$44,0)),0)+D201*IFERROR(INDEX(Kişiler!$C$5:$C$44,MATCH(B201,Kişiler!$A$5:$A$44,0)),0))</f>
        <v/>
      </c>
    </row>
    <row r="202" customFormat="false" ht="15" hidden="false" customHeight="false" outlineLevel="0" collapsed="false">
      <c r="A202" s="12"/>
      <c r="B202" s="13"/>
      <c r="C202" s="14"/>
      <c r="D202" s="14"/>
      <c r="E202" s="13"/>
      <c r="F202" s="15"/>
      <c r="G202" s="16" t="str">
        <f aca="false">IF(OR(B202="",A202=""),"",C202*IFERROR(INDEX(Kişiler!$B$5:$B$44,MATCH(B202,Kişiler!$A$5:$A$44,0)),0)+D202*IFERROR(INDEX(Kişiler!$C$5:$C$44,MATCH(B202,Kişiler!$A$5:$A$44,0)),0))</f>
        <v/>
      </c>
    </row>
    <row r="203" customFormat="false" ht="15" hidden="false" customHeight="false" outlineLevel="0" collapsed="false">
      <c r="A203" s="12"/>
      <c r="B203" s="13"/>
      <c r="C203" s="14"/>
      <c r="D203" s="14"/>
      <c r="E203" s="13"/>
      <c r="F203" s="15"/>
      <c r="G203" s="16" t="str">
        <f aca="false">IF(OR(B203="",A203=""),"",C203*IFERROR(INDEX(Kişiler!$B$5:$B$44,MATCH(B203,Kişiler!$A$5:$A$44,0)),0)+D203*IFERROR(INDEX(Kişiler!$C$5:$C$44,MATCH(B203,Kişiler!$A$5:$A$44,0)),0))</f>
        <v/>
      </c>
    </row>
    <row r="204" customFormat="false" ht="15" hidden="false" customHeight="false" outlineLevel="0" collapsed="false">
      <c r="A204" s="12"/>
      <c r="B204" s="13"/>
      <c r="C204" s="14"/>
      <c r="D204" s="14"/>
      <c r="E204" s="13"/>
      <c r="F204" s="15"/>
      <c r="G204" s="16" t="str">
        <f aca="false">IF(OR(B204="",A204=""),"",C204*IFERROR(INDEX(Kişiler!$B$5:$B$44,MATCH(B204,Kişiler!$A$5:$A$44,0)),0)+D204*IFERROR(INDEX(Kişiler!$C$5:$C$44,MATCH(B204,Kişiler!$A$5:$A$44,0)),0))</f>
        <v/>
      </c>
    </row>
    <row r="205" customFormat="false" ht="15" hidden="false" customHeight="false" outlineLevel="0" collapsed="false">
      <c r="A205" s="12"/>
      <c r="B205" s="13"/>
      <c r="C205" s="14"/>
      <c r="D205" s="14"/>
      <c r="E205" s="13"/>
      <c r="F205" s="15"/>
      <c r="G205" s="16" t="str">
        <f aca="false">IF(OR(B205="",A205=""),"",C205*IFERROR(INDEX(Kişiler!$B$5:$B$44,MATCH(B205,Kişiler!$A$5:$A$44,0)),0)+D205*IFERROR(INDEX(Kişiler!$C$5:$C$44,MATCH(B205,Kişiler!$A$5:$A$44,0)),0))</f>
        <v/>
      </c>
    </row>
    <row r="206" customFormat="false" ht="15" hidden="false" customHeight="false" outlineLevel="0" collapsed="false">
      <c r="A206" s="12"/>
      <c r="B206" s="13"/>
      <c r="C206" s="14"/>
      <c r="D206" s="14"/>
      <c r="E206" s="13"/>
      <c r="F206" s="15"/>
      <c r="G206" s="16" t="str">
        <f aca="false">IF(OR(B206="",A206=""),"",C206*IFERROR(INDEX(Kişiler!$B$5:$B$44,MATCH(B206,Kişiler!$A$5:$A$44,0)),0)+D206*IFERROR(INDEX(Kişiler!$C$5:$C$44,MATCH(B206,Kişiler!$A$5:$A$44,0)),0))</f>
        <v/>
      </c>
    </row>
    <row r="207" customFormat="false" ht="15" hidden="false" customHeight="false" outlineLevel="0" collapsed="false">
      <c r="A207" s="12"/>
      <c r="B207" s="13"/>
      <c r="C207" s="14"/>
      <c r="D207" s="14"/>
      <c r="E207" s="13"/>
      <c r="F207" s="15"/>
      <c r="G207" s="16" t="str">
        <f aca="false">IF(OR(B207="",A207=""),"",C207*IFERROR(INDEX(Kişiler!$B$5:$B$44,MATCH(B207,Kişiler!$A$5:$A$44,0)),0)+D207*IFERROR(INDEX(Kişiler!$C$5:$C$44,MATCH(B207,Kişiler!$A$5:$A$44,0)),0))</f>
        <v/>
      </c>
    </row>
    <row r="208" customFormat="false" ht="15" hidden="false" customHeight="false" outlineLevel="0" collapsed="false">
      <c r="A208" s="12"/>
      <c r="B208" s="13"/>
      <c r="C208" s="14"/>
      <c r="D208" s="14"/>
      <c r="E208" s="13"/>
      <c r="F208" s="15"/>
      <c r="G208" s="16" t="str">
        <f aca="false">IF(OR(B208="",A208=""),"",C208*IFERROR(INDEX(Kişiler!$B$5:$B$44,MATCH(B208,Kişiler!$A$5:$A$44,0)),0)+D208*IFERROR(INDEX(Kişiler!$C$5:$C$44,MATCH(B208,Kişiler!$A$5:$A$44,0)),0))</f>
        <v/>
      </c>
    </row>
    <row r="209" customFormat="false" ht="15" hidden="false" customHeight="false" outlineLevel="0" collapsed="false">
      <c r="A209" s="12"/>
      <c r="B209" s="13"/>
      <c r="C209" s="14"/>
      <c r="D209" s="14"/>
      <c r="E209" s="13"/>
      <c r="F209" s="15"/>
      <c r="G209" s="16" t="str">
        <f aca="false">IF(OR(B209="",A209=""),"",C209*IFERROR(INDEX(Kişiler!$B$5:$B$44,MATCH(B209,Kişiler!$A$5:$A$44,0)),0)+D209*IFERROR(INDEX(Kişiler!$C$5:$C$44,MATCH(B209,Kişiler!$A$5:$A$44,0)),0))</f>
        <v/>
      </c>
    </row>
    <row r="210" customFormat="false" ht="15" hidden="false" customHeight="false" outlineLevel="0" collapsed="false">
      <c r="A210" s="12"/>
      <c r="B210" s="13"/>
      <c r="C210" s="14"/>
      <c r="D210" s="14"/>
      <c r="E210" s="13"/>
      <c r="F210" s="15"/>
      <c r="G210" s="16" t="str">
        <f aca="false">IF(OR(B210="",A210=""),"",C210*IFERROR(INDEX(Kişiler!$B$5:$B$44,MATCH(B210,Kişiler!$A$5:$A$44,0)),0)+D210*IFERROR(INDEX(Kişiler!$C$5:$C$44,MATCH(B210,Kişiler!$A$5:$A$44,0)),0))</f>
        <v/>
      </c>
    </row>
    <row r="211" customFormat="false" ht="15" hidden="false" customHeight="false" outlineLevel="0" collapsed="false">
      <c r="A211" s="12"/>
      <c r="B211" s="13"/>
      <c r="C211" s="14"/>
      <c r="D211" s="14"/>
      <c r="E211" s="13"/>
      <c r="F211" s="15"/>
      <c r="G211" s="16" t="str">
        <f aca="false">IF(OR(B211="",A211=""),"",C211*IFERROR(INDEX(Kişiler!$B$5:$B$44,MATCH(B211,Kişiler!$A$5:$A$44,0)),0)+D211*IFERROR(INDEX(Kişiler!$C$5:$C$44,MATCH(B211,Kişiler!$A$5:$A$44,0)),0))</f>
        <v/>
      </c>
    </row>
    <row r="212" customFormat="false" ht="15" hidden="false" customHeight="false" outlineLevel="0" collapsed="false">
      <c r="A212" s="12"/>
      <c r="B212" s="13"/>
      <c r="C212" s="14"/>
      <c r="D212" s="14"/>
      <c r="E212" s="13"/>
      <c r="F212" s="15"/>
      <c r="G212" s="16" t="str">
        <f aca="false">IF(OR(B212="",A212=""),"",C212*IFERROR(INDEX(Kişiler!$B$5:$B$44,MATCH(B212,Kişiler!$A$5:$A$44,0)),0)+D212*IFERROR(INDEX(Kişiler!$C$5:$C$44,MATCH(B212,Kişiler!$A$5:$A$44,0)),0))</f>
        <v/>
      </c>
    </row>
    <row r="213" customFormat="false" ht="15" hidden="false" customHeight="false" outlineLevel="0" collapsed="false">
      <c r="A213" s="12"/>
      <c r="B213" s="13"/>
      <c r="C213" s="14"/>
      <c r="D213" s="14"/>
      <c r="E213" s="13"/>
      <c r="F213" s="15"/>
      <c r="G213" s="16" t="str">
        <f aca="false">IF(OR(B213="",A213=""),"",C213*IFERROR(INDEX(Kişiler!$B$5:$B$44,MATCH(B213,Kişiler!$A$5:$A$44,0)),0)+D213*IFERROR(INDEX(Kişiler!$C$5:$C$44,MATCH(B213,Kişiler!$A$5:$A$44,0)),0))</f>
        <v/>
      </c>
    </row>
    <row r="214" customFormat="false" ht="15" hidden="false" customHeight="false" outlineLevel="0" collapsed="false">
      <c r="A214" s="12"/>
      <c r="B214" s="13"/>
      <c r="C214" s="14"/>
      <c r="D214" s="14"/>
      <c r="E214" s="13"/>
      <c r="F214" s="15"/>
      <c r="G214" s="16" t="str">
        <f aca="false">IF(OR(B214="",A214=""),"",C214*IFERROR(INDEX(Kişiler!$B$5:$B$44,MATCH(B214,Kişiler!$A$5:$A$44,0)),0)+D214*IFERROR(INDEX(Kişiler!$C$5:$C$44,MATCH(B214,Kişiler!$A$5:$A$44,0)),0))</f>
        <v/>
      </c>
    </row>
    <row r="215" customFormat="false" ht="15" hidden="false" customHeight="false" outlineLevel="0" collapsed="false">
      <c r="A215" s="12"/>
      <c r="B215" s="13"/>
      <c r="C215" s="14"/>
      <c r="D215" s="14"/>
      <c r="E215" s="13"/>
      <c r="F215" s="15"/>
      <c r="G215" s="16" t="str">
        <f aca="false">IF(OR(B215="",A215=""),"",C215*IFERROR(INDEX(Kişiler!$B$5:$B$44,MATCH(B215,Kişiler!$A$5:$A$44,0)),0)+D215*IFERROR(INDEX(Kişiler!$C$5:$C$44,MATCH(B215,Kişiler!$A$5:$A$44,0)),0))</f>
        <v/>
      </c>
    </row>
    <row r="216" customFormat="false" ht="15" hidden="false" customHeight="false" outlineLevel="0" collapsed="false">
      <c r="A216" s="12"/>
      <c r="B216" s="13"/>
      <c r="C216" s="14"/>
      <c r="D216" s="14"/>
      <c r="E216" s="13"/>
      <c r="F216" s="15"/>
      <c r="G216" s="16" t="str">
        <f aca="false">IF(OR(B216="",A216=""),"",C216*IFERROR(INDEX(Kişiler!$B$5:$B$44,MATCH(B216,Kişiler!$A$5:$A$44,0)),0)+D216*IFERROR(INDEX(Kişiler!$C$5:$C$44,MATCH(B216,Kişiler!$A$5:$A$44,0)),0))</f>
        <v/>
      </c>
    </row>
    <row r="217" customFormat="false" ht="15" hidden="false" customHeight="false" outlineLevel="0" collapsed="false">
      <c r="A217" s="12"/>
      <c r="B217" s="13"/>
      <c r="C217" s="14"/>
      <c r="D217" s="14"/>
      <c r="E217" s="13"/>
      <c r="F217" s="15"/>
      <c r="G217" s="16" t="str">
        <f aca="false">IF(OR(B217="",A217=""),"",C217*IFERROR(INDEX(Kişiler!$B$5:$B$44,MATCH(B217,Kişiler!$A$5:$A$44,0)),0)+D217*IFERROR(INDEX(Kişiler!$C$5:$C$44,MATCH(B217,Kişiler!$A$5:$A$44,0)),0))</f>
        <v/>
      </c>
    </row>
    <row r="218" customFormat="false" ht="15" hidden="false" customHeight="false" outlineLevel="0" collapsed="false">
      <c r="A218" s="12"/>
      <c r="B218" s="13"/>
      <c r="C218" s="14"/>
      <c r="D218" s="14"/>
      <c r="E218" s="13"/>
      <c r="F218" s="15"/>
      <c r="G218" s="16" t="str">
        <f aca="false">IF(OR(B218="",A218=""),"",C218*IFERROR(INDEX(Kişiler!$B$5:$B$44,MATCH(B218,Kişiler!$A$5:$A$44,0)),0)+D218*IFERROR(INDEX(Kişiler!$C$5:$C$44,MATCH(B218,Kişiler!$A$5:$A$44,0)),0))</f>
        <v/>
      </c>
    </row>
    <row r="219" customFormat="false" ht="15" hidden="false" customHeight="false" outlineLevel="0" collapsed="false">
      <c r="A219" s="12"/>
      <c r="B219" s="13"/>
      <c r="C219" s="14"/>
      <c r="D219" s="14"/>
      <c r="E219" s="13"/>
      <c r="F219" s="15"/>
      <c r="G219" s="16" t="str">
        <f aca="false">IF(OR(B219="",A219=""),"",C219*IFERROR(INDEX(Kişiler!$B$5:$B$44,MATCH(B219,Kişiler!$A$5:$A$44,0)),0)+D219*IFERROR(INDEX(Kişiler!$C$5:$C$44,MATCH(B219,Kişiler!$A$5:$A$44,0)),0))</f>
        <v/>
      </c>
    </row>
    <row r="220" customFormat="false" ht="15" hidden="false" customHeight="false" outlineLevel="0" collapsed="false">
      <c r="A220" s="12"/>
      <c r="B220" s="13"/>
      <c r="C220" s="14"/>
      <c r="D220" s="14"/>
      <c r="E220" s="13"/>
      <c r="F220" s="15"/>
      <c r="G220" s="16" t="str">
        <f aca="false">IF(OR(B220="",A220=""),"",C220*IFERROR(INDEX(Kişiler!$B$5:$B$44,MATCH(B220,Kişiler!$A$5:$A$44,0)),0)+D220*IFERROR(INDEX(Kişiler!$C$5:$C$44,MATCH(B220,Kişiler!$A$5:$A$44,0)),0))</f>
        <v/>
      </c>
    </row>
    <row r="221" customFormat="false" ht="15" hidden="false" customHeight="false" outlineLevel="0" collapsed="false">
      <c r="A221" s="12"/>
      <c r="B221" s="13"/>
      <c r="C221" s="14"/>
      <c r="D221" s="14"/>
      <c r="E221" s="13"/>
      <c r="F221" s="15"/>
      <c r="G221" s="16" t="str">
        <f aca="false">IF(OR(B221="",A221=""),"",C221*IFERROR(INDEX(Kişiler!$B$5:$B$44,MATCH(B221,Kişiler!$A$5:$A$44,0)),0)+D221*IFERROR(INDEX(Kişiler!$C$5:$C$44,MATCH(B221,Kişiler!$A$5:$A$44,0)),0))</f>
        <v/>
      </c>
    </row>
    <row r="222" customFormat="false" ht="15" hidden="false" customHeight="false" outlineLevel="0" collapsed="false">
      <c r="A222" s="12"/>
      <c r="B222" s="13"/>
      <c r="C222" s="14"/>
      <c r="D222" s="14"/>
      <c r="E222" s="13"/>
      <c r="F222" s="15"/>
      <c r="G222" s="16" t="str">
        <f aca="false">IF(OR(B222="",A222=""),"",C222*IFERROR(INDEX(Kişiler!$B$5:$B$44,MATCH(B222,Kişiler!$A$5:$A$44,0)),0)+D222*IFERROR(INDEX(Kişiler!$C$5:$C$44,MATCH(B222,Kişiler!$A$5:$A$44,0)),0))</f>
        <v/>
      </c>
    </row>
    <row r="223" customFormat="false" ht="15" hidden="false" customHeight="false" outlineLevel="0" collapsed="false">
      <c r="A223" s="12"/>
      <c r="B223" s="13"/>
      <c r="C223" s="14"/>
      <c r="D223" s="14"/>
      <c r="E223" s="13"/>
      <c r="F223" s="15"/>
      <c r="G223" s="16" t="str">
        <f aca="false">IF(OR(B223="",A223=""),"",C223*IFERROR(INDEX(Kişiler!$B$5:$B$44,MATCH(B223,Kişiler!$A$5:$A$44,0)),0)+D223*IFERROR(INDEX(Kişiler!$C$5:$C$44,MATCH(B223,Kişiler!$A$5:$A$44,0)),0))</f>
        <v/>
      </c>
    </row>
    <row r="224" customFormat="false" ht="15" hidden="false" customHeight="false" outlineLevel="0" collapsed="false">
      <c r="A224" s="12"/>
      <c r="B224" s="13"/>
      <c r="C224" s="14"/>
      <c r="D224" s="14"/>
      <c r="E224" s="13"/>
      <c r="F224" s="15"/>
      <c r="G224" s="16" t="str">
        <f aca="false">IF(OR(B224="",A224=""),"",C224*IFERROR(INDEX(Kişiler!$B$5:$B$44,MATCH(B224,Kişiler!$A$5:$A$44,0)),0)+D224*IFERROR(INDEX(Kişiler!$C$5:$C$44,MATCH(B224,Kişiler!$A$5:$A$44,0)),0))</f>
        <v/>
      </c>
    </row>
    <row r="225" customFormat="false" ht="15" hidden="false" customHeight="false" outlineLevel="0" collapsed="false">
      <c r="A225" s="12"/>
      <c r="B225" s="13"/>
      <c r="C225" s="14"/>
      <c r="D225" s="14"/>
      <c r="E225" s="13"/>
      <c r="F225" s="15"/>
      <c r="G225" s="16" t="str">
        <f aca="false">IF(OR(B225="",A225=""),"",C225*IFERROR(INDEX(Kişiler!$B$5:$B$44,MATCH(B225,Kişiler!$A$5:$A$44,0)),0)+D225*IFERROR(INDEX(Kişiler!$C$5:$C$44,MATCH(B225,Kişiler!$A$5:$A$44,0)),0))</f>
        <v/>
      </c>
    </row>
    <row r="226" customFormat="false" ht="15" hidden="false" customHeight="false" outlineLevel="0" collapsed="false">
      <c r="A226" s="12"/>
      <c r="B226" s="13"/>
      <c r="C226" s="14"/>
      <c r="D226" s="14"/>
      <c r="E226" s="13"/>
      <c r="F226" s="15"/>
      <c r="G226" s="16" t="str">
        <f aca="false">IF(OR(B226="",A226=""),"",C226*IFERROR(INDEX(Kişiler!$B$5:$B$44,MATCH(B226,Kişiler!$A$5:$A$44,0)),0)+D226*IFERROR(INDEX(Kişiler!$C$5:$C$44,MATCH(B226,Kişiler!$A$5:$A$44,0)),0))</f>
        <v/>
      </c>
    </row>
    <row r="227" customFormat="false" ht="15" hidden="false" customHeight="false" outlineLevel="0" collapsed="false">
      <c r="A227" s="12"/>
      <c r="B227" s="13"/>
      <c r="C227" s="14"/>
      <c r="D227" s="14"/>
      <c r="E227" s="13"/>
      <c r="F227" s="15"/>
      <c r="G227" s="16" t="str">
        <f aca="false">IF(OR(B227="",A227=""),"",C227*IFERROR(INDEX(Kişiler!$B$5:$B$44,MATCH(B227,Kişiler!$A$5:$A$44,0)),0)+D227*IFERROR(INDEX(Kişiler!$C$5:$C$44,MATCH(B227,Kişiler!$A$5:$A$44,0)),0))</f>
        <v/>
      </c>
    </row>
    <row r="228" customFormat="false" ht="15" hidden="false" customHeight="false" outlineLevel="0" collapsed="false">
      <c r="A228" s="12"/>
      <c r="B228" s="13"/>
      <c r="C228" s="14"/>
      <c r="D228" s="14"/>
      <c r="E228" s="13"/>
      <c r="F228" s="15"/>
      <c r="G228" s="16" t="str">
        <f aca="false">IF(OR(B228="",A228=""),"",C228*IFERROR(INDEX(Kişiler!$B$5:$B$44,MATCH(B228,Kişiler!$A$5:$A$44,0)),0)+D228*IFERROR(INDEX(Kişiler!$C$5:$C$44,MATCH(B228,Kişiler!$A$5:$A$44,0)),0))</f>
        <v/>
      </c>
    </row>
    <row r="229" customFormat="false" ht="15" hidden="false" customHeight="false" outlineLevel="0" collapsed="false">
      <c r="A229" s="12"/>
      <c r="B229" s="13"/>
      <c r="C229" s="14"/>
      <c r="D229" s="14"/>
      <c r="E229" s="13"/>
      <c r="F229" s="15"/>
      <c r="G229" s="16" t="str">
        <f aca="false">IF(OR(B229="",A229=""),"",C229*IFERROR(INDEX(Kişiler!$B$5:$B$44,MATCH(B229,Kişiler!$A$5:$A$44,0)),0)+D229*IFERROR(INDEX(Kişiler!$C$5:$C$44,MATCH(B229,Kişiler!$A$5:$A$44,0)),0))</f>
        <v/>
      </c>
    </row>
    <row r="230" customFormat="false" ht="15" hidden="false" customHeight="false" outlineLevel="0" collapsed="false">
      <c r="A230" s="12"/>
      <c r="B230" s="13"/>
      <c r="C230" s="14"/>
      <c r="D230" s="14"/>
      <c r="E230" s="13"/>
      <c r="F230" s="15"/>
      <c r="G230" s="16" t="str">
        <f aca="false">IF(OR(B230="",A230=""),"",C230*IFERROR(INDEX(Kişiler!$B$5:$B$44,MATCH(B230,Kişiler!$A$5:$A$44,0)),0)+D230*IFERROR(INDEX(Kişiler!$C$5:$C$44,MATCH(B230,Kişiler!$A$5:$A$44,0)),0))</f>
        <v/>
      </c>
    </row>
    <row r="231" customFormat="false" ht="15" hidden="false" customHeight="false" outlineLevel="0" collapsed="false">
      <c r="A231" s="12"/>
      <c r="B231" s="13"/>
      <c r="C231" s="14"/>
      <c r="D231" s="14"/>
      <c r="E231" s="13"/>
      <c r="F231" s="15"/>
      <c r="G231" s="16" t="str">
        <f aca="false">IF(OR(B231="",A231=""),"",C231*IFERROR(INDEX(Kişiler!$B$5:$B$44,MATCH(B231,Kişiler!$A$5:$A$44,0)),0)+D231*IFERROR(INDEX(Kişiler!$C$5:$C$44,MATCH(B231,Kişiler!$A$5:$A$44,0)),0))</f>
        <v/>
      </c>
    </row>
    <row r="232" customFormat="false" ht="15" hidden="false" customHeight="false" outlineLevel="0" collapsed="false">
      <c r="A232" s="12"/>
      <c r="B232" s="13"/>
      <c r="C232" s="14"/>
      <c r="D232" s="14"/>
      <c r="E232" s="13"/>
      <c r="F232" s="15"/>
      <c r="G232" s="16" t="str">
        <f aca="false">IF(OR(B232="",A232=""),"",C232*IFERROR(INDEX(Kişiler!$B$5:$B$44,MATCH(B232,Kişiler!$A$5:$A$44,0)),0)+D232*IFERROR(INDEX(Kişiler!$C$5:$C$44,MATCH(B232,Kişiler!$A$5:$A$44,0)),0))</f>
        <v/>
      </c>
    </row>
    <row r="233" customFormat="false" ht="15" hidden="false" customHeight="false" outlineLevel="0" collapsed="false">
      <c r="A233" s="12"/>
      <c r="B233" s="13"/>
      <c r="C233" s="14"/>
      <c r="D233" s="14"/>
      <c r="E233" s="13"/>
      <c r="F233" s="15"/>
      <c r="G233" s="16" t="str">
        <f aca="false">IF(OR(B233="",A233=""),"",C233*IFERROR(INDEX(Kişiler!$B$5:$B$44,MATCH(B233,Kişiler!$A$5:$A$44,0)),0)+D233*IFERROR(INDEX(Kişiler!$C$5:$C$44,MATCH(B233,Kişiler!$A$5:$A$44,0)),0))</f>
        <v/>
      </c>
    </row>
    <row r="234" customFormat="false" ht="15" hidden="false" customHeight="false" outlineLevel="0" collapsed="false">
      <c r="A234" s="12"/>
      <c r="B234" s="13"/>
      <c r="C234" s="14"/>
      <c r="D234" s="14"/>
      <c r="E234" s="13"/>
      <c r="F234" s="15"/>
      <c r="G234" s="16" t="str">
        <f aca="false">IF(OR(B234="",A234=""),"",C234*IFERROR(INDEX(Kişiler!$B$5:$B$44,MATCH(B234,Kişiler!$A$5:$A$44,0)),0)+D234*IFERROR(INDEX(Kişiler!$C$5:$C$44,MATCH(B234,Kişiler!$A$5:$A$44,0)),0))</f>
        <v/>
      </c>
    </row>
    <row r="235" customFormat="false" ht="15" hidden="false" customHeight="false" outlineLevel="0" collapsed="false">
      <c r="A235" s="12"/>
      <c r="B235" s="13"/>
      <c r="C235" s="14"/>
      <c r="D235" s="14"/>
      <c r="E235" s="13"/>
      <c r="F235" s="15"/>
      <c r="G235" s="16" t="str">
        <f aca="false">IF(OR(B235="",A235=""),"",C235*IFERROR(INDEX(Kişiler!$B$5:$B$44,MATCH(B235,Kişiler!$A$5:$A$44,0)),0)+D235*IFERROR(INDEX(Kişiler!$C$5:$C$44,MATCH(B235,Kişiler!$A$5:$A$44,0)),0))</f>
        <v/>
      </c>
    </row>
    <row r="236" customFormat="false" ht="15" hidden="false" customHeight="false" outlineLevel="0" collapsed="false">
      <c r="A236" s="12"/>
      <c r="B236" s="13"/>
      <c r="C236" s="14"/>
      <c r="D236" s="14"/>
      <c r="E236" s="13"/>
      <c r="F236" s="15"/>
      <c r="G236" s="16" t="str">
        <f aca="false">IF(OR(B236="",A236=""),"",C236*IFERROR(INDEX(Kişiler!$B$5:$B$44,MATCH(B236,Kişiler!$A$5:$A$44,0)),0)+D236*IFERROR(INDEX(Kişiler!$C$5:$C$44,MATCH(B236,Kişiler!$A$5:$A$44,0)),0))</f>
        <v/>
      </c>
    </row>
    <row r="237" customFormat="false" ht="15" hidden="false" customHeight="false" outlineLevel="0" collapsed="false">
      <c r="A237" s="12"/>
      <c r="B237" s="13"/>
      <c r="C237" s="14"/>
      <c r="D237" s="14"/>
      <c r="E237" s="13"/>
      <c r="F237" s="15"/>
      <c r="G237" s="16" t="str">
        <f aca="false">IF(OR(B237="",A237=""),"",C237*IFERROR(INDEX(Kişiler!$B$5:$B$44,MATCH(B237,Kişiler!$A$5:$A$44,0)),0)+D237*IFERROR(INDEX(Kişiler!$C$5:$C$44,MATCH(B237,Kişiler!$A$5:$A$44,0)),0))</f>
        <v/>
      </c>
    </row>
    <row r="238" customFormat="false" ht="15" hidden="false" customHeight="false" outlineLevel="0" collapsed="false">
      <c r="A238" s="12"/>
      <c r="B238" s="13"/>
      <c r="C238" s="14"/>
      <c r="D238" s="14"/>
      <c r="E238" s="13"/>
      <c r="F238" s="15"/>
      <c r="G238" s="16" t="str">
        <f aca="false">IF(OR(B238="",A238=""),"",C238*IFERROR(INDEX(Kişiler!$B$5:$B$44,MATCH(B238,Kişiler!$A$5:$A$44,0)),0)+D238*IFERROR(INDEX(Kişiler!$C$5:$C$44,MATCH(B238,Kişiler!$A$5:$A$44,0)),0))</f>
        <v/>
      </c>
    </row>
    <row r="239" customFormat="false" ht="15" hidden="false" customHeight="false" outlineLevel="0" collapsed="false">
      <c r="A239" s="12"/>
      <c r="B239" s="13"/>
      <c r="C239" s="14"/>
      <c r="D239" s="14"/>
      <c r="E239" s="13"/>
      <c r="F239" s="15"/>
      <c r="G239" s="16" t="str">
        <f aca="false">IF(OR(B239="",A239=""),"",C239*IFERROR(INDEX(Kişiler!$B$5:$B$44,MATCH(B239,Kişiler!$A$5:$A$44,0)),0)+D239*IFERROR(INDEX(Kişiler!$C$5:$C$44,MATCH(B239,Kişiler!$A$5:$A$44,0)),0))</f>
        <v/>
      </c>
    </row>
    <row r="240" customFormat="false" ht="15" hidden="false" customHeight="false" outlineLevel="0" collapsed="false">
      <c r="A240" s="12"/>
      <c r="B240" s="13"/>
      <c r="C240" s="14"/>
      <c r="D240" s="14"/>
      <c r="E240" s="13"/>
      <c r="F240" s="15"/>
      <c r="G240" s="16" t="str">
        <f aca="false">IF(OR(B240="",A240=""),"",C240*IFERROR(INDEX(Kişiler!$B$5:$B$44,MATCH(B240,Kişiler!$A$5:$A$44,0)),0)+D240*IFERROR(INDEX(Kişiler!$C$5:$C$44,MATCH(B240,Kişiler!$A$5:$A$44,0)),0))</f>
        <v/>
      </c>
    </row>
    <row r="241" customFormat="false" ht="15" hidden="false" customHeight="false" outlineLevel="0" collapsed="false">
      <c r="A241" s="12"/>
      <c r="B241" s="13"/>
      <c r="C241" s="14"/>
      <c r="D241" s="14"/>
      <c r="E241" s="13"/>
      <c r="F241" s="15"/>
      <c r="G241" s="16" t="str">
        <f aca="false">IF(OR(B241="",A241=""),"",C241*IFERROR(INDEX(Kişiler!$B$5:$B$44,MATCH(B241,Kişiler!$A$5:$A$44,0)),0)+D241*IFERROR(INDEX(Kişiler!$C$5:$C$44,MATCH(B241,Kişiler!$A$5:$A$44,0)),0))</f>
        <v/>
      </c>
    </row>
    <row r="242" customFormat="false" ht="15" hidden="false" customHeight="false" outlineLevel="0" collapsed="false">
      <c r="A242" s="12"/>
      <c r="B242" s="13"/>
      <c r="C242" s="14"/>
      <c r="D242" s="14"/>
      <c r="E242" s="13"/>
      <c r="F242" s="15"/>
      <c r="G242" s="16" t="str">
        <f aca="false">IF(OR(B242="",A242=""),"",C242*IFERROR(INDEX(Kişiler!$B$5:$B$44,MATCH(B242,Kişiler!$A$5:$A$44,0)),0)+D242*IFERROR(INDEX(Kişiler!$C$5:$C$44,MATCH(B242,Kişiler!$A$5:$A$44,0)),0))</f>
        <v/>
      </c>
    </row>
    <row r="243" customFormat="false" ht="15" hidden="false" customHeight="false" outlineLevel="0" collapsed="false">
      <c r="A243" s="12"/>
      <c r="B243" s="13"/>
      <c r="C243" s="14"/>
      <c r="D243" s="14"/>
      <c r="E243" s="13"/>
      <c r="F243" s="15"/>
      <c r="G243" s="16" t="str">
        <f aca="false">IF(OR(B243="",A243=""),"",C243*IFERROR(INDEX(Kişiler!$B$5:$B$44,MATCH(B243,Kişiler!$A$5:$A$44,0)),0)+D243*IFERROR(INDEX(Kişiler!$C$5:$C$44,MATCH(B243,Kişiler!$A$5:$A$44,0)),0))</f>
        <v/>
      </c>
    </row>
    <row r="244" customFormat="false" ht="15" hidden="false" customHeight="false" outlineLevel="0" collapsed="false">
      <c r="A244" s="12"/>
      <c r="B244" s="13"/>
      <c r="C244" s="14"/>
      <c r="D244" s="14"/>
      <c r="E244" s="13"/>
      <c r="F244" s="15"/>
      <c r="G244" s="16" t="str">
        <f aca="false">IF(OR(B244="",A244=""),"",C244*IFERROR(INDEX(Kişiler!$B$5:$B$44,MATCH(B244,Kişiler!$A$5:$A$44,0)),0)+D244*IFERROR(INDEX(Kişiler!$C$5:$C$44,MATCH(B244,Kişiler!$A$5:$A$44,0)),0))</f>
        <v/>
      </c>
    </row>
    <row r="245" customFormat="false" ht="15" hidden="false" customHeight="false" outlineLevel="0" collapsed="false">
      <c r="A245" s="12"/>
      <c r="B245" s="13"/>
      <c r="C245" s="14"/>
      <c r="D245" s="14"/>
      <c r="E245" s="13"/>
      <c r="F245" s="15"/>
      <c r="G245" s="16" t="str">
        <f aca="false">IF(OR(B245="",A245=""),"",C245*IFERROR(INDEX(Kişiler!$B$5:$B$44,MATCH(B245,Kişiler!$A$5:$A$44,0)),0)+D245*IFERROR(INDEX(Kişiler!$C$5:$C$44,MATCH(B245,Kişiler!$A$5:$A$44,0)),0))</f>
        <v/>
      </c>
    </row>
    <row r="246" customFormat="false" ht="15" hidden="false" customHeight="false" outlineLevel="0" collapsed="false">
      <c r="A246" s="12"/>
      <c r="B246" s="13"/>
      <c r="C246" s="14"/>
      <c r="D246" s="14"/>
      <c r="E246" s="13"/>
      <c r="F246" s="15"/>
      <c r="G246" s="16" t="str">
        <f aca="false">IF(OR(B246="",A246=""),"",C246*IFERROR(INDEX(Kişiler!$B$5:$B$44,MATCH(B246,Kişiler!$A$5:$A$44,0)),0)+D246*IFERROR(INDEX(Kişiler!$C$5:$C$44,MATCH(B246,Kişiler!$A$5:$A$44,0)),0))</f>
        <v/>
      </c>
    </row>
    <row r="247" customFormat="false" ht="15" hidden="false" customHeight="false" outlineLevel="0" collapsed="false">
      <c r="A247" s="12"/>
      <c r="B247" s="13"/>
      <c r="C247" s="14"/>
      <c r="D247" s="14"/>
      <c r="E247" s="13"/>
      <c r="F247" s="15"/>
      <c r="G247" s="16" t="str">
        <f aca="false">IF(OR(B247="",A247=""),"",C247*IFERROR(INDEX(Kişiler!$B$5:$B$44,MATCH(B247,Kişiler!$A$5:$A$44,0)),0)+D247*IFERROR(INDEX(Kişiler!$C$5:$C$44,MATCH(B247,Kişiler!$A$5:$A$44,0)),0))</f>
        <v/>
      </c>
    </row>
    <row r="248" customFormat="false" ht="15" hidden="false" customHeight="false" outlineLevel="0" collapsed="false">
      <c r="A248" s="12"/>
      <c r="B248" s="13"/>
      <c r="C248" s="14"/>
      <c r="D248" s="14"/>
      <c r="E248" s="13"/>
      <c r="F248" s="15"/>
      <c r="G248" s="16" t="str">
        <f aca="false">IF(OR(B248="",A248=""),"",C248*IFERROR(INDEX(Kişiler!$B$5:$B$44,MATCH(B248,Kişiler!$A$5:$A$44,0)),0)+D248*IFERROR(INDEX(Kişiler!$C$5:$C$44,MATCH(B248,Kişiler!$A$5:$A$44,0)),0))</f>
        <v/>
      </c>
    </row>
    <row r="249" customFormat="false" ht="15" hidden="false" customHeight="false" outlineLevel="0" collapsed="false">
      <c r="A249" s="12"/>
      <c r="B249" s="13"/>
      <c r="C249" s="14"/>
      <c r="D249" s="14"/>
      <c r="E249" s="13"/>
      <c r="F249" s="15"/>
      <c r="G249" s="16" t="str">
        <f aca="false">IF(OR(B249="",A249=""),"",C249*IFERROR(INDEX(Kişiler!$B$5:$B$44,MATCH(B249,Kişiler!$A$5:$A$44,0)),0)+D249*IFERROR(INDEX(Kişiler!$C$5:$C$44,MATCH(B249,Kişiler!$A$5:$A$44,0)),0))</f>
        <v/>
      </c>
    </row>
    <row r="250" customFormat="false" ht="15" hidden="false" customHeight="false" outlineLevel="0" collapsed="false">
      <c r="A250" s="12"/>
      <c r="B250" s="13"/>
      <c r="C250" s="14"/>
      <c r="D250" s="14"/>
      <c r="E250" s="13"/>
      <c r="F250" s="15"/>
      <c r="G250" s="16" t="str">
        <f aca="false">IF(OR(B250="",A250=""),"",C250*IFERROR(INDEX(Kişiler!$B$5:$B$44,MATCH(B250,Kişiler!$A$5:$A$44,0)),0)+D250*IFERROR(INDEX(Kişiler!$C$5:$C$44,MATCH(B250,Kişiler!$A$5:$A$44,0)),0))</f>
        <v/>
      </c>
    </row>
    <row r="251" customFormat="false" ht="15" hidden="false" customHeight="false" outlineLevel="0" collapsed="false">
      <c r="A251" s="12"/>
      <c r="B251" s="13"/>
      <c r="C251" s="14"/>
      <c r="D251" s="14"/>
      <c r="E251" s="13"/>
      <c r="F251" s="15"/>
      <c r="G251" s="16" t="str">
        <f aca="false">IF(OR(B251="",A251=""),"",C251*IFERROR(INDEX(Kişiler!$B$5:$B$44,MATCH(B251,Kişiler!$A$5:$A$44,0)),0)+D251*IFERROR(INDEX(Kişiler!$C$5:$C$44,MATCH(B251,Kişiler!$A$5:$A$44,0)),0))</f>
        <v/>
      </c>
    </row>
    <row r="252" customFormat="false" ht="15" hidden="false" customHeight="false" outlineLevel="0" collapsed="false">
      <c r="A252" s="12"/>
      <c r="B252" s="13"/>
      <c r="C252" s="14"/>
      <c r="D252" s="14"/>
      <c r="E252" s="13"/>
      <c r="F252" s="15"/>
      <c r="G252" s="16" t="str">
        <f aca="false">IF(OR(B252="",A252=""),"",C252*IFERROR(INDEX(Kişiler!$B$5:$B$44,MATCH(B252,Kişiler!$A$5:$A$44,0)),0)+D252*IFERROR(INDEX(Kişiler!$C$5:$C$44,MATCH(B252,Kişiler!$A$5:$A$44,0)),0))</f>
        <v/>
      </c>
    </row>
    <row r="253" customFormat="false" ht="15" hidden="false" customHeight="false" outlineLevel="0" collapsed="false">
      <c r="A253" s="12"/>
      <c r="B253" s="13"/>
      <c r="C253" s="14"/>
      <c r="D253" s="14"/>
      <c r="E253" s="13"/>
      <c r="F253" s="15"/>
      <c r="G253" s="16" t="str">
        <f aca="false">IF(OR(B253="",A253=""),"",C253*IFERROR(INDEX(Kişiler!$B$5:$B$44,MATCH(B253,Kişiler!$A$5:$A$44,0)),0)+D253*IFERROR(INDEX(Kişiler!$C$5:$C$44,MATCH(B253,Kişiler!$A$5:$A$44,0)),0))</f>
        <v/>
      </c>
    </row>
    <row r="254" customFormat="false" ht="15" hidden="false" customHeight="false" outlineLevel="0" collapsed="false">
      <c r="A254" s="12"/>
      <c r="B254" s="13"/>
      <c r="C254" s="14"/>
      <c r="D254" s="14"/>
      <c r="E254" s="13"/>
      <c r="F254" s="15"/>
      <c r="G254" s="16" t="str">
        <f aca="false">IF(OR(B254="",A254=""),"",C254*IFERROR(INDEX(Kişiler!$B$5:$B$44,MATCH(B254,Kişiler!$A$5:$A$44,0)),0)+D254*IFERROR(INDEX(Kişiler!$C$5:$C$44,MATCH(B254,Kişiler!$A$5:$A$44,0)),0))</f>
        <v/>
      </c>
    </row>
    <row r="255" customFormat="false" ht="15" hidden="false" customHeight="false" outlineLevel="0" collapsed="false">
      <c r="A255" s="12"/>
      <c r="B255" s="13"/>
      <c r="C255" s="14"/>
      <c r="D255" s="14"/>
      <c r="E255" s="13"/>
      <c r="F255" s="15"/>
      <c r="G255" s="16" t="str">
        <f aca="false">IF(OR(B255="",A255=""),"",C255*IFERROR(INDEX(Kişiler!$B$5:$B$44,MATCH(B255,Kişiler!$A$5:$A$44,0)),0)+D255*IFERROR(INDEX(Kişiler!$C$5:$C$44,MATCH(B255,Kişiler!$A$5:$A$44,0)),0))</f>
        <v/>
      </c>
    </row>
    <row r="256" customFormat="false" ht="15" hidden="false" customHeight="false" outlineLevel="0" collapsed="false">
      <c r="A256" s="12"/>
      <c r="B256" s="13"/>
      <c r="C256" s="14"/>
      <c r="D256" s="14"/>
      <c r="E256" s="13"/>
      <c r="F256" s="15"/>
      <c r="G256" s="16" t="str">
        <f aca="false">IF(OR(B256="",A256=""),"",C256*IFERROR(INDEX(Kişiler!$B$5:$B$44,MATCH(B256,Kişiler!$A$5:$A$44,0)),0)+D256*IFERROR(INDEX(Kişiler!$C$5:$C$44,MATCH(B256,Kişiler!$A$5:$A$44,0)),0))</f>
        <v/>
      </c>
    </row>
    <row r="257" customFormat="false" ht="15" hidden="false" customHeight="false" outlineLevel="0" collapsed="false">
      <c r="A257" s="12"/>
      <c r="B257" s="13"/>
      <c r="C257" s="14"/>
      <c r="D257" s="14"/>
      <c r="E257" s="13"/>
      <c r="F257" s="15"/>
      <c r="G257" s="16" t="str">
        <f aca="false">IF(OR(B257="",A257=""),"",C257*IFERROR(INDEX(Kişiler!$B$5:$B$44,MATCH(B257,Kişiler!$A$5:$A$44,0)),0)+D257*IFERROR(INDEX(Kişiler!$C$5:$C$44,MATCH(B257,Kişiler!$A$5:$A$44,0)),0))</f>
        <v/>
      </c>
    </row>
    <row r="258" customFormat="false" ht="15" hidden="false" customHeight="false" outlineLevel="0" collapsed="false">
      <c r="A258" s="12"/>
      <c r="B258" s="13"/>
      <c r="C258" s="14"/>
      <c r="D258" s="14"/>
      <c r="E258" s="13"/>
      <c r="F258" s="15"/>
      <c r="G258" s="16" t="str">
        <f aca="false">IF(OR(B258="",A258=""),"",C258*IFERROR(INDEX(Kişiler!$B$5:$B$44,MATCH(B258,Kişiler!$A$5:$A$44,0)),0)+D258*IFERROR(INDEX(Kişiler!$C$5:$C$44,MATCH(B258,Kişiler!$A$5:$A$44,0)),0))</f>
        <v/>
      </c>
    </row>
    <row r="259" customFormat="false" ht="15" hidden="false" customHeight="false" outlineLevel="0" collapsed="false">
      <c r="A259" s="12"/>
      <c r="B259" s="13"/>
      <c r="C259" s="14"/>
      <c r="D259" s="14"/>
      <c r="E259" s="13"/>
      <c r="F259" s="15"/>
      <c r="G259" s="16" t="str">
        <f aca="false">IF(OR(B259="",A259=""),"",C259*IFERROR(INDEX(Kişiler!$B$5:$B$44,MATCH(B259,Kişiler!$A$5:$A$44,0)),0)+D259*IFERROR(INDEX(Kişiler!$C$5:$C$44,MATCH(B259,Kişiler!$A$5:$A$44,0)),0))</f>
        <v/>
      </c>
    </row>
    <row r="260" customFormat="false" ht="15" hidden="false" customHeight="false" outlineLevel="0" collapsed="false">
      <c r="A260" s="12"/>
      <c r="B260" s="13"/>
      <c r="C260" s="14"/>
      <c r="D260" s="14"/>
      <c r="E260" s="13"/>
      <c r="F260" s="15"/>
      <c r="G260" s="16" t="str">
        <f aca="false">IF(OR(B260="",A260=""),"",C260*IFERROR(INDEX(Kişiler!$B$5:$B$44,MATCH(B260,Kişiler!$A$5:$A$44,0)),0)+D260*IFERROR(INDEX(Kişiler!$C$5:$C$44,MATCH(B260,Kişiler!$A$5:$A$44,0)),0))</f>
        <v/>
      </c>
    </row>
    <row r="261" customFormat="false" ht="15" hidden="false" customHeight="false" outlineLevel="0" collapsed="false">
      <c r="A261" s="12"/>
      <c r="B261" s="13"/>
      <c r="C261" s="14"/>
      <c r="D261" s="14"/>
      <c r="E261" s="13"/>
      <c r="F261" s="15"/>
      <c r="G261" s="16" t="str">
        <f aca="false">IF(OR(B261="",A261=""),"",C261*IFERROR(INDEX(Kişiler!$B$5:$B$44,MATCH(B261,Kişiler!$A$5:$A$44,0)),0)+D261*IFERROR(INDEX(Kişiler!$C$5:$C$44,MATCH(B261,Kişiler!$A$5:$A$44,0)),0))</f>
        <v/>
      </c>
    </row>
    <row r="262" customFormat="false" ht="15" hidden="false" customHeight="false" outlineLevel="0" collapsed="false">
      <c r="A262" s="12"/>
      <c r="B262" s="13"/>
      <c r="C262" s="14"/>
      <c r="D262" s="14"/>
      <c r="E262" s="13"/>
      <c r="F262" s="15"/>
      <c r="G262" s="16" t="str">
        <f aca="false">IF(OR(B262="",A262=""),"",C262*IFERROR(INDEX(Kişiler!$B$5:$B$44,MATCH(B262,Kişiler!$A$5:$A$44,0)),0)+D262*IFERROR(INDEX(Kişiler!$C$5:$C$44,MATCH(B262,Kişiler!$A$5:$A$44,0)),0))</f>
        <v/>
      </c>
    </row>
    <row r="263" customFormat="false" ht="15" hidden="false" customHeight="false" outlineLevel="0" collapsed="false">
      <c r="A263" s="12"/>
      <c r="B263" s="13"/>
      <c r="C263" s="14"/>
      <c r="D263" s="14"/>
      <c r="E263" s="13"/>
      <c r="F263" s="15"/>
      <c r="G263" s="16" t="str">
        <f aca="false">IF(OR(B263="",A263=""),"",C263*IFERROR(INDEX(Kişiler!$B$5:$B$44,MATCH(B263,Kişiler!$A$5:$A$44,0)),0)+D263*IFERROR(INDEX(Kişiler!$C$5:$C$44,MATCH(B263,Kişiler!$A$5:$A$44,0)),0))</f>
        <v/>
      </c>
    </row>
    <row r="264" customFormat="false" ht="15" hidden="false" customHeight="false" outlineLevel="0" collapsed="false">
      <c r="A264" s="12"/>
      <c r="B264" s="13"/>
      <c r="C264" s="14"/>
      <c r="D264" s="14"/>
      <c r="E264" s="13"/>
      <c r="F264" s="15"/>
      <c r="G264" s="16" t="str">
        <f aca="false">IF(OR(B264="",A264=""),"",C264*IFERROR(INDEX(Kişiler!$B$5:$B$44,MATCH(B264,Kişiler!$A$5:$A$44,0)),0)+D264*IFERROR(INDEX(Kişiler!$C$5:$C$44,MATCH(B264,Kişiler!$A$5:$A$44,0)),0))</f>
        <v/>
      </c>
    </row>
    <row r="265" customFormat="false" ht="15" hidden="false" customHeight="false" outlineLevel="0" collapsed="false">
      <c r="A265" s="12"/>
      <c r="B265" s="13"/>
      <c r="C265" s="14"/>
      <c r="D265" s="14"/>
      <c r="E265" s="13"/>
      <c r="F265" s="15"/>
      <c r="G265" s="16" t="str">
        <f aca="false">IF(OR(B265="",A265=""),"",C265*IFERROR(INDEX(Kişiler!$B$5:$B$44,MATCH(B265,Kişiler!$A$5:$A$44,0)),0)+D265*IFERROR(INDEX(Kişiler!$C$5:$C$44,MATCH(B265,Kişiler!$A$5:$A$44,0)),0))</f>
        <v/>
      </c>
    </row>
    <row r="266" customFormat="false" ht="15" hidden="false" customHeight="false" outlineLevel="0" collapsed="false">
      <c r="A266" s="12"/>
      <c r="B266" s="13"/>
      <c r="C266" s="14"/>
      <c r="D266" s="14"/>
      <c r="E266" s="13"/>
      <c r="F266" s="15"/>
      <c r="G266" s="16" t="str">
        <f aca="false">IF(OR(B266="",A266=""),"",C266*IFERROR(INDEX(Kişiler!$B$5:$B$44,MATCH(B266,Kişiler!$A$5:$A$44,0)),0)+D266*IFERROR(INDEX(Kişiler!$C$5:$C$44,MATCH(B266,Kişiler!$A$5:$A$44,0)),0))</f>
        <v/>
      </c>
    </row>
    <row r="267" customFormat="false" ht="15" hidden="false" customHeight="false" outlineLevel="0" collapsed="false">
      <c r="A267" s="12"/>
      <c r="B267" s="13"/>
      <c r="C267" s="14"/>
      <c r="D267" s="14"/>
      <c r="E267" s="13"/>
      <c r="F267" s="15"/>
      <c r="G267" s="16" t="str">
        <f aca="false">IF(OR(B267="",A267=""),"",C267*IFERROR(INDEX(Kişiler!$B$5:$B$44,MATCH(B267,Kişiler!$A$5:$A$44,0)),0)+D267*IFERROR(INDEX(Kişiler!$C$5:$C$44,MATCH(B267,Kişiler!$A$5:$A$44,0)),0))</f>
        <v/>
      </c>
    </row>
    <row r="268" customFormat="false" ht="15" hidden="false" customHeight="false" outlineLevel="0" collapsed="false">
      <c r="A268" s="12"/>
      <c r="B268" s="13"/>
      <c r="C268" s="14"/>
      <c r="D268" s="14"/>
      <c r="E268" s="13"/>
      <c r="F268" s="15"/>
      <c r="G268" s="16" t="str">
        <f aca="false">IF(OR(B268="",A268=""),"",C268*IFERROR(INDEX(Kişiler!$B$5:$B$44,MATCH(B268,Kişiler!$A$5:$A$44,0)),0)+D268*IFERROR(INDEX(Kişiler!$C$5:$C$44,MATCH(B268,Kişiler!$A$5:$A$44,0)),0))</f>
        <v/>
      </c>
    </row>
    <row r="269" customFormat="false" ht="15" hidden="false" customHeight="false" outlineLevel="0" collapsed="false">
      <c r="A269" s="12"/>
      <c r="B269" s="13"/>
      <c r="C269" s="14"/>
      <c r="D269" s="14"/>
      <c r="E269" s="13"/>
      <c r="F269" s="15"/>
      <c r="G269" s="16" t="str">
        <f aca="false">IF(OR(B269="",A269=""),"",C269*IFERROR(INDEX(Kişiler!$B$5:$B$44,MATCH(B269,Kişiler!$A$5:$A$44,0)),0)+D269*IFERROR(INDEX(Kişiler!$C$5:$C$44,MATCH(B269,Kişiler!$A$5:$A$44,0)),0))</f>
        <v/>
      </c>
    </row>
    <row r="270" customFormat="false" ht="15" hidden="false" customHeight="false" outlineLevel="0" collapsed="false">
      <c r="A270" s="12"/>
      <c r="B270" s="13"/>
      <c r="C270" s="14"/>
      <c r="D270" s="14"/>
      <c r="E270" s="13"/>
      <c r="F270" s="15"/>
      <c r="G270" s="16" t="str">
        <f aca="false">IF(OR(B270="",A270=""),"",C270*IFERROR(INDEX(Kişiler!$B$5:$B$44,MATCH(B270,Kişiler!$A$5:$A$44,0)),0)+D270*IFERROR(INDEX(Kişiler!$C$5:$C$44,MATCH(B270,Kişiler!$A$5:$A$44,0)),0))</f>
        <v/>
      </c>
    </row>
    <row r="271" customFormat="false" ht="15" hidden="false" customHeight="false" outlineLevel="0" collapsed="false">
      <c r="A271" s="12"/>
      <c r="B271" s="13"/>
      <c r="C271" s="14"/>
      <c r="D271" s="14"/>
      <c r="E271" s="13"/>
      <c r="F271" s="15"/>
      <c r="G271" s="16" t="str">
        <f aca="false">IF(OR(B271="",A271=""),"",C271*IFERROR(INDEX(Kişiler!$B$5:$B$44,MATCH(B271,Kişiler!$A$5:$A$44,0)),0)+D271*IFERROR(INDEX(Kişiler!$C$5:$C$44,MATCH(B271,Kişiler!$A$5:$A$44,0)),0))</f>
        <v/>
      </c>
    </row>
    <row r="272" customFormat="false" ht="15" hidden="false" customHeight="false" outlineLevel="0" collapsed="false">
      <c r="A272" s="12"/>
      <c r="B272" s="13"/>
      <c r="C272" s="14"/>
      <c r="D272" s="14"/>
      <c r="E272" s="13"/>
      <c r="F272" s="15"/>
      <c r="G272" s="16" t="str">
        <f aca="false">IF(OR(B272="",A272=""),"",C272*IFERROR(INDEX(Kişiler!$B$5:$B$44,MATCH(B272,Kişiler!$A$5:$A$44,0)),0)+D272*IFERROR(INDEX(Kişiler!$C$5:$C$44,MATCH(B272,Kişiler!$A$5:$A$44,0)),0))</f>
        <v/>
      </c>
    </row>
    <row r="273" customFormat="false" ht="15" hidden="false" customHeight="false" outlineLevel="0" collapsed="false">
      <c r="A273" s="12"/>
      <c r="B273" s="13"/>
      <c r="C273" s="14"/>
      <c r="D273" s="14"/>
      <c r="E273" s="13"/>
      <c r="F273" s="15"/>
      <c r="G273" s="16" t="str">
        <f aca="false">IF(OR(B273="",A273=""),"",C273*IFERROR(INDEX(Kişiler!$B$5:$B$44,MATCH(B273,Kişiler!$A$5:$A$44,0)),0)+D273*IFERROR(INDEX(Kişiler!$C$5:$C$44,MATCH(B273,Kişiler!$A$5:$A$44,0)),0))</f>
        <v/>
      </c>
    </row>
    <row r="274" customFormat="false" ht="15" hidden="false" customHeight="false" outlineLevel="0" collapsed="false">
      <c r="A274" s="12"/>
      <c r="B274" s="13"/>
      <c r="C274" s="14"/>
      <c r="D274" s="14"/>
      <c r="E274" s="13"/>
      <c r="F274" s="15"/>
      <c r="G274" s="16" t="str">
        <f aca="false">IF(OR(B274="",A274=""),"",C274*IFERROR(INDEX(Kişiler!$B$5:$B$44,MATCH(B274,Kişiler!$A$5:$A$44,0)),0)+D274*IFERROR(INDEX(Kişiler!$C$5:$C$44,MATCH(B274,Kişiler!$A$5:$A$44,0)),0))</f>
        <v/>
      </c>
    </row>
    <row r="275" customFormat="false" ht="15" hidden="false" customHeight="false" outlineLevel="0" collapsed="false">
      <c r="A275" s="12"/>
      <c r="B275" s="13"/>
      <c r="C275" s="14"/>
      <c r="D275" s="14"/>
      <c r="E275" s="13"/>
      <c r="F275" s="15"/>
      <c r="G275" s="16" t="str">
        <f aca="false">IF(OR(B275="",A275=""),"",C275*IFERROR(INDEX(Kişiler!$B$5:$B$44,MATCH(B275,Kişiler!$A$5:$A$44,0)),0)+D275*IFERROR(INDEX(Kişiler!$C$5:$C$44,MATCH(B275,Kişiler!$A$5:$A$44,0)),0))</f>
        <v/>
      </c>
    </row>
    <row r="276" customFormat="false" ht="15" hidden="false" customHeight="false" outlineLevel="0" collapsed="false">
      <c r="A276" s="12"/>
      <c r="B276" s="13"/>
      <c r="C276" s="14"/>
      <c r="D276" s="14"/>
      <c r="E276" s="13"/>
      <c r="F276" s="15"/>
      <c r="G276" s="16" t="str">
        <f aca="false">IF(OR(B276="",A276=""),"",C276*IFERROR(INDEX(Kişiler!$B$5:$B$44,MATCH(B276,Kişiler!$A$5:$A$44,0)),0)+D276*IFERROR(INDEX(Kişiler!$C$5:$C$44,MATCH(B276,Kişiler!$A$5:$A$44,0)),0))</f>
        <v/>
      </c>
    </row>
    <row r="277" customFormat="false" ht="15" hidden="false" customHeight="false" outlineLevel="0" collapsed="false">
      <c r="A277" s="12"/>
      <c r="B277" s="13"/>
      <c r="C277" s="14"/>
      <c r="D277" s="14"/>
      <c r="E277" s="13"/>
      <c r="F277" s="15"/>
      <c r="G277" s="16" t="str">
        <f aca="false">IF(OR(B277="",A277=""),"",C277*IFERROR(INDEX(Kişiler!$B$5:$B$44,MATCH(B277,Kişiler!$A$5:$A$44,0)),0)+D277*IFERROR(INDEX(Kişiler!$C$5:$C$44,MATCH(B277,Kişiler!$A$5:$A$44,0)),0))</f>
        <v/>
      </c>
    </row>
    <row r="278" customFormat="false" ht="15" hidden="false" customHeight="false" outlineLevel="0" collapsed="false">
      <c r="A278" s="12"/>
      <c r="B278" s="13"/>
      <c r="C278" s="14"/>
      <c r="D278" s="14"/>
      <c r="E278" s="13"/>
      <c r="F278" s="15"/>
      <c r="G278" s="16" t="str">
        <f aca="false">IF(OR(B278="",A278=""),"",C278*IFERROR(INDEX(Kişiler!$B$5:$B$44,MATCH(B278,Kişiler!$A$5:$A$44,0)),0)+D278*IFERROR(INDEX(Kişiler!$C$5:$C$44,MATCH(B278,Kişiler!$A$5:$A$44,0)),0))</f>
        <v/>
      </c>
    </row>
    <row r="279" customFormat="false" ht="15" hidden="false" customHeight="false" outlineLevel="0" collapsed="false">
      <c r="A279" s="12"/>
      <c r="B279" s="13"/>
      <c r="C279" s="14"/>
      <c r="D279" s="14"/>
      <c r="E279" s="13"/>
      <c r="F279" s="15"/>
      <c r="G279" s="16" t="str">
        <f aca="false">IF(OR(B279="",A279=""),"",C279*IFERROR(INDEX(Kişiler!$B$5:$B$44,MATCH(B279,Kişiler!$A$5:$A$44,0)),0)+D279*IFERROR(INDEX(Kişiler!$C$5:$C$44,MATCH(B279,Kişiler!$A$5:$A$44,0)),0))</f>
        <v/>
      </c>
    </row>
    <row r="280" customFormat="false" ht="15" hidden="false" customHeight="false" outlineLevel="0" collapsed="false">
      <c r="A280" s="12"/>
      <c r="B280" s="13"/>
      <c r="C280" s="14"/>
      <c r="D280" s="14"/>
      <c r="E280" s="13"/>
      <c r="F280" s="15"/>
      <c r="G280" s="16" t="str">
        <f aca="false">IF(OR(B280="",A280=""),"",C280*IFERROR(INDEX(Kişiler!$B$5:$B$44,MATCH(B280,Kişiler!$A$5:$A$44,0)),0)+D280*IFERROR(INDEX(Kişiler!$C$5:$C$44,MATCH(B280,Kişiler!$A$5:$A$44,0)),0))</f>
        <v/>
      </c>
    </row>
    <row r="281" customFormat="false" ht="15" hidden="false" customHeight="false" outlineLevel="0" collapsed="false">
      <c r="A281" s="12"/>
      <c r="B281" s="13"/>
      <c r="C281" s="14"/>
      <c r="D281" s="14"/>
      <c r="E281" s="13"/>
      <c r="F281" s="15"/>
      <c r="G281" s="16" t="str">
        <f aca="false">IF(OR(B281="",A281=""),"",C281*IFERROR(INDEX(Kişiler!$B$5:$B$44,MATCH(B281,Kişiler!$A$5:$A$44,0)),0)+D281*IFERROR(INDEX(Kişiler!$C$5:$C$44,MATCH(B281,Kişiler!$A$5:$A$44,0)),0))</f>
        <v/>
      </c>
    </row>
    <row r="282" customFormat="false" ht="15" hidden="false" customHeight="false" outlineLevel="0" collapsed="false">
      <c r="A282" s="12"/>
      <c r="B282" s="13"/>
      <c r="C282" s="14"/>
      <c r="D282" s="14"/>
      <c r="E282" s="13"/>
      <c r="F282" s="15"/>
      <c r="G282" s="16" t="str">
        <f aca="false">IF(OR(B282="",A282=""),"",C282*IFERROR(INDEX(Kişiler!$B$5:$B$44,MATCH(B282,Kişiler!$A$5:$A$44,0)),0)+D282*IFERROR(INDEX(Kişiler!$C$5:$C$44,MATCH(B282,Kişiler!$A$5:$A$44,0)),0))</f>
        <v/>
      </c>
    </row>
    <row r="283" customFormat="false" ht="15" hidden="false" customHeight="false" outlineLevel="0" collapsed="false">
      <c r="A283" s="12"/>
      <c r="B283" s="13"/>
      <c r="C283" s="14"/>
      <c r="D283" s="14"/>
      <c r="E283" s="13"/>
      <c r="F283" s="15"/>
      <c r="G283" s="16" t="str">
        <f aca="false">IF(OR(B283="",A283=""),"",C283*IFERROR(INDEX(Kişiler!$B$5:$B$44,MATCH(B283,Kişiler!$A$5:$A$44,0)),0)+D283*IFERROR(INDEX(Kişiler!$C$5:$C$44,MATCH(B283,Kişiler!$A$5:$A$44,0)),0))</f>
        <v/>
      </c>
    </row>
    <row r="284" customFormat="false" ht="15" hidden="false" customHeight="false" outlineLevel="0" collapsed="false">
      <c r="A284" s="12"/>
      <c r="B284" s="13"/>
      <c r="C284" s="14"/>
      <c r="D284" s="14"/>
      <c r="E284" s="13"/>
      <c r="F284" s="15"/>
      <c r="G284" s="16" t="str">
        <f aca="false">IF(OR(B284="",A284=""),"",C284*IFERROR(INDEX(Kişiler!$B$5:$B$44,MATCH(B284,Kişiler!$A$5:$A$44,0)),0)+D284*IFERROR(INDEX(Kişiler!$C$5:$C$44,MATCH(B284,Kişiler!$A$5:$A$44,0)),0))</f>
        <v/>
      </c>
    </row>
    <row r="285" customFormat="false" ht="15" hidden="false" customHeight="false" outlineLevel="0" collapsed="false">
      <c r="A285" s="12"/>
      <c r="B285" s="13"/>
      <c r="C285" s="14"/>
      <c r="D285" s="14"/>
      <c r="E285" s="13"/>
      <c r="F285" s="15"/>
      <c r="G285" s="16" t="str">
        <f aca="false">IF(OR(B285="",A285=""),"",C285*IFERROR(INDEX(Kişiler!$B$5:$B$44,MATCH(B285,Kişiler!$A$5:$A$44,0)),0)+D285*IFERROR(INDEX(Kişiler!$C$5:$C$44,MATCH(B285,Kişiler!$A$5:$A$44,0)),0))</f>
        <v/>
      </c>
    </row>
    <row r="286" customFormat="false" ht="15" hidden="false" customHeight="false" outlineLevel="0" collapsed="false">
      <c r="A286" s="12"/>
      <c r="B286" s="13"/>
      <c r="C286" s="14"/>
      <c r="D286" s="14"/>
      <c r="E286" s="13"/>
      <c r="F286" s="15"/>
      <c r="G286" s="16" t="str">
        <f aca="false">IF(OR(B286="",A286=""),"",C286*IFERROR(INDEX(Kişiler!$B$5:$B$44,MATCH(B286,Kişiler!$A$5:$A$44,0)),0)+D286*IFERROR(INDEX(Kişiler!$C$5:$C$44,MATCH(B286,Kişiler!$A$5:$A$44,0)),0))</f>
        <v/>
      </c>
    </row>
    <row r="287" customFormat="false" ht="15" hidden="false" customHeight="false" outlineLevel="0" collapsed="false">
      <c r="A287" s="12"/>
      <c r="B287" s="13"/>
      <c r="C287" s="14"/>
      <c r="D287" s="14"/>
      <c r="E287" s="13"/>
      <c r="F287" s="15"/>
      <c r="G287" s="16" t="str">
        <f aca="false">IF(OR(B287="",A287=""),"",C287*IFERROR(INDEX(Kişiler!$B$5:$B$44,MATCH(B287,Kişiler!$A$5:$A$44,0)),0)+D287*IFERROR(INDEX(Kişiler!$C$5:$C$44,MATCH(B287,Kişiler!$A$5:$A$44,0)),0))</f>
        <v/>
      </c>
    </row>
    <row r="288" customFormat="false" ht="15" hidden="false" customHeight="false" outlineLevel="0" collapsed="false">
      <c r="A288" s="12"/>
      <c r="B288" s="13"/>
      <c r="C288" s="14"/>
      <c r="D288" s="14"/>
      <c r="E288" s="13"/>
      <c r="F288" s="15"/>
      <c r="G288" s="16" t="str">
        <f aca="false">IF(OR(B288="",A288=""),"",C288*IFERROR(INDEX(Kişiler!$B$5:$B$44,MATCH(B288,Kişiler!$A$5:$A$44,0)),0)+D288*IFERROR(INDEX(Kişiler!$C$5:$C$44,MATCH(B288,Kişiler!$A$5:$A$44,0)),0))</f>
        <v/>
      </c>
    </row>
    <row r="289" customFormat="false" ht="15" hidden="false" customHeight="false" outlineLevel="0" collapsed="false">
      <c r="A289" s="12"/>
      <c r="B289" s="13"/>
      <c r="C289" s="14"/>
      <c r="D289" s="14"/>
      <c r="E289" s="13"/>
      <c r="F289" s="15"/>
      <c r="G289" s="16" t="str">
        <f aca="false">IF(OR(B289="",A289=""),"",C289*IFERROR(INDEX(Kişiler!$B$5:$B$44,MATCH(B289,Kişiler!$A$5:$A$44,0)),0)+D289*IFERROR(INDEX(Kişiler!$C$5:$C$44,MATCH(B289,Kişiler!$A$5:$A$44,0)),0))</f>
        <v/>
      </c>
    </row>
    <row r="290" customFormat="false" ht="15" hidden="false" customHeight="false" outlineLevel="0" collapsed="false">
      <c r="A290" s="12"/>
      <c r="B290" s="13"/>
      <c r="C290" s="14"/>
      <c r="D290" s="14"/>
      <c r="E290" s="13"/>
      <c r="F290" s="15"/>
      <c r="G290" s="16" t="str">
        <f aca="false">IF(OR(B290="",A290=""),"",C290*IFERROR(INDEX(Kişiler!$B$5:$B$44,MATCH(B290,Kişiler!$A$5:$A$44,0)),0)+D290*IFERROR(INDEX(Kişiler!$C$5:$C$44,MATCH(B290,Kişiler!$A$5:$A$44,0)),0))</f>
        <v/>
      </c>
    </row>
    <row r="291" customFormat="false" ht="15" hidden="false" customHeight="false" outlineLevel="0" collapsed="false">
      <c r="A291" s="12"/>
      <c r="B291" s="13"/>
      <c r="C291" s="14"/>
      <c r="D291" s="14"/>
      <c r="E291" s="13"/>
      <c r="F291" s="15"/>
      <c r="G291" s="16" t="str">
        <f aca="false">IF(OR(B291="",A291=""),"",C291*IFERROR(INDEX(Kişiler!$B$5:$B$44,MATCH(B291,Kişiler!$A$5:$A$44,0)),0)+D291*IFERROR(INDEX(Kişiler!$C$5:$C$44,MATCH(B291,Kişiler!$A$5:$A$44,0)),0))</f>
        <v/>
      </c>
    </row>
    <row r="292" customFormat="false" ht="15" hidden="false" customHeight="false" outlineLevel="0" collapsed="false">
      <c r="A292" s="12"/>
      <c r="B292" s="13"/>
      <c r="C292" s="14"/>
      <c r="D292" s="14"/>
      <c r="E292" s="13"/>
      <c r="F292" s="15"/>
      <c r="G292" s="16" t="str">
        <f aca="false">IF(OR(B292="",A292=""),"",C292*IFERROR(INDEX(Kişiler!$B$5:$B$44,MATCH(B292,Kişiler!$A$5:$A$44,0)),0)+D292*IFERROR(INDEX(Kişiler!$C$5:$C$44,MATCH(B292,Kişiler!$A$5:$A$44,0)),0))</f>
        <v/>
      </c>
    </row>
    <row r="293" customFormat="false" ht="15" hidden="false" customHeight="false" outlineLevel="0" collapsed="false">
      <c r="A293" s="12"/>
      <c r="B293" s="13"/>
      <c r="C293" s="14"/>
      <c r="D293" s="14"/>
      <c r="E293" s="13"/>
      <c r="F293" s="15"/>
      <c r="G293" s="16" t="str">
        <f aca="false">IF(OR(B293="",A293=""),"",C293*IFERROR(INDEX(Kişiler!$B$5:$B$44,MATCH(B293,Kişiler!$A$5:$A$44,0)),0)+D293*IFERROR(INDEX(Kişiler!$C$5:$C$44,MATCH(B293,Kişiler!$A$5:$A$44,0)),0))</f>
        <v/>
      </c>
    </row>
    <row r="294" customFormat="false" ht="15" hidden="false" customHeight="false" outlineLevel="0" collapsed="false">
      <c r="A294" s="12"/>
      <c r="B294" s="13"/>
      <c r="C294" s="14"/>
      <c r="D294" s="14"/>
      <c r="E294" s="13"/>
      <c r="F294" s="15"/>
      <c r="G294" s="16" t="str">
        <f aca="false">IF(OR(B294="",A294=""),"",C294*IFERROR(INDEX(Kişiler!$B$5:$B$44,MATCH(B294,Kişiler!$A$5:$A$44,0)),0)+D294*IFERROR(INDEX(Kişiler!$C$5:$C$44,MATCH(B294,Kişiler!$A$5:$A$44,0)),0))</f>
        <v/>
      </c>
    </row>
    <row r="295" customFormat="false" ht="15" hidden="false" customHeight="false" outlineLevel="0" collapsed="false">
      <c r="A295" s="12"/>
      <c r="B295" s="13"/>
      <c r="C295" s="14"/>
      <c r="D295" s="14"/>
      <c r="E295" s="13"/>
      <c r="F295" s="15"/>
      <c r="G295" s="16" t="str">
        <f aca="false">IF(OR(B295="",A295=""),"",C295*IFERROR(INDEX(Kişiler!$B$5:$B$44,MATCH(B295,Kişiler!$A$5:$A$44,0)),0)+D295*IFERROR(INDEX(Kişiler!$C$5:$C$44,MATCH(B295,Kişiler!$A$5:$A$44,0)),0))</f>
        <v/>
      </c>
    </row>
    <row r="296" customFormat="false" ht="15" hidden="false" customHeight="false" outlineLevel="0" collapsed="false">
      <c r="A296" s="12"/>
      <c r="B296" s="13"/>
      <c r="C296" s="14"/>
      <c r="D296" s="14"/>
      <c r="E296" s="13"/>
      <c r="F296" s="15"/>
      <c r="G296" s="16" t="str">
        <f aca="false">IF(OR(B296="",A296=""),"",C296*IFERROR(INDEX(Kişiler!$B$5:$B$44,MATCH(B296,Kişiler!$A$5:$A$44,0)),0)+D296*IFERROR(INDEX(Kişiler!$C$5:$C$44,MATCH(B296,Kişiler!$A$5:$A$44,0)),0))</f>
        <v/>
      </c>
    </row>
    <row r="297" customFormat="false" ht="15" hidden="false" customHeight="false" outlineLevel="0" collapsed="false">
      <c r="A297" s="12"/>
      <c r="B297" s="13"/>
      <c r="C297" s="14"/>
      <c r="D297" s="14"/>
      <c r="E297" s="13"/>
      <c r="F297" s="15"/>
      <c r="G297" s="16" t="str">
        <f aca="false">IF(OR(B297="",A297=""),"",C297*IFERROR(INDEX(Kişiler!$B$5:$B$44,MATCH(B297,Kişiler!$A$5:$A$44,0)),0)+D297*IFERROR(INDEX(Kişiler!$C$5:$C$44,MATCH(B297,Kişiler!$A$5:$A$44,0)),0))</f>
        <v/>
      </c>
    </row>
    <row r="298" customFormat="false" ht="15" hidden="false" customHeight="false" outlineLevel="0" collapsed="false">
      <c r="A298" s="12"/>
      <c r="B298" s="13"/>
      <c r="C298" s="14"/>
      <c r="D298" s="14"/>
      <c r="E298" s="13"/>
      <c r="F298" s="15"/>
      <c r="G298" s="16" t="str">
        <f aca="false">IF(OR(B298="",A298=""),"",C298*IFERROR(INDEX(Kişiler!$B$5:$B$44,MATCH(B298,Kişiler!$A$5:$A$44,0)),0)+D298*IFERROR(INDEX(Kişiler!$C$5:$C$44,MATCH(B298,Kişiler!$A$5:$A$44,0)),0))</f>
        <v/>
      </c>
    </row>
    <row r="299" customFormat="false" ht="15" hidden="false" customHeight="false" outlineLevel="0" collapsed="false">
      <c r="A299" s="12"/>
      <c r="B299" s="13"/>
      <c r="C299" s="14"/>
      <c r="D299" s="14"/>
      <c r="E299" s="13"/>
      <c r="F299" s="15"/>
      <c r="G299" s="16" t="str">
        <f aca="false">IF(OR(B299="",A299=""),"",C299*IFERROR(INDEX(Kişiler!$B$5:$B$44,MATCH(B299,Kişiler!$A$5:$A$44,0)),0)+D299*IFERROR(INDEX(Kişiler!$C$5:$C$44,MATCH(B299,Kişiler!$A$5:$A$44,0)),0))</f>
        <v/>
      </c>
    </row>
    <row r="300" customFormat="false" ht="15" hidden="false" customHeight="false" outlineLevel="0" collapsed="false">
      <c r="A300" s="12"/>
      <c r="B300" s="13"/>
      <c r="C300" s="14"/>
      <c r="D300" s="14"/>
      <c r="E300" s="13"/>
      <c r="F300" s="15"/>
      <c r="G300" s="16" t="str">
        <f aca="false">IF(OR(B300="",A300=""),"",C300*IFERROR(INDEX(Kişiler!$B$5:$B$44,MATCH(B300,Kişiler!$A$5:$A$44,0)),0)+D300*IFERROR(INDEX(Kişiler!$C$5:$C$44,MATCH(B300,Kişiler!$A$5:$A$44,0)),0))</f>
        <v/>
      </c>
    </row>
    <row r="301" customFormat="false" ht="15" hidden="false" customHeight="false" outlineLevel="0" collapsed="false">
      <c r="A301" s="12"/>
      <c r="B301" s="13"/>
      <c r="C301" s="14"/>
      <c r="D301" s="14"/>
      <c r="E301" s="13"/>
      <c r="F301" s="15"/>
      <c r="G301" s="16" t="str">
        <f aca="false">IF(OR(B301="",A301=""),"",C301*IFERROR(INDEX(Kişiler!$B$5:$B$44,MATCH(B301,Kişiler!$A$5:$A$44,0)),0)+D301*IFERROR(INDEX(Kişiler!$C$5:$C$44,MATCH(B301,Kişiler!$A$5:$A$44,0)),0))</f>
        <v/>
      </c>
    </row>
    <row r="302" customFormat="false" ht="15" hidden="false" customHeight="false" outlineLevel="0" collapsed="false">
      <c r="A302" s="12"/>
      <c r="B302" s="13"/>
      <c r="C302" s="14"/>
      <c r="D302" s="14"/>
      <c r="E302" s="13"/>
      <c r="F302" s="15"/>
      <c r="G302" s="16" t="str">
        <f aca="false">IF(OR(B302="",A302=""),"",C302*IFERROR(INDEX(Kişiler!$B$5:$B$44,MATCH(B302,Kişiler!$A$5:$A$44,0)),0)+D302*IFERROR(INDEX(Kişiler!$C$5:$C$44,MATCH(B302,Kişiler!$A$5:$A$44,0)),0))</f>
        <v/>
      </c>
    </row>
    <row r="303" customFormat="false" ht="15" hidden="false" customHeight="false" outlineLevel="0" collapsed="false">
      <c r="A303" s="12"/>
      <c r="B303" s="13"/>
      <c r="C303" s="14"/>
      <c r="D303" s="14"/>
      <c r="E303" s="13"/>
      <c r="F303" s="15"/>
      <c r="G303" s="16" t="str">
        <f aca="false">IF(OR(B303="",A303=""),"",C303*IFERROR(INDEX(Kişiler!$B$5:$B$44,MATCH(B303,Kişiler!$A$5:$A$44,0)),0)+D303*IFERROR(INDEX(Kişiler!$C$5:$C$44,MATCH(B303,Kişiler!$A$5:$A$44,0)),0))</f>
        <v/>
      </c>
    </row>
    <row r="304" customFormat="false" ht="15" hidden="false" customHeight="false" outlineLevel="0" collapsed="false">
      <c r="A304" s="12"/>
      <c r="B304" s="13"/>
      <c r="C304" s="14"/>
      <c r="D304" s="14"/>
      <c r="E304" s="13"/>
      <c r="F304" s="15"/>
      <c r="G304" s="16" t="str">
        <f aca="false">IF(OR(B304="",A304=""),"",C304*IFERROR(INDEX(Kişiler!$B$5:$B$44,MATCH(B304,Kişiler!$A$5:$A$44,0)),0)+D304*IFERROR(INDEX(Kişiler!$C$5:$C$44,MATCH(B304,Kişiler!$A$5:$A$44,0)),0))</f>
        <v/>
      </c>
    </row>
    <row r="305" customFormat="false" ht="15" hidden="false" customHeight="false" outlineLevel="0" collapsed="false">
      <c r="A305" s="12"/>
      <c r="B305" s="13"/>
      <c r="C305" s="14"/>
      <c r="D305" s="14"/>
      <c r="E305" s="13"/>
      <c r="F305" s="15"/>
      <c r="G305" s="16" t="str">
        <f aca="false">IF(OR(B305="",A305=""),"",C305*IFERROR(INDEX(Kişiler!$B$5:$B$44,MATCH(B305,Kişiler!$A$5:$A$44,0)),0)+D305*IFERROR(INDEX(Kişiler!$C$5:$C$44,MATCH(B305,Kişiler!$A$5:$A$44,0)),0))</f>
        <v/>
      </c>
    </row>
    <row r="306" customFormat="false" ht="15" hidden="false" customHeight="false" outlineLevel="0" collapsed="false">
      <c r="A306" s="12"/>
      <c r="B306" s="13"/>
      <c r="C306" s="14"/>
      <c r="D306" s="14"/>
      <c r="E306" s="13"/>
      <c r="F306" s="15"/>
      <c r="G306" s="16" t="str">
        <f aca="false">IF(OR(B306="",A306=""),"",C306*IFERROR(INDEX(Kişiler!$B$5:$B$44,MATCH(B306,Kişiler!$A$5:$A$44,0)),0)+D306*IFERROR(INDEX(Kişiler!$C$5:$C$44,MATCH(B306,Kişiler!$A$5:$A$44,0)),0))</f>
        <v/>
      </c>
    </row>
    <row r="307" customFormat="false" ht="15" hidden="false" customHeight="false" outlineLevel="0" collapsed="false">
      <c r="A307" s="12"/>
      <c r="B307" s="13"/>
      <c r="C307" s="14"/>
      <c r="D307" s="14"/>
      <c r="E307" s="13"/>
      <c r="F307" s="15"/>
      <c r="G307" s="16" t="str">
        <f aca="false">IF(OR(B307="",A307=""),"",C307*IFERROR(INDEX(Kişiler!$B$5:$B$44,MATCH(B307,Kişiler!$A$5:$A$44,0)),0)+D307*IFERROR(INDEX(Kişiler!$C$5:$C$44,MATCH(B307,Kişiler!$A$5:$A$44,0)),0))</f>
        <v/>
      </c>
    </row>
    <row r="308" customFormat="false" ht="15" hidden="false" customHeight="false" outlineLevel="0" collapsed="false">
      <c r="A308" s="12"/>
      <c r="B308" s="13"/>
      <c r="C308" s="14"/>
      <c r="D308" s="14"/>
      <c r="E308" s="13"/>
      <c r="F308" s="15"/>
      <c r="G308" s="16" t="str">
        <f aca="false">IF(OR(B308="",A308=""),"",C308*IFERROR(INDEX(Kişiler!$B$5:$B$44,MATCH(B308,Kişiler!$A$5:$A$44,0)),0)+D308*IFERROR(INDEX(Kişiler!$C$5:$C$44,MATCH(B308,Kişiler!$A$5:$A$44,0)),0))</f>
        <v/>
      </c>
    </row>
    <row r="309" customFormat="false" ht="15" hidden="false" customHeight="false" outlineLevel="0" collapsed="false">
      <c r="A309" s="12"/>
      <c r="B309" s="13"/>
      <c r="C309" s="14"/>
      <c r="D309" s="14"/>
      <c r="E309" s="13"/>
      <c r="F309" s="15"/>
      <c r="G309" s="16" t="str">
        <f aca="false">IF(OR(B309="",A309=""),"",C309*IFERROR(INDEX(Kişiler!$B$5:$B$44,MATCH(B309,Kişiler!$A$5:$A$44,0)),0)+D309*IFERROR(INDEX(Kişiler!$C$5:$C$44,MATCH(B309,Kişiler!$A$5:$A$44,0)),0))</f>
        <v/>
      </c>
    </row>
    <row r="310" customFormat="false" ht="15" hidden="false" customHeight="false" outlineLevel="0" collapsed="false">
      <c r="A310" s="12"/>
      <c r="B310" s="13"/>
      <c r="C310" s="14"/>
      <c r="D310" s="14"/>
      <c r="E310" s="13"/>
      <c r="F310" s="15"/>
      <c r="G310" s="16" t="str">
        <f aca="false">IF(OR(B310="",A310=""),"",C310*IFERROR(INDEX(Kişiler!$B$5:$B$44,MATCH(B310,Kişiler!$A$5:$A$44,0)),0)+D310*IFERROR(INDEX(Kişiler!$C$5:$C$44,MATCH(B310,Kişiler!$A$5:$A$44,0)),0))</f>
        <v/>
      </c>
    </row>
    <row r="311" customFormat="false" ht="15" hidden="false" customHeight="false" outlineLevel="0" collapsed="false">
      <c r="A311" s="12"/>
      <c r="B311" s="13"/>
      <c r="C311" s="14"/>
      <c r="D311" s="14"/>
      <c r="E311" s="13"/>
      <c r="F311" s="15"/>
      <c r="G311" s="16" t="str">
        <f aca="false">IF(OR(B311="",A311=""),"",C311*IFERROR(INDEX(Kişiler!$B$5:$B$44,MATCH(B311,Kişiler!$A$5:$A$44,0)),0)+D311*IFERROR(INDEX(Kişiler!$C$5:$C$44,MATCH(B311,Kişiler!$A$5:$A$44,0)),0))</f>
        <v/>
      </c>
    </row>
    <row r="312" customFormat="false" ht="15" hidden="false" customHeight="false" outlineLevel="0" collapsed="false">
      <c r="A312" s="12"/>
      <c r="B312" s="13"/>
      <c r="C312" s="14"/>
      <c r="D312" s="14"/>
      <c r="E312" s="13"/>
      <c r="F312" s="15"/>
      <c r="G312" s="16" t="str">
        <f aca="false">IF(OR(B312="",A312=""),"",C312*IFERROR(INDEX(Kişiler!$B$5:$B$44,MATCH(B312,Kişiler!$A$5:$A$44,0)),0)+D312*IFERROR(INDEX(Kişiler!$C$5:$C$44,MATCH(B312,Kişiler!$A$5:$A$44,0)),0))</f>
        <v/>
      </c>
    </row>
    <row r="313" customFormat="false" ht="15" hidden="false" customHeight="false" outlineLevel="0" collapsed="false">
      <c r="A313" s="12"/>
      <c r="B313" s="13"/>
      <c r="C313" s="14"/>
      <c r="D313" s="14"/>
      <c r="E313" s="13"/>
      <c r="F313" s="15"/>
      <c r="G313" s="16" t="str">
        <f aca="false">IF(OR(B313="",A313=""),"",C313*IFERROR(INDEX(Kişiler!$B$5:$B$44,MATCH(B313,Kişiler!$A$5:$A$44,0)),0)+D313*IFERROR(INDEX(Kişiler!$C$5:$C$44,MATCH(B313,Kişiler!$A$5:$A$44,0)),0))</f>
        <v/>
      </c>
    </row>
    <row r="314" customFormat="false" ht="15" hidden="false" customHeight="false" outlineLevel="0" collapsed="false">
      <c r="A314" s="12"/>
      <c r="B314" s="13"/>
      <c r="C314" s="14"/>
      <c r="D314" s="14"/>
      <c r="E314" s="13"/>
      <c r="F314" s="15"/>
      <c r="G314" s="16" t="str">
        <f aca="false">IF(OR(B314="",A314=""),"",C314*IFERROR(INDEX(Kişiler!$B$5:$B$44,MATCH(B314,Kişiler!$A$5:$A$44,0)),0)+D314*IFERROR(INDEX(Kişiler!$C$5:$C$44,MATCH(B314,Kişiler!$A$5:$A$44,0)),0))</f>
        <v/>
      </c>
    </row>
    <row r="315" customFormat="false" ht="15" hidden="false" customHeight="false" outlineLevel="0" collapsed="false">
      <c r="A315" s="12"/>
      <c r="B315" s="13"/>
      <c r="C315" s="14"/>
      <c r="D315" s="14"/>
      <c r="E315" s="13"/>
      <c r="F315" s="15"/>
      <c r="G315" s="16" t="str">
        <f aca="false">IF(OR(B315="",A315=""),"",C315*IFERROR(INDEX(Kişiler!$B$5:$B$44,MATCH(B315,Kişiler!$A$5:$A$44,0)),0)+D315*IFERROR(INDEX(Kişiler!$C$5:$C$44,MATCH(B315,Kişiler!$A$5:$A$44,0)),0))</f>
        <v/>
      </c>
    </row>
    <row r="316" customFormat="false" ht="15" hidden="false" customHeight="false" outlineLevel="0" collapsed="false">
      <c r="A316" s="12"/>
      <c r="B316" s="13"/>
      <c r="C316" s="14"/>
      <c r="D316" s="14"/>
      <c r="E316" s="13"/>
      <c r="F316" s="15"/>
      <c r="G316" s="16" t="str">
        <f aca="false">IF(OR(B316="",A316=""),"",C316*IFERROR(INDEX(Kişiler!$B$5:$B$44,MATCH(B316,Kişiler!$A$5:$A$44,0)),0)+D316*IFERROR(INDEX(Kişiler!$C$5:$C$44,MATCH(B316,Kişiler!$A$5:$A$44,0)),0))</f>
        <v/>
      </c>
    </row>
    <row r="317" customFormat="false" ht="15" hidden="false" customHeight="false" outlineLevel="0" collapsed="false">
      <c r="A317" s="12"/>
      <c r="B317" s="13"/>
      <c r="C317" s="14"/>
      <c r="D317" s="14"/>
      <c r="E317" s="13"/>
      <c r="F317" s="15"/>
      <c r="G317" s="16" t="str">
        <f aca="false">IF(OR(B317="",A317=""),"",C317*IFERROR(INDEX(Kişiler!$B$5:$B$44,MATCH(B317,Kişiler!$A$5:$A$44,0)),0)+D317*IFERROR(INDEX(Kişiler!$C$5:$C$44,MATCH(B317,Kişiler!$A$5:$A$44,0)),0))</f>
        <v/>
      </c>
    </row>
    <row r="318" customFormat="false" ht="15" hidden="false" customHeight="false" outlineLevel="0" collapsed="false">
      <c r="A318" s="12"/>
      <c r="B318" s="13"/>
      <c r="C318" s="14"/>
      <c r="D318" s="14"/>
      <c r="E318" s="13"/>
      <c r="F318" s="15"/>
      <c r="G318" s="16" t="str">
        <f aca="false">IF(OR(B318="",A318=""),"",C318*IFERROR(INDEX(Kişiler!$B$5:$B$44,MATCH(B318,Kişiler!$A$5:$A$44,0)),0)+D318*IFERROR(INDEX(Kişiler!$C$5:$C$44,MATCH(B318,Kişiler!$A$5:$A$44,0)),0))</f>
        <v/>
      </c>
    </row>
    <row r="319" customFormat="false" ht="15" hidden="false" customHeight="false" outlineLevel="0" collapsed="false">
      <c r="A319" s="12"/>
      <c r="B319" s="13"/>
      <c r="C319" s="14"/>
      <c r="D319" s="14"/>
      <c r="E319" s="13"/>
      <c r="F319" s="15"/>
      <c r="G319" s="16" t="str">
        <f aca="false">IF(OR(B319="",A319=""),"",C319*IFERROR(INDEX(Kişiler!$B$5:$B$44,MATCH(B319,Kişiler!$A$5:$A$44,0)),0)+D319*IFERROR(INDEX(Kişiler!$C$5:$C$44,MATCH(B319,Kişiler!$A$5:$A$44,0)),0))</f>
        <v/>
      </c>
    </row>
    <row r="320" customFormat="false" ht="15" hidden="false" customHeight="false" outlineLevel="0" collapsed="false">
      <c r="A320" s="12"/>
      <c r="B320" s="13"/>
      <c r="C320" s="14"/>
      <c r="D320" s="14"/>
      <c r="E320" s="13"/>
      <c r="F320" s="15"/>
      <c r="G320" s="16" t="str">
        <f aca="false">IF(OR(B320="",A320=""),"",C320*IFERROR(INDEX(Kişiler!$B$5:$B$44,MATCH(B320,Kişiler!$A$5:$A$44,0)),0)+D320*IFERROR(INDEX(Kişiler!$C$5:$C$44,MATCH(B320,Kişiler!$A$5:$A$44,0)),0))</f>
        <v/>
      </c>
    </row>
    <row r="321" customFormat="false" ht="15" hidden="false" customHeight="false" outlineLevel="0" collapsed="false">
      <c r="A321" s="12"/>
      <c r="B321" s="13"/>
      <c r="C321" s="14"/>
      <c r="D321" s="14"/>
      <c r="E321" s="13"/>
      <c r="F321" s="15"/>
      <c r="G321" s="16" t="str">
        <f aca="false">IF(OR(B321="",A321=""),"",C321*IFERROR(INDEX(Kişiler!$B$5:$B$44,MATCH(B321,Kişiler!$A$5:$A$44,0)),0)+D321*IFERROR(INDEX(Kişiler!$C$5:$C$44,MATCH(B321,Kişiler!$A$5:$A$44,0)),0))</f>
        <v/>
      </c>
    </row>
    <row r="322" customFormat="false" ht="15" hidden="false" customHeight="false" outlineLevel="0" collapsed="false">
      <c r="A322" s="12"/>
      <c r="B322" s="13"/>
      <c r="C322" s="14"/>
      <c r="D322" s="14"/>
      <c r="E322" s="13"/>
      <c r="F322" s="15"/>
      <c r="G322" s="16" t="str">
        <f aca="false">IF(OR(B322="",A322=""),"",C322*IFERROR(INDEX(Kişiler!$B$5:$B$44,MATCH(B322,Kişiler!$A$5:$A$44,0)),0)+D322*IFERROR(INDEX(Kişiler!$C$5:$C$44,MATCH(B322,Kişiler!$A$5:$A$44,0)),0))</f>
        <v/>
      </c>
    </row>
    <row r="323" customFormat="false" ht="15" hidden="false" customHeight="false" outlineLevel="0" collapsed="false">
      <c r="A323" s="12"/>
      <c r="B323" s="13"/>
      <c r="C323" s="14"/>
      <c r="D323" s="14"/>
      <c r="E323" s="13"/>
      <c r="F323" s="15"/>
      <c r="G323" s="16" t="str">
        <f aca="false">IF(OR(B323="",A323=""),"",C323*IFERROR(INDEX(Kişiler!$B$5:$B$44,MATCH(B323,Kişiler!$A$5:$A$44,0)),0)+D323*IFERROR(INDEX(Kişiler!$C$5:$C$44,MATCH(B323,Kişiler!$A$5:$A$44,0)),0))</f>
        <v/>
      </c>
    </row>
    <row r="324" customFormat="false" ht="15" hidden="false" customHeight="false" outlineLevel="0" collapsed="false">
      <c r="A324" s="12"/>
      <c r="B324" s="13"/>
      <c r="C324" s="14"/>
      <c r="D324" s="14"/>
      <c r="E324" s="13"/>
      <c r="F324" s="15"/>
      <c r="G324" s="16" t="str">
        <f aca="false">IF(OR(B324="",A324=""),"",C324*IFERROR(INDEX(Kişiler!$B$5:$B$44,MATCH(B324,Kişiler!$A$5:$A$44,0)),0)+D324*IFERROR(INDEX(Kişiler!$C$5:$C$44,MATCH(B324,Kişiler!$A$5:$A$44,0)),0))</f>
        <v/>
      </c>
    </row>
    <row r="325" customFormat="false" ht="15" hidden="false" customHeight="false" outlineLevel="0" collapsed="false">
      <c r="A325" s="12"/>
      <c r="B325" s="13"/>
      <c r="C325" s="14"/>
      <c r="D325" s="14"/>
      <c r="E325" s="13"/>
      <c r="F325" s="15"/>
      <c r="G325" s="16" t="str">
        <f aca="false">IF(OR(B325="",A325=""),"",C325*IFERROR(INDEX(Kişiler!$B$5:$B$44,MATCH(B325,Kişiler!$A$5:$A$44,0)),0)+D325*IFERROR(INDEX(Kişiler!$C$5:$C$44,MATCH(B325,Kişiler!$A$5:$A$44,0)),0))</f>
        <v/>
      </c>
    </row>
    <row r="326" customFormat="false" ht="15" hidden="false" customHeight="false" outlineLevel="0" collapsed="false">
      <c r="A326" s="12"/>
      <c r="B326" s="13"/>
      <c r="C326" s="14"/>
      <c r="D326" s="14"/>
      <c r="E326" s="13"/>
      <c r="F326" s="15"/>
      <c r="G326" s="16" t="str">
        <f aca="false">IF(OR(B326="",A326=""),"",C326*IFERROR(INDEX(Kişiler!$B$5:$B$44,MATCH(B326,Kişiler!$A$5:$A$44,0)),0)+D326*IFERROR(INDEX(Kişiler!$C$5:$C$44,MATCH(B326,Kişiler!$A$5:$A$44,0)),0))</f>
        <v/>
      </c>
    </row>
    <row r="327" customFormat="false" ht="15" hidden="false" customHeight="false" outlineLevel="0" collapsed="false">
      <c r="A327" s="12"/>
      <c r="B327" s="13"/>
      <c r="C327" s="14"/>
      <c r="D327" s="14"/>
      <c r="E327" s="13"/>
      <c r="F327" s="15"/>
      <c r="G327" s="16" t="str">
        <f aca="false">IF(OR(B327="",A327=""),"",C327*IFERROR(INDEX(Kişiler!$B$5:$B$44,MATCH(B327,Kişiler!$A$5:$A$44,0)),0)+D327*IFERROR(INDEX(Kişiler!$C$5:$C$44,MATCH(B327,Kişiler!$A$5:$A$44,0)),0))</f>
        <v/>
      </c>
    </row>
    <row r="328" customFormat="false" ht="15" hidden="false" customHeight="false" outlineLevel="0" collapsed="false">
      <c r="A328" s="12"/>
      <c r="B328" s="13"/>
      <c r="C328" s="14"/>
      <c r="D328" s="14"/>
      <c r="E328" s="13"/>
      <c r="F328" s="15"/>
      <c r="G328" s="16" t="str">
        <f aca="false">IF(OR(B328="",A328=""),"",C328*IFERROR(INDEX(Kişiler!$B$5:$B$44,MATCH(B328,Kişiler!$A$5:$A$44,0)),0)+D328*IFERROR(INDEX(Kişiler!$C$5:$C$44,MATCH(B328,Kişiler!$A$5:$A$44,0)),0))</f>
        <v/>
      </c>
    </row>
    <row r="329" customFormat="false" ht="15" hidden="false" customHeight="false" outlineLevel="0" collapsed="false">
      <c r="A329" s="12"/>
      <c r="B329" s="13"/>
      <c r="C329" s="14"/>
      <c r="D329" s="14"/>
      <c r="E329" s="13"/>
      <c r="F329" s="15"/>
      <c r="G329" s="16" t="str">
        <f aca="false">IF(OR(B329="",A329=""),"",C329*IFERROR(INDEX(Kişiler!$B$5:$B$44,MATCH(B329,Kişiler!$A$5:$A$44,0)),0)+D329*IFERROR(INDEX(Kişiler!$C$5:$C$44,MATCH(B329,Kişiler!$A$5:$A$44,0)),0))</f>
        <v/>
      </c>
    </row>
    <row r="330" customFormat="false" ht="15" hidden="false" customHeight="false" outlineLevel="0" collapsed="false">
      <c r="A330" s="12"/>
      <c r="B330" s="13"/>
      <c r="C330" s="14"/>
      <c r="D330" s="14"/>
      <c r="E330" s="13"/>
      <c r="F330" s="15"/>
      <c r="G330" s="16" t="str">
        <f aca="false">IF(OR(B330="",A330=""),"",C330*IFERROR(INDEX(Kişiler!$B$5:$B$44,MATCH(B330,Kişiler!$A$5:$A$44,0)),0)+D330*IFERROR(INDEX(Kişiler!$C$5:$C$44,MATCH(B330,Kişiler!$A$5:$A$44,0)),0))</f>
        <v/>
      </c>
    </row>
    <row r="331" customFormat="false" ht="15" hidden="false" customHeight="false" outlineLevel="0" collapsed="false">
      <c r="A331" s="12"/>
      <c r="B331" s="13"/>
      <c r="C331" s="14"/>
      <c r="D331" s="14"/>
      <c r="E331" s="13"/>
      <c r="F331" s="15"/>
      <c r="G331" s="16" t="str">
        <f aca="false">IF(OR(B331="",A331=""),"",C331*IFERROR(INDEX(Kişiler!$B$5:$B$44,MATCH(B331,Kişiler!$A$5:$A$44,0)),0)+D331*IFERROR(INDEX(Kişiler!$C$5:$C$44,MATCH(B331,Kişiler!$A$5:$A$44,0)),0))</f>
        <v/>
      </c>
    </row>
    <row r="332" customFormat="false" ht="15" hidden="false" customHeight="false" outlineLevel="0" collapsed="false">
      <c r="A332" s="12"/>
      <c r="B332" s="13"/>
      <c r="C332" s="14"/>
      <c r="D332" s="14"/>
      <c r="E332" s="13"/>
      <c r="F332" s="15"/>
      <c r="G332" s="16" t="str">
        <f aca="false">IF(OR(B332="",A332=""),"",C332*IFERROR(INDEX(Kişiler!$B$5:$B$44,MATCH(B332,Kişiler!$A$5:$A$44,0)),0)+D332*IFERROR(INDEX(Kişiler!$C$5:$C$44,MATCH(B332,Kişiler!$A$5:$A$44,0)),0))</f>
        <v/>
      </c>
    </row>
    <row r="333" customFormat="false" ht="15" hidden="false" customHeight="false" outlineLevel="0" collapsed="false">
      <c r="A333" s="12"/>
      <c r="B333" s="13"/>
      <c r="C333" s="14"/>
      <c r="D333" s="14"/>
      <c r="E333" s="13"/>
      <c r="F333" s="15"/>
      <c r="G333" s="16" t="str">
        <f aca="false">IF(OR(B333="",A333=""),"",C333*IFERROR(INDEX(Kişiler!$B$5:$B$44,MATCH(B333,Kişiler!$A$5:$A$44,0)),0)+D333*IFERROR(INDEX(Kişiler!$C$5:$C$44,MATCH(B333,Kişiler!$A$5:$A$44,0)),0))</f>
        <v/>
      </c>
    </row>
    <row r="334" customFormat="false" ht="15" hidden="false" customHeight="false" outlineLevel="0" collapsed="false">
      <c r="A334" s="12"/>
      <c r="B334" s="13"/>
      <c r="C334" s="14"/>
      <c r="D334" s="14"/>
      <c r="E334" s="13"/>
      <c r="F334" s="15"/>
      <c r="G334" s="16" t="str">
        <f aca="false">IF(OR(B334="",A334=""),"",C334*IFERROR(INDEX(Kişiler!$B$5:$B$44,MATCH(B334,Kişiler!$A$5:$A$44,0)),0)+D334*IFERROR(INDEX(Kişiler!$C$5:$C$44,MATCH(B334,Kişiler!$A$5:$A$44,0)),0))</f>
        <v/>
      </c>
    </row>
    <row r="335" customFormat="false" ht="15" hidden="false" customHeight="false" outlineLevel="0" collapsed="false">
      <c r="A335" s="12"/>
      <c r="B335" s="13"/>
      <c r="C335" s="14"/>
      <c r="D335" s="14"/>
      <c r="E335" s="13"/>
      <c r="F335" s="15"/>
      <c r="G335" s="16" t="str">
        <f aca="false">IF(OR(B335="",A335=""),"",C335*IFERROR(INDEX(Kişiler!$B$5:$B$44,MATCH(B335,Kişiler!$A$5:$A$44,0)),0)+D335*IFERROR(INDEX(Kişiler!$C$5:$C$44,MATCH(B335,Kişiler!$A$5:$A$44,0)),0))</f>
        <v/>
      </c>
    </row>
    <row r="336" customFormat="false" ht="15" hidden="false" customHeight="false" outlineLevel="0" collapsed="false">
      <c r="A336" s="12"/>
      <c r="B336" s="13"/>
      <c r="C336" s="14"/>
      <c r="D336" s="14"/>
      <c r="E336" s="13"/>
      <c r="F336" s="15"/>
      <c r="G336" s="16" t="str">
        <f aca="false">IF(OR(B336="",A336=""),"",C336*IFERROR(INDEX(Kişiler!$B$5:$B$44,MATCH(B336,Kişiler!$A$5:$A$44,0)),0)+D336*IFERROR(INDEX(Kişiler!$C$5:$C$44,MATCH(B336,Kişiler!$A$5:$A$44,0)),0))</f>
        <v/>
      </c>
    </row>
    <row r="337" customFormat="false" ht="15" hidden="false" customHeight="false" outlineLevel="0" collapsed="false">
      <c r="A337" s="12"/>
      <c r="B337" s="13"/>
      <c r="C337" s="14"/>
      <c r="D337" s="14"/>
      <c r="E337" s="13"/>
      <c r="F337" s="15"/>
      <c r="G337" s="16" t="str">
        <f aca="false">IF(OR(B337="",A337=""),"",C337*IFERROR(INDEX(Kişiler!$B$5:$B$44,MATCH(B337,Kişiler!$A$5:$A$44,0)),0)+D337*IFERROR(INDEX(Kişiler!$C$5:$C$44,MATCH(B337,Kişiler!$A$5:$A$44,0)),0))</f>
        <v/>
      </c>
    </row>
    <row r="338" customFormat="false" ht="15" hidden="false" customHeight="false" outlineLevel="0" collapsed="false">
      <c r="A338" s="12"/>
      <c r="B338" s="13"/>
      <c r="C338" s="14"/>
      <c r="D338" s="14"/>
      <c r="E338" s="13"/>
      <c r="F338" s="15"/>
      <c r="G338" s="16" t="str">
        <f aca="false">IF(OR(B338="",A338=""),"",C338*IFERROR(INDEX(Kişiler!$B$5:$B$44,MATCH(B338,Kişiler!$A$5:$A$44,0)),0)+D338*IFERROR(INDEX(Kişiler!$C$5:$C$44,MATCH(B338,Kişiler!$A$5:$A$44,0)),0))</f>
        <v/>
      </c>
    </row>
    <row r="339" customFormat="false" ht="15" hidden="false" customHeight="false" outlineLevel="0" collapsed="false">
      <c r="A339" s="12"/>
      <c r="B339" s="13"/>
      <c r="C339" s="14"/>
      <c r="D339" s="14"/>
      <c r="E339" s="13"/>
      <c r="F339" s="15"/>
      <c r="G339" s="16" t="str">
        <f aca="false">IF(OR(B339="",A339=""),"",C339*IFERROR(INDEX(Kişiler!$B$5:$B$44,MATCH(B339,Kişiler!$A$5:$A$44,0)),0)+D339*IFERROR(INDEX(Kişiler!$C$5:$C$44,MATCH(B339,Kişiler!$A$5:$A$44,0)),0))</f>
        <v/>
      </c>
    </row>
    <row r="340" customFormat="false" ht="15" hidden="false" customHeight="false" outlineLevel="0" collapsed="false">
      <c r="A340" s="12"/>
      <c r="B340" s="13"/>
      <c r="C340" s="14"/>
      <c r="D340" s="14"/>
      <c r="E340" s="13"/>
      <c r="F340" s="15"/>
      <c r="G340" s="16" t="str">
        <f aca="false">IF(OR(B340="",A340=""),"",C340*IFERROR(INDEX(Kişiler!$B$5:$B$44,MATCH(B340,Kişiler!$A$5:$A$44,0)),0)+D340*IFERROR(INDEX(Kişiler!$C$5:$C$44,MATCH(B340,Kişiler!$A$5:$A$44,0)),0))</f>
        <v/>
      </c>
    </row>
    <row r="341" customFormat="false" ht="15" hidden="false" customHeight="false" outlineLevel="0" collapsed="false">
      <c r="A341" s="12"/>
      <c r="B341" s="13"/>
      <c r="C341" s="14"/>
      <c r="D341" s="14"/>
      <c r="E341" s="13"/>
      <c r="F341" s="15"/>
      <c r="G341" s="16" t="str">
        <f aca="false">IF(OR(B341="",A341=""),"",C341*IFERROR(INDEX(Kişiler!$B$5:$B$44,MATCH(B341,Kişiler!$A$5:$A$44,0)),0)+D341*IFERROR(INDEX(Kişiler!$C$5:$C$44,MATCH(B341,Kişiler!$A$5:$A$44,0)),0))</f>
        <v/>
      </c>
    </row>
    <row r="342" customFormat="false" ht="15" hidden="false" customHeight="false" outlineLevel="0" collapsed="false">
      <c r="A342" s="12"/>
      <c r="B342" s="13"/>
      <c r="C342" s="14"/>
      <c r="D342" s="14"/>
      <c r="E342" s="13"/>
      <c r="F342" s="15"/>
      <c r="G342" s="16" t="str">
        <f aca="false">IF(OR(B342="",A342=""),"",C342*IFERROR(INDEX(Kişiler!$B$5:$B$44,MATCH(B342,Kişiler!$A$5:$A$44,0)),0)+D342*IFERROR(INDEX(Kişiler!$C$5:$C$44,MATCH(B342,Kişiler!$A$5:$A$44,0)),0))</f>
        <v/>
      </c>
    </row>
    <row r="343" customFormat="false" ht="15" hidden="false" customHeight="false" outlineLevel="0" collapsed="false">
      <c r="A343" s="12"/>
      <c r="B343" s="13"/>
      <c r="C343" s="14"/>
      <c r="D343" s="14"/>
      <c r="E343" s="13"/>
      <c r="F343" s="15"/>
      <c r="G343" s="16" t="str">
        <f aca="false">IF(OR(B343="",A343=""),"",C343*IFERROR(INDEX(Kişiler!$B$5:$B$44,MATCH(B343,Kişiler!$A$5:$A$44,0)),0)+D343*IFERROR(INDEX(Kişiler!$C$5:$C$44,MATCH(B343,Kişiler!$A$5:$A$44,0)),0))</f>
        <v/>
      </c>
    </row>
    <row r="344" customFormat="false" ht="15" hidden="false" customHeight="false" outlineLevel="0" collapsed="false">
      <c r="A344" s="12"/>
      <c r="B344" s="13"/>
      <c r="C344" s="14"/>
      <c r="D344" s="14"/>
      <c r="E344" s="13"/>
      <c r="F344" s="15"/>
      <c r="G344" s="16" t="str">
        <f aca="false">IF(OR(B344="",A344=""),"",C344*IFERROR(INDEX(Kişiler!$B$5:$B$44,MATCH(B344,Kişiler!$A$5:$A$44,0)),0)+D344*IFERROR(INDEX(Kişiler!$C$5:$C$44,MATCH(B344,Kişiler!$A$5:$A$44,0)),0))</f>
        <v/>
      </c>
    </row>
    <row r="345" customFormat="false" ht="15" hidden="false" customHeight="false" outlineLevel="0" collapsed="false">
      <c r="A345" s="12"/>
      <c r="B345" s="13"/>
      <c r="C345" s="14"/>
      <c r="D345" s="14"/>
      <c r="E345" s="13"/>
      <c r="F345" s="15"/>
      <c r="G345" s="16" t="str">
        <f aca="false">IF(OR(B345="",A345=""),"",C345*IFERROR(INDEX(Kişiler!$B$5:$B$44,MATCH(B345,Kişiler!$A$5:$A$44,0)),0)+D345*IFERROR(INDEX(Kişiler!$C$5:$C$44,MATCH(B345,Kişiler!$A$5:$A$44,0)),0))</f>
        <v/>
      </c>
    </row>
    <row r="346" customFormat="false" ht="15" hidden="false" customHeight="false" outlineLevel="0" collapsed="false">
      <c r="A346" s="12"/>
      <c r="B346" s="13"/>
      <c r="C346" s="14"/>
      <c r="D346" s="14"/>
      <c r="E346" s="13"/>
      <c r="F346" s="15"/>
      <c r="G346" s="16" t="str">
        <f aca="false">IF(OR(B346="",A346=""),"",C346*IFERROR(INDEX(Kişiler!$B$5:$B$44,MATCH(B346,Kişiler!$A$5:$A$44,0)),0)+D346*IFERROR(INDEX(Kişiler!$C$5:$C$44,MATCH(B346,Kişiler!$A$5:$A$44,0)),0))</f>
        <v/>
      </c>
    </row>
    <row r="347" customFormat="false" ht="15" hidden="false" customHeight="false" outlineLevel="0" collapsed="false">
      <c r="A347" s="12"/>
      <c r="B347" s="13"/>
      <c r="C347" s="14"/>
      <c r="D347" s="14"/>
      <c r="E347" s="13"/>
      <c r="F347" s="15"/>
      <c r="G347" s="16" t="str">
        <f aca="false">IF(OR(B347="",A347=""),"",C347*IFERROR(INDEX(Kişiler!$B$5:$B$44,MATCH(B347,Kişiler!$A$5:$A$44,0)),0)+D347*IFERROR(INDEX(Kişiler!$C$5:$C$44,MATCH(B347,Kişiler!$A$5:$A$44,0)),0))</f>
        <v/>
      </c>
    </row>
    <row r="348" customFormat="false" ht="15" hidden="false" customHeight="false" outlineLevel="0" collapsed="false">
      <c r="A348" s="12"/>
      <c r="B348" s="13"/>
      <c r="C348" s="14"/>
      <c r="D348" s="14"/>
      <c r="E348" s="13"/>
      <c r="F348" s="15"/>
      <c r="G348" s="16" t="str">
        <f aca="false">IF(OR(B348="",A348=""),"",C348*IFERROR(INDEX(Kişiler!$B$5:$B$44,MATCH(B348,Kişiler!$A$5:$A$44,0)),0)+D348*IFERROR(INDEX(Kişiler!$C$5:$C$44,MATCH(B348,Kişiler!$A$5:$A$44,0)),0))</f>
        <v/>
      </c>
    </row>
    <row r="349" customFormat="false" ht="15" hidden="false" customHeight="false" outlineLevel="0" collapsed="false">
      <c r="A349" s="12"/>
      <c r="B349" s="13"/>
      <c r="C349" s="14"/>
      <c r="D349" s="14"/>
      <c r="E349" s="13"/>
      <c r="F349" s="15"/>
      <c r="G349" s="16" t="str">
        <f aca="false">IF(OR(B349="",A349=""),"",C349*IFERROR(INDEX(Kişiler!$B$5:$B$44,MATCH(B349,Kişiler!$A$5:$A$44,0)),0)+D349*IFERROR(INDEX(Kişiler!$C$5:$C$44,MATCH(B349,Kişiler!$A$5:$A$44,0)),0))</f>
        <v/>
      </c>
    </row>
    <row r="350" customFormat="false" ht="15" hidden="false" customHeight="false" outlineLevel="0" collapsed="false">
      <c r="A350" s="12"/>
      <c r="B350" s="13"/>
      <c r="C350" s="14"/>
      <c r="D350" s="14"/>
      <c r="E350" s="13"/>
      <c r="F350" s="15"/>
      <c r="G350" s="16" t="str">
        <f aca="false">IF(OR(B350="",A350=""),"",C350*IFERROR(INDEX(Kişiler!$B$5:$B$44,MATCH(B350,Kişiler!$A$5:$A$44,0)),0)+D350*IFERROR(INDEX(Kişiler!$C$5:$C$44,MATCH(B350,Kişiler!$A$5:$A$44,0)),0))</f>
        <v/>
      </c>
    </row>
    <row r="351" customFormat="false" ht="15" hidden="false" customHeight="false" outlineLevel="0" collapsed="false">
      <c r="A351" s="12"/>
      <c r="B351" s="13"/>
      <c r="C351" s="14"/>
      <c r="D351" s="14"/>
      <c r="E351" s="13"/>
      <c r="F351" s="15"/>
      <c r="G351" s="16" t="str">
        <f aca="false">IF(OR(B351="",A351=""),"",C351*IFERROR(INDEX(Kişiler!$B$5:$B$44,MATCH(B351,Kişiler!$A$5:$A$44,0)),0)+D351*IFERROR(INDEX(Kişiler!$C$5:$C$44,MATCH(B351,Kişiler!$A$5:$A$44,0)),0))</f>
        <v/>
      </c>
    </row>
    <row r="352" customFormat="false" ht="15" hidden="false" customHeight="false" outlineLevel="0" collapsed="false">
      <c r="A352" s="12"/>
      <c r="B352" s="13"/>
      <c r="C352" s="14"/>
      <c r="D352" s="14"/>
      <c r="E352" s="13"/>
      <c r="F352" s="15"/>
      <c r="G352" s="16" t="str">
        <f aca="false">IF(OR(B352="",A352=""),"",C352*IFERROR(INDEX(Kişiler!$B$5:$B$44,MATCH(B352,Kişiler!$A$5:$A$44,0)),0)+D352*IFERROR(INDEX(Kişiler!$C$5:$C$44,MATCH(B352,Kişiler!$A$5:$A$44,0)),0))</f>
        <v/>
      </c>
    </row>
    <row r="353" customFormat="false" ht="15" hidden="false" customHeight="false" outlineLevel="0" collapsed="false">
      <c r="A353" s="12"/>
      <c r="B353" s="13"/>
      <c r="C353" s="14"/>
      <c r="D353" s="14"/>
      <c r="E353" s="13"/>
      <c r="F353" s="15"/>
      <c r="G353" s="16" t="str">
        <f aca="false">IF(OR(B353="",A353=""),"",C353*IFERROR(INDEX(Kişiler!$B$5:$B$44,MATCH(B353,Kişiler!$A$5:$A$44,0)),0)+D353*IFERROR(INDEX(Kişiler!$C$5:$C$44,MATCH(B353,Kişiler!$A$5:$A$44,0)),0))</f>
        <v/>
      </c>
    </row>
    <row r="354" customFormat="false" ht="15" hidden="false" customHeight="false" outlineLevel="0" collapsed="false">
      <c r="A354" s="12"/>
      <c r="B354" s="13"/>
      <c r="C354" s="14"/>
      <c r="D354" s="14"/>
      <c r="E354" s="13"/>
      <c r="F354" s="15"/>
      <c r="G354" s="16" t="str">
        <f aca="false">IF(OR(B354="",A354=""),"",C354*IFERROR(INDEX(Kişiler!$B$5:$B$44,MATCH(B354,Kişiler!$A$5:$A$44,0)),0)+D354*IFERROR(INDEX(Kişiler!$C$5:$C$44,MATCH(B354,Kişiler!$A$5:$A$44,0)),0))</f>
        <v/>
      </c>
    </row>
    <row r="355" customFormat="false" ht="15" hidden="false" customHeight="false" outlineLevel="0" collapsed="false">
      <c r="A355" s="12"/>
      <c r="B355" s="13"/>
      <c r="C355" s="14"/>
      <c r="D355" s="14"/>
      <c r="E355" s="13"/>
      <c r="F355" s="15"/>
      <c r="G355" s="16" t="str">
        <f aca="false">IF(OR(B355="",A355=""),"",C355*IFERROR(INDEX(Kişiler!$B$5:$B$44,MATCH(B355,Kişiler!$A$5:$A$44,0)),0)+D355*IFERROR(INDEX(Kişiler!$C$5:$C$44,MATCH(B355,Kişiler!$A$5:$A$44,0)),0))</f>
        <v/>
      </c>
    </row>
    <row r="356" customFormat="false" ht="15" hidden="false" customHeight="false" outlineLevel="0" collapsed="false">
      <c r="A356" s="12"/>
      <c r="B356" s="13"/>
      <c r="C356" s="14"/>
      <c r="D356" s="14"/>
      <c r="E356" s="13"/>
      <c r="F356" s="15"/>
      <c r="G356" s="16" t="str">
        <f aca="false">IF(OR(B356="",A356=""),"",C356*IFERROR(INDEX(Kişiler!$B$5:$B$44,MATCH(B356,Kişiler!$A$5:$A$44,0)),0)+D356*IFERROR(INDEX(Kişiler!$C$5:$C$44,MATCH(B356,Kişiler!$A$5:$A$44,0)),0))</f>
        <v/>
      </c>
    </row>
    <row r="357" customFormat="false" ht="15" hidden="false" customHeight="false" outlineLevel="0" collapsed="false">
      <c r="A357" s="12"/>
      <c r="B357" s="13"/>
      <c r="C357" s="14"/>
      <c r="D357" s="14"/>
      <c r="E357" s="13"/>
      <c r="F357" s="15"/>
      <c r="G357" s="16" t="str">
        <f aca="false">IF(OR(B357="",A357=""),"",C357*IFERROR(INDEX(Kişiler!$B$5:$B$44,MATCH(B357,Kişiler!$A$5:$A$44,0)),0)+D357*IFERROR(INDEX(Kişiler!$C$5:$C$44,MATCH(B357,Kişiler!$A$5:$A$44,0)),0))</f>
        <v/>
      </c>
    </row>
    <row r="358" customFormat="false" ht="15" hidden="false" customHeight="false" outlineLevel="0" collapsed="false">
      <c r="A358" s="12"/>
      <c r="B358" s="13"/>
      <c r="C358" s="14"/>
      <c r="D358" s="14"/>
      <c r="E358" s="13"/>
      <c r="F358" s="15"/>
      <c r="G358" s="16" t="str">
        <f aca="false">IF(OR(B358="",A358=""),"",C358*IFERROR(INDEX(Kişiler!$B$5:$B$44,MATCH(B358,Kişiler!$A$5:$A$44,0)),0)+D358*IFERROR(INDEX(Kişiler!$C$5:$C$44,MATCH(B358,Kişiler!$A$5:$A$44,0)),0))</f>
        <v/>
      </c>
    </row>
    <row r="359" customFormat="false" ht="15" hidden="false" customHeight="false" outlineLevel="0" collapsed="false">
      <c r="A359" s="12"/>
      <c r="B359" s="13"/>
      <c r="C359" s="14"/>
      <c r="D359" s="14"/>
      <c r="E359" s="13"/>
      <c r="F359" s="15"/>
      <c r="G359" s="16" t="str">
        <f aca="false">IF(OR(B359="",A359=""),"",C359*IFERROR(INDEX(Kişiler!$B$5:$B$44,MATCH(B359,Kişiler!$A$5:$A$44,0)),0)+D359*IFERROR(INDEX(Kişiler!$C$5:$C$44,MATCH(B359,Kişiler!$A$5:$A$44,0)),0))</f>
        <v/>
      </c>
    </row>
    <row r="360" customFormat="false" ht="15" hidden="false" customHeight="false" outlineLevel="0" collapsed="false">
      <c r="A360" s="12"/>
      <c r="B360" s="13"/>
      <c r="C360" s="14"/>
      <c r="D360" s="14"/>
      <c r="E360" s="13"/>
      <c r="F360" s="15"/>
      <c r="G360" s="16" t="str">
        <f aca="false">IF(OR(B360="",A360=""),"",C360*IFERROR(INDEX(Kişiler!$B$5:$B$44,MATCH(B360,Kişiler!$A$5:$A$44,0)),0)+D360*IFERROR(INDEX(Kişiler!$C$5:$C$44,MATCH(B360,Kişiler!$A$5:$A$44,0)),0))</f>
        <v/>
      </c>
    </row>
    <row r="361" customFormat="false" ht="15" hidden="false" customHeight="false" outlineLevel="0" collapsed="false">
      <c r="A361" s="12"/>
      <c r="B361" s="13"/>
      <c r="C361" s="14"/>
      <c r="D361" s="14"/>
      <c r="E361" s="13"/>
      <c r="F361" s="15"/>
      <c r="G361" s="16" t="str">
        <f aca="false">IF(OR(B361="",A361=""),"",C361*IFERROR(INDEX(Kişiler!$B$5:$B$44,MATCH(B361,Kişiler!$A$5:$A$44,0)),0)+D361*IFERROR(INDEX(Kişiler!$C$5:$C$44,MATCH(B361,Kişiler!$A$5:$A$44,0)),0))</f>
        <v/>
      </c>
    </row>
    <row r="362" customFormat="false" ht="15" hidden="false" customHeight="false" outlineLevel="0" collapsed="false">
      <c r="A362" s="12"/>
      <c r="B362" s="13"/>
      <c r="C362" s="14"/>
      <c r="D362" s="14"/>
      <c r="E362" s="13"/>
      <c r="F362" s="15"/>
      <c r="G362" s="16" t="str">
        <f aca="false">IF(OR(B362="",A362=""),"",C362*IFERROR(INDEX(Kişiler!$B$5:$B$44,MATCH(B362,Kişiler!$A$5:$A$44,0)),0)+D362*IFERROR(INDEX(Kişiler!$C$5:$C$44,MATCH(B362,Kişiler!$A$5:$A$44,0)),0))</f>
        <v/>
      </c>
    </row>
    <row r="363" customFormat="false" ht="15" hidden="false" customHeight="false" outlineLevel="0" collapsed="false">
      <c r="A363" s="12"/>
      <c r="B363" s="13"/>
      <c r="C363" s="14"/>
      <c r="D363" s="14"/>
      <c r="E363" s="13"/>
      <c r="F363" s="15"/>
      <c r="G363" s="16" t="str">
        <f aca="false">IF(OR(B363="",A363=""),"",C363*IFERROR(INDEX(Kişiler!$B$5:$B$44,MATCH(B363,Kişiler!$A$5:$A$44,0)),0)+D363*IFERROR(INDEX(Kişiler!$C$5:$C$44,MATCH(B363,Kişiler!$A$5:$A$44,0)),0))</f>
        <v/>
      </c>
    </row>
    <row r="364" customFormat="false" ht="15" hidden="false" customHeight="false" outlineLevel="0" collapsed="false">
      <c r="A364" s="12"/>
      <c r="B364" s="13"/>
      <c r="C364" s="14"/>
      <c r="D364" s="14"/>
      <c r="E364" s="13"/>
      <c r="F364" s="15"/>
      <c r="G364" s="16" t="str">
        <f aca="false">IF(OR(B364="",A364=""),"",C364*IFERROR(INDEX(Kişiler!$B$5:$B$44,MATCH(B364,Kişiler!$A$5:$A$44,0)),0)+D364*IFERROR(INDEX(Kişiler!$C$5:$C$44,MATCH(B364,Kişiler!$A$5:$A$44,0)),0))</f>
        <v/>
      </c>
    </row>
    <row r="365" customFormat="false" ht="15" hidden="false" customHeight="false" outlineLevel="0" collapsed="false">
      <c r="A365" s="12"/>
      <c r="B365" s="13"/>
      <c r="C365" s="14"/>
      <c r="D365" s="14"/>
      <c r="E365" s="13"/>
      <c r="F365" s="15"/>
      <c r="G365" s="16" t="str">
        <f aca="false">IF(OR(B365="",A365=""),"",C365*IFERROR(INDEX(Kişiler!$B$5:$B$44,MATCH(B365,Kişiler!$A$5:$A$44,0)),0)+D365*IFERROR(INDEX(Kişiler!$C$5:$C$44,MATCH(B365,Kişiler!$A$5:$A$44,0)),0))</f>
        <v/>
      </c>
    </row>
    <row r="366" customFormat="false" ht="15" hidden="false" customHeight="false" outlineLevel="0" collapsed="false">
      <c r="A366" s="12"/>
      <c r="B366" s="13"/>
      <c r="C366" s="14"/>
      <c r="D366" s="14"/>
      <c r="E366" s="13"/>
      <c r="F366" s="15"/>
      <c r="G366" s="16" t="str">
        <f aca="false">IF(OR(B366="",A366=""),"",C366*IFERROR(INDEX(Kişiler!$B$5:$B$44,MATCH(B366,Kişiler!$A$5:$A$44,0)),0)+D366*IFERROR(INDEX(Kişiler!$C$5:$C$44,MATCH(B366,Kişiler!$A$5:$A$44,0)),0))</f>
        <v/>
      </c>
    </row>
    <row r="367" customFormat="false" ht="15" hidden="false" customHeight="false" outlineLevel="0" collapsed="false">
      <c r="A367" s="12"/>
      <c r="B367" s="13"/>
      <c r="C367" s="14"/>
      <c r="D367" s="14"/>
      <c r="E367" s="13"/>
      <c r="F367" s="15"/>
      <c r="G367" s="16" t="str">
        <f aca="false">IF(OR(B367="",A367=""),"",C367*IFERROR(INDEX(Kişiler!$B$5:$B$44,MATCH(B367,Kişiler!$A$5:$A$44,0)),0)+D367*IFERROR(INDEX(Kişiler!$C$5:$C$44,MATCH(B367,Kişiler!$A$5:$A$44,0)),0))</f>
        <v/>
      </c>
    </row>
    <row r="368" customFormat="false" ht="15" hidden="false" customHeight="false" outlineLevel="0" collapsed="false">
      <c r="A368" s="12"/>
      <c r="B368" s="13"/>
      <c r="C368" s="14"/>
      <c r="D368" s="14"/>
      <c r="E368" s="13"/>
      <c r="F368" s="15"/>
      <c r="G368" s="16" t="str">
        <f aca="false">IF(OR(B368="",A368=""),"",C368*IFERROR(INDEX(Kişiler!$B$5:$B$44,MATCH(B368,Kişiler!$A$5:$A$44,0)),0)+D368*IFERROR(INDEX(Kişiler!$C$5:$C$44,MATCH(B368,Kişiler!$A$5:$A$44,0)),0))</f>
        <v/>
      </c>
    </row>
    <row r="369" customFormat="false" ht="15" hidden="false" customHeight="false" outlineLevel="0" collapsed="false">
      <c r="A369" s="12"/>
      <c r="B369" s="13"/>
      <c r="C369" s="14"/>
      <c r="D369" s="14"/>
      <c r="E369" s="13"/>
      <c r="F369" s="15"/>
      <c r="G369" s="16" t="str">
        <f aca="false">IF(OR(B369="",A369=""),"",C369*IFERROR(INDEX(Kişiler!$B$5:$B$44,MATCH(B369,Kişiler!$A$5:$A$44,0)),0)+D369*IFERROR(INDEX(Kişiler!$C$5:$C$44,MATCH(B369,Kişiler!$A$5:$A$44,0)),0))</f>
        <v/>
      </c>
    </row>
    <row r="370" customFormat="false" ht="15" hidden="false" customHeight="false" outlineLevel="0" collapsed="false">
      <c r="A370" s="12"/>
      <c r="B370" s="13"/>
      <c r="C370" s="14"/>
      <c r="D370" s="14"/>
      <c r="E370" s="13"/>
      <c r="F370" s="15"/>
      <c r="G370" s="16" t="str">
        <f aca="false">IF(OR(B370="",A370=""),"",C370*IFERROR(INDEX(Kişiler!$B$5:$B$44,MATCH(B370,Kişiler!$A$5:$A$44,0)),0)+D370*IFERROR(INDEX(Kişiler!$C$5:$C$44,MATCH(B370,Kişiler!$A$5:$A$44,0)),0))</f>
        <v/>
      </c>
    </row>
    <row r="371" customFormat="false" ht="15" hidden="false" customHeight="false" outlineLevel="0" collapsed="false">
      <c r="A371" s="12"/>
      <c r="B371" s="13"/>
      <c r="C371" s="14"/>
      <c r="D371" s="14"/>
      <c r="E371" s="13"/>
      <c r="F371" s="15"/>
      <c r="G371" s="16" t="str">
        <f aca="false">IF(OR(B371="",A371=""),"",C371*IFERROR(INDEX(Kişiler!$B$5:$B$44,MATCH(B371,Kişiler!$A$5:$A$44,0)),0)+D371*IFERROR(INDEX(Kişiler!$C$5:$C$44,MATCH(B371,Kişiler!$A$5:$A$44,0)),0))</f>
        <v/>
      </c>
    </row>
    <row r="372" customFormat="false" ht="15" hidden="false" customHeight="false" outlineLevel="0" collapsed="false">
      <c r="A372" s="12"/>
      <c r="B372" s="13"/>
      <c r="C372" s="14"/>
      <c r="D372" s="14"/>
      <c r="E372" s="13"/>
      <c r="F372" s="15"/>
      <c r="G372" s="16" t="str">
        <f aca="false">IF(OR(B372="",A372=""),"",C372*IFERROR(INDEX(Kişiler!$B$5:$B$44,MATCH(B372,Kişiler!$A$5:$A$44,0)),0)+D372*IFERROR(INDEX(Kişiler!$C$5:$C$44,MATCH(B372,Kişiler!$A$5:$A$44,0)),0))</f>
        <v/>
      </c>
    </row>
    <row r="373" customFormat="false" ht="15" hidden="false" customHeight="false" outlineLevel="0" collapsed="false">
      <c r="A373" s="12"/>
      <c r="B373" s="13"/>
      <c r="C373" s="14"/>
      <c r="D373" s="14"/>
      <c r="E373" s="13"/>
      <c r="F373" s="15"/>
      <c r="G373" s="16" t="str">
        <f aca="false">IF(OR(B373="",A373=""),"",C373*IFERROR(INDEX(Kişiler!$B$5:$B$44,MATCH(B373,Kişiler!$A$5:$A$44,0)),0)+D373*IFERROR(INDEX(Kişiler!$C$5:$C$44,MATCH(B373,Kişiler!$A$5:$A$44,0)),0))</f>
        <v/>
      </c>
    </row>
    <row r="374" customFormat="false" ht="15" hidden="false" customHeight="false" outlineLevel="0" collapsed="false">
      <c r="A374" s="12"/>
      <c r="B374" s="13"/>
      <c r="C374" s="14"/>
      <c r="D374" s="14"/>
      <c r="E374" s="13"/>
      <c r="F374" s="15"/>
      <c r="G374" s="16" t="str">
        <f aca="false">IF(OR(B374="",A374=""),"",C374*IFERROR(INDEX(Kişiler!$B$5:$B$44,MATCH(B374,Kişiler!$A$5:$A$44,0)),0)+D374*IFERROR(INDEX(Kişiler!$C$5:$C$44,MATCH(B374,Kişiler!$A$5:$A$44,0)),0))</f>
        <v/>
      </c>
    </row>
    <row r="375" customFormat="false" ht="15" hidden="false" customHeight="false" outlineLevel="0" collapsed="false">
      <c r="A375" s="12"/>
      <c r="B375" s="13"/>
      <c r="C375" s="14"/>
      <c r="D375" s="14"/>
      <c r="E375" s="13"/>
      <c r="F375" s="15"/>
      <c r="G375" s="16" t="str">
        <f aca="false">IF(OR(B375="",A375=""),"",C375*IFERROR(INDEX(Kişiler!$B$5:$B$44,MATCH(B375,Kişiler!$A$5:$A$44,0)),0)+D375*IFERROR(INDEX(Kişiler!$C$5:$C$44,MATCH(B375,Kişiler!$A$5:$A$44,0)),0))</f>
        <v/>
      </c>
    </row>
    <row r="376" customFormat="false" ht="15" hidden="false" customHeight="false" outlineLevel="0" collapsed="false">
      <c r="A376" s="12"/>
      <c r="B376" s="13"/>
      <c r="C376" s="14"/>
      <c r="D376" s="14"/>
      <c r="E376" s="13"/>
      <c r="F376" s="15"/>
      <c r="G376" s="16" t="str">
        <f aca="false">IF(OR(B376="",A376=""),"",C376*IFERROR(INDEX(Kişiler!$B$5:$B$44,MATCH(B376,Kişiler!$A$5:$A$44,0)),0)+D376*IFERROR(INDEX(Kişiler!$C$5:$C$44,MATCH(B376,Kişiler!$A$5:$A$44,0)),0))</f>
        <v/>
      </c>
    </row>
    <row r="377" customFormat="false" ht="15" hidden="false" customHeight="false" outlineLevel="0" collapsed="false">
      <c r="A377" s="12"/>
      <c r="B377" s="13"/>
      <c r="C377" s="14"/>
      <c r="D377" s="14"/>
      <c r="E377" s="13"/>
      <c r="F377" s="15"/>
      <c r="G377" s="16" t="str">
        <f aca="false">IF(OR(B377="",A377=""),"",C377*IFERROR(INDEX(Kişiler!$B$5:$B$44,MATCH(B377,Kişiler!$A$5:$A$44,0)),0)+D377*IFERROR(INDEX(Kişiler!$C$5:$C$44,MATCH(B377,Kişiler!$A$5:$A$44,0)),0))</f>
        <v/>
      </c>
    </row>
    <row r="378" customFormat="false" ht="15" hidden="false" customHeight="false" outlineLevel="0" collapsed="false">
      <c r="A378" s="12"/>
      <c r="B378" s="13"/>
      <c r="C378" s="14"/>
      <c r="D378" s="14"/>
      <c r="E378" s="13"/>
      <c r="F378" s="15"/>
      <c r="G378" s="16" t="str">
        <f aca="false">IF(OR(B378="",A378=""),"",C378*IFERROR(INDEX(Kişiler!$B$5:$B$44,MATCH(B378,Kişiler!$A$5:$A$44,0)),0)+D378*IFERROR(INDEX(Kişiler!$C$5:$C$44,MATCH(B378,Kişiler!$A$5:$A$44,0)),0))</f>
        <v/>
      </c>
    </row>
    <row r="379" customFormat="false" ht="15" hidden="false" customHeight="false" outlineLevel="0" collapsed="false">
      <c r="A379" s="12"/>
      <c r="B379" s="13"/>
      <c r="C379" s="14"/>
      <c r="D379" s="14"/>
      <c r="E379" s="13"/>
      <c r="F379" s="15"/>
      <c r="G379" s="16" t="str">
        <f aca="false">IF(OR(B379="",A379=""),"",C379*IFERROR(INDEX(Kişiler!$B$5:$B$44,MATCH(B379,Kişiler!$A$5:$A$44,0)),0)+D379*IFERROR(INDEX(Kişiler!$C$5:$C$44,MATCH(B379,Kişiler!$A$5:$A$44,0)),0))</f>
        <v/>
      </c>
    </row>
    <row r="380" customFormat="false" ht="15" hidden="false" customHeight="false" outlineLevel="0" collapsed="false">
      <c r="A380" s="12"/>
      <c r="B380" s="13"/>
      <c r="C380" s="14"/>
      <c r="D380" s="14"/>
      <c r="E380" s="13"/>
      <c r="F380" s="15"/>
      <c r="G380" s="16" t="str">
        <f aca="false">IF(OR(B380="",A380=""),"",C380*IFERROR(INDEX(Kişiler!$B$5:$B$44,MATCH(B380,Kişiler!$A$5:$A$44,0)),0)+D380*IFERROR(INDEX(Kişiler!$C$5:$C$44,MATCH(B380,Kişiler!$A$5:$A$44,0)),0))</f>
        <v/>
      </c>
    </row>
    <row r="381" customFormat="false" ht="15" hidden="false" customHeight="false" outlineLevel="0" collapsed="false">
      <c r="A381" s="12"/>
      <c r="B381" s="13"/>
      <c r="C381" s="14"/>
      <c r="D381" s="14"/>
      <c r="E381" s="13"/>
      <c r="F381" s="15"/>
      <c r="G381" s="16" t="str">
        <f aca="false">IF(OR(B381="",A381=""),"",C381*IFERROR(INDEX(Kişiler!$B$5:$B$44,MATCH(B381,Kişiler!$A$5:$A$44,0)),0)+D381*IFERROR(INDEX(Kişiler!$C$5:$C$44,MATCH(B381,Kişiler!$A$5:$A$44,0)),0))</f>
        <v/>
      </c>
    </row>
    <row r="382" customFormat="false" ht="15" hidden="false" customHeight="false" outlineLevel="0" collapsed="false">
      <c r="A382" s="12"/>
      <c r="B382" s="13"/>
      <c r="C382" s="14"/>
      <c r="D382" s="14"/>
      <c r="E382" s="13"/>
      <c r="F382" s="15"/>
      <c r="G382" s="16" t="str">
        <f aca="false">IF(OR(B382="",A382=""),"",C382*IFERROR(INDEX(Kişiler!$B$5:$B$44,MATCH(B382,Kişiler!$A$5:$A$44,0)),0)+D382*IFERROR(INDEX(Kişiler!$C$5:$C$44,MATCH(B382,Kişiler!$A$5:$A$44,0)),0))</f>
        <v/>
      </c>
    </row>
    <row r="383" customFormat="false" ht="15" hidden="false" customHeight="false" outlineLevel="0" collapsed="false">
      <c r="A383" s="12"/>
      <c r="B383" s="13"/>
      <c r="C383" s="14"/>
      <c r="D383" s="14"/>
      <c r="E383" s="13"/>
      <c r="F383" s="15"/>
      <c r="G383" s="16" t="str">
        <f aca="false">IF(OR(B383="",A383=""),"",C383*IFERROR(INDEX(Kişiler!$B$5:$B$44,MATCH(B383,Kişiler!$A$5:$A$44,0)),0)+D383*IFERROR(INDEX(Kişiler!$C$5:$C$44,MATCH(B383,Kişiler!$A$5:$A$44,0)),0))</f>
        <v/>
      </c>
    </row>
    <row r="384" customFormat="false" ht="15" hidden="false" customHeight="false" outlineLevel="0" collapsed="false">
      <c r="A384" s="12"/>
      <c r="B384" s="13"/>
      <c r="C384" s="14"/>
      <c r="D384" s="14"/>
      <c r="E384" s="13"/>
      <c r="F384" s="15"/>
      <c r="G384" s="16" t="str">
        <f aca="false">IF(OR(B384="",A384=""),"",C384*IFERROR(INDEX(Kişiler!$B$5:$B$44,MATCH(B384,Kişiler!$A$5:$A$44,0)),0)+D384*IFERROR(INDEX(Kişiler!$C$5:$C$44,MATCH(B384,Kişiler!$A$5:$A$44,0)),0))</f>
        <v/>
      </c>
    </row>
    <row r="385" customFormat="false" ht="15" hidden="false" customHeight="false" outlineLevel="0" collapsed="false">
      <c r="A385" s="12"/>
      <c r="B385" s="13"/>
      <c r="C385" s="14"/>
      <c r="D385" s="14"/>
      <c r="E385" s="13"/>
      <c r="F385" s="15"/>
      <c r="G385" s="16" t="str">
        <f aca="false">IF(OR(B385="",A385=""),"",C385*IFERROR(INDEX(Kişiler!$B$5:$B$44,MATCH(B385,Kişiler!$A$5:$A$44,0)),0)+D385*IFERROR(INDEX(Kişiler!$C$5:$C$44,MATCH(B385,Kişiler!$A$5:$A$44,0)),0))</f>
        <v/>
      </c>
    </row>
    <row r="386" customFormat="false" ht="15" hidden="false" customHeight="false" outlineLevel="0" collapsed="false">
      <c r="A386" s="12"/>
      <c r="B386" s="13"/>
      <c r="C386" s="14"/>
      <c r="D386" s="14"/>
      <c r="E386" s="13"/>
      <c r="F386" s="15"/>
      <c r="G386" s="16" t="str">
        <f aca="false">IF(OR(B386="",A386=""),"",C386*IFERROR(INDEX(Kişiler!$B$5:$B$44,MATCH(B386,Kişiler!$A$5:$A$44,0)),0)+D386*IFERROR(INDEX(Kişiler!$C$5:$C$44,MATCH(B386,Kişiler!$A$5:$A$44,0)),0))</f>
        <v/>
      </c>
    </row>
    <row r="387" customFormat="false" ht="15" hidden="false" customHeight="false" outlineLevel="0" collapsed="false">
      <c r="A387" s="12"/>
      <c r="B387" s="13"/>
      <c r="C387" s="14"/>
      <c r="D387" s="14"/>
      <c r="E387" s="13"/>
      <c r="F387" s="15"/>
      <c r="G387" s="16" t="str">
        <f aca="false">IF(OR(B387="",A387=""),"",C387*IFERROR(INDEX(Kişiler!$B$5:$B$44,MATCH(B387,Kişiler!$A$5:$A$44,0)),0)+D387*IFERROR(INDEX(Kişiler!$C$5:$C$44,MATCH(B387,Kişiler!$A$5:$A$44,0)),0))</f>
        <v/>
      </c>
    </row>
    <row r="388" customFormat="false" ht="15" hidden="false" customHeight="false" outlineLevel="0" collapsed="false">
      <c r="A388" s="12"/>
      <c r="B388" s="13"/>
      <c r="C388" s="14"/>
      <c r="D388" s="14"/>
      <c r="E388" s="13"/>
      <c r="F388" s="15"/>
      <c r="G388" s="16" t="str">
        <f aca="false">IF(OR(B388="",A388=""),"",C388*IFERROR(INDEX(Kişiler!$B$5:$B$44,MATCH(B388,Kişiler!$A$5:$A$44,0)),0)+D388*IFERROR(INDEX(Kişiler!$C$5:$C$44,MATCH(B388,Kişiler!$A$5:$A$44,0)),0))</f>
        <v/>
      </c>
    </row>
    <row r="389" customFormat="false" ht="15" hidden="false" customHeight="false" outlineLevel="0" collapsed="false">
      <c r="A389" s="12"/>
      <c r="B389" s="13"/>
      <c r="C389" s="14"/>
      <c r="D389" s="14"/>
      <c r="E389" s="13"/>
      <c r="F389" s="15"/>
      <c r="G389" s="16" t="str">
        <f aca="false">IF(OR(B389="",A389=""),"",C389*IFERROR(INDEX(Kişiler!$B$5:$B$44,MATCH(B389,Kişiler!$A$5:$A$44,0)),0)+D389*IFERROR(INDEX(Kişiler!$C$5:$C$44,MATCH(B389,Kişiler!$A$5:$A$44,0)),0))</f>
        <v/>
      </c>
    </row>
    <row r="390" customFormat="false" ht="15" hidden="false" customHeight="false" outlineLevel="0" collapsed="false">
      <c r="A390" s="12"/>
      <c r="B390" s="13"/>
      <c r="C390" s="14"/>
      <c r="D390" s="14"/>
      <c r="E390" s="13"/>
      <c r="F390" s="15"/>
      <c r="G390" s="16" t="str">
        <f aca="false">IF(OR(B390="",A390=""),"",C390*IFERROR(INDEX(Kişiler!$B$5:$B$44,MATCH(B390,Kişiler!$A$5:$A$44,0)),0)+D390*IFERROR(INDEX(Kişiler!$C$5:$C$44,MATCH(B390,Kişiler!$A$5:$A$44,0)),0))</f>
        <v/>
      </c>
    </row>
    <row r="391" customFormat="false" ht="15" hidden="false" customHeight="false" outlineLevel="0" collapsed="false">
      <c r="A391" s="12"/>
      <c r="B391" s="13"/>
      <c r="C391" s="14"/>
      <c r="D391" s="14"/>
      <c r="E391" s="13"/>
      <c r="F391" s="15"/>
      <c r="G391" s="16" t="str">
        <f aca="false">IF(OR(B391="",A391=""),"",C391*IFERROR(INDEX(Kişiler!$B$5:$B$44,MATCH(B391,Kişiler!$A$5:$A$44,0)),0)+D391*IFERROR(INDEX(Kişiler!$C$5:$C$44,MATCH(B391,Kişiler!$A$5:$A$44,0)),0))</f>
        <v/>
      </c>
    </row>
    <row r="392" customFormat="false" ht="15" hidden="false" customHeight="false" outlineLevel="0" collapsed="false">
      <c r="A392" s="12"/>
      <c r="B392" s="13"/>
      <c r="C392" s="14"/>
      <c r="D392" s="14"/>
      <c r="E392" s="13"/>
      <c r="F392" s="15"/>
      <c r="G392" s="16" t="str">
        <f aca="false">IF(OR(B392="",A392=""),"",C392*IFERROR(INDEX(Kişiler!$B$5:$B$44,MATCH(B392,Kişiler!$A$5:$A$44,0)),0)+D392*IFERROR(INDEX(Kişiler!$C$5:$C$44,MATCH(B392,Kişiler!$A$5:$A$44,0)),0))</f>
        <v/>
      </c>
    </row>
    <row r="393" customFormat="false" ht="15" hidden="false" customHeight="false" outlineLevel="0" collapsed="false">
      <c r="A393" s="12"/>
      <c r="B393" s="13"/>
      <c r="C393" s="14"/>
      <c r="D393" s="14"/>
      <c r="E393" s="13"/>
      <c r="F393" s="15"/>
      <c r="G393" s="16" t="str">
        <f aca="false">IF(OR(B393="",A393=""),"",C393*IFERROR(INDEX(Kişiler!$B$5:$B$44,MATCH(B393,Kişiler!$A$5:$A$44,0)),0)+D393*IFERROR(INDEX(Kişiler!$C$5:$C$44,MATCH(B393,Kişiler!$A$5:$A$44,0)),0))</f>
        <v/>
      </c>
    </row>
    <row r="394" customFormat="false" ht="15" hidden="false" customHeight="false" outlineLevel="0" collapsed="false">
      <c r="A394" s="12"/>
      <c r="B394" s="13"/>
      <c r="C394" s="14"/>
      <c r="D394" s="14"/>
      <c r="E394" s="13"/>
      <c r="F394" s="15"/>
      <c r="G394" s="16" t="str">
        <f aca="false">IF(OR(B394="",A394=""),"",C394*IFERROR(INDEX(Kişiler!$B$5:$B$44,MATCH(B394,Kişiler!$A$5:$A$44,0)),0)+D394*IFERROR(INDEX(Kişiler!$C$5:$C$44,MATCH(B394,Kişiler!$A$5:$A$44,0)),0))</f>
        <v/>
      </c>
    </row>
    <row r="395" customFormat="false" ht="15" hidden="false" customHeight="false" outlineLevel="0" collapsed="false">
      <c r="A395" s="12"/>
      <c r="B395" s="13"/>
      <c r="C395" s="14"/>
      <c r="D395" s="14"/>
      <c r="E395" s="13"/>
      <c r="F395" s="15"/>
      <c r="G395" s="16" t="str">
        <f aca="false">IF(OR(B395="",A395=""),"",C395*IFERROR(INDEX(Kişiler!$B$5:$B$44,MATCH(B395,Kişiler!$A$5:$A$44,0)),0)+D395*IFERROR(INDEX(Kişiler!$C$5:$C$44,MATCH(B395,Kişiler!$A$5:$A$44,0)),0))</f>
        <v/>
      </c>
    </row>
    <row r="396" customFormat="false" ht="15" hidden="false" customHeight="false" outlineLevel="0" collapsed="false">
      <c r="A396" s="12"/>
      <c r="B396" s="13"/>
      <c r="C396" s="14"/>
      <c r="D396" s="14"/>
      <c r="E396" s="13"/>
      <c r="F396" s="15"/>
      <c r="G396" s="16" t="str">
        <f aca="false">IF(OR(B396="",A396=""),"",C396*IFERROR(INDEX(Kişiler!$B$5:$B$44,MATCH(B396,Kişiler!$A$5:$A$44,0)),0)+D396*IFERROR(INDEX(Kişiler!$C$5:$C$44,MATCH(B396,Kişiler!$A$5:$A$44,0)),0))</f>
        <v/>
      </c>
    </row>
    <row r="397" customFormat="false" ht="15" hidden="false" customHeight="false" outlineLevel="0" collapsed="false">
      <c r="A397" s="12"/>
      <c r="B397" s="13"/>
      <c r="C397" s="14"/>
      <c r="D397" s="14"/>
      <c r="E397" s="13"/>
      <c r="F397" s="15"/>
      <c r="G397" s="16" t="str">
        <f aca="false">IF(OR(B397="",A397=""),"",C397*IFERROR(INDEX(Kişiler!$B$5:$B$44,MATCH(B397,Kişiler!$A$5:$A$44,0)),0)+D397*IFERROR(INDEX(Kişiler!$C$5:$C$44,MATCH(B397,Kişiler!$A$5:$A$44,0)),0))</f>
        <v/>
      </c>
    </row>
    <row r="398" customFormat="false" ht="15" hidden="false" customHeight="false" outlineLevel="0" collapsed="false">
      <c r="A398" s="12"/>
      <c r="B398" s="13"/>
      <c r="C398" s="14"/>
      <c r="D398" s="14"/>
      <c r="E398" s="13"/>
      <c r="F398" s="15"/>
      <c r="G398" s="16" t="str">
        <f aca="false">IF(OR(B398="",A398=""),"",C398*IFERROR(INDEX(Kişiler!$B$5:$B$44,MATCH(B398,Kişiler!$A$5:$A$44,0)),0)+D398*IFERROR(INDEX(Kişiler!$C$5:$C$44,MATCH(B398,Kişiler!$A$5:$A$44,0)),0))</f>
        <v/>
      </c>
    </row>
    <row r="399" customFormat="false" ht="15" hidden="false" customHeight="false" outlineLevel="0" collapsed="false">
      <c r="A399" s="12"/>
      <c r="B399" s="13"/>
      <c r="C399" s="14"/>
      <c r="D399" s="14"/>
      <c r="E399" s="13"/>
      <c r="F399" s="15"/>
      <c r="G399" s="16" t="str">
        <f aca="false">IF(OR(B399="",A399=""),"",C399*IFERROR(INDEX(Kişiler!$B$5:$B$44,MATCH(B399,Kişiler!$A$5:$A$44,0)),0)+D399*IFERROR(INDEX(Kişiler!$C$5:$C$44,MATCH(B399,Kişiler!$A$5:$A$44,0)),0))</f>
        <v/>
      </c>
    </row>
    <row r="400" customFormat="false" ht="15" hidden="false" customHeight="false" outlineLevel="0" collapsed="false">
      <c r="A400" s="12"/>
      <c r="B400" s="13"/>
      <c r="C400" s="14"/>
      <c r="D400" s="14"/>
      <c r="E400" s="13"/>
      <c r="F400" s="15"/>
      <c r="G400" s="16" t="str">
        <f aca="false">IF(OR(B400="",A400=""),"",C400*IFERROR(INDEX(Kişiler!$B$5:$B$44,MATCH(B400,Kişiler!$A$5:$A$44,0)),0)+D400*IFERROR(INDEX(Kişiler!$C$5:$C$44,MATCH(B400,Kişiler!$A$5:$A$44,0)),0))</f>
        <v/>
      </c>
    </row>
    <row r="401" customFormat="false" ht="15" hidden="false" customHeight="false" outlineLevel="0" collapsed="false">
      <c r="A401" s="12"/>
      <c r="B401" s="13"/>
      <c r="C401" s="14"/>
      <c r="D401" s="14"/>
      <c r="E401" s="13"/>
      <c r="F401" s="15"/>
      <c r="G401" s="16" t="str">
        <f aca="false">IF(OR(B401="",A401=""),"",C401*IFERROR(INDEX(Kişiler!$B$5:$B$44,MATCH(B401,Kişiler!$A$5:$A$44,0)),0)+D401*IFERROR(INDEX(Kişiler!$C$5:$C$44,MATCH(B401,Kişiler!$A$5:$A$44,0)),0))</f>
        <v/>
      </c>
    </row>
    <row r="402" customFormat="false" ht="15" hidden="false" customHeight="false" outlineLevel="0" collapsed="false">
      <c r="A402" s="12"/>
      <c r="B402" s="13"/>
      <c r="C402" s="14"/>
      <c r="D402" s="14"/>
      <c r="E402" s="13"/>
      <c r="F402" s="15"/>
      <c r="G402" s="16" t="str">
        <f aca="false">IF(OR(B402="",A402=""),"",C402*IFERROR(INDEX(Kişiler!$B$5:$B$44,MATCH(B402,Kişiler!$A$5:$A$44,0)),0)+D402*IFERROR(INDEX(Kişiler!$C$5:$C$44,MATCH(B402,Kişiler!$A$5:$A$44,0)),0))</f>
        <v/>
      </c>
    </row>
    <row r="403" customFormat="false" ht="15" hidden="false" customHeight="false" outlineLevel="0" collapsed="false">
      <c r="A403" s="12"/>
      <c r="B403" s="13"/>
      <c r="C403" s="14"/>
      <c r="D403" s="14"/>
      <c r="E403" s="13"/>
      <c r="F403" s="15"/>
      <c r="G403" s="16" t="str">
        <f aca="false">IF(OR(B403="",A403=""),"",C403*IFERROR(INDEX(Kişiler!$B$5:$B$44,MATCH(B403,Kişiler!$A$5:$A$44,0)),0)+D403*IFERROR(INDEX(Kişiler!$C$5:$C$44,MATCH(B403,Kişiler!$A$5:$A$44,0)),0))</f>
        <v/>
      </c>
    </row>
    <row r="404" customFormat="false" ht="15" hidden="false" customHeight="false" outlineLevel="0" collapsed="false">
      <c r="A404" s="12"/>
      <c r="B404" s="13"/>
      <c r="C404" s="14"/>
      <c r="D404" s="14"/>
      <c r="E404" s="13"/>
      <c r="F404" s="15"/>
      <c r="G404" s="16" t="str">
        <f aca="false">IF(OR(B404="",A404=""),"",C404*IFERROR(INDEX(Kişiler!$B$5:$B$44,MATCH(B404,Kişiler!$A$5:$A$44,0)),0)+D404*IFERROR(INDEX(Kişiler!$C$5:$C$44,MATCH(B404,Kişiler!$A$5:$A$44,0)),0))</f>
        <v/>
      </c>
    </row>
    <row r="405" customFormat="false" ht="15" hidden="false" customHeight="false" outlineLevel="0" collapsed="false">
      <c r="A405" s="12"/>
      <c r="B405" s="13"/>
      <c r="C405" s="14"/>
      <c r="D405" s="14"/>
      <c r="E405" s="13"/>
      <c r="F405" s="15"/>
      <c r="G405" s="16" t="str">
        <f aca="false">IF(OR(B405="",A405=""),"",C405*IFERROR(INDEX(Kişiler!$B$5:$B$44,MATCH(B405,Kişiler!$A$5:$A$44,0)),0)+D405*IFERROR(INDEX(Kişiler!$C$5:$C$44,MATCH(B405,Kişiler!$A$5:$A$44,0)),0))</f>
        <v/>
      </c>
    </row>
    <row r="406" customFormat="false" ht="15" hidden="false" customHeight="false" outlineLevel="0" collapsed="false">
      <c r="A406" s="12"/>
      <c r="B406" s="13"/>
      <c r="C406" s="14"/>
      <c r="D406" s="14"/>
      <c r="E406" s="13"/>
      <c r="F406" s="15"/>
      <c r="G406" s="16" t="str">
        <f aca="false">IF(OR(B406="",A406=""),"",C406*IFERROR(INDEX(Kişiler!$B$5:$B$44,MATCH(B406,Kişiler!$A$5:$A$44,0)),0)+D406*IFERROR(INDEX(Kişiler!$C$5:$C$44,MATCH(B406,Kişiler!$A$5:$A$44,0)),0))</f>
        <v/>
      </c>
    </row>
    <row r="407" customFormat="false" ht="15" hidden="false" customHeight="false" outlineLevel="0" collapsed="false">
      <c r="A407" s="12"/>
      <c r="B407" s="13"/>
      <c r="C407" s="14"/>
      <c r="D407" s="14"/>
      <c r="E407" s="13"/>
      <c r="F407" s="15"/>
      <c r="G407" s="16" t="str">
        <f aca="false">IF(OR(B407="",A407=""),"",C407*IFERROR(INDEX(Kişiler!$B$5:$B$44,MATCH(B407,Kişiler!$A$5:$A$44,0)),0)+D407*IFERROR(INDEX(Kişiler!$C$5:$C$44,MATCH(B407,Kişiler!$A$5:$A$44,0)),0))</f>
        <v/>
      </c>
    </row>
    <row r="408" customFormat="false" ht="15" hidden="false" customHeight="false" outlineLevel="0" collapsed="false">
      <c r="A408" s="12"/>
      <c r="B408" s="13"/>
      <c r="C408" s="14"/>
      <c r="D408" s="14"/>
      <c r="E408" s="13"/>
      <c r="F408" s="15"/>
      <c r="G408" s="16" t="str">
        <f aca="false">IF(OR(B408="",A408=""),"",C408*IFERROR(INDEX(Kişiler!$B$5:$B$44,MATCH(B408,Kişiler!$A$5:$A$44,0)),0)+D408*IFERROR(INDEX(Kişiler!$C$5:$C$44,MATCH(B408,Kişiler!$A$5:$A$44,0)),0))</f>
        <v/>
      </c>
    </row>
    <row r="409" customFormat="false" ht="15" hidden="false" customHeight="false" outlineLevel="0" collapsed="false">
      <c r="A409" s="12"/>
      <c r="B409" s="13"/>
      <c r="C409" s="14"/>
      <c r="D409" s="14"/>
      <c r="E409" s="13"/>
      <c r="F409" s="15"/>
      <c r="G409" s="16" t="str">
        <f aca="false">IF(OR(B409="",A409=""),"",C409*IFERROR(INDEX(Kişiler!$B$5:$B$44,MATCH(B409,Kişiler!$A$5:$A$44,0)),0)+D409*IFERROR(INDEX(Kişiler!$C$5:$C$44,MATCH(B409,Kişiler!$A$5:$A$44,0)),0))</f>
        <v/>
      </c>
    </row>
    <row r="410" customFormat="false" ht="15" hidden="false" customHeight="false" outlineLevel="0" collapsed="false">
      <c r="A410" s="12"/>
      <c r="B410" s="13"/>
      <c r="C410" s="14"/>
      <c r="D410" s="14"/>
      <c r="E410" s="13"/>
      <c r="F410" s="15"/>
      <c r="G410" s="16" t="str">
        <f aca="false">IF(OR(B410="",A410=""),"",C410*IFERROR(INDEX(Kişiler!$B$5:$B$44,MATCH(B410,Kişiler!$A$5:$A$44,0)),0)+D410*IFERROR(INDEX(Kişiler!$C$5:$C$44,MATCH(B410,Kişiler!$A$5:$A$44,0)),0))</f>
        <v/>
      </c>
    </row>
    <row r="411" customFormat="false" ht="15" hidden="false" customHeight="false" outlineLevel="0" collapsed="false">
      <c r="A411" s="12"/>
      <c r="B411" s="13"/>
      <c r="C411" s="14"/>
      <c r="D411" s="14"/>
      <c r="E411" s="13"/>
      <c r="F411" s="15"/>
      <c r="G411" s="16" t="str">
        <f aca="false">IF(OR(B411="",A411=""),"",C411*IFERROR(INDEX(Kişiler!$B$5:$B$44,MATCH(B411,Kişiler!$A$5:$A$44,0)),0)+D411*IFERROR(INDEX(Kişiler!$C$5:$C$44,MATCH(B411,Kişiler!$A$5:$A$44,0)),0))</f>
        <v/>
      </c>
    </row>
    <row r="412" customFormat="false" ht="15" hidden="false" customHeight="false" outlineLevel="0" collapsed="false">
      <c r="A412" s="12"/>
      <c r="B412" s="13"/>
      <c r="C412" s="14"/>
      <c r="D412" s="14"/>
      <c r="E412" s="13"/>
      <c r="F412" s="15"/>
      <c r="G412" s="16" t="str">
        <f aca="false">IF(OR(B412="",A412=""),"",C412*IFERROR(INDEX(Kişiler!$B$5:$B$44,MATCH(B412,Kişiler!$A$5:$A$44,0)),0)+D412*IFERROR(INDEX(Kişiler!$C$5:$C$44,MATCH(B412,Kişiler!$A$5:$A$44,0)),0))</f>
        <v/>
      </c>
    </row>
    <row r="413" customFormat="false" ht="15" hidden="false" customHeight="false" outlineLevel="0" collapsed="false">
      <c r="A413" s="12"/>
      <c r="B413" s="13"/>
      <c r="C413" s="14"/>
      <c r="D413" s="14"/>
      <c r="E413" s="13"/>
      <c r="F413" s="15"/>
      <c r="G413" s="16" t="str">
        <f aca="false">IF(OR(B413="",A413=""),"",C413*IFERROR(INDEX(Kişiler!$B$5:$B$44,MATCH(B413,Kişiler!$A$5:$A$44,0)),0)+D413*IFERROR(INDEX(Kişiler!$C$5:$C$44,MATCH(B413,Kişiler!$A$5:$A$44,0)),0))</f>
        <v/>
      </c>
    </row>
    <row r="414" customFormat="false" ht="15" hidden="false" customHeight="false" outlineLevel="0" collapsed="false">
      <c r="A414" s="12"/>
      <c r="B414" s="13"/>
      <c r="C414" s="14"/>
      <c r="D414" s="14"/>
      <c r="E414" s="13"/>
      <c r="F414" s="15"/>
      <c r="G414" s="16" t="str">
        <f aca="false">IF(OR(B414="",A414=""),"",C414*IFERROR(INDEX(Kişiler!$B$5:$B$44,MATCH(B414,Kişiler!$A$5:$A$44,0)),0)+D414*IFERROR(INDEX(Kişiler!$C$5:$C$44,MATCH(B414,Kişiler!$A$5:$A$44,0)),0))</f>
        <v/>
      </c>
    </row>
    <row r="415" customFormat="false" ht="15" hidden="false" customHeight="false" outlineLevel="0" collapsed="false">
      <c r="A415" s="12"/>
      <c r="B415" s="13"/>
      <c r="C415" s="14"/>
      <c r="D415" s="14"/>
      <c r="E415" s="13"/>
      <c r="F415" s="15"/>
      <c r="G415" s="16" t="str">
        <f aca="false">IF(OR(B415="",A415=""),"",C415*IFERROR(INDEX(Kişiler!$B$5:$B$44,MATCH(B415,Kişiler!$A$5:$A$44,0)),0)+D415*IFERROR(INDEX(Kişiler!$C$5:$C$44,MATCH(B415,Kişiler!$A$5:$A$44,0)),0))</f>
        <v/>
      </c>
    </row>
    <row r="416" customFormat="false" ht="15" hidden="false" customHeight="false" outlineLevel="0" collapsed="false">
      <c r="A416" s="12"/>
      <c r="B416" s="13"/>
      <c r="C416" s="14"/>
      <c r="D416" s="14"/>
      <c r="E416" s="13"/>
      <c r="F416" s="15"/>
      <c r="G416" s="16" t="str">
        <f aca="false">IF(OR(B416="",A416=""),"",C416*IFERROR(INDEX(Kişiler!$B$5:$B$44,MATCH(B416,Kişiler!$A$5:$A$44,0)),0)+D416*IFERROR(INDEX(Kişiler!$C$5:$C$44,MATCH(B416,Kişiler!$A$5:$A$44,0)),0))</f>
        <v/>
      </c>
    </row>
    <row r="417" customFormat="false" ht="15" hidden="false" customHeight="false" outlineLevel="0" collapsed="false">
      <c r="A417" s="12"/>
      <c r="B417" s="13"/>
      <c r="C417" s="14"/>
      <c r="D417" s="14"/>
      <c r="E417" s="13"/>
      <c r="F417" s="15"/>
      <c r="G417" s="16" t="str">
        <f aca="false">IF(OR(B417="",A417=""),"",C417*IFERROR(INDEX(Kişiler!$B$5:$B$44,MATCH(B417,Kişiler!$A$5:$A$44,0)),0)+D417*IFERROR(INDEX(Kişiler!$C$5:$C$44,MATCH(B417,Kişiler!$A$5:$A$44,0)),0))</f>
        <v/>
      </c>
    </row>
    <row r="418" customFormat="false" ht="15" hidden="false" customHeight="false" outlineLevel="0" collapsed="false">
      <c r="A418" s="12"/>
      <c r="B418" s="13"/>
      <c r="C418" s="14"/>
      <c r="D418" s="14"/>
      <c r="E418" s="13"/>
      <c r="F418" s="15"/>
      <c r="G418" s="16" t="str">
        <f aca="false">IF(OR(B418="",A418=""),"",C418*IFERROR(INDEX(Kişiler!$B$5:$B$44,MATCH(B418,Kişiler!$A$5:$A$44,0)),0)+D418*IFERROR(INDEX(Kişiler!$C$5:$C$44,MATCH(B418,Kişiler!$A$5:$A$44,0)),0))</f>
        <v/>
      </c>
    </row>
    <row r="419" customFormat="false" ht="15" hidden="false" customHeight="false" outlineLevel="0" collapsed="false">
      <c r="A419" s="12"/>
      <c r="B419" s="13"/>
      <c r="C419" s="14"/>
      <c r="D419" s="14"/>
      <c r="E419" s="13"/>
      <c r="F419" s="15"/>
      <c r="G419" s="16" t="str">
        <f aca="false">IF(OR(B419="",A419=""),"",C419*IFERROR(INDEX(Kişiler!$B$5:$B$44,MATCH(B419,Kişiler!$A$5:$A$44,0)),0)+D419*IFERROR(INDEX(Kişiler!$C$5:$C$44,MATCH(B419,Kişiler!$A$5:$A$44,0)),0))</f>
        <v/>
      </c>
    </row>
    <row r="420" customFormat="false" ht="15" hidden="false" customHeight="false" outlineLevel="0" collapsed="false">
      <c r="A420" s="12"/>
      <c r="B420" s="13"/>
      <c r="C420" s="14"/>
      <c r="D420" s="14"/>
      <c r="E420" s="13"/>
      <c r="F420" s="15"/>
      <c r="G420" s="16" t="str">
        <f aca="false">IF(OR(B420="",A420=""),"",C420*IFERROR(INDEX(Kişiler!$B$5:$B$44,MATCH(B420,Kişiler!$A$5:$A$44,0)),0)+D420*IFERROR(INDEX(Kişiler!$C$5:$C$44,MATCH(B420,Kişiler!$A$5:$A$44,0)),0))</f>
        <v/>
      </c>
    </row>
    <row r="421" customFormat="false" ht="15" hidden="false" customHeight="false" outlineLevel="0" collapsed="false">
      <c r="A421" s="12"/>
      <c r="B421" s="13"/>
      <c r="C421" s="14"/>
      <c r="D421" s="14"/>
      <c r="E421" s="13"/>
      <c r="F421" s="15"/>
      <c r="G421" s="16" t="str">
        <f aca="false">IF(OR(B421="",A421=""),"",C421*IFERROR(INDEX(Kişiler!$B$5:$B$44,MATCH(B421,Kişiler!$A$5:$A$44,0)),0)+D421*IFERROR(INDEX(Kişiler!$C$5:$C$44,MATCH(B421,Kişiler!$A$5:$A$44,0)),0))</f>
        <v/>
      </c>
    </row>
    <row r="422" customFormat="false" ht="15" hidden="false" customHeight="false" outlineLevel="0" collapsed="false">
      <c r="A422" s="12"/>
      <c r="B422" s="13"/>
      <c r="C422" s="14"/>
      <c r="D422" s="14"/>
      <c r="E422" s="13"/>
      <c r="F422" s="15"/>
      <c r="G422" s="16" t="str">
        <f aca="false">IF(OR(B422="",A422=""),"",C422*IFERROR(INDEX(Kişiler!$B$5:$B$44,MATCH(B422,Kişiler!$A$5:$A$44,0)),0)+D422*IFERROR(INDEX(Kişiler!$C$5:$C$44,MATCH(B422,Kişiler!$A$5:$A$44,0)),0))</f>
        <v/>
      </c>
    </row>
    <row r="423" customFormat="false" ht="15" hidden="false" customHeight="false" outlineLevel="0" collapsed="false">
      <c r="A423" s="12"/>
      <c r="B423" s="13"/>
      <c r="C423" s="14"/>
      <c r="D423" s="14"/>
      <c r="E423" s="13"/>
      <c r="F423" s="15"/>
      <c r="G423" s="16" t="str">
        <f aca="false">IF(OR(B423="",A423=""),"",C423*IFERROR(INDEX(Kişiler!$B$5:$B$44,MATCH(B423,Kişiler!$A$5:$A$44,0)),0)+D423*IFERROR(INDEX(Kişiler!$C$5:$C$44,MATCH(B423,Kişiler!$A$5:$A$44,0)),0))</f>
        <v/>
      </c>
    </row>
    <row r="424" customFormat="false" ht="15" hidden="false" customHeight="false" outlineLevel="0" collapsed="false">
      <c r="A424" s="12"/>
      <c r="B424" s="13"/>
      <c r="C424" s="14"/>
      <c r="D424" s="14"/>
      <c r="E424" s="13"/>
      <c r="F424" s="15"/>
      <c r="G424" s="16" t="str">
        <f aca="false">IF(OR(B424="",A424=""),"",C424*IFERROR(INDEX(Kişiler!$B$5:$B$44,MATCH(B424,Kişiler!$A$5:$A$44,0)),0)+D424*IFERROR(INDEX(Kişiler!$C$5:$C$44,MATCH(B424,Kişiler!$A$5:$A$44,0)),0))</f>
        <v/>
      </c>
    </row>
    <row r="425" customFormat="false" ht="15" hidden="false" customHeight="false" outlineLevel="0" collapsed="false">
      <c r="A425" s="12"/>
      <c r="B425" s="13"/>
      <c r="C425" s="14"/>
      <c r="D425" s="14"/>
      <c r="E425" s="13"/>
      <c r="F425" s="15"/>
      <c r="G425" s="16" t="str">
        <f aca="false">IF(OR(B425="",A425=""),"",C425*IFERROR(INDEX(Kişiler!$B$5:$B$44,MATCH(B425,Kişiler!$A$5:$A$44,0)),0)+D425*IFERROR(INDEX(Kişiler!$C$5:$C$44,MATCH(B425,Kişiler!$A$5:$A$44,0)),0))</f>
        <v/>
      </c>
    </row>
    <row r="426" customFormat="false" ht="15" hidden="false" customHeight="false" outlineLevel="0" collapsed="false">
      <c r="A426" s="12"/>
      <c r="B426" s="13"/>
      <c r="C426" s="14"/>
      <c r="D426" s="14"/>
      <c r="E426" s="13"/>
      <c r="F426" s="15"/>
      <c r="G426" s="16" t="str">
        <f aca="false">IF(OR(B426="",A426=""),"",C426*IFERROR(INDEX(Kişiler!$B$5:$B$44,MATCH(B426,Kişiler!$A$5:$A$44,0)),0)+D426*IFERROR(INDEX(Kişiler!$C$5:$C$44,MATCH(B426,Kişiler!$A$5:$A$44,0)),0))</f>
        <v/>
      </c>
    </row>
    <row r="427" customFormat="false" ht="15" hidden="false" customHeight="false" outlineLevel="0" collapsed="false">
      <c r="A427" s="12"/>
      <c r="B427" s="13"/>
      <c r="C427" s="14"/>
      <c r="D427" s="14"/>
      <c r="E427" s="13"/>
      <c r="F427" s="15"/>
      <c r="G427" s="16" t="str">
        <f aca="false">IF(OR(B427="",A427=""),"",C427*IFERROR(INDEX(Kişiler!$B$5:$B$44,MATCH(B427,Kişiler!$A$5:$A$44,0)),0)+D427*IFERROR(INDEX(Kişiler!$C$5:$C$44,MATCH(B427,Kişiler!$A$5:$A$44,0)),0))</f>
        <v/>
      </c>
    </row>
    <row r="428" customFormat="false" ht="15" hidden="false" customHeight="false" outlineLevel="0" collapsed="false">
      <c r="A428" s="12"/>
      <c r="B428" s="13"/>
      <c r="C428" s="14"/>
      <c r="D428" s="14"/>
      <c r="E428" s="13"/>
      <c r="F428" s="15"/>
      <c r="G428" s="16" t="str">
        <f aca="false">IF(OR(B428="",A428=""),"",C428*IFERROR(INDEX(Kişiler!$B$5:$B$44,MATCH(B428,Kişiler!$A$5:$A$44,0)),0)+D428*IFERROR(INDEX(Kişiler!$C$5:$C$44,MATCH(B428,Kişiler!$A$5:$A$44,0)),0))</f>
        <v/>
      </c>
    </row>
    <row r="429" customFormat="false" ht="15" hidden="false" customHeight="false" outlineLevel="0" collapsed="false">
      <c r="A429" s="12"/>
      <c r="B429" s="13"/>
      <c r="C429" s="14"/>
      <c r="D429" s="14"/>
      <c r="E429" s="13"/>
      <c r="F429" s="15"/>
      <c r="G429" s="16" t="str">
        <f aca="false">IF(OR(B429="",A429=""),"",C429*IFERROR(INDEX(Kişiler!$B$5:$B$44,MATCH(B429,Kişiler!$A$5:$A$44,0)),0)+D429*IFERROR(INDEX(Kişiler!$C$5:$C$44,MATCH(B429,Kişiler!$A$5:$A$44,0)),0))</f>
        <v/>
      </c>
    </row>
    <row r="430" customFormat="false" ht="15" hidden="false" customHeight="false" outlineLevel="0" collapsed="false">
      <c r="A430" s="12"/>
      <c r="B430" s="13"/>
      <c r="C430" s="14"/>
      <c r="D430" s="14"/>
      <c r="E430" s="13"/>
      <c r="F430" s="15"/>
      <c r="G430" s="16" t="str">
        <f aca="false">IF(OR(B430="",A430=""),"",C430*IFERROR(INDEX(Kişiler!$B$5:$B$44,MATCH(B430,Kişiler!$A$5:$A$44,0)),0)+D430*IFERROR(INDEX(Kişiler!$C$5:$C$44,MATCH(B430,Kişiler!$A$5:$A$44,0)),0))</f>
        <v/>
      </c>
    </row>
    <row r="431" customFormat="false" ht="15" hidden="false" customHeight="false" outlineLevel="0" collapsed="false">
      <c r="A431" s="12"/>
      <c r="B431" s="13"/>
      <c r="C431" s="14"/>
      <c r="D431" s="14"/>
      <c r="E431" s="13"/>
      <c r="F431" s="15"/>
      <c r="G431" s="16" t="str">
        <f aca="false">IF(OR(B431="",A431=""),"",C431*IFERROR(INDEX(Kişiler!$B$5:$B$44,MATCH(B431,Kişiler!$A$5:$A$44,0)),0)+D431*IFERROR(INDEX(Kişiler!$C$5:$C$44,MATCH(B431,Kişiler!$A$5:$A$44,0)),0))</f>
        <v/>
      </c>
    </row>
    <row r="432" customFormat="false" ht="15" hidden="false" customHeight="false" outlineLevel="0" collapsed="false">
      <c r="A432" s="12"/>
      <c r="B432" s="13"/>
      <c r="C432" s="14"/>
      <c r="D432" s="14"/>
      <c r="E432" s="13"/>
      <c r="F432" s="15"/>
      <c r="G432" s="16" t="str">
        <f aca="false">IF(OR(B432="",A432=""),"",C432*IFERROR(INDEX(Kişiler!$B$5:$B$44,MATCH(B432,Kişiler!$A$5:$A$44,0)),0)+D432*IFERROR(INDEX(Kişiler!$C$5:$C$44,MATCH(B432,Kişiler!$A$5:$A$44,0)),0))</f>
        <v/>
      </c>
    </row>
    <row r="433" customFormat="false" ht="15" hidden="false" customHeight="false" outlineLevel="0" collapsed="false">
      <c r="A433" s="12"/>
      <c r="B433" s="13"/>
      <c r="C433" s="14"/>
      <c r="D433" s="14"/>
      <c r="E433" s="13"/>
      <c r="F433" s="15"/>
      <c r="G433" s="16" t="str">
        <f aca="false">IF(OR(B433="",A433=""),"",C433*IFERROR(INDEX(Kişiler!$B$5:$B$44,MATCH(B433,Kişiler!$A$5:$A$44,0)),0)+D433*IFERROR(INDEX(Kişiler!$C$5:$C$44,MATCH(B433,Kişiler!$A$5:$A$44,0)),0))</f>
        <v/>
      </c>
    </row>
    <row r="434" customFormat="false" ht="15" hidden="false" customHeight="false" outlineLevel="0" collapsed="false">
      <c r="A434" s="12"/>
      <c r="B434" s="13"/>
      <c r="C434" s="14"/>
      <c r="D434" s="14"/>
      <c r="E434" s="13"/>
      <c r="F434" s="15"/>
      <c r="G434" s="16" t="str">
        <f aca="false">IF(OR(B434="",A434=""),"",C434*IFERROR(INDEX(Kişiler!$B$5:$B$44,MATCH(B434,Kişiler!$A$5:$A$44,0)),0)+D434*IFERROR(INDEX(Kişiler!$C$5:$C$44,MATCH(B434,Kişiler!$A$5:$A$44,0)),0))</f>
        <v/>
      </c>
    </row>
    <row r="435" customFormat="false" ht="15" hidden="false" customHeight="false" outlineLevel="0" collapsed="false">
      <c r="A435" s="12"/>
      <c r="B435" s="13"/>
      <c r="C435" s="14"/>
      <c r="D435" s="14"/>
      <c r="E435" s="13"/>
      <c r="F435" s="15"/>
      <c r="G435" s="16" t="str">
        <f aca="false">IF(OR(B435="",A435=""),"",C435*IFERROR(INDEX(Kişiler!$B$5:$B$44,MATCH(B435,Kişiler!$A$5:$A$44,0)),0)+D435*IFERROR(INDEX(Kişiler!$C$5:$C$44,MATCH(B435,Kişiler!$A$5:$A$44,0)),0))</f>
        <v/>
      </c>
    </row>
    <row r="436" customFormat="false" ht="15" hidden="false" customHeight="false" outlineLevel="0" collapsed="false">
      <c r="A436" s="12"/>
      <c r="B436" s="13"/>
      <c r="C436" s="14"/>
      <c r="D436" s="14"/>
      <c r="E436" s="13"/>
      <c r="F436" s="15"/>
      <c r="G436" s="16" t="str">
        <f aca="false">IF(OR(B436="",A436=""),"",C436*IFERROR(INDEX(Kişiler!$B$5:$B$44,MATCH(B436,Kişiler!$A$5:$A$44,0)),0)+D436*IFERROR(INDEX(Kişiler!$C$5:$C$44,MATCH(B436,Kişiler!$A$5:$A$44,0)),0))</f>
        <v/>
      </c>
    </row>
    <row r="437" customFormat="false" ht="15" hidden="false" customHeight="false" outlineLevel="0" collapsed="false">
      <c r="A437" s="12"/>
      <c r="B437" s="13"/>
      <c r="C437" s="14"/>
      <c r="D437" s="14"/>
      <c r="E437" s="13"/>
      <c r="F437" s="15"/>
      <c r="G437" s="16" t="str">
        <f aca="false">IF(OR(B437="",A437=""),"",C437*IFERROR(INDEX(Kişiler!$B$5:$B$44,MATCH(B437,Kişiler!$A$5:$A$44,0)),0)+D437*IFERROR(INDEX(Kişiler!$C$5:$C$44,MATCH(B437,Kişiler!$A$5:$A$44,0)),0))</f>
        <v/>
      </c>
    </row>
    <row r="438" customFormat="false" ht="15" hidden="false" customHeight="false" outlineLevel="0" collapsed="false">
      <c r="A438" s="12"/>
      <c r="B438" s="13"/>
      <c r="C438" s="14"/>
      <c r="D438" s="14"/>
      <c r="E438" s="13"/>
      <c r="F438" s="15"/>
      <c r="G438" s="16" t="str">
        <f aca="false">IF(OR(B438="",A438=""),"",C438*IFERROR(INDEX(Kişiler!$B$5:$B$44,MATCH(B438,Kişiler!$A$5:$A$44,0)),0)+D438*IFERROR(INDEX(Kişiler!$C$5:$C$44,MATCH(B438,Kişiler!$A$5:$A$44,0)),0))</f>
        <v/>
      </c>
    </row>
    <row r="439" customFormat="false" ht="15" hidden="false" customHeight="false" outlineLevel="0" collapsed="false">
      <c r="A439" s="12"/>
      <c r="B439" s="13"/>
      <c r="C439" s="14"/>
      <c r="D439" s="14"/>
      <c r="E439" s="13"/>
      <c r="F439" s="15"/>
      <c r="G439" s="16" t="str">
        <f aca="false">IF(OR(B439="",A439=""),"",C439*IFERROR(INDEX(Kişiler!$B$5:$B$44,MATCH(B439,Kişiler!$A$5:$A$44,0)),0)+D439*IFERROR(INDEX(Kişiler!$C$5:$C$44,MATCH(B439,Kişiler!$A$5:$A$44,0)),0))</f>
        <v/>
      </c>
    </row>
    <row r="440" customFormat="false" ht="15" hidden="false" customHeight="false" outlineLevel="0" collapsed="false">
      <c r="A440" s="12"/>
      <c r="B440" s="13"/>
      <c r="C440" s="14"/>
      <c r="D440" s="14"/>
      <c r="E440" s="13"/>
      <c r="F440" s="15"/>
      <c r="G440" s="16" t="str">
        <f aca="false">IF(OR(B440="",A440=""),"",C440*IFERROR(INDEX(Kişiler!$B$5:$B$44,MATCH(B440,Kişiler!$A$5:$A$44,0)),0)+D440*IFERROR(INDEX(Kişiler!$C$5:$C$44,MATCH(B440,Kişiler!$A$5:$A$44,0)),0))</f>
        <v/>
      </c>
    </row>
    <row r="441" customFormat="false" ht="15" hidden="false" customHeight="false" outlineLevel="0" collapsed="false">
      <c r="A441" s="12"/>
      <c r="B441" s="13"/>
      <c r="C441" s="14"/>
      <c r="D441" s="14"/>
      <c r="E441" s="13"/>
      <c r="F441" s="15"/>
      <c r="G441" s="16" t="str">
        <f aca="false">IF(OR(B441="",A441=""),"",C441*IFERROR(INDEX(Kişiler!$B$5:$B$44,MATCH(B441,Kişiler!$A$5:$A$44,0)),0)+D441*IFERROR(INDEX(Kişiler!$C$5:$C$44,MATCH(B441,Kişiler!$A$5:$A$44,0)),0))</f>
        <v/>
      </c>
    </row>
    <row r="442" customFormat="false" ht="15" hidden="false" customHeight="false" outlineLevel="0" collapsed="false">
      <c r="A442" s="12"/>
      <c r="B442" s="13"/>
      <c r="C442" s="14"/>
      <c r="D442" s="14"/>
      <c r="E442" s="13"/>
      <c r="F442" s="15"/>
      <c r="G442" s="16" t="str">
        <f aca="false">IF(OR(B442="",A442=""),"",C442*IFERROR(INDEX(Kişiler!$B$5:$B$44,MATCH(B442,Kişiler!$A$5:$A$44,0)),0)+D442*IFERROR(INDEX(Kişiler!$C$5:$C$44,MATCH(B442,Kişiler!$A$5:$A$44,0)),0))</f>
        <v/>
      </c>
    </row>
    <row r="443" customFormat="false" ht="15" hidden="false" customHeight="false" outlineLevel="0" collapsed="false">
      <c r="A443" s="12"/>
      <c r="B443" s="13"/>
      <c r="C443" s="14"/>
      <c r="D443" s="14"/>
      <c r="E443" s="13"/>
      <c r="F443" s="15"/>
      <c r="G443" s="16" t="str">
        <f aca="false">IF(OR(B443="",A443=""),"",C443*IFERROR(INDEX(Kişiler!$B$5:$B$44,MATCH(B443,Kişiler!$A$5:$A$44,0)),0)+D443*IFERROR(INDEX(Kişiler!$C$5:$C$44,MATCH(B443,Kişiler!$A$5:$A$44,0)),0))</f>
        <v/>
      </c>
    </row>
    <row r="444" customFormat="false" ht="15" hidden="false" customHeight="false" outlineLevel="0" collapsed="false">
      <c r="A444" s="12"/>
      <c r="B444" s="13"/>
      <c r="C444" s="14"/>
      <c r="D444" s="14"/>
      <c r="E444" s="13"/>
      <c r="F444" s="15"/>
      <c r="G444" s="16" t="str">
        <f aca="false">IF(OR(B444="",A444=""),"",C444*IFERROR(INDEX(Kişiler!$B$5:$B$44,MATCH(B444,Kişiler!$A$5:$A$44,0)),0)+D444*IFERROR(INDEX(Kişiler!$C$5:$C$44,MATCH(B444,Kişiler!$A$5:$A$44,0)),0))</f>
        <v/>
      </c>
    </row>
    <row r="445" customFormat="false" ht="15" hidden="false" customHeight="false" outlineLevel="0" collapsed="false">
      <c r="A445" s="12"/>
      <c r="B445" s="13"/>
      <c r="C445" s="14"/>
      <c r="D445" s="14"/>
      <c r="E445" s="13"/>
      <c r="F445" s="15"/>
      <c r="G445" s="16" t="str">
        <f aca="false">IF(OR(B445="",A445=""),"",C445*IFERROR(INDEX(Kişiler!$B$5:$B$44,MATCH(B445,Kişiler!$A$5:$A$44,0)),0)+D445*IFERROR(INDEX(Kişiler!$C$5:$C$44,MATCH(B445,Kişiler!$A$5:$A$44,0)),0))</f>
        <v/>
      </c>
    </row>
    <row r="446" customFormat="false" ht="15" hidden="false" customHeight="false" outlineLevel="0" collapsed="false">
      <c r="A446" s="12"/>
      <c r="B446" s="13"/>
      <c r="C446" s="14"/>
      <c r="D446" s="14"/>
      <c r="E446" s="13"/>
      <c r="F446" s="15"/>
      <c r="G446" s="16" t="str">
        <f aca="false">IF(OR(B446="",A446=""),"",C446*IFERROR(INDEX(Kişiler!$B$5:$B$44,MATCH(B446,Kişiler!$A$5:$A$44,0)),0)+D446*IFERROR(INDEX(Kişiler!$C$5:$C$44,MATCH(B446,Kişiler!$A$5:$A$44,0)),0))</f>
        <v/>
      </c>
    </row>
    <row r="447" customFormat="false" ht="15" hidden="false" customHeight="false" outlineLevel="0" collapsed="false">
      <c r="A447" s="12"/>
      <c r="B447" s="13"/>
      <c r="C447" s="14"/>
      <c r="D447" s="14"/>
      <c r="E447" s="13"/>
      <c r="F447" s="15"/>
      <c r="G447" s="16" t="str">
        <f aca="false">IF(OR(B447="",A447=""),"",C447*IFERROR(INDEX(Kişiler!$B$5:$B$44,MATCH(B447,Kişiler!$A$5:$A$44,0)),0)+D447*IFERROR(INDEX(Kişiler!$C$5:$C$44,MATCH(B447,Kişiler!$A$5:$A$44,0)),0))</f>
        <v/>
      </c>
    </row>
    <row r="448" customFormat="false" ht="15" hidden="false" customHeight="false" outlineLevel="0" collapsed="false">
      <c r="A448" s="12"/>
      <c r="B448" s="13"/>
      <c r="C448" s="14"/>
      <c r="D448" s="14"/>
      <c r="E448" s="13"/>
      <c r="F448" s="15"/>
      <c r="G448" s="16" t="str">
        <f aca="false">IF(OR(B448="",A448=""),"",C448*IFERROR(INDEX(Kişiler!$B$5:$B$44,MATCH(B448,Kişiler!$A$5:$A$44,0)),0)+D448*IFERROR(INDEX(Kişiler!$C$5:$C$44,MATCH(B448,Kişiler!$A$5:$A$44,0)),0))</f>
        <v/>
      </c>
    </row>
    <row r="449" customFormat="false" ht="15" hidden="false" customHeight="false" outlineLevel="0" collapsed="false">
      <c r="A449" s="12"/>
      <c r="B449" s="13"/>
      <c r="C449" s="14"/>
      <c r="D449" s="14"/>
      <c r="E449" s="13"/>
      <c r="F449" s="15"/>
      <c r="G449" s="16" t="str">
        <f aca="false">IF(OR(B449="",A449=""),"",C449*IFERROR(INDEX(Kişiler!$B$5:$B$44,MATCH(B449,Kişiler!$A$5:$A$44,0)),0)+D449*IFERROR(INDEX(Kişiler!$C$5:$C$44,MATCH(B449,Kişiler!$A$5:$A$44,0)),0))</f>
        <v/>
      </c>
    </row>
    <row r="450" customFormat="false" ht="15" hidden="false" customHeight="false" outlineLevel="0" collapsed="false">
      <c r="A450" s="12"/>
      <c r="B450" s="13"/>
      <c r="C450" s="14"/>
      <c r="D450" s="14"/>
      <c r="E450" s="13"/>
      <c r="F450" s="15"/>
      <c r="G450" s="16" t="str">
        <f aca="false">IF(OR(B450="",A450=""),"",C450*IFERROR(INDEX(Kişiler!$B$5:$B$44,MATCH(B450,Kişiler!$A$5:$A$44,0)),0)+D450*IFERROR(INDEX(Kişiler!$C$5:$C$44,MATCH(B450,Kişiler!$A$5:$A$44,0)),0))</f>
        <v/>
      </c>
    </row>
    <row r="451" customFormat="false" ht="15" hidden="false" customHeight="false" outlineLevel="0" collapsed="false">
      <c r="A451" s="12"/>
      <c r="B451" s="13"/>
      <c r="C451" s="14"/>
      <c r="D451" s="14"/>
      <c r="E451" s="13"/>
      <c r="F451" s="15"/>
      <c r="G451" s="16" t="str">
        <f aca="false">IF(OR(B451="",A451=""),"",C451*IFERROR(INDEX(Kişiler!$B$5:$B$44,MATCH(B451,Kişiler!$A$5:$A$44,0)),0)+D451*IFERROR(INDEX(Kişiler!$C$5:$C$44,MATCH(B451,Kişiler!$A$5:$A$44,0)),0))</f>
        <v/>
      </c>
    </row>
    <row r="452" customFormat="false" ht="15" hidden="false" customHeight="false" outlineLevel="0" collapsed="false">
      <c r="A452" s="12"/>
      <c r="B452" s="13"/>
      <c r="C452" s="14"/>
      <c r="D452" s="14"/>
      <c r="E452" s="13"/>
      <c r="F452" s="15"/>
      <c r="G452" s="16" t="str">
        <f aca="false">IF(OR(B452="",A452=""),"",C452*IFERROR(INDEX(Kişiler!$B$5:$B$44,MATCH(B452,Kişiler!$A$5:$A$44,0)),0)+D452*IFERROR(INDEX(Kişiler!$C$5:$C$44,MATCH(B452,Kişiler!$A$5:$A$44,0)),0))</f>
        <v/>
      </c>
    </row>
    <row r="453" customFormat="false" ht="15" hidden="false" customHeight="false" outlineLevel="0" collapsed="false">
      <c r="A453" s="12"/>
      <c r="B453" s="13"/>
      <c r="C453" s="14"/>
      <c r="D453" s="14"/>
      <c r="E453" s="13"/>
      <c r="F453" s="15"/>
      <c r="G453" s="16" t="str">
        <f aca="false">IF(OR(B453="",A453=""),"",C453*IFERROR(INDEX(Kişiler!$B$5:$B$44,MATCH(B453,Kişiler!$A$5:$A$44,0)),0)+D453*IFERROR(INDEX(Kişiler!$C$5:$C$44,MATCH(B453,Kişiler!$A$5:$A$44,0)),0))</f>
        <v/>
      </c>
    </row>
    <row r="454" customFormat="false" ht="15" hidden="false" customHeight="false" outlineLevel="0" collapsed="false">
      <c r="A454" s="12"/>
      <c r="B454" s="13"/>
      <c r="C454" s="14"/>
      <c r="D454" s="14"/>
      <c r="E454" s="13"/>
      <c r="F454" s="15"/>
      <c r="G454" s="16" t="str">
        <f aca="false">IF(OR(B454="",A454=""),"",C454*IFERROR(INDEX(Kişiler!$B$5:$B$44,MATCH(B454,Kişiler!$A$5:$A$44,0)),0)+D454*IFERROR(INDEX(Kişiler!$C$5:$C$44,MATCH(B454,Kişiler!$A$5:$A$44,0)),0))</f>
        <v/>
      </c>
    </row>
    <row r="455" customFormat="false" ht="15" hidden="false" customHeight="false" outlineLevel="0" collapsed="false">
      <c r="A455" s="12"/>
      <c r="B455" s="13"/>
      <c r="C455" s="14"/>
      <c r="D455" s="14"/>
      <c r="E455" s="13"/>
      <c r="F455" s="15"/>
      <c r="G455" s="16" t="str">
        <f aca="false">IF(OR(B455="",A455=""),"",C455*IFERROR(INDEX(Kişiler!$B$5:$B$44,MATCH(B455,Kişiler!$A$5:$A$44,0)),0)+D455*IFERROR(INDEX(Kişiler!$C$5:$C$44,MATCH(B455,Kişiler!$A$5:$A$44,0)),0))</f>
        <v/>
      </c>
    </row>
    <row r="456" customFormat="false" ht="15" hidden="false" customHeight="false" outlineLevel="0" collapsed="false">
      <c r="A456" s="12"/>
      <c r="B456" s="13"/>
      <c r="C456" s="14"/>
      <c r="D456" s="14"/>
      <c r="E456" s="13"/>
      <c r="F456" s="15"/>
      <c r="G456" s="16" t="str">
        <f aca="false">IF(OR(B456="",A456=""),"",C456*IFERROR(INDEX(Kişiler!$B$5:$B$44,MATCH(B456,Kişiler!$A$5:$A$44,0)),0)+D456*IFERROR(INDEX(Kişiler!$C$5:$C$44,MATCH(B456,Kişiler!$A$5:$A$44,0)),0))</f>
        <v/>
      </c>
    </row>
    <row r="457" customFormat="false" ht="15" hidden="false" customHeight="false" outlineLevel="0" collapsed="false">
      <c r="A457" s="12"/>
      <c r="B457" s="13"/>
      <c r="C457" s="14"/>
      <c r="D457" s="14"/>
      <c r="E457" s="13"/>
      <c r="F457" s="15"/>
      <c r="G457" s="16" t="str">
        <f aca="false">IF(OR(B457="",A457=""),"",C457*IFERROR(INDEX(Kişiler!$B$5:$B$44,MATCH(B457,Kişiler!$A$5:$A$44,0)),0)+D457*IFERROR(INDEX(Kişiler!$C$5:$C$44,MATCH(B457,Kişiler!$A$5:$A$44,0)),0))</f>
        <v/>
      </c>
    </row>
    <row r="458" customFormat="false" ht="15" hidden="false" customHeight="false" outlineLevel="0" collapsed="false">
      <c r="A458" s="12"/>
      <c r="B458" s="13"/>
      <c r="C458" s="14"/>
      <c r="D458" s="14"/>
      <c r="E458" s="13"/>
      <c r="F458" s="15"/>
      <c r="G458" s="16" t="str">
        <f aca="false">IF(OR(B458="",A458=""),"",C458*IFERROR(INDEX(Kişiler!$B$5:$B$44,MATCH(B458,Kişiler!$A$5:$A$44,0)),0)+D458*IFERROR(INDEX(Kişiler!$C$5:$C$44,MATCH(B458,Kişiler!$A$5:$A$44,0)),0))</f>
        <v/>
      </c>
    </row>
    <row r="459" customFormat="false" ht="15" hidden="false" customHeight="false" outlineLevel="0" collapsed="false">
      <c r="A459" s="12"/>
      <c r="B459" s="13"/>
      <c r="C459" s="14"/>
      <c r="D459" s="14"/>
      <c r="E459" s="13"/>
      <c r="F459" s="15"/>
      <c r="G459" s="16" t="str">
        <f aca="false">IF(OR(B459="",A459=""),"",C459*IFERROR(INDEX(Kişiler!$B$5:$B$44,MATCH(B459,Kişiler!$A$5:$A$44,0)),0)+D459*IFERROR(INDEX(Kişiler!$C$5:$C$44,MATCH(B459,Kişiler!$A$5:$A$44,0)),0))</f>
        <v/>
      </c>
    </row>
    <row r="460" customFormat="false" ht="15" hidden="false" customHeight="false" outlineLevel="0" collapsed="false">
      <c r="A460" s="12"/>
      <c r="B460" s="13"/>
      <c r="C460" s="14"/>
      <c r="D460" s="14"/>
      <c r="E460" s="13"/>
      <c r="F460" s="15"/>
      <c r="G460" s="16" t="str">
        <f aca="false">IF(OR(B460="",A460=""),"",C460*IFERROR(INDEX(Kişiler!$B$5:$B$44,MATCH(B460,Kişiler!$A$5:$A$44,0)),0)+D460*IFERROR(INDEX(Kişiler!$C$5:$C$44,MATCH(B460,Kişiler!$A$5:$A$44,0)),0))</f>
        <v/>
      </c>
    </row>
    <row r="461" customFormat="false" ht="15" hidden="false" customHeight="false" outlineLevel="0" collapsed="false">
      <c r="A461" s="12"/>
      <c r="B461" s="13"/>
      <c r="C461" s="14"/>
      <c r="D461" s="14"/>
      <c r="E461" s="13"/>
      <c r="F461" s="15"/>
      <c r="G461" s="16" t="str">
        <f aca="false">IF(OR(B461="",A461=""),"",C461*IFERROR(INDEX(Kişiler!$B$5:$B$44,MATCH(B461,Kişiler!$A$5:$A$44,0)),0)+D461*IFERROR(INDEX(Kişiler!$C$5:$C$44,MATCH(B461,Kişiler!$A$5:$A$44,0)),0))</f>
        <v/>
      </c>
    </row>
    <row r="462" customFormat="false" ht="15" hidden="false" customHeight="false" outlineLevel="0" collapsed="false">
      <c r="A462" s="12"/>
      <c r="B462" s="13"/>
      <c r="C462" s="14"/>
      <c r="D462" s="14"/>
      <c r="E462" s="13"/>
      <c r="F462" s="15"/>
      <c r="G462" s="16" t="str">
        <f aca="false">IF(OR(B462="",A462=""),"",C462*IFERROR(INDEX(Kişiler!$B$5:$B$44,MATCH(B462,Kişiler!$A$5:$A$44,0)),0)+D462*IFERROR(INDEX(Kişiler!$C$5:$C$44,MATCH(B462,Kişiler!$A$5:$A$44,0)),0))</f>
        <v/>
      </c>
    </row>
    <row r="463" customFormat="false" ht="15" hidden="false" customHeight="false" outlineLevel="0" collapsed="false">
      <c r="A463" s="12"/>
      <c r="B463" s="13"/>
      <c r="C463" s="14"/>
      <c r="D463" s="14"/>
      <c r="E463" s="13"/>
      <c r="F463" s="15"/>
      <c r="G463" s="16" t="str">
        <f aca="false">IF(OR(B463="",A463=""),"",C463*IFERROR(INDEX(Kişiler!$B$5:$B$44,MATCH(B463,Kişiler!$A$5:$A$44,0)),0)+D463*IFERROR(INDEX(Kişiler!$C$5:$C$44,MATCH(B463,Kişiler!$A$5:$A$44,0)),0))</f>
        <v/>
      </c>
    </row>
    <row r="464" customFormat="false" ht="15" hidden="false" customHeight="false" outlineLevel="0" collapsed="false">
      <c r="A464" s="12"/>
      <c r="B464" s="13"/>
      <c r="C464" s="14"/>
      <c r="D464" s="14"/>
      <c r="E464" s="13"/>
      <c r="F464" s="15"/>
      <c r="G464" s="16" t="str">
        <f aca="false">IF(OR(B464="",A464=""),"",C464*IFERROR(INDEX(Kişiler!$B$5:$B$44,MATCH(B464,Kişiler!$A$5:$A$44,0)),0)+D464*IFERROR(INDEX(Kişiler!$C$5:$C$44,MATCH(B464,Kişiler!$A$5:$A$44,0)),0))</f>
        <v/>
      </c>
    </row>
    <row r="465" customFormat="false" ht="15" hidden="false" customHeight="false" outlineLevel="0" collapsed="false">
      <c r="A465" s="12"/>
      <c r="B465" s="13"/>
      <c r="C465" s="14"/>
      <c r="D465" s="14"/>
      <c r="E465" s="13"/>
      <c r="F465" s="15"/>
      <c r="G465" s="16" t="str">
        <f aca="false">IF(OR(B465="",A465=""),"",C465*IFERROR(INDEX(Kişiler!$B$5:$B$44,MATCH(B465,Kişiler!$A$5:$A$44,0)),0)+D465*IFERROR(INDEX(Kişiler!$C$5:$C$44,MATCH(B465,Kişiler!$A$5:$A$44,0)),0))</f>
        <v/>
      </c>
    </row>
    <row r="466" customFormat="false" ht="15" hidden="false" customHeight="false" outlineLevel="0" collapsed="false">
      <c r="A466" s="12"/>
      <c r="B466" s="13"/>
      <c r="C466" s="14"/>
      <c r="D466" s="14"/>
      <c r="E466" s="13"/>
      <c r="F466" s="15"/>
      <c r="G466" s="16" t="str">
        <f aca="false">IF(OR(B466="",A466=""),"",C466*IFERROR(INDEX(Kişiler!$B$5:$B$44,MATCH(B466,Kişiler!$A$5:$A$44,0)),0)+D466*IFERROR(INDEX(Kişiler!$C$5:$C$44,MATCH(B466,Kişiler!$A$5:$A$44,0)),0))</f>
        <v/>
      </c>
    </row>
    <row r="467" customFormat="false" ht="15" hidden="false" customHeight="false" outlineLevel="0" collapsed="false">
      <c r="A467" s="12"/>
      <c r="B467" s="13"/>
      <c r="C467" s="14"/>
      <c r="D467" s="14"/>
      <c r="E467" s="13"/>
      <c r="F467" s="15"/>
      <c r="G467" s="16" t="str">
        <f aca="false">IF(OR(B467="",A467=""),"",C467*IFERROR(INDEX(Kişiler!$B$5:$B$44,MATCH(B467,Kişiler!$A$5:$A$44,0)),0)+D467*IFERROR(INDEX(Kişiler!$C$5:$C$44,MATCH(B467,Kişiler!$A$5:$A$44,0)),0))</f>
        <v/>
      </c>
    </row>
    <row r="468" customFormat="false" ht="15" hidden="false" customHeight="false" outlineLevel="0" collapsed="false">
      <c r="A468" s="12"/>
      <c r="B468" s="13"/>
      <c r="C468" s="14"/>
      <c r="D468" s="14"/>
      <c r="E468" s="13"/>
      <c r="F468" s="15"/>
      <c r="G468" s="16" t="str">
        <f aca="false">IF(OR(B468="",A468=""),"",C468*IFERROR(INDEX(Kişiler!$B$5:$B$44,MATCH(B468,Kişiler!$A$5:$A$44,0)),0)+D468*IFERROR(INDEX(Kişiler!$C$5:$C$44,MATCH(B468,Kişiler!$A$5:$A$44,0)),0))</f>
        <v/>
      </c>
    </row>
    <row r="469" customFormat="false" ht="15" hidden="false" customHeight="false" outlineLevel="0" collapsed="false">
      <c r="A469" s="12"/>
      <c r="B469" s="13"/>
      <c r="C469" s="14"/>
      <c r="D469" s="14"/>
      <c r="E469" s="13"/>
      <c r="F469" s="15"/>
      <c r="G469" s="16" t="str">
        <f aca="false">IF(OR(B469="",A469=""),"",C469*IFERROR(INDEX(Kişiler!$B$5:$B$44,MATCH(B469,Kişiler!$A$5:$A$44,0)),0)+D469*IFERROR(INDEX(Kişiler!$C$5:$C$44,MATCH(B469,Kişiler!$A$5:$A$44,0)),0))</f>
        <v/>
      </c>
    </row>
    <row r="470" customFormat="false" ht="15" hidden="false" customHeight="false" outlineLevel="0" collapsed="false">
      <c r="A470" s="12"/>
      <c r="B470" s="13"/>
      <c r="C470" s="14"/>
      <c r="D470" s="14"/>
      <c r="E470" s="13"/>
      <c r="F470" s="15"/>
      <c r="G470" s="16" t="str">
        <f aca="false">IF(OR(B470="",A470=""),"",C470*IFERROR(INDEX(Kişiler!$B$5:$B$44,MATCH(B470,Kişiler!$A$5:$A$44,0)),0)+D470*IFERROR(INDEX(Kişiler!$C$5:$C$44,MATCH(B470,Kişiler!$A$5:$A$44,0)),0))</f>
        <v/>
      </c>
    </row>
    <row r="471" customFormat="false" ht="15" hidden="false" customHeight="false" outlineLevel="0" collapsed="false">
      <c r="A471" s="12"/>
      <c r="B471" s="13"/>
      <c r="C471" s="14"/>
      <c r="D471" s="14"/>
      <c r="E471" s="13"/>
      <c r="F471" s="15"/>
      <c r="G471" s="16" t="str">
        <f aca="false">IF(OR(B471="",A471=""),"",C471*IFERROR(INDEX(Kişiler!$B$5:$B$44,MATCH(B471,Kişiler!$A$5:$A$44,0)),0)+D471*IFERROR(INDEX(Kişiler!$C$5:$C$44,MATCH(B471,Kişiler!$A$5:$A$44,0)),0))</f>
        <v/>
      </c>
    </row>
    <row r="472" customFormat="false" ht="15" hidden="false" customHeight="false" outlineLevel="0" collapsed="false">
      <c r="A472" s="12"/>
      <c r="B472" s="13"/>
      <c r="C472" s="14"/>
      <c r="D472" s="14"/>
      <c r="E472" s="13"/>
      <c r="F472" s="15"/>
      <c r="G472" s="16" t="str">
        <f aca="false">IF(OR(B472="",A472=""),"",C472*IFERROR(INDEX(Kişiler!$B$5:$B$44,MATCH(B472,Kişiler!$A$5:$A$44,0)),0)+D472*IFERROR(INDEX(Kişiler!$C$5:$C$44,MATCH(B472,Kişiler!$A$5:$A$44,0)),0))</f>
        <v/>
      </c>
    </row>
    <row r="473" customFormat="false" ht="15" hidden="false" customHeight="false" outlineLevel="0" collapsed="false">
      <c r="A473" s="12"/>
      <c r="B473" s="13"/>
      <c r="C473" s="14"/>
      <c r="D473" s="14"/>
      <c r="E473" s="13"/>
      <c r="F473" s="15"/>
      <c r="G473" s="16" t="str">
        <f aca="false">IF(OR(B473="",A473=""),"",C473*IFERROR(INDEX(Kişiler!$B$5:$B$44,MATCH(B473,Kişiler!$A$5:$A$44,0)),0)+D473*IFERROR(INDEX(Kişiler!$C$5:$C$44,MATCH(B473,Kişiler!$A$5:$A$44,0)),0))</f>
        <v/>
      </c>
    </row>
    <row r="474" customFormat="false" ht="15" hidden="false" customHeight="false" outlineLevel="0" collapsed="false">
      <c r="A474" s="12"/>
      <c r="B474" s="13"/>
      <c r="C474" s="14"/>
      <c r="D474" s="14"/>
      <c r="E474" s="13"/>
      <c r="F474" s="15"/>
      <c r="G474" s="16" t="str">
        <f aca="false">IF(OR(B474="",A474=""),"",C474*IFERROR(INDEX(Kişiler!$B$5:$B$44,MATCH(B474,Kişiler!$A$5:$A$44,0)),0)+D474*IFERROR(INDEX(Kişiler!$C$5:$C$44,MATCH(B474,Kişiler!$A$5:$A$44,0)),0))</f>
        <v/>
      </c>
    </row>
    <row r="475" customFormat="false" ht="15" hidden="false" customHeight="false" outlineLevel="0" collapsed="false">
      <c r="A475" s="12"/>
      <c r="B475" s="13"/>
      <c r="C475" s="14"/>
      <c r="D475" s="14"/>
      <c r="E475" s="13"/>
      <c r="F475" s="15"/>
      <c r="G475" s="16" t="str">
        <f aca="false">IF(OR(B475="",A475=""),"",C475*IFERROR(INDEX(Kişiler!$B$5:$B$44,MATCH(B475,Kişiler!$A$5:$A$44,0)),0)+D475*IFERROR(INDEX(Kişiler!$C$5:$C$44,MATCH(B475,Kişiler!$A$5:$A$44,0)),0))</f>
        <v/>
      </c>
    </row>
    <row r="476" customFormat="false" ht="15" hidden="false" customHeight="false" outlineLevel="0" collapsed="false">
      <c r="A476" s="12"/>
      <c r="B476" s="13"/>
      <c r="C476" s="14"/>
      <c r="D476" s="14"/>
      <c r="E476" s="13"/>
      <c r="F476" s="15"/>
      <c r="G476" s="16" t="str">
        <f aca="false">IF(OR(B476="",A476=""),"",C476*IFERROR(INDEX(Kişiler!$B$5:$B$44,MATCH(B476,Kişiler!$A$5:$A$44,0)),0)+D476*IFERROR(INDEX(Kişiler!$C$5:$C$44,MATCH(B476,Kişiler!$A$5:$A$44,0)),0))</f>
        <v/>
      </c>
    </row>
    <row r="477" customFormat="false" ht="15" hidden="false" customHeight="false" outlineLevel="0" collapsed="false">
      <c r="A477" s="12"/>
      <c r="B477" s="13"/>
      <c r="C477" s="14"/>
      <c r="D477" s="14"/>
      <c r="E477" s="13"/>
      <c r="F477" s="15"/>
      <c r="G477" s="16" t="str">
        <f aca="false">IF(OR(B477="",A477=""),"",C477*IFERROR(INDEX(Kişiler!$B$5:$B$44,MATCH(B477,Kişiler!$A$5:$A$44,0)),0)+D477*IFERROR(INDEX(Kişiler!$C$5:$C$44,MATCH(B477,Kişiler!$A$5:$A$44,0)),0))</f>
        <v/>
      </c>
    </row>
    <row r="478" customFormat="false" ht="15" hidden="false" customHeight="false" outlineLevel="0" collapsed="false">
      <c r="A478" s="12"/>
      <c r="B478" s="13"/>
      <c r="C478" s="14"/>
      <c r="D478" s="14"/>
      <c r="E478" s="13"/>
      <c r="F478" s="15"/>
      <c r="G478" s="16" t="str">
        <f aca="false">IF(OR(B478="",A478=""),"",C478*IFERROR(INDEX(Kişiler!$B$5:$B$44,MATCH(B478,Kişiler!$A$5:$A$44,0)),0)+D478*IFERROR(INDEX(Kişiler!$C$5:$C$44,MATCH(B478,Kişiler!$A$5:$A$44,0)),0))</f>
        <v/>
      </c>
    </row>
    <row r="479" customFormat="false" ht="15" hidden="false" customHeight="false" outlineLevel="0" collapsed="false">
      <c r="A479" s="12"/>
      <c r="B479" s="13"/>
      <c r="C479" s="14"/>
      <c r="D479" s="14"/>
      <c r="E479" s="13"/>
      <c r="F479" s="15"/>
      <c r="G479" s="16" t="str">
        <f aca="false">IF(OR(B479="",A479=""),"",C479*IFERROR(INDEX(Kişiler!$B$5:$B$44,MATCH(B479,Kişiler!$A$5:$A$44,0)),0)+D479*IFERROR(INDEX(Kişiler!$C$5:$C$44,MATCH(B479,Kişiler!$A$5:$A$44,0)),0))</f>
        <v/>
      </c>
    </row>
    <row r="480" customFormat="false" ht="15" hidden="false" customHeight="false" outlineLevel="0" collapsed="false">
      <c r="A480" s="12"/>
      <c r="B480" s="13"/>
      <c r="C480" s="14"/>
      <c r="D480" s="14"/>
      <c r="E480" s="13"/>
      <c r="F480" s="15"/>
      <c r="G480" s="16" t="str">
        <f aca="false">IF(OR(B480="",A480=""),"",C480*IFERROR(INDEX(Kişiler!$B$5:$B$44,MATCH(B480,Kişiler!$A$5:$A$44,0)),0)+D480*IFERROR(INDEX(Kişiler!$C$5:$C$44,MATCH(B480,Kişiler!$A$5:$A$44,0)),0))</f>
        <v/>
      </c>
    </row>
    <row r="481" customFormat="false" ht="15" hidden="false" customHeight="false" outlineLevel="0" collapsed="false">
      <c r="A481" s="12"/>
      <c r="B481" s="13"/>
      <c r="C481" s="14"/>
      <c r="D481" s="14"/>
      <c r="E481" s="13"/>
      <c r="F481" s="15"/>
      <c r="G481" s="16" t="str">
        <f aca="false">IF(OR(B481="",A481=""),"",C481*IFERROR(INDEX(Kişiler!$B$5:$B$44,MATCH(B481,Kişiler!$A$5:$A$44,0)),0)+D481*IFERROR(INDEX(Kişiler!$C$5:$C$44,MATCH(B481,Kişiler!$A$5:$A$44,0)),0))</f>
        <v/>
      </c>
    </row>
    <row r="482" customFormat="false" ht="15" hidden="false" customHeight="false" outlineLevel="0" collapsed="false">
      <c r="A482" s="12"/>
      <c r="B482" s="13"/>
      <c r="C482" s="14"/>
      <c r="D482" s="14"/>
      <c r="E482" s="13"/>
      <c r="F482" s="15"/>
      <c r="G482" s="16" t="str">
        <f aca="false">IF(OR(B482="",A482=""),"",C482*IFERROR(INDEX(Kişiler!$B$5:$B$44,MATCH(B482,Kişiler!$A$5:$A$44,0)),0)+D482*IFERROR(INDEX(Kişiler!$C$5:$C$44,MATCH(B482,Kişiler!$A$5:$A$44,0)),0))</f>
        <v/>
      </c>
    </row>
    <row r="483" customFormat="false" ht="15" hidden="false" customHeight="false" outlineLevel="0" collapsed="false">
      <c r="A483" s="12"/>
      <c r="B483" s="13"/>
      <c r="C483" s="14"/>
      <c r="D483" s="14"/>
      <c r="E483" s="13"/>
      <c r="F483" s="15"/>
      <c r="G483" s="16" t="str">
        <f aca="false">IF(OR(B483="",A483=""),"",C483*IFERROR(INDEX(Kişiler!$B$5:$B$44,MATCH(B483,Kişiler!$A$5:$A$44,0)),0)+D483*IFERROR(INDEX(Kişiler!$C$5:$C$44,MATCH(B483,Kişiler!$A$5:$A$44,0)),0))</f>
        <v/>
      </c>
    </row>
    <row r="484" customFormat="false" ht="15" hidden="false" customHeight="false" outlineLevel="0" collapsed="false">
      <c r="A484" s="12"/>
      <c r="B484" s="13"/>
      <c r="C484" s="14"/>
      <c r="D484" s="14"/>
      <c r="E484" s="13"/>
      <c r="F484" s="15"/>
      <c r="G484" s="16" t="str">
        <f aca="false">IF(OR(B484="",A484=""),"",C484*IFERROR(INDEX(Kişiler!$B$5:$B$44,MATCH(B484,Kişiler!$A$5:$A$44,0)),0)+D484*IFERROR(INDEX(Kişiler!$C$5:$C$44,MATCH(B484,Kişiler!$A$5:$A$44,0)),0))</f>
        <v/>
      </c>
    </row>
    <row r="485" customFormat="false" ht="15" hidden="false" customHeight="false" outlineLevel="0" collapsed="false">
      <c r="A485" s="12"/>
      <c r="B485" s="13"/>
      <c r="C485" s="14"/>
      <c r="D485" s="14"/>
      <c r="E485" s="13"/>
      <c r="F485" s="15"/>
      <c r="G485" s="16" t="str">
        <f aca="false">IF(OR(B485="",A485=""),"",C485*IFERROR(INDEX(Kişiler!$B$5:$B$44,MATCH(B485,Kişiler!$A$5:$A$44,0)),0)+D485*IFERROR(INDEX(Kişiler!$C$5:$C$44,MATCH(B485,Kişiler!$A$5:$A$44,0)),0))</f>
        <v/>
      </c>
    </row>
    <row r="486" customFormat="false" ht="15" hidden="false" customHeight="false" outlineLevel="0" collapsed="false">
      <c r="A486" s="12"/>
      <c r="B486" s="13"/>
      <c r="C486" s="14"/>
      <c r="D486" s="14"/>
      <c r="E486" s="13"/>
      <c r="F486" s="15"/>
      <c r="G486" s="16" t="str">
        <f aca="false">IF(OR(B486="",A486=""),"",C486*IFERROR(INDEX(Kişiler!$B$5:$B$44,MATCH(B486,Kişiler!$A$5:$A$44,0)),0)+D486*IFERROR(INDEX(Kişiler!$C$5:$C$44,MATCH(B486,Kişiler!$A$5:$A$44,0)),0))</f>
        <v/>
      </c>
    </row>
    <row r="487" customFormat="false" ht="15" hidden="false" customHeight="false" outlineLevel="0" collapsed="false">
      <c r="A487" s="12"/>
      <c r="B487" s="13"/>
      <c r="C487" s="14"/>
      <c r="D487" s="14"/>
      <c r="E487" s="13"/>
      <c r="F487" s="15"/>
      <c r="G487" s="16" t="str">
        <f aca="false">IF(OR(B487="",A487=""),"",C487*IFERROR(INDEX(Kişiler!$B$5:$B$44,MATCH(B487,Kişiler!$A$5:$A$44,0)),0)+D487*IFERROR(INDEX(Kişiler!$C$5:$C$44,MATCH(B487,Kişiler!$A$5:$A$44,0)),0))</f>
        <v/>
      </c>
    </row>
    <row r="488" customFormat="false" ht="15" hidden="false" customHeight="false" outlineLevel="0" collapsed="false">
      <c r="A488" s="12"/>
      <c r="B488" s="13"/>
      <c r="C488" s="14"/>
      <c r="D488" s="14"/>
      <c r="E488" s="13"/>
      <c r="F488" s="15"/>
      <c r="G488" s="16" t="str">
        <f aca="false">IF(OR(B488="",A488=""),"",C488*IFERROR(INDEX(Kişiler!$B$5:$B$44,MATCH(B488,Kişiler!$A$5:$A$44,0)),0)+D488*IFERROR(INDEX(Kişiler!$C$5:$C$44,MATCH(B488,Kişiler!$A$5:$A$44,0)),0))</f>
        <v/>
      </c>
    </row>
    <row r="489" customFormat="false" ht="15" hidden="false" customHeight="false" outlineLevel="0" collapsed="false">
      <c r="A489" s="12"/>
      <c r="B489" s="13"/>
      <c r="C489" s="14"/>
      <c r="D489" s="14"/>
      <c r="E489" s="13"/>
      <c r="F489" s="15"/>
      <c r="G489" s="16" t="str">
        <f aca="false">IF(OR(B489="",A489=""),"",C489*IFERROR(INDEX(Kişiler!$B$5:$B$44,MATCH(B489,Kişiler!$A$5:$A$44,0)),0)+D489*IFERROR(INDEX(Kişiler!$C$5:$C$44,MATCH(B489,Kişiler!$A$5:$A$44,0)),0))</f>
        <v/>
      </c>
    </row>
    <row r="490" customFormat="false" ht="15" hidden="false" customHeight="false" outlineLevel="0" collapsed="false">
      <c r="A490" s="12"/>
      <c r="B490" s="13"/>
      <c r="C490" s="14"/>
      <c r="D490" s="14"/>
      <c r="E490" s="13"/>
      <c r="F490" s="15"/>
      <c r="G490" s="16" t="str">
        <f aca="false">IF(OR(B490="",A490=""),"",C490*IFERROR(INDEX(Kişiler!$B$5:$B$44,MATCH(B490,Kişiler!$A$5:$A$44,0)),0)+D490*IFERROR(INDEX(Kişiler!$C$5:$C$44,MATCH(B490,Kişiler!$A$5:$A$44,0)),0))</f>
        <v/>
      </c>
    </row>
    <row r="491" customFormat="false" ht="15" hidden="false" customHeight="false" outlineLevel="0" collapsed="false">
      <c r="A491" s="12"/>
      <c r="B491" s="13"/>
      <c r="C491" s="14"/>
      <c r="D491" s="14"/>
      <c r="E491" s="13"/>
      <c r="F491" s="15"/>
      <c r="G491" s="16" t="str">
        <f aca="false">IF(OR(B491="",A491=""),"",C491*IFERROR(INDEX(Kişiler!$B$5:$B$44,MATCH(B491,Kişiler!$A$5:$A$44,0)),0)+D491*IFERROR(INDEX(Kişiler!$C$5:$C$44,MATCH(B491,Kişiler!$A$5:$A$44,0)),0))</f>
        <v/>
      </c>
    </row>
    <row r="492" customFormat="false" ht="15" hidden="false" customHeight="false" outlineLevel="0" collapsed="false">
      <c r="A492" s="12"/>
      <c r="B492" s="13"/>
      <c r="C492" s="14"/>
      <c r="D492" s="14"/>
      <c r="E492" s="13"/>
      <c r="F492" s="15"/>
      <c r="G492" s="16" t="str">
        <f aca="false">IF(OR(B492="",A492=""),"",C492*IFERROR(INDEX(Kişiler!$B$5:$B$44,MATCH(B492,Kişiler!$A$5:$A$44,0)),0)+D492*IFERROR(INDEX(Kişiler!$C$5:$C$44,MATCH(B492,Kişiler!$A$5:$A$44,0)),0))</f>
        <v/>
      </c>
    </row>
    <row r="493" customFormat="false" ht="15" hidden="false" customHeight="false" outlineLevel="0" collapsed="false">
      <c r="A493" s="12"/>
      <c r="B493" s="13"/>
      <c r="C493" s="14"/>
      <c r="D493" s="14"/>
      <c r="E493" s="13"/>
      <c r="F493" s="15"/>
      <c r="G493" s="16" t="str">
        <f aca="false">IF(OR(B493="",A493=""),"",C493*IFERROR(INDEX(Kişiler!$B$5:$B$44,MATCH(B493,Kişiler!$A$5:$A$44,0)),0)+D493*IFERROR(INDEX(Kişiler!$C$5:$C$44,MATCH(B493,Kişiler!$A$5:$A$44,0)),0))</f>
        <v/>
      </c>
    </row>
    <row r="494" customFormat="false" ht="15" hidden="false" customHeight="false" outlineLevel="0" collapsed="false">
      <c r="A494" s="12"/>
      <c r="B494" s="13"/>
      <c r="C494" s="14"/>
      <c r="D494" s="14"/>
      <c r="E494" s="13"/>
      <c r="F494" s="15"/>
      <c r="G494" s="16" t="str">
        <f aca="false">IF(OR(B494="",A494=""),"",C494*IFERROR(INDEX(Kişiler!$B$5:$B$44,MATCH(B494,Kişiler!$A$5:$A$44,0)),0)+D494*IFERROR(INDEX(Kişiler!$C$5:$C$44,MATCH(B494,Kişiler!$A$5:$A$44,0)),0))</f>
        <v/>
      </c>
    </row>
    <row r="495" customFormat="false" ht="15" hidden="false" customHeight="false" outlineLevel="0" collapsed="false">
      <c r="A495" s="12"/>
      <c r="B495" s="13"/>
      <c r="C495" s="14"/>
      <c r="D495" s="14"/>
      <c r="E495" s="13"/>
      <c r="F495" s="15"/>
      <c r="G495" s="16" t="str">
        <f aca="false">IF(OR(B495="",A495=""),"",C495*IFERROR(INDEX(Kişiler!$B$5:$B$44,MATCH(B495,Kişiler!$A$5:$A$44,0)),0)+D495*IFERROR(INDEX(Kişiler!$C$5:$C$44,MATCH(B495,Kişiler!$A$5:$A$44,0)),0))</f>
        <v/>
      </c>
    </row>
    <row r="496" customFormat="false" ht="15" hidden="false" customHeight="false" outlineLevel="0" collapsed="false">
      <c r="A496" s="12"/>
      <c r="B496" s="13"/>
      <c r="C496" s="14"/>
      <c r="D496" s="14"/>
      <c r="E496" s="13"/>
      <c r="F496" s="15"/>
      <c r="G496" s="16" t="str">
        <f aca="false">IF(OR(B496="",A496=""),"",C496*IFERROR(INDEX(Kişiler!$B$5:$B$44,MATCH(B496,Kişiler!$A$5:$A$44,0)),0)+D496*IFERROR(INDEX(Kişiler!$C$5:$C$44,MATCH(B496,Kişiler!$A$5:$A$44,0)),0))</f>
        <v/>
      </c>
    </row>
    <row r="497" customFormat="false" ht="15" hidden="false" customHeight="false" outlineLevel="0" collapsed="false">
      <c r="A497" s="12"/>
      <c r="B497" s="13"/>
      <c r="C497" s="14"/>
      <c r="D497" s="14"/>
      <c r="E497" s="13"/>
      <c r="F497" s="15"/>
      <c r="G497" s="16" t="str">
        <f aca="false">IF(OR(B497="",A497=""),"",C497*IFERROR(INDEX(Kişiler!$B$5:$B$44,MATCH(B497,Kişiler!$A$5:$A$44,0)),0)+D497*IFERROR(INDEX(Kişiler!$C$5:$C$44,MATCH(B497,Kişiler!$A$5:$A$44,0)),0))</f>
        <v/>
      </c>
    </row>
    <row r="498" customFormat="false" ht="15" hidden="false" customHeight="false" outlineLevel="0" collapsed="false">
      <c r="A498" s="12"/>
      <c r="B498" s="13"/>
      <c r="C498" s="14"/>
      <c r="D498" s="14"/>
      <c r="E498" s="13"/>
      <c r="F498" s="15"/>
      <c r="G498" s="16" t="str">
        <f aca="false">IF(OR(B498="",A498=""),"",C498*IFERROR(INDEX(Kişiler!$B$5:$B$44,MATCH(B498,Kişiler!$A$5:$A$44,0)),0)+D498*IFERROR(INDEX(Kişiler!$C$5:$C$44,MATCH(B498,Kişiler!$A$5:$A$44,0)),0))</f>
        <v/>
      </c>
    </row>
    <row r="499" customFormat="false" ht="15" hidden="false" customHeight="false" outlineLevel="0" collapsed="false">
      <c r="A499" s="12"/>
      <c r="B499" s="13"/>
      <c r="C499" s="14"/>
      <c r="D499" s="14"/>
      <c r="E499" s="13"/>
      <c r="F499" s="15"/>
      <c r="G499" s="16" t="str">
        <f aca="false">IF(OR(B499="",A499=""),"",C499*IFERROR(INDEX(Kişiler!$B$5:$B$44,MATCH(B499,Kişiler!$A$5:$A$44,0)),0)+D499*IFERROR(INDEX(Kişiler!$C$5:$C$44,MATCH(B499,Kişiler!$A$5:$A$44,0)),0))</f>
        <v/>
      </c>
    </row>
    <row r="500" customFormat="false" ht="15" hidden="false" customHeight="false" outlineLevel="0" collapsed="false">
      <c r="A500" s="12"/>
      <c r="B500" s="13"/>
      <c r="C500" s="14"/>
      <c r="D500" s="14"/>
      <c r="E500" s="13"/>
      <c r="F500" s="15"/>
      <c r="G500" s="16" t="str">
        <f aca="false">IF(OR(B500="",A500=""),"",C500*IFERROR(INDEX(Kişiler!$B$5:$B$44,MATCH(B500,Kişiler!$A$5:$A$44,0)),0)+D500*IFERROR(INDEX(Kişiler!$C$5:$C$44,MATCH(B500,Kişiler!$A$5:$A$44,0)),0))</f>
        <v/>
      </c>
    </row>
    <row r="501" customFormat="false" ht="15" hidden="false" customHeight="false" outlineLevel="0" collapsed="false">
      <c r="A501" s="12"/>
      <c r="B501" s="13"/>
      <c r="C501" s="14"/>
      <c r="D501" s="14"/>
      <c r="E501" s="13"/>
      <c r="F501" s="15"/>
      <c r="G501" s="16" t="str">
        <f aca="false">IF(OR(B501="",A501=""),"",C501*IFERROR(INDEX(Kişiler!$B$5:$B$44,MATCH(B501,Kişiler!$A$5:$A$44,0)),0)+D501*IFERROR(INDEX(Kişiler!$C$5:$C$44,MATCH(B501,Kişiler!$A$5:$A$44,0)),0))</f>
        <v/>
      </c>
    </row>
    <row r="502" customFormat="false" ht="15" hidden="false" customHeight="false" outlineLevel="0" collapsed="false">
      <c r="A502" s="12"/>
      <c r="B502" s="13"/>
      <c r="C502" s="14"/>
      <c r="D502" s="14"/>
      <c r="E502" s="13"/>
      <c r="F502" s="15"/>
      <c r="G502" s="16" t="str">
        <f aca="false">IF(OR(B502="",A502=""),"",C502*IFERROR(INDEX(Kişiler!$B$5:$B$44,MATCH(B502,Kişiler!$A$5:$A$44,0)),0)+D502*IFERROR(INDEX(Kişiler!$C$5:$C$44,MATCH(B502,Kişiler!$A$5:$A$44,0)),0))</f>
        <v/>
      </c>
    </row>
    <row r="503" customFormat="false" ht="15" hidden="false" customHeight="false" outlineLevel="0" collapsed="false">
      <c r="A503" s="12"/>
      <c r="B503" s="13"/>
      <c r="C503" s="14"/>
      <c r="D503" s="14"/>
      <c r="E503" s="13"/>
      <c r="F503" s="15"/>
      <c r="G503" s="16" t="str">
        <f aca="false">IF(OR(B503="",A503=""),"",C503*IFERROR(INDEX(Kişiler!$B$5:$B$44,MATCH(B503,Kişiler!$A$5:$A$44,0)),0)+D503*IFERROR(INDEX(Kişiler!$C$5:$C$44,MATCH(B503,Kişiler!$A$5:$A$44,0)),0))</f>
        <v/>
      </c>
    </row>
    <row r="504" customFormat="false" ht="15" hidden="false" customHeight="false" outlineLevel="0" collapsed="false">
      <c r="A504" s="12"/>
      <c r="B504" s="13"/>
      <c r="C504" s="14"/>
      <c r="D504" s="14"/>
      <c r="E504" s="13"/>
      <c r="F504" s="15"/>
      <c r="G504" s="16" t="str">
        <f aca="false">IF(OR(B504="",A504=""),"",C504*IFERROR(INDEX(Kişiler!$B$5:$B$44,MATCH(B504,Kişiler!$A$5:$A$44,0)),0)+D504*IFERROR(INDEX(Kişiler!$C$5:$C$44,MATCH(B504,Kişiler!$A$5:$A$44,0)),0))</f>
        <v/>
      </c>
    </row>
    <row r="505" customFormat="false" ht="15" hidden="false" customHeight="false" outlineLevel="0" collapsed="false">
      <c r="A505" s="12"/>
      <c r="B505" s="13"/>
      <c r="C505" s="14"/>
      <c r="D505" s="14"/>
      <c r="E505" s="13"/>
      <c r="F505" s="15"/>
      <c r="G505" s="16" t="str">
        <f aca="false">IF(OR(B505="",A505=""),"",C505*IFERROR(INDEX(Kişiler!$B$5:$B$44,MATCH(B505,Kişiler!$A$5:$A$44,0)),0)+D505*IFERROR(INDEX(Kişiler!$C$5:$C$44,MATCH(B505,Kişiler!$A$5:$A$44,0)),0))</f>
        <v/>
      </c>
    </row>
    <row r="506" customFormat="false" ht="15" hidden="false" customHeight="false" outlineLevel="0" collapsed="false">
      <c r="A506" s="12"/>
      <c r="B506" s="13"/>
      <c r="C506" s="14"/>
      <c r="D506" s="14"/>
      <c r="E506" s="13"/>
      <c r="F506" s="15"/>
      <c r="G506" s="16" t="str">
        <f aca="false">IF(OR(B506="",A506=""),"",C506*IFERROR(INDEX(Kişiler!$B$5:$B$44,MATCH(B506,Kişiler!$A$5:$A$44,0)),0)+D506*IFERROR(INDEX(Kişiler!$C$5:$C$44,MATCH(B506,Kişiler!$A$5:$A$44,0)),0))</f>
        <v/>
      </c>
    </row>
    <row r="507" customFormat="false" ht="15" hidden="false" customHeight="false" outlineLevel="0" collapsed="false">
      <c r="A507" s="12"/>
      <c r="B507" s="13"/>
      <c r="C507" s="14"/>
      <c r="D507" s="14"/>
      <c r="E507" s="13"/>
      <c r="F507" s="15"/>
      <c r="G507" s="16" t="str">
        <f aca="false">IF(OR(B507="",A507=""),"",C507*IFERROR(INDEX(Kişiler!$B$5:$B$44,MATCH(B507,Kişiler!$A$5:$A$44,0)),0)+D507*IFERROR(INDEX(Kişiler!$C$5:$C$44,MATCH(B507,Kişiler!$A$5:$A$44,0)),0))</f>
        <v/>
      </c>
    </row>
    <row r="508" customFormat="false" ht="15" hidden="false" customHeight="false" outlineLevel="0" collapsed="false">
      <c r="A508" s="12"/>
      <c r="B508" s="13"/>
      <c r="C508" s="14"/>
      <c r="D508" s="14"/>
      <c r="E508" s="13"/>
      <c r="F508" s="15"/>
      <c r="G508" s="16" t="str">
        <f aca="false">IF(OR(B508="",A508=""),"",C508*IFERROR(INDEX(Kişiler!$B$5:$B$44,MATCH(B508,Kişiler!$A$5:$A$44,0)),0)+D508*IFERROR(INDEX(Kişiler!$C$5:$C$44,MATCH(B508,Kişiler!$A$5:$A$44,0)),0))</f>
        <v/>
      </c>
    </row>
    <row r="509" customFormat="false" ht="15" hidden="false" customHeight="false" outlineLevel="0" collapsed="false">
      <c r="A509" s="12"/>
      <c r="B509" s="13"/>
      <c r="C509" s="14"/>
      <c r="D509" s="14"/>
      <c r="E509" s="13"/>
      <c r="F509" s="15"/>
      <c r="G509" s="16" t="str">
        <f aca="false">IF(OR(B509="",A509=""),"",C509*IFERROR(INDEX(Kişiler!$B$5:$B$44,MATCH(B509,Kişiler!$A$5:$A$44,0)),0)+D509*IFERROR(INDEX(Kişiler!$C$5:$C$44,MATCH(B509,Kişiler!$A$5:$A$44,0)),0))</f>
        <v/>
      </c>
    </row>
    <row r="510" customFormat="false" ht="15" hidden="false" customHeight="false" outlineLevel="0" collapsed="false">
      <c r="A510" s="12"/>
      <c r="B510" s="13"/>
      <c r="C510" s="14"/>
      <c r="D510" s="14"/>
      <c r="E510" s="13"/>
      <c r="F510" s="15"/>
      <c r="G510" s="16" t="str">
        <f aca="false">IF(OR(B510="",A510=""),"",C510*IFERROR(INDEX(Kişiler!$B$5:$B$44,MATCH(B510,Kişiler!$A$5:$A$44,0)),0)+D510*IFERROR(INDEX(Kişiler!$C$5:$C$44,MATCH(B510,Kişiler!$A$5:$A$44,0)),0))</f>
        <v/>
      </c>
    </row>
    <row r="511" customFormat="false" ht="15" hidden="false" customHeight="false" outlineLevel="0" collapsed="false">
      <c r="A511" s="12"/>
      <c r="B511" s="13"/>
      <c r="C511" s="14"/>
      <c r="D511" s="14"/>
      <c r="E511" s="13"/>
      <c r="F511" s="15"/>
      <c r="G511" s="16" t="str">
        <f aca="false">IF(OR(B511="",A511=""),"",C511*IFERROR(INDEX(Kişiler!$B$5:$B$44,MATCH(B511,Kişiler!$A$5:$A$44,0)),0)+D511*IFERROR(INDEX(Kişiler!$C$5:$C$44,MATCH(B511,Kişiler!$A$5:$A$44,0)),0))</f>
        <v/>
      </c>
    </row>
    <row r="512" customFormat="false" ht="15" hidden="false" customHeight="false" outlineLevel="0" collapsed="false">
      <c r="A512" s="12"/>
      <c r="B512" s="13"/>
      <c r="C512" s="14"/>
      <c r="D512" s="14"/>
      <c r="E512" s="13"/>
      <c r="F512" s="15"/>
      <c r="G512" s="16" t="str">
        <f aca="false">IF(OR(B512="",A512=""),"",C512*IFERROR(INDEX(Kişiler!$B$5:$B$44,MATCH(B512,Kişiler!$A$5:$A$44,0)),0)+D512*IFERROR(INDEX(Kişiler!$C$5:$C$44,MATCH(B512,Kişiler!$A$5:$A$44,0)),0))</f>
        <v/>
      </c>
    </row>
    <row r="513" customFormat="false" ht="15" hidden="false" customHeight="false" outlineLevel="0" collapsed="false">
      <c r="A513" s="12"/>
      <c r="B513" s="13"/>
      <c r="C513" s="14"/>
      <c r="D513" s="14"/>
      <c r="E513" s="13"/>
      <c r="F513" s="15"/>
      <c r="G513" s="16" t="str">
        <f aca="false">IF(OR(B513="",A513=""),"",C513*IFERROR(INDEX(Kişiler!$B$5:$B$44,MATCH(B513,Kişiler!$A$5:$A$44,0)),0)+D513*IFERROR(INDEX(Kişiler!$C$5:$C$44,MATCH(B513,Kişiler!$A$5:$A$44,0)),0))</f>
        <v/>
      </c>
    </row>
    <row r="514" customFormat="false" ht="15" hidden="false" customHeight="false" outlineLevel="0" collapsed="false">
      <c r="A514" s="12"/>
      <c r="B514" s="13"/>
      <c r="C514" s="14"/>
      <c r="D514" s="14"/>
      <c r="E514" s="13"/>
      <c r="F514" s="15"/>
      <c r="G514" s="16" t="str">
        <f aca="false">IF(OR(B514="",A514=""),"",C514*IFERROR(INDEX(Kişiler!$B$5:$B$44,MATCH(B514,Kişiler!$A$5:$A$44,0)),0)+D514*IFERROR(INDEX(Kişiler!$C$5:$C$44,MATCH(B514,Kişiler!$A$5:$A$44,0)),0))</f>
        <v/>
      </c>
    </row>
    <row r="515" customFormat="false" ht="15" hidden="false" customHeight="false" outlineLevel="0" collapsed="false">
      <c r="A515" s="12"/>
      <c r="B515" s="13"/>
      <c r="C515" s="14"/>
      <c r="D515" s="14"/>
      <c r="E515" s="13"/>
      <c r="F515" s="15"/>
      <c r="G515" s="16" t="str">
        <f aca="false">IF(OR(B515="",A515=""),"",C515*IFERROR(INDEX(Kişiler!$B$5:$B$44,MATCH(B515,Kişiler!$A$5:$A$44,0)),0)+D515*IFERROR(INDEX(Kişiler!$C$5:$C$44,MATCH(B515,Kişiler!$A$5:$A$44,0)),0))</f>
        <v/>
      </c>
    </row>
    <row r="516" customFormat="false" ht="15" hidden="false" customHeight="false" outlineLevel="0" collapsed="false">
      <c r="A516" s="12"/>
      <c r="B516" s="13"/>
      <c r="C516" s="14"/>
      <c r="D516" s="14"/>
      <c r="E516" s="13"/>
      <c r="F516" s="15"/>
      <c r="G516" s="16" t="str">
        <f aca="false">IF(OR(B516="",A516=""),"",C516*IFERROR(INDEX(Kişiler!$B$5:$B$44,MATCH(B516,Kişiler!$A$5:$A$44,0)),0)+D516*IFERROR(INDEX(Kişiler!$C$5:$C$44,MATCH(B516,Kişiler!$A$5:$A$44,0)),0))</f>
        <v/>
      </c>
    </row>
    <row r="517" customFormat="false" ht="15" hidden="false" customHeight="false" outlineLevel="0" collapsed="false">
      <c r="A517" s="12"/>
      <c r="B517" s="13"/>
      <c r="C517" s="14"/>
      <c r="D517" s="14"/>
      <c r="E517" s="13"/>
      <c r="F517" s="15"/>
      <c r="G517" s="16" t="str">
        <f aca="false">IF(OR(B517="",A517=""),"",C517*IFERROR(INDEX(Kişiler!$B$5:$B$44,MATCH(B517,Kişiler!$A$5:$A$44,0)),0)+D517*IFERROR(INDEX(Kişiler!$C$5:$C$44,MATCH(B517,Kişiler!$A$5:$A$44,0)),0))</f>
        <v/>
      </c>
    </row>
    <row r="518" customFormat="false" ht="15" hidden="false" customHeight="false" outlineLevel="0" collapsed="false">
      <c r="A518" s="12"/>
      <c r="B518" s="13"/>
      <c r="C518" s="14"/>
      <c r="D518" s="14"/>
      <c r="E518" s="13"/>
      <c r="F518" s="15"/>
      <c r="G518" s="16" t="str">
        <f aca="false">IF(OR(B518="",A518=""),"",C518*IFERROR(INDEX(Kişiler!$B$5:$B$44,MATCH(B518,Kişiler!$A$5:$A$44,0)),0)+D518*IFERROR(INDEX(Kişiler!$C$5:$C$44,MATCH(B518,Kişiler!$A$5:$A$44,0)),0))</f>
        <v/>
      </c>
    </row>
    <row r="519" customFormat="false" ht="15" hidden="false" customHeight="false" outlineLevel="0" collapsed="false">
      <c r="A519" s="12"/>
      <c r="B519" s="13"/>
      <c r="C519" s="14"/>
      <c r="D519" s="14"/>
      <c r="E519" s="13"/>
      <c r="F519" s="15"/>
      <c r="G519" s="16" t="str">
        <f aca="false">IF(OR(B519="",A519=""),"",C519*IFERROR(INDEX(Kişiler!$B$5:$B$44,MATCH(B519,Kişiler!$A$5:$A$44,0)),0)+D519*IFERROR(INDEX(Kişiler!$C$5:$C$44,MATCH(B519,Kişiler!$A$5:$A$44,0)),0))</f>
        <v/>
      </c>
    </row>
    <row r="520" customFormat="false" ht="15" hidden="false" customHeight="false" outlineLevel="0" collapsed="false">
      <c r="A520" s="12"/>
      <c r="B520" s="13"/>
      <c r="C520" s="14"/>
      <c r="D520" s="14"/>
      <c r="E520" s="13"/>
      <c r="F520" s="15"/>
      <c r="G520" s="16" t="str">
        <f aca="false">IF(OR(B520="",A520=""),"",C520*IFERROR(INDEX(Kişiler!$B$5:$B$44,MATCH(B520,Kişiler!$A$5:$A$44,0)),0)+D520*IFERROR(INDEX(Kişiler!$C$5:$C$44,MATCH(B520,Kişiler!$A$5:$A$44,0)),0))</f>
        <v/>
      </c>
    </row>
    <row r="521" customFormat="false" ht="15" hidden="false" customHeight="false" outlineLevel="0" collapsed="false">
      <c r="A521" s="12"/>
      <c r="B521" s="13"/>
      <c r="C521" s="14"/>
      <c r="D521" s="14"/>
      <c r="E521" s="13"/>
      <c r="F521" s="15"/>
      <c r="G521" s="16" t="str">
        <f aca="false">IF(OR(B521="",A521=""),"",C521*IFERROR(INDEX(Kişiler!$B$5:$B$44,MATCH(B521,Kişiler!$A$5:$A$44,0)),0)+D521*IFERROR(INDEX(Kişiler!$C$5:$C$44,MATCH(B521,Kişiler!$A$5:$A$44,0)),0))</f>
        <v/>
      </c>
    </row>
    <row r="522" customFormat="false" ht="15" hidden="false" customHeight="false" outlineLevel="0" collapsed="false">
      <c r="A522" s="12"/>
      <c r="B522" s="13"/>
      <c r="C522" s="14"/>
      <c r="D522" s="14"/>
      <c r="E522" s="13"/>
      <c r="F522" s="15"/>
      <c r="G522" s="16" t="str">
        <f aca="false">IF(OR(B522="",A522=""),"",C522*IFERROR(INDEX(Kişiler!$B$5:$B$44,MATCH(B522,Kişiler!$A$5:$A$44,0)),0)+D522*IFERROR(INDEX(Kişiler!$C$5:$C$44,MATCH(B522,Kişiler!$A$5:$A$44,0)),0))</f>
        <v/>
      </c>
    </row>
    <row r="523" customFormat="false" ht="15" hidden="false" customHeight="false" outlineLevel="0" collapsed="false">
      <c r="A523" s="12"/>
      <c r="B523" s="13"/>
      <c r="C523" s="14"/>
      <c r="D523" s="14"/>
      <c r="E523" s="13"/>
      <c r="F523" s="15"/>
      <c r="G523" s="16" t="str">
        <f aca="false">IF(OR(B523="",A523=""),"",C523*IFERROR(INDEX(Kişiler!$B$5:$B$44,MATCH(B523,Kişiler!$A$5:$A$44,0)),0)+D523*IFERROR(INDEX(Kişiler!$C$5:$C$44,MATCH(B523,Kişiler!$A$5:$A$44,0)),0))</f>
        <v/>
      </c>
    </row>
    <row r="524" customFormat="false" ht="15" hidden="false" customHeight="false" outlineLevel="0" collapsed="false">
      <c r="A524" s="12"/>
      <c r="B524" s="13"/>
      <c r="C524" s="14"/>
      <c r="D524" s="14"/>
      <c r="E524" s="13"/>
      <c r="F524" s="15"/>
      <c r="G524" s="16" t="str">
        <f aca="false">IF(OR(B524="",A524=""),"",C524*IFERROR(INDEX(Kişiler!$B$5:$B$44,MATCH(B524,Kişiler!$A$5:$A$44,0)),0)+D524*IFERROR(INDEX(Kişiler!$C$5:$C$44,MATCH(B524,Kişiler!$A$5:$A$44,0)),0))</f>
        <v/>
      </c>
    </row>
    <row r="525" customFormat="false" ht="15" hidden="false" customHeight="false" outlineLevel="0" collapsed="false">
      <c r="A525" s="12"/>
      <c r="B525" s="13"/>
      <c r="C525" s="14"/>
      <c r="D525" s="14"/>
      <c r="E525" s="13"/>
      <c r="F525" s="15"/>
      <c r="G525" s="16" t="str">
        <f aca="false">IF(OR(B525="",A525=""),"",C525*IFERROR(INDEX(Kişiler!$B$5:$B$44,MATCH(B525,Kişiler!$A$5:$A$44,0)),0)+D525*IFERROR(INDEX(Kişiler!$C$5:$C$44,MATCH(B525,Kişiler!$A$5:$A$44,0)),0))</f>
        <v/>
      </c>
    </row>
    <row r="526" customFormat="false" ht="15" hidden="false" customHeight="false" outlineLevel="0" collapsed="false">
      <c r="A526" s="12"/>
      <c r="B526" s="13"/>
      <c r="C526" s="14"/>
      <c r="D526" s="14"/>
      <c r="E526" s="13"/>
      <c r="F526" s="15"/>
      <c r="G526" s="16" t="str">
        <f aca="false">IF(OR(B526="",A526=""),"",C526*IFERROR(INDEX(Kişiler!$B$5:$B$44,MATCH(B526,Kişiler!$A$5:$A$44,0)),0)+D526*IFERROR(INDEX(Kişiler!$C$5:$C$44,MATCH(B526,Kişiler!$A$5:$A$44,0)),0))</f>
        <v/>
      </c>
    </row>
    <row r="527" customFormat="false" ht="15" hidden="false" customHeight="false" outlineLevel="0" collapsed="false">
      <c r="A527" s="12"/>
      <c r="B527" s="13"/>
      <c r="C527" s="14"/>
      <c r="D527" s="14"/>
      <c r="E527" s="13"/>
      <c r="F527" s="15"/>
      <c r="G527" s="16" t="str">
        <f aca="false">IF(OR(B527="",A527=""),"",C527*IFERROR(INDEX(Kişiler!$B$5:$B$44,MATCH(B527,Kişiler!$A$5:$A$44,0)),0)+D527*IFERROR(INDEX(Kişiler!$C$5:$C$44,MATCH(B527,Kişiler!$A$5:$A$44,0)),0))</f>
        <v/>
      </c>
    </row>
    <row r="528" customFormat="false" ht="15" hidden="false" customHeight="false" outlineLevel="0" collapsed="false">
      <c r="A528" s="12"/>
      <c r="B528" s="13"/>
      <c r="C528" s="14"/>
      <c r="D528" s="14"/>
      <c r="E528" s="13"/>
      <c r="F528" s="15"/>
      <c r="G528" s="16" t="str">
        <f aca="false">IF(OR(B528="",A528=""),"",C528*IFERROR(INDEX(Kişiler!$B$5:$B$44,MATCH(B528,Kişiler!$A$5:$A$44,0)),0)+D528*IFERROR(INDEX(Kişiler!$C$5:$C$44,MATCH(B528,Kişiler!$A$5:$A$44,0)),0))</f>
        <v/>
      </c>
    </row>
    <row r="529" customFormat="false" ht="15" hidden="false" customHeight="false" outlineLevel="0" collapsed="false">
      <c r="A529" s="12"/>
      <c r="B529" s="13"/>
      <c r="C529" s="14"/>
      <c r="D529" s="14"/>
      <c r="E529" s="13"/>
      <c r="F529" s="15"/>
      <c r="G529" s="16" t="str">
        <f aca="false">IF(OR(B529="",A529=""),"",C529*IFERROR(INDEX(Kişiler!$B$5:$B$44,MATCH(B529,Kişiler!$A$5:$A$44,0)),0)+D529*IFERROR(INDEX(Kişiler!$C$5:$C$44,MATCH(B529,Kişiler!$A$5:$A$44,0)),0))</f>
        <v/>
      </c>
    </row>
    <row r="530" customFormat="false" ht="15" hidden="false" customHeight="false" outlineLevel="0" collapsed="false">
      <c r="A530" s="12"/>
      <c r="B530" s="13"/>
      <c r="C530" s="14"/>
      <c r="D530" s="14"/>
      <c r="E530" s="13"/>
      <c r="F530" s="15"/>
      <c r="G530" s="16" t="str">
        <f aca="false">IF(OR(B530="",A530=""),"",C530*IFERROR(INDEX(Kişiler!$B$5:$B$44,MATCH(B530,Kişiler!$A$5:$A$44,0)),0)+D530*IFERROR(INDEX(Kişiler!$C$5:$C$44,MATCH(B530,Kişiler!$A$5:$A$44,0)),0))</f>
        <v/>
      </c>
    </row>
    <row r="531" customFormat="false" ht="15" hidden="false" customHeight="false" outlineLevel="0" collapsed="false">
      <c r="A531" s="12"/>
      <c r="B531" s="13"/>
      <c r="C531" s="14"/>
      <c r="D531" s="14"/>
      <c r="E531" s="13"/>
      <c r="F531" s="15"/>
      <c r="G531" s="16" t="str">
        <f aca="false">IF(OR(B531="",A531=""),"",C531*IFERROR(INDEX(Kişiler!$B$5:$B$44,MATCH(B531,Kişiler!$A$5:$A$44,0)),0)+D531*IFERROR(INDEX(Kişiler!$C$5:$C$44,MATCH(B531,Kişiler!$A$5:$A$44,0)),0))</f>
        <v/>
      </c>
    </row>
    <row r="532" customFormat="false" ht="15" hidden="false" customHeight="false" outlineLevel="0" collapsed="false">
      <c r="A532" s="12"/>
      <c r="B532" s="13"/>
      <c r="C532" s="14"/>
      <c r="D532" s="14"/>
      <c r="E532" s="13"/>
      <c r="F532" s="15"/>
      <c r="G532" s="16" t="str">
        <f aca="false">IF(OR(B532="",A532=""),"",C532*IFERROR(INDEX(Kişiler!$B$5:$B$44,MATCH(B532,Kişiler!$A$5:$A$44,0)),0)+D532*IFERROR(INDEX(Kişiler!$C$5:$C$44,MATCH(B532,Kişiler!$A$5:$A$44,0)),0))</f>
        <v/>
      </c>
    </row>
    <row r="533" customFormat="false" ht="15" hidden="false" customHeight="false" outlineLevel="0" collapsed="false">
      <c r="A533" s="12"/>
      <c r="B533" s="13"/>
      <c r="C533" s="14"/>
      <c r="D533" s="14"/>
      <c r="E533" s="13"/>
      <c r="F533" s="15"/>
      <c r="G533" s="16" t="str">
        <f aca="false">IF(OR(B533="",A533=""),"",C533*IFERROR(INDEX(Kişiler!$B$5:$B$44,MATCH(B533,Kişiler!$A$5:$A$44,0)),0)+D533*IFERROR(INDEX(Kişiler!$C$5:$C$44,MATCH(B533,Kişiler!$A$5:$A$44,0)),0))</f>
        <v/>
      </c>
    </row>
    <row r="534" customFormat="false" ht="15" hidden="false" customHeight="false" outlineLevel="0" collapsed="false">
      <c r="A534" s="12"/>
      <c r="B534" s="13"/>
      <c r="C534" s="14"/>
      <c r="D534" s="14"/>
      <c r="E534" s="13"/>
      <c r="F534" s="15"/>
      <c r="G534" s="16" t="str">
        <f aca="false">IF(OR(B534="",A534=""),"",C534*IFERROR(INDEX(Kişiler!$B$5:$B$44,MATCH(B534,Kişiler!$A$5:$A$44,0)),0)+D534*IFERROR(INDEX(Kişiler!$C$5:$C$44,MATCH(B534,Kişiler!$A$5:$A$44,0)),0))</f>
        <v/>
      </c>
    </row>
    <row r="535" customFormat="false" ht="15" hidden="false" customHeight="false" outlineLevel="0" collapsed="false">
      <c r="A535" s="12"/>
      <c r="B535" s="13"/>
      <c r="C535" s="14"/>
      <c r="D535" s="14"/>
      <c r="E535" s="13"/>
      <c r="F535" s="15"/>
      <c r="G535" s="16" t="str">
        <f aca="false">IF(OR(B535="",A535=""),"",C535*IFERROR(INDEX(Kişiler!$B$5:$B$44,MATCH(B535,Kişiler!$A$5:$A$44,0)),0)+D535*IFERROR(INDEX(Kişiler!$C$5:$C$44,MATCH(B535,Kişiler!$A$5:$A$44,0)),0))</f>
        <v/>
      </c>
    </row>
    <row r="536" customFormat="false" ht="15" hidden="false" customHeight="false" outlineLevel="0" collapsed="false">
      <c r="A536" s="12"/>
      <c r="B536" s="13"/>
      <c r="C536" s="14"/>
      <c r="D536" s="14"/>
      <c r="E536" s="13"/>
      <c r="F536" s="15"/>
      <c r="G536" s="16" t="str">
        <f aca="false">IF(OR(B536="",A536=""),"",C536*IFERROR(INDEX(Kişiler!$B$5:$B$44,MATCH(B536,Kişiler!$A$5:$A$44,0)),0)+D536*IFERROR(INDEX(Kişiler!$C$5:$C$44,MATCH(B536,Kişiler!$A$5:$A$44,0)),0))</f>
        <v/>
      </c>
    </row>
    <row r="537" customFormat="false" ht="15" hidden="false" customHeight="false" outlineLevel="0" collapsed="false">
      <c r="A537" s="12"/>
      <c r="B537" s="13"/>
      <c r="C537" s="14"/>
      <c r="D537" s="14"/>
      <c r="E537" s="13"/>
      <c r="F537" s="15"/>
      <c r="G537" s="16" t="str">
        <f aca="false">IF(OR(B537="",A537=""),"",C537*IFERROR(INDEX(Kişiler!$B$5:$B$44,MATCH(B537,Kişiler!$A$5:$A$44,0)),0)+D537*IFERROR(INDEX(Kişiler!$C$5:$C$44,MATCH(B537,Kişiler!$A$5:$A$44,0)),0))</f>
        <v/>
      </c>
    </row>
    <row r="538" customFormat="false" ht="15" hidden="false" customHeight="false" outlineLevel="0" collapsed="false">
      <c r="A538" s="12"/>
      <c r="B538" s="13"/>
      <c r="C538" s="14"/>
      <c r="D538" s="14"/>
      <c r="E538" s="13"/>
      <c r="F538" s="15"/>
      <c r="G538" s="16" t="str">
        <f aca="false">IF(OR(B538="",A538=""),"",C538*IFERROR(INDEX(Kişiler!$B$5:$B$44,MATCH(B538,Kişiler!$A$5:$A$44,0)),0)+D538*IFERROR(INDEX(Kişiler!$C$5:$C$44,MATCH(B538,Kişiler!$A$5:$A$44,0)),0))</f>
        <v/>
      </c>
    </row>
    <row r="539" customFormat="false" ht="15" hidden="false" customHeight="false" outlineLevel="0" collapsed="false">
      <c r="A539" s="12"/>
      <c r="B539" s="13"/>
      <c r="C539" s="14"/>
      <c r="D539" s="14"/>
      <c r="E539" s="13"/>
      <c r="F539" s="15"/>
      <c r="G539" s="16" t="str">
        <f aca="false">IF(OR(B539="",A539=""),"",C539*IFERROR(INDEX(Kişiler!$B$5:$B$44,MATCH(B539,Kişiler!$A$5:$A$44,0)),0)+D539*IFERROR(INDEX(Kişiler!$C$5:$C$44,MATCH(B539,Kişiler!$A$5:$A$44,0)),0))</f>
        <v/>
      </c>
    </row>
    <row r="540" customFormat="false" ht="15" hidden="false" customHeight="false" outlineLevel="0" collapsed="false">
      <c r="A540" s="12"/>
      <c r="B540" s="13"/>
      <c r="C540" s="14"/>
      <c r="D540" s="14"/>
      <c r="E540" s="13"/>
      <c r="F540" s="15"/>
      <c r="G540" s="16" t="str">
        <f aca="false">IF(OR(B540="",A540=""),"",C540*IFERROR(INDEX(Kişiler!$B$5:$B$44,MATCH(B540,Kişiler!$A$5:$A$44,0)),0)+D540*IFERROR(INDEX(Kişiler!$C$5:$C$44,MATCH(B540,Kişiler!$A$5:$A$44,0)),0))</f>
        <v/>
      </c>
    </row>
    <row r="541" customFormat="false" ht="15" hidden="false" customHeight="false" outlineLevel="0" collapsed="false">
      <c r="A541" s="12"/>
      <c r="B541" s="13"/>
      <c r="C541" s="14"/>
      <c r="D541" s="14"/>
      <c r="E541" s="13"/>
      <c r="F541" s="15"/>
      <c r="G541" s="16" t="str">
        <f aca="false">IF(OR(B541="",A541=""),"",C541*IFERROR(INDEX(Kişiler!$B$5:$B$44,MATCH(B541,Kişiler!$A$5:$A$44,0)),0)+D541*IFERROR(INDEX(Kişiler!$C$5:$C$44,MATCH(B541,Kişiler!$A$5:$A$44,0)),0))</f>
        <v/>
      </c>
    </row>
    <row r="542" customFormat="false" ht="15" hidden="false" customHeight="false" outlineLevel="0" collapsed="false">
      <c r="A542" s="12"/>
      <c r="B542" s="13"/>
      <c r="C542" s="14"/>
      <c r="D542" s="14"/>
      <c r="E542" s="13"/>
      <c r="F542" s="15"/>
      <c r="G542" s="16" t="str">
        <f aca="false">IF(OR(B542="",A542=""),"",C542*IFERROR(INDEX(Kişiler!$B$5:$B$44,MATCH(B542,Kişiler!$A$5:$A$44,0)),0)+D542*IFERROR(INDEX(Kişiler!$C$5:$C$44,MATCH(B542,Kişiler!$A$5:$A$44,0)),0))</f>
        <v/>
      </c>
    </row>
    <row r="543" customFormat="false" ht="15" hidden="false" customHeight="false" outlineLevel="0" collapsed="false">
      <c r="A543" s="12"/>
      <c r="B543" s="13"/>
      <c r="C543" s="14"/>
      <c r="D543" s="14"/>
      <c r="E543" s="13"/>
      <c r="F543" s="15"/>
      <c r="G543" s="16" t="str">
        <f aca="false">IF(OR(B543="",A543=""),"",C543*IFERROR(INDEX(Kişiler!$B$5:$B$44,MATCH(B543,Kişiler!$A$5:$A$44,0)),0)+D543*IFERROR(INDEX(Kişiler!$C$5:$C$44,MATCH(B543,Kişiler!$A$5:$A$44,0)),0))</f>
        <v/>
      </c>
    </row>
    <row r="544" customFormat="false" ht="15" hidden="false" customHeight="false" outlineLevel="0" collapsed="false">
      <c r="A544" s="12"/>
      <c r="B544" s="13"/>
      <c r="C544" s="14"/>
      <c r="D544" s="14"/>
      <c r="E544" s="13"/>
      <c r="F544" s="15"/>
      <c r="G544" s="16" t="str">
        <f aca="false">IF(OR(B544="",A544=""),"",C544*IFERROR(INDEX(Kişiler!$B$5:$B$44,MATCH(B544,Kişiler!$A$5:$A$44,0)),0)+D544*IFERROR(INDEX(Kişiler!$C$5:$C$44,MATCH(B544,Kişiler!$A$5:$A$44,0)),0))</f>
        <v/>
      </c>
    </row>
    <row r="545" customFormat="false" ht="15" hidden="false" customHeight="false" outlineLevel="0" collapsed="false">
      <c r="A545" s="12"/>
      <c r="B545" s="13"/>
      <c r="C545" s="14"/>
      <c r="D545" s="14"/>
      <c r="E545" s="13"/>
      <c r="F545" s="15"/>
      <c r="G545" s="16" t="str">
        <f aca="false">IF(OR(B545="",A545=""),"",C545*IFERROR(INDEX(Kişiler!$B$5:$B$44,MATCH(B545,Kişiler!$A$5:$A$44,0)),0)+D545*IFERROR(INDEX(Kişiler!$C$5:$C$44,MATCH(B545,Kişiler!$A$5:$A$44,0)),0))</f>
        <v/>
      </c>
    </row>
    <row r="546" customFormat="false" ht="15" hidden="false" customHeight="false" outlineLevel="0" collapsed="false">
      <c r="A546" s="12"/>
      <c r="B546" s="13"/>
      <c r="C546" s="14"/>
      <c r="D546" s="14"/>
      <c r="E546" s="13"/>
      <c r="F546" s="15"/>
      <c r="G546" s="16" t="str">
        <f aca="false">IF(OR(B546="",A546=""),"",C546*IFERROR(INDEX(Kişiler!$B$5:$B$44,MATCH(B546,Kişiler!$A$5:$A$44,0)),0)+D546*IFERROR(INDEX(Kişiler!$C$5:$C$44,MATCH(B546,Kişiler!$A$5:$A$44,0)),0))</f>
        <v/>
      </c>
    </row>
    <row r="547" customFormat="false" ht="15" hidden="false" customHeight="false" outlineLevel="0" collapsed="false">
      <c r="A547" s="12"/>
      <c r="B547" s="13"/>
      <c r="C547" s="14"/>
      <c r="D547" s="14"/>
      <c r="E547" s="13"/>
      <c r="F547" s="15"/>
      <c r="G547" s="16" t="str">
        <f aca="false">IF(OR(B547="",A547=""),"",C547*IFERROR(INDEX(Kişiler!$B$5:$B$44,MATCH(B547,Kişiler!$A$5:$A$44,0)),0)+D547*IFERROR(INDEX(Kişiler!$C$5:$C$44,MATCH(B547,Kişiler!$A$5:$A$44,0)),0))</f>
        <v/>
      </c>
    </row>
    <row r="548" customFormat="false" ht="15" hidden="false" customHeight="false" outlineLevel="0" collapsed="false">
      <c r="A548" s="12"/>
      <c r="B548" s="13"/>
      <c r="C548" s="14"/>
      <c r="D548" s="14"/>
      <c r="E548" s="13"/>
      <c r="F548" s="15"/>
      <c r="G548" s="16" t="str">
        <f aca="false">IF(OR(B548="",A548=""),"",C548*IFERROR(INDEX(Kişiler!$B$5:$B$44,MATCH(B548,Kişiler!$A$5:$A$44,0)),0)+D548*IFERROR(INDEX(Kişiler!$C$5:$C$44,MATCH(B548,Kişiler!$A$5:$A$44,0)),0))</f>
        <v/>
      </c>
    </row>
    <row r="549" customFormat="false" ht="15" hidden="false" customHeight="false" outlineLevel="0" collapsed="false">
      <c r="A549" s="12"/>
      <c r="B549" s="13"/>
      <c r="C549" s="14"/>
      <c r="D549" s="14"/>
      <c r="E549" s="13"/>
      <c r="F549" s="15"/>
      <c r="G549" s="16" t="str">
        <f aca="false">IF(OR(B549="",A549=""),"",C549*IFERROR(INDEX(Kişiler!$B$5:$B$44,MATCH(B549,Kişiler!$A$5:$A$44,0)),0)+D549*IFERROR(INDEX(Kişiler!$C$5:$C$44,MATCH(B549,Kişiler!$A$5:$A$44,0)),0))</f>
        <v/>
      </c>
    </row>
    <row r="550" customFormat="false" ht="15" hidden="false" customHeight="false" outlineLevel="0" collapsed="false">
      <c r="A550" s="12"/>
      <c r="B550" s="13"/>
      <c r="C550" s="14"/>
      <c r="D550" s="14"/>
      <c r="E550" s="13"/>
      <c r="F550" s="15"/>
      <c r="G550" s="16" t="str">
        <f aca="false">IF(OR(B550="",A550=""),"",C550*IFERROR(INDEX(Kişiler!$B$5:$B$44,MATCH(B550,Kişiler!$A$5:$A$44,0)),0)+D550*IFERROR(INDEX(Kişiler!$C$5:$C$44,MATCH(B550,Kişiler!$A$5:$A$44,0)),0))</f>
        <v/>
      </c>
    </row>
    <row r="551" customFormat="false" ht="15" hidden="false" customHeight="false" outlineLevel="0" collapsed="false">
      <c r="A551" s="12"/>
      <c r="B551" s="13"/>
      <c r="C551" s="14"/>
      <c r="D551" s="14"/>
      <c r="E551" s="13"/>
      <c r="F551" s="15"/>
      <c r="G551" s="16" t="str">
        <f aca="false">IF(OR(B551="",A551=""),"",C551*IFERROR(INDEX(Kişiler!$B$5:$B$44,MATCH(B551,Kişiler!$A$5:$A$44,0)),0)+D551*IFERROR(INDEX(Kişiler!$C$5:$C$44,MATCH(B551,Kişiler!$A$5:$A$44,0)),0))</f>
        <v/>
      </c>
    </row>
    <row r="552" customFormat="false" ht="15" hidden="false" customHeight="false" outlineLevel="0" collapsed="false">
      <c r="A552" s="12"/>
      <c r="B552" s="13"/>
      <c r="C552" s="14"/>
      <c r="D552" s="14"/>
      <c r="E552" s="13"/>
      <c r="F552" s="15"/>
      <c r="G552" s="16" t="str">
        <f aca="false">IF(OR(B552="",A552=""),"",C552*IFERROR(INDEX(Kişiler!$B$5:$B$44,MATCH(B552,Kişiler!$A$5:$A$44,0)),0)+D552*IFERROR(INDEX(Kişiler!$C$5:$C$44,MATCH(B552,Kişiler!$A$5:$A$44,0)),0))</f>
        <v/>
      </c>
    </row>
    <row r="553" customFormat="false" ht="15" hidden="false" customHeight="false" outlineLevel="0" collapsed="false">
      <c r="A553" s="12"/>
      <c r="B553" s="13"/>
      <c r="C553" s="14"/>
      <c r="D553" s="14"/>
      <c r="E553" s="13"/>
      <c r="F553" s="15"/>
      <c r="G553" s="16" t="str">
        <f aca="false">IF(OR(B553="",A553=""),"",C553*IFERROR(INDEX(Kişiler!$B$5:$B$44,MATCH(B553,Kişiler!$A$5:$A$44,0)),0)+D553*IFERROR(INDEX(Kişiler!$C$5:$C$44,MATCH(B553,Kişiler!$A$5:$A$44,0)),0))</f>
        <v/>
      </c>
    </row>
    <row r="554" customFormat="false" ht="15" hidden="false" customHeight="false" outlineLevel="0" collapsed="false">
      <c r="A554" s="12"/>
      <c r="B554" s="13"/>
      <c r="C554" s="14"/>
      <c r="D554" s="14"/>
      <c r="E554" s="13"/>
      <c r="F554" s="15"/>
      <c r="G554" s="16" t="str">
        <f aca="false">IF(OR(B554="",A554=""),"",C554*IFERROR(INDEX(Kişiler!$B$5:$B$44,MATCH(B554,Kişiler!$A$5:$A$44,0)),0)+D554*IFERROR(INDEX(Kişiler!$C$5:$C$44,MATCH(B554,Kişiler!$A$5:$A$44,0)),0))</f>
        <v/>
      </c>
    </row>
    <row r="555" customFormat="false" ht="15" hidden="false" customHeight="false" outlineLevel="0" collapsed="false">
      <c r="A555" s="12"/>
      <c r="B555" s="13"/>
      <c r="C555" s="14"/>
      <c r="D555" s="14"/>
      <c r="E555" s="13"/>
      <c r="F555" s="15"/>
      <c r="G555" s="16" t="str">
        <f aca="false">IF(OR(B555="",A555=""),"",C555*IFERROR(INDEX(Kişiler!$B$5:$B$44,MATCH(B555,Kişiler!$A$5:$A$44,0)),0)+D555*IFERROR(INDEX(Kişiler!$C$5:$C$44,MATCH(B555,Kişiler!$A$5:$A$44,0)),0))</f>
        <v/>
      </c>
    </row>
    <row r="556" customFormat="false" ht="15" hidden="false" customHeight="false" outlineLevel="0" collapsed="false">
      <c r="A556" s="12"/>
      <c r="B556" s="13"/>
      <c r="C556" s="14"/>
      <c r="D556" s="14"/>
      <c r="E556" s="13"/>
      <c r="F556" s="15"/>
      <c r="G556" s="16" t="str">
        <f aca="false">IF(OR(B556="",A556=""),"",C556*IFERROR(INDEX(Kişiler!$B$5:$B$44,MATCH(B556,Kişiler!$A$5:$A$44,0)),0)+D556*IFERROR(INDEX(Kişiler!$C$5:$C$44,MATCH(B556,Kişiler!$A$5:$A$44,0)),0))</f>
        <v/>
      </c>
    </row>
    <row r="557" customFormat="false" ht="15" hidden="false" customHeight="false" outlineLevel="0" collapsed="false">
      <c r="A557" s="12"/>
      <c r="B557" s="13"/>
      <c r="C557" s="14"/>
      <c r="D557" s="14"/>
      <c r="E557" s="13"/>
      <c r="F557" s="15"/>
      <c r="G557" s="16" t="str">
        <f aca="false">IF(OR(B557="",A557=""),"",C557*IFERROR(INDEX(Kişiler!$B$5:$B$44,MATCH(B557,Kişiler!$A$5:$A$44,0)),0)+D557*IFERROR(INDEX(Kişiler!$C$5:$C$44,MATCH(B557,Kişiler!$A$5:$A$44,0)),0))</f>
        <v/>
      </c>
    </row>
    <row r="558" customFormat="false" ht="15" hidden="false" customHeight="false" outlineLevel="0" collapsed="false">
      <c r="A558" s="12"/>
      <c r="B558" s="13"/>
      <c r="C558" s="14"/>
      <c r="D558" s="14"/>
      <c r="E558" s="13"/>
      <c r="F558" s="15"/>
      <c r="G558" s="16" t="str">
        <f aca="false">IF(OR(B558="",A558=""),"",C558*IFERROR(INDEX(Kişiler!$B$5:$B$44,MATCH(B558,Kişiler!$A$5:$A$44,0)),0)+D558*IFERROR(INDEX(Kişiler!$C$5:$C$44,MATCH(B558,Kişiler!$A$5:$A$44,0)),0))</f>
        <v/>
      </c>
    </row>
    <row r="559" customFormat="false" ht="15" hidden="false" customHeight="false" outlineLevel="0" collapsed="false">
      <c r="A559" s="12"/>
      <c r="B559" s="13"/>
      <c r="C559" s="14"/>
      <c r="D559" s="14"/>
      <c r="E559" s="13"/>
      <c r="F559" s="15"/>
      <c r="G559" s="16" t="str">
        <f aca="false">IF(OR(B559="",A559=""),"",C559*IFERROR(INDEX(Kişiler!$B$5:$B$44,MATCH(B559,Kişiler!$A$5:$A$44,0)),0)+D559*IFERROR(INDEX(Kişiler!$C$5:$C$44,MATCH(B559,Kişiler!$A$5:$A$44,0)),0))</f>
        <v/>
      </c>
    </row>
    <row r="560" customFormat="false" ht="15" hidden="false" customHeight="false" outlineLevel="0" collapsed="false">
      <c r="A560" s="12"/>
      <c r="B560" s="13"/>
      <c r="C560" s="14"/>
      <c r="D560" s="14"/>
      <c r="E560" s="13"/>
      <c r="F560" s="15"/>
      <c r="G560" s="16" t="str">
        <f aca="false">IF(OR(B560="",A560=""),"",C560*IFERROR(INDEX(Kişiler!$B$5:$B$44,MATCH(B560,Kişiler!$A$5:$A$44,0)),0)+D560*IFERROR(INDEX(Kişiler!$C$5:$C$44,MATCH(B560,Kişiler!$A$5:$A$44,0)),0))</f>
        <v/>
      </c>
    </row>
    <row r="561" customFormat="false" ht="15" hidden="false" customHeight="false" outlineLevel="0" collapsed="false">
      <c r="A561" s="12"/>
      <c r="B561" s="13"/>
      <c r="C561" s="14"/>
      <c r="D561" s="14"/>
      <c r="E561" s="13"/>
      <c r="F561" s="15"/>
      <c r="G561" s="16" t="str">
        <f aca="false">IF(OR(B561="",A561=""),"",C561*IFERROR(INDEX(Kişiler!$B$5:$B$44,MATCH(B561,Kişiler!$A$5:$A$44,0)),0)+D561*IFERROR(INDEX(Kişiler!$C$5:$C$44,MATCH(B561,Kişiler!$A$5:$A$44,0)),0))</f>
        <v/>
      </c>
    </row>
    <row r="562" customFormat="false" ht="15" hidden="false" customHeight="false" outlineLevel="0" collapsed="false">
      <c r="A562" s="12"/>
      <c r="B562" s="13"/>
      <c r="C562" s="14"/>
      <c r="D562" s="14"/>
      <c r="E562" s="13"/>
      <c r="F562" s="15"/>
      <c r="G562" s="16" t="str">
        <f aca="false">IF(OR(B562="",A562=""),"",C562*IFERROR(INDEX(Kişiler!$B$5:$B$44,MATCH(B562,Kişiler!$A$5:$A$44,0)),0)+D562*IFERROR(INDEX(Kişiler!$C$5:$C$44,MATCH(B562,Kişiler!$A$5:$A$44,0)),0))</f>
        <v/>
      </c>
    </row>
    <row r="563" customFormat="false" ht="15" hidden="false" customHeight="false" outlineLevel="0" collapsed="false">
      <c r="A563" s="12"/>
      <c r="B563" s="13"/>
      <c r="C563" s="14"/>
      <c r="D563" s="14"/>
      <c r="E563" s="13"/>
      <c r="F563" s="15"/>
      <c r="G563" s="16" t="str">
        <f aca="false">IF(OR(B563="",A563=""),"",C563*IFERROR(INDEX(Kişiler!$B$5:$B$44,MATCH(B563,Kişiler!$A$5:$A$44,0)),0)+D563*IFERROR(INDEX(Kişiler!$C$5:$C$44,MATCH(B563,Kişiler!$A$5:$A$44,0)),0))</f>
        <v/>
      </c>
    </row>
    <row r="564" customFormat="false" ht="15" hidden="false" customHeight="false" outlineLevel="0" collapsed="false">
      <c r="A564" s="12"/>
      <c r="B564" s="13"/>
      <c r="C564" s="14"/>
      <c r="D564" s="14"/>
      <c r="E564" s="13"/>
      <c r="F564" s="15"/>
      <c r="G564" s="16" t="str">
        <f aca="false">IF(OR(B564="",A564=""),"",C564*IFERROR(INDEX(Kişiler!$B$5:$B$44,MATCH(B564,Kişiler!$A$5:$A$44,0)),0)+D564*IFERROR(INDEX(Kişiler!$C$5:$C$44,MATCH(B564,Kişiler!$A$5:$A$44,0)),0))</f>
        <v/>
      </c>
    </row>
    <row r="565" customFormat="false" ht="15" hidden="false" customHeight="false" outlineLevel="0" collapsed="false">
      <c r="A565" s="12"/>
      <c r="B565" s="13"/>
      <c r="C565" s="14"/>
      <c r="D565" s="14"/>
      <c r="E565" s="13"/>
      <c r="F565" s="15"/>
      <c r="G565" s="16" t="str">
        <f aca="false">IF(OR(B565="",A565=""),"",C565*IFERROR(INDEX(Kişiler!$B$5:$B$44,MATCH(B565,Kişiler!$A$5:$A$44,0)),0)+D565*IFERROR(INDEX(Kişiler!$C$5:$C$44,MATCH(B565,Kişiler!$A$5:$A$44,0)),0))</f>
        <v/>
      </c>
    </row>
    <row r="566" customFormat="false" ht="15" hidden="false" customHeight="false" outlineLevel="0" collapsed="false">
      <c r="A566" s="12"/>
      <c r="B566" s="13"/>
      <c r="C566" s="14"/>
      <c r="D566" s="14"/>
      <c r="E566" s="13"/>
      <c r="F566" s="15"/>
      <c r="G566" s="16" t="str">
        <f aca="false">IF(OR(B566="",A566=""),"",C566*IFERROR(INDEX(Kişiler!$B$5:$B$44,MATCH(B566,Kişiler!$A$5:$A$44,0)),0)+D566*IFERROR(INDEX(Kişiler!$C$5:$C$44,MATCH(B566,Kişiler!$A$5:$A$44,0)),0))</f>
        <v/>
      </c>
    </row>
    <row r="567" customFormat="false" ht="15" hidden="false" customHeight="false" outlineLevel="0" collapsed="false">
      <c r="A567" s="12"/>
      <c r="B567" s="13"/>
      <c r="C567" s="14"/>
      <c r="D567" s="14"/>
      <c r="E567" s="13"/>
      <c r="F567" s="15"/>
      <c r="G567" s="16" t="str">
        <f aca="false">IF(OR(B567="",A567=""),"",C567*IFERROR(INDEX(Kişiler!$B$5:$B$44,MATCH(B567,Kişiler!$A$5:$A$44,0)),0)+D567*IFERROR(INDEX(Kişiler!$C$5:$C$44,MATCH(B567,Kişiler!$A$5:$A$44,0)),0))</f>
        <v/>
      </c>
    </row>
    <row r="568" customFormat="false" ht="15" hidden="false" customHeight="false" outlineLevel="0" collapsed="false">
      <c r="A568" s="12"/>
      <c r="B568" s="13"/>
      <c r="C568" s="14"/>
      <c r="D568" s="14"/>
      <c r="E568" s="13"/>
      <c r="F568" s="15"/>
      <c r="G568" s="16" t="str">
        <f aca="false">IF(OR(B568="",A568=""),"",C568*IFERROR(INDEX(Kişiler!$B$5:$B$44,MATCH(B568,Kişiler!$A$5:$A$44,0)),0)+D568*IFERROR(INDEX(Kişiler!$C$5:$C$44,MATCH(B568,Kişiler!$A$5:$A$44,0)),0))</f>
        <v/>
      </c>
    </row>
    <row r="569" customFormat="false" ht="15" hidden="false" customHeight="false" outlineLevel="0" collapsed="false">
      <c r="A569" s="12"/>
      <c r="B569" s="13"/>
      <c r="C569" s="14"/>
      <c r="D569" s="14"/>
      <c r="E569" s="13"/>
      <c r="F569" s="15"/>
      <c r="G569" s="16" t="str">
        <f aca="false">IF(OR(B569="",A569=""),"",C569*IFERROR(INDEX(Kişiler!$B$5:$B$44,MATCH(B569,Kişiler!$A$5:$A$44,0)),0)+D569*IFERROR(INDEX(Kişiler!$C$5:$C$44,MATCH(B569,Kişiler!$A$5:$A$44,0)),0))</f>
        <v/>
      </c>
    </row>
    <row r="570" customFormat="false" ht="15" hidden="false" customHeight="false" outlineLevel="0" collapsed="false">
      <c r="A570" s="12"/>
      <c r="B570" s="13"/>
      <c r="C570" s="14"/>
      <c r="D570" s="14"/>
      <c r="E570" s="13"/>
      <c r="F570" s="15"/>
      <c r="G570" s="16" t="str">
        <f aca="false">IF(OR(B570="",A570=""),"",C570*IFERROR(INDEX(Kişiler!$B$5:$B$44,MATCH(B570,Kişiler!$A$5:$A$44,0)),0)+D570*IFERROR(INDEX(Kişiler!$C$5:$C$44,MATCH(B570,Kişiler!$A$5:$A$44,0)),0))</f>
        <v/>
      </c>
    </row>
    <row r="571" customFormat="false" ht="15" hidden="false" customHeight="false" outlineLevel="0" collapsed="false">
      <c r="A571" s="12"/>
      <c r="B571" s="13"/>
      <c r="C571" s="14"/>
      <c r="D571" s="14"/>
      <c r="E571" s="13"/>
      <c r="F571" s="15"/>
      <c r="G571" s="16" t="str">
        <f aca="false">IF(OR(B571="",A571=""),"",C571*IFERROR(INDEX(Kişiler!$B$5:$B$44,MATCH(B571,Kişiler!$A$5:$A$44,0)),0)+D571*IFERROR(INDEX(Kişiler!$C$5:$C$44,MATCH(B571,Kişiler!$A$5:$A$44,0)),0))</f>
        <v/>
      </c>
    </row>
    <row r="572" customFormat="false" ht="15" hidden="false" customHeight="false" outlineLevel="0" collapsed="false">
      <c r="A572" s="12"/>
      <c r="B572" s="13"/>
      <c r="C572" s="14"/>
      <c r="D572" s="14"/>
      <c r="E572" s="13"/>
      <c r="F572" s="15"/>
      <c r="G572" s="16" t="str">
        <f aca="false">IF(OR(B572="",A572=""),"",C572*IFERROR(INDEX(Kişiler!$B$5:$B$44,MATCH(B572,Kişiler!$A$5:$A$44,0)),0)+D572*IFERROR(INDEX(Kişiler!$C$5:$C$44,MATCH(B572,Kişiler!$A$5:$A$44,0)),0))</f>
        <v/>
      </c>
    </row>
    <row r="573" customFormat="false" ht="15" hidden="false" customHeight="false" outlineLevel="0" collapsed="false">
      <c r="A573" s="12"/>
      <c r="B573" s="13"/>
      <c r="C573" s="14"/>
      <c r="D573" s="14"/>
      <c r="E573" s="13"/>
      <c r="F573" s="15"/>
      <c r="G573" s="16" t="str">
        <f aca="false">IF(OR(B573="",A573=""),"",C573*IFERROR(INDEX(Kişiler!$B$5:$B$44,MATCH(B573,Kişiler!$A$5:$A$44,0)),0)+D573*IFERROR(INDEX(Kişiler!$C$5:$C$44,MATCH(B573,Kişiler!$A$5:$A$44,0)),0))</f>
        <v/>
      </c>
    </row>
    <row r="574" customFormat="false" ht="15" hidden="false" customHeight="false" outlineLevel="0" collapsed="false">
      <c r="A574" s="12"/>
      <c r="B574" s="13"/>
      <c r="C574" s="14"/>
      <c r="D574" s="14"/>
      <c r="E574" s="13"/>
      <c r="F574" s="15"/>
      <c r="G574" s="16" t="str">
        <f aca="false">IF(OR(B574="",A574=""),"",C574*IFERROR(INDEX(Kişiler!$B$5:$B$44,MATCH(B574,Kişiler!$A$5:$A$44,0)),0)+D574*IFERROR(INDEX(Kişiler!$C$5:$C$44,MATCH(B574,Kişiler!$A$5:$A$44,0)),0))</f>
        <v/>
      </c>
    </row>
    <row r="575" customFormat="false" ht="15" hidden="false" customHeight="false" outlineLevel="0" collapsed="false">
      <c r="A575" s="12"/>
      <c r="B575" s="13"/>
      <c r="C575" s="14"/>
      <c r="D575" s="14"/>
      <c r="E575" s="13"/>
      <c r="F575" s="15"/>
      <c r="G575" s="16" t="str">
        <f aca="false">IF(OR(B575="",A575=""),"",C575*IFERROR(INDEX(Kişiler!$B$5:$B$44,MATCH(B575,Kişiler!$A$5:$A$44,0)),0)+D575*IFERROR(INDEX(Kişiler!$C$5:$C$44,MATCH(B575,Kişiler!$A$5:$A$44,0)),0))</f>
        <v/>
      </c>
    </row>
    <row r="576" customFormat="false" ht="15" hidden="false" customHeight="false" outlineLevel="0" collapsed="false">
      <c r="A576" s="12"/>
      <c r="B576" s="13"/>
      <c r="C576" s="14"/>
      <c r="D576" s="14"/>
      <c r="E576" s="13"/>
      <c r="F576" s="15"/>
      <c r="G576" s="16" t="str">
        <f aca="false">IF(OR(B576="",A576=""),"",C576*IFERROR(INDEX(Kişiler!$B$5:$B$44,MATCH(B576,Kişiler!$A$5:$A$44,0)),0)+D576*IFERROR(INDEX(Kişiler!$C$5:$C$44,MATCH(B576,Kişiler!$A$5:$A$44,0)),0))</f>
        <v/>
      </c>
    </row>
    <row r="577" customFormat="false" ht="15" hidden="false" customHeight="false" outlineLevel="0" collapsed="false">
      <c r="A577" s="12"/>
      <c r="B577" s="13"/>
      <c r="C577" s="14"/>
      <c r="D577" s="14"/>
      <c r="E577" s="13"/>
      <c r="F577" s="15"/>
      <c r="G577" s="16" t="str">
        <f aca="false">IF(OR(B577="",A577=""),"",C577*IFERROR(INDEX(Kişiler!$B$5:$B$44,MATCH(B577,Kişiler!$A$5:$A$44,0)),0)+D577*IFERROR(INDEX(Kişiler!$C$5:$C$44,MATCH(B577,Kişiler!$A$5:$A$44,0)),0))</f>
        <v/>
      </c>
    </row>
    <row r="578" customFormat="false" ht="15" hidden="false" customHeight="false" outlineLevel="0" collapsed="false">
      <c r="A578" s="12"/>
      <c r="B578" s="13"/>
      <c r="C578" s="14"/>
      <c r="D578" s="14"/>
      <c r="E578" s="13"/>
      <c r="F578" s="15"/>
      <c r="G578" s="16" t="str">
        <f aca="false">IF(OR(B578="",A578=""),"",C578*IFERROR(INDEX(Kişiler!$B$5:$B$44,MATCH(B578,Kişiler!$A$5:$A$44,0)),0)+D578*IFERROR(INDEX(Kişiler!$C$5:$C$44,MATCH(B578,Kişiler!$A$5:$A$44,0)),0))</f>
        <v/>
      </c>
    </row>
    <row r="579" customFormat="false" ht="15" hidden="false" customHeight="false" outlineLevel="0" collapsed="false">
      <c r="A579" s="12"/>
      <c r="B579" s="13"/>
      <c r="C579" s="14"/>
      <c r="D579" s="14"/>
      <c r="E579" s="13"/>
      <c r="F579" s="15"/>
      <c r="G579" s="16" t="str">
        <f aca="false">IF(OR(B579="",A579=""),"",C579*IFERROR(INDEX(Kişiler!$B$5:$B$44,MATCH(B579,Kişiler!$A$5:$A$44,0)),0)+D579*IFERROR(INDEX(Kişiler!$C$5:$C$44,MATCH(B579,Kişiler!$A$5:$A$44,0)),0))</f>
        <v/>
      </c>
    </row>
    <row r="580" customFormat="false" ht="15" hidden="false" customHeight="false" outlineLevel="0" collapsed="false">
      <c r="A580" s="12"/>
      <c r="B580" s="13"/>
      <c r="C580" s="14"/>
      <c r="D580" s="14"/>
      <c r="E580" s="13"/>
      <c r="F580" s="15"/>
      <c r="G580" s="16" t="str">
        <f aca="false">IF(OR(B580="",A580=""),"",C580*IFERROR(INDEX(Kişiler!$B$5:$B$44,MATCH(B580,Kişiler!$A$5:$A$44,0)),0)+D580*IFERROR(INDEX(Kişiler!$C$5:$C$44,MATCH(B580,Kişiler!$A$5:$A$44,0)),0))</f>
        <v/>
      </c>
    </row>
    <row r="581" customFormat="false" ht="15" hidden="false" customHeight="false" outlineLevel="0" collapsed="false">
      <c r="A581" s="12"/>
      <c r="B581" s="13"/>
      <c r="C581" s="14"/>
      <c r="D581" s="14"/>
      <c r="E581" s="13"/>
      <c r="F581" s="15"/>
      <c r="G581" s="16" t="str">
        <f aca="false">IF(OR(B581="",A581=""),"",C581*IFERROR(INDEX(Kişiler!$B$5:$B$44,MATCH(B581,Kişiler!$A$5:$A$44,0)),0)+D581*IFERROR(INDEX(Kişiler!$C$5:$C$44,MATCH(B581,Kişiler!$A$5:$A$44,0)),0))</f>
        <v/>
      </c>
    </row>
    <row r="582" customFormat="false" ht="15" hidden="false" customHeight="false" outlineLevel="0" collapsed="false">
      <c r="A582" s="12"/>
      <c r="B582" s="13"/>
      <c r="C582" s="14"/>
      <c r="D582" s="14"/>
      <c r="E582" s="13"/>
      <c r="F582" s="15"/>
      <c r="G582" s="16" t="str">
        <f aca="false">IF(OR(B582="",A582=""),"",C582*IFERROR(INDEX(Kişiler!$B$5:$B$44,MATCH(B582,Kişiler!$A$5:$A$44,0)),0)+D582*IFERROR(INDEX(Kişiler!$C$5:$C$44,MATCH(B582,Kişiler!$A$5:$A$44,0)),0))</f>
        <v/>
      </c>
    </row>
    <row r="583" customFormat="false" ht="15" hidden="false" customHeight="false" outlineLevel="0" collapsed="false">
      <c r="A583" s="12"/>
      <c r="B583" s="13"/>
      <c r="C583" s="14"/>
      <c r="D583" s="14"/>
      <c r="E583" s="13"/>
      <c r="F583" s="15"/>
      <c r="G583" s="16" t="str">
        <f aca="false">IF(OR(B583="",A583=""),"",C583*IFERROR(INDEX(Kişiler!$B$5:$B$44,MATCH(B583,Kişiler!$A$5:$A$44,0)),0)+D583*IFERROR(INDEX(Kişiler!$C$5:$C$44,MATCH(B583,Kişiler!$A$5:$A$44,0)),0))</f>
        <v/>
      </c>
    </row>
    <row r="584" customFormat="false" ht="15" hidden="false" customHeight="false" outlineLevel="0" collapsed="false">
      <c r="A584" s="12"/>
      <c r="B584" s="13"/>
      <c r="C584" s="14"/>
      <c r="D584" s="14"/>
      <c r="E584" s="13"/>
      <c r="F584" s="15"/>
      <c r="G584" s="16" t="str">
        <f aca="false">IF(OR(B584="",A584=""),"",C584*IFERROR(INDEX(Kişiler!$B$5:$B$44,MATCH(B584,Kişiler!$A$5:$A$44,0)),0)+D584*IFERROR(INDEX(Kişiler!$C$5:$C$44,MATCH(B584,Kişiler!$A$5:$A$44,0)),0))</f>
        <v/>
      </c>
    </row>
    <row r="585" customFormat="false" ht="15" hidden="false" customHeight="false" outlineLevel="0" collapsed="false">
      <c r="A585" s="12"/>
      <c r="B585" s="13"/>
      <c r="C585" s="14"/>
      <c r="D585" s="14"/>
      <c r="E585" s="13"/>
      <c r="F585" s="15"/>
      <c r="G585" s="16" t="str">
        <f aca="false">IF(OR(B585="",A585=""),"",C585*IFERROR(INDEX(Kişiler!$B$5:$B$44,MATCH(B585,Kişiler!$A$5:$A$44,0)),0)+D585*IFERROR(INDEX(Kişiler!$C$5:$C$44,MATCH(B585,Kişiler!$A$5:$A$44,0)),0))</f>
        <v/>
      </c>
    </row>
    <row r="586" customFormat="false" ht="15" hidden="false" customHeight="false" outlineLevel="0" collapsed="false">
      <c r="A586" s="12"/>
      <c r="B586" s="13"/>
      <c r="C586" s="14"/>
      <c r="D586" s="14"/>
      <c r="E586" s="13"/>
      <c r="F586" s="15"/>
      <c r="G586" s="16" t="str">
        <f aca="false">IF(OR(B586="",A586=""),"",C586*IFERROR(INDEX(Kişiler!$B$5:$B$44,MATCH(B586,Kişiler!$A$5:$A$44,0)),0)+D586*IFERROR(INDEX(Kişiler!$C$5:$C$44,MATCH(B586,Kişiler!$A$5:$A$44,0)),0))</f>
        <v/>
      </c>
    </row>
    <row r="587" customFormat="false" ht="15" hidden="false" customHeight="false" outlineLevel="0" collapsed="false">
      <c r="A587" s="12"/>
      <c r="B587" s="13"/>
      <c r="C587" s="14"/>
      <c r="D587" s="14"/>
      <c r="E587" s="13"/>
      <c r="F587" s="15"/>
      <c r="G587" s="16" t="str">
        <f aca="false">IF(OR(B587="",A587=""),"",C587*IFERROR(INDEX(Kişiler!$B$5:$B$44,MATCH(B587,Kişiler!$A$5:$A$44,0)),0)+D587*IFERROR(INDEX(Kişiler!$C$5:$C$44,MATCH(B587,Kişiler!$A$5:$A$44,0)),0))</f>
        <v/>
      </c>
    </row>
    <row r="588" customFormat="false" ht="15" hidden="false" customHeight="false" outlineLevel="0" collapsed="false">
      <c r="A588" s="12"/>
      <c r="B588" s="13"/>
      <c r="C588" s="14"/>
      <c r="D588" s="14"/>
      <c r="E588" s="13"/>
      <c r="F588" s="15"/>
      <c r="G588" s="16" t="str">
        <f aca="false">IF(OR(B588="",A588=""),"",C588*IFERROR(INDEX(Kişiler!$B$5:$B$44,MATCH(B588,Kişiler!$A$5:$A$44,0)),0)+D588*IFERROR(INDEX(Kişiler!$C$5:$C$44,MATCH(B588,Kişiler!$A$5:$A$44,0)),0))</f>
        <v/>
      </c>
    </row>
    <row r="589" customFormat="false" ht="15" hidden="false" customHeight="false" outlineLevel="0" collapsed="false">
      <c r="A589" s="12"/>
      <c r="B589" s="13"/>
      <c r="C589" s="14"/>
      <c r="D589" s="14"/>
      <c r="E589" s="13"/>
      <c r="F589" s="15"/>
      <c r="G589" s="16" t="str">
        <f aca="false">IF(OR(B589="",A589=""),"",C589*IFERROR(INDEX(Kişiler!$B$5:$B$44,MATCH(B589,Kişiler!$A$5:$A$44,0)),0)+D589*IFERROR(INDEX(Kişiler!$C$5:$C$44,MATCH(B589,Kişiler!$A$5:$A$44,0)),0))</f>
        <v/>
      </c>
    </row>
    <row r="590" customFormat="false" ht="15" hidden="false" customHeight="false" outlineLevel="0" collapsed="false">
      <c r="A590" s="12"/>
      <c r="B590" s="13"/>
      <c r="C590" s="14"/>
      <c r="D590" s="14"/>
      <c r="E590" s="13"/>
      <c r="F590" s="15"/>
      <c r="G590" s="16" t="str">
        <f aca="false">IF(OR(B590="",A590=""),"",C590*IFERROR(INDEX(Kişiler!$B$5:$B$44,MATCH(B590,Kişiler!$A$5:$A$44,0)),0)+D590*IFERROR(INDEX(Kişiler!$C$5:$C$44,MATCH(B590,Kişiler!$A$5:$A$44,0)),0))</f>
        <v/>
      </c>
    </row>
    <row r="591" customFormat="false" ht="15" hidden="false" customHeight="false" outlineLevel="0" collapsed="false">
      <c r="A591" s="12"/>
      <c r="B591" s="13"/>
      <c r="C591" s="14"/>
      <c r="D591" s="14"/>
      <c r="E591" s="13"/>
      <c r="F591" s="15"/>
      <c r="G591" s="16" t="str">
        <f aca="false">IF(OR(B591="",A591=""),"",C591*IFERROR(INDEX(Kişiler!$B$5:$B$44,MATCH(B591,Kişiler!$A$5:$A$44,0)),0)+D591*IFERROR(INDEX(Kişiler!$C$5:$C$44,MATCH(B591,Kişiler!$A$5:$A$44,0)),0))</f>
        <v/>
      </c>
    </row>
    <row r="592" customFormat="false" ht="15" hidden="false" customHeight="false" outlineLevel="0" collapsed="false">
      <c r="A592" s="12"/>
      <c r="B592" s="13"/>
      <c r="C592" s="14"/>
      <c r="D592" s="14"/>
      <c r="E592" s="13"/>
      <c r="F592" s="15"/>
      <c r="G592" s="16" t="str">
        <f aca="false">IF(OR(B592="",A592=""),"",C592*IFERROR(INDEX(Kişiler!$B$5:$B$44,MATCH(B592,Kişiler!$A$5:$A$44,0)),0)+D592*IFERROR(INDEX(Kişiler!$C$5:$C$44,MATCH(B592,Kişiler!$A$5:$A$44,0)),0))</f>
        <v/>
      </c>
    </row>
    <row r="593" customFormat="false" ht="15" hidden="false" customHeight="false" outlineLevel="0" collapsed="false">
      <c r="A593" s="12"/>
      <c r="B593" s="13"/>
      <c r="C593" s="14"/>
      <c r="D593" s="14"/>
      <c r="E593" s="13"/>
      <c r="F593" s="15"/>
      <c r="G593" s="16" t="str">
        <f aca="false">IF(OR(B593="",A593=""),"",C593*IFERROR(INDEX(Kişiler!$B$5:$B$44,MATCH(B593,Kişiler!$A$5:$A$44,0)),0)+D593*IFERROR(INDEX(Kişiler!$C$5:$C$44,MATCH(B593,Kişiler!$A$5:$A$44,0)),0))</f>
        <v/>
      </c>
    </row>
    <row r="594" customFormat="false" ht="15" hidden="false" customHeight="false" outlineLevel="0" collapsed="false">
      <c r="A594" s="12"/>
      <c r="B594" s="13"/>
      <c r="C594" s="14"/>
      <c r="D594" s="14"/>
      <c r="E594" s="13"/>
      <c r="F594" s="15"/>
      <c r="G594" s="16" t="str">
        <f aca="false">IF(OR(B594="",A594=""),"",C594*IFERROR(INDEX(Kişiler!$B$5:$B$44,MATCH(B594,Kişiler!$A$5:$A$44,0)),0)+D594*IFERROR(INDEX(Kişiler!$C$5:$C$44,MATCH(B594,Kişiler!$A$5:$A$44,0)),0))</f>
        <v/>
      </c>
    </row>
    <row r="595" customFormat="false" ht="15" hidden="false" customHeight="false" outlineLevel="0" collapsed="false">
      <c r="A595" s="12"/>
      <c r="B595" s="13"/>
      <c r="C595" s="14"/>
      <c r="D595" s="14"/>
      <c r="E595" s="13"/>
      <c r="F595" s="15"/>
      <c r="G595" s="16" t="str">
        <f aca="false">IF(OR(B595="",A595=""),"",C595*IFERROR(INDEX(Kişiler!$B$5:$B$44,MATCH(B595,Kişiler!$A$5:$A$44,0)),0)+D595*IFERROR(INDEX(Kişiler!$C$5:$C$44,MATCH(B595,Kişiler!$A$5:$A$44,0)),0))</f>
        <v/>
      </c>
    </row>
    <row r="596" customFormat="false" ht="15" hidden="false" customHeight="false" outlineLevel="0" collapsed="false">
      <c r="A596" s="12"/>
      <c r="B596" s="13"/>
      <c r="C596" s="14"/>
      <c r="D596" s="14"/>
      <c r="E596" s="13"/>
      <c r="F596" s="15"/>
      <c r="G596" s="16" t="str">
        <f aca="false">IF(OR(B596="",A596=""),"",C596*IFERROR(INDEX(Kişiler!$B$5:$B$44,MATCH(B596,Kişiler!$A$5:$A$44,0)),0)+D596*IFERROR(INDEX(Kişiler!$C$5:$C$44,MATCH(B596,Kişiler!$A$5:$A$44,0)),0))</f>
        <v/>
      </c>
    </row>
    <row r="597" customFormat="false" ht="15" hidden="false" customHeight="false" outlineLevel="0" collapsed="false">
      <c r="A597" s="12"/>
      <c r="B597" s="13"/>
      <c r="C597" s="14"/>
      <c r="D597" s="14"/>
      <c r="E597" s="13"/>
      <c r="F597" s="15"/>
      <c r="G597" s="16" t="str">
        <f aca="false">IF(OR(B597="",A597=""),"",C597*IFERROR(INDEX(Kişiler!$B$5:$B$44,MATCH(B597,Kişiler!$A$5:$A$44,0)),0)+D597*IFERROR(INDEX(Kişiler!$C$5:$C$44,MATCH(B597,Kişiler!$A$5:$A$44,0)),0))</f>
        <v/>
      </c>
    </row>
    <row r="598" customFormat="false" ht="15" hidden="false" customHeight="false" outlineLevel="0" collapsed="false">
      <c r="A598" s="12"/>
      <c r="B598" s="13"/>
      <c r="C598" s="14"/>
      <c r="D598" s="14"/>
      <c r="E598" s="13"/>
      <c r="F598" s="15"/>
      <c r="G598" s="16" t="str">
        <f aca="false">IF(OR(B598="",A598=""),"",C598*IFERROR(INDEX(Kişiler!$B$5:$B$44,MATCH(B598,Kişiler!$A$5:$A$44,0)),0)+D598*IFERROR(INDEX(Kişiler!$C$5:$C$44,MATCH(B598,Kişiler!$A$5:$A$44,0)),0))</f>
        <v/>
      </c>
    </row>
    <row r="599" customFormat="false" ht="15" hidden="false" customHeight="false" outlineLevel="0" collapsed="false">
      <c r="A599" s="12"/>
      <c r="B599" s="13"/>
      <c r="C599" s="14"/>
      <c r="D599" s="14"/>
      <c r="E599" s="13"/>
      <c r="F599" s="15"/>
      <c r="G599" s="16" t="str">
        <f aca="false">IF(OR(B599="",A599=""),"",C599*IFERROR(INDEX(Kişiler!$B$5:$B$44,MATCH(B599,Kişiler!$A$5:$A$44,0)),0)+D599*IFERROR(INDEX(Kişiler!$C$5:$C$44,MATCH(B599,Kişiler!$A$5:$A$44,0)),0))</f>
        <v/>
      </c>
    </row>
    <row r="600" customFormat="false" ht="15" hidden="false" customHeight="false" outlineLevel="0" collapsed="false">
      <c r="A600" s="12"/>
      <c r="B600" s="13"/>
      <c r="C600" s="14"/>
      <c r="D600" s="14"/>
      <c r="E600" s="13"/>
      <c r="F600" s="15"/>
      <c r="G600" s="16" t="str">
        <f aca="false">IF(OR(B600="",A600=""),"",C600*IFERROR(INDEX(Kişiler!$B$5:$B$44,MATCH(B600,Kişiler!$A$5:$A$44,0)),0)+D600*IFERROR(INDEX(Kişiler!$C$5:$C$44,MATCH(B600,Kişiler!$A$5:$A$44,0)),0))</f>
        <v/>
      </c>
    </row>
    <row r="601" customFormat="false" ht="15" hidden="false" customHeight="false" outlineLevel="0" collapsed="false">
      <c r="A601" s="12"/>
      <c r="B601" s="13"/>
      <c r="C601" s="14"/>
      <c r="D601" s="14"/>
      <c r="E601" s="13"/>
      <c r="F601" s="15"/>
      <c r="G601" s="16" t="str">
        <f aca="false">IF(OR(B601="",A601=""),"",C601*IFERROR(INDEX(Kişiler!$B$5:$B$44,MATCH(B601,Kişiler!$A$5:$A$44,0)),0)+D601*IFERROR(INDEX(Kişiler!$C$5:$C$44,MATCH(B601,Kişiler!$A$5:$A$44,0)),0))</f>
        <v/>
      </c>
    </row>
    <row r="602" customFormat="false" ht="15" hidden="false" customHeight="false" outlineLevel="0" collapsed="false">
      <c r="A602" s="12"/>
      <c r="B602" s="13"/>
      <c r="C602" s="14"/>
      <c r="D602" s="14"/>
      <c r="E602" s="13"/>
      <c r="F602" s="15"/>
      <c r="G602" s="16" t="str">
        <f aca="false">IF(OR(B602="",A602=""),"",C602*IFERROR(INDEX(Kişiler!$B$5:$B$44,MATCH(B602,Kişiler!$A$5:$A$44,0)),0)+D602*IFERROR(INDEX(Kişiler!$C$5:$C$44,MATCH(B602,Kişiler!$A$5:$A$44,0)),0))</f>
        <v/>
      </c>
    </row>
    <row r="603" customFormat="false" ht="15" hidden="false" customHeight="false" outlineLevel="0" collapsed="false">
      <c r="A603" s="12"/>
      <c r="B603" s="13"/>
      <c r="C603" s="14"/>
      <c r="D603" s="14"/>
      <c r="E603" s="13"/>
      <c r="F603" s="15"/>
      <c r="G603" s="16" t="str">
        <f aca="false">IF(OR(B603="",A603=""),"",C603*IFERROR(INDEX(Kişiler!$B$5:$B$44,MATCH(B603,Kişiler!$A$5:$A$44,0)),0)+D603*IFERROR(INDEX(Kişiler!$C$5:$C$44,MATCH(B603,Kişiler!$A$5:$A$44,0)),0))</f>
        <v/>
      </c>
    </row>
    <row r="604" customFormat="false" ht="15" hidden="false" customHeight="false" outlineLevel="0" collapsed="false">
      <c r="A604" s="12"/>
      <c r="B604" s="13"/>
      <c r="C604" s="14"/>
      <c r="D604" s="14"/>
      <c r="E604" s="13"/>
      <c r="F604" s="15"/>
      <c r="G604" s="16" t="str">
        <f aca="false">IF(OR(B604="",A604=""),"",C604*IFERROR(INDEX(Kişiler!$B$5:$B$44,MATCH(B604,Kişiler!$A$5:$A$44,0)),0)+D604*IFERROR(INDEX(Kişiler!$C$5:$C$44,MATCH(B604,Kişiler!$A$5:$A$44,0)),0))</f>
        <v/>
      </c>
    </row>
    <row r="605" customFormat="false" ht="15" hidden="false" customHeight="false" outlineLevel="0" collapsed="false">
      <c r="A605" s="12"/>
      <c r="B605" s="13"/>
      <c r="C605" s="14"/>
      <c r="D605" s="14"/>
      <c r="E605" s="13"/>
      <c r="F605" s="15"/>
      <c r="G605" s="16" t="str">
        <f aca="false">IF(OR(B605="",A605=""),"",C605*IFERROR(INDEX(Kişiler!$B$5:$B$44,MATCH(B605,Kişiler!$A$5:$A$44,0)),0)+D605*IFERROR(INDEX(Kişiler!$C$5:$C$44,MATCH(B605,Kişiler!$A$5:$A$44,0)),0))</f>
        <v/>
      </c>
    </row>
    <row r="606" customFormat="false" ht="15" hidden="false" customHeight="false" outlineLevel="0" collapsed="false">
      <c r="A606" s="12"/>
      <c r="B606" s="13"/>
      <c r="C606" s="14"/>
      <c r="D606" s="14"/>
      <c r="E606" s="13"/>
      <c r="F606" s="15"/>
      <c r="G606" s="16" t="str">
        <f aca="false">IF(OR(B606="",A606=""),"",C606*IFERROR(INDEX(Kişiler!$B$5:$B$44,MATCH(B606,Kişiler!$A$5:$A$44,0)),0)+D606*IFERROR(INDEX(Kişiler!$C$5:$C$44,MATCH(B606,Kişiler!$A$5:$A$44,0)),0))</f>
        <v/>
      </c>
    </row>
    <row r="607" customFormat="false" ht="15" hidden="false" customHeight="false" outlineLevel="0" collapsed="false">
      <c r="A607" s="12"/>
      <c r="B607" s="13"/>
      <c r="C607" s="14"/>
      <c r="D607" s="14"/>
      <c r="E607" s="13"/>
      <c r="F607" s="15"/>
      <c r="G607" s="16" t="str">
        <f aca="false">IF(OR(B607="",A607=""),"",C607*IFERROR(INDEX(Kişiler!$B$5:$B$44,MATCH(B607,Kişiler!$A$5:$A$44,0)),0)+D607*IFERROR(INDEX(Kişiler!$C$5:$C$44,MATCH(B607,Kişiler!$A$5:$A$44,0)),0))</f>
        <v/>
      </c>
    </row>
    <row r="608" customFormat="false" ht="15" hidden="false" customHeight="false" outlineLevel="0" collapsed="false">
      <c r="A608" s="12"/>
      <c r="B608" s="13"/>
      <c r="C608" s="14"/>
      <c r="D608" s="14"/>
      <c r="E608" s="13"/>
      <c r="F608" s="15"/>
      <c r="G608" s="16" t="str">
        <f aca="false">IF(OR(B608="",A608=""),"",C608*IFERROR(INDEX(Kişiler!$B$5:$B$44,MATCH(B608,Kişiler!$A$5:$A$44,0)),0)+D608*IFERROR(INDEX(Kişiler!$C$5:$C$44,MATCH(B608,Kişiler!$A$5:$A$44,0)),0))</f>
        <v/>
      </c>
    </row>
    <row r="609" customFormat="false" ht="15" hidden="false" customHeight="false" outlineLevel="0" collapsed="false">
      <c r="A609" s="12"/>
      <c r="B609" s="13"/>
      <c r="C609" s="14"/>
      <c r="D609" s="14"/>
      <c r="E609" s="13"/>
      <c r="F609" s="15"/>
      <c r="G609" s="16" t="str">
        <f aca="false">IF(OR(B609="",A609=""),"",C609*IFERROR(INDEX(Kişiler!$B$5:$B$44,MATCH(B609,Kişiler!$A$5:$A$44,0)),0)+D609*IFERROR(INDEX(Kişiler!$C$5:$C$44,MATCH(B609,Kişiler!$A$5:$A$44,0)),0))</f>
        <v/>
      </c>
    </row>
    <row r="610" customFormat="false" ht="15" hidden="false" customHeight="false" outlineLevel="0" collapsed="false">
      <c r="A610" s="12"/>
      <c r="B610" s="13"/>
      <c r="C610" s="14"/>
      <c r="D610" s="14"/>
      <c r="E610" s="13"/>
      <c r="F610" s="15"/>
      <c r="G610" s="16" t="str">
        <f aca="false">IF(OR(B610="",A610=""),"",C610*IFERROR(INDEX(Kişiler!$B$5:$B$44,MATCH(B610,Kişiler!$A$5:$A$44,0)),0)+D610*IFERROR(INDEX(Kişiler!$C$5:$C$44,MATCH(B610,Kişiler!$A$5:$A$44,0)),0))</f>
        <v/>
      </c>
    </row>
    <row r="611" customFormat="false" ht="15" hidden="false" customHeight="false" outlineLevel="0" collapsed="false">
      <c r="A611" s="12"/>
      <c r="B611" s="13"/>
      <c r="C611" s="14"/>
      <c r="D611" s="14"/>
      <c r="E611" s="13"/>
      <c r="F611" s="15"/>
      <c r="G611" s="16" t="str">
        <f aca="false">IF(OR(B611="",A611=""),"",C611*IFERROR(INDEX(Kişiler!$B$5:$B$44,MATCH(B611,Kişiler!$A$5:$A$44,0)),0)+D611*IFERROR(INDEX(Kişiler!$C$5:$C$44,MATCH(B611,Kişiler!$A$5:$A$44,0)),0))</f>
        <v/>
      </c>
    </row>
    <row r="612" customFormat="false" ht="15" hidden="false" customHeight="false" outlineLevel="0" collapsed="false">
      <c r="A612" s="12"/>
      <c r="B612" s="13"/>
      <c r="C612" s="14"/>
      <c r="D612" s="14"/>
      <c r="E612" s="13"/>
      <c r="F612" s="15"/>
      <c r="G612" s="16" t="str">
        <f aca="false">IF(OR(B612="",A612=""),"",C612*IFERROR(INDEX(Kişiler!$B$5:$B$44,MATCH(B612,Kişiler!$A$5:$A$44,0)),0)+D612*IFERROR(INDEX(Kişiler!$C$5:$C$44,MATCH(B612,Kişiler!$A$5:$A$44,0)),0))</f>
        <v/>
      </c>
    </row>
    <row r="613" customFormat="false" ht="15" hidden="false" customHeight="false" outlineLevel="0" collapsed="false">
      <c r="A613" s="12"/>
      <c r="B613" s="13"/>
      <c r="C613" s="14"/>
      <c r="D613" s="14"/>
      <c r="E613" s="13"/>
      <c r="F613" s="15"/>
      <c r="G613" s="16" t="str">
        <f aca="false">IF(OR(B613="",A613=""),"",C613*IFERROR(INDEX(Kişiler!$B$5:$B$44,MATCH(B613,Kişiler!$A$5:$A$44,0)),0)+D613*IFERROR(INDEX(Kişiler!$C$5:$C$44,MATCH(B613,Kişiler!$A$5:$A$44,0)),0))</f>
        <v/>
      </c>
    </row>
    <row r="614" customFormat="false" ht="15" hidden="false" customHeight="false" outlineLevel="0" collapsed="false">
      <c r="A614" s="12"/>
      <c r="B614" s="13"/>
      <c r="C614" s="14"/>
      <c r="D614" s="14"/>
      <c r="E614" s="13"/>
      <c r="F614" s="15"/>
      <c r="G614" s="16" t="str">
        <f aca="false">IF(OR(B614="",A614=""),"",C614*IFERROR(INDEX(Kişiler!$B$5:$B$44,MATCH(B614,Kişiler!$A$5:$A$44,0)),0)+D614*IFERROR(INDEX(Kişiler!$C$5:$C$44,MATCH(B614,Kişiler!$A$5:$A$44,0)),0))</f>
        <v/>
      </c>
    </row>
    <row r="615" customFormat="false" ht="15" hidden="false" customHeight="false" outlineLevel="0" collapsed="false">
      <c r="A615" s="12"/>
      <c r="B615" s="13"/>
      <c r="C615" s="14"/>
      <c r="D615" s="14"/>
      <c r="E615" s="13"/>
      <c r="F615" s="15"/>
      <c r="G615" s="16" t="str">
        <f aca="false">IF(OR(B615="",A615=""),"",C615*IFERROR(INDEX(Kişiler!$B$5:$B$44,MATCH(B615,Kişiler!$A$5:$A$44,0)),0)+D615*IFERROR(INDEX(Kişiler!$C$5:$C$44,MATCH(B615,Kişiler!$A$5:$A$44,0)),0))</f>
        <v/>
      </c>
    </row>
    <row r="616" customFormat="false" ht="15" hidden="false" customHeight="false" outlineLevel="0" collapsed="false">
      <c r="A616" s="12"/>
      <c r="B616" s="13"/>
      <c r="C616" s="14"/>
      <c r="D616" s="14"/>
      <c r="E616" s="13"/>
      <c r="F616" s="15"/>
      <c r="G616" s="16" t="str">
        <f aca="false">IF(OR(B616="",A616=""),"",C616*IFERROR(INDEX(Kişiler!$B$5:$B$44,MATCH(B616,Kişiler!$A$5:$A$44,0)),0)+D616*IFERROR(INDEX(Kişiler!$C$5:$C$44,MATCH(B616,Kişiler!$A$5:$A$44,0)),0))</f>
        <v/>
      </c>
    </row>
    <row r="617" customFormat="false" ht="15" hidden="false" customHeight="false" outlineLevel="0" collapsed="false">
      <c r="A617" s="12"/>
      <c r="B617" s="13"/>
      <c r="C617" s="14"/>
      <c r="D617" s="14"/>
      <c r="E617" s="13"/>
      <c r="F617" s="15"/>
      <c r="G617" s="16" t="str">
        <f aca="false">IF(OR(B617="",A617=""),"",C617*IFERROR(INDEX(Kişiler!$B$5:$B$44,MATCH(B617,Kişiler!$A$5:$A$44,0)),0)+D617*IFERROR(INDEX(Kişiler!$C$5:$C$44,MATCH(B617,Kişiler!$A$5:$A$44,0)),0))</f>
        <v/>
      </c>
    </row>
    <row r="618" customFormat="false" ht="15" hidden="false" customHeight="false" outlineLevel="0" collapsed="false">
      <c r="A618" s="12"/>
      <c r="B618" s="13"/>
      <c r="C618" s="14"/>
      <c r="D618" s="14"/>
      <c r="E618" s="13"/>
      <c r="F618" s="15"/>
      <c r="G618" s="16" t="str">
        <f aca="false">IF(OR(B618="",A618=""),"",C618*IFERROR(INDEX(Kişiler!$B$5:$B$44,MATCH(B618,Kişiler!$A$5:$A$44,0)),0)+D618*IFERROR(INDEX(Kişiler!$C$5:$C$44,MATCH(B618,Kişiler!$A$5:$A$44,0)),0))</f>
        <v/>
      </c>
    </row>
    <row r="619" customFormat="false" ht="15" hidden="false" customHeight="false" outlineLevel="0" collapsed="false">
      <c r="A619" s="12"/>
      <c r="B619" s="13"/>
      <c r="C619" s="14"/>
      <c r="D619" s="14"/>
      <c r="E619" s="13"/>
      <c r="F619" s="15"/>
      <c r="G619" s="16" t="str">
        <f aca="false">IF(OR(B619="",A619=""),"",C619*IFERROR(INDEX(Kişiler!$B$5:$B$44,MATCH(B619,Kişiler!$A$5:$A$44,0)),0)+D619*IFERROR(INDEX(Kişiler!$C$5:$C$44,MATCH(B619,Kişiler!$A$5:$A$44,0)),0))</f>
        <v/>
      </c>
    </row>
    <row r="620" customFormat="false" ht="15" hidden="false" customHeight="false" outlineLevel="0" collapsed="false">
      <c r="A620" s="12"/>
      <c r="B620" s="13"/>
      <c r="C620" s="14"/>
      <c r="D620" s="14"/>
      <c r="E620" s="13"/>
      <c r="F620" s="15"/>
      <c r="G620" s="16" t="str">
        <f aca="false">IF(OR(B620="",A620=""),"",C620*IFERROR(INDEX(Kişiler!$B$5:$B$44,MATCH(B620,Kişiler!$A$5:$A$44,0)),0)+D620*IFERROR(INDEX(Kişiler!$C$5:$C$44,MATCH(B620,Kişiler!$A$5:$A$44,0)),0))</f>
        <v/>
      </c>
    </row>
    <row r="621" customFormat="false" ht="15" hidden="false" customHeight="false" outlineLevel="0" collapsed="false">
      <c r="A621" s="12"/>
      <c r="B621" s="13"/>
      <c r="C621" s="14"/>
      <c r="D621" s="14"/>
      <c r="E621" s="13"/>
      <c r="F621" s="15"/>
      <c r="G621" s="16" t="str">
        <f aca="false">IF(OR(B621="",A621=""),"",C621*IFERROR(INDEX(Kişiler!$B$5:$B$44,MATCH(B621,Kişiler!$A$5:$A$44,0)),0)+D621*IFERROR(INDEX(Kişiler!$C$5:$C$44,MATCH(B621,Kişiler!$A$5:$A$44,0)),0))</f>
        <v/>
      </c>
    </row>
    <row r="622" customFormat="false" ht="15" hidden="false" customHeight="false" outlineLevel="0" collapsed="false">
      <c r="A622" s="12"/>
      <c r="B622" s="13"/>
      <c r="C622" s="14"/>
      <c r="D622" s="14"/>
      <c r="E622" s="13"/>
      <c r="F622" s="15"/>
      <c r="G622" s="16" t="str">
        <f aca="false">IF(OR(B622="",A622=""),"",C622*IFERROR(INDEX(Kişiler!$B$5:$B$44,MATCH(B622,Kişiler!$A$5:$A$44,0)),0)+D622*IFERROR(INDEX(Kişiler!$C$5:$C$44,MATCH(B622,Kişiler!$A$5:$A$44,0)),0))</f>
        <v/>
      </c>
    </row>
    <row r="623" customFormat="false" ht="15" hidden="false" customHeight="false" outlineLevel="0" collapsed="false">
      <c r="A623" s="12"/>
      <c r="B623" s="13"/>
      <c r="C623" s="14"/>
      <c r="D623" s="14"/>
      <c r="E623" s="13"/>
      <c r="F623" s="15"/>
      <c r="G623" s="16" t="str">
        <f aca="false">IF(OR(B623="",A623=""),"",C623*IFERROR(INDEX(Kişiler!$B$5:$B$44,MATCH(B623,Kişiler!$A$5:$A$44,0)),0)+D623*IFERROR(INDEX(Kişiler!$C$5:$C$44,MATCH(B623,Kişiler!$A$5:$A$44,0)),0))</f>
        <v/>
      </c>
    </row>
    <row r="624" customFormat="false" ht="15" hidden="false" customHeight="false" outlineLevel="0" collapsed="false">
      <c r="A624" s="12"/>
      <c r="B624" s="13"/>
      <c r="C624" s="14"/>
      <c r="D624" s="14"/>
      <c r="E624" s="13"/>
      <c r="F624" s="15"/>
      <c r="G624" s="16" t="str">
        <f aca="false">IF(OR(B624="",A624=""),"",C624*IFERROR(INDEX(Kişiler!$B$5:$B$44,MATCH(B624,Kişiler!$A$5:$A$44,0)),0)+D624*IFERROR(INDEX(Kişiler!$C$5:$C$44,MATCH(B624,Kişiler!$A$5:$A$44,0)),0))</f>
        <v/>
      </c>
    </row>
    <row r="625" customFormat="false" ht="15" hidden="false" customHeight="false" outlineLevel="0" collapsed="false">
      <c r="A625" s="12"/>
      <c r="B625" s="13"/>
      <c r="C625" s="14"/>
      <c r="D625" s="14"/>
      <c r="E625" s="13"/>
      <c r="F625" s="15"/>
      <c r="G625" s="16" t="str">
        <f aca="false">IF(OR(B625="",A625=""),"",C625*IFERROR(INDEX(Kişiler!$B$5:$B$44,MATCH(B625,Kişiler!$A$5:$A$44,0)),0)+D625*IFERROR(INDEX(Kişiler!$C$5:$C$44,MATCH(B625,Kişiler!$A$5:$A$44,0)),0))</f>
        <v/>
      </c>
    </row>
    <row r="626" customFormat="false" ht="15" hidden="false" customHeight="false" outlineLevel="0" collapsed="false">
      <c r="A626" s="12"/>
      <c r="B626" s="13"/>
      <c r="C626" s="14"/>
      <c r="D626" s="14"/>
      <c r="E626" s="13"/>
      <c r="F626" s="15"/>
      <c r="G626" s="16" t="str">
        <f aca="false">IF(OR(B626="",A626=""),"",C626*IFERROR(INDEX(Kişiler!$B$5:$B$44,MATCH(B626,Kişiler!$A$5:$A$44,0)),0)+D626*IFERROR(INDEX(Kişiler!$C$5:$C$44,MATCH(B626,Kişiler!$A$5:$A$44,0)),0))</f>
        <v/>
      </c>
    </row>
    <row r="627" customFormat="false" ht="15" hidden="false" customHeight="false" outlineLevel="0" collapsed="false">
      <c r="A627" s="12"/>
      <c r="B627" s="13"/>
      <c r="C627" s="14"/>
      <c r="D627" s="14"/>
      <c r="E627" s="13"/>
      <c r="F627" s="15"/>
      <c r="G627" s="16" t="str">
        <f aca="false">IF(OR(B627="",A627=""),"",C627*IFERROR(INDEX(Kişiler!$B$5:$B$44,MATCH(B627,Kişiler!$A$5:$A$44,0)),0)+D627*IFERROR(INDEX(Kişiler!$C$5:$C$44,MATCH(B627,Kişiler!$A$5:$A$44,0)),0))</f>
        <v/>
      </c>
    </row>
    <row r="628" customFormat="false" ht="15" hidden="false" customHeight="false" outlineLevel="0" collapsed="false">
      <c r="A628" s="12"/>
      <c r="B628" s="13"/>
      <c r="C628" s="14"/>
      <c r="D628" s="14"/>
      <c r="E628" s="13"/>
      <c r="F628" s="15"/>
      <c r="G628" s="16" t="str">
        <f aca="false">IF(OR(B628="",A628=""),"",C628*IFERROR(INDEX(Kişiler!$B$5:$B$44,MATCH(B628,Kişiler!$A$5:$A$44,0)),0)+D628*IFERROR(INDEX(Kişiler!$C$5:$C$44,MATCH(B628,Kişiler!$A$5:$A$44,0)),0))</f>
        <v/>
      </c>
    </row>
    <row r="629" customFormat="false" ht="15" hidden="false" customHeight="false" outlineLevel="0" collapsed="false">
      <c r="A629" s="12"/>
      <c r="B629" s="13"/>
      <c r="C629" s="14"/>
      <c r="D629" s="14"/>
      <c r="E629" s="13"/>
      <c r="F629" s="15"/>
      <c r="G629" s="16" t="str">
        <f aca="false">IF(OR(B629="",A629=""),"",C629*IFERROR(INDEX(Kişiler!$B$5:$B$44,MATCH(B629,Kişiler!$A$5:$A$44,0)),0)+D629*IFERROR(INDEX(Kişiler!$C$5:$C$44,MATCH(B629,Kişiler!$A$5:$A$44,0)),0))</f>
        <v/>
      </c>
    </row>
    <row r="630" customFormat="false" ht="15" hidden="false" customHeight="false" outlineLevel="0" collapsed="false">
      <c r="A630" s="12"/>
      <c r="B630" s="13"/>
      <c r="C630" s="14"/>
      <c r="D630" s="14"/>
      <c r="E630" s="13"/>
      <c r="F630" s="15"/>
      <c r="G630" s="16" t="str">
        <f aca="false">IF(OR(B630="",A630=""),"",C630*IFERROR(INDEX(Kişiler!$B$5:$B$44,MATCH(B630,Kişiler!$A$5:$A$44,0)),0)+D630*IFERROR(INDEX(Kişiler!$C$5:$C$44,MATCH(B630,Kişiler!$A$5:$A$44,0)),0))</f>
        <v/>
      </c>
    </row>
    <row r="631" customFormat="false" ht="15" hidden="false" customHeight="false" outlineLevel="0" collapsed="false">
      <c r="A631" s="12"/>
      <c r="B631" s="13"/>
      <c r="C631" s="14"/>
      <c r="D631" s="14"/>
      <c r="E631" s="13"/>
      <c r="F631" s="15"/>
      <c r="G631" s="16" t="str">
        <f aca="false">IF(OR(B631="",A631=""),"",C631*IFERROR(INDEX(Kişiler!$B$5:$B$44,MATCH(B631,Kişiler!$A$5:$A$44,0)),0)+D631*IFERROR(INDEX(Kişiler!$C$5:$C$44,MATCH(B631,Kişiler!$A$5:$A$44,0)),0))</f>
        <v/>
      </c>
    </row>
    <row r="632" customFormat="false" ht="15" hidden="false" customHeight="false" outlineLevel="0" collapsed="false">
      <c r="A632" s="12"/>
      <c r="B632" s="13"/>
      <c r="C632" s="14"/>
      <c r="D632" s="14"/>
      <c r="E632" s="13"/>
      <c r="F632" s="15"/>
      <c r="G632" s="16" t="str">
        <f aca="false">IF(OR(B632="",A632=""),"",C632*IFERROR(INDEX(Kişiler!$B$5:$B$44,MATCH(B632,Kişiler!$A$5:$A$44,0)),0)+D632*IFERROR(INDEX(Kişiler!$C$5:$C$44,MATCH(B632,Kişiler!$A$5:$A$44,0)),0))</f>
        <v/>
      </c>
    </row>
    <row r="633" customFormat="false" ht="15" hidden="false" customHeight="false" outlineLevel="0" collapsed="false">
      <c r="A633" s="12"/>
      <c r="B633" s="13"/>
      <c r="C633" s="14"/>
      <c r="D633" s="14"/>
      <c r="E633" s="13"/>
      <c r="F633" s="15"/>
      <c r="G633" s="16" t="str">
        <f aca="false">IF(OR(B633="",A633=""),"",C633*IFERROR(INDEX(Kişiler!$B$5:$B$44,MATCH(B633,Kişiler!$A$5:$A$44,0)),0)+D633*IFERROR(INDEX(Kişiler!$C$5:$C$44,MATCH(B633,Kişiler!$A$5:$A$44,0)),0))</f>
        <v/>
      </c>
    </row>
    <row r="634" customFormat="false" ht="15" hidden="false" customHeight="false" outlineLevel="0" collapsed="false">
      <c r="A634" s="12"/>
      <c r="B634" s="13"/>
      <c r="C634" s="14"/>
      <c r="D634" s="14"/>
      <c r="E634" s="13"/>
      <c r="F634" s="15"/>
      <c r="G634" s="16" t="str">
        <f aca="false">IF(OR(B634="",A634=""),"",C634*IFERROR(INDEX(Kişiler!$B$5:$B$44,MATCH(B634,Kişiler!$A$5:$A$44,0)),0)+D634*IFERROR(INDEX(Kişiler!$C$5:$C$44,MATCH(B634,Kişiler!$A$5:$A$44,0)),0))</f>
        <v/>
      </c>
    </row>
    <row r="635" customFormat="false" ht="15" hidden="false" customHeight="false" outlineLevel="0" collapsed="false">
      <c r="A635" s="12"/>
      <c r="B635" s="13"/>
      <c r="C635" s="14"/>
      <c r="D635" s="14"/>
      <c r="E635" s="13"/>
      <c r="F635" s="15"/>
      <c r="G635" s="16" t="str">
        <f aca="false">IF(OR(B635="",A635=""),"",C635*IFERROR(INDEX(Kişiler!$B$5:$B$44,MATCH(B635,Kişiler!$A$5:$A$44,0)),0)+D635*IFERROR(INDEX(Kişiler!$C$5:$C$44,MATCH(B635,Kişiler!$A$5:$A$44,0)),0))</f>
        <v/>
      </c>
    </row>
    <row r="636" customFormat="false" ht="15" hidden="false" customHeight="false" outlineLevel="0" collapsed="false">
      <c r="A636" s="12"/>
      <c r="B636" s="13"/>
      <c r="C636" s="14"/>
      <c r="D636" s="14"/>
      <c r="E636" s="13"/>
      <c r="F636" s="15"/>
      <c r="G636" s="16" t="str">
        <f aca="false">IF(OR(B636="",A636=""),"",C636*IFERROR(INDEX(Kişiler!$B$5:$B$44,MATCH(B636,Kişiler!$A$5:$A$44,0)),0)+D636*IFERROR(INDEX(Kişiler!$C$5:$C$44,MATCH(B636,Kişiler!$A$5:$A$44,0)),0))</f>
        <v/>
      </c>
    </row>
    <row r="637" customFormat="false" ht="15" hidden="false" customHeight="false" outlineLevel="0" collapsed="false">
      <c r="A637" s="12"/>
      <c r="B637" s="13"/>
      <c r="C637" s="14"/>
      <c r="D637" s="14"/>
      <c r="E637" s="13"/>
      <c r="F637" s="15"/>
      <c r="G637" s="16" t="str">
        <f aca="false">IF(OR(B637="",A637=""),"",C637*IFERROR(INDEX(Kişiler!$B$5:$B$44,MATCH(B637,Kişiler!$A$5:$A$44,0)),0)+D637*IFERROR(INDEX(Kişiler!$C$5:$C$44,MATCH(B637,Kişiler!$A$5:$A$44,0)),0))</f>
        <v/>
      </c>
    </row>
    <row r="638" customFormat="false" ht="15" hidden="false" customHeight="false" outlineLevel="0" collapsed="false">
      <c r="A638" s="12"/>
      <c r="B638" s="13"/>
      <c r="C638" s="14"/>
      <c r="D638" s="14"/>
      <c r="E638" s="13"/>
      <c r="F638" s="15"/>
      <c r="G638" s="16" t="str">
        <f aca="false">IF(OR(B638="",A638=""),"",C638*IFERROR(INDEX(Kişiler!$B$5:$B$44,MATCH(B638,Kişiler!$A$5:$A$44,0)),0)+D638*IFERROR(INDEX(Kişiler!$C$5:$C$44,MATCH(B638,Kişiler!$A$5:$A$44,0)),0))</f>
        <v/>
      </c>
    </row>
    <row r="639" customFormat="false" ht="15" hidden="false" customHeight="false" outlineLevel="0" collapsed="false">
      <c r="A639" s="12"/>
      <c r="B639" s="13"/>
      <c r="C639" s="14"/>
      <c r="D639" s="14"/>
      <c r="E639" s="13"/>
      <c r="F639" s="15"/>
      <c r="G639" s="16" t="str">
        <f aca="false">IF(OR(B639="",A639=""),"",C639*IFERROR(INDEX(Kişiler!$B$5:$B$44,MATCH(B639,Kişiler!$A$5:$A$44,0)),0)+D639*IFERROR(INDEX(Kişiler!$C$5:$C$44,MATCH(B639,Kişiler!$A$5:$A$44,0)),0))</f>
        <v/>
      </c>
    </row>
    <row r="640" customFormat="false" ht="15" hidden="false" customHeight="false" outlineLevel="0" collapsed="false">
      <c r="A640" s="12"/>
      <c r="B640" s="13"/>
      <c r="C640" s="14"/>
      <c r="D640" s="14"/>
      <c r="E640" s="13"/>
      <c r="F640" s="15"/>
      <c r="G640" s="16" t="str">
        <f aca="false">IF(OR(B640="",A640=""),"",C640*IFERROR(INDEX(Kişiler!$B$5:$B$44,MATCH(B640,Kişiler!$A$5:$A$44,0)),0)+D640*IFERROR(INDEX(Kişiler!$C$5:$C$44,MATCH(B640,Kişiler!$A$5:$A$44,0)),0))</f>
        <v/>
      </c>
    </row>
    <row r="641" customFormat="false" ht="15" hidden="false" customHeight="false" outlineLevel="0" collapsed="false">
      <c r="A641" s="12"/>
      <c r="B641" s="13"/>
      <c r="C641" s="14"/>
      <c r="D641" s="14"/>
      <c r="E641" s="13"/>
      <c r="F641" s="15"/>
      <c r="G641" s="16" t="str">
        <f aca="false">IF(OR(B641="",A641=""),"",C641*IFERROR(INDEX(Kişiler!$B$5:$B$44,MATCH(B641,Kişiler!$A$5:$A$44,0)),0)+D641*IFERROR(INDEX(Kişiler!$C$5:$C$44,MATCH(B641,Kişiler!$A$5:$A$44,0)),0))</f>
        <v/>
      </c>
    </row>
    <row r="642" customFormat="false" ht="15" hidden="false" customHeight="false" outlineLevel="0" collapsed="false">
      <c r="A642" s="12"/>
      <c r="B642" s="13"/>
      <c r="C642" s="14"/>
      <c r="D642" s="14"/>
      <c r="E642" s="13"/>
      <c r="F642" s="15"/>
      <c r="G642" s="16" t="str">
        <f aca="false">IF(OR(B642="",A642=""),"",C642*IFERROR(INDEX(Kişiler!$B$5:$B$44,MATCH(B642,Kişiler!$A$5:$A$44,0)),0)+D642*IFERROR(INDEX(Kişiler!$C$5:$C$44,MATCH(B642,Kişiler!$A$5:$A$44,0)),0))</f>
        <v/>
      </c>
    </row>
    <row r="643" customFormat="false" ht="15" hidden="false" customHeight="false" outlineLevel="0" collapsed="false">
      <c r="A643" s="12"/>
      <c r="B643" s="13"/>
      <c r="C643" s="14"/>
      <c r="D643" s="14"/>
      <c r="E643" s="13"/>
      <c r="F643" s="15"/>
      <c r="G643" s="16" t="str">
        <f aca="false">IF(OR(B643="",A643=""),"",C643*IFERROR(INDEX(Kişiler!$B$5:$B$44,MATCH(B643,Kişiler!$A$5:$A$44,0)),0)+D643*IFERROR(INDEX(Kişiler!$C$5:$C$44,MATCH(B643,Kişiler!$A$5:$A$44,0)),0))</f>
        <v/>
      </c>
    </row>
    <row r="644" customFormat="false" ht="15" hidden="false" customHeight="false" outlineLevel="0" collapsed="false">
      <c r="A644" s="12"/>
      <c r="B644" s="13"/>
      <c r="C644" s="14"/>
      <c r="D644" s="14"/>
      <c r="E644" s="13"/>
      <c r="F644" s="15"/>
      <c r="G644" s="16" t="str">
        <f aca="false">IF(OR(B644="",A644=""),"",C644*IFERROR(INDEX(Kişiler!$B$5:$B$44,MATCH(B644,Kişiler!$A$5:$A$44,0)),0)+D644*IFERROR(INDEX(Kişiler!$C$5:$C$44,MATCH(B644,Kişiler!$A$5:$A$44,0)),0))</f>
        <v/>
      </c>
    </row>
    <row r="645" customFormat="false" ht="15" hidden="false" customHeight="false" outlineLevel="0" collapsed="false">
      <c r="A645" s="12"/>
      <c r="B645" s="13"/>
      <c r="C645" s="14"/>
      <c r="D645" s="14"/>
      <c r="E645" s="13"/>
      <c r="F645" s="15"/>
      <c r="G645" s="16" t="str">
        <f aca="false">IF(OR(B645="",A645=""),"",C645*IFERROR(INDEX(Kişiler!$B$5:$B$44,MATCH(B645,Kişiler!$A$5:$A$44,0)),0)+D645*IFERROR(INDEX(Kişiler!$C$5:$C$44,MATCH(B645,Kişiler!$A$5:$A$44,0)),0))</f>
        <v/>
      </c>
    </row>
    <row r="646" customFormat="false" ht="15" hidden="false" customHeight="false" outlineLevel="0" collapsed="false">
      <c r="A646" s="12"/>
      <c r="B646" s="13"/>
      <c r="C646" s="14"/>
      <c r="D646" s="14"/>
      <c r="E646" s="13"/>
      <c r="F646" s="15"/>
      <c r="G646" s="16" t="str">
        <f aca="false">IF(OR(B646="",A646=""),"",C646*IFERROR(INDEX(Kişiler!$B$5:$B$44,MATCH(B646,Kişiler!$A$5:$A$44,0)),0)+D646*IFERROR(INDEX(Kişiler!$C$5:$C$44,MATCH(B646,Kişiler!$A$5:$A$44,0)),0))</f>
        <v/>
      </c>
    </row>
    <row r="647" customFormat="false" ht="15" hidden="false" customHeight="false" outlineLevel="0" collapsed="false">
      <c r="A647" s="12"/>
      <c r="B647" s="13"/>
      <c r="C647" s="14"/>
      <c r="D647" s="14"/>
      <c r="E647" s="13"/>
      <c r="F647" s="15"/>
      <c r="G647" s="16" t="str">
        <f aca="false">IF(OR(B647="",A647=""),"",C647*IFERROR(INDEX(Kişiler!$B$5:$B$44,MATCH(B647,Kişiler!$A$5:$A$44,0)),0)+D647*IFERROR(INDEX(Kişiler!$C$5:$C$44,MATCH(B647,Kişiler!$A$5:$A$44,0)),0))</f>
        <v/>
      </c>
    </row>
    <row r="648" customFormat="false" ht="15" hidden="false" customHeight="false" outlineLevel="0" collapsed="false">
      <c r="A648" s="12"/>
      <c r="B648" s="13"/>
      <c r="C648" s="14"/>
      <c r="D648" s="14"/>
      <c r="E648" s="13"/>
      <c r="F648" s="15"/>
      <c r="G648" s="16" t="str">
        <f aca="false">IF(OR(B648="",A648=""),"",C648*IFERROR(INDEX(Kişiler!$B$5:$B$44,MATCH(B648,Kişiler!$A$5:$A$44,0)),0)+D648*IFERROR(INDEX(Kişiler!$C$5:$C$44,MATCH(B648,Kişiler!$A$5:$A$44,0)),0))</f>
        <v/>
      </c>
    </row>
    <row r="649" customFormat="false" ht="15" hidden="false" customHeight="false" outlineLevel="0" collapsed="false">
      <c r="A649" s="12"/>
      <c r="B649" s="13"/>
      <c r="C649" s="14"/>
      <c r="D649" s="14"/>
      <c r="E649" s="13"/>
      <c r="F649" s="15"/>
      <c r="G649" s="16" t="str">
        <f aca="false">IF(OR(B649="",A649=""),"",C649*IFERROR(INDEX(Kişiler!$B$5:$B$44,MATCH(B649,Kişiler!$A$5:$A$44,0)),0)+D649*IFERROR(INDEX(Kişiler!$C$5:$C$44,MATCH(B649,Kişiler!$A$5:$A$44,0)),0))</f>
        <v/>
      </c>
    </row>
    <row r="650" customFormat="false" ht="15" hidden="false" customHeight="false" outlineLevel="0" collapsed="false">
      <c r="A650" s="12"/>
      <c r="B650" s="13"/>
      <c r="C650" s="14"/>
      <c r="D650" s="14"/>
      <c r="E650" s="13"/>
      <c r="F650" s="15"/>
      <c r="G650" s="16" t="str">
        <f aca="false">IF(OR(B650="",A650=""),"",C650*IFERROR(INDEX(Kişiler!$B$5:$B$44,MATCH(B650,Kişiler!$A$5:$A$44,0)),0)+D650*IFERROR(INDEX(Kişiler!$C$5:$C$44,MATCH(B650,Kişiler!$A$5:$A$44,0)),0))</f>
        <v/>
      </c>
    </row>
    <row r="651" customFormat="false" ht="15" hidden="false" customHeight="false" outlineLevel="0" collapsed="false">
      <c r="A651" s="12"/>
      <c r="B651" s="13"/>
      <c r="C651" s="14"/>
      <c r="D651" s="14"/>
      <c r="E651" s="13"/>
      <c r="F651" s="15"/>
      <c r="G651" s="16" t="str">
        <f aca="false">IF(OR(B651="",A651=""),"",C651*IFERROR(INDEX(Kişiler!$B$5:$B$44,MATCH(B651,Kişiler!$A$5:$A$44,0)),0)+D651*IFERROR(INDEX(Kişiler!$C$5:$C$44,MATCH(B651,Kişiler!$A$5:$A$44,0)),0))</f>
        <v/>
      </c>
    </row>
    <row r="652" customFormat="false" ht="15" hidden="false" customHeight="false" outlineLevel="0" collapsed="false">
      <c r="A652" s="12"/>
      <c r="B652" s="13"/>
      <c r="C652" s="14"/>
      <c r="D652" s="14"/>
      <c r="E652" s="13"/>
      <c r="F652" s="15"/>
      <c r="G652" s="16" t="str">
        <f aca="false">IF(OR(B652="",A652=""),"",C652*IFERROR(INDEX(Kişiler!$B$5:$B$44,MATCH(B652,Kişiler!$A$5:$A$44,0)),0)+D652*IFERROR(INDEX(Kişiler!$C$5:$C$44,MATCH(B652,Kişiler!$A$5:$A$44,0)),0))</f>
        <v/>
      </c>
    </row>
    <row r="653" customFormat="false" ht="15" hidden="false" customHeight="false" outlineLevel="0" collapsed="false">
      <c r="A653" s="12"/>
      <c r="B653" s="13"/>
      <c r="C653" s="14"/>
      <c r="D653" s="14"/>
      <c r="E653" s="13"/>
      <c r="F653" s="15"/>
      <c r="G653" s="16" t="str">
        <f aca="false">IF(OR(B653="",A653=""),"",C653*IFERROR(INDEX(Kişiler!$B$5:$B$44,MATCH(B653,Kişiler!$A$5:$A$44,0)),0)+D653*IFERROR(INDEX(Kişiler!$C$5:$C$44,MATCH(B653,Kişiler!$A$5:$A$44,0)),0))</f>
        <v/>
      </c>
    </row>
    <row r="654" customFormat="false" ht="15" hidden="false" customHeight="false" outlineLevel="0" collapsed="false">
      <c r="A654" s="12"/>
      <c r="B654" s="13"/>
      <c r="C654" s="14"/>
      <c r="D654" s="14"/>
      <c r="E654" s="13"/>
      <c r="F654" s="15"/>
      <c r="G654" s="16" t="str">
        <f aca="false">IF(OR(B654="",A654=""),"",C654*IFERROR(INDEX(Kişiler!$B$5:$B$44,MATCH(B654,Kişiler!$A$5:$A$44,0)),0)+D654*IFERROR(INDEX(Kişiler!$C$5:$C$44,MATCH(B654,Kişiler!$A$5:$A$44,0)),0))</f>
        <v/>
      </c>
    </row>
    <row r="655" customFormat="false" ht="15" hidden="false" customHeight="false" outlineLevel="0" collapsed="false">
      <c r="A655" s="12"/>
      <c r="B655" s="13"/>
      <c r="C655" s="14"/>
      <c r="D655" s="14"/>
      <c r="E655" s="13"/>
      <c r="F655" s="15"/>
      <c r="G655" s="16" t="str">
        <f aca="false">IF(OR(B655="",A655=""),"",C655*IFERROR(INDEX(Kişiler!$B$5:$B$44,MATCH(B655,Kişiler!$A$5:$A$44,0)),0)+D655*IFERROR(INDEX(Kişiler!$C$5:$C$44,MATCH(B655,Kişiler!$A$5:$A$44,0)),0))</f>
        <v/>
      </c>
    </row>
    <row r="656" customFormat="false" ht="15" hidden="false" customHeight="false" outlineLevel="0" collapsed="false">
      <c r="A656" s="12"/>
      <c r="B656" s="13"/>
      <c r="C656" s="14"/>
      <c r="D656" s="14"/>
      <c r="E656" s="13"/>
      <c r="F656" s="15"/>
      <c r="G656" s="16" t="str">
        <f aca="false">IF(OR(B656="",A656=""),"",C656*IFERROR(INDEX(Kişiler!$B$5:$B$44,MATCH(B656,Kişiler!$A$5:$A$44,0)),0)+D656*IFERROR(INDEX(Kişiler!$C$5:$C$44,MATCH(B656,Kişiler!$A$5:$A$44,0)),0))</f>
        <v/>
      </c>
    </row>
    <row r="657" customFormat="false" ht="15" hidden="false" customHeight="false" outlineLevel="0" collapsed="false">
      <c r="A657" s="12"/>
      <c r="B657" s="13"/>
      <c r="C657" s="14"/>
      <c r="D657" s="14"/>
      <c r="E657" s="13"/>
      <c r="F657" s="15"/>
      <c r="G657" s="16" t="str">
        <f aca="false">IF(OR(B657="",A657=""),"",C657*IFERROR(INDEX(Kişiler!$B$5:$B$44,MATCH(B657,Kişiler!$A$5:$A$44,0)),0)+D657*IFERROR(INDEX(Kişiler!$C$5:$C$44,MATCH(B657,Kişiler!$A$5:$A$44,0)),0))</f>
        <v/>
      </c>
    </row>
    <row r="658" customFormat="false" ht="15" hidden="false" customHeight="false" outlineLevel="0" collapsed="false">
      <c r="A658" s="12"/>
      <c r="B658" s="13"/>
      <c r="C658" s="14"/>
      <c r="D658" s="14"/>
      <c r="E658" s="13"/>
      <c r="F658" s="15"/>
      <c r="G658" s="16" t="str">
        <f aca="false">IF(OR(B658="",A658=""),"",C658*IFERROR(INDEX(Kişiler!$B$5:$B$44,MATCH(B658,Kişiler!$A$5:$A$44,0)),0)+D658*IFERROR(INDEX(Kişiler!$C$5:$C$44,MATCH(B658,Kişiler!$A$5:$A$44,0)),0))</f>
        <v/>
      </c>
    </row>
    <row r="659" customFormat="false" ht="15" hidden="false" customHeight="false" outlineLevel="0" collapsed="false">
      <c r="A659" s="12"/>
      <c r="B659" s="13"/>
      <c r="C659" s="14"/>
      <c r="D659" s="14"/>
      <c r="E659" s="13"/>
      <c r="F659" s="15"/>
      <c r="G659" s="16" t="str">
        <f aca="false">IF(OR(B659="",A659=""),"",C659*IFERROR(INDEX(Kişiler!$B$5:$B$44,MATCH(B659,Kişiler!$A$5:$A$44,0)),0)+D659*IFERROR(INDEX(Kişiler!$C$5:$C$44,MATCH(B659,Kişiler!$A$5:$A$44,0)),0))</f>
        <v/>
      </c>
    </row>
    <row r="660" customFormat="false" ht="15" hidden="false" customHeight="false" outlineLevel="0" collapsed="false">
      <c r="A660" s="12"/>
      <c r="B660" s="13"/>
      <c r="C660" s="14"/>
      <c r="D660" s="14"/>
      <c r="E660" s="13"/>
      <c r="F660" s="15"/>
      <c r="G660" s="16" t="str">
        <f aca="false">IF(OR(B660="",A660=""),"",C660*IFERROR(INDEX(Kişiler!$B$5:$B$44,MATCH(B660,Kişiler!$A$5:$A$44,0)),0)+D660*IFERROR(INDEX(Kişiler!$C$5:$C$44,MATCH(B660,Kişiler!$A$5:$A$44,0)),0))</f>
        <v/>
      </c>
    </row>
    <row r="661" customFormat="false" ht="15" hidden="false" customHeight="false" outlineLevel="0" collapsed="false">
      <c r="A661" s="12"/>
      <c r="B661" s="13"/>
      <c r="C661" s="14"/>
      <c r="D661" s="14"/>
      <c r="E661" s="13"/>
      <c r="F661" s="15"/>
      <c r="G661" s="16" t="str">
        <f aca="false">IF(OR(B661="",A661=""),"",C661*IFERROR(INDEX(Kişiler!$B$5:$B$44,MATCH(B661,Kişiler!$A$5:$A$44,0)),0)+D661*IFERROR(INDEX(Kişiler!$C$5:$C$44,MATCH(B661,Kişiler!$A$5:$A$44,0)),0))</f>
        <v/>
      </c>
    </row>
    <row r="662" customFormat="false" ht="15" hidden="false" customHeight="false" outlineLevel="0" collapsed="false">
      <c r="A662" s="12"/>
      <c r="B662" s="13"/>
      <c r="C662" s="14"/>
      <c r="D662" s="14"/>
      <c r="E662" s="13"/>
      <c r="F662" s="15"/>
      <c r="G662" s="16" t="str">
        <f aca="false">IF(OR(B662="",A662=""),"",C662*IFERROR(INDEX(Kişiler!$B$5:$B$44,MATCH(B662,Kişiler!$A$5:$A$44,0)),0)+D662*IFERROR(INDEX(Kişiler!$C$5:$C$44,MATCH(B662,Kişiler!$A$5:$A$44,0)),0))</f>
        <v/>
      </c>
    </row>
    <row r="663" customFormat="false" ht="15" hidden="false" customHeight="false" outlineLevel="0" collapsed="false">
      <c r="A663" s="12"/>
      <c r="B663" s="13"/>
      <c r="C663" s="14"/>
      <c r="D663" s="14"/>
      <c r="E663" s="13"/>
      <c r="F663" s="15"/>
      <c r="G663" s="16" t="str">
        <f aca="false">IF(OR(B663="",A663=""),"",C663*IFERROR(INDEX(Kişiler!$B$5:$B$44,MATCH(B663,Kişiler!$A$5:$A$44,0)),0)+D663*IFERROR(INDEX(Kişiler!$C$5:$C$44,MATCH(B663,Kişiler!$A$5:$A$44,0)),0))</f>
        <v/>
      </c>
    </row>
    <row r="664" customFormat="false" ht="15" hidden="false" customHeight="false" outlineLevel="0" collapsed="false">
      <c r="A664" s="12"/>
      <c r="B664" s="13"/>
      <c r="C664" s="14"/>
      <c r="D664" s="14"/>
      <c r="E664" s="13"/>
      <c r="F664" s="15"/>
      <c r="G664" s="16" t="str">
        <f aca="false">IF(OR(B664="",A664=""),"",C664*IFERROR(INDEX(Kişiler!$B$5:$B$44,MATCH(B664,Kişiler!$A$5:$A$44,0)),0)+D664*IFERROR(INDEX(Kişiler!$C$5:$C$44,MATCH(B664,Kişiler!$A$5:$A$44,0)),0))</f>
        <v/>
      </c>
    </row>
    <row r="665" customFormat="false" ht="15" hidden="false" customHeight="false" outlineLevel="0" collapsed="false">
      <c r="A665" s="12"/>
      <c r="B665" s="13"/>
      <c r="C665" s="14"/>
      <c r="D665" s="14"/>
      <c r="E665" s="13"/>
      <c r="F665" s="15"/>
      <c r="G665" s="16" t="str">
        <f aca="false">IF(OR(B665="",A665=""),"",C665*IFERROR(INDEX(Kişiler!$B$5:$B$44,MATCH(B665,Kişiler!$A$5:$A$44,0)),0)+D665*IFERROR(INDEX(Kişiler!$C$5:$C$44,MATCH(B665,Kişiler!$A$5:$A$44,0)),0))</f>
        <v/>
      </c>
    </row>
    <row r="666" customFormat="false" ht="15" hidden="false" customHeight="false" outlineLevel="0" collapsed="false">
      <c r="A666" s="12"/>
      <c r="B666" s="13"/>
      <c r="C666" s="14"/>
      <c r="D666" s="14"/>
      <c r="E666" s="13"/>
      <c r="F666" s="15"/>
      <c r="G666" s="16" t="str">
        <f aca="false">IF(OR(B666="",A666=""),"",C666*IFERROR(INDEX(Kişiler!$B$5:$B$44,MATCH(B666,Kişiler!$A$5:$A$44,0)),0)+D666*IFERROR(INDEX(Kişiler!$C$5:$C$44,MATCH(B666,Kişiler!$A$5:$A$44,0)),0))</f>
        <v/>
      </c>
    </row>
    <row r="667" customFormat="false" ht="15" hidden="false" customHeight="false" outlineLevel="0" collapsed="false">
      <c r="A667" s="12"/>
      <c r="B667" s="13"/>
      <c r="C667" s="14"/>
      <c r="D667" s="14"/>
      <c r="E667" s="13"/>
      <c r="F667" s="15"/>
      <c r="G667" s="16" t="str">
        <f aca="false">IF(OR(B667="",A667=""),"",C667*IFERROR(INDEX(Kişiler!$B$5:$B$44,MATCH(B667,Kişiler!$A$5:$A$44,0)),0)+D667*IFERROR(INDEX(Kişiler!$C$5:$C$44,MATCH(B667,Kişiler!$A$5:$A$44,0)),0))</f>
        <v/>
      </c>
    </row>
    <row r="668" customFormat="false" ht="15" hidden="false" customHeight="false" outlineLevel="0" collapsed="false">
      <c r="A668" s="12"/>
      <c r="B668" s="13"/>
      <c r="C668" s="14"/>
      <c r="D668" s="14"/>
      <c r="E668" s="13"/>
      <c r="F668" s="15"/>
      <c r="G668" s="16" t="str">
        <f aca="false">IF(OR(B668="",A668=""),"",C668*IFERROR(INDEX(Kişiler!$B$5:$B$44,MATCH(B668,Kişiler!$A$5:$A$44,0)),0)+D668*IFERROR(INDEX(Kişiler!$C$5:$C$44,MATCH(B668,Kişiler!$A$5:$A$44,0)),0))</f>
        <v/>
      </c>
    </row>
    <row r="669" customFormat="false" ht="15" hidden="false" customHeight="false" outlineLevel="0" collapsed="false">
      <c r="A669" s="12"/>
      <c r="B669" s="13"/>
      <c r="C669" s="14"/>
      <c r="D669" s="14"/>
      <c r="E669" s="13"/>
      <c r="F669" s="15"/>
      <c r="G669" s="16" t="str">
        <f aca="false">IF(OR(B669="",A669=""),"",C669*IFERROR(INDEX(Kişiler!$B$5:$B$44,MATCH(B669,Kişiler!$A$5:$A$44,0)),0)+D669*IFERROR(INDEX(Kişiler!$C$5:$C$44,MATCH(B669,Kişiler!$A$5:$A$44,0)),0))</f>
        <v/>
      </c>
    </row>
    <row r="670" customFormat="false" ht="15" hidden="false" customHeight="false" outlineLevel="0" collapsed="false">
      <c r="A670" s="12"/>
      <c r="B670" s="13"/>
      <c r="C670" s="14"/>
      <c r="D670" s="14"/>
      <c r="E670" s="13"/>
      <c r="F670" s="15"/>
      <c r="G670" s="16" t="str">
        <f aca="false">IF(OR(B670="",A670=""),"",C670*IFERROR(INDEX(Kişiler!$B$5:$B$44,MATCH(B670,Kişiler!$A$5:$A$44,0)),0)+D670*IFERROR(INDEX(Kişiler!$C$5:$C$44,MATCH(B670,Kişiler!$A$5:$A$44,0)),0))</f>
        <v/>
      </c>
    </row>
    <row r="671" customFormat="false" ht="15" hidden="false" customHeight="false" outlineLevel="0" collapsed="false">
      <c r="A671" s="12"/>
      <c r="B671" s="13"/>
      <c r="C671" s="14"/>
      <c r="D671" s="14"/>
      <c r="E671" s="13"/>
      <c r="F671" s="15"/>
      <c r="G671" s="16" t="str">
        <f aca="false">IF(OR(B671="",A671=""),"",C671*IFERROR(INDEX(Kişiler!$B$5:$B$44,MATCH(B671,Kişiler!$A$5:$A$44,0)),0)+D671*IFERROR(INDEX(Kişiler!$C$5:$C$44,MATCH(B671,Kişiler!$A$5:$A$44,0)),0))</f>
        <v/>
      </c>
    </row>
    <row r="672" customFormat="false" ht="15" hidden="false" customHeight="false" outlineLevel="0" collapsed="false">
      <c r="A672" s="12"/>
      <c r="B672" s="13"/>
      <c r="C672" s="14"/>
      <c r="D672" s="14"/>
      <c r="E672" s="13"/>
      <c r="F672" s="15"/>
      <c r="G672" s="16" t="str">
        <f aca="false">IF(OR(B672="",A672=""),"",C672*IFERROR(INDEX(Kişiler!$B$5:$B$44,MATCH(B672,Kişiler!$A$5:$A$44,0)),0)+D672*IFERROR(INDEX(Kişiler!$C$5:$C$44,MATCH(B672,Kişiler!$A$5:$A$44,0)),0))</f>
        <v/>
      </c>
    </row>
    <row r="673" customFormat="false" ht="15" hidden="false" customHeight="false" outlineLevel="0" collapsed="false">
      <c r="A673" s="12"/>
      <c r="B673" s="13"/>
      <c r="C673" s="14"/>
      <c r="D673" s="14"/>
      <c r="E673" s="13"/>
      <c r="F673" s="15"/>
      <c r="G673" s="16" t="str">
        <f aca="false">IF(OR(B673="",A673=""),"",C673*IFERROR(INDEX(Kişiler!$B$5:$B$44,MATCH(B673,Kişiler!$A$5:$A$44,0)),0)+D673*IFERROR(INDEX(Kişiler!$C$5:$C$44,MATCH(B673,Kişiler!$A$5:$A$44,0)),0))</f>
        <v/>
      </c>
    </row>
    <row r="674" customFormat="false" ht="15" hidden="false" customHeight="false" outlineLevel="0" collapsed="false">
      <c r="A674" s="12"/>
      <c r="B674" s="13"/>
      <c r="C674" s="14"/>
      <c r="D674" s="14"/>
      <c r="E674" s="13"/>
      <c r="F674" s="15"/>
      <c r="G674" s="16" t="str">
        <f aca="false">IF(OR(B674="",A674=""),"",C674*IFERROR(INDEX(Kişiler!$B$5:$B$44,MATCH(B674,Kişiler!$A$5:$A$44,0)),0)+D674*IFERROR(INDEX(Kişiler!$C$5:$C$44,MATCH(B674,Kişiler!$A$5:$A$44,0)),0))</f>
        <v/>
      </c>
    </row>
    <row r="675" customFormat="false" ht="15" hidden="false" customHeight="false" outlineLevel="0" collapsed="false">
      <c r="A675" s="12"/>
      <c r="B675" s="13"/>
      <c r="C675" s="14"/>
      <c r="D675" s="14"/>
      <c r="E675" s="13"/>
      <c r="F675" s="15"/>
      <c r="G675" s="16" t="str">
        <f aca="false">IF(OR(B675="",A675=""),"",C675*IFERROR(INDEX(Kişiler!$B$5:$B$44,MATCH(B675,Kişiler!$A$5:$A$44,0)),0)+D675*IFERROR(INDEX(Kişiler!$C$5:$C$44,MATCH(B675,Kişiler!$A$5:$A$44,0)),0))</f>
        <v/>
      </c>
    </row>
    <row r="676" customFormat="false" ht="15" hidden="false" customHeight="false" outlineLevel="0" collapsed="false">
      <c r="A676" s="12"/>
      <c r="B676" s="13"/>
      <c r="C676" s="14"/>
      <c r="D676" s="14"/>
      <c r="E676" s="13"/>
      <c r="F676" s="15"/>
      <c r="G676" s="16" t="str">
        <f aca="false">IF(OR(B676="",A676=""),"",C676*IFERROR(INDEX(Kişiler!$B$5:$B$44,MATCH(B676,Kişiler!$A$5:$A$44,0)),0)+D676*IFERROR(INDEX(Kişiler!$C$5:$C$44,MATCH(B676,Kişiler!$A$5:$A$44,0)),0))</f>
        <v/>
      </c>
    </row>
    <row r="677" customFormat="false" ht="15" hidden="false" customHeight="false" outlineLevel="0" collapsed="false">
      <c r="A677" s="12"/>
      <c r="B677" s="13"/>
      <c r="C677" s="14"/>
      <c r="D677" s="14"/>
      <c r="E677" s="13"/>
      <c r="F677" s="15"/>
      <c r="G677" s="16" t="str">
        <f aca="false">IF(OR(B677="",A677=""),"",C677*IFERROR(INDEX(Kişiler!$B$5:$B$44,MATCH(B677,Kişiler!$A$5:$A$44,0)),0)+D677*IFERROR(INDEX(Kişiler!$C$5:$C$44,MATCH(B677,Kişiler!$A$5:$A$44,0)),0))</f>
        <v/>
      </c>
    </row>
    <row r="678" customFormat="false" ht="15" hidden="false" customHeight="false" outlineLevel="0" collapsed="false">
      <c r="A678" s="12"/>
      <c r="B678" s="13"/>
      <c r="C678" s="14"/>
      <c r="D678" s="14"/>
      <c r="E678" s="13"/>
      <c r="F678" s="15"/>
      <c r="G678" s="16" t="str">
        <f aca="false">IF(OR(B678="",A678=""),"",C678*IFERROR(INDEX(Kişiler!$B$5:$B$44,MATCH(B678,Kişiler!$A$5:$A$44,0)),0)+D678*IFERROR(INDEX(Kişiler!$C$5:$C$44,MATCH(B678,Kişiler!$A$5:$A$44,0)),0))</f>
        <v/>
      </c>
    </row>
    <row r="679" customFormat="false" ht="15" hidden="false" customHeight="false" outlineLevel="0" collapsed="false">
      <c r="A679" s="12"/>
      <c r="B679" s="13"/>
      <c r="C679" s="14"/>
      <c r="D679" s="14"/>
      <c r="E679" s="13"/>
      <c r="F679" s="15"/>
      <c r="G679" s="16" t="str">
        <f aca="false">IF(OR(B679="",A679=""),"",C679*IFERROR(INDEX(Kişiler!$B$5:$B$44,MATCH(B679,Kişiler!$A$5:$A$44,0)),0)+D679*IFERROR(INDEX(Kişiler!$C$5:$C$44,MATCH(B679,Kişiler!$A$5:$A$44,0)),0))</f>
        <v/>
      </c>
    </row>
    <row r="680" customFormat="false" ht="15" hidden="false" customHeight="false" outlineLevel="0" collapsed="false">
      <c r="A680" s="12"/>
      <c r="B680" s="13"/>
      <c r="C680" s="14"/>
      <c r="D680" s="14"/>
      <c r="E680" s="13"/>
      <c r="F680" s="15"/>
      <c r="G680" s="16" t="str">
        <f aca="false">IF(OR(B680="",A680=""),"",C680*IFERROR(INDEX(Kişiler!$B$5:$B$44,MATCH(B680,Kişiler!$A$5:$A$44,0)),0)+D680*IFERROR(INDEX(Kişiler!$C$5:$C$44,MATCH(B680,Kişiler!$A$5:$A$44,0)),0))</f>
        <v/>
      </c>
    </row>
    <row r="681" customFormat="false" ht="15" hidden="false" customHeight="false" outlineLevel="0" collapsed="false">
      <c r="A681" s="12"/>
      <c r="B681" s="13"/>
      <c r="C681" s="14"/>
      <c r="D681" s="14"/>
      <c r="E681" s="13"/>
      <c r="F681" s="15"/>
      <c r="G681" s="16" t="str">
        <f aca="false">IF(OR(B681="",A681=""),"",C681*IFERROR(INDEX(Kişiler!$B$5:$B$44,MATCH(B681,Kişiler!$A$5:$A$44,0)),0)+D681*IFERROR(INDEX(Kişiler!$C$5:$C$44,MATCH(B681,Kişiler!$A$5:$A$44,0)),0))</f>
        <v/>
      </c>
    </row>
    <row r="682" customFormat="false" ht="15" hidden="false" customHeight="false" outlineLevel="0" collapsed="false">
      <c r="A682" s="12"/>
      <c r="B682" s="13"/>
      <c r="C682" s="14"/>
      <c r="D682" s="14"/>
      <c r="E682" s="13"/>
      <c r="F682" s="15"/>
      <c r="G682" s="16" t="str">
        <f aca="false">IF(OR(B682="",A682=""),"",C682*IFERROR(INDEX(Kişiler!$B$5:$B$44,MATCH(B682,Kişiler!$A$5:$A$44,0)),0)+D682*IFERROR(INDEX(Kişiler!$C$5:$C$44,MATCH(B682,Kişiler!$A$5:$A$44,0)),0))</f>
        <v/>
      </c>
    </row>
    <row r="683" customFormat="false" ht="15" hidden="false" customHeight="false" outlineLevel="0" collapsed="false">
      <c r="A683" s="12"/>
      <c r="B683" s="13"/>
      <c r="C683" s="14"/>
      <c r="D683" s="14"/>
      <c r="E683" s="13"/>
      <c r="F683" s="15"/>
      <c r="G683" s="16" t="str">
        <f aca="false">IF(OR(B683="",A683=""),"",C683*IFERROR(INDEX(Kişiler!$B$5:$B$44,MATCH(B683,Kişiler!$A$5:$A$44,0)),0)+D683*IFERROR(INDEX(Kişiler!$C$5:$C$44,MATCH(B683,Kişiler!$A$5:$A$44,0)),0))</f>
        <v/>
      </c>
    </row>
    <row r="684" customFormat="false" ht="15" hidden="false" customHeight="false" outlineLevel="0" collapsed="false">
      <c r="A684" s="12"/>
      <c r="B684" s="13"/>
      <c r="C684" s="14"/>
      <c r="D684" s="14"/>
      <c r="E684" s="13"/>
      <c r="F684" s="15"/>
      <c r="G684" s="16" t="str">
        <f aca="false">IF(OR(B684="",A684=""),"",C684*IFERROR(INDEX(Kişiler!$B$5:$B$44,MATCH(B684,Kişiler!$A$5:$A$44,0)),0)+D684*IFERROR(INDEX(Kişiler!$C$5:$C$44,MATCH(B684,Kişiler!$A$5:$A$44,0)),0))</f>
        <v/>
      </c>
    </row>
    <row r="685" customFormat="false" ht="15" hidden="false" customHeight="false" outlineLevel="0" collapsed="false">
      <c r="A685" s="12"/>
      <c r="B685" s="13"/>
      <c r="C685" s="14"/>
      <c r="D685" s="14"/>
      <c r="E685" s="13"/>
      <c r="F685" s="15"/>
      <c r="G685" s="16" t="str">
        <f aca="false">IF(OR(B685="",A685=""),"",C685*IFERROR(INDEX(Kişiler!$B$5:$B$44,MATCH(B685,Kişiler!$A$5:$A$44,0)),0)+D685*IFERROR(INDEX(Kişiler!$C$5:$C$44,MATCH(B685,Kişiler!$A$5:$A$44,0)),0))</f>
        <v/>
      </c>
    </row>
    <row r="686" customFormat="false" ht="15" hidden="false" customHeight="false" outlineLevel="0" collapsed="false">
      <c r="A686" s="12"/>
      <c r="B686" s="13"/>
      <c r="C686" s="14"/>
      <c r="D686" s="14"/>
      <c r="E686" s="13"/>
      <c r="F686" s="15"/>
      <c r="G686" s="16" t="str">
        <f aca="false">IF(OR(B686="",A686=""),"",C686*IFERROR(INDEX(Kişiler!$B$5:$B$44,MATCH(B686,Kişiler!$A$5:$A$44,0)),0)+D686*IFERROR(INDEX(Kişiler!$C$5:$C$44,MATCH(B686,Kişiler!$A$5:$A$44,0)),0))</f>
        <v/>
      </c>
    </row>
    <row r="687" customFormat="false" ht="15" hidden="false" customHeight="false" outlineLevel="0" collapsed="false">
      <c r="A687" s="12"/>
      <c r="B687" s="13"/>
      <c r="C687" s="14"/>
      <c r="D687" s="14"/>
      <c r="E687" s="13"/>
      <c r="F687" s="15"/>
      <c r="G687" s="16" t="str">
        <f aca="false">IF(OR(B687="",A687=""),"",C687*IFERROR(INDEX(Kişiler!$B$5:$B$44,MATCH(B687,Kişiler!$A$5:$A$44,0)),0)+D687*IFERROR(INDEX(Kişiler!$C$5:$C$44,MATCH(B687,Kişiler!$A$5:$A$44,0)),0))</f>
        <v/>
      </c>
    </row>
    <row r="688" customFormat="false" ht="15" hidden="false" customHeight="false" outlineLevel="0" collapsed="false">
      <c r="A688" s="12"/>
      <c r="B688" s="13"/>
      <c r="C688" s="14"/>
      <c r="D688" s="14"/>
      <c r="E688" s="13"/>
      <c r="F688" s="15"/>
      <c r="G688" s="16" t="str">
        <f aca="false">IF(OR(B688="",A688=""),"",C688*IFERROR(INDEX(Kişiler!$B$5:$B$44,MATCH(B688,Kişiler!$A$5:$A$44,0)),0)+D688*IFERROR(INDEX(Kişiler!$C$5:$C$44,MATCH(B688,Kişiler!$A$5:$A$44,0)),0))</f>
        <v/>
      </c>
    </row>
    <row r="689" customFormat="false" ht="15" hidden="false" customHeight="false" outlineLevel="0" collapsed="false">
      <c r="A689" s="12"/>
      <c r="B689" s="13"/>
      <c r="C689" s="14"/>
      <c r="D689" s="14"/>
      <c r="E689" s="13"/>
      <c r="F689" s="15"/>
      <c r="G689" s="16" t="str">
        <f aca="false">IF(OR(B689="",A689=""),"",C689*IFERROR(INDEX(Kişiler!$B$5:$B$44,MATCH(B689,Kişiler!$A$5:$A$44,0)),0)+D689*IFERROR(INDEX(Kişiler!$C$5:$C$44,MATCH(B689,Kişiler!$A$5:$A$44,0)),0))</f>
        <v/>
      </c>
    </row>
    <row r="690" customFormat="false" ht="15" hidden="false" customHeight="false" outlineLevel="0" collapsed="false">
      <c r="A690" s="12"/>
      <c r="B690" s="13"/>
      <c r="C690" s="14"/>
      <c r="D690" s="14"/>
      <c r="E690" s="13"/>
      <c r="F690" s="15"/>
      <c r="G690" s="16" t="str">
        <f aca="false">IF(OR(B690="",A690=""),"",C690*IFERROR(INDEX(Kişiler!$B$5:$B$44,MATCH(B690,Kişiler!$A$5:$A$44,0)),0)+D690*IFERROR(INDEX(Kişiler!$C$5:$C$44,MATCH(B690,Kişiler!$A$5:$A$44,0)),0))</f>
        <v/>
      </c>
    </row>
    <row r="691" customFormat="false" ht="15" hidden="false" customHeight="false" outlineLevel="0" collapsed="false">
      <c r="A691" s="12"/>
      <c r="B691" s="13"/>
      <c r="C691" s="14"/>
      <c r="D691" s="14"/>
      <c r="E691" s="13"/>
      <c r="F691" s="15"/>
      <c r="G691" s="16" t="str">
        <f aca="false">IF(OR(B691="",A691=""),"",C691*IFERROR(INDEX(Kişiler!$B$5:$B$44,MATCH(B691,Kişiler!$A$5:$A$44,0)),0)+D691*IFERROR(INDEX(Kişiler!$C$5:$C$44,MATCH(B691,Kişiler!$A$5:$A$44,0)),0))</f>
        <v/>
      </c>
    </row>
    <row r="692" customFormat="false" ht="15" hidden="false" customHeight="false" outlineLevel="0" collapsed="false">
      <c r="A692" s="12"/>
      <c r="B692" s="13"/>
      <c r="C692" s="14"/>
      <c r="D692" s="14"/>
      <c r="E692" s="13"/>
      <c r="F692" s="15"/>
      <c r="G692" s="16" t="str">
        <f aca="false">IF(OR(B692="",A692=""),"",C692*IFERROR(INDEX(Kişiler!$B$5:$B$44,MATCH(B692,Kişiler!$A$5:$A$44,0)),0)+D692*IFERROR(INDEX(Kişiler!$C$5:$C$44,MATCH(B692,Kişiler!$A$5:$A$44,0)),0))</f>
        <v/>
      </c>
    </row>
    <row r="693" customFormat="false" ht="15" hidden="false" customHeight="false" outlineLevel="0" collapsed="false">
      <c r="A693" s="12"/>
      <c r="B693" s="13"/>
      <c r="C693" s="14"/>
      <c r="D693" s="14"/>
      <c r="E693" s="13"/>
      <c r="F693" s="15"/>
      <c r="G693" s="16" t="str">
        <f aca="false">IF(OR(B693="",A693=""),"",C693*IFERROR(INDEX(Kişiler!$B$5:$B$44,MATCH(B693,Kişiler!$A$5:$A$44,0)),0)+D693*IFERROR(INDEX(Kişiler!$C$5:$C$44,MATCH(B693,Kişiler!$A$5:$A$44,0)),0))</f>
        <v/>
      </c>
    </row>
    <row r="694" customFormat="false" ht="15" hidden="false" customHeight="false" outlineLevel="0" collapsed="false">
      <c r="A694" s="12"/>
      <c r="B694" s="13"/>
      <c r="C694" s="14"/>
      <c r="D694" s="14"/>
      <c r="E694" s="13"/>
      <c r="F694" s="15"/>
      <c r="G694" s="16" t="str">
        <f aca="false">IF(OR(B694="",A694=""),"",C694*IFERROR(INDEX(Kişiler!$B$5:$B$44,MATCH(B694,Kişiler!$A$5:$A$44,0)),0)+D694*IFERROR(INDEX(Kişiler!$C$5:$C$44,MATCH(B694,Kişiler!$A$5:$A$44,0)),0))</f>
        <v/>
      </c>
    </row>
    <row r="695" customFormat="false" ht="15" hidden="false" customHeight="false" outlineLevel="0" collapsed="false">
      <c r="A695" s="12"/>
      <c r="B695" s="13"/>
      <c r="C695" s="14"/>
      <c r="D695" s="14"/>
      <c r="E695" s="13"/>
      <c r="F695" s="15"/>
      <c r="G695" s="16" t="str">
        <f aca="false">IF(OR(B695="",A695=""),"",C695*IFERROR(INDEX(Kişiler!$B$5:$B$44,MATCH(B695,Kişiler!$A$5:$A$44,0)),0)+D695*IFERROR(INDEX(Kişiler!$C$5:$C$44,MATCH(B695,Kişiler!$A$5:$A$44,0)),0))</f>
        <v/>
      </c>
    </row>
    <row r="696" customFormat="false" ht="15" hidden="false" customHeight="false" outlineLevel="0" collapsed="false">
      <c r="A696" s="12"/>
      <c r="B696" s="13"/>
      <c r="C696" s="14"/>
      <c r="D696" s="14"/>
      <c r="E696" s="13"/>
      <c r="F696" s="15"/>
      <c r="G696" s="16" t="str">
        <f aca="false">IF(OR(B696="",A696=""),"",C696*IFERROR(INDEX(Kişiler!$B$5:$B$44,MATCH(B696,Kişiler!$A$5:$A$44,0)),0)+D696*IFERROR(INDEX(Kişiler!$C$5:$C$44,MATCH(B696,Kişiler!$A$5:$A$44,0)),0))</f>
        <v/>
      </c>
    </row>
    <row r="697" customFormat="false" ht="15" hidden="false" customHeight="false" outlineLevel="0" collapsed="false">
      <c r="A697" s="12"/>
      <c r="B697" s="13"/>
      <c r="C697" s="14"/>
      <c r="D697" s="14"/>
      <c r="E697" s="13"/>
      <c r="F697" s="15"/>
      <c r="G697" s="16" t="str">
        <f aca="false">IF(OR(B697="",A697=""),"",C697*IFERROR(INDEX(Kişiler!$B$5:$B$44,MATCH(B697,Kişiler!$A$5:$A$44,0)),0)+D697*IFERROR(INDEX(Kişiler!$C$5:$C$44,MATCH(B697,Kişiler!$A$5:$A$44,0)),0))</f>
        <v/>
      </c>
    </row>
    <row r="698" customFormat="false" ht="15" hidden="false" customHeight="false" outlineLevel="0" collapsed="false">
      <c r="A698" s="12"/>
      <c r="B698" s="13"/>
      <c r="C698" s="14"/>
      <c r="D698" s="14"/>
      <c r="E698" s="13"/>
      <c r="F698" s="15"/>
      <c r="G698" s="16" t="str">
        <f aca="false">IF(OR(B698="",A698=""),"",C698*IFERROR(INDEX(Kişiler!$B$5:$B$44,MATCH(B698,Kişiler!$A$5:$A$44,0)),0)+D698*IFERROR(INDEX(Kişiler!$C$5:$C$44,MATCH(B698,Kişiler!$A$5:$A$44,0)),0))</f>
        <v/>
      </c>
    </row>
    <row r="699" customFormat="false" ht="15" hidden="false" customHeight="false" outlineLevel="0" collapsed="false">
      <c r="A699" s="12"/>
      <c r="B699" s="13"/>
      <c r="C699" s="14"/>
      <c r="D699" s="14"/>
      <c r="E699" s="13"/>
      <c r="F699" s="15"/>
      <c r="G699" s="16" t="str">
        <f aca="false">IF(OR(B699="",A699=""),"",C699*IFERROR(INDEX(Kişiler!$B$5:$B$44,MATCH(B699,Kişiler!$A$5:$A$44,0)),0)+D699*IFERROR(INDEX(Kişiler!$C$5:$C$44,MATCH(B699,Kişiler!$A$5:$A$44,0)),0))</f>
        <v/>
      </c>
    </row>
    <row r="700" customFormat="false" ht="15" hidden="false" customHeight="false" outlineLevel="0" collapsed="false">
      <c r="A700" s="12"/>
      <c r="B700" s="13"/>
      <c r="C700" s="14"/>
      <c r="D700" s="14"/>
      <c r="E700" s="13"/>
      <c r="F700" s="15"/>
      <c r="G700" s="16" t="str">
        <f aca="false">IF(OR(B700="",A700=""),"",C700*IFERROR(INDEX(Kişiler!$B$5:$B$44,MATCH(B700,Kişiler!$A$5:$A$44,0)),0)+D700*IFERROR(INDEX(Kişiler!$C$5:$C$44,MATCH(B700,Kişiler!$A$5:$A$44,0)),0))</f>
        <v/>
      </c>
    </row>
    <row r="701" customFormat="false" ht="15" hidden="false" customHeight="false" outlineLevel="0" collapsed="false">
      <c r="A701" s="12"/>
      <c r="B701" s="13"/>
      <c r="C701" s="14"/>
      <c r="D701" s="14"/>
      <c r="E701" s="13"/>
      <c r="F701" s="15"/>
      <c r="G701" s="16" t="str">
        <f aca="false">IF(OR(B701="",A701=""),"",C701*IFERROR(INDEX(Kişiler!$B$5:$B$44,MATCH(B701,Kişiler!$A$5:$A$44,0)),0)+D701*IFERROR(INDEX(Kişiler!$C$5:$C$44,MATCH(B701,Kişiler!$A$5:$A$44,0)),0))</f>
        <v/>
      </c>
    </row>
    <row r="702" customFormat="false" ht="15" hidden="false" customHeight="false" outlineLevel="0" collapsed="false">
      <c r="A702" s="12"/>
      <c r="B702" s="13"/>
      <c r="C702" s="14"/>
      <c r="D702" s="14"/>
      <c r="E702" s="13"/>
      <c r="F702" s="15"/>
      <c r="G702" s="16" t="str">
        <f aca="false">IF(OR(B702="",A702=""),"",C702*IFERROR(INDEX(Kişiler!$B$5:$B$44,MATCH(B702,Kişiler!$A$5:$A$44,0)),0)+D702*IFERROR(INDEX(Kişiler!$C$5:$C$44,MATCH(B702,Kişiler!$A$5:$A$44,0)),0))</f>
        <v/>
      </c>
    </row>
    <row r="703" customFormat="false" ht="15" hidden="false" customHeight="false" outlineLevel="0" collapsed="false">
      <c r="A703" s="12"/>
      <c r="B703" s="13"/>
      <c r="C703" s="14"/>
      <c r="D703" s="14"/>
      <c r="E703" s="13"/>
      <c r="F703" s="15"/>
      <c r="G703" s="16" t="str">
        <f aca="false">IF(OR(B703="",A703=""),"",C703*IFERROR(INDEX(Kişiler!$B$5:$B$44,MATCH(B703,Kişiler!$A$5:$A$44,0)),0)+D703*IFERROR(INDEX(Kişiler!$C$5:$C$44,MATCH(B703,Kişiler!$A$5:$A$44,0)),0))</f>
        <v/>
      </c>
    </row>
    <row r="704" customFormat="false" ht="15" hidden="false" customHeight="false" outlineLevel="0" collapsed="false">
      <c r="A704" s="12"/>
      <c r="B704" s="13"/>
      <c r="C704" s="14"/>
      <c r="D704" s="14"/>
      <c r="E704" s="13"/>
      <c r="F704" s="15"/>
      <c r="G704" s="16" t="str">
        <f aca="false">IF(OR(B704="",A704=""),"",C704*IFERROR(INDEX(Kişiler!$B$5:$B$44,MATCH(B704,Kişiler!$A$5:$A$44,0)),0)+D704*IFERROR(INDEX(Kişiler!$C$5:$C$44,MATCH(B704,Kişiler!$A$5:$A$44,0)),0))</f>
        <v/>
      </c>
    </row>
    <row r="705" customFormat="false" ht="15" hidden="false" customHeight="false" outlineLevel="0" collapsed="false">
      <c r="A705" s="12"/>
      <c r="B705" s="13"/>
      <c r="C705" s="14"/>
      <c r="D705" s="14"/>
      <c r="E705" s="13"/>
      <c r="F705" s="15"/>
      <c r="G705" s="16" t="str">
        <f aca="false">IF(OR(B705="",A705=""),"",C705*IFERROR(INDEX(Kişiler!$B$5:$B$44,MATCH(B705,Kişiler!$A$5:$A$44,0)),0)+D705*IFERROR(INDEX(Kişiler!$C$5:$C$44,MATCH(B705,Kişiler!$A$5:$A$44,0)),0))</f>
        <v/>
      </c>
    </row>
    <row r="706" customFormat="false" ht="15" hidden="false" customHeight="false" outlineLevel="0" collapsed="false">
      <c r="A706" s="12"/>
      <c r="B706" s="13"/>
      <c r="C706" s="14"/>
      <c r="D706" s="14"/>
      <c r="E706" s="13"/>
      <c r="F706" s="15"/>
      <c r="G706" s="16" t="str">
        <f aca="false">IF(OR(B706="",A706=""),"",C706*IFERROR(INDEX(Kişiler!$B$5:$B$44,MATCH(B706,Kişiler!$A$5:$A$44,0)),0)+D706*IFERROR(INDEX(Kişiler!$C$5:$C$44,MATCH(B706,Kişiler!$A$5:$A$44,0)),0))</f>
        <v/>
      </c>
    </row>
    <row r="707" customFormat="false" ht="15" hidden="false" customHeight="false" outlineLevel="0" collapsed="false">
      <c r="A707" s="12"/>
      <c r="B707" s="13"/>
      <c r="C707" s="14"/>
      <c r="D707" s="14"/>
      <c r="E707" s="13"/>
      <c r="F707" s="15"/>
      <c r="G707" s="16" t="str">
        <f aca="false">IF(OR(B707="",A707=""),"",C707*IFERROR(INDEX(Kişiler!$B$5:$B$44,MATCH(B707,Kişiler!$A$5:$A$44,0)),0)+D707*IFERROR(INDEX(Kişiler!$C$5:$C$44,MATCH(B707,Kişiler!$A$5:$A$44,0)),0))</f>
        <v/>
      </c>
    </row>
    <row r="708" customFormat="false" ht="15" hidden="false" customHeight="false" outlineLevel="0" collapsed="false">
      <c r="A708" s="12"/>
      <c r="B708" s="13"/>
      <c r="C708" s="14"/>
      <c r="D708" s="14"/>
      <c r="E708" s="13"/>
      <c r="F708" s="15"/>
      <c r="G708" s="16" t="str">
        <f aca="false">IF(OR(B708="",A708=""),"",C708*IFERROR(INDEX(Kişiler!$B$5:$B$44,MATCH(B708,Kişiler!$A$5:$A$44,0)),0)+D708*IFERROR(INDEX(Kişiler!$C$5:$C$44,MATCH(B708,Kişiler!$A$5:$A$44,0)),0))</f>
        <v/>
      </c>
    </row>
    <row r="709" customFormat="false" ht="15" hidden="false" customHeight="false" outlineLevel="0" collapsed="false">
      <c r="A709" s="12"/>
      <c r="B709" s="13"/>
      <c r="C709" s="14"/>
      <c r="D709" s="14"/>
      <c r="E709" s="13"/>
      <c r="F709" s="15"/>
      <c r="G709" s="16" t="str">
        <f aca="false">IF(OR(B709="",A709=""),"",C709*IFERROR(INDEX(Kişiler!$B$5:$B$44,MATCH(B709,Kişiler!$A$5:$A$44,0)),0)+D709*IFERROR(INDEX(Kişiler!$C$5:$C$44,MATCH(B709,Kişiler!$A$5:$A$44,0)),0))</f>
        <v/>
      </c>
    </row>
    <row r="710" customFormat="false" ht="15" hidden="false" customHeight="false" outlineLevel="0" collapsed="false">
      <c r="A710" s="12"/>
      <c r="B710" s="13"/>
      <c r="C710" s="14"/>
      <c r="D710" s="14"/>
      <c r="E710" s="13"/>
      <c r="F710" s="15"/>
      <c r="G710" s="16" t="str">
        <f aca="false">IF(OR(B710="",A710=""),"",C710*IFERROR(INDEX(Kişiler!$B$5:$B$44,MATCH(B710,Kişiler!$A$5:$A$44,0)),0)+D710*IFERROR(INDEX(Kişiler!$C$5:$C$44,MATCH(B710,Kişiler!$A$5:$A$44,0)),0))</f>
        <v/>
      </c>
    </row>
    <row r="711" customFormat="false" ht="15" hidden="false" customHeight="false" outlineLevel="0" collapsed="false">
      <c r="A711" s="12"/>
      <c r="B711" s="13"/>
      <c r="C711" s="14"/>
      <c r="D711" s="14"/>
      <c r="E711" s="13"/>
      <c r="F711" s="15"/>
      <c r="G711" s="16" t="str">
        <f aca="false">IF(OR(B711="",A711=""),"",C711*IFERROR(INDEX(Kişiler!$B$5:$B$44,MATCH(B711,Kişiler!$A$5:$A$44,0)),0)+D711*IFERROR(INDEX(Kişiler!$C$5:$C$44,MATCH(B711,Kişiler!$A$5:$A$44,0)),0))</f>
        <v/>
      </c>
    </row>
    <row r="712" customFormat="false" ht="15" hidden="false" customHeight="false" outlineLevel="0" collapsed="false">
      <c r="A712" s="12"/>
      <c r="B712" s="13"/>
      <c r="C712" s="14"/>
      <c r="D712" s="14"/>
      <c r="E712" s="13"/>
      <c r="F712" s="15"/>
      <c r="G712" s="16" t="str">
        <f aca="false">IF(OR(B712="",A712=""),"",C712*IFERROR(INDEX(Kişiler!$B$5:$B$44,MATCH(B712,Kişiler!$A$5:$A$44,0)),0)+D712*IFERROR(INDEX(Kişiler!$C$5:$C$44,MATCH(B712,Kişiler!$A$5:$A$44,0)),0))</f>
        <v/>
      </c>
    </row>
    <row r="713" customFormat="false" ht="15" hidden="false" customHeight="false" outlineLevel="0" collapsed="false">
      <c r="A713" s="12"/>
      <c r="B713" s="13"/>
      <c r="C713" s="14"/>
      <c r="D713" s="14"/>
      <c r="E713" s="13"/>
      <c r="F713" s="15"/>
      <c r="G713" s="16" t="str">
        <f aca="false">IF(OR(B713="",A713=""),"",C713*IFERROR(INDEX(Kişiler!$B$5:$B$44,MATCH(B713,Kişiler!$A$5:$A$44,0)),0)+D713*IFERROR(INDEX(Kişiler!$C$5:$C$44,MATCH(B713,Kişiler!$A$5:$A$44,0)),0))</f>
        <v/>
      </c>
    </row>
    <row r="714" customFormat="false" ht="15" hidden="false" customHeight="false" outlineLevel="0" collapsed="false">
      <c r="A714" s="12"/>
      <c r="B714" s="13"/>
      <c r="C714" s="14"/>
      <c r="D714" s="14"/>
      <c r="E714" s="13"/>
      <c r="F714" s="15"/>
      <c r="G714" s="16" t="str">
        <f aca="false">IF(OR(B714="",A714=""),"",C714*IFERROR(INDEX(Kişiler!$B$5:$B$44,MATCH(B714,Kişiler!$A$5:$A$44,0)),0)+D714*IFERROR(INDEX(Kişiler!$C$5:$C$44,MATCH(B714,Kişiler!$A$5:$A$44,0)),0))</f>
        <v/>
      </c>
    </row>
    <row r="715" customFormat="false" ht="15" hidden="false" customHeight="false" outlineLevel="0" collapsed="false">
      <c r="A715" s="12"/>
      <c r="B715" s="13"/>
      <c r="C715" s="14"/>
      <c r="D715" s="14"/>
      <c r="E715" s="13"/>
      <c r="F715" s="15"/>
      <c r="G715" s="16" t="str">
        <f aca="false">IF(OR(B715="",A715=""),"",C715*IFERROR(INDEX(Kişiler!$B$5:$B$44,MATCH(B715,Kişiler!$A$5:$A$44,0)),0)+D715*IFERROR(INDEX(Kişiler!$C$5:$C$44,MATCH(B715,Kişiler!$A$5:$A$44,0)),0))</f>
        <v/>
      </c>
    </row>
    <row r="716" customFormat="false" ht="15" hidden="false" customHeight="false" outlineLevel="0" collapsed="false">
      <c r="A716" s="12"/>
      <c r="B716" s="13"/>
      <c r="C716" s="14"/>
      <c r="D716" s="14"/>
      <c r="E716" s="13"/>
      <c r="F716" s="15"/>
      <c r="G716" s="16" t="str">
        <f aca="false">IF(OR(B716="",A716=""),"",C716*IFERROR(INDEX(Kişiler!$B$5:$B$44,MATCH(B716,Kişiler!$A$5:$A$44,0)),0)+D716*IFERROR(INDEX(Kişiler!$C$5:$C$44,MATCH(B716,Kişiler!$A$5:$A$44,0)),0))</f>
        <v/>
      </c>
    </row>
    <row r="717" customFormat="false" ht="15" hidden="false" customHeight="false" outlineLevel="0" collapsed="false">
      <c r="A717" s="12"/>
      <c r="B717" s="13"/>
      <c r="C717" s="14"/>
      <c r="D717" s="14"/>
      <c r="E717" s="13"/>
      <c r="F717" s="15"/>
      <c r="G717" s="16" t="str">
        <f aca="false">IF(OR(B717="",A717=""),"",C717*IFERROR(INDEX(Kişiler!$B$5:$B$44,MATCH(B717,Kişiler!$A$5:$A$44,0)),0)+D717*IFERROR(INDEX(Kişiler!$C$5:$C$44,MATCH(B717,Kişiler!$A$5:$A$44,0)),0))</f>
        <v/>
      </c>
    </row>
    <row r="718" customFormat="false" ht="15" hidden="false" customHeight="false" outlineLevel="0" collapsed="false">
      <c r="A718" s="12"/>
      <c r="B718" s="13"/>
      <c r="C718" s="14"/>
      <c r="D718" s="14"/>
      <c r="E718" s="13"/>
      <c r="F718" s="15"/>
      <c r="G718" s="16" t="str">
        <f aca="false">IF(OR(B718="",A718=""),"",C718*IFERROR(INDEX(Kişiler!$B$5:$B$44,MATCH(B718,Kişiler!$A$5:$A$44,0)),0)+D718*IFERROR(INDEX(Kişiler!$C$5:$C$44,MATCH(B718,Kişiler!$A$5:$A$44,0)),0))</f>
        <v/>
      </c>
    </row>
    <row r="719" customFormat="false" ht="15" hidden="false" customHeight="false" outlineLevel="0" collapsed="false">
      <c r="A719" s="12"/>
      <c r="B719" s="13"/>
      <c r="C719" s="14"/>
      <c r="D719" s="14"/>
      <c r="E719" s="13"/>
      <c r="F719" s="15"/>
      <c r="G719" s="16" t="str">
        <f aca="false">IF(OR(B719="",A719=""),"",C719*IFERROR(INDEX(Kişiler!$B$5:$B$44,MATCH(B719,Kişiler!$A$5:$A$44,0)),0)+D719*IFERROR(INDEX(Kişiler!$C$5:$C$44,MATCH(B719,Kişiler!$A$5:$A$44,0)),0))</f>
        <v/>
      </c>
    </row>
    <row r="720" customFormat="false" ht="15" hidden="false" customHeight="false" outlineLevel="0" collapsed="false">
      <c r="A720" s="12"/>
      <c r="B720" s="13"/>
      <c r="C720" s="14"/>
      <c r="D720" s="14"/>
      <c r="E720" s="13"/>
      <c r="F720" s="15"/>
      <c r="G720" s="16" t="str">
        <f aca="false">IF(OR(B720="",A720=""),"",C720*IFERROR(INDEX(Kişiler!$B$5:$B$44,MATCH(B720,Kişiler!$A$5:$A$44,0)),0)+D720*IFERROR(INDEX(Kişiler!$C$5:$C$44,MATCH(B720,Kişiler!$A$5:$A$44,0)),0))</f>
        <v/>
      </c>
    </row>
    <row r="721" customFormat="false" ht="15" hidden="false" customHeight="false" outlineLevel="0" collapsed="false">
      <c r="A721" s="12"/>
      <c r="B721" s="13"/>
      <c r="C721" s="14"/>
      <c r="D721" s="14"/>
      <c r="E721" s="13"/>
      <c r="F721" s="15"/>
      <c r="G721" s="16" t="str">
        <f aca="false">IF(OR(B721="",A721=""),"",C721*IFERROR(INDEX(Kişiler!$B$5:$B$44,MATCH(B721,Kişiler!$A$5:$A$44,0)),0)+D721*IFERROR(INDEX(Kişiler!$C$5:$C$44,MATCH(B721,Kişiler!$A$5:$A$44,0)),0))</f>
        <v/>
      </c>
    </row>
    <row r="722" customFormat="false" ht="15" hidden="false" customHeight="false" outlineLevel="0" collapsed="false">
      <c r="A722" s="12"/>
      <c r="B722" s="13"/>
      <c r="C722" s="14"/>
      <c r="D722" s="14"/>
      <c r="E722" s="13"/>
      <c r="F722" s="15"/>
      <c r="G722" s="16" t="str">
        <f aca="false">IF(OR(B722="",A722=""),"",C722*IFERROR(INDEX(Kişiler!$B$5:$B$44,MATCH(B722,Kişiler!$A$5:$A$44,0)),0)+D722*IFERROR(INDEX(Kişiler!$C$5:$C$44,MATCH(B722,Kişiler!$A$5:$A$44,0)),0))</f>
        <v/>
      </c>
    </row>
    <row r="723" customFormat="false" ht="15" hidden="false" customHeight="false" outlineLevel="0" collapsed="false">
      <c r="A723" s="12"/>
      <c r="B723" s="13"/>
      <c r="C723" s="14"/>
      <c r="D723" s="14"/>
      <c r="E723" s="13"/>
      <c r="F723" s="15"/>
      <c r="G723" s="16" t="str">
        <f aca="false">IF(OR(B723="",A723=""),"",C723*IFERROR(INDEX(Kişiler!$B$5:$B$44,MATCH(B723,Kişiler!$A$5:$A$44,0)),0)+D723*IFERROR(INDEX(Kişiler!$C$5:$C$44,MATCH(B723,Kişiler!$A$5:$A$44,0)),0))</f>
        <v/>
      </c>
    </row>
    <row r="724" customFormat="false" ht="15" hidden="false" customHeight="false" outlineLevel="0" collapsed="false">
      <c r="A724" s="12"/>
      <c r="B724" s="13"/>
      <c r="C724" s="14"/>
      <c r="D724" s="14"/>
      <c r="E724" s="13"/>
      <c r="F724" s="15"/>
      <c r="G724" s="16" t="str">
        <f aca="false">IF(OR(B724="",A724=""),"",C724*IFERROR(INDEX(Kişiler!$B$5:$B$44,MATCH(B724,Kişiler!$A$5:$A$44,0)),0)+D724*IFERROR(INDEX(Kişiler!$C$5:$C$44,MATCH(B724,Kişiler!$A$5:$A$44,0)),0))</f>
        <v/>
      </c>
    </row>
    <row r="725" customFormat="false" ht="15" hidden="false" customHeight="false" outlineLevel="0" collapsed="false">
      <c r="A725" s="12"/>
      <c r="B725" s="13"/>
      <c r="C725" s="14"/>
      <c r="D725" s="14"/>
      <c r="E725" s="13"/>
      <c r="F725" s="15"/>
      <c r="G725" s="16" t="str">
        <f aca="false">IF(OR(B725="",A725=""),"",C725*IFERROR(INDEX(Kişiler!$B$5:$B$44,MATCH(B725,Kişiler!$A$5:$A$44,0)),0)+D725*IFERROR(INDEX(Kişiler!$C$5:$C$44,MATCH(B725,Kişiler!$A$5:$A$44,0)),0))</f>
        <v/>
      </c>
    </row>
    <row r="726" customFormat="false" ht="15" hidden="false" customHeight="false" outlineLevel="0" collapsed="false">
      <c r="A726" s="12"/>
      <c r="B726" s="13"/>
      <c r="C726" s="14"/>
      <c r="D726" s="14"/>
      <c r="E726" s="13"/>
      <c r="F726" s="15"/>
      <c r="G726" s="16" t="str">
        <f aca="false">IF(OR(B726="",A726=""),"",C726*IFERROR(INDEX(Kişiler!$B$5:$B$44,MATCH(B726,Kişiler!$A$5:$A$44,0)),0)+D726*IFERROR(INDEX(Kişiler!$C$5:$C$44,MATCH(B726,Kişiler!$A$5:$A$44,0)),0))</f>
        <v/>
      </c>
    </row>
    <row r="727" customFormat="false" ht="15" hidden="false" customHeight="false" outlineLevel="0" collapsed="false">
      <c r="A727" s="12"/>
      <c r="B727" s="13"/>
      <c r="C727" s="14"/>
      <c r="D727" s="14"/>
      <c r="E727" s="13"/>
      <c r="F727" s="15"/>
      <c r="G727" s="16" t="str">
        <f aca="false">IF(OR(B727="",A727=""),"",C727*IFERROR(INDEX(Kişiler!$B$5:$B$44,MATCH(B727,Kişiler!$A$5:$A$44,0)),0)+D727*IFERROR(INDEX(Kişiler!$C$5:$C$44,MATCH(B727,Kişiler!$A$5:$A$44,0)),0))</f>
        <v/>
      </c>
    </row>
    <row r="728" customFormat="false" ht="15" hidden="false" customHeight="false" outlineLevel="0" collapsed="false">
      <c r="A728" s="12"/>
      <c r="B728" s="13"/>
      <c r="C728" s="14"/>
      <c r="D728" s="14"/>
      <c r="E728" s="13"/>
      <c r="F728" s="15"/>
      <c r="G728" s="16" t="str">
        <f aca="false">IF(OR(B728="",A728=""),"",C728*IFERROR(INDEX(Kişiler!$B$5:$B$44,MATCH(B728,Kişiler!$A$5:$A$44,0)),0)+D728*IFERROR(INDEX(Kişiler!$C$5:$C$44,MATCH(B728,Kişiler!$A$5:$A$44,0)),0))</f>
        <v/>
      </c>
    </row>
    <row r="729" customFormat="false" ht="15" hidden="false" customHeight="false" outlineLevel="0" collapsed="false">
      <c r="A729" s="12"/>
      <c r="B729" s="13"/>
      <c r="C729" s="14"/>
      <c r="D729" s="14"/>
      <c r="E729" s="13"/>
      <c r="F729" s="15"/>
      <c r="G729" s="16" t="str">
        <f aca="false">IF(OR(B729="",A729=""),"",C729*IFERROR(INDEX(Kişiler!$B$5:$B$44,MATCH(B729,Kişiler!$A$5:$A$44,0)),0)+D729*IFERROR(INDEX(Kişiler!$C$5:$C$44,MATCH(B729,Kişiler!$A$5:$A$44,0)),0))</f>
        <v/>
      </c>
    </row>
    <row r="730" customFormat="false" ht="15" hidden="false" customHeight="false" outlineLevel="0" collapsed="false">
      <c r="A730" s="12"/>
      <c r="B730" s="13"/>
      <c r="C730" s="14"/>
      <c r="D730" s="14"/>
      <c r="E730" s="13"/>
      <c r="F730" s="15"/>
      <c r="G730" s="16" t="str">
        <f aca="false">IF(OR(B730="",A730=""),"",C730*IFERROR(INDEX(Kişiler!$B$5:$B$44,MATCH(B730,Kişiler!$A$5:$A$44,0)),0)+D730*IFERROR(INDEX(Kişiler!$C$5:$C$44,MATCH(B730,Kişiler!$A$5:$A$44,0)),0))</f>
        <v/>
      </c>
    </row>
    <row r="731" customFormat="false" ht="15" hidden="false" customHeight="false" outlineLevel="0" collapsed="false">
      <c r="A731" s="12"/>
      <c r="B731" s="13"/>
      <c r="C731" s="14"/>
      <c r="D731" s="14"/>
      <c r="E731" s="13"/>
      <c r="F731" s="15"/>
      <c r="G731" s="16" t="str">
        <f aca="false">IF(OR(B731="",A731=""),"",C731*IFERROR(INDEX(Kişiler!$B$5:$B$44,MATCH(B731,Kişiler!$A$5:$A$44,0)),0)+D731*IFERROR(INDEX(Kişiler!$C$5:$C$44,MATCH(B731,Kişiler!$A$5:$A$44,0)),0))</f>
        <v/>
      </c>
    </row>
    <row r="732" customFormat="false" ht="15" hidden="false" customHeight="false" outlineLevel="0" collapsed="false">
      <c r="A732" s="12"/>
      <c r="B732" s="13"/>
      <c r="C732" s="14"/>
      <c r="D732" s="14"/>
      <c r="E732" s="13"/>
      <c r="F732" s="15"/>
      <c r="G732" s="16" t="str">
        <f aca="false">IF(OR(B732="",A732=""),"",C732*IFERROR(INDEX(Kişiler!$B$5:$B$44,MATCH(B732,Kişiler!$A$5:$A$44,0)),0)+D732*IFERROR(INDEX(Kişiler!$C$5:$C$44,MATCH(B732,Kişiler!$A$5:$A$44,0)),0))</f>
        <v/>
      </c>
    </row>
    <row r="733" customFormat="false" ht="15" hidden="false" customHeight="false" outlineLevel="0" collapsed="false">
      <c r="A733" s="12"/>
      <c r="B733" s="13"/>
      <c r="C733" s="14"/>
      <c r="D733" s="14"/>
      <c r="E733" s="13"/>
      <c r="F733" s="15"/>
      <c r="G733" s="16" t="str">
        <f aca="false">IF(OR(B733="",A733=""),"",C733*IFERROR(INDEX(Kişiler!$B$5:$B$44,MATCH(B733,Kişiler!$A$5:$A$44,0)),0)+D733*IFERROR(INDEX(Kişiler!$C$5:$C$44,MATCH(B733,Kişiler!$A$5:$A$44,0)),0))</f>
        <v/>
      </c>
    </row>
    <row r="734" customFormat="false" ht="15" hidden="false" customHeight="false" outlineLevel="0" collapsed="false">
      <c r="A734" s="12"/>
      <c r="B734" s="13"/>
      <c r="C734" s="14"/>
      <c r="D734" s="14"/>
      <c r="E734" s="13"/>
      <c r="F734" s="15"/>
      <c r="G734" s="16" t="str">
        <f aca="false">IF(OR(B734="",A734=""),"",C734*IFERROR(INDEX(Kişiler!$B$5:$B$44,MATCH(B734,Kişiler!$A$5:$A$44,0)),0)+D734*IFERROR(INDEX(Kişiler!$C$5:$C$44,MATCH(B734,Kişiler!$A$5:$A$44,0)),0))</f>
        <v/>
      </c>
    </row>
    <row r="735" customFormat="false" ht="15" hidden="false" customHeight="false" outlineLevel="0" collapsed="false">
      <c r="A735" s="12"/>
      <c r="B735" s="13"/>
      <c r="C735" s="14"/>
      <c r="D735" s="14"/>
      <c r="E735" s="13"/>
      <c r="F735" s="15"/>
      <c r="G735" s="16" t="str">
        <f aca="false">IF(OR(B735="",A735=""),"",C735*IFERROR(INDEX(Kişiler!$B$5:$B$44,MATCH(B735,Kişiler!$A$5:$A$44,0)),0)+D735*IFERROR(INDEX(Kişiler!$C$5:$C$44,MATCH(B735,Kişiler!$A$5:$A$44,0)),0))</f>
        <v/>
      </c>
    </row>
    <row r="736" customFormat="false" ht="15" hidden="false" customHeight="false" outlineLevel="0" collapsed="false">
      <c r="A736" s="12"/>
      <c r="B736" s="13"/>
      <c r="C736" s="14"/>
      <c r="D736" s="14"/>
      <c r="E736" s="13"/>
      <c r="F736" s="15"/>
      <c r="G736" s="16" t="str">
        <f aca="false">IF(OR(B736="",A736=""),"",C736*IFERROR(INDEX(Kişiler!$B$5:$B$44,MATCH(B736,Kişiler!$A$5:$A$44,0)),0)+D736*IFERROR(INDEX(Kişiler!$C$5:$C$44,MATCH(B736,Kişiler!$A$5:$A$44,0)),0))</f>
        <v/>
      </c>
    </row>
    <row r="737" customFormat="false" ht="15" hidden="false" customHeight="false" outlineLevel="0" collapsed="false">
      <c r="A737" s="12"/>
      <c r="B737" s="13"/>
      <c r="C737" s="14"/>
      <c r="D737" s="14"/>
      <c r="E737" s="13"/>
      <c r="F737" s="15"/>
      <c r="G737" s="16" t="str">
        <f aca="false">IF(OR(B737="",A737=""),"",C737*IFERROR(INDEX(Kişiler!$B$5:$B$44,MATCH(B737,Kişiler!$A$5:$A$44,0)),0)+D737*IFERROR(INDEX(Kişiler!$C$5:$C$44,MATCH(B737,Kişiler!$A$5:$A$44,0)),0))</f>
        <v/>
      </c>
    </row>
    <row r="738" customFormat="false" ht="15" hidden="false" customHeight="false" outlineLevel="0" collapsed="false">
      <c r="A738" s="12"/>
      <c r="B738" s="13"/>
      <c r="C738" s="14"/>
      <c r="D738" s="14"/>
      <c r="E738" s="13"/>
      <c r="F738" s="15"/>
      <c r="G738" s="16" t="str">
        <f aca="false">IF(OR(B738="",A738=""),"",C738*IFERROR(INDEX(Kişiler!$B$5:$B$44,MATCH(B738,Kişiler!$A$5:$A$44,0)),0)+D738*IFERROR(INDEX(Kişiler!$C$5:$C$44,MATCH(B738,Kişiler!$A$5:$A$44,0)),0))</f>
        <v/>
      </c>
    </row>
    <row r="739" customFormat="false" ht="15" hidden="false" customHeight="false" outlineLevel="0" collapsed="false">
      <c r="A739" s="12"/>
      <c r="B739" s="13"/>
      <c r="C739" s="14"/>
      <c r="D739" s="14"/>
      <c r="E739" s="13"/>
      <c r="F739" s="15"/>
      <c r="G739" s="16" t="str">
        <f aca="false">IF(OR(B739="",A739=""),"",C739*IFERROR(INDEX(Kişiler!$B$5:$B$44,MATCH(B739,Kişiler!$A$5:$A$44,0)),0)+D739*IFERROR(INDEX(Kişiler!$C$5:$C$44,MATCH(B739,Kişiler!$A$5:$A$44,0)),0))</f>
        <v/>
      </c>
    </row>
    <row r="740" customFormat="false" ht="15" hidden="false" customHeight="false" outlineLevel="0" collapsed="false">
      <c r="A740" s="12"/>
      <c r="B740" s="13"/>
      <c r="C740" s="14"/>
      <c r="D740" s="14"/>
      <c r="E740" s="13"/>
      <c r="F740" s="15"/>
      <c r="G740" s="16" t="str">
        <f aca="false">IF(OR(B740="",A740=""),"",C740*IFERROR(INDEX(Kişiler!$B$5:$B$44,MATCH(B740,Kişiler!$A$5:$A$44,0)),0)+D740*IFERROR(INDEX(Kişiler!$C$5:$C$44,MATCH(B740,Kişiler!$A$5:$A$44,0)),0))</f>
        <v/>
      </c>
    </row>
    <row r="741" customFormat="false" ht="15" hidden="false" customHeight="false" outlineLevel="0" collapsed="false">
      <c r="A741" s="12"/>
      <c r="B741" s="13"/>
      <c r="C741" s="14"/>
      <c r="D741" s="14"/>
      <c r="E741" s="13"/>
      <c r="F741" s="15"/>
      <c r="G741" s="16" t="str">
        <f aca="false">IF(OR(B741="",A741=""),"",C741*IFERROR(INDEX(Kişiler!$B$5:$B$44,MATCH(B741,Kişiler!$A$5:$A$44,0)),0)+D741*IFERROR(INDEX(Kişiler!$C$5:$C$44,MATCH(B741,Kişiler!$A$5:$A$44,0)),0))</f>
        <v/>
      </c>
    </row>
    <row r="742" customFormat="false" ht="15" hidden="false" customHeight="false" outlineLevel="0" collapsed="false">
      <c r="A742" s="12"/>
      <c r="B742" s="13"/>
      <c r="C742" s="14"/>
      <c r="D742" s="14"/>
      <c r="E742" s="13"/>
      <c r="F742" s="15"/>
      <c r="G742" s="16" t="str">
        <f aca="false">IF(OR(B742="",A742=""),"",C742*IFERROR(INDEX(Kişiler!$B$5:$B$44,MATCH(B742,Kişiler!$A$5:$A$44,0)),0)+D742*IFERROR(INDEX(Kişiler!$C$5:$C$44,MATCH(B742,Kişiler!$A$5:$A$44,0)),0))</f>
        <v/>
      </c>
    </row>
    <row r="743" customFormat="false" ht="15" hidden="false" customHeight="false" outlineLevel="0" collapsed="false">
      <c r="A743" s="12"/>
      <c r="B743" s="13"/>
      <c r="C743" s="14"/>
      <c r="D743" s="14"/>
      <c r="E743" s="13"/>
      <c r="F743" s="15"/>
      <c r="G743" s="16" t="str">
        <f aca="false">IF(OR(B743="",A743=""),"",C743*IFERROR(INDEX(Kişiler!$B$5:$B$44,MATCH(B743,Kişiler!$A$5:$A$44,0)),0)+D743*IFERROR(INDEX(Kişiler!$C$5:$C$44,MATCH(B743,Kişiler!$A$5:$A$44,0)),0))</f>
        <v/>
      </c>
    </row>
    <row r="744" customFormat="false" ht="15" hidden="false" customHeight="false" outlineLevel="0" collapsed="false">
      <c r="A744" s="12"/>
      <c r="B744" s="13"/>
      <c r="C744" s="14"/>
      <c r="D744" s="14"/>
      <c r="E744" s="13"/>
      <c r="F744" s="15"/>
      <c r="G744" s="16" t="str">
        <f aca="false">IF(OR(B744="",A744=""),"",C744*IFERROR(INDEX(Kişiler!$B$5:$B$44,MATCH(B744,Kişiler!$A$5:$A$44,0)),0)+D744*IFERROR(INDEX(Kişiler!$C$5:$C$44,MATCH(B744,Kişiler!$A$5:$A$44,0)),0))</f>
        <v/>
      </c>
    </row>
    <row r="745" customFormat="false" ht="15" hidden="false" customHeight="false" outlineLevel="0" collapsed="false">
      <c r="A745" s="12"/>
      <c r="B745" s="13"/>
      <c r="C745" s="14"/>
      <c r="D745" s="14"/>
      <c r="E745" s="13"/>
      <c r="F745" s="15"/>
      <c r="G745" s="16" t="str">
        <f aca="false">IF(OR(B745="",A745=""),"",C745*IFERROR(INDEX(Kişiler!$B$5:$B$44,MATCH(B745,Kişiler!$A$5:$A$44,0)),0)+D745*IFERROR(INDEX(Kişiler!$C$5:$C$44,MATCH(B745,Kişiler!$A$5:$A$44,0)),0))</f>
        <v/>
      </c>
    </row>
    <row r="746" customFormat="false" ht="15" hidden="false" customHeight="false" outlineLevel="0" collapsed="false">
      <c r="A746" s="12"/>
      <c r="B746" s="13"/>
      <c r="C746" s="14"/>
      <c r="D746" s="14"/>
      <c r="E746" s="13"/>
      <c r="F746" s="15"/>
      <c r="G746" s="16" t="str">
        <f aca="false">IF(OR(B746="",A746=""),"",C746*IFERROR(INDEX(Kişiler!$B$5:$B$44,MATCH(B746,Kişiler!$A$5:$A$44,0)),0)+D746*IFERROR(INDEX(Kişiler!$C$5:$C$44,MATCH(B746,Kişiler!$A$5:$A$44,0)),0))</f>
        <v/>
      </c>
    </row>
    <row r="747" customFormat="false" ht="15" hidden="false" customHeight="false" outlineLevel="0" collapsed="false">
      <c r="A747" s="12"/>
      <c r="B747" s="13"/>
      <c r="C747" s="14"/>
      <c r="D747" s="14"/>
      <c r="E747" s="13"/>
      <c r="F747" s="15"/>
      <c r="G747" s="16" t="str">
        <f aca="false">IF(OR(B747="",A747=""),"",C747*IFERROR(INDEX(Kişiler!$B$5:$B$44,MATCH(B747,Kişiler!$A$5:$A$44,0)),0)+D747*IFERROR(INDEX(Kişiler!$C$5:$C$44,MATCH(B747,Kişiler!$A$5:$A$44,0)),0))</f>
        <v/>
      </c>
    </row>
    <row r="748" customFormat="false" ht="15" hidden="false" customHeight="false" outlineLevel="0" collapsed="false">
      <c r="A748" s="12"/>
      <c r="B748" s="13"/>
      <c r="C748" s="14"/>
      <c r="D748" s="14"/>
      <c r="E748" s="13"/>
      <c r="F748" s="15"/>
      <c r="G748" s="16" t="str">
        <f aca="false">IF(OR(B748="",A748=""),"",C748*IFERROR(INDEX(Kişiler!$B$5:$B$44,MATCH(B748,Kişiler!$A$5:$A$44,0)),0)+D748*IFERROR(INDEX(Kişiler!$C$5:$C$44,MATCH(B748,Kişiler!$A$5:$A$44,0)),0))</f>
        <v/>
      </c>
    </row>
    <row r="749" customFormat="false" ht="15" hidden="false" customHeight="false" outlineLevel="0" collapsed="false">
      <c r="A749" s="12"/>
      <c r="B749" s="13"/>
      <c r="C749" s="14"/>
      <c r="D749" s="14"/>
      <c r="E749" s="13"/>
      <c r="F749" s="15"/>
      <c r="G749" s="16" t="str">
        <f aca="false">IF(OR(B749="",A749=""),"",C749*IFERROR(INDEX(Kişiler!$B$5:$B$44,MATCH(B749,Kişiler!$A$5:$A$44,0)),0)+D749*IFERROR(INDEX(Kişiler!$C$5:$C$44,MATCH(B749,Kişiler!$A$5:$A$44,0)),0))</f>
        <v/>
      </c>
    </row>
    <row r="750" customFormat="false" ht="15" hidden="false" customHeight="false" outlineLevel="0" collapsed="false">
      <c r="A750" s="12"/>
      <c r="B750" s="13"/>
      <c r="C750" s="14"/>
      <c r="D750" s="14"/>
      <c r="E750" s="13"/>
      <c r="F750" s="15"/>
      <c r="G750" s="16" t="str">
        <f aca="false">IF(OR(B750="",A750=""),"",C750*IFERROR(INDEX(Kişiler!$B$5:$B$44,MATCH(B750,Kişiler!$A$5:$A$44,0)),0)+D750*IFERROR(INDEX(Kişiler!$C$5:$C$44,MATCH(B750,Kişiler!$A$5:$A$44,0)),0))</f>
        <v/>
      </c>
    </row>
    <row r="751" customFormat="false" ht="15" hidden="false" customHeight="false" outlineLevel="0" collapsed="false">
      <c r="A751" s="12"/>
      <c r="B751" s="13"/>
      <c r="C751" s="14"/>
      <c r="D751" s="14"/>
      <c r="E751" s="13"/>
      <c r="F751" s="15"/>
      <c r="G751" s="16" t="str">
        <f aca="false">IF(OR(B751="",A751=""),"",C751*IFERROR(INDEX(Kişiler!$B$5:$B$44,MATCH(B751,Kişiler!$A$5:$A$44,0)),0)+D751*IFERROR(INDEX(Kişiler!$C$5:$C$44,MATCH(B751,Kişiler!$A$5:$A$44,0)),0))</f>
        <v/>
      </c>
    </row>
    <row r="752" customFormat="false" ht="15" hidden="false" customHeight="false" outlineLevel="0" collapsed="false">
      <c r="A752" s="12"/>
      <c r="B752" s="13"/>
      <c r="C752" s="14"/>
      <c r="D752" s="14"/>
      <c r="E752" s="13"/>
      <c r="F752" s="15"/>
      <c r="G752" s="16" t="str">
        <f aca="false">IF(OR(B752="",A752=""),"",C752*IFERROR(INDEX(Kişiler!$B$5:$B$44,MATCH(B752,Kişiler!$A$5:$A$44,0)),0)+D752*IFERROR(INDEX(Kişiler!$C$5:$C$44,MATCH(B752,Kişiler!$A$5:$A$44,0)),0))</f>
        <v/>
      </c>
    </row>
    <row r="753" customFormat="false" ht="15" hidden="false" customHeight="false" outlineLevel="0" collapsed="false">
      <c r="A753" s="12"/>
      <c r="B753" s="13"/>
      <c r="C753" s="14"/>
      <c r="D753" s="14"/>
      <c r="E753" s="13"/>
      <c r="F753" s="15"/>
      <c r="G753" s="16" t="str">
        <f aca="false">IF(OR(B753="",A753=""),"",C753*IFERROR(INDEX(Kişiler!$B$5:$B$44,MATCH(B753,Kişiler!$A$5:$A$44,0)),0)+D753*IFERROR(INDEX(Kişiler!$C$5:$C$44,MATCH(B753,Kişiler!$A$5:$A$44,0)),0))</f>
        <v/>
      </c>
    </row>
    <row r="754" customFormat="false" ht="15" hidden="false" customHeight="false" outlineLevel="0" collapsed="false">
      <c r="A754" s="12"/>
      <c r="B754" s="13"/>
      <c r="C754" s="14"/>
      <c r="D754" s="14"/>
      <c r="E754" s="13"/>
      <c r="F754" s="15"/>
      <c r="G754" s="16" t="str">
        <f aca="false">IF(OR(B754="",A754=""),"",C754*IFERROR(INDEX(Kişiler!$B$5:$B$44,MATCH(B754,Kişiler!$A$5:$A$44,0)),0)+D754*IFERROR(INDEX(Kişiler!$C$5:$C$44,MATCH(B754,Kişiler!$A$5:$A$44,0)),0))</f>
        <v/>
      </c>
    </row>
    <row r="755" customFormat="false" ht="15" hidden="false" customHeight="false" outlineLevel="0" collapsed="false">
      <c r="A755" s="12"/>
      <c r="B755" s="13"/>
      <c r="C755" s="14"/>
      <c r="D755" s="14"/>
      <c r="E755" s="13"/>
      <c r="F755" s="15"/>
      <c r="G755" s="16" t="str">
        <f aca="false">IF(OR(B755="",A755=""),"",C755*IFERROR(INDEX(Kişiler!$B$5:$B$44,MATCH(B755,Kişiler!$A$5:$A$44,0)),0)+D755*IFERROR(INDEX(Kişiler!$C$5:$C$44,MATCH(B755,Kişiler!$A$5:$A$44,0)),0))</f>
        <v/>
      </c>
    </row>
    <row r="756" customFormat="false" ht="15" hidden="false" customHeight="false" outlineLevel="0" collapsed="false">
      <c r="A756" s="12"/>
      <c r="B756" s="13"/>
      <c r="C756" s="14"/>
      <c r="D756" s="14"/>
      <c r="E756" s="13"/>
      <c r="F756" s="15"/>
      <c r="G756" s="16" t="str">
        <f aca="false">IF(OR(B756="",A756=""),"",C756*IFERROR(INDEX(Kişiler!$B$5:$B$44,MATCH(B756,Kişiler!$A$5:$A$44,0)),0)+D756*IFERROR(INDEX(Kişiler!$C$5:$C$44,MATCH(B756,Kişiler!$A$5:$A$44,0)),0))</f>
        <v/>
      </c>
    </row>
    <row r="757" customFormat="false" ht="15" hidden="false" customHeight="false" outlineLevel="0" collapsed="false">
      <c r="A757" s="12"/>
      <c r="B757" s="13"/>
      <c r="C757" s="14"/>
      <c r="D757" s="14"/>
      <c r="E757" s="13"/>
      <c r="F757" s="15"/>
      <c r="G757" s="16" t="str">
        <f aca="false">IF(OR(B757="",A757=""),"",C757*IFERROR(INDEX(Kişiler!$B$5:$B$44,MATCH(B757,Kişiler!$A$5:$A$44,0)),0)+D757*IFERROR(INDEX(Kişiler!$C$5:$C$44,MATCH(B757,Kişiler!$A$5:$A$44,0)),0))</f>
        <v/>
      </c>
    </row>
    <row r="758" customFormat="false" ht="15" hidden="false" customHeight="false" outlineLevel="0" collapsed="false">
      <c r="A758" s="12"/>
      <c r="B758" s="13"/>
      <c r="C758" s="14"/>
      <c r="D758" s="14"/>
      <c r="E758" s="13"/>
      <c r="F758" s="15"/>
      <c r="G758" s="16" t="str">
        <f aca="false">IF(OR(B758="",A758=""),"",C758*IFERROR(INDEX(Kişiler!$B$5:$B$44,MATCH(B758,Kişiler!$A$5:$A$44,0)),0)+D758*IFERROR(INDEX(Kişiler!$C$5:$C$44,MATCH(B758,Kişiler!$A$5:$A$44,0)),0))</f>
        <v/>
      </c>
    </row>
    <row r="759" customFormat="false" ht="15" hidden="false" customHeight="false" outlineLevel="0" collapsed="false">
      <c r="A759" s="12"/>
      <c r="B759" s="13"/>
      <c r="C759" s="14"/>
      <c r="D759" s="14"/>
      <c r="E759" s="13"/>
      <c r="F759" s="15"/>
      <c r="G759" s="16" t="str">
        <f aca="false">IF(OR(B759="",A759=""),"",C759*IFERROR(INDEX(Kişiler!$B$5:$B$44,MATCH(B759,Kişiler!$A$5:$A$44,0)),0)+D759*IFERROR(INDEX(Kişiler!$C$5:$C$44,MATCH(B759,Kişiler!$A$5:$A$44,0)),0))</f>
        <v/>
      </c>
    </row>
    <row r="760" customFormat="false" ht="15" hidden="false" customHeight="false" outlineLevel="0" collapsed="false">
      <c r="A760" s="12"/>
      <c r="B760" s="13"/>
      <c r="C760" s="14"/>
      <c r="D760" s="14"/>
      <c r="E760" s="13"/>
      <c r="F760" s="15"/>
      <c r="G760" s="16" t="str">
        <f aca="false">IF(OR(B760="",A760=""),"",C760*IFERROR(INDEX(Kişiler!$B$5:$B$44,MATCH(B760,Kişiler!$A$5:$A$44,0)),0)+D760*IFERROR(INDEX(Kişiler!$C$5:$C$44,MATCH(B760,Kişiler!$A$5:$A$44,0)),0))</f>
        <v/>
      </c>
    </row>
    <row r="761" customFormat="false" ht="15" hidden="false" customHeight="false" outlineLevel="0" collapsed="false">
      <c r="A761" s="12"/>
      <c r="B761" s="13"/>
      <c r="C761" s="14"/>
      <c r="D761" s="14"/>
      <c r="E761" s="13"/>
      <c r="F761" s="15"/>
      <c r="G761" s="16" t="str">
        <f aca="false">IF(OR(B761="",A761=""),"",C761*IFERROR(INDEX(Kişiler!$B$5:$B$44,MATCH(B761,Kişiler!$A$5:$A$44,0)),0)+D761*IFERROR(INDEX(Kişiler!$C$5:$C$44,MATCH(B761,Kişiler!$A$5:$A$44,0)),0))</f>
        <v/>
      </c>
    </row>
    <row r="762" customFormat="false" ht="15" hidden="false" customHeight="false" outlineLevel="0" collapsed="false">
      <c r="A762" s="12"/>
      <c r="B762" s="13"/>
      <c r="C762" s="14"/>
      <c r="D762" s="14"/>
      <c r="E762" s="13"/>
      <c r="F762" s="15"/>
      <c r="G762" s="16" t="str">
        <f aca="false">IF(OR(B762="",A762=""),"",C762*IFERROR(INDEX(Kişiler!$B$5:$B$44,MATCH(B762,Kişiler!$A$5:$A$44,0)),0)+D762*IFERROR(INDEX(Kişiler!$C$5:$C$44,MATCH(B762,Kişiler!$A$5:$A$44,0)),0))</f>
        <v/>
      </c>
    </row>
    <row r="763" customFormat="false" ht="15" hidden="false" customHeight="false" outlineLevel="0" collapsed="false">
      <c r="A763" s="12"/>
      <c r="B763" s="13"/>
      <c r="C763" s="14"/>
      <c r="D763" s="14"/>
      <c r="E763" s="13"/>
      <c r="F763" s="15"/>
      <c r="G763" s="16" t="str">
        <f aca="false">IF(OR(B763="",A763=""),"",C763*IFERROR(INDEX(Kişiler!$B$5:$B$44,MATCH(B763,Kişiler!$A$5:$A$44,0)),0)+D763*IFERROR(INDEX(Kişiler!$C$5:$C$44,MATCH(B763,Kişiler!$A$5:$A$44,0)),0))</f>
        <v/>
      </c>
    </row>
    <row r="764" customFormat="false" ht="15" hidden="false" customHeight="false" outlineLevel="0" collapsed="false">
      <c r="A764" s="12"/>
      <c r="B764" s="13"/>
      <c r="C764" s="14"/>
      <c r="D764" s="14"/>
      <c r="E764" s="13"/>
      <c r="F764" s="15"/>
      <c r="G764" s="16" t="str">
        <f aca="false">IF(OR(B764="",A764=""),"",C764*IFERROR(INDEX(Kişiler!$B$5:$B$44,MATCH(B764,Kişiler!$A$5:$A$44,0)),0)+D764*IFERROR(INDEX(Kişiler!$C$5:$C$44,MATCH(B764,Kişiler!$A$5:$A$44,0)),0))</f>
        <v/>
      </c>
    </row>
    <row r="765" customFormat="false" ht="15" hidden="false" customHeight="false" outlineLevel="0" collapsed="false">
      <c r="A765" s="12"/>
      <c r="B765" s="13"/>
      <c r="C765" s="14"/>
      <c r="D765" s="14"/>
      <c r="E765" s="13"/>
      <c r="F765" s="15"/>
      <c r="G765" s="16" t="str">
        <f aca="false">IF(OR(B765="",A765=""),"",C765*IFERROR(INDEX(Kişiler!$B$5:$B$44,MATCH(B765,Kişiler!$A$5:$A$44,0)),0)+D765*IFERROR(INDEX(Kişiler!$C$5:$C$44,MATCH(B765,Kişiler!$A$5:$A$44,0)),0))</f>
        <v/>
      </c>
    </row>
    <row r="766" customFormat="false" ht="15" hidden="false" customHeight="false" outlineLevel="0" collapsed="false">
      <c r="A766" s="12"/>
      <c r="B766" s="13"/>
      <c r="C766" s="14"/>
      <c r="D766" s="14"/>
      <c r="E766" s="13"/>
      <c r="F766" s="15"/>
      <c r="G766" s="16" t="str">
        <f aca="false">IF(OR(B766="",A766=""),"",C766*IFERROR(INDEX(Kişiler!$B$5:$B$44,MATCH(B766,Kişiler!$A$5:$A$44,0)),0)+D766*IFERROR(INDEX(Kişiler!$C$5:$C$44,MATCH(B766,Kişiler!$A$5:$A$44,0)),0))</f>
        <v/>
      </c>
    </row>
    <row r="767" customFormat="false" ht="15" hidden="false" customHeight="false" outlineLevel="0" collapsed="false">
      <c r="A767" s="12"/>
      <c r="B767" s="13"/>
      <c r="C767" s="14"/>
      <c r="D767" s="14"/>
      <c r="E767" s="13"/>
      <c r="F767" s="15"/>
      <c r="G767" s="16" t="str">
        <f aca="false">IF(OR(B767="",A767=""),"",C767*IFERROR(INDEX(Kişiler!$B$5:$B$44,MATCH(B767,Kişiler!$A$5:$A$44,0)),0)+D767*IFERROR(INDEX(Kişiler!$C$5:$C$44,MATCH(B767,Kişiler!$A$5:$A$44,0)),0))</f>
        <v/>
      </c>
    </row>
    <row r="768" customFormat="false" ht="15" hidden="false" customHeight="false" outlineLevel="0" collapsed="false">
      <c r="A768" s="12"/>
      <c r="B768" s="13"/>
      <c r="C768" s="14"/>
      <c r="D768" s="14"/>
      <c r="E768" s="13"/>
      <c r="F768" s="15"/>
      <c r="G768" s="16" t="str">
        <f aca="false">IF(OR(B768="",A768=""),"",C768*IFERROR(INDEX(Kişiler!$B$5:$B$44,MATCH(B768,Kişiler!$A$5:$A$44,0)),0)+D768*IFERROR(INDEX(Kişiler!$C$5:$C$44,MATCH(B768,Kişiler!$A$5:$A$44,0)),0))</f>
        <v/>
      </c>
    </row>
    <row r="769" customFormat="false" ht="15" hidden="false" customHeight="false" outlineLevel="0" collapsed="false">
      <c r="A769" s="12"/>
      <c r="B769" s="13"/>
      <c r="C769" s="14"/>
      <c r="D769" s="14"/>
      <c r="E769" s="13"/>
      <c r="F769" s="15"/>
      <c r="G769" s="16" t="str">
        <f aca="false">IF(OR(B769="",A769=""),"",C769*IFERROR(INDEX(Kişiler!$B$5:$B$44,MATCH(B769,Kişiler!$A$5:$A$44,0)),0)+D769*IFERROR(INDEX(Kişiler!$C$5:$C$44,MATCH(B769,Kişiler!$A$5:$A$44,0)),0))</f>
        <v/>
      </c>
    </row>
    <row r="770" customFormat="false" ht="15" hidden="false" customHeight="false" outlineLevel="0" collapsed="false">
      <c r="A770" s="12"/>
      <c r="B770" s="13"/>
      <c r="C770" s="14"/>
      <c r="D770" s="14"/>
      <c r="E770" s="13"/>
      <c r="F770" s="15"/>
      <c r="G770" s="16" t="str">
        <f aca="false">IF(OR(B770="",A770=""),"",C770*IFERROR(INDEX(Kişiler!$B$5:$B$44,MATCH(B770,Kişiler!$A$5:$A$44,0)),0)+D770*IFERROR(INDEX(Kişiler!$C$5:$C$44,MATCH(B770,Kişiler!$A$5:$A$44,0)),0))</f>
        <v/>
      </c>
    </row>
    <row r="771" customFormat="false" ht="15" hidden="false" customHeight="false" outlineLevel="0" collapsed="false">
      <c r="A771" s="12"/>
      <c r="B771" s="13"/>
      <c r="C771" s="14"/>
      <c r="D771" s="14"/>
      <c r="E771" s="13"/>
      <c r="F771" s="15"/>
      <c r="G771" s="16" t="str">
        <f aca="false">IF(OR(B771="",A771=""),"",C771*IFERROR(INDEX(Kişiler!$B$5:$B$44,MATCH(B771,Kişiler!$A$5:$A$44,0)),0)+D771*IFERROR(INDEX(Kişiler!$C$5:$C$44,MATCH(B771,Kişiler!$A$5:$A$44,0)),0))</f>
        <v/>
      </c>
    </row>
    <row r="772" customFormat="false" ht="15" hidden="false" customHeight="false" outlineLevel="0" collapsed="false">
      <c r="A772" s="12"/>
      <c r="B772" s="13"/>
      <c r="C772" s="14"/>
      <c r="D772" s="14"/>
      <c r="E772" s="13"/>
      <c r="F772" s="15"/>
      <c r="G772" s="16" t="str">
        <f aca="false">IF(OR(B772="",A772=""),"",C772*IFERROR(INDEX(Kişiler!$B$5:$B$44,MATCH(B772,Kişiler!$A$5:$A$44,0)),0)+D772*IFERROR(INDEX(Kişiler!$C$5:$C$44,MATCH(B772,Kişiler!$A$5:$A$44,0)),0))</f>
        <v/>
      </c>
    </row>
    <row r="773" customFormat="false" ht="15" hidden="false" customHeight="false" outlineLevel="0" collapsed="false">
      <c r="A773" s="12"/>
      <c r="B773" s="13"/>
      <c r="C773" s="14"/>
      <c r="D773" s="14"/>
      <c r="E773" s="13"/>
      <c r="F773" s="15"/>
      <c r="G773" s="16" t="str">
        <f aca="false">IF(OR(B773="",A773=""),"",C773*IFERROR(INDEX(Kişiler!$B$5:$B$44,MATCH(B773,Kişiler!$A$5:$A$44,0)),0)+D773*IFERROR(INDEX(Kişiler!$C$5:$C$44,MATCH(B773,Kişiler!$A$5:$A$44,0)),0))</f>
        <v/>
      </c>
    </row>
    <row r="774" customFormat="false" ht="15" hidden="false" customHeight="false" outlineLevel="0" collapsed="false">
      <c r="A774" s="12"/>
      <c r="B774" s="13"/>
      <c r="C774" s="14"/>
      <c r="D774" s="14"/>
      <c r="E774" s="13"/>
      <c r="F774" s="15"/>
      <c r="G774" s="16" t="str">
        <f aca="false">IF(OR(B774="",A774=""),"",C774*IFERROR(INDEX(Kişiler!$B$5:$B$44,MATCH(B774,Kişiler!$A$5:$A$44,0)),0)+D774*IFERROR(INDEX(Kişiler!$C$5:$C$44,MATCH(B774,Kişiler!$A$5:$A$44,0)),0))</f>
        <v/>
      </c>
    </row>
    <row r="775" customFormat="false" ht="15" hidden="false" customHeight="false" outlineLevel="0" collapsed="false">
      <c r="A775" s="12"/>
      <c r="B775" s="13"/>
      <c r="C775" s="14"/>
      <c r="D775" s="14"/>
      <c r="E775" s="13"/>
      <c r="F775" s="15"/>
      <c r="G775" s="16" t="str">
        <f aca="false">IF(OR(B775="",A775=""),"",C775*IFERROR(INDEX(Kişiler!$B$5:$B$44,MATCH(B775,Kişiler!$A$5:$A$44,0)),0)+D775*IFERROR(INDEX(Kişiler!$C$5:$C$44,MATCH(B775,Kişiler!$A$5:$A$44,0)),0))</f>
        <v/>
      </c>
    </row>
    <row r="776" customFormat="false" ht="15" hidden="false" customHeight="false" outlineLevel="0" collapsed="false">
      <c r="A776" s="12"/>
      <c r="B776" s="13"/>
      <c r="C776" s="14"/>
      <c r="D776" s="14"/>
      <c r="E776" s="13"/>
      <c r="F776" s="15"/>
      <c r="G776" s="16" t="str">
        <f aca="false">IF(OR(B776="",A776=""),"",C776*IFERROR(INDEX(Kişiler!$B$5:$B$44,MATCH(B776,Kişiler!$A$5:$A$44,0)),0)+D776*IFERROR(INDEX(Kişiler!$C$5:$C$44,MATCH(B776,Kişiler!$A$5:$A$44,0)),0))</f>
        <v/>
      </c>
    </row>
    <row r="777" customFormat="false" ht="15" hidden="false" customHeight="false" outlineLevel="0" collapsed="false">
      <c r="A777" s="12"/>
      <c r="B777" s="13"/>
      <c r="C777" s="14"/>
      <c r="D777" s="14"/>
      <c r="E777" s="13"/>
      <c r="F777" s="15"/>
      <c r="G777" s="16" t="str">
        <f aca="false">IF(OR(B777="",A777=""),"",C777*IFERROR(INDEX(Kişiler!$B$5:$B$44,MATCH(B777,Kişiler!$A$5:$A$44,0)),0)+D777*IFERROR(INDEX(Kişiler!$C$5:$C$44,MATCH(B777,Kişiler!$A$5:$A$44,0)),0))</f>
        <v/>
      </c>
    </row>
    <row r="778" customFormat="false" ht="15" hidden="false" customHeight="false" outlineLevel="0" collapsed="false">
      <c r="A778" s="12"/>
      <c r="B778" s="13"/>
      <c r="C778" s="14"/>
      <c r="D778" s="14"/>
      <c r="E778" s="13"/>
      <c r="F778" s="15"/>
      <c r="G778" s="16" t="str">
        <f aca="false">IF(OR(B778="",A778=""),"",C778*IFERROR(INDEX(Kişiler!$B$5:$B$44,MATCH(B778,Kişiler!$A$5:$A$44,0)),0)+D778*IFERROR(INDEX(Kişiler!$C$5:$C$44,MATCH(B778,Kişiler!$A$5:$A$44,0)),0))</f>
        <v/>
      </c>
    </row>
    <row r="779" customFormat="false" ht="15" hidden="false" customHeight="false" outlineLevel="0" collapsed="false">
      <c r="A779" s="12"/>
      <c r="B779" s="13"/>
      <c r="C779" s="14"/>
      <c r="D779" s="14"/>
      <c r="E779" s="13"/>
      <c r="F779" s="15"/>
      <c r="G779" s="16" t="str">
        <f aca="false">IF(OR(B779="",A779=""),"",C779*IFERROR(INDEX(Kişiler!$B$5:$B$44,MATCH(B779,Kişiler!$A$5:$A$44,0)),0)+D779*IFERROR(INDEX(Kişiler!$C$5:$C$44,MATCH(B779,Kişiler!$A$5:$A$44,0)),0))</f>
        <v/>
      </c>
    </row>
    <row r="780" customFormat="false" ht="15" hidden="false" customHeight="false" outlineLevel="0" collapsed="false">
      <c r="A780" s="12"/>
      <c r="B780" s="13"/>
      <c r="C780" s="14"/>
      <c r="D780" s="14"/>
      <c r="E780" s="13"/>
      <c r="F780" s="15"/>
      <c r="G780" s="16" t="str">
        <f aca="false">IF(OR(B780="",A780=""),"",C780*IFERROR(INDEX(Kişiler!$B$5:$B$44,MATCH(B780,Kişiler!$A$5:$A$44,0)),0)+D780*IFERROR(INDEX(Kişiler!$C$5:$C$44,MATCH(B780,Kişiler!$A$5:$A$44,0)),0))</f>
        <v/>
      </c>
    </row>
    <row r="781" customFormat="false" ht="15" hidden="false" customHeight="false" outlineLevel="0" collapsed="false">
      <c r="A781" s="12"/>
      <c r="B781" s="13"/>
      <c r="C781" s="14"/>
      <c r="D781" s="14"/>
      <c r="E781" s="13"/>
      <c r="F781" s="15"/>
      <c r="G781" s="16" t="str">
        <f aca="false">IF(OR(B781="",A781=""),"",C781*IFERROR(INDEX(Kişiler!$B$5:$B$44,MATCH(B781,Kişiler!$A$5:$A$44,0)),0)+D781*IFERROR(INDEX(Kişiler!$C$5:$C$44,MATCH(B781,Kişiler!$A$5:$A$44,0)),0))</f>
        <v/>
      </c>
    </row>
    <row r="782" customFormat="false" ht="15" hidden="false" customHeight="false" outlineLevel="0" collapsed="false">
      <c r="A782" s="12"/>
      <c r="B782" s="13"/>
      <c r="C782" s="14"/>
      <c r="D782" s="14"/>
      <c r="E782" s="13"/>
      <c r="F782" s="15"/>
      <c r="G782" s="16" t="str">
        <f aca="false">IF(OR(B782="",A782=""),"",C782*IFERROR(INDEX(Kişiler!$B$5:$B$44,MATCH(B782,Kişiler!$A$5:$A$44,0)),0)+D782*IFERROR(INDEX(Kişiler!$C$5:$C$44,MATCH(B782,Kişiler!$A$5:$A$44,0)),0))</f>
        <v/>
      </c>
    </row>
    <row r="783" customFormat="false" ht="15" hidden="false" customHeight="false" outlineLevel="0" collapsed="false">
      <c r="A783" s="12"/>
      <c r="B783" s="13"/>
      <c r="C783" s="14"/>
      <c r="D783" s="14"/>
      <c r="E783" s="13"/>
      <c r="F783" s="15"/>
      <c r="G783" s="16" t="str">
        <f aca="false">IF(OR(B783="",A783=""),"",C783*IFERROR(INDEX(Kişiler!$B$5:$B$44,MATCH(B783,Kişiler!$A$5:$A$44,0)),0)+D783*IFERROR(INDEX(Kişiler!$C$5:$C$44,MATCH(B783,Kişiler!$A$5:$A$44,0)),0))</f>
        <v/>
      </c>
    </row>
    <row r="784" customFormat="false" ht="15" hidden="false" customHeight="false" outlineLevel="0" collapsed="false">
      <c r="A784" s="12"/>
      <c r="B784" s="13"/>
      <c r="C784" s="14"/>
      <c r="D784" s="14"/>
      <c r="E784" s="13"/>
      <c r="F784" s="15"/>
      <c r="G784" s="16" t="str">
        <f aca="false">IF(OR(B784="",A784=""),"",C784*IFERROR(INDEX(Kişiler!$B$5:$B$44,MATCH(B784,Kişiler!$A$5:$A$44,0)),0)+D784*IFERROR(INDEX(Kişiler!$C$5:$C$44,MATCH(B784,Kişiler!$A$5:$A$44,0)),0))</f>
        <v/>
      </c>
    </row>
    <row r="785" customFormat="false" ht="15" hidden="false" customHeight="false" outlineLevel="0" collapsed="false">
      <c r="A785" s="12"/>
      <c r="B785" s="13"/>
      <c r="C785" s="14"/>
      <c r="D785" s="14"/>
      <c r="E785" s="13"/>
      <c r="F785" s="15"/>
      <c r="G785" s="16" t="str">
        <f aca="false">IF(OR(B785="",A785=""),"",C785*IFERROR(INDEX(Kişiler!$B$5:$B$44,MATCH(B785,Kişiler!$A$5:$A$44,0)),0)+D785*IFERROR(INDEX(Kişiler!$C$5:$C$44,MATCH(B785,Kişiler!$A$5:$A$44,0)),0))</f>
        <v/>
      </c>
    </row>
    <row r="786" customFormat="false" ht="15" hidden="false" customHeight="false" outlineLevel="0" collapsed="false">
      <c r="A786" s="12"/>
      <c r="B786" s="13"/>
      <c r="C786" s="14"/>
      <c r="D786" s="14"/>
      <c r="E786" s="13"/>
      <c r="F786" s="15"/>
      <c r="G786" s="16" t="str">
        <f aca="false">IF(OR(B786="",A786=""),"",C786*IFERROR(INDEX(Kişiler!$B$5:$B$44,MATCH(B786,Kişiler!$A$5:$A$44,0)),0)+D786*IFERROR(INDEX(Kişiler!$C$5:$C$44,MATCH(B786,Kişiler!$A$5:$A$44,0)),0))</f>
        <v/>
      </c>
    </row>
    <row r="787" customFormat="false" ht="15" hidden="false" customHeight="false" outlineLevel="0" collapsed="false">
      <c r="A787" s="12"/>
      <c r="B787" s="13"/>
      <c r="C787" s="14"/>
      <c r="D787" s="14"/>
      <c r="E787" s="13"/>
      <c r="F787" s="15"/>
      <c r="G787" s="16" t="str">
        <f aca="false">IF(OR(B787="",A787=""),"",C787*IFERROR(INDEX(Kişiler!$B$5:$B$44,MATCH(B787,Kişiler!$A$5:$A$44,0)),0)+D787*IFERROR(INDEX(Kişiler!$C$5:$C$44,MATCH(B787,Kişiler!$A$5:$A$44,0)),0))</f>
        <v/>
      </c>
    </row>
    <row r="788" customFormat="false" ht="15" hidden="false" customHeight="false" outlineLevel="0" collapsed="false">
      <c r="A788" s="12"/>
      <c r="B788" s="13"/>
      <c r="C788" s="14"/>
      <c r="D788" s="14"/>
      <c r="E788" s="13"/>
      <c r="F788" s="15"/>
      <c r="G788" s="16" t="str">
        <f aca="false">IF(OR(B788="",A788=""),"",C788*IFERROR(INDEX(Kişiler!$B$5:$B$44,MATCH(B788,Kişiler!$A$5:$A$44,0)),0)+D788*IFERROR(INDEX(Kişiler!$C$5:$C$44,MATCH(B788,Kişiler!$A$5:$A$44,0)),0))</f>
        <v/>
      </c>
    </row>
    <row r="789" customFormat="false" ht="15" hidden="false" customHeight="false" outlineLevel="0" collapsed="false">
      <c r="A789" s="12"/>
      <c r="B789" s="13"/>
      <c r="C789" s="14"/>
      <c r="D789" s="14"/>
      <c r="E789" s="13"/>
      <c r="F789" s="15"/>
      <c r="G789" s="16" t="str">
        <f aca="false">IF(OR(B789="",A789=""),"",C789*IFERROR(INDEX(Kişiler!$B$5:$B$44,MATCH(B789,Kişiler!$A$5:$A$44,0)),0)+D789*IFERROR(INDEX(Kişiler!$C$5:$C$44,MATCH(B789,Kişiler!$A$5:$A$44,0)),0))</f>
        <v/>
      </c>
    </row>
    <row r="790" customFormat="false" ht="15" hidden="false" customHeight="false" outlineLevel="0" collapsed="false">
      <c r="A790" s="12"/>
      <c r="B790" s="13"/>
      <c r="C790" s="14"/>
      <c r="D790" s="14"/>
      <c r="E790" s="13"/>
      <c r="F790" s="15"/>
      <c r="G790" s="16" t="str">
        <f aca="false">IF(OR(B790="",A790=""),"",C790*IFERROR(INDEX(Kişiler!$B$5:$B$44,MATCH(B790,Kişiler!$A$5:$A$44,0)),0)+D790*IFERROR(INDEX(Kişiler!$C$5:$C$44,MATCH(B790,Kişiler!$A$5:$A$44,0)),0))</f>
        <v/>
      </c>
    </row>
    <row r="791" customFormat="false" ht="15" hidden="false" customHeight="false" outlineLevel="0" collapsed="false">
      <c r="A791" s="12"/>
      <c r="B791" s="13"/>
      <c r="C791" s="14"/>
      <c r="D791" s="14"/>
      <c r="E791" s="13"/>
      <c r="F791" s="15"/>
      <c r="G791" s="16" t="str">
        <f aca="false">IF(OR(B791="",A791=""),"",C791*IFERROR(INDEX(Kişiler!$B$5:$B$44,MATCH(B791,Kişiler!$A$5:$A$44,0)),0)+D791*IFERROR(INDEX(Kişiler!$C$5:$C$44,MATCH(B791,Kişiler!$A$5:$A$44,0)),0))</f>
        <v/>
      </c>
    </row>
    <row r="792" customFormat="false" ht="15" hidden="false" customHeight="false" outlineLevel="0" collapsed="false">
      <c r="A792" s="12"/>
      <c r="B792" s="13"/>
      <c r="C792" s="14"/>
      <c r="D792" s="14"/>
      <c r="E792" s="13"/>
      <c r="F792" s="15"/>
      <c r="G792" s="16" t="str">
        <f aca="false">IF(OR(B792="",A792=""),"",C792*IFERROR(INDEX(Kişiler!$B$5:$B$44,MATCH(B792,Kişiler!$A$5:$A$44,0)),0)+D792*IFERROR(INDEX(Kişiler!$C$5:$C$44,MATCH(B792,Kişiler!$A$5:$A$44,0)),0))</f>
        <v/>
      </c>
    </row>
    <row r="793" customFormat="false" ht="15" hidden="false" customHeight="false" outlineLevel="0" collapsed="false">
      <c r="A793" s="12"/>
      <c r="B793" s="13"/>
      <c r="C793" s="14"/>
      <c r="D793" s="14"/>
      <c r="E793" s="13"/>
      <c r="F793" s="15"/>
      <c r="G793" s="16" t="str">
        <f aca="false">IF(OR(B793="",A793=""),"",C793*IFERROR(INDEX(Kişiler!$B$5:$B$44,MATCH(B793,Kişiler!$A$5:$A$44,0)),0)+D793*IFERROR(INDEX(Kişiler!$C$5:$C$44,MATCH(B793,Kişiler!$A$5:$A$44,0)),0))</f>
        <v/>
      </c>
    </row>
    <row r="794" customFormat="false" ht="15" hidden="false" customHeight="false" outlineLevel="0" collapsed="false">
      <c r="A794" s="12"/>
      <c r="B794" s="13"/>
      <c r="C794" s="14"/>
      <c r="D794" s="14"/>
      <c r="E794" s="13"/>
      <c r="F794" s="15"/>
      <c r="G794" s="16" t="str">
        <f aca="false">IF(OR(B794="",A794=""),"",C794*IFERROR(INDEX(Kişiler!$B$5:$B$44,MATCH(B794,Kişiler!$A$5:$A$44,0)),0)+D794*IFERROR(INDEX(Kişiler!$C$5:$C$44,MATCH(B794,Kişiler!$A$5:$A$44,0)),0))</f>
        <v/>
      </c>
    </row>
    <row r="795" customFormat="false" ht="15" hidden="false" customHeight="false" outlineLevel="0" collapsed="false">
      <c r="A795" s="12"/>
      <c r="B795" s="13"/>
      <c r="C795" s="14"/>
      <c r="D795" s="14"/>
      <c r="E795" s="13"/>
      <c r="F795" s="15"/>
      <c r="G795" s="16" t="str">
        <f aca="false">IF(OR(B795="",A795=""),"",C795*IFERROR(INDEX(Kişiler!$B$5:$B$44,MATCH(B795,Kişiler!$A$5:$A$44,0)),0)+D795*IFERROR(INDEX(Kişiler!$C$5:$C$44,MATCH(B795,Kişiler!$A$5:$A$44,0)),0))</f>
        <v/>
      </c>
    </row>
    <row r="796" customFormat="false" ht="15" hidden="false" customHeight="false" outlineLevel="0" collapsed="false">
      <c r="A796" s="12"/>
      <c r="B796" s="13"/>
      <c r="C796" s="14"/>
      <c r="D796" s="14"/>
      <c r="E796" s="13"/>
      <c r="F796" s="15"/>
      <c r="G796" s="16" t="str">
        <f aca="false">IF(OR(B796="",A796=""),"",C796*IFERROR(INDEX(Kişiler!$B$5:$B$44,MATCH(B796,Kişiler!$A$5:$A$44,0)),0)+D796*IFERROR(INDEX(Kişiler!$C$5:$C$44,MATCH(B796,Kişiler!$A$5:$A$44,0)),0))</f>
        <v/>
      </c>
    </row>
    <row r="797" customFormat="false" ht="15" hidden="false" customHeight="false" outlineLevel="0" collapsed="false">
      <c r="A797" s="12"/>
      <c r="B797" s="13"/>
      <c r="C797" s="14"/>
      <c r="D797" s="14"/>
      <c r="E797" s="13"/>
      <c r="F797" s="15"/>
      <c r="G797" s="16" t="str">
        <f aca="false">IF(OR(B797="",A797=""),"",C797*IFERROR(INDEX(Kişiler!$B$5:$B$44,MATCH(B797,Kişiler!$A$5:$A$44,0)),0)+D797*IFERROR(INDEX(Kişiler!$C$5:$C$44,MATCH(B797,Kişiler!$A$5:$A$44,0)),0))</f>
        <v/>
      </c>
    </row>
    <row r="798" customFormat="false" ht="15" hidden="false" customHeight="false" outlineLevel="0" collapsed="false">
      <c r="A798" s="12"/>
      <c r="B798" s="13"/>
      <c r="C798" s="14"/>
      <c r="D798" s="14"/>
      <c r="E798" s="13"/>
      <c r="F798" s="15"/>
      <c r="G798" s="16" t="str">
        <f aca="false">IF(OR(B798="",A798=""),"",C798*IFERROR(INDEX(Kişiler!$B$5:$B$44,MATCH(B798,Kişiler!$A$5:$A$44,0)),0)+D798*IFERROR(INDEX(Kişiler!$C$5:$C$44,MATCH(B798,Kişiler!$A$5:$A$44,0)),0))</f>
        <v/>
      </c>
    </row>
    <row r="799" customFormat="false" ht="15" hidden="false" customHeight="false" outlineLevel="0" collapsed="false">
      <c r="A799" s="12"/>
      <c r="B799" s="13"/>
      <c r="C799" s="14"/>
      <c r="D799" s="14"/>
      <c r="E799" s="13"/>
      <c r="F799" s="15"/>
      <c r="G799" s="16" t="str">
        <f aca="false">IF(OR(B799="",A799=""),"",C799*IFERROR(INDEX(Kişiler!$B$5:$B$44,MATCH(B799,Kişiler!$A$5:$A$44,0)),0)+D799*IFERROR(INDEX(Kişiler!$C$5:$C$44,MATCH(B799,Kişiler!$A$5:$A$44,0)),0))</f>
        <v/>
      </c>
    </row>
    <row r="800" customFormat="false" ht="15" hidden="false" customHeight="false" outlineLevel="0" collapsed="false">
      <c r="A800" s="12"/>
      <c r="B800" s="13"/>
      <c r="C800" s="14"/>
      <c r="D800" s="14"/>
      <c r="E800" s="13"/>
      <c r="F800" s="15"/>
      <c r="G800" s="16" t="str">
        <f aca="false">IF(OR(B800="",A800=""),"",C800*IFERROR(INDEX(Kişiler!$B$5:$B$44,MATCH(B800,Kişiler!$A$5:$A$44,0)),0)+D800*IFERROR(INDEX(Kişiler!$C$5:$C$44,MATCH(B800,Kişiler!$A$5:$A$44,0)),0))</f>
        <v/>
      </c>
    </row>
    <row r="801" customFormat="false" ht="15" hidden="false" customHeight="false" outlineLevel="0" collapsed="false">
      <c r="A801" s="12"/>
      <c r="B801" s="13"/>
      <c r="C801" s="14"/>
      <c r="D801" s="14"/>
      <c r="E801" s="13"/>
      <c r="F801" s="15"/>
      <c r="G801" s="16" t="str">
        <f aca="false">IF(OR(B801="",A801=""),"",C801*IFERROR(INDEX(Kişiler!$B$5:$B$44,MATCH(B801,Kişiler!$A$5:$A$44,0)),0)+D801*IFERROR(INDEX(Kişiler!$C$5:$C$44,MATCH(B801,Kişiler!$A$5:$A$44,0)),0))</f>
        <v/>
      </c>
    </row>
    <row r="802" customFormat="false" ht="15" hidden="false" customHeight="false" outlineLevel="0" collapsed="false">
      <c r="A802" s="12"/>
      <c r="B802" s="13"/>
      <c r="C802" s="14"/>
      <c r="D802" s="14"/>
      <c r="E802" s="13"/>
      <c r="F802" s="15"/>
      <c r="G802" s="16" t="str">
        <f aca="false">IF(OR(B802="",A802=""),"",C802*IFERROR(INDEX(Kişiler!$B$5:$B$44,MATCH(B802,Kişiler!$A$5:$A$44,0)),0)+D802*IFERROR(INDEX(Kişiler!$C$5:$C$44,MATCH(B802,Kişiler!$A$5:$A$44,0)),0))</f>
        <v/>
      </c>
    </row>
    <row r="803" customFormat="false" ht="15" hidden="false" customHeight="false" outlineLevel="0" collapsed="false">
      <c r="A803" s="12"/>
      <c r="B803" s="13"/>
      <c r="C803" s="14"/>
      <c r="D803" s="14"/>
      <c r="E803" s="13"/>
      <c r="F803" s="15"/>
      <c r="G803" s="16" t="str">
        <f aca="false">IF(OR(B803="",A803=""),"",C803*IFERROR(INDEX(Kişiler!$B$5:$B$44,MATCH(B803,Kişiler!$A$5:$A$44,0)),0)+D803*IFERROR(INDEX(Kişiler!$C$5:$C$44,MATCH(B803,Kişiler!$A$5:$A$44,0)),0))</f>
        <v/>
      </c>
    </row>
    <row r="804" customFormat="false" ht="15" hidden="false" customHeight="false" outlineLevel="0" collapsed="false">
      <c r="A804" s="12"/>
      <c r="B804" s="13"/>
      <c r="C804" s="14"/>
      <c r="D804" s="14"/>
      <c r="E804" s="13"/>
      <c r="F804" s="15"/>
      <c r="G804" s="16" t="str">
        <f aca="false">IF(OR(B804="",A804=""),"",C804*IFERROR(INDEX(Kişiler!$B$5:$B$44,MATCH(B804,Kişiler!$A$5:$A$44,0)),0)+D804*IFERROR(INDEX(Kişiler!$C$5:$C$44,MATCH(B804,Kişiler!$A$5:$A$44,0)),0))</f>
        <v/>
      </c>
    </row>
    <row r="805" customFormat="false" ht="15" hidden="false" customHeight="false" outlineLevel="0" collapsed="false">
      <c r="A805" s="12"/>
      <c r="B805" s="13"/>
      <c r="C805" s="14"/>
      <c r="D805" s="14"/>
      <c r="E805" s="13"/>
      <c r="F805" s="15"/>
      <c r="G805" s="16" t="str">
        <f aca="false">IF(OR(B805="",A805=""),"",C805*IFERROR(INDEX(Kişiler!$B$5:$B$44,MATCH(B805,Kişiler!$A$5:$A$44,0)),0)+D805*IFERROR(INDEX(Kişiler!$C$5:$C$44,MATCH(B805,Kişiler!$A$5:$A$44,0)),0))</f>
        <v/>
      </c>
    </row>
    <row r="806" customFormat="false" ht="15" hidden="false" customHeight="false" outlineLevel="0" collapsed="false">
      <c r="A806" s="12"/>
      <c r="B806" s="13"/>
      <c r="C806" s="14"/>
      <c r="D806" s="14"/>
      <c r="E806" s="13"/>
      <c r="F806" s="15"/>
      <c r="G806" s="16" t="str">
        <f aca="false">IF(OR(B806="",A806=""),"",C806*IFERROR(INDEX(Kişiler!$B$5:$B$44,MATCH(B806,Kişiler!$A$5:$A$44,0)),0)+D806*IFERROR(INDEX(Kişiler!$C$5:$C$44,MATCH(B806,Kişiler!$A$5:$A$44,0)),0))</f>
        <v/>
      </c>
    </row>
    <row r="807" customFormat="false" ht="15" hidden="false" customHeight="false" outlineLevel="0" collapsed="false">
      <c r="A807" s="12"/>
      <c r="B807" s="13"/>
      <c r="C807" s="14"/>
      <c r="D807" s="14"/>
      <c r="E807" s="13"/>
      <c r="F807" s="15"/>
      <c r="G807" s="16" t="str">
        <f aca="false">IF(OR(B807="",A807=""),"",C807*IFERROR(INDEX(Kişiler!$B$5:$B$44,MATCH(B807,Kişiler!$A$5:$A$44,0)),0)+D807*IFERROR(INDEX(Kişiler!$C$5:$C$44,MATCH(B807,Kişiler!$A$5:$A$44,0)),0))</f>
        <v/>
      </c>
    </row>
    <row r="808" customFormat="false" ht="15" hidden="false" customHeight="false" outlineLevel="0" collapsed="false">
      <c r="A808" s="12"/>
      <c r="B808" s="13"/>
      <c r="C808" s="14"/>
      <c r="D808" s="14"/>
      <c r="E808" s="13"/>
      <c r="F808" s="15"/>
      <c r="G808" s="16" t="str">
        <f aca="false">IF(OR(B808="",A808=""),"",C808*IFERROR(INDEX(Kişiler!$B$5:$B$44,MATCH(B808,Kişiler!$A$5:$A$44,0)),0)+D808*IFERROR(INDEX(Kişiler!$C$5:$C$44,MATCH(B808,Kişiler!$A$5:$A$44,0)),0))</f>
        <v/>
      </c>
    </row>
    <row r="809" customFormat="false" ht="15" hidden="false" customHeight="false" outlineLevel="0" collapsed="false">
      <c r="A809" s="12"/>
      <c r="B809" s="13"/>
      <c r="C809" s="14"/>
      <c r="D809" s="14"/>
      <c r="E809" s="13"/>
      <c r="F809" s="15"/>
      <c r="G809" s="16" t="str">
        <f aca="false">IF(OR(B809="",A809=""),"",C809*IFERROR(INDEX(Kişiler!$B$5:$B$44,MATCH(B809,Kişiler!$A$5:$A$44,0)),0)+D809*IFERROR(INDEX(Kişiler!$C$5:$C$44,MATCH(B809,Kişiler!$A$5:$A$44,0)),0))</f>
        <v/>
      </c>
    </row>
    <row r="810" customFormat="false" ht="15" hidden="false" customHeight="false" outlineLevel="0" collapsed="false">
      <c r="A810" s="12"/>
      <c r="B810" s="13"/>
      <c r="C810" s="14"/>
      <c r="D810" s="14"/>
      <c r="E810" s="13"/>
      <c r="F810" s="15"/>
      <c r="G810" s="16" t="str">
        <f aca="false">IF(OR(B810="",A810=""),"",C810*IFERROR(INDEX(Kişiler!$B$5:$B$44,MATCH(B810,Kişiler!$A$5:$A$44,0)),0)+D810*IFERROR(INDEX(Kişiler!$C$5:$C$44,MATCH(B810,Kişiler!$A$5:$A$44,0)),0))</f>
        <v/>
      </c>
    </row>
    <row r="811" customFormat="false" ht="15" hidden="false" customHeight="false" outlineLevel="0" collapsed="false">
      <c r="A811" s="12"/>
      <c r="B811" s="13"/>
      <c r="C811" s="14"/>
      <c r="D811" s="14"/>
      <c r="E811" s="13"/>
      <c r="F811" s="15"/>
      <c r="G811" s="16" t="str">
        <f aca="false">IF(OR(B811="",A811=""),"",C811*IFERROR(INDEX(Kişiler!$B$5:$B$44,MATCH(B811,Kişiler!$A$5:$A$44,0)),0)+D811*IFERROR(INDEX(Kişiler!$C$5:$C$44,MATCH(B811,Kişiler!$A$5:$A$44,0)),0))</f>
        <v/>
      </c>
    </row>
    <row r="812" customFormat="false" ht="15" hidden="false" customHeight="false" outlineLevel="0" collapsed="false">
      <c r="A812" s="12"/>
      <c r="B812" s="13"/>
      <c r="C812" s="14"/>
      <c r="D812" s="14"/>
      <c r="E812" s="13"/>
      <c r="F812" s="15"/>
      <c r="G812" s="16" t="str">
        <f aca="false">IF(OR(B812="",A812=""),"",C812*IFERROR(INDEX(Kişiler!$B$5:$B$44,MATCH(B812,Kişiler!$A$5:$A$44,0)),0)+D812*IFERROR(INDEX(Kişiler!$C$5:$C$44,MATCH(B812,Kişiler!$A$5:$A$44,0)),0))</f>
        <v/>
      </c>
    </row>
    <row r="813" customFormat="false" ht="15" hidden="false" customHeight="false" outlineLevel="0" collapsed="false">
      <c r="A813" s="12"/>
      <c r="B813" s="13"/>
      <c r="C813" s="14"/>
      <c r="D813" s="14"/>
      <c r="E813" s="13"/>
      <c r="F813" s="15"/>
      <c r="G813" s="16" t="str">
        <f aca="false">IF(OR(B813="",A813=""),"",C813*IFERROR(INDEX(Kişiler!$B$5:$B$44,MATCH(B813,Kişiler!$A$5:$A$44,0)),0)+D813*IFERROR(INDEX(Kişiler!$C$5:$C$44,MATCH(B813,Kişiler!$A$5:$A$44,0)),0))</f>
        <v/>
      </c>
    </row>
    <row r="814" customFormat="false" ht="15" hidden="false" customHeight="false" outlineLevel="0" collapsed="false">
      <c r="A814" s="12"/>
      <c r="B814" s="13"/>
      <c r="C814" s="14"/>
      <c r="D814" s="14"/>
      <c r="E814" s="13"/>
      <c r="F814" s="15"/>
      <c r="G814" s="16" t="str">
        <f aca="false">IF(OR(B814="",A814=""),"",C814*IFERROR(INDEX(Kişiler!$B$5:$B$44,MATCH(B814,Kişiler!$A$5:$A$44,0)),0)+D814*IFERROR(INDEX(Kişiler!$C$5:$C$44,MATCH(B814,Kişiler!$A$5:$A$44,0)),0))</f>
        <v/>
      </c>
    </row>
    <row r="815" customFormat="false" ht="15" hidden="false" customHeight="false" outlineLevel="0" collapsed="false">
      <c r="A815" s="12"/>
      <c r="B815" s="13"/>
      <c r="C815" s="14"/>
      <c r="D815" s="14"/>
      <c r="E815" s="13"/>
      <c r="F815" s="15"/>
      <c r="G815" s="16" t="str">
        <f aca="false">IF(OR(B815="",A815=""),"",C815*IFERROR(INDEX(Kişiler!$B$5:$B$44,MATCH(B815,Kişiler!$A$5:$A$44,0)),0)+D815*IFERROR(INDEX(Kişiler!$C$5:$C$44,MATCH(B815,Kişiler!$A$5:$A$44,0)),0))</f>
        <v/>
      </c>
    </row>
    <row r="816" customFormat="false" ht="15" hidden="false" customHeight="false" outlineLevel="0" collapsed="false">
      <c r="A816" s="12"/>
      <c r="B816" s="13"/>
      <c r="C816" s="14"/>
      <c r="D816" s="14"/>
      <c r="E816" s="13"/>
      <c r="F816" s="15"/>
      <c r="G816" s="16" t="str">
        <f aca="false">IF(OR(B816="",A816=""),"",C816*IFERROR(INDEX(Kişiler!$B$5:$B$44,MATCH(B816,Kişiler!$A$5:$A$44,0)),0)+D816*IFERROR(INDEX(Kişiler!$C$5:$C$44,MATCH(B816,Kişiler!$A$5:$A$44,0)),0))</f>
        <v/>
      </c>
    </row>
    <row r="817" customFormat="false" ht="15" hidden="false" customHeight="false" outlineLevel="0" collapsed="false">
      <c r="A817" s="12"/>
      <c r="B817" s="13"/>
      <c r="C817" s="14"/>
      <c r="D817" s="14"/>
      <c r="E817" s="13"/>
      <c r="F817" s="15"/>
      <c r="G817" s="16" t="str">
        <f aca="false">IF(OR(B817="",A817=""),"",C817*IFERROR(INDEX(Kişiler!$B$5:$B$44,MATCH(B817,Kişiler!$A$5:$A$44,0)),0)+D817*IFERROR(INDEX(Kişiler!$C$5:$C$44,MATCH(B817,Kişiler!$A$5:$A$44,0)),0))</f>
        <v/>
      </c>
    </row>
    <row r="818" customFormat="false" ht="15" hidden="false" customHeight="false" outlineLevel="0" collapsed="false">
      <c r="A818" s="12"/>
      <c r="B818" s="13"/>
      <c r="C818" s="14"/>
      <c r="D818" s="14"/>
      <c r="E818" s="13"/>
      <c r="F818" s="15"/>
      <c r="G818" s="16" t="str">
        <f aca="false">IF(OR(B818="",A818=""),"",C818*IFERROR(INDEX(Kişiler!$B$5:$B$44,MATCH(B818,Kişiler!$A$5:$A$44,0)),0)+D818*IFERROR(INDEX(Kişiler!$C$5:$C$44,MATCH(B818,Kişiler!$A$5:$A$44,0)),0))</f>
        <v/>
      </c>
    </row>
    <row r="819" customFormat="false" ht="15" hidden="false" customHeight="false" outlineLevel="0" collapsed="false">
      <c r="A819" s="12"/>
      <c r="B819" s="13"/>
      <c r="C819" s="14"/>
      <c r="D819" s="14"/>
      <c r="E819" s="13"/>
      <c r="F819" s="15"/>
      <c r="G819" s="16" t="str">
        <f aca="false">IF(OR(B819="",A819=""),"",C819*IFERROR(INDEX(Kişiler!$B$5:$B$44,MATCH(B819,Kişiler!$A$5:$A$44,0)),0)+D819*IFERROR(INDEX(Kişiler!$C$5:$C$44,MATCH(B819,Kişiler!$A$5:$A$44,0)),0))</f>
        <v/>
      </c>
    </row>
    <row r="820" customFormat="false" ht="15" hidden="false" customHeight="false" outlineLevel="0" collapsed="false">
      <c r="A820" s="12"/>
      <c r="B820" s="13"/>
      <c r="C820" s="14"/>
      <c r="D820" s="14"/>
      <c r="E820" s="13"/>
      <c r="F820" s="15"/>
      <c r="G820" s="16" t="str">
        <f aca="false">IF(OR(B820="",A820=""),"",C820*IFERROR(INDEX(Kişiler!$B$5:$B$44,MATCH(B820,Kişiler!$A$5:$A$44,0)),0)+D820*IFERROR(INDEX(Kişiler!$C$5:$C$44,MATCH(B820,Kişiler!$A$5:$A$44,0)),0))</f>
        <v/>
      </c>
    </row>
    <row r="821" customFormat="false" ht="15" hidden="false" customHeight="false" outlineLevel="0" collapsed="false">
      <c r="A821" s="12"/>
      <c r="B821" s="13"/>
      <c r="C821" s="14"/>
      <c r="D821" s="14"/>
      <c r="E821" s="13"/>
      <c r="F821" s="15"/>
      <c r="G821" s="16" t="str">
        <f aca="false">IF(OR(B821="",A821=""),"",C821*IFERROR(INDEX(Kişiler!$B$5:$B$44,MATCH(B821,Kişiler!$A$5:$A$44,0)),0)+D821*IFERROR(INDEX(Kişiler!$C$5:$C$44,MATCH(B821,Kişiler!$A$5:$A$44,0)),0))</f>
        <v/>
      </c>
    </row>
    <row r="822" customFormat="false" ht="15" hidden="false" customHeight="false" outlineLevel="0" collapsed="false">
      <c r="A822" s="12"/>
      <c r="B822" s="13"/>
      <c r="C822" s="14"/>
      <c r="D822" s="14"/>
      <c r="E822" s="13"/>
      <c r="F822" s="15"/>
      <c r="G822" s="16" t="str">
        <f aca="false">IF(OR(B822="",A822=""),"",C822*IFERROR(INDEX(Kişiler!$B$5:$B$44,MATCH(B822,Kişiler!$A$5:$A$44,0)),0)+D822*IFERROR(INDEX(Kişiler!$C$5:$C$44,MATCH(B822,Kişiler!$A$5:$A$44,0)),0))</f>
        <v/>
      </c>
    </row>
    <row r="823" customFormat="false" ht="15" hidden="false" customHeight="false" outlineLevel="0" collapsed="false">
      <c r="A823" s="12"/>
      <c r="B823" s="13"/>
      <c r="C823" s="14"/>
      <c r="D823" s="14"/>
      <c r="E823" s="13"/>
      <c r="F823" s="15"/>
      <c r="G823" s="16" t="str">
        <f aca="false">IF(OR(B823="",A823=""),"",C823*IFERROR(INDEX(Kişiler!$B$5:$B$44,MATCH(B823,Kişiler!$A$5:$A$44,0)),0)+D823*IFERROR(INDEX(Kişiler!$C$5:$C$44,MATCH(B823,Kişiler!$A$5:$A$44,0)),0))</f>
        <v/>
      </c>
    </row>
    <row r="824" customFormat="false" ht="15" hidden="false" customHeight="false" outlineLevel="0" collapsed="false">
      <c r="A824" s="12"/>
      <c r="B824" s="13"/>
      <c r="C824" s="14"/>
      <c r="D824" s="14"/>
      <c r="E824" s="13"/>
      <c r="F824" s="15"/>
      <c r="G824" s="16" t="str">
        <f aca="false">IF(OR(B824="",A824=""),"",C824*IFERROR(INDEX(Kişiler!$B$5:$B$44,MATCH(B824,Kişiler!$A$5:$A$44,0)),0)+D824*IFERROR(INDEX(Kişiler!$C$5:$C$44,MATCH(B824,Kişiler!$A$5:$A$44,0)),0))</f>
        <v/>
      </c>
    </row>
    <row r="825" customFormat="false" ht="15" hidden="false" customHeight="false" outlineLevel="0" collapsed="false">
      <c r="A825" s="12"/>
      <c r="B825" s="13"/>
      <c r="C825" s="14"/>
      <c r="D825" s="14"/>
      <c r="E825" s="13"/>
      <c r="F825" s="15"/>
      <c r="G825" s="16" t="str">
        <f aca="false">IF(OR(B825="",A825=""),"",C825*IFERROR(INDEX(Kişiler!$B$5:$B$44,MATCH(B825,Kişiler!$A$5:$A$44,0)),0)+D825*IFERROR(INDEX(Kişiler!$C$5:$C$44,MATCH(B825,Kişiler!$A$5:$A$44,0)),0))</f>
        <v/>
      </c>
    </row>
    <row r="826" customFormat="false" ht="15" hidden="false" customHeight="false" outlineLevel="0" collapsed="false">
      <c r="A826" s="12"/>
      <c r="B826" s="13"/>
      <c r="C826" s="14"/>
      <c r="D826" s="14"/>
      <c r="E826" s="13"/>
      <c r="F826" s="15"/>
      <c r="G826" s="16" t="str">
        <f aca="false">IF(OR(B826="",A826=""),"",C826*IFERROR(INDEX(Kişiler!$B$5:$B$44,MATCH(B826,Kişiler!$A$5:$A$44,0)),0)+D826*IFERROR(INDEX(Kişiler!$C$5:$C$44,MATCH(B826,Kişiler!$A$5:$A$44,0)),0))</f>
        <v/>
      </c>
    </row>
    <row r="827" customFormat="false" ht="15" hidden="false" customHeight="false" outlineLevel="0" collapsed="false">
      <c r="A827" s="12"/>
      <c r="B827" s="13"/>
      <c r="C827" s="14"/>
      <c r="D827" s="14"/>
      <c r="E827" s="13"/>
      <c r="F827" s="15"/>
      <c r="G827" s="16" t="str">
        <f aca="false">IF(OR(B827="",A827=""),"",C827*IFERROR(INDEX(Kişiler!$B$5:$B$44,MATCH(B827,Kişiler!$A$5:$A$44,0)),0)+D827*IFERROR(INDEX(Kişiler!$C$5:$C$44,MATCH(B827,Kişiler!$A$5:$A$44,0)),0))</f>
        <v/>
      </c>
    </row>
    <row r="828" customFormat="false" ht="15" hidden="false" customHeight="false" outlineLevel="0" collapsed="false">
      <c r="A828" s="12"/>
      <c r="B828" s="13"/>
      <c r="C828" s="14"/>
      <c r="D828" s="14"/>
      <c r="E828" s="13"/>
      <c r="F828" s="15"/>
      <c r="G828" s="16" t="str">
        <f aca="false">IF(OR(B828="",A828=""),"",C828*IFERROR(INDEX(Kişiler!$B$5:$B$44,MATCH(B828,Kişiler!$A$5:$A$44,0)),0)+D828*IFERROR(INDEX(Kişiler!$C$5:$C$44,MATCH(B828,Kişiler!$A$5:$A$44,0)),0))</f>
        <v/>
      </c>
    </row>
    <row r="829" customFormat="false" ht="15" hidden="false" customHeight="false" outlineLevel="0" collapsed="false">
      <c r="A829" s="12"/>
      <c r="B829" s="13"/>
      <c r="C829" s="14"/>
      <c r="D829" s="14"/>
      <c r="E829" s="13"/>
      <c r="F829" s="15"/>
      <c r="G829" s="16" t="str">
        <f aca="false">IF(OR(B829="",A829=""),"",C829*IFERROR(INDEX(Kişiler!$B$5:$B$44,MATCH(B829,Kişiler!$A$5:$A$44,0)),0)+D829*IFERROR(INDEX(Kişiler!$C$5:$C$44,MATCH(B829,Kişiler!$A$5:$A$44,0)),0))</f>
        <v/>
      </c>
    </row>
    <row r="830" customFormat="false" ht="15" hidden="false" customHeight="false" outlineLevel="0" collapsed="false">
      <c r="A830" s="12"/>
      <c r="B830" s="13"/>
      <c r="C830" s="14"/>
      <c r="D830" s="14"/>
      <c r="E830" s="13"/>
      <c r="F830" s="15"/>
      <c r="G830" s="16" t="str">
        <f aca="false">IF(OR(B830="",A830=""),"",C830*IFERROR(INDEX(Kişiler!$B$5:$B$44,MATCH(B830,Kişiler!$A$5:$A$44,0)),0)+D830*IFERROR(INDEX(Kişiler!$C$5:$C$44,MATCH(B830,Kişiler!$A$5:$A$44,0)),0))</f>
        <v/>
      </c>
    </row>
    <row r="831" customFormat="false" ht="15" hidden="false" customHeight="false" outlineLevel="0" collapsed="false">
      <c r="A831" s="12"/>
      <c r="B831" s="13"/>
      <c r="C831" s="14"/>
      <c r="D831" s="14"/>
      <c r="E831" s="13"/>
      <c r="F831" s="15"/>
      <c r="G831" s="16" t="str">
        <f aca="false">IF(OR(B831="",A831=""),"",C831*IFERROR(INDEX(Kişiler!$B$5:$B$44,MATCH(B831,Kişiler!$A$5:$A$44,0)),0)+D831*IFERROR(INDEX(Kişiler!$C$5:$C$44,MATCH(B831,Kişiler!$A$5:$A$44,0)),0))</f>
        <v/>
      </c>
    </row>
    <row r="832" customFormat="false" ht="15" hidden="false" customHeight="false" outlineLevel="0" collapsed="false">
      <c r="A832" s="12"/>
      <c r="B832" s="13"/>
      <c r="C832" s="14"/>
      <c r="D832" s="14"/>
      <c r="E832" s="13"/>
      <c r="F832" s="15"/>
      <c r="G832" s="16" t="str">
        <f aca="false">IF(OR(B832="",A832=""),"",C832*IFERROR(INDEX(Kişiler!$B$5:$B$44,MATCH(B832,Kişiler!$A$5:$A$44,0)),0)+D832*IFERROR(INDEX(Kişiler!$C$5:$C$44,MATCH(B832,Kişiler!$A$5:$A$44,0)),0))</f>
        <v/>
      </c>
    </row>
    <row r="833" customFormat="false" ht="15" hidden="false" customHeight="false" outlineLevel="0" collapsed="false">
      <c r="A833" s="12"/>
      <c r="B833" s="13"/>
      <c r="C833" s="14"/>
      <c r="D833" s="14"/>
      <c r="E833" s="13"/>
      <c r="F833" s="15"/>
      <c r="G833" s="16" t="str">
        <f aca="false">IF(OR(B833="",A833=""),"",C833*IFERROR(INDEX(Kişiler!$B$5:$B$44,MATCH(B833,Kişiler!$A$5:$A$44,0)),0)+D833*IFERROR(INDEX(Kişiler!$C$5:$C$44,MATCH(B833,Kişiler!$A$5:$A$44,0)),0))</f>
        <v/>
      </c>
    </row>
    <row r="834" customFormat="false" ht="15" hidden="false" customHeight="false" outlineLevel="0" collapsed="false">
      <c r="A834" s="12"/>
      <c r="B834" s="13"/>
      <c r="C834" s="14"/>
      <c r="D834" s="14"/>
      <c r="E834" s="13"/>
      <c r="F834" s="15"/>
      <c r="G834" s="16" t="str">
        <f aca="false">IF(OR(B834="",A834=""),"",C834*IFERROR(INDEX(Kişiler!$B$5:$B$44,MATCH(B834,Kişiler!$A$5:$A$44,0)),0)+D834*IFERROR(INDEX(Kişiler!$C$5:$C$44,MATCH(B834,Kişiler!$A$5:$A$44,0)),0))</f>
        <v/>
      </c>
    </row>
    <row r="835" customFormat="false" ht="15" hidden="false" customHeight="false" outlineLevel="0" collapsed="false">
      <c r="A835" s="12"/>
      <c r="B835" s="13"/>
      <c r="C835" s="14"/>
      <c r="D835" s="14"/>
      <c r="E835" s="13"/>
      <c r="F835" s="15"/>
      <c r="G835" s="16" t="str">
        <f aca="false">IF(OR(B835="",A835=""),"",C835*IFERROR(INDEX(Kişiler!$B$5:$B$44,MATCH(B835,Kişiler!$A$5:$A$44,0)),0)+D835*IFERROR(INDEX(Kişiler!$C$5:$C$44,MATCH(B835,Kişiler!$A$5:$A$44,0)),0))</f>
        <v/>
      </c>
    </row>
    <row r="836" customFormat="false" ht="15" hidden="false" customHeight="false" outlineLevel="0" collapsed="false">
      <c r="A836" s="12"/>
      <c r="B836" s="13"/>
      <c r="C836" s="14"/>
      <c r="D836" s="14"/>
      <c r="E836" s="13"/>
      <c r="F836" s="15"/>
      <c r="G836" s="16" t="str">
        <f aca="false">IF(OR(B836="",A836=""),"",C836*IFERROR(INDEX(Kişiler!$B$5:$B$44,MATCH(B836,Kişiler!$A$5:$A$44,0)),0)+D836*IFERROR(INDEX(Kişiler!$C$5:$C$44,MATCH(B836,Kişiler!$A$5:$A$44,0)),0))</f>
        <v/>
      </c>
    </row>
    <row r="837" customFormat="false" ht="15" hidden="false" customHeight="false" outlineLevel="0" collapsed="false">
      <c r="A837" s="12"/>
      <c r="B837" s="13"/>
      <c r="C837" s="14"/>
      <c r="D837" s="14"/>
      <c r="E837" s="13"/>
      <c r="F837" s="15"/>
      <c r="G837" s="16" t="str">
        <f aca="false">IF(OR(B837="",A837=""),"",C837*IFERROR(INDEX(Kişiler!$B$5:$B$44,MATCH(B837,Kişiler!$A$5:$A$44,0)),0)+D837*IFERROR(INDEX(Kişiler!$C$5:$C$44,MATCH(B837,Kişiler!$A$5:$A$44,0)),0))</f>
        <v/>
      </c>
    </row>
    <row r="838" customFormat="false" ht="15" hidden="false" customHeight="false" outlineLevel="0" collapsed="false">
      <c r="A838" s="12"/>
      <c r="B838" s="13"/>
      <c r="C838" s="14"/>
      <c r="D838" s="14"/>
      <c r="E838" s="13"/>
      <c r="F838" s="15"/>
      <c r="G838" s="16" t="str">
        <f aca="false">IF(OR(B838="",A838=""),"",C838*IFERROR(INDEX(Kişiler!$B$5:$B$44,MATCH(B838,Kişiler!$A$5:$A$44,0)),0)+D838*IFERROR(INDEX(Kişiler!$C$5:$C$44,MATCH(B838,Kişiler!$A$5:$A$44,0)),0))</f>
        <v/>
      </c>
    </row>
    <row r="839" customFormat="false" ht="15" hidden="false" customHeight="false" outlineLevel="0" collapsed="false">
      <c r="A839" s="12"/>
      <c r="B839" s="13"/>
      <c r="C839" s="14"/>
      <c r="D839" s="14"/>
      <c r="E839" s="13"/>
      <c r="F839" s="15"/>
      <c r="G839" s="16" t="str">
        <f aca="false">IF(OR(B839="",A839=""),"",C839*IFERROR(INDEX(Kişiler!$B$5:$B$44,MATCH(B839,Kişiler!$A$5:$A$44,0)),0)+D839*IFERROR(INDEX(Kişiler!$C$5:$C$44,MATCH(B839,Kişiler!$A$5:$A$44,0)),0))</f>
        <v/>
      </c>
    </row>
    <row r="840" customFormat="false" ht="15" hidden="false" customHeight="false" outlineLevel="0" collapsed="false">
      <c r="A840" s="12"/>
      <c r="B840" s="13"/>
      <c r="C840" s="14"/>
      <c r="D840" s="14"/>
      <c r="E840" s="13"/>
      <c r="F840" s="15"/>
      <c r="G840" s="16" t="str">
        <f aca="false">IF(OR(B840="",A840=""),"",C840*IFERROR(INDEX(Kişiler!$B$5:$B$44,MATCH(B840,Kişiler!$A$5:$A$44,0)),0)+D840*IFERROR(INDEX(Kişiler!$C$5:$C$44,MATCH(B840,Kişiler!$A$5:$A$44,0)),0))</f>
        <v/>
      </c>
    </row>
    <row r="841" customFormat="false" ht="15" hidden="false" customHeight="false" outlineLevel="0" collapsed="false">
      <c r="A841" s="12"/>
      <c r="B841" s="13"/>
      <c r="C841" s="14"/>
      <c r="D841" s="14"/>
      <c r="E841" s="13"/>
      <c r="F841" s="15"/>
      <c r="G841" s="16" t="str">
        <f aca="false">IF(OR(B841="",A841=""),"",C841*IFERROR(INDEX(Kişiler!$B$5:$B$44,MATCH(B841,Kişiler!$A$5:$A$44,0)),0)+D841*IFERROR(INDEX(Kişiler!$C$5:$C$44,MATCH(B841,Kişiler!$A$5:$A$44,0)),0))</f>
        <v/>
      </c>
    </row>
    <row r="842" customFormat="false" ht="15" hidden="false" customHeight="false" outlineLevel="0" collapsed="false">
      <c r="A842" s="12"/>
      <c r="B842" s="13"/>
      <c r="C842" s="14"/>
      <c r="D842" s="14"/>
      <c r="E842" s="13"/>
      <c r="F842" s="15"/>
      <c r="G842" s="16" t="str">
        <f aca="false">IF(OR(B842="",A842=""),"",C842*IFERROR(INDEX(Kişiler!$B$5:$B$44,MATCH(B842,Kişiler!$A$5:$A$44,0)),0)+D842*IFERROR(INDEX(Kişiler!$C$5:$C$44,MATCH(B842,Kişiler!$A$5:$A$44,0)),0))</f>
        <v/>
      </c>
    </row>
    <row r="843" customFormat="false" ht="15" hidden="false" customHeight="false" outlineLevel="0" collapsed="false">
      <c r="A843" s="12"/>
      <c r="B843" s="13"/>
      <c r="C843" s="14"/>
      <c r="D843" s="14"/>
      <c r="E843" s="13"/>
      <c r="F843" s="15"/>
      <c r="G843" s="16" t="str">
        <f aca="false">IF(OR(B843="",A843=""),"",C843*IFERROR(INDEX(Kişiler!$B$5:$B$44,MATCH(B843,Kişiler!$A$5:$A$44,0)),0)+D843*IFERROR(INDEX(Kişiler!$C$5:$C$44,MATCH(B843,Kişiler!$A$5:$A$44,0)),0))</f>
        <v/>
      </c>
    </row>
    <row r="844" customFormat="false" ht="15" hidden="false" customHeight="false" outlineLevel="0" collapsed="false">
      <c r="A844" s="12"/>
      <c r="B844" s="13"/>
      <c r="C844" s="14"/>
      <c r="D844" s="14"/>
      <c r="E844" s="13"/>
      <c r="F844" s="15"/>
      <c r="G844" s="16" t="str">
        <f aca="false">IF(OR(B844="",A844=""),"",C844*IFERROR(INDEX(Kişiler!$B$5:$B$44,MATCH(B844,Kişiler!$A$5:$A$44,0)),0)+D844*IFERROR(INDEX(Kişiler!$C$5:$C$44,MATCH(B844,Kişiler!$A$5:$A$44,0)),0))</f>
        <v/>
      </c>
    </row>
    <row r="845" customFormat="false" ht="15" hidden="false" customHeight="false" outlineLevel="0" collapsed="false">
      <c r="A845" s="12"/>
      <c r="B845" s="13"/>
      <c r="C845" s="14"/>
      <c r="D845" s="14"/>
      <c r="E845" s="13"/>
      <c r="F845" s="15"/>
      <c r="G845" s="16" t="str">
        <f aca="false">IF(OR(B845="",A845=""),"",C845*IFERROR(INDEX(Kişiler!$B$5:$B$44,MATCH(B845,Kişiler!$A$5:$A$44,0)),0)+D845*IFERROR(INDEX(Kişiler!$C$5:$C$44,MATCH(B845,Kişiler!$A$5:$A$44,0)),0))</f>
        <v/>
      </c>
    </row>
    <row r="846" customFormat="false" ht="15" hidden="false" customHeight="false" outlineLevel="0" collapsed="false">
      <c r="A846" s="12"/>
      <c r="B846" s="13"/>
      <c r="C846" s="14"/>
      <c r="D846" s="14"/>
      <c r="E846" s="13"/>
      <c r="F846" s="15"/>
      <c r="G846" s="16" t="str">
        <f aca="false">IF(OR(B846="",A846=""),"",C846*IFERROR(INDEX(Kişiler!$B$5:$B$44,MATCH(B846,Kişiler!$A$5:$A$44,0)),0)+D846*IFERROR(INDEX(Kişiler!$C$5:$C$44,MATCH(B846,Kişiler!$A$5:$A$44,0)),0))</f>
        <v/>
      </c>
    </row>
    <row r="847" customFormat="false" ht="15" hidden="false" customHeight="false" outlineLevel="0" collapsed="false">
      <c r="A847" s="12"/>
      <c r="B847" s="13"/>
      <c r="C847" s="14"/>
      <c r="D847" s="14"/>
      <c r="E847" s="13"/>
      <c r="F847" s="15"/>
      <c r="G847" s="16" t="str">
        <f aca="false">IF(OR(B847="",A847=""),"",C847*IFERROR(INDEX(Kişiler!$B$5:$B$44,MATCH(B847,Kişiler!$A$5:$A$44,0)),0)+D847*IFERROR(INDEX(Kişiler!$C$5:$C$44,MATCH(B847,Kişiler!$A$5:$A$44,0)),0))</f>
        <v/>
      </c>
    </row>
    <row r="848" customFormat="false" ht="15" hidden="false" customHeight="false" outlineLevel="0" collapsed="false">
      <c r="A848" s="12"/>
      <c r="B848" s="13"/>
      <c r="C848" s="14"/>
      <c r="D848" s="14"/>
      <c r="E848" s="13"/>
      <c r="F848" s="15"/>
      <c r="G848" s="16" t="str">
        <f aca="false">IF(OR(B848="",A848=""),"",C848*IFERROR(INDEX(Kişiler!$B$5:$B$44,MATCH(B848,Kişiler!$A$5:$A$44,0)),0)+D848*IFERROR(INDEX(Kişiler!$C$5:$C$44,MATCH(B848,Kişiler!$A$5:$A$44,0)),0))</f>
        <v/>
      </c>
    </row>
    <row r="849" customFormat="false" ht="15" hidden="false" customHeight="false" outlineLevel="0" collapsed="false">
      <c r="A849" s="12"/>
      <c r="B849" s="13"/>
      <c r="C849" s="14"/>
      <c r="D849" s="14"/>
      <c r="E849" s="13"/>
      <c r="F849" s="15"/>
      <c r="G849" s="16" t="str">
        <f aca="false">IF(OR(B849="",A849=""),"",C849*IFERROR(INDEX(Kişiler!$B$5:$B$44,MATCH(B849,Kişiler!$A$5:$A$44,0)),0)+D849*IFERROR(INDEX(Kişiler!$C$5:$C$44,MATCH(B849,Kişiler!$A$5:$A$44,0)),0))</f>
        <v/>
      </c>
    </row>
    <row r="850" customFormat="false" ht="15" hidden="false" customHeight="false" outlineLevel="0" collapsed="false">
      <c r="A850" s="12"/>
      <c r="B850" s="13"/>
      <c r="C850" s="14"/>
      <c r="D850" s="14"/>
      <c r="E850" s="13"/>
      <c r="F850" s="15"/>
      <c r="G850" s="16" t="str">
        <f aca="false">IF(OR(B850="",A850=""),"",C850*IFERROR(INDEX(Kişiler!$B$5:$B$44,MATCH(B850,Kişiler!$A$5:$A$44,0)),0)+D850*IFERROR(INDEX(Kişiler!$C$5:$C$44,MATCH(B850,Kişiler!$A$5:$A$44,0)),0))</f>
        <v/>
      </c>
    </row>
    <row r="851" customFormat="false" ht="15" hidden="false" customHeight="false" outlineLevel="0" collapsed="false">
      <c r="A851" s="12"/>
      <c r="B851" s="13"/>
      <c r="C851" s="14"/>
      <c r="D851" s="14"/>
      <c r="E851" s="13"/>
      <c r="F851" s="15"/>
      <c r="G851" s="16" t="str">
        <f aca="false">IF(OR(B851="",A851=""),"",C851*IFERROR(INDEX(Kişiler!$B$5:$B$44,MATCH(B851,Kişiler!$A$5:$A$44,0)),0)+D851*IFERROR(INDEX(Kişiler!$C$5:$C$44,MATCH(B851,Kişiler!$A$5:$A$44,0)),0))</f>
        <v/>
      </c>
    </row>
    <row r="852" customFormat="false" ht="15" hidden="false" customHeight="false" outlineLevel="0" collapsed="false">
      <c r="A852" s="12"/>
      <c r="B852" s="13"/>
      <c r="C852" s="14"/>
      <c r="D852" s="14"/>
      <c r="E852" s="13"/>
      <c r="F852" s="15"/>
      <c r="G852" s="16" t="str">
        <f aca="false">IF(OR(B852="",A852=""),"",C852*IFERROR(INDEX(Kişiler!$B$5:$B$44,MATCH(B852,Kişiler!$A$5:$A$44,0)),0)+D852*IFERROR(INDEX(Kişiler!$C$5:$C$44,MATCH(B852,Kişiler!$A$5:$A$44,0)),0))</f>
        <v/>
      </c>
    </row>
    <row r="853" customFormat="false" ht="15" hidden="false" customHeight="false" outlineLevel="0" collapsed="false">
      <c r="A853" s="12"/>
      <c r="B853" s="13"/>
      <c r="C853" s="14"/>
      <c r="D853" s="14"/>
      <c r="E853" s="13"/>
      <c r="F853" s="15"/>
      <c r="G853" s="16" t="str">
        <f aca="false">IF(OR(B853="",A853=""),"",C853*IFERROR(INDEX(Kişiler!$B$5:$B$44,MATCH(B853,Kişiler!$A$5:$A$44,0)),0)+D853*IFERROR(INDEX(Kişiler!$C$5:$C$44,MATCH(B853,Kişiler!$A$5:$A$44,0)),0))</f>
        <v/>
      </c>
    </row>
    <row r="854" customFormat="false" ht="15" hidden="false" customHeight="false" outlineLevel="0" collapsed="false">
      <c r="A854" s="12"/>
      <c r="B854" s="13"/>
      <c r="C854" s="14"/>
      <c r="D854" s="14"/>
      <c r="E854" s="13"/>
      <c r="F854" s="15"/>
      <c r="G854" s="16" t="str">
        <f aca="false">IF(OR(B854="",A854=""),"",C854*IFERROR(INDEX(Kişiler!$B$5:$B$44,MATCH(B854,Kişiler!$A$5:$A$44,0)),0)+D854*IFERROR(INDEX(Kişiler!$C$5:$C$44,MATCH(B854,Kişiler!$A$5:$A$44,0)),0))</f>
        <v/>
      </c>
    </row>
    <row r="855" customFormat="false" ht="15" hidden="false" customHeight="false" outlineLevel="0" collapsed="false">
      <c r="A855" s="12"/>
      <c r="B855" s="13"/>
      <c r="C855" s="14"/>
      <c r="D855" s="14"/>
      <c r="E855" s="13"/>
      <c r="F855" s="15"/>
      <c r="G855" s="16" t="str">
        <f aca="false">IF(OR(B855="",A855=""),"",C855*IFERROR(INDEX(Kişiler!$B$5:$B$44,MATCH(B855,Kişiler!$A$5:$A$44,0)),0)+D855*IFERROR(INDEX(Kişiler!$C$5:$C$44,MATCH(B855,Kişiler!$A$5:$A$44,0)),0))</f>
        <v/>
      </c>
    </row>
    <row r="856" customFormat="false" ht="15" hidden="false" customHeight="false" outlineLevel="0" collapsed="false">
      <c r="A856" s="12"/>
      <c r="B856" s="13"/>
      <c r="C856" s="14"/>
      <c r="D856" s="14"/>
      <c r="E856" s="13"/>
      <c r="F856" s="15"/>
      <c r="G856" s="16" t="str">
        <f aca="false">IF(OR(B856="",A856=""),"",C856*IFERROR(INDEX(Kişiler!$B$5:$B$44,MATCH(B856,Kişiler!$A$5:$A$44,0)),0)+D856*IFERROR(INDEX(Kişiler!$C$5:$C$44,MATCH(B856,Kişiler!$A$5:$A$44,0)),0))</f>
        <v/>
      </c>
    </row>
    <row r="857" customFormat="false" ht="15" hidden="false" customHeight="false" outlineLevel="0" collapsed="false">
      <c r="A857" s="12"/>
      <c r="B857" s="13"/>
      <c r="C857" s="14"/>
      <c r="D857" s="14"/>
      <c r="E857" s="13"/>
      <c r="F857" s="15"/>
      <c r="G857" s="16" t="str">
        <f aca="false">IF(OR(B857="",A857=""),"",C857*IFERROR(INDEX(Kişiler!$B$5:$B$44,MATCH(B857,Kişiler!$A$5:$A$44,0)),0)+D857*IFERROR(INDEX(Kişiler!$C$5:$C$44,MATCH(B857,Kişiler!$A$5:$A$44,0)),0))</f>
        <v/>
      </c>
    </row>
    <row r="858" customFormat="false" ht="15" hidden="false" customHeight="false" outlineLevel="0" collapsed="false">
      <c r="A858" s="12"/>
      <c r="B858" s="13"/>
      <c r="C858" s="14"/>
      <c r="D858" s="14"/>
      <c r="E858" s="13"/>
      <c r="F858" s="15"/>
      <c r="G858" s="16" t="str">
        <f aca="false">IF(OR(B858="",A858=""),"",C858*IFERROR(INDEX(Kişiler!$B$5:$B$44,MATCH(B858,Kişiler!$A$5:$A$44,0)),0)+D858*IFERROR(INDEX(Kişiler!$C$5:$C$44,MATCH(B858,Kişiler!$A$5:$A$44,0)),0))</f>
        <v/>
      </c>
    </row>
    <row r="859" customFormat="false" ht="15" hidden="false" customHeight="false" outlineLevel="0" collapsed="false">
      <c r="A859" s="12"/>
      <c r="B859" s="13"/>
      <c r="C859" s="14"/>
      <c r="D859" s="14"/>
      <c r="E859" s="13"/>
      <c r="F859" s="15"/>
      <c r="G859" s="16" t="str">
        <f aca="false">IF(OR(B859="",A859=""),"",C859*IFERROR(INDEX(Kişiler!$B$5:$B$44,MATCH(B859,Kişiler!$A$5:$A$44,0)),0)+D859*IFERROR(INDEX(Kişiler!$C$5:$C$44,MATCH(B859,Kişiler!$A$5:$A$44,0)),0))</f>
        <v/>
      </c>
    </row>
    <row r="860" customFormat="false" ht="15" hidden="false" customHeight="false" outlineLevel="0" collapsed="false">
      <c r="A860" s="12"/>
      <c r="B860" s="13"/>
      <c r="C860" s="14"/>
      <c r="D860" s="14"/>
      <c r="E860" s="13"/>
      <c r="F860" s="15"/>
      <c r="G860" s="16" t="str">
        <f aca="false">IF(OR(B860="",A860=""),"",C860*IFERROR(INDEX(Kişiler!$B$5:$B$44,MATCH(B860,Kişiler!$A$5:$A$44,0)),0)+D860*IFERROR(INDEX(Kişiler!$C$5:$C$44,MATCH(B860,Kişiler!$A$5:$A$44,0)),0))</f>
        <v/>
      </c>
    </row>
    <row r="861" customFormat="false" ht="15" hidden="false" customHeight="false" outlineLevel="0" collapsed="false">
      <c r="A861" s="12"/>
      <c r="B861" s="13"/>
      <c r="C861" s="14"/>
      <c r="D861" s="14"/>
      <c r="E861" s="13"/>
      <c r="F861" s="15"/>
      <c r="G861" s="16" t="str">
        <f aca="false">IF(OR(B861="",A861=""),"",C861*IFERROR(INDEX(Kişiler!$B$5:$B$44,MATCH(B861,Kişiler!$A$5:$A$44,0)),0)+D861*IFERROR(INDEX(Kişiler!$C$5:$C$44,MATCH(B861,Kişiler!$A$5:$A$44,0)),0))</f>
        <v/>
      </c>
    </row>
    <row r="862" customFormat="false" ht="15" hidden="false" customHeight="false" outlineLevel="0" collapsed="false">
      <c r="A862" s="12"/>
      <c r="B862" s="13"/>
      <c r="C862" s="14"/>
      <c r="D862" s="14"/>
      <c r="E862" s="13"/>
      <c r="F862" s="15"/>
      <c r="G862" s="16" t="str">
        <f aca="false">IF(OR(B862="",A862=""),"",C862*IFERROR(INDEX(Kişiler!$B$5:$B$44,MATCH(B862,Kişiler!$A$5:$A$44,0)),0)+D862*IFERROR(INDEX(Kişiler!$C$5:$C$44,MATCH(B862,Kişiler!$A$5:$A$44,0)),0))</f>
        <v/>
      </c>
    </row>
    <row r="863" customFormat="false" ht="15" hidden="false" customHeight="false" outlineLevel="0" collapsed="false">
      <c r="A863" s="12"/>
      <c r="B863" s="13"/>
      <c r="C863" s="14"/>
      <c r="D863" s="14"/>
      <c r="E863" s="13"/>
      <c r="F863" s="15"/>
      <c r="G863" s="16" t="str">
        <f aca="false">IF(OR(B863="",A863=""),"",C863*IFERROR(INDEX(Kişiler!$B$5:$B$44,MATCH(B863,Kişiler!$A$5:$A$44,0)),0)+D863*IFERROR(INDEX(Kişiler!$C$5:$C$44,MATCH(B863,Kişiler!$A$5:$A$44,0)),0))</f>
        <v/>
      </c>
    </row>
    <row r="864" customFormat="false" ht="15" hidden="false" customHeight="false" outlineLevel="0" collapsed="false">
      <c r="A864" s="12"/>
      <c r="B864" s="13"/>
      <c r="C864" s="14"/>
      <c r="D864" s="14"/>
      <c r="E864" s="13"/>
      <c r="F864" s="15"/>
      <c r="G864" s="16" t="str">
        <f aca="false">IF(OR(B864="",A864=""),"",C864*IFERROR(INDEX(Kişiler!$B$5:$B$44,MATCH(B864,Kişiler!$A$5:$A$44,0)),0)+D864*IFERROR(INDEX(Kişiler!$C$5:$C$44,MATCH(B864,Kişiler!$A$5:$A$44,0)),0))</f>
        <v/>
      </c>
    </row>
    <row r="865" customFormat="false" ht="15" hidden="false" customHeight="false" outlineLevel="0" collapsed="false">
      <c r="A865" s="12"/>
      <c r="B865" s="13"/>
      <c r="C865" s="14"/>
      <c r="D865" s="14"/>
      <c r="E865" s="13"/>
      <c r="F865" s="15"/>
      <c r="G865" s="16" t="str">
        <f aca="false">IF(OR(B865="",A865=""),"",C865*IFERROR(INDEX(Kişiler!$B$5:$B$44,MATCH(B865,Kişiler!$A$5:$A$44,0)),0)+D865*IFERROR(INDEX(Kişiler!$C$5:$C$44,MATCH(B865,Kişiler!$A$5:$A$44,0)),0))</f>
        <v/>
      </c>
    </row>
    <row r="866" customFormat="false" ht="15" hidden="false" customHeight="false" outlineLevel="0" collapsed="false">
      <c r="A866" s="12"/>
      <c r="B866" s="13"/>
      <c r="C866" s="14"/>
      <c r="D866" s="14"/>
      <c r="E866" s="13"/>
      <c r="F866" s="15"/>
      <c r="G866" s="16" t="str">
        <f aca="false">IF(OR(B866="",A866=""),"",C866*IFERROR(INDEX(Kişiler!$B$5:$B$44,MATCH(B866,Kişiler!$A$5:$A$44,0)),0)+D866*IFERROR(INDEX(Kişiler!$C$5:$C$44,MATCH(B866,Kişiler!$A$5:$A$44,0)),0))</f>
        <v/>
      </c>
    </row>
    <row r="867" customFormat="false" ht="15" hidden="false" customHeight="false" outlineLevel="0" collapsed="false">
      <c r="A867" s="12"/>
      <c r="B867" s="13"/>
      <c r="C867" s="14"/>
      <c r="D867" s="14"/>
      <c r="E867" s="13"/>
      <c r="F867" s="15"/>
      <c r="G867" s="16" t="str">
        <f aca="false">IF(OR(B867="",A867=""),"",C867*IFERROR(INDEX(Kişiler!$B$5:$B$44,MATCH(B867,Kişiler!$A$5:$A$44,0)),0)+D867*IFERROR(INDEX(Kişiler!$C$5:$C$44,MATCH(B867,Kişiler!$A$5:$A$44,0)),0))</f>
        <v/>
      </c>
    </row>
    <row r="868" customFormat="false" ht="15" hidden="false" customHeight="false" outlineLevel="0" collapsed="false">
      <c r="A868" s="12"/>
      <c r="B868" s="13"/>
      <c r="C868" s="14"/>
      <c r="D868" s="14"/>
      <c r="E868" s="13"/>
      <c r="F868" s="15"/>
      <c r="G868" s="16" t="str">
        <f aca="false">IF(OR(B868="",A868=""),"",C868*IFERROR(INDEX(Kişiler!$B$5:$B$44,MATCH(B868,Kişiler!$A$5:$A$44,0)),0)+D868*IFERROR(INDEX(Kişiler!$C$5:$C$44,MATCH(B868,Kişiler!$A$5:$A$44,0)),0))</f>
        <v/>
      </c>
    </row>
    <row r="869" customFormat="false" ht="15" hidden="false" customHeight="false" outlineLevel="0" collapsed="false">
      <c r="A869" s="12"/>
      <c r="B869" s="13"/>
      <c r="C869" s="14"/>
      <c r="D869" s="14"/>
      <c r="E869" s="13"/>
      <c r="F869" s="15"/>
      <c r="G869" s="16" t="str">
        <f aca="false">IF(OR(B869="",A869=""),"",C869*IFERROR(INDEX(Kişiler!$B$5:$B$44,MATCH(B869,Kişiler!$A$5:$A$44,0)),0)+D869*IFERROR(INDEX(Kişiler!$C$5:$C$44,MATCH(B869,Kişiler!$A$5:$A$44,0)),0))</f>
        <v/>
      </c>
    </row>
    <row r="870" customFormat="false" ht="15" hidden="false" customHeight="false" outlineLevel="0" collapsed="false">
      <c r="A870" s="12"/>
      <c r="B870" s="13"/>
      <c r="C870" s="14"/>
      <c r="D870" s="14"/>
      <c r="E870" s="13"/>
      <c r="F870" s="15"/>
      <c r="G870" s="16" t="str">
        <f aca="false">IF(OR(B870="",A870=""),"",C870*IFERROR(INDEX(Kişiler!$B$5:$B$44,MATCH(B870,Kişiler!$A$5:$A$44,0)),0)+D870*IFERROR(INDEX(Kişiler!$C$5:$C$44,MATCH(B870,Kişiler!$A$5:$A$44,0)),0))</f>
        <v/>
      </c>
    </row>
    <row r="871" customFormat="false" ht="15" hidden="false" customHeight="false" outlineLevel="0" collapsed="false">
      <c r="A871" s="12"/>
      <c r="B871" s="13"/>
      <c r="C871" s="14"/>
      <c r="D871" s="14"/>
      <c r="E871" s="13"/>
      <c r="F871" s="15"/>
      <c r="G871" s="16" t="str">
        <f aca="false">IF(OR(B871="",A871=""),"",C871*IFERROR(INDEX(Kişiler!$B$5:$B$44,MATCH(B871,Kişiler!$A$5:$A$44,0)),0)+D871*IFERROR(INDEX(Kişiler!$C$5:$C$44,MATCH(B871,Kişiler!$A$5:$A$44,0)),0))</f>
        <v/>
      </c>
    </row>
    <row r="872" customFormat="false" ht="15" hidden="false" customHeight="false" outlineLevel="0" collapsed="false">
      <c r="A872" s="12"/>
      <c r="B872" s="13"/>
      <c r="C872" s="14"/>
      <c r="D872" s="14"/>
      <c r="E872" s="13"/>
      <c r="F872" s="15"/>
      <c r="G872" s="16" t="str">
        <f aca="false">IF(OR(B872="",A872=""),"",C872*IFERROR(INDEX(Kişiler!$B$5:$B$44,MATCH(B872,Kişiler!$A$5:$A$44,0)),0)+D872*IFERROR(INDEX(Kişiler!$C$5:$C$44,MATCH(B872,Kişiler!$A$5:$A$44,0)),0))</f>
        <v/>
      </c>
    </row>
    <row r="873" customFormat="false" ht="15" hidden="false" customHeight="false" outlineLevel="0" collapsed="false">
      <c r="A873" s="12"/>
      <c r="B873" s="13"/>
      <c r="C873" s="14"/>
      <c r="D873" s="14"/>
      <c r="E873" s="13"/>
      <c r="F873" s="15"/>
      <c r="G873" s="16" t="str">
        <f aca="false">IF(OR(B873="",A873=""),"",C873*IFERROR(INDEX(Kişiler!$B$5:$B$44,MATCH(B873,Kişiler!$A$5:$A$44,0)),0)+D873*IFERROR(INDEX(Kişiler!$C$5:$C$44,MATCH(B873,Kişiler!$A$5:$A$44,0)),0))</f>
        <v/>
      </c>
    </row>
    <row r="874" customFormat="false" ht="15" hidden="false" customHeight="false" outlineLevel="0" collapsed="false">
      <c r="A874" s="12"/>
      <c r="B874" s="13"/>
      <c r="C874" s="14"/>
      <c r="D874" s="14"/>
      <c r="E874" s="13"/>
      <c r="F874" s="15"/>
      <c r="G874" s="16" t="str">
        <f aca="false">IF(OR(B874="",A874=""),"",C874*IFERROR(INDEX(Kişiler!$B$5:$B$44,MATCH(B874,Kişiler!$A$5:$A$44,0)),0)+D874*IFERROR(INDEX(Kişiler!$C$5:$C$44,MATCH(B874,Kişiler!$A$5:$A$44,0)),0))</f>
        <v/>
      </c>
    </row>
    <row r="875" customFormat="false" ht="15" hidden="false" customHeight="false" outlineLevel="0" collapsed="false">
      <c r="A875" s="12"/>
      <c r="B875" s="13"/>
      <c r="C875" s="14"/>
      <c r="D875" s="14"/>
      <c r="E875" s="13"/>
      <c r="F875" s="15"/>
      <c r="G875" s="16" t="str">
        <f aca="false">IF(OR(B875="",A875=""),"",C875*IFERROR(INDEX(Kişiler!$B$5:$B$44,MATCH(B875,Kişiler!$A$5:$A$44,0)),0)+D875*IFERROR(INDEX(Kişiler!$C$5:$C$44,MATCH(B875,Kişiler!$A$5:$A$44,0)),0))</f>
        <v/>
      </c>
    </row>
    <row r="876" customFormat="false" ht="15" hidden="false" customHeight="false" outlineLevel="0" collapsed="false">
      <c r="A876" s="12"/>
      <c r="B876" s="13"/>
      <c r="C876" s="14"/>
      <c r="D876" s="14"/>
      <c r="E876" s="13"/>
      <c r="F876" s="15"/>
      <c r="G876" s="16" t="str">
        <f aca="false">IF(OR(B876="",A876=""),"",C876*IFERROR(INDEX(Kişiler!$B$5:$B$44,MATCH(B876,Kişiler!$A$5:$A$44,0)),0)+D876*IFERROR(INDEX(Kişiler!$C$5:$C$44,MATCH(B876,Kişiler!$A$5:$A$44,0)),0))</f>
        <v/>
      </c>
    </row>
    <row r="877" customFormat="false" ht="15" hidden="false" customHeight="false" outlineLevel="0" collapsed="false">
      <c r="A877" s="12"/>
      <c r="B877" s="13"/>
      <c r="C877" s="14"/>
      <c r="D877" s="14"/>
      <c r="E877" s="13"/>
      <c r="F877" s="15"/>
      <c r="G877" s="16" t="str">
        <f aca="false">IF(OR(B877="",A877=""),"",C877*IFERROR(INDEX(Kişiler!$B$5:$B$44,MATCH(B877,Kişiler!$A$5:$A$44,0)),0)+D877*IFERROR(INDEX(Kişiler!$C$5:$C$44,MATCH(B877,Kişiler!$A$5:$A$44,0)),0))</f>
        <v/>
      </c>
    </row>
    <row r="878" customFormat="false" ht="15" hidden="false" customHeight="false" outlineLevel="0" collapsed="false">
      <c r="A878" s="12"/>
      <c r="B878" s="13"/>
      <c r="C878" s="14"/>
      <c r="D878" s="14"/>
      <c r="E878" s="13"/>
      <c r="F878" s="15"/>
      <c r="G878" s="16" t="str">
        <f aca="false">IF(OR(B878="",A878=""),"",C878*IFERROR(INDEX(Kişiler!$B$5:$B$44,MATCH(B878,Kişiler!$A$5:$A$44,0)),0)+D878*IFERROR(INDEX(Kişiler!$C$5:$C$44,MATCH(B878,Kişiler!$A$5:$A$44,0)),0))</f>
        <v/>
      </c>
    </row>
    <row r="879" customFormat="false" ht="15" hidden="false" customHeight="false" outlineLevel="0" collapsed="false">
      <c r="A879" s="12"/>
      <c r="B879" s="13"/>
      <c r="C879" s="14"/>
      <c r="D879" s="14"/>
      <c r="E879" s="13"/>
      <c r="F879" s="15"/>
      <c r="G879" s="16" t="str">
        <f aca="false">IF(OR(B879="",A879=""),"",C879*IFERROR(INDEX(Kişiler!$B$5:$B$44,MATCH(B879,Kişiler!$A$5:$A$44,0)),0)+D879*IFERROR(INDEX(Kişiler!$C$5:$C$44,MATCH(B879,Kişiler!$A$5:$A$44,0)),0))</f>
        <v/>
      </c>
    </row>
    <row r="880" customFormat="false" ht="15" hidden="false" customHeight="false" outlineLevel="0" collapsed="false">
      <c r="A880" s="12"/>
      <c r="B880" s="13"/>
      <c r="C880" s="14"/>
      <c r="D880" s="14"/>
      <c r="E880" s="13"/>
      <c r="F880" s="15"/>
      <c r="G880" s="16" t="str">
        <f aca="false">IF(OR(B880="",A880=""),"",C880*IFERROR(INDEX(Kişiler!$B$5:$B$44,MATCH(B880,Kişiler!$A$5:$A$44,0)),0)+D880*IFERROR(INDEX(Kişiler!$C$5:$C$44,MATCH(B880,Kişiler!$A$5:$A$44,0)),0))</f>
        <v/>
      </c>
    </row>
    <row r="881" customFormat="false" ht="15" hidden="false" customHeight="false" outlineLevel="0" collapsed="false">
      <c r="A881" s="12"/>
      <c r="B881" s="13"/>
      <c r="C881" s="14"/>
      <c r="D881" s="14"/>
      <c r="E881" s="13"/>
      <c r="F881" s="15"/>
      <c r="G881" s="16" t="str">
        <f aca="false">IF(OR(B881="",A881=""),"",C881*IFERROR(INDEX(Kişiler!$B$5:$B$44,MATCH(B881,Kişiler!$A$5:$A$44,0)),0)+D881*IFERROR(INDEX(Kişiler!$C$5:$C$44,MATCH(B881,Kişiler!$A$5:$A$44,0)),0))</f>
        <v/>
      </c>
    </row>
    <row r="882" customFormat="false" ht="15" hidden="false" customHeight="false" outlineLevel="0" collapsed="false">
      <c r="A882" s="12"/>
      <c r="B882" s="13"/>
      <c r="C882" s="14"/>
      <c r="D882" s="14"/>
      <c r="E882" s="13"/>
      <c r="F882" s="15"/>
      <c r="G882" s="16" t="str">
        <f aca="false">IF(OR(B882="",A882=""),"",C882*IFERROR(INDEX(Kişiler!$B$5:$B$44,MATCH(B882,Kişiler!$A$5:$A$44,0)),0)+D882*IFERROR(INDEX(Kişiler!$C$5:$C$44,MATCH(B882,Kişiler!$A$5:$A$44,0)),0))</f>
        <v/>
      </c>
    </row>
    <row r="883" customFormat="false" ht="15" hidden="false" customHeight="false" outlineLevel="0" collapsed="false">
      <c r="A883" s="12"/>
      <c r="B883" s="13"/>
      <c r="C883" s="14"/>
      <c r="D883" s="14"/>
      <c r="E883" s="13"/>
      <c r="F883" s="15"/>
      <c r="G883" s="16" t="str">
        <f aca="false">IF(OR(B883="",A883=""),"",C883*IFERROR(INDEX(Kişiler!$B$5:$B$44,MATCH(B883,Kişiler!$A$5:$A$44,0)),0)+D883*IFERROR(INDEX(Kişiler!$C$5:$C$44,MATCH(B883,Kişiler!$A$5:$A$44,0)),0))</f>
        <v/>
      </c>
    </row>
    <row r="884" customFormat="false" ht="15" hidden="false" customHeight="false" outlineLevel="0" collapsed="false">
      <c r="A884" s="12"/>
      <c r="B884" s="13"/>
      <c r="C884" s="14"/>
      <c r="D884" s="14"/>
      <c r="E884" s="13"/>
      <c r="F884" s="15"/>
      <c r="G884" s="16" t="str">
        <f aca="false">IF(OR(B884="",A884=""),"",C884*IFERROR(INDEX(Kişiler!$B$5:$B$44,MATCH(B884,Kişiler!$A$5:$A$44,0)),0)+D884*IFERROR(INDEX(Kişiler!$C$5:$C$44,MATCH(B884,Kişiler!$A$5:$A$44,0)),0))</f>
        <v/>
      </c>
    </row>
    <row r="885" customFormat="false" ht="15" hidden="false" customHeight="false" outlineLevel="0" collapsed="false">
      <c r="A885" s="12"/>
      <c r="B885" s="13"/>
      <c r="C885" s="14"/>
      <c r="D885" s="14"/>
      <c r="E885" s="13"/>
      <c r="F885" s="15"/>
      <c r="G885" s="16" t="str">
        <f aca="false">IF(OR(B885="",A885=""),"",C885*IFERROR(INDEX(Kişiler!$B$5:$B$44,MATCH(B885,Kişiler!$A$5:$A$44,0)),0)+D885*IFERROR(INDEX(Kişiler!$C$5:$C$44,MATCH(B885,Kişiler!$A$5:$A$44,0)),0))</f>
        <v/>
      </c>
    </row>
    <row r="886" customFormat="false" ht="15" hidden="false" customHeight="false" outlineLevel="0" collapsed="false">
      <c r="A886" s="12"/>
      <c r="B886" s="13"/>
      <c r="C886" s="14"/>
      <c r="D886" s="14"/>
      <c r="E886" s="13"/>
      <c r="F886" s="15"/>
      <c r="G886" s="16" t="str">
        <f aca="false">IF(OR(B886="",A886=""),"",C886*IFERROR(INDEX(Kişiler!$B$5:$B$44,MATCH(B886,Kişiler!$A$5:$A$44,0)),0)+D886*IFERROR(INDEX(Kişiler!$C$5:$C$44,MATCH(B886,Kişiler!$A$5:$A$44,0)),0))</f>
        <v/>
      </c>
    </row>
    <row r="887" customFormat="false" ht="15" hidden="false" customHeight="false" outlineLevel="0" collapsed="false">
      <c r="A887" s="12"/>
      <c r="B887" s="13"/>
      <c r="C887" s="14"/>
      <c r="D887" s="14"/>
      <c r="E887" s="13"/>
      <c r="F887" s="15"/>
      <c r="G887" s="16" t="str">
        <f aca="false">IF(OR(B887="",A887=""),"",C887*IFERROR(INDEX(Kişiler!$B$5:$B$44,MATCH(B887,Kişiler!$A$5:$A$44,0)),0)+D887*IFERROR(INDEX(Kişiler!$C$5:$C$44,MATCH(B887,Kişiler!$A$5:$A$44,0)),0))</f>
        <v/>
      </c>
    </row>
    <row r="888" customFormat="false" ht="15" hidden="false" customHeight="false" outlineLevel="0" collapsed="false">
      <c r="A888" s="12"/>
      <c r="B888" s="13"/>
      <c r="C888" s="14"/>
      <c r="D888" s="14"/>
      <c r="E888" s="13"/>
      <c r="F888" s="15"/>
      <c r="G888" s="16" t="str">
        <f aca="false">IF(OR(B888="",A888=""),"",C888*IFERROR(INDEX(Kişiler!$B$5:$B$44,MATCH(B888,Kişiler!$A$5:$A$44,0)),0)+D888*IFERROR(INDEX(Kişiler!$C$5:$C$44,MATCH(B888,Kişiler!$A$5:$A$44,0)),0))</f>
        <v/>
      </c>
    </row>
    <row r="889" customFormat="false" ht="15" hidden="false" customHeight="false" outlineLevel="0" collapsed="false">
      <c r="A889" s="12"/>
      <c r="B889" s="13"/>
      <c r="C889" s="14"/>
      <c r="D889" s="14"/>
      <c r="E889" s="13"/>
      <c r="F889" s="15"/>
      <c r="G889" s="16" t="str">
        <f aca="false">IF(OR(B889="",A889=""),"",C889*IFERROR(INDEX(Kişiler!$B$5:$B$44,MATCH(B889,Kişiler!$A$5:$A$44,0)),0)+D889*IFERROR(INDEX(Kişiler!$C$5:$C$44,MATCH(B889,Kişiler!$A$5:$A$44,0)),0))</f>
        <v/>
      </c>
    </row>
    <row r="890" customFormat="false" ht="15" hidden="false" customHeight="false" outlineLevel="0" collapsed="false">
      <c r="A890" s="12"/>
      <c r="B890" s="13"/>
      <c r="C890" s="14"/>
      <c r="D890" s="14"/>
      <c r="E890" s="13"/>
      <c r="F890" s="15"/>
      <c r="G890" s="16" t="str">
        <f aca="false">IF(OR(B890="",A890=""),"",C890*IFERROR(INDEX(Kişiler!$B$5:$B$44,MATCH(B890,Kişiler!$A$5:$A$44,0)),0)+D890*IFERROR(INDEX(Kişiler!$C$5:$C$44,MATCH(B890,Kişiler!$A$5:$A$44,0)),0))</f>
        <v/>
      </c>
    </row>
    <row r="891" customFormat="false" ht="15" hidden="false" customHeight="false" outlineLevel="0" collapsed="false">
      <c r="A891" s="12"/>
      <c r="B891" s="13"/>
      <c r="C891" s="14"/>
      <c r="D891" s="14"/>
      <c r="E891" s="13"/>
      <c r="F891" s="15"/>
      <c r="G891" s="16" t="str">
        <f aca="false">IF(OR(B891="",A891=""),"",C891*IFERROR(INDEX(Kişiler!$B$5:$B$44,MATCH(B891,Kişiler!$A$5:$A$44,0)),0)+D891*IFERROR(INDEX(Kişiler!$C$5:$C$44,MATCH(B891,Kişiler!$A$5:$A$44,0)),0))</f>
        <v/>
      </c>
    </row>
    <row r="892" customFormat="false" ht="15" hidden="false" customHeight="false" outlineLevel="0" collapsed="false">
      <c r="A892" s="12"/>
      <c r="B892" s="13"/>
      <c r="C892" s="14"/>
      <c r="D892" s="14"/>
      <c r="E892" s="13"/>
      <c r="F892" s="15"/>
      <c r="G892" s="16" t="str">
        <f aca="false">IF(OR(B892="",A892=""),"",C892*IFERROR(INDEX(Kişiler!$B$5:$B$44,MATCH(B892,Kişiler!$A$5:$A$44,0)),0)+D892*IFERROR(INDEX(Kişiler!$C$5:$C$44,MATCH(B892,Kişiler!$A$5:$A$44,0)),0))</f>
        <v/>
      </c>
    </row>
    <row r="893" customFormat="false" ht="15" hidden="false" customHeight="false" outlineLevel="0" collapsed="false">
      <c r="A893" s="12"/>
      <c r="B893" s="13"/>
      <c r="C893" s="14"/>
      <c r="D893" s="14"/>
      <c r="E893" s="13"/>
      <c r="F893" s="15"/>
      <c r="G893" s="16" t="str">
        <f aca="false">IF(OR(B893="",A893=""),"",C893*IFERROR(INDEX(Kişiler!$B$5:$B$44,MATCH(B893,Kişiler!$A$5:$A$44,0)),0)+D893*IFERROR(INDEX(Kişiler!$C$5:$C$44,MATCH(B893,Kişiler!$A$5:$A$44,0)),0))</f>
        <v/>
      </c>
    </row>
    <row r="894" customFormat="false" ht="15" hidden="false" customHeight="false" outlineLevel="0" collapsed="false">
      <c r="A894" s="12"/>
      <c r="B894" s="13"/>
      <c r="C894" s="14"/>
      <c r="D894" s="14"/>
      <c r="E894" s="13"/>
      <c r="F894" s="15"/>
      <c r="G894" s="16" t="str">
        <f aca="false">IF(OR(B894="",A894=""),"",C894*IFERROR(INDEX(Kişiler!$B$5:$B$44,MATCH(B894,Kişiler!$A$5:$A$44,0)),0)+D894*IFERROR(INDEX(Kişiler!$C$5:$C$44,MATCH(B894,Kişiler!$A$5:$A$44,0)),0))</f>
        <v/>
      </c>
    </row>
    <row r="895" customFormat="false" ht="15" hidden="false" customHeight="false" outlineLevel="0" collapsed="false">
      <c r="A895" s="12"/>
      <c r="B895" s="13"/>
      <c r="C895" s="14"/>
      <c r="D895" s="14"/>
      <c r="E895" s="13"/>
      <c r="F895" s="15"/>
      <c r="G895" s="16" t="str">
        <f aca="false">IF(OR(B895="",A895=""),"",C895*IFERROR(INDEX(Kişiler!$B$5:$B$44,MATCH(B895,Kişiler!$A$5:$A$44,0)),0)+D895*IFERROR(INDEX(Kişiler!$C$5:$C$44,MATCH(B895,Kişiler!$A$5:$A$44,0)),0))</f>
        <v/>
      </c>
    </row>
    <row r="896" customFormat="false" ht="15" hidden="false" customHeight="false" outlineLevel="0" collapsed="false">
      <c r="A896" s="12"/>
      <c r="B896" s="13"/>
      <c r="C896" s="14"/>
      <c r="D896" s="14"/>
      <c r="E896" s="13"/>
      <c r="F896" s="15"/>
      <c r="G896" s="16" t="str">
        <f aca="false">IF(OR(B896="",A896=""),"",C896*IFERROR(INDEX(Kişiler!$B$5:$B$44,MATCH(B896,Kişiler!$A$5:$A$44,0)),0)+D896*IFERROR(INDEX(Kişiler!$C$5:$C$44,MATCH(B896,Kişiler!$A$5:$A$44,0)),0))</f>
        <v/>
      </c>
    </row>
    <row r="897" customFormat="false" ht="15" hidden="false" customHeight="false" outlineLevel="0" collapsed="false">
      <c r="A897" s="12"/>
      <c r="B897" s="13"/>
      <c r="C897" s="14"/>
      <c r="D897" s="14"/>
      <c r="E897" s="13"/>
      <c r="F897" s="15"/>
      <c r="G897" s="16" t="str">
        <f aca="false">IF(OR(B897="",A897=""),"",C897*IFERROR(INDEX(Kişiler!$B$5:$B$44,MATCH(B897,Kişiler!$A$5:$A$44,0)),0)+D897*IFERROR(INDEX(Kişiler!$C$5:$C$44,MATCH(B897,Kişiler!$A$5:$A$44,0)),0))</f>
        <v/>
      </c>
    </row>
    <row r="898" customFormat="false" ht="15" hidden="false" customHeight="false" outlineLevel="0" collapsed="false">
      <c r="A898" s="12"/>
      <c r="B898" s="13"/>
      <c r="C898" s="14"/>
      <c r="D898" s="14"/>
      <c r="E898" s="13"/>
      <c r="F898" s="15"/>
      <c r="G898" s="16" t="str">
        <f aca="false">IF(OR(B898="",A898=""),"",C898*IFERROR(INDEX(Kişiler!$B$5:$B$44,MATCH(B898,Kişiler!$A$5:$A$44,0)),0)+D898*IFERROR(INDEX(Kişiler!$C$5:$C$44,MATCH(B898,Kişiler!$A$5:$A$44,0)),0))</f>
        <v/>
      </c>
    </row>
    <row r="899" customFormat="false" ht="15" hidden="false" customHeight="false" outlineLevel="0" collapsed="false">
      <c r="A899" s="12"/>
      <c r="B899" s="13"/>
      <c r="C899" s="14"/>
      <c r="D899" s="14"/>
      <c r="E899" s="13"/>
      <c r="F899" s="15"/>
      <c r="G899" s="16" t="str">
        <f aca="false">IF(OR(B899="",A899=""),"",C899*IFERROR(INDEX(Kişiler!$B$5:$B$44,MATCH(B899,Kişiler!$A$5:$A$44,0)),0)+D899*IFERROR(INDEX(Kişiler!$C$5:$C$44,MATCH(B899,Kişiler!$A$5:$A$44,0)),0))</f>
        <v/>
      </c>
    </row>
    <row r="900" customFormat="false" ht="15" hidden="false" customHeight="false" outlineLevel="0" collapsed="false">
      <c r="A900" s="12"/>
      <c r="B900" s="13"/>
      <c r="C900" s="14"/>
      <c r="D900" s="14"/>
      <c r="E900" s="13"/>
      <c r="F900" s="15"/>
      <c r="G900" s="16" t="str">
        <f aca="false">IF(OR(B900="",A900=""),"",C900*IFERROR(INDEX(Kişiler!$B$5:$B$44,MATCH(B900,Kişiler!$A$5:$A$44,0)),0)+D900*IFERROR(INDEX(Kişiler!$C$5:$C$44,MATCH(B900,Kişiler!$A$5:$A$44,0)),0))</f>
        <v/>
      </c>
    </row>
    <row r="901" customFormat="false" ht="15" hidden="false" customHeight="false" outlineLevel="0" collapsed="false">
      <c r="A901" s="12"/>
      <c r="B901" s="13"/>
      <c r="C901" s="14"/>
      <c r="D901" s="14"/>
      <c r="E901" s="13"/>
      <c r="F901" s="15"/>
      <c r="G901" s="16" t="str">
        <f aca="false">IF(OR(B901="",A901=""),"",C901*IFERROR(INDEX(Kişiler!$B$5:$B$44,MATCH(B901,Kişiler!$A$5:$A$44,0)),0)+D901*IFERROR(INDEX(Kişiler!$C$5:$C$44,MATCH(B901,Kişiler!$A$5:$A$44,0)),0))</f>
        <v/>
      </c>
    </row>
    <row r="902" customFormat="false" ht="15" hidden="false" customHeight="false" outlineLevel="0" collapsed="false">
      <c r="A902" s="12"/>
      <c r="B902" s="13"/>
      <c r="C902" s="14"/>
      <c r="D902" s="14"/>
      <c r="E902" s="13"/>
      <c r="F902" s="15"/>
      <c r="G902" s="16" t="str">
        <f aca="false">IF(OR(B902="",A902=""),"",C902*IFERROR(INDEX(Kişiler!$B$5:$B$44,MATCH(B902,Kişiler!$A$5:$A$44,0)),0)+D902*IFERROR(INDEX(Kişiler!$C$5:$C$44,MATCH(B902,Kişiler!$A$5:$A$44,0)),0))</f>
        <v/>
      </c>
    </row>
    <row r="903" customFormat="false" ht="15" hidden="false" customHeight="false" outlineLevel="0" collapsed="false">
      <c r="A903" s="12"/>
      <c r="B903" s="13"/>
      <c r="C903" s="14"/>
      <c r="D903" s="14"/>
      <c r="E903" s="13"/>
      <c r="F903" s="15"/>
      <c r="G903" s="16" t="str">
        <f aca="false">IF(OR(B903="",A903=""),"",C903*IFERROR(INDEX(Kişiler!$B$5:$B$44,MATCH(B903,Kişiler!$A$5:$A$44,0)),0)+D903*IFERROR(INDEX(Kişiler!$C$5:$C$44,MATCH(B903,Kişiler!$A$5:$A$44,0)),0))</f>
        <v/>
      </c>
    </row>
    <row r="904" customFormat="false" ht="15" hidden="false" customHeight="false" outlineLevel="0" collapsed="false">
      <c r="A904" s="12"/>
      <c r="B904" s="13"/>
      <c r="C904" s="14"/>
      <c r="D904" s="14"/>
      <c r="E904" s="13"/>
      <c r="F904" s="15"/>
      <c r="G904" s="16" t="str">
        <f aca="false">IF(OR(B904="",A904=""),"",C904*IFERROR(INDEX(Kişiler!$B$5:$B$44,MATCH(B904,Kişiler!$A$5:$A$44,0)),0)+D904*IFERROR(INDEX(Kişiler!$C$5:$C$44,MATCH(B904,Kişiler!$A$5:$A$44,0)),0))</f>
        <v/>
      </c>
    </row>
    <row r="905" customFormat="false" ht="15" hidden="false" customHeight="false" outlineLevel="0" collapsed="false">
      <c r="A905" s="12"/>
      <c r="B905" s="13"/>
      <c r="C905" s="14"/>
      <c r="D905" s="14"/>
      <c r="E905" s="13"/>
      <c r="F905" s="15"/>
      <c r="G905" s="16" t="str">
        <f aca="false">IF(OR(B905="",A905=""),"",C905*IFERROR(INDEX(Kişiler!$B$5:$B$44,MATCH(B905,Kişiler!$A$5:$A$44,0)),0)+D905*IFERROR(INDEX(Kişiler!$C$5:$C$44,MATCH(B905,Kişiler!$A$5:$A$44,0)),0))</f>
        <v/>
      </c>
    </row>
    <row r="906" customFormat="false" ht="15" hidden="false" customHeight="false" outlineLevel="0" collapsed="false">
      <c r="A906" s="12"/>
      <c r="B906" s="13"/>
      <c r="C906" s="14"/>
      <c r="D906" s="14"/>
      <c r="E906" s="13"/>
      <c r="F906" s="15"/>
      <c r="G906" s="16" t="str">
        <f aca="false">IF(OR(B906="",A906=""),"",C906*IFERROR(INDEX(Kişiler!$B$5:$B$44,MATCH(B906,Kişiler!$A$5:$A$44,0)),0)+D906*IFERROR(INDEX(Kişiler!$C$5:$C$44,MATCH(B906,Kişiler!$A$5:$A$44,0)),0))</f>
        <v/>
      </c>
    </row>
    <row r="907" customFormat="false" ht="15" hidden="false" customHeight="false" outlineLevel="0" collapsed="false">
      <c r="A907" s="12"/>
      <c r="B907" s="13"/>
      <c r="C907" s="14"/>
      <c r="D907" s="14"/>
      <c r="E907" s="13"/>
      <c r="F907" s="15"/>
      <c r="G907" s="16" t="str">
        <f aca="false">IF(OR(B907="",A907=""),"",C907*IFERROR(INDEX(Kişiler!$B$5:$B$44,MATCH(B907,Kişiler!$A$5:$A$44,0)),0)+D907*IFERROR(INDEX(Kişiler!$C$5:$C$44,MATCH(B907,Kişiler!$A$5:$A$44,0)),0))</f>
        <v/>
      </c>
    </row>
    <row r="908" customFormat="false" ht="15" hidden="false" customHeight="false" outlineLevel="0" collapsed="false">
      <c r="A908" s="12"/>
      <c r="B908" s="13"/>
      <c r="C908" s="14"/>
      <c r="D908" s="14"/>
      <c r="E908" s="13"/>
      <c r="F908" s="15"/>
      <c r="G908" s="16" t="str">
        <f aca="false">IF(OR(B908="",A908=""),"",C908*IFERROR(INDEX(Kişiler!$B$5:$B$44,MATCH(B908,Kişiler!$A$5:$A$44,0)),0)+D908*IFERROR(INDEX(Kişiler!$C$5:$C$44,MATCH(B908,Kişiler!$A$5:$A$44,0)),0))</f>
        <v/>
      </c>
    </row>
    <row r="909" customFormat="false" ht="15" hidden="false" customHeight="false" outlineLevel="0" collapsed="false">
      <c r="A909" s="12"/>
      <c r="B909" s="13"/>
      <c r="C909" s="14"/>
      <c r="D909" s="14"/>
      <c r="E909" s="13"/>
      <c r="F909" s="15"/>
      <c r="G909" s="16" t="str">
        <f aca="false">IF(OR(B909="",A909=""),"",C909*IFERROR(INDEX(Kişiler!$B$5:$B$44,MATCH(B909,Kişiler!$A$5:$A$44,0)),0)+D909*IFERROR(INDEX(Kişiler!$C$5:$C$44,MATCH(B909,Kişiler!$A$5:$A$44,0)),0))</f>
        <v/>
      </c>
    </row>
    <row r="910" customFormat="false" ht="15" hidden="false" customHeight="false" outlineLevel="0" collapsed="false">
      <c r="A910" s="12"/>
      <c r="B910" s="13"/>
      <c r="C910" s="14"/>
      <c r="D910" s="14"/>
      <c r="E910" s="13"/>
      <c r="F910" s="15"/>
      <c r="G910" s="16" t="str">
        <f aca="false">IF(OR(B910="",A910=""),"",C910*IFERROR(INDEX(Kişiler!$B$5:$B$44,MATCH(B910,Kişiler!$A$5:$A$44,0)),0)+D910*IFERROR(INDEX(Kişiler!$C$5:$C$44,MATCH(B910,Kişiler!$A$5:$A$44,0)),0))</f>
        <v/>
      </c>
    </row>
    <row r="911" customFormat="false" ht="15" hidden="false" customHeight="false" outlineLevel="0" collapsed="false">
      <c r="A911" s="12"/>
      <c r="B911" s="13"/>
      <c r="C911" s="14"/>
      <c r="D911" s="14"/>
      <c r="E911" s="13"/>
      <c r="F911" s="15"/>
      <c r="G911" s="16" t="str">
        <f aca="false">IF(OR(B911="",A911=""),"",C911*IFERROR(INDEX(Kişiler!$B$5:$B$44,MATCH(B911,Kişiler!$A$5:$A$44,0)),0)+D911*IFERROR(INDEX(Kişiler!$C$5:$C$44,MATCH(B911,Kişiler!$A$5:$A$44,0)),0))</f>
        <v/>
      </c>
    </row>
    <row r="912" customFormat="false" ht="15" hidden="false" customHeight="false" outlineLevel="0" collapsed="false">
      <c r="A912" s="12"/>
      <c r="B912" s="13"/>
      <c r="C912" s="14"/>
      <c r="D912" s="14"/>
      <c r="E912" s="13"/>
      <c r="F912" s="15"/>
      <c r="G912" s="16" t="str">
        <f aca="false">IF(OR(B912="",A912=""),"",C912*IFERROR(INDEX(Kişiler!$B$5:$B$44,MATCH(B912,Kişiler!$A$5:$A$44,0)),0)+D912*IFERROR(INDEX(Kişiler!$C$5:$C$44,MATCH(B912,Kişiler!$A$5:$A$44,0)),0))</f>
        <v/>
      </c>
    </row>
    <row r="913" customFormat="false" ht="15" hidden="false" customHeight="false" outlineLevel="0" collapsed="false">
      <c r="A913" s="12"/>
      <c r="B913" s="13"/>
      <c r="C913" s="14"/>
      <c r="D913" s="14"/>
      <c r="E913" s="13"/>
      <c r="F913" s="15"/>
      <c r="G913" s="16" t="str">
        <f aca="false">IF(OR(B913="",A913=""),"",C913*IFERROR(INDEX(Kişiler!$B$5:$B$44,MATCH(B913,Kişiler!$A$5:$A$44,0)),0)+D913*IFERROR(INDEX(Kişiler!$C$5:$C$44,MATCH(B913,Kişiler!$A$5:$A$44,0)),0))</f>
        <v/>
      </c>
    </row>
    <row r="914" customFormat="false" ht="15" hidden="false" customHeight="false" outlineLevel="0" collapsed="false">
      <c r="A914" s="12"/>
      <c r="B914" s="13"/>
      <c r="C914" s="14"/>
      <c r="D914" s="14"/>
      <c r="E914" s="13"/>
      <c r="F914" s="15"/>
      <c r="G914" s="16" t="str">
        <f aca="false">IF(OR(B914="",A914=""),"",C914*IFERROR(INDEX(Kişiler!$B$5:$B$44,MATCH(B914,Kişiler!$A$5:$A$44,0)),0)+D914*IFERROR(INDEX(Kişiler!$C$5:$C$44,MATCH(B914,Kişiler!$A$5:$A$44,0)),0))</f>
        <v/>
      </c>
    </row>
    <row r="915" customFormat="false" ht="15" hidden="false" customHeight="false" outlineLevel="0" collapsed="false">
      <c r="A915" s="12"/>
      <c r="B915" s="13"/>
      <c r="C915" s="14"/>
      <c r="D915" s="14"/>
      <c r="E915" s="13"/>
      <c r="F915" s="15"/>
      <c r="G915" s="16" t="str">
        <f aca="false">IF(OR(B915="",A915=""),"",C915*IFERROR(INDEX(Kişiler!$B$5:$B$44,MATCH(B915,Kişiler!$A$5:$A$44,0)),0)+D915*IFERROR(INDEX(Kişiler!$C$5:$C$44,MATCH(B915,Kişiler!$A$5:$A$44,0)),0))</f>
        <v/>
      </c>
    </row>
    <row r="916" customFormat="false" ht="15" hidden="false" customHeight="false" outlineLevel="0" collapsed="false">
      <c r="A916" s="12"/>
      <c r="B916" s="13"/>
      <c r="C916" s="14"/>
      <c r="D916" s="14"/>
      <c r="E916" s="13"/>
      <c r="F916" s="15"/>
      <c r="G916" s="16" t="str">
        <f aca="false">IF(OR(B916="",A916=""),"",C916*IFERROR(INDEX(Kişiler!$B$5:$B$44,MATCH(B916,Kişiler!$A$5:$A$44,0)),0)+D916*IFERROR(INDEX(Kişiler!$C$5:$C$44,MATCH(B916,Kişiler!$A$5:$A$44,0)),0))</f>
        <v/>
      </c>
    </row>
    <row r="917" customFormat="false" ht="15" hidden="false" customHeight="false" outlineLevel="0" collapsed="false">
      <c r="A917" s="12"/>
      <c r="B917" s="13"/>
      <c r="C917" s="14"/>
      <c r="D917" s="14"/>
      <c r="E917" s="13"/>
      <c r="F917" s="15"/>
      <c r="G917" s="16" t="str">
        <f aca="false">IF(OR(B917="",A917=""),"",C917*IFERROR(INDEX(Kişiler!$B$5:$B$44,MATCH(B917,Kişiler!$A$5:$A$44,0)),0)+D917*IFERROR(INDEX(Kişiler!$C$5:$C$44,MATCH(B917,Kişiler!$A$5:$A$44,0)),0))</f>
        <v/>
      </c>
    </row>
    <row r="918" customFormat="false" ht="15" hidden="false" customHeight="false" outlineLevel="0" collapsed="false">
      <c r="A918" s="12"/>
      <c r="B918" s="13"/>
      <c r="C918" s="14"/>
      <c r="D918" s="14"/>
      <c r="E918" s="13"/>
      <c r="F918" s="15"/>
      <c r="G918" s="16" t="str">
        <f aca="false">IF(OR(B918="",A918=""),"",C918*IFERROR(INDEX(Kişiler!$B$5:$B$44,MATCH(B918,Kişiler!$A$5:$A$44,0)),0)+D918*IFERROR(INDEX(Kişiler!$C$5:$C$44,MATCH(B918,Kişiler!$A$5:$A$44,0)),0))</f>
        <v/>
      </c>
    </row>
    <row r="919" customFormat="false" ht="15" hidden="false" customHeight="false" outlineLevel="0" collapsed="false">
      <c r="A919" s="12"/>
      <c r="B919" s="13"/>
      <c r="C919" s="14"/>
      <c r="D919" s="14"/>
      <c r="E919" s="13"/>
      <c r="F919" s="15"/>
      <c r="G919" s="16" t="str">
        <f aca="false">IF(OR(B919="",A919=""),"",C919*IFERROR(INDEX(Kişiler!$B$5:$B$44,MATCH(B919,Kişiler!$A$5:$A$44,0)),0)+D919*IFERROR(INDEX(Kişiler!$C$5:$C$44,MATCH(B919,Kişiler!$A$5:$A$44,0)),0))</f>
        <v/>
      </c>
    </row>
    <row r="920" customFormat="false" ht="15" hidden="false" customHeight="false" outlineLevel="0" collapsed="false">
      <c r="A920" s="12"/>
      <c r="B920" s="13"/>
      <c r="C920" s="14"/>
      <c r="D920" s="14"/>
      <c r="E920" s="13"/>
      <c r="F920" s="15"/>
      <c r="G920" s="16" t="str">
        <f aca="false">IF(OR(B920="",A920=""),"",C920*IFERROR(INDEX(Kişiler!$B$5:$B$44,MATCH(B920,Kişiler!$A$5:$A$44,0)),0)+D920*IFERROR(INDEX(Kişiler!$C$5:$C$44,MATCH(B920,Kişiler!$A$5:$A$44,0)),0))</f>
        <v/>
      </c>
    </row>
    <row r="921" customFormat="false" ht="15" hidden="false" customHeight="false" outlineLevel="0" collapsed="false">
      <c r="A921" s="12"/>
      <c r="B921" s="13"/>
      <c r="C921" s="14"/>
      <c r="D921" s="14"/>
      <c r="E921" s="13"/>
      <c r="F921" s="15"/>
      <c r="G921" s="16" t="str">
        <f aca="false">IF(OR(B921="",A921=""),"",C921*IFERROR(INDEX(Kişiler!$B$5:$B$44,MATCH(B921,Kişiler!$A$5:$A$44,0)),0)+D921*IFERROR(INDEX(Kişiler!$C$5:$C$44,MATCH(B921,Kişiler!$A$5:$A$44,0)),0))</f>
        <v/>
      </c>
    </row>
    <row r="922" customFormat="false" ht="15" hidden="false" customHeight="false" outlineLevel="0" collapsed="false">
      <c r="A922" s="12"/>
      <c r="B922" s="13"/>
      <c r="C922" s="14"/>
      <c r="D922" s="14"/>
      <c r="E922" s="13"/>
      <c r="F922" s="15"/>
      <c r="G922" s="16" t="str">
        <f aca="false">IF(OR(B922="",A922=""),"",C922*IFERROR(INDEX(Kişiler!$B$5:$B$44,MATCH(B922,Kişiler!$A$5:$A$44,0)),0)+D922*IFERROR(INDEX(Kişiler!$C$5:$C$44,MATCH(B922,Kişiler!$A$5:$A$44,0)),0))</f>
        <v/>
      </c>
    </row>
    <row r="923" customFormat="false" ht="15" hidden="false" customHeight="false" outlineLevel="0" collapsed="false">
      <c r="A923" s="12"/>
      <c r="B923" s="13"/>
      <c r="C923" s="14"/>
      <c r="D923" s="14"/>
      <c r="E923" s="13"/>
      <c r="F923" s="15"/>
      <c r="G923" s="16" t="str">
        <f aca="false">IF(OR(B923="",A923=""),"",C923*IFERROR(INDEX(Kişiler!$B$5:$B$44,MATCH(B923,Kişiler!$A$5:$A$44,0)),0)+D923*IFERROR(INDEX(Kişiler!$C$5:$C$44,MATCH(B923,Kişiler!$A$5:$A$44,0)),0))</f>
        <v/>
      </c>
    </row>
    <row r="924" customFormat="false" ht="15" hidden="false" customHeight="false" outlineLevel="0" collapsed="false">
      <c r="A924" s="12"/>
      <c r="B924" s="13"/>
      <c r="C924" s="14"/>
      <c r="D924" s="14"/>
      <c r="E924" s="13"/>
      <c r="F924" s="15"/>
      <c r="G924" s="16" t="str">
        <f aca="false">IF(OR(B924="",A924=""),"",C924*IFERROR(INDEX(Kişiler!$B$5:$B$44,MATCH(B924,Kişiler!$A$5:$A$44,0)),0)+D924*IFERROR(INDEX(Kişiler!$C$5:$C$44,MATCH(B924,Kişiler!$A$5:$A$44,0)),0))</f>
        <v/>
      </c>
    </row>
    <row r="925" customFormat="false" ht="15" hidden="false" customHeight="false" outlineLevel="0" collapsed="false">
      <c r="A925" s="12"/>
      <c r="B925" s="13"/>
      <c r="C925" s="14"/>
      <c r="D925" s="14"/>
      <c r="E925" s="13"/>
      <c r="F925" s="15"/>
      <c r="G925" s="16" t="str">
        <f aca="false">IF(OR(B925="",A925=""),"",C925*IFERROR(INDEX(Kişiler!$B$5:$B$44,MATCH(B925,Kişiler!$A$5:$A$44,0)),0)+D925*IFERROR(INDEX(Kişiler!$C$5:$C$44,MATCH(B925,Kişiler!$A$5:$A$44,0)),0))</f>
        <v/>
      </c>
    </row>
    <row r="926" customFormat="false" ht="15" hidden="false" customHeight="false" outlineLevel="0" collapsed="false">
      <c r="A926" s="12"/>
      <c r="B926" s="13"/>
      <c r="C926" s="14"/>
      <c r="D926" s="14"/>
      <c r="E926" s="13"/>
      <c r="F926" s="15"/>
      <c r="G926" s="16" t="str">
        <f aca="false">IF(OR(B926="",A926=""),"",C926*IFERROR(INDEX(Kişiler!$B$5:$B$44,MATCH(B926,Kişiler!$A$5:$A$44,0)),0)+D926*IFERROR(INDEX(Kişiler!$C$5:$C$44,MATCH(B926,Kişiler!$A$5:$A$44,0)),0))</f>
        <v/>
      </c>
    </row>
    <row r="927" customFormat="false" ht="15" hidden="false" customHeight="false" outlineLevel="0" collapsed="false">
      <c r="A927" s="12"/>
      <c r="B927" s="13"/>
      <c r="C927" s="14"/>
      <c r="D927" s="14"/>
      <c r="E927" s="13"/>
      <c r="F927" s="15"/>
      <c r="G927" s="16" t="str">
        <f aca="false">IF(OR(B927="",A927=""),"",C927*IFERROR(INDEX(Kişiler!$B$5:$B$44,MATCH(B927,Kişiler!$A$5:$A$44,0)),0)+D927*IFERROR(INDEX(Kişiler!$C$5:$C$44,MATCH(B927,Kişiler!$A$5:$A$44,0)),0))</f>
        <v/>
      </c>
    </row>
    <row r="928" customFormat="false" ht="15" hidden="false" customHeight="false" outlineLevel="0" collapsed="false">
      <c r="A928" s="12"/>
      <c r="B928" s="13"/>
      <c r="C928" s="14"/>
      <c r="D928" s="14"/>
      <c r="E928" s="13"/>
      <c r="F928" s="15"/>
      <c r="G928" s="16" t="str">
        <f aca="false">IF(OR(B928="",A928=""),"",C928*IFERROR(INDEX(Kişiler!$B$5:$B$44,MATCH(B928,Kişiler!$A$5:$A$44,0)),0)+D928*IFERROR(INDEX(Kişiler!$C$5:$C$44,MATCH(B928,Kişiler!$A$5:$A$44,0)),0))</f>
        <v/>
      </c>
    </row>
    <row r="929" customFormat="false" ht="15" hidden="false" customHeight="false" outlineLevel="0" collapsed="false">
      <c r="A929" s="12"/>
      <c r="B929" s="13"/>
      <c r="C929" s="14"/>
      <c r="D929" s="14"/>
      <c r="E929" s="13"/>
      <c r="F929" s="15"/>
      <c r="G929" s="16" t="str">
        <f aca="false">IF(OR(B929="",A929=""),"",C929*IFERROR(INDEX(Kişiler!$B$5:$B$44,MATCH(B929,Kişiler!$A$5:$A$44,0)),0)+D929*IFERROR(INDEX(Kişiler!$C$5:$C$44,MATCH(B929,Kişiler!$A$5:$A$44,0)),0))</f>
        <v/>
      </c>
    </row>
    <row r="930" customFormat="false" ht="15" hidden="false" customHeight="false" outlineLevel="0" collapsed="false">
      <c r="A930" s="12"/>
      <c r="B930" s="13"/>
      <c r="C930" s="14"/>
      <c r="D930" s="14"/>
      <c r="E930" s="13"/>
      <c r="F930" s="15"/>
      <c r="G930" s="16" t="str">
        <f aca="false">IF(OR(B930="",A930=""),"",C930*IFERROR(INDEX(Kişiler!$B$5:$B$44,MATCH(B930,Kişiler!$A$5:$A$44,0)),0)+D930*IFERROR(INDEX(Kişiler!$C$5:$C$44,MATCH(B930,Kişiler!$A$5:$A$44,0)),0))</f>
        <v/>
      </c>
    </row>
    <row r="931" customFormat="false" ht="15" hidden="false" customHeight="false" outlineLevel="0" collapsed="false">
      <c r="A931" s="12"/>
      <c r="B931" s="13"/>
      <c r="C931" s="14"/>
      <c r="D931" s="14"/>
      <c r="E931" s="13"/>
      <c r="F931" s="15"/>
      <c r="G931" s="16" t="str">
        <f aca="false">IF(OR(B931="",A931=""),"",C931*IFERROR(INDEX(Kişiler!$B$5:$B$44,MATCH(B931,Kişiler!$A$5:$A$44,0)),0)+D931*IFERROR(INDEX(Kişiler!$C$5:$C$44,MATCH(B931,Kişiler!$A$5:$A$44,0)),0))</f>
        <v/>
      </c>
    </row>
    <row r="932" customFormat="false" ht="15" hidden="false" customHeight="false" outlineLevel="0" collapsed="false">
      <c r="A932" s="12"/>
      <c r="B932" s="13"/>
      <c r="C932" s="14"/>
      <c r="D932" s="14"/>
      <c r="E932" s="13"/>
      <c r="F932" s="15"/>
      <c r="G932" s="16" t="str">
        <f aca="false">IF(OR(B932="",A932=""),"",C932*IFERROR(INDEX(Kişiler!$B$5:$B$44,MATCH(B932,Kişiler!$A$5:$A$44,0)),0)+D932*IFERROR(INDEX(Kişiler!$C$5:$C$44,MATCH(B932,Kişiler!$A$5:$A$44,0)),0))</f>
        <v/>
      </c>
    </row>
    <row r="933" customFormat="false" ht="15" hidden="false" customHeight="false" outlineLevel="0" collapsed="false">
      <c r="A933" s="12"/>
      <c r="B933" s="13"/>
      <c r="C933" s="14"/>
      <c r="D933" s="14"/>
      <c r="E933" s="13"/>
      <c r="F933" s="15"/>
      <c r="G933" s="16" t="str">
        <f aca="false">IF(OR(B933="",A933=""),"",C933*IFERROR(INDEX(Kişiler!$B$5:$B$44,MATCH(B933,Kişiler!$A$5:$A$44,0)),0)+D933*IFERROR(INDEX(Kişiler!$C$5:$C$44,MATCH(B933,Kişiler!$A$5:$A$44,0)),0))</f>
        <v/>
      </c>
    </row>
    <row r="934" customFormat="false" ht="15" hidden="false" customHeight="false" outlineLevel="0" collapsed="false">
      <c r="A934" s="12"/>
      <c r="B934" s="13"/>
      <c r="C934" s="14"/>
      <c r="D934" s="14"/>
      <c r="E934" s="13"/>
      <c r="F934" s="15"/>
      <c r="G934" s="16" t="str">
        <f aca="false">IF(OR(B934="",A934=""),"",C934*IFERROR(INDEX(Kişiler!$B$5:$B$44,MATCH(B934,Kişiler!$A$5:$A$44,0)),0)+D934*IFERROR(INDEX(Kişiler!$C$5:$C$44,MATCH(B934,Kişiler!$A$5:$A$44,0)),0))</f>
        <v/>
      </c>
    </row>
    <row r="935" customFormat="false" ht="15" hidden="false" customHeight="false" outlineLevel="0" collapsed="false">
      <c r="A935" s="12"/>
      <c r="B935" s="13"/>
      <c r="C935" s="14"/>
      <c r="D935" s="14"/>
      <c r="E935" s="13"/>
      <c r="F935" s="15"/>
      <c r="G935" s="16" t="str">
        <f aca="false">IF(OR(B935="",A935=""),"",C935*IFERROR(INDEX(Kişiler!$B$5:$B$44,MATCH(B935,Kişiler!$A$5:$A$44,0)),0)+D935*IFERROR(INDEX(Kişiler!$C$5:$C$44,MATCH(B935,Kişiler!$A$5:$A$44,0)),0))</f>
        <v/>
      </c>
    </row>
    <row r="936" customFormat="false" ht="15" hidden="false" customHeight="false" outlineLevel="0" collapsed="false">
      <c r="A936" s="12"/>
      <c r="B936" s="13"/>
      <c r="C936" s="14"/>
      <c r="D936" s="14"/>
      <c r="E936" s="13"/>
      <c r="F936" s="15"/>
      <c r="G936" s="16" t="str">
        <f aca="false">IF(OR(B936="",A936=""),"",C936*IFERROR(INDEX(Kişiler!$B$5:$B$44,MATCH(B936,Kişiler!$A$5:$A$44,0)),0)+D936*IFERROR(INDEX(Kişiler!$C$5:$C$44,MATCH(B936,Kişiler!$A$5:$A$44,0)),0))</f>
        <v/>
      </c>
    </row>
    <row r="937" customFormat="false" ht="15" hidden="false" customHeight="false" outlineLevel="0" collapsed="false">
      <c r="A937" s="12"/>
      <c r="B937" s="13"/>
      <c r="C937" s="14"/>
      <c r="D937" s="14"/>
      <c r="E937" s="13"/>
      <c r="F937" s="15"/>
      <c r="G937" s="16" t="str">
        <f aca="false">IF(OR(B937="",A937=""),"",C937*IFERROR(INDEX(Kişiler!$B$5:$B$44,MATCH(B937,Kişiler!$A$5:$A$44,0)),0)+D937*IFERROR(INDEX(Kişiler!$C$5:$C$44,MATCH(B937,Kişiler!$A$5:$A$44,0)),0))</f>
        <v/>
      </c>
    </row>
    <row r="938" customFormat="false" ht="15" hidden="false" customHeight="false" outlineLevel="0" collapsed="false">
      <c r="A938" s="12"/>
      <c r="B938" s="13"/>
      <c r="C938" s="14"/>
      <c r="D938" s="14"/>
      <c r="E938" s="13"/>
      <c r="F938" s="15"/>
      <c r="G938" s="16" t="str">
        <f aca="false">IF(OR(B938="",A938=""),"",C938*IFERROR(INDEX(Kişiler!$B$5:$B$44,MATCH(B938,Kişiler!$A$5:$A$44,0)),0)+D938*IFERROR(INDEX(Kişiler!$C$5:$C$44,MATCH(B938,Kişiler!$A$5:$A$44,0)),0))</f>
        <v/>
      </c>
    </row>
    <row r="939" customFormat="false" ht="15" hidden="false" customHeight="false" outlineLevel="0" collapsed="false">
      <c r="A939" s="12"/>
      <c r="B939" s="13"/>
      <c r="C939" s="14"/>
      <c r="D939" s="14"/>
      <c r="E939" s="13"/>
      <c r="F939" s="15"/>
      <c r="G939" s="16" t="str">
        <f aca="false">IF(OR(B939="",A939=""),"",C939*IFERROR(INDEX(Kişiler!$B$5:$B$44,MATCH(B939,Kişiler!$A$5:$A$44,0)),0)+D939*IFERROR(INDEX(Kişiler!$C$5:$C$44,MATCH(B939,Kişiler!$A$5:$A$44,0)),0))</f>
        <v/>
      </c>
    </row>
    <row r="940" customFormat="false" ht="15" hidden="false" customHeight="false" outlineLevel="0" collapsed="false">
      <c r="A940" s="12"/>
      <c r="B940" s="13"/>
      <c r="C940" s="14"/>
      <c r="D940" s="14"/>
      <c r="E940" s="13"/>
      <c r="F940" s="15"/>
      <c r="G940" s="16" t="str">
        <f aca="false">IF(OR(B940="",A940=""),"",C940*IFERROR(INDEX(Kişiler!$B$5:$B$44,MATCH(B940,Kişiler!$A$5:$A$44,0)),0)+D940*IFERROR(INDEX(Kişiler!$C$5:$C$44,MATCH(B940,Kişiler!$A$5:$A$44,0)),0))</f>
        <v/>
      </c>
    </row>
    <row r="941" customFormat="false" ht="15" hidden="false" customHeight="false" outlineLevel="0" collapsed="false">
      <c r="A941" s="12"/>
      <c r="B941" s="13"/>
      <c r="C941" s="14"/>
      <c r="D941" s="14"/>
      <c r="E941" s="13"/>
      <c r="F941" s="15"/>
      <c r="G941" s="16" t="str">
        <f aca="false">IF(OR(B941="",A941=""),"",C941*IFERROR(INDEX(Kişiler!$B$5:$B$44,MATCH(B941,Kişiler!$A$5:$A$44,0)),0)+D941*IFERROR(INDEX(Kişiler!$C$5:$C$44,MATCH(B941,Kişiler!$A$5:$A$44,0)),0))</f>
        <v/>
      </c>
    </row>
    <row r="942" customFormat="false" ht="15" hidden="false" customHeight="false" outlineLevel="0" collapsed="false">
      <c r="A942" s="12"/>
      <c r="B942" s="13"/>
      <c r="C942" s="14"/>
      <c r="D942" s="14"/>
      <c r="E942" s="13"/>
      <c r="F942" s="15"/>
      <c r="G942" s="16" t="str">
        <f aca="false">IF(OR(B942="",A942=""),"",C942*IFERROR(INDEX(Kişiler!$B$5:$B$44,MATCH(B942,Kişiler!$A$5:$A$44,0)),0)+D942*IFERROR(INDEX(Kişiler!$C$5:$C$44,MATCH(B942,Kişiler!$A$5:$A$44,0)),0))</f>
        <v/>
      </c>
    </row>
    <row r="943" customFormat="false" ht="15" hidden="false" customHeight="false" outlineLevel="0" collapsed="false">
      <c r="A943" s="12"/>
      <c r="B943" s="13"/>
      <c r="C943" s="14"/>
      <c r="D943" s="14"/>
      <c r="E943" s="13"/>
      <c r="F943" s="15"/>
      <c r="G943" s="16" t="str">
        <f aca="false">IF(OR(B943="",A943=""),"",C943*IFERROR(INDEX(Kişiler!$B$5:$B$44,MATCH(B943,Kişiler!$A$5:$A$44,0)),0)+D943*IFERROR(INDEX(Kişiler!$C$5:$C$44,MATCH(B943,Kişiler!$A$5:$A$44,0)),0))</f>
        <v/>
      </c>
    </row>
    <row r="944" customFormat="false" ht="15" hidden="false" customHeight="false" outlineLevel="0" collapsed="false">
      <c r="A944" s="12"/>
      <c r="B944" s="13"/>
      <c r="C944" s="14"/>
      <c r="D944" s="14"/>
      <c r="E944" s="13"/>
      <c r="F944" s="15"/>
      <c r="G944" s="16" t="str">
        <f aca="false">IF(OR(B944="",A944=""),"",C944*IFERROR(INDEX(Kişiler!$B$5:$B$44,MATCH(B944,Kişiler!$A$5:$A$44,0)),0)+D944*IFERROR(INDEX(Kişiler!$C$5:$C$44,MATCH(B944,Kişiler!$A$5:$A$44,0)),0))</f>
        <v/>
      </c>
    </row>
    <row r="945" customFormat="false" ht="15" hidden="false" customHeight="false" outlineLevel="0" collapsed="false">
      <c r="A945" s="12"/>
      <c r="B945" s="13"/>
      <c r="C945" s="14"/>
      <c r="D945" s="14"/>
      <c r="E945" s="13"/>
      <c r="F945" s="15"/>
      <c r="G945" s="16" t="str">
        <f aca="false">IF(OR(B945="",A945=""),"",C945*IFERROR(INDEX(Kişiler!$B$5:$B$44,MATCH(B945,Kişiler!$A$5:$A$44,0)),0)+D945*IFERROR(INDEX(Kişiler!$C$5:$C$44,MATCH(B945,Kişiler!$A$5:$A$44,0)),0))</f>
        <v/>
      </c>
    </row>
    <row r="946" customFormat="false" ht="15" hidden="false" customHeight="false" outlineLevel="0" collapsed="false">
      <c r="A946" s="12"/>
      <c r="B946" s="13"/>
      <c r="C946" s="14"/>
      <c r="D946" s="14"/>
      <c r="E946" s="13"/>
      <c r="F946" s="15"/>
      <c r="G946" s="16" t="str">
        <f aca="false">IF(OR(B946="",A946=""),"",C946*IFERROR(INDEX(Kişiler!$B$5:$B$44,MATCH(B946,Kişiler!$A$5:$A$44,0)),0)+D946*IFERROR(INDEX(Kişiler!$C$5:$C$44,MATCH(B946,Kişiler!$A$5:$A$44,0)),0))</f>
        <v/>
      </c>
    </row>
    <row r="947" customFormat="false" ht="15" hidden="false" customHeight="false" outlineLevel="0" collapsed="false">
      <c r="A947" s="12"/>
      <c r="B947" s="13"/>
      <c r="C947" s="14"/>
      <c r="D947" s="14"/>
      <c r="E947" s="13"/>
      <c r="F947" s="15"/>
      <c r="G947" s="16" t="str">
        <f aca="false">IF(OR(B947="",A947=""),"",C947*IFERROR(INDEX(Kişiler!$B$5:$B$44,MATCH(B947,Kişiler!$A$5:$A$44,0)),0)+D947*IFERROR(INDEX(Kişiler!$C$5:$C$44,MATCH(B947,Kişiler!$A$5:$A$44,0)),0))</f>
        <v/>
      </c>
    </row>
    <row r="948" customFormat="false" ht="15" hidden="false" customHeight="false" outlineLevel="0" collapsed="false">
      <c r="A948" s="12"/>
      <c r="B948" s="13"/>
      <c r="C948" s="14"/>
      <c r="D948" s="14"/>
      <c r="E948" s="13"/>
      <c r="F948" s="15"/>
      <c r="G948" s="16" t="str">
        <f aca="false">IF(OR(B948="",A948=""),"",C948*IFERROR(INDEX(Kişiler!$B$5:$B$44,MATCH(B948,Kişiler!$A$5:$A$44,0)),0)+D948*IFERROR(INDEX(Kişiler!$C$5:$C$44,MATCH(B948,Kişiler!$A$5:$A$44,0)),0))</f>
        <v/>
      </c>
    </row>
    <row r="949" customFormat="false" ht="15" hidden="false" customHeight="false" outlineLevel="0" collapsed="false">
      <c r="A949" s="12"/>
      <c r="B949" s="13"/>
      <c r="C949" s="14"/>
      <c r="D949" s="14"/>
      <c r="E949" s="13"/>
      <c r="F949" s="15"/>
      <c r="G949" s="16" t="str">
        <f aca="false">IF(OR(B949="",A949=""),"",C949*IFERROR(INDEX(Kişiler!$B$5:$B$44,MATCH(B949,Kişiler!$A$5:$A$44,0)),0)+D949*IFERROR(INDEX(Kişiler!$C$5:$C$44,MATCH(B949,Kişiler!$A$5:$A$44,0)),0))</f>
        <v/>
      </c>
    </row>
    <row r="950" customFormat="false" ht="15" hidden="false" customHeight="false" outlineLevel="0" collapsed="false">
      <c r="A950" s="12"/>
      <c r="B950" s="13"/>
      <c r="C950" s="14"/>
      <c r="D950" s="14"/>
      <c r="E950" s="13"/>
      <c r="F950" s="15"/>
      <c r="G950" s="16" t="str">
        <f aca="false">IF(OR(B950="",A950=""),"",C950*IFERROR(INDEX(Kişiler!$B$5:$B$44,MATCH(B950,Kişiler!$A$5:$A$44,0)),0)+D950*IFERROR(INDEX(Kişiler!$C$5:$C$44,MATCH(B950,Kişiler!$A$5:$A$44,0)),0))</f>
        <v/>
      </c>
    </row>
    <row r="951" customFormat="false" ht="15" hidden="false" customHeight="false" outlineLevel="0" collapsed="false">
      <c r="A951" s="12"/>
      <c r="B951" s="13"/>
      <c r="C951" s="14"/>
      <c r="D951" s="14"/>
      <c r="E951" s="13"/>
      <c r="F951" s="15"/>
      <c r="G951" s="16" t="str">
        <f aca="false">IF(OR(B951="",A951=""),"",C951*IFERROR(INDEX(Kişiler!$B$5:$B$44,MATCH(B951,Kişiler!$A$5:$A$44,0)),0)+D951*IFERROR(INDEX(Kişiler!$C$5:$C$44,MATCH(B951,Kişiler!$A$5:$A$44,0)),0))</f>
        <v/>
      </c>
    </row>
    <row r="952" customFormat="false" ht="15" hidden="false" customHeight="false" outlineLevel="0" collapsed="false">
      <c r="A952" s="12"/>
      <c r="B952" s="13"/>
      <c r="C952" s="14"/>
      <c r="D952" s="14"/>
      <c r="E952" s="13"/>
      <c r="F952" s="15"/>
      <c r="G952" s="16" t="str">
        <f aca="false">IF(OR(B952="",A952=""),"",C952*IFERROR(INDEX(Kişiler!$B$5:$B$44,MATCH(B952,Kişiler!$A$5:$A$44,0)),0)+D952*IFERROR(INDEX(Kişiler!$C$5:$C$44,MATCH(B952,Kişiler!$A$5:$A$44,0)),0))</f>
        <v/>
      </c>
    </row>
    <row r="953" customFormat="false" ht="15" hidden="false" customHeight="false" outlineLevel="0" collapsed="false">
      <c r="A953" s="12"/>
      <c r="B953" s="13"/>
      <c r="C953" s="14"/>
      <c r="D953" s="14"/>
      <c r="E953" s="13"/>
      <c r="F953" s="15"/>
      <c r="G953" s="16" t="str">
        <f aca="false">IF(OR(B953="",A953=""),"",C953*IFERROR(INDEX(Kişiler!$B$5:$B$44,MATCH(B953,Kişiler!$A$5:$A$44,0)),0)+D953*IFERROR(INDEX(Kişiler!$C$5:$C$44,MATCH(B953,Kişiler!$A$5:$A$44,0)),0))</f>
        <v/>
      </c>
    </row>
    <row r="954" customFormat="false" ht="15" hidden="false" customHeight="false" outlineLevel="0" collapsed="false">
      <c r="A954" s="12"/>
      <c r="B954" s="13"/>
      <c r="C954" s="14"/>
      <c r="D954" s="14"/>
      <c r="E954" s="13"/>
      <c r="F954" s="15"/>
      <c r="G954" s="16" t="str">
        <f aca="false">IF(OR(B954="",A954=""),"",C954*IFERROR(INDEX(Kişiler!$B$5:$B$44,MATCH(B954,Kişiler!$A$5:$A$44,0)),0)+D954*IFERROR(INDEX(Kişiler!$C$5:$C$44,MATCH(B954,Kişiler!$A$5:$A$44,0)),0))</f>
        <v/>
      </c>
    </row>
    <row r="955" customFormat="false" ht="15" hidden="false" customHeight="false" outlineLevel="0" collapsed="false">
      <c r="A955" s="12"/>
      <c r="B955" s="13"/>
      <c r="C955" s="14"/>
      <c r="D955" s="14"/>
      <c r="E955" s="13"/>
      <c r="F955" s="15"/>
      <c r="G955" s="16" t="str">
        <f aca="false">IF(OR(B955="",A955=""),"",C955*IFERROR(INDEX(Kişiler!$B$5:$B$44,MATCH(B955,Kişiler!$A$5:$A$44,0)),0)+D955*IFERROR(INDEX(Kişiler!$C$5:$C$44,MATCH(B955,Kişiler!$A$5:$A$44,0)),0))</f>
        <v/>
      </c>
    </row>
    <row r="956" customFormat="false" ht="15" hidden="false" customHeight="false" outlineLevel="0" collapsed="false">
      <c r="A956" s="12"/>
      <c r="B956" s="13"/>
      <c r="C956" s="14"/>
      <c r="D956" s="14"/>
      <c r="E956" s="13"/>
      <c r="F956" s="15"/>
      <c r="G956" s="16" t="str">
        <f aca="false">IF(OR(B956="",A956=""),"",C956*IFERROR(INDEX(Kişiler!$B$5:$B$44,MATCH(B956,Kişiler!$A$5:$A$44,0)),0)+D956*IFERROR(INDEX(Kişiler!$C$5:$C$44,MATCH(B956,Kişiler!$A$5:$A$44,0)),0))</f>
        <v/>
      </c>
    </row>
    <row r="957" customFormat="false" ht="15" hidden="false" customHeight="false" outlineLevel="0" collapsed="false">
      <c r="A957" s="12"/>
      <c r="B957" s="13"/>
      <c r="C957" s="14"/>
      <c r="D957" s="14"/>
      <c r="E957" s="13"/>
      <c r="F957" s="15"/>
      <c r="G957" s="16" t="str">
        <f aca="false">IF(OR(B957="",A957=""),"",C957*IFERROR(INDEX(Kişiler!$B$5:$B$44,MATCH(B957,Kişiler!$A$5:$A$44,0)),0)+D957*IFERROR(INDEX(Kişiler!$C$5:$C$44,MATCH(B957,Kişiler!$A$5:$A$44,0)),0))</f>
        <v/>
      </c>
    </row>
    <row r="958" customFormat="false" ht="15" hidden="false" customHeight="false" outlineLevel="0" collapsed="false">
      <c r="A958" s="12"/>
      <c r="B958" s="13"/>
      <c r="C958" s="14"/>
      <c r="D958" s="14"/>
      <c r="E958" s="13"/>
      <c r="F958" s="15"/>
      <c r="G958" s="16" t="str">
        <f aca="false">IF(OR(B958="",A958=""),"",C958*IFERROR(INDEX(Kişiler!$B$5:$B$44,MATCH(B958,Kişiler!$A$5:$A$44,0)),0)+D958*IFERROR(INDEX(Kişiler!$C$5:$C$44,MATCH(B958,Kişiler!$A$5:$A$44,0)),0))</f>
        <v/>
      </c>
    </row>
    <row r="959" customFormat="false" ht="15" hidden="false" customHeight="false" outlineLevel="0" collapsed="false">
      <c r="A959" s="12"/>
      <c r="B959" s="13"/>
      <c r="C959" s="14"/>
      <c r="D959" s="14"/>
      <c r="E959" s="13"/>
      <c r="F959" s="15"/>
      <c r="G959" s="16" t="str">
        <f aca="false">IF(OR(B959="",A959=""),"",C959*IFERROR(INDEX(Kişiler!$B$5:$B$44,MATCH(B959,Kişiler!$A$5:$A$44,0)),0)+D959*IFERROR(INDEX(Kişiler!$C$5:$C$44,MATCH(B959,Kişiler!$A$5:$A$44,0)),0))</f>
        <v/>
      </c>
    </row>
    <row r="960" customFormat="false" ht="15" hidden="false" customHeight="false" outlineLevel="0" collapsed="false">
      <c r="A960" s="12"/>
      <c r="B960" s="13"/>
      <c r="C960" s="14"/>
      <c r="D960" s="14"/>
      <c r="E960" s="13"/>
      <c r="F960" s="15"/>
      <c r="G960" s="16" t="str">
        <f aca="false">IF(OR(B960="",A960=""),"",C960*IFERROR(INDEX(Kişiler!$B$5:$B$44,MATCH(B960,Kişiler!$A$5:$A$44,0)),0)+D960*IFERROR(INDEX(Kişiler!$C$5:$C$44,MATCH(B960,Kişiler!$A$5:$A$44,0)),0))</f>
        <v/>
      </c>
    </row>
    <row r="961" customFormat="false" ht="15" hidden="false" customHeight="false" outlineLevel="0" collapsed="false">
      <c r="A961" s="12"/>
      <c r="B961" s="13"/>
      <c r="C961" s="14"/>
      <c r="D961" s="14"/>
      <c r="E961" s="13"/>
      <c r="F961" s="15"/>
      <c r="G961" s="16" t="str">
        <f aca="false">IF(OR(B961="",A961=""),"",C961*IFERROR(INDEX(Kişiler!$B$5:$B$44,MATCH(B961,Kişiler!$A$5:$A$44,0)),0)+D961*IFERROR(INDEX(Kişiler!$C$5:$C$44,MATCH(B961,Kişiler!$A$5:$A$44,0)),0))</f>
        <v/>
      </c>
    </row>
    <row r="962" customFormat="false" ht="15" hidden="false" customHeight="false" outlineLevel="0" collapsed="false">
      <c r="A962" s="12"/>
      <c r="B962" s="13"/>
      <c r="C962" s="14"/>
      <c r="D962" s="14"/>
      <c r="E962" s="13"/>
      <c r="F962" s="15"/>
      <c r="G962" s="16" t="str">
        <f aca="false">IF(OR(B962="",A962=""),"",C962*IFERROR(INDEX(Kişiler!$B$5:$B$44,MATCH(B962,Kişiler!$A$5:$A$44,0)),0)+D962*IFERROR(INDEX(Kişiler!$C$5:$C$44,MATCH(B962,Kişiler!$A$5:$A$44,0)),0))</f>
        <v/>
      </c>
    </row>
    <row r="963" customFormat="false" ht="15" hidden="false" customHeight="false" outlineLevel="0" collapsed="false">
      <c r="A963" s="12"/>
      <c r="B963" s="13"/>
      <c r="C963" s="14"/>
      <c r="D963" s="14"/>
      <c r="E963" s="13"/>
      <c r="F963" s="15"/>
      <c r="G963" s="16" t="str">
        <f aca="false">IF(OR(B963="",A963=""),"",C963*IFERROR(INDEX(Kişiler!$B$5:$B$44,MATCH(B963,Kişiler!$A$5:$A$44,0)),0)+D963*IFERROR(INDEX(Kişiler!$C$5:$C$44,MATCH(B963,Kişiler!$A$5:$A$44,0)),0))</f>
        <v/>
      </c>
    </row>
    <row r="964" customFormat="false" ht="15" hidden="false" customHeight="false" outlineLevel="0" collapsed="false">
      <c r="A964" s="12"/>
      <c r="B964" s="13"/>
      <c r="C964" s="14"/>
      <c r="D964" s="14"/>
      <c r="E964" s="13"/>
      <c r="F964" s="15"/>
      <c r="G964" s="16" t="str">
        <f aca="false">IF(OR(B964="",A964=""),"",C964*IFERROR(INDEX(Kişiler!$B$5:$B$44,MATCH(B964,Kişiler!$A$5:$A$44,0)),0)+D964*IFERROR(INDEX(Kişiler!$C$5:$C$44,MATCH(B964,Kişiler!$A$5:$A$44,0)),0))</f>
        <v/>
      </c>
    </row>
    <row r="965" customFormat="false" ht="15" hidden="false" customHeight="false" outlineLevel="0" collapsed="false">
      <c r="A965" s="12"/>
      <c r="B965" s="13"/>
      <c r="C965" s="14"/>
      <c r="D965" s="14"/>
      <c r="E965" s="13"/>
      <c r="F965" s="15"/>
      <c r="G965" s="16" t="str">
        <f aca="false">IF(OR(B965="",A965=""),"",C965*IFERROR(INDEX(Kişiler!$B$5:$B$44,MATCH(B965,Kişiler!$A$5:$A$44,0)),0)+D965*IFERROR(INDEX(Kişiler!$C$5:$C$44,MATCH(B965,Kişiler!$A$5:$A$44,0)),0))</f>
        <v/>
      </c>
    </row>
    <row r="966" customFormat="false" ht="15" hidden="false" customHeight="false" outlineLevel="0" collapsed="false">
      <c r="A966" s="12"/>
      <c r="B966" s="13"/>
      <c r="C966" s="14"/>
      <c r="D966" s="14"/>
      <c r="E966" s="13"/>
      <c r="F966" s="15"/>
      <c r="G966" s="16" t="str">
        <f aca="false">IF(OR(B966="",A966=""),"",C966*IFERROR(INDEX(Kişiler!$B$5:$B$44,MATCH(B966,Kişiler!$A$5:$A$44,0)),0)+D966*IFERROR(INDEX(Kişiler!$C$5:$C$44,MATCH(B966,Kişiler!$A$5:$A$44,0)),0))</f>
        <v/>
      </c>
    </row>
    <row r="967" customFormat="false" ht="15" hidden="false" customHeight="false" outlineLevel="0" collapsed="false">
      <c r="A967" s="12"/>
      <c r="B967" s="13"/>
      <c r="C967" s="14"/>
      <c r="D967" s="14"/>
      <c r="E967" s="13"/>
      <c r="F967" s="15"/>
      <c r="G967" s="16" t="str">
        <f aca="false">IF(OR(B967="",A967=""),"",C967*IFERROR(INDEX(Kişiler!$B$5:$B$44,MATCH(B967,Kişiler!$A$5:$A$44,0)),0)+D967*IFERROR(INDEX(Kişiler!$C$5:$C$44,MATCH(B967,Kişiler!$A$5:$A$44,0)),0))</f>
        <v/>
      </c>
    </row>
    <row r="968" customFormat="false" ht="15" hidden="false" customHeight="false" outlineLevel="0" collapsed="false">
      <c r="A968" s="12"/>
      <c r="B968" s="13"/>
      <c r="C968" s="14"/>
      <c r="D968" s="14"/>
      <c r="E968" s="13"/>
      <c r="F968" s="15"/>
      <c r="G968" s="16" t="str">
        <f aca="false">IF(OR(B968="",A968=""),"",C968*IFERROR(INDEX(Kişiler!$B$5:$B$44,MATCH(B968,Kişiler!$A$5:$A$44,0)),0)+D968*IFERROR(INDEX(Kişiler!$C$5:$C$44,MATCH(B968,Kişiler!$A$5:$A$44,0)),0))</f>
        <v/>
      </c>
    </row>
    <row r="969" customFormat="false" ht="15" hidden="false" customHeight="false" outlineLevel="0" collapsed="false">
      <c r="A969" s="12"/>
      <c r="B969" s="13"/>
      <c r="C969" s="14"/>
      <c r="D969" s="14"/>
      <c r="E969" s="13"/>
      <c r="F969" s="15"/>
      <c r="G969" s="16" t="str">
        <f aca="false">IF(OR(B969="",A969=""),"",C969*IFERROR(INDEX(Kişiler!$B$5:$B$44,MATCH(B969,Kişiler!$A$5:$A$44,0)),0)+D969*IFERROR(INDEX(Kişiler!$C$5:$C$44,MATCH(B969,Kişiler!$A$5:$A$44,0)),0))</f>
        <v/>
      </c>
    </row>
    <row r="970" customFormat="false" ht="15" hidden="false" customHeight="false" outlineLevel="0" collapsed="false">
      <c r="A970" s="12"/>
      <c r="B970" s="13"/>
      <c r="C970" s="14"/>
      <c r="D970" s="14"/>
      <c r="E970" s="13"/>
      <c r="F970" s="15"/>
      <c r="G970" s="16" t="str">
        <f aca="false">IF(OR(B970="",A970=""),"",C970*IFERROR(INDEX(Kişiler!$B$5:$B$44,MATCH(B970,Kişiler!$A$5:$A$44,0)),0)+D970*IFERROR(INDEX(Kişiler!$C$5:$C$44,MATCH(B970,Kişiler!$A$5:$A$44,0)),0))</f>
        <v/>
      </c>
    </row>
    <row r="971" customFormat="false" ht="15" hidden="false" customHeight="false" outlineLevel="0" collapsed="false">
      <c r="A971" s="12"/>
      <c r="B971" s="13"/>
      <c r="C971" s="14"/>
      <c r="D971" s="14"/>
      <c r="E971" s="13"/>
      <c r="F971" s="15"/>
      <c r="G971" s="16" t="str">
        <f aca="false">IF(OR(B971="",A971=""),"",C971*IFERROR(INDEX(Kişiler!$B$5:$B$44,MATCH(B971,Kişiler!$A$5:$A$44,0)),0)+D971*IFERROR(INDEX(Kişiler!$C$5:$C$44,MATCH(B971,Kişiler!$A$5:$A$44,0)),0))</f>
        <v/>
      </c>
    </row>
    <row r="972" customFormat="false" ht="15" hidden="false" customHeight="false" outlineLevel="0" collapsed="false">
      <c r="A972" s="12"/>
      <c r="B972" s="13"/>
      <c r="C972" s="14"/>
      <c r="D972" s="14"/>
      <c r="E972" s="13"/>
      <c r="F972" s="15"/>
      <c r="G972" s="16" t="str">
        <f aca="false">IF(OR(B972="",A972=""),"",C972*IFERROR(INDEX(Kişiler!$B$5:$B$44,MATCH(B972,Kişiler!$A$5:$A$44,0)),0)+D972*IFERROR(INDEX(Kişiler!$C$5:$C$44,MATCH(B972,Kişiler!$A$5:$A$44,0)),0))</f>
        <v/>
      </c>
    </row>
    <row r="973" customFormat="false" ht="15" hidden="false" customHeight="false" outlineLevel="0" collapsed="false">
      <c r="A973" s="12"/>
      <c r="B973" s="13"/>
      <c r="C973" s="14"/>
      <c r="D973" s="14"/>
      <c r="E973" s="13"/>
      <c r="F973" s="15"/>
      <c r="G973" s="16" t="str">
        <f aca="false">IF(OR(B973="",A973=""),"",C973*IFERROR(INDEX(Kişiler!$B$5:$B$44,MATCH(B973,Kişiler!$A$5:$A$44,0)),0)+D973*IFERROR(INDEX(Kişiler!$C$5:$C$44,MATCH(B973,Kişiler!$A$5:$A$44,0)),0))</f>
        <v/>
      </c>
    </row>
    <row r="974" customFormat="false" ht="15" hidden="false" customHeight="false" outlineLevel="0" collapsed="false">
      <c r="A974" s="12"/>
      <c r="B974" s="13"/>
      <c r="C974" s="14"/>
      <c r="D974" s="14"/>
      <c r="E974" s="13"/>
      <c r="F974" s="15"/>
      <c r="G974" s="16" t="str">
        <f aca="false">IF(OR(B974="",A974=""),"",C974*IFERROR(INDEX(Kişiler!$B$5:$B$44,MATCH(B974,Kişiler!$A$5:$A$44,0)),0)+D974*IFERROR(INDEX(Kişiler!$C$5:$C$44,MATCH(B974,Kişiler!$A$5:$A$44,0)),0))</f>
        <v/>
      </c>
    </row>
    <row r="975" customFormat="false" ht="15" hidden="false" customHeight="false" outlineLevel="0" collapsed="false">
      <c r="A975" s="12"/>
      <c r="B975" s="13"/>
      <c r="C975" s="14"/>
      <c r="D975" s="14"/>
      <c r="E975" s="13"/>
      <c r="F975" s="15"/>
      <c r="G975" s="16" t="str">
        <f aca="false">IF(OR(B975="",A975=""),"",C975*IFERROR(INDEX(Kişiler!$B$5:$B$44,MATCH(B975,Kişiler!$A$5:$A$44,0)),0)+D975*IFERROR(INDEX(Kişiler!$C$5:$C$44,MATCH(B975,Kişiler!$A$5:$A$44,0)),0))</f>
        <v/>
      </c>
    </row>
    <row r="976" customFormat="false" ht="15" hidden="false" customHeight="false" outlineLevel="0" collapsed="false">
      <c r="A976" s="12"/>
      <c r="B976" s="13"/>
      <c r="C976" s="14"/>
      <c r="D976" s="14"/>
      <c r="E976" s="13"/>
      <c r="F976" s="15"/>
      <c r="G976" s="16" t="str">
        <f aca="false">IF(OR(B976="",A976=""),"",C976*IFERROR(INDEX(Kişiler!$B$5:$B$44,MATCH(B976,Kişiler!$A$5:$A$44,0)),0)+D976*IFERROR(INDEX(Kişiler!$C$5:$C$44,MATCH(B976,Kişiler!$A$5:$A$44,0)),0))</f>
        <v/>
      </c>
    </row>
    <row r="977" customFormat="false" ht="15" hidden="false" customHeight="false" outlineLevel="0" collapsed="false">
      <c r="A977" s="12"/>
      <c r="B977" s="13"/>
      <c r="C977" s="14"/>
      <c r="D977" s="14"/>
      <c r="E977" s="13"/>
      <c r="F977" s="15"/>
      <c r="G977" s="16" t="str">
        <f aca="false">IF(OR(B977="",A977=""),"",C977*IFERROR(INDEX(Kişiler!$B$5:$B$44,MATCH(B977,Kişiler!$A$5:$A$44,0)),0)+D977*IFERROR(INDEX(Kişiler!$C$5:$C$44,MATCH(B977,Kişiler!$A$5:$A$44,0)),0))</f>
        <v/>
      </c>
    </row>
    <row r="978" customFormat="false" ht="15" hidden="false" customHeight="false" outlineLevel="0" collapsed="false">
      <c r="A978" s="12"/>
      <c r="B978" s="13"/>
      <c r="C978" s="14"/>
      <c r="D978" s="14"/>
      <c r="E978" s="13"/>
      <c r="F978" s="15"/>
      <c r="G978" s="16" t="str">
        <f aca="false">IF(OR(B978="",A978=""),"",C978*IFERROR(INDEX(Kişiler!$B$5:$B$44,MATCH(B978,Kişiler!$A$5:$A$44,0)),0)+D978*IFERROR(INDEX(Kişiler!$C$5:$C$44,MATCH(B978,Kişiler!$A$5:$A$44,0)),0))</f>
        <v/>
      </c>
    </row>
    <row r="979" customFormat="false" ht="15" hidden="false" customHeight="false" outlineLevel="0" collapsed="false">
      <c r="A979" s="12"/>
      <c r="B979" s="13"/>
      <c r="C979" s="14"/>
      <c r="D979" s="14"/>
      <c r="E979" s="13"/>
      <c r="F979" s="15"/>
      <c r="G979" s="16" t="str">
        <f aca="false">IF(OR(B979="",A979=""),"",C979*IFERROR(INDEX(Kişiler!$B$5:$B$44,MATCH(B979,Kişiler!$A$5:$A$44,0)),0)+D979*IFERROR(INDEX(Kişiler!$C$5:$C$44,MATCH(B979,Kişiler!$A$5:$A$44,0)),0))</f>
        <v/>
      </c>
    </row>
    <row r="980" customFormat="false" ht="15" hidden="false" customHeight="false" outlineLevel="0" collapsed="false">
      <c r="A980" s="12"/>
      <c r="B980" s="13"/>
      <c r="C980" s="14"/>
      <c r="D980" s="14"/>
      <c r="E980" s="13"/>
      <c r="F980" s="15"/>
      <c r="G980" s="16" t="str">
        <f aca="false">IF(OR(B980="",A980=""),"",C980*IFERROR(INDEX(Kişiler!$B$5:$B$44,MATCH(B980,Kişiler!$A$5:$A$44,0)),0)+D980*IFERROR(INDEX(Kişiler!$C$5:$C$44,MATCH(B980,Kişiler!$A$5:$A$44,0)),0))</f>
        <v/>
      </c>
    </row>
    <row r="981" customFormat="false" ht="15" hidden="false" customHeight="false" outlineLevel="0" collapsed="false">
      <c r="A981" s="12"/>
      <c r="B981" s="13"/>
      <c r="C981" s="14"/>
      <c r="D981" s="14"/>
      <c r="E981" s="13"/>
      <c r="F981" s="15"/>
      <c r="G981" s="16" t="str">
        <f aca="false">IF(OR(B981="",A981=""),"",C981*IFERROR(INDEX(Kişiler!$B$5:$B$44,MATCH(B981,Kişiler!$A$5:$A$44,0)),0)+D981*IFERROR(INDEX(Kişiler!$C$5:$C$44,MATCH(B981,Kişiler!$A$5:$A$44,0)),0))</f>
        <v/>
      </c>
    </row>
    <row r="982" customFormat="false" ht="15" hidden="false" customHeight="false" outlineLevel="0" collapsed="false">
      <c r="A982" s="12"/>
      <c r="B982" s="13"/>
      <c r="C982" s="14"/>
      <c r="D982" s="14"/>
      <c r="E982" s="13"/>
      <c r="F982" s="15"/>
      <c r="G982" s="16" t="str">
        <f aca="false">IF(OR(B982="",A982=""),"",C982*IFERROR(INDEX(Kişiler!$B$5:$B$44,MATCH(B982,Kişiler!$A$5:$A$44,0)),0)+D982*IFERROR(INDEX(Kişiler!$C$5:$C$44,MATCH(B982,Kişiler!$A$5:$A$44,0)),0))</f>
        <v/>
      </c>
    </row>
    <row r="983" customFormat="false" ht="15" hidden="false" customHeight="false" outlineLevel="0" collapsed="false">
      <c r="A983" s="12"/>
      <c r="B983" s="13"/>
      <c r="C983" s="14"/>
      <c r="D983" s="14"/>
      <c r="E983" s="13"/>
      <c r="F983" s="15"/>
      <c r="G983" s="16" t="str">
        <f aca="false">IF(OR(B983="",A983=""),"",C983*IFERROR(INDEX(Kişiler!$B$5:$B$44,MATCH(B983,Kişiler!$A$5:$A$44,0)),0)+D983*IFERROR(INDEX(Kişiler!$C$5:$C$44,MATCH(B983,Kişiler!$A$5:$A$44,0)),0))</f>
        <v/>
      </c>
    </row>
    <row r="984" customFormat="false" ht="15" hidden="false" customHeight="false" outlineLevel="0" collapsed="false">
      <c r="A984" s="12"/>
      <c r="B984" s="13"/>
      <c r="C984" s="14"/>
      <c r="D984" s="14"/>
      <c r="E984" s="13"/>
      <c r="F984" s="15"/>
      <c r="G984" s="16" t="str">
        <f aca="false">IF(OR(B984="",A984=""),"",C984*IFERROR(INDEX(Kişiler!$B$5:$B$44,MATCH(B984,Kişiler!$A$5:$A$44,0)),0)+D984*IFERROR(INDEX(Kişiler!$C$5:$C$44,MATCH(B984,Kişiler!$A$5:$A$44,0)),0))</f>
        <v/>
      </c>
    </row>
    <row r="985" customFormat="false" ht="15" hidden="false" customHeight="false" outlineLevel="0" collapsed="false">
      <c r="A985" s="12"/>
      <c r="B985" s="13"/>
      <c r="C985" s="14"/>
      <c r="D985" s="14"/>
      <c r="E985" s="13"/>
      <c r="F985" s="15"/>
      <c r="G985" s="16" t="str">
        <f aca="false">IF(OR(B985="",A985=""),"",C985*IFERROR(INDEX(Kişiler!$B$5:$B$44,MATCH(B985,Kişiler!$A$5:$A$44,0)),0)+D985*IFERROR(INDEX(Kişiler!$C$5:$C$44,MATCH(B985,Kişiler!$A$5:$A$44,0)),0))</f>
        <v/>
      </c>
    </row>
    <row r="986" customFormat="false" ht="15" hidden="false" customHeight="false" outlineLevel="0" collapsed="false">
      <c r="A986" s="12"/>
      <c r="B986" s="13"/>
      <c r="C986" s="14"/>
      <c r="D986" s="14"/>
      <c r="E986" s="13"/>
      <c r="F986" s="15"/>
      <c r="G986" s="16" t="str">
        <f aca="false">IF(OR(B986="",A986=""),"",C986*IFERROR(INDEX(Kişiler!$B$5:$B$44,MATCH(B986,Kişiler!$A$5:$A$44,0)),0)+D986*IFERROR(INDEX(Kişiler!$C$5:$C$44,MATCH(B986,Kişiler!$A$5:$A$44,0)),0))</f>
        <v/>
      </c>
    </row>
    <row r="987" customFormat="false" ht="15" hidden="false" customHeight="false" outlineLevel="0" collapsed="false">
      <c r="A987" s="12"/>
      <c r="B987" s="13"/>
      <c r="C987" s="14"/>
      <c r="D987" s="14"/>
      <c r="E987" s="13"/>
      <c r="F987" s="15"/>
      <c r="G987" s="16" t="str">
        <f aca="false">IF(OR(B987="",A987=""),"",C987*IFERROR(INDEX(Kişiler!$B$5:$B$44,MATCH(B987,Kişiler!$A$5:$A$44,0)),0)+D987*IFERROR(INDEX(Kişiler!$C$5:$C$44,MATCH(B987,Kişiler!$A$5:$A$44,0)),0))</f>
        <v/>
      </c>
    </row>
    <row r="988" customFormat="false" ht="15" hidden="false" customHeight="false" outlineLevel="0" collapsed="false">
      <c r="A988" s="12"/>
      <c r="B988" s="13"/>
      <c r="C988" s="14"/>
      <c r="D988" s="14"/>
      <c r="E988" s="13"/>
      <c r="F988" s="15"/>
      <c r="G988" s="16" t="str">
        <f aca="false">IF(OR(B988="",A988=""),"",C988*IFERROR(INDEX(Kişiler!$B$5:$B$44,MATCH(B988,Kişiler!$A$5:$A$44,0)),0)+D988*IFERROR(INDEX(Kişiler!$C$5:$C$44,MATCH(B988,Kişiler!$A$5:$A$44,0)),0))</f>
        <v/>
      </c>
    </row>
    <row r="989" customFormat="false" ht="15" hidden="false" customHeight="false" outlineLevel="0" collapsed="false">
      <c r="A989" s="12"/>
      <c r="B989" s="13"/>
      <c r="C989" s="14"/>
      <c r="D989" s="14"/>
      <c r="E989" s="13"/>
      <c r="F989" s="15"/>
      <c r="G989" s="16" t="str">
        <f aca="false">IF(OR(B989="",A989=""),"",C989*IFERROR(INDEX(Kişiler!$B$5:$B$44,MATCH(B989,Kişiler!$A$5:$A$44,0)),0)+D989*IFERROR(INDEX(Kişiler!$C$5:$C$44,MATCH(B989,Kişiler!$A$5:$A$44,0)),0))</f>
        <v/>
      </c>
    </row>
    <row r="990" customFormat="false" ht="15" hidden="false" customHeight="false" outlineLevel="0" collapsed="false">
      <c r="A990" s="12"/>
      <c r="B990" s="13"/>
      <c r="C990" s="14"/>
      <c r="D990" s="14"/>
      <c r="E990" s="13"/>
      <c r="F990" s="15"/>
      <c r="G990" s="16" t="str">
        <f aca="false">IF(OR(B990="",A990=""),"",C990*IFERROR(INDEX(Kişiler!$B$5:$B$44,MATCH(B990,Kişiler!$A$5:$A$44,0)),0)+D990*IFERROR(INDEX(Kişiler!$C$5:$C$44,MATCH(B990,Kişiler!$A$5:$A$44,0)),0))</f>
        <v/>
      </c>
    </row>
    <row r="991" customFormat="false" ht="15" hidden="false" customHeight="false" outlineLevel="0" collapsed="false">
      <c r="A991" s="12"/>
      <c r="B991" s="13"/>
      <c r="C991" s="14"/>
      <c r="D991" s="14"/>
      <c r="E991" s="13"/>
      <c r="F991" s="15"/>
      <c r="G991" s="16" t="str">
        <f aca="false">IF(OR(B991="",A991=""),"",C991*IFERROR(INDEX(Kişiler!$B$5:$B$44,MATCH(B991,Kişiler!$A$5:$A$44,0)),0)+D991*IFERROR(INDEX(Kişiler!$C$5:$C$44,MATCH(B991,Kişiler!$A$5:$A$44,0)),0))</f>
        <v/>
      </c>
    </row>
    <row r="992" customFormat="false" ht="15" hidden="false" customHeight="false" outlineLevel="0" collapsed="false">
      <c r="A992" s="12"/>
      <c r="B992" s="13"/>
      <c r="C992" s="14"/>
      <c r="D992" s="14"/>
      <c r="E992" s="13"/>
      <c r="F992" s="15"/>
      <c r="G992" s="16" t="str">
        <f aca="false">IF(OR(B992="",A992=""),"",C992*IFERROR(INDEX(Kişiler!$B$5:$B$44,MATCH(B992,Kişiler!$A$5:$A$44,0)),0)+D992*IFERROR(INDEX(Kişiler!$C$5:$C$44,MATCH(B992,Kişiler!$A$5:$A$44,0)),0))</f>
        <v/>
      </c>
    </row>
    <row r="993" customFormat="false" ht="15" hidden="false" customHeight="false" outlineLevel="0" collapsed="false">
      <c r="A993" s="12"/>
      <c r="B993" s="13"/>
      <c r="C993" s="14"/>
      <c r="D993" s="14"/>
      <c r="E993" s="13"/>
      <c r="F993" s="15"/>
      <c r="G993" s="16" t="str">
        <f aca="false">IF(OR(B993="",A993=""),"",C993*IFERROR(INDEX(Kişiler!$B$5:$B$44,MATCH(B993,Kişiler!$A$5:$A$44,0)),0)+D993*IFERROR(INDEX(Kişiler!$C$5:$C$44,MATCH(B993,Kişiler!$A$5:$A$44,0)),0))</f>
        <v/>
      </c>
    </row>
    <row r="994" customFormat="false" ht="15" hidden="false" customHeight="false" outlineLevel="0" collapsed="false">
      <c r="A994" s="12"/>
      <c r="B994" s="13"/>
      <c r="C994" s="14"/>
      <c r="D994" s="14"/>
      <c r="E994" s="13"/>
      <c r="F994" s="15"/>
      <c r="G994" s="16" t="str">
        <f aca="false">IF(OR(B994="",A994=""),"",C994*IFERROR(INDEX(Kişiler!$B$5:$B$44,MATCH(B994,Kişiler!$A$5:$A$44,0)),0)+D994*IFERROR(INDEX(Kişiler!$C$5:$C$44,MATCH(B994,Kişiler!$A$5:$A$44,0)),0))</f>
        <v/>
      </c>
    </row>
    <row r="995" customFormat="false" ht="15" hidden="false" customHeight="false" outlineLevel="0" collapsed="false">
      <c r="A995" s="12"/>
      <c r="B995" s="13"/>
      <c r="C995" s="14"/>
      <c r="D995" s="14"/>
      <c r="E995" s="13"/>
      <c r="F995" s="15"/>
      <c r="G995" s="16" t="str">
        <f aca="false">IF(OR(B995="",A995=""),"",C995*IFERROR(INDEX(Kişiler!$B$5:$B$44,MATCH(B995,Kişiler!$A$5:$A$44,0)),0)+D995*IFERROR(INDEX(Kişiler!$C$5:$C$44,MATCH(B995,Kişiler!$A$5:$A$44,0)),0))</f>
        <v/>
      </c>
    </row>
    <row r="996" customFormat="false" ht="15" hidden="false" customHeight="false" outlineLevel="0" collapsed="false">
      <c r="A996" s="12"/>
      <c r="B996" s="13"/>
      <c r="C996" s="14"/>
      <c r="D996" s="14"/>
      <c r="E996" s="13"/>
      <c r="F996" s="15"/>
      <c r="G996" s="16" t="str">
        <f aca="false">IF(OR(B996="",A996=""),"",C996*IFERROR(INDEX(Kişiler!$B$5:$B$44,MATCH(B996,Kişiler!$A$5:$A$44,0)),0)+D996*IFERROR(INDEX(Kişiler!$C$5:$C$44,MATCH(B996,Kişiler!$A$5:$A$44,0)),0))</f>
        <v/>
      </c>
    </row>
    <row r="997" customFormat="false" ht="15" hidden="false" customHeight="false" outlineLevel="0" collapsed="false">
      <c r="A997" s="12"/>
      <c r="B997" s="13"/>
      <c r="C997" s="14"/>
      <c r="D997" s="14"/>
      <c r="E997" s="13"/>
      <c r="F997" s="15"/>
      <c r="G997" s="16" t="str">
        <f aca="false">IF(OR(B997="",A997=""),"",C997*IFERROR(INDEX(Kişiler!$B$5:$B$44,MATCH(B997,Kişiler!$A$5:$A$44,0)),0)+D997*IFERROR(INDEX(Kişiler!$C$5:$C$44,MATCH(B997,Kişiler!$A$5:$A$44,0)),0))</f>
        <v/>
      </c>
    </row>
    <row r="998" customFormat="false" ht="15" hidden="false" customHeight="false" outlineLevel="0" collapsed="false">
      <c r="A998" s="12"/>
      <c r="B998" s="13"/>
      <c r="C998" s="14"/>
      <c r="D998" s="14"/>
      <c r="E998" s="13"/>
      <c r="F998" s="15"/>
      <c r="G998" s="16" t="str">
        <f aca="false">IF(OR(B998="",A998=""),"",C998*IFERROR(INDEX(Kişiler!$B$5:$B$44,MATCH(B998,Kişiler!$A$5:$A$44,0)),0)+D998*IFERROR(INDEX(Kişiler!$C$5:$C$44,MATCH(B998,Kişiler!$A$5:$A$44,0)),0))</f>
        <v/>
      </c>
    </row>
    <row r="999" customFormat="false" ht="15" hidden="false" customHeight="false" outlineLevel="0" collapsed="false">
      <c r="A999" s="12"/>
      <c r="B999" s="13"/>
      <c r="C999" s="14"/>
      <c r="D999" s="14"/>
      <c r="E999" s="13"/>
      <c r="F999" s="15"/>
      <c r="G999" s="16" t="str">
        <f aca="false">IF(OR(B999="",A999=""),"",C999*IFERROR(INDEX(Kişiler!$B$5:$B$44,MATCH(B999,Kişiler!$A$5:$A$44,0)),0)+D999*IFERROR(INDEX(Kişiler!$C$5:$C$44,MATCH(B999,Kişiler!$A$5:$A$44,0)),0))</f>
        <v/>
      </c>
    </row>
    <row r="1000" customFormat="false" ht="15" hidden="false" customHeight="false" outlineLevel="0" collapsed="false">
      <c r="A1000" s="12"/>
      <c r="B1000" s="13"/>
      <c r="C1000" s="14"/>
      <c r="D1000" s="14"/>
      <c r="E1000" s="13"/>
      <c r="F1000" s="15"/>
      <c r="G1000" s="16" t="str">
        <f aca="false">IF(OR(B1000="",A1000=""),"",C1000*IFERROR(INDEX(Kişiler!$B$5:$B$44,MATCH(B1000,Kişiler!$A$5:$A$44,0)),0)+D1000*IFERROR(INDEX(Kişiler!$C$5:$C$44,MATCH(B1000,Kişiler!$A$5:$A$44,0)),0))</f>
        <v/>
      </c>
    </row>
    <row r="1001" customFormat="false" ht="15" hidden="false" customHeight="false" outlineLevel="0" collapsed="false">
      <c r="A1001" s="12"/>
      <c r="B1001" s="13"/>
      <c r="C1001" s="14"/>
      <c r="D1001" s="14"/>
      <c r="E1001" s="13"/>
      <c r="F1001" s="15"/>
      <c r="G1001" s="16" t="str">
        <f aca="false">IF(OR(B1001="",A1001=""),"",C1001*IFERROR(INDEX(Kişiler!$B$5:$B$44,MATCH(B1001,Kişiler!$A$5:$A$44,0)),0)+D1001*IFERROR(INDEX(Kişiler!$C$5:$C$44,MATCH(B1001,Kişiler!$A$5:$A$44,0)),0))</f>
        <v/>
      </c>
    </row>
    <row r="1002" customFormat="false" ht="15" hidden="false" customHeight="false" outlineLevel="0" collapsed="false">
      <c r="A1002" s="12"/>
      <c r="B1002" s="13"/>
      <c r="C1002" s="14"/>
      <c r="D1002" s="14"/>
      <c r="E1002" s="13"/>
      <c r="F1002" s="15"/>
      <c r="G1002" s="16" t="str">
        <f aca="false">IF(OR(B1002="",A1002=""),"",C1002*IFERROR(INDEX(Kişiler!$B$5:$B$44,MATCH(B1002,Kişiler!$A$5:$A$44,0)),0)+D1002*IFERROR(INDEX(Kişiler!$C$5:$C$44,MATCH(B1002,Kişiler!$A$5:$A$44,0)),0))</f>
        <v/>
      </c>
    </row>
    <row r="1003" customFormat="false" ht="15" hidden="false" customHeight="false" outlineLevel="0" collapsed="false">
      <c r="A1003" s="12"/>
      <c r="B1003" s="13"/>
      <c r="C1003" s="14"/>
      <c r="D1003" s="14"/>
      <c r="E1003" s="13"/>
      <c r="F1003" s="15"/>
      <c r="G1003" s="16" t="str">
        <f aca="false">IF(OR(B1003="",A1003=""),"",C1003*IFERROR(INDEX(Kişiler!$B$5:$B$44,MATCH(B1003,Kişiler!$A$5:$A$44,0)),0)+D1003*IFERROR(INDEX(Kişiler!$C$5:$C$44,MATCH(B1003,Kişiler!$A$5:$A$44,0)),0))</f>
        <v/>
      </c>
    </row>
    <row r="1004" customFormat="false" ht="15" hidden="false" customHeight="false" outlineLevel="0" collapsed="false">
      <c r="A1004" s="12"/>
      <c r="B1004" s="13"/>
      <c r="C1004" s="14"/>
      <c r="D1004" s="14"/>
      <c r="E1004" s="13"/>
      <c r="F1004" s="15"/>
      <c r="G1004" s="16" t="str">
        <f aca="false">IF(OR(B1004="",A1004=""),"",C1004*IFERROR(INDEX(Kişiler!$B$5:$B$44,MATCH(B1004,Kişiler!$A$5:$A$44,0)),0)+D1004*IFERROR(INDEX(Kişiler!$C$5:$C$44,MATCH(B1004,Kişiler!$A$5:$A$44,0)),0))</f>
        <v/>
      </c>
    </row>
    <row r="1005" customFormat="false" ht="15" hidden="false" customHeight="false" outlineLevel="0" collapsed="false">
      <c r="A1005" s="12"/>
      <c r="B1005" s="13"/>
      <c r="C1005" s="14"/>
      <c r="D1005" s="14"/>
      <c r="E1005" s="13"/>
      <c r="F1005" s="15"/>
      <c r="G1005" s="16" t="str">
        <f aca="false">IF(OR(B1005="",A1005=""),"",C1005*IFERROR(INDEX(Kişiler!$B$5:$B$44,MATCH(B1005,Kişiler!$A$5:$A$44,0)),0)+D1005*IFERROR(INDEX(Kişiler!$C$5:$C$44,MATCH(B1005,Kişiler!$A$5:$A$44,0)),0))</f>
        <v/>
      </c>
    </row>
    <row r="1006" customFormat="false" ht="15" hidden="false" customHeight="false" outlineLevel="0" collapsed="false">
      <c r="A1006" s="12"/>
      <c r="B1006" s="13"/>
      <c r="C1006" s="14"/>
      <c r="D1006" s="14"/>
      <c r="E1006" s="13"/>
      <c r="F1006" s="15"/>
      <c r="G1006" s="16" t="str">
        <f aca="false">IF(OR(B1006="",A1006=""),"",C1006*IFERROR(INDEX(Kişiler!$B$5:$B$44,MATCH(B1006,Kişiler!$A$5:$A$44,0)),0)+D1006*IFERROR(INDEX(Kişiler!$C$5:$C$44,MATCH(B1006,Kişiler!$A$5:$A$44,0)),0))</f>
        <v/>
      </c>
    </row>
    <row r="1007" customFormat="false" ht="15" hidden="false" customHeight="false" outlineLevel="0" collapsed="false">
      <c r="A1007" s="12"/>
      <c r="B1007" s="13"/>
      <c r="C1007" s="14"/>
      <c r="D1007" s="14"/>
      <c r="E1007" s="13"/>
      <c r="F1007" s="15"/>
      <c r="G1007" s="16" t="str">
        <f aca="false">IF(OR(B1007="",A1007=""),"",C1007*IFERROR(INDEX(Kişiler!$B$5:$B$44,MATCH(B1007,Kişiler!$A$5:$A$44,0)),0)+D1007*IFERROR(INDEX(Kişiler!$C$5:$C$44,MATCH(B1007,Kişiler!$A$5:$A$44,0)),0))</f>
        <v/>
      </c>
    </row>
    <row r="1008" customFormat="false" ht="15" hidden="false" customHeight="false" outlineLevel="0" collapsed="false">
      <c r="A1008" s="12"/>
      <c r="B1008" s="13"/>
      <c r="C1008" s="14"/>
      <c r="D1008" s="14"/>
      <c r="E1008" s="13"/>
      <c r="F1008" s="15"/>
      <c r="G1008" s="16" t="str">
        <f aca="false">IF(OR(B1008="",A1008=""),"",C1008*IFERROR(INDEX(Kişiler!$B$5:$B$44,MATCH(B1008,Kişiler!$A$5:$A$44,0)),0)+D1008*IFERROR(INDEX(Kişiler!$C$5:$C$44,MATCH(B1008,Kişiler!$A$5:$A$44,0)),0))</f>
        <v/>
      </c>
    </row>
    <row r="1009" customFormat="false" ht="15" hidden="false" customHeight="false" outlineLevel="0" collapsed="false">
      <c r="A1009" s="12"/>
      <c r="B1009" s="13"/>
      <c r="C1009" s="14"/>
      <c r="D1009" s="14"/>
      <c r="E1009" s="13"/>
      <c r="F1009" s="15"/>
      <c r="G1009" s="16" t="str">
        <f aca="false">IF(OR(B1009="",A1009=""),"",C1009*IFERROR(INDEX(Kişiler!$B$5:$B$44,MATCH(B1009,Kişiler!$A$5:$A$44,0)),0)+D1009*IFERROR(INDEX(Kişiler!$C$5:$C$44,MATCH(B1009,Kişiler!$A$5:$A$44,0)),0))</f>
        <v/>
      </c>
    </row>
    <row r="1010" customFormat="false" ht="15" hidden="false" customHeight="false" outlineLevel="0" collapsed="false">
      <c r="A1010" s="12"/>
      <c r="B1010" s="13"/>
      <c r="C1010" s="14"/>
      <c r="D1010" s="14"/>
      <c r="E1010" s="13"/>
      <c r="F1010" s="15"/>
      <c r="G1010" s="16" t="str">
        <f aca="false">IF(OR(B1010="",A1010=""),"",C1010*IFERROR(INDEX(Kişiler!$B$5:$B$44,MATCH(B1010,Kişiler!$A$5:$A$44,0)),0)+D1010*IFERROR(INDEX(Kişiler!$C$5:$C$44,MATCH(B1010,Kişiler!$A$5:$A$44,0)),0))</f>
        <v/>
      </c>
    </row>
    <row r="1011" customFormat="false" ht="15" hidden="false" customHeight="false" outlineLevel="0" collapsed="false">
      <c r="A1011" s="12"/>
      <c r="B1011" s="13"/>
      <c r="C1011" s="14"/>
      <c r="D1011" s="14"/>
      <c r="E1011" s="13"/>
      <c r="F1011" s="15"/>
      <c r="G1011" s="16" t="str">
        <f aca="false">IF(OR(B1011="",A1011=""),"",C1011*IFERROR(INDEX(Kişiler!$B$5:$B$44,MATCH(B1011,Kişiler!$A$5:$A$44,0)),0)+D1011*IFERROR(INDEX(Kişiler!$C$5:$C$44,MATCH(B1011,Kişiler!$A$5:$A$44,0)),0))</f>
        <v/>
      </c>
    </row>
    <row r="1012" customFormat="false" ht="15" hidden="false" customHeight="false" outlineLevel="0" collapsed="false">
      <c r="A1012" s="12"/>
      <c r="B1012" s="13"/>
      <c r="C1012" s="14"/>
      <c r="D1012" s="14"/>
      <c r="E1012" s="13"/>
      <c r="F1012" s="15"/>
      <c r="G1012" s="16" t="str">
        <f aca="false">IF(OR(B1012="",A1012=""),"",C1012*IFERROR(INDEX(Kişiler!$B$5:$B$44,MATCH(B1012,Kişiler!$A$5:$A$44,0)),0)+D1012*IFERROR(INDEX(Kişiler!$C$5:$C$44,MATCH(B1012,Kişiler!$A$5:$A$44,0)),0))</f>
        <v/>
      </c>
    </row>
    <row r="1013" customFormat="false" ht="15" hidden="false" customHeight="false" outlineLevel="0" collapsed="false">
      <c r="A1013" s="12"/>
      <c r="B1013" s="13"/>
      <c r="C1013" s="14"/>
      <c r="D1013" s="14"/>
      <c r="E1013" s="13"/>
      <c r="F1013" s="15"/>
      <c r="G1013" s="16" t="str">
        <f aca="false">IF(OR(B1013="",A1013=""),"",C1013*IFERROR(INDEX(Kişiler!$B$5:$B$44,MATCH(B1013,Kişiler!$A$5:$A$44,0)),0)+D1013*IFERROR(INDEX(Kişiler!$C$5:$C$44,MATCH(B1013,Kişiler!$A$5:$A$44,0)),0))</f>
        <v/>
      </c>
    </row>
    <row r="1014" customFormat="false" ht="15" hidden="false" customHeight="false" outlineLevel="0" collapsed="false">
      <c r="A1014" s="12"/>
      <c r="B1014" s="13"/>
      <c r="C1014" s="14"/>
      <c r="D1014" s="14"/>
      <c r="E1014" s="13"/>
      <c r="F1014" s="15"/>
      <c r="G1014" s="16" t="str">
        <f aca="false">IF(OR(B1014="",A1014=""),"",C1014*IFERROR(INDEX(Kişiler!$B$5:$B$44,MATCH(B1014,Kişiler!$A$5:$A$44,0)),0)+D1014*IFERROR(INDEX(Kişiler!$C$5:$C$44,MATCH(B1014,Kişiler!$A$5:$A$44,0)),0))</f>
        <v/>
      </c>
    </row>
    <row r="1015" customFormat="false" ht="15" hidden="false" customHeight="false" outlineLevel="0" collapsed="false">
      <c r="A1015" s="12"/>
      <c r="B1015" s="13"/>
      <c r="C1015" s="14"/>
      <c r="D1015" s="14"/>
      <c r="E1015" s="13"/>
      <c r="F1015" s="15"/>
      <c r="G1015" s="16" t="str">
        <f aca="false">IF(OR(B1015="",A1015=""),"",C1015*IFERROR(INDEX(Kişiler!$B$5:$B$44,MATCH(B1015,Kişiler!$A$5:$A$44,0)),0)+D1015*IFERROR(INDEX(Kişiler!$C$5:$C$44,MATCH(B1015,Kişiler!$A$5:$A$44,0)),0))</f>
        <v/>
      </c>
    </row>
    <row r="1016" customFormat="false" ht="15" hidden="false" customHeight="false" outlineLevel="0" collapsed="false">
      <c r="A1016" s="12"/>
      <c r="B1016" s="13"/>
      <c r="C1016" s="14"/>
      <c r="D1016" s="14"/>
      <c r="E1016" s="13"/>
      <c r="F1016" s="15"/>
      <c r="G1016" s="16" t="str">
        <f aca="false">IF(OR(B1016="",A1016=""),"",C1016*IFERROR(INDEX(Kişiler!$B$5:$B$44,MATCH(B1016,Kişiler!$A$5:$A$44,0)),0)+D1016*IFERROR(INDEX(Kişiler!$C$5:$C$44,MATCH(B1016,Kişiler!$A$5:$A$44,0)),0))</f>
        <v/>
      </c>
    </row>
    <row r="1017" customFormat="false" ht="15" hidden="false" customHeight="false" outlineLevel="0" collapsed="false">
      <c r="A1017" s="12"/>
      <c r="B1017" s="13"/>
      <c r="C1017" s="14"/>
      <c r="D1017" s="14"/>
      <c r="E1017" s="13"/>
      <c r="F1017" s="15"/>
      <c r="G1017" s="16" t="str">
        <f aca="false">IF(OR(B1017="",A1017=""),"",C1017*IFERROR(INDEX(Kişiler!$B$5:$B$44,MATCH(B1017,Kişiler!$A$5:$A$44,0)),0)+D1017*IFERROR(INDEX(Kişiler!$C$5:$C$44,MATCH(B1017,Kişiler!$A$5:$A$44,0)),0))</f>
        <v/>
      </c>
    </row>
    <row r="1018" customFormat="false" ht="15" hidden="false" customHeight="false" outlineLevel="0" collapsed="false">
      <c r="A1018" s="12"/>
      <c r="B1018" s="13"/>
      <c r="C1018" s="14"/>
      <c r="D1018" s="14"/>
      <c r="E1018" s="13"/>
      <c r="F1018" s="15"/>
      <c r="G1018" s="16" t="str">
        <f aca="false">IF(OR(B1018="",A1018=""),"",C1018*IFERROR(INDEX(Kişiler!$B$5:$B$44,MATCH(B1018,Kişiler!$A$5:$A$44,0)),0)+D1018*IFERROR(INDEX(Kişiler!$C$5:$C$44,MATCH(B1018,Kişiler!$A$5:$A$44,0)),0))</f>
        <v/>
      </c>
    </row>
    <row r="1019" customFormat="false" ht="15" hidden="false" customHeight="false" outlineLevel="0" collapsed="false">
      <c r="A1019" s="12"/>
      <c r="B1019" s="13"/>
      <c r="C1019" s="14"/>
      <c r="D1019" s="14"/>
      <c r="E1019" s="13"/>
      <c r="F1019" s="15"/>
      <c r="G1019" s="16" t="str">
        <f aca="false">IF(OR(B1019="",A1019=""),"",C1019*IFERROR(INDEX(Kişiler!$B$5:$B$44,MATCH(B1019,Kişiler!$A$5:$A$44,0)),0)+D1019*IFERROR(INDEX(Kişiler!$C$5:$C$44,MATCH(B1019,Kişiler!$A$5:$A$44,0)),0))</f>
        <v/>
      </c>
    </row>
    <row r="1020" customFormat="false" ht="15" hidden="false" customHeight="false" outlineLevel="0" collapsed="false">
      <c r="A1020" s="12"/>
      <c r="B1020" s="13"/>
      <c r="C1020" s="14"/>
      <c r="D1020" s="14"/>
      <c r="E1020" s="13"/>
      <c r="F1020" s="15"/>
      <c r="G1020" s="16" t="str">
        <f aca="false">IF(OR(B1020="",A1020=""),"",C1020*IFERROR(INDEX(Kişiler!$B$5:$B$44,MATCH(B1020,Kişiler!$A$5:$A$44,0)),0)+D1020*IFERROR(INDEX(Kişiler!$C$5:$C$44,MATCH(B1020,Kişiler!$A$5:$A$44,0)),0))</f>
        <v/>
      </c>
    </row>
    <row r="1021" customFormat="false" ht="15" hidden="false" customHeight="false" outlineLevel="0" collapsed="false">
      <c r="A1021" s="12"/>
      <c r="B1021" s="13"/>
      <c r="C1021" s="14"/>
      <c r="D1021" s="14"/>
      <c r="E1021" s="13"/>
      <c r="F1021" s="15"/>
      <c r="G1021" s="16" t="str">
        <f aca="false">IF(OR(B1021="",A1021=""),"",C1021*IFERROR(INDEX(Kişiler!$B$5:$B$44,MATCH(B1021,Kişiler!$A$5:$A$44,0)),0)+D1021*IFERROR(INDEX(Kişiler!$C$5:$C$44,MATCH(B1021,Kişiler!$A$5:$A$44,0)),0))</f>
        <v/>
      </c>
    </row>
    <row r="1022" customFormat="false" ht="15" hidden="false" customHeight="false" outlineLevel="0" collapsed="false">
      <c r="A1022" s="12"/>
      <c r="B1022" s="13"/>
      <c r="C1022" s="14"/>
      <c r="D1022" s="14"/>
      <c r="E1022" s="13"/>
      <c r="F1022" s="15"/>
      <c r="G1022" s="16" t="str">
        <f aca="false">IF(OR(B1022="",A1022=""),"",C1022*IFERROR(INDEX(Kişiler!$B$5:$B$44,MATCH(B1022,Kişiler!$A$5:$A$44,0)),0)+D1022*IFERROR(INDEX(Kişiler!$C$5:$C$44,MATCH(B1022,Kişiler!$A$5:$A$44,0)),0))</f>
        <v/>
      </c>
    </row>
    <row r="1023" customFormat="false" ht="15" hidden="false" customHeight="false" outlineLevel="0" collapsed="false">
      <c r="A1023" s="12"/>
      <c r="B1023" s="13"/>
      <c r="C1023" s="14"/>
      <c r="D1023" s="14"/>
      <c r="E1023" s="13"/>
      <c r="F1023" s="15"/>
      <c r="G1023" s="16" t="str">
        <f aca="false">IF(OR(B1023="",A1023=""),"",C1023*IFERROR(INDEX(Kişiler!$B$5:$B$44,MATCH(B1023,Kişiler!$A$5:$A$44,0)),0)+D1023*IFERROR(INDEX(Kişiler!$C$5:$C$44,MATCH(B1023,Kişiler!$A$5:$A$44,0)),0))</f>
        <v/>
      </c>
    </row>
    <row r="1024" customFormat="false" ht="15" hidden="false" customHeight="false" outlineLevel="0" collapsed="false">
      <c r="A1024" s="12"/>
      <c r="B1024" s="13"/>
      <c r="C1024" s="14"/>
      <c r="D1024" s="14"/>
      <c r="E1024" s="13"/>
      <c r="F1024" s="15"/>
      <c r="G1024" s="16" t="str">
        <f aca="false">IF(OR(B1024="",A1024=""),"",C1024*IFERROR(INDEX(Kişiler!$B$5:$B$44,MATCH(B1024,Kişiler!$A$5:$A$44,0)),0)+D1024*IFERROR(INDEX(Kişiler!$C$5:$C$44,MATCH(B1024,Kişiler!$A$5:$A$44,0)),0))</f>
        <v/>
      </c>
    </row>
    <row r="1025" customFormat="false" ht="15" hidden="false" customHeight="false" outlineLevel="0" collapsed="false">
      <c r="A1025" s="12"/>
      <c r="B1025" s="13"/>
      <c r="C1025" s="14"/>
      <c r="D1025" s="14"/>
      <c r="E1025" s="13"/>
      <c r="F1025" s="15"/>
      <c r="G1025" s="16" t="str">
        <f aca="false">IF(OR(B1025="",A1025=""),"",C1025*IFERROR(INDEX(Kişiler!$B$5:$B$44,MATCH(B1025,Kişiler!$A$5:$A$44,0)),0)+D1025*IFERROR(INDEX(Kişiler!$C$5:$C$44,MATCH(B1025,Kişiler!$A$5:$A$44,0)),0))</f>
        <v/>
      </c>
    </row>
    <row r="1026" customFormat="false" ht="15" hidden="false" customHeight="false" outlineLevel="0" collapsed="false">
      <c r="A1026" s="12"/>
      <c r="B1026" s="13"/>
      <c r="C1026" s="14"/>
      <c r="D1026" s="14"/>
      <c r="E1026" s="13"/>
      <c r="F1026" s="15"/>
      <c r="G1026" s="16" t="str">
        <f aca="false">IF(OR(B1026="",A1026=""),"",C1026*IFERROR(INDEX(Kişiler!$B$5:$B$44,MATCH(B1026,Kişiler!$A$5:$A$44,0)),0)+D1026*IFERROR(INDEX(Kişiler!$C$5:$C$44,MATCH(B1026,Kişiler!$A$5:$A$44,0)),0))</f>
        <v/>
      </c>
    </row>
    <row r="1027" customFormat="false" ht="15" hidden="false" customHeight="false" outlineLevel="0" collapsed="false">
      <c r="A1027" s="12"/>
      <c r="B1027" s="13"/>
      <c r="C1027" s="14"/>
      <c r="D1027" s="14"/>
      <c r="E1027" s="13"/>
      <c r="F1027" s="15"/>
      <c r="G1027" s="16" t="str">
        <f aca="false">IF(OR(B1027="",A1027=""),"",C1027*IFERROR(INDEX(Kişiler!$B$5:$B$44,MATCH(B1027,Kişiler!$A$5:$A$44,0)),0)+D1027*IFERROR(INDEX(Kişiler!$C$5:$C$44,MATCH(B1027,Kişiler!$A$5:$A$44,0)),0))</f>
        <v/>
      </c>
    </row>
    <row r="1028" customFormat="false" ht="15" hidden="false" customHeight="false" outlineLevel="0" collapsed="false">
      <c r="A1028" s="12"/>
      <c r="B1028" s="13"/>
      <c r="C1028" s="14"/>
      <c r="D1028" s="14"/>
      <c r="E1028" s="13"/>
      <c r="F1028" s="15"/>
      <c r="G1028" s="16" t="str">
        <f aca="false">IF(OR(B1028="",A1028=""),"",C1028*IFERROR(INDEX(Kişiler!$B$5:$B$44,MATCH(B1028,Kişiler!$A$5:$A$44,0)),0)+D1028*IFERROR(INDEX(Kişiler!$C$5:$C$44,MATCH(B1028,Kişiler!$A$5:$A$44,0)),0))</f>
        <v/>
      </c>
    </row>
    <row r="1029" customFormat="false" ht="15" hidden="false" customHeight="false" outlineLevel="0" collapsed="false">
      <c r="A1029" s="12"/>
      <c r="B1029" s="13"/>
      <c r="C1029" s="14"/>
      <c r="D1029" s="14"/>
      <c r="E1029" s="13"/>
      <c r="F1029" s="15"/>
      <c r="G1029" s="16" t="str">
        <f aca="false">IF(OR(B1029="",A1029=""),"",C1029*IFERROR(INDEX(Kişiler!$B$5:$B$44,MATCH(B1029,Kişiler!$A$5:$A$44,0)),0)+D1029*IFERROR(INDEX(Kişiler!$C$5:$C$44,MATCH(B1029,Kişiler!$A$5:$A$44,0)),0))</f>
        <v/>
      </c>
    </row>
    <row r="1030" customFormat="false" ht="15" hidden="false" customHeight="false" outlineLevel="0" collapsed="false">
      <c r="A1030" s="12"/>
      <c r="B1030" s="13"/>
      <c r="C1030" s="14"/>
      <c r="D1030" s="14"/>
      <c r="E1030" s="13"/>
      <c r="F1030" s="15"/>
      <c r="G1030" s="16" t="str">
        <f aca="false">IF(OR(B1030="",A1030=""),"",C1030*IFERROR(INDEX(Kişiler!$B$5:$B$44,MATCH(B1030,Kişiler!$A$5:$A$44,0)),0)+D1030*IFERROR(INDEX(Kişiler!$C$5:$C$44,MATCH(B1030,Kişiler!$A$5:$A$44,0)),0))</f>
        <v/>
      </c>
    </row>
    <row r="1031" customFormat="false" ht="15" hidden="false" customHeight="false" outlineLevel="0" collapsed="false">
      <c r="A1031" s="12"/>
      <c r="B1031" s="13"/>
      <c r="C1031" s="14"/>
      <c r="D1031" s="14"/>
      <c r="E1031" s="13"/>
      <c r="F1031" s="15"/>
      <c r="G1031" s="16" t="str">
        <f aca="false">IF(OR(B1031="",A1031=""),"",C1031*IFERROR(INDEX(Kişiler!$B$5:$B$44,MATCH(B1031,Kişiler!$A$5:$A$44,0)),0)+D1031*IFERROR(INDEX(Kişiler!$C$5:$C$44,MATCH(B1031,Kişiler!$A$5:$A$44,0)),0))</f>
        <v/>
      </c>
    </row>
    <row r="1032" customFormat="false" ht="15" hidden="false" customHeight="false" outlineLevel="0" collapsed="false">
      <c r="A1032" s="12"/>
      <c r="B1032" s="13"/>
      <c r="C1032" s="14"/>
      <c r="D1032" s="14"/>
      <c r="E1032" s="13"/>
      <c r="F1032" s="15"/>
      <c r="G1032" s="16" t="str">
        <f aca="false">IF(OR(B1032="",A1032=""),"",C1032*IFERROR(INDEX(Kişiler!$B$5:$B$44,MATCH(B1032,Kişiler!$A$5:$A$44,0)),0)+D1032*IFERROR(INDEX(Kişiler!$C$5:$C$44,MATCH(B1032,Kişiler!$A$5:$A$44,0)),0))</f>
        <v/>
      </c>
    </row>
    <row r="1033" customFormat="false" ht="15" hidden="false" customHeight="false" outlineLevel="0" collapsed="false">
      <c r="A1033" s="12"/>
      <c r="B1033" s="13"/>
      <c r="C1033" s="14"/>
      <c r="D1033" s="14"/>
      <c r="E1033" s="13"/>
      <c r="F1033" s="15"/>
      <c r="G1033" s="16" t="str">
        <f aca="false">IF(OR(B1033="",A1033=""),"",C1033*IFERROR(INDEX(Kişiler!$B$5:$B$44,MATCH(B1033,Kişiler!$A$5:$A$44,0)),0)+D1033*IFERROR(INDEX(Kişiler!$C$5:$C$44,MATCH(B1033,Kişiler!$A$5:$A$44,0)),0))</f>
        <v/>
      </c>
    </row>
    <row r="1034" customFormat="false" ht="15" hidden="false" customHeight="false" outlineLevel="0" collapsed="false">
      <c r="A1034" s="12"/>
      <c r="B1034" s="13"/>
      <c r="C1034" s="14"/>
      <c r="D1034" s="14"/>
      <c r="E1034" s="13"/>
      <c r="F1034" s="15"/>
      <c r="G1034" s="16" t="str">
        <f aca="false">IF(OR(B1034="",A1034=""),"",C1034*IFERROR(INDEX(Kişiler!$B$5:$B$44,MATCH(B1034,Kişiler!$A$5:$A$44,0)),0)+D1034*IFERROR(INDEX(Kişiler!$C$5:$C$44,MATCH(B1034,Kişiler!$A$5:$A$44,0)),0))</f>
        <v/>
      </c>
    </row>
    <row r="1035" customFormat="false" ht="15" hidden="false" customHeight="false" outlineLevel="0" collapsed="false">
      <c r="A1035" s="12"/>
      <c r="B1035" s="13"/>
      <c r="C1035" s="14"/>
      <c r="D1035" s="14"/>
      <c r="E1035" s="13"/>
      <c r="F1035" s="15"/>
      <c r="G1035" s="16" t="str">
        <f aca="false">IF(OR(B1035="",A1035=""),"",C1035*IFERROR(INDEX(Kişiler!$B$5:$B$44,MATCH(B1035,Kişiler!$A$5:$A$44,0)),0)+D1035*IFERROR(INDEX(Kişiler!$C$5:$C$44,MATCH(B1035,Kişiler!$A$5:$A$44,0)),0))</f>
        <v/>
      </c>
    </row>
    <row r="1036" customFormat="false" ht="15" hidden="false" customHeight="false" outlineLevel="0" collapsed="false">
      <c r="A1036" s="12"/>
      <c r="B1036" s="13"/>
      <c r="C1036" s="14"/>
      <c r="D1036" s="14"/>
      <c r="E1036" s="13"/>
      <c r="F1036" s="15"/>
      <c r="G1036" s="16" t="str">
        <f aca="false">IF(OR(B1036="",A1036=""),"",C1036*IFERROR(INDEX(Kişiler!$B$5:$B$44,MATCH(B1036,Kişiler!$A$5:$A$44,0)),0)+D1036*IFERROR(INDEX(Kişiler!$C$5:$C$44,MATCH(B1036,Kişiler!$A$5:$A$44,0)),0))</f>
        <v/>
      </c>
    </row>
    <row r="1037" customFormat="false" ht="15" hidden="false" customHeight="false" outlineLevel="0" collapsed="false">
      <c r="A1037" s="12"/>
      <c r="B1037" s="13"/>
      <c r="C1037" s="14"/>
      <c r="D1037" s="14"/>
      <c r="E1037" s="13"/>
      <c r="F1037" s="15"/>
      <c r="G1037" s="16" t="str">
        <f aca="false">IF(OR(B1037="",A1037=""),"",C1037*IFERROR(INDEX(Kişiler!$B$5:$B$44,MATCH(B1037,Kişiler!$A$5:$A$44,0)),0)+D1037*IFERROR(INDEX(Kişiler!$C$5:$C$44,MATCH(B1037,Kişiler!$A$5:$A$44,0)),0))</f>
        <v/>
      </c>
    </row>
    <row r="1038" customFormat="false" ht="15" hidden="false" customHeight="false" outlineLevel="0" collapsed="false">
      <c r="A1038" s="12"/>
      <c r="B1038" s="13"/>
      <c r="C1038" s="14"/>
      <c r="D1038" s="14"/>
      <c r="E1038" s="13"/>
      <c r="F1038" s="15"/>
      <c r="G1038" s="16" t="str">
        <f aca="false">IF(OR(B1038="",A1038=""),"",C1038*IFERROR(INDEX(Kişiler!$B$5:$B$44,MATCH(B1038,Kişiler!$A$5:$A$44,0)),0)+D1038*IFERROR(INDEX(Kişiler!$C$5:$C$44,MATCH(B1038,Kişiler!$A$5:$A$44,0)),0))</f>
        <v/>
      </c>
    </row>
    <row r="1039" customFormat="false" ht="15" hidden="false" customHeight="false" outlineLevel="0" collapsed="false">
      <c r="A1039" s="12"/>
      <c r="B1039" s="13"/>
      <c r="C1039" s="14"/>
      <c r="D1039" s="14"/>
      <c r="E1039" s="13"/>
      <c r="F1039" s="15"/>
      <c r="G1039" s="16" t="str">
        <f aca="false">IF(OR(B1039="",A1039=""),"",C1039*IFERROR(INDEX(Kişiler!$B$5:$B$44,MATCH(B1039,Kişiler!$A$5:$A$44,0)),0)+D1039*IFERROR(INDEX(Kişiler!$C$5:$C$44,MATCH(B1039,Kişiler!$A$5:$A$44,0)),0))</f>
        <v/>
      </c>
    </row>
    <row r="1040" customFormat="false" ht="15" hidden="false" customHeight="false" outlineLevel="0" collapsed="false">
      <c r="A1040" s="12"/>
      <c r="B1040" s="13"/>
      <c r="C1040" s="14"/>
      <c r="D1040" s="14"/>
      <c r="E1040" s="13"/>
      <c r="F1040" s="15"/>
      <c r="G1040" s="16" t="str">
        <f aca="false">IF(OR(B1040="",A1040=""),"",C1040*IFERROR(INDEX(Kişiler!$B$5:$B$44,MATCH(B1040,Kişiler!$A$5:$A$44,0)),0)+D1040*IFERROR(INDEX(Kişiler!$C$5:$C$44,MATCH(B1040,Kişiler!$A$5:$A$44,0)),0))</f>
        <v/>
      </c>
    </row>
    <row r="1041" customFormat="false" ht="15" hidden="false" customHeight="false" outlineLevel="0" collapsed="false">
      <c r="A1041" s="12"/>
      <c r="B1041" s="13"/>
      <c r="C1041" s="14"/>
      <c r="D1041" s="14"/>
      <c r="E1041" s="13"/>
      <c r="F1041" s="15"/>
      <c r="G1041" s="16" t="str">
        <f aca="false">IF(OR(B1041="",A1041=""),"",C1041*IFERROR(INDEX(Kişiler!$B$5:$B$44,MATCH(B1041,Kişiler!$A$5:$A$44,0)),0)+D1041*IFERROR(INDEX(Kişiler!$C$5:$C$44,MATCH(B1041,Kişiler!$A$5:$A$44,0)),0))</f>
        <v/>
      </c>
    </row>
    <row r="1042" customFormat="false" ht="15" hidden="false" customHeight="false" outlineLevel="0" collapsed="false">
      <c r="A1042" s="12"/>
      <c r="B1042" s="13"/>
      <c r="C1042" s="14"/>
      <c r="D1042" s="14"/>
      <c r="E1042" s="13"/>
      <c r="F1042" s="15"/>
      <c r="G1042" s="16" t="str">
        <f aca="false">IF(OR(B1042="",A1042=""),"",C1042*IFERROR(INDEX(Kişiler!$B$5:$B$44,MATCH(B1042,Kişiler!$A$5:$A$44,0)),0)+D1042*IFERROR(INDEX(Kişiler!$C$5:$C$44,MATCH(B1042,Kişiler!$A$5:$A$44,0)),0))</f>
        <v/>
      </c>
    </row>
    <row r="1043" customFormat="false" ht="15" hidden="false" customHeight="false" outlineLevel="0" collapsed="false">
      <c r="A1043" s="12"/>
      <c r="B1043" s="13"/>
      <c r="C1043" s="14"/>
      <c r="D1043" s="14"/>
      <c r="E1043" s="13"/>
      <c r="F1043" s="15"/>
      <c r="G1043" s="16" t="str">
        <f aca="false">IF(OR(B1043="",A1043=""),"",C1043*IFERROR(INDEX(Kişiler!$B$5:$B$44,MATCH(B1043,Kişiler!$A$5:$A$44,0)),0)+D1043*IFERROR(INDEX(Kişiler!$C$5:$C$44,MATCH(B1043,Kişiler!$A$5:$A$44,0)),0))</f>
        <v/>
      </c>
    </row>
    <row r="1044" customFormat="false" ht="15" hidden="false" customHeight="false" outlineLevel="0" collapsed="false">
      <c r="A1044" s="12"/>
      <c r="B1044" s="13"/>
      <c r="C1044" s="14"/>
      <c r="D1044" s="14"/>
      <c r="E1044" s="13"/>
      <c r="F1044" s="15"/>
      <c r="G1044" s="16" t="str">
        <f aca="false">IF(OR(B1044="",A1044=""),"",C1044*IFERROR(INDEX(Kişiler!$B$5:$B$44,MATCH(B1044,Kişiler!$A$5:$A$44,0)),0)+D1044*IFERROR(INDEX(Kişiler!$C$5:$C$44,MATCH(B1044,Kişiler!$A$5:$A$44,0)),0))</f>
        <v/>
      </c>
    </row>
    <row r="1045" customFormat="false" ht="15" hidden="false" customHeight="false" outlineLevel="0" collapsed="false">
      <c r="A1045" s="12"/>
      <c r="B1045" s="13"/>
      <c r="C1045" s="14"/>
      <c r="D1045" s="14"/>
      <c r="E1045" s="13"/>
      <c r="F1045" s="15"/>
      <c r="G1045" s="16" t="str">
        <f aca="false">IF(OR(B1045="",A1045=""),"",C1045*IFERROR(INDEX(Kişiler!$B$5:$B$44,MATCH(B1045,Kişiler!$A$5:$A$44,0)),0)+D1045*IFERROR(INDEX(Kişiler!$C$5:$C$44,MATCH(B1045,Kişiler!$A$5:$A$44,0)),0))</f>
        <v/>
      </c>
    </row>
    <row r="1046" customFormat="false" ht="15" hidden="false" customHeight="false" outlineLevel="0" collapsed="false">
      <c r="A1046" s="12"/>
      <c r="B1046" s="13"/>
      <c r="C1046" s="14"/>
      <c r="D1046" s="14"/>
      <c r="E1046" s="13"/>
      <c r="F1046" s="15"/>
      <c r="G1046" s="16" t="str">
        <f aca="false">IF(OR(B1046="",A1046=""),"",C1046*IFERROR(INDEX(Kişiler!$B$5:$B$44,MATCH(B1046,Kişiler!$A$5:$A$44,0)),0)+D1046*IFERROR(INDEX(Kişiler!$C$5:$C$44,MATCH(B1046,Kişiler!$A$5:$A$44,0)),0))</f>
        <v/>
      </c>
    </row>
    <row r="1047" customFormat="false" ht="15" hidden="false" customHeight="false" outlineLevel="0" collapsed="false">
      <c r="A1047" s="12"/>
      <c r="B1047" s="13"/>
      <c r="C1047" s="14"/>
      <c r="D1047" s="14"/>
      <c r="E1047" s="13"/>
      <c r="F1047" s="15"/>
      <c r="G1047" s="16" t="str">
        <f aca="false">IF(OR(B1047="",A1047=""),"",C1047*IFERROR(INDEX(Kişiler!$B$5:$B$44,MATCH(B1047,Kişiler!$A$5:$A$44,0)),0)+D1047*IFERROR(INDEX(Kişiler!$C$5:$C$44,MATCH(B1047,Kişiler!$A$5:$A$44,0)),0))</f>
        <v/>
      </c>
    </row>
    <row r="1048" customFormat="false" ht="15" hidden="false" customHeight="false" outlineLevel="0" collapsed="false">
      <c r="A1048" s="12"/>
      <c r="B1048" s="13"/>
      <c r="C1048" s="14"/>
      <c r="D1048" s="14"/>
      <c r="E1048" s="13"/>
      <c r="F1048" s="15"/>
      <c r="G1048" s="16" t="str">
        <f aca="false">IF(OR(B1048="",A1048=""),"",C1048*IFERROR(INDEX(Kişiler!$B$5:$B$44,MATCH(B1048,Kişiler!$A$5:$A$44,0)),0)+D1048*IFERROR(INDEX(Kişiler!$C$5:$C$44,MATCH(B1048,Kişiler!$A$5:$A$44,0)),0))</f>
        <v/>
      </c>
    </row>
    <row r="1049" customFormat="false" ht="15" hidden="false" customHeight="false" outlineLevel="0" collapsed="false">
      <c r="A1049" s="12"/>
      <c r="B1049" s="13"/>
      <c r="C1049" s="14"/>
      <c r="D1049" s="14"/>
      <c r="E1049" s="13"/>
      <c r="F1049" s="15"/>
      <c r="G1049" s="16" t="str">
        <f aca="false">IF(OR(B1049="",A1049=""),"",C1049*IFERROR(INDEX(Kişiler!$B$5:$B$44,MATCH(B1049,Kişiler!$A$5:$A$44,0)),0)+D1049*IFERROR(INDEX(Kişiler!$C$5:$C$44,MATCH(B1049,Kişiler!$A$5:$A$44,0)),0))</f>
        <v/>
      </c>
    </row>
    <row r="1050" customFormat="false" ht="15" hidden="false" customHeight="false" outlineLevel="0" collapsed="false">
      <c r="A1050" s="12"/>
      <c r="B1050" s="13"/>
      <c r="C1050" s="14"/>
      <c r="D1050" s="14"/>
      <c r="E1050" s="13"/>
      <c r="F1050" s="15"/>
      <c r="G1050" s="16" t="str">
        <f aca="false">IF(OR(B1050="",A1050=""),"",C1050*IFERROR(INDEX(Kişiler!$B$5:$B$44,MATCH(B1050,Kişiler!$A$5:$A$44,0)),0)+D1050*IFERROR(INDEX(Kişiler!$C$5:$C$44,MATCH(B1050,Kişiler!$A$5:$A$44,0)),0))</f>
        <v/>
      </c>
    </row>
    <row r="1051" customFormat="false" ht="15" hidden="false" customHeight="false" outlineLevel="0" collapsed="false">
      <c r="A1051" s="12"/>
      <c r="B1051" s="13"/>
      <c r="C1051" s="14"/>
      <c r="D1051" s="14"/>
      <c r="E1051" s="13"/>
      <c r="F1051" s="15"/>
      <c r="G1051" s="16" t="str">
        <f aca="false">IF(OR(B1051="",A1051=""),"",C1051*IFERROR(INDEX(Kişiler!$B$5:$B$44,MATCH(B1051,Kişiler!$A$5:$A$44,0)),0)+D1051*IFERROR(INDEX(Kişiler!$C$5:$C$44,MATCH(B1051,Kişiler!$A$5:$A$44,0)),0))</f>
        <v/>
      </c>
    </row>
    <row r="1052" customFormat="false" ht="15" hidden="false" customHeight="false" outlineLevel="0" collapsed="false">
      <c r="A1052" s="12"/>
      <c r="B1052" s="13"/>
      <c r="C1052" s="14"/>
      <c r="D1052" s="14"/>
      <c r="E1052" s="13"/>
      <c r="F1052" s="15"/>
      <c r="G1052" s="16" t="str">
        <f aca="false">IF(OR(B1052="",A1052=""),"",C1052*IFERROR(INDEX(Kişiler!$B$5:$B$44,MATCH(B1052,Kişiler!$A$5:$A$44,0)),0)+D1052*IFERROR(INDEX(Kişiler!$C$5:$C$44,MATCH(B1052,Kişiler!$A$5:$A$44,0)),0))</f>
        <v/>
      </c>
    </row>
    <row r="1053" customFormat="false" ht="15" hidden="false" customHeight="false" outlineLevel="0" collapsed="false">
      <c r="A1053" s="12"/>
      <c r="B1053" s="13"/>
      <c r="C1053" s="14"/>
      <c r="D1053" s="14"/>
      <c r="E1053" s="13"/>
      <c r="F1053" s="15"/>
      <c r="G1053" s="16" t="str">
        <f aca="false">IF(OR(B1053="",A1053=""),"",C1053*IFERROR(INDEX(Kişiler!$B$5:$B$44,MATCH(B1053,Kişiler!$A$5:$A$44,0)),0)+D1053*IFERROR(INDEX(Kişiler!$C$5:$C$44,MATCH(B1053,Kişiler!$A$5:$A$44,0)),0))</f>
        <v/>
      </c>
    </row>
    <row r="1054" customFormat="false" ht="15" hidden="false" customHeight="false" outlineLevel="0" collapsed="false">
      <c r="A1054" s="12"/>
      <c r="B1054" s="13"/>
      <c r="C1054" s="14"/>
      <c r="D1054" s="14"/>
      <c r="E1054" s="13"/>
      <c r="F1054" s="15"/>
      <c r="G1054" s="16" t="str">
        <f aca="false">IF(OR(B1054="",A1054=""),"",C1054*IFERROR(INDEX(Kişiler!$B$5:$B$44,MATCH(B1054,Kişiler!$A$5:$A$44,0)),0)+D1054*IFERROR(INDEX(Kişiler!$C$5:$C$44,MATCH(B1054,Kişiler!$A$5:$A$44,0)),0))</f>
        <v/>
      </c>
    </row>
    <row r="1055" customFormat="false" ht="15" hidden="false" customHeight="false" outlineLevel="0" collapsed="false">
      <c r="A1055" s="12"/>
      <c r="B1055" s="13"/>
      <c r="C1055" s="14"/>
      <c r="D1055" s="14"/>
      <c r="E1055" s="13"/>
      <c r="F1055" s="15"/>
      <c r="G1055" s="16" t="str">
        <f aca="false">IF(OR(B1055="",A1055=""),"",C1055*IFERROR(INDEX(Kişiler!$B$5:$B$44,MATCH(B1055,Kişiler!$A$5:$A$44,0)),0)+D1055*IFERROR(INDEX(Kişiler!$C$5:$C$44,MATCH(B1055,Kişiler!$A$5:$A$44,0)),0))</f>
        <v/>
      </c>
    </row>
    <row r="1056" customFormat="false" ht="15" hidden="false" customHeight="false" outlineLevel="0" collapsed="false">
      <c r="A1056" s="12"/>
      <c r="B1056" s="13"/>
      <c r="C1056" s="14"/>
      <c r="D1056" s="14"/>
      <c r="E1056" s="13"/>
      <c r="F1056" s="15"/>
      <c r="G1056" s="16" t="str">
        <f aca="false">IF(OR(B1056="",A1056=""),"",C1056*IFERROR(INDEX(Kişiler!$B$5:$B$44,MATCH(B1056,Kişiler!$A$5:$A$44,0)),0)+D1056*IFERROR(INDEX(Kişiler!$C$5:$C$44,MATCH(B1056,Kişiler!$A$5:$A$44,0)),0))</f>
        <v/>
      </c>
    </row>
    <row r="1057" customFormat="false" ht="15" hidden="false" customHeight="false" outlineLevel="0" collapsed="false">
      <c r="A1057" s="12"/>
      <c r="B1057" s="13"/>
      <c r="C1057" s="14"/>
      <c r="D1057" s="14"/>
      <c r="E1057" s="13"/>
      <c r="F1057" s="15"/>
      <c r="G1057" s="16" t="str">
        <f aca="false">IF(OR(B1057="",A1057=""),"",C1057*IFERROR(INDEX(Kişiler!$B$5:$B$44,MATCH(B1057,Kişiler!$A$5:$A$44,0)),0)+D1057*IFERROR(INDEX(Kişiler!$C$5:$C$44,MATCH(B1057,Kişiler!$A$5:$A$44,0)),0))</f>
        <v/>
      </c>
    </row>
    <row r="1058" customFormat="false" ht="15" hidden="false" customHeight="false" outlineLevel="0" collapsed="false">
      <c r="A1058" s="12"/>
      <c r="B1058" s="13"/>
      <c r="C1058" s="14"/>
      <c r="D1058" s="14"/>
      <c r="E1058" s="13"/>
      <c r="F1058" s="15"/>
      <c r="G1058" s="16" t="str">
        <f aca="false">IF(OR(B1058="",A1058=""),"",C1058*IFERROR(INDEX(Kişiler!$B$5:$B$44,MATCH(B1058,Kişiler!$A$5:$A$44,0)),0)+D1058*IFERROR(INDEX(Kişiler!$C$5:$C$44,MATCH(B1058,Kişiler!$A$5:$A$44,0)),0))</f>
        <v/>
      </c>
    </row>
    <row r="1059" customFormat="false" ht="15" hidden="false" customHeight="false" outlineLevel="0" collapsed="false">
      <c r="A1059" s="12"/>
      <c r="B1059" s="13"/>
      <c r="C1059" s="14"/>
      <c r="D1059" s="14"/>
      <c r="E1059" s="13"/>
      <c r="F1059" s="15"/>
      <c r="G1059" s="16" t="str">
        <f aca="false">IF(OR(B1059="",A1059=""),"",C1059*IFERROR(INDEX(Kişiler!$B$5:$B$44,MATCH(B1059,Kişiler!$A$5:$A$44,0)),0)+D1059*IFERROR(INDEX(Kişiler!$C$5:$C$44,MATCH(B1059,Kişiler!$A$5:$A$44,0)),0))</f>
        <v/>
      </c>
    </row>
    <row r="1060" customFormat="false" ht="15" hidden="false" customHeight="false" outlineLevel="0" collapsed="false">
      <c r="A1060" s="12"/>
      <c r="B1060" s="13"/>
      <c r="C1060" s="14"/>
      <c r="D1060" s="14"/>
      <c r="E1060" s="13"/>
      <c r="F1060" s="15"/>
      <c r="G1060" s="16" t="str">
        <f aca="false">IF(OR(B1060="",A1060=""),"",C1060*IFERROR(INDEX(Kişiler!$B$5:$B$44,MATCH(B1060,Kişiler!$A$5:$A$44,0)),0)+D1060*IFERROR(INDEX(Kişiler!$C$5:$C$44,MATCH(B1060,Kişiler!$A$5:$A$44,0)),0))</f>
        <v/>
      </c>
    </row>
    <row r="1061" customFormat="false" ht="15" hidden="false" customHeight="false" outlineLevel="0" collapsed="false">
      <c r="A1061" s="12"/>
      <c r="B1061" s="13"/>
      <c r="C1061" s="14"/>
      <c r="D1061" s="14"/>
      <c r="E1061" s="13"/>
      <c r="F1061" s="15"/>
      <c r="G1061" s="16" t="str">
        <f aca="false">IF(OR(B1061="",A1061=""),"",C1061*IFERROR(INDEX(Kişiler!$B$5:$B$44,MATCH(B1061,Kişiler!$A$5:$A$44,0)),0)+D1061*IFERROR(INDEX(Kişiler!$C$5:$C$44,MATCH(B1061,Kişiler!$A$5:$A$44,0)),0))</f>
        <v/>
      </c>
    </row>
    <row r="1062" customFormat="false" ht="15" hidden="false" customHeight="false" outlineLevel="0" collapsed="false">
      <c r="A1062" s="12"/>
      <c r="B1062" s="13"/>
      <c r="C1062" s="14"/>
      <c r="D1062" s="14"/>
      <c r="E1062" s="13"/>
      <c r="F1062" s="15"/>
      <c r="G1062" s="16" t="str">
        <f aca="false">IF(OR(B1062="",A1062=""),"",C1062*IFERROR(INDEX(Kişiler!$B$5:$B$44,MATCH(B1062,Kişiler!$A$5:$A$44,0)),0)+D1062*IFERROR(INDEX(Kişiler!$C$5:$C$44,MATCH(B1062,Kişiler!$A$5:$A$44,0)),0))</f>
        <v/>
      </c>
    </row>
    <row r="1063" customFormat="false" ht="15" hidden="false" customHeight="false" outlineLevel="0" collapsed="false">
      <c r="A1063" s="12"/>
      <c r="B1063" s="13"/>
      <c r="C1063" s="14"/>
      <c r="D1063" s="14"/>
      <c r="E1063" s="13"/>
      <c r="F1063" s="15"/>
      <c r="G1063" s="16" t="str">
        <f aca="false">IF(OR(B1063="",A1063=""),"",C1063*IFERROR(INDEX(Kişiler!$B$5:$B$44,MATCH(B1063,Kişiler!$A$5:$A$44,0)),0)+D1063*IFERROR(INDEX(Kişiler!$C$5:$C$44,MATCH(B1063,Kişiler!$A$5:$A$44,0)),0))</f>
        <v/>
      </c>
    </row>
    <row r="1064" customFormat="false" ht="15" hidden="false" customHeight="false" outlineLevel="0" collapsed="false">
      <c r="A1064" s="12"/>
      <c r="B1064" s="13"/>
      <c r="C1064" s="14"/>
      <c r="D1064" s="14"/>
      <c r="E1064" s="13"/>
      <c r="F1064" s="15"/>
      <c r="G1064" s="16" t="str">
        <f aca="false">IF(OR(B1064="",A1064=""),"",C1064*IFERROR(INDEX(Kişiler!$B$5:$B$44,MATCH(B1064,Kişiler!$A$5:$A$44,0)),0)+D1064*IFERROR(INDEX(Kişiler!$C$5:$C$44,MATCH(B1064,Kişiler!$A$5:$A$44,0)),0))</f>
        <v/>
      </c>
    </row>
    <row r="1065" customFormat="false" ht="15" hidden="false" customHeight="false" outlineLevel="0" collapsed="false">
      <c r="A1065" s="12"/>
      <c r="B1065" s="13"/>
      <c r="C1065" s="14"/>
      <c r="D1065" s="14"/>
      <c r="E1065" s="13"/>
      <c r="F1065" s="15"/>
      <c r="G1065" s="16" t="str">
        <f aca="false">IF(OR(B1065="",A1065=""),"",C1065*IFERROR(INDEX(Kişiler!$B$5:$B$44,MATCH(B1065,Kişiler!$A$5:$A$44,0)),0)+D1065*IFERROR(INDEX(Kişiler!$C$5:$C$44,MATCH(B1065,Kişiler!$A$5:$A$44,0)),0))</f>
        <v/>
      </c>
    </row>
    <row r="1066" customFormat="false" ht="15" hidden="false" customHeight="false" outlineLevel="0" collapsed="false">
      <c r="A1066" s="12"/>
      <c r="B1066" s="13"/>
      <c r="C1066" s="14"/>
      <c r="D1066" s="14"/>
      <c r="E1066" s="13"/>
      <c r="F1066" s="15"/>
      <c r="G1066" s="16" t="str">
        <f aca="false">IF(OR(B1066="",A1066=""),"",C1066*IFERROR(INDEX(Kişiler!$B$5:$B$44,MATCH(B1066,Kişiler!$A$5:$A$44,0)),0)+D1066*IFERROR(INDEX(Kişiler!$C$5:$C$44,MATCH(B1066,Kişiler!$A$5:$A$44,0)),0))</f>
        <v/>
      </c>
    </row>
    <row r="1067" customFormat="false" ht="15" hidden="false" customHeight="false" outlineLevel="0" collapsed="false">
      <c r="A1067" s="12"/>
      <c r="B1067" s="13"/>
      <c r="C1067" s="14"/>
      <c r="D1067" s="14"/>
      <c r="E1067" s="13"/>
      <c r="F1067" s="15"/>
      <c r="G1067" s="16" t="str">
        <f aca="false">IF(OR(B1067="",A1067=""),"",C1067*IFERROR(INDEX(Kişiler!$B$5:$B$44,MATCH(B1067,Kişiler!$A$5:$A$44,0)),0)+D1067*IFERROR(INDEX(Kişiler!$C$5:$C$44,MATCH(B1067,Kişiler!$A$5:$A$44,0)),0))</f>
        <v/>
      </c>
    </row>
    <row r="1068" customFormat="false" ht="15" hidden="false" customHeight="false" outlineLevel="0" collapsed="false">
      <c r="A1068" s="12"/>
      <c r="B1068" s="13"/>
      <c r="C1068" s="14"/>
      <c r="D1068" s="14"/>
      <c r="E1068" s="13"/>
      <c r="F1068" s="15"/>
      <c r="G1068" s="16" t="str">
        <f aca="false">IF(OR(B1068="",A1068=""),"",C1068*IFERROR(INDEX(Kişiler!$B$5:$B$44,MATCH(B1068,Kişiler!$A$5:$A$44,0)),0)+D1068*IFERROR(INDEX(Kişiler!$C$5:$C$44,MATCH(B1068,Kişiler!$A$5:$A$44,0)),0))</f>
        <v/>
      </c>
    </row>
    <row r="1069" customFormat="false" ht="15" hidden="false" customHeight="false" outlineLevel="0" collapsed="false">
      <c r="A1069" s="12"/>
      <c r="B1069" s="13"/>
      <c r="C1069" s="14"/>
      <c r="D1069" s="14"/>
      <c r="E1069" s="13"/>
      <c r="F1069" s="15"/>
      <c r="G1069" s="16" t="str">
        <f aca="false">IF(OR(B1069="",A1069=""),"",C1069*IFERROR(INDEX(Kişiler!$B$5:$B$44,MATCH(B1069,Kişiler!$A$5:$A$44,0)),0)+D1069*IFERROR(INDEX(Kişiler!$C$5:$C$44,MATCH(B1069,Kişiler!$A$5:$A$44,0)),0))</f>
        <v/>
      </c>
    </row>
    <row r="1070" customFormat="false" ht="15" hidden="false" customHeight="false" outlineLevel="0" collapsed="false">
      <c r="A1070" s="12"/>
      <c r="B1070" s="13"/>
      <c r="C1070" s="14"/>
      <c r="D1070" s="14"/>
      <c r="E1070" s="13"/>
      <c r="F1070" s="15"/>
      <c r="G1070" s="16" t="str">
        <f aca="false">IF(OR(B1070="",A1070=""),"",C1070*IFERROR(INDEX(Kişiler!$B$5:$B$44,MATCH(B1070,Kişiler!$A$5:$A$44,0)),0)+D1070*IFERROR(INDEX(Kişiler!$C$5:$C$44,MATCH(B1070,Kişiler!$A$5:$A$44,0)),0))</f>
        <v/>
      </c>
    </row>
    <row r="1071" customFormat="false" ht="15" hidden="false" customHeight="false" outlineLevel="0" collapsed="false">
      <c r="A1071" s="12"/>
      <c r="B1071" s="13"/>
      <c r="C1071" s="14"/>
      <c r="D1071" s="14"/>
      <c r="E1071" s="13"/>
      <c r="F1071" s="15"/>
      <c r="G1071" s="16" t="str">
        <f aca="false">IF(OR(B1071="",A1071=""),"",C1071*IFERROR(INDEX(Kişiler!$B$5:$B$44,MATCH(B1071,Kişiler!$A$5:$A$44,0)),0)+D1071*IFERROR(INDEX(Kişiler!$C$5:$C$44,MATCH(B1071,Kişiler!$A$5:$A$44,0)),0))</f>
        <v/>
      </c>
    </row>
    <row r="1072" customFormat="false" ht="15" hidden="false" customHeight="false" outlineLevel="0" collapsed="false">
      <c r="A1072" s="12"/>
      <c r="B1072" s="13"/>
      <c r="C1072" s="14"/>
      <c r="D1072" s="14"/>
      <c r="E1072" s="13"/>
      <c r="F1072" s="15"/>
      <c r="G1072" s="16" t="str">
        <f aca="false">IF(OR(B1072="",A1072=""),"",C1072*IFERROR(INDEX(Kişiler!$B$5:$B$44,MATCH(B1072,Kişiler!$A$5:$A$44,0)),0)+D1072*IFERROR(INDEX(Kişiler!$C$5:$C$44,MATCH(B1072,Kişiler!$A$5:$A$44,0)),0))</f>
        <v/>
      </c>
    </row>
    <row r="1073" customFormat="false" ht="15" hidden="false" customHeight="false" outlineLevel="0" collapsed="false">
      <c r="A1073" s="12"/>
      <c r="B1073" s="13"/>
      <c r="C1073" s="14"/>
      <c r="D1073" s="14"/>
      <c r="E1073" s="13"/>
      <c r="F1073" s="15"/>
      <c r="G1073" s="16" t="str">
        <f aca="false">IF(OR(B1073="",A1073=""),"",C1073*IFERROR(INDEX(Kişiler!$B$5:$B$44,MATCH(B1073,Kişiler!$A$5:$A$44,0)),0)+D1073*IFERROR(INDEX(Kişiler!$C$5:$C$44,MATCH(B1073,Kişiler!$A$5:$A$44,0)),0))</f>
        <v/>
      </c>
    </row>
    <row r="1074" customFormat="false" ht="15" hidden="false" customHeight="false" outlineLevel="0" collapsed="false">
      <c r="A1074" s="12"/>
      <c r="B1074" s="13"/>
      <c r="C1074" s="14"/>
      <c r="D1074" s="14"/>
      <c r="E1074" s="13"/>
      <c r="F1074" s="15"/>
      <c r="G1074" s="16" t="str">
        <f aca="false">IF(OR(B1074="",A1074=""),"",C1074*IFERROR(INDEX(Kişiler!$B$5:$B$44,MATCH(B1074,Kişiler!$A$5:$A$44,0)),0)+D1074*IFERROR(INDEX(Kişiler!$C$5:$C$44,MATCH(B1074,Kişiler!$A$5:$A$44,0)),0))</f>
        <v/>
      </c>
    </row>
    <row r="1075" customFormat="false" ht="15" hidden="false" customHeight="false" outlineLevel="0" collapsed="false">
      <c r="A1075" s="12"/>
      <c r="B1075" s="13"/>
      <c r="C1075" s="14"/>
      <c r="D1075" s="14"/>
      <c r="E1075" s="13"/>
      <c r="F1075" s="15"/>
      <c r="G1075" s="16" t="str">
        <f aca="false">IF(OR(B1075="",A1075=""),"",C1075*IFERROR(INDEX(Kişiler!$B$5:$B$44,MATCH(B1075,Kişiler!$A$5:$A$44,0)),0)+D1075*IFERROR(INDEX(Kişiler!$C$5:$C$44,MATCH(B1075,Kişiler!$A$5:$A$44,0)),0))</f>
        <v/>
      </c>
    </row>
    <row r="1076" customFormat="false" ht="15" hidden="false" customHeight="false" outlineLevel="0" collapsed="false">
      <c r="A1076" s="12"/>
      <c r="B1076" s="13"/>
      <c r="C1076" s="14"/>
      <c r="D1076" s="14"/>
      <c r="E1076" s="13"/>
      <c r="F1076" s="15"/>
      <c r="G1076" s="16" t="str">
        <f aca="false">IF(OR(B1076="",A1076=""),"",C1076*IFERROR(INDEX(Kişiler!$B$5:$B$44,MATCH(B1076,Kişiler!$A$5:$A$44,0)),0)+D1076*IFERROR(INDEX(Kişiler!$C$5:$C$44,MATCH(B1076,Kişiler!$A$5:$A$44,0)),0))</f>
        <v/>
      </c>
    </row>
    <row r="1077" customFormat="false" ht="15" hidden="false" customHeight="false" outlineLevel="0" collapsed="false">
      <c r="A1077" s="12"/>
      <c r="B1077" s="13"/>
      <c r="C1077" s="14"/>
      <c r="D1077" s="14"/>
      <c r="E1077" s="13"/>
      <c r="F1077" s="15"/>
      <c r="G1077" s="16" t="str">
        <f aca="false">IF(OR(B1077="",A1077=""),"",C1077*IFERROR(INDEX(Kişiler!$B$5:$B$44,MATCH(B1077,Kişiler!$A$5:$A$44,0)),0)+D1077*IFERROR(INDEX(Kişiler!$C$5:$C$44,MATCH(B1077,Kişiler!$A$5:$A$44,0)),0))</f>
        <v/>
      </c>
    </row>
    <row r="1078" customFormat="false" ht="15" hidden="false" customHeight="false" outlineLevel="0" collapsed="false">
      <c r="A1078" s="12"/>
      <c r="B1078" s="13"/>
      <c r="C1078" s="14"/>
      <c r="D1078" s="14"/>
      <c r="E1078" s="13"/>
      <c r="F1078" s="15"/>
      <c r="G1078" s="16" t="str">
        <f aca="false">IF(OR(B1078="",A1078=""),"",C1078*IFERROR(INDEX(Kişiler!$B$5:$B$44,MATCH(B1078,Kişiler!$A$5:$A$44,0)),0)+D1078*IFERROR(INDEX(Kişiler!$C$5:$C$44,MATCH(B1078,Kişiler!$A$5:$A$44,0)),0))</f>
        <v/>
      </c>
    </row>
    <row r="1079" customFormat="false" ht="15" hidden="false" customHeight="false" outlineLevel="0" collapsed="false">
      <c r="A1079" s="12"/>
      <c r="B1079" s="13"/>
      <c r="C1079" s="14"/>
      <c r="D1079" s="14"/>
      <c r="E1079" s="13"/>
      <c r="F1079" s="15"/>
      <c r="G1079" s="16" t="str">
        <f aca="false">IF(OR(B1079="",A1079=""),"",C1079*IFERROR(INDEX(Kişiler!$B$5:$B$44,MATCH(B1079,Kişiler!$A$5:$A$44,0)),0)+D1079*IFERROR(INDEX(Kişiler!$C$5:$C$44,MATCH(B1079,Kişiler!$A$5:$A$44,0)),0))</f>
        <v/>
      </c>
    </row>
    <row r="1080" customFormat="false" ht="15" hidden="false" customHeight="false" outlineLevel="0" collapsed="false">
      <c r="A1080" s="12"/>
      <c r="B1080" s="13"/>
      <c r="C1080" s="14"/>
      <c r="D1080" s="14"/>
      <c r="E1080" s="13"/>
      <c r="F1080" s="15"/>
      <c r="G1080" s="16" t="str">
        <f aca="false">IF(OR(B1080="",A1080=""),"",C1080*IFERROR(INDEX(Kişiler!$B$5:$B$44,MATCH(B1080,Kişiler!$A$5:$A$44,0)),0)+D1080*IFERROR(INDEX(Kişiler!$C$5:$C$44,MATCH(B1080,Kişiler!$A$5:$A$44,0)),0))</f>
        <v/>
      </c>
    </row>
    <row r="1081" customFormat="false" ht="15" hidden="false" customHeight="false" outlineLevel="0" collapsed="false">
      <c r="A1081" s="12"/>
      <c r="B1081" s="13"/>
      <c r="C1081" s="14"/>
      <c r="D1081" s="14"/>
      <c r="E1081" s="13"/>
      <c r="F1081" s="15"/>
      <c r="G1081" s="16" t="str">
        <f aca="false">IF(OR(B1081="",A1081=""),"",C1081*IFERROR(INDEX(Kişiler!$B$5:$B$44,MATCH(B1081,Kişiler!$A$5:$A$44,0)),0)+D1081*IFERROR(INDEX(Kişiler!$C$5:$C$44,MATCH(B1081,Kişiler!$A$5:$A$44,0)),0))</f>
        <v/>
      </c>
    </row>
    <row r="1082" customFormat="false" ht="15" hidden="false" customHeight="false" outlineLevel="0" collapsed="false">
      <c r="A1082" s="12"/>
      <c r="B1082" s="13"/>
      <c r="C1082" s="14"/>
      <c r="D1082" s="14"/>
      <c r="E1082" s="13"/>
      <c r="F1082" s="15"/>
      <c r="G1082" s="16" t="str">
        <f aca="false">IF(OR(B1082="",A1082=""),"",C1082*IFERROR(INDEX(Kişiler!$B$5:$B$44,MATCH(B1082,Kişiler!$A$5:$A$44,0)),0)+D1082*IFERROR(INDEX(Kişiler!$C$5:$C$44,MATCH(B1082,Kişiler!$A$5:$A$44,0)),0))</f>
        <v/>
      </c>
    </row>
    <row r="1083" customFormat="false" ht="15" hidden="false" customHeight="false" outlineLevel="0" collapsed="false">
      <c r="A1083" s="12"/>
      <c r="B1083" s="13"/>
      <c r="C1083" s="14"/>
      <c r="D1083" s="14"/>
      <c r="E1083" s="13"/>
      <c r="F1083" s="15"/>
      <c r="G1083" s="16" t="str">
        <f aca="false">IF(OR(B1083="",A1083=""),"",C1083*IFERROR(INDEX(Kişiler!$B$5:$B$44,MATCH(B1083,Kişiler!$A$5:$A$44,0)),0)+D1083*IFERROR(INDEX(Kişiler!$C$5:$C$44,MATCH(B1083,Kişiler!$A$5:$A$44,0)),0))</f>
        <v/>
      </c>
    </row>
    <row r="1084" customFormat="false" ht="15" hidden="false" customHeight="false" outlineLevel="0" collapsed="false">
      <c r="A1084" s="12"/>
      <c r="B1084" s="13"/>
      <c r="C1084" s="14"/>
      <c r="D1084" s="14"/>
      <c r="E1084" s="13"/>
      <c r="F1084" s="15"/>
      <c r="G1084" s="16" t="str">
        <f aca="false">IF(OR(B1084="",A1084=""),"",C1084*IFERROR(INDEX(Kişiler!$B$5:$B$44,MATCH(B1084,Kişiler!$A$5:$A$44,0)),0)+D1084*IFERROR(INDEX(Kişiler!$C$5:$C$44,MATCH(B1084,Kişiler!$A$5:$A$44,0)),0))</f>
        <v/>
      </c>
    </row>
    <row r="1085" customFormat="false" ht="15" hidden="false" customHeight="false" outlineLevel="0" collapsed="false">
      <c r="A1085" s="12"/>
      <c r="B1085" s="13"/>
      <c r="C1085" s="14"/>
      <c r="D1085" s="14"/>
      <c r="E1085" s="13"/>
      <c r="F1085" s="15"/>
      <c r="G1085" s="16" t="str">
        <f aca="false">IF(OR(B1085="",A1085=""),"",C1085*IFERROR(INDEX(Kişiler!$B$5:$B$44,MATCH(B1085,Kişiler!$A$5:$A$44,0)),0)+D1085*IFERROR(INDEX(Kişiler!$C$5:$C$44,MATCH(B1085,Kişiler!$A$5:$A$44,0)),0))</f>
        <v/>
      </c>
    </row>
    <row r="1086" customFormat="false" ht="15" hidden="false" customHeight="false" outlineLevel="0" collapsed="false">
      <c r="A1086" s="12"/>
      <c r="B1086" s="13"/>
      <c r="C1086" s="14"/>
      <c r="D1086" s="14"/>
      <c r="E1086" s="13"/>
      <c r="F1086" s="15"/>
      <c r="G1086" s="16" t="str">
        <f aca="false">IF(OR(B1086="",A1086=""),"",C1086*IFERROR(INDEX(Kişiler!$B$5:$B$44,MATCH(B1086,Kişiler!$A$5:$A$44,0)),0)+D1086*IFERROR(INDEX(Kişiler!$C$5:$C$44,MATCH(B1086,Kişiler!$A$5:$A$44,0)),0))</f>
        <v/>
      </c>
    </row>
    <row r="1087" customFormat="false" ht="15" hidden="false" customHeight="false" outlineLevel="0" collapsed="false">
      <c r="A1087" s="12"/>
      <c r="B1087" s="13"/>
      <c r="C1087" s="14"/>
      <c r="D1087" s="14"/>
      <c r="E1087" s="13"/>
      <c r="F1087" s="15"/>
      <c r="G1087" s="16" t="str">
        <f aca="false">IF(OR(B1087="",A1087=""),"",C1087*IFERROR(INDEX(Kişiler!$B$5:$B$44,MATCH(B1087,Kişiler!$A$5:$A$44,0)),0)+D1087*IFERROR(INDEX(Kişiler!$C$5:$C$44,MATCH(B1087,Kişiler!$A$5:$A$44,0)),0))</f>
        <v/>
      </c>
    </row>
    <row r="1088" customFormat="false" ht="15" hidden="false" customHeight="false" outlineLevel="0" collapsed="false">
      <c r="A1088" s="12"/>
      <c r="B1088" s="13"/>
      <c r="C1088" s="14"/>
      <c r="D1088" s="14"/>
      <c r="E1088" s="13"/>
      <c r="F1088" s="15"/>
      <c r="G1088" s="16" t="str">
        <f aca="false">IF(OR(B1088="",A1088=""),"",C1088*IFERROR(INDEX(Kişiler!$B$5:$B$44,MATCH(B1088,Kişiler!$A$5:$A$44,0)),0)+D1088*IFERROR(INDEX(Kişiler!$C$5:$C$44,MATCH(B1088,Kişiler!$A$5:$A$44,0)),0))</f>
        <v/>
      </c>
    </row>
    <row r="1089" customFormat="false" ht="15" hidden="false" customHeight="false" outlineLevel="0" collapsed="false">
      <c r="A1089" s="12"/>
      <c r="B1089" s="13"/>
      <c r="C1089" s="14"/>
      <c r="D1089" s="14"/>
      <c r="E1089" s="13"/>
      <c r="F1089" s="15"/>
      <c r="G1089" s="16" t="str">
        <f aca="false">IF(OR(B1089="",A1089=""),"",C1089*IFERROR(INDEX(Kişiler!$B$5:$B$44,MATCH(B1089,Kişiler!$A$5:$A$44,0)),0)+D1089*IFERROR(INDEX(Kişiler!$C$5:$C$44,MATCH(B1089,Kişiler!$A$5:$A$44,0)),0))</f>
        <v/>
      </c>
    </row>
    <row r="1090" customFormat="false" ht="15" hidden="false" customHeight="false" outlineLevel="0" collapsed="false">
      <c r="A1090" s="12"/>
      <c r="B1090" s="13"/>
      <c r="C1090" s="14"/>
      <c r="D1090" s="14"/>
      <c r="E1090" s="13"/>
      <c r="F1090" s="15"/>
      <c r="G1090" s="16" t="str">
        <f aca="false">IF(OR(B1090="",A1090=""),"",C1090*IFERROR(INDEX(Kişiler!$B$5:$B$44,MATCH(B1090,Kişiler!$A$5:$A$44,0)),0)+D1090*IFERROR(INDEX(Kişiler!$C$5:$C$44,MATCH(B1090,Kişiler!$A$5:$A$44,0)),0))</f>
        <v/>
      </c>
    </row>
    <row r="1091" customFormat="false" ht="15" hidden="false" customHeight="false" outlineLevel="0" collapsed="false">
      <c r="A1091" s="12"/>
      <c r="B1091" s="13"/>
      <c r="C1091" s="14"/>
      <c r="D1091" s="14"/>
      <c r="E1091" s="13"/>
      <c r="F1091" s="15"/>
      <c r="G1091" s="16" t="str">
        <f aca="false">IF(OR(B1091="",A1091=""),"",C1091*IFERROR(INDEX(Kişiler!$B$5:$B$44,MATCH(B1091,Kişiler!$A$5:$A$44,0)),0)+D1091*IFERROR(INDEX(Kişiler!$C$5:$C$44,MATCH(B1091,Kişiler!$A$5:$A$44,0)),0))</f>
        <v/>
      </c>
    </row>
    <row r="1092" customFormat="false" ht="15" hidden="false" customHeight="false" outlineLevel="0" collapsed="false">
      <c r="A1092" s="12"/>
      <c r="B1092" s="13"/>
      <c r="C1092" s="14"/>
      <c r="D1092" s="14"/>
      <c r="E1092" s="13"/>
      <c r="F1092" s="15"/>
      <c r="G1092" s="16" t="str">
        <f aca="false">IF(OR(B1092="",A1092=""),"",C1092*IFERROR(INDEX(Kişiler!$B$5:$B$44,MATCH(B1092,Kişiler!$A$5:$A$44,0)),0)+D1092*IFERROR(INDEX(Kişiler!$C$5:$C$44,MATCH(B1092,Kişiler!$A$5:$A$44,0)),0))</f>
        <v/>
      </c>
    </row>
    <row r="1093" customFormat="false" ht="15" hidden="false" customHeight="false" outlineLevel="0" collapsed="false">
      <c r="A1093" s="12"/>
      <c r="B1093" s="13"/>
      <c r="C1093" s="14"/>
      <c r="D1093" s="14"/>
      <c r="E1093" s="13"/>
      <c r="F1093" s="15"/>
      <c r="G1093" s="16" t="str">
        <f aca="false">IF(OR(B1093="",A1093=""),"",C1093*IFERROR(INDEX(Kişiler!$B$5:$B$44,MATCH(B1093,Kişiler!$A$5:$A$44,0)),0)+D1093*IFERROR(INDEX(Kişiler!$C$5:$C$44,MATCH(B1093,Kişiler!$A$5:$A$44,0)),0))</f>
        <v/>
      </c>
    </row>
    <row r="1094" customFormat="false" ht="15" hidden="false" customHeight="false" outlineLevel="0" collapsed="false">
      <c r="A1094" s="12"/>
      <c r="B1094" s="13"/>
      <c r="C1094" s="14"/>
      <c r="D1094" s="14"/>
      <c r="E1094" s="13"/>
      <c r="F1094" s="15"/>
      <c r="G1094" s="16" t="str">
        <f aca="false">IF(OR(B1094="",A1094=""),"",C1094*IFERROR(INDEX(Kişiler!$B$5:$B$44,MATCH(B1094,Kişiler!$A$5:$A$44,0)),0)+D1094*IFERROR(INDEX(Kişiler!$C$5:$C$44,MATCH(B1094,Kişiler!$A$5:$A$44,0)),0))</f>
        <v/>
      </c>
    </row>
    <row r="1095" customFormat="false" ht="15" hidden="false" customHeight="false" outlineLevel="0" collapsed="false">
      <c r="A1095" s="12"/>
      <c r="B1095" s="13"/>
      <c r="C1095" s="14"/>
      <c r="D1095" s="14"/>
      <c r="E1095" s="13"/>
      <c r="F1095" s="15"/>
      <c r="G1095" s="16" t="str">
        <f aca="false">IF(OR(B1095="",A1095=""),"",C1095*IFERROR(INDEX(Kişiler!$B$5:$B$44,MATCH(B1095,Kişiler!$A$5:$A$44,0)),0)+D1095*IFERROR(INDEX(Kişiler!$C$5:$C$44,MATCH(B1095,Kişiler!$A$5:$A$44,0)),0))</f>
        <v/>
      </c>
    </row>
    <row r="1096" customFormat="false" ht="15" hidden="false" customHeight="false" outlineLevel="0" collapsed="false">
      <c r="A1096" s="12"/>
      <c r="B1096" s="13"/>
      <c r="C1096" s="14"/>
      <c r="D1096" s="14"/>
      <c r="E1096" s="13"/>
      <c r="F1096" s="15"/>
      <c r="G1096" s="16" t="str">
        <f aca="false">IF(OR(B1096="",A1096=""),"",C1096*IFERROR(INDEX(Kişiler!$B$5:$B$44,MATCH(B1096,Kişiler!$A$5:$A$44,0)),0)+D1096*IFERROR(INDEX(Kişiler!$C$5:$C$44,MATCH(B1096,Kişiler!$A$5:$A$44,0)),0))</f>
        <v/>
      </c>
    </row>
    <row r="1097" customFormat="false" ht="15" hidden="false" customHeight="false" outlineLevel="0" collapsed="false">
      <c r="A1097" s="12"/>
      <c r="B1097" s="13"/>
      <c r="C1097" s="14"/>
      <c r="D1097" s="14"/>
      <c r="E1097" s="13"/>
      <c r="F1097" s="15"/>
      <c r="G1097" s="16" t="str">
        <f aca="false">IF(OR(B1097="",A1097=""),"",C1097*IFERROR(INDEX(Kişiler!$B$5:$B$44,MATCH(B1097,Kişiler!$A$5:$A$44,0)),0)+D1097*IFERROR(INDEX(Kişiler!$C$5:$C$44,MATCH(B1097,Kişiler!$A$5:$A$44,0)),0))</f>
        <v/>
      </c>
    </row>
    <row r="1098" customFormat="false" ht="15" hidden="false" customHeight="false" outlineLevel="0" collapsed="false">
      <c r="A1098" s="12"/>
      <c r="B1098" s="13"/>
      <c r="C1098" s="14"/>
      <c r="D1098" s="14"/>
      <c r="E1098" s="13"/>
      <c r="F1098" s="15"/>
      <c r="G1098" s="16" t="str">
        <f aca="false">IF(OR(B1098="",A1098=""),"",C1098*IFERROR(INDEX(Kişiler!$B$5:$B$44,MATCH(B1098,Kişiler!$A$5:$A$44,0)),0)+D1098*IFERROR(INDEX(Kişiler!$C$5:$C$44,MATCH(B1098,Kişiler!$A$5:$A$44,0)),0))</f>
        <v/>
      </c>
    </row>
    <row r="1099" customFormat="false" ht="15" hidden="false" customHeight="false" outlineLevel="0" collapsed="false">
      <c r="A1099" s="12"/>
      <c r="B1099" s="13"/>
      <c r="C1099" s="14"/>
      <c r="D1099" s="14"/>
      <c r="E1099" s="13"/>
      <c r="F1099" s="15"/>
      <c r="G1099" s="16" t="str">
        <f aca="false">IF(OR(B1099="",A1099=""),"",C1099*IFERROR(INDEX(Kişiler!$B$5:$B$44,MATCH(B1099,Kişiler!$A$5:$A$44,0)),0)+D1099*IFERROR(INDEX(Kişiler!$C$5:$C$44,MATCH(B1099,Kişiler!$A$5:$A$44,0)),0))</f>
        <v/>
      </c>
    </row>
    <row r="1100" customFormat="false" ht="15" hidden="false" customHeight="false" outlineLevel="0" collapsed="false">
      <c r="A1100" s="12"/>
      <c r="B1100" s="13"/>
      <c r="C1100" s="14"/>
      <c r="D1100" s="14"/>
      <c r="E1100" s="13"/>
      <c r="F1100" s="15"/>
      <c r="G1100" s="16" t="str">
        <f aca="false">IF(OR(B1100="",A1100=""),"",C1100*IFERROR(INDEX(Kişiler!$B$5:$B$44,MATCH(B1100,Kişiler!$A$5:$A$44,0)),0)+D1100*IFERROR(INDEX(Kişiler!$C$5:$C$44,MATCH(B1100,Kişiler!$A$5:$A$44,0)),0))</f>
        <v/>
      </c>
    </row>
    <row r="1101" customFormat="false" ht="15" hidden="false" customHeight="false" outlineLevel="0" collapsed="false">
      <c r="A1101" s="12"/>
      <c r="B1101" s="13"/>
      <c r="C1101" s="14"/>
      <c r="D1101" s="14"/>
      <c r="E1101" s="13"/>
      <c r="F1101" s="15"/>
      <c r="G1101" s="16" t="str">
        <f aca="false">IF(OR(B1101="",A1101=""),"",C1101*IFERROR(INDEX(Kişiler!$B$5:$B$44,MATCH(B1101,Kişiler!$A$5:$A$44,0)),0)+D1101*IFERROR(INDEX(Kişiler!$C$5:$C$44,MATCH(B1101,Kişiler!$A$5:$A$44,0)),0))</f>
        <v/>
      </c>
    </row>
    <row r="1102" customFormat="false" ht="15" hidden="false" customHeight="false" outlineLevel="0" collapsed="false">
      <c r="A1102" s="12"/>
      <c r="B1102" s="13"/>
      <c r="C1102" s="14"/>
      <c r="D1102" s="14"/>
      <c r="E1102" s="13"/>
      <c r="F1102" s="15"/>
      <c r="G1102" s="16" t="str">
        <f aca="false">IF(OR(B1102="",A1102=""),"",C1102*IFERROR(INDEX(Kişiler!$B$5:$B$44,MATCH(B1102,Kişiler!$A$5:$A$44,0)),0)+D1102*IFERROR(INDEX(Kişiler!$C$5:$C$44,MATCH(B1102,Kişiler!$A$5:$A$44,0)),0))</f>
        <v/>
      </c>
    </row>
    <row r="1103" customFormat="false" ht="15" hidden="false" customHeight="false" outlineLevel="0" collapsed="false">
      <c r="A1103" s="12"/>
      <c r="B1103" s="13"/>
      <c r="C1103" s="14"/>
      <c r="D1103" s="14"/>
      <c r="E1103" s="13"/>
      <c r="F1103" s="15"/>
      <c r="G1103" s="16" t="str">
        <f aca="false">IF(OR(B1103="",A1103=""),"",C1103*IFERROR(INDEX(Kişiler!$B$5:$B$44,MATCH(B1103,Kişiler!$A$5:$A$44,0)),0)+D1103*IFERROR(INDEX(Kişiler!$C$5:$C$44,MATCH(B1103,Kişiler!$A$5:$A$44,0)),0))</f>
        <v/>
      </c>
    </row>
    <row r="1104" customFormat="false" ht="15" hidden="false" customHeight="false" outlineLevel="0" collapsed="false">
      <c r="A1104" s="12"/>
      <c r="B1104" s="13"/>
      <c r="C1104" s="14"/>
      <c r="D1104" s="14"/>
      <c r="E1104" s="13"/>
      <c r="F1104" s="15"/>
      <c r="G1104" s="16" t="str">
        <f aca="false">IF(OR(B1104="",A1104=""),"",C1104*IFERROR(INDEX(Kişiler!$B$5:$B$44,MATCH(B1104,Kişiler!$A$5:$A$44,0)),0)+D1104*IFERROR(INDEX(Kişiler!$C$5:$C$44,MATCH(B1104,Kişiler!$A$5:$A$44,0)),0))</f>
        <v/>
      </c>
    </row>
    <row r="1105" customFormat="false" ht="15" hidden="false" customHeight="false" outlineLevel="0" collapsed="false">
      <c r="A1105" s="12"/>
      <c r="B1105" s="13"/>
      <c r="C1105" s="14"/>
      <c r="D1105" s="14"/>
      <c r="E1105" s="13"/>
      <c r="F1105" s="15"/>
      <c r="G1105" s="16" t="str">
        <f aca="false">IF(OR(B1105="",A1105=""),"",C1105*IFERROR(INDEX(Kişiler!$B$5:$B$44,MATCH(B1105,Kişiler!$A$5:$A$44,0)),0)+D1105*IFERROR(INDEX(Kişiler!$C$5:$C$44,MATCH(B1105,Kişiler!$A$5:$A$44,0)),0))</f>
        <v/>
      </c>
    </row>
    <row r="1106" customFormat="false" ht="15" hidden="false" customHeight="false" outlineLevel="0" collapsed="false">
      <c r="A1106" s="12"/>
      <c r="B1106" s="13"/>
      <c r="C1106" s="14"/>
      <c r="D1106" s="14"/>
      <c r="E1106" s="13"/>
      <c r="F1106" s="15"/>
      <c r="G1106" s="16" t="str">
        <f aca="false">IF(OR(B1106="",A1106=""),"",C1106*IFERROR(INDEX(Kişiler!$B$5:$B$44,MATCH(B1106,Kişiler!$A$5:$A$44,0)),0)+D1106*IFERROR(INDEX(Kişiler!$C$5:$C$44,MATCH(B1106,Kişiler!$A$5:$A$44,0)),0))</f>
        <v/>
      </c>
    </row>
    <row r="1107" customFormat="false" ht="15" hidden="false" customHeight="false" outlineLevel="0" collapsed="false">
      <c r="A1107" s="12"/>
      <c r="B1107" s="13"/>
      <c r="C1107" s="14"/>
      <c r="D1107" s="14"/>
      <c r="E1107" s="13"/>
      <c r="F1107" s="15"/>
      <c r="G1107" s="16" t="str">
        <f aca="false">IF(OR(B1107="",A1107=""),"",C1107*IFERROR(INDEX(Kişiler!$B$5:$B$44,MATCH(B1107,Kişiler!$A$5:$A$44,0)),0)+D1107*IFERROR(INDEX(Kişiler!$C$5:$C$44,MATCH(B1107,Kişiler!$A$5:$A$44,0)),0))</f>
        <v/>
      </c>
    </row>
    <row r="1108" customFormat="false" ht="15" hidden="false" customHeight="false" outlineLevel="0" collapsed="false">
      <c r="A1108" s="12"/>
      <c r="B1108" s="13"/>
      <c r="C1108" s="14"/>
      <c r="D1108" s="14"/>
      <c r="E1108" s="13"/>
      <c r="F1108" s="15"/>
      <c r="G1108" s="16" t="str">
        <f aca="false">IF(OR(B1108="",A1108=""),"",C1108*IFERROR(INDEX(Kişiler!$B$5:$B$44,MATCH(B1108,Kişiler!$A$5:$A$44,0)),0)+D1108*IFERROR(INDEX(Kişiler!$C$5:$C$44,MATCH(B1108,Kişiler!$A$5:$A$44,0)),0))</f>
        <v/>
      </c>
    </row>
    <row r="1109" customFormat="false" ht="15" hidden="false" customHeight="false" outlineLevel="0" collapsed="false">
      <c r="A1109" s="12"/>
      <c r="B1109" s="13"/>
      <c r="C1109" s="14"/>
      <c r="D1109" s="14"/>
      <c r="E1109" s="13"/>
      <c r="F1109" s="15"/>
      <c r="G1109" s="16" t="str">
        <f aca="false">IF(OR(B1109="",A1109=""),"",C1109*IFERROR(INDEX(Kişiler!$B$5:$B$44,MATCH(B1109,Kişiler!$A$5:$A$44,0)),0)+D1109*IFERROR(INDEX(Kişiler!$C$5:$C$44,MATCH(B1109,Kişiler!$A$5:$A$44,0)),0))</f>
        <v/>
      </c>
    </row>
    <row r="1110" customFormat="false" ht="15" hidden="false" customHeight="false" outlineLevel="0" collapsed="false">
      <c r="A1110" s="12"/>
      <c r="B1110" s="13"/>
      <c r="C1110" s="14"/>
      <c r="D1110" s="14"/>
      <c r="E1110" s="13"/>
      <c r="F1110" s="15"/>
      <c r="G1110" s="16" t="str">
        <f aca="false">IF(OR(B1110="",A1110=""),"",C1110*IFERROR(INDEX(Kişiler!$B$5:$B$44,MATCH(B1110,Kişiler!$A$5:$A$44,0)),0)+D1110*IFERROR(INDEX(Kişiler!$C$5:$C$44,MATCH(B1110,Kişiler!$A$5:$A$44,0)),0))</f>
        <v/>
      </c>
    </row>
    <row r="1111" customFormat="false" ht="15" hidden="false" customHeight="false" outlineLevel="0" collapsed="false">
      <c r="A1111" s="12"/>
      <c r="B1111" s="13"/>
      <c r="C1111" s="14"/>
      <c r="D1111" s="14"/>
      <c r="E1111" s="13"/>
      <c r="F1111" s="15"/>
      <c r="G1111" s="16" t="str">
        <f aca="false">IF(OR(B1111="",A1111=""),"",C1111*IFERROR(INDEX(Kişiler!$B$5:$B$44,MATCH(B1111,Kişiler!$A$5:$A$44,0)),0)+D1111*IFERROR(INDEX(Kişiler!$C$5:$C$44,MATCH(B1111,Kişiler!$A$5:$A$44,0)),0))</f>
        <v/>
      </c>
    </row>
    <row r="1112" customFormat="false" ht="15" hidden="false" customHeight="false" outlineLevel="0" collapsed="false">
      <c r="A1112" s="12"/>
      <c r="B1112" s="13"/>
      <c r="C1112" s="14"/>
      <c r="D1112" s="14"/>
      <c r="E1112" s="13"/>
      <c r="F1112" s="15"/>
      <c r="G1112" s="16" t="str">
        <f aca="false">IF(OR(B1112="",A1112=""),"",C1112*IFERROR(INDEX(Kişiler!$B$5:$B$44,MATCH(B1112,Kişiler!$A$5:$A$44,0)),0)+D1112*IFERROR(INDEX(Kişiler!$C$5:$C$44,MATCH(B1112,Kişiler!$A$5:$A$44,0)),0))</f>
        <v/>
      </c>
    </row>
    <row r="1113" customFormat="false" ht="15" hidden="false" customHeight="false" outlineLevel="0" collapsed="false">
      <c r="A1113" s="12"/>
      <c r="B1113" s="13"/>
      <c r="C1113" s="14"/>
      <c r="D1113" s="14"/>
      <c r="E1113" s="13"/>
      <c r="F1113" s="15"/>
      <c r="G1113" s="16" t="str">
        <f aca="false">IF(OR(B1113="",A1113=""),"",C1113*IFERROR(INDEX(Kişiler!$B$5:$B$44,MATCH(B1113,Kişiler!$A$5:$A$44,0)),0)+D1113*IFERROR(INDEX(Kişiler!$C$5:$C$44,MATCH(B1113,Kişiler!$A$5:$A$44,0)),0))</f>
        <v/>
      </c>
    </row>
    <row r="1114" customFormat="false" ht="15" hidden="false" customHeight="false" outlineLevel="0" collapsed="false">
      <c r="A1114" s="12"/>
      <c r="B1114" s="13"/>
      <c r="C1114" s="14"/>
      <c r="D1114" s="14"/>
      <c r="E1114" s="13"/>
      <c r="F1114" s="15"/>
      <c r="G1114" s="16" t="str">
        <f aca="false">IF(OR(B1114="",A1114=""),"",C1114*IFERROR(INDEX(Kişiler!$B$5:$B$44,MATCH(B1114,Kişiler!$A$5:$A$44,0)),0)+D1114*IFERROR(INDEX(Kişiler!$C$5:$C$44,MATCH(B1114,Kişiler!$A$5:$A$44,0)),0))</f>
        <v/>
      </c>
    </row>
    <row r="1115" customFormat="false" ht="15" hidden="false" customHeight="false" outlineLevel="0" collapsed="false">
      <c r="A1115" s="12"/>
      <c r="B1115" s="13"/>
      <c r="C1115" s="14"/>
      <c r="D1115" s="14"/>
      <c r="E1115" s="13"/>
      <c r="F1115" s="15"/>
      <c r="G1115" s="16" t="str">
        <f aca="false">IF(OR(B1115="",A1115=""),"",C1115*IFERROR(INDEX(Kişiler!$B$5:$B$44,MATCH(B1115,Kişiler!$A$5:$A$44,0)),0)+D1115*IFERROR(INDEX(Kişiler!$C$5:$C$44,MATCH(B1115,Kişiler!$A$5:$A$44,0)),0))</f>
        <v/>
      </c>
    </row>
    <row r="1116" customFormat="false" ht="15" hidden="false" customHeight="false" outlineLevel="0" collapsed="false">
      <c r="A1116" s="12"/>
      <c r="B1116" s="13"/>
      <c r="C1116" s="14"/>
      <c r="D1116" s="14"/>
      <c r="E1116" s="13"/>
      <c r="F1116" s="15"/>
      <c r="G1116" s="16" t="str">
        <f aca="false">IF(OR(B1116="",A1116=""),"",C1116*IFERROR(INDEX(Kişiler!$B$5:$B$44,MATCH(B1116,Kişiler!$A$5:$A$44,0)),0)+D1116*IFERROR(INDEX(Kişiler!$C$5:$C$44,MATCH(B1116,Kişiler!$A$5:$A$44,0)),0))</f>
        <v/>
      </c>
    </row>
    <row r="1117" customFormat="false" ht="15" hidden="false" customHeight="false" outlineLevel="0" collapsed="false">
      <c r="A1117" s="12"/>
      <c r="B1117" s="13"/>
      <c r="C1117" s="14"/>
      <c r="D1117" s="14"/>
      <c r="E1117" s="13"/>
      <c r="F1117" s="15"/>
      <c r="G1117" s="16" t="str">
        <f aca="false">IF(OR(B1117="",A1117=""),"",C1117*IFERROR(INDEX(Kişiler!$B$5:$B$44,MATCH(B1117,Kişiler!$A$5:$A$44,0)),0)+D1117*IFERROR(INDEX(Kişiler!$C$5:$C$44,MATCH(B1117,Kişiler!$A$5:$A$44,0)),0))</f>
        <v/>
      </c>
    </row>
    <row r="1118" customFormat="false" ht="15" hidden="false" customHeight="false" outlineLevel="0" collapsed="false">
      <c r="A1118" s="12"/>
      <c r="B1118" s="13"/>
      <c r="C1118" s="14"/>
      <c r="D1118" s="14"/>
      <c r="E1118" s="13"/>
      <c r="F1118" s="15"/>
      <c r="G1118" s="16" t="str">
        <f aca="false">IF(OR(B1118="",A1118=""),"",C1118*IFERROR(INDEX(Kişiler!$B$5:$B$44,MATCH(B1118,Kişiler!$A$5:$A$44,0)),0)+D1118*IFERROR(INDEX(Kişiler!$C$5:$C$44,MATCH(B1118,Kişiler!$A$5:$A$44,0)),0))</f>
        <v/>
      </c>
    </row>
    <row r="1119" customFormat="false" ht="15" hidden="false" customHeight="false" outlineLevel="0" collapsed="false">
      <c r="A1119" s="12"/>
      <c r="B1119" s="13"/>
      <c r="C1119" s="14"/>
      <c r="D1119" s="14"/>
      <c r="E1119" s="13"/>
      <c r="F1119" s="15"/>
      <c r="G1119" s="16" t="str">
        <f aca="false">IF(OR(B1119="",A1119=""),"",C1119*IFERROR(INDEX(Kişiler!$B$5:$B$44,MATCH(B1119,Kişiler!$A$5:$A$44,0)),0)+D1119*IFERROR(INDEX(Kişiler!$C$5:$C$44,MATCH(B1119,Kişiler!$A$5:$A$44,0)),0))</f>
        <v/>
      </c>
    </row>
    <row r="1120" customFormat="false" ht="15" hidden="false" customHeight="false" outlineLevel="0" collapsed="false">
      <c r="A1120" s="12"/>
      <c r="B1120" s="13"/>
      <c r="C1120" s="14"/>
      <c r="D1120" s="14"/>
      <c r="E1120" s="13"/>
      <c r="F1120" s="15"/>
      <c r="G1120" s="16" t="str">
        <f aca="false">IF(OR(B1120="",A1120=""),"",C1120*IFERROR(INDEX(Kişiler!$B$5:$B$44,MATCH(B1120,Kişiler!$A$5:$A$44,0)),0)+D1120*IFERROR(INDEX(Kişiler!$C$5:$C$44,MATCH(B1120,Kişiler!$A$5:$A$44,0)),0))</f>
        <v/>
      </c>
    </row>
    <row r="1121" customFormat="false" ht="15" hidden="false" customHeight="false" outlineLevel="0" collapsed="false">
      <c r="A1121" s="12"/>
      <c r="B1121" s="13"/>
      <c r="C1121" s="14"/>
      <c r="D1121" s="14"/>
      <c r="E1121" s="13"/>
      <c r="F1121" s="15"/>
      <c r="G1121" s="16" t="str">
        <f aca="false">IF(OR(B1121="",A1121=""),"",C1121*IFERROR(INDEX(Kişiler!$B$5:$B$44,MATCH(B1121,Kişiler!$A$5:$A$44,0)),0)+D1121*IFERROR(INDEX(Kişiler!$C$5:$C$44,MATCH(B1121,Kişiler!$A$5:$A$44,0)),0))</f>
        <v/>
      </c>
    </row>
    <row r="1122" customFormat="false" ht="15" hidden="false" customHeight="false" outlineLevel="0" collapsed="false">
      <c r="A1122" s="12"/>
      <c r="B1122" s="13"/>
      <c r="C1122" s="14"/>
      <c r="D1122" s="14"/>
      <c r="E1122" s="13"/>
      <c r="F1122" s="15"/>
      <c r="G1122" s="16" t="str">
        <f aca="false">IF(OR(B1122="",A1122=""),"",C1122*IFERROR(INDEX(Kişiler!$B$5:$B$44,MATCH(B1122,Kişiler!$A$5:$A$44,0)),0)+D1122*IFERROR(INDEX(Kişiler!$C$5:$C$44,MATCH(B1122,Kişiler!$A$5:$A$44,0)),0))</f>
        <v/>
      </c>
    </row>
    <row r="1123" customFormat="false" ht="15" hidden="false" customHeight="false" outlineLevel="0" collapsed="false">
      <c r="A1123" s="12"/>
      <c r="B1123" s="13"/>
      <c r="C1123" s="14"/>
      <c r="D1123" s="14"/>
      <c r="E1123" s="13"/>
      <c r="F1123" s="15"/>
      <c r="G1123" s="16" t="str">
        <f aca="false">IF(OR(B1123="",A1123=""),"",C1123*IFERROR(INDEX(Kişiler!$B$5:$B$44,MATCH(B1123,Kişiler!$A$5:$A$44,0)),0)+D1123*IFERROR(INDEX(Kişiler!$C$5:$C$44,MATCH(B1123,Kişiler!$A$5:$A$44,0)),0))</f>
        <v/>
      </c>
    </row>
    <row r="1124" customFormat="false" ht="15" hidden="false" customHeight="false" outlineLevel="0" collapsed="false">
      <c r="A1124" s="12"/>
      <c r="B1124" s="13"/>
      <c r="C1124" s="14"/>
      <c r="D1124" s="14"/>
      <c r="E1124" s="13"/>
      <c r="F1124" s="15"/>
      <c r="G1124" s="16" t="str">
        <f aca="false">IF(OR(B1124="",A1124=""),"",C1124*IFERROR(INDEX(Kişiler!$B$5:$B$44,MATCH(B1124,Kişiler!$A$5:$A$44,0)),0)+D1124*IFERROR(INDEX(Kişiler!$C$5:$C$44,MATCH(B1124,Kişiler!$A$5:$A$44,0)),0))</f>
        <v/>
      </c>
    </row>
    <row r="1125" customFormat="false" ht="15" hidden="false" customHeight="false" outlineLevel="0" collapsed="false">
      <c r="A1125" s="12"/>
      <c r="B1125" s="13"/>
      <c r="C1125" s="14"/>
      <c r="D1125" s="14"/>
      <c r="E1125" s="13"/>
      <c r="F1125" s="15"/>
      <c r="G1125" s="16" t="str">
        <f aca="false">IF(OR(B1125="",A1125=""),"",C1125*IFERROR(INDEX(Kişiler!$B$5:$B$44,MATCH(B1125,Kişiler!$A$5:$A$44,0)),0)+D1125*IFERROR(INDEX(Kişiler!$C$5:$C$44,MATCH(B1125,Kişiler!$A$5:$A$44,0)),0))</f>
        <v/>
      </c>
    </row>
    <row r="1126" customFormat="false" ht="15" hidden="false" customHeight="false" outlineLevel="0" collapsed="false">
      <c r="A1126" s="12"/>
      <c r="B1126" s="13"/>
      <c r="C1126" s="14"/>
      <c r="D1126" s="14"/>
      <c r="E1126" s="13"/>
      <c r="F1126" s="15"/>
      <c r="G1126" s="16" t="str">
        <f aca="false">IF(OR(B1126="",A1126=""),"",C1126*IFERROR(INDEX(Kişiler!$B$5:$B$44,MATCH(B1126,Kişiler!$A$5:$A$44,0)),0)+D1126*IFERROR(INDEX(Kişiler!$C$5:$C$44,MATCH(B1126,Kişiler!$A$5:$A$44,0)),0))</f>
        <v/>
      </c>
    </row>
    <row r="1127" customFormat="false" ht="15" hidden="false" customHeight="false" outlineLevel="0" collapsed="false">
      <c r="A1127" s="12"/>
      <c r="B1127" s="13"/>
      <c r="C1127" s="14"/>
      <c r="D1127" s="14"/>
      <c r="E1127" s="13"/>
      <c r="F1127" s="15"/>
      <c r="G1127" s="16" t="str">
        <f aca="false">IF(OR(B1127="",A1127=""),"",C1127*IFERROR(INDEX(Kişiler!$B$5:$B$44,MATCH(B1127,Kişiler!$A$5:$A$44,0)),0)+D1127*IFERROR(INDEX(Kişiler!$C$5:$C$44,MATCH(B1127,Kişiler!$A$5:$A$44,0)),0))</f>
        <v/>
      </c>
    </row>
    <row r="1128" customFormat="false" ht="15" hidden="false" customHeight="false" outlineLevel="0" collapsed="false">
      <c r="A1128" s="12"/>
      <c r="B1128" s="13"/>
      <c r="C1128" s="14"/>
      <c r="D1128" s="14"/>
      <c r="E1128" s="13"/>
      <c r="F1128" s="15"/>
      <c r="G1128" s="16" t="str">
        <f aca="false">IF(OR(B1128="",A1128=""),"",C1128*IFERROR(INDEX(Kişiler!$B$5:$B$44,MATCH(B1128,Kişiler!$A$5:$A$44,0)),0)+D1128*IFERROR(INDEX(Kişiler!$C$5:$C$44,MATCH(B1128,Kişiler!$A$5:$A$44,0)),0))</f>
        <v/>
      </c>
    </row>
    <row r="1129" customFormat="false" ht="15" hidden="false" customHeight="false" outlineLevel="0" collapsed="false">
      <c r="A1129" s="12"/>
      <c r="B1129" s="13"/>
      <c r="C1129" s="14"/>
      <c r="D1129" s="14"/>
      <c r="E1129" s="13"/>
      <c r="F1129" s="15"/>
      <c r="G1129" s="16" t="str">
        <f aca="false">IF(OR(B1129="",A1129=""),"",C1129*IFERROR(INDEX(Kişiler!$B$5:$B$44,MATCH(B1129,Kişiler!$A$5:$A$44,0)),0)+D1129*IFERROR(INDEX(Kişiler!$C$5:$C$44,MATCH(B1129,Kişiler!$A$5:$A$44,0)),0))</f>
        <v/>
      </c>
    </row>
    <row r="1130" customFormat="false" ht="15" hidden="false" customHeight="false" outlineLevel="0" collapsed="false">
      <c r="A1130" s="12"/>
      <c r="B1130" s="13"/>
      <c r="C1130" s="14"/>
      <c r="D1130" s="14"/>
      <c r="E1130" s="13"/>
      <c r="F1130" s="15"/>
      <c r="G1130" s="16" t="str">
        <f aca="false">IF(OR(B1130="",A1130=""),"",C1130*IFERROR(INDEX(Kişiler!$B$5:$B$44,MATCH(B1130,Kişiler!$A$5:$A$44,0)),0)+D1130*IFERROR(INDEX(Kişiler!$C$5:$C$44,MATCH(B1130,Kişiler!$A$5:$A$44,0)),0))</f>
        <v/>
      </c>
    </row>
    <row r="1131" customFormat="false" ht="15" hidden="false" customHeight="false" outlineLevel="0" collapsed="false">
      <c r="A1131" s="12"/>
      <c r="B1131" s="13"/>
      <c r="C1131" s="14"/>
      <c r="D1131" s="14"/>
      <c r="E1131" s="13"/>
      <c r="F1131" s="15"/>
      <c r="G1131" s="16" t="str">
        <f aca="false">IF(OR(B1131="",A1131=""),"",C1131*IFERROR(INDEX(Kişiler!$B$5:$B$44,MATCH(B1131,Kişiler!$A$5:$A$44,0)),0)+D1131*IFERROR(INDEX(Kişiler!$C$5:$C$44,MATCH(B1131,Kişiler!$A$5:$A$44,0)),0))</f>
        <v/>
      </c>
    </row>
    <row r="1132" customFormat="false" ht="15" hidden="false" customHeight="false" outlineLevel="0" collapsed="false">
      <c r="A1132" s="12"/>
      <c r="B1132" s="13"/>
      <c r="C1132" s="14"/>
      <c r="D1132" s="14"/>
      <c r="E1132" s="13"/>
      <c r="F1132" s="15"/>
      <c r="G1132" s="16" t="str">
        <f aca="false">IF(OR(B1132="",A1132=""),"",C1132*IFERROR(INDEX(Kişiler!$B$5:$B$44,MATCH(B1132,Kişiler!$A$5:$A$44,0)),0)+D1132*IFERROR(INDEX(Kişiler!$C$5:$C$44,MATCH(B1132,Kişiler!$A$5:$A$44,0)),0))</f>
        <v/>
      </c>
    </row>
    <row r="1133" customFormat="false" ht="15" hidden="false" customHeight="false" outlineLevel="0" collapsed="false">
      <c r="A1133" s="12"/>
      <c r="B1133" s="13"/>
      <c r="C1133" s="14"/>
      <c r="D1133" s="14"/>
      <c r="E1133" s="13"/>
      <c r="F1133" s="15"/>
      <c r="G1133" s="16" t="str">
        <f aca="false">IF(OR(B1133="",A1133=""),"",C1133*IFERROR(INDEX(Kişiler!$B$5:$B$44,MATCH(B1133,Kişiler!$A$5:$A$44,0)),0)+D1133*IFERROR(INDEX(Kişiler!$C$5:$C$44,MATCH(B1133,Kişiler!$A$5:$A$44,0)),0))</f>
        <v/>
      </c>
    </row>
    <row r="1134" customFormat="false" ht="15" hidden="false" customHeight="false" outlineLevel="0" collapsed="false">
      <c r="A1134" s="12"/>
      <c r="B1134" s="13"/>
      <c r="C1134" s="14"/>
      <c r="D1134" s="14"/>
      <c r="E1134" s="13"/>
      <c r="F1134" s="15"/>
      <c r="G1134" s="16" t="str">
        <f aca="false">IF(OR(B1134="",A1134=""),"",C1134*IFERROR(INDEX(Kişiler!$B$5:$B$44,MATCH(B1134,Kişiler!$A$5:$A$44,0)),0)+D1134*IFERROR(INDEX(Kişiler!$C$5:$C$44,MATCH(B1134,Kişiler!$A$5:$A$44,0)),0))</f>
        <v/>
      </c>
    </row>
    <row r="1135" customFormat="false" ht="15" hidden="false" customHeight="false" outlineLevel="0" collapsed="false">
      <c r="A1135" s="12"/>
      <c r="B1135" s="13"/>
      <c r="C1135" s="14"/>
      <c r="D1135" s="14"/>
      <c r="E1135" s="13"/>
      <c r="F1135" s="15"/>
      <c r="G1135" s="16" t="str">
        <f aca="false">IF(OR(B1135="",A1135=""),"",C1135*IFERROR(INDEX(Kişiler!$B$5:$B$44,MATCH(B1135,Kişiler!$A$5:$A$44,0)),0)+D1135*IFERROR(INDEX(Kişiler!$C$5:$C$44,MATCH(B1135,Kişiler!$A$5:$A$44,0)),0))</f>
        <v/>
      </c>
    </row>
    <row r="1136" customFormat="false" ht="15" hidden="false" customHeight="false" outlineLevel="0" collapsed="false">
      <c r="A1136" s="12"/>
      <c r="B1136" s="13"/>
      <c r="C1136" s="14"/>
      <c r="D1136" s="14"/>
      <c r="E1136" s="13"/>
      <c r="F1136" s="15"/>
      <c r="G1136" s="16" t="str">
        <f aca="false">IF(OR(B1136="",A1136=""),"",C1136*IFERROR(INDEX(Kişiler!$B$5:$B$44,MATCH(B1136,Kişiler!$A$5:$A$44,0)),0)+D1136*IFERROR(INDEX(Kişiler!$C$5:$C$44,MATCH(B1136,Kişiler!$A$5:$A$44,0)),0))</f>
        <v/>
      </c>
    </row>
    <row r="1137" customFormat="false" ht="15" hidden="false" customHeight="false" outlineLevel="0" collapsed="false">
      <c r="A1137" s="12"/>
      <c r="B1137" s="13"/>
      <c r="C1137" s="14"/>
      <c r="D1137" s="14"/>
      <c r="E1137" s="13"/>
      <c r="F1137" s="15"/>
      <c r="G1137" s="16" t="str">
        <f aca="false">IF(OR(B1137="",A1137=""),"",C1137*IFERROR(INDEX(Kişiler!$B$5:$B$44,MATCH(B1137,Kişiler!$A$5:$A$44,0)),0)+D1137*IFERROR(INDEX(Kişiler!$C$5:$C$44,MATCH(B1137,Kişiler!$A$5:$A$44,0)),0))</f>
        <v/>
      </c>
    </row>
    <row r="1138" customFormat="false" ht="15" hidden="false" customHeight="false" outlineLevel="0" collapsed="false">
      <c r="A1138" s="12"/>
      <c r="B1138" s="13"/>
      <c r="C1138" s="14"/>
      <c r="D1138" s="14"/>
      <c r="E1138" s="13"/>
      <c r="F1138" s="15"/>
      <c r="G1138" s="16" t="str">
        <f aca="false">IF(OR(B1138="",A1138=""),"",C1138*IFERROR(INDEX(Kişiler!$B$5:$B$44,MATCH(B1138,Kişiler!$A$5:$A$44,0)),0)+D1138*IFERROR(INDEX(Kişiler!$C$5:$C$44,MATCH(B1138,Kişiler!$A$5:$A$44,0)),0))</f>
        <v/>
      </c>
    </row>
    <row r="1139" customFormat="false" ht="15" hidden="false" customHeight="false" outlineLevel="0" collapsed="false">
      <c r="A1139" s="12"/>
      <c r="B1139" s="13"/>
      <c r="C1139" s="14"/>
      <c r="D1139" s="14"/>
      <c r="E1139" s="13"/>
      <c r="F1139" s="15"/>
      <c r="G1139" s="16" t="str">
        <f aca="false">IF(OR(B1139="",A1139=""),"",C1139*IFERROR(INDEX(Kişiler!$B$5:$B$44,MATCH(B1139,Kişiler!$A$5:$A$44,0)),0)+D1139*IFERROR(INDEX(Kişiler!$C$5:$C$44,MATCH(B1139,Kişiler!$A$5:$A$44,0)),0))</f>
        <v/>
      </c>
    </row>
    <row r="1140" customFormat="false" ht="15" hidden="false" customHeight="false" outlineLevel="0" collapsed="false">
      <c r="A1140" s="12"/>
      <c r="B1140" s="13"/>
      <c r="C1140" s="14"/>
      <c r="D1140" s="14"/>
      <c r="E1140" s="13"/>
      <c r="F1140" s="15"/>
      <c r="G1140" s="16" t="str">
        <f aca="false">IF(OR(B1140="",A1140=""),"",C1140*IFERROR(INDEX(Kişiler!$B$5:$B$44,MATCH(B1140,Kişiler!$A$5:$A$44,0)),0)+D1140*IFERROR(INDEX(Kişiler!$C$5:$C$44,MATCH(B1140,Kişiler!$A$5:$A$44,0)),0))</f>
        <v/>
      </c>
    </row>
    <row r="1141" customFormat="false" ht="15" hidden="false" customHeight="false" outlineLevel="0" collapsed="false">
      <c r="A1141" s="12"/>
      <c r="B1141" s="13"/>
      <c r="C1141" s="14"/>
      <c r="D1141" s="14"/>
      <c r="E1141" s="13"/>
      <c r="F1141" s="15"/>
      <c r="G1141" s="16" t="str">
        <f aca="false">IF(OR(B1141="",A1141=""),"",C1141*IFERROR(INDEX(Kişiler!$B$5:$B$44,MATCH(B1141,Kişiler!$A$5:$A$44,0)),0)+D1141*IFERROR(INDEX(Kişiler!$C$5:$C$44,MATCH(B1141,Kişiler!$A$5:$A$44,0)),0))</f>
        <v/>
      </c>
    </row>
    <row r="1142" customFormat="false" ht="15" hidden="false" customHeight="false" outlineLevel="0" collapsed="false">
      <c r="A1142" s="12"/>
      <c r="B1142" s="13"/>
      <c r="C1142" s="14"/>
      <c r="D1142" s="14"/>
      <c r="E1142" s="13"/>
      <c r="F1142" s="15"/>
      <c r="G1142" s="16" t="str">
        <f aca="false">IF(OR(B1142="",A1142=""),"",C1142*IFERROR(INDEX(Kişiler!$B$5:$B$44,MATCH(B1142,Kişiler!$A$5:$A$44,0)),0)+D1142*IFERROR(INDEX(Kişiler!$C$5:$C$44,MATCH(B1142,Kişiler!$A$5:$A$44,0)),0))</f>
        <v/>
      </c>
    </row>
    <row r="1143" customFormat="false" ht="15" hidden="false" customHeight="false" outlineLevel="0" collapsed="false">
      <c r="A1143" s="12"/>
      <c r="B1143" s="13"/>
      <c r="C1143" s="14"/>
      <c r="D1143" s="14"/>
      <c r="E1143" s="13"/>
      <c r="F1143" s="15"/>
      <c r="G1143" s="16" t="str">
        <f aca="false">IF(OR(B1143="",A1143=""),"",C1143*IFERROR(INDEX(Kişiler!$B$5:$B$44,MATCH(B1143,Kişiler!$A$5:$A$44,0)),0)+D1143*IFERROR(INDEX(Kişiler!$C$5:$C$44,MATCH(B1143,Kişiler!$A$5:$A$44,0)),0))</f>
        <v/>
      </c>
    </row>
    <row r="1144" customFormat="false" ht="15" hidden="false" customHeight="false" outlineLevel="0" collapsed="false">
      <c r="A1144" s="12"/>
      <c r="B1144" s="13"/>
      <c r="C1144" s="14"/>
      <c r="D1144" s="14"/>
      <c r="E1144" s="13"/>
      <c r="F1144" s="15"/>
      <c r="G1144" s="16" t="str">
        <f aca="false">IF(OR(B1144="",A1144=""),"",C1144*IFERROR(INDEX(Kişiler!$B$5:$B$44,MATCH(B1144,Kişiler!$A$5:$A$44,0)),0)+D1144*IFERROR(INDEX(Kişiler!$C$5:$C$44,MATCH(B1144,Kişiler!$A$5:$A$44,0)),0))</f>
        <v/>
      </c>
    </row>
    <row r="1145" customFormat="false" ht="15" hidden="false" customHeight="false" outlineLevel="0" collapsed="false">
      <c r="A1145" s="12"/>
      <c r="B1145" s="13"/>
      <c r="C1145" s="14"/>
      <c r="D1145" s="14"/>
      <c r="E1145" s="13"/>
      <c r="F1145" s="15"/>
      <c r="G1145" s="16" t="str">
        <f aca="false">IF(OR(B1145="",A1145=""),"",C1145*IFERROR(INDEX(Kişiler!$B$5:$B$44,MATCH(B1145,Kişiler!$A$5:$A$44,0)),0)+D1145*IFERROR(INDEX(Kişiler!$C$5:$C$44,MATCH(B1145,Kişiler!$A$5:$A$44,0)),0))</f>
        <v/>
      </c>
    </row>
    <row r="1146" customFormat="false" ht="15" hidden="false" customHeight="false" outlineLevel="0" collapsed="false">
      <c r="A1146" s="12"/>
      <c r="B1146" s="13"/>
      <c r="C1146" s="14"/>
      <c r="D1146" s="14"/>
      <c r="E1146" s="13"/>
      <c r="F1146" s="15"/>
      <c r="G1146" s="16" t="str">
        <f aca="false">IF(OR(B1146="",A1146=""),"",C1146*IFERROR(INDEX(Kişiler!$B$5:$B$44,MATCH(B1146,Kişiler!$A$5:$A$44,0)),0)+D1146*IFERROR(INDEX(Kişiler!$C$5:$C$44,MATCH(B1146,Kişiler!$A$5:$A$44,0)),0))</f>
        <v/>
      </c>
    </row>
    <row r="1147" customFormat="false" ht="15" hidden="false" customHeight="false" outlineLevel="0" collapsed="false">
      <c r="A1147" s="12"/>
      <c r="B1147" s="13"/>
      <c r="C1147" s="14"/>
      <c r="D1147" s="14"/>
      <c r="E1147" s="13"/>
      <c r="F1147" s="15"/>
      <c r="G1147" s="16" t="str">
        <f aca="false">IF(OR(B1147="",A1147=""),"",C1147*IFERROR(INDEX(Kişiler!$B$5:$B$44,MATCH(B1147,Kişiler!$A$5:$A$44,0)),0)+D1147*IFERROR(INDEX(Kişiler!$C$5:$C$44,MATCH(B1147,Kişiler!$A$5:$A$44,0)),0))</f>
        <v/>
      </c>
    </row>
    <row r="1148" customFormat="false" ht="15" hidden="false" customHeight="false" outlineLevel="0" collapsed="false">
      <c r="A1148" s="12"/>
      <c r="B1148" s="13"/>
      <c r="C1148" s="14"/>
      <c r="D1148" s="14"/>
      <c r="E1148" s="13"/>
      <c r="F1148" s="15"/>
      <c r="G1148" s="16" t="str">
        <f aca="false">IF(OR(B1148="",A1148=""),"",C1148*IFERROR(INDEX(Kişiler!$B$5:$B$44,MATCH(B1148,Kişiler!$A$5:$A$44,0)),0)+D1148*IFERROR(INDEX(Kişiler!$C$5:$C$44,MATCH(B1148,Kişiler!$A$5:$A$44,0)),0))</f>
        <v/>
      </c>
    </row>
    <row r="1149" customFormat="false" ht="15" hidden="false" customHeight="false" outlineLevel="0" collapsed="false">
      <c r="A1149" s="12"/>
      <c r="B1149" s="13"/>
      <c r="C1149" s="14"/>
      <c r="D1149" s="14"/>
      <c r="E1149" s="13"/>
      <c r="F1149" s="15"/>
      <c r="G1149" s="16" t="str">
        <f aca="false">IF(OR(B1149="",A1149=""),"",C1149*IFERROR(INDEX(Kişiler!$B$5:$B$44,MATCH(B1149,Kişiler!$A$5:$A$44,0)),0)+D1149*IFERROR(INDEX(Kişiler!$C$5:$C$44,MATCH(B1149,Kişiler!$A$5:$A$44,0)),0))</f>
        <v/>
      </c>
    </row>
    <row r="1150" customFormat="false" ht="15" hidden="false" customHeight="false" outlineLevel="0" collapsed="false">
      <c r="A1150" s="12"/>
      <c r="B1150" s="13"/>
      <c r="C1150" s="14"/>
      <c r="D1150" s="14"/>
      <c r="E1150" s="13"/>
      <c r="F1150" s="15"/>
      <c r="G1150" s="16" t="str">
        <f aca="false">IF(OR(B1150="",A1150=""),"",C1150*IFERROR(INDEX(Kişiler!$B$5:$B$44,MATCH(B1150,Kişiler!$A$5:$A$44,0)),0)+D1150*IFERROR(INDEX(Kişiler!$C$5:$C$44,MATCH(B1150,Kişiler!$A$5:$A$44,0)),0))</f>
        <v/>
      </c>
    </row>
    <row r="1151" customFormat="false" ht="15" hidden="false" customHeight="false" outlineLevel="0" collapsed="false">
      <c r="A1151" s="12"/>
      <c r="B1151" s="13"/>
      <c r="C1151" s="14"/>
      <c r="D1151" s="14"/>
      <c r="E1151" s="13"/>
      <c r="F1151" s="15"/>
      <c r="G1151" s="16" t="str">
        <f aca="false">IF(OR(B1151="",A1151=""),"",C1151*IFERROR(INDEX(Kişiler!$B$5:$B$44,MATCH(B1151,Kişiler!$A$5:$A$44,0)),0)+D1151*IFERROR(INDEX(Kişiler!$C$5:$C$44,MATCH(B1151,Kişiler!$A$5:$A$44,0)),0))</f>
        <v/>
      </c>
    </row>
    <row r="1152" customFormat="false" ht="15" hidden="false" customHeight="false" outlineLevel="0" collapsed="false">
      <c r="A1152" s="12"/>
      <c r="B1152" s="13"/>
      <c r="C1152" s="14"/>
      <c r="D1152" s="14"/>
      <c r="E1152" s="13"/>
      <c r="F1152" s="15"/>
      <c r="G1152" s="16" t="str">
        <f aca="false">IF(OR(B1152="",A1152=""),"",C1152*IFERROR(INDEX(Kişiler!$B$5:$B$44,MATCH(B1152,Kişiler!$A$5:$A$44,0)),0)+D1152*IFERROR(INDEX(Kişiler!$C$5:$C$44,MATCH(B1152,Kişiler!$A$5:$A$44,0)),0))</f>
        <v/>
      </c>
    </row>
    <row r="1153" customFormat="false" ht="15" hidden="false" customHeight="false" outlineLevel="0" collapsed="false">
      <c r="A1153" s="12"/>
      <c r="B1153" s="13"/>
      <c r="C1153" s="14"/>
      <c r="D1153" s="14"/>
      <c r="E1153" s="13"/>
      <c r="F1153" s="15"/>
      <c r="G1153" s="16" t="str">
        <f aca="false">IF(OR(B1153="",A1153=""),"",C1153*IFERROR(INDEX(Kişiler!$B$5:$B$44,MATCH(B1153,Kişiler!$A$5:$A$44,0)),0)+D1153*IFERROR(INDEX(Kişiler!$C$5:$C$44,MATCH(B1153,Kişiler!$A$5:$A$44,0)),0))</f>
        <v/>
      </c>
    </row>
    <row r="1154" customFormat="false" ht="15" hidden="false" customHeight="false" outlineLevel="0" collapsed="false">
      <c r="A1154" s="12"/>
      <c r="B1154" s="13"/>
      <c r="C1154" s="14"/>
      <c r="D1154" s="14"/>
      <c r="E1154" s="13"/>
      <c r="F1154" s="15"/>
      <c r="G1154" s="16" t="str">
        <f aca="false">IF(OR(B1154="",A1154=""),"",C1154*IFERROR(INDEX(Kişiler!$B$5:$B$44,MATCH(B1154,Kişiler!$A$5:$A$44,0)),0)+D1154*IFERROR(INDEX(Kişiler!$C$5:$C$44,MATCH(B1154,Kişiler!$A$5:$A$44,0)),0))</f>
        <v/>
      </c>
    </row>
    <row r="1155" customFormat="false" ht="15" hidden="false" customHeight="false" outlineLevel="0" collapsed="false">
      <c r="A1155" s="12"/>
      <c r="B1155" s="13"/>
      <c r="C1155" s="14"/>
      <c r="D1155" s="14"/>
      <c r="E1155" s="13"/>
      <c r="F1155" s="15"/>
      <c r="G1155" s="16" t="str">
        <f aca="false">IF(OR(B1155="",A1155=""),"",C1155*IFERROR(INDEX(Kişiler!$B$5:$B$44,MATCH(B1155,Kişiler!$A$5:$A$44,0)),0)+D1155*IFERROR(INDEX(Kişiler!$C$5:$C$44,MATCH(B1155,Kişiler!$A$5:$A$44,0)),0))</f>
        <v/>
      </c>
    </row>
    <row r="1156" customFormat="false" ht="15" hidden="false" customHeight="false" outlineLevel="0" collapsed="false">
      <c r="A1156" s="12"/>
      <c r="B1156" s="13"/>
      <c r="C1156" s="14"/>
      <c r="D1156" s="14"/>
      <c r="E1156" s="13"/>
      <c r="F1156" s="15"/>
      <c r="G1156" s="16" t="str">
        <f aca="false">IF(OR(B1156="",A1156=""),"",C1156*IFERROR(INDEX(Kişiler!$B$5:$B$44,MATCH(B1156,Kişiler!$A$5:$A$44,0)),0)+D1156*IFERROR(INDEX(Kişiler!$C$5:$C$44,MATCH(B1156,Kişiler!$A$5:$A$44,0)),0))</f>
        <v/>
      </c>
    </row>
    <row r="1157" customFormat="false" ht="15" hidden="false" customHeight="false" outlineLevel="0" collapsed="false">
      <c r="A1157" s="12"/>
      <c r="B1157" s="13"/>
      <c r="C1157" s="14"/>
      <c r="D1157" s="14"/>
      <c r="E1157" s="13"/>
      <c r="F1157" s="15"/>
      <c r="G1157" s="16" t="str">
        <f aca="false">IF(OR(B1157="",A1157=""),"",C1157*IFERROR(INDEX(Kişiler!$B$5:$B$44,MATCH(B1157,Kişiler!$A$5:$A$44,0)),0)+D1157*IFERROR(INDEX(Kişiler!$C$5:$C$44,MATCH(B1157,Kişiler!$A$5:$A$44,0)),0))</f>
        <v/>
      </c>
    </row>
    <row r="1158" customFormat="false" ht="15" hidden="false" customHeight="false" outlineLevel="0" collapsed="false">
      <c r="A1158" s="12"/>
      <c r="B1158" s="13"/>
      <c r="C1158" s="14"/>
      <c r="D1158" s="14"/>
      <c r="E1158" s="13"/>
      <c r="F1158" s="15"/>
      <c r="G1158" s="16" t="str">
        <f aca="false">IF(OR(B1158="",A1158=""),"",C1158*IFERROR(INDEX(Kişiler!$B$5:$B$44,MATCH(B1158,Kişiler!$A$5:$A$44,0)),0)+D1158*IFERROR(INDEX(Kişiler!$C$5:$C$44,MATCH(B1158,Kişiler!$A$5:$A$44,0)),0))</f>
        <v/>
      </c>
    </row>
    <row r="1159" customFormat="false" ht="15" hidden="false" customHeight="false" outlineLevel="0" collapsed="false">
      <c r="A1159" s="12"/>
      <c r="B1159" s="13"/>
      <c r="C1159" s="14"/>
      <c r="D1159" s="14"/>
      <c r="E1159" s="13"/>
      <c r="F1159" s="15"/>
      <c r="G1159" s="16" t="str">
        <f aca="false">IF(OR(B1159="",A1159=""),"",C1159*IFERROR(INDEX(Kişiler!$B$5:$B$44,MATCH(B1159,Kişiler!$A$5:$A$44,0)),0)+D1159*IFERROR(INDEX(Kişiler!$C$5:$C$44,MATCH(B1159,Kişiler!$A$5:$A$44,0)),0))</f>
        <v/>
      </c>
    </row>
    <row r="1160" customFormat="false" ht="15" hidden="false" customHeight="false" outlineLevel="0" collapsed="false">
      <c r="A1160" s="12"/>
      <c r="B1160" s="13"/>
      <c r="C1160" s="14"/>
      <c r="D1160" s="14"/>
      <c r="E1160" s="13"/>
      <c r="F1160" s="15"/>
      <c r="G1160" s="16" t="str">
        <f aca="false">IF(OR(B1160="",A1160=""),"",C1160*IFERROR(INDEX(Kişiler!$B$5:$B$44,MATCH(B1160,Kişiler!$A$5:$A$44,0)),0)+D1160*IFERROR(INDEX(Kişiler!$C$5:$C$44,MATCH(B1160,Kişiler!$A$5:$A$44,0)),0))</f>
        <v/>
      </c>
    </row>
    <row r="1161" customFormat="false" ht="15" hidden="false" customHeight="false" outlineLevel="0" collapsed="false">
      <c r="A1161" s="12"/>
      <c r="B1161" s="13"/>
      <c r="C1161" s="14"/>
      <c r="D1161" s="14"/>
      <c r="E1161" s="13"/>
      <c r="F1161" s="15"/>
      <c r="G1161" s="16" t="str">
        <f aca="false">IF(OR(B1161="",A1161=""),"",C1161*IFERROR(INDEX(Kişiler!$B$5:$B$44,MATCH(B1161,Kişiler!$A$5:$A$44,0)),0)+D1161*IFERROR(INDEX(Kişiler!$C$5:$C$44,MATCH(B1161,Kişiler!$A$5:$A$44,0)),0))</f>
        <v/>
      </c>
    </row>
    <row r="1162" customFormat="false" ht="15" hidden="false" customHeight="false" outlineLevel="0" collapsed="false">
      <c r="A1162" s="12"/>
      <c r="B1162" s="13"/>
      <c r="C1162" s="14"/>
      <c r="D1162" s="14"/>
      <c r="E1162" s="13"/>
      <c r="F1162" s="15"/>
      <c r="G1162" s="16" t="str">
        <f aca="false">IF(OR(B1162="",A1162=""),"",C1162*IFERROR(INDEX(Kişiler!$B$5:$B$44,MATCH(B1162,Kişiler!$A$5:$A$44,0)),0)+D1162*IFERROR(INDEX(Kişiler!$C$5:$C$44,MATCH(B1162,Kişiler!$A$5:$A$44,0)),0))</f>
        <v/>
      </c>
    </row>
    <row r="1163" customFormat="false" ht="15" hidden="false" customHeight="false" outlineLevel="0" collapsed="false">
      <c r="A1163" s="12"/>
      <c r="B1163" s="13"/>
      <c r="C1163" s="14"/>
      <c r="D1163" s="14"/>
      <c r="E1163" s="13"/>
      <c r="F1163" s="15"/>
      <c r="G1163" s="16" t="str">
        <f aca="false">IF(OR(B1163="",A1163=""),"",C1163*IFERROR(INDEX(Kişiler!$B$5:$B$44,MATCH(B1163,Kişiler!$A$5:$A$44,0)),0)+D1163*IFERROR(INDEX(Kişiler!$C$5:$C$44,MATCH(B1163,Kişiler!$A$5:$A$44,0)),0))</f>
        <v/>
      </c>
    </row>
    <row r="1164" customFormat="false" ht="15" hidden="false" customHeight="false" outlineLevel="0" collapsed="false">
      <c r="A1164" s="12"/>
      <c r="B1164" s="13"/>
      <c r="C1164" s="14"/>
      <c r="D1164" s="14"/>
      <c r="E1164" s="13"/>
      <c r="F1164" s="15"/>
      <c r="G1164" s="16" t="str">
        <f aca="false">IF(OR(B1164="",A1164=""),"",C1164*IFERROR(INDEX(Kişiler!$B$5:$B$44,MATCH(B1164,Kişiler!$A$5:$A$44,0)),0)+D1164*IFERROR(INDEX(Kişiler!$C$5:$C$44,MATCH(B1164,Kişiler!$A$5:$A$44,0)),0))</f>
        <v/>
      </c>
    </row>
    <row r="1165" customFormat="false" ht="15" hidden="false" customHeight="false" outlineLevel="0" collapsed="false">
      <c r="A1165" s="12"/>
      <c r="B1165" s="13"/>
      <c r="C1165" s="14"/>
      <c r="D1165" s="14"/>
      <c r="E1165" s="13"/>
      <c r="F1165" s="15"/>
      <c r="G1165" s="16" t="str">
        <f aca="false">IF(OR(B1165="",A1165=""),"",C1165*IFERROR(INDEX(Kişiler!$B$5:$B$44,MATCH(B1165,Kişiler!$A$5:$A$44,0)),0)+D1165*IFERROR(INDEX(Kişiler!$C$5:$C$44,MATCH(B1165,Kişiler!$A$5:$A$44,0)),0))</f>
        <v/>
      </c>
    </row>
    <row r="1166" customFormat="false" ht="15" hidden="false" customHeight="false" outlineLevel="0" collapsed="false">
      <c r="A1166" s="12"/>
      <c r="B1166" s="13"/>
      <c r="C1166" s="14"/>
      <c r="D1166" s="14"/>
      <c r="E1166" s="13"/>
      <c r="F1166" s="15"/>
      <c r="G1166" s="16" t="str">
        <f aca="false">IF(OR(B1166="",A1166=""),"",C1166*IFERROR(INDEX(Kişiler!$B$5:$B$44,MATCH(B1166,Kişiler!$A$5:$A$44,0)),0)+D1166*IFERROR(INDEX(Kişiler!$C$5:$C$44,MATCH(B1166,Kişiler!$A$5:$A$44,0)),0))</f>
        <v/>
      </c>
    </row>
    <row r="1167" customFormat="false" ht="15" hidden="false" customHeight="false" outlineLevel="0" collapsed="false">
      <c r="A1167" s="12"/>
      <c r="B1167" s="13"/>
      <c r="C1167" s="14"/>
      <c r="D1167" s="14"/>
      <c r="E1167" s="13"/>
      <c r="F1167" s="15"/>
      <c r="G1167" s="16" t="str">
        <f aca="false">IF(OR(B1167="",A1167=""),"",C1167*IFERROR(INDEX(Kişiler!$B$5:$B$44,MATCH(B1167,Kişiler!$A$5:$A$44,0)),0)+D1167*IFERROR(INDEX(Kişiler!$C$5:$C$44,MATCH(B1167,Kişiler!$A$5:$A$44,0)),0))</f>
        <v/>
      </c>
    </row>
    <row r="1168" customFormat="false" ht="15" hidden="false" customHeight="false" outlineLevel="0" collapsed="false">
      <c r="A1168" s="12"/>
      <c r="B1168" s="13"/>
      <c r="C1168" s="14"/>
      <c r="D1168" s="14"/>
      <c r="E1168" s="13"/>
      <c r="F1168" s="15"/>
      <c r="G1168" s="16" t="str">
        <f aca="false">IF(OR(B1168="",A1168=""),"",C1168*IFERROR(INDEX(Kişiler!$B$5:$B$44,MATCH(B1168,Kişiler!$A$5:$A$44,0)),0)+D1168*IFERROR(INDEX(Kişiler!$C$5:$C$44,MATCH(B1168,Kişiler!$A$5:$A$44,0)),0))</f>
        <v/>
      </c>
    </row>
    <row r="1169" customFormat="false" ht="15" hidden="false" customHeight="false" outlineLevel="0" collapsed="false">
      <c r="A1169" s="12"/>
      <c r="B1169" s="13"/>
      <c r="C1169" s="14"/>
      <c r="D1169" s="14"/>
      <c r="E1169" s="13"/>
      <c r="F1169" s="15"/>
      <c r="G1169" s="16" t="str">
        <f aca="false">IF(OR(B1169="",A1169=""),"",C1169*IFERROR(INDEX(Kişiler!$B$5:$B$44,MATCH(B1169,Kişiler!$A$5:$A$44,0)),0)+D1169*IFERROR(INDEX(Kişiler!$C$5:$C$44,MATCH(B1169,Kişiler!$A$5:$A$44,0)),0))</f>
        <v/>
      </c>
    </row>
    <row r="1170" customFormat="false" ht="15" hidden="false" customHeight="false" outlineLevel="0" collapsed="false">
      <c r="A1170" s="12"/>
      <c r="B1170" s="13"/>
      <c r="C1170" s="14"/>
      <c r="D1170" s="14"/>
      <c r="E1170" s="13"/>
      <c r="F1170" s="15"/>
      <c r="G1170" s="16" t="str">
        <f aca="false">IF(OR(B1170="",A1170=""),"",C1170*IFERROR(INDEX(Kişiler!$B$5:$B$44,MATCH(B1170,Kişiler!$A$5:$A$44,0)),0)+D1170*IFERROR(INDEX(Kişiler!$C$5:$C$44,MATCH(B1170,Kişiler!$A$5:$A$44,0)),0))</f>
        <v/>
      </c>
    </row>
    <row r="1171" customFormat="false" ht="15" hidden="false" customHeight="false" outlineLevel="0" collapsed="false">
      <c r="A1171" s="12"/>
      <c r="B1171" s="13"/>
      <c r="C1171" s="14"/>
      <c r="D1171" s="14"/>
      <c r="E1171" s="13"/>
      <c r="F1171" s="15"/>
      <c r="G1171" s="16" t="str">
        <f aca="false">IF(OR(B1171="",A1171=""),"",C1171*IFERROR(INDEX(Kişiler!$B$5:$B$44,MATCH(B1171,Kişiler!$A$5:$A$44,0)),0)+D1171*IFERROR(INDEX(Kişiler!$C$5:$C$44,MATCH(B1171,Kişiler!$A$5:$A$44,0)),0))</f>
        <v/>
      </c>
    </row>
    <row r="1172" customFormat="false" ht="15" hidden="false" customHeight="false" outlineLevel="0" collapsed="false">
      <c r="A1172" s="12"/>
      <c r="B1172" s="13"/>
      <c r="C1172" s="14"/>
      <c r="D1172" s="14"/>
      <c r="E1172" s="13"/>
      <c r="F1172" s="15"/>
      <c r="G1172" s="16" t="str">
        <f aca="false">IF(OR(B1172="",A1172=""),"",C1172*IFERROR(INDEX(Kişiler!$B$5:$B$44,MATCH(B1172,Kişiler!$A$5:$A$44,0)),0)+D1172*IFERROR(INDEX(Kişiler!$C$5:$C$44,MATCH(B1172,Kişiler!$A$5:$A$44,0)),0))</f>
        <v/>
      </c>
    </row>
    <row r="1173" customFormat="false" ht="15" hidden="false" customHeight="false" outlineLevel="0" collapsed="false">
      <c r="A1173" s="12"/>
      <c r="B1173" s="13"/>
      <c r="C1173" s="14"/>
      <c r="D1173" s="14"/>
      <c r="E1173" s="13"/>
      <c r="F1173" s="15"/>
      <c r="G1173" s="16" t="str">
        <f aca="false">IF(OR(B1173="",A1173=""),"",C1173*IFERROR(INDEX(Kişiler!$B$5:$B$44,MATCH(B1173,Kişiler!$A$5:$A$44,0)),0)+D1173*IFERROR(INDEX(Kişiler!$C$5:$C$44,MATCH(B1173,Kişiler!$A$5:$A$44,0)),0))</f>
        <v/>
      </c>
    </row>
    <row r="1174" customFormat="false" ht="15" hidden="false" customHeight="false" outlineLevel="0" collapsed="false">
      <c r="A1174" s="12"/>
      <c r="B1174" s="13"/>
      <c r="C1174" s="14"/>
      <c r="D1174" s="14"/>
      <c r="E1174" s="13"/>
      <c r="F1174" s="15"/>
      <c r="G1174" s="16" t="str">
        <f aca="false">IF(OR(B1174="",A1174=""),"",C1174*IFERROR(INDEX(Kişiler!$B$5:$B$44,MATCH(B1174,Kişiler!$A$5:$A$44,0)),0)+D1174*IFERROR(INDEX(Kişiler!$C$5:$C$44,MATCH(B1174,Kişiler!$A$5:$A$44,0)),0))</f>
        <v/>
      </c>
    </row>
    <row r="1175" customFormat="false" ht="15" hidden="false" customHeight="false" outlineLevel="0" collapsed="false">
      <c r="A1175" s="12"/>
      <c r="B1175" s="13"/>
      <c r="C1175" s="14"/>
      <c r="D1175" s="14"/>
      <c r="E1175" s="13"/>
      <c r="F1175" s="15"/>
      <c r="G1175" s="16" t="str">
        <f aca="false">IF(OR(B1175="",A1175=""),"",C1175*IFERROR(INDEX(Kişiler!$B$5:$B$44,MATCH(B1175,Kişiler!$A$5:$A$44,0)),0)+D1175*IFERROR(INDEX(Kişiler!$C$5:$C$44,MATCH(B1175,Kişiler!$A$5:$A$44,0)),0))</f>
        <v/>
      </c>
    </row>
    <row r="1176" customFormat="false" ht="15" hidden="false" customHeight="false" outlineLevel="0" collapsed="false">
      <c r="A1176" s="12"/>
      <c r="B1176" s="13"/>
      <c r="C1176" s="14"/>
      <c r="D1176" s="14"/>
      <c r="E1176" s="13"/>
      <c r="F1176" s="15"/>
      <c r="G1176" s="16" t="str">
        <f aca="false">IF(OR(B1176="",A1176=""),"",C1176*IFERROR(INDEX(Kişiler!$B$5:$B$44,MATCH(B1176,Kişiler!$A$5:$A$44,0)),0)+D1176*IFERROR(INDEX(Kişiler!$C$5:$C$44,MATCH(B1176,Kişiler!$A$5:$A$44,0)),0))</f>
        <v/>
      </c>
    </row>
    <row r="1177" customFormat="false" ht="15" hidden="false" customHeight="false" outlineLevel="0" collapsed="false">
      <c r="A1177" s="12"/>
      <c r="B1177" s="13"/>
      <c r="C1177" s="14"/>
      <c r="D1177" s="14"/>
      <c r="E1177" s="13"/>
      <c r="F1177" s="15"/>
      <c r="G1177" s="16" t="str">
        <f aca="false">IF(OR(B1177="",A1177=""),"",C1177*IFERROR(INDEX(Kişiler!$B$5:$B$44,MATCH(B1177,Kişiler!$A$5:$A$44,0)),0)+D1177*IFERROR(INDEX(Kişiler!$C$5:$C$44,MATCH(B1177,Kişiler!$A$5:$A$44,0)),0))</f>
        <v/>
      </c>
    </row>
    <row r="1178" customFormat="false" ht="15" hidden="false" customHeight="false" outlineLevel="0" collapsed="false">
      <c r="A1178" s="12"/>
      <c r="B1178" s="13"/>
      <c r="C1178" s="14"/>
      <c r="D1178" s="14"/>
      <c r="E1178" s="13"/>
      <c r="F1178" s="15"/>
      <c r="G1178" s="16" t="str">
        <f aca="false">IF(OR(B1178="",A1178=""),"",C1178*IFERROR(INDEX(Kişiler!$B$5:$B$44,MATCH(B1178,Kişiler!$A$5:$A$44,0)),0)+D1178*IFERROR(INDEX(Kişiler!$C$5:$C$44,MATCH(B1178,Kişiler!$A$5:$A$44,0)),0))</f>
        <v/>
      </c>
    </row>
    <row r="1179" customFormat="false" ht="15" hidden="false" customHeight="false" outlineLevel="0" collapsed="false">
      <c r="A1179" s="12"/>
      <c r="B1179" s="13"/>
      <c r="C1179" s="14"/>
      <c r="D1179" s="14"/>
      <c r="E1179" s="13"/>
      <c r="F1179" s="15"/>
      <c r="G1179" s="16" t="str">
        <f aca="false">IF(OR(B1179="",A1179=""),"",C1179*IFERROR(INDEX(Kişiler!$B$5:$B$44,MATCH(B1179,Kişiler!$A$5:$A$44,0)),0)+D1179*IFERROR(INDEX(Kişiler!$C$5:$C$44,MATCH(B1179,Kişiler!$A$5:$A$44,0)),0))</f>
        <v/>
      </c>
    </row>
    <row r="1180" customFormat="false" ht="15" hidden="false" customHeight="false" outlineLevel="0" collapsed="false">
      <c r="A1180" s="12"/>
      <c r="B1180" s="13"/>
      <c r="C1180" s="14"/>
      <c r="D1180" s="14"/>
      <c r="E1180" s="13"/>
      <c r="F1180" s="15"/>
      <c r="G1180" s="16" t="str">
        <f aca="false">IF(OR(B1180="",A1180=""),"",C1180*IFERROR(INDEX(Kişiler!$B$5:$B$44,MATCH(B1180,Kişiler!$A$5:$A$44,0)),0)+D1180*IFERROR(INDEX(Kişiler!$C$5:$C$44,MATCH(B1180,Kişiler!$A$5:$A$44,0)),0))</f>
        <v/>
      </c>
    </row>
    <row r="1181" customFormat="false" ht="15" hidden="false" customHeight="false" outlineLevel="0" collapsed="false">
      <c r="A1181" s="12"/>
      <c r="B1181" s="13"/>
      <c r="C1181" s="14"/>
      <c r="D1181" s="14"/>
      <c r="E1181" s="13"/>
      <c r="F1181" s="15"/>
      <c r="G1181" s="16" t="str">
        <f aca="false">IF(OR(B1181="",A1181=""),"",C1181*IFERROR(INDEX(Kişiler!$B$5:$B$44,MATCH(B1181,Kişiler!$A$5:$A$44,0)),0)+D1181*IFERROR(INDEX(Kişiler!$C$5:$C$44,MATCH(B1181,Kişiler!$A$5:$A$44,0)),0))</f>
        <v/>
      </c>
    </row>
    <row r="1182" customFormat="false" ht="15" hidden="false" customHeight="false" outlineLevel="0" collapsed="false">
      <c r="A1182" s="12"/>
      <c r="B1182" s="13"/>
      <c r="C1182" s="14"/>
      <c r="D1182" s="14"/>
      <c r="E1182" s="13"/>
      <c r="F1182" s="15"/>
      <c r="G1182" s="16" t="str">
        <f aca="false">IF(OR(B1182="",A1182=""),"",C1182*IFERROR(INDEX(Kişiler!$B$5:$B$44,MATCH(B1182,Kişiler!$A$5:$A$44,0)),0)+D1182*IFERROR(INDEX(Kişiler!$C$5:$C$44,MATCH(B1182,Kişiler!$A$5:$A$44,0)),0))</f>
        <v/>
      </c>
    </row>
    <row r="1183" customFormat="false" ht="15" hidden="false" customHeight="false" outlineLevel="0" collapsed="false">
      <c r="A1183" s="12"/>
      <c r="B1183" s="13"/>
      <c r="C1183" s="14"/>
      <c r="D1183" s="14"/>
      <c r="E1183" s="13"/>
      <c r="F1183" s="15"/>
      <c r="G1183" s="16" t="str">
        <f aca="false">IF(OR(B1183="",A1183=""),"",C1183*IFERROR(INDEX(Kişiler!$B$5:$B$44,MATCH(B1183,Kişiler!$A$5:$A$44,0)),0)+D1183*IFERROR(INDEX(Kişiler!$C$5:$C$44,MATCH(B1183,Kişiler!$A$5:$A$44,0)),0))</f>
        <v/>
      </c>
    </row>
    <row r="1184" customFormat="false" ht="15" hidden="false" customHeight="false" outlineLevel="0" collapsed="false">
      <c r="A1184" s="12"/>
      <c r="B1184" s="13"/>
      <c r="C1184" s="14"/>
      <c r="D1184" s="14"/>
      <c r="E1184" s="13"/>
      <c r="F1184" s="15"/>
      <c r="G1184" s="16" t="str">
        <f aca="false">IF(OR(B1184="",A1184=""),"",C1184*IFERROR(INDEX(Kişiler!$B$5:$B$44,MATCH(B1184,Kişiler!$A$5:$A$44,0)),0)+D1184*IFERROR(INDEX(Kişiler!$C$5:$C$44,MATCH(B1184,Kişiler!$A$5:$A$44,0)),0))</f>
        <v/>
      </c>
    </row>
    <row r="1185" customFormat="false" ht="15" hidden="false" customHeight="false" outlineLevel="0" collapsed="false">
      <c r="A1185" s="12"/>
      <c r="B1185" s="13"/>
      <c r="C1185" s="14"/>
      <c r="D1185" s="14"/>
      <c r="E1185" s="13"/>
      <c r="F1185" s="15"/>
      <c r="G1185" s="16" t="str">
        <f aca="false">IF(OR(B1185="",A1185=""),"",C1185*IFERROR(INDEX(Kişiler!$B$5:$B$44,MATCH(B1185,Kişiler!$A$5:$A$44,0)),0)+D1185*IFERROR(INDEX(Kişiler!$C$5:$C$44,MATCH(B1185,Kişiler!$A$5:$A$44,0)),0))</f>
        <v/>
      </c>
    </row>
    <row r="1186" customFormat="false" ht="15" hidden="false" customHeight="false" outlineLevel="0" collapsed="false">
      <c r="A1186" s="12"/>
      <c r="B1186" s="13"/>
      <c r="C1186" s="14"/>
      <c r="D1186" s="14"/>
      <c r="E1186" s="13"/>
      <c r="F1186" s="15"/>
      <c r="G1186" s="16" t="str">
        <f aca="false">IF(OR(B1186="",A1186=""),"",C1186*IFERROR(INDEX(Kişiler!$B$5:$B$44,MATCH(B1186,Kişiler!$A$5:$A$44,0)),0)+D1186*IFERROR(INDEX(Kişiler!$C$5:$C$44,MATCH(B1186,Kişiler!$A$5:$A$44,0)),0))</f>
        <v/>
      </c>
    </row>
    <row r="1187" customFormat="false" ht="15" hidden="false" customHeight="false" outlineLevel="0" collapsed="false">
      <c r="A1187" s="12"/>
      <c r="B1187" s="13"/>
      <c r="C1187" s="14"/>
      <c r="D1187" s="14"/>
      <c r="E1187" s="13"/>
      <c r="F1187" s="15"/>
      <c r="G1187" s="16" t="str">
        <f aca="false">IF(OR(B1187="",A1187=""),"",C1187*IFERROR(INDEX(Kişiler!$B$5:$B$44,MATCH(B1187,Kişiler!$A$5:$A$44,0)),0)+D1187*IFERROR(INDEX(Kişiler!$C$5:$C$44,MATCH(B1187,Kişiler!$A$5:$A$44,0)),0))</f>
        <v/>
      </c>
    </row>
    <row r="1188" customFormat="false" ht="15" hidden="false" customHeight="false" outlineLevel="0" collapsed="false">
      <c r="A1188" s="12"/>
      <c r="B1188" s="13"/>
      <c r="C1188" s="14"/>
      <c r="D1188" s="14"/>
      <c r="E1188" s="13"/>
      <c r="F1188" s="15"/>
      <c r="G1188" s="16" t="str">
        <f aca="false">IF(OR(B1188="",A1188=""),"",C1188*IFERROR(INDEX(Kişiler!$B$5:$B$44,MATCH(B1188,Kişiler!$A$5:$A$44,0)),0)+D1188*IFERROR(INDEX(Kişiler!$C$5:$C$44,MATCH(B1188,Kişiler!$A$5:$A$44,0)),0))</f>
        <v/>
      </c>
    </row>
    <row r="1189" customFormat="false" ht="15" hidden="false" customHeight="false" outlineLevel="0" collapsed="false">
      <c r="A1189" s="12"/>
      <c r="B1189" s="13"/>
      <c r="C1189" s="14"/>
      <c r="D1189" s="14"/>
      <c r="E1189" s="13"/>
      <c r="F1189" s="15"/>
      <c r="G1189" s="16" t="str">
        <f aca="false">IF(OR(B1189="",A1189=""),"",C1189*IFERROR(INDEX(Kişiler!$B$5:$B$44,MATCH(B1189,Kişiler!$A$5:$A$44,0)),0)+D1189*IFERROR(INDEX(Kişiler!$C$5:$C$44,MATCH(B1189,Kişiler!$A$5:$A$44,0)),0))</f>
        <v/>
      </c>
    </row>
    <row r="1190" customFormat="false" ht="15" hidden="false" customHeight="false" outlineLevel="0" collapsed="false">
      <c r="A1190" s="12"/>
      <c r="B1190" s="13"/>
      <c r="C1190" s="14"/>
      <c r="D1190" s="14"/>
      <c r="E1190" s="13"/>
      <c r="F1190" s="15"/>
      <c r="G1190" s="16" t="str">
        <f aca="false">IF(OR(B1190="",A1190=""),"",C1190*IFERROR(INDEX(Kişiler!$B$5:$B$44,MATCH(B1190,Kişiler!$A$5:$A$44,0)),0)+D1190*IFERROR(INDEX(Kişiler!$C$5:$C$44,MATCH(B1190,Kişiler!$A$5:$A$44,0)),0))</f>
        <v/>
      </c>
    </row>
    <row r="1191" customFormat="false" ht="15" hidden="false" customHeight="false" outlineLevel="0" collapsed="false">
      <c r="A1191" s="12"/>
      <c r="B1191" s="13"/>
      <c r="C1191" s="14"/>
      <c r="D1191" s="14"/>
      <c r="E1191" s="13"/>
      <c r="F1191" s="15"/>
      <c r="G1191" s="16" t="str">
        <f aca="false">IF(OR(B1191="",A1191=""),"",C1191*IFERROR(INDEX(Kişiler!$B$5:$B$44,MATCH(B1191,Kişiler!$A$5:$A$44,0)),0)+D1191*IFERROR(INDEX(Kişiler!$C$5:$C$44,MATCH(B1191,Kişiler!$A$5:$A$44,0)),0))</f>
        <v/>
      </c>
    </row>
    <row r="1192" customFormat="false" ht="15" hidden="false" customHeight="false" outlineLevel="0" collapsed="false">
      <c r="A1192" s="12"/>
      <c r="B1192" s="13"/>
      <c r="C1192" s="14"/>
      <c r="D1192" s="14"/>
      <c r="E1192" s="13"/>
      <c r="F1192" s="15"/>
      <c r="G1192" s="16" t="str">
        <f aca="false">IF(OR(B1192="",A1192=""),"",C1192*IFERROR(INDEX(Kişiler!$B$5:$B$44,MATCH(B1192,Kişiler!$A$5:$A$44,0)),0)+D1192*IFERROR(INDEX(Kişiler!$C$5:$C$44,MATCH(B1192,Kişiler!$A$5:$A$44,0)),0))</f>
        <v/>
      </c>
    </row>
    <row r="1193" customFormat="false" ht="15" hidden="false" customHeight="false" outlineLevel="0" collapsed="false">
      <c r="A1193" s="12"/>
      <c r="B1193" s="13"/>
      <c r="C1193" s="14"/>
      <c r="D1193" s="14"/>
      <c r="E1193" s="13"/>
      <c r="F1193" s="15"/>
      <c r="G1193" s="16" t="str">
        <f aca="false">IF(OR(B1193="",A1193=""),"",C1193*IFERROR(INDEX(Kişiler!$B$5:$B$44,MATCH(B1193,Kişiler!$A$5:$A$44,0)),0)+D1193*IFERROR(INDEX(Kişiler!$C$5:$C$44,MATCH(B1193,Kişiler!$A$5:$A$44,0)),0))</f>
        <v/>
      </c>
    </row>
    <row r="1194" customFormat="false" ht="15" hidden="false" customHeight="false" outlineLevel="0" collapsed="false">
      <c r="A1194" s="12"/>
      <c r="B1194" s="13"/>
      <c r="C1194" s="14"/>
      <c r="D1194" s="14"/>
      <c r="E1194" s="13"/>
      <c r="F1194" s="15"/>
      <c r="G1194" s="16" t="str">
        <f aca="false">IF(OR(B1194="",A1194=""),"",C1194*IFERROR(INDEX(Kişiler!$B$5:$B$44,MATCH(B1194,Kişiler!$A$5:$A$44,0)),0)+D1194*IFERROR(INDEX(Kişiler!$C$5:$C$44,MATCH(B1194,Kişiler!$A$5:$A$44,0)),0))</f>
        <v/>
      </c>
    </row>
    <row r="1195" customFormat="false" ht="15" hidden="false" customHeight="false" outlineLevel="0" collapsed="false">
      <c r="A1195" s="12"/>
      <c r="B1195" s="13"/>
      <c r="C1195" s="14"/>
      <c r="D1195" s="14"/>
      <c r="E1195" s="13"/>
      <c r="F1195" s="15"/>
      <c r="G1195" s="16" t="str">
        <f aca="false">IF(OR(B1195="",A1195=""),"",C1195*IFERROR(INDEX(Kişiler!$B$5:$B$44,MATCH(B1195,Kişiler!$A$5:$A$44,0)),0)+D1195*IFERROR(INDEX(Kişiler!$C$5:$C$44,MATCH(B1195,Kişiler!$A$5:$A$44,0)),0))</f>
        <v/>
      </c>
    </row>
    <row r="1196" customFormat="false" ht="15" hidden="false" customHeight="false" outlineLevel="0" collapsed="false">
      <c r="A1196" s="12"/>
      <c r="B1196" s="13"/>
      <c r="C1196" s="14"/>
      <c r="D1196" s="14"/>
      <c r="E1196" s="13"/>
      <c r="F1196" s="15"/>
      <c r="G1196" s="16" t="str">
        <f aca="false">IF(OR(B1196="",A1196=""),"",C1196*IFERROR(INDEX(Kişiler!$B$5:$B$44,MATCH(B1196,Kişiler!$A$5:$A$44,0)),0)+D1196*IFERROR(INDEX(Kişiler!$C$5:$C$44,MATCH(B1196,Kişiler!$A$5:$A$44,0)),0))</f>
        <v/>
      </c>
    </row>
    <row r="1197" customFormat="false" ht="15" hidden="false" customHeight="false" outlineLevel="0" collapsed="false">
      <c r="A1197" s="12"/>
      <c r="B1197" s="13"/>
      <c r="C1197" s="14"/>
      <c r="D1197" s="14"/>
      <c r="E1197" s="13"/>
      <c r="F1197" s="15"/>
      <c r="G1197" s="16" t="str">
        <f aca="false">IF(OR(B1197="",A1197=""),"",C1197*IFERROR(INDEX(Kişiler!$B$5:$B$44,MATCH(B1197,Kişiler!$A$5:$A$44,0)),0)+D1197*IFERROR(INDEX(Kişiler!$C$5:$C$44,MATCH(B1197,Kişiler!$A$5:$A$44,0)),0))</f>
        <v/>
      </c>
    </row>
    <row r="1198" customFormat="false" ht="15" hidden="false" customHeight="false" outlineLevel="0" collapsed="false">
      <c r="A1198" s="12"/>
      <c r="B1198" s="13"/>
      <c r="C1198" s="14"/>
      <c r="D1198" s="14"/>
      <c r="E1198" s="13"/>
      <c r="F1198" s="15"/>
      <c r="G1198" s="16" t="str">
        <f aca="false">IF(OR(B1198="",A1198=""),"",C1198*IFERROR(INDEX(Kişiler!$B$5:$B$44,MATCH(B1198,Kişiler!$A$5:$A$44,0)),0)+D1198*IFERROR(INDEX(Kişiler!$C$5:$C$44,MATCH(B1198,Kişiler!$A$5:$A$44,0)),0))</f>
        <v/>
      </c>
    </row>
    <row r="1199" customFormat="false" ht="15" hidden="false" customHeight="false" outlineLevel="0" collapsed="false">
      <c r="A1199" s="12"/>
      <c r="B1199" s="13"/>
      <c r="C1199" s="14"/>
      <c r="D1199" s="14"/>
      <c r="E1199" s="13"/>
      <c r="F1199" s="15"/>
      <c r="G1199" s="16" t="str">
        <f aca="false">IF(OR(B1199="",A1199=""),"",C1199*IFERROR(INDEX(Kişiler!$B$5:$B$44,MATCH(B1199,Kişiler!$A$5:$A$44,0)),0)+D1199*IFERROR(INDEX(Kişiler!$C$5:$C$44,MATCH(B1199,Kişiler!$A$5:$A$44,0)),0))</f>
        <v/>
      </c>
    </row>
    <row r="1200" customFormat="false" ht="15" hidden="false" customHeight="false" outlineLevel="0" collapsed="false">
      <c r="A1200" s="12"/>
      <c r="B1200" s="13"/>
      <c r="C1200" s="14"/>
      <c r="D1200" s="14"/>
      <c r="E1200" s="13"/>
      <c r="F1200" s="15"/>
      <c r="G1200" s="16" t="str">
        <f aca="false">IF(OR(B1200="",A1200=""),"",C1200*IFERROR(INDEX(Kişiler!$B$5:$B$44,MATCH(B1200,Kişiler!$A$5:$A$44,0)),0)+D1200*IFERROR(INDEX(Kişiler!$C$5:$C$44,MATCH(B1200,Kişiler!$A$5:$A$44,0)),0))</f>
        <v/>
      </c>
    </row>
    <row r="1201" customFormat="false" ht="15" hidden="false" customHeight="false" outlineLevel="0" collapsed="false">
      <c r="A1201" s="12"/>
      <c r="B1201" s="13"/>
      <c r="C1201" s="14"/>
      <c r="D1201" s="14"/>
      <c r="E1201" s="13"/>
      <c r="F1201" s="15"/>
      <c r="G1201" s="16" t="str">
        <f aca="false">IF(OR(B1201="",A1201=""),"",C1201*IFERROR(INDEX(Kişiler!$B$5:$B$44,MATCH(B1201,Kişiler!$A$5:$A$44,0)),0)+D1201*IFERROR(INDEX(Kişiler!$C$5:$C$44,MATCH(B1201,Kişiler!$A$5:$A$44,0)),0))</f>
        <v/>
      </c>
    </row>
    <row r="1202" customFormat="false" ht="15" hidden="false" customHeight="false" outlineLevel="0" collapsed="false">
      <c r="A1202" s="12"/>
      <c r="B1202" s="13"/>
      <c r="C1202" s="14"/>
      <c r="D1202" s="14"/>
      <c r="E1202" s="13"/>
      <c r="F1202" s="15"/>
      <c r="G1202" s="16" t="str">
        <f aca="false">IF(OR(B1202="",A1202=""),"",C1202*IFERROR(INDEX(Kişiler!$B$5:$B$44,MATCH(B1202,Kişiler!$A$5:$A$44,0)),0)+D1202*IFERROR(INDEX(Kişiler!$C$5:$C$44,MATCH(B1202,Kişiler!$A$5:$A$44,0)),0))</f>
        <v/>
      </c>
    </row>
    <row r="1203" customFormat="false" ht="15" hidden="false" customHeight="false" outlineLevel="0" collapsed="false">
      <c r="A1203" s="12"/>
      <c r="B1203" s="13"/>
      <c r="C1203" s="14"/>
      <c r="D1203" s="14"/>
      <c r="E1203" s="13"/>
      <c r="F1203" s="15"/>
      <c r="G1203" s="16" t="str">
        <f aca="false">IF(OR(B1203="",A1203=""),"",C1203*IFERROR(INDEX(Kişiler!$B$5:$B$44,MATCH(B1203,Kişiler!$A$5:$A$44,0)),0)+D1203*IFERROR(INDEX(Kişiler!$C$5:$C$44,MATCH(B1203,Kişiler!$A$5:$A$44,0)),0))</f>
        <v/>
      </c>
    </row>
    <row r="1204" customFormat="false" ht="15" hidden="false" customHeight="false" outlineLevel="0" collapsed="false">
      <c r="A1204" s="12"/>
      <c r="B1204" s="13"/>
      <c r="C1204" s="14"/>
      <c r="D1204" s="14"/>
      <c r="E1204" s="13"/>
      <c r="F1204" s="15"/>
      <c r="G1204" s="16" t="str">
        <f aca="false">IF(OR(B1204="",A1204=""),"",C1204*IFERROR(INDEX(Kişiler!$B$5:$B$44,MATCH(B1204,Kişiler!$A$5:$A$44,0)),0)+D1204*IFERROR(INDEX(Kişiler!$C$5:$C$44,MATCH(B1204,Kişiler!$A$5:$A$44,0)),0))</f>
        <v/>
      </c>
    </row>
    <row r="1205" customFormat="false" ht="15" hidden="false" customHeight="false" outlineLevel="0" collapsed="false">
      <c r="A1205" s="12"/>
      <c r="B1205" s="13"/>
      <c r="C1205" s="14"/>
      <c r="D1205" s="14"/>
      <c r="E1205" s="13"/>
      <c r="F1205" s="15"/>
      <c r="G1205" s="16" t="str">
        <f aca="false">IF(OR(B1205="",A1205=""),"",C1205*IFERROR(INDEX(Kişiler!$B$5:$B$44,MATCH(B1205,Kişiler!$A$5:$A$44,0)),0)+D1205*IFERROR(INDEX(Kişiler!$C$5:$C$44,MATCH(B1205,Kişiler!$A$5:$A$44,0)),0))</f>
        <v/>
      </c>
    </row>
    <row r="1206" customFormat="false" ht="15" hidden="false" customHeight="false" outlineLevel="0" collapsed="false">
      <c r="A1206" s="12"/>
      <c r="B1206" s="13"/>
      <c r="C1206" s="14"/>
      <c r="D1206" s="14"/>
      <c r="E1206" s="13"/>
      <c r="F1206" s="15"/>
      <c r="G1206" s="16" t="str">
        <f aca="false">IF(OR(B1206="",A1206=""),"",C1206*IFERROR(INDEX(Kişiler!$B$5:$B$44,MATCH(B1206,Kişiler!$A$5:$A$44,0)),0)+D1206*IFERROR(INDEX(Kişiler!$C$5:$C$44,MATCH(B1206,Kişiler!$A$5:$A$44,0)),0))</f>
        <v/>
      </c>
    </row>
    <row r="1207" customFormat="false" ht="15" hidden="false" customHeight="false" outlineLevel="0" collapsed="false">
      <c r="A1207" s="12"/>
      <c r="B1207" s="13"/>
      <c r="C1207" s="14"/>
      <c r="D1207" s="14"/>
      <c r="E1207" s="13"/>
      <c r="F1207" s="15"/>
      <c r="G1207" s="16" t="str">
        <f aca="false">IF(OR(B1207="",A1207=""),"",C1207*IFERROR(INDEX(Kişiler!$B$5:$B$44,MATCH(B1207,Kişiler!$A$5:$A$44,0)),0)+D1207*IFERROR(INDEX(Kişiler!$C$5:$C$44,MATCH(B1207,Kişiler!$A$5:$A$44,0)),0))</f>
        <v/>
      </c>
    </row>
    <row r="1208" customFormat="false" ht="15" hidden="false" customHeight="false" outlineLevel="0" collapsed="false">
      <c r="A1208" s="12"/>
      <c r="B1208" s="13"/>
      <c r="C1208" s="14"/>
      <c r="D1208" s="14"/>
      <c r="E1208" s="13"/>
      <c r="F1208" s="15"/>
      <c r="G1208" s="16" t="str">
        <f aca="false">IF(OR(B1208="",A1208=""),"",C1208*IFERROR(INDEX(Kişiler!$B$5:$B$44,MATCH(B1208,Kişiler!$A$5:$A$44,0)),0)+D1208*IFERROR(INDEX(Kişiler!$C$5:$C$44,MATCH(B1208,Kişiler!$A$5:$A$44,0)),0))</f>
        <v/>
      </c>
    </row>
    <row r="1209" customFormat="false" ht="15" hidden="false" customHeight="false" outlineLevel="0" collapsed="false">
      <c r="A1209" s="12"/>
      <c r="B1209" s="13"/>
      <c r="C1209" s="14"/>
      <c r="D1209" s="14"/>
      <c r="E1209" s="13"/>
      <c r="F1209" s="15"/>
      <c r="G1209" s="16" t="str">
        <f aca="false">IF(OR(B1209="",A1209=""),"",C1209*IFERROR(INDEX(Kişiler!$B$5:$B$44,MATCH(B1209,Kişiler!$A$5:$A$44,0)),0)+D1209*IFERROR(INDEX(Kişiler!$C$5:$C$44,MATCH(B1209,Kişiler!$A$5:$A$44,0)),0))</f>
        <v/>
      </c>
    </row>
    <row r="1210" customFormat="false" ht="15" hidden="false" customHeight="false" outlineLevel="0" collapsed="false">
      <c r="A1210" s="12"/>
      <c r="B1210" s="13"/>
      <c r="C1210" s="14"/>
      <c r="D1210" s="14"/>
      <c r="E1210" s="13"/>
      <c r="F1210" s="15"/>
      <c r="G1210" s="16" t="str">
        <f aca="false">IF(OR(B1210="",A1210=""),"",C1210*IFERROR(INDEX(Kişiler!$B$5:$B$44,MATCH(B1210,Kişiler!$A$5:$A$44,0)),0)+D1210*IFERROR(INDEX(Kişiler!$C$5:$C$44,MATCH(B1210,Kişiler!$A$5:$A$44,0)),0))</f>
        <v/>
      </c>
    </row>
    <row r="1211" customFormat="false" ht="15" hidden="false" customHeight="false" outlineLevel="0" collapsed="false">
      <c r="A1211" s="12"/>
      <c r="B1211" s="13"/>
      <c r="C1211" s="14"/>
      <c r="D1211" s="14"/>
      <c r="E1211" s="13"/>
      <c r="F1211" s="15"/>
      <c r="G1211" s="16" t="str">
        <f aca="false">IF(OR(B1211="",A1211=""),"",C1211*IFERROR(INDEX(Kişiler!$B$5:$B$44,MATCH(B1211,Kişiler!$A$5:$A$44,0)),0)+D1211*IFERROR(INDEX(Kişiler!$C$5:$C$44,MATCH(B1211,Kişiler!$A$5:$A$44,0)),0))</f>
        <v/>
      </c>
    </row>
    <row r="1212" customFormat="false" ht="15" hidden="false" customHeight="false" outlineLevel="0" collapsed="false">
      <c r="A1212" s="12"/>
      <c r="B1212" s="13"/>
      <c r="C1212" s="14"/>
      <c r="D1212" s="14"/>
      <c r="E1212" s="13"/>
      <c r="F1212" s="15"/>
      <c r="G1212" s="16" t="str">
        <f aca="false">IF(OR(B1212="",A1212=""),"",C1212*IFERROR(INDEX(Kişiler!$B$5:$B$44,MATCH(B1212,Kişiler!$A$5:$A$44,0)),0)+D1212*IFERROR(INDEX(Kişiler!$C$5:$C$44,MATCH(B1212,Kişiler!$A$5:$A$44,0)),0))</f>
        <v/>
      </c>
    </row>
    <row r="1213" customFormat="false" ht="15" hidden="false" customHeight="false" outlineLevel="0" collapsed="false">
      <c r="A1213" s="12"/>
      <c r="B1213" s="13"/>
      <c r="C1213" s="14"/>
      <c r="D1213" s="14"/>
      <c r="E1213" s="13"/>
      <c r="F1213" s="15"/>
      <c r="G1213" s="16" t="str">
        <f aca="false">IF(OR(B1213="",A1213=""),"",C1213*IFERROR(INDEX(Kişiler!$B$5:$B$44,MATCH(B1213,Kişiler!$A$5:$A$44,0)),0)+D1213*IFERROR(INDEX(Kişiler!$C$5:$C$44,MATCH(B1213,Kişiler!$A$5:$A$44,0)),0))</f>
        <v/>
      </c>
    </row>
    <row r="1214" customFormat="false" ht="15" hidden="false" customHeight="false" outlineLevel="0" collapsed="false">
      <c r="A1214" s="12"/>
      <c r="B1214" s="13"/>
      <c r="C1214" s="14"/>
      <c r="D1214" s="14"/>
      <c r="E1214" s="13"/>
      <c r="F1214" s="15"/>
      <c r="G1214" s="16" t="str">
        <f aca="false">IF(OR(B1214="",A1214=""),"",C1214*IFERROR(INDEX(Kişiler!$B$5:$B$44,MATCH(B1214,Kişiler!$A$5:$A$44,0)),0)+D1214*IFERROR(INDEX(Kişiler!$C$5:$C$44,MATCH(B1214,Kişiler!$A$5:$A$44,0)),0))</f>
        <v/>
      </c>
    </row>
    <row r="1215" customFormat="false" ht="15" hidden="false" customHeight="false" outlineLevel="0" collapsed="false">
      <c r="A1215" s="12"/>
      <c r="B1215" s="13"/>
      <c r="C1215" s="14"/>
      <c r="D1215" s="14"/>
      <c r="E1215" s="13"/>
      <c r="F1215" s="15"/>
      <c r="G1215" s="16" t="str">
        <f aca="false">IF(OR(B1215="",A1215=""),"",C1215*IFERROR(INDEX(Kişiler!$B$5:$B$44,MATCH(B1215,Kişiler!$A$5:$A$44,0)),0)+D1215*IFERROR(INDEX(Kişiler!$C$5:$C$44,MATCH(B1215,Kişiler!$A$5:$A$44,0)),0))</f>
        <v/>
      </c>
    </row>
    <row r="1216" customFormat="false" ht="15" hidden="false" customHeight="false" outlineLevel="0" collapsed="false">
      <c r="A1216" s="12"/>
      <c r="B1216" s="13"/>
      <c r="C1216" s="14"/>
      <c r="D1216" s="14"/>
      <c r="E1216" s="13"/>
      <c r="F1216" s="15"/>
      <c r="G1216" s="16" t="str">
        <f aca="false">IF(OR(B1216="",A1216=""),"",C1216*IFERROR(INDEX(Kişiler!$B$5:$B$44,MATCH(B1216,Kişiler!$A$5:$A$44,0)),0)+D1216*IFERROR(INDEX(Kişiler!$C$5:$C$44,MATCH(B1216,Kişiler!$A$5:$A$44,0)),0))</f>
        <v/>
      </c>
    </row>
    <row r="1217" customFormat="false" ht="15" hidden="false" customHeight="false" outlineLevel="0" collapsed="false">
      <c r="A1217" s="12"/>
      <c r="B1217" s="13"/>
      <c r="C1217" s="14"/>
      <c r="D1217" s="14"/>
      <c r="E1217" s="13"/>
      <c r="F1217" s="15"/>
      <c r="G1217" s="16" t="str">
        <f aca="false">IF(OR(B1217="",A1217=""),"",C1217*IFERROR(INDEX(Kişiler!$B$5:$B$44,MATCH(B1217,Kişiler!$A$5:$A$44,0)),0)+D1217*IFERROR(INDEX(Kişiler!$C$5:$C$44,MATCH(B1217,Kişiler!$A$5:$A$44,0)),0))</f>
        <v/>
      </c>
    </row>
    <row r="1218" customFormat="false" ht="15" hidden="false" customHeight="false" outlineLevel="0" collapsed="false">
      <c r="A1218" s="12"/>
      <c r="B1218" s="13"/>
      <c r="C1218" s="14"/>
      <c r="D1218" s="14"/>
      <c r="E1218" s="13"/>
      <c r="F1218" s="15"/>
      <c r="G1218" s="16" t="str">
        <f aca="false">IF(OR(B1218="",A1218=""),"",C1218*IFERROR(INDEX(Kişiler!$B$5:$B$44,MATCH(B1218,Kişiler!$A$5:$A$44,0)),0)+D1218*IFERROR(INDEX(Kişiler!$C$5:$C$44,MATCH(B1218,Kişiler!$A$5:$A$44,0)),0))</f>
        <v/>
      </c>
    </row>
    <row r="1219" customFormat="false" ht="15" hidden="false" customHeight="false" outlineLevel="0" collapsed="false">
      <c r="A1219" s="12"/>
      <c r="B1219" s="13"/>
      <c r="C1219" s="14"/>
      <c r="D1219" s="14"/>
      <c r="E1219" s="13"/>
      <c r="F1219" s="15"/>
      <c r="G1219" s="16" t="str">
        <f aca="false">IF(OR(B1219="",A1219=""),"",C1219*IFERROR(INDEX(Kişiler!$B$5:$B$44,MATCH(B1219,Kişiler!$A$5:$A$44,0)),0)+D1219*IFERROR(INDEX(Kişiler!$C$5:$C$44,MATCH(B1219,Kişiler!$A$5:$A$44,0)),0))</f>
        <v/>
      </c>
    </row>
    <row r="1220" customFormat="false" ht="15" hidden="false" customHeight="false" outlineLevel="0" collapsed="false">
      <c r="A1220" s="12"/>
      <c r="B1220" s="13"/>
      <c r="C1220" s="14"/>
      <c r="D1220" s="14"/>
      <c r="E1220" s="13"/>
      <c r="F1220" s="15"/>
      <c r="G1220" s="16" t="str">
        <f aca="false">IF(OR(B1220="",A1220=""),"",C1220*IFERROR(INDEX(Kişiler!$B$5:$B$44,MATCH(B1220,Kişiler!$A$5:$A$44,0)),0)+D1220*IFERROR(INDEX(Kişiler!$C$5:$C$44,MATCH(B1220,Kişiler!$A$5:$A$44,0)),0))</f>
        <v/>
      </c>
    </row>
    <row r="1221" customFormat="false" ht="15" hidden="false" customHeight="false" outlineLevel="0" collapsed="false">
      <c r="A1221" s="12"/>
      <c r="B1221" s="13"/>
      <c r="C1221" s="14"/>
      <c r="D1221" s="14"/>
      <c r="E1221" s="13"/>
      <c r="F1221" s="15"/>
      <c r="G1221" s="16" t="str">
        <f aca="false">IF(OR(B1221="",A1221=""),"",C1221*IFERROR(INDEX(Kişiler!$B$5:$B$44,MATCH(B1221,Kişiler!$A$5:$A$44,0)),0)+D1221*IFERROR(INDEX(Kişiler!$C$5:$C$44,MATCH(B1221,Kişiler!$A$5:$A$44,0)),0))</f>
        <v/>
      </c>
    </row>
    <row r="1222" customFormat="false" ht="15" hidden="false" customHeight="false" outlineLevel="0" collapsed="false">
      <c r="A1222" s="12"/>
      <c r="B1222" s="13"/>
      <c r="C1222" s="14"/>
      <c r="D1222" s="14"/>
      <c r="E1222" s="13"/>
      <c r="F1222" s="15"/>
      <c r="G1222" s="16" t="str">
        <f aca="false">IF(OR(B1222="",A1222=""),"",C1222*IFERROR(INDEX(Kişiler!$B$5:$B$44,MATCH(B1222,Kişiler!$A$5:$A$44,0)),0)+D1222*IFERROR(INDEX(Kişiler!$C$5:$C$44,MATCH(B1222,Kişiler!$A$5:$A$44,0)),0))</f>
        <v/>
      </c>
    </row>
    <row r="1223" customFormat="false" ht="15" hidden="false" customHeight="false" outlineLevel="0" collapsed="false">
      <c r="A1223" s="12"/>
      <c r="B1223" s="13"/>
      <c r="C1223" s="14"/>
      <c r="D1223" s="14"/>
      <c r="E1223" s="13"/>
      <c r="F1223" s="15"/>
      <c r="G1223" s="16" t="str">
        <f aca="false">IF(OR(B1223="",A1223=""),"",C1223*IFERROR(INDEX(Kişiler!$B$5:$B$44,MATCH(B1223,Kişiler!$A$5:$A$44,0)),0)+D1223*IFERROR(INDEX(Kişiler!$C$5:$C$44,MATCH(B1223,Kişiler!$A$5:$A$44,0)),0))</f>
        <v/>
      </c>
    </row>
    <row r="1224" customFormat="false" ht="15" hidden="false" customHeight="false" outlineLevel="0" collapsed="false">
      <c r="A1224" s="12"/>
      <c r="B1224" s="13"/>
      <c r="C1224" s="14"/>
      <c r="D1224" s="14"/>
      <c r="E1224" s="13"/>
      <c r="F1224" s="15"/>
      <c r="G1224" s="16" t="str">
        <f aca="false">IF(OR(B1224="",A1224=""),"",C1224*IFERROR(INDEX(Kişiler!$B$5:$B$44,MATCH(B1224,Kişiler!$A$5:$A$44,0)),0)+D1224*IFERROR(INDEX(Kişiler!$C$5:$C$44,MATCH(B1224,Kişiler!$A$5:$A$44,0)),0))</f>
        <v/>
      </c>
    </row>
    <row r="1225" customFormat="false" ht="15" hidden="false" customHeight="false" outlineLevel="0" collapsed="false">
      <c r="A1225" s="12"/>
      <c r="B1225" s="13"/>
      <c r="C1225" s="14"/>
      <c r="D1225" s="14"/>
      <c r="E1225" s="13"/>
      <c r="F1225" s="15"/>
      <c r="G1225" s="16" t="str">
        <f aca="false">IF(OR(B1225="",A1225=""),"",C1225*IFERROR(INDEX(Kişiler!$B$5:$B$44,MATCH(B1225,Kişiler!$A$5:$A$44,0)),0)+D1225*IFERROR(INDEX(Kişiler!$C$5:$C$44,MATCH(B1225,Kişiler!$A$5:$A$44,0)),0))</f>
        <v/>
      </c>
    </row>
    <row r="1226" customFormat="false" ht="15" hidden="false" customHeight="false" outlineLevel="0" collapsed="false">
      <c r="A1226" s="12"/>
      <c r="B1226" s="13"/>
      <c r="C1226" s="14"/>
      <c r="D1226" s="14"/>
      <c r="E1226" s="13"/>
      <c r="F1226" s="15"/>
      <c r="G1226" s="16" t="str">
        <f aca="false">IF(OR(B1226="",A1226=""),"",C1226*IFERROR(INDEX(Kişiler!$B$5:$B$44,MATCH(B1226,Kişiler!$A$5:$A$44,0)),0)+D1226*IFERROR(INDEX(Kişiler!$C$5:$C$44,MATCH(B1226,Kişiler!$A$5:$A$44,0)),0))</f>
        <v/>
      </c>
    </row>
    <row r="1227" customFormat="false" ht="15" hidden="false" customHeight="false" outlineLevel="0" collapsed="false">
      <c r="A1227" s="12"/>
      <c r="B1227" s="13"/>
      <c r="C1227" s="14"/>
      <c r="D1227" s="14"/>
      <c r="E1227" s="13"/>
      <c r="F1227" s="15"/>
      <c r="G1227" s="16" t="str">
        <f aca="false">IF(OR(B1227="",A1227=""),"",C1227*IFERROR(INDEX(Kişiler!$B$5:$B$44,MATCH(B1227,Kişiler!$A$5:$A$44,0)),0)+D1227*IFERROR(INDEX(Kişiler!$C$5:$C$44,MATCH(B1227,Kişiler!$A$5:$A$44,0)),0))</f>
        <v/>
      </c>
    </row>
    <row r="1228" customFormat="false" ht="15" hidden="false" customHeight="false" outlineLevel="0" collapsed="false">
      <c r="A1228" s="12"/>
      <c r="B1228" s="13"/>
      <c r="C1228" s="14"/>
      <c r="D1228" s="14"/>
      <c r="E1228" s="13"/>
      <c r="F1228" s="15"/>
      <c r="G1228" s="16" t="str">
        <f aca="false">IF(OR(B1228="",A1228=""),"",C1228*IFERROR(INDEX(Kişiler!$B$5:$B$44,MATCH(B1228,Kişiler!$A$5:$A$44,0)),0)+D1228*IFERROR(INDEX(Kişiler!$C$5:$C$44,MATCH(B1228,Kişiler!$A$5:$A$44,0)),0))</f>
        <v/>
      </c>
    </row>
    <row r="1229" customFormat="false" ht="15" hidden="false" customHeight="false" outlineLevel="0" collapsed="false">
      <c r="A1229" s="12"/>
      <c r="B1229" s="13"/>
      <c r="C1229" s="14"/>
      <c r="D1229" s="14"/>
      <c r="E1229" s="13"/>
      <c r="F1229" s="15"/>
      <c r="G1229" s="16" t="str">
        <f aca="false">IF(OR(B1229="",A1229=""),"",C1229*IFERROR(INDEX(Kişiler!$B$5:$B$44,MATCH(B1229,Kişiler!$A$5:$A$44,0)),0)+D1229*IFERROR(INDEX(Kişiler!$C$5:$C$44,MATCH(B1229,Kişiler!$A$5:$A$44,0)),0))</f>
        <v/>
      </c>
    </row>
    <row r="1230" customFormat="false" ht="15" hidden="false" customHeight="false" outlineLevel="0" collapsed="false">
      <c r="A1230" s="12"/>
      <c r="B1230" s="13"/>
      <c r="C1230" s="14"/>
      <c r="D1230" s="14"/>
      <c r="E1230" s="13"/>
      <c r="F1230" s="15"/>
      <c r="G1230" s="16" t="str">
        <f aca="false">IF(OR(B1230="",A1230=""),"",C1230*IFERROR(INDEX(Kişiler!$B$5:$B$44,MATCH(B1230,Kişiler!$A$5:$A$44,0)),0)+D1230*IFERROR(INDEX(Kişiler!$C$5:$C$44,MATCH(B1230,Kişiler!$A$5:$A$44,0)),0))</f>
        <v/>
      </c>
    </row>
    <row r="1231" customFormat="false" ht="15" hidden="false" customHeight="false" outlineLevel="0" collapsed="false">
      <c r="A1231" s="12"/>
      <c r="B1231" s="13"/>
      <c r="C1231" s="14"/>
      <c r="D1231" s="14"/>
      <c r="E1231" s="13"/>
      <c r="F1231" s="15"/>
      <c r="G1231" s="16" t="str">
        <f aca="false">IF(OR(B1231="",A1231=""),"",C1231*IFERROR(INDEX(Kişiler!$B$5:$B$44,MATCH(B1231,Kişiler!$A$5:$A$44,0)),0)+D1231*IFERROR(INDEX(Kişiler!$C$5:$C$44,MATCH(B1231,Kişiler!$A$5:$A$44,0)),0))</f>
        <v/>
      </c>
    </row>
    <row r="1232" customFormat="false" ht="15" hidden="false" customHeight="false" outlineLevel="0" collapsed="false">
      <c r="A1232" s="12"/>
      <c r="B1232" s="13"/>
      <c r="C1232" s="14"/>
      <c r="D1232" s="14"/>
      <c r="E1232" s="13"/>
      <c r="F1232" s="15"/>
      <c r="G1232" s="16" t="str">
        <f aca="false">IF(OR(B1232="",A1232=""),"",C1232*IFERROR(INDEX(Kişiler!$B$5:$B$44,MATCH(B1232,Kişiler!$A$5:$A$44,0)),0)+D1232*IFERROR(INDEX(Kişiler!$C$5:$C$44,MATCH(B1232,Kişiler!$A$5:$A$44,0)),0))</f>
        <v/>
      </c>
    </row>
    <row r="1233" customFormat="false" ht="15" hidden="false" customHeight="false" outlineLevel="0" collapsed="false">
      <c r="A1233" s="12"/>
      <c r="B1233" s="13"/>
      <c r="C1233" s="14"/>
      <c r="D1233" s="14"/>
      <c r="E1233" s="13"/>
      <c r="F1233" s="15"/>
      <c r="G1233" s="16" t="str">
        <f aca="false">IF(OR(B1233="",A1233=""),"",C1233*IFERROR(INDEX(Kişiler!$B$5:$B$44,MATCH(B1233,Kişiler!$A$5:$A$44,0)),0)+D1233*IFERROR(INDEX(Kişiler!$C$5:$C$44,MATCH(B1233,Kişiler!$A$5:$A$44,0)),0))</f>
        <v/>
      </c>
    </row>
    <row r="1234" customFormat="false" ht="15" hidden="false" customHeight="false" outlineLevel="0" collapsed="false">
      <c r="A1234" s="12"/>
      <c r="B1234" s="13"/>
      <c r="C1234" s="14"/>
      <c r="D1234" s="14"/>
      <c r="E1234" s="13"/>
      <c r="F1234" s="15"/>
      <c r="G1234" s="16" t="str">
        <f aca="false">IF(OR(B1234="",A1234=""),"",C1234*IFERROR(INDEX(Kişiler!$B$5:$B$44,MATCH(B1234,Kişiler!$A$5:$A$44,0)),0)+D1234*IFERROR(INDEX(Kişiler!$C$5:$C$44,MATCH(B1234,Kişiler!$A$5:$A$44,0)),0))</f>
        <v/>
      </c>
    </row>
    <row r="1235" customFormat="false" ht="15" hidden="false" customHeight="false" outlineLevel="0" collapsed="false">
      <c r="A1235" s="12"/>
      <c r="B1235" s="13"/>
      <c r="C1235" s="14"/>
      <c r="D1235" s="14"/>
      <c r="E1235" s="13"/>
      <c r="F1235" s="15"/>
      <c r="G1235" s="16" t="str">
        <f aca="false">IF(OR(B1235="",A1235=""),"",C1235*IFERROR(INDEX(Kişiler!$B$5:$B$44,MATCH(B1235,Kişiler!$A$5:$A$44,0)),0)+D1235*IFERROR(INDEX(Kişiler!$C$5:$C$44,MATCH(B1235,Kişiler!$A$5:$A$44,0)),0))</f>
        <v/>
      </c>
    </row>
    <row r="1236" customFormat="false" ht="15" hidden="false" customHeight="false" outlineLevel="0" collapsed="false">
      <c r="A1236" s="12"/>
      <c r="B1236" s="13"/>
      <c r="C1236" s="14"/>
      <c r="D1236" s="14"/>
      <c r="E1236" s="13"/>
      <c r="F1236" s="15"/>
      <c r="G1236" s="16" t="str">
        <f aca="false">IF(OR(B1236="",A1236=""),"",C1236*IFERROR(INDEX(Kişiler!$B$5:$B$44,MATCH(B1236,Kişiler!$A$5:$A$44,0)),0)+D1236*IFERROR(INDEX(Kişiler!$C$5:$C$44,MATCH(B1236,Kişiler!$A$5:$A$44,0)),0))</f>
        <v/>
      </c>
    </row>
    <row r="1237" customFormat="false" ht="15" hidden="false" customHeight="false" outlineLevel="0" collapsed="false">
      <c r="A1237" s="12"/>
      <c r="B1237" s="13"/>
      <c r="C1237" s="14"/>
      <c r="D1237" s="14"/>
      <c r="E1237" s="13"/>
      <c r="F1237" s="15"/>
      <c r="G1237" s="16" t="str">
        <f aca="false">IF(OR(B1237="",A1237=""),"",C1237*IFERROR(INDEX(Kişiler!$B$5:$B$44,MATCH(B1237,Kişiler!$A$5:$A$44,0)),0)+D1237*IFERROR(INDEX(Kişiler!$C$5:$C$44,MATCH(B1237,Kişiler!$A$5:$A$44,0)),0))</f>
        <v/>
      </c>
    </row>
    <row r="1238" customFormat="false" ht="15" hidden="false" customHeight="false" outlineLevel="0" collapsed="false">
      <c r="A1238" s="12"/>
      <c r="B1238" s="13"/>
      <c r="C1238" s="14"/>
      <c r="D1238" s="14"/>
      <c r="E1238" s="13"/>
      <c r="F1238" s="15"/>
      <c r="G1238" s="16" t="str">
        <f aca="false">IF(OR(B1238="",A1238=""),"",C1238*IFERROR(INDEX(Kişiler!$B$5:$B$44,MATCH(B1238,Kişiler!$A$5:$A$44,0)),0)+D1238*IFERROR(INDEX(Kişiler!$C$5:$C$44,MATCH(B1238,Kişiler!$A$5:$A$44,0)),0))</f>
        <v/>
      </c>
    </row>
    <row r="1239" customFormat="false" ht="15" hidden="false" customHeight="false" outlineLevel="0" collapsed="false">
      <c r="A1239" s="12"/>
      <c r="B1239" s="13"/>
      <c r="C1239" s="14"/>
      <c r="D1239" s="14"/>
      <c r="E1239" s="13"/>
      <c r="F1239" s="15"/>
      <c r="G1239" s="16" t="str">
        <f aca="false">IF(OR(B1239="",A1239=""),"",C1239*IFERROR(INDEX(Kişiler!$B$5:$B$44,MATCH(B1239,Kişiler!$A$5:$A$44,0)),0)+D1239*IFERROR(INDEX(Kişiler!$C$5:$C$44,MATCH(B1239,Kişiler!$A$5:$A$44,0)),0))</f>
        <v/>
      </c>
    </row>
    <row r="1240" customFormat="false" ht="15" hidden="false" customHeight="false" outlineLevel="0" collapsed="false">
      <c r="A1240" s="12"/>
      <c r="B1240" s="13"/>
      <c r="C1240" s="14"/>
      <c r="D1240" s="14"/>
      <c r="E1240" s="13"/>
      <c r="F1240" s="15"/>
      <c r="G1240" s="16" t="str">
        <f aca="false">IF(OR(B1240="",A1240=""),"",C1240*IFERROR(INDEX(Kişiler!$B$5:$B$44,MATCH(B1240,Kişiler!$A$5:$A$44,0)),0)+D1240*IFERROR(INDEX(Kişiler!$C$5:$C$44,MATCH(B1240,Kişiler!$A$5:$A$44,0)),0))</f>
        <v/>
      </c>
    </row>
    <row r="1241" customFormat="false" ht="15" hidden="false" customHeight="false" outlineLevel="0" collapsed="false">
      <c r="A1241" s="12"/>
      <c r="B1241" s="13"/>
      <c r="C1241" s="14"/>
      <c r="D1241" s="14"/>
      <c r="E1241" s="13"/>
      <c r="F1241" s="15"/>
      <c r="G1241" s="16" t="str">
        <f aca="false">IF(OR(B1241="",A1241=""),"",C1241*IFERROR(INDEX(Kişiler!$B$5:$B$44,MATCH(B1241,Kişiler!$A$5:$A$44,0)),0)+D1241*IFERROR(INDEX(Kişiler!$C$5:$C$44,MATCH(B1241,Kişiler!$A$5:$A$44,0)),0))</f>
        <v/>
      </c>
    </row>
    <row r="1242" customFormat="false" ht="15" hidden="false" customHeight="false" outlineLevel="0" collapsed="false">
      <c r="A1242" s="12"/>
      <c r="B1242" s="13"/>
      <c r="C1242" s="14"/>
      <c r="D1242" s="14"/>
      <c r="E1242" s="13"/>
      <c r="F1242" s="15"/>
      <c r="G1242" s="16" t="str">
        <f aca="false">IF(OR(B1242="",A1242=""),"",C1242*IFERROR(INDEX(Kişiler!$B$5:$B$44,MATCH(B1242,Kişiler!$A$5:$A$44,0)),0)+D1242*IFERROR(INDEX(Kişiler!$C$5:$C$44,MATCH(B1242,Kişiler!$A$5:$A$44,0)),0))</f>
        <v/>
      </c>
    </row>
    <row r="1243" customFormat="false" ht="15" hidden="false" customHeight="false" outlineLevel="0" collapsed="false">
      <c r="A1243" s="12"/>
      <c r="B1243" s="13"/>
      <c r="C1243" s="14"/>
      <c r="D1243" s="14"/>
      <c r="E1243" s="13"/>
      <c r="F1243" s="15"/>
      <c r="G1243" s="16" t="str">
        <f aca="false">IF(OR(B1243="",A1243=""),"",C1243*IFERROR(INDEX(Kişiler!$B$5:$B$44,MATCH(B1243,Kişiler!$A$5:$A$44,0)),0)+D1243*IFERROR(INDEX(Kişiler!$C$5:$C$44,MATCH(B1243,Kişiler!$A$5:$A$44,0)),0))</f>
        <v/>
      </c>
    </row>
    <row r="1244" customFormat="false" ht="15" hidden="false" customHeight="false" outlineLevel="0" collapsed="false">
      <c r="A1244" s="12"/>
      <c r="B1244" s="13"/>
      <c r="C1244" s="14"/>
      <c r="D1244" s="14"/>
      <c r="E1244" s="13"/>
      <c r="F1244" s="15"/>
      <c r="G1244" s="16" t="str">
        <f aca="false">IF(OR(B1244="",A1244=""),"",C1244*IFERROR(INDEX(Kişiler!$B$5:$B$44,MATCH(B1244,Kişiler!$A$5:$A$44,0)),0)+D1244*IFERROR(INDEX(Kişiler!$C$5:$C$44,MATCH(B1244,Kişiler!$A$5:$A$44,0)),0))</f>
        <v/>
      </c>
    </row>
    <row r="1245" customFormat="false" ht="15" hidden="false" customHeight="false" outlineLevel="0" collapsed="false">
      <c r="A1245" s="12"/>
      <c r="B1245" s="13"/>
      <c r="C1245" s="14"/>
      <c r="D1245" s="14"/>
      <c r="E1245" s="13"/>
      <c r="F1245" s="15"/>
      <c r="G1245" s="16" t="str">
        <f aca="false">IF(OR(B1245="",A1245=""),"",C1245*IFERROR(INDEX(Kişiler!$B$5:$B$44,MATCH(B1245,Kişiler!$A$5:$A$44,0)),0)+D1245*IFERROR(INDEX(Kişiler!$C$5:$C$44,MATCH(B1245,Kişiler!$A$5:$A$44,0)),0))</f>
        <v/>
      </c>
    </row>
    <row r="1246" customFormat="false" ht="15" hidden="false" customHeight="false" outlineLevel="0" collapsed="false">
      <c r="A1246" s="12"/>
      <c r="B1246" s="13"/>
      <c r="C1246" s="14"/>
      <c r="D1246" s="14"/>
      <c r="E1246" s="13"/>
      <c r="F1246" s="15"/>
      <c r="G1246" s="16" t="str">
        <f aca="false">IF(OR(B1246="",A1246=""),"",C1246*IFERROR(INDEX(Kişiler!$B$5:$B$44,MATCH(B1246,Kişiler!$A$5:$A$44,0)),0)+D1246*IFERROR(INDEX(Kişiler!$C$5:$C$44,MATCH(B1246,Kişiler!$A$5:$A$44,0)),0))</f>
        <v/>
      </c>
    </row>
    <row r="1247" customFormat="false" ht="15" hidden="false" customHeight="false" outlineLevel="0" collapsed="false">
      <c r="A1247" s="12"/>
      <c r="B1247" s="13"/>
      <c r="C1247" s="14"/>
      <c r="D1247" s="14"/>
      <c r="E1247" s="13"/>
      <c r="F1247" s="15"/>
      <c r="G1247" s="16" t="str">
        <f aca="false">IF(OR(B1247="",A1247=""),"",C1247*IFERROR(INDEX(Kişiler!$B$5:$B$44,MATCH(B1247,Kişiler!$A$5:$A$44,0)),0)+D1247*IFERROR(INDEX(Kişiler!$C$5:$C$44,MATCH(B1247,Kişiler!$A$5:$A$44,0)),0))</f>
        <v/>
      </c>
    </row>
    <row r="1248" customFormat="false" ht="15" hidden="false" customHeight="false" outlineLevel="0" collapsed="false">
      <c r="A1248" s="12"/>
      <c r="B1248" s="13"/>
      <c r="C1248" s="14"/>
      <c r="D1248" s="14"/>
      <c r="E1248" s="13"/>
      <c r="F1248" s="15"/>
      <c r="G1248" s="16" t="str">
        <f aca="false">IF(OR(B1248="",A1248=""),"",C1248*IFERROR(INDEX(Kişiler!$B$5:$B$44,MATCH(B1248,Kişiler!$A$5:$A$44,0)),0)+D1248*IFERROR(INDEX(Kişiler!$C$5:$C$44,MATCH(B1248,Kişiler!$A$5:$A$44,0)),0))</f>
        <v/>
      </c>
    </row>
    <row r="1249" customFormat="false" ht="15" hidden="false" customHeight="false" outlineLevel="0" collapsed="false">
      <c r="A1249" s="12"/>
      <c r="B1249" s="13"/>
      <c r="C1249" s="14"/>
      <c r="D1249" s="14"/>
      <c r="E1249" s="13"/>
      <c r="F1249" s="15"/>
      <c r="G1249" s="16" t="str">
        <f aca="false">IF(OR(B1249="",A1249=""),"",C1249*IFERROR(INDEX(Kişiler!$B$5:$B$44,MATCH(B1249,Kişiler!$A$5:$A$44,0)),0)+D1249*IFERROR(INDEX(Kişiler!$C$5:$C$44,MATCH(B1249,Kişiler!$A$5:$A$44,0)),0))</f>
        <v/>
      </c>
    </row>
    <row r="1250" customFormat="false" ht="15" hidden="false" customHeight="false" outlineLevel="0" collapsed="false">
      <c r="A1250" s="12"/>
      <c r="B1250" s="13"/>
      <c r="C1250" s="14"/>
      <c r="D1250" s="14"/>
      <c r="E1250" s="13"/>
      <c r="F1250" s="15"/>
      <c r="G1250" s="16" t="str">
        <f aca="false">IF(OR(B1250="",A1250=""),"",C1250*IFERROR(INDEX(Kişiler!$B$5:$B$44,MATCH(B1250,Kişiler!$A$5:$A$44,0)),0)+D1250*IFERROR(INDEX(Kişiler!$C$5:$C$44,MATCH(B1250,Kişiler!$A$5:$A$44,0)),0))</f>
        <v/>
      </c>
    </row>
    <row r="1251" customFormat="false" ht="15" hidden="false" customHeight="false" outlineLevel="0" collapsed="false">
      <c r="A1251" s="12"/>
      <c r="B1251" s="13"/>
      <c r="C1251" s="14"/>
      <c r="D1251" s="14"/>
      <c r="E1251" s="13"/>
      <c r="F1251" s="15"/>
      <c r="G1251" s="16" t="str">
        <f aca="false">IF(OR(B1251="",A1251=""),"",C1251*IFERROR(INDEX(Kişiler!$B$5:$B$44,MATCH(B1251,Kişiler!$A$5:$A$44,0)),0)+D1251*IFERROR(INDEX(Kişiler!$C$5:$C$44,MATCH(B1251,Kişiler!$A$5:$A$44,0)),0))</f>
        <v/>
      </c>
    </row>
    <row r="1252" customFormat="false" ht="15" hidden="false" customHeight="false" outlineLevel="0" collapsed="false">
      <c r="A1252" s="12"/>
      <c r="B1252" s="13"/>
      <c r="C1252" s="14"/>
      <c r="D1252" s="14"/>
      <c r="E1252" s="13"/>
      <c r="F1252" s="15"/>
      <c r="G1252" s="16" t="str">
        <f aca="false">IF(OR(B1252="",A1252=""),"",C1252*IFERROR(INDEX(Kişiler!$B$5:$B$44,MATCH(B1252,Kişiler!$A$5:$A$44,0)),0)+D1252*IFERROR(INDEX(Kişiler!$C$5:$C$44,MATCH(B1252,Kişiler!$A$5:$A$44,0)),0))</f>
        <v/>
      </c>
    </row>
    <row r="1253" customFormat="false" ht="15" hidden="false" customHeight="false" outlineLevel="0" collapsed="false">
      <c r="A1253" s="12"/>
      <c r="B1253" s="13"/>
      <c r="C1253" s="14"/>
      <c r="D1253" s="14"/>
      <c r="E1253" s="13"/>
      <c r="F1253" s="15"/>
      <c r="G1253" s="16" t="str">
        <f aca="false">IF(OR(B1253="",A1253=""),"",C1253*IFERROR(INDEX(Kişiler!$B$5:$B$44,MATCH(B1253,Kişiler!$A$5:$A$44,0)),0)+D1253*IFERROR(INDEX(Kişiler!$C$5:$C$44,MATCH(B1253,Kişiler!$A$5:$A$44,0)),0))</f>
        <v/>
      </c>
    </row>
    <row r="1254" customFormat="false" ht="15" hidden="false" customHeight="false" outlineLevel="0" collapsed="false">
      <c r="A1254" s="12"/>
      <c r="B1254" s="13"/>
      <c r="C1254" s="14"/>
      <c r="D1254" s="14"/>
      <c r="E1254" s="13"/>
      <c r="F1254" s="15"/>
      <c r="G1254" s="16" t="str">
        <f aca="false">IF(OR(B1254="",A1254=""),"",C1254*IFERROR(INDEX(Kişiler!$B$5:$B$44,MATCH(B1254,Kişiler!$A$5:$A$44,0)),0)+D1254*IFERROR(INDEX(Kişiler!$C$5:$C$44,MATCH(B1254,Kişiler!$A$5:$A$44,0)),0))</f>
        <v/>
      </c>
    </row>
    <row r="1255" customFormat="false" ht="15" hidden="false" customHeight="false" outlineLevel="0" collapsed="false">
      <c r="A1255" s="12"/>
      <c r="B1255" s="13"/>
      <c r="C1255" s="14"/>
      <c r="D1255" s="14"/>
      <c r="E1255" s="13"/>
      <c r="F1255" s="15"/>
      <c r="G1255" s="16" t="str">
        <f aca="false">IF(OR(B1255="",A1255=""),"",C1255*IFERROR(INDEX(Kişiler!$B$5:$B$44,MATCH(B1255,Kişiler!$A$5:$A$44,0)),0)+D1255*IFERROR(INDEX(Kişiler!$C$5:$C$44,MATCH(B1255,Kişiler!$A$5:$A$44,0)),0))</f>
        <v/>
      </c>
    </row>
    <row r="1256" customFormat="false" ht="15" hidden="false" customHeight="false" outlineLevel="0" collapsed="false">
      <c r="A1256" s="12"/>
      <c r="B1256" s="13"/>
      <c r="C1256" s="14"/>
      <c r="D1256" s="14"/>
      <c r="E1256" s="13"/>
      <c r="F1256" s="15"/>
      <c r="G1256" s="16" t="str">
        <f aca="false">IF(OR(B1256="",A1256=""),"",C1256*IFERROR(INDEX(Kişiler!$B$5:$B$44,MATCH(B1256,Kişiler!$A$5:$A$44,0)),0)+D1256*IFERROR(INDEX(Kişiler!$C$5:$C$44,MATCH(B1256,Kişiler!$A$5:$A$44,0)),0))</f>
        <v/>
      </c>
    </row>
    <row r="1257" customFormat="false" ht="15" hidden="false" customHeight="false" outlineLevel="0" collapsed="false">
      <c r="A1257" s="12"/>
      <c r="B1257" s="13"/>
      <c r="C1257" s="14"/>
      <c r="D1257" s="14"/>
      <c r="E1257" s="13"/>
      <c r="F1257" s="15"/>
      <c r="G1257" s="16" t="str">
        <f aca="false">IF(OR(B1257="",A1257=""),"",C1257*IFERROR(INDEX(Kişiler!$B$5:$B$44,MATCH(B1257,Kişiler!$A$5:$A$44,0)),0)+D1257*IFERROR(INDEX(Kişiler!$C$5:$C$44,MATCH(B1257,Kişiler!$A$5:$A$44,0)),0))</f>
        <v/>
      </c>
    </row>
    <row r="1258" customFormat="false" ht="15" hidden="false" customHeight="false" outlineLevel="0" collapsed="false">
      <c r="A1258" s="12"/>
      <c r="B1258" s="13"/>
      <c r="C1258" s="14"/>
      <c r="D1258" s="14"/>
      <c r="E1258" s="13"/>
      <c r="F1258" s="15"/>
      <c r="G1258" s="16" t="str">
        <f aca="false">IF(OR(B1258="",A1258=""),"",C1258*IFERROR(INDEX(Kişiler!$B$5:$B$44,MATCH(B1258,Kişiler!$A$5:$A$44,0)),0)+D1258*IFERROR(INDEX(Kişiler!$C$5:$C$44,MATCH(B1258,Kişiler!$A$5:$A$44,0)),0))</f>
        <v/>
      </c>
    </row>
    <row r="1259" customFormat="false" ht="15" hidden="false" customHeight="false" outlineLevel="0" collapsed="false">
      <c r="A1259" s="12"/>
      <c r="B1259" s="13"/>
      <c r="C1259" s="14"/>
      <c r="D1259" s="14"/>
      <c r="E1259" s="13"/>
      <c r="F1259" s="15"/>
      <c r="G1259" s="16" t="str">
        <f aca="false">IF(OR(B1259="",A1259=""),"",C1259*IFERROR(INDEX(Kişiler!$B$5:$B$44,MATCH(B1259,Kişiler!$A$5:$A$44,0)),0)+D1259*IFERROR(INDEX(Kişiler!$C$5:$C$44,MATCH(B1259,Kişiler!$A$5:$A$44,0)),0))</f>
        <v/>
      </c>
    </row>
    <row r="1260" customFormat="false" ht="15" hidden="false" customHeight="false" outlineLevel="0" collapsed="false">
      <c r="A1260" s="12"/>
      <c r="B1260" s="13"/>
      <c r="C1260" s="14"/>
      <c r="D1260" s="14"/>
      <c r="E1260" s="13"/>
      <c r="F1260" s="15"/>
      <c r="G1260" s="16" t="str">
        <f aca="false">IF(OR(B1260="",A1260=""),"",C1260*IFERROR(INDEX(Kişiler!$B$5:$B$44,MATCH(B1260,Kişiler!$A$5:$A$44,0)),0)+D1260*IFERROR(INDEX(Kişiler!$C$5:$C$44,MATCH(B1260,Kişiler!$A$5:$A$44,0)),0))</f>
        <v/>
      </c>
    </row>
    <row r="1261" customFormat="false" ht="15" hidden="false" customHeight="false" outlineLevel="0" collapsed="false">
      <c r="A1261" s="12"/>
      <c r="B1261" s="13"/>
      <c r="C1261" s="14"/>
      <c r="D1261" s="14"/>
      <c r="E1261" s="13"/>
      <c r="F1261" s="15"/>
      <c r="G1261" s="16" t="str">
        <f aca="false">IF(OR(B1261="",A1261=""),"",C1261*IFERROR(INDEX(Kişiler!$B$5:$B$44,MATCH(B1261,Kişiler!$A$5:$A$44,0)),0)+D1261*IFERROR(INDEX(Kişiler!$C$5:$C$44,MATCH(B1261,Kişiler!$A$5:$A$44,0)),0))</f>
        <v/>
      </c>
    </row>
    <row r="1262" customFormat="false" ht="15" hidden="false" customHeight="false" outlineLevel="0" collapsed="false">
      <c r="A1262" s="12"/>
      <c r="B1262" s="13"/>
      <c r="C1262" s="14"/>
      <c r="D1262" s="14"/>
      <c r="E1262" s="13"/>
      <c r="F1262" s="15"/>
      <c r="G1262" s="16" t="str">
        <f aca="false">IF(OR(B1262="",A1262=""),"",C1262*IFERROR(INDEX(Kişiler!$B$5:$B$44,MATCH(B1262,Kişiler!$A$5:$A$44,0)),0)+D1262*IFERROR(INDEX(Kişiler!$C$5:$C$44,MATCH(B1262,Kişiler!$A$5:$A$44,0)),0))</f>
        <v/>
      </c>
    </row>
    <row r="1263" customFormat="false" ht="15" hidden="false" customHeight="false" outlineLevel="0" collapsed="false">
      <c r="A1263" s="12"/>
      <c r="B1263" s="13"/>
      <c r="C1263" s="14"/>
      <c r="D1263" s="14"/>
      <c r="E1263" s="13"/>
      <c r="F1263" s="15"/>
      <c r="G1263" s="16" t="str">
        <f aca="false">IF(OR(B1263="",A1263=""),"",C1263*IFERROR(INDEX(Kişiler!$B$5:$B$44,MATCH(B1263,Kişiler!$A$5:$A$44,0)),0)+D1263*IFERROR(INDEX(Kişiler!$C$5:$C$44,MATCH(B1263,Kişiler!$A$5:$A$44,0)),0))</f>
        <v/>
      </c>
    </row>
    <row r="1264" customFormat="false" ht="15" hidden="false" customHeight="false" outlineLevel="0" collapsed="false">
      <c r="A1264" s="12"/>
      <c r="B1264" s="13"/>
      <c r="C1264" s="14"/>
      <c r="D1264" s="14"/>
      <c r="E1264" s="13"/>
      <c r="F1264" s="15"/>
      <c r="G1264" s="16" t="str">
        <f aca="false">IF(OR(B1264="",A1264=""),"",C1264*IFERROR(INDEX(Kişiler!$B$5:$B$44,MATCH(B1264,Kişiler!$A$5:$A$44,0)),0)+D1264*IFERROR(INDEX(Kişiler!$C$5:$C$44,MATCH(B1264,Kişiler!$A$5:$A$44,0)),0))</f>
        <v/>
      </c>
    </row>
    <row r="1265" customFormat="false" ht="15" hidden="false" customHeight="false" outlineLevel="0" collapsed="false">
      <c r="A1265" s="12"/>
      <c r="B1265" s="13"/>
      <c r="C1265" s="14"/>
      <c r="D1265" s="14"/>
      <c r="E1265" s="13"/>
      <c r="F1265" s="15"/>
      <c r="G1265" s="16" t="str">
        <f aca="false">IF(OR(B1265="",A1265=""),"",C1265*IFERROR(INDEX(Kişiler!$B$5:$B$44,MATCH(B1265,Kişiler!$A$5:$A$44,0)),0)+D1265*IFERROR(INDEX(Kişiler!$C$5:$C$44,MATCH(B1265,Kişiler!$A$5:$A$44,0)),0))</f>
        <v/>
      </c>
    </row>
    <row r="1266" customFormat="false" ht="15" hidden="false" customHeight="false" outlineLevel="0" collapsed="false">
      <c r="A1266" s="12"/>
      <c r="B1266" s="13"/>
      <c r="C1266" s="14"/>
      <c r="D1266" s="14"/>
      <c r="E1266" s="13"/>
      <c r="F1266" s="15"/>
      <c r="G1266" s="16" t="str">
        <f aca="false">IF(OR(B1266="",A1266=""),"",C1266*IFERROR(INDEX(Kişiler!$B$5:$B$44,MATCH(B1266,Kişiler!$A$5:$A$44,0)),0)+D1266*IFERROR(INDEX(Kişiler!$C$5:$C$44,MATCH(B1266,Kişiler!$A$5:$A$44,0)),0))</f>
        <v/>
      </c>
    </row>
    <row r="1267" customFormat="false" ht="15" hidden="false" customHeight="false" outlineLevel="0" collapsed="false">
      <c r="A1267" s="12"/>
      <c r="B1267" s="13"/>
      <c r="C1267" s="14"/>
      <c r="D1267" s="14"/>
      <c r="E1267" s="13"/>
      <c r="F1267" s="15"/>
      <c r="G1267" s="16" t="str">
        <f aca="false">IF(OR(B1267="",A1267=""),"",C1267*IFERROR(INDEX(Kişiler!$B$5:$B$44,MATCH(B1267,Kişiler!$A$5:$A$44,0)),0)+D1267*IFERROR(INDEX(Kişiler!$C$5:$C$44,MATCH(B1267,Kişiler!$A$5:$A$44,0)),0))</f>
        <v/>
      </c>
    </row>
    <row r="1268" customFormat="false" ht="15" hidden="false" customHeight="false" outlineLevel="0" collapsed="false">
      <c r="A1268" s="12"/>
      <c r="B1268" s="13"/>
      <c r="C1268" s="14"/>
      <c r="D1268" s="14"/>
      <c r="E1268" s="13"/>
      <c r="F1268" s="15"/>
      <c r="G1268" s="16" t="str">
        <f aca="false">IF(OR(B1268="",A1268=""),"",C1268*IFERROR(INDEX(Kişiler!$B$5:$B$44,MATCH(B1268,Kişiler!$A$5:$A$44,0)),0)+D1268*IFERROR(INDEX(Kişiler!$C$5:$C$44,MATCH(B1268,Kişiler!$A$5:$A$44,0)),0))</f>
        <v/>
      </c>
    </row>
    <row r="1269" customFormat="false" ht="15" hidden="false" customHeight="false" outlineLevel="0" collapsed="false">
      <c r="A1269" s="12"/>
      <c r="B1269" s="13"/>
      <c r="C1269" s="14"/>
      <c r="D1269" s="14"/>
      <c r="E1269" s="13"/>
      <c r="F1269" s="15"/>
      <c r="G1269" s="16" t="str">
        <f aca="false">IF(OR(B1269="",A1269=""),"",C1269*IFERROR(INDEX(Kişiler!$B$5:$B$44,MATCH(B1269,Kişiler!$A$5:$A$44,0)),0)+D1269*IFERROR(INDEX(Kişiler!$C$5:$C$44,MATCH(B1269,Kişiler!$A$5:$A$44,0)),0))</f>
        <v/>
      </c>
    </row>
    <row r="1270" customFormat="false" ht="15" hidden="false" customHeight="false" outlineLevel="0" collapsed="false">
      <c r="A1270" s="12"/>
      <c r="B1270" s="13"/>
      <c r="C1270" s="14"/>
      <c r="D1270" s="14"/>
      <c r="E1270" s="13"/>
      <c r="F1270" s="15"/>
      <c r="G1270" s="16" t="str">
        <f aca="false">IF(OR(B1270="",A1270=""),"",C1270*IFERROR(INDEX(Kişiler!$B$5:$B$44,MATCH(B1270,Kişiler!$A$5:$A$44,0)),0)+D1270*IFERROR(INDEX(Kişiler!$C$5:$C$44,MATCH(B1270,Kişiler!$A$5:$A$44,0)),0))</f>
        <v/>
      </c>
    </row>
    <row r="1271" customFormat="false" ht="15" hidden="false" customHeight="false" outlineLevel="0" collapsed="false">
      <c r="A1271" s="12"/>
      <c r="B1271" s="13"/>
      <c r="C1271" s="14"/>
      <c r="D1271" s="14"/>
      <c r="E1271" s="13"/>
      <c r="F1271" s="15"/>
      <c r="G1271" s="16" t="str">
        <f aca="false">IF(OR(B1271="",A1271=""),"",C1271*IFERROR(INDEX(Kişiler!$B$5:$B$44,MATCH(B1271,Kişiler!$A$5:$A$44,0)),0)+D1271*IFERROR(INDEX(Kişiler!$C$5:$C$44,MATCH(B1271,Kişiler!$A$5:$A$44,0)),0))</f>
        <v/>
      </c>
    </row>
    <row r="1272" customFormat="false" ht="15" hidden="false" customHeight="false" outlineLevel="0" collapsed="false">
      <c r="A1272" s="12"/>
      <c r="B1272" s="13"/>
      <c r="C1272" s="14"/>
      <c r="D1272" s="14"/>
      <c r="E1272" s="13"/>
      <c r="F1272" s="15"/>
      <c r="G1272" s="16" t="str">
        <f aca="false">IF(OR(B1272="",A1272=""),"",C1272*IFERROR(INDEX(Kişiler!$B$5:$B$44,MATCH(B1272,Kişiler!$A$5:$A$44,0)),0)+D1272*IFERROR(INDEX(Kişiler!$C$5:$C$44,MATCH(B1272,Kişiler!$A$5:$A$44,0)),0))</f>
        <v/>
      </c>
    </row>
    <row r="1273" customFormat="false" ht="15" hidden="false" customHeight="false" outlineLevel="0" collapsed="false">
      <c r="A1273" s="12"/>
      <c r="B1273" s="13"/>
      <c r="C1273" s="14"/>
      <c r="D1273" s="14"/>
      <c r="E1273" s="13"/>
      <c r="F1273" s="15"/>
      <c r="G1273" s="16" t="str">
        <f aca="false">IF(OR(B1273="",A1273=""),"",C1273*IFERROR(INDEX(Kişiler!$B$5:$B$44,MATCH(B1273,Kişiler!$A$5:$A$44,0)),0)+D1273*IFERROR(INDEX(Kişiler!$C$5:$C$44,MATCH(B1273,Kişiler!$A$5:$A$44,0)),0))</f>
        <v/>
      </c>
    </row>
    <row r="1274" customFormat="false" ht="15" hidden="false" customHeight="false" outlineLevel="0" collapsed="false">
      <c r="A1274" s="12"/>
      <c r="B1274" s="13"/>
      <c r="C1274" s="14"/>
      <c r="D1274" s="14"/>
      <c r="E1274" s="13"/>
      <c r="F1274" s="15"/>
      <c r="G1274" s="16" t="str">
        <f aca="false">IF(OR(B1274="",A1274=""),"",C1274*IFERROR(INDEX(Kişiler!$B$5:$B$44,MATCH(B1274,Kişiler!$A$5:$A$44,0)),0)+D1274*IFERROR(INDEX(Kişiler!$C$5:$C$44,MATCH(B1274,Kişiler!$A$5:$A$44,0)),0))</f>
        <v/>
      </c>
    </row>
    <row r="1275" customFormat="false" ht="15" hidden="false" customHeight="false" outlineLevel="0" collapsed="false">
      <c r="A1275" s="12"/>
      <c r="B1275" s="13"/>
      <c r="C1275" s="14"/>
      <c r="D1275" s="14"/>
      <c r="E1275" s="13"/>
      <c r="F1275" s="15"/>
      <c r="G1275" s="16" t="str">
        <f aca="false">IF(OR(B1275="",A1275=""),"",C1275*IFERROR(INDEX(Kişiler!$B$5:$B$44,MATCH(B1275,Kişiler!$A$5:$A$44,0)),0)+D1275*IFERROR(INDEX(Kişiler!$C$5:$C$44,MATCH(B1275,Kişiler!$A$5:$A$44,0)),0))</f>
        <v/>
      </c>
    </row>
    <row r="1276" customFormat="false" ht="15" hidden="false" customHeight="false" outlineLevel="0" collapsed="false">
      <c r="A1276" s="12"/>
      <c r="B1276" s="13"/>
      <c r="C1276" s="14"/>
      <c r="D1276" s="14"/>
      <c r="E1276" s="13"/>
      <c r="F1276" s="15"/>
      <c r="G1276" s="16" t="str">
        <f aca="false">IF(OR(B1276="",A1276=""),"",C1276*IFERROR(INDEX(Kişiler!$B$5:$B$44,MATCH(B1276,Kişiler!$A$5:$A$44,0)),0)+D1276*IFERROR(INDEX(Kişiler!$C$5:$C$44,MATCH(B1276,Kişiler!$A$5:$A$44,0)),0))</f>
        <v/>
      </c>
    </row>
    <row r="1277" customFormat="false" ht="15" hidden="false" customHeight="false" outlineLevel="0" collapsed="false">
      <c r="A1277" s="12"/>
      <c r="B1277" s="13"/>
      <c r="C1277" s="14"/>
      <c r="D1277" s="14"/>
      <c r="E1277" s="13"/>
      <c r="F1277" s="15"/>
      <c r="G1277" s="16" t="str">
        <f aca="false">IF(OR(B1277="",A1277=""),"",C1277*IFERROR(INDEX(Kişiler!$B$5:$B$44,MATCH(B1277,Kişiler!$A$5:$A$44,0)),0)+D1277*IFERROR(INDEX(Kişiler!$C$5:$C$44,MATCH(B1277,Kişiler!$A$5:$A$44,0)),0))</f>
        <v/>
      </c>
    </row>
    <row r="1278" customFormat="false" ht="15" hidden="false" customHeight="false" outlineLevel="0" collapsed="false">
      <c r="A1278" s="12"/>
      <c r="B1278" s="13"/>
      <c r="C1278" s="14"/>
      <c r="D1278" s="14"/>
      <c r="E1278" s="13"/>
      <c r="F1278" s="15"/>
      <c r="G1278" s="16" t="str">
        <f aca="false">IF(OR(B1278="",A1278=""),"",C1278*IFERROR(INDEX(Kişiler!$B$5:$B$44,MATCH(B1278,Kişiler!$A$5:$A$44,0)),0)+D1278*IFERROR(INDEX(Kişiler!$C$5:$C$44,MATCH(B1278,Kişiler!$A$5:$A$44,0)),0))</f>
        <v/>
      </c>
    </row>
    <row r="1279" customFormat="false" ht="15" hidden="false" customHeight="false" outlineLevel="0" collapsed="false">
      <c r="A1279" s="12"/>
      <c r="B1279" s="13"/>
      <c r="C1279" s="14"/>
      <c r="D1279" s="14"/>
      <c r="E1279" s="13"/>
      <c r="F1279" s="15"/>
      <c r="G1279" s="16" t="str">
        <f aca="false">IF(OR(B1279="",A1279=""),"",C1279*IFERROR(INDEX(Kişiler!$B$5:$B$44,MATCH(B1279,Kişiler!$A$5:$A$44,0)),0)+D1279*IFERROR(INDEX(Kişiler!$C$5:$C$44,MATCH(B1279,Kişiler!$A$5:$A$44,0)),0))</f>
        <v/>
      </c>
    </row>
    <row r="1280" customFormat="false" ht="15" hidden="false" customHeight="false" outlineLevel="0" collapsed="false">
      <c r="A1280" s="12"/>
      <c r="B1280" s="13"/>
      <c r="C1280" s="14"/>
      <c r="D1280" s="14"/>
      <c r="E1280" s="13"/>
      <c r="F1280" s="15"/>
      <c r="G1280" s="16" t="str">
        <f aca="false">IF(OR(B1280="",A1280=""),"",C1280*IFERROR(INDEX(Kişiler!$B$5:$B$44,MATCH(B1280,Kişiler!$A$5:$A$44,0)),0)+D1280*IFERROR(INDEX(Kişiler!$C$5:$C$44,MATCH(B1280,Kişiler!$A$5:$A$44,0)),0))</f>
        <v/>
      </c>
    </row>
    <row r="1281" customFormat="false" ht="15" hidden="false" customHeight="false" outlineLevel="0" collapsed="false">
      <c r="A1281" s="12"/>
      <c r="B1281" s="13"/>
      <c r="C1281" s="14"/>
      <c r="D1281" s="14"/>
      <c r="E1281" s="13"/>
      <c r="F1281" s="15"/>
      <c r="G1281" s="16" t="str">
        <f aca="false">IF(OR(B1281="",A1281=""),"",C1281*IFERROR(INDEX(Kişiler!$B$5:$B$44,MATCH(B1281,Kişiler!$A$5:$A$44,0)),0)+D1281*IFERROR(INDEX(Kişiler!$C$5:$C$44,MATCH(B1281,Kişiler!$A$5:$A$44,0)),0))</f>
        <v/>
      </c>
    </row>
    <row r="1282" customFormat="false" ht="15" hidden="false" customHeight="false" outlineLevel="0" collapsed="false">
      <c r="A1282" s="12"/>
      <c r="B1282" s="13"/>
      <c r="C1282" s="14"/>
      <c r="D1282" s="14"/>
      <c r="E1282" s="13"/>
      <c r="F1282" s="15"/>
      <c r="G1282" s="16" t="str">
        <f aca="false">IF(OR(B1282="",A1282=""),"",C1282*IFERROR(INDEX(Kişiler!$B$5:$B$44,MATCH(B1282,Kişiler!$A$5:$A$44,0)),0)+D1282*IFERROR(INDEX(Kişiler!$C$5:$C$44,MATCH(B1282,Kişiler!$A$5:$A$44,0)),0))</f>
        <v/>
      </c>
    </row>
    <row r="1283" customFormat="false" ht="15" hidden="false" customHeight="false" outlineLevel="0" collapsed="false">
      <c r="A1283" s="12"/>
      <c r="B1283" s="13"/>
      <c r="C1283" s="14"/>
      <c r="D1283" s="14"/>
      <c r="E1283" s="13"/>
      <c r="F1283" s="15"/>
      <c r="G1283" s="16" t="str">
        <f aca="false">IF(OR(B1283="",A1283=""),"",C1283*IFERROR(INDEX(Kişiler!$B$5:$B$44,MATCH(B1283,Kişiler!$A$5:$A$44,0)),0)+D1283*IFERROR(INDEX(Kişiler!$C$5:$C$44,MATCH(B1283,Kişiler!$A$5:$A$44,0)),0))</f>
        <v/>
      </c>
    </row>
    <row r="1284" customFormat="false" ht="15" hidden="false" customHeight="false" outlineLevel="0" collapsed="false">
      <c r="A1284" s="12"/>
      <c r="B1284" s="13"/>
      <c r="C1284" s="14"/>
      <c r="D1284" s="14"/>
      <c r="E1284" s="13"/>
      <c r="F1284" s="15"/>
      <c r="G1284" s="16" t="str">
        <f aca="false">IF(OR(B1284="",A1284=""),"",C1284*IFERROR(INDEX(Kişiler!$B$5:$B$44,MATCH(B1284,Kişiler!$A$5:$A$44,0)),0)+D1284*IFERROR(INDEX(Kişiler!$C$5:$C$44,MATCH(B1284,Kişiler!$A$5:$A$44,0)),0))</f>
        <v/>
      </c>
    </row>
    <row r="1285" customFormat="false" ht="15" hidden="false" customHeight="false" outlineLevel="0" collapsed="false">
      <c r="A1285" s="12"/>
      <c r="B1285" s="13"/>
      <c r="C1285" s="14"/>
      <c r="D1285" s="14"/>
      <c r="E1285" s="13"/>
      <c r="F1285" s="15"/>
      <c r="G1285" s="16" t="str">
        <f aca="false">IF(OR(B1285="",A1285=""),"",C1285*IFERROR(INDEX(Kişiler!$B$5:$B$44,MATCH(B1285,Kişiler!$A$5:$A$44,0)),0)+D1285*IFERROR(INDEX(Kişiler!$C$5:$C$44,MATCH(B1285,Kişiler!$A$5:$A$44,0)),0))</f>
        <v/>
      </c>
    </row>
    <row r="1286" customFormat="false" ht="15" hidden="false" customHeight="false" outlineLevel="0" collapsed="false">
      <c r="A1286" s="12"/>
      <c r="B1286" s="13"/>
      <c r="C1286" s="14"/>
      <c r="D1286" s="14"/>
      <c r="E1286" s="13"/>
      <c r="F1286" s="15"/>
      <c r="G1286" s="16" t="str">
        <f aca="false">IF(OR(B1286="",A1286=""),"",C1286*IFERROR(INDEX(Kişiler!$B$5:$B$44,MATCH(B1286,Kişiler!$A$5:$A$44,0)),0)+D1286*IFERROR(INDEX(Kişiler!$C$5:$C$44,MATCH(B1286,Kişiler!$A$5:$A$44,0)),0))</f>
        <v/>
      </c>
    </row>
    <row r="1287" customFormat="false" ht="15" hidden="false" customHeight="false" outlineLevel="0" collapsed="false">
      <c r="A1287" s="12"/>
      <c r="B1287" s="13"/>
      <c r="C1287" s="14"/>
      <c r="D1287" s="14"/>
      <c r="E1287" s="13"/>
      <c r="F1287" s="15"/>
      <c r="G1287" s="16" t="str">
        <f aca="false">IF(OR(B1287="",A1287=""),"",C1287*IFERROR(INDEX(Kişiler!$B$5:$B$44,MATCH(B1287,Kişiler!$A$5:$A$44,0)),0)+D1287*IFERROR(INDEX(Kişiler!$C$5:$C$44,MATCH(B1287,Kişiler!$A$5:$A$44,0)),0))</f>
        <v/>
      </c>
    </row>
    <row r="1288" customFormat="false" ht="15" hidden="false" customHeight="false" outlineLevel="0" collapsed="false">
      <c r="A1288" s="12"/>
      <c r="B1288" s="13"/>
      <c r="C1288" s="14"/>
      <c r="D1288" s="14"/>
      <c r="E1288" s="13"/>
      <c r="F1288" s="15"/>
      <c r="G1288" s="16" t="str">
        <f aca="false">IF(OR(B1288="",A1288=""),"",C1288*IFERROR(INDEX(Kişiler!$B$5:$B$44,MATCH(B1288,Kişiler!$A$5:$A$44,0)),0)+D1288*IFERROR(INDEX(Kişiler!$C$5:$C$44,MATCH(B1288,Kişiler!$A$5:$A$44,0)),0))</f>
        <v/>
      </c>
    </row>
    <row r="1289" customFormat="false" ht="15" hidden="false" customHeight="false" outlineLevel="0" collapsed="false">
      <c r="A1289" s="12"/>
      <c r="B1289" s="13"/>
      <c r="C1289" s="14"/>
      <c r="D1289" s="14"/>
      <c r="E1289" s="13"/>
      <c r="F1289" s="15"/>
      <c r="G1289" s="16" t="str">
        <f aca="false">IF(OR(B1289="",A1289=""),"",C1289*IFERROR(INDEX(Kişiler!$B$5:$B$44,MATCH(B1289,Kişiler!$A$5:$A$44,0)),0)+D1289*IFERROR(INDEX(Kişiler!$C$5:$C$44,MATCH(B1289,Kişiler!$A$5:$A$44,0)),0))</f>
        <v/>
      </c>
    </row>
    <row r="1290" customFormat="false" ht="15" hidden="false" customHeight="false" outlineLevel="0" collapsed="false">
      <c r="A1290" s="12"/>
      <c r="B1290" s="13"/>
      <c r="C1290" s="14"/>
      <c r="D1290" s="14"/>
      <c r="E1290" s="13"/>
      <c r="F1290" s="15"/>
      <c r="G1290" s="16" t="str">
        <f aca="false">IF(OR(B1290="",A1290=""),"",C1290*IFERROR(INDEX(Kişiler!$B$5:$B$44,MATCH(B1290,Kişiler!$A$5:$A$44,0)),0)+D1290*IFERROR(INDEX(Kişiler!$C$5:$C$44,MATCH(B1290,Kişiler!$A$5:$A$44,0)),0))</f>
        <v/>
      </c>
    </row>
    <row r="1291" customFormat="false" ht="15" hidden="false" customHeight="false" outlineLevel="0" collapsed="false">
      <c r="A1291" s="12"/>
      <c r="B1291" s="13"/>
      <c r="C1291" s="14"/>
      <c r="D1291" s="14"/>
      <c r="E1291" s="13"/>
      <c r="F1291" s="15"/>
      <c r="G1291" s="16" t="str">
        <f aca="false">IF(OR(B1291="",A1291=""),"",C1291*IFERROR(INDEX(Kişiler!$B$5:$B$44,MATCH(B1291,Kişiler!$A$5:$A$44,0)),0)+D1291*IFERROR(INDEX(Kişiler!$C$5:$C$44,MATCH(B1291,Kişiler!$A$5:$A$44,0)),0))</f>
        <v/>
      </c>
    </row>
    <row r="1292" customFormat="false" ht="15" hidden="false" customHeight="false" outlineLevel="0" collapsed="false">
      <c r="A1292" s="12"/>
      <c r="B1292" s="13"/>
      <c r="C1292" s="14"/>
      <c r="D1292" s="14"/>
      <c r="E1292" s="13"/>
      <c r="F1292" s="15"/>
      <c r="G1292" s="16" t="str">
        <f aca="false">IF(OR(B1292="",A1292=""),"",C1292*IFERROR(INDEX(Kişiler!$B$5:$B$44,MATCH(B1292,Kişiler!$A$5:$A$44,0)),0)+D1292*IFERROR(INDEX(Kişiler!$C$5:$C$44,MATCH(B1292,Kişiler!$A$5:$A$44,0)),0))</f>
        <v/>
      </c>
    </row>
    <row r="1293" customFormat="false" ht="15" hidden="false" customHeight="false" outlineLevel="0" collapsed="false">
      <c r="A1293" s="12"/>
      <c r="B1293" s="13"/>
      <c r="C1293" s="14"/>
      <c r="D1293" s="14"/>
      <c r="E1293" s="13"/>
      <c r="F1293" s="15"/>
      <c r="G1293" s="16" t="str">
        <f aca="false">IF(OR(B1293="",A1293=""),"",C1293*IFERROR(INDEX(Kişiler!$B$5:$B$44,MATCH(B1293,Kişiler!$A$5:$A$44,0)),0)+D1293*IFERROR(INDEX(Kişiler!$C$5:$C$44,MATCH(B1293,Kişiler!$A$5:$A$44,0)),0))</f>
        <v/>
      </c>
    </row>
    <row r="1294" customFormat="false" ht="15" hidden="false" customHeight="false" outlineLevel="0" collapsed="false">
      <c r="A1294" s="12"/>
      <c r="B1294" s="13"/>
      <c r="C1294" s="14"/>
      <c r="D1294" s="14"/>
      <c r="E1294" s="13"/>
      <c r="F1294" s="15"/>
      <c r="G1294" s="16" t="str">
        <f aca="false">IF(OR(B1294="",A1294=""),"",C1294*IFERROR(INDEX(Kişiler!$B$5:$B$44,MATCH(B1294,Kişiler!$A$5:$A$44,0)),0)+D1294*IFERROR(INDEX(Kişiler!$C$5:$C$44,MATCH(B1294,Kişiler!$A$5:$A$44,0)),0))</f>
        <v/>
      </c>
    </row>
    <row r="1295" customFormat="false" ht="15" hidden="false" customHeight="false" outlineLevel="0" collapsed="false">
      <c r="A1295" s="12"/>
      <c r="B1295" s="13"/>
      <c r="C1295" s="14"/>
      <c r="D1295" s="14"/>
      <c r="E1295" s="13"/>
      <c r="F1295" s="15"/>
      <c r="G1295" s="16" t="str">
        <f aca="false">IF(OR(B1295="",A1295=""),"",C1295*IFERROR(INDEX(Kişiler!$B$5:$B$44,MATCH(B1295,Kişiler!$A$5:$A$44,0)),0)+D1295*IFERROR(INDEX(Kişiler!$C$5:$C$44,MATCH(B1295,Kişiler!$A$5:$A$44,0)),0))</f>
        <v/>
      </c>
    </row>
    <row r="1296" customFormat="false" ht="15" hidden="false" customHeight="false" outlineLevel="0" collapsed="false">
      <c r="A1296" s="12"/>
      <c r="B1296" s="13"/>
      <c r="C1296" s="14"/>
      <c r="D1296" s="14"/>
      <c r="E1296" s="13"/>
      <c r="F1296" s="15"/>
      <c r="G1296" s="16" t="str">
        <f aca="false">IF(OR(B1296="",A1296=""),"",C1296*IFERROR(INDEX(Kişiler!$B$5:$B$44,MATCH(B1296,Kişiler!$A$5:$A$44,0)),0)+D1296*IFERROR(INDEX(Kişiler!$C$5:$C$44,MATCH(B1296,Kişiler!$A$5:$A$44,0)),0))</f>
        <v/>
      </c>
    </row>
    <row r="1297" customFormat="false" ht="15" hidden="false" customHeight="false" outlineLevel="0" collapsed="false">
      <c r="A1297" s="12"/>
      <c r="B1297" s="13"/>
      <c r="C1297" s="14"/>
      <c r="D1297" s="14"/>
      <c r="E1297" s="13"/>
      <c r="F1297" s="15"/>
      <c r="G1297" s="16" t="str">
        <f aca="false">IF(OR(B1297="",A1297=""),"",C1297*IFERROR(INDEX(Kişiler!$B$5:$B$44,MATCH(B1297,Kişiler!$A$5:$A$44,0)),0)+D1297*IFERROR(INDEX(Kişiler!$C$5:$C$44,MATCH(B1297,Kişiler!$A$5:$A$44,0)),0))</f>
        <v/>
      </c>
    </row>
    <row r="1298" customFormat="false" ht="15" hidden="false" customHeight="false" outlineLevel="0" collapsed="false">
      <c r="A1298" s="12"/>
      <c r="B1298" s="13"/>
      <c r="C1298" s="14"/>
      <c r="D1298" s="14"/>
      <c r="E1298" s="13"/>
      <c r="F1298" s="15"/>
      <c r="G1298" s="16" t="str">
        <f aca="false">IF(OR(B1298="",A1298=""),"",C1298*IFERROR(INDEX(Kişiler!$B$5:$B$44,MATCH(B1298,Kişiler!$A$5:$A$44,0)),0)+D1298*IFERROR(INDEX(Kişiler!$C$5:$C$44,MATCH(B1298,Kişiler!$A$5:$A$44,0)),0))</f>
        <v/>
      </c>
    </row>
    <row r="1299" customFormat="false" ht="15" hidden="false" customHeight="false" outlineLevel="0" collapsed="false">
      <c r="A1299" s="12"/>
      <c r="B1299" s="13"/>
      <c r="C1299" s="14"/>
      <c r="D1299" s="14"/>
      <c r="E1299" s="13"/>
      <c r="F1299" s="15"/>
      <c r="G1299" s="16" t="str">
        <f aca="false">IF(OR(B1299="",A1299=""),"",C1299*IFERROR(INDEX(Kişiler!$B$5:$B$44,MATCH(B1299,Kişiler!$A$5:$A$44,0)),0)+D1299*IFERROR(INDEX(Kişiler!$C$5:$C$44,MATCH(B1299,Kişiler!$A$5:$A$44,0)),0))</f>
        <v/>
      </c>
    </row>
    <row r="1300" customFormat="false" ht="15" hidden="false" customHeight="false" outlineLevel="0" collapsed="false">
      <c r="A1300" s="12"/>
      <c r="B1300" s="13"/>
      <c r="C1300" s="14"/>
      <c r="D1300" s="14"/>
      <c r="E1300" s="13"/>
      <c r="F1300" s="15"/>
      <c r="G1300" s="16" t="str">
        <f aca="false">IF(OR(B1300="",A1300=""),"",C1300*IFERROR(INDEX(Kişiler!$B$5:$B$44,MATCH(B1300,Kişiler!$A$5:$A$44,0)),0)+D1300*IFERROR(INDEX(Kişiler!$C$5:$C$44,MATCH(B1300,Kişiler!$A$5:$A$44,0)),0))</f>
        <v/>
      </c>
    </row>
    <row r="1301" customFormat="false" ht="15" hidden="false" customHeight="false" outlineLevel="0" collapsed="false">
      <c r="A1301" s="12"/>
      <c r="B1301" s="13"/>
      <c r="C1301" s="14"/>
      <c r="D1301" s="14"/>
      <c r="E1301" s="13"/>
      <c r="F1301" s="15"/>
      <c r="G1301" s="16" t="str">
        <f aca="false">IF(OR(B1301="",A1301=""),"",C1301*IFERROR(INDEX(Kişiler!$B$5:$B$44,MATCH(B1301,Kişiler!$A$5:$A$44,0)),0)+D1301*IFERROR(INDEX(Kişiler!$C$5:$C$44,MATCH(B1301,Kişiler!$A$5:$A$44,0)),0))</f>
        <v/>
      </c>
    </row>
    <row r="1302" customFormat="false" ht="15" hidden="false" customHeight="false" outlineLevel="0" collapsed="false">
      <c r="A1302" s="12"/>
      <c r="B1302" s="13"/>
      <c r="C1302" s="14"/>
      <c r="D1302" s="14"/>
      <c r="E1302" s="13"/>
      <c r="F1302" s="15"/>
      <c r="G1302" s="16" t="str">
        <f aca="false">IF(OR(B1302="",A1302=""),"",C1302*IFERROR(INDEX(Kişiler!$B$5:$B$44,MATCH(B1302,Kişiler!$A$5:$A$44,0)),0)+D1302*IFERROR(INDEX(Kişiler!$C$5:$C$44,MATCH(B1302,Kişiler!$A$5:$A$44,0)),0))</f>
        <v/>
      </c>
    </row>
    <row r="1303" customFormat="false" ht="15" hidden="false" customHeight="false" outlineLevel="0" collapsed="false">
      <c r="A1303" s="12"/>
      <c r="B1303" s="13"/>
      <c r="C1303" s="14"/>
      <c r="D1303" s="14"/>
      <c r="E1303" s="13"/>
      <c r="F1303" s="15"/>
      <c r="G1303" s="16" t="str">
        <f aca="false">IF(OR(B1303="",A1303=""),"",C1303*IFERROR(INDEX(Kişiler!$B$5:$B$44,MATCH(B1303,Kişiler!$A$5:$A$44,0)),0)+D1303*IFERROR(INDEX(Kişiler!$C$5:$C$44,MATCH(B1303,Kişiler!$A$5:$A$44,0)),0))</f>
        <v/>
      </c>
    </row>
    <row r="1304" customFormat="false" ht="15" hidden="false" customHeight="false" outlineLevel="0" collapsed="false">
      <c r="A1304" s="12"/>
      <c r="B1304" s="13"/>
      <c r="C1304" s="14"/>
      <c r="D1304" s="14"/>
      <c r="E1304" s="13"/>
      <c r="F1304" s="15"/>
      <c r="G1304" s="16" t="str">
        <f aca="false">IF(OR(B1304="",A1304=""),"",C1304*IFERROR(INDEX(Kişiler!$B$5:$B$44,MATCH(B1304,Kişiler!$A$5:$A$44,0)),0)+D1304*IFERROR(INDEX(Kişiler!$C$5:$C$44,MATCH(B1304,Kişiler!$A$5:$A$44,0)),0))</f>
        <v/>
      </c>
    </row>
    <row r="1305" customFormat="false" ht="15" hidden="false" customHeight="false" outlineLevel="0" collapsed="false">
      <c r="A1305" s="12"/>
      <c r="B1305" s="13"/>
      <c r="C1305" s="14"/>
      <c r="D1305" s="14"/>
      <c r="E1305" s="13"/>
      <c r="F1305" s="15"/>
      <c r="G1305" s="16" t="str">
        <f aca="false">IF(OR(B1305="",A1305=""),"",C1305*IFERROR(INDEX(Kişiler!$B$5:$B$44,MATCH(B1305,Kişiler!$A$5:$A$44,0)),0)+D1305*IFERROR(INDEX(Kişiler!$C$5:$C$44,MATCH(B1305,Kişiler!$A$5:$A$44,0)),0))</f>
        <v/>
      </c>
    </row>
    <row r="1306" customFormat="false" ht="15" hidden="false" customHeight="false" outlineLevel="0" collapsed="false">
      <c r="A1306" s="12"/>
      <c r="B1306" s="13"/>
      <c r="C1306" s="14"/>
      <c r="D1306" s="14"/>
      <c r="E1306" s="13"/>
      <c r="F1306" s="15"/>
      <c r="G1306" s="16" t="str">
        <f aca="false">IF(OR(B1306="",A1306=""),"",C1306*IFERROR(INDEX(Kişiler!$B$5:$B$44,MATCH(B1306,Kişiler!$A$5:$A$44,0)),0)+D1306*IFERROR(INDEX(Kişiler!$C$5:$C$44,MATCH(B1306,Kişiler!$A$5:$A$44,0)),0))</f>
        <v/>
      </c>
    </row>
    <row r="1307" customFormat="false" ht="15" hidden="false" customHeight="false" outlineLevel="0" collapsed="false">
      <c r="A1307" s="12"/>
      <c r="B1307" s="13"/>
      <c r="C1307" s="14"/>
      <c r="D1307" s="14"/>
      <c r="E1307" s="13"/>
      <c r="F1307" s="15"/>
      <c r="G1307" s="16" t="str">
        <f aca="false">IF(OR(B1307="",A1307=""),"",C1307*IFERROR(INDEX(Kişiler!$B$5:$B$44,MATCH(B1307,Kişiler!$A$5:$A$44,0)),0)+D1307*IFERROR(INDEX(Kişiler!$C$5:$C$44,MATCH(B1307,Kişiler!$A$5:$A$44,0)),0))</f>
        <v/>
      </c>
    </row>
    <row r="1308" customFormat="false" ht="15" hidden="false" customHeight="false" outlineLevel="0" collapsed="false">
      <c r="A1308" s="12"/>
      <c r="B1308" s="13"/>
      <c r="C1308" s="14"/>
      <c r="D1308" s="14"/>
      <c r="E1308" s="13"/>
      <c r="F1308" s="15"/>
      <c r="G1308" s="16" t="str">
        <f aca="false">IF(OR(B1308="",A1308=""),"",C1308*IFERROR(INDEX(Kişiler!$B$5:$B$44,MATCH(B1308,Kişiler!$A$5:$A$44,0)),0)+D1308*IFERROR(INDEX(Kişiler!$C$5:$C$44,MATCH(B1308,Kişiler!$A$5:$A$44,0)),0))</f>
        <v/>
      </c>
    </row>
    <row r="1309" customFormat="false" ht="15" hidden="false" customHeight="false" outlineLevel="0" collapsed="false">
      <c r="A1309" s="12"/>
      <c r="B1309" s="13"/>
      <c r="C1309" s="14"/>
      <c r="D1309" s="14"/>
      <c r="E1309" s="13"/>
      <c r="F1309" s="15"/>
      <c r="G1309" s="16" t="str">
        <f aca="false">IF(OR(B1309="",A1309=""),"",C1309*IFERROR(INDEX(Kişiler!$B$5:$B$44,MATCH(B1309,Kişiler!$A$5:$A$44,0)),0)+D1309*IFERROR(INDEX(Kişiler!$C$5:$C$44,MATCH(B1309,Kişiler!$A$5:$A$44,0)),0))</f>
        <v/>
      </c>
    </row>
    <row r="1310" customFormat="false" ht="15" hidden="false" customHeight="false" outlineLevel="0" collapsed="false">
      <c r="A1310" s="12"/>
      <c r="B1310" s="13"/>
      <c r="C1310" s="14"/>
      <c r="D1310" s="14"/>
      <c r="E1310" s="13"/>
      <c r="F1310" s="15"/>
      <c r="G1310" s="16" t="str">
        <f aca="false">IF(OR(B1310="",A1310=""),"",C1310*IFERROR(INDEX(Kişiler!$B$5:$B$44,MATCH(B1310,Kişiler!$A$5:$A$44,0)),0)+D1310*IFERROR(INDEX(Kişiler!$C$5:$C$44,MATCH(B1310,Kişiler!$A$5:$A$44,0)),0))</f>
        <v/>
      </c>
    </row>
    <row r="1311" customFormat="false" ht="15" hidden="false" customHeight="false" outlineLevel="0" collapsed="false">
      <c r="A1311" s="12"/>
      <c r="B1311" s="13"/>
      <c r="C1311" s="14"/>
      <c r="D1311" s="14"/>
      <c r="E1311" s="13"/>
      <c r="F1311" s="15"/>
      <c r="G1311" s="16" t="str">
        <f aca="false">IF(OR(B1311="",A1311=""),"",C1311*IFERROR(INDEX(Kişiler!$B$5:$B$44,MATCH(B1311,Kişiler!$A$5:$A$44,0)),0)+D1311*IFERROR(INDEX(Kişiler!$C$5:$C$44,MATCH(B1311,Kişiler!$A$5:$A$44,0)),0))</f>
        <v/>
      </c>
    </row>
    <row r="1312" customFormat="false" ht="15" hidden="false" customHeight="false" outlineLevel="0" collapsed="false">
      <c r="A1312" s="12"/>
      <c r="B1312" s="13"/>
      <c r="C1312" s="14"/>
      <c r="D1312" s="14"/>
      <c r="E1312" s="13"/>
      <c r="F1312" s="15"/>
      <c r="G1312" s="16" t="str">
        <f aca="false">IF(OR(B1312="",A1312=""),"",C1312*IFERROR(INDEX(Kişiler!$B$5:$B$44,MATCH(B1312,Kişiler!$A$5:$A$44,0)),0)+D1312*IFERROR(INDEX(Kişiler!$C$5:$C$44,MATCH(B1312,Kişiler!$A$5:$A$44,0)),0))</f>
        <v/>
      </c>
    </row>
    <row r="1313" customFormat="false" ht="15" hidden="false" customHeight="false" outlineLevel="0" collapsed="false">
      <c r="A1313" s="12"/>
      <c r="B1313" s="13"/>
      <c r="C1313" s="14"/>
      <c r="D1313" s="14"/>
      <c r="E1313" s="13"/>
      <c r="F1313" s="15"/>
      <c r="G1313" s="16" t="str">
        <f aca="false">IF(OR(B1313="",A1313=""),"",C1313*IFERROR(INDEX(Kişiler!$B$5:$B$44,MATCH(B1313,Kişiler!$A$5:$A$44,0)),0)+D1313*IFERROR(INDEX(Kişiler!$C$5:$C$44,MATCH(B1313,Kişiler!$A$5:$A$44,0)),0))</f>
        <v/>
      </c>
    </row>
    <row r="1314" customFormat="false" ht="15" hidden="false" customHeight="false" outlineLevel="0" collapsed="false">
      <c r="A1314" s="12"/>
      <c r="B1314" s="13"/>
      <c r="C1314" s="14"/>
      <c r="D1314" s="14"/>
      <c r="E1314" s="13"/>
      <c r="F1314" s="15"/>
      <c r="G1314" s="16" t="str">
        <f aca="false">IF(OR(B1314="",A1314=""),"",C1314*IFERROR(INDEX(Kişiler!$B$5:$B$44,MATCH(B1314,Kişiler!$A$5:$A$44,0)),0)+D1314*IFERROR(INDEX(Kişiler!$C$5:$C$44,MATCH(B1314,Kişiler!$A$5:$A$44,0)),0))</f>
        <v/>
      </c>
    </row>
    <row r="1315" customFormat="false" ht="15" hidden="false" customHeight="false" outlineLevel="0" collapsed="false">
      <c r="A1315" s="12"/>
      <c r="B1315" s="13"/>
      <c r="C1315" s="14"/>
      <c r="D1315" s="14"/>
      <c r="E1315" s="13"/>
      <c r="F1315" s="15"/>
      <c r="G1315" s="16" t="str">
        <f aca="false">IF(OR(B1315="",A1315=""),"",C1315*IFERROR(INDEX(Kişiler!$B$5:$B$44,MATCH(B1315,Kişiler!$A$5:$A$44,0)),0)+D1315*IFERROR(INDEX(Kişiler!$C$5:$C$44,MATCH(B1315,Kişiler!$A$5:$A$44,0)),0))</f>
        <v/>
      </c>
    </row>
    <row r="1316" customFormat="false" ht="15" hidden="false" customHeight="false" outlineLevel="0" collapsed="false">
      <c r="A1316" s="12"/>
      <c r="B1316" s="13"/>
      <c r="C1316" s="14"/>
      <c r="D1316" s="14"/>
      <c r="E1316" s="13"/>
      <c r="F1316" s="15"/>
      <c r="G1316" s="16" t="str">
        <f aca="false">IF(OR(B1316="",A1316=""),"",C1316*IFERROR(INDEX(Kişiler!$B$5:$B$44,MATCH(B1316,Kişiler!$A$5:$A$44,0)),0)+D1316*IFERROR(INDEX(Kişiler!$C$5:$C$44,MATCH(B1316,Kişiler!$A$5:$A$44,0)),0))</f>
        <v/>
      </c>
    </row>
    <row r="1317" customFormat="false" ht="15" hidden="false" customHeight="false" outlineLevel="0" collapsed="false">
      <c r="A1317" s="12"/>
      <c r="B1317" s="13"/>
      <c r="C1317" s="14"/>
      <c r="D1317" s="14"/>
      <c r="E1317" s="13"/>
      <c r="F1317" s="15"/>
      <c r="G1317" s="16" t="str">
        <f aca="false">IF(OR(B1317="",A1317=""),"",C1317*IFERROR(INDEX(Kişiler!$B$5:$B$44,MATCH(B1317,Kişiler!$A$5:$A$44,0)),0)+D1317*IFERROR(INDEX(Kişiler!$C$5:$C$44,MATCH(B1317,Kişiler!$A$5:$A$44,0)),0))</f>
        <v/>
      </c>
    </row>
    <row r="1318" customFormat="false" ht="15" hidden="false" customHeight="false" outlineLevel="0" collapsed="false">
      <c r="A1318" s="12"/>
      <c r="B1318" s="13"/>
      <c r="C1318" s="14"/>
      <c r="D1318" s="14"/>
      <c r="E1318" s="13"/>
      <c r="F1318" s="15"/>
      <c r="G1318" s="16" t="str">
        <f aca="false">IF(OR(B1318="",A1318=""),"",C1318*IFERROR(INDEX(Kişiler!$B$5:$B$44,MATCH(B1318,Kişiler!$A$5:$A$44,0)),0)+D1318*IFERROR(INDEX(Kişiler!$C$5:$C$44,MATCH(B1318,Kişiler!$A$5:$A$44,0)),0))</f>
        <v/>
      </c>
    </row>
    <row r="1319" customFormat="false" ht="15" hidden="false" customHeight="false" outlineLevel="0" collapsed="false">
      <c r="A1319" s="12"/>
      <c r="B1319" s="13"/>
      <c r="C1319" s="14"/>
      <c r="D1319" s="14"/>
      <c r="E1319" s="13"/>
      <c r="F1319" s="15"/>
      <c r="G1319" s="16" t="str">
        <f aca="false">IF(OR(B1319="",A1319=""),"",C1319*IFERROR(INDEX(Kişiler!$B$5:$B$44,MATCH(B1319,Kişiler!$A$5:$A$44,0)),0)+D1319*IFERROR(INDEX(Kişiler!$C$5:$C$44,MATCH(B1319,Kişiler!$A$5:$A$44,0)),0))</f>
        <v/>
      </c>
    </row>
    <row r="1320" customFormat="false" ht="15" hidden="false" customHeight="false" outlineLevel="0" collapsed="false">
      <c r="A1320" s="12"/>
      <c r="B1320" s="13"/>
      <c r="C1320" s="14"/>
      <c r="D1320" s="14"/>
      <c r="E1320" s="13"/>
      <c r="F1320" s="15"/>
      <c r="G1320" s="16" t="str">
        <f aca="false">IF(OR(B1320="",A1320=""),"",C1320*IFERROR(INDEX(Kişiler!$B$5:$B$44,MATCH(B1320,Kişiler!$A$5:$A$44,0)),0)+D1320*IFERROR(INDEX(Kişiler!$C$5:$C$44,MATCH(B1320,Kişiler!$A$5:$A$44,0)),0))</f>
        <v/>
      </c>
    </row>
    <row r="1321" customFormat="false" ht="15" hidden="false" customHeight="false" outlineLevel="0" collapsed="false">
      <c r="A1321" s="12"/>
      <c r="B1321" s="13"/>
      <c r="C1321" s="14"/>
      <c r="D1321" s="14"/>
      <c r="E1321" s="13"/>
      <c r="F1321" s="15"/>
      <c r="G1321" s="16" t="str">
        <f aca="false">IF(OR(B1321="",A1321=""),"",C1321*IFERROR(INDEX(Kişiler!$B$5:$B$44,MATCH(B1321,Kişiler!$A$5:$A$44,0)),0)+D1321*IFERROR(INDEX(Kişiler!$C$5:$C$44,MATCH(B1321,Kişiler!$A$5:$A$44,0)),0))</f>
        <v/>
      </c>
    </row>
    <row r="1322" customFormat="false" ht="15" hidden="false" customHeight="false" outlineLevel="0" collapsed="false">
      <c r="A1322" s="12"/>
      <c r="B1322" s="13"/>
      <c r="C1322" s="14"/>
      <c r="D1322" s="14"/>
      <c r="E1322" s="13"/>
      <c r="F1322" s="15"/>
      <c r="G1322" s="16" t="str">
        <f aca="false">IF(OR(B1322="",A1322=""),"",C1322*IFERROR(INDEX(Kişiler!$B$5:$B$44,MATCH(B1322,Kişiler!$A$5:$A$44,0)),0)+D1322*IFERROR(INDEX(Kişiler!$C$5:$C$44,MATCH(B1322,Kişiler!$A$5:$A$44,0)),0))</f>
        <v/>
      </c>
    </row>
    <row r="1323" customFormat="false" ht="15" hidden="false" customHeight="false" outlineLevel="0" collapsed="false">
      <c r="A1323" s="12"/>
      <c r="B1323" s="13"/>
      <c r="C1323" s="14"/>
      <c r="D1323" s="14"/>
      <c r="E1323" s="13"/>
      <c r="F1323" s="15"/>
      <c r="G1323" s="16" t="str">
        <f aca="false">IF(OR(B1323="",A1323=""),"",C1323*IFERROR(INDEX(Kişiler!$B$5:$B$44,MATCH(B1323,Kişiler!$A$5:$A$44,0)),0)+D1323*IFERROR(INDEX(Kişiler!$C$5:$C$44,MATCH(B1323,Kişiler!$A$5:$A$44,0)),0))</f>
        <v/>
      </c>
    </row>
    <row r="1324" customFormat="false" ht="15" hidden="false" customHeight="false" outlineLevel="0" collapsed="false">
      <c r="A1324" s="12"/>
      <c r="B1324" s="13"/>
      <c r="C1324" s="14"/>
      <c r="D1324" s="14"/>
      <c r="E1324" s="13"/>
      <c r="F1324" s="15"/>
      <c r="G1324" s="16" t="str">
        <f aca="false">IF(OR(B1324="",A1324=""),"",C1324*IFERROR(INDEX(Kişiler!$B$5:$B$44,MATCH(B1324,Kişiler!$A$5:$A$44,0)),0)+D1324*IFERROR(INDEX(Kişiler!$C$5:$C$44,MATCH(B1324,Kişiler!$A$5:$A$44,0)),0))</f>
        <v/>
      </c>
    </row>
    <row r="1325" customFormat="false" ht="15" hidden="false" customHeight="false" outlineLevel="0" collapsed="false">
      <c r="A1325" s="12"/>
      <c r="B1325" s="13"/>
      <c r="C1325" s="14"/>
      <c r="D1325" s="14"/>
      <c r="E1325" s="13"/>
      <c r="F1325" s="15"/>
      <c r="G1325" s="16" t="str">
        <f aca="false">IF(OR(B1325="",A1325=""),"",C1325*IFERROR(INDEX(Kişiler!$B$5:$B$44,MATCH(B1325,Kişiler!$A$5:$A$44,0)),0)+D1325*IFERROR(INDEX(Kişiler!$C$5:$C$44,MATCH(B1325,Kişiler!$A$5:$A$44,0)),0))</f>
        <v/>
      </c>
    </row>
    <row r="1326" customFormat="false" ht="15" hidden="false" customHeight="false" outlineLevel="0" collapsed="false">
      <c r="A1326" s="12"/>
      <c r="B1326" s="13"/>
      <c r="C1326" s="14"/>
      <c r="D1326" s="14"/>
      <c r="E1326" s="13"/>
      <c r="F1326" s="15"/>
      <c r="G1326" s="16" t="str">
        <f aca="false">IF(OR(B1326="",A1326=""),"",C1326*IFERROR(INDEX(Kişiler!$B$5:$B$44,MATCH(B1326,Kişiler!$A$5:$A$44,0)),0)+D1326*IFERROR(INDEX(Kişiler!$C$5:$C$44,MATCH(B1326,Kişiler!$A$5:$A$44,0)),0))</f>
        <v/>
      </c>
    </row>
    <row r="1327" customFormat="false" ht="15" hidden="false" customHeight="false" outlineLevel="0" collapsed="false">
      <c r="A1327" s="12"/>
      <c r="B1327" s="13"/>
      <c r="C1327" s="14"/>
      <c r="D1327" s="14"/>
      <c r="E1327" s="13"/>
      <c r="F1327" s="15"/>
      <c r="G1327" s="16" t="str">
        <f aca="false">IF(OR(B1327="",A1327=""),"",C1327*IFERROR(INDEX(Kişiler!$B$5:$B$44,MATCH(B1327,Kişiler!$A$5:$A$44,0)),0)+D1327*IFERROR(INDEX(Kişiler!$C$5:$C$44,MATCH(B1327,Kişiler!$A$5:$A$44,0)),0))</f>
        <v/>
      </c>
    </row>
    <row r="1328" customFormat="false" ht="15" hidden="false" customHeight="false" outlineLevel="0" collapsed="false">
      <c r="A1328" s="12"/>
      <c r="B1328" s="13"/>
      <c r="C1328" s="14"/>
      <c r="D1328" s="14"/>
      <c r="E1328" s="13"/>
      <c r="F1328" s="15"/>
      <c r="G1328" s="16" t="str">
        <f aca="false">IF(OR(B1328="",A1328=""),"",C1328*IFERROR(INDEX(Kişiler!$B$5:$B$44,MATCH(B1328,Kişiler!$A$5:$A$44,0)),0)+D1328*IFERROR(INDEX(Kişiler!$C$5:$C$44,MATCH(B1328,Kişiler!$A$5:$A$44,0)),0))</f>
        <v/>
      </c>
    </row>
    <row r="1329" customFormat="false" ht="15" hidden="false" customHeight="false" outlineLevel="0" collapsed="false">
      <c r="A1329" s="12"/>
      <c r="B1329" s="13"/>
      <c r="C1329" s="14"/>
      <c r="D1329" s="14"/>
      <c r="E1329" s="13"/>
      <c r="F1329" s="15"/>
      <c r="G1329" s="16" t="str">
        <f aca="false">IF(OR(B1329="",A1329=""),"",C1329*IFERROR(INDEX(Kişiler!$B$5:$B$44,MATCH(B1329,Kişiler!$A$5:$A$44,0)),0)+D1329*IFERROR(INDEX(Kişiler!$C$5:$C$44,MATCH(B1329,Kişiler!$A$5:$A$44,0)),0))</f>
        <v/>
      </c>
    </row>
    <row r="1330" customFormat="false" ht="15" hidden="false" customHeight="false" outlineLevel="0" collapsed="false">
      <c r="A1330" s="12"/>
      <c r="B1330" s="13"/>
      <c r="C1330" s="14"/>
      <c r="D1330" s="14"/>
      <c r="E1330" s="13"/>
      <c r="F1330" s="15"/>
      <c r="G1330" s="16" t="str">
        <f aca="false">IF(OR(B1330="",A1330=""),"",C1330*IFERROR(INDEX(Kişiler!$B$5:$B$44,MATCH(B1330,Kişiler!$A$5:$A$44,0)),0)+D1330*IFERROR(INDEX(Kişiler!$C$5:$C$44,MATCH(B1330,Kişiler!$A$5:$A$44,0)),0))</f>
        <v/>
      </c>
    </row>
    <row r="1331" customFormat="false" ht="15" hidden="false" customHeight="false" outlineLevel="0" collapsed="false">
      <c r="A1331" s="12"/>
      <c r="B1331" s="13"/>
      <c r="C1331" s="14"/>
      <c r="D1331" s="14"/>
      <c r="E1331" s="13"/>
      <c r="F1331" s="15"/>
      <c r="G1331" s="16" t="str">
        <f aca="false">IF(OR(B1331="",A1331=""),"",C1331*IFERROR(INDEX(Kişiler!$B$5:$B$44,MATCH(B1331,Kişiler!$A$5:$A$44,0)),0)+D1331*IFERROR(INDEX(Kişiler!$C$5:$C$44,MATCH(B1331,Kişiler!$A$5:$A$44,0)),0))</f>
        <v/>
      </c>
    </row>
    <row r="1332" customFormat="false" ht="15" hidden="false" customHeight="false" outlineLevel="0" collapsed="false">
      <c r="A1332" s="12"/>
      <c r="B1332" s="13"/>
      <c r="C1332" s="14"/>
      <c r="D1332" s="14"/>
      <c r="E1332" s="13"/>
      <c r="F1332" s="15"/>
      <c r="G1332" s="16" t="str">
        <f aca="false">IF(OR(B1332="",A1332=""),"",C1332*IFERROR(INDEX(Kişiler!$B$5:$B$44,MATCH(B1332,Kişiler!$A$5:$A$44,0)),0)+D1332*IFERROR(INDEX(Kişiler!$C$5:$C$44,MATCH(B1332,Kişiler!$A$5:$A$44,0)),0))</f>
        <v/>
      </c>
    </row>
    <row r="1333" customFormat="false" ht="15" hidden="false" customHeight="false" outlineLevel="0" collapsed="false">
      <c r="A1333" s="12"/>
      <c r="B1333" s="13"/>
      <c r="C1333" s="14"/>
      <c r="D1333" s="14"/>
      <c r="E1333" s="13"/>
      <c r="F1333" s="15"/>
      <c r="G1333" s="16" t="str">
        <f aca="false">IF(OR(B1333="",A1333=""),"",C1333*IFERROR(INDEX(Kişiler!$B$5:$B$44,MATCH(B1333,Kişiler!$A$5:$A$44,0)),0)+D1333*IFERROR(INDEX(Kişiler!$C$5:$C$44,MATCH(B1333,Kişiler!$A$5:$A$44,0)),0))</f>
        <v/>
      </c>
    </row>
    <row r="1334" customFormat="false" ht="15" hidden="false" customHeight="false" outlineLevel="0" collapsed="false">
      <c r="A1334" s="12"/>
      <c r="B1334" s="13"/>
      <c r="C1334" s="14"/>
      <c r="D1334" s="14"/>
      <c r="E1334" s="13"/>
      <c r="F1334" s="15"/>
      <c r="G1334" s="16" t="str">
        <f aca="false">IF(OR(B1334="",A1334=""),"",C1334*IFERROR(INDEX(Kişiler!$B$5:$B$44,MATCH(B1334,Kişiler!$A$5:$A$44,0)),0)+D1334*IFERROR(INDEX(Kişiler!$C$5:$C$44,MATCH(B1334,Kişiler!$A$5:$A$44,0)),0))</f>
        <v/>
      </c>
    </row>
    <row r="1335" customFormat="false" ht="15" hidden="false" customHeight="false" outlineLevel="0" collapsed="false">
      <c r="A1335" s="12"/>
      <c r="B1335" s="13"/>
      <c r="C1335" s="14"/>
      <c r="D1335" s="14"/>
      <c r="E1335" s="13"/>
      <c r="F1335" s="15"/>
      <c r="G1335" s="16" t="str">
        <f aca="false">IF(OR(B1335="",A1335=""),"",C1335*IFERROR(INDEX(Kişiler!$B$5:$B$44,MATCH(B1335,Kişiler!$A$5:$A$44,0)),0)+D1335*IFERROR(INDEX(Kişiler!$C$5:$C$44,MATCH(B1335,Kişiler!$A$5:$A$44,0)),0))</f>
        <v/>
      </c>
    </row>
    <row r="1336" customFormat="false" ht="15" hidden="false" customHeight="false" outlineLevel="0" collapsed="false">
      <c r="A1336" s="12"/>
      <c r="B1336" s="13"/>
      <c r="C1336" s="14"/>
      <c r="D1336" s="14"/>
      <c r="E1336" s="13"/>
      <c r="F1336" s="15"/>
      <c r="G1336" s="16" t="str">
        <f aca="false">IF(OR(B1336="",A1336=""),"",C1336*IFERROR(INDEX(Kişiler!$B$5:$B$44,MATCH(B1336,Kişiler!$A$5:$A$44,0)),0)+D1336*IFERROR(INDEX(Kişiler!$C$5:$C$44,MATCH(B1336,Kişiler!$A$5:$A$44,0)),0))</f>
        <v/>
      </c>
    </row>
    <row r="1337" customFormat="false" ht="15" hidden="false" customHeight="false" outlineLevel="0" collapsed="false">
      <c r="A1337" s="12"/>
      <c r="B1337" s="13"/>
      <c r="C1337" s="14"/>
      <c r="D1337" s="14"/>
      <c r="E1337" s="13"/>
      <c r="F1337" s="15"/>
      <c r="G1337" s="16" t="str">
        <f aca="false">IF(OR(B1337="",A1337=""),"",C1337*IFERROR(INDEX(Kişiler!$B$5:$B$44,MATCH(B1337,Kişiler!$A$5:$A$44,0)),0)+D1337*IFERROR(INDEX(Kişiler!$C$5:$C$44,MATCH(B1337,Kişiler!$A$5:$A$44,0)),0))</f>
        <v/>
      </c>
    </row>
    <row r="1338" customFormat="false" ht="15" hidden="false" customHeight="false" outlineLevel="0" collapsed="false">
      <c r="A1338" s="12"/>
      <c r="B1338" s="13"/>
      <c r="C1338" s="14"/>
      <c r="D1338" s="14"/>
      <c r="E1338" s="13"/>
      <c r="F1338" s="15"/>
      <c r="G1338" s="16" t="str">
        <f aca="false">IF(OR(B1338="",A1338=""),"",C1338*IFERROR(INDEX(Kişiler!$B$5:$B$44,MATCH(B1338,Kişiler!$A$5:$A$44,0)),0)+D1338*IFERROR(INDEX(Kişiler!$C$5:$C$44,MATCH(B1338,Kişiler!$A$5:$A$44,0)),0))</f>
        <v/>
      </c>
    </row>
    <row r="1339" customFormat="false" ht="15" hidden="false" customHeight="false" outlineLevel="0" collapsed="false">
      <c r="A1339" s="12"/>
      <c r="B1339" s="13"/>
      <c r="C1339" s="14"/>
      <c r="D1339" s="14"/>
      <c r="E1339" s="13"/>
      <c r="F1339" s="15"/>
      <c r="G1339" s="16" t="str">
        <f aca="false">IF(OR(B1339="",A1339=""),"",C1339*IFERROR(INDEX(Kişiler!$B$5:$B$44,MATCH(B1339,Kişiler!$A$5:$A$44,0)),0)+D1339*IFERROR(INDEX(Kişiler!$C$5:$C$44,MATCH(B1339,Kişiler!$A$5:$A$44,0)),0))</f>
        <v/>
      </c>
    </row>
    <row r="1340" customFormat="false" ht="15" hidden="false" customHeight="false" outlineLevel="0" collapsed="false">
      <c r="A1340" s="12"/>
      <c r="B1340" s="13"/>
      <c r="C1340" s="14"/>
      <c r="D1340" s="14"/>
      <c r="E1340" s="13"/>
      <c r="F1340" s="15"/>
      <c r="G1340" s="16" t="str">
        <f aca="false">IF(OR(B1340="",A1340=""),"",C1340*IFERROR(INDEX(Kişiler!$B$5:$B$44,MATCH(B1340,Kişiler!$A$5:$A$44,0)),0)+D1340*IFERROR(INDEX(Kişiler!$C$5:$C$44,MATCH(B1340,Kişiler!$A$5:$A$44,0)),0))</f>
        <v/>
      </c>
    </row>
    <row r="1341" customFormat="false" ht="15" hidden="false" customHeight="false" outlineLevel="0" collapsed="false">
      <c r="A1341" s="12"/>
      <c r="B1341" s="13"/>
      <c r="C1341" s="14"/>
      <c r="D1341" s="14"/>
      <c r="E1341" s="13"/>
      <c r="F1341" s="15"/>
      <c r="G1341" s="16" t="str">
        <f aca="false">IF(OR(B1341="",A1341=""),"",C1341*IFERROR(INDEX(Kişiler!$B$5:$B$44,MATCH(B1341,Kişiler!$A$5:$A$44,0)),0)+D1341*IFERROR(INDEX(Kişiler!$C$5:$C$44,MATCH(B1341,Kişiler!$A$5:$A$44,0)),0))</f>
        <v/>
      </c>
    </row>
    <row r="1342" customFormat="false" ht="15" hidden="false" customHeight="false" outlineLevel="0" collapsed="false">
      <c r="A1342" s="12"/>
      <c r="B1342" s="13"/>
      <c r="C1342" s="14"/>
      <c r="D1342" s="14"/>
      <c r="E1342" s="13"/>
      <c r="F1342" s="15"/>
      <c r="G1342" s="16" t="str">
        <f aca="false">IF(OR(B1342="",A1342=""),"",C1342*IFERROR(INDEX(Kişiler!$B$5:$B$44,MATCH(B1342,Kişiler!$A$5:$A$44,0)),0)+D1342*IFERROR(INDEX(Kişiler!$C$5:$C$44,MATCH(B1342,Kişiler!$A$5:$A$44,0)),0))</f>
        <v/>
      </c>
    </row>
    <row r="1343" customFormat="false" ht="15" hidden="false" customHeight="false" outlineLevel="0" collapsed="false">
      <c r="A1343" s="12"/>
      <c r="B1343" s="13"/>
      <c r="C1343" s="14"/>
      <c r="D1343" s="14"/>
      <c r="E1343" s="13"/>
      <c r="F1343" s="15"/>
      <c r="G1343" s="16" t="str">
        <f aca="false">IF(OR(B1343="",A1343=""),"",C1343*IFERROR(INDEX(Kişiler!$B$5:$B$44,MATCH(B1343,Kişiler!$A$5:$A$44,0)),0)+D1343*IFERROR(INDEX(Kişiler!$C$5:$C$44,MATCH(B1343,Kişiler!$A$5:$A$44,0)),0))</f>
        <v/>
      </c>
    </row>
    <row r="1344" customFormat="false" ht="15" hidden="false" customHeight="false" outlineLevel="0" collapsed="false">
      <c r="A1344" s="12"/>
      <c r="B1344" s="13"/>
      <c r="C1344" s="14"/>
      <c r="D1344" s="14"/>
      <c r="E1344" s="13"/>
      <c r="F1344" s="15"/>
      <c r="G1344" s="16" t="str">
        <f aca="false">IF(OR(B1344="",A1344=""),"",C1344*IFERROR(INDEX(Kişiler!$B$5:$B$44,MATCH(B1344,Kişiler!$A$5:$A$44,0)),0)+D1344*IFERROR(INDEX(Kişiler!$C$5:$C$44,MATCH(B1344,Kişiler!$A$5:$A$44,0)),0))</f>
        <v/>
      </c>
    </row>
    <row r="1345" customFormat="false" ht="15" hidden="false" customHeight="false" outlineLevel="0" collapsed="false">
      <c r="A1345" s="12"/>
      <c r="B1345" s="13"/>
      <c r="C1345" s="14"/>
      <c r="D1345" s="14"/>
      <c r="E1345" s="13"/>
      <c r="F1345" s="15"/>
      <c r="G1345" s="16" t="str">
        <f aca="false">IF(OR(B1345="",A1345=""),"",C1345*IFERROR(INDEX(Kişiler!$B$5:$B$44,MATCH(B1345,Kişiler!$A$5:$A$44,0)),0)+D1345*IFERROR(INDEX(Kişiler!$C$5:$C$44,MATCH(B1345,Kişiler!$A$5:$A$44,0)),0))</f>
        <v/>
      </c>
    </row>
    <row r="1346" customFormat="false" ht="15" hidden="false" customHeight="false" outlineLevel="0" collapsed="false">
      <c r="A1346" s="12"/>
      <c r="B1346" s="13"/>
      <c r="C1346" s="14"/>
      <c r="D1346" s="14"/>
      <c r="E1346" s="13"/>
      <c r="F1346" s="15"/>
      <c r="G1346" s="16" t="str">
        <f aca="false">IF(OR(B1346="",A1346=""),"",C1346*IFERROR(INDEX(Kişiler!$B$5:$B$44,MATCH(B1346,Kişiler!$A$5:$A$44,0)),0)+D1346*IFERROR(INDEX(Kişiler!$C$5:$C$44,MATCH(B1346,Kişiler!$A$5:$A$44,0)),0))</f>
        <v/>
      </c>
    </row>
    <row r="1347" customFormat="false" ht="15" hidden="false" customHeight="false" outlineLevel="0" collapsed="false">
      <c r="A1347" s="12"/>
      <c r="B1347" s="13"/>
      <c r="C1347" s="14"/>
      <c r="D1347" s="14"/>
      <c r="E1347" s="13"/>
      <c r="F1347" s="15"/>
      <c r="G1347" s="16" t="str">
        <f aca="false">IF(OR(B1347="",A1347=""),"",C1347*IFERROR(INDEX(Kişiler!$B$5:$B$44,MATCH(B1347,Kişiler!$A$5:$A$44,0)),0)+D1347*IFERROR(INDEX(Kişiler!$C$5:$C$44,MATCH(B1347,Kişiler!$A$5:$A$44,0)),0))</f>
        <v/>
      </c>
    </row>
    <row r="1348" customFormat="false" ht="15" hidden="false" customHeight="false" outlineLevel="0" collapsed="false">
      <c r="A1348" s="12"/>
      <c r="B1348" s="13"/>
      <c r="C1348" s="14"/>
      <c r="D1348" s="14"/>
      <c r="E1348" s="13"/>
      <c r="F1348" s="15"/>
      <c r="G1348" s="16" t="str">
        <f aca="false">IF(OR(B1348="",A1348=""),"",C1348*IFERROR(INDEX(Kişiler!$B$5:$B$44,MATCH(B1348,Kişiler!$A$5:$A$44,0)),0)+D1348*IFERROR(INDEX(Kişiler!$C$5:$C$44,MATCH(B1348,Kişiler!$A$5:$A$44,0)),0))</f>
        <v/>
      </c>
    </row>
    <row r="1349" customFormat="false" ht="15" hidden="false" customHeight="false" outlineLevel="0" collapsed="false">
      <c r="A1349" s="12"/>
      <c r="B1349" s="13"/>
      <c r="C1349" s="14"/>
      <c r="D1349" s="14"/>
      <c r="E1349" s="13"/>
      <c r="F1349" s="15"/>
      <c r="G1349" s="16" t="str">
        <f aca="false">IF(OR(B1349="",A1349=""),"",C1349*IFERROR(INDEX(Kişiler!$B$5:$B$44,MATCH(B1349,Kişiler!$A$5:$A$44,0)),0)+D1349*IFERROR(INDEX(Kişiler!$C$5:$C$44,MATCH(B1349,Kişiler!$A$5:$A$44,0)),0))</f>
        <v/>
      </c>
    </row>
    <row r="1350" customFormat="false" ht="15" hidden="false" customHeight="false" outlineLevel="0" collapsed="false">
      <c r="A1350" s="12"/>
      <c r="B1350" s="13"/>
      <c r="C1350" s="14"/>
      <c r="D1350" s="14"/>
      <c r="E1350" s="13"/>
      <c r="F1350" s="15"/>
      <c r="G1350" s="16" t="str">
        <f aca="false">IF(OR(B1350="",A1350=""),"",C1350*IFERROR(INDEX(Kişiler!$B$5:$B$44,MATCH(B1350,Kişiler!$A$5:$A$44,0)),0)+D1350*IFERROR(INDEX(Kişiler!$C$5:$C$44,MATCH(B1350,Kişiler!$A$5:$A$44,0)),0))</f>
        <v/>
      </c>
    </row>
    <row r="1351" customFormat="false" ht="15" hidden="false" customHeight="false" outlineLevel="0" collapsed="false">
      <c r="A1351" s="12"/>
      <c r="B1351" s="13"/>
      <c r="C1351" s="14"/>
      <c r="D1351" s="14"/>
      <c r="E1351" s="13"/>
      <c r="F1351" s="15"/>
      <c r="G1351" s="16" t="str">
        <f aca="false">IF(OR(B1351="",A1351=""),"",C1351*IFERROR(INDEX(Kişiler!$B$5:$B$44,MATCH(B1351,Kişiler!$A$5:$A$44,0)),0)+D1351*IFERROR(INDEX(Kişiler!$C$5:$C$44,MATCH(B1351,Kişiler!$A$5:$A$44,0)),0))</f>
        <v/>
      </c>
    </row>
    <row r="1352" customFormat="false" ht="15" hidden="false" customHeight="false" outlineLevel="0" collapsed="false">
      <c r="A1352" s="12"/>
      <c r="B1352" s="13"/>
      <c r="C1352" s="14"/>
      <c r="D1352" s="14"/>
      <c r="E1352" s="13"/>
      <c r="F1352" s="15"/>
      <c r="G1352" s="16" t="str">
        <f aca="false">IF(OR(B1352="",A1352=""),"",C1352*IFERROR(INDEX(Kişiler!$B$5:$B$44,MATCH(B1352,Kişiler!$A$5:$A$44,0)),0)+D1352*IFERROR(INDEX(Kişiler!$C$5:$C$44,MATCH(B1352,Kişiler!$A$5:$A$44,0)),0))</f>
        <v/>
      </c>
    </row>
    <row r="1353" customFormat="false" ht="15" hidden="false" customHeight="false" outlineLevel="0" collapsed="false">
      <c r="A1353" s="12"/>
      <c r="B1353" s="13"/>
      <c r="C1353" s="14"/>
      <c r="D1353" s="14"/>
      <c r="E1353" s="13"/>
      <c r="F1353" s="15"/>
      <c r="G1353" s="16" t="str">
        <f aca="false">IF(OR(B1353="",A1353=""),"",C1353*IFERROR(INDEX(Kişiler!$B$5:$B$44,MATCH(B1353,Kişiler!$A$5:$A$44,0)),0)+D1353*IFERROR(INDEX(Kişiler!$C$5:$C$44,MATCH(B1353,Kişiler!$A$5:$A$44,0)),0))</f>
        <v/>
      </c>
    </row>
    <row r="1354" customFormat="false" ht="15" hidden="false" customHeight="false" outlineLevel="0" collapsed="false">
      <c r="A1354" s="12"/>
      <c r="B1354" s="13"/>
      <c r="C1354" s="14"/>
      <c r="D1354" s="14"/>
      <c r="E1354" s="13"/>
      <c r="F1354" s="15"/>
      <c r="G1354" s="16" t="str">
        <f aca="false">IF(OR(B1354="",A1354=""),"",C1354*IFERROR(INDEX(Kişiler!$B$5:$B$44,MATCH(B1354,Kişiler!$A$5:$A$44,0)),0)+D1354*IFERROR(INDEX(Kişiler!$C$5:$C$44,MATCH(B1354,Kişiler!$A$5:$A$44,0)),0))</f>
        <v/>
      </c>
    </row>
    <row r="1355" customFormat="false" ht="15" hidden="false" customHeight="false" outlineLevel="0" collapsed="false">
      <c r="A1355" s="12"/>
      <c r="B1355" s="13"/>
      <c r="C1355" s="14"/>
      <c r="D1355" s="14"/>
      <c r="E1355" s="13"/>
      <c r="F1355" s="15"/>
      <c r="G1355" s="16" t="str">
        <f aca="false">IF(OR(B1355="",A1355=""),"",C1355*IFERROR(INDEX(Kişiler!$B$5:$B$44,MATCH(B1355,Kişiler!$A$5:$A$44,0)),0)+D1355*IFERROR(INDEX(Kişiler!$C$5:$C$44,MATCH(B1355,Kişiler!$A$5:$A$44,0)),0))</f>
        <v/>
      </c>
    </row>
    <row r="1356" customFormat="false" ht="15" hidden="false" customHeight="false" outlineLevel="0" collapsed="false">
      <c r="A1356" s="12"/>
      <c r="B1356" s="13"/>
      <c r="C1356" s="14"/>
      <c r="D1356" s="14"/>
      <c r="E1356" s="13"/>
      <c r="F1356" s="15"/>
      <c r="G1356" s="16" t="str">
        <f aca="false">IF(OR(B1356="",A1356=""),"",C1356*IFERROR(INDEX(Kişiler!$B$5:$B$44,MATCH(B1356,Kişiler!$A$5:$A$44,0)),0)+D1356*IFERROR(INDEX(Kişiler!$C$5:$C$44,MATCH(B1356,Kişiler!$A$5:$A$44,0)),0))</f>
        <v/>
      </c>
    </row>
    <row r="1357" customFormat="false" ht="15" hidden="false" customHeight="false" outlineLevel="0" collapsed="false">
      <c r="A1357" s="12"/>
      <c r="B1357" s="13"/>
      <c r="C1357" s="14"/>
      <c r="D1357" s="14"/>
      <c r="E1357" s="13"/>
      <c r="F1357" s="15"/>
      <c r="G1357" s="16" t="str">
        <f aca="false">IF(OR(B1357="",A1357=""),"",C1357*IFERROR(INDEX(Kişiler!$B$5:$B$44,MATCH(B1357,Kişiler!$A$5:$A$44,0)),0)+D1357*IFERROR(INDEX(Kişiler!$C$5:$C$44,MATCH(B1357,Kişiler!$A$5:$A$44,0)),0))</f>
        <v/>
      </c>
    </row>
    <row r="1358" customFormat="false" ht="15" hidden="false" customHeight="false" outlineLevel="0" collapsed="false">
      <c r="A1358" s="12"/>
      <c r="B1358" s="13"/>
      <c r="C1358" s="14"/>
      <c r="D1358" s="14"/>
      <c r="E1358" s="13"/>
      <c r="F1358" s="15"/>
      <c r="G1358" s="16" t="str">
        <f aca="false">IF(OR(B1358="",A1358=""),"",C1358*IFERROR(INDEX(Kişiler!$B$5:$B$44,MATCH(B1358,Kişiler!$A$5:$A$44,0)),0)+D1358*IFERROR(INDEX(Kişiler!$C$5:$C$44,MATCH(B1358,Kişiler!$A$5:$A$44,0)),0))</f>
        <v/>
      </c>
    </row>
    <row r="1359" customFormat="false" ht="15" hidden="false" customHeight="false" outlineLevel="0" collapsed="false">
      <c r="A1359" s="12"/>
      <c r="B1359" s="13"/>
      <c r="C1359" s="14"/>
      <c r="D1359" s="14"/>
      <c r="E1359" s="13"/>
      <c r="F1359" s="15"/>
      <c r="G1359" s="16" t="str">
        <f aca="false">IF(OR(B1359="",A1359=""),"",C1359*IFERROR(INDEX(Kişiler!$B$5:$B$44,MATCH(B1359,Kişiler!$A$5:$A$44,0)),0)+D1359*IFERROR(INDEX(Kişiler!$C$5:$C$44,MATCH(B1359,Kişiler!$A$5:$A$44,0)),0))</f>
        <v/>
      </c>
    </row>
    <row r="1360" customFormat="false" ht="15" hidden="false" customHeight="false" outlineLevel="0" collapsed="false">
      <c r="A1360" s="12"/>
      <c r="B1360" s="13"/>
      <c r="C1360" s="14"/>
      <c r="D1360" s="14"/>
      <c r="E1360" s="13"/>
      <c r="F1360" s="15"/>
      <c r="G1360" s="16" t="str">
        <f aca="false">IF(OR(B1360="",A1360=""),"",C1360*IFERROR(INDEX(Kişiler!$B$5:$B$44,MATCH(B1360,Kişiler!$A$5:$A$44,0)),0)+D1360*IFERROR(INDEX(Kişiler!$C$5:$C$44,MATCH(B1360,Kişiler!$A$5:$A$44,0)),0))</f>
        <v/>
      </c>
    </row>
    <row r="1361" customFormat="false" ht="15" hidden="false" customHeight="false" outlineLevel="0" collapsed="false">
      <c r="A1361" s="12"/>
      <c r="B1361" s="13"/>
      <c r="C1361" s="14"/>
      <c r="D1361" s="14"/>
      <c r="E1361" s="13"/>
      <c r="F1361" s="15"/>
      <c r="G1361" s="16" t="str">
        <f aca="false">IF(OR(B1361="",A1361=""),"",C1361*IFERROR(INDEX(Kişiler!$B$5:$B$44,MATCH(B1361,Kişiler!$A$5:$A$44,0)),0)+D1361*IFERROR(INDEX(Kişiler!$C$5:$C$44,MATCH(B1361,Kişiler!$A$5:$A$44,0)),0))</f>
        <v/>
      </c>
    </row>
    <row r="1362" customFormat="false" ht="15" hidden="false" customHeight="false" outlineLevel="0" collapsed="false">
      <c r="A1362" s="12"/>
      <c r="B1362" s="13"/>
      <c r="C1362" s="14"/>
      <c r="D1362" s="14"/>
      <c r="E1362" s="13"/>
      <c r="F1362" s="15"/>
      <c r="G1362" s="16" t="str">
        <f aca="false">IF(OR(B1362="",A1362=""),"",C1362*IFERROR(INDEX(Kişiler!$B$5:$B$44,MATCH(B1362,Kişiler!$A$5:$A$44,0)),0)+D1362*IFERROR(INDEX(Kişiler!$C$5:$C$44,MATCH(B1362,Kişiler!$A$5:$A$44,0)),0))</f>
        <v/>
      </c>
    </row>
    <row r="1363" customFormat="false" ht="15" hidden="false" customHeight="false" outlineLevel="0" collapsed="false">
      <c r="A1363" s="12"/>
      <c r="B1363" s="13"/>
      <c r="C1363" s="14"/>
      <c r="D1363" s="14"/>
      <c r="E1363" s="13"/>
      <c r="F1363" s="15"/>
      <c r="G1363" s="16" t="str">
        <f aca="false">IF(OR(B1363="",A1363=""),"",C1363*IFERROR(INDEX(Kişiler!$B$5:$B$44,MATCH(B1363,Kişiler!$A$5:$A$44,0)),0)+D1363*IFERROR(INDEX(Kişiler!$C$5:$C$44,MATCH(B1363,Kişiler!$A$5:$A$44,0)),0))</f>
        <v/>
      </c>
    </row>
    <row r="1364" customFormat="false" ht="15" hidden="false" customHeight="false" outlineLevel="0" collapsed="false">
      <c r="A1364" s="12"/>
      <c r="B1364" s="13"/>
      <c r="C1364" s="14"/>
      <c r="D1364" s="14"/>
      <c r="E1364" s="13"/>
      <c r="F1364" s="15"/>
      <c r="G1364" s="16" t="str">
        <f aca="false">IF(OR(B1364="",A1364=""),"",C1364*IFERROR(INDEX(Kişiler!$B$5:$B$44,MATCH(B1364,Kişiler!$A$5:$A$44,0)),0)+D1364*IFERROR(INDEX(Kişiler!$C$5:$C$44,MATCH(B1364,Kişiler!$A$5:$A$44,0)),0))</f>
        <v/>
      </c>
    </row>
    <row r="1365" customFormat="false" ht="15" hidden="false" customHeight="false" outlineLevel="0" collapsed="false">
      <c r="A1365" s="12"/>
      <c r="B1365" s="13"/>
      <c r="C1365" s="14"/>
      <c r="D1365" s="14"/>
      <c r="E1365" s="13"/>
      <c r="F1365" s="15"/>
      <c r="G1365" s="16" t="str">
        <f aca="false">IF(OR(B1365="",A1365=""),"",C1365*IFERROR(INDEX(Kişiler!$B$5:$B$44,MATCH(B1365,Kişiler!$A$5:$A$44,0)),0)+D1365*IFERROR(INDEX(Kişiler!$C$5:$C$44,MATCH(B1365,Kişiler!$A$5:$A$44,0)),0))</f>
        <v/>
      </c>
    </row>
    <row r="1366" customFormat="false" ht="15" hidden="false" customHeight="false" outlineLevel="0" collapsed="false">
      <c r="A1366" s="12"/>
      <c r="B1366" s="13"/>
      <c r="C1366" s="14"/>
      <c r="D1366" s="14"/>
      <c r="E1366" s="13"/>
      <c r="F1366" s="15"/>
      <c r="G1366" s="16" t="str">
        <f aca="false">IF(OR(B1366="",A1366=""),"",C1366*IFERROR(INDEX(Kişiler!$B$5:$B$44,MATCH(B1366,Kişiler!$A$5:$A$44,0)),0)+D1366*IFERROR(INDEX(Kişiler!$C$5:$C$44,MATCH(B1366,Kişiler!$A$5:$A$44,0)),0))</f>
        <v/>
      </c>
    </row>
    <row r="1367" customFormat="false" ht="15" hidden="false" customHeight="false" outlineLevel="0" collapsed="false">
      <c r="A1367" s="12"/>
      <c r="B1367" s="13"/>
      <c r="C1367" s="14"/>
      <c r="D1367" s="14"/>
      <c r="E1367" s="13"/>
      <c r="F1367" s="15"/>
      <c r="G1367" s="16" t="str">
        <f aca="false">IF(OR(B1367="",A1367=""),"",C1367*IFERROR(INDEX(Kişiler!$B$5:$B$44,MATCH(B1367,Kişiler!$A$5:$A$44,0)),0)+D1367*IFERROR(INDEX(Kişiler!$C$5:$C$44,MATCH(B1367,Kişiler!$A$5:$A$44,0)),0))</f>
        <v/>
      </c>
    </row>
    <row r="1368" customFormat="false" ht="15" hidden="false" customHeight="false" outlineLevel="0" collapsed="false">
      <c r="A1368" s="12"/>
      <c r="B1368" s="13"/>
      <c r="C1368" s="14"/>
      <c r="D1368" s="14"/>
      <c r="E1368" s="13"/>
      <c r="F1368" s="15"/>
      <c r="G1368" s="16" t="str">
        <f aca="false">IF(OR(B1368="",A1368=""),"",C1368*IFERROR(INDEX(Kişiler!$B$5:$B$44,MATCH(B1368,Kişiler!$A$5:$A$44,0)),0)+D1368*IFERROR(INDEX(Kişiler!$C$5:$C$44,MATCH(B1368,Kişiler!$A$5:$A$44,0)),0))</f>
        <v/>
      </c>
    </row>
    <row r="1369" customFormat="false" ht="15" hidden="false" customHeight="false" outlineLevel="0" collapsed="false">
      <c r="A1369" s="12"/>
      <c r="B1369" s="13"/>
      <c r="C1369" s="14"/>
      <c r="D1369" s="14"/>
      <c r="E1369" s="13"/>
      <c r="F1369" s="15"/>
      <c r="G1369" s="16" t="str">
        <f aca="false">IF(OR(B1369="",A1369=""),"",C1369*IFERROR(INDEX(Kişiler!$B$5:$B$44,MATCH(B1369,Kişiler!$A$5:$A$44,0)),0)+D1369*IFERROR(INDEX(Kişiler!$C$5:$C$44,MATCH(B1369,Kişiler!$A$5:$A$44,0)),0))</f>
        <v/>
      </c>
    </row>
    <row r="1370" customFormat="false" ht="15" hidden="false" customHeight="false" outlineLevel="0" collapsed="false">
      <c r="A1370" s="12"/>
      <c r="B1370" s="13"/>
      <c r="C1370" s="14"/>
      <c r="D1370" s="14"/>
      <c r="E1370" s="13"/>
      <c r="F1370" s="15"/>
      <c r="G1370" s="16" t="str">
        <f aca="false">IF(OR(B1370="",A1370=""),"",C1370*IFERROR(INDEX(Kişiler!$B$5:$B$44,MATCH(B1370,Kişiler!$A$5:$A$44,0)),0)+D1370*IFERROR(INDEX(Kişiler!$C$5:$C$44,MATCH(B1370,Kişiler!$A$5:$A$44,0)),0))</f>
        <v/>
      </c>
    </row>
    <row r="1371" customFormat="false" ht="15" hidden="false" customHeight="false" outlineLevel="0" collapsed="false">
      <c r="A1371" s="12"/>
      <c r="B1371" s="13"/>
      <c r="C1371" s="14"/>
      <c r="D1371" s="14"/>
      <c r="E1371" s="13"/>
      <c r="F1371" s="15"/>
      <c r="G1371" s="16" t="str">
        <f aca="false">IF(OR(B1371="",A1371=""),"",C1371*IFERROR(INDEX(Kişiler!$B$5:$B$44,MATCH(B1371,Kişiler!$A$5:$A$44,0)),0)+D1371*IFERROR(INDEX(Kişiler!$C$5:$C$44,MATCH(B1371,Kişiler!$A$5:$A$44,0)),0))</f>
        <v/>
      </c>
    </row>
    <row r="1372" customFormat="false" ht="15" hidden="false" customHeight="false" outlineLevel="0" collapsed="false">
      <c r="A1372" s="12"/>
      <c r="B1372" s="13"/>
      <c r="C1372" s="14"/>
      <c r="D1372" s="14"/>
      <c r="E1372" s="13"/>
      <c r="F1372" s="15"/>
      <c r="G1372" s="16" t="str">
        <f aca="false">IF(OR(B1372="",A1372=""),"",C1372*IFERROR(INDEX(Kişiler!$B$5:$B$44,MATCH(B1372,Kişiler!$A$5:$A$44,0)),0)+D1372*IFERROR(INDEX(Kişiler!$C$5:$C$44,MATCH(B1372,Kişiler!$A$5:$A$44,0)),0))</f>
        <v/>
      </c>
    </row>
    <row r="1373" customFormat="false" ht="15" hidden="false" customHeight="false" outlineLevel="0" collapsed="false">
      <c r="A1373" s="12"/>
      <c r="B1373" s="13"/>
      <c r="C1373" s="14"/>
      <c r="D1373" s="14"/>
      <c r="E1373" s="13"/>
      <c r="F1373" s="15"/>
      <c r="G1373" s="16" t="str">
        <f aca="false">IF(OR(B1373="",A1373=""),"",C1373*IFERROR(INDEX(Kişiler!$B$5:$B$44,MATCH(B1373,Kişiler!$A$5:$A$44,0)),0)+D1373*IFERROR(INDEX(Kişiler!$C$5:$C$44,MATCH(B1373,Kişiler!$A$5:$A$44,0)),0))</f>
        <v/>
      </c>
    </row>
    <row r="1374" customFormat="false" ht="15" hidden="false" customHeight="false" outlineLevel="0" collapsed="false">
      <c r="A1374" s="12"/>
      <c r="B1374" s="13"/>
      <c r="C1374" s="14"/>
      <c r="D1374" s="14"/>
      <c r="E1374" s="13"/>
      <c r="F1374" s="15"/>
      <c r="G1374" s="16" t="str">
        <f aca="false">IF(OR(B1374="",A1374=""),"",C1374*IFERROR(INDEX(Kişiler!$B$5:$B$44,MATCH(B1374,Kişiler!$A$5:$A$44,0)),0)+D1374*IFERROR(INDEX(Kişiler!$C$5:$C$44,MATCH(B1374,Kişiler!$A$5:$A$44,0)),0))</f>
        <v/>
      </c>
    </row>
    <row r="1375" customFormat="false" ht="15" hidden="false" customHeight="false" outlineLevel="0" collapsed="false">
      <c r="A1375" s="12"/>
      <c r="B1375" s="13"/>
      <c r="C1375" s="14"/>
      <c r="D1375" s="14"/>
      <c r="E1375" s="13"/>
      <c r="F1375" s="15"/>
      <c r="G1375" s="16" t="str">
        <f aca="false">IF(OR(B1375="",A1375=""),"",C1375*IFERROR(INDEX(Kişiler!$B$5:$B$44,MATCH(B1375,Kişiler!$A$5:$A$44,0)),0)+D1375*IFERROR(INDEX(Kişiler!$C$5:$C$44,MATCH(B1375,Kişiler!$A$5:$A$44,0)),0))</f>
        <v/>
      </c>
    </row>
    <row r="1376" customFormat="false" ht="15" hidden="false" customHeight="false" outlineLevel="0" collapsed="false">
      <c r="A1376" s="12"/>
      <c r="B1376" s="13"/>
      <c r="C1376" s="14"/>
      <c r="D1376" s="14"/>
      <c r="E1376" s="13"/>
      <c r="F1376" s="15"/>
      <c r="G1376" s="16" t="str">
        <f aca="false">IF(OR(B1376="",A1376=""),"",C1376*IFERROR(INDEX(Kişiler!$B$5:$B$44,MATCH(B1376,Kişiler!$A$5:$A$44,0)),0)+D1376*IFERROR(INDEX(Kişiler!$C$5:$C$44,MATCH(B1376,Kişiler!$A$5:$A$44,0)),0))</f>
        <v/>
      </c>
    </row>
    <row r="1377" customFormat="false" ht="15" hidden="false" customHeight="false" outlineLevel="0" collapsed="false">
      <c r="A1377" s="12"/>
      <c r="B1377" s="13"/>
      <c r="C1377" s="14"/>
      <c r="D1377" s="14"/>
      <c r="E1377" s="13"/>
      <c r="F1377" s="15"/>
      <c r="G1377" s="16" t="str">
        <f aca="false">IF(OR(B1377="",A1377=""),"",C1377*IFERROR(INDEX(Kişiler!$B$5:$B$44,MATCH(B1377,Kişiler!$A$5:$A$44,0)),0)+D1377*IFERROR(INDEX(Kişiler!$C$5:$C$44,MATCH(B1377,Kişiler!$A$5:$A$44,0)),0))</f>
        <v/>
      </c>
    </row>
    <row r="1378" customFormat="false" ht="15" hidden="false" customHeight="false" outlineLevel="0" collapsed="false">
      <c r="A1378" s="12"/>
      <c r="B1378" s="13"/>
      <c r="C1378" s="14"/>
      <c r="D1378" s="14"/>
      <c r="E1378" s="13"/>
      <c r="F1378" s="15"/>
      <c r="G1378" s="16" t="str">
        <f aca="false">IF(OR(B1378="",A1378=""),"",C1378*IFERROR(INDEX(Kişiler!$B$5:$B$44,MATCH(B1378,Kişiler!$A$5:$A$44,0)),0)+D1378*IFERROR(INDEX(Kişiler!$C$5:$C$44,MATCH(B1378,Kişiler!$A$5:$A$44,0)),0))</f>
        <v/>
      </c>
    </row>
    <row r="1379" customFormat="false" ht="15" hidden="false" customHeight="false" outlineLevel="0" collapsed="false">
      <c r="A1379" s="12"/>
      <c r="B1379" s="13"/>
      <c r="C1379" s="14"/>
      <c r="D1379" s="14"/>
      <c r="E1379" s="13"/>
      <c r="F1379" s="15"/>
      <c r="G1379" s="16" t="str">
        <f aca="false">IF(OR(B1379="",A1379=""),"",C1379*IFERROR(INDEX(Kişiler!$B$5:$B$44,MATCH(B1379,Kişiler!$A$5:$A$44,0)),0)+D1379*IFERROR(INDEX(Kişiler!$C$5:$C$44,MATCH(B1379,Kişiler!$A$5:$A$44,0)),0))</f>
        <v/>
      </c>
    </row>
    <row r="1380" customFormat="false" ht="15" hidden="false" customHeight="false" outlineLevel="0" collapsed="false">
      <c r="A1380" s="12"/>
      <c r="B1380" s="13"/>
      <c r="C1380" s="14"/>
      <c r="D1380" s="14"/>
      <c r="E1380" s="13"/>
      <c r="F1380" s="15"/>
      <c r="G1380" s="16" t="str">
        <f aca="false">IF(OR(B1380="",A1380=""),"",C1380*IFERROR(INDEX(Kişiler!$B$5:$B$44,MATCH(B1380,Kişiler!$A$5:$A$44,0)),0)+D1380*IFERROR(INDEX(Kişiler!$C$5:$C$44,MATCH(B1380,Kişiler!$A$5:$A$44,0)),0))</f>
        <v/>
      </c>
    </row>
    <row r="1381" customFormat="false" ht="15" hidden="false" customHeight="false" outlineLevel="0" collapsed="false">
      <c r="A1381" s="12"/>
      <c r="B1381" s="13"/>
      <c r="C1381" s="14"/>
      <c r="D1381" s="14"/>
      <c r="E1381" s="13"/>
      <c r="F1381" s="15"/>
      <c r="G1381" s="16" t="str">
        <f aca="false">IF(OR(B1381="",A1381=""),"",C1381*IFERROR(INDEX(Kişiler!$B$5:$B$44,MATCH(B1381,Kişiler!$A$5:$A$44,0)),0)+D1381*IFERROR(INDEX(Kişiler!$C$5:$C$44,MATCH(B1381,Kişiler!$A$5:$A$44,0)),0))</f>
        <v/>
      </c>
    </row>
    <row r="1382" customFormat="false" ht="15" hidden="false" customHeight="false" outlineLevel="0" collapsed="false">
      <c r="A1382" s="12"/>
      <c r="B1382" s="13"/>
      <c r="C1382" s="14"/>
      <c r="D1382" s="14"/>
      <c r="E1382" s="13"/>
      <c r="F1382" s="15"/>
      <c r="G1382" s="16" t="str">
        <f aca="false">IF(OR(B1382="",A1382=""),"",C1382*IFERROR(INDEX(Kişiler!$B$5:$B$44,MATCH(B1382,Kişiler!$A$5:$A$44,0)),0)+D1382*IFERROR(INDEX(Kişiler!$C$5:$C$44,MATCH(B1382,Kişiler!$A$5:$A$44,0)),0))</f>
        <v/>
      </c>
    </row>
    <row r="1383" customFormat="false" ht="15" hidden="false" customHeight="false" outlineLevel="0" collapsed="false">
      <c r="A1383" s="12"/>
      <c r="B1383" s="13"/>
      <c r="C1383" s="14"/>
      <c r="D1383" s="14"/>
      <c r="E1383" s="13"/>
      <c r="F1383" s="15"/>
      <c r="G1383" s="16" t="str">
        <f aca="false">IF(OR(B1383="",A1383=""),"",C1383*IFERROR(INDEX(Kişiler!$B$5:$B$44,MATCH(B1383,Kişiler!$A$5:$A$44,0)),0)+D1383*IFERROR(INDEX(Kişiler!$C$5:$C$44,MATCH(B1383,Kişiler!$A$5:$A$44,0)),0))</f>
        <v/>
      </c>
    </row>
    <row r="1384" customFormat="false" ht="15" hidden="false" customHeight="false" outlineLevel="0" collapsed="false">
      <c r="A1384" s="12"/>
      <c r="B1384" s="13"/>
      <c r="C1384" s="14"/>
      <c r="D1384" s="14"/>
      <c r="E1384" s="13"/>
      <c r="F1384" s="15"/>
      <c r="G1384" s="16" t="str">
        <f aca="false">IF(OR(B1384="",A1384=""),"",C1384*IFERROR(INDEX(Kişiler!$B$5:$B$44,MATCH(B1384,Kişiler!$A$5:$A$44,0)),0)+D1384*IFERROR(INDEX(Kişiler!$C$5:$C$44,MATCH(B1384,Kişiler!$A$5:$A$44,0)),0))</f>
        <v/>
      </c>
    </row>
    <row r="1385" customFormat="false" ht="15" hidden="false" customHeight="false" outlineLevel="0" collapsed="false">
      <c r="A1385" s="12"/>
      <c r="B1385" s="13"/>
      <c r="C1385" s="14"/>
      <c r="D1385" s="14"/>
      <c r="E1385" s="13"/>
      <c r="F1385" s="15"/>
      <c r="G1385" s="16" t="str">
        <f aca="false">IF(OR(B1385="",A1385=""),"",C1385*IFERROR(INDEX(Kişiler!$B$5:$B$44,MATCH(B1385,Kişiler!$A$5:$A$44,0)),0)+D1385*IFERROR(INDEX(Kişiler!$C$5:$C$44,MATCH(B1385,Kişiler!$A$5:$A$44,0)),0))</f>
        <v/>
      </c>
    </row>
    <row r="1386" customFormat="false" ht="15" hidden="false" customHeight="false" outlineLevel="0" collapsed="false">
      <c r="A1386" s="12"/>
      <c r="B1386" s="13"/>
      <c r="C1386" s="14"/>
      <c r="D1386" s="14"/>
      <c r="E1386" s="13"/>
      <c r="F1386" s="15"/>
      <c r="G1386" s="16" t="str">
        <f aca="false">IF(OR(B1386="",A1386=""),"",C1386*IFERROR(INDEX(Kişiler!$B$5:$B$44,MATCH(B1386,Kişiler!$A$5:$A$44,0)),0)+D1386*IFERROR(INDEX(Kişiler!$C$5:$C$44,MATCH(B1386,Kişiler!$A$5:$A$44,0)),0))</f>
        <v/>
      </c>
    </row>
    <row r="1387" customFormat="false" ht="15" hidden="false" customHeight="false" outlineLevel="0" collapsed="false">
      <c r="A1387" s="12"/>
      <c r="B1387" s="13"/>
      <c r="C1387" s="14"/>
      <c r="D1387" s="14"/>
      <c r="E1387" s="13"/>
      <c r="F1387" s="15"/>
      <c r="G1387" s="16" t="str">
        <f aca="false">IF(OR(B1387="",A1387=""),"",C1387*IFERROR(INDEX(Kişiler!$B$5:$B$44,MATCH(B1387,Kişiler!$A$5:$A$44,0)),0)+D1387*IFERROR(INDEX(Kişiler!$C$5:$C$44,MATCH(B1387,Kişiler!$A$5:$A$44,0)),0))</f>
        <v/>
      </c>
    </row>
    <row r="1388" customFormat="false" ht="15" hidden="false" customHeight="false" outlineLevel="0" collapsed="false">
      <c r="A1388" s="12"/>
      <c r="B1388" s="13"/>
      <c r="C1388" s="14"/>
      <c r="D1388" s="14"/>
      <c r="E1388" s="13"/>
      <c r="F1388" s="15"/>
      <c r="G1388" s="16" t="str">
        <f aca="false">IF(OR(B1388="",A1388=""),"",C1388*IFERROR(INDEX(Kişiler!$B$5:$B$44,MATCH(B1388,Kişiler!$A$5:$A$44,0)),0)+D1388*IFERROR(INDEX(Kişiler!$C$5:$C$44,MATCH(B1388,Kişiler!$A$5:$A$44,0)),0))</f>
        <v/>
      </c>
    </row>
    <row r="1389" customFormat="false" ht="15" hidden="false" customHeight="false" outlineLevel="0" collapsed="false">
      <c r="A1389" s="12"/>
      <c r="B1389" s="13"/>
      <c r="C1389" s="14"/>
      <c r="D1389" s="14"/>
      <c r="E1389" s="13"/>
      <c r="F1389" s="15"/>
      <c r="G1389" s="16" t="str">
        <f aca="false">IF(OR(B1389="",A1389=""),"",C1389*IFERROR(INDEX(Kişiler!$B$5:$B$44,MATCH(B1389,Kişiler!$A$5:$A$44,0)),0)+D1389*IFERROR(INDEX(Kişiler!$C$5:$C$44,MATCH(B1389,Kişiler!$A$5:$A$44,0)),0))</f>
        <v/>
      </c>
    </row>
    <row r="1390" customFormat="false" ht="15" hidden="false" customHeight="false" outlineLevel="0" collapsed="false">
      <c r="A1390" s="12"/>
      <c r="B1390" s="13"/>
      <c r="C1390" s="14"/>
      <c r="D1390" s="14"/>
      <c r="E1390" s="13"/>
      <c r="F1390" s="15"/>
      <c r="G1390" s="16" t="str">
        <f aca="false">IF(OR(B1390="",A1390=""),"",C1390*IFERROR(INDEX(Kişiler!$B$5:$B$44,MATCH(B1390,Kişiler!$A$5:$A$44,0)),0)+D1390*IFERROR(INDEX(Kişiler!$C$5:$C$44,MATCH(B1390,Kişiler!$A$5:$A$44,0)),0))</f>
        <v/>
      </c>
    </row>
    <row r="1391" customFormat="false" ht="15" hidden="false" customHeight="false" outlineLevel="0" collapsed="false">
      <c r="A1391" s="12"/>
      <c r="B1391" s="13"/>
      <c r="C1391" s="14"/>
      <c r="D1391" s="14"/>
      <c r="E1391" s="13"/>
      <c r="F1391" s="15"/>
      <c r="G1391" s="16" t="str">
        <f aca="false">IF(OR(B1391="",A1391=""),"",C1391*IFERROR(INDEX(Kişiler!$B$5:$B$44,MATCH(B1391,Kişiler!$A$5:$A$44,0)),0)+D1391*IFERROR(INDEX(Kişiler!$C$5:$C$44,MATCH(B1391,Kişiler!$A$5:$A$44,0)),0))</f>
        <v/>
      </c>
    </row>
    <row r="1392" customFormat="false" ht="15" hidden="false" customHeight="false" outlineLevel="0" collapsed="false">
      <c r="A1392" s="12"/>
      <c r="B1392" s="13"/>
      <c r="C1392" s="14"/>
      <c r="D1392" s="14"/>
      <c r="E1392" s="13"/>
      <c r="F1392" s="15"/>
      <c r="G1392" s="16" t="str">
        <f aca="false">IF(OR(B1392="",A1392=""),"",C1392*IFERROR(INDEX(Kişiler!$B$5:$B$44,MATCH(B1392,Kişiler!$A$5:$A$44,0)),0)+D1392*IFERROR(INDEX(Kişiler!$C$5:$C$44,MATCH(B1392,Kişiler!$A$5:$A$44,0)),0))</f>
        <v/>
      </c>
    </row>
    <row r="1393" customFormat="false" ht="15" hidden="false" customHeight="false" outlineLevel="0" collapsed="false">
      <c r="A1393" s="12"/>
      <c r="B1393" s="13"/>
      <c r="C1393" s="14"/>
      <c r="D1393" s="14"/>
      <c r="E1393" s="13"/>
      <c r="F1393" s="15"/>
      <c r="G1393" s="16" t="str">
        <f aca="false">IF(OR(B1393="",A1393=""),"",C1393*IFERROR(INDEX(Kişiler!$B$5:$B$44,MATCH(B1393,Kişiler!$A$5:$A$44,0)),0)+D1393*IFERROR(INDEX(Kişiler!$C$5:$C$44,MATCH(B1393,Kişiler!$A$5:$A$44,0)),0))</f>
        <v/>
      </c>
    </row>
    <row r="1394" customFormat="false" ht="15" hidden="false" customHeight="false" outlineLevel="0" collapsed="false">
      <c r="A1394" s="12"/>
      <c r="B1394" s="13"/>
      <c r="C1394" s="14"/>
      <c r="D1394" s="14"/>
      <c r="E1394" s="13"/>
      <c r="F1394" s="15"/>
      <c r="G1394" s="16" t="str">
        <f aca="false">IF(OR(B1394="",A1394=""),"",C1394*IFERROR(INDEX(Kişiler!$B$5:$B$44,MATCH(B1394,Kişiler!$A$5:$A$44,0)),0)+D1394*IFERROR(INDEX(Kişiler!$C$5:$C$44,MATCH(B1394,Kişiler!$A$5:$A$44,0)),0))</f>
        <v/>
      </c>
    </row>
    <row r="1395" customFormat="false" ht="15" hidden="false" customHeight="false" outlineLevel="0" collapsed="false">
      <c r="A1395" s="12"/>
      <c r="B1395" s="13"/>
      <c r="C1395" s="14"/>
      <c r="D1395" s="14"/>
      <c r="E1395" s="13"/>
      <c r="F1395" s="15"/>
      <c r="G1395" s="16" t="str">
        <f aca="false">IF(OR(B1395="",A1395=""),"",C1395*IFERROR(INDEX(Kişiler!$B$5:$B$44,MATCH(B1395,Kişiler!$A$5:$A$44,0)),0)+D1395*IFERROR(INDEX(Kişiler!$C$5:$C$44,MATCH(B1395,Kişiler!$A$5:$A$44,0)),0))</f>
        <v/>
      </c>
    </row>
    <row r="1396" customFormat="false" ht="15" hidden="false" customHeight="false" outlineLevel="0" collapsed="false">
      <c r="A1396" s="12"/>
      <c r="B1396" s="13"/>
      <c r="C1396" s="14"/>
      <c r="D1396" s="14"/>
      <c r="E1396" s="13"/>
      <c r="F1396" s="15"/>
      <c r="G1396" s="16" t="str">
        <f aca="false">IF(OR(B1396="",A1396=""),"",C1396*IFERROR(INDEX(Kişiler!$B$5:$B$44,MATCH(B1396,Kişiler!$A$5:$A$44,0)),0)+D1396*IFERROR(INDEX(Kişiler!$C$5:$C$44,MATCH(B1396,Kişiler!$A$5:$A$44,0)),0))</f>
        <v/>
      </c>
    </row>
    <row r="1397" customFormat="false" ht="15" hidden="false" customHeight="false" outlineLevel="0" collapsed="false">
      <c r="A1397" s="12"/>
      <c r="B1397" s="13"/>
      <c r="C1397" s="14"/>
      <c r="D1397" s="14"/>
      <c r="E1397" s="13"/>
      <c r="F1397" s="15"/>
      <c r="G1397" s="16" t="str">
        <f aca="false">IF(OR(B1397="",A1397=""),"",C1397*IFERROR(INDEX(Kişiler!$B$5:$B$44,MATCH(B1397,Kişiler!$A$5:$A$44,0)),0)+D1397*IFERROR(INDEX(Kişiler!$C$5:$C$44,MATCH(B1397,Kişiler!$A$5:$A$44,0)),0))</f>
        <v/>
      </c>
    </row>
    <row r="1398" customFormat="false" ht="15" hidden="false" customHeight="false" outlineLevel="0" collapsed="false">
      <c r="A1398" s="12"/>
      <c r="B1398" s="13"/>
      <c r="C1398" s="14"/>
      <c r="D1398" s="14"/>
      <c r="E1398" s="13"/>
      <c r="F1398" s="15"/>
      <c r="G1398" s="16" t="str">
        <f aca="false">IF(OR(B1398="",A1398=""),"",C1398*IFERROR(INDEX(Kişiler!$B$5:$B$44,MATCH(B1398,Kişiler!$A$5:$A$44,0)),0)+D1398*IFERROR(INDEX(Kişiler!$C$5:$C$44,MATCH(B1398,Kişiler!$A$5:$A$44,0)),0))</f>
        <v/>
      </c>
    </row>
    <row r="1399" customFormat="false" ht="15" hidden="false" customHeight="false" outlineLevel="0" collapsed="false">
      <c r="A1399" s="12"/>
      <c r="B1399" s="13"/>
      <c r="C1399" s="14"/>
      <c r="D1399" s="14"/>
      <c r="E1399" s="13"/>
      <c r="F1399" s="15"/>
      <c r="G1399" s="16" t="str">
        <f aca="false">IF(OR(B1399="",A1399=""),"",C1399*IFERROR(INDEX(Kişiler!$B$5:$B$44,MATCH(B1399,Kişiler!$A$5:$A$44,0)),0)+D1399*IFERROR(INDEX(Kişiler!$C$5:$C$44,MATCH(B1399,Kişiler!$A$5:$A$44,0)),0))</f>
        <v/>
      </c>
    </row>
    <row r="1400" customFormat="false" ht="15" hidden="false" customHeight="false" outlineLevel="0" collapsed="false">
      <c r="A1400" s="12"/>
      <c r="B1400" s="13"/>
      <c r="C1400" s="14"/>
      <c r="D1400" s="14"/>
      <c r="E1400" s="13"/>
      <c r="F1400" s="15"/>
      <c r="G1400" s="16" t="str">
        <f aca="false">IF(OR(B1400="",A1400=""),"",C1400*IFERROR(INDEX(Kişiler!$B$5:$B$44,MATCH(B1400,Kişiler!$A$5:$A$44,0)),0)+D1400*IFERROR(INDEX(Kişiler!$C$5:$C$44,MATCH(B1400,Kişiler!$A$5:$A$44,0)),0))</f>
        <v/>
      </c>
    </row>
    <row r="1401" customFormat="false" ht="15" hidden="false" customHeight="false" outlineLevel="0" collapsed="false">
      <c r="A1401" s="12"/>
      <c r="B1401" s="13"/>
      <c r="C1401" s="14"/>
      <c r="D1401" s="14"/>
      <c r="E1401" s="13"/>
      <c r="F1401" s="15"/>
      <c r="G1401" s="16" t="str">
        <f aca="false">IF(OR(B1401="",A1401=""),"",C1401*IFERROR(INDEX(Kişiler!$B$5:$B$44,MATCH(B1401,Kişiler!$A$5:$A$44,0)),0)+D1401*IFERROR(INDEX(Kişiler!$C$5:$C$44,MATCH(B1401,Kişiler!$A$5:$A$44,0)),0))</f>
        <v/>
      </c>
    </row>
    <row r="1402" customFormat="false" ht="15" hidden="false" customHeight="false" outlineLevel="0" collapsed="false">
      <c r="A1402" s="12"/>
      <c r="B1402" s="13"/>
      <c r="C1402" s="14"/>
      <c r="D1402" s="14"/>
      <c r="E1402" s="13"/>
      <c r="F1402" s="15"/>
      <c r="G1402" s="16" t="str">
        <f aca="false">IF(OR(B1402="",A1402=""),"",C1402*IFERROR(INDEX(Kişiler!$B$5:$B$44,MATCH(B1402,Kişiler!$A$5:$A$44,0)),0)+D1402*IFERROR(INDEX(Kişiler!$C$5:$C$44,MATCH(B1402,Kişiler!$A$5:$A$44,0)),0))</f>
        <v/>
      </c>
    </row>
    <row r="1403" customFormat="false" ht="15" hidden="false" customHeight="false" outlineLevel="0" collapsed="false">
      <c r="A1403" s="12"/>
      <c r="B1403" s="13"/>
      <c r="C1403" s="14"/>
      <c r="D1403" s="14"/>
      <c r="E1403" s="13"/>
      <c r="F1403" s="15"/>
      <c r="G1403" s="16" t="str">
        <f aca="false">IF(OR(B1403="",A1403=""),"",C1403*IFERROR(INDEX(Kişiler!$B$5:$B$44,MATCH(B1403,Kişiler!$A$5:$A$44,0)),0)+D1403*IFERROR(INDEX(Kişiler!$C$5:$C$44,MATCH(B1403,Kişiler!$A$5:$A$44,0)),0))</f>
        <v/>
      </c>
    </row>
    <row r="1404" customFormat="false" ht="15" hidden="false" customHeight="false" outlineLevel="0" collapsed="false">
      <c r="A1404" s="12"/>
      <c r="B1404" s="13"/>
      <c r="C1404" s="14"/>
      <c r="D1404" s="14"/>
      <c r="E1404" s="13"/>
      <c r="F1404" s="15"/>
      <c r="G1404" s="16" t="str">
        <f aca="false">IF(OR(B1404="",A1404=""),"",C1404*IFERROR(INDEX(Kişiler!$B$5:$B$44,MATCH(B1404,Kişiler!$A$5:$A$44,0)),0)+D1404*IFERROR(INDEX(Kişiler!$C$5:$C$44,MATCH(B1404,Kişiler!$A$5:$A$44,0)),0))</f>
        <v/>
      </c>
    </row>
    <row r="1405" customFormat="false" ht="15" hidden="false" customHeight="false" outlineLevel="0" collapsed="false">
      <c r="A1405" s="12"/>
      <c r="B1405" s="13"/>
      <c r="C1405" s="14"/>
      <c r="D1405" s="14"/>
      <c r="E1405" s="13"/>
      <c r="F1405" s="15"/>
      <c r="G1405" s="16" t="str">
        <f aca="false">IF(OR(B1405="",A1405=""),"",C1405*IFERROR(INDEX(Kişiler!$B$5:$B$44,MATCH(B1405,Kişiler!$A$5:$A$44,0)),0)+D1405*IFERROR(INDEX(Kişiler!$C$5:$C$44,MATCH(B1405,Kişiler!$A$5:$A$44,0)),0))</f>
        <v/>
      </c>
    </row>
    <row r="1406" customFormat="false" ht="15" hidden="false" customHeight="false" outlineLevel="0" collapsed="false">
      <c r="A1406" s="12"/>
      <c r="B1406" s="13"/>
      <c r="C1406" s="14"/>
      <c r="D1406" s="14"/>
      <c r="E1406" s="13"/>
      <c r="F1406" s="15"/>
      <c r="G1406" s="16" t="str">
        <f aca="false">IF(OR(B1406="",A1406=""),"",C1406*IFERROR(INDEX(Kişiler!$B$5:$B$44,MATCH(B1406,Kişiler!$A$5:$A$44,0)),0)+D1406*IFERROR(INDEX(Kişiler!$C$5:$C$44,MATCH(B1406,Kişiler!$A$5:$A$44,0)),0))</f>
        <v/>
      </c>
    </row>
    <row r="1407" customFormat="false" ht="15" hidden="false" customHeight="false" outlineLevel="0" collapsed="false">
      <c r="A1407" s="12"/>
      <c r="B1407" s="13"/>
      <c r="C1407" s="14"/>
      <c r="D1407" s="14"/>
      <c r="E1407" s="13"/>
      <c r="F1407" s="15"/>
      <c r="G1407" s="16" t="str">
        <f aca="false">IF(OR(B1407="",A1407=""),"",C1407*IFERROR(INDEX(Kişiler!$B$5:$B$44,MATCH(B1407,Kişiler!$A$5:$A$44,0)),0)+D1407*IFERROR(INDEX(Kişiler!$C$5:$C$44,MATCH(B1407,Kişiler!$A$5:$A$44,0)),0))</f>
        <v/>
      </c>
    </row>
    <row r="1408" customFormat="false" ht="15" hidden="false" customHeight="false" outlineLevel="0" collapsed="false">
      <c r="A1408" s="12"/>
      <c r="B1408" s="13"/>
      <c r="C1408" s="14"/>
      <c r="D1408" s="14"/>
      <c r="E1408" s="13"/>
      <c r="F1408" s="15"/>
      <c r="G1408" s="16" t="str">
        <f aca="false">IF(OR(B1408="",A1408=""),"",C1408*IFERROR(INDEX(Kişiler!$B$5:$B$44,MATCH(B1408,Kişiler!$A$5:$A$44,0)),0)+D1408*IFERROR(INDEX(Kişiler!$C$5:$C$44,MATCH(B1408,Kişiler!$A$5:$A$44,0)),0))</f>
        <v/>
      </c>
    </row>
    <row r="1409" customFormat="false" ht="15" hidden="false" customHeight="false" outlineLevel="0" collapsed="false">
      <c r="A1409" s="12"/>
      <c r="B1409" s="13"/>
      <c r="C1409" s="14"/>
      <c r="D1409" s="14"/>
      <c r="E1409" s="13"/>
      <c r="F1409" s="15"/>
      <c r="G1409" s="16" t="str">
        <f aca="false">IF(OR(B1409="",A1409=""),"",C1409*IFERROR(INDEX(Kişiler!$B$5:$B$44,MATCH(B1409,Kişiler!$A$5:$A$44,0)),0)+D1409*IFERROR(INDEX(Kişiler!$C$5:$C$44,MATCH(B1409,Kişiler!$A$5:$A$44,0)),0))</f>
        <v/>
      </c>
    </row>
    <row r="1410" customFormat="false" ht="15" hidden="false" customHeight="false" outlineLevel="0" collapsed="false">
      <c r="A1410" s="12"/>
      <c r="B1410" s="13"/>
      <c r="C1410" s="14"/>
      <c r="D1410" s="14"/>
      <c r="E1410" s="13"/>
      <c r="F1410" s="15"/>
      <c r="G1410" s="16" t="str">
        <f aca="false">IF(OR(B1410="",A1410=""),"",C1410*IFERROR(INDEX(Kişiler!$B$5:$B$44,MATCH(B1410,Kişiler!$A$5:$A$44,0)),0)+D1410*IFERROR(INDEX(Kişiler!$C$5:$C$44,MATCH(B1410,Kişiler!$A$5:$A$44,0)),0))</f>
        <v/>
      </c>
    </row>
    <row r="1411" customFormat="false" ht="15" hidden="false" customHeight="false" outlineLevel="0" collapsed="false">
      <c r="A1411" s="12"/>
      <c r="B1411" s="13"/>
      <c r="C1411" s="14"/>
      <c r="D1411" s="14"/>
      <c r="E1411" s="13"/>
      <c r="F1411" s="15"/>
      <c r="G1411" s="16" t="str">
        <f aca="false">IF(OR(B1411="",A1411=""),"",C1411*IFERROR(INDEX(Kişiler!$B$5:$B$44,MATCH(B1411,Kişiler!$A$5:$A$44,0)),0)+D1411*IFERROR(INDEX(Kişiler!$C$5:$C$44,MATCH(B1411,Kişiler!$A$5:$A$44,0)),0))</f>
        <v/>
      </c>
    </row>
    <row r="1412" customFormat="false" ht="15" hidden="false" customHeight="false" outlineLevel="0" collapsed="false">
      <c r="A1412" s="12"/>
      <c r="B1412" s="13"/>
      <c r="C1412" s="14"/>
      <c r="D1412" s="14"/>
      <c r="E1412" s="13"/>
      <c r="F1412" s="15"/>
      <c r="G1412" s="16" t="str">
        <f aca="false">IF(OR(B1412="",A1412=""),"",C1412*IFERROR(INDEX(Kişiler!$B$5:$B$44,MATCH(B1412,Kişiler!$A$5:$A$44,0)),0)+D1412*IFERROR(INDEX(Kişiler!$C$5:$C$44,MATCH(B1412,Kişiler!$A$5:$A$44,0)),0))</f>
        <v/>
      </c>
    </row>
    <row r="1413" customFormat="false" ht="15" hidden="false" customHeight="false" outlineLevel="0" collapsed="false">
      <c r="A1413" s="12"/>
      <c r="B1413" s="13"/>
      <c r="C1413" s="14"/>
      <c r="D1413" s="14"/>
      <c r="E1413" s="13"/>
      <c r="F1413" s="15"/>
      <c r="G1413" s="16" t="str">
        <f aca="false">IF(OR(B1413="",A1413=""),"",C1413*IFERROR(INDEX(Kişiler!$B$5:$B$44,MATCH(B1413,Kişiler!$A$5:$A$44,0)),0)+D1413*IFERROR(INDEX(Kişiler!$C$5:$C$44,MATCH(B1413,Kişiler!$A$5:$A$44,0)),0))</f>
        <v/>
      </c>
    </row>
    <row r="1414" customFormat="false" ht="15" hidden="false" customHeight="false" outlineLevel="0" collapsed="false">
      <c r="A1414" s="12"/>
      <c r="B1414" s="13"/>
      <c r="C1414" s="14"/>
      <c r="D1414" s="14"/>
      <c r="E1414" s="13"/>
      <c r="F1414" s="15"/>
      <c r="G1414" s="16" t="str">
        <f aca="false">IF(OR(B1414="",A1414=""),"",C1414*IFERROR(INDEX(Kişiler!$B$5:$B$44,MATCH(B1414,Kişiler!$A$5:$A$44,0)),0)+D1414*IFERROR(INDEX(Kişiler!$C$5:$C$44,MATCH(B1414,Kişiler!$A$5:$A$44,0)),0))</f>
        <v/>
      </c>
    </row>
    <row r="1415" customFormat="false" ht="15" hidden="false" customHeight="false" outlineLevel="0" collapsed="false">
      <c r="A1415" s="12"/>
      <c r="B1415" s="13"/>
      <c r="C1415" s="14"/>
      <c r="D1415" s="14"/>
      <c r="E1415" s="13"/>
      <c r="F1415" s="15"/>
      <c r="G1415" s="16" t="str">
        <f aca="false">IF(OR(B1415="",A1415=""),"",C1415*IFERROR(INDEX(Kişiler!$B$5:$B$44,MATCH(B1415,Kişiler!$A$5:$A$44,0)),0)+D1415*IFERROR(INDEX(Kişiler!$C$5:$C$44,MATCH(B1415,Kişiler!$A$5:$A$44,0)),0))</f>
        <v/>
      </c>
    </row>
    <row r="1416" customFormat="false" ht="15" hidden="false" customHeight="false" outlineLevel="0" collapsed="false">
      <c r="A1416" s="12"/>
      <c r="B1416" s="13"/>
      <c r="C1416" s="14"/>
      <c r="D1416" s="14"/>
      <c r="E1416" s="13"/>
      <c r="F1416" s="15"/>
      <c r="G1416" s="16" t="str">
        <f aca="false">IF(OR(B1416="",A1416=""),"",C1416*IFERROR(INDEX(Kişiler!$B$5:$B$44,MATCH(B1416,Kişiler!$A$5:$A$44,0)),0)+D1416*IFERROR(INDEX(Kişiler!$C$5:$C$44,MATCH(B1416,Kişiler!$A$5:$A$44,0)),0))</f>
        <v/>
      </c>
    </row>
    <row r="1417" customFormat="false" ht="15" hidden="false" customHeight="false" outlineLevel="0" collapsed="false">
      <c r="A1417" s="12"/>
      <c r="B1417" s="13"/>
      <c r="C1417" s="14"/>
      <c r="D1417" s="14"/>
      <c r="E1417" s="13"/>
      <c r="F1417" s="15"/>
      <c r="G1417" s="16" t="str">
        <f aca="false">IF(OR(B1417="",A1417=""),"",C1417*IFERROR(INDEX(Kişiler!$B$5:$B$44,MATCH(B1417,Kişiler!$A$5:$A$44,0)),0)+D1417*IFERROR(INDEX(Kişiler!$C$5:$C$44,MATCH(B1417,Kişiler!$A$5:$A$44,0)),0))</f>
        <v/>
      </c>
    </row>
    <row r="1418" customFormat="false" ht="15" hidden="false" customHeight="false" outlineLevel="0" collapsed="false">
      <c r="A1418" s="12"/>
      <c r="B1418" s="13"/>
      <c r="C1418" s="14"/>
      <c r="D1418" s="14"/>
      <c r="E1418" s="13"/>
      <c r="F1418" s="15"/>
      <c r="G1418" s="16" t="str">
        <f aca="false">IF(OR(B1418="",A1418=""),"",C1418*IFERROR(INDEX(Kişiler!$B$5:$B$44,MATCH(B1418,Kişiler!$A$5:$A$44,0)),0)+D1418*IFERROR(INDEX(Kişiler!$C$5:$C$44,MATCH(B1418,Kişiler!$A$5:$A$44,0)),0))</f>
        <v/>
      </c>
    </row>
    <row r="1419" customFormat="false" ht="15" hidden="false" customHeight="false" outlineLevel="0" collapsed="false">
      <c r="A1419" s="12"/>
      <c r="B1419" s="13"/>
      <c r="C1419" s="14"/>
      <c r="D1419" s="14"/>
      <c r="E1419" s="13"/>
      <c r="F1419" s="15"/>
      <c r="G1419" s="16" t="str">
        <f aca="false">IF(OR(B1419="",A1419=""),"",C1419*IFERROR(INDEX(Kişiler!$B$5:$B$44,MATCH(B1419,Kişiler!$A$5:$A$44,0)),0)+D1419*IFERROR(INDEX(Kişiler!$C$5:$C$44,MATCH(B1419,Kişiler!$A$5:$A$44,0)),0))</f>
        <v/>
      </c>
    </row>
    <row r="1420" customFormat="false" ht="15" hidden="false" customHeight="false" outlineLevel="0" collapsed="false">
      <c r="A1420" s="12"/>
      <c r="B1420" s="13"/>
      <c r="C1420" s="14"/>
      <c r="D1420" s="14"/>
      <c r="E1420" s="13"/>
      <c r="F1420" s="15"/>
      <c r="G1420" s="16" t="str">
        <f aca="false">IF(OR(B1420="",A1420=""),"",C1420*IFERROR(INDEX(Kişiler!$B$5:$B$44,MATCH(B1420,Kişiler!$A$5:$A$44,0)),0)+D1420*IFERROR(INDEX(Kişiler!$C$5:$C$44,MATCH(B1420,Kişiler!$A$5:$A$44,0)),0))</f>
        <v/>
      </c>
    </row>
    <row r="1421" customFormat="false" ht="15" hidden="false" customHeight="false" outlineLevel="0" collapsed="false">
      <c r="A1421" s="12"/>
      <c r="B1421" s="13"/>
      <c r="C1421" s="14"/>
      <c r="D1421" s="14"/>
      <c r="E1421" s="13"/>
      <c r="F1421" s="15"/>
      <c r="G1421" s="16" t="str">
        <f aca="false">IF(OR(B1421="",A1421=""),"",C1421*IFERROR(INDEX(Kişiler!$B$5:$B$44,MATCH(B1421,Kişiler!$A$5:$A$44,0)),0)+D1421*IFERROR(INDEX(Kişiler!$C$5:$C$44,MATCH(B1421,Kişiler!$A$5:$A$44,0)),0))</f>
        <v/>
      </c>
    </row>
    <row r="1422" customFormat="false" ht="15" hidden="false" customHeight="false" outlineLevel="0" collapsed="false">
      <c r="A1422" s="12"/>
      <c r="B1422" s="13"/>
      <c r="C1422" s="14"/>
      <c r="D1422" s="14"/>
      <c r="E1422" s="13"/>
      <c r="F1422" s="15"/>
      <c r="G1422" s="16" t="str">
        <f aca="false">IF(OR(B1422="",A1422=""),"",C1422*IFERROR(INDEX(Kişiler!$B$5:$B$44,MATCH(B1422,Kişiler!$A$5:$A$44,0)),0)+D1422*IFERROR(INDEX(Kişiler!$C$5:$C$44,MATCH(B1422,Kişiler!$A$5:$A$44,0)),0))</f>
        <v/>
      </c>
    </row>
    <row r="1423" customFormat="false" ht="15" hidden="false" customHeight="false" outlineLevel="0" collapsed="false">
      <c r="A1423" s="12"/>
      <c r="B1423" s="13"/>
      <c r="C1423" s="14"/>
      <c r="D1423" s="14"/>
      <c r="E1423" s="13"/>
      <c r="F1423" s="15"/>
      <c r="G1423" s="16" t="str">
        <f aca="false">IF(OR(B1423="",A1423=""),"",C1423*IFERROR(INDEX(Kişiler!$B$5:$B$44,MATCH(B1423,Kişiler!$A$5:$A$44,0)),0)+D1423*IFERROR(INDEX(Kişiler!$C$5:$C$44,MATCH(B1423,Kişiler!$A$5:$A$44,0)),0))</f>
        <v/>
      </c>
    </row>
    <row r="1424" customFormat="false" ht="15" hidden="false" customHeight="false" outlineLevel="0" collapsed="false">
      <c r="A1424" s="12"/>
      <c r="B1424" s="13"/>
      <c r="C1424" s="14"/>
      <c r="D1424" s="14"/>
      <c r="E1424" s="13"/>
      <c r="F1424" s="15"/>
      <c r="G1424" s="16" t="str">
        <f aca="false">IF(OR(B1424="",A1424=""),"",C1424*IFERROR(INDEX(Kişiler!$B$5:$B$44,MATCH(B1424,Kişiler!$A$5:$A$44,0)),0)+D1424*IFERROR(INDEX(Kişiler!$C$5:$C$44,MATCH(B1424,Kişiler!$A$5:$A$44,0)),0))</f>
        <v/>
      </c>
    </row>
    <row r="1425" customFormat="false" ht="15" hidden="false" customHeight="false" outlineLevel="0" collapsed="false">
      <c r="A1425" s="12"/>
      <c r="B1425" s="13"/>
      <c r="C1425" s="14"/>
      <c r="D1425" s="14"/>
      <c r="E1425" s="13"/>
      <c r="F1425" s="15"/>
      <c r="G1425" s="16" t="str">
        <f aca="false">IF(OR(B1425="",A1425=""),"",C1425*IFERROR(INDEX(Kişiler!$B$5:$B$44,MATCH(B1425,Kişiler!$A$5:$A$44,0)),0)+D1425*IFERROR(INDEX(Kişiler!$C$5:$C$44,MATCH(B1425,Kişiler!$A$5:$A$44,0)),0))</f>
        <v/>
      </c>
    </row>
    <row r="1426" customFormat="false" ht="15" hidden="false" customHeight="false" outlineLevel="0" collapsed="false">
      <c r="A1426" s="12"/>
      <c r="B1426" s="13"/>
      <c r="C1426" s="14"/>
      <c r="D1426" s="14"/>
      <c r="E1426" s="13"/>
      <c r="F1426" s="15"/>
      <c r="G1426" s="16" t="str">
        <f aca="false">IF(OR(B1426="",A1426=""),"",C1426*IFERROR(INDEX(Kişiler!$B$5:$B$44,MATCH(B1426,Kişiler!$A$5:$A$44,0)),0)+D1426*IFERROR(INDEX(Kişiler!$C$5:$C$44,MATCH(B1426,Kişiler!$A$5:$A$44,0)),0))</f>
        <v/>
      </c>
    </row>
    <row r="1427" customFormat="false" ht="15" hidden="false" customHeight="false" outlineLevel="0" collapsed="false">
      <c r="A1427" s="12"/>
      <c r="B1427" s="13"/>
      <c r="C1427" s="14"/>
      <c r="D1427" s="14"/>
      <c r="E1427" s="13"/>
      <c r="F1427" s="15"/>
      <c r="G1427" s="16" t="str">
        <f aca="false">IF(OR(B1427="",A1427=""),"",C1427*IFERROR(INDEX(Kişiler!$B$5:$B$44,MATCH(B1427,Kişiler!$A$5:$A$44,0)),0)+D1427*IFERROR(INDEX(Kişiler!$C$5:$C$44,MATCH(B1427,Kişiler!$A$5:$A$44,0)),0))</f>
        <v/>
      </c>
    </row>
    <row r="1428" customFormat="false" ht="15" hidden="false" customHeight="false" outlineLevel="0" collapsed="false">
      <c r="A1428" s="12"/>
      <c r="B1428" s="13"/>
      <c r="C1428" s="14"/>
      <c r="D1428" s="14"/>
      <c r="E1428" s="13"/>
      <c r="F1428" s="15"/>
      <c r="G1428" s="16" t="str">
        <f aca="false">IF(OR(B1428="",A1428=""),"",C1428*IFERROR(INDEX(Kişiler!$B$5:$B$44,MATCH(B1428,Kişiler!$A$5:$A$44,0)),0)+D1428*IFERROR(INDEX(Kişiler!$C$5:$C$44,MATCH(B1428,Kişiler!$A$5:$A$44,0)),0))</f>
        <v/>
      </c>
    </row>
    <row r="1429" customFormat="false" ht="15" hidden="false" customHeight="false" outlineLevel="0" collapsed="false">
      <c r="A1429" s="12"/>
      <c r="B1429" s="13"/>
      <c r="C1429" s="14"/>
      <c r="D1429" s="14"/>
      <c r="E1429" s="13"/>
      <c r="F1429" s="15"/>
      <c r="G1429" s="16" t="str">
        <f aca="false">IF(OR(B1429="",A1429=""),"",C1429*IFERROR(INDEX(Kişiler!$B$5:$B$44,MATCH(B1429,Kişiler!$A$5:$A$44,0)),0)+D1429*IFERROR(INDEX(Kişiler!$C$5:$C$44,MATCH(B1429,Kişiler!$A$5:$A$44,0)),0))</f>
        <v/>
      </c>
    </row>
    <row r="1430" customFormat="false" ht="15" hidden="false" customHeight="false" outlineLevel="0" collapsed="false">
      <c r="A1430" s="12"/>
      <c r="B1430" s="13"/>
      <c r="C1430" s="14"/>
      <c r="D1430" s="14"/>
      <c r="E1430" s="13"/>
      <c r="F1430" s="15"/>
      <c r="G1430" s="16" t="str">
        <f aca="false">IF(OR(B1430="",A1430=""),"",C1430*IFERROR(INDEX(Kişiler!$B$5:$B$44,MATCH(B1430,Kişiler!$A$5:$A$44,0)),0)+D1430*IFERROR(INDEX(Kişiler!$C$5:$C$44,MATCH(B1430,Kişiler!$A$5:$A$44,0)),0))</f>
        <v/>
      </c>
    </row>
    <row r="1431" customFormat="false" ht="15" hidden="false" customHeight="false" outlineLevel="0" collapsed="false">
      <c r="A1431" s="12"/>
      <c r="B1431" s="13"/>
      <c r="C1431" s="14"/>
      <c r="D1431" s="14"/>
      <c r="E1431" s="13"/>
      <c r="F1431" s="15"/>
      <c r="G1431" s="16" t="str">
        <f aca="false">IF(OR(B1431="",A1431=""),"",C1431*IFERROR(INDEX(Kişiler!$B$5:$B$44,MATCH(B1431,Kişiler!$A$5:$A$44,0)),0)+D1431*IFERROR(INDEX(Kişiler!$C$5:$C$44,MATCH(B1431,Kişiler!$A$5:$A$44,0)),0))</f>
        <v/>
      </c>
    </row>
    <row r="1432" customFormat="false" ht="15" hidden="false" customHeight="false" outlineLevel="0" collapsed="false">
      <c r="A1432" s="12"/>
      <c r="B1432" s="13"/>
      <c r="C1432" s="14"/>
      <c r="D1432" s="14"/>
      <c r="E1432" s="13"/>
      <c r="F1432" s="15"/>
      <c r="G1432" s="16" t="str">
        <f aca="false">IF(OR(B1432="",A1432=""),"",C1432*IFERROR(INDEX(Kişiler!$B$5:$B$44,MATCH(B1432,Kişiler!$A$5:$A$44,0)),0)+D1432*IFERROR(INDEX(Kişiler!$C$5:$C$44,MATCH(B1432,Kişiler!$A$5:$A$44,0)),0))</f>
        <v/>
      </c>
    </row>
    <row r="1433" customFormat="false" ht="15" hidden="false" customHeight="false" outlineLevel="0" collapsed="false">
      <c r="A1433" s="12"/>
      <c r="B1433" s="13"/>
      <c r="C1433" s="14"/>
      <c r="D1433" s="14"/>
      <c r="E1433" s="13"/>
      <c r="F1433" s="15"/>
      <c r="G1433" s="16" t="str">
        <f aca="false">IF(OR(B1433="",A1433=""),"",C1433*IFERROR(INDEX(Kişiler!$B$5:$B$44,MATCH(B1433,Kişiler!$A$5:$A$44,0)),0)+D1433*IFERROR(INDEX(Kişiler!$C$5:$C$44,MATCH(B1433,Kişiler!$A$5:$A$44,0)),0))</f>
        <v/>
      </c>
    </row>
    <row r="1434" customFormat="false" ht="15" hidden="false" customHeight="false" outlineLevel="0" collapsed="false">
      <c r="A1434" s="12"/>
      <c r="B1434" s="13"/>
      <c r="C1434" s="14"/>
      <c r="D1434" s="14"/>
      <c r="E1434" s="13"/>
      <c r="F1434" s="15"/>
      <c r="G1434" s="16" t="str">
        <f aca="false">IF(OR(B1434="",A1434=""),"",C1434*IFERROR(INDEX(Kişiler!$B$5:$B$44,MATCH(B1434,Kişiler!$A$5:$A$44,0)),0)+D1434*IFERROR(INDEX(Kişiler!$C$5:$C$44,MATCH(B1434,Kişiler!$A$5:$A$44,0)),0))</f>
        <v/>
      </c>
    </row>
    <row r="1435" customFormat="false" ht="15" hidden="false" customHeight="false" outlineLevel="0" collapsed="false">
      <c r="A1435" s="12"/>
      <c r="B1435" s="13"/>
      <c r="C1435" s="14"/>
      <c r="D1435" s="14"/>
      <c r="E1435" s="13"/>
      <c r="F1435" s="15"/>
      <c r="G1435" s="16" t="str">
        <f aca="false">IF(OR(B1435="",A1435=""),"",C1435*IFERROR(INDEX(Kişiler!$B$5:$B$44,MATCH(B1435,Kişiler!$A$5:$A$44,0)),0)+D1435*IFERROR(INDEX(Kişiler!$C$5:$C$44,MATCH(B1435,Kişiler!$A$5:$A$44,0)),0))</f>
        <v/>
      </c>
    </row>
    <row r="1436" customFormat="false" ht="15" hidden="false" customHeight="false" outlineLevel="0" collapsed="false">
      <c r="A1436" s="12"/>
      <c r="B1436" s="13"/>
      <c r="C1436" s="14"/>
      <c r="D1436" s="14"/>
      <c r="E1436" s="13"/>
      <c r="F1436" s="15"/>
      <c r="G1436" s="16" t="str">
        <f aca="false">IF(OR(B1436="",A1436=""),"",C1436*IFERROR(INDEX(Kişiler!$B$5:$B$44,MATCH(B1436,Kişiler!$A$5:$A$44,0)),0)+D1436*IFERROR(INDEX(Kişiler!$C$5:$C$44,MATCH(B1436,Kişiler!$A$5:$A$44,0)),0))</f>
        <v/>
      </c>
    </row>
    <row r="1437" customFormat="false" ht="15" hidden="false" customHeight="false" outlineLevel="0" collapsed="false">
      <c r="A1437" s="12"/>
      <c r="B1437" s="13"/>
      <c r="C1437" s="14"/>
      <c r="D1437" s="14"/>
      <c r="E1437" s="13"/>
      <c r="F1437" s="15"/>
      <c r="G1437" s="16" t="str">
        <f aca="false">IF(OR(B1437="",A1437=""),"",C1437*IFERROR(INDEX(Kişiler!$B$5:$B$44,MATCH(B1437,Kişiler!$A$5:$A$44,0)),0)+D1437*IFERROR(INDEX(Kişiler!$C$5:$C$44,MATCH(B1437,Kişiler!$A$5:$A$44,0)),0))</f>
        <v/>
      </c>
    </row>
    <row r="1438" customFormat="false" ht="15" hidden="false" customHeight="false" outlineLevel="0" collapsed="false">
      <c r="A1438" s="12"/>
      <c r="B1438" s="13"/>
      <c r="C1438" s="14"/>
      <c r="D1438" s="14"/>
      <c r="E1438" s="13"/>
      <c r="F1438" s="15"/>
      <c r="G1438" s="16" t="str">
        <f aca="false">IF(OR(B1438="",A1438=""),"",C1438*IFERROR(INDEX(Kişiler!$B$5:$B$44,MATCH(B1438,Kişiler!$A$5:$A$44,0)),0)+D1438*IFERROR(INDEX(Kişiler!$C$5:$C$44,MATCH(B1438,Kişiler!$A$5:$A$44,0)),0))</f>
        <v/>
      </c>
    </row>
    <row r="1439" customFormat="false" ht="15" hidden="false" customHeight="false" outlineLevel="0" collapsed="false">
      <c r="A1439" s="12"/>
      <c r="B1439" s="13"/>
      <c r="C1439" s="14"/>
      <c r="D1439" s="14"/>
      <c r="E1439" s="13"/>
      <c r="F1439" s="15"/>
      <c r="G1439" s="16" t="str">
        <f aca="false">IF(OR(B1439="",A1439=""),"",C1439*IFERROR(INDEX(Kişiler!$B$5:$B$44,MATCH(B1439,Kişiler!$A$5:$A$44,0)),0)+D1439*IFERROR(INDEX(Kişiler!$C$5:$C$44,MATCH(B1439,Kişiler!$A$5:$A$44,0)),0))</f>
        <v/>
      </c>
    </row>
    <row r="1440" customFormat="false" ht="15" hidden="false" customHeight="false" outlineLevel="0" collapsed="false">
      <c r="A1440" s="12"/>
      <c r="B1440" s="13"/>
      <c r="C1440" s="14"/>
      <c r="D1440" s="14"/>
      <c r="E1440" s="13"/>
      <c r="F1440" s="15"/>
      <c r="G1440" s="16" t="str">
        <f aca="false">IF(OR(B1440="",A1440=""),"",C1440*IFERROR(INDEX(Kişiler!$B$5:$B$44,MATCH(B1440,Kişiler!$A$5:$A$44,0)),0)+D1440*IFERROR(INDEX(Kişiler!$C$5:$C$44,MATCH(B1440,Kişiler!$A$5:$A$44,0)),0))</f>
        <v/>
      </c>
    </row>
    <row r="1441" customFormat="false" ht="15" hidden="false" customHeight="false" outlineLevel="0" collapsed="false">
      <c r="A1441" s="12"/>
      <c r="B1441" s="13"/>
      <c r="C1441" s="14"/>
      <c r="D1441" s="14"/>
      <c r="E1441" s="13"/>
      <c r="F1441" s="15"/>
      <c r="G1441" s="16" t="str">
        <f aca="false">IF(OR(B1441="",A1441=""),"",C1441*IFERROR(INDEX(Kişiler!$B$5:$B$44,MATCH(B1441,Kişiler!$A$5:$A$44,0)),0)+D1441*IFERROR(INDEX(Kişiler!$C$5:$C$44,MATCH(B1441,Kişiler!$A$5:$A$44,0)),0))</f>
        <v/>
      </c>
    </row>
    <row r="1442" customFormat="false" ht="15" hidden="false" customHeight="false" outlineLevel="0" collapsed="false">
      <c r="A1442" s="12"/>
      <c r="B1442" s="13"/>
      <c r="C1442" s="14"/>
      <c r="D1442" s="14"/>
      <c r="E1442" s="13"/>
      <c r="F1442" s="15"/>
      <c r="G1442" s="16" t="str">
        <f aca="false">IF(OR(B1442="",A1442=""),"",C1442*IFERROR(INDEX(Kişiler!$B$5:$B$44,MATCH(B1442,Kişiler!$A$5:$A$44,0)),0)+D1442*IFERROR(INDEX(Kişiler!$C$5:$C$44,MATCH(B1442,Kişiler!$A$5:$A$44,0)),0))</f>
        <v/>
      </c>
    </row>
    <row r="1443" customFormat="false" ht="15" hidden="false" customHeight="false" outlineLevel="0" collapsed="false">
      <c r="A1443" s="12"/>
      <c r="B1443" s="13"/>
      <c r="C1443" s="14"/>
      <c r="D1443" s="14"/>
      <c r="E1443" s="13"/>
      <c r="F1443" s="15"/>
      <c r="G1443" s="16" t="str">
        <f aca="false">IF(OR(B1443="",A1443=""),"",C1443*IFERROR(INDEX(Kişiler!$B$5:$B$44,MATCH(B1443,Kişiler!$A$5:$A$44,0)),0)+D1443*IFERROR(INDEX(Kişiler!$C$5:$C$44,MATCH(B1443,Kişiler!$A$5:$A$44,0)),0))</f>
        <v/>
      </c>
    </row>
    <row r="1444" customFormat="false" ht="15" hidden="false" customHeight="false" outlineLevel="0" collapsed="false">
      <c r="A1444" s="12"/>
      <c r="B1444" s="13"/>
      <c r="C1444" s="14"/>
      <c r="D1444" s="14"/>
      <c r="E1444" s="13"/>
      <c r="F1444" s="15"/>
      <c r="G1444" s="16" t="str">
        <f aca="false">IF(OR(B1444="",A1444=""),"",C1444*IFERROR(INDEX(Kişiler!$B$5:$B$44,MATCH(B1444,Kişiler!$A$5:$A$44,0)),0)+D1444*IFERROR(INDEX(Kişiler!$C$5:$C$44,MATCH(B1444,Kişiler!$A$5:$A$44,0)),0))</f>
        <v/>
      </c>
    </row>
    <row r="1445" customFormat="false" ht="15" hidden="false" customHeight="false" outlineLevel="0" collapsed="false">
      <c r="A1445" s="12"/>
      <c r="B1445" s="13"/>
      <c r="C1445" s="14"/>
      <c r="D1445" s="14"/>
      <c r="E1445" s="13"/>
      <c r="F1445" s="15"/>
      <c r="G1445" s="16" t="str">
        <f aca="false">IF(OR(B1445="",A1445=""),"",C1445*IFERROR(INDEX(Kişiler!$B$5:$B$44,MATCH(B1445,Kişiler!$A$5:$A$44,0)),0)+D1445*IFERROR(INDEX(Kişiler!$C$5:$C$44,MATCH(B1445,Kişiler!$A$5:$A$44,0)),0))</f>
        <v/>
      </c>
    </row>
    <row r="1446" customFormat="false" ht="15" hidden="false" customHeight="false" outlineLevel="0" collapsed="false">
      <c r="A1446" s="12"/>
      <c r="B1446" s="13"/>
      <c r="C1446" s="14"/>
      <c r="D1446" s="14"/>
      <c r="E1446" s="13"/>
      <c r="F1446" s="15"/>
      <c r="G1446" s="16" t="str">
        <f aca="false">IF(OR(B1446="",A1446=""),"",C1446*IFERROR(INDEX(Kişiler!$B$5:$B$44,MATCH(B1446,Kişiler!$A$5:$A$44,0)),0)+D1446*IFERROR(INDEX(Kişiler!$C$5:$C$44,MATCH(B1446,Kişiler!$A$5:$A$44,0)),0))</f>
        <v/>
      </c>
    </row>
    <row r="1447" customFormat="false" ht="15" hidden="false" customHeight="false" outlineLevel="0" collapsed="false">
      <c r="A1447" s="12"/>
      <c r="B1447" s="13"/>
      <c r="C1447" s="14"/>
      <c r="D1447" s="14"/>
      <c r="E1447" s="13"/>
      <c r="F1447" s="15"/>
      <c r="G1447" s="16" t="str">
        <f aca="false">IF(OR(B1447="",A1447=""),"",C1447*IFERROR(INDEX(Kişiler!$B$5:$B$44,MATCH(B1447,Kişiler!$A$5:$A$44,0)),0)+D1447*IFERROR(INDEX(Kişiler!$C$5:$C$44,MATCH(B1447,Kişiler!$A$5:$A$44,0)),0))</f>
        <v/>
      </c>
    </row>
    <row r="1448" customFormat="false" ht="15" hidden="false" customHeight="false" outlineLevel="0" collapsed="false">
      <c r="A1448" s="12"/>
      <c r="B1448" s="13"/>
      <c r="C1448" s="14"/>
      <c r="D1448" s="14"/>
      <c r="E1448" s="13"/>
      <c r="F1448" s="15"/>
      <c r="G1448" s="16" t="str">
        <f aca="false">IF(OR(B1448="",A1448=""),"",C1448*IFERROR(INDEX(Kişiler!$B$5:$B$44,MATCH(B1448,Kişiler!$A$5:$A$44,0)),0)+D1448*IFERROR(INDEX(Kişiler!$C$5:$C$44,MATCH(B1448,Kişiler!$A$5:$A$44,0)),0))</f>
        <v/>
      </c>
    </row>
    <row r="1449" customFormat="false" ht="15" hidden="false" customHeight="false" outlineLevel="0" collapsed="false">
      <c r="A1449" s="12"/>
      <c r="B1449" s="13"/>
      <c r="C1449" s="14"/>
      <c r="D1449" s="14"/>
      <c r="E1449" s="13"/>
      <c r="F1449" s="15"/>
      <c r="G1449" s="16" t="str">
        <f aca="false">IF(OR(B1449="",A1449=""),"",C1449*IFERROR(INDEX(Kişiler!$B$5:$B$44,MATCH(B1449,Kişiler!$A$5:$A$44,0)),0)+D1449*IFERROR(INDEX(Kişiler!$C$5:$C$44,MATCH(B1449,Kişiler!$A$5:$A$44,0)),0))</f>
        <v/>
      </c>
    </row>
    <row r="1450" customFormat="false" ht="15" hidden="false" customHeight="false" outlineLevel="0" collapsed="false">
      <c r="A1450" s="12"/>
      <c r="B1450" s="13"/>
      <c r="C1450" s="14"/>
      <c r="D1450" s="14"/>
      <c r="E1450" s="13"/>
      <c r="F1450" s="15"/>
      <c r="G1450" s="16" t="str">
        <f aca="false">IF(OR(B1450="",A1450=""),"",C1450*IFERROR(INDEX(Kişiler!$B$5:$B$44,MATCH(B1450,Kişiler!$A$5:$A$44,0)),0)+D1450*IFERROR(INDEX(Kişiler!$C$5:$C$44,MATCH(B1450,Kişiler!$A$5:$A$44,0)),0))</f>
        <v/>
      </c>
    </row>
    <row r="1451" customFormat="false" ht="15" hidden="false" customHeight="false" outlineLevel="0" collapsed="false">
      <c r="A1451" s="12"/>
      <c r="B1451" s="13"/>
      <c r="C1451" s="14"/>
      <c r="D1451" s="14"/>
      <c r="E1451" s="13"/>
      <c r="F1451" s="15"/>
      <c r="G1451" s="16" t="str">
        <f aca="false">IF(OR(B1451="",A1451=""),"",C1451*IFERROR(INDEX(Kişiler!$B$5:$B$44,MATCH(B1451,Kişiler!$A$5:$A$44,0)),0)+D1451*IFERROR(INDEX(Kişiler!$C$5:$C$44,MATCH(B1451,Kişiler!$A$5:$A$44,0)),0))</f>
        <v/>
      </c>
    </row>
    <row r="1452" customFormat="false" ht="15" hidden="false" customHeight="false" outlineLevel="0" collapsed="false">
      <c r="A1452" s="12"/>
      <c r="B1452" s="13"/>
      <c r="C1452" s="14"/>
      <c r="D1452" s="14"/>
      <c r="E1452" s="13"/>
      <c r="F1452" s="15"/>
      <c r="G1452" s="16" t="str">
        <f aca="false">IF(OR(B1452="",A1452=""),"",C1452*IFERROR(INDEX(Kişiler!$B$5:$B$44,MATCH(B1452,Kişiler!$A$5:$A$44,0)),0)+D1452*IFERROR(INDEX(Kişiler!$C$5:$C$44,MATCH(B1452,Kişiler!$A$5:$A$44,0)),0))</f>
        <v/>
      </c>
    </row>
    <row r="1453" customFormat="false" ht="15" hidden="false" customHeight="false" outlineLevel="0" collapsed="false">
      <c r="A1453" s="12"/>
      <c r="B1453" s="13"/>
      <c r="C1453" s="14"/>
      <c r="D1453" s="14"/>
      <c r="E1453" s="13"/>
      <c r="F1453" s="15"/>
      <c r="G1453" s="16" t="str">
        <f aca="false">IF(OR(B1453="",A1453=""),"",C1453*IFERROR(INDEX(Kişiler!$B$5:$B$44,MATCH(B1453,Kişiler!$A$5:$A$44,0)),0)+D1453*IFERROR(INDEX(Kişiler!$C$5:$C$44,MATCH(B1453,Kişiler!$A$5:$A$44,0)),0))</f>
        <v/>
      </c>
    </row>
    <row r="1454" customFormat="false" ht="15" hidden="false" customHeight="false" outlineLevel="0" collapsed="false">
      <c r="A1454" s="12"/>
      <c r="B1454" s="13"/>
      <c r="C1454" s="14"/>
      <c r="D1454" s="14"/>
      <c r="E1454" s="13"/>
      <c r="F1454" s="15"/>
      <c r="G1454" s="16" t="str">
        <f aca="false">IF(OR(B1454="",A1454=""),"",C1454*IFERROR(INDEX(Kişiler!$B$5:$B$44,MATCH(B1454,Kişiler!$A$5:$A$44,0)),0)+D1454*IFERROR(INDEX(Kişiler!$C$5:$C$44,MATCH(B1454,Kişiler!$A$5:$A$44,0)),0))</f>
        <v/>
      </c>
    </row>
    <row r="1455" customFormat="false" ht="15" hidden="false" customHeight="false" outlineLevel="0" collapsed="false">
      <c r="A1455" s="12"/>
      <c r="B1455" s="13"/>
      <c r="C1455" s="14"/>
      <c r="D1455" s="14"/>
      <c r="E1455" s="13"/>
      <c r="F1455" s="15"/>
      <c r="G1455" s="16" t="str">
        <f aca="false">IF(OR(B1455="",A1455=""),"",C1455*IFERROR(INDEX(Kişiler!$B$5:$B$44,MATCH(B1455,Kişiler!$A$5:$A$44,0)),0)+D1455*IFERROR(INDEX(Kişiler!$C$5:$C$44,MATCH(B1455,Kişiler!$A$5:$A$44,0)),0))</f>
        <v/>
      </c>
    </row>
    <row r="1456" customFormat="false" ht="15" hidden="false" customHeight="false" outlineLevel="0" collapsed="false">
      <c r="A1456" s="12"/>
      <c r="B1456" s="13"/>
      <c r="C1456" s="14"/>
      <c r="D1456" s="14"/>
      <c r="E1456" s="13"/>
      <c r="F1456" s="15"/>
      <c r="G1456" s="16" t="str">
        <f aca="false">IF(OR(B1456="",A1456=""),"",C1456*IFERROR(INDEX(Kişiler!$B$5:$B$44,MATCH(B1456,Kişiler!$A$5:$A$44,0)),0)+D1456*IFERROR(INDEX(Kişiler!$C$5:$C$44,MATCH(B1456,Kişiler!$A$5:$A$44,0)),0))</f>
        <v/>
      </c>
    </row>
    <row r="1457" customFormat="false" ht="15" hidden="false" customHeight="false" outlineLevel="0" collapsed="false">
      <c r="A1457" s="12"/>
      <c r="B1457" s="13"/>
      <c r="C1457" s="14"/>
      <c r="D1457" s="14"/>
      <c r="E1457" s="13"/>
      <c r="F1457" s="15"/>
      <c r="G1457" s="16" t="str">
        <f aca="false">IF(OR(B1457="",A1457=""),"",C1457*IFERROR(INDEX(Kişiler!$B$5:$B$44,MATCH(B1457,Kişiler!$A$5:$A$44,0)),0)+D1457*IFERROR(INDEX(Kişiler!$C$5:$C$44,MATCH(B1457,Kişiler!$A$5:$A$44,0)),0))</f>
        <v/>
      </c>
    </row>
    <row r="1458" customFormat="false" ht="15" hidden="false" customHeight="false" outlineLevel="0" collapsed="false">
      <c r="A1458" s="12"/>
      <c r="B1458" s="13"/>
      <c r="C1458" s="14"/>
      <c r="D1458" s="14"/>
      <c r="E1458" s="13"/>
      <c r="F1458" s="15"/>
      <c r="G1458" s="16" t="str">
        <f aca="false">IF(OR(B1458="",A1458=""),"",C1458*IFERROR(INDEX(Kişiler!$B$5:$B$44,MATCH(B1458,Kişiler!$A$5:$A$44,0)),0)+D1458*IFERROR(INDEX(Kişiler!$C$5:$C$44,MATCH(B1458,Kişiler!$A$5:$A$44,0)),0))</f>
        <v/>
      </c>
    </row>
    <row r="1459" customFormat="false" ht="15" hidden="false" customHeight="false" outlineLevel="0" collapsed="false">
      <c r="A1459" s="12"/>
      <c r="B1459" s="13"/>
      <c r="C1459" s="14"/>
      <c r="D1459" s="14"/>
      <c r="E1459" s="13"/>
      <c r="F1459" s="15"/>
      <c r="G1459" s="16" t="str">
        <f aca="false">IF(OR(B1459="",A1459=""),"",C1459*IFERROR(INDEX(Kişiler!$B$5:$B$44,MATCH(B1459,Kişiler!$A$5:$A$44,0)),0)+D1459*IFERROR(INDEX(Kişiler!$C$5:$C$44,MATCH(B1459,Kişiler!$A$5:$A$44,0)),0))</f>
        <v/>
      </c>
    </row>
    <row r="1460" customFormat="false" ht="15" hidden="false" customHeight="false" outlineLevel="0" collapsed="false">
      <c r="A1460" s="12"/>
      <c r="B1460" s="13"/>
      <c r="C1460" s="14"/>
      <c r="D1460" s="14"/>
      <c r="E1460" s="13"/>
      <c r="F1460" s="15"/>
      <c r="G1460" s="16" t="str">
        <f aca="false">IF(OR(B1460="",A1460=""),"",C1460*IFERROR(INDEX(Kişiler!$B$5:$B$44,MATCH(B1460,Kişiler!$A$5:$A$44,0)),0)+D1460*IFERROR(INDEX(Kişiler!$C$5:$C$44,MATCH(B1460,Kişiler!$A$5:$A$44,0)),0))</f>
        <v/>
      </c>
    </row>
    <row r="1461" customFormat="false" ht="15" hidden="false" customHeight="false" outlineLevel="0" collapsed="false">
      <c r="A1461" s="12"/>
      <c r="B1461" s="13"/>
      <c r="C1461" s="14"/>
      <c r="D1461" s="14"/>
      <c r="E1461" s="13"/>
      <c r="F1461" s="15"/>
      <c r="G1461" s="16" t="str">
        <f aca="false">IF(OR(B1461="",A1461=""),"",C1461*IFERROR(INDEX(Kişiler!$B$5:$B$44,MATCH(B1461,Kişiler!$A$5:$A$44,0)),0)+D1461*IFERROR(INDEX(Kişiler!$C$5:$C$44,MATCH(B1461,Kişiler!$A$5:$A$44,0)),0))</f>
        <v/>
      </c>
    </row>
    <row r="1462" customFormat="false" ht="15" hidden="false" customHeight="false" outlineLevel="0" collapsed="false">
      <c r="A1462" s="12"/>
      <c r="B1462" s="13"/>
      <c r="C1462" s="14"/>
      <c r="D1462" s="14"/>
      <c r="E1462" s="13"/>
      <c r="F1462" s="15"/>
      <c r="G1462" s="16" t="str">
        <f aca="false">IF(OR(B1462="",A1462=""),"",C1462*IFERROR(INDEX(Kişiler!$B$5:$B$44,MATCH(B1462,Kişiler!$A$5:$A$44,0)),0)+D1462*IFERROR(INDEX(Kişiler!$C$5:$C$44,MATCH(B1462,Kişiler!$A$5:$A$44,0)),0))</f>
        <v/>
      </c>
    </row>
    <row r="1463" customFormat="false" ht="15" hidden="false" customHeight="false" outlineLevel="0" collapsed="false">
      <c r="A1463" s="12"/>
      <c r="B1463" s="13"/>
      <c r="C1463" s="14"/>
      <c r="D1463" s="14"/>
      <c r="E1463" s="13"/>
      <c r="F1463" s="15"/>
      <c r="G1463" s="16" t="str">
        <f aca="false">IF(OR(B1463="",A1463=""),"",C1463*IFERROR(INDEX(Kişiler!$B$5:$B$44,MATCH(B1463,Kişiler!$A$5:$A$44,0)),0)+D1463*IFERROR(INDEX(Kişiler!$C$5:$C$44,MATCH(B1463,Kişiler!$A$5:$A$44,0)),0))</f>
        <v/>
      </c>
    </row>
    <row r="1464" customFormat="false" ht="15" hidden="false" customHeight="false" outlineLevel="0" collapsed="false">
      <c r="A1464" s="12"/>
      <c r="B1464" s="13"/>
      <c r="C1464" s="14"/>
      <c r="D1464" s="14"/>
      <c r="E1464" s="13"/>
      <c r="F1464" s="15"/>
      <c r="G1464" s="16" t="str">
        <f aca="false">IF(OR(B1464="",A1464=""),"",C1464*IFERROR(INDEX(Kişiler!$B$5:$B$44,MATCH(B1464,Kişiler!$A$5:$A$44,0)),0)+D1464*IFERROR(INDEX(Kişiler!$C$5:$C$44,MATCH(B1464,Kişiler!$A$5:$A$44,0)),0))</f>
        <v/>
      </c>
    </row>
    <row r="1465" customFormat="false" ht="15" hidden="false" customHeight="false" outlineLevel="0" collapsed="false">
      <c r="A1465" s="12"/>
      <c r="B1465" s="13"/>
      <c r="C1465" s="14"/>
      <c r="D1465" s="14"/>
      <c r="E1465" s="13"/>
      <c r="F1465" s="15"/>
      <c r="G1465" s="16" t="str">
        <f aca="false">IF(OR(B1465="",A1465=""),"",C1465*IFERROR(INDEX(Kişiler!$B$5:$B$44,MATCH(B1465,Kişiler!$A$5:$A$44,0)),0)+D1465*IFERROR(INDEX(Kişiler!$C$5:$C$44,MATCH(B1465,Kişiler!$A$5:$A$44,0)),0))</f>
        <v/>
      </c>
    </row>
    <row r="1466" customFormat="false" ht="15" hidden="false" customHeight="false" outlineLevel="0" collapsed="false">
      <c r="A1466" s="12"/>
      <c r="B1466" s="13"/>
      <c r="C1466" s="14"/>
      <c r="D1466" s="14"/>
      <c r="E1466" s="13"/>
      <c r="F1466" s="15"/>
      <c r="G1466" s="16" t="str">
        <f aca="false">IF(OR(B1466="",A1466=""),"",C1466*IFERROR(INDEX(Kişiler!$B$5:$B$44,MATCH(B1466,Kişiler!$A$5:$A$44,0)),0)+D1466*IFERROR(INDEX(Kişiler!$C$5:$C$44,MATCH(B1466,Kişiler!$A$5:$A$44,0)),0))</f>
        <v/>
      </c>
    </row>
    <row r="1467" customFormat="false" ht="15" hidden="false" customHeight="false" outlineLevel="0" collapsed="false">
      <c r="A1467" s="12"/>
      <c r="B1467" s="13"/>
      <c r="C1467" s="14"/>
      <c r="D1467" s="14"/>
      <c r="E1467" s="13"/>
      <c r="F1467" s="15"/>
      <c r="G1467" s="16" t="str">
        <f aca="false">IF(OR(B1467="",A1467=""),"",C1467*IFERROR(INDEX(Kişiler!$B$5:$B$44,MATCH(B1467,Kişiler!$A$5:$A$44,0)),0)+D1467*IFERROR(INDEX(Kişiler!$C$5:$C$44,MATCH(B1467,Kişiler!$A$5:$A$44,0)),0))</f>
        <v/>
      </c>
    </row>
    <row r="1468" customFormat="false" ht="15" hidden="false" customHeight="false" outlineLevel="0" collapsed="false">
      <c r="A1468" s="12"/>
      <c r="B1468" s="13"/>
      <c r="C1468" s="14"/>
      <c r="D1468" s="14"/>
      <c r="E1468" s="13"/>
      <c r="F1468" s="15"/>
      <c r="G1468" s="16" t="str">
        <f aca="false">IF(OR(B1468="",A1468=""),"",C1468*IFERROR(INDEX(Kişiler!$B$5:$B$44,MATCH(B1468,Kişiler!$A$5:$A$44,0)),0)+D1468*IFERROR(INDEX(Kişiler!$C$5:$C$44,MATCH(B1468,Kişiler!$A$5:$A$44,0)),0))</f>
        <v/>
      </c>
    </row>
    <row r="1469" customFormat="false" ht="15" hidden="false" customHeight="false" outlineLevel="0" collapsed="false">
      <c r="A1469" s="12"/>
      <c r="B1469" s="13"/>
      <c r="C1469" s="14"/>
      <c r="D1469" s="14"/>
      <c r="E1469" s="13"/>
      <c r="F1469" s="15"/>
      <c r="G1469" s="16" t="str">
        <f aca="false">IF(OR(B1469="",A1469=""),"",C1469*IFERROR(INDEX(Kişiler!$B$5:$B$44,MATCH(B1469,Kişiler!$A$5:$A$44,0)),0)+D1469*IFERROR(INDEX(Kişiler!$C$5:$C$44,MATCH(B1469,Kişiler!$A$5:$A$44,0)),0))</f>
        <v/>
      </c>
    </row>
    <row r="1470" customFormat="false" ht="15" hidden="false" customHeight="false" outlineLevel="0" collapsed="false">
      <c r="A1470" s="12"/>
      <c r="B1470" s="13"/>
      <c r="C1470" s="14"/>
      <c r="D1470" s="14"/>
      <c r="E1470" s="13"/>
      <c r="F1470" s="15"/>
      <c r="G1470" s="16" t="str">
        <f aca="false">IF(OR(B1470="",A1470=""),"",C1470*IFERROR(INDEX(Kişiler!$B$5:$B$44,MATCH(B1470,Kişiler!$A$5:$A$44,0)),0)+D1470*IFERROR(INDEX(Kişiler!$C$5:$C$44,MATCH(B1470,Kişiler!$A$5:$A$44,0)),0))</f>
        <v/>
      </c>
    </row>
    <row r="1471" customFormat="false" ht="15" hidden="false" customHeight="false" outlineLevel="0" collapsed="false">
      <c r="A1471" s="12"/>
      <c r="B1471" s="13"/>
      <c r="C1471" s="14"/>
      <c r="D1471" s="14"/>
      <c r="E1471" s="13"/>
      <c r="F1471" s="15"/>
      <c r="G1471" s="16" t="str">
        <f aca="false">IF(OR(B1471="",A1471=""),"",C1471*IFERROR(INDEX(Kişiler!$B$5:$B$44,MATCH(B1471,Kişiler!$A$5:$A$44,0)),0)+D1471*IFERROR(INDEX(Kişiler!$C$5:$C$44,MATCH(B1471,Kişiler!$A$5:$A$44,0)),0))</f>
        <v/>
      </c>
    </row>
    <row r="1472" customFormat="false" ht="15" hidden="false" customHeight="false" outlineLevel="0" collapsed="false">
      <c r="A1472" s="12"/>
      <c r="B1472" s="13"/>
      <c r="C1472" s="14"/>
      <c r="D1472" s="14"/>
      <c r="E1472" s="13"/>
      <c r="F1472" s="15"/>
      <c r="G1472" s="16" t="str">
        <f aca="false">IF(OR(B1472="",A1472=""),"",C1472*IFERROR(INDEX(Kişiler!$B$5:$B$44,MATCH(B1472,Kişiler!$A$5:$A$44,0)),0)+D1472*IFERROR(INDEX(Kişiler!$C$5:$C$44,MATCH(B1472,Kişiler!$A$5:$A$44,0)),0))</f>
        <v/>
      </c>
    </row>
    <row r="1473" customFormat="false" ht="15" hidden="false" customHeight="false" outlineLevel="0" collapsed="false">
      <c r="A1473" s="12"/>
      <c r="B1473" s="13"/>
      <c r="C1473" s="14"/>
      <c r="D1473" s="14"/>
      <c r="E1473" s="13"/>
      <c r="F1473" s="15"/>
      <c r="G1473" s="16" t="str">
        <f aca="false">IF(OR(B1473="",A1473=""),"",C1473*IFERROR(INDEX(Kişiler!$B$5:$B$44,MATCH(B1473,Kişiler!$A$5:$A$44,0)),0)+D1473*IFERROR(INDEX(Kişiler!$C$5:$C$44,MATCH(B1473,Kişiler!$A$5:$A$44,0)),0))</f>
        <v/>
      </c>
    </row>
    <row r="1474" customFormat="false" ht="15" hidden="false" customHeight="false" outlineLevel="0" collapsed="false">
      <c r="A1474" s="12"/>
      <c r="B1474" s="13"/>
      <c r="C1474" s="14"/>
      <c r="D1474" s="14"/>
      <c r="E1474" s="13"/>
      <c r="F1474" s="15"/>
      <c r="G1474" s="16" t="str">
        <f aca="false">IF(OR(B1474="",A1474=""),"",C1474*IFERROR(INDEX(Kişiler!$B$5:$B$44,MATCH(B1474,Kişiler!$A$5:$A$44,0)),0)+D1474*IFERROR(INDEX(Kişiler!$C$5:$C$44,MATCH(B1474,Kişiler!$A$5:$A$44,0)),0))</f>
        <v/>
      </c>
    </row>
    <row r="1475" customFormat="false" ht="15" hidden="false" customHeight="false" outlineLevel="0" collapsed="false">
      <c r="A1475" s="12"/>
      <c r="B1475" s="13"/>
      <c r="C1475" s="14"/>
      <c r="D1475" s="14"/>
      <c r="E1475" s="13"/>
      <c r="F1475" s="15"/>
      <c r="G1475" s="16" t="str">
        <f aca="false">IF(OR(B1475="",A1475=""),"",C1475*IFERROR(INDEX(Kişiler!$B$5:$B$44,MATCH(B1475,Kişiler!$A$5:$A$44,0)),0)+D1475*IFERROR(INDEX(Kişiler!$C$5:$C$44,MATCH(B1475,Kişiler!$A$5:$A$44,0)),0))</f>
        <v/>
      </c>
    </row>
    <row r="1476" customFormat="false" ht="15" hidden="false" customHeight="false" outlineLevel="0" collapsed="false">
      <c r="A1476" s="12"/>
      <c r="B1476" s="13"/>
      <c r="C1476" s="14"/>
      <c r="D1476" s="14"/>
      <c r="E1476" s="13"/>
      <c r="F1476" s="15"/>
      <c r="G1476" s="16" t="str">
        <f aca="false">IF(OR(B1476="",A1476=""),"",C1476*IFERROR(INDEX(Kişiler!$B$5:$B$44,MATCH(B1476,Kişiler!$A$5:$A$44,0)),0)+D1476*IFERROR(INDEX(Kişiler!$C$5:$C$44,MATCH(B1476,Kişiler!$A$5:$A$44,0)),0))</f>
        <v/>
      </c>
    </row>
    <row r="1477" customFormat="false" ht="15" hidden="false" customHeight="false" outlineLevel="0" collapsed="false">
      <c r="A1477" s="12"/>
      <c r="B1477" s="13"/>
      <c r="C1477" s="14"/>
      <c r="D1477" s="14"/>
      <c r="E1477" s="13"/>
      <c r="F1477" s="15"/>
      <c r="G1477" s="16" t="str">
        <f aca="false">IF(OR(B1477="",A1477=""),"",C1477*IFERROR(INDEX(Kişiler!$B$5:$B$44,MATCH(B1477,Kişiler!$A$5:$A$44,0)),0)+D1477*IFERROR(INDEX(Kişiler!$C$5:$C$44,MATCH(B1477,Kişiler!$A$5:$A$44,0)),0))</f>
        <v/>
      </c>
    </row>
    <row r="1478" customFormat="false" ht="15" hidden="false" customHeight="false" outlineLevel="0" collapsed="false">
      <c r="A1478" s="12"/>
      <c r="B1478" s="13"/>
      <c r="C1478" s="14"/>
      <c r="D1478" s="14"/>
      <c r="E1478" s="13"/>
      <c r="F1478" s="15"/>
      <c r="G1478" s="16" t="str">
        <f aca="false">IF(OR(B1478="",A1478=""),"",C1478*IFERROR(INDEX(Kişiler!$B$5:$B$44,MATCH(B1478,Kişiler!$A$5:$A$44,0)),0)+D1478*IFERROR(INDEX(Kişiler!$C$5:$C$44,MATCH(B1478,Kişiler!$A$5:$A$44,0)),0))</f>
        <v/>
      </c>
    </row>
    <row r="1479" customFormat="false" ht="15" hidden="false" customHeight="false" outlineLevel="0" collapsed="false">
      <c r="A1479" s="12"/>
      <c r="B1479" s="13"/>
      <c r="C1479" s="14"/>
      <c r="D1479" s="14"/>
      <c r="E1479" s="13"/>
      <c r="F1479" s="15"/>
      <c r="G1479" s="16" t="str">
        <f aca="false">IF(OR(B1479="",A1479=""),"",C1479*IFERROR(INDEX(Kişiler!$B$5:$B$44,MATCH(B1479,Kişiler!$A$5:$A$44,0)),0)+D1479*IFERROR(INDEX(Kişiler!$C$5:$C$44,MATCH(B1479,Kişiler!$A$5:$A$44,0)),0))</f>
        <v/>
      </c>
    </row>
    <row r="1480" customFormat="false" ht="15" hidden="false" customHeight="false" outlineLevel="0" collapsed="false">
      <c r="A1480" s="12"/>
      <c r="B1480" s="13"/>
      <c r="C1480" s="14"/>
      <c r="D1480" s="14"/>
      <c r="E1480" s="13"/>
      <c r="F1480" s="15"/>
      <c r="G1480" s="16" t="str">
        <f aca="false">IF(OR(B1480="",A1480=""),"",C1480*IFERROR(INDEX(Kişiler!$B$5:$B$44,MATCH(B1480,Kişiler!$A$5:$A$44,0)),0)+D1480*IFERROR(INDEX(Kişiler!$C$5:$C$44,MATCH(B1480,Kişiler!$A$5:$A$44,0)),0))</f>
        <v/>
      </c>
    </row>
    <row r="1481" customFormat="false" ht="15" hidden="false" customHeight="false" outlineLevel="0" collapsed="false">
      <c r="A1481" s="12"/>
      <c r="B1481" s="13"/>
      <c r="C1481" s="14"/>
      <c r="D1481" s="14"/>
      <c r="E1481" s="13"/>
      <c r="F1481" s="15"/>
      <c r="G1481" s="16" t="str">
        <f aca="false">IF(OR(B1481="",A1481=""),"",C1481*IFERROR(INDEX(Kişiler!$B$5:$B$44,MATCH(B1481,Kişiler!$A$5:$A$44,0)),0)+D1481*IFERROR(INDEX(Kişiler!$C$5:$C$44,MATCH(B1481,Kişiler!$A$5:$A$44,0)),0))</f>
        <v/>
      </c>
    </row>
    <row r="1482" customFormat="false" ht="15" hidden="false" customHeight="false" outlineLevel="0" collapsed="false">
      <c r="A1482" s="12"/>
      <c r="B1482" s="13"/>
      <c r="C1482" s="14"/>
      <c r="D1482" s="14"/>
      <c r="E1482" s="13"/>
      <c r="F1482" s="15"/>
      <c r="G1482" s="16" t="str">
        <f aca="false">IF(OR(B1482="",A1482=""),"",C1482*IFERROR(INDEX(Kişiler!$B$5:$B$44,MATCH(B1482,Kişiler!$A$5:$A$44,0)),0)+D1482*IFERROR(INDEX(Kişiler!$C$5:$C$44,MATCH(B1482,Kişiler!$A$5:$A$44,0)),0))</f>
        <v/>
      </c>
    </row>
    <row r="1483" customFormat="false" ht="15" hidden="false" customHeight="false" outlineLevel="0" collapsed="false">
      <c r="A1483" s="12"/>
      <c r="B1483" s="13"/>
      <c r="C1483" s="14"/>
      <c r="D1483" s="14"/>
      <c r="E1483" s="13"/>
      <c r="F1483" s="15"/>
      <c r="G1483" s="16" t="str">
        <f aca="false">IF(OR(B1483="",A1483=""),"",C1483*IFERROR(INDEX(Kişiler!$B$5:$B$44,MATCH(B1483,Kişiler!$A$5:$A$44,0)),0)+D1483*IFERROR(INDEX(Kişiler!$C$5:$C$44,MATCH(B1483,Kişiler!$A$5:$A$44,0)),0))</f>
        <v/>
      </c>
    </row>
    <row r="1484" customFormat="false" ht="15" hidden="false" customHeight="false" outlineLevel="0" collapsed="false">
      <c r="A1484" s="12"/>
      <c r="B1484" s="13"/>
      <c r="C1484" s="14"/>
      <c r="D1484" s="14"/>
      <c r="E1484" s="13"/>
      <c r="F1484" s="15"/>
      <c r="G1484" s="16" t="str">
        <f aca="false">IF(OR(B1484="",A1484=""),"",C1484*IFERROR(INDEX(Kişiler!$B$5:$B$44,MATCH(B1484,Kişiler!$A$5:$A$44,0)),0)+D1484*IFERROR(INDEX(Kişiler!$C$5:$C$44,MATCH(B1484,Kişiler!$A$5:$A$44,0)),0))</f>
        <v/>
      </c>
    </row>
    <row r="1485" customFormat="false" ht="15" hidden="false" customHeight="false" outlineLevel="0" collapsed="false">
      <c r="A1485" s="12"/>
      <c r="B1485" s="13"/>
      <c r="C1485" s="14"/>
      <c r="D1485" s="14"/>
      <c r="E1485" s="13"/>
      <c r="F1485" s="15"/>
      <c r="G1485" s="16" t="str">
        <f aca="false">IF(OR(B1485="",A1485=""),"",C1485*IFERROR(INDEX(Kişiler!$B$5:$B$44,MATCH(B1485,Kişiler!$A$5:$A$44,0)),0)+D1485*IFERROR(INDEX(Kişiler!$C$5:$C$44,MATCH(B1485,Kişiler!$A$5:$A$44,0)),0))</f>
        <v/>
      </c>
    </row>
    <row r="1486" customFormat="false" ht="15" hidden="false" customHeight="false" outlineLevel="0" collapsed="false">
      <c r="A1486" s="12"/>
      <c r="B1486" s="13"/>
      <c r="C1486" s="14"/>
      <c r="D1486" s="14"/>
      <c r="E1486" s="13"/>
      <c r="F1486" s="15"/>
      <c r="G1486" s="16" t="str">
        <f aca="false">IF(OR(B1486="",A1486=""),"",C1486*IFERROR(INDEX(Kişiler!$B$5:$B$44,MATCH(B1486,Kişiler!$A$5:$A$44,0)),0)+D1486*IFERROR(INDEX(Kişiler!$C$5:$C$44,MATCH(B1486,Kişiler!$A$5:$A$44,0)),0))</f>
        <v/>
      </c>
    </row>
    <row r="1487" customFormat="false" ht="15" hidden="false" customHeight="false" outlineLevel="0" collapsed="false">
      <c r="A1487" s="12"/>
      <c r="B1487" s="13"/>
      <c r="C1487" s="14"/>
      <c r="D1487" s="14"/>
      <c r="E1487" s="13"/>
      <c r="F1487" s="15"/>
      <c r="G1487" s="16" t="str">
        <f aca="false">IF(OR(B1487="",A1487=""),"",C1487*IFERROR(INDEX(Kişiler!$B$5:$B$44,MATCH(B1487,Kişiler!$A$5:$A$44,0)),0)+D1487*IFERROR(INDEX(Kişiler!$C$5:$C$44,MATCH(B1487,Kişiler!$A$5:$A$44,0)),0))</f>
        <v/>
      </c>
    </row>
    <row r="1488" customFormat="false" ht="15" hidden="false" customHeight="false" outlineLevel="0" collapsed="false">
      <c r="A1488" s="12"/>
      <c r="B1488" s="13"/>
      <c r="C1488" s="14"/>
      <c r="D1488" s="14"/>
      <c r="E1488" s="13"/>
      <c r="F1488" s="15"/>
      <c r="G1488" s="16" t="str">
        <f aca="false">IF(OR(B1488="",A1488=""),"",C1488*IFERROR(INDEX(Kişiler!$B$5:$B$44,MATCH(B1488,Kişiler!$A$5:$A$44,0)),0)+D1488*IFERROR(INDEX(Kişiler!$C$5:$C$44,MATCH(B1488,Kişiler!$A$5:$A$44,0)),0))</f>
        <v/>
      </c>
    </row>
    <row r="1489" customFormat="false" ht="15" hidden="false" customHeight="false" outlineLevel="0" collapsed="false">
      <c r="A1489" s="12"/>
      <c r="B1489" s="13"/>
      <c r="C1489" s="14"/>
      <c r="D1489" s="14"/>
      <c r="E1489" s="13"/>
      <c r="F1489" s="15"/>
      <c r="G1489" s="16" t="str">
        <f aca="false">IF(OR(B1489="",A1489=""),"",C1489*IFERROR(INDEX(Kişiler!$B$5:$B$44,MATCH(B1489,Kişiler!$A$5:$A$44,0)),0)+D1489*IFERROR(INDEX(Kişiler!$C$5:$C$44,MATCH(B1489,Kişiler!$A$5:$A$44,0)),0))</f>
        <v/>
      </c>
    </row>
    <row r="1490" customFormat="false" ht="15" hidden="false" customHeight="false" outlineLevel="0" collapsed="false">
      <c r="A1490" s="12"/>
      <c r="B1490" s="13"/>
      <c r="C1490" s="14"/>
      <c r="D1490" s="14"/>
      <c r="E1490" s="13"/>
      <c r="F1490" s="15"/>
      <c r="G1490" s="16" t="str">
        <f aca="false">IF(OR(B1490="",A1490=""),"",C1490*IFERROR(INDEX(Kişiler!$B$5:$B$44,MATCH(B1490,Kişiler!$A$5:$A$44,0)),0)+D1490*IFERROR(INDEX(Kişiler!$C$5:$C$44,MATCH(B1490,Kişiler!$A$5:$A$44,0)),0))</f>
        <v/>
      </c>
    </row>
    <row r="1491" customFormat="false" ht="15" hidden="false" customHeight="false" outlineLevel="0" collapsed="false">
      <c r="A1491" s="12"/>
      <c r="B1491" s="13"/>
      <c r="C1491" s="14"/>
      <c r="D1491" s="14"/>
      <c r="E1491" s="13"/>
      <c r="F1491" s="15"/>
      <c r="G1491" s="16" t="str">
        <f aca="false">IF(OR(B1491="",A1491=""),"",C1491*IFERROR(INDEX(Kişiler!$B$5:$B$44,MATCH(B1491,Kişiler!$A$5:$A$44,0)),0)+D1491*IFERROR(INDEX(Kişiler!$C$5:$C$44,MATCH(B1491,Kişiler!$A$5:$A$44,0)),0))</f>
        <v/>
      </c>
    </row>
    <row r="1492" customFormat="false" ht="15" hidden="false" customHeight="false" outlineLevel="0" collapsed="false">
      <c r="A1492" s="12"/>
      <c r="B1492" s="13"/>
      <c r="C1492" s="14"/>
      <c r="D1492" s="14"/>
      <c r="E1492" s="13"/>
      <c r="F1492" s="15"/>
      <c r="G1492" s="16" t="str">
        <f aca="false">IF(OR(B1492="",A1492=""),"",C1492*IFERROR(INDEX(Kişiler!$B$5:$B$44,MATCH(B1492,Kişiler!$A$5:$A$44,0)),0)+D1492*IFERROR(INDEX(Kişiler!$C$5:$C$44,MATCH(B1492,Kişiler!$A$5:$A$44,0)),0))</f>
        <v/>
      </c>
    </row>
    <row r="1493" customFormat="false" ht="15" hidden="false" customHeight="false" outlineLevel="0" collapsed="false">
      <c r="A1493" s="12"/>
      <c r="B1493" s="13"/>
      <c r="C1493" s="14"/>
      <c r="D1493" s="14"/>
      <c r="E1493" s="13"/>
      <c r="F1493" s="15"/>
      <c r="G1493" s="16" t="str">
        <f aca="false">IF(OR(B1493="",A1493=""),"",C1493*IFERROR(INDEX(Kişiler!$B$5:$B$44,MATCH(B1493,Kişiler!$A$5:$A$44,0)),0)+D1493*IFERROR(INDEX(Kişiler!$C$5:$C$44,MATCH(B1493,Kişiler!$A$5:$A$44,0)),0))</f>
        <v/>
      </c>
    </row>
    <row r="1494" customFormat="false" ht="15" hidden="false" customHeight="false" outlineLevel="0" collapsed="false">
      <c r="A1494" s="12"/>
      <c r="B1494" s="13"/>
      <c r="C1494" s="14"/>
      <c r="D1494" s="14"/>
      <c r="E1494" s="13"/>
      <c r="F1494" s="15"/>
      <c r="G1494" s="16" t="str">
        <f aca="false">IF(OR(B1494="",A1494=""),"",C1494*IFERROR(INDEX(Kişiler!$B$5:$B$44,MATCH(B1494,Kişiler!$A$5:$A$44,0)),0)+D1494*IFERROR(INDEX(Kişiler!$C$5:$C$44,MATCH(B1494,Kişiler!$A$5:$A$44,0)),0))</f>
        <v/>
      </c>
    </row>
    <row r="1495" customFormat="false" ht="15" hidden="false" customHeight="false" outlineLevel="0" collapsed="false">
      <c r="A1495" s="12"/>
      <c r="B1495" s="13"/>
      <c r="C1495" s="14"/>
      <c r="D1495" s="14"/>
      <c r="E1495" s="13"/>
      <c r="F1495" s="15"/>
      <c r="G1495" s="16" t="str">
        <f aca="false">IF(OR(B1495="",A1495=""),"",C1495*IFERROR(INDEX(Kişiler!$B$5:$B$44,MATCH(B1495,Kişiler!$A$5:$A$44,0)),0)+D1495*IFERROR(INDEX(Kişiler!$C$5:$C$44,MATCH(B1495,Kişiler!$A$5:$A$44,0)),0))</f>
        <v/>
      </c>
    </row>
    <row r="1496" customFormat="false" ht="15" hidden="false" customHeight="false" outlineLevel="0" collapsed="false">
      <c r="A1496" s="12"/>
      <c r="B1496" s="13"/>
      <c r="C1496" s="14"/>
      <c r="D1496" s="14"/>
      <c r="E1496" s="13"/>
      <c r="F1496" s="15"/>
      <c r="G1496" s="16" t="str">
        <f aca="false">IF(OR(B1496="",A1496=""),"",C1496*IFERROR(INDEX(Kişiler!$B$5:$B$44,MATCH(B1496,Kişiler!$A$5:$A$44,0)),0)+D1496*IFERROR(INDEX(Kişiler!$C$5:$C$44,MATCH(B1496,Kişiler!$A$5:$A$44,0)),0))</f>
        <v/>
      </c>
    </row>
    <row r="1497" customFormat="false" ht="15" hidden="false" customHeight="false" outlineLevel="0" collapsed="false">
      <c r="A1497" s="12"/>
      <c r="B1497" s="13"/>
      <c r="C1497" s="14"/>
      <c r="D1497" s="14"/>
      <c r="E1497" s="13"/>
      <c r="F1497" s="15"/>
      <c r="G1497" s="16" t="str">
        <f aca="false">IF(OR(B1497="",A1497=""),"",C1497*IFERROR(INDEX(Kişiler!$B$5:$B$44,MATCH(B1497,Kişiler!$A$5:$A$44,0)),0)+D1497*IFERROR(INDEX(Kişiler!$C$5:$C$44,MATCH(B1497,Kişiler!$A$5:$A$44,0)),0))</f>
        <v/>
      </c>
    </row>
    <row r="1498" customFormat="false" ht="15" hidden="false" customHeight="false" outlineLevel="0" collapsed="false">
      <c r="A1498" s="12"/>
      <c r="B1498" s="13"/>
      <c r="C1498" s="14"/>
      <c r="D1498" s="14"/>
      <c r="E1498" s="13"/>
      <c r="F1498" s="15"/>
      <c r="G1498" s="16" t="str">
        <f aca="false">IF(OR(B1498="",A1498=""),"",C1498*IFERROR(INDEX(Kişiler!$B$5:$B$44,MATCH(B1498,Kişiler!$A$5:$A$44,0)),0)+D1498*IFERROR(INDEX(Kişiler!$C$5:$C$44,MATCH(B1498,Kişiler!$A$5:$A$44,0)),0))</f>
        <v/>
      </c>
    </row>
    <row r="1499" customFormat="false" ht="15" hidden="false" customHeight="false" outlineLevel="0" collapsed="false">
      <c r="A1499" s="12"/>
      <c r="B1499" s="13"/>
      <c r="C1499" s="14"/>
      <c r="D1499" s="14"/>
      <c r="E1499" s="13"/>
      <c r="F1499" s="15"/>
      <c r="G1499" s="16" t="str">
        <f aca="false">IF(OR(B1499="",A1499=""),"",C1499*IFERROR(INDEX(Kişiler!$B$5:$B$44,MATCH(B1499,Kişiler!$A$5:$A$44,0)),0)+D1499*IFERROR(INDEX(Kişiler!$C$5:$C$44,MATCH(B1499,Kişiler!$A$5:$A$44,0)),0))</f>
        <v/>
      </c>
    </row>
    <row r="1500" customFormat="false" ht="15" hidden="false" customHeight="false" outlineLevel="0" collapsed="false">
      <c r="A1500" s="12"/>
      <c r="B1500" s="13"/>
      <c r="C1500" s="14"/>
      <c r="D1500" s="14"/>
      <c r="E1500" s="13"/>
      <c r="F1500" s="15"/>
      <c r="G1500" s="16" t="str">
        <f aca="false">IF(OR(B1500="",A1500=""),"",C1500*IFERROR(INDEX(Kişiler!$B$5:$B$44,MATCH(B1500,Kişiler!$A$5:$A$44,0)),0)+D1500*IFERROR(INDEX(Kişiler!$C$5:$C$44,MATCH(B1500,Kişiler!$A$5:$A$44,0)),0))</f>
        <v/>
      </c>
    </row>
    <row r="1501" customFormat="false" ht="15" hidden="false" customHeight="false" outlineLevel="0" collapsed="false">
      <c r="A1501" s="12"/>
      <c r="B1501" s="13"/>
      <c r="C1501" s="14"/>
      <c r="D1501" s="14"/>
      <c r="E1501" s="13"/>
      <c r="F1501" s="15"/>
      <c r="G1501" s="16" t="str">
        <f aca="false">IF(OR(B1501="",A1501=""),"",C1501*IFERROR(INDEX(Kişiler!$B$5:$B$44,MATCH(B1501,Kişiler!$A$5:$A$44,0)),0)+D1501*IFERROR(INDEX(Kişiler!$C$5:$C$44,MATCH(B1501,Kişiler!$A$5:$A$44,0)),0))</f>
        <v/>
      </c>
    </row>
    <row r="1502" customFormat="false" ht="15" hidden="false" customHeight="false" outlineLevel="0" collapsed="false">
      <c r="A1502" s="12"/>
      <c r="B1502" s="13"/>
      <c r="C1502" s="14"/>
      <c r="D1502" s="14"/>
      <c r="E1502" s="13"/>
      <c r="F1502" s="15"/>
      <c r="G1502" s="16" t="str">
        <f aca="false">IF(OR(B1502="",A1502=""),"",C1502*IFERROR(INDEX(Kişiler!$B$5:$B$44,MATCH(B1502,Kişiler!$A$5:$A$44,0)),0)+D1502*IFERROR(INDEX(Kişiler!$C$5:$C$44,MATCH(B1502,Kişiler!$A$5:$A$44,0)),0))</f>
        <v/>
      </c>
    </row>
    <row r="1503" customFormat="false" ht="15" hidden="false" customHeight="false" outlineLevel="0" collapsed="false">
      <c r="A1503" s="12"/>
      <c r="B1503" s="13"/>
      <c r="C1503" s="14"/>
      <c r="D1503" s="14"/>
      <c r="E1503" s="13"/>
      <c r="F1503" s="15"/>
      <c r="G1503" s="16" t="str">
        <f aca="false">IF(OR(B1503="",A1503=""),"",C1503*IFERROR(INDEX(Kişiler!$B$5:$B$44,MATCH(B1503,Kişiler!$A$5:$A$44,0)),0)+D1503*IFERROR(INDEX(Kişiler!$C$5:$C$44,MATCH(B1503,Kişiler!$A$5:$A$44,0)),0))</f>
        <v/>
      </c>
    </row>
    <row r="1504" customFormat="false" ht="15" hidden="false" customHeight="false" outlineLevel="0" collapsed="false">
      <c r="A1504" s="12"/>
      <c r="B1504" s="13"/>
      <c r="C1504" s="14"/>
      <c r="D1504" s="14"/>
      <c r="E1504" s="13"/>
      <c r="F1504" s="15"/>
      <c r="G1504" s="16" t="str">
        <f aca="false">IF(OR(B1504="",A1504=""),"",C1504*IFERROR(INDEX(Kişiler!$B$5:$B$44,MATCH(B1504,Kişiler!$A$5:$A$44,0)),0)+D1504*IFERROR(INDEX(Kişiler!$C$5:$C$44,MATCH(B1504,Kişiler!$A$5:$A$44,0)),0))</f>
        <v/>
      </c>
    </row>
    <row r="1505" customFormat="false" ht="15" hidden="false" customHeight="false" outlineLevel="0" collapsed="false">
      <c r="A1505" s="12"/>
      <c r="B1505" s="13"/>
      <c r="C1505" s="14"/>
      <c r="D1505" s="14"/>
      <c r="E1505" s="13"/>
      <c r="F1505" s="15"/>
      <c r="G1505" s="16" t="str">
        <f aca="false">IF(OR(B1505="",A1505=""),"",C1505*IFERROR(INDEX(Kişiler!$B$5:$B$44,MATCH(B1505,Kişiler!$A$5:$A$44,0)),0)+D1505*IFERROR(INDEX(Kişiler!$C$5:$C$44,MATCH(B1505,Kişiler!$A$5:$A$44,0)),0))</f>
        <v/>
      </c>
    </row>
    <row r="1506" customFormat="false" ht="15" hidden="false" customHeight="false" outlineLevel="0" collapsed="false">
      <c r="A1506" s="12"/>
      <c r="B1506" s="13"/>
      <c r="C1506" s="14"/>
      <c r="D1506" s="14"/>
      <c r="E1506" s="13"/>
      <c r="F1506" s="15"/>
      <c r="G1506" s="16" t="str">
        <f aca="false">IF(OR(B1506="",A1506=""),"",C1506*IFERROR(INDEX(Kişiler!$B$5:$B$44,MATCH(B1506,Kişiler!$A$5:$A$44,0)),0)+D1506*IFERROR(INDEX(Kişiler!$C$5:$C$44,MATCH(B1506,Kişiler!$A$5:$A$44,0)),0))</f>
        <v/>
      </c>
    </row>
    <row r="1507" customFormat="false" ht="15" hidden="false" customHeight="false" outlineLevel="0" collapsed="false">
      <c r="A1507" s="12"/>
      <c r="B1507" s="13"/>
      <c r="C1507" s="14"/>
      <c r="D1507" s="14"/>
      <c r="E1507" s="13"/>
      <c r="F1507" s="15"/>
      <c r="G1507" s="16" t="str">
        <f aca="false">IF(OR(B1507="",A1507=""),"",C1507*IFERROR(INDEX(Kişiler!$B$5:$B$44,MATCH(B1507,Kişiler!$A$5:$A$44,0)),0)+D1507*IFERROR(INDEX(Kişiler!$C$5:$C$44,MATCH(B1507,Kişiler!$A$5:$A$44,0)),0))</f>
        <v/>
      </c>
    </row>
    <row r="1508" customFormat="false" ht="15" hidden="false" customHeight="false" outlineLevel="0" collapsed="false">
      <c r="A1508" s="12"/>
      <c r="B1508" s="13"/>
      <c r="C1508" s="14"/>
      <c r="D1508" s="14"/>
      <c r="E1508" s="13"/>
      <c r="F1508" s="15"/>
      <c r="G1508" s="16" t="str">
        <f aca="false">IF(OR(B1508="",A1508=""),"",C1508*IFERROR(INDEX(Kişiler!$B$5:$B$44,MATCH(B1508,Kişiler!$A$5:$A$44,0)),0)+D1508*IFERROR(INDEX(Kişiler!$C$5:$C$44,MATCH(B1508,Kişiler!$A$5:$A$44,0)),0))</f>
        <v/>
      </c>
    </row>
    <row r="1509" customFormat="false" ht="15" hidden="false" customHeight="false" outlineLevel="0" collapsed="false">
      <c r="A1509" s="12"/>
      <c r="B1509" s="13"/>
      <c r="C1509" s="14"/>
      <c r="D1509" s="14"/>
      <c r="E1509" s="13"/>
      <c r="F1509" s="15"/>
      <c r="G1509" s="16" t="str">
        <f aca="false">IF(OR(B1509="",A1509=""),"",C1509*IFERROR(INDEX(Kişiler!$B$5:$B$44,MATCH(B1509,Kişiler!$A$5:$A$44,0)),0)+D1509*IFERROR(INDEX(Kişiler!$C$5:$C$44,MATCH(B1509,Kişiler!$A$5:$A$44,0)),0))</f>
        <v/>
      </c>
    </row>
    <row r="1510" customFormat="false" ht="15" hidden="false" customHeight="false" outlineLevel="0" collapsed="false">
      <c r="A1510" s="12"/>
      <c r="B1510" s="13"/>
      <c r="C1510" s="14"/>
      <c r="D1510" s="14"/>
      <c r="E1510" s="13"/>
      <c r="F1510" s="15"/>
      <c r="G1510" s="16" t="str">
        <f aca="false">IF(OR(B1510="",A1510=""),"",C1510*IFERROR(INDEX(Kişiler!$B$5:$B$44,MATCH(B1510,Kişiler!$A$5:$A$44,0)),0)+D1510*IFERROR(INDEX(Kişiler!$C$5:$C$44,MATCH(B1510,Kişiler!$A$5:$A$44,0)),0))</f>
        <v/>
      </c>
    </row>
    <row r="1511" customFormat="false" ht="15" hidden="false" customHeight="false" outlineLevel="0" collapsed="false">
      <c r="A1511" s="12"/>
      <c r="B1511" s="13"/>
      <c r="C1511" s="14"/>
      <c r="D1511" s="14"/>
      <c r="E1511" s="13"/>
      <c r="F1511" s="15"/>
      <c r="G1511" s="16" t="str">
        <f aca="false">IF(OR(B1511="",A1511=""),"",C1511*IFERROR(INDEX(Kişiler!$B$5:$B$44,MATCH(B1511,Kişiler!$A$5:$A$44,0)),0)+D1511*IFERROR(INDEX(Kişiler!$C$5:$C$44,MATCH(B1511,Kişiler!$A$5:$A$44,0)),0))</f>
        <v/>
      </c>
    </row>
    <row r="1512" customFormat="false" ht="15" hidden="false" customHeight="false" outlineLevel="0" collapsed="false">
      <c r="A1512" s="12"/>
      <c r="B1512" s="13"/>
      <c r="C1512" s="14"/>
      <c r="D1512" s="14"/>
      <c r="E1512" s="13"/>
      <c r="F1512" s="15"/>
      <c r="G1512" s="16" t="str">
        <f aca="false">IF(OR(B1512="",A1512=""),"",C1512*IFERROR(INDEX(Kişiler!$B$5:$B$44,MATCH(B1512,Kişiler!$A$5:$A$44,0)),0)+D1512*IFERROR(INDEX(Kişiler!$C$5:$C$44,MATCH(B1512,Kişiler!$A$5:$A$44,0)),0))</f>
        <v/>
      </c>
    </row>
    <row r="1513" customFormat="false" ht="15" hidden="false" customHeight="false" outlineLevel="0" collapsed="false">
      <c r="A1513" s="12"/>
      <c r="B1513" s="13"/>
      <c r="C1513" s="14"/>
      <c r="D1513" s="14"/>
      <c r="E1513" s="13"/>
      <c r="F1513" s="15"/>
      <c r="G1513" s="16" t="str">
        <f aca="false">IF(OR(B1513="",A1513=""),"",C1513*IFERROR(INDEX(Kişiler!$B$5:$B$44,MATCH(B1513,Kişiler!$A$5:$A$44,0)),0)+D1513*IFERROR(INDEX(Kişiler!$C$5:$C$44,MATCH(B1513,Kişiler!$A$5:$A$44,0)),0))</f>
        <v/>
      </c>
    </row>
    <row r="1514" customFormat="false" ht="15" hidden="false" customHeight="false" outlineLevel="0" collapsed="false">
      <c r="A1514" s="12"/>
      <c r="B1514" s="13"/>
      <c r="C1514" s="14"/>
      <c r="D1514" s="14"/>
      <c r="E1514" s="13"/>
      <c r="F1514" s="15"/>
      <c r="G1514" s="16" t="str">
        <f aca="false">IF(OR(B1514="",A1514=""),"",C1514*IFERROR(INDEX(Kişiler!$B$5:$B$44,MATCH(B1514,Kişiler!$A$5:$A$44,0)),0)+D1514*IFERROR(INDEX(Kişiler!$C$5:$C$44,MATCH(B1514,Kişiler!$A$5:$A$44,0)),0))</f>
        <v/>
      </c>
    </row>
    <row r="1515" customFormat="false" ht="15" hidden="false" customHeight="false" outlineLevel="0" collapsed="false">
      <c r="A1515" s="12"/>
      <c r="B1515" s="13"/>
      <c r="C1515" s="14"/>
      <c r="D1515" s="14"/>
      <c r="E1515" s="13"/>
      <c r="F1515" s="15"/>
      <c r="G1515" s="16" t="str">
        <f aca="false">IF(OR(B1515="",A1515=""),"",C1515*IFERROR(INDEX(Kişiler!$B$5:$B$44,MATCH(B1515,Kişiler!$A$5:$A$44,0)),0)+D1515*IFERROR(INDEX(Kişiler!$C$5:$C$44,MATCH(B1515,Kişiler!$A$5:$A$44,0)),0))</f>
        <v/>
      </c>
    </row>
    <row r="1516" customFormat="false" ht="15" hidden="false" customHeight="false" outlineLevel="0" collapsed="false">
      <c r="A1516" s="12"/>
      <c r="B1516" s="13"/>
      <c r="C1516" s="14"/>
      <c r="D1516" s="14"/>
      <c r="E1516" s="13"/>
      <c r="F1516" s="15"/>
      <c r="G1516" s="16" t="str">
        <f aca="false">IF(OR(B1516="",A1516=""),"",C1516*IFERROR(INDEX(Kişiler!$B$5:$B$44,MATCH(B1516,Kişiler!$A$5:$A$44,0)),0)+D1516*IFERROR(INDEX(Kişiler!$C$5:$C$44,MATCH(B1516,Kişiler!$A$5:$A$44,0)),0))</f>
        <v/>
      </c>
    </row>
    <row r="1517" customFormat="false" ht="15" hidden="false" customHeight="false" outlineLevel="0" collapsed="false">
      <c r="A1517" s="12"/>
      <c r="B1517" s="13"/>
      <c r="C1517" s="14"/>
      <c r="D1517" s="14"/>
      <c r="E1517" s="13"/>
      <c r="F1517" s="15"/>
      <c r="G1517" s="16" t="str">
        <f aca="false">IF(OR(B1517="",A1517=""),"",C1517*IFERROR(INDEX(Kişiler!$B$5:$B$44,MATCH(B1517,Kişiler!$A$5:$A$44,0)),0)+D1517*IFERROR(INDEX(Kişiler!$C$5:$C$44,MATCH(B1517,Kişiler!$A$5:$A$44,0)),0))</f>
        <v/>
      </c>
    </row>
    <row r="1518" customFormat="false" ht="15" hidden="false" customHeight="false" outlineLevel="0" collapsed="false">
      <c r="A1518" s="12"/>
      <c r="B1518" s="13"/>
      <c r="C1518" s="14"/>
      <c r="D1518" s="14"/>
      <c r="E1518" s="13"/>
      <c r="F1518" s="15"/>
      <c r="G1518" s="16" t="str">
        <f aca="false">IF(OR(B1518="",A1518=""),"",C1518*IFERROR(INDEX(Kişiler!$B$5:$B$44,MATCH(B1518,Kişiler!$A$5:$A$44,0)),0)+D1518*IFERROR(INDEX(Kişiler!$C$5:$C$44,MATCH(B1518,Kişiler!$A$5:$A$44,0)),0))</f>
        <v/>
      </c>
    </row>
    <row r="1519" customFormat="false" ht="15" hidden="false" customHeight="false" outlineLevel="0" collapsed="false">
      <c r="A1519" s="12"/>
      <c r="B1519" s="13"/>
      <c r="C1519" s="14"/>
      <c r="D1519" s="14"/>
      <c r="E1519" s="13"/>
      <c r="F1519" s="15"/>
      <c r="G1519" s="16" t="str">
        <f aca="false">IF(OR(B1519="",A1519=""),"",C1519*IFERROR(INDEX(Kişiler!$B$5:$B$44,MATCH(B1519,Kişiler!$A$5:$A$44,0)),0)+D1519*IFERROR(INDEX(Kişiler!$C$5:$C$44,MATCH(B1519,Kişiler!$A$5:$A$44,0)),0))</f>
        <v/>
      </c>
    </row>
    <row r="1520" customFormat="false" ht="15" hidden="false" customHeight="false" outlineLevel="0" collapsed="false">
      <c r="A1520" s="12"/>
      <c r="B1520" s="13"/>
      <c r="C1520" s="14"/>
      <c r="D1520" s="14"/>
      <c r="E1520" s="13"/>
      <c r="F1520" s="15"/>
      <c r="G1520" s="16" t="str">
        <f aca="false">IF(OR(B1520="",A1520=""),"",C1520*IFERROR(INDEX(Kişiler!$B$5:$B$44,MATCH(B1520,Kişiler!$A$5:$A$44,0)),0)+D1520*IFERROR(INDEX(Kişiler!$C$5:$C$44,MATCH(B1520,Kişiler!$A$5:$A$44,0)),0))</f>
        <v/>
      </c>
    </row>
    <row r="1521" customFormat="false" ht="15" hidden="false" customHeight="false" outlineLevel="0" collapsed="false">
      <c r="A1521" s="12"/>
      <c r="B1521" s="13"/>
      <c r="C1521" s="14"/>
      <c r="D1521" s="14"/>
      <c r="E1521" s="13"/>
      <c r="F1521" s="15"/>
      <c r="G1521" s="16" t="str">
        <f aca="false">IF(OR(B1521="",A1521=""),"",C1521*IFERROR(INDEX(Kişiler!$B$5:$B$44,MATCH(B1521,Kişiler!$A$5:$A$44,0)),0)+D1521*IFERROR(INDEX(Kişiler!$C$5:$C$44,MATCH(B1521,Kişiler!$A$5:$A$44,0)),0))</f>
        <v/>
      </c>
    </row>
    <row r="1522" customFormat="false" ht="15" hidden="false" customHeight="false" outlineLevel="0" collapsed="false">
      <c r="A1522" s="12"/>
      <c r="B1522" s="13"/>
      <c r="C1522" s="14"/>
      <c r="D1522" s="14"/>
      <c r="E1522" s="13"/>
      <c r="F1522" s="15"/>
      <c r="G1522" s="16" t="str">
        <f aca="false">IF(OR(B1522="",A1522=""),"",C1522*IFERROR(INDEX(Kişiler!$B$5:$B$44,MATCH(B1522,Kişiler!$A$5:$A$44,0)),0)+D1522*IFERROR(INDEX(Kişiler!$C$5:$C$44,MATCH(B1522,Kişiler!$A$5:$A$44,0)),0))</f>
        <v/>
      </c>
    </row>
    <row r="1523" customFormat="false" ht="15" hidden="false" customHeight="false" outlineLevel="0" collapsed="false">
      <c r="A1523" s="12"/>
      <c r="B1523" s="13"/>
      <c r="C1523" s="14"/>
      <c r="D1523" s="14"/>
      <c r="E1523" s="13"/>
      <c r="F1523" s="15"/>
      <c r="G1523" s="16" t="str">
        <f aca="false">IF(OR(B1523="",A1523=""),"",C1523*IFERROR(INDEX(Kişiler!$B$5:$B$44,MATCH(B1523,Kişiler!$A$5:$A$44,0)),0)+D1523*IFERROR(INDEX(Kişiler!$C$5:$C$44,MATCH(B1523,Kişiler!$A$5:$A$44,0)),0))</f>
        <v/>
      </c>
    </row>
    <row r="1524" customFormat="false" ht="15" hidden="false" customHeight="false" outlineLevel="0" collapsed="false">
      <c r="A1524" s="12"/>
      <c r="B1524" s="13"/>
      <c r="C1524" s="14"/>
      <c r="D1524" s="14"/>
      <c r="E1524" s="13"/>
      <c r="F1524" s="15"/>
      <c r="G1524" s="16" t="str">
        <f aca="false">IF(OR(B1524="",A1524=""),"",C1524*IFERROR(INDEX(Kişiler!$B$5:$B$44,MATCH(B1524,Kişiler!$A$5:$A$44,0)),0)+D1524*IFERROR(INDEX(Kişiler!$C$5:$C$44,MATCH(B1524,Kişiler!$A$5:$A$44,0)),0))</f>
        <v/>
      </c>
    </row>
    <row r="1525" customFormat="false" ht="15" hidden="false" customHeight="false" outlineLevel="0" collapsed="false">
      <c r="A1525" s="12"/>
      <c r="B1525" s="13"/>
      <c r="C1525" s="14"/>
      <c r="D1525" s="14"/>
      <c r="E1525" s="13"/>
      <c r="F1525" s="15"/>
      <c r="G1525" s="16" t="str">
        <f aca="false">IF(OR(B1525="",A1525=""),"",C1525*IFERROR(INDEX(Kişiler!$B$5:$B$44,MATCH(B1525,Kişiler!$A$5:$A$44,0)),0)+D1525*IFERROR(INDEX(Kişiler!$C$5:$C$44,MATCH(B1525,Kişiler!$A$5:$A$44,0)),0))</f>
        <v/>
      </c>
    </row>
    <row r="1526" customFormat="false" ht="15" hidden="false" customHeight="false" outlineLevel="0" collapsed="false">
      <c r="A1526" s="12"/>
      <c r="B1526" s="13"/>
      <c r="C1526" s="14"/>
      <c r="D1526" s="14"/>
      <c r="E1526" s="13"/>
      <c r="F1526" s="15"/>
      <c r="G1526" s="16" t="str">
        <f aca="false">IF(OR(B1526="",A1526=""),"",C1526*IFERROR(INDEX(Kişiler!$B$5:$B$44,MATCH(B1526,Kişiler!$A$5:$A$44,0)),0)+D1526*IFERROR(INDEX(Kişiler!$C$5:$C$44,MATCH(B1526,Kişiler!$A$5:$A$44,0)),0))</f>
        <v/>
      </c>
    </row>
    <row r="1527" customFormat="false" ht="15" hidden="false" customHeight="false" outlineLevel="0" collapsed="false">
      <c r="A1527" s="12"/>
      <c r="B1527" s="13"/>
      <c r="C1527" s="14"/>
      <c r="D1527" s="14"/>
      <c r="E1527" s="13"/>
      <c r="F1527" s="15"/>
      <c r="G1527" s="16" t="str">
        <f aca="false">IF(OR(B1527="",A1527=""),"",C1527*IFERROR(INDEX(Kişiler!$B$5:$B$44,MATCH(B1527,Kişiler!$A$5:$A$44,0)),0)+D1527*IFERROR(INDEX(Kişiler!$C$5:$C$44,MATCH(B1527,Kişiler!$A$5:$A$44,0)),0))</f>
        <v/>
      </c>
    </row>
    <row r="1528" customFormat="false" ht="15" hidden="false" customHeight="false" outlineLevel="0" collapsed="false">
      <c r="A1528" s="12"/>
      <c r="B1528" s="13"/>
      <c r="C1528" s="14"/>
      <c r="D1528" s="14"/>
      <c r="E1528" s="13"/>
      <c r="F1528" s="15"/>
      <c r="G1528" s="16" t="str">
        <f aca="false">IF(OR(B1528="",A1528=""),"",C1528*IFERROR(INDEX(Kişiler!$B$5:$B$44,MATCH(B1528,Kişiler!$A$5:$A$44,0)),0)+D1528*IFERROR(INDEX(Kişiler!$C$5:$C$44,MATCH(B1528,Kişiler!$A$5:$A$44,0)),0))</f>
        <v/>
      </c>
    </row>
    <row r="1529" customFormat="false" ht="15" hidden="false" customHeight="false" outlineLevel="0" collapsed="false">
      <c r="A1529" s="12"/>
      <c r="B1529" s="13"/>
      <c r="C1529" s="14"/>
      <c r="D1529" s="14"/>
      <c r="E1529" s="13"/>
      <c r="F1529" s="15"/>
      <c r="G1529" s="16" t="str">
        <f aca="false">IF(OR(B1529="",A1529=""),"",C1529*IFERROR(INDEX(Kişiler!$B$5:$B$44,MATCH(B1529,Kişiler!$A$5:$A$44,0)),0)+D1529*IFERROR(INDEX(Kişiler!$C$5:$C$44,MATCH(B1529,Kişiler!$A$5:$A$44,0)),0))</f>
        <v/>
      </c>
    </row>
    <row r="1530" customFormat="false" ht="15" hidden="false" customHeight="false" outlineLevel="0" collapsed="false">
      <c r="A1530" s="12"/>
      <c r="B1530" s="13"/>
      <c r="C1530" s="14"/>
      <c r="D1530" s="14"/>
      <c r="E1530" s="13"/>
      <c r="F1530" s="15"/>
      <c r="G1530" s="16" t="str">
        <f aca="false">IF(OR(B1530="",A1530=""),"",C1530*IFERROR(INDEX(Kişiler!$B$5:$B$44,MATCH(B1530,Kişiler!$A$5:$A$44,0)),0)+D1530*IFERROR(INDEX(Kişiler!$C$5:$C$44,MATCH(B1530,Kişiler!$A$5:$A$44,0)),0))</f>
        <v/>
      </c>
    </row>
    <row r="1531" customFormat="false" ht="15" hidden="false" customHeight="false" outlineLevel="0" collapsed="false">
      <c r="A1531" s="12"/>
      <c r="B1531" s="13"/>
      <c r="C1531" s="14"/>
      <c r="D1531" s="14"/>
      <c r="E1531" s="13"/>
      <c r="F1531" s="15"/>
      <c r="G1531" s="16" t="str">
        <f aca="false">IF(OR(B1531="",A1531=""),"",C1531*IFERROR(INDEX(Kişiler!$B$5:$B$44,MATCH(B1531,Kişiler!$A$5:$A$44,0)),0)+D1531*IFERROR(INDEX(Kişiler!$C$5:$C$44,MATCH(B1531,Kişiler!$A$5:$A$44,0)),0))</f>
        <v/>
      </c>
    </row>
    <row r="1532" customFormat="false" ht="15" hidden="false" customHeight="false" outlineLevel="0" collapsed="false">
      <c r="A1532" s="12"/>
      <c r="B1532" s="13"/>
      <c r="C1532" s="14"/>
      <c r="D1532" s="14"/>
      <c r="E1532" s="13"/>
      <c r="F1532" s="15"/>
      <c r="G1532" s="16" t="str">
        <f aca="false">IF(OR(B1532="",A1532=""),"",C1532*IFERROR(INDEX(Kişiler!$B$5:$B$44,MATCH(B1532,Kişiler!$A$5:$A$44,0)),0)+D1532*IFERROR(INDEX(Kişiler!$C$5:$C$44,MATCH(B1532,Kişiler!$A$5:$A$44,0)),0))</f>
        <v/>
      </c>
    </row>
    <row r="1533" customFormat="false" ht="15" hidden="false" customHeight="false" outlineLevel="0" collapsed="false">
      <c r="A1533" s="12"/>
      <c r="B1533" s="13"/>
      <c r="C1533" s="14"/>
      <c r="D1533" s="14"/>
      <c r="E1533" s="13"/>
      <c r="F1533" s="15"/>
      <c r="G1533" s="16" t="str">
        <f aca="false">IF(OR(B1533="",A1533=""),"",C1533*IFERROR(INDEX(Kişiler!$B$5:$B$44,MATCH(B1533,Kişiler!$A$5:$A$44,0)),0)+D1533*IFERROR(INDEX(Kişiler!$C$5:$C$44,MATCH(B1533,Kişiler!$A$5:$A$44,0)),0))</f>
        <v/>
      </c>
    </row>
    <row r="1534" customFormat="false" ht="15" hidden="false" customHeight="false" outlineLevel="0" collapsed="false">
      <c r="A1534" s="12"/>
      <c r="B1534" s="13"/>
      <c r="C1534" s="14"/>
      <c r="D1534" s="14"/>
      <c r="E1534" s="13"/>
      <c r="F1534" s="15"/>
      <c r="G1534" s="16" t="str">
        <f aca="false">IF(OR(B1534="",A1534=""),"",C1534*IFERROR(INDEX(Kişiler!$B$5:$B$44,MATCH(B1534,Kişiler!$A$5:$A$44,0)),0)+D1534*IFERROR(INDEX(Kişiler!$C$5:$C$44,MATCH(B1534,Kişiler!$A$5:$A$44,0)),0))</f>
        <v/>
      </c>
    </row>
    <row r="1535" customFormat="false" ht="15" hidden="false" customHeight="false" outlineLevel="0" collapsed="false">
      <c r="A1535" s="12"/>
      <c r="B1535" s="13"/>
      <c r="C1535" s="14"/>
      <c r="D1535" s="14"/>
      <c r="E1535" s="13"/>
      <c r="F1535" s="15"/>
      <c r="G1535" s="16" t="str">
        <f aca="false">IF(OR(B1535="",A1535=""),"",C1535*IFERROR(INDEX(Kişiler!$B$5:$B$44,MATCH(B1535,Kişiler!$A$5:$A$44,0)),0)+D1535*IFERROR(INDEX(Kişiler!$C$5:$C$44,MATCH(B1535,Kişiler!$A$5:$A$44,0)),0))</f>
        <v/>
      </c>
    </row>
    <row r="1536" customFormat="false" ht="15" hidden="false" customHeight="false" outlineLevel="0" collapsed="false">
      <c r="A1536" s="12"/>
      <c r="B1536" s="13"/>
      <c r="C1536" s="14"/>
      <c r="D1536" s="14"/>
      <c r="E1536" s="13"/>
      <c r="F1536" s="15"/>
      <c r="G1536" s="16" t="str">
        <f aca="false">IF(OR(B1536="",A1536=""),"",C1536*IFERROR(INDEX(Kişiler!$B$5:$B$44,MATCH(B1536,Kişiler!$A$5:$A$44,0)),0)+D1536*IFERROR(INDEX(Kişiler!$C$5:$C$44,MATCH(B1536,Kişiler!$A$5:$A$44,0)),0))</f>
        <v/>
      </c>
    </row>
    <row r="1537" customFormat="false" ht="15" hidden="false" customHeight="false" outlineLevel="0" collapsed="false">
      <c r="A1537" s="12"/>
      <c r="B1537" s="13"/>
      <c r="C1537" s="14"/>
      <c r="D1537" s="14"/>
      <c r="E1537" s="13"/>
      <c r="F1537" s="15"/>
      <c r="G1537" s="16" t="str">
        <f aca="false">IF(OR(B1537="",A1537=""),"",C1537*IFERROR(INDEX(Kişiler!$B$5:$B$44,MATCH(B1537,Kişiler!$A$5:$A$44,0)),0)+D1537*IFERROR(INDEX(Kişiler!$C$5:$C$44,MATCH(B1537,Kişiler!$A$5:$A$44,0)),0))</f>
        <v/>
      </c>
    </row>
    <row r="1538" customFormat="false" ht="15" hidden="false" customHeight="false" outlineLevel="0" collapsed="false">
      <c r="A1538" s="12"/>
      <c r="B1538" s="13"/>
      <c r="C1538" s="14"/>
      <c r="D1538" s="14"/>
      <c r="E1538" s="13"/>
      <c r="F1538" s="15"/>
      <c r="G1538" s="16" t="str">
        <f aca="false">IF(OR(B1538="",A1538=""),"",C1538*IFERROR(INDEX(Kişiler!$B$5:$B$44,MATCH(B1538,Kişiler!$A$5:$A$44,0)),0)+D1538*IFERROR(INDEX(Kişiler!$C$5:$C$44,MATCH(B1538,Kişiler!$A$5:$A$44,0)),0))</f>
        <v/>
      </c>
    </row>
    <row r="1539" customFormat="false" ht="15" hidden="false" customHeight="false" outlineLevel="0" collapsed="false">
      <c r="A1539" s="12"/>
      <c r="B1539" s="13"/>
      <c r="C1539" s="14"/>
      <c r="D1539" s="14"/>
      <c r="E1539" s="13"/>
      <c r="F1539" s="15"/>
      <c r="G1539" s="16" t="str">
        <f aca="false">IF(OR(B1539="",A1539=""),"",C1539*IFERROR(INDEX(Kişiler!$B$5:$B$44,MATCH(B1539,Kişiler!$A$5:$A$44,0)),0)+D1539*IFERROR(INDEX(Kişiler!$C$5:$C$44,MATCH(B1539,Kişiler!$A$5:$A$44,0)),0))</f>
        <v/>
      </c>
    </row>
    <row r="1540" customFormat="false" ht="15" hidden="false" customHeight="false" outlineLevel="0" collapsed="false">
      <c r="A1540" s="12"/>
      <c r="B1540" s="13"/>
      <c r="C1540" s="14"/>
      <c r="D1540" s="14"/>
      <c r="E1540" s="13"/>
      <c r="F1540" s="15"/>
      <c r="G1540" s="16" t="str">
        <f aca="false">IF(OR(B1540="",A1540=""),"",C1540*IFERROR(INDEX(Kişiler!$B$5:$B$44,MATCH(B1540,Kişiler!$A$5:$A$44,0)),0)+D1540*IFERROR(INDEX(Kişiler!$C$5:$C$44,MATCH(B1540,Kişiler!$A$5:$A$44,0)),0))</f>
        <v/>
      </c>
    </row>
    <row r="1541" customFormat="false" ht="15" hidden="false" customHeight="false" outlineLevel="0" collapsed="false">
      <c r="A1541" s="12"/>
      <c r="B1541" s="13"/>
      <c r="C1541" s="14"/>
      <c r="D1541" s="14"/>
      <c r="E1541" s="13"/>
      <c r="F1541" s="15"/>
      <c r="G1541" s="16" t="str">
        <f aca="false">IF(OR(B1541="",A1541=""),"",C1541*IFERROR(INDEX(Kişiler!$B$5:$B$44,MATCH(B1541,Kişiler!$A$5:$A$44,0)),0)+D1541*IFERROR(INDEX(Kişiler!$C$5:$C$44,MATCH(B1541,Kişiler!$A$5:$A$44,0)),0))</f>
        <v/>
      </c>
    </row>
    <row r="1542" customFormat="false" ht="15" hidden="false" customHeight="false" outlineLevel="0" collapsed="false">
      <c r="A1542" s="12"/>
      <c r="B1542" s="13"/>
      <c r="C1542" s="14"/>
      <c r="D1542" s="14"/>
      <c r="E1542" s="13"/>
      <c r="F1542" s="15"/>
      <c r="G1542" s="16" t="str">
        <f aca="false">IF(OR(B1542="",A1542=""),"",C1542*IFERROR(INDEX(Kişiler!$B$5:$B$44,MATCH(B1542,Kişiler!$A$5:$A$44,0)),0)+D1542*IFERROR(INDEX(Kişiler!$C$5:$C$44,MATCH(B1542,Kişiler!$A$5:$A$44,0)),0))</f>
        <v/>
      </c>
    </row>
    <row r="1543" customFormat="false" ht="15" hidden="false" customHeight="false" outlineLevel="0" collapsed="false">
      <c r="A1543" s="12"/>
      <c r="B1543" s="13"/>
      <c r="C1543" s="14"/>
      <c r="D1543" s="14"/>
      <c r="E1543" s="13"/>
      <c r="F1543" s="15"/>
      <c r="G1543" s="16" t="str">
        <f aca="false">IF(OR(B1543="",A1543=""),"",C1543*IFERROR(INDEX(Kişiler!$B$5:$B$44,MATCH(B1543,Kişiler!$A$5:$A$44,0)),0)+D1543*IFERROR(INDEX(Kişiler!$C$5:$C$44,MATCH(B1543,Kişiler!$A$5:$A$44,0)),0))</f>
        <v/>
      </c>
    </row>
    <row r="1544" customFormat="false" ht="15" hidden="false" customHeight="false" outlineLevel="0" collapsed="false">
      <c r="A1544" s="12"/>
      <c r="B1544" s="13"/>
      <c r="C1544" s="14"/>
      <c r="D1544" s="14"/>
      <c r="E1544" s="13"/>
      <c r="F1544" s="15"/>
      <c r="G1544" s="16" t="str">
        <f aca="false">IF(OR(B1544="",A1544=""),"",C1544*IFERROR(INDEX(Kişiler!$B$5:$B$44,MATCH(B1544,Kişiler!$A$5:$A$44,0)),0)+D1544*IFERROR(INDEX(Kişiler!$C$5:$C$44,MATCH(B1544,Kişiler!$A$5:$A$44,0)),0))</f>
        <v/>
      </c>
    </row>
    <row r="1545" customFormat="false" ht="15" hidden="false" customHeight="false" outlineLevel="0" collapsed="false">
      <c r="A1545" s="12"/>
      <c r="B1545" s="13"/>
      <c r="C1545" s="14"/>
      <c r="D1545" s="14"/>
      <c r="E1545" s="13"/>
      <c r="F1545" s="15"/>
      <c r="G1545" s="16" t="str">
        <f aca="false">IF(OR(B1545="",A1545=""),"",C1545*IFERROR(INDEX(Kişiler!$B$5:$B$44,MATCH(B1545,Kişiler!$A$5:$A$44,0)),0)+D1545*IFERROR(INDEX(Kişiler!$C$5:$C$44,MATCH(B1545,Kişiler!$A$5:$A$44,0)),0))</f>
        <v/>
      </c>
    </row>
    <row r="1546" customFormat="false" ht="15" hidden="false" customHeight="false" outlineLevel="0" collapsed="false">
      <c r="A1546" s="12"/>
      <c r="B1546" s="13"/>
      <c r="C1546" s="14"/>
      <c r="D1546" s="14"/>
      <c r="E1546" s="13"/>
      <c r="F1546" s="15"/>
      <c r="G1546" s="16" t="str">
        <f aca="false">IF(OR(B1546="",A1546=""),"",C1546*IFERROR(INDEX(Kişiler!$B$5:$B$44,MATCH(B1546,Kişiler!$A$5:$A$44,0)),0)+D1546*IFERROR(INDEX(Kişiler!$C$5:$C$44,MATCH(B1546,Kişiler!$A$5:$A$44,0)),0))</f>
        <v/>
      </c>
    </row>
    <row r="1547" customFormat="false" ht="15" hidden="false" customHeight="false" outlineLevel="0" collapsed="false">
      <c r="A1547" s="12"/>
      <c r="B1547" s="13"/>
      <c r="C1547" s="14"/>
      <c r="D1547" s="14"/>
      <c r="E1547" s="13"/>
      <c r="F1547" s="15"/>
      <c r="G1547" s="16" t="str">
        <f aca="false">IF(OR(B1547="",A1547=""),"",C1547*IFERROR(INDEX(Kişiler!$B$5:$B$44,MATCH(B1547,Kişiler!$A$5:$A$44,0)),0)+D1547*IFERROR(INDEX(Kişiler!$C$5:$C$44,MATCH(B1547,Kişiler!$A$5:$A$44,0)),0))</f>
        <v/>
      </c>
    </row>
    <row r="1548" customFormat="false" ht="15" hidden="false" customHeight="false" outlineLevel="0" collapsed="false">
      <c r="A1548" s="12"/>
      <c r="B1548" s="13"/>
      <c r="C1548" s="14"/>
      <c r="D1548" s="14"/>
      <c r="E1548" s="13"/>
      <c r="F1548" s="15"/>
      <c r="G1548" s="16" t="str">
        <f aca="false">IF(OR(B1548="",A1548=""),"",C1548*IFERROR(INDEX(Kişiler!$B$5:$B$44,MATCH(B1548,Kişiler!$A$5:$A$44,0)),0)+D1548*IFERROR(INDEX(Kişiler!$C$5:$C$44,MATCH(B1548,Kişiler!$A$5:$A$44,0)),0))</f>
        <v/>
      </c>
    </row>
    <row r="1549" customFormat="false" ht="15" hidden="false" customHeight="false" outlineLevel="0" collapsed="false">
      <c r="A1549" s="12"/>
      <c r="B1549" s="13"/>
      <c r="C1549" s="14"/>
      <c r="D1549" s="14"/>
      <c r="E1549" s="13"/>
      <c r="F1549" s="15"/>
      <c r="G1549" s="16" t="str">
        <f aca="false">IF(OR(B1549="",A1549=""),"",C1549*IFERROR(INDEX(Kişiler!$B$5:$B$44,MATCH(B1549,Kişiler!$A$5:$A$44,0)),0)+D1549*IFERROR(INDEX(Kişiler!$C$5:$C$44,MATCH(B1549,Kişiler!$A$5:$A$44,0)),0))</f>
        <v/>
      </c>
    </row>
    <row r="1550" customFormat="false" ht="15" hidden="false" customHeight="false" outlineLevel="0" collapsed="false">
      <c r="A1550" s="12"/>
      <c r="B1550" s="13"/>
      <c r="C1550" s="14"/>
      <c r="D1550" s="14"/>
      <c r="E1550" s="13"/>
      <c r="F1550" s="15"/>
      <c r="G1550" s="16" t="str">
        <f aca="false">IF(OR(B1550="",A1550=""),"",C1550*IFERROR(INDEX(Kişiler!$B$5:$B$44,MATCH(B1550,Kişiler!$A$5:$A$44,0)),0)+D1550*IFERROR(INDEX(Kişiler!$C$5:$C$44,MATCH(B1550,Kişiler!$A$5:$A$44,0)),0))</f>
        <v/>
      </c>
    </row>
    <row r="1551" customFormat="false" ht="15" hidden="false" customHeight="false" outlineLevel="0" collapsed="false">
      <c r="A1551" s="12"/>
      <c r="B1551" s="13"/>
      <c r="C1551" s="14"/>
      <c r="D1551" s="14"/>
      <c r="E1551" s="13"/>
      <c r="F1551" s="15"/>
      <c r="G1551" s="16" t="str">
        <f aca="false">IF(OR(B1551="",A1551=""),"",C1551*IFERROR(INDEX(Kişiler!$B$5:$B$44,MATCH(B1551,Kişiler!$A$5:$A$44,0)),0)+D1551*IFERROR(INDEX(Kişiler!$C$5:$C$44,MATCH(B1551,Kişiler!$A$5:$A$44,0)),0))</f>
        <v/>
      </c>
    </row>
    <row r="1552" customFormat="false" ht="15" hidden="false" customHeight="false" outlineLevel="0" collapsed="false">
      <c r="A1552" s="12"/>
      <c r="B1552" s="13"/>
      <c r="C1552" s="14"/>
      <c r="D1552" s="14"/>
      <c r="E1552" s="13"/>
      <c r="F1552" s="15"/>
      <c r="G1552" s="16" t="str">
        <f aca="false">IF(OR(B1552="",A1552=""),"",C1552*IFERROR(INDEX(Kişiler!$B$5:$B$44,MATCH(B1552,Kişiler!$A$5:$A$44,0)),0)+D1552*IFERROR(INDEX(Kişiler!$C$5:$C$44,MATCH(B1552,Kişiler!$A$5:$A$44,0)),0))</f>
        <v/>
      </c>
    </row>
    <row r="1553" customFormat="false" ht="15" hidden="false" customHeight="false" outlineLevel="0" collapsed="false">
      <c r="A1553" s="12"/>
      <c r="B1553" s="13"/>
      <c r="C1553" s="14"/>
      <c r="D1553" s="14"/>
      <c r="E1553" s="13"/>
      <c r="F1553" s="15"/>
      <c r="G1553" s="16" t="str">
        <f aca="false">IF(OR(B1553="",A1553=""),"",C1553*IFERROR(INDEX(Kişiler!$B$5:$B$44,MATCH(B1553,Kişiler!$A$5:$A$44,0)),0)+D1553*IFERROR(INDEX(Kişiler!$C$5:$C$44,MATCH(B1553,Kişiler!$A$5:$A$44,0)),0))</f>
        <v/>
      </c>
    </row>
    <row r="1554" customFormat="false" ht="15" hidden="false" customHeight="false" outlineLevel="0" collapsed="false">
      <c r="A1554" s="12"/>
      <c r="B1554" s="13"/>
      <c r="C1554" s="14"/>
      <c r="D1554" s="14"/>
      <c r="E1554" s="13"/>
      <c r="F1554" s="15"/>
      <c r="G1554" s="16" t="str">
        <f aca="false">IF(OR(B1554="",A1554=""),"",C1554*IFERROR(INDEX(Kişiler!$B$5:$B$44,MATCH(B1554,Kişiler!$A$5:$A$44,0)),0)+D1554*IFERROR(INDEX(Kişiler!$C$5:$C$44,MATCH(B1554,Kişiler!$A$5:$A$44,0)),0))</f>
        <v/>
      </c>
    </row>
    <row r="1555" customFormat="false" ht="15" hidden="false" customHeight="false" outlineLevel="0" collapsed="false">
      <c r="A1555" s="12"/>
      <c r="B1555" s="13"/>
      <c r="C1555" s="14"/>
      <c r="D1555" s="14"/>
      <c r="E1555" s="13"/>
      <c r="F1555" s="15"/>
      <c r="G1555" s="16" t="str">
        <f aca="false">IF(OR(B1555="",A1555=""),"",C1555*IFERROR(INDEX(Kişiler!$B$5:$B$44,MATCH(B1555,Kişiler!$A$5:$A$44,0)),0)+D1555*IFERROR(INDEX(Kişiler!$C$5:$C$44,MATCH(B1555,Kişiler!$A$5:$A$44,0)),0))</f>
        <v/>
      </c>
    </row>
    <row r="1556" customFormat="false" ht="15" hidden="false" customHeight="false" outlineLevel="0" collapsed="false">
      <c r="A1556" s="12"/>
      <c r="B1556" s="13"/>
      <c r="C1556" s="14"/>
      <c r="D1556" s="14"/>
      <c r="E1556" s="13"/>
      <c r="F1556" s="15"/>
      <c r="G1556" s="16" t="str">
        <f aca="false">IF(OR(B1556="",A1556=""),"",C1556*IFERROR(INDEX(Kişiler!$B$5:$B$44,MATCH(B1556,Kişiler!$A$5:$A$44,0)),0)+D1556*IFERROR(INDEX(Kişiler!$C$5:$C$44,MATCH(B1556,Kişiler!$A$5:$A$44,0)),0))</f>
        <v/>
      </c>
    </row>
    <row r="1557" customFormat="false" ht="15" hidden="false" customHeight="false" outlineLevel="0" collapsed="false">
      <c r="A1557" s="12"/>
      <c r="B1557" s="13"/>
      <c r="C1557" s="14"/>
      <c r="D1557" s="14"/>
      <c r="E1557" s="13"/>
      <c r="F1557" s="15"/>
      <c r="G1557" s="16" t="str">
        <f aca="false">IF(OR(B1557="",A1557=""),"",C1557*IFERROR(INDEX(Kişiler!$B$5:$B$44,MATCH(B1557,Kişiler!$A$5:$A$44,0)),0)+D1557*IFERROR(INDEX(Kişiler!$C$5:$C$44,MATCH(B1557,Kişiler!$A$5:$A$44,0)),0))</f>
        <v/>
      </c>
    </row>
    <row r="1558" customFormat="false" ht="15" hidden="false" customHeight="false" outlineLevel="0" collapsed="false">
      <c r="A1558" s="12"/>
      <c r="B1558" s="13"/>
      <c r="C1558" s="14"/>
      <c r="D1558" s="14"/>
      <c r="E1558" s="13"/>
      <c r="F1558" s="15"/>
      <c r="G1558" s="16" t="str">
        <f aca="false">IF(OR(B1558="",A1558=""),"",C1558*IFERROR(INDEX(Kişiler!$B$5:$B$44,MATCH(B1558,Kişiler!$A$5:$A$44,0)),0)+D1558*IFERROR(INDEX(Kişiler!$C$5:$C$44,MATCH(B1558,Kişiler!$A$5:$A$44,0)),0))</f>
        <v/>
      </c>
    </row>
    <row r="1559" customFormat="false" ht="15" hidden="false" customHeight="false" outlineLevel="0" collapsed="false">
      <c r="A1559" s="12"/>
      <c r="B1559" s="13"/>
      <c r="C1559" s="14"/>
      <c r="D1559" s="14"/>
      <c r="E1559" s="13"/>
      <c r="F1559" s="15"/>
      <c r="G1559" s="16" t="str">
        <f aca="false">IF(OR(B1559="",A1559=""),"",C1559*IFERROR(INDEX(Kişiler!$B$5:$B$44,MATCH(B1559,Kişiler!$A$5:$A$44,0)),0)+D1559*IFERROR(INDEX(Kişiler!$C$5:$C$44,MATCH(B1559,Kişiler!$A$5:$A$44,0)),0))</f>
        <v/>
      </c>
    </row>
    <row r="1560" customFormat="false" ht="15" hidden="false" customHeight="false" outlineLevel="0" collapsed="false">
      <c r="A1560" s="12"/>
      <c r="B1560" s="13"/>
      <c r="C1560" s="14"/>
      <c r="D1560" s="14"/>
      <c r="E1560" s="13"/>
      <c r="F1560" s="15"/>
      <c r="G1560" s="16" t="str">
        <f aca="false">IF(OR(B1560="",A1560=""),"",C1560*IFERROR(INDEX(Kişiler!$B$5:$B$44,MATCH(B1560,Kişiler!$A$5:$A$44,0)),0)+D1560*IFERROR(INDEX(Kişiler!$C$5:$C$44,MATCH(B1560,Kişiler!$A$5:$A$44,0)),0))</f>
        <v/>
      </c>
    </row>
    <row r="1561" customFormat="false" ht="15" hidden="false" customHeight="false" outlineLevel="0" collapsed="false">
      <c r="A1561" s="12"/>
      <c r="B1561" s="13"/>
      <c r="C1561" s="14"/>
      <c r="D1561" s="14"/>
      <c r="E1561" s="13"/>
      <c r="F1561" s="15"/>
      <c r="G1561" s="16" t="str">
        <f aca="false">IF(OR(B1561="",A1561=""),"",C1561*IFERROR(INDEX(Kişiler!$B$5:$B$44,MATCH(B1561,Kişiler!$A$5:$A$44,0)),0)+D1561*IFERROR(INDEX(Kişiler!$C$5:$C$44,MATCH(B1561,Kişiler!$A$5:$A$44,0)),0))</f>
        <v/>
      </c>
    </row>
    <row r="1562" customFormat="false" ht="15" hidden="false" customHeight="false" outlineLevel="0" collapsed="false">
      <c r="A1562" s="12"/>
      <c r="B1562" s="13"/>
      <c r="C1562" s="14"/>
      <c r="D1562" s="14"/>
      <c r="E1562" s="13"/>
      <c r="F1562" s="15"/>
      <c r="G1562" s="16" t="str">
        <f aca="false">IF(OR(B1562="",A1562=""),"",C1562*IFERROR(INDEX(Kişiler!$B$5:$B$44,MATCH(B1562,Kişiler!$A$5:$A$44,0)),0)+D1562*IFERROR(INDEX(Kişiler!$C$5:$C$44,MATCH(B1562,Kişiler!$A$5:$A$44,0)),0))</f>
        <v/>
      </c>
    </row>
    <row r="1563" customFormat="false" ht="15" hidden="false" customHeight="false" outlineLevel="0" collapsed="false">
      <c r="A1563" s="12"/>
      <c r="B1563" s="13"/>
      <c r="C1563" s="14"/>
      <c r="D1563" s="14"/>
      <c r="E1563" s="13"/>
      <c r="F1563" s="15"/>
      <c r="G1563" s="16" t="str">
        <f aca="false">IF(OR(B1563="",A1563=""),"",C1563*IFERROR(INDEX(Kişiler!$B$5:$B$44,MATCH(B1563,Kişiler!$A$5:$A$44,0)),0)+D1563*IFERROR(INDEX(Kişiler!$C$5:$C$44,MATCH(B1563,Kişiler!$A$5:$A$44,0)),0))</f>
        <v/>
      </c>
    </row>
    <row r="1564" customFormat="false" ht="15" hidden="false" customHeight="false" outlineLevel="0" collapsed="false">
      <c r="A1564" s="12"/>
      <c r="B1564" s="13"/>
      <c r="C1564" s="14"/>
      <c r="D1564" s="14"/>
      <c r="E1564" s="13"/>
      <c r="F1564" s="15"/>
      <c r="G1564" s="16" t="str">
        <f aca="false">IF(OR(B1564="",A1564=""),"",C1564*IFERROR(INDEX(Kişiler!$B$5:$B$44,MATCH(B1564,Kişiler!$A$5:$A$44,0)),0)+D1564*IFERROR(INDEX(Kişiler!$C$5:$C$44,MATCH(B1564,Kişiler!$A$5:$A$44,0)),0))</f>
        <v/>
      </c>
    </row>
    <row r="1565" customFormat="false" ht="15" hidden="false" customHeight="false" outlineLevel="0" collapsed="false">
      <c r="A1565" s="12"/>
      <c r="B1565" s="13"/>
      <c r="C1565" s="14"/>
      <c r="D1565" s="14"/>
      <c r="E1565" s="13"/>
      <c r="F1565" s="15"/>
      <c r="G1565" s="16" t="str">
        <f aca="false">IF(OR(B1565="",A1565=""),"",C1565*IFERROR(INDEX(Kişiler!$B$5:$B$44,MATCH(B1565,Kişiler!$A$5:$A$44,0)),0)+D1565*IFERROR(INDEX(Kişiler!$C$5:$C$44,MATCH(B1565,Kişiler!$A$5:$A$44,0)),0))</f>
        <v/>
      </c>
    </row>
    <row r="1566" customFormat="false" ht="15" hidden="false" customHeight="false" outlineLevel="0" collapsed="false">
      <c r="A1566" s="12"/>
      <c r="B1566" s="13"/>
      <c r="C1566" s="14"/>
      <c r="D1566" s="14"/>
      <c r="E1566" s="13"/>
      <c r="F1566" s="15"/>
      <c r="G1566" s="16" t="str">
        <f aca="false">IF(OR(B1566="",A1566=""),"",C1566*IFERROR(INDEX(Kişiler!$B$5:$B$44,MATCH(B1566,Kişiler!$A$5:$A$44,0)),0)+D1566*IFERROR(INDEX(Kişiler!$C$5:$C$44,MATCH(B1566,Kişiler!$A$5:$A$44,0)),0))</f>
        <v/>
      </c>
    </row>
    <row r="1567" customFormat="false" ht="15" hidden="false" customHeight="false" outlineLevel="0" collapsed="false">
      <c r="A1567" s="12"/>
      <c r="B1567" s="13"/>
      <c r="C1567" s="14"/>
      <c r="D1567" s="14"/>
      <c r="E1567" s="13"/>
      <c r="F1567" s="15"/>
      <c r="G1567" s="16" t="str">
        <f aca="false">IF(OR(B1567="",A1567=""),"",C1567*IFERROR(INDEX(Kişiler!$B$5:$B$44,MATCH(B1567,Kişiler!$A$5:$A$44,0)),0)+D1567*IFERROR(INDEX(Kişiler!$C$5:$C$44,MATCH(B1567,Kişiler!$A$5:$A$44,0)),0))</f>
        <v/>
      </c>
    </row>
    <row r="1568" customFormat="false" ht="15" hidden="false" customHeight="false" outlineLevel="0" collapsed="false">
      <c r="A1568" s="12"/>
      <c r="B1568" s="13"/>
      <c r="C1568" s="14"/>
      <c r="D1568" s="14"/>
      <c r="E1568" s="13"/>
      <c r="F1568" s="15"/>
      <c r="G1568" s="16" t="str">
        <f aca="false">IF(OR(B1568="",A1568=""),"",C1568*IFERROR(INDEX(Kişiler!$B$5:$B$44,MATCH(B1568,Kişiler!$A$5:$A$44,0)),0)+D1568*IFERROR(INDEX(Kişiler!$C$5:$C$44,MATCH(B1568,Kişiler!$A$5:$A$44,0)),0))</f>
        <v/>
      </c>
    </row>
    <row r="1569" customFormat="false" ht="15" hidden="false" customHeight="false" outlineLevel="0" collapsed="false">
      <c r="A1569" s="12"/>
      <c r="B1569" s="13"/>
      <c r="C1569" s="14"/>
      <c r="D1569" s="14"/>
      <c r="E1569" s="13"/>
      <c r="F1569" s="15"/>
      <c r="G1569" s="16" t="str">
        <f aca="false">IF(OR(B1569="",A1569=""),"",C1569*IFERROR(INDEX(Kişiler!$B$5:$B$44,MATCH(B1569,Kişiler!$A$5:$A$44,0)),0)+D1569*IFERROR(INDEX(Kişiler!$C$5:$C$44,MATCH(B1569,Kişiler!$A$5:$A$44,0)),0))</f>
        <v/>
      </c>
    </row>
    <row r="1570" customFormat="false" ht="15" hidden="false" customHeight="false" outlineLevel="0" collapsed="false">
      <c r="A1570" s="12"/>
      <c r="B1570" s="13"/>
      <c r="C1570" s="14"/>
      <c r="D1570" s="14"/>
      <c r="E1570" s="13"/>
      <c r="F1570" s="15"/>
      <c r="G1570" s="16" t="str">
        <f aca="false">IF(OR(B1570="",A1570=""),"",C1570*IFERROR(INDEX(Kişiler!$B$5:$B$44,MATCH(B1570,Kişiler!$A$5:$A$44,0)),0)+D1570*IFERROR(INDEX(Kişiler!$C$5:$C$44,MATCH(B1570,Kişiler!$A$5:$A$44,0)),0))</f>
        <v/>
      </c>
    </row>
    <row r="1571" customFormat="false" ht="15" hidden="false" customHeight="false" outlineLevel="0" collapsed="false">
      <c r="A1571" s="12"/>
      <c r="B1571" s="13"/>
      <c r="C1571" s="14"/>
      <c r="D1571" s="14"/>
      <c r="E1571" s="13"/>
      <c r="F1571" s="15"/>
      <c r="G1571" s="16" t="str">
        <f aca="false">IF(OR(B1571="",A1571=""),"",C1571*IFERROR(INDEX(Kişiler!$B$5:$B$44,MATCH(B1571,Kişiler!$A$5:$A$44,0)),0)+D1571*IFERROR(INDEX(Kişiler!$C$5:$C$44,MATCH(B1571,Kişiler!$A$5:$A$44,0)),0))</f>
        <v/>
      </c>
    </row>
    <row r="1572" customFormat="false" ht="15" hidden="false" customHeight="false" outlineLevel="0" collapsed="false">
      <c r="A1572" s="12"/>
      <c r="B1572" s="13"/>
      <c r="C1572" s="14"/>
      <c r="D1572" s="14"/>
      <c r="E1572" s="13"/>
      <c r="F1572" s="15"/>
      <c r="G1572" s="16" t="str">
        <f aca="false">IF(OR(B1572="",A1572=""),"",C1572*IFERROR(INDEX(Kişiler!$B$5:$B$44,MATCH(B1572,Kişiler!$A$5:$A$44,0)),0)+D1572*IFERROR(INDEX(Kişiler!$C$5:$C$44,MATCH(B1572,Kişiler!$A$5:$A$44,0)),0))</f>
        <v/>
      </c>
    </row>
    <row r="1573" customFormat="false" ht="15" hidden="false" customHeight="false" outlineLevel="0" collapsed="false">
      <c r="A1573" s="12"/>
      <c r="B1573" s="13"/>
      <c r="C1573" s="14"/>
      <c r="D1573" s="14"/>
      <c r="E1573" s="13"/>
      <c r="F1573" s="15"/>
      <c r="G1573" s="16" t="str">
        <f aca="false">IF(OR(B1573="",A1573=""),"",C1573*IFERROR(INDEX(Kişiler!$B$5:$B$44,MATCH(B1573,Kişiler!$A$5:$A$44,0)),0)+D1573*IFERROR(INDEX(Kişiler!$C$5:$C$44,MATCH(B1573,Kişiler!$A$5:$A$44,0)),0))</f>
        <v/>
      </c>
    </row>
    <row r="1574" customFormat="false" ht="15" hidden="false" customHeight="false" outlineLevel="0" collapsed="false">
      <c r="A1574" s="12"/>
      <c r="B1574" s="13"/>
      <c r="C1574" s="14"/>
      <c r="D1574" s="14"/>
      <c r="E1574" s="13"/>
      <c r="F1574" s="15"/>
      <c r="G1574" s="16" t="str">
        <f aca="false">IF(OR(B1574="",A1574=""),"",C1574*IFERROR(INDEX(Kişiler!$B$5:$B$44,MATCH(B1574,Kişiler!$A$5:$A$44,0)),0)+D1574*IFERROR(INDEX(Kişiler!$C$5:$C$44,MATCH(B1574,Kişiler!$A$5:$A$44,0)),0))</f>
        <v/>
      </c>
    </row>
    <row r="1575" customFormat="false" ht="15" hidden="false" customHeight="false" outlineLevel="0" collapsed="false">
      <c r="A1575" s="12"/>
      <c r="B1575" s="13"/>
      <c r="C1575" s="14"/>
      <c r="D1575" s="14"/>
      <c r="E1575" s="13"/>
      <c r="F1575" s="15"/>
      <c r="G1575" s="16" t="str">
        <f aca="false">IF(OR(B1575="",A1575=""),"",C1575*IFERROR(INDEX(Kişiler!$B$5:$B$44,MATCH(B1575,Kişiler!$A$5:$A$44,0)),0)+D1575*IFERROR(INDEX(Kişiler!$C$5:$C$44,MATCH(B1575,Kişiler!$A$5:$A$44,0)),0))</f>
        <v/>
      </c>
    </row>
    <row r="1576" customFormat="false" ht="15" hidden="false" customHeight="false" outlineLevel="0" collapsed="false">
      <c r="A1576" s="12"/>
      <c r="B1576" s="13"/>
      <c r="C1576" s="14"/>
      <c r="D1576" s="14"/>
      <c r="E1576" s="13"/>
      <c r="F1576" s="15"/>
      <c r="G1576" s="16" t="str">
        <f aca="false">IF(OR(B1576="",A1576=""),"",C1576*IFERROR(INDEX(Kişiler!$B$5:$B$44,MATCH(B1576,Kişiler!$A$5:$A$44,0)),0)+D1576*IFERROR(INDEX(Kişiler!$C$5:$C$44,MATCH(B1576,Kişiler!$A$5:$A$44,0)),0))</f>
        <v/>
      </c>
    </row>
    <row r="1577" customFormat="false" ht="15" hidden="false" customHeight="false" outlineLevel="0" collapsed="false">
      <c r="A1577" s="12"/>
      <c r="B1577" s="13"/>
      <c r="C1577" s="14"/>
      <c r="D1577" s="14"/>
      <c r="E1577" s="13"/>
      <c r="F1577" s="15"/>
      <c r="G1577" s="16" t="str">
        <f aca="false">IF(OR(B1577="",A1577=""),"",C1577*IFERROR(INDEX(Kişiler!$B$5:$B$44,MATCH(B1577,Kişiler!$A$5:$A$44,0)),0)+D1577*IFERROR(INDEX(Kişiler!$C$5:$C$44,MATCH(B1577,Kişiler!$A$5:$A$44,0)),0))</f>
        <v/>
      </c>
    </row>
    <row r="1578" customFormat="false" ht="15" hidden="false" customHeight="false" outlineLevel="0" collapsed="false">
      <c r="A1578" s="12"/>
      <c r="B1578" s="13"/>
      <c r="C1578" s="14"/>
      <c r="D1578" s="14"/>
      <c r="E1578" s="13"/>
      <c r="F1578" s="15"/>
      <c r="G1578" s="16" t="str">
        <f aca="false">IF(OR(B1578="",A1578=""),"",C1578*IFERROR(INDEX(Kişiler!$B$5:$B$44,MATCH(B1578,Kişiler!$A$5:$A$44,0)),0)+D1578*IFERROR(INDEX(Kişiler!$C$5:$C$44,MATCH(B1578,Kişiler!$A$5:$A$44,0)),0))</f>
        <v/>
      </c>
    </row>
    <row r="1579" customFormat="false" ht="15" hidden="false" customHeight="false" outlineLevel="0" collapsed="false">
      <c r="A1579" s="12"/>
      <c r="B1579" s="13"/>
      <c r="C1579" s="14"/>
      <c r="D1579" s="14"/>
      <c r="E1579" s="13"/>
      <c r="F1579" s="15"/>
      <c r="G1579" s="16" t="str">
        <f aca="false">IF(OR(B1579="",A1579=""),"",C1579*IFERROR(INDEX(Kişiler!$B$5:$B$44,MATCH(B1579,Kişiler!$A$5:$A$44,0)),0)+D1579*IFERROR(INDEX(Kişiler!$C$5:$C$44,MATCH(B1579,Kişiler!$A$5:$A$44,0)),0))</f>
        <v/>
      </c>
    </row>
    <row r="1580" customFormat="false" ht="15" hidden="false" customHeight="false" outlineLevel="0" collapsed="false">
      <c r="A1580" s="12"/>
      <c r="B1580" s="13"/>
      <c r="C1580" s="14"/>
      <c r="D1580" s="14"/>
      <c r="E1580" s="13"/>
      <c r="F1580" s="15"/>
      <c r="G1580" s="16" t="str">
        <f aca="false">IF(OR(B1580="",A1580=""),"",C1580*IFERROR(INDEX(Kişiler!$B$5:$B$44,MATCH(B1580,Kişiler!$A$5:$A$44,0)),0)+D1580*IFERROR(INDEX(Kişiler!$C$5:$C$44,MATCH(B1580,Kişiler!$A$5:$A$44,0)),0))</f>
        <v/>
      </c>
    </row>
    <row r="1581" customFormat="false" ht="15" hidden="false" customHeight="false" outlineLevel="0" collapsed="false">
      <c r="A1581" s="12"/>
      <c r="B1581" s="13"/>
      <c r="C1581" s="14"/>
      <c r="D1581" s="14"/>
      <c r="E1581" s="13"/>
      <c r="F1581" s="15"/>
      <c r="G1581" s="16" t="str">
        <f aca="false">IF(OR(B1581="",A1581=""),"",C1581*IFERROR(INDEX(Kişiler!$B$5:$B$44,MATCH(B1581,Kişiler!$A$5:$A$44,0)),0)+D1581*IFERROR(INDEX(Kişiler!$C$5:$C$44,MATCH(B1581,Kişiler!$A$5:$A$44,0)),0))</f>
        <v/>
      </c>
    </row>
    <row r="1582" customFormat="false" ht="15" hidden="false" customHeight="false" outlineLevel="0" collapsed="false">
      <c r="A1582" s="12"/>
      <c r="B1582" s="13"/>
      <c r="C1582" s="14"/>
      <c r="D1582" s="14"/>
      <c r="E1582" s="13"/>
      <c r="F1582" s="15"/>
      <c r="G1582" s="16" t="str">
        <f aca="false">IF(OR(B1582="",A1582=""),"",C1582*IFERROR(INDEX(Kişiler!$B$5:$B$44,MATCH(B1582,Kişiler!$A$5:$A$44,0)),0)+D1582*IFERROR(INDEX(Kişiler!$C$5:$C$44,MATCH(B1582,Kişiler!$A$5:$A$44,0)),0))</f>
        <v/>
      </c>
    </row>
    <row r="1583" customFormat="false" ht="15" hidden="false" customHeight="false" outlineLevel="0" collapsed="false">
      <c r="A1583" s="12"/>
      <c r="B1583" s="13"/>
      <c r="C1583" s="14"/>
      <c r="D1583" s="14"/>
      <c r="E1583" s="13"/>
      <c r="F1583" s="15"/>
      <c r="G1583" s="16" t="str">
        <f aca="false">IF(OR(B1583="",A1583=""),"",C1583*IFERROR(INDEX(Kişiler!$B$5:$B$44,MATCH(B1583,Kişiler!$A$5:$A$44,0)),0)+D1583*IFERROR(INDEX(Kişiler!$C$5:$C$44,MATCH(B1583,Kişiler!$A$5:$A$44,0)),0))</f>
        <v/>
      </c>
    </row>
    <row r="1584" customFormat="false" ht="15" hidden="false" customHeight="false" outlineLevel="0" collapsed="false">
      <c r="A1584" s="12"/>
      <c r="B1584" s="13"/>
      <c r="C1584" s="14"/>
      <c r="D1584" s="14"/>
      <c r="E1584" s="13"/>
      <c r="F1584" s="15"/>
      <c r="G1584" s="16" t="str">
        <f aca="false">IF(OR(B1584="",A1584=""),"",C1584*IFERROR(INDEX(Kişiler!$B$5:$B$44,MATCH(B1584,Kişiler!$A$5:$A$44,0)),0)+D1584*IFERROR(INDEX(Kişiler!$C$5:$C$44,MATCH(B1584,Kişiler!$A$5:$A$44,0)),0))</f>
        <v/>
      </c>
    </row>
    <row r="1585" customFormat="false" ht="15" hidden="false" customHeight="false" outlineLevel="0" collapsed="false">
      <c r="A1585" s="12"/>
      <c r="B1585" s="13"/>
      <c r="C1585" s="14"/>
      <c r="D1585" s="14"/>
      <c r="E1585" s="13"/>
      <c r="F1585" s="15"/>
      <c r="G1585" s="16" t="str">
        <f aca="false">IF(OR(B1585="",A1585=""),"",C1585*IFERROR(INDEX(Kişiler!$B$5:$B$44,MATCH(B1585,Kişiler!$A$5:$A$44,0)),0)+D1585*IFERROR(INDEX(Kişiler!$C$5:$C$44,MATCH(B1585,Kişiler!$A$5:$A$44,0)),0))</f>
        <v/>
      </c>
    </row>
    <row r="1586" customFormat="false" ht="15" hidden="false" customHeight="false" outlineLevel="0" collapsed="false">
      <c r="A1586" s="12"/>
      <c r="B1586" s="13"/>
      <c r="C1586" s="14"/>
      <c r="D1586" s="14"/>
      <c r="E1586" s="13"/>
      <c r="F1586" s="15"/>
      <c r="G1586" s="16" t="str">
        <f aca="false">IF(OR(B1586="",A1586=""),"",C1586*IFERROR(INDEX(Kişiler!$B$5:$B$44,MATCH(B1586,Kişiler!$A$5:$A$44,0)),0)+D1586*IFERROR(INDEX(Kişiler!$C$5:$C$44,MATCH(B1586,Kişiler!$A$5:$A$44,0)),0))</f>
        <v/>
      </c>
    </row>
    <row r="1587" customFormat="false" ht="15" hidden="false" customHeight="false" outlineLevel="0" collapsed="false">
      <c r="A1587" s="12"/>
      <c r="B1587" s="13"/>
      <c r="C1587" s="14"/>
      <c r="D1587" s="14"/>
      <c r="E1587" s="13"/>
      <c r="F1587" s="15"/>
      <c r="G1587" s="16" t="str">
        <f aca="false">IF(OR(B1587="",A1587=""),"",C1587*IFERROR(INDEX(Kişiler!$B$5:$B$44,MATCH(B1587,Kişiler!$A$5:$A$44,0)),0)+D1587*IFERROR(INDEX(Kişiler!$C$5:$C$44,MATCH(B1587,Kişiler!$A$5:$A$44,0)),0))</f>
        <v/>
      </c>
    </row>
    <row r="1588" customFormat="false" ht="15" hidden="false" customHeight="false" outlineLevel="0" collapsed="false">
      <c r="A1588" s="12"/>
      <c r="B1588" s="13"/>
      <c r="C1588" s="14"/>
      <c r="D1588" s="14"/>
      <c r="E1588" s="13"/>
      <c r="F1588" s="15"/>
      <c r="G1588" s="16" t="str">
        <f aca="false">IF(OR(B1588="",A1588=""),"",C1588*IFERROR(INDEX(Kişiler!$B$5:$B$44,MATCH(B1588,Kişiler!$A$5:$A$44,0)),0)+D1588*IFERROR(INDEX(Kişiler!$C$5:$C$44,MATCH(B1588,Kişiler!$A$5:$A$44,0)),0))</f>
        <v/>
      </c>
    </row>
    <row r="1589" customFormat="false" ht="15" hidden="false" customHeight="false" outlineLevel="0" collapsed="false">
      <c r="A1589" s="12"/>
      <c r="B1589" s="13"/>
      <c r="C1589" s="14"/>
      <c r="D1589" s="14"/>
      <c r="E1589" s="13"/>
      <c r="F1589" s="15"/>
      <c r="G1589" s="16" t="str">
        <f aca="false">IF(OR(B1589="",A1589=""),"",C1589*IFERROR(INDEX(Kişiler!$B$5:$B$44,MATCH(B1589,Kişiler!$A$5:$A$44,0)),0)+D1589*IFERROR(INDEX(Kişiler!$C$5:$C$44,MATCH(B1589,Kişiler!$A$5:$A$44,0)),0))</f>
        <v/>
      </c>
    </row>
    <row r="1590" customFormat="false" ht="15" hidden="false" customHeight="false" outlineLevel="0" collapsed="false">
      <c r="A1590" s="12"/>
      <c r="B1590" s="13"/>
      <c r="C1590" s="14"/>
      <c r="D1590" s="14"/>
      <c r="E1590" s="13"/>
      <c r="F1590" s="15"/>
      <c r="G1590" s="16" t="str">
        <f aca="false">IF(OR(B1590="",A1590=""),"",C1590*IFERROR(INDEX(Kişiler!$B$5:$B$44,MATCH(B1590,Kişiler!$A$5:$A$44,0)),0)+D1590*IFERROR(INDEX(Kişiler!$C$5:$C$44,MATCH(B1590,Kişiler!$A$5:$A$44,0)),0))</f>
        <v/>
      </c>
    </row>
    <row r="1591" customFormat="false" ht="15" hidden="false" customHeight="false" outlineLevel="0" collapsed="false">
      <c r="A1591" s="12"/>
      <c r="B1591" s="13"/>
      <c r="C1591" s="14"/>
      <c r="D1591" s="14"/>
      <c r="E1591" s="13"/>
      <c r="F1591" s="15"/>
      <c r="G1591" s="16" t="str">
        <f aca="false">IF(OR(B1591="",A1591=""),"",C1591*IFERROR(INDEX(Kişiler!$B$5:$B$44,MATCH(B1591,Kişiler!$A$5:$A$44,0)),0)+D1591*IFERROR(INDEX(Kişiler!$C$5:$C$44,MATCH(B1591,Kişiler!$A$5:$A$44,0)),0))</f>
        <v/>
      </c>
    </row>
    <row r="1592" customFormat="false" ht="15" hidden="false" customHeight="false" outlineLevel="0" collapsed="false">
      <c r="A1592" s="12"/>
      <c r="B1592" s="13"/>
      <c r="C1592" s="14"/>
      <c r="D1592" s="14"/>
      <c r="E1592" s="13"/>
      <c r="F1592" s="15"/>
      <c r="G1592" s="16" t="str">
        <f aca="false">IF(OR(B1592="",A1592=""),"",C1592*IFERROR(INDEX(Kişiler!$B$5:$B$44,MATCH(B1592,Kişiler!$A$5:$A$44,0)),0)+D1592*IFERROR(INDEX(Kişiler!$C$5:$C$44,MATCH(B1592,Kişiler!$A$5:$A$44,0)),0))</f>
        <v/>
      </c>
    </row>
    <row r="1593" customFormat="false" ht="15" hidden="false" customHeight="false" outlineLevel="0" collapsed="false">
      <c r="A1593" s="12"/>
      <c r="B1593" s="13"/>
      <c r="C1593" s="14"/>
      <c r="D1593" s="14"/>
      <c r="E1593" s="13"/>
      <c r="F1593" s="15"/>
      <c r="G1593" s="16" t="str">
        <f aca="false">IF(OR(B1593="",A1593=""),"",C1593*IFERROR(INDEX(Kişiler!$B$5:$B$44,MATCH(B1593,Kişiler!$A$5:$A$44,0)),0)+D1593*IFERROR(INDEX(Kişiler!$C$5:$C$44,MATCH(B1593,Kişiler!$A$5:$A$44,0)),0))</f>
        <v/>
      </c>
    </row>
    <row r="1594" customFormat="false" ht="15" hidden="false" customHeight="false" outlineLevel="0" collapsed="false">
      <c r="A1594" s="12"/>
      <c r="B1594" s="13"/>
      <c r="C1594" s="14"/>
      <c r="D1594" s="14"/>
      <c r="E1594" s="13"/>
      <c r="F1594" s="15"/>
      <c r="G1594" s="16" t="str">
        <f aca="false">IF(OR(B1594="",A1594=""),"",C1594*IFERROR(INDEX(Kişiler!$B$5:$B$44,MATCH(B1594,Kişiler!$A$5:$A$44,0)),0)+D1594*IFERROR(INDEX(Kişiler!$C$5:$C$44,MATCH(B1594,Kişiler!$A$5:$A$44,0)),0))</f>
        <v/>
      </c>
    </row>
    <row r="1595" customFormat="false" ht="15" hidden="false" customHeight="false" outlineLevel="0" collapsed="false">
      <c r="A1595" s="12"/>
      <c r="B1595" s="13"/>
      <c r="C1595" s="14"/>
      <c r="D1595" s="14"/>
      <c r="E1595" s="13"/>
      <c r="F1595" s="15"/>
      <c r="G1595" s="16" t="str">
        <f aca="false">IF(OR(B1595="",A1595=""),"",C1595*IFERROR(INDEX(Kişiler!$B$5:$B$44,MATCH(B1595,Kişiler!$A$5:$A$44,0)),0)+D1595*IFERROR(INDEX(Kişiler!$C$5:$C$44,MATCH(B1595,Kişiler!$A$5:$A$44,0)),0))</f>
        <v/>
      </c>
    </row>
    <row r="1596" customFormat="false" ht="15" hidden="false" customHeight="false" outlineLevel="0" collapsed="false">
      <c r="A1596" s="12"/>
      <c r="B1596" s="13"/>
      <c r="C1596" s="14"/>
      <c r="D1596" s="14"/>
      <c r="E1596" s="13"/>
      <c r="F1596" s="15"/>
      <c r="G1596" s="16" t="str">
        <f aca="false">IF(OR(B1596="",A1596=""),"",C1596*IFERROR(INDEX(Kişiler!$B$5:$B$44,MATCH(B1596,Kişiler!$A$5:$A$44,0)),0)+D1596*IFERROR(INDEX(Kişiler!$C$5:$C$44,MATCH(B1596,Kişiler!$A$5:$A$44,0)),0))</f>
        <v/>
      </c>
    </row>
    <row r="1597" customFormat="false" ht="15" hidden="false" customHeight="false" outlineLevel="0" collapsed="false">
      <c r="A1597" s="12"/>
      <c r="B1597" s="13"/>
      <c r="C1597" s="14"/>
      <c r="D1597" s="14"/>
      <c r="E1597" s="13"/>
      <c r="F1597" s="15"/>
      <c r="G1597" s="16" t="str">
        <f aca="false">IF(OR(B1597="",A1597=""),"",C1597*IFERROR(INDEX(Kişiler!$B$5:$B$44,MATCH(B1597,Kişiler!$A$5:$A$44,0)),0)+D1597*IFERROR(INDEX(Kişiler!$C$5:$C$44,MATCH(B1597,Kişiler!$A$5:$A$44,0)),0))</f>
        <v/>
      </c>
    </row>
    <row r="1598" customFormat="false" ht="15" hidden="false" customHeight="false" outlineLevel="0" collapsed="false">
      <c r="A1598" s="12"/>
      <c r="B1598" s="13"/>
      <c r="C1598" s="14"/>
      <c r="D1598" s="14"/>
      <c r="E1598" s="13"/>
      <c r="F1598" s="15"/>
      <c r="G1598" s="16" t="str">
        <f aca="false">IF(OR(B1598="",A1598=""),"",C1598*IFERROR(INDEX(Kişiler!$B$5:$B$44,MATCH(B1598,Kişiler!$A$5:$A$44,0)),0)+D1598*IFERROR(INDEX(Kişiler!$C$5:$C$44,MATCH(B1598,Kişiler!$A$5:$A$44,0)),0))</f>
        <v/>
      </c>
    </row>
    <row r="1599" customFormat="false" ht="15" hidden="false" customHeight="false" outlineLevel="0" collapsed="false">
      <c r="A1599" s="12"/>
      <c r="B1599" s="13"/>
      <c r="C1599" s="14"/>
      <c r="D1599" s="14"/>
      <c r="E1599" s="13"/>
      <c r="F1599" s="15"/>
      <c r="G1599" s="16" t="str">
        <f aca="false">IF(OR(B1599="",A1599=""),"",C1599*IFERROR(INDEX(Kişiler!$B$5:$B$44,MATCH(B1599,Kişiler!$A$5:$A$44,0)),0)+D1599*IFERROR(INDEX(Kişiler!$C$5:$C$44,MATCH(B1599,Kişiler!$A$5:$A$44,0)),0))</f>
        <v/>
      </c>
    </row>
    <row r="1600" customFormat="false" ht="15" hidden="false" customHeight="false" outlineLevel="0" collapsed="false">
      <c r="A1600" s="12"/>
      <c r="B1600" s="13"/>
      <c r="C1600" s="14"/>
      <c r="D1600" s="14"/>
      <c r="E1600" s="13"/>
      <c r="F1600" s="15"/>
      <c r="G1600" s="16" t="str">
        <f aca="false">IF(OR(B1600="",A1600=""),"",C1600*IFERROR(INDEX(Kişiler!$B$5:$B$44,MATCH(B1600,Kişiler!$A$5:$A$44,0)),0)+D1600*IFERROR(INDEX(Kişiler!$C$5:$C$44,MATCH(B1600,Kişiler!$A$5:$A$44,0)),0))</f>
        <v/>
      </c>
    </row>
    <row r="1601" customFormat="false" ht="15" hidden="false" customHeight="false" outlineLevel="0" collapsed="false">
      <c r="A1601" s="12"/>
      <c r="B1601" s="13"/>
      <c r="C1601" s="14"/>
      <c r="D1601" s="14"/>
      <c r="E1601" s="13"/>
      <c r="F1601" s="15"/>
      <c r="G1601" s="16" t="str">
        <f aca="false">IF(OR(B1601="",A1601=""),"",C1601*IFERROR(INDEX(Kişiler!$B$5:$B$44,MATCH(B1601,Kişiler!$A$5:$A$44,0)),0)+D1601*IFERROR(INDEX(Kişiler!$C$5:$C$44,MATCH(B1601,Kişiler!$A$5:$A$44,0)),0))</f>
        <v/>
      </c>
    </row>
    <row r="1602" customFormat="false" ht="15" hidden="false" customHeight="false" outlineLevel="0" collapsed="false">
      <c r="A1602" s="12"/>
      <c r="B1602" s="13"/>
      <c r="C1602" s="14"/>
      <c r="D1602" s="14"/>
      <c r="E1602" s="13"/>
      <c r="F1602" s="15"/>
      <c r="G1602" s="16" t="str">
        <f aca="false">IF(OR(B1602="",A1602=""),"",C1602*IFERROR(INDEX(Kişiler!$B$5:$B$44,MATCH(B1602,Kişiler!$A$5:$A$44,0)),0)+D1602*IFERROR(INDEX(Kişiler!$C$5:$C$44,MATCH(B1602,Kişiler!$A$5:$A$44,0)),0))</f>
        <v/>
      </c>
    </row>
    <row r="1603" customFormat="false" ht="15" hidden="false" customHeight="false" outlineLevel="0" collapsed="false">
      <c r="A1603" s="12"/>
      <c r="B1603" s="13"/>
      <c r="C1603" s="14"/>
      <c r="D1603" s="14"/>
      <c r="E1603" s="13"/>
      <c r="F1603" s="15"/>
      <c r="G1603" s="16" t="str">
        <f aca="false">IF(OR(B1603="",A1603=""),"",C1603*IFERROR(INDEX(Kişiler!$B$5:$B$44,MATCH(B1603,Kişiler!$A$5:$A$44,0)),0)+D1603*IFERROR(INDEX(Kişiler!$C$5:$C$44,MATCH(B1603,Kişiler!$A$5:$A$44,0)),0))</f>
        <v/>
      </c>
    </row>
    <row r="1604" customFormat="false" ht="15" hidden="false" customHeight="false" outlineLevel="0" collapsed="false">
      <c r="A1604" s="12"/>
      <c r="B1604" s="13"/>
      <c r="C1604" s="14"/>
      <c r="D1604" s="14"/>
      <c r="E1604" s="13"/>
      <c r="F1604" s="15"/>
      <c r="G1604" s="16" t="str">
        <f aca="false">IF(OR(B1604="",A1604=""),"",C1604*IFERROR(INDEX(Kişiler!$B$5:$B$44,MATCH(B1604,Kişiler!$A$5:$A$44,0)),0)+D1604*IFERROR(INDEX(Kişiler!$C$5:$C$44,MATCH(B1604,Kişiler!$A$5:$A$44,0)),0))</f>
        <v/>
      </c>
    </row>
    <row r="1605" customFormat="false" ht="15" hidden="false" customHeight="false" outlineLevel="0" collapsed="false">
      <c r="A1605" s="12"/>
      <c r="B1605" s="13"/>
      <c r="C1605" s="14"/>
      <c r="D1605" s="14"/>
      <c r="E1605" s="13"/>
      <c r="F1605" s="15"/>
      <c r="G1605" s="16" t="str">
        <f aca="false">IF(OR(B1605="",A1605=""),"",C1605*IFERROR(INDEX(Kişiler!$B$5:$B$44,MATCH(B1605,Kişiler!$A$5:$A$44,0)),0)+D1605*IFERROR(INDEX(Kişiler!$C$5:$C$44,MATCH(B1605,Kişiler!$A$5:$A$44,0)),0))</f>
        <v/>
      </c>
    </row>
    <row r="1606" customFormat="false" ht="15" hidden="false" customHeight="false" outlineLevel="0" collapsed="false">
      <c r="A1606" s="12"/>
      <c r="B1606" s="13"/>
      <c r="C1606" s="14"/>
      <c r="D1606" s="14"/>
      <c r="E1606" s="13"/>
      <c r="F1606" s="15"/>
      <c r="G1606" s="16" t="str">
        <f aca="false">IF(OR(B1606="",A1606=""),"",C1606*IFERROR(INDEX(Kişiler!$B$5:$B$44,MATCH(B1606,Kişiler!$A$5:$A$44,0)),0)+D1606*IFERROR(INDEX(Kişiler!$C$5:$C$44,MATCH(B1606,Kişiler!$A$5:$A$44,0)),0))</f>
        <v/>
      </c>
    </row>
    <row r="1607" customFormat="false" ht="15" hidden="false" customHeight="false" outlineLevel="0" collapsed="false">
      <c r="A1607" s="12"/>
      <c r="B1607" s="13"/>
      <c r="C1607" s="14"/>
      <c r="D1607" s="14"/>
      <c r="E1607" s="13"/>
      <c r="F1607" s="15"/>
      <c r="G1607" s="16" t="str">
        <f aca="false">IF(OR(B1607="",A1607=""),"",C1607*IFERROR(INDEX(Kişiler!$B$5:$B$44,MATCH(B1607,Kişiler!$A$5:$A$44,0)),0)+D1607*IFERROR(INDEX(Kişiler!$C$5:$C$44,MATCH(B1607,Kişiler!$A$5:$A$44,0)),0))</f>
        <v/>
      </c>
    </row>
    <row r="1608" customFormat="false" ht="15" hidden="false" customHeight="false" outlineLevel="0" collapsed="false">
      <c r="A1608" s="12"/>
      <c r="B1608" s="13"/>
      <c r="C1608" s="14"/>
      <c r="D1608" s="14"/>
      <c r="E1608" s="13"/>
      <c r="F1608" s="15"/>
      <c r="G1608" s="16" t="str">
        <f aca="false">IF(OR(B1608="",A1608=""),"",C1608*IFERROR(INDEX(Kişiler!$B$5:$B$44,MATCH(B1608,Kişiler!$A$5:$A$44,0)),0)+D1608*IFERROR(INDEX(Kişiler!$C$5:$C$44,MATCH(B1608,Kişiler!$A$5:$A$44,0)),0))</f>
        <v/>
      </c>
    </row>
    <row r="1609" customFormat="false" ht="15" hidden="false" customHeight="false" outlineLevel="0" collapsed="false">
      <c r="A1609" s="12"/>
      <c r="B1609" s="13"/>
      <c r="C1609" s="14"/>
      <c r="D1609" s="14"/>
      <c r="E1609" s="13"/>
      <c r="F1609" s="15"/>
      <c r="G1609" s="16" t="str">
        <f aca="false">IF(OR(B1609="",A1609=""),"",C1609*IFERROR(INDEX(Kişiler!$B$5:$B$44,MATCH(B1609,Kişiler!$A$5:$A$44,0)),0)+D1609*IFERROR(INDEX(Kişiler!$C$5:$C$44,MATCH(B1609,Kişiler!$A$5:$A$44,0)),0))</f>
        <v/>
      </c>
    </row>
    <row r="1610" customFormat="false" ht="15" hidden="false" customHeight="false" outlineLevel="0" collapsed="false">
      <c r="A1610" s="12"/>
      <c r="B1610" s="13"/>
      <c r="C1610" s="14"/>
      <c r="D1610" s="14"/>
      <c r="E1610" s="13"/>
      <c r="F1610" s="15"/>
      <c r="G1610" s="16" t="str">
        <f aca="false">IF(OR(B1610="",A1610=""),"",C1610*IFERROR(INDEX(Kişiler!$B$5:$B$44,MATCH(B1610,Kişiler!$A$5:$A$44,0)),0)+D1610*IFERROR(INDEX(Kişiler!$C$5:$C$44,MATCH(B1610,Kişiler!$A$5:$A$44,0)),0))</f>
        <v/>
      </c>
    </row>
    <row r="1611" customFormat="false" ht="15" hidden="false" customHeight="false" outlineLevel="0" collapsed="false">
      <c r="A1611" s="12"/>
      <c r="B1611" s="13"/>
      <c r="C1611" s="14"/>
      <c r="D1611" s="14"/>
      <c r="E1611" s="13"/>
      <c r="F1611" s="15"/>
      <c r="G1611" s="16" t="str">
        <f aca="false">IF(OR(B1611="",A1611=""),"",C1611*IFERROR(INDEX(Kişiler!$B$5:$B$44,MATCH(B1611,Kişiler!$A$5:$A$44,0)),0)+D1611*IFERROR(INDEX(Kişiler!$C$5:$C$44,MATCH(B1611,Kişiler!$A$5:$A$44,0)),0))</f>
        <v/>
      </c>
    </row>
    <row r="1612" customFormat="false" ht="15" hidden="false" customHeight="false" outlineLevel="0" collapsed="false">
      <c r="A1612" s="12"/>
      <c r="B1612" s="13"/>
      <c r="C1612" s="14"/>
      <c r="D1612" s="14"/>
      <c r="E1612" s="13"/>
      <c r="F1612" s="15"/>
      <c r="G1612" s="16" t="str">
        <f aca="false">IF(OR(B1612="",A1612=""),"",C1612*IFERROR(INDEX(Kişiler!$B$5:$B$44,MATCH(B1612,Kişiler!$A$5:$A$44,0)),0)+D1612*IFERROR(INDEX(Kişiler!$C$5:$C$44,MATCH(B1612,Kişiler!$A$5:$A$44,0)),0))</f>
        <v/>
      </c>
    </row>
    <row r="1613" customFormat="false" ht="15" hidden="false" customHeight="false" outlineLevel="0" collapsed="false">
      <c r="A1613" s="12"/>
      <c r="B1613" s="13"/>
      <c r="C1613" s="14"/>
      <c r="D1613" s="14"/>
      <c r="E1613" s="13"/>
      <c r="F1613" s="15"/>
      <c r="G1613" s="16" t="str">
        <f aca="false">IF(OR(B1613="",A1613=""),"",C1613*IFERROR(INDEX(Kişiler!$B$5:$B$44,MATCH(B1613,Kişiler!$A$5:$A$44,0)),0)+D1613*IFERROR(INDEX(Kişiler!$C$5:$C$44,MATCH(B1613,Kişiler!$A$5:$A$44,0)),0))</f>
        <v/>
      </c>
    </row>
    <row r="1614" customFormat="false" ht="15" hidden="false" customHeight="false" outlineLevel="0" collapsed="false">
      <c r="A1614" s="12"/>
      <c r="B1614" s="13"/>
      <c r="C1614" s="14"/>
      <c r="D1614" s="14"/>
      <c r="E1614" s="13"/>
      <c r="F1614" s="15"/>
      <c r="G1614" s="16" t="str">
        <f aca="false">IF(OR(B1614="",A1614=""),"",C1614*IFERROR(INDEX(Kişiler!$B$5:$B$44,MATCH(B1614,Kişiler!$A$5:$A$44,0)),0)+D1614*IFERROR(INDEX(Kişiler!$C$5:$C$44,MATCH(B1614,Kişiler!$A$5:$A$44,0)),0))</f>
        <v/>
      </c>
    </row>
    <row r="1615" customFormat="false" ht="15" hidden="false" customHeight="false" outlineLevel="0" collapsed="false">
      <c r="A1615" s="12"/>
      <c r="B1615" s="13"/>
      <c r="C1615" s="14"/>
      <c r="D1615" s="14"/>
      <c r="E1615" s="13"/>
      <c r="F1615" s="15"/>
      <c r="G1615" s="16" t="str">
        <f aca="false">IF(OR(B1615="",A1615=""),"",C1615*IFERROR(INDEX(Kişiler!$B$5:$B$44,MATCH(B1615,Kişiler!$A$5:$A$44,0)),0)+D1615*IFERROR(INDEX(Kişiler!$C$5:$C$44,MATCH(B1615,Kişiler!$A$5:$A$44,0)),0))</f>
        <v/>
      </c>
    </row>
    <row r="1616" customFormat="false" ht="15" hidden="false" customHeight="false" outlineLevel="0" collapsed="false">
      <c r="A1616" s="12"/>
      <c r="B1616" s="13"/>
      <c r="C1616" s="14"/>
      <c r="D1616" s="14"/>
      <c r="E1616" s="13"/>
      <c r="F1616" s="15"/>
      <c r="G1616" s="16" t="str">
        <f aca="false">IF(OR(B1616="",A1616=""),"",C1616*IFERROR(INDEX(Kişiler!$B$5:$B$44,MATCH(B1616,Kişiler!$A$5:$A$44,0)),0)+D1616*IFERROR(INDEX(Kişiler!$C$5:$C$44,MATCH(B1616,Kişiler!$A$5:$A$44,0)),0))</f>
        <v/>
      </c>
    </row>
    <row r="1617" customFormat="false" ht="15" hidden="false" customHeight="false" outlineLevel="0" collapsed="false">
      <c r="A1617" s="12"/>
      <c r="B1617" s="13"/>
      <c r="C1617" s="14"/>
      <c r="D1617" s="14"/>
      <c r="E1617" s="13"/>
      <c r="F1617" s="15"/>
      <c r="G1617" s="16" t="str">
        <f aca="false">IF(OR(B1617="",A1617=""),"",C1617*IFERROR(INDEX(Kişiler!$B$5:$B$44,MATCH(B1617,Kişiler!$A$5:$A$44,0)),0)+D1617*IFERROR(INDEX(Kişiler!$C$5:$C$44,MATCH(B1617,Kişiler!$A$5:$A$44,0)),0))</f>
        <v/>
      </c>
    </row>
    <row r="1618" customFormat="false" ht="15" hidden="false" customHeight="false" outlineLevel="0" collapsed="false">
      <c r="A1618" s="12"/>
      <c r="B1618" s="13"/>
      <c r="C1618" s="14"/>
      <c r="D1618" s="14"/>
      <c r="E1618" s="13"/>
      <c r="F1618" s="15"/>
      <c r="G1618" s="16" t="str">
        <f aca="false">IF(OR(B1618="",A1618=""),"",C1618*IFERROR(INDEX(Kişiler!$B$5:$B$44,MATCH(B1618,Kişiler!$A$5:$A$44,0)),0)+D1618*IFERROR(INDEX(Kişiler!$C$5:$C$44,MATCH(B1618,Kişiler!$A$5:$A$44,0)),0))</f>
        <v/>
      </c>
    </row>
    <row r="1619" customFormat="false" ht="15" hidden="false" customHeight="false" outlineLevel="0" collapsed="false">
      <c r="A1619" s="12"/>
      <c r="B1619" s="13"/>
      <c r="C1619" s="14"/>
      <c r="D1619" s="14"/>
      <c r="E1619" s="13"/>
      <c r="F1619" s="15"/>
      <c r="G1619" s="16" t="str">
        <f aca="false">IF(OR(B1619="",A1619=""),"",C1619*IFERROR(INDEX(Kişiler!$B$5:$B$44,MATCH(B1619,Kişiler!$A$5:$A$44,0)),0)+D1619*IFERROR(INDEX(Kişiler!$C$5:$C$44,MATCH(B1619,Kişiler!$A$5:$A$44,0)),0))</f>
        <v/>
      </c>
    </row>
    <row r="1620" customFormat="false" ht="15" hidden="false" customHeight="false" outlineLevel="0" collapsed="false">
      <c r="A1620" s="12"/>
      <c r="B1620" s="13"/>
      <c r="C1620" s="14"/>
      <c r="D1620" s="14"/>
      <c r="E1620" s="13"/>
      <c r="F1620" s="15"/>
      <c r="G1620" s="16" t="str">
        <f aca="false">IF(OR(B1620="",A1620=""),"",C1620*IFERROR(INDEX(Kişiler!$B$5:$B$44,MATCH(B1620,Kişiler!$A$5:$A$44,0)),0)+D1620*IFERROR(INDEX(Kişiler!$C$5:$C$44,MATCH(B1620,Kişiler!$A$5:$A$44,0)),0))</f>
        <v/>
      </c>
    </row>
    <row r="1621" customFormat="false" ht="15" hidden="false" customHeight="false" outlineLevel="0" collapsed="false">
      <c r="A1621" s="12"/>
      <c r="B1621" s="13"/>
      <c r="C1621" s="14"/>
      <c r="D1621" s="14"/>
      <c r="E1621" s="13"/>
      <c r="F1621" s="15"/>
      <c r="G1621" s="16" t="str">
        <f aca="false">IF(OR(B1621="",A1621=""),"",C1621*IFERROR(INDEX(Kişiler!$B$5:$B$44,MATCH(B1621,Kişiler!$A$5:$A$44,0)),0)+D1621*IFERROR(INDEX(Kişiler!$C$5:$C$44,MATCH(B1621,Kişiler!$A$5:$A$44,0)),0))</f>
        <v/>
      </c>
    </row>
    <row r="1622" customFormat="false" ht="15" hidden="false" customHeight="false" outlineLevel="0" collapsed="false">
      <c r="A1622" s="12"/>
      <c r="B1622" s="13"/>
      <c r="C1622" s="14"/>
      <c r="D1622" s="14"/>
      <c r="E1622" s="13"/>
      <c r="F1622" s="15"/>
      <c r="G1622" s="16" t="str">
        <f aca="false">IF(OR(B1622="",A1622=""),"",C1622*IFERROR(INDEX(Kişiler!$B$5:$B$44,MATCH(B1622,Kişiler!$A$5:$A$44,0)),0)+D1622*IFERROR(INDEX(Kişiler!$C$5:$C$44,MATCH(B1622,Kişiler!$A$5:$A$44,0)),0))</f>
        <v/>
      </c>
    </row>
    <row r="1623" customFormat="false" ht="15" hidden="false" customHeight="false" outlineLevel="0" collapsed="false">
      <c r="A1623" s="12"/>
      <c r="B1623" s="13"/>
      <c r="C1623" s="14"/>
      <c r="D1623" s="14"/>
      <c r="E1623" s="13"/>
      <c r="F1623" s="15"/>
      <c r="G1623" s="16" t="str">
        <f aca="false">IF(OR(B1623="",A1623=""),"",C1623*IFERROR(INDEX(Kişiler!$B$5:$B$44,MATCH(B1623,Kişiler!$A$5:$A$44,0)),0)+D1623*IFERROR(INDEX(Kişiler!$C$5:$C$44,MATCH(B1623,Kişiler!$A$5:$A$44,0)),0))</f>
        <v/>
      </c>
    </row>
    <row r="1624" customFormat="false" ht="15" hidden="false" customHeight="false" outlineLevel="0" collapsed="false">
      <c r="A1624" s="12"/>
      <c r="B1624" s="13"/>
      <c r="C1624" s="14"/>
      <c r="D1624" s="14"/>
      <c r="E1624" s="13"/>
      <c r="F1624" s="15"/>
      <c r="G1624" s="16" t="str">
        <f aca="false">IF(OR(B1624="",A1624=""),"",C1624*IFERROR(INDEX(Kişiler!$B$5:$B$44,MATCH(B1624,Kişiler!$A$5:$A$44,0)),0)+D1624*IFERROR(INDEX(Kişiler!$C$5:$C$44,MATCH(B1624,Kişiler!$A$5:$A$44,0)),0))</f>
        <v/>
      </c>
    </row>
    <row r="1625" customFormat="false" ht="15" hidden="false" customHeight="false" outlineLevel="0" collapsed="false">
      <c r="A1625" s="12"/>
      <c r="B1625" s="13"/>
      <c r="C1625" s="14"/>
      <c r="D1625" s="14"/>
      <c r="E1625" s="13"/>
      <c r="F1625" s="15"/>
      <c r="G1625" s="16" t="str">
        <f aca="false">IF(OR(B1625="",A1625=""),"",C1625*IFERROR(INDEX(Kişiler!$B$5:$B$44,MATCH(B1625,Kişiler!$A$5:$A$44,0)),0)+D1625*IFERROR(INDEX(Kişiler!$C$5:$C$44,MATCH(B1625,Kişiler!$A$5:$A$44,0)),0))</f>
        <v/>
      </c>
    </row>
    <row r="1626" customFormat="false" ht="15" hidden="false" customHeight="false" outlineLevel="0" collapsed="false">
      <c r="A1626" s="12"/>
      <c r="B1626" s="13"/>
      <c r="C1626" s="14"/>
      <c r="D1626" s="14"/>
      <c r="E1626" s="13"/>
      <c r="F1626" s="15"/>
      <c r="G1626" s="16" t="str">
        <f aca="false">IF(OR(B1626="",A1626=""),"",C1626*IFERROR(INDEX(Kişiler!$B$5:$B$44,MATCH(B1626,Kişiler!$A$5:$A$44,0)),0)+D1626*IFERROR(INDEX(Kişiler!$C$5:$C$44,MATCH(B1626,Kişiler!$A$5:$A$44,0)),0))</f>
        <v/>
      </c>
    </row>
    <row r="1627" customFormat="false" ht="15" hidden="false" customHeight="false" outlineLevel="0" collapsed="false">
      <c r="A1627" s="12"/>
      <c r="B1627" s="13"/>
      <c r="C1627" s="14"/>
      <c r="D1627" s="14"/>
      <c r="E1627" s="13"/>
      <c r="F1627" s="15"/>
      <c r="G1627" s="16" t="str">
        <f aca="false">IF(OR(B1627="",A1627=""),"",C1627*IFERROR(INDEX(Kişiler!$B$5:$B$44,MATCH(B1627,Kişiler!$A$5:$A$44,0)),0)+D1627*IFERROR(INDEX(Kişiler!$C$5:$C$44,MATCH(B1627,Kişiler!$A$5:$A$44,0)),0))</f>
        <v/>
      </c>
    </row>
    <row r="1628" customFormat="false" ht="15" hidden="false" customHeight="false" outlineLevel="0" collapsed="false">
      <c r="A1628" s="12"/>
      <c r="B1628" s="13"/>
      <c r="C1628" s="14"/>
      <c r="D1628" s="14"/>
      <c r="E1628" s="13"/>
      <c r="F1628" s="15"/>
      <c r="G1628" s="16" t="str">
        <f aca="false">IF(OR(B1628="",A1628=""),"",C1628*IFERROR(INDEX(Kişiler!$B$5:$B$44,MATCH(B1628,Kişiler!$A$5:$A$44,0)),0)+D1628*IFERROR(INDEX(Kişiler!$C$5:$C$44,MATCH(B1628,Kişiler!$A$5:$A$44,0)),0))</f>
        <v/>
      </c>
    </row>
    <row r="1629" customFormat="false" ht="15" hidden="false" customHeight="false" outlineLevel="0" collapsed="false">
      <c r="A1629" s="12"/>
      <c r="B1629" s="13"/>
      <c r="C1629" s="14"/>
      <c r="D1629" s="14"/>
      <c r="E1629" s="13"/>
      <c r="F1629" s="15"/>
      <c r="G1629" s="16" t="str">
        <f aca="false">IF(OR(B1629="",A1629=""),"",C1629*IFERROR(INDEX(Kişiler!$B$5:$B$44,MATCH(B1629,Kişiler!$A$5:$A$44,0)),0)+D1629*IFERROR(INDEX(Kişiler!$C$5:$C$44,MATCH(B1629,Kişiler!$A$5:$A$44,0)),0))</f>
        <v/>
      </c>
    </row>
    <row r="1630" customFormat="false" ht="15" hidden="false" customHeight="false" outlineLevel="0" collapsed="false">
      <c r="A1630" s="12"/>
      <c r="B1630" s="13"/>
      <c r="C1630" s="14"/>
      <c r="D1630" s="14"/>
      <c r="E1630" s="13"/>
      <c r="F1630" s="15"/>
      <c r="G1630" s="16" t="str">
        <f aca="false">IF(OR(B1630="",A1630=""),"",C1630*IFERROR(INDEX(Kişiler!$B$5:$B$44,MATCH(B1630,Kişiler!$A$5:$A$44,0)),0)+D1630*IFERROR(INDEX(Kişiler!$C$5:$C$44,MATCH(B1630,Kişiler!$A$5:$A$44,0)),0))</f>
        <v/>
      </c>
    </row>
    <row r="1631" customFormat="false" ht="15" hidden="false" customHeight="false" outlineLevel="0" collapsed="false">
      <c r="A1631" s="12"/>
      <c r="B1631" s="13"/>
      <c r="C1631" s="14"/>
      <c r="D1631" s="14"/>
      <c r="E1631" s="13"/>
      <c r="F1631" s="15"/>
      <c r="G1631" s="16" t="str">
        <f aca="false">IF(OR(B1631="",A1631=""),"",C1631*IFERROR(INDEX(Kişiler!$B$5:$B$44,MATCH(B1631,Kişiler!$A$5:$A$44,0)),0)+D1631*IFERROR(INDEX(Kişiler!$C$5:$C$44,MATCH(B1631,Kişiler!$A$5:$A$44,0)),0))</f>
        <v/>
      </c>
    </row>
    <row r="1632" customFormat="false" ht="15" hidden="false" customHeight="false" outlineLevel="0" collapsed="false">
      <c r="A1632" s="12"/>
      <c r="B1632" s="13"/>
      <c r="C1632" s="14"/>
      <c r="D1632" s="14"/>
      <c r="E1632" s="13"/>
      <c r="F1632" s="15"/>
      <c r="G1632" s="16" t="str">
        <f aca="false">IF(OR(B1632="",A1632=""),"",C1632*IFERROR(INDEX(Kişiler!$B$5:$B$44,MATCH(B1632,Kişiler!$A$5:$A$44,0)),0)+D1632*IFERROR(INDEX(Kişiler!$C$5:$C$44,MATCH(B1632,Kişiler!$A$5:$A$44,0)),0))</f>
        <v/>
      </c>
    </row>
    <row r="1633" customFormat="false" ht="15" hidden="false" customHeight="false" outlineLevel="0" collapsed="false">
      <c r="A1633" s="12"/>
      <c r="B1633" s="13"/>
      <c r="C1633" s="14"/>
      <c r="D1633" s="14"/>
      <c r="E1633" s="13"/>
      <c r="F1633" s="15"/>
      <c r="G1633" s="16" t="str">
        <f aca="false">IF(OR(B1633="",A1633=""),"",C1633*IFERROR(INDEX(Kişiler!$B$5:$B$44,MATCH(B1633,Kişiler!$A$5:$A$44,0)),0)+D1633*IFERROR(INDEX(Kişiler!$C$5:$C$44,MATCH(B1633,Kişiler!$A$5:$A$44,0)),0))</f>
        <v/>
      </c>
    </row>
    <row r="1634" customFormat="false" ht="15" hidden="false" customHeight="false" outlineLevel="0" collapsed="false">
      <c r="A1634" s="12"/>
      <c r="B1634" s="13"/>
      <c r="C1634" s="14"/>
      <c r="D1634" s="14"/>
      <c r="E1634" s="13"/>
      <c r="F1634" s="15"/>
      <c r="G1634" s="16" t="str">
        <f aca="false">IF(OR(B1634="",A1634=""),"",C1634*IFERROR(INDEX(Kişiler!$B$5:$B$44,MATCH(B1634,Kişiler!$A$5:$A$44,0)),0)+D1634*IFERROR(INDEX(Kişiler!$C$5:$C$44,MATCH(B1634,Kişiler!$A$5:$A$44,0)),0))</f>
        <v/>
      </c>
    </row>
    <row r="1635" customFormat="false" ht="15" hidden="false" customHeight="false" outlineLevel="0" collapsed="false">
      <c r="A1635" s="12"/>
      <c r="B1635" s="13"/>
      <c r="C1635" s="14"/>
      <c r="D1635" s="14"/>
      <c r="E1635" s="13"/>
      <c r="F1635" s="15"/>
      <c r="G1635" s="16" t="str">
        <f aca="false">IF(OR(B1635="",A1635=""),"",C1635*IFERROR(INDEX(Kişiler!$B$5:$B$44,MATCH(B1635,Kişiler!$A$5:$A$44,0)),0)+D1635*IFERROR(INDEX(Kişiler!$C$5:$C$44,MATCH(B1635,Kişiler!$A$5:$A$44,0)),0))</f>
        <v/>
      </c>
    </row>
    <row r="1636" customFormat="false" ht="15" hidden="false" customHeight="false" outlineLevel="0" collapsed="false">
      <c r="A1636" s="12"/>
      <c r="B1636" s="13"/>
      <c r="C1636" s="14"/>
      <c r="D1636" s="14"/>
      <c r="E1636" s="13"/>
      <c r="F1636" s="15"/>
      <c r="G1636" s="16" t="str">
        <f aca="false">IF(OR(B1636="",A1636=""),"",C1636*IFERROR(INDEX(Kişiler!$B$5:$B$44,MATCH(B1636,Kişiler!$A$5:$A$44,0)),0)+D1636*IFERROR(INDEX(Kişiler!$C$5:$C$44,MATCH(B1636,Kişiler!$A$5:$A$44,0)),0))</f>
        <v/>
      </c>
    </row>
    <row r="1637" customFormat="false" ht="15" hidden="false" customHeight="false" outlineLevel="0" collapsed="false">
      <c r="A1637" s="12"/>
      <c r="B1637" s="13"/>
      <c r="C1637" s="14"/>
      <c r="D1637" s="14"/>
      <c r="E1637" s="13"/>
      <c r="F1637" s="15"/>
      <c r="G1637" s="16" t="str">
        <f aca="false">IF(OR(B1637="",A1637=""),"",C1637*IFERROR(INDEX(Kişiler!$B$5:$B$44,MATCH(B1637,Kişiler!$A$5:$A$44,0)),0)+D1637*IFERROR(INDEX(Kişiler!$C$5:$C$44,MATCH(B1637,Kişiler!$A$5:$A$44,0)),0))</f>
        <v/>
      </c>
    </row>
    <row r="1638" customFormat="false" ht="15" hidden="false" customHeight="false" outlineLevel="0" collapsed="false">
      <c r="A1638" s="12"/>
      <c r="B1638" s="13"/>
      <c r="C1638" s="14"/>
      <c r="D1638" s="14"/>
      <c r="E1638" s="13"/>
      <c r="F1638" s="15"/>
      <c r="G1638" s="16" t="str">
        <f aca="false">IF(OR(B1638="",A1638=""),"",C1638*IFERROR(INDEX(Kişiler!$B$5:$B$44,MATCH(B1638,Kişiler!$A$5:$A$44,0)),0)+D1638*IFERROR(INDEX(Kişiler!$C$5:$C$44,MATCH(B1638,Kişiler!$A$5:$A$44,0)),0))</f>
        <v/>
      </c>
    </row>
    <row r="1639" customFormat="false" ht="15" hidden="false" customHeight="false" outlineLevel="0" collapsed="false">
      <c r="A1639" s="12"/>
      <c r="B1639" s="13"/>
      <c r="C1639" s="14"/>
      <c r="D1639" s="14"/>
      <c r="E1639" s="13"/>
      <c r="F1639" s="15"/>
      <c r="G1639" s="16" t="str">
        <f aca="false">IF(OR(B1639="",A1639=""),"",C1639*IFERROR(INDEX(Kişiler!$B$5:$B$44,MATCH(B1639,Kişiler!$A$5:$A$44,0)),0)+D1639*IFERROR(INDEX(Kişiler!$C$5:$C$44,MATCH(B1639,Kişiler!$A$5:$A$44,0)),0))</f>
        <v/>
      </c>
    </row>
    <row r="1640" customFormat="false" ht="15" hidden="false" customHeight="false" outlineLevel="0" collapsed="false">
      <c r="A1640" s="12"/>
      <c r="B1640" s="13"/>
      <c r="C1640" s="14"/>
      <c r="D1640" s="14"/>
      <c r="E1640" s="13"/>
      <c r="F1640" s="15"/>
      <c r="G1640" s="16" t="str">
        <f aca="false">IF(OR(B1640="",A1640=""),"",C1640*IFERROR(INDEX(Kişiler!$B$5:$B$44,MATCH(B1640,Kişiler!$A$5:$A$44,0)),0)+D1640*IFERROR(INDEX(Kişiler!$C$5:$C$44,MATCH(B1640,Kişiler!$A$5:$A$44,0)),0))</f>
        <v/>
      </c>
    </row>
    <row r="1641" customFormat="false" ht="15" hidden="false" customHeight="false" outlineLevel="0" collapsed="false">
      <c r="A1641" s="12"/>
      <c r="B1641" s="13"/>
      <c r="C1641" s="14"/>
      <c r="D1641" s="14"/>
      <c r="E1641" s="13"/>
      <c r="F1641" s="15"/>
      <c r="G1641" s="16" t="str">
        <f aca="false">IF(OR(B1641="",A1641=""),"",C1641*IFERROR(INDEX(Kişiler!$B$5:$B$44,MATCH(B1641,Kişiler!$A$5:$A$44,0)),0)+D1641*IFERROR(INDEX(Kişiler!$C$5:$C$44,MATCH(B1641,Kişiler!$A$5:$A$44,0)),0))</f>
        <v/>
      </c>
    </row>
    <row r="1642" customFormat="false" ht="15" hidden="false" customHeight="false" outlineLevel="0" collapsed="false">
      <c r="A1642" s="12"/>
      <c r="B1642" s="13"/>
      <c r="C1642" s="14"/>
      <c r="D1642" s="14"/>
      <c r="E1642" s="13"/>
      <c r="F1642" s="15"/>
      <c r="G1642" s="16" t="str">
        <f aca="false">IF(OR(B1642="",A1642=""),"",C1642*IFERROR(INDEX(Kişiler!$B$5:$B$44,MATCH(B1642,Kişiler!$A$5:$A$44,0)),0)+D1642*IFERROR(INDEX(Kişiler!$C$5:$C$44,MATCH(B1642,Kişiler!$A$5:$A$44,0)),0))</f>
        <v/>
      </c>
    </row>
    <row r="1643" customFormat="false" ht="15" hidden="false" customHeight="false" outlineLevel="0" collapsed="false">
      <c r="A1643" s="12"/>
      <c r="B1643" s="13"/>
      <c r="C1643" s="14"/>
      <c r="D1643" s="14"/>
      <c r="E1643" s="13"/>
      <c r="F1643" s="15"/>
      <c r="G1643" s="16" t="str">
        <f aca="false">IF(OR(B1643="",A1643=""),"",C1643*IFERROR(INDEX(Kişiler!$B$5:$B$44,MATCH(B1643,Kişiler!$A$5:$A$44,0)),0)+D1643*IFERROR(INDEX(Kişiler!$C$5:$C$44,MATCH(B1643,Kişiler!$A$5:$A$44,0)),0))</f>
        <v/>
      </c>
    </row>
    <row r="1644" customFormat="false" ht="15" hidden="false" customHeight="false" outlineLevel="0" collapsed="false">
      <c r="A1644" s="12"/>
      <c r="B1644" s="13"/>
      <c r="C1644" s="14"/>
      <c r="D1644" s="14"/>
      <c r="E1644" s="13"/>
      <c r="F1644" s="15"/>
      <c r="G1644" s="16" t="str">
        <f aca="false">IF(OR(B1644="",A1644=""),"",C1644*IFERROR(INDEX(Kişiler!$B$5:$B$44,MATCH(B1644,Kişiler!$A$5:$A$44,0)),0)+D1644*IFERROR(INDEX(Kişiler!$C$5:$C$44,MATCH(B1644,Kişiler!$A$5:$A$44,0)),0))</f>
        <v/>
      </c>
    </row>
    <row r="1645" customFormat="false" ht="15" hidden="false" customHeight="false" outlineLevel="0" collapsed="false">
      <c r="A1645" s="12"/>
      <c r="B1645" s="13"/>
      <c r="C1645" s="14"/>
      <c r="D1645" s="14"/>
      <c r="E1645" s="13"/>
      <c r="F1645" s="15"/>
      <c r="G1645" s="16" t="str">
        <f aca="false">IF(OR(B1645="",A1645=""),"",C1645*IFERROR(INDEX(Kişiler!$B$5:$B$44,MATCH(B1645,Kişiler!$A$5:$A$44,0)),0)+D1645*IFERROR(INDEX(Kişiler!$C$5:$C$44,MATCH(B1645,Kişiler!$A$5:$A$44,0)),0))</f>
        <v/>
      </c>
    </row>
    <row r="1646" customFormat="false" ht="15" hidden="false" customHeight="false" outlineLevel="0" collapsed="false">
      <c r="A1646" s="12"/>
      <c r="B1646" s="13"/>
      <c r="C1646" s="14"/>
      <c r="D1646" s="14"/>
      <c r="E1646" s="13"/>
      <c r="F1646" s="15"/>
      <c r="G1646" s="16" t="str">
        <f aca="false">IF(OR(B1646="",A1646=""),"",C1646*IFERROR(INDEX(Kişiler!$B$5:$B$44,MATCH(B1646,Kişiler!$A$5:$A$44,0)),0)+D1646*IFERROR(INDEX(Kişiler!$C$5:$C$44,MATCH(B1646,Kişiler!$A$5:$A$44,0)),0))</f>
        <v/>
      </c>
    </row>
    <row r="1647" customFormat="false" ht="15" hidden="false" customHeight="false" outlineLevel="0" collapsed="false">
      <c r="A1647" s="12"/>
      <c r="B1647" s="13"/>
      <c r="C1647" s="14"/>
      <c r="D1647" s="14"/>
      <c r="E1647" s="13"/>
      <c r="F1647" s="15"/>
      <c r="G1647" s="16" t="str">
        <f aca="false">IF(OR(B1647="",A1647=""),"",C1647*IFERROR(INDEX(Kişiler!$B$5:$B$44,MATCH(B1647,Kişiler!$A$5:$A$44,0)),0)+D1647*IFERROR(INDEX(Kişiler!$C$5:$C$44,MATCH(B1647,Kişiler!$A$5:$A$44,0)),0))</f>
        <v/>
      </c>
    </row>
    <row r="1648" customFormat="false" ht="15" hidden="false" customHeight="false" outlineLevel="0" collapsed="false">
      <c r="A1648" s="12"/>
      <c r="B1648" s="13"/>
      <c r="C1648" s="14"/>
      <c r="D1648" s="14"/>
      <c r="E1648" s="13"/>
      <c r="F1648" s="15"/>
      <c r="G1648" s="16" t="str">
        <f aca="false">IF(OR(B1648="",A1648=""),"",C1648*IFERROR(INDEX(Kişiler!$B$5:$B$44,MATCH(B1648,Kişiler!$A$5:$A$44,0)),0)+D1648*IFERROR(INDEX(Kişiler!$C$5:$C$44,MATCH(B1648,Kişiler!$A$5:$A$44,0)),0))</f>
        <v/>
      </c>
    </row>
    <row r="1649" customFormat="false" ht="15" hidden="false" customHeight="false" outlineLevel="0" collapsed="false">
      <c r="A1649" s="12"/>
      <c r="B1649" s="13"/>
      <c r="C1649" s="14"/>
      <c r="D1649" s="14"/>
      <c r="E1649" s="13"/>
      <c r="F1649" s="15"/>
      <c r="G1649" s="16" t="str">
        <f aca="false">IF(OR(B1649="",A1649=""),"",C1649*IFERROR(INDEX(Kişiler!$B$5:$B$44,MATCH(B1649,Kişiler!$A$5:$A$44,0)),0)+D1649*IFERROR(INDEX(Kişiler!$C$5:$C$44,MATCH(B1649,Kişiler!$A$5:$A$44,0)),0))</f>
        <v/>
      </c>
    </row>
    <row r="1650" customFormat="false" ht="15" hidden="false" customHeight="false" outlineLevel="0" collapsed="false">
      <c r="A1650" s="12"/>
      <c r="B1650" s="13"/>
      <c r="C1650" s="14"/>
      <c r="D1650" s="14"/>
      <c r="E1650" s="13"/>
      <c r="F1650" s="15"/>
      <c r="G1650" s="16" t="str">
        <f aca="false">IF(OR(B1650="",A1650=""),"",C1650*IFERROR(INDEX(Kişiler!$B$5:$B$44,MATCH(B1650,Kişiler!$A$5:$A$44,0)),0)+D1650*IFERROR(INDEX(Kişiler!$C$5:$C$44,MATCH(B1650,Kişiler!$A$5:$A$44,0)),0))</f>
        <v/>
      </c>
    </row>
    <row r="1651" customFormat="false" ht="15" hidden="false" customHeight="false" outlineLevel="0" collapsed="false">
      <c r="A1651" s="12"/>
      <c r="B1651" s="13"/>
      <c r="C1651" s="14"/>
      <c r="D1651" s="14"/>
      <c r="E1651" s="13"/>
      <c r="F1651" s="15"/>
      <c r="G1651" s="16" t="str">
        <f aca="false">IF(OR(B1651="",A1651=""),"",C1651*IFERROR(INDEX(Kişiler!$B$5:$B$44,MATCH(B1651,Kişiler!$A$5:$A$44,0)),0)+D1651*IFERROR(INDEX(Kişiler!$C$5:$C$44,MATCH(B1651,Kişiler!$A$5:$A$44,0)),0))</f>
        <v/>
      </c>
    </row>
    <row r="1652" customFormat="false" ht="15" hidden="false" customHeight="false" outlineLevel="0" collapsed="false">
      <c r="A1652" s="12"/>
      <c r="B1652" s="13"/>
      <c r="C1652" s="14"/>
      <c r="D1652" s="14"/>
      <c r="E1652" s="13"/>
      <c r="F1652" s="15"/>
      <c r="G1652" s="16" t="str">
        <f aca="false">IF(OR(B1652="",A1652=""),"",C1652*IFERROR(INDEX(Kişiler!$B$5:$B$44,MATCH(B1652,Kişiler!$A$5:$A$44,0)),0)+D1652*IFERROR(INDEX(Kişiler!$C$5:$C$44,MATCH(B1652,Kişiler!$A$5:$A$44,0)),0))</f>
        <v/>
      </c>
    </row>
    <row r="1653" customFormat="false" ht="15" hidden="false" customHeight="false" outlineLevel="0" collapsed="false">
      <c r="A1653" s="12"/>
      <c r="B1653" s="13"/>
      <c r="C1653" s="14"/>
      <c r="D1653" s="14"/>
      <c r="E1653" s="13"/>
      <c r="F1653" s="15"/>
      <c r="G1653" s="16" t="str">
        <f aca="false">IF(OR(B1653="",A1653=""),"",C1653*IFERROR(INDEX(Kişiler!$B$5:$B$44,MATCH(B1653,Kişiler!$A$5:$A$44,0)),0)+D1653*IFERROR(INDEX(Kişiler!$C$5:$C$44,MATCH(B1653,Kişiler!$A$5:$A$44,0)),0))</f>
        <v/>
      </c>
    </row>
    <row r="1654" customFormat="false" ht="15" hidden="false" customHeight="false" outlineLevel="0" collapsed="false">
      <c r="A1654" s="12"/>
      <c r="B1654" s="13"/>
      <c r="C1654" s="14"/>
      <c r="D1654" s="14"/>
      <c r="E1654" s="13"/>
      <c r="F1654" s="15"/>
      <c r="G1654" s="16" t="str">
        <f aca="false">IF(OR(B1654="",A1654=""),"",C1654*IFERROR(INDEX(Kişiler!$B$5:$B$44,MATCH(B1654,Kişiler!$A$5:$A$44,0)),0)+D1654*IFERROR(INDEX(Kişiler!$C$5:$C$44,MATCH(B1654,Kişiler!$A$5:$A$44,0)),0))</f>
        <v/>
      </c>
    </row>
    <row r="1655" customFormat="false" ht="15" hidden="false" customHeight="false" outlineLevel="0" collapsed="false">
      <c r="A1655" s="12"/>
      <c r="B1655" s="13"/>
      <c r="C1655" s="14"/>
      <c r="D1655" s="14"/>
      <c r="E1655" s="13"/>
      <c r="F1655" s="15"/>
      <c r="G1655" s="16" t="str">
        <f aca="false">IF(OR(B1655="",A1655=""),"",C1655*IFERROR(INDEX(Kişiler!$B$5:$B$44,MATCH(B1655,Kişiler!$A$5:$A$44,0)),0)+D1655*IFERROR(INDEX(Kişiler!$C$5:$C$44,MATCH(B1655,Kişiler!$A$5:$A$44,0)),0))</f>
        <v/>
      </c>
    </row>
    <row r="1656" customFormat="false" ht="15" hidden="false" customHeight="false" outlineLevel="0" collapsed="false">
      <c r="A1656" s="12"/>
      <c r="B1656" s="13"/>
      <c r="C1656" s="14"/>
      <c r="D1656" s="14"/>
      <c r="E1656" s="13"/>
      <c r="F1656" s="15"/>
      <c r="G1656" s="16" t="str">
        <f aca="false">IF(OR(B1656="",A1656=""),"",C1656*IFERROR(INDEX(Kişiler!$B$5:$B$44,MATCH(B1656,Kişiler!$A$5:$A$44,0)),0)+D1656*IFERROR(INDEX(Kişiler!$C$5:$C$44,MATCH(B1656,Kişiler!$A$5:$A$44,0)),0))</f>
        <v/>
      </c>
    </row>
    <row r="1657" customFormat="false" ht="15" hidden="false" customHeight="false" outlineLevel="0" collapsed="false">
      <c r="A1657" s="12"/>
      <c r="B1657" s="13"/>
      <c r="C1657" s="14"/>
      <c r="D1657" s="14"/>
      <c r="E1657" s="13"/>
      <c r="F1657" s="15"/>
      <c r="G1657" s="16" t="str">
        <f aca="false">IF(OR(B1657="",A1657=""),"",C1657*IFERROR(INDEX(Kişiler!$B$5:$B$44,MATCH(B1657,Kişiler!$A$5:$A$44,0)),0)+D1657*IFERROR(INDEX(Kişiler!$C$5:$C$44,MATCH(B1657,Kişiler!$A$5:$A$44,0)),0))</f>
        <v/>
      </c>
    </row>
    <row r="1658" customFormat="false" ht="15" hidden="false" customHeight="false" outlineLevel="0" collapsed="false">
      <c r="A1658" s="12"/>
      <c r="B1658" s="13"/>
      <c r="C1658" s="14"/>
      <c r="D1658" s="14"/>
      <c r="E1658" s="13"/>
      <c r="F1658" s="15"/>
      <c r="G1658" s="16" t="str">
        <f aca="false">IF(OR(B1658="",A1658=""),"",C1658*IFERROR(INDEX(Kişiler!$B$5:$B$44,MATCH(B1658,Kişiler!$A$5:$A$44,0)),0)+D1658*IFERROR(INDEX(Kişiler!$C$5:$C$44,MATCH(B1658,Kişiler!$A$5:$A$44,0)),0))</f>
        <v/>
      </c>
    </row>
    <row r="1659" customFormat="false" ht="15" hidden="false" customHeight="false" outlineLevel="0" collapsed="false">
      <c r="A1659" s="12"/>
      <c r="B1659" s="13"/>
      <c r="C1659" s="14"/>
      <c r="D1659" s="14"/>
      <c r="E1659" s="13"/>
      <c r="F1659" s="15"/>
      <c r="G1659" s="16" t="str">
        <f aca="false">IF(OR(B1659="",A1659=""),"",C1659*IFERROR(INDEX(Kişiler!$B$5:$B$44,MATCH(B1659,Kişiler!$A$5:$A$44,0)),0)+D1659*IFERROR(INDEX(Kişiler!$C$5:$C$44,MATCH(B1659,Kişiler!$A$5:$A$44,0)),0))</f>
        <v/>
      </c>
    </row>
    <row r="1660" customFormat="false" ht="15" hidden="false" customHeight="false" outlineLevel="0" collapsed="false">
      <c r="A1660" s="12"/>
      <c r="B1660" s="13"/>
      <c r="C1660" s="14"/>
      <c r="D1660" s="14"/>
      <c r="E1660" s="13"/>
      <c r="F1660" s="15"/>
      <c r="G1660" s="16" t="str">
        <f aca="false">IF(OR(B1660="",A1660=""),"",C1660*IFERROR(INDEX(Kişiler!$B$5:$B$44,MATCH(B1660,Kişiler!$A$5:$A$44,0)),0)+D1660*IFERROR(INDEX(Kişiler!$C$5:$C$44,MATCH(B1660,Kişiler!$A$5:$A$44,0)),0))</f>
        <v/>
      </c>
    </row>
    <row r="1661" customFormat="false" ht="15" hidden="false" customHeight="false" outlineLevel="0" collapsed="false">
      <c r="A1661" s="12"/>
      <c r="B1661" s="13"/>
      <c r="C1661" s="14"/>
      <c r="D1661" s="14"/>
      <c r="E1661" s="13"/>
      <c r="F1661" s="15"/>
      <c r="G1661" s="16" t="str">
        <f aca="false">IF(OR(B1661="",A1661=""),"",C1661*IFERROR(INDEX(Kişiler!$B$5:$B$44,MATCH(B1661,Kişiler!$A$5:$A$44,0)),0)+D1661*IFERROR(INDEX(Kişiler!$C$5:$C$44,MATCH(B1661,Kişiler!$A$5:$A$44,0)),0))</f>
        <v/>
      </c>
    </row>
    <row r="1662" customFormat="false" ht="15" hidden="false" customHeight="false" outlineLevel="0" collapsed="false">
      <c r="A1662" s="12"/>
      <c r="B1662" s="13"/>
      <c r="C1662" s="14"/>
      <c r="D1662" s="14"/>
      <c r="E1662" s="13"/>
      <c r="F1662" s="15"/>
      <c r="G1662" s="16" t="str">
        <f aca="false">IF(OR(B1662="",A1662=""),"",C1662*IFERROR(INDEX(Kişiler!$B$5:$B$44,MATCH(B1662,Kişiler!$A$5:$A$44,0)),0)+D1662*IFERROR(INDEX(Kişiler!$C$5:$C$44,MATCH(B1662,Kişiler!$A$5:$A$44,0)),0))</f>
        <v/>
      </c>
    </row>
    <row r="1663" customFormat="false" ht="15" hidden="false" customHeight="false" outlineLevel="0" collapsed="false">
      <c r="A1663" s="12"/>
      <c r="B1663" s="13"/>
      <c r="C1663" s="14"/>
      <c r="D1663" s="14"/>
      <c r="E1663" s="13"/>
      <c r="F1663" s="15"/>
      <c r="G1663" s="16" t="str">
        <f aca="false">IF(OR(B1663="",A1663=""),"",C1663*IFERROR(INDEX(Kişiler!$B$5:$B$44,MATCH(B1663,Kişiler!$A$5:$A$44,0)),0)+D1663*IFERROR(INDEX(Kişiler!$C$5:$C$44,MATCH(B1663,Kişiler!$A$5:$A$44,0)),0))</f>
        <v/>
      </c>
    </row>
    <row r="1664" customFormat="false" ht="15" hidden="false" customHeight="false" outlineLevel="0" collapsed="false">
      <c r="A1664" s="12"/>
      <c r="B1664" s="13"/>
      <c r="C1664" s="14"/>
      <c r="D1664" s="14"/>
      <c r="E1664" s="13"/>
      <c r="F1664" s="15"/>
      <c r="G1664" s="16" t="str">
        <f aca="false">IF(OR(B1664="",A1664=""),"",C1664*IFERROR(INDEX(Kişiler!$B$5:$B$44,MATCH(B1664,Kişiler!$A$5:$A$44,0)),0)+D1664*IFERROR(INDEX(Kişiler!$C$5:$C$44,MATCH(B1664,Kişiler!$A$5:$A$44,0)),0))</f>
        <v/>
      </c>
    </row>
    <row r="1665" customFormat="false" ht="15" hidden="false" customHeight="false" outlineLevel="0" collapsed="false">
      <c r="A1665" s="12"/>
      <c r="B1665" s="13"/>
      <c r="C1665" s="14"/>
      <c r="D1665" s="14"/>
      <c r="E1665" s="13"/>
      <c r="F1665" s="15"/>
      <c r="G1665" s="16" t="str">
        <f aca="false">IF(OR(B1665="",A1665=""),"",C1665*IFERROR(INDEX(Kişiler!$B$5:$B$44,MATCH(B1665,Kişiler!$A$5:$A$44,0)),0)+D1665*IFERROR(INDEX(Kişiler!$C$5:$C$44,MATCH(B1665,Kişiler!$A$5:$A$44,0)),0))</f>
        <v/>
      </c>
    </row>
    <row r="1666" customFormat="false" ht="15" hidden="false" customHeight="false" outlineLevel="0" collapsed="false">
      <c r="A1666" s="12"/>
      <c r="B1666" s="13"/>
      <c r="C1666" s="14"/>
      <c r="D1666" s="14"/>
      <c r="E1666" s="13"/>
      <c r="F1666" s="15"/>
      <c r="G1666" s="16" t="str">
        <f aca="false">IF(OR(B1666="",A1666=""),"",C1666*IFERROR(INDEX(Kişiler!$B$5:$B$44,MATCH(B1666,Kişiler!$A$5:$A$44,0)),0)+D1666*IFERROR(INDEX(Kişiler!$C$5:$C$44,MATCH(B1666,Kişiler!$A$5:$A$44,0)),0))</f>
        <v/>
      </c>
    </row>
    <row r="1667" customFormat="false" ht="15" hidden="false" customHeight="false" outlineLevel="0" collapsed="false">
      <c r="A1667" s="12"/>
      <c r="B1667" s="13"/>
      <c r="C1667" s="14"/>
      <c r="D1667" s="14"/>
      <c r="E1667" s="13"/>
      <c r="F1667" s="15"/>
      <c r="G1667" s="16" t="str">
        <f aca="false">IF(OR(B1667="",A1667=""),"",C1667*IFERROR(INDEX(Kişiler!$B$5:$B$44,MATCH(B1667,Kişiler!$A$5:$A$44,0)),0)+D1667*IFERROR(INDEX(Kişiler!$C$5:$C$44,MATCH(B1667,Kişiler!$A$5:$A$44,0)),0))</f>
        <v/>
      </c>
    </row>
    <row r="1668" customFormat="false" ht="15" hidden="false" customHeight="false" outlineLevel="0" collapsed="false">
      <c r="A1668" s="12"/>
      <c r="B1668" s="13"/>
      <c r="C1668" s="14"/>
      <c r="D1668" s="14"/>
      <c r="E1668" s="13"/>
      <c r="F1668" s="15"/>
      <c r="G1668" s="16" t="str">
        <f aca="false">IF(OR(B1668="",A1668=""),"",C1668*IFERROR(INDEX(Kişiler!$B$5:$B$44,MATCH(B1668,Kişiler!$A$5:$A$44,0)),0)+D1668*IFERROR(INDEX(Kişiler!$C$5:$C$44,MATCH(B1668,Kişiler!$A$5:$A$44,0)),0))</f>
        <v/>
      </c>
    </row>
    <row r="1669" customFormat="false" ht="15" hidden="false" customHeight="false" outlineLevel="0" collapsed="false">
      <c r="A1669" s="12"/>
      <c r="B1669" s="13"/>
      <c r="C1669" s="14"/>
      <c r="D1669" s="14"/>
      <c r="E1669" s="13"/>
      <c r="F1669" s="15"/>
      <c r="G1669" s="16" t="str">
        <f aca="false">IF(OR(B1669="",A1669=""),"",C1669*IFERROR(INDEX(Kişiler!$B$5:$B$44,MATCH(B1669,Kişiler!$A$5:$A$44,0)),0)+D1669*IFERROR(INDEX(Kişiler!$C$5:$C$44,MATCH(B1669,Kişiler!$A$5:$A$44,0)),0))</f>
        <v/>
      </c>
    </row>
    <row r="1670" customFormat="false" ht="15" hidden="false" customHeight="false" outlineLevel="0" collapsed="false">
      <c r="A1670" s="12"/>
      <c r="B1670" s="13"/>
      <c r="C1670" s="14"/>
      <c r="D1670" s="14"/>
      <c r="E1670" s="13"/>
      <c r="F1670" s="15"/>
      <c r="G1670" s="16" t="str">
        <f aca="false">IF(OR(B1670="",A1670=""),"",C1670*IFERROR(INDEX(Kişiler!$B$5:$B$44,MATCH(B1670,Kişiler!$A$5:$A$44,0)),0)+D1670*IFERROR(INDEX(Kişiler!$C$5:$C$44,MATCH(B1670,Kişiler!$A$5:$A$44,0)),0))</f>
        <v/>
      </c>
    </row>
    <row r="1671" customFormat="false" ht="15" hidden="false" customHeight="false" outlineLevel="0" collapsed="false">
      <c r="A1671" s="12"/>
      <c r="B1671" s="13"/>
      <c r="C1671" s="14"/>
      <c r="D1671" s="14"/>
      <c r="E1671" s="13"/>
      <c r="F1671" s="15"/>
      <c r="G1671" s="16" t="str">
        <f aca="false">IF(OR(B1671="",A1671=""),"",C1671*IFERROR(INDEX(Kişiler!$B$5:$B$44,MATCH(B1671,Kişiler!$A$5:$A$44,0)),0)+D1671*IFERROR(INDEX(Kişiler!$C$5:$C$44,MATCH(B1671,Kişiler!$A$5:$A$44,0)),0))</f>
        <v/>
      </c>
    </row>
    <row r="1672" customFormat="false" ht="15" hidden="false" customHeight="false" outlineLevel="0" collapsed="false">
      <c r="A1672" s="12"/>
      <c r="B1672" s="13"/>
      <c r="C1672" s="14"/>
      <c r="D1672" s="14"/>
      <c r="E1672" s="13"/>
      <c r="F1672" s="15"/>
      <c r="G1672" s="16" t="str">
        <f aca="false">IF(OR(B1672="",A1672=""),"",C1672*IFERROR(INDEX(Kişiler!$B$5:$B$44,MATCH(B1672,Kişiler!$A$5:$A$44,0)),0)+D1672*IFERROR(INDEX(Kişiler!$C$5:$C$44,MATCH(B1672,Kişiler!$A$5:$A$44,0)),0))</f>
        <v/>
      </c>
    </row>
    <row r="1673" customFormat="false" ht="15" hidden="false" customHeight="false" outlineLevel="0" collapsed="false">
      <c r="A1673" s="12"/>
      <c r="B1673" s="13"/>
      <c r="C1673" s="14"/>
      <c r="D1673" s="14"/>
      <c r="E1673" s="13"/>
      <c r="F1673" s="15"/>
      <c r="G1673" s="16" t="str">
        <f aca="false">IF(OR(B1673="",A1673=""),"",C1673*IFERROR(INDEX(Kişiler!$B$5:$B$44,MATCH(B1673,Kişiler!$A$5:$A$44,0)),0)+D1673*IFERROR(INDEX(Kişiler!$C$5:$C$44,MATCH(B1673,Kişiler!$A$5:$A$44,0)),0))</f>
        <v/>
      </c>
    </row>
    <row r="1674" customFormat="false" ht="15" hidden="false" customHeight="false" outlineLevel="0" collapsed="false">
      <c r="A1674" s="12"/>
      <c r="B1674" s="13"/>
      <c r="C1674" s="14"/>
      <c r="D1674" s="14"/>
      <c r="E1674" s="13"/>
      <c r="F1674" s="15"/>
      <c r="G1674" s="16" t="str">
        <f aca="false">IF(OR(B1674="",A1674=""),"",C1674*IFERROR(INDEX(Kişiler!$B$5:$B$44,MATCH(B1674,Kişiler!$A$5:$A$44,0)),0)+D1674*IFERROR(INDEX(Kişiler!$C$5:$C$44,MATCH(B1674,Kişiler!$A$5:$A$44,0)),0))</f>
        <v/>
      </c>
    </row>
    <row r="1675" customFormat="false" ht="15" hidden="false" customHeight="false" outlineLevel="0" collapsed="false">
      <c r="A1675" s="12"/>
      <c r="B1675" s="13"/>
      <c r="C1675" s="14"/>
      <c r="D1675" s="14"/>
      <c r="E1675" s="13"/>
      <c r="F1675" s="15"/>
      <c r="G1675" s="16" t="str">
        <f aca="false">IF(OR(B1675="",A1675=""),"",C1675*IFERROR(INDEX(Kişiler!$B$5:$B$44,MATCH(B1675,Kişiler!$A$5:$A$44,0)),0)+D1675*IFERROR(INDEX(Kişiler!$C$5:$C$44,MATCH(B1675,Kişiler!$A$5:$A$44,0)),0))</f>
        <v/>
      </c>
    </row>
    <row r="1676" customFormat="false" ht="15" hidden="false" customHeight="false" outlineLevel="0" collapsed="false">
      <c r="A1676" s="12"/>
      <c r="B1676" s="13"/>
      <c r="C1676" s="14"/>
      <c r="D1676" s="14"/>
      <c r="E1676" s="13"/>
      <c r="F1676" s="15"/>
      <c r="G1676" s="16" t="str">
        <f aca="false">IF(OR(B1676="",A1676=""),"",C1676*IFERROR(INDEX(Kişiler!$B$5:$B$44,MATCH(B1676,Kişiler!$A$5:$A$44,0)),0)+D1676*IFERROR(INDEX(Kişiler!$C$5:$C$44,MATCH(B1676,Kişiler!$A$5:$A$44,0)),0))</f>
        <v/>
      </c>
    </row>
    <row r="1677" customFormat="false" ht="15" hidden="false" customHeight="false" outlineLevel="0" collapsed="false">
      <c r="A1677" s="12"/>
      <c r="B1677" s="13"/>
      <c r="C1677" s="14"/>
      <c r="D1677" s="14"/>
      <c r="E1677" s="13"/>
      <c r="F1677" s="15"/>
      <c r="G1677" s="16" t="str">
        <f aca="false">IF(OR(B1677="",A1677=""),"",C1677*IFERROR(INDEX(Kişiler!$B$5:$B$44,MATCH(B1677,Kişiler!$A$5:$A$44,0)),0)+D1677*IFERROR(INDEX(Kişiler!$C$5:$C$44,MATCH(B1677,Kişiler!$A$5:$A$44,0)),0))</f>
        <v/>
      </c>
    </row>
    <row r="1678" customFormat="false" ht="15" hidden="false" customHeight="false" outlineLevel="0" collapsed="false">
      <c r="A1678" s="12"/>
      <c r="B1678" s="13"/>
      <c r="C1678" s="14"/>
      <c r="D1678" s="14"/>
      <c r="E1678" s="13"/>
      <c r="F1678" s="15"/>
      <c r="G1678" s="16" t="str">
        <f aca="false">IF(OR(B1678="",A1678=""),"",C1678*IFERROR(INDEX(Kişiler!$B$5:$B$44,MATCH(B1678,Kişiler!$A$5:$A$44,0)),0)+D1678*IFERROR(INDEX(Kişiler!$C$5:$C$44,MATCH(B1678,Kişiler!$A$5:$A$44,0)),0))</f>
        <v/>
      </c>
    </row>
    <row r="1679" customFormat="false" ht="15" hidden="false" customHeight="false" outlineLevel="0" collapsed="false">
      <c r="A1679" s="12"/>
      <c r="B1679" s="13"/>
      <c r="C1679" s="14"/>
      <c r="D1679" s="14"/>
      <c r="E1679" s="13"/>
      <c r="F1679" s="15"/>
      <c r="G1679" s="16" t="str">
        <f aca="false">IF(OR(B1679="",A1679=""),"",C1679*IFERROR(INDEX(Kişiler!$B$5:$B$44,MATCH(B1679,Kişiler!$A$5:$A$44,0)),0)+D1679*IFERROR(INDEX(Kişiler!$C$5:$C$44,MATCH(B1679,Kişiler!$A$5:$A$44,0)),0))</f>
        <v/>
      </c>
    </row>
    <row r="1680" customFormat="false" ht="15" hidden="false" customHeight="false" outlineLevel="0" collapsed="false">
      <c r="A1680" s="12"/>
      <c r="B1680" s="13"/>
      <c r="C1680" s="14"/>
      <c r="D1680" s="14"/>
      <c r="E1680" s="13"/>
      <c r="F1680" s="15"/>
      <c r="G1680" s="16" t="str">
        <f aca="false">IF(OR(B1680="",A1680=""),"",C1680*IFERROR(INDEX(Kişiler!$B$5:$B$44,MATCH(B1680,Kişiler!$A$5:$A$44,0)),0)+D1680*IFERROR(INDEX(Kişiler!$C$5:$C$44,MATCH(B1680,Kişiler!$A$5:$A$44,0)),0))</f>
        <v/>
      </c>
    </row>
    <row r="1681" customFormat="false" ht="15" hidden="false" customHeight="false" outlineLevel="0" collapsed="false">
      <c r="A1681" s="12"/>
      <c r="B1681" s="13"/>
      <c r="C1681" s="14"/>
      <c r="D1681" s="14"/>
      <c r="E1681" s="13"/>
      <c r="F1681" s="15"/>
      <c r="G1681" s="16" t="str">
        <f aca="false">IF(OR(B1681="",A1681=""),"",C1681*IFERROR(INDEX(Kişiler!$B$5:$B$44,MATCH(B1681,Kişiler!$A$5:$A$44,0)),0)+D1681*IFERROR(INDEX(Kişiler!$C$5:$C$44,MATCH(B1681,Kişiler!$A$5:$A$44,0)),0))</f>
        <v/>
      </c>
    </row>
    <row r="1682" customFormat="false" ht="15" hidden="false" customHeight="false" outlineLevel="0" collapsed="false">
      <c r="A1682" s="12"/>
      <c r="B1682" s="13"/>
      <c r="C1682" s="14"/>
      <c r="D1682" s="14"/>
      <c r="E1682" s="13"/>
      <c r="F1682" s="15"/>
      <c r="G1682" s="16" t="str">
        <f aca="false">IF(OR(B1682="",A1682=""),"",C1682*IFERROR(INDEX(Kişiler!$B$5:$B$44,MATCH(B1682,Kişiler!$A$5:$A$44,0)),0)+D1682*IFERROR(INDEX(Kişiler!$C$5:$C$44,MATCH(B1682,Kişiler!$A$5:$A$44,0)),0))</f>
        <v/>
      </c>
    </row>
    <row r="1683" customFormat="false" ht="15" hidden="false" customHeight="false" outlineLevel="0" collapsed="false">
      <c r="A1683" s="12"/>
      <c r="B1683" s="13"/>
      <c r="C1683" s="14"/>
      <c r="D1683" s="14"/>
      <c r="E1683" s="13"/>
      <c r="F1683" s="15"/>
      <c r="G1683" s="16" t="str">
        <f aca="false">IF(OR(B1683="",A1683=""),"",C1683*IFERROR(INDEX(Kişiler!$B$5:$B$44,MATCH(B1683,Kişiler!$A$5:$A$44,0)),0)+D1683*IFERROR(INDEX(Kişiler!$C$5:$C$44,MATCH(B1683,Kişiler!$A$5:$A$44,0)),0))</f>
        <v/>
      </c>
    </row>
    <row r="1684" customFormat="false" ht="15" hidden="false" customHeight="false" outlineLevel="0" collapsed="false">
      <c r="A1684" s="12"/>
      <c r="B1684" s="13"/>
      <c r="C1684" s="14"/>
      <c r="D1684" s="14"/>
      <c r="E1684" s="13"/>
      <c r="F1684" s="15"/>
      <c r="G1684" s="16" t="str">
        <f aca="false">IF(OR(B1684="",A1684=""),"",C1684*IFERROR(INDEX(Kişiler!$B$5:$B$44,MATCH(B1684,Kişiler!$A$5:$A$44,0)),0)+D1684*IFERROR(INDEX(Kişiler!$C$5:$C$44,MATCH(B1684,Kişiler!$A$5:$A$44,0)),0))</f>
        <v/>
      </c>
    </row>
    <row r="1685" customFormat="false" ht="15" hidden="false" customHeight="false" outlineLevel="0" collapsed="false">
      <c r="A1685" s="12"/>
      <c r="B1685" s="13"/>
      <c r="C1685" s="14"/>
      <c r="D1685" s="14"/>
      <c r="E1685" s="13"/>
      <c r="F1685" s="15"/>
      <c r="G1685" s="16" t="str">
        <f aca="false">IF(OR(B1685="",A1685=""),"",C1685*IFERROR(INDEX(Kişiler!$B$5:$B$44,MATCH(B1685,Kişiler!$A$5:$A$44,0)),0)+D1685*IFERROR(INDEX(Kişiler!$C$5:$C$44,MATCH(B1685,Kişiler!$A$5:$A$44,0)),0))</f>
        <v/>
      </c>
    </row>
    <row r="1686" customFormat="false" ht="15" hidden="false" customHeight="false" outlineLevel="0" collapsed="false">
      <c r="A1686" s="12"/>
      <c r="B1686" s="13"/>
      <c r="C1686" s="14"/>
      <c r="D1686" s="14"/>
      <c r="E1686" s="13"/>
      <c r="F1686" s="15"/>
      <c r="G1686" s="16" t="str">
        <f aca="false">IF(OR(B1686="",A1686=""),"",C1686*IFERROR(INDEX(Kişiler!$B$5:$B$44,MATCH(B1686,Kişiler!$A$5:$A$44,0)),0)+D1686*IFERROR(INDEX(Kişiler!$C$5:$C$44,MATCH(B1686,Kişiler!$A$5:$A$44,0)),0))</f>
        <v/>
      </c>
    </row>
    <row r="1687" customFormat="false" ht="15" hidden="false" customHeight="false" outlineLevel="0" collapsed="false">
      <c r="A1687" s="12"/>
      <c r="B1687" s="13"/>
      <c r="C1687" s="14"/>
      <c r="D1687" s="14"/>
      <c r="E1687" s="13"/>
      <c r="F1687" s="15"/>
      <c r="G1687" s="16" t="str">
        <f aca="false">IF(OR(B1687="",A1687=""),"",C1687*IFERROR(INDEX(Kişiler!$B$5:$B$44,MATCH(B1687,Kişiler!$A$5:$A$44,0)),0)+D1687*IFERROR(INDEX(Kişiler!$C$5:$C$44,MATCH(B1687,Kişiler!$A$5:$A$44,0)),0))</f>
        <v/>
      </c>
    </row>
    <row r="1688" customFormat="false" ht="15" hidden="false" customHeight="false" outlineLevel="0" collapsed="false">
      <c r="A1688" s="12"/>
      <c r="B1688" s="13"/>
      <c r="C1688" s="14"/>
      <c r="D1688" s="14"/>
      <c r="E1688" s="13"/>
      <c r="F1688" s="15"/>
      <c r="G1688" s="16" t="str">
        <f aca="false">IF(OR(B1688="",A1688=""),"",C1688*IFERROR(INDEX(Kişiler!$B$5:$B$44,MATCH(B1688,Kişiler!$A$5:$A$44,0)),0)+D1688*IFERROR(INDEX(Kişiler!$C$5:$C$44,MATCH(B1688,Kişiler!$A$5:$A$44,0)),0))</f>
        <v/>
      </c>
    </row>
    <row r="1689" customFormat="false" ht="15" hidden="false" customHeight="false" outlineLevel="0" collapsed="false">
      <c r="A1689" s="12"/>
      <c r="B1689" s="13"/>
      <c r="C1689" s="14"/>
      <c r="D1689" s="14"/>
      <c r="E1689" s="13"/>
      <c r="F1689" s="15"/>
      <c r="G1689" s="16" t="str">
        <f aca="false">IF(OR(B1689="",A1689=""),"",C1689*IFERROR(INDEX(Kişiler!$B$5:$B$44,MATCH(B1689,Kişiler!$A$5:$A$44,0)),0)+D1689*IFERROR(INDEX(Kişiler!$C$5:$C$44,MATCH(B1689,Kişiler!$A$5:$A$44,0)),0))</f>
        <v/>
      </c>
    </row>
    <row r="1690" customFormat="false" ht="15" hidden="false" customHeight="false" outlineLevel="0" collapsed="false">
      <c r="A1690" s="12"/>
      <c r="B1690" s="13"/>
      <c r="C1690" s="14"/>
      <c r="D1690" s="14"/>
      <c r="E1690" s="13"/>
      <c r="F1690" s="15"/>
      <c r="G1690" s="16" t="str">
        <f aca="false">IF(OR(B1690="",A1690=""),"",C1690*IFERROR(INDEX(Kişiler!$B$5:$B$44,MATCH(B1690,Kişiler!$A$5:$A$44,0)),0)+D1690*IFERROR(INDEX(Kişiler!$C$5:$C$44,MATCH(B1690,Kişiler!$A$5:$A$44,0)),0))</f>
        <v/>
      </c>
    </row>
    <row r="1691" customFormat="false" ht="15" hidden="false" customHeight="false" outlineLevel="0" collapsed="false">
      <c r="A1691" s="12"/>
      <c r="B1691" s="13"/>
      <c r="C1691" s="14"/>
      <c r="D1691" s="14"/>
      <c r="E1691" s="13"/>
      <c r="F1691" s="15"/>
      <c r="G1691" s="16" t="str">
        <f aca="false">IF(OR(B1691="",A1691=""),"",C1691*IFERROR(INDEX(Kişiler!$B$5:$B$44,MATCH(B1691,Kişiler!$A$5:$A$44,0)),0)+D1691*IFERROR(INDEX(Kişiler!$C$5:$C$44,MATCH(B1691,Kişiler!$A$5:$A$44,0)),0))</f>
        <v/>
      </c>
    </row>
    <row r="1692" customFormat="false" ht="15" hidden="false" customHeight="false" outlineLevel="0" collapsed="false">
      <c r="A1692" s="12"/>
      <c r="B1692" s="13"/>
      <c r="C1692" s="14"/>
      <c r="D1692" s="14"/>
      <c r="E1692" s="13"/>
      <c r="F1692" s="15"/>
      <c r="G1692" s="16" t="str">
        <f aca="false">IF(OR(B1692="",A1692=""),"",C1692*IFERROR(INDEX(Kişiler!$B$5:$B$44,MATCH(B1692,Kişiler!$A$5:$A$44,0)),0)+D1692*IFERROR(INDEX(Kişiler!$C$5:$C$44,MATCH(B1692,Kişiler!$A$5:$A$44,0)),0))</f>
        <v/>
      </c>
    </row>
    <row r="1693" customFormat="false" ht="15" hidden="false" customHeight="false" outlineLevel="0" collapsed="false">
      <c r="A1693" s="12"/>
      <c r="B1693" s="13"/>
      <c r="C1693" s="14"/>
      <c r="D1693" s="14"/>
      <c r="E1693" s="13"/>
      <c r="F1693" s="15"/>
      <c r="G1693" s="16" t="str">
        <f aca="false">IF(OR(B1693="",A1693=""),"",C1693*IFERROR(INDEX(Kişiler!$B$5:$B$44,MATCH(B1693,Kişiler!$A$5:$A$44,0)),0)+D1693*IFERROR(INDEX(Kişiler!$C$5:$C$44,MATCH(B1693,Kişiler!$A$5:$A$44,0)),0))</f>
        <v/>
      </c>
    </row>
    <row r="1694" customFormat="false" ht="15" hidden="false" customHeight="false" outlineLevel="0" collapsed="false">
      <c r="A1694" s="12"/>
      <c r="B1694" s="13"/>
      <c r="C1694" s="14"/>
      <c r="D1694" s="14"/>
      <c r="E1694" s="13"/>
      <c r="F1694" s="15"/>
      <c r="G1694" s="16" t="str">
        <f aca="false">IF(OR(B1694="",A1694=""),"",C1694*IFERROR(INDEX(Kişiler!$B$5:$B$44,MATCH(B1694,Kişiler!$A$5:$A$44,0)),0)+D1694*IFERROR(INDEX(Kişiler!$C$5:$C$44,MATCH(B1694,Kişiler!$A$5:$A$44,0)),0))</f>
        <v/>
      </c>
    </row>
    <row r="1695" customFormat="false" ht="15" hidden="false" customHeight="false" outlineLevel="0" collapsed="false">
      <c r="A1695" s="12"/>
      <c r="B1695" s="13"/>
      <c r="C1695" s="14"/>
      <c r="D1695" s="14"/>
      <c r="E1695" s="13"/>
      <c r="F1695" s="15"/>
      <c r="G1695" s="16" t="str">
        <f aca="false">IF(OR(B1695="",A1695=""),"",C1695*IFERROR(INDEX(Kişiler!$B$5:$B$44,MATCH(B1695,Kişiler!$A$5:$A$44,0)),0)+D1695*IFERROR(INDEX(Kişiler!$C$5:$C$44,MATCH(B1695,Kişiler!$A$5:$A$44,0)),0))</f>
        <v/>
      </c>
    </row>
    <row r="1696" customFormat="false" ht="15" hidden="false" customHeight="false" outlineLevel="0" collapsed="false">
      <c r="A1696" s="12"/>
      <c r="B1696" s="13"/>
      <c r="C1696" s="14"/>
      <c r="D1696" s="14"/>
      <c r="E1696" s="13"/>
      <c r="F1696" s="15"/>
      <c r="G1696" s="16" t="str">
        <f aca="false">IF(OR(B1696="",A1696=""),"",C1696*IFERROR(INDEX(Kişiler!$B$5:$B$44,MATCH(B1696,Kişiler!$A$5:$A$44,0)),0)+D1696*IFERROR(INDEX(Kişiler!$C$5:$C$44,MATCH(B1696,Kişiler!$A$5:$A$44,0)),0))</f>
        <v/>
      </c>
    </row>
    <row r="1697" customFormat="false" ht="15" hidden="false" customHeight="false" outlineLevel="0" collapsed="false">
      <c r="A1697" s="12"/>
      <c r="B1697" s="13"/>
      <c r="C1697" s="14"/>
      <c r="D1697" s="14"/>
      <c r="E1697" s="13"/>
      <c r="F1697" s="15"/>
      <c r="G1697" s="16" t="str">
        <f aca="false">IF(OR(B1697="",A1697=""),"",C1697*IFERROR(INDEX(Kişiler!$B$5:$B$44,MATCH(B1697,Kişiler!$A$5:$A$44,0)),0)+D1697*IFERROR(INDEX(Kişiler!$C$5:$C$44,MATCH(B1697,Kişiler!$A$5:$A$44,0)),0))</f>
        <v/>
      </c>
    </row>
    <row r="1698" customFormat="false" ht="15" hidden="false" customHeight="false" outlineLevel="0" collapsed="false">
      <c r="A1698" s="12"/>
      <c r="B1698" s="13"/>
      <c r="C1698" s="14"/>
      <c r="D1698" s="14"/>
      <c r="E1698" s="13"/>
      <c r="F1698" s="15"/>
      <c r="G1698" s="16" t="str">
        <f aca="false">IF(OR(B1698="",A1698=""),"",C1698*IFERROR(INDEX(Kişiler!$B$5:$B$44,MATCH(B1698,Kişiler!$A$5:$A$44,0)),0)+D1698*IFERROR(INDEX(Kişiler!$C$5:$C$44,MATCH(B1698,Kişiler!$A$5:$A$44,0)),0))</f>
        <v/>
      </c>
    </row>
    <row r="1699" customFormat="false" ht="15" hidden="false" customHeight="false" outlineLevel="0" collapsed="false">
      <c r="A1699" s="12"/>
      <c r="B1699" s="13"/>
      <c r="C1699" s="14"/>
      <c r="D1699" s="14"/>
      <c r="E1699" s="13"/>
      <c r="F1699" s="15"/>
      <c r="G1699" s="16" t="str">
        <f aca="false">IF(OR(B1699="",A1699=""),"",C1699*IFERROR(INDEX(Kişiler!$B$5:$B$44,MATCH(B1699,Kişiler!$A$5:$A$44,0)),0)+D1699*IFERROR(INDEX(Kişiler!$C$5:$C$44,MATCH(B1699,Kişiler!$A$5:$A$44,0)),0))</f>
        <v/>
      </c>
    </row>
    <row r="1700" customFormat="false" ht="15" hidden="false" customHeight="false" outlineLevel="0" collapsed="false">
      <c r="A1700" s="12"/>
      <c r="B1700" s="13"/>
      <c r="C1700" s="14"/>
      <c r="D1700" s="14"/>
      <c r="E1700" s="13"/>
      <c r="F1700" s="15"/>
      <c r="G1700" s="16" t="str">
        <f aca="false">IF(OR(B1700="",A1700=""),"",C1700*IFERROR(INDEX(Kişiler!$B$5:$B$44,MATCH(B1700,Kişiler!$A$5:$A$44,0)),0)+D1700*IFERROR(INDEX(Kişiler!$C$5:$C$44,MATCH(B1700,Kişiler!$A$5:$A$44,0)),0))</f>
        <v/>
      </c>
    </row>
    <row r="1701" customFormat="false" ht="15" hidden="false" customHeight="false" outlineLevel="0" collapsed="false">
      <c r="A1701" s="12"/>
      <c r="B1701" s="13"/>
      <c r="C1701" s="14"/>
      <c r="D1701" s="14"/>
      <c r="E1701" s="13"/>
      <c r="F1701" s="15"/>
      <c r="G1701" s="16" t="str">
        <f aca="false">IF(OR(B1701="",A1701=""),"",C1701*IFERROR(INDEX(Kişiler!$B$5:$B$44,MATCH(B1701,Kişiler!$A$5:$A$44,0)),0)+D1701*IFERROR(INDEX(Kişiler!$C$5:$C$44,MATCH(B1701,Kişiler!$A$5:$A$44,0)),0))</f>
        <v/>
      </c>
    </row>
    <row r="1702" customFormat="false" ht="15" hidden="false" customHeight="false" outlineLevel="0" collapsed="false">
      <c r="A1702" s="12"/>
      <c r="B1702" s="13"/>
      <c r="C1702" s="14"/>
      <c r="D1702" s="14"/>
      <c r="E1702" s="13"/>
      <c r="F1702" s="15"/>
      <c r="G1702" s="16" t="str">
        <f aca="false">IF(OR(B1702="",A1702=""),"",C1702*IFERROR(INDEX(Kişiler!$B$5:$B$44,MATCH(B1702,Kişiler!$A$5:$A$44,0)),0)+D1702*IFERROR(INDEX(Kişiler!$C$5:$C$44,MATCH(B1702,Kişiler!$A$5:$A$44,0)),0))</f>
        <v/>
      </c>
    </row>
    <row r="1703" customFormat="false" ht="15" hidden="false" customHeight="false" outlineLevel="0" collapsed="false">
      <c r="A1703" s="12"/>
      <c r="B1703" s="13"/>
      <c r="C1703" s="14"/>
      <c r="D1703" s="14"/>
      <c r="E1703" s="13"/>
      <c r="F1703" s="15"/>
      <c r="G1703" s="16" t="str">
        <f aca="false">IF(OR(B1703="",A1703=""),"",C1703*IFERROR(INDEX(Kişiler!$B$5:$B$44,MATCH(B1703,Kişiler!$A$5:$A$44,0)),0)+D1703*IFERROR(INDEX(Kişiler!$C$5:$C$44,MATCH(B1703,Kişiler!$A$5:$A$44,0)),0))</f>
        <v/>
      </c>
    </row>
    <row r="1704" customFormat="false" ht="15" hidden="false" customHeight="false" outlineLevel="0" collapsed="false">
      <c r="A1704" s="12"/>
      <c r="B1704" s="13"/>
      <c r="C1704" s="14"/>
      <c r="D1704" s="14"/>
      <c r="E1704" s="13"/>
      <c r="F1704" s="15"/>
      <c r="G1704" s="16" t="str">
        <f aca="false">IF(OR(B1704="",A1704=""),"",C1704*IFERROR(INDEX(Kişiler!$B$5:$B$44,MATCH(B1704,Kişiler!$A$5:$A$44,0)),0)+D1704*IFERROR(INDEX(Kişiler!$C$5:$C$44,MATCH(B1704,Kişiler!$A$5:$A$44,0)),0))</f>
        <v/>
      </c>
    </row>
    <row r="1705" customFormat="false" ht="15" hidden="false" customHeight="false" outlineLevel="0" collapsed="false">
      <c r="A1705" s="12"/>
      <c r="B1705" s="13"/>
      <c r="C1705" s="14"/>
      <c r="D1705" s="14"/>
      <c r="E1705" s="13"/>
      <c r="F1705" s="15"/>
      <c r="G1705" s="16" t="str">
        <f aca="false">IF(OR(B1705="",A1705=""),"",C1705*IFERROR(INDEX(Kişiler!$B$5:$B$44,MATCH(B1705,Kişiler!$A$5:$A$44,0)),0)+D1705*IFERROR(INDEX(Kişiler!$C$5:$C$44,MATCH(B1705,Kişiler!$A$5:$A$44,0)),0))</f>
        <v/>
      </c>
    </row>
    <row r="1706" customFormat="false" ht="15" hidden="false" customHeight="false" outlineLevel="0" collapsed="false">
      <c r="A1706" s="12"/>
      <c r="B1706" s="13"/>
      <c r="C1706" s="14"/>
      <c r="D1706" s="14"/>
      <c r="E1706" s="13"/>
      <c r="F1706" s="15"/>
      <c r="G1706" s="16" t="str">
        <f aca="false">IF(OR(B1706="",A1706=""),"",C1706*IFERROR(INDEX(Kişiler!$B$5:$B$44,MATCH(B1706,Kişiler!$A$5:$A$44,0)),0)+D1706*IFERROR(INDEX(Kişiler!$C$5:$C$44,MATCH(B1706,Kişiler!$A$5:$A$44,0)),0))</f>
        <v/>
      </c>
    </row>
    <row r="1707" customFormat="false" ht="15" hidden="false" customHeight="false" outlineLevel="0" collapsed="false">
      <c r="A1707" s="12"/>
      <c r="B1707" s="13"/>
      <c r="C1707" s="14"/>
      <c r="D1707" s="14"/>
      <c r="E1707" s="13"/>
      <c r="F1707" s="15"/>
      <c r="G1707" s="16" t="str">
        <f aca="false">IF(OR(B1707="",A1707=""),"",C1707*IFERROR(INDEX(Kişiler!$B$5:$B$44,MATCH(B1707,Kişiler!$A$5:$A$44,0)),0)+D1707*IFERROR(INDEX(Kişiler!$C$5:$C$44,MATCH(B1707,Kişiler!$A$5:$A$44,0)),0))</f>
        <v/>
      </c>
    </row>
    <row r="1708" customFormat="false" ht="15" hidden="false" customHeight="false" outlineLevel="0" collapsed="false">
      <c r="A1708" s="12"/>
      <c r="B1708" s="13"/>
      <c r="C1708" s="14"/>
      <c r="D1708" s="14"/>
      <c r="E1708" s="13"/>
      <c r="F1708" s="15"/>
      <c r="G1708" s="16" t="str">
        <f aca="false">IF(OR(B1708="",A1708=""),"",C1708*IFERROR(INDEX(Kişiler!$B$5:$B$44,MATCH(B1708,Kişiler!$A$5:$A$44,0)),0)+D1708*IFERROR(INDEX(Kişiler!$C$5:$C$44,MATCH(B1708,Kişiler!$A$5:$A$44,0)),0))</f>
        <v/>
      </c>
    </row>
    <row r="1709" customFormat="false" ht="15" hidden="false" customHeight="false" outlineLevel="0" collapsed="false">
      <c r="A1709" s="12"/>
      <c r="B1709" s="13"/>
      <c r="C1709" s="14"/>
      <c r="D1709" s="14"/>
      <c r="E1709" s="13"/>
      <c r="F1709" s="15"/>
      <c r="G1709" s="16" t="str">
        <f aca="false">IF(OR(B1709="",A1709=""),"",C1709*IFERROR(INDEX(Kişiler!$B$5:$B$44,MATCH(B1709,Kişiler!$A$5:$A$44,0)),0)+D1709*IFERROR(INDEX(Kişiler!$C$5:$C$44,MATCH(B1709,Kişiler!$A$5:$A$44,0)),0))</f>
        <v/>
      </c>
    </row>
    <row r="1710" customFormat="false" ht="15" hidden="false" customHeight="false" outlineLevel="0" collapsed="false">
      <c r="A1710" s="12"/>
      <c r="B1710" s="13"/>
      <c r="C1710" s="14"/>
      <c r="D1710" s="14"/>
      <c r="E1710" s="13"/>
      <c r="F1710" s="15"/>
      <c r="G1710" s="16" t="str">
        <f aca="false">IF(OR(B1710="",A1710=""),"",C1710*IFERROR(INDEX(Kişiler!$B$5:$B$44,MATCH(B1710,Kişiler!$A$5:$A$44,0)),0)+D1710*IFERROR(INDEX(Kişiler!$C$5:$C$44,MATCH(B1710,Kişiler!$A$5:$A$44,0)),0))</f>
        <v/>
      </c>
    </row>
    <row r="1711" customFormat="false" ht="15" hidden="false" customHeight="false" outlineLevel="0" collapsed="false">
      <c r="A1711" s="12"/>
      <c r="B1711" s="13"/>
      <c r="C1711" s="14"/>
      <c r="D1711" s="14"/>
      <c r="E1711" s="13"/>
      <c r="F1711" s="15"/>
      <c r="G1711" s="16" t="str">
        <f aca="false">IF(OR(B1711="",A1711=""),"",C1711*IFERROR(INDEX(Kişiler!$B$5:$B$44,MATCH(B1711,Kişiler!$A$5:$A$44,0)),0)+D1711*IFERROR(INDEX(Kişiler!$C$5:$C$44,MATCH(B1711,Kişiler!$A$5:$A$44,0)),0))</f>
        <v/>
      </c>
    </row>
    <row r="1712" customFormat="false" ht="15" hidden="false" customHeight="false" outlineLevel="0" collapsed="false">
      <c r="A1712" s="12"/>
      <c r="B1712" s="13"/>
      <c r="C1712" s="14"/>
      <c r="D1712" s="14"/>
      <c r="E1712" s="13"/>
      <c r="F1712" s="15"/>
      <c r="G1712" s="16" t="str">
        <f aca="false">IF(OR(B1712="",A1712=""),"",C1712*IFERROR(INDEX(Kişiler!$B$5:$B$44,MATCH(B1712,Kişiler!$A$5:$A$44,0)),0)+D1712*IFERROR(INDEX(Kişiler!$C$5:$C$44,MATCH(B1712,Kişiler!$A$5:$A$44,0)),0))</f>
        <v/>
      </c>
    </row>
    <row r="1713" customFormat="false" ht="15" hidden="false" customHeight="false" outlineLevel="0" collapsed="false">
      <c r="A1713" s="12"/>
      <c r="B1713" s="13"/>
      <c r="C1713" s="14"/>
      <c r="D1713" s="14"/>
      <c r="E1713" s="13"/>
      <c r="F1713" s="15"/>
      <c r="G1713" s="16" t="str">
        <f aca="false">IF(OR(B1713="",A1713=""),"",C1713*IFERROR(INDEX(Kişiler!$B$5:$B$44,MATCH(B1713,Kişiler!$A$5:$A$44,0)),0)+D1713*IFERROR(INDEX(Kişiler!$C$5:$C$44,MATCH(B1713,Kişiler!$A$5:$A$44,0)),0))</f>
        <v/>
      </c>
    </row>
    <row r="1714" customFormat="false" ht="15" hidden="false" customHeight="false" outlineLevel="0" collapsed="false">
      <c r="A1714" s="12"/>
      <c r="B1714" s="13"/>
      <c r="C1714" s="14"/>
      <c r="D1714" s="14"/>
      <c r="E1714" s="13"/>
      <c r="F1714" s="15"/>
      <c r="G1714" s="16" t="str">
        <f aca="false">IF(OR(B1714="",A1714=""),"",C1714*IFERROR(INDEX(Kişiler!$B$5:$B$44,MATCH(B1714,Kişiler!$A$5:$A$44,0)),0)+D1714*IFERROR(INDEX(Kişiler!$C$5:$C$44,MATCH(B1714,Kişiler!$A$5:$A$44,0)),0))</f>
        <v/>
      </c>
    </row>
    <row r="1715" customFormat="false" ht="15" hidden="false" customHeight="false" outlineLevel="0" collapsed="false">
      <c r="A1715" s="12"/>
      <c r="B1715" s="13"/>
      <c r="C1715" s="14"/>
      <c r="D1715" s="14"/>
      <c r="E1715" s="13"/>
      <c r="F1715" s="15"/>
      <c r="G1715" s="16" t="str">
        <f aca="false">IF(OR(B1715="",A1715=""),"",C1715*IFERROR(INDEX(Kişiler!$B$5:$B$44,MATCH(B1715,Kişiler!$A$5:$A$44,0)),0)+D1715*IFERROR(INDEX(Kişiler!$C$5:$C$44,MATCH(B1715,Kişiler!$A$5:$A$44,0)),0))</f>
        <v/>
      </c>
    </row>
    <row r="1716" customFormat="false" ht="15" hidden="false" customHeight="false" outlineLevel="0" collapsed="false">
      <c r="A1716" s="12"/>
      <c r="B1716" s="13"/>
      <c r="C1716" s="14"/>
      <c r="D1716" s="14"/>
      <c r="E1716" s="13"/>
      <c r="F1716" s="15"/>
      <c r="G1716" s="16" t="str">
        <f aca="false">IF(OR(B1716="",A1716=""),"",C1716*IFERROR(INDEX(Kişiler!$B$5:$B$44,MATCH(B1716,Kişiler!$A$5:$A$44,0)),0)+D1716*IFERROR(INDEX(Kişiler!$C$5:$C$44,MATCH(B1716,Kişiler!$A$5:$A$44,0)),0))</f>
        <v/>
      </c>
    </row>
    <row r="1717" customFormat="false" ht="15" hidden="false" customHeight="false" outlineLevel="0" collapsed="false">
      <c r="A1717" s="12"/>
      <c r="B1717" s="13"/>
      <c r="C1717" s="14"/>
      <c r="D1717" s="14"/>
      <c r="E1717" s="13"/>
      <c r="F1717" s="15"/>
      <c r="G1717" s="16" t="str">
        <f aca="false">IF(OR(B1717="",A1717=""),"",C1717*IFERROR(INDEX(Kişiler!$B$5:$B$44,MATCH(B1717,Kişiler!$A$5:$A$44,0)),0)+D1717*IFERROR(INDEX(Kişiler!$C$5:$C$44,MATCH(B1717,Kişiler!$A$5:$A$44,0)),0))</f>
        <v/>
      </c>
    </row>
    <row r="1718" customFormat="false" ht="15" hidden="false" customHeight="false" outlineLevel="0" collapsed="false">
      <c r="A1718" s="12"/>
      <c r="B1718" s="13"/>
      <c r="C1718" s="14"/>
      <c r="D1718" s="14"/>
      <c r="E1718" s="13"/>
      <c r="F1718" s="15"/>
      <c r="G1718" s="16" t="str">
        <f aca="false">IF(OR(B1718="",A1718=""),"",C1718*IFERROR(INDEX(Kişiler!$B$5:$B$44,MATCH(B1718,Kişiler!$A$5:$A$44,0)),0)+D1718*IFERROR(INDEX(Kişiler!$C$5:$C$44,MATCH(B1718,Kişiler!$A$5:$A$44,0)),0))</f>
        <v/>
      </c>
    </row>
    <row r="1719" customFormat="false" ht="15" hidden="false" customHeight="false" outlineLevel="0" collapsed="false">
      <c r="A1719" s="12"/>
      <c r="B1719" s="13"/>
      <c r="C1719" s="14"/>
      <c r="D1719" s="14"/>
      <c r="E1719" s="13"/>
      <c r="F1719" s="15"/>
      <c r="G1719" s="16" t="str">
        <f aca="false">IF(OR(B1719="",A1719=""),"",C1719*IFERROR(INDEX(Kişiler!$B$5:$B$44,MATCH(B1719,Kişiler!$A$5:$A$44,0)),0)+D1719*IFERROR(INDEX(Kişiler!$C$5:$C$44,MATCH(B1719,Kişiler!$A$5:$A$44,0)),0))</f>
        <v/>
      </c>
    </row>
    <row r="1720" customFormat="false" ht="15" hidden="false" customHeight="false" outlineLevel="0" collapsed="false">
      <c r="A1720" s="12"/>
      <c r="B1720" s="13"/>
      <c r="C1720" s="14"/>
      <c r="D1720" s="14"/>
      <c r="E1720" s="13"/>
      <c r="F1720" s="15"/>
      <c r="G1720" s="16" t="str">
        <f aca="false">IF(OR(B1720="",A1720=""),"",C1720*IFERROR(INDEX(Kişiler!$B$5:$B$44,MATCH(B1720,Kişiler!$A$5:$A$44,0)),0)+D1720*IFERROR(INDEX(Kişiler!$C$5:$C$44,MATCH(B1720,Kişiler!$A$5:$A$44,0)),0))</f>
        <v/>
      </c>
    </row>
    <row r="1721" customFormat="false" ht="15" hidden="false" customHeight="false" outlineLevel="0" collapsed="false">
      <c r="A1721" s="12"/>
      <c r="B1721" s="13"/>
      <c r="C1721" s="14"/>
      <c r="D1721" s="14"/>
      <c r="E1721" s="13"/>
      <c r="F1721" s="15"/>
      <c r="G1721" s="16" t="str">
        <f aca="false">IF(OR(B1721="",A1721=""),"",C1721*IFERROR(INDEX(Kişiler!$B$5:$B$44,MATCH(B1721,Kişiler!$A$5:$A$44,0)),0)+D1721*IFERROR(INDEX(Kişiler!$C$5:$C$44,MATCH(B1721,Kişiler!$A$5:$A$44,0)),0))</f>
        <v/>
      </c>
    </row>
    <row r="1722" customFormat="false" ht="15" hidden="false" customHeight="false" outlineLevel="0" collapsed="false">
      <c r="A1722" s="12"/>
      <c r="B1722" s="13"/>
      <c r="C1722" s="14"/>
      <c r="D1722" s="14"/>
      <c r="E1722" s="13"/>
      <c r="F1722" s="15"/>
      <c r="G1722" s="16" t="str">
        <f aca="false">IF(OR(B1722="",A1722=""),"",C1722*IFERROR(INDEX(Kişiler!$B$5:$B$44,MATCH(B1722,Kişiler!$A$5:$A$44,0)),0)+D1722*IFERROR(INDEX(Kişiler!$C$5:$C$44,MATCH(B1722,Kişiler!$A$5:$A$44,0)),0))</f>
        <v/>
      </c>
    </row>
    <row r="1723" customFormat="false" ht="15" hidden="false" customHeight="false" outlineLevel="0" collapsed="false">
      <c r="A1723" s="12"/>
      <c r="B1723" s="13"/>
      <c r="C1723" s="14"/>
      <c r="D1723" s="14"/>
      <c r="E1723" s="13"/>
      <c r="F1723" s="15"/>
      <c r="G1723" s="16" t="str">
        <f aca="false">IF(OR(B1723="",A1723=""),"",C1723*IFERROR(INDEX(Kişiler!$B$5:$B$44,MATCH(B1723,Kişiler!$A$5:$A$44,0)),0)+D1723*IFERROR(INDEX(Kişiler!$C$5:$C$44,MATCH(B1723,Kişiler!$A$5:$A$44,0)),0))</f>
        <v/>
      </c>
    </row>
    <row r="1724" customFormat="false" ht="15" hidden="false" customHeight="false" outlineLevel="0" collapsed="false">
      <c r="A1724" s="12"/>
      <c r="B1724" s="13"/>
      <c r="C1724" s="14"/>
      <c r="D1724" s="14"/>
      <c r="E1724" s="13"/>
      <c r="F1724" s="15"/>
      <c r="G1724" s="16" t="str">
        <f aca="false">IF(OR(B1724="",A1724=""),"",C1724*IFERROR(INDEX(Kişiler!$B$5:$B$44,MATCH(B1724,Kişiler!$A$5:$A$44,0)),0)+D1724*IFERROR(INDEX(Kişiler!$C$5:$C$44,MATCH(B1724,Kişiler!$A$5:$A$44,0)),0))</f>
        <v/>
      </c>
    </row>
    <row r="1725" customFormat="false" ht="15" hidden="false" customHeight="false" outlineLevel="0" collapsed="false">
      <c r="A1725" s="12"/>
      <c r="B1725" s="13"/>
      <c r="C1725" s="14"/>
      <c r="D1725" s="14"/>
      <c r="E1725" s="13"/>
      <c r="F1725" s="15"/>
      <c r="G1725" s="16" t="str">
        <f aca="false">IF(OR(B1725="",A1725=""),"",C1725*IFERROR(INDEX(Kişiler!$B$5:$B$44,MATCH(B1725,Kişiler!$A$5:$A$44,0)),0)+D1725*IFERROR(INDEX(Kişiler!$C$5:$C$44,MATCH(B1725,Kişiler!$A$5:$A$44,0)),0))</f>
        <v/>
      </c>
    </row>
    <row r="1726" customFormat="false" ht="15" hidden="false" customHeight="false" outlineLevel="0" collapsed="false">
      <c r="A1726" s="12"/>
      <c r="B1726" s="13"/>
      <c r="C1726" s="14"/>
      <c r="D1726" s="14"/>
      <c r="E1726" s="13"/>
      <c r="F1726" s="15"/>
      <c r="G1726" s="16" t="str">
        <f aca="false">IF(OR(B1726="",A1726=""),"",C1726*IFERROR(INDEX(Kişiler!$B$5:$B$44,MATCH(B1726,Kişiler!$A$5:$A$44,0)),0)+D1726*IFERROR(INDEX(Kişiler!$C$5:$C$44,MATCH(B1726,Kişiler!$A$5:$A$44,0)),0))</f>
        <v/>
      </c>
    </row>
    <row r="1727" customFormat="false" ht="15" hidden="false" customHeight="false" outlineLevel="0" collapsed="false">
      <c r="A1727" s="12"/>
      <c r="B1727" s="13"/>
      <c r="C1727" s="14"/>
      <c r="D1727" s="14"/>
      <c r="E1727" s="13"/>
      <c r="F1727" s="15"/>
      <c r="G1727" s="16" t="str">
        <f aca="false">IF(OR(B1727="",A1727=""),"",C1727*IFERROR(INDEX(Kişiler!$B$5:$B$44,MATCH(B1727,Kişiler!$A$5:$A$44,0)),0)+D1727*IFERROR(INDEX(Kişiler!$C$5:$C$44,MATCH(B1727,Kişiler!$A$5:$A$44,0)),0))</f>
        <v/>
      </c>
    </row>
    <row r="1728" customFormat="false" ht="15" hidden="false" customHeight="false" outlineLevel="0" collapsed="false">
      <c r="A1728" s="12"/>
      <c r="B1728" s="13"/>
      <c r="C1728" s="14"/>
      <c r="D1728" s="14"/>
      <c r="E1728" s="13"/>
      <c r="F1728" s="15"/>
      <c r="G1728" s="16" t="str">
        <f aca="false">IF(OR(B1728="",A1728=""),"",C1728*IFERROR(INDEX(Kişiler!$B$5:$B$44,MATCH(B1728,Kişiler!$A$5:$A$44,0)),0)+D1728*IFERROR(INDEX(Kişiler!$C$5:$C$44,MATCH(B1728,Kişiler!$A$5:$A$44,0)),0))</f>
        <v/>
      </c>
    </row>
    <row r="1729" customFormat="false" ht="15" hidden="false" customHeight="false" outlineLevel="0" collapsed="false">
      <c r="A1729" s="12"/>
      <c r="B1729" s="13"/>
      <c r="C1729" s="14"/>
      <c r="D1729" s="14"/>
      <c r="E1729" s="13"/>
      <c r="F1729" s="15"/>
      <c r="G1729" s="16" t="str">
        <f aca="false">IF(OR(B1729="",A1729=""),"",C1729*IFERROR(INDEX(Kişiler!$B$5:$B$44,MATCH(B1729,Kişiler!$A$5:$A$44,0)),0)+D1729*IFERROR(INDEX(Kişiler!$C$5:$C$44,MATCH(B1729,Kişiler!$A$5:$A$44,0)),0))</f>
        <v/>
      </c>
    </row>
    <row r="1730" customFormat="false" ht="15" hidden="false" customHeight="false" outlineLevel="0" collapsed="false">
      <c r="A1730" s="12"/>
      <c r="B1730" s="13"/>
      <c r="C1730" s="14"/>
      <c r="D1730" s="14"/>
      <c r="E1730" s="13"/>
      <c r="F1730" s="15"/>
      <c r="G1730" s="16" t="str">
        <f aca="false">IF(OR(B1730="",A1730=""),"",C1730*IFERROR(INDEX(Kişiler!$B$5:$B$44,MATCH(B1730,Kişiler!$A$5:$A$44,0)),0)+D1730*IFERROR(INDEX(Kişiler!$C$5:$C$44,MATCH(B1730,Kişiler!$A$5:$A$44,0)),0))</f>
        <v/>
      </c>
    </row>
    <row r="1731" customFormat="false" ht="15" hidden="false" customHeight="false" outlineLevel="0" collapsed="false">
      <c r="A1731" s="12"/>
      <c r="B1731" s="13"/>
      <c r="C1731" s="14"/>
      <c r="D1731" s="14"/>
      <c r="E1731" s="13"/>
      <c r="F1731" s="15"/>
      <c r="G1731" s="16" t="str">
        <f aca="false">IF(OR(B1731="",A1731=""),"",C1731*IFERROR(INDEX(Kişiler!$B$5:$B$44,MATCH(B1731,Kişiler!$A$5:$A$44,0)),0)+D1731*IFERROR(INDEX(Kişiler!$C$5:$C$44,MATCH(B1731,Kişiler!$A$5:$A$44,0)),0))</f>
        <v/>
      </c>
    </row>
    <row r="1732" customFormat="false" ht="15" hidden="false" customHeight="false" outlineLevel="0" collapsed="false">
      <c r="A1732" s="12"/>
      <c r="B1732" s="13"/>
      <c r="C1732" s="14"/>
      <c r="D1732" s="14"/>
      <c r="E1732" s="13"/>
      <c r="F1732" s="15"/>
      <c r="G1732" s="16" t="str">
        <f aca="false">IF(OR(B1732="",A1732=""),"",C1732*IFERROR(INDEX(Kişiler!$B$5:$B$44,MATCH(B1732,Kişiler!$A$5:$A$44,0)),0)+D1732*IFERROR(INDEX(Kişiler!$C$5:$C$44,MATCH(B1732,Kişiler!$A$5:$A$44,0)),0))</f>
        <v/>
      </c>
    </row>
    <row r="1733" customFormat="false" ht="15" hidden="false" customHeight="false" outlineLevel="0" collapsed="false">
      <c r="A1733" s="12"/>
      <c r="B1733" s="13"/>
      <c r="C1733" s="14"/>
      <c r="D1733" s="14"/>
      <c r="E1733" s="13"/>
      <c r="F1733" s="15"/>
      <c r="G1733" s="16" t="str">
        <f aca="false">IF(OR(B1733="",A1733=""),"",C1733*IFERROR(INDEX(Kişiler!$B$5:$B$44,MATCH(B1733,Kişiler!$A$5:$A$44,0)),0)+D1733*IFERROR(INDEX(Kişiler!$C$5:$C$44,MATCH(B1733,Kişiler!$A$5:$A$44,0)),0))</f>
        <v/>
      </c>
    </row>
    <row r="1734" customFormat="false" ht="15" hidden="false" customHeight="false" outlineLevel="0" collapsed="false">
      <c r="A1734" s="12"/>
      <c r="B1734" s="13"/>
      <c r="C1734" s="14"/>
      <c r="D1734" s="14"/>
      <c r="E1734" s="13"/>
      <c r="F1734" s="15"/>
      <c r="G1734" s="16" t="str">
        <f aca="false">IF(OR(B1734="",A1734=""),"",C1734*IFERROR(INDEX(Kişiler!$B$5:$B$44,MATCH(B1734,Kişiler!$A$5:$A$44,0)),0)+D1734*IFERROR(INDEX(Kişiler!$C$5:$C$44,MATCH(B1734,Kişiler!$A$5:$A$44,0)),0))</f>
        <v/>
      </c>
    </row>
    <row r="1735" customFormat="false" ht="15" hidden="false" customHeight="false" outlineLevel="0" collapsed="false">
      <c r="A1735" s="12"/>
      <c r="B1735" s="13"/>
      <c r="C1735" s="14"/>
      <c r="D1735" s="14"/>
      <c r="E1735" s="13"/>
      <c r="F1735" s="15"/>
      <c r="G1735" s="16" t="str">
        <f aca="false">IF(OR(B1735="",A1735=""),"",C1735*IFERROR(INDEX(Kişiler!$B$5:$B$44,MATCH(B1735,Kişiler!$A$5:$A$44,0)),0)+D1735*IFERROR(INDEX(Kişiler!$C$5:$C$44,MATCH(B1735,Kişiler!$A$5:$A$44,0)),0))</f>
        <v/>
      </c>
    </row>
    <row r="1736" customFormat="false" ht="15" hidden="false" customHeight="false" outlineLevel="0" collapsed="false">
      <c r="A1736" s="12"/>
      <c r="B1736" s="13"/>
      <c r="C1736" s="14"/>
      <c r="D1736" s="14"/>
      <c r="E1736" s="13"/>
      <c r="F1736" s="15"/>
      <c r="G1736" s="16" t="str">
        <f aca="false">IF(OR(B1736="",A1736=""),"",C1736*IFERROR(INDEX(Kişiler!$B$5:$B$44,MATCH(B1736,Kişiler!$A$5:$A$44,0)),0)+D1736*IFERROR(INDEX(Kişiler!$C$5:$C$44,MATCH(B1736,Kişiler!$A$5:$A$44,0)),0))</f>
        <v/>
      </c>
    </row>
    <row r="1737" customFormat="false" ht="15" hidden="false" customHeight="false" outlineLevel="0" collapsed="false">
      <c r="A1737" s="12"/>
      <c r="B1737" s="13"/>
      <c r="C1737" s="14"/>
      <c r="D1737" s="14"/>
      <c r="E1737" s="13"/>
      <c r="F1737" s="15"/>
      <c r="G1737" s="16" t="str">
        <f aca="false">IF(OR(B1737="",A1737=""),"",C1737*IFERROR(INDEX(Kişiler!$B$5:$B$44,MATCH(B1737,Kişiler!$A$5:$A$44,0)),0)+D1737*IFERROR(INDEX(Kişiler!$C$5:$C$44,MATCH(B1737,Kişiler!$A$5:$A$44,0)),0))</f>
        <v/>
      </c>
    </row>
    <row r="1738" customFormat="false" ht="15" hidden="false" customHeight="false" outlineLevel="0" collapsed="false">
      <c r="A1738" s="12"/>
      <c r="B1738" s="13"/>
      <c r="C1738" s="14"/>
      <c r="D1738" s="14"/>
      <c r="E1738" s="13"/>
      <c r="F1738" s="15"/>
      <c r="G1738" s="16" t="str">
        <f aca="false">IF(OR(B1738="",A1738=""),"",C1738*IFERROR(INDEX(Kişiler!$B$5:$B$44,MATCH(B1738,Kişiler!$A$5:$A$44,0)),0)+D1738*IFERROR(INDEX(Kişiler!$C$5:$C$44,MATCH(B1738,Kişiler!$A$5:$A$44,0)),0))</f>
        <v/>
      </c>
    </row>
    <row r="1739" customFormat="false" ht="15" hidden="false" customHeight="false" outlineLevel="0" collapsed="false">
      <c r="A1739" s="12"/>
      <c r="B1739" s="13"/>
      <c r="C1739" s="14"/>
      <c r="D1739" s="14"/>
      <c r="E1739" s="13"/>
      <c r="F1739" s="15"/>
      <c r="G1739" s="16" t="str">
        <f aca="false">IF(OR(B1739="",A1739=""),"",C1739*IFERROR(INDEX(Kişiler!$B$5:$B$44,MATCH(B1739,Kişiler!$A$5:$A$44,0)),0)+D1739*IFERROR(INDEX(Kişiler!$C$5:$C$44,MATCH(B1739,Kişiler!$A$5:$A$44,0)),0))</f>
        <v/>
      </c>
    </row>
    <row r="1740" customFormat="false" ht="15" hidden="false" customHeight="false" outlineLevel="0" collapsed="false">
      <c r="A1740" s="12"/>
      <c r="B1740" s="13"/>
      <c r="C1740" s="14"/>
      <c r="D1740" s="14"/>
      <c r="E1740" s="13"/>
      <c r="F1740" s="15"/>
      <c r="G1740" s="16" t="str">
        <f aca="false">IF(OR(B1740="",A1740=""),"",C1740*IFERROR(INDEX(Kişiler!$B$5:$B$44,MATCH(B1740,Kişiler!$A$5:$A$44,0)),0)+D1740*IFERROR(INDEX(Kişiler!$C$5:$C$44,MATCH(B1740,Kişiler!$A$5:$A$44,0)),0))</f>
        <v/>
      </c>
    </row>
    <row r="1741" customFormat="false" ht="15" hidden="false" customHeight="false" outlineLevel="0" collapsed="false">
      <c r="A1741" s="12"/>
      <c r="B1741" s="13"/>
      <c r="C1741" s="14"/>
      <c r="D1741" s="14"/>
      <c r="E1741" s="13"/>
      <c r="F1741" s="15"/>
      <c r="G1741" s="16" t="str">
        <f aca="false">IF(OR(B1741="",A1741=""),"",C1741*IFERROR(INDEX(Kişiler!$B$5:$B$44,MATCH(B1741,Kişiler!$A$5:$A$44,0)),0)+D1741*IFERROR(INDEX(Kişiler!$C$5:$C$44,MATCH(B1741,Kişiler!$A$5:$A$44,0)),0))</f>
        <v/>
      </c>
    </row>
    <row r="1742" customFormat="false" ht="15" hidden="false" customHeight="false" outlineLevel="0" collapsed="false">
      <c r="A1742" s="12"/>
      <c r="B1742" s="13"/>
      <c r="C1742" s="14"/>
      <c r="D1742" s="14"/>
      <c r="E1742" s="13"/>
      <c r="F1742" s="15"/>
      <c r="G1742" s="16" t="str">
        <f aca="false">IF(OR(B1742="",A1742=""),"",C1742*IFERROR(INDEX(Kişiler!$B$5:$B$44,MATCH(B1742,Kişiler!$A$5:$A$44,0)),0)+D1742*IFERROR(INDEX(Kişiler!$C$5:$C$44,MATCH(B1742,Kişiler!$A$5:$A$44,0)),0))</f>
        <v/>
      </c>
    </row>
    <row r="1743" customFormat="false" ht="15" hidden="false" customHeight="false" outlineLevel="0" collapsed="false">
      <c r="A1743" s="12"/>
      <c r="B1743" s="13"/>
      <c r="C1743" s="14"/>
      <c r="D1743" s="14"/>
      <c r="E1743" s="13"/>
      <c r="F1743" s="15"/>
      <c r="G1743" s="16" t="str">
        <f aca="false">IF(OR(B1743="",A1743=""),"",C1743*IFERROR(INDEX(Kişiler!$B$5:$B$44,MATCH(B1743,Kişiler!$A$5:$A$44,0)),0)+D1743*IFERROR(INDEX(Kişiler!$C$5:$C$44,MATCH(B1743,Kişiler!$A$5:$A$44,0)),0))</f>
        <v/>
      </c>
    </row>
    <row r="1744" customFormat="false" ht="15" hidden="false" customHeight="false" outlineLevel="0" collapsed="false">
      <c r="A1744" s="12"/>
      <c r="B1744" s="13"/>
      <c r="C1744" s="14"/>
      <c r="D1744" s="14"/>
      <c r="E1744" s="13"/>
      <c r="F1744" s="15"/>
      <c r="G1744" s="16" t="str">
        <f aca="false">IF(OR(B1744="",A1744=""),"",C1744*IFERROR(INDEX(Kişiler!$B$5:$B$44,MATCH(B1744,Kişiler!$A$5:$A$44,0)),0)+D1744*IFERROR(INDEX(Kişiler!$C$5:$C$44,MATCH(B1744,Kişiler!$A$5:$A$44,0)),0))</f>
        <v/>
      </c>
    </row>
    <row r="1745" customFormat="false" ht="15" hidden="false" customHeight="false" outlineLevel="0" collapsed="false">
      <c r="A1745" s="12"/>
      <c r="B1745" s="13"/>
      <c r="C1745" s="14"/>
      <c r="D1745" s="14"/>
      <c r="E1745" s="13"/>
      <c r="F1745" s="15"/>
      <c r="G1745" s="16" t="str">
        <f aca="false">IF(OR(B1745="",A1745=""),"",C1745*IFERROR(INDEX(Kişiler!$B$5:$B$44,MATCH(B1745,Kişiler!$A$5:$A$44,0)),0)+D1745*IFERROR(INDEX(Kişiler!$C$5:$C$44,MATCH(B1745,Kişiler!$A$5:$A$44,0)),0))</f>
        <v/>
      </c>
    </row>
    <row r="1746" customFormat="false" ht="15" hidden="false" customHeight="false" outlineLevel="0" collapsed="false">
      <c r="A1746" s="12"/>
      <c r="B1746" s="13"/>
      <c r="C1746" s="14"/>
      <c r="D1746" s="14"/>
      <c r="E1746" s="13"/>
      <c r="F1746" s="15"/>
      <c r="G1746" s="16" t="str">
        <f aca="false">IF(OR(B1746="",A1746=""),"",C1746*IFERROR(INDEX(Kişiler!$B$5:$B$44,MATCH(B1746,Kişiler!$A$5:$A$44,0)),0)+D1746*IFERROR(INDEX(Kişiler!$C$5:$C$44,MATCH(B1746,Kişiler!$A$5:$A$44,0)),0))</f>
        <v/>
      </c>
    </row>
    <row r="1747" customFormat="false" ht="15" hidden="false" customHeight="false" outlineLevel="0" collapsed="false">
      <c r="A1747" s="12"/>
      <c r="B1747" s="13"/>
      <c r="C1747" s="14"/>
      <c r="D1747" s="14"/>
      <c r="E1747" s="13"/>
      <c r="F1747" s="15"/>
      <c r="G1747" s="16" t="str">
        <f aca="false">IF(OR(B1747="",A1747=""),"",C1747*IFERROR(INDEX(Kişiler!$B$5:$B$44,MATCH(B1747,Kişiler!$A$5:$A$44,0)),0)+D1747*IFERROR(INDEX(Kişiler!$C$5:$C$44,MATCH(B1747,Kişiler!$A$5:$A$44,0)),0))</f>
        <v/>
      </c>
    </row>
    <row r="1748" customFormat="false" ht="15" hidden="false" customHeight="false" outlineLevel="0" collapsed="false">
      <c r="A1748" s="12"/>
      <c r="B1748" s="13"/>
      <c r="C1748" s="14"/>
      <c r="D1748" s="14"/>
      <c r="E1748" s="13"/>
      <c r="F1748" s="15"/>
      <c r="G1748" s="16" t="str">
        <f aca="false">IF(OR(B1748="",A1748=""),"",C1748*IFERROR(INDEX(Kişiler!$B$5:$B$44,MATCH(B1748,Kişiler!$A$5:$A$44,0)),0)+D1748*IFERROR(INDEX(Kişiler!$C$5:$C$44,MATCH(B1748,Kişiler!$A$5:$A$44,0)),0))</f>
        <v/>
      </c>
    </row>
    <row r="1749" customFormat="false" ht="15" hidden="false" customHeight="false" outlineLevel="0" collapsed="false">
      <c r="A1749" s="12"/>
      <c r="B1749" s="13"/>
      <c r="C1749" s="14"/>
      <c r="D1749" s="14"/>
      <c r="E1749" s="13"/>
      <c r="F1749" s="15"/>
      <c r="G1749" s="16" t="str">
        <f aca="false">IF(OR(B1749="",A1749=""),"",C1749*IFERROR(INDEX(Kişiler!$B$5:$B$44,MATCH(B1749,Kişiler!$A$5:$A$44,0)),0)+D1749*IFERROR(INDEX(Kişiler!$C$5:$C$44,MATCH(B1749,Kişiler!$A$5:$A$44,0)),0))</f>
        <v/>
      </c>
    </row>
    <row r="1750" customFormat="false" ht="15" hidden="false" customHeight="false" outlineLevel="0" collapsed="false">
      <c r="A1750" s="12"/>
      <c r="B1750" s="13"/>
      <c r="C1750" s="14"/>
      <c r="D1750" s="14"/>
      <c r="E1750" s="13"/>
      <c r="F1750" s="15"/>
      <c r="G1750" s="16" t="str">
        <f aca="false">IF(OR(B1750="",A1750=""),"",C1750*IFERROR(INDEX(Kişiler!$B$5:$B$44,MATCH(B1750,Kişiler!$A$5:$A$44,0)),0)+D1750*IFERROR(INDEX(Kişiler!$C$5:$C$44,MATCH(B1750,Kişiler!$A$5:$A$44,0)),0))</f>
        <v/>
      </c>
    </row>
    <row r="1751" customFormat="false" ht="15" hidden="false" customHeight="false" outlineLevel="0" collapsed="false">
      <c r="A1751" s="12"/>
      <c r="B1751" s="13"/>
      <c r="C1751" s="14"/>
      <c r="D1751" s="14"/>
      <c r="E1751" s="13"/>
      <c r="F1751" s="15"/>
      <c r="G1751" s="16" t="str">
        <f aca="false">IF(OR(B1751="",A1751=""),"",C1751*IFERROR(INDEX(Kişiler!$B$5:$B$44,MATCH(B1751,Kişiler!$A$5:$A$44,0)),0)+D1751*IFERROR(INDEX(Kişiler!$C$5:$C$44,MATCH(B1751,Kişiler!$A$5:$A$44,0)),0))</f>
        <v/>
      </c>
    </row>
    <row r="1752" customFormat="false" ht="15" hidden="false" customHeight="false" outlineLevel="0" collapsed="false">
      <c r="A1752" s="12"/>
      <c r="B1752" s="13"/>
      <c r="C1752" s="14"/>
      <c r="D1752" s="14"/>
      <c r="E1752" s="13"/>
      <c r="F1752" s="15"/>
      <c r="G1752" s="16" t="str">
        <f aca="false">IF(OR(B1752="",A1752=""),"",C1752*IFERROR(INDEX(Kişiler!$B$5:$B$44,MATCH(B1752,Kişiler!$A$5:$A$44,0)),0)+D1752*IFERROR(INDEX(Kişiler!$C$5:$C$44,MATCH(B1752,Kişiler!$A$5:$A$44,0)),0))</f>
        <v/>
      </c>
    </row>
    <row r="1753" customFormat="false" ht="15" hidden="false" customHeight="false" outlineLevel="0" collapsed="false">
      <c r="A1753" s="12"/>
      <c r="B1753" s="13"/>
      <c r="C1753" s="14"/>
      <c r="D1753" s="14"/>
      <c r="E1753" s="13"/>
      <c r="F1753" s="15"/>
      <c r="G1753" s="16" t="str">
        <f aca="false">IF(OR(B1753="",A1753=""),"",C1753*IFERROR(INDEX(Kişiler!$B$5:$B$44,MATCH(B1753,Kişiler!$A$5:$A$44,0)),0)+D1753*IFERROR(INDEX(Kişiler!$C$5:$C$44,MATCH(B1753,Kişiler!$A$5:$A$44,0)),0))</f>
        <v/>
      </c>
    </row>
    <row r="1754" customFormat="false" ht="15" hidden="false" customHeight="false" outlineLevel="0" collapsed="false">
      <c r="A1754" s="12"/>
      <c r="B1754" s="13"/>
      <c r="C1754" s="14"/>
      <c r="D1754" s="14"/>
      <c r="E1754" s="13"/>
      <c r="F1754" s="15"/>
      <c r="G1754" s="16" t="str">
        <f aca="false">IF(OR(B1754="",A1754=""),"",C1754*IFERROR(INDEX(Kişiler!$B$5:$B$44,MATCH(B1754,Kişiler!$A$5:$A$44,0)),0)+D1754*IFERROR(INDEX(Kişiler!$C$5:$C$44,MATCH(B1754,Kişiler!$A$5:$A$44,0)),0))</f>
        <v/>
      </c>
    </row>
    <row r="1755" customFormat="false" ht="15" hidden="false" customHeight="false" outlineLevel="0" collapsed="false">
      <c r="A1755" s="12"/>
      <c r="B1755" s="13"/>
      <c r="C1755" s="14"/>
      <c r="D1755" s="14"/>
      <c r="E1755" s="13"/>
      <c r="F1755" s="15"/>
      <c r="G1755" s="16" t="str">
        <f aca="false">IF(OR(B1755="",A1755=""),"",C1755*IFERROR(INDEX(Kişiler!$B$5:$B$44,MATCH(B1755,Kişiler!$A$5:$A$44,0)),0)+D1755*IFERROR(INDEX(Kişiler!$C$5:$C$44,MATCH(B1755,Kişiler!$A$5:$A$44,0)),0))</f>
        <v/>
      </c>
    </row>
    <row r="1756" customFormat="false" ht="15" hidden="false" customHeight="false" outlineLevel="0" collapsed="false">
      <c r="A1756" s="12"/>
      <c r="B1756" s="13"/>
      <c r="C1756" s="14"/>
      <c r="D1756" s="14"/>
      <c r="E1756" s="13"/>
      <c r="F1756" s="15"/>
      <c r="G1756" s="16" t="str">
        <f aca="false">IF(OR(B1756="",A1756=""),"",C1756*IFERROR(INDEX(Kişiler!$B$5:$B$44,MATCH(B1756,Kişiler!$A$5:$A$44,0)),0)+D1756*IFERROR(INDEX(Kişiler!$C$5:$C$44,MATCH(B1756,Kişiler!$A$5:$A$44,0)),0))</f>
        <v/>
      </c>
    </row>
    <row r="1757" customFormat="false" ht="15" hidden="false" customHeight="false" outlineLevel="0" collapsed="false">
      <c r="A1757" s="12"/>
      <c r="B1757" s="13"/>
      <c r="C1757" s="14"/>
      <c r="D1757" s="14"/>
      <c r="E1757" s="13"/>
      <c r="F1757" s="15"/>
      <c r="G1757" s="16" t="str">
        <f aca="false">IF(OR(B1757="",A1757=""),"",C1757*IFERROR(INDEX(Kişiler!$B$5:$B$44,MATCH(B1757,Kişiler!$A$5:$A$44,0)),0)+D1757*IFERROR(INDEX(Kişiler!$C$5:$C$44,MATCH(B1757,Kişiler!$A$5:$A$44,0)),0))</f>
        <v/>
      </c>
    </row>
    <row r="1758" customFormat="false" ht="15" hidden="false" customHeight="false" outlineLevel="0" collapsed="false">
      <c r="A1758" s="12"/>
      <c r="B1758" s="13"/>
      <c r="C1758" s="14"/>
      <c r="D1758" s="14"/>
      <c r="E1758" s="13"/>
      <c r="F1758" s="15"/>
      <c r="G1758" s="16" t="str">
        <f aca="false">IF(OR(B1758="",A1758=""),"",C1758*IFERROR(INDEX(Kişiler!$B$5:$B$44,MATCH(B1758,Kişiler!$A$5:$A$44,0)),0)+D1758*IFERROR(INDEX(Kişiler!$C$5:$C$44,MATCH(B1758,Kişiler!$A$5:$A$44,0)),0))</f>
        <v/>
      </c>
    </row>
    <row r="1759" customFormat="false" ht="15" hidden="false" customHeight="false" outlineLevel="0" collapsed="false">
      <c r="A1759" s="12"/>
      <c r="B1759" s="13"/>
      <c r="C1759" s="14"/>
      <c r="D1759" s="14"/>
      <c r="E1759" s="13"/>
      <c r="F1759" s="15"/>
      <c r="G1759" s="16" t="str">
        <f aca="false">IF(OR(B1759="",A1759=""),"",C1759*IFERROR(INDEX(Kişiler!$B$5:$B$44,MATCH(B1759,Kişiler!$A$5:$A$44,0)),0)+D1759*IFERROR(INDEX(Kişiler!$C$5:$C$44,MATCH(B1759,Kişiler!$A$5:$A$44,0)),0))</f>
        <v/>
      </c>
    </row>
    <row r="1760" customFormat="false" ht="15" hidden="false" customHeight="false" outlineLevel="0" collapsed="false">
      <c r="A1760" s="12"/>
      <c r="B1760" s="13"/>
      <c r="C1760" s="14"/>
      <c r="D1760" s="14"/>
      <c r="E1760" s="13"/>
      <c r="F1760" s="15"/>
      <c r="G1760" s="16" t="str">
        <f aca="false">IF(OR(B1760="",A1760=""),"",C1760*IFERROR(INDEX(Kişiler!$B$5:$B$44,MATCH(B1760,Kişiler!$A$5:$A$44,0)),0)+D1760*IFERROR(INDEX(Kişiler!$C$5:$C$44,MATCH(B1760,Kişiler!$A$5:$A$44,0)),0))</f>
        <v/>
      </c>
    </row>
    <row r="1761" customFormat="false" ht="15" hidden="false" customHeight="false" outlineLevel="0" collapsed="false">
      <c r="A1761" s="12"/>
      <c r="B1761" s="13"/>
      <c r="C1761" s="14"/>
      <c r="D1761" s="14"/>
      <c r="E1761" s="13"/>
      <c r="F1761" s="15"/>
      <c r="G1761" s="16" t="str">
        <f aca="false">IF(OR(B1761="",A1761=""),"",C1761*IFERROR(INDEX(Kişiler!$B$5:$B$44,MATCH(B1761,Kişiler!$A$5:$A$44,0)),0)+D1761*IFERROR(INDEX(Kişiler!$C$5:$C$44,MATCH(B1761,Kişiler!$A$5:$A$44,0)),0))</f>
        <v/>
      </c>
    </row>
    <row r="1762" customFormat="false" ht="15" hidden="false" customHeight="false" outlineLevel="0" collapsed="false">
      <c r="A1762" s="12"/>
      <c r="B1762" s="13"/>
      <c r="C1762" s="14"/>
      <c r="D1762" s="14"/>
      <c r="E1762" s="13"/>
      <c r="F1762" s="15"/>
      <c r="G1762" s="16" t="str">
        <f aca="false">IF(OR(B1762="",A1762=""),"",C1762*IFERROR(INDEX(Kişiler!$B$5:$B$44,MATCH(B1762,Kişiler!$A$5:$A$44,0)),0)+D1762*IFERROR(INDEX(Kişiler!$C$5:$C$44,MATCH(B1762,Kişiler!$A$5:$A$44,0)),0))</f>
        <v/>
      </c>
    </row>
    <row r="1763" customFormat="false" ht="15" hidden="false" customHeight="false" outlineLevel="0" collapsed="false">
      <c r="A1763" s="12"/>
      <c r="B1763" s="13"/>
      <c r="C1763" s="14"/>
      <c r="D1763" s="14"/>
      <c r="E1763" s="13"/>
      <c r="F1763" s="15"/>
      <c r="G1763" s="16" t="str">
        <f aca="false">IF(OR(B1763="",A1763=""),"",C1763*IFERROR(INDEX(Kişiler!$B$5:$B$44,MATCH(B1763,Kişiler!$A$5:$A$44,0)),0)+D1763*IFERROR(INDEX(Kişiler!$C$5:$C$44,MATCH(B1763,Kişiler!$A$5:$A$44,0)),0))</f>
        <v/>
      </c>
    </row>
    <row r="1764" customFormat="false" ht="15" hidden="false" customHeight="false" outlineLevel="0" collapsed="false">
      <c r="A1764" s="12"/>
      <c r="B1764" s="13"/>
      <c r="C1764" s="14"/>
      <c r="D1764" s="14"/>
      <c r="E1764" s="13"/>
      <c r="F1764" s="15"/>
      <c r="G1764" s="16" t="str">
        <f aca="false">IF(OR(B1764="",A1764=""),"",C1764*IFERROR(INDEX(Kişiler!$B$5:$B$44,MATCH(B1764,Kişiler!$A$5:$A$44,0)),0)+D1764*IFERROR(INDEX(Kişiler!$C$5:$C$44,MATCH(B1764,Kişiler!$A$5:$A$44,0)),0))</f>
        <v/>
      </c>
    </row>
    <row r="1765" customFormat="false" ht="15" hidden="false" customHeight="false" outlineLevel="0" collapsed="false">
      <c r="A1765" s="12"/>
      <c r="B1765" s="13"/>
      <c r="C1765" s="14"/>
      <c r="D1765" s="14"/>
      <c r="E1765" s="13"/>
      <c r="F1765" s="15"/>
      <c r="G1765" s="16" t="str">
        <f aca="false">IF(OR(B1765="",A1765=""),"",C1765*IFERROR(INDEX(Kişiler!$B$5:$B$44,MATCH(B1765,Kişiler!$A$5:$A$44,0)),0)+D1765*IFERROR(INDEX(Kişiler!$C$5:$C$44,MATCH(B1765,Kişiler!$A$5:$A$44,0)),0))</f>
        <v/>
      </c>
    </row>
    <row r="1766" customFormat="false" ht="15" hidden="false" customHeight="false" outlineLevel="0" collapsed="false">
      <c r="A1766" s="12"/>
      <c r="B1766" s="13"/>
      <c r="C1766" s="14"/>
      <c r="D1766" s="14"/>
      <c r="E1766" s="13"/>
      <c r="F1766" s="15"/>
      <c r="G1766" s="16" t="str">
        <f aca="false">IF(OR(B1766="",A1766=""),"",C1766*IFERROR(INDEX(Kişiler!$B$5:$B$44,MATCH(B1766,Kişiler!$A$5:$A$44,0)),0)+D1766*IFERROR(INDEX(Kişiler!$C$5:$C$44,MATCH(B1766,Kişiler!$A$5:$A$44,0)),0))</f>
        <v/>
      </c>
    </row>
    <row r="1767" customFormat="false" ht="15" hidden="false" customHeight="false" outlineLevel="0" collapsed="false">
      <c r="A1767" s="12"/>
      <c r="B1767" s="13"/>
      <c r="C1767" s="14"/>
      <c r="D1767" s="14"/>
      <c r="E1767" s="13"/>
      <c r="F1767" s="15"/>
      <c r="G1767" s="16" t="str">
        <f aca="false">IF(OR(B1767="",A1767=""),"",C1767*IFERROR(INDEX(Kişiler!$B$5:$B$44,MATCH(B1767,Kişiler!$A$5:$A$44,0)),0)+D1767*IFERROR(INDEX(Kişiler!$C$5:$C$44,MATCH(B1767,Kişiler!$A$5:$A$44,0)),0))</f>
        <v/>
      </c>
    </row>
    <row r="1768" customFormat="false" ht="15" hidden="false" customHeight="false" outlineLevel="0" collapsed="false">
      <c r="A1768" s="12"/>
      <c r="B1768" s="13"/>
      <c r="C1768" s="14"/>
      <c r="D1768" s="14"/>
      <c r="E1768" s="13"/>
      <c r="F1768" s="15"/>
      <c r="G1768" s="16" t="str">
        <f aca="false">IF(OR(B1768="",A1768=""),"",C1768*IFERROR(INDEX(Kişiler!$B$5:$B$44,MATCH(B1768,Kişiler!$A$5:$A$44,0)),0)+D1768*IFERROR(INDEX(Kişiler!$C$5:$C$44,MATCH(B1768,Kişiler!$A$5:$A$44,0)),0))</f>
        <v/>
      </c>
    </row>
    <row r="1769" customFormat="false" ht="15" hidden="false" customHeight="false" outlineLevel="0" collapsed="false">
      <c r="A1769" s="12"/>
      <c r="B1769" s="13"/>
      <c r="C1769" s="14"/>
      <c r="D1769" s="14"/>
      <c r="E1769" s="13"/>
      <c r="F1769" s="15"/>
      <c r="G1769" s="16" t="str">
        <f aca="false">IF(OR(B1769="",A1769=""),"",C1769*IFERROR(INDEX(Kişiler!$B$5:$B$44,MATCH(B1769,Kişiler!$A$5:$A$44,0)),0)+D1769*IFERROR(INDEX(Kişiler!$C$5:$C$44,MATCH(B1769,Kişiler!$A$5:$A$44,0)),0))</f>
        <v/>
      </c>
    </row>
    <row r="1770" customFormat="false" ht="15" hidden="false" customHeight="false" outlineLevel="0" collapsed="false">
      <c r="A1770" s="12"/>
      <c r="B1770" s="13"/>
      <c r="C1770" s="14"/>
      <c r="D1770" s="14"/>
      <c r="E1770" s="13"/>
      <c r="F1770" s="15"/>
      <c r="G1770" s="16" t="str">
        <f aca="false">IF(OR(B1770="",A1770=""),"",C1770*IFERROR(INDEX(Kişiler!$B$5:$B$44,MATCH(B1770,Kişiler!$A$5:$A$44,0)),0)+D1770*IFERROR(INDEX(Kişiler!$C$5:$C$44,MATCH(B1770,Kişiler!$A$5:$A$44,0)),0))</f>
        <v/>
      </c>
    </row>
    <row r="1771" customFormat="false" ht="15" hidden="false" customHeight="false" outlineLevel="0" collapsed="false">
      <c r="A1771" s="12"/>
      <c r="B1771" s="13"/>
      <c r="C1771" s="14"/>
      <c r="D1771" s="14"/>
      <c r="E1771" s="13"/>
      <c r="F1771" s="15"/>
      <c r="G1771" s="16" t="str">
        <f aca="false">IF(OR(B1771="",A1771=""),"",C1771*IFERROR(INDEX(Kişiler!$B$5:$B$44,MATCH(B1771,Kişiler!$A$5:$A$44,0)),0)+D1771*IFERROR(INDEX(Kişiler!$C$5:$C$44,MATCH(B1771,Kişiler!$A$5:$A$44,0)),0))</f>
        <v/>
      </c>
    </row>
    <row r="1772" customFormat="false" ht="15" hidden="false" customHeight="false" outlineLevel="0" collapsed="false">
      <c r="A1772" s="12"/>
      <c r="B1772" s="13"/>
      <c r="C1772" s="14"/>
      <c r="D1772" s="14"/>
      <c r="E1772" s="13"/>
      <c r="F1772" s="15"/>
      <c r="G1772" s="16" t="str">
        <f aca="false">IF(OR(B1772="",A1772=""),"",C1772*IFERROR(INDEX(Kişiler!$B$5:$B$44,MATCH(B1772,Kişiler!$A$5:$A$44,0)),0)+D1772*IFERROR(INDEX(Kişiler!$C$5:$C$44,MATCH(B1772,Kişiler!$A$5:$A$44,0)),0))</f>
        <v/>
      </c>
    </row>
    <row r="1773" customFormat="false" ht="15" hidden="false" customHeight="false" outlineLevel="0" collapsed="false">
      <c r="A1773" s="12"/>
      <c r="B1773" s="13"/>
      <c r="C1773" s="14"/>
      <c r="D1773" s="14"/>
      <c r="E1773" s="13"/>
      <c r="F1773" s="15"/>
      <c r="G1773" s="16" t="str">
        <f aca="false">IF(OR(B1773="",A1773=""),"",C1773*IFERROR(INDEX(Kişiler!$B$5:$B$44,MATCH(B1773,Kişiler!$A$5:$A$44,0)),0)+D1773*IFERROR(INDEX(Kişiler!$C$5:$C$44,MATCH(B1773,Kişiler!$A$5:$A$44,0)),0))</f>
        <v/>
      </c>
    </row>
    <row r="1774" customFormat="false" ht="15" hidden="false" customHeight="false" outlineLevel="0" collapsed="false">
      <c r="A1774" s="12"/>
      <c r="B1774" s="13"/>
      <c r="C1774" s="14"/>
      <c r="D1774" s="14"/>
      <c r="E1774" s="13"/>
      <c r="F1774" s="15"/>
      <c r="G1774" s="16" t="str">
        <f aca="false">IF(OR(B1774="",A1774=""),"",C1774*IFERROR(INDEX(Kişiler!$B$5:$B$44,MATCH(B1774,Kişiler!$A$5:$A$44,0)),0)+D1774*IFERROR(INDEX(Kişiler!$C$5:$C$44,MATCH(B1774,Kişiler!$A$5:$A$44,0)),0))</f>
        <v/>
      </c>
    </row>
    <row r="1775" customFormat="false" ht="15" hidden="false" customHeight="false" outlineLevel="0" collapsed="false">
      <c r="A1775" s="12"/>
      <c r="B1775" s="13"/>
      <c r="C1775" s="14"/>
      <c r="D1775" s="14"/>
      <c r="E1775" s="13"/>
      <c r="F1775" s="15"/>
      <c r="G1775" s="16" t="str">
        <f aca="false">IF(OR(B1775="",A1775=""),"",C1775*IFERROR(INDEX(Kişiler!$B$5:$B$44,MATCH(B1775,Kişiler!$A$5:$A$44,0)),0)+D1775*IFERROR(INDEX(Kişiler!$C$5:$C$44,MATCH(B1775,Kişiler!$A$5:$A$44,0)),0))</f>
        <v/>
      </c>
    </row>
    <row r="1776" customFormat="false" ht="15" hidden="false" customHeight="false" outlineLevel="0" collapsed="false">
      <c r="A1776" s="12"/>
      <c r="B1776" s="13"/>
      <c r="C1776" s="14"/>
      <c r="D1776" s="14"/>
      <c r="E1776" s="13"/>
      <c r="F1776" s="15"/>
      <c r="G1776" s="16" t="str">
        <f aca="false">IF(OR(B1776="",A1776=""),"",C1776*IFERROR(INDEX(Kişiler!$B$5:$B$44,MATCH(B1776,Kişiler!$A$5:$A$44,0)),0)+D1776*IFERROR(INDEX(Kişiler!$C$5:$C$44,MATCH(B1776,Kişiler!$A$5:$A$44,0)),0))</f>
        <v/>
      </c>
    </row>
    <row r="1777" customFormat="false" ht="15" hidden="false" customHeight="false" outlineLevel="0" collapsed="false">
      <c r="A1777" s="12"/>
      <c r="B1777" s="13"/>
      <c r="C1777" s="14"/>
      <c r="D1777" s="14"/>
      <c r="E1777" s="13"/>
      <c r="F1777" s="15"/>
      <c r="G1777" s="16" t="str">
        <f aca="false">IF(OR(B1777="",A1777=""),"",C1777*IFERROR(INDEX(Kişiler!$B$5:$B$44,MATCH(B1777,Kişiler!$A$5:$A$44,0)),0)+D1777*IFERROR(INDEX(Kişiler!$C$5:$C$44,MATCH(B1777,Kişiler!$A$5:$A$44,0)),0))</f>
        <v/>
      </c>
    </row>
    <row r="1778" customFormat="false" ht="15" hidden="false" customHeight="false" outlineLevel="0" collapsed="false">
      <c r="A1778" s="12"/>
      <c r="B1778" s="13"/>
      <c r="C1778" s="14"/>
      <c r="D1778" s="14"/>
      <c r="E1778" s="13"/>
      <c r="F1778" s="15"/>
      <c r="G1778" s="16" t="str">
        <f aca="false">IF(OR(B1778="",A1778=""),"",C1778*IFERROR(INDEX(Kişiler!$B$5:$B$44,MATCH(B1778,Kişiler!$A$5:$A$44,0)),0)+D1778*IFERROR(INDEX(Kişiler!$C$5:$C$44,MATCH(B1778,Kişiler!$A$5:$A$44,0)),0))</f>
        <v/>
      </c>
    </row>
    <row r="1779" customFormat="false" ht="15" hidden="false" customHeight="false" outlineLevel="0" collapsed="false">
      <c r="A1779" s="12"/>
      <c r="B1779" s="13"/>
      <c r="C1779" s="14"/>
      <c r="D1779" s="14"/>
      <c r="E1779" s="13"/>
      <c r="F1779" s="15"/>
      <c r="G1779" s="16" t="str">
        <f aca="false">IF(OR(B1779="",A1779=""),"",C1779*IFERROR(INDEX(Kişiler!$B$5:$B$44,MATCH(B1779,Kişiler!$A$5:$A$44,0)),0)+D1779*IFERROR(INDEX(Kişiler!$C$5:$C$44,MATCH(B1779,Kişiler!$A$5:$A$44,0)),0))</f>
        <v/>
      </c>
    </row>
    <row r="1780" customFormat="false" ht="15" hidden="false" customHeight="false" outlineLevel="0" collapsed="false">
      <c r="A1780" s="12"/>
      <c r="B1780" s="13"/>
      <c r="C1780" s="14"/>
      <c r="D1780" s="14"/>
      <c r="E1780" s="13"/>
      <c r="F1780" s="15"/>
      <c r="G1780" s="16" t="str">
        <f aca="false">IF(OR(B1780="",A1780=""),"",C1780*IFERROR(INDEX(Kişiler!$B$5:$B$44,MATCH(B1780,Kişiler!$A$5:$A$44,0)),0)+D1780*IFERROR(INDEX(Kişiler!$C$5:$C$44,MATCH(B1780,Kişiler!$A$5:$A$44,0)),0))</f>
        <v/>
      </c>
    </row>
    <row r="1781" customFormat="false" ht="15" hidden="false" customHeight="false" outlineLevel="0" collapsed="false">
      <c r="A1781" s="12"/>
      <c r="B1781" s="13"/>
      <c r="C1781" s="14"/>
      <c r="D1781" s="14"/>
      <c r="E1781" s="13"/>
      <c r="F1781" s="15"/>
      <c r="G1781" s="16" t="str">
        <f aca="false">IF(OR(B1781="",A1781=""),"",C1781*IFERROR(INDEX(Kişiler!$B$5:$B$44,MATCH(B1781,Kişiler!$A$5:$A$44,0)),0)+D1781*IFERROR(INDEX(Kişiler!$C$5:$C$44,MATCH(B1781,Kişiler!$A$5:$A$44,0)),0))</f>
        <v/>
      </c>
    </row>
    <row r="1782" customFormat="false" ht="15" hidden="false" customHeight="false" outlineLevel="0" collapsed="false">
      <c r="A1782" s="12"/>
      <c r="B1782" s="13"/>
      <c r="C1782" s="14"/>
      <c r="D1782" s="14"/>
      <c r="E1782" s="13"/>
      <c r="F1782" s="15"/>
      <c r="G1782" s="16" t="str">
        <f aca="false">IF(OR(B1782="",A1782=""),"",C1782*IFERROR(INDEX(Kişiler!$B$5:$B$44,MATCH(B1782,Kişiler!$A$5:$A$44,0)),0)+D1782*IFERROR(INDEX(Kişiler!$C$5:$C$44,MATCH(B1782,Kişiler!$A$5:$A$44,0)),0))</f>
        <v/>
      </c>
    </row>
    <row r="1783" customFormat="false" ht="15" hidden="false" customHeight="false" outlineLevel="0" collapsed="false">
      <c r="A1783" s="12"/>
      <c r="B1783" s="13"/>
      <c r="C1783" s="14"/>
      <c r="D1783" s="14"/>
      <c r="E1783" s="13"/>
      <c r="F1783" s="15"/>
      <c r="G1783" s="16" t="str">
        <f aca="false">IF(OR(B1783="",A1783=""),"",C1783*IFERROR(INDEX(Kişiler!$B$5:$B$44,MATCH(B1783,Kişiler!$A$5:$A$44,0)),0)+D1783*IFERROR(INDEX(Kişiler!$C$5:$C$44,MATCH(B1783,Kişiler!$A$5:$A$44,0)),0))</f>
        <v/>
      </c>
    </row>
    <row r="1784" customFormat="false" ht="15" hidden="false" customHeight="false" outlineLevel="0" collapsed="false">
      <c r="A1784" s="12"/>
      <c r="B1784" s="13"/>
      <c r="C1784" s="14"/>
      <c r="D1784" s="14"/>
      <c r="E1784" s="13"/>
      <c r="F1784" s="15"/>
      <c r="G1784" s="16" t="str">
        <f aca="false">IF(OR(B1784="",A1784=""),"",C1784*IFERROR(INDEX(Kişiler!$B$5:$B$44,MATCH(B1784,Kişiler!$A$5:$A$44,0)),0)+D1784*IFERROR(INDEX(Kişiler!$C$5:$C$44,MATCH(B1784,Kişiler!$A$5:$A$44,0)),0))</f>
        <v/>
      </c>
    </row>
    <row r="1785" customFormat="false" ht="15" hidden="false" customHeight="false" outlineLevel="0" collapsed="false">
      <c r="A1785" s="12"/>
      <c r="B1785" s="13"/>
      <c r="C1785" s="14"/>
      <c r="D1785" s="14"/>
      <c r="E1785" s="13"/>
      <c r="F1785" s="15"/>
      <c r="G1785" s="16" t="str">
        <f aca="false">IF(OR(B1785="",A1785=""),"",C1785*IFERROR(INDEX(Kişiler!$B$5:$B$44,MATCH(B1785,Kişiler!$A$5:$A$44,0)),0)+D1785*IFERROR(INDEX(Kişiler!$C$5:$C$44,MATCH(B1785,Kişiler!$A$5:$A$44,0)),0))</f>
        <v/>
      </c>
    </row>
    <row r="1786" customFormat="false" ht="15" hidden="false" customHeight="false" outlineLevel="0" collapsed="false">
      <c r="A1786" s="12"/>
      <c r="B1786" s="13"/>
      <c r="C1786" s="14"/>
      <c r="D1786" s="14"/>
      <c r="E1786" s="13"/>
      <c r="F1786" s="15"/>
      <c r="G1786" s="16" t="str">
        <f aca="false">IF(OR(B1786="",A1786=""),"",C1786*IFERROR(INDEX(Kişiler!$B$5:$B$44,MATCH(B1786,Kişiler!$A$5:$A$44,0)),0)+D1786*IFERROR(INDEX(Kişiler!$C$5:$C$44,MATCH(B1786,Kişiler!$A$5:$A$44,0)),0))</f>
        <v/>
      </c>
    </row>
    <row r="1787" customFormat="false" ht="15" hidden="false" customHeight="false" outlineLevel="0" collapsed="false">
      <c r="A1787" s="12"/>
      <c r="B1787" s="13"/>
      <c r="C1787" s="14"/>
      <c r="D1787" s="14"/>
      <c r="E1787" s="13"/>
      <c r="F1787" s="15"/>
      <c r="G1787" s="16" t="str">
        <f aca="false">IF(OR(B1787="",A1787=""),"",C1787*IFERROR(INDEX(Kişiler!$B$5:$B$44,MATCH(B1787,Kişiler!$A$5:$A$44,0)),0)+D1787*IFERROR(INDEX(Kişiler!$C$5:$C$44,MATCH(B1787,Kişiler!$A$5:$A$44,0)),0))</f>
        <v/>
      </c>
    </row>
    <row r="1788" customFormat="false" ht="15" hidden="false" customHeight="false" outlineLevel="0" collapsed="false">
      <c r="A1788" s="12"/>
      <c r="B1788" s="13"/>
      <c r="C1788" s="14"/>
      <c r="D1788" s="14"/>
      <c r="E1788" s="13"/>
      <c r="F1788" s="15"/>
      <c r="G1788" s="16" t="str">
        <f aca="false">IF(OR(B1788="",A1788=""),"",C1788*IFERROR(INDEX(Kişiler!$B$5:$B$44,MATCH(B1788,Kişiler!$A$5:$A$44,0)),0)+D1788*IFERROR(INDEX(Kişiler!$C$5:$C$44,MATCH(B1788,Kişiler!$A$5:$A$44,0)),0))</f>
        <v/>
      </c>
    </row>
    <row r="1789" customFormat="false" ht="15" hidden="false" customHeight="false" outlineLevel="0" collapsed="false">
      <c r="A1789" s="12"/>
      <c r="B1789" s="13"/>
      <c r="C1789" s="14"/>
      <c r="D1789" s="14"/>
      <c r="E1789" s="13"/>
      <c r="F1789" s="15"/>
      <c r="G1789" s="16" t="str">
        <f aca="false">IF(OR(B1789="",A1789=""),"",C1789*IFERROR(INDEX(Kişiler!$B$5:$B$44,MATCH(B1789,Kişiler!$A$5:$A$44,0)),0)+D1789*IFERROR(INDEX(Kişiler!$C$5:$C$44,MATCH(B1789,Kişiler!$A$5:$A$44,0)),0))</f>
        <v/>
      </c>
    </row>
    <row r="1790" customFormat="false" ht="15" hidden="false" customHeight="false" outlineLevel="0" collapsed="false">
      <c r="A1790" s="12"/>
      <c r="B1790" s="13"/>
      <c r="C1790" s="14"/>
      <c r="D1790" s="14"/>
      <c r="E1790" s="13"/>
      <c r="F1790" s="15"/>
      <c r="G1790" s="16" t="str">
        <f aca="false">IF(OR(B1790="",A1790=""),"",C1790*IFERROR(INDEX(Kişiler!$B$5:$B$44,MATCH(B1790,Kişiler!$A$5:$A$44,0)),0)+D1790*IFERROR(INDEX(Kişiler!$C$5:$C$44,MATCH(B1790,Kişiler!$A$5:$A$44,0)),0))</f>
        <v/>
      </c>
    </row>
    <row r="1791" customFormat="false" ht="15" hidden="false" customHeight="false" outlineLevel="0" collapsed="false">
      <c r="A1791" s="12"/>
      <c r="B1791" s="13"/>
      <c r="C1791" s="14"/>
      <c r="D1791" s="14"/>
      <c r="E1791" s="13"/>
      <c r="F1791" s="15"/>
      <c r="G1791" s="16" t="str">
        <f aca="false">IF(OR(B1791="",A1791=""),"",C1791*IFERROR(INDEX(Kişiler!$B$5:$B$44,MATCH(B1791,Kişiler!$A$5:$A$44,0)),0)+D1791*IFERROR(INDEX(Kişiler!$C$5:$C$44,MATCH(B1791,Kişiler!$A$5:$A$44,0)),0))</f>
        <v/>
      </c>
    </row>
    <row r="1792" customFormat="false" ht="15" hidden="false" customHeight="false" outlineLevel="0" collapsed="false">
      <c r="A1792" s="12"/>
      <c r="B1792" s="13"/>
      <c r="C1792" s="14"/>
      <c r="D1792" s="14"/>
      <c r="E1792" s="13"/>
      <c r="F1792" s="15"/>
      <c r="G1792" s="16" t="str">
        <f aca="false">IF(OR(B1792="",A1792=""),"",C1792*IFERROR(INDEX(Kişiler!$B$5:$B$44,MATCH(B1792,Kişiler!$A$5:$A$44,0)),0)+D1792*IFERROR(INDEX(Kişiler!$C$5:$C$44,MATCH(B1792,Kişiler!$A$5:$A$44,0)),0))</f>
        <v/>
      </c>
    </row>
    <row r="1793" customFormat="false" ht="15" hidden="false" customHeight="false" outlineLevel="0" collapsed="false">
      <c r="A1793" s="12"/>
      <c r="B1793" s="13"/>
      <c r="C1793" s="14"/>
      <c r="D1793" s="14"/>
      <c r="E1793" s="13"/>
      <c r="F1793" s="15"/>
      <c r="G1793" s="16" t="str">
        <f aca="false">IF(OR(B1793="",A1793=""),"",C1793*IFERROR(INDEX(Kişiler!$B$5:$B$44,MATCH(B1793,Kişiler!$A$5:$A$44,0)),0)+D1793*IFERROR(INDEX(Kişiler!$C$5:$C$44,MATCH(B1793,Kişiler!$A$5:$A$44,0)),0))</f>
        <v/>
      </c>
    </row>
    <row r="1794" customFormat="false" ht="15" hidden="false" customHeight="false" outlineLevel="0" collapsed="false">
      <c r="A1794" s="12"/>
      <c r="B1794" s="13"/>
      <c r="C1794" s="14"/>
      <c r="D1794" s="14"/>
      <c r="E1794" s="13"/>
      <c r="F1794" s="15"/>
      <c r="G1794" s="16" t="str">
        <f aca="false">IF(OR(B1794="",A1794=""),"",C1794*IFERROR(INDEX(Kişiler!$B$5:$B$44,MATCH(B1794,Kişiler!$A$5:$A$44,0)),0)+D1794*IFERROR(INDEX(Kişiler!$C$5:$C$44,MATCH(B1794,Kişiler!$A$5:$A$44,0)),0))</f>
        <v/>
      </c>
    </row>
    <row r="1795" customFormat="false" ht="15" hidden="false" customHeight="false" outlineLevel="0" collapsed="false">
      <c r="A1795" s="12"/>
      <c r="B1795" s="13"/>
      <c r="C1795" s="14"/>
      <c r="D1795" s="14"/>
      <c r="E1795" s="13"/>
      <c r="F1795" s="15"/>
      <c r="G1795" s="16" t="str">
        <f aca="false">IF(OR(B1795="",A1795=""),"",C1795*IFERROR(INDEX(Kişiler!$B$5:$B$44,MATCH(B1795,Kişiler!$A$5:$A$44,0)),0)+D1795*IFERROR(INDEX(Kişiler!$C$5:$C$44,MATCH(B1795,Kişiler!$A$5:$A$44,0)),0))</f>
        <v/>
      </c>
    </row>
    <row r="1796" customFormat="false" ht="15" hidden="false" customHeight="false" outlineLevel="0" collapsed="false">
      <c r="A1796" s="12"/>
      <c r="B1796" s="13"/>
      <c r="C1796" s="14"/>
      <c r="D1796" s="14"/>
      <c r="E1796" s="13"/>
      <c r="F1796" s="15"/>
      <c r="G1796" s="16" t="str">
        <f aca="false">IF(OR(B1796="",A1796=""),"",C1796*IFERROR(INDEX(Kişiler!$B$5:$B$44,MATCH(B1796,Kişiler!$A$5:$A$44,0)),0)+D1796*IFERROR(INDEX(Kişiler!$C$5:$C$44,MATCH(B1796,Kişiler!$A$5:$A$44,0)),0))</f>
        <v/>
      </c>
    </row>
    <row r="1797" customFormat="false" ht="15" hidden="false" customHeight="false" outlineLevel="0" collapsed="false">
      <c r="A1797" s="12"/>
      <c r="B1797" s="13"/>
      <c r="C1797" s="14"/>
      <c r="D1797" s="14"/>
      <c r="E1797" s="13"/>
      <c r="F1797" s="15"/>
      <c r="G1797" s="16" t="str">
        <f aca="false">IF(OR(B1797="",A1797=""),"",C1797*IFERROR(INDEX(Kişiler!$B$5:$B$44,MATCH(B1797,Kişiler!$A$5:$A$44,0)),0)+D1797*IFERROR(INDEX(Kişiler!$C$5:$C$44,MATCH(B1797,Kişiler!$A$5:$A$44,0)),0))</f>
        <v/>
      </c>
    </row>
    <row r="1798" customFormat="false" ht="15" hidden="false" customHeight="false" outlineLevel="0" collapsed="false">
      <c r="A1798" s="12"/>
      <c r="B1798" s="13"/>
      <c r="C1798" s="14"/>
      <c r="D1798" s="14"/>
      <c r="E1798" s="13"/>
      <c r="F1798" s="15"/>
      <c r="G1798" s="16" t="str">
        <f aca="false">IF(OR(B1798="",A1798=""),"",C1798*IFERROR(INDEX(Kişiler!$B$5:$B$44,MATCH(B1798,Kişiler!$A$5:$A$44,0)),0)+D1798*IFERROR(INDEX(Kişiler!$C$5:$C$44,MATCH(B1798,Kişiler!$A$5:$A$44,0)),0))</f>
        <v/>
      </c>
    </row>
    <row r="1799" customFormat="false" ht="15" hidden="false" customHeight="false" outlineLevel="0" collapsed="false">
      <c r="A1799" s="12"/>
      <c r="B1799" s="13"/>
      <c r="C1799" s="14"/>
      <c r="D1799" s="14"/>
      <c r="E1799" s="13"/>
      <c r="F1799" s="15"/>
      <c r="G1799" s="16" t="str">
        <f aca="false">IF(OR(B1799="",A1799=""),"",C1799*IFERROR(INDEX(Kişiler!$B$5:$B$44,MATCH(B1799,Kişiler!$A$5:$A$44,0)),0)+D1799*IFERROR(INDEX(Kişiler!$C$5:$C$44,MATCH(B1799,Kişiler!$A$5:$A$44,0)),0))</f>
        <v/>
      </c>
    </row>
    <row r="1800" customFormat="false" ht="15" hidden="false" customHeight="false" outlineLevel="0" collapsed="false">
      <c r="A1800" s="12"/>
      <c r="B1800" s="13"/>
      <c r="C1800" s="14"/>
      <c r="D1800" s="14"/>
      <c r="E1800" s="13"/>
      <c r="F1800" s="15"/>
      <c r="G1800" s="16" t="str">
        <f aca="false">IF(OR(B1800="",A1800=""),"",C1800*IFERROR(INDEX(Kişiler!$B$5:$B$44,MATCH(B1800,Kişiler!$A$5:$A$44,0)),0)+D1800*IFERROR(INDEX(Kişiler!$C$5:$C$44,MATCH(B1800,Kişiler!$A$5:$A$44,0)),0))</f>
        <v/>
      </c>
    </row>
    <row r="1801" customFormat="false" ht="15" hidden="false" customHeight="false" outlineLevel="0" collapsed="false">
      <c r="A1801" s="12"/>
      <c r="B1801" s="13"/>
      <c r="C1801" s="14"/>
      <c r="D1801" s="14"/>
      <c r="E1801" s="13"/>
      <c r="F1801" s="15"/>
      <c r="G1801" s="16" t="str">
        <f aca="false">IF(OR(B1801="",A1801=""),"",C1801*IFERROR(INDEX(Kişiler!$B$5:$B$44,MATCH(B1801,Kişiler!$A$5:$A$44,0)),0)+D1801*IFERROR(INDEX(Kişiler!$C$5:$C$44,MATCH(B1801,Kişiler!$A$5:$A$44,0)),0))</f>
        <v/>
      </c>
    </row>
    <row r="1802" customFormat="false" ht="15" hidden="false" customHeight="false" outlineLevel="0" collapsed="false">
      <c r="A1802" s="12"/>
      <c r="B1802" s="13"/>
      <c r="C1802" s="14"/>
      <c r="D1802" s="14"/>
      <c r="E1802" s="13"/>
      <c r="F1802" s="15"/>
      <c r="G1802" s="16" t="str">
        <f aca="false">IF(OR(B1802="",A1802=""),"",C1802*IFERROR(INDEX(Kişiler!$B$5:$B$44,MATCH(B1802,Kişiler!$A$5:$A$44,0)),0)+D1802*IFERROR(INDEX(Kişiler!$C$5:$C$44,MATCH(B1802,Kişiler!$A$5:$A$44,0)),0))</f>
        <v/>
      </c>
    </row>
    <row r="1803" customFormat="false" ht="15" hidden="false" customHeight="false" outlineLevel="0" collapsed="false">
      <c r="A1803" s="12"/>
      <c r="B1803" s="13"/>
      <c r="C1803" s="14"/>
      <c r="D1803" s="14"/>
      <c r="E1803" s="13"/>
      <c r="F1803" s="15"/>
      <c r="G1803" s="16" t="str">
        <f aca="false">IF(OR(B1803="",A1803=""),"",C1803*IFERROR(INDEX(Kişiler!$B$5:$B$44,MATCH(B1803,Kişiler!$A$5:$A$44,0)),0)+D1803*IFERROR(INDEX(Kişiler!$C$5:$C$44,MATCH(B1803,Kişiler!$A$5:$A$44,0)),0))</f>
        <v/>
      </c>
    </row>
    <row r="1804" customFormat="false" ht="15" hidden="false" customHeight="false" outlineLevel="0" collapsed="false">
      <c r="A1804" s="12"/>
      <c r="B1804" s="13"/>
      <c r="C1804" s="14"/>
      <c r="D1804" s="14"/>
      <c r="E1804" s="13"/>
      <c r="F1804" s="15"/>
      <c r="G1804" s="16" t="str">
        <f aca="false">IF(OR(B1804="",A1804=""),"",C1804*IFERROR(INDEX(Kişiler!$B$5:$B$44,MATCH(B1804,Kişiler!$A$5:$A$44,0)),0)+D1804*IFERROR(INDEX(Kişiler!$C$5:$C$44,MATCH(B1804,Kişiler!$A$5:$A$44,0)),0))</f>
        <v/>
      </c>
    </row>
    <row r="1805" customFormat="false" ht="15" hidden="false" customHeight="false" outlineLevel="0" collapsed="false">
      <c r="A1805" s="12"/>
      <c r="B1805" s="13"/>
      <c r="C1805" s="14"/>
      <c r="D1805" s="14"/>
      <c r="E1805" s="13"/>
      <c r="F1805" s="15"/>
      <c r="G1805" s="16" t="str">
        <f aca="false">IF(OR(B1805="",A1805=""),"",C1805*IFERROR(INDEX(Kişiler!$B$5:$B$44,MATCH(B1805,Kişiler!$A$5:$A$44,0)),0)+D1805*IFERROR(INDEX(Kişiler!$C$5:$C$44,MATCH(B1805,Kişiler!$A$5:$A$44,0)),0))</f>
        <v/>
      </c>
    </row>
    <row r="1806" customFormat="false" ht="15" hidden="false" customHeight="false" outlineLevel="0" collapsed="false">
      <c r="A1806" s="12"/>
      <c r="B1806" s="13"/>
      <c r="C1806" s="14"/>
      <c r="D1806" s="14"/>
      <c r="E1806" s="13"/>
      <c r="F1806" s="15"/>
      <c r="G1806" s="16" t="str">
        <f aca="false">IF(OR(B1806="",A1806=""),"",C1806*IFERROR(INDEX(Kişiler!$B$5:$B$44,MATCH(B1806,Kişiler!$A$5:$A$44,0)),0)+D1806*IFERROR(INDEX(Kişiler!$C$5:$C$44,MATCH(B1806,Kişiler!$A$5:$A$44,0)),0))</f>
        <v/>
      </c>
    </row>
    <row r="1807" customFormat="false" ht="15" hidden="false" customHeight="false" outlineLevel="0" collapsed="false">
      <c r="A1807" s="12"/>
      <c r="B1807" s="13"/>
      <c r="C1807" s="14"/>
      <c r="D1807" s="14"/>
      <c r="E1807" s="13"/>
      <c r="F1807" s="15"/>
      <c r="G1807" s="16" t="str">
        <f aca="false">IF(OR(B1807="",A1807=""),"",C1807*IFERROR(INDEX(Kişiler!$B$5:$B$44,MATCH(B1807,Kişiler!$A$5:$A$44,0)),0)+D1807*IFERROR(INDEX(Kişiler!$C$5:$C$44,MATCH(B1807,Kişiler!$A$5:$A$44,0)),0))</f>
        <v/>
      </c>
    </row>
    <row r="1808" customFormat="false" ht="15" hidden="false" customHeight="false" outlineLevel="0" collapsed="false">
      <c r="A1808" s="12"/>
      <c r="B1808" s="13"/>
      <c r="C1808" s="14"/>
      <c r="D1808" s="14"/>
      <c r="E1808" s="13"/>
      <c r="F1808" s="15"/>
      <c r="G1808" s="16" t="str">
        <f aca="false">IF(OR(B1808="",A1808=""),"",C1808*IFERROR(INDEX(Kişiler!$B$5:$B$44,MATCH(B1808,Kişiler!$A$5:$A$44,0)),0)+D1808*IFERROR(INDEX(Kişiler!$C$5:$C$44,MATCH(B1808,Kişiler!$A$5:$A$44,0)),0))</f>
        <v/>
      </c>
    </row>
    <row r="1809" customFormat="false" ht="15" hidden="false" customHeight="false" outlineLevel="0" collapsed="false">
      <c r="A1809" s="12"/>
      <c r="B1809" s="13"/>
      <c r="C1809" s="14"/>
      <c r="D1809" s="14"/>
      <c r="E1809" s="13"/>
      <c r="F1809" s="15"/>
      <c r="G1809" s="16" t="str">
        <f aca="false">IF(OR(B1809="",A1809=""),"",C1809*IFERROR(INDEX(Kişiler!$B$5:$B$44,MATCH(B1809,Kişiler!$A$5:$A$44,0)),0)+D1809*IFERROR(INDEX(Kişiler!$C$5:$C$44,MATCH(B1809,Kişiler!$A$5:$A$44,0)),0))</f>
        <v/>
      </c>
    </row>
    <row r="1810" customFormat="false" ht="15" hidden="false" customHeight="false" outlineLevel="0" collapsed="false">
      <c r="A1810" s="12"/>
      <c r="B1810" s="13"/>
      <c r="C1810" s="14"/>
      <c r="D1810" s="14"/>
      <c r="E1810" s="13"/>
      <c r="F1810" s="15"/>
      <c r="G1810" s="16" t="str">
        <f aca="false">IF(OR(B1810="",A1810=""),"",C1810*IFERROR(INDEX(Kişiler!$B$5:$B$44,MATCH(B1810,Kişiler!$A$5:$A$44,0)),0)+D1810*IFERROR(INDEX(Kişiler!$C$5:$C$44,MATCH(B1810,Kişiler!$A$5:$A$44,0)),0))</f>
        <v/>
      </c>
    </row>
    <row r="1811" customFormat="false" ht="15" hidden="false" customHeight="false" outlineLevel="0" collapsed="false">
      <c r="A1811" s="12"/>
      <c r="B1811" s="13"/>
      <c r="C1811" s="14"/>
      <c r="D1811" s="14"/>
      <c r="E1811" s="13"/>
      <c r="F1811" s="15"/>
      <c r="G1811" s="16" t="str">
        <f aca="false">IF(OR(B1811="",A1811=""),"",C1811*IFERROR(INDEX(Kişiler!$B$5:$B$44,MATCH(B1811,Kişiler!$A$5:$A$44,0)),0)+D1811*IFERROR(INDEX(Kişiler!$C$5:$C$44,MATCH(B1811,Kişiler!$A$5:$A$44,0)),0))</f>
        <v/>
      </c>
    </row>
    <row r="1812" customFormat="false" ht="15" hidden="false" customHeight="false" outlineLevel="0" collapsed="false">
      <c r="A1812" s="12"/>
      <c r="B1812" s="13"/>
      <c r="C1812" s="14"/>
      <c r="D1812" s="14"/>
      <c r="E1812" s="13"/>
      <c r="F1812" s="15"/>
      <c r="G1812" s="16" t="str">
        <f aca="false">IF(OR(B1812="",A1812=""),"",C1812*IFERROR(INDEX(Kişiler!$B$5:$B$44,MATCH(B1812,Kişiler!$A$5:$A$44,0)),0)+D1812*IFERROR(INDEX(Kişiler!$C$5:$C$44,MATCH(B1812,Kişiler!$A$5:$A$44,0)),0))</f>
        <v/>
      </c>
    </row>
    <row r="1813" customFormat="false" ht="15" hidden="false" customHeight="false" outlineLevel="0" collapsed="false">
      <c r="A1813" s="12"/>
      <c r="B1813" s="13"/>
      <c r="C1813" s="14"/>
      <c r="D1813" s="14"/>
      <c r="E1813" s="13"/>
      <c r="F1813" s="15"/>
      <c r="G1813" s="16" t="str">
        <f aca="false">IF(OR(B1813="",A1813=""),"",C1813*IFERROR(INDEX(Kişiler!$B$5:$B$44,MATCH(B1813,Kişiler!$A$5:$A$44,0)),0)+D1813*IFERROR(INDEX(Kişiler!$C$5:$C$44,MATCH(B1813,Kişiler!$A$5:$A$44,0)),0))</f>
        <v/>
      </c>
    </row>
    <row r="1814" customFormat="false" ht="15" hidden="false" customHeight="false" outlineLevel="0" collapsed="false">
      <c r="A1814" s="12"/>
      <c r="B1814" s="13"/>
      <c r="C1814" s="14"/>
      <c r="D1814" s="14"/>
      <c r="E1814" s="13"/>
      <c r="F1814" s="15"/>
      <c r="G1814" s="16" t="str">
        <f aca="false">IF(OR(B1814="",A1814=""),"",C1814*IFERROR(INDEX(Kişiler!$B$5:$B$44,MATCH(B1814,Kişiler!$A$5:$A$44,0)),0)+D1814*IFERROR(INDEX(Kişiler!$C$5:$C$44,MATCH(B1814,Kişiler!$A$5:$A$44,0)),0))</f>
        <v/>
      </c>
    </row>
    <row r="1815" customFormat="false" ht="15" hidden="false" customHeight="false" outlineLevel="0" collapsed="false">
      <c r="A1815" s="12"/>
      <c r="B1815" s="13"/>
      <c r="C1815" s="14"/>
      <c r="D1815" s="14"/>
      <c r="E1815" s="13"/>
      <c r="F1815" s="15"/>
      <c r="G1815" s="16" t="str">
        <f aca="false">IF(OR(B1815="",A1815=""),"",C1815*IFERROR(INDEX(Kişiler!$B$5:$B$44,MATCH(B1815,Kişiler!$A$5:$A$44,0)),0)+D1815*IFERROR(INDEX(Kişiler!$C$5:$C$44,MATCH(B1815,Kişiler!$A$5:$A$44,0)),0))</f>
        <v/>
      </c>
    </row>
    <row r="1816" customFormat="false" ht="15" hidden="false" customHeight="false" outlineLevel="0" collapsed="false">
      <c r="A1816" s="12"/>
      <c r="B1816" s="13"/>
      <c r="C1816" s="14"/>
      <c r="D1816" s="14"/>
      <c r="E1816" s="13"/>
      <c r="F1816" s="15"/>
      <c r="G1816" s="16" t="str">
        <f aca="false">IF(OR(B1816="",A1816=""),"",C1816*IFERROR(INDEX(Kişiler!$B$5:$B$44,MATCH(B1816,Kişiler!$A$5:$A$44,0)),0)+D1816*IFERROR(INDEX(Kişiler!$C$5:$C$44,MATCH(B1816,Kişiler!$A$5:$A$44,0)),0))</f>
        <v/>
      </c>
    </row>
    <row r="1817" customFormat="false" ht="15" hidden="false" customHeight="false" outlineLevel="0" collapsed="false">
      <c r="A1817" s="12"/>
      <c r="B1817" s="13"/>
      <c r="C1817" s="14"/>
      <c r="D1817" s="14"/>
      <c r="E1817" s="13"/>
      <c r="F1817" s="15"/>
      <c r="G1817" s="16" t="str">
        <f aca="false">IF(OR(B1817="",A1817=""),"",C1817*IFERROR(INDEX(Kişiler!$B$5:$B$44,MATCH(B1817,Kişiler!$A$5:$A$44,0)),0)+D1817*IFERROR(INDEX(Kişiler!$C$5:$C$44,MATCH(B1817,Kişiler!$A$5:$A$44,0)),0))</f>
        <v/>
      </c>
    </row>
    <row r="1818" customFormat="false" ht="15" hidden="false" customHeight="false" outlineLevel="0" collapsed="false">
      <c r="A1818" s="12"/>
      <c r="B1818" s="13"/>
      <c r="C1818" s="14"/>
      <c r="D1818" s="14"/>
      <c r="E1818" s="13"/>
      <c r="F1818" s="15"/>
      <c r="G1818" s="16" t="str">
        <f aca="false">IF(OR(B1818="",A1818=""),"",C1818*IFERROR(INDEX(Kişiler!$B$5:$B$44,MATCH(B1818,Kişiler!$A$5:$A$44,0)),0)+D1818*IFERROR(INDEX(Kişiler!$C$5:$C$44,MATCH(B1818,Kişiler!$A$5:$A$44,0)),0))</f>
        <v/>
      </c>
    </row>
    <row r="1819" customFormat="false" ht="15" hidden="false" customHeight="false" outlineLevel="0" collapsed="false">
      <c r="A1819" s="12"/>
      <c r="B1819" s="13"/>
      <c r="C1819" s="14"/>
      <c r="D1819" s="14"/>
      <c r="E1819" s="13"/>
      <c r="F1819" s="15"/>
      <c r="G1819" s="16" t="str">
        <f aca="false">IF(OR(B1819="",A1819=""),"",C1819*IFERROR(INDEX(Kişiler!$B$5:$B$44,MATCH(B1819,Kişiler!$A$5:$A$44,0)),0)+D1819*IFERROR(INDEX(Kişiler!$C$5:$C$44,MATCH(B1819,Kişiler!$A$5:$A$44,0)),0))</f>
        <v/>
      </c>
    </row>
    <row r="1820" customFormat="false" ht="15" hidden="false" customHeight="false" outlineLevel="0" collapsed="false">
      <c r="A1820" s="12"/>
      <c r="B1820" s="13"/>
      <c r="C1820" s="14"/>
      <c r="D1820" s="14"/>
      <c r="E1820" s="13"/>
      <c r="F1820" s="15"/>
      <c r="G1820" s="16" t="str">
        <f aca="false">IF(OR(B1820="",A1820=""),"",C1820*IFERROR(INDEX(Kişiler!$B$5:$B$44,MATCH(B1820,Kişiler!$A$5:$A$44,0)),0)+D1820*IFERROR(INDEX(Kişiler!$C$5:$C$44,MATCH(B1820,Kişiler!$A$5:$A$44,0)),0))</f>
        <v/>
      </c>
    </row>
    <row r="1821" customFormat="false" ht="15" hidden="false" customHeight="false" outlineLevel="0" collapsed="false">
      <c r="A1821" s="12"/>
      <c r="B1821" s="13"/>
      <c r="C1821" s="14"/>
      <c r="D1821" s="14"/>
      <c r="E1821" s="13"/>
      <c r="F1821" s="15"/>
      <c r="G1821" s="16" t="str">
        <f aca="false">IF(OR(B1821="",A1821=""),"",C1821*IFERROR(INDEX(Kişiler!$B$5:$B$44,MATCH(B1821,Kişiler!$A$5:$A$44,0)),0)+D1821*IFERROR(INDEX(Kişiler!$C$5:$C$44,MATCH(B1821,Kişiler!$A$5:$A$44,0)),0))</f>
        <v/>
      </c>
    </row>
    <row r="1822" customFormat="false" ht="15" hidden="false" customHeight="false" outlineLevel="0" collapsed="false">
      <c r="A1822" s="12"/>
      <c r="B1822" s="13"/>
      <c r="C1822" s="14"/>
      <c r="D1822" s="14"/>
      <c r="E1822" s="13"/>
      <c r="F1822" s="15"/>
      <c r="G1822" s="16" t="str">
        <f aca="false">IF(OR(B1822="",A1822=""),"",C1822*IFERROR(INDEX(Kişiler!$B$5:$B$44,MATCH(B1822,Kişiler!$A$5:$A$44,0)),0)+D1822*IFERROR(INDEX(Kişiler!$C$5:$C$44,MATCH(B1822,Kişiler!$A$5:$A$44,0)),0))</f>
        <v/>
      </c>
    </row>
    <row r="1823" customFormat="false" ht="15" hidden="false" customHeight="false" outlineLevel="0" collapsed="false">
      <c r="A1823" s="12"/>
      <c r="B1823" s="13"/>
      <c r="C1823" s="14"/>
      <c r="D1823" s="14"/>
      <c r="E1823" s="13"/>
      <c r="F1823" s="15"/>
      <c r="G1823" s="16" t="str">
        <f aca="false">IF(OR(B1823="",A1823=""),"",C1823*IFERROR(INDEX(Kişiler!$B$5:$B$44,MATCH(B1823,Kişiler!$A$5:$A$44,0)),0)+D1823*IFERROR(INDEX(Kişiler!$C$5:$C$44,MATCH(B1823,Kişiler!$A$5:$A$44,0)),0))</f>
        <v/>
      </c>
    </row>
    <row r="1824" customFormat="false" ht="15" hidden="false" customHeight="false" outlineLevel="0" collapsed="false">
      <c r="A1824" s="12"/>
      <c r="B1824" s="13"/>
      <c r="C1824" s="14"/>
      <c r="D1824" s="14"/>
      <c r="E1824" s="13"/>
      <c r="F1824" s="15"/>
      <c r="G1824" s="16" t="str">
        <f aca="false">IF(OR(B1824="",A1824=""),"",C1824*IFERROR(INDEX(Kişiler!$B$5:$B$44,MATCH(B1824,Kişiler!$A$5:$A$44,0)),0)+D1824*IFERROR(INDEX(Kişiler!$C$5:$C$44,MATCH(B1824,Kişiler!$A$5:$A$44,0)),0))</f>
        <v/>
      </c>
    </row>
    <row r="1825" customFormat="false" ht="15" hidden="false" customHeight="false" outlineLevel="0" collapsed="false">
      <c r="A1825" s="12"/>
      <c r="B1825" s="13"/>
      <c r="C1825" s="14"/>
      <c r="D1825" s="14"/>
      <c r="E1825" s="13"/>
      <c r="F1825" s="15"/>
      <c r="G1825" s="16" t="str">
        <f aca="false">IF(OR(B1825="",A1825=""),"",C1825*IFERROR(INDEX(Kişiler!$B$5:$B$44,MATCH(B1825,Kişiler!$A$5:$A$44,0)),0)+D1825*IFERROR(INDEX(Kişiler!$C$5:$C$44,MATCH(B1825,Kişiler!$A$5:$A$44,0)),0))</f>
        <v/>
      </c>
    </row>
    <row r="1826" customFormat="false" ht="15" hidden="false" customHeight="false" outlineLevel="0" collapsed="false">
      <c r="A1826" s="12"/>
      <c r="B1826" s="13"/>
      <c r="C1826" s="14"/>
      <c r="D1826" s="14"/>
      <c r="E1826" s="13"/>
      <c r="F1826" s="15"/>
      <c r="G1826" s="16" t="str">
        <f aca="false">IF(OR(B1826="",A1826=""),"",C1826*IFERROR(INDEX(Kişiler!$B$5:$B$44,MATCH(B1826,Kişiler!$A$5:$A$44,0)),0)+D1826*IFERROR(INDEX(Kişiler!$C$5:$C$44,MATCH(B1826,Kişiler!$A$5:$A$44,0)),0))</f>
        <v/>
      </c>
    </row>
    <row r="1827" customFormat="false" ht="15" hidden="false" customHeight="false" outlineLevel="0" collapsed="false">
      <c r="A1827" s="12"/>
      <c r="B1827" s="13"/>
      <c r="C1827" s="14"/>
      <c r="D1827" s="14"/>
      <c r="E1827" s="13"/>
      <c r="F1827" s="15"/>
      <c r="G1827" s="16" t="str">
        <f aca="false">IF(OR(B1827="",A1827=""),"",C1827*IFERROR(INDEX(Kişiler!$B$5:$B$44,MATCH(B1827,Kişiler!$A$5:$A$44,0)),0)+D1827*IFERROR(INDEX(Kişiler!$C$5:$C$44,MATCH(B1827,Kişiler!$A$5:$A$44,0)),0))</f>
        <v/>
      </c>
    </row>
    <row r="1828" customFormat="false" ht="15" hidden="false" customHeight="false" outlineLevel="0" collapsed="false">
      <c r="A1828" s="12"/>
      <c r="B1828" s="13"/>
      <c r="C1828" s="14"/>
      <c r="D1828" s="14"/>
      <c r="E1828" s="13"/>
      <c r="F1828" s="15"/>
      <c r="G1828" s="16" t="str">
        <f aca="false">IF(OR(B1828="",A1828=""),"",C1828*IFERROR(INDEX(Kişiler!$B$5:$B$44,MATCH(B1828,Kişiler!$A$5:$A$44,0)),0)+D1828*IFERROR(INDEX(Kişiler!$C$5:$C$44,MATCH(B1828,Kişiler!$A$5:$A$44,0)),0))</f>
        <v/>
      </c>
    </row>
    <row r="1829" customFormat="false" ht="15" hidden="false" customHeight="false" outlineLevel="0" collapsed="false">
      <c r="A1829" s="12"/>
      <c r="B1829" s="13"/>
      <c r="C1829" s="14"/>
      <c r="D1829" s="14"/>
      <c r="E1829" s="13"/>
      <c r="F1829" s="15"/>
      <c r="G1829" s="16" t="str">
        <f aca="false">IF(OR(B1829="",A1829=""),"",C1829*IFERROR(INDEX(Kişiler!$B$5:$B$44,MATCH(B1829,Kişiler!$A$5:$A$44,0)),0)+D1829*IFERROR(INDEX(Kişiler!$C$5:$C$44,MATCH(B1829,Kişiler!$A$5:$A$44,0)),0))</f>
        <v/>
      </c>
    </row>
    <row r="1830" customFormat="false" ht="15" hidden="false" customHeight="false" outlineLevel="0" collapsed="false">
      <c r="A1830" s="12"/>
      <c r="B1830" s="13"/>
      <c r="C1830" s="14"/>
      <c r="D1830" s="14"/>
      <c r="E1830" s="13"/>
      <c r="F1830" s="15"/>
      <c r="G1830" s="16" t="str">
        <f aca="false">IF(OR(B1830="",A1830=""),"",C1830*IFERROR(INDEX(Kişiler!$B$5:$B$44,MATCH(B1830,Kişiler!$A$5:$A$44,0)),0)+D1830*IFERROR(INDEX(Kişiler!$C$5:$C$44,MATCH(B1830,Kişiler!$A$5:$A$44,0)),0))</f>
        <v/>
      </c>
    </row>
    <row r="1831" customFormat="false" ht="15" hidden="false" customHeight="false" outlineLevel="0" collapsed="false">
      <c r="A1831" s="12"/>
      <c r="B1831" s="13"/>
      <c r="C1831" s="14"/>
      <c r="D1831" s="14"/>
      <c r="E1831" s="13"/>
      <c r="F1831" s="15"/>
      <c r="G1831" s="16" t="str">
        <f aca="false">IF(OR(B1831="",A1831=""),"",C1831*IFERROR(INDEX(Kişiler!$B$5:$B$44,MATCH(B1831,Kişiler!$A$5:$A$44,0)),0)+D1831*IFERROR(INDEX(Kişiler!$C$5:$C$44,MATCH(B1831,Kişiler!$A$5:$A$44,0)),0))</f>
        <v/>
      </c>
    </row>
    <row r="1832" customFormat="false" ht="15" hidden="false" customHeight="false" outlineLevel="0" collapsed="false">
      <c r="A1832" s="12"/>
      <c r="B1832" s="13"/>
      <c r="C1832" s="14"/>
      <c r="D1832" s="14"/>
      <c r="E1832" s="13"/>
      <c r="F1832" s="15"/>
      <c r="G1832" s="16" t="str">
        <f aca="false">IF(OR(B1832="",A1832=""),"",C1832*IFERROR(INDEX(Kişiler!$B$5:$B$44,MATCH(B1832,Kişiler!$A$5:$A$44,0)),0)+D1832*IFERROR(INDEX(Kişiler!$C$5:$C$44,MATCH(B1832,Kişiler!$A$5:$A$44,0)),0))</f>
        <v/>
      </c>
    </row>
    <row r="1833" customFormat="false" ht="15" hidden="false" customHeight="false" outlineLevel="0" collapsed="false">
      <c r="A1833" s="12"/>
      <c r="B1833" s="13"/>
      <c r="C1833" s="14"/>
      <c r="D1833" s="14"/>
      <c r="E1833" s="13"/>
      <c r="F1833" s="15"/>
      <c r="G1833" s="16" t="str">
        <f aca="false">IF(OR(B1833="",A1833=""),"",C1833*IFERROR(INDEX(Kişiler!$B$5:$B$44,MATCH(B1833,Kişiler!$A$5:$A$44,0)),0)+D1833*IFERROR(INDEX(Kişiler!$C$5:$C$44,MATCH(B1833,Kişiler!$A$5:$A$44,0)),0))</f>
        <v/>
      </c>
    </row>
    <row r="1834" customFormat="false" ht="15" hidden="false" customHeight="false" outlineLevel="0" collapsed="false">
      <c r="A1834" s="12"/>
      <c r="B1834" s="13"/>
      <c r="C1834" s="14"/>
      <c r="D1834" s="14"/>
      <c r="E1834" s="13"/>
      <c r="F1834" s="15"/>
      <c r="G1834" s="16" t="str">
        <f aca="false">IF(OR(B1834="",A1834=""),"",C1834*IFERROR(INDEX(Kişiler!$B$5:$B$44,MATCH(B1834,Kişiler!$A$5:$A$44,0)),0)+D1834*IFERROR(INDEX(Kişiler!$C$5:$C$44,MATCH(B1834,Kişiler!$A$5:$A$44,0)),0))</f>
        <v/>
      </c>
    </row>
    <row r="1835" customFormat="false" ht="15" hidden="false" customHeight="false" outlineLevel="0" collapsed="false">
      <c r="A1835" s="12"/>
      <c r="B1835" s="13"/>
      <c r="C1835" s="14"/>
      <c r="D1835" s="14"/>
      <c r="E1835" s="13"/>
      <c r="F1835" s="15"/>
      <c r="G1835" s="16" t="str">
        <f aca="false">IF(OR(B1835="",A1835=""),"",C1835*IFERROR(INDEX(Kişiler!$B$5:$B$44,MATCH(B1835,Kişiler!$A$5:$A$44,0)),0)+D1835*IFERROR(INDEX(Kişiler!$C$5:$C$44,MATCH(B1835,Kişiler!$A$5:$A$44,0)),0))</f>
        <v/>
      </c>
    </row>
    <row r="1836" customFormat="false" ht="15" hidden="false" customHeight="false" outlineLevel="0" collapsed="false">
      <c r="A1836" s="12"/>
      <c r="B1836" s="13"/>
      <c r="C1836" s="14"/>
      <c r="D1836" s="14"/>
      <c r="E1836" s="13"/>
      <c r="F1836" s="15"/>
      <c r="G1836" s="16" t="str">
        <f aca="false">IF(OR(B1836="",A1836=""),"",C1836*IFERROR(INDEX(Kişiler!$B$5:$B$44,MATCH(B1836,Kişiler!$A$5:$A$44,0)),0)+D1836*IFERROR(INDEX(Kişiler!$C$5:$C$44,MATCH(B1836,Kişiler!$A$5:$A$44,0)),0))</f>
        <v/>
      </c>
    </row>
    <row r="1837" customFormat="false" ht="15" hidden="false" customHeight="false" outlineLevel="0" collapsed="false">
      <c r="A1837" s="12"/>
      <c r="B1837" s="13"/>
      <c r="C1837" s="14"/>
      <c r="D1837" s="14"/>
      <c r="E1837" s="13"/>
      <c r="F1837" s="15"/>
      <c r="G1837" s="16" t="str">
        <f aca="false">IF(OR(B1837="",A1837=""),"",C1837*IFERROR(INDEX(Kişiler!$B$5:$B$44,MATCH(B1837,Kişiler!$A$5:$A$44,0)),0)+D1837*IFERROR(INDEX(Kişiler!$C$5:$C$44,MATCH(B1837,Kişiler!$A$5:$A$44,0)),0))</f>
        <v/>
      </c>
    </row>
    <row r="1838" customFormat="false" ht="15" hidden="false" customHeight="false" outlineLevel="0" collapsed="false">
      <c r="A1838" s="12"/>
      <c r="B1838" s="13"/>
      <c r="C1838" s="14"/>
      <c r="D1838" s="14"/>
      <c r="E1838" s="13"/>
      <c r="F1838" s="15"/>
      <c r="G1838" s="16" t="str">
        <f aca="false">IF(OR(B1838="",A1838=""),"",C1838*IFERROR(INDEX(Kişiler!$B$5:$B$44,MATCH(B1838,Kişiler!$A$5:$A$44,0)),0)+D1838*IFERROR(INDEX(Kişiler!$C$5:$C$44,MATCH(B1838,Kişiler!$A$5:$A$44,0)),0))</f>
        <v/>
      </c>
    </row>
    <row r="1839" customFormat="false" ht="15" hidden="false" customHeight="false" outlineLevel="0" collapsed="false">
      <c r="A1839" s="12"/>
      <c r="B1839" s="13"/>
      <c r="C1839" s="14"/>
      <c r="D1839" s="14"/>
      <c r="E1839" s="13"/>
      <c r="F1839" s="15"/>
      <c r="G1839" s="16" t="str">
        <f aca="false">IF(OR(B1839="",A1839=""),"",C1839*IFERROR(INDEX(Kişiler!$B$5:$B$44,MATCH(B1839,Kişiler!$A$5:$A$44,0)),0)+D1839*IFERROR(INDEX(Kişiler!$C$5:$C$44,MATCH(B1839,Kişiler!$A$5:$A$44,0)),0))</f>
        <v/>
      </c>
    </row>
    <row r="1840" customFormat="false" ht="15" hidden="false" customHeight="false" outlineLevel="0" collapsed="false">
      <c r="A1840" s="12"/>
      <c r="B1840" s="13"/>
      <c r="C1840" s="14"/>
      <c r="D1840" s="14"/>
      <c r="E1840" s="13"/>
      <c r="F1840" s="15"/>
      <c r="G1840" s="16" t="str">
        <f aca="false">IF(OR(B1840="",A1840=""),"",C1840*IFERROR(INDEX(Kişiler!$B$5:$B$44,MATCH(B1840,Kişiler!$A$5:$A$44,0)),0)+D1840*IFERROR(INDEX(Kişiler!$C$5:$C$44,MATCH(B1840,Kişiler!$A$5:$A$44,0)),0))</f>
        <v/>
      </c>
    </row>
    <row r="1841" customFormat="false" ht="15" hidden="false" customHeight="false" outlineLevel="0" collapsed="false">
      <c r="A1841" s="12"/>
      <c r="B1841" s="13"/>
      <c r="C1841" s="14"/>
      <c r="D1841" s="14"/>
      <c r="E1841" s="13"/>
      <c r="F1841" s="15"/>
      <c r="G1841" s="16" t="str">
        <f aca="false">IF(OR(B1841="",A1841=""),"",C1841*IFERROR(INDEX(Kişiler!$B$5:$B$44,MATCH(B1841,Kişiler!$A$5:$A$44,0)),0)+D1841*IFERROR(INDEX(Kişiler!$C$5:$C$44,MATCH(B1841,Kişiler!$A$5:$A$44,0)),0))</f>
        <v/>
      </c>
    </row>
    <row r="1842" customFormat="false" ht="15" hidden="false" customHeight="false" outlineLevel="0" collapsed="false">
      <c r="A1842" s="12"/>
      <c r="B1842" s="13"/>
      <c r="C1842" s="14"/>
      <c r="D1842" s="14"/>
      <c r="E1842" s="13"/>
      <c r="F1842" s="15"/>
      <c r="G1842" s="16" t="str">
        <f aca="false">IF(OR(B1842="",A1842=""),"",C1842*IFERROR(INDEX(Kişiler!$B$5:$B$44,MATCH(B1842,Kişiler!$A$5:$A$44,0)),0)+D1842*IFERROR(INDEX(Kişiler!$C$5:$C$44,MATCH(B1842,Kişiler!$A$5:$A$44,0)),0))</f>
        <v/>
      </c>
    </row>
    <row r="1843" customFormat="false" ht="15" hidden="false" customHeight="false" outlineLevel="0" collapsed="false">
      <c r="A1843" s="12"/>
      <c r="B1843" s="13"/>
      <c r="C1843" s="14"/>
      <c r="D1843" s="14"/>
      <c r="E1843" s="13"/>
      <c r="F1843" s="15"/>
      <c r="G1843" s="16" t="str">
        <f aca="false">IF(OR(B1843="",A1843=""),"",C1843*IFERROR(INDEX(Kişiler!$B$5:$B$44,MATCH(B1843,Kişiler!$A$5:$A$44,0)),0)+D1843*IFERROR(INDEX(Kişiler!$C$5:$C$44,MATCH(B1843,Kişiler!$A$5:$A$44,0)),0))</f>
        <v/>
      </c>
    </row>
    <row r="1844" customFormat="false" ht="15" hidden="false" customHeight="false" outlineLevel="0" collapsed="false">
      <c r="A1844" s="12"/>
      <c r="B1844" s="13"/>
      <c r="C1844" s="14"/>
      <c r="D1844" s="14"/>
      <c r="E1844" s="13"/>
      <c r="F1844" s="15"/>
      <c r="G1844" s="16" t="str">
        <f aca="false">IF(OR(B1844="",A1844=""),"",C1844*IFERROR(INDEX(Kişiler!$B$5:$B$44,MATCH(B1844,Kişiler!$A$5:$A$44,0)),0)+D1844*IFERROR(INDEX(Kişiler!$C$5:$C$44,MATCH(B1844,Kişiler!$A$5:$A$44,0)),0))</f>
        <v/>
      </c>
    </row>
    <row r="1845" customFormat="false" ht="15" hidden="false" customHeight="false" outlineLevel="0" collapsed="false">
      <c r="A1845" s="12"/>
      <c r="B1845" s="13"/>
      <c r="C1845" s="14"/>
      <c r="D1845" s="14"/>
      <c r="E1845" s="13"/>
      <c r="F1845" s="15"/>
      <c r="G1845" s="16" t="str">
        <f aca="false">IF(OR(B1845="",A1845=""),"",C1845*IFERROR(INDEX(Kişiler!$B$5:$B$44,MATCH(B1845,Kişiler!$A$5:$A$44,0)),0)+D1845*IFERROR(INDEX(Kişiler!$C$5:$C$44,MATCH(B1845,Kişiler!$A$5:$A$44,0)),0))</f>
        <v/>
      </c>
    </row>
    <row r="1846" customFormat="false" ht="15" hidden="false" customHeight="false" outlineLevel="0" collapsed="false">
      <c r="A1846" s="12"/>
      <c r="B1846" s="13"/>
      <c r="C1846" s="14"/>
      <c r="D1846" s="14"/>
      <c r="E1846" s="13"/>
      <c r="F1846" s="15"/>
      <c r="G1846" s="16" t="str">
        <f aca="false">IF(OR(B1846="",A1846=""),"",C1846*IFERROR(INDEX(Kişiler!$B$5:$B$44,MATCH(B1846,Kişiler!$A$5:$A$44,0)),0)+D1846*IFERROR(INDEX(Kişiler!$C$5:$C$44,MATCH(B1846,Kişiler!$A$5:$A$44,0)),0))</f>
        <v/>
      </c>
    </row>
    <row r="1847" customFormat="false" ht="15" hidden="false" customHeight="false" outlineLevel="0" collapsed="false">
      <c r="A1847" s="12"/>
      <c r="B1847" s="13"/>
      <c r="C1847" s="14"/>
      <c r="D1847" s="14"/>
      <c r="E1847" s="13"/>
      <c r="F1847" s="15"/>
      <c r="G1847" s="16" t="str">
        <f aca="false">IF(OR(B1847="",A1847=""),"",C1847*IFERROR(INDEX(Kişiler!$B$5:$B$44,MATCH(B1847,Kişiler!$A$5:$A$44,0)),0)+D1847*IFERROR(INDEX(Kişiler!$C$5:$C$44,MATCH(B1847,Kişiler!$A$5:$A$44,0)),0))</f>
        <v/>
      </c>
    </row>
    <row r="1848" customFormat="false" ht="15" hidden="false" customHeight="false" outlineLevel="0" collapsed="false">
      <c r="A1848" s="12"/>
      <c r="B1848" s="13"/>
      <c r="C1848" s="14"/>
      <c r="D1848" s="14"/>
      <c r="E1848" s="13"/>
      <c r="F1848" s="15"/>
      <c r="G1848" s="16" t="str">
        <f aca="false">IF(OR(B1848="",A1848=""),"",C1848*IFERROR(INDEX(Kişiler!$B$5:$B$44,MATCH(B1848,Kişiler!$A$5:$A$44,0)),0)+D1848*IFERROR(INDEX(Kişiler!$C$5:$C$44,MATCH(B1848,Kişiler!$A$5:$A$44,0)),0))</f>
        <v/>
      </c>
    </row>
    <row r="1849" customFormat="false" ht="15" hidden="false" customHeight="false" outlineLevel="0" collapsed="false">
      <c r="A1849" s="12"/>
      <c r="B1849" s="13"/>
      <c r="C1849" s="14"/>
      <c r="D1849" s="14"/>
      <c r="E1849" s="13"/>
      <c r="F1849" s="15"/>
      <c r="G1849" s="16" t="str">
        <f aca="false">IF(OR(B1849="",A1849=""),"",C1849*IFERROR(INDEX(Kişiler!$B$5:$B$44,MATCH(B1849,Kişiler!$A$5:$A$44,0)),0)+D1849*IFERROR(INDEX(Kişiler!$C$5:$C$44,MATCH(B1849,Kişiler!$A$5:$A$44,0)),0))</f>
        <v/>
      </c>
    </row>
    <row r="1850" customFormat="false" ht="15" hidden="false" customHeight="false" outlineLevel="0" collapsed="false">
      <c r="A1850" s="12"/>
      <c r="B1850" s="13"/>
      <c r="C1850" s="14"/>
      <c r="D1850" s="14"/>
      <c r="E1850" s="13"/>
      <c r="F1850" s="15"/>
      <c r="G1850" s="16" t="str">
        <f aca="false">IF(OR(B1850="",A1850=""),"",C1850*IFERROR(INDEX(Kişiler!$B$5:$B$44,MATCH(B1850,Kişiler!$A$5:$A$44,0)),0)+D1850*IFERROR(INDEX(Kişiler!$C$5:$C$44,MATCH(B1850,Kişiler!$A$5:$A$44,0)),0))</f>
        <v/>
      </c>
    </row>
    <row r="1851" customFormat="false" ht="15" hidden="false" customHeight="false" outlineLevel="0" collapsed="false">
      <c r="A1851" s="12"/>
      <c r="B1851" s="13"/>
      <c r="C1851" s="14"/>
      <c r="D1851" s="14"/>
      <c r="E1851" s="13"/>
      <c r="F1851" s="15"/>
      <c r="G1851" s="16" t="str">
        <f aca="false">IF(OR(B1851="",A1851=""),"",C1851*IFERROR(INDEX(Kişiler!$B$5:$B$44,MATCH(B1851,Kişiler!$A$5:$A$44,0)),0)+D1851*IFERROR(INDEX(Kişiler!$C$5:$C$44,MATCH(B1851,Kişiler!$A$5:$A$44,0)),0))</f>
        <v/>
      </c>
    </row>
    <row r="1852" customFormat="false" ht="15" hidden="false" customHeight="false" outlineLevel="0" collapsed="false">
      <c r="A1852" s="12"/>
      <c r="B1852" s="13"/>
      <c r="C1852" s="14"/>
      <c r="D1852" s="14"/>
      <c r="E1852" s="13"/>
      <c r="F1852" s="15"/>
      <c r="G1852" s="16" t="str">
        <f aca="false">IF(OR(B1852="",A1852=""),"",C1852*IFERROR(INDEX(Kişiler!$B$5:$B$44,MATCH(B1852,Kişiler!$A$5:$A$44,0)),0)+D1852*IFERROR(INDEX(Kişiler!$C$5:$C$44,MATCH(B1852,Kişiler!$A$5:$A$44,0)),0))</f>
        <v/>
      </c>
    </row>
    <row r="1853" customFormat="false" ht="15" hidden="false" customHeight="false" outlineLevel="0" collapsed="false">
      <c r="A1853" s="12"/>
      <c r="B1853" s="13"/>
      <c r="C1853" s="14"/>
      <c r="D1853" s="14"/>
      <c r="E1853" s="13"/>
      <c r="F1853" s="15"/>
      <c r="G1853" s="16" t="str">
        <f aca="false">IF(OR(B1853="",A1853=""),"",C1853*IFERROR(INDEX(Kişiler!$B$5:$B$44,MATCH(B1853,Kişiler!$A$5:$A$44,0)),0)+D1853*IFERROR(INDEX(Kişiler!$C$5:$C$44,MATCH(B1853,Kişiler!$A$5:$A$44,0)),0))</f>
        <v/>
      </c>
    </row>
    <row r="1854" customFormat="false" ht="15" hidden="false" customHeight="false" outlineLevel="0" collapsed="false">
      <c r="A1854" s="12"/>
      <c r="B1854" s="13"/>
      <c r="C1854" s="14"/>
      <c r="D1854" s="14"/>
      <c r="E1854" s="13"/>
      <c r="F1854" s="15"/>
      <c r="G1854" s="16" t="str">
        <f aca="false">IF(OR(B1854="",A1854=""),"",C1854*IFERROR(INDEX(Kişiler!$B$5:$B$44,MATCH(B1854,Kişiler!$A$5:$A$44,0)),0)+D1854*IFERROR(INDEX(Kişiler!$C$5:$C$44,MATCH(B1854,Kişiler!$A$5:$A$44,0)),0))</f>
        <v/>
      </c>
    </row>
    <row r="1855" customFormat="false" ht="15" hidden="false" customHeight="false" outlineLevel="0" collapsed="false">
      <c r="A1855" s="12"/>
      <c r="B1855" s="13"/>
      <c r="C1855" s="14"/>
      <c r="D1855" s="14"/>
      <c r="E1855" s="13"/>
      <c r="F1855" s="15"/>
      <c r="G1855" s="16" t="str">
        <f aca="false">IF(OR(B1855="",A1855=""),"",C1855*IFERROR(INDEX(Kişiler!$B$5:$B$44,MATCH(B1855,Kişiler!$A$5:$A$44,0)),0)+D1855*IFERROR(INDEX(Kişiler!$C$5:$C$44,MATCH(B1855,Kişiler!$A$5:$A$44,0)),0))</f>
        <v/>
      </c>
    </row>
    <row r="1856" customFormat="false" ht="15" hidden="false" customHeight="false" outlineLevel="0" collapsed="false">
      <c r="A1856" s="12"/>
      <c r="B1856" s="13"/>
      <c r="C1856" s="14"/>
      <c r="D1856" s="14"/>
      <c r="E1856" s="13"/>
      <c r="F1856" s="15"/>
      <c r="G1856" s="16" t="str">
        <f aca="false">IF(OR(B1856="",A1856=""),"",C1856*IFERROR(INDEX(Kişiler!$B$5:$B$44,MATCH(B1856,Kişiler!$A$5:$A$44,0)),0)+D1856*IFERROR(INDEX(Kişiler!$C$5:$C$44,MATCH(B1856,Kişiler!$A$5:$A$44,0)),0))</f>
        <v/>
      </c>
    </row>
    <row r="1857" customFormat="false" ht="15" hidden="false" customHeight="false" outlineLevel="0" collapsed="false">
      <c r="A1857" s="12"/>
      <c r="B1857" s="13"/>
      <c r="C1857" s="14"/>
      <c r="D1857" s="14"/>
      <c r="E1857" s="13"/>
      <c r="F1857" s="15"/>
      <c r="G1857" s="16" t="str">
        <f aca="false">IF(OR(B1857="",A1857=""),"",C1857*IFERROR(INDEX(Kişiler!$B$5:$B$44,MATCH(B1857,Kişiler!$A$5:$A$44,0)),0)+D1857*IFERROR(INDEX(Kişiler!$C$5:$C$44,MATCH(B1857,Kişiler!$A$5:$A$44,0)),0))</f>
        <v/>
      </c>
    </row>
    <row r="1858" customFormat="false" ht="15" hidden="false" customHeight="false" outlineLevel="0" collapsed="false">
      <c r="A1858" s="12"/>
      <c r="B1858" s="13"/>
      <c r="C1858" s="14"/>
      <c r="D1858" s="14"/>
      <c r="E1858" s="13"/>
      <c r="F1858" s="15"/>
      <c r="G1858" s="16" t="str">
        <f aca="false">IF(OR(B1858="",A1858=""),"",C1858*IFERROR(INDEX(Kişiler!$B$5:$B$44,MATCH(B1858,Kişiler!$A$5:$A$44,0)),0)+D1858*IFERROR(INDEX(Kişiler!$C$5:$C$44,MATCH(B1858,Kişiler!$A$5:$A$44,0)),0))</f>
        <v/>
      </c>
    </row>
    <row r="1859" customFormat="false" ht="15" hidden="false" customHeight="false" outlineLevel="0" collapsed="false">
      <c r="A1859" s="12"/>
      <c r="B1859" s="13"/>
      <c r="C1859" s="14"/>
      <c r="D1859" s="14"/>
      <c r="E1859" s="13"/>
      <c r="F1859" s="15"/>
      <c r="G1859" s="16" t="str">
        <f aca="false">IF(OR(B1859="",A1859=""),"",C1859*IFERROR(INDEX(Kişiler!$B$5:$B$44,MATCH(B1859,Kişiler!$A$5:$A$44,0)),0)+D1859*IFERROR(INDEX(Kişiler!$C$5:$C$44,MATCH(B1859,Kişiler!$A$5:$A$44,0)),0))</f>
        <v/>
      </c>
    </row>
    <row r="1860" customFormat="false" ht="15" hidden="false" customHeight="false" outlineLevel="0" collapsed="false">
      <c r="A1860" s="12"/>
      <c r="B1860" s="13"/>
      <c r="C1860" s="14"/>
      <c r="D1860" s="14"/>
      <c r="E1860" s="13"/>
      <c r="F1860" s="15"/>
      <c r="G1860" s="16" t="str">
        <f aca="false">IF(OR(B1860="",A1860=""),"",C1860*IFERROR(INDEX(Kişiler!$B$5:$B$44,MATCH(B1860,Kişiler!$A$5:$A$44,0)),0)+D1860*IFERROR(INDEX(Kişiler!$C$5:$C$44,MATCH(B1860,Kişiler!$A$5:$A$44,0)),0))</f>
        <v/>
      </c>
    </row>
    <row r="1861" customFormat="false" ht="15" hidden="false" customHeight="false" outlineLevel="0" collapsed="false">
      <c r="A1861" s="12"/>
      <c r="B1861" s="13"/>
      <c r="C1861" s="14"/>
      <c r="D1861" s="14"/>
      <c r="E1861" s="13"/>
      <c r="F1861" s="15"/>
      <c r="G1861" s="16" t="str">
        <f aca="false">IF(OR(B1861="",A1861=""),"",C1861*IFERROR(INDEX(Kişiler!$B$5:$B$44,MATCH(B1861,Kişiler!$A$5:$A$44,0)),0)+D1861*IFERROR(INDEX(Kişiler!$C$5:$C$44,MATCH(B1861,Kişiler!$A$5:$A$44,0)),0))</f>
        <v/>
      </c>
    </row>
    <row r="1862" customFormat="false" ht="15" hidden="false" customHeight="false" outlineLevel="0" collapsed="false">
      <c r="A1862" s="12"/>
      <c r="B1862" s="13"/>
      <c r="C1862" s="14"/>
      <c r="D1862" s="14"/>
      <c r="E1862" s="13"/>
      <c r="F1862" s="15"/>
      <c r="G1862" s="16" t="str">
        <f aca="false">IF(OR(B1862="",A1862=""),"",C1862*IFERROR(INDEX(Kişiler!$B$5:$B$44,MATCH(B1862,Kişiler!$A$5:$A$44,0)),0)+D1862*IFERROR(INDEX(Kişiler!$C$5:$C$44,MATCH(B1862,Kişiler!$A$5:$A$44,0)),0))</f>
        <v/>
      </c>
    </row>
    <row r="1863" customFormat="false" ht="15" hidden="false" customHeight="false" outlineLevel="0" collapsed="false">
      <c r="A1863" s="12"/>
      <c r="B1863" s="13"/>
      <c r="C1863" s="14"/>
      <c r="D1863" s="14"/>
      <c r="E1863" s="13"/>
      <c r="F1863" s="15"/>
      <c r="G1863" s="16" t="str">
        <f aca="false">IF(OR(B1863="",A1863=""),"",C1863*IFERROR(INDEX(Kişiler!$B$5:$B$44,MATCH(B1863,Kişiler!$A$5:$A$44,0)),0)+D1863*IFERROR(INDEX(Kişiler!$C$5:$C$44,MATCH(B1863,Kişiler!$A$5:$A$44,0)),0))</f>
        <v/>
      </c>
    </row>
    <row r="1864" customFormat="false" ht="15" hidden="false" customHeight="false" outlineLevel="0" collapsed="false">
      <c r="A1864" s="12"/>
      <c r="B1864" s="13"/>
      <c r="C1864" s="14"/>
      <c r="D1864" s="14"/>
      <c r="E1864" s="13"/>
      <c r="F1864" s="15"/>
      <c r="G1864" s="16" t="str">
        <f aca="false">IF(OR(B1864="",A1864=""),"",C1864*IFERROR(INDEX(Kişiler!$B$5:$B$44,MATCH(B1864,Kişiler!$A$5:$A$44,0)),0)+D1864*IFERROR(INDEX(Kişiler!$C$5:$C$44,MATCH(B1864,Kişiler!$A$5:$A$44,0)),0))</f>
        <v/>
      </c>
    </row>
    <row r="1865" customFormat="false" ht="15" hidden="false" customHeight="false" outlineLevel="0" collapsed="false">
      <c r="A1865" s="12"/>
      <c r="B1865" s="13"/>
      <c r="C1865" s="14"/>
      <c r="D1865" s="14"/>
      <c r="E1865" s="13"/>
      <c r="F1865" s="15"/>
      <c r="G1865" s="16" t="str">
        <f aca="false">IF(OR(B1865="",A1865=""),"",C1865*IFERROR(INDEX(Kişiler!$B$5:$B$44,MATCH(B1865,Kişiler!$A$5:$A$44,0)),0)+D1865*IFERROR(INDEX(Kişiler!$C$5:$C$44,MATCH(B1865,Kişiler!$A$5:$A$44,0)),0))</f>
        <v/>
      </c>
    </row>
    <row r="1866" customFormat="false" ht="15" hidden="false" customHeight="false" outlineLevel="0" collapsed="false">
      <c r="A1866" s="12"/>
      <c r="B1866" s="13"/>
      <c r="C1866" s="14"/>
      <c r="D1866" s="14"/>
      <c r="E1866" s="13"/>
      <c r="F1866" s="15"/>
      <c r="G1866" s="16" t="str">
        <f aca="false">IF(OR(B1866="",A1866=""),"",C1866*IFERROR(INDEX(Kişiler!$B$5:$B$44,MATCH(B1866,Kişiler!$A$5:$A$44,0)),0)+D1866*IFERROR(INDEX(Kişiler!$C$5:$C$44,MATCH(B1866,Kişiler!$A$5:$A$44,0)),0))</f>
        <v/>
      </c>
    </row>
    <row r="1867" customFormat="false" ht="15" hidden="false" customHeight="false" outlineLevel="0" collapsed="false">
      <c r="A1867" s="12"/>
      <c r="B1867" s="13"/>
      <c r="C1867" s="14"/>
      <c r="D1867" s="14"/>
      <c r="E1867" s="13"/>
      <c r="F1867" s="15"/>
      <c r="G1867" s="16" t="str">
        <f aca="false">IF(OR(B1867="",A1867=""),"",C1867*IFERROR(INDEX(Kişiler!$B$5:$B$44,MATCH(B1867,Kişiler!$A$5:$A$44,0)),0)+D1867*IFERROR(INDEX(Kişiler!$C$5:$C$44,MATCH(B1867,Kişiler!$A$5:$A$44,0)),0))</f>
        <v/>
      </c>
    </row>
    <row r="1868" customFormat="false" ht="15" hidden="false" customHeight="false" outlineLevel="0" collapsed="false">
      <c r="A1868" s="12"/>
      <c r="B1868" s="13"/>
      <c r="C1868" s="14"/>
      <c r="D1868" s="14"/>
      <c r="E1868" s="13"/>
      <c r="F1868" s="15"/>
      <c r="G1868" s="16" t="str">
        <f aca="false">IF(OR(B1868="",A1868=""),"",C1868*IFERROR(INDEX(Kişiler!$B$5:$B$44,MATCH(B1868,Kişiler!$A$5:$A$44,0)),0)+D1868*IFERROR(INDEX(Kişiler!$C$5:$C$44,MATCH(B1868,Kişiler!$A$5:$A$44,0)),0))</f>
        <v/>
      </c>
    </row>
    <row r="1869" customFormat="false" ht="15" hidden="false" customHeight="false" outlineLevel="0" collapsed="false">
      <c r="A1869" s="12"/>
      <c r="B1869" s="13"/>
      <c r="C1869" s="14"/>
      <c r="D1869" s="14"/>
      <c r="E1869" s="13"/>
      <c r="F1869" s="15"/>
      <c r="G1869" s="16" t="str">
        <f aca="false">IF(OR(B1869="",A1869=""),"",C1869*IFERROR(INDEX(Kişiler!$B$5:$B$44,MATCH(B1869,Kişiler!$A$5:$A$44,0)),0)+D1869*IFERROR(INDEX(Kişiler!$C$5:$C$44,MATCH(B1869,Kişiler!$A$5:$A$44,0)),0))</f>
        <v/>
      </c>
    </row>
    <row r="1870" customFormat="false" ht="15" hidden="false" customHeight="false" outlineLevel="0" collapsed="false">
      <c r="A1870" s="12"/>
      <c r="B1870" s="13"/>
      <c r="C1870" s="14"/>
      <c r="D1870" s="14"/>
      <c r="E1870" s="13"/>
      <c r="F1870" s="15"/>
      <c r="G1870" s="16" t="str">
        <f aca="false">IF(OR(B1870="",A1870=""),"",C1870*IFERROR(INDEX(Kişiler!$B$5:$B$44,MATCH(B1870,Kişiler!$A$5:$A$44,0)),0)+D1870*IFERROR(INDEX(Kişiler!$C$5:$C$44,MATCH(B1870,Kişiler!$A$5:$A$44,0)),0))</f>
        <v/>
      </c>
    </row>
    <row r="1871" customFormat="false" ht="15" hidden="false" customHeight="false" outlineLevel="0" collapsed="false">
      <c r="A1871" s="12"/>
      <c r="B1871" s="13"/>
      <c r="C1871" s="14"/>
      <c r="D1871" s="14"/>
      <c r="E1871" s="13"/>
      <c r="F1871" s="15"/>
      <c r="G1871" s="16" t="str">
        <f aca="false">IF(OR(B1871="",A1871=""),"",C1871*IFERROR(INDEX(Kişiler!$B$5:$B$44,MATCH(B1871,Kişiler!$A$5:$A$44,0)),0)+D1871*IFERROR(INDEX(Kişiler!$C$5:$C$44,MATCH(B1871,Kişiler!$A$5:$A$44,0)),0))</f>
        <v/>
      </c>
    </row>
    <row r="1872" customFormat="false" ht="15" hidden="false" customHeight="false" outlineLevel="0" collapsed="false">
      <c r="A1872" s="12"/>
      <c r="B1872" s="13"/>
      <c r="C1872" s="14"/>
      <c r="D1872" s="14"/>
      <c r="E1872" s="13"/>
      <c r="F1872" s="15"/>
      <c r="G1872" s="16" t="str">
        <f aca="false">IF(OR(B1872="",A1872=""),"",C1872*IFERROR(INDEX(Kişiler!$B$5:$B$44,MATCH(B1872,Kişiler!$A$5:$A$44,0)),0)+D1872*IFERROR(INDEX(Kişiler!$C$5:$C$44,MATCH(B1872,Kişiler!$A$5:$A$44,0)),0))</f>
        <v/>
      </c>
    </row>
    <row r="1873" customFormat="false" ht="15" hidden="false" customHeight="false" outlineLevel="0" collapsed="false">
      <c r="A1873" s="12"/>
      <c r="B1873" s="13"/>
      <c r="C1873" s="14"/>
      <c r="D1873" s="14"/>
      <c r="E1873" s="13"/>
      <c r="F1873" s="15"/>
      <c r="G1873" s="16" t="str">
        <f aca="false">IF(OR(B1873="",A1873=""),"",C1873*IFERROR(INDEX(Kişiler!$B$5:$B$44,MATCH(B1873,Kişiler!$A$5:$A$44,0)),0)+D1873*IFERROR(INDEX(Kişiler!$C$5:$C$44,MATCH(B1873,Kişiler!$A$5:$A$44,0)),0))</f>
        <v/>
      </c>
    </row>
    <row r="1874" customFormat="false" ht="15" hidden="false" customHeight="false" outlineLevel="0" collapsed="false">
      <c r="A1874" s="12"/>
      <c r="B1874" s="13"/>
      <c r="C1874" s="14"/>
      <c r="D1874" s="14"/>
      <c r="E1874" s="13"/>
      <c r="F1874" s="15"/>
      <c r="G1874" s="16" t="str">
        <f aca="false">IF(OR(B1874="",A1874=""),"",C1874*IFERROR(INDEX(Kişiler!$B$5:$B$44,MATCH(B1874,Kişiler!$A$5:$A$44,0)),0)+D1874*IFERROR(INDEX(Kişiler!$C$5:$C$44,MATCH(B1874,Kişiler!$A$5:$A$44,0)),0))</f>
        <v/>
      </c>
    </row>
    <row r="1875" customFormat="false" ht="15" hidden="false" customHeight="false" outlineLevel="0" collapsed="false">
      <c r="A1875" s="12"/>
      <c r="B1875" s="13"/>
      <c r="C1875" s="14"/>
      <c r="D1875" s="14"/>
      <c r="E1875" s="13"/>
      <c r="F1875" s="15"/>
      <c r="G1875" s="16" t="str">
        <f aca="false">IF(OR(B1875="",A1875=""),"",C1875*IFERROR(INDEX(Kişiler!$B$5:$B$44,MATCH(B1875,Kişiler!$A$5:$A$44,0)),0)+D1875*IFERROR(INDEX(Kişiler!$C$5:$C$44,MATCH(B1875,Kişiler!$A$5:$A$44,0)),0))</f>
        <v/>
      </c>
    </row>
    <row r="1876" customFormat="false" ht="15" hidden="false" customHeight="false" outlineLevel="0" collapsed="false">
      <c r="A1876" s="12"/>
      <c r="B1876" s="13"/>
      <c r="C1876" s="14"/>
      <c r="D1876" s="14"/>
      <c r="E1876" s="13"/>
      <c r="F1876" s="15"/>
      <c r="G1876" s="16" t="str">
        <f aca="false">IF(OR(B1876="",A1876=""),"",C1876*IFERROR(INDEX(Kişiler!$B$5:$B$44,MATCH(B1876,Kişiler!$A$5:$A$44,0)),0)+D1876*IFERROR(INDEX(Kişiler!$C$5:$C$44,MATCH(B1876,Kişiler!$A$5:$A$44,0)),0))</f>
        <v/>
      </c>
    </row>
    <row r="1877" customFormat="false" ht="15" hidden="false" customHeight="false" outlineLevel="0" collapsed="false">
      <c r="A1877" s="12"/>
      <c r="B1877" s="13"/>
      <c r="C1877" s="14"/>
      <c r="D1877" s="14"/>
      <c r="E1877" s="13"/>
      <c r="F1877" s="15"/>
      <c r="G1877" s="16" t="str">
        <f aca="false">IF(OR(B1877="",A1877=""),"",C1877*IFERROR(INDEX(Kişiler!$B$5:$B$44,MATCH(B1877,Kişiler!$A$5:$A$44,0)),0)+D1877*IFERROR(INDEX(Kişiler!$C$5:$C$44,MATCH(B1877,Kişiler!$A$5:$A$44,0)),0))</f>
        <v/>
      </c>
    </row>
    <row r="1878" customFormat="false" ht="15" hidden="false" customHeight="false" outlineLevel="0" collapsed="false">
      <c r="A1878" s="12"/>
      <c r="B1878" s="13"/>
      <c r="C1878" s="14"/>
      <c r="D1878" s="14"/>
      <c r="E1878" s="13"/>
      <c r="F1878" s="15"/>
      <c r="G1878" s="16" t="str">
        <f aca="false">IF(OR(B1878="",A1878=""),"",C1878*IFERROR(INDEX(Kişiler!$B$5:$B$44,MATCH(B1878,Kişiler!$A$5:$A$44,0)),0)+D1878*IFERROR(INDEX(Kişiler!$C$5:$C$44,MATCH(B1878,Kişiler!$A$5:$A$44,0)),0))</f>
        <v/>
      </c>
    </row>
    <row r="1879" customFormat="false" ht="15" hidden="false" customHeight="false" outlineLevel="0" collapsed="false">
      <c r="A1879" s="12"/>
      <c r="B1879" s="13"/>
      <c r="C1879" s="14"/>
      <c r="D1879" s="14"/>
      <c r="E1879" s="13"/>
      <c r="F1879" s="15"/>
      <c r="G1879" s="16" t="str">
        <f aca="false">IF(OR(B1879="",A1879=""),"",C1879*IFERROR(INDEX(Kişiler!$B$5:$B$44,MATCH(B1879,Kişiler!$A$5:$A$44,0)),0)+D1879*IFERROR(INDEX(Kişiler!$C$5:$C$44,MATCH(B1879,Kişiler!$A$5:$A$44,0)),0))</f>
        <v/>
      </c>
    </row>
    <row r="1880" customFormat="false" ht="15" hidden="false" customHeight="false" outlineLevel="0" collapsed="false">
      <c r="A1880" s="12"/>
      <c r="B1880" s="13"/>
      <c r="C1880" s="14"/>
      <c r="D1880" s="14"/>
      <c r="E1880" s="13"/>
      <c r="F1880" s="15"/>
      <c r="G1880" s="16" t="str">
        <f aca="false">IF(OR(B1880="",A1880=""),"",C1880*IFERROR(INDEX(Kişiler!$B$5:$B$44,MATCH(B1880,Kişiler!$A$5:$A$44,0)),0)+D1880*IFERROR(INDEX(Kişiler!$C$5:$C$44,MATCH(B1880,Kişiler!$A$5:$A$44,0)),0))</f>
        <v/>
      </c>
    </row>
    <row r="1881" customFormat="false" ht="15" hidden="false" customHeight="false" outlineLevel="0" collapsed="false">
      <c r="A1881" s="12"/>
      <c r="B1881" s="13"/>
      <c r="C1881" s="14"/>
      <c r="D1881" s="14"/>
      <c r="E1881" s="13"/>
      <c r="F1881" s="15"/>
      <c r="G1881" s="16" t="str">
        <f aca="false">IF(OR(B1881="",A1881=""),"",C1881*IFERROR(INDEX(Kişiler!$B$5:$B$44,MATCH(B1881,Kişiler!$A$5:$A$44,0)),0)+D1881*IFERROR(INDEX(Kişiler!$C$5:$C$44,MATCH(B1881,Kişiler!$A$5:$A$44,0)),0))</f>
        <v/>
      </c>
    </row>
    <row r="1882" customFormat="false" ht="15" hidden="false" customHeight="false" outlineLevel="0" collapsed="false">
      <c r="A1882" s="12"/>
      <c r="B1882" s="13"/>
      <c r="C1882" s="14"/>
      <c r="D1882" s="14"/>
      <c r="E1882" s="13"/>
      <c r="F1882" s="15"/>
      <c r="G1882" s="16" t="str">
        <f aca="false">IF(OR(B1882="",A1882=""),"",C1882*IFERROR(INDEX(Kişiler!$B$5:$B$44,MATCH(B1882,Kişiler!$A$5:$A$44,0)),0)+D1882*IFERROR(INDEX(Kişiler!$C$5:$C$44,MATCH(B1882,Kişiler!$A$5:$A$44,0)),0))</f>
        <v/>
      </c>
    </row>
    <row r="1883" customFormat="false" ht="15" hidden="false" customHeight="false" outlineLevel="0" collapsed="false">
      <c r="A1883" s="12"/>
      <c r="B1883" s="13"/>
      <c r="C1883" s="14"/>
      <c r="D1883" s="14"/>
      <c r="E1883" s="13"/>
      <c r="F1883" s="15"/>
      <c r="G1883" s="16" t="str">
        <f aca="false">IF(OR(B1883="",A1883=""),"",C1883*IFERROR(INDEX(Kişiler!$B$5:$B$44,MATCH(B1883,Kişiler!$A$5:$A$44,0)),0)+D1883*IFERROR(INDEX(Kişiler!$C$5:$C$44,MATCH(B1883,Kişiler!$A$5:$A$44,0)),0))</f>
        <v/>
      </c>
    </row>
    <row r="1884" customFormat="false" ht="15" hidden="false" customHeight="false" outlineLevel="0" collapsed="false">
      <c r="A1884" s="12"/>
      <c r="B1884" s="13"/>
      <c r="C1884" s="14"/>
      <c r="D1884" s="14"/>
      <c r="E1884" s="13"/>
      <c r="F1884" s="15"/>
      <c r="G1884" s="16" t="str">
        <f aca="false">IF(OR(B1884="",A1884=""),"",C1884*IFERROR(INDEX(Kişiler!$B$5:$B$44,MATCH(B1884,Kişiler!$A$5:$A$44,0)),0)+D1884*IFERROR(INDEX(Kişiler!$C$5:$C$44,MATCH(B1884,Kişiler!$A$5:$A$44,0)),0))</f>
        <v/>
      </c>
    </row>
    <row r="1885" customFormat="false" ht="15" hidden="false" customHeight="false" outlineLevel="0" collapsed="false">
      <c r="A1885" s="12"/>
      <c r="B1885" s="13"/>
      <c r="C1885" s="14"/>
      <c r="D1885" s="14"/>
      <c r="E1885" s="13"/>
      <c r="F1885" s="15"/>
      <c r="G1885" s="16" t="str">
        <f aca="false">IF(OR(B1885="",A1885=""),"",C1885*IFERROR(INDEX(Kişiler!$B$5:$B$44,MATCH(B1885,Kişiler!$A$5:$A$44,0)),0)+D1885*IFERROR(INDEX(Kişiler!$C$5:$C$44,MATCH(B1885,Kişiler!$A$5:$A$44,0)),0))</f>
        <v/>
      </c>
    </row>
    <row r="1886" customFormat="false" ht="15" hidden="false" customHeight="false" outlineLevel="0" collapsed="false">
      <c r="A1886" s="12"/>
      <c r="B1886" s="13"/>
      <c r="C1886" s="14"/>
      <c r="D1886" s="14"/>
      <c r="E1886" s="13"/>
      <c r="F1886" s="15"/>
      <c r="G1886" s="16" t="str">
        <f aca="false">IF(OR(B1886="",A1886=""),"",C1886*IFERROR(INDEX(Kişiler!$B$5:$B$44,MATCH(B1886,Kişiler!$A$5:$A$44,0)),0)+D1886*IFERROR(INDEX(Kişiler!$C$5:$C$44,MATCH(B1886,Kişiler!$A$5:$A$44,0)),0))</f>
        <v/>
      </c>
    </row>
    <row r="1887" customFormat="false" ht="15" hidden="false" customHeight="false" outlineLevel="0" collapsed="false">
      <c r="A1887" s="12"/>
      <c r="B1887" s="13"/>
      <c r="C1887" s="14"/>
      <c r="D1887" s="14"/>
      <c r="E1887" s="13"/>
      <c r="F1887" s="15"/>
      <c r="G1887" s="16" t="str">
        <f aca="false">IF(OR(B1887="",A1887=""),"",C1887*IFERROR(INDEX(Kişiler!$B$5:$B$44,MATCH(B1887,Kişiler!$A$5:$A$44,0)),0)+D1887*IFERROR(INDEX(Kişiler!$C$5:$C$44,MATCH(B1887,Kişiler!$A$5:$A$44,0)),0))</f>
        <v/>
      </c>
    </row>
    <row r="1888" customFormat="false" ht="15" hidden="false" customHeight="false" outlineLevel="0" collapsed="false">
      <c r="A1888" s="12"/>
      <c r="B1888" s="13"/>
      <c r="C1888" s="14"/>
      <c r="D1888" s="14"/>
      <c r="E1888" s="13"/>
      <c r="F1888" s="15"/>
      <c r="G1888" s="16" t="str">
        <f aca="false">IF(OR(B1888="",A1888=""),"",C1888*IFERROR(INDEX(Kişiler!$B$5:$B$44,MATCH(B1888,Kişiler!$A$5:$A$44,0)),0)+D1888*IFERROR(INDEX(Kişiler!$C$5:$C$44,MATCH(B1888,Kişiler!$A$5:$A$44,0)),0))</f>
        <v/>
      </c>
    </row>
    <row r="1889" customFormat="false" ht="15" hidden="false" customHeight="false" outlineLevel="0" collapsed="false">
      <c r="A1889" s="12"/>
      <c r="B1889" s="13"/>
      <c r="C1889" s="14"/>
      <c r="D1889" s="14"/>
      <c r="E1889" s="13"/>
      <c r="F1889" s="15"/>
      <c r="G1889" s="16" t="str">
        <f aca="false">IF(OR(B1889="",A1889=""),"",C1889*IFERROR(INDEX(Kişiler!$B$5:$B$44,MATCH(B1889,Kişiler!$A$5:$A$44,0)),0)+D1889*IFERROR(INDEX(Kişiler!$C$5:$C$44,MATCH(B1889,Kişiler!$A$5:$A$44,0)),0))</f>
        <v/>
      </c>
    </row>
    <row r="1890" customFormat="false" ht="15" hidden="false" customHeight="false" outlineLevel="0" collapsed="false">
      <c r="A1890" s="12"/>
      <c r="B1890" s="13"/>
      <c r="C1890" s="14"/>
      <c r="D1890" s="14"/>
      <c r="E1890" s="13"/>
      <c r="F1890" s="15"/>
      <c r="G1890" s="16" t="str">
        <f aca="false">IF(OR(B1890="",A1890=""),"",C1890*IFERROR(INDEX(Kişiler!$B$5:$B$44,MATCH(B1890,Kişiler!$A$5:$A$44,0)),0)+D1890*IFERROR(INDEX(Kişiler!$C$5:$C$44,MATCH(B1890,Kişiler!$A$5:$A$44,0)),0))</f>
        <v/>
      </c>
    </row>
    <row r="1891" customFormat="false" ht="15" hidden="false" customHeight="false" outlineLevel="0" collapsed="false">
      <c r="A1891" s="12"/>
      <c r="B1891" s="13"/>
      <c r="C1891" s="14"/>
      <c r="D1891" s="14"/>
      <c r="E1891" s="13"/>
      <c r="F1891" s="15"/>
      <c r="G1891" s="16" t="str">
        <f aca="false">IF(OR(B1891="",A1891=""),"",C1891*IFERROR(INDEX(Kişiler!$B$5:$B$44,MATCH(B1891,Kişiler!$A$5:$A$44,0)),0)+D1891*IFERROR(INDEX(Kişiler!$C$5:$C$44,MATCH(B1891,Kişiler!$A$5:$A$44,0)),0))</f>
        <v/>
      </c>
    </row>
    <row r="1892" customFormat="false" ht="15" hidden="false" customHeight="false" outlineLevel="0" collapsed="false">
      <c r="A1892" s="12"/>
      <c r="B1892" s="13"/>
      <c r="C1892" s="14"/>
      <c r="D1892" s="14"/>
      <c r="E1892" s="13"/>
      <c r="F1892" s="15"/>
      <c r="G1892" s="16" t="str">
        <f aca="false">IF(OR(B1892="",A1892=""),"",C1892*IFERROR(INDEX(Kişiler!$B$5:$B$44,MATCH(B1892,Kişiler!$A$5:$A$44,0)),0)+D1892*IFERROR(INDEX(Kişiler!$C$5:$C$44,MATCH(B1892,Kişiler!$A$5:$A$44,0)),0))</f>
        <v/>
      </c>
    </row>
    <row r="1893" customFormat="false" ht="15" hidden="false" customHeight="false" outlineLevel="0" collapsed="false">
      <c r="A1893" s="12"/>
      <c r="B1893" s="13"/>
      <c r="C1893" s="14"/>
      <c r="D1893" s="14"/>
      <c r="E1893" s="13"/>
      <c r="F1893" s="15"/>
      <c r="G1893" s="16" t="str">
        <f aca="false">IF(OR(B1893="",A1893=""),"",C1893*IFERROR(INDEX(Kişiler!$B$5:$B$44,MATCH(B1893,Kişiler!$A$5:$A$44,0)),0)+D1893*IFERROR(INDEX(Kişiler!$C$5:$C$44,MATCH(B1893,Kişiler!$A$5:$A$44,0)),0))</f>
        <v/>
      </c>
    </row>
    <row r="1894" customFormat="false" ht="15" hidden="false" customHeight="false" outlineLevel="0" collapsed="false">
      <c r="A1894" s="12"/>
      <c r="B1894" s="13"/>
      <c r="C1894" s="14"/>
      <c r="D1894" s="14"/>
      <c r="E1894" s="13"/>
      <c r="F1894" s="15"/>
      <c r="G1894" s="16" t="str">
        <f aca="false">IF(OR(B1894="",A1894=""),"",C1894*IFERROR(INDEX(Kişiler!$B$5:$B$44,MATCH(B1894,Kişiler!$A$5:$A$44,0)),0)+D1894*IFERROR(INDEX(Kişiler!$C$5:$C$44,MATCH(B1894,Kişiler!$A$5:$A$44,0)),0))</f>
        <v/>
      </c>
    </row>
    <row r="1895" customFormat="false" ht="15" hidden="false" customHeight="false" outlineLevel="0" collapsed="false">
      <c r="A1895" s="12"/>
      <c r="B1895" s="13"/>
      <c r="C1895" s="14"/>
      <c r="D1895" s="14"/>
      <c r="E1895" s="13"/>
      <c r="F1895" s="15"/>
      <c r="G1895" s="16" t="str">
        <f aca="false">IF(OR(B1895="",A1895=""),"",C1895*IFERROR(INDEX(Kişiler!$B$5:$B$44,MATCH(B1895,Kişiler!$A$5:$A$44,0)),0)+D1895*IFERROR(INDEX(Kişiler!$C$5:$C$44,MATCH(B1895,Kişiler!$A$5:$A$44,0)),0))</f>
        <v/>
      </c>
    </row>
    <row r="1896" customFormat="false" ht="15" hidden="false" customHeight="false" outlineLevel="0" collapsed="false">
      <c r="A1896" s="12"/>
      <c r="B1896" s="13"/>
      <c r="C1896" s="14"/>
      <c r="D1896" s="14"/>
      <c r="E1896" s="13"/>
      <c r="F1896" s="15"/>
      <c r="G1896" s="16" t="str">
        <f aca="false">IF(OR(B1896="",A1896=""),"",C1896*IFERROR(INDEX(Kişiler!$B$5:$B$44,MATCH(B1896,Kişiler!$A$5:$A$44,0)),0)+D1896*IFERROR(INDEX(Kişiler!$C$5:$C$44,MATCH(B1896,Kişiler!$A$5:$A$44,0)),0))</f>
        <v/>
      </c>
    </row>
    <row r="1897" customFormat="false" ht="15" hidden="false" customHeight="false" outlineLevel="0" collapsed="false">
      <c r="A1897" s="12"/>
      <c r="B1897" s="13"/>
      <c r="C1897" s="14"/>
      <c r="D1897" s="14"/>
      <c r="E1897" s="13"/>
      <c r="F1897" s="15"/>
      <c r="G1897" s="16" t="str">
        <f aca="false">IF(OR(B1897="",A1897=""),"",C1897*IFERROR(INDEX(Kişiler!$B$5:$B$44,MATCH(B1897,Kişiler!$A$5:$A$44,0)),0)+D1897*IFERROR(INDEX(Kişiler!$C$5:$C$44,MATCH(B1897,Kişiler!$A$5:$A$44,0)),0))</f>
        <v/>
      </c>
    </row>
    <row r="1898" customFormat="false" ht="15" hidden="false" customHeight="false" outlineLevel="0" collapsed="false">
      <c r="A1898" s="12"/>
      <c r="B1898" s="13"/>
      <c r="C1898" s="14"/>
      <c r="D1898" s="14"/>
      <c r="E1898" s="13"/>
      <c r="F1898" s="15"/>
      <c r="G1898" s="16" t="str">
        <f aca="false">IF(OR(B1898="",A1898=""),"",C1898*IFERROR(INDEX(Kişiler!$B$5:$B$44,MATCH(B1898,Kişiler!$A$5:$A$44,0)),0)+D1898*IFERROR(INDEX(Kişiler!$C$5:$C$44,MATCH(B1898,Kişiler!$A$5:$A$44,0)),0))</f>
        <v/>
      </c>
    </row>
    <row r="1899" customFormat="false" ht="15" hidden="false" customHeight="false" outlineLevel="0" collapsed="false">
      <c r="A1899" s="12"/>
      <c r="B1899" s="13"/>
      <c r="C1899" s="14"/>
      <c r="D1899" s="14"/>
      <c r="E1899" s="13"/>
      <c r="F1899" s="15"/>
      <c r="G1899" s="16" t="str">
        <f aca="false">IF(OR(B1899="",A1899=""),"",C1899*IFERROR(INDEX(Kişiler!$B$5:$B$44,MATCH(B1899,Kişiler!$A$5:$A$44,0)),0)+D1899*IFERROR(INDEX(Kişiler!$C$5:$C$44,MATCH(B1899,Kişiler!$A$5:$A$44,0)),0))</f>
        <v/>
      </c>
    </row>
    <row r="1900" customFormat="false" ht="15" hidden="false" customHeight="false" outlineLevel="0" collapsed="false">
      <c r="A1900" s="12"/>
      <c r="B1900" s="13"/>
      <c r="C1900" s="14"/>
      <c r="D1900" s="14"/>
      <c r="E1900" s="13"/>
      <c r="F1900" s="15"/>
      <c r="G1900" s="16" t="str">
        <f aca="false">IF(OR(B1900="",A1900=""),"",C1900*IFERROR(INDEX(Kişiler!$B$5:$B$44,MATCH(B1900,Kişiler!$A$5:$A$44,0)),0)+D1900*IFERROR(INDEX(Kişiler!$C$5:$C$44,MATCH(B1900,Kişiler!$A$5:$A$44,0)),0))</f>
        <v/>
      </c>
    </row>
    <row r="1901" customFormat="false" ht="15" hidden="false" customHeight="false" outlineLevel="0" collapsed="false">
      <c r="A1901" s="12"/>
      <c r="B1901" s="13"/>
      <c r="C1901" s="14"/>
      <c r="D1901" s="14"/>
      <c r="E1901" s="13"/>
      <c r="F1901" s="15"/>
      <c r="G1901" s="16" t="str">
        <f aca="false">IF(OR(B1901="",A1901=""),"",C1901*IFERROR(INDEX(Kişiler!$B$5:$B$44,MATCH(B1901,Kişiler!$A$5:$A$44,0)),0)+D1901*IFERROR(INDEX(Kişiler!$C$5:$C$44,MATCH(B1901,Kişiler!$A$5:$A$44,0)),0))</f>
        <v/>
      </c>
    </row>
    <row r="1902" customFormat="false" ht="15" hidden="false" customHeight="false" outlineLevel="0" collapsed="false">
      <c r="A1902" s="12"/>
      <c r="B1902" s="13"/>
      <c r="C1902" s="14"/>
      <c r="D1902" s="14"/>
      <c r="E1902" s="13"/>
      <c r="F1902" s="15"/>
      <c r="G1902" s="16" t="str">
        <f aca="false">IF(OR(B1902="",A1902=""),"",C1902*IFERROR(INDEX(Kişiler!$B$5:$B$44,MATCH(B1902,Kişiler!$A$5:$A$44,0)),0)+D1902*IFERROR(INDEX(Kişiler!$C$5:$C$44,MATCH(B1902,Kişiler!$A$5:$A$44,0)),0))</f>
        <v/>
      </c>
    </row>
    <row r="1903" customFormat="false" ht="15" hidden="false" customHeight="false" outlineLevel="0" collapsed="false">
      <c r="A1903" s="12"/>
      <c r="B1903" s="13"/>
      <c r="C1903" s="14"/>
      <c r="D1903" s="14"/>
      <c r="E1903" s="13"/>
      <c r="F1903" s="15"/>
      <c r="G1903" s="16" t="str">
        <f aca="false">IF(OR(B1903="",A1903=""),"",C1903*IFERROR(INDEX(Kişiler!$B$5:$B$44,MATCH(B1903,Kişiler!$A$5:$A$44,0)),0)+D1903*IFERROR(INDEX(Kişiler!$C$5:$C$44,MATCH(B1903,Kişiler!$A$5:$A$44,0)),0))</f>
        <v/>
      </c>
    </row>
    <row r="1904" customFormat="false" ht="15" hidden="false" customHeight="false" outlineLevel="0" collapsed="false">
      <c r="A1904" s="12"/>
      <c r="B1904" s="13"/>
      <c r="C1904" s="14"/>
      <c r="D1904" s="14"/>
      <c r="E1904" s="13"/>
      <c r="F1904" s="15"/>
      <c r="G1904" s="16" t="str">
        <f aca="false">IF(OR(B1904="",A1904=""),"",C1904*IFERROR(INDEX(Kişiler!$B$5:$B$44,MATCH(B1904,Kişiler!$A$5:$A$44,0)),0)+D1904*IFERROR(INDEX(Kişiler!$C$5:$C$44,MATCH(B1904,Kişiler!$A$5:$A$44,0)),0))</f>
        <v/>
      </c>
    </row>
    <row r="1905" customFormat="false" ht="15" hidden="false" customHeight="false" outlineLevel="0" collapsed="false">
      <c r="A1905" s="12"/>
      <c r="B1905" s="13"/>
      <c r="C1905" s="14"/>
      <c r="D1905" s="14"/>
      <c r="E1905" s="13"/>
      <c r="F1905" s="15"/>
      <c r="G1905" s="16" t="str">
        <f aca="false">IF(OR(B1905="",A1905=""),"",C1905*IFERROR(INDEX(Kişiler!$B$5:$B$44,MATCH(B1905,Kişiler!$A$5:$A$44,0)),0)+D1905*IFERROR(INDEX(Kişiler!$C$5:$C$44,MATCH(B1905,Kişiler!$A$5:$A$44,0)),0))</f>
        <v/>
      </c>
    </row>
    <row r="1906" customFormat="false" ht="15" hidden="false" customHeight="false" outlineLevel="0" collapsed="false">
      <c r="A1906" s="12"/>
      <c r="B1906" s="13"/>
      <c r="C1906" s="14"/>
      <c r="D1906" s="14"/>
      <c r="E1906" s="13"/>
      <c r="F1906" s="15"/>
      <c r="G1906" s="16" t="str">
        <f aca="false">IF(OR(B1906="",A1906=""),"",C1906*IFERROR(INDEX(Kişiler!$B$5:$B$44,MATCH(B1906,Kişiler!$A$5:$A$44,0)),0)+D1906*IFERROR(INDEX(Kişiler!$C$5:$C$44,MATCH(B1906,Kişiler!$A$5:$A$44,0)),0))</f>
        <v/>
      </c>
    </row>
    <row r="1907" customFormat="false" ht="15" hidden="false" customHeight="false" outlineLevel="0" collapsed="false">
      <c r="A1907" s="12"/>
      <c r="B1907" s="13"/>
      <c r="C1907" s="14"/>
      <c r="D1907" s="14"/>
      <c r="E1907" s="13"/>
      <c r="F1907" s="15"/>
      <c r="G1907" s="16" t="str">
        <f aca="false">IF(OR(B1907="",A1907=""),"",C1907*IFERROR(INDEX(Kişiler!$B$5:$B$44,MATCH(B1907,Kişiler!$A$5:$A$44,0)),0)+D1907*IFERROR(INDEX(Kişiler!$C$5:$C$44,MATCH(B1907,Kişiler!$A$5:$A$44,0)),0))</f>
        <v/>
      </c>
    </row>
    <row r="1908" customFormat="false" ht="15" hidden="false" customHeight="false" outlineLevel="0" collapsed="false">
      <c r="A1908" s="12"/>
      <c r="B1908" s="13"/>
      <c r="C1908" s="14"/>
      <c r="D1908" s="14"/>
      <c r="E1908" s="13"/>
      <c r="F1908" s="15"/>
      <c r="G1908" s="16" t="str">
        <f aca="false">IF(OR(B1908="",A1908=""),"",C1908*IFERROR(INDEX(Kişiler!$B$5:$B$44,MATCH(B1908,Kişiler!$A$5:$A$44,0)),0)+D1908*IFERROR(INDEX(Kişiler!$C$5:$C$44,MATCH(B1908,Kişiler!$A$5:$A$44,0)),0))</f>
        <v/>
      </c>
    </row>
    <row r="1909" customFormat="false" ht="15" hidden="false" customHeight="false" outlineLevel="0" collapsed="false">
      <c r="A1909" s="12"/>
      <c r="B1909" s="13"/>
      <c r="C1909" s="14"/>
      <c r="D1909" s="14"/>
      <c r="E1909" s="13"/>
      <c r="F1909" s="15"/>
      <c r="G1909" s="16" t="str">
        <f aca="false">IF(OR(B1909="",A1909=""),"",C1909*IFERROR(INDEX(Kişiler!$B$5:$B$44,MATCH(B1909,Kişiler!$A$5:$A$44,0)),0)+D1909*IFERROR(INDEX(Kişiler!$C$5:$C$44,MATCH(B1909,Kişiler!$A$5:$A$44,0)),0))</f>
        <v/>
      </c>
    </row>
    <row r="1910" customFormat="false" ht="15" hidden="false" customHeight="false" outlineLevel="0" collapsed="false">
      <c r="A1910" s="12"/>
      <c r="B1910" s="13"/>
      <c r="C1910" s="14"/>
      <c r="D1910" s="14"/>
      <c r="E1910" s="13"/>
      <c r="F1910" s="15"/>
      <c r="G1910" s="16" t="str">
        <f aca="false">IF(OR(B1910="",A1910=""),"",C1910*IFERROR(INDEX(Kişiler!$B$5:$B$44,MATCH(B1910,Kişiler!$A$5:$A$44,0)),0)+D1910*IFERROR(INDEX(Kişiler!$C$5:$C$44,MATCH(B1910,Kişiler!$A$5:$A$44,0)),0))</f>
        <v/>
      </c>
    </row>
    <row r="1911" customFormat="false" ht="15" hidden="false" customHeight="false" outlineLevel="0" collapsed="false">
      <c r="A1911" s="12"/>
      <c r="B1911" s="13"/>
      <c r="C1911" s="14"/>
      <c r="D1911" s="14"/>
      <c r="E1911" s="13"/>
      <c r="F1911" s="15"/>
      <c r="G1911" s="16" t="str">
        <f aca="false">IF(OR(B1911="",A1911=""),"",C1911*IFERROR(INDEX(Kişiler!$B$5:$B$44,MATCH(B1911,Kişiler!$A$5:$A$44,0)),0)+D1911*IFERROR(INDEX(Kişiler!$C$5:$C$44,MATCH(B1911,Kişiler!$A$5:$A$44,0)),0))</f>
        <v/>
      </c>
    </row>
    <row r="1912" customFormat="false" ht="15" hidden="false" customHeight="false" outlineLevel="0" collapsed="false">
      <c r="A1912" s="12"/>
      <c r="B1912" s="13"/>
      <c r="C1912" s="14"/>
      <c r="D1912" s="14"/>
      <c r="E1912" s="13"/>
      <c r="F1912" s="15"/>
      <c r="G1912" s="16" t="str">
        <f aca="false">IF(OR(B1912="",A1912=""),"",C1912*IFERROR(INDEX(Kişiler!$B$5:$B$44,MATCH(B1912,Kişiler!$A$5:$A$44,0)),0)+D1912*IFERROR(INDEX(Kişiler!$C$5:$C$44,MATCH(B1912,Kişiler!$A$5:$A$44,0)),0))</f>
        <v/>
      </c>
    </row>
    <row r="1913" customFormat="false" ht="15" hidden="false" customHeight="false" outlineLevel="0" collapsed="false">
      <c r="A1913" s="12"/>
      <c r="B1913" s="13"/>
      <c r="C1913" s="14"/>
      <c r="D1913" s="14"/>
      <c r="E1913" s="13"/>
      <c r="F1913" s="15"/>
      <c r="G1913" s="16" t="str">
        <f aca="false">IF(OR(B1913="",A1913=""),"",C1913*IFERROR(INDEX(Kişiler!$B$5:$B$44,MATCH(B1913,Kişiler!$A$5:$A$44,0)),0)+D1913*IFERROR(INDEX(Kişiler!$C$5:$C$44,MATCH(B1913,Kişiler!$A$5:$A$44,0)),0))</f>
        <v/>
      </c>
    </row>
    <row r="1914" customFormat="false" ht="15" hidden="false" customHeight="false" outlineLevel="0" collapsed="false">
      <c r="A1914" s="12"/>
      <c r="B1914" s="13"/>
      <c r="C1914" s="14"/>
      <c r="D1914" s="14"/>
      <c r="E1914" s="13"/>
      <c r="F1914" s="15"/>
      <c r="G1914" s="16" t="str">
        <f aca="false">IF(OR(B1914="",A1914=""),"",C1914*IFERROR(INDEX(Kişiler!$B$5:$B$44,MATCH(B1914,Kişiler!$A$5:$A$44,0)),0)+D1914*IFERROR(INDEX(Kişiler!$C$5:$C$44,MATCH(B1914,Kişiler!$A$5:$A$44,0)),0))</f>
        <v/>
      </c>
    </row>
    <row r="1915" customFormat="false" ht="15" hidden="false" customHeight="false" outlineLevel="0" collapsed="false">
      <c r="A1915" s="12"/>
      <c r="B1915" s="13"/>
      <c r="C1915" s="14"/>
      <c r="D1915" s="14"/>
      <c r="E1915" s="13"/>
      <c r="F1915" s="15"/>
      <c r="G1915" s="16" t="str">
        <f aca="false">IF(OR(B1915="",A1915=""),"",C1915*IFERROR(INDEX(Kişiler!$B$5:$B$44,MATCH(B1915,Kişiler!$A$5:$A$44,0)),0)+D1915*IFERROR(INDEX(Kişiler!$C$5:$C$44,MATCH(B1915,Kişiler!$A$5:$A$44,0)),0))</f>
        <v/>
      </c>
    </row>
    <row r="1916" customFormat="false" ht="15" hidden="false" customHeight="false" outlineLevel="0" collapsed="false">
      <c r="A1916" s="12"/>
      <c r="B1916" s="13"/>
      <c r="C1916" s="14"/>
      <c r="D1916" s="14"/>
      <c r="E1916" s="13"/>
      <c r="F1916" s="15"/>
      <c r="G1916" s="16" t="str">
        <f aca="false">IF(OR(B1916="",A1916=""),"",C1916*IFERROR(INDEX(Kişiler!$B$5:$B$44,MATCH(B1916,Kişiler!$A$5:$A$44,0)),0)+D1916*IFERROR(INDEX(Kişiler!$C$5:$C$44,MATCH(B1916,Kişiler!$A$5:$A$44,0)),0))</f>
        <v/>
      </c>
    </row>
    <row r="1917" customFormat="false" ht="15" hidden="false" customHeight="false" outlineLevel="0" collapsed="false">
      <c r="A1917" s="12"/>
      <c r="B1917" s="13"/>
      <c r="C1917" s="14"/>
      <c r="D1917" s="14"/>
      <c r="E1917" s="13"/>
      <c r="F1917" s="15"/>
      <c r="G1917" s="16" t="str">
        <f aca="false">IF(OR(B1917="",A1917=""),"",C1917*IFERROR(INDEX(Kişiler!$B$5:$B$44,MATCH(B1917,Kişiler!$A$5:$A$44,0)),0)+D1917*IFERROR(INDEX(Kişiler!$C$5:$C$44,MATCH(B1917,Kişiler!$A$5:$A$44,0)),0))</f>
        <v/>
      </c>
    </row>
    <row r="1918" customFormat="false" ht="15" hidden="false" customHeight="false" outlineLevel="0" collapsed="false">
      <c r="A1918" s="12"/>
      <c r="B1918" s="13"/>
      <c r="C1918" s="14"/>
      <c r="D1918" s="14"/>
      <c r="E1918" s="13"/>
      <c r="F1918" s="15"/>
      <c r="G1918" s="16" t="str">
        <f aca="false">IF(OR(B1918="",A1918=""),"",C1918*IFERROR(INDEX(Kişiler!$B$5:$B$44,MATCH(B1918,Kişiler!$A$5:$A$44,0)),0)+D1918*IFERROR(INDEX(Kişiler!$C$5:$C$44,MATCH(B1918,Kişiler!$A$5:$A$44,0)),0))</f>
        <v/>
      </c>
    </row>
    <row r="1919" customFormat="false" ht="15" hidden="false" customHeight="false" outlineLevel="0" collapsed="false">
      <c r="A1919" s="12"/>
      <c r="B1919" s="13"/>
      <c r="C1919" s="14"/>
      <c r="D1919" s="14"/>
      <c r="E1919" s="13"/>
      <c r="F1919" s="15"/>
      <c r="G1919" s="16" t="str">
        <f aca="false">IF(OR(B1919="",A1919=""),"",C1919*IFERROR(INDEX(Kişiler!$B$5:$B$44,MATCH(B1919,Kişiler!$A$5:$A$44,0)),0)+D1919*IFERROR(INDEX(Kişiler!$C$5:$C$44,MATCH(B1919,Kişiler!$A$5:$A$44,0)),0))</f>
        <v/>
      </c>
    </row>
    <row r="1920" customFormat="false" ht="15" hidden="false" customHeight="false" outlineLevel="0" collapsed="false">
      <c r="A1920" s="12"/>
      <c r="B1920" s="13"/>
      <c r="C1920" s="14"/>
      <c r="D1920" s="14"/>
      <c r="E1920" s="13"/>
      <c r="F1920" s="15"/>
      <c r="G1920" s="16" t="str">
        <f aca="false">IF(OR(B1920="",A1920=""),"",C1920*IFERROR(INDEX(Kişiler!$B$5:$B$44,MATCH(B1920,Kişiler!$A$5:$A$44,0)),0)+D1920*IFERROR(INDEX(Kişiler!$C$5:$C$44,MATCH(B1920,Kişiler!$A$5:$A$44,0)),0))</f>
        <v/>
      </c>
    </row>
    <row r="1921" customFormat="false" ht="15" hidden="false" customHeight="false" outlineLevel="0" collapsed="false">
      <c r="A1921" s="12"/>
      <c r="B1921" s="13"/>
      <c r="C1921" s="14"/>
      <c r="D1921" s="14"/>
      <c r="E1921" s="13"/>
      <c r="F1921" s="15"/>
      <c r="G1921" s="16" t="str">
        <f aca="false">IF(OR(B1921="",A1921=""),"",C1921*IFERROR(INDEX(Kişiler!$B$5:$B$44,MATCH(B1921,Kişiler!$A$5:$A$44,0)),0)+D1921*IFERROR(INDEX(Kişiler!$C$5:$C$44,MATCH(B1921,Kişiler!$A$5:$A$44,0)),0))</f>
        <v/>
      </c>
    </row>
    <row r="1922" customFormat="false" ht="15" hidden="false" customHeight="false" outlineLevel="0" collapsed="false">
      <c r="A1922" s="12"/>
      <c r="B1922" s="13"/>
      <c r="C1922" s="14"/>
      <c r="D1922" s="14"/>
      <c r="E1922" s="13"/>
      <c r="F1922" s="15"/>
      <c r="G1922" s="16" t="str">
        <f aca="false">IF(OR(B1922="",A1922=""),"",C1922*IFERROR(INDEX(Kişiler!$B$5:$B$44,MATCH(B1922,Kişiler!$A$5:$A$44,0)),0)+D1922*IFERROR(INDEX(Kişiler!$C$5:$C$44,MATCH(B1922,Kişiler!$A$5:$A$44,0)),0))</f>
        <v/>
      </c>
    </row>
    <row r="1923" customFormat="false" ht="15" hidden="false" customHeight="false" outlineLevel="0" collapsed="false">
      <c r="A1923" s="12"/>
      <c r="B1923" s="13"/>
      <c r="C1923" s="14"/>
      <c r="D1923" s="14"/>
      <c r="E1923" s="13"/>
      <c r="F1923" s="15"/>
      <c r="G1923" s="16" t="str">
        <f aca="false">IF(OR(B1923="",A1923=""),"",C1923*IFERROR(INDEX(Kişiler!$B$5:$B$44,MATCH(B1923,Kişiler!$A$5:$A$44,0)),0)+D1923*IFERROR(INDEX(Kişiler!$C$5:$C$44,MATCH(B1923,Kişiler!$A$5:$A$44,0)),0))</f>
        <v/>
      </c>
    </row>
    <row r="1924" customFormat="false" ht="15" hidden="false" customHeight="false" outlineLevel="0" collapsed="false">
      <c r="A1924" s="12"/>
      <c r="B1924" s="13"/>
      <c r="C1924" s="14"/>
      <c r="D1924" s="14"/>
      <c r="E1924" s="13"/>
      <c r="F1924" s="15"/>
      <c r="G1924" s="16" t="str">
        <f aca="false">IF(OR(B1924="",A1924=""),"",C1924*IFERROR(INDEX(Kişiler!$B$5:$B$44,MATCH(B1924,Kişiler!$A$5:$A$44,0)),0)+D1924*IFERROR(INDEX(Kişiler!$C$5:$C$44,MATCH(B1924,Kişiler!$A$5:$A$44,0)),0))</f>
        <v/>
      </c>
    </row>
    <row r="1925" customFormat="false" ht="15" hidden="false" customHeight="false" outlineLevel="0" collapsed="false">
      <c r="A1925" s="12"/>
      <c r="B1925" s="13"/>
      <c r="C1925" s="14"/>
      <c r="D1925" s="14"/>
      <c r="E1925" s="13"/>
      <c r="F1925" s="15"/>
      <c r="G1925" s="16" t="str">
        <f aca="false">IF(OR(B1925="",A1925=""),"",C1925*IFERROR(INDEX(Kişiler!$B$5:$B$44,MATCH(B1925,Kişiler!$A$5:$A$44,0)),0)+D1925*IFERROR(INDEX(Kişiler!$C$5:$C$44,MATCH(B1925,Kişiler!$A$5:$A$44,0)),0))</f>
        <v/>
      </c>
    </row>
    <row r="1926" customFormat="false" ht="15" hidden="false" customHeight="false" outlineLevel="0" collapsed="false">
      <c r="A1926" s="12"/>
      <c r="B1926" s="13"/>
      <c r="C1926" s="14"/>
      <c r="D1926" s="14"/>
      <c r="E1926" s="13"/>
      <c r="F1926" s="15"/>
      <c r="G1926" s="16" t="str">
        <f aca="false">IF(OR(B1926="",A1926=""),"",C1926*IFERROR(INDEX(Kişiler!$B$5:$B$44,MATCH(B1926,Kişiler!$A$5:$A$44,0)),0)+D1926*IFERROR(INDEX(Kişiler!$C$5:$C$44,MATCH(B1926,Kişiler!$A$5:$A$44,0)),0))</f>
        <v/>
      </c>
    </row>
    <row r="1927" customFormat="false" ht="15" hidden="false" customHeight="false" outlineLevel="0" collapsed="false">
      <c r="A1927" s="12"/>
      <c r="B1927" s="13"/>
      <c r="C1927" s="14"/>
      <c r="D1927" s="14"/>
      <c r="E1927" s="13"/>
      <c r="F1927" s="15"/>
      <c r="G1927" s="16" t="str">
        <f aca="false">IF(OR(B1927="",A1927=""),"",C1927*IFERROR(INDEX(Kişiler!$B$5:$B$44,MATCH(B1927,Kişiler!$A$5:$A$44,0)),0)+D1927*IFERROR(INDEX(Kişiler!$C$5:$C$44,MATCH(B1927,Kişiler!$A$5:$A$44,0)),0))</f>
        <v/>
      </c>
    </row>
    <row r="1928" customFormat="false" ht="15" hidden="false" customHeight="false" outlineLevel="0" collapsed="false">
      <c r="A1928" s="12"/>
      <c r="B1928" s="13"/>
      <c r="C1928" s="14"/>
      <c r="D1928" s="14"/>
      <c r="E1928" s="13"/>
      <c r="F1928" s="15"/>
      <c r="G1928" s="16" t="str">
        <f aca="false">IF(OR(B1928="",A1928=""),"",C1928*IFERROR(INDEX(Kişiler!$B$5:$B$44,MATCH(B1928,Kişiler!$A$5:$A$44,0)),0)+D1928*IFERROR(INDEX(Kişiler!$C$5:$C$44,MATCH(B1928,Kişiler!$A$5:$A$44,0)),0))</f>
        <v/>
      </c>
    </row>
    <row r="1929" customFormat="false" ht="15" hidden="false" customHeight="false" outlineLevel="0" collapsed="false">
      <c r="A1929" s="12"/>
      <c r="B1929" s="13"/>
      <c r="C1929" s="14"/>
      <c r="D1929" s="14"/>
      <c r="E1929" s="13"/>
      <c r="F1929" s="15"/>
      <c r="G1929" s="16" t="str">
        <f aca="false">IF(OR(B1929="",A1929=""),"",C1929*IFERROR(INDEX(Kişiler!$B$5:$B$44,MATCH(B1929,Kişiler!$A$5:$A$44,0)),0)+D1929*IFERROR(INDEX(Kişiler!$C$5:$C$44,MATCH(B1929,Kişiler!$A$5:$A$44,0)),0))</f>
        <v/>
      </c>
    </row>
    <row r="1930" customFormat="false" ht="15" hidden="false" customHeight="false" outlineLevel="0" collapsed="false">
      <c r="A1930" s="12"/>
      <c r="B1930" s="13"/>
      <c r="C1930" s="14"/>
      <c r="D1930" s="14"/>
      <c r="E1930" s="13"/>
      <c r="F1930" s="15"/>
      <c r="G1930" s="16" t="str">
        <f aca="false">IF(OR(B1930="",A1930=""),"",C1930*IFERROR(INDEX(Kişiler!$B$5:$B$44,MATCH(B1930,Kişiler!$A$5:$A$44,0)),0)+D1930*IFERROR(INDEX(Kişiler!$C$5:$C$44,MATCH(B1930,Kişiler!$A$5:$A$44,0)),0))</f>
        <v/>
      </c>
    </row>
    <row r="1931" customFormat="false" ht="15" hidden="false" customHeight="false" outlineLevel="0" collapsed="false">
      <c r="A1931" s="12"/>
      <c r="B1931" s="13"/>
      <c r="C1931" s="14"/>
      <c r="D1931" s="14"/>
      <c r="E1931" s="13"/>
      <c r="F1931" s="15"/>
      <c r="G1931" s="16" t="str">
        <f aca="false">IF(OR(B1931="",A1931=""),"",C1931*IFERROR(INDEX(Kişiler!$B$5:$B$44,MATCH(B1931,Kişiler!$A$5:$A$44,0)),0)+D1931*IFERROR(INDEX(Kişiler!$C$5:$C$44,MATCH(B1931,Kişiler!$A$5:$A$44,0)),0))</f>
        <v/>
      </c>
    </row>
    <row r="1932" customFormat="false" ht="15" hidden="false" customHeight="false" outlineLevel="0" collapsed="false">
      <c r="A1932" s="12"/>
      <c r="B1932" s="13"/>
      <c r="C1932" s="14"/>
      <c r="D1932" s="14"/>
      <c r="E1932" s="13"/>
      <c r="F1932" s="15"/>
      <c r="G1932" s="16" t="str">
        <f aca="false">IF(OR(B1932="",A1932=""),"",C1932*IFERROR(INDEX(Kişiler!$B$5:$B$44,MATCH(B1932,Kişiler!$A$5:$A$44,0)),0)+D1932*IFERROR(INDEX(Kişiler!$C$5:$C$44,MATCH(B1932,Kişiler!$A$5:$A$44,0)),0))</f>
        <v/>
      </c>
    </row>
    <row r="1933" customFormat="false" ht="15" hidden="false" customHeight="false" outlineLevel="0" collapsed="false">
      <c r="A1933" s="12"/>
      <c r="B1933" s="13"/>
      <c r="C1933" s="14"/>
      <c r="D1933" s="14"/>
      <c r="E1933" s="13"/>
      <c r="F1933" s="15"/>
      <c r="G1933" s="16" t="str">
        <f aca="false">IF(OR(B1933="",A1933=""),"",C1933*IFERROR(INDEX(Kişiler!$B$5:$B$44,MATCH(B1933,Kişiler!$A$5:$A$44,0)),0)+D1933*IFERROR(INDEX(Kişiler!$C$5:$C$44,MATCH(B1933,Kişiler!$A$5:$A$44,0)),0))</f>
        <v/>
      </c>
    </row>
    <row r="1934" customFormat="false" ht="15" hidden="false" customHeight="false" outlineLevel="0" collapsed="false">
      <c r="A1934" s="12"/>
      <c r="B1934" s="13"/>
      <c r="C1934" s="14"/>
      <c r="D1934" s="14"/>
      <c r="E1934" s="13"/>
      <c r="F1934" s="15"/>
      <c r="G1934" s="16" t="str">
        <f aca="false">IF(OR(B1934="",A1934=""),"",C1934*IFERROR(INDEX(Kişiler!$B$5:$B$44,MATCH(B1934,Kişiler!$A$5:$A$44,0)),0)+D1934*IFERROR(INDEX(Kişiler!$C$5:$C$44,MATCH(B1934,Kişiler!$A$5:$A$44,0)),0))</f>
        <v/>
      </c>
    </row>
    <row r="1935" customFormat="false" ht="15" hidden="false" customHeight="false" outlineLevel="0" collapsed="false">
      <c r="A1935" s="12"/>
      <c r="B1935" s="13"/>
      <c r="C1935" s="14"/>
      <c r="D1935" s="14"/>
      <c r="E1935" s="13"/>
      <c r="F1935" s="15"/>
      <c r="G1935" s="16" t="str">
        <f aca="false">IF(OR(B1935="",A1935=""),"",C1935*IFERROR(INDEX(Kişiler!$B$5:$B$44,MATCH(B1935,Kişiler!$A$5:$A$44,0)),0)+D1935*IFERROR(INDEX(Kişiler!$C$5:$C$44,MATCH(B1935,Kişiler!$A$5:$A$44,0)),0))</f>
        <v/>
      </c>
    </row>
    <row r="1936" customFormat="false" ht="15" hidden="false" customHeight="false" outlineLevel="0" collapsed="false">
      <c r="A1936" s="12"/>
      <c r="B1936" s="13"/>
      <c r="C1936" s="14"/>
      <c r="D1936" s="14"/>
      <c r="E1936" s="13"/>
      <c r="F1936" s="15"/>
      <c r="G1936" s="16" t="str">
        <f aca="false">IF(OR(B1936="",A1936=""),"",C1936*IFERROR(INDEX(Kişiler!$B$5:$B$44,MATCH(B1936,Kişiler!$A$5:$A$44,0)),0)+D1936*IFERROR(INDEX(Kişiler!$C$5:$C$44,MATCH(B1936,Kişiler!$A$5:$A$44,0)),0))</f>
        <v/>
      </c>
    </row>
    <row r="1937" customFormat="false" ht="15" hidden="false" customHeight="false" outlineLevel="0" collapsed="false">
      <c r="A1937" s="12"/>
      <c r="B1937" s="13"/>
      <c r="C1937" s="14"/>
      <c r="D1937" s="14"/>
      <c r="E1937" s="13"/>
      <c r="F1937" s="15"/>
      <c r="G1937" s="16" t="str">
        <f aca="false">IF(OR(B1937="",A1937=""),"",C1937*IFERROR(INDEX(Kişiler!$B$5:$B$44,MATCH(B1937,Kişiler!$A$5:$A$44,0)),0)+D1937*IFERROR(INDEX(Kişiler!$C$5:$C$44,MATCH(B1937,Kişiler!$A$5:$A$44,0)),0))</f>
        <v/>
      </c>
    </row>
    <row r="1938" customFormat="false" ht="15" hidden="false" customHeight="false" outlineLevel="0" collapsed="false">
      <c r="A1938" s="12"/>
      <c r="B1938" s="13"/>
      <c r="C1938" s="14"/>
      <c r="D1938" s="14"/>
      <c r="E1938" s="13"/>
      <c r="F1938" s="15"/>
      <c r="G1938" s="16" t="str">
        <f aca="false">IF(OR(B1938="",A1938=""),"",C1938*IFERROR(INDEX(Kişiler!$B$5:$B$44,MATCH(B1938,Kişiler!$A$5:$A$44,0)),0)+D1938*IFERROR(INDEX(Kişiler!$C$5:$C$44,MATCH(B1938,Kişiler!$A$5:$A$44,0)),0))</f>
        <v/>
      </c>
    </row>
    <row r="1939" customFormat="false" ht="15" hidden="false" customHeight="false" outlineLevel="0" collapsed="false">
      <c r="A1939" s="12"/>
      <c r="B1939" s="13"/>
      <c r="C1939" s="14"/>
      <c r="D1939" s="14"/>
      <c r="E1939" s="13"/>
      <c r="F1939" s="15"/>
      <c r="G1939" s="16" t="str">
        <f aca="false">IF(OR(B1939="",A1939=""),"",C1939*IFERROR(INDEX(Kişiler!$B$5:$B$44,MATCH(B1939,Kişiler!$A$5:$A$44,0)),0)+D1939*IFERROR(INDEX(Kişiler!$C$5:$C$44,MATCH(B1939,Kişiler!$A$5:$A$44,0)),0))</f>
        <v/>
      </c>
    </row>
    <row r="1940" customFormat="false" ht="15" hidden="false" customHeight="false" outlineLevel="0" collapsed="false">
      <c r="A1940" s="12"/>
      <c r="B1940" s="13"/>
      <c r="C1940" s="14"/>
      <c r="D1940" s="14"/>
      <c r="E1940" s="13"/>
      <c r="F1940" s="15"/>
      <c r="G1940" s="16" t="str">
        <f aca="false">IF(OR(B1940="",A1940=""),"",C1940*IFERROR(INDEX(Kişiler!$B$5:$B$44,MATCH(B1940,Kişiler!$A$5:$A$44,0)),0)+D1940*IFERROR(INDEX(Kişiler!$C$5:$C$44,MATCH(B1940,Kişiler!$A$5:$A$44,0)),0))</f>
        <v/>
      </c>
    </row>
    <row r="1941" customFormat="false" ht="15" hidden="false" customHeight="false" outlineLevel="0" collapsed="false">
      <c r="A1941" s="12"/>
      <c r="B1941" s="13"/>
      <c r="C1941" s="14"/>
      <c r="D1941" s="14"/>
      <c r="E1941" s="13"/>
      <c r="F1941" s="15"/>
      <c r="G1941" s="16" t="str">
        <f aca="false">IF(OR(B1941="",A1941=""),"",C1941*IFERROR(INDEX(Kişiler!$B$5:$B$44,MATCH(B1941,Kişiler!$A$5:$A$44,0)),0)+D1941*IFERROR(INDEX(Kişiler!$C$5:$C$44,MATCH(B1941,Kişiler!$A$5:$A$44,0)),0))</f>
        <v/>
      </c>
    </row>
    <row r="1942" customFormat="false" ht="15" hidden="false" customHeight="false" outlineLevel="0" collapsed="false">
      <c r="A1942" s="12"/>
      <c r="B1942" s="13"/>
      <c r="C1942" s="14"/>
      <c r="D1942" s="14"/>
      <c r="E1942" s="13"/>
      <c r="F1942" s="15"/>
      <c r="G1942" s="16" t="str">
        <f aca="false">IF(OR(B1942="",A1942=""),"",C1942*IFERROR(INDEX(Kişiler!$B$5:$B$44,MATCH(B1942,Kişiler!$A$5:$A$44,0)),0)+D1942*IFERROR(INDEX(Kişiler!$C$5:$C$44,MATCH(B1942,Kişiler!$A$5:$A$44,0)),0))</f>
        <v/>
      </c>
    </row>
    <row r="1943" customFormat="false" ht="15" hidden="false" customHeight="false" outlineLevel="0" collapsed="false">
      <c r="A1943" s="12"/>
      <c r="B1943" s="13"/>
      <c r="C1943" s="14"/>
      <c r="D1943" s="14"/>
      <c r="E1943" s="13"/>
      <c r="F1943" s="15"/>
      <c r="G1943" s="16" t="str">
        <f aca="false">IF(OR(B1943="",A1943=""),"",C1943*IFERROR(INDEX(Kişiler!$B$5:$B$44,MATCH(B1943,Kişiler!$A$5:$A$44,0)),0)+D1943*IFERROR(INDEX(Kişiler!$C$5:$C$44,MATCH(B1943,Kişiler!$A$5:$A$44,0)),0))</f>
        <v/>
      </c>
    </row>
    <row r="1944" customFormat="false" ht="15" hidden="false" customHeight="false" outlineLevel="0" collapsed="false">
      <c r="A1944" s="12"/>
      <c r="B1944" s="13"/>
      <c r="C1944" s="14"/>
      <c r="D1944" s="14"/>
      <c r="E1944" s="13"/>
      <c r="F1944" s="15"/>
      <c r="G1944" s="16" t="str">
        <f aca="false">IF(OR(B1944="",A1944=""),"",C1944*IFERROR(INDEX(Kişiler!$B$5:$B$44,MATCH(B1944,Kişiler!$A$5:$A$44,0)),0)+D1944*IFERROR(INDEX(Kişiler!$C$5:$C$44,MATCH(B1944,Kişiler!$A$5:$A$44,0)),0))</f>
        <v/>
      </c>
    </row>
    <row r="1945" customFormat="false" ht="15" hidden="false" customHeight="false" outlineLevel="0" collapsed="false">
      <c r="A1945" s="12"/>
      <c r="B1945" s="13"/>
      <c r="C1945" s="14"/>
      <c r="D1945" s="14"/>
      <c r="E1945" s="13"/>
      <c r="F1945" s="15"/>
      <c r="G1945" s="16" t="str">
        <f aca="false">IF(OR(B1945="",A1945=""),"",C1945*IFERROR(INDEX(Kişiler!$B$5:$B$44,MATCH(B1945,Kişiler!$A$5:$A$44,0)),0)+D1945*IFERROR(INDEX(Kişiler!$C$5:$C$44,MATCH(B1945,Kişiler!$A$5:$A$44,0)),0))</f>
        <v/>
      </c>
    </row>
    <row r="1946" customFormat="false" ht="15" hidden="false" customHeight="false" outlineLevel="0" collapsed="false">
      <c r="A1946" s="12"/>
      <c r="B1946" s="13"/>
      <c r="C1946" s="14"/>
      <c r="D1946" s="14"/>
      <c r="E1946" s="13"/>
      <c r="F1946" s="15"/>
      <c r="G1946" s="16" t="str">
        <f aca="false">IF(OR(B1946="",A1946=""),"",C1946*IFERROR(INDEX(Kişiler!$B$5:$B$44,MATCH(B1946,Kişiler!$A$5:$A$44,0)),0)+D1946*IFERROR(INDEX(Kişiler!$C$5:$C$44,MATCH(B1946,Kişiler!$A$5:$A$44,0)),0))</f>
        <v/>
      </c>
    </row>
    <row r="1947" customFormat="false" ht="15" hidden="false" customHeight="false" outlineLevel="0" collapsed="false">
      <c r="A1947" s="12"/>
      <c r="B1947" s="13"/>
      <c r="C1947" s="14"/>
      <c r="D1947" s="14"/>
      <c r="E1947" s="13"/>
      <c r="F1947" s="15"/>
      <c r="G1947" s="16" t="str">
        <f aca="false">IF(OR(B1947="",A1947=""),"",C1947*IFERROR(INDEX(Kişiler!$B$5:$B$44,MATCH(B1947,Kişiler!$A$5:$A$44,0)),0)+D1947*IFERROR(INDEX(Kişiler!$C$5:$C$44,MATCH(B1947,Kişiler!$A$5:$A$44,0)),0))</f>
        <v/>
      </c>
    </row>
    <row r="1948" customFormat="false" ht="15" hidden="false" customHeight="false" outlineLevel="0" collapsed="false">
      <c r="A1948" s="12"/>
      <c r="B1948" s="13"/>
      <c r="C1948" s="14"/>
      <c r="D1948" s="14"/>
      <c r="E1948" s="13"/>
      <c r="F1948" s="15"/>
      <c r="G1948" s="16" t="str">
        <f aca="false">IF(OR(B1948="",A1948=""),"",C1948*IFERROR(INDEX(Kişiler!$B$5:$B$44,MATCH(B1948,Kişiler!$A$5:$A$44,0)),0)+D1948*IFERROR(INDEX(Kişiler!$C$5:$C$44,MATCH(B1948,Kişiler!$A$5:$A$44,0)),0))</f>
        <v/>
      </c>
    </row>
    <row r="1949" customFormat="false" ht="15" hidden="false" customHeight="false" outlineLevel="0" collapsed="false">
      <c r="A1949" s="12"/>
      <c r="B1949" s="13"/>
      <c r="C1949" s="14"/>
      <c r="D1949" s="14"/>
      <c r="E1949" s="13"/>
      <c r="F1949" s="15"/>
      <c r="G1949" s="16" t="str">
        <f aca="false">IF(OR(B1949="",A1949=""),"",C1949*IFERROR(INDEX(Kişiler!$B$5:$B$44,MATCH(B1949,Kişiler!$A$5:$A$44,0)),0)+D1949*IFERROR(INDEX(Kişiler!$C$5:$C$44,MATCH(B1949,Kişiler!$A$5:$A$44,0)),0))</f>
        <v/>
      </c>
    </row>
    <row r="1950" customFormat="false" ht="15" hidden="false" customHeight="false" outlineLevel="0" collapsed="false">
      <c r="A1950" s="12"/>
      <c r="B1950" s="13"/>
      <c r="C1950" s="14"/>
      <c r="D1950" s="14"/>
      <c r="E1950" s="13"/>
      <c r="F1950" s="15"/>
      <c r="G1950" s="16" t="str">
        <f aca="false">IF(OR(B1950="",A1950=""),"",C1950*IFERROR(INDEX(Kişiler!$B$5:$B$44,MATCH(B1950,Kişiler!$A$5:$A$44,0)),0)+D1950*IFERROR(INDEX(Kişiler!$C$5:$C$44,MATCH(B1950,Kişiler!$A$5:$A$44,0)),0))</f>
        <v/>
      </c>
    </row>
    <row r="1951" customFormat="false" ht="15" hidden="false" customHeight="false" outlineLevel="0" collapsed="false">
      <c r="A1951" s="12"/>
      <c r="B1951" s="13"/>
      <c r="C1951" s="14"/>
      <c r="D1951" s="14"/>
      <c r="E1951" s="13"/>
      <c r="F1951" s="15"/>
      <c r="G1951" s="16" t="str">
        <f aca="false">IF(OR(B1951="",A1951=""),"",C1951*IFERROR(INDEX(Kişiler!$B$5:$B$44,MATCH(B1951,Kişiler!$A$5:$A$44,0)),0)+D1951*IFERROR(INDEX(Kişiler!$C$5:$C$44,MATCH(B1951,Kişiler!$A$5:$A$44,0)),0))</f>
        <v/>
      </c>
    </row>
    <row r="1952" customFormat="false" ht="15" hidden="false" customHeight="false" outlineLevel="0" collapsed="false">
      <c r="A1952" s="12"/>
      <c r="B1952" s="13"/>
      <c r="C1952" s="14"/>
      <c r="D1952" s="14"/>
      <c r="E1952" s="13"/>
      <c r="F1952" s="15"/>
      <c r="G1952" s="16" t="str">
        <f aca="false">IF(OR(B1952="",A1952=""),"",C1952*IFERROR(INDEX(Kişiler!$B$5:$B$44,MATCH(B1952,Kişiler!$A$5:$A$44,0)),0)+D1952*IFERROR(INDEX(Kişiler!$C$5:$C$44,MATCH(B1952,Kişiler!$A$5:$A$44,0)),0))</f>
        <v/>
      </c>
    </row>
    <row r="1953" customFormat="false" ht="15" hidden="false" customHeight="false" outlineLevel="0" collapsed="false">
      <c r="A1953" s="12"/>
      <c r="B1953" s="13"/>
      <c r="C1953" s="14"/>
      <c r="D1953" s="14"/>
      <c r="E1953" s="13"/>
      <c r="F1953" s="15"/>
      <c r="G1953" s="16" t="str">
        <f aca="false">IF(OR(B1953="",A1953=""),"",C1953*IFERROR(INDEX(Kişiler!$B$5:$B$44,MATCH(B1953,Kişiler!$A$5:$A$44,0)),0)+D1953*IFERROR(INDEX(Kişiler!$C$5:$C$44,MATCH(B1953,Kişiler!$A$5:$A$44,0)),0))</f>
        <v/>
      </c>
    </row>
    <row r="1954" customFormat="false" ht="15" hidden="false" customHeight="false" outlineLevel="0" collapsed="false">
      <c r="A1954" s="12"/>
      <c r="B1954" s="13"/>
      <c r="C1954" s="14"/>
      <c r="D1954" s="14"/>
      <c r="E1954" s="13"/>
      <c r="F1954" s="15"/>
      <c r="G1954" s="16" t="str">
        <f aca="false">IF(OR(B1954="",A1954=""),"",C1954*IFERROR(INDEX(Kişiler!$B$5:$B$44,MATCH(B1954,Kişiler!$A$5:$A$44,0)),0)+D1954*IFERROR(INDEX(Kişiler!$C$5:$C$44,MATCH(B1954,Kişiler!$A$5:$A$44,0)),0))</f>
        <v/>
      </c>
    </row>
    <row r="1955" customFormat="false" ht="15" hidden="false" customHeight="false" outlineLevel="0" collapsed="false">
      <c r="A1955" s="12"/>
      <c r="B1955" s="13"/>
      <c r="C1955" s="14"/>
      <c r="D1955" s="14"/>
      <c r="E1955" s="13"/>
      <c r="F1955" s="15"/>
      <c r="G1955" s="16" t="str">
        <f aca="false">IF(OR(B1955="",A1955=""),"",C1955*IFERROR(INDEX(Kişiler!$B$5:$B$44,MATCH(B1955,Kişiler!$A$5:$A$44,0)),0)+D1955*IFERROR(INDEX(Kişiler!$C$5:$C$44,MATCH(B1955,Kişiler!$A$5:$A$44,0)),0))</f>
        <v/>
      </c>
    </row>
    <row r="1956" customFormat="false" ht="15" hidden="false" customHeight="false" outlineLevel="0" collapsed="false">
      <c r="A1956" s="12"/>
      <c r="B1956" s="13"/>
      <c r="C1956" s="14"/>
      <c r="D1956" s="14"/>
      <c r="E1956" s="13"/>
      <c r="F1956" s="15"/>
      <c r="G1956" s="16" t="str">
        <f aca="false">IF(OR(B1956="",A1956=""),"",C1956*IFERROR(INDEX(Kişiler!$B$5:$B$44,MATCH(B1956,Kişiler!$A$5:$A$44,0)),0)+D1956*IFERROR(INDEX(Kişiler!$C$5:$C$44,MATCH(B1956,Kişiler!$A$5:$A$44,0)),0))</f>
        <v/>
      </c>
    </row>
    <row r="1957" customFormat="false" ht="15" hidden="false" customHeight="false" outlineLevel="0" collapsed="false">
      <c r="A1957" s="12"/>
      <c r="B1957" s="13"/>
      <c r="C1957" s="14"/>
      <c r="D1957" s="14"/>
      <c r="E1957" s="13"/>
      <c r="F1957" s="15"/>
      <c r="G1957" s="16" t="str">
        <f aca="false">IF(OR(B1957="",A1957=""),"",C1957*IFERROR(INDEX(Kişiler!$B$5:$B$44,MATCH(B1957,Kişiler!$A$5:$A$44,0)),0)+D1957*IFERROR(INDEX(Kişiler!$C$5:$C$44,MATCH(B1957,Kişiler!$A$5:$A$44,0)),0))</f>
        <v/>
      </c>
    </row>
    <row r="1958" customFormat="false" ht="15" hidden="false" customHeight="false" outlineLevel="0" collapsed="false">
      <c r="A1958" s="12"/>
      <c r="B1958" s="13"/>
      <c r="C1958" s="14"/>
      <c r="D1958" s="14"/>
      <c r="E1958" s="13"/>
      <c r="F1958" s="15"/>
      <c r="G1958" s="16" t="str">
        <f aca="false">IF(OR(B1958="",A1958=""),"",C1958*IFERROR(INDEX(Kişiler!$B$5:$B$44,MATCH(B1958,Kişiler!$A$5:$A$44,0)),0)+D1958*IFERROR(INDEX(Kişiler!$C$5:$C$44,MATCH(B1958,Kişiler!$A$5:$A$44,0)),0))</f>
        <v/>
      </c>
    </row>
    <row r="1959" customFormat="false" ht="15" hidden="false" customHeight="false" outlineLevel="0" collapsed="false">
      <c r="A1959" s="12"/>
      <c r="B1959" s="13"/>
      <c r="C1959" s="14"/>
      <c r="D1959" s="14"/>
      <c r="E1959" s="13"/>
      <c r="F1959" s="15"/>
      <c r="G1959" s="16" t="str">
        <f aca="false">IF(OR(B1959="",A1959=""),"",C1959*IFERROR(INDEX(Kişiler!$B$5:$B$44,MATCH(B1959,Kişiler!$A$5:$A$44,0)),0)+D1959*IFERROR(INDEX(Kişiler!$C$5:$C$44,MATCH(B1959,Kişiler!$A$5:$A$44,0)),0))</f>
        <v/>
      </c>
    </row>
    <row r="1960" customFormat="false" ht="15" hidden="false" customHeight="false" outlineLevel="0" collapsed="false">
      <c r="A1960" s="12"/>
      <c r="B1960" s="13"/>
      <c r="C1960" s="14"/>
      <c r="D1960" s="14"/>
      <c r="E1960" s="13"/>
      <c r="F1960" s="15"/>
      <c r="G1960" s="16" t="str">
        <f aca="false">IF(OR(B1960="",A1960=""),"",C1960*IFERROR(INDEX(Kişiler!$B$5:$B$44,MATCH(B1960,Kişiler!$A$5:$A$44,0)),0)+D1960*IFERROR(INDEX(Kişiler!$C$5:$C$44,MATCH(B1960,Kişiler!$A$5:$A$44,0)),0))</f>
        <v/>
      </c>
    </row>
    <row r="1961" customFormat="false" ht="15" hidden="false" customHeight="false" outlineLevel="0" collapsed="false">
      <c r="A1961" s="12"/>
      <c r="B1961" s="13"/>
      <c r="C1961" s="14"/>
      <c r="D1961" s="14"/>
      <c r="E1961" s="13"/>
      <c r="F1961" s="15"/>
      <c r="G1961" s="16" t="str">
        <f aca="false">IF(OR(B1961="",A1961=""),"",C1961*IFERROR(INDEX(Kişiler!$B$5:$B$44,MATCH(B1961,Kişiler!$A$5:$A$44,0)),0)+D1961*IFERROR(INDEX(Kişiler!$C$5:$C$44,MATCH(B1961,Kişiler!$A$5:$A$44,0)),0))</f>
        <v/>
      </c>
    </row>
    <row r="1962" customFormat="false" ht="15" hidden="false" customHeight="false" outlineLevel="0" collapsed="false">
      <c r="A1962" s="12"/>
      <c r="B1962" s="13"/>
      <c r="C1962" s="14"/>
      <c r="D1962" s="14"/>
      <c r="E1962" s="13"/>
      <c r="F1962" s="15"/>
      <c r="G1962" s="16" t="str">
        <f aca="false">IF(OR(B1962="",A1962=""),"",C1962*IFERROR(INDEX(Kişiler!$B$5:$B$44,MATCH(B1962,Kişiler!$A$5:$A$44,0)),0)+D1962*IFERROR(INDEX(Kişiler!$C$5:$C$44,MATCH(B1962,Kişiler!$A$5:$A$44,0)),0))</f>
        <v/>
      </c>
    </row>
    <row r="1963" customFormat="false" ht="15" hidden="false" customHeight="false" outlineLevel="0" collapsed="false">
      <c r="A1963" s="12"/>
      <c r="B1963" s="13"/>
      <c r="C1963" s="14"/>
      <c r="D1963" s="14"/>
      <c r="E1963" s="13"/>
      <c r="F1963" s="15"/>
      <c r="G1963" s="16" t="str">
        <f aca="false">IF(OR(B1963="",A1963=""),"",C1963*IFERROR(INDEX(Kişiler!$B$5:$B$44,MATCH(B1963,Kişiler!$A$5:$A$44,0)),0)+D1963*IFERROR(INDEX(Kişiler!$C$5:$C$44,MATCH(B1963,Kişiler!$A$5:$A$44,0)),0))</f>
        <v/>
      </c>
    </row>
    <row r="1964" customFormat="false" ht="15" hidden="false" customHeight="false" outlineLevel="0" collapsed="false">
      <c r="A1964" s="12"/>
      <c r="B1964" s="13"/>
      <c r="C1964" s="14"/>
      <c r="D1964" s="14"/>
      <c r="E1964" s="13"/>
      <c r="F1964" s="15"/>
      <c r="G1964" s="16" t="str">
        <f aca="false">IF(OR(B1964="",A1964=""),"",C1964*IFERROR(INDEX(Kişiler!$B$5:$B$44,MATCH(B1964,Kişiler!$A$5:$A$44,0)),0)+D1964*IFERROR(INDEX(Kişiler!$C$5:$C$44,MATCH(B1964,Kişiler!$A$5:$A$44,0)),0))</f>
        <v/>
      </c>
    </row>
    <row r="1965" customFormat="false" ht="15" hidden="false" customHeight="false" outlineLevel="0" collapsed="false">
      <c r="A1965" s="12"/>
      <c r="B1965" s="13"/>
      <c r="C1965" s="14"/>
      <c r="D1965" s="14"/>
      <c r="E1965" s="13"/>
      <c r="F1965" s="15"/>
      <c r="G1965" s="16" t="str">
        <f aca="false">IF(OR(B1965="",A1965=""),"",C1965*IFERROR(INDEX(Kişiler!$B$5:$B$44,MATCH(B1965,Kişiler!$A$5:$A$44,0)),0)+D1965*IFERROR(INDEX(Kişiler!$C$5:$C$44,MATCH(B1965,Kişiler!$A$5:$A$44,0)),0))</f>
        <v/>
      </c>
    </row>
    <row r="1966" customFormat="false" ht="15" hidden="false" customHeight="false" outlineLevel="0" collapsed="false">
      <c r="A1966" s="12"/>
      <c r="B1966" s="13"/>
      <c r="C1966" s="14"/>
      <c r="D1966" s="14"/>
      <c r="E1966" s="13"/>
      <c r="F1966" s="15"/>
      <c r="G1966" s="16" t="str">
        <f aca="false">IF(OR(B1966="",A1966=""),"",C1966*IFERROR(INDEX(Kişiler!$B$5:$B$44,MATCH(B1966,Kişiler!$A$5:$A$44,0)),0)+D1966*IFERROR(INDEX(Kişiler!$C$5:$C$44,MATCH(B1966,Kişiler!$A$5:$A$44,0)),0))</f>
        <v/>
      </c>
    </row>
    <row r="1967" customFormat="false" ht="15" hidden="false" customHeight="false" outlineLevel="0" collapsed="false">
      <c r="A1967" s="12"/>
      <c r="B1967" s="13"/>
      <c r="C1967" s="14"/>
      <c r="D1967" s="14"/>
      <c r="E1967" s="13"/>
      <c r="F1967" s="15"/>
      <c r="G1967" s="16" t="str">
        <f aca="false">IF(OR(B1967="",A1967=""),"",C1967*IFERROR(INDEX(Kişiler!$B$5:$B$44,MATCH(B1967,Kişiler!$A$5:$A$44,0)),0)+D1967*IFERROR(INDEX(Kişiler!$C$5:$C$44,MATCH(B1967,Kişiler!$A$5:$A$44,0)),0))</f>
        <v/>
      </c>
    </row>
    <row r="1968" customFormat="false" ht="15" hidden="false" customHeight="false" outlineLevel="0" collapsed="false">
      <c r="A1968" s="12"/>
      <c r="B1968" s="13"/>
      <c r="C1968" s="14"/>
      <c r="D1968" s="14"/>
      <c r="E1968" s="13"/>
      <c r="F1968" s="15"/>
      <c r="G1968" s="16" t="str">
        <f aca="false">IF(OR(B1968="",A1968=""),"",C1968*IFERROR(INDEX(Kişiler!$B$5:$B$44,MATCH(B1968,Kişiler!$A$5:$A$44,0)),0)+D1968*IFERROR(INDEX(Kişiler!$C$5:$C$44,MATCH(B1968,Kişiler!$A$5:$A$44,0)),0))</f>
        <v/>
      </c>
    </row>
    <row r="1969" customFormat="false" ht="15" hidden="false" customHeight="false" outlineLevel="0" collapsed="false">
      <c r="A1969" s="12"/>
      <c r="B1969" s="13"/>
      <c r="C1969" s="14"/>
      <c r="D1969" s="14"/>
      <c r="E1969" s="13"/>
      <c r="F1969" s="15"/>
      <c r="G1969" s="16" t="str">
        <f aca="false">IF(OR(B1969="",A1969=""),"",C1969*IFERROR(INDEX(Kişiler!$B$5:$B$44,MATCH(B1969,Kişiler!$A$5:$A$44,0)),0)+D1969*IFERROR(INDEX(Kişiler!$C$5:$C$44,MATCH(B1969,Kişiler!$A$5:$A$44,0)),0))</f>
        <v/>
      </c>
    </row>
    <row r="1970" customFormat="false" ht="15" hidden="false" customHeight="false" outlineLevel="0" collapsed="false">
      <c r="A1970" s="12"/>
      <c r="B1970" s="13"/>
      <c r="C1970" s="14"/>
      <c r="D1970" s="14"/>
      <c r="E1970" s="13"/>
      <c r="F1970" s="15"/>
      <c r="G1970" s="16" t="str">
        <f aca="false">IF(OR(B1970="",A1970=""),"",C1970*IFERROR(INDEX(Kişiler!$B$5:$B$44,MATCH(B1970,Kişiler!$A$5:$A$44,0)),0)+D1970*IFERROR(INDEX(Kişiler!$C$5:$C$44,MATCH(B1970,Kişiler!$A$5:$A$44,0)),0))</f>
        <v/>
      </c>
    </row>
    <row r="1971" customFormat="false" ht="15" hidden="false" customHeight="false" outlineLevel="0" collapsed="false">
      <c r="A1971" s="12"/>
      <c r="B1971" s="13"/>
      <c r="C1971" s="14"/>
      <c r="D1971" s="14"/>
      <c r="E1971" s="13"/>
      <c r="F1971" s="15"/>
      <c r="G1971" s="16" t="str">
        <f aca="false">IF(OR(B1971="",A1971=""),"",C1971*IFERROR(INDEX(Kişiler!$B$5:$B$44,MATCH(B1971,Kişiler!$A$5:$A$44,0)),0)+D1971*IFERROR(INDEX(Kişiler!$C$5:$C$44,MATCH(B1971,Kişiler!$A$5:$A$44,0)),0))</f>
        <v/>
      </c>
    </row>
    <row r="1972" customFormat="false" ht="15" hidden="false" customHeight="false" outlineLevel="0" collapsed="false">
      <c r="A1972" s="12"/>
      <c r="B1972" s="13"/>
      <c r="C1972" s="14"/>
      <c r="D1972" s="14"/>
      <c r="E1972" s="13"/>
      <c r="F1972" s="15"/>
      <c r="G1972" s="16" t="str">
        <f aca="false">IF(OR(B1972="",A1972=""),"",C1972*IFERROR(INDEX(Kişiler!$B$5:$B$44,MATCH(B1972,Kişiler!$A$5:$A$44,0)),0)+D1972*IFERROR(INDEX(Kişiler!$C$5:$C$44,MATCH(B1972,Kişiler!$A$5:$A$44,0)),0))</f>
        <v/>
      </c>
    </row>
    <row r="1973" customFormat="false" ht="15" hidden="false" customHeight="false" outlineLevel="0" collapsed="false">
      <c r="A1973" s="12"/>
      <c r="B1973" s="13"/>
      <c r="C1973" s="14"/>
      <c r="D1973" s="14"/>
      <c r="E1973" s="13"/>
      <c r="F1973" s="15"/>
      <c r="G1973" s="16" t="str">
        <f aca="false">IF(OR(B1973="",A1973=""),"",C1973*IFERROR(INDEX(Kişiler!$B$5:$B$44,MATCH(B1973,Kişiler!$A$5:$A$44,0)),0)+D1973*IFERROR(INDEX(Kişiler!$C$5:$C$44,MATCH(B1973,Kişiler!$A$5:$A$44,0)),0))</f>
        <v/>
      </c>
    </row>
    <row r="1974" customFormat="false" ht="15" hidden="false" customHeight="false" outlineLevel="0" collapsed="false">
      <c r="A1974" s="12"/>
      <c r="B1974" s="13"/>
      <c r="C1974" s="14"/>
      <c r="D1974" s="14"/>
      <c r="E1974" s="13"/>
      <c r="F1974" s="15"/>
      <c r="G1974" s="16" t="str">
        <f aca="false">IF(OR(B1974="",A1974=""),"",C1974*IFERROR(INDEX(Kişiler!$B$5:$B$44,MATCH(B1974,Kişiler!$A$5:$A$44,0)),0)+D1974*IFERROR(INDEX(Kişiler!$C$5:$C$44,MATCH(B1974,Kişiler!$A$5:$A$44,0)),0))</f>
        <v/>
      </c>
    </row>
    <row r="1975" customFormat="false" ht="15" hidden="false" customHeight="false" outlineLevel="0" collapsed="false">
      <c r="A1975" s="12"/>
      <c r="B1975" s="13"/>
      <c r="C1975" s="14"/>
      <c r="D1975" s="14"/>
      <c r="E1975" s="13"/>
      <c r="F1975" s="15"/>
      <c r="G1975" s="16" t="str">
        <f aca="false">IF(OR(B1975="",A1975=""),"",C1975*IFERROR(INDEX(Kişiler!$B$5:$B$44,MATCH(B1975,Kişiler!$A$5:$A$44,0)),0)+D1975*IFERROR(INDEX(Kişiler!$C$5:$C$44,MATCH(B1975,Kişiler!$A$5:$A$44,0)),0))</f>
        <v/>
      </c>
    </row>
    <row r="1976" customFormat="false" ht="15" hidden="false" customHeight="false" outlineLevel="0" collapsed="false">
      <c r="A1976" s="12"/>
      <c r="B1976" s="13"/>
      <c r="C1976" s="14"/>
      <c r="D1976" s="14"/>
      <c r="E1976" s="13"/>
      <c r="F1976" s="15"/>
      <c r="G1976" s="16" t="str">
        <f aca="false">IF(OR(B1976="",A1976=""),"",C1976*IFERROR(INDEX(Kişiler!$B$5:$B$44,MATCH(B1976,Kişiler!$A$5:$A$44,0)),0)+D1976*IFERROR(INDEX(Kişiler!$C$5:$C$44,MATCH(B1976,Kişiler!$A$5:$A$44,0)),0))</f>
        <v/>
      </c>
    </row>
    <row r="1977" customFormat="false" ht="15" hidden="false" customHeight="false" outlineLevel="0" collapsed="false">
      <c r="A1977" s="12"/>
      <c r="B1977" s="13"/>
      <c r="C1977" s="14"/>
      <c r="D1977" s="14"/>
      <c r="E1977" s="13"/>
      <c r="F1977" s="15"/>
      <c r="G1977" s="16" t="str">
        <f aca="false">IF(OR(B1977="",A1977=""),"",C1977*IFERROR(INDEX(Kişiler!$B$5:$B$44,MATCH(B1977,Kişiler!$A$5:$A$44,0)),0)+D1977*IFERROR(INDEX(Kişiler!$C$5:$C$44,MATCH(B1977,Kişiler!$A$5:$A$44,0)),0))</f>
        <v/>
      </c>
    </row>
    <row r="1978" customFormat="false" ht="15" hidden="false" customHeight="false" outlineLevel="0" collapsed="false">
      <c r="A1978" s="12"/>
      <c r="B1978" s="13"/>
      <c r="C1978" s="14"/>
      <c r="D1978" s="14"/>
      <c r="E1978" s="13"/>
      <c r="F1978" s="15"/>
      <c r="G1978" s="16" t="str">
        <f aca="false">IF(OR(B1978="",A1978=""),"",C1978*IFERROR(INDEX(Kişiler!$B$5:$B$44,MATCH(B1978,Kişiler!$A$5:$A$44,0)),0)+D1978*IFERROR(INDEX(Kişiler!$C$5:$C$44,MATCH(B1978,Kişiler!$A$5:$A$44,0)),0))</f>
        <v/>
      </c>
    </row>
    <row r="1979" customFormat="false" ht="15" hidden="false" customHeight="false" outlineLevel="0" collapsed="false">
      <c r="A1979" s="12"/>
      <c r="B1979" s="13"/>
      <c r="C1979" s="14"/>
      <c r="D1979" s="14"/>
      <c r="E1979" s="13"/>
      <c r="F1979" s="15"/>
      <c r="G1979" s="16" t="str">
        <f aca="false">IF(OR(B1979="",A1979=""),"",C1979*IFERROR(INDEX(Kişiler!$B$5:$B$44,MATCH(B1979,Kişiler!$A$5:$A$44,0)),0)+D1979*IFERROR(INDEX(Kişiler!$C$5:$C$44,MATCH(B1979,Kişiler!$A$5:$A$44,0)),0))</f>
        <v/>
      </c>
    </row>
    <row r="1980" customFormat="false" ht="15" hidden="false" customHeight="false" outlineLevel="0" collapsed="false">
      <c r="A1980" s="12"/>
      <c r="B1980" s="13"/>
      <c r="C1980" s="14"/>
      <c r="D1980" s="14"/>
      <c r="E1980" s="13"/>
      <c r="F1980" s="15"/>
      <c r="G1980" s="16" t="str">
        <f aca="false">IF(OR(B1980="",A1980=""),"",C1980*IFERROR(INDEX(Kişiler!$B$5:$B$44,MATCH(B1980,Kişiler!$A$5:$A$44,0)),0)+D1980*IFERROR(INDEX(Kişiler!$C$5:$C$44,MATCH(B1980,Kişiler!$A$5:$A$44,0)),0))</f>
        <v/>
      </c>
    </row>
    <row r="1981" customFormat="false" ht="15" hidden="false" customHeight="false" outlineLevel="0" collapsed="false">
      <c r="A1981" s="12"/>
      <c r="B1981" s="13"/>
      <c r="C1981" s="14"/>
      <c r="D1981" s="14"/>
      <c r="E1981" s="13"/>
      <c r="F1981" s="15"/>
      <c r="G1981" s="16" t="str">
        <f aca="false">IF(OR(B1981="",A1981=""),"",C1981*IFERROR(INDEX(Kişiler!$B$5:$B$44,MATCH(B1981,Kişiler!$A$5:$A$44,0)),0)+D1981*IFERROR(INDEX(Kişiler!$C$5:$C$44,MATCH(B1981,Kişiler!$A$5:$A$44,0)),0))</f>
        <v/>
      </c>
    </row>
    <row r="1982" customFormat="false" ht="15" hidden="false" customHeight="false" outlineLevel="0" collapsed="false">
      <c r="A1982" s="12"/>
      <c r="B1982" s="13"/>
      <c r="C1982" s="14"/>
      <c r="D1982" s="14"/>
      <c r="E1982" s="13"/>
      <c r="F1982" s="15"/>
      <c r="G1982" s="16" t="str">
        <f aca="false">IF(OR(B1982="",A1982=""),"",C1982*IFERROR(INDEX(Kişiler!$B$5:$B$44,MATCH(B1982,Kişiler!$A$5:$A$44,0)),0)+D1982*IFERROR(INDEX(Kişiler!$C$5:$C$44,MATCH(B1982,Kişiler!$A$5:$A$44,0)),0))</f>
        <v/>
      </c>
    </row>
    <row r="1983" customFormat="false" ht="15" hidden="false" customHeight="false" outlineLevel="0" collapsed="false">
      <c r="A1983" s="12"/>
      <c r="B1983" s="13"/>
      <c r="C1983" s="14"/>
      <c r="D1983" s="14"/>
      <c r="E1983" s="13"/>
      <c r="F1983" s="15"/>
      <c r="G1983" s="16" t="str">
        <f aca="false">IF(OR(B1983="",A1983=""),"",C1983*IFERROR(INDEX(Kişiler!$B$5:$B$44,MATCH(B1983,Kişiler!$A$5:$A$44,0)),0)+D1983*IFERROR(INDEX(Kişiler!$C$5:$C$44,MATCH(B1983,Kişiler!$A$5:$A$44,0)),0))</f>
        <v/>
      </c>
    </row>
    <row r="1984" customFormat="false" ht="15" hidden="false" customHeight="false" outlineLevel="0" collapsed="false">
      <c r="A1984" s="12"/>
      <c r="B1984" s="13"/>
      <c r="C1984" s="14"/>
      <c r="D1984" s="14"/>
      <c r="E1984" s="13"/>
      <c r="F1984" s="15"/>
      <c r="G1984" s="16" t="str">
        <f aca="false">IF(OR(B1984="",A1984=""),"",C1984*IFERROR(INDEX(Kişiler!$B$5:$B$44,MATCH(B1984,Kişiler!$A$5:$A$44,0)),0)+D1984*IFERROR(INDEX(Kişiler!$C$5:$C$44,MATCH(B1984,Kişiler!$A$5:$A$44,0)),0))</f>
        <v/>
      </c>
    </row>
    <row r="1985" customFormat="false" ht="15" hidden="false" customHeight="false" outlineLevel="0" collapsed="false">
      <c r="A1985" s="12"/>
      <c r="B1985" s="13"/>
      <c r="C1985" s="14"/>
      <c r="D1985" s="14"/>
      <c r="E1985" s="13"/>
      <c r="F1985" s="15"/>
      <c r="G1985" s="16" t="str">
        <f aca="false">IF(OR(B1985="",A1985=""),"",C1985*IFERROR(INDEX(Kişiler!$B$5:$B$44,MATCH(B1985,Kişiler!$A$5:$A$44,0)),0)+D1985*IFERROR(INDEX(Kişiler!$C$5:$C$44,MATCH(B1985,Kişiler!$A$5:$A$44,0)),0))</f>
        <v/>
      </c>
    </row>
    <row r="1986" customFormat="false" ht="15" hidden="false" customHeight="false" outlineLevel="0" collapsed="false">
      <c r="A1986" s="12"/>
      <c r="B1986" s="13"/>
      <c r="C1986" s="14"/>
      <c r="D1986" s="14"/>
      <c r="E1986" s="13"/>
      <c r="F1986" s="15"/>
      <c r="G1986" s="16" t="str">
        <f aca="false">IF(OR(B1986="",A1986=""),"",C1986*IFERROR(INDEX(Kişiler!$B$5:$B$44,MATCH(B1986,Kişiler!$A$5:$A$44,0)),0)+D1986*IFERROR(INDEX(Kişiler!$C$5:$C$44,MATCH(B1986,Kişiler!$A$5:$A$44,0)),0))</f>
        <v/>
      </c>
    </row>
    <row r="1987" customFormat="false" ht="15" hidden="false" customHeight="false" outlineLevel="0" collapsed="false">
      <c r="A1987" s="12"/>
      <c r="B1987" s="13"/>
      <c r="C1987" s="14"/>
      <c r="D1987" s="14"/>
      <c r="E1987" s="13"/>
      <c r="F1987" s="15"/>
      <c r="G1987" s="16" t="str">
        <f aca="false">IF(OR(B1987="",A1987=""),"",C1987*IFERROR(INDEX(Kişiler!$B$5:$B$44,MATCH(B1987,Kişiler!$A$5:$A$44,0)),0)+D1987*IFERROR(INDEX(Kişiler!$C$5:$C$44,MATCH(B1987,Kişiler!$A$5:$A$44,0)),0))</f>
        <v/>
      </c>
    </row>
    <row r="1988" customFormat="false" ht="15" hidden="false" customHeight="false" outlineLevel="0" collapsed="false">
      <c r="A1988" s="12"/>
      <c r="B1988" s="13"/>
      <c r="C1988" s="14"/>
      <c r="D1988" s="14"/>
      <c r="E1988" s="13"/>
      <c r="F1988" s="15"/>
      <c r="G1988" s="16" t="str">
        <f aca="false">IF(OR(B1988="",A1988=""),"",C1988*IFERROR(INDEX(Kişiler!$B$5:$B$44,MATCH(B1988,Kişiler!$A$5:$A$44,0)),0)+D1988*IFERROR(INDEX(Kişiler!$C$5:$C$44,MATCH(B1988,Kişiler!$A$5:$A$44,0)),0))</f>
        <v/>
      </c>
    </row>
    <row r="1989" customFormat="false" ht="15" hidden="false" customHeight="false" outlineLevel="0" collapsed="false">
      <c r="A1989" s="12"/>
      <c r="B1989" s="13"/>
      <c r="C1989" s="14"/>
      <c r="D1989" s="14"/>
      <c r="E1989" s="13"/>
      <c r="F1989" s="15"/>
      <c r="G1989" s="16" t="str">
        <f aca="false">IF(OR(B1989="",A1989=""),"",C1989*IFERROR(INDEX(Kişiler!$B$5:$B$44,MATCH(B1989,Kişiler!$A$5:$A$44,0)),0)+D1989*IFERROR(INDEX(Kişiler!$C$5:$C$44,MATCH(B1989,Kişiler!$A$5:$A$44,0)),0))</f>
        <v/>
      </c>
    </row>
    <row r="1990" customFormat="false" ht="15" hidden="false" customHeight="false" outlineLevel="0" collapsed="false">
      <c r="A1990" s="12"/>
      <c r="B1990" s="13"/>
      <c r="C1990" s="14"/>
      <c r="D1990" s="14"/>
      <c r="E1990" s="13"/>
      <c r="F1990" s="15"/>
      <c r="G1990" s="16" t="str">
        <f aca="false">IF(OR(B1990="",A1990=""),"",C1990*IFERROR(INDEX(Kişiler!$B$5:$B$44,MATCH(B1990,Kişiler!$A$5:$A$44,0)),0)+D1990*IFERROR(INDEX(Kişiler!$C$5:$C$44,MATCH(B1990,Kişiler!$A$5:$A$44,0)),0))</f>
        <v/>
      </c>
    </row>
    <row r="1991" customFormat="false" ht="15" hidden="false" customHeight="false" outlineLevel="0" collapsed="false">
      <c r="A1991" s="12"/>
      <c r="B1991" s="13"/>
      <c r="C1991" s="14"/>
      <c r="D1991" s="14"/>
      <c r="E1991" s="13"/>
      <c r="F1991" s="15"/>
      <c r="G1991" s="16" t="str">
        <f aca="false">IF(OR(B1991="",A1991=""),"",C1991*IFERROR(INDEX(Kişiler!$B$5:$B$44,MATCH(B1991,Kişiler!$A$5:$A$44,0)),0)+D1991*IFERROR(INDEX(Kişiler!$C$5:$C$44,MATCH(B1991,Kişiler!$A$5:$A$44,0)),0))</f>
        <v/>
      </c>
    </row>
    <row r="1992" customFormat="false" ht="15" hidden="false" customHeight="false" outlineLevel="0" collapsed="false">
      <c r="A1992" s="12"/>
      <c r="B1992" s="13"/>
      <c r="C1992" s="14"/>
      <c r="D1992" s="14"/>
      <c r="E1992" s="13"/>
      <c r="F1992" s="15"/>
      <c r="G1992" s="16" t="str">
        <f aca="false">IF(OR(B1992="",A1992=""),"",C1992*IFERROR(INDEX(Kişiler!$B$5:$B$44,MATCH(B1992,Kişiler!$A$5:$A$44,0)),0)+D1992*IFERROR(INDEX(Kişiler!$C$5:$C$44,MATCH(B1992,Kişiler!$A$5:$A$44,0)),0))</f>
        <v/>
      </c>
    </row>
    <row r="1993" customFormat="false" ht="15" hidden="false" customHeight="false" outlineLevel="0" collapsed="false">
      <c r="A1993" s="12"/>
      <c r="B1993" s="13"/>
      <c r="C1993" s="14"/>
      <c r="D1993" s="14"/>
      <c r="E1993" s="13"/>
      <c r="F1993" s="15"/>
      <c r="G1993" s="16" t="str">
        <f aca="false">IF(OR(B1993="",A1993=""),"",C1993*IFERROR(INDEX(Kişiler!$B$5:$B$44,MATCH(B1993,Kişiler!$A$5:$A$44,0)),0)+D1993*IFERROR(INDEX(Kişiler!$C$5:$C$44,MATCH(B1993,Kişiler!$A$5:$A$44,0)),0))</f>
        <v/>
      </c>
    </row>
    <row r="1994" customFormat="false" ht="15" hidden="false" customHeight="false" outlineLevel="0" collapsed="false">
      <c r="A1994" s="12"/>
      <c r="B1994" s="13"/>
      <c r="C1994" s="14"/>
      <c r="D1994" s="14"/>
      <c r="E1994" s="13"/>
      <c r="F1994" s="15"/>
      <c r="G1994" s="16" t="str">
        <f aca="false">IF(OR(B1994="",A1994=""),"",C1994*IFERROR(INDEX(Kişiler!$B$5:$B$44,MATCH(B1994,Kişiler!$A$5:$A$44,0)),0)+D1994*IFERROR(INDEX(Kişiler!$C$5:$C$44,MATCH(B1994,Kişiler!$A$5:$A$44,0)),0))</f>
        <v/>
      </c>
    </row>
    <row r="1995" customFormat="false" ht="15" hidden="false" customHeight="false" outlineLevel="0" collapsed="false">
      <c r="A1995" s="12"/>
      <c r="B1995" s="13"/>
      <c r="C1995" s="14"/>
      <c r="D1995" s="14"/>
      <c r="E1995" s="13"/>
      <c r="F1995" s="15"/>
      <c r="G1995" s="16" t="str">
        <f aca="false">IF(OR(B1995="",A1995=""),"",C1995*IFERROR(INDEX(Kişiler!$B$5:$B$44,MATCH(B1995,Kişiler!$A$5:$A$44,0)),0)+D1995*IFERROR(INDEX(Kişiler!$C$5:$C$44,MATCH(B1995,Kişiler!$A$5:$A$44,0)),0))</f>
        <v/>
      </c>
    </row>
    <row r="1996" customFormat="false" ht="15" hidden="false" customHeight="false" outlineLevel="0" collapsed="false">
      <c r="A1996" s="12"/>
      <c r="B1996" s="13"/>
      <c r="C1996" s="14"/>
      <c r="D1996" s="14"/>
      <c r="E1996" s="13"/>
      <c r="F1996" s="15"/>
      <c r="G1996" s="16" t="str">
        <f aca="false">IF(OR(B1996="",A1996=""),"",C1996*IFERROR(INDEX(Kişiler!$B$5:$B$44,MATCH(B1996,Kişiler!$A$5:$A$44,0)),0)+D1996*IFERROR(INDEX(Kişiler!$C$5:$C$44,MATCH(B1996,Kişiler!$A$5:$A$44,0)),0))</f>
        <v/>
      </c>
    </row>
    <row r="1997" customFormat="false" ht="15" hidden="false" customHeight="false" outlineLevel="0" collapsed="false">
      <c r="A1997" s="12"/>
      <c r="B1997" s="13"/>
      <c r="C1997" s="14"/>
      <c r="D1997" s="14"/>
      <c r="E1997" s="13"/>
      <c r="F1997" s="15"/>
      <c r="G1997" s="16" t="str">
        <f aca="false">IF(OR(B1997="",A1997=""),"",C1997*IFERROR(INDEX(Kişiler!$B$5:$B$44,MATCH(B1997,Kişiler!$A$5:$A$44,0)),0)+D1997*IFERROR(INDEX(Kişiler!$C$5:$C$44,MATCH(B1997,Kişiler!$A$5:$A$44,0)),0))</f>
        <v/>
      </c>
    </row>
    <row r="1998" customFormat="false" ht="15" hidden="false" customHeight="false" outlineLevel="0" collapsed="false">
      <c r="A1998" s="12"/>
      <c r="B1998" s="13"/>
      <c r="C1998" s="14"/>
      <c r="D1998" s="14"/>
      <c r="E1998" s="13"/>
      <c r="F1998" s="15"/>
      <c r="G1998" s="16" t="str">
        <f aca="false">IF(OR(B1998="",A1998=""),"",C1998*IFERROR(INDEX(Kişiler!$B$5:$B$44,MATCH(B1998,Kişiler!$A$5:$A$44,0)),0)+D1998*IFERROR(INDEX(Kişiler!$C$5:$C$44,MATCH(B1998,Kişiler!$A$5:$A$44,0)),0))</f>
        <v/>
      </c>
    </row>
    <row r="1999" customFormat="false" ht="15" hidden="false" customHeight="false" outlineLevel="0" collapsed="false">
      <c r="A1999" s="12"/>
      <c r="B1999" s="13"/>
      <c r="C1999" s="14"/>
      <c r="D1999" s="14"/>
      <c r="E1999" s="13"/>
      <c r="F1999" s="15"/>
      <c r="G1999" s="16" t="str">
        <f aca="false">IF(OR(B1999="",A1999=""),"",C1999*IFERROR(INDEX(Kişiler!$B$5:$B$44,MATCH(B1999,Kişiler!$A$5:$A$44,0)),0)+D1999*IFERROR(INDEX(Kişiler!$C$5:$C$44,MATCH(B1999,Kişiler!$A$5:$A$44,0)),0))</f>
        <v/>
      </c>
    </row>
    <row r="2000" customFormat="false" ht="15" hidden="false" customHeight="false" outlineLevel="0" collapsed="false">
      <c r="A2000" s="12"/>
      <c r="B2000" s="13"/>
      <c r="C2000" s="14"/>
      <c r="D2000" s="14"/>
      <c r="E2000" s="13"/>
      <c r="F2000" s="15"/>
      <c r="G2000" s="16" t="str">
        <f aca="false">IF(OR(B2000="",A2000=""),"",C2000*IFERROR(INDEX(Kişiler!$B$5:$B$44,MATCH(B2000,Kişiler!$A$5:$A$44,0)),0)+D2000*IFERROR(INDEX(Kişiler!$C$5:$C$44,MATCH(B2000,Kişiler!$A$5:$A$44,0)),0))</f>
        <v/>
      </c>
    </row>
    <row r="2001" customFormat="false" ht="15" hidden="false" customHeight="false" outlineLevel="0" collapsed="false">
      <c r="A2001" s="12"/>
      <c r="B2001" s="13"/>
      <c r="C2001" s="14"/>
      <c r="D2001" s="14"/>
      <c r="E2001" s="13"/>
      <c r="F2001" s="15"/>
      <c r="G2001" s="16" t="str">
        <f aca="false">IF(OR(B2001="",A2001=""),"",C2001*IFERROR(INDEX(Kişiler!$B$5:$B$44,MATCH(B2001,Kişiler!$A$5:$A$44,0)),0)+D2001*IFERROR(INDEX(Kişiler!$C$5:$C$44,MATCH(B2001,Kişiler!$A$5:$A$44,0)),0))</f>
        <v/>
      </c>
    </row>
    <row r="2002" customFormat="false" ht="15" hidden="false" customHeight="false" outlineLevel="0" collapsed="false">
      <c r="A2002" s="12"/>
      <c r="B2002" s="13"/>
      <c r="C2002" s="14"/>
      <c r="D2002" s="14"/>
      <c r="E2002" s="13"/>
      <c r="F2002" s="15"/>
      <c r="G2002" s="16" t="str">
        <f aca="false">IF(OR(B2002="",A2002=""),"",C2002*IFERROR(INDEX(Kişiler!$B$5:$B$44,MATCH(B2002,Kişiler!$A$5:$A$44,0)),0)+D2002*IFERROR(INDEX(Kişiler!$C$5:$C$44,MATCH(B2002,Kişiler!$A$5:$A$44,0)),0))</f>
        <v/>
      </c>
    </row>
    <row r="2003" customFormat="false" ht="15" hidden="false" customHeight="false" outlineLevel="0" collapsed="false">
      <c r="A2003" s="12"/>
      <c r="B2003" s="13"/>
      <c r="C2003" s="14"/>
      <c r="D2003" s="14"/>
      <c r="E2003" s="13"/>
      <c r="F2003" s="15"/>
      <c r="G2003" s="16" t="str">
        <f aca="false">IF(OR(B2003="",A2003=""),"",C2003*IFERROR(INDEX(Kişiler!$B$5:$B$44,MATCH(B2003,Kişiler!$A$5:$A$44,0)),0)+D2003*IFERROR(INDEX(Kişiler!$C$5:$C$44,MATCH(B2003,Kişiler!$A$5:$A$44,0)),0))</f>
        <v/>
      </c>
    </row>
    <row r="2004" customFormat="false" ht="15" hidden="false" customHeight="false" outlineLevel="0" collapsed="false">
      <c r="A2004" s="12"/>
      <c r="B2004" s="13"/>
      <c r="C2004" s="14"/>
      <c r="D2004" s="14"/>
      <c r="E2004" s="13"/>
      <c r="F2004" s="15"/>
      <c r="G2004" s="16" t="str">
        <f aca="false">IF(OR(B2004="",A2004=""),"",C2004*IFERROR(INDEX(Kişiler!$B$5:$B$44,MATCH(B2004,Kişiler!$A$5:$A$44,0)),0)+D2004*IFERROR(INDEX(Kişiler!$C$5:$C$44,MATCH(B2004,Kişiler!$A$5:$A$44,0)),0))</f>
        <v/>
      </c>
    </row>
    <row r="2005" customFormat="false" ht="15" hidden="false" customHeight="false" outlineLevel="0" collapsed="false">
      <c r="A2005" s="12"/>
      <c r="B2005" s="13"/>
      <c r="C2005" s="14"/>
      <c r="D2005" s="14"/>
      <c r="E2005" s="13"/>
      <c r="F2005" s="15"/>
      <c r="G2005" s="16" t="str">
        <f aca="false">IF(OR(B2005="",A2005=""),"",C2005*IFERROR(INDEX(Kişiler!$B$5:$B$44,MATCH(B2005,Kişiler!$A$5:$A$44,0)),0)+D2005*IFERROR(INDEX(Kişiler!$C$5:$C$44,MATCH(B2005,Kişiler!$A$5:$A$44,0)),0))</f>
        <v/>
      </c>
    </row>
    <row r="2006" customFormat="false" ht="15" hidden="false" customHeight="false" outlineLevel="0" collapsed="false">
      <c r="A2006" s="12"/>
      <c r="B2006" s="13"/>
      <c r="C2006" s="14"/>
      <c r="D2006" s="14"/>
      <c r="E2006" s="13"/>
      <c r="F2006" s="15"/>
      <c r="G2006" s="16" t="str">
        <f aca="false">IF(OR(B2006="",A2006=""),"",C2006*IFERROR(INDEX(Kişiler!$B$5:$B$44,MATCH(B2006,Kişiler!$A$5:$A$44,0)),0)+D2006*IFERROR(INDEX(Kişiler!$C$5:$C$44,MATCH(B2006,Kişiler!$A$5:$A$44,0)),0))</f>
        <v/>
      </c>
    </row>
    <row r="2007" customFormat="false" ht="15" hidden="false" customHeight="false" outlineLevel="0" collapsed="false">
      <c r="A2007" s="12"/>
      <c r="B2007" s="13"/>
      <c r="C2007" s="14"/>
      <c r="D2007" s="14"/>
      <c r="E2007" s="13"/>
      <c r="F2007" s="15"/>
      <c r="G2007" s="16" t="str">
        <f aca="false">IF(OR(B2007="",A2007=""),"",C2007*IFERROR(INDEX(Kişiler!$B$5:$B$44,MATCH(B2007,Kişiler!$A$5:$A$44,0)),0)+D2007*IFERROR(INDEX(Kişiler!$C$5:$C$44,MATCH(B2007,Kişiler!$A$5:$A$44,0)),0))</f>
        <v/>
      </c>
    </row>
    <row r="2008" customFormat="false" ht="15" hidden="false" customHeight="false" outlineLevel="0" collapsed="false">
      <c r="A2008" s="12"/>
      <c r="B2008" s="13"/>
      <c r="C2008" s="14"/>
      <c r="D2008" s="14"/>
      <c r="E2008" s="13"/>
      <c r="F2008" s="15"/>
      <c r="G2008" s="16" t="str">
        <f aca="false">IF(OR(B2008="",A2008=""),"",C2008*IFERROR(INDEX(Kişiler!$B$5:$B$44,MATCH(B2008,Kişiler!$A$5:$A$44,0)),0)+D2008*IFERROR(INDEX(Kişiler!$C$5:$C$44,MATCH(B2008,Kişiler!$A$5:$A$44,0)),0))</f>
        <v/>
      </c>
    </row>
    <row r="2009" customFormat="false" ht="15" hidden="false" customHeight="false" outlineLevel="0" collapsed="false">
      <c r="A2009" s="12"/>
      <c r="B2009" s="13"/>
      <c r="C2009" s="14"/>
      <c r="D2009" s="14"/>
      <c r="E2009" s="13"/>
      <c r="F2009" s="15"/>
      <c r="G2009" s="16" t="str">
        <f aca="false">IF(OR(B2009="",A2009=""),"",C2009*IFERROR(INDEX(Kişiler!$B$5:$B$44,MATCH(B2009,Kişiler!$A$5:$A$44,0)),0)+D2009*IFERROR(INDEX(Kişiler!$C$5:$C$44,MATCH(B2009,Kişiler!$A$5:$A$44,0)),0))</f>
        <v/>
      </c>
    </row>
    <row r="2010" customFormat="false" ht="15" hidden="false" customHeight="false" outlineLevel="0" collapsed="false">
      <c r="A2010" s="12"/>
      <c r="B2010" s="13"/>
      <c r="C2010" s="14"/>
      <c r="D2010" s="14"/>
      <c r="E2010" s="13"/>
      <c r="F2010" s="15"/>
      <c r="G2010" s="16" t="str">
        <f aca="false">IF(OR(B2010="",A2010=""),"",C2010*IFERROR(INDEX(Kişiler!$B$5:$B$44,MATCH(B2010,Kişiler!$A$5:$A$44,0)),0)+D2010*IFERROR(INDEX(Kişiler!$C$5:$C$44,MATCH(B2010,Kişiler!$A$5:$A$44,0)),0))</f>
        <v/>
      </c>
    </row>
    <row r="2011" customFormat="false" ht="15" hidden="false" customHeight="false" outlineLevel="0" collapsed="false">
      <c r="A2011" s="12"/>
      <c r="B2011" s="13"/>
      <c r="C2011" s="14"/>
      <c r="D2011" s="14"/>
      <c r="E2011" s="13"/>
      <c r="F2011" s="15"/>
      <c r="G2011" s="16" t="str">
        <f aca="false">IF(OR(B2011="",A2011=""),"",C2011*IFERROR(INDEX(Kişiler!$B$5:$B$44,MATCH(B2011,Kişiler!$A$5:$A$44,0)),0)+D2011*IFERROR(INDEX(Kişiler!$C$5:$C$44,MATCH(B2011,Kişiler!$A$5:$A$44,0)),0))</f>
        <v/>
      </c>
    </row>
    <row r="2012" customFormat="false" ht="15" hidden="false" customHeight="false" outlineLevel="0" collapsed="false">
      <c r="A2012" s="12"/>
      <c r="B2012" s="13"/>
      <c r="C2012" s="14"/>
      <c r="D2012" s="14"/>
      <c r="E2012" s="13"/>
      <c r="F2012" s="15"/>
      <c r="G2012" s="16" t="str">
        <f aca="false">IF(OR(B2012="",A2012=""),"",C2012*IFERROR(INDEX(Kişiler!$B$5:$B$44,MATCH(B2012,Kişiler!$A$5:$A$44,0)),0)+D2012*IFERROR(INDEX(Kişiler!$C$5:$C$44,MATCH(B2012,Kişiler!$A$5:$A$44,0)),0))</f>
        <v/>
      </c>
    </row>
    <row r="2013" customFormat="false" ht="15" hidden="false" customHeight="false" outlineLevel="0" collapsed="false">
      <c r="A2013" s="12"/>
      <c r="B2013" s="13"/>
      <c r="C2013" s="14"/>
      <c r="D2013" s="14"/>
      <c r="E2013" s="13"/>
      <c r="F2013" s="15"/>
      <c r="G2013" s="16" t="str">
        <f aca="false">IF(OR(B2013="",A2013=""),"",C2013*IFERROR(INDEX(Kişiler!$B$5:$B$44,MATCH(B2013,Kişiler!$A$5:$A$44,0)),0)+D2013*IFERROR(INDEX(Kişiler!$C$5:$C$44,MATCH(B2013,Kişiler!$A$5:$A$44,0)),0))</f>
        <v/>
      </c>
    </row>
    <row r="2014" customFormat="false" ht="15" hidden="false" customHeight="false" outlineLevel="0" collapsed="false">
      <c r="A2014" s="12"/>
      <c r="B2014" s="13"/>
      <c r="C2014" s="14"/>
      <c r="D2014" s="14"/>
      <c r="E2014" s="13"/>
      <c r="F2014" s="15"/>
      <c r="G2014" s="16" t="str">
        <f aca="false">IF(OR(B2014="",A2014=""),"",C2014*IFERROR(INDEX(Kişiler!$B$5:$B$44,MATCH(B2014,Kişiler!$A$5:$A$44,0)),0)+D2014*IFERROR(INDEX(Kişiler!$C$5:$C$44,MATCH(B2014,Kişiler!$A$5:$A$44,0)),0))</f>
        <v/>
      </c>
    </row>
    <row r="2015" customFormat="false" ht="15" hidden="false" customHeight="false" outlineLevel="0" collapsed="false">
      <c r="A2015" s="12"/>
      <c r="B2015" s="13"/>
      <c r="C2015" s="14"/>
      <c r="D2015" s="14"/>
      <c r="E2015" s="13"/>
      <c r="F2015" s="15"/>
      <c r="G2015" s="16" t="str">
        <f aca="false">IF(OR(B2015="",A2015=""),"",C2015*IFERROR(INDEX(Kişiler!$B$5:$B$44,MATCH(B2015,Kişiler!$A$5:$A$44,0)),0)+D2015*IFERROR(INDEX(Kişiler!$C$5:$C$44,MATCH(B2015,Kişiler!$A$5:$A$44,0)),0))</f>
        <v/>
      </c>
    </row>
    <row r="2016" customFormat="false" ht="15" hidden="false" customHeight="false" outlineLevel="0" collapsed="false">
      <c r="A2016" s="12"/>
      <c r="B2016" s="13"/>
      <c r="C2016" s="14"/>
      <c r="D2016" s="14"/>
      <c r="E2016" s="13"/>
      <c r="F2016" s="15"/>
      <c r="G2016" s="16" t="str">
        <f aca="false">IF(OR(B2016="",A2016=""),"",C2016*IFERROR(INDEX(Kişiler!$B$5:$B$44,MATCH(B2016,Kişiler!$A$5:$A$44,0)),0)+D2016*IFERROR(INDEX(Kişiler!$C$5:$C$44,MATCH(B2016,Kişiler!$A$5:$A$44,0)),0))</f>
        <v/>
      </c>
    </row>
    <row r="2017" customFormat="false" ht="15" hidden="false" customHeight="false" outlineLevel="0" collapsed="false">
      <c r="A2017" s="12"/>
      <c r="B2017" s="13"/>
      <c r="C2017" s="14"/>
      <c r="D2017" s="14"/>
      <c r="E2017" s="13"/>
      <c r="F2017" s="15"/>
      <c r="G2017" s="16" t="str">
        <f aca="false">IF(OR(B2017="",A2017=""),"",C2017*IFERROR(INDEX(Kişiler!$B$5:$B$44,MATCH(B2017,Kişiler!$A$5:$A$44,0)),0)+D2017*IFERROR(INDEX(Kişiler!$C$5:$C$44,MATCH(B2017,Kişiler!$A$5:$A$44,0)),0))</f>
        <v/>
      </c>
    </row>
    <row r="2018" customFormat="false" ht="15" hidden="false" customHeight="false" outlineLevel="0" collapsed="false">
      <c r="A2018" s="12"/>
      <c r="B2018" s="13"/>
      <c r="C2018" s="14"/>
      <c r="D2018" s="14"/>
      <c r="E2018" s="13"/>
      <c r="F2018" s="15"/>
      <c r="G2018" s="16" t="str">
        <f aca="false">IF(OR(B2018="",A2018=""),"",C2018*IFERROR(INDEX(Kişiler!$B$5:$B$44,MATCH(B2018,Kişiler!$A$5:$A$44,0)),0)+D2018*IFERROR(INDEX(Kişiler!$C$5:$C$44,MATCH(B2018,Kişiler!$A$5:$A$44,0)),0))</f>
        <v/>
      </c>
    </row>
    <row r="2019" customFormat="false" ht="15" hidden="false" customHeight="false" outlineLevel="0" collapsed="false">
      <c r="A2019" s="12"/>
      <c r="B2019" s="13"/>
      <c r="C2019" s="14"/>
      <c r="D2019" s="14"/>
      <c r="E2019" s="13"/>
      <c r="F2019" s="15"/>
      <c r="G2019" s="16" t="str">
        <f aca="false">IF(OR(B2019="",A2019=""),"",C2019*IFERROR(INDEX(Kişiler!$B$5:$B$44,MATCH(B2019,Kişiler!$A$5:$A$44,0)),0)+D2019*IFERROR(INDEX(Kişiler!$C$5:$C$44,MATCH(B2019,Kişiler!$A$5:$A$44,0)),0))</f>
        <v/>
      </c>
    </row>
    <row r="2020" customFormat="false" ht="15" hidden="false" customHeight="false" outlineLevel="0" collapsed="false">
      <c r="A2020" s="12"/>
      <c r="B2020" s="13"/>
      <c r="C2020" s="14"/>
      <c r="D2020" s="14"/>
      <c r="E2020" s="13"/>
      <c r="F2020" s="15"/>
      <c r="G2020" s="16" t="str">
        <f aca="false">IF(OR(B2020="",A2020=""),"",C2020*IFERROR(INDEX(Kişiler!$B$5:$B$44,MATCH(B2020,Kişiler!$A$5:$A$44,0)),0)+D2020*IFERROR(INDEX(Kişiler!$C$5:$C$44,MATCH(B2020,Kişiler!$A$5:$A$44,0)),0))</f>
        <v/>
      </c>
    </row>
    <row r="2021" customFormat="false" ht="15" hidden="false" customHeight="false" outlineLevel="0" collapsed="false">
      <c r="A2021" s="12"/>
      <c r="B2021" s="13"/>
      <c r="C2021" s="14"/>
      <c r="D2021" s="14"/>
      <c r="E2021" s="13"/>
      <c r="F2021" s="15"/>
      <c r="G2021" s="16" t="str">
        <f aca="false">IF(OR(B2021="",A2021=""),"",C2021*IFERROR(INDEX(Kişiler!$B$5:$B$44,MATCH(B2021,Kişiler!$A$5:$A$44,0)),0)+D2021*IFERROR(INDEX(Kişiler!$C$5:$C$44,MATCH(B2021,Kişiler!$A$5:$A$44,0)),0))</f>
        <v/>
      </c>
    </row>
    <row r="2022" customFormat="false" ht="15" hidden="false" customHeight="false" outlineLevel="0" collapsed="false">
      <c r="A2022" s="12"/>
      <c r="B2022" s="13"/>
      <c r="C2022" s="14"/>
      <c r="D2022" s="14"/>
      <c r="E2022" s="13"/>
      <c r="F2022" s="15"/>
      <c r="G2022" s="16" t="str">
        <f aca="false">IF(OR(B2022="",A2022=""),"",C2022*IFERROR(INDEX(Kişiler!$B$5:$B$44,MATCH(B2022,Kişiler!$A$5:$A$44,0)),0)+D2022*IFERROR(INDEX(Kişiler!$C$5:$C$44,MATCH(B2022,Kişiler!$A$5:$A$44,0)),0))</f>
        <v/>
      </c>
    </row>
    <row r="2023" customFormat="false" ht="15" hidden="false" customHeight="false" outlineLevel="0" collapsed="false">
      <c r="A2023" s="12"/>
      <c r="B2023" s="13"/>
      <c r="C2023" s="14"/>
      <c r="D2023" s="14"/>
      <c r="E2023" s="13"/>
      <c r="F2023" s="15"/>
      <c r="G2023" s="16" t="str">
        <f aca="false">IF(OR(B2023="",A2023=""),"",C2023*IFERROR(INDEX(Kişiler!$B$5:$B$44,MATCH(B2023,Kişiler!$A$5:$A$44,0)),0)+D2023*IFERROR(INDEX(Kişiler!$C$5:$C$44,MATCH(B2023,Kişiler!$A$5:$A$44,0)),0))</f>
        <v/>
      </c>
    </row>
    <row r="2024" customFormat="false" ht="15" hidden="false" customHeight="false" outlineLevel="0" collapsed="false">
      <c r="A2024" s="12"/>
      <c r="B2024" s="13"/>
      <c r="C2024" s="14"/>
      <c r="D2024" s="14"/>
      <c r="E2024" s="13"/>
      <c r="F2024" s="15"/>
      <c r="G2024" s="16" t="str">
        <f aca="false">IF(OR(B2024="",A2024=""),"",C2024*IFERROR(INDEX(Kişiler!$B$5:$B$44,MATCH(B2024,Kişiler!$A$5:$A$44,0)),0)+D2024*IFERROR(INDEX(Kişiler!$C$5:$C$44,MATCH(B2024,Kişiler!$A$5:$A$44,0)),0))</f>
        <v/>
      </c>
    </row>
    <row r="2025" customFormat="false" ht="15" hidden="false" customHeight="false" outlineLevel="0" collapsed="false">
      <c r="A2025" s="12"/>
      <c r="B2025" s="13"/>
      <c r="C2025" s="14"/>
      <c r="D2025" s="14"/>
      <c r="E2025" s="13"/>
      <c r="F2025" s="15"/>
      <c r="G2025" s="16" t="str">
        <f aca="false">IF(OR(B2025="",A2025=""),"",C2025*IFERROR(INDEX(Kişiler!$B$5:$B$44,MATCH(B2025,Kişiler!$A$5:$A$44,0)),0)+D2025*IFERROR(INDEX(Kişiler!$C$5:$C$44,MATCH(B2025,Kişiler!$A$5:$A$44,0)),0))</f>
        <v/>
      </c>
    </row>
    <row r="2026" customFormat="false" ht="15" hidden="false" customHeight="false" outlineLevel="0" collapsed="false">
      <c r="A2026" s="12"/>
      <c r="B2026" s="13"/>
      <c r="C2026" s="14"/>
      <c r="D2026" s="14"/>
      <c r="E2026" s="13"/>
      <c r="F2026" s="15"/>
      <c r="G2026" s="16" t="str">
        <f aca="false">IF(OR(B2026="",A2026=""),"",C2026*IFERROR(INDEX(Kişiler!$B$5:$B$44,MATCH(B2026,Kişiler!$A$5:$A$44,0)),0)+D2026*IFERROR(INDEX(Kişiler!$C$5:$C$44,MATCH(B2026,Kişiler!$A$5:$A$44,0)),0))</f>
        <v/>
      </c>
    </row>
    <row r="2027" customFormat="false" ht="15" hidden="false" customHeight="false" outlineLevel="0" collapsed="false">
      <c r="A2027" s="12"/>
      <c r="B2027" s="13"/>
      <c r="C2027" s="14"/>
      <c r="D2027" s="14"/>
      <c r="E2027" s="13"/>
      <c r="F2027" s="15"/>
      <c r="G2027" s="16" t="str">
        <f aca="false">IF(OR(B2027="",A2027=""),"",C2027*IFERROR(INDEX(Kişiler!$B$5:$B$44,MATCH(B2027,Kişiler!$A$5:$A$44,0)),0)+D2027*IFERROR(INDEX(Kişiler!$C$5:$C$44,MATCH(B2027,Kişiler!$A$5:$A$44,0)),0))</f>
        <v/>
      </c>
    </row>
    <row r="2028" customFormat="false" ht="15" hidden="false" customHeight="false" outlineLevel="0" collapsed="false">
      <c r="A2028" s="12"/>
      <c r="B2028" s="13"/>
      <c r="C2028" s="14"/>
      <c r="D2028" s="14"/>
      <c r="E2028" s="13"/>
      <c r="F2028" s="15"/>
      <c r="G2028" s="16" t="str">
        <f aca="false">IF(OR(B2028="",A2028=""),"",C2028*IFERROR(INDEX(Kişiler!$B$5:$B$44,MATCH(B2028,Kişiler!$A$5:$A$44,0)),0)+D2028*IFERROR(INDEX(Kişiler!$C$5:$C$44,MATCH(B2028,Kişiler!$A$5:$A$44,0)),0))</f>
        <v/>
      </c>
    </row>
    <row r="2029" customFormat="false" ht="15" hidden="false" customHeight="false" outlineLevel="0" collapsed="false">
      <c r="A2029" s="12"/>
      <c r="B2029" s="13"/>
      <c r="C2029" s="14"/>
      <c r="D2029" s="14"/>
      <c r="E2029" s="13"/>
      <c r="F2029" s="15"/>
      <c r="G2029" s="16" t="str">
        <f aca="false">IF(OR(B2029="",A2029=""),"",C2029*IFERROR(INDEX(Kişiler!$B$5:$B$44,MATCH(B2029,Kişiler!$A$5:$A$44,0)),0)+D2029*IFERROR(INDEX(Kişiler!$C$5:$C$44,MATCH(B2029,Kişiler!$A$5:$A$44,0)),0))</f>
        <v/>
      </c>
    </row>
    <row r="2030" customFormat="false" ht="15" hidden="false" customHeight="false" outlineLevel="0" collapsed="false">
      <c r="A2030" s="12"/>
      <c r="B2030" s="13"/>
      <c r="C2030" s="14"/>
      <c r="D2030" s="14"/>
      <c r="E2030" s="13"/>
      <c r="F2030" s="15"/>
      <c r="G2030" s="16" t="str">
        <f aca="false">IF(OR(B2030="",A2030=""),"",C2030*IFERROR(INDEX(Kişiler!$B$5:$B$44,MATCH(B2030,Kişiler!$A$5:$A$44,0)),0)+D2030*IFERROR(INDEX(Kişiler!$C$5:$C$44,MATCH(B2030,Kişiler!$A$5:$A$44,0)),0))</f>
        <v/>
      </c>
    </row>
    <row r="2031" customFormat="false" ht="15" hidden="false" customHeight="false" outlineLevel="0" collapsed="false">
      <c r="A2031" s="12"/>
      <c r="B2031" s="13"/>
      <c r="C2031" s="14"/>
      <c r="D2031" s="14"/>
      <c r="E2031" s="13"/>
      <c r="F2031" s="15"/>
      <c r="G2031" s="16" t="str">
        <f aca="false">IF(OR(B2031="",A2031=""),"",C2031*IFERROR(INDEX(Kişiler!$B$5:$B$44,MATCH(B2031,Kişiler!$A$5:$A$44,0)),0)+D2031*IFERROR(INDEX(Kişiler!$C$5:$C$44,MATCH(B2031,Kişiler!$A$5:$A$44,0)),0))</f>
        <v/>
      </c>
    </row>
    <row r="2032" customFormat="false" ht="15" hidden="false" customHeight="false" outlineLevel="0" collapsed="false">
      <c r="A2032" s="12"/>
      <c r="B2032" s="13"/>
      <c r="C2032" s="14"/>
      <c r="D2032" s="14"/>
      <c r="E2032" s="13"/>
      <c r="F2032" s="15"/>
      <c r="G2032" s="16" t="str">
        <f aca="false">IF(OR(B2032="",A2032=""),"",C2032*IFERROR(INDEX(Kişiler!$B$5:$B$44,MATCH(B2032,Kişiler!$A$5:$A$44,0)),0)+D2032*IFERROR(INDEX(Kişiler!$C$5:$C$44,MATCH(B2032,Kişiler!$A$5:$A$44,0)),0))</f>
        <v/>
      </c>
    </row>
    <row r="2033" customFormat="false" ht="15" hidden="false" customHeight="false" outlineLevel="0" collapsed="false">
      <c r="A2033" s="12"/>
      <c r="B2033" s="13"/>
      <c r="C2033" s="14"/>
      <c r="D2033" s="14"/>
      <c r="E2033" s="13"/>
      <c r="F2033" s="15"/>
      <c r="G2033" s="16" t="str">
        <f aca="false">IF(OR(B2033="",A2033=""),"",C2033*IFERROR(INDEX(Kişiler!$B$5:$B$44,MATCH(B2033,Kişiler!$A$5:$A$44,0)),0)+D2033*IFERROR(INDEX(Kişiler!$C$5:$C$44,MATCH(B2033,Kişiler!$A$5:$A$44,0)),0))</f>
        <v/>
      </c>
    </row>
    <row r="2034" customFormat="false" ht="15" hidden="false" customHeight="false" outlineLevel="0" collapsed="false">
      <c r="A2034" s="12"/>
      <c r="B2034" s="13"/>
      <c r="C2034" s="14"/>
      <c r="D2034" s="14"/>
      <c r="E2034" s="13"/>
      <c r="F2034" s="15"/>
      <c r="G2034" s="16" t="str">
        <f aca="false">IF(OR(B2034="",A2034=""),"",C2034*IFERROR(INDEX(Kişiler!$B$5:$B$44,MATCH(B2034,Kişiler!$A$5:$A$44,0)),0)+D2034*IFERROR(INDEX(Kişiler!$C$5:$C$44,MATCH(B2034,Kişiler!$A$5:$A$44,0)),0))</f>
        <v/>
      </c>
    </row>
    <row r="2035" customFormat="false" ht="15" hidden="false" customHeight="false" outlineLevel="0" collapsed="false">
      <c r="A2035" s="12"/>
      <c r="B2035" s="13"/>
      <c r="C2035" s="14"/>
      <c r="D2035" s="14"/>
      <c r="E2035" s="13"/>
      <c r="F2035" s="15"/>
      <c r="G2035" s="16" t="str">
        <f aca="false">IF(OR(B2035="",A2035=""),"",C2035*IFERROR(INDEX(Kişiler!$B$5:$B$44,MATCH(B2035,Kişiler!$A$5:$A$44,0)),0)+D2035*IFERROR(INDEX(Kişiler!$C$5:$C$44,MATCH(B2035,Kişiler!$A$5:$A$44,0)),0))</f>
        <v/>
      </c>
    </row>
    <row r="2036" customFormat="false" ht="15" hidden="false" customHeight="false" outlineLevel="0" collapsed="false">
      <c r="A2036" s="12"/>
      <c r="B2036" s="13"/>
      <c r="C2036" s="14"/>
      <c r="D2036" s="14"/>
      <c r="E2036" s="13"/>
      <c r="F2036" s="15"/>
      <c r="G2036" s="16" t="str">
        <f aca="false">IF(OR(B2036="",A2036=""),"",C2036*IFERROR(INDEX(Kişiler!$B$5:$B$44,MATCH(B2036,Kişiler!$A$5:$A$44,0)),0)+D2036*IFERROR(INDEX(Kişiler!$C$5:$C$44,MATCH(B2036,Kişiler!$A$5:$A$44,0)),0))</f>
        <v/>
      </c>
    </row>
    <row r="2037" customFormat="false" ht="15" hidden="false" customHeight="false" outlineLevel="0" collapsed="false">
      <c r="A2037" s="12"/>
      <c r="B2037" s="13"/>
      <c r="C2037" s="14"/>
      <c r="D2037" s="14"/>
      <c r="E2037" s="13"/>
      <c r="F2037" s="15"/>
      <c r="G2037" s="16" t="str">
        <f aca="false">IF(OR(B2037="",A2037=""),"",C2037*IFERROR(INDEX(Kişiler!$B$5:$B$44,MATCH(B2037,Kişiler!$A$5:$A$44,0)),0)+D2037*IFERROR(INDEX(Kişiler!$C$5:$C$44,MATCH(B2037,Kişiler!$A$5:$A$44,0)),0))</f>
        <v/>
      </c>
    </row>
    <row r="2038" customFormat="false" ht="15" hidden="false" customHeight="false" outlineLevel="0" collapsed="false">
      <c r="A2038" s="12"/>
      <c r="B2038" s="13"/>
      <c r="C2038" s="14"/>
      <c r="D2038" s="14"/>
      <c r="E2038" s="13"/>
      <c r="F2038" s="15"/>
      <c r="G2038" s="16" t="str">
        <f aca="false">IF(OR(B2038="",A2038=""),"",C2038*IFERROR(INDEX(Kişiler!$B$5:$B$44,MATCH(B2038,Kişiler!$A$5:$A$44,0)),0)+D2038*IFERROR(INDEX(Kişiler!$C$5:$C$44,MATCH(B2038,Kişiler!$A$5:$A$44,0)),0))</f>
        <v/>
      </c>
    </row>
    <row r="2039" customFormat="false" ht="15" hidden="false" customHeight="false" outlineLevel="0" collapsed="false">
      <c r="A2039" s="12"/>
      <c r="B2039" s="13"/>
      <c r="C2039" s="14"/>
      <c r="D2039" s="14"/>
      <c r="E2039" s="13"/>
      <c r="F2039" s="15"/>
      <c r="G2039" s="16" t="str">
        <f aca="false">IF(OR(B2039="",A2039=""),"",C2039*IFERROR(INDEX(Kişiler!$B$5:$B$44,MATCH(B2039,Kişiler!$A$5:$A$44,0)),0)+D2039*IFERROR(INDEX(Kişiler!$C$5:$C$44,MATCH(B2039,Kişiler!$A$5:$A$44,0)),0))</f>
        <v/>
      </c>
    </row>
    <row r="2040" customFormat="false" ht="15" hidden="false" customHeight="false" outlineLevel="0" collapsed="false">
      <c r="A2040" s="12"/>
      <c r="B2040" s="13"/>
      <c r="C2040" s="14"/>
      <c r="D2040" s="14"/>
      <c r="E2040" s="13"/>
      <c r="F2040" s="15"/>
      <c r="G2040" s="16" t="str">
        <f aca="false">IF(OR(B2040="",A2040=""),"",C2040*IFERROR(INDEX(Kişiler!$B$5:$B$44,MATCH(B2040,Kişiler!$A$5:$A$44,0)),0)+D2040*IFERROR(INDEX(Kişiler!$C$5:$C$44,MATCH(B2040,Kişiler!$A$5:$A$44,0)),0))</f>
        <v/>
      </c>
    </row>
    <row r="2041" customFormat="false" ht="15" hidden="false" customHeight="false" outlineLevel="0" collapsed="false">
      <c r="A2041" s="12"/>
      <c r="B2041" s="13"/>
      <c r="C2041" s="14"/>
      <c r="D2041" s="14"/>
      <c r="E2041" s="13"/>
      <c r="F2041" s="15"/>
      <c r="G2041" s="16" t="str">
        <f aca="false">IF(OR(B2041="",A2041=""),"",C2041*IFERROR(INDEX(Kişiler!$B$5:$B$44,MATCH(B2041,Kişiler!$A$5:$A$44,0)),0)+D2041*IFERROR(INDEX(Kişiler!$C$5:$C$44,MATCH(B2041,Kişiler!$A$5:$A$44,0)),0))</f>
        <v/>
      </c>
    </row>
    <row r="2042" customFormat="false" ht="15" hidden="false" customHeight="false" outlineLevel="0" collapsed="false">
      <c r="A2042" s="12"/>
      <c r="B2042" s="13"/>
      <c r="C2042" s="14"/>
      <c r="D2042" s="14"/>
      <c r="E2042" s="13"/>
      <c r="F2042" s="15"/>
      <c r="G2042" s="16" t="str">
        <f aca="false">IF(OR(B2042="",A2042=""),"",C2042*IFERROR(INDEX(Kişiler!$B$5:$B$44,MATCH(B2042,Kişiler!$A$5:$A$44,0)),0)+D2042*IFERROR(INDEX(Kişiler!$C$5:$C$44,MATCH(B2042,Kişiler!$A$5:$A$44,0)),0))</f>
        <v/>
      </c>
    </row>
    <row r="2043" customFormat="false" ht="15" hidden="false" customHeight="false" outlineLevel="0" collapsed="false">
      <c r="A2043" s="12"/>
      <c r="B2043" s="13"/>
      <c r="C2043" s="14"/>
      <c r="D2043" s="14"/>
      <c r="E2043" s="13"/>
      <c r="F2043" s="15"/>
      <c r="G2043" s="16" t="str">
        <f aca="false">IF(OR(B2043="",A2043=""),"",C2043*IFERROR(INDEX(Kişiler!$B$5:$B$44,MATCH(B2043,Kişiler!$A$5:$A$44,0)),0)+D2043*IFERROR(INDEX(Kişiler!$C$5:$C$44,MATCH(B2043,Kişiler!$A$5:$A$44,0)),0))</f>
        <v/>
      </c>
    </row>
    <row r="2044" customFormat="false" ht="15" hidden="false" customHeight="false" outlineLevel="0" collapsed="false">
      <c r="A2044" s="12"/>
      <c r="B2044" s="13"/>
      <c r="C2044" s="14"/>
      <c r="D2044" s="14"/>
      <c r="E2044" s="13"/>
      <c r="F2044" s="15"/>
      <c r="G2044" s="16" t="str">
        <f aca="false">IF(OR(B2044="",A2044=""),"",C2044*IFERROR(INDEX(Kişiler!$B$5:$B$44,MATCH(B2044,Kişiler!$A$5:$A$44,0)),0)+D2044*IFERROR(INDEX(Kişiler!$C$5:$C$44,MATCH(B2044,Kişiler!$A$5:$A$44,0)),0))</f>
        <v/>
      </c>
    </row>
    <row r="2045" customFormat="false" ht="15" hidden="false" customHeight="false" outlineLevel="0" collapsed="false">
      <c r="A2045" s="12"/>
      <c r="B2045" s="13"/>
      <c r="C2045" s="14"/>
      <c r="D2045" s="14"/>
      <c r="E2045" s="13"/>
      <c r="F2045" s="15"/>
      <c r="G2045" s="16" t="str">
        <f aca="false">IF(OR(B2045="",A2045=""),"",C2045*IFERROR(INDEX(Kişiler!$B$5:$B$44,MATCH(B2045,Kişiler!$A$5:$A$44,0)),0)+D2045*IFERROR(INDEX(Kişiler!$C$5:$C$44,MATCH(B2045,Kişiler!$A$5:$A$44,0)),0))</f>
        <v/>
      </c>
    </row>
    <row r="2046" customFormat="false" ht="15" hidden="false" customHeight="false" outlineLevel="0" collapsed="false">
      <c r="A2046" s="12"/>
      <c r="B2046" s="13"/>
      <c r="C2046" s="14"/>
      <c r="D2046" s="14"/>
      <c r="E2046" s="13"/>
      <c r="F2046" s="15"/>
      <c r="G2046" s="16" t="str">
        <f aca="false">IF(OR(B2046="",A2046=""),"",C2046*IFERROR(INDEX(Kişiler!$B$5:$B$44,MATCH(B2046,Kişiler!$A$5:$A$44,0)),0)+D2046*IFERROR(INDEX(Kişiler!$C$5:$C$44,MATCH(B2046,Kişiler!$A$5:$A$44,0)),0))</f>
        <v/>
      </c>
    </row>
    <row r="2047" customFormat="false" ht="15" hidden="false" customHeight="false" outlineLevel="0" collapsed="false">
      <c r="A2047" s="12"/>
      <c r="B2047" s="13"/>
      <c r="C2047" s="14"/>
      <c r="D2047" s="14"/>
      <c r="E2047" s="13"/>
      <c r="F2047" s="15"/>
      <c r="G2047" s="16" t="str">
        <f aca="false">IF(OR(B2047="",A2047=""),"",C2047*IFERROR(INDEX(Kişiler!$B$5:$B$44,MATCH(B2047,Kişiler!$A$5:$A$44,0)),0)+D2047*IFERROR(INDEX(Kişiler!$C$5:$C$44,MATCH(B2047,Kişiler!$A$5:$A$44,0)),0))</f>
        <v/>
      </c>
    </row>
    <row r="2048" customFormat="false" ht="15" hidden="false" customHeight="false" outlineLevel="0" collapsed="false">
      <c r="A2048" s="12"/>
      <c r="B2048" s="13"/>
      <c r="C2048" s="14"/>
      <c r="D2048" s="14"/>
      <c r="E2048" s="13"/>
      <c r="F2048" s="15"/>
      <c r="G2048" s="16" t="str">
        <f aca="false">IF(OR(B2048="",A2048=""),"",C2048*IFERROR(INDEX(Kişiler!$B$5:$B$44,MATCH(B2048,Kişiler!$A$5:$A$44,0)),0)+D2048*IFERROR(INDEX(Kişiler!$C$5:$C$44,MATCH(B2048,Kişiler!$A$5:$A$44,0)),0))</f>
        <v/>
      </c>
    </row>
    <row r="2049" customFormat="false" ht="15" hidden="false" customHeight="false" outlineLevel="0" collapsed="false">
      <c r="A2049" s="12"/>
      <c r="B2049" s="13"/>
      <c r="C2049" s="14"/>
      <c r="D2049" s="14"/>
      <c r="E2049" s="13"/>
      <c r="F2049" s="15"/>
      <c r="G2049" s="16" t="str">
        <f aca="false">IF(OR(B2049="",A2049=""),"",C2049*IFERROR(INDEX(Kişiler!$B$5:$B$44,MATCH(B2049,Kişiler!$A$5:$A$44,0)),0)+D2049*IFERROR(INDEX(Kişiler!$C$5:$C$44,MATCH(B2049,Kişiler!$A$5:$A$44,0)),0))</f>
        <v/>
      </c>
    </row>
    <row r="2050" customFormat="false" ht="15" hidden="false" customHeight="false" outlineLevel="0" collapsed="false">
      <c r="A2050" s="12"/>
      <c r="B2050" s="13"/>
      <c r="C2050" s="14"/>
      <c r="D2050" s="14"/>
      <c r="E2050" s="13"/>
      <c r="F2050" s="15"/>
      <c r="G2050" s="16" t="str">
        <f aca="false">IF(OR(B2050="",A2050=""),"",C2050*IFERROR(INDEX(Kişiler!$B$5:$B$44,MATCH(B2050,Kişiler!$A$5:$A$44,0)),0)+D2050*IFERROR(INDEX(Kişiler!$C$5:$C$44,MATCH(B2050,Kişiler!$A$5:$A$44,0)),0))</f>
        <v/>
      </c>
    </row>
    <row r="2051" customFormat="false" ht="15" hidden="false" customHeight="false" outlineLevel="0" collapsed="false">
      <c r="A2051" s="12"/>
      <c r="B2051" s="13"/>
      <c r="C2051" s="14"/>
      <c r="D2051" s="14"/>
      <c r="E2051" s="13"/>
      <c r="F2051" s="15"/>
      <c r="G2051" s="16" t="str">
        <f aca="false">IF(OR(B2051="",A2051=""),"",C2051*IFERROR(INDEX(Kişiler!$B$5:$B$44,MATCH(B2051,Kişiler!$A$5:$A$44,0)),0)+D2051*IFERROR(INDEX(Kişiler!$C$5:$C$44,MATCH(B2051,Kişiler!$A$5:$A$44,0)),0))</f>
        <v/>
      </c>
    </row>
    <row r="2052" customFormat="false" ht="15" hidden="false" customHeight="false" outlineLevel="0" collapsed="false">
      <c r="A2052" s="12"/>
      <c r="B2052" s="13"/>
      <c r="C2052" s="14"/>
      <c r="D2052" s="14"/>
      <c r="E2052" s="13"/>
      <c r="F2052" s="15"/>
      <c r="G2052" s="16" t="str">
        <f aca="false">IF(OR(B2052="",A2052=""),"",C2052*IFERROR(INDEX(Kişiler!$B$5:$B$44,MATCH(B2052,Kişiler!$A$5:$A$44,0)),0)+D2052*IFERROR(INDEX(Kişiler!$C$5:$C$44,MATCH(B2052,Kişiler!$A$5:$A$44,0)),0))</f>
        <v/>
      </c>
    </row>
    <row r="2053" customFormat="false" ht="15" hidden="false" customHeight="false" outlineLevel="0" collapsed="false">
      <c r="A2053" s="12"/>
      <c r="B2053" s="13"/>
      <c r="C2053" s="14"/>
      <c r="D2053" s="14"/>
      <c r="E2053" s="13"/>
      <c r="F2053" s="15"/>
      <c r="G2053" s="16" t="str">
        <f aca="false">IF(OR(B2053="",A2053=""),"",C2053*IFERROR(INDEX(Kişiler!$B$5:$B$44,MATCH(B2053,Kişiler!$A$5:$A$44,0)),0)+D2053*IFERROR(INDEX(Kişiler!$C$5:$C$44,MATCH(B2053,Kişiler!$A$5:$A$44,0)),0))</f>
        <v/>
      </c>
    </row>
    <row r="2054" customFormat="false" ht="15" hidden="false" customHeight="false" outlineLevel="0" collapsed="false">
      <c r="A2054" s="12"/>
      <c r="B2054" s="13"/>
      <c r="C2054" s="14"/>
      <c r="D2054" s="14"/>
      <c r="E2054" s="13"/>
      <c r="F2054" s="15"/>
      <c r="G2054" s="16" t="str">
        <f aca="false">IF(OR(B2054="",A2054=""),"",C2054*IFERROR(INDEX(Kişiler!$B$5:$B$44,MATCH(B2054,Kişiler!$A$5:$A$44,0)),0)+D2054*IFERROR(INDEX(Kişiler!$C$5:$C$44,MATCH(B2054,Kişiler!$A$5:$A$44,0)),0))</f>
        <v/>
      </c>
    </row>
    <row r="2055" customFormat="false" ht="15" hidden="false" customHeight="false" outlineLevel="0" collapsed="false">
      <c r="A2055" s="12"/>
      <c r="B2055" s="13"/>
      <c r="C2055" s="14"/>
      <c r="D2055" s="14"/>
      <c r="E2055" s="13"/>
      <c r="F2055" s="15"/>
      <c r="G2055" s="16" t="str">
        <f aca="false">IF(OR(B2055="",A2055=""),"",C2055*IFERROR(INDEX(Kişiler!$B$5:$B$44,MATCH(B2055,Kişiler!$A$5:$A$44,0)),0)+D2055*IFERROR(INDEX(Kişiler!$C$5:$C$44,MATCH(B2055,Kişiler!$A$5:$A$44,0)),0))</f>
        <v/>
      </c>
    </row>
    <row r="2056" customFormat="false" ht="15" hidden="false" customHeight="false" outlineLevel="0" collapsed="false">
      <c r="A2056" s="12"/>
      <c r="B2056" s="13"/>
      <c r="C2056" s="14"/>
      <c r="D2056" s="14"/>
      <c r="E2056" s="13"/>
      <c r="F2056" s="15"/>
      <c r="G2056" s="16" t="str">
        <f aca="false">IF(OR(B2056="",A2056=""),"",C2056*IFERROR(INDEX(Kişiler!$B$5:$B$44,MATCH(B2056,Kişiler!$A$5:$A$44,0)),0)+D2056*IFERROR(INDEX(Kişiler!$C$5:$C$44,MATCH(B2056,Kişiler!$A$5:$A$44,0)),0))</f>
        <v/>
      </c>
    </row>
    <row r="2057" customFormat="false" ht="15" hidden="false" customHeight="false" outlineLevel="0" collapsed="false">
      <c r="A2057" s="12"/>
      <c r="B2057" s="13"/>
      <c r="C2057" s="14"/>
      <c r="D2057" s="14"/>
      <c r="E2057" s="13"/>
      <c r="F2057" s="15"/>
      <c r="G2057" s="16" t="str">
        <f aca="false">IF(OR(B2057="",A2057=""),"",C2057*IFERROR(INDEX(Kişiler!$B$5:$B$44,MATCH(B2057,Kişiler!$A$5:$A$44,0)),0)+D2057*IFERROR(INDEX(Kişiler!$C$5:$C$44,MATCH(B2057,Kişiler!$A$5:$A$44,0)),0))</f>
        <v/>
      </c>
    </row>
    <row r="2058" customFormat="false" ht="15" hidden="false" customHeight="false" outlineLevel="0" collapsed="false">
      <c r="A2058" s="12"/>
      <c r="B2058" s="13"/>
      <c r="C2058" s="14"/>
      <c r="D2058" s="14"/>
      <c r="E2058" s="13"/>
      <c r="F2058" s="15"/>
      <c r="G2058" s="16" t="str">
        <f aca="false">IF(OR(B2058="",A2058=""),"",C2058*IFERROR(INDEX(Kişiler!$B$5:$B$44,MATCH(B2058,Kişiler!$A$5:$A$44,0)),0)+D2058*IFERROR(INDEX(Kişiler!$C$5:$C$44,MATCH(B2058,Kişiler!$A$5:$A$44,0)),0))</f>
        <v/>
      </c>
    </row>
    <row r="2059" customFormat="false" ht="15" hidden="false" customHeight="false" outlineLevel="0" collapsed="false">
      <c r="A2059" s="12"/>
      <c r="B2059" s="13"/>
      <c r="C2059" s="14"/>
      <c r="D2059" s="14"/>
      <c r="E2059" s="13"/>
      <c r="F2059" s="15"/>
      <c r="G2059" s="16" t="str">
        <f aca="false">IF(OR(B2059="",A2059=""),"",C2059*IFERROR(INDEX(Kişiler!$B$5:$B$44,MATCH(B2059,Kişiler!$A$5:$A$44,0)),0)+D2059*IFERROR(INDEX(Kişiler!$C$5:$C$44,MATCH(B2059,Kişiler!$A$5:$A$44,0)),0))</f>
        <v/>
      </c>
    </row>
    <row r="2060" customFormat="false" ht="15" hidden="false" customHeight="false" outlineLevel="0" collapsed="false">
      <c r="A2060" s="12"/>
      <c r="B2060" s="13"/>
      <c r="C2060" s="14"/>
      <c r="D2060" s="14"/>
      <c r="E2060" s="13"/>
      <c r="F2060" s="15"/>
      <c r="G2060" s="16" t="str">
        <f aca="false">IF(OR(B2060="",A2060=""),"",C2060*IFERROR(INDEX(Kişiler!$B$5:$B$44,MATCH(B2060,Kişiler!$A$5:$A$44,0)),0)+D2060*IFERROR(INDEX(Kişiler!$C$5:$C$44,MATCH(B2060,Kişiler!$A$5:$A$44,0)),0))</f>
        <v/>
      </c>
    </row>
    <row r="2061" customFormat="false" ht="15" hidden="false" customHeight="false" outlineLevel="0" collapsed="false">
      <c r="A2061" s="12"/>
      <c r="B2061" s="13"/>
      <c r="C2061" s="14"/>
      <c r="D2061" s="14"/>
      <c r="E2061" s="13"/>
      <c r="F2061" s="15"/>
      <c r="G2061" s="16" t="str">
        <f aca="false">IF(OR(B2061="",A2061=""),"",C2061*IFERROR(INDEX(Kişiler!$B$5:$B$44,MATCH(B2061,Kişiler!$A$5:$A$44,0)),0)+D2061*IFERROR(INDEX(Kişiler!$C$5:$C$44,MATCH(B2061,Kişiler!$A$5:$A$44,0)),0))</f>
        <v/>
      </c>
    </row>
    <row r="2062" customFormat="false" ht="15" hidden="false" customHeight="false" outlineLevel="0" collapsed="false">
      <c r="A2062" s="12"/>
      <c r="B2062" s="13"/>
      <c r="C2062" s="14"/>
      <c r="D2062" s="14"/>
      <c r="E2062" s="13"/>
      <c r="F2062" s="15"/>
      <c r="G2062" s="16" t="str">
        <f aca="false">IF(OR(B2062="",A2062=""),"",C2062*IFERROR(INDEX(Kişiler!$B$5:$B$44,MATCH(B2062,Kişiler!$A$5:$A$44,0)),0)+D2062*IFERROR(INDEX(Kişiler!$C$5:$C$44,MATCH(B2062,Kişiler!$A$5:$A$44,0)),0))</f>
        <v/>
      </c>
    </row>
    <row r="2063" customFormat="false" ht="15" hidden="false" customHeight="false" outlineLevel="0" collapsed="false">
      <c r="A2063" s="12"/>
      <c r="B2063" s="13"/>
      <c r="C2063" s="14"/>
      <c r="D2063" s="14"/>
      <c r="E2063" s="13"/>
      <c r="F2063" s="15"/>
      <c r="G2063" s="16" t="str">
        <f aca="false">IF(OR(B2063="",A2063=""),"",C2063*IFERROR(INDEX(Kişiler!$B$5:$B$44,MATCH(B2063,Kişiler!$A$5:$A$44,0)),0)+D2063*IFERROR(INDEX(Kişiler!$C$5:$C$44,MATCH(B2063,Kişiler!$A$5:$A$44,0)),0))</f>
        <v/>
      </c>
    </row>
    <row r="2064" customFormat="false" ht="15" hidden="false" customHeight="false" outlineLevel="0" collapsed="false">
      <c r="A2064" s="12"/>
      <c r="B2064" s="13"/>
      <c r="C2064" s="14"/>
      <c r="D2064" s="14"/>
      <c r="E2064" s="13"/>
      <c r="F2064" s="15"/>
      <c r="G2064" s="16" t="str">
        <f aca="false">IF(OR(B2064="",A2064=""),"",C2064*IFERROR(INDEX(Kişiler!$B$5:$B$44,MATCH(B2064,Kişiler!$A$5:$A$44,0)),0)+D2064*IFERROR(INDEX(Kişiler!$C$5:$C$44,MATCH(B2064,Kişiler!$A$5:$A$44,0)),0))</f>
        <v/>
      </c>
    </row>
    <row r="2065" customFormat="false" ht="15" hidden="false" customHeight="false" outlineLevel="0" collapsed="false">
      <c r="A2065" s="12"/>
      <c r="B2065" s="13"/>
      <c r="C2065" s="14"/>
      <c r="D2065" s="14"/>
      <c r="E2065" s="13"/>
      <c r="F2065" s="15"/>
      <c r="G2065" s="16" t="str">
        <f aca="false">IF(OR(B2065="",A2065=""),"",C2065*IFERROR(INDEX(Kişiler!$B$5:$B$44,MATCH(B2065,Kişiler!$A$5:$A$44,0)),0)+D2065*IFERROR(INDEX(Kişiler!$C$5:$C$44,MATCH(B2065,Kişiler!$A$5:$A$44,0)),0))</f>
        <v/>
      </c>
    </row>
    <row r="2066" customFormat="false" ht="15" hidden="false" customHeight="false" outlineLevel="0" collapsed="false">
      <c r="A2066" s="12"/>
      <c r="B2066" s="13"/>
      <c r="C2066" s="14"/>
      <c r="D2066" s="14"/>
      <c r="E2066" s="13"/>
      <c r="F2066" s="15"/>
      <c r="G2066" s="16" t="str">
        <f aca="false">IF(OR(B2066="",A2066=""),"",C2066*IFERROR(INDEX(Kişiler!$B$5:$B$44,MATCH(B2066,Kişiler!$A$5:$A$44,0)),0)+D2066*IFERROR(INDEX(Kişiler!$C$5:$C$44,MATCH(B2066,Kişiler!$A$5:$A$44,0)),0))</f>
        <v/>
      </c>
    </row>
    <row r="2067" customFormat="false" ht="15" hidden="false" customHeight="false" outlineLevel="0" collapsed="false">
      <c r="A2067" s="12"/>
      <c r="B2067" s="13"/>
      <c r="C2067" s="14"/>
      <c r="D2067" s="14"/>
      <c r="E2067" s="13"/>
      <c r="F2067" s="15"/>
      <c r="G2067" s="16" t="str">
        <f aca="false">IF(OR(B2067="",A2067=""),"",C2067*IFERROR(INDEX(Kişiler!$B$5:$B$44,MATCH(B2067,Kişiler!$A$5:$A$44,0)),0)+D2067*IFERROR(INDEX(Kişiler!$C$5:$C$44,MATCH(B2067,Kişiler!$A$5:$A$44,0)),0))</f>
        <v/>
      </c>
    </row>
    <row r="2068" customFormat="false" ht="15" hidden="false" customHeight="false" outlineLevel="0" collapsed="false">
      <c r="A2068" s="12"/>
      <c r="B2068" s="13"/>
      <c r="C2068" s="14"/>
      <c r="D2068" s="14"/>
      <c r="E2068" s="13"/>
      <c r="F2068" s="15"/>
      <c r="G2068" s="16" t="str">
        <f aca="false">IF(OR(B2068="",A2068=""),"",C2068*IFERROR(INDEX(Kişiler!$B$5:$B$44,MATCH(B2068,Kişiler!$A$5:$A$44,0)),0)+D2068*IFERROR(INDEX(Kişiler!$C$5:$C$44,MATCH(B2068,Kişiler!$A$5:$A$44,0)),0))</f>
        <v/>
      </c>
    </row>
    <row r="2069" customFormat="false" ht="15" hidden="false" customHeight="false" outlineLevel="0" collapsed="false">
      <c r="A2069" s="12"/>
      <c r="B2069" s="13"/>
      <c r="C2069" s="14"/>
      <c r="D2069" s="14"/>
      <c r="E2069" s="13"/>
      <c r="F2069" s="15"/>
      <c r="G2069" s="16" t="str">
        <f aca="false">IF(OR(B2069="",A2069=""),"",C2069*IFERROR(INDEX(Kişiler!$B$5:$B$44,MATCH(B2069,Kişiler!$A$5:$A$44,0)),0)+D2069*IFERROR(INDEX(Kişiler!$C$5:$C$44,MATCH(B2069,Kişiler!$A$5:$A$44,0)),0))</f>
        <v/>
      </c>
    </row>
    <row r="2070" customFormat="false" ht="15" hidden="false" customHeight="false" outlineLevel="0" collapsed="false">
      <c r="A2070" s="12"/>
      <c r="B2070" s="13"/>
      <c r="C2070" s="14"/>
      <c r="D2070" s="14"/>
      <c r="E2070" s="13"/>
      <c r="F2070" s="15"/>
      <c r="G2070" s="16" t="str">
        <f aca="false">IF(OR(B2070="",A2070=""),"",C2070*IFERROR(INDEX(Kişiler!$B$5:$B$44,MATCH(B2070,Kişiler!$A$5:$A$44,0)),0)+D2070*IFERROR(INDEX(Kişiler!$C$5:$C$44,MATCH(B2070,Kişiler!$A$5:$A$44,0)),0))</f>
        <v/>
      </c>
    </row>
    <row r="2071" customFormat="false" ht="15" hidden="false" customHeight="false" outlineLevel="0" collapsed="false">
      <c r="A2071" s="12"/>
      <c r="B2071" s="13"/>
      <c r="C2071" s="14"/>
      <c r="D2071" s="14"/>
      <c r="E2071" s="13"/>
      <c r="F2071" s="15"/>
      <c r="G2071" s="16" t="str">
        <f aca="false">IF(OR(B2071="",A2071=""),"",C2071*IFERROR(INDEX(Kişiler!$B$5:$B$44,MATCH(B2071,Kişiler!$A$5:$A$44,0)),0)+D2071*IFERROR(INDEX(Kişiler!$C$5:$C$44,MATCH(B2071,Kişiler!$A$5:$A$44,0)),0))</f>
        <v/>
      </c>
    </row>
    <row r="2072" customFormat="false" ht="15" hidden="false" customHeight="false" outlineLevel="0" collapsed="false">
      <c r="A2072" s="12"/>
      <c r="B2072" s="13"/>
      <c r="C2072" s="14"/>
      <c r="D2072" s="14"/>
      <c r="E2072" s="13"/>
      <c r="F2072" s="15"/>
      <c r="G2072" s="16" t="str">
        <f aca="false">IF(OR(B2072="",A2072=""),"",C2072*IFERROR(INDEX(Kişiler!$B$5:$B$44,MATCH(B2072,Kişiler!$A$5:$A$44,0)),0)+D2072*IFERROR(INDEX(Kişiler!$C$5:$C$44,MATCH(B2072,Kişiler!$A$5:$A$44,0)),0))</f>
        <v/>
      </c>
    </row>
    <row r="2073" customFormat="false" ht="15" hidden="false" customHeight="false" outlineLevel="0" collapsed="false">
      <c r="A2073" s="12"/>
      <c r="B2073" s="13"/>
      <c r="C2073" s="14"/>
      <c r="D2073" s="14"/>
      <c r="E2073" s="13"/>
      <c r="F2073" s="15"/>
      <c r="G2073" s="16" t="str">
        <f aca="false">IF(OR(B2073="",A2073=""),"",C2073*IFERROR(INDEX(Kişiler!$B$5:$B$44,MATCH(B2073,Kişiler!$A$5:$A$44,0)),0)+D2073*IFERROR(INDEX(Kişiler!$C$5:$C$44,MATCH(B2073,Kişiler!$A$5:$A$44,0)),0))</f>
        <v/>
      </c>
    </row>
    <row r="2074" customFormat="false" ht="15" hidden="false" customHeight="false" outlineLevel="0" collapsed="false">
      <c r="A2074" s="12"/>
      <c r="B2074" s="13"/>
      <c r="C2074" s="14"/>
      <c r="D2074" s="14"/>
      <c r="E2074" s="13"/>
      <c r="F2074" s="15"/>
      <c r="G2074" s="16" t="str">
        <f aca="false">IF(OR(B2074="",A2074=""),"",C2074*IFERROR(INDEX(Kişiler!$B$5:$B$44,MATCH(B2074,Kişiler!$A$5:$A$44,0)),0)+D2074*IFERROR(INDEX(Kişiler!$C$5:$C$44,MATCH(B2074,Kişiler!$A$5:$A$44,0)),0))</f>
        <v/>
      </c>
    </row>
    <row r="2075" customFormat="false" ht="15" hidden="false" customHeight="false" outlineLevel="0" collapsed="false">
      <c r="A2075" s="12"/>
      <c r="B2075" s="13"/>
      <c r="C2075" s="14"/>
      <c r="D2075" s="14"/>
      <c r="E2075" s="13"/>
      <c r="F2075" s="15"/>
      <c r="G2075" s="16" t="str">
        <f aca="false">IF(OR(B2075="",A2075=""),"",C2075*IFERROR(INDEX(Kişiler!$B$5:$B$44,MATCH(B2075,Kişiler!$A$5:$A$44,0)),0)+D2075*IFERROR(INDEX(Kişiler!$C$5:$C$44,MATCH(B2075,Kişiler!$A$5:$A$44,0)),0))</f>
        <v/>
      </c>
    </row>
    <row r="2076" customFormat="false" ht="15" hidden="false" customHeight="false" outlineLevel="0" collapsed="false">
      <c r="A2076" s="12"/>
      <c r="B2076" s="13"/>
      <c r="C2076" s="14"/>
      <c r="D2076" s="14"/>
      <c r="E2076" s="13"/>
      <c r="F2076" s="15"/>
      <c r="G2076" s="16" t="str">
        <f aca="false">IF(OR(B2076="",A2076=""),"",C2076*IFERROR(INDEX(Kişiler!$B$5:$B$44,MATCH(B2076,Kişiler!$A$5:$A$44,0)),0)+D2076*IFERROR(INDEX(Kişiler!$C$5:$C$44,MATCH(B2076,Kişiler!$A$5:$A$44,0)),0))</f>
        <v/>
      </c>
    </row>
    <row r="2077" customFormat="false" ht="15" hidden="false" customHeight="false" outlineLevel="0" collapsed="false">
      <c r="A2077" s="12"/>
      <c r="B2077" s="13"/>
      <c r="C2077" s="14"/>
      <c r="D2077" s="14"/>
      <c r="E2077" s="13"/>
      <c r="F2077" s="15"/>
      <c r="G2077" s="16" t="str">
        <f aca="false">IF(OR(B2077="",A2077=""),"",C2077*IFERROR(INDEX(Kişiler!$B$5:$B$44,MATCH(B2077,Kişiler!$A$5:$A$44,0)),0)+D2077*IFERROR(INDEX(Kişiler!$C$5:$C$44,MATCH(B2077,Kişiler!$A$5:$A$44,0)),0))</f>
        <v/>
      </c>
    </row>
    <row r="2078" customFormat="false" ht="15" hidden="false" customHeight="false" outlineLevel="0" collapsed="false">
      <c r="A2078" s="12"/>
      <c r="B2078" s="13"/>
      <c r="C2078" s="14"/>
      <c r="D2078" s="14"/>
      <c r="E2078" s="13"/>
      <c r="F2078" s="15"/>
      <c r="G2078" s="16" t="str">
        <f aca="false">IF(OR(B2078="",A2078=""),"",C2078*IFERROR(INDEX(Kişiler!$B$5:$B$44,MATCH(B2078,Kişiler!$A$5:$A$44,0)),0)+D2078*IFERROR(INDEX(Kişiler!$C$5:$C$44,MATCH(B2078,Kişiler!$A$5:$A$44,0)),0))</f>
        <v/>
      </c>
    </row>
    <row r="2079" customFormat="false" ht="15" hidden="false" customHeight="false" outlineLevel="0" collapsed="false">
      <c r="A2079" s="12"/>
      <c r="B2079" s="13"/>
      <c r="C2079" s="14"/>
      <c r="D2079" s="14"/>
      <c r="E2079" s="13"/>
      <c r="F2079" s="15"/>
      <c r="G2079" s="16" t="str">
        <f aca="false">IF(OR(B2079="",A2079=""),"",C2079*IFERROR(INDEX(Kişiler!$B$5:$B$44,MATCH(B2079,Kişiler!$A$5:$A$44,0)),0)+D2079*IFERROR(INDEX(Kişiler!$C$5:$C$44,MATCH(B2079,Kişiler!$A$5:$A$44,0)),0))</f>
        <v/>
      </c>
    </row>
    <row r="2080" customFormat="false" ht="15" hidden="false" customHeight="false" outlineLevel="0" collapsed="false">
      <c r="A2080" s="12"/>
      <c r="B2080" s="13"/>
      <c r="C2080" s="14"/>
      <c r="D2080" s="14"/>
      <c r="E2080" s="13"/>
      <c r="F2080" s="15"/>
      <c r="G2080" s="16" t="str">
        <f aca="false">IF(OR(B2080="",A2080=""),"",C2080*IFERROR(INDEX(Kişiler!$B$5:$B$44,MATCH(B2080,Kişiler!$A$5:$A$44,0)),0)+D2080*IFERROR(INDEX(Kişiler!$C$5:$C$44,MATCH(B2080,Kişiler!$A$5:$A$44,0)),0))</f>
        <v/>
      </c>
    </row>
    <row r="2081" customFormat="false" ht="15" hidden="false" customHeight="false" outlineLevel="0" collapsed="false">
      <c r="A2081" s="12"/>
      <c r="B2081" s="13"/>
      <c r="C2081" s="14"/>
      <c r="D2081" s="14"/>
      <c r="E2081" s="13"/>
      <c r="F2081" s="15"/>
      <c r="G2081" s="16" t="str">
        <f aca="false">IF(OR(B2081="",A2081=""),"",C2081*IFERROR(INDEX(Kişiler!$B$5:$B$44,MATCH(B2081,Kişiler!$A$5:$A$44,0)),0)+D2081*IFERROR(INDEX(Kişiler!$C$5:$C$44,MATCH(B2081,Kişiler!$A$5:$A$44,0)),0))</f>
        <v/>
      </c>
    </row>
    <row r="2082" customFormat="false" ht="15" hidden="false" customHeight="false" outlineLevel="0" collapsed="false">
      <c r="A2082" s="12"/>
      <c r="B2082" s="13"/>
      <c r="C2082" s="14"/>
      <c r="D2082" s="14"/>
      <c r="E2082" s="13"/>
      <c r="F2082" s="15"/>
      <c r="G2082" s="16" t="str">
        <f aca="false">IF(OR(B2082="",A2082=""),"",C2082*IFERROR(INDEX(Kişiler!$B$5:$B$44,MATCH(B2082,Kişiler!$A$5:$A$44,0)),0)+D2082*IFERROR(INDEX(Kişiler!$C$5:$C$44,MATCH(B2082,Kişiler!$A$5:$A$44,0)),0))</f>
        <v/>
      </c>
    </row>
    <row r="2083" customFormat="false" ht="15" hidden="false" customHeight="false" outlineLevel="0" collapsed="false">
      <c r="A2083" s="12"/>
      <c r="B2083" s="13"/>
      <c r="C2083" s="14"/>
      <c r="D2083" s="14"/>
      <c r="E2083" s="13"/>
      <c r="F2083" s="15"/>
      <c r="G2083" s="16" t="str">
        <f aca="false">IF(OR(B2083="",A2083=""),"",C2083*IFERROR(INDEX(Kişiler!$B$5:$B$44,MATCH(B2083,Kişiler!$A$5:$A$44,0)),0)+D2083*IFERROR(INDEX(Kişiler!$C$5:$C$44,MATCH(B2083,Kişiler!$A$5:$A$44,0)),0))</f>
        <v/>
      </c>
    </row>
    <row r="2084" customFormat="false" ht="15" hidden="false" customHeight="false" outlineLevel="0" collapsed="false">
      <c r="A2084" s="12"/>
      <c r="B2084" s="13"/>
      <c r="C2084" s="14"/>
      <c r="D2084" s="14"/>
      <c r="E2084" s="13"/>
      <c r="F2084" s="15"/>
      <c r="G2084" s="16" t="str">
        <f aca="false">IF(OR(B2084="",A2084=""),"",C2084*IFERROR(INDEX(Kişiler!$B$5:$B$44,MATCH(B2084,Kişiler!$A$5:$A$44,0)),0)+D2084*IFERROR(INDEX(Kişiler!$C$5:$C$44,MATCH(B2084,Kişiler!$A$5:$A$44,0)),0))</f>
        <v/>
      </c>
    </row>
    <row r="2085" customFormat="false" ht="15" hidden="false" customHeight="false" outlineLevel="0" collapsed="false">
      <c r="A2085" s="12"/>
      <c r="B2085" s="13"/>
      <c r="C2085" s="14"/>
      <c r="D2085" s="14"/>
      <c r="E2085" s="13"/>
      <c r="F2085" s="15"/>
      <c r="G2085" s="16" t="str">
        <f aca="false">IF(OR(B2085="",A2085=""),"",C2085*IFERROR(INDEX(Kişiler!$B$5:$B$44,MATCH(B2085,Kişiler!$A$5:$A$44,0)),0)+D2085*IFERROR(INDEX(Kişiler!$C$5:$C$44,MATCH(B2085,Kişiler!$A$5:$A$44,0)),0))</f>
        <v/>
      </c>
    </row>
    <row r="2086" customFormat="false" ht="15" hidden="false" customHeight="false" outlineLevel="0" collapsed="false">
      <c r="A2086" s="12"/>
      <c r="B2086" s="13"/>
      <c r="C2086" s="14"/>
      <c r="D2086" s="14"/>
      <c r="E2086" s="13"/>
      <c r="F2086" s="15"/>
      <c r="G2086" s="16" t="str">
        <f aca="false">IF(OR(B2086="",A2086=""),"",C2086*IFERROR(INDEX(Kişiler!$B$5:$B$44,MATCH(B2086,Kişiler!$A$5:$A$44,0)),0)+D2086*IFERROR(INDEX(Kişiler!$C$5:$C$44,MATCH(B2086,Kişiler!$A$5:$A$44,0)),0))</f>
        <v/>
      </c>
    </row>
    <row r="2087" customFormat="false" ht="15" hidden="false" customHeight="false" outlineLevel="0" collapsed="false">
      <c r="A2087" s="12"/>
      <c r="B2087" s="13"/>
      <c r="C2087" s="14"/>
      <c r="D2087" s="14"/>
      <c r="E2087" s="13"/>
      <c r="F2087" s="15"/>
      <c r="G2087" s="16" t="str">
        <f aca="false">IF(OR(B2087="",A2087=""),"",C2087*IFERROR(INDEX(Kişiler!$B$5:$B$44,MATCH(B2087,Kişiler!$A$5:$A$44,0)),0)+D2087*IFERROR(INDEX(Kişiler!$C$5:$C$44,MATCH(B2087,Kişiler!$A$5:$A$44,0)),0))</f>
        <v/>
      </c>
    </row>
    <row r="2088" customFormat="false" ht="15" hidden="false" customHeight="false" outlineLevel="0" collapsed="false">
      <c r="A2088" s="12"/>
      <c r="B2088" s="13"/>
      <c r="C2088" s="14"/>
      <c r="D2088" s="14"/>
      <c r="E2088" s="13"/>
      <c r="F2088" s="15"/>
      <c r="G2088" s="16" t="str">
        <f aca="false">IF(OR(B2088="",A2088=""),"",C2088*IFERROR(INDEX(Kişiler!$B$5:$B$44,MATCH(B2088,Kişiler!$A$5:$A$44,0)),0)+D2088*IFERROR(INDEX(Kişiler!$C$5:$C$44,MATCH(B2088,Kişiler!$A$5:$A$44,0)),0))</f>
        <v/>
      </c>
    </row>
    <row r="2089" customFormat="false" ht="15" hidden="false" customHeight="false" outlineLevel="0" collapsed="false">
      <c r="A2089" s="12"/>
      <c r="B2089" s="13"/>
      <c r="C2089" s="14"/>
      <c r="D2089" s="14"/>
      <c r="E2089" s="13"/>
      <c r="F2089" s="15"/>
      <c r="G2089" s="16" t="str">
        <f aca="false">IF(OR(B2089="",A2089=""),"",C2089*IFERROR(INDEX(Kişiler!$B$5:$B$44,MATCH(B2089,Kişiler!$A$5:$A$44,0)),0)+D2089*IFERROR(INDEX(Kişiler!$C$5:$C$44,MATCH(B2089,Kişiler!$A$5:$A$44,0)),0))</f>
        <v/>
      </c>
    </row>
    <row r="2090" customFormat="false" ht="15" hidden="false" customHeight="false" outlineLevel="0" collapsed="false">
      <c r="A2090" s="12"/>
      <c r="B2090" s="13"/>
      <c r="C2090" s="14"/>
      <c r="D2090" s="14"/>
      <c r="E2090" s="13"/>
      <c r="F2090" s="15"/>
      <c r="G2090" s="16" t="str">
        <f aca="false">IF(OR(B2090="",A2090=""),"",C2090*IFERROR(INDEX(Kişiler!$B$5:$B$44,MATCH(B2090,Kişiler!$A$5:$A$44,0)),0)+D2090*IFERROR(INDEX(Kişiler!$C$5:$C$44,MATCH(B2090,Kişiler!$A$5:$A$44,0)),0))</f>
        <v/>
      </c>
    </row>
    <row r="2091" customFormat="false" ht="15" hidden="false" customHeight="false" outlineLevel="0" collapsed="false">
      <c r="A2091" s="12"/>
      <c r="B2091" s="13"/>
      <c r="C2091" s="14"/>
      <c r="D2091" s="14"/>
      <c r="E2091" s="13"/>
      <c r="F2091" s="15"/>
      <c r="G2091" s="16" t="str">
        <f aca="false">IF(OR(B2091="",A2091=""),"",C2091*IFERROR(INDEX(Kişiler!$B$5:$B$44,MATCH(B2091,Kişiler!$A$5:$A$44,0)),0)+D2091*IFERROR(INDEX(Kişiler!$C$5:$C$44,MATCH(B2091,Kişiler!$A$5:$A$44,0)),0))</f>
        <v/>
      </c>
    </row>
    <row r="2092" customFormat="false" ht="15" hidden="false" customHeight="false" outlineLevel="0" collapsed="false">
      <c r="A2092" s="12"/>
      <c r="B2092" s="13"/>
      <c r="C2092" s="14"/>
      <c r="D2092" s="14"/>
      <c r="E2092" s="13"/>
      <c r="F2092" s="15"/>
      <c r="G2092" s="16" t="str">
        <f aca="false">IF(OR(B2092="",A2092=""),"",C2092*IFERROR(INDEX(Kişiler!$B$5:$B$44,MATCH(B2092,Kişiler!$A$5:$A$44,0)),0)+D2092*IFERROR(INDEX(Kişiler!$C$5:$C$44,MATCH(B2092,Kişiler!$A$5:$A$44,0)),0))</f>
        <v/>
      </c>
    </row>
    <row r="2093" customFormat="false" ht="15" hidden="false" customHeight="false" outlineLevel="0" collapsed="false">
      <c r="A2093" s="12"/>
      <c r="B2093" s="13"/>
      <c r="C2093" s="14"/>
      <c r="D2093" s="14"/>
      <c r="E2093" s="13"/>
      <c r="F2093" s="15"/>
      <c r="G2093" s="16" t="str">
        <f aca="false">IF(OR(B2093="",A2093=""),"",C2093*IFERROR(INDEX(Kişiler!$B$5:$B$44,MATCH(B2093,Kişiler!$A$5:$A$44,0)),0)+D2093*IFERROR(INDEX(Kişiler!$C$5:$C$44,MATCH(B2093,Kişiler!$A$5:$A$44,0)),0))</f>
        <v/>
      </c>
    </row>
    <row r="2094" customFormat="false" ht="15" hidden="false" customHeight="false" outlineLevel="0" collapsed="false">
      <c r="A2094" s="12"/>
      <c r="B2094" s="13"/>
      <c r="C2094" s="14"/>
      <c r="D2094" s="14"/>
      <c r="E2094" s="13"/>
      <c r="F2094" s="15"/>
      <c r="G2094" s="16" t="str">
        <f aca="false">IF(OR(B2094="",A2094=""),"",C2094*IFERROR(INDEX(Kişiler!$B$5:$B$44,MATCH(B2094,Kişiler!$A$5:$A$44,0)),0)+D2094*IFERROR(INDEX(Kişiler!$C$5:$C$44,MATCH(B2094,Kişiler!$A$5:$A$44,0)),0))</f>
        <v/>
      </c>
    </row>
    <row r="2095" customFormat="false" ht="15" hidden="false" customHeight="false" outlineLevel="0" collapsed="false">
      <c r="A2095" s="12"/>
      <c r="B2095" s="13"/>
      <c r="C2095" s="14"/>
      <c r="D2095" s="14"/>
      <c r="E2095" s="13"/>
      <c r="F2095" s="15"/>
      <c r="G2095" s="16" t="str">
        <f aca="false">IF(OR(B2095="",A2095=""),"",C2095*IFERROR(INDEX(Kişiler!$B$5:$B$44,MATCH(B2095,Kişiler!$A$5:$A$44,0)),0)+D2095*IFERROR(INDEX(Kişiler!$C$5:$C$44,MATCH(B2095,Kişiler!$A$5:$A$44,0)),0))</f>
        <v/>
      </c>
    </row>
    <row r="2096" customFormat="false" ht="15" hidden="false" customHeight="false" outlineLevel="0" collapsed="false">
      <c r="A2096" s="12"/>
      <c r="B2096" s="13"/>
      <c r="C2096" s="14"/>
      <c r="D2096" s="14"/>
      <c r="E2096" s="13"/>
      <c r="F2096" s="15"/>
      <c r="G2096" s="16" t="str">
        <f aca="false">IF(OR(B2096="",A2096=""),"",C2096*IFERROR(INDEX(Kişiler!$B$5:$B$44,MATCH(B2096,Kişiler!$A$5:$A$44,0)),0)+D2096*IFERROR(INDEX(Kişiler!$C$5:$C$44,MATCH(B2096,Kişiler!$A$5:$A$44,0)),0))</f>
        <v/>
      </c>
    </row>
    <row r="2097" customFormat="false" ht="15" hidden="false" customHeight="false" outlineLevel="0" collapsed="false">
      <c r="A2097" s="12"/>
      <c r="B2097" s="13"/>
      <c r="C2097" s="14"/>
      <c r="D2097" s="14"/>
      <c r="E2097" s="13"/>
      <c r="F2097" s="15"/>
      <c r="G2097" s="16" t="str">
        <f aca="false">IF(OR(B2097="",A2097=""),"",C2097*IFERROR(INDEX(Kişiler!$B$5:$B$44,MATCH(B2097,Kişiler!$A$5:$A$44,0)),0)+D2097*IFERROR(INDEX(Kişiler!$C$5:$C$44,MATCH(B2097,Kişiler!$A$5:$A$44,0)),0))</f>
        <v/>
      </c>
    </row>
    <row r="2098" customFormat="false" ht="15" hidden="false" customHeight="false" outlineLevel="0" collapsed="false">
      <c r="A2098" s="12"/>
      <c r="B2098" s="13"/>
      <c r="C2098" s="14"/>
      <c r="D2098" s="14"/>
      <c r="E2098" s="13"/>
      <c r="F2098" s="15"/>
      <c r="G2098" s="16" t="str">
        <f aca="false">IF(OR(B2098="",A2098=""),"",C2098*IFERROR(INDEX(Kişiler!$B$5:$B$44,MATCH(B2098,Kişiler!$A$5:$A$44,0)),0)+D2098*IFERROR(INDEX(Kişiler!$C$5:$C$44,MATCH(B2098,Kişiler!$A$5:$A$44,0)),0))</f>
        <v/>
      </c>
    </row>
    <row r="2099" customFormat="false" ht="15" hidden="false" customHeight="false" outlineLevel="0" collapsed="false">
      <c r="A2099" s="12"/>
      <c r="B2099" s="13"/>
      <c r="C2099" s="14"/>
      <c r="D2099" s="14"/>
      <c r="E2099" s="13"/>
      <c r="F2099" s="15"/>
      <c r="G2099" s="16" t="str">
        <f aca="false">IF(OR(B2099="",A2099=""),"",C2099*IFERROR(INDEX(Kişiler!$B$5:$B$44,MATCH(B2099,Kişiler!$A$5:$A$44,0)),0)+D2099*IFERROR(INDEX(Kişiler!$C$5:$C$44,MATCH(B2099,Kişiler!$A$5:$A$44,0)),0))</f>
        <v/>
      </c>
    </row>
    <row r="2100" customFormat="false" ht="15" hidden="false" customHeight="false" outlineLevel="0" collapsed="false">
      <c r="A2100" s="12"/>
      <c r="B2100" s="13"/>
      <c r="C2100" s="14"/>
      <c r="D2100" s="14"/>
      <c r="E2100" s="13"/>
      <c r="F2100" s="15"/>
      <c r="G2100" s="16" t="str">
        <f aca="false">IF(OR(B2100="",A2100=""),"",C2100*IFERROR(INDEX(Kişiler!$B$5:$B$44,MATCH(B2100,Kişiler!$A$5:$A$44,0)),0)+D2100*IFERROR(INDEX(Kişiler!$C$5:$C$44,MATCH(B2100,Kişiler!$A$5:$A$44,0)),0))</f>
        <v/>
      </c>
    </row>
    <row r="2101" customFormat="false" ht="15" hidden="false" customHeight="false" outlineLevel="0" collapsed="false">
      <c r="A2101" s="12"/>
      <c r="B2101" s="13"/>
      <c r="C2101" s="14"/>
      <c r="D2101" s="14"/>
      <c r="E2101" s="13"/>
      <c r="F2101" s="15"/>
      <c r="G2101" s="16" t="str">
        <f aca="false">IF(OR(B2101="",A2101=""),"",C2101*IFERROR(INDEX(Kişiler!$B$5:$B$44,MATCH(B2101,Kişiler!$A$5:$A$44,0)),0)+D2101*IFERROR(INDEX(Kişiler!$C$5:$C$44,MATCH(B2101,Kişiler!$A$5:$A$44,0)),0))</f>
        <v/>
      </c>
    </row>
    <row r="2102" customFormat="false" ht="15" hidden="false" customHeight="false" outlineLevel="0" collapsed="false">
      <c r="A2102" s="12"/>
      <c r="B2102" s="13"/>
      <c r="C2102" s="14"/>
      <c r="D2102" s="14"/>
      <c r="E2102" s="13"/>
      <c r="F2102" s="15"/>
      <c r="G2102" s="16" t="str">
        <f aca="false">IF(OR(B2102="",A2102=""),"",C2102*IFERROR(INDEX(Kişiler!$B$5:$B$44,MATCH(B2102,Kişiler!$A$5:$A$44,0)),0)+D2102*IFERROR(INDEX(Kişiler!$C$5:$C$44,MATCH(B2102,Kişiler!$A$5:$A$44,0)),0))</f>
        <v/>
      </c>
    </row>
    <row r="2103" customFormat="false" ht="15" hidden="false" customHeight="false" outlineLevel="0" collapsed="false">
      <c r="A2103" s="12"/>
      <c r="B2103" s="13"/>
      <c r="C2103" s="14"/>
      <c r="D2103" s="14"/>
      <c r="E2103" s="13"/>
      <c r="F2103" s="15"/>
      <c r="G2103" s="16" t="str">
        <f aca="false">IF(OR(B2103="",A2103=""),"",C2103*IFERROR(INDEX(Kişiler!$B$5:$B$44,MATCH(B2103,Kişiler!$A$5:$A$44,0)),0)+D2103*IFERROR(INDEX(Kişiler!$C$5:$C$44,MATCH(B2103,Kişiler!$A$5:$A$44,0)),0))</f>
        <v/>
      </c>
    </row>
    <row r="2104" customFormat="false" ht="15" hidden="false" customHeight="false" outlineLevel="0" collapsed="false">
      <c r="A2104" s="12"/>
      <c r="B2104" s="13"/>
      <c r="C2104" s="14"/>
      <c r="D2104" s="14"/>
      <c r="E2104" s="13"/>
      <c r="F2104" s="15"/>
      <c r="G2104" s="16" t="str">
        <f aca="false">IF(OR(B2104="",A2104=""),"",C2104*IFERROR(INDEX(Kişiler!$B$5:$B$44,MATCH(B2104,Kişiler!$A$5:$A$44,0)),0)+D2104*IFERROR(INDEX(Kişiler!$C$5:$C$44,MATCH(B2104,Kişiler!$A$5:$A$44,0)),0))</f>
        <v/>
      </c>
    </row>
    <row r="2105" customFormat="false" ht="15" hidden="false" customHeight="false" outlineLevel="0" collapsed="false">
      <c r="A2105" s="12"/>
      <c r="B2105" s="13"/>
      <c r="C2105" s="14"/>
      <c r="D2105" s="14"/>
      <c r="E2105" s="13"/>
      <c r="F2105" s="15"/>
      <c r="G2105" s="16" t="str">
        <f aca="false">IF(OR(B2105="",A2105=""),"",C2105*IFERROR(INDEX(Kişiler!$B$5:$B$44,MATCH(B2105,Kişiler!$A$5:$A$44,0)),0)+D2105*IFERROR(INDEX(Kişiler!$C$5:$C$44,MATCH(B2105,Kişiler!$A$5:$A$44,0)),0))</f>
        <v/>
      </c>
    </row>
    <row r="2106" customFormat="false" ht="15" hidden="false" customHeight="false" outlineLevel="0" collapsed="false">
      <c r="A2106" s="12"/>
      <c r="B2106" s="13"/>
      <c r="C2106" s="14"/>
      <c r="D2106" s="14"/>
      <c r="E2106" s="13"/>
      <c r="F2106" s="15"/>
      <c r="G2106" s="16" t="str">
        <f aca="false">IF(OR(B2106="",A2106=""),"",C2106*IFERROR(INDEX(Kişiler!$B$5:$B$44,MATCH(B2106,Kişiler!$A$5:$A$44,0)),0)+D2106*IFERROR(INDEX(Kişiler!$C$5:$C$44,MATCH(B2106,Kişiler!$A$5:$A$44,0)),0))</f>
        <v/>
      </c>
    </row>
    <row r="2107" customFormat="false" ht="15" hidden="false" customHeight="false" outlineLevel="0" collapsed="false">
      <c r="A2107" s="12"/>
      <c r="B2107" s="13"/>
      <c r="C2107" s="14"/>
      <c r="D2107" s="14"/>
      <c r="E2107" s="13"/>
      <c r="F2107" s="15"/>
      <c r="G2107" s="16" t="str">
        <f aca="false">IF(OR(B2107="",A2107=""),"",C2107*IFERROR(INDEX(Kişiler!$B$5:$B$44,MATCH(B2107,Kişiler!$A$5:$A$44,0)),0)+D2107*IFERROR(INDEX(Kişiler!$C$5:$C$44,MATCH(B2107,Kişiler!$A$5:$A$44,0)),0))</f>
        <v/>
      </c>
    </row>
    <row r="2108" customFormat="false" ht="15" hidden="false" customHeight="false" outlineLevel="0" collapsed="false">
      <c r="A2108" s="12"/>
      <c r="B2108" s="13"/>
      <c r="C2108" s="14"/>
      <c r="D2108" s="14"/>
      <c r="E2108" s="13"/>
      <c r="F2108" s="15"/>
      <c r="G2108" s="16" t="str">
        <f aca="false">IF(OR(B2108="",A2108=""),"",C2108*IFERROR(INDEX(Kişiler!$B$5:$B$44,MATCH(B2108,Kişiler!$A$5:$A$44,0)),0)+D2108*IFERROR(INDEX(Kişiler!$C$5:$C$44,MATCH(B2108,Kişiler!$A$5:$A$44,0)),0))</f>
        <v/>
      </c>
    </row>
    <row r="2109" customFormat="false" ht="15" hidden="false" customHeight="false" outlineLevel="0" collapsed="false">
      <c r="A2109" s="12"/>
      <c r="B2109" s="13"/>
      <c r="C2109" s="14"/>
      <c r="D2109" s="14"/>
      <c r="E2109" s="13"/>
      <c r="F2109" s="15"/>
      <c r="G2109" s="16" t="str">
        <f aca="false">IF(OR(B2109="",A2109=""),"",C2109*IFERROR(INDEX(Kişiler!$B$5:$B$44,MATCH(B2109,Kişiler!$A$5:$A$44,0)),0)+D2109*IFERROR(INDEX(Kişiler!$C$5:$C$44,MATCH(B2109,Kişiler!$A$5:$A$44,0)),0))</f>
        <v/>
      </c>
    </row>
    <row r="2110" customFormat="false" ht="15" hidden="false" customHeight="false" outlineLevel="0" collapsed="false">
      <c r="A2110" s="12"/>
      <c r="B2110" s="13"/>
      <c r="C2110" s="14"/>
      <c r="D2110" s="14"/>
      <c r="E2110" s="13"/>
      <c r="F2110" s="15"/>
      <c r="G2110" s="16" t="str">
        <f aca="false">IF(OR(B2110="",A2110=""),"",C2110*IFERROR(INDEX(Kişiler!$B$5:$B$44,MATCH(B2110,Kişiler!$A$5:$A$44,0)),0)+D2110*IFERROR(INDEX(Kişiler!$C$5:$C$44,MATCH(B2110,Kişiler!$A$5:$A$44,0)),0))</f>
        <v/>
      </c>
    </row>
    <row r="2111" customFormat="false" ht="15" hidden="false" customHeight="false" outlineLevel="0" collapsed="false">
      <c r="A2111" s="12"/>
      <c r="B2111" s="13"/>
      <c r="C2111" s="14"/>
      <c r="D2111" s="14"/>
      <c r="E2111" s="13"/>
      <c r="F2111" s="15"/>
      <c r="G2111" s="16" t="str">
        <f aca="false">IF(OR(B2111="",A2111=""),"",C2111*IFERROR(INDEX(Kişiler!$B$5:$B$44,MATCH(B2111,Kişiler!$A$5:$A$44,0)),0)+D2111*IFERROR(INDEX(Kişiler!$C$5:$C$44,MATCH(B2111,Kişiler!$A$5:$A$44,0)),0))</f>
        <v/>
      </c>
    </row>
    <row r="2112" customFormat="false" ht="15" hidden="false" customHeight="false" outlineLevel="0" collapsed="false">
      <c r="A2112" s="12"/>
      <c r="B2112" s="13"/>
      <c r="C2112" s="14"/>
      <c r="D2112" s="14"/>
      <c r="E2112" s="13"/>
      <c r="F2112" s="15"/>
      <c r="G2112" s="16" t="str">
        <f aca="false">IF(OR(B2112="",A2112=""),"",C2112*IFERROR(INDEX(Kişiler!$B$5:$B$44,MATCH(B2112,Kişiler!$A$5:$A$44,0)),0)+D2112*IFERROR(INDEX(Kişiler!$C$5:$C$44,MATCH(B2112,Kişiler!$A$5:$A$44,0)),0))</f>
        <v/>
      </c>
    </row>
    <row r="2113" customFormat="false" ht="15" hidden="false" customHeight="false" outlineLevel="0" collapsed="false">
      <c r="A2113" s="12"/>
      <c r="B2113" s="13"/>
      <c r="C2113" s="14"/>
      <c r="D2113" s="14"/>
      <c r="E2113" s="13"/>
      <c r="F2113" s="15"/>
      <c r="G2113" s="16" t="str">
        <f aca="false">IF(OR(B2113="",A2113=""),"",C2113*IFERROR(INDEX(Kişiler!$B$5:$B$44,MATCH(B2113,Kişiler!$A$5:$A$44,0)),0)+D2113*IFERROR(INDEX(Kişiler!$C$5:$C$44,MATCH(B2113,Kişiler!$A$5:$A$44,0)),0))</f>
        <v/>
      </c>
    </row>
    <row r="2114" customFormat="false" ht="15" hidden="false" customHeight="false" outlineLevel="0" collapsed="false">
      <c r="A2114" s="12"/>
      <c r="B2114" s="13"/>
      <c r="C2114" s="14"/>
      <c r="D2114" s="14"/>
      <c r="E2114" s="13"/>
      <c r="F2114" s="15"/>
      <c r="G2114" s="16" t="str">
        <f aca="false">IF(OR(B2114="",A2114=""),"",C2114*IFERROR(INDEX(Kişiler!$B$5:$B$44,MATCH(B2114,Kişiler!$A$5:$A$44,0)),0)+D2114*IFERROR(INDEX(Kişiler!$C$5:$C$44,MATCH(B2114,Kişiler!$A$5:$A$44,0)),0))</f>
        <v/>
      </c>
    </row>
    <row r="2115" customFormat="false" ht="15" hidden="false" customHeight="false" outlineLevel="0" collapsed="false">
      <c r="A2115" s="12"/>
      <c r="B2115" s="13"/>
      <c r="C2115" s="14"/>
      <c r="D2115" s="14"/>
      <c r="E2115" s="13"/>
      <c r="F2115" s="15"/>
      <c r="G2115" s="16" t="str">
        <f aca="false">IF(OR(B2115="",A2115=""),"",C2115*IFERROR(INDEX(Kişiler!$B$5:$B$44,MATCH(B2115,Kişiler!$A$5:$A$44,0)),0)+D2115*IFERROR(INDEX(Kişiler!$C$5:$C$44,MATCH(B2115,Kişiler!$A$5:$A$44,0)),0))</f>
        <v/>
      </c>
    </row>
    <row r="2116" customFormat="false" ht="15" hidden="false" customHeight="false" outlineLevel="0" collapsed="false">
      <c r="A2116" s="12"/>
      <c r="B2116" s="13"/>
      <c r="C2116" s="14"/>
      <c r="D2116" s="14"/>
      <c r="E2116" s="13"/>
      <c r="F2116" s="15"/>
      <c r="G2116" s="16" t="str">
        <f aca="false">IF(OR(B2116="",A2116=""),"",C2116*IFERROR(INDEX(Kişiler!$B$5:$B$44,MATCH(B2116,Kişiler!$A$5:$A$44,0)),0)+D2116*IFERROR(INDEX(Kişiler!$C$5:$C$44,MATCH(B2116,Kişiler!$A$5:$A$44,0)),0))</f>
        <v/>
      </c>
    </row>
    <row r="2117" customFormat="false" ht="15" hidden="false" customHeight="false" outlineLevel="0" collapsed="false">
      <c r="A2117" s="12"/>
      <c r="B2117" s="13"/>
      <c r="C2117" s="14"/>
      <c r="D2117" s="14"/>
      <c r="E2117" s="13"/>
      <c r="F2117" s="15"/>
      <c r="G2117" s="16" t="str">
        <f aca="false">IF(OR(B2117="",A2117=""),"",C2117*IFERROR(INDEX(Kişiler!$B$5:$B$44,MATCH(B2117,Kişiler!$A$5:$A$44,0)),0)+D2117*IFERROR(INDEX(Kişiler!$C$5:$C$44,MATCH(B2117,Kişiler!$A$5:$A$44,0)),0))</f>
        <v/>
      </c>
    </row>
    <row r="2118" customFormat="false" ht="15" hidden="false" customHeight="false" outlineLevel="0" collapsed="false">
      <c r="A2118" s="12"/>
      <c r="B2118" s="13"/>
      <c r="C2118" s="14"/>
      <c r="D2118" s="14"/>
      <c r="E2118" s="13"/>
      <c r="F2118" s="15"/>
      <c r="G2118" s="16" t="str">
        <f aca="false">IF(OR(B2118="",A2118=""),"",C2118*IFERROR(INDEX(Kişiler!$B$5:$B$44,MATCH(B2118,Kişiler!$A$5:$A$44,0)),0)+D2118*IFERROR(INDEX(Kişiler!$C$5:$C$44,MATCH(B2118,Kişiler!$A$5:$A$44,0)),0))</f>
        <v/>
      </c>
    </row>
    <row r="2119" customFormat="false" ht="15" hidden="false" customHeight="false" outlineLevel="0" collapsed="false">
      <c r="A2119" s="12"/>
      <c r="B2119" s="13"/>
      <c r="C2119" s="14"/>
      <c r="D2119" s="14"/>
      <c r="E2119" s="13"/>
      <c r="F2119" s="15"/>
      <c r="G2119" s="16" t="str">
        <f aca="false">IF(OR(B2119="",A2119=""),"",C2119*IFERROR(INDEX(Kişiler!$B$5:$B$44,MATCH(B2119,Kişiler!$A$5:$A$44,0)),0)+D2119*IFERROR(INDEX(Kişiler!$C$5:$C$44,MATCH(B2119,Kişiler!$A$5:$A$44,0)),0))</f>
        <v/>
      </c>
    </row>
    <row r="2120" customFormat="false" ht="15" hidden="false" customHeight="false" outlineLevel="0" collapsed="false">
      <c r="A2120" s="12"/>
      <c r="B2120" s="13"/>
      <c r="C2120" s="14"/>
      <c r="D2120" s="14"/>
      <c r="E2120" s="13"/>
      <c r="F2120" s="15"/>
      <c r="G2120" s="16" t="str">
        <f aca="false">IF(OR(B2120="",A2120=""),"",C2120*IFERROR(INDEX(Kişiler!$B$5:$B$44,MATCH(B2120,Kişiler!$A$5:$A$44,0)),0)+D2120*IFERROR(INDEX(Kişiler!$C$5:$C$44,MATCH(B2120,Kişiler!$A$5:$A$44,0)),0))</f>
        <v/>
      </c>
    </row>
    <row r="2121" customFormat="false" ht="15" hidden="false" customHeight="false" outlineLevel="0" collapsed="false">
      <c r="A2121" s="12"/>
      <c r="B2121" s="13"/>
      <c r="C2121" s="14"/>
      <c r="D2121" s="14"/>
      <c r="E2121" s="13"/>
      <c r="F2121" s="15"/>
      <c r="G2121" s="16" t="str">
        <f aca="false">IF(OR(B2121="",A2121=""),"",C2121*IFERROR(INDEX(Kişiler!$B$5:$B$44,MATCH(B2121,Kişiler!$A$5:$A$44,0)),0)+D2121*IFERROR(INDEX(Kişiler!$C$5:$C$44,MATCH(B2121,Kişiler!$A$5:$A$44,0)),0))</f>
        <v/>
      </c>
    </row>
    <row r="2122" customFormat="false" ht="15" hidden="false" customHeight="false" outlineLevel="0" collapsed="false">
      <c r="A2122" s="12"/>
      <c r="B2122" s="13"/>
      <c r="C2122" s="14"/>
      <c r="D2122" s="14"/>
      <c r="E2122" s="13"/>
      <c r="F2122" s="15"/>
      <c r="G2122" s="16" t="str">
        <f aca="false">IF(OR(B2122="",A2122=""),"",C2122*IFERROR(INDEX(Kişiler!$B$5:$B$44,MATCH(B2122,Kişiler!$A$5:$A$44,0)),0)+D2122*IFERROR(INDEX(Kişiler!$C$5:$C$44,MATCH(B2122,Kişiler!$A$5:$A$44,0)),0))</f>
        <v/>
      </c>
    </row>
    <row r="2123" customFormat="false" ht="15" hidden="false" customHeight="false" outlineLevel="0" collapsed="false">
      <c r="A2123" s="12"/>
      <c r="B2123" s="13"/>
      <c r="C2123" s="14"/>
      <c r="D2123" s="14"/>
      <c r="E2123" s="13"/>
      <c r="F2123" s="15"/>
      <c r="G2123" s="16" t="str">
        <f aca="false">IF(OR(B2123="",A2123=""),"",C2123*IFERROR(INDEX(Kişiler!$B$5:$B$44,MATCH(B2123,Kişiler!$A$5:$A$44,0)),0)+D2123*IFERROR(INDEX(Kişiler!$C$5:$C$44,MATCH(B2123,Kişiler!$A$5:$A$44,0)),0))</f>
        <v/>
      </c>
    </row>
    <row r="2124" customFormat="false" ht="15" hidden="false" customHeight="false" outlineLevel="0" collapsed="false">
      <c r="A2124" s="12"/>
      <c r="B2124" s="13"/>
      <c r="C2124" s="14"/>
      <c r="D2124" s="14"/>
      <c r="E2124" s="13"/>
      <c r="F2124" s="15"/>
      <c r="G2124" s="16" t="str">
        <f aca="false">IF(OR(B2124="",A2124=""),"",C2124*IFERROR(INDEX(Kişiler!$B$5:$B$44,MATCH(B2124,Kişiler!$A$5:$A$44,0)),0)+D2124*IFERROR(INDEX(Kişiler!$C$5:$C$44,MATCH(B2124,Kişiler!$A$5:$A$44,0)),0))</f>
        <v/>
      </c>
    </row>
    <row r="2125" customFormat="false" ht="15" hidden="false" customHeight="false" outlineLevel="0" collapsed="false">
      <c r="A2125" s="12"/>
      <c r="B2125" s="13"/>
      <c r="C2125" s="14"/>
      <c r="D2125" s="14"/>
      <c r="E2125" s="13"/>
      <c r="F2125" s="15"/>
      <c r="G2125" s="16" t="str">
        <f aca="false">IF(OR(B2125="",A2125=""),"",C2125*IFERROR(INDEX(Kişiler!$B$5:$B$44,MATCH(B2125,Kişiler!$A$5:$A$44,0)),0)+D2125*IFERROR(INDEX(Kişiler!$C$5:$C$44,MATCH(B2125,Kişiler!$A$5:$A$44,0)),0))</f>
        <v/>
      </c>
    </row>
    <row r="2126" customFormat="false" ht="15" hidden="false" customHeight="false" outlineLevel="0" collapsed="false">
      <c r="A2126" s="12"/>
      <c r="B2126" s="13"/>
      <c r="C2126" s="14"/>
      <c r="D2126" s="14"/>
      <c r="E2126" s="13"/>
      <c r="F2126" s="15"/>
      <c r="G2126" s="16" t="str">
        <f aca="false">IF(OR(B2126="",A2126=""),"",C2126*IFERROR(INDEX(Kişiler!$B$5:$B$44,MATCH(B2126,Kişiler!$A$5:$A$44,0)),0)+D2126*IFERROR(INDEX(Kişiler!$C$5:$C$44,MATCH(B2126,Kişiler!$A$5:$A$44,0)),0))</f>
        <v/>
      </c>
    </row>
    <row r="2127" customFormat="false" ht="15" hidden="false" customHeight="false" outlineLevel="0" collapsed="false">
      <c r="A2127" s="12"/>
      <c r="B2127" s="13"/>
      <c r="C2127" s="14"/>
      <c r="D2127" s="14"/>
      <c r="E2127" s="13"/>
      <c r="F2127" s="15"/>
      <c r="G2127" s="16" t="str">
        <f aca="false">IF(OR(B2127="",A2127=""),"",C2127*IFERROR(INDEX(Kişiler!$B$5:$B$44,MATCH(B2127,Kişiler!$A$5:$A$44,0)),0)+D2127*IFERROR(INDEX(Kişiler!$C$5:$C$44,MATCH(B2127,Kişiler!$A$5:$A$44,0)),0))</f>
        <v/>
      </c>
    </row>
    <row r="2128" customFormat="false" ht="15" hidden="false" customHeight="false" outlineLevel="0" collapsed="false">
      <c r="A2128" s="12"/>
      <c r="B2128" s="13"/>
      <c r="C2128" s="14"/>
      <c r="D2128" s="14"/>
      <c r="E2128" s="13"/>
      <c r="F2128" s="15"/>
      <c r="G2128" s="16" t="str">
        <f aca="false">IF(OR(B2128="",A2128=""),"",C2128*IFERROR(INDEX(Kişiler!$B$5:$B$44,MATCH(B2128,Kişiler!$A$5:$A$44,0)),0)+D2128*IFERROR(INDEX(Kişiler!$C$5:$C$44,MATCH(B2128,Kişiler!$A$5:$A$44,0)),0))</f>
        <v/>
      </c>
    </row>
    <row r="2129" customFormat="false" ht="15" hidden="false" customHeight="false" outlineLevel="0" collapsed="false">
      <c r="A2129" s="12"/>
      <c r="B2129" s="13"/>
      <c r="C2129" s="14"/>
      <c r="D2129" s="14"/>
      <c r="E2129" s="13"/>
      <c r="F2129" s="15"/>
      <c r="G2129" s="16" t="str">
        <f aca="false">IF(OR(B2129="",A2129=""),"",C2129*IFERROR(INDEX(Kişiler!$B$5:$B$44,MATCH(B2129,Kişiler!$A$5:$A$44,0)),0)+D2129*IFERROR(INDEX(Kişiler!$C$5:$C$44,MATCH(B2129,Kişiler!$A$5:$A$44,0)),0))</f>
        <v/>
      </c>
    </row>
    <row r="2130" customFormat="false" ht="15" hidden="false" customHeight="false" outlineLevel="0" collapsed="false">
      <c r="A2130" s="12"/>
      <c r="B2130" s="13"/>
      <c r="C2130" s="14"/>
      <c r="D2130" s="14"/>
      <c r="E2130" s="13"/>
      <c r="F2130" s="15"/>
      <c r="G2130" s="16" t="str">
        <f aca="false">IF(OR(B2130="",A2130=""),"",C2130*IFERROR(INDEX(Kişiler!$B$5:$B$44,MATCH(B2130,Kişiler!$A$5:$A$44,0)),0)+D2130*IFERROR(INDEX(Kişiler!$C$5:$C$44,MATCH(B2130,Kişiler!$A$5:$A$44,0)),0))</f>
        <v/>
      </c>
    </row>
    <row r="2131" customFormat="false" ht="15" hidden="false" customHeight="false" outlineLevel="0" collapsed="false">
      <c r="A2131" s="12"/>
      <c r="B2131" s="13"/>
      <c r="C2131" s="14"/>
      <c r="D2131" s="14"/>
      <c r="E2131" s="13"/>
      <c r="F2131" s="15"/>
      <c r="G2131" s="16" t="str">
        <f aca="false">IF(OR(B2131="",A2131=""),"",C2131*IFERROR(INDEX(Kişiler!$B$5:$B$44,MATCH(B2131,Kişiler!$A$5:$A$44,0)),0)+D2131*IFERROR(INDEX(Kişiler!$C$5:$C$44,MATCH(B2131,Kişiler!$A$5:$A$44,0)),0))</f>
        <v/>
      </c>
    </row>
    <row r="2132" customFormat="false" ht="15" hidden="false" customHeight="false" outlineLevel="0" collapsed="false">
      <c r="A2132" s="12"/>
      <c r="B2132" s="13"/>
      <c r="C2132" s="14"/>
      <c r="D2132" s="14"/>
      <c r="E2132" s="13"/>
      <c r="F2132" s="15"/>
      <c r="G2132" s="16" t="str">
        <f aca="false">IF(OR(B2132="",A2132=""),"",C2132*IFERROR(INDEX(Kişiler!$B$5:$B$44,MATCH(B2132,Kişiler!$A$5:$A$44,0)),0)+D2132*IFERROR(INDEX(Kişiler!$C$5:$C$44,MATCH(B2132,Kişiler!$A$5:$A$44,0)),0))</f>
        <v/>
      </c>
    </row>
    <row r="2133" customFormat="false" ht="15" hidden="false" customHeight="false" outlineLevel="0" collapsed="false">
      <c r="A2133" s="12"/>
      <c r="B2133" s="13"/>
      <c r="C2133" s="14"/>
      <c r="D2133" s="14"/>
      <c r="E2133" s="13"/>
      <c r="F2133" s="15"/>
      <c r="G2133" s="16" t="str">
        <f aca="false">IF(OR(B2133="",A2133=""),"",C2133*IFERROR(INDEX(Kişiler!$B$5:$B$44,MATCH(B2133,Kişiler!$A$5:$A$44,0)),0)+D2133*IFERROR(INDEX(Kişiler!$C$5:$C$44,MATCH(B2133,Kişiler!$A$5:$A$44,0)),0))</f>
        <v/>
      </c>
    </row>
    <row r="2134" customFormat="false" ht="15" hidden="false" customHeight="false" outlineLevel="0" collapsed="false">
      <c r="A2134" s="12"/>
      <c r="B2134" s="13"/>
      <c r="C2134" s="14"/>
      <c r="D2134" s="14"/>
      <c r="E2134" s="13"/>
      <c r="F2134" s="15"/>
      <c r="G2134" s="16" t="str">
        <f aca="false">IF(OR(B2134="",A2134=""),"",C2134*IFERROR(INDEX(Kişiler!$B$5:$B$44,MATCH(B2134,Kişiler!$A$5:$A$44,0)),0)+D2134*IFERROR(INDEX(Kişiler!$C$5:$C$44,MATCH(B2134,Kişiler!$A$5:$A$44,0)),0))</f>
        <v/>
      </c>
    </row>
    <row r="2135" customFormat="false" ht="15" hidden="false" customHeight="false" outlineLevel="0" collapsed="false">
      <c r="A2135" s="12"/>
      <c r="B2135" s="13"/>
      <c r="C2135" s="14"/>
      <c r="D2135" s="14"/>
      <c r="E2135" s="13"/>
      <c r="F2135" s="15"/>
      <c r="G2135" s="16" t="str">
        <f aca="false">IF(OR(B2135="",A2135=""),"",C2135*IFERROR(INDEX(Kişiler!$B$5:$B$44,MATCH(B2135,Kişiler!$A$5:$A$44,0)),0)+D2135*IFERROR(INDEX(Kişiler!$C$5:$C$44,MATCH(B2135,Kişiler!$A$5:$A$44,0)),0))</f>
        <v/>
      </c>
    </row>
    <row r="2136" customFormat="false" ht="15" hidden="false" customHeight="false" outlineLevel="0" collapsed="false">
      <c r="A2136" s="12"/>
      <c r="B2136" s="13"/>
      <c r="C2136" s="14"/>
      <c r="D2136" s="14"/>
      <c r="E2136" s="13"/>
      <c r="F2136" s="15"/>
      <c r="G2136" s="16" t="str">
        <f aca="false">IF(OR(B2136="",A2136=""),"",C2136*IFERROR(INDEX(Kişiler!$B$5:$B$44,MATCH(B2136,Kişiler!$A$5:$A$44,0)),0)+D2136*IFERROR(INDEX(Kişiler!$C$5:$C$44,MATCH(B2136,Kişiler!$A$5:$A$44,0)),0))</f>
        <v/>
      </c>
    </row>
    <row r="2137" customFormat="false" ht="15" hidden="false" customHeight="false" outlineLevel="0" collapsed="false">
      <c r="A2137" s="12"/>
      <c r="B2137" s="13"/>
      <c r="C2137" s="14"/>
      <c r="D2137" s="14"/>
      <c r="E2137" s="13"/>
      <c r="F2137" s="15"/>
      <c r="G2137" s="16" t="str">
        <f aca="false">IF(OR(B2137="",A2137=""),"",C2137*IFERROR(INDEX(Kişiler!$B$5:$B$44,MATCH(B2137,Kişiler!$A$5:$A$44,0)),0)+D2137*IFERROR(INDEX(Kişiler!$C$5:$C$44,MATCH(B2137,Kişiler!$A$5:$A$44,0)),0))</f>
        <v/>
      </c>
    </row>
    <row r="2138" customFormat="false" ht="15" hidden="false" customHeight="false" outlineLevel="0" collapsed="false">
      <c r="A2138" s="12"/>
      <c r="B2138" s="13"/>
      <c r="C2138" s="14"/>
      <c r="D2138" s="14"/>
      <c r="E2138" s="13"/>
      <c r="F2138" s="15"/>
      <c r="G2138" s="16" t="str">
        <f aca="false">IF(OR(B2138="",A2138=""),"",C2138*IFERROR(INDEX(Kişiler!$B$5:$B$44,MATCH(B2138,Kişiler!$A$5:$A$44,0)),0)+D2138*IFERROR(INDEX(Kişiler!$C$5:$C$44,MATCH(B2138,Kişiler!$A$5:$A$44,0)),0))</f>
        <v/>
      </c>
    </row>
    <row r="2139" customFormat="false" ht="15" hidden="false" customHeight="false" outlineLevel="0" collapsed="false">
      <c r="A2139" s="12"/>
      <c r="B2139" s="13"/>
      <c r="C2139" s="14"/>
      <c r="D2139" s="14"/>
      <c r="E2139" s="13"/>
      <c r="F2139" s="15"/>
      <c r="G2139" s="16" t="str">
        <f aca="false">IF(OR(B2139="",A2139=""),"",C2139*IFERROR(INDEX(Kişiler!$B$5:$B$44,MATCH(B2139,Kişiler!$A$5:$A$44,0)),0)+D2139*IFERROR(INDEX(Kişiler!$C$5:$C$44,MATCH(B2139,Kişiler!$A$5:$A$44,0)),0))</f>
        <v/>
      </c>
    </row>
    <row r="2140" customFormat="false" ht="15" hidden="false" customHeight="false" outlineLevel="0" collapsed="false">
      <c r="A2140" s="12"/>
      <c r="B2140" s="13"/>
      <c r="C2140" s="14"/>
      <c r="D2140" s="14"/>
      <c r="E2140" s="13"/>
      <c r="F2140" s="15"/>
      <c r="G2140" s="16" t="str">
        <f aca="false">IF(OR(B2140="",A2140=""),"",C2140*IFERROR(INDEX(Kişiler!$B$5:$B$44,MATCH(B2140,Kişiler!$A$5:$A$44,0)),0)+D2140*IFERROR(INDEX(Kişiler!$C$5:$C$44,MATCH(B2140,Kişiler!$A$5:$A$44,0)),0))</f>
        <v/>
      </c>
    </row>
    <row r="2141" customFormat="false" ht="15" hidden="false" customHeight="false" outlineLevel="0" collapsed="false">
      <c r="A2141" s="12"/>
      <c r="B2141" s="13"/>
      <c r="C2141" s="14"/>
      <c r="D2141" s="14"/>
      <c r="E2141" s="13"/>
      <c r="F2141" s="15"/>
      <c r="G2141" s="16" t="str">
        <f aca="false">IF(OR(B2141="",A2141=""),"",C2141*IFERROR(INDEX(Kişiler!$B$5:$B$44,MATCH(B2141,Kişiler!$A$5:$A$44,0)),0)+D2141*IFERROR(INDEX(Kişiler!$C$5:$C$44,MATCH(B2141,Kişiler!$A$5:$A$44,0)),0))</f>
        <v/>
      </c>
    </row>
    <row r="2142" customFormat="false" ht="15" hidden="false" customHeight="false" outlineLevel="0" collapsed="false">
      <c r="A2142" s="12"/>
      <c r="B2142" s="13"/>
      <c r="C2142" s="14"/>
      <c r="D2142" s="14"/>
      <c r="E2142" s="13"/>
      <c r="F2142" s="15"/>
      <c r="G2142" s="16" t="str">
        <f aca="false">IF(OR(B2142="",A2142=""),"",C2142*IFERROR(INDEX(Kişiler!$B$5:$B$44,MATCH(B2142,Kişiler!$A$5:$A$44,0)),0)+D2142*IFERROR(INDEX(Kişiler!$C$5:$C$44,MATCH(B2142,Kişiler!$A$5:$A$44,0)),0))</f>
        <v/>
      </c>
    </row>
    <row r="2143" customFormat="false" ht="15" hidden="false" customHeight="false" outlineLevel="0" collapsed="false">
      <c r="A2143" s="12"/>
      <c r="B2143" s="13"/>
      <c r="C2143" s="14"/>
      <c r="D2143" s="14"/>
      <c r="E2143" s="13"/>
      <c r="F2143" s="15"/>
      <c r="G2143" s="16" t="str">
        <f aca="false">IF(OR(B2143="",A2143=""),"",C2143*IFERROR(INDEX(Kişiler!$B$5:$B$44,MATCH(B2143,Kişiler!$A$5:$A$44,0)),0)+D2143*IFERROR(INDEX(Kişiler!$C$5:$C$44,MATCH(B2143,Kişiler!$A$5:$A$44,0)),0))</f>
        <v/>
      </c>
    </row>
    <row r="2144" customFormat="false" ht="15" hidden="false" customHeight="false" outlineLevel="0" collapsed="false">
      <c r="A2144" s="12"/>
      <c r="B2144" s="13"/>
      <c r="C2144" s="14"/>
      <c r="D2144" s="14"/>
      <c r="E2144" s="13"/>
      <c r="F2144" s="15"/>
      <c r="G2144" s="16" t="str">
        <f aca="false">IF(OR(B2144="",A2144=""),"",C2144*IFERROR(INDEX(Kişiler!$B$5:$B$44,MATCH(B2144,Kişiler!$A$5:$A$44,0)),0)+D2144*IFERROR(INDEX(Kişiler!$C$5:$C$44,MATCH(B2144,Kişiler!$A$5:$A$44,0)),0))</f>
        <v/>
      </c>
    </row>
    <row r="2145" customFormat="false" ht="15" hidden="false" customHeight="false" outlineLevel="0" collapsed="false">
      <c r="A2145" s="12"/>
      <c r="B2145" s="13"/>
      <c r="C2145" s="14"/>
      <c r="D2145" s="14"/>
      <c r="E2145" s="13"/>
      <c r="F2145" s="15"/>
      <c r="G2145" s="16" t="str">
        <f aca="false">IF(OR(B2145="",A2145=""),"",C2145*IFERROR(INDEX(Kişiler!$B$5:$B$44,MATCH(B2145,Kişiler!$A$5:$A$44,0)),0)+D2145*IFERROR(INDEX(Kişiler!$C$5:$C$44,MATCH(B2145,Kişiler!$A$5:$A$44,0)),0))</f>
        <v/>
      </c>
    </row>
    <row r="2146" customFormat="false" ht="15" hidden="false" customHeight="false" outlineLevel="0" collapsed="false">
      <c r="A2146" s="12"/>
      <c r="B2146" s="13"/>
      <c r="C2146" s="14"/>
      <c r="D2146" s="14"/>
      <c r="E2146" s="13"/>
      <c r="F2146" s="15"/>
      <c r="G2146" s="16" t="str">
        <f aca="false">IF(OR(B2146="",A2146=""),"",C2146*IFERROR(INDEX(Kişiler!$B$5:$B$44,MATCH(B2146,Kişiler!$A$5:$A$44,0)),0)+D2146*IFERROR(INDEX(Kişiler!$C$5:$C$44,MATCH(B2146,Kişiler!$A$5:$A$44,0)),0))</f>
        <v/>
      </c>
    </row>
    <row r="2147" customFormat="false" ht="15" hidden="false" customHeight="false" outlineLevel="0" collapsed="false">
      <c r="A2147" s="12"/>
      <c r="B2147" s="13"/>
      <c r="C2147" s="14"/>
      <c r="D2147" s="14"/>
      <c r="E2147" s="13"/>
      <c r="F2147" s="15"/>
      <c r="G2147" s="16" t="str">
        <f aca="false">IF(OR(B2147="",A2147=""),"",C2147*IFERROR(INDEX(Kişiler!$B$5:$B$44,MATCH(B2147,Kişiler!$A$5:$A$44,0)),0)+D2147*IFERROR(INDEX(Kişiler!$C$5:$C$44,MATCH(B2147,Kişiler!$A$5:$A$44,0)),0))</f>
        <v/>
      </c>
    </row>
    <row r="2148" customFormat="false" ht="15" hidden="false" customHeight="false" outlineLevel="0" collapsed="false">
      <c r="A2148" s="12"/>
      <c r="B2148" s="13"/>
      <c r="C2148" s="14"/>
      <c r="D2148" s="14"/>
      <c r="E2148" s="13"/>
      <c r="F2148" s="15"/>
      <c r="G2148" s="16" t="str">
        <f aca="false">IF(OR(B2148="",A2148=""),"",C2148*IFERROR(INDEX(Kişiler!$B$5:$B$44,MATCH(B2148,Kişiler!$A$5:$A$44,0)),0)+D2148*IFERROR(INDEX(Kişiler!$C$5:$C$44,MATCH(B2148,Kişiler!$A$5:$A$44,0)),0))</f>
        <v/>
      </c>
    </row>
    <row r="2149" customFormat="false" ht="15" hidden="false" customHeight="false" outlineLevel="0" collapsed="false">
      <c r="A2149" s="12"/>
      <c r="B2149" s="13"/>
      <c r="C2149" s="14"/>
      <c r="D2149" s="14"/>
      <c r="E2149" s="13"/>
      <c r="F2149" s="15"/>
      <c r="G2149" s="16" t="str">
        <f aca="false">IF(OR(B2149="",A2149=""),"",C2149*IFERROR(INDEX(Kişiler!$B$5:$B$44,MATCH(B2149,Kişiler!$A$5:$A$44,0)),0)+D2149*IFERROR(INDEX(Kişiler!$C$5:$C$44,MATCH(B2149,Kişiler!$A$5:$A$44,0)),0))</f>
        <v/>
      </c>
    </row>
    <row r="2150" customFormat="false" ht="15" hidden="false" customHeight="false" outlineLevel="0" collapsed="false">
      <c r="A2150" s="12"/>
      <c r="B2150" s="13"/>
      <c r="C2150" s="14"/>
      <c r="D2150" s="14"/>
      <c r="E2150" s="13"/>
      <c r="F2150" s="15"/>
      <c r="G2150" s="16" t="str">
        <f aca="false">IF(OR(B2150="",A2150=""),"",C2150*IFERROR(INDEX(Kişiler!$B$5:$B$44,MATCH(B2150,Kişiler!$A$5:$A$44,0)),0)+D2150*IFERROR(INDEX(Kişiler!$C$5:$C$44,MATCH(B2150,Kişiler!$A$5:$A$44,0)),0))</f>
        <v/>
      </c>
    </row>
    <row r="2151" customFormat="false" ht="15" hidden="false" customHeight="false" outlineLevel="0" collapsed="false">
      <c r="A2151" s="12"/>
      <c r="B2151" s="13"/>
      <c r="C2151" s="14"/>
      <c r="D2151" s="14"/>
      <c r="E2151" s="13"/>
      <c r="F2151" s="15"/>
      <c r="G2151" s="16" t="str">
        <f aca="false">IF(OR(B2151="",A2151=""),"",C2151*IFERROR(INDEX(Kişiler!$B$5:$B$44,MATCH(B2151,Kişiler!$A$5:$A$44,0)),0)+D2151*IFERROR(INDEX(Kişiler!$C$5:$C$44,MATCH(B2151,Kişiler!$A$5:$A$44,0)),0))</f>
        <v/>
      </c>
    </row>
    <row r="2152" customFormat="false" ht="15" hidden="false" customHeight="false" outlineLevel="0" collapsed="false">
      <c r="A2152" s="12"/>
      <c r="B2152" s="13"/>
      <c r="C2152" s="14"/>
      <c r="D2152" s="14"/>
      <c r="E2152" s="13"/>
      <c r="F2152" s="15"/>
      <c r="G2152" s="16" t="str">
        <f aca="false">IF(OR(B2152="",A2152=""),"",C2152*IFERROR(INDEX(Kişiler!$B$5:$B$44,MATCH(B2152,Kişiler!$A$5:$A$44,0)),0)+D2152*IFERROR(INDEX(Kişiler!$C$5:$C$44,MATCH(B2152,Kişiler!$A$5:$A$44,0)),0))</f>
        <v/>
      </c>
    </row>
    <row r="2153" customFormat="false" ht="15" hidden="false" customHeight="false" outlineLevel="0" collapsed="false">
      <c r="A2153" s="12"/>
      <c r="B2153" s="13"/>
      <c r="C2153" s="14"/>
      <c r="D2153" s="14"/>
      <c r="E2153" s="13"/>
      <c r="F2153" s="15"/>
      <c r="G2153" s="16" t="str">
        <f aca="false">IF(OR(B2153="",A2153=""),"",C2153*IFERROR(INDEX(Kişiler!$B$5:$B$44,MATCH(B2153,Kişiler!$A$5:$A$44,0)),0)+D2153*IFERROR(INDEX(Kişiler!$C$5:$C$44,MATCH(B2153,Kişiler!$A$5:$A$44,0)),0))</f>
        <v/>
      </c>
    </row>
    <row r="2154" customFormat="false" ht="15" hidden="false" customHeight="false" outlineLevel="0" collapsed="false">
      <c r="A2154" s="12"/>
      <c r="B2154" s="13"/>
      <c r="C2154" s="14"/>
      <c r="D2154" s="14"/>
      <c r="E2154" s="13"/>
      <c r="F2154" s="15"/>
      <c r="G2154" s="16" t="str">
        <f aca="false">IF(OR(B2154="",A2154=""),"",C2154*IFERROR(INDEX(Kişiler!$B$5:$B$44,MATCH(B2154,Kişiler!$A$5:$A$44,0)),0)+D2154*IFERROR(INDEX(Kişiler!$C$5:$C$44,MATCH(B2154,Kişiler!$A$5:$A$44,0)),0))</f>
        <v/>
      </c>
    </row>
    <row r="2155" customFormat="false" ht="15" hidden="false" customHeight="false" outlineLevel="0" collapsed="false">
      <c r="A2155" s="12"/>
      <c r="B2155" s="13"/>
      <c r="C2155" s="14"/>
      <c r="D2155" s="14"/>
      <c r="E2155" s="13"/>
      <c r="F2155" s="15"/>
      <c r="G2155" s="16" t="str">
        <f aca="false">IF(OR(B2155="",A2155=""),"",C2155*IFERROR(INDEX(Kişiler!$B$5:$B$44,MATCH(B2155,Kişiler!$A$5:$A$44,0)),0)+D2155*IFERROR(INDEX(Kişiler!$C$5:$C$44,MATCH(B2155,Kişiler!$A$5:$A$44,0)),0))</f>
        <v/>
      </c>
    </row>
    <row r="2156" customFormat="false" ht="15" hidden="false" customHeight="false" outlineLevel="0" collapsed="false">
      <c r="A2156" s="12"/>
      <c r="B2156" s="13"/>
      <c r="C2156" s="14"/>
      <c r="D2156" s="14"/>
      <c r="E2156" s="13"/>
      <c r="F2156" s="15"/>
      <c r="G2156" s="16" t="str">
        <f aca="false">IF(OR(B2156="",A2156=""),"",C2156*IFERROR(INDEX(Kişiler!$B$5:$B$44,MATCH(B2156,Kişiler!$A$5:$A$44,0)),0)+D2156*IFERROR(INDEX(Kişiler!$C$5:$C$44,MATCH(B2156,Kişiler!$A$5:$A$44,0)),0))</f>
        <v/>
      </c>
    </row>
    <row r="2157" customFormat="false" ht="15" hidden="false" customHeight="false" outlineLevel="0" collapsed="false">
      <c r="A2157" s="12"/>
      <c r="B2157" s="13"/>
      <c r="C2157" s="14"/>
      <c r="D2157" s="14"/>
      <c r="E2157" s="13"/>
      <c r="F2157" s="15"/>
      <c r="G2157" s="16" t="str">
        <f aca="false">IF(OR(B2157="",A2157=""),"",C2157*IFERROR(INDEX(Kişiler!$B$5:$B$44,MATCH(B2157,Kişiler!$A$5:$A$44,0)),0)+D2157*IFERROR(INDEX(Kişiler!$C$5:$C$44,MATCH(B2157,Kişiler!$A$5:$A$44,0)),0))</f>
        <v/>
      </c>
    </row>
    <row r="2158" customFormat="false" ht="15" hidden="false" customHeight="false" outlineLevel="0" collapsed="false">
      <c r="A2158" s="12"/>
      <c r="B2158" s="13"/>
      <c r="C2158" s="14"/>
      <c r="D2158" s="14"/>
      <c r="E2158" s="13"/>
      <c r="F2158" s="15"/>
      <c r="G2158" s="16" t="str">
        <f aca="false">IF(OR(B2158="",A2158=""),"",C2158*IFERROR(INDEX(Kişiler!$B$5:$B$44,MATCH(B2158,Kişiler!$A$5:$A$44,0)),0)+D2158*IFERROR(INDEX(Kişiler!$C$5:$C$44,MATCH(B2158,Kişiler!$A$5:$A$44,0)),0))</f>
        <v/>
      </c>
    </row>
    <row r="2159" customFormat="false" ht="15" hidden="false" customHeight="false" outlineLevel="0" collapsed="false">
      <c r="A2159" s="12"/>
      <c r="B2159" s="13"/>
      <c r="C2159" s="14"/>
      <c r="D2159" s="14"/>
      <c r="E2159" s="13"/>
      <c r="F2159" s="15"/>
      <c r="G2159" s="16" t="str">
        <f aca="false">IF(OR(B2159="",A2159=""),"",C2159*IFERROR(INDEX(Kişiler!$B$5:$B$44,MATCH(B2159,Kişiler!$A$5:$A$44,0)),0)+D2159*IFERROR(INDEX(Kişiler!$C$5:$C$44,MATCH(B2159,Kişiler!$A$5:$A$44,0)),0))</f>
        <v/>
      </c>
    </row>
    <row r="2160" customFormat="false" ht="15" hidden="false" customHeight="false" outlineLevel="0" collapsed="false">
      <c r="A2160" s="12"/>
      <c r="B2160" s="13"/>
      <c r="C2160" s="14"/>
      <c r="D2160" s="14"/>
      <c r="E2160" s="13"/>
      <c r="F2160" s="15"/>
      <c r="G2160" s="16" t="str">
        <f aca="false">IF(OR(B2160="",A2160=""),"",C2160*IFERROR(INDEX(Kişiler!$B$5:$B$44,MATCH(B2160,Kişiler!$A$5:$A$44,0)),0)+D2160*IFERROR(INDEX(Kişiler!$C$5:$C$44,MATCH(B2160,Kişiler!$A$5:$A$44,0)),0))</f>
        <v/>
      </c>
    </row>
    <row r="2161" customFormat="false" ht="15" hidden="false" customHeight="false" outlineLevel="0" collapsed="false">
      <c r="A2161" s="12"/>
      <c r="B2161" s="13"/>
      <c r="C2161" s="14"/>
      <c r="D2161" s="14"/>
      <c r="E2161" s="13"/>
      <c r="F2161" s="15"/>
      <c r="G2161" s="16" t="str">
        <f aca="false">IF(OR(B2161="",A2161=""),"",C2161*IFERROR(INDEX(Kişiler!$B$5:$B$44,MATCH(B2161,Kişiler!$A$5:$A$44,0)),0)+D2161*IFERROR(INDEX(Kişiler!$C$5:$C$44,MATCH(B2161,Kişiler!$A$5:$A$44,0)),0))</f>
        <v/>
      </c>
    </row>
    <row r="2162" customFormat="false" ht="15" hidden="false" customHeight="false" outlineLevel="0" collapsed="false">
      <c r="A2162" s="12"/>
      <c r="B2162" s="13"/>
      <c r="C2162" s="14"/>
      <c r="D2162" s="14"/>
      <c r="E2162" s="13"/>
      <c r="F2162" s="15"/>
      <c r="G2162" s="16" t="str">
        <f aca="false">IF(OR(B2162="",A2162=""),"",C2162*IFERROR(INDEX(Kişiler!$B$5:$B$44,MATCH(B2162,Kişiler!$A$5:$A$44,0)),0)+D2162*IFERROR(INDEX(Kişiler!$C$5:$C$44,MATCH(B2162,Kişiler!$A$5:$A$44,0)),0))</f>
        <v/>
      </c>
    </row>
    <row r="2163" customFormat="false" ht="15" hidden="false" customHeight="false" outlineLevel="0" collapsed="false">
      <c r="A2163" s="12"/>
      <c r="B2163" s="13"/>
      <c r="C2163" s="14"/>
      <c r="D2163" s="14"/>
      <c r="E2163" s="13"/>
      <c r="F2163" s="15"/>
      <c r="G2163" s="16" t="str">
        <f aca="false">IF(OR(B2163="",A2163=""),"",C2163*IFERROR(INDEX(Kişiler!$B$5:$B$44,MATCH(B2163,Kişiler!$A$5:$A$44,0)),0)+D2163*IFERROR(INDEX(Kişiler!$C$5:$C$44,MATCH(B2163,Kişiler!$A$5:$A$44,0)),0))</f>
        <v/>
      </c>
    </row>
    <row r="2164" customFormat="false" ht="15" hidden="false" customHeight="false" outlineLevel="0" collapsed="false">
      <c r="A2164" s="12"/>
      <c r="B2164" s="13"/>
      <c r="C2164" s="14"/>
      <c r="D2164" s="14"/>
      <c r="E2164" s="13"/>
      <c r="F2164" s="15"/>
      <c r="G2164" s="16" t="str">
        <f aca="false">IF(OR(B2164="",A2164=""),"",C2164*IFERROR(INDEX(Kişiler!$B$5:$B$44,MATCH(B2164,Kişiler!$A$5:$A$44,0)),0)+D2164*IFERROR(INDEX(Kişiler!$C$5:$C$44,MATCH(B2164,Kişiler!$A$5:$A$44,0)),0))</f>
        <v/>
      </c>
    </row>
    <row r="2165" customFormat="false" ht="15" hidden="false" customHeight="false" outlineLevel="0" collapsed="false">
      <c r="A2165" s="12"/>
      <c r="B2165" s="13"/>
      <c r="C2165" s="14"/>
      <c r="D2165" s="14"/>
      <c r="E2165" s="13"/>
      <c r="F2165" s="15"/>
      <c r="G2165" s="16" t="str">
        <f aca="false">IF(OR(B2165="",A2165=""),"",C2165*IFERROR(INDEX(Kişiler!$B$5:$B$44,MATCH(B2165,Kişiler!$A$5:$A$44,0)),0)+D2165*IFERROR(INDEX(Kişiler!$C$5:$C$44,MATCH(B2165,Kişiler!$A$5:$A$44,0)),0))</f>
        <v/>
      </c>
    </row>
    <row r="2166" customFormat="false" ht="15" hidden="false" customHeight="false" outlineLevel="0" collapsed="false">
      <c r="A2166" s="12"/>
      <c r="B2166" s="13"/>
      <c r="C2166" s="14"/>
      <c r="D2166" s="14"/>
      <c r="E2166" s="13"/>
      <c r="F2166" s="15"/>
      <c r="G2166" s="16" t="str">
        <f aca="false">IF(OR(B2166="",A2166=""),"",C2166*IFERROR(INDEX(Kişiler!$B$5:$B$44,MATCH(B2166,Kişiler!$A$5:$A$44,0)),0)+D2166*IFERROR(INDEX(Kişiler!$C$5:$C$44,MATCH(B2166,Kişiler!$A$5:$A$44,0)),0))</f>
        <v/>
      </c>
    </row>
    <row r="2167" customFormat="false" ht="15" hidden="false" customHeight="false" outlineLevel="0" collapsed="false">
      <c r="A2167" s="12"/>
      <c r="B2167" s="13"/>
      <c r="C2167" s="14"/>
      <c r="D2167" s="14"/>
      <c r="E2167" s="13"/>
      <c r="F2167" s="15"/>
      <c r="G2167" s="16" t="str">
        <f aca="false">IF(OR(B2167="",A2167=""),"",C2167*IFERROR(INDEX(Kişiler!$B$5:$B$44,MATCH(B2167,Kişiler!$A$5:$A$44,0)),0)+D2167*IFERROR(INDEX(Kişiler!$C$5:$C$44,MATCH(B2167,Kişiler!$A$5:$A$44,0)),0))</f>
        <v/>
      </c>
    </row>
    <row r="2168" customFormat="false" ht="15" hidden="false" customHeight="false" outlineLevel="0" collapsed="false">
      <c r="A2168" s="12"/>
      <c r="B2168" s="13"/>
      <c r="C2168" s="14"/>
      <c r="D2168" s="14"/>
      <c r="E2168" s="13"/>
      <c r="F2168" s="15"/>
      <c r="G2168" s="16" t="str">
        <f aca="false">IF(OR(B2168="",A2168=""),"",C2168*IFERROR(INDEX(Kişiler!$B$5:$B$44,MATCH(B2168,Kişiler!$A$5:$A$44,0)),0)+D2168*IFERROR(INDEX(Kişiler!$C$5:$C$44,MATCH(B2168,Kişiler!$A$5:$A$44,0)),0))</f>
        <v/>
      </c>
    </row>
    <row r="2169" customFormat="false" ht="15" hidden="false" customHeight="false" outlineLevel="0" collapsed="false">
      <c r="A2169" s="12"/>
      <c r="B2169" s="13"/>
      <c r="C2169" s="14"/>
      <c r="D2169" s="14"/>
      <c r="E2169" s="13"/>
      <c r="F2169" s="15"/>
      <c r="G2169" s="16" t="str">
        <f aca="false">IF(OR(B2169="",A2169=""),"",C2169*IFERROR(INDEX(Kişiler!$B$5:$B$44,MATCH(B2169,Kişiler!$A$5:$A$44,0)),0)+D2169*IFERROR(INDEX(Kişiler!$C$5:$C$44,MATCH(B2169,Kişiler!$A$5:$A$44,0)),0))</f>
        <v/>
      </c>
    </row>
    <row r="2170" customFormat="false" ht="15" hidden="false" customHeight="false" outlineLevel="0" collapsed="false">
      <c r="A2170" s="12"/>
      <c r="B2170" s="13"/>
      <c r="C2170" s="14"/>
      <c r="D2170" s="14"/>
      <c r="E2170" s="13"/>
      <c r="F2170" s="15"/>
      <c r="G2170" s="16" t="str">
        <f aca="false">IF(OR(B2170="",A2170=""),"",C2170*IFERROR(INDEX(Kişiler!$B$5:$B$44,MATCH(B2170,Kişiler!$A$5:$A$44,0)),0)+D2170*IFERROR(INDEX(Kişiler!$C$5:$C$44,MATCH(B2170,Kişiler!$A$5:$A$44,0)),0))</f>
        <v/>
      </c>
    </row>
    <row r="2171" customFormat="false" ht="15" hidden="false" customHeight="false" outlineLevel="0" collapsed="false">
      <c r="A2171" s="12"/>
      <c r="B2171" s="13"/>
      <c r="C2171" s="14"/>
      <c r="D2171" s="14"/>
      <c r="E2171" s="13"/>
      <c r="F2171" s="15"/>
      <c r="G2171" s="16" t="str">
        <f aca="false">IF(OR(B2171="",A2171=""),"",C2171*IFERROR(INDEX(Kişiler!$B$5:$B$44,MATCH(B2171,Kişiler!$A$5:$A$44,0)),0)+D2171*IFERROR(INDEX(Kişiler!$C$5:$C$44,MATCH(B2171,Kişiler!$A$5:$A$44,0)),0))</f>
        <v/>
      </c>
    </row>
    <row r="2172" customFormat="false" ht="15" hidden="false" customHeight="false" outlineLevel="0" collapsed="false">
      <c r="A2172" s="12"/>
      <c r="B2172" s="13"/>
      <c r="C2172" s="14"/>
      <c r="D2172" s="14"/>
      <c r="E2172" s="13"/>
      <c r="F2172" s="15"/>
      <c r="G2172" s="16" t="str">
        <f aca="false">IF(OR(B2172="",A2172=""),"",C2172*IFERROR(INDEX(Kişiler!$B$5:$B$44,MATCH(B2172,Kişiler!$A$5:$A$44,0)),0)+D2172*IFERROR(INDEX(Kişiler!$C$5:$C$44,MATCH(B2172,Kişiler!$A$5:$A$44,0)),0))</f>
        <v/>
      </c>
    </row>
    <row r="2173" customFormat="false" ht="15" hidden="false" customHeight="false" outlineLevel="0" collapsed="false">
      <c r="A2173" s="12"/>
      <c r="B2173" s="13"/>
      <c r="C2173" s="14"/>
      <c r="D2173" s="14"/>
      <c r="E2173" s="13"/>
      <c r="F2173" s="15"/>
      <c r="G2173" s="16" t="str">
        <f aca="false">IF(OR(B2173="",A2173=""),"",C2173*IFERROR(INDEX(Kişiler!$B$5:$B$44,MATCH(B2173,Kişiler!$A$5:$A$44,0)),0)+D2173*IFERROR(INDEX(Kişiler!$C$5:$C$44,MATCH(B2173,Kişiler!$A$5:$A$44,0)),0))</f>
        <v/>
      </c>
    </row>
    <row r="2174" customFormat="false" ht="15" hidden="false" customHeight="false" outlineLevel="0" collapsed="false">
      <c r="A2174" s="12"/>
      <c r="B2174" s="13"/>
      <c r="C2174" s="14"/>
      <c r="D2174" s="14"/>
      <c r="E2174" s="13"/>
      <c r="F2174" s="15"/>
      <c r="G2174" s="16" t="str">
        <f aca="false">IF(OR(B2174="",A2174=""),"",C2174*IFERROR(INDEX(Kişiler!$B$5:$B$44,MATCH(B2174,Kişiler!$A$5:$A$44,0)),0)+D2174*IFERROR(INDEX(Kişiler!$C$5:$C$44,MATCH(B2174,Kişiler!$A$5:$A$44,0)),0))</f>
        <v/>
      </c>
    </row>
    <row r="2175" customFormat="false" ht="15" hidden="false" customHeight="false" outlineLevel="0" collapsed="false">
      <c r="A2175" s="12"/>
      <c r="B2175" s="13"/>
      <c r="C2175" s="14"/>
      <c r="D2175" s="14"/>
      <c r="E2175" s="13"/>
      <c r="F2175" s="15"/>
      <c r="G2175" s="16" t="str">
        <f aca="false">IF(OR(B2175="",A2175=""),"",C2175*IFERROR(INDEX(Kişiler!$B$5:$B$44,MATCH(B2175,Kişiler!$A$5:$A$44,0)),0)+D2175*IFERROR(INDEX(Kişiler!$C$5:$C$44,MATCH(B2175,Kişiler!$A$5:$A$44,0)),0))</f>
        <v/>
      </c>
    </row>
    <row r="2176" customFormat="false" ht="15" hidden="false" customHeight="false" outlineLevel="0" collapsed="false">
      <c r="A2176" s="12"/>
      <c r="B2176" s="13"/>
      <c r="C2176" s="14"/>
      <c r="D2176" s="14"/>
      <c r="E2176" s="13"/>
      <c r="F2176" s="15"/>
      <c r="G2176" s="16" t="str">
        <f aca="false">IF(OR(B2176="",A2176=""),"",C2176*IFERROR(INDEX(Kişiler!$B$5:$B$44,MATCH(B2176,Kişiler!$A$5:$A$44,0)),0)+D2176*IFERROR(INDEX(Kişiler!$C$5:$C$44,MATCH(B2176,Kişiler!$A$5:$A$44,0)),0))</f>
        <v/>
      </c>
    </row>
    <row r="2177" customFormat="false" ht="15" hidden="false" customHeight="false" outlineLevel="0" collapsed="false">
      <c r="A2177" s="12"/>
      <c r="B2177" s="13"/>
      <c r="C2177" s="14"/>
      <c r="D2177" s="14"/>
      <c r="E2177" s="13"/>
      <c r="F2177" s="15"/>
      <c r="G2177" s="16" t="str">
        <f aca="false">IF(OR(B2177="",A2177=""),"",C2177*IFERROR(INDEX(Kişiler!$B$5:$B$44,MATCH(B2177,Kişiler!$A$5:$A$44,0)),0)+D2177*IFERROR(INDEX(Kişiler!$C$5:$C$44,MATCH(B2177,Kişiler!$A$5:$A$44,0)),0))</f>
        <v/>
      </c>
    </row>
    <row r="2178" customFormat="false" ht="15" hidden="false" customHeight="false" outlineLevel="0" collapsed="false">
      <c r="A2178" s="12"/>
      <c r="B2178" s="13"/>
      <c r="C2178" s="14"/>
      <c r="D2178" s="14"/>
      <c r="E2178" s="13"/>
      <c r="F2178" s="15"/>
      <c r="G2178" s="16" t="str">
        <f aca="false">IF(OR(B2178="",A2178=""),"",C2178*IFERROR(INDEX(Kişiler!$B$5:$B$44,MATCH(B2178,Kişiler!$A$5:$A$44,0)),0)+D2178*IFERROR(INDEX(Kişiler!$C$5:$C$44,MATCH(B2178,Kişiler!$A$5:$A$44,0)),0))</f>
        <v/>
      </c>
    </row>
    <row r="2179" customFormat="false" ht="15" hidden="false" customHeight="false" outlineLevel="0" collapsed="false">
      <c r="A2179" s="12"/>
      <c r="B2179" s="13"/>
      <c r="C2179" s="14"/>
      <c r="D2179" s="14"/>
      <c r="E2179" s="13"/>
      <c r="F2179" s="15"/>
      <c r="G2179" s="16" t="str">
        <f aca="false">IF(OR(B2179="",A2179=""),"",C2179*IFERROR(INDEX(Kişiler!$B$5:$B$44,MATCH(B2179,Kişiler!$A$5:$A$44,0)),0)+D2179*IFERROR(INDEX(Kişiler!$C$5:$C$44,MATCH(B2179,Kişiler!$A$5:$A$44,0)),0))</f>
        <v/>
      </c>
    </row>
    <row r="2180" customFormat="false" ht="15" hidden="false" customHeight="false" outlineLevel="0" collapsed="false">
      <c r="A2180" s="12"/>
      <c r="B2180" s="13"/>
      <c r="C2180" s="14"/>
      <c r="D2180" s="14"/>
      <c r="E2180" s="13"/>
      <c r="F2180" s="15"/>
      <c r="G2180" s="16" t="str">
        <f aca="false">IF(OR(B2180="",A2180=""),"",C2180*IFERROR(INDEX(Kişiler!$B$5:$B$44,MATCH(B2180,Kişiler!$A$5:$A$44,0)),0)+D2180*IFERROR(INDEX(Kişiler!$C$5:$C$44,MATCH(B2180,Kişiler!$A$5:$A$44,0)),0))</f>
        <v/>
      </c>
    </row>
    <row r="2181" customFormat="false" ht="15" hidden="false" customHeight="false" outlineLevel="0" collapsed="false">
      <c r="A2181" s="12"/>
      <c r="B2181" s="13"/>
      <c r="C2181" s="14"/>
      <c r="D2181" s="14"/>
      <c r="E2181" s="13"/>
      <c r="F2181" s="15"/>
      <c r="G2181" s="16" t="str">
        <f aca="false">IF(OR(B2181="",A2181=""),"",C2181*IFERROR(INDEX(Kişiler!$B$5:$B$44,MATCH(B2181,Kişiler!$A$5:$A$44,0)),0)+D2181*IFERROR(INDEX(Kişiler!$C$5:$C$44,MATCH(B2181,Kişiler!$A$5:$A$44,0)),0))</f>
        <v/>
      </c>
    </row>
    <row r="2182" customFormat="false" ht="15" hidden="false" customHeight="false" outlineLevel="0" collapsed="false">
      <c r="A2182" s="12"/>
      <c r="B2182" s="13"/>
      <c r="C2182" s="14"/>
      <c r="D2182" s="14"/>
      <c r="E2182" s="13"/>
      <c r="F2182" s="15"/>
      <c r="G2182" s="16" t="str">
        <f aca="false">IF(OR(B2182="",A2182=""),"",C2182*IFERROR(INDEX(Kişiler!$B$5:$B$44,MATCH(B2182,Kişiler!$A$5:$A$44,0)),0)+D2182*IFERROR(INDEX(Kişiler!$C$5:$C$44,MATCH(B2182,Kişiler!$A$5:$A$44,0)),0))</f>
        <v/>
      </c>
    </row>
    <row r="2183" customFormat="false" ht="15" hidden="false" customHeight="false" outlineLevel="0" collapsed="false">
      <c r="A2183" s="12"/>
      <c r="B2183" s="13"/>
      <c r="C2183" s="14"/>
      <c r="D2183" s="14"/>
      <c r="E2183" s="13"/>
      <c r="F2183" s="15"/>
      <c r="G2183" s="16" t="str">
        <f aca="false">IF(OR(B2183="",A2183=""),"",C2183*IFERROR(INDEX(Kişiler!$B$5:$B$44,MATCH(B2183,Kişiler!$A$5:$A$44,0)),0)+D2183*IFERROR(INDEX(Kişiler!$C$5:$C$44,MATCH(B2183,Kişiler!$A$5:$A$44,0)),0))</f>
        <v/>
      </c>
    </row>
    <row r="2184" customFormat="false" ht="15" hidden="false" customHeight="false" outlineLevel="0" collapsed="false">
      <c r="A2184" s="12"/>
      <c r="B2184" s="13"/>
      <c r="C2184" s="14"/>
      <c r="D2184" s="14"/>
      <c r="E2184" s="13"/>
      <c r="F2184" s="15"/>
      <c r="G2184" s="16" t="str">
        <f aca="false">IF(OR(B2184="",A2184=""),"",C2184*IFERROR(INDEX(Kişiler!$B$5:$B$44,MATCH(B2184,Kişiler!$A$5:$A$44,0)),0)+D2184*IFERROR(INDEX(Kişiler!$C$5:$C$44,MATCH(B2184,Kişiler!$A$5:$A$44,0)),0))</f>
        <v/>
      </c>
    </row>
    <row r="2185" customFormat="false" ht="15" hidden="false" customHeight="false" outlineLevel="0" collapsed="false">
      <c r="A2185" s="12"/>
      <c r="B2185" s="13"/>
      <c r="C2185" s="14"/>
      <c r="D2185" s="14"/>
      <c r="E2185" s="13"/>
      <c r="F2185" s="15"/>
      <c r="G2185" s="16" t="str">
        <f aca="false">IF(OR(B2185="",A2185=""),"",C2185*IFERROR(INDEX(Kişiler!$B$5:$B$44,MATCH(B2185,Kişiler!$A$5:$A$44,0)),0)+D2185*IFERROR(INDEX(Kişiler!$C$5:$C$44,MATCH(B2185,Kişiler!$A$5:$A$44,0)),0))</f>
        <v/>
      </c>
    </row>
    <row r="2186" customFormat="false" ht="15" hidden="false" customHeight="false" outlineLevel="0" collapsed="false">
      <c r="A2186" s="12"/>
      <c r="B2186" s="13"/>
      <c r="C2186" s="14"/>
      <c r="D2186" s="14"/>
      <c r="E2186" s="13"/>
      <c r="F2186" s="15"/>
      <c r="G2186" s="16" t="str">
        <f aca="false">IF(OR(B2186="",A2186=""),"",C2186*IFERROR(INDEX(Kişiler!$B$5:$B$44,MATCH(B2186,Kişiler!$A$5:$A$44,0)),0)+D2186*IFERROR(INDEX(Kişiler!$C$5:$C$44,MATCH(B2186,Kişiler!$A$5:$A$44,0)),0))</f>
        <v/>
      </c>
    </row>
    <row r="2187" customFormat="false" ht="15" hidden="false" customHeight="false" outlineLevel="0" collapsed="false">
      <c r="A2187" s="12"/>
      <c r="B2187" s="13"/>
      <c r="C2187" s="14"/>
      <c r="D2187" s="14"/>
      <c r="E2187" s="13"/>
      <c r="F2187" s="15"/>
      <c r="G2187" s="16" t="str">
        <f aca="false">IF(OR(B2187="",A2187=""),"",C2187*IFERROR(INDEX(Kişiler!$B$5:$B$44,MATCH(B2187,Kişiler!$A$5:$A$44,0)),0)+D2187*IFERROR(INDEX(Kişiler!$C$5:$C$44,MATCH(B2187,Kişiler!$A$5:$A$44,0)),0))</f>
        <v/>
      </c>
    </row>
    <row r="2188" customFormat="false" ht="15" hidden="false" customHeight="false" outlineLevel="0" collapsed="false">
      <c r="A2188" s="12"/>
      <c r="B2188" s="13"/>
      <c r="C2188" s="14"/>
      <c r="D2188" s="14"/>
      <c r="E2188" s="13"/>
      <c r="F2188" s="15"/>
      <c r="G2188" s="16" t="str">
        <f aca="false">IF(OR(B2188="",A2188=""),"",C2188*IFERROR(INDEX(Kişiler!$B$5:$B$44,MATCH(B2188,Kişiler!$A$5:$A$44,0)),0)+D2188*IFERROR(INDEX(Kişiler!$C$5:$C$44,MATCH(B2188,Kişiler!$A$5:$A$44,0)),0))</f>
        <v/>
      </c>
    </row>
    <row r="2189" customFormat="false" ht="15" hidden="false" customHeight="false" outlineLevel="0" collapsed="false">
      <c r="A2189" s="12"/>
      <c r="B2189" s="13"/>
      <c r="C2189" s="14"/>
      <c r="D2189" s="14"/>
      <c r="E2189" s="13"/>
      <c r="F2189" s="15"/>
      <c r="G2189" s="16" t="str">
        <f aca="false">IF(OR(B2189="",A2189=""),"",C2189*IFERROR(INDEX(Kişiler!$B$5:$B$44,MATCH(B2189,Kişiler!$A$5:$A$44,0)),0)+D2189*IFERROR(INDEX(Kişiler!$C$5:$C$44,MATCH(B2189,Kişiler!$A$5:$A$44,0)),0))</f>
        <v/>
      </c>
    </row>
    <row r="2190" customFormat="false" ht="15" hidden="false" customHeight="false" outlineLevel="0" collapsed="false">
      <c r="A2190" s="12"/>
      <c r="B2190" s="13"/>
      <c r="C2190" s="14"/>
      <c r="D2190" s="14"/>
      <c r="E2190" s="13"/>
      <c r="F2190" s="15"/>
      <c r="G2190" s="16" t="str">
        <f aca="false">IF(OR(B2190="",A2190=""),"",C2190*IFERROR(INDEX(Kişiler!$B$5:$B$44,MATCH(B2190,Kişiler!$A$5:$A$44,0)),0)+D2190*IFERROR(INDEX(Kişiler!$C$5:$C$44,MATCH(B2190,Kişiler!$A$5:$A$44,0)),0))</f>
        <v/>
      </c>
    </row>
    <row r="2191" customFormat="false" ht="15" hidden="false" customHeight="false" outlineLevel="0" collapsed="false">
      <c r="A2191" s="12"/>
      <c r="B2191" s="13"/>
      <c r="C2191" s="14"/>
      <c r="D2191" s="14"/>
      <c r="E2191" s="13"/>
      <c r="F2191" s="15"/>
      <c r="G2191" s="16" t="str">
        <f aca="false">IF(OR(B2191="",A2191=""),"",C2191*IFERROR(INDEX(Kişiler!$B$5:$B$44,MATCH(B2191,Kişiler!$A$5:$A$44,0)),0)+D2191*IFERROR(INDEX(Kişiler!$C$5:$C$44,MATCH(B2191,Kişiler!$A$5:$A$44,0)),0))</f>
        <v/>
      </c>
    </row>
    <row r="2192" customFormat="false" ht="15" hidden="false" customHeight="false" outlineLevel="0" collapsed="false">
      <c r="A2192" s="12"/>
      <c r="B2192" s="13"/>
      <c r="C2192" s="14"/>
      <c r="D2192" s="14"/>
      <c r="E2192" s="13"/>
      <c r="F2192" s="15"/>
      <c r="G2192" s="16" t="str">
        <f aca="false">IF(OR(B2192="",A2192=""),"",C2192*IFERROR(INDEX(Kişiler!$B$5:$B$44,MATCH(B2192,Kişiler!$A$5:$A$44,0)),0)+D2192*IFERROR(INDEX(Kişiler!$C$5:$C$44,MATCH(B2192,Kişiler!$A$5:$A$44,0)),0))</f>
        <v/>
      </c>
    </row>
    <row r="2193" customFormat="false" ht="15" hidden="false" customHeight="false" outlineLevel="0" collapsed="false">
      <c r="A2193" s="12"/>
      <c r="B2193" s="13"/>
      <c r="C2193" s="14"/>
      <c r="D2193" s="14"/>
      <c r="E2193" s="13"/>
      <c r="F2193" s="15"/>
      <c r="G2193" s="16" t="str">
        <f aca="false">IF(OR(B2193="",A2193=""),"",C2193*IFERROR(INDEX(Kişiler!$B$5:$B$44,MATCH(B2193,Kişiler!$A$5:$A$44,0)),0)+D2193*IFERROR(INDEX(Kişiler!$C$5:$C$44,MATCH(B2193,Kişiler!$A$5:$A$44,0)),0))</f>
        <v/>
      </c>
    </row>
    <row r="2194" customFormat="false" ht="15" hidden="false" customHeight="false" outlineLevel="0" collapsed="false">
      <c r="A2194" s="12"/>
      <c r="B2194" s="13"/>
      <c r="C2194" s="14"/>
      <c r="D2194" s="14"/>
      <c r="E2194" s="13"/>
      <c r="F2194" s="15"/>
      <c r="G2194" s="16" t="str">
        <f aca="false">IF(OR(B2194="",A2194=""),"",C2194*IFERROR(INDEX(Kişiler!$B$5:$B$44,MATCH(B2194,Kişiler!$A$5:$A$44,0)),0)+D2194*IFERROR(INDEX(Kişiler!$C$5:$C$44,MATCH(B2194,Kişiler!$A$5:$A$44,0)),0))</f>
        <v/>
      </c>
    </row>
    <row r="2195" customFormat="false" ht="15" hidden="false" customHeight="false" outlineLevel="0" collapsed="false">
      <c r="A2195" s="12"/>
      <c r="B2195" s="13"/>
      <c r="C2195" s="14"/>
      <c r="D2195" s="14"/>
      <c r="E2195" s="13"/>
      <c r="F2195" s="15"/>
      <c r="G2195" s="16" t="str">
        <f aca="false">IF(OR(B2195="",A2195=""),"",C2195*IFERROR(INDEX(Kişiler!$B$5:$B$44,MATCH(B2195,Kişiler!$A$5:$A$44,0)),0)+D2195*IFERROR(INDEX(Kişiler!$C$5:$C$44,MATCH(B2195,Kişiler!$A$5:$A$44,0)),0))</f>
        <v/>
      </c>
    </row>
    <row r="2196" customFormat="false" ht="15" hidden="false" customHeight="false" outlineLevel="0" collapsed="false">
      <c r="A2196" s="12"/>
      <c r="B2196" s="13"/>
      <c r="C2196" s="14"/>
      <c r="D2196" s="14"/>
      <c r="E2196" s="13"/>
      <c r="F2196" s="15"/>
      <c r="G2196" s="16" t="str">
        <f aca="false">IF(OR(B2196="",A2196=""),"",C2196*IFERROR(INDEX(Kişiler!$B$5:$B$44,MATCH(B2196,Kişiler!$A$5:$A$44,0)),0)+D2196*IFERROR(INDEX(Kişiler!$C$5:$C$44,MATCH(B2196,Kişiler!$A$5:$A$44,0)),0))</f>
        <v/>
      </c>
    </row>
    <row r="2197" customFormat="false" ht="15" hidden="false" customHeight="false" outlineLevel="0" collapsed="false">
      <c r="A2197" s="12"/>
      <c r="B2197" s="13"/>
      <c r="C2197" s="14"/>
      <c r="D2197" s="14"/>
      <c r="E2197" s="13"/>
      <c r="F2197" s="15"/>
      <c r="G2197" s="16" t="str">
        <f aca="false">IF(OR(B2197="",A2197=""),"",C2197*IFERROR(INDEX(Kişiler!$B$5:$B$44,MATCH(B2197,Kişiler!$A$5:$A$44,0)),0)+D2197*IFERROR(INDEX(Kişiler!$C$5:$C$44,MATCH(B2197,Kişiler!$A$5:$A$44,0)),0))</f>
        <v/>
      </c>
    </row>
    <row r="2198" customFormat="false" ht="15" hidden="false" customHeight="false" outlineLevel="0" collapsed="false">
      <c r="A2198" s="12"/>
      <c r="B2198" s="13"/>
      <c r="C2198" s="14"/>
      <c r="D2198" s="14"/>
      <c r="E2198" s="13"/>
      <c r="F2198" s="15"/>
      <c r="G2198" s="16" t="str">
        <f aca="false">IF(OR(B2198="",A2198=""),"",C2198*IFERROR(INDEX(Kişiler!$B$5:$B$44,MATCH(B2198,Kişiler!$A$5:$A$44,0)),0)+D2198*IFERROR(INDEX(Kişiler!$C$5:$C$44,MATCH(B2198,Kişiler!$A$5:$A$44,0)),0))</f>
        <v/>
      </c>
    </row>
    <row r="2199" customFormat="false" ht="15" hidden="false" customHeight="false" outlineLevel="0" collapsed="false">
      <c r="A2199" s="12"/>
      <c r="B2199" s="13"/>
      <c r="C2199" s="14"/>
      <c r="D2199" s="14"/>
      <c r="E2199" s="13"/>
      <c r="F2199" s="15"/>
      <c r="G2199" s="16" t="str">
        <f aca="false">IF(OR(B2199="",A2199=""),"",C2199*IFERROR(INDEX(Kişiler!$B$5:$B$44,MATCH(B2199,Kişiler!$A$5:$A$44,0)),0)+D2199*IFERROR(INDEX(Kişiler!$C$5:$C$44,MATCH(B2199,Kişiler!$A$5:$A$44,0)),0))</f>
        <v/>
      </c>
    </row>
    <row r="2200" customFormat="false" ht="15" hidden="false" customHeight="false" outlineLevel="0" collapsed="false">
      <c r="A2200" s="12"/>
      <c r="B2200" s="13"/>
      <c r="C2200" s="14"/>
      <c r="D2200" s="14"/>
      <c r="E2200" s="13"/>
      <c r="F2200" s="15"/>
      <c r="G2200" s="16" t="str">
        <f aca="false">IF(OR(B2200="",A2200=""),"",C2200*IFERROR(INDEX(Kişiler!$B$5:$B$44,MATCH(B2200,Kişiler!$A$5:$A$44,0)),0)+D2200*IFERROR(INDEX(Kişiler!$C$5:$C$44,MATCH(B2200,Kişiler!$A$5:$A$44,0)),0))</f>
        <v/>
      </c>
    </row>
    <row r="2201" customFormat="false" ht="15" hidden="false" customHeight="false" outlineLevel="0" collapsed="false">
      <c r="A2201" s="12"/>
      <c r="B2201" s="13"/>
      <c r="C2201" s="14"/>
      <c r="D2201" s="14"/>
      <c r="E2201" s="13"/>
      <c r="F2201" s="15"/>
      <c r="G2201" s="16" t="str">
        <f aca="false">IF(OR(B2201="",A2201=""),"",C2201*IFERROR(INDEX(Kişiler!$B$5:$B$44,MATCH(B2201,Kişiler!$A$5:$A$44,0)),0)+D2201*IFERROR(INDEX(Kişiler!$C$5:$C$44,MATCH(B2201,Kişiler!$A$5:$A$44,0)),0))</f>
        <v/>
      </c>
    </row>
    <row r="2202" customFormat="false" ht="15" hidden="false" customHeight="false" outlineLevel="0" collapsed="false">
      <c r="A2202" s="12"/>
      <c r="B2202" s="13"/>
      <c r="C2202" s="14"/>
      <c r="D2202" s="14"/>
      <c r="E2202" s="13"/>
      <c r="F2202" s="15"/>
      <c r="G2202" s="16" t="str">
        <f aca="false">IF(OR(B2202="",A2202=""),"",C2202*IFERROR(INDEX(Kişiler!$B$5:$B$44,MATCH(B2202,Kişiler!$A$5:$A$44,0)),0)+D2202*IFERROR(INDEX(Kişiler!$C$5:$C$44,MATCH(B2202,Kişiler!$A$5:$A$44,0)),0))</f>
        <v/>
      </c>
    </row>
    <row r="2203" customFormat="false" ht="15" hidden="false" customHeight="false" outlineLevel="0" collapsed="false">
      <c r="A2203" s="12"/>
      <c r="B2203" s="13"/>
      <c r="C2203" s="14"/>
      <c r="D2203" s="14"/>
      <c r="E2203" s="13"/>
      <c r="F2203" s="15"/>
      <c r="G2203" s="16" t="str">
        <f aca="false">IF(OR(B2203="",A2203=""),"",C2203*IFERROR(INDEX(Kişiler!$B$5:$B$44,MATCH(B2203,Kişiler!$A$5:$A$44,0)),0)+D2203*IFERROR(INDEX(Kişiler!$C$5:$C$44,MATCH(B2203,Kişiler!$A$5:$A$44,0)),0))</f>
        <v/>
      </c>
    </row>
    <row r="2204" customFormat="false" ht="15" hidden="false" customHeight="false" outlineLevel="0" collapsed="false">
      <c r="A2204" s="12"/>
      <c r="B2204" s="13"/>
      <c r="C2204" s="14"/>
      <c r="D2204" s="14"/>
      <c r="E2204" s="13"/>
      <c r="F2204" s="15"/>
      <c r="G2204" s="16" t="str">
        <f aca="false">IF(OR(B2204="",A2204=""),"",C2204*IFERROR(INDEX(Kişiler!$B$5:$B$44,MATCH(B2204,Kişiler!$A$5:$A$44,0)),0)+D2204*IFERROR(INDEX(Kişiler!$C$5:$C$44,MATCH(B2204,Kişiler!$A$5:$A$44,0)),0))</f>
        <v/>
      </c>
    </row>
    <row r="2205" customFormat="false" ht="15" hidden="false" customHeight="false" outlineLevel="0" collapsed="false">
      <c r="A2205" s="12"/>
      <c r="B2205" s="13"/>
      <c r="C2205" s="14"/>
      <c r="D2205" s="14"/>
      <c r="E2205" s="13"/>
      <c r="F2205" s="15"/>
      <c r="G2205" s="16" t="str">
        <f aca="false">IF(OR(B2205="",A2205=""),"",C2205*IFERROR(INDEX(Kişiler!$B$5:$B$44,MATCH(B2205,Kişiler!$A$5:$A$44,0)),0)+D2205*IFERROR(INDEX(Kişiler!$C$5:$C$44,MATCH(B2205,Kişiler!$A$5:$A$44,0)),0))</f>
        <v/>
      </c>
    </row>
    <row r="2206" customFormat="false" ht="15" hidden="false" customHeight="false" outlineLevel="0" collapsed="false">
      <c r="A2206" s="12"/>
      <c r="B2206" s="13"/>
      <c r="C2206" s="14"/>
      <c r="D2206" s="14"/>
      <c r="E2206" s="13"/>
      <c r="F2206" s="15"/>
      <c r="G2206" s="16" t="str">
        <f aca="false">IF(OR(B2206="",A2206=""),"",C2206*IFERROR(INDEX(Kişiler!$B$5:$B$44,MATCH(B2206,Kişiler!$A$5:$A$44,0)),0)+D2206*IFERROR(INDEX(Kişiler!$C$5:$C$44,MATCH(B2206,Kişiler!$A$5:$A$44,0)),0))</f>
        <v/>
      </c>
    </row>
    <row r="2207" customFormat="false" ht="15" hidden="false" customHeight="false" outlineLevel="0" collapsed="false">
      <c r="A2207" s="12"/>
      <c r="B2207" s="13"/>
      <c r="C2207" s="14"/>
      <c r="D2207" s="14"/>
      <c r="E2207" s="13"/>
      <c r="F2207" s="15"/>
      <c r="G2207" s="16" t="str">
        <f aca="false">IF(OR(B2207="",A2207=""),"",C2207*IFERROR(INDEX(Kişiler!$B$5:$B$44,MATCH(B2207,Kişiler!$A$5:$A$44,0)),0)+D2207*IFERROR(INDEX(Kişiler!$C$5:$C$44,MATCH(B2207,Kişiler!$A$5:$A$44,0)),0))</f>
        <v/>
      </c>
    </row>
    <row r="2208" customFormat="false" ht="15" hidden="false" customHeight="false" outlineLevel="0" collapsed="false">
      <c r="A2208" s="12"/>
      <c r="B2208" s="13"/>
      <c r="C2208" s="14"/>
      <c r="D2208" s="14"/>
      <c r="E2208" s="13"/>
      <c r="F2208" s="15"/>
      <c r="G2208" s="16" t="str">
        <f aca="false">IF(OR(B2208="",A2208=""),"",C2208*IFERROR(INDEX(Kişiler!$B$5:$B$44,MATCH(B2208,Kişiler!$A$5:$A$44,0)),0)+D2208*IFERROR(INDEX(Kişiler!$C$5:$C$44,MATCH(B2208,Kişiler!$A$5:$A$44,0)),0))</f>
        <v/>
      </c>
    </row>
    <row r="2209" customFormat="false" ht="15" hidden="false" customHeight="false" outlineLevel="0" collapsed="false">
      <c r="A2209" s="12"/>
      <c r="B2209" s="13"/>
      <c r="C2209" s="14"/>
      <c r="D2209" s="14"/>
      <c r="E2209" s="13"/>
      <c r="F2209" s="15"/>
      <c r="G2209" s="16" t="str">
        <f aca="false">IF(OR(B2209="",A2209=""),"",C2209*IFERROR(INDEX(Kişiler!$B$5:$B$44,MATCH(B2209,Kişiler!$A$5:$A$44,0)),0)+D2209*IFERROR(INDEX(Kişiler!$C$5:$C$44,MATCH(B2209,Kişiler!$A$5:$A$44,0)),0))</f>
        <v/>
      </c>
    </row>
    <row r="2210" customFormat="false" ht="15" hidden="false" customHeight="false" outlineLevel="0" collapsed="false">
      <c r="A2210" s="12"/>
      <c r="B2210" s="13"/>
      <c r="C2210" s="14"/>
      <c r="D2210" s="14"/>
      <c r="E2210" s="13"/>
      <c r="F2210" s="15"/>
      <c r="G2210" s="16" t="str">
        <f aca="false">IF(OR(B2210="",A2210=""),"",C2210*IFERROR(INDEX(Kişiler!$B$5:$B$44,MATCH(B2210,Kişiler!$A$5:$A$44,0)),0)+D2210*IFERROR(INDEX(Kişiler!$C$5:$C$44,MATCH(B2210,Kişiler!$A$5:$A$44,0)),0))</f>
        <v/>
      </c>
    </row>
    <row r="2211" customFormat="false" ht="15" hidden="false" customHeight="false" outlineLevel="0" collapsed="false">
      <c r="A2211" s="12"/>
      <c r="B2211" s="13"/>
      <c r="C2211" s="14"/>
      <c r="D2211" s="14"/>
      <c r="E2211" s="13"/>
      <c r="F2211" s="15"/>
      <c r="G2211" s="16" t="str">
        <f aca="false">IF(OR(B2211="",A2211=""),"",C2211*IFERROR(INDEX(Kişiler!$B$5:$B$44,MATCH(B2211,Kişiler!$A$5:$A$44,0)),0)+D2211*IFERROR(INDEX(Kişiler!$C$5:$C$44,MATCH(B2211,Kişiler!$A$5:$A$44,0)),0))</f>
        <v/>
      </c>
    </row>
    <row r="2212" customFormat="false" ht="15" hidden="false" customHeight="false" outlineLevel="0" collapsed="false">
      <c r="A2212" s="12"/>
      <c r="B2212" s="13"/>
      <c r="C2212" s="14"/>
      <c r="D2212" s="14"/>
      <c r="E2212" s="13"/>
      <c r="F2212" s="15"/>
      <c r="G2212" s="16" t="str">
        <f aca="false">IF(OR(B2212="",A2212=""),"",C2212*IFERROR(INDEX(Kişiler!$B$5:$B$44,MATCH(B2212,Kişiler!$A$5:$A$44,0)),0)+D2212*IFERROR(INDEX(Kişiler!$C$5:$C$44,MATCH(B2212,Kişiler!$A$5:$A$44,0)),0))</f>
        <v/>
      </c>
    </row>
    <row r="2213" customFormat="false" ht="15" hidden="false" customHeight="false" outlineLevel="0" collapsed="false">
      <c r="A2213" s="12"/>
      <c r="B2213" s="13"/>
      <c r="C2213" s="14"/>
      <c r="D2213" s="14"/>
      <c r="E2213" s="13"/>
      <c r="F2213" s="15"/>
      <c r="G2213" s="16" t="str">
        <f aca="false">IF(OR(B2213="",A2213=""),"",C2213*IFERROR(INDEX(Kişiler!$B$5:$B$44,MATCH(B2213,Kişiler!$A$5:$A$44,0)),0)+D2213*IFERROR(INDEX(Kişiler!$C$5:$C$44,MATCH(B2213,Kişiler!$A$5:$A$44,0)),0))</f>
        <v/>
      </c>
    </row>
    <row r="2214" customFormat="false" ht="15" hidden="false" customHeight="false" outlineLevel="0" collapsed="false">
      <c r="A2214" s="12"/>
      <c r="B2214" s="13"/>
      <c r="C2214" s="14"/>
      <c r="D2214" s="14"/>
      <c r="E2214" s="13"/>
      <c r="F2214" s="15"/>
      <c r="G2214" s="16" t="str">
        <f aca="false">IF(OR(B2214="",A2214=""),"",C2214*IFERROR(INDEX(Kişiler!$B$5:$B$44,MATCH(B2214,Kişiler!$A$5:$A$44,0)),0)+D2214*IFERROR(INDEX(Kişiler!$C$5:$C$44,MATCH(B2214,Kişiler!$A$5:$A$44,0)),0))</f>
        <v/>
      </c>
    </row>
    <row r="2215" customFormat="false" ht="15" hidden="false" customHeight="false" outlineLevel="0" collapsed="false">
      <c r="A2215" s="12"/>
      <c r="B2215" s="13"/>
      <c r="C2215" s="14"/>
      <c r="D2215" s="14"/>
      <c r="E2215" s="13"/>
      <c r="F2215" s="15"/>
      <c r="G2215" s="16" t="str">
        <f aca="false">IF(OR(B2215="",A2215=""),"",C2215*IFERROR(INDEX(Kişiler!$B$5:$B$44,MATCH(B2215,Kişiler!$A$5:$A$44,0)),0)+D2215*IFERROR(INDEX(Kişiler!$C$5:$C$44,MATCH(B2215,Kişiler!$A$5:$A$44,0)),0))</f>
        <v/>
      </c>
    </row>
    <row r="2216" customFormat="false" ht="15" hidden="false" customHeight="false" outlineLevel="0" collapsed="false">
      <c r="A2216" s="12"/>
      <c r="B2216" s="13"/>
      <c r="C2216" s="14"/>
      <c r="D2216" s="14"/>
      <c r="E2216" s="13"/>
      <c r="F2216" s="15"/>
      <c r="G2216" s="16" t="str">
        <f aca="false">IF(OR(B2216="",A2216=""),"",C2216*IFERROR(INDEX(Kişiler!$B$5:$B$44,MATCH(B2216,Kişiler!$A$5:$A$44,0)),0)+D2216*IFERROR(INDEX(Kişiler!$C$5:$C$44,MATCH(B2216,Kişiler!$A$5:$A$44,0)),0))</f>
        <v/>
      </c>
    </row>
    <row r="2217" customFormat="false" ht="15" hidden="false" customHeight="false" outlineLevel="0" collapsed="false">
      <c r="A2217" s="12"/>
      <c r="B2217" s="13"/>
      <c r="C2217" s="14"/>
      <c r="D2217" s="14"/>
      <c r="E2217" s="13"/>
      <c r="F2217" s="15"/>
      <c r="G2217" s="16" t="str">
        <f aca="false">IF(OR(B2217="",A2217=""),"",C2217*IFERROR(INDEX(Kişiler!$B$5:$B$44,MATCH(B2217,Kişiler!$A$5:$A$44,0)),0)+D2217*IFERROR(INDEX(Kişiler!$C$5:$C$44,MATCH(B2217,Kişiler!$A$5:$A$44,0)),0))</f>
        <v/>
      </c>
    </row>
    <row r="2218" customFormat="false" ht="15" hidden="false" customHeight="false" outlineLevel="0" collapsed="false">
      <c r="A2218" s="12"/>
      <c r="B2218" s="13"/>
      <c r="C2218" s="14"/>
      <c r="D2218" s="14"/>
      <c r="E2218" s="13"/>
      <c r="F2218" s="15"/>
      <c r="G2218" s="16" t="str">
        <f aca="false">IF(OR(B2218="",A2218=""),"",C2218*IFERROR(INDEX(Kişiler!$B$5:$B$44,MATCH(B2218,Kişiler!$A$5:$A$44,0)),0)+D2218*IFERROR(INDEX(Kişiler!$C$5:$C$44,MATCH(B2218,Kişiler!$A$5:$A$44,0)),0))</f>
        <v/>
      </c>
    </row>
    <row r="2219" customFormat="false" ht="15" hidden="false" customHeight="false" outlineLevel="0" collapsed="false">
      <c r="A2219" s="12"/>
      <c r="B2219" s="13"/>
      <c r="C2219" s="14"/>
      <c r="D2219" s="14"/>
      <c r="E2219" s="13"/>
      <c r="F2219" s="15"/>
      <c r="G2219" s="16" t="str">
        <f aca="false">IF(OR(B2219="",A2219=""),"",C2219*IFERROR(INDEX(Kişiler!$B$5:$B$44,MATCH(B2219,Kişiler!$A$5:$A$44,0)),0)+D2219*IFERROR(INDEX(Kişiler!$C$5:$C$44,MATCH(B2219,Kişiler!$A$5:$A$44,0)),0))</f>
        <v/>
      </c>
    </row>
    <row r="2220" customFormat="false" ht="15" hidden="false" customHeight="false" outlineLevel="0" collapsed="false">
      <c r="A2220" s="12"/>
      <c r="B2220" s="13"/>
      <c r="C2220" s="14"/>
      <c r="D2220" s="14"/>
      <c r="E2220" s="13"/>
      <c r="F2220" s="15"/>
      <c r="G2220" s="16" t="str">
        <f aca="false">IF(OR(B2220="",A2220=""),"",C2220*IFERROR(INDEX(Kişiler!$B$5:$B$44,MATCH(B2220,Kişiler!$A$5:$A$44,0)),0)+D2220*IFERROR(INDEX(Kişiler!$C$5:$C$44,MATCH(B2220,Kişiler!$A$5:$A$44,0)),0))</f>
        <v/>
      </c>
    </row>
    <row r="2221" customFormat="false" ht="15" hidden="false" customHeight="false" outlineLevel="0" collapsed="false">
      <c r="A2221" s="12"/>
      <c r="B2221" s="13"/>
      <c r="C2221" s="14"/>
      <c r="D2221" s="14"/>
      <c r="E2221" s="13"/>
      <c r="F2221" s="15"/>
      <c r="G2221" s="16" t="str">
        <f aca="false">IF(OR(B2221="",A2221=""),"",C2221*IFERROR(INDEX(Kişiler!$B$5:$B$44,MATCH(B2221,Kişiler!$A$5:$A$44,0)),0)+D2221*IFERROR(INDEX(Kişiler!$C$5:$C$44,MATCH(B2221,Kişiler!$A$5:$A$44,0)),0))</f>
        <v/>
      </c>
    </row>
    <row r="2222" customFormat="false" ht="15" hidden="false" customHeight="false" outlineLevel="0" collapsed="false">
      <c r="A2222" s="12"/>
      <c r="B2222" s="13"/>
      <c r="C2222" s="14"/>
      <c r="D2222" s="14"/>
      <c r="E2222" s="13"/>
      <c r="F2222" s="15"/>
      <c r="G2222" s="16" t="str">
        <f aca="false">IF(OR(B2222="",A2222=""),"",C2222*IFERROR(INDEX(Kişiler!$B$5:$B$44,MATCH(B2222,Kişiler!$A$5:$A$44,0)),0)+D2222*IFERROR(INDEX(Kişiler!$C$5:$C$44,MATCH(B2222,Kişiler!$A$5:$A$44,0)),0))</f>
        <v/>
      </c>
    </row>
    <row r="2223" customFormat="false" ht="15" hidden="false" customHeight="false" outlineLevel="0" collapsed="false">
      <c r="A2223" s="12"/>
      <c r="B2223" s="13"/>
      <c r="C2223" s="14"/>
      <c r="D2223" s="14"/>
      <c r="E2223" s="13"/>
      <c r="F2223" s="15"/>
      <c r="G2223" s="16" t="str">
        <f aca="false">IF(OR(B2223="",A2223=""),"",C2223*IFERROR(INDEX(Kişiler!$B$5:$B$44,MATCH(B2223,Kişiler!$A$5:$A$44,0)),0)+D2223*IFERROR(INDEX(Kişiler!$C$5:$C$44,MATCH(B2223,Kişiler!$A$5:$A$44,0)),0))</f>
        <v/>
      </c>
    </row>
    <row r="2224" customFormat="false" ht="15" hidden="false" customHeight="false" outlineLevel="0" collapsed="false">
      <c r="A2224" s="12"/>
      <c r="B2224" s="13"/>
      <c r="C2224" s="14"/>
      <c r="D2224" s="14"/>
      <c r="E2224" s="13"/>
      <c r="F2224" s="15"/>
      <c r="G2224" s="16" t="str">
        <f aca="false">IF(OR(B2224="",A2224=""),"",C2224*IFERROR(INDEX(Kişiler!$B$5:$B$44,MATCH(B2224,Kişiler!$A$5:$A$44,0)),0)+D2224*IFERROR(INDEX(Kişiler!$C$5:$C$44,MATCH(B2224,Kişiler!$A$5:$A$44,0)),0))</f>
        <v/>
      </c>
    </row>
    <row r="2225" customFormat="false" ht="15" hidden="false" customHeight="false" outlineLevel="0" collapsed="false">
      <c r="A2225" s="12"/>
      <c r="B2225" s="13"/>
      <c r="C2225" s="14"/>
      <c r="D2225" s="14"/>
      <c r="E2225" s="13"/>
      <c r="F2225" s="15"/>
      <c r="G2225" s="16" t="str">
        <f aca="false">IF(OR(B2225="",A2225=""),"",C2225*IFERROR(INDEX(Kişiler!$B$5:$B$44,MATCH(B2225,Kişiler!$A$5:$A$44,0)),0)+D2225*IFERROR(INDEX(Kişiler!$C$5:$C$44,MATCH(B2225,Kişiler!$A$5:$A$44,0)),0))</f>
        <v/>
      </c>
    </row>
    <row r="2226" customFormat="false" ht="15" hidden="false" customHeight="false" outlineLevel="0" collapsed="false">
      <c r="A2226" s="12"/>
      <c r="B2226" s="13"/>
      <c r="C2226" s="14"/>
      <c r="D2226" s="14"/>
      <c r="E2226" s="13"/>
      <c r="F2226" s="15"/>
      <c r="G2226" s="16" t="str">
        <f aca="false">IF(OR(B2226="",A2226=""),"",C2226*IFERROR(INDEX(Kişiler!$B$5:$B$44,MATCH(B2226,Kişiler!$A$5:$A$44,0)),0)+D2226*IFERROR(INDEX(Kişiler!$C$5:$C$44,MATCH(B2226,Kişiler!$A$5:$A$44,0)),0))</f>
        <v/>
      </c>
    </row>
    <row r="2227" customFormat="false" ht="15" hidden="false" customHeight="false" outlineLevel="0" collapsed="false">
      <c r="A2227" s="12"/>
      <c r="B2227" s="13"/>
      <c r="C2227" s="14"/>
      <c r="D2227" s="14"/>
      <c r="E2227" s="13"/>
      <c r="F2227" s="15"/>
      <c r="G2227" s="16" t="str">
        <f aca="false">IF(OR(B2227="",A2227=""),"",C2227*IFERROR(INDEX(Kişiler!$B$5:$B$44,MATCH(B2227,Kişiler!$A$5:$A$44,0)),0)+D2227*IFERROR(INDEX(Kişiler!$C$5:$C$44,MATCH(B2227,Kişiler!$A$5:$A$44,0)),0))</f>
        <v/>
      </c>
    </row>
    <row r="2228" customFormat="false" ht="15" hidden="false" customHeight="false" outlineLevel="0" collapsed="false">
      <c r="A2228" s="12"/>
      <c r="B2228" s="13"/>
      <c r="C2228" s="14"/>
      <c r="D2228" s="14"/>
      <c r="E2228" s="13"/>
      <c r="F2228" s="15"/>
      <c r="G2228" s="16" t="str">
        <f aca="false">IF(OR(B2228="",A2228=""),"",C2228*IFERROR(INDEX(Kişiler!$B$5:$B$44,MATCH(B2228,Kişiler!$A$5:$A$44,0)),0)+D2228*IFERROR(INDEX(Kişiler!$C$5:$C$44,MATCH(B2228,Kişiler!$A$5:$A$44,0)),0))</f>
        <v/>
      </c>
    </row>
    <row r="2229" customFormat="false" ht="15" hidden="false" customHeight="false" outlineLevel="0" collapsed="false">
      <c r="A2229" s="12"/>
      <c r="B2229" s="13"/>
      <c r="C2229" s="14"/>
      <c r="D2229" s="14"/>
      <c r="E2229" s="13"/>
      <c r="F2229" s="15"/>
      <c r="G2229" s="16" t="str">
        <f aca="false">IF(OR(B2229="",A2229=""),"",C2229*IFERROR(INDEX(Kişiler!$B$5:$B$44,MATCH(B2229,Kişiler!$A$5:$A$44,0)),0)+D2229*IFERROR(INDEX(Kişiler!$C$5:$C$44,MATCH(B2229,Kişiler!$A$5:$A$44,0)),0))</f>
        <v/>
      </c>
    </row>
    <row r="2230" customFormat="false" ht="15" hidden="false" customHeight="false" outlineLevel="0" collapsed="false">
      <c r="A2230" s="12"/>
      <c r="B2230" s="13"/>
      <c r="C2230" s="14"/>
      <c r="D2230" s="14"/>
      <c r="E2230" s="13"/>
      <c r="F2230" s="15"/>
      <c r="G2230" s="16" t="str">
        <f aca="false">IF(OR(B2230="",A2230=""),"",C2230*IFERROR(INDEX(Kişiler!$B$5:$B$44,MATCH(B2230,Kişiler!$A$5:$A$44,0)),0)+D2230*IFERROR(INDEX(Kişiler!$C$5:$C$44,MATCH(B2230,Kişiler!$A$5:$A$44,0)),0))</f>
        <v/>
      </c>
    </row>
    <row r="2231" customFormat="false" ht="15" hidden="false" customHeight="false" outlineLevel="0" collapsed="false">
      <c r="A2231" s="12"/>
      <c r="B2231" s="13"/>
      <c r="C2231" s="14"/>
      <c r="D2231" s="14"/>
      <c r="E2231" s="13"/>
      <c r="F2231" s="15"/>
      <c r="G2231" s="16" t="str">
        <f aca="false">IF(OR(B2231="",A2231=""),"",C2231*IFERROR(INDEX(Kişiler!$B$5:$B$44,MATCH(B2231,Kişiler!$A$5:$A$44,0)),0)+D2231*IFERROR(INDEX(Kişiler!$C$5:$C$44,MATCH(B2231,Kişiler!$A$5:$A$44,0)),0))</f>
        <v/>
      </c>
    </row>
    <row r="2232" customFormat="false" ht="15" hidden="false" customHeight="false" outlineLevel="0" collapsed="false">
      <c r="A2232" s="12"/>
      <c r="B2232" s="13"/>
      <c r="C2232" s="14"/>
      <c r="D2232" s="14"/>
      <c r="E2232" s="13"/>
      <c r="F2232" s="15"/>
      <c r="G2232" s="16" t="str">
        <f aca="false">IF(OR(B2232="",A2232=""),"",C2232*IFERROR(INDEX(Kişiler!$B$5:$B$44,MATCH(B2232,Kişiler!$A$5:$A$44,0)),0)+D2232*IFERROR(INDEX(Kişiler!$C$5:$C$44,MATCH(B2232,Kişiler!$A$5:$A$44,0)),0))</f>
        <v/>
      </c>
    </row>
    <row r="2233" customFormat="false" ht="15" hidden="false" customHeight="false" outlineLevel="0" collapsed="false">
      <c r="A2233" s="12"/>
      <c r="B2233" s="13"/>
      <c r="C2233" s="14"/>
      <c r="D2233" s="14"/>
      <c r="E2233" s="13"/>
      <c r="F2233" s="15"/>
      <c r="G2233" s="16" t="str">
        <f aca="false">IF(OR(B2233="",A2233=""),"",C2233*IFERROR(INDEX(Kişiler!$B$5:$B$44,MATCH(B2233,Kişiler!$A$5:$A$44,0)),0)+D2233*IFERROR(INDEX(Kişiler!$C$5:$C$44,MATCH(B2233,Kişiler!$A$5:$A$44,0)),0))</f>
        <v/>
      </c>
    </row>
    <row r="2234" customFormat="false" ht="15" hidden="false" customHeight="false" outlineLevel="0" collapsed="false">
      <c r="A2234" s="12"/>
      <c r="B2234" s="13"/>
      <c r="C2234" s="14"/>
      <c r="D2234" s="14"/>
      <c r="E2234" s="13"/>
      <c r="F2234" s="15"/>
      <c r="G2234" s="16" t="str">
        <f aca="false">IF(OR(B2234="",A2234=""),"",C2234*IFERROR(INDEX(Kişiler!$B$5:$B$44,MATCH(B2234,Kişiler!$A$5:$A$44,0)),0)+D2234*IFERROR(INDEX(Kişiler!$C$5:$C$44,MATCH(B2234,Kişiler!$A$5:$A$44,0)),0))</f>
        <v/>
      </c>
    </row>
    <row r="2235" customFormat="false" ht="15" hidden="false" customHeight="false" outlineLevel="0" collapsed="false">
      <c r="A2235" s="12"/>
      <c r="B2235" s="13"/>
      <c r="C2235" s="14"/>
      <c r="D2235" s="14"/>
      <c r="E2235" s="13"/>
      <c r="F2235" s="15"/>
      <c r="G2235" s="16" t="str">
        <f aca="false">IF(OR(B2235="",A2235=""),"",C2235*IFERROR(INDEX(Kişiler!$B$5:$B$44,MATCH(B2235,Kişiler!$A$5:$A$44,0)),0)+D2235*IFERROR(INDEX(Kişiler!$C$5:$C$44,MATCH(B2235,Kişiler!$A$5:$A$44,0)),0))</f>
        <v/>
      </c>
    </row>
    <row r="2236" customFormat="false" ht="15" hidden="false" customHeight="false" outlineLevel="0" collapsed="false">
      <c r="A2236" s="12"/>
      <c r="B2236" s="13"/>
      <c r="C2236" s="14"/>
      <c r="D2236" s="14"/>
      <c r="E2236" s="13"/>
      <c r="F2236" s="15"/>
      <c r="G2236" s="16" t="str">
        <f aca="false">IF(OR(B2236="",A2236=""),"",C2236*IFERROR(INDEX(Kişiler!$B$5:$B$44,MATCH(B2236,Kişiler!$A$5:$A$44,0)),0)+D2236*IFERROR(INDEX(Kişiler!$C$5:$C$44,MATCH(B2236,Kişiler!$A$5:$A$44,0)),0))</f>
        <v/>
      </c>
    </row>
    <row r="2237" customFormat="false" ht="15" hidden="false" customHeight="false" outlineLevel="0" collapsed="false">
      <c r="A2237" s="12"/>
      <c r="B2237" s="13"/>
      <c r="C2237" s="14"/>
      <c r="D2237" s="14"/>
      <c r="E2237" s="13"/>
      <c r="F2237" s="15"/>
      <c r="G2237" s="16" t="str">
        <f aca="false">IF(OR(B2237="",A2237=""),"",C2237*IFERROR(INDEX(Kişiler!$B$5:$B$44,MATCH(B2237,Kişiler!$A$5:$A$44,0)),0)+D2237*IFERROR(INDEX(Kişiler!$C$5:$C$44,MATCH(B2237,Kişiler!$A$5:$A$44,0)),0))</f>
        <v/>
      </c>
    </row>
    <row r="2238" customFormat="false" ht="15" hidden="false" customHeight="false" outlineLevel="0" collapsed="false">
      <c r="A2238" s="12"/>
      <c r="B2238" s="13"/>
      <c r="C2238" s="14"/>
      <c r="D2238" s="14"/>
      <c r="E2238" s="13"/>
      <c r="F2238" s="15"/>
      <c r="G2238" s="16" t="str">
        <f aca="false">IF(OR(B2238="",A2238=""),"",C2238*IFERROR(INDEX(Kişiler!$B$5:$B$44,MATCH(B2238,Kişiler!$A$5:$A$44,0)),0)+D2238*IFERROR(INDEX(Kişiler!$C$5:$C$44,MATCH(B2238,Kişiler!$A$5:$A$44,0)),0))</f>
        <v/>
      </c>
    </row>
    <row r="2239" customFormat="false" ht="15" hidden="false" customHeight="false" outlineLevel="0" collapsed="false">
      <c r="A2239" s="12"/>
      <c r="B2239" s="13"/>
      <c r="C2239" s="14"/>
      <c r="D2239" s="14"/>
      <c r="E2239" s="13"/>
      <c r="F2239" s="15"/>
      <c r="G2239" s="16" t="str">
        <f aca="false">IF(OR(B2239="",A2239=""),"",C2239*IFERROR(INDEX(Kişiler!$B$5:$B$44,MATCH(B2239,Kişiler!$A$5:$A$44,0)),0)+D2239*IFERROR(INDEX(Kişiler!$C$5:$C$44,MATCH(B2239,Kişiler!$A$5:$A$44,0)),0))</f>
        <v/>
      </c>
    </row>
    <row r="2240" customFormat="false" ht="15" hidden="false" customHeight="false" outlineLevel="0" collapsed="false">
      <c r="A2240" s="12"/>
      <c r="B2240" s="13"/>
      <c r="C2240" s="14"/>
      <c r="D2240" s="14"/>
      <c r="E2240" s="13"/>
      <c r="F2240" s="15"/>
      <c r="G2240" s="16" t="str">
        <f aca="false">IF(OR(B2240="",A2240=""),"",C2240*IFERROR(INDEX(Kişiler!$B$5:$B$44,MATCH(B2240,Kişiler!$A$5:$A$44,0)),0)+D2240*IFERROR(INDEX(Kişiler!$C$5:$C$44,MATCH(B2240,Kişiler!$A$5:$A$44,0)),0))</f>
        <v/>
      </c>
    </row>
    <row r="2241" customFormat="false" ht="15" hidden="false" customHeight="false" outlineLevel="0" collapsed="false">
      <c r="A2241" s="12"/>
      <c r="B2241" s="13"/>
      <c r="C2241" s="14"/>
      <c r="D2241" s="14"/>
      <c r="E2241" s="13"/>
      <c r="F2241" s="15"/>
      <c r="G2241" s="16" t="str">
        <f aca="false">IF(OR(B2241="",A2241=""),"",C2241*IFERROR(INDEX(Kişiler!$B$5:$B$44,MATCH(B2241,Kişiler!$A$5:$A$44,0)),0)+D2241*IFERROR(INDEX(Kişiler!$C$5:$C$44,MATCH(B2241,Kişiler!$A$5:$A$44,0)),0))</f>
        <v/>
      </c>
    </row>
    <row r="2242" customFormat="false" ht="15" hidden="false" customHeight="false" outlineLevel="0" collapsed="false">
      <c r="A2242" s="12"/>
      <c r="B2242" s="13"/>
      <c r="C2242" s="14"/>
      <c r="D2242" s="14"/>
      <c r="E2242" s="13"/>
      <c r="F2242" s="15"/>
      <c r="G2242" s="16" t="str">
        <f aca="false">IF(OR(B2242="",A2242=""),"",C2242*IFERROR(INDEX(Kişiler!$B$5:$B$44,MATCH(B2242,Kişiler!$A$5:$A$44,0)),0)+D2242*IFERROR(INDEX(Kişiler!$C$5:$C$44,MATCH(B2242,Kişiler!$A$5:$A$44,0)),0))</f>
        <v/>
      </c>
    </row>
    <row r="2243" customFormat="false" ht="15" hidden="false" customHeight="false" outlineLevel="0" collapsed="false">
      <c r="A2243" s="12"/>
      <c r="B2243" s="13"/>
      <c r="C2243" s="14"/>
      <c r="D2243" s="14"/>
      <c r="E2243" s="13"/>
      <c r="F2243" s="15"/>
      <c r="G2243" s="16" t="str">
        <f aca="false">IF(OR(B2243="",A2243=""),"",C2243*IFERROR(INDEX(Kişiler!$B$5:$B$44,MATCH(B2243,Kişiler!$A$5:$A$44,0)),0)+D2243*IFERROR(INDEX(Kişiler!$C$5:$C$44,MATCH(B2243,Kişiler!$A$5:$A$44,0)),0))</f>
        <v/>
      </c>
    </row>
    <row r="2244" customFormat="false" ht="15" hidden="false" customHeight="false" outlineLevel="0" collapsed="false">
      <c r="A2244" s="12"/>
      <c r="B2244" s="13"/>
      <c r="C2244" s="14"/>
      <c r="D2244" s="14"/>
      <c r="E2244" s="13"/>
      <c r="F2244" s="15"/>
      <c r="G2244" s="16" t="str">
        <f aca="false">IF(OR(B2244="",A2244=""),"",C2244*IFERROR(INDEX(Kişiler!$B$5:$B$44,MATCH(B2244,Kişiler!$A$5:$A$44,0)),0)+D2244*IFERROR(INDEX(Kişiler!$C$5:$C$44,MATCH(B2244,Kişiler!$A$5:$A$44,0)),0))</f>
        <v/>
      </c>
    </row>
    <row r="2245" customFormat="false" ht="15" hidden="false" customHeight="false" outlineLevel="0" collapsed="false">
      <c r="A2245" s="12"/>
      <c r="B2245" s="13"/>
      <c r="C2245" s="14"/>
      <c r="D2245" s="14"/>
      <c r="E2245" s="13"/>
      <c r="F2245" s="15"/>
      <c r="G2245" s="16" t="str">
        <f aca="false">IF(OR(B2245="",A2245=""),"",C2245*IFERROR(INDEX(Kişiler!$B$5:$B$44,MATCH(B2245,Kişiler!$A$5:$A$44,0)),0)+D2245*IFERROR(INDEX(Kişiler!$C$5:$C$44,MATCH(B2245,Kişiler!$A$5:$A$44,0)),0))</f>
        <v/>
      </c>
    </row>
    <row r="2246" customFormat="false" ht="15" hidden="false" customHeight="false" outlineLevel="0" collapsed="false">
      <c r="A2246" s="12"/>
      <c r="B2246" s="13"/>
      <c r="C2246" s="14"/>
      <c r="D2246" s="14"/>
      <c r="E2246" s="13"/>
      <c r="F2246" s="15"/>
      <c r="G2246" s="16" t="str">
        <f aca="false">IF(OR(B2246="",A2246=""),"",C2246*IFERROR(INDEX(Kişiler!$B$5:$B$44,MATCH(B2246,Kişiler!$A$5:$A$44,0)),0)+D2246*IFERROR(INDEX(Kişiler!$C$5:$C$44,MATCH(B2246,Kişiler!$A$5:$A$44,0)),0))</f>
        <v/>
      </c>
    </row>
    <row r="2247" customFormat="false" ht="15" hidden="false" customHeight="false" outlineLevel="0" collapsed="false">
      <c r="A2247" s="12"/>
      <c r="B2247" s="13"/>
      <c r="C2247" s="14"/>
      <c r="D2247" s="14"/>
      <c r="E2247" s="13"/>
      <c r="F2247" s="15"/>
      <c r="G2247" s="16" t="str">
        <f aca="false">IF(OR(B2247="",A2247=""),"",C2247*IFERROR(INDEX(Kişiler!$B$5:$B$44,MATCH(B2247,Kişiler!$A$5:$A$44,0)),0)+D2247*IFERROR(INDEX(Kişiler!$C$5:$C$44,MATCH(B2247,Kişiler!$A$5:$A$44,0)),0))</f>
        <v/>
      </c>
    </row>
    <row r="2248" customFormat="false" ht="15" hidden="false" customHeight="false" outlineLevel="0" collapsed="false">
      <c r="A2248" s="12"/>
      <c r="B2248" s="13"/>
      <c r="C2248" s="14"/>
      <c r="D2248" s="14"/>
      <c r="E2248" s="13"/>
      <c r="F2248" s="15"/>
      <c r="G2248" s="16" t="str">
        <f aca="false">IF(OR(B2248="",A2248=""),"",C2248*IFERROR(INDEX(Kişiler!$B$5:$B$44,MATCH(B2248,Kişiler!$A$5:$A$44,0)),0)+D2248*IFERROR(INDEX(Kişiler!$C$5:$C$44,MATCH(B2248,Kişiler!$A$5:$A$44,0)),0))</f>
        <v/>
      </c>
    </row>
    <row r="2249" customFormat="false" ht="15" hidden="false" customHeight="false" outlineLevel="0" collapsed="false">
      <c r="A2249" s="12"/>
      <c r="B2249" s="13"/>
      <c r="C2249" s="14"/>
      <c r="D2249" s="14"/>
      <c r="E2249" s="13"/>
      <c r="F2249" s="15"/>
      <c r="G2249" s="16" t="str">
        <f aca="false">IF(OR(B2249="",A2249=""),"",C2249*IFERROR(INDEX(Kişiler!$B$5:$B$44,MATCH(B2249,Kişiler!$A$5:$A$44,0)),0)+D2249*IFERROR(INDEX(Kişiler!$C$5:$C$44,MATCH(B2249,Kişiler!$A$5:$A$44,0)),0))</f>
        <v/>
      </c>
    </row>
    <row r="2250" customFormat="false" ht="15" hidden="false" customHeight="false" outlineLevel="0" collapsed="false">
      <c r="A2250" s="12"/>
      <c r="B2250" s="13"/>
      <c r="C2250" s="14"/>
      <c r="D2250" s="14"/>
      <c r="E2250" s="13"/>
      <c r="F2250" s="15"/>
      <c r="G2250" s="16" t="str">
        <f aca="false">IF(OR(B2250="",A2250=""),"",C2250*IFERROR(INDEX(Kişiler!$B$5:$B$44,MATCH(B2250,Kişiler!$A$5:$A$44,0)),0)+D2250*IFERROR(INDEX(Kişiler!$C$5:$C$44,MATCH(B2250,Kişiler!$A$5:$A$44,0)),0))</f>
        <v/>
      </c>
    </row>
    <row r="2251" customFormat="false" ht="15" hidden="false" customHeight="false" outlineLevel="0" collapsed="false">
      <c r="A2251" s="12"/>
      <c r="B2251" s="13"/>
      <c r="C2251" s="14"/>
      <c r="D2251" s="14"/>
      <c r="E2251" s="13"/>
      <c r="F2251" s="15"/>
      <c r="G2251" s="16" t="str">
        <f aca="false">IF(OR(B2251="",A2251=""),"",C2251*IFERROR(INDEX(Kişiler!$B$5:$B$44,MATCH(B2251,Kişiler!$A$5:$A$44,0)),0)+D2251*IFERROR(INDEX(Kişiler!$C$5:$C$44,MATCH(B2251,Kişiler!$A$5:$A$44,0)),0))</f>
        <v/>
      </c>
    </row>
    <row r="2252" customFormat="false" ht="15" hidden="false" customHeight="false" outlineLevel="0" collapsed="false">
      <c r="A2252" s="12"/>
      <c r="B2252" s="13"/>
      <c r="C2252" s="14"/>
      <c r="D2252" s="14"/>
      <c r="E2252" s="13"/>
      <c r="F2252" s="15"/>
      <c r="G2252" s="16" t="str">
        <f aca="false">IF(OR(B2252="",A2252=""),"",C2252*IFERROR(INDEX(Kişiler!$B$5:$B$44,MATCH(B2252,Kişiler!$A$5:$A$44,0)),0)+D2252*IFERROR(INDEX(Kişiler!$C$5:$C$44,MATCH(B2252,Kişiler!$A$5:$A$44,0)),0))</f>
        <v/>
      </c>
    </row>
    <row r="2253" customFormat="false" ht="15" hidden="false" customHeight="false" outlineLevel="0" collapsed="false">
      <c r="A2253" s="12"/>
      <c r="B2253" s="13"/>
      <c r="C2253" s="14"/>
      <c r="D2253" s="14"/>
      <c r="E2253" s="13"/>
      <c r="F2253" s="15"/>
      <c r="G2253" s="16" t="str">
        <f aca="false">IF(OR(B2253="",A2253=""),"",C2253*IFERROR(INDEX(Kişiler!$B$5:$B$44,MATCH(B2253,Kişiler!$A$5:$A$44,0)),0)+D2253*IFERROR(INDEX(Kişiler!$C$5:$C$44,MATCH(B2253,Kişiler!$A$5:$A$44,0)),0))</f>
        <v/>
      </c>
    </row>
    <row r="2254" customFormat="false" ht="15" hidden="false" customHeight="false" outlineLevel="0" collapsed="false">
      <c r="A2254" s="12"/>
      <c r="B2254" s="13"/>
      <c r="C2254" s="14"/>
      <c r="D2254" s="14"/>
      <c r="E2254" s="13"/>
      <c r="F2254" s="15"/>
      <c r="G2254" s="16" t="str">
        <f aca="false">IF(OR(B2254="",A2254=""),"",C2254*IFERROR(INDEX(Kişiler!$B$5:$B$44,MATCH(B2254,Kişiler!$A$5:$A$44,0)),0)+D2254*IFERROR(INDEX(Kişiler!$C$5:$C$44,MATCH(B2254,Kişiler!$A$5:$A$44,0)),0))</f>
        <v/>
      </c>
    </row>
    <row r="2255" customFormat="false" ht="15" hidden="false" customHeight="false" outlineLevel="0" collapsed="false">
      <c r="A2255" s="12"/>
      <c r="B2255" s="13"/>
      <c r="C2255" s="14"/>
      <c r="D2255" s="14"/>
      <c r="E2255" s="13"/>
      <c r="F2255" s="15"/>
      <c r="G2255" s="16" t="str">
        <f aca="false">IF(OR(B2255="",A2255=""),"",C2255*IFERROR(INDEX(Kişiler!$B$5:$B$44,MATCH(B2255,Kişiler!$A$5:$A$44,0)),0)+D2255*IFERROR(INDEX(Kişiler!$C$5:$C$44,MATCH(B2255,Kişiler!$A$5:$A$44,0)),0))</f>
        <v/>
      </c>
    </row>
    <row r="2256" customFormat="false" ht="15" hidden="false" customHeight="false" outlineLevel="0" collapsed="false">
      <c r="A2256" s="12"/>
      <c r="B2256" s="13"/>
      <c r="C2256" s="14"/>
      <c r="D2256" s="14"/>
      <c r="E2256" s="13"/>
      <c r="F2256" s="15"/>
      <c r="G2256" s="16" t="str">
        <f aca="false">IF(OR(B2256="",A2256=""),"",C2256*IFERROR(INDEX(Kişiler!$B$5:$B$44,MATCH(B2256,Kişiler!$A$5:$A$44,0)),0)+D2256*IFERROR(INDEX(Kişiler!$C$5:$C$44,MATCH(B2256,Kişiler!$A$5:$A$44,0)),0))</f>
        <v/>
      </c>
    </row>
    <row r="2257" customFormat="false" ht="15" hidden="false" customHeight="false" outlineLevel="0" collapsed="false">
      <c r="A2257" s="12"/>
      <c r="B2257" s="13"/>
      <c r="C2257" s="14"/>
      <c r="D2257" s="14"/>
      <c r="E2257" s="13"/>
      <c r="F2257" s="15"/>
      <c r="G2257" s="16" t="str">
        <f aca="false">IF(OR(B2257="",A2257=""),"",C2257*IFERROR(INDEX(Kişiler!$B$5:$B$44,MATCH(B2257,Kişiler!$A$5:$A$44,0)),0)+D2257*IFERROR(INDEX(Kişiler!$C$5:$C$44,MATCH(B2257,Kişiler!$A$5:$A$44,0)),0))</f>
        <v/>
      </c>
    </row>
    <row r="2258" customFormat="false" ht="15" hidden="false" customHeight="false" outlineLevel="0" collapsed="false">
      <c r="A2258" s="12"/>
      <c r="B2258" s="13"/>
      <c r="C2258" s="14"/>
      <c r="D2258" s="14"/>
      <c r="E2258" s="13"/>
      <c r="F2258" s="15"/>
      <c r="G2258" s="16" t="str">
        <f aca="false">IF(OR(B2258="",A2258=""),"",C2258*IFERROR(INDEX(Kişiler!$B$5:$B$44,MATCH(B2258,Kişiler!$A$5:$A$44,0)),0)+D2258*IFERROR(INDEX(Kişiler!$C$5:$C$44,MATCH(B2258,Kişiler!$A$5:$A$44,0)),0))</f>
        <v/>
      </c>
    </row>
    <row r="2259" customFormat="false" ht="15" hidden="false" customHeight="false" outlineLevel="0" collapsed="false">
      <c r="A2259" s="12"/>
      <c r="B2259" s="13"/>
      <c r="C2259" s="14"/>
      <c r="D2259" s="14"/>
      <c r="E2259" s="13"/>
      <c r="F2259" s="15"/>
      <c r="G2259" s="16" t="str">
        <f aca="false">IF(OR(B2259="",A2259=""),"",C2259*IFERROR(INDEX(Kişiler!$B$5:$B$44,MATCH(B2259,Kişiler!$A$5:$A$44,0)),0)+D2259*IFERROR(INDEX(Kişiler!$C$5:$C$44,MATCH(B2259,Kişiler!$A$5:$A$44,0)),0))</f>
        <v/>
      </c>
    </row>
    <row r="2260" customFormat="false" ht="15" hidden="false" customHeight="false" outlineLevel="0" collapsed="false">
      <c r="A2260" s="12"/>
      <c r="B2260" s="13"/>
      <c r="C2260" s="14"/>
      <c r="D2260" s="14"/>
      <c r="E2260" s="13"/>
      <c r="F2260" s="15"/>
      <c r="G2260" s="16" t="str">
        <f aca="false">IF(OR(B2260="",A2260=""),"",C2260*IFERROR(INDEX(Kişiler!$B$5:$B$44,MATCH(B2260,Kişiler!$A$5:$A$44,0)),0)+D2260*IFERROR(INDEX(Kişiler!$C$5:$C$44,MATCH(B2260,Kişiler!$A$5:$A$44,0)),0))</f>
        <v/>
      </c>
    </row>
    <row r="2261" customFormat="false" ht="15" hidden="false" customHeight="false" outlineLevel="0" collapsed="false">
      <c r="A2261" s="12"/>
      <c r="B2261" s="13"/>
      <c r="C2261" s="14"/>
      <c r="D2261" s="14"/>
      <c r="E2261" s="13"/>
      <c r="F2261" s="15"/>
      <c r="G2261" s="16" t="str">
        <f aca="false">IF(OR(B2261="",A2261=""),"",C2261*IFERROR(INDEX(Kişiler!$B$5:$B$44,MATCH(B2261,Kişiler!$A$5:$A$44,0)),0)+D2261*IFERROR(INDEX(Kişiler!$C$5:$C$44,MATCH(B2261,Kişiler!$A$5:$A$44,0)),0))</f>
        <v/>
      </c>
    </row>
    <row r="2262" customFormat="false" ht="15" hidden="false" customHeight="false" outlineLevel="0" collapsed="false">
      <c r="A2262" s="12"/>
      <c r="B2262" s="13"/>
      <c r="C2262" s="14"/>
      <c r="D2262" s="14"/>
      <c r="E2262" s="13"/>
      <c r="F2262" s="15"/>
      <c r="G2262" s="16" t="str">
        <f aca="false">IF(OR(B2262="",A2262=""),"",C2262*IFERROR(INDEX(Kişiler!$B$5:$B$44,MATCH(B2262,Kişiler!$A$5:$A$44,0)),0)+D2262*IFERROR(INDEX(Kişiler!$C$5:$C$44,MATCH(B2262,Kişiler!$A$5:$A$44,0)),0))</f>
        <v/>
      </c>
    </row>
    <row r="2263" customFormat="false" ht="15" hidden="false" customHeight="false" outlineLevel="0" collapsed="false">
      <c r="A2263" s="12"/>
      <c r="B2263" s="13"/>
      <c r="C2263" s="14"/>
      <c r="D2263" s="14"/>
      <c r="E2263" s="13"/>
      <c r="F2263" s="15"/>
      <c r="G2263" s="16" t="str">
        <f aca="false">IF(OR(B2263="",A2263=""),"",C2263*IFERROR(INDEX(Kişiler!$B$5:$B$44,MATCH(B2263,Kişiler!$A$5:$A$44,0)),0)+D2263*IFERROR(INDEX(Kişiler!$C$5:$C$44,MATCH(B2263,Kişiler!$A$5:$A$44,0)),0))</f>
        <v/>
      </c>
    </row>
    <row r="2264" customFormat="false" ht="15" hidden="false" customHeight="false" outlineLevel="0" collapsed="false">
      <c r="A2264" s="12"/>
      <c r="B2264" s="13"/>
      <c r="C2264" s="14"/>
      <c r="D2264" s="14"/>
      <c r="E2264" s="13"/>
      <c r="F2264" s="15"/>
      <c r="G2264" s="16" t="str">
        <f aca="false">IF(OR(B2264="",A2264=""),"",C2264*IFERROR(INDEX(Kişiler!$B$5:$B$44,MATCH(B2264,Kişiler!$A$5:$A$44,0)),0)+D2264*IFERROR(INDEX(Kişiler!$C$5:$C$44,MATCH(B2264,Kişiler!$A$5:$A$44,0)),0))</f>
        <v/>
      </c>
    </row>
    <row r="2265" customFormat="false" ht="15" hidden="false" customHeight="false" outlineLevel="0" collapsed="false">
      <c r="A2265" s="12"/>
      <c r="B2265" s="13"/>
      <c r="C2265" s="14"/>
      <c r="D2265" s="14"/>
      <c r="E2265" s="13"/>
      <c r="F2265" s="15"/>
      <c r="G2265" s="16" t="str">
        <f aca="false">IF(OR(B2265="",A2265=""),"",C2265*IFERROR(INDEX(Kişiler!$B$5:$B$44,MATCH(B2265,Kişiler!$A$5:$A$44,0)),0)+D2265*IFERROR(INDEX(Kişiler!$C$5:$C$44,MATCH(B2265,Kişiler!$A$5:$A$44,0)),0))</f>
        <v/>
      </c>
    </row>
    <row r="2266" customFormat="false" ht="15" hidden="false" customHeight="false" outlineLevel="0" collapsed="false">
      <c r="A2266" s="12"/>
      <c r="B2266" s="13"/>
      <c r="C2266" s="14"/>
      <c r="D2266" s="14"/>
      <c r="E2266" s="13"/>
      <c r="F2266" s="15"/>
      <c r="G2266" s="16" t="str">
        <f aca="false">IF(OR(B2266="",A2266=""),"",C2266*IFERROR(INDEX(Kişiler!$B$5:$B$44,MATCH(B2266,Kişiler!$A$5:$A$44,0)),0)+D2266*IFERROR(INDEX(Kişiler!$C$5:$C$44,MATCH(B2266,Kişiler!$A$5:$A$44,0)),0))</f>
        <v/>
      </c>
    </row>
    <row r="2267" customFormat="false" ht="15" hidden="false" customHeight="false" outlineLevel="0" collapsed="false">
      <c r="A2267" s="12"/>
      <c r="B2267" s="13"/>
      <c r="C2267" s="14"/>
      <c r="D2267" s="14"/>
      <c r="E2267" s="13"/>
      <c r="F2267" s="15"/>
      <c r="G2267" s="16" t="str">
        <f aca="false">IF(OR(B2267="",A2267=""),"",C2267*IFERROR(INDEX(Kişiler!$B$5:$B$44,MATCH(B2267,Kişiler!$A$5:$A$44,0)),0)+D2267*IFERROR(INDEX(Kişiler!$C$5:$C$44,MATCH(B2267,Kişiler!$A$5:$A$44,0)),0))</f>
        <v/>
      </c>
    </row>
    <row r="2268" customFormat="false" ht="15" hidden="false" customHeight="false" outlineLevel="0" collapsed="false">
      <c r="A2268" s="12"/>
      <c r="B2268" s="13"/>
      <c r="C2268" s="14"/>
      <c r="D2268" s="14"/>
      <c r="E2268" s="13"/>
      <c r="F2268" s="15"/>
      <c r="G2268" s="16" t="str">
        <f aca="false">IF(OR(B2268="",A2268=""),"",C2268*IFERROR(INDEX(Kişiler!$B$5:$B$44,MATCH(B2268,Kişiler!$A$5:$A$44,0)),0)+D2268*IFERROR(INDEX(Kişiler!$C$5:$C$44,MATCH(B2268,Kişiler!$A$5:$A$44,0)),0))</f>
        <v/>
      </c>
    </row>
    <row r="2269" customFormat="false" ht="15" hidden="false" customHeight="false" outlineLevel="0" collapsed="false">
      <c r="A2269" s="12"/>
      <c r="B2269" s="13"/>
      <c r="C2269" s="14"/>
      <c r="D2269" s="14"/>
      <c r="E2269" s="13"/>
      <c r="F2269" s="15"/>
      <c r="G2269" s="16" t="str">
        <f aca="false">IF(OR(B2269="",A2269=""),"",C2269*IFERROR(INDEX(Kişiler!$B$5:$B$44,MATCH(B2269,Kişiler!$A$5:$A$44,0)),0)+D2269*IFERROR(INDEX(Kişiler!$C$5:$C$44,MATCH(B2269,Kişiler!$A$5:$A$44,0)),0))</f>
        <v/>
      </c>
    </row>
    <row r="2270" customFormat="false" ht="15" hidden="false" customHeight="false" outlineLevel="0" collapsed="false">
      <c r="A2270" s="12"/>
      <c r="B2270" s="13"/>
      <c r="C2270" s="14"/>
      <c r="D2270" s="14"/>
      <c r="E2270" s="13"/>
      <c r="F2270" s="15"/>
      <c r="G2270" s="16" t="str">
        <f aca="false">IF(OR(B2270="",A2270=""),"",C2270*IFERROR(INDEX(Kişiler!$B$5:$B$44,MATCH(B2270,Kişiler!$A$5:$A$44,0)),0)+D2270*IFERROR(INDEX(Kişiler!$C$5:$C$44,MATCH(B2270,Kişiler!$A$5:$A$44,0)),0))</f>
        <v/>
      </c>
    </row>
    <row r="2271" customFormat="false" ht="15" hidden="false" customHeight="false" outlineLevel="0" collapsed="false">
      <c r="A2271" s="12"/>
      <c r="B2271" s="13"/>
      <c r="C2271" s="14"/>
      <c r="D2271" s="14"/>
      <c r="E2271" s="13"/>
      <c r="F2271" s="15"/>
      <c r="G2271" s="16" t="str">
        <f aca="false">IF(OR(B2271="",A2271=""),"",C2271*IFERROR(INDEX(Kişiler!$B$5:$B$44,MATCH(B2271,Kişiler!$A$5:$A$44,0)),0)+D2271*IFERROR(INDEX(Kişiler!$C$5:$C$44,MATCH(B2271,Kişiler!$A$5:$A$44,0)),0))</f>
        <v/>
      </c>
    </row>
    <row r="2272" customFormat="false" ht="15" hidden="false" customHeight="false" outlineLevel="0" collapsed="false">
      <c r="A2272" s="12"/>
      <c r="B2272" s="13"/>
      <c r="C2272" s="14"/>
      <c r="D2272" s="14"/>
      <c r="E2272" s="13"/>
      <c r="F2272" s="15"/>
      <c r="G2272" s="16" t="str">
        <f aca="false">IF(OR(B2272="",A2272=""),"",C2272*IFERROR(INDEX(Kişiler!$B$5:$B$44,MATCH(B2272,Kişiler!$A$5:$A$44,0)),0)+D2272*IFERROR(INDEX(Kişiler!$C$5:$C$44,MATCH(B2272,Kişiler!$A$5:$A$44,0)),0))</f>
        <v/>
      </c>
    </row>
    <row r="2273" customFormat="false" ht="15" hidden="false" customHeight="false" outlineLevel="0" collapsed="false">
      <c r="A2273" s="12"/>
      <c r="B2273" s="13"/>
      <c r="C2273" s="14"/>
      <c r="D2273" s="14"/>
      <c r="E2273" s="13"/>
      <c r="F2273" s="15"/>
      <c r="G2273" s="16" t="str">
        <f aca="false">IF(OR(B2273="",A2273=""),"",C2273*IFERROR(INDEX(Kişiler!$B$5:$B$44,MATCH(B2273,Kişiler!$A$5:$A$44,0)),0)+D2273*IFERROR(INDEX(Kişiler!$C$5:$C$44,MATCH(B2273,Kişiler!$A$5:$A$44,0)),0))</f>
        <v/>
      </c>
    </row>
    <row r="2274" customFormat="false" ht="15" hidden="false" customHeight="false" outlineLevel="0" collapsed="false">
      <c r="A2274" s="12"/>
      <c r="B2274" s="13"/>
      <c r="C2274" s="14"/>
      <c r="D2274" s="14"/>
      <c r="E2274" s="13"/>
      <c r="F2274" s="15"/>
      <c r="G2274" s="16" t="str">
        <f aca="false">IF(OR(B2274="",A2274=""),"",C2274*IFERROR(INDEX(Kişiler!$B$5:$B$44,MATCH(B2274,Kişiler!$A$5:$A$44,0)),0)+D2274*IFERROR(INDEX(Kişiler!$C$5:$C$44,MATCH(B2274,Kişiler!$A$5:$A$44,0)),0))</f>
        <v/>
      </c>
    </row>
    <row r="2275" customFormat="false" ht="15" hidden="false" customHeight="false" outlineLevel="0" collapsed="false">
      <c r="A2275" s="12"/>
      <c r="B2275" s="13"/>
      <c r="C2275" s="14"/>
      <c r="D2275" s="14"/>
      <c r="E2275" s="13"/>
      <c r="F2275" s="15"/>
      <c r="G2275" s="16" t="str">
        <f aca="false">IF(OR(B2275="",A2275=""),"",C2275*IFERROR(INDEX(Kişiler!$B$5:$B$44,MATCH(B2275,Kişiler!$A$5:$A$44,0)),0)+D2275*IFERROR(INDEX(Kişiler!$C$5:$C$44,MATCH(B2275,Kişiler!$A$5:$A$44,0)),0))</f>
        <v/>
      </c>
    </row>
    <row r="2276" customFormat="false" ht="15" hidden="false" customHeight="false" outlineLevel="0" collapsed="false">
      <c r="A2276" s="12"/>
      <c r="B2276" s="13"/>
      <c r="C2276" s="14"/>
      <c r="D2276" s="14"/>
      <c r="E2276" s="13"/>
      <c r="F2276" s="15"/>
      <c r="G2276" s="16" t="str">
        <f aca="false">IF(OR(B2276="",A2276=""),"",C2276*IFERROR(INDEX(Kişiler!$B$5:$B$44,MATCH(B2276,Kişiler!$A$5:$A$44,0)),0)+D2276*IFERROR(INDEX(Kişiler!$C$5:$C$44,MATCH(B2276,Kişiler!$A$5:$A$44,0)),0))</f>
        <v/>
      </c>
    </row>
    <row r="2277" customFormat="false" ht="15" hidden="false" customHeight="false" outlineLevel="0" collapsed="false">
      <c r="A2277" s="12"/>
      <c r="B2277" s="13"/>
      <c r="C2277" s="14"/>
      <c r="D2277" s="14"/>
      <c r="E2277" s="13"/>
      <c r="F2277" s="15"/>
      <c r="G2277" s="16" t="str">
        <f aca="false">IF(OR(B2277="",A2277=""),"",C2277*IFERROR(INDEX(Kişiler!$B$5:$B$44,MATCH(B2277,Kişiler!$A$5:$A$44,0)),0)+D2277*IFERROR(INDEX(Kişiler!$C$5:$C$44,MATCH(B2277,Kişiler!$A$5:$A$44,0)),0))</f>
        <v/>
      </c>
    </row>
    <row r="2278" customFormat="false" ht="15" hidden="false" customHeight="false" outlineLevel="0" collapsed="false">
      <c r="A2278" s="12"/>
      <c r="B2278" s="13"/>
      <c r="C2278" s="14"/>
      <c r="D2278" s="14"/>
      <c r="E2278" s="13"/>
      <c r="F2278" s="15"/>
      <c r="G2278" s="16" t="str">
        <f aca="false">IF(OR(B2278="",A2278=""),"",C2278*IFERROR(INDEX(Kişiler!$B$5:$B$44,MATCH(B2278,Kişiler!$A$5:$A$44,0)),0)+D2278*IFERROR(INDEX(Kişiler!$C$5:$C$44,MATCH(B2278,Kişiler!$A$5:$A$44,0)),0))</f>
        <v/>
      </c>
    </row>
    <row r="2279" customFormat="false" ht="15" hidden="false" customHeight="false" outlineLevel="0" collapsed="false">
      <c r="A2279" s="12"/>
      <c r="B2279" s="13"/>
      <c r="C2279" s="14"/>
      <c r="D2279" s="14"/>
      <c r="E2279" s="13"/>
      <c r="F2279" s="15"/>
      <c r="G2279" s="16" t="str">
        <f aca="false">IF(OR(B2279="",A2279=""),"",C2279*IFERROR(INDEX(Kişiler!$B$5:$B$44,MATCH(B2279,Kişiler!$A$5:$A$44,0)),0)+D2279*IFERROR(INDEX(Kişiler!$C$5:$C$44,MATCH(B2279,Kişiler!$A$5:$A$44,0)),0))</f>
        <v/>
      </c>
    </row>
    <row r="2280" customFormat="false" ht="15" hidden="false" customHeight="false" outlineLevel="0" collapsed="false">
      <c r="A2280" s="12"/>
      <c r="B2280" s="13"/>
      <c r="C2280" s="14"/>
      <c r="D2280" s="14"/>
      <c r="E2280" s="13"/>
      <c r="F2280" s="15"/>
      <c r="G2280" s="16" t="str">
        <f aca="false">IF(OR(B2280="",A2280=""),"",C2280*IFERROR(INDEX(Kişiler!$B$5:$B$44,MATCH(B2280,Kişiler!$A$5:$A$44,0)),0)+D2280*IFERROR(INDEX(Kişiler!$C$5:$C$44,MATCH(B2280,Kişiler!$A$5:$A$44,0)),0))</f>
        <v/>
      </c>
    </row>
    <row r="2281" customFormat="false" ht="15" hidden="false" customHeight="false" outlineLevel="0" collapsed="false">
      <c r="A2281" s="12"/>
      <c r="B2281" s="13"/>
      <c r="C2281" s="14"/>
      <c r="D2281" s="14"/>
      <c r="E2281" s="13"/>
      <c r="F2281" s="15"/>
      <c r="G2281" s="16" t="str">
        <f aca="false">IF(OR(B2281="",A2281=""),"",C2281*IFERROR(INDEX(Kişiler!$B$5:$B$44,MATCH(B2281,Kişiler!$A$5:$A$44,0)),0)+D2281*IFERROR(INDEX(Kişiler!$C$5:$C$44,MATCH(B2281,Kişiler!$A$5:$A$44,0)),0))</f>
        <v/>
      </c>
    </row>
    <row r="2282" customFormat="false" ht="15" hidden="false" customHeight="false" outlineLevel="0" collapsed="false">
      <c r="A2282" s="12"/>
      <c r="B2282" s="13"/>
      <c r="C2282" s="14"/>
      <c r="D2282" s="14"/>
      <c r="E2282" s="13"/>
      <c r="F2282" s="15"/>
      <c r="G2282" s="16" t="str">
        <f aca="false">IF(OR(B2282="",A2282=""),"",C2282*IFERROR(INDEX(Kişiler!$B$5:$B$44,MATCH(B2282,Kişiler!$A$5:$A$44,0)),0)+D2282*IFERROR(INDEX(Kişiler!$C$5:$C$44,MATCH(B2282,Kişiler!$A$5:$A$44,0)),0))</f>
        <v/>
      </c>
    </row>
    <row r="2283" customFormat="false" ht="15" hidden="false" customHeight="false" outlineLevel="0" collapsed="false">
      <c r="A2283" s="12"/>
      <c r="B2283" s="13"/>
      <c r="C2283" s="14"/>
      <c r="D2283" s="14"/>
      <c r="E2283" s="13"/>
      <c r="F2283" s="15"/>
      <c r="G2283" s="16" t="str">
        <f aca="false">IF(OR(B2283="",A2283=""),"",C2283*IFERROR(INDEX(Kişiler!$B$5:$B$44,MATCH(B2283,Kişiler!$A$5:$A$44,0)),0)+D2283*IFERROR(INDEX(Kişiler!$C$5:$C$44,MATCH(B2283,Kişiler!$A$5:$A$44,0)),0))</f>
        <v/>
      </c>
    </row>
    <row r="2284" customFormat="false" ht="15" hidden="false" customHeight="false" outlineLevel="0" collapsed="false">
      <c r="A2284" s="12"/>
      <c r="B2284" s="13"/>
      <c r="C2284" s="14"/>
      <c r="D2284" s="14"/>
      <c r="E2284" s="13"/>
      <c r="F2284" s="15"/>
      <c r="G2284" s="16" t="str">
        <f aca="false">IF(OR(B2284="",A2284=""),"",C2284*IFERROR(INDEX(Kişiler!$B$5:$B$44,MATCH(B2284,Kişiler!$A$5:$A$44,0)),0)+D2284*IFERROR(INDEX(Kişiler!$C$5:$C$44,MATCH(B2284,Kişiler!$A$5:$A$44,0)),0))</f>
        <v/>
      </c>
    </row>
    <row r="2285" customFormat="false" ht="15" hidden="false" customHeight="false" outlineLevel="0" collapsed="false">
      <c r="A2285" s="12"/>
      <c r="B2285" s="13"/>
      <c r="C2285" s="14"/>
      <c r="D2285" s="14"/>
      <c r="E2285" s="13"/>
      <c r="F2285" s="15"/>
      <c r="G2285" s="16" t="str">
        <f aca="false">IF(OR(B2285="",A2285=""),"",C2285*IFERROR(INDEX(Kişiler!$B$5:$B$44,MATCH(B2285,Kişiler!$A$5:$A$44,0)),0)+D2285*IFERROR(INDEX(Kişiler!$C$5:$C$44,MATCH(B2285,Kişiler!$A$5:$A$44,0)),0))</f>
        <v/>
      </c>
    </row>
    <row r="2286" customFormat="false" ht="15" hidden="false" customHeight="false" outlineLevel="0" collapsed="false">
      <c r="A2286" s="12"/>
      <c r="B2286" s="13"/>
      <c r="C2286" s="14"/>
      <c r="D2286" s="14"/>
      <c r="E2286" s="13"/>
      <c r="F2286" s="15"/>
      <c r="G2286" s="16" t="str">
        <f aca="false">IF(OR(B2286="",A2286=""),"",C2286*IFERROR(INDEX(Kişiler!$B$5:$B$44,MATCH(B2286,Kişiler!$A$5:$A$44,0)),0)+D2286*IFERROR(INDEX(Kişiler!$C$5:$C$44,MATCH(B2286,Kişiler!$A$5:$A$44,0)),0))</f>
        <v/>
      </c>
    </row>
    <row r="2287" customFormat="false" ht="15" hidden="false" customHeight="false" outlineLevel="0" collapsed="false">
      <c r="A2287" s="12"/>
      <c r="B2287" s="13"/>
      <c r="C2287" s="14"/>
      <c r="D2287" s="14"/>
      <c r="E2287" s="13"/>
      <c r="F2287" s="15"/>
      <c r="G2287" s="16" t="str">
        <f aca="false">IF(OR(B2287="",A2287=""),"",C2287*IFERROR(INDEX(Kişiler!$B$5:$B$44,MATCH(B2287,Kişiler!$A$5:$A$44,0)),0)+D2287*IFERROR(INDEX(Kişiler!$C$5:$C$44,MATCH(B2287,Kişiler!$A$5:$A$44,0)),0))</f>
        <v/>
      </c>
    </row>
    <row r="2288" customFormat="false" ht="15" hidden="false" customHeight="false" outlineLevel="0" collapsed="false">
      <c r="A2288" s="12"/>
      <c r="B2288" s="13"/>
      <c r="C2288" s="14"/>
      <c r="D2288" s="14"/>
      <c r="E2288" s="13"/>
      <c r="F2288" s="15"/>
      <c r="G2288" s="16" t="str">
        <f aca="false">IF(OR(B2288="",A2288=""),"",C2288*IFERROR(INDEX(Kişiler!$B$5:$B$44,MATCH(B2288,Kişiler!$A$5:$A$44,0)),0)+D2288*IFERROR(INDEX(Kişiler!$C$5:$C$44,MATCH(B2288,Kişiler!$A$5:$A$44,0)),0))</f>
        <v/>
      </c>
    </row>
    <row r="2289" customFormat="false" ht="15" hidden="false" customHeight="false" outlineLevel="0" collapsed="false">
      <c r="A2289" s="12"/>
      <c r="B2289" s="13"/>
      <c r="C2289" s="14"/>
      <c r="D2289" s="14"/>
      <c r="E2289" s="13"/>
      <c r="F2289" s="15"/>
      <c r="G2289" s="16" t="str">
        <f aca="false">IF(OR(B2289="",A2289=""),"",C2289*IFERROR(INDEX(Kişiler!$B$5:$B$44,MATCH(B2289,Kişiler!$A$5:$A$44,0)),0)+D2289*IFERROR(INDEX(Kişiler!$C$5:$C$44,MATCH(B2289,Kişiler!$A$5:$A$44,0)),0))</f>
        <v/>
      </c>
    </row>
    <row r="2290" customFormat="false" ht="15" hidden="false" customHeight="false" outlineLevel="0" collapsed="false">
      <c r="A2290" s="12"/>
      <c r="B2290" s="13"/>
      <c r="C2290" s="14"/>
      <c r="D2290" s="14"/>
      <c r="E2290" s="13"/>
      <c r="F2290" s="15"/>
      <c r="G2290" s="16" t="str">
        <f aca="false">IF(OR(B2290="",A2290=""),"",C2290*IFERROR(INDEX(Kişiler!$B$5:$B$44,MATCH(B2290,Kişiler!$A$5:$A$44,0)),0)+D2290*IFERROR(INDEX(Kişiler!$C$5:$C$44,MATCH(B2290,Kişiler!$A$5:$A$44,0)),0))</f>
        <v/>
      </c>
    </row>
    <row r="2291" customFormat="false" ht="15" hidden="false" customHeight="false" outlineLevel="0" collapsed="false">
      <c r="A2291" s="12"/>
      <c r="B2291" s="13"/>
      <c r="C2291" s="14"/>
      <c r="D2291" s="14"/>
      <c r="E2291" s="13"/>
      <c r="F2291" s="15"/>
      <c r="G2291" s="16" t="str">
        <f aca="false">IF(OR(B2291="",A2291=""),"",C2291*IFERROR(INDEX(Kişiler!$B$5:$B$44,MATCH(B2291,Kişiler!$A$5:$A$44,0)),0)+D2291*IFERROR(INDEX(Kişiler!$C$5:$C$44,MATCH(B2291,Kişiler!$A$5:$A$44,0)),0))</f>
        <v/>
      </c>
    </row>
    <row r="2292" customFormat="false" ht="15" hidden="false" customHeight="false" outlineLevel="0" collapsed="false">
      <c r="A2292" s="12"/>
      <c r="B2292" s="13"/>
      <c r="C2292" s="14"/>
      <c r="D2292" s="14"/>
      <c r="E2292" s="13"/>
      <c r="F2292" s="15"/>
      <c r="G2292" s="16" t="str">
        <f aca="false">IF(OR(B2292="",A2292=""),"",C2292*IFERROR(INDEX(Kişiler!$B$5:$B$44,MATCH(B2292,Kişiler!$A$5:$A$44,0)),0)+D2292*IFERROR(INDEX(Kişiler!$C$5:$C$44,MATCH(B2292,Kişiler!$A$5:$A$44,0)),0))</f>
        <v/>
      </c>
    </row>
    <row r="2293" customFormat="false" ht="15" hidden="false" customHeight="false" outlineLevel="0" collapsed="false">
      <c r="A2293" s="12"/>
      <c r="B2293" s="13"/>
      <c r="C2293" s="14"/>
      <c r="D2293" s="14"/>
      <c r="E2293" s="13"/>
      <c r="F2293" s="15"/>
      <c r="G2293" s="16" t="str">
        <f aca="false">IF(OR(B2293="",A2293=""),"",C2293*IFERROR(INDEX(Kişiler!$B$5:$B$44,MATCH(B2293,Kişiler!$A$5:$A$44,0)),0)+D2293*IFERROR(INDEX(Kişiler!$C$5:$C$44,MATCH(B2293,Kişiler!$A$5:$A$44,0)),0))</f>
        <v/>
      </c>
    </row>
    <row r="2294" customFormat="false" ht="15" hidden="false" customHeight="false" outlineLevel="0" collapsed="false">
      <c r="A2294" s="12"/>
      <c r="B2294" s="13"/>
      <c r="C2294" s="14"/>
      <c r="D2294" s="14"/>
      <c r="E2294" s="13"/>
      <c r="F2294" s="15"/>
      <c r="G2294" s="16" t="str">
        <f aca="false">IF(OR(B2294="",A2294=""),"",C2294*IFERROR(INDEX(Kişiler!$B$5:$B$44,MATCH(B2294,Kişiler!$A$5:$A$44,0)),0)+D2294*IFERROR(INDEX(Kişiler!$C$5:$C$44,MATCH(B2294,Kişiler!$A$5:$A$44,0)),0))</f>
        <v/>
      </c>
    </row>
    <row r="2295" customFormat="false" ht="15" hidden="false" customHeight="false" outlineLevel="0" collapsed="false">
      <c r="A2295" s="12"/>
      <c r="B2295" s="13"/>
      <c r="C2295" s="14"/>
      <c r="D2295" s="14"/>
      <c r="E2295" s="13"/>
      <c r="F2295" s="15"/>
      <c r="G2295" s="16" t="str">
        <f aca="false">IF(OR(B2295="",A2295=""),"",C2295*IFERROR(INDEX(Kişiler!$B$5:$B$44,MATCH(B2295,Kişiler!$A$5:$A$44,0)),0)+D2295*IFERROR(INDEX(Kişiler!$C$5:$C$44,MATCH(B2295,Kişiler!$A$5:$A$44,0)),0))</f>
        <v/>
      </c>
    </row>
    <row r="2296" customFormat="false" ht="15" hidden="false" customHeight="false" outlineLevel="0" collapsed="false">
      <c r="A2296" s="12"/>
      <c r="B2296" s="13"/>
      <c r="C2296" s="14"/>
      <c r="D2296" s="14"/>
      <c r="E2296" s="13"/>
      <c r="F2296" s="15"/>
      <c r="G2296" s="16" t="str">
        <f aca="false">IF(OR(B2296="",A2296=""),"",C2296*IFERROR(INDEX(Kişiler!$B$5:$B$44,MATCH(B2296,Kişiler!$A$5:$A$44,0)),0)+D2296*IFERROR(INDEX(Kişiler!$C$5:$C$44,MATCH(B2296,Kişiler!$A$5:$A$44,0)),0))</f>
        <v/>
      </c>
    </row>
    <row r="2297" customFormat="false" ht="15" hidden="false" customHeight="false" outlineLevel="0" collapsed="false">
      <c r="A2297" s="12"/>
      <c r="B2297" s="13"/>
      <c r="C2297" s="14"/>
      <c r="D2297" s="14"/>
      <c r="E2297" s="13"/>
      <c r="F2297" s="15"/>
      <c r="G2297" s="16" t="str">
        <f aca="false">IF(OR(B2297="",A2297=""),"",C2297*IFERROR(INDEX(Kişiler!$B$5:$B$44,MATCH(B2297,Kişiler!$A$5:$A$44,0)),0)+D2297*IFERROR(INDEX(Kişiler!$C$5:$C$44,MATCH(B2297,Kişiler!$A$5:$A$44,0)),0))</f>
        <v/>
      </c>
    </row>
    <row r="2298" customFormat="false" ht="15" hidden="false" customHeight="false" outlineLevel="0" collapsed="false">
      <c r="A2298" s="12"/>
      <c r="B2298" s="13"/>
      <c r="C2298" s="14"/>
      <c r="D2298" s="14"/>
      <c r="E2298" s="13"/>
      <c r="F2298" s="15"/>
      <c r="G2298" s="16" t="str">
        <f aca="false">IF(OR(B2298="",A2298=""),"",C2298*IFERROR(INDEX(Kişiler!$B$5:$B$44,MATCH(B2298,Kişiler!$A$5:$A$44,0)),0)+D2298*IFERROR(INDEX(Kişiler!$C$5:$C$44,MATCH(B2298,Kişiler!$A$5:$A$44,0)),0))</f>
        <v/>
      </c>
    </row>
    <row r="2299" customFormat="false" ht="15" hidden="false" customHeight="false" outlineLevel="0" collapsed="false">
      <c r="A2299" s="12"/>
      <c r="B2299" s="13"/>
      <c r="C2299" s="14"/>
      <c r="D2299" s="14"/>
      <c r="E2299" s="13"/>
      <c r="F2299" s="15"/>
      <c r="G2299" s="16" t="str">
        <f aca="false">IF(OR(B2299="",A2299=""),"",C2299*IFERROR(INDEX(Kişiler!$B$5:$B$44,MATCH(B2299,Kişiler!$A$5:$A$44,0)),0)+D2299*IFERROR(INDEX(Kişiler!$C$5:$C$44,MATCH(B2299,Kişiler!$A$5:$A$44,0)),0))</f>
        <v/>
      </c>
    </row>
    <row r="2300" customFormat="false" ht="15" hidden="false" customHeight="false" outlineLevel="0" collapsed="false">
      <c r="A2300" s="12"/>
      <c r="B2300" s="13"/>
      <c r="C2300" s="14"/>
      <c r="D2300" s="14"/>
      <c r="E2300" s="13"/>
      <c r="F2300" s="15"/>
      <c r="G2300" s="16" t="str">
        <f aca="false">IF(OR(B2300="",A2300=""),"",C2300*IFERROR(INDEX(Kişiler!$B$5:$B$44,MATCH(B2300,Kişiler!$A$5:$A$44,0)),0)+D2300*IFERROR(INDEX(Kişiler!$C$5:$C$44,MATCH(B2300,Kişiler!$A$5:$A$44,0)),0))</f>
        <v/>
      </c>
    </row>
    <row r="2301" customFormat="false" ht="15" hidden="false" customHeight="false" outlineLevel="0" collapsed="false">
      <c r="A2301" s="12"/>
      <c r="B2301" s="13"/>
      <c r="C2301" s="14"/>
      <c r="D2301" s="14"/>
      <c r="E2301" s="13"/>
      <c r="F2301" s="15"/>
      <c r="G2301" s="16" t="str">
        <f aca="false">IF(OR(B2301="",A2301=""),"",C2301*IFERROR(INDEX(Kişiler!$B$5:$B$44,MATCH(B2301,Kişiler!$A$5:$A$44,0)),0)+D2301*IFERROR(INDEX(Kişiler!$C$5:$C$44,MATCH(B2301,Kişiler!$A$5:$A$44,0)),0))</f>
        <v/>
      </c>
    </row>
    <row r="2302" customFormat="false" ht="15" hidden="false" customHeight="false" outlineLevel="0" collapsed="false">
      <c r="A2302" s="12"/>
      <c r="B2302" s="13"/>
      <c r="C2302" s="14"/>
      <c r="D2302" s="14"/>
      <c r="E2302" s="13"/>
      <c r="F2302" s="15"/>
      <c r="G2302" s="16" t="str">
        <f aca="false">IF(OR(B2302="",A2302=""),"",C2302*IFERROR(INDEX(Kişiler!$B$5:$B$44,MATCH(B2302,Kişiler!$A$5:$A$44,0)),0)+D2302*IFERROR(INDEX(Kişiler!$C$5:$C$44,MATCH(B2302,Kişiler!$A$5:$A$44,0)),0))</f>
        <v/>
      </c>
    </row>
    <row r="2303" customFormat="false" ht="15" hidden="false" customHeight="false" outlineLevel="0" collapsed="false">
      <c r="A2303" s="12"/>
      <c r="B2303" s="13"/>
      <c r="C2303" s="14"/>
      <c r="D2303" s="14"/>
      <c r="E2303" s="13"/>
      <c r="F2303" s="15"/>
      <c r="G2303" s="16" t="str">
        <f aca="false">IF(OR(B2303="",A2303=""),"",C2303*IFERROR(INDEX(Kişiler!$B$5:$B$44,MATCH(B2303,Kişiler!$A$5:$A$44,0)),0)+D2303*IFERROR(INDEX(Kişiler!$C$5:$C$44,MATCH(B2303,Kişiler!$A$5:$A$44,0)),0))</f>
        <v/>
      </c>
    </row>
    <row r="2304" customFormat="false" ht="15" hidden="false" customHeight="false" outlineLevel="0" collapsed="false">
      <c r="A2304" s="12"/>
      <c r="B2304" s="13"/>
      <c r="C2304" s="14"/>
      <c r="D2304" s="14"/>
      <c r="E2304" s="13"/>
      <c r="F2304" s="15"/>
      <c r="G2304" s="16" t="str">
        <f aca="false">IF(OR(B2304="",A2304=""),"",C2304*IFERROR(INDEX(Kişiler!$B$5:$B$44,MATCH(B2304,Kişiler!$A$5:$A$44,0)),0)+D2304*IFERROR(INDEX(Kişiler!$C$5:$C$44,MATCH(B2304,Kişiler!$A$5:$A$44,0)),0))</f>
        <v/>
      </c>
    </row>
    <row r="2305" customFormat="false" ht="15" hidden="false" customHeight="false" outlineLevel="0" collapsed="false">
      <c r="A2305" s="12"/>
      <c r="B2305" s="13"/>
      <c r="C2305" s="14"/>
      <c r="D2305" s="14"/>
      <c r="E2305" s="13"/>
      <c r="F2305" s="15"/>
      <c r="G2305" s="16" t="str">
        <f aca="false">IF(OR(B2305="",A2305=""),"",C2305*IFERROR(INDEX(Kişiler!$B$5:$B$44,MATCH(B2305,Kişiler!$A$5:$A$44,0)),0)+D2305*IFERROR(INDEX(Kişiler!$C$5:$C$44,MATCH(B2305,Kişiler!$A$5:$A$44,0)),0))</f>
        <v/>
      </c>
    </row>
    <row r="2306" customFormat="false" ht="15" hidden="false" customHeight="false" outlineLevel="0" collapsed="false">
      <c r="A2306" s="12"/>
      <c r="B2306" s="13"/>
      <c r="C2306" s="14"/>
      <c r="D2306" s="14"/>
      <c r="E2306" s="13"/>
      <c r="F2306" s="15"/>
      <c r="G2306" s="16" t="str">
        <f aca="false">IF(OR(B2306="",A2306=""),"",C2306*IFERROR(INDEX(Kişiler!$B$5:$B$44,MATCH(B2306,Kişiler!$A$5:$A$44,0)),0)+D2306*IFERROR(INDEX(Kişiler!$C$5:$C$44,MATCH(B2306,Kişiler!$A$5:$A$44,0)),0))</f>
        <v/>
      </c>
    </row>
    <row r="2307" customFormat="false" ht="15" hidden="false" customHeight="false" outlineLevel="0" collapsed="false">
      <c r="A2307" s="12"/>
      <c r="B2307" s="13"/>
      <c r="C2307" s="14"/>
      <c r="D2307" s="14"/>
      <c r="E2307" s="13"/>
      <c r="F2307" s="15"/>
      <c r="G2307" s="16" t="str">
        <f aca="false">IF(OR(B2307="",A2307=""),"",C2307*IFERROR(INDEX(Kişiler!$B$5:$B$44,MATCH(B2307,Kişiler!$A$5:$A$44,0)),0)+D2307*IFERROR(INDEX(Kişiler!$C$5:$C$44,MATCH(B2307,Kişiler!$A$5:$A$44,0)),0))</f>
        <v/>
      </c>
    </row>
    <row r="2308" customFormat="false" ht="15" hidden="false" customHeight="false" outlineLevel="0" collapsed="false">
      <c r="A2308" s="12"/>
      <c r="B2308" s="13"/>
      <c r="C2308" s="14"/>
      <c r="D2308" s="14"/>
      <c r="E2308" s="13"/>
      <c r="F2308" s="15"/>
      <c r="G2308" s="16" t="str">
        <f aca="false">IF(OR(B2308="",A2308=""),"",C2308*IFERROR(INDEX(Kişiler!$B$5:$B$44,MATCH(B2308,Kişiler!$A$5:$A$44,0)),0)+D2308*IFERROR(INDEX(Kişiler!$C$5:$C$44,MATCH(B2308,Kişiler!$A$5:$A$44,0)),0))</f>
        <v/>
      </c>
    </row>
    <row r="2309" customFormat="false" ht="15" hidden="false" customHeight="false" outlineLevel="0" collapsed="false">
      <c r="A2309" s="12"/>
      <c r="B2309" s="13"/>
      <c r="C2309" s="14"/>
      <c r="D2309" s="14"/>
      <c r="E2309" s="13"/>
      <c r="F2309" s="15"/>
      <c r="G2309" s="16" t="str">
        <f aca="false">IF(OR(B2309="",A2309=""),"",C2309*IFERROR(INDEX(Kişiler!$B$5:$B$44,MATCH(B2309,Kişiler!$A$5:$A$44,0)),0)+D2309*IFERROR(INDEX(Kişiler!$C$5:$C$44,MATCH(B2309,Kişiler!$A$5:$A$44,0)),0))</f>
        <v/>
      </c>
    </row>
    <row r="2310" customFormat="false" ht="15" hidden="false" customHeight="false" outlineLevel="0" collapsed="false">
      <c r="A2310" s="12"/>
      <c r="B2310" s="13"/>
      <c r="C2310" s="14"/>
      <c r="D2310" s="14"/>
      <c r="E2310" s="13"/>
      <c r="F2310" s="15"/>
      <c r="G2310" s="16" t="str">
        <f aca="false">IF(OR(B2310="",A2310=""),"",C2310*IFERROR(INDEX(Kişiler!$B$5:$B$44,MATCH(B2310,Kişiler!$A$5:$A$44,0)),0)+D2310*IFERROR(INDEX(Kişiler!$C$5:$C$44,MATCH(B2310,Kişiler!$A$5:$A$44,0)),0))</f>
        <v/>
      </c>
    </row>
    <row r="2311" customFormat="false" ht="15" hidden="false" customHeight="false" outlineLevel="0" collapsed="false">
      <c r="A2311" s="12"/>
      <c r="B2311" s="13"/>
      <c r="C2311" s="14"/>
      <c r="D2311" s="14"/>
      <c r="E2311" s="13"/>
      <c r="F2311" s="15"/>
      <c r="G2311" s="16" t="str">
        <f aca="false">IF(OR(B2311="",A2311=""),"",C2311*IFERROR(INDEX(Kişiler!$B$5:$B$44,MATCH(B2311,Kişiler!$A$5:$A$44,0)),0)+D2311*IFERROR(INDEX(Kişiler!$C$5:$C$44,MATCH(B2311,Kişiler!$A$5:$A$44,0)),0))</f>
        <v/>
      </c>
    </row>
    <row r="2312" customFormat="false" ht="15" hidden="false" customHeight="false" outlineLevel="0" collapsed="false">
      <c r="A2312" s="12"/>
      <c r="B2312" s="13"/>
      <c r="C2312" s="14"/>
      <c r="D2312" s="14"/>
      <c r="E2312" s="13"/>
      <c r="F2312" s="15"/>
      <c r="G2312" s="16" t="str">
        <f aca="false">IF(OR(B2312="",A2312=""),"",C2312*IFERROR(INDEX(Kişiler!$B$5:$B$44,MATCH(B2312,Kişiler!$A$5:$A$44,0)),0)+D2312*IFERROR(INDEX(Kişiler!$C$5:$C$44,MATCH(B2312,Kişiler!$A$5:$A$44,0)),0))</f>
        <v/>
      </c>
    </row>
    <row r="2313" customFormat="false" ht="15" hidden="false" customHeight="false" outlineLevel="0" collapsed="false">
      <c r="A2313" s="12"/>
      <c r="B2313" s="13"/>
      <c r="C2313" s="14"/>
      <c r="D2313" s="14"/>
      <c r="E2313" s="13"/>
      <c r="F2313" s="15"/>
      <c r="G2313" s="16" t="str">
        <f aca="false">IF(OR(B2313="",A2313=""),"",C2313*IFERROR(INDEX(Kişiler!$B$5:$B$44,MATCH(B2313,Kişiler!$A$5:$A$44,0)),0)+D2313*IFERROR(INDEX(Kişiler!$C$5:$C$44,MATCH(B2313,Kişiler!$A$5:$A$44,0)),0))</f>
        <v/>
      </c>
    </row>
    <row r="2314" customFormat="false" ht="15" hidden="false" customHeight="false" outlineLevel="0" collapsed="false">
      <c r="A2314" s="12"/>
      <c r="B2314" s="13"/>
      <c r="C2314" s="14"/>
      <c r="D2314" s="14"/>
      <c r="E2314" s="13"/>
      <c r="F2314" s="15"/>
      <c r="G2314" s="16" t="str">
        <f aca="false">IF(OR(B2314="",A2314=""),"",C2314*IFERROR(INDEX(Kişiler!$B$5:$B$44,MATCH(B2314,Kişiler!$A$5:$A$44,0)),0)+D2314*IFERROR(INDEX(Kişiler!$C$5:$C$44,MATCH(B2314,Kişiler!$A$5:$A$44,0)),0))</f>
        <v/>
      </c>
    </row>
    <row r="2315" customFormat="false" ht="15" hidden="false" customHeight="false" outlineLevel="0" collapsed="false">
      <c r="A2315" s="12"/>
      <c r="B2315" s="13"/>
      <c r="C2315" s="14"/>
      <c r="D2315" s="14"/>
      <c r="E2315" s="13"/>
      <c r="F2315" s="15"/>
      <c r="G2315" s="16" t="str">
        <f aca="false">IF(OR(B2315="",A2315=""),"",C2315*IFERROR(INDEX(Kişiler!$B$5:$B$44,MATCH(B2315,Kişiler!$A$5:$A$44,0)),0)+D2315*IFERROR(INDEX(Kişiler!$C$5:$C$44,MATCH(B2315,Kişiler!$A$5:$A$44,0)),0))</f>
        <v/>
      </c>
    </row>
    <row r="2316" customFormat="false" ht="15" hidden="false" customHeight="false" outlineLevel="0" collapsed="false">
      <c r="A2316" s="12"/>
      <c r="B2316" s="13"/>
      <c r="C2316" s="14"/>
      <c r="D2316" s="14"/>
      <c r="E2316" s="13"/>
      <c r="F2316" s="15"/>
      <c r="G2316" s="16" t="str">
        <f aca="false">IF(OR(B2316="",A2316=""),"",C2316*IFERROR(INDEX(Kişiler!$B$5:$B$44,MATCH(B2316,Kişiler!$A$5:$A$44,0)),0)+D2316*IFERROR(INDEX(Kişiler!$C$5:$C$44,MATCH(B2316,Kişiler!$A$5:$A$44,0)),0))</f>
        <v/>
      </c>
    </row>
    <row r="2317" customFormat="false" ht="15" hidden="false" customHeight="false" outlineLevel="0" collapsed="false">
      <c r="A2317" s="12"/>
      <c r="B2317" s="13"/>
      <c r="C2317" s="14"/>
      <c r="D2317" s="14"/>
      <c r="E2317" s="13"/>
      <c r="F2317" s="15"/>
      <c r="G2317" s="16" t="str">
        <f aca="false">IF(OR(B2317="",A2317=""),"",C2317*IFERROR(INDEX(Kişiler!$B$5:$B$44,MATCH(B2317,Kişiler!$A$5:$A$44,0)),0)+D2317*IFERROR(INDEX(Kişiler!$C$5:$C$44,MATCH(B2317,Kişiler!$A$5:$A$44,0)),0))</f>
        <v/>
      </c>
    </row>
    <row r="2318" customFormat="false" ht="15" hidden="false" customHeight="false" outlineLevel="0" collapsed="false">
      <c r="A2318" s="12"/>
      <c r="B2318" s="13"/>
      <c r="C2318" s="14"/>
      <c r="D2318" s="14"/>
      <c r="E2318" s="13"/>
      <c r="F2318" s="15"/>
      <c r="G2318" s="16" t="str">
        <f aca="false">IF(OR(B2318="",A2318=""),"",C2318*IFERROR(INDEX(Kişiler!$B$5:$B$44,MATCH(B2318,Kişiler!$A$5:$A$44,0)),0)+D2318*IFERROR(INDEX(Kişiler!$C$5:$C$44,MATCH(B2318,Kişiler!$A$5:$A$44,0)),0))</f>
        <v/>
      </c>
    </row>
    <row r="2319" customFormat="false" ht="15" hidden="false" customHeight="false" outlineLevel="0" collapsed="false">
      <c r="A2319" s="12"/>
      <c r="B2319" s="13"/>
      <c r="C2319" s="14"/>
      <c r="D2319" s="14"/>
      <c r="E2319" s="13"/>
      <c r="F2319" s="15"/>
      <c r="G2319" s="16" t="str">
        <f aca="false">IF(OR(B2319="",A2319=""),"",C2319*IFERROR(INDEX(Kişiler!$B$5:$B$44,MATCH(B2319,Kişiler!$A$5:$A$44,0)),0)+D2319*IFERROR(INDEX(Kişiler!$C$5:$C$44,MATCH(B2319,Kişiler!$A$5:$A$44,0)),0))</f>
        <v/>
      </c>
    </row>
    <row r="2320" customFormat="false" ht="15" hidden="false" customHeight="false" outlineLevel="0" collapsed="false">
      <c r="A2320" s="12"/>
      <c r="B2320" s="13"/>
      <c r="C2320" s="14"/>
      <c r="D2320" s="14"/>
      <c r="E2320" s="13"/>
      <c r="F2320" s="15"/>
      <c r="G2320" s="16" t="str">
        <f aca="false">IF(OR(B2320="",A2320=""),"",C2320*IFERROR(INDEX(Kişiler!$B$5:$B$44,MATCH(B2320,Kişiler!$A$5:$A$44,0)),0)+D2320*IFERROR(INDEX(Kişiler!$C$5:$C$44,MATCH(B2320,Kişiler!$A$5:$A$44,0)),0))</f>
        <v/>
      </c>
    </row>
    <row r="2321" customFormat="false" ht="15" hidden="false" customHeight="false" outlineLevel="0" collapsed="false">
      <c r="A2321" s="12"/>
      <c r="B2321" s="13"/>
      <c r="C2321" s="14"/>
      <c r="D2321" s="14"/>
      <c r="E2321" s="13"/>
      <c r="F2321" s="15"/>
      <c r="G2321" s="16" t="str">
        <f aca="false">IF(OR(B2321="",A2321=""),"",C2321*IFERROR(INDEX(Kişiler!$B$5:$B$44,MATCH(B2321,Kişiler!$A$5:$A$44,0)),0)+D2321*IFERROR(INDEX(Kişiler!$C$5:$C$44,MATCH(B2321,Kişiler!$A$5:$A$44,0)),0))</f>
        <v/>
      </c>
    </row>
    <row r="2322" customFormat="false" ht="15" hidden="false" customHeight="false" outlineLevel="0" collapsed="false">
      <c r="A2322" s="12"/>
      <c r="B2322" s="13"/>
      <c r="C2322" s="14"/>
      <c r="D2322" s="14"/>
      <c r="E2322" s="13"/>
      <c r="F2322" s="15"/>
      <c r="G2322" s="16" t="str">
        <f aca="false">IF(OR(B2322="",A2322=""),"",C2322*IFERROR(INDEX(Kişiler!$B$5:$B$44,MATCH(B2322,Kişiler!$A$5:$A$44,0)),0)+D2322*IFERROR(INDEX(Kişiler!$C$5:$C$44,MATCH(B2322,Kişiler!$A$5:$A$44,0)),0))</f>
        <v/>
      </c>
    </row>
    <row r="2323" customFormat="false" ht="15" hidden="false" customHeight="false" outlineLevel="0" collapsed="false">
      <c r="A2323" s="12"/>
      <c r="B2323" s="13"/>
      <c r="C2323" s="14"/>
      <c r="D2323" s="14"/>
      <c r="E2323" s="13"/>
      <c r="F2323" s="15"/>
      <c r="G2323" s="16" t="str">
        <f aca="false">IF(OR(B2323="",A2323=""),"",C2323*IFERROR(INDEX(Kişiler!$B$5:$B$44,MATCH(B2323,Kişiler!$A$5:$A$44,0)),0)+D2323*IFERROR(INDEX(Kişiler!$C$5:$C$44,MATCH(B2323,Kişiler!$A$5:$A$44,0)),0))</f>
        <v/>
      </c>
    </row>
    <row r="2324" customFormat="false" ht="15" hidden="false" customHeight="false" outlineLevel="0" collapsed="false">
      <c r="A2324" s="12"/>
      <c r="B2324" s="13"/>
      <c r="C2324" s="14"/>
      <c r="D2324" s="14"/>
      <c r="E2324" s="13"/>
      <c r="F2324" s="15"/>
      <c r="G2324" s="16" t="str">
        <f aca="false">IF(OR(B2324="",A2324=""),"",C2324*IFERROR(INDEX(Kişiler!$B$5:$B$44,MATCH(B2324,Kişiler!$A$5:$A$44,0)),0)+D2324*IFERROR(INDEX(Kişiler!$C$5:$C$44,MATCH(B2324,Kişiler!$A$5:$A$44,0)),0))</f>
        <v/>
      </c>
    </row>
    <row r="2325" customFormat="false" ht="15" hidden="false" customHeight="false" outlineLevel="0" collapsed="false">
      <c r="A2325" s="12"/>
      <c r="B2325" s="13"/>
      <c r="C2325" s="14"/>
      <c r="D2325" s="14"/>
      <c r="E2325" s="13"/>
      <c r="F2325" s="15"/>
      <c r="G2325" s="16" t="str">
        <f aca="false">IF(OR(B2325="",A2325=""),"",C2325*IFERROR(INDEX(Kişiler!$B$5:$B$44,MATCH(B2325,Kişiler!$A$5:$A$44,0)),0)+D2325*IFERROR(INDEX(Kişiler!$C$5:$C$44,MATCH(B2325,Kişiler!$A$5:$A$44,0)),0))</f>
        <v/>
      </c>
    </row>
    <row r="2326" customFormat="false" ht="15" hidden="false" customHeight="false" outlineLevel="0" collapsed="false">
      <c r="A2326" s="12"/>
      <c r="B2326" s="13"/>
      <c r="C2326" s="14"/>
      <c r="D2326" s="14"/>
      <c r="E2326" s="13"/>
      <c r="F2326" s="15"/>
      <c r="G2326" s="16" t="str">
        <f aca="false">IF(OR(B2326="",A2326=""),"",C2326*IFERROR(INDEX(Kişiler!$B$5:$B$44,MATCH(B2326,Kişiler!$A$5:$A$44,0)),0)+D2326*IFERROR(INDEX(Kişiler!$C$5:$C$44,MATCH(B2326,Kişiler!$A$5:$A$44,0)),0))</f>
        <v/>
      </c>
    </row>
    <row r="2327" customFormat="false" ht="15" hidden="false" customHeight="false" outlineLevel="0" collapsed="false">
      <c r="A2327" s="12"/>
      <c r="B2327" s="13"/>
      <c r="C2327" s="14"/>
      <c r="D2327" s="14"/>
      <c r="E2327" s="13"/>
      <c r="F2327" s="15"/>
      <c r="G2327" s="16" t="str">
        <f aca="false">IF(OR(B2327="",A2327=""),"",C2327*IFERROR(INDEX(Kişiler!$B$5:$B$44,MATCH(B2327,Kişiler!$A$5:$A$44,0)),0)+D2327*IFERROR(INDEX(Kişiler!$C$5:$C$44,MATCH(B2327,Kişiler!$A$5:$A$44,0)),0))</f>
        <v/>
      </c>
    </row>
    <row r="2328" customFormat="false" ht="15" hidden="false" customHeight="false" outlineLevel="0" collapsed="false">
      <c r="A2328" s="12"/>
      <c r="B2328" s="13"/>
      <c r="C2328" s="14"/>
      <c r="D2328" s="14"/>
      <c r="E2328" s="13"/>
      <c r="F2328" s="15"/>
      <c r="G2328" s="16" t="str">
        <f aca="false">IF(OR(B2328="",A2328=""),"",C2328*IFERROR(INDEX(Kişiler!$B$5:$B$44,MATCH(B2328,Kişiler!$A$5:$A$44,0)),0)+D2328*IFERROR(INDEX(Kişiler!$C$5:$C$44,MATCH(B2328,Kişiler!$A$5:$A$44,0)),0))</f>
        <v/>
      </c>
    </row>
    <row r="2329" customFormat="false" ht="15" hidden="false" customHeight="false" outlineLevel="0" collapsed="false">
      <c r="A2329" s="12"/>
      <c r="B2329" s="13"/>
      <c r="C2329" s="14"/>
      <c r="D2329" s="14"/>
      <c r="E2329" s="13"/>
      <c r="F2329" s="15"/>
      <c r="G2329" s="16" t="str">
        <f aca="false">IF(OR(B2329="",A2329=""),"",C2329*IFERROR(INDEX(Kişiler!$B$5:$B$44,MATCH(B2329,Kişiler!$A$5:$A$44,0)),0)+D2329*IFERROR(INDEX(Kişiler!$C$5:$C$44,MATCH(B2329,Kişiler!$A$5:$A$44,0)),0))</f>
        <v/>
      </c>
    </row>
    <row r="2330" customFormat="false" ht="15" hidden="false" customHeight="false" outlineLevel="0" collapsed="false">
      <c r="A2330" s="12"/>
      <c r="B2330" s="13"/>
      <c r="C2330" s="14"/>
      <c r="D2330" s="14"/>
      <c r="E2330" s="13"/>
      <c r="F2330" s="15"/>
      <c r="G2330" s="16" t="str">
        <f aca="false">IF(OR(B2330="",A2330=""),"",C2330*IFERROR(INDEX(Kişiler!$B$5:$B$44,MATCH(B2330,Kişiler!$A$5:$A$44,0)),0)+D2330*IFERROR(INDEX(Kişiler!$C$5:$C$44,MATCH(B2330,Kişiler!$A$5:$A$44,0)),0))</f>
        <v/>
      </c>
    </row>
    <row r="2331" customFormat="false" ht="15" hidden="false" customHeight="false" outlineLevel="0" collapsed="false">
      <c r="A2331" s="12"/>
      <c r="B2331" s="13"/>
      <c r="C2331" s="14"/>
      <c r="D2331" s="14"/>
      <c r="E2331" s="13"/>
      <c r="F2331" s="15"/>
      <c r="G2331" s="16" t="str">
        <f aca="false">IF(OR(B2331="",A2331=""),"",C2331*IFERROR(INDEX(Kişiler!$B$5:$B$44,MATCH(B2331,Kişiler!$A$5:$A$44,0)),0)+D2331*IFERROR(INDEX(Kişiler!$C$5:$C$44,MATCH(B2331,Kişiler!$A$5:$A$44,0)),0))</f>
        <v/>
      </c>
    </row>
    <row r="2332" customFormat="false" ht="15" hidden="false" customHeight="false" outlineLevel="0" collapsed="false">
      <c r="A2332" s="12"/>
      <c r="B2332" s="13"/>
      <c r="C2332" s="14"/>
      <c r="D2332" s="14"/>
      <c r="E2332" s="13"/>
      <c r="F2332" s="15"/>
      <c r="G2332" s="16" t="str">
        <f aca="false">IF(OR(B2332="",A2332=""),"",C2332*IFERROR(INDEX(Kişiler!$B$5:$B$44,MATCH(B2332,Kişiler!$A$5:$A$44,0)),0)+D2332*IFERROR(INDEX(Kişiler!$C$5:$C$44,MATCH(B2332,Kişiler!$A$5:$A$44,0)),0))</f>
        <v/>
      </c>
    </row>
    <row r="2333" customFormat="false" ht="15" hidden="false" customHeight="false" outlineLevel="0" collapsed="false">
      <c r="A2333" s="12"/>
      <c r="B2333" s="13"/>
      <c r="C2333" s="14"/>
      <c r="D2333" s="14"/>
      <c r="E2333" s="13"/>
      <c r="F2333" s="15"/>
      <c r="G2333" s="16" t="str">
        <f aca="false">IF(OR(B2333="",A2333=""),"",C2333*IFERROR(INDEX(Kişiler!$B$5:$B$44,MATCH(B2333,Kişiler!$A$5:$A$44,0)),0)+D2333*IFERROR(INDEX(Kişiler!$C$5:$C$44,MATCH(B2333,Kişiler!$A$5:$A$44,0)),0))</f>
        <v/>
      </c>
    </row>
    <row r="2334" customFormat="false" ht="15" hidden="false" customHeight="false" outlineLevel="0" collapsed="false">
      <c r="A2334" s="12"/>
      <c r="B2334" s="13"/>
      <c r="C2334" s="14"/>
      <c r="D2334" s="14"/>
      <c r="E2334" s="13"/>
      <c r="F2334" s="15"/>
      <c r="G2334" s="16" t="str">
        <f aca="false">IF(OR(B2334="",A2334=""),"",C2334*IFERROR(INDEX(Kişiler!$B$5:$B$44,MATCH(B2334,Kişiler!$A$5:$A$44,0)),0)+D2334*IFERROR(INDEX(Kişiler!$C$5:$C$44,MATCH(B2334,Kişiler!$A$5:$A$44,0)),0))</f>
        <v/>
      </c>
    </row>
    <row r="2335" customFormat="false" ht="15" hidden="false" customHeight="false" outlineLevel="0" collapsed="false">
      <c r="A2335" s="12"/>
      <c r="B2335" s="13"/>
      <c r="C2335" s="14"/>
      <c r="D2335" s="14"/>
      <c r="E2335" s="13"/>
      <c r="F2335" s="15"/>
      <c r="G2335" s="16" t="str">
        <f aca="false">IF(OR(B2335="",A2335=""),"",C2335*IFERROR(INDEX(Kişiler!$B$5:$B$44,MATCH(B2335,Kişiler!$A$5:$A$44,0)),0)+D2335*IFERROR(INDEX(Kişiler!$C$5:$C$44,MATCH(B2335,Kişiler!$A$5:$A$44,0)),0))</f>
        <v/>
      </c>
    </row>
    <row r="2336" customFormat="false" ht="15" hidden="false" customHeight="false" outlineLevel="0" collapsed="false">
      <c r="A2336" s="12"/>
      <c r="B2336" s="13"/>
      <c r="C2336" s="14"/>
      <c r="D2336" s="14"/>
      <c r="E2336" s="13"/>
      <c r="F2336" s="15"/>
      <c r="G2336" s="16" t="str">
        <f aca="false">IF(OR(B2336="",A2336=""),"",C2336*IFERROR(INDEX(Kişiler!$B$5:$B$44,MATCH(B2336,Kişiler!$A$5:$A$44,0)),0)+D2336*IFERROR(INDEX(Kişiler!$C$5:$C$44,MATCH(B2336,Kişiler!$A$5:$A$44,0)),0))</f>
        <v/>
      </c>
    </row>
    <row r="2337" customFormat="false" ht="15" hidden="false" customHeight="false" outlineLevel="0" collapsed="false">
      <c r="A2337" s="12"/>
      <c r="B2337" s="13"/>
      <c r="C2337" s="14"/>
      <c r="D2337" s="14"/>
      <c r="E2337" s="13"/>
      <c r="F2337" s="15"/>
      <c r="G2337" s="16" t="str">
        <f aca="false">IF(OR(B2337="",A2337=""),"",C2337*IFERROR(INDEX(Kişiler!$B$5:$B$44,MATCH(B2337,Kişiler!$A$5:$A$44,0)),0)+D2337*IFERROR(INDEX(Kişiler!$C$5:$C$44,MATCH(B2337,Kişiler!$A$5:$A$44,0)),0))</f>
        <v/>
      </c>
    </row>
    <row r="2338" customFormat="false" ht="15" hidden="false" customHeight="false" outlineLevel="0" collapsed="false">
      <c r="A2338" s="12"/>
      <c r="B2338" s="13"/>
      <c r="C2338" s="14"/>
      <c r="D2338" s="14"/>
      <c r="E2338" s="13"/>
      <c r="F2338" s="15"/>
      <c r="G2338" s="16" t="str">
        <f aca="false">IF(OR(B2338="",A2338=""),"",C2338*IFERROR(INDEX(Kişiler!$B$5:$B$44,MATCH(B2338,Kişiler!$A$5:$A$44,0)),0)+D2338*IFERROR(INDEX(Kişiler!$C$5:$C$44,MATCH(B2338,Kişiler!$A$5:$A$44,0)),0))</f>
        <v/>
      </c>
    </row>
    <row r="2339" customFormat="false" ht="15" hidden="false" customHeight="false" outlineLevel="0" collapsed="false">
      <c r="A2339" s="12"/>
      <c r="B2339" s="13"/>
      <c r="C2339" s="14"/>
      <c r="D2339" s="14"/>
      <c r="E2339" s="13"/>
      <c r="F2339" s="15"/>
      <c r="G2339" s="16" t="str">
        <f aca="false">IF(OR(B2339="",A2339=""),"",C2339*IFERROR(INDEX(Kişiler!$B$5:$B$44,MATCH(B2339,Kişiler!$A$5:$A$44,0)),0)+D2339*IFERROR(INDEX(Kişiler!$C$5:$C$44,MATCH(B2339,Kişiler!$A$5:$A$44,0)),0))</f>
        <v/>
      </c>
    </row>
    <row r="2340" customFormat="false" ht="15" hidden="false" customHeight="false" outlineLevel="0" collapsed="false">
      <c r="A2340" s="12"/>
      <c r="B2340" s="13"/>
      <c r="C2340" s="14"/>
      <c r="D2340" s="14"/>
      <c r="E2340" s="13"/>
      <c r="F2340" s="15"/>
      <c r="G2340" s="16" t="str">
        <f aca="false">IF(OR(B2340="",A2340=""),"",C2340*IFERROR(INDEX(Kişiler!$B$5:$B$44,MATCH(B2340,Kişiler!$A$5:$A$44,0)),0)+D2340*IFERROR(INDEX(Kişiler!$C$5:$C$44,MATCH(B2340,Kişiler!$A$5:$A$44,0)),0))</f>
        <v/>
      </c>
    </row>
    <row r="2341" customFormat="false" ht="15" hidden="false" customHeight="false" outlineLevel="0" collapsed="false">
      <c r="A2341" s="12"/>
      <c r="B2341" s="13"/>
      <c r="C2341" s="14"/>
      <c r="D2341" s="14"/>
      <c r="E2341" s="13"/>
      <c r="F2341" s="15"/>
      <c r="G2341" s="16" t="str">
        <f aca="false">IF(OR(B2341="",A2341=""),"",C2341*IFERROR(INDEX(Kişiler!$B$5:$B$44,MATCH(B2341,Kişiler!$A$5:$A$44,0)),0)+D2341*IFERROR(INDEX(Kişiler!$C$5:$C$44,MATCH(B2341,Kişiler!$A$5:$A$44,0)),0))</f>
        <v/>
      </c>
    </row>
    <row r="2342" customFormat="false" ht="15" hidden="false" customHeight="false" outlineLevel="0" collapsed="false">
      <c r="A2342" s="12"/>
      <c r="B2342" s="13"/>
      <c r="C2342" s="14"/>
      <c r="D2342" s="14"/>
      <c r="E2342" s="13"/>
      <c r="F2342" s="15"/>
      <c r="G2342" s="16" t="str">
        <f aca="false">IF(OR(B2342="",A2342=""),"",C2342*IFERROR(INDEX(Kişiler!$B$5:$B$44,MATCH(B2342,Kişiler!$A$5:$A$44,0)),0)+D2342*IFERROR(INDEX(Kişiler!$C$5:$C$44,MATCH(B2342,Kişiler!$A$5:$A$44,0)),0))</f>
        <v/>
      </c>
    </row>
    <row r="2343" customFormat="false" ht="15" hidden="false" customHeight="false" outlineLevel="0" collapsed="false">
      <c r="A2343" s="12"/>
      <c r="B2343" s="13"/>
      <c r="C2343" s="14"/>
      <c r="D2343" s="14"/>
      <c r="E2343" s="13"/>
      <c r="F2343" s="15"/>
      <c r="G2343" s="16" t="str">
        <f aca="false">IF(OR(B2343="",A2343=""),"",C2343*IFERROR(INDEX(Kişiler!$B$5:$B$44,MATCH(B2343,Kişiler!$A$5:$A$44,0)),0)+D2343*IFERROR(INDEX(Kişiler!$C$5:$C$44,MATCH(B2343,Kişiler!$A$5:$A$44,0)),0))</f>
        <v/>
      </c>
    </row>
    <row r="2344" customFormat="false" ht="15" hidden="false" customHeight="false" outlineLevel="0" collapsed="false">
      <c r="A2344" s="12"/>
      <c r="B2344" s="13"/>
      <c r="C2344" s="14"/>
      <c r="D2344" s="14"/>
      <c r="E2344" s="13"/>
      <c r="F2344" s="15"/>
      <c r="G2344" s="16" t="str">
        <f aca="false">IF(OR(B2344="",A2344=""),"",C2344*IFERROR(INDEX(Kişiler!$B$5:$B$44,MATCH(B2344,Kişiler!$A$5:$A$44,0)),0)+D2344*IFERROR(INDEX(Kişiler!$C$5:$C$44,MATCH(B2344,Kişiler!$A$5:$A$44,0)),0))</f>
        <v/>
      </c>
    </row>
    <row r="2345" customFormat="false" ht="15" hidden="false" customHeight="false" outlineLevel="0" collapsed="false">
      <c r="A2345" s="12"/>
      <c r="B2345" s="13"/>
      <c r="C2345" s="14"/>
      <c r="D2345" s="14"/>
      <c r="E2345" s="13"/>
      <c r="F2345" s="15"/>
      <c r="G2345" s="16" t="str">
        <f aca="false">IF(OR(B2345="",A2345=""),"",C2345*IFERROR(INDEX(Kişiler!$B$5:$B$44,MATCH(B2345,Kişiler!$A$5:$A$44,0)),0)+D2345*IFERROR(INDEX(Kişiler!$C$5:$C$44,MATCH(B2345,Kişiler!$A$5:$A$44,0)),0))</f>
        <v/>
      </c>
    </row>
    <row r="2346" customFormat="false" ht="15" hidden="false" customHeight="false" outlineLevel="0" collapsed="false">
      <c r="A2346" s="12"/>
      <c r="B2346" s="13"/>
      <c r="C2346" s="14"/>
      <c r="D2346" s="14"/>
      <c r="E2346" s="13"/>
      <c r="F2346" s="15"/>
      <c r="G2346" s="16" t="str">
        <f aca="false">IF(OR(B2346="",A2346=""),"",C2346*IFERROR(INDEX(Kişiler!$B$5:$B$44,MATCH(B2346,Kişiler!$A$5:$A$44,0)),0)+D2346*IFERROR(INDEX(Kişiler!$C$5:$C$44,MATCH(B2346,Kişiler!$A$5:$A$44,0)),0))</f>
        <v/>
      </c>
    </row>
    <row r="2347" customFormat="false" ht="15" hidden="false" customHeight="false" outlineLevel="0" collapsed="false">
      <c r="A2347" s="12"/>
      <c r="B2347" s="13"/>
      <c r="C2347" s="14"/>
      <c r="D2347" s="14"/>
      <c r="E2347" s="13"/>
      <c r="F2347" s="15"/>
      <c r="G2347" s="16" t="str">
        <f aca="false">IF(OR(B2347="",A2347=""),"",C2347*IFERROR(INDEX(Kişiler!$B$5:$B$44,MATCH(B2347,Kişiler!$A$5:$A$44,0)),0)+D2347*IFERROR(INDEX(Kişiler!$C$5:$C$44,MATCH(B2347,Kişiler!$A$5:$A$44,0)),0))</f>
        <v/>
      </c>
    </row>
    <row r="2348" customFormat="false" ht="15" hidden="false" customHeight="false" outlineLevel="0" collapsed="false">
      <c r="A2348" s="12"/>
      <c r="B2348" s="13"/>
      <c r="C2348" s="14"/>
      <c r="D2348" s="14"/>
      <c r="E2348" s="13"/>
      <c r="F2348" s="15"/>
      <c r="G2348" s="16" t="str">
        <f aca="false">IF(OR(B2348="",A2348=""),"",C2348*IFERROR(INDEX(Kişiler!$B$5:$B$44,MATCH(B2348,Kişiler!$A$5:$A$44,0)),0)+D2348*IFERROR(INDEX(Kişiler!$C$5:$C$44,MATCH(B2348,Kişiler!$A$5:$A$44,0)),0))</f>
        <v/>
      </c>
    </row>
    <row r="2349" customFormat="false" ht="15" hidden="false" customHeight="false" outlineLevel="0" collapsed="false">
      <c r="A2349" s="12"/>
      <c r="B2349" s="13"/>
      <c r="C2349" s="14"/>
      <c r="D2349" s="14"/>
      <c r="E2349" s="13"/>
      <c r="F2349" s="15"/>
      <c r="G2349" s="16" t="str">
        <f aca="false">IF(OR(B2349="",A2349=""),"",C2349*IFERROR(INDEX(Kişiler!$B$5:$B$44,MATCH(B2349,Kişiler!$A$5:$A$44,0)),0)+D2349*IFERROR(INDEX(Kişiler!$C$5:$C$44,MATCH(B2349,Kişiler!$A$5:$A$44,0)),0))</f>
        <v/>
      </c>
    </row>
    <row r="2350" customFormat="false" ht="15" hidden="false" customHeight="false" outlineLevel="0" collapsed="false">
      <c r="A2350" s="12"/>
      <c r="B2350" s="13"/>
      <c r="C2350" s="14"/>
      <c r="D2350" s="14"/>
      <c r="E2350" s="13"/>
      <c r="F2350" s="15"/>
      <c r="G2350" s="16" t="str">
        <f aca="false">IF(OR(B2350="",A2350=""),"",C2350*IFERROR(INDEX(Kişiler!$B$5:$B$44,MATCH(B2350,Kişiler!$A$5:$A$44,0)),0)+D2350*IFERROR(INDEX(Kişiler!$C$5:$C$44,MATCH(B2350,Kişiler!$A$5:$A$44,0)),0))</f>
        <v/>
      </c>
    </row>
    <row r="2351" customFormat="false" ht="15" hidden="false" customHeight="false" outlineLevel="0" collapsed="false">
      <c r="A2351" s="12"/>
      <c r="B2351" s="13"/>
      <c r="C2351" s="14"/>
      <c r="D2351" s="14"/>
      <c r="E2351" s="13"/>
      <c r="F2351" s="15"/>
      <c r="G2351" s="16" t="str">
        <f aca="false">IF(OR(B2351="",A2351=""),"",C2351*IFERROR(INDEX(Kişiler!$B$5:$B$44,MATCH(B2351,Kişiler!$A$5:$A$44,0)),0)+D2351*IFERROR(INDEX(Kişiler!$C$5:$C$44,MATCH(B2351,Kişiler!$A$5:$A$44,0)),0))</f>
        <v/>
      </c>
    </row>
    <row r="2352" customFormat="false" ht="15" hidden="false" customHeight="false" outlineLevel="0" collapsed="false">
      <c r="A2352" s="12"/>
      <c r="B2352" s="13"/>
      <c r="C2352" s="14"/>
      <c r="D2352" s="14"/>
      <c r="E2352" s="13"/>
      <c r="F2352" s="15"/>
      <c r="G2352" s="16" t="str">
        <f aca="false">IF(OR(B2352="",A2352=""),"",C2352*IFERROR(INDEX(Kişiler!$B$5:$B$44,MATCH(B2352,Kişiler!$A$5:$A$44,0)),0)+D2352*IFERROR(INDEX(Kişiler!$C$5:$C$44,MATCH(B2352,Kişiler!$A$5:$A$44,0)),0))</f>
        <v/>
      </c>
    </row>
    <row r="2353" customFormat="false" ht="15" hidden="false" customHeight="false" outlineLevel="0" collapsed="false">
      <c r="A2353" s="12"/>
      <c r="B2353" s="13"/>
      <c r="C2353" s="14"/>
      <c r="D2353" s="14"/>
      <c r="E2353" s="13"/>
      <c r="F2353" s="15"/>
      <c r="G2353" s="16" t="str">
        <f aca="false">IF(OR(B2353="",A2353=""),"",C2353*IFERROR(INDEX(Kişiler!$B$5:$B$44,MATCH(B2353,Kişiler!$A$5:$A$44,0)),0)+D2353*IFERROR(INDEX(Kişiler!$C$5:$C$44,MATCH(B2353,Kişiler!$A$5:$A$44,0)),0))</f>
        <v/>
      </c>
    </row>
    <row r="2354" customFormat="false" ht="15" hidden="false" customHeight="false" outlineLevel="0" collapsed="false">
      <c r="A2354" s="12"/>
      <c r="B2354" s="13"/>
      <c r="C2354" s="14"/>
      <c r="D2354" s="14"/>
      <c r="E2354" s="13"/>
      <c r="F2354" s="15"/>
      <c r="G2354" s="16" t="str">
        <f aca="false">IF(OR(B2354="",A2354=""),"",C2354*IFERROR(INDEX(Kişiler!$B$5:$B$44,MATCH(B2354,Kişiler!$A$5:$A$44,0)),0)+D2354*IFERROR(INDEX(Kişiler!$C$5:$C$44,MATCH(B2354,Kişiler!$A$5:$A$44,0)),0))</f>
        <v/>
      </c>
    </row>
    <row r="2355" customFormat="false" ht="15" hidden="false" customHeight="false" outlineLevel="0" collapsed="false">
      <c r="A2355" s="12"/>
      <c r="B2355" s="13"/>
      <c r="C2355" s="14"/>
      <c r="D2355" s="14"/>
      <c r="E2355" s="13"/>
      <c r="F2355" s="15"/>
      <c r="G2355" s="16" t="str">
        <f aca="false">IF(OR(B2355="",A2355=""),"",C2355*IFERROR(INDEX(Kişiler!$B$5:$B$44,MATCH(B2355,Kişiler!$A$5:$A$44,0)),0)+D2355*IFERROR(INDEX(Kişiler!$C$5:$C$44,MATCH(B2355,Kişiler!$A$5:$A$44,0)),0))</f>
        <v/>
      </c>
    </row>
    <row r="2356" customFormat="false" ht="15" hidden="false" customHeight="false" outlineLevel="0" collapsed="false">
      <c r="A2356" s="12"/>
      <c r="B2356" s="13"/>
      <c r="C2356" s="14"/>
      <c r="D2356" s="14"/>
      <c r="E2356" s="13"/>
      <c r="F2356" s="15"/>
      <c r="G2356" s="16" t="str">
        <f aca="false">IF(OR(B2356="",A2356=""),"",C2356*IFERROR(INDEX(Kişiler!$B$5:$B$44,MATCH(B2356,Kişiler!$A$5:$A$44,0)),0)+D2356*IFERROR(INDEX(Kişiler!$C$5:$C$44,MATCH(B2356,Kişiler!$A$5:$A$44,0)),0))</f>
        <v/>
      </c>
    </row>
    <row r="2357" customFormat="false" ht="15" hidden="false" customHeight="false" outlineLevel="0" collapsed="false">
      <c r="A2357" s="12"/>
      <c r="B2357" s="13"/>
      <c r="C2357" s="14"/>
      <c r="D2357" s="14"/>
      <c r="E2357" s="13"/>
      <c r="F2357" s="15"/>
      <c r="G2357" s="16" t="str">
        <f aca="false">IF(OR(B2357="",A2357=""),"",C2357*IFERROR(INDEX(Kişiler!$B$5:$B$44,MATCH(B2357,Kişiler!$A$5:$A$44,0)),0)+D2357*IFERROR(INDEX(Kişiler!$C$5:$C$44,MATCH(B2357,Kişiler!$A$5:$A$44,0)),0))</f>
        <v/>
      </c>
    </row>
    <row r="2358" customFormat="false" ht="15" hidden="false" customHeight="false" outlineLevel="0" collapsed="false">
      <c r="A2358" s="12"/>
      <c r="B2358" s="13"/>
      <c r="C2358" s="14"/>
      <c r="D2358" s="14"/>
      <c r="E2358" s="13"/>
      <c r="F2358" s="15"/>
      <c r="G2358" s="16" t="str">
        <f aca="false">IF(OR(B2358="",A2358=""),"",C2358*IFERROR(INDEX(Kişiler!$B$5:$B$44,MATCH(B2358,Kişiler!$A$5:$A$44,0)),0)+D2358*IFERROR(INDEX(Kişiler!$C$5:$C$44,MATCH(B2358,Kişiler!$A$5:$A$44,0)),0))</f>
        <v/>
      </c>
    </row>
    <row r="2359" customFormat="false" ht="15" hidden="false" customHeight="false" outlineLevel="0" collapsed="false">
      <c r="A2359" s="12"/>
      <c r="B2359" s="13"/>
      <c r="C2359" s="14"/>
      <c r="D2359" s="14"/>
      <c r="E2359" s="13"/>
      <c r="F2359" s="15"/>
      <c r="G2359" s="16" t="str">
        <f aca="false">IF(OR(B2359="",A2359=""),"",C2359*IFERROR(INDEX(Kişiler!$B$5:$B$44,MATCH(B2359,Kişiler!$A$5:$A$44,0)),0)+D2359*IFERROR(INDEX(Kişiler!$C$5:$C$44,MATCH(B2359,Kişiler!$A$5:$A$44,0)),0))</f>
        <v/>
      </c>
    </row>
    <row r="2360" customFormat="false" ht="15" hidden="false" customHeight="false" outlineLevel="0" collapsed="false">
      <c r="A2360" s="12"/>
      <c r="B2360" s="13"/>
      <c r="C2360" s="14"/>
      <c r="D2360" s="14"/>
      <c r="E2360" s="13"/>
      <c r="F2360" s="15"/>
      <c r="G2360" s="16" t="str">
        <f aca="false">IF(OR(B2360="",A2360=""),"",C2360*IFERROR(INDEX(Kişiler!$B$5:$B$44,MATCH(B2360,Kişiler!$A$5:$A$44,0)),0)+D2360*IFERROR(INDEX(Kişiler!$C$5:$C$44,MATCH(B2360,Kişiler!$A$5:$A$44,0)),0))</f>
        <v/>
      </c>
    </row>
    <row r="2361" customFormat="false" ht="15" hidden="false" customHeight="false" outlineLevel="0" collapsed="false">
      <c r="A2361" s="12"/>
      <c r="B2361" s="13"/>
      <c r="C2361" s="14"/>
      <c r="D2361" s="14"/>
      <c r="E2361" s="13"/>
      <c r="F2361" s="15"/>
      <c r="G2361" s="16" t="str">
        <f aca="false">IF(OR(B2361="",A2361=""),"",C2361*IFERROR(INDEX(Kişiler!$B$5:$B$44,MATCH(B2361,Kişiler!$A$5:$A$44,0)),0)+D2361*IFERROR(INDEX(Kişiler!$C$5:$C$44,MATCH(B2361,Kişiler!$A$5:$A$44,0)),0))</f>
        <v/>
      </c>
    </row>
    <row r="2362" customFormat="false" ht="15" hidden="false" customHeight="false" outlineLevel="0" collapsed="false">
      <c r="A2362" s="12"/>
      <c r="B2362" s="13"/>
      <c r="C2362" s="14"/>
      <c r="D2362" s="14"/>
      <c r="E2362" s="13"/>
      <c r="F2362" s="15"/>
      <c r="G2362" s="16" t="str">
        <f aca="false">IF(OR(B2362="",A2362=""),"",C2362*IFERROR(INDEX(Kişiler!$B$5:$B$44,MATCH(B2362,Kişiler!$A$5:$A$44,0)),0)+D2362*IFERROR(INDEX(Kişiler!$C$5:$C$44,MATCH(B2362,Kişiler!$A$5:$A$44,0)),0))</f>
        <v/>
      </c>
    </row>
    <row r="2363" customFormat="false" ht="15" hidden="false" customHeight="false" outlineLevel="0" collapsed="false">
      <c r="A2363" s="12"/>
      <c r="B2363" s="13"/>
      <c r="C2363" s="14"/>
      <c r="D2363" s="14"/>
      <c r="E2363" s="13"/>
      <c r="F2363" s="15"/>
      <c r="G2363" s="16" t="str">
        <f aca="false">IF(OR(B2363="",A2363=""),"",C2363*IFERROR(INDEX(Kişiler!$B$5:$B$44,MATCH(B2363,Kişiler!$A$5:$A$44,0)),0)+D2363*IFERROR(INDEX(Kişiler!$C$5:$C$44,MATCH(B2363,Kişiler!$A$5:$A$44,0)),0))</f>
        <v/>
      </c>
    </row>
    <row r="2364" customFormat="false" ht="15" hidden="false" customHeight="false" outlineLevel="0" collapsed="false">
      <c r="A2364" s="12"/>
      <c r="B2364" s="13"/>
      <c r="C2364" s="14"/>
      <c r="D2364" s="14"/>
      <c r="E2364" s="13"/>
      <c r="F2364" s="15"/>
      <c r="G2364" s="16" t="str">
        <f aca="false">IF(OR(B2364="",A2364=""),"",C2364*IFERROR(INDEX(Kişiler!$B$5:$B$44,MATCH(B2364,Kişiler!$A$5:$A$44,0)),0)+D2364*IFERROR(INDEX(Kişiler!$C$5:$C$44,MATCH(B2364,Kişiler!$A$5:$A$44,0)),0))</f>
        <v/>
      </c>
    </row>
    <row r="2365" customFormat="false" ht="15" hidden="false" customHeight="false" outlineLevel="0" collapsed="false">
      <c r="A2365" s="12"/>
      <c r="B2365" s="13"/>
      <c r="C2365" s="14"/>
      <c r="D2365" s="14"/>
      <c r="E2365" s="13"/>
      <c r="F2365" s="15"/>
      <c r="G2365" s="16" t="str">
        <f aca="false">IF(OR(B2365="",A2365=""),"",C2365*IFERROR(INDEX(Kişiler!$B$5:$B$44,MATCH(B2365,Kişiler!$A$5:$A$44,0)),0)+D2365*IFERROR(INDEX(Kişiler!$C$5:$C$44,MATCH(B2365,Kişiler!$A$5:$A$44,0)),0))</f>
        <v/>
      </c>
    </row>
    <row r="2366" customFormat="false" ht="15" hidden="false" customHeight="false" outlineLevel="0" collapsed="false">
      <c r="A2366" s="12"/>
      <c r="B2366" s="13"/>
      <c r="C2366" s="14"/>
      <c r="D2366" s="14"/>
      <c r="E2366" s="13"/>
      <c r="F2366" s="15"/>
      <c r="G2366" s="16" t="str">
        <f aca="false">IF(OR(B2366="",A2366=""),"",C2366*IFERROR(INDEX(Kişiler!$B$5:$B$44,MATCH(B2366,Kişiler!$A$5:$A$44,0)),0)+D2366*IFERROR(INDEX(Kişiler!$C$5:$C$44,MATCH(B2366,Kişiler!$A$5:$A$44,0)),0))</f>
        <v/>
      </c>
    </row>
    <row r="2367" customFormat="false" ht="15" hidden="false" customHeight="false" outlineLevel="0" collapsed="false">
      <c r="A2367" s="12"/>
      <c r="B2367" s="13"/>
      <c r="C2367" s="14"/>
      <c r="D2367" s="14"/>
      <c r="E2367" s="13"/>
      <c r="F2367" s="15"/>
      <c r="G2367" s="16" t="str">
        <f aca="false">IF(OR(B2367="",A2367=""),"",C2367*IFERROR(INDEX(Kişiler!$B$5:$B$44,MATCH(B2367,Kişiler!$A$5:$A$44,0)),0)+D2367*IFERROR(INDEX(Kişiler!$C$5:$C$44,MATCH(B2367,Kişiler!$A$5:$A$44,0)),0))</f>
        <v/>
      </c>
    </row>
    <row r="2368" customFormat="false" ht="15" hidden="false" customHeight="false" outlineLevel="0" collapsed="false">
      <c r="A2368" s="12"/>
      <c r="B2368" s="13"/>
      <c r="C2368" s="14"/>
      <c r="D2368" s="14"/>
      <c r="E2368" s="13"/>
      <c r="F2368" s="15"/>
      <c r="G2368" s="16" t="str">
        <f aca="false">IF(OR(B2368="",A2368=""),"",C2368*IFERROR(INDEX(Kişiler!$B$5:$B$44,MATCH(B2368,Kişiler!$A$5:$A$44,0)),0)+D2368*IFERROR(INDEX(Kişiler!$C$5:$C$44,MATCH(B2368,Kişiler!$A$5:$A$44,0)),0))</f>
        <v/>
      </c>
    </row>
    <row r="2369" customFormat="false" ht="15" hidden="false" customHeight="false" outlineLevel="0" collapsed="false">
      <c r="A2369" s="12"/>
      <c r="B2369" s="13"/>
      <c r="C2369" s="14"/>
      <c r="D2369" s="14"/>
      <c r="E2369" s="13"/>
      <c r="F2369" s="15"/>
      <c r="G2369" s="16" t="str">
        <f aca="false">IF(OR(B2369="",A2369=""),"",C2369*IFERROR(INDEX(Kişiler!$B$5:$B$44,MATCH(B2369,Kişiler!$A$5:$A$44,0)),0)+D2369*IFERROR(INDEX(Kişiler!$C$5:$C$44,MATCH(B2369,Kişiler!$A$5:$A$44,0)),0))</f>
        <v/>
      </c>
    </row>
    <row r="2370" customFormat="false" ht="15" hidden="false" customHeight="false" outlineLevel="0" collapsed="false">
      <c r="A2370" s="12"/>
      <c r="B2370" s="13"/>
      <c r="C2370" s="14"/>
      <c r="D2370" s="14"/>
      <c r="E2370" s="13"/>
      <c r="F2370" s="15"/>
      <c r="G2370" s="16" t="str">
        <f aca="false">IF(OR(B2370="",A2370=""),"",C2370*IFERROR(INDEX(Kişiler!$B$5:$B$44,MATCH(B2370,Kişiler!$A$5:$A$44,0)),0)+D2370*IFERROR(INDEX(Kişiler!$C$5:$C$44,MATCH(B2370,Kişiler!$A$5:$A$44,0)),0))</f>
        <v/>
      </c>
    </row>
    <row r="2371" customFormat="false" ht="15" hidden="false" customHeight="false" outlineLevel="0" collapsed="false">
      <c r="A2371" s="12"/>
      <c r="B2371" s="13"/>
      <c r="C2371" s="14"/>
      <c r="D2371" s="14"/>
      <c r="E2371" s="13"/>
      <c r="F2371" s="15"/>
      <c r="G2371" s="16" t="str">
        <f aca="false">IF(OR(B2371="",A2371=""),"",C2371*IFERROR(INDEX(Kişiler!$B$5:$B$44,MATCH(B2371,Kişiler!$A$5:$A$44,0)),0)+D2371*IFERROR(INDEX(Kişiler!$C$5:$C$44,MATCH(B2371,Kişiler!$A$5:$A$44,0)),0))</f>
        <v/>
      </c>
    </row>
    <row r="2372" customFormat="false" ht="15" hidden="false" customHeight="false" outlineLevel="0" collapsed="false">
      <c r="A2372" s="12"/>
      <c r="B2372" s="13"/>
      <c r="C2372" s="14"/>
      <c r="D2372" s="14"/>
      <c r="E2372" s="13"/>
      <c r="F2372" s="15"/>
      <c r="G2372" s="16" t="str">
        <f aca="false">IF(OR(B2372="",A2372=""),"",C2372*IFERROR(INDEX(Kişiler!$B$5:$B$44,MATCH(B2372,Kişiler!$A$5:$A$44,0)),0)+D2372*IFERROR(INDEX(Kişiler!$C$5:$C$44,MATCH(B2372,Kişiler!$A$5:$A$44,0)),0))</f>
        <v/>
      </c>
    </row>
    <row r="2373" customFormat="false" ht="15" hidden="false" customHeight="false" outlineLevel="0" collapsed="false">
      <c r="A2373" s="12"/>
      <c r="B2373" s="13"/>
      <c r="C2373" s="14"/>
      <c r="D2373" s="14"/>
      <c r="E2373" s="13"/>
      <c r="F2373" s="15"/>
      <c r="G2373" s="16" t="str">
        <f aca="false">IF(OR(B2373="",A2373=""),"",C2373*IFERROR(INDEX(Kişiler!$B$5:$B$44,MATCH(B2373,Kişiler!$A$5:$A$44,0)),0)+D2373*IFERROR(INDEX(Kişiler!$C$5:$C$44,MATCH(B2373,Kişiler!$A$5:$A$44,0)),0))</f>
        <v/>
      </c>
    </row>
    <row r="2374" customFormat="false" ht="15" hidden="false" customHeight="false" outlineLevel="0" collapsed="false">
      <c r="A2374" s="12"/>
      <c r="B2374" s="13"/>
      <c r="C2374" s="14"/>
      <c r="D2374" s="14"/>
      <c r="E2374" s="13"/>
      <c r="F2374" s="15"/>
      <c r="G2374" s="16" t="str">
        <f aca="false">IF(OR(B2374="",A2374=""),"",C2374*IFERROR(INDEX(Kişiler!$B$5:$B$44,MATCH(B2374,Kişiler!$A$5:$A$44,0)),0)+D2374*IFERROR(INDEX(Kişiler!$C$5:$C$44,MATCH(B2374,Kişiler!$A$5:$A$44,0)),0))</f>
        <v/>
      </c>
    </row>
    <row r="2375" customFormat="false" ht="15" hidden="false" customHeight="false" outlineLevel="0" collapsed="false">
      <c r="A2375" s="12"/>
      <c r="B2375" s="13"/>
      <c r="C2375" s="14"/>
      <c r="D2375" s="14"/>
      <c r="E2375" s="13"/>
      <c r="F2375" s="15"/>
      <c r="G2375" s="16" t="str">
        <f aca="false">IF(OR(B2375="",A2375=""),"",C2375*IFERROR(INDEX(Kişiler!$B$5:$B$44,MATCH(B2375,Kişiler!$A$5:$A$44,0)),0)+D2375*IFERROR(INDEX(Kişiler!$C$5:$C$44,MATCH(B2375,Kişiler!$A$5:$A$44,0)),0))</f>
        <v/>
      </c>
    </row>
    <row r="2376" customFormat="false" ht="15" hidden="false" customHeight="false" outlineLevel="0" collapsed="false">
      <c r="A2376" s="12"/>
      <c r="B2376" s="13"/>
      <c r="C2376" s="14"/>
      <c r="D2376" s="14"/>
      <c r="E2376" s="13"/>
      <c r="F2376" s="15"/>
      <c r="G2376" s="16" t="str">
        <f aca="false">IF(OR(B2376="",A2376=""),"",C2376*IFERROR(INDEX(Kişiler!$B$5:$B$44,MATCH(B2376,Kişiler!$A$5:$A$44,0)),0)+D2376*IFERROR(INDEX(Kişiler!$C$5:$C$44,MATCH(B2376,Kişiler!$A$5:$A$44,0)),0))</f>
        <v/>
      </c>
    </row>
    <row r="2377" customFormat="false" ht="15" hidden="false" customHeight="false" outlineLevel="0" collapsed="false">
      <c r="A2377" s="12"/>
      <c r="B2377" s="13"/>
      <c r="C2377" s="14"/>
      <c r="D2377" s="14"/>
      <c r="E2377" s="13"/>
      <c r="F2377" s="15"/>
      <c r="G2377" s="16" t="str">
        <f aca="false">IF(OR(B2377="",A2377=""),"",C2377*IFERROR(INDEX(Kişiler!$B$5:$B$44,MATCH(B2377,Kişiler!$A$5:$A$44,0)),0)+D2377*IFERROR(INDEX(Kişiler!$C$5:$C$44,MATCH(B2377,Kişiler!$A$5:$A$44,0)),0))</f>
        <v/>
      </c>
    </row>
    <row r="2378" customFormat="false" ht="15" hidden="false" customHeight="false" outlineLevel="0" collapsed="false">
      <c r="A2378" s="12"/>
      <c r="B2378" s="13"/>
      <c r="C2378" s="14"/>
      <c r="D2378" s="14"/>
      <c r="E2378" s="13"/>
      <c r="F2378" s="15"/>
      <c r="G2378" s="16" t="str">
        <f aca="false">IF(OR(B2378="",A2378=""),"",C2378*IFERROR(INDEX(Kişiler!$B$5:$B$44,MATCH(B2378,Kişiler!$A$5:$A$44,0)),0)+D2378*IFERROR(INDEX(Kişiler!$C$5:$C$44,MATCH(B2378,Kişiler!$A$5:$A$44,0)),0))</f>
        <v/>
      </c>
    </row>
    <row r="2379" customFormat="false" ht="15" hidden="false" customHeight="false" outlineLevel="0" collapsed="false">
      <c r="A2379" s="12"/>
      <c r="B2379" s="13"/>
      <c r="C2379" s="14"/>
      <c r="D2379" s="14"/>
      <c r="E2379" s="13"/>
      <c r="F2379" s="15"/>
      <c r="G2379" s="16" t="str">
        <f aca="false">IF(OR(B2379="",A2379=""),"",C2379*IFERROR(INDEX(Kişiler!$B$5:$B$44,MATCH(B2379,Kişiler!$A$5:$A$44,0)),0)+D2379*IFERROR(INDEX(Kişiler!$C$5:$C$44,MATCH(B2379,Kişiler!$A$5:$A$44,0)),0))</f>
        <v/>
      </c>
    </row>
    <row r="2380" customFormat="false" ht="15" hidden="false" customHeight="false" outlineLevel="0" collapsed="false">
      <c r="A2380" s="12"/>
      <c r="B2380" s="13"/>
      <c r="C2380" s="14"/>
      <c r="D2380" s="14"/>
      <c r="E2380" s="13"/>
      <c r="F2380" s="15"/>
      <c r="G2380" s="16" t="str">
        <f aca="false">IF(OR(B2380="",A2380=""),"",C2380*IFERROR(INDEX(Kişiler!$B$5:$B$44,MATCH(B2380,Kişiler!$A$5:$A$44,0)),0)+D2380*IFERROR(INDEX(Kişiler!$C$5:$C$44,MATCH(B2380,Kişiler!$A$5:$A$44,0)),0))</f>
        <v/>
      </c>
    </row>
    <row r="2381" customFormat="false" ht="15" hidden="false" customHeight="false" outlineLevel="0" collapsed="false">
      <c r="A2381" s="12"/>
      <c r="B2381" s="13"/>
      <c r="C2381" s="14"/>
      <c r="D2381" s="14"/>
      <c r="E2381" s="13"/>
      <c r="F2381" s="15"/>
      <c r="G2381" s="16" t="str">
        <f aca="false">IF(OR(B2381="",A2381=""),"",C2381*IFERROR(INDEX(Kişiler!$B$5:$B$44,MATCH(B2381,Kişiler!$A$5:$A$44,0)),0)+D2381*IFERROR(INDEX(Kişiler!$C$5:$C$44,MATCH(B2381,Kişiler!$A$5:$A$44,0)),0))</f>
        <v/>
      </c>
    </row>
    <row r="2382" customFormat="false" ht="15" hidden="false" customHeight="false" outlineLevel="0" collapsed="false">
      <c r="A2382" s="12"/>
      <c r="B2382" s="13"/>
      <c r="C2382" s="14"/>
      <c r="D2382" s="14"/>
      <c r="E2382" s="13"/>
      <c r="F2382" s="15"/>
      <c r="G2382" s="16" t="str">
        <f aca="false">IF(OR(B2382="",A2382=""),"",C2382*IFERROR(INDEX(Kişiler!$B$5:$B$44,MATCH(B2382,Kişiler!$A$5:$A$44,0)),0)+D2382*IFERROR(INDEX(Kişiler!$C$5:$C$44,MATCH(B2382,Kişiler!$A$5:$A$44,0)),0))</f>
        <v/>
      </c>
    </row>
    <row r="2383" customFormat="false" ht="15" hidden="false" customHeight="false" outlineLevel="0" collapsed="false">
      <c r="A2383" s="12"/>
      <c r="B2383" s="13"/>
      <c r="C2383" s="14"/>
      <c r="D2383" s="14"/>
      <c r="E2383" s="13"/>
      <c r="F2383" s="15"/>
      <c r="G2383" s="16" t="str">
        <f aca="false">IF(OR(B2383="",A2383=""),"",C2383*IFERROR(INDEX(Kişiler!$B$5:$B$44,MATCH(B2383,Kişiler!$A$5:$A$44,0)),0)+D2383*IFERROR(INDEX(Kişiler!$C$5:$C$44,MATCH(B2383,Kişiler!$A$5:$A$44,0)),0))</f>
        <v/>
      </c>
    </row>
    <row r="2384" customFormat="false" ht="15" hidden="false" customHeight="false" outlineLevel="0" collapsed="false">
      <c r="A2384" s="12"/>
      <c r="B2384" s="13"/>
      <c r="C2384" s="14"/>
      <c r="D2384" s="14"/>
      <c r="E2384" s="13"/>
      <c r="F2384" s="15"/>
      <c r="G2384" s="16" t="str">
        <f aca="false">IF(OR(B2384="",A2384=""),"",C2384*IFERROR(INDEX(Kişiler!$B$5:$B$44,MATCH(B2384,Kişiler!$A$5:$A$44,0)),0)+D2384*IFERROR(INDEX(Kişiler!$C$5:$C$44,MATCH(B2384,Kişiler!$A$5:$A$44,0)),0))</f>
        <v/>
      </c>
    </row>
    <row r="2385" customFormat="false" ht="15" hidden="false" customHeight="false" outlineLevel="0" collapsed="false">
      <c r="A2385" s="12"/>
      <c r="B2385" s="13"/>
      <c r="C2385" s="14"/>
      <c r="D2385" s="14"/>
      <c r="E2385" s="13"/>
      <c r="F2385" s="15"/>
      <c r="G2385" s="16" t="str">
        <f aca="false">IF(OR(B2385="",A2385=""),"",C2385*IFERROR(INDEX(Kişiler!$B$5:$B$44,MATCH(B2385,Kişiler!$A$5:$A$44,0)),0)+D2385*IFERROR(INDEX(Kişiler!$C$5:$C$44,MATCH(B2385,Kişiler!$A$5:$A$44,0)),0))</f>
        <v/>
      </c>
    </row>
    <row r="2386" customFormat="false" ht="15" hidden="false" customHeight="false" outlineLevel="0" collapsed="false">
      <c r="A2386" s="12"/>
      <c r="B2386" s="13"/>
      <c r="C2386" s="14"/>
      <c r="D2386" s="14"/>
      <c r="E2386" s="13"/>
      <c r="F2386" s="15"/>
      <c r="G2386" s="16" t="str">
        <f aca="false">IF(OR(B2386="",A2386=""),"",C2386*IFERROR(INDEX(Kişiler!$B$5:$B$44,MATCH(B2386,Kişiler!$A$5:$A$44,0)),0)+D2386*IFERROR(INDEX(Kişiler!$C$5:$C$44,MATCH(B2386,Kişiler!$A$5:$A$44,0)),0))</f>
        <v/>
      </c>
    </row>
    <row r="2387" customFormat="false" ht="15" hidden="false" customHeight="false" outlineLevel="0" collapsed="false">
      <c r="A2387" s="12"/>
      <c r="B2387" s="13"/>
      <c r="C2387" s="14"/>
      <c r="D2387" s="14"/>
      <c r="E2387" s="13"/>
      <c r="F2387" s="15"/>
      <c r="G2387" s="16" t="str">
        <f aca="false">IF(OR(B2387="",A2387=""),"",C2387*IFERROR(INDEX(Kişiler!$B$5:$B$44,MATCH(B2387,Kişiler!$A$5:$A$44,0)),0)+D2387*IFERROR(INDEX(Kişiler!$C$5:$C$44,MATCH(B2387,Kişiler!$A$5:$A$44,0)),0))</f>
        <v/>
      </c>
    </row>
    <row r="2388" customFormat="false" ht="15" hidden="false" customHeight="false" outlineLevel="0" collapsed="false">
      <c r="A2388" s="12"/>
      <c r="B2388" s="13"/>
      <c r="C2388" s="14"/>
      <c r="D2388" s="14"/>
      <c r="E2388" s="13"/>
      <c r="F2388" s="15"/>
      <c r="G2388" s="16" t="str">
        <f aca="false">IF(OR(B2388="",A2388=""),"",C2388*IFERROR(INDEX(Kişiler!$B$5:$B$44,MATCH(B2388,Kişiler!$A$5:$A$44,0)),0)+D2388*IFERROR(INDEX(Kişiler!$C$5:$C$44,MATCH(B2388,Kişiler!$A$5:$A$44,0)),0))</f>
        <v/>
      </c>
    </row>
    <row r="2389" customFormat="false" ht="15" hidden="false" customHeight="false" outlineLevel="0" collapsed="false">
      <c r="A2389" s="12"/>
      <c r="B2389" s="13"/>
      <c r="C2389" s="14"/>
      <c r="D2389" s="14"/>
      <c r="E2389" s="13"/>
      <c r="F2389" s="15"/>
      <c r="G2389" s="16" t="str">
        <f aca="false">IF(OR(B2389="",A2389=""),"",C2389*IFERROR(INDEX(Kişiler!$B$5:$B$44,MATCH(B2389,Kişiler!$A$5:$A$44,0)),0)+D2389*IFERROR(INDEX(Kişiler!$C$5:$C$44,MATCH(B2389,Kişiler!$A$5:$A$44,0)),0))</f>
        <v/>
      </c>
    </row>
    <row r="2390" customFormat="false" ht="15" hidden="false" customHeight="false" outlineLevel="0" collapsed="false">
      <c r="A2390" s="12"/>
      <c r="B2390" s="13"/>
      <c r="C2390" s="14"/>
      <c r="D2390" s="14"/>
      <c r="E2390" s="13"/>
      <c r="F2390" s="15"/>
      <c r="G2390" s="16" t="str">
        <f aca="false">IF(OR(B2390="",A2390=""),"",C2390*IFERROR(INDEX(Kişiler!$B$5:$B$44,MATCH(B2390,Kişiler!$A$5:$A$44,0)),0)+D2390*IFERROR(INDEX(Kişiler!$C$5:$C$44,MATCH(B2390,Kişiler!$A$5:$A$44,0)),0))</f>
        <v/>
      </c>
    </row>
    <row r="2391" customFormat="false" ht="15" hidden="false" customHeight="false" outlineLevel="0" collapsed="false">
      <c r="A2391" s="12"/>
      <c r="B2391" s="13"/>
      <c r="C2391" s="14"/>
      <c r="D2391" s="14"/>
      <c r="E2391" s="13"/>
      <c r="F2391" s="15"/>
      <c r="G2391" s="16" t="str">
        <f aca="false">IF(OR(B2391="",A2391=""),"",C2391*IFERROR(INDEX(Kişiler!$B$5:$B$44,MATCH(B2391,Kişiler!$A$5:$A$44,0)),0)+D2391*IFERROR(INDEX(Kişiler!$C$5:$C$44,MATCH(B2391,Kişiler!$A$5:$A$44,0)),0))</f>
        <v/>
      </c>
    </row>
    <row r="2392" customFormat="false" ht="15" hidden="false" customHeight="false" outlineLevel="0" collapsed="false">
      <c r="A2392" s="12"/>
      <c r="B2392" s="13"/>
      <c r="C2392" s="14"/>
      <c r="D2392" s="14"/>
      <c r="E2392" s="13"/>
      <c r="F2392" s="15"/>
      <c r="G2392" s="16" t="str">
        <f aca="false">IF(OR(B2392="",A2392=""),"",C2392*IFERROR(INDEX(Kişiler!$B$5:$B$44,MATCH(B2392,Kişiler!$A$5:$A$44,0)),0)+D2392*IFERROR(INDEX(Kişiler!$C$5:$C$44,MATCH(B2392,Kişiler!$A$5:$A$44,0)),0))</f>
        <v/>
      </c>
    </row>
    <row r="2393" customFormat="false" ht="15" hidden="false" customHeight="false" outlineLevel="0" collapsed="false">
      <c r="A2393" s="12"/>
      <c r="B2393" s="13"/>
      <c r="C2393" s="14"/>
      <c r="D2393" s="14"/>
      <c r="E2393" s="13"/>
      <c r="F2393" s="15"/>
      <c r="G2393" s="16" t="str">
        <f aca="false">IF(OR(B2393="",A2393=""),"",C2393*IFERROR(INDEX(Kişiler!$B$5:$B$44,MATCH(B2393,Kişiler!$A$5:$A$44,0)),0)+D2393*IFERROR(INDEX(Kişiler!$C$5:$C$44,MATCH(B2393,Kişiler!$A$5:$A$44,0)),0))</f>
        <v/>
      </c>
    </row>
    <row r="2394" customFormat="false" ht="15" hidden="false" customHeight="false" outlineLevel="0" collapsed="false">
      <c r="A2394" s="12"/>
      <c r="B2394" s="13"/>
      <c r="C2394" s="14"/>
      <c r="D2394" s="14"/>
      <c r="E2394" s="13"/>
      <c r="F2394" s="15"/>
      <c r="G2394" s="16" t="str">
        <f aca="false">IF(OR(B2394="",A2394=""),"",C2394*IFERROR(INDEX(Kişiler!$B$5:$B$44,MATCH(B2394,Kişiler!$A$5:$A$44,0)),0)+D2394*IFERROR(INDEX(Kişiler!$C$5:$C$44,MATCH(B2394,Kişiler!$A$5:$A$44,0)),0))</f>
        <v/>
      </c>
    </row>
    <row r="2395" customFormat="false" ht="15" hidden="false" customHeight="false" outlineLevel="0" collapsed="false">
      <c r="A2395" s="12"/>
      <c r="B2395" s="13"/>
      <c r="C2395" s="14"/>
      <c r="D2395" s="14"/>
      <c r="E2395" s="13"/>
      <c r="F2395" s="15"/>
      <c r="G2395" s="16" t="str">
        <f aca="false">IF(OR(B2395="",A2395=""),"",C2395*IFERROR(INDEX(Kişiler!$B$5:$B$44,MATCH(B2395,Kişiler!$A$5:$A$44,0)),0)+D2395*IFERROR(INDEX(Kişiler!$C$5:$C$44,MATCH(B2395,Kişiler!$A$5:$A$44,0)),0))</f>
        <v/>
      </c>
    </row>
    <row r="2396" customFormat="false" ht="15" hidden="false" customHeight="false" outlineLevel="0" collapsed="false">
      <c r="A2396" s="12"/>
      <c r="B2396" s="13"/>
      <c r="C2396" s="14"/>
      <c r="D2396" s="14"/>
      <c r="E2396" s="13"/>
      <c r="F2396" s="15"/>
      <c r="G2396" s="16" t="str">
        <f aca="false">IF(OR(B2396="",A2396=""),"",C2396*IFERROR(INDEX(Kişiler!$B$5:$B$44,MATCH(B2396,Kişiler!$A$5:$A$44,0)),0)+D2396*IFERROR(INDEX(Kişiler!$C$5:$C$44,MATCH(B2396,Kişiler!$A$5:$A$44,0)),0))</f>
        <v/>
      </c>
    </row>
    <row r="2397" customFormat="false" ht="15" hidden="false" customHeight="false" outlineLevel="0" collapsed="false">
      <c r="A2397" s="12"/>
      <c r="B2397" s="13"/>
      <c r="C2397" s="14"/>
      <c r="D2397" s="14"/>
      <c r="E2397" s="13"/>
      <c r="F2397" s="15"/>
      <c r="G2397" s="16" t="str">
        <f aca="false">IF(OR(B2397="",A2397=""),"",C2397*IFERROR(INDEX(Kişiler!$B$5:$B$44,MATCH(B2397,Kişiler!$A$5:$A$44,0)),0)+D2397*IFERROR(INDEX(Kişiler!$C$5:$C$44,MATCH(B2397,Kişiler!$A$5:$A$44,0)),0))</f>
        <v/>
      </c>
    </row>
    <row r="2398" customFormat="false" ht="15" hidden="false" customHeight="false" outlineLevel="0" collapsed="false">
      <c r="A2398" s="12"/>
      <c r="B2398" s="13"/>
      <c r="C2398" s="14"/>
      <c r="D2398" s="14"/>
      <c r="E2398" s="13"/>
      <c r="F2398" s="15"/>
      <c r="G2398" s="16" t="str">
        <f aca="false">IF(OR(B2398="",A2398=""),"",C2398*IFERROR(INDEX(Kişiler!$B$5:$B$44,MATCH(B2398,Kişiler!$A$5:$A$44,0)),0)+D2398*IFERROR(INDEX(Kişiler!$C$5:$C$44,MATCH(B2398,Kişiler!$A$5:$A$44,0)),0))</f>
        <v/>
      </c>
    </row>
    <row r="2399" customFormat="false" ht="15" hidden="false" customHeight="false" outlineLevel="0" collapsed="false">
      <c r="A2399" s="12"/>
      <c r="B2399" s="13"/>
      <c r="C2399" s="14"/>
      <c r="D2399" s="14"/>
      <c r="E2399" s="13"/>
      <c r="F2399" s="15"/>
      <c r="G2399" s="16" t="str">
        <f aca="false">IF(OR(B2399="",A2399=""),"",C2399*IFERROR(INDEX(Kişiler!$B$5:$B$44,MATCH(B2399,Kişiler!$A$5:$A$44,0)),0)+D2399*IFERROR(INDEX(Kişiler!$C$5:$C$44,MATCH(B2399,Kişiler!$A$5:$A$44,0)),0))</f>
        <v/>
      </c>
    </row>
    <row r="2400" customFormat="false" ht="15" hidden="false" customHeight="false" outlineLevel="0" collapsed="false">
      <c r="A2400" s="12"/>
      <c r="B2400" s="13"/>
      <c r="C2400" s="14"/>
      <c r="D2400" s="14"/>
      <c r="E2400" s="13"/>
      <c r="F2400" s="15"/>
      <c r="G2400" s="16" t="str">
        <f aca="false">IF(OR(B2400="",A2400=""),"",C2400*IFERROR(INDEX(Kişiler!$B$5:$B$44,MATCH(B2400,Kişiler!$A$5:$A$44,0)),0)+D2400*IFERROR(INDEX(Kişiler!$C$5:$C$44,MATCH(B2400,Kişiler!$A$5:$A$44,0)),0))</f>
        <v/>
      </c>
    </row>
    <row r="2401" customFormat="false" ht="15" hidden="false" customHeight="false" outlineLevel="0" collapsed="false">
      <c r="A2401" s="12"/>
      <c r="B2401" s="13"/>
      <c r="C2401" s="14"/>
      <c r="D2401" s="14"/>
      <c r="E2401" s="13"/>
      <c r="F2401" s="15"/>
      <c r="G2401" s="16" t="str">
        <f aca="false">IF(OR(B2401="",A2401=""),"",C2401*IFERROR(INDEX(Kişiler!$B$5:$B$44,MATCH(B2401,Kişiler!$A$5:$A$44,0)),0)+D2401*IFERROR(INDEX(Kişiler!$C$5:$C$44,MATCH(B2401,Kişiler!$A$5:$A$44,0)),0))</f>
        <v/>
      </c>
    </row>
    <row r="2402" customFormat="false" ht="15" hidden="false" customHeight="false" outlineLevel="0" collapsed="false">
      <c r="A2402" s="12"/>
      <c r="B2402" s="13"/>
      <c r="C2402" s="14"/>
      <c r="D2402" s="14"/>
      <c r="E2402" s="13"/>
      <c r="F2402" s="15"/>
      <c r="G2402" s="16" t="str">
        <f aca="false">IF(OR(B2402="",A2402=""),"",C2402*IFERROR(INDEX(Kişiler!$B$5:$B$44,MATCH(B2402,Kişiler!$A$5:$A$44,0)),0)+D2402*IFERROR(INDEX(Kişiler!$C$5:$C$44,MATCH(B2402,Kişiler!$A$5:$A$44,0)),0))</f>
        <v/>
      </c>
    </row>
    <row r="2403" customFormat="false" ht="15" hidden="false" customHeight="false" outlineLevel="0" collapsed="false">
      <c r="A2403" s="12"/>
      <c r="B2403" s="13"/>
      <c r="C2403" s="14"/>
      <c r="D2403" s="14"/>
      <c r="E2403" s="13"/>
      <c r="F2403" s="15"/>
      <c r="G2403" s="16" t="str">
        <f aca="false">IF(OR(B2403="",A2403=""),"",C2403*IFERROR(INDEX(Kişiler!$B$5:$B$44,MATCH(B2403,Kişiler!$A$5:$A$44,0)),0)+D2403*IFERROR(INDEX(Kişiler!$C$5:$C$44,MATCH(B2403,Kişiler!$A$5:$A$44,0)),0))</f>
        <v/>
      </c>
    </row>
    <row r="2404" customFormat="false" ht="15" hidden="false" customHeight="false" outlineLevel="0" collapsed="false">
      <c r="A2404" s="12"/>
      <c r="B2404" s="13"/>
      <c r="C2404" s="14"/>
      <c r="D2404" s="14"/>
      <c r="E2404" s="13"/>
      <c r="F2404" s="15"/>
      <c r="G2404" s="16" t="str">
        <f aca="false">IF(OR(B2404="",A2404=""),"",C2404*IFERROR(INDEX(Kişiler!$B$5:$B$44,MATCH(B2404,Kişiler!$A$5:$A$44,0)),0)+D2404*IFERROR(INDEX(Kişiler!$C$5:$C$44,MATCH(B2404,Kişiler!$A$5:$A$44,0)),0))</f>
        <v/>
      </c>
    </row>
    <row r="2405" customFormat="false" ht="15" hidden="false" customHeight="false" outlineLevel="0" collapsed="false">
      <c r="A2405" s="12"/>
      <c r="B2405" s="13"/>
      <c r="C2405" s="14"/>
      <c r="D2405" s="14"/>
      <c r="E2405" s="13"/>
      <c r="F2405" s="15"/>
      <c r="G2405" s="16" t="str">
        <f aca="false">IF(OR(B2405="",A2405=""),"",C2405*IFERROR(INDEX(Kişiler!$B$5:$B$44,MATCH(B2405,Kişiler!$A$5:$A$44,0)),0)+D2405*IFERROR(INDEX(Kişiler!$C$5:$C$44,MATCH(B2405,Kişiler!$A$5:$A$44,0)),0))</f>
        <v/>
      </c>
    </row>
    <row r="2406" customFormat="false" ht="15" hidden="false" customHeight="false" outlineLevel="0" collapsed="false">
      <c r="A2406" s="12"/>
      <c r="B2406" s="13"/>
      <c r="C2406" s="14"/>
      <c r="D2406" s="14"/>
      <c r="E2406" s="13"/>
      <c r="F2406" s="15"/>
      <c r="G2406" s="16" t="str">
        <f aca="false">IF(OR(B2406="",A2406=""),"",C2406*IFERROR(INDEX(Kişiler!$B$5:$B$44,MATCH(B2406,Kişiler!$A$5:$A$44,0)),0)+D2406*IFERROR(INDEX(Kişiler!$C$5:$C$44,MATCH(B2406,Kişiler!$A$5:$A$44,0)),0))</f>
        <v/>
      </c>
    </row>
    <row r="2407" customFormat="false" ht="15" hidden="false" customHeight="false" outlineLevel="0" collapsed="false">
      <c r="A2407" s="12"/>
      <c r="B2407" s="13"/>
      <c r="C2407" s="14"/>
      <c r="D2407" s="14"/>
      <c r="E2407" s="13"/>
      <c r="F2407" s="15"/>
      <c r="G2407" s="16" t="str">
        <f aca="false">IF(OR(B2407="",A2407=""),"",C2407*IFERROR(INDEX(Kişiler!$B$5:$B$44,MATCH(B2407,Kişiler!$A$5:$A$44,0)),0)+D2407*IFERROR(INDEX(Kişiler!$C$5:$C$44,MATCH(B2407,Kişiler!$A$5:$A$44,0)),0))</f>
        <v/>
      </c>
    </row>
    <row r="2408" customFormat="false" ht="15" hidden="false" customHeight="false" outlineLevel="0" collapsed="false">
      <c r="A2408" s="12"/>
      <c r="B2408" s="13"/>
      <c r="C2408" s="14"/>
      <c r="D2408" s="14"/>
      <c r="E2408" s="13"/>
      <c r="F2408" s="15"/>
      <c r="G2408" s="16" t="str">
        <f aca="false">IF(OR(B2408="",A2408=""),"",C2408*IFERROR(INDEX(Kişiler!$B$5:$B$44,MATCH(B2408,Kişiler!$A$5:$A$44,0)),0)+D2408*IFERROR(INDEX(Kişiler!$C$5:$C$44,MATCH(B2408,Kişiler!$A$5:$A$44,0)),0))</f>
        <v/>
      </c>
    </row>
    <row r="2409" customFormat="false" ht="15" hidden="false" customHeight="false" outlineLevel="0" collapsed="false">
      <c r="A2409" s="12"/>
      <c r="B2409" s="13"/>
      <c r="C2409" s="14"/>
      <c r="D2409" s="14"/>
      <c r="E2409" s="13"/>
      <c r="F2409" s="15"/>
      <c r="G2409" s="16" t="str">
        <f aca="false">IF(OR(B2409="",A2409=""),"",C2409*IFERROR(INDEX(Kişiler!$B$5:$B$44,MATCH(B2409,Kişiler!$A$5:$A$44,0)),0)+D2409*IFERROR(INDEX(Kişiler!$C$5:$C$44,MATCH(B2409,Kişiler!$A$5:$A$44,0)),0))</f>
        <v/>
      </c>
    </row>
    <row r="2410" customFormat="false" ht="15" hidden="false" customHeight="false" outlineLevel="0" collapsed="false">
      <c r="A2410" s="12"/>
      <c r="B2410" s="13"/>
      <c r="C2410" s="14"/>
      <c r="D2410" s="14"/>
      <c r="E2410" s="13"/>
      <c r="F2410" s="15"/>
      <c r="G2410" s="16" t="str">
        <f aca="false">IF(OR(B2410="",A2410=""),"",C2410*IFERROR(INDEX(Kişiler!$B$5:$B$44,MATCH(B2410,Kişiler!$A$5:$A$44,0)),0)+D2410*IFERROR(INDEX(Kişiler!$C$5:$C$44,MATCH(B2410,Kişiler!$A$5:$A$44,0)),0))</f>
        <v/>
      </c>
    </row>
    <row r="2411" customFormat="false" ht="15" hidden="false" customHeight="false" outlineLevel="0" collapsed="false">
      <c r="A2411" s="12"/>
      <c r="B2411" s="13"/>
      <c r="C2411" s="14"/>
      <c r="D2411" s="14"/>
      <c r="E2411" s="13"/>
      <c r="F2411" s="15"/>
      <c r="G2411" s="16" t="str">
        <f aca="false">IF(OR(B2411="",A2411=""),"",C2411*IFERROR(INDEX(Kişiler!$B$5:$B$44,MATCH(B2411,Kişiler!$A$5:$A$44,0)),0)+D2411*IFERROR(INDEX(Kişiler!$C$5:$C$44,MATCH(B2411,Kişiler!$A$5:$A$44,0)),0))</f>
        <v/>
      </c>
    </row>
    <row r="2412" customFormat="false" ht="15" hidden="false" customHeight="false" outlineLevel="0" collapsed="false">
      <c r="A2412" s="12"/>
      <c r="B2412" s="13"/>
      <c r="C2412" s="14"/>
      <c r="D2412" s="14"/>
      <c r="E2412" s="13"/>
      <c r="F2412" s="15"/>
      <c r="G2412" s="16" t="str">
        <f aca="false">IF(OR(B2412="",A2412=""),"",C2412*IFERROR(INDEX(Kişiler!$B$5:$B$44,MATCH(B2412,Kişiler!$A$5:$A$44,0)),0)+D2412*IFERROR(INDEX(Kişiler!$C$5:$C$44,MATCH(B2412,Kişiler!$A$5:$A$44,0)),0))</f>
        <v/>
      </c>
    </row>
    <row r="2413" customFormat="false" ht="15" hidden="false" customHeight="false" outlineLevel="0" collapsed="false">
      <c r="A2413" s="12"/>
      <c r="B2413" s="13"/>
      <c r="C2413" s="14"/>
      <c r="D2413" s="14"/>
      <c r="E2413" s="13"/>
      <c r="F2413" s="15"/>
      <c r="G2413" s="16" t="str">
        <f aca="false">IF(OR(B2413="",A2413=""),"",C2413*IFERROR(INDEX(Kişiler!$B$5:$B$44,MATCH(B2413,Kişiler!$A$5:$A$44,0)),0)+D2413*IFERROR(INDEX(Kişiler!$C$5:$C$44,MATCH(B2413,Kişiler!$A$5:$A$44,0)),0))</f>
        <v/>
      </c>
    </row>
    <row r="2414" customFormat="false" ht="15" hidden="false" customHeight="false" outlineLevel="0" collapsed="false">
      <c r="A2414" s="12"/>
      <c r="B2414" s="13"/>
      <c r="C2414" s="14"/>
      <c r="D2414" s="14"/>
      <c r="E2414" s="13"/>
      <c r="F2414" s="15"/>
      <c r="G2414" s="16" t="str">
        <f aca="false">IF(OR(B2414="",A2414=""),"",C2414*IFERROR(INDEX(Kişiler!$B$5:$B$44,MATCH(B2414,Kişiler!$A$5:$A$44,0)),0)+D2414*IFERROR(INDEX(Kişiler!$C$5:$C$44,MATCH(B2414,Kişiler!$A$5:$A$44,0)),0))</f>
        <v/>
      </c>
    </row>
    <row r="2415" customFormat="false" ht="15" hidden="false" customHeight="false" outlineLevel="0" collapsed="false">
      <c r="A2415" s="12"/>
      <c r="B2415" s="13"/>
      <c r="C2415" s="14"/>
      <c r="D2415" s="14"/>
      <c r="E2415" s="13"/>
      <c r="F2415" s="15"/>
      <c r="G2415" s="16" t="str">
        <f aca="false">IF(OR(B2415="",A2415=""),"",C2415*IFERROR(INDEX(Kişiler!$B$5:$B$44,MATCH(B2415,Kişiler!$A$5:$A$44,0)),0)+D2415*IFERROR(INDEX(Kişiler!$C$5:$C$44,MATCH(B2415,Kişiler!$A$5:$A$44,0)),0))</f>
        <v/>
      </c>
    </row>
    <row r="2416" customFormat="false" ht="15" hidden="false" customHeight="false" outlineLevel="0" collapsed="false">
      <c r="A2416" s="12"/>
      <c r="B2416" s="13"/>
      <c r="C2416" s="14"/>
      <c r="D2416" s="14"/>
      <c r="E2416" s="13"/>
      <c r="F2416" s="15"/>
      <c r="G2416" s="16" t="str">
        <f aca="false">IF(OR(B2416="",A2416=""),"",C2416*IFERROR(INDEX(Kişiler!$B$5:$B$44,MATCH(B2416,Kişiler!$A$5:$A$44,0)),0)+D2416*IFERROR(INDEX(Kişiler!$C$5:$C$44,MATCH(B2416,Kişiler!$A$5:$A$44,0)),0))</f>
        <v/>
      </c>
    </row>
    <row r="2417" customFormat="false" ht="15" hidden="false" customHeight="false" outlineLevel="0" collapsed="false">
      <c r="A2417" s="12"/>
      <c r="B2417" s="13"/>
      <c r="C2417" s="14"/>
      <c r="D2417" s="14"/>
      <c r="E2417" s="13"/>
      <c r="F2417" s="15"/>
      <c r="G2417" s="16" t="str">
        <f aca="false">IF(OR(B2417="",A2417=""),"",C2417*IFERROR(INDEX(Kişiler!$B$5:$B$44,MATCH(B2417,Kişiler!$A$5:$A$44,0)),0)+D2417*IFERROR(INDEX(Kişiler!$C$5:$C$44,MATCH(B2417,Kişiler!$A$5:$A$44,0)),0))</f>
        <v/>
      </c>
    </row>
    <row r="2418" customFormat="false" ht="15" hidden="false" customHeight="false" outlineLevel="0" collapsed="false">
      <c r="A2418" s="12"/>
      <c r="B2418" s="13"/>
      <c r="C2418" s="14"/>
      <c r="D2418" s="14"/>
      <c r="E2418" s="13"/>
      <c r="F2418" s="15"/>
      <c r="G2418" s="16" t="str">
        <f aca="false">IF(OR(B2418="",A2418=""),"",C2418*IFERROR(INDEX(Kişiler!$B$5:$B$44,MATCH(B2418,Kişiler!$A$5:$A$44,0)),0)+D2418*IFERROR(INDEX(Kişiler!$C$5:$C$44,MATCH(B2418,Kişiler!$A$5:$A$44,0)),0))</f>
        <v/>
      </c>
    </row>
    <row r="2419" customFormat="false" ht="15" hidden="false" customHeight="false" outlineLevel="0" collapsed="false">
      <c r="A2419" s="12"/>
      <c r="B2419" s="13"/>
      <c r="C2419" s="14"/>
      <c r="D2419" s="14"/>
      <c r="E2419" s="13"/>
      <c r="F2419" s="15"/>
      <c r="G2419" s="16" t="str">
        <f aca="false">IF(OR(B2419="",A2419=""),"",C2419*IFERROR(INDEX(Kişiler!$B$5:$B$44,MATCH(B2419,Kişiler!$A$5:$A$44,0)),0)+D2419*IFERROR(INDEX(Kişiler!$C$5:$C$44,MATCH(B2419,Kişiler!$A$5:$A$44,0)),0))</f>
        <v/>
      </c>
    </row>
    <row r="2420" customFormat="false" ht="15" hidden="false" customHeight="false" outlineLevel="0" collapsed="false">
      <c r="A2420" s="12"/>
      <c r="B2420" s="13"/>
      <c r="C2420" s="14"/>
      <c r="D2420" s="14"/>
      <c r="E2420" s="13"/>
      <c r="F2420" s="15"/>
      <c r="G2420" s="16" t="str">
        <f aca="false">IF(OR(B2420="",A2420=""),"",C2420*IFERROR(INDEX(Kişiler!$B$5:$B$44,MATCH(B2420,Kişiler!$A$5:$A$44,0)),0)+D2420*IFERROR(INDEX(Kişiler!$C$5:$C$44,MATCH(B2420,Kişiler!$A$5:$A$44,0)),0))</f>
        <v/>
      </c>
    </row>
    <row r="2421" customFormat="false" ht="15" hidden="false" customHeight="false" outlineLevel="0" collapsed="false">
      <c r="A2421" s="12"/>
      <c r="B2421" s="13"/>
      <c r="C2421" s="14"/>
      <c r="D2421" s="14"/>
      <c r="E2421" s="13"/>
      <c r="F2421" s="15"/>
      <c r="G2421" s="16" t="str">
        <f aca="false">IF(OR(B2421="",A2421=""),"",C2421*IFERROR(INDEX(Kişiler!$B$5:$B$44,MATCH(B2421,Kişiler!$A$5:$A$44,0)),0)+D2421*IFERROR(INDEX(Kişiler!$C$5:$C$44,MATCH(B2421,Kişiler!$A$5:$A$44,0)),0))</f>
        <v/>
      </c>
    </row>
    <row r="2422" customFormat="false" ht="15" hidden="false" customHeight="false" outlineLevel="0" collapsed="false">
      <c r="A2422" s="12"/>
      <c r="B2422" s="13"/>
      <c r="C2422" s="14"/>
      <c r="D2422" s="14"/>
      <c r="E2422" s="13"/>
      <c r="F2422" s="15"/>
      <c r="G2422" s="16" t="str">
        <f aca="false">IF(OR(B2422="",A2422=""),"",C2422*IFERROR(INDEX(Kişiler!$B$5:$B$44,MATCH(B2422,Kişiler!$A$5:$A$44,0)),0)+D2422*IFERROR(INDEX(Kişiler!$C$5:$C$44,MATCH(B2422,Kişiler!$A$5:$A$44,0)),0))</f>
        <v/>
      </c>
    </row>
    <row r="2423" customFormat="false" ht="15" hidden="false" customHeight="false" outlineLevel="0" collapsed="false">
      <c r="A2423" s="12"/>
      <c r="B2423" s="13"/>
      <c r="C2423" s="14"/>
      <c r="D2423" s="14"/>
      <c r="E2423" s="13"/>
      <c r="F2423" s="15"/>
      <c r="G2423" s="16" t="str">
        <f aca="false">IF(OR(B2423="",A2423=""),"",C2423*IFERROR(INDEX(Kişiler!$B$5:$B$44,MATCH(B2423,Kişiler!$A$5:$A$44,0)),0)+D2423*IFERROR(INDEX(Kişiler!$C$5:$C$44,MATCH(B2423,Kişiler!$A$5:$A$44,0)),0))</f>
        <v/>
      </c>
    </row>
    <row r="2424" customFormat="false" ht="15" hidden="false" customHeight="false" outlineLevel="0" collapsed="false">
      <c r="A2424" s="12"/>
      <c r="B2424" s="13"/>
      <c r="C2424" s="14"/>
      <c r="D2424" s="14"/>
      <c r="E2424" s="13"/>
      <c r="F2424" s="15"/>
      <c r="G2424" s="16" t="str">
        <f aca="false">IF(OR(B2424="",A2424=""),"",C2424*IFERROR(INDEX(Kişiler!$B$5:$B$44,MATCH(B2424,Kişiler!$A$5:$A$44,0)),0)+D2424*IFERROR(INDEX(Kişiler!$C$5:$C$44,MATCH(B2424,Kişiler!$A$5:$A$44,0)),0))</f>
        <v/>
      </c>
    </row>
    <row r="2425" customFormat="false" ht="15" hidden="false" customHeight="false" outlineLevel="0" collapsed="false">
      <c r="A2425" s="12"/>
      <c r="B2425" s="13"/>
      <c r="C2425" s="14"/>
      <c r="D2425" s="14"/>
      <c r="E2425" s="13"/>
      <c r="F2425" s="15"/>
      <c r="G2425" s="16" t="str">
        <f aca="false">IF(OR(B2425="",A2425=""),"",C2425*IFERROR(INDEX(Kişiler!$B$5:$B$44,MATCH(B2425,Kişiler!$A$5:$A$44,0)),0)+D2425*IFERROR(INDEX(Kişiler!$C$5:$C$44,MATCH(B2425,Kişiler!$A$5:$A$44,0)),0))</f>
        <v/>
      </c>
    </row>
    <row r="2426" customFormat="false" ht="15" hidden="false" customHeight="false" outlineLevel="0" collapsed="false">
      <c r="A2426" s="12"/>
      <c r="B2426" s="13"/>
      <c r="C2426" s="14"/>
      <c r="D2426" s="14"/>
      <c r="E2426" s="13"/>
      <c r="F2426" s="15"/>
      <c r="G2426" s="16" t="str">
        <f aca="false">IF(OR(B2426="",A2426=""),"",C2426*IFERROR(INDEX(Kişiler!$B$5:$B$44,MATCH(B2426,Kişiler!$A$5:$A$44,0)),0)+D2426*IFERROR(INDEX(Kişiler!$C$5:$C$44,MATCH(B2426,Kişiler!$A$5:$A$44,0)),0))</f>
        <v/>
      </c>
    </row>
    <row r="2427" customFormat="false" ht="15" hidden="false" customHeight="false" outlineLevel="0" collapsed="false">
      <c r="A2427" s="12"/>
      <c r="B2427" s="13"/>
      <c r="C2427" s="14"/>
      <c r="D2427" s="14"/>
      <c r="E2427" s="13"/>
      <c r="F2427" s="15"/>
      <c r="G2427" s="16" t="str">
        <f aca="false">IF(OR(B2427="",A2427=""),"",C2427*IFERROR(INDEX(Kişiler!$B$5:$B$44,MATCH(B2427,Kişiler!$A$5:$A$44,0)),0)+D2427*IFERROR(INDEX(Kişiler!$C$5:$C$44,MATCH(B2427,Kişiler!$A$5:$A$44,0)),0))</f>
        <v/>
      </c>
    </row>
    <row r="2428" customFormat="false" ht="15" hidden="false" customHeight="false" outlineLevel="0" collapsed="false">
      <c r="A2428" s="12"/>
      <c r="B2428" s="13"/>
      <c r="C2428" s="14"/>
      <c r="D2428" s="14"/>
      <c r="E2428" s="13"/>
      <c r="F2428" s="15"/>
      <c r="G2428" s="16" t="str">
        <f aca="false">IF(OR(B2428="",A2428=""),"",C2428*IFERROR(INDEX(Kişiler!$B$5:$B$44,MATCH(B2428,Kişiler!$A$5:$A$44,0)),0)+D2428*IFERROR(INDEX(Kişiler!$C$5:$C$44,MATCH(B2428,Kişiler!$A$5:$A$44,0)),0))</f>
        <v/>
      </c>
    </row>
    <row r="2429" customFormat="false" ht="15" hidden="false" customHeight="false" outlineLevel="0" collapsed="false">
      <c r="A2429" s="12"/>
      <c r="B2429" s="13"/>
      <c r="C2429" s="14"/>
      <c r="D2429" s="14"/>
      <c r="E2429" s="13"/>
      <c r="F2429" s="15"/>
      <c r="G2429" s="16" t="str">
        <f aca="false">IF(OR(B2429="",A2429=""),"",C2429*IFERROR(INDEX(Kişiler!$B$5:$B$44,MATCH(B2429,Kişiler!$A$5:$A$44,0)),0)+D2429*IFERROR(INDEX(Kişiler!$C$5:$C$44,MATCH(B2429,Kişiler!$A$5:$A$44,0)),0))</f>
        <v/>
      </c>
    </row>
    <row r="2430" customFormat="false" ht="15" hidden="false" customHeight="false" outlineLevel="0" collapsed="false">
      <c r="A2430" s="12"/>
      <c r="B2430" s="13"/>
      <c r="C2430" s="14"/>
      <c r="D2430" s="14"/>
      <c r="E2430" s="13"/>
      <c r="F2430" s="15"/>
      <c r="G2430" s="16" t="str">
        <f aca="false">IF(OR(B2430="",A2430=""),"",C2430*IFERROR(INDEX(Kişiler!$B$5:$B$44,MATCH(B2430,Kişiler!$A$5:$A$44,0)),0)+D2430*IFERROR(INDEX(Kişiler!$C$5:$C$44,MATCH(B2430,Kişiler!$A$5:$A$44,0)),0))</f>
        <v/>
      </c>
    </row>
    <row r="2431" customFormat="false" ht="15" hidden="false" customHeight="false" outlineLevel="0" collapsed="false">
      <c r="A2431" s="12"/>
      <c r="B2431" s="13"/>
      <c r="C2431" s="14"/>
      <c r="D2431" s="14"/>
      <c r="E2431" s="13"/>
      <c r="F2431" s="15"/>
      <c r="G2431" s="16" t="str">
        <f aca="false">IF(OR(B2431="",A2431=""),"",C2431*IFERROR(INDEX(Kişiler!$B$5:$B$44,MATCH(B2431,Kişiler!$A$5:$A$44,0)),0)+D2431*IFERROR(INDEX(Kişiler!$C$5:$C$44,MATCH(B2431,Kişiler!$A$5:$A$44,0)),0))</f>
        <v/>
      </c>
    </row>
    <row r="2432" customFormat="false" ht="15" hidden="false" customHeight="false" outlineLevel="0" collapsed="false">
      <c r="A2432" s="12"/>
      <c r="B2432" s="13"/>
      <c r="C2432" s="14"/>
      <c r="D2432" s="14"/>
      <c r="E2432" s="13"/>
      <c r="F2432" s="15"/>
      <c r="G2432" s="16" t="str">
        <f aca="false">IF(OR(B2432="",A2432=""),"",C2432*IFERROR(INDEX(Kişiler!$B$5:$B$44,MATCH(B2432,Kişiler!$A$5:$A$44,0)),0)+D2432*IFERROR(INDEX(Kişiler!$C$5:$C$44,MATCH(B2432,Kişiler!$A$5:$A$44,0)),0))</f>
        <v/>
      </c>
    </row>
    <row r="2433" customFormat="false" ht="15" hidden="false" customHeight="false" outlineLevel="0" collapsed="false">
      <c r="A2433" s="12"/>
      <c r="B2433" s="13"/>
      <c r="C2433" s="14"/>
      <c r="D2433" s="14"/>
      <c r="E2433" s="13"/>
      <c r="F2433" s="15"/>
      <c r="G2433" s="16" t="str">
        <f aca="false">IF(OR(B2433="",A2433=""),"",C2433*IFERROR(INDEX(Kişiler!$B$5:$B$44,MATCH(B2433,Kişiler!$A$5:$A$44,0)),0)+D2433*IFERROR(INDEX(Kişiler!$C$5:$C$44,MATCH(B2433,Kişiler!$A$5:$A$44,0)),0))</f>
        <v/>
      </c>
    </row>
    <row r="2434" customFormat="false" ht="15" hidden="false" customHeight="false" outlineLevel="0" collapsed="false">
      <c r="A2434" s="12"/>
      <c r="B2434" s="13"/>
      <c r="C2434" s="14"/>
      <c r="D2434" s="14"/>
      <c r="E2434" s="13"/>
      <c r="F2434" s="15"/>
      <c r="G2434" s="16" t="str">
        <f aca="false">IF(OR(B2434="",A2434=""),"",C2434*IFERROR(INDEX(Kişiler!$B$5:$B$44,MATCH(B2434,Kişiler!$A$5:$A$44,0)),0)+D2434*IFERROR(INDEX(Kişiler!$C$5:$C$44,MATCH(B2434,Kişiler!$A$5:$A$44,0)),0))</f>
        <v/>
      </c>
    </row>
    <row r="2435" customFormat="false" ht="15" hidden="false" customHeight="false" outlineLevel="0" collapsed="false">
      <c r="A2435" s="12"/>
      <c r="B2435" s="13"/>
      <c r="C2435" s="14"/>
      <c r="D2435" s="14"/>
      <c r="E2435" s="13"/>
      <c r="F2435" s="15"/>
      <c r="G2435" s="16" t="str">
        <f aca="false">IF(OR(B2435="",A2435=""),"",C2435*IFERROR(INDEX(Kişiler!$B$5:$B$44,MATCH(B2435,Kişiler!$A$5:$A$44,0)),0)+D2435*IFERROR(INDEX(Kişiler!$C$5:$C$44,MATCH(B2435,Kişiler!$A$5:$A$44,0)),0))</f>
        <v/>
      </c>
    </row>
    <row r="2436" customFormat="false" ht="15" hidden="false" customHeight="false" outlineLevel="0" collapsed="false">
      <c r="A2436" s="12"/>
      <c r="B2436" s="13"/>
      <c r="C2436" s="14"/>
      <c r="D2436" s="14"/>
      <c r="E2436" s="13"/>
      <c r="F2436" s="15"/>
      <c r="G2436" s="16" t="str">
        <f aca="false">IF(OR(B2436="",A2436=""),"",C2436*IFERROR(INDEX(Kişiler!$B$5:$B$44,MATCH(B2436,Kişiler!$A$5:$A$44,0)),0)+D2436*IFERROR(INDEX(Kişiler!$C$5:$C$44,MATCH(B2436,Kişiler!$A$5:$A$44,0)),0))</f>
        <v/>
      </c>
    </row>
    <row r="2437" customFormat="false" ht="15" hidden="false" customHeight="false" outlineLevel="0" collapsed="false">
      <c r="A2437" s="12"/>
      <c r="B2437" s="13"/>
      <c r="C2437" s="14"/>
      <c r="D2437" s="14"/>
      <c r="E2437" s="13"/>
      <c r="F2437" s="15"/>
      <c r="G2437" s="16" t="str">
        <f aca="false">IF(OR(B2437="",A2437=""),"",C2437*IFERROR(INDEX(Kişiler!$B$5:$B$44,MATCH(B2437,Kişiler!$A$5:$A$44,0)),0)+D2437*IFERROR(INDEX(Kişiler!$C$5:$C$44,MATCH(B2437,Kişiler!$A$5:$A$44,0)),0))</f>
        <v/>
      </c>
    </row>
    <row r="2438" customFormat="false" ht="15" hidden="false" customHeight="false" outlineLevel="0" collapsed="false">
      <c r="A2438" s="12"/>
      <c r="B2438" s="13"/>
      <c r="C2438" s="14"/>
      <c r="D2438" s="14"/>
      <c r="E2438" s="13"/>
      <c r="F2438" s="15"/>
      <c r="G2438" s="16" t="str">
        <f aca="false">IF(OR(B2438="",A2438=""),"",C2438*IFERROR(INDEX(Kişiler!$B$5:$B$44,MATCH(B2438,Kişiler!$A$5:$A$44,0)),0)+D2438*IFERROR(INDEX(Kişiler!$C$5:$C$44,MATCH(B2438,Kişiler!$A$5:$A$44,0)),0))</f>
        <v/>
      </c>
    </row>
    <row r="2439" customFormat="false" ht="15" hidden="false" customHeight="false" outlineLevel="0" collapsed="false">
      <c r="A2439" s="12"/>
      <c r="B2439" s="13"/>
      <c r="C2439" s="14"/>
      <c r="D2439" s="14"/>
      <c r="E2439" s="13"/>
      <c r="F2439" s="15"/>
      <c r="G2439" s="16" t="str">
        <f aca="false">IF(OR(B2439="",A2439=""),"",C2439*IFERROR(INDEX(Kişiler!$B$5:$B$44,MATCH(B2439,Kişiler!$A$5:$A$44,0)),0)+D2439*IFERROR(INDEX(Kişiler!$C$5:$C$44,MATCH(B2439,Kişiler!$A$5:$A$44,0)),0))</f>
        <v/>
      </c>
    </row>
    <row r="2440" customFormat="false" ht="15" hidden="false" customHeight="false" outlineLevel="0" collapsed="false">
      <c r="A2440" s="12"/>
      <c r="B2440" s="13"/>
      <c r="C2440" s="14"/>
      <c r="D2440" s="14"/>
      <c r="E2440" s="13"/>
      <c r="F2440" s="15"/>
      <c r="G2440" s="16" t="str">
        <f aca="false">IF(OR(B2440="",A2440=""),"",C2440*IFERROR(INDEX(Kişiler!$B$5:$B$44,MATCH(B2440,Kişiler!$A$5:$A$44,0)),0)+D2440*IFERROR(INDEX(Kişiler!$C$5:$C$44,MATCH(B2440,Kişiler!$A$5:$A$44,0)),0))</f>
        <v/>
      </c>
    </row>
    <row r="2441" customFormat="false" ht="15" hidden="false" customHeight="false" outlineLevel="0" collapsed="false">
      <c r="A2441" s="12"/>
      <c r="B2441" s="13"/>
      <c r="C2441" s="14"/>
      <c r="D2441" s="14"/>
      <c r="E2441" s="13"/>
      <c r="F2441" s="15"/>
      <c r="G2441" s="16" t="str">
        <f aca="false">IF(OR(B2441="",A2441=""),"",C2441*IFERROR(INDEX(Kişiler!$B$5:$B$44,MATCH(B2441,Kişiler!$A$5:$A$44,0)),0)+D2441*IFERROR(INDEX(Kişiler!$C$5:$C$44,MATCH(B2441,Kişiler!$A$5:$A$44,0)),0))</f>
        <v/>
      </c>
    </row>
    <row r="2442" customFormat="false" ht="15" hidden="false" customHeight="false" outlineLevel="0" collapsed="false">
      <c r="A2442" s="12"/>
      <c r="B2442" s="13"/>
      <c r="C2442" s="14"/>
      <c r="D2442" s="14"/>
      <c r="E2442" s="13"/>
      <c r="F2442" s="15"/>
      <c r="G2442" s="16" t="str">
        <f aca="false">IF(OR(B2442="",A2442=""),"",C2442*IFERROR(INDEX(Kişiler!$B$5:$B$44,MATCH(B2442,Kişiler!$A$5:$A$44,0)),0)+D2442*IFERROR(INDEX(Kişiler!$C$5:$C$44,MATCH(B2442,Kişiler!$A$5:$A$44,0)),0))</f>
        <v/>
      </c>
    </row>
    <row r="2443" customFormat="false" ht="15" hidden="false" customHeight="false" outlineLevel="0" collapsed="false">
      <c r="A2443" s="12"/>
      <c r="B2443" s="13"/>
      <c r="C2443" s="14"/>
      <c r="D2443" s="14"/>
      <c r="E2443" s="13"/>
      <c r="F2443" s="15"/>
      <c r="G2443" s="16" t="str">
        <f aca="false">IF(OR(B2443="",A2443=""),"",C2443*IFERROR(INDEX(Kişiler!$B$5:$B$44,MATCH(B2443,Kişiler!$A$5:$A$44,0)),0)+D2443*IFERROR(INDEX(Kişiler!$C$5:$C$44,MATCH(B2443,Kişiler!$A$5:$A$44,0)),0))</f>
        <v/>
      </c>
    </row>
    <row r="2444" customFormat="false" ht="15" hidden="false" customHeight="false" outlineLevel="0" collapsed="false">
      <c r="A2444" s="12"/>
      <c r="B2444" s="13"/>
      <c r="C2444" s="14"/>
      <c r="D2444" s="14"/>
      <c r="E2444" s="13"/>
      <c r="F2444" s="15"/>
      <c r="G2444" s="16" t="str">
        <f aca="false">IF(OR(B2444="",A2444=""),"",C2444*IFERROR(INDEX(Kişiler!$B$5:$B$44,MATCH(B2444,Kişiler!$A$5:$A$44,0)),0)+D2444*IFERROR(INDEX(Kişiler!$C$5:$C$44,MATCH(B2444,Kişiler!$A$5:$A$44,0)),0))</f>
        <v/>
      </c>
    </row>
    <row r="2445" customFormat="false" ht="15" hidden="false" customHeight="false" outlineLevel="0" collapsed="false">
      <c r="A2445" s="12"/>
      <c r="B2445" s="13"/>
      <c r="C2445" s="14"/>
      <c r="D2445" s="14"/>
      <c r="E2445" s="13"/>
      <c r="F2445" s="15"/>
      <c r="G2445" s="16" t="str">
        <f aca="false">IF(OR(B2445="",A2445=""),"",C2445*IFERROR(INDEX(Kişiler!$B$5:$B$44,MATCH(B2445,Kişiler!$A$5:$A$44,0)),0)+D2445*IFERROR(INDEX(Kişiler!$C$5:$C$44,MATCH(B2445,Kişiler!$A$5:$A$44,0)),0))</f>
        <v/>
      </c>
    </row>
    <row r="2446" customFormat="false" ht="15" hidden="false" customHeight="false" outlineLevel="0" collapsed="false">
      <c r="A2446" s="12"/>
      <c r="B2446" s="13"/>
      <c r="C2446" s="14"/>
      <c r="D2446" s="14"/>
      <c r="E2446" s="13"/>
      <c r="F2446" s="15"/>
      <c r="G2446" s="16" t="str">
        <f aca="false">IF(OR(B2446="",A2446=""),"",C2446*IFERROR(INDEX(Kişiler!$B$5:$B$44,MATCH(B2446,Kişiler!$A$5:$A$44,0)),0)+D2446*IFERROR(INDEX(Kişiler!$C$5:$C$44,MATCH(B2446,Kişiler!$A$5:$A$44,0)),0))</f>
        <v/>
      </c>
    </row>
    <row r="2447" customFormat="false" ht="15" hidden="false" customHeight="false" outlineLevel="0" collapsed="false">
      <c r="A2447" s="12"/>
      <c r="B2447" s="13"/>
      <c r="C2447" s="14"/>
      <c r="D2447" s="14"/>
      <c r="E2447" s="13"/>
      <c r="F2447" s="15"/>
      <c r="G2447" s="16" t="str">
        <f aca="false">IF(OR(B2447="",A2447=""),"",C2447*IFERROR(INDEX(Kişiler!$B$5:$B$44,MATCH(B2447,Kişiler!$A$5:$A$44,0)),0)+D2447*IFERROR(INDEX(Kişiler!$C$5:$C$44,MATCH(B2447,Kişiler!$A$5:$A$44,0)),0))</f>
        <v/>
      </c>
    </row>
    <row r="2448" customFormat="false" ht="15" hidden="false" customHeight="false" outlineLevel="0" collapsed="false">
      <c r="A2448" s="12"/>
      <c r="B2448" s="13"/>
      <c r="C2448" s="14"/>
      <c r="D2448" s="14"/>
      <c r="E2448" s="13"/>
      <c r="F2448" s="15"/>
      <c r="G2448" s="16" t="str">
        <f aca="false">IF(OR(B2448="",A2448=""),"",C2448*IFERROR(INDEX(Kişiler!$B$5:$B$44,MATCH(B2448,Kişiler!$A$5:$A$44,0)),0)+D2448*IFERROR(INDEX(Kişiler!$C$5:$C$44,MATCH(B2448,Kişiler!$A$5:$A$44,0)),0))</f>
        <v/>
      </c>
    </row>
    <row r="2449" customFormat="false" ht="15" hidden="false" customHeight="false" outlineLevel="0" collapsed="false">
      <c r="A2449" s="12"/>
      <c r="B2449" s="13"/>
      <c r="C2449" s="14"/>
      <c r="D2449" s="14"/>
      <c r="E2449" s="13"/>
      <c r="F2449" s="15"/>
      <c r="G2449" s="16" t="str">
        <f aca="false">IF(OR(B2449="",A2449=""),"",C2449*IFERROR(INDEX(Kişiler!$B$5:$B$44,MATCH(B2449,Kişiler!$A$5:$A$44,0)),0)+D2449*IFERROR(INDEX(Kişiler!$C$5:$C$44,MATCH(B2449,Kişiler!$A$5:$A$44,0)),0))</f>
        <v/>
      </c>
    </row>
    <row r="2450" customFormat="false" ht="15" hidden="false" customHeight="false" outlineLevel="0" collapsed="false">
      <c r="A2450" s="12"/>
      <c r="B2450" s="13"/>
      <c r="C2450" s="14"/>
      <c r="D2450" s="14"/>
      <c r="E2450" s="13"/>
      <c r="F2450" s="15"/>
      <c r="G2450" s="16" t="str">
        <f aca="false">IF(OR(B2450="",A2450=""),"",C2450*IFERROR(INDEX(Kişiler!$B$5:$B$44,MATCH(B2450,Kişiler!$A$5:$A$44,0)),0)+D2450*IFERROR(INDEX(Kişiler!$C$5:$C$44,MATCH(B2450,Kişiler!$A$5:$A$44,0)),0))</f>
        <v/>
      </c>
    </row>
    <row r="2451" customFormat="false" ht="15" hidden="false" customHeight="false" outlineLevel="0" collapsed="false">
      <c r="A2451" s="12"/>
      <c r="B2451" s="13"/>
      <c r="C2451" s="14"/>
      <c r="D2451" s="14"/>
      <c r="E2451" s="13"/>
      <c r="F2451" s="15"/>
      <c r="G2451" s="16" t="str">
        <f aca="false">IF(OR(B2451="",A2451=""),"",C2451*IFERROR(INDEX(Kişiler!$B$5:$B$44,MATCH(B2451,Kişiler!$A$5:$A$44,0)),0)+D2451*IFERROR(INDEX(Kişiler!$C$5:$C$44,MATCH(B2451,Kişiler!$A$5:$A$44,0)),0))</f>
        <v/>
      </c>
    </row>
    <row r="2452" customFormat="false" ht="15" hidden="false" customHeight="false" outlineLevel="0" collapsed="false">
      <c r="A2452" s="12"/>
      <c r="B2452" s="13"/>
      <c r="C2452" s="14"/>
      <c r="D2452" s="14"/>
      <c r="E2452" s="13"/>
      <c r="F2452" s="15"/>
      <c r="G2452" s="16" t="str">
        <f aca="false">IF(OR(B2452="",A2452=""),"",C2452*IFERROR(INDEX(Kişiler!$B$5:$B$44,MATCH(B2452,Kişiler!$A$5:$A$44,0)),0)+D2452*IFERROR(INDEX(Kişiler!$C$5:$C$44,MATCH(B2452,Kişiler!$A$5:$A$44,0)),0))</f>
        <v/>
      </c>
    </row>
    <row r="2453" customFormat="false" ht="15" hidden="false" customHeight="false" outlineLevel="0" collapsed="false">
      <c r="A2453" s="12"/>
      <c r="B2453" s="13"/>
      <c r="C2453" s="14"/>
      <c r="D2453" s="14"/>
      <c r="E2453" s="13"/>
      <c r="F2453" s="15"/>
      <c r="G2453" s="16" t="str">
        <f aca="false">IF(OR(B2453="",A2453=""),"",C2453*IFERROR(INDEX(Kişiler!$B$5:$B$44,MATCH(B2453,Kişiler!$A$5:$A$44,0)),0)+D2453*IFERROR(INDEX(Kişiler!$C$5:$C$44,MATCH(B2453,Kişiler!$A$5:$A$44,0)),0))</f>
        <v/>
      </c>
    </row>
    <row r="2454" customFormat="false" ht="15" hidden="false" customHeight="false" outlineLevel="0" collapsed="false">
      <c r="A2454" s="12"/>
      <c r="B2454" s="13"/>
      <c r="C2454" s="14"/>
      <c r="D2454" s="14"/>
      <c r="E2454" s="13"/>
      <c r="F2454" s="15"/>
      <c r="G2454" s="16" t="str">
        <f aca="false">IF(OR(B2454="",A2454=""),"",C2454*IFERROR(INDEX(Kişiler!$B$5:$B$44,MATCH(B2454,Kişiler!$A$5:$A$44,0)),0)+D2454*IFERROR(INDEX(Kişiler!$C$5:$C$44,MATCH(B2454,Kişiler!$A$5:$A$44,0)),0))</f>
        <v/>
      </c>
    </row>
    <row r="2455" customFormat="false" ht="15" hidden="false" customHeight="false" outlineLevel="0" collapsed="false">
      <c r="A2455" s="12"/>
      <c r="B2455" s="13"/>
      <c r="C2455" s="14"/>
      <c r="D2455" s="14"/>
      <c r="E2455" s="13"/>
      <c r="F2455" s="15"/>
      <c r="G2455" s="16" t="str">
        <f aca="false">IF(OR(B2455="",A2455=""),"",C2455*IFERROR(INDEX(Kişiler!$B$5:$B$44,MATCH(B2455,Kişiler!$A$5:$A$44,0)),0)+D2455*IFERROR(INDEX(Kişiler!$C$5:$C$44,MATCH(B2455,Kişiler!$A$5:$A$44,0)),0))</f>
        <v/>
      </c>
    </row>
    <row r="2456" customFormat="false" ht="15" hidden="false" customHeight="false" outlineLevel="0" collapsed="false">
      <c r="A2456" s="12"/>
      <c r="B2456" s="13"/>
      <c r="C2456" s="14"/>
      <c r="D2456" s="14"/>
      <c r="E2456" s="13"/>
      <c r="F2456" s="15"/>
      <c r="G2456" s="16" t="str">
        <f aca="false">IF(OR(B2456="",A2456=""),"",C2456*IFERROR(INDEX(Kişiler!$B$5:$B$44,MATCH(B2456,Kişiler!$A$5:$A$44,0)),0)+D2456*IFERROR(INDEX(Kişiler!$C$5:$C$44,MATCH(B2456,Kişiler!$A$5:$A$44,0)),0))</f>
        <v/>
      </c>
    </row>
    <row r="2457" customFormat="false" ht="15" hidden="false" customHeight="false" outlineLevel="0" collapsed="false">
      <c r="A2457" s="12"/>
      <c r="B2457" s="13"/>
      <c r="C2457" s="14"/>
      <c r="D2457" s="14"/>
      <c r="E2457" s="13"/>
      <c r="F2457" s="15"/>
      <c r="G2457" s="16" t="str">
        <f aca="false">IF(OR(B2457="",A2457=""),"",C2457*IFERROR(INDEX(Kişiler!$B$5:$B$44,MATCH(B2457,Kişiler!$A$5:$A$44,0)),0)+D2457*IFERROR(INDEX(Kişiler!$C$5:$C$44,MATCH(B2457,Kişiler!$A$5:$A$44,0)),0))</f>
        <v/>
      </c>
    </row>
    <row r="2458" customFormat="false" ht="15" hidden="false" customHeight="false" outlineLevel="0" collapsed="false">
      <c r="A2458" s="12"/>
      <c r="B2458" s="13"/>
      <c r="C2458" s="14"/>
      <c r="D2458" s="14"/>
      <c r="E2458" s="13"/>
      <c r="F2458" s="15"/>
      <c r="G2458" s="16" t="str">
        <f aca="false">IF(OR(B2458="",A2458=""),"",C2458*IFERROR(INDEX(Kişiler!$B$5:$B$44,MATCH(B2458,Kişiler!$A$5:$A$44,0)),0)+D2458*IFERROR(INDEX(Kişiler!$C$5:$C$44,MATCH(B2458,Kişiler!$A$5:$A$44,0)),0))</f>
        <v/>
      </c>
    </row>
    <row r="2459" customFormat="false" ht="15" hidden="false" customHeight="false" outlineLevel="0" collapsed="false">
      <c r="A2459" s="12"/>
      <c r="B2459" s="13"/>
      <c r="C2459" s="14"/>
      <c r="D2459" s="14"/>
      <c r="E2459" s="13"/>
      <c r="F2459" s="15"/>
      <c r="G2459" s="16" t="str">
        <f aca="false">IF(OR(B2459="",A2459=""),"",C2459*IFERROR(INDEX(Kişiler!$B$5:$B$44,MATCH(B2459,Kişiler!$A$5:$A$44,0)),0)+D2459*IFERROR(INDEX(Kişiler!$C$5:$C$44,MATCH(B2459,Kişiler!$A$5:$A$44,0)),0))</f>
        <v/>
      </c>
    </row>
    <row r="2460" customFormat="false" ht="15" hidden="false" customHeight="false" outlineLevel="0" collapsed="false">
      <c r="A2460" s="12"/>
      <c r="B2460" s="13"/>
      <c r="C2460" s="14"/>
      <c r="D2460" s="14"/>
      <c r="E2460" s="13"/>
      <c r="F2460" s="15"/>
      <c r="G2460" s="16" t="str">
        <f aca="false">IF(OR(B2460="",A2460=""),"",C2460*IFERROR(INDEX(Kişiler!$B$5:$B$44,MATCH(B2460,Kişiler!$A$5:$A$44,0)),0)+D2460*IFERROR(INDEX(Kişiler!$C$5:$C$44,MATCH(B2460,Kişiler!$A$5:$A$44,0)),0))</f>
        <v/>
      </c>
    </row>
    <row r="2461" customFormat="false" ht="15" hidden="false" customHeight="false" outlineLevel="0" collapsed="false">
      <c r="A2461" s="12"/>
      <c r="B2461" s="13"/>
      <c r="C2461" s="14"/>
      <c r="D2461" s="14"/>
      <c r="E2461" s="13"/>
      <c r="F2461" s="15"/>
      <c r="G2461" s="16" t="str">
        <f aca="false">IF(OR(B2461="",A2461=""),"",C2461*IFERROR(INDEX(Kişiler!$B$5:$B$44,MATCH(B2461,Kişiler!$A$5:$A$44,0)),0)+D2461*IFERROR(INDEX(Kişiler!$C$5:$C$44,MATCH(B2461,Kişiler!$A$5:$A$44,0)),0))</f>
        <v/>
      </c>
    </row>
    <row r="2462" customFormat="false" ht="15" hidden="false" customHeight="false" outlineLevel="0" collapsed="false">
      <c r="A2462" s="12"/>
      <c r="B2462" s="13"/>
      <c r="C2462" s="14"/>
      <c r="D2462" s="14"/>
      <c r="E2462" s="13"/>
      <c r="F2462" s="15"/>
      <c r="G2462" s="16" t="str">
        <f aca="false">IF(OR(B2462="",A2462=""),"",C2462*IFERROR(INDEX(Kişiler!$B$5:$B$44,MATCH(B2462,Kişiler!$A$5:$A$44,0)),0)+D2462*IFERROR(INDEX(Kişiler!$C$5:$C$44,MATCH(B2462,Kişiler!$A$5:$A$44,0)),0))</f>
        <v/>
      </c>
    </row>
    <row r="2463" customFormat="false" ht="15" hidden="false" customHeight="false" outlineLevel="0" collapsed="false">
      <c r="A2463" s="12"/>
      <c r="B2463" s="13"/>
      <c r="C2463" s="14"/>
      <c r="D2463" s="14"/>
      <c r="E2463" s="13"/>
      <c r="F2463" s="15"/>
      <c r="G2463" s="16" t="str">
        <f aca="false">IF(OR(B2463="",A2463=""),"",C2463*IFERROR(INDEX(Kişiler!$B$5:$B$44,MATCH(B2463,Kişiler!$A$5:$A$44,0)),0)+D2463*IFERROR(INDEX(Kişiler!$C$5:$C$44,MATCH(B2463,Kişiler!$A$5:$A$44,0)),0))</f>
        <v/>
      </c>
    </row>
    <row r="2464" customFormat="false" ht="15" hidden="false" customHeight="false" outlineLevel="0" collapsed="false">
      <c r="A2464" s="12"/>
      <c r="B2464" s="13"/>
      <c r="C2464" s="14"/>
      <c r="D2464" s="14"/>
      <c r="E2464" s="13"/>
      <c r="F2464" s="15"/>
      <c r="G2464" s="16" t="str">
        <f aca="false">IF(OR(B2464="",A2464=""),"",C2464*IFERROR(INDEX(Kişiler!$B$5:$B$44,MATCH(B2464,Kişiler!$A$5:$A$44,0)),0)+D2464*IFERROR(INDEX(Kişiler!$C$5:$C$44,MATCH(B2464,Kişiler!$A$5:$A$44,0)),0))</f>
        <v/>
      </c>
    </row>
    <row r="2465" customFormat="false" ht="15" hidden="false" customHeight="false" outlineLevel="0" collapsed="false">
      <c r="A2465" s="12"/>
      <c r="B2465" s="13"/>
      <c r="C2465" s="14"/>
      <c r="D2465" s="14"/>
      <c r="E2465" s="13"/>
      <c r="F2465" s="15"/>
      <c r="G2465" s="16" t="str">
        <f aca="false">IF(OR(B2465="",A2465=""),"",C2465*IFERROR(INDEX(Kişiler!$B$5:$B$44,MATCH(B2465,Kişiler!$A$5:$A$44,0)),0)+D2465*IFERROR(INDEX(Kişiler!$C$5:$C$44,MATCH(B2465,Kişiler!$A$5:$A$44,0)),0))</f>
        <v/>
      </c>
    </row>
    <row r="2466" customFormat="false" ht="15" hidden="false" customHeight="false" outlineLevel="0" collapsed="false">
      <c r="A2466" s="12"/>
      <c r="B2466" s="13"/>
      <c r="C2466" s="14"/>
      <c r="D2466" s="14"/>
      <c r="E2466" s="13"/>
      <c r="F2466" s="15"/>
      <c r="G2466" s="16" t="str">
        <f aca="false">IF(OR(B2466="",A2466=""),"",C2466*IFERROR(INDEX(Kişiler!$B$5:$B$44,MATCH(B2466,Kişiler!$A$5:$A$44,0)),0)+D2466*IFERROR(INDEX(Kişiler!$C$5:$C$44,MATCH(B2466,Kişiler!$A$5:$A$44,0)),0))</f>
        <v/>
      </c>
    </row>
    <row r="2467" customFormat="false" ht="15" hidden="false" customHeight="false" outlineLevel="0" collapsed="false">
      <c r="A2467" s="12"/>
      <c r="B2467" s="13"/>
      <c r="C2467" s="14"/>
      <c r="D2467" s="14"/>
      <c r="E2467" s="13"/>
      <c r="F2467" s="15"/>
      <c r="G2467" s="16" t="str">
        <f aca="false">IF(OR(B2467="",A2467=""),"",C2467*IFERROR(INDEX(Kişiler!$B$5:$B$44,MATCH(B2467,Kişiler!$A$5:$A$44,0)),0)+D2467*IFERROR(INDEX(Kişiler!$C$5:$C$44,MATCH(B2467,Kişiler!$A$5:$A$44,0)),0))</f>
        <v/>
      </c>
    </row>
    <row r="2468" customFormat="false" ht="15" hidden="false" customHeight="false" outlineLevel="0" collapsed="false">
      <c r="A2468" s="12"/>
      <c r="B2468" s="13"/>
      <c r="C2468" s="14"/>
      <c r="D2468" s="14"/>
      <c r="E2468" s="13"/>
      <c r="F2468" s="15"/>
      <c r="G2468" s="16" t="str">
        <f aca="false">IF(OR(B2468="",A2468=""),"",C2468*IFERROR(INDEX(Kişiler!$B$5:$B$44,MATCH(B2468,Kişiler!$A$5:$A$44,0)),0)+D2468*IFERROR(INDEX(Kişiler!$C$5:$C$44,MATCH(B2468,Kişiler!$A$5:$A$44,0)),0))</f>
        <v/>
      </c>
    </row>
    <row r="2469" customFormat="false" ht="15" hidden="false" customHeight="false" outlineLevel="0" collapsed="false">
      <c r="A2469" s="12"/>
      <c r="B2469" s="13"/>
      <c r="C2469" s="14"/>
      <c r="D2469" s="14"/>
      <c r="E2469" s="13"/>
      <c r="F2469" s="15"/>
      <c r="G2469" s="16" t="str">
        <f aca="false">IF(OR(B2469="",A2469=""),"",C2469*IFERROR(INDEX(Kişiler!$B$5:$B$44,MATCH(B2469,Kişiler!$A$5:$A$44,0)),0)+D2469*IFERROR(INDEX(Kişiler!$C$5:$C$44,MATCH(B2469,Kişiler!$A$5:$A$44,0)),0))</f>
        <v/>
      </c>
    </row>
    <row r="2470" customFormat="false" ht="15" hidden="false" customHeight="false" outlineLevel="0" collapsed="false">
      <c r="A2470" s="12"/>
      <c r="B2470" s="13"/>
      <c r="C2470" s="14"/>
      <c r="D2470" s="14"/>
      <c r="E2470" s="13"/>
      <c r="F2470" s="15"/>
      <c r="G2470" s="16" t="str">
        <f aca="false">IF(OR(B2470="",A2470=""),"",C2470*IFERROR(INDEX(Kişiler!$B$5:$B$44,MATCH(B2470,Kişiler!$A$5:$A$44,0)),0)+D2470*IFERROR(INDEX(Kişiler!$C$5:$C$44,MATCH(B2470,Kişiler!$A$5:$A$44,0)),0))</f>
        <v/>
      </c>
    </row>
    <row r="2471" customFormat="false" ht="15" hidden="false" customHeight="false" outlineLevel="0" collapsed="false">
      <c r="A2471" s="12"/>
      <c r="B2471" s="13"/>
      <c r="C2471" s="14"/>
      <c r="D2471" s="14"/>
      <c r="E2471" s="13"/>
      <c r="F2471" s="15"/>
      <c r="G2471" s="16" t="str">
        <f aca="false">IF(OR(B2471="",A2471=""),"",C2471*IFERROR(INDEX(Kişiler!$B$5:$B$44,MATCH(B2471,Kişiler!$A$5:$A$44,0)),0)+D2471*IFERROR(INDEX(Kişiler!$C$5:$C$44,MATCH(B2471,Kişiler!$A$5:$A$44,0)),0))</f>
        <v/>
      </c>
    </row>
    <row r="2472" customFormat="false" ht="15" hidden="false" customHeight="false" outlineLevel="0" collapsed="false">
      <c r="A2472" s="12"/>
      <c r="B2472" s="13"/>
      <c r="C2472" s="14"/>
      <c r="D2472" s="14"/>
      <c r="E2472" s="13"/>
      <c r="F2472" s="15"/>
      <c r="G2472" s="16" t="str">
        <f aca="false">IF(OR(B2472="",A2472=""),"",C2472*IFERROR(INDEX(Kişiler!$B$5:$B$44,MATCH(B2472,Kişiler!$A$5:$A$44,0)),0)+D2472*IFERROR(INDEX(Kişiler!$C$5:$C$44,MATCH(B2472,Kişiler!$A$5:$A$44,0)),0))</f>
        <v/>
      </c>
    </row>
    <row r="2473" customFormat="false" ht="15" hidden="false" customHeight="false" outlineLevel="0" collapsed="false">
      <c r="A2473" s="12"/>
      <c r="B2473" s="13"/>
      <c r="C2473" s="14"/>
      <c r="D2473" s="14"/>
      <c r="E2473" s="13"/>
      <c r="F2473" s="15"/>
      <c r="G2473" s="16" t="str">
        <f aca="false">IF(OR(B2473="",A2473=""),"",C2473*IFERROR(INDEX(Kişiler!$B$5:$B$44,MATCH(B2473,Kişiler!$A$5:$A$44,0)),0)+D2473*IFERROR(INDEX(Kişiler!$C$5:$C$44,MATCH(B2473,Kişiler!$A$5:$A$44,0)),0))</f>
        <v/>
      </c>
    </row>
    <row r="2474" customFormat="false" ht="15" hidden="false" customHeight="false" outlineLevel="0" collapsed="false">
      <c r="A2474" s="12"/>
      <c r="B2474" s="13"/>
      <c r="C2474" s="14"/>
      <c r="D2474" s="14"/>
      <c r="E2474" s="13"/>
      <c r="F2474" s="15"/>
      <c r="G2474" s="16" t="str">
        <f aca="false">IF(OR(B2474="",A2474=""),"",C2474*IFERROR(INDEX(Kişiler!$B$5:$B$44,MATCH(B2474,Kişiler!$A$5:$A$44,0)),0)+D2474*IFERROR(INDEX(Kişiler!$C$5:$C$44,MATCH(B2474,Kişiler!$A$5:$A$44,0)),0))</f>
        <v/>
      </c>
    </row>
    <row r="2475" customFormat="false" ht="15" hidden="false" customHeight="false" outlineLevel="0" collapsed="false">
      <c r="A2475" s="12"/>
      <c r="B2475" s="13"/>
      <c r="C2475" s="14"/>
      <c r="D2475" s="14"/>
      <c r="E2475" s="13"/>
      <c r="F2475" s="15"/>
      <c r="G2475" s="16" t="str">
        <f aca="false">IF(OR(B2475="",A2475=""),"",C2475*IFERROR(INDEX(Kişiler!$B$5:$B$44,MATCH(B2475,Kişiler!$A$5:$A$44,0)),0)+D2475*IFERROR(INDEX(Kişiler!$C$5:$C$44,MATCH(B2475,Kişiler!$A$5:$A$44,0)),0))</f>
        <v/>
      </c>
    </row>
    <row r="2476" customFormat="false" ht="15" hidden="false" customHeight="false" outlineLevel="0" collapsed="false">
      <c r="A2476" s="12"/>
      <c r="B2476" s="13"/>
      <c r="C2476" s="14"/>
      <c r="D2476" s="14"/>
      <c r="E2476" s="13"/>
      <c r="F2476" s="15"/>
      <c r="G2476" s="16" t="str">
        <f aca="false">IF(OR(B2476="",A2476=""),"",C2476*IFERROR(INDEX(Kişiler!$B$5:$B$44,MATCH(B2476,Kişiler!$A$5:$A$44,0)),0)+D2476*IFERROR(INDEX(Kişiler!$C$5:$C$44,MATCH(B2476,Kişiler!$A$5:$A$44,0)),0))</f>
        <v/>
      </c>
    </row>
    <row r="2477" customFormat="false" ht="15" hidden="false" customHeight="false" outlineLevel="0" collapsed="false">
      <c r="A2477" s="12"/>
      <c r="B2477" s="13"/>
      <c r="C2477" s="14"/>
      <c r="D2477" s="14"/>
      <c r="E2477" s="13"/>
      <c r="F2477" s="15"/>
      <c r="G2477" s="16" t="str">
        <f aca="false">IF(OR(B2477="",A2477=""),"",C2477*IFERROR(INDEX(Kişiler!$B$5:$B$44,MATCH(B2477,Kişiler!$A$5:$A$44,0)),0)+D2477*IFERROR(INDEX(Kişiler!$C$5:$C$44,MATCH(B2477,Kişiler!$A$5:$A$44,0)),0))</f>
        <v/>
      </c>
    </row>
    <row r="2478" customFormat="false" ht="15" hidden="false" customHeight="false" outlineLevel="0" collapsed="false">
      <c r="A2478" s="12"/>
      <c r="B2478" s="13"/>
      <c r="C2478" s="14"/>
      <c r="D2478" s="14"/>
      <c r="E2478" s="13"/>
      <c r="F2478" s="15"/>
      <c r="G2478" s="16" t="str">
        <f aca="false">IF(OR(B2478="",A2478=""),"",C2478*IFERROR(INDEX(Kişiler!$B$5:$B$44,MATCH(B2478,Kişiler!$A$5:$A$44,0)),0)+D2478*IFERROR(INDEX(Kişiler!$C$5:$C$44,MATCH(B2478,Kişiler!$A$5:$A$44,0)),0))</f>
        <v/>
      </c>
    </row>
    <row r="2479" customFormat="false" ht="15" hidden="false" customHeight="false" outlineLevel="0" collapsed="false">
      <c r="A2479" s="12"/>
      <c r="B2479" s="13"/>
      <c r="C2479" s="14"/>
      <c r="D2479" s="14"/>
      <c r="E2479" s="13"/>
      <c r="F2479" s="15"/>
      <c r="G2479" s="16" t="str">
        <f aca="false">IF(OR(B2479="",A2479=""),"",C2479*IFERROR(INDEX(Kişiler!$B$5:$B$44,MATCH(B2479,Kişiler!$A$5:$A$44,0)),0)+D2479*IFERROR(INDEX(Kişiler!$C$5:$C$44,MATCH(B2479,Kişiler!$A$5:$A$44,0)),0))</f>
        <v/>
      </c>
    </row>
    <row r="2480" customFormat="false" ht="15" hidden="false" customHeight="false" outlineLevel="0" collapsed="false">
      <c r="A2480" s="12"/>
      <c r="B2480" s="13"/>
      <c r="C2480" s="14"/>
      <c r="D2480" s="14"/>
      <c r="E2480" s="13"/>
      <c r="F2480" s="15"/>
      <c r="G2480" s="16" t="str">
        <f aca="false">IF(OR(B2480="",A2480=""),"",C2480*IFERROR(INDEX(Kişiler!$B$5:$B$44,MATCH(B2480,Kişiler!$A$5:$A$44,0)),0)+D2480*IFERROR(INDEX(Kişiler!$C$5:$C$44,MATCH(B2480,Kişiler!$A$5:$A$44,0)),0))</f>
        <v/>
      </c>
    </row>
    <row r="2481" customFormat="false" ht="15" hidden="false" customHeight="false" outlineLevel="0" collapsed="false">
      <c r="A2481" s="12"/>
      <c r="B2481" s="13"/>
      <c r="C2481" s="14"/>
      <c r="D2481" s="14"/>
      <c r="E2481" s="13"/>
      <c r="F2481" s="15"/>
      <c r="G2481" s="16" t="str">
        <f aca="false">IF(OR(B2481="",A2481=""),"",C2481*IFERROR(INDEX(Kişiler!$B$5:$B$44,MATCH(B2481,Kişiler!$A$5:$A$44,0)),0)+D2481*IFERROR(INDEX(Kişiler!$C$5:$C$44,MATCH(B2481,Kişiler!$A$5:$A$44,0)),0))</f>
        <v/>
      </c>
    </row>
    <row r="2482" customFormat="false" ht="15" hidden="false" customHeight="false" outlineLevel="0" collapsed="false">
      <c r="A2482" s="12"/>
      <c r="B2482" s="13"/>
      <c r="C2482" s="14"/>
      <c r="D2482" s="14"/>
      <c r="E2482" s="13"/>
      <c r="F2482" s="15"/>
      <c r="G2482" s="16" t="str">
        <f aca="false">IF(OR(B2482="",A2482=""),"",C2482*IFERROR(INDEX(Kişiler!$B$5:$B$44,MATCH(B2482,Kişiler!$A$5:$A$44,0)),0)+D2482*IFERROR(INDEX(Kişiler!$C$5:$C$44,MATCH(B2482,Kişiler!$A$5:$A$44,0)),0))</f>
        <v/>
      </c>
    </row>
    <row r="2483" customFormat="false" ht="15" hidden="false" customHeight="false" outlineLevel="0" collapsed="false">
      <c r="A2483" s="12"/>
      <c r="B2483" s="13"/>
      <c r="C2483" s="14"/>
      <c r="D2483" s="14"/>
      <c r="E2483" s="13"/>
      <c r="F2483" s="15"/>
      <c r="G2483" s="16" t="str">
        <f aca="false">IF(OR(B2483="",A2483=""),"",C2483*IFERROR(INDEX(Kişiler!$B$5:$B$44,MATCH(B2483,Kişiler!$A$5:$A$44,0)),0)+D2483*IFERROR(INDEX(Kişiler!$C$5:$C$44,MATCH(B2483,Kişiler!$A$5:$A$44,0)),0))</f>
        <v/>
      </c>
    </row>
    <row r="2484" customFormat="false" ht="15" hidden="false" customHeight="false" outlineLevel="0" collapsed="false">
      <c r="A2484" s="12"/>
      <c r="B2484" s="13"/>
      <c r="C2484" s="14"/>
      <c r="D2484" s="14"/>
      <c r="E2484" s="13"/>
      <c r="F2484" s="15"/>
      <c r="G2484" s="16" t="str">
        <f aca="false">IF(OR(B2484="",A2484=""),"",C2484*IFERROR(INDEX(Kişiler!$B$5:$B$44,MATCH(B2484,Kişiler!$A$5:$A$44,0)),0)+D2484*IFERROR(INDEX(Kişiler!$C$5:$C$44,MATCH(B2484,Kişiler!$A$5:$A$44,0)),0))</f>
        <v/>
      </c>
    </row>
    <row r="2485" customFormat="false" ht="15" hidden="false" customHeight="false" outlineLevel="0" collapsed="false">
      <c r="A2485" s="12"/>
      <c r="B2485" s="13"/>
      <c r="C2485" s="14"/>
      <c r="D2485" s="14"/>
      <c r="E2485" s="13"/>
      <c r="F2485" s="15"/>
      <c r="G2485" s="16" t="str">
        <f aca="false">IF(OR(B2485="",A2485=""),"",C2485*IFERROR(INDEX(Kişiler!$B$5:$B$44,MATCH(B2485,Kişiler!$A$5:$A$44,0)),0)+D2485*IFERROR(INDEX(Kişiler!$C$5:$C$44,MATCH(B2485,Kişiler!$A$5:$A$44,0)),0))</f>
        <v/>
      </c>
    </row>
    <row r="2486" customFormat="false" ht="15" hidden="false" customHeight="false" outlineLevel="0" collapsed="false">
      <c r="A2486" s="12"/>
      <c r="B2486" s="13"/>
      <c r="C2486" s="14"/>
      <c r="D2486" s="14"/>
      <c r="E2486" s="13"/>
      <c r="F2486" s="15"/>
      <c r="G2486" s="16" t="str">
        <f aca="false">IF(OR(B2486="",A2486=""),"",C2486*IFERROR(INDEX(Kişiler!$B$5:$B$44,MATCH(B2486,Kişiler!$A$5:$A$44,0)),0)+D2486*IFERROR(INDEX(Kişiler!$C$5:$C$44,MATCH(B2486,Kişiler!$A$5:$A$44,0)),0))</f>
        <v/>
      </c>
    </row>
    <row r="2487" customFormat="false" ht="15" hidden="false" customHeight="false" outlineLevel="0" collapsed="false">
      <c r="A2487" s="12"/>
      <c r="B2487" s="13"/>
      <c r="C2487" s="14"/>
      <c r="D2487" s="14"/>
      <c r="E2487" s="13"/>
      <c r="F2487" s="15"/>
      <c r="G2487" s="16" t="str">
        <f aca="false">IF(OR(B2487="",A2487=""),"",C2487*IFERROR(INDEX(Kişiler!$B$5:$B$44,MATCH(B2487,Kişiler!$A$5:$A$44,0)),0)+D2487*IFERROR(INDEX(Kişiler!$C$5:$C$44,MATCH(B2487,Kişiler!$A$5:$A$44,0)),0))</f>
        <v/>
      </c>
    </row>
    <row r="2488" customFormat="false" ht="15" hidden="false" customHeight="false" outlineLevel="0" collapsed="false">
      <c r="A2488" s="12"/>
      <c r="B2488" s="13"/>
      <c r="C2488" s="14"/>
      <c r="D2488" s="14"/>
      <c r="E2488" s="13"/>
      <c r="F2488" s="15"/>
      <c r="G2488" s="16" t="str">
        <f aca="false">IF(OR(B2488="",A2488=""),"",C2488*IFERROR(INDEX(Kişiler!$B$5:$B$44,MATCH(B2488,Kişiler!$A$5:$A$44,0)),0)+D2488*IFERROR(INDEX(Kişiler!$C$5:$C$44,MATCH(B2488,Kişiler!$A$5:$A$44,0)),0))</f>
        <v/>
      </c>
    </row>
    <row r="2489" customFormat="false" ht="15" hidden="false" customHeight="false" outlineLevel="0" collapsed="false">
      <c r="A2489" s="12"/>
      <c r="B2489" s="13"/>
      <c r="C2489" s="14"/>
      <c r="D2489" s="14"/>
      <c r="E2489" s="13"/>
      <c r="F2489" s="15"/>
      <c r="G2489" s="16" t="str">
        <f aca="false">IF(OR(B2489="",A2489=""),"",C2489*IFERROR(INDEX(Kişiler!$B$5:$B$44,MATCH(B2489,Kişiler!$A$5:$A$44,0)),0)+D2489*IFERROR(INDEX(Kişiler!$C$5:$C$44,MATCH(B2489,Kişiler!$A$5:$A$44,0)),0))</f>
        <v/>
      </c>
    </row>
    <row r="2490" customFormat="false" ht="15" hidden="false" customHeight="false" outlineLevel="0" collapsed="false">
      <c r="A2490" s="12"/>
      <c r="B2490" s="13"/>
      <c r="C2490" s="14"/>
      <c r="D2490" s="14"/>
      <c r="E2490" s="13"/>
      <c r="F2490" s="15"/>
      <c r="G2490" s="16" t="str">
        <f aca="false">IF(OR(B2490="",A2490=""),"",C2490*IFERROR(INDEX(Kişiler!$B$5:$B$44,MATCH(B2490,Kişiler!$A$5:$A$44,0)),0)+D2490*IFERROR(INDEX(Kişiler!$C$5:$C$44,MATCH(B2490,Kişiler!$A$5:$A$44,0)),0))</f>
        <v/>
      </c>
    </row>
    <row r="2491" customFormat="false" ht="15" hidden="false" customHeight="false" outlineLevel="0" collapsed="false">
      <c r="A2491" s="12"/>
      <c r="B2491" s="13"/>
      <c r="C2491" s="14"/>
      <c r="D2491" s="14"/>
      <c r="E2491" s="13"/>
      <c r="F2491" s="15"/>
      <c r="G2491" s="16" t="str">
        <f aca="false">IF(OR(B2491="",A2491=""),"",C2491*IFERROR(INDEX(Kişiler!$B$5:$B$44,MATCH(B2491,Kişiler!$A$5:$A$44,0)),0)+D2491*IFERROR(INDEX(Kişiler!$C$5:$C$44,MATCH(B2491,Kişiler!$A$5:$A$44,0)),0))</f>
        <v/>
      </c>
    </row>
    <row r="2492" customFormat="false" ht="15" hidden="false" customHeight="false" outlineLevel="0" collapsed="false">
      <c r="A2492" s="12"/>
      <c r="B2492" s="13"/>
      <c r="C2492" s="14"/>
      <c r="D2492" s="14"/>
      <c r="E2492" s="13"/>
      <c r="F2492" s="15"/>
      <c r="G2492" s="16" t="str">
        <f aca="false">IF(OR(B2492="",A2492=""),"",C2492*IFERROR(INDEX(Kişiler!$B$5:$B$44,MATCH(B2492,Kişiler!$A$5:$A$44,0)),0)+D2492*IFERROR(INDEX(Kişiler!$C$5:$C$44,MATCH(B2492,Kişiler!$A$5:$A$44,0)),0))</f>
        <v/>
      </c>
    </row>
    <row r="2493" customFormat="false" ht="15" hidden="false" customHeight="false" outlineLevel="0" collapsed="false">
      <c r="A2493" s="12"/>
      <c r="B2493" s="13"/>
      <c r="C2493" s="14"/>
      <c r="D2493" s="14"/>
      <c r="E2493" s="13"/>
      <c r="F2493" s="15"/>
      <c r="G2493" s="16" t="str">
        <f aca="false">IF(OR(B2493="",A2493=""),"",C2493*IFERROR(INDEX(Kişiler!$B$5:$B$44,MATCH(B2493,Kişiler!$A$5:$A$44,0)),0)+D2493*IFERROR(INDEX(Kişiler!$C$5:$C$44,MATCH(B2493,Kişiler!$A$5:$A$44,0)),0))</f>
        <v/>
      </c>
    </row>
    <row r="2494" customFormat="false" ht="15" hidden="false" customHeight="false" outlineLevel="0" collapsed="false">
      <c r="A2494" s="12"/>
      <c r="B2494" s="13"/>
      <c r="C2494" s="14"/>
      <c r="D2494" s="14"/>
      <c r="E2494" s="13"/>
      <c r="F2494" s="15"/>
      <c r="G2494" s="16" t="str">
        <f aca="false">IF(OR(B2494="",A2494=""),"",C2494*IFERROR(INDEX(Kişiler!$B$5:$B$44,MATCH(B2494,Kişiler!$A$5:$A$44,0)),0)+D2494*IFERROR(INDEX(Kişiler!$C$5:$C$44,MATCH(B2494,Kişiler!$A$5:$A$44,0)),0))</f>
        <v/>
      </c>
    </row>
    <row r="2495" customFormat="false" ht="15" hidden="false" customHeight="false" outlineLevel="0" collapsed="false">
      <c r="A2495" s="12"/>
      <c r="B2495" s="13"/>
      <c r="C2495" s="14"/>
      <c r="D2495" s="14"/>
      <c r="E2495" s="13"/>
      <c r="F2495" s="15"/>
      <c r="G2495" s="16" t="str">
        <f aca="false">IF(OR(B2495="",A2495=""),"",C2495*IFERROR(INDEX(Kişiler!$B$5:$B$44,MATCH(B2495,Kişiler!$A$5:$A$44,0)),0)+D2495*IFERROR(INDEX(Kişiler!$C$5:$C$44,MATCH(B2495,Kişiler!$A$5:$A$44,0)),0))</f>
        <v/>
      </c>
    </row>
    <row r="2496" customFormat="false" ht="15" hidden="false" customHeight="false" outlineLevel="0" collapsed="false">
      <c r="A2496" s="12"/>
      <c r="B2496" s="13"/>
      <c r="C2496" s="14"/>
      <c r="D2496" s="14"/>
      <c r="E2496" s="13"/>
      <c r="F2496" s="15"/>
      <c r="G2496" s="16" t="str">
        <f aca="false">IF(OR(B2496="",A2496=""),"",C2496*IFERROR(INDEX(Kişiler!$B$5:$B$44,MATCH(B2496,Kişiler!$A$5:$A$44,0)),0)+D2496*IFERROR(INDEX(Kişiler!$C$5:$C$44,MATCH(B2496,Kişiler!$A$5:$A$44,0)),0))</f>
        <v/>
      </c>
    </row>
    <row r="2497" customFormat="false" ht="15" hidden="false" customHeight="false" outlineLevel="0" collapsed="false">
      <c r="A2497" s="12"/>
      <c r="B2497" s="13"/>
      <c r="C2497" s="14"/>
      <c r="D2497" s="14"/>
      <c r="E2497" s="13"/>
      <c r="F2497" s="15"/>
      <c r="G2497" s="16" t="str">
        <f aca="false">IF(OR(B2497="",A2497=""),"",C2497*IFERROR(INDEX(Kişiler!$B$5:$B$44,MATCH(B2497,Kişiler!$A$5:$A$44,0)),0)+D2497*IFERROR(INDEX(Kişiler!$C$5:$C$44,MATCH(B2497,Kişiler!$A$5:$A$44,0)),0))</f>
        <v/>
      </c>
    </row>
    <row r="2498" customFormat="false" ht="15" hidden="false" customHeight="false" outlineLevel="0" collapsed="false">
      <c r="A2498" s="12"/>
      <c r="B2498" s="13"/>
      <c r="C2498" s="14"/>
      <c r="D2498" s="14"/>
      <c r="E2498" s="13"/>
      <c r="F2498" s="15"/>
      <c r="G2498" s="16" t="str">
        <f aca="false">IF(OR(B2498="",A2498=""),"",C2498*IFERROR(INDEX(Kişiler!$B$5:$B$44,MATCH(B2498,Kişiler!$A$5:$A$44,0)),0)+D2498*IFERROR(INDEX(Kişiler!$C$5:$C$44,MATCH(B2498,Kişiler!$A$5:$A$44,0)),0))</f>
        <v/>
      </c>
    </row>
    <row r="2499" customFormat="false" ht="15" hidden="false" customHeight="false" outlineLevel="0" collapsed="false">
      <c r="A2499" s="12"/>
      <c r="B2499" s="13"/>
      <c r="C2499" s="14"/>
      <c r="D2499" s="14"/>
      <c r="E2499" s="13"/>
      <c r="F2499" s="15"/>
      <c r="G2499" s="16" t="str">
        <f aca="false">IF(OR(B2499="",A2499=""),"",C2499*IFERROR(INDEX(Kişiler!$B$5:$B$44,MATCH(B2499,Kişiler!$A$5:$A$44,0)),0)+D2499*IFERROR(INDEX(Kişiler!$C$5:$C$44,MATCH(B2499,Kişiler!$A$5:$A$44,0)),0))</f>
        <v/>
      </c>
    </row>
    <row r="2500" customFormat="false" ht="15" hidden="false" customHeight="false" outlineLevel="0" collapsed="false">
      <c r="A2500" s="12"/>
      <c r="B2500" s="13"/>
      <c r="C2500" s="14"/>
      <c r="D2500" s="14"/>
      <c r="E2500" s="13"/>
      <c r="F2500" s="15"/>
      <c r="G2500" s="16" t="str">
        <f aca="false">IF(OR(B2500="",A2500=""),"",C2500*IFERROR(INDEX(Kişiler!$B$5:$B$44,MATCH(B2500,Kişiler!$A$5:$A$44,0)),0)+D2500*IFERROR(INDEX(Kişiler!$C$5:$C$44,MATCH(B2500,Kişiler!$A$5:$A$44,0)),0))</f>
        <v/>
      </c>
    </row>
    <row r="2501" customFormat="false" ht="15" hidden="false" customHeight="false" outlineLevel="0" collapsed="false">
      <c r="A2501" s="12"/>
      <c r="B2501" s="13"/>
      <c r="C2501" s="14"/>
      <c r="D2501" s="14"/>
      <c r="E2501" s="13"/>
      <c r="F2501" s="15"/>
      <c r="G2501" s="16" t="str">
        <f aca="false">IF(OR(B2501="",A2501=""),"",C2501*IFERROR(INDEX(Kişiler!$B$5:$B$44,MATCH(B2501,Kişiler!$A$5:$A$44,0)),0)+D2501*IFERROR(INDEX(Kişiler!$C$5:$C$44,MATCH(B2501,Kişiler!$A$5:$A$44,0)),0))</f>
        <v/>
      </c>
    </row>
    <row r="2502" customFormat="false" ht="15" hidden="false" customHeight="false" outlineLevel="0" collapsed="false">
      <c r="A2502" s="12"/>
      <c r="B2502" s="13"/>
      <c r="C2502" s="14"/>
      <c r="D2502" s="14"/>
      <c r="E2502" s="13"/>
      <c r="F2502" s="15"/>
      <c r="G2502" s="16" t="str">
        <f aca="false">IF(OR(B2502="",A2502=""),"",C2502*IFERROR(INDEX(Kişiler!$B$5:$B$44,MATCH(B2502,Kişiler!$A$5:$A$44,0)),0)+D2502*IFERROR(INDEX(Kişiler!$C$5:$C$44,MATCH(B2502,Kişiler!$A$5:$A$44,0)),0))</f>
        <v/>
      </c>
    </row>
    <row r="2503" customFormat="false" ht="15" hidden="false" customHeight="false" outlineLevel="0" collapsed="false">
      <c r="A2503" s="12"/>
      <c r="B2503" s="13"/>
      <c r="C2503" s="14"/>
      <c r="D2503" s="14"/>
      <c r="E2503" s="13"/>
      <c r="F2503" s="15"/>
      <c r="G2503" s="16" t="str">
        <f aca="false">IF(OR(B2503="",A2503=""),"",C2503*IFERROR(INDEX(Kişiler!$B$5:$B$44,MATCH(B2503,Kişiler!$A$5:$A$44,0)),0)+D2503*IFERROR(INDEX(Kişiler!$C$5:$C$44,MATCH(B2503,Kişiler!$A$5:$A$44,0)),0))</f>
        <v/>
      </c>
    </row>
    <row r="2504" customFormat="false" ht="15" hidden="false" customHeight="false" outlineLevel="0" collapsed="false">
      <c r="A2504" s="12"/>
      <c r="B2504" s="13"/>
      <c r="C2504" s="14"/>
      <c r="D2504" s="14"/>
      <c r="E2504" s="13"/>
      <c r="F2504" s="15"/>
      <c r="G2504" s="16" t="str">
        <f aca="false">IF(OR(B2504="",A2504=""),"",C2504*IFERROR(INDEX(Kişiler!$B$5:$B$44,MATCH(B2504,Kişiler!$A$5:$A$44,0)),0)+D2504*IFERROR(INDEX(Kişiler!$C$5:$C$44,MATCH(B2504,Kişiler!$A$5:$A$44,0)),0))</f>
        <v/>
      </c>
    </row>
    <row r="2505" customFormat="false" ht="15" hidden="false" customHeight="false" outlineLevel="0" collapsed="false">
      <c r="A2505" s="12"/>
      <c r="B2505" s="13"/>
      <c r="C2505" s="14"/>
      <c r="D2505" s="14"/>
      <c r="E2505" s="13"/>
      <c r="F2505" s="15"/>
      <c r="G2505" s="16" t="str">
        <f aca="false">IF(OR(B2505="",A2505=""),"",C2505*IFERROR(INDEX(Kişiler!$B$5:$B$44,MATCH(B2505,Kişiler!$A$5:$A$44,0)),0)+D2505*IFERROR(INDEX(Kişiler!$C$5:$C$44,MATCH(B2505,Kişiler!$A$5:$A$44,0)),0))</f>
        <v/>
      </c>
    </row>
    <row r="2506" customFormat="false" ht="15" hidden="false" customHeight="false" outlineLevel="0" collapsed="false">
      <c r="A2506" s="12"/>
      <c r="B2506" s="13"/>
      <c r="C2506" s="14"/>
      <c r="D2506" s="14"/>
      <c r="E2506" s="13"/>
      <c r="F2506" s="15"/>
      <c r="G2506" s="16" t="str">
        <f aca="false">IF(OR(B2506="",A2506=""),"",C2506*IFERROR(INDEX(Kişiler!$B$5:$B$44,MATCH(B2506,Kişiler!$A$5:$A$44,0)),0)+D2506*IFERROR(INDEX(Kişiler!$C$5:$C$44,MATCH(B2506,Kişiler!$A$5:$A$44,0)),0))</f>
        <v/>
      </c>
    </row>
    <row r="2507" customFormat="false" ht="15" hidden="false" customHeight="false" outlineLevel="0" collapsed="false">
      <c r="A2507" s="12"/>
      <c r="B2507" s="13"/>
      <c r="C2507" s="14"/>
      <c r="D2507" s="14"/>
      <c r="E2507" s="13"/>
      <c r="F2507" s="15"/>
      <c r="G2507" s="16" t="str">
        <f aca="false">IF(OR(B2507="",A2507=""),"",C2507*IFERROR(INDEX(Kişiler!$B$5:$B$44,MATCH(B2507,Kişiler!$A$5:$A$44,0)),0)+D2507*IFERROR(INDEX(Kişiler!$C$5:$C$44,MATCH(B2507,Kişiler!$A$5:$A$44,0)),0))</f>
        <v/>
      </c>
    </row>
    <row r="2508" customFormat="false" ht="15" hidden="false" customHeight="false" outlineLevel="0" collapsed="false">
      <c r="A2508" s="12"/>
      <c r="B2508" s="13"/>
      <c r="C2508" s="14"/>
      <c r="D2508" s="14"/>
      <c r="E2508" s="13"/>
      <c r="F2508" s="15"/>
      <c r="G2508" s="16" t="str">
        <f aca="false">IF(OR(B2508="",A2508=""),"",C2508*IFERROR(INDEX(Kişiler!$B$5:$B$44,MATCH(B2508,Kişiler!$A$5:$A$44,0)),0)+D2508*IFERROR(INDEX(Kişiler!$C$5:$C$44,MATCH(B2508,Kişiler!$A$5:$A$44,0)),0))</f>
        <v/>
      </c>
    </row>
    <row r="2509" customFormat="false" ht="15" hidden="false" customHeight="false" outlineLevel="0" collapsed="false">
      <c r="A2509" s="12"/>
      <c r="B2509" s="13"/>
      <c r="C2509" s="14"/>
      <c r="D2509" s="14"/>
      <c r="E2509" s="13"/>
      <c r="F2509" s="15"/>
      <c r="G2509" s="16" t="str">
        <f aca="false">IF(OR(B2509="",A2509=""),"",C2509*IFERROR(INDEX(Kişiler!$B$5:$B$44,MATCH(B2509,Kişiler!$A$5:$A$44,0)),0)+D2509*IFERROR(INDEX(Kişiler!$C$5:$C$44,MATCH(B2509,Kişiler!$A$5:$A$44,0)),0))</f>
        <v/>
      </c>
    </row>
    <row r="2510" customFormat="false" ht="15" hidden="false" customHeight="false" outlineLevel="0" collapsed="false">
      <c r="A2510" s="12"/>
      <c r="B2510" s="13"/>
      <c r="C2510" s="14"/>
      <c r="D2510" s="14"/>
      <c r="E2510" s="13"/>
      <c r="F2510" s="15"/>
      <c r="G2510" s="16" t="str">
        <f aca="false">IF(OR(B2510="",A2510=""),"",C2510*IFERROR(INDEX(Kişiler!$B$5:$B$44,MATCH(B2510,Kişiler!$A$5:$A$44,0)),0)+D2510*IFERROR(INDEX(Kişiler!$C$5:$C$44,MATCH(B2510,Kişiler!$A$5:$A$44,0)),0))</f>
        <v/>
      </c>
    </row>
    <row r="2511" customFormat="false" ht="15" hidden="false" customHeight="false" outlineLevel="0" collapsed="false">
      <c r="A2511" s="12"/>
      <c r="B2511" s="13"/>
      <c r="C2511" s="14"/>
      <c r="D2511" s="14"/>
      <c r="E2511" s="13"/>
      <c r="F2511" s="15"/>
      <c r="G2511" s="16" t="str">
        <f aca="false">IF(OR(B2511="",A2511=""),"",C2511*IFERROR(INDEX(Kişiler!$B$5:$B$44,MATCH(B2511,Kişiler!$A$5:$A$44,0)),0)+D2511*IFERROR(INDEX(Kişiler!$C$5:$C$44,MATCH(B2511,Kişiler!$A$5:$A$44,0)),0))</f>
        <v/>
      </c>
    </row>
    <row r="2512" customFormat="false" ht="15" hidden="false" customHeight="false" outlineLevel="0" collapsed="false">
      <c r="A2512" s="12"/>
      <c r="B2512" s="13"/>
      <c r="C2512" s="14"/>
      <c r="D2512" s="14"/>
      <c r="E2512" s="13"/>
      <c r="F2512" s="15"/>
      <c r="G2512" s="16" t="str">
        <f aca="false">IF(OR(B2512="",A2512=""),"",C2512*IFERROR(INDEX(Kişiler!$B$5:$B$44,MATCH(B2512,Kişiler!$A$5:$A$44,0)),0)+D2512*IFERROR(INDEX(Kişiler!$C$5:$C$44,MATCH(B2512,Kişiler!$A$5:$A$44,0)),0))</f>
        <v/>
      </c>
    </row>
    <row r="2513" customFormat="false" ht="15" hidden="false" customHeight="false" outlineLevel="0" collapsed="false">
      <c r="A2513" s="12"/>
      <c r="B2513" s="13"/>
      <c r="C2513" s="14"/>
      <c r="D2513" s="14"/>
      <c r="E2513" s="13"/>
      <c r="F2513" s="15"/>
      <c r="G2513" s="16" t="str">
        <f aca="false">IF(OR(B2513="",A2513=""),"",C2513*IFERROR(INDEX(Kişiler!$B$5:$B$44,MATCH(B2513,Kişiler!$A$5:$A$44,0)),0)+D2513*IFERROR(INDEX(Kişiler!$C$5:$C$44,MATCH(B2513,Kişiler!$A$5:$A$44,0)),0))</f>
        <v/>
      </c>
    </row>
    <row r="2514" customFormat="false" ht="15" hidden="false" customHeight="false" outlineLevel="0" collapsed="false">
      <c r="A2514" s="12"/>
      <c r="B2514" s="13"/>
      <c r="C2514" s="14"/>
      <c r="D2514" s="14"/>
      <c r="E2514" s="13"/>
      <c r="F2514" s="15"/>
      <c r="G2514" s="16" t="str">
        <f aca="false">IF(OR(B2514="",A2514=""),"",C2514*IFERROR(INDEX(Kişiler!$B$5:$B$44,MATCH(B2514,Kişiler!$A$5:$A$44,0)),0)+D2514*IFERROR(INDEX(Kişiler!$C$5:$C$44,MATCH(B2514,Kişiler!$A$5:$A$44,0)),0))</f>
        <v/>
      </c>
    </row>
    <row r="2515" customFormat="false" ht="15" hidden="false" customHeight="false" outlineLevel="0" collapsed="false">
      <c r="A2515" s="12"/>
      <c r="B2515" s="13"/>
      <c r="C2515" s="14"/>
      <c r="D2515" s="14"/>
      <c r="E2515" s="13"/>
      <c r="F2515" s="15"/>
      <c r="G2515" s="16" t="str">
        <f aca="false">IF(OR(B2515="",A2515=""),"",C2515*IFERROR(INDEX(Kişiler!$B$5:$B$44,MATCH(B2515,Kişiler!$A$5:$A$44,0)),0)+D2515*IFERROR(INDEX(Kişiler!$C$5:$C$44,MATCH(B2515,Kişiler!$A$5:$A$44,0)),0))</f>
        <v/>
      </c>
    </row>
    <row r="2516" customFormat="false" ht="15" hidden="false" customHeight="false" outlineLevel="0" collapsed="false">
      <c r="A2516" s="12"/>
      <c r="B2516" s="13"/>
      <c r="C2516" s="14"/>
      <c r="D2516" s="14"/>
      <c r="E2516" s="13"/>
      <c r="F2516" s="15"/>
      <c r="G2516" s="16" t="str">
        <f aca="false">IF(OR(B2516="",A2516=""),"",C2516*IFERROR(INDEX(Kişiler!$B$5:$B$44,MATCH(B2516,Kişiler!$A$5:$A$44,0)),0)+D2516*IFERROR(INDEX(Kişiler!$C$5:$C$44,MATCH(B2516,Kişiler!$A$5:$A$44,0)),0))</f>
        <v/>
      </c>
    </row>
    <row r="2517" customFormat="false" ht="15" hidden="false" customHeight="false" outlineLevel="0" collapsed="false">
      <c r="A2517" s="12"/>
      <c r="B2517" s="13"/>
      <c r="C2517" s="14"/>
      <c r="D2517" s="14"/>
      <c r="E2517" s="13"/>
      <c r="F2517" s="15"/>
      <c r="G2517" s="16" t="str">
        <f aca="false">IF(OR(B2517="",A2517=""),"",C2517*IFERROR(INDEX(Kişiler!$B$5:$B$44,MATCH(B2517,Kişiler!$A$5:$A$44,0)),0)+D2517*IFERROR(INDEX(Kişiler!$C$5:$C$44,MATCH(B2517,Kişiler!$A$5:$A$44,0)),0))</f>
        <v/>
      </c>
    </row>
    <row r="2518" customFormat="false" ht="15" hidden="false" customHeight="false" outlineLevel="0" collapsed="false">
      <c r="A2518" s="12"/>
      <c r="B2518" s="13"/>
      <c r="C2518" s="14"/>
      <c r="D2518" s="14"/>
      <c r="E2518" s="13"/>
      <c r="F2518" s="15"/>
      <c r="G2518" s="16" t="str">
        <f aca="false">IF(OR(B2518="",A2518=""),"",C2518*IFERROR(INDEX(Kişiler!$B$5:$B$44,MATCH(B2518,Kişiler!$A$5:$A$44,0)),0)+D2518*IFERROR(INDEX(Kişiler!$C$5:$C$44,MATCH(B2518,Kişiler!$A$5:$A$44,0)),0))</f>
        <v/>
      </c>
    </row>
    <row r="2519" customFormat="false" ht="15" hidden="false" customHeight="false" outlineLevel="0" collapsed="false">
      <c r="A2519" s="12"/>
      <c r="B2519" s="13"/>
      <c r="C2519" s="14"/>
      <c r="D2519" s="14"/>
      <c r="E2519" s="13"/>
      <c r="F2519" s="15"/>
      <c r="G2519" s="16" t="str">
        <f aca="false">IF(OR(B2519="",A2519=""),"",C2519*IFERROR(INDEX(Kişiler!$B$5:$B$44,MATCH(B2519,Kişiler!$A$5:$A$44,0)),0)+D2519*IFERROR(INDEX(Kişiler!$C$5:$C$44,MATCH(B2519,Kişiler!$A$5:$A$44,0)),0))</f>
        <v/>
      </c>
    </row>
    <row r="2520" customFormat="false" ht="15" hidden="false" customHeight="false" outlineLevel="0" collapsed="false">
      <c r="A2520" s="12"/>
      <c r="B2520" s="13"/>
      <c r="C2520" s="14"/>
      <c r="D2520" s="14"/>
      <c r="E2520" s="13"/>
      <c r="F2520" s="15"/>
      <c r="G2520" s="16" t="str">
        <f aca="false">IF(OR(B2520="",A2520=""),"",C2520*IFERROR(INDEX(Kişiler!$B$5:$B$44,MATCH(B2520,Kişiler!$A$5:$A$44,0)),0)+D2520*IFERROR(INDEX(Kişiler!$C$5:$C$44,MATCH(B2520,Kişiler!$A$5:$A$44,0)),0))</f>
        <v/>
      </c>
    </row>
    <row r="2521" customFormat="false" ht="15" hidden="false" customHeight="false" outlineLevel="0" collapsed="false">
      <c r="A2521" s="12"/>
      <c r="B2521" s="13"/>
      <c r="C2521" s="14"/>
      <c r="D2521" s="14"/>
      <c r="E2521" s="13"/>
      <c r="F2521" s="15"/>
      <c r="G2521" s="16" t="str">
        <f aca="false">IF(OR(B2521="",A2521=""),"",C2521*IFERROR(INDEX(Kişiler!$B$5:$B$44,MATCH(B2521,Kişiler!$A$5:$A$44,0)),0)+D2521*IFERROR(INDEX(Kişiler!$C$5:$C$44,MATCH(B2521,Kişiler!$A$5:$A$44,0)),0))</f>
        <v/>
      </c>
    </row>
    <row r="2522" customFormat="false" ht="15" hidden="false" customHeight="false" outlineLevel="0" collapsed="false">
      <c r="A2522" s="12"/>
      <c r="B2522" s="13"/>
      <c r="C2522" s="14"/>
      <c r="D2522" s="14"/>
      <c r="E2522" s="13"/>
      <c r="F2522" s="15"/>
      <c r="G2522" s="16" t="str">
        <f aca="false">IF(OR(B2522="",A2522=""),"",C2522*IFERROR(INDEX(Kişiler!$B$5:$B$44,MATCH(B2522,Kişiler!$A$5:$A$44,0)),0)+D2522*IFERROR(INDEX(Kişiler!$C$5:$C$44,MATCH(B2522,Kişiler!$A$5:$A$44,0)),0))</f>
        <v/>
      </c>
    </row>
    <row r="2523" customFormat="false" ht="15" hidden="false" customHeight="false" outlineLevel="0" collapsed="false">
      <c r="A2523" s="12"/>
      <c r="B2523" s="13"/>
      <c r="C2523" s="14"/>
      <c r="D2523" s="14"/>
      <c r="E2523" s="13"/>
      <c r="F2523" s="15"/>
      <c r="G2523" s="16" t="str">
        <f aca="false">IF(OR(B2523="",A2523=""),"",C2523*IFERROR(INDEX(Kişiler!$B$5:$B$44,MATCH(B2523,Kişiler!$A$5:$A$44,0)),0)+D2523*IFERROR(INDEX(Kişiler!$C$5:$C$44,MATCH(B2523,Kişiler!$A$5:$A$44,0)),0))</f>
        <v/>
      </c>
    </row>
    <row r="2524" customFormat="false" ht="15" hidden="false" customHeight="false" outlineLevel="0" collapsed="false">
      <c r="A2524" s="12"/>
      <c r="B2524" s="13"/>
      <c r="C2524" s="14"/>
      <c r="D2524" s="14"/>
      <c r="E2524" s="13"/>
      <c r="F2524" s="15"/>
      <c r="G2524" s="16" t="str">
        <f aca="false">IF(OR(B2524="",A2524=""),"",C2524*IFERROR(INDEX(Kişiler!$B$5:$B$44,MATCH(B2524,Kişiler!$A$5:$A$44,0)),0)+D2524*IFERROR(INDEX(Kişiler!$C$5:$C$44,MATCH(B2524,Kişiler!$A$5:$A$44,0)),0))</f>
        <v/>
      </c>
    </row>
    <row r="2525" customFormat="false" ht="15" hidden="false" customHeight="false" outlineLevel="0" collapsed="false">
      <c r="A2525" s="12"/>
      <c r="B2525" s="13"/>
      <c r="C2525" s="14"/>
      <c r="D2525" s="14"/>
      <c r="E2525" s="13"/>
      <c r="F2525" s="15"/>
      <c r="G2525" s="16" t="str">
        <f aca="false">IF(OR(B2525="",A2525=""),"",C2525*IFERROR(INDEX(Kişiler!$B$5:$B$44,MATCH(B2525,Kişiler!$A$5:$A$44,0)),0)+D2525*IFERROR(INDEX(Kişiler!$C$5:$C$44,MATCH(B2525,Kişiler!$A$5:$A$44,0)),0))</f>
        <v/>
      </c>
    </row>
    <row r="2526" customFormat="false" ht="15" hidden="false" customHeight="false" outlineLevel="0" collapsed="false">
      <c r="A2526" s="12"/>
      <c r="B2526" s="13"/>
      <c r="C2526" s="14"/>
      <c r="D2526" s="14"/>
      <c r="E2526" s="13"/>
      <c r="F2526" s="15"/>
      <c r="G2526" s="16" t="str">
        <f aca="false">IF(OR(B2526="",A2526=""),"",C2526*IFERROR(INDEX(Kişiler!$B$5:$B$44,MATCH(B2526,Kişiler!$A$5:$A$44,0)),0)+D2526*IFERROR(INDEX(Kişiler!$C$5:$C$44,MATCH(B2526,Kişiler!$A$5:$A$44,0)),0))</f>
        <v/>
      </c>
    </row>
    <row r="2527" customFormat="false" ht="15" hidden="false" customHeight="false" outlineLevel="0" collapsed="false">
      <c r="A2527" s="12"/>
      <c r="B2527" s="13"/>
      <c r="C2527" s="14"/>
      <c r="D2527" s="14"/>
      <c r="E2527" s="13"/>
      <c r="F2527" s="15"/>
      <c r="G2527" s="16" t="str">
        <f aca="false">IF(OR(B2527="",A2527=""),"",C2527*IFERROR(INDEX(Kişiler!$B$5:$B$44,MATCH(B2527,Kişiler!$A$5:$A$44,0)),0)+D2527*IFERROR(INDEX(Kişiler!$C$5:$C$44,MATCH(B2527,Kişiler!$A$5:$A$44,0)),0))</f>
        <v/>
      </c>
    </row>
    <row r="2528" customFormat="false" ht="15" hidden="false" customHeight="false" outlineLevel="0" collapsed="false">
      <c r="A2528" s="12"/>
      <c r="B2528" s="13"/>
      <c r="C2528" s="14"/>
      <c r="D2528" s="14"/>
      <c r="E2528" s="13"/>
      <c r="F2528" s="15"/>
      <c r="G2528" s="16" t="str">
        <f aca="false">IF(OR(B2528="",A2528=""),"",C2528*IFERROR(INDEX(Kişiler!$B$5:$B$44,MATCH(B2528,Kişiler!$A$5:$A$44,0)),0)+D2528*IFERROR(INDEX(Kişiler!$C$5:$C$44,MATCH(B2528,Kişiler!$A$5:$A$44,0)),0))</f>
        <v/>
      </c>
    </row>
    <row r="2529" customFormat="false" ht="15" hidden="false" customHeight="false" outlineLevel="0" collapsed="false">
      <c r="A2529" s="12"/>
      <c r="B2529" s="13"/>
      <c r="C2529" s="14"/>
      <c r="D2529" s="14"/>
      <c r="E2529" s="13"/>
      <c r="F2529" s="15"/>
      <c r="G2529" s="16" t="str">
        <f aca="false">IF(OR(B2529="",A2529=""),"",C2529*IFERROR(INDEX(Kişiler!$B$5:$B$44,MATCH(B2529,Kişiler!$A$5:$A$44,0)),0)+D2529*IFERROR(INDEX(Kişiler!$C$5:$C$44,MATCH(B2529,Kişiler!$A$5:$A$44,0)),0))</f>
        <v/>
      </c>
    </row>
    <row r="2530" customFormat="false" ht="15" hidden="false" customHeight="false" outlineLevel="0" collapsed="false">
      <c r="A2530" s="12"/>
      <c r="B2530" s="13"/>
      <c r="C2530" s="14"/>
      <c r="D2530" s="14"/>
      <c r="E2530" s="13"/>
      <c r="F2530" s="15"/>
      <c r="G2530" s="16" t="str">
        <f aca="false">IF(OR(B2530="",A2530=""),"",C2530*IFERROR(INDEX(Kişiler!$B$5:$B$44,MATCH(B2530,Kişiler!$A$5:$A$44,0)),0)+D2530*IFERROR(INDEX(Kişiler!$C$5:$C$44,MATCH(B2530,Kişiler!$A$5:$A$44,0)),0))</f>
        <v/>
      </c>
    </row>
    <row r="2531" customFormat="false" ht="15" hidden="false" customHeight="false" outlineLevel="0" collapsed="false">
      <c r="A2531" s="12"/>
      <c r="B2531" s="13"/>
      <c r="C2531" s="14"/>
      <c r="D2531" s="14"/>
      <c r="E2531" s="13"/>
      <c r="F2531" s="15"/>
      <c r="G2531" s="16" t="str">
        <f aca="false">IF(OR(B2531="",A2531=""),"",C2531*IFERROR(INDEX(Kişiler!$B$5:$B$44,MATCH(B2531,Kişiler!$A$5:$A$44,0)),0)+D2531*IFERROR(INDEX(Kişiler!$C$5:$C$44,MATCH(B2531,Kişiler!$A$5:$A$44,0)),0))</f>
        <v/>
      </c>
    </row>
    <row r="2532" customFormat="false" ht="15" hidden="false" customHeight="false" outlineLevel="0" collapsed="false">
      <c r="A2532" s="12"/>
      <c r="B2532" s="13"/>
      <c r="C2532" s="14"/>
      <c r="D2532" s="14"/>
      <c r="E2532" s="13"/>
      <c r="F2532" s="15"/>
      <c r="G2532" s="16" t="str">
        <f aca="false">IF(OR(B2532="",A2532=""),"",C2532*IFERROR(INDEX(Kişiler!$B$5:$B$44,MATCH(B2532,Kişiler!$A$5:$A$44,0)),0)+D2532*IFERROR(INDEX(Kişiler!$C$5:$C$44,MATCH(B2532,Kişiler!$A$5:$A$44,0)),0))</f>
        <v/>
      </c>
    </row>
    <row r="2533" customFormat="false" ht="15" hidden="false" customHeight="false" outlineLevel="0" collapsed="false">
      <c r="A2533" s="12"/>
      <c r="B2533" s="13"/>
      <c r="C2533" s="14"/>
      <c r="D2533" s="14"/>
      <c r="E2533" s="13"/>
      <c r="F2533" s="15"/>
      <c r="G2533" s="16" t="str">
        <f aca="false">IF(OR(B2533="",A2533=""),"",C2533*IFERROR(INDEX(Kişiler!$B$5:$B$44,MATCH(B2533,Kişiler!$A$5:$A$44,0)),0)+D2533*IFERROR(INDEX(Kişiler!$C$5:$C$44,MATCH(B2533,Kişiler!$A$5:$A$44,0)),0))</f>
        <v/>
      </c>
    </row>
    <row r="2534" customFormat="false" ht="15" hidden="false" customHeight="false" outlineLevel="0" collapsed="false">
      <c r="A2534" s="12"/>
      <c r="B2534" s="13"/>
      <c r="C2534" s="14"/>
      <c r="D2534" s="14"/>
      <c r="E2534" s="13"/>
      <c r="F2534" s="15"/>
      <c r="G2534" s="16" t="str">
        <f aca="false">IF(OR(B2534="",A2534=""),"",C2534*IFERROR(INDEX(Kişiler!$B$5:$B$44,MATCH(B2534,Kişiler!$A$5:$A$44,0)),0)+D2534*IFERROR(INDEX(Kişiler!$C$5:$C$44,MATCH(B2534,Kişiler!$A$5:$A$44,0)),0))</f>
        <v/>
      </c>
    </row>
    <row r="2535" customFormat="false" ht="15" hidden="false" customHeight="false" outlineLevel="0" collapsed="false">
      <c r="A2535" s="12"/>
      <c r="B2535" s="13"/>
      <c r="C2535" s="14"/>
      <c r="D2535" s="14"/>
      <c r="E2535" s="13"/>
      <c r="F2535" s="15"/>
      <c r="G2535" s="16" t="str">
        <f aca="false">IF(OR(B2535="",A2535=""),"",C2535*IFERROR(INDEX(Kişiler!$B$5:$B$44,MATCH(B2535,Kişiler!$A$5:$A$44,0)),0)+D2535*IFERROR(INDEX(Kişiler!$C$5:$C$44,MATCH(B2535,Kişiler!$A$5:$A$44,0)),0))</f>
        <v/>
      </c>
    </row>
    <row r="2536" customFormat="false" ht="15" hidden="false" customHeight="false" outlineLevel="0" collapsed="false">
      <c r="A2536" s="12"/>
      <c r="B2536" s="13"/>
      <c r="C2536" s="14"/>
      <c r="D2536" s="14"/>
      <c r="E2536" s="13"/>
      <c r="F2536" s="15"/>
      <c r="G2536" s="16" t="str">
        <f aca="false">IF(OR(B2536="",A2536=""),"",C2536*IFERROR(INDEX(Kişiler!$B$5:$B$44,MATCH(B2536,Kişiler!$A$5:$A$44,0)),0)+D2536*IFERROR(INDEX(Kişiler!$C$5:$C$44,MATCH(B2536,Kişiler!$A$5:$A$44,0)),0))</f>
        <v/>
      </c>
    </row>
    <row r="2537" customFormat="false" ht="15" hidden="false" customHeight="false" outlineLevel="0" collapsed="false">
      <c r="A2537" s="12"/>
      <c r="B2537" s="13"/>
      <c r="C2537" s="14"/>
      <c r="D2537" s="14"/>
      <c r="E2537" s="13"/>
      <c r="F2537" s="15"/>
      <c r="G2537" s="16" t="str">
        <f aca="false">IF(OR(B2537="",A2537=""),"",C2537*IFERROR(INDEX(Kişiler!$B$5:$B$44,MATCH(B2537,Kişiler!$A$5:$A$44,0)),0)+D2537*IFERROR(INDEX(Kişiler!$C$5:$C$44,MATCH(B2537,Kişiler!$A$5:$A$44,0)),0))</f>
        <v/>
      </c>
    </row>
    <row r="2538" customFormat="false" ht="15" hidden="false" customHeight="false" outlineLevel="0" collapsed="false">
      <c r="A2538" s="12"/>
      <c r="B2538" s="13"/>
      <c r="C2538" s="14"/>
      <c r="D2538" s="14"/>
      <c r="E2538" s="13"/>
      <c r="F2538" s="15"/>
      <c r="G2538" s="16" t="str">
        <f aca="false">IF(OR(B2538="",A2538=""),"",C2538*IFERROR(INDEX(Kişiler!$B$5:$B$44,MATCH(B2538,Kişiler!$A$5:$A$44,0)),0)+D2538*IFERROR(INDEX(Kişiler!$C$5:$C$44,MATCH(B2538,Kişiler!$A$5:$A$44,0)),0))</f>
        <v/>
      </c>
    </row>
    <row r="2539" customFormat="false" ht="15" hidden="false" customHeight="false" outlineLevel="0" collapsed="false">
      <c r="A2539" s="12"/>
      <c r="B2539" s="13"/>
      <c r="C2539" s="14"/>
      <c r="D2539" s="14"/>
      <c r="E2539" s="13"/>
      <c r="F2539" s="15"/>
      <c r="G2539" s="16" t="str">
        <f aca="false">IF(OR(B2539="",A2539=""),"",C2539*IFERROR(INDEX(Kişiler!$B$5:$B$44,MATCH(B2539,Kişiler!$A$5:$A$44,0)),0)+D2539*IFERROR(INDEX(Kişiler!$C$5:$C$44,MATCH(B2539,Kişiler!$A$5:$A$44,0)),0))</f>
        <v/>
      </c>
    </row>
    <row r="2540" customFormat="false" ht="15" hidden="false" customHeight="false" outlineLevel="0" collapsed="false">
      <c r="A2540" s="12"/>
      <c r="B2540" s="13"/>
      <c r="C2540" s="14"/>
      <c r="D2540" s="14"/>
      <c r="E2540" s="13"/>
      <c r="F2540" s="15"/>
      <c r="G2540" s="16" t="str">
        <f aca="false">IF(OR(B2540="",A2540=""),"",C2540*IFERROR(INDEX(Kişiler!$B$5:$B$44,MATCH(B2540,Kişiler!$A$5:$A$44,0)),0)+D2540*IFERROR(INDEX(Kişiler!$C$5:$C$44,MATCH(B2540,Kişiler!$A$5:$A$44,0)),0))</f>
        <v/>
      </c>
    </row>
    <row r="2541" customFormat="false" ht="15" hidden="false" customHeight="false" outlineLevel="0" collapsed="false">
      <c r="A2541" s="12"/>
      <c r="B2541" s="13"/>
      <c r="C2541" s="14"/>
      <c r="D2541" s="14"/>
      <c r="E2541" s="13"/>
      <c r="F2541" s="15"/>
      <c r="G2541" s="16" t="str">
        <f aca="false">IF(OR(B2541="",A2541=""),"",C2541*IFERROR(INDEX(Kişiler!$B$5:$B$44,MATCH(B2541,Kişiler!$A$5:$A$44,0)),0)+D2541*IFERROR(INDEX(Kişiler!$C$5:$C$44,MATCH(B2541,Kişiler!$A$5:$A$44,0)),0))</f>
        <v/>
      </c>
    </row>
    <row r="2542" customFormat="false" ht="15" hidden="false" customHeight="false" outlineLevel="0" collapsed="false">
      <c r="A2542" s="12"/>
      <c r="B2542" s="13"/>
      <c r="C2542" s="14"/>
      <c r="D2542" s="14"/>
      <c r="E2542" s="13"/>
      <c r="F2542" s="15"/>
      <c r="G2542" s="16" t="str">
        <f aca="false">IF(OR(B2542="",A2542=""),"",C2542*IFERROR(INDEX(Kişiler!$B$5:$B$44,MATCH(B2542,Kişiler!$A$5:$A$44,0)),0)+D2542*IFERROR(INDEX(Kişiler!$C$5:$C$44,MATCH(B2542,Kişiler!$A$5:$A$44,0)),0))</f>
        <v/>
      </c>
    </row>
    <row r="2543" customFormat="false" ht="15" hidden="false" customHeight="false" outlineLevel="0" collapsed="false">
      <c r="A2543" s="12"/>
      <c r="B2543" s="13"/>
      <c r="C2543" s="14"/>
      <c r="D2543" s="14"/>
      <c r="E2543" s="13"/>
      <c r="F2543" s="15"/>
      <c r="G2543" s="16" t="str">
        <f aca="false">IF(OR(B2543="",A2543=""),"",C2543*IFERROR(INDEX(Kişiler!$B$5:$B$44,MATCH(B2543,Kişiler!$A$5:$A$44,0)),0)+D2543*IFERROR(INDEX(Kişiler!$C$5:$C$44,MATCH(B2543,Kişiler!$A$5:$A$44,0)),0))</f>
        <v/>
      </c>
    </row>
    <row r="2544" customFormat="false" ht="15" hidden="false" customHeight="false" outlineLevel="0" collapsed="false">
      <c r="A2544" s="12"/>
      <c r="B2544" s="13"/>
      <c r="C2544" s="14"/>
      <c r="D2544" s="14"/>
      <c r="E2544" s="13"/>
      <c r="F2544" s="15"/>
      <c r="G2544" s="16" t="str">
        <f aca="false">IF(OR(B2544="",A2544=""),"",C2544*IFERROR(INDEX(Kişiler!$B$5:$B$44,MATCH(B2544,Kişiler!$A$5:$A$44,0)),0)+D2544*IFERROR(INDEX(Kişiler!$C$5:$C$44,MATCH(B2544,Kişiler!$A$5:$A$44,0)),0))</f>
        <v/>
      </c>
    </row>
    <row r="2545" customFormat="false" ht="15" hidden="false" customHeight="false" outlineLevel="0" collapsed="false">
      <c r="A2545" s="12"/>
      <c r="B2545" s="13"/>
      <c r="C2545" s="14"/>
      <c r="D2545" s="14"/>
      <c r="E2545" s="13"/>
      <c r="F2545" s="15"/>
      <c r="G2545" s="16" t="str">
        <f aca="false">IF(OR(B2545="",A2545=""),"",C2545*IFERROR(INDEX(Kişiler!$B$5:$B$44,MATCH(B2545,Kişiler!$A$5:$A$44,0)),0)+D2545*IFERROR(INDEX(Kişiler!$C$5:$C$44,MATCH(B2545,Kişiler!$A$5:$A$44,0)),0))</f>
        <v/>
      </c>
    </row>
    <row r="2546" customFormat="false" ht="15" hidden="false" customHeight="false" outlineLevel="0" collapsed="false">
      <c r="A2546" s="12"/>
      <c r="B2546" s="13"/>
      <c r="C2546" s="14"/>
      <c r="D2546" s="14"/>
      <c r="E2546" s="13"/>
      <c r="F2546" s="15"/>
      <c r="G2546" s="16" t="str">
        <f aca="false">IF(OR(B2546="",A2546=""),"",C2546*IFERROR(INDEX(Kişiler!$B$5:$B$44,MATCH(B2546,Kişiler!$A$5:$A$44,0)),0)+D2546*IFERROR(INDEX(Kişiler!$C$5:$C$44,MATCH(B2546,Kişiler!$A$5:$A$44,0)),0))</f>
        <v/>
      </c>
    </row>
    <row r="2547" customFormat="false" ht="15" hidden="false" customHeight="false" outlineLevel="0" collapsed="false">
      <c r="A2547" s="12"/>
      <c r="B2547" s="13"/>
      <c r="C2547" s="14"/>
      <c r="D2547" s="14"/>
      <c r="E2547" s="13"/>
      <c r="F2547" s="15"/>
      <c r="G2547" s="16" t="str">
        <f aca="false">IF(OR(B2547="",A2547=""),"",C2547*IFERROR(INDEX(Kişiler!$B$5:$B$44,MATCH(B2547,Kişiler!$A$5:$A$44,0)),0)+D2547*IFERROR(INDEX(Kişiler!$C$5:$C$44,MATCH(B2547,Kişiler!$A$5:$A$44,0)),0))</f>
        <v/>
      </c>
    </row>
    <row r="2548" customFormat="false" ht="15" hidden="false" customHeight="false" outlineLevel="0" collapsed="false">
      <c r="A2548" s="12"/>
      <c r="B2548" s="13"/>
      <c r="C2548" s="14"/>
      <c r="D2548" s="14"/>
      <c r="E2548" s="13"/>
      <c r="F2548" s="15"/>
      <c r="G2548" s="16" t="str">
        <f aca="false">IF(OR(B2548="",A2548=""),"",C2548*IFERROR(INDEX(Kişiler!$B$5:$B$44,MATCH(B2548,Kişiler!$A$5:$A$44,0)),0)+D2548*IFERROR(INDEX(Kişiler!$C$5:$C$44,MATCH(B2548,Kişiler!$A$5:$A$44,0)),0))</f>
        <v/>
      </c>
    </row>
    <row r="2549" customFormat="false" ht="15" hidden="false" customHeight="false" outlineLevel="0" collapsed="false">
      <c r="A2549" s="12"/>
      <c r="B2549" s="13"/>
      <c r="C2549" s="14"/>
      <c r="D2549" s="14"/>
      <c r="E2549" s="13"/>
      <c r="F2549" s="15"/>
      <c r="G2549" s="16" t="str">
        <f aca="false">IF(OR(B2549="",A2549=""),"",C2549*IFERROR(INDEX(Kişiler!$B$5:$B$44,MATCH(B2549,Kişiler!$A$5:$A$44,0)),0)+D2549*IFERROR(INDEX(Kişiler!$C$5:$C$44,MATCH(B2549,Kişiler!$A$5:$A$44,0)),0))</f>
        <v/>
      </c>
    </row>
    <row r="2550" customFormat="false" ht="15" hidden="false" customHeight="false" outlineLevel="0" collapsed="false">
      <c r="A2550" s="12"/>
      <c r="B2550" s="13"/>
      <c r="C2550" s="14"/>
      <c r="D2550" s="14"/>
      <c r="E2550" s="13"/>
      <c r="F2550" s="15"/>
      <c r="G2550" s="16" t="str">
        <f aca="false">IF(OR(B2550="",A2550=""),"",C2550*IFERROR(INDEX(Kişiler!$B$5:$B$44,MATCH(B2550,Kişiler!$A$5:$A$44,0)),0)+D2550*IFERROR(INDEX(Kişiler!$C$5:$C$44,MATCH(B2550,Kişiler!$A$5:$A$44,0)),0))</f>
        <v/>
      </c>
    </row>
    <row r="2551" customFormat="false" ht="15" hidden="false" customHeight="false" outlineLevel="0" collapsed="false">
      <c r="A2551" s="12"/>
      <c r="B2551" s="13"/>
      <c r="C2551" s="14"/>
      <c r="D2551" s="14"/>
      <c r="E2551" s="13"/>
      <c r="F2551" s="15"/>
      <c r="G2551" s="16" t="str">
        <f aca="false">IF(OR(B2551="",A2551=""),"",C2551*IFERROR(INDEX(Kişiler!$B$5:$B$44,MATCH(B2551,Kişiler!$A$5:$A$44,0)),0)+D2551*IFERROR(INDEX(Kişiler!$C$5:$C$44,MATCH(B2551,Kişiler!$A$5:$A$44,0)),0))</f>
        <v/>
      </c>
    </row>
    <row r="2552" customFormat="false" ht="15" hidden="false" customHeight="false" outlineLevel="0" collapsed="false">
      <c r="A2552" s="12"/>
      <c r="B2552" s="13"/>
      <c r="C2552" s="14"/>
      <c r="D2552" s="14"/>
      <c r="E2552" s="13"/>
      <c r="F2552" s="15"/>
      <c r="G2552" s="16" t="str">
        <f aca="false">IF(OR(B2552="",A2552=""),"",C2552*IFERROR(INDEX(Kişiler!$B$5:$B$44,MATCH(B2552,Kişiler!$A$5:$A$44,0)),0)+D2552*IFERROR(INDEX(Kişiler!$C$5:$C$44,MATCH(B2552,Kişiler!$A$5:$A$44,0)),0))</f>
        <v/>
      </c>
    </row>
    <row r="2553" customFormat="false" ht="15" hidden="false" customHeight="false" outlineLevel="0" collapsed="false">
      <c r="A2553" s="12"/>
      <c r="B2553" s="13"/>
      <c r="C2553" s="14"/>
      <c r="D2553" s="14"/>
      <c r="E2553" s="13"/>
      <c r="F2553" s="15"/>
      <c r="G2553" s="16" t="str">
        <f aca="false">IF(OR(B2553="",A2553=""),"",C2553*IFERROR(INDEX(Kişiler!$B$5:$B$44,MATCH(B2553,Kişiler!$A$5:$A$44,0)),0)+D2553*IFERROR(INDEX(Kişiler!$C$5:$C$44,MATCH(B2553,Kişiler!$A$5:$A$44,0)),0))</f>
        <v/>
      </c>
    </row>
    <row r="2554" customFormat="false" ht="15" hidden="false" customHeight="false" outlineLevel="0" collapsed="false">
      <c r="A2554" s="12"/>
      <c r="B2554" s="13"/>
      <c r="C2554" s="14"/>
      <c r="D2554" s="14"/>
      <c r="E2554" s="13"/>
      <c r="F2554" s="15"/>
      <c r="G2554" s="16" t="str">
        <f aca="false">IF(OR(B2554="",A2554=""),"",C2554*IFERROR(INDEX(Kişiler!$B$5:$B$44,MATCH(B2554,Kişiler!$A$5:$A$44,0)),0)+D2554*IFERROR(INDEX(Kişiler!$C$5:$C$44,MATCH(B2554,Kişiler!$A$5:$A$44,0)),0))</f>
        <v/>
      </c>
    </row>
    <row r="2555" customFormat="false" ht="15" hidden="false" customHeight="false" outlineLevel="0" collapsed="false">
      <c r="A2555" s="12"/>
      <c r="B2555" s="13"/>
      <c r="C2555" s="14"/>
      <c r="D2555" s="14"/>
      <c r="E2555" s="13"/>
      <c r="F2555" s="15"/>
      <c r="G2555" s="16" t="str">
        <f aca="false">IF(OR(B2555="",A2555=""),"",C2555*IFERROR(INDEX(Kişiler!$B$5:$B$44,MATCH(B2555,Kişiler!$A$5:$A$44,0)),0)+D2555*IFERROR(INDEX(Kişiler!$C$5:$C$44,MATCH(B2555,Kişiler!$A$5:$A$44,0)),0))</f>
        <v/>
      </c>
    </row>
    <row r="2556" customFormat="false" ht="15" hidden="false" customHeight="false" outlineLevel="0" collapsed="false">
      <c r="A2556" s="12"/>
      <c r="B2556" s="13"/>
      <c r="C2556" s="14"/>
      <c r="D2556" s="14"/>
      <c r="E2556" s="13"/>
      <c r="F2556" s="15"/>
      <c r="G2556" s="16" t="str">
        <f aca="false">IF(OR(B2556="",A2556=""),"",C2556*IFERROR(INDEX(Kişiler!$B$5:$B$44,MATCH(B2556,Kişiler!$A$5:$A$44,0)),0)+D2556*IFERROR(INDEX(Kişiler!$C$5:$C$44,MATCH(B2556,Kişiler!$A$5:$A$44,0)),0))</f>
        <v/>
      </c>
    </row>
    <row r="2557" customFormat="false" ht="15" hidden="false" customHeight="false" outlineLevel="0" collapsed="false">
      <c r="A2557" s="12"/>
      <c r="B2557" s="13"/>
      <c r="C2557" s="14"/>
      <c r="D2557" s="14"/>
      <c r="E2557" s="13"/>
      <c r="F2557" s="15"/>
      <c r="G2557" s="16" t="str">
        <f aca="false">IF(OR(B2557="",A2557=""),"",C2557*IFERROR(INDEX(Kişiler!$B$5:$B$44,MATCH(B2557,Kişiler!$A$5:$A$44,0)),0)+D2557*IFERROR(INDEX(Kişiler!$C$5:$C$44,MATCH(B2557,Kişiler!$A$5:$A$44,0)),0))</f>
        <v/>
      </c>
    </row>
    <row r="2558" customFormat="false" ht="15" hidden="false" customHeight="false" outlineLevel="0" collapsed="false">
      <c r="A2558" s="12"/>
      <c r="B2558" s="13"/>
      <c r="C2558" s="14"/>
      <c r="D2558" s="14"/>
      <c r="E2558" s="13"/>
      <c r="F2558" s="15"/>
      <c r="G2558" s="16" t="str">
        <f aca="false">IF(OR(B2558="",A2558=""),"",C2558*IFERROR(INDEX(Kişiler!$B$5:$B$44,MATCH(B2558,Kişiler!$A$5:$A$44,0)),0)+D2558*IFERROR(INDEX(Kişiler!$C$5:$C$44,MATCH(B2558,Kişiler!$A$5:$A$44,0)),0))</f>
        <v/>
      </c>
    </row>
    <row r="2559" customFormat="false" ht="15" hidden="false" customHeight="false" outlineLevel="0" collapsed="false">
      <c r="A2559" s="12"/>
      <c r="B2559" s="13"/>
      <c r="C2559" s="14"/>
      <c r="D2559" s="14"/>
      <c r="E2559" s="13"/>
      <c r="F2559" s="15"/>
      <c r="G2559" s="16" t="str">
        <f aca="false">IF(OR(B2559="",A2559=""),"",C2559*IFERROR(INDEX(Kişiler!$B$5:$B$44,MATCH(B2559,Kişiler!$A$5:$A$44,0)),0)+D2559*IFERROR(INDEX(Kişiler!$C$5:$C$44,MATCH(B2559,Kişiler!$A$5:$A$44,0)),0))</f>
        <v/>
      </c>
    </row>
    <row r="2560" customFormat="false" ht="15" hidden="false" customHeight="false" outlineLevel="0" collapsed="false">
      <c r="A2560" s="12"/>
      <c r="B2560" s="13"/>
      <c r="C2560" s="14"/>
      <c r="D2560" s="14"/>
      <c r="E2560" s="13"/>
      <c r="F2560" s="15"/>
      <c r="G2560" s="16" t="str">
        <f aca="false">IF(OR(B2560="",A2560=""),"",C2560*IFERROR(INDEX(Kişiler!$B$5:$B$44,MATCH(B2560,Kişiler!$A$5:$A$44,0)),0)+D2560*IFERROR(INDEX(Kişiler!$C$5:$C$44,MATCH(B2560,Kişiler!$A$5:$A$44,0)),0))</f>
        <v/>
      </c>
    </row>
    <row r="2561" customFormat="false" ht="15" hidden="false" customHeight="false" outlineLevel="0" collapsed="false">
      <c r="A2561" s="12"/>
      <c r="B2561" s="13"/>
      <c r="C2561" s="14"/>
      <c r="D2561" s="14"/>
      <c r="E2561" s="13"/>
      <c r="F2561" s="15"/>
      <c r="G2561" s="16" t="str">
        <f aca="false">IF(OR(B2561="",A2561=""),"",C2561*IFERROR(INDEX(Kişiler!$B$5:$B$44,MATCH(B2561,Kişiler!$A$5:$A$44,0)),0)+D2561*IFERROR(INDEX(Kişiler!$C$5:$C$44,MATCH(B2561,Kişiler!$A$5:$A$44,0)),0))</f>
        <v/>
      </c>
    </row>
    <row r="2562" customFormat="false" ht="15" hidden="false" customHeight="false" outlineLevel="0" collapsed="false">
      <c r="A2562" s="12"/>
      <c r="B2562" s="13"/>
      <c r="C2562" s="14"/>
      <c r="D2562" s="14"/>
      <c r="E2562" s="13"/>
      <c r="F2562" s="15"/>
      <c r="G2562" s="16" t="str">
        <f aca="false">IF(OR(B2562="",A2562=""),"",C2562*IFERROR(INDEX(Kişiler!$B$5:$B$44,MATCH(B2562,Kişiler!$A$5:$A$44,0)),0)+D2562*IFERROR(INDEX(Kişiler!$C$5:$C$44,MATCH(B2562,Kişiler!$A$5:$A$44,0)),0))</f>
        <v/>
      </c>
    </row>
    <row r="2563" customFormat="false" ht="15" hidden="false" customHeight="false" outlineLevel="0" collapsed="false">
      <c r="A2563" s="12"/>
      <c r="B2563" s="13"/>
      <c r="C2563" s="14"/>
      <c r="D2563" s="14"/>
      <c r="E2563" s="13"/>
      <c r="F2563" s="15"/>
      <c r="G2563" s="16" t="str">
        <f aca="false">IF(OR(B2563="",A2563=""),"",C2563*IFERROR(INDEX(Kişiler!$B$5:$B$44,MATCH(B2563,Kişiler!$A$5:$A$44,0)),0)+D2563*IFERROR(INDEX(Kişiler!$C$5:$C$44,MATCH(B2563,Kişiler!$A$5:$A$44,0)),0))</f>
        <v/>
      </c>
    </row>
    <row r="2564" customFormat="false" ht="15" hidden="false" customHeight="false" outlineLevel="0" collapsed="false">
      <c r="A2564" s="12"/>
      <c r="B2564" s="13"/>
      <c r="C2564" s="14"/>
      <c r="D2564" s="14"/>
      <c r="E2564" s="13"/>
      <c r="F2564" s="15"/>
      <c r="G2564" s="16" t="str">
        <f aca="false">IF(OR(B2564="",A2564=""),"",C2564*IFERROR(INDEX(Kişiler!$B$5:$B$44,MATCH(B2564,Kişiler!$A$5:$A$44,0)),0)+D2564*IFERROR(INDEX(Kişiler!$C$5:$C$44,MATCH(B2564,Kişiler!$A$5:$A$44,0)),0))</f>
        <v/>
      </c>
    </row>
    <row r="2565" customFormat="false" ht="15" hidden="false" customHeight="false" outlineLevel="0" collapsed="false">
      <c r="A2565" s="12"/>
      <c r="B2565" s="13"/>
      <c r="C2565" s="14"/>
      <c r="D2565" s="14"/>
      <c r="E2565" s="13"/>
      <c r="F2565" s="15"/>
      <c r="G2565" s="16" t="str">
        <f aca="false">IF(OR(B2565="",A2565=""),"",C2565*IFERROR(INDEX(Kişiler!$B$5:$B$44,MATCH(B2565,Kişiler!$A$5:$A$44,0)),0)+D2565*IFERROR(INDEX(Kişiler!$C$5:$C$44,MATCH(B2565,Kişiler!$A$5:$A$44,0)),0))</f>
        <v/>
      </c>
    </row>
    <row r="2566" customFormat="false" ht="15" hidden="false" customHeight="false" outlineLevel="0" collapsed="false">
      <c r="A2566" s="12"/>
      <c r="B2566" s="13"/>
      <c r="C2566" s="14"/>
      <c r="D2566" s="14"/>
      <c r="E2566" s="13"/>
      <c r="F2566" s="15"/>
      <c r="G2566" s="16" t="str">
        <f aca="false">IF(OR(B2566="",A2566=""),"",C2566*IFERROR(INDEX(Kişiler!$B$5:$B$44,MATCH(B2566,Kişiler!$A$5:$A$44,0)),0)+D2566*IFERROR(INDEX(Kişiler!$C$5:$C$44,MATCH(B2566,Kişiler!$A$5:$A$44,0)),0))</f>
        <v/>
      </c>
    </row>
    <row r="2567" customFormat="false" ht="15" hidden="false" customHeight="false" outlineLevel="0" collapsed="false">
      <c r="A2567" s="12"/>
      <c r="B2567" s="13"/>
      <c r="C2567" s="14"/>
      <c r="D2567" s="14"/>
      <c r="E2567" s="13"/>
      <c r="F2567" s="15"/>
      <c r="G2567" s="16" t="str">
        <f aca="false">IF(OR(B2567="",A2567=""),"",C2567*IFERROR(INDEX(Kişiler!$B$5:$B$44,MATCH(B2567,Kişiler!$A$5:$A$44,0)),0)+D2567*IFERROR(INDEX(Kişiler!$C$5:$C$44,MATCH(B2567,Kişiler!$A$5:$A$44,0)),0))</f>
        <v/>
      </c>
    </row>
    <row r="2568" customFormat="false" ht="15" hidden="false" customHeight="false" outlineLevel="0" collapsed="false">
      <c r="A2568" s="12"/>
      <c r="B2568" s="13"/>
      <c r="C2568" s="14"/>
      <c r="D2568" s="14"/>
      <c r="E2568" s="13"/>
      <c r="F2568" s="15"/>
      <c r="G2568" s="16" t="str">
        <f aca="false">IF(OR(B2568="",A2568=""),"",C2568*IFERROR(INDEX(Kişiler!$B$5:$B$44,MATCH(B2568,Kişiler!$A$5:$A$44,0)),0)+D2568*IFERROR(INDEX(Kişiler!$C$5:$C$44,MATCH(B2568,Kişiler!$A$5:$A$44,0)),0))</f>
        <v/>
      </c>
    </row>
    <row r="2569" customFormat="false" ht="15" hidden="false" customHeight="false" outlineLevel="0" collapsed="false">
      <c r="A2569" s="12"/>
      <c r="B2569" s="13"/>
      <c r="C2569" s="14"/>
      <c r="D2569" s="14"/>
      <c r="E2569" s="13"/>
      <c r="F2569" s="15"/>
      <c r="G2569" s="16" t="str">
        <f aca="false">IF(OR(B2569="",A2569=""),"",C2569*IFERROR(INDEX(Kişiler!$B$5:$B$44,MATCH(B2569,Kişiler!$A$5:$A$44,0)),0)+D2569*IFERROR(INDEX(Kişiler!$C$5:$C$44,MATCH(B2569,Kişiler!$A$5:$A$44,0)),0))</f>
        <v/>
      </c>
    </row>
    <row r="2570" customFormat="false" ht="15" hidden="false" customHeight="false" outlineLevel="0" collapsed="false">
      <c r="A2570" s="12"/>
      <c r="B2570" s="13"/>
      <c r="C2570" s="14"/>
      <c r="D2570" s="14"/>
      <c r="E2570" s="13"/>
      <c r="F2570" s="15"/>
      <c r="G2570" s="16" t="str">
        <f aca="false">IF(OR(B2570="",A2570=""),"",C2570*IFERROR(INDEX(Kişiler!$B$5:$B$44,MATCH(B2570,Kişiler!$A$5:$A$44,0)),0)+D2570*IFERROR(INDEX(Kişiler!$C$5:$C$44,MATCH(B2570,Kişiler!$A$5:$A$44,0)),0))</f>
        <v/>
      </c>
    </row>
    <row r="2571" customFormat="false" ht="15" hidden="false" customHeight="false" outlineLevel="0" collapsed="false">
      <c r="A2571" s="12"/>
      <c r="B2571" s="13"/>
      <c r="C2571" s="14"/>
      <c r="D2571" s="14"/>
      <c r="E2571" s="13"/>
      <c r="F2571" s="15"/>
      <c r="G2571" s="16" t="str">
        <f aca="false">IF(OR(B2571="",A2571=""),"",C2571*IFERROR(INDEX(Kişiler!$B$5:$B$44,MATCH(B2571,Kişiler!$A$5:$A$44,0)),0)+D2571*IFERROR(INDEX(Kişiler!$C$5:$C$44,MATCH(B2571,Kişiler!$A$5:$A$44,0)),0))</f>
        <v/>
      </c>
    </row>
    <row r="2572" customFormat="false" ht="15" hidden="false" customHeight="false" outlineLevel="0" collapsed="false">
      <c r="A2572" s="12"/>
      <c r="B2572" s="13"/>
      <c r="C2572" s="14"/>
      <c r="D2572" s="14"/>
      <c r="E2572" s="13"/>
      <c r="F2572" s="15"/>
      <c r="G2572" s="16" t="str">
        <f aca="false">IF(OR(B2572="",A2572=""),"",C2572*IFERROR(INDEX(Kişiler!$B$5:$B$44,MATCH(B2572,Kişiler!$A$5:$A$44,0)),0)+D2572*IFERROR(INDEX(Kişiler!$C$5:$C$44,MATCH(B2572,Kişiler!$A$5:$A$44,0)),0))</f>
        <v/>
      </c>
    </row>
    <row r="2573" customFormat="false" ht="15" hidden="false" customHeight="false" outlineLevel="0" collapsed="false">
      <c r="A2573" s="12"/>
      <c r="B2573" s="13"/>
      <c r="C2573" s="14"/>
      <c r="D2573" s="14"/>
      <c r="E2573" s="13"/>
      <c r="F2573" s="15"/>
      <c r="G2573" s="16" t="str">
        <f aca="false">IF(OR(B2573="",A2573=""),"",C2573*IFERROR(INDEX(Kişiler!$B$5:$B$44,MATCH(B2573,Kişiler!$A$5:$A$44,0)),0)+D2573*IFERROR(INDEX(Kişiler!$C$5:$C$44,MATCH(B2573,Kişiler!$A$5:$A$44,0)),0))</f>
        <v/>
      </c>
    </row>
    <row r="2574" customFormat="false" ht="15" hidden="false" customHeight="false" outlineLevel="0" collapsed="false">
      <c r="A2574" s="12"/>
      <c r="B2574" s="13"/>
      <c r="C2574" s="14"/>
      <c r="D2574" s="14"/>
      <c r="E2574" s="13"/>
      <c r="F2574" s="15"/>
      <c r="G2574" s="16" t="str">
        <f aca="false">IF(OR(B2574="",A2574=""),"",C2574*IFERROR(INDEX(Kişiler!$B$5:$B$44,MATCH(B2574,Kişiler!$A$5:$A$44,0)),0)+D2574*IFERROR(INDEX(Kişiler!$C$5:$C$44,MATCH(B2574,Kişiler!$A$5:$A$44,0)),0))</f>
        <v/>
      </c>
    </row>
    <row r="2575" customFormat="false" ht="15" hidden="false" customHeight="false" outlineLevel="0" collapsed="false">
      <c r="A2575" s="12"/>
      <c r="B2575" s="13"/>
      <c r="C2575" s="14"/>
      <c r="D2575" s="14"/>
      <c r="E2575" s="13"/>
      <c r="F2575" s="15"/>
      <c r="G2575" s="16" t="str">
        <f aca="false">IF(OR(B2575="",A2575=""),"",C2575*IFERROR(INDEX(Kişiler!$B$5:$B$44,MATCH(B2575,Kişiler!$A$5:$A$44,0)),0)+D2575*IFERROR(INDEX(Kişiler!$C$5:$C$44,MATCH(B2575,Kişiler!$A$5:$A$44,0)),0))</f>
        <v/>
      </c>
    </row>
    <row r="2576" customFormat="false" ht="15" hidden="false" customHeight="false" outlineLevel="0" collapsed="false">
      <c r="A2576" s="12"/>
      <c r="B2576" s="13"/>
      <c r="C2576" s="14"/>
      <c r="D2576" s="14"/>
      <c r="E2576" s="13"/>
      <c r="F2576" s="15"/>
      <c r="G2576" s="16" t="str">
        <f aca="false">IF(OR(B2576="",A2576=""),"",C2576*IFERROR(INDEX(Kişiler!$B$5:$B$44,MATCH(B2576,Kişiler!$A$5:$A$44,0)),0)+D2576*IFERROR(INDEX(Kişiler!$C$5:$C$44,MATCH(B2576,Kişiler!$A$5:$A$44,0)),0))</f>
        <v/>
      </c>
    </row>
    <row r="2577" customFormat="false" ht="15" hidden="false" customHeight="false" outlineLevel="0" collapsed="false">
      <c r="A2577" s="12"/>
      <c r="B2577" s="13"/>
      <c r="C2577" s="14"/>
      <c r="D2577" s="14"/>
      <c r="E2577" s="13"/>
      <c r="F2577" s="15"/>
      <c r="G2577" s="16" t="str">
        <f aca="false">IF(OR(B2577="",A2577=""),"",C2577*IFERROR(INDEX(Kişiler!$B$5:$B$44,MATCH(B2577,Kişiler!$A$5:$A$44,0)),0)+D2577*IFERROR(INDEX(Kişiler!$C$5:$C$44,MATCH(B2577,Kişiler!$A$5:$A$44,0)),0))</f>
        <v/>
      </c>
    </row>
    <row r="2578" customFormat="false" ht="15" hidden="false" customHeight="false" outlineLevel="0" collapsed="false">
      <c r="A2578" s="12"/>
      <c r="B2578" s="13"/>
      <c r="C2578" s="14"/>
      <c r="D2578" s="14"/>
      <c r="E2578" s="13"/>
      <c r="F2578" s="15"/>
      <c r="G2578" s="16" t="str">
        <f aca="false">IF(OR(B2578="",A2578=""),"",C2578*IFERROR(INDEX(Kişiler!$B$5:$B$44,MATCH(B2578,Kişiler!$A$5:$A$44,0)),0)+D2578*IFERROR(INDEX(Kişiler!$C$5:$C$44,MATCH(B2578,Kişiler!$A$5:$A$44,0)),0))</f>
        <v/>
      </c>
    </row>
    <row r="2579" customFormat="false" ht="15" hidden="false" customHeight="false" outlineLevel="0" collapsed="false">
      <c r="A2579" s="12"/>
      <c r="B2579" s="13"/>
      <c r="C2579" s="14"/>
      <c r="D2579" s="14"/>
      <c r="E2579" s="13"/>
      <c r="F2579" s="15"/>
      <c r="G2579" s="16" t="str">
        <f aca="false">IF(OR(B2579="",A2579=""),"",C2579*IFERROR(INDEX(Kişiler!$B$5:$B$44,MATCH(B2579,Kişiler!$A$5:$A$44,0)),0)+D2579*IFERROR(INDEX(Kişiler!$C$5:$C$44,MATCH(B2579,Kişiler!$A$5:$A$44,0)),0))</f>
        <v/>
      </c>
    </row>
    <row r="2580" customFormat="false" ht="15" hidden="false" customHeight="false" outlineLevel="0" collapsed="false">
      <c r="A2580" s="12"/>
      <c r="B2580" s="13"/>
      <c r="C2580" s="14"/>
      <c r="D2580" s="14"/>
      <c r="E2580" s="13"/>
      <c r="F2580" s="15"/>
      <c r="G2580" s="16" t="str">
        <f aca="false">IF(OR(B2580="",A2580=""),"",C2580*IFERROR(INDEX(Kişiler!$B$5:$B$44,MATCH(B2580,Kişiler!$A$5:$A$44,0)),0)+D2580*IFERROR(INDEX(Kişiler!$C$5:$C$44,MATCH(B2580,Kişiler!$A$5:$A$44,0)),0))</f>
        <v/>
      </c>
    </row>
    <row r="2581" customFormat="false" ht="15" hidden="false" customHeight="false" outlineLevel="0" collapsed="false">
      <c r="A2581" s="12"/>
      <c r="B2581" s="13"/>
      <c r="C2581" s="14"/>
      <c r="D2581" s="14"/>
      <c r="E2581" s="13"/>
      <c r="F2581" s="15"/>
      <c r="G2581" s="16" t="str">
        <f aca="false">IF(OR(B2581="",A2581=""),"",C2581*IFERROR(INDEX(Kişiler!$B$5:$B$44,MATCH(B2581,Kişiler!$A$5:$A$44,0)),0)+D2581*IFERROR(INDEX(Kişiler!$C$5:$C$44,MATCH(B2581,Kişiler!$A$5:$A$44,0)),0))</f>
        <v/>
      </c>
    </row>
    <row r="2582" customFormat="false" ht="15" hidden="false" customHeight="false" outlineLevel="0" collapsed="false">
      <c r="A2582" s="12"/>
      <c r="B2582" s="13"/>
      <c r="C2582" s="14"/>
      <c r="D2582" s="14"/>
      <c r="E2582" s="13"/>
      <c r="F2582" s="15"/>
      <c r="G2582" s="16" t="str">
        <f aca="false">IF(OR(B2582="",A2582=""),"",C2582*IFERROR(INDEX(Kişiler!$B$5:$B$44,MATCH(B2582,Kişiler!$A$5:$A$44,0)),0)+D2582*IFERROR(INDEX(Kişiler!$C$5:$C$44,MATCH(B2582,Kişiler!$A$5:$A$44,0)),0))</f>
        <v/>
      </c>
    </row>
    <row r="2583" customFormat="false" ht="15" hidden="false" customHeight="false" outlineLevel="0" collapsed="false">
      <c r="A2583" s="12"/>
      <c r="B2583" s="13"/>
      <c r="C2583" s="14"/>
      <c r="D2583" s="14"/>
      <c r="E2583" s="13"/>
      <c r="F2583" s="15"/>
      <c r="G2583" s="16" t="str">
        <f aca="false">IF(OR(B2583="",A2583=""),"",C2583*IFERROR(INDEX(Kişiler!$B$5:$B$44,MATCH(B2583,Kişiler!$A$5:$A$44,0)),0)+D2583*IFERROR(INDEX(Kişiler!$C$5:$C$44,MATCH(B2583,Kişiler!$A$5:$A$44,0)),0))</f>
        <v/>
      </c>
    </row>
    <row r="2584" customFormat="false" ht="15" hidden="false" customHeight="false" outlineLevel="0" collapsed="false">
      <c r="A2584" s="12"/>
      <c r="B2584" s="13"/>
      <c r="C2584" s="14"/>
      <c r="D2584" s="14"/>
      <c r="E2584" s="13"/>
      <c r="F2584" s="15"/>
      <c r="G2584" s="16" t="str">
        <f aca="false">IF(OR(B2584="",A2584=""),"",C2584*IFERROR(INDEX(Kişiler!$B$5:$B$44,MATCH(B2584,Kişiler!$A$5:$A$44,0)),0)+D2584*IFERROR(INDEX(Kişiler!$C$5:$C$44,MATCH(B2584,Kişiler!$A$5:$A$44,0)),0))</f>
        <v/>
      </c>
    </row>
    <row r="2585" customFormat="false" ht="15" hidden="false" customHeight="false" outlineLevel="0" collapsed="false">
      <c r="A2585" s="12"/>
      <c r="B2585" s="13"/>
      <c r="C2585" s="14"/>
      <c r="D2585" s="14"/>
      <c r="E2585" s="13"/>
      <c r="F2585" s="15"/>
      <c r="G2585" s="16" t="str">
        <f aca="false">IF(OR(B2585="",A2585=""),"",C2585*IFERROR(INDEX(Kişiler!$B$5:$B$44,MATCH(B2585,Kişiler!$A$5:$A$44,0)),0)+D2585*IFERROR(INDEX(Kişiler!$C$5:$C$44,MATCH(B2585,Kişiler!$A$5:$A$44,0)),0))</f>
        <v/>
      </c>
    </row>
    <row r="2586" customFormat="false" ht="15" hidden="false" customHeight="false" outlineLevel="0" collapsed="false">
      <c r="A2586" s="12"/>
      <c r="B2586" s="13"/>
      <c r="C2586" s="14"/>
      <c r="D2586" s="14"/>
      <c r="E2586" s="13"/>
      <c r="F2586" s="15"/>
      <c r="G2586" s="16" t="str">
        <f aca="false">IF(OR(B2586="",A2586=""),"",C2586*IFERROR(INDEX(Kişiler!$B$5:$B$44,MATCH(B2586,Kişiler!$A$5:$A$44,0)),0)+D2586*IFERROR(INDEX(Kişiler!$C$5:$C$44,MATCH(B2586,Kişiler!$A$5:$A$44,0)),0))</f>
        <v/>
      </c>
    </row>
    <row r="2587" customFormat="false" ht="15" hidden="false" customHeight="false" outlineLevel="0" collapsed="false">
      <c r="A2587" s="12"/>
      <c r="B2587" s="13"/>
      <c r="C2587" s="14"/>
      <c r="D2587" s="14"/>
      <c r="E2587" s="13"/>
      <c r="F2587" s="15"/>
      <c r="G2587" s="16" t="str">
        <f aca="false">IF(OR(B2587="",A2587=""),"",C2587*IFERROR(INDEX(Kişiler!$B$5:$B$44,MATCH(B2587,Kişiler!$A$5:$A$44,0)),0)+D2587*IFERROR(INDEX(Kişiler!$C$5:$C$44,MATCH(B2587,Kişiler!$A$5:$A$44,0)),0))</f>
        <v/>
      </c>
    </row>
    <row r="2588" customFormat="false" ht="15" hidden="false" customHeight="false" outlineLevel="0" collapsed="false">
      <c r="A2588" s="12"/>
      <c r="B2588" s="13"/>
      <c r="C2588" s="14"/>
      <c r="D2588" s="14"/>
      <c r="E2588" s="13"/>
      <c r="F2588" s="15"/>
      <c r="G2588" s="16" t="str">
        <f aca="false">IF(OR(B2588="",A2588=""),"",C2588*IFERROR(INDEX(Kişiler!$B$5:$B$44,MATCH(B2588,Kişiler!$A$5:$A$44,0)),0)+D2588*IFERROR(INDEX(Kişiler!$C$5:$C$44,MATCH(B2588,Kişiler!$A$5:$A$44,0)),0))</f>
        <v/>
      </c>
    </row>
    <row r="2589" customFormat="false" ht="15" hidden="false" customHeight="false" outlineLevel="0" collapsed="false">
      <c r="A2589" s="12"/>
      <c r="B2589" s="13"/>
      <c r="C2589" s="14"/>
      <c r="D2589" s="14"/>
      <c r="E2589" s="13"/>
      <c r="F2589" s="15"/>
      <c r="G2589" s="16" t="str">
        <f aca="false">IF(OR(B2589="",A2589=""),"",C2589*IFERROR(INDEX(Kişiler!$B$5:$B$44,MATCH(B2589,Kişiler!$A$5:$A$44,0)),0)+D2589*IFERROR(INDEX(Kişiler!$C$5:$C$44,MATCH(B2589,Kişiler!$A$5:$A$44,0)),0))</f>
        <v/>
      </c>
    </row>
    <row r="2590" customFormat="false" ht="15" hidden="false" customHeight="false" outlineLevel="0" collapsed="false">
      <c r="A2590" s="12"/>
      <c r="B2590" s="13"/>
      <c r="C2590" s="14"/>
      <c r="D2590" s="14"/>
      <c r="E2590" s="13"/>
      <c r="F2590" s="15"/>
      <c r="G2590" s="16" t="str">
        <f aca="false">IF(OR(B2590="",A2590=""),"",C2590*IFERROR(INDEX(Kişiler!$B$5:$B$44,MATCH(B2590,Kişiler!$A$5:$A$44,0)),0)+D2590*IFERROR(INDEX(Kişiler!$C$5:$C$44,MATCH(B2590,Kişiler!$A$5:$A$44,0)),0))</f>
        <v/>
      </c>
    </row>
    <row r="2591" customFormat="false" ht="15" hidden="false" customHeight="false" outlineLevel="0" collapsed="false">
      <c r="A2591" s="12"/>
      <c r="B2591" s="13"/>
      <c r="C2591" s="14"/>
      <c r="D2591" s="14"/>
      <c r="E2591" s="13"/>
      <c r="F2591" s="15"/>
      <c r="G2591" s="16" t="str">
        <f aca="false">IF(OR(B2591="",A2591=""),"",C2591*IFERROR(INDEX(Kişiler!$B$5:$B$44,MATCH(B2591,Kişiler!$A$5:$A$44,0)),0)+D2591*IFERROR(INDEX(Kişiler!$C$5:$C$44,MATCH(B2591,Kişiler!$A$5:$A$44,0)),0))</f>
        <v/>
      </c>
    </row>
    <row r="2592" customFormat="false" ht="15" hidden="false" customHeight="false" outlineLevel="0" collapsed="false">
      <c r="A2592" s="12"/>
      <c r="B2592" s="13"/>
      <c r="C2592" s="14"/>
      <c r="D2592" s="14"/>
      <c r="E2592" s="13"/>
      <c r="F2592" s="15"/>
      <c r="G2592" s="16" t="str">
        <f aca="false">IF(OR(B2592="",A2592=""),"",C2592*IFERROR(INDEX(Kişiler!$B$5:$B$44,MATCH(B2592,Kişiler!$A$5:$A$44,0)),0)+D2592*IFERROR(INDEX(Kişiler!$C$5:$C$44,MATCH(B2592,Kişiler!$A$5:$A$44,0)),0))</f>
        <v/>
      </c>
    </row>
    <row r="2593" customFormat="false" ht="15" hidden="false" customHeight="false" outlineLevel="0" collapsed="false">
      <c r="A2593" s="12"/>
      <c r="B2593" s="13"/>
      <c r="C2593" s="14"/>
      <c r="D2593" s="14"/>
      <c r="E2593" s="13"/>
      <c r="F2593" s="15"/>
      <c r="G2593" s="16" t="str">
        <f aca="false">IF(OR(B2593="",A2593=""),"",C2593*IFERROR(INDEX(Kişiler!$B$5:$B$44,MATCH(B2593,Kişiler!$A$5:$A$44,0)),0)+D2593*IFERROR(INDEX(Kişiler!$C$5:$C$44,MATCH(B2593,Kişiler!$A$5:$A$44,0)),0))</f>
        <v/>
      </c>
    </row>
    <row r="2594" customFormat="false" ht="15" hidden="false" customHeight="false" outlineLevel="0" collapsed="false">
      <c r="A2594" s="12"/>
      <c r="B2594" s="13"/>
      <c r="C2594" s="14"/>
      <c r="D2594" s="14"/>
      <c r="E2594" s="13"/>
      <c r="F2594" s="15"/>
      <c r="G2594" s="16" t="str">
        <f aca="false">IF(OR(B2594="",A2594=""),"",C2594*IFERROR(INDEX(Kişiler!$B$5:$B$44,MATCH(B2594,Kişiler!$A$5:$A$44,0)),0)+D2594*IFERROR(INDEX(Kişiler!$C$5:$C$44,MATCH(B2594,Kişiler!$A$5:$A$44,0)),0))</f>
        <v/>
      </c>
    </row>
    <row r="2595" customFormat="false" ht="15" hidden="false" customHeight="false" outlineLevel="0" collapsed="false">
      <c r="A2595" s="12"/>
      <c r="B2595" s="13"/>
      <c r="C2595" s="14"/>
      <c r="D2595" s="14"/>
      <c r="E2595" s="13"/>
      <c r="F2595" s="15"/>
      <c r="G2595" s="16" t="str">
        <f aca="false">IF(OR(B2595="",A2595=""),"",C2595*IFERROR(INDEX(Kişiler!$B$5:$B$44,MATCH(B2595,Kişiler!$A$5:$A$44,0)),0)+D2595*IFERROR(INDEX(Kişiler!$C$5:$C$44,MATCH(B2595,Kişiler!$A$5:$A$44,0)),0))</f>
        <v/>
      </c>
    </row>
    <row r="2596" customFormat="false" ht="15" hidden="false" customHeight="false" outlineLevel="0" collapsed="false">
      <c r="A2596" s="12"/>
      <c r="B2596" s="13"/>
      <c r="C2596" s="14"/>
      <c r="D2596" s="14"/>
      <c r="E2596" s="13"/>
      <c r="F2596" s="15"/>
      <c r="G2596" s="16" t="str">
        <f aca="false">IF(OR(B2596="",A2596=""),"",C2596*IFERROR(INDEX(Kişiler!$B$5:$B$44,MATCH(B2596,Kişiler!$A$5:$A$44,0)),0)+D2596*IFERROR(INDEX(Kişiler!$C$5:$C$44,MATCH(B2596,Kişiler!$A$5:$A$44,0)),0))</f>
        <v/>
      </c>
    </row>
    <row r="2597" customFormat="false" ht="15" hidden="false" customHeight="false" outlineLevel="0" collapsed="false">
      <c r="A2597" s="12"/>
      <c r="B2597" s="13"/>
      <c r="C2597" s="14"/>
      <c r="D2597" s="14"/>
      <c r="E2597" s="13"/>
      <c r="F2597" s="15"/>
      <c r="G2597" s="16" t="str">
        <f aca="false">IF(OR(B2597="",A2597=""),"",C2597*IFERROR(INDEX(Kişiler!$B$5:$B$44,MATCH(B2597,Kişiler!$A$5:$A$44,0)),0)+D2597*IFERROR(INDEX(Kişiler!$C$5:$C$44,MATCH(B2597,Kişiler!$A$5:$A$44,0)),0))</f>
        <v/>
      </c>
    </row>
    <row r="2598" customFormat="false" ht="15" hidden="false" customHeight="false" outlineLevel="0" collapsed="false">
      <c r="A2598" s="12"/>
      <c r="B2598" s="13"/>
      <c r="C2598" s="14"/>
      <c r="D2598" s="14"/>
      <c r="E2598" s="13"/>
      <c r="F2598" s="15"/>
      <c r="G2598" s="16" t="str">
        <f aca="false">IF(OR(B2598="",A2598=""),"",C2598*IFERROR(INDEX(Kişiler!$B$5:$B$44,MATCH(B2598,Kişiler!$A$5:$A$44,0)),0)+D2598*IFERROR(INDEX(Kişiler!$C$5:$C$44,MATCH(B2598,Kişiler!$A$5:$A$44,0)),0))</f>
        <v/>
      </c>
    </row>
    <row r="2599" customFormat="false" ht="15" hidden="false" customHeight="false" outlineLevel="0" collapsed="false">
      <c r="A2599" s="12"/>
      <c r="B2599" s="13"/>
      <c r="C2599" s="14"/>
      <c r="D2599" s="14"/>
      <c r="E2599" s="13"/>
      <c r="F2599" s="15"/>
      <c r="G2599" s="16" t="str">
        <f aca="false">IF(OR(B2599="",A2599=""),"",C2599*IFERROR(INDEX(Kişiler!$B$5:$B$44,MATCH(B2599,Kişiler!$A$5:$A$44,0)),0)+D2599*IFERROR(INDEX(Kişiler!$C$5:$C$44,MATCH(B2599,Kişiler!$A$5:$A$44,0)),0))</f>
        <v/>
      </c>
    </row>
    <row r="2600" customFormat="false" ht="15" hidden="false" customHeight="false" outlineLevel="0" collapsed="false">
      <c r="A2600" s="12"/>
      <c r="B2600" s="13"/>
      <c r="C2600" s="14"/>
      <c r="D2600" s="14"/>
      <c r="E2600" s="13"/>
      <c r="F2600" s="15"/>
      <c r="G2600" s="16" t="str">
        <f aca="false">IF(OR(B2600="",A2600=""),"",C2600*IFERROR(INDEX(Kişiler!$B$5:$B$44,MATCH(B2600,Kişiler!$A$5:$A$44,0)),0)+D2600*IFERROR(INDEX(Kişiler!$C$5:$C$44,MATCH(B2600,Kişiler!$A$5:$A$44,0)),0))</f>
        <v/>
      </c>
    </row>
    <row r="2601" customFormat="false" ht="15" hidden="false" customHeight="false" outlineLevel="0" collapsed="false">
      <c r="A2601" s="12"/>
      <c r="B2601" s="13"/>
      <c r="C2601" s="14"/>
      <c r="D2601" s="14"/>
      <c r="E2601" s="13"/>
      <c r="F2601" s="15"/>
      <c r="G2601" s="16" t="str">
        <f aca="false">IF(OR(B2601="",A2601=""),"",C2601*IFERROR(INDEX(Kişiler!$B$5:$B$44,MATCH(B2601,Kişiler!$A$5:$A$44,0)),0)+D2601*IFERROR(INDEX(Kişiler!$C$5:$C$44,MATCH(B2601,Kişiler!$A$5:$A$44,0)),0))</f>
        <v/>
      </c>
    </row>
    <row r="2602" customFormat="false" ht="15" hidden="false" customHeight="false" outlineLevel="0" collapsed="false">
      <c r="A2602" s="12"/>
      <c r="B2602" s="13"/>
      <c r="C2602" s="14"/>
      <c r="D2602" s="14"/>
      <c r="E2602" s="13"/>
      <c r="F2602" s="15"/>
      <c r="G2602" s="16" t="str">
        <f aca="false">IF(OR(B2602="",A2602=""),"",C2602*IFERROR(INDEX(Kişiler!$B$5:$B$44,MATCH(B2602,Kişiler!$A$5:$A$44,0)),0)+D2602*IFERROR(INDEX(Kişiler!$C$5:$C$44,MATCH(B2602,Kişiler!$A$5:$A$44,0)),0))</f>
        <v/>
      </c>
    </row>
    <row r="2603" customFormat="false" ht="15" hidden="false" customHeight="false" outlineLevel="0" collapsed="false">
      <c r="A2603" s="12"/>
      <c r="B2603" s="13"/>
      <c r="C2603" s="14"/>
      <c r="D2603" s="14"/>
      <c r="E2603" s="13"/>
      <c r="F2603" s="15"/>
      <c r="G2603" s="16" t="str">
        <f aca="false">IF(OR(B2603="",A2603=""),"",C2603*IFERROR(INDEX(Kişiler!$B$5:$B$44,MATCH(B2603,Kişiler!$A$5:$A$44,0)),0)+D2603*IFERROR(INDEX(Kişiler!$C$5:$C$44,MATCH(B2603,Kişiler!$A$5:$A$44,0)),0))</f>
        <v/>
      </c>
    </row>
    <row r="2604" customFormat="false" ht="15" hidden="false" customHeight="false" outlineLevel="0" collapsed="false">
      <c r="A2604" s="12"/>
      <c r="B2604" s="13"/>
      <c r="C2604" s="14"/>
      <c r="D2604" s="14"/>
      <c r="E2604" s="13"/>
      <c r="F2604" s="15"/>
      <c r="G2604" s="16" t="str">
        <f aca="false">IF(OR(B2604="",A2604=""),"",C2604*IFERROR(INDEX(Kişiler!$B$5:$B$44,MATCH(B2604,Kişiler!$A$5:$A$44,0)),0)+D2604*IFERROR(INDEX(Kişiler!$C$5:$C$44,MATCH(B2604,Kişiler!$A$5:$A$44,0)),0))</f>
        <v/>
      </c>
    </row>
    <row r="2605" customFormat="false" ht="15" hidden="false" customHeight="false" outlineLevel="0" collapsed="false">
      <c r="A2605" s="12"/>
      <c r="B2605" s="13"/>
      <c r="C2605" s="14"/>
      <c r="D2605" s="14"/>
      <c r="E2605" s="13"/>
      <c r="F2605" s="15"/>
      <c r="G2605" s="16" t="str">
        <f aca="false">IF(OR(B2605="",A2605=""),"",C2605*IFERROR(INDEX(Kişiler!$B$5:$B$44,MATCH(B2605,Kişiler!$A$5:$A$44,0)),0)+D2605*IFERROR(INDEX(Kişiler!$C$5:$C$44,MATCH(B2605,Kişiler!$A$5:$A$44,0)),0))</f>
        <v/>
      </c>
    </row>
    <row r="2606" customFormat="false" ht="15" hidden="false" customHeight="false" outlineLevel="0" collapsed="false">
      <c r="A2606" s="12"/>
      <c r="B2606" s="13"/>
      <c r="C2606" s="14"/>
      <c r="D2606" s="14"/>
      <c r="E2606" s="13"/>
      <c r="F2606" s="15"/>
      <c r="G2606" s="16" t="str">
        <f aca="false">IF(OR(B2606="",A2606=""),"",C2606*IFERROR(INDEX(Kişiler!$B$5:$B$44,MATCH(B2606,Kişiler!$A$5:$A$44,0)),0)+D2606*IFERROR(INDEX(Kişiler!$C$5:$C$44,MATCH(B2606,Kişiler!$A$5:$A$44,0)),0))</f>
        <v/>
      </c>
    </row>
    <row r="2607" customFormat="false" ht="15" hidden="false" customHeight="false" outlineLevel="0" collapsed="false">
      <c r="A2607" s="12"/>
      <c r="B2607" s="13"/>
      <c r="C2607" s="14"/>
      <c r="D2607" s="14"/>
      <c r="E2607" s="13"/>
      <c r="F2607" s="15"/>
      <c r="G2607" s="16" t="str">
        <f aca="false">IF(OR(B2607="",A2607=""),"",C2607*IFERROR(INDEX(Kişiler!$B$5:$B$44,MATCH(B2607,Kişiler!$A$5:$A$44,0)),0)+D2607*IFERROR(INDEX(Kişiler!$C$5:$C$44,MATCH(B2607,Kişiler!$A$5:$A$44,0)),0))</f>
        <v/>
      </c>
    </row>
    <row r="2608" customFormat="false" ht="15" hidden="false" customHeight="false" outlineLevel="0" collapsed="false">
      <c r="A2608" s="12"/>
      <c r="B2608" s="13"/>
      <c r="C2608" s="14"/>
      <c r="D2608" s="14"/>
      <c r="E2608" s="13"/>
      <c r="F2608" s="15"/>
      <c r="G2608" s="16" t="str">
        <f aca="false">IF(OR(B2608="",A2608=""),"",C2608*IFERROR(INDEX(Kişiler!$B$5:$B$44,MATCH(B2608,Kişiler!$A$5:$A$44,0)),0)+D2608*IFERROR(INDEX(Kişiler!$C$5:$C$44,MATCH(B2608,Kişiler!$A$5:$A$44,0)),0))</f>
        <v/>
      </c>
    </row>
    <row r="2609" customFormat="false" ht="15" hidden="false" customHeight="false" outlineLevel="0" collapsed="false">
      <c r="A2609" s="12"/>
      <c r="B2609" s="13"/>
      <c r="C2609" s="14"/>
      <c r="D2609" s="14"/>
      <c r="E2609" s="13"/>
      <c r="F2609" s="15"/>
      <c r="G2609" s="16" t="str">
        <f aca="false">IF(OR(B2609="",A2609=""),"",C2609*IFERROR(INDEX(Kişiler!$B$5:$B$44,MATCH(B2609,Kişiler!$A$5:$A$44,0)),0)+D2609*IFERROR(INDEX(Kişiler!$C$5:$C$44,MATCH(B2609,Kişiler!$A$5:$A$44,0)),0))</f>
        <v/>
      </c>
    </row>
    <row r="2610" customFormat="false" ht="15" hidden="false" customHeight="false" outlineLevel="0" collapsed="false">
      <c r="A2610" s="12"/>
      <c r="B2610" s="13"/>
      <c r="C2610" s="14"/>
      <c r="D2610" s="14"/>
      <c r="E2610" s="13"/>
      <c r="F2610" s="15"/>
      <c r="G2610" s="16" t="str">
        <f aca="false">IF(OR(B2610="",A2610=""),"",C2610*IFERROR(INDEX(Kişiler!$B$5:$B$44,MATCH(B2610,Kişiler!$A$5:$A$44,0)),0)+D2610*IFERROR(INDEX(Kişiler!$C$5:$C$44,MATCH(B2610,Kişiler!$A$5:$A$44,0)),0))</f>
        <v/>
      </c>
    </row>
    <row r="2611" customFormat="false" ht="15" hidden="false" customHeight="false" outlineLevel="0" collapsed="false">
      <c r="A2611" s="12"/>
      <c r="B2611" s="13"/>
      <c r="C2611" s="14"/>
      <c r="D2611" s="14"/>
      <c r="E2611" s="13"/>
      <c r="F2611" s="15"/>
      <c r="G2611" s="16" t="str">
        <f aca="false">IF(OR(B2611="",A2611=""),"",C2611*IFERROR(INDEX(Kişiler!$B$5:$B$44,MATCH(B2611,Kişiler!$A$5:$A$44,0)),0)+D2611*IFERROR(INDEX(Kişiler!$C$5:$C$44,MATCH(B2611,Kişiler!$A$5:$A$44,0)),0))</f>
        <v/>
      </c>
    </row>
    <row r="2612" customFormat="false" ht="15" hidden="false" customHeight="false" outlineLevel="0" collapsed="false">
      <c r="A2612" s="12"/>
      <c r="B2612" s="13"/>
      <c r="C2612" s="14"/>
      <c r="D2612" s="14"/>
      <c r="E2612" s="13"/>
      <c r="F2612" s="15"/>
      <c r="G2612" s="16" t="str">
        <f aca="false">IF(OR(B2612="",A2612=""),"",C2612*IFERROR(INDEX(Kişiler!$B$5:$B$44,MATCH(B2612,Kişiler!$A$5:$A$44,0)),0)+D2612*IFERROR(INDEX(Kişiler!$C$5:$C$44,MATCH(B2612,Kişiler!$A$5:$A$44,0)),0))</f>
        <v/>
      </c>
    </row>
    <row r="2613" customFormat="false" ht="15" hidden="false" customHeight="false" outlineLevel="0" collapsed="false">
      <c r="A2613" s="12"/>
      <c r="B2613" s="13"/>
      <c r="C2613" s="14"/>
      <c r="D2613" s="14"/>
      <c r="E2613" s="13"/>
      <c r="F2613" s="15"/>
      <c r="G2613" s="16" t="str">
        <f aca="false">IF(OR(B2613="",A2613=""),"",C2613*IFERROR(INDEX(Kişiler!$B$5:$B$44,MATCH(B2613,Kişiler!$A$5:$A$44,0)),0)+D2613*IFERROR(INDEX(Kişiler!$C$5:$C$44,MATCH(B2613,Kişiler!$A$5:$A$44,0)),0))</f>
        <v/>
      </c>
    </row>
    <row r="2614" customFormat="false" ht="15" hidden="false" customHeight="false" outlineLevel="0" collapsed="false">
      <c r="A2614" s="12"/>
      <c r="B2614" s="13"/>
      <c r="C2614" s="14"/>
      <c r="D2614" s="14"/>
      <c r="E2614" s="13"/>
      <c r="F2614" s="15"/>
      <c r="G2614" s="16" t="str">
        <f aca="false">IF(OR(B2614="",A2614=""),"",C2614*IFERROR(INDEX(Kişiler!$B$5:$B$44,MATCH(B2614,Kişiler!$A$5:$A$44,0)),0)+D2614*IFERROR(INDEX(Kişiler!$C$5:$C$44,MATCH(B2614,Kişiler!$A$5:$A$44,0)),0))</f>
        <v/>
      </c>
    </row>
    <row r="2615" customFormat="false" ht="15" hidden="false" customHeight="false" outlineLevel="0" collapsed="false">
      <c r="A2615" s="12"/>
      <c r="B2615" s="13"/>
      <c r="C2615" s="14"/>
      <c r="D2615" s="14"/>
      <c r="E2615" s="13"/>
      <c r="F2615" s="15"/>
      <c r="G2615" s="16" t="str">
        <f aca="false">IF(OR(B2615="",A2615=""),"",C2615*IFERROR(INDEX(Kişiler!$B$5:$B$44,MATCH(B2615,Kişiler!$A$5:$A$44,0)),0)+D2615*IFERROR(INDEX(Kişiler!$C$5:$C$44,MATCH(B2615,Kişiler!$A$5:$A$44,0)),0))</f>
        <v/>
      </c>
    </row>
    <row r="2616" customFormat="false" ht="15" hidden="false" customHeight="false" outlineLevel="0" collapsed="false">
      <c r="A2616" s="12"/>
      <c r="B2616" s="13"/>
      <c r="C2616" s="14"/>
      <c r="D2616" s="14"/>
      <c r="E2616" s="13"/>
      <c r="F2616" s="15"/>
      <c r="G2616" s="16" t="str">
        <f aca="false">IF(OR(B2616="",A2616=""),"",C2616*IFERROR(INDEX(Kişiler!$B$5:$B$44,MATCH(B2616,Kişiler!$A$5:$A$44,0)),0)+D2616*IFERROR(INDEX(Kişiler!$C$5:$C$44,MATCH(B2616,Kişiler!$A$5:$A$44,0)),0))</f>
        <v/>
      </c>
    </row>
    <row r="2617" customFormat="false" ht="15" hidden="false" customHeight="false" outlineLevel="0" collapsed="false">
      <c r="A2617" s="12"/>
      <c r="B2617" s="13"/>
      <c r="C2617" s="14"/>
      <c r="D2617" s="14"/>
      <c r="E2617" s="13"/>
      <c r="F2617" s="15"/>
      <c r="G2617" s="16" t="str">
        <f aca="false">IF(OR(B2617="",A2617=""),"",C2617*IFERROR(INDEX(Kişiler!$B$5:$B$44,MATCH(B2617,Kişiler!$A$5:$A$44,0)),0)+D2617*IFERROR(INDEX(Kişiler!$C$5:$C$44,MATCH(B2617,Kişiler!$A$5:$A$44,0)),0))</f>
        <v/>
      </c>
    </row>
    <row r="2618" customFormat="false" ht="15" hidden="false" customHeight="false" outlineLevel="0" collapsed="false">
      <c r="A2618" s="12"/>
      <c r="B2618" s="13"/>
      <c r="C2618" s="14"/>
      <c r="D2618" s="14"/>
      <c r="E2618" s="13"/>
      <c r="F2618" s="15"/>
      <c r="G2618" s="16" t="str">
        <f aca="false">IF(OR(B2618="",A2618=""),"",C2618*IFERROR(INDEX(Kişiler!$B$5:$B$44,MATCH(B2618,Kişiler!$A$5:$A$44,0)),0)+D2618*IFERROR(INDEX(Kişiler!$C$5:$C$44,MATCH(B2618,Kişiler!$A$5:$A$44,0)),0))</f>
        <v/>
      </c>
    </row>
    <row r="2619" customFormat="false" ht="15" hidden="false" customHeight="false" outlineLevel="0" collapsed="false">
      <c r="A2619" s="12"/>
      <c r="B2619" s="13"/>
      <c r="C2619" s="14"/>
      <c r="D2619" s="14"/>
      <c r="E2619" s="13"/>
      <c r="F2619" s="15"/>
      <c r="G2619" s="16" t="str">
        <f aca="false">IF(OR(B2619="",A2619=""),"",C2619*IFERROR(INDEX(Kişiler!$B$5:$B$44,MATCH(B2619,Kişiler!$A$5:$A$44,0)),0)+D2619*IFERROR(INDEX(Kişiler!$C$5:$C$44,MATCH(B2619,Kişiler!$A$5:$A$44,0)),0))</f>
        <v/>
      </c>
    </row>
    <row r="2620" customFormat="false" ht="15" hidden="false" customHeight="false" outlineLevel="0" collapsed="false">
      <c r="A2620" s="12"/>
      <c r="B2620" s="13"/>
      <c r="C2620" s="14"/>
      <c r="D2620" s="14"/>
      <c r="E2620" s="13"/>
      <c r="F2620" s="15"/>
      <c r="G2620" s="16" t="str">
        <f aca="false">IF(OR(B2620="",A2620=""),"",C2620*IFERROR(INDEX(Kişiler!$B$5:$B$44,MATCH(B2620,Kişiler!$A$5:$A$44,0)),0)+D2620*IFERROR(INDEX(Kişiler!$C$5:$C$44,MATCH(B2620,Kişiler!$A$5:$A$44,0)),0))</f>
        <v/>
      </c>
    </row>
    <row r="2621" customFormat="false" ht="15" hidden="false" customHeight="false" outlineLevel="0" collapsed="false">
      <c r="A2621" s="12"/>
      <c r="B2621" s="13"/>
      <c r="C2621" s="14"/>
      <c r="D2621" s="14"/>
      <c r="E2621" s="13"/>
      <c r="F2621" s="15"/>
      <c r="G2621" s="16" t="str">
        <f aca="false">IF(OR(B2621="",A2621=""),"",C2621*IFERROR(INDEX(Kişiler!$B$5:$B$44,MATCH(B2621,Kişiler!$A$5:$A$44,0)),0)+D2621*IFERROR(INDEX(Kişiler!$C$5:$C$44,MATCH(B2621,Kişiler!$A$5:$A$44,0)),0))</f>
        <v/>
      </c>
    </row>
    <row r="2622" customFormat="false" ht="15" hidden="false" customHeight="false" outlineLevel="0" collapsed="false">
      <c r="A2622" s="12"/>
      <c r="B2622" s="13"/>
      <c r="C2622" s="14"/>
      <c r="D2622" s="14"/>
      <c r="E2622" s="13"/>
      <c r="F2622" s="15"/>
      <c r="G2622" s="16" t="str">
        <f aca="false">IF(OR(B2622="",A2622=""),"",C2622*IFERROR(INDEX(Kişiler!$B$5:$B$44,MATCH(B2622,Kişiler!$A$5:$A$44,0)),0)+D2622*IFERROR(INDEX(Kişiler!$C$5:$C$44,MATCH(B2622,Kişiler!$A$5:$A$44,0)),0))</f>
        <v/>
      </c>
    </row>
    <row r="2623" customFormat="false" ht="15" hidden="false" customHeight="false" outlineLevel="0" collapsed="false">
      <c r="A2623" s="12"/>
      <c r="B2623" s="13"/>
      <c r="C2623" s="14"/>
      <c r="D2623" s="14"/>
      <c r="E2623" s="13"/>
      <c r="F2623" s="15"/>
      <c r="G2623" s="16" t="str">
        <f aca="false">IF(OR(B2623="",A2623=""),"",C2623*IFERROR(INDEX(Kişiler!$B$5:$B$44,MATCH(B2623,Kişiler!$A$5:$A$44,0)),0)+D2623*IFERROR(INDEX(Kişiler!$C$5:$C$44,MATCH(B2623,Kişiler!$A$5:$A$44,0)),0))</f>
        <v/>
      </c>
    </row>
    <row r="2624" customFormat="false" ht="15" hidden="false" customHeight="false" outlineLevel="0" collapsed="false">
      <c r="A2624" s="12"/>
      <c r="B2624" s="13"/>
      <c r="C2624" s="14"/>
      <c r="D2624" s="14"/>
      <c r="E2624" s="13"/>
      <c r="F2624" s="15"/>
      <c r="G2624" s="16" t="str">
        <f aca="false">IF(OR(B2624="",A2624=""),"",C2624*IFERROR(INDEX(Kişiler!$B$5:$B$44,MATCH(B2624,Kişiler!$A$5:$A$44,0)),0)+D2624*IFERROR(INDEX(Kişiler!$C$5:$C$44,MATCH(B2624,Kişiler!$A$5:$A$44,0)),0))</f>
        <v/>
      </c>
    </row>
    <row r="2625" customFormat="false" ht="15" hidden="false" customHeight="false" outlineLevel="0" collapsed="false">
      <c r="A2625" s="12"/>
      <c r="B2625" s="13"/>
      <c r="C2625" s="14"/>
      <c r="D2625" s="14"/>
      <c r="E2625" s="13"/>
      <c r="F2625" s="15"/>
      <c r="G2625" s="16" t="str">
        <f aca="false">IF(OR(B2625="",A2625=""),"",C2625*IFERROR(INDEX(Kişiler!$B$5:$B$44,MATCH(B2625,Kişiler!$A$5:$A$44,0)),0)+D2625*IFERROR(INDEX(Kişiler!$C$5:$C$44,MATCH(B2625,Kişiler!$A$5:$A$44,0)),0))</f>
        <v/>
      </c>
    </row>
    <row r="2626" customFormat="false" ht="15" hidden="false" customHeight="false" outlineLevel="0" collapsed="false">
      <c r="A2626" s="12"/>
      <c r="B2626" s="13"/>
      <c r="C2626" s="14"/>
      <c r="D2626" s="14"/>
      <c r="E2626" s="13"/>
      <c r="F2626" s="15"/>
      <c r="G2626" s="16" t="str">
        <f aca="false">IF(OR(B2626="",A2626=""),"",C2626*IFERROR(INDEX(Kişiler!$B$5:$B$44,MATCH(B2626,Kişiler!$A$5:$A$44,0)),0)+D2626*IFERROR(INDEX(Kişiler!$C$5:$C$44,MATCH(B2626,Kişiler!$A$5:$A$44,0)),0))</f>
        <v/>
      </c>
    </row>
    <row r="2627" customFormat="false" ht="15" hidden="false" customHeight="false" outlineLevel="0" collapsed="false">
      <c r="A2627" s="12"/>
      <c r="B2627" s="13"/>
      <c r="C2627" s="14"/>
      <c r="D2627" s="14"/>
      <c r="E2627" s="13"/>
      <c r="F2627" s="15"/>
      <c r="G2627" s="16" t="str">
        <f aca="false">IF(OR(B2627="",A2627=""),"",C2627*IFERROR(INDEX(Kişiler!$B$5:$B$44,MATCH(B2627,Kişiler!$A$5:$A$44,0)),0)+D2627*IFERROR(INDEX(Kişiler!$C$5:$C$44,MATCH(B2627,Kişiler!$A$5:$A$44,0)),0))</f>
        <v/>
      </c>
    </row>
    <row r="2628" customFormat="false" ht="15" hidden="false" customHeight="false" outlineLevel="0" collapsed="false">
      <c r="A2628" s="12"/>
      <c r="B2628" s="13"/>
      <c r="C2628" s="14"/>
      <c r="D2628" s="14"/>
      <c r="E2628" s="13"/>
      <c r="F2628" s="15"/>
      <c r="G2628" s="16" t="str">
        <f aca="false">IF(OR(B2628="",A2628=""),"",C2628*IFERROR(INDEX(Kişiler!$B$5:$B$44,MATCH(B2628,Kişiler!$A$5:$A$44,0)),0)+D2628*IFERROR(INDEX(Kişiler!$C$5:$C$44,MATCH(B2628,Kişiler!$A$5:$A$44,0)),0))</f>
        <v/>
      </c>
    </row>
    <row r="2629" customFormat="false" ht="15" hidden="false" customHeight="false" outlineLevel="0" collapsed="false">
      <c r="A2629" s="12"/>
      <c r="B2629" s="13"/>
      <c r="C2629" s="14"/>
      <c r="D2629" s="14"/>
      <c r="E2629" s="13"/>
      <c r="F2629" s="15"/>
      <c r="G2629" s="16" t="str">
        <f aca="false">IF(OR(B2629="",A2629=""),"",C2629*IFERROR(INDEX(Kişiler!$B$5:$B$44,MATCH(B2629,Kişiler!$A$5:$A$44,0)),0)+D2629*IFERROR(INDEX(Kişiler!$C$5:$C$44,MATCH(B2629,Kişiler!$A$5:$A$44,0)),0))</f>
        <v/>
      </c>
    </row>
    <row r="2630" customFormat="false" ht="15" hidden="false" customHeight="false" outlineLevel="0" collapsed="false">
      <c r="A2630" s="12"/>
      <c r="B2630" s="13"/>
      <c r="C2630" s="14"/>
      <c r="D2630" s="14"/>
      <c r="E2630" s="13"/>
      <c r="F2630" s="15"/>
      <c r="G2630" s="16" t="str">
        <f aca="false">IF(OR(B2630="",A2630=""),"",C2630*IFERROR(INDEX(Kişiler!$B$5:$B$44,MATCH(B2630,Kişiler!$A$5:$A$44,0)),0)+D2630*IFERROR(INDEX(Kişiler!$C$5:$C$44,MATCH(B2630,Kişiler!$A$5:$A$44,0)),0))</f>
        <v/>
      </c>
    </row>
    <row r="2631" customFormat="false" ht="15" hidden="false" customHeight="false" outlineLevel="0" collapsed="false">
      <c r="A2631" s="12"/>
      <c r="B2631" s="13"/>
      <c r="C2631" s="14"/>
      <c r="D2631" s="14"/>
      <c r="E2631" s="13"/>
      <c r="F2631" s="15"/>
      <c r="G2631" s="16" t="str">
        <f aca="false">IF(OR(B2631="",A2631=""),"",C2631*IFERROR(INDEX(Kişiler!$B$5:$B$44,MATCH(B2631,Kişiler!$A$5:$A$44,0)),0)+D2631*IFERROR(INDEX(Kişiler!$C$5:$C$44,MATCH(B2631,Kişiler!$A$5:$A$44,0)),0))</f>
        <v/>
      </c>
    </row>
    <row r="2632" customFormat="false" ht="15" hidden="false" customHeight="false" outlineLevel="0" collapsed="false">
      <c r="A2632" s="12"/>
      <c r="B2632" s="13"/>
      <c r="C2632" s="14"/>
      <c r="D2632" s="14"/>
      <c r="E2632" s="13"/>
      <c r="F2632" s="15"/>
      <c r="G2632" s="16" t="str">
        <f aca="false">IF(OR(B2632="",A2632=""),"",C2632*IFERROR(INDEX(Kişiler!$B$5:$B$44,MATCH(B2632,Kişiler!$A$5:$A$44,0)),0)+D2632*IFERROR(INDEX(Kişiler!$C$5:$C$44,MATCH(B2632,Kişiler!$A$5:$A$44,0)),0))</f>
        <v/>
      </c>
    </row>
    <row r="2633" customFormat="false" ht="15" hidden="false" customHeight="false" outlineLevel="0" collapsed="false">
      <c r="A2633" s="12"/>
      <c r="B2633" s="13"/>
      <c r="C2633" s="14"/>
      <c r="D2633" s="14"/>
      <c r="E2633" s="13"/>
      <c r="F2633" s="15"/>
      <c r="G2633" s="16" t="str">
        <f aca="false">IF(OR(B2633="",A2633=""),"",C2633*IFERROR(INDEX(Kişiler!$B$5:$B$44,MATCH(B2633,Kişiler!$A$5:$A$44,0)),0)+D2633*IFERROR(INDEX(Kişiler!$C$5:$C$44,MATCH(B2633,Kişiler!$A$5:$A$44,0)),0))</f>
        <v/>
      </c>
    </row>
    <row r="2634" customFormat="false" ht="15" hidden="false" customHeight="false" outlineLevel="0" collapsed="false">
      <c r="A2634" s="12"/>
      <c r="B2634" s="13"/>
      <c r="C2634" s="14"/>
      <c r="D2634" s="14"/>
      <c r="E2634" s="13"/>
      <c r="F2634" s="15"/>
      <c r="G2634" s="16" t="str">
        <f aca="false">IF(OR(B2634="",A2634=""),"",C2634*IFERROR(INDEX(Kişiler!$B$5:$B$44,MATCH(B2634,Kişiler!$A$5:$A$44,0)),0)+D2634*IFERROR(INDEX(Kişiler!$C$5:$C$44,MATCH(B2634,Kişiler!$A$5:$A$44,0)),0))</f>
        <v/>
      </c>
    </row>
    <row r="2635" customFormat="false" ht="15" hidden="false" customHeight="false" outlineLevel="0" collapsed="false">
      <c r="A2635" s="12"/>
      <c r="B2635" s="13"/>
      <c r="C2635" s="14"/>
      <c r="D2635" s="14"/>
      <c r="E2635" s="13"/>
      <c r="F2635" s="15"/>
      <c r="G2635" s="16" t="str">
        <f aca="false">IF(OR(B2635="",A2635=""),"",C2635*IFERROR(INDEX(Kişiler!$B$5:$B$44,MATCH(B2635,Kişiler!$A$5:$A$44,0)),0)+D2635*IFERROR(INDEX(Kişiler!$C$5:$C$44,MATCH(B2635,Kişiler!$A$5:$A$44,0)),0))</f>
        <v/>
      </c>
    </row>
    <row r="2636" customFormat="false" ht="15" hidden="false" customHeight="false" outlineLevel="0" collapsed="false">
      <c r="A2636" s="12"/>
      <c r="B2636" s="13"/>
      <c r="C2636" s="14"/>
      <c r="D2636" s="14"/>
      <c r="E2636" s="13"/>
      <c r="F2636" s="15"/>
      <c r="G2636" s="16" t="str">
        <f aca="false">IF(OR(B2636="",A2636=""),"",C2636*IFERROR(INDEX(Kişiler!$B$5:$B$44,MATCH(B2636,Kişiler!$A$5:$A$44,0)),0)+D2636*IFERROR(INDEX(Kişiler!$C$5:$C$44,MATCH(B2636,Kişiler!$A$5:$A$44,0)),0))</f>
        <v/>
      </c>
    </row>
    <row r="2637" customFormat="false" ht="15" hidden="false" customHeight="false" outlineLevel="0" collapsed="false">
      <c r="A2637" s="12"/>
      <c r="B2637" s="13"/>
      <c r="C2637" s="14"/>
      <c r="D2637" s="14"/>
      <c r="E2637" s="13"/>
      <c r="F2637" s="15"/>
      <c r="G2637" s="16" t="str">
        <f aca="false">IF(OR(B2637="",A2637=""),"",C2637*IFERROR(INDEX(Kişiler!$B$5:$B$44,MATCH(B2637,Kişiler!$A$5:$A$44,0)),0)+D2637*IFERROR(INDEX(Kişiler!$C$5:$C$44,MATCH(B2637,Kişiler!$A$5:$A$44,0)),0))</f>
        <v/>
      </c>
    </row>
    <row r="2638" customFormat="false" ht="15" hidden="false" customHeight="false" outlineLevel="0" collapsed="false">
      <c r="A2638" s="12"/>
      <c r="B2638" s="13"/>
      <c r="C2638" s="14"/>
      <c r="D2638" s="14"/>
      <c r="E2638" s="13"/>
      <c r="F2638" s="15"/>
      <c r="G2638" s="16" t="str">
        <f aca="false">IF(OR(B2638="",A2638=""),"",C2638*IFERROR(INDEX(Kişiler!$B$5:$B$44,MATCH(B2638,Kişiler!$A$5:$A$44,0)),0)+D2638*IFERROR(INDEX(Kişiler!$C$5:$C$44,MATCH(B2638,Kişiler!$A$5:$A$44,0)),0))</f>
        <v/>
      </c>
    </row>
    <row r="2639" customFormat="false" ht="15" hidden="false" customHeight="false" outlineLevel="0" collapsed="false">
      <c r="A2639" s="12"/>
      <c r="B2639" s="13"/>
      <c r="C2639" s="14"/>
      <c r="D2639" s="14"/>
      <c r="E2639" s="13"/>
      <c r="F2639" s="15"/>
      <c r="G2639" s="16" t="str">
        <f aca="false">IF(OR(B2639="",A2639=""),"",C2639*IFERROR(INDEX(Kişiler!$B$5:$B$44,MATCH(B2639,Kişiler!$A$5:$A$44,0)),0)+D2639*IFERROR(INDEX(Kişiler!$C$5:$C$44,MATCH(B2639,Kişiler!$A$5:$A$44,0)),0))</f>
        <v/>
      </c>
    </row>
    <row r="2640" customFormat="false" ht="15" hidden="false" customHeight="false" outlineLevel="0" collapsed="false">
      <c r="A2640" s="12"/>
      <c r="B2640" s="13"/>
      <c r="C2640" s="14"/>
      <c r="D2640" s="14"/>
      <c r="E2640" s="13"/>
      <c r="F2640" s="15"/>
      <c r="G2640" s="16" t="str">
        <f aca="false">IF(OR(B2640="",A2640=""),"",C2640*IFERROR(INDEX(Kişiler!$B$5:$B$44,MATCH(B2640,Kişiler!$A$5:$A$44,0)),0)+D2640*IFERROR(INDEX(Kişiler!$C$5:$C$44,MATCH(B2640,Kişiler!$A$5:$A$44,0)),0))</f>
        <v/>
      </c>
    </row>
    <row r="2641" customFormat="false" ht="15" hidden="false" customHeight="false" outlineLevel="0" collapsed="false">
      <c r="A2641" s="12"/>
      <c r="B2641" s="13"/>
      <c r="C2641" s="14"/>
      <c r="D2641" s="14"/>
      <c r="E2641" s="13"/>
      <c r="F2641" s="15"/>
      <c r="G2641" s="16" t="str">
        <f aca="false">IF(OR(B2641="",A2641=""),"",C2641*IFERROR(INDEX(Kişiler!$B$5:$B$44,MATCH(B2641,Kişiler!$A$5:$A$44,0)),0)+D2641*IFERROR(INDEX(Kişiler!$C$5:$C$44,MATCH(B2641,Kişiler!$A$5:$A$44,0)),0))</f>
        <v/>
      </c>
    </row>
    <row r="2642" customFormat="false" ht="15" hidden="false" customHeight="false" outlineLevel="0" collapsed="false">
      <c r="A2642" s="12"/>
      <c r="B2642" s="13"/>
      <c r="C2642" s="14"/>
      <c r="D2642" s="14"/>
      <c r="E2642" s="13"/>
      <c r="F2642" s="15"/>
      <c r="G2642" s="16" t="str">
        <f aca="false">IF(OR(B2642="",A2642=""),"",C2642*IFERROR(INDEX(Kişiler!$B$5:$B$44,MATCH(B2642,Kişiler!$A$5:$A$44,0)),0)+D2642*IFERROR(INDEX(Kişiler!$C$5:$C$44,MATCH(B2642,Kişiler!$A$5:$A$44,0)),0))</f>
        <v/>
      </c>
    </row>
    <row r="2643" customFormat="false" ht="15" hidden="false" customHeight="false" outlineLevel="0" collapsed="false">
      <c r="A2643" s="12"/>
      <c r="B2643" s="13"/>
      <c r="C2643" s="14"/>
      <c r="D2643" s="14"/>
      <c r="E2643" s="13"/>
      <c r="F2643" s="15"/>
      <c r="G2643" s="16" t="str">
        <f aca="false">IF(OR(B2643="",A2643=""),"",C2643*IFERROR(INDEX(Kişiler!$B$5:$B$44,MATCH(B2643,Kişiler!$A$5:$A$44,0)),0)+D2643*IFERROR(INDEX(Kişiler!$C$5:$C$44,MATCH(B2643,Kişiler!$A$5:$A$44,0)),0))</f>
        <v/>
      </c>
    </row>
    <row r="2644" customFormat="false" ht="15" hidden="false" customHeight="false" outlineLevel="0" collapsed="false">
      <c r="A2644" s="12"/>
      <c r="B2644" s="13"/>
      <c r="C2644" s="14"/>
      <c r="D2644" s="14"/>
      <c r="E2644" s="13"/>
      <c r="F2644" s="15"/>
      <c r="G2644" s="16" t="str">
        <f aca="false">IF(OR(B2644="",A2644=""),"",C2644*IFERROR(INDEX(Kişiler!$B$5:$B$44,MATCH(B2644,Kişiler!$A$5:$A$44,0)),0)+D2644*IFERROR(INDEX(Kişiler!$C$5:$C$44,MATCH(B2644,Kişiler!$A$5:$A$44,0)),0))</f>
        <v/>
      </c>
    </row>
    <row r="2645" customFormat="false" ht="15" hidden="false" customHeight="false" outlineLevel="0" collapsed="false">
      <c r="A2645" s="12"/>
      <c r="B2645" s="13"/>
      <c r="C2645" s="14"/>
      <c r="D2645" s="14"/>
      <c r="E2645" s="13"/>
      <c r="F2645" s="15"/>
      <c r="G2645" s="16" t="str">
        <f aca="false">IF(OR(B2645="",A2645=""),"",C2645*IFERROR(INDEX(Kişiler!$B$5:$B$44,MATCH(B2645,Kişiler!$A$5:$A$44,0)),0)+D2645*IFERROR(INDEX(Kişiler!$C$5:$C$44,MATCH(B2645,Kişiler!$A$5:$A$44,0)),0))</f>
        <v/>
      </c>
    </row>
    <row r="2646" customFormat="false" ht="15" hidden="false" customHeight="false" outlineLevel="0" collapsed="false">
      <c r="A2646" s="12"/>
      <c r="B2646" s="13"/>
      <c r="C2646" s="14"/>
      <c r="D2646" s="14"/>
      <c r="E2646" s="13"/>
      <c r="F2646" s="15"/>
      <c r="G2646" s="16" t="str">
        <f aca="false">IF(OR(B2646="",A2646=""),"",C2646*IFERROR(INDEX(Kişiler!$B$5:$B$44,MATCH(B2646,Kişiler!$A$5:$A$44,0)),0)+D2646*IFERROR(INDEX(Kişiler!$C$5:$C$44,MATCH(B2646,Kişiler!$A$5:$A$44,0)),0))</f>
        <v/>
      </c>
    </row>
    <row r="2647" customFormat="false" ht="15" hidden="false" customHeight="false" outlineLevel="0" collapsed="false">
      <c r="A2647" s="12"/>
      <c r="B2647" s="13"/>
      <c r="C2647" s="14"/>
      <c r="D2647" s="14"/>
      <c r="E2647" s="13"/>
      <c r="F2647" s="15"/>
      <c r="G2647" s="16" t="str">
        <f aca="false">IF(OR(B2647="",A2647=""),"",C2647*IFERROR(INDEX(Kişiler!$B$5:$B$44,MATCH(B2647,Kişiler!$A$5:$A$44,0)),0)+D2647*IFERROR(INDEX(Kişiler!$C$5:$C$44,MATCH(B2647,Kişiler!$A$5:$A$44,0)),0))</f>
        <v/>
      </c>
    </row>
    <row r="2648" customFormat="false" ht="15" hidden="false" customHeight="false" outlineLevel="0" collapsed="false">
      <c r="A2648" s="12"/>
      <c r="B2648" s="13"/>
      <c r="C2648" s="14"/>
      <c r="D2648" s="14"/>
      <c r="E2648" s="13"/>
      <c r="F2648" s="15"/>
      <c r="G2648" s="16" t="str">
        <f aca="false">IF(OR(B2648="",A2648=""),"",C2648*IFERROR(INDEX(Kişiler!$B$5:$B$44,MATCH(B2648,Kişiler!$A$5:$A$44,0)),0)+D2648*IFERROR(INDEX(Kişiler!$C$5:$C$44,MATCH(B2648,Kişiler!$A$5:$A$44,0)),0))</f>
        <v/>
      </c>
    </row>
    <row r="2649" customFormat="false" ht="15" hidden="false" customHeight="false" outlineLevel="0" collapsed="false">
      <c r="A2649" s="12"/>
      <c r="B2649" s="13"/>
      <c r="C2649" s="14"/>
      <c r="D2649" s="14"/>
      <c r="E2649" s="13"/>
      <c r="F2649" s="15"/>
      <c r="G2649" s="16" t="str">
        <f aca="false">IF(OR(B2649="",A2649=""),"",C2649*IFERROR(INDEX(Kişiler!$B$5:$B$44,MATCH(B2649,Kişiler!$A$5:$A$44,0)),0)+D2649*IFERROR(INDEX(Kişiler!$C$5:$C$44,MATCH(B2649,Kişiler!$A$5:$A$44,0)),0))</f>
        <v/>
      </c>
    </row>
    <row r="2650" customFormat="false" ht="15" hidden="false" customHeight="false" outlineLevel="0" collapsed="false">
      <c r="A2650" s="12"/>
      <c r="B2650" s="13"/>
      <c r="C2650" s="14"/>
      <c r="D2650" s="14"/>
      <c r="E2650" s="13"/>
      <c r="F2650" s="15"/>
      <c r="G2650" s="16" t="str">
        <f aca="false">IF(OR(B2650="",A2650=""),"",C2650*IFERROR(INDEX(Kişiler!$B$5:$B$44,MATCH(B2650,Kişiler!$A$5:$A$44,0)),0)+D2650*IFERROR(INDEX(Kişiler!$C$5:$C$44,MATCH(B2650,Kişiler!$A$5:$A$44,0)),0))</f>
        <v/>
      </c>
    </row>
    <row r="2651" customFormat="false" ht="15" hidden="false" customHeight="false" outlineLevel="0" collapsed="false">
      <c r="A2651" s="12"/>
      <c r="B2651" s="13"/>
      <c r="C2651" s="14"/>
      <c r="D2651" s="14"/>
      <c r="E2651" s="13"/>
      <c r="F2651" s="15"/>
      <c r="G2651" s="16" t="str">
        <f aca="false">IF(OR(B2651="",A2651=""),"",C2651*IFERROR(INDEX(Kişiler!$B$5:$B$44,MATCH(B2651,Kişiler!$A$5:$A$44,0)),0)+D2651*IFERROR(INDEX(Kişiler!$C$5:$C$44,MATCH(B2651,Kişiler!$A$5:$A$44,0)),0))</f>
        <v/>
      </c>
    </row>
    <row r="2652" customFormat="false" ht="15" hidden="false" customHeight="false" outlineLevel="0" collapsed="false">
      <c r="A2652" s="12"/>
      <c r="B2652" s="13"/>
      <c r="C2652" s="14"/>
      <c r="D2652" s="14"/>
      <c r="E2652" s="13"/>
      <c r="F2652" s="15"/>
      <c r="G2652" s="16" t="str">
        <f aca="false">IF(OR(B2652="",A2652=""),"",C2652*IFERROR(INDEX(Kişiler!$B$5:$B$44,MATCH(B2652,Kişiler!$A$5:$A$44,0)),0)+D2652*IFERROR(INDEX(Kişiler!$C$5:$C$44,MATCH(B2652,Kişiler!$A$5:$A$44,0)),0))</f>
        <v/>
      </c>
    </row>
    <row r="2653" customFormat="false" ht="15" hidden="false" customHeight="false" outlineLevel="0" collapsed="false">
      <c r="A2653" s="12"/>
      <c r="B2653" s="13"/>
      <c r="C2653" s="14"/>
      <c r="D2653" s="14"/>
      <c r="E2653" s="13"/>
      <c r="F2653" s="15"/>
      <c r="G2653" s="16" t="str">
        <f aca="false">IF(OR(B2653="",A2653=""),"",C2653*IFERROR(INDEX(Kişiler!$B$5:$B$44,MATCH(B2653,Kişiler!$A$5:$A$44,0)),0)+D2653*IFERROR(INDEX(Kişiler!$C$5:$C$44,MATCH(B2653,Kişiler!$A$5:$A$44,0)),0))</f>
        <v/>
      </c>
    </row>
    <row r="2654" customFormat="false" ht="15" hidden="false" customHeight="false" outlineLevel="0" collapsed="false">
      <c r="A2654" s="12"/>
      <c r="B2654" s="13"/>
      <c r="C2654" s="14"/>
      <c r="D2654" s="14"/>
      <c r="E2654" s="13"/>
      <c r="F2654" s="15"/>
      <c r="G2654" s="16" t="str">
        <f aca="false">IF(OR(B2654="",A2654=""),"",C2654*IFERROR(INDEX(Kişiler!$B$5:$B$44,MATCH(B2654,Kişiler!$A$5:$A$44,0)),0)+D2654*IFERROR(INDEX(Kişiler!$C$5:$C$44,MATCH(B2654,Kişiler!$A$5:$A$44,0)),0))</f>
        <v/>
      </c>
    </row>
    <row r="2655" customFormat="false" ht="15" hidden="false" customHeight="false" outlineLevel="0" collapsed="false">
      <c r="A2655" s="12"/>
      <c r="B2655" s="13"/>
      <c r="C2655" s="14"/>
      <c r="D2655" s="14"/>
      <c r="E2655" s="13"/>
      <c r="F2655" s="15"/>
      <c r="G2655" s="16" t="str">
        <f aca="false">IF(OR(B2655="",A2655=""),"",C2655*IFERROR(INDEX(Kişiler!$B$5:$B$44,MATCH(B2655,Kişiler!$A$5:$A$44,0)),0)+D2655*IFERROR(INDEX(Kişiler!$C$5:$C$44,MATCH(B2655,Kişiler!$A$5:$A$44,0)),0))</f>
        <v/>
      </c>
    </row>
    <row r="2656" customFormat="false" ht="15" hidden="false" customHeight="false" outlineLevel="0" collapsed="false">
      <c r="A2656" s="12"/>
      <c r="B2656" s="13"/>
      <c r="C2656" s="14"/>
      <c r="D2656" s="14"/>
      <c r="E2656" s="13"/>
      <c r="F2656" s="15"/>
      <c r="G2656" s="16" t="str">
        <f aca="false">IF(OR(B2656="",A2656=""),"",C2656*IFERROR(INDEX(Kişiler!$B$5:$B$44,MATCH(B2656,Kişiler!$A$5:$A$44,0)),0)+D2656*IFERROR(INDEX(Kişiler!$C$5:$C$44,MATCH(B2656,Kişiler!$A$5:$A$44,0)),0))</f>
        <v/>
      </c>
    </row>
    <row r="2657" customFormat="false" ht="15" hidden="false" customHeight="false" outlineLevel="0" collapsed="false">
      <c r="A2657" s="12"/>
      <c r="B2657" s="13"/>
      <c r="C2657" s="14"/>
      <c r="D2657" s="14"/>
      <c r="E2657" s="13"/>
      <c r="F2657" s="15"/>
      <c r="G2657" s="16" t="str">
        <f aca="false">IF(OR(B2657="",A2657=""),"",C2657*IFERROR(INDEX(Kişiler!$B$5:$B$44,MATCH(B2657,Kişiler!$A$5:$A$44,0)),0)+D2657*IFERROR(INDEX(Kişiler!$C$5:$C$44,MATCH(B2657,Kişiler!$A$5:$A$44,0)),0))</f>
        <v/>
      </c>
    </row>
    <row r="2658" customFormat="false" ht="15" hidden="false" customHeight="false" outlineLevel="0" collapsed="false">
      <c r="A2658" s="12"/>
      <c r="B2658" s="13"/>
      <c r="C2658" s="14"/>
      <c r="D2658" s="14"/>
      <c r="E2658" s="13"/>
      <c r="F2658" s="15"/>
      <c r="G2658" s="16" t="str">
        <f aca="false">IF(OR(B2658="",A2658=""),"",C2658*IFERROR(INDEX(Kişiler!$B$5:$B$44,MATCH(B2658,Kişiler!$A$5:$A$44,0)),0)+D2658*IFERROR(INDEX(Kişiler!$C$5:$C$44,MATCH(B2658,Kişiler!$A$5:$A$44,0)),0))</f>
        <v/>
      </c>
    </row>
    <row r="2659" customFormat="false" ht="15" hidden="false" customHeight="false" outlineLevel="0" collapsed="false">
      <c r="A2659" s="12"/>
      <c r="B2659" s="13"/>
      <c r="C2659" s="14"/>
      <c r="D2659" s="14"/>
      <c r="E2659" s="13"/>
      <c r="F2659" s="15"/>
      <c r="G2659" s="16" t="str">
        <f aca="false">IF(OR(B2659="",A2659=""),"",C2659*IFERROR(INDEX(Kişiler!$B$5:$B$44,MATCH(B2659,Kişiler!$A$5:$A$44,0)),0)+D2659*IFERROR(INDEX(Kişiler!$C$5:$C$44,MATCH(B2659,Kişiler!$A$5:$A$44,0)),0))</f>
        <v/>
      </c>
    </row>
    <row r="2660" customFormat="false" ht="15" hidden="false" customHeight="false" outlineLevel="0" collapsed="false">
      <c r="A2660" s="12"/>
      <c r="B2660" s="13"/>
      <c r="C2660" s="14"/>
      <c r="D2660" s="14"/>
      <c r="E2660" s="13"/>
      <c r="F2660" s="15"/>
      <c r="G2660" s="16" t="str">
        <f aca="false">IF(OR(B2660="",A2660=""),"",C2660*IFERROR(INDEX(Kişiler!$B$5:$B$44,MATCH(B2660,Kişiler!$A$5:$A$44,0)),0)+D2660*IFERROR(INDEX(Kişiler!$C$5:$C$44,MATCH(B2660,Kişiler!$A$5:$A$44,0)),0))</f>
        <v/>
      </c>
    </row>
    <row r="2661" customFormat="false" ht="15" hidden="false" customHeight="false" outlineLevel="0" collapsed="false">
      <c r="A2661" s="12"/>
      <c r="B2661" s="13"/>
      <c r="C2661" s="14"/>
      <c r="D2661" s="14"/>
      <c r="E2661" s="13"/>
      <c r="F2661" s="15"/>
      <c r="G2661" s="16" t="str">
        <f aca="false">IF(OR(B2661="",A2661=""),"",C2661*IFERROR(INDEX(Kişiler!$B$5:$B$44,MATCH(B2661,Kişiler!$A$5:$A$44,0)),0)+D2661*IFERROR(INDEX(Kişiler!$C$5:$C$44,MATCH(B2661,Kişiler!$A$5:$A$44,0)),0))</f>
        <v/>
      </c>
    </row>
    <row r="2662" customFormat="false" ht="15" hidden="false" customHeight="false" outlineLevel="0" collapsed="false">
      <c r="A2662" s="12"/>
      <c r="B2662" s="13"/>
      <c r="C2662" s="14"/>
      <c r="D2662" s="14"/>
      <c r="E2662" s="13"/>
      <c r="F2662" s="15"/>
      <c r="G2662" s="16" t="str">
        <f aca="false">IF(OR(B2662="",A2662=""),"",C2662*IFERROR(INDEX(Kişiler!$B$5:$B$44,MATCH(B2662,Kişiler!$A$5:$A$44,0)),0)+D2662*IFERROR(INDEX(Kişiler!$C$5:$C$44,MATCH(B2662,Kişiler!$A$5:$A$44,0)),0))</f>
        <v/>
      </c>
    </row>
    <row r="2663" customFormat="false" ht="15" hidden="false" customHeight="false" outlineLevel="0" collapsed="false">
      <c r="A2663" s="12"/>
      <c r="B2663" s="13"/>
      <c r="C2663" s="14"/>
      <c r="D2663" s="14"/>
      <c r="E2663" s="13"/>
      <c r="F2663" s="15"/>
      <c r="G2663" s="16" t="str">
        <f aca="false">IF(OR(B2663="",A2663=""),"",C2663*IFERROR(INDEX(Kişiler!$B$5:$B$44,MATCH(B2663,Kişiler!$A$5:$A$44,0)),0)+D2663*IFERROR(INDEX(Kişiler!$C$5:$C$44,MATCH(B2663,Kişiler!$A$5:$A$44,0)),0))</f>
        <v/>
      </c>
    </row>
    <row r="2664" customFormat="false" ht="15" hidden="false" customHeight="false" outlineLevel="0" collapsed="false">
      <c r="A2664" s="12"/>
      <c r="B2664" s="13"/>
      <c r="C2664" s="14"/>
      <c r="D2664" s="14"/>
      <c r="E2664" s="13"/>
      <c r="F2664" s="15"/>
      <c r="G2664" s="16" t="str">
        <f aca="false">IF(OR(B2664="",A2664=""),"",C2664*IFERROR(INDEX(Kişiler!$B$5:$B$44,MATCH(B2664,Kişiler!$A$5:$A$44,0)),0)+D2664*IFERROR(INDEX(Kişiler!$C$5:$C$44,MATCH(B2664,Kişiler!$A$5:$A$44,0)),0))</f>
        <v/>
      </c>
    </row>
    <row r="2665" customFormat="false" ht="15" hidden="false" customHeight="false" outlineLevel="0" collapsed="false">
      <c r="A2665" s="12"/>
      <c r="B2665" s="13"/>
      <c r="C2665" s="14"/>
      <c r="D2665" s="14"/>
      <c r="E2665" s="13"/>
      <c r="F2665" s="15"/>
      <c r="G2665" s="16" t="str">
        <f aca="false">IF(OR(B2665="",A2665=""),"",C2665*IFERROR(INDEX(Kişiler!$B$5:$B$44,MATCH(B2665,Kişiler!$A$5:$A$44,0)),0)+D2665*IFERROR(INDEX(Kişiler!$C$5:$C$44,MATCH(B2665,Kişiler!$A$5:$A$44,0)),0))</f>
        <v/>
      </c>
    </row>
    <row r="2666" customFormat="false" ht="15" hidden="false" customHeight="false" outlineLevel="0" collapsed="false">
      <c r="A2666" s="12"/>
      <c r="B2666" s="13"/>
      <c r="C2666" s="14"/>
      <c r="D2666" s="14"/>
      <c r="E2666" s="13"/>
      <c r="F2666" s="15"/>
      <c r="G2666" s="16" t="str">
        <f aca="false">IF(OR(B2666="",A2666=""),"",C2666*IFERROR(INDEX(Kişiler!$B$5:$B$44,MATCH(B2666,Kişiler!$A$5:$A$44,0)),0)+D2666*IFERROR(INDEX(Kişiler!$C$5:$C$44,MATCH(B2666,Kişiler!$A$5:$A$44,0)),0))</f>
        <v/>
      </c>
    </row>
    <row r="2667" customFormat="false" ht="15" hidden="false" customHeight="false" outlineLevel="0" collapsed="false">
      <c r="A2667" s="12"/>
      <c r="B2667" s="13"/>
      <c r="C2667" s="14"/>
      <c r="D2667" s="14"/>
      <c r="E2667" s="13"/>
      <c r="F2667" s="15"/>
      <c r="G2667" s="16" t="str">
        <f aca="false">IF(OR(B2667="",A2667=""),"",C2667*IFERROR(INDEX(Kişiler!$B$5:$B$44,MATCH(B2667,Kişiler!$A$5:$A$44,0)),0)+D2667*IFERROR(INDEX(Kişiler!$C$5:$C$44,MATCH(B2667,Kişiler!$A$5:$A$44,0)),0))</f>
        <v/>
      </c>
    </row>
    <row r="2668" customFormat="false" ht="15" hidden="false" customHeight="false" outlineLevel="0" collapsed="false">
      <c r="A2668" s="12"/>
      <c r="B2668" s="13"/>
      <c r="C2668" s="14"/>
      <c r="D2668" s="14"/>
      <c r="E2668" s="13"/>
      <c r="F2668" s="15"/>
      <c r="G2668" s="16" t="str">
        <f aca="false">IF(OR(B2668="",A2668=""),"",C2668*IFERROR(INDEX(Kişiler!$B$5:$B$44,MATCH(B2668,Kişiler!$A$5:$A$44,0)),0)+D2668*IFERROR(INDEX(Kişiler!$C$5:$C$44,MATCH(B2668,Kişiler!$A$5:$A$44,0)),0))</f>
        <v/>
      </c>
    </row>
    <row r="2669" customFormat="false" ht="15" hidden="false" customHeight="false" outlineLevel="0" collapsed="false">
      <c r="A2669" s="12"/>
      <c r="B2669" s="13"/>
      <c r="C2669" s="14"/>
      <c r="D2669" s="14"/>
      <c r="E2669" s="13"/>
      <c r="F2669" s="15"/>
      <c r="G2669" s="16" t="str">
        <f aca="false">IF(OR(B2669="",A2669=""),"",C2669*IFERROR(INDEX(Kişiler!$B$5:$B$44,MATCH(B2669,Kişiler!$A$5:$A$44,0)),0)+D2669*IFERROR(INDEX(Kişiler!$C$5:$C$44,MATCH(B2669,Kişiler!$A$5:$A$44,0)),0))</f>
        <v/>
      </c>
    </row>
    <row r="2670" customFormat="false" ht="15" hidden="false" customHeight="false" outlineLevel="0" collapsed="false">
      <c r="A2670" s="12"/>
      <c r="B2670" s="13"/>
      <c r="C2670" s="14"/>
      <c r="D2670" s="14"/>
      <c r="E2670" s="13"/>
      <c r="F2670" s="15"/>
      <c r="G2670" s="16" t="str">
        <f aca="false">IF(OR(B2670="",A2670=""),"",C2670*IFERROR(INDEX(Kişiler!$B$5:$B$44,MATCH(B2670,Kişiler!$A$5:$A$44,0)),0)+D2670*IFERROR(INDEX(Kişiler!$C$5:$C$44,MATCH(B2670,Kişiler!$A$5:$A$44,0)),0))</f>
        <v/>
      </c>
    </row>
    <row r="2671" customFormat="false" ht="15" hidden="false" customHeight="false" outlineLevel="0" collapsed="false">
      <c r="A2671" s="12"/>
      <c r="B2671" s="13"/>
      <c r="C2671" s="14"/>
      <c r="D2671" s="14"/>
      <c r="E2671" s="13"/>
      <c r="F2671" s="15"/>
      <c r="G2671" s="16" t="str">
        <f aca="false">IF(OR(B2671="",A2671=""),"",C2671*IFERROR(INDEX(Kişiler!$B$5:$B$44,MATCH(B2671,Kişiler!$A$5:$A$44,0)),0)+D2671*IFERROR(INDEX(Kişiler!$C$5:$C$44,MATCH(B2671,Kişiler!$A$5:$A$44,0)),0))</f>
        <v/>
      </c>
    </row>
    <row r="2672" customFormat="false" ht="15" hidden="false" customHeight="false" outlineLevel="0" collapsed="false">
      <c r="A2672" s="12"/>
      <c r="B2672" s="13"/>
      <c r="C2672" s="14"/>
      <c r="D2672" s="14"/>
      <c r="E2672" s="13"/>
      <c r="F2672" s="15"/>
      <c r="G2672" s="16" t="str">
        <f aca="false">IF(OR(B2672="",A2672=""),"",C2672*IFERROR(INDEX(Kişiler!$B$5:$B$44,MATCH(B2672,Kişiler!$A$5:$A$44,0)),0)+D2672*IFERROR(INDEX(Kişiler!$C$5:$C$44,MATCH(B2672,Kişiler!$A$5:$A$44,0)),0))</f>
        <v/>
      </c>
    </row>
    <row r="2673" customFormat="false" ht="15" hidden="false" customHeight="false" outlineLevel="0" collapsed="false">
      <c r="A2673" s="12"/>
      <c r="B2673" s="13"/>
      <c r="C2673" s="14"/>
      <c r="D2673" s="14"/>
      <c r="E2673" s="13"/>
      <c r="F2673" s="15"/>
      <c r="G2673" s="16" t="str">
        <f aca="false">IF(OR(B2673="",A2673=""),"",C2673*IFERROR(INDEX(Kişiler!$B$5:$B$44,MATCH(B2673,Kişiler!$A$5:$A$44,0)),0)+D2673*IFERROR(INDEX(Kişiler!$C$5:$C$44,MATCH(B2673,Kişiler!$A$5:$A$44,0)),0))</f>
        <v/>
      </c>
    </row>
    <row r="2674" customFormat="false" ht="15" hidden="false" customHeight="false" outlineLevel="0" collapsed="false">
      <c r="A2674" s="12"/>
      <c r="B2674" s="13"/>
      <c r="C2674" s="14"/>
      <c r="D2674" s="14"/>
      <c r="E2674" s="13"/>
      <c r="F2674" s="15"/>
      <c r="G2674" s="16" t="str">
        <f aca="false">IF(OR(B2674="",A2674=""),"",C2674*IFERROR(INDEX(Kişiler!$B$5:$B$44,MATCH(B2674,Kişiler!$A$5:$A$44,0)),0)+D2674*IFERROR(INDEX(Kişiler!$C$5:$C$44,MATCH(B2674,Kişiler!$A$5:$A$44,0)),0))</f>
        <v/>
      </c>
    </row>
    <row r="2675" customFormat="false" ht="15" hidden="false" customHeight="false" outlineLevel="0" collapsed="false">
      <c r="A2675" s="12"/>
      <c r="B2675" s="13"/>
      <c r="C2675" s="14"/>
      <c r="D2675" s="14"/>
      <c r="E2675" s="13"/>
      <c r="F2675" s="15"/>
      <c r="G2675" s="16" t="str">
        <f aca="false">IF(OR(B2675="",A2675=""),"",C2675*IFERROR(INDEX(Kişiler!$B$5:$B$44,MATCH(B2675,Kişiler!$A$5:$A$44,0)),0)+D2675*IFERROR(INDEX(Kişiler!$C$5:$C$44,MATCH(B2675,Kişiler!$A$5:$A$44,0)),0))</f>
        <v/>
      </c>
    </row>
    <row r="2676" customFormat="false" ht="15" hidden="false" customHeight="false" outlineLevel="0" collapsed="false">
      <c r="A2676" s="12"/>
      <c r="B2676" s="13"/>
      <c r="C2676" s="14"/>
      <c r="D2676" s="14"/>
      <c r="E2676" s="13"/>
      <c r="F2676" s="15"/>
      <c r="G2676" s="16" t="str">
        <f aca="false">IF(OR(B2676="",A2676=""),"",C2676*IFERROR(INDEX(Kişiler!$B$5:$B$44,MATCH(B2676,Kişiler!$A$5:$A$44,0)),0)+D2676*IFERROR(INDEX(Kişiler!$C$5:$C$44,MATCH(B2676,Kişiler!$A$5:$A$44,0)),0))</f>
        <v/>
      </c>
    </row>
    <row r="2677" customFormat="false" ht="15" hidden="false" customHeight="false" outlineLevel="0" collapsed="false">
      <c r="A2677" s="12"/>
      <c r="B2677" s="13"/>
      <c r="C2677" s="14"/>
      <c r="D2677" s="14"/>
      <c r="E2677" s="13"/>
      <c r="F2677" s="15"/>
      <c r="G2677" s="16" t="str">
        <f aca="false">IF(OR(B2677="",A2677=""),"",C2677*IFERROR(INDEX(Kişiler!$B$5:$B$44,MATCH(B2677,Kişiler!$A$5:$A$44,0)),0)+D2677*IFERROR(INDEX(Kişiler!$C$5:$C$44,MATCH(B2677,Kişiler!$A$5:$A$44,0)),0))</f>
        <v/>
      </c>
    </row>
    <row r="2678" customFormat="false" ht="15" hidden="false" customHeight="false" outlineLevel="0" collapsed="false">
      <c r="A2678" s="12"/>
      <c r="B2678" s="13"/>
      <c r="C2678" s="14"/>
      <c r="D2678" s="14"/>
      <c r="E2678" s="13"/>
      <c r="F2678" s="15"/>
      <c r="G2678" s="16" t="str">
        <f aca="false">IF(OR(B2678="",A2678=""),"",C2678*IFERROR(INDEX(Kişiler!$B$5:$B$44,MATCH(B2678,Kişiler!$A$5:$A$44,0)),0)+D2678*IFERROR(INDEX(Kişiler!$C$5:$C$44,MATCH(B2678,Kişiler!$A$5:$A$44,0)),0))</f>
        <v/>
      </c>
    </row>
    <row r="2679" customFormat="false" ht="15" hidden="false" customHeight="false" outlineLevel="0" collapsed="false">
      <c r="A2679" s="12"/>
      <c r="B2679" s="13"/>
      <c r="C2679" s="14"/>
      <c r="D2679" s="14"/>
      <c r="E2679" s="13"/>
      <c r="F2679" s="15"/>
      <c r="G2679" s="16" t="str">
        <f aca="false">IF(OR(B2679="",A2679=""),"",C2679*IFERROR(INDEX(Kişiler!$B$5:$B$44,MATCH(B2679,Kişiler!$A$5:$A$44,0)),0)+D2679*IFERROR(INDEX(Kişiler!$C$5:$C$44,MATCH(B2679,Kişiler!$A$5:$A$44,0)),0))</f>
        <v/>
      </c>
    </row>
    <row r="2680" customFormat="false" ht="15" hidden="false" customHeight="false" outlineLevel="0" collapsed="false">
      <c r="A2680" s="12"/>
      <c r="B2680" s="13"/>
      <c r="C2680" s="14"/>
      <c r="D2680" s="14"/>
      <c r="E2680" s="13"/>
      <c r="F2680" s="15"/>
      <c r="G2680" s="16" t="str">
        <f aca="false">IF(OR(B2680="",A2680=""),"",C2680*IFERROR(INDEX(Kişiler!$B$5:$B$44,MATCH(B2680,Kişiler!$A$5:$A$44,0)),0)+D2680*IFERROR(INDEX(Kişiler!$C$5:$C$44,MATCH(B2680,Kişiler!$A$5:$A$44,0)),0))</f>
        <v/>
      </c>
    </row>
    <row r="2681" customFormat="false" ht="15" hidden="false" customHeight="false" outlineLevel="0" collapsed="false">
      <c r="A2681" s="12"/>
      <c r="B2681" s="13"/>
      <c r="C2681" s="14"/>
      <c r="D2681" s="14"/>
      <c r="E2681" s="13"/>
      <c r="F2681" s="15"/>
      <c r="G2681" s="16" t="str">
        <f aca="false">IF(OR(B2681="",A2681=""),"",C2681*IFERROR(INDEX(Kişiler!$B$5:$B$44,MATCH(B2681,Kişiler!$A$5:$A$44,0)),0)+D2681*IFERROR(INDEX(Kişiler!$C$5:$C$44,MATCH(B2681,Kişiler!$A$5:$A$44,0)),0))</f>
        <v/>
      </c>
    </row>
    <row r="2682" customFormat="false" ht="15" hidden="false" customHeight="false" outlineLevel="0" collapsed="false">
      <c r="A2682" s="12"/>
      <c r="B2682" s="13"/>
      <c r="C2682" s="14"/>
      <c r="D2682" s="14"/>
      <c r="E2682" s="13"/>
      <c r="F2682" s="15"/>
      <c r="G2682" s="16" t="str">
        <f aca="false">IF(OR(B2682="",A2682=""),"",C2682*IFERROR(INDEX(Kişiler!$B$5:$B$44,MATCH(B2682,Kişiler!$A$5:$A$44,0)),0)+D2682*IFERROR(INDEX(Kişiler!$C$5:$C$44,MATCH(B2682,Kişiler!$A$5:$A$44,0)),0))</f>
        <v/>
      </c>
    </row>
    <row r="2683" customFormat="false" ht="15" hidden="false" customHeight="false" outlineLevel="0" collapsed="false">
      <c r="A2683" s="12"/>
      <c r="B2683" s="13"/>
      <c r="C2683" s="14"/>
      <c r="D2683" s="14"/>
      <c r="E2683" s="13"/>
      <c r="F2683" s="15"/>
      <c r="G2683" s="16" t="str">
        <f aca="false">IF(OR(B2683="",A2683=""),"",C2683*IFERROR(INDEX(Kişiler!$B$5:$B$44,MATCH(B2683,Kişiler!$A$5:$A$44,0)),0)+D2683*IFERROR(INDEX(Kişiler!$C$5:$C$44,MATCH(B2683,Kişiler!$A$5:$A$44,0)),0))</f>
        <v/>
      </c>
    </row>
    <row r="2684" customFormat="false" ht="15" hidden="false" customHeight="false" outlineLevel="0" collapsed="false">
      <c r="A2684" s="12"/>
      <c r="B2684" s="13"/>
      <c r="C2684" s="14"/>
      <c r="D2684" s="14"/>
      <c r="E2684" s="13"/>
      <c r="F2684" s="15"/>
      <c r="G2684" s="16" t="str">
        <f aca="false">IF(OR(B2684="",A2684=""),"",C2684*IFERROR(INDEX(Kişiler!$B$5:$B$44,MATCH(B2684,Kişiler!$A$5:$A$44,0)),0)+D2684*IFERROR(INDEX(Kişiler!$C$5:$C$44,MATCH(B2684,Kişiler!$A$5:$A$44,0)),0))</f>
        <v/>
      </c>
    </row>
    <row r="2685" customFormat="false" ht="15" hidden="false" customHeight="false" outlineLevel="0" collapsed="false">
      <c r="A2685" s="12"/>
      <c r="B2685" s="13"/>
      <c r="C2685" s="14"/>
      <c r="D2685" s="14"/>
      <c r="E2685" s="13"/>
      <c r="F2685" s="15"/>
      <c r="G2685" s="16" t="str">
        <f aca="false">IF(OR(B2685="",A2685=""),"",C2685*IFERROR(INDEX(Kişiler!$B$5:$B$44,MATCH(B2685,Kişiler!$A$5:$A$44,0)),0)+D2685*IFERROR(INDEX(Kişiler!$C$5:$C$44,MATCH(B2685,Kişiler!$A$5:$A$44,0)),0))</f>
        <v/>
      </c>
    </row>
    <row r="2686" customFormat="false" ht="15" hidden="false" customHeight="false" outlineLevel="0" collapsed="false">
      <c r="A2686" s="12"/>
      <c r="B2686" s="13"/>
      <c r="C2686" s="14"/>
      <c r="D2686" s="14"/>
      <c r="E2686" s="13"/>
      <c r="F2686" s="15"/>
      <c r="G2686" s="16" t="str">
        <f aca="false">IF(OR(B2686="",A2686=""),"",C2686*IFERROR(INDEX(Kişiler!$B$5:$B$44,MATCH(B2686,Kişiler!$A$5:$A$44,0)),0)+D2686*IFERROR(INDEX(Kişiler!$C$5:$C$44,MATCH(B2686,Kişiler!$A$5:$A$44,0)),0))</f>
        <v/>
      </c>
    </row>
    <row r="2687" customFormat="false" ht="15" hidden="false" customHeight="false" outlineLevel="0" collapsed="false">
      <c r="A2687" s="12"/>
      <c r="B2687" s="13"/>
      <c r="C2687" s="14"/>
      <c r="D2687" s="14"/>
      <c r="E2687" s="13"/>
      <c r="F2687" s="15"/>
      <c r="G2687" s="16" t="str">
        <f aca="false">IF(OR(B2687="",A2687=""),"",C2687*IFERROR(INDEX(Kişiler!$B$5:$B$44,MATCH(B2687,Kişiler!$A$5:$A$44,0)),0)+D2687*IFERROR(INDEX(Kişiler!$C$5:$C$44,MATCH(B2687,Kişiler!$A$5:$A$44,0)),0))</f>
        <v/>
      </c>
    </row>
    <row r="2688" customFormat="false" ht="15" hidden="false" customHeight="false" outlineLevel="0" collapsed="false">
      <c r="A2688" s="12"/>
      <c r="B2688" s="13"/>
      <c r="C2688" s="14"/>
      <c r="D2688" s="14"/>
      <c r="E2688" s="13"/>
      <c r="F2688" s="15"/>
      <c r="G2688" s="16" t="str">
        <f aca="false">IF(OR(B2688="",A2688=""),"",C2688*IFERROR(INDEX(Kişiler!$B$5:$B$44,MATCH(B2688,Kişiler!$A$5:$A$44,0)),0)+D2688*IFERROR(INDEX(Kişiler!$C$5:$C$44,MATCH(B2688,Kişiler!$A$5:$A$44,0)),0))</f>
        <v/>
      </c>
    </row>
    <row r="2689" customFormat="false" ht="15" hidden="false" customHeight="false" outlineLevel="0" collapsed="false">
      <c r="A2689" s="12"/>
      <c r="B2689" s="13"/>
      <c r="C2689" s="14"/>
      <c r="D2689" s="14"/>
      <c r="E2689" s="13"/>
      <c r="F2689" s="15"/>
      <c r="G2689" s="16" t="str">
        <f aca="false">IF(OR(B2689="",A2689=""),"",C2689*IFERROR(INDEX(Kişiler!$B$5:$B$44,MATCH(B2689,Kişiler!$A$5:$A$44,0)),0)+D2689*IFERROR(INDEX(Kişiler!$C$5:$C$44,MATCH(B2689,Kişiler!$A$5:$A$44,0)),0))</f>
        <v/>
      </c>
    </row>
    <row r="2690" customFormat="false" ht="15" hidden="false" customHeight="false" outlineLevel="0" collapsed="false">
      <c r="A2690" s="12"/>
      <c r="B2690" s="13"/>
      <c r="C2690" s="14"/>
      <c r="D2690" s="14"/>
      <c r="E2690" s="13"/>
      <c r="F2690" s="15"/>
      <c r="G2690" s="16" t="str">
        <f aca="false">IF(OR(B2690="",A2690=""),"",C2690*IFERROR(INDEX(Kişiler!$B$5:$B$44,MATCH(B2690,Kişiler!$A$5:$A$44,0)),0)+D2690*IFERROR(INDEX(Kişiler!$C$5:$C$44,MATCH(B2690,Kişiler!$A$5:$A$44,0)),0))</f>
        <v/>
      </c>
    </row>
    <row r="2691" customFormat="false" ht="15" hidden="false" customHeight="false" outlineLevel="0" collapsed="false">
      <c r="A2691" s="12"/>
      <c r="B2691" s="13"/>
      <c r="C2691" s="14"/>
      <c r="D2691" s="14"/>
      <c r="E2691" s="13"/>
      <c r="F2691" s="15"/>
      <c r="G2691" s="16" t="str">
        <f aca="false">IF(OR(B2691="",A2691=""),"",C2691*IFERROR(INDEX(Kişiler!$B$5:$B$44,MATCH(B2691,Kişiler!$A$5:$A$44,0)),0)+D2691*IFERROR(INDEX(Kişiler!$C$5:$C$44,MATCH(B2691,Kişiler!$A$5:$A$44,0)),0))</f>
        <v/>
      </c>
    </row>
    <row r="2692" customFormat="false" ht="15" hidden="false" customHeight="false" outlineLevel="0" collapsed="false">
      <c r="A2692" s="12"/>
      <c r="B2692" s="13"/>
      <c r="C2692" s="14"/>
      <c r="D2692" s="14"/>
      <c r="E2692" s="13"/>
      <c r="F2692" s="15"/>
      <c r="G2692" s="16" t="str">
        <f aca="false">IF(OR(B2692="",A2692=""),"",C2692*IFERROR(INDEX(Kişiler!$B$5:$B$44,MATCH(B2692,Kişiler!$A$5:$A$44,0)),0)+D2692*IFERROR(INDEX(Kişiler!$C$5:$C$44,MATCH(B2692,Kişiler!$A$5:$A$44,0)),0))</f>
        <v/>
      </c>
    </row>
    <row r="2693" customFormat="false" ht="15" hidden="false" customHeight="false" outlineLevel="0" collapsed="false">
      <c r="A2693" s="12"/>
      <c r="B2693" s="13"/>
      <c r="C2693" s="14"/>
      <c r="D2693" s="14"/>
      <c r="E2693" s="13"/>
      <c r="F2693" s="15"/>
      <c r="G2693" s="16" t="str">
        <f aca="false">IF(OR(B2693="",A2693=""),"",C2693*IFERROR(INDEX(Kişiler!$B$5:$B$44,MATCH(B2693,Kişiler!$A$5:$A$44,0)),0)+D2693*IFERROR(INDEX(Kişiler!$C$5:$C$44,MATCH(B2693,Kişiler!$A$5:$A$44,0)),0))</f>
        <v/>
      </c>
    </row>
    <row r="2694" customFormat="false" ht="15" hidden="false" customHeight="false" outlineLevel="0" collapsed="false">
      <c r="A2694" s="12"/>
      <c r="B2694" s="13"/>
      <c r="C2694" s="14"/>
      <c r="D2694" s="14"/>
      <c r="E2694" s="13"/>
      <c r="F2694" s="15"/>
      <c r="G2694" s="16" t="str">
        <f aca="false">IF(OR(B2694="",A2694=""),"",C2694*IFERROR(INDEX(Kişiler!$B$5:$B$44,MATCH(B2694,Kişiler!$A$5:$A$44,0)),0)+D2694*IFERROR(INDEX(Kişiler!$C$5:$C$44,MATCH(B2694,Kişiler!$A$5:$A$44,0)),0))</f>
        <v/>
      </c>
    </row>
    <row r="2695" customFormat="false" ht="15" hidden="false" customHeight="false" outlineLevel="0" collapsed="false">
      <c r="A2695" s="12"/>
      <c r="B2695" s="13"/>
      <c r="C2695" s="14"/>
      <c r="D2695" s="14"/>
      <c r="E2695" s="13"/>
      <c r="F2695" s="15"/>
      <c r="G2695" s="16" t="str">
        <f aca="false">IF(OR(B2695="",A2695=""),"",C2695*IFERROR(INDEX(Kişiler!$B$5:$B$44,MATCH(B2695,Kişiler!$A$5:$A$44,0)),0)+D2695*IFERROR(INDEX(Kişiler!$C$5:$C$44,MATCH(B2695,Kişiler!$A$5:$A$44,0)),0))</f>
        <v/>
      </c>
    </row>
    <row r="2696" customFormat="false" ht="15" hidden="false" customHeight="false" outlineLevel="0" collapsed="false">
      <c r="A2696" s="12"/>
      <c r="B2696" s="13"/>
      <c r="C2696" s="14"/>
      <c r="D2696" s="14"/>
      <c r="E2696" s="13"/>
      <c r="F2696" s="15"/>
      <c r="G2696" s="16" t="str">
        <f aca="false">IF(OR(B2696="",A2696=""),"",C2696*IFERROR(INDEX(Kişiler!$B$5:$B$44,MATCH(B2696,Kişiler!$A$5:$A$44,0)),0)+D2696*IFERROR(INDEX(Kişiler!$C$5:$C$44,MATCH(B2696,Kişiler!$A$5:$A$44,0)),0))</f>
        <v/>
      </c>
    </row>
    <row r="2697" customFormat="false" ht="15" hidden="false" customHeight="false" outlineLevel="0" collapsed="false">
      <c r="A2697" s="12"/>
      <c r="B2697" s="13"/>
      <c r="C2697" s="14"/>
      <c r="D2697" s="14"/>
      <c r="E2697" s="13"/>
      <c r="F2697" s="15"/>
      <c r="G2697" s="16" t="str">
        <f aca="false">IF(OR(B2697="",A2697=""),"",C2697*IFERROR(INDEX(Kişiler!$B$5:$B$44,MATCH(B2697,Kişiler!$A$5:$A$44,0)),0)+D2697*IFERROR(INDEX(Kişiler!$C$5:$C$44,MATCH(B2697,Kişiler!$A$5:$A$44,0)),0))</f>
        <v/>
      </c>
    </row>
    <row r="2698" customFormat="false" ht="15" hidden="false" customHeight="false" outlineLevel="0" collapsed="false">
      <c r="A2698" s="12"/>
      <c r="B2698" s="13"/>
      <c r="C2698" s="14"/>
      <c r="D2698" s="14"/>
      <c r="E2698" s="13"/>
      <c r="F2698" s="15"/>
      <c r="G2698" s="16" t="str">
        <f aca="false">IF(OR(B2698="",A2698=""),"",C2698*IFERROR(INDEX(Kişiler!$B$5:$B$44,MATCH(B2698,Kişiler!$A$5:$A$44,0)),0)+D2698*IFERROR(INDEX(Kişiler!$C$5:$C$44,MATCH(B2698,Kişiler!$A$5:$A$44,0)),0))</f>
        <v/>
      </c>
    </row>
    <row r="2699" customFormat="false" ht="15" hidden="false" customHeight="false" outlineLevel="0" collapsed="false">
      <c r="A2699" s="12"/>
      <c r="B2699" s="13"/>
      <c r="C2699" s="14"/>
      <c r="D2699" s="14"/>
      <c r="E2699" s="13"/>
      <c r="F2699" s="15"/>
      <c r="G2699" s="16" t="str">
        <f aca="false">IF(OR(B2699="",A2699=""),"",C2699*IFERROR(INDEX(Kişiler!$B$5:$B$44,MATCH(B2699,Kişiler!$A$5:$A$44,0)),0)+D2699*IFERROR(INDEX(Kişiler!$C$5:$C$44,MATCH(B2699,Kişiler!$A$5:$A$44,0)),0))</f>
        <v/>
      </c>
    </row>
    <row r="2700" customFormat="false" ht="15" hidden="false" customHeight="false" outlineLevel="0" collapsed="false">
      <c r="A2700" s="12"/>
      <c r="B2700" s="13"/>
      <c r="C2700" s="14"/>
      <c r="D2700" s="14"/>
      <c r="E2700" s="13"/>
      <c r="F2700" s="15"/>
      <c r="G2700" s="16" t="str">
        <f aca="false">IF(OR(B2700="",A2700=""),"",C2700*IFERROR(INDEX(Kişiler!$B$5:$B$44,MATCH(B2700,Kişiler!$A$5:$A$44,0)),0)+D2700*IFERROR(INDEX(Kişiler!$C$5:$C$44,MATCH(B2700,Kişiler!$A$5:$A$44,0)),0))</f>
        <v/>
      </c>
    </row>
    <row r="2701" customFormat="false" ht="15" hidden="false" customHeight="false" outlineLevel="0" collapsed="false">
      <c r="A2701" s="12"/>
      <c r="B2701" s="13"/>
      <c r="C2701" s="14"/>
      <c r="D2701" s="14"/>
      <c r="E2701" s="13"/>
      <c r="F2701" s="15"/>
      <c r="G2701" s="16" t="str">
        <f aca="false">IF(OR(B2701="",A2701=""),"",C2701*IFERROR(INDEX(Kişiler!$B$5:$B$44,MATCH(B2701,Kişiler!$A$5:$A$44,0)),0)+D2701*IFERROR(INDEX(Kişiler!$C$5:$C$44,MATCH(B2701,Kişiler!$A$5:$A$44,0)),0))</f>
        <v/>
      </c>
    </row>
    <row r="2702" customFormat="false" ht="15" hidden="false" customHeight="false" outlineLevel="0" collapsed="false">
      <c r="A2702" s="12"/>
      <c r="B2702" s="13"/>
      <c r="C2702" s="14"/>
      <c r="D2702" s="14"/>
      <c r="E2702" s="13"/>
      <c r="F2702" s="15"/>
      <c r="G2702" s="16" t="str">
        <f aca="false">IF(OR(B2702="",A2702=""),"",C2702*IFERROR(INDEX(Kişiler!$B$5:$B$44,MATCH(B2702,Kişiler!$A$5:$A$44,0)),0)+D2702*IFERROR(INDEX(Kişiler!$C$5:$C$44,MATCH(B2702,Kişiler!$A$5:$A$44,0)),0))</f>
        <v/>
      </c>
    </row>
    <row r="2703" customFormat="false" ht="15" hidden="false" customHeight="false" outlineLevel="0" collapsed="false">
      <c r="A2703" s="12"/>
      <c r="B2703" s="13"/>
      <c r="C2703" s="14"/>
      <c r="D2703" s="14"/>
      <c r="E2703" s="13"/>
      <c r="F2703" s="15"/>
      <c r="G2703" s="16" t="str">
        <f aca="false">IF(OR(B2703="",A2703=""),"",C2703*IFERROR(INDEX(Kişiler!$B$5:$B$44,MATCH(B2703,Kişiler!$A$5:$A$44,0)),0)+D2703*IFERROR(INDEX(Kişiler!$C$5:$C$44,MATCH(B2703,Kişiler!$A$5:$A$44,0)),0))</f>
        <v/>
      </c>
    </row>
    <row r="2704" customFormat="false" ht="15" hidden="false" customHeight="false" outlineLevel="0" collapsed="false">
      <c r="A2704" s="12"/>
      <c r="B2704" s="13"/>
      <c r="C2704" s="14"/>
      <c r="D2704" s="14"/>
      <c r="E2704" s="13"/>
      <c r="F2704" s="15"/>
      <c r="G2704" s="16" t="str">
        <f aca="false">IF(OR(B2704="",A2704=""),"",C2704*IFERROR(INDEX(Kişiler!$B$5:$B$44,MATCH(B2704,Kişiler!$A$5:$A$44,0)),0)+D2704*IFERROR(INDEX(Kişiler!$C$5:$C$44,MATCH(B2704,Kişiler!$A$5:$A$44,0)),0))</f>
        <v/>
      </c>
    </row>
    <row r="2705" customFormat="false" ht="15" hidden="false" customHeight="false" outlineLevel="0" collapsed="false">
      <c r="A2705" s="12"/>
      <c r="B2705" s="13"/>
      <c r="C2705" s="14"/>
      <c r="D2705" s="14"/>
      <c r="E2705" s="13"/>
      <c r="F2705" s="15"/>
      <c r="G2705" s="16" t="str">
        <f aca="false">IF(OR(B2705="",A2705=""),"",C2705*IFERROR(INDEX(Kişiler!$B$5:$B$44,MATCH(B2705,Kişiler!$A$5:$A$44,0)),0)+D2705*IFERROR(INDEX(Kişiler!$C$5:$C$44,MATCH(B2705,Kişiler!$A$5:$A$44,0)),0))</f>
        <v/>
      </c>
    </row>
    <row r="2706" customFormat="false" ht="15" hidden="false" customHeight="false" outlineLevel="0" collapsed="false">
      <c r="A2706" s="12"/>
      <c r="B2706" s="13"/>
      <c r="C2706" s="14"/>
      <c r="D2706" s="14"/>
      <c r="E2706" s="13"/>
      <c r="F2706" s="15"/>
      <c r="G2706" s="16" t="str">
        <f aca="false">IF(OR(B2706="",A2706=""),"",C2706*IFERROR(INDEX(Kişiler!$B$5:$B$44,MATCH(B2706,Kişiler!$A$5:$A$44,0)),0)+D2706*IFERROR(INDEX(Kişiler!$C$5:$C$44,MATCH(B2706,Kişiler!$A$5:$A$44,0)),0))</f>
        <v/>
      </c>
    </row>
    <row r="2707" customFormat="false" ht="15" hidden="false" customHeight="false" outlineLevel="0" collapsed="false">
      <c r="A2707" s="12"/>
      <c r="B2707" s="13"/>
      <c r="C2707" s="14"/>
      <c r="D2707" s="14"/>
      <c r="E2707" s="13"/>
      <c r="F2707" s="15"/>
      <c r="G2707" s="16" t="str">
        <f aca="false">IF(OR(B2707="",A2707=""),"",C2707*IFERROR(INDEX(Kişiler!$B$5:$B$44,MATCH(B2707,Kişiler!$A$5:$A$44,0)),0)+D2707*IFERROR(INDEX(Kişiler!$C$5:$C$44,MATCH(B2707,Kişiler!$A$5:$A$44,0)),0))</f>
        <v/>
      </c>
    </row>
    <row r="2708" customFormat="false" ht="15" hidden="false" customHeight="false" outlineLevel="0" collapsed="false">
      <c r="A2708" s="12"/>
      <c r="B2708" s="13"/>
      <c r="C2708" s="14"/>
      <c r="D2708" s="14"/>
      <c r="E2708" s="13"/>
      <c r="F2708" s="15"/>
      <c r="G2708" s="16" t="str">
        <f aca="false">IF(OR(B2708="",A2708=""),"",C2708*IFERROR(INDEX(Kişiler!$B$5:$B$44,MATCH(B2708,Kişiler!$A$5:$A$44,0)),0)+D2708*IFERROR(INDEX(Kişiler!$C$5:$C$44,MATCH(B2708,Kişiler!$A$5:$A$44,0)),0))</f>
        <v/>
      </c>
    </row>
    <row r="2709" customFormat="false" ht="15" hidden="false" customHeight="false" outlineLevel="0" collapsed="false">
      <c r="A2709" s="12"/>
      <c r="B2709" s="13"/>
      <c r="C2709" s="14"/>
      <c r="D2709" s="14"/>
      <c r="E2709" s="13"/>
      <c r="F2709" s="15"/>
      <c r="G2709" s="16" t="str">
        <f aca="false">IF(OR(B2709="",A2709=""),"",C2709*IFERROR(INDEX(Kişiler!$B$5:$B$44,MATCH(B2709,Kişiler!$A$5:$A$44,0)),0)+D2709*IFERROR(INDEX(Kişiler!$C$5:$C$44,MATCH(B2709,Kişiler!$A$5:$A$44,0)),0))</f>
        <v/>
      </c>
    </row>
    <row r="2710" customFormat="false" ht="15" hidden="false" customHeight="false" outlineLevel="0" collapsed="false">
      <c r="A2710" s="12"/>
      <c r="B2710" s="13"/>
      <c r="C2710" s="14"/>
      <c r="D2710" s="14"/>
      <c r="E2710" s="13"/>
      <c r="F2710" s="15"/>
      <c r="G2710" s="16" t="str">
        <f aca="false">IF(OR(B2710="",A2710=""),"",C2710*IFERROR(INDEX(Kişiler!$B$5:$B$44,MATCH(B2710,Kişiler!$A$5:$A$44,0)),0)+D2710*IFERROR(INDEX(Kişiler!$C$5:$C$44,MATCH(B2710,Kişiler!$A$5:$A$44,0)),0))</f>
        <v/>
      </c>
    </row>
    <row r="2711" customFormat="false" ht="15" hidden="false" customHeight="false" outlineLevel="0" collapsed="false">
      <c r="A2711" s="12"/>
      <c r="B2711" s="13"/>
      <c r="C2711" s="14"/>
      <c r="D2711" s="14"/>
      <c r="E2711" s="13"/>
      <c r="F2711" s="15"/>
      <c r="G2711" s="16" t="str">
        <f aca="false">IF(OR(B2711="",A2711=""),"",C2711*IFERROR(INDEX(Kişiler!$B$5:$B$44,MATCH(B2711,Kişiler!$A$5:$A$44,0)),0)+D2711*IFERROR(INDEX(Kişiler!$C$5:$C$44,MATCH(B2711,Kişiler!$A$5:$A$44,0)),0))</f>
        <v/>
      </c>
    </row>
    <row r="2712" customFormat="false" ht="15" hidden="false" customHeight="false" outlineLevel="0" collapsed="false">
      <c r="A2712" s="12"/>
      <c r="B2712" s="13"/>
      <c r="C2712" s="14"/>
      <c r="D2712" s="14"/>
      <c r="E2712" s="13"/>
      <c r="F2712" s="15"/>
      <c r="G2712" s="16" t="str">
        <f aca="false">IF(OR(B2712="",A2712=""),"",C2712*IFERROR(INDEX(Kişiler!$B$5:$B$44,MATCH(B2712,Kişiler!$A$5:$A$44,0)),0)+D2712*IFERROR(INDEX(Kişiler!$C$5:$C$44,MATCH(B2712,Kişiler!$A$5:$A$44,0)),0))</f>
        <v/>
      </c>
    </row>
    <row r="2713" customFormat="false" ht="15" hidden="false" customHeight="false" outlineLevel="0" collapsed="false">
      <c r="A2713" s="12"/>
      <c r="B2713" s="13"/>
      <c r="C2713" s="14"/>
      <c r="D2713" s="14"/>
      <c r="E2713" s="13"/>
      <c r="F2713" s="15"/>
      <c r="G2713" s="16" t="str">
        <f aca="false">IF(OR(B2713="",A2713=""),"",C2713*IFERROR(INDEX(Kişiler!$B$5:$B$44,MATCH(B2713,Kişiler!$A$5:$A$44,0)),0)+D2713*IFERROR(INDEX(Kişiler!$C$5:$C$44,MATCH(B2713,Kişiler!$A$5:$A$44,0)),0))</f>
        <v/>
      </c>
    </row>
    <row r="2714" customFormat="false" ht="15" hidden="false" customHeight="false" outlineLevel="0" collapsed="false">
      <c r="A2714" s="12"/>
      <c r="B2714" s="13"/>
      <c r="C2714" s="14"/>
      <c r="D2714" s="14"/>
      <c r="E2714" s="13"/>
      <c r="F2714" s="15"/>
      <c r="G2714" s="16" t="str">
        <f aca="false">IF(OR(B2714="",A2714=""),"",C2714*IFERROR(INDEX(Kişiler!$B$5:$B$44,MATCH(B2714,Kişiler!$A$5:$A$44,0)),0)+D2714*IFERROR(INDEX(Kişiler!$C$5:$C$44,MATCH(B2714,Kişiler!$A$5:$A$44,0)),0))</f>
        <v/>
      </c>
    </row>
    <row r="2715" customFormat="false" ht="15" hidden="false" customHeight="false" outlineLevel="0" collapsed="false">
      <c r="A2715" s="12"/>
      <c r="B2715" s="13"/>
      <c r="C2715" s="14"/>
      <c r="D2715" s="14"/>
      <c r="E2715" s="13"/>
      <c r="F2715" s="15"/>
      <c r="G2715" s="16" t="str">
        <f aca="false">IF(OR(B2715="",A2715=""),"",C2715*IFERROR(INDEX(Kişiler!$B$5:$B$44,MATCH(B2715,Kişiler!$A$5:$A$44,0)),0)+D2715*IFERROR(INDEX(Kişiler!$C$5:$C$44,MATCH(B2715,Kişiler!$A$5:$A$44,0)),0))</f>
        <v/>
      </c>
    </row>
    <row r="2716" customFormat="false" ht="15" hidden="false" customHeight="false" outlineLevel="0" collapsed="false">
      <c r="A2716" s="12"/>
      <c r="B2716" s="13"/>
      <c r="C2716" s="14"/>
      <c r="D2716" s="14"/>
      <c r="E2716" s="13"/>
      <c r="F2716" s="15"/>
      <c r="G2716" s="16" t="str">
        <f aca="false">IF(OR(B2716="",A2716=""),"",C2716*IFERROR(INDEX(Kişiler!$B$5:$B$44,MATCH(B2716,Kişiler!$A$5:$A$44,0)),0)+D2716*IFERROR(INDEX(Kişiler!$C$5:$C$44,MATCH(B2716,Kişiler!$A$5:$A$44,0)),0))</f>
        <v/>
      </c>
    </row>
    <row r="2717" customFormat="false" ht="15" hidden="false" customHeight="false" outlineLevel="0" collapsed="false">
      <c r="A2717" s="12"/>
      <c r="B2717" s="13"/>
      <c r="C2717" s="14"/>
      <c r="D2717" s="14"/>
      <c r="E2717" s="13"/>
      <c r="F2717" s="15"/>
      <c r="G2717" s="16" t="str">
        <f aca="false">IF(OR(B2717="",A2717=""),"",C2717*IFERROR(INDEX(Kişiler!$B$5:$B$44,MATCH(B2717,Kişiler!$A$5:$A$44,0)),0)+D2717*IFERROR(INDEX(Kişiler!$C$5:$C$44,MATCH(B2717,Kişiler!$A$5:$A$44,0)),0))</f>
        <v/>
      </c>
    </row>
    <row r="2718" customFormat="false" ht="15" hidden="false" customHeight="false" outlineLevel="0" collapsed="false">
      <c r="A2718" s="12"/>
      <c r="B2718" s="13"/>
      <c r="C2718" s="14"/>
      <c r="D2718" s="14"/>
      <c r="E2718" s="13"/>
      <c r="F2718" s="15"/>
      <c r="G2718" s="16" t="str">
        <f aca="false">IF(OR(B2718="",A2718=""),"",C2718*IFERROR(INDEX(Kişiler!$B$5:$B$44,MATCH(B2718,Kişiler!$A$5:$A$44,0)),0)+D2718*IFERROR(INDEX(Kişiler!$C$5:$C$44,MATCH(B2718,Kişiler!$A$5:$A$44,0)),0))</f>
        <v/>
      </c>
    </row>
    <row r="2719" customFormat="false" ht="15" hidden="false" customHeight="false" outlineLevel="0" collapsed="false">
      <c r="A2719" s="12"/>
      <c r="B2719" s="13"/>
      <c r="C2719" s="14"/>
      <c r="D2719" s="14"/>
      <c r="E2719" s="13"/>
      <c r="F2719" s="15"/>
      <c r="G2719" s="16" t="str">
        <f aca="false">IF(OR(B2719="",A2719=""),"",C2719*IFERROR(INDEX(Kişiler!$B$5:$B$44,MATCH(B2719,Kişiler!$A$5:$A$44,0)),0)+D2719*IFERROR(INDEX(Kişiler!$C$5:$C$44,MATCH(B2719,Kişiler!$A$5:$A$44,0)),0))</f>
        <v/>
      </c>
    </row>
    <row r="2720" customFormat="false" ht="15" hidden="false" customHeight="false" outlineLevel="0" collapsed="false">
      <c r="A2720" s="12"/>
      <c r="B2720" s="13"/>
      <c r="C2720" s="14"/>
      <c r="D2720" s="14"/>
      <c r="E2720" s="13"/>
      <c r="F2720" s="15"/>
      <c r="G2720" s="16" t="str">
        <f aca="false">IF(OR(B2720="",A2720=""),"",C2720*IFERROR(INDEX(Kişiler!$B$5:$B$44,MATCH(B2720,Kişiler!$A$5:$A$44,0)),0)+D2720*IFERROR(INDEX(Kişiler!$C$5:$C$44,MATCH(B2720,Kişiler!$A$5:$A$44,0)),0))</f>
        <v/>
      </c>
    </row>
    <row r="2721" customFormat="false" ht="15" hidden="false" customHeight="false" outlineLevel="0" collapsed="false">
      <c r="A2721" s="12"/>
      <c r="B2721" s="13"/>
      <c r="C2721" s="14"/>
      <c r="D2721" s="14"/>
      <c r="E2721" s="13"/>
      <c r="F2721" s="15"/>
      <c r="G2721" s="16" t="str">
        <f aca="false">IF(OR(B2721="",A2721=""),"",C2721*IFERROR(INDEX(Kişiler!$B$5:$B$44,MATCH(B2721,Kişiler!$A$5:$A$44,0)),0)+D2721*IFERROR(INDEX(Kişiler!$C$5:$C$44,MATCH(B2721,Kişiler!$A$5:$A$44,0)),0))</f>
        <v/>
      </c>
    </row>
    <row r="2722" customFormat="false" ht="15" hidden="false" customHeight="false" outlineLevel="0" collapsed="false">
      <c r="A2722" s="12"/>
      <c r="B2722" s="13"/>
      <c r="C2722" s="14"/>
      <c r="D2722" s="14"/>
      <c r="E2722" s="13"/>
      <c r="F2722" s="15"/>
      <c r="G2722" s="16" t="str">
        <f aca="false">IF(OR(B2722="",A2722=""),"",C2722*IFERROR(INDEX(Kişiler!$B$5:$B$44,MATCH(B2722,Kişiler!$A$5:$A$44,0)),0)+D2722*IFERROR(INDEX(Kişiler!$C$5:$C$44,MATCH(B2722,Kişiler!$A$5:$A$44,0)),0))</f>
        <v/>
      </c>
    </row>
    <row r="2723" customFormat="false" ht="15" hidden="false" customHeight="false" outlineLevel="0" collapsed="false">
      <c r="A2723" s="12"/>
      <c r="B2723" s="13"/>
      <c r="C2723" s="14"/>
      <c r="D2723" s="14"/>
      <c r="E2723" s="13"/>
      <c r="F2723" s="15"/>
      <c r="G2723" s="16" t="str">
        <f aca="false">IF(OR(B2723="",A2723=""),"",C2723*IFERROR(INDEX(Kişiler!$B$5:$B$44,MATCH(B2723,Kişiler!$A$5:$A$44,0)),0)+D2723*IFERROR(INDEX(Kişiler!$C$5:$C$44,MATCH(B2723,Kişiler!$A$5:$A$44,0)),0))</f>
        <v/>
      </c>
    </row>
    <row r="2724" customFormat="false" ht="15" hidden="false" customHeight="false" outlineLevel="0" collapsed="false">
      <c r="A2724" s="12"/>
      <c r="B2724" s="13"/>
      <c r="C2724" s="14"/>
      <c r="D2724" s="14"/>
      <c r="E2724" s="13"/>
      <c r="F2724" s="15"/>
      <c r="G2724" s="16" t="str">
        <f aca="false">IF(OR(B2724="",A2724=""),"",C2724*IFERROR(INDEX(Kişiler!$B$5:$B$44,MATCH(B2724,Kişiler!$A$5:$A$44,0)),0)+D2724*IFERROR(INDEX(Kişiler!$C$5:$C$44,MATCH(B2724,Kişiler!$A$5:$A$44,0)),0))</f>
        <v/>
      </c>
    </row>
    <row r="2725" customFormat="false" ht="15" hidden="false" customHeight="false" outlineLevel="0" collapsed="false">
      <c r="A2725" s="12"/>
      <c r="B2725" s="13"/>
      <c r="C2725" s="14"/>
      <c r="D2725" s="14"/>
      <c r="E2725" s="13"/>
      <c r="F2725" s="15"/>
      <c r="G2725" s="16" t="str">
        <f aca="false">IF(OR(B2725="",A2725=""),"",C2725*IFERROR(INDEX(Kişiler!$B$5:$B$44,MATCH(B2725,Kişiler!$A$5:$A$44,0)),0)+D2725*IFERROR(INDEX(Kişiler!$C$5:$C$44,MATCH(B2725,Kişiler!$A$5:$A$44,0)),0))</f>
        <v/>
      </c>
    </row>
    <row r="2726" customFormat="false" ht="15" hidden="false" customHeight="false" outlineLevel="0" collapsed="false">
      <c r="A2726" s="12"/>
      <c r="B2726" s="13"/>
      <c r="C2726" s="14"/>
      <c r="D2726" s="14"/>
      <c r="E2726" s="13"/>
      <c r="F2726" s="15"/>
      <c r="G2726" s="16" t="str">
        <f aca="false">IF(OR(B2726="",A2726=""),"",C2726*IFERROR(INDEX(Kişiler!$B$5:$B$44,MATCH(B2726,Kişiler!$A$5:$A$44,0)),0)+D2726*IFERROR(INDEX(Kişiler!$C$5:$C$44,MATCH(B2726,Kişiler!$A$5:$A$44,0)),0))</f>
        <v/>
      </c>
    </row>
    <row r="2727" customFormat="false" ht="15" hidden="false" customHeight="false" outlineLevel="0" collapsed="false">
      <c r="A2727" s="12"/>
      <c r="B2727" s="13"/>
      <c r="C2727" s="14"/>
      <c r="D2727" s="14"/>
      <c r="E2727" s="13"/>
      <c r="F2727" s="15"/>
      <c r="G2727" s="16" t="str">
        <f aca="false">IF(OR(B2727="",A2727=""),"",C2727*IFERROR(INDEX(Kişiler!$B$5:$B$44,MATCH(B2727,Kişiler!$A$5:$A$44,0)),0)+D2727*IFERROR(INDEX(Kişiler!$C$5:$C$44,MATCH(B2727,Kişiler!$A$5:$A$44,0)),0))</f>
        <v/>
      </c>
    </row>
    <row r="2728" customFormat="false" ht="15" hidden="false" customHeight="false" outlineLevel="0" collapsed="false">
      <c r="A2728" s="12"/>
      <c r="B2728" s="13"/>
      <c r="C2728" s="14"/>
      <c r="D2728" s="14"/>
      <c r="E2728" s="13"/>
      <c r="F2728" s="15"/>
      <c r="G2728" s="16" t="str">
        <f aca="false">IF(OR(B2728="",A2728=""),"",C2728*IFERROR(INDEX(Kişiler!$B$5:$B$44,MATCH(B2728,Kişiler!$A$5:$A$44,0)),0)+D2728*IFERROR(INDEX(Kişiler!$C$5:$C$44,MATCH(B2728,Kişiler!$A$5:$A$44,0)),0))</f>
        <v/>
      </c>
    </row>
    <row r="2729" customFormat="false" ht="15" hidden="false" customHeight="false" outlineLevel="0" collapsed="false">
      <c r="A2729" s="12"/>
      <c r="B2729" s="13"/>
      <c r="C2729" s="14"/>
      <c r="D2729" s="14"/>
      <c r="E2729" s="13"/>
      <c r="F2729" s="15"/>
      <c r="G2729" s="16" t="str">
        <f aca="false">IF(OR(B2729="",A2729=""),"",C2729*IFERROR(INDEX(Kişiler!$B$5:$B$44,MATCH(B2729,Kişiler!$A$5:$A$44,0)),0)+D2729*IFERROR(INDEX(Kişiler!$C$5:$C$44,MATCH(B2729,Kişiler!$A$5:$A$44,0)),0))</f>
        <v/>
      </c>
    </row>
    <row r="2730" customFormat="false" ht="15" hidden="false" customHeight="false" outlineLevel="0" collapsed="false">
      <c r="A2730" s="12"/>
      <c r="B2730" s="13"/>
      <c r="C2730" s="14"/>
      <c r="D2730" s="14"/>
      <c r="E2730" s="13"/>
      <c r="F2730" s="15"/>
      <c r="G2730" s="16" t="str">
        <f aca="false">IF(OR(B2730="",A2730=""),"",C2730*IFERROR(INDEX(Kişiler!$B$5:$B$44,MATCH(B2730,Kişiler!$A$5:$A$44,0)),0)+D2730*IFERROR(INDEX(Kişiler!$C$5:$C$44,MATCH(B2730,Kişiler!$A$5:$A$44,0)),0))</f>
        <v/>
      </c>
    </row>
    <row r="2731" customFormat="false" ht="15" hidden="false" customHeight="false" outlineLevel="0" collapsed="false">
      <c r="A2731" s="12"/>
      <c r="B2731" s="13"/>
      <c r="C2731" s="14"/>
      <c r="D2731" s="14"/>
      <c r="E2731" s="13"/>
      <c r="F2731" s="15"/>
      <c r="G2731" s="16" t="str">
        <f aca="false">IF(OR(B2731="",A2731=""),"",C2731*IFERROR(INDEX(Kişiler!$B$5:$B$44,MATCH(B2731,Kişiler!$A$5:$A$44,0)),0)+D2731*IFERROR(INDEX(Kişiler!$C$5:$C$44,MATCH(B2731,Kişiler!$A$5:$A$44,0)),0))</f>
        <v/>
      </c>
    </row>
    <row r="2732" customFormat="false" ht="15" hidden="false" customHeight="false" outlineLevel="0" collapsed="false">
      <c r="A2732" s="12"/>
      <c r="B2732" s="13"/>
      <c r="C2732" s="14"/>
      <c r="D2732" s="14"/>
      <c r="E2732" s="13"/>
      <c r="F2732" s="15"/>
      <c r="G2732" s="16" t="str">
        <f aca="false">IF(OR(B2732="",A2732=""),"",C2732*IFERROR(INDEX(Kişiler!$B$5:$B$44,MATCH(B2732,Kişiler!$A$5:$A$44,0)),0)+D2732*IFERROR(INDEX(Kişiler!$C$5:$C$44,MATCH(B2732,Kişiler!$A$5:$A$44,0)),0))</f>
        <v/>
      </c>
    </row>
    <row r="2733" customFormat="false" ht="15" hidden="false" customHeight="false" outlineLevel="0" collapsed="false">
      <c r="A2733" s="12"/>
      <c r="B2733" s="13"/>
      <c r="C2733" s="14"/>
      <c r="D2733" s="14"/>
      <c r="E2733" s="13"/>
      <c r="F2733" s="15"/>
      <c r="G2733" s="16" t="str">
        <f aca="false">IF(OR(B2733="",A2733=""),"",C2733*IFERROR(INDEX(Kişiler!$B$5:$B$44,MATCH(B2733,Kişiler!$A$5:$A$44,0)),0)+D2733*IFERROR(INDEX(Kişiler!$C$5:$C$44,MATCH(B2733,Kişiler!$A$5:$A$44,0)),0))</f>
        <v/>
      </c>
    </row>
    <row r="2734" customFormat="false" ht="15" hidden="false" customHeight="false" outlineLevel="0" collapsed="false">
      <c r="A2734" s="12"/>
      <c r="B2734" s="13"/>
      <c r="C2734" s="14"/>
      <c r="D2734" s="14"/>
      <c r="E2734" s="13"/>
      <c r="F2734" s="15"/>
      <c r="G2734" s="16" t="str">
        <f aca="false">IF(OR(B2734="",A2734=""),"",C2734*IFERROR(INDEX(Kişiler!$B$5:$B$44,MATCH(B2734,Kişiler!$A$5:$A$44,0)),0)+D2734*IFERROR(INDEX(Kişiler!$C$5:$C$44,MATCH(B2734,Kişiler!$A$5:$A$44,0)),0))</f>
        <v/>
      </c>
    </row>
    <row r="2735" customFormat="false" ht="15" hidden="false" customHeight="false" outlineLevel="0" collapsed="false">
      <c r="A2735" s="12"/>
      <c r="B2735" s="13"/>
      <c r="C2735" s="14"/>
      <c r="D2735" s="14"/>
      <c r="E2735" s="13"/>
      <c r="F2735" s="15"/>
      <c r="G2735" s="16" t="str">
        <f aca="false">IF(OR(B2735="",A2735=""),"",C2735*IFERROR(INDEX(Kişiler!$B$5:$B$44,MATCH(B2735,Kişiler!$A$5:$A$44,0)),0)+D2735*IFERROR(INDEX(Kişiler!$C$5:$C$44,MATCH(B2735,Kişiler!$A$5:$A$44,0)),0))</f>
        <v/>
      </c>
    </row>
    <row r="2736" customFormat="false" ht="15" hidden="false" customHeight="false" outlineLevel="0" collapsed="false">
      <c r="A2736" s="12"/>
      <c r="B2736" s="13"/>
      <c r="C2736" s="14"/>
      <c r="D2736" s="14"/>
      <c r="E2736" s="13"/>
      <c r="F2736" s="15"/>
      <c r="G2736" s="16" t="str">
        <f aca="false">IF(OR(B2736="",A2736=""),"",C2736*IFERROR(INDEX(Kişiler!$B$5:$B$44,MATCH(B2736,Kişiler!$A$5:$A$44,0)),0)+D2736*IFERROR(INDEX(Kişiler!$C$5:$C$44,MATCH(B2736,Kişiler!$A$5:$A$44,0)),0))</f>
        <v/>
      </c>
    </row>
    <row r="2737" customFormat="false" ht="15" hidden="false" customHeight="false" outlineLevel="0" collapsed="false">
      <c r="A2737" s="12"/>
      <c r="B2737" s="13"/>
      <c r="C2737" s="14"/>
      <c r="D2737" s="14"/>
      <c r="E2737" s="13"/>
      <c r="F2737" s="15"/>
      <c r="G2737" s="16" t="str">
        <f aca="false">IF(OR(B2737="",A2737=""),"",C2737*IFERROR(INDEX(Kişiler!$B$5:$B$44,MATCH(B2737,Kişiler!$A$5:$A$44,0)),0)+D2737*IFERROR(INDEX(Kişiler!$C$5:$C$44,MATCH(B2737,Kişiler!$A$5:$A$44,0)),0))</f>
        <v/>
      </c>
    </row>
    <row r="2738" customFormat="false" ht="15" hidden="false" customHeight="false" outlineLevel="0" collapsed="false">
      <c r="A2738" s="12"/>
      <c r="B2738" s="13"/>
      <c r="C2738" s="14"/>
      <c r="D2738" s="14"/>
      <c r="E2738" s="13"/>
      <c r="F2738" s="15"/>
      <c r="G2738" s="16" t="str">
        <f aca="false">IF(OR(B2738="",A2738=""),"",C2738*IFERROR(INDEX(Kişiler!$B$5:$B$44,MATCH(B2738,Kişiler!$A$5:$A$44,0)),0)+D2738*IFERROR(INDEX(Kişiler!$C$5:$C$44,MATCH(B2738,Kişiler!$A$5:$A$44,0)),0))</f>
        <v/>
      </c>
    </row>
    <row r="2739" customFormat="false" ht="15" hidden="false" customHeight="false" outlineLevel="0" collapsed="false">
      <c r="A2739" s="12"/>
      <c r="B2739" s="13"/>
      <c r="C2739" s="14"/>
      <c r="D2739" s="14"/>
      <c r="E2739" s="13"/>
      <c r="F2739" s="15"/>
      <c r="G2739" s="16" t="str">
        <f aca="false">IF(OR(B2739="",A2739=""),"",C2739*IFERROR(INDEX(Kişiler!$B$5:$B$44,MATCH(B2739,Kişiler!$A$5:$A$44,0)),0)+D2739*IFERROR(INDEX(Kişiler!$C$5:$C$44,MATCH(B2739,Kişiler!$A$5:$A$44,0)),0))</f>
        <v/>
      </c>
    </row>
    <row r="2740" customFormat="false" ht="15" hidden="false" customHeight="false" outlineLevel="0" collapsed="false">
      <c r="A2740" s="12"/>
      <c r="B2740" s="13"/>
      <c r="C2740" s="14"/>
      <c r="D2740" s="14"/>
      <c r="E2740" s="13"/>
      <c r="F2740" s="15"/>
      <c r="G2740" s="16" t="str">
        <f aca="false">IF(OR(B2740="",A2740=""),"",C2740*IFERROR(INDEX(Kişiler!$B$5:$B$44,MATCH(B2740,Kişiler!$A$5:$A$44,0)),0)+D2740*IFERROR(INDEX(Kişiler!$C$5:$C$44,MATCH(B2740,Kişiler!$A$5:$A$44,0)),0))</f>
        <v/>
      </c>
    </row>
    <row r="2741" customFormat="false" ht="15" hidden="false" customHeight="false" outlineLevel="0" collapsed="false">
      <c r="A2741" s="12"/>
      <c r="B2741" s="13"/>
      <c r="C2741" s="14"/>
      <c r="D2741" s="14"/>
      <c r="E2741" s="13"/>
      <c r="F2741" s="15"/>
      <c r="G2741" s="16" t="str">
        <f aca="false">IF(OR(B2741="",A2741=""),"",C2741*IFERROR(INDEX(Kişiler!$B$5:$B$44,MATCH(B2741,Kişiler!$A$5:$A$44,0)),0)+D2741*IFERROR(INDEX(Kişiler!$C$5:$C$44,MATCH(B2741,Kişiler!$A$5:$A$44,0)),0))</f>
        <v/>
      </c>
    </row>
    <row r="2742" customFormat="false" ht="15" hidden="false" customHeight="false" outlineLevel="0" collapsed="false">
      <c r="A2742" s="12"/>
      <c r="B2742" s="13"/>
      <c r="C2742" s="14"/>
      <c r="D2742" s="14"/>
      <c r="E2742" s="13"/>
      <c r="F2742" s="15"/>
      <c r="G2742" s="16" t="str">
        <f aca="false">IF(OR(B2742="",A2742=""),"",C2742*IFERROR(INDEX(Kişiler!$B$5:$B$44,MATCH(B2742,Kişiler!$A$5:$A$44,0)),0)+D2742*IFERROR(INDEX(Kişiler!$C$5:$C$44,MATCH(B2742,Kişiler!$A$5:$A$44,0)),0))</f>
        <v/>
      </c>
    </row>
    <row r="2743" customFormat="false" ht="15" hidden="false" customHeight="false" outlineLevel="0" collapsed="false">
      <c r="A2743" s="12"/>
      <c r="B2743" s="13"/>
      <c r="C2743" s="14"/>
      <c r="D2743" s="14"/>
      <c r="E2743" s="13"/>
      <c r="F2743" s="15"/>
      <c r="G2743" s="16" t="str">
        <f aca="false">IF(OR(B2743="",A2743=""),"",C2743*IFERROR(INDEX(Kişiler!$B$5:$B$44,MATCH(B2743,Kişiler!$A$5:$A$44,0)),0)+D2743*IFERROR(INDEX(Kişiler!$C$5:$C$44,MATCH(B2743,Kişiler!$A$5:$A$44,0)),0))</f>
        <v/>
      </c>
    </row>
    <row r="2744" customFormat="false" ht="15" hidden="false" customHeight="false" outlineLevel="0" collapsed="false">
      <c r="A2744" s="12"/>
      <c r="B2744" s="13"/>
      <c r="C2744" s="14"/>
      <c r="D2744" s="14"/>
      <c r="E2744" s="13"/>
      <c r="F2744" s="15"/>
      <c r="G2744" s="16" t="str">
        <f aca="false">IF(OR(B2744="",A2744=""),"",C2744*IFERROR(INDEX(Kişiler!$B$5:$B$44,MATCH(B2744,Kişiler!$A$5:$A$44,0)),0)+D2744*IFERROR(INDEX(Kişiler!$C$5:$C$44,MATCH(B2744,Kişiler!$A$5:$A$44,0)),0))</f>
        <v/>
      </c>
    </row>
    <row r="2745" customFormat="false" ht="15" hidden="false" customHeight="false" outlineLevel="0" collapsed="false">
      <c r="A2745" s="12"/>
      <c r="B2745" s="13"/>
      <c r="C2745" s="14"/>
      <c r="D2745" s="14"/>
      <c r="E2745" s="13"/>
      <c r="F2745" s="15"/>
      <c r="G2745" s="16" t="str">
        <f aca="false">IF(OR(B2745="",A2745=""),"",C2745*IFERROR(INDEX(Kişiler!$B$5:$B$44,MATCH(B2745,Kişiler!$A$5:$A$44,0)),0)+D2745*IFERROR(INDEX(Kişiler!$C$5:$C$44,MATCH(B2745,Kişiler!$A$5:$A$44,0)),0))</f>
        <v/>
      </c>
    </row>
    <row r="2746" customFormat="false" ht="15" hidden="false" customHeight="false" outlineLevel="0" collapsed="false">
      <c r="A2746" s="12"/>
      <c r="B2746" s="13"/>
      <c r="C2746" s="14"/>
      <c r="D2746" s="14"/>
      <c r="E2746" s="13"/>
      <c r="F2746" s="15"/>
      <c r="G2746" s="16" t="str">
        <f aca="false">IF(OR(B2746="",A2746=""),"",C2746*IFERROR(INDEX(Kişiler!$B$5:$B$44,MATCH(B2746,Kişiler!$A$5:$A$44,0)),0)+D2746*IFERROR(INDEX(Kişiler!$C$5:$C$44,MATCH(B2746,Kişiler!$A$5:$A$44,0)),0))</f>
        <v/>
      </c>
    </row>
    <row r="2747" customFormat="false" ht="15" hidden="false" customHeight="false" outlineLevel="0" collapsed="false">
      <c r="A2747" s="12"/>
      <c r="B2747" s="13"/>
      <c r="C2747" s="14"/>
      <c r="D2747" s="14"/>
      <c r="E2747" s="13"/>
      <c r="F2747" s="15"/>
      <c r="G2747" s="16" t="str">
        <f aca="false">IF(OR(B2747="",A2747=""),"",C2747*IFERROR(INDEX(Kişiler!$B$5:$B$44,MATCH(B2747,Kişiler!$A$5:$A$44,0)),0)+D2747*IFERROR(INDEX(Kişiler!$C$5:$C$44,MATCH(B2747,Kişiler!$A$5:$A$44,0)),0))</f>
        <v/>
      </c>
    </row>
    <row r="2748" customFormat="false" ht="15" hidden="false" customHeight="false" outlineLevel="0" collapsed="false">
      <c r="A2748" s="12"/>
      <c r="B2748" s="13"/>
      <c r="C2748" s="14"/>
      <c r="D2748" s="14"/>
      <c r="E2748" s="13"/>
      <c r="F2748" s="15"/>
      <c r="G2748" s="16" t="str">
        <f aca="false">IF(OR(B2748="",A2748=""),"",C2748*IFERROR(INDEX(Kişiler!$B$5:$B$44,MATCH(B2748,Kişiler!$A$5:$A$44,0)),0)+D2748*IFERROR(INDEX(Kişiler!$C$5:$C$44,MATCH(B2748,Kişiler!$A$5:$A$44,0)),0))</f>
        <v/>
      </c>
    </row>
    <row r="2749" customFormat="false" ht="15" hidden="false" customHeight="false" outlineLevel="0" collapsed="false">
      <c r="A2749" s="12"/>
      <c r="B2749" s="13"/>
      <c r="C2749" s="14"/>
      <c r="D2749" s="14"/>
      <c r="E2749" s="13"/>
      <c r="F2749" s="15"/>
      <c r="G2749" s="16" t="str">
        <f aca="false">IF(OR(B2749="",A2749=""),"",C2749*IFERROR(INDEX(Kişiler!$B$5:$B$44,MATCH(B2749,Kişiler!$A$5:$A$44,0)),0)+D2749*IFERROR(INDEX(Kişiler!$C$5:$C$44,MATCH(B2749,Kişiler!$A$5:$A$44,0)),0))</f>
        <v/>
      </c>
    </row>
    <row r="2750" customFormat="false" ht="15" hidden="false" customHeight="false" outlineLevel="0" collapsed="false">
      <c r="A2750" s="12"/>
      <c r="B2750" s="13"/>
      <c r="C2750" s="14"/>
      <c r="D2750" s="14"/>
      <c r="E2750" s="13"/>
      <c r="F2750" s="15"/>
      <c r="G2750" s="16" t="str">
        <f aca="false">IF(OR(B2750="",A2750=""),"",C2750*IFERROR(INDEX(Kişiler!$B$5:$B$44,MATCH(B2750,Kişiler!$A$5:$A$44,0)),0)+D2750*IFERROR(INDEX(Kişiler!$C$5:$C$44,MATCH(B2750,Kişiler!$A$5:$A$44,0)),0))</f>
        <v/>
      </c>
    </row>
    <row r="2751" customFormat="false" ht="15" hidden="false" customHeight="false" outlineLevel="0" collapsed="false">
      <c r="A2751" s="12"/>
      <c r="B2751" s="13"/>
      <c r="C2751" s="14"/>
      <c r="D2751" s="14"/>
      <c r="E2751" s="13"/>
      <c r="F2751" s="15"/>
      <c r="G2751" s="16" t="str">
        <f aca="false">IF(OR(B2751="",A2751=""),"",C2751*IFERROR(INDEX(Kişiler!$B$5:$B$44,MATCH(B2751,Kişiler!$A$5:$A$44,0)),0)+D2751*IFERROR(INDEX(Kişiler!$C$5:$C$44,MATCH(B2751,Kişiler!$A$5:$A$44,0)),0))</f>
        <v/>
      </c>
    </row>
    <row r="2752" customFormat="false" ht="15" hidden="false" customHeight="false" outlineLevel="0" collapsed="false">
      <c r="A2752" s="12"/>
      <c r="B2752" s="13"/>
      <c r="C2752" s="14"/>
      <c r="D2752" s="14"/>
      <c r="E2752" s="13"/>
      <c r="F2752" s="15"/>
      <c r="G2752" s="16" t="str">
        <f aca="false">IF(OR(B2752="",A2752=""),"",C2752*IFERROR(INDEX(Kişiler!$B$5:$B$44,MATCH(B2752,Kişiler!$A$5:$A$44,0)),0)+D2752*IFERROR(INDEX(Kişiler!$C$5:$C$44,MATCH(B2752,Kişiler!$A$5:$A$44,0)),0))</f>
        <v/>
      </c>
    </row>
    <row r="2753" customFormat="false" ht="15" hidden="false" customHeight="false" outlineLevel="0" collapsed="false">
      <c r="A2753" s="12"/>
      <c r="B2753" s="13"/>
      <c r="C2753" s="14"/>
      <c r="D2753" s="14"/>
      <c r="E2753" s="13"/>
      <c r="F2753" s="15"/>
      <c r="G2753" s="16" t="str">
        <f aca="false">IF(OR(B2753="",A2753=""),"",C2753*IFERROR(INDEX(Kişiler!$B$5:$B$44,MATCH(B2753,Kişiler!$A$5:$A$44,0)),0)+D2753*IFERROR(INDEX(Kişiler!$C$5:$C$44,MATCH(B2753,Kişiler!$A$5:$A$44,0)),0))</f>
        <v/>
      </c>
    </row>
    <row r="2754" customFormat="false" ht="15" hidden="false" customHeight="false" outlineLevel="0" collapsed="false">
      <c r="A2754" s="12"/>
      <c r="B2754" s="13"/>
      <c r="C2754" s="14"/>
      <c r="D2754" s="14"/>
      <c r="E2754" s="13"/>
      <c r="F2754" s="15"/>
      <c r="G2754" s="16" t="str">
        <f aca="false">IF(OR(B2754="",A2754=""),"",C2754*IFERROR(INDEX(Kişiler!$B$5:$B$44,MATCH(B2754,Kişiler!$A$5:$A$44,0)),0)+D2754*IFERROR(INDEX(Kişiler!$C$5:$C$44,MATCH(B2754,Kişiler!$A$5:$A$44,0)),0))</f>
        <v/>
      </c>
    </row>
    <row r="2755" customFormat="false" ht="15" hidden="false" customHeight="false" outlineLevel="0" collapsed="false">
      <c r="A2755" s="12"/>
      <c r="B2755" s="13"/>
      <c r="C2755" s="14"/>
      <c r="D2755" s="14"/>
      <c r="E2755" s="13"/>
      <c r="F2755" s="15"/>
      <c r="G2755" s="16" t="str">
        <f aca="false">IF(OR(B2755="",A2755=""),"",C2755*IFERROR(INDEX(Kişiler!$B$5:$B$44,MATCH(B2755,Kişiler!$A$5:$A$44,0)),0)+D2755*IFERROR(INDEX(Kişiler!$C$5:$C$44,MATCH(B2755,Kişiler!$A$5:$A$44,0)),0))</f>
        <v/>
      </c>
    </row>
    <row r="2756" customFormat="false" ht="15" hidden="false" customHeight="false" outlineLevel="0" collapsed="false">
      <c r="A2756" s="12"/>
      <c r="B2756" s="13"/>
      <c r="C2756" s="14"/>
      <c r="D2756" s="14"/>
      <c r="E2756" s="13"/>
      <c r="F2756" s="15"/>
      <c r="G2756" s="16" t="str">
        <f aca="false">IF(OR(B2756="",A2756=""),"",C2756*IFERROR(INDEX(Kişiler!$B$5:$B$44,MATCH(B2756,Kişiler!$A$5:$A$44,0)),0)+D2756*IFERROR(INDEX(Kişiler!$C$5:$C$44,MATCH(B2756,Kişiler!$A$5:$A$44,0)),0))</f>
        <v/>
      </c>
    </row>
    <row r="2757" customFormat="false" ht="15" hidden="false" customHeight="false" outlineLevel="0" collapsed="false">
      <c r="A2757" s="12"/>
      <c r="B2757" s="13"/>
      <c r="C2757" s="14"/>
      <c r="D2757" s="14"/>
      <c r="E2757" s="13"/>
      <c r="F2757" s="15"/>
      <c r="G2757" s="16" t="str">
        <f aca="false">IF(OR(B2757="",A2757=""),"",C2757*IFERROR(INDEX(Kişiler!$B$5:$B$44,MATCH(B2757,Kişiler!$A$5:$A$44,0)),0)+D2757*IFERROR(INDEX(Kişiler!$C$5:$C$44,MATCH(B2757,Kişiler!$A$5:$A$44,0)),0))</f>
        <v/>
      </c>
    </row>
    <row r="2758" customFormat="false" ht="15" hidden="false" customHeight="false" outlineLevel="0" collapsed="false">
      <c r="A2758" s="12"/>
      <c r="B2758" s="13"/>
      <c r="C2758" s="14"/>
      <c r="D2758" s="14"/>
      <c r="E2758" s="13"/>
      <c r="F2758" s="15"/>
      <c r="G2758" s="16" t="str">
        <f aca="false">IF(OR(B2758="",A2758=""),"",C2758*IFERROR(INDEX(Kişiler!$B$5:$B$44,MATCH(B2758,Kişiler!$A$5:$A$44,0)),0)+D2758*IFERROR(INDEX(Kişiler!$C$5:$C$44,MATCH(B2758,Kişiler!$A$5:$A$44,0)),0))</f>
        <v/>
      </c>
    </row>
    <row r="2759" customFormat="false" ht="15" hidden="false" customHeight="false" outlineLevel="0" collapsed="false">
      <c r="A2759" s="12"/>
      <c r="B2759" s="13"/>
      <c r="C2759" s="14"/>
      <c r="D2759" s="14"/>
      <c r="E2759" s="13"/>
      <c r="F2759" s="15"/>
      <c r="G2759" s="16" t="str">
        <f aca="false">IF(OR(B2759="",A2759=""),"",C2759*IFERROR(INDEX(Kişiler!$B$5:$B$44,MATCH(B2759,Kişiler!$A$5:$A$44,0)),0)+D2759*IFERROR(INDEX(Kişiler!$C$5:$C$44,MATCH(B2759,Kişiler!$A$5:$A$44,0)),0))</f>
        <v/>
      </c>
    </row>
    <row r="2760" customFormat="false" ht="15" hidden="false" customHeight="false" outlineLevel="0" collapsed="false">
      <c r="A2760" s="12"/>
      <c r="B2760" s="13"/>
      <c r="C2760" s="14"/>
      <c r="D2760" s="14"/>
      <c r="E2760" s="13"/>
      <c r="F2760" s="15"/>
      <c r="G2760" s="16" t="str">
        <f aca="false">IF(OR(B2760="",A2760=""),"",C2760*IFERROR(INDEX(Kişiler!$B$5:$B$44,MATCH(B2760,Kişiler!$A$5:$A$44,0)),0)+D2760*IFERROR(INDEX(Kişiler!$C$5:$C$44,MATCH(B2760,Kişiler!$A$5:$A$44,0)),0))</f>
        <v/>
      </c>
    </row>
    <row r="2761" customFormat="false" ht="15" hidden="false" customHeight="false" outlineLevel="0" collapsed="false">
      <c r="A2761" s="12"/>
      <c r="B2761" s="13"/>
      <c r="C2761" s="14"/>
      <c r="D2761" s="14"/>
      <c r="E2761" s="13"/>
      <c r="F2761" s="15"/>
      <c r="G2761" s="16" t="str">
        <f aca="false">IF(OR(B2761="",A2761=""),"",C2761*IFERROR(INDEX(Kişiler!$B$5:$B$44,MATCH(B2761,Kişiler!$A$5:$A$44,0)),0)+D2761*IFERROR(INDEX(Kişiler!$C$5:$C$44,MATCH(B2761,Kişiler!$A$5:$A$44,0)),0))</f>
        <v/>
      </c>
    </row>
    <row r="2762" customFormat="false" ht="15" hidden="false" customHeight="false" outlineLevel="0" collapsed="false">
      <c r="A2762" s="12"/>
      <c r="B2762" s="13"/>
      <c r="C2762" s="14"/>
      <c r="D2762" s="14"/>
      <c r="E2762" s="13"/>
      <c r="F2762" s="15"/>
      <c r="G2762" s="16" t="str">
        <f aca="false">IF(OR(B2762="",A2762=""),"",C2762*IFERROR(INDEX(Kişiler!$B$5:$B$44,MATCH(B2762,Kişiler!$A$5:$A$44,0)),0)+D2762*IFERROR(INDEX(Kişiler!$C$5:$C$44,MATCH(B2762,Kişiler!$A$5:$A$44,0)),0))</f>
        <v/>
      </c>
    </row>
    <row r="2763" customFormat="false" ht="15" hidden="false" customHeight="false" outlineLevel="0" collapsed="false">
      <c r="A2763" s="12"/>
      <c r="B2763" s="13"/>
      <c r="C2763" s="14"/>
      <c r="D2763" s="14"/>
      <c r="E2763" s="13"/>
      <c r="F2763" s="15"/>
      <c r="G2763" s="16" t="str">
        <f aca="false">IF(OR(B2763="",A2763=""),"",C2763*IFERROR(INDEX(Kişiler!$B$5:$B$44,MATCH(B2763,Kişiler!$A$5:$A$44,0)),0)+D2763*IFERROR(INDEX(Kişiler!$C$5:$C$44,MATCH(B2763,Kişiler!$A$5:$A$44,0)),0))</f>
        <v/>
      </c>
    </row>
    <row r="2764" customFormat="false" ht="15" hidden="false" customHeight="false" outlineLevel="0" collapsed="false">
      <c r="A2764" s="12"/>
      <c r="B2764" s="13"/>
      <c r="C2764" s="14"/>
      <c r="D2764" s="14"/>
      <c r="E2764" s="13"/>
      <c r="F2764" s="15"/>
      <c r="G2764" s="16" t="str">
        <f aca="false">IF(OR(B2764="",A2764=""),"",C2764*IFERROR(INDEX(Kişiler!$B$5:$B$44,MATCH(B2764,Kişiler!$A$5:$A$44,0)),0)+D2764*IFERROR(INDEX(Kişiler!$C$5:$C$44,MATCH(B2764,Kişiler!$A$5:$A$44,0)),0))</f>
        <v/>
      </c>
    </row>
    <row r="2765" customFormat="false" ht="15" hidden="false" customHeight="false" outlineLevel="0" collapsed="false">
      <c r="A2765" s="12"/>
      <c r="B2765" s="13"/>
      <c r="C2765" s="14"/>
      <c r="D2765" s="14"/>
      <c r="E2765" s="13"/>
      <c r="F2765" s="15"/>
      <c r="G2765" s="16" t="str">
        <f aca="false">IF(OR(B2765="",A2765=""),"",C2765*IFERROR(INDEX(Kişiler!$B$5:$B$44,MATCH(B2765,Kişiler!$A$5:$A$44,0)),0)+D2765*IFERROR(INDEX(Kişiler!$C$5:$C$44,MATCH(B2765,Kişiler!$A$5:$A$44,0)),0))</f>
        <v/>
      </c>
    </row>
    <row r="2766" customFormat="false" ht="15" hidden="false" customHeight="false" outlineLevel="0" collapsed="false">
      <c r="A2766" s="12"/>
      <c r="B2766" s="13"/>
      <c r="C2766" s="14"/>
      <c r="D2766" s="14"/>
      <c r="E2766" s="13"/>
      <c r="F2766" s="15"/>
      <c r="G2766" s="16" t="str">
        <f aca="false">IF(OR(B2766="",A2766=""),"",C2766*IFERROR(INDEX(Kişiler!$B$5:$B$44,MATCH(B2766,Kişiler!$A$5:$A$44,0)),0)+D2766*IFERROR(INDEX(Kişiler!$C$5:$C$44,MATCH(B2766,Kişiler!$A$5:$A$44,0)),0))</f>
        <v/>
      </c>
    </row>
    <row r="2767" customFormat="false" ht="15" hidden="false" customHeight="false" outlineLevel="0" collapsed="false">
      <c r="A2767" s="12"/>
      <c r="B2767" s="13"/>
      <c r="C2767" s="14"/>
      <c r="D2767" s="14"/>
      <c r="E2767" s="13"/>
      <c r="F2767" s="15"/>
      <c r="G2767" s="16" t="str">
        <f aca="false">IF(OR(B2767="",A2767=""),"",C2767*IFERROR(INDEX(Kişiler!$B$5:$B$44,MATCH(B2767,Kişiler!$A$5:$A$44,0)),0)+D2767*IFERROR(INDEX(Kişiler!$C$5:$C$44,MATCH(B2767,Kişiler!$A$5:$A$44,0)),0))</f>
        <v/>
      </c>
    </row>
    <row r="2768" customFormat="false" ht="15" hidden="false" customHeight="false" outlineLevel="0" collapsed="false">
      <c r="A2768" s="12"/>
      <c r="B2768" s="13"/>
      <c r="C2768" s="14"/>
      <c r="D2768" s="14"/>
      <c r="E2768" s="13"/>
      <c r="F2768" s="15"/>
      <c r="G2768" s="16" t="str">
        <f aca="false">IF(OR(B2768="",A2768=""),"",C2768*IFERROR(INDEX(Kişiler!$B$5:$B$44,MATCH(B2768,Kişiler!$A$5:$A$44,0)),0)+D2768*IFERROR(INDEX(Kişiler!$C$5:$C$44,MATCH(B2768,Kişiler!$A$5:$A$44,0)),0))</f>
        <v/>
      </c>
    </row>
    <row r="2769" customFormat="false" ht="15" hidden="false" customHeight="false" outlineLevel="0" collapsed="false">
      <c r="A2769" s="12"/>
      <c r="B2769" s="13"/>
      <c r="C2769" s="14"/>
      <c r="D2769" s="14"/>
      <c r="E2769" s="13"/>
      <c r="F2769" s="15"/>
      <c r="G2769" s="16" t="str">
        <f aca="false">IF(OR(B2769="",A2769=""),"",C2769*IFERROR(INDEX(Kişiler!$B$5:$B$44,MATCH(B2769,Kişiler!$A$5:$A$44,0)),0)+D2769*IFERROR(INDEX(Kişiler!$C$5:$C$44,MATCH(B2769,Kişiler!$A$5:$A$44,0)),0))</f>
        <v/>
      </c>
    </row>
    <row r="2770" customFormat="false" ht="15" hidden="false" customHeight="false" outlineLevel="0" collapsed="false">
      <c r="A2770" s="12"/>
      <c r="B2770" s="13"/>
      <c r="C2770" s="14"/>
      <c r="D2770" s="14"/>
      <c r="E2770" s="13"/>
      <c r="F2770" s="15"/>
      <c r="G2770" s="16" t="str">
        <f aca="false">IF(OR(B2770="",A2770=""),"",C2770*IFERROR(INDEX(Kişiler!$B$5:$B$44,MATCH(B2770,Kişiler!$A$5:$A$44,0)),0)+D2770*IFERROR(INDEX(Kişiler!$C$5:$C$44,MATCH(B2770,Kişiler!$A$5:$A$44,0)),0))</f>
        <v/>
      </c>
    </row>
    <row r="2771" customFormat="false" ht="15" hidden="false" customHeight="false" outlineLevel="0" collapsed="false">
      <c r="A2771" s="12"/>
      <c r="B2771" s="13"/>
      <c r="C2771" s="14"/>
      <c r="D2771" s="14"/>
      <c r="E2771" s="13"/>
      <c r="F2771" s="15"/>
      <c r="G2771" s="16" t="str">
        <f aca="false">IF(OR(B2771="",A2771=""),"",C2771*IFERROR(INDEX(Kişiler!$B$5:$B$44,MATCH(B2771,Kişiler!$A$5:$A$44,0)),0)+D2771*IFERROR(INDEX(Kişiler!$C$5:$C$44,MATCH(B2771,Kişiler!$A$5:$A$44,0)),0))</f>
        <v/>
      </c>
    </row>
    <row r="2772" customFormat="false" ht="15" hidden="false" customHeight="false" outlineLevel="0" collapsed="false">
      <c r="A2772" s="12"/>
      <c r="B2772" s="13"/>
      <c r="C2772" s="14"/>
      <c r="D2772" s="14"/>
      <c r="E2772" s="13"/>
      <c r="F2772" s="15"/>
      <c r="G2772" s="16" t="str">
        <f aca="false">IF(OR(B2772="",A2772=""),"",C2772*IFERROR(INDEX(Kişiler!$B$5:$B$44,MATCH(B2772,Kişiler!$A$5:$A$44,0)),0)+D2772*IFERROR(INDEX(Kişiler!$C$5:$C$44,MATCH(B2772,Kişiler!$A$5:$A$44,0)),0))</f>
        <v/>
      </c>
    </row>
    <row r="2773" customFormat="false" ht="15" hidden="false" customHeight="false" outlineLevel="0" collapsed="false">
      <c r="A2773" s="12"/>
      <c r="B2773" s="13"/>
      <c r="C2773" s="14"/>
      <c r="D2773" s="14"/>
      <c r="E2773" s="13"/>
      <c r="F2773" s="15"/>
      <c r="G2773" s="16" t="str">
        <f aca="false">IF(OR(B2773="",A2773=""),"",C2773*IFERROR(INDEX(Kişiler!$B$5:$B$44,MATCH(B2773,Kişiler!$A$5:$A$44,0)),0)+D2773*IFERROR(INDEX(Kişiler!$C$5:$C$44,MATCH(B2773,Kişiler!$A$5:$A$44,0)),0))</f>
        <v/>
      </c>
    </row>
    <row r="2774" customFormat="false" ht="15" hidden="false" customHeight="false" outlineLevel="0" collapsed="false">
      <c r="A2774" s="12"/>
      <c r="B2774" s="13"/>
      <c r="C2774" s="14"/>
      <c r="D2774" s="14"/>
      <c r="E2774" s="13"/>
      <c r="F2774" s="15"/>
      <c r="G2774" s="16" t="str">
        <f aca="false">IF(OR(B2774="",A2774=""),"",C2774*IFERROR(INDEX(Kişiler!$B$5:$B$44,MATCH(B2774,Kişiler!$A$5:$A$44,0)),0)+D2774*IFERROR(INDEX(Kişiler!$C$5:$C$44,MATCH(B2774,Kişiler!$A$5:$A$44,0)),0))</f>
        <v/>
      </c>
    </row>
    <row r="2775" customFormat="false" ht="15" hidden="false" customHeight="false" outlineLevel="0" collapsed="false">
      <c r="A2775" s="12"/>
      <c r="B2775" s="13"/>
      <c r="C2775" s="14"/>
      <c r="D2775" s="14"/>
      <c r="E2775" s="13"/>
      <c r="F2775" s="15"/>
      <c r="G2775" s="16" t="str">
        <f aca="false">IF(OR(B2775="",A2775=""),"",C2775*IFERROR(INDEX(Kişiler!$B$5:$B$44,MATCH(B2775,Kişiler!$A$5:$A$44,0)),0)+D2775*IFERROR(INDEX(Kişiler!$C$5:$C$44,MATCH(B2775,Kişiler!$A$5:$A$44,0)),0))</f>
        <v/>
      </c>
    </row>
    <row r="2776" customFormat="false" ht="15" hidden="false" customHeight="false" outlineLevel="0" collapsed="false">
      <c r="A2776" s="12"/>
      <c r="B2776" s="13"/>
      <c r="C2776" s="14"/>
      <c r="D2776" s="14"/>
      <c r="E2776" s="13"/>
      <c r="F2776" s="15"/>
      <c r="G2776" s="16" t="str">
        <f aca="false">IF(OR(B2776="",A2776=""),"",C2776*IFERROR(INDEX(Kişiler!$B$5:$B$44,MATCH(B2776,Kişiler!$A$5:$A$44,0)),0)+D2776*IFERROR(INDEX(Kişiler!$C$5:$C$44,MATCH(B2776,Kişiler!$A$5:$A$44,0)),0))</f>
        <v/>
      </c>
    </row>
    <row r="2777" customFormat="false" ht="15" hidden="false" customHeight="false" outlineLevel="0" collapsed="false">
      <c r="A2777" s="12"/>
      <c r="B2777" s="13"/>
      <c r="C2777" s="14"/>
      <c r="D2777" s="14"/>
      <c r="E2777" s="13"/>
      <c r="F2777" s="15"/>
      <c r="G2777" s="16" t="str">
        <f aca="false">IF(OR(B2777="",A2777=""),"",C2777*IFERROR(INDEX(Kişiler!$B$5:$B$44,MATCH(B2777,Kişiler!$A$5:$A$44,0)),0)+D2777*IFERROR(INDEX(Kişiler!$C$5:$C$44,MATCH(B2777,Kişiler!$A$5:$A$44,0)),0))</f>
        <v/>
      </c>
    </row>
    <row r="2778" customFormat="false" ht="15" hidden="false" customHeight="false" outlineLevel="0" collapsed="false">
      <c r="A2778" s="12"/>
      <c r="B2778" s="13"/>
      <c r="C2778" s="14"/>
      <c r="D2778" s="14"/>
      <c r="E2778" s="13"/>
      <c r="F2778" s="15"/>
      <c r="G2778" s="16" t="str">
        <f aca="false">IF(OR(B2778="",A2778=""),"",C2778*IFERROR(INDEX(Kişiler!$B$5:$B$44,MATCH(B2778,Kişiler!$A$5:$A$44,0)),0)+D2778*IFERROR(INDEX(Kişiler!$C$5:$C$44,MATCH(B2778,Kişiler!$A$5:$A$44,0)),0))</f>
        <v/>
      </c>
    </row>
    <row r="2779" customFormat="false" ht="15" hidden="false" customHeight="false" outlineLevel="0" collapsed="false">
      <c r="A2779" s="12"/>
      <c r="B2779" s="13"/>
      <c r="C2779" s="14"/>
      <c r="D2779" s="14"/>
      <c r="E2779" s="13"/>
      <c r="F2779" s="15"/>
      <c r="G2779" s="16" t="str">
        <f aca="false">IF(OR(B2779="",A2779=""),"",C2779*IFERROR(INDEX(Kişiler!$B$5:$B$44,MATCH(B2779,Kişiler!$A$5:$A$44,0)),0)+D2779*IFERROR(INDEX(Kişiler!$C$5:$C$44,MATCH(B2779,Kişiler!$A$5:$A$44,0)),0))</f>
        <v/>
      </c>
    </row>
    <row r="2780" customFormat="false" ht="15" hidden="false" customHeight="false" outlineLevel="0" collapsed="false">
      <c r="A2780" s="12"/>
      <c r="B2780" s="13"/>
      <c r="C2780" s="14"/>
      <c r="D2780" s="14"/>
      <c r="E2780" s="13"/>
      <c r="F2780" s="15"/>
      <c r="G2780" s="16" t="str">
        <f aca="false">IF(OR(B2780="",A2780=""),"",C2780*IFERROR(INDEX(Kişiler!$B$5:$B$44,MATCH(B2780,Kişiler!$A$5:$A$44,0)),0)+D2780*IFERROR(INDEX(Kişiler!$C$5:$C$44,MATCH(B2780,Kişiler!$A$5:$A$44,0)),0))</f>
        <v/>
      </c>
    </row>
    <row r="2781" customFormat="false" ht="15" hidden="false" customHeight="false" outlineLevel="0" collapsed="false">
      <c r="A2781" s="12"/>
      <c r="B2781" s="13"/>
      <c r="C2781" s="14"/>
      <c r="D2781" s="14"/>
      <c r="E2781" s="13"/>
      <c r="F2781" s="15"/>
      <c r="G2781" s="16" t="str">
        <f aca="false">IF(OR(B2781="",A2781=""),"",C2781*IFERROR(INDEX(Kişiler!$B$5:$B$44,MATCH(B2781,Kişiler!$A$5:$A$44,0)),0)+D2781*IFERROR(INDEX(Kişiler!$C$5:$C$44,MATCH(B2781,Kişiler!$A$5:$A$44,0)),0))</f>
        <v/>
      </c>
    </row>
    <row r="2782" customFormat="false" ht="15" hidden="false" customHeight="false" outlineLevel="0" collapsed="false">
      <c r="A2782" s="12"/>
      <c r="B2782" s="13"/>
      <c r="C2782" s="14"/>
      <c r="D2782" s="14"/>
      <c r="E2782" s="13"/>
      <c r="F2782" s="15"/>
      <c r="G2782" s="16" t="str">
        <f aca="false">IF(OR(B2782="",A2782=""),"",C2782*IFERROR(INDEX(Kişiler!$B$5:$B$44,MATCH(B2782,Kişiler!$A$5:$A$44,0)),0)+D2782*IFERROR(INDEX(Kişiler!$C$5:$C$44,MATCH(B2782,Kişiler!$A$5:$A$44,0)),0))</f>
        <v/>
      </c>
    </row>
    <row r="2783" customFormat="false" ht="15" hidden="false" customHeight="false" outlineLevel="0" collapsed="false">
      <c r="A2783" s="12"/>
      <c r="B2783" s="13"/>
      <c r="C2783" s="14"/>
      <c r="D2783" s="14"/>
      <c r="E2783" s="13"/>
      <c r="F2783" s="15"/>
      <c r="G2783" s="16" t="str">
        <f aca="false">IF(OR(B2783="",A2783=""),"",C2783*IFERROR(INDEX(Kişiler!$B$5:$B$44,MATCH(B2783,Kişiler!$A$5:$A$44,0)),0)+D2783*IFERROR(INDEX(Kişiler!$C$5:$C$44,MATCH(B2783,Kişiler!$A$5:$A$44,0)),0))</f>
        <v/>
      </c>
    </row>
    <row r="2784" customFormat="false" ht="15" hidden="false" customHeight="false" outlineLevel="0" collapsed="false">
      <c r="A2784" s="12"/>
      <c r="B2784" s="13"/>
      <c r="C2784" s="14"/>
      <c r="D2784" s="14"/>
      <c r="E2784" s="13"/>
      <c r="F2784" s="15"/>
      <c r="G2784" s="16" t="str">
        <f aca="false">IF(OR(B2784="",A2784=""),"",C2784*IFERROR(INDEX(Kişiler!$B$5:$B$44,MATCH(B2784,Kişiler!$A$5:$A$44,0)),0)+D2784*IFERROR(INDEX(Kişiler!$C$5:$C$44,MATCH(B2784,Kişiler!$A$5:$A$44,0)),0))</f>
        <v/>
      </c>
    </row>
    <row r="2785" customFormat="false" ht="15" hidden="false" customHeight="false" outlineLevel="0" collapsed="false">
      <c r="A2785" s="12"/>
      <c r="B2785" s="13"/>
      <c r="C2785" s="14"/>
      <c r="D2785" s="14"/>
      <c r="E2785" s="13"/>
      <c r="F2785" s="15"/>
      <c r="G2785" s="16" t="str">
        <f aca="false">IF(OR(B2785="",A2785=""),"",C2785*IFERROR(INDEX(Kişiler!$B$5:$B$44,MATCH(B2785,Kişiler!$A$5:$A$44,0)),0)+D2785*IFERROR(INDEX(Kişiler!$C$5:$C$44,MATCH(B2785,Kişiler!$A$5:$A$44,0)),0))</f>
        <v/>
      </c>
    </row>
    <row r="2786" customFormat="false" ht="15" hidden="false" customHeight="false" outlineLevel="0" collapsed="false">
      <c r="A2786" s="12"/>
      <c r="B2786" s="13"/>
      <c r="C2786" s="14"/>
      <c r="D2786" s="14"/>
      <c r="E2786" s="13"/>
      <c r="F2786" s="15"/>
      <c r="G2786" s="16" t="str">
        <f aca="false">IF(OR(B2786="",A2786=""),"",C2786*IFERROR(INDEX(Kişiler!$B$5:$B$44,MATCH(B2786,Kişiler!$A$5:$A$44,0)),0)+D2786*IFERROR(INDEX(Kişiler!$C$5:$C$44,MATCH(B2786,Kişiler!$A$5:$A$44,0)),0))</f>
        <v/>
      </c>
    </row>
    <row r="2787" customFormat="false" ht="15" hidden="false" customHeight="false" outlineLevel="0" collapsed="false">
      <c r="A2787" s="12"/>
      <c r="B2787" s="13"/>
      <c r="C2787" s="14"/>
      <c r="D2787" s="14"/>
      <c r="E2787" s="13"/>
      <c r="F2787" s="15"/>
      <c r="G2787" s="16" t="str">
        <f aca="false">IF(OR(B2787="",A2787=""),"",C2787*IFERROR(INDEX(Kişiler!$B$5:$B$44,MATCH(B2787,Kişiler!$A$5:$A$44,0)),0)+D2787*IFERROR(INDEX(Kişiler!$C$5:$C$44,MATCH(B2787,Kişiler!$A$5:$A$44,0)),0))</f>
        <v/>
      </c>
    </row>
    <row r="2788" customFormat="false" ht="15" hidden="false" customHeight="false" outlineLevel="0" collapsed="false">
      <c r="A2788" s="12"/>
      <c r="B2788" s="13"/>
      <c r="C2788" s="14"/>
      <c r="D2788" s="14"/>
      <c r="E2788" s="13"/>
      <c r="F2788" s="15"/>
      <c r="G2788" s="16" t="str">
        <f aca="false">IF(OR(B2788="",A2788=""),"",C2788*IFERROR(INDEX(Kişiler!$B$5:$B$44,MATCH(B2788,Kişiler!$A$5:$A$44,0)),0)+D2788*IFERROR(INDEX(Kişiler!$C$5:$C$44,MATCH(B2788,Kişiler!$A$5:$A$44,0)),0))</f>
        <v/>
      </c>
    </row>
    <row r="2789" customFormat="false" ht="15" hidden="false" customHeight="false" outlineLevel="0" collapsed="false">
      <c r="A2789" s="12"/>
      <c r="B2789" s="13"/>
      <c r="C2789" s="14"/>
      <c r="D2789" s="14"/>
      <c r="E2789" s="13"/>
      <c r="F2789" s="15"/>
      <c r="G2789" s="16" t="str">
        <f aca="false">IF(OR(B2789="",A2789=""),"",C2789*IFERROR(INDEX(Kişiler!$B$5:$B$44,MATCH(B2789,Kişiler!$A$5:$A$44,0)),0)+D2789*IFERROR(INDEX(Kişiler!$C$5:$C$44,MATCH(B2789,Kişiler!$A$5:$A$44,0)),0))</f>
        <v/>
      </c>
    </row>
    <row r="2790" customFormat="false" ht="15" hidden="false" customHeight="false" outlineLevel="0" collapsed="false">
      <c r="A2790" s="12"/>
      <c r="B2790" s="13"/>
      <c r="C2790" s="14"/>
      <c r="D2790" s="14"/>
      <c r="E2790" s="13"/>
      <c r="F2790" s="15"/>
      <c r="G2790" s="16" t="str">
        <f aca="false">IF(OR(B2790="",A2790=""),"",C2790*IFERROR(INDEX(Kişiler!$B$5:$B$44,MATCH(B2790,Kişiler!$A$5:$A$44,0)),0)+D2790*IFERROR(INDEX(Kişiler!$C$5:$C$44,MATCH(B2790,Kişiler!$A$5:$A$44,0)),0))</f>
        <v/>
      </c>
    </row>
    <row r="2791" customFormat="false" ht="15" hidden="false" customHeight="false" outlineLevel="0" collapsed="false">
      <c r="A2791" s="12"/>
      <c r="B2791" s="13"/>
      <c r="C2791" s="14"/>
      <c r="D2791" s="14"/>
      <c r="E2791" s="13"/>
      <c r="F2791" s="15"/>
      <c r="G2791" s="16" t="str">
        <f aca="false">IF(OR(B2791="",A2791=""),"",C2791*IFERROR(INDEX(Kişiler!$B$5:$B$44,MATCH(B2791,Kişiler!$A$5:$A$44,0)),0)+D2791*IFERROR(INDEX(Kişiler!$C$5:$C$44,MATCH(B2791,Kişiler!$A$5:$A$44,0)),0))</f>
        <v/>
      </c>
    </row>
    <row r="2792" customFormat="false" ht="15" hidden="false" customHeight="false" outlineLevel="0" collapsed="false">
      <c r="A2792" s="12"/>
      <c r="B2792" s="13"/>
      <c r="C2792" s="14"/>
      <c r="D2792" s="14"/>
      <c r="E2792" s="13"/>
      <c r="F2792" s="15"/>
      <c r="G2792" s="16" t="str">
        <f aca="false">IF(OR(B2792="",A2792=""),"",C2792*IFERROR(INDEX(Kişiler!$B$5:$B$44,MATCH(B2792,Kişiler!$A$5:$A$44,0)),0)+D2792*IFERROR(INDEX(Kişiler!$C$5:$C$44,MATCH(B2792,Kişiler!$A$5:$A$44,0)),0))</f>
        <v/>
      </c>
    </row>
    <row r="2793" customFormat="false" ht="15" hidden="false" customHeight="false" outlineLevel="0" collapsed="false">
      <c r="A2793" s="12"/>
      <c r="B2793" s="13"/>
      <c r="C2793" s="14"/>
      <c r="D2793" s="14"/>
      <c r="E2793" s="13"/>
      <c r="F2793" s="15"/>
      <c r="G2793" s="16" t="str">
        <f aca="false">IF(OR(B2793="",A2793=""),"",C2793*IFERROR(INDEX(Kişiler!$B$5:$B$44,MATCH(B2793,Kişiler!$A$5:$A$44,0)),0)+D2793*IFERROR(INDEX(Kişiler!$C$5:$C$44,MATCH(B2793,Kişiler!$A$5:$A$44,0)),0))</f>
        <v/>
      </c>
    </row>
    <row r="2794" customFormat="false" ht="15" hidden="false" customHeight="false" outlineLevel="0" collapsed="false">
      <c r="A2794" s="12"/>
      <c r="B2794" s="13"/>
      <c r="C2794" s="14"/>
      <c r="D2794" s="14"/>
      <c r="E2794" s="13"/>
      <c r="F2794" s="15"/>
      <c r="G2794" s="16" t="str">
        <f aca="false">IF(OR(B2794="",A2794=""),"",C2794*IFERROR(INDEX(Kişiler!$B$5:$B$44,MATCH(B2794,Kişiler!$A$5:$A$44,0)),0)+D2794*IFERROR(INDEX(Kişiler!$C$5:$C$44,MATCH(B2794,Kişiler!$A$5:$A$44,0)),0))</f>
        <v/>
      </c>
    </row>
    <row r="2795" customFormat="false" ht="15" hidden="false" customHeight="false" outlineLevel="0" collapsed="false">
      <c r="A2795" s="12"/>
      <c r="B2795" s="13"/>
      <c r="C2795" s="14"/>
      <c r="D2795" s="14"/>
      <c r="E2795" s="13"/>
      <c r="F2795" s="15"/>
      <c r="G2795" s="16" t="str">
        <f aca="false">IF(OR(B2795="",A2795=""),"",C2795*IFERROR(INDEX(Kişiler!$B$5:$B$44,MATCH(B2795,Kişiler!$A$5:$A$44,0)),0)+D2795*IFERROR(INDEX(Kişiler!$C$5:$C$44,MATCH(B2795,Kişiler!$A$5:$A$44,0)),0))</f>
        <v/>
      </c>
    </row>
    <row r="2796" customFormat="false" ht="15" hidden="false" customHeight="false" outlineLevel="0" collapsed="false">
      <c r="A2796" s="12"/>
      <c r="B2796" s="13"/>
      <c r="C2796" s="14"/>
      <c r="D2796" s="14"/>
      <c r="E2796" s="13"/>
      <c r="F2796" s="15"/>
      <c r="G2796" s="16" t="str">
        <f aca="false">IF(OR(B2796="",A2796=""),"",C2796*IFERROR(INDEX(Kişiler!$B$5:$B$44,MATCH(B2796,Kişiler!$A$5:$A$44,0)),0)+D2796*IFERROR(INDEX(Kişiler!$C$5:$C$44,MATCH(B2796,Kişiler!$A$5:$A$44,0)),0))</f>
        <v/>
      </c>
    </row>
    <row r="2797" customFormat="false" ht="15" hidden="false" customHeight="false" outlineLevel="0" collapsed="false">
      <c r="A2797" s="12"/>
      <c r="B2797" s="13"/>
      <c r="C2797" s="14"/>
      <c r="D2797" s="14"/>
      <c r="E2797" s="13"/>
      <c r="F2797" s="15"/>
      <c r="G2797" s="16" t="str">
        <f aca="false">IF(OR(B2797="",A2797=""),"",C2797*IFERROR(INDEX(Kişiler!$B$5:$B$44,MATCH(B2797,Kişiler!$A$5:$A$44,0)),0)+D2797*IFERROR(INDEX(Kişiler!$C$5:$C$44,MATCH(B2797,Kişiler!$A$5:$A$44,0)),0))</f>
        <v/>
      </c>
    </row>
    <row r="2798" customFormat="false" ht="15" hidden="false" customHeight="false" outlineLevel="0" collapsed="false">
      <c r="A2798" s="12"/>
      <c r="B2798" s="13"/>
      <c r="C2798" s="14"/>
      <c r="D2798" s="14"/>
      <c r="E2798" s="13"/>
      <c r="F2798" s="15"/>
      <c r="G2798" s="16" t="str">
        <f aca="false">IF(OR(B2798="",A2798=""),"",C2798*IFERROR(INDEX(Kişiler!$B$5:$B$44,MATCH(B2798,Kişiler!$A$5:$A$44,0)),0)+D2798*IFERROR(INDEX(Kişiler!$C$5:$C$44,MATCH(B2798,Kişiler!$A$5:$A$44,0)),0))</f>
        <v/>
      </c>
    </row>
    <row r="2799" customFormat="false" ht="15" hidden="false" customHeight="false" outlineLevel="0" collapsed="false">
      <c r="A2799" s="12"/>
      <c r="B2799" s="13"/>
      <c r="C2799" s="14"/>
      <c r="D2799" s="14"/>
      <c r="E2799" s="13"/>
      <c r="F2799" s="15"/>
      <c r="G2799" s="16" t="str">
        <f aca="false">IF(OR(B2799="",A2799=""),"",C2799*IFERROR(INDEX(Kişiler!$B$5:$B$44,MATCH(B2799,Kişiler!$A$5:$A$44,0)),0)+D2799*IFERROR(INDEX(Kişiler!$C$5:$C$44,MATCH(B2799,Kişiler!$A$5:$A$44,0)),0))</f>
        <v/>
      </c>
    </row>
    <row r="2800" customFormat="false" ht="15" hidden="false" customHeight="false" outlineLevel="0" collapsed="false">
      <c r="A2800" s="12"/>
      <c r="B2800" s="13"/>
      <c r="C2800" s="14"/>
      <c r="D2800" s="14"/>
      <c r="E2800" s="13"/>
      <c r="F2800" s="15"/>
      <c r="G2800" s="16" t="str">
        <f aca="false">IF(OR(B2800="",A2800=""),"",C2800*IFERROR(INDEX(Kişiler!$B$5:$B$44,MATCH(B2800,Kişiler!$A$5:$A$44,0)),0)+D2800*IFERROR(INDEX(Kişiler!$C$5:$C$44,MATCH(B2800,Kişiler!$A$5:$A$44,0)),0))</f>
        <v/>
      </c>
    </row>
    <row r="2801" customFormat="false" ht="15" hidden="false" customHeight="false" outlineLevel="0" collapsed="false">
      <c r="A2801" s="12"/>
      <c r="B2801" s="13"/>
      <c r="C2801" s="14"/>
      <c r="D2801" s="14"/>
      <c r="E2801" s="13"/>
      <c r="F2801" s="15"/>
      <c r="G2801" s="16" t="str">
        <f aca="false">IF(OR(B2801="",A2801=""),"",C2801*IFERROR(INDEX(Kişiler!$B$5:$B$44,MATCH(B2801,Kişiler!$A$5:$A$44,0)),0)+D2801*IFERROR(INDEX(Kişiler!$C$5:$C$44,MATCH(B2801,Kişiler!$A$5:$A$44,0)),0))</f>
        <v/>
      </c>
    </row>
    <row r="2802" customFormat="false" ht="15" hidden="false" customHeight="false" outlineLevel="0" collapsed="false">
      <c r="A2802" s="12"/>
      <c r="B2802" s="13"/>
      <c r="C2802" s="14"/>
      <c r="D2802" s="14"/>
      <c r="E2802" s="13"/>
      <c r="F2802" s="15"/>
      <c r="G2802" s="16" t="str">
        <f aca="false">IF(OR(B2802="",A2802=""),"",C2802*IFERROR(INDEX(Kişiler!$B$5:$B$44,MATCH(B2802,Kişiler!$A$5:$A$44,0)),0)+D2802*IFERROR(INDEX(Kişiler!$C$5:$C$44,MATCH(B2802,Kişiler!$A$5:$A$44,0)),0))</f>
        <v/>
      </c>
    </row>
    <row r="2803" customFormat="false" ht="15" hidden="false" customHeight="false" outlineLevel="0" collapsed="false">
      <c r="A2803" s="12"/>
      <c r="B2803" s="13"/>
      <c r="C2803" s="14"/>
      <c r="D2803" s="14"/>
      <c r="E2803" s="13"/>
      <c r="F2803" s="15"/>
      <c r="G2803" s="16" t="str">
        <f aca="false">IF(OR(B2803="",A2803=""),"",C2803*IFERROR(INDEX(Kişiler!$B$5:$B$44,MATCH(B2803,Kişiler!$A$5:$A$44,0)),0)+D2803*IFERROR(INDEX(Kişiler!$C$5:$C$44,MATCH(B2803,Kişiler!$A$5:$A$44,0)),0))</f>
        <v/>
      </c>
    </row>
    <row r="2804" customFormat="false" ht="15" hidden="false" customHeight="false" outlineLevel="0" collapsed="false">
      <c r="A2804" s="12"/>
      <c r="B2804" s="13"/>
      <c r="C2804" s="14"/>
      <c r="D2804" s="14"/>
      <c r="E2804" s="13"/>
      <c r="F2804" s="15"/>
      <c r="G2804" s="16" t="str">
        <f aca="false">IF(OR(B2804="",A2804=""),"",C2804*IFERROR(INDEX(Kişiler!$B$5:$B$44,MATCH(B2804,Kişiler!$A$5:$A$44,0)),0)+D2804*IFERROR(INDEX(Kişiler!$C$5:$C$44,MATCH(B2804,Kişiler!$A$5:$A$44,0)),0))</f>
        <v/>
      </c>
    </row>
    <row r="2805" customFormat="false" ht="15" hidden="false" customHeight="false" outlineLevel="0" collapsed="false">
      <c r="A2805" s="12"/>
      <c r="B2805" s="13"/>
      <c r="C2805" s="14"/>
      <c r="D2805" s="14"/>
      <c r="E2805" s="13"/>
      <c r="F2805" s="15"/>
      <c r="G2805" s="16" t="str">
        <f aca="false">IF(OR(B2805="",A2805=""),"",C2805*IFERROR(INDEX(Kişiler!$B$5:$B$44,MATCH(B2805,Kişiler!$A$5:$A$44,0)),0)+D2805*IFERROR(INDEX(Kişiler!$C$5:$C$44,MATCH(B2805,Kişiler!$A$5:$A$44,0)),0))</f>
        <v/>
      </c>
    </row>
    <row r="2806" customFormat="false" ht="15" hidden="false" customHeight="false" outlineLevel="0" collapsed="false">
      <c r="A2806" s="12"/>
      <c r="B2806" s="13"/>
      <c r="C2806" s="14"/>
      <c r="D2806" s="14"/>
      <c r="E2806" s="13"/>
      <c r="F2806" s="15"/>
      <c r="G2806" s="16" t="str">
        <f aca="false">IF(OR(B2806="",A2806=""),"",C2806*IFERROR(INDEX(Kişiler!$B$5:$B$44,MATCH(B2806,Kişiler!$A$5:$A$44,0)),0)+D2806*IFERROR(INDEX(Kişiler!$C$5:$C$44,MATCH(B2806,Kişiler!$A$5:$A$44,0)),0))</f>
        <v/>
      </c>
    </row>
    <row r="2807" customFormat="false" ht="15" hidden="false" customHeight="false" outlineLevel="0" collapsed="false">
      <c r="A2807" s="12"/>
      <c r="B2807" s="13"/>
      <c r="C2807" s="14"/>
      <c r="D2807" s="14"/>
      <c r="E2807" s="13"/>
      <c r="F2807" s="15"/>
      <c r="G2807" s="16" t="str">
        <f aca="false">IF(OR(B2807="",A2807=""),"",C2807*IFERROR(INDEX(Kişiler!$B$5:$B$44,MATCH(B2807,Kişiler!$A$5:$A$44,0)),0)+D2807*IFERROR(INDEX(Kişiler!$C$5:$C$44,MATCH(B2807,Kişiler!$A$5:$A$44,0)),0))</f>
        <v/>
      </c>
    </row>
    <row r="2808" customFormat="false" ht="15" hidden="false" customHeight="false" outlineLevel="0" collapsed="false">
      <c r="A2808" s="12"/>
      <c r="B2808" s="13"/>
      <c r="C2808" s="14"/>
      <c r="D2808" s="14"/>
      <c r="E2808" s="13"/>
      <c r="F2808" s="15"/>
      <c r="G2808" s="16" t="str">
        <f aca="false">IF(OR(B2808="",A2808=""),"",C2808*IFERROR(INDEX(Kişiler!$B$5:$B$44,MATCH(B2808,Kişiler!$A$5:$A$44,0)),0)+D2808*IFERROR(INDEX(Kişiler!$C$5:$C$44,MATCH(B2808,Kişiler!$A$5:$A$44,0)),0))</f>
        <v/>
      </c>
    </row>
    <row r="2809" customFormat="false" ht="15" hidden="false" customHeight="false" outlineLevel="0" collapsed="false">
      <c r="A2809" s="12"/>
      <c r="B2809" s="13"/>
      <c r="C2809" s="14"/>
      <c r="D2809" s="14"/>
      <c r="E2809" s="13"/>
      <c r="F2809" s="15"/>
      <c r="G2809" s="16" t="str">
        <f aca="false">IF(OR(B2809="",A2809=""),"",C2809*IFERROR(INDEX(Kişiler!$B$5:$B$44,MATCH(B2809,Kişiler!$A$5:$A$44,0)),0)+D2809*IFERROR(INDEX(Kişiler!$C$5:$C$44,MATCH(B2809,Kişiler!$A$5:$A$44,0)),0))</f>
        <v/>
      </c>
    </row>
    <row r="2810" customFormat="false" ht="15" hidden="false" customHeight="false" outlineLevel="0" collapsed="false">
      <c r="A2810" s="12"/>
      <c r="B2810" s="13"/>
      <c r="C2810" s="14"/>
      <c r="D2810" s="14"/>
      <c r="E2810" s="13"/>
      <c r="F2810" s="15"/>
      <c r="G2810" s="16" t="str">
        <f aca="false">IF(OR(B2810="",A2810=""),"",C2810*IFERROR(INDEX(Kişiler!$B$5:$B$44,MATCH(B2810,Kişiler!$A$5:$A$44,0)),0)+D2810*IFERROR(INDEX(Kişiler!$C$5:$C$44,MATCH(B2810,Kişiler!$A$5:$A$44,0)),0))</f>
        <v/>
      </c>
    </row>
    <row r="2811" customFormat="false" ht="15" hidden="false" customHeight="false" outlineLevel="0" collapsed="false">
      <c r="A2811" s="12"/>
      <c r="B2811" s="13"/>
      <c r="C2811" s="14"/>
      <c r="D2811" s="14"/>
      <c r="E2811" s="13"/>
      <c r="F2811" s="15"/>
      <c r="G2811" s="16" t="str">
        <f aca="false">IF(OR(B2811="",A2811=""),"",C2811*IFERROR(INDEX(Kişiler!$B$5:$B$44,MATCH(B2811,Kişiler!$A$5:$A$44,0)),0)+D2811*IFERROR(INDEX(Kişiler!$C$5:$C$44,MATCH(B2811,Kişiler!$A$5:$A$44,0)),0))</f>
        <v/>
      </c>
    </row>
    <row r="2812" customFormat="false" ht="15" hidden="false" customHeight="false" outlineLevel="0" collapsed="false">
      <c r="A2812" s="12"/>
      <c r="B2812" s="13"/>
      <c r="C2812" s="14"/>
      <c r="D2812" s="14"/>
      <c r="E2812" s="13"/>
      <c r="F2812" s="15"/>
      <c r="G2812" s="16" t="str">
        <f aca="false">IF(OR(B2812="",A2812=""),"",C2812*IFERROR(INDEX(Kişiler!$B$5:$B$44,MATCH(B2812,Kişiler!$A$5:$A$44,0)),0)+D2812*IFERROR(INDEX(Kişiler!$C$5:$C$44,MATCH(B2812,Kişiler!$A$5:$A$44,0)),0))</f>
        <v/>
      </c>
    </row>
    <row r="2813" customFormat="false" ht="15" hidden="false" customHeight="false" outlineLevel="0" collapsed="false">
      <c r="A2813" s="12"/>
      <c r="B2813" s="13"/>
      <c r="C2813" s="14"/>
      <c r="D2813" s="14"/>
      <c r="E2813" s="13"/>
      <c r="F2813" s="15"/>
      <c r="G2813" s="16" t="str">
        <f aca="false">IF(OR(B2813="",A2813=""),"",C2813*IFERROR(INDEX(Kişiler!$B$5:$B$44,MATCH(B2813,Kişiler!$A$5:$A$44,0)),0)+D2813*IFERROR(INDEX(Kişiler!$C$5:$C$44,MATCH(B2813,Kişiler!$A$5:$A$44,0)),0))</f>
        <v/>
      </c>
    </row>
    <row r="2814" customFormat="false" ht="15" hidden="false" customHeight="false" outlineLevel="0" collapsed="false">
      <c r="A2814" s="12"/>
      <c r="B2814" s="13"/>
      <c r="C2814" s="14"/>
      <c r="D2814" s="14"/>
      <c r="E2814" s="13"/>
      <c r="F2814" s="15"/>
      <c r="G2814" s="16" t="str">
        <f aca="false">IF(OR(B2814="",A2814=""),"",C2814*IFERROR(INDEX(Kişiler!$B$5:$B$44,MATCH(B2814,Kişiler!$A$5:$A$44,0)),0)+D2814*IFERROR(INDEX(Kişiler!$C$5:$C$44,MATCH(B2814,Kişiler!$A$5:$A$44,0)),0))</f>
        <v/>
      </c>
    </row>
    <row r="2815" customFormat="false" ht="15" hidden="false" customHeight="false" outlineLevel="0" collapsed="false">
      <c r="A2815" s="12"/>
      <c r="B2815" s="13"/>
      <c r="C2815" s="14"/>
      <c r="D2815" s="14"/>
      <c r="E2815" s="13"/>
      <c r="F2815" s="15"/>
      <c r="G2815" s="16" t="str">
        <f aca="false">IF(OR(B2815="",A2815=""),"",C2815*IFERROR(INDEX(Kişiler!$B$5:$B$44,MATCH(B2815,Kişiler!$A$5:$A$44,0)),0)+D2815*IFERROR(INDEX(Kişiler!$C$5:$C$44,MATCH(B2815,Kişiler!$A$5:$A$44,0)),0))</f>
        <v/>
      </c>
    </row>
    <row r="2816" customFormat="false" ht="15" hidden="false" customHeight="false" outlineLevel="0" collapsed="false">
      <c r="A2816" s="12"/>
      <c r="B2816" s="13"/>
      <c r="C2816" s="14"/>
      <c r="D2816" s="14"/>
      <c r="E2816" s="13"/>
      <c r="F2816" s="15"/>
      <c r="G2816" s="16" t="str">
        <f aca="false">IF(OR(B2816="",A2816=""),"",C2816*IFERROR(INDEX(Kişiler!$B$5:$B$44,MATCH(B2816,Kişiler!$A$5:$A$44,0)),0)+D2816*IFERROR(INDEX(Kişiler!$C$5:$C$44,MATCH(B2816,Kişiler!$A$5:$A$44,0)),0))</f>
        <v/>
      </c>
    </row>
    <row r="2817" customFormat="false" ht="15" hidden="false" customHeight="false" outlineLevel="0" collapsed="false">
      <c r="A2817" s="12"/>
      <c r="B2817" s="13"/>
      <c r="C2817" s="14"/>
      <c r="D2817" s="14"/>
      <c r="E2817" s="13"/>
      <c r="F2817" s="15"/>
      <c r="G2817" s="16" t="str">
        <f aca="false">IF(OR(B2817="",A2817=""),"",C2817*IFERROR(INDEX(Kişiler!$B$5:$B$44,MATCH(B2817,Kişiler!$A$5:$A$44,0)),0)+D2817*IFERROR(INDEX(Kişiler!$C$5:$C$44,MATCH(B2817,Kişiler!$A$5:$A$44,0)),0))</f>
        <v/>
      </c>
    </row>
    <row r="2818" customFormat="false" ht="15" hidden="false" customHeight="false" outlineLevel="0" collapsed="false">
      <c r="A2818" s="12"/>
      <c r="B2818" s="13"/>
      <c r="C2818" s="14"/>
      <c r="D2818" s="14"/>
      <c r="E2818" s="13"/>
      <c r="F2818" s="15"/>
      <c r="G2818" s="16" t="str">
        <f aca="false">IF(OR(B2818="",A2818=""),"",C2818*IFERROR(INDEX(Kişiler!$B$5:$B$44,MATCH(B2818,Kişiler!$A$5:$A$44,0)),0)+D2818*IFERROR(INDEX(Kişiler!$C$5:$C$44,MATCH(B2818,Kişiler!$A$5:$A$44,0)),0))</f>
        <v/>
      </c>
    </row>
    <row r="2819" customFormat="false" ht="15" hidden="false" customHeight="false" outlineLevel="0" collapsed="false">
      <c r="A2819" s="12"/>
      <c r="B2819" s="13"/>
      <c r="C2819" s="14"/>
      <c r="D2819" s="14"/>
      <c r="E2819" s="13"/>
      <c r="F2819" s="15"/>
      <c r="G2819" s="16" t="str">
        <f aca="false">IF(OR(B2819="",A2819=""),"",C2819*IFERROR(INDEX(Kişiler!$B$5:$B$44,MATCH(B2819,Kişiler!$A$5:$A$44,0)),0)+D2819*IFERROR(INDEX(Kişiler!$C$5:$C$44,MATCH(B2819,Kişiler!$A$5:$A$44,0)),0))</f>
        <v/>
      </c>
    </row>
    <row r="2820" customFormat="false" ht="15" hidden="false" customHeight="false" outlineLevel="0" collapsed="false">
      <c r="A2820" s="12"/>
      <c r="B2820" s="13"/>
      <c r="C2820" s="14"/>
      <c r="D2820" s="14"/>
      <c r="E2820" s="13"/>
      <c r="F2820" s="15"/>
      <c r="G2820" s="16" t="str">
        <f aca="false">IF(OR(B2820="",A2820=""),"",C2820*IFERROR(INDEX(Kişiler!$B$5:$B$44,MATCH(B2820,Kişiler!$A$5:$A$44,0)),0)+D2820*IFERROR(INDEX(Kişiler!$C$5:$C$44,MATCH(B2820,Kişiler!$A$5:$A$44,0)),0))</f>
        <v/>
      </c>
    </row>
    <row r="2821" customFormat="false" ht="15" hidden="false" customHeight="false" outlineLevel="0" collapsed="false">
      <c r="A2821" s="12"/>
      <c r="B2821" s="13"/>
      <c r="C2821" s="14"/>
      <c r="D2821" s="14"/>
      <c r="E2821" s="13"/>
      <c r="F2821" s="15"/>
      <c r="G2821" s="16" t="str">
        <f aca="false">IF(OR(B2821="",A2821=""),"",C2821*IFERROR(INDEX(Kişiler!$B$5:$B$44,MATCH(B2821,Kişiler!$A$5:$A$44,0)),0)+D2821*IFERROR(INDEX(Kişiler!$C$5:$C$44,MATCH(B2821,Kişiler!$A$5:$A$44,0)),0))</f>
        <v/>
      </c>
    </row>
    <row r="2822" customFormat="false" ht="15" hidden="false" customHeight="false" outlineLevel="0" collapsed="false">
      <c r="A2822" s="12"/>
      <c r="B2822" s="13"/>
      <c r="C2822" s="14"/>
      <c r="D2822" s="14"/>
      <c r="E2822" s="13"/>
      <c r="F2822" s="15"/>
      <c r="G2822" s="16" t="str">
        <f aca="false">IF(OR(B2822="",A2822=""),"",C2822*IFERROR(INDEX(Kişiler!$B$5:$B$44,MATCH(B2822,Kişiler!$A$5:$A$44,0)),0)+D2822*IFERROR(INDEX(Kişiler!$C$5:$C$44,MATCH(B2822,Kişiler!$A$5:$A$44,0)),0))</f>
        <v/>
      </c>
    </row>
    <row r="2823" customFormat="false" ht="15" hidden="false" customHeight="false" outlineLevel="0" collapsed="false">
      <c r="A2823" s="12"/>
      <c r="B2823" s="13"/>
      <c r="C2823" s="14"/>
      <c r="D2823" s="14"/>
      <c r="E2823" s="13"/>
      <c r="F2823" s="15"/>
      <c r="G2823" s="16" t="str">
        <f aca="false">IF(OR(B2823="",A2823=""),"",C2823*IFERROR(INDEX(Kişiler!$B$5:$B$44,MATCH(B2823,Kişiler!$A$5:$A$44,0)),0)+D2823*IFERROR(INDEX(Kişiler!$C$5:$C$44,MATCH(B2823,Kişiler!$A$5:$A$44,0)),0))</f>
        <v/>
      </c>
    </row>
    <row r="2824" customFormat="false" ht="15" hidden="false" customHeight="false" outlineLevel="0" collapsed="false">
      <c r="A2824" s="12"/>
      <c r="B2824" s="13"/>
      <c r="C2824" s="14"/>
      <c r="D2824" s="14"/>
      <c r="E2824" s="13"/>
      <c r="F2824" s="15"/>
      <c r="G2824" s="16" t="str">
        <f aca="false">IF(OR(B2824="",A2824=""),"",C2824*IFERROR(INDEX(Kişiler!$B$5:$B$44,MATCH(B2824,Kişiler!$A$5:$A$44,0)),0)+D2824*IFERROR(INDEX(Kişiler!$C$5:$C$44,MATCH(B2824,Kişiler!$A$5:$A$44,0)),0))</f>
        <v/>
      </c>
    </row>
    <row r="2825" customFormat="false" ht="15" hidden="false" customHeight="false" outlineLevel="0" collapsed="false">
      <c r="A2825" s="12"/>
      <c r="B2825" s="13"/>
      <c r="C2825" s="14"/>
      <c r="D2825" s="14"/>
      <c r="E2825" s="13"/>
      <c r="F2825" s="15"/>
      <c r="G2825" s="16" t="str">
        <f aca="false">IF(OR(B2825="",A2825=""),"",C2825*IFERROR(INDEX(Kişiler!$B$5:$B$44,MATCH(B2825,Kişiler!$A$5:$A$44,0)),0)+D2825*IFERROR(INDEX(Kişiler!$C$5:$C$44,MATCH(B2825,Kişiler!$A$5:$A$44,0)),0))</f>
        <v/>
      </c>
    </row>
    <row r="2826" customFormat="false" ht="15" hidden="false" customHeight="false" outlineLevel="0" collapsed="false">
      <c r="A2826" s="12"/>
      <c r="B2826" s="13"/>
      <c r="C2826" s="14"/>
      <c r="D2826" s="14"/>
      <c r="E2826" s="13"/>
      <c r="F2826" s="15"/>
      <c r="G2826" s="16" t="str">
        <f aca="false">IF(OR(B2826="",A2826=""),"",C2826*IFERROR(INDEX(Kişiler!$B$5:$B$44,MATCH(B2826,Kişiler!$A$5:$A$44,0)),0)+D2826*IFERROR(INDEX(Kişiler!$C$5:$C$44,MATCH(B2826,Kişiler!$A$5:$A$44,0)),0))</f>
        <v/>
      </c>
    </row>
    <row r="2827" customFormat="false" ht="15" hidden="false" customHeight="false" outlineLevel="0" collapsed="false">
      <c r="A2827" s="12"/>
      <c r="B2827" s="13"/>
      <c r="C2827" s="14"/>
      <c r="D2827" s="14"/>
      <c r="E2827" s="13"/>
      <c r="F2827" s="15"/>
      <c r="G2827" s="16" t="str">
        <f aca="false">IF(OR(B2827="",A2827=""),"",C2827*IFERROR(INDEX(Kişiler!$B$5:$B$44,MATCH(B2827,Kişiler!$A$5:$A$44,0)),0)+D2827*IFERROR(INDEX(Kişiler!$C$5:$C$44,MATCH(B2827,Kişiler!$A$5:$A$44,0)),0))</f>
        <v/>
      </c>
    </row>
    <row r="2828" customFormat="false" ht="15" hidden="false" customHeight="false" outlineLevel="0" collapsed="false">
      <c r="A2828" s="12"/>
      <c r="B2828" s="13"/>
      <c r="C2828" s="14"/>
      <c r="D2828" s="14"/>
      <c r="E2828" s="13"/>
      <c r="F2828" s="15"/>
      <c r="G2828" s="16" t="str">
        <f aca="false">IF(OR(B2828="",A2828=""),"",C2828*IFERROR(INDEX(Kişiler!$B$5:$B$44,MATCH(B2828,Kişiler!$A$5:$A$44,0)),0)+D2828*IFERROR(INDEX(Kişiler!$C$5:$C$44,MATCH(B2828,Kişiler!$A$5:$A$44,0)),0))</f>
        <v/>
      </c>
    </row>
    <row r="2829" customFormat="false" ht="15" hidden="false" customHeight="false" outlineLevel="0" collapsed="false">
      <c r="A2829" s="12"/>
      <c r="B2829" s="13"/>
      <c r="C2829" s="14"/>
      <c r="D2829" s="14"/>
      <c r="E2829" s="13"/>
      <c r="F2829" s="15"/>
      <c r="G2829" s="16" t="str">
        <f aca="false">IF(OR(B2829="",A2829=""),"",C2829*IFERROR(INDEX(Kişiler!$B$5:$B$44,MATCH(B2829,Kişiler!$A$5:$A$44,0)),0)+D2829*IFERROR(INDEX(Kişiler!$C$5:$C$44,MATCH(B2829,Kişiler!$A$5:$A$44,0)),0))</f>
        <v/>
      </c>
    </row>
    <row r="2830" customFormat="false" ht="15" hidden="false" customHeight="false" outlineLevel="0" collapsed="false">
      <c r="A2830" s="12"/>
      <c r="B2830" s="13"/>
      <c r="C2830" s="14"/>
      <c r="D2830" s="14"/>
      <c r="E2830" s="13"/>
      <c r="F2830" s="15"/>
      <c r="G2830" s="16" t="str">
        <f aca="false">IF(OR(B2830="",A2830=""),"",C2830*IFERROR(INDEX(Kişiler!$B$5:$B$44,MATCH(B2830,Kişiler!$A$5:$A$44,0)),0)+D2830*IFERROR(INDEX(Kişiler!$C$5:$C$44,MATCH(B2830,Kişiler!$A$5:$A$44,0)),0))</f>
        <v/>
      </c>
    </row>
    <row r="2831" customFormat="false" ht="15" hidden="false" customHeight="false" outlineLevel="0" collapsed="false">
      <c r="A2831" s="12"/>
      <c r="B2831" s="13"/>
      <c r="C2831" s="14"/>
      <c r="D2831" s="14"/>
      <c r="E2831" s="13"/>
      <c r="F2831" s="15"/>
      <c r="G2831" s="16" t="str">
        <f aca="false">IF(OR(B2831="",A2831=""),"",C2831*IFERROR(INDEX(Kişiler!$B$5:$B$44,MATCH(B2831,Kişiler!$A$5:$A$44,0)),0)+D2831*IFERROR(INDEX(Kişiler!$C$5:$C$44,MATCH(B2831,Kişiler!$A$5:$A$44,0)),0))</f>
        <v/>
      </c>
    </row>
    <row r="2832" customFormat="false" ht="15" hidden="false" customHeight="false" outlineLevel="0" collapsed="false">
      <c r="A2832" s="12"/>
      <c r="B2832" s="13"/>
      <c r="C2832" s="14"/>
      <c r="D2832" s="14"/>
      <c r="E2832" s="13"/>
      <c r="F2832" s="15"/>
      <c r="G2832" s="16" t="str">
        <f aca="false">IF(OR(B2832="",A2832=""),"",C2832*IFERROR(INDEX(Kişiler!$B$5:$B$44,MATCH(B2832,Kişiler!$A$5:$A$44,0)),0)+D2832*IFERROR(INDEX(Kişiler!$C$5:$C$44,MATCH(B2832,Kişiler!$A$5:$A$44,0)),0))</f>
        <v/>
      </c>
    </row>
    <row r="2833" customFormat="false" ht="15" hidden="false" customHeight="false" outlineLevel="0" collapsed="false">
      <c r="A2833" s="12"/>
      <c r="B2833" s="13"/>
      <c r="C2833" s="14"/>
      <c r="D2833" s="14"/>
      <c r="E2833" s="13"/>
      <c r="F2833" s="15"/>
      <c r="G2833" s="16" t="str">
        <f aca="false">IF(OR(B2833="",A2833=""),"",C2833*IFERROR(INDEX(Kişiler!$B$5:$B$44,MATCH(B2833,Kişiler!$A$5:$A$44,0)),0)+D2833*IFERROR(INDEX(Kişiler!$C$5:$C$44,MATCH(B2833,Kişiler!$A$5:$A$44,0)),0))</f>
        <v/>
      </c>
    </row>
    <row r="2834" customFormat="false" ht="15" hidden="false" customHeight="false" outlineLevel="0" collapsed="false">
      <c r="A2834" s="12"/>
      <c r="B2834" s="13"/>
      <c r="C2834" s="14"/>
      <c r="D2834" s="14"/>
      <c r="E2834" s="13"/>
      <c r="F2834" s="15"/>
      <c r="G2834" s="16" t="str">
        <f aca="false">IF(OR(B2834="",A2834=""),"",C2834*IFERROR(INDEX(Kişiler!$B$5:$B$44,MATCH(B2834,Kişiler!$A$5:$A$44,0)),0)+D2834*IFERROR(INDEX(Kişiler!$C$5:$C$44,MATCH(B2834,Kişiler!$A$5:$A$44,0)),0))</f>
        <v/>
      </c>
    </row>
    <row r="2835" customFormat="false" ht="15" hidden="false" customHeight="false" outlineLevel="0" collapsed="false">
      <c r="A2835" s="12"/>
      <c r="B2835" s="13"/>
      <c r="C2835" s="14"/>
      <c r="D2835" s="14"/>
      <c r="E2835" s="13"/>
      <c r="F2835" s="15"/>
      <c r="G2835" s="16" t="str">
        <f aca="false">IF(OR(B2835="",A2835=""),"",C2835*IFERROR(INDEX(Kişiler!$B$5:$B$44,MATCH(B2835,Kişiler!$A$5:$A$44,0)),0)+D2835*IFERROR(INDEX(Kişiler!$C$5:$C$44,MATCH(B2835,Kişiler!$A$5:$A$44,0)),0))</f>
        <v/>
      </c>
    </row>
    <row r="2836" customFormat="false" ht="15" hidden="false" customHeight="false" outlineLevel="0" collapsed="false">
      <c r="A2836" s="12"/>
      <c r="B2836" s="13"/>
      <c r="C2836" s="14"/>
      <c r="D2836" s="14"/>
      <c r="E2836" s="13"/>
      <c r="F2836" s="15"/>
      <c r="G2836" s="16" t="str">
        <f aca="false">IF(OR(B2836="",A2836=""),"",C2836*IFERROR(INDEX(Kişiler!$B$5:$B$44,MATCH(B2836,Kişiler!$A$5:$A$44,0)),0)+D2836*IFERROR(INDEX(Kişiler!$C$5:$C$44,MATCH(B2836,Kişiler!$A$5:$A$44,0)),0))</f>
        <v/>
      </c>
    </row>
    <row r="2837" customFormat="false" ht="15" hidden="false" customHeight="false" outlineLevel="0" collapsed="false">
      <c r="A2837" s="12"/>
      <c r="B2837" s="13"/>
      <c r="C2837" s="14"/>
      <c r="D2837" s="14"/>
      <c r="E2837" s="13"/>
      <c r="F2837" s="15"/>
      <c r="G2837" s="16" t="str">
        <f aca="false">IF(OR(B2837="",A2837=""),"",C2837*IFERROR(INDEX(Kişiler!$B$5:$B$44,MATCH(B2837,Kişiler!$A$5:$A$44,0)),0)+D2837*IFERROR(INDEX(Kişiler!$C$5:$C$44,MATCH(B2837,Kişiler!$A$5:$A$44,0)),0))</f>
        <v/>
      </c>
    </row>
    <row r="2838" customFormat="false" ht="15" hidden="false" customHeight="false" outlineLevel="0" collapsed="false">
      <c r="A2838" s="12"/>
      <c r="B2838" s="13"/>
      <c r="C2838" s="14"/>
      <c r="D2838" s="14"/>
      <c r="E2838" s="13"/>
      <c r="F2838" s="15"/>
      <c r="G2838" s="16" t="str">
        <f aca="false">IF(OR(B2838="",A2838=""),"",C2838*IFERROR(INDEX(Kişiler!$B$5:$B$44,MATCH(B2838,Kişiler!$A$5:$A$44,0)),0)+D2838*IFERROR(INDEX(Kişiler!$C$5:$C$44,MATCH(B2838,Kişiler!$A$5:$A$44,0)),0))</f>
        <v/>
      </c>
    </row>
    <row r="2839" customFormat="false" ht="15" hidden="false" customHeight="false" outlineLevel="0" collapsed="false">
      <c r="A2839" s="12"/>
      <c r="B2839" s="13"/>
      <c r="C2839" s="14"/>
      <c r="D2839" s="14"/>
      <c r="E2839" s="13"/>
      <c r="F2839" s="15"/>
      <c r="G2839" s="16" t="str">
        <f aca="false">IF(OR(B2839="",A2839=""),"",C2839*IFERROR(INDEX(Kişiler!$B$5:$B$44,MATCH(B2839,Kişiler!$A$5:$A$44,0)),0)+D2839*IFERROR(INDEX(Kişiler!$C$5:$C$44,MATCH(B2839,Kişiler!$A$5:$A$44,0)),0))</f>
        <v/>
      </c>
    </row>
    <row r="2840" customFormat="false" ht="15" hidden="false" customHeight="false" outlineLevel="0" collapsed="false">
      <c r="A2840" s="12"/>
      <c r="B2840" s="13"/>
      <c r="C2840" s="14"/>
      <c r="D2840" s="14"/>
      <c r="E2840" s="13"/>
      <c r="F2840" s="15"/>
      <c r="G2840" s="16" t="str">
        <f aca="false">IF(OR(B2840="",A2840=""),"",C2840*IFERROR(INDEX(Kişiler!$B$5:$B$44,MATCH(B2840,Kişiler!$A$5:$A$44,0)),0)+D2840*IFERROR(INDEX(Kişiler!$C$5:$C$44,MATCH(B2840,Kişiler!$A$5:$A$44,0)),0))</f>
        <v/>
      </c>
    </row>
    <row r="2841" customFormat="false" ht="15" hidden="false" customHeight="false" outlineLevel="0" collapsed="false">
      <c r="A2841" s="12"/>
      <c r="B2841" s="13"/>
      <c r="C2841" s="14"/>
      <c r="D2841" s="14"/>
      <c r="E2841" s="13"/>
      <c r="F2841" s="15"/>
      <c r="G2841" s="16" t="str">
        <f aca="false">IF(OR(B2841="",A2841=""),"",C2841*IFERROR(INDEX(Kişiler!$B$5:$B$44,MATCH(B2841,Kişiler!$A$5:$A$44,0)),0)+D2841*IFERROR(INDEX(Kişiler!$C$5:$C$44,MATCH(B2841,Kişiler!$A$5:$A$44,0)),0))</f>
        <v/>
      </c>
    </row>
    <row r="2842" customFormat="false" ht="15" hidden="false" customHeight="false" outlineLevel="0" collapsed="false">
      <c r="A2842" s="12"/>
      <c r="B2842" s="13"/>
      <c r="C2842" s="14"/>
      <c r="D2842" s="14"/>
      <c r="E2842" s="13"/>
      <c r="F2842" s="15"/>
      <c r="G2842" s="16" t="str">
        <f aca="false">IF(OR(B2842="",A2842=""),"",C2842*IFERROR(INDEX(Kişiler!$B$5:$B$44,MATCH(B2842,Kişiler!$A$5:$A$44,0)),0)+D2842*IFERROR(INDEX(Kişiler!$C$5:$C$44,MATCH(B2842,Kişiler!$A$5:$A$44,0)),0))</f>
        <v/>
      </c>
    </row>
    <row r="2843" customFormat="false" ht="15" hidden="false" customHeight="false" outlineLevel="0" collapsed="false">
      <c r="A2843" s="12"/>
      <c r="B2843" s="13"/>
      <c r="C2843" s="14"/>
      <c r="D2843" s="14"/>
      <c r="E2843" s="13"/>
      <c r="F2843" s="15"/>
      <c r="G2843" s="16" t="str">
        <f aca="false">IF(OR(B2843="",A2843=""),"",C2843*IFERROR(INDEX(Kişiler!$B$5:$B$44,MATCH(B2843,Kişiler!$A$5:$A$44,0)),0)+D2843*IFERROR(INDEX(Kişiler!$C$5:$C$44,MATCH(B2843,Kişiler!$A$5:$A$44,0)),0))</f>
        <v/>
      </c>
    </row>
    <row r="2844" customFormat="false" ht="15" hidden="false" customHeight="false" outlineLevel="0" collapsed="false">
      <c r="A2844" s="12"/>
      <c r="B2844" s="13"/>
      <c r="C2844" s="14"/>
      <c r="D2844" s="14"/>
      <c r="E2844" s="13"/>
      <c r="F2844" s="15"/>
      <c r="G2844" s="16" t="str">
        <f aca="false">IF(OR(B2844="",A2844=""),"",C2844*IFERROR(INDEX(Kişiler!$B$5:$B$44,MATCH(B2844,Kişiler!$A$5:$A$44,0)),0)+D2844*IFERROR(INDEX(Kişiler!$C$5:$C$44,MATCH(B2844,Kişiler!$A$5:$A$44,0)),0))</f>
        <v/>
      </c>
    </row>
    <row r="2845" customFormat="false" ht="15" hidden="false" customHeight="false" outlineLevel="0" collapsed="false">
      <c r="A2845" s="12"/>
      <c r="B2845" s="13"/>
      <c r="C2845" s="14"/>
      <c r="D2845" s="14"/>
      <c r="E2845" s="13"/>
      <c r="F2845" s="15"/>
      <c r="G2845" s="16" t="str">
        <f aca="false">IF(OR(B2845="",A2845=""),"",C2845*IFERROR(INDEX(Kişiler!$B$5:$B$44,MATCH(B2845,Kişiler!$A$5:$A$44,0)),0)+D2845*IFERROR(INDEX(Kişiler!$C$5:$C$44,MATCH(B2845,Kişiler!$A$5:$A$44,0)),0))</f>
        <v/>
      </c>
    </row>
    <row r="2846" customFormat="false" ht="15" hidden="false" customHeight="false" outlineLevel="0" collapsed="false">
      <c r="A2846" s="12"/>
      <c r="B2846" s="13"/>
      <c r="C2846" s="14"/>
      <c r="D2846" s="14"/>
      <c r="E2846" s="13"/>
      <c r="F2846" s="15"/>
      <c r="G2846" s="16" t="str">
        <f aca="false">IF(OR(B2846="",A2846=""),"",C2846*IFERROR(INDEX(Kişiler!$B$5:$B$44,MATCH(B2846,Kişiler!$A$5:$A$44,0)),0)+D2846*IFERROR(INDEX(Kişiler!$C$5:$C$44,MATCH(B2846,Kişiler!$A$5:$A$44,0)),0))</f>
        <v/>
      </c>
    </row>
    <row r="2847" customFormat="false" ht="15" hidden="false" customHeight="false" outlineLevel="0" collapsed="false">
      <c r="A2847" s="12"/>
      <c r="B2847" s="13"/>
      <c r="C2847" s="14"/>
      <c r="D2847" s="14"/>
      <c r="E2847" s="13"/>
      <c r="F2847" s="15"/>
      <c r="G2847" s="16" t="str">
        <f aca="false">IF(OR(B2847="",A2847=""),"",C2847*IFERROR(INDEX(Kişiler!$B$5:$B$44,MATCH(B2847,Kişiler!$A$5:$A$44,0)),0)+D2847*IFERROR(INDEX(Kişiler!$C$5:$C$44,MATCH(B2847,Kişiler!$A$5:$A$44,0)),0))</f>
        <v/>
      </c>
    </row>
    <row r="2848" customFormat="false" ht="15" hidden="false" customHeight="false" outlineLevel="0" collapsed="false">
      <c r="A2848" s="12"/>
      <c r="B2848" s="13"/>
      <c r="C2848" s="14"/>
      <c r="D2848" s="14"/>
      <c r="E2848" s="13"/>
      <c r="F2848" s="15"/>
      <c r="G2848" s="16" t="str">
        <f aca="false">IF(OR(B2848="",A2848=""),"",C2848*IFERROR(INDEX(Kişiler!$B$5:$B$44,MATCH(B2848,Kişiler!$A$5:$A$44,0)),0)+D2848*IFERROR(INDEX(Kişiler!$C$5:$C$44,MATCH(B2848,Kişiler!$A$5:$A$44,0)),0))</f>
        <v/>
      </c>
    </row>
    <row r="2849" customFormat="false" ht="15" hidden="false" customHeight="false" outlineLevel="0" collapsed="false">
      <c r="A2849" s="12"/>
      <c r="B2849" s="13"/>
      <c r="C2849" s="14"/>
      <c r="D2849" s="14"/>
      <c r="E2849" s="13"/>
      <c r="F2849" s="15"/>
      <c r="G2849" s="16" t="str">
        <f aca="false">IF(OR(B2849="",A2849=""),"",C2849*IFERROR(INDEX(Kişiler!$B$5:$B$44,MATCH(B2849,Kişiler!$A$5:$A$44,0)),0)+D2849*IFERROR(INDEX(Kişiler!$C$5:$C$44,MATCH(B2849,Kişiler!$A$5:$A$44,0)),0))</f>
        <v/>
      </c>
    </row>
    <row r="2850" customFormat="false" ht="15" hidden="false" customHeight="false" outlineLevel="0" collapsed="false">
      <c r="A2850" s="12"/>
      <c r="B2850" s="13"/>
      <c r="C2850" s="14"/>
      <c r="D2850" s="14"/>
      <c r="E2850" s="13"/>
      <c r="F2850" s="15"/>
      <c r="G2850" s="16" t="str">
        <f aca="false">IF(OR(B2850="",A2850=""),"",C2850*IFERROR(INDEX(Kişiler!$B$5:$B$44,MATCH(B2850,Kişiler!$A$5:$A$44,0)),0)+D2850*IFERROR(INDEX(Kişiler!$C$5:$C$44,MATCH(B2850,Kişiler!$A$5:$A$44,0)),0))</f>
        <v/>
      </c>
    </row>
    <row r="2851" customFormat="false" ht="15" hidden="false" customHeight="false" outlineLevel="0" collapsed="false">
      <c r="A2851" s="12"/>
      <c r="B2851" s="13"/>
      <c r="C2851" s="14"/>
      <c r="D2851" s="14"/>
      <c r="E2851" s="13"/>
      <c r="F2851" s="15"/>
      <c r="G2851" s="16" t="str">
        <f aca="false">IF(OR(B2851="",A2851=""),"",C2851*IFERROR(INDEX(Kişiler!$B$5:$B$44,MATCH(B2851,Kişiler!$A$5:$A$44,0)),0)+D2851*IFERROR(INDEX(Kişiler!$C$5:$C$44,MATCH(B2851,Kişiler!$A$5:$A$44,0)),0))</f>
        <v/>
      </c>
    </row>
    <row r="2852" customFormat="false" ht="15" hidden="false" customHeight="false" outlineLevel="0" collapsed="false">
      <c r="A2852" s="12"/>
      <c r="B2852" s="13"/>
      <c r="C2852" s="14"/>
      <c r="D2852" s="14"/>
      <c r="E2852" s="13"/>
      <c r="F2852" s="15"/>
      <c r="G2852" s="16" t="str">
        <f aca="false">IF(OR(B2852="",A2852=""),"",C2852*IFERROR(INDEX(Kişiler!$B$5:$B$44,MATCH(B2852,Kişiler!$A$5:$A$44,0)),0)+D2852*IFERROR(INDEX(Kişiler!$C$5:$C$44,MATCH(B2852,Kişiler!$A$5:$A$44,0)),0))</f>
        <v/>
      </c>
    </row>
    <row r="2853" customFormat="false" ht="15" hidden="false" customHeight="false" outlineLevel="0" collapsed="false">
      <c r="A2853" s="12"/>
      <c r="B2853" s="13"/>
      <c r="C2853" s="14"/>
      <c r="D2853" s="14"/>
      <c r="E2853" s="13"/>
      <c r="F2853" s="15"/>
      <c r="G2853" s="16" t="str">
        <f aca="false">IF(OR(B2853="",A2853=""),"",C2853*IFERROR(INDEX(Kişiler!$B$5:$B$44,MATCH(B2853,Kişiler!$A$5:$A$44,0)),0)+D2853*IFERROR(INDEX(Kişiler!$C$5:$C$44,MATCH(B2853,Kişiler!$A$5:$A$44,0)),0))</f>
        <v/>
      </c>
    </row>
    <row r="2854" customFormat="false" ht="15" hidden="false" customHeight="false" outlineLevel="0" collapsed="false">
      <c r="A2854" s="12"/>
      <c r="B2854" s="13"/>
      <c r="C2854" s="14"/>
      <c r="D2854" s="14"/>
      <c r="E2854" s="13"/>
      <c r="F2854" s="15"/>
      <c r="G2854" s="16" t="str">
        <f aca="false">IF(OR(B2854="",A2854=""),"",C2854*IFERROR(INDEX(Kişiler!$B$5:$B$44,MATCH(B2854,Kişiler!$A$5:$A$44,0)),0)+D2854*IFERROR(INDEX(Kişiler!$C$5:$C$44,MATCH(B2854,Kişiler!$A$5:$A$44,0)),0))</f>
        <v/>
      </c>
    </row>
    <row r="2855" customFormat="false" ht="15" hidden="false" customHeight="false" outlineLevel="0" collapsed="false">
      <c r="A2855" s="12"/>
      <c r="B2855" s="13"/>
      <c r="C2855" s="14"/>
      <c r="D2855" s="14"/>
      <c r="E2855" s="13"/>
      <c r="F2855" s="15"/>
      <c r="G2855" s="16" t="str">
        <f aca="false">IF(OR(B2855="",A2855=""),"",C2855*IFERROR(INDEX(Kişiler!$B$5:$B$44,MATCH(B2855,Kişiler!$A$5:$A$44,0)),0)+D2855*IFERROR(INDEX(Kişiler!$C$5:$C$44,MATCH(B2855,Kişiler!$A$5:$A$44,0)),0))</f>
        <v/>
      </c>
    </row>
    <row r="2856" customFormat="false" ht="15" hidden="false" customHeight="false" outlineLevel="0" collapsed="false">
      <c r="A2856" s="12"/>
      <c r="B2856" s="13"/>
      <c r="C2856" s="14"/>
      <c r="D2856" s="14"/>
      <c r="E2856" s="13"/>
      <c r="F2856" s="15"/>
      <c r="G2856" s="16" t="str">
        <f aca="false">IF(OR(B2856="",A2856=""),"",C2856*IFERROR(INDEX(Kişiler!$B$5:$B$44,MATCH(B2856,Kişiler!$A$5:$A$44,0)),0)+D2856*IFERROR(INDEX(Kişiler!$C$5:$C$44,MATCH(B2856,Kişiler!$A$5:$A$44,0)),0))</f>
        <v/>
      </c>
    </row>
    <row r="2857" customFormat="false" ht="15" hidden="false" customHeight="false" outlineLevel="0" collapsed="false">
      <c r="A2857" s="12"/>
      <c r="B2857" s="13"/>
      <c r="C2857" s="14"/>
      <c r="D2857" s="14"/>
      <c r="E2857" s="13"/>
      <c r="F2857" s="15"/>
      <c r="G2857" s="16" t="str">
        <f aca="false">IF(OR(B2857="",A2857=""),"",C2857*IFERROR(INDEX(Kişiler!$B$5:$B$44,MATCH(B2857,Kişiler!$A$5:$A$44,0)),0)+D2857*IFERROR(INDEX(Kişiler!$C$5:$C$44,MATCH(B2857,Kişiler!$A$5:$A$44,0)),0))</f>
        <v/>
      </c>
    </row>
    <row r="2858" customFormat="false" ht="15" hidden="false" customHeight="false" outlineLevel="0" collapsed="false">
      <c r="A2858" s="12"/>
      <c r="B2858" s="13"/>
      <c r="C2858" s="14"/>
      <c r="D2858" s="14"/>
      <c r="E2858" s="13"/>
      <c r="F2858" s="15"/>
      <c r="G2858" s="16" t="str">
        <f aca="false">IF(OR(B2858="",A2858=""),"",C2858*IFERROR(INDEX(Kişiler!$B$5:$B$44,MATCH(B2858,Kişiler!$A$5:$A$44,0)),0)+D2858*IFERROR(INDEX(Kişiler!$C$5:$C$44,MATCH(B2858,Kişiler!$A$5:$A$44,0)),0))</f>
        <v/>
      </c>
    </row>
    <row r="2859" customFormat="false" ht="15" hidden="false" customHeight="false" outlineLevel="0" collapsed="false">
      <c r="A2859" s="12"/>
      <c r="B2859" s="13"/>
      <c r="C2859" s="14"/>
      <c r="D2859" s="14"/>
      <c r="E2859" s="13"/>
      <c r="F2859" s="15"/>
      <c r="G2859" s="16" t="str">
        <f aca="false">IF(OR(B2859="",A2859=""),"",C2859*IFERROR(INDEX(Kişiler!$B$5:$B$44,MATCH(B2859,Kişiler!$A$5:$A$44,0)),0)+D2859*IFERROR(INDEX(Kişiler!$C$5:$C$44,MATCH(B2859,Kişiler!$A$5:$A$44,0)),0))</f>
        <v/>
      </c>
    </row>
    <row r="2860" customFormat="false" ht="15" hidden="false" customHeight="false" outlineLevel="0" collapsed="false">
      <c r="A2860" s="12"/>
      <c r="B2860" s="13"/>
      <c r="C2860" s="14"/>
      <c r="D2860" s="14"/>
      <c r="E2860" s="13"/>
      <c r="F2860" s="15"/>
      <c r="G2860" s="16" t="str">
        <f aca="false">IF(OR(B2860="",A2860=""),"",C2860*IFERROR(INDEX(Kişiler!$B$5:$B$44,MATCH(B2860,Kişiler!$A$5:$A$44,0)),0)+D2860*IFERROR(INDEX(Kişiler!$C$5:$C$44,MATCH(B2860,Kişiler!$A$5:$A$44,0)),0))</f>
        <v/>
      </c>
    </row>
    <row r="2861" customFormat="false" ht="15" hidden="false" customHeight="false" outlineLevel="0" collapsed="false">
      <c r="A2861" s="12"/>
      <c r="B2861" s="13"/>
      <c r="C2861" s="14"/>
      <c r="D2861" s="14"/>
      <c r="E2861" s="13"/>
      <c r="F2861" s="15"/>
      <c r="G2861" s="16" t="str">
        <f aca="false">IF(OR(B2861="",A2861=""),"",C2861*IFERROR(INDEX(Kişiler!$B$5:$B$44,MATCH(B2861,Kişiler!$A$5:$A$44,0)),0)+D2861*IFERROR(INDEX(Kişiler!$C$5:$C$44,MATCH(B2861,Kişiler!$A$5:$A$44,0)),0))</f>
        <v/>
      </c>
    </row>
    <row r="2862" customFormat="false" ht="15" hidden="false" customHeight="false" outlineLevel="0" collapsed="false">
      <c r="A2862" s="12"/>
      <c r="B2862" s="13"/>
      <c r="C2862" s="14"/>
      <c r="D2862" s="14"/>
      <c r="E2862" s="13"/>
      <c r="F2862" s="15"/>
      <c r="G2862" s="16" t="str">
        <f aca="false">IF(OR(B2862="",A2862=""),"",C2862*IFERROR(INDEX(Kişiler!$B$5:$B$44,MATCH(B2862,Kişiler!$A$5:$A$44,0)),0)+D2862*IFERROR(INDEX(Kişiler!$C$5:$C$44,MATCH(B2862,Kişiler!$A$5:$A$44,0)),0))</f>
        <v/>
      </c>
    </row>
    <row r="2863" customFormat="false" ht="15" hidden="false" customHeight="false" outlineLevel="0" collapsed="false">
      <c r="A2863" s="12"/>
      <c r="B2863" s="13"/>
      <c r="C2863" s="14"/>
      <c r="D2863" s="14"/>
      <c r="E2863" s="13"/>
      <c r="F2863" s="15"/>
      <c r="G2863" s="16" t="str">
        <f aca="false">IF(OR(B2863="",A2863=""),"",C2863*IFERROR(INDEX(Kişiler!$B$5:$B$44,MATCH(B2863,Kişiler!$A$5:$A$44,0)),0)+D2863*IFERROR(INDEX(Kişiler!$C$5:$C$44,MATCH(B2863,Kişiler!$A$5:$A$44,0)),0))</f>
        <v/>
      </c>
    </row>
    <row r="2864" customFormat="false" ht="15" hidden="false" customHeight="false" outlineLevel="0" collapsed="false">
      <c r="A2864" s="12"/>
      <c r="B2864" s="13"/>
      <c r="C2864" s="14"/>
      <c r="D2864" s="14"/>
      <c r="E2864" s="13"/>
      <c r="F2864" s="15"/>
      <c r="G2864" s="16" t="str">
        <f aca="false">IF(OR(B2864="",A2864=""),"",C2864*IFERROR(INDEX(Kişiler!$B$5:$B$44,MATCH(B2864,Kişiler!$A$5:$A$44,0)),0)+D2864*IFERROR(INDEX(Kişiler!$C$5:$C$44,MATCH(B2864,Kişiler!$A$5:$A$44,0)),0))</f>
        <v/>
      </c>
    </row>
    <row r="2865" customFormat="false" ht="15" hidden="false" customHeight="false" outlineLevel="0" collapsed="false">
      <c r="A2865" s="12"/>
      <c r="B2865" s="13"/>
      <c r="C2865" s="14"/>
      <c r="D2865" s="14"/>
      <c r="E2865" s="13"/>
      <c r="F2865" s="15"/>
      <c r="G2865" s="16" t="str">
        <f aca="false">IF(OR(B2865="",A2865=""),"",C2865*IFERROR(INDEX(Kişiler!$B$5:$B$44,MATCH(B2865,Kişiler!$A$5:$A$44,0)),0)+D2865*IFERROR(INDEX(Kişiler!$C$5:$C$44,MATCH(B2865,Kişiler!$A$5:$A$44,0)),0))</f>
        <v/>
      </c>
    </row>
    <row r="2866" customFormat="false" ht="15" hidden="false" customHeight="false" outlineLevel="0" collapsed="false">
      <c r="A2866" s="12"/>
      <c r="B2866" s="13"/>
      <c r="C2866" s="14"/>
      <c r="D2866" s="14"/>
      <c r="E2866" s="13"/>
      <c r="F2866" s="15"/>
      <c r="G2866" s="16" t="str">
        <f aca="false">IF(OR(B2866="",A2866=""),"",C2866*IFERROR(INDEX(Kişiler!$B$5:$B$44,MATCH(B2866,Kişiler!$A$5:$A$44,0)),0)+D2866*IFERROR(INDEX(Kişiler!$C$5:$C$44,MATCH(B2866,Kişiler!$A$5:$A$44,0)),0))</f>
        <v/>
      </c>
    </row>
    <row r="2867" customFormat="false" ht="15" hidden="false" customHeight="false" outlineLevel="0" collapsed="false">
      <c r="A2867" s="12"/>
      <c r="B2867" s="13"/>
      <c r="C2867" s="14"/>
      <c r="D2867" s="14"/>
      <c r="E2867" s="13"/>
      <c r="F2867" s="15"/>
      <c r="G2867" s="16" t="str">
        <f aca="false">IF(OR(B2867="",A2867=""),"",C2867*IFERROR(INDEX(Kişiler!$B$5:$B$44,MATCH(B2867,Kişiler!$A$5:$A$44,0)),0)+D2867*IFERROR(INDEX(Kişiler!$C$5:$C$44,MATCH(B2867,Kişiler!$A$5:$A$44,0)),0))</f>
        <v/>
      </c>
    </row>
    <row r="2868" customFormat="false" ht="15" hidden="false" customHeight="false" outlineLevel="0" collapsed="false">
      <c r="A2868" s="12"/>
      <c r="B2868" s="13"/>
      <c r="C2868" s="14"/>
      <c r="D2868" s="14"/>
      <c r="E2868" s="13"/>
      <c r="F2868" s="15"/>
      <c r="G2868" s="16" t="str">
        <f aca="false">IF(OR(B2868="",A2868=""),"",C2868*IFERROR(INDEX(Kişiler!$B$5:$B$44,MATCH(B2868,Kişiler!$A$5:$A$44,0)),0)+D2868*IFERROR(INDEX(Kişiler!$C$5:$C$44,MATCH(B2868,Kişiler!$A$5:$A$44,0)),0))</f>
        <v/>
      </c>
    </row>
    <row r="2869" customFormat="false" ht="15" hidden="false" customHeight="false" outlineLevel="0" collapsed="false">
      <c r="A2869" s="12"/>
      <c r="B2869" s="13"/>
      <c r="C2869" s="14"/>
      <c r="D2869" s="14"/>
      <c r="E2869" s="13"/>
      <c r="F2869" s="15"/>
      <c r="G2869" s="16" t="str">
        <f aca="false">IF(OR(B2869="",A2869=""),"",C2869*IFERROR(INDEX(Kişiler!$B$5:$B$44,MATCH(B2869,Kişiler!$A$5:$A$44,0)),0)+D2869*IFERROR(INDEX(Kişiler!$C$5:$C$44,MATCH(B2869,Kişiler!$A$5:$A$44,0)),0))</f>
        <v/>
      </c>
    </row>
    <row r="2870" customFormat="false" ht="15" hidden="false" customHeight="false" outlineLevel="0" collapsed="false">
      <c r="A2870" s="12"/>
      <c r="B2870" s="13"/>
      <c r="C2870" s="14"/>
      <c r="D2870" s="14"/>
      <c r="E2870" s="13"/>
      <c r="F2870" s="15"/>
      <c r="G2870" s="16" t="str">
        <f aca="false">IF(OR(B2870="",A2870=""),"",C2870*IFERROR(INDEX(Kişiler!$B$5:$B$44,MATCH(B2870,Kişiler!$A$5:$A$44,0)),0)+D2870*IFERROR(INDEX(Kişiler!$C$5:$C$44,MATCH(B2870,Kişiler!$A$5:$A$44,0)),0))</f>
        <v/>
      </c>
    </row>
    <row r="2871" customFormat="false" ht="15" hidden="false" customHeight="false" outlineLevel="0" collapsed="false">
      <c r="A2871" s="12"/>
      <c r="B2871" s="13"/>
      <c r="C2871" s="14"/>
      <c r="D2871" s="14"/>
      <c r="E2871" s="13"/>
      <c r="F2871" s="15"/>
      <c r="G2871" s="16" t="str">
        <f aca="false">IF(OR(B2871="",A2871=""),"",C2871*IFERROR(INDEX(Kişiler!$B$5:$B$44,MATCH(B2871,Kişiler!$A$5:$A$44,0)),0)+D2871*IFERROR(INDEX(Kişiler!$C$5:$C$44,MATCH(B2871,Kişiler!$A$5:$A$44,0)),0))</f>
        <v/>
      </c>
    </row>
    <row r="2872" customFormat="false" ht="15" hidden="false" customHeight="false" outlineLevel="0" collapsed="false">
      <c r="A2872" s="12"/>
      <c r="B2872" s="13"/>
      <c r="C2872" s="14"/>
      <c r="D2872" s="14"/>
      <c r="E2872" s="13"/>
      <c r="F2872" s="15"/>
      <c r="G2872" s="16" t="str">
        <f aca="false">IF(OR(B2872="",A2872=""),"",C2872*IFERROR(INDEX(Kişiler!$B$5:$B$44,MATCH(B2872,Kişiler!$A$5:$A$44,0)),0)+D2872*IFERROR(INDEX(Kişiler!$C$5:$C$44,MATCH(B2872,Kişiler!$A$5:$A$44,0)),0))</f>
        <v/>
      </c>
    </row>
    <row r="2873" customFormat="false" ht="15" hidden="false" customHeight="false" outlineLevel="0" collapsed="false">
      <c r="A2873" s="12"/>
      <c r="B2873" s="13"/>
      <c r="C2873" s="14"/>
      <c r="D2873" s="14"/>
      <c r="E2873" s="13"/>
      <c r="F2873" s="15"/>
      <c r="G2873" s="16" t="str">
        <f aca="false">IF(OR(B2873="",A2873=""),"",C2873*IFERROR(INDEX(Kişiler!$B$5:$B$44,MATCH(B2873,Kişiler!$A$5:$A$44,0)),0)+D2873*IFERROR(INDEX(Kişiler!$C$5:$C$44,MATCH(B2873,Kişiler!$A$5:$A$44,0)),0))</f>
        <v/>
      </c>
    </row>
    <row r="2874" customFormat="false" ht="15" hidden="false" customHeight="false" outlineLevel="0" collapsed="false">
      <c r="A2874" s="12"/>
      <c r="B2874" s="13"/>
      <c r="C2874" s="14"/>
      <c r="D2874" s="14"/>
      <c r="E2874" s="13"/>
      <c r="F2874" s="15"/>
      <c r="G2874" s="16" t="str">
        <f aca="false">IF(OR(B2874="",A2874=""),"",C2874*IFERROR(INDEX(Kişiler!$B$5:$B$44,MATCH(B2874,Kişiler!$A$5:$A$44,0)),0)+D2874*IFERROR(INDEX(Kişiler!$C$5:$C$44,MATCH(B2874,Kişiler!$A$5:$A$44,0)),0))</f>
        <v/>
      </c>
    </row>
    <row r="2875" customFormat="false" ht="15" hidden="false" customHeight="false" outlineLevel="0" collapsed="false">
      <c r="A2875" s="12"/>
      <c r="B2875" s="13"/>
      <c r="C2875" s="14"/>
      <c r="D2875" s="14"/>
      <c r="E2875" s="13"/>
      <c r="F2875" s="15"/>
      <c r="G2875" s="16" t="str">
        <f aca="false">IF(OR(B2875="",A2875=""),"",C2875*IFERROR(INDEX(Kişiler!$B$5:$B$44,MATCH(B2875,Kişiler!$A$5:$A$44,0)),0)+D2875*IFERROR(INDEX(Kişiler!$C$5:$C$44,MATCH(B2875,Kişiler!$A$5:$A$44,0)),0))</f>
        <v/>
      </c>
    </row>
    <row r="2876" customFormat="false" ht="15" hidden="false" customHeight="false" outlineLevel="0" collapsed="false">
      <c r="A2876" s="12"/>
      <c r="B2876" s="13"/>
      <c r="C2876" s="14"/>
      <c r="D2876" s="14"/>
      <c r="E2876" s="13"/>
      <c r="F2876" s="15"/>
      <c r="G2876" s="16" t="str">
        <f aca="false">IF(OR(B2876="",A2876=""),"",C2876*IFERROR(INDEX(Kişiler!$B$5:$B$44,MATCH(B2876,Kişiler!$A$5:$A$44,0)),0)+D2876*IFERROR(INDEX(Kişiler!$C$5:$C$44,MATCH(B2876,Kişiler!$A$5:$A$44,0)),0))</f>
        <v/>
      </c>
    </row>
    <row r="2877" customFormat="false" ht="15" hidden="false" customHeight="false" outlineLevel="0" collapsed="false">
      <c r="A2877" s="12"/>
      <c r="B2877" s="13"/>
      <c r="C2877" s="14"/>
      <c r="D2877" s="14"/>
      <c r="E2877" s="13"/>
      <c r="F2877" s="15"/>
      <c r="G2877" s="16" t="str">
        <f aca="false">IF(OR(B2877="",A2877=""),"",C2877*IFERROR(INDEX(Kişiler!$B$5:$B$44,MATCH(B2877,Kişiler!$A$5:$A$44,0)),0)+D2877*IFERROR(INDEX(Kişiler!$C$5:$C$44,MATCH(B2877,Kişiler!$A$5:$A$44,0)),0))</f>
        <v/>
      </c>
    </row>
    <row r="2878" customFormat="false" ht="15" hidden="false" customHeight="false" outlineLevel="0" collapsed="false">
      <c r="A2878" s="12"/>
      <c r="B2878" s="13"/>
      <c r="C2878" s="14"/>
      <c r="D2878" s="14"/>
      <c r="E2878" s="13"/>
      <c r="F2878" s="15"/>
      <c r="G2878" s="16" t="str">
        <f aca="false">IF(OR(B2878="",A2878=""),"",C2878*IFERROR(INDEX(Kişiler!$B$5:$B$44,MATCH(B2878,Kişiler!$A$5:$A$44,0)),0)+D2878*IFERROR(INDEX(Kişiler!$C$5:$C$44,MATCH(B2878,Kişiler!$A$5:$A$44,0)),0))</f>
        <v/>
      </c>
    </row>
    <row r="2879" customFormat="false" ht="15" hidden="false" customHeight="false" outlineLevel="0" collapsed="false">
      <c r="A2879" s="12"/>
      <c r="B2879" s="13"/>
      <c r="C2879" s="14"/>
      <c r="D2879" s="14"/>
      <c r="E2879" s="13"/>
      <c r="F2879" s="15"/>
      <c r="G2879" s="16" t="str">
        <f aca="false">IF(OR(B2879="",A2879=""),"",C2879*IFERROR(INDEX(Kişiler!$B$5:$B$44,MATCH(B2879,Kişiler!$A$5:$A$44,0)),0)+D2879*IFERROR(INDEX(Kişiler!$C$5:$C$44,MATCH(B2879,Kişiler!$A$5:$A$44,0)),0))</f>
        <v/>
      </c>
    </row>
    <row r="2880" customFormat="false" ht="15" hidden="false" customHeight="false" outlineLevel="0" collapsed="false">
      <c r="A2880" s="12"/>
      <c r="B2880" s="13"/>
      <c r="C2880" s="14"/>
      <c r="D2880" s="14"/>
      <c r="E2880" s="13"/>
      <c r="F2880" s="15"/>
      <c r="G2880" s="16" t="str">
        <f aca="false">IF(OR(B2880="",A2880=""),"",C2880*IFERROR(INDEX(Kişiler!$B$5:$B$44,MATCH(B2880,Kişiler!$A$5:$A$44,0)),0)+D2880*IFERROR(INDEX(Kişiler!$C$5:$C$44,MATCH(B2880,Kişiler!$A$5:$A$44,0)),0))</f>
        <v/>
      </c>
    </row>
    <row r="2881" customFormat="false" ht="15" hidden="false" customHeight="false" outlineLevel="0" collapsed="false">
      <c r="A2881" s="12"/>
      <c r="B2881" s="13"/>
      <c r="C2881" s="14"/>
      <c r="D2881" s="14"/>
      <c r="E2881" s="13"/>
      <c r="F2881" s="15"/>
      <c r="G2881" s="16" t="str">
        <f aca="false">IF(OR(B2881="",A2881=""),"",C2881*IFERROR(INDEX(Kişiler!$B$5:$B$44,MATCH(B2881,Kişiler!$A$5:$A$44,0)),0)+D2881*IFERROR(INDEX(Kişiler!$C$5:$C$44,MATCH(B2881,Kişiler!$A$5:$A$44,0)),0))</f>
        <v/>
      </c>
    </row>
    <row r="2882" customFormat="false" ht="15" hidden="false" customHeight="false" outlineLevel="0" collapsed="false">
      <c r="A2882" s="12"/>
      <c r="B2882" s="13"/>
      <c r="C2882" s="14"/>
      <c r="D2882" s="14"/>
      <c r="E2882" s="13"/>
      <c r="F2882" s="15"/>
      <c r="G2882" s="16" t="str">
        <f aca="false">IF(OR(B2882="",A2882=""),"",C2882*IFERROR(INDEX(Kişiler!$B$5:$B$44,MATCH(B2882,Kişiler!$A$5:$A$44,0)),0)+D2882*IFERROR(INDEX(Kişiler!$C$5:$C$44,MATCH(B2882,Kişiler!$A$5:$A$44,0)),0))</f>
        <v/>
      </c>
    </row>
    <row r="2883" customFormat="false" ht="15" hidden="false" customHeight="false" outlineLevel="0" collapsed="false">
      <c r="A2883" s="12"/>
      <c r="B2883" s="13"/>
      <c r="C2883" s="14"/>
      <c r="D2883" s="14"/>
      <c r="E2883" s="13"/>
      <c r="F2883" s="15"/>
      <c r="G2883" s="16" t="str">
        <f aca="false">IF(OR(B2883="",A2883=""),"",C2883*IFERROR(INDEX(Kişiler!$B$5:$B$44,MATCH(B2883,Kişiler!$A$5:$A$44,0)),0)+D2883*IFERROR(INDEX(Kişiler!$C$5:$C$44,MATCH(B2883,Kişiler!$A$5:$A$44,0)),0))</f>
        <v/>
      </c>
    </row>
    <row r="2884" customFormat="false" ht="15" hidden="false" customHeight="false" outlineLevel="0" collapsed="false">
      <c r="A2884" s="12"/>
      <c r="B2884" s="13"/>
      <c r="C2884" s="14"/>
      <c r="D2884" s="14"/>
      <c r="E2884" s="13"/>
      <c r="F2884" s="15"/>
      <c r="G2884" s="16" t="str">
        <f aca="false">IF(OR(B2884="",A2884=""),"",C2884*IFERROR(INDEX(Kişiler!$B$5:$B$44,MATCH(B2884,Kişiler!$A$5:$A$44,0)),0)+D2884*IFERROR(INDEX(Kişiler!$C$5:$C$44,MATCH(B2884,Kişiler!$A$5:$A$44,0)),0))</f>
        <v/>
      </c>
    </row>
    <row r="2885" customFormat="false" ht="15" hidden="false" customHeight="false" outlineLevel="0" collapsed="false">
      <c r="A2885" s="12"/>
      <c r="B2885" s="13"/>
      <c r="C2885" s="14"/>
      <c r="D2885" s="14"/>
      <c r="E2885" s="13"/>
      <c r="F2885" s="15"/>
      <c r="G2885" s="16" t="str">
        <f aca="false">IF(OR(B2885="",A2885=""),"",C2885*IFERROR(INDEX(Kişiler!$B$5:$B$44,MATCH(B2885,Kişiler!$A$5:$A$44,0)),0)+D2885*IFERROR(INDEX(Kişiler!$C$5:$C$44,MATCH(B2885,Kişiler!$A$5:$A$44,0)),0))</f>
        <v/>
      </c>
    </row>
    <row r="2886" customFormat="false" ht="15" hidden="false" customHeight="false" outlineLevel="0" collapsed="false">
      <c r="A2886" s="12"/>
      <c r="B2886" s="13"/>
      <c r="C2886" s="14"/>
      <c r="D2886" s="14"/>
      <c r="E2886" s="13"/>
      <c r="F2886" s="15"/>
      <c r="G2886" s="16" t="str">
        <f aca="false">IF(OR(B2886="",A2886=""),"",C2886*IFERROR(INDEX(Kişiler!$B$5:$B$44,MATCH(B2886,Kişiler!$A$5:$A$44,0)),0)+D2886*IFERROR(INDEX(Kişiler!$C$5:$C$44,MATCH(B2886,Kişiler!$A$5:$A$44,0)),0))</f>
        <v/>
      </c>
    </row>
    <row r="2887" customFormat="false" ht="15" hidden="false" customHeight="false" outlineLevel="0" collapsed="false">
      <c r="A2887" s="12"/>
      <c r="B2887" s="13"/>
      <c r="C2887" s="14"/>
      <c r="D2887" s="14"/>
      <c r="E2887" s="13"/>
      <c r="F2887" s="15"/>
      <c r="G2887" s="16" t="str">
        <f aca="false">IF(OR(B2887="",A2887=""),"",C2887*IFERROR(INDEX(Kişiler!$B$5:$B$44,MATCH(B2887,Kişiler!$A$5:$A$44,0)),0)+D2887*IFERROR(INDEX(Kişiler!$C$5:$C$44,MATCH(B2887,Kişiler!$A$5:$A$44,0)),0))</f>
        <v/>
      </c>
    </row>
    <row r="2888" customFormat="false" ht="15" hidden="false" customHeight="false" outlineLevel="0" collapsed="false">
      <c r="A2888" s="12"/>
      <c r="B2888" s="13"/>
      <c r="C2888" s="14"/>
      <c r="D2888" s="14"/>
      <c r="E2888" s="13"/>
      <c r="F2888" s="15"/>
      <c r="G2888" s="16" t="str">
        <f aca="false">IF(OR(B2888="",A2888=""),"",C2888*IFERROR(INDEX(Kişiler!$B$5:$B$44,MATCH(B2888,Kişiler!$A$5:$A$44,0)),0)+D2888*IFERROR(INDEX(Kişiler!$C$5:$C$44,MATCH(B2888,Kişiler!$A$5:$A$44,0)),0))</f>
        <v/>
      </c>
    </row>
    <row r="2889" customFormat="false" ht="15" hidden="false" customHeight="false" outlineLevel="0" collapsed="false">
      <c r="A2889" s="12"/>
      <c r="B2889" s="13"/>
      <c r="C2889" s="14"/>
      <c r="D2889" s="14"/>
      <c r="E2889" s="13"/>
      <c r="F2889" s="15"/>
      <c r="G2889" s="16" t="str">
        <f aca="false">IF(OR(B2889="",A2889=""),"",C2889*IFERROR(INDEX(Kişiler!$B$5:$B$44,MATCH(B2889,Kişiler!$A$5:$A$44,0)),0)+D2889*IFERROR(INDEX(Kişiler!$C$5:$C$44,MATCH(B2889,Kişiler!$A$5:$A$44,0)),0))</f>
        <v/>
      </c>
    </row>
    <row r="2890" customFormat="false" ht="15" hidden="false" customHeight="false" outlineLevel="0" collapsed="false">
      <c r="A2890" s="12"/>
      <c r="B2890" s="13"/>
      <c r="C2890" s="14"/>
      <c r="D2890" s="14"/>
      <c r="E2890" s="13"/>
      <c r="F2890" s="15"/>
      <c r="G2890" s="16" t="str">
        <f aca="false">IF(OR(B2890="",A2890=""),"",C2890*IFERROR(INDEX(Kişiler!$B$5:$B$44,MATCH(B2890,Kişiler!$A$5:$A$44,0)),0)+D2890*IFERROR(INDEX(Kişiler!$C$5:$C$44,MATCH(B2890,Kişiler!$A$5:$A$44,0)),0))</f>
        <v/>
      </c>
    </row>
    <row r="2891" customFormat="false" ht="15" hidden="false" customHeight="false" outlineLevel="0" collapsed="false">
      <c r="A2891" s="12"/>
      <c r="B2891" s="13"/>
      <c r="C2891" s="14"/>
      <c r="D2891" s="14"/>
      <c r="E2891" s="13"/>
      <c r="F2891" s="15"/>
      <c r="G2891" s="16" t="str">
        <f aca="false">IF(OR(B2891="",A2891=""),"",C2891*IFERROR(INDEX(Kişiler!$B$5:$B$44,MATCH(B2891,Kişiler!$A$5:$A$44,0)),0)+D2891*IFERROR(INDEX(Kişiler!$C$5:$C$44,MATCH(B2891,Kişiler!$A$5:$A$44,0)),0))</f>
        <v/>
      </c>
    </row>
    <row r="2892" customFormat="false" ht="15" hidden="false" customHeight="false" outlineLevel="0" collapsed="false">
      <c r="A2892" s="12"/>
      <c r="B2892" s="13"/>
      <c r="C2892" s="14"/>
      <c r="D2892" s="14"/>
      <c r="E2892" s="13"/>
      <c r="F2892" s="15"/>
      <c r="G2892" s="16" t="str">
        <f aca="false">IF(OR(B2892="",A2892=""),"",C2892*IFERROR(INDEX(Kişiler!$B$5:$B$44,MATCH(B2892,Kişiler!$A$5:$A$44,0)),0)+D2892*IFERROR(INDEX(Kişiler!$C$5:$C$44,MATCH(B2892,Kişiler!$A$5:$A$44,0)),0))</f>
        <v/>
      </c>
    </row>
    <row r="2893" customFormat="false" ht="15" hidden="false" customHeight="false" outlineLevel="0" collapsed="false">
      <c r="A2893" s="12"/>
      <c r="B2893" s="13"/>
      <c r="C2893" s="14"/>
      <c r="D2893" s="14"/>
      <c r="E2893" s="13"/>
      <c r="F2893" s="15"/>
      <c r="G2893" s="16" t="str">
        <f aca="false">IF(OR(B2893="",A2893=""),"",C2893*IFERROR(INDEX(Kişiler!$B$5:$B$44,MATCH(B2893,Kişiler!$A$5:$A$44,0)),0)+D2893*IFERROR(INDEX(Kişiler!$C$5:$C$44,MATCH(B2893,Kişiler!$A$5:$A$44,0)),0))</f>
        <v/>
      </c>
    </row>
    <row r="2894" customFormat="false" ht="15" hidden="false" customHeight="false" outlineLevel="0" collapsed="false">
      <c r="A2894" s="12"/>
      <c r="B2894" s="13"/>
      <c r="C2894" s="14"/>
      <c r="D2894" s="14"/>
      <c r="E2894" s="13"/>
      <c r="F2894" s="15"/>
      <c r="G2894" s="16" t="str">
        <f aca="false">IF(OR(B2894="",A2894=""),"",C2894*IFERROR(INDEX(Kişiler!$B$5:$B$44,MATCH(B2894,Kişiler!$A$5:$A$44,0)),0)+D2894*IFERROR(INDEX(Kişiler!$C$5:$C$44,MATCH(B2894,Kişiler!$A$5:$A$44,0)),0))</f>
        <v/>
      </c>
    </row>
    <row r="2895" customFormat="false" ht="15" hidden="false" customHeight="false" outlineLevel="0" collapsed="false">
      <c r="A2895" s="12"/>
      <c r="B2895" s="13"/>
      <c r="C2895" s="14"/>
      <c r="D2895" s="14"/>
      <c r="E2895" s="13"/>
      <c r="F2895" s="15"/>
      <c r="G2895" s="16" t="str">
        <f aca="false">IF(OR(B2895="",A2895=""),"",C2895*IFERROR(INDEX(Kişiler!$B$5:$B$44,MATCH(B2895,Kişiler!$A$5:$A$44,0)),0)+D2895*IFERROR(INDEX(Kişiler!$C$5:$C$44,MATCH(B2895,Kişiler!$A$5:$A$44,0)),0))</f>
        <v/>
      </c>
    </row>
    <row r="2896" customFormat="false" ht="15" hidden="false" customHeight="false" outlineLevel="0" collapsed="false">
      <c r="A2896" s="12"/>
      <c r="B2896" s="13"/>
      <c r="C2896" s="14"/>
      <c r="D2896" s="14"/>
      <c r="E2896" s="13"/>
      <c r="F2896" s="15"/>
      <c r="G2896" s="16" t="str">
        <f aca="false">IF(OR(B2896="",A2896=""),"",C2896*IFERROR(INDEX(Kişiler!$B$5:$B$44,MATCH(B2896,Kişiler!$A$5:$A$44,0)),0)+D2896*IFERROR(INDEX(Kişiler!$C$5:$C$44,MATCH(B2896,Kişiler!$A$5:$A$44,0)),0))</f>
        <v/>
      </c>
    </row>
    <row r="2897" customFormat="false" ht="15" hidden="false" customHeight="false" outlineLevel="0" collapsed="false">
      <c r="A2897" s="12"/>
      <c r="B2897" s="13"/>
      <c r="C2897" s="14"/>
      <c r="D2897" s="14"/>
      <c r="E2897" s="13"/>
      <c r="F2897" s="15"/>
      <c r="G2897" s="16" t="str">
        <f aca="false">IF(OR(B2897="",A2897=""),"",C2897*IFERROR(INDEX(Kişiler!$B$5:$B$44,MATCH(B2897,Kişiler!$A$5:$A$44,0)),0)+D2897*IFERROR(INDEX(Kişiler!$C$5:$C$44,MATCH(B2897,Kişiler!$A$5:$A$44,0)),0))</f>
        <v/>
      </c>
    </row>
    <row r="2898" customFormat="false" ht="15" hidden="false" customHeight="false" outlineLevel="0" collapsed="false">
      <c r="A2898" s="12"/>
      <c r="B2898" s="13"/>
      <c r="C2898" s="14"/>
      <c r="D2898" s="14"/>
      <c r="E2898" s="13"/>
      <c r="F2898" s="15"/>
      <c r="G2898" s="16" t="str">
        <f aca="false">IF(OR(B2898="",A2898=""),"",C2898*IFERROR(INDEX(Kişiler!$B$5:$B$44,MATCH(B2898,Kişiler!$A$5:$A$44,0)),0)+D2898*IFERROR(INDEX(Kişiler!$C$5:$C$44,MATCH(B2898,Kişiler!$A$5:$A$44,0)),0))</f>
        <v/>
      </c>
    </row>
    <row r="2899" customFormat="false" ht="15" hidden="false" customHeight="false" outlineLevel="0" collapsed="false">
      <c r="A2899" s="12"/>
      <c r="B2899" s="13"/>
      <c r="C2899" s="14"/>
      <c r="D2899" s="14"/>
      <c r="E2899" s="13"/>
      <c r="F2899" s="15"/>
      <c r="G2899" s="16" t="str">
        <f aca="false">IF(OR(B2899="",A2899=""),"",C2899*IFERROR(INDEX(Kişiler!$B$5:$B$44,MATCH(B2899,Kişiler!$A$5:$A$44,0)),0)+D2899*IFERROR(INDEX(Kişiler!$C$5:$C$44,MATCH(B2899,Kişiler!$A$5:$A$44,0)),0))</f>
        <v/>
      </c>
    </row>
    <row r="2900" customFormat="false" ht="15" hidden="false" customHeight="false" outlineLevel="0" collapsed="false">
      <c r="A2900" s="12"/>
      <c r="B2900" s="13"/>
      <c r="C2900" s="14"/>
      <c r="D2900" s="14"/>
      <c r="E2900" s="13"/>
      <c r="F2900" s="15"/>
      <c r="G2900" s="16" t="str">
        <f aca="false">IF(OR(B2900="",A2900=""),"",C2900*IFERROR(INDEX(Kişiler!$B$5:$B$44,MATCH(B2900,Kişiler!$A$5:$A$44,0)),0)+D2900*IFERROR(INDEX(Kişiler!$C$5:$C$44,MATCH(B2900,Kişiler!$A$5:$A$44,0)),0))</f>
        <v/>
      </c>
    </row>
    <row r="2901" customFormat="false" ht="15" hidden="false" customHeight="false" outlineLevel="0" collapsed="false">
      <c r="A2901" s="12"/>
      <c r="B2901" s="13"/>
      <c r="C2901" s="14"/>
      <c r="D2901" s="14"/>
      <c r="E2901" s="13"/>
      <c r="F2901" s="15"/>
      <c r="G2901" s="16" t="str">
        <f aca="false">IF(OR(B2901="",A2901=""),"",C2901*IFERROR(INDEX(Kişiler!$B$5:$B$44,MATCH(B2901,Kişiler!$A$5:$A$44,0)),0)+D2901*IFERROR(INDEX(Kişiler!$C$5:$C$44,MATCH(B2901,Kişiler!$A$5:$A$44,0)),0))</f>
        <v/>
      </c>
    </row>
    <row r="2902" customFormat="false" ht="15" hidden="false" customHeight="false" outlineLevel="0" collapsed="false">
      <c r="A2902" s="12"/>
      <c r="B2902" s="13"/>
      <c r="C2902" s="14"/>
      <c r="D2902" s="14"/>
      <c r="E2902" s="13"/>
      <c r="F2902" s="15"/>
      <c r="G2902" s="16" t="str">
        <f aca="false">IF(OR(B2902="",A2902=""),"",C2902*IFERROR(INDEX(Kişiler!$B$5:$B$44,MATCH(B2902,Kişiler!$A$5:$A$44,0)),0)+D2902*IFERROR(INDEX(Kişiler!$C$5:$C$44,MATCH(B2902,Kişiler!$A$5:$A$44,0)),0))</f>
        <v/>
      </c>
    </row>
    <row r="2903" customFormat="false" ht="15" hidden="false" customHeight="false" outlineLevel="0" collapsed="false">
      <c r="A2903" s="12"/>
      <c r="B2903" s="13"/>
      <c r="C2903" s="14"/>
      <c r="D2903" s="14"/>
      <c r="E2903" s="13"/>
      <c r="F2903" s="15"/>
      <c r="G2903" s="16" t="str">
        <f aca="false">IF(OR(B2903="",A2903=""),"",C2903*IFERROR(INDEX(Kişiler!$B$5:$B$44,MATCH(B2903,Kişiler!$A$5:$A$44,0)),0)+D2903*IFERROR(INDEX(Kişiler!$C$5:$C$44,MATCH(B2903,Kişiler!$A$5:$A$44,0)),0))</f>
        <v/>
      </c>
    </row>
    <row r="2904" customFormat="false" ht="15" hidden="false" customHeight="false" outlineLevel="0" collapsed="false">
      <c r="A2904" s="12"/>
      <c r="B2904" s="13"/>
      <c r="C2904" s="14"/>
      <c r="D2904" s="14"/>
      <c r="E2904" s="13"/>
      <c r="F2904" s="15"/>
      <c r="G2904" s="16" t="str">
        <f aca="false">IF(OR(B2904="",A2904=""),"",C2904*IFERROR(INDEX(Kişiler!$B$5:$B$44,MATCH(B2904,Kişiler!$A$5:$A$44,0)),0)+D2904*IFERROR(INDEX(Kişiler!$C$5:$C$44,MATCH(B2904,Kişiler!$A$5:$A$44,0)),0))</f>
        <v/>
      </c>
    </row>
    <row r="2905" customFormat="false" ht="15" hidden="false" customHeight="false" outlineLevel="0" collapsed="false">
      <c r="A2905" s="12"/>
      <c r="B2905" s="13"/>
      <c r="C2905" s="14"/>
      <c r="D2905" s="14"/>
      <c r="E2905" s="13"/>
      <c r="F2905" s="15"/>
      <c r="G2905" s="16" t="str">
        <f aca="false">IF(OR(B2905="",A2905=""),"",C2905*IFERROR(INDEX(Kişiler!$B$5:$B$44,MATCH(B2905,Kişiler!$A$5:$A$44,0)),0)+D2905*IFERROR(INDEX(Kişiler!$C$5:$C$44,MATCH(B2905,Kişiler!$A$5:$A$44,0)),0))</f>
        <v/>
      </c>
    </row>
    <row r="2906" customFormat="false" ht="15" hidden="false" customHeight="false" outlineLevel="0" collapsed="false">
      <c r="A2906" s="12"/>
      <c r="B2906" s="13"/>
      <c r="C2906" s="14"/>
      <c r="D2906" s="14"/>
      <c r="E2906" s="13"/>
      <c r="F2906" s="15"/>
      <c r="G2906" s="16" t="str">
        <f aca="false">IF(OR(B2906="",A2906=""),"",C2906*IFERROR(INDEX(Kişiler!$B$5:$B$44,MATCH(B2906,Kişiler!$A$5:$A$44,0)),0)+D2906*IFERROR(INDEX(Kişiler!$C$5:$C$44,MATCH(B2906,Kişiler!$A$5:$A$44,0)),0))</f>
        <v/>
      </c>
    </row>
    <row r="2907" customFormat="false" ht="15" hidden="false" customHeight="false" outlineLevel="0" collapsed="false">
      <c r="A2907" s="12"/>
      <c r="B2907" s="13"/>
      <c r="C2907" s="14"/>
      <c r="D2907" s="14"/>
      <c r="E2907" s="13"/>
      <c r="F2907" s="15"/>
      <c r="G2907" s="16" t="str">
        <f aca="false">IF(OR(B2907="",A2907=""),"",C2907*IFERROR(INDEX(Kişiler!$B$5:$B$44,MATCH(B2907,Kişiler!$A$5:$A$44,0)),0)+D2907*IFERROR(INDEX(Kişiler!$C$5:$C$44,MATCH(B2907,Kişiler!$A$5:$A$44,0)),0))</f>
        <v/>
      </c>
    </row>
    <row r="2908" customFormat="false" ht="15" hidden="false" customHeight="false" outlineLevel="0" collapsed="false">
      <c r="A2908" s="12"/>
      <c r="B2908" s="13"/>
      <c r="C2908" s="14"/>
      <c r="D2908" s="14"/>
      <c r="E2908" s="13"/>
      <c r="F2908" s="15"/>
      <c r="G2908" s="16" t="str">
        <f aca="false">IF(OR(B2908="",A2908=""),"",C2908*IFERROR(INDEX(Kişiler!$B$5:$B$44,MATCH(B2908,Kişiler!$A$5:$A$44,0)),0)+D2908*IFERROR(INDEX(Kişiler!$C$5:$C$44,MATCH(B2908,Kişiler!$A$5:$A$44,0)),0))</f>
        <v/>
      </c>
    </row>
    <row r="2909" customFormat="false" ht="15" hidden="false" customHeight="false" outlineLevel="0" collapsed="false">
      <c r="A2909" s="12"/>
      <c r="B2909" s="13"/>
      <c r="C2909" s="14"/>
      <c r="D2909" s="14"/>
      <c r="E2909" s="13"/>
      <c r="F2909" s="15"/>
      <c r="G2909" s="16" t="str">
        <f aca="false">IF(OR(B2909="",A2909=""),"",C2909*IFERROR(INDEX(Kişiler!$B$5:$B$44,MATCH(B2909,Kişiler!$A$5:$A$44,0)),0)+D2909*IFERROR(INDEX(Kişiler!$C$5:$C$44,MATCH(B2909,Kişiler!$A$5:$A$44,0)),0))</f>
        <v/>
      </c>
    </row>
    <row r="2910" customFormat="false" ht="15" hidden="false" customHeight="false" outlineLevel="0" collapsed="false">
      <c r="A2910" s="12"/>
      <c r="B2910" s="13"/>
      <c r="C2910" s="14"/>
      <c r="D2910" s="14"/>
      <c r="E2910" s="13"/>
      <c r="F2910" s="15"/>
      <c r="G2910" s="16" t="str">
        <f aca="false">IF(OR(B2910="",A2910=""),"",C2910*IFERROR(INDEX(Kişiler!$B$5:$B$44,MATCH(B2910,Kişiler!$A$5:$A$44,0)),0)+D2910*IFERROR(INDEX(Kişiler!$C$5:$C$44,MATCH(B2910,Kişiler!$A$5:$A$44,0)),0))</f>
        <v/>
      </c>
    </row>
    <row r="2911" customFormat="false" ht="15" hidden="false" customHeight="false" outlineLevel="0" collapsed="false">
      <c r="A2911" s="12"/>
      <c r="B2911" s="13"/>
      <c r="C2911" s="14"/>
      <c r="D2911" s="14"/>
      <c r="E2911" s="13"/>
      <c r="F2911" s="15"/>
      <c r="G2911" s="16" t="str">
        <f aca="false">IF(OR(B2911="",A2911=""),"",C2911*IFERROR(INDEX(Kişiler!$B$5:$B$44,MATCH(B2911,Kişiler!$A$5:$A$44,0)),0)+D2911*IFERROR(INDEX(Kişiler!$C$5:$C$44,MATCH(B2911,Kişiler!$A$5:$A$44,0)),0))</f>
        <v/>
      </c>
    </row>
    <row r="2912" customFormat="false" ht="15" hidden="false" customHeight="false" outlineLevel="0" collapsed="false">
      <c r="A2912" s="12"/>
      <c r="B2912" s="13"/>
      <c r="C2912" s="14"/>
      <c r="D2912" s="14"/>
      <c r="E2912" s="13"/>
      <c r="F2912" s="15"/>
      <c r="G2912" s="16" t="str">
        <f aca="false">IF(OR(B2912="",A2912=""),"",C2912*IFERROR(INDEX(Kişiler!$B$5:$B$44,MATCH(B2912,Kişiler!$A$5:$A$44,0)),0)+D2912*IFERROR(INDEX(Kişiler!$C$5:$C$44,MATCH(B2912,Kişiler!$A$5:$A$44,0)),0))</f>
        <v/>
      </c>
    </row>
    <row r="2913" customFormat="false" ht="15" hidden="false" customHeight="false" outlineLevel="0" collapsed="false">
      <c r="A2913" s="12"/>
      <c r="B2913" s="13"/>
      <c r="C2913" s="14"/>
      <c r="D2913" s="14"/>
      <c r="E2913" s="13"/>
      <c r="F2913" s="15"/>
      <c r="G2913" s="16" t="str">
        <f aca="false">IF(OR(B2913="",A2913=""),"",C2913*IFERROR(INDEX(Kişiler!$B$5:$B$44,MATCH(B2913,Kişiler!$A$5:$A$44,0)),0)+D2913*IFERROR(INDEX(Kişiler!$C$5:$C$44,MATCH(B2913,Kişiler!$A$5:$A$44,0)),0))</f>
        <v/>
      </c>
    </row>
    <row r="2914" customFormat="false" ht="15" hidden="false" customHeight="false" outlineLevel="0" collapsed="false">
      <c r="A2914" s="12"/>
      <c r="B2914" s="13"/>
      <c r="C2914" s="14"/>
      <c r="D2914" s="14"/>
      <c r="E2914" s="13"/>
      <c r="F2914" s="15"/>
      <c r="G2914" s="16" t="str">
        <f aca="false">IF(OR(B2914="",A2914=""),"",C2914*IFERROR(INDEX(Kişiler!$B$5:$B$44,MATCH(B2914,Kişiler!$A$5:$A$44,0)),0)+D2914*IFERROR(INDEX(Kişiler!$C$5:$C$44,MATCH(B2914,Kişiler!$A$5:$A$44,0)),0))</f>
        <v/>
      </c>
    </row>
    <row r="2915" customFormat="false" ht="15" hidden="false" customHeight="false" outlineLevel="0" collapsed="false">
      <c r="A2915" s="12"/>
      <c r="B2915" s="13"/>
      <c r="C2915" s="14"/>
      <c r="D2915" s="14"/>
      <c r="E2915" s="13"/>
      <c r="F2915" s="15"/>
      <c r="G2915" s="16" t="str">
        <f aca="false">IF(OR(B2915="",A2915=""),"",C2915*IFERROR(INDEX(Kişiler!$B$5:$B$44,MATCH(B2915,Kişiler!$A$5:$A$44,0)),0)+D2915*IFERROR(INDEX(Kişiler!$C$5:$C$44,MATCH(B2915,Kişiler!$A$5:$A$44,0)),0))</f>
        <v/>
      </c>
    </row>
    <row r="2916" customFormat="false" ht="15" hidden="false" customHeight="false" outlineLevel="0" collapsed="false">
      <c r="A2916" s="12"/>
      <c r="B2916" s="13"/>
      <c r="C2916" s="14"/>
      <c r="D2916" s="14"/>
      <c r="E2916" s="13"/>
      <c r="F2916" s="15"/>
      <c r="G2916" s="16" t="str">
        <f aca="false">IF(OR(B2916="",A2916=""),"",C2916*IFERROR(INDEX(Kişiler!$B$5:$B$44,MATCH(B2916,Kişiler!$A$5:$A$44,0)),0)+D2916*IFERROR(INDEX(Kişiler!$C$5:$C$44,MATCH(B2916,Kişiler!$A$5:$A$44,0)),0))</f>
        <v/>
      </c>
    </row>
    <row r="2917" customFormat="false" ht="15" hidden="false" customHeight="false" outlineLevel="0" collapsed="false">
      <c r="A2917" s="12"/>
      <c r="B2917" s="13"/>
      <c r="C2917" s="14"/>
      <c r="D2917" s="14"/>
      <c r="E2917" s="13"/>
      <c r="F2917" s="15"/>
      <c r="G2917" s="16" t="str">
        <f aca="false">IF(OR(B2917="",A2917=""),"",C2917*IFERROR(INDEX(Kişiler!$B$5:$B$44,MATCH(B2917,Kişiler!$A$5:$A$44,0)),0)+D2917*IFERROR(INDEX(Kişiler!$C$5:$C$44,MATCH(B2917,Kişiler!$A$5:$A$44,0)),0))</f>
        <v/>
      </c>
    </row>
    <row r="2918" customFormat="false" ht="15" hidden="false" customHeight="false" outlineLevel="0" collapsed="false">
      <c r="A2918" s="12"/>
      <c r="B2918" s="13"/>
      <c r="C2918" s="14"/>
      <c r="D2918" s="14"/>
      <c r="E2918" s="13"/>
      <c r="F2918" s="15"/>
      <c r="G2918" s="16" t="str">
        <f aca="false">IF(OR(B2918="",A2918=""),"",C2918*IFERROR(INDEX(Kişiler!$B$5:$B$44,MATCH(B2918,Kişiler!$A$5:$A$44,0)),0)+D2918*IFERROR(INDEX(Kişiler!$C$5:$C$44,MATCH(B2918,Kişiler!$A$5:$A$44,0)),0))</f>
        <v/>
      </c>
    </row>
    <row r="2919" customFormat="false" ht="15" hidden="false" customHeight="false" outlineLevel="0" collapsed="false">
      <c r="A2919" s="12"/>
      <c r="B2919" s="13"/>
      <c r="C2919" s="14"/>
      <c r="D2919" s="14"/>
      <c r="E2919" s="13"/>
      <c r="F2919" s="15"/>
      <c r="G2919" s="16" t="str">
        <f aca="false">IF(OR(B2919="",A2919=""),"",C2919*IFERROR(INDEX(Kişiler!$B$5:$B$44,MATCH(B2919,Kişiler!$A$5:$A$44,0)),0)+D2919*IFERROR(INDEX(Kişiler!$C$5:$C$44,MATCH(B2919,Kişiler!$A$5:$A$44,0)),0))</f>
        <v/>
      </c>
    </row>
    <row r="2920" customFormat="false" ht="15" hidden="false" customHeight="false" outlineLevel="0" collapsed="false">
      <c r="A2920" s="12"/>
      <c r="B2920" s="13"/>
      <c r="C2920" s="14"/>
      <c r="D2920" s="14"/>
      <c r="E2920" s="13"/>
      <c r="F2920" s="15"/>
      <c r="G2920" s="16" t="str">
        <f aca="false">IF(OR(B2920="",A2920=""),"",C2920*IFERROR(INDEX(Kişiler!$B$5:$B$44,MATCH(B2920,Kişiler!$A$5:$A$44,0)),0)+D2920*IFERROR(INDEX(Kişiler!$C$5:$C$44,MATCH(B2920,Kişiler!$A$5:$A$44,0)),0))</f>
        <v/>
      </c>
    </row>
    <row r="2921" customFormat="false" ht="15" hidden="false" customHeight="false" outlineLevel="0" collapsed="false">
      <c r="A2921" s="12"/>
      <c r="B2921" s="13"/>
      <c r="C2921" s="14"/>
      <c r="D2921" s="14"/>
      <c r="E2921" s="13"/>
      <c r="F2921" s="15"/>
      <c r="G2921" s="16" t="str">
        <f aca="false">IF(OR(B2921="",A2921=""),"",C2921*IFERROR(INDEX(Kişiler!$B$5:$B$44,MATCH(B2921,Kişiler!$A$5:$A$44,0)),0)+D2921*IFERROR(INDEX(Kişiler!$C$5:$C$44,MATCH(B2921,Kişiler!$A$5:$A$44,0)),0))</f>
        <v/>
      </c>
    </row>
    <row r="2922" customFormat="false" ht="15" hidden="false" customHeight="false" outlineLevel="0" collapsed="false">
      <c r="A2922" s="12"/>
      <c r="B2922" s="13"/>
      <c r="C2922" s="14"/>
      <c r="D2922" s="14"/>
      <c r="E2922" s="13"/>
      <c r="F2922" s="15"/>
      <c r="G2922" s="16" t="str">
        <f aca="false">IF(OR(B2922="",A2922=""),"",C2922*IFERROR(INDEX(Kişiler!$B$5:$B$44,MATCH(B2922,Kişiler!$A$5:$A$44,0)),0)+D2922*IFERROR(INDEX(Kişiler!$C$5:$C$44,MATCH(B2922,Kişiler!$A$5:$A$44,0)),0))</f>
        <v/>
      </c>
    </row>
    <row r="2923" customFormat="false" ht="15" hidden="false" customHeight="false" outlineLevel="0" collapsed="false">
      <c r="A2923" s="12"/>
      <c r="B2923" s="13"/>
      <c r="C2923" s="14"/>
      <c r="D2923" s="14"/>
      <c r="E2923" s="13"/>
      <c r="F2923" s="15"/>
      <c r="G2923" s="16" t="str">
        <f aca="false">IF(OR(B2923="",A2923=""),"",C2923*IFERROR(INDEX(Kişiler!$B$5:$B$44,MATCH(B2923,Kişiler!$A$5:$A$44,0)),0)+D2923*IFERROR(INDEX(Kişiler!$C$5:$C$44,MATCH(B2923,Kişiler!$A$5:$A$44,0)),0))</f>
        <v/>
      </c>
    </row>
    <row r="2924" customFormat="false" ht="15" hidden="false" customHeight="false" outlineLevel="0" collapsed="false">
      <c r="A2924" s="12"/>
      <c r="B2924" s="13"/>
      <c r="C2924" s="14"/>
      <c r="D2924" s="14"/>
      <c r="E2924" s="13"/>
      <c r="F2924" s="15"/>
      <c r="G2924" s="16" t="str">
        <f aca="false">IF(OR(B2924="",A2924=""),"",C2924*IFERROR(INDEX(Kişiler!$B$5:$B$44,MATCH(B2924,Kişiler!$A$5:$A$44,0)),0)+D2924*IFERROR(INDEX(Kişiler!$C$5:$C$44,MATCH(B2924,Kişiler!$A$5:$A$44,0)),0))</f>
        <v/>
      </c>
    </row>
    <row r="2925" customFormat="false" ht="15" hidden="false" customHeight="false" outlineLevel="0" collapsed="false">
      <c r="A2925" s="12"/>
      <c r="B2925" s="13"/>
      <c r="C2925" s="14"/>
      <c r="D2925" s="14"/>
      <c r="E2925" s="13"/>
      <c r="F2925" s="15"/>
      <c r="G2925" s="16" t="str">
        <f aca="false">IF(OR(B2925="",A2925=""),"",C2925*IFERROR(INDEX(Kişiler!$B$5:$B$44,MATCH(B2925,Kişiler!$A$5:$A$44,0)),0)+D2925*IFERROR(INDEX(Kişiler!$C$5:$C$44,MATCH(B2925,Kişiler!$A$5:$A$44,0)),0))</f>
        <v/>
      </c>
    </row>
    <row r="2926" customFormat="false" ht="15" hidden="false" customHeight="false" outlineLevel="0" collapsed="false">
      <c r="A2926" s="12"/>
      <c r="B2926" s="13"/>
      <c r="C2926" s="14"/>
      <c r="D2926" s="14"/>
      <c r="E2926" s="13"/>
      <c r="F2926" s="15"/>
      <c r="G2926" s="16" t="str">
        <f aca="false">IF(OR(B2926="",A2926=""),"",C2926*IFERROR(INDEX(Kişiler!$B$5:$B$44,MATCH(B2926,Kişiler!$A$5:$A$44,0)),0)+D2926*IFERROR(INDEX(Kişiler!$C$5:$C$44,MATCH(B2926,Kişiler!$A$5:$A$44,0)),0))</f>
        <v/>
      </c>
    </row>
    <row r="2927" customFormat="false" ht="15" hidden="false" customHeight="false" outlineLevel="0" collapsed="false">
      <c r="A2927" s="12"/>
      <c r="B2927" s="13"/>
      <c r="C2927" s="14"/>
      <c r="D2927" s="14"/>
      <c r="E2927" s="13"/>
      <c r="F2927" s="15"/>
      <c r="G2927" s="16" t="str">
        <f aca="false">IF(OR(B2927="",A2927=""),"",C2927*IFERROR(INDEX(Kişiler!$B$5:$B$44,MATCH(B2927,Kişiler!$A$5:$A$44,0)),0)+D2927*IFERROR(INDEX(Kişiler!$C$5:$C$44,MATCH(B2927,Kişiler!$A$5:$A$44,0)),0))</f>
        <v/>
      </c>
    </row>
    <row r="2928" customFormat="false" ht="15" hidden="false" customHeight="false" outlineLevel="0" collapsed="false">
      <c r="A2928" s="12"/>
      <c r="B2928" s="13"/>
      <c r="C2928" s="14"/>
      <c r="D2928" s="14"/>
      <c r="E2928" s="13"/>
      <c r="F2928" s="15"/>
      <c r="G2928" s="16" t="str">
        <f aca="false">IF(OR(B2928="",A2928=""),"",C2928*IFERROR(INDEX(Kişiler!$B$5:$B$44,MATCH(B2928,Kişiler!$A$5:$A$44,0)),0)+D2928*IFERROR(INDEX(Kişiler!$C$5:$C$44,MATCH(B2928,Kişiler!$A$5:$A$44,0)),0))</f>
        <v/>
      </c>
    </row>
    <row r="2929" customFormat="false" ht="15" hidden="false" customHeight="false" outlineLevel="0" collapsed="false">
      <c r="A2929" s="12"/>
      <c r="B2929" s="13"/>
      <c r="C2929" s="14"/>
      <c r="D2929" s="14"/>
      <c r="E2929" s="13"/>
      <c r="F2929" s="15"/>
      <c r="G2929" s="16" t="str">
        <f aca="false">IF(OR(B2929="",A2929=""),"",C2929*IFERROR(INDEX(Kişiler!$B$5:$B$44,MATCH(B2929,Kişiler!$A$5:$A$44,0)),0)+D2929*IFERROR(INDEX(Kişiler!$C$5:$C$44,MATCH(B2929,Kişiler!$A$5:$A$44,0)),0))</f>
        <v/>
      </c>
    </row>
    <row r="2930" customFormat="false" ht="15" hidden="false" customHeight="false" outlineLevel="0" collapsed="false">
      <c r="A2930" s="12"/>
      <c r="B2930" s="13"/>
      <c r="C2930" s="14"/>
      <c r="D2930" s="14"/>
      <c r="E2930" s="13"/>
      <c r="F2930" s="15"/>
      <c r="G2930" s="16" t="str">
        <f aca="false">IF(OR(B2930="",A2930=""),"",C2930*IFERROR(INDEX(Kişiler!$B$5:$B$44,MATCH(B2930,Kişiler!$A$5:$A$44,0)),0)+D2930*IFERROR(INDEX(Kişiler!$C$5:$C$44,MATCH(B2930,Kişiler!$A$5:$A$44,0)),0))</f>
        <v/>
      </c>
    </row>
    <row r="2931" customFormat="false" ht="15" hidden="false" customHeight="false" outlineLevel="0" collapsed="false">
      <c r="A2931" s="12"/>
      <c r="B2931" s="13"/>
      <c r="C2931" s="14"/>
      <c r="D2931" s="14"/>
      <c r="E2931" s="13"/>
      <c r="F2931" s="15"/>
      <c r="G2931" s="16" t="str">
        <f aca="false">IF(OR(B2931="",A2931=""),"",C2931*IFERROR(INDEX(Kişiler!$B$5:$B$44,MATCH(B2931,Kişiler!$A$5:$A$44,0)),0)+D2931*IFERROR(INDEX(Kişiler!$C$5:$C$44,MATCH(B2931,Kişiler!$A$5:$A$44,0)),0))</f>
        <v/>
      </c>
    </row>
    <row r="2932" customFormat="false" ht="15" hidden="false" customHeight="false" outlineLevel="0" collapsed="false">
      <c r="A2932" s="12"/>
      <c r="B2932" s="13"/>
      <c r="C2932" s="14"/>
      <c r="D2932" s="14"/>
      <c r="E2932" s="13"/>
      <c r="F2932" s="15"/>
      <c r="G2932" s="16" t="str">
        <f aca="false">IF(OR(B2932="",A2932=""),"",C2932*IFERROR(INDEX(Kişiler!$B$5:$B$44,MATCH(B2932,Kişiler!$A$5:$A$44,0)),0)+D2932*IFERROR(INDEX(Kişiler!$C$5:$C$44,MATCH(B2932,Kişiler!$A$5:$A$44,0)),0))</f>
        <v/>
      </c>
    </row>
    <row r="2933" customFormat="false" ht="15" hidden="false" customHeight="false" outlineLevel="0" collapsed="false">
      <c r="A2933" s="12"/>
      <c r="B2933" s="13"/>
      <c r="C2933" s="14"/>
      <c r="D2933" s="14"/>
      <c r="E2933" s="13"/>
      <c r="F2933" s="15"/>
      <c r="G2933" s="16" t="str">
        <f aca="false">IF(OR(B2933="",A2933=""),"",C2933*IFERROR(INDEX(Kişiler!$B$5:$B$44,MATCH(B2933,Kişiler!$A$5:$A$44,0)),0)+D2933*IFERROR(INDEX(Kişiler!$C$5:$C$44,MATCH(B2933,Kişiler!$A$5:$A$44,0)),0))</f>
        <v/>
      </c>
    </row>
    <row r="2934" customFormat="false" ht="15" hidden="false" customHeight="false" outlineLevel="0" collapsed="false">
      <c r="A2934" s="12"/>
      <c r="B2934" s="13"/>
      <c r="C2934" s="14"/>
      <c r="D2934" s="14"/>
      <c r="E2934" s="13"/>
      <c r="F2934" s="15"/>
      <c r="G2934" s="16" t="str">
        <f aca="false">IF(OR(B2934="",A2934=""),"",C2934*IFERROR(INDEX(Kişiler!$B$5:$B$44,MATCH(B2934,Kişiler!$A$5:$A$44,0)),0)+D2934*IFERROR(INDEX(Kişiler!$C$5:$C$44,MATCH(B2934,Kişiler!$A$5:$A$44,0)),0))</f>
        <v/>
      </c>
    </row>
    <row r="2935" customFormat="false" ht="15" hidden="false" customHeight="false" outlineLevel="0" collapsed="false">
      <c r="A2935" s="12"/>
      <c r="B2935" s="13"/>
      <c r="C2935" s="14"/>
      <c r="D2935" s="14"/>
      <c r="E2935" s="13"/>
      <c r="F2935" s="15"/>
      <c r="G2935" s="16" t="str">
        <f aca="false">IF(OR(B2935="",A2935=""),"",C2935*IFERROR(INDEX(Kişiler!$B$5:$B$44,MATCH(B2935,Kişiler!$A$5:$A$44,0)),0)+D2935*IFERROR(INDEX(Kişiler!$C$5:$C$44,MATCH(B2935,Kişiler!$A$5:$A$44,0)),0))</f>
        <v/>
      </c>
    </row>
    <row r="2936" customFormat="false" ht="15" hidden="false" customHeight="false" outlineLevel="0" collapsed="false">
      <c r="A2936" s="12"/>
      <c r="B2936" s="13"/>
      <c r="C2936" s="14"/>
      <c r="D2936" s="14"/>
      <c r="E2936" s="13"/>
      <c r="F2936" s="15"/>
      <c r="G2936" s="16" t="str">
        <f aca="false">IF(OR(B2936="",A2936=""),"",C2936*IFERROR(INDEX(Kişiler!$B$5:$B$44,MATCH(B2936,Kişiler!$A$5:$A$44,0)),0)+D2936*IFERROR(INDEX(Kişiler!$C$5:$C$44,MATCH(B2936,Kişiler!$A$5:$A$44,0)),0))</f>
        <v/>
      </c>
    </row>
    <row r="2937" customFormat="false" ht="15" hidden="false" customHeight="false" outlineLevel="0" collapsed="false">
      <c r="A2937" s="12"/>
      <c r="B2937" s="13"/>
      <c r="C2937" s="14"/>
      <c r="D2937" s="14"/>
      <c r="E2937" s="13"/>
      <c r="F2937" s="15"/>
      <c r="G2937" s="16" t="str">
        <f aca="false">IF(OR(B2937="",A2937=""),"",C2937*IFERROR(INDEX(Kişiler!$B$5:$B$44,MATCH(B2937,Kişiler!$A$5:$A$44,0)),0)+D2937*IFERROR(INDEX(Kişiler!$C$5:$C$44,MATCH(B2937,Kişiler!$A$5:$A$44,0)),0))</f>
        <v/>
      </c>
    </row>
    <row r="2938" customFormat="false" ht="15" hidden="false" customHeight="false" outlineLevel="0" collapsed="false">
      <c r="A2938" s="12"/>
      <c r="B2938" s="13"/>
      <c r="C2938" s="14"/>
      <c r="D2938" s="14"/>
      <c r="E2938" s="13"/>
      <c r="F2938" s="15"/>
      <c r="G2938" s="16" t="str">
        <f aca="false">IF(OR(B2938="",A2938=""),"",C2938*IFERROR(INDEX(Kişiler!$B$5:$B$44,MATCH(B2938,Kişiler!$A$5:$A$44,0)),0)+D2938*IFERROR(INDEX(Kişiler!$C$5:$C$44,MATCH(B2938,Kişiler!$A$5:$A$44,0)),0))</f>
        <v/>
      </c>
    </row>
    <row r="2939" customFormat="false" ht="15" hidden="false" customHeight="false" outlineLevel="0" collapsed="false">
      <c r="A2939" s="12"/>
      <c r="B2939" s="13"/>
      <c r="C2939" s="14"/>
      <c r="D2939" s="14"/>
      <c r="E2939" s="13"/>
      <c r="F2939" s="15"/>
      <c r="G2939" s="16" t="str">
        <f aca="false">IF(OR(B2939="",A2939=""),"",C2939*IFERROR(INDEX(Kişiler!$B$5:$B$44,MATCH(B2939,Kişiler!$A$5:$A$44,0)),0)+D2939*IFERROR(INDEX(Kişiler!$C$5:$C$44,MATCH(B2939,Kişiler!$A$5:$A$44,0)),0))</f>
        <v/>
      </c>
    </row>
    <row r="2940" customFormat="false" ht="15" hidden="false" customHeight="false" outlineLevel="0" collapsed="false">
      <c r="A2940" s="12"/>
      <c r="B2940" s="13"/>
      <c r="C2940" s="14"/>
      <c r="D2940" s="14"/>
      <c r="E2940" s="13"/>
      <c r="F2940" s="15"/>
      <c r="G2940" s="16" t="str">
        <f aca="false">IF(OR(B2940="",A2940=""),"",C2940*IFERROR(INDEX(Kişiler!$B$5:$B$44,MATCH(B2940,Kişiler!$A$5:$A$44,0)),0)+D2940*IFERROR(INDEX(Kişiler!$C$5:$C$44,MATCH(B2940,Kişiler!$A$5:$A$44,0)),0))</f>
        <v/>
      </c>
    </row>
    <row r="2941" customFormat="false" ht="15" hidden="false" customHeight="false" outlineLevel="0" collapsed="false">
      <c r="A2941" s="12"/>
      <c r="B2941" s="13"/>
      <c r="C2941" s="14"/>
      <c r="D2941" s="14"/>
      <c r="E2941" s="13"/>
      <c r="F2941" s="15"/>
      <c r="G2941" s="16" t="str">
        <f aca="false">IF(OR(B2941="",A2941=""),"",C2941*IFERROR(INDEX(Kişiler!$B$5:$B$44,MATCH(B2941,Kişiler!$A$5:$A$44,0)),0)+D2941*IFERROR(INDEX(Kişiler!$C$5:$C$44,MATCH(B2941,Kişiler!$A$5:$A$44,0)),0))</f>
        <v/>
      </c>
    </row>
    <row r="2942" customFormat="false" ht="15" hidden="false" customHeight="false" outlineLevel="0" collapsed="false">
      <c r="A2942" s="12"/>
      <c r="B2942" s="13"/>
      <c r="C2942" s="14"/>
      <c r="D2942" s="14"/>
      <c r="E2942" s="13"/>
      <c r="F2942" s="15"/>
      <c r="G2942" s="16" t="str">
        <f aca="false">IF(OR(B2942="",A2942=""),"",C2942*IFERROR(INDEX(Kişiler!$B$5:$B$44,MATCH(B2942,Kişiler!$A$5:$A$44,0)),0)+D2942*IFERROR(INDEX(Kişiler!$C$5:$C$44,MATCH(B2942,Kişiler!$A$5:$A$44,0)),0))</f>
        <v/>
      </c>
    </row>
    <row r="2943" customFormat="false" ht="15" hidden="false" customHeight="false" outlineLevel="0" collapsed="false">
      <c r="A2943" s="12"/>
      <c r="B2943" s="13"/>
      <c r="C2943" s="14"/>
      <c r="D2943" s="14"/>
      <c r="E2943" s="13"/>
      <c r="F2943" s="15"/>
      <c r="G2943" s="16" t="str">
        <f aca="false">IF(OR(B2943="",A2943=""),"",C2943*IFERROR(INDEX(Kişiler!$B$5:$B$44,MATCH(B2943,Kişiler!$A$5:$A$44,0)),0)+D2943*IFERROR(INDEX(Kişiler!$C$5:$C$44,MATCH(B2943,Kişiler!$A$5:$A$44,0)),0))</f>
        <v/>
      </c>
    </row>
    <row r="2944" customFormat="false" ht="15" hidden="false" customHeight="false" outlineLevel="0" collapsed="false">
      <c r="A2944" s="12"/>
      <c r="B2944" s="13"/>
      <c r="C2944" s="14"/>
      <c r="D2944" s="14"/>
      <c r="E2944" s="13"/>
      <c r="F2944" s="15"/>
      <c r="G2944" s="16" t="str">
        <f aca="false">IF(OR(B2944="",A2944=""),"",C2944*IFERROR(INDEX(Kişiler!$B$5:$B$44,MATCH(B2944,Kişiler!$A$5:$A$44,0)),0)+D2944*IFERROR(INDEX(Kişiler!$C$5:$C$44,MATCH(B2944,Kişiler!$A$5:$A$44,0)),0))</f>
        <v/>
      </c>
    </row>
    <row r="2945" customFormat="false" ht="15" hidden="false" customHeight="false" outlineLevel="0" collapsed="false">
      <c r="A2945" s="12"/>
      <c r="B2945" s="13"/>
      <c r="C2945" s="14"/>
      <c r="D2945" s="14"/>
      <c r="E2945" s="13"/>
      <c r="F2945" s="15"/>
      <c r="G2945" s="16" t="str">
        <f aca="false">IF(OR(B2945="",A2945=""),"",C2945*IFERROR(INDEX(Kişiler!$B$5:$B$44,MATCH(B2945,Kişiler!$A$5:$A$44,0)),0)+D2945*IFERROR(INDEX(Kişiler!$C$5:$C$44,MATCH(B2945,Kişiler!$A$5:$A$44,0)),0))</f>
        <v/>
      </c>
    </row>
    <row r="2946" customFormat="false" ht="15" hidden="false" customHeight="false" outlineLevel="0" collapsed="false">
      <c r="A2946" s="12"/>
      <c r="B2946" s="13"/>
      <c r="C2946" s="14"/>
      <c r="D2946" s="14"/>
      <c r="E2946" s="13"/>
      <c r="F2946" s="15"/>
      <c r="G2946" s="16" t="str">
        <f aca="false">IF(OR(B2946="",A2946=""),"",C2946*IFERROR(INDEX(Kişiler!$B$5:$B$44,MATCH(B2946,Kişiler!$A$5:$A$44,0)),0)+D2946*IFERROR(INDEX(Kişiler!$C$5:$C$44,MATCH(B2946,Kişiler!$A$5:$A$44,0)),0))</f>
        <v/>
      </c>
    </row>
    <row r="2947" customFormat="false" ht="15" hidden="false" customHeight="false" outlineLevel="0" collapsed="false">
      <c r="A2947" s="12"/>
      <c r="B2947" s="13"/>
      <c r="C2947" s="14"/>
      <c r="D2947" s="14"/>
      <c r="E2947" s="13"/>
      <c r="F2947" s="15"/>
      <c r="G2947" s="16" t="str">
        <f aca="false">IF(OR(B2947="",A2947=""),"",C2947*IFERROR(INDEX(Kişiler!$B$5:$B$44,MATCH(B2947,Kişiler!$A$5:$A$44,0)),0)+D2947*IFERROR(INDEX(Kişiler!$C$5:$C$44,MATCH(B2947,Kişiler!$A$5:$A$44,0)),0))</f>
        <v/>
      </c>
    </row>
    <row r="2948" customFormat="false" ht="15" hidden="false" customHeight="false" outlineLevel="0" collapsed="false">
      <c r="A2948" s="12"/>
      <c r="B2948" s="13"/>
      <c r="C2948" s="14"/>
      <c r="D2948" s="14"/>
      <c r="E2948" s="13"/>
      <c r="F2948" s="15"/>
      <c r="G2948" s="16" t="str">
        <f aca="false">IF(OR(B2948="",A2948=""),"",C2948*IFERROR(INDEX(Kişiler!$B$5:$B$44,MATCH(B2948,Kişiler!$A$5:$A$44,0)),0)+D2948*IFERROR(INDEX(Kişiler!$C$5:$C$44,MATCH(B2948,Kişiler!$A$5:$A$44,0)),0))</f>
        <v/>
      </c>
    </row>
    <row r="2949" customFormat="false" ht="15" hidden="false" customHeight="false" outlineLevel="0" collapsed="false">
      <c r="A2949" s="12"/>
      <c r="B2949" s="13"/>
      <c r="C2949" s="14"/>
      <c r="D2949" s="14"/>
      <c r="E2949" s="13"/>
      <c r="F2949" s="15"/>
      <c r="G2949" s="16" t="str">
        <f aca="false">IF(OR(B2949="",A2949=""),"",C2949*IFERROR(INDEX(Kişiler!$B$5:$B$44,MATCH(B2949,Kişiler!$A$5:$A$44,0)),0)+D2949*IFERROR(INDEX(Kişiler!$C$5:$C$44,MATCH(B2949,Kişiler!$A$5:$A$44,0)),0))</f>
        <v/>
      </c>
    </row>
    <row r="2950" customFormat="false" ht="15" hidden="false" customHeight="false" outlineLevel="0" collapsed="false">
      <c r="A2950" s="12"/>
      <c r="B2950" s="13"/>
      <c r="C2950" s="14"/>
      <c r="D2950" s="14"/>
      <c r="E2950" s="13"/>
      <c r="F2950" s="15"/>
      <c r="G2950" s="16" t="str">
        <f aca="false">IF(OR(B2950="",A2950=""),"",C2950*IFERROR(INDEX(Kişiler!$B$5:$B$44,MATCH(B2950,Kişiler!$A$5:$A$44,0)),0)+D2950*IFERROR(INDEX(Kişiler!$C$5:$C$44,MATCH(B2950,Kişiler!$A$5:$A$44,0)),0))</f>
        <v/>
      </c>
    </row>
    <row r="2951" customFormat="false" ht="15" hidden="false" customHeight="false" outlineLevel="0" collapsed="false">
      <c r="A2951" s="12"/>
      <c r="B2951" s="13"/>
      <c r="C2951" s="14"/>
      <c r="D2951" s="14"/>
      <c r="E2951" s="13"/>
      <c r="F2951" s="15"/>
      <c r="G2951" s="16" t="str">
        <f aca="false">IF(OR(B2951="",A2951=""),"",C2951*IFERROR(INDEX(Kişiler!$B$5:$B$44,MATCH(B2951,Kişiler!$A$5:$A$44,0)),0)+D2951*IFERROR(INDEX(Kişiler!$C$5:$C$44,MATCH(B2951,Kişiler!$A$5:$A$44,0)),0))</f>
        <v/>
      </c>
    </row>
    <row r="2952" customFormat="false" ht="15" hidden="false" customHeight="false" outlineLevel="0" collapsed="false">
      <c r="A2952" s="12"/>
      <c r="B2952" s="13"/>
      <c r="C2952" s="14"/>
      <c r="D2952" s="14"/>
      <c r="E2952" s="13"/>
      <c r="F2952" s="15"/>
      <c r="G2952" s="16" t="str">
        <f aca="false">IF(OR(B2952="",A2952=""),"",C2952*IFERROR(INDEX(Kişiler!$B$5:$B$44,MATCH(B2952,Kişiler!$A$5:$A$44,0)),0)+D2952*IFERROR(INDEX(Kişiler!$C$5:$C$44,MATCH(B2952,Kişiler!$A$5:$A$44,0)),0))</f>
        <v/>
      </c>
    </row>
    <row r="2953" customFormat="false" ht="15" hidden="false" customHeight="false" outlineLevel="0" collapsed="false">
      <c r="A2953" s="12"/>
      <c r="B2953" s="13"/>
      <c r="C2953" s="14"/>
      <c r="D2953" s="14"/>
      <c r="E2953" s="13"/>
      <c r="F2953" s="15"/>
      <c r="G2953" s="16" t="str">
        <f aca="false">IF(OR(B2953="",A2953=""),"",C2953*IFERROR(INDEX(Kişiler!$B$5:$B$44,MATCH(B2953,Kişiler!$A$5:$A$44,0)),0)+D2953*IFERROR(INDEX(Kişiler!$C$5:$C$44,MATCH(B2953,Kişiler!$A$5:$A$44,0)),0))</f>
        <v/>
      </c>
    </row>
    <row r="2954" customFormat="false" ht="15" hidden="false" customHeight="false" outlineLevel="0" collapsed="false">
      <c r="A2954" s="12"/>
      <c r="B2954" s="13"/>
      <c r="C2954" s="14"/>
      <c r="D2954" s="14"/>
      <c r="E2954" s="13"/>
      <c r="F2954" s="15"/>
      <c r="G2954" s="16" t="str">
        <f aca="false">IF(OR(B2954="",A2954=""),"",C2954*IFERROR(INDEX(Kişiler!$B$5:$B$44,MATCH(B2954,Kişiler!$A$5:$A$44,0)),0)+D2954*IFERROR(INDEX(Kişiler!$C$5:$C$44,MATCH(B2954,Kişiler!$A$5:$A$44,0)),0))</f>
        <v/>
      </c>
    </row>
    <row r="2955" customFormat="false" ht="15" hidden="false" customHeight="false" outlineLevel="0" collapsed="false">
      <c r="A2955" s="12"/>
      <c r="B2955" s="13"/>
      <c r="C2955" s="14"/>
      <c r="D2955" s="14"/>
      <c r="E2955" s="13"/>
      <c r="F2955" s="15"/>
      <c r="G2955" s="16" t="str">
        <f aca="false">IF(OR(B2955="",A2955=""),"",C2955*IFERROR(INDEX(Kişiler!$B$5:$B$44,MATCH(B2955,Kişiler!$A$5:$A$44,0)),0)+D2955*IFERROR(INDEX(Kişiler!$C$5:$C$44,MATCH(B2955,Kişiler!$A$5:$A$44,0)),0))</f>
        <v/>
      </c>
    </row>
    <row r="2956" customFormat="false" ht="15" hidden="false" customHeight="false" outlineLevel="0" collapsed="false">
      <c r="A2956" s="12"/>
      <c r="B2956" s="13"/>
      <c r="C2956" s="14"/>
      <c r="D2956" s="14"/>
      <c r="E2956" s="13"/>
      <c r="F2956" s="15"/>
      <c r="G2956" s="16" t="str">
        <f aca="false">IF(OR(B2956="",A2956=""),"",C2956*IFERROR(INDEX(Kişiler!$B$5:$B$44,MATCH(B2956,Kişiler!$A$5:$A$44,0)),0)+D2956*IFERROR(INDEX(Kişiler!$C$5:$C$44,MATCH(B2956,Kişiler!$A$5:$A$44,0)),0))</f>
        <v/>
      </c>
    </row>
    <row r="2957" customFormat="false" ht="15" hidden="false" customHeight="false" outlineLevel="0" collapsed="false">
      <c r="A2957" s="12"/>
      <c r="B2957" s="13"/>
      <c r="C2957" s="14"/>
      <c r="D2957" s="14"/>
      <c r="E2957" s="13"/>
      <c r="F2957" s="15"/>
      <c r="G2957" s="16" t="str">
        <f aca="false">IF(OR(B2957="",A2957=""),"",C2957*IFERROR(INDEX(Kişiler!$B$5:$B$44,MATCH(B2957,Kişiler!$A$5:$A$44,0)),0)+D2957*IFERROR(INDEX(Kişiler!$C$5:$C$44,MATCH(B2957,Kişiler!$A$5:$A$44,0)),0))</f>
        <v/>
      </c>
    </row>
    <row r="2958" customFormat="false" ht="15" hidden="false" customHeight="false" outlineLevel="0" collapsed="false">
      <c r="A2958" s="12"/>
      <c r="B2958" s="13"/>
      <c r="C2958" s="14"/>
      <c r="D2958" s="14"/>
      <c r="E2958" s="13"/>
      <c r="F2958" s="15"/>
      <c r="G2958" s="16" t="str">
        <f aca="false">IF(OR(B2958="",A2958=""),"",C2958*IFERROR(INDEX(Kişiler!$B$5:$B$44,MATCH(B2958,Kişiler!$A$5:$A$44,0)),0)+D2958*IFERROR(INDEX(Kişiler!$C$5:$C$44,MATCH(B2958,Kişiler!$A$5:$A$44,0)),0))</f>
        <v/>
      </c>
    </row>
    <row r="2959" customFormat="false" ht="15" hidden="false" customHeight="false" outlineLevel="0" collapsed="false">
      <c r="A2959" s="12"/>
      <c r="B2959" s="13"/>
      <c r="C2959" s="14"/>
      <c r="D2959" s="14"/>
      <c r="E2959" s="13"/>
      <c r="F2959" s="15"/>
      <c r="G2959" s="16" t="str">
        <f aca="false">IF(OR(B2959="",A2959=""),"",C2959*IFERROR(INDEX(Kişiler!$B$5:$B$44,MATCH(B2959,Kişiler!$A$5:$A$44,0)),0)+D2959*IFERROR(INDEX(Kişiler!$C$5:$C$44,MATCH(B2959,Kişiler!$A$5:$A$44,0)),0))</f>
        <v/>
      </c>
    </row>
    <row r="2960" customFormat="false" ht="15" hidden="false" customHeight="false" outlineLevel="0" collapsed="false">
      <c r="A2960" s="12"/>
      <c r="B2960" s="13"/>
      <c r="C2960" s="14"/>
      <c r="D2960" s="14"/>
      <c r="E2960" s="13"/>
      <c r="F2960" s="15"/>
      <c r="G2960" s="16" t="str">
        <f aca="false">IF(OR(B2960="",A2960=""),"",C2960*IFERROR(INDEX(Kişiler!$B$5:$B$44,MATCH(B2960,Kişiler!$A$5:$A$44,0)),0)+D2960*IFERROR(INDEX(Kişiler!$C$5:$C$44,MATCH(B2960,Kişiler!$A$5:$A$44,0)),0))</f>
        <v/>
      </c>
    </row>
    <row r="2961" customFormat="false" ht="15" hidden="false" customHeight="false" outlineLevel="0" collapsed="false">
      <c r="A2961" s="12"/>
      <c r="B2961" s="13"/>
      <c r="C2961" s="14"/>
      <c r="D2961" s="14"/>
      <c r="E2961" s="13"/>
      <c r="F2961" s="15"/>
      <c r="G2961" s="16" t="str">
        <f aca="false">IF(OR(B2961="",A2961=""),"",C2961*IFERROR(INDEX(Kişiler!$B$5:$B$44,MATCH(B2961,Kişiler!$A$5:$A$44,0)),0)+D2961*IFERROR(INDEX(Kişiler!$C$5:$C$44,MATCH(B2961,Kişiler!$A$5:$A$44,0)),0))</f>
        <v/>
      </c>
    </row>
    <row r="2962" customFormat="false" ht="15" hidden="false" customHeight="false" outlineLevel="0" collapsed="false">
      <c r="A2962" s="12"/>
      <c r="B2962" s="13"/>
      <c r="C2962" s="14"/>
      <c r="D2962" s="14"/>
      <c r="E2962" s="13"/>
      <c r="F2962" s="15"/>
      <c r="G2962" s="16" t="str">
        <f aca="false">IF(OR(B2962="",A2962=""),"",C2962*IFERROR(INDEX(Kişiler!$B$5:$B$44,MATCH(B2962,Kişiler!$A$5:$A$44,0)),0)+D2962*IFERROR(INDEX(Kişiler!$C$5:$C$44,MATCH(B2962,Kişiler!$A$5:$A$44,0)),0))</f>
        <v/>
      </c>
    </row>
    <row r="2963" customFormat="false" ht="15" hidden="false" customHeight="false" outlineLevel="0" collapsed="false">
      <c r="A2963" s="12"/>
      <c r="B2963" s="13"/>
      <c r="C2963" s="14"/>
      <c r="D2963" s="14"/>
      <c r="E2963" s="13"/>
      <c r="F2963" s="15"/>
      <c r="G2963" s="16" t="str">
        <f aca="false">IF(OR(B2963="",A2963=""),"",C2963*IFERROR(INDEX(Kişiler!$B$5:$B$44,MATCH(B2963,Kişiler!$A$5:$A$44,0)),0)+D2963*IFERROR(INDEX(Kişiler!$C$5:$C$44,MATCH(B2963,Kişiler!$A$5:$A$44,0)),0))</f>
        <v/>
      </c>
    </row>
    <row r="2964" customFormat="false" ht="15" hidden="false" customHeight="false" outlineLevel="0" collapsed="false">
      <c r="A2964" s="12"/>
      <c r="B2964" s="13"/>
      <c r="C2964" s="14"/>
      <c r="D2964" s="14"/>
      <c r="E2964" s="13"/>
      <c r="F2964" s="15"/>
      <c r="G2964" s="16" t="str">
        <f aca="false">IF(OR(B2964="",A2964=""),"",C2964*IFERROR(INDEX(Kişiler!$B$5:$B$44,MATCH(B2964,Kişiler!$A$5:$A$44,0)),0)+D2964*IFERROR(INDEX(Kişiler!$C$5:$C$44,MATCH(B2964,Kişiler!$A$5:$A$44,0)),0))</f>
        <v/>
      </c>
    </row>
    <row r="2965" customFormat="false" ht="15" hidden="false" customHeight="false" outlineLevel="0" collapsed="false">
      <c r="A2965" s="12"/>
      <c r="B2965" s="13"/>
      <c r="C2965" s="14"/>
      <c r="D2965" s="14"/>
      <c r="E2965" s="13"/>
      <c r="F2965" s="15"/>
      <c r="G2965" s="16" t="str">
        <f aca="false">IF(OR(B2965="",A2965=""),"",C2965*IFERROR(INDEX(Kişiler!$B$5:$B$44,MATCH(B2965,Kişiler!$A$5:$A$44,0)),0)+D2965*IFERROR(INDEX(Kişiler!$C$5:$C$44,MATCH(B2965,Kişiler!$A$5:$A$44,0)),0))</f>
        <v/>
      </c>
    </row>
    <row r="2966" customFormat="false" ht="15" hidden="false" customHeight="false" outlineLevel="0" collapsed="false">
      <c r="A2966" s="12"/>
      <c r="B2966" s="13"/>
      <c r="C2966" s="14"/>
      <c r="D2966" s="14"/>
      <c r="E2966" s="13"/>
      <c r="F2966" s="15"/>
      <c r="G2966" s="16" t="str">
        <f aca="false">IF(OR(B2966="",A2966=""),"",C2966*IFERROR(INDEX(Kişiler!$B$5:$B$44,MATCH(B2966,Kişiler!$A$5:$A$44,0)),0)+D2966*IFERROR(INDEX(Kişiler!$C$5:$C$44,MATCH(B2966,Kişiler!$A$5:$A$44,0)),0))</f>
        <v/>
      </c>
    </row>
    <row r="2967" customFormat="false" ht="15" hidden="false" customHeight="false" outlineLevel="0" collapsed="false">
      <c r="A2967" s="12"/>
      <c r="B2967" s="13"/>
      <c r="C2967" s="14"/>
      <c r="D2967" s="14"/>
      <c r="E2967" s="13"/>
      <c r="F2967" s="15"/>
      <c r="G2967" s="16" t="str">
        <f aca="false">IF(OR(B2967="",A2967=""),"",C2967*IFERROR(INDEX(Kişiler!$B$5:$B$44,MATCH(B2967,Kişiler!$A$5:$A$44,0)),0)+D2967*IFERROR(INDEX(Kişiler!$C$5:$C$44,MATCH(B2967,Kişiler!$A$5:$A$44,0)),0))</f>
        <v/>
      </c>
    </row>
    <row r="2968" customFormat="false" ht="15" hidden="false" customHeight="false" outlineLevel="0" collapsed="false">
      <c r="A2968" s="12"/>
      <c r="B2968" s="13"/>
      <c r="C2968" s="14"/>
      <c r="D2968" s="14"/>
      <c r="E2968" s="13"/>
      <c r="F2968" s="15"/>
      <c r="G2968" s="16" t="str">
        <f aca="false">IF(OR(B2968="",A2968=""),"",C2968*IFERROR(INDEX(Kişiler!$B$5:$B$44,MATCH(B2968,Kişiler!$A$5:$A$44,0)),0)+D2968*IFERROR(INDEX(Kişiler!$C$5:$C$44,MATCH(B2968,Kişiler!$A$5:$A$44,0)),0))</f>
        <v/>
      </c>
    </row>
    <row r="2969" customFormat="false" ht="15" hidden="false" customHeight="false" outlineLevel="0" collapsed="false">
      <c r="A2969" s="12"/>
      <c r="B2969" s="13"/>
      <c r="C2969" s="14"/>
      <c r="D2969" s="14"/>
      <c r="E2969" s="13"/>
      <c r="F2969" s="15"/>
      <c r="G2969" s="16" t="str">
        <f aca="false">IF(OR(B2969="",A2969=""),"",C2969*IFERROR(INDEX(Kişiler!$B$5:$B$44,MATCH(B2969,Kişiler!$A$5:$A$44,0)),0)+D2969*IFERROR(INDEX(Kişiler!$C$5:$C$44,MATCH(B2969,Kişiler!$A$5:$A$44,0)),0))</f>
        <v/>
      </c>
    </row>
    <row r="2970" customFormat="false" ht="15" hidden="false" customHeight="false" outlineLevel="0" collapsed="false">
      <c r="A2970" s="12"/>
      <c r="B2970" s="13"/>
      <c r="C2970" s="14"/>
      <c r="D2970" s="14"/>
      <c r="E2970" s="13"/>
      <c r="F2970" s="15"/>
      <c r="G2970" s="16" t="str">
        <f aca="false">IF(OR(B2970="",A2970=""),"",C2970*IFERROR(INDEX(Kişiler!$B$5:$B$44,MATCH(B2970,Kişiler!$A$5:$A$44,0)),0)+D2970*IFERROR(INDEX(Kişiler!$C$5:$C$44,MATCH(B2970,Kişiler!$A$5:$A$44,0)),0))</f>
        <v/>
      </c>
    </row>
    <row r="2971" customFormat="false" ht="15" hidden="false" customHeight="false" outlineLevel="0" collapsed="false">
      <c r="A2971" s="12"/>
      <c r="B2971" s="13"/>
      <c r="C2971" s="14"/>
      <c r="D2971" s="14"/>
      <c r="E2971" s="13"/>
      <c r="F2971" s="15"/>
      <c r="G2971" s="16" t="str">
        <f aca="false">IF(OR(B2971="",A2971=""),"",C2971*IFERROR(INDEX(Kişiler!$B$5:$B$44,MATCH(B2971,Kişiler!$A$5:$A$44,0)),0)+D2971*IFERROR(INDEX(Kişiler!$C$5:$C$44,MATCH(B2971,Kişiler!$A$5:$A$44,0)),0))</f>
        <v/>
      </c>
    </row>
    <row r="2972" customFormat="false" ht="15" hidden="false" customHeight="false" outlineLevel="0" collapsed="false">
      <c r="A2972" s="12"/>
      <c r="B2972" s="13"/>
      <c r="C2972" s="14"/>
      <c r="D2972" s="14"/>
      <c r="E2972" s="13"/>
      <c r="F2972" s="15"/>
      <c r="G2972" s="16" t="str">
        <f aca="false">IF(OR(B2972="",A2972=""),"",C2972*IFERROR(INDEX(Kişiler!$B$5:$B$44,MATCH(B2972,Kişiler!$A$5:$A$44,0)),0)+D2972*IFERROR(INDEX(Kişiler!$C$5:$C$44,MATCH(B2972,Kişiler!$A$5:$A$44,0)),0))</f>
        <v/>
      </c>
    </row>
    <row r="2973" customFormat="false" ht="15" hidden="false" customHeight="false" outlineLevel="0" collapsed="false">
      <c r="A2973" s="12"/>
      <c r="B2973" s="13"/>
      <c r="C2973" s="14"/>
      <c r="D2973" s="14"/>
      <c r="E2973" s="13"/>
      <c r="F2973" s="15"/>
      <c r="G2973" s="16" t="str">
        <f aca="false">IF(OR(B2973="",A2973=""),"",C2973*IFERROR(INDEX(Kişiler!$B$5:$B$44,MATCH(B2973,Kişiler!$A$5:$A$44,0)),0)+D2973*IFERROR(INDEX(Kişiler!$C$5:$C$44,MATCH(B2973,Kişiler!$A$5:$A$44,0)),0))</f>
        <v/>
      </c>
    </row>
    <row r="2974" customFormat="false" ht="15" hidden="false" customHeight="false" outlineLevel="0" collapsed="false">
      <c r="A2974" s="12"/>
      <c r="B2974" s="13"/>
      <c r="C2974" s="14"/>
      <c r="D2974" s="14"/>
      <c r="E2974" s="13"/>
      <c r="F2974" s="15"/>
      <c r="G2974" s="16" t="str">
        <f aca="false">IF(OR(B2974="",A2974=""),"",C2974*IFERROR(INDEX(Kişiler!$B$5:$B$44,MATCH(B2974,Kişiler!$A$5:$A$44,0)),0)+D2974*IFERROR(INDEX(Kişiler!$C$5:$C$44,MATCH(B2974,Kişiler!$A$5:$A$44,0)),0))</f>
        <v/>
      </c>
    </row>
    <row r="2975" customFormat="false" ht="15" hidden="false" customHeight="false" outlineLevel="0" collapsed="false">
      <c r="A2975" s="12"/>
      <c r="B2975" s="13"/>
      <c r="C2975" s="14"/>
      <c r="D2975" s="14"/>
      <c r="E2975" s="13"/>
      <c r="F2975" s="15"/>
      <c r="G2975" s="16" t="str">
        <f aca="false">IF(OR(B2975="",A2975=""),"",C2975*IFERROR(INDEX(Kişiler!$B$5:$B$44,MATCH(B2975,Kişiler!$A$5:$A$44,0)),0)+D2975*IFERROR(INDEX(Kişiler!$C$5:$C$44,MATCH(B2975,Kişiler!$A$5:$A$44,0)),0))</f>
        <v/>
      </c>
    </row>
    <row r="2976" customFormat="false" ht="15" hidden="false" customHeight="false" outlineLevel="0" collapsed="false">
      <c r="A2976" s="12"/>
      <c r="B2976" s="13"/>
      <c r="C2976" s="14"/>
      <c r="D2976" s="14"/>
      <c r="E2976" s="13"/>
      <c r="F2976" s="15"/>
      <c r="G2976" s="16" t="str">
        <f aca="false">IF(OR(B2976="",A2976=""),"",C2976*IFERROR(INDEX(Kişiler!$B$5:$B$44,MATCH(B2976,Kişiler!$A$5:$A$44,0)),0)+D2976*IFERROR(INDEX(Kişiler!$C$5:$C$44,MATCH(B2976,Kişiler!$A$5:$A$44,0)),0))</f>
        <v/>
      </c>
    </row>
    <row r="2977" customFormat="false" ht="15" hidden="false" customHeight="false" outlineLevel="0" collapsed="false">
      <c r="A2977" s="12"/>
      <c r="B2977" s="13"/>
      <c r="C2977" s="14"/>
      <c r="D2977" s="14"/>
      <c r="E2977" s="13"/>
      <c r="F2977" s="15"/>
      <c r="G2977" s="16" t="str">
        <f aca="false">IF(OR(B2977="",A2977=""),"",C2977*IFERROR(INDEX(Kişiler!$B$5:$B$44,MATCH(B2977,Kişiler!$A$5:$A$44,0)),0)+D2977*IFERROR(INDEX(Kişiler!$C$5:$C$44,MATCH(B2977,Kişiler!$A$5:$A$44,0)),0))</f>
        <v/>
      </c>
    </row>
    <row r="2978" customFormat="false" ht="15" hidden="false" customHeight="false" outlineLevel="0" collapsed="false">
      <c r="A2978" s="12"/>
      <c r="B2978" s="13"/>
      <c r="C2978" s="14"/>
      <c r="D2978" s="14"/>
      <c r="E2978" s="13"/>
      <c r="F2978" s="15"/>
      <c r="G2978" s="16" t="str">
        <f aca="false">IF(OR(B2978="",A2978=""),"",C2978*IFERROR(INDEX(Kişiler!$B$5:$B$44,MATCH(B2978,Kişiler!$A$5:$A$44,0)),0)+D2978*IFERROR(INDEX(Kişiler!$C$5:$C$44,MATCH(B2978,Kişiler!$A$5:$A$44,0)),0))</f>
        <v/>
      </c>
    </row>
    <row r="2979" customFormat="false" ht="15" hidden="false" customHeight="false" outlineLevel="0" collapsed="false">
      <c r="A2979" s="12"/>
      <c r="B2979" s="13"/>
      <c r="C2979" s="14"/>
      <c r="D2979" s="14"/>
      <c r="E2979" s="13"/>
      <c r="F2979" s="15"/>
      <c r="G2979" s="16" t="str">
        <f aca="false">IF(OR(B2979="",A2979=""),"",C2979*IFERROR(INDEX(Kişiler!$B$5:$B$44,MATCH(B2979,Kişiler!$A$5:$A$44,0)),0)+D2979*IFERROR(INDEX(Kişiler!$C$5:$C$44,MATCH(B2979,Kişiler!$A$5:$A$44,0)),0))</f>
        <v/>
      </c>
    </row>
    <row r="2980" customFormat="false" ht="15" hidden="false" customHeight="false" outlineLevel="0" collapsed="false">
      <c r="A2980" s="12"/>
      <c r="B2980" s="13"/>
      <c r="C2980" s="14"/>
      <c r="D2980" s="14"/>
      <c r="E2980" s="13"/>
      <c r="F2980" s="15"/>
      <c r="G2980" s="16" t="str">
        <f aca="false">IF(OR(B2980="",A2980=""),"",C2980*IFERROR(INDEX(Kişiler!$B$5:$B$44,MATCH(B2980,Kişiler!$A$5:$A$44,0)),0)+D2980*IFERROR(INDEX(Kişiler!$C$5:$C$44,MATCH(B2980,Kişiler!$A$5:$A$44,0)),0))</f>
        <v/>
      </c>
    </row>
    <row r="2981" customFormat="false" ht="15" hidden="false" customHeight="false" outlineLevel="0" collapsed="false">
      <c r="A2981" s="12"/>
      <c r="B2981" s="13"/>
      <c r="C2981" s="14"/>
      <c r="D2981" s="14"/>
      <c r="E2981" s="13"/>
      <c r="F2981" s="15"/>
      <c r="G2981" s="16" t="str">
        <f aca="false">IF(OR(B2981="",A2981=""),"",C2981*IFERROR(INDEX(Kişiler!$B$5:$B$44,MATCH(B2981,Kişiler!$A$5:$A$44,0)),0)+D2981*IFERROR(INDEX(Kişiler!$C$5:$C$44,MATCH(B2981,Kişiler!$A$5:$A$44,0)),0))</f>
        <v/>
      </c>
    </row>
    <row r="2982" customFormat="false" ht="15" hidden="false" customHeight="false" outlineLevel="0" collapsed="false">
      <c r="A2982" s="12"/>
      <c r="B2982" s="13"/>
      <c r="C2982" s="14"/>
      <c r="D2982" s="14"/>
      <c r="E2982" s="13"/>
      <c r="F2982" s="15"/>
      <c r="G2982" s="16" t="str">
        <f aca="false">IF(OR(B2982="",A2982=""),"",C2982*IFERROR(INDEX(Kişiler!$B$5:$B$44,MATCH(B2982,Kişiler!$A$5:$A$44,0)),0)+D2982*IFERROR(INDEX(Kişiler!$C$5:$C$44,MATCH(B2982,Kişiler!$A$5:$A$44,0)),0))</f>
        <v/>
      </c>
    </row>
    <row r="2983" customFormat="false" ht="15" hidden="false" customHeight="false" outlineLevel="0" collapsed="false">
      <c r="A2983" s="12"/>
      <c r="B2983" s="13"/>
      <c r="C2983" s="14"/>
      <c r="D2983" s="14"/>
      <c r="E2983" s="13"/>
      <c r="F2983" s="15"/>
      <c r="G2983" s="16" t="str">
        <f aca="false">IF(OR(B2983="",A2983=""),"",C2983*IFERROR(INDEX(Kişiler!$B$5:$B$44,MATCH(B2983,Kişiler!$A$5:$A$44,0)),0)+D2983*IFERROR(INDEX(Kişiler!$C$5:$C$44,MATCH(B2983,Kişiler!$A$5:$A$44,0)),0))</f>
        <v/>
      </c>
    </row>
    <row r="2984" customFormat="false" ht="15" hidden="false" customHeight="false" outlineLevel="0" collapsed="false">
      <c r="A2984" s="12"/>
      <c r="B2984" s="13"/>
      <c r="C2984" s="14"/>
      <c r="D2984" s="14"/>
      <c r="E2984" s="13"/>
      <c r="F2984" s="15"/>
      <c r="G2984" s="16" t="str">
        <f aca="false">IF(OR(B2984="",A2984=""),"",C2984*IFERROR(INDEX(Kişiler!$B$5:$B$44,MATCH(B2984,Kişiler!$A$5:$A$44,0)),0)+D2984*IFERROR(INDEX(Kişiler!$C$5:$C$44,MATCH(B2984,Kişiler!$A$5:$A$44,0)),0))</f>
        <v/>
      </c>
    </row>
    <row r="2985" customFormat="false" ht="15" hidden="false" customHeight="false" outlineLevel="0" collapsed="false">
      <c r="A2985" s="12"/>
      <c r="B2985" s="13"/>
      <c r="C2985" s="14"/>
      <c r="D2985" s="14"/>
      <c r="E2985" s="13"/>
      <c r="F2985" s="15"/>
      <c r="G2985" s="16" t="str">
        <f aca="false">IF(OR(B2985="",A2985=""),"",C2985*IFERROR(INDEX(Kişiler!$B$5:$B$44,MATCH(B2985,Kişiler!$A$5:$A$44,0)),0)+D2985*IFERROR(INDEX(Kişiler!$C$5:$C$44,MATCH(B2985,Kişiler!$A$5:$A$44,0)),0))</f>
        <v/>
      </c>
    </row>
    <row r="2986" customFormat="false" ht="15" hidden="false" customHeight="false" outlineLevel="0" collapsed="false">
      <c r="A2986" s="12"/>
      <c r="B2986" s="13"/>
      <c r="C2986" s="14"/>
      <c r="D2986" s="14"/>
      <c r="E2986" s="13"/>
      <c r="F2986" s="15"/>
      <c r="G2986" s="16" t="str">
        <f aca="false">IF(OR(B2986="",A2986=""),"",C2986*IFERROR(INDEX(Kişiler!$B$5:$B$44,MATCH(B2986,Kişiler!$A$5:$A$44,0)),0)+D2986*IFERROR(INDEX(Kişiler!$C$5:$C$44,MATCH(B2986,Kişiler!$A$5:$A$44,0)),0))</f>
        <v/>
      </c>
    </row>
    <row r="2987" customFormat="false" ht="15" hidden="false" customHeight="false" outlineLevel="0" collapsed="false">
      <c r="A2987" s="12"/>
      <c r="B2987" s="13"/>
      <c r="C2987" s="14"/>
      <c r="D2987" s="14"/>
      <c r="E2987" s="13"/>
      <c r="F2987" s="15"/>
      <c r="G2987" s="16" t="str">
        <f aca="false">IF(OR(B2987="",A2987=""),"",C2987*IFERROR(INDEX(Kişiler!$B$5:$B$44,MATCH(B2987,Kişiler!$A$5:$A$44,0)),0)+D2987*IFERROR(INDEX(Kişiler!$C$5:$C$44,MATCH(B2987,Kişiler!$A$5:$A$44,0)),0))</f>
        <v/>
      </c>
    </row>
    <row r="2988" customFormat="false" ht="15" hidden="false" customHeight="false" outlineLevel="0" collapsed="false">
      <c r="A2988" s="12"/>
      <c r="B2988" s="13"/>
      <c r="C2988" s="14"/>
      <c r="D2988" s="14"/>
      <c r="E2988" s="13"/>
      <c r="F2988" s="15"/>
      <c r="G2988" s="16" t="str">
        <f aca="false">IF(OR(B2988="",A2988=""),"",C2988*IFERROR(INDEX(Kişiler!$B$5:$B$44,MATCH(B2988,Kişiler!$A$5:$A$44,0)),0)+D2988*IFERROR(INDEX(Kişiler!$C$5:$C$44,MATCH(B2988,Kişiler!$A$5:$A$44,0)),0))</f>
        <v/>
      </c>
    </row>
    <row r="2989" customFormat="false" ht="15" hidden="false" customHeight="false" outlineLevel="0" collapsed="false">
      <c r="A2989" s="12"/>
      <c r="B2989" s="13"/>
      <c r="C2989" s="14"/>
      <c r="D2989" s="14"/>
      <c r="E2989" s="13"/>
      <c r="F2989" s="15"/>
      <c r="G2989" s="16" t="str">
        <f aca="false">IF(OR(B2989="",A2989=""),"",C2989*IFERROR(INDEX(Kişiler!$B$5:$B$44,MATCH(B2989,Kişiler!$A$5:$A$44,0)),0)+D2989*IFERROR(INDEX(Kişiler!$C$5:$C$44,MATCH(B2989,Kişiler!$A$5:$A$44,0)),0))</f>
        <v/>
      </c>
    </row>
    <row r="2990" customFormat="false" ht="15" hidden="false" customHeight="false" outlineLevel="0" collapsed="false">
      <c r="A2990" s="12"/>
      <c r="B2990" s="13"/>
      <c r="C2990" s="14"/>
      <c r="D2990" s="14"/>
      <c r="E2990" s="13"/>
      <c r="F2990" s="15"/>
      <c r="G2990" s="16" t="str">
        <f aca="false">IF(OR(B2990="",A2990=""),"",C2990*IFERROR(INDEX(Kişiler!$B$5:$B$44,MATCH(B2990,Kişiler!$A$5:$A$44,0)),0)+D2990*IFERROR(INDEX(Kişiler!$C$5:$C$44,MATCH(B2990,Kişiler!$A$5:$A$44,0)),0))</f>
        <v/>
      </c>
    </row>
    <row r="2991" customFormat="false" ht="15" hidden="false" customHeight="false" outlineLevel="0" collapsed="false">
      <c r="A2991" s="12"/>
      <c r="B2991" s="13"/>
      <c r="C2991" s="14"/>
      <c r="D2991" s="14"/>
      <c r="E2991" s="13"/>
      <c r="F2991" s="15"/>
      <c r="G2991" s="16" t="str">
        <f aca="false">IF(OR(B2991="",A2991=""),"",C2991*IFERROR(INDEX(Kişiler!$B$5:$B$44,MATCH(B2991,Kişiler!$A$5:$A$44,0)),0)+D2991*IFERROR(INDEX(Kişiler!$C$5:$C$44,MATCH(B2991,Kişiler!$A$5:$A$44,0)),0))</f>
        <v/>
      </c>
    </row>
    <row r="2992" customFormat="false" ht="15" hidden="false" customHeight="false" outlineLevel="0" collapsed="false">
      <c r="A2992" s="12"/>
      <c r="B2992" s="13"/>
      <c r="C2992" s="14"/>
      <c r="D2992" s="14"/>
      <c r="E2992" s="13"/>
      <c r="F2992" s="15"/>
      <c r="G2992" s="16" t="str">
        <f aca="false">IF(OR(B2992="",A2992=""),"",C2992*IFERROR(INDEX(Kişiler!$B$5:$B$44,MATCH(B2992,Kişiler!$A$5:$A$44,0)),0)+D2992*IFERROR(INDEX(Kişiler!$C$5:$C$44,MATCH(B2992,Kişiler!$A$5:$A$44,0)),0))</f>
        <v/>
      </c>
    </row>
    <row r="2993" customFormat="false" ht="15" hidden="false" customHeight="false" outlineLevel="0" collapsed="false">
      <c r="A2993" s="12"/>
      <c r="B2993" s="13"/>
      <c r="C2993" s="14"/>
      <c r="D2993" s="14"/>
      <c r="E2993" s="13"/>
      <c r="F2993" s="15"/>
      <c r="G2993" s="16" t="str">
        <f aca="false">IF(OR(B2993="",A2993=""),"",C2993*IFERROR(INDEX(Kişiler!$B$5:$B$44,MATCH(B2993,Kişiler!$A$5:$A$44,0)),0)+D2993*IFERROR(INDEX(Kişiler!$C$5:$C$44,MATCH(B2993,Kişiler!$A$5:$A$44,0)),0))</f>
        <v/>
      </c>
    </row>
    <row r="2994" customFormat="false" ht="15" hidden="false" customHeight="false" outlineLevel="0" collapsed="false">
      <c r="A2994" s="12"/>
      <c r="B2994" s="13"/>
      <c r="C2994" s="14"/>
      <c r="D2994" s="14"/>
      <c r="E2994" s="13"/>
      <c r="F2994" s="15"/>
      <c r="G2994" s="16" t="str">
        <f aca="false">IF(OR(B2994="",A2994=""),"",C2994*IFERROR(INDEX(Kişiler!$B$5:$B$44,MATCH(B2994,Kişiler!$A$5:$A$44,0)),0)+D2994*IFERROR(INDEX(Kişiler!$C$5:$C$44,MATCH(B2994,Kişiler!$A$5:$A$44,0)),0))</f>
        <v/>
      </c>
    </row>
    <row r="2995" customFormat="false" ht="15" hidden="false" customHeight="false" outlineLevel="0" collapsed="false">
      <c r="A2995" s="12"/>
      <c r="B2995" s="13"/>
      <c r="C2995" s="14"/>
      <c r="D2995" s="14"/>
      <c r="E2995" s="13"/>
      <c r="F2995" s="15"/>
      <c r="G2995" s="16" t="str">
        <f aca="false">IF(OR(B2995="",A2995=""),"",C2995*IFERROR(INDEX(Kişiler!$B$5:$B$44,MATCH(B2995,Kişiler!$A$5:$A$44,0)),0)+D2995*IFERROR(INDEX(Kişiler!$C$5:$C$44,MATCH(B2995,Kişiler!$A$5:$A$44,0)),0))</f>
        <v/>
      </c>
    </row>
    <row r="2996" customFormat="false" ht="15" hidden="false" customHeight="false" outlineLevel="0" collapsed="false">
      <c r="A2996" s="12"/>
      <c r="B2996" s="13"/>
      <c r="C2996" s="14"/>
      <c r="D2996" s="14"/>
      <c r="E2996" s="13"/>
      <c r="F2996" s="15"/>
      <c r="G2996" s="16" t="str">
        <f aca="false">IF(OR(B2996="",A2996=""),"",C2996*IFERROR(INDEX(Kişiler!$B$5:$B$44,MATCH(B2996,Kişiler!$A$5:$A$44,0)),0)+D2996*IFERROR(INDEX(Kişiler!$C$5:$C$44,MATCH(B2996,Kişiler!$A$5:$A$44,0)),0))</f>
        <v/>
      </c>
    </row>
    <row r="2997" customFormat="false" ht="15" hidden="false" customHeight="false" outlineLevel="0" collapsed="false">
      <c r="A2997" s="12"/>
      <c r="B2997" s="13"/>
      <c r="C2997" s="14"/>
      <c r="D2997" s="14"/>
      <c r="E2997" s="13"/>
      <c r="F2997" s="15"/>
      <c r="G2997" s="16" t="str">
        <f aca="false">IF(OR(B2997="",A2997=""),"",C2997*IFERROR(INDEX(Kişiler!$B$5:$B$44,MATCH(B2997,Kişiler!$A$5:$A$44,0)),0)+D2997*IFERROR(INDEX(Kişiler!$C$5:$C$44,MATCH(B2997,Kişiler!$A$5:$A$44,0)),0))</f>
        <v/>
      </c>
    </row>
    <row r="2998" customFormat="false" ht="15" hidden="false" customHeight="false" outlineLevel="0" collapsed="false">
      <c r="A2998" s="12"/>
      <c r="B2998" s="13"/>
      <c r="C2998" s="14"/>
      <c r="D2998" s="14"/>
      <c r="E2998" s="13"/>
      <c r="F2998" s="15"/>
      <c r="G2998" s="16" t="str">
        <f aca="false">IF(OR(B2998="",A2998=""),"",C2998*IFERROR(INDEX(Kişiler!$B$5:$B$44,MATCH(B2998,Kişiler!$A$5:$A$44,0)),0)+D2998*IFERROR(INDEX(Kişiler!$C$5:$C$44,MATCH(B2998,Kişiler!$A$5:$A$44,0)),0))</f>
        <v/>
      </c>
    </row>
    <row r="2999" customFormat="false" ht="15" hidden="false" customHeight="false" outlineLevel="0" collapsed="false">
      <c r="A2999" s="12"/>
      <c r="B2999" s="13"/>
      <c r="C2999" s="14"/>
      <c r="D2999" s="14"/>
      <c r="E2999" s="13"/>
      <c r="F2999" s="15"/>
      <c r="G2999" s="16" t="str">
        <f aca="false">IF(OR(B2999="",A2999=""),"",C2999*IFERROR(INDEX(Kişiler!$B$5:$B$44,MATCH(B2999,Kişiler!$A$5:$A$44,0)),0)+D2999*IFERROR(INDEX(Kişiler!$C$5:$C$44,MATCH(B2999,Kişiler!$A$5:$A$44,0)),0))</f>
        <v/>
      </c>
    </row>
    <row r="3000" customFormat="false" ht="15" hidden="false" customHeight="false" outlineLevel="0" collapsed="false">
      <c r="A3000" s="12"/>
      <c r="B3000" s="13"/>
      <c r="C3000" s="14"/>
      <c r="D3000" s="14"/>
      <c r="E3000" s="13"/>
      <c r="F3000" s="15"/>
      <c r="G3000" s="16" t="str">
        <f aca="false">IF(OR(B3000="",A3000=""),"",C3000*IFERROR(INDEX(Kişiler!$B$5:$B$44,MATCH(B3000,Kişiler!$A$5:$A$44,0)),0)+D3000*IFERROR(INDEX(Kişiler!$C$5:$C$44,MATCH(B3000,Kişiler!$A$5:$A$44,0)),0))</f>
        <v/>
      </c>
    </row>
    <row r="3001" customFormat="false" ht="15" hidden="false" customHeight="false" outlineLevel="0" collapsed="false">
      <c r="A3001" s="12"/>
      <c r="B3001" s="13"/>
      <c r="C3001" s="14"/>
      <c r="D3001" s="14"/>
      <c r="E3001" s="13"/>
      <c r="F3001" s="15"/>
      <c r="G3001" s="16" t="str">
        <f aca="false">IF(OR(B3001="",A3001=""),"",C3001*IFERROR(INDEX(Kişiler!$B$5:$B$44,MATCH(B3001,Kişiler!$A$5:$A$44,0)),0)+D3001*IFERROR(INDEX(Kişiler!$C$5:$C$44,MATCH(B3001,Kişiler!$A$5:$A$44,0)),0))</f>
        <v/>
      </c>
    </row>
    <row r="3002" customFormat="false" ht="15" hidden="false" customHeight="false" outlineLevel="0" collapsed="false">
      <c r="A3002" s="12"/>
      <c r="B3002" s="13"/>
      <c r="C3002" s="14"/>
      <c r="D3002" s="14"/>
      <c r="E3002" s="13"/>
      <c r="F3002" s="15"/>
      <c r="G3002" s="16" t="str">
        <f aca="false">IF(OR(B3002="",A3002=""),"",C3002*IFERROR(INDEX(Kişiler!$B$5:$B$44,MATCH(B3002,Kişiler!$A$5:$A$44,0)),0)+D3002*IFERROR(INDEX(Kişiler!$C$5:$C$44,MATCH(B3002,Kişiler!$A$5:$A$44,0)),0))</f>
        <v/>
      </c>
    </row>
    <row r="3003" customFormat="false" ht="15" hidden="false" customHeight="false" outlineLevel="0" collapsed="false">
      <c r="A3003" s="12"/>
      <c r="B3003" s="13"/>
      <c r="C3003" s="14"/>
      <c r="D3003" s="14"/>
      <c r="E3003" s="13"/>
      <c r="F3003" s="15"/>
      <c r="G3003" s="16" t="str">
        <f aca="false">IF(OR(B3003="",A3003=""),"",C3003*IFERROR(INDEX(Kişiler!$B$5:$B$44,MATCH(B3003,Kişiler!$A$5:$A$44,0)),0)+D3003*IFERROR(INDEX(Kişiler!$C$5:$C$44,MATCH(B3003,Kişiler!$A$5:$A$44,0)),0))</f>
        <v/>
      </c>
    </row>
    <row r="3004" customFormat="false" ht="15" hidden="false" customHeight="false" outlineLevel="0" collapsed="false">
      <c r="A3004" s="12"/>
      <c r="B3004" s="13"/>
      <c r="C3004" s="14"/>
      <c r="D3004" s="14"/>
      <c r="E3004" s="13"/>
      <c r="F3004" s="15"/>
      <c r="G3004" s="16" t="str">
        <f aca="false">IF(OR(B3004="",A3004=""),"",C3004*IFERROR(INDEX(Kişiler!$B$5:$B$44,MATCH(B3004,Kişiler!$A$5:$A$44,0)),0)+D3004*IFERROR(INDEX(Kişiler!$C$5:$C$44,MATCH(B3004,Kişiler!$A$5:$A$44,0)),0))</f>
        <v/>
      </c>
    </row>
  </sheetData>
  <dataValidations count="4">
    <dataValidation allowBlank="true" error="Geçerli bir tarih gir (örnek: 05.10.2026)." errorStyle="stop" errorTitle="Kontrol" operator="greaterThan" showDropDown="false" showErrorMessage="true" showInputMessage="false" sqref="A5:A3004" type="date">
      <formula1>36526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C5:D3004" type="decimal">
      <formula1>0</formula1>
      <formula2>0</formula2>
    </dataValidation>
    <dataValidation allowBlank="true" error="Listeden seç." errorStyle="stop" errorTitle="Kontrol" operator="between" showDropDown="false" showErrorMessage="true" showInputMessage="false" sqref="B5:B3004" type="list">
      <formula1>Kişiler!$A$5:$A$44</formula1>
      <formula2>0</formula2>
    </dataValidation>
    <dataValidation allowBlank="true" error="Listeden seç." errorStyle="stop" errorTitle="Kontrol" operator="between" showDropDown="false" showErrorMessage="true" showInputMessage="false" sqref="E5:E3004" type="list">
      <formula1>Listeler!$A$5:$A$34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E6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24"/>
  </cols>
  <sheetData>
    <row r="1" customFormat="false" ht="19.7" hidden="false" customHeight="false" outlineLevel="0" collapsed="false">
      <c r="A1" s="8" t="s">
        <v>39</v>
      </c>
    </row>
    <row r="2" customFormat="false" ht="15" hidden="false" customHeight="false" outlineLevel="0" collapsed="false">
      <c r="A2" s="9" t="s">
        <v>40</v>
      </c>
    </row>
    <row r="4" customFormat="false" ht="27.75" hidden="false" customHeight="true" outlineLevel="0" collapsed="false">
      <c r="A4" s="10" t="s">
        <v>26</v>
      </c>
      <c r="B4" s="10" t="s">
        <v>27</v>
      </c>
      <c r="C4" s="10" t="s">
        <v>41</v>
      </c>
      <c r="D4" s="10" t="s">
        <v>42</v>
      </c>
      <c r="E4" s="10" t="s">
        <v>31</v>
      </c>
    </row>
    <row r="5" customFormat="false" ht="15" hidden="false" customHeight="false" outlineLevel="0" collapsed="false">
      <c r="A5" s="12" t="n">
        <v>46297</v>
      </c>
      <c r="B5" s="13" t="s">
        <v>33</v>
      </c>
      <c r="C5" s="13" t="s">
        <v>43</v>
      </c>
      <c r="D5" s="17" t="n">
        <v>2000</v>
      </c>
      <c r="E5" s="15"/>
    </row>
    <row r="6" customFormat="false" ht="15" hidden="false" customHeight="false" outlineLevel="0" collapsed="false">
      <c r="A6" s="12" t="n">
        <v>46298</v>
      </c>
      <c r="B6" s="13" t="s">
        <v>35</v>
      </c>
      <c r="C6" s="13" t="s">
        <v>44</v>
      </c>
      <c r="D6" s="17" t="n">
        <v>1800</v>
      </c>
      <c r="E6" s="15"/>
    </row>
    <row r="7" customFormat="false" ht="15" hidden="false" customHeight="false" outlineLevel="0" collapsed="false">
      <c r="A7" s="12"/>
      <c r="B7" s="13"/>
      <c r="C7" s="13"/>
      <c r="D7" s="17"/>
      <c r="E7" s="15"/>
    </row>
    <row r="8" customFormat="false" ht="15" hidden="false" customHeight="false" outlineLevel="0" collapsed="false">
      <c r="A8" s="12"/>
      <c r="B8" s="13"/>
      <c r="C8" s="13"/>
      <c r="D8" s="17"/>
      <c r="E8" s="15"/>
    </row>
    <row r="9" customFormat="false" ht="15" hidden="false" customHeight="false" outlineLevel="0" collapsed="false">
      <c r="A9" s="12"/>
      <c r="B9" s="13"/>
      <c r="C9" s="13"/>
      <c r="D9" s="17"/>
      <c r="E9" s="15"/>
    </row>
    <row r="10" customFormat="false" ht="15" hidden="false" customHeight="false" outlineLevel="0" collapsed="false">
      <c r="A10" s="12"/>
      <c r="B10" s="13"/>
      <c r="C10" s="13"/>
      <c r="D10" s="17"/>
      <c r="E10" s="15"/>
    </row>
    <row r="11" customFormat="false" ht="15" hidden="false" customHeight="false" outlineLevel="0" collapsed="false">
      <c r="A11" s="12"/>
      <c r="B11" s="13"/>
      <c r="C11" s="13"/>
      <c r="D11" s="17"/>
      <c r="E11" s="15"/>
    </row>
    <row r="12" customFormat="false" ht="15" hidden="false" customHeight="false" outlineLevel="0" collapsed="false">
      <c r="A12" s="12"/>
      <c r="B12" s="13"/>
      <c r="C12" s="13"/>
      <c r="D12" s="17"/>
      <c r="E12" s="15"/>
    </row>
    <row r="13" customFormat="false" ht="15" hidden="false" customHeight="false" outlineLevel="0" collapsed="false">
      <c r="A13" s="12"/>
      <c r="B13" s="13"/>
      <c r="C13" s="13"/>
      <c r="D13" s="17"/>
      <c r="E13" s="15"/>
    </row>
    <row r="14" customFormat="false" ht="15" hidden="false" customHeight="false" outlineLevel="0" collapsed="false">
      <c r="A14" s="12"/>
      <c r="B14" s="13"/>
      <c r="C14" s="13"/>
      <c r="D14" s="17"/>
      <c r="E14" s="15"/>
    </row>
    <row r="15" customFormat="false" ht="15" hidden="false" customHeight="false" outlineLevel="0" collapsed="false">
      <c r="A15" s="12"/>
      <c r="B15" s="13"/>
      <c r="C15" s="13"/>
      <c r="D15" s="17"/>
      <c r="E15" s="15"/>
    </row>
    <row r="16" customFormat="false" ht="15" hidden="false" customHeight="false" outlineLevel="0" collapsed="false">
      <c r="A16" s="12"/>
      <c r="B16" s="13"/>
      <c r="C16" s="13"/>
      <c r="D16" s="17"/>
      <c r="E16" s="15"/>
    </row>
    <row r="17" customFormat="false" ht="15" hidden="false" customHeight="false" outlineLevel="0" collapsed="false">
      <c r="A17" s="12"/>
      <c r="B17" s="13"/>
      <c r="C17" s="13"/>
      <c r="D17" s="17"/>
      <c r="E17" s="15"/>
    </row>
    <row r="18" customFormat="false" ht="15" hidden="false" customHeight="false" outlineLevel="0" collapsed="false">
      <c r="A18" s="12"/>
      <c r="B18" s="13"/>
      <c r="C18" s="13"/>
      <c r="D18" s="17"/>
      <c r="E18" s="15"/>
    </row>
    <row r="19" customFormat="false" ht="15" hidden="false" customHeight="false" outlineLevel="0" collapsed="false">
      <c r="A19" s="12"/>
      <c r="B19" s="13"/>
      <c r="C19" s="13"/>
      <c r="D19" s="17"/>
      <c r="E19" s="15"/>
    </row>
    <row r="20" customFormat="false" ht="15" hidden="false" customHeight="false" outlineLevel="0" collapsed="false">
      <c r="A20" s="12"/>
      <c r="B20" s="13"/>
      <c r="C20" s="13"/>
      <c r="D20" s="17"/>
      <c r="E20" s="15"/>
    </row>
    <row r="21" customFormat="false" ht="15" hidden="false" customHeight="false" outlineLevel="0" collapsed="false">
      <c r="A21" s="12"/>
      <c r="B21" s="13"/>
      <c r="C21" s="13"/>
      <c r="D21" s="17"/>
      <c r="E21" s="15"/>
    </row>
    <row r="22" customFormat="false" ht="15" hidden="false" customHeight="false" outlineLevel="0" collapsed="false">
      <c r="A22" s="12"/>
      <c r="B22" s="13"/>
      <c r="C22" s="13"/>
      <c r="D22" s="17"/>
      <c r="E22" s="15"/>
    </row>
    <row r="23" customFormat="false" ht="15" hidden="false" customHeight="false" outlineLevel="0" collapsed="false">
      <c r="A23" s="12"/>
      <c r="B23" s="13"/>
      <c r="C23" s="13"/>
      <c r="D23" s="17"/>
      <c r="E23" s="15"/>
    </row>
    <row r="24" customFormat="false" ht="15" hidden="false" customHeight="false" outlineLevel="0" collapsed="false">
      <c r="A24" s="12"/>
      <c r="B24" s="13"/>
      <c r="C24" s="13"/>
      <c r="D24" s="17"/>
      <c r="E24" s="15"/>
    </row>
    <row r="25" customFormat="false" ht="15" hidden="false" customHeight="false" outlineLevel="0" collapsed="false">
      <c r="A25" s="12"/>
      <c r="B25" s="13"/>
      <c r="C25" s="13"/>
      <c r="D25" s="17"/>
      <c r="E25" s="15"/>
    </row>
    <row r="26" customFormat="false" ht="15" hidden="false" customHeight="false" outlineLevel="0" collapsed="false">
      <c r="A26" s="12"/>
      <c r="B26" s="13"/>
      <c r="C26" s="13"/>
      <c r="D26" s="17"/>
      <c r="E26" s="15"/>
    </row>
    <row r="27" customFormat="false" ht="15" hidden="false" customHeight="false" outlineLevel="0" collapsed="false">
      <c r="A27" s="12"/>
      <c r="B27" s="13"/>
      <c r="C27" s="13"/>
      <c r="D27" s="17"/>
      <c r="E27" s="15"/>
    </row>
    <row r="28" customFormat="false" ht="15" hidden="false" customHeight="false" outlineLevel="0" collapsed="false">
      <c r="A28" s="12"/>
      <c r="B28" s="13"/>
      <c r="C28" s="13"/>
      <c r="D28" s="17"/>
      <c r="E28" s="15"/>
    </row>
    <row r="29" customFormat="false" ht="15" hidden="false" customHeight="false" outlineLevel="0" collapsed="false">
      <c r="A29" s="12"/>
      <c r="B29" s="13"/>
      <c r="C29" s="13"/>
      <c r="D29" s="17"/>
      <c r="E29" s="15"/>
    </row>
    <row r="30" customFormat="false" ht="15" hidden="false" customHeight="false" outlineLevel="0" collapsed="false">
      <c r="A30" s="12"/>
      <c r="B30" s="13"/>
      <c r="C30" s="13"/>
      <c r="D30" s="17"/>
      <c r="E30" s="15"/>
    </row>
    <row r="31" customFormat="false" ht="15" hidden="false" customHeight="false" outlineLevel="0" collapsed="false">
      <c r="A31" s="12"/>
      <c r="B31" s="13"/>
      <c r="C31" s="13"/>
      <c r="D31" s="17"/>
      <c r="E31" s="15"/>
    </row>
    <row r="32" customFormat="false" ht="15" hidden="false" customHeight="false" outlineLevel="0" collapsed="false">
      <c r="A32" s="12"/>
      <c r="B32" s="13"/>
      <c r="C32" s="13"/>
      <c r="D32" s="17"/>
      <c r="E32" s="15"/>
    </row>
    <row r="33" customFormat="false" ht="15" hidden="false" customHeight="false" outlineLevel="0" collapsed="false">
      <c r="A33" s="12"/>
      <c r="B33" s="13"/>
      <c r="C33" s="13"/>
      <c r="D33" s="17"/>
      <c r="E33" s="15"/>
    </row>
    <row r="34" customFormat="false" ht="15" hidden="false" customHeight="false" outlineLevel="0" collapsed="false">
      <c r="A34" s="12"/>
      <c r="B34" s="13"/>
      <c r="C34" s="13"/>
      <c r="D34" s="17"/>
      <c r="E34" s="15"/>
    </row>
    <row r="35" customFormat="false" ht="15" hidden="false" customHeight="false" outlineLevel="0" collapsed="false">
      <c r="A35" s="12"/>
      <c r="B35" s="13"/>
      <c r="C35" s="13"/>
      <c r="D35" s="17"/>
      <c r="E35" s="15"/>
    </row>
    <row r="36" customFormat="false" ht="15" hidden="false" customHeight="false" outlineLevel="0" collapsed="false">
      <c r="A36" s="12"/>
      <c r="B36" s="13"/>
      <c r="C36" s="13"/>
      <c r="D36" s="17"/>
      <c r="E36" s="15"/>
    </row>
    <row r="37" customFormat="false" ht="15" hidden="false" customHeight="false" outlineLevel="0" collapsed="false">
      <c r="A37" s="12"/>
      <c r="B37" s="13"/>
      <c r="C37" s="13"/>
      <c r="D37" s="17"/>
      <c r="E37" s="15"/>
    </row>
    <row r="38" customFormat="false" ht="15" hidden="false" customHeight="false" outlineLevel="0" collapsed="false">
      <c r="A38" s="12"/>
      <c r="B38" s="13"/>
      <c r="C38" s="13"/>
      <c r="D38" s="17"/>
      <c r="E38" s="15"/>
    </row>
    <row r="39" customFormat="false" ht="15" hidden="false" customHeight="false" outlineLevel="0" collapsed="false">
      <c r="A39" s="12"/>
      <c r="B39" s="13"/>
      <c r="C39" s="13"/>
      <c r="D39" s="17"/>
      <c r="E39" s="15"/>
    </row>
    <row r="40" customFormat="false" ht="15" hidden="false" customHeight="false" outlineLevel="0" collapsed="false">
      <c r="A40" s="12"/>
      <c r="B40" s="13"/>
      <c r="C40" s="13"/>
      <c r="D40" s="17"/>
      <c r="E40" s="15"/>
    </row>
    <row r="41" customFormat="false" ht="15" hidden="false" customHeight="false" outlineLevel="0" collapsed="false">
      <c r="A41" s="12"/>
      <c r="B41" s="13"/>
      <c r="C41" s="13"/>
      <c r="D41" s="17"/>
      <c r="E41" s="15"/>
    </row>
    <row r="42" customFormat="false" ht="15" hidden="false" customHeight="false" outlineLevel="0" collapsed="false">
      <c r="A42" s="12"/>
      <c r="B42" s="13"/>
      <c r="C42" s="13"/>
      <c r="D42" s="17"/>
      <c r="E42" s="15"/>
    </row>
    <row r="43" customFormat="false" ht="15" hidden="false" customHeight="false" outlineLevel="0" collapsed="false">
      <c r="A43" s="12"/>
      <c r="B43" s="13"/>
      <c r="C43" s="13"/>
      <c r="D43" s="17"/>
      <c r="E43" s="15"/>
    </row>
    <row r="44" customFormat="false" ht="15" hidden="false" customHeight="false" outlineLevel="0" collapsed="false">
      <c r="A44" s="12"/>
      <c r="B44" s="13"/>
      <c r="C44" s="13"/>
      <c r="D44" s="17"/>
      <c r="E44" s="15"/>
    </row>
    <row r="45" customFormat="false" ht="15" hidden="false" customHeight="false" outlineLevel="0" collapsed="false">
      <c r="A45" s="12"/>
      <c r="B45" s="13"/>
      <c r="C45" s="13"/>
      <c r="D45" s="17"/>
      <c r="E45" s="15"/>
    </row>
    <row r="46" customFormat="false" ht="15" hidden="false" customHeight="false" outlineLevel="0" collapsed="false">
      <c r="A46" s="12"/>
      <c r="B46" s="13"/>
      <c r="C46" s="13"/>
      <c r="D46" s="17"/>
      <c r="E46" s="15"/>
    </row>
    <row r="47" customFormat="false" ht="15" hidden="false" customHeight="false" outlineLevel="0" collapsed="false">
      <c r="A47" s="12"/>
      <c r="B47" s="13"/>
      <c r="C47" s="13"/>
      <c r="D47" s="17"/>
      <c r="E47" s="15"/>
    </row>
    <row r="48" customFormat="false" ht="15" hidden="false" customHeight="false" outlineLevel="0" collapsed="false">
      <c r="A48" s="12"/>
      <c r="B48" s="13"/>
      <c r="C48" s="13"/>
      <c r="D48" s="17"/>
      <c r="E48" s="15"/>
    </row>
    <row r="49" customFormat="false" ht="15" hidden="false" customHeight="false" outlineLevel="0" collapsed="false">
      <c r="A49" s="12"/>
      <c r="B49" s="13"/>
      <c r="C49" s="13"/>
      <c r="D49" s="17"/>
      <c r="E49" s="15"/>
    </row>
    <row r="50" customFormat="false" ht="15" hidden="false" customHeight="false" outlineLevel="0" collapsed="false">
      <c r="A50" s="12"/>
      <c r="B50" s="13"/>
      <c r="C50" s="13"/>
      <c r="D50" s="17"/>
      <c r="E50" s="15"/>
    </row>
    <row r="51" customFormat="false" ht="15" hidden="false" customHeight="false" outlineLevel="0" collapsed="false">
      <c r="A51" s="12"/>
      <c r="B51" s="13"/>
      <c r="C51" s="13"/>
      <c r="D51" s="17"/>
      <c r="E51" s="15"/>
    </row>
    <row r="52" customFormat="false" ht="15" hidden="false" customHeight="false" outlineLevel="0" collapsed="false">
      <c r="A52" s="12"/>
      <c r="B52" s="13"/>
      <c r="C52" s="13"/>
      <c r="D52" s="17"/>
      <c r="E52" s="15"/>
    </row>
    <row r="53" customFormat="false" ht="15" hidden="false" customHeight="false" outlineLevel="0" collapsed="false">
      <c r="A53" s="12"/>
      <c r="B53" s="13"/>
      <c r="C53" s="13"/>
      <c r="D53" s="17"/>
      <c r="E53" s="15"/>
    </row>
    <row r="54" customFormat="false" ht="15" hidden="false" customHeight="false" outlineLevel="0" collapsed="false">
      <c r="A54" s="12"/>
      <c r="B54" s="13"/>
      <c r="C54" s="13"/>
      <c r="D54" s="17"/>
      <c r="E54" s="15"/>
    </row>
    <row r="55" customFormat="false" ht="15" hidden="false" customHeight="false" outlineLevel="0" collapsed="false">
      <c r="A55" s="12"/>
      <c r="B55" s="13"/>
      <c r="C55" s="13"/>
      <c r="D55" s="17"/>
      <c r="E55" s="15"/>
    </row>
    <row r="56" customFormat="false" ht="15" hidden="false" customHeight="false" outlineLevel="0" collapsed="false">
      <c r="A56" s="12"/>
      <c r="B56" s="13"/>
      <c r="C56" s="13"/>
      <c r="D56" s="17"/>
      <c r="E56" s="15"/>
    </row>
    <row r="57" customFormat="false" ht="15" hidden="false" customHeight="false" outlineLevel="0" collapsed="false">
      <c r="A57" s="12"/>
      <c r="B57" s="13"/>
      <c r="C57" s="13"/>
      <c r="D57" s="17"/>
      <c r="E57" s="15"/>
    </row>
    <row r="58" customFormat="false" ht="15" hidden="false" customHeight="false" outlineLevel="0" collapsed="false">
      <c r="A58" s="12"/>
      <c r="B58" s="13"/>
      <c r="C58" s="13"/>
      <c r="D58" s="17"/>
      <c r="E58" s="15"/>
    </row>
    <row r="59" customFormat="false" ht="15" hidden="false" customHeight="false" outlineLevel="0" collapsed="false">
      <c r="A59" s="12"/>
      <c r="B59" s="13"/>
      <c r="C59" s="13"/>
      <c r="D59" s="17"/>
      <c r="E59" s="15"/>
    </row>
    <row r="60" customFormat="false" ht="15" hidden="false" customHeight="false" outlineLevel="0" collapsed="false">
      <c r="A60" s="12"/>
      <c r="B60" s="13"/>
      <c r="C60" s="13"/>
      <c r="D60" s="17"/>
      <c r="E60" s="15"/>
    </row>
    <row r="61" customFormat="false" ht="15" hidden="false" customHeight="false" outlineLevel="0" collapsed="false">
      <c r="A61" s="12"/>
      <c r="B61" s="13"/>
      <c r="C61" s="13"/>
      <c r="D61" s="17"/>
      <c r="E61" s="15"/>
    </row>
    <row r="62" customFormat="false" ht="15" hidden="false" customHeight="false" outlineLevel="0" collapsed="false">
      <c r="A62" s="12"/>
      <c r="B62" s="13"/>
      <c r="C62" s="13"/>
      <c r="D62" s="17"/>
      <c r="E62" s="15"/>
    </row>
    <row r="63" customFormat="false" ht="15" hidden="false" customHeight="false" outlineLevel="0" collapsed="false">
      <c r="A63" s="12"/>
      <c r="B63" s="13"/>
      <c r="C63" s="13"/>
      <c r="D63" s="17"/>
      <c r="E63" s="15"/>
    </row>
    <row r="64" customFormat="false" ht="15" hidden="false" customHeight="false" outlineLevel="0" collapsed="false">
      <c r="A64" s="12"/>
      <c r="B64" s="13"/>
      <c r="C64" s="13"/>
      <c r="D64" s="17"/>
      <c r="E64" s="15"/>
    </row>
    <row r="65" customFormat="false" ht="15" hidden="false" customHeight="false" outlineLevel="0" collapsed="false">
      <c r="A65" s="12"/>
      <c r="B65" s="13"/>
      <c r="C65" s="13"/>
      <c r="D65" s="17"/>
      <c r="E65" s="15"/>
    </row>
    <row r="66" customFormat="false" ht="15" hidden="false" customHeight="false" outlineLevel="0" collapsed="false">
      <c r="A66" s="12"/>
      <c r="B66" s="13"/>
      <c r="C66" s="13"/>
      <c r="D66" s="17"/>
      <c r="E66" s="15"/>
    </row>
    <row r="67" customFormat="false" ht="15" hidden="false" customHeight="false" outlineLevel="0" collapsed="false">
      <c r="A67" s="12"/>
      <c r="B67" s="13"/>
      <c r="C67" s="13"/>
      <c r="D67" s="17"/>
      <c r="E67" s="15"/>
    </row>
    <row r="68" customFormat="false" ht="15" hidden="false" customHeight="false" outlineLevel="0" collapsed="false">
      <c r="A68" s="12"/>
      <c r="B68" s="13"/>
      <c r="C68" s="13"/>
      <c r="D68" s="17"/>
      <c r="E68" s="15"/>
    </row>
    <row r="69" customFormat="false" ht="15" hidden="false" customHeight="false" outlineLevel="0" collapsed="false">
      <c r="A69" s="12"/>
      <c r="B69" s="13"/>
      <c r="C69" s="13"/>
      <c r="D69" s="17"/>
      <c r="E69" s="15"/>
    </row>
    <row r="70" customFormat="false" ht="15" hidden="false" customHeight="false" outlineLevel="0" collapsed="false">
      <c r="A70" s="12"/>
      <c r="B70" s="13"/>
      <c r="C70" s="13"/>
      <c r="D70" s="17"/>
      <c r="E70" s="15"/>
    </row>
    <row r="71" customFormat="false" ht="15" hidden="false" customHeight="false" outlineLevel="0" collapsed="false">
      <c r="A71" s="12"/>
      <c r="B71" s="13"/>
      <c r="C71" s="13"/>
      <c r="D71" s="17"/>
      <c r="E71" s="15"/>
    </row>
    <row r="72" customFormat="false" ht="15" hidden="false" customHeight="false" outlineLevel="0" collapsed="false">
      <c r="A72" s="12"/>
      <c r="B72" s="13"/>
      <c r="C72" s="13"/>
      <c r="D72" s="17"/>
      <c r="E72" s="15"/>
    </row>
    <row r="73" customFormat="false" ht="15" hidden="false" customHeight="false" outlineLevel="0" collapsed="false">
      <c r="A73" s="12"/>
      <c r="B73" s="13"/>
      <c r="C73" s="13"/>
      <c r="D73" s="17"/>
      <c r="E73" s="15"/>
    </row>
    <row r="74" customFormat="false" ht="15" hidden="false" customHeight="false" outlineLevel="0" collapsed="false">
      <c r="A74" s="12"/>
      <c r="B74" s="13"/>
      <c r="C74" s="13"/>
      <c r="D74" s="17"/>
      <c r="E74" s="15"/>
    </row>
    <row r="75" customFormat="false" ht="15" hidden="false" customHeight="false" outlineLevel="0" collapsed="false">
      <c r="A75" s="12"/>
      <c r="B75" s="13"/>
      <c r="C75" s="13"/>
      <c r="D75" s="17"/>
      <c r="E75" s="15"/>
    </row>
    <row r="76" customFormat="false" ht="15" hidden="false" customHeight="false" outlineLevel="0" collapsed="false">
      <c r="A76" s="12"/>
      <c r="B76" s="13"/>
      <c r="C76" s="13"/>
      <c r="D76" s="17"/>
      <c r="E76" s="15"/>
    </row>
    <row r="77" customFormat="false" ht="15" hidden="false" customHeight="false" outlineLevel="0" collapsed="false">
      <c r="A77" s="12"/>
      <c r="B77" s="13"/>
      <c r="C77" s="13"/>
      <c r="D77" s="17"/>
      <c r="E77" s="15"/>
    </row>
    <row r="78" customFormat="false" ht="15" hidden="false" customHeight="false" outlineLevel="0" collapsed="false">
      <c r="A78" s="12"/>
      <c r="B78" s="13"/>
      <c r="C78" s="13"/>
      <c r="D78" s="17"/>
      <c r="E78" s="15"/>
    </row>
    <row r="79" customFormat="false" ht="15" hidden="false" customHeight="false" outlineLevel="0" collapsed="false">
      <c r="A79" s="12"/>
      <c r="B79" s="13"/>
      <c r="C79" s="13"/>
      <c r="D79" s="17"/>
      <c r="E79" s="15"/>
    </row>
    <row r="80" customFormat="false" ht="15" hidden="false" customHeight="false" outlineLevel="0" collapsed="false">
      <c r="A80" s="12"/>
      <c r="B80" s="13"/>
      <c r="C80" s="13"/>
      <c r="D80" s="17"/>
      <c r="E80" s="15"/>
    </row>
    <row r="81" customFormat="false" ht="15" hidden="false" customHeight="false" outlineLevel="0" collapsed="false">
      <c r="A81" s="12"/>
      <c r="B81" s="13"/>
      <c r="C81" s="13"/>
      <c r="D81" s="17"/>
      <c r="E81" s="15"/>
    </row>
    <row r="82" customFormat="false" ht="15" hidden="false" customHeight="false" outlineLevel="0" collapsed="false">
      <c r="A82" s="12"/>
      <c r="B82" s="13"/>
      <c r="C82" s="13"/>
      <c r="D82" s="17"/>
      <c r="E82" s="15"/>
    </row>
    <row r="83" customFormat="false" ht="15" hidden="false" customHeight="false" outlineLevel="0" collapsed="false">
      <c r="A83" s="12"/>
      <c r="B83" s="13"/>
      <c r="C83" s="13"/>
      <c r="D83" s="17"/>
      <c r="E83" s="15"/>
    </row>
    <row r="84" customFormat="false" ht="15" hidden="false" customHeight="false" outlineLevel="0" collapsed="false">
      <c r="A84" s="12"/>
      <c r="B84" s="13"/>
      <c r="C84" s="13"/>
      <c r="D84" s="17"/>
      <c r="E84" s="15"/>
    </row>
    <row r="85" customFormat="false" ht="15" hidden="false" customHeight="false" outlineLevel="0" collapsed="false">
      <c r="A85" s="12"/>
      <c r="B85" s="13"/>
      <c r="C85" s="13"/>
      <c r="D85" s="17"/>
      <c r="E85" s="15"/>
    </row>
    <row r="86" customFormat="false" ht="15" hidden="false" customHeight="false" outlineLevel="0" collapsed="false">
      <c r="A86" s="12"/>
      <c r="B86" s="13"/>
      <c r="C86" s="13"/>
      <c r="D86" s="17"/>
      <c r="E86" s="15"/>
    </row>
    <row r="87" customFormat="false" ht="15" hidden="false" customHeight="false" outlineLevel="0" collapsed="false">
      <c r="A87" s="12"/>
      <c r="B87" s="13"/>
      <c r="C87" s="13"/>
      <c r="D87" s="17"/>
      <c r="E87" s="15"/>
    </row>
    <row r="88" customFormat="false" ht="15" hidden="false" customHeight="false" outlineLevel="0" collapsed="false">
      <c r="A88" s="12"/>
      <c r="B88" s="13"/>
      <c r="C88" s="13"/>
      <c r="D88" s="17"/>
      <c r="E88" s="15"/>
    </row>
    <row r="89" customFormat="false" ht="15" hidden="false" customHeight="false" outlineLevel="0" collapsed="false">
      <c r="A89" s="12"/>
      <c r="B89" s="13"/>
      <c r="C89" s="13"/>
      <c r="D89" s="17"/>
      <c r="E89" s="15"/>
    </row>
    <row r="90" customFormat="false" ht="15" hidden="false" customHeight="false" outlineLevel="0" collapsed="false">
      <c r="A90" s="12"/>
      <c r="B90" s="13"/>
      <c r="C90" s="13"/>
      <c r="D90" s="17"/>
      <c r="E90" s="15"/>
    </row>
    <row r="91" customFormat="false" ht="15" hidden="false" customHeight="false" outlineLevel="0" collapsed="false">
      <c r="A91" s="12"/>
      <c r="B91" s="13"/>
      <c r="C91" s="13"/>
      <c r="D91" s="17"/>
      <c r="E91" s="15"/>
    </row>
    <row r="92" customFormat="false" ht="15" hidden="false" customHeight="false" outlineLevel="0" collapsed="false">
      <c r="A92" s="12"/>
      <c r="B92" s="13"/>
      <c r="C92" s="13"/>
      <c r="D92" s="17"/>
      <c r="E92" s="15"/>
    </row>
    <row r="93" customFormat="false" ht="15" hidden="false" customHeight="false" outlineLevel="0" collapsed="false">
      <c r="A93" s="12"/>
      <c r="B93" s="13"/>
      <c r="C93" s="13"/>
      <c r="D93" s="17"/>
      <c r="E93" s="15"/>
    </row>
    <row r="94" customFormat="false" ht="15" hidden="false" customHeight="false" outlineLevel="0" collapsed="false">
      <c r="A94" s="12"/>
      <c r="B94" s="13"/>
      <c r="C94" s="13"/>
      <c r="D94" s="17"/>
      <c r="E94" s="15"/>
    </row>
    <row r="95" customFormat="false" ht="15" hidden="false" customHeight="false" outlineLevel="0" collapsed="false">
      <c r="A95" s="12"/>
      <c r="B95" s="13"/>
      <c r="C95" s="13"/>
      <c r="D95" s="17"/>
      <c r="E95" s="15"/>
    </row>
    <row r="96" customFormat="false" ht="15" hidden="false" customHeight="false" outlineLevel="0" collapsed="false">
      <c r="A96" s="12"/>
      <c r="B96" s="13"/>
      <c r="C96" s="13"/>
      <c r="D96" s="17"/>
      <c r="E96" s="15"/>
    </row>
    <row r="97" customFormat="false" ht="15" hidden="false" customHeight="false" outlineLevel="0" collapsed="false">
      <c r="A97" s="12"/>
      <c r="B97" s="13"/>
      <c r="C97" s="13"/>
      <c r="D97" s="17"/>
      <c r="E97" s="15"/>
    </row>
    <row r="98" customFormat="false" ht="15" hidden="false" customHeight="false" outlineLevel="0" collapsed="false">
      <c r="A98" s="12"/>
      <c r="B98" s="13"/>
      <c r="C98" s="13"/>
      <c r="D98" s="17"/>
      <c r="E98" s="15"/>
    </row>
    <row r="99" customFormat="false" ht="15" hidden="false" customHeight="false" outlineLevel="0" collapsed="false">
      <c r="A99" s="12"/>
      <c r="B99" s="13"/>
      <c r="C99" s="13"/>
      <c r="D99" s="17"/>
      <c r="E99" s="15"/>
    </row>
    <row r="100" customFormat="false" ht="15" hidden="false" customHeight="false" outlineLevel="0" collapsed="false">
      <c r="A100" s="12"/>
      <c r="B100" s="13"/>
      <c r="C100" s="13"/>
      <c r="D100" s="17"/>
      <c r="E100" s="15"/>
    </row>
    <row r="101" customFormat="false" ht="15" hidden="false" customHeight="false" outlineLevel="0" collapsed="false">
      <c r="A101" s="12"/>
      <c r="B101" s="13"/>
      <c r="C101" s="13"/>
      <c r="D101" s="17"/>
      <c r="E101" s="15"/>
    </row>
    <row r="102" customFormat="false" ht="15" hidden="false" customHeight="false" outlineLevel="0" collapsed="false">
      <c r="A102" s="12"/>
      <c r="B102" s="13"/>
      <c r="C102" s="13"/>
      <c r="D102" s="17"/>
      <c r="E102" s="15"/>
    </row>
    <row r="103" customFormat="false" ht="15" hidden="false" customHeight="false" outlineLevel="0" collapsed="false">
      <c r="A103" s="12"/>
      <c r="B103" s="13"/>
      <c r="C103" s="13"/>
      <c r="D103" s="17"/>
      <c r="E103" s="15"/>
    </row>
    <row r="104" customFormat="false" ht="15" hidden="false" customHeight="false" outlineLevel="0" collapsed="false">
      <c r="A104" s="12"/>
      <c r="B104" s="13"/>
      <c r="C104" s="13"/>
      <c r="D104" s="17"/>
      <c r="E104" s="15"/>
    </row>
    <row r="105" customFormat="false" ht="15" hidden="false" customHeight="false" outlineLevel="0" collapsed="false">
      <c r="A105" s="12"/>
      <c r="B105" s="13"/>
      <c r="C105" s="13"/>
      <c r="D105" s="17"/>
      <c r="E105" s="15"/>
    </row>
    <row r="106" customFormat="false" ht="15" hidden="false" customHeight="false" outlineLevel="0" collapsed="false">
      <c r="A106" s="12"/>
      <c r="B106" s="13"/>
      <c r="C106" s="13"/>
      <c r="D106" s="17"/>
      <c r="E106" s="15"/>
    </row>
    <row r="107" customFormat="false" ht="15" hidden="false" customHeight="false" outlineLevel="0" collapsed="false">
      <c r="A107" s="12"/>
      <c r="B107" s="13"/>
      <c r="C107" s="13"/>
      <c r="D107" s="17"/>
      <c r="E107" s="15"/>
    </row>
    <row r="108" customFormat="false" ht="15" hidden="false" customHeight="false" outlineLevel="0" collapsed="false">
      <c r="A108" s="12"/>
      <c r="B108" s="13"/>
      <c r="C108" s="13"/>
      <c r="D108" s="17"/>
      <c r="E108" s="15"/>
    </row>
    <row r="109" customFormat="false" ht="15" hidden="false" customHeight="false" outlineLevel="0" collapsed="false">
      <c r="A109" s="12"/>
      <c r="B109" s="13"/>
      <c r="C109" s="13"/>
      <c r="D109" s="17"/>
      <c r="E109" s="15"/>
    </row>
    <row r="110" customFormat="false" ht="15" hidden="false" customHeight="false" outlineLevel="0" collapsed="false">
      <c r="A110" s="12"/>
      <c r="B110" s="13"/>
      <c r="C110" s="13"/>
      <c r="D110" s="17"/>
      <c r="E110" s="15"/>
    </row>
    <row r="111" customFormat="false" ht="15" hidden="false" customHeight="false" outlineLevel="0" collapsed="false">
      <c r="A111" s="12"/>
      <c r="B111" s="13"/>
      <c r="C111" s="13"/>
      <c r="D111" s="17"/>
      <c r="E111" s="15"/>
    </row>
    <row r="112" customFormat="false" ht="15" hidden="false" customHeight="false" outlineLevel="0" collapsed="false">
      <c r="A112" s="12"/>
      <c r="B112" s="13"/>
      <c r="C112" s="13"/>
      <c r="D112" s="17"/>
      <c r="E112" s="15"/>
    </row>
    <row r="113" customFormat="false" ht="15" hidden="false" customHeight="false" outlineLevel="0" collapsed="false">
      <c r="A113" s="12"/>
      <c r="B113" s="13"/>
      <c r="C113" s="13"/>
      <c r="D113" s="17"/>
      <c r="E113" s="15"/>
    </row>
    <row r="114" customFormat="false" ht="15" hidden="false" customHeight="false" outlineLevel="0" collapsed="false">
      <c r="A114" s="12"/>
      <c r="B114" s="13"/>
      <c r="C114" s="13"/>
      <c r="D114" s="17"/>
      <c r="E114" s="15"/>
    </row>
    <row r="115" customFormat="false" ht="15" hidden="false" customHeight="false" outlineLevel="0" collapsed="false">
      <c r="A115" s="12"/>
      <c r="B115" s="13"/>
      <c r="C115" s="13"/>
      <c r="D115" s="17"/>
      <c r="E115" s="15"/>
    </row>
    <row r="116" customFormat="false" ht="15" hidden="false" customHeight="false" outlineLevel="0" collapsed="false">
      <c r="A116" s="12"/>
      <c r="B116" s="13"/>
      <c r="C116" s="13"/>
      <c r="D116" s="17"/>
      <c r="E116" s="15"/>
    </row>
    <row r="117" customFormat="false" ht="15" hidden="false" customHeight="false" outlineLevel="0" collapsed="false">
      <c r="A117" s="12"/>
      <c r="B117" s="13"/>
      <c r="C117" s="13"/>
      <c r="D117" s="17"/>
      <c r="E117" s="15"/>
    </row>
    <row r="118" customFormat="false" ht="15" hidden="false" customHeight="false" outlineLevel="0" collapsed="false">
      <c r="A118" s="12"/>
      <c r="B118" s="13"/>
      <c r="C118" s="13"/>
      <c r="D118" s="17"/>
      <c r="E118" s="15"/>
    </row>
    <row r="119" customFormat="false" ht="15" hidden="false" customHeight="false" outlineLevel="0" collapsed="false">
      <c r="A119" s="12"/>
      <c r="B119" s="13"/>
      <c r="C119" s="13"/>
      <c r="D119" s="17"/>
      <c r="E119" s="15"/>
    </row>
    <row r="120" customFormat="false" ht="15" hidden="false" customHeight="false" outlineLevel="0" collapsed="false">
      <c r="A120" s="12"/>
      <c r="B120" s="13"/>
      <c r="C120" s="13"/>
      <c r="D120" s="17"/>
      <c r="E120" s="15"/>
    </row>
    <row r="121" customFormat="false" ht="15" hidden="false" customHeight="false" outlineLevel="0" collapsed="false">
      <c r="A121" s="12"/>
      <c r="B121" s="13"/>
      <c r="C121" s="13"/>
      <c r="D121" s="17"/>
      <c r="E121" s="15"/>
    </row>
    <row r="122" customFormat="false" ht="15" hidden="false" customHeight="false" outlineLevel="0" collapsed="false">
      <c r="A122" s="12"/>
      <c r="B122" s="13"/>
      <c r="C122" s="13"/>
      <c r="D122" s="17"/>
      <c r="E122" s="15"/>
    </row>
    <row r="123" customFormat="false" ht="15" hidden="false" customHeight="false" outlineLevel="0" collapsed="false">
      <c r="A123" s="12"/>
      <c r="B123" s="13"/>
      <c r="C123" s="13"/>
      <c r="D123" s="17"/>
      <c r="E123" s="15"/>
    </row>
    <row r="124" customFormat="false" ht="15" hidden="false" customHeight="false" outlineLevel="0" collapsed="false">
      <c r="A124" s="12"/>
      <c r="B124" s="13"/>
      <c r="C124" s="13"/>
      <c r="D124" s="17"/>
      <c r="E124" s="15"/>
    </row>
    <row r="125" customFormat="false" ht="15" hidden="false" customHeight="false" outlineLevel="0" collapsed="false">
      <c r="A125" s="12"/>
      <c r="B125" s="13"/>
      <c r="C125" s="13"/>
      <c r="D125" s="17"/>
      <c r="E125" s="15"/>
    </row>
    <row r="126" customFormat="false" ht="15" hidden="false" customHeight="false" outlineLevel="0" collapsed="false">
      <c r="A126" s="12"/>
      <c r="B126" s="13"/>
      <c r="C126" s="13"/>
      <c r="D126" s="17"/>
      <c r="E126" s="15"/>
    </row>
    <row r="127" customFormat="false" ht="15" hidden="false" customHeight="false" outlineLevel="0" collapsed="false">
      <c r="A127" s="12"/>
      <c r="B127" s="13"/>
      <c r="C127" s="13"/>
      <c r="D127" s="17"/>
      <c r="E127" s="15"/>
    </row>
    <row r="128" customFormat="false" ht="15" hidden="false" customHeight="false" outlineLevel="0" collapsed="false">
      <c r="A128" s="12"/>
      <c r="B128" s="13"/>
      <c r="C128" s="13"/>
      <c r="D128" s="17"/>
      <c r="E128" s="15"/>
    </row>
    <row r="129" customFormat="false" ht="15" hidden="false" customHeight="false" outlineLevel="0" collapsed="false">
      <c r="A129" s="12"/>
      <c r="B129" s="13"/>
      <c r="C129" s="13"/>
      <c r="D129" s="17"/>
      <c r="E129" s="15"/>
    </row>
    <row r="130" customFormat="false" ht="15" hidden="false" customHeight="false" outlineLevel="0" collapsed="false">
      <c r="A130" s="12"/>
      <c r="B130" s="13"/>
      <c r="C130" s="13"/>
      <c r="D130" s="17"/>
      <c r="E130" s="15"/>
    </row>
    <row r="131" customFormat="false" ht="15" hidden="false" customHeight="false" outlineLevel="0" collapsed="false">
      <c r="A131" s="12"/>
      <c r="B131" s="13"/>
      <c r="C131" s="13"/>
      <c r="D131" s="17"/>
      <c r="E131" s="15"/>
    </row>
    <row r="132" customFormat="false" ht="15" hidden="false" customHeight="false" outlineLevel="0" collapsed="false">
      <c r="A132" s="12"/>
      <c r="B132" s="13"/>
      <c r="C132" s="13"/>
      <c r="D132" s="17"/>
      <c r="E132" s="15"/>
    </row>
    <row r="133" customFormat="false" ht="15" hidden="false" customHeight="false" outlineLevel="0" collapsed="false">
      <c r="A133" s="12"/>
      <c r="B133" s="13"/>
      <c r="C133" s="13"/>
      <c r="D133" s="17"/>
      <c r="E133" s="15"/>
    </row>
    <row r="134" customFormat="false" ht="15" hidden="false" customHeight="false" outlineLevel="0" collapsed="false">
      <c r="A134" s="12"/>
      <c r="B134" s="13"/>
      <c r="C134" s="13"/>
      <c r="D134" s="17"/>
      <c r="E134" s="15"/>
    </row>
    <row r="135" customFormat="false" ht="15" hidden="false" customHeight="false" outlineLevel="0" collapsed="false">
      <c r="A135" s="12"/>
      <c r="B135" s="13"/>
      <c r="C135" s="13"/>
      <c r="D135" s="17"/>
      <c r="E135" s="15"/>
    </row>
    <row r="136" customFormat="false" ht="15" hidden="false" customHeight="false" outlineLevel="0" collapsed="false">
      <c r="A136" s="12"/>
      <c r="B136" s="13"/>
      <c r="C136" s="13"/>
      <c r="D136" s="17"/>
      <c r="E136" s="15"/>
    </row>
    <row r="137" customFormat="false" ht="15" hidden="false" customHeight="false" outlineLevel="0" collapsed="false">
      <c r="A137" s="12"/>
      <c r="B137" s="13"/>
      <c r="C137" s="13"/>
      <c r="D137" s="17"/>
      <c r="E137" s="15"/>
    </row>
    <row r="138" customFormat="false" ht="15" hidden="false" customHeight="false" outlineLevel="0" collapsed="false">
      <c r="A138" s="12"/>
      <c r="B138" s="13"/>
      <c r="C138" s="13"/>
      <c r="D138" s="17"/>
      <c r="E138" s="15"/>
    </row>
    <row r="139" customFormat="false" ht="15" hidden="false" customHeight="false" outlineLevel="0" collapsed="false">
      <c r="A139" s="12"/>
      <c r="B139" s="13"/>
      <c r="C139" s="13"/>
      <c r="D139" s="17"/>
      <c r="E139" s="15"/>
    </row>
    <row r="140" customFormat="false" ht="15" hidden="false" customHeight="false" outlineLevel="0" collapsed="false">
      <c r="A140" s="12"/>
      <c r="B140" s="13"/>
      <c r="C140" s="13"/>
      <c r="D140" s="17"/>
      <c r="E140" s="15"/>
    </row>
    <row r="141" customFormat="false" ht="15" hidden="false" customHeight="false" outlineLevel="0" collapsed="false">
      <c r="A141" s="12"/>
      <c r="B141" s="13"/>
      <c r="C141" s="13"/>
      <c r="D141" s="17"/>
      <c r="E141" s="15"/>
    </row>
    <row r="142" customFormat="false" ht="15" hidden="false" customHeight="false" outlineLevel="0" collapsed="false">
      <c r="A142" s="12"/>
      <c r="B142" s="13"/>
      <c r="C142" s="13"/>
      <c r="D142" s="17"/>
      <c r="E142" s="15"/>
    </row>
    <row r="143" customFormat="false" ht="15" hidden="false" customHeight="false" outlineLevel="0" collapsed="false">
      <c r="A143" s="12"/>
      <c r="B143" s="13"/>
      <c r="C143" s="13"/>
      <c r="D143" s="17"/>
      <c r="E143" s="15"/>
    </row>
    <row r="144" customFormat="false" ht="15" hidden="false" customHeight="false" outlineLevel="0" collapsed="false">
      <c r="A144" s="12"/>
      <c r="B144" s="13"/>
      <c r="C144" s="13"/>
      <c r="D144" s="17"/>
      <c r="E144" s="15"/>
    </row>
    <row r="145" customFormat="false" ht="15" hidden="false" customHeight="false" outlineLevel="0" collapsed="false">
      <c r="A145" s="12"/>
      <c r="B145" s="13"/>
      <c r="C145" s="13"/>
      <c r="D145" s="17"/>
      <c r="E145" s="15"/>
    </row>
    <row r="146" customFormat="false" ht="15" hidden="false" customHeight="false" outlineLevel="0" collapsed="false">
      <c r="A146" s="12"/>
      <c r="B146" s="13"/>
      <c r="C146" s="13"/>
      <c r="D146" s="17"/>
      <c r="E146" s="15"/>
    </row>
    <row r="147" customFormat="false" ht="15" hidden="false" customHeight="false" outlineLevel="0" collapsed="false">
      <c r="A147" s="12"/>
      <c r="B147" s="13"/>
      <c r="C147" s="13"/>
      <c r="D147" s="17"/>
      <c r="E147" s="15"/>
    </row>
    <row r="148" customFormat="false" ht="15" hidden="false" customHeight="false" outlineLevel="0" collapsed="false">
      <c r="A148" s="12"/>
      <c r="B148" s="13"/>
      <c r="C148" s="13"/>
      <c r="D148" s="17"/>
      <c r="E148" s="15"/>
    </row>
    <row r="149" customFormat="false" ht="15" hidden="false" customHeight="false" outlineLevel="0" collapsed="false">
      <c r="A149" s="12"/>
      <c r="B149" s="13"/>
      <c r="C149" s="13"/>
      <c r="D149" s="17"/>
      <c r="E149" s="15"/>
    </row>
    <row r="150" customFormat="false" ht="15" hidden="false" customHeight="false" outlineLevel="0" collapsed="false">
      <c r="A150" s="12"/>
      <c r="B150" s="13"/>
      <c r="C150" s="13"/>
      <c r="D150" s="17"/>
      <c r="E150" s="15"/>
    </row>
    <row r="151" customFormat="false" ht="15" hidden="false" customHeight="false" outlineLevel="0" collapsed="false">
      <c r="A151" s="12"/>
      <c r="B151" s="13"/>
      <c r="C151" s="13"/>
      <c r="D151" s="17"/>
      <c r="E151" s="15"/>
    </row>
    <row r="152" customFormat="false" ht="15" hidden="false" customHeight="false" outlineLevel="0" collapsed="false">
      <c r="A152" s="12"/>
      <c r="B152" s="13"/>
      <c r="C152" s="13"/>
      <c r="D152" s="17"/>
      <c r="E152" s="15"/>
    </row>
    <row r="153" customFormat="false" ht="15" hidden="false" customHeight="false" outlineLevel="0" collapsed="false">
      <c r="A153" s="12"/>
      <c r="B153" s="13"/>
      <c r="C153" s="13"/>
      <c r="D153" s="17"/>
      <c r="E153" s="15"/>
    </row>
    <row r="154" customFormat="false" ht="15" hidden="false" customHeight="false" outlineLevel="0" collapsed="false">
      <c r="A154" s="12"/>
      <c r="B154" s="13"/>
      <c r="C154" s="13"/>
      <c r="D154" s="17"/>
      <c r="E154" s="15"/>
    </row>
    <row r="155" customFormat="false" ht="15" hidden="false" customHeight="false" outlineLevel="0" collapsed="false">
      <c r="A155" s="12"/>
      <c r="B155" s="13"/>
      <c r="C155" s="13"/>
      <c r="D155" s="17"/>
      <c r="E155" s="15"/>
    </row>
    <row r="156" customFormat="false" ht="15" hidden="false" customHeight="false" outlineLevel="0" collapsed="false">
      <c r="A156" s="12"/>
      <c r="B156" s="13"/>
      <c r="C156" s="13"/>
      <c r="D156" s="17"/>
      <c r="E156" s="15"/>
    </row>
    <row r="157" customFormat="false" ht="15" hidden="false" customHeight="false" outlineLevel="0" collapsed="false">
      <c r="A157" s="12"/>
      <c r="B157" s="13"/>
      <c r="C157" s="13"/>
      <c r="D157" s="17"/>
      <c r="E157" s="15"/>
    </row>
    <row r="158" customFormat="false" ht="15" hidden="false" customHeight="false" outlineLevel="0" collapsed="false">
      <c r="A158" s="12"/>
      <c r="B158" s="13"/>
      <c r="C158" s="13"/>
      <c r="D158" s="17"/>
      <c r="E158" s="15"/>
    </row>
    <row r="159" customFormat="false" ht="15" hidden="false" customHeight="false" outlineLevel="0" collapsed="false">
      <c r="A159" s="12"/>
      <c r="B159" s="13"/>
      <c r="C159" s="13"/>
      <c r="D159" s="17"/>
      <c r="E159" s="15"/>
    </row>
    <row r="160" customFormat="false" ht="15" hidden="false" customHeight="false" outlineLevel="0" collapsed="false">
      <c r="A160" s="12"/>
      <c r="B160" s="13"/>
      <c r="C160" s="13"/>
      <c r="D160" s="17"/>
      <c r="E160" s="15"/>
    </row>
    <row r="161" customFormat="false" ht="15" hidden="false" customHeight="false" outlineLevel="0" collapsed="false">
      <c r="A161" s="12"/>
      <c r="B161" s="13"/>
      <c r="C161" s="13"/>
      <c r="D161" s="17"/>
      <c r="E161" s="15"/>
    </row>
    <row r="162" customFormat="false" ht="15" hidden="false" customHeight="false" outlineLevel="0" collapsed="false">
      <c r="A162" s="12"/>
      <c r="B162" s="13"/>
      <c r="C162" s="13"/>
      <c r="D162" s="17"/>
      <c r="E162" s="15"/>
    </row>
    <row r="163" customFormat="false" ht="15" hidden="false" customHeight="false" outlineLevel="0" collapsed="false">
      <c r="A163" s="12"/>
      <c r="B163" s="13"/>
      <c r="C163" s="13"/>
      <c r="D163" s="17"/>
      <c r="E163" s="15"/>
    </row>
    <row r="164" customFormat="false" ht="15" hidden="false" customHeight="false" outlineLevel="0" collapsed="false">
      <c r="A164" s="12"/>
      <c r="B164" s="13"/>
      <c r="C164" s="13"/>
      <c r="D164" s="17"/>
      <c r="E164" s="15"/>
    </row>
    <row r="165" customFormat="false" ht="15" hidden="false" customHeight="false" outlineLevel="0" collapsed="false">
      <c r="A165" s="12"/>
      <c r="B165" s="13"/>
      <c r="C165" s="13"/>
      <c r="D165" s="17"/>
      <c r="E165" s="15"/>
    </row>
    <row r="166" customFormat="false" ht="15" hidden="false" customHeight="false" outlineLevel="0" collapsed="false">
      <c r="A166" s="12"/>
      <c r="B166" s="13"/>
      <c r="C166" s="13"/>
      <c r="D166" s="17"/>
      <c r="E166" s="15"/>
    </row>
    <row r="167" customFormat="false" ht="15" hidden="false" customHeight="false" outlineLevel="0" collapsed="false">
      <c r="A167" s="12"/>
      <c r="B167" s="13"/>
      <c r="C167" s="13"/>
      <c r="D167" s="17"/>
      <c r="E167" s="15"/>
    </row>
    <row r="168" customFormat="false" ht="15" hidden="false" customHeight="false" outlineLevel="0" collapsed="false">
      <c r="A168" s="12"/>
      <c r="B168" s="13"/>
      <c r="C168" s="13"/>
      <c r="D168" s="17"/>
      <c r="E168" s="15"/>
    </row>
    <row r="169" customFormat="false" ht="15" hidden="false" customHeight="false" outlineLevel="0" collapsed="false">
      <c r="A169" s="12"/>
      <c r="B169" s="13"/>
      <c r="C169" s="13"/>
      <c r="D169" s="17"/>
      <c r="E169" s="15"/>
    </row>
    <row r="170" customFormat="false" ht="15" hidden="false" customHeight="false" outlineLevel="0" collapsed="false">
      <c r="A170" s="12"/>
      <c r="B170" s="13"/>
      <c r="C170" s="13"/>
      <c r="D170" s="17"/>
      <c r="E170" s="15"/>
    </row>
    <row r="171" customFormat="false" ht="15" hidden="false" customHeight="false" outlineLevel="0" collapsed="false">
      <c r="A171" s="12"/>
      <c r="B171" s="13"/>
      <c r="C171" s="13"/>
      <c r="D171" s="17"/>
      <c r="E171" s="15"/>
    </row>
    <row r="172" customFormat="false" ht="15" hidden="false" customHeight="false" outlineLevel="0" collapsed="false">
      <c r="A172" s="12"/>
      <c r="B172" s="13"/>
      <c r="C172" s="13"/>
      <c r="D172" s="17"/>
      <c r="E172" s="15"/>
    </row>
    <row r="173" customFormat="false" ht="15" hidden="false" customHeight="false" outlineLevel="0" collapsed="false">
      <c r="A173" s="12"/>
      <c r="B173" s="13"/>
      <c r="C173" s="13"/>
      <c r="D173" s="17"/>
      <c r="E173" s="15"/>
    </row>
    <row r="174" customFormat="false" ht="15" hidden="false" customHeight="false" outlineLevel="0" collapsed="false">
      <c r="A174" s="12"/>
      <c r="B174" s="13"/>
      <c r="C174" s="13"/>
      <c r="D174" s="17"/>
      <c r="E174" s="15"/>
    </row>
    <row r="175" customFormat="false" ht="15" hidden="false" customHeight="false" outlineLevel="0" collapsed="false">
      <c r="A175" s="12"/>
      <c r="B175" s="13"/>
      <c r="C175" s="13"/>
      <c r="D175" s="17"/>
      <c r="E175" s="15"/>
    </row>
    <row r="176" customFormat="false" ht="15" hidden="false" customHeight="false" outlineLevel="0" collapsed="false">
      <c r="A176" s="12"/>
      <c r="B176" s="13"/>
      <c r="C176" s="13"/>
      <c r="D176" s="17"/>
      <c r="E176" s="15"/>
    </row>
    <row r="177" customFormat="false" ht="15" hidden="false" customHeight="false" outlineLevel="0" collapsed="false">
      <c r="A177" s="12"/>
      <c r="B177" s="13"/>
      <c r="C177" s="13"/>
      <c r="D177" s="17"/>
      <c r="E177" s="15"/>
    </row>
    <row r="178" customFormat="false" ht="15" hidden="false" customHeight="false" outlineLevel="0" collapsed="false">
      <c r="A178" s="12"/>
      <c r="B178" s="13"/>
      <c r="C178" s="13"/>
      <c r="D178" s="17"/>
      <c r="E178" s="15"/>
    </row>
    <row r="179" customFormat="false" ht="15" hidden="false" customHeight="false" outlineLevel="0" collapsed="false">
      <c r="A179" s="12"/>
      <c r="B179" s="13"/>
      <c r="C179" s="13"/>
      <c r="D179" s="17"/>
      <c r="E179" s="15"/>
    </row>
    <row r="180" customFormat="false" ht="15" hidden="false" customHeight="false" outlineLevel="0" collapsed="false">
      <c r="A180" s="12"/>
      <c r="B180" s="13"/>
      <c r="C180" s="13"/>
      <c r="D180" s="17"/>
      <c r="E180" s="15"/>
    </row>
    <row r="181" customFormat="false" ht="15" hidden="false" customHeight="false" outlineLevel="0" collapsed="false">
      <c r="A181" s="12"/>
      <c r="B181" s="13"/>
      <c r="C181" s="13"/>
      <c r="D181" s="17"/>
      <c r="E181" s="15"/>
    </row>
    <row r="182" customFormat="false" ht="15" hidden="false" customHeight="false" outlineLevel="0" collapsed="false">
      <c r="A182" s="12"/>
      <c r="B182" s="13"/>
      <c r="C182" s="13"/>
      <c r="D182" s="17"/>
      <c r="E182" s="15"/>
    </row>
    <row r="183" customFormat="false" ht="15" hidden="false" customHeight="false" outlineLevel="0" collapsed="false">
      <c r="A183" s="12"/>
      <c r="B183" s="13"/>
      <c r="C183" s="13"/>
      <c r="D183" s="17"/>
      <c r="E183" s="15"/>
    </row>
    <row r="184" customFormat="false" ht="15" hidden="false" customHeight="false" outlineLevel="0" collapsed="false">
      <c r="A184" s="12"/>
      <c r="B184" s="13"/>
      <c r="C184" s="13"/>
      <c r="D184" s="17"/>
      <c r="E184" s="15"/>
    </row>
    <row r="185" customFormat="false" ht="15" hidden="false" customHeight="false" outlineLevel="0" collapsed="false">
      <c r="A185" s="12"/>
      <c r="B185" s="13"/>
      <c r="C185" s="13"/>
      <c r="D185" s="17"/>
      <c r="E185" s="15"/>
    </row>
    <row r="186" customFormat="false" ht="15" hidden="false" customHeight="false" outlineLevel="0" collapsed="false">
      <c r="A186" s="12"/>
      <c r="B186" s="13"/>
      <c r="C186" s="13"/>
      <c r="D186" s="17"/>
      <c r="E186" s="15"/>
    </row>
    <row r="187" customFormat="false" ht="15" hidden="false" customHeight="false" outlineLevel="0" collapsed="false">
      <c r="A187" s="12"/>
      <c r="B187" s="13"/>
      <c r="C187" s="13"/>
      <c r="D187" s="17"/>
      <c r="E187" s="15"/>
    </row>
    <row r="188" customFormat="false" ht="15" hidden="false" customHeight="false" outlineLevel="0" collapsed="false">
      <c r="A188" s="12"/>
      <c r="B188" s="13"/>
      <c r="C188" s="13"/>
      <c r="D188" s="17"/>
      <c r="E188" s="15"/>
    </row>
    <row r="189" customFormat="false" ht="15" hidden="false" customHeight="false" outlineLevel="0" collapsed="false">
      <c r="A189" s="12"/>
      <c r="B189" s="13"/>
      <c r="C189" s="13"/>
      <c r="D189" s="17"/>
      <c r="E189" s="15"/>
    </row>
    <row r="190" customFormat="false" ht="15" hidden="false" customHeight="false" outlineLevel="0" collapsed="false">
      <c r="A190" s="12"/>
      <c r="B190" s="13"/>
      <c r="C190" s="13"/>
      <c r="D190" s="17"/>
      <c r="E190" s="15"/>
    </row>
    <row r="191" customFormat="false" ht="15" hidden="false" customHeight="false" outlineLevel="0" collapsed="false">
      <c r="A191" s="12"/>
      <c r="B191" s="13"/>
      <c r="C191" s="13"/>
      <c r="D191" s="17"/>
      <c r="E191" s="15"/>
    </row>
    <row r="192" customFormat="false" ht="15" hidden="false" customHeight="false" outlineLevel="0" collapsed="false">
      <c r="A192" s="12"/>
      <c r="B192" s="13"/>
      <c r="C192" s="13"/>
      <c r="D192" s="17"/>
      <c r="E192" s="15"/>
    </row>
    <row r="193" customFormat="false" ht="15" hidden="false" customHeight="false" outlineLevel="0" collapsed="false">
      <c r="A193" s="12"/>
      <c r="B193" s="13"/>
      <c r="C193" s="13"/>
      <c r="D193" s="17"/>
      <c r="E193" s="15"/>
    </row>
    <row r="194" customFormat="false" ht="15" hidden="false" customHeight="false" outlineLevel="0" collapsed="false">
      <c r="A194" s="12"/>
      <c r="B194" s="13"/>
      <c r="C194" s="13"/>
      <c r="D194" s="17"/>
      <c r="E194" s="15"/>
    </row>
    <row r="195" customFormat="false" ht="15" hidden="false" customHeight="false" outlineLevel="0" collapsed="false">
      <c r="A195" s="12"/>
      <c r="B195" s="13"/>
      <c r="C195" s="13"/>
      <c r="D195" s="17"/>
      <c r="E195" s="15"/>
    </row>
    <row r="196" customFormat="false" ht="15" hidden="false" customHeight="false" outlineLevel="0" collapsed="false">
      <c r="A196" s="12"/>
      <c r="B196" s="13"/>
      <c r="C196" s="13"/>
      <c r="D196" s="17"/>
      <c r="E196" s="15"/>
    </row>
    <row r="197" customFormat="false" ht="15" hidden="false" customHeight="false" outlineLevel="0" collapsed="false">
      <c r="A197" s="12"/>
      <c r="B197" s="13"/>
      <c r="C197" s="13"/>
      <c r="D197" s="17"/>
      <c r="E197" s="15"/>
    </row>
    <row r="198" customFormat="false" ht="15" hidden="false" customHeight="false" outlineLevel="0" collapsed="false">
      <c r="A198" s="12"/>
      <c r="B198" s="13"/>
      <c r="C198" s="13"/>
      <c r="D198" s="17"/>
      <c r="E198" s="15"/>
    </row>
    <row r="199" customFormat="false" ht="15" hidden="false" customHeight="false" outlineLevel="0" collapsed="false">
      <c r="A199" s="12"/>
      <c r="B199" s="13"/>
      <c r="C199" s="13"/>
      <c r="D199" s="17"/>
      <c r="E199" s="15"/>
    </row>
    <row r="200" customFormat="false" ht="15" hidden="false" customHeight="false" outlineLevel="0" collapsed="false">
      <c r="A200" s="12"/>
      <c r="B200" s="13"/>
      <c r="C200" s="13"/>
      <c r="D200" s="17"/>
      <c r="E200" s="15"/>
    </row>
    <row r="201" customFormat="false" ht="15" hidden="false" customHeight="false" outlineLevel="0" collapsed="false">
      <c r="A201" s="12"/>
      <c r="B201" s="13"/>
      <c r="C201" s="13"/>
      <c r="D201" s="17"/>
      <c r="E201" s="15"/>
    </row>
    <row r="202" customFormat="false" ht="15" hidden="false" customHeight="false" outlineLevel="0" collapsed="false">
      <c r="A202" s="12"/>
      <c r="B202" s="13"/>
      <c r="C202" s="13"/>
      <c r="D202" s="17"/>
      <c r="E202" s="15"/>
    </row>
    <row r="203" customFormat="false" ht="15" hidden="false" customHeight="false" outlineLevel="0" collapsed="false">
      <c r="A203" s="12"/>
      <c r="B203" s="13"/>
      <c r="C203" s="13"/>
      <c r="D203" s="17"/>
      <c r="E203" s="15"/>
    </row>
    <row r="204" customFormat="false" ht="15" hidden="false" customHeight="false" outlineLevel="0" collapsed="false">
      <c r="A204" s="12"/>
      <c r="B204" s="13"/>
      <c r="C204" s="13"/>
      <c r="D204" s="17"/>
      <c r="E204" s="15"/>
    </row>
    <row r="205" customFormat="false" ht="15" hidden="false" customHeight="false" outlineLevel="0" collapsed="false">
      <c r="A205" s="12"/>
      <c r="B205" s="13"/>
      <c r="C205" s="13"/>
      <c r="D205" s="17"/>
      <c r="E205" s="15"/>
    </row>
    <row r="206" customFormat="false" ht="15" hidden="false" customHeight="false" outlineLevel="0" collapsed="false">
      <c r="A206" s="12"/>
      <c r="B206" s="13"/>
      <c r="C206" s="13"/>
      <c r="D206" s="17"/>
      <c r="E206" s="15"/>
    </row>
    <row r="207" customFormat="false" ht="15" hidden="false" customHeight="false" outlineLevel="0" collapsed="false">
      <c r="A207" s="12"/>
      <c r="B207" s="13"/>
      <c r="C207" s="13"/>
      <c r="D207" s="17"/>
      <c r="E207" s="15"/>
    </row>
    <row r="208" customFormat="false" ht="15" hidden="false" customHeight="false" outlineLevel="0" collapsed="false">
      <c r="A208" s="12"/>
      <c r="B208" s="13"/>
      <c r="C208" s="13"/>
      <c r="D208" s="17"/>
      <c r="E208" s="15"/>
    </row>
    <row r="209" customFormat="false" ht="15" hidden="false" customHeight="false" outlineLevel="0" collapsed="false">
      <c r="A209" s="12"/>
      <c r="B209" s="13"/>
      <c r="C209" s="13"/>
      <c r="D209" s="17"/>
      <c r="E209" s="15"/>
    </row>
    <row r="210" customFormat="false" ht="15" hidden="false" customHeight="false" outlineLevel="0" collapsed="false">
      <c r="A210" s="12"/>
      <c r="B210" s="13"/>
      <c r="C210" s="13"/>
      <c r="D210" s="17"/>
      <c r="E210" s="15"/>
    </row>
    <row r="211" customFormat="false" ht="15" hidden="false" customHeight="false" outlineLevel="0" collapsed="false">
      <c r="A211" s="12"/>
      <c r="B211" s="13"/>
      <c r="C211" s="13"/>
      <c r="D211" s="17"/>
      <c r="E211" s="15"/>
    </row>
    <row r="212" customFormat="false" ht="15" hidden="false" customHeight="false" outlineLevel="0" collapsed="false">
      <c r="A212" s="12"/>
      <c r="B212" s="13"/>
      <c r="C212" s="13"/>
      <c r="D212" s="17"/>
      <c r="E212" s="15"/>
    </row>
    <row r="213" customFormat="false" ht="15" hidden="false" customHeight="false" outlineLevel="0" collapsed="false">
      <c r="A213" s="12"/>
      <c r="B213" s="13"/>
      <c r="C213" s="13"/>
      <c r="D213" s="17"/>
      <c r="E213" s="15"/>
    </row>
    <row r="214" customFormat="false" ht="15" hidden="false" customHeight="false" outlineLevel="0" collapsed="false">
      <c r="A214" s="12"/>
      <c r="B214" s="13"/>
      <c r="C214" s="13"/>
      <c r="D214" s="17"/>
      <c r="E214" s="15"/>
    </row>
    <row r="215" customFormat="false" ht="15" hidden="false" customHeight="false" outlineLevel="0" collapsed="false">
      <c r="A215" s="12"/>
      <c r="B215" s="13"/>
      <c r="C215" s="13"/>
      <c r="D215" s="17"/>
      <c r="E215" s="15"/>
    </row>
    <row r="216" customFormat="false" ht="15" hidden="false" customHeight="false" outlineLevel="0" collapsed="false">
      <c r="A216" s="12"/>
      <c r="B216" s="13"/>
      <c r="C216" s="13"/>
      <c r="D216" s="17"/>
      <c r="E216" s="15"/>
    </row>
    <row r="217" customFormat="false" ht="15" hidden="false" customHeight="false" outlineLevel="0" collapsed="false">
      <c r="A217" s="12"/>
      <c r="B217" s="13"/>
      <c r="C217" s="13"/>
      <c r="D217" s="17"/>
      <c r="E217" s="15"/>
    </row>
    <row r="218" customFormat="false" ht="15" hidden="false" customHeight="false" outlineLevel="0" collapsed="false">
      <c r="A218" s="12"/>
      <c r="B218" s="13"/>
      <c r="C218" s="13"/>
      <c r="D218" s="17"/>
      <c r="E218" s="15"/>
    </row>
    <row r="219" customFormat="false" ht="15" hidden="false" customHeight="false" outlineLevel="0" collapsed="false">
      <c r="A219" s="12"/>
      <c r="B219" s="13"/>
      <c r="C219" s="13"/>
      <c r="D219" s="17"/>
      <c r="E219" s="15"/>
    </row>
    <row r="220" customFormat="false" ht="15" hidden="false" customHeight="false" outlineLevel="0" collapsed="false">
      <c r="A220" s="12"/>
      <c r="B220" s="13"/>
      <c r="C220" s="13"/>
      <c r="D220" s="17"/>
      <c r="E220" s="15"/>
    </row>
    <row r="221" customFormat="false" ht="15" hidden="false" customHeight="false" outlineLevel="0" collapsed="false">
      <c r="A221" s="12"/>
      <c r="B221" s="13"/>
      <c r="C221" s="13"/>
      <c r="D221" s="17"/>
      <c r="E221" s="15"/>
    </row>
    <row r="222" customFormat="false" ht="15" hidden="false" customHeight="false" outlineLevel="0" collapsed="false">
      <c r="A222" s="12"/>
      <c r="B222" s="13"/>
      <c r="C222" s="13"/>
      <c r="D222" s="17"/>
      <c r="E222" s="15"/>
    </row>
    <row r="223" customFormat="false" ht="15" hidden="false" customHeight="false" outlineLevel="0" collapsed="false">
      <c r="A223" s="12"/>
      <c r="B223" s="13"/>
      <c r="C223" s="13"/>
      <c r="D223" s="17"/>
      <c r="E223" s="15"/>
    </row>
    <row r="224" customFormat="false" ht="15" hidden="false" customHeight="false" outlineLevel="0" collapsed="false">
      <c r="A224" s="12"/>
      <c r="B224" s="13"/>
      <c r="C224" s="13"/>
      <c r="D224" s="17"/>
      <c r="E224" s="15"/>
    </row>
    <row r="225" customFormat="false" ht="15" hidden="false" customHeight="false" outlineLevel="0" collapsed="false">
      <c r="A225" s="12"/>
      <c r="B225" s="13"/>
      <c r="C225" s="13"/>
      <c r="D225" s="17"/>
      <c r="E225" s="15"/>
    </row>
    <row r="226" customFormat="false" ht="15" hidden="false" customHeight="false" outlineLevel="0" collapsed="false">
      <c r="A226" s="12"/>
      <c r="B226" s="13"/>
      <c r="C226" s="13"/>
      <c r="D226" s="17"/>
      <c r="E226" s="15"/>
    </row>
    <row r="227" customFormat="false" ht="15" hidden="false" customHeight="false" outlineLevel="0" collapsed="false">
      <c r="A227" s="12"/>
      <c r="B227" s="13"/>
      <c r="C227" s="13"/>
      <c r="D227" s="17"/>
      <c r="E227" s="15"/>
    </row>
    <row r="228" customFormat="false" ht="15" hidden="false" customHeight="false" outlineLevel="0" collapsed="false">
      <c r="A228" s="12"/>
      <c r="B228" s="13"/>
      <c r="C228" s="13"/>
      <c r="D228" s="17"/>
      <c r="E228" s="15"/>
    </row>
    <row r="229" customFormat="false" ht="15" hidden="false" customHeight="false" outlineLevel="0" collapsed="false">
      <c r="A229" s="12"/>
      <c r="B229" s="13"/>
      <c r="C229" s="13"/>
      <c r="D229" s="17"/>
      <c r="E229" s="15"/>
    </row>
    <row r="230" customFormat="false" ht="15" hidden="false" customHeight="false" outlineLevel="0" collapsed="false">
      <c r="A230" s="12"/>
      <c r="B230" s="13"/>
      <c r="C230" s="13"/>
      <c r="D230" s="17"/>
      <c r="E230" s="15"/>
    </row>
    <row r="231" customFormat="false" ht="15" hidden="false" customHeight="false" outlineLevel="0" collapsed="false">
      <c r="A231" s="12"/>
      <c r="B231" s="13"/>
      <c r="C231" s="13"/>
      <c r="D231" s="17"/>
      <c r="E231" s="15"/>
    </row>
    <row r="232" customFormat="false" ht="15" hidden="false" customHeight="false" outlineLevel="0" collapsed="false">
      <c r="A232" s="12"/>
      <c r="B232" s="13"/>
      <c r="C232" s="13"/>
      <c r="D232" s="17"/>
      <c r="E232" s="15"/>
    </row>
    <row r="233" customFormat="false" ht="15" hidden="false" customHeight="false" outlineLevel="0" collapsed="false">
      <c r="A233" s="12"/>
      <c r="B233" s="13"/>
      <c r="C233" s="13"/>
      <c r="D233" s="17"/>
      <c r="E233" s="15"/>
    </row>
    <row r="234" customFormat="false" ht="15" hidden="false" customHeight="false" outlineLevel="0" collapsed="false">
      <c r="A234" s="12"/>
      <c r="B234" s="13"/>
      <c r="C234" s="13"/>
      <c r="D234" s="17"/>
      <c r="E234" s="15"/>
    </row>
    <row r="235" customFormat="false" ht="15" hidden="false" customHeight="false" outlineLevel="0" collapsed="false">
      <c r="A235" s="12"/>
      <c r="B235" s="13"/>
      <c r="C235" s="13"/>
      <c r="D235" s="17"/>
      <c r="E235" s="15"/>
    </row>
    <row r="236" customFormat="false" ht="15" hidden="false" customHeight="false" outlineLevel="0" collapsed="false">
      <c r="A236" s="12"/>
      <c r="B236" s="13"/>
      <c r="C236" s="13"/>
      <c r="D236" s="17"/>
      <c r="E236" s="15"/>
    </row>
    <row r="237" customFormat="false" ht="15" hidden="false" customHeight="false" outlineLevel="0" collapsed="false">
      <c r="A237" s="12"/>
      <c r="B237" s="13"/>
      <c r="C237" s="13"/>
      <c r="D237" s="17"/>
      <c r="E237" s="15"/>
    </row>
    <row r="238" customFormat="false" ht="15" hidden="false" customHeight="false" outlineLevel="0" collapsed="false">
      <c r="A238" s="12"/>
      <c r="B238" s="13"/>
      <c r="C238" s="13"/>
      <c r="D238" s="17"/>
      <c r="E238" s="15"/>
    </row>
    <row r="239" customFormat="false" ht="15" hidden="false" customHeight="false" outlineLevel="0" collapsed="false">
      <c r="A239" s="12"/>
      <c r="B239" s="13"/>
      <c r="C239" s="13"/>
      <c r="D239" s="17"/>
      <c r="E239" s="15"/>
    </row>
    <row r="240" customFormat="false" ht="15" hidden="false" customHeight="false" outlineLevel="0" collapsed="false">
      <c r="A240" s="12"/>
      <c r="B240" s="13"/>
      <c r="C240" s="13"/>
      <c r="D240" s="17"/>
      <c r="E240" s="15"/>
    </row>
    <row r="241" customFormat="false" ht="15" hidden="false" customHeight="false" outlineLevel="0" collapsed="false">
      <c r="A241" s="12"/>
      <c r="B241" s="13"/>
      <c r="C241" s="13"/>
      <c r="D241" s="17"/>
      <c r="E241" s="15"/>
    </row>
    <row r="242" customFormat="false" ht="15" hidden="false" customHeight="false" outlineLevel="0" collapsed="false">
      <c r="A242" s="12"/>
      <c r="B242" s="13"/>
      <c r="C242" s="13"/>
      <c r="D242" s="17"/>
      <c r="E242" s="15"/>
    </row>
    <row r="243" customFormat="false" ht="15" hidden="false" customHeight="false" outlineLevel="0" collapsed="false">
      <c r="A243" s="12"/>
      <c r="B243" s="13"/>
      <c r="C243" s="13"/>
      <c r="D243" s="17"/>
      <c r="E243" s="15"/>
    </row>
    <row r="244" customFormat="false" ht="15" hidden="false" customHeight="false" outlineLevel="0" collapsed="false">
      <c r="A244" s="12"/>
      <c r="B244" s="13"/>
      <c r="C244" s="13"/>
      <c r="D244" s="17"/>
      <c r="E244" s="15"/>
    </row>
    <row r="245" customFormat="false" ht="15" hidden="false" customHeight="false" outlineLevel="0" collapsed="false">
      <c r="A245" s="12"/>
      <c r="B245" s="13"/>
      <c r="C245" s="13"/>
      <c r="D245" s="17"/>
      <c r="E245" s="15"/>
    </row>
    <row r="246" customFormat="false" ht="15" hidden="false" customHeight="false" outlineLevel="0" collapsed="false">
      <c r="A246" s="12"/>
      <c r="B246" s="13"/>
      <c r="C246" s="13"/>
      <c r="D246" s="17"/>
      <c r="E246" s="15"/>
    </row>
    <row r="247" customFormat="false" ht="15" hidden="false" customHeight="false" outlineLevel="0" collapsed="false">
      <c r="A247" s="12"/>
      <c r="B247" s="13"/>
      <c r="C247" s="13"/>
      <c r="D247" s="17"/>
      <c r="E247" s="15"/>
    </row>
    <row r="248" customFormat="false" ht="15" hidden="false" customHeight="false" outlineLevel="0" collapsed="false">
      <c r="A248" s="12"/>
      <c r="B248" s="13"/>
      <c r="C248" s="13"/>
      <c r="D248" s="17"/>
      <c r="E248" s="15"/>
    </row>
    <row r="249" customFormat="false" ht="15" hidden="false" customHeight="false" outlineLevel="0" collapsed="false">
      <c r="A249" s="12"/>
      <c r="B249" s="13"/>
      <c r="C249" s="13"/>
      <c r="D249" s="17"/>
      <c r="E249" s="15"/>
    </row>
    <row r="250" customFormat="false" ht="15" hidden="false" customHeight="false" outlineLevel="0" collapsed="false">
      <c r="A250" s="12"/>
      <c r="B250" s="13"/>
      <c r="C250" s="13"/>
      <c r="D250" s="17"/>
      <c r="E250" s="15"/>
    </row>
    <row r="251" customFormat="false" ht="15" hidden="false" customHeight="false" outlineLevel="0" collapsed="false">
      <c r="A251" s="12"/>
      <c r="B251" s="13"/>
      <c r="C251" s="13"/>
      <c r="D251" s="17"/>
      <c r="E251" s="15"/>
    </row>
    <row r="252" customFormat="false" ht="15" hidden="false" customHeight="false" outlineLevel="0" collapsed="false">
      <c r="A252" s="12"/>
      <c r="B252" s="13"/>
      <c r="C252" s="13"/>
      <c r="D252" s="17"/>
      <c r="E252" s="15"/>
    </row>
    <row r="253" customFormat="false" ht="15" hidden="false" customHeight="false" outlineLevel="0" collapsed="false">
      <c r="A253" s="12"/>
      <c r="B253" s="13"/>
      <c r="C253" s="13"/>
      <c r="D253" s="17"/>
      <c r="E253" s="15"/>
    </row>
    <row r="254" customFormat="false" ht="15" hidden="false" customHeight="false" outlineLevel="0" collapsed="false">
      <c r="A254" s="12"/>
      <c r="B254" s="13"/>
      <c r="C254" s="13"/>
      <c r="D254" s="17"/>
      <c r="E254" s="15"/>
    </row>
    <row r="255" customFormat="false" ht="15" hidden="false" customHeight="false" outlineLevel="0" collapsed="false">
      <c r="A255" s="12"/>
      <c r="B255" s="13"/>
      <c r="C255" s="13"/>
      <c r="D255" s="17"/>
      <c r="E255" s="15"/>
    </row>
    <row r="256" customFormat="false" ht="15" hidden="false" customHeight="false" outlineLevel="0" collapsed="false">
      <c r="A256" s="12"/>
      <c r="B256" s="13"/>
      <c r="C256" s="13"/>
      <c r="D256" s="17"/>
      <c r="E256" s="15"/>
    </row>
    <row r="257" customFormat="false" ht="15" hidden="false" customHeight="false" outlineLevel="0" collapsed="false">
      <c r="A257" s="12"/>
      <c r="B257" s="13"/>
      <c r="C257" s="13"/>
      <c r="D257" s="17"/>
      <c r="E257" s="15"/>
    </row>
    <row r="258" customFormat="false" ht="15" hidden="false" customHeight="false" outlineLevel="0" collapsed="false">
      <c r="A258" s="12"/>
      <c r="B258" s="13"/>
      <c r="C258" s="13"/>
      <c r="D258" s="17"/>
      <c r="E258" s="15"/>
    </row>
    <row r="259" customFormat="false" ht="15" hidden="false" customHeight="false" outlineLevel="0" collapsed="false">
      <c r="A259" s="12"/>
      <c r="B259" s="13"/>
      <c r="C259" s="13"/>
      <c r="D259" s="17"/>
      <c r="E259" s="15"/>
    </row>
    <row r="260" customFormat="false" ht="15" hidden="false" customHeight="false" outlineLevel="0" collapsed="false">
      <c r="A260" s="12"/>
      <c r="B260" s="13"/>
      <c r="C260" s="13"/>
      <c r="D260" s="17"/>
      <c r="E260" s="15"/>
    </row>
    <row r="261" customFormat="false" ht="15" hidden="false" customHeight="false" outlineLevel="0" collapsed="false">
      <c r="A261" s="12"/>
      <c r="B261" s="13"/>
      <c r="C261" s="13"/>
      <c r="D261" s="17"/>
      <c r="E261" s="15"/>
    </row>
    <row r="262" customFormat="false" ht="15" hidden="false" customHeight="false" outlineLevel="0" collapsed="false">
      <c r="A262" s="12"/>
      <c r="B262" s="13"/>
      <c r="C262" s="13"/>
      <c r="D262" s="17"/>
      <c r="E262" s="15"/>
    </row>
    <row r="263" customFormat="false" ht="15" hidden="false" customHeight="false" outlineLevel="0" collapsed="false">
      <c r="A263" s="12"/>
      <c r="B263" s="13"/>
      <c r="C263" s="13"/>
      <c r="D263" s="17"/>
      <c r="E263" s="15"/>
    </row>
    <row r="264" customFormat="false" ht="15" hidden="false" customHeight="false" outlineLevel="0" collapsed="false">
      <c r="A264" s="12"/>
      <c r="B264" s="13"/>
      <c r="C264" s="13"/>
      <c r="D264" s="17"/>
      <c r="E264" s="15"/>
    </row>
    <row r="265" customFormat="false" ht="15" hidden="false" customHeight="false" outlineLevel="0" collapsed="false">
      <c r="A265" s="12"/>
      <c r="B265" s="13"/>
      <c r="C265" s="13"/>
      <c r="D265" s="17"/>
      <c r="E265" s="15"/>
    </row>
    <row r="266" customFormat="false" ht="15" hidden="false" customHeight="false" outlineLevel="0" collapsed="false">
      <c r="A266" s="12"/>
      <c r="B266" s="13"/>
      <c r="C266" s="13"/>
      <c r="D266" s="17"/>
      <c r="E266" s="15"/>
    </row>
    <row r="267" customFormat="false" ht="15" hidden="false" customHeight="false" outlineLevel="0" collapsed="false">
      <c r="A267" s="12"/>
      <c r="B267" s="13"/>
      <c r="C267" s="13"/>
      <c r="D267" s="17"/>
      <c r="E267" s="15"/>
    </row>
    <row r="268" customFormat="false" ht="15" hidden="false" customHeight="false" outlineLevel="0" collapsed="false">
      <c r="A268" s="12"/>
      <c r="B268" s="13"/>
      <c r="C268" s="13"/>
      <c r="D268" s="17"/>
      <c r="E268" s="15"/>
    </row>
    <row r="269" customFormat="false" ht="15" hidden="false" customHeight="false" outlineLevel="0" collapsed="false">
      <c r="A269" s="12"/>
      <c r="B269" s="13"/>
      <c r="C269" s="13"/>
      <c r="D269" s="17"/>
      <c r="E269" s="15"/>
    </row>
    <row r="270" customFormat="false" ht="15" hidden="false" customHeight="false" outlineLevel="0" collapsed="false">
      <c r="A270" s="12"/>
      <c r="B270" s="13"/>
      <c r="C270" s="13"/>
      <c r="D270" s="17"/>
      <c r="E270" s="15"/>
    </row>
    <row r="271" customFormat="false" ht="15" hidden="false" customHeight="false" outlineLevel="0" collapsed="false">
      <c r="A271" s="12"/>
      <c r="B271" s="13"/>
      <c r="C271" s="13"/>
      <c r="D271" s="17"/>
      <c r="E271" s="15"/>
    </row>
    <row r="272" customFormat="false" ht="15" hidden="false" customHeight="false" outlineLevel="0" collapsed="false">
      <c r="A272" s="12"/>
      <c r="B272" s="13"/>
      <c r="C272" s="13"/>
      <c r="D272" s="17"/>
      <c r="E272" s="15"/>
    </row>
    <row r="273" customFormat="false" ht="15" hidden="false" customHeight="false" outlineLevel="0" collapsed="false">
      <c r="A273" s="12"/>
      <c r="B273" s="13"/>
      <c r="C273" s="13"/>
      <c r="D273" s="17"/>
      <c r="E273" s="15"/>
    </row>
    <row r="274" customFormat="false" ht="15" hidden="false" customHeight="false" outlineLevel="0" collapsed="false">
      <c r="A274" s="12"/>
      <c r="B274" s="13"/>
      <c r="C274" s="13"/>
      <c r="D274" s="17"/>
      <c r="E274" s="15"/>
    </row>
    <row r="275" customFormat="false" ht="15" hidden="false" customHeight="false" outlineLevel="0" collapsed="false">
      <c r="A275" s="12"/>
      <c r="B275" s="13"/>
      <c r="C275" s="13"/>
      <c r="D275" s="17"/>
      <c r="E275" s="15"/>
    </row>
    <row r="276" customFormat="false" ht="15" hidden="false" customHeight="false" outlineLevel="0" collapsed="false">
      <c r="A276" s="12"/>
      <c r="B276" s="13"/>
      <c r="C276" s="13"/>
      <c r="D276" s="17"/>
      <c r="E276" s="15"/>
    </row>
    <row r="277" customFormat="false" ht="15" hidden="false" customHeight="false" outlineLevel="0" collapsed="false">
      <c r="A277" s="12"/>
      <c r="B277" s="13"/>
      <c r="C277" s="13"/>
      <c r="D277" s="17"/>
      <c r="E277" s="15"/>
    </row>
    <row r="278" customFormat="false" ht="15" hidden="false" customHeight="false" outlineLevel="0" collapsed="false">
      <c r="A278" s="12"/>
      <c r="B278" s="13"/>
      <c r="C278" s="13"/>
      <c r="D278" s="17"/>
      <c r="E278" s="15"/>
    </row>
    <row r="279" customFormat="false" ht="15" hidden="false" customHeight="false" outlineLevel="0" collapsed="false">
      <c r="A279" s="12"/>
      <c r="B279" s="13"/>
      <c r="C279" s="13"/>
      <c r="D279" s="17"/>
      <c r="E279" s="15"/>
    </row>
    <row r="280" customFormat="false" ht="15" hidden="false" customHeight="false" outlineLevel="0" collapsed="false">
      <c r="A280" s="12"/>
      <c r="B280" s="13"/>
      <c r="C280" s="13"/>
      <c r="D280" s="17"/>
      <c r="E280" s="15"/>
    </row>
    <row r="281" customFormat="false" ht="15" hidden="false" customHeight="false" outlineLevel="0" collapsed="false">
      <c r="A281" s="12"/>
      <c r="B281" s="13"/>
      <c r="C281" s="13"/>
      <c r="D281" s="17"/>
      <c r="E281" s="15"/>
    </row>
    <row r="282" customFormat="false" ht="15" hidden="false" customHeight="false" outlineLevel="0" collapsed="false">
      <c r="A282" s="12"/>
      <c r="B282" s="13"/>
      <c r="C282" s="13"/>
      <c r="D282" s="17"/>
      <c r="E282" s="15"/>
    </row>
    <row r="283" customFormat="false" ht="15" hidden="false" customHeight="false" outlineLevel="0" collapsed="false">
      <c r="A283" s="12"/>
      <c r="B283" s="13"/>
      <c r="C283" s="13"/>
      <c r="D283" s="17"/>
      <c r="E283" s="15"/>
    </row>
    <row r="284" customFormat="false" ht="15" hidden="false" customHeight="false" outlineLevel="0" collapsed="false">
      <c r="A284" s="12"/>
      <c r="B284" s="13"/>
      <c r="C284" s="13"/>
      <c r="D284" s="17"/>
      <c r="E284" s="15"/>
    </row>
    <row r="285" customFormat="false" ht="15" hidden="false" customHeight="false" outlineLevel="0" collapsed="false">
      <c r="A285" s="12"/>
      <c r="B285" s="13"/>
      <c r="C285" s="13"/>
      <c r="D285" s="17"/>
      <c r="E285" s="15"/>
    </row>
    <row r="286" customFormat="false" ht="15" hidden="false" customHeight="false" outlineLevel="0" collapsed="false">
      <c r="A286" s="12"/>
      <c r="B286" s="13"/>
      <c r="C286" s="13"/>
      <c r="D286" s="17"/>
      <c r="E286" s="15"/>
    </row>
    <row r="287" customFormat="false" ht="15" hidden="false" customHeight="false" outlineLevel="0" collapsed="false">
      <c r="A287" s="12"/>
      <c r="B287" s="13"/>
      <c r="C287" s="13"/>
      <c r="D287" s="17"/>
      <c r="E287" s="15"/>
    </row>
    <row r="288" customFormat="false" ht="15" hidden="false" customHeight="false" outlineLevel="0" collapsed="false">
      <c r="A288" s="12"/>
      <c r="B288" s="13"/>
      <c r="C288" s="13"/>
      <c r="D288" s="17"/>
      <c r="E288" s="15"/>
    </row>
    <row r="289" customFormat="false" ht="15" hidden="false" customHeight="false" outlineLevel="0" collapsed="false">
      <c r="A289" s="12"/>
      <c r="B289" s="13"/>
      <c r="C289" s="13"/>
      <c r="D289" s="17"/>
      <c r="E289" s="15"/>
    </row>
    <row r="290" customFormat="false" ht="15" hidden="false" customHeight="false" outlineLevel="0" collapsed="false">
      <c r="A290" s="12"/>
      <c r="B290" s="13"/>
      <c r="C290" s="13"/>
      <c r="D290" s="17"/>
      <c r="E290" s="15"/>
    </row>
    <row r="291" customFormat="false" ht="15" hidden="false" customHeight="false" outlineLevel="0" collapsed="false">
      <c r="A291" s="12"/>
      <c r="B291" s="13"/>
      <c r="C291" s="13"/>
      <c r="D291" s="17"/>
      <c r="E291" s="15"/>
    </row>
    <row r="292" customFormat="false" ht="15" hidden="false" customHeight="false" outlineLevel="0" collapsed="false">
      <c r="A292" s="12"/>
      <c r="B292" s="13"/>
      <c r="C292" s="13"/>
      <c r="D292" s="17"/>
      <c r="E292" s="15"/>
    </row>
    <row r="293" customFormat="false" ht="15" hidden="false" customHeight="false" outlineLevel="0" collapsed="false">
      <c r="A293" s="12"/>
      <c r="B293" s="13"/>
      <c r="C293" s="13"/>
      <c r="D293" s="17"/>
      <c r="E293" s="15"/>
    </row>
    <row r="294" customFormat="false" ht="15" hidden="false" customHeight="false" outlineLevel="0" collapsed="false">
      <c r="A294" s="12"/>
      <c r="B294" s="13"/>
      <c r="C294" s="13"/>
      <c r="D294" s="17"/>
      <c r="E294" s="15"/>
    </row>
    <row r="295" customFormat="false" ht="15" hidden="false" customHeight="false" outlineLevel="0" collapsed="false">
      <c r="A295" s="12"/>
      <c r="B295" s="13"/>
      <c r="C295" s="13"/>
      <c r="D295" s="17"/>
      <c r="E295" s="15"/>
    </row>
    <row r="296" customFormat="false" ht="15" hidden="false" customHeight="false" outlineLevel="0" collapsed="false">
      <c r="A296" s="12"/>
      <c r="B296" s="13"/>
      <c r="C296" s="13"/>
      <c r="D296" s="17"/>
      <c r="E296" s="15"/>
    </row>
    <row r="297" customFormat="false" ht="15" hidden="false" customHeight="false" outlineLevel="0" collapsed="false">
      <c r="A297" s="12"/>
      <c r="B297" s="13"/>
      <c r="C297" s="13"/>
      <c r="D297" s="17"/>
      <c r="E297" s="15"/>
    </row>
    <row r="298" customFormat="false" ht="15" hidden="false" customHeight="false" outlineLevel="0" collapsed="false">
      <c r="A298" s="12"/>
      <c r="B298" s="13"/>
      <c r="C298" s="13"/>
      <c r="D298" s="17"/>
      <c r="E298" s="15"/>
    </row>
    <row r="299" customFormat="false" ht="15" hidden="false" customHeight="false" outlineLevel="0" collapsed="false">
      <c r="A299" s="12"/>
      <c r="B299" s="13"/>
      <c r="C299" s="13"/>
      <c r="D299" s="17"/>
      <c r="E299" s="15"/>
    </row>
    <row r="300" customFormat="false" ht="15" hidden="false" customHeight="false" outlineLevel="0" collapsed="false">
      <c r="A300" s="12"/>
      <c r="B300" s="13"/>
      <c r="C300" s="13"/>
      <c r="D300" s="17"/>
      <c r="E300" s="15"/>
    </row>
    <row r="301" customFormat="false" ht="15" hidden="false" customHeight="false" outlineLevel="0" collapsed="false">
      <c r="A301" s="12"/>
      <c r="B301" s="13"/>
      <c r="C301" s="13"/>
      <c r="D301" s="17"/>
      <c r="E301" s="15"/>
    </row>
    <row r="302" customFormat="false" ht="15" hidden="false" customHeight="false" outlineLevel="0" collapsed="false">
      <c r="A302" s="12"/>
      <c r="B302" s="13"/>
      <c r="C302" s="13"/>
      <c r="D302" s="17"/>
      <c r="E302" s="15"/>
    </row>
    <row r="303" customFormat="false" ht="15" hidden="false" customHeight="false" outlineLevel="0" collapsed="false">
      <c r="A303" s="12"/>
      <c r="B303" s="13"/>
      <c r="C303" s="13"/>
      <c r="D303" s="17"/>
      <c r="E303" s="15"/>
    </row>
    <row r="304" customFormat="false" ht="15" hidden="false" customHeight="false" outlineLevel="0" collapsed="false">
      <c r="A304" s="12"/>
      <c r="B304" s="13"/>
      <c r="C304" s="13"/>
      <c r="D304" s="17"/>
      <c r="E304" s="15"/>
    </row>
    <row r="305" customFormat="false" ht="15" hidden="false" customHeight="false" outlineLevel="0" collapsed="false">
      <c r="A305" s="12"/>
      <c r="B305" s="13"/>
      <c r="C305" s="13"/>
      <c r="D305" s="17"/>
      <c r="E305" s="15"/>
    </row>
    <row r="306" customFormat="false" ht="15" hidden="false" customHeight="false" outlineLevel="0" collapsed="false">
      <c r="A306" s="12"/>
      <c r="B306" s="13"/>
      <c r="C306" s="13"/>
      <c r="D306" s="17"/>
      <c r="E306" s="15"/>
    </row>
    <row r="307" customFormat="false" ht="15" hidden="false" customHeight="false" outlineLevel="0" collapsed="false">
      <c r="A307" s="12"/>
      <c r="B307" s="13"/>
      <c r="C307" s="13"/>
      <c r="D307" s="17"/>
      <c r="E307" s="15"/>
    </row>
    <row r="308" customFormat="false" ht="15" hidden="false" customHeight="false" outlineLevel="0" collapsed="false">
      <c r="A308" s="12"/>
      <c r="B308" s="13"/>
      <c r="C308" s="13"/>
      <c r="D308" s="17"/>
      <c r="E308" s="15"/>
    </row>
    <row r="309" customFormat="false" ht="15" hidden="false" customHeight="false" outlineLevel="0" collapsed="false">
      <c r="A309" s="12"/>
      <c r="B309" s="13"/>
      <c r="C309" s="13"/>
      <c r="D309" s="17"/>
      <c r="E309" s="15"/>
    </row>
    <row r="310" customFormat="false" ht="15" hidden="false" customHeight="false" outlineLevel="0" collapsed="false">
      <c r="A310" s="12"/>
      <c r="B310" s="13"/>
      <c r="C310" s="13"/>
      <c r="D310" s="17"/>
      <c r="E310" s="15"/>
    </row>
    <row r="311" customFormat="false" ht="15" hidden="false" customHeight="false" outlineLevel="0" collapsed="false">
      <c r="A311" s="12"/>
      <c r="B311" s="13"/>
      <c r="C311" s="13"/>
      <c r="D311" s="17"/>
      <c r="E311" s="15"/>
    </row>
    <row r="312" customFormat="false" ht="15" hidden="false" customHeight="false" outlineLevel="0" collapsed="false">
      <c r="A312" s="12"/>
      <c r="B312" s="13"/>
      <c r="C312" s="13"/>
      <c r="D312" s="17"/>
      <c r="E312" s="15"/>
    </row>
    <row r="313" customFormat="false" ht="15" hidden="false" customHeight="false" outlineLevel="0" collapsed="false">
      <c r="A313" s="12"/>
      <c r="B313" s="13"/>
      <c r="C313" s="13"/>
      <c r="D313" s="17"/>
      <c r="E313" s="15"/>
    </row>
    <row r="314" customFormat="false" ht="15" hidden="false" customHeight="false" outlineLevel="0" collapsed="false">
      <c r="A314" s="12"/>
      <c r="B314" s="13"/>
      <c r="C314" s="13"/>
      <c r="D314" s="17"/>
      <c r="E314" s="15"/>
    </row>
    <row r="315" customFormat="false" ht="15" hidden="false" customHeight="false" outlineLevel="0" collapsed="false">
      <c r="A315" s="12"/>
      <c r="B315" s="13"/>
      <c r="C315" s="13"/>
      <c r="D315" s="17"/>
      <c r="E315" s="15"/>
    </row>
    <row r="316" customFormat="false" ht="15" hidden="false" customHeight="false" outlineLevel="0" collapsed="false">
      <c r="A316" s="12"/>
      <c r="B316" s="13"/>
      <c r="C316" s="13"/>
      <c r="D316" s="17"/>
      <c r="E316" s="15"/>
    </row>
    <row r="317" customFormat="false" ht="15" hidden="false" customHeight="false" outlineLevel="0" collapsed="false">
      <c r="A317" s="12"/>
      <c r="B317" s="13"/>
      <c r="C317" s="13"/>
      <c r="D317" s="17"/>
      <c r="E317" s="15"/>
    </row>
    <row r="318" customFormat="false" ht="15" hidden="false" customHeight="false" outlineLevel="0" collapsed="false">
      <c r="A318" s="12"/>
      <c r="B318" s="13"/>
      <c r="C318" s="13"/>
      <c r="D318" s="17"/>
      <c r="E318" s="15"/>
    </row>
    <row r="319" customFormat="false" ht="15" hidden="false" customHeight="false" outlineLevel="0" collapsed="false">
      <c r="A319" s="12"/>
      <c r="B319" s="13"/>
      <c r="C319" s="13"/>
      <c r="D319" s="17"/>
      <c r="E319" s="15"/>
    </row>
    <row r="320" customFormat="false" ht="15" hidden="false" customHeight="false" outlineLevel="0" collapsed="false">
      <c r="A320" s="12"/>
      <c r="B320" s="13"/>
      <c r="C320" s="13"/>
      <c r="D320" s="17"/>
      <c r="E320" s="15"/>
    </row>
    <row r="321" customFormat="false" ht="15" hidden="false" customHeight="false" outlineLevel="0" collapsed="false">
      <c r="A321" s="12"/>
      <c r="B321" s="13"/>
      <c r="C321" s="13"/>
      <c r="D321" s="17"/>
      <c r="E321" s="15"/>
    </row>
    <row r="322" customFormat="false" ht="15" hidden="false" customHeight="false" outlineLevel="0" collapsed="false">
      <c r="A322" s="12"/>
      <c r="B322" s="13"/>
      <c r="C322" s="13"/>
      <c r="D322" s="17"/>
      <c r="E322" s="15"/>
    </row>
    <row r="323" customFormat="false" ht="15" hidden="false" customHeight="false" outlineLevel="0" collapsed="false">
      <c r="A323" s="12"/>
      <c r="B323" s="13"/>
      <c r="C323" s="13"/>
      <c r="D323" s="17"/>
      <c r="E323" s="15"/>
    </row>
    <row r="324" customFormat="false" ht="15" hidden="false" customHeight="false" outlineLevel="0" collapsed="false">
      <c r="A324" s="12"/>
      <c r="B324" s="13"/>
      <c r="C324" s="13"/>
      <c r="D324" s="17"/>
      <c r="E324" s="15"/>
    </row>
    <row r="325" customFormat="false" ht="15" hidden="false" customHeight="false" outlineLevel="0" collapsed="false">
      <c r="A325" s="12"/>
      <c r="B325" s="13"/>
      <c r="C325" s="13"/>
      <c r="D325" s="17"/>
      <c r="E325" s="15"/>
    </row>
    <row r="326" customFormat="false" ht="15" hidden="false" customHeight="false" outlineLevel="0" collapsed="false">
      <c r="A326" s="12"/>
      <c r="B326" s="13"/>
      <c r="C326" s="13"/>
      <c r="D326" s="17"/>
      <c r="E326" s="15"/>
    </row>
    <row r="327" customFormat="false" ht="15" hidden="false" customHeight="false" outlineLevel="0" collapsed="false">
      <c r="A327" s="12"/>
      <c r="B327" s="13"/>
      <c r="C327" s="13"/>
      <c r="D327" s="17"/>
      <c r="E327" s="15"/>
    </row>
    <row r="328" customFormat="false" ht="15" hidden="false" customHeight="false" outlineLevel="0" collapsed="false">
      <c r="A328" s="12"/>
      <c r="B328" s="13"/>
      <c r="C328" s="13"/>
      <c r="D328" s="17"/>
      <c r="E328" s="15"/>
    </row>
    <row r="329" customFormat="false" ht="15" hidden="false" customHeight="false" outlineLevel="0" collapsed="false">
      <c r="A329" s="12"/>
      <c r="B329" s="13"/>
      <c r="C329" s="13"/>
      <c r="D329" s="17"/>
      <c r="E329" s="15"/>
    </row>
    <row r="330" customFormat="false" ht="15" hidden="false" customHeight="false" outlineLevel="0" collapsed="false">
      <c r="A330" s="12"/>
      <c r="B330" s="13"/>
      <c r="C330" s="13"/>
      <c r="D330" s="17"/>
      <c r="E330" s="15"/>
    </row>
    <row r="331" customFormat="false" ht="15" hidden="false" customHeight="false" outlineLevel="0" collapsed="false">
      <c r="A331" s="12"/>
      <c r="B331" s="13"/>
      <c r="C331" s="13"/>
      <c r="D331" s="17"/>
      <c r="E331" s="15"/>
    </row>
    <row r="332" customFormat="false" ht="15" hidden="false" customHeight="false" outlineLevel="0" collapsed="false">
      <c r="A332" s="12"/>
      <c r="B332" s="13"/>
      <c r="C332" s="13"/>
      <c r="D332" s="17"/>
      <c r="E332" s="15"/>
    </row>
    <row r="333" customFormat="false" ht="15" hidden="false" customHeight="false" outlineLevel="0" collapsed="false">
      <c r="A333" s="12"/>
      <c r="B333" s="13"/>
      <c r="C333" s="13"/>
      <c r="D333" s="17"/>
      <c r="E333" s="15"/>
    </row>
    <row r="334" customFormat="false" ht="15" hidden="false" customHeight="false" outlineLevel="0" collapsed="false">
      <c r="A334" s="12"/>
      <c r="B334" s="13"/>
      <c r="C334" s="13"/>
      <c r="D334" s="17"/>
      <c r="E334" s="15"/>
    </row>
    <row r="335" customFormat="false" ht="15" hidden="false" customHeight="false" outlineLevel="0" collapsed="false">
      <c r="A335" s="12"/>
      <c r="B335" s="13"/>
      <c r="C335" s="13"/>
      <c r="D335" s="17"/>
      <c r="E335" s="15"/>
    </row>
    <row r="336" customFormat="false" ht="15" hidden="false" customHeight="false" outlineLevel="0" collapsed="false">
      <c r="A336" s="12"/>
      <c r="B336" s="13"/>
      <c r="C336" s="13"/>
      <c r="D336" s="17"/>
      <c r="E336" s="15"/>
    </row>
    <row r="337" customFormat="false" ht="15" hidden="false" customHeight="false" outlineLevel="0" collapsed="false">
      <c r="A337" s="12"/>
      <c r="B337" s="13"/>
      <c r="C337" s="13"/>
      <c r="D337" s="17"/>
      <c r="E337" s="15"/>
    </row>
    <row r="338" customFormat="false" ht="15" hidden="false" customHeight="false" outlineLevel="0" collapsed="false">
      <c r="A338" s="12"/>
      <c r="B338" s="13"/>
      <c r="C338" s="13"/>
      <c r="D338" s="17"/>
      <c r="E338" s="15"/>
    </row>
    <row r="339" customFormat="false" ht="15" hidden="false" customHeight="false" outlineLevel="0" collapsed="false">
      <c r="A339" s="12"/>
      <c r="B339" s="13"/>
      <c r="C339" s="13"/>
      <c r="D339" s="17"/>
      <c r="E339" s="15"/>
    </row>
    <row r="340" customFormat="false" ht="15" hidden="false" customHeight="false" outlineLevel="0" collapsed="false">
      <c r="A340" s="12"/>
      <c r="B340" s="13"/>
      <c r="C340" s="13"/>
      <c r="D340" s="17"/>
      <c r="E340" s="15"/>
    </row>
    <row r="341" customFormat="false" ht="15" hidden="false" customHeight="false" outlineLevel="0" collapsed="false">
      <c r="A341" s="12"/>
      <c r="B341" s="13"/>
      <c r="C341" s="13"/>
      <c r="D341" s="17"/>
      <c r="E341" s="15"/>
    </row>
    <row r="342" customFormat="false" ht="15" hidden="false" customHeight="false" outlineLevel="0" collapsed="false">
      <c r="A342" s="12"/>
      <c r="B342" s="13"/>
      <c r="C342" s="13"/>
      <c r="D342" s="17"/>
      <c r="E342" s="15"/>
    </row>
    <row r="343" customFormat="false" ht="15" hidden="false" customHeight="false" outlineLevel="0" collapsed="false">
      <c r="A343" s="12"/>
      <c r="B343" s="13"/>
      <c r="C343" s="13"/>
      <c r="D343" s="17"/>
      <c r="E343" s="15"/>
    </row>
    <row r="344" customFormat="false" ht="15" hidden="false" customHeight="false" outlineLevel="0" collapsed="false">
      <c r="A344" s="12"/>
      <c r="B344" s="13"/>
      <c r="C344" s="13"/>
      <c r="D344" s="17"/>
      <c r="E344" s="15"/>
    </row>
    <row r="345" customFormat="false" ht="15" hidden="false" customHeight="false" outlineLevel="0" collapsed="false">
      <c r="A345" s="12"/>
      <c r="B345" s="13"/>
      <c r="C345" s="13"/>
      <c r="D345" s="17"/>
      <c r="E345" s="15"/>
    </row>
    <row r="346" customFormat="false" ht="15" hidden="false" customHeight="false" outlineLevel="0" collapsed="false">
      <c r="A346" s="12"/>
      <c r="B346" s="13"/>
      <c r="C346" s="13"/>
      <c r="D346" s="17"/>
      <c r="E346" s="15"/>
    </row>
    <row r="347" customFormat="false" ht="15" hidden="false" customHeight="false" outlineLevel="0" collapsed="false">
      <c r="A347" s="12"/>
      <c r="B347" s="13"/>
      <c r="C347" s="13"/>
      <c r="D347" s="17"/>
      <c r="E347" s="15"/>
    </row>
    <row r="348" customFormat="false" ht="15" hidden="false" customHeight="false" outlineLevel="0" collapsed="false">
      <c r="A348" s="12"/>
      <c r="B348" s="13"/>
      <c r="C348" s="13"/>
      <c r="D348" s="17"/>
      <c r="E348" s="15"/>
    </row>
    <row r="349" customFormat="false" ht="15" hidden="false" customHeight="false" outlineLevel="0" collapsed="false">
      <c r="A349" s="12"/>
      <c r="B349" s="13"/>
      <c r="C349" s="13"/>
      <c r="D349" s="17"/>
      <c r="E349" s="15"/>
    </row>
    <row r="350" customFormat="false" ht="15" hidden="false" customHeight="false" outlineLevel="0" collapsed="false">
      <c r="A350" s="12"/>
      <c r="B350" s="13"/>
      <c r="C350" s="13"/>
      <c r="D350" s="17"/>
      <c r="E350" s="15"/>
    </row>
    <row r="351" customFormat="false" ht="15" hidden="false" customHeight="false" outlineLevel="0" collapsed="false">
      <c r="A351" s="12"/>
      <c r="B351" s="13"/>
      <c r="C351" s="13"/>
      <c r="D351" s="17"/>
      <c r="E351" s="15"/>
    </row>
    <row r="352" customFormat="false" ht="15" hidden="false" customHeight="false" outlineLevel="0" collapsed="false">
      <c r="A352" s="12"/>
      <c r="B352" s="13"/>
      <c r="C352" s="13"/>
      <c r="D352" s="17"/>
      <c r="E352" s="15"/>
    </row>
    <row r="353" customFormat="false" ht="15" hidden="false" customHeight="false" outlineLevel="0" collapsed="false">
      <c r="A353" s="12"/>
      <c r="B353" s="13"/>
      <c r="C353" s="13"/>
      <c r="D353" s="17"/>
      <c r="E353" s="15"/>
    </row>
    <row r="354" customFormat="false" ht="15" hidden="false" customHeight="false" outlineLevel="0" collapsed="false">
      <c r="A354" s="12"/>
      <c r="B354" s="13"/>
      <c r="C354" s="13"/>
      <c r="D354" s="17"/>
      <c r="E354" s="15"/>
    </row>
    <row r="355" customFormat="false" ht="15" hidden="false" customHeight="false" outlineLevel="0" collapsed="false">
      <c r="A355" s="12"/>
      <c r="B355" s="13"/>
      <c r="C355" s="13"/>
      <c r="D355" s="17"/>
      <c r="E355" s="15"/>
    </row>
    <row r="356" customFormat="false" ht="15" hidden="false" customHeight="false" outlineLevel="0" collapsed="false">
      <c r="A356" s="12"/>
      <c r="B356" s="13"/>
      <c r="C356" s="13"/>
      <c r="D356" s="17"/>
      <c r="E356" s="15"/>
    </row>
    <row r="357" customFormat="false" ht="15" hidden="false" customHeight="false" outlineLevel="0" collapsed="false">
      <c r="A357" s="12"/>
      <c r="B357" s="13"/>
      <c r="C357" s="13"/>
      <c r="D357" s="17"/>
      <c r="E357" s="15"/>
    </row>
    <row r="358" customFormat="false" ht="15" hidden="false" customHeight="false" outlineLevel="0" collapsed="false">
      <c r="A358" s="12"/>
      <c r="B358" s="13"/>
      <c r="C358" s="13"/>
      <c r="D358" s="17"/>
      <c r="E358" s="15"/>
    </row>
    <row r="359" customFormat="false" ht="15" hidden="false" customHeight="false" outlineLevel="0" collapsed="false">
      <c r="A359" s="12"/>
      <c r="B359" s="13"/>
      <c r="C359" s="13"/>
      <c r="D359" s="17"/>
      <c r="E359" s="15"/>
    </row>
    <row r="360" customFormat="false" ht="15" hidden="false" customHeight="false" outlineLevel="0" collapsed="false">
      <c r="A360" s="12"/>
      <c r="B360" s="13"/>
      <c r="C360" s="13"/>
      <c r="D360" s="17"/>
      <c r="E360" s="15"/>
    </row>
    <row r="361" customFormat="false" ht="15" hidden="false" customHeight="false" outlineLevel="0" collapsed="false">
      <c r="A361" s="12"/>
      <c r="B361" s="13"/>
      <c r="C361" s="13"/>
      <c r="D361" s="17"/>
      <c r="E361" s="15"/>
    </row>
    <row r="362" customFormat="false" ht="15" hidden="false" customHeight="false" outlineLevel="0" collapsed="false">
      <c r="A362" s="12"/>
      <c r="B362" s="13"/>
      <c r="C362" s="13"/>
      <c r="D362" s="17"/>
      <c r="E362" s="15"/>
    </row>
    <row r="363" customFormat="false" ht="15" hidden="false" customHeight="false" outlineLevel="0" collapsed="false">
      <c r="A363" s="12"/>
      <c r="B363" s="13"/>
      <c r="C363" s="13"/>
      <c r="D363" s="17"/>
      <c r="E363" s="15"/>
    </row>
    <row r="364" customFormat="false" ht="15" hidden="false" customHeight="false" outlineLevel="0" collapsed="false">
      <c r="A364" s="12"/>
      <c r="B364" s="13"/>
      <c r="C364" s="13"/>
      <c r="D364" s="17"/>
      <c r="E364" s="15"/>
    </row>
    <row r="365" customFormat="false" ht="15" hidden="false" customHeight="false" outlineLevel="0" collapsed="false">
      <c r="A365" s="12"/>
      <c r="B365" s="13"/>
      <c r="C365" s="13"/>
      <c r="D365" s="17"/>
      <c r="E365" s="15"/>
    </row>
    <row r="366" customFormat="false" ht="15" hidden="false" customHeight="false" outlineLevel="0" collapsed="false">
      <c r="A366" s="12"/>
      <c r="B366" s="13"/>
      <c r="C366" s="13"/>
      <c r="D366" s="17"/>
      <c r="E366" s="15"/>
    </row>
    <row r="367" customFormat="false" ht="15" hidden="false" customHeight="false" outlineLevel="0" collapsed="false">
      <c r="A367" s="12"/>
      <c r="B367" s="13"/>
      <c r="C367" s="13"/>
      <c r="D367" s="17"/>
      <c r="E367" s="15"/>
    </row>
    <row r="368" customFormat="false" ht="15" hidden="false" customHeight="false" outlineLevel="0" collapsed="false">
      <c r="A368" s="12"/>
      <c r="B368" s="13"/>
      <c r="C368" s="13"/>
      <c r="D368" s="17"/>
      <c r="E368" s="15"/>
    </row>
    <row r="369" customFormat="false" ht="15" hidden="false" customHeight="false" outlineLevel="0" collapsed="false">
      <c r="A369" s="12"/>
      <c r="B369" s="13"/>
      <c r="C369" s="13"/>
      <c r="D369" s="17"/>
      <c r="E369" s="15"/>
    </row>
    <row r="370" customFormat="false" ht="15" hidden="false" customHeight="false" outlineLevel="0" collapsed="false">
      <c r="A370" s="12"/>
      <c r="B370" s="13"/>
      <c r="C370" s="13"/>
      <c r="D370" s="17"/>
      <c r="E370" s="15"/>
    </row>
    <row r="371" customFormat="false" ht="15" hidden="false" customHeight="false" outlineLevel="0" collapsed="false">
      <c r="A371" s="12"/>
      <c r="B371" s="13"/>
      <c r="C371" s="13"/>
      <c r="D371" s="17"/>
      <c r="E371" s="15"/>
    </row>
    <row r="372" customFormat="false" ht="15" hidden="false" customHeight="false" outlineLevel="0" collapsed="false">
      <c r="A372" s="12"/>
      <c r="B372" s="13"/>
      <c r="C372" s="13"/>
      <c r="D372" s="17"/>
      <c r="E372" s="15"/>
    </row>
    <row r="373" customFormat="false" ht="15" hidden="false" customHeight="false" outlineLevel="0" collapsed="false">
      <c r="A373" s="12"/>
      <c r="B373" s="13"/>
      <c r="C373" s="13"/>
      <c r="D373" s="17"/>
      <c r="E373" s="15"/>
    </row>
    <row r="374" customFormat="false" ht="15" hidden="false" customHeight="false" outlineLevel="0" collapsed="false">
      <c r="A374" s="12"/>
      <c r="B374" s="13"/>
      <c r="C374" s="13"/>
      <c r="D374" s="17"/>
      <c r="E374" s="15"/>
    </row>
    <row r="375" customFormat="false" ht="15" hidden="false" customHeight="false" outlineLevel="0" collapsed="false">
      <c r="A375" s="12"/>
      <c r="B375" s="13"/>
      <c r="C375" s="13"/>
      <c r="D375" s="17"/>
      <c r="E375" s="15"/>
    </row>
    <row r="376" customFormat="false" ht="15" hidden="false" customHeight="false" outlineLevel="0" collapsed="false">
      <c r="A376" s="12"/>
      <c r="B376" s="13"/>
      <c r="C376" s="13"/>
      <c r="D376" s="17"/>
      <c r="E376" s="15"/>
    </row>
    <row r="377" customFormat="false" ht="15" hidden="false" customHeight="false" outlineLevel="0" collapsed="false">
      <c r="A377" s="12"/>
      <c r="B377" s="13"/>
      <c r="C377" s="13"/>
      <c r="D377" s="17"/>
      <c r="E377" s="15"/>
    </row>
    <row r="378" customFormat="false" ht="15" hidden="false" customHeight="false" outlineLevel="0" collapsed="false">
      <c r="A378" s="12"/>
      <c r="B378" s="13"/>
      <c r="C378" s="13"/>
      <c r="D378" s="17"/>
      <c r="E378" s="15"/>
    </row>
    <row r="379" customFormat="false" ht="15" hidden="false" customHeight="false" outlineLevel="0" collapsed="false">
      <c r="A379" s="12"/>
      <c r="B379" s="13"/>
      <c r="C379" s="13"/>
      <c r="D379" s="17"/>
      <c r="E379" s="15"/>
    </row>
    <row r="380" customFormat="false" ht="15" hidden="false" customHeight="false" outlineLevel="0" collapsed="false">
      <c r="A380" s="12"/>
      <c r="B380" s="13"/>
      <c r="C380" s="13"/>
      <c r="D380" s="17"/>
      <c r="E380" s="15"/>
    </row>
    <row r="381" customFormat="false" ht="15" hidden="false" customHeight="false" outlineLevel="0" collapsed="false">
      <c r="A381" s="12"/>
      <c r="B381" s="13"/>
      <c r="C381" s="13"/>
      <c r="D381" s="17"/>
      <c r="E381" s="15"/>
    </row>
    <row r="382" customFormat="false" ht="15" hidden="false" customHeight="false" outlineLevel="0" collapsed="false">
      <c r="A382" s="12"/>
      <c r="B382" s="13"/>
      <c r="C382" s="13"/>
      <c r="D382" s="17"/>
      <c r="E382" s="15"/>
    </row>
    <row r="383" customFormat="false" ht="15" hidden="false" customHeight="false" outlineLevel="0" collapsed="false">
      <c r="A383" s="12"/>
      <c r="B383" s="13"/>
      <c r="C383" s="13"/>
      <c r="D383" s="17"/>
      <c r="E383" s="15"/>
    </row>
    <row r="384" customFormat="false" ht="15" hidden="false" customHeight="false" outlineLevel="0" collapsed="false">
      <c r="A384" s="12"/>
      <c r="B384" s="13"/>
      <c r="C384" s="13"/>
      <c r="D384" s="17"/>
      <c r="E384" s="15"/>
    </row>
    <row r="385" customFormat="false" ht="15" hidden="false" customHeight="false" outlineLevel="0" collapsed="false">
      <c r="A385" s="12"/>
      <c r="B385" s="13"/>
      <c r="C385" s="13"/>
      <c r="D385" s="17"/>
      <c r="E385" s="15"/>
    </row>
    <row r="386" customFormat="false" ht="15" hidden="false" customHeight="false" outlineLevel="0" collapsed="false">
      <c r="A386" s="12"/>
      <c r="B386" s="13"/>
      <c r="C386" s="13"/>
      <c r="D386" s="17"/>
      <c r="E386" s="15"/>
    </row>
    <row r="387" customFormat="false" ht="15" hidden="false" customHeight="false" outlineLevel="0" collapsed="false">
      <c r="A387" s="12"/>
      <c r="B387" s="13"/>
      <c r="C387" s="13"/>
      <c r="D387" s="17"/>
      <c r="E387" s="15"/>
    </row>
    <row r="388" customFormat="false" ht="15" hidden="false" customHeight="false" outlineLevel="0" collapsed="false">
      <c r="A388" s="12"/>
      <c r="B388" s="13"/>
      <c r="C388" s="13"/>
      <c r="D388" s="17"/>
      <c r="E388" s="15"/>
    </row>
    <row r="389" customFormat="false" ht="15" hidden="false" customHeight="false" outlineLevel="0" collapsed="false">
      <c r="A389" s="12"/>
      <c r="B389" s="13"/>
      <c r="C389" s="13"/>
      <c r="D389" s="17"/>
      <c r="E389" s="15"/>
    </row>
    <row r="390" customFormat="false" ht="15" hidden="false" customHeight="false" outlineLevel="0" collapsed="false">
      <c r="A390" s="12"/>
      <c r="B390" s="13"/>
      <c r="C390" s="13"/>
      <c r="D390" s="17"/>
      <c r="E390" s="15"/>
    </row>
    <row r="391" customFormat="false" ht="15" hidden="false" customHeight="false" outlineLevel="0" collapsed="false">
      <c r="A391" s="12"/>
      <c r="B391" s="13"/>
      <c r="C391" s="13"/>
      <c r="D391" s="17"/>
      <c r="E391" s="15"/>
    </row>
    <row r="392" customFormat="false" ht="15" hidden="false" customHeight="false" outlineLevel="0" collapsed="false">
      <c r="A392" s="12"/>
      <c r="B392" s="13"/>
      <c r="C392" s="13"/>
      <c r="D392" s="17"/>
      <c r="E392" s="15"/>
    </row>
    <row r="393" customFormat="false" ht="15" hidden="false" customHeight="false" outlineLevel="0" collapsed="false">
      <c r="A393" s="12"/>
      <c r="B393" s="13"/>
      <c r="C393" s="13"/>
      <c r="D393" s="17"/>
      <c r="E393" s="15"/>
    </row>
    <row r="394" customFormat="false" ht="15" hidden="false" customHeight="false" outlineLevel="0" collapsed="false">
      <c r="A394" s="12"/>
      <c r="B394" s="13"/>
      <c r="C394" s="13"/>
      <c r="D394" s="17"/>
      <c r="E394" s="15"/>
    </row>
    <row r="395" customFormat="false" ht="15" hidden="false" customHeight="false" outlineLevel="0" collapsed="false">
      <c r="A395" s="12"/>
      <c r="B395" s="13"/>
      <c r="C395" s="13"/>
      <c r="D395" s="17"/>
      <c r="E395" s="15"/>
    </row>
    <row r="396" customFormat="false" ht="15" hidden="false" customHeight="false" outlineLevel="0" collapsed="false">
      <c r="A396" s="12"/>
      <c r="B396" s="13"/>
      <c r="C396" s="13"/>
      <c r="D396" s="17"/>
      <c r="E396" s="15"/>
    </row>
    <row r="397" customFormat="false" ht="15" hidden="false" customHeight="false" outlineLevel="0" collapsed="false">
      <c r="A397" s="12"/>
      <c r="B397" s="13"/>
      <c r="C397" s="13"/>
      <c r="D397" s="17"/>
      <c r="E397" s="15"/>
    </row>
    <row r="398" customFormat="false" ht="15" hidden="false" customHeight="false" outlineLevel="0" collapsed="false">
      <c r="A398" s="12"/>
      <c r="B398" s="13"/>
      <c r="C398" s="13"/>
      <c r="D398" s="17"/>
      <c r="E398" s="15"/>
    </row>
    <row r="399" customFormat="false" ht="15" hidden="false" customHeight="false" outlineLevel="0" collapsed="false">
      <c r="A399" s="12"/>
      <c r="B399" s="13"/>
      <c r="C399" s="13"/>
      <c r="D399" s="17"/>
      <c r="E399" s="15"/>
    </row>
    <row r="400" customFormat="false" ht="15" hidden="false" customHeight="false" outlineLevel="0" collapsed="false">
      <c r="A400" s="12"/>
      <c r="B400" s="13"/>
      <c r="C400" s="13"/>
      <c r="D400" s="17"/>
      <c r="E400" s="15"/>
    </row>
    <row r="401" customFormat="false" ht="15" hidden="false" customHeight="false" outlineLevel="0" collapsed="false">
      <c r="A401" s="12"/>
      <c r="B401" s="13"/>
      <c r="C401" s="13"/>
      <c r="D401" s="17"/>
      <c r="E401" s="15"/>
    </row>
    <row r="402" customFormat="false" ht="15" hidden="false" customHeight="false" outlineLevel="0" collapsed="false">
      <c r="A402" s="12"/>
      <c r="B402" s="13"/>
      <c r="C402" s="13"/>
      <c r="D402" s="17"/>
      <c r="E402" s="15"/>
    </row>
    <row r="403" customFormat="false" ht="15" hidden="false" customHeight="false" outlineLevel="0" collapsed="false">
      <c r="A403" s="12"/>
      <c r="B403" s="13"/>
      <c r="C403" s="13"/>
      <c r="D403" s="17"/>
      <c r="E403" s="15"/>
    </row>
    <row r="404" customFormat="false" ht="15" hidden="false" customHeight="false" outlineLevel="0" collapsed="false">
      <c r="A404" s="12"/>
      <c r="B404" s="13"/>
      <c r="C404" s="13"/>
      <c r="D404" s="17"/>
      <c r="E404" s="15"/>
    </row>
    <row r="405" customFormat="false" ht="15" hidden="false" customHeight="false" outlineLevel="0" collapsed="false">
      <c r="A405" s="12"/>
      <c r="B405" s="13"/>
      <c r="C405" s="13"/>
      <c r="D405" s="17"/>
      <c r="E405" s="15"/>
    </row>
    <row r="406" customFormat="false" ht="15" hidden="false" customHeight="false" outlineLevel="0" collapsed="false">
      <c r="A406" s="12"/>
      <c r="B406" s="13"/>
      <c r="C406" s="13"/>
      <c r="D406" s="17"/>
      <c r="E406" s="15"/>
    </row>
    <row r="407" customFormat="false" ht="15" hidden="false" customHeight="false" outlineLevel="0" collapsed="false">
      <c r="A407" s="12"/>
      <c r="B407" s="13"/>
      <c r="C407" s="13"/>
      <c r="D407" s="17"/>
      <c r="E407" s="15"/>
    </row>
    <row r="408" customFormat="false" ht="15" hidden="false" customHeight="false" outlineLevel="0" collapsed="false">
      <c r="A408" s="12"/>
      <c r="B408" s="13"/>
      <c r="C408" s="13"/>
      <c r="D408" s="17"/>
      <c r="E408" s="15"/>
    </row>
    <row r="409" customFormat="false" ht="15" hidden="false" customHeight="false" outlineLevel="0" collapsed="false">
      <c r="A409" s="12"/>
      <c r="B409" s="13"/>
      <c r="C409" s="13"/>
      <c r="D409" s="17"/>
      <c r="E409" s="15"/>
    </row>
    <row r="410" customFormat="false" ht="15" hidden="false" customHeight="false" outlineLevel="0" collapsed="false">
      <c r="A410" s="12"/>
      <c r="B410" s="13"/>
      <c r="C410" s="13"/>
      <c r="D410" s="17"/>
      <c r="E410" s="15"/>
    </row>
    <row r="411" customFormat="false" ht="15" hidden="false" customHeight="false" outlineLevel="0" collapsed="false">
      <c r="A411" s="12"/>
      <c r="B411" s="13"/>
      <c r="C411" s="13"/>
      <c r="D411" s="17"/>
      <c r="E411" s="15"/>
    </row>
    <row r="412" customFormat="false" ht="15" hidden="false" customHeight="false" outlineLevel="0" collapsed="false">
      <c r="A412" s="12"/>
      <c r="B412" s="13"/>
      <c r="C412" s="13"/>
      <c r="D412" s="17"/>
      <c r="E412" s="15"/>
    </row>
    <row r="413" customFormat="false" ht="15" hidden="false" customHeight="false" outlineLevel="0" collapsed="false">
      <c r="A413" s="12"/>
      <c r="B413" s="13"/>
      <c r="C413" s="13"/>
      <c r="D413" s="17"/>
      <c r="E413" s="15"/>
    </row>
    <row r="414" customFormat="false" ht="15" hidden="false" customHeight="false" outlineLevel="0" collapsed="false">
      <c r="A414" s="12"/>
      <c r="B414" s="13"/>
      <c r="C414" s="13"/>
      <c r="D414" s="17"/>
      <c r="E414" s="15"/>
    </row>
    <row r="415" customFormat="false" ht="15" hidden="false" customHeight="false" outlineLevel="0" collapsed="false">
      <c r="A415" s="12"/>
      <c r="B415" s="13"/>
      <c r="C415" s="13"/>
      <c r="D415" s="17"/>
      <c r="E415" s="15"/>
    </row>
    <row r="416" customFormat="false" ht="15" hidden="false" customHeight="false" outlineLevel="0" collapsed="false">
      <c r="A416" s="12"/>
      <c r="B416" s="13"/>
      <c r="C416" s="13"/>
      <c r="D416" s="17"/>
      <c r="E416" s="15"/>
    </row>
    <row r="417" customFormat="false" ht="15" hidden="false" customHeight="false" outlineLevel="0" collapsed="false">
      <c r="A417" s="12"/>
      <c r="B417" s="13"/>
      <c r="C417" s="13"/>
      <c r="D417" s="17"/>
      <c r="E417" s="15"/>
    </row>
    <row r="418" customFormat="false" ht="15" hidden="false" customHeight="false" outlineLevel="0" collapsed="false">
      <c r="A418" s="12"/>
      <c r="B418" s="13"/>
      <c r="C418" s="13"/>
      <c r="D418" s="17"/>
      <c r="E418" s="15"/>
    </row>
    <row r="419" customFormat="false" ht="15" hidden="false" customHeight="false" outlineLevel="0" collapsed="false">
      <c r="A419" s="12"/>
      <c r="B419" s="13"/>
      <c r="C419" s="13"/>
      <c r="D419" s="17"/>
      <c r="E419" s="15"/>
    </row>
    <row r="420" customFormat="false" ht="15" hidden="false" customHeight="false" outlineLevel="0" collapsed="false">
      <c r="A420" s="12"/>
      <c r="B420" s="13"/>
      <c r="C420" s="13"/>
      <c r="D420" s="17"/>
      <c r="E420" s="15"/>
    </row>
    <row r="421" customFormat="false" ht="15" hidden="false" customHeight="false" outlineLevel="0" collapsed="false">
      <c r="A421" s="12"/>
      <c r="B421" s="13"/>
      <c r="C421" s="13"/>
      <c r="D421" s="17"/>
      <c r="E421" s="15"/>
    </row>
    <row r="422" customFormat="false" ht="15" hidden="false" customHeight="false" outlineLevel="0" collapsed="false">
      <c r="A422" s="12"/>
      <c r="B422" s="13"/>
      <c r="C422" s="13"/>
      <c r="D422" s="17"/>
      <c r="E422" s="15"/>
    </row>
    <row r="423" customFormat="false" ht="15" hidden="false" customHeight="false" outlineLevel="0" collapsed="false">
      <c r="A423" s="12"/>
      <c r="B423" s="13"/>
      <c r="C423" s="13"/>
      <c r="D423" s="17"/>
      <c r="E423" s="15"/>
    </row>
    <row r="424" customFormat="false" ht="15" hidden="false" customHeight="false" outlineLevel="0" collapsed="false">
      <c r="A424" s="12"/>
      <c r="B424" s="13"/>
      <c r="C424" s="13"/>
      <c r="D424" s="17"/>
      <c r="E424" s="15"/>
    </row>
    <row r="425" customFormat="false" ht="15" hidden="false" customHeight="false" outlineLevel="0" collapsed="false">
      <c r="A425" s="12"/>
      <c r="B425" s="13"/>
      <c r="C425" s="13"/>
      <c r="D425" s="17"/>
      <c r="E425" s="15"/>
    </row>
    <row r="426" customFormat="false" ht="15" hidden="false" customHeight="false" outlineLevel="0" collapsed="false">
      <c r="A426" s="12"/>
      <c r="B426" s="13"/>
      <c r="C426" s="13"/>
      <c r="D426" s="17"/>
      <c r="E426" s="15"/>
    </row>
    <row r="427" customFormat="false" ht="15" hidden="false" customHeight="false" outlineLevel="0" collapsed="false">
      <c r="A427" s="12"/>
      <c r="B427" s="13"/>
      <c r="C427" s="13"/>
      <c r="D427" s="17"/>
      <c r="E427" s="15"/>
    </row>
    <row r="428" customFormat="false" ht="15" hidden="false" customHeight="false" outlineLevel="0" collapsed="false">
      <c r="A428" s="12"/>
      <c r="B428" s="13"/>
      <c r="C428" s="13"/>
      <c r="D428" s="17"/>
      <c r="E428" s="15"/>
    </row>
    <row r="429" customFormat="false" ht="15" hidden="false" customHeight="false" outlineLevel="0" collapsed="false">
      <c r="A429" s="12"/>
      <c r="B429" s="13"/>
      <c r="C429" s="13"/>
      <c r="D429" s="17"/>
      <c r="E429" s="15"/>
    </row>
    <row r="430" customFormat="false" ht="15" hidden="false" customHeight="false" outlineLevel="0" collapsed="false">
      <c r="A430" s="12"/>
      <c r="B430" s="13"/>
      <c r="C430" s="13"/>
      <c r="D430" s="17"/>
      <c r="E430" s="15"/>
    </row>
    <row r="431" customFormat="false" ht="15" hidden="false" customHeight="false" outlineLevel="0" collapsed="false">
      <c r="A431" s="12"/>
      <c r="B431" s="13"/>
      <c r="C431" s="13"/>
      <c r="D431" s="17"/>
      <c r="E431" s="15"/>
    </row>
    <row r="432" customFormat="false" ht="15" hidden="false" customHeight="false" outlineLevel="0" collapsed="false">
      <c r="A432" s="12"/>
      <c r="B432" s="13"/>
      <c r="C432" s="13"/>
      <c r="D432" s="17"/>
      <c r="E432" s="15"/>
    </row>
    <row r="433" customFormat="false" ht="15" hidden="false" customHeight="false" outlineLevel="0" collapsed="false">
      <c r="A433" s="12"/>
      <c r="B433" s="13"/>
      <c r="C433" s="13"/>
      <c r="D433" s="17"/>
      <c r="E433" s="15"/>
    </row>
    <row r="434" customFormat="false" ht="15" hidden="false" customHeight="false" outlineLevel="0" collapsed="false">
      <c r="A434" s="12"/>
      <c r="B434" s="13"/>
      <c r="C434" s="13"/>
      <c r="D434" s="17"/>
      <c r="E434" s="15"/>
    </row>
    <row r="435" customFormat="false" ht="15" hidden="false" customHeight="false" outlineLevel="0" collapsed="false">
      <c r="A435" s="12"/>
      <c r="B435" s="13"/>
      <c r="C435" s="13"/>
      <c r="D435" s="17"/>
      <c r="E435" s="15"/>
    </row>
    <row r="436" customFormat="false" ht="15" hidden="false" customHeight="false" outlineLevel="0" collapsed="false">
      <c r="A436" s="12"/>
      <c r="B436" s="13"/>
      <c r="C436" s="13"/>
      <c r="D436" s="17"/>
      <c r="E436" s="15"/>
    </row>
    <row r="437" customFormat="false" ht="15" hidden="false" customHeight="false" outlineLevel="0" collapsed="false">
      <c r="A437" s="12"/>
      <c r="B437" s="13"/>
      <c r="C437" s="13"/>
      <c r="D437" s="17"/>
      <c r="E437" s="15"/>
    </row>
    <row r="438" customFormat="false" ht="15" hidden="false" customHeight="false" outlineLevel="0" collapsed="false">
      <c r="A438" s="12"/>
      <c r="B438" s="13"/>
      <c r="C438" s="13"/>
      <c r="D438" s="17"/>
      <c r="E438" s="15"/>
    </row>
    <row r="439" customFormat="false" ht="15" hidden="false" customHeight="false" outlineLevel="0" collapsed="false">
      <c r="A439" s="12"/>
      <c r="B439" s="13"/>
      <c r="C439" s="13"/>
      <c r="D439" s="17"/>
      <c r="E439" s="15"/>
    </row>
    <row r="440" customFormat="false" ht="15" hidden="false" customHeight="false" outlineLevel="0" collapsed="false">
      <c r="A440" s="12"/>
      <c r="B440" s="13"/>
      <c r="C440" s="13"/>
      <c r="D440" s="17"/>
      <c r="E440" s="15"/>
    </row>
    <row r="441" customFormat="false" ht="15" hidden="false" customHeight="false" outlineLevel="0" collapsed="false">
      <c r="A441" s="12"/>
      <c r="B441" s="13"/>
      <c r="C441" s="13"/>
      <c r="D441" s="17"/>
      <c r="E441" s="15"/>
    </row>
    <row r="442" customFormat="false" ht="15" hidden="false" customHeight="false" outlineLevel="0" collapsed="false">
      <c r="A442" s="12"/>
      <c r="B442" s="13"/>
      <c r="C442" s="13"/>
      <c r="D442" s="17"/>
      <c r="E442" s="15"/>
    </row>
    <row r="443" customFormat="false" ht="15" hidden="false" customHeight="false" outlineLevel="0" collapsed="false">
      <c r="A443" s="12"/>
      <c r="B443" s="13"/>
      <c r="C443" s="13"/>
      <c r="D443" s="17"/>
      <c r="E443" s="15"/>
    </row>
    <row r="444" customFormat="false" ht="15" hidden="false" customHeight="false" outlineLevel="0" collapsed="false">
      <c r="A444" s="12"/>
      <c r="B444" s="13"/>
      <c r="C444" s="13"/>
      <c r="D444" s="17"/>
      <c r="E444" s="15"/>
    </row>
    <row r="445" customFormat="false" ht="15" hidden="false" customHeight="false" outlineLevel="0" collapsed="false">
      <c r="A445" s="12"/>
      <c r="B445" s="13"/>
      <c r="C445" s="13"/>
      <c r="D445" s="17"/>
      <c r="E445" s="15"/>
    </row>
    <row r="446" customFormat="false" ht="15" hidden="false" customHeight="false" outlineLevel="0" collapsed="false">
      <c r="A446" s="12"/>
      <c r="B446" s="13"/>
      <c r="C446" s="13"/>
      <c r="D446" s="17"/>
      <c r="E446" s="15"/>
    </row>
    <row r="447" customFormat="false" ht="15" hidden="false" customHeight="false" outlineLevel="0" collapsed="false">
      <c r="A447" s="12"/>
      <c r="B447" s="13"/>
      <c r="C447" s="13"/>
      <c r="D447" s="17"/>
      <c r="E447" s="15"/>
    </row>
    <row r="448" customFormat="false" ht="15" hidden="false" customHeight="false" outlineLevel="0" collapsed="false">
      <c r="A448" s="12"/>
      <c r="B448" s="13"/>
      <c r="C448" s="13"/>
      <c r="D448" s="17"/>
      <c r="E448" s="15"/>
    </row>
    <row r="449" customFormat="false" ht="15" hidden="false" customHeight="false" outlineLevel="0" collapsed="false">
      <c r="A449" s="12"/>
      <c r="B449" s="13"/>
      <c r="C449" s="13"/>
      <c r="D449" s="17"/>
      <c r="E449" s="15"/>
    </row>
    <row r="450" customFormat="false" ht="15" hidden="false" customHeight="false" outlineLevel="0" collapsed="false">
      <c r="A450" s="12"/>
      <c r="B450" s="13"/>
      <c r="C450" s="13"/>
      <c r="D450" s="17"/>
      <c r="E450" s="15"/>
    </row>
    <row r="451" customFormat="false" ht="15" hidden="false" customHeight="false" outlineLevel="0" collapsed="false">
      <c r="A451" s="12"/>
      <c r="B451" s="13"/>
      <c r="C451" s="13"/>
      <c r="D451" s="17"/>
      <c r="E451" s="15"/>
    </row>
    <row r="452" customFormat="false" ht="15" hidden="false" customHeight="false" outlineLevel="0" collapsed="false">
      <c r="A452" s="12"/>
      <c r="B452" s="13"/>
      <c r="C452" s="13"/>
      <c r="D452" s="17"/>
      <c r="E452" s="15"/>
    </row>
    <row r="453" customFormat="false" ht="15" hidden="false" customHeight="false" outlineLevel="0" collapsed="false">
      <c r="A453" s="12"/>
      <c r="B453" s="13"/>
      <c r="C453" s="13"/>
      <c r="D453" s="17"/>
      <c r="E453" s="15"/>
    </row>
    <row r="454" customFormat="false" ht="15" hidden="false" customHeight="false" outlineLevel="0" collapsed="false">
      <c r="A454" s="12"/>
      <c r="B454" s="13"/>
      <c r="C454" s="13"/>
      <c r="D454" s="17"/>
      <c r="E454" s="15"/>
    </row>
    <row r="455" customFormat="false" ht="15" hidden="false" customHeight="false" outlineLevel="0" collapsed="false">
      <c r="A455" s="12"/>
      <c r="B455" s="13"/>
      <c r="C455" s="13"/>
      <c r="D455" s="17"/>
      <c r="E455" s="15"/>
    </row>
    <row r="456" customFormat="false" ht="15" hidden="false" customHeight="false" outlineLevel="0" collapsed="false">
      <c r="A456" s="12"/>
      <c r="B456" s="13"/>
      <c r="C456" s="13"/>
      <c r="D456" s="17"/>
      <c r="E456" s="15"/>
    </row>
    <row r="457" customFormat="false" ht="15" hidden="false" customHeight="false" outlineLevel="0" collapsed="false">
      <c r="A457" s="12"/>
      <c r="B457" s="13"/>
      <c r="C457" s="13"/>
      <c r="D457" s="17"/>
      <c r="E457" s="15"/>
    </row>
    <row r="458" customFormat="false" ht="15" hidden="false" customHeight="false" outlineLevel="0" collapsed="false">
      <c r="A458" s="12"/>
      <c r="B458" s="13"/>
      <c r="C458" s="13"/>
      <c r="D458" s="17"/>
      <c r="E458" s="15"/>
    </row>
    <row r="459" customFormat="false" ht="15" hidden="false" customHeight="false" outlineLevel="0" collapsed="false">
      <c r="A459" s="12"/>
      <c r="B459" s="13"/>
      <c r="C459" s="13"/>
      <c r="D459" s="17"/>
      <c r="E459" s="15"/>
    </row>
    <row r="460" customFormat="false" ht="15" hidden="false" customHeight="false" outlineLevel="0" collapsed="false">
      <c r="A460" s="12"/>
      <c r="B460" s="13"/>
      <c r="C460" s="13"/>
      <c r="D460" s="17"/>
      <c r="E460" s="15"/>
    </row>
    <row r="461" customFormat="false" ht="15" hidden="false" customHeight="false" outlineLevel="0" collapsed="false">
      <c r="A461" s="12"/>
      <c r="B461" s="13"/>
      <c r="C461" s="13"/>
      <c r="D461" s="17"/>
      <c r="E461" s="15"/>
    </row>
    <row r="462" customFormat="false" ht="15" hidden="false" customHeight="false" outlineLevel="0" collapsed="false">
      <c r="A462" s="12"/>
      <c r="B462" s="13"/>
      <c r="C462" s="13"/>
      <c r="D462" s="17"/>
      <c r="E462" s="15"/>
    </row>
    <row r="463" customFormat="false" ht="15" hidden="false" customHeight="false" outlineLevel="0" collapsed="false">
      <c r="A463" s="12"/>
      <c r="B463" s="13"/>
      <c r="C463" s="13"/>
      <c r="D463" s="17"/>
      <c r="E463" s="15"/>
    </row>
    <row r="464" customFormat="false" ht="15" hidden="false" customHeight="false" outlineLevel="0" collapsed="false">
      <c r="A464" s="12"/>
      <c r="B464" s="13"/>
      <c r="C464" s="13"/>
      <c r="D464" s="17"/>
      <c r="E464" s="15"/>
    </row>
    <row r="465" customFormat="false" ht="15" hidden="false" customHeight="false" outlineLevel="0" collapsed="false">
      <c r="A465" s="12"/>
      <c r="B465" s="13"/>
      <c r="C465" s="13"/>
      <c r="D465" s="17"/>
      <c r="E465" s="15"/>
    </row>
    <row r="466" customFormat="false" ht="15" hidden="false" customHeight="false" outlineLevel="0" collapsed="false">
      <c r="A466" s="12"/>
      <c r="B466" s="13"/>
      <c r="C466" s="13"/>
      <c r="D466" s="17"/>
      <c r="E466" s="15"/>
    </row>
    <row r="467" customFormat="false" ht="15" hidden="false" customHeight="false" outlineLevel="0" collapsed="false">
      <c r="A467" s="12"/>
      <c r="B467" s="13"/>
      <c r="C467" s="13"/>
      <c r="D467" s="17"/>
      <c r="E467" s="15"/>
    </row>
    <row r="468" customFormat="false" ht="15" hidden="false" customHeight="false" outlineLevel="0" collapsed="false">
      <c r="A468" s="12"/>
      <c r="B468" s="13"/>
      <c r="C468" s="13"/>
      <c r="D468" s="17"/>
      <c r="E468" s="15"/>
    </row>
    <row r="469" customFormat="false" ht="15" hidden="false" customHeight="false" outlineLevel="0" collapsed="false">
      <c r="A469" s="12"/>
      <c r="B469" s="13"/>
      <c r="C469" s="13"/>
      <c r="D469" s="17"/>
      <c r="E469" s="15"/>
    </row>
    <row r="470" customFormat="false" ht="15" hidden="false" customHeight="false" outlineLevel="0" collapsed="false">
      <c r="A470" s="12"/>
      <c r="B470" s="13"/>
      <c r="C470" s="13"/>
      <c r="D470" s="17"/>
      <c r="E470" s="15"/>
    </row>
    <row r="471" customFormat="false" ht="15" hidden="false" customHeight="false" outlineLevel="0" collapsed="false">
      <c r="A471" s="12"/>
      <c r="B471" s="13"/>
      <c r="C471" s="13"/>
      <c r="D471" s="17"/>
      <c r="E471" s="15"/>
    </row>
    <row r="472" customFormat="false" ht="15" hidden="false" customHeight="false" outlineLevel="0" collapsed="false">
      <c r="A472" s="12"/>
      <c r="B472" s="13"/>
      <c r="C472" s="13"/>
      <c r="D472" s="17"/>
      <c r="E472" s="15"/>
    </row>
    <row r="473" customFormat="false" ht="15" hidden="false" customHeight="false" outlineLevel="0" collapsed="false">
      <c r="A473" s="12"/>
      <c r="B473" s="13"/>
      <c r="C473" s="13"/>
      <c r="D473" s="17"/>
      <c r="E473" s="15"/>
    </row>
    <row r="474" customFormat="false" ht="15" hidden="false" customHeight="false" outlineLevel="0" collapsed="false">
      <c r="A474" s="12"/>
      <c r="B474" s="13"/>
      <c r="C474" s="13"/>
      <c r="D474" s="17"/>
      <c r="E474" s="15"/>
    </row>
    <row r="475" customFormat="false" ht="15" hidden="false" customHeight="false" outlineLevel="0" collapsed="false">
      <c r="A475" s="12"/>
      <c r="B475" s="13"/>
      <c r="C475" s="13"/>
      <c r="D475" s="17"/>
      <c r="E475" s="15"/>
    </row>
    <row r="476" customFormat="false" ht="15" hidden="false" customHeight="false" outlineLevel="0" collapsed="false">
      <c r="A476" s="12"/>
      <c r="B476" s="13"/>
      <c r="C476" s="13"/>
      <c r="D476" s="17"/>
      <c r="E476" s="15"/>
    </row>
    <row r="477" customFormat="false" ht="15" hidden="false" customHeight="false" outlineLevel="0" collapsed="false">
      <c r="A477" s="12"/>
      <c r="B477" s="13"/>
      <c r="C477" s="13"/>
      <c r="D477" s="17"/>
      <c r="E477" s="15"/>
    </row>
    <row r="478" customFormat="false" ht="15" hidden="false" customHeight="false" outlineLevel="0" collapsed="false">
      <c r="A478" s="12"/>
      <c r="B478" s="13"/>
      <c r="C478" s="13"/>
      <c r="D478" s="17"/>
      <c r="E478" s="15"/>
    </row>
    <row r="479" customFormat="false" ht="15" hidden="false" customHeight="false" outlineLevel="0" collapsed="false">
      <c r="A479" s="12"/>
      <c r="B479" s="13"/>
      <c r="C479" s="13"/>
      <c r="D479" s="17"/>
      <c r="E479" s="15"/>
    </row>
    <row r="480" customFormat="false" ht="15" hidden="false" customHeight="false" outlineLevel="0" collapsed="false">
      <c r="A480" s="12"/>
      <c r="B480" s="13"/>
      <c r="C480" s="13"/>
      <c r="D480" s="17"/>
      <c r="E480" s="15"/>
    </row>
    <row r="481" customFormat="false" ht="15" hidden="false" customHeight="false" outlineLevel="0" collapsed="false">
      <c r="A481" s="12"/>
      <c r="B481" s="13"/>
      <c r="C481" s="13"/>
      <c r="D481" s="17"/>
      <c r="E481" s="15"/>
    </row>
    <row r="482" customFormat="false" ht="15" hidden="false" customHeight="false" outlineLevel="0" collapsed="false">
      <c r="A482" s="12"/>
      <c r="B482" s="13"/>
      <c r="C482" s="13"/>
      <c r="D482" s="17"/>
      <c r="E482" s="15"/>
    </row>
    <row r="483" customFormat="false" ht="15" hidden="false" customHeight="false" outlineLevel="0" collapsed="false">
      <c r="A483" s="12"/>
      <c r="B483" s="13"/>
      <c r="C483" s="13"/>
      <c r="D483" s="17"/>
      <c r="E483" s="15"/>
    </row>
    <row r="484" customFormat="false" ht="15" hidden="false" customHeight="false" outlineLevel="0" collapsed="false">
      <c r="A484" s="12"/>
      <c r="B484" s="13"/>
      <c r="C484" s="13"/>
      <c r="D484" s="17"/>
      <c r="E484" s="15"/>
    </row>
    <row r="485" customFormat="false" ht="15" hidden="false" customHeight="false" outlineLevel="0" collapsed="false">
      <c r="A485" s="12"/>
      <c r="B485" s="13"/>
      <c r="C485" s="13"/>
      <c r="D485" s="17"/>
      <c r="E485" s="15"/>
    </row>
    <row r="486" customFormat="false" ht="15" hidden="false" customHeight="false" outlineLevel="0" collapsed="false">
      <c r="A486" s="12"/>
      <c r="B486" s="13"/>
      <c r="C486" s="13"/>
      <c r="D486" s="17"/>
      <c r="E486" s="15"/>
    </row>
    <row r="487" customFormat="false" ht="15" hidden="false" customHeight="false" outlineLevel="0" collapsed="false">
      <c r="A487" s="12"/>
      <c r="B487" s="13"/>
      <c r="C487" s="13"/>
      <c r="D487" s="17"/>
      <c r="E487" s="15"/>
    </row>
    <row r="488" customFormat="false" ht="15" hidden="false" customHeight="false" outlineLevel="0" collapsed="false">
      <c r="A488" s="12"/>
      <c r="B488" s="13"/>
      <c r="C488" s="13"/>
      <c r="D488" s="17"/>
      <c r="E488" s="15"/>
    </row>
    <row r="489" customFormat="false" ht="15" hidden="false" customHeight="false" outlineLevel="0" collapsed="false">
      <c r="A489" s="12"/>
      <c r="B489" s="13"/>
      <c r="C489" s="13"/>
      <c r="D489" s="17"/>
      <c r="E489" s="15"/>
    </row>
    <row r="490" customFormat="false" ht="15" hidden="false" customHeight="false" outlineLevel="0" collapsed="false">
      <c r="A490" s="12"/>
      <c r="B490" s="13"/>
      <c r="C490" s="13"/>
      <c r="D490" s="17"/>
      <c r="E490" s="15"/>
    </row>
    <row r="491" customFormat="false" ht="15" hidden="false" customHeight="false" outlineLevel="0" collapsed="false">
      <c r="A491" s="12"/>
      <c r="B491" s="13"/>
      <c r="C491" s="13"/>
      <c r="D491" s="17"/>
      <c r="E491" s="15"/>
    </row>
    <row r="492" customFormat="false" ht="15" hidden="false" customHeight="false" outlineLevel="0" collapsed="false">
      <c r="A492" s="12"/>
      <c r="B492" s="13"/>
      <c r="C492" s="13"/>
      <c r="D492" s="17"/>
      <c r="E492" s="15"/>
    </row>
    <row r="493" customFormat="false" ht="15" hidden="false" customHeight="false" outlineLevel="0" collapsed="false">
      <c r="A493" s="12"/>
      <c r="B493" s="13"/>
      <c r="C493" s="13"/>
      <c r="D493" s="17"/>
      <c r="E493" s="15"/>
    </row>
    <row r="494" customFormat="false" ht="15" hidden="false" customHeight="false" outlineLevel="0" collapsed="false">
      <c r="A494" s="12"/>
      <c r="B494" s="13"/>
      <c r="C494" s="13"/>
      <c r="D494" s="17"/>
      <c r="E494" s="15"/>
    </row>
    <row r="495" customFormat="false" ht="15" hidden="false" customHeight="false" outlineLevel="0" collapsed="false">
      <c r="A495" s="12"/>
      <c r="B495" s="13"/>
      <c r="C495" s="13"/>
      <c r="D495" s="17"/>
      <c r="E495" s="15"/>
    </row>
    <row r="496" customFormat="false" ht="15" hidden="false" customHeight="false" outlineLevel="0" collapsed="false">
      <c r="A496" s="12"/>
      <c r="B496" s="13"/>
      <c r="C496" s="13"/>
      <c r="D496" s="17"/>
      <c r="E496" s="15"/>
    </row>
    <row r="497" customFormat="false" ht="15" hidden="false" customHeight="false" outlineLevel="0" collapsed="false">
      <c r="A497" s="12"/>
      <c r="B497" s="13"/>
      <c r="C497" s="13"/>
      <c r="D497" s="17"/>
      <c r="E497" s="15"/>
    </row>
    <row r="498" customFormat="false" ht="15" hidden="false" customHeight="false" outlineLevel="0" collapsed="false">
      <c r="A498" s="12"/>
      <c r="B498" s="13"/>
      <c r="C498" s="13"/>
      <c r="D498" s="17"/>
      <c r="E498" s="15"/>
    </row>
    <row r="499" customFormat="false" ht="15" hidden="false" customHeight="false" outlineLevel="0" collapsed="false">
      <c r="A499" s="12"/>
      <c r="B499" s="13"/>
      <c r="C499" s="13"/>
      <c r="D499" s="17"/>
      <c r="E499" s="15"/>
    </row>
    <row r="500" customFormat="false" ht="15" hidden="false" customHeight="false" outlineLevel="0" collapsed="false">
      <c r="A500" s="12"/>
      <c r="B500" s="13"/>
      <c r="C500" s="13"/>
      <c r="D500" s="17"/>
      <c r="E500" s="15"/>
    </row>
    <row r="501" customFormat="false" ht="15" hidden="false" customHeight="false" outlineLevel="0" collapsed="false">
      <c r="A501" s="12"/>
      <c r="B501" s="13"/>
      <c r="C501" s="13"/>
      <c r="D501" s="17"/>
      <c r="E501" s="15"/>
    </row>
    <row r="502" customFormat="false" ht="15" hidden="false" customHeight="false" outlineLevel="0" collapsed="false">
      <c r="A502" s="12"/>
      <c r="B502" s="13"/>
      <c r="C502" s="13"/>
      <c r="D502" s="17"/>
      <c r="E502" s="15"/>
    </row>
    <row r="503" customFormat="false" ht="15" hidden="false" customHeight="false" outlineLevel="0" collapsed="false">
      <c r="A503" s="12"/>
      <c r="B503" s="13"/>
      <c r="C503" s="13"/>
      <c r="D503" s="17"/>
      <c r="E503" s="15"/>
    </row>
    <row r="504" customFormat="false" ht="15" hidden="false" customHeight="false" outlineLevel="0" collapsed="false">
      <c r="A504" s="12"/>
      <c r="B504" s="13"/>
      <c r="C504" s="13"/>
      <c r="D504" s="17"/>
      <c r="E504" s="15"/>
    </row>
    <row r="505" customFormat="false" ht="15" hidden="false" customHeight="false" outlineLevel="0" collapsed="false">
      <c r="A505" s="12"/>
      <c r="B505" s="13"/>
      <c r="C505" s="13"/>
      <c r="D505" s="17"/>
      <c r="E505" s="15"/>
    </row>
    <row r="506" customFormat="false" ht="15" hidden="false" customHeight="false" outlineLevel="0" collapsed="false">
      <c r="A506" s="12"/>
      <c r="B506" s="13"/>
      <c r="C506" s="13"/>
      <c r="D506" s="17"/>
      <c r="E506" s="15"/>
    </row>
    <row r="507" customFormat="false" ht="15" hidden="false" customHeight="false" outlineLevel="0" collapsed="false">
      <c r="A507" s="12"/>
      <c r="B507" s="13"/>
      <c r="C507" s="13"/>
      <c r="D507" s="17"/>
      <c r="E507" s="15"/>
    </row>
    <row r="508" customFormat="false" ht="15" hidden="false" customHeight="false" outlineLevel="0" collapsed="false">
      <c r="A508" s="12"/>
      <c r="B508" s="13"/>
      <c r="C508" s="13"/>
      <c r="D508" s="17"/>
      <c r="E508" s="15"/>
    </row>
    <row r="509" customFormat="false" ht="15" hidden="false" customHeight="false" outlineLevel="0" collapsed="false">
      <c r="A509" s="12"/>
      <c r="B509" s="13"/>
      <c r="C509" s="13"/>
      <c r="D509" s="17"/>
      <c r="E509" s="15"/>
    </row>
    <row r="510" customFormat="false" ht="15" hidden="false" customHeight="false" outlineLevel="0" collapsed="false">
      <c r="A510" s="12"/>
      <c r="B510" s="13"/>
      <c r="C510" s="13"/>
      <c r="D510" s="17"/>
      <c r="E510" s="15"/>
    </row>
    <row r="511" customFormat="false" ht="15" hidden="false" customHeight="false" outlineLevel="0" collapsed="false">
      <c r="A511" s="12"/>
      <c r="B511" s="13"/>
      <c r="C511" s="13"/>
      <c r="D511" s="17"/>
      <c r="E511" s="15"/>
    </row>
    <row r="512" customFormat="false" ht="15" hidden="false" customHeight="false" outlineLevel="0" collapsed="false">
      <c r="A512" s="12"/>
      <c r="B512" s="13"/>
      <c r="C512" s="13"/>
      <c r="D512" s="17"/>
      <c r="E512" s="15"/>
    </row>
    <row r="513" customFormat="false" ht="15" hidden="false" customHeight="false" outlineLevel="0" collapsed="false">
      <c r="A513" s="12"/>
      <c r="B513" s="13"/>
      <c r="C513" s="13"/>
      <c r="D513" s="17"/>
      <c r="E513" s="15"/>
    </row>
    <row r="514" customFormat="false" ht="15" hidden="false" customHeight="false" outlineLevel="0" collapsed="false">
      <c r="A514" s="12"/>
      <c r="B514" s="13"/>
      <c r="C514" s="13"/>
      <c r="D514" s="17"/>
      <c r="E514" s="15"/>
    </row>
    <row r="515" customFormat="false" ht="15" hidden="false" customHeight="false" outlineLevel="0" collapsed="false">
      <c r="A515" s="12"/>
      <c r="B515" s="13"/>
      <c r="C515" s="13"/>
      <c r="D515" s="17"/>
      <c r="E515" s="15"/>
    </row>
    <row r="516" customFormat="false" ht="15" hidden="false" customHeight="false" outlineLevel="0" collapsed="false">
      <c r="A516" s="12"/>
      <c r="B516" s="13"/>
      <c r="C516" s="13"/>
      <c r="D516" s="17"/>
      <c r="E516" s="15"/>
    </row>
    <row r="517" customFormat="false" ht="15" hidden="false" customHeight="false" outlineLevel="0" collapsed="false">
      <c r="A517" s="12"/>
      <c r="B517" s="13"/>
      <c r="C517" s="13"/>
      <c r="D517" s="17"/>
      <c r="E517" s="15"/>
    </row>
    <row r="518" customFormat="false" ht="15" hidden="false" customHeight="false" outlineLevel="0" collapsed="false">
      <c r="A518" s="12"/>
      <c r="B518" s="13"/>
      <c r="C518" s="13"/>
      <c r="D518" s="17"/>
      <c r="E518" s="15"/>
    </row>
    <row r="519" customFormat="false" ht="15" hidden="false" customHeight="false" outlineLevel="0" collapsed="false">
      <c r="A519" s="12"/>
      <c r="B519" s="13"/>
      <c r="C519" s="13"/>
      <c r="D519" s="17"/>
      <c r="E519" s="15"/>
    </row>
    <row r="520" customFormat="false" ht="15" hidden="false" customHeight="false" outlineLevel="0" collapsed="false">
      <c r="A520" s="12"/>
      <c r="B520" s="13"/>
      <c r="C520" s="13"/>
      <c r="D520" s="17"/>
      <c r="E520" s="15"/>
    </row>
    <row r="521" customFormat="false" ht="15" hidden="false" customHeight="false" outlineLevel="0" collapsed="false">
      <c r="A521" s="12"/>
      <c r="B521" s="13"/>
      <c r="C521" s="13"/>
      <c r="D521" s="17"/>
      <c r="E521" s="15"/>
    </row>
    <row r="522" customFormat="false" ht="15" hidden="false" customHeight="false" outlineLevel="0" collapsed="false">
      <c r="A522" s="12"/>
      <c r="B522" s="13"/>
      <c r="C522" s="13"/>
      <c r="D522" s="17"/>
      <c r="E522" s="15"/>
    </row>
    <row r="523" customFormat="false" ht="15" hidden="false" customHeight="false" outlineLevel="0" collapsed="false">
      <c r="A523" s="12"/>
      <c r="B523" s="13"/>
      <c r="C523" s="13"/>
      <c r="D523" s="17"/>
      <c r="E523" s="15"/>
    </row>
    <row r="524" customFormat="false" ht="15" hidden="false" customHeight="false" outlineLevel="0" collapsed="false">
      <c r="A524" s="12"/>
      <c r="B524" s="13"/>
      <c r="C524" s="13"/>
      <c r="D524" s="17"/>
      <c r="E524" s="15"/>
    </row>
    <row r="525" customFormat="false" ht="15" hidden="false" customHeight="false" outlineLevel="0" collapsed="false">
      <c r="A525" s="12"/>
      <c r="B525" s="13"/>
      <c r="C525" s="13"/>
      <c r="D525" s="17"/>
      <c r="E525" s="15"/>
    </row>
    <row r="526" customFormat="false" ht="15" hidden="false" customHeight="false" outlineLevel="0" collapsed="false">
      <c r="A526" s="12"/>
      <c r="B526" s="13"/>
      <c r="C526" s="13"/>
      <c r="D526" s="17"/>
      <c r="E526" s="15"/>
    </row>
    <row r="527" customFormat="false" ht="15" hidden="false" customHeight="false" outlineLevel="0" collapsed="false">
      <c r="A527" s="12"/>
      <c r="B527" s="13"/>
      <c r="C527" s="13"/>
      <c r="D527" s="17"/>
      <c r="E527" s="15"/>
    </row>
    <row r="528" customFormat="false" ht="15" hidden="false" customHeight="false" outlineLevel="0" collapsed="false">
      <c r="A528" s="12"/>
      <c r="B528" s="13"/>
      <c r="C528" s="13"/>
      <c r="D528" s="17"/>
      <c r="E528" s="15"/>
    </row>
    <row r="529" customFormat="false" ht="15" hidden="false" customHeight="false" outlineLevel="0" collapsed="false">
      <c r="A529" s="12"/>
      <c r="B529" s="13"/>
      <c r="C529" s="13"/>
      <c r="D529" s="17"/>
      <c r="E529" s="15"/>
    </row>
    <row r="530" customFormat="false" ht="15" hidden="false" customHeight="false" outlineLevel="0" collapsed="false">
      <c r="A530" s="12"/>
      <c r="B530" s="13"/>
      <c r="C530" s="13"/>
      <c r="D530" s="17"/>
      <c r="E530" s="15"/>
    </row>
    <row r="531" customFormat="false" ht="15" hidden="false" customHeight="false" outlineLevel="0" collapsed="false">
      <c r="A531" s="12"/>
      <c r="B531" s="13"/>
      <c r="C531" s="13"/>
      <c r="D531" s="17"/>
      <c r="E531" s="15"/>
    </row>
    <row r="532" customFormat="false" ht="15" hidden="false" customHeight="false" outlineLevel="0" collapsed="false">
      <c r="A532" s="12"/>
      <c r="B532" s="13"/>
      <c r="C532" s="13"/>
      <c r="D532" s="17"/>
      <c r="E532" s="15"/>
    </row>
    <row r="533" customFormat="false" ht="15" hidden="false" customHeight="false" outlineLevel="0" collapsed="false">
      <c r="A533" s="12"/>
      <c r="B533" s="13"/>
      <c r="C533" s="13"/>
      <c r="D533" s="17"/>
      <c r="E533" s="15"/>
    </row>
    <row r="534" customFormat="false" ht="15" hidden="false" customHeight="false" outlineLevel="0" collapsed="false">
      <c r="A534" s="12"/>
      <c r="B534" s="13"/>
      <c r="C534" s="13"/>
      <c r="D534" s="17"/>
      <c r="E534" s="15"/>
    </row>
    <row r="535" customFormat="false" ht="15" hidden="false" customHeight="false" outlineLevel="0" collapsed="false">
      <c r="A535" s="12"/>
      <c r="B535" s="13"/>
      <c r="C535" s="13"/>
      <c r="D535" s="17"/>
      <c r="E535" s="15"/>
    </row>
    <row r="536" customFormat="false" ht="15" hidden="false" customHeight="false" outlineLevel="0" collapsed="false">
      <c r="A536" s="12"/>
      <c r="B536" s="13"/>
      <c r="C536" s="13"/>
      <c r="D536" s="17"/>
      <c r="E536" s="15"/>
    </row>
    <row r="537" customFormat="false" ht="15" hidden="false" customHeight="false" outlineLevel="0" collapsed="false">
      <c r="A537" s="12"/>
      <c r="B537" s="13"/>
      <c r="C537" s="13"/>
      <c r="D537" s="17"/>
      <c r="E537" s="15"/>
    </row>
    <row r="538" customFormat="false" ht="15" hidden="false" customHeight="false" outlineLevel="0" collapsed="false">
      <c r="A538" s="12"/>
      <c r="B538" s="13"/>
      <c r="C538" s="13"/>
      <c r="D538" s="17"/>
      <c r="E538" s="15"/>
    </row>
    <row r="539" customFormat="false" ht="15" hidden="false" customHeight="false" outlineLevel="0" collapsed="false">
      <c r="A539" s="12"/>
      <c r="B539" s="13"/>
      <c r="C539" s="13"/>
      <c r="D539" s="17"/>
      <c r="E539" s="15"/>
    </row>
    <row r="540" customFormat="false" ht="15" hidden="false" customHeight="false" outlineLevel="0" collapsed="false">
      <c r="A540" s="12"/>
      <c r="B540" s="13"/>
      <c r="C540" s="13"/>
      <c r="D540" s="17"/>
      <c r="E540" s="15"/>
    </row>
    <row r="541" customFormat="false" ht="15" hidden="false" customHeight="false" outlineLevel="0" collapsed="false">
      <c r="A541" s="12"/>
      <c r="B541" s="13"/>
      <c r="C541" s="13"/>
      <c r="D541" s="17"/>
      <c r="E541" s="15"/>
    </row>
    <row r="542" customFormat="false" ht="15" hidden="false" customHeight="false" outlineLevel="0" collapsed="false">
      <c r="A542" s="12"/>
      <c r="B542" s="13"/>
      <c r="C542" s="13"/>
      <c r="D542" s="17"/>
      <c r="E542" s="15"/>
    </row>
    <row r="543" customFormat="false" ht="15" hidden="false" customHeight="false" outlineLevel="0" collapsed="false">
      <c r="A543" s="12"/>
      <c r="B543" s="13"/>
      <c r="C543" s="13"/>
      <c r="D543" s="17"/>
      <c r="E543" s="15"/>
    </row>
    <row r="544" customFormat="false" ht="15" hidden="false" customHeight="false" outlineLevel="0" collapsed="false">
      <c r="A544" s="12"/>
      <c r="B544" s="13"/>
      <c r="C544" s="13"/>
      <c r="D544" s="17"/>
      <c r="E544" s="15"/>
    </row>
    <row r="545" customFormat="false" ht="15" hidden="false" customHeight="false" outlineLevel="0" collapsed="false">
      <c r="A545" s="12"/>
      <c r="B545" s="13"/>
      <c r="C545" s="13"/>
      <c r="D545" s="17"/>
      <c r="E545" s="15"/>
    </row>
    <row r="546" customFormat="false" ht="15" hidden="false" customHeight="false" outlineLevel="0" collapsed="false">
      <c r="A546" s="12"/>
      <c r="B546" s="13"/>
      <c r="C546" s="13"/>
      <c r="D546" s="17"/>
      <c r="E546" s="15"/>
    </row>
    <row r="547" customFormat="false" ht="15" hidden="false" customHeight="false" outlineLevel="0" collapsed="false">
      <c r="A547" s="12"/>
      <c r="B547" s="13"/>
      <c r="C547" s="13"/>
      <c r="D547" s="17"/>
      <c r="E547" s="15"/>
    </row>
    <row r="548" customFormat="false" ht="15" hidden="false" customHeight="false" outlineLevel="0" collapsed="false">
      <c r="A548" s="12"/>
      <c r="B548" s="13"/>
      <c r="C548" s="13"/>
      <c r="D548" s="17"/>
      <c r="E548" s="15"/>
    </row>
    <row r="549" customFormat="false" ht="15" hidden="false" customHeight="false" outlineLevel="0" collapsed="false">
      <c r="A549" s="12"/>
      <c r="B549" s="13"/>
      <c r="C549" s="13"/>
      <c r="D549" s="17"/>
      <c r="E549" s="15"/>
    </row>
    <row r="550" customFormat="false" ht="15" hidden="false" customHeight="false" outlineLevel="0" collapsed="false">
      <c r="A550" s="12"/>
      <c r="B550" s="13"/>
      <c r="C550" s="13"/>
      <c r="D550" s="17"/>
      <c r="E550" s="15"/>
    </row>
    <row r="551" customFormat="false" ht="15" hidden="false" customHeight="false" outlineLevel="0" collapsed="false">
      <c r="A551" s="12"/>
      <c r="B551" s="13"/>
      <c r="C551" s="13"/>
      <c r="D551" s="17"/>
      <c r="E551" s="15"/>
    </row>
    <row r="552" customFormat="false" ht="15" hidden="false" customHeight="false" outlineLevel="0" collapsed="false">
      <c r="A552" s="12"/>
      <c r="B552" s="13"/>
      <c r="C552" s="13"/>
      <c r="D552" s="17"/>
      <c r="E552" s="15"/>
    </row>
    <row r="553" customFormat="false" ht="15" hidden="false" customHeight="false" outlineLevel="0" collapsed="false">
      <c r="A553" s="12"/>
      <c r="B553" s="13"/>
      <c r="C553" s="13"/>
      <c r="D553" s="17"/>
      <c r="E553" s="15"/>
    </row>
    <row r="554" customFormat="false" ht="15" hidden="false" customHeight="false" outlineLevel="0" collapsed="false">
      <c r="A554" s="12"/>
      <c r="B554" s="13"/>
      <c r="C554" s="13"/>
      <c r="D554" s="17"/>
      <c r="E554" s="15"/>
    </row>
    <row r="555" customFormat="false" ht="15" hidden="false" customHeight="false" outlineLevel="0" collapsed="false">
      <c r="A555" s="12"/>
      <c r="B555" s="13"/>
      <c r="C555" s="13"/>
      <c r="D555" s="17"/>
      <c r="E555" s="15"/>
    </row>
    <row r="556" customFormat="false" ht="15" hidden="false" customHeight="false" outlineLevel="0" collapsed="false">
      <c r="A556" s="12"/>
      <c r="B556" s="13"/>
      <c r="C556" s="13"/>
      <c r="D556" s="17"/>
      <c r="E556" s="15"/>
    </row>
    <row r="557" customFormat="false" ht="15" hidden="false" customHeight="false" outlineLevel="0" collapsed="false">
      <c r="A557" s="12"/>
      <c r="B557" s="13"/>
      <c r="C557" s="13"/>
      <c r="D557" s="17"/>
      <c r="E557" s="15"/>
    </row>
    <row r="558" customFormat="false" ht="15" hidden="false" customHeight="false" outlineLevel="0" collapsed="false">
      <c r="A558" s="12"/>
      <c r="B558" s="13"/>
      <c r="C558" s="13"/>
      <c r="D558" s="17"/>
      <c r="E558" s="15"/>
    </row>
    <row r="559" customFormat="false" ht="15" hidden="false" customHeight="false" outlineLevel="0" collapsed="false">
      <c r="A559" s="12"/>
      <c r="B559" s="13"/>
      <c r="C559" s="13"/>
      <c r="D559" s="17"/>
      <c r="E559" s="15"/>
    </row>
    <row r="560" customFormat="false" ht="15" hidden="false" customHeight="false" outlineLevel="0" collapsed="false">
      <c r="A560" s="12"/>
      <c r="B560" s="13"/>
      <c r="C560" s="13"/>
      <c r="D560" s="17"/>
      <c r="E560" s="15"/>
    </row>
    <row r="561" customFormat="false" ht="15" hidden="false" customHeight="false" outlineLevel="0" collapsed="false">
      <c r="A561" s="12"/>
      <c r="B561" s="13"/>
      <c r="C561" s="13"/>
      <c r="D561" s="17"/>
      <c r="E561" s="15"/>
    </row>
    <row r="562" customFormat="false" ht="15" hidden="false" customHeight="false" outlineLevel="0" collapsed="false">
      <c r="A562" s="12"/>
      <c r="B562" s="13"/>
      <c r="C562" s="13"/>
      <c r="D562" s="17"/>
      <c r="E562" s="15"/>
    </row>
    <row r="563" customFormat="false" ht="15" hidden="false" customHeight="false" outlineLevel="0" collapsed="false">
      <c r="A563" s="12"/>
      <c r="B563" s="13"/>
      <c r="C563" s="13"/>
      <c r="D563" s="17"/>
      <c r="E563" s="15"/>
    </row>
    <row r="564" customFormat="false" ht="15" hidden="false" customHeight="false" outlineLevel="0" collapsed="false">
      <c r="A564" s="12"/>
      <c r="B564" s="13"/>
      <c r="C564" s="13"/>
      <c r="D564" s="17"/>
      <c r="E564" s="15"/>
    </row>
    <row r="565" customFormat="false" ht="15" hidden="false" customHeight="false" outlineLevel="0" collapsed="false">
      <c r="A565" s="12"/>
      <c r="B565" s="13"/>
      <c r="C565" s="13"/>
      <c r="D565" s="17"/>
      <c r="E565" s="15"/>
    </row>
    <row r="566" customFormat="false" ht="15" hidden="false" customHeight="false" outlineLevel="0" collapsed="false">
      <c r="A566" s="12"/>
      <c r="B566" s="13"/>
      <c r="C566" s="13"/>
      <c r="D566" s="17"/>
      <c r="E566" s="15"/>
    </row>
    <row r="567" customFormat="false" ht="15" hidden="false" customHeight="false" outlineLevel="0" collapsed="false">
      <c r="A567" s="12"/>
      <c r="B567" s="13"/>
      <c r="C567" s="13"/>
      <c r="D567" s="17"/>
      <c r="E567" s="15"/>
    </row>
    <row r="568" customFormat="false" ht="15" hidden="false" customHeight="false" outlineLevel="0" collapsed="false">
      <c r="A568" s="12"/>
      <c r="B568" s="13"/>
      <c r="C568" s="13"/>
      <c r="D568" s="17"/>
      <c r="E568" s="15"/>
    </row>
    <row r="569" customFormat="false" ht="15" hidden="false" customHeight="false" outlineLevel="0" collapsed="false">
      <c r="A569" s="12"/>
      <c r="B569" s="13"/>
      <c r="C569" s="13"/>
      <c r="D569" s="17"/>
      <c r="E569" s="15"/>
    </row>
    <row r="570" customFormat="false" ht="15" hidden="false" customHeight="false" outlineLevel="0" collapsed="false">
      <c r="A570" s="12"/>
      <c r="B570" s="13"/>
      <c r="C570" s="13"/>
      <c r="D570" s="17"/>
      <c r="E570" s="15"/>
    </row>
    <row r="571" customFormat="false" ht="15" hidden="false" customHeight="false" outlineLevel="0" collapsed="false">
      <c r="A571" s="12"/>
      <c r="B571" s="13"/>
      <c r="C571" s="13"/>
      <c r="D571" s="17"/>
      <c r="E571" s="15"/>
    </row>
    <row r="572" customFormat="false" ht="15" hidden="false" customHeight="false" outlineLevel="0" collapsed="false">
      <c r="A572" s="12"/>
      <c r="B572" s="13"/>
      <c r="C572" s="13"/>
      <c r="D572" s="17"/>
      <c r="E572" s="15"/>
    </row>
    <row r="573" customFormat="false" ht="15" hidden="false" customHeight="false" outlineLevel="0" collapsed="false">
      <c r="A573" s="12"/>
      <c r="B573" s="13"/>
      <c r="C573" s="13"/>
      <c r="D573" s="17"/>
      <c r="E573" s="15"/>
    </row>
    <row r="574" customFormat="false" ht="15" hidden="false" customHeight="false" outlineLevel="0" collapsed="false">
      <c r="A574" s="12"/>
      <c r="B574" s="13"/>
      <c r="C574" s="13"/>
      <c r="D574" s="17"/>
      <c r="E574" s="15"/>
    </row>
    <row r="575" customFormat="false" ht="15" hidden="false" customHeight="false" outlineLevel="0" collapsed="false">
      <c r="A575" s="12"/>
      <c r="B575" s="13"/>
      <c r="C575" s="13"/>
      <c r="D575" s="17"/>
      <c r="E575" s="15"/>
    </row>
    <row r="576" customFormat="false" ht="15" hidden="false" customHeight="false" outlineLevel="0" collapsed="false">
      <c r="A576" s="12"/>
      <c r="B576" s="13"/>
      <c r="C576" s="13"/>
      <c r="D576" s="17"/>
      <c r="E576" s="15"/>
    </row>
    <row r="577" customFormat="false" ht="15" hidden="false" customHeight="false" outlineLevel="0" collapsed="false">
      <c r="A577" s="12"/>
      <c r="B577" s="13"/>
      <c r="C577" s="13"/>
      <c r="D577" s="17"/>
      <c r="E577" s="15"/>
    </row>
    <row r="578" customFormat="false" ht="15" hidden="false" customHeight="false" outlineLevel="0" collapsed="false">
      <c r="A578" s="12"/>
      <c r="B578" s="13"/>
      <c r="C578" s="13"/>
      <c r="D578" s="17"/>
      <c r="E578" s="15"/>
    </row>
    <row r="579" customFormat="false" ht="15" hidden="false" customHeight="false" outlineLevel="0" collapsed="false">
      <c r="A579" s="12"/>
      <c r="B579" s="13"/>
      <c r="C579" s="13"/>
      <c r="D579" s="17"/>
      <c r="E579" s="15"/>
    </row>
    <row r="580" customFormat="false" ht="15" hidden="false" customHeight="false" outlineLevel="0" collapsed="false">
      <c r="A580" s="12"/>
      <c r="B580" s="13"/>
      <c r="C580" s="13"/>
      <c r="D580" s="17"/>
      <c r="E580" s="15"/>
    </row>
    <row r="581" customFormat="false" ht="15" hidden="false" customHeight="false" outlineLevel="0" collapsed="false">
      <c r="A581" s="12"/>
      <c r="B581" s="13"/>
      <c r="C581" s="13"/>
      <c r="D581" s="17"/>
      <c r="E581" s="15"/>
    </row>
    <row r="582" customFormat="false" ht="15" hidden="false" customHeight="false" outlineLevel="0" collapsed="false">
      <c r="A582" s="12"/>
      <c r="B582" s="13"/>
      <c r="C582" s="13"/>
      <c r="D582" s="17"/>
      <c r="E582" s="15"/>
    </row>
    <row r="583" customFormat="false" ht="15" hidden="false" customHeight="false" outlineLevel="0" collapsed="false">
      <c r="A583" s="12"/>
      <c r="B583" s="13"/>
      <c r="C583" s="13"/>
      <c r="D583" s="17"/>
      <c r="E583" s="15"/>
    </row>
    <row r="584" customFormat="false" ht="15" hidden="false" customHeight="false" outlineLevel="0" collapsed="false">
      <c r="A584" s="12"/>
      <c r="B584" s="13"/>
      <c r="C584" s="13"/>
      <c r="D584" s="17"/>
      <c r="E584" s="15"/>
    </row>
    <row r="585" customFormat="false" ht="15" hidden="false" customHeight="false" outlineLevel="0" collapsed="false">
      <c r="A585" s="12"/>
      <c r="B585" s="13"/>
      <c r="C585" s="13"/>
      <c r="D585" s="17"/>
      <c r="E585" s="15"/>
    </row>
    <row r="586" customFormat="false" ht="15" hidden="false" customHeight="false" outlineLevel="0" collapsed="false">
      <c r="A586" s="12"/>
      <c r="B586" s="13"/>
      <c r="C586" s="13"/>
      <c r="D586" s="17"/>
      <c r="E586" s="15"/>
    </row>
    <row r="587" customFormat="false" ht="15" hidden="false" customHeight="false" outlineLevel="0" collapsed="false">
      <c r="A587" s="12"/>
      <c r="B587" s="13"/>
      <c r="C587" s="13"/>
      <c r="D587" s="17"/>
      <c r="E587" s="15"/>
    </row>
    <row r="588" customFormat="false" ht="15" hidden="false" customHeight="false" outlineLevel="0" collapsed="false">
      <c r="A588" s="12"/>
      <c r="B588" s="13"/>
      <c r="C588" s="13"/>
      <c r="D588" s="17"/>
      <c r="E588" s="15"/>
    </row>
    <row r="589" customFormat="false" ht="15" hidden="false" customHeight="false" outlineLevel="0" collapsed="false">
      <c r="A589" s="12"/>
      <c r="B589" s="13"/>
      <c r="C589" s="13"/>
      <c r="D589" s="17"/>
      <c r="E589" s="15"/>
    </row>
    <row r="590" customFormat="false" ht="15" hidden="false" customHeight="false" outlineLevel="0" collapsed="false">
      <c r="A590" s="12"/>
      <c r="B590" s="13"/>
      <c r="C590" s="13"/>
      <c r="D590" s="17"/>
      <c r="E590" s="15"/>
    </row>
    <row r="591" customFormat="false" ht="15" hidden="false" customHeight="false" outlineLevel="0" collapsed="false">
      <c r="A591" s="12"/>
      <c r="B591" s="13"/>
      <c r="C591" s="13"/>
      <c r="D591" s="17"/>
      <c r="E591" s="15"/>
    </row>
    <row r="592" customFormat="false" ht="15" hidden="false" customHeight="false" outlineLevel="0" collapsed="false">
      <c r="A592" s="12"/>
      <c r="B592" s="13"/>
      <c r="C592" s="13"/>
      <c r="D592" s="17"/>
      <c r="E592" s="15"/>
    </row>
    <row r="593" customFormat="false" ht="15" hidden="false" customHeight="false" outlineLevel="0" collapsed="false">
      <c r="A593" s="12"/>
      <c r="B593" s="13"/>
      <c r="C593" s="13"/>
      <c r="D593" s="17"/>
      <c r="E593" s="15"/>
    </row>
    <row r="594" customFormat="false" ht="15" hidden="false" customHeight="false" outlineLevel="0" collapsed="false">
      <c r="A594" s="12"/>
      <c r="B594" s="13"/>
      <c r="C594" s="13"/>
      <c r="D594" s="17"/>
      <c r="E594" s="15"/>
    </row>
    <row r="595" customFormat="false" ht="15" hidden="false" customHeight="false" outlineLevel="0" collapsed="false">
      <c r="A595" s="12"/>
      <c r="B595" s="13"/>
      <c r="C595" s="13"/>
      <c r="D595" s="17"/>
      <c r="E595" s="15"/>
    </row>
    <row r="596" customFormat="false" ht="15" hidden="false" customHeight="false" outlineLevel="0" collapsed="false">
      <c r="A596" s="12"/>
      <c r="B596" s="13"/>
      <c r="C596" s="13"/>
      <c r="D596" s="17"/>
      <c r="E596" s="15"/>
    </row>
    <row r="597" customFormat="false" ht="15" hidden="false" customHeight="false" outlineLevel="0" collapsed="false">
      <c r="A597" s="12"/>
      <c r="B597" s="13"/>
      <c r="C597" s="13"/>
      <c r="D597" s="17"/>
      <c r="E597" s="15"/>
    </row>
    <row r="598" customFormat="false" ht="15" hidden="false" customHeight="false" outlineLevel="0" collapsed="false">
      <c r="A598" s="12"/>
      <c r="B598" s="13"/>
      <c r="C598" s="13"/>
      <c r="D598" s="17"/>
      <c r="E598" s="15"/>
    </row>
    <row r="599" customFormat="false" ht="15" hidden="false" customHeight="false" outlineLevel="0" collapsed="false">
      <c r="A599" s="12"/>
      <c r="B599" s="13"/>
      <c r="C599" s="13"/>
      <c r="D599" s="17"/>
      <c r="E599" s="15"/>
    </row>
    <row r="600" customFormat="false" ht="15" hidden="false" customHeight="false" outlineLevel="0" collapsed="false">
      <c r="A600" s="12"/>
      <c r="B600" s="13"/>
      <c r="C600" s="13"/>
      <c r="D600" s="17"/>
      <c r="E600" s="15"/>
    </row>
    <row r="601" customFormat="false" ht="15" hidden="false" customHeight="false" outlineLevel="0" collapsed="false">
      <c r="A601" s="12"/>
      <c r="B601" s="13"/>
      <c r="C601" s="13"/>
      <c r="D601" s="17"/>
      <c r="E601" s="15"/>
    </row>
    <row r="602" customFormat="false" ht="15" hidden="false" customHeight="false" outlineLevel="0" collapsed="false">
      <c r="A602" s="12"/>
      <c r="B602" s="13"/>
      <c r="C602" s="13"/>
      <c r="D602" s="17"/>
      <c r="E602" s="15"/>
    </row>
    <row r="603" customFormat="false" ht="15" hidden="false" customHeight="false" outlineLevel="0" collapsed="false">
      <c r="A603" s="12"/>
      <c r="B603" s="13"/>
      <c r="C603" s="13"/>
      <c r="D603" s="17"/>
      <c r="E603" s="15"/>
    </row>
    <row r="604" customFormat="false" ht="15" hidden="false" customHeight="false" outlineLevel="0" collapsed="false">
      <c r="A604" s="12"/>
      <c r="B604" s="13"/>
      <c r="C604" s="13"/>
      <c r="D604" s="17"/>
      <c r="E604" s="15"/>
    </row>
  </sheetData>
  <dataValidations count="4">
    <dataValidation allowBlank="true" error="Geçerli bir tarih gir (örnek: 05.10.2026)." errorStyle="stop" errorTitle="Kontrol" operator="greaterThan" showDropDown="false" showErrorMessage="true" showInputMessage="false" sqref="A5:A604" type="date">
      <formula1>36526</formula1>
      <formula2>0</formula2>
    </dataValidation>
    <dataValidation allowBlank="true" error="Listeden seç." errorStyle="stop" errorTitle="Kontrol" operator="between" showDropDown="false" showErrorMessage="true" showInputMessage="false" sqref="B5:B604" type="list">
      <formula1>Kişiler!$A$5:$A$44</formula1>
      <formula2>0</formula2>
    </dataValidation>
    <dataValidation allowBlank="true" error="Listeden seç." errorStyle="stop" errorTitle="Kontrol" operator="between" showDropDown="false" showErrorMessage="true" showInputMessage="false" sqref="C5:C604" type="list">
      <formula1>"Avans,Ödeme"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D5:D6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8" min="4" style="0" width="14"/>
  </cols>
  <sheetData>
    <row r="1" customFormat="false" ht="19.7" hidden="false" customHeight="false" outlineLevel="0" collapsed="false">
      <c r="A1" s="8" t="s">
        <v>45</v>
      </c>
    </row>
    <row r="2" customFormat="false" ht="15" hidden="false" customHeight="false" outlineLevel="0" collapsed="false">
      <c r="A2" s="9" t="s">
        <v>46</v>
      </c>
    </row>
    <row r="4" customFormat="false" ht="27.75" hidden="false" customHeight="true" outlineLevel="0" collapsed="false">
      <c r="A4" s="10" t="s">
        <v>47</v>
      </c>
      <c r="B4" s="10" t="s">
        <v>48</v>
      </c>
      <c r="C4" s="10" t="s">
        <v>49</v>
      </c>
      <c r="D4" s="11" t="s">
        <v>28</v>
      </c>
      <c r="E4" s="11" t="s">
        <v>29</v>
      </c>
      <c r="F4" s="11" t="s">
        <v>50</v>
      </c>
      <c r="G4" s="11" t="s">
        <v>51</v>
      </c>
      <c r="H4" s="11" t="s">
        <v>52</v>
      </c>
    </row>
    <row r="5" customFormat="false" ht="15" hidden="false" customHeight="false" outlineLevel="0" collapsed="false">
      <c r="A5" s="15" t="s">
        <v>33</v>
      </c>
      <c r="B5" s="17" t="n">
        <v>2000</v>
      </c>
      <c r="C5" s="17" t="n">
        <v>300</v>
      </c>
      <c r="D5" s="18" t="n">
        <f aca="false">IF(A5="","",SUMIFS(Puantaj!$C$5:$C$3004,Puantaj!$B$5:$B$3004,A5,Puantaj!$A$5:$A$3004,"&gt;="&amp;Özet!$C$3,Puantaj!$A$5:$A$3004,"&lt;="&amp;Özet!$C$4))</f>
        <v>3</v>
      </c>
      <c r="E5" s="18" t="n">
        <f aca="false">IF(A5="","",SUMIFS(Puantaj!$D$5:$D$3004,Puantaj!$B$5:$B$3004,A5,Puantaj!$A$5:$A$3004,"&gt;="&amp;Özet!$C$3,Puantaj!$A$5:$A$3004,"&lt;="&amp;Özet!$C$4))</f>
        <v>2</v>
      </c>
      <c r="F5" s="16" t="n">
        <f aca="false">IF(A5="","",D5*B5+E5*C5)</f>
        <v>6600</v>
      </c>
      <c r="G5" s="16" t="n">
        <f aca="false">IF(A5="","",SUMIFS(Ödemeler!$D$5:$D$604,Ödemeler!$B$5:$B$604,A5,Ödemeler!$A$5:$A$604,"&gt;="&amp;Özet!$C$3,Ödemeler!$A$5:$A$604,"&lt;="&amp;Özet!$C$4))</f>
        <v>2000</v>
      </c>
      <c r="H5" s="16" t="n">
        <f aca="false">IF(A5="","",F5-G5)</f>
        <v>4600</v>
      </c>
    </row>
    <row r="6" customFormat="false" ht="15" hidden="false" customHeight="false" outlineLevel="0" collapsed="false">
      <c r="A6" s="15" t="s">
        <v>35</v>
      </c>
      <c r="B6" s="17" t="n">
        <v>1800</v>
      </c>
      <c r="C6" s="17" t="n">
        <v>270</v>
      </c>
      <c r="D6" s="18" t="n">
        <f aca="false">IF(A6="","",SUMIFS(Puantaj!$C$5:$C$3004,Puantaj!$B$5:$B$3004,A6,Puantaj!$A$5:$A$3004,"&gt;="&amp;Özet!$C$3,Puantaj!$A$5:$A$3004,"&lt;="&amp;Özet!$C$4))</f>
        <v>1</v>
      </c>
      <c r="E6" s="18" t="n">
        <f aca="false">IF(A6="","",SUMIFS(Puantaj!$D$5:$D$3004,Puantaj!$B$5:$B$3004,A6,Puantaj!$A$5:$A$3004,"&gt;="&amp;Özet!$C$3,Puantaj!$A$5:$A$3004,"&lt;="&amp;Özet!$C$4))</f>
        <v>0</v>
      </c>
      <c r="F6" s="16" t="n">
        <f aca="false">IF(A6="","",D6*B6+E6*C6)</f>
        <v>1800</v>
      </c>
      <c r="G6" s="16" t="n">
        <f aca="false">IF(A6="","",SUMIFS(Ödemeler!$D$5:$D$604,Ödemeler!$B$5:$B$604,A6,Ödemeler!$A$5:$A$604,"&gt;="&amp;Özet!$C$3,Ödemeler!$A$5:$A$604,"&lt;="&amp;Özet!$C$4))</f>
        <v>1800</v>
      </c>
      <c r="H6" s="16" t="n">
        <f aca="false">IF(A6="","",F6-G6)</f>
        <v>0</v>
      </c>
    </row>
    <row r="7" customFormat="false" ht="15" hidden="false" customHeight="false" outlineLevel="0" collapsed="false">
      <c r="A7" s="15" t="s">
        <v>37</v>
      </c>
      <c r="B7" s="17" t="n">
        <v>2500</v>
      </c>
      <c r="C7" s="17" t="n">
        <v>375</v>
      </c>
      <c r="D7" s="18" t="n">
        <f aca="false">IF(A7="","",SUMIFS(Puantaj!$C$5:$C$3004,Puantaj!$B$5:$B$3004,A7,Puantaj!$A$5:$A$3004,"&gt;="&amp;Özet!$C$3,Puantaj!$A$5:$A$3004,"&lt;="&amp;Özet!$C$4))</f>
        <v>0.5</v>
      </c>
      <c r="E7" s="18" t="n">
        <f aca="false">IF(A7="","",SUMIFS(Puantaj!$D$5:$D$3004,Puantaj!$B$5:$B$3004,A7,Puantaj!$A$5:$A$3004,"&gt;="&amp;Özet!$C$3,Puantaj!$A$5:$A$3004,"&lt;="&amp;Özet!$C$4))</f>
        <v>0</v>
      </c>
      <c r="F7" s="16" t="n">
        <f aca="false">IF(A7="","",D7*B7+E7*C7)</f>
        <v>1250</v>
      </c>
      <c r="G7" s="16" t="n">
        <f aca="false">IF(A7="","",SUMIFS(Ödemeler!$D$5:$D$604,Ödemeler!$B$5:$B$604,A7,Ödemeler!$A$5:$A$604,"&gt;="&amp;Özet!$C$3,Ödemeler!$A$5:$A$604,"&lt;="&amp;Özet!$C$4))</f>
        <v>0</v>
      </c>
      <c r="H7" s="16" t="n">
        <f aca="false">IF(A7="","",F7-G7)</f>
        <v>1250</v>
      </c>
    </row>
    <row r="8" customFormat="false" ht="15" hidden="false" customHeight="false" outlineLevel="0" collapsed="false">
      <c r="A8" s="15"/>
      <c r="B8" s="17"/>
      <c r="C8" s="17"/>
      <c r="D8" s="18" t="str">
        <f aca="false">IF(A8="","",SUMIFS(Puantaj!$C$5:$C$3004,Puantaj!$B$5:$B$3004,A8,Puantaj!$A$5:$A$3004,"&gt;="&amp;Özet!$C$3,Puantaj!$A$5:$A$3004,"&lt;="&amp;Özet!$C$4))</f>
        <v/>
      </c>
      <c r="E8" s="18" t="str">
        <f aca="false">IF(A8="","",SUMIFS(Puantaj!$D$5:$D$3004,Puantaj!$B$5:$B$3004,A8,Puantaj!$A$5:$A$3004,"&gt;="&amp;Özet!$C$3,Puantaj!$A$5:$A$3004,"&lt;="&amp;Özet!$C$4))</f>
        <v/>
      </c>
      <c r="F8" s="16" t="str">
        <f aca="false">IF(A8="","",D8*B8+E8*C8)</f>
        <v/>
      </c>
      <c r="G8" s="16" t="str">
        <f aca="false">IF(A8="","",SUMIFS(Ödemeler!$D$5:$D$604,Ödemeler!$B$5:$B$604,A8,Ödemeler!$A$5:$A$604,"&gt;="&amp;Özet!$C$3,Ödemeler!$A$5:$A$604,"&lt;="&amp;Özet!$C$4))</f>
        <v/>
      </c>
      <c r="H8" s="16" t="str">
        <f aca="false">IF(A8="","",F8-G8)</f>
        <v/>
      </c>
    </row>
    <row r="9" customFormat="false" ht="15" hidden="false" customHeight="false" outlineLevel="0" collapsed="false">
      <c r="A9" s="15"/>
      <c r="B9" s="17"/>
      <c r="C9" s="17"/>
      <c r="D9" s="18" t="str">
        <f aca="false">IF(A9="","",SUMIFS(Puantaj!$C$5:$C$3004,Puantaj!$B$5:$B$3004,A9,Puantaj!$A$5:$A$3004,"&gt;="&amp;Özet!$C$3,Puantaj!$A$5:$A$3004,"&lt;="&amp;Özet!$C$4))</f>
        <v/>
      </c>
      <c r="E9" s="18" t="str">
        <f aca="false">IF(A9="","",SUMIFS(Puantaj!$D$5:$D$3004,Puantaj!$B$5:$B$3004,A9,Puantaj!$A$5:$A$3004,"&gt;="&amp;Özet!$C$3,Puantaj!$A$5:$A$3004,"&lt;="&amp;Özet!$C$4))</f>
        <v/>
      </c>
      <c r="F9" s="16" t="str">
        <f aca="false">IF(A9="","",D9*B9+E9*C9)</f>
        <v/>
      </c>
      <c r="G9" s="16" t="str">
        <f aca="false">IF(A9="","",SUMIFS(Ödemeler!$D$5:$D$604,Ödemeler!$B$5:$B$604,A9,Ödemeler!$A$5:$A$604,"&gt;="&amp;Özet!$C$3,Ödemeler!$A$5:$A$604,"&lt;="&amp;Özet!$C$4))</f>
        <v/>
      </c>
      <c r="H9" s="16" t="str">
        <f aca="false">IF(A9="","",F9-G9)</f>
        <v/>
      </c>
    </row>
    <row r="10" customFormat="false" ht="15" hidden="false" customHeight="false" outlineLevel="0" collapsed="false">
      <c r="A10" s="15"/>
      <c r="B10" s="17"/>
      <c r="C10" s="17"/>
      <c r="D10" s="18" t="str">
        <f aca="false">IF(A10="","",SUMIFS(Puantaj!$C$5:$C$3004,Puantaj!$B$5:$B$3004,A10,Puantaj!$A$5:$A$3004,"&gt;="&amp;Özet!$C$3,Puantaj!$A$5:$A$3004,"&lt;="&amp;Özet!$C$4))</f>
        <v/>
      </c>
      <c r="E10" s="18" t="str">
        <f aca="false">IF(A10="","",SUMIFS(Puantaj!$D$5:$D$3004,Puantaj!$B$5:$B$3004,A10,Puantaj!$A$5:$A$3004,"&gt;="&amp;Özet!$C$3,Puantaj!$A$5:$A$3004,"&lt;="&amp;Özet!$C$4))</f>
        <v/>
      </c>
      <c r="F10" s="16" t="str">
        <f aca="false">IF(A10="","",D10*B10+E10*C10)</f>
        <v/>
      </c>
      <c r="G10" s="16" t="str">
        <f aca="false">IF(A10="","",SUMIFS(Ödemeler!$D$5:$D$604,Ödemeler!$B$5:$B$604,A10,Ödemeler!$A$5:$A$604,"&gt;="&amp;Özet!$C$3,Ödemeler!$A$5:$A$604,"&lt;="&amp;Özet!$C$4))</f>
        <v/>
      </c>
      <c r="H10" s="16" t="str">
        <f aca="false">IF(A10="","",F10-G10)</f>
        <v/>
      </c>
    </row>
    <row r="11" customFormat="false" ht="15" hidden="false" customHeight="false" outlineLevel="0" collapsed="false">
      <c r="A11" s="15"/>
      <c r="B11" s="17"/>
      <c r="C11" s="17"/>
      <c r="D11" s="18" t="str">
        <f aca="false">IF(A11="","",SUMIFS(Puantaj!$C$5:$C$3004,Puantaj!$B$5:$B$3004,A11,Puantaj!$A$5:$A$3004,"&gt;="&amp;Özet!$C$3,Puantaj!$A$5:$A$3004,"&lt;="&amp;Özet!$C$4))</f>
        <v/>
      </c>
      <c r="E11" s="18" t="str">
        <f aca="false">IF(A11="","",SUMIFS(Puantaj!$D$5:$D$3004,Puantaj!$B$5:$B$3004,A11,Puantaj!$A$5:$A$3004,"&gt;="&amp;Özet!$C$3,Puantaj!$A$5:$A$3004,"&lt;="&amp;Özet!$C$4))</f>
        <v/>
      </c>
      <c r="F11" s="16" t="str">
        <f aca="false">IF(A11="","",D11*B11+E11*C11)</f>
        <v/>
      </c>
      <c r="G11" s="16" t="str">
        <f aca="false">IF(A11="","",SUMIFS(Ödemeler!$D$5:$D$604,Ödemeler!$B$5:$B$604,A11,Ödemeler!$A$5:$A$604,"&gt;="&amp;Özet!$C$3,Ödemeler!$A$5:$A$604,"&lt;="&amp;Özet!$C$4))</f>
        <v/>
      </c>
      <c r="H11" s="16" t="str">
        <f aca="false">IF(A11="","",F11-G11)</f>
        <v/>
      </c>
    </row>
    <row r="12" customFormat="false" ht="15" hidden="false" customHeight="false" outlineLevel="0" collapsed="false">
      <c r="A12" s="15"/>
      <c r="B12" s="17"/>
      <c r="C12" s="17"/>
      <c r="D12" s="18" t="str">
        <f aca="false">IF(A12="","",SUMIFS(Puantaj!$C$5:$C$3004,Puantaj!$B$5:$B$3004,A12,Puantaj!$A$5:$A$3004,"&gt;="&amp;Özet!$C$3,Puantaj!$A$5:$A$3004,"&lt;="&amp;Özet!$C$4))</f>
        <v/>
      </c>
      <c r="E12" s="18" t="str">
        <f aca="false">IF(A12="","",SUMIFS(Puantaj!$D$5:$D$3004,Puantaj!$B$5:$B$3004,A12,Puantaj!$A$5:$A$3004,"&gt;="&amp;Özet!$C$3,Puantaj!$A$5:$A$3004,"&lt;="&amp;Özet!$C$4))</f>
        <v/>
      </c>
      <c r="F12" s="16" t="str">
        <f aca="false">IF(A12="","",D12*B12+E12*C12)</f>
        <v/>
      </c>
      <c r="G12" s="16" t="str">
        <f aca="false">IF(A12="","",SUMIFS(Ödemeler!$D$5:$D$604,Ödemeler!$B$5:$B$604,A12,Ödemeler!$A$5:$A$604,"&gt;="&amp;Özet!$C$3,Ödemeler!$A$5:$A$604,"&lt;="&amp;Özet!$C$4))</f>
        <v/>
      </c>
      <c r="H12" s="16" t="str">
        <f aca="false">IF(A12="","",F12-G12)</f>
        <v/>
      </c>
    </row>
    <row r="13" customFormat="false" ht="15" hidden="false" customHeight="false" outlineLevel="0" collapsed="false">
      <c r="A13" s="15"/>
      <c r="B13" s="17"/>
      <c r="C13" s="17"/>
      <c r="D13" s="18" t="str">
        <f aca="false">IF(A13="","",SUMIFS(Puantaj!$C$5:$C$3004,Puantaj!$B$5:$B$3004,A13,Puantaj!$A$5:$A$3004,"&gt;="&amp;Özet!$C$3,Puantaj!$A$5:$A$3004,"&lt;="&amp;Özet!$C$4))</f>
        <v/>
      </c>
      <c r="E13" s="18" t="str">
        <f aca="false">IF(A13="","",SUMIFS(Puantaj!$D$5:$D$3004,Puantaj!$B$5:$B$3004,A13,Puantaj!$A$5:$A$3004,"&gt;="&amp;Özet!$C$3,Puantaj!$A$5:$A$3004,"&lt;="&amp;Özet!$C$4))</f>
        <v/>
      </c>
      <c r="F13" s="16" t="str">
        <f aca="false">IF(A13="","",D13*B13+E13*C13)</f>
        <v/>
      </c>
      <c r="G13" s="16" t="str">
        <f aca="false">IF(A13="","",SUMIFS(Ödemeler!$D$5:$D$604,Ödemeler!$B$5:$B$604,A13,Ödemeler!$A$5:$A$604,"&gt;="&amp;Özet!$C$3,Ödemeler!$A$5:$A$604,"&lt;="&amp;Özet!$C$4))</f>
        <v/>
      </c>
      <c r="H13" s="16" t="str">
        <f aca="false">IF(A13="","",F13-G13)</f>
        <v/>
      </c>
    </row>
    <row r="14" customFormat="false" ht="15" hidden="false" customHeight="false" outlineLevel="0" collapsed="false">
      <c r="A14" s="15"/>
      <c r="B14" s="17"/>
      <c r="C14" s="17"/>
      <c r="D14" s="18" t="str">
        <f aca="false">IF(A14="","",SUMIFS(Puantaj!$C$5:$C$3004,Puantaj!$B$5:$B$3004,A14,Puantaj!$A$5:$A$3004,"&gt;="&amp;Özet!$C$3,Puantaj!$A$5:$A$3004,"&lt;="&amp;Özet!$C$4))</f>
        <v/>
      </c>
      <c r="E14" s="18" t="str">
        <f aca="false">IF(A14="","",SUMIFS(Puantaj!$D$5:$D$3004,Puantaj!$B$5:$B$3004,A14,Puantaj!$A$5:$A$3004,"&gt;="&amp;Özet!$C$3,Puantaj!$A$5:$A$3004,"&lt;="&amp;Özet!$C$4))</f>
        <v/>
      </c>
      <c r="F14" s="16" t="str">
        <f aca="false">IF(A14="","",D14*B14+E14*C14)</f>
        <v/>
      </c>
      <c r="G14" s="16" t="str">
        <f aca="false">IF(A14="","",SUMIFS(Ödemeler!$D$5:$D$604,Ödemeler!$B$5:$B$604,A14,Ödemeler!$A$5:$A$604,"&gt;="&amp;Özet!$C$3,Ödemeler!$A$5:$A$604,"&lt;="&amp;Özet!$C$4))</f>
        <v/>
      </c>
      <c r="H14" s="16" t="str">
        <f aca="false">IF(A14="","",F14-G14)</f>
        <v/>
      </c>
    </row>
    <row r="15" customFormat="false" ht="15" hidden="false" customHeight="false" outlineLevel="0" collapsed="false">
      <c r="A15" s="15"/>
      <c r="B15" s="17"/>
      <c r="C15" s="17"/>
      <c r="D15" s="18" t="str">
        <f aca="false">IF(A15="","",SUMIFS(Puantaj!$C$5:$C$3004,Puantaj!$B$5:$B$3004,A15,Puantaj!$A$5:$A$3004,"&gt;="&amp;Özet!$C$3,Puantaj!$A$5:$A$3004,"&lt;="&amp;Özet!$C$4))</f>
        <v/>
      </c>
      <c r="E15" s="18" t="str">
        <f aca="false">IF(A15="","",SUMIFS(Puantaj!$D$5:$D$3004,Puantaj!$B$5:$B$3004,A15,Puantaj!$A$5:$A$3004,"&gt;="&amp;Özet!$C$3,Puantaj!$A$5:$A$3004,"&lt;="&amp;Özet!$C$4))</f>
        <v/>
      </c>
      <c r="F15" s="16" t="str">
        <f aca="false">IF(A15="","",D15*B15+E15*C15)</f>
        <v/>
      </c>
      <c r="G15" s="16" t="str">
        <f aca="false">IF(A15="","",SUMIFS(Ödemeler!$D$5:$D$604,Ödemeler!$B$5:$B$604,A15,Ödemeler!$A$5:$A$604,"&gt;="&amp;Özet!$C$3,Ödemeler!$A$5:$A$604,"&lt;="&amp;Özet!$C$4))</f>
        <v/>
      </c>
      <c r="H15" s="16" t="str">
        <f aca="false">IF(A15="","",F15-G15)</f>
        <v/>
      </c>
    </row>
    <row r="16" customFormat="false" ht="15" hidden="false" customHeight="false" outlineLevel="0" collapsed="false">
      <c r="A16" s="15"/>
      <c r="B16" s="17"/>
      <c r="C16" s="17"/>
      <c r="D16" s="18" t="str">
        <f aca="false">IF(A16="","",SUMIFS(Puantaj!$C$5:$C$3004,Puantaj!$B$5:$B$3004,A16,Puantaj!$A$5:$A$3004,"&gt;="&amp;Özet!$C$3,Puantaj!$A$5:$A$3004,"&lt;="&amp;Özet!$C$4))</f>
        <v/>
      </c>
      <c r="E16" s="18" t="str">
        <f aca="false">IF(A16="","",SUMIFS(Puantaj!$D$5:$D$3004,Puantaj!$B$5:$B$3004,A16,Puantaj!$A$5:$A$3004,"&gt;="&amp;Özet!$C$3,Puantaj!$A$5:$A$3004,"&lt;="&amp;Özet!$C$4))</f>
        <v/>
      </c>
      <c r="F16" s="16" t="str">
        <f aca="false">IF(A16="","",D16*B16+E16*C16)</f>
        <v/>
      </c>
      <c r="G16" s="16" t="str">
        <f aca="false">IF(A16="","",SUMIFS(Ödemeler!$D$5:$D$604,Ödemeler!$B$5:$B$604,A16,Ödemeler!$A$5:$A$604,"&gt;="&amp;Özet!$C$3,Ödemeler!$A$5:$A$604,"&lt;="&amp;Özet!$C$4))</f>
        <v/>
      </c>
      <c r="H16" s="16" t="str">
        <f aca="false">IF(A16="","",F16-G16)</f>
        <v/>
      </c>
    </row>
    <row r="17" customFormat="false" ht="15" hidden="false" customHeight="false" outlineLevel="0" collapsed="false">
      <c r="A17" s="15"/>
      <c r="B17" s="17"/>
      <c r="C17" s="17"/>
      <c r="D17" s="18" t="str">
        <f aca="false">IF(A17="","",SUMIFS(Puantaj!$C$5:$C$3004,Puantaj!$B$5:$B$3004,A17,Puantaj!$A$5:$A$3004,"&gt;="&amp;Özet!$C$3,Puantaj!$A$5:$A$3004,"&lt;="&amp;Özet!$C$4))</f>
        <v/>
      </c>
      <c r="E17" s="18" t="str">
        <f aca="false">IF(A17="","",SUMIFS(Puantaj!$D$5:$D$3004,Puantaj!$B$5:$B$3004,A17,Puantaj!$A$5:$A$3004,"&gt;="&amp;Özet!$C$3,Puantaj!$A$5:$A$3004,"&lt;="&amp;Özet!$C$4))</f>
        <v/>
      </c>
      <c r="F17" s="16" t="str">
        <f aca="false">IF(A17="","",D17*B17+E17*C17)</f>
        <v/>
      </c>
      <c r="G17" s="16" t="str">
        <f aca="false">IF(A17="","",SUMIFS(Ödemeler!$D$5:$D$604,Ödemeler!$B$5:$B$604,A17,Ödemeler!$A$5:$A$604,"&gt;="&amp;Özet!$C$3,Ödemeler!$A$5:$A$604,"&lt;="&amp;Özet!$C$4))</f>
        <v/>
      </c>
      <c r="H17" s="16" t="str">
        <f aca="false">IF(A17="","",F17-G17)</f>
        <v/>
      </c>
    </row>
    <row r="18" customFormat="false" ht="15" hidden="false" customHeight="false" outlineLevel="0" collapsed="false">
      <c r="A18" s="15"/>
      <c r="B18" s="17"/>
      <c r="C18" s="17"/>
      <c r="D18" s="18" t="str">
        <f aca="false">IF(A18="","",SUMIFS(Puantaj!$C$5:$C$3004,Puantaj!$B$5:$B$3004,A18,Puantaj!$A$5:$A$3004,"&gt;="&amp;Özet!$C$3,Puantaj!$A$5:$A$3004,"&lt;="&amp;Özet!$C$4))</f>
        <v/>
      </c>
      <c r="E18" s="18" t="str">
        <f aca="false">IF(A18="","",SUMIFS(Puantaj!$D$5:$D$3004,Puantaj!$B$5:$B$3004,A18,Puantaj!$A$5:$A$3004,"&gt;="&amp;Özet!$C$3,Puantaj!$A$5:$A$3004,"&lt;="&amp;Özet!$C$4))</f>
        <v/>
      </c>
      <c r="F18" s="16" t="str">
        <f aca="false">IF(A18="","",D18*B18+E18*C18)</f>
        <v/>
      </c>
      <c r="G18" s="16" t="str">
        <f aca="false">IF(A18="","",SUMIFS(Ödemeler!$D$5:$D$604,Ödemeler!$B$5:$B$604,A18,Ödemeler!$A$5:$A$604,"&gt;="&amp;Özet!$C$3,Ödemeler!$A$5:$A$604,"&lt;="&amp;Özet!$C$4))</f>
        <v/>
      </c>
      <c r="H18" s="16" t="str">
        <f aca="false">IF(A18="","",F18-G18)</f>
        <v/>
      </c>
    </row>
    <row r="19" customFormat="false" ht="15" hidden="false" customHeight="false" outlineLevel="0" collapsed="false">
      <c r="A19" s="15"/>
      <c r="B19" s="17"/>
      <c r="C19" s="17"/>
      <c r="D19" s="18" t="str">
        <f aca="false">IF(A19="","",SUMIFS(Puantaj!$C$5:$C$3004,Puantaj!$B$5:$B$3004,A19,Puantaj!$A$5:$A$3004,"&gt;="&amp;Özet!$C$3,Puantaj!$A$5:$A$3004,"&lt;="&amp;Özet!$C$4))</f>
        <v/>
      </c>
      <c r="E19" s="18" t="str">
        <f aca="false">IF(A19="","",SUMIFS(Puantaj!$D$5:$D$3004,Puantaj!$B$5:$B$3004,A19,Puantaj!$A$5:$A$3004,"&gt;="&amp;Özet!$C$3,Puantaj!$A$5:$A$3004,"&lt;="&amp;Özet!$C$4))</f>
        <v/>
      </c>
      <c r="F19" s="16" t="str">
        <f aca="false">IF(A19="","",D19*B19+E19*C19)</f>
        <v/>
      </c>
      <c r="G19" s="16" t="str">
        <f aca="false">IF(A19="","",SUMIFS(Ödemeler!$D$5:$D$604,Ödemeler!$B$5:$B$604,A19,Ödemeler!$A$5:$A$604,"&gt;="&amp;Özet!$C$3,Ödemeler!$A$5:$A$604,"&lt;="&amp;Özet!$C$4))</f>
        <v/>
      </c>
      <c r="H19" s="16" t="str">
        <f aca="false">IF(A19="","",F19-G19)</f>
        <v/>
      </c>
    </row>
    <row r="20" customFormat="false" ht="15" hidden="false" customHeight="false" outlineLevel="0" collapsed="false">
      <c r="A20" s="15"/>
      <c r="B20" s="17"/>
      <c r="C20" s="17"/>
      <c r="D20" s="18" t="str">
        <f aca="false">IF(A20="","",SUMIFS(Puantaj!$C$5:$C$3004,Puantaj!$B$5:$B$3004,A20,Puantaj!$A$5:$A$3004,"&gt;="&amp;Özet!$C$3,Puantaj!$A$5:$A$3004,"&lt;="&amp;Özet!$C$4))</f>
        <v/>
      </c>
      <c r="E20" s="18" t="str">
        <f aca="false">IF(A20="","",SUMIFS(Puantaj!$D$5:$D$3004,Puantaj!$B$5:$B$3004,A20,Puantaj!$A$5:$A$3004,"&gt;="&amp;Özet!$C$3,Puantaj!$A$5:$A$3004,"&lt;="&amp;Özet!$C$4))</f>
        <v/>
      </c>
      <c r="F20" s="16" t="str">
        <f aca="false">IF(A20="","",D20*B20+E20*C20)</f>
        <v/>
      </c>
      <c r="G20" s="16" t="str">
        <f aca="false">IF(A20="","",SUMIFS(Ödemeler!$D$5:$D$604,Ödemeler!$B$5:$B$604,A20,Ödemeler!$A$5:$A$604,"&gt;="&amp;Özet!$C$3,Ödemeler!$A$5:$A$604,"&lt;="&amp;Özet!$C$4))</f>
        <v/>
      </c>
      <c r="H20" s="16" t="str">
        <f aca="false">IF(A20="","",F20-G20)</f>
        <v/>
      </c>
    </row>
    <row r="21" customFormat="false" ht="15" hidden="false" customHeight="false" outlineLevel="0" collapsed="false">
      <c r="A21" s="15"/>
      <c r="B21" s="17"/>
      <c r="C21" s="17"/>
      <c r="D21" s="18" t="str">
        <f aca="false">IF(A21="","",SUMIFS(Puantaj!$C$5:$C$3004,Puantaj!$B$5:$B$3004,A21,Puantaj!$A$5:$A$3004,"&gt;="&amp;Özet!$C$3,Puantaj!$A$5:$A$3004,"&lt;="&amp;Özet!$C$4))</f>
        <v/>
      </c>
      <c r="E21" s="18" t="str">
        <f aca="false">IF(A21="","",SUMIFS(Puantaj!$D$5:$D$3004,Puantaj!$B$5:$B$3004,A21,Puantaj!$A$5:$A$3004,"&gt;="&amp;Özet!$C$3,Puantaj!$A$5:$A$3004,"&lt;="&amp;Özet!$C$4))</f>
        <v/>
      </c>
      <c r="F21" s="16" t="str">
        <f aca="false">IF(A21="","",D21*B21+E21*C21)</f>
        <v/>
      </c>
      <c r="G21" s="16" t="str">
        <f aca="false">IF(A21="","",SUMIFS(Ödemeler!$D$5:$D$604,Ödemeler!$B$5:$B$604,A21,Ödemeler!$A$5:$A$604,"&gt;="&amp;Özet!$C$3,Ödemeler!$A$5:$A$604,"&lt;="&amp;Özet!$C$4))</f>
        <v/>
      </c>
      <c r="H21" s="16" t="str">
        <f aca="false">IF(A21="","",F21-G21)</f>
        <v/>
      </c>
    </row>
    <row r="22" customFormat="false" ht="15" hidden="false" customHeight="false" outlineLevel="0" collapsed="false">
      <c r="A22" s="15"/>
      <c r="B22" s="17"/>
      <c r="C22" s="17"/>
      <c r="D22" s="18" t="str">
        <f aca="false">IF(A22="","",SUMIFS(Puantaj!$C$5:$C$3004,Puantaj!$B$5:$B$3004,A22,Puantaj!$A$5:$A$3004,"&gt;="&amp;Özet!$C$3,Puantaj!$A$5:$A$3004,"&lt;="&amp;Özet!$C$4))</f>
        <v/>
      </c>
      <c r="E22" s="18" t="str">
        <f aca="false">IF(A22="","",SUMIFS(Puantaj!$D$5:$D$3004,Puantaj!$B$5:$B$3004,A22,Puantaj!$A$5:$A$3004,"&gt;="&amp;Özet!$C$3,Puantaj!$A$5:$A$3004,"&lt;="&amp;Özet!$C$4))</f>
        <v/>
      </c>
      <c r="F22" s="16" t="str">
        <f aca="false">IF(A22="","",D22*B22+E22*C22)</f>
        <v/>
      </c>
      <c r="G22" s="16" t="str">
        <f aca="false">IF(A22="","",SUMIFS(Ödemeler!$D$5:$D$604,Ödemeler!$B$5:$B$604,A22,Ödemeler!$A$5:$A$604,"&gt;="&amp;Özet!$C$3,Ödemeler!$A$5:$A$604,"&lt;="&amp;Özet!$C$4))</f>
        <v/>
      </c>
      <c r="H22" s="16" t="str">
        <f aca="false">IF(A22="","",F22-G22)</f>
        <v/>
      </c>
    </row>
    <row r="23" customFormat="false" ht="15" hidden="false" customHeight="false" outlineLevel="0" collapsed="false">
      <c r="A23" s="15"/>
      <c r="B23" s="17"/>
      <c r="C23" s="17"/>
      <c r="D23" s="18" t="str">
        <f aca="false">IF(A23="","",SUMIFS(Puantaj!$C$5:$C$3004,Puantaj!$B$5:$B$3004,A23,Puantaj!$A$5:$A$3004,"&gt;="&amp;Özet!$C$3,Puantaj!$A$5:$A$3004,"&lt;="&amp;Özet!$C$4))</f>
        <v/>
      </c>
      <c r="E23" s="18" t="str">
        <f aca="false">IF(A23="","",SUMIFS(Puantaj!$D$5:$D$3004,Puantaj!$B$5:$B$3004,A23,Puantaj!$A$5:$A$3004,"&gt;="&amp;Özet!$C$3,Puantaj!$A$5:$A$3004,"&lt;="&amp;Özet!$C$4))</f>
        <v/>
      </c>
      <c r="F23" s="16" t="str">
        <f aca="false">IF(A23="","",D23*B23+E23*C23)</f>
        <v/>
      </c>
      <c r="G23" s="16" t="str">
        <f aca="false">IF(A23="","",SUMIFS(Ödemeler!$D$5:$D$604,Ödemeler!$B$5:$B$604,A23,Ödemeler!$A$5:$A$604,"&gt;="&amp;Özet!$C$3,Ödemeler!$A$5:$A$604,"&lt;="&amp;Özet!$C$4))</f>
        <v/>
      </c>
      <c r="H23" s="16" t="str">
        <f aca="false">IF(A23="","",F23-G23)</f>
        <v/>
      </c>
    </row>
    <row r="24" customFormat="false" ht="15" hidden="false" customHeight="false" outlineLevel="0" collapsed="false">
      <c r="A24" s="15"/>
      <c r="B24" s="17"/>
      <c r="C24" s="17"/>
      <c r="D24" s="18" t="str">
        <f aca="false">IF(A24="","",SUMIFS(Puantaj!$C$5:$C$3004,Puantaj!$B$5:$B$3004,A24,Puantaj!$A$5:$A$3004,"&gt;="&amp;Özet!$C$3,Puantaj!$A$5:$A$3004,"&lt;="&amp;Özet!$C$4))</f>
        <v/>
      </c>
      <c r="E24" s="18" t="str">
        <f aca="false">IF(A24="","",SUMIFS(Puantaj!$D$5:$D$3004,Puantaj!$B$5:$B$3004,A24,Puantaj!$A$5:$A$3004,"&gt;="&amp;Özet!$C$3,Puantaj!$A$5:$A$3004,"&lt;="&amp;Özet!$C$4))</f>
        <v/>
      </c>
      <c r="F24" s="16" t="str">
        <f aca="false">IF(A24="","",D24*B24+E24*C24)</f>
        <v/>
      </c>
      <c r="G24" s="16" t="str">
        <f aca="false">IF(A24="","",SUMIFS(Ödemeler!$D$5:$D$604,Ödemeler!$B$5:$B$604,A24,Ödemeler!$A$5:$A$604,"&gt;="&amp;Özet!$C$3,Ödemeler!$A$5:$A$604,"&lt;="&amp;Özet!$C$4))</f>
        <v/>
      </c>
      <c r="H24" s="16" t="str">
        <f aca="false">IF(A24="","",F24-G24)</f>
        <v/>
      </c>
    </row>
    <row r="25" customFormat="false" ht="15" hidden="false" customHeight="false" outlineLevel="0" collapsed="false">
      <c r="A25" s="15"/>
      <c r="B25" s="17"/>
      <c r="C25" s="17"/>
      <c r="D25" s="18" t="str">
        <f aca="false">IF(A25="","",SUMIFS(Puantaj!$C$5:$C$3004,Puantaj!$B$5:$B$3004,A25,Puantaj!$A$5:$A$3004,"&gt;="&amp;Özet!$C$3,Puantaj!$A$5:$A$3004,"&lt;="&amp;Özet!$C$4))</f>
        <v/>
      </c>
      <c r="E25" s="18" t="str">
        <f aca="false">IF(A25="","",SUMIFS(Puantaj!$D$5:$D$3004,Puantaj!$B$5:$B$3004,A25,Puantaj!$A$5:$A$3004,"&gt;="&amp;Özet!$C$3,Puantaj!$A$5:$A$3004,"&lt;="&amp;Özet!$C$4))</f>
        <v/>
      </c>
      <c r="F25" s="16" t="str">
        <f aca="false">IF(A25="","",D25*B25+E25*C25)</f>
        <v/>
      </c>
      <c r="G25" s="16" t="str">
        <f aca="false">IF(A25="","",SUMIFS(Ödemeler!$D$5:$D$604,Ödemeler!$B$5:$B$604,A25,Ödemeler!$A$5:$A$604,"&gt;="&amp;Özet!$C$3,Ödemeler!$A$5:$A$604,"&lt;="&amp;Özet!$C$4))</f>
        <v/>
      </c>
      <c r="H25" s="16" t="str">
        <f aca="false">IF(A25="","",F25-G25)</f>
        <v/>
      </c>
    </row>
    <row r="26" customFormat="false" ht="15" hidden="false" customHeight="false" outlineLevel="0" collapsed="false">
      <c r="A26" s="15"/>
      <c r="B26" s="17"/>
      <c r="C26" s="17"/>
      <c r="D26" s="18" t="str">
        <f aca="false">IF(A26="","",SUMIFS(Puantaj!$C$5:$C$3004,Puantaj!$B$5:$B$3004,A26,Puantaj!$A$5:$A$3004,"&gt;="&amp;Özet!$C$3,Puantaj!$A$5:$A$3004,"&lt;="&amp;Özet!$C$4))</f>
        <v/>
      </c>
      <c r="E26" s="18" t="str">
        <f aca="false">IF(A26="","",SUMIFS(Puantaj!$D$5:$D$3004,Puantaj!$B$5:$B$3004,A26,Puantaj!$A$5:$A$3004,"&gt;="&amp;Özet!$C$3,Puantaj!$A$5:$A$3004,"&lt;="&amp;Özet!$C$4))</f>
        <v/>
      </c>
      <c r="F26" s="16" t="str">
        <f aca="false">IF(A26="","",D26*B26+E26*C26)</f>
        <v/>
      </c>
      <c r="G26" s="16" t="str">
        <f aca="false">IF(A26="","",SUMIFS(Ödemeler!$D$5:$D$604,Ödemeler!$B$5:$B$604,A26,Ödemeler!$A$5:$A$604,"&gt;="&amp;Özet!$C$3,Ödemeler!$A$5:$A$604,"&lt;="&amp;Özet!$C$4))</f>
        <v/>
      </c>
      <c r="H26" s="16" t="str">
        <f aca="false">IF(A26="","",F26-G26)</f>
        <v/>
      </c>
    </row>
    <row r="27" customFormat="false" ht="15" hidden="false" customHeight="false" outlineLevel="0" collapsed="false">
      <c r="A27" s="15"/>
      <c r="B27" s="17"/>
      <c r="C27" s="17"/>
      <c r="D27" s="18" t="str">
        <f aca="false">IF(A27="","",SUMIFS(Puantaj!$C$5:$C$3004,Puantaj!$B$5:$B$3004,A27,Puantaj!$A$5:$A$3004,"&gt;="&amp;Özet!$C$3,Puantaj!$A$5:$A$3004,"&lt;="&amp;Özet!$C$4))</f>
        <v/>
      </c>
      <c r="E27" s="18" t="str">
        <f aca="false">IF(A27="","",SUMIFS(Puantaj!$D$5:$D$3004,Puantaj!$B$5:$B$3004,A27,Puantaj!$A$5:$A$3004,"&gt;="&amp;Özet!$C$3,Puantaj!$A$5:$A$3004,"&lt;="&amp;Özet!$C$4))</f>
        <v/>
      </c>
      <c r="F27" s="16" t="str">
        <f aca="false">IF(A27="","",D27*B27+E27*C27)</f>
        <v/>
      </c>
      <c r="G27" s="16" t="str">
        <f aca="false">IF(A27="","",SUMIFS(Ödemeler!$D$5:$D$604,Ödemeler!$B$5:$B$604,A27,Ödemeler!$A$5:$A$604,"&gt;="&amp;Özet!$C$3,Ödemeler!$A$5:$A$604,"&lt;="&amp;Özet!$C$4))</f>
        <v/>
      </c>
      <c r="H27" s="16" t="str">
        <f aca="false">IF(A27="","",F27-G27)</f>
        <v/>
      </c>
    </row>
    <row r="28" customFormat="false" ht="15" hidden="false" customHeight="false" outlineLevel="0" collapsed="false">
      <c r="A28" s="15"/>
      <c r="B28" s="17"/>
      <c r="C28" s="17"/>
      <c r="D28" s="18" t="str">
        <f aca="false">IF(A28="","",SUMIFS(Puantaj!$C$5:$C$3004,Puantaj!$B$5:$B$3004,A28,Puantaj!$A$5:$A$3004,"&gt;="&amp;Özet!$C$3,Puantaj!$A$5:$A$3004,"&lt;="&amp;Özet!$C$4))</f>
        <v/>
      </c>
      <c r="E28" s="18" t="str">
        <f aca="false">IF(A28="","",SUMIFS(Puantaj!$D$5:$D$3004,Puantaj!$B$5:$B$3004,A28,Puantaj!$A$5:$A$3004,"&gt;="&amp;Özet!$C$3,Puantaj!$A$5:$A$3004,"&lt;="&amp;Özet!$C$4))</f>
        <v/>
      </c>
      <c r="F28" s="16" t="str">
        <f aca="false">IF(A28="","",D28*B28+E28*C28)</f>
        <v/>
      </c>
      <c r="G28" s="16" t="str">
        <f aca="false">IF(A28="","",SUMIFS(Ödemeler!$D$5:$D$604,Ödemeler!$B$5:$B$604,A28,Ödemeler!$A$5:$A$604,"&gt;="&amp;Özet!$C$3,Ödemeler!$A$5:$A$604,"&lt;="&amp;Özet!$C$4))</f>
        <v/>
      </c>
      <c r="H28" s="16" t="str">
        <f aca="false">IF(A28="","",F28-G28)</f>
        <v/>
      </c>
    </row>
    <row r="29" customFormat="false" ht="15" hidden="false" customHeight="false" outlineLevel="0" collapsed="false">
      <c r="A29" s="15"/>
      <c r="B29" s="17"/>
      <c r="C29" s="17"/>
      <c r="D29" s="18" t="str">
        <f aca="false">IF(A29="","",SUMIFS(Puantaj!$C$5:$C$3004,Puantaj!$B$5:$B$3004,A29,Puantaj!$A$5:$A$3004,"&gt;="&amp;Özet!$C$3,Puantaj!$A$5:$A$3004,"&lt;="&amp;Özet!$C$4))</f>
        <v/>
      </c>
      <c r="E29" s="18" t="str">
        <f aca="false">IF(A29="","",SUMIFS(Puantaj!$D$5:$D$3004,Puantaj!$B$5:$B$3004,A29,Puantaj!$A$5:$A$3004,"&gt;="&amp;Özet!$C$3,Puantaj!$A$5:$A$3004,"&lt;="&amp;Özet!$C$4))</f>
        <v/>
      </c>
      <c r="F29" s="16" t="str">
        <f aca="false">IF(A29="","",D29*B29+E29*C29)</f>
        <v/>
      </c>
      <c r="G29" s="16" t="str">
        <f aca="false">IF(A29="","",SUMIFS(Ödemeler!$D$5:$D$604,Ödemeler!$B$5:$B$604,A29,Ödemeler!$A$5:$A$604,"&gt;="&amp;Özet!$C$3,Ödemeler!$A$5:$A$604,"&lt;="&amp;Özet!$C$4))</f>
        <v/>
      </c>
      <c r="H29" s="16" t="str">
        <f aca="false">IF(A29="","",F29-G29)</f>
        <v/>
      </c>
    </row>
    <row r="30" customFormat="false" ht="15" hidden="false" customHeight="false" outlineLevel="0" collapsed="false">
      <c r="A30" s="15"/>
      <c r="B30" s="17"/>
      <c r="C30" s="17"/>
      <c r="D30" s="18" t="str">
        <f aca="false">IF(A30="","",SUMIFS(Puantaj!$C$5:$C$3004,Puantaj!$B$5:$B$3004,A30,Puantaj!$A$5:$A$3004,"&gt;="&amp;Özet!$C$3,Puantaj!$A$5:$A$3004,"&lt;="&amp;Özet!$C$4))</f>
        <v/>
      </c>
      <c r="E30" s="18" t="str">
        <f aca="false">IF(A30="","",SUMIFS(Puantaj!$D$5:$D$3004,Puantaj!$B$5:$B$3004,A30,Puantaj!$A$5:$A$3004,"&gt;="&amp;Özet!$C$3,Puantaj!$A$5:$A$3004,"&lt;="&amp;Özet!$C$4))</f>
        <v/>
      </c>
      <c r="F30" s="16" t="str">
        <f aca="false">IF(A30="","",D30*B30+E30*C30)</f>
        <v/>
      </c>
      <c r="G30" s="16" t="str">
        <f aca="false">IF(A30="","",SUMIFS(Ödemeler!$D$5:$D$604,Ödemeler!$B$5:$B$604,A30,Ödemeler!$A$5:$A$604,"&gt;="&amp;Özet!$C$3,Ödemeler!$A$5:$A$604,"&lt;="&amp;Özet!$C$4))</f>
        <v/>
      </c>
      <c r="H30" s="16" t="str">
        <f aca="false">IF(A30="","",F30-G30)</f>
        <v/>
      </c>
    </row>
    <row r="31" customFormat="false" ht="15" hidden="false" customHeight="false" outlineLevel="0" collapsed="false">
      <c r="A31" s="15"/>
      <c r="B31" s="17"/>
      <c r="C31" s="17"/>
      <c r="D31" s="18" t="str">
        <f aca="false">IF(A31="","",SUMIFS(Puantaj!$C$5:$C$3004,Puantaj!$B$5:$B$3004,A31,Puantaj!$A$5:$A$3004,"&gt;="&amp;Özet!$C$3,Puantaj!$A$5:$A$3004,"&lt;="&amp;Özet!$C$4))</f>
        <v/>
      </c>
      <c r="E31" s="18" t="str">
        <f aca="false">IF(A31="","",SUMIFS(Puantaj!$D$5:$D$3004,Puantaj!$B$5:$B$3004,A31,Puantaj!$A$5:$A$3004,"&gt;="&amp;Özet!$C$3,Puantaj!$A$5:$A$3004,"&lt;="&amp;Özet!$C$4))</f>
        <v/>
      </c>
      <c r="F31" s="16" t="str">
        <f aca="false">IF(A31="","",D31*B31+E31*C31)</f>
        <v/>
      </c>
      <c r="G31" s="16" t="str">
        <f aca="false">IF(A31="","",SUMIFS(Ödemeler!$D$5:$D$604,Ödemeler!$B$5:$B$604,A31,Ödemeler!$A$5:$A$604,"&gt;="&amp;Özet!$C$3,Ödemeler!$A$5:$A$604,"&lt;="&amp;Özet!$C$4))</f>
        <v/>
      </c>
      <c r="H31" s="16" t="str">
        <f aca="false">IF(A31="","",F31-G31)</f>
        <v/>
      </c>
    </row>
    <row r="32" customFormat="false" ht="15" hidden="false" customHeight="false" outlineLevel="0" collapsed="false">
      <c r="A32" s="15"/>
      <c r="B32" s="17"/>
      <c r="C32" s="17"/>
      <c r="D32" s="18" t="str">
        <f aca="false">IF(A32="","",SUMIFS(Puantaj!$C$5:$C$3004,Puantaj!$B$5:$B$3004,A32,Puantaj!$A$5:$A$3004,"&gt;="&amp;Özet!$C$3,Puantaj!$A$5:$A$3004,"&lt;="&amp;Özet!$C$4))</f>
        <v/>
      </c>
      <c r="E32" s="18" t="str">
        <f aca="false">IF(A32="","",SUMIFS(Puantaj!$D$5:$D$3004,Puantaj!$B$5:$B$3004,A32,Puantaj!$A$5:$A$3004,"&gt;="&amp;Özet!$C$3,Puantaj!$A$5:$A$3004,"&lt;="&amp;Özet!$C$4))</f>
        <v/>
      </c>
      <c r="F32" s="16" t="str">
        <f aca="false">IF(A32="","",D32*B32+E32*C32)</f>
        <v/>
      </c>
      <c r="G32" s="16" t="str">
        <f aca="false">IF(A32="","",SUMIFS(Ödemeler!$D$5:$D$604,Ödemeler!$B$5:$B$604,A32,Ödemeler!$A$5:$A$604,"&gt;="&amp;Özet!$C$3,Ödemeler!$A$5:$A$604,"&lt;="&amp;Özet!$C$4))</f>
        <v/>
      </c>
      <c r="H32" s="16" t="str">
        <f aca="false">IF(A32="","",F32-G32)</f>
        <v/>
      </c>
    </row>
    <row r="33" customFormat="false" ht="15" hidden="false" customHeight="false" outlineLevel="0" collapsed="false">
      <c r="A33" s="15"/>
      <c r="B33" s="17"/>
      <c r="C33" s="17"/>
      <c r="D33" s="18" t="str">
        <f aca="false">IF(A33="","",SUMIFS(Puantaj!$C$5:$C$3004,Puantaj!$B$5:$B$3004,A33,Puantaj!$A$5:$A$3004,"&gt;="&amp;Özet!$C$3,Puantaj!$A$5:$A$3004,"&lt;="&amp;Özet!$C$4))</f>
        <v/>
      </c>
      <c r="E33" s="18" t="str">
        <f aca="false">IF(A33="","",SUMIFS(Puantaj!$D$5:$D$3004,Puantaj!$B$5:$B$3004,A33,Puantaj!$A$5:$A$3004,"&gt;="&amp;Özet!$C$3,Puantaj!$A$5:$A$3004,"&lt;="&amp;Özet!$C$4))</f>
        <v/>
      </c>
      <c r="F33" s="16" t="str">
        <f aca="false">IF(A33="","",D33*B33+E33*C33)</f>
        <v/>
      </c>
      <c r="G33" s="16" t="str">
        <f aca="false">IF(A33="","",SUMIFS(Ödemeler!$D$5:$D$604,Ödemeler!$B$5:$B$604,A33,Ödemeler!$A$5:$A$604,"&gt;="&amp;Özet!$C$3,Ödemeler!$A$5:$A$604,"&lt;="&amp;Özet!$C$4))</f>
        <v/>
      </c>
      <c r="H33" s="16" t="str">
        <f aca="false">IF(A33="","",F33-G33)</f>
        <v/>
      </c>
    </row>
    <row r="34" customFormat="false" ht="15" hidden="false" customHeight="false" outlineLevel="0" collapsed="false">
      <c r="A34" s="15"/>
      <c r="B34" s="17"/>
      <c r="C34" s="17"/>
      <c r="D34" s="18" t="str">
        <f aca="false">IF(A34="","",SUMIFS(Puantaj!$C$5:$C$3004,Puantaj!$B$5:$B$3004,A34,Puantaj!$A$5:$A$3004,"&gt;="&amp;Özet!$C$3,Puantaj!$A$5:$A$3004,"&lt;="&amp;Özet!$C$4))</f>
        <v/>
      </c>
      <c r="E34" s="18" t="str">
        <f aca="false">IF(A34="","",SUMIFS(Puantaj!$D$5:$D$3004,Puantaj!$B$5:$B$3004,A34,Puantaj!$A$5:$A$3004,"&gt;="&amp;Özet!$C$3,Puantaj!$A$5:$A$3004,"&lt;="&amp;Özet!$C$4))</f>
        <v/>
      </c>
      <c r="F34" s="16" t="str">
        <f aca="false">IF(A34="","",D34*B34+E34*C34)</f>
        <v/>
      </c>
      <c r="G34" s="16" t="str">
        <f aca="false">IF(A34="","",SUMIFS(Ödemeler!$D$5:$D$604,Ödemeler!$B$5:$B$604,A34,Ödemeler!$A$5:$A$604,"&gt;="&amp;Özet!$C$3,Ödemeler!$A$5:$A$604,"&lt;="&amp;Özet!$C$4))</f>
        <v/>
      </c>
      <c r="H34" s="16" t="str">
        <f aca="false">IF(A34="","",F34-G34)</f>
        <v/>
      </c>
    </row>
    <row r="35" customFormat="false" ht="15" hidden="false" customHeight="false" outlineLevel="0" collapsed="false">
      <c r="A35" s="15"/>
      <c r="B35" s="17"/>
      <c r="C35" s="17"/>
      <c r="D35" s="18" t="str">
        <f aca="false">IF(A35="","",SUMIFS(Puantaj!$C$5:$C$3004,Puantaj!$B$5:$B$3004,A35,Puantaj!$A$5:$A$3004,"&gt;="&amp;Özet!$C$3,Puantaj!$A$5:$A$3004,"&lt;="&amp;Özet!$C$4))</f>
        <v/>
      </c>
      <c r="E35" s="18" t="str">
        <f aca="false">IF(A35="","",SUMIFS(Puantaj!$D$5:$D$3004,Puantaj!$B$5:$B$3004,A35,Puantaj!$A$5:$A$3004,"&gt;="&amp;Özet!$C$3,Puantaj!$A$5:$A$3004,"&lt;="&amp;Özet!$C$4))</f>
        <v/>
      </c>
      <c r="F35" s="16" t="str">
        <f aca="false">IF(A35="","",D35*B35+E35*C35)</f>
        <v/>
      </c>
      <c r="G35" s="16" t="str">
        <f aca="false">IF(A35="","",SUMIFS(Ödemeler!$D$5:$D$604,Ödemeler!$B$5:$B$604,A35,Ödemeler!$A$5:$A$604,"&gt;="&amp;Özet!$C$3,Ödemeler!$A$5:$A$604,"&lt;="&amp;Özet!$C$4))</f>
        <v/>
      </c>
      <c r="H35" s="16" t="str">
        <f aca="false">IF(A35="","",F35-G35)</f>
        <v/>
      </c>
    </row>
    <row r="36" customFormat="false" ht="15" hidden="false" customHeight="false" outlineLevel="0" collapsed="false">
      <c r="A36" s="15"/>
      <c r="B36" s="17"/>
      <c r="C36" s="17"/>
      <c r="D36" s="18" t="str">
        <f aca="false">IF(A36="","",SUMIFS(Puantaj!$C$5:$C$3004,Puantaj!$B$5:$B$3004,A36,Puantaj!$A$5:$A$3004,"&gt;="&amp;Özet!$C$3,Puantaj!$A$5:$A$3004,"&lt;="&amp;Özet!$C$4))</f>
        <v/>
      </c>
      <c r="E36" s="18" t="str">
        <f aca="false">IF(A36="","",SUMIFS(Puantaj!$D$5:$D$3004,Puantaj!$B$5:$B$3004,A36,Puantaj!$A$5:$A$3004,"&gt;="&amp;Özet!$C$3,Puantaj!$A$5:$A$3004,"&lt;="&amp;Özet!$C$4))</f>
        <v/>
      </c>
      <c r="F36" s="16" t="str">
        <f aca="false">IF(A36="","",D36*B36+E36*C36)</f>
        <v/>
      </c>
      <c r="G36" s="16" t="str">
        <f aca="false">IF(A36="","",SUMIFS(Ödemeler!$D$5:$D$604,Ödemeler!$B$5:$B$604,A36,Ödemeler!$A$5:$A$604,"&gt;="&amp;Özet!$C$3,Ödemeler!$A$5:$A$604,"&lt;="&amp;Özet!$C$4))</f>
        <v/>
      </c>
      <c r="H36" s="16" t="str">
        <f aca="false">IF(A36="","",F36-G36)</f>
        <v/>
      </c>
    </row>
    <row r="37" customFormat="false" ht="15" hidden="false" customHeight="false" outlineLevel="0" collapsed="false">
      <c r="A37" s="15"/>
      <c r="B37" s="17"/>
      <c r="C37" s="17"/>
      <c r="D37" s="18" t="str">
        <f aca="false">IF(A37="","",SUMIFS(Puantaj!$C$5:$C$3004,Puantaj!$B$5:$B$3004,A37,Puantaj!$A$5:$A$3004,"&gt;="&amp;Özet!$C$3,Puantaj!$A$5:$A$3004,"&lt;="&amp;Özet!$C$4))</f>
        <v/>
      </c>
      <c r="E37" s="18" t="str">
        <f aca="false">IF(A37="","",SUMIFS(Puantaj!$D$5:$D$3004,Puantaj!$B$5:$B$3004,A37,Puantaj!$A$5:$A$3004,"&gt;="&amp;Özet!$C$3,Puantaj!$A$5:$A$3004,"&lt;="&amp;Özet!$C$4))</f>
        <v/>
      </c>
      <c r="F37" s="16" t="str">
        <f aca="false">IF(A37="","",D37*B37+E37*C37)</f>
        <v/>
      </c>
      <c r="G37" s="16" t="str">
        <f aca="false">IF(A37="","",SUMIFS(Ödemeler!$D$5:$D$604,Ödemeler!$B$5:$B$604,A37,Ödemeler!$A$5:$A$604,"&gt;="&amp;Özet!$C$3,Ödemeler!$A$5:$A$604,"&lt;="&amp;Özet!$C$4))</f>
        <v/>
      </c>
      <c r="H37" s="16" t="str">
        <f aca="false">IF(A37="","",F37-G37)</f>
        <v/>
      </c>
    </row>
    <row r="38" customFormat="false" ht="15" hidden="false" customHeight="false" outlineLevel="0" collapsed="false">
      <c r="A38" s="15"/>
      <c r="B38" s="17"/>
      <c r="C38" s="17"/>
      <c r="D38" s="18" t="str">
        <f aca="false">IF(A38="","",SUMIFS(Puantaj!$C$5:$C$3004,Puantaj!$B$5:$B$3004,A38,Puantaj!$A$5:$A$3004,"&gt;="&amp;Özet!$C$3,Puantaj!$A$5:$A$3004,"&lt;="&amp;Özet!$C$4))</f>
        <v/>
      </c>
      <c r="E38" s="18" t="str">
        <f aca="false">IF(A38="","",SUMIFS(Puantaj!$D$5:$D$3004,Puantaj!$B$5:$B$3004,A38,Puantaj!$A$5:$A$3004,"&gt;="&amp;Özet!$C$3,Puantaj!$A$5:$A$3004,"&lt;="&amp;Özet!$C$4))</f>
        <v/>
      </c>
      <c r="F38" s="16" t="str">
        <f aca="false">IF(A38="","",D38*B38+E38*C38)</f>
        <v/>
      </c>
      <c r="G38" s="16" t="str">
        <f aca="false">IF(A38="","",SUMIFS(Ödemeler!$D$5:$D$604,Ödemeler!$B$5:$B$604,A38,Ödemeler!$A$5:$A$604,"&gt;="&amp;Özet!$C$3,Ödemeler!$A$5:$A$604,"&lt;="&amp;Özet!$C$4))</f>
        <v/>
      </c>
      <c r="H38" s="16" t="str">
        <f aca="false">IF(A38="","",F38-G38)</f>
        <v/>
      </c>
    </row>
    <row r="39" customFormat="false" ht="15" hidden="false" customHeight="false" outlineLevel="0" collapsed="false">
      <c r="A39" s="15"/>
      <c r="B39" s="17"/>
      <c r="C39" s="17"/>
      <c r="D39" s="18" t="str">
        <f aca="false">IF(A39="","",SUMIFS(Puantaj!$C$5:$C$3004,Puantaj!$B$5:$B$3004,A39,Puantaj!$A$5:$A$3004,"&gt;="&amp;Özet!$C$3,Puantaj!$A$5:$A$3004,"&lt;="&amp;Özet!$C$4))</f>
        <v/>
      </c>
      <c r="E39" s="18" t="str">
        <f aca="false">IF(A39="","",SUMIFS(Puantaj!$D$5:$D$3004,Puantaj!$B$5:$B$3004,A39,Puantaj!$A$5:$A$3004,"&gt;="&amp;Özet!$C$3,Puantaj!$A$5:$A$3004,"&lt;="&amp;Özet!$C$4))</f>
        <v/>
      </c>
      <c r="F39" s="16" t="str">
        <f aca="false">IF(A39="","",D39*B39+E39*C39)</f>
        <v/>
      </c>
      <c r="G39" s="16" t="str">
        <f aca="false">IF(A39="","",SUMIFS(Ödemeler!$D$5:$D$604,Ödemeler!$B$5:$B$604,A39,Ödemeler!$A$5:$A$604,"&gt;="&amp;Özet!$C$3,Ödemeler!$A$5:$A$604,"&lt;="&amp;Özet!$C$4))</f>
        <v/>
      </c>
      <c r="H39" s="16" t="str">
        <f aca="false">IF(A39="","",F39-G39)</f>
        <v/>
      </c>
    </row>
    <row r="40" customFormat="false" ht="15" hidden="false" customHeight="false" outlineLevel="0" collapsed="false">
      <c r="A40" s="15"/>
      <c r="B40" s="17"/>
      <c r="C40" s="17"/>
      <c r="D40" s="18" t="str">
        <f aca="false">IF(A40="","",SUMIFS(Puantaj!$C$5:$C$3004,Puantaj!$B$5:$B$3004,A40,Puantaj!$A$5:$A$3004,"&gt;="&amp;Özet!$C$3,Puantaj!$A$5:$A$3004,"&lt;="&amp;Özet!$C$4))</f>
        <v/>
      </c>
      <c r="E40" s="18" t="str">
        <f aca="false">IF(A40="","",SUMIFS(Puantaj!$D$5:$D$3004,Puantaj!$B$5:$B$3004,A40,Puantaj!$A$5:$A$3004,"&gt;="&amp;Özet!$C$3,Puantaj!$A$5:$A$3004,"&lt;="&amp;Özet!$C$4))</f>
        <v/>
      </c>
      <c r="F40" s="16" t="str">
        <f aca="false">IF(A40="","",D40*B40+E40*C40)</f>
        <v/>
      </c>
      <c r="G40" s="16" t="str">
        <f aca="false">IF(A40="","",SUMIFS(Ödemeler!$D$5:$D$604,Ödemeler!$B$5:$B$604,A40,Ödemeler!$A$5:$A$604,"&gt;="&amp;Özet!$C$3,Ödemeler!$A$5:$A$604,"&lt;="&amp;Özet!$C$4))</f>
        <v/>
      </c>
      <c r="H40" s="16" t="str">
        <f aca="false">IF(A40="","",F40-G40)</f>
        <v/>
      </c>
    </row>
    <row r="41" customFormat="false" ht="15" hidden="false" customHeight="false" outlineLevel="0" collapsed="false">
      <c r="A41" s="15"/>
      <c r="B41" s="17"/>
      <c r="C41" s="17"/>
      <c r="D41" s="18" t="str">
        <f aca="false">IF(A41="","",SUMIFS(Puantaj!$C$5:$C$3004,Puantaj!$B$5:$B$3004,A41,Puantaj!$A$5:$A$3004,"&gt;="&amp;Özet!$C$3,Puantaj!$A$5:$A$3004,"&lt;="&amp;Özet!$C$4))</f>
        <v/>
      </c>
      <c r="E41" s="18" t="str">
        <f aca="false">IF(A41="","",SUMIFS(Puantaj!$D$5:$D$3004,Puantaj!$B$5:$B$3004,A41,Puantaj!$A$5:$A$3004,"&gt;="&amp;Özet!$C$3,Puantaj!$A$5:$A$3004,"&lt;="&amp;Özet!$C$4))</f>
        <v/>
      </c>
      <c r="F41" s="16" t="str">
        <f aca="false">IF(A41="","",D41*B41+E41*C41)</f>
        <v/>
      </c>
      <c r="G41" s="16" t="str">
        <f aca="false">IF(A41="","",SUMIFS(Ödemeler!$D$5:$D$604,Ödemeler!$B$5:$B$604,A41,Ödemeler!$A$5:$A$604,"&gt;="&amp;Özet!$C$3,Ödemeler!$A$5:$A$604,"&lt;="&amp;Özet!$C$4))</f>
        <v/>
      </c>
      <c r="H41" s="16" t="str">
        <f aca="false">IF(A41="","",F41-G41)</f>
        <v/>
      </c>
    </row>
    <row r="42" customFormat="false" ht="15" hidden="false" customHeight="false" outlineLevel="0" collapsed="false">
      <c r="A42" s="15"/>
      <c r="B42" s="17"/>
      <c r="C42" s="17"/>
      <c r="D42" s="18" t="str">
        <f aca="false">IF(A42="","",SUMIFS(Puantaj!$C$5:$C$3004,Puantaj!$B$5:$B$3004,A42,Puantaj!$A$5:$A$3004,"&gt;="&amp;Özet!$C$3,Puantaj!$A$5:$A$3004,"&lt;="&amp;Özet!$C$4))</f>
        <v/>
      </c>
      <c r="E42" s="18" t="str">
        <f aca="false">IF(A42="","",SUMIFS(Puantaj!$D$5:$D$3004,Puantaj!$B$5:$B$3004,A42,Puantaj!$A$5:$A$3004,"&gt;="&amp;Özet!$C$3,Puantaj!$A$5:$A$3004,"&lt;="&amp;Özet!$C$4))</f>
        <v/>
      </c>
      <c r="F42" s="16" t="str">
        <f aca="false">IF(A42="","",D42*B42+E42*C42)</f>
        <v/>
      </c>
      <c r="G42" s="16" t="str">
        <f aca="false">IF(A42="","",SUMIFS(Ödemeler!$D$5:$D$604,Ödemeler!$B$5:$B$604,A42,Ödemeler!$A$5:$A$604,"&gt;="&amp;Özet!$C$3,Ödemeler!$A$5:$A$604,"&lt;="&amp;Özet!$C$4))</f>
        <v/>
      </c>
      <c r="H42" s="16" t="str">
        <f aca="false">IF(A42="","",F42-G42)</f>
        <v/>
      </c>
    </row>
    <row r="43" customFormat="false" ht="15" hidden="false" customHeight="false" outlineLevel="0" collapsed="false">
      <c r="A43" s="15"/>
      <c r="B43" s="17"/>
      <c r="C43" s="17"/>
      <c r="D43" s="18" t="str">
        <f aca="false">IF(A43="","",SUMIFS(Puantaj!$C$5:$C$3004,Puantaj!$B$5:$B$3004,A43,Puantaj!$A$5:$A$3004,"&gt;="&amp;Özet!$C$3,Puantaj!$A$5:$A$3004,"&lt;="&amp;Özet!$C$4))</f>
        <v/>
      </c>
      <c r="E43" s="18" t="str">
        <f aca="false">IF(A43="","",SUMIFS(Puantaj!$D$5:$D$3004,Puantaj!$B$5:$B$3004,A43,Puantaj!$A$5:$A$3004,"&gt;="&amp;Özet!$C$3,Puantaj!$A$5:$A$3004,"&lt;="&amp;Özet!$C$4))</f>
        <v/>
      </c>
      <c r="F43" s="16" t="str">
        <f aca="false">IF(A43="","",D43*B43+E43*C43)</f>
        <v/>
      </c>
      <c r="G43" s="16" t="str">
        <f aca="false">IF(A43="","",SUMIFS(Ödemeler!$D$5:$D$604,Ödemeler!$B$5:$B$604,A43,Ödemeler!$A$5:$A$604,"&gt;="&amp;Özet!$C$3,Ödemeler!$A$5:$A$604,"&lt;="&amp;Özet!$C$4))</f>
        <v/>
      </c>
      <c r="H43" s="16" t="str">
        <f aca="false">IF(A43="","",F43-G43)</f>
        <v/>
      </c>
    </row>
    <row r="44" customFormat="false" ht="15" hidden="false" customHeight="false" outlineLevel="0" collapsed="false">
      <c r="A44" s="15"/>
      <c r="B44" s="17"/>
      <c r="C44" s="17"/>
      <c r="D44" s="18" t="str">
        <f aca="false">IF(A44="","",SUMIFS(Puantaj!$C$5:$C$3004,Puantaj!$B$5:$B$3004,A44,Puantaj!$A$5:$A$3004,"&gt;="&amp;Özet!$C$3,Puantaj!$A$5:$A$3004,"&lt;="&amp;Özet!$C$4))</f>
        <v/>
      </c>
      <c r="E44" s="18" t="str">
        <f aca="false">IF(A44="","",SUMIFS(Puantaj!$D$5:$D$3004,Puantaj!$B$5:$B$3004,A44,Puantaj!$A$5:$A$3004,"&gt;="&amp;Özet!$C$3,Puantaj!$A$5:$A$3004,"&lt;="&amp;Özet!$C$4))</f>
        <v/>
      </c>
      <c r="F44" s="16" t="str">
        <f aca="false">IF(A44="","",D44*B44+E44*C44)</f>
        <v/>
      </c>
      <c r="G44" s="16" t="str">
        <f aca="false">IF(A44="","",SUMIFS(Ödemeler!$D$5:$D$604,Ödemeler!$B$5:$B$604,A44,Ödemeler!$A$5:$A$604,"&gt;="&amp;Özet!$C$3,Ödemeler!$A$5:$A$604,"&lt;="&amp;Özet!$C$4))</f>
        <v/>
      </c>
      <c r="H44" s="16" t="str">
        <f aca="false">IF(A44="","",F44-G44)</f>
        <v/>
      </c>
    </row>
  </sheetData>
  <dataValidations count="2">
    <dataValidation allowBlank="true" error="Sıfır ya da daha büyük bir sayı gir." errorStyle="stop" errorTitle="Kontrol" operator="greaterThanOrEqual" showDropDown="false" showErrorMessage="true" showInputMessage="false" sqref="B5:C44" type="decimal">
      <formula1>0</formula1>
      <formula2>0</formula2>
    </dataValidation>
    <dataValidation allowBlank="true" error="Bu ad zaten var. Her ad bir kez girilebilir." errorStyle="stop" errorTitle="Kontrol" operator="between" showDropDown="false" showErrorMessage="true" showInputMessage="false" sqref="A5:A44" type="custom">
      <formula1>COUNTIF($A$5:$A$44,A5)=1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6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2" min="10" style="0" width="15"/>
  </cols>
  <sheetData>
    <row r="1" customFormat="false" ht="19.7" hidden="false" customHeight="false" outlineLevel="0" collapsed="false">
      <c r="A1" s="8" t="s">
        <v>53</v>
      </c>
    </row>
    <row r="2" customFormat="false" ht="15" hidden="false" customHeight="false" outlineLevel="0" collapsed="false">
      <c r="A2" s="9" t="s">
        <v>54</v>
      </c>
    </row>
    <row r="3" customFormat="false" ht="15" hidden="false" customHeight="false" outlineLevel="0" collapsed="false">
      <c r="B3" s="0" t="s">
        <v>55</v>
      </c>
      <c r="C3" s="19" t="n">
        <v>46296</v>
      </c>
    </row>
    <row r="4" customFormat="false" ht="15" hidden="false" customHeight="false" outlineLevel="0" collapsed="false">
      <c r="B4" s="0" t="s">
        <v>56</v>
      </c>
      <c r="C4" s="19" t="n">
        <v>46302</v>
      </c>
    </row>
    <row r="6" customFormat="false" ht="30" hidden="false" customHeight="true" outlineLevel="0" collapsed="false">
      <c r="B6" s="20" t="s">
        <v>57</v>
      </c>
      <c r="C6" s="20" t="s">
        <v>29</v>
      </c>
      <c r="D6" s="20" t="s">
        <v>58</v>
      </c>
      <c r="E6" s="20" t="s">
        <v>59</v>
      </c>
      <c r="F6" s="20" t="s">
        <v>60</v>
      </c>
    </row>
    <row r="7" customFormat="false" ht="27.75" hidden="false" customHeight="true" outlineLevel="0" collapsed="false">
      <c r="B7" s="21" t="n">
        <f aca="false">SUM(Kişiler!$D$5:$D$44)</f>
        <v>4.5</v>
      </c>
      <c r="C7" s="21" t="n">
        <f aca="false">SUM(Kişiler!$E$5:$E$44)</f>
        <v>2</v>
      </c>
      <c r="D7" s="22" t="n">
        <f aca="false">SUM(Kişiler!$F$5:$F$44)</f>
        <v>9650</v>
      </c>
      <c r="E7" s="22" t="n">
        <f aca="false">SUM(Kişiler!$G$5:$G$44)</f>
        <v>3800</v>
      </c>
      <c r="F7" s="23" t="n">
        <f aca="false">SUM(Kişiler!$H$5:$H$44)</f>
        <v>5850</v>
      </c>
    </row>
    <row r="9" customFormat="false" ht="15" hidden="false" customHeight="false" outlineLevel="0" collapsed="false">
      <c r="B9" s="24" t="s">
        <v>61</v>
      </c>
    </row>
    <row r="10" customFormat="false" ht="21.75" hidden="false" customHeight="true" outlineLevel="0" collapsed="false">
      <c r="B10" s="10" t="s">
        <v>30</v>
      </c>
      <c r="C10" s="10" t="s">
        <v>28</v>
      </c>
      <c r="D10" s="10" t="s">
        <v>62</v>
      </c>
    </row>
    <row r="11" customFormat="false" ht="15" hidden="false" customHeight="false" outlineLevel="0" collapsed="false">
      <c r="B11" s="25" t="str">
        <f aca="false">IF(Listeler!A5="","",Listeler!A5)</f>
        <v>Şantiye Alfa</v>
      </c>
      <c r="C11" s="26" t="n">
        <f aca="false">IF(B11="","",SUMIFS(Puantaj!$C$5:$C$3004,Puantaj!$E$5:$E$3004,B11,Puantaj!$A$5:$A$3004,"&gt;="&amp;Özet!$C$3,Puantaj!$A$5:$A$3004,"&lt;="&amp;Özet!$C$4))</f>
        <v>3</v>
      </c>
      <c r="D11" s="16" t="n">
        <f aca="false">IF(B11="","",SUMIFS(Puantaj!$G$5:$G$3004,Puantaj!$E$5:$E$3004,B11,Puantaj!$A$5:$A$3004,"&gt;="&amp;Özet!$C$3,Puantaj!$A$5:$A$3004,"&lt;="&amp;Özet!$C$4))</f>
        <v>6400</v>
      </c>
    </row>
    <row r="12" customFormat="false" ht="15" hidden="false" customHeight="false" outlineLevel="0" collapsed="false">
      <c r="B12" s="27" t="str">
        <f aca="false">IF(Listeler!A6="","",Listeler!A6)</f>
        <v>Şantiye Beta</v>
      </c>
      <c r="C12" s="28" t="n">
        <f aca="false">IF(B12="","",SUMIFS(Puantaj!$C$5:$C$3004,Puantaj!$E$5:$E$3004,B12,Puantaj!$A$5:$A$3004,"&gt;="&amp;Özet!$C$3,Puantaj!$A$5:$A$3004,"&lt;="&amp;Özet!$C$4))</f>
        <v>1.5</v>
      </c>
      <c r="D12" s="29" t="n">
        <f aca="false">IF(B12="","",SUMIFS(Puantaj!$G$5:$G$3004,Puantaj!$E$5:$E$3004,B12,Puantaj!$A$5:$A$3004,"&gt;="&amp;Özet!$C$3,Puantaj!$A$5:$A$3004,"&lt;="&amp;Özet!$C$4))</f>
        <v>3250</v>
      </c>
    </row>
    <row r="13" customFormat="false" ht="15" hidden="false" customHeight="false" outlineLevel="0" collapsed="false">
      <c r="B13" s="25" t="str">
        <f aca="false">IF(Listeler!A7="","",Listeler!A7)</f>
        <v>Atölye</v>
      </c>
      <c r="C13" s="26" t="n">
        <f aca="false">IF(B13="","",SUMIFS(Puantaj!$C$5:$C$3004,Puantaj!$E$5:$E$3004,B13,Puantaj!$A$5:$A$3004,"&gt;="&amp;Özet!$C$3,Puantaj!$A$5:$A$3004,"&lt;="&amp;Özet!$C$4))</f>
        <v>0</v>
      </c>
      <c r="D13" s="16" t="n">
        <f aca="false">IF(B13="","",SUMIFS(Puantaj!$G$5:$G$3004,Puantaj!$E$5:$E$3004,B13,Puantaj!$A$5:$A$3004,"&gt;="&amp;Özet!$C$3,Puantaj!$A$5:$A$3004,"&lt;="&amp;Özet!$C$4))</f>
        <v>0</v>
      </c>
    </row>
    <row r="14" customFormat="false" ht="15" hidden="false" customHeight="false" outlineLevel="0" collapsed="false">
      <c r="B14" s="27" t="str">
        <f aca="false">IF(Listeler!A8="","",Listeler!A8)</f>
        <v/>
      </c>
      <c r="C14" s="28" t="str">
        <f aca="false">IF(B14="","",SUMIFS(Puantaj!$C$5:$C$3004,Puantaj!$E$5:$E$3004,B14,Puantaj!$A$5:$A$3004,"&gt;="&amp;Özet!$C$3,Puantaj!$A$5:$A$3004,"&lt;="&amp;Özet!$C$4))</f>
        <v/>
      </c>
      <c r="D14" s="29" t="str">
        <f aca="false">IF(B14="","",SUMIFS(Puantaj!$G$5:$G$3004,Puantaj!$E$5:$E$3004,B14,Puantaj!$A$5:$A$3004,"&gt;="&amp;Özet!$C$3,Puantaj!$A$5:$A$3004,"&lt;="&amp;Özet!$C$4))</f>
        <v/>
      </c>
    </row>
    <row r="15" customFormat="false" ht="15" hidden="false" customHeight="false" outlineLevel="0" collapsed="false">
      <c r="B15" s="25" t="str">
        <f aca="false">IF(Listeler!A9="","",Listeler!A9)</f>
        <v/>
      </c>
      <c r="C15" s="26" t="str">
        <f aca="false">IF(B15="","",SUMIFS(Puantaj!$C$5:$C$3004,Puantaj!$E$5:$E$3004,B15,Puantaj!$A$5:$A$3004,"&gt;="&amp;Özet!$C$3,Puantaj!$A$5:$A$3004,"&lt;="&amp;Özet!$C$4))</f>
        <v/>
      </c>
      <c r="D15" s="16" t="str">
        <f aca="false">IF(B15="","",SUMIFS(Puantaj!$G$5:$G$3004,Puantaj!$E$5:$E$3004,B15,Puantaj!$A$5:$A$3004,"&gt;="&amp;Özet!$C$3,Puantaj!$A$5:$A$3004,"&lt;="&amp;Özet!$C$4))</f>
        <v/>
      </c>
    </row>
    <row r="16" customFormat="false" ht="15" hidden="false" customHeight="false" outlineLevel="0" collapsed="false">
      <c r="B16" s="27" t="str">
        <f aca="false">IF(Listeler!A10="","",Listeler!A10)</f>
        <v/>
      </c>
      <c r="C16" s="28" t="str">
        <f aca="false">IF(B16="","",SUMIFS(Puantaj!$C$5:$C$3004,Puantaj!$E$5:$E$3004,B16,Puantaj!$A$5:$A$3004,"&gt;="&amp;Özet!$C$3,Puantaj!$A$5:$A$3004,"&lt;="&amp;Özet!$C$4))</f>
        <v/>
      </c>
      <c r="D16" s="29" t="str">
        <f aca="false">IF(B16="","",SUMIFS(Puantaj!$G$5:$G$3004,Puantaj!$E$5:$E$3004,B16,Puantaj!$A$5:$A$3004,"&gt;="&amp;Özet!$C$3,Puantaj!$A$5:$A$3004,"&lt;="&amp;Özet!$C$4))</f>
        <v/>
      </c>
    </row>
    <row r="17" customFormat="false" ht="15" hidden="false" customHeight="false" outlineLevel="0" collapsed="false">
      <c r="B17" s="25" t="str">
        <f aca="false">IF(Listeler!A11="","",Listeler!A11)</f>
        <v/>
      </c>
      <c r="C17" s="26" t="str">
        <f aca="false">IF(B17="","",SUMIFS(Puantaj!$C$5:$C$3004,Puantaj!$E$5:$E$3004,B17,Puantaj!$A$5:$A$3004,"&gt;="&amp;Özet!$C$3,Puantaj!$A$5:$A$3004,"&lt;="&amp;Özet!$C$4))</f>
        <v/>
      </c>
      <c r="D17" s="16" t="str">
        <f aca="false">IF(B17="","",SUMIFS(Puantaj!$G$5:$G$3004,Puantaj!$E$5:$E$3004,B17,Puantaj!$A$5:$A$3004,"&gt;="&amp;Özet!$C$3,Puantaj!$A$5:$A$3004,"&lt;="&amp;Özet!$C$4))</f>
        <v/>
      </c>
    </row>
    <row r="18" customFormat="false" ht="15" hidden="false" customHeight="false" outlineLevel="0" collapsed="false">
      <c r="B18" s="27" t="str">
        <f aca="false">IF(Listeler!A12="","",Listeler!A12)</f>
        <v/>
      </c>
      <c r="C18" s="28" t="str">
        <f aca="false">IF(B18="","",SUMIFS(Puantaj!$C$5:$C$3004,Puantaj!$E$5:$E$3004,B18,Puantaj!$A$5:$A$3004,"&gt;="&amp;Özet!$C$3,Puantaj!$A$5:$A$3004,"&lt;="&amp;Özet!$C$4))</f>
        <v/>
      </c>
      <c r="D18" s="29" t="str">
        <f aca="false">IF(B18="","",SUMIFS(Puantaj!$G$5:$G$3004,Puantaj!$E$5:$E$3004,B18,Puantaj!$A$5:$A$3004,"&gt;="&amp;Özet!$C$3,Puantaj!$A$5:$A$3004,"&lt;="&amp;Özet!$C$4))</f>
        <v/>
      </c>
    </row>
    <row r="19" customFormat="false" ht="15" hidden="false" customHeight="false" outlineLevel="0" collapsed="false">
      <c r="B19" s="25" t="str">
        <f aca="false">IF(Listeler!A13="","",Listeler!A13)</f>
        <v/>
      </c>
      <c r="C19" s="26" t="str">
        <f aca="false">IF(B19="","",SUMIFS(Puantaj!$C$5:$C$3004,Puantaj!$E$5:$E$3004,B19,Puantaj!$A$5:$A$3004,"&gt;="&amp;Özet!$C$3,Puantaj!$A$5:$A$3004,"&lt;="&amp;Özet!$C$4))</f>
        <v/>
      </c>
      <c r="D19" s="16" t="str">
        <f aca="false">IF(B19="","",SUMIFS(Puantaj!$G$5:$G$3004,Puantaj!$E$5:$E$3004,B19,Puantaj!$A$5:$A$3004,"&gt;="&amp;Özet!$C$3,Puantaj!$A$5:$A$3004,"&lt;="&amp;Özet!$C$4))</f>
        <v/>
      </c>
    </row>
    <row r="20" customFormat="false" ht="15" hidden="false" customHeight="false" outlineLevel="0" collapsed="false">
      <c r="B20" s="27" t="str">
        <f aca="false">IF(Listeler!A14="","",Listeler!A14)</f>
        <v/>
      </c>
      <c r="C20" s="28" t="str">
        <f aca="false">IF(B20="","",SUMIFS(Puantaj!$C$5:$C$3004,Puantaj!$E$5:$E$3004,B20,Puantaj!$A$5:$A$3004,"&gt;="&amp;Özet!$C$3,Puantaj!$A$5:$A$3004,"&lt;="&amp;Özet!$C$4))</f>
        <v/>
      </c>
      <c r="D20" s="29" t="str">
        <f aca="false">IF(B20="","",SUMIFS(Puantaj!$G$5:$G$3004,Puantaj!$E$5:$E$3004,B20,Puantaj!$A$5:$A$3004,"&gt;="&amp;Özet!$C$3,Puantaj!$A$5:$A$3004,"&lt;="&amp;Özet!$C$4))</f>
        <v/>
      </c>
    </row>
    <row r="21" customFormat="false" ht="15" hidden="false" customHeight="false" outlineLevel="0" collapsed="false">
      <c r="B21" s="25" t="str">
        <f aca="false">IF(Listeler!A15="","",Listeler!A15)</f>
        <v/>
      </c>
      <c r="C21" s="26" t="str">
        <f aca="false">IF(B21="","",SUMIFS(Puantaj!$C$5:$C$3004,Puantaj!$E$5:$E$3004,B21,Puantaj!$A$5:$A$3004,"&gt;="&amp;Özet!$C$3,Puantaj!$A$5:$A$3004,"&lt;="&amp;Özet!$C$4))</f>
        <v/>
      </c>
      <c r="D21" s="16" t="str">
        <f aca="false">IF(B21="","",SUMIFS(Puantaj!$G$5:$G$3004,Puantaj!$E$5:$E$3004,B21,Puantaj!$A$5:$A$3004,"&gt;="&amp;Özet!$C$3,Puantaj!$A$5:$A$3004,"&lt;="&amp;Özet!$C$4))</f>
        <v/>
      </c>
    </row>
    <row r="22" customFormat="false" ht="15" hidden="false" customHeight="false" outlineLevel="0" collapsed="false">
      <c r="B22" s="27" t="str">
        <f aca="false">IF(Listeler!A16="","",Listeler!A16)</f>
        <v/>
      </c>
      <c r="C22" s="28" t="str">
        <f aca="false">IF(B22="","",SUMIFS(Puantaj!$C$5:$C$3004,Puantaj!$E$5:$E$3004,B22,Puantaj!$A$5:$A$3004,"&gt;="&amp;Özet!$C$3,Puantaj!$A$5:$A$3004,"&lt;="&amp;Özet!$C$4))</f>
        <v/>
      </c>
      <c r="D22" s="29" t="str">
        <f aca="false">IF(B22="","",SUMIFS(Puantaj!$G$5:$G$3004,Puantaj!$E$5:$E$3004,B22,Puantaj!$A$5:$A$3004,"&gt;="&amp;Özet!$C$3,Puantaj!$A$5:$A$3004,"&lt;="&amp;Özet!$C$4))</f>
        <v/>
      </c>
    </row>
    <row r="23" customFormat="false" ht="15" hidden="false" customHeight="false" outlineLevel="0" collapsed="false">
      <c r="B23" s="25" t="str">
        <f aca="false">IF(Listeler!A17="","",Listeler!A17)</f>
        <v/>
      </c>
      <c r="C23" s="26" t="str">
        <f aca="false">IF(B23="","",SUMIFS(Puantaj!$C$5:$C$3004,Puantaj!$E$5:$E$3004,B23,Puantaj!$A$5:$A$3004,"&gt;="&amp;Özet!$C$3,Puantaj!$A$5:$A$3004,"&lt;="&amp;Özet!$C$4))</f>
        <v/>
      </c>
      <c r="D23" s="16" t="str">
        <f aca="false">IF(B23="","",SUMIFS(Puantaj!$G$5:$G$3004,Puantaj!$E$5:$E$3004,B23,Puantaj!$A$5:$A$3004,"&gt;="&amp;Özet!$C$3,Puantaj!$A$5:$A$3004,"&lt;="&amp;Özet!$C$4))</f>
        <v/>
      </c>
    </row>
    <row r="24" customFormat="false" ht="15" hidden="false" customHeight="false" outlineLevel="0" collapsed="false">
      <c r="B24" s="27" t="str">
        <f aca="false">IF(Listeler!A18="","",Listeler!A18)</f>
        <v/>
      </c>
      <c r="C24" s="28" t="str">
        <f aca="false">IF(B24="","",SUMIFS(Puantaj!$C$5:$C$3004,Puantaj!$E$5:$E$3004,B24,Puantaj!$A$5:$A$3004,"&gt;="&amp;Özet!$C$3,Puantaj!$A$5:$A$3004,"&lt;="&amp;Özet!$C$4))</f>
        <v/>
      </c>
      <c r="D24" s="29" t="str">
        <f aca="false">IF(B24="","",SUMIFS(Puantaj!$G$5:$G$3004,Puantaj!$E$5:$E$3004,B24,Puantaj!$A$5:$A$3004,"&gt;="&amp;Özet!$C$3,Puantaj!$A$5:$A$3004,"&lt;="&amp;Özet!$C$4))</f>
        <v/>
      </c>
    </row>
    <row r="25" customFormat="false" ht="15" hidden="false" customHeight="false" outlineLevel="0" collapsed="false">
      <c r="B25" s="25" t="str">
        <f aca="false">IF(Listeler!A19="","",Listeler!A19)</f>
        <v/>
      </c>
      <c r="C25" s="26" t="str">
        <f aca="false">IF(B25="","",SUMIFS(Puantaj!$C$5:$C$3004,Puantaj!$E$5:$E$3004,B25,Puantaj!$A$5:$A$3004,"&gt;="&amp;Özet!$C$3,Puantaj!$A$5:$A$3004,"&lt;="&amp;Özet!$C$4))</f>
        <v/>
      </c>
      <c r="D25" s="16" t="str">
        <f aca="false">IF(B25="","",SUMIFS(Puantaj!$G$5:$G$3004,Puantaj!$E$5:$E$3004,B25,Puantaj!$A$5:$A$3004,"&gt;="&amp;Özet!$C$3,Puantaj!$A$5:$A$3004,"&lt;="&amp;Özet!$C$4))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A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</cols>
  <sheetData>
    <row r="1" customFormat="false" ht="19.7" hidden="false" customHeight="false" outlineLevel="0" collapsed="false">
      <c r="A1" s="8" t="s">
        <v>63</v>
      </c>
    </row>
    <row r="2" customFormat="false" ht="15" hidden="false" customHeight="false" outlineLevel="0" collapsed="false">
      <c r="A2" s="9" t="s">
        <v>64</v>
      </c>
    </row>
    <row r="4" customFormat="false" ht="21.75" hidden="false" customHeight="true" outlineLevel="0" collapsed="false">
      <c r="A4" s="10" t="s">
        <v>30</v>
      </c>
    </row>
    <row r="5" customFormat="false" ht="15" hidden="false" customHeight="false" outlineLevel="0" collapsed="false">
      <c r="A5" s="15" t="s">
        <v>34</v>
      </c>
    </row>
    <row r="6" customFormat="false" ht="15" hidden="false" customHeight="false" outlineLevel="0" collapsed="false">
      <c r="A6" s="15" t="s">
        <v>36</v>
      </c>
    </row>
    <row r="7" customFormat="false" ht="15" hidden="false" customHeight="false" outlineLevel="0" collapsed="false">
      <c r="A7" s="15" t="s">
        <v>38</v>
      </c>
    </row>
    <row r="8" customFormat="false" ht="15" hidden="false" customHeight="false" outlineLevel="0" collapsed="false">
      <c r="A8" s="15"/>
    </row>
    <row r="9" customFormat="false" ht="15" hidden="false" customHeight="false" outlineLevel="0" collapsed="false">
      <c r="A9" s="15"/>
    </row>
    <row r="10" customFormat="false" ht="15" hidden="false" customHeight="false" outlineLevel="0" collapsed="false">
      <c r="A10" s="15"/>
    </row>
    <row r="11" customFormat="false" ht="15" hidden="false" customHeight="false" outlineLevel="0" collapsed="false">
      <c r="A11" s="15"/>
    </row>
    <row r="12" customFormat="false" ht="15" hidden="false" customHeight="false" outlineLevel="0" collapsed="false">
      <c r="A12" s="15"/>
    </row>
    <row r="13" customFormat="false" ht="15" hidden="false" customHeight="false" outlineLevel="0" collapsed="false">
      <c r="A13" s="15"/>
    </row>
    <row r="14" customFormat="false" ht="15" hidden="false" customHeight="false" outlineLevel="0" collapsed="false">
      <c r="A14" s="15"/>
    </row>
    <row r="15" customFormat="false" ht="15" hidden="false" customHeight="false" outlineLevel="0" collapsed="false">
      <c r="A15" s="15"/>
    </row>
    <row r="16" customFormat="false" ht="15" hidden="false" customHeight="false" outlineLevel="0" collapsed="false">
      <c r="A16" s="15"/>
    </row>
    <row r="17" customFormat="false" ht="15" hidden="false" customHeight="false" outlineLevel="0" collapsed="false">
      <c r="A17" s="15"/>
    </row>
    <row r="18" customFormat="false" ht="15" hidden="false" customHeight="false" outlineLevel="0" collapsed="false">
      <c r="A18" s="15"/>
    </row>
    <row r="19" customFormat="false" ht="15" hidden="false" customHeight="false" outlineLevel="0" collapsed="false">
      <c r="A19" s="15"/>
    </row>
    <row r="20" customFormat="false" ht="15" hidden="false" customHeight="false" outlineLevel="0" collapsed="false">
      <c r="A20" s="15"/>
    </row>
    <row r="21" customFormat="false" ht="15" hidden="false" customHeight="false" outlineLevel="0" collapsed="false">
      <c r="A21" s="15"/>
    </row>
    <row r="22" customFormat="false" ht="15" hidden="false" customHeight="false" outlineLevel="0" collapsed="false">
      <c r="A22" s="15"/>
    </row>
    <row r="23" customFormat="false" ht="15" hidden="false" customHeight="false" outlineLevel="0" collapsed="false">
      <c r="A23" s="15"/>
    </row>
    <row r="24" customFormat="false" ht="15" hidden="false" customHeight="false" outlineLevel="0" collapsed="false">
      <c r="A24" s="15"/>
    </row>
    <row r="25" customFormat="false" ht="15" hidden="false" customHeight="false" outlineLevel="0" collapsed="false">
      <c r="A25" s="15"/>
    </row>
    <row r="26" customFormat="false" ht="15" hidden="false" customHeight="false" outlineLevel="0" collapsed="false">
      <c r="A26" s="15"/>
    </row>
    <row r="27" customFormat="false" ht="15" hidden="false" customHeight="false" outlineLevel="0" collapsed="false">
      <c r="A27" s="15"/>
    </row>
    <row r="28" customFormat="false" ht="15" hidden="false" customHeight="false" outlineLevel="0" collapsed="false">
      <c r="A28" s="15"/>
    </row>
    <row r="29" customFormat="false" ht="15" hidden="false" customHeight="false" outlineLevel="0" collapsed="false">
      <c r="A29" s="15"/>
    </row>
    <row r="30" customFormat="false" ht="15" hidden="false" customHeight="false" outlineLevel="0" collapsed="false">
      <c r="A30" s="15"/>
    </row>
    <row r="31" customFormat="false" ht="15" hidden="false" customHeight="false" outlineLevel="0" collapsed="false">
      <c r="A31" s="15"/>
    </row>
    <row r="32" customFormat="false" ht="15" hidden="false" customHeight="false" outlineLevel="0" collapsed="false">
      <c r="A32" s="15"/>
    </row>
    <row r="33" customFormat="false" ht="15" hidden="false" customHeight="false" outlineLevel="0" collapsed="false">
      <c r="A33" s="15"/>
    </row>
    <row r="34" customFormat="false" ht="15" hidden="false" customHeight="false" outlineLevel="0" collapsed="false">
      <c r="A34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65</v>
      </c>
    </row>
    <row r="2" customFormat="false" ht="30" hidden="false" customHeight="true" outlineLevel="0" collapsed="false">
      <c r="B2" s="30" t="s">
        <v>66</v>
      </c>
      <c r="C2" s="30"/>
    </row>
    <row r="3" customFormat="false" ht="31.5" hidden="false" customHeight="true" outlineLevel="0" collapsed="false">
      <c r="B3" s="31" t="s">
        <v>67</v>
      </c>
      <c r="C3" s="31"/>
    </row>
    <row r="5" customFormat="false" ht="15" hidden="false" customHeight="false" outlineLevel="0" collapsed="false">
      <c r="B5" s="32" t="s">
        <v>68</v>
      </c>
      <c r="C5" s="32" t="s">
        <v>69</v>
      </c>
    </row>
    <row r="6" customFormat="false" ht="31.5" hidden="false" customHeight="true" outlineLevel="0" collapsed="false">
      <c r="B6" s="33" t="s">
        <v>70</v>
      </c>
      <c r="C6" s="34" t="s">
        <v>71</v>
      </c>
    </row>
    <row r="7" customFormat="false" ht="31.5" hidden="false" customHeight="true" outlineLevel="0" collapsed="false">
      <c r="B7" s="35" t="s">
        <v>72</v>
      </c>
      <c r="C7" s="36" t="s">
        <v>73</v>
      </c>
    </row>
    <row r="8" customFormat="false" ht="31.5" hidden="false" customHeight="true" outlineLevel="0" collapsed="false">
      <c r="B8" s="33" t="s">
        <v>74</v>
      </c>
      <c r="C8" s="34" t="s">
        <v>75</v>
      </c>
    </row>
    <row r="9" customFormat="false" ht="31.5" hidden="false" customHeight="true" outlineLevel="0" collapsed="false">
      <c r="B9" s="35" t="s">
        <v>76</v>
      </c>
      <c r="C9" s="36" t="s">
        <v>77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2026-10-04T22:00:08Z</dcterms:created>
  <dc:creator>openpyxl</dc:creator>
  <dc:description/>
  <dc:language>en-US</dc:language>
  <cp:lastModifiedBy/>
  <dcterms:modified xsi:type="dcterms:W3CDTF">2026-10-04T22:00:09Z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