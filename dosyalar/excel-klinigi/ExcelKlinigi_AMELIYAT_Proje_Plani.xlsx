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Görevler" sheetId="2" state="visible" r:id="rId4"/>
    <sheet name="Çizelge" sheetId="3" state="visible" r:id="rId5"/>
    <sheet name="Özet" sheetId="4" state="visible" r:id="rId6"/>
    <sheet name="Ayarla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<sst xmlns="http://schemas.openxmlformats.org/spreadsheetml/2006/main" count="101" uniqueCount="84">
  <si>
    <t xml:space="preserve">EXCEL KLİNİĞİ</t>
  </si>
  <si>
    <t xml:space="preserve">AMELİYAT  |  Proje ve görev planı</t>
  </si>
  <si>
    <t xml:space="preserve">Görevleri, sorumluları ve tarihleri yaz; zaman çizelgesi, gecikenler ve genel ilerleme kendiliğinden çıksın.</t>
  </si>
  <si>
    <t xml:space="preserve">NASIL KULLANILIR</t>
  </si>
  <si>
    <t xml:space="preserve">1. Ayarlar</t>
  </si>
  <si>
    <t xml:space="preserve">Proje adını, çizelgenin başlayacağı tarihi, ölçeği (gün ya da hafta) ve kişileri yaz.</t>
  </si>
  <si>
    <t xml:space="preserve">2. Görevler</t>
  </si>
  <si>
    <t xml:space="preserve">Her görevi sorumlusu, başlangıç ve bitiş tarihiyle gir. İş ilerledikçe yüzdeyi güncelle; yüzde 100 olunca Tamamlandı yazar.</t>
  </si>
  <si>
    <t xml:space="preserve">3. Çizelge</t>
  </si>
  <si>
    <t xml:space="preserve">Görevlerin zaman çizelgesi. Koyu yeşil tamamlanan, açık yeşil kalan kısım. Bugünün sütunu kırmızı çerçevelidir.</t>
  </si>
  <si>
    <t xml:space="preserve">4. Özet</t>
  </si>
  <si>
    <t xml:space="preserve">Geciken görevler, 7 gün içinde bitecekler, genel ilerleme ve kişi başına yük.</t>
  </si>
  <si>
    <t xml:space="preserve">BİLMEN GEREKENLER</t>
  </si>
  <si>
    <t xml:space="preserve">Durum</t>
  </si>
  <si>
    <t xml:space="preserve">Bitiş tarihi geçmiş ve yüzde 100 olmamışsa Gecikti; başlangıcı gelmemişse Başlamadı; arada ise Sürüyor yazar. Bugünün tarihine göre her açışta güncellenir.</t>
  </si>
  <si>
    <t xml:space="preserve">Çizelge sınırı</t>
  </si>
  <si>
    <t xml:space="preserve">Çizelge 60 sütun gösterir: ölçek 7 ise yaklaşık 14 ay, ölçek 1 ise 2 ay. Daha uzun proje için ölçeği büyüt.</t>
  </si>
  <si>
    <t xml:space="preserve">Bağımlılık yok</t>
  </si>
  <si>
    <t xml:space="preserve">Dosya görevler arası bağımlılığı (biri bitmeden diğeri başlamaz) tutmaz. Bir görev kayarsa sonrakilerin tarihini elle güncellemen gerekir.</t>
  </si>
  <si>
    <t xml:space="preserve">Kapasite</t>
  </si>
  <si>
    <t xml:space="preserve">100 görev, 15 kişi.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</si>
  <si>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</si>
  <si>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</si>
  <si>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</si>
  <si>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</si>
  <si>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</si>
  <si>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Görevler</t>
  </si>
  <si>
    <t xml:space="preserve">Her görev bir satır. İlerlemeyi 0 ile 100 arasında yüzde olarak güncelle.</t>
  </si>
  <si>
    <t xml:space="preserve">Görev</t>
  </si>
  <si>
    <t xml:space="preserve">Sorumlu</t>
  </si>
  <si>
    <t xml:space="preserve">Başlangıç</t>
  </si>
  <si>
    <t xml:space="preserve">Bitiş</t>
  </si>
  <si>
    <t xml:space="preserve">İlerleme</t>
  </si>
  <si>
    <t xml:space="preserve">Süre (gün)</t>
  </si>
  <si>
    <t xml:space="preserve">Kalan gün</t>
  </si>
  <si>
    <t xml:space="preserve">y</t>
  </si>
  <si>
    <t xml:space="preserve">Plan ve ölçü alma</t>
  </si>
  <si>
    <t xml:space="preserve">Kişi Alfa</t>
  </si>
  <si>
    <t xml:space="preserve">Malzeme siparişi</t>
  </si>
  <si>
    <t xml:space="preserve">Elektrik tesisatı</t>
  </si>
  <si>
    <t xml:space="preserve">Elektrikçi</t>
  </si>
  <si>
    <t xml:space="preserve">Boya ve zemin</t>
  </si>
  <si>
    <t xml:space="preserve">Usta</t>
  </si>
  <si>
    <t xml:space="preserve">Tabela tasarımı</t>
  </si>
  <si>
    <t xml:space="preserve">Tasarımcı</t>
  </si>
  <si>
    <t xml:space="preserve">Raf montajı</t>
  </si>
  <si>
    <t xml:space="preserve">Açılış hazırlığı</t>
  </si>
  <si>
    <t xml:space="preserve">Zaman Çizelgesi</t>
  </si>
  <si>
    <t xml:space="preserve">Bu sayfaya yazma. Koyu yeşil tamamlanan kısım, açık yeşil kalan kısım, kırmızı çerçeveli sütun bugün.</t>
  </si>
  <si>
    <t xml:space="preserve">Özet</t>
  </si>
  <si>
    <t xml:space="preserve">Bu sayfaya yazma.</t>
  </si>
  <si>
    <t xml:space="preserve">Tamamlanan</t>
  </si>
  <si>
    <t xml:space="preserve">Geciken</t>
  </si>
  <si>
    <t xml:space="preserve">7 gün içinde bitecek</t>
  </si>
  <si>
    <t xml:space="preserve">Genel ilerleme</t>
  </si>
  <si>
    <t xml:space="preserve">Genel ilerleme, görevlerin süresine göre ağırlıklı ortalamadır.</t>
  </si>
  <si>
    <t xml:space="preserve">Sorumluya göre</t>
  </si>
  <si>
    <t xml:space="preserve">Geciken görevler (en eski 10)</t>
  </si>
  <si>
    <t xml:space="preserve">Açık iş (gün)</t>
  </si>
  <si>
    <t xml:space="preserve">Gecikme (gün)</t>
  </si>
  <si>
    <t xml:space="preserve">Ayarlar</t>
  </si>
  <si>
    <t xml:space="preserve">Proje adını, çizelgenin başlangıcını ve ölçeğini belirle.</t>
  </si>
  <si>
    <t xml:space="preserve">Proje adı</t>
  </si>
  <si>
    <t xml:space="preserve">Dükkân yenileme</t>
  </si>
  <si>
    <t xml:space="preserve">Kişiler</t>
  </si>
  <si>
    <t xml:space="preserve">Çizelgenin başladığı tarih</t>
  </si>
  <si>
    <t xml:space="preserve">Ölçek: bir sütun kaç gün? (1 = gün, 7 = hafta)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</si>
  <si>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</si>
  <si>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</si>
  <si>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Kişi adlarını takma adla değiştir; müşteriye özel bilgileri sil. Yapay zekanın verdiği rakamları dosyadaki özet sayfasıyla karşılaştır.</t>
  </si>
  <si>
    <t xml:space="preserve">Ne için</t>
  </si>
  <si>
    <t xml:space="preserve">Komut (kopyala, yapıştır)</t>
  </si>
  <si>
    <t xml:space="preserve">Risk taraması</t>
  </si>
  <si>
    <t xml:space="preserve">[Görevler sayfası] Geciken ve yavaş ilerleyen görevlere bak. Projenin bitiş tarihini en çok hangileri tehdit ediyor?</t>
  </si>
  <si>
    <t xml:space="preserve">Haftalık plan</t>
  </si>
  <si>
    <t xml:space="preserve">[Görevler sayfası] Önümüzdeki 7 gün için kişi kişi yapılacaklar listesi çıkar.</t>
  </si>
  <si>
    <t xml:space="preserve">Durum raporu</t>
  </si>
  <si>
    <t xml:space="preserve">[Özet ve Görevler sayfaları] Müşteriye ya da yöneticiye gönderilecek beş cümlelik bir durum raporu yaz: nerede olduğumuz, ne gecikti, sıradaki adım.</t>
  </si>
  <si>
    <t xml:space="preserve">Yük dengesi</t>
  </si>
  <si>
    <t xml:space="preserve">[Özet sayfasındaki sorumlu tablosu] İş yükü kimde birikmiş? Hangi görevleri kime kaydırabilirim?</t>
  </si>
  <si>
    <t xml:space="preserve">Görev kırılımı</t>
  </si>
  <si>
    <t xml:space="preserve">[Görev adı] görevini bir ile üç günlük alt görevlere böl ve sırala.</t>
  </si>
  <si>
    <t xml:space="preserve">Gecikme telafisi</t>
  </si>
  <si>
    <t xml:space="preserve">[Geciken görevler] Bu gecikmeleri kapatmak için hangi görevler paralel yürütülebilir? Varsayımlarını yaz.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</si>
</sst>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0%"/>
    <numFmt numFmtId="167" formatCode="#,##0;[RED]\-#,##0;\-"/>
    <numFmt numFmtId="168" formatCode="mm/dd/yy"/>
    <numFmt numFmtId="169" formatCode="d\ mmm"/>
    <numFmt numFmtId="170" formatCode="General"/>
    <numFmt numFmtId="171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9"/>
      <color rgb="FF1B1F23"/>
      <name val="Arial"/>
      <family val="0"/>
      <charset val="1"/>
    </font>
    <font>
      <sz val="6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color rgb="FF1F6F43"/>
        <sz val="6"/>
      </font>
      <fill>
        <patternFill>
          <bgColor rgb="FF1F6F43"/>
        </patternFill>
      </fill>
    </dxf>
    <dxf>
      <font>
        <name val="Arial"/>
        <charset val="1"/>
        <family val="0"/>
        <color rgb="FF9FD8B5"/>
        <sz val="6"/>
      </font>
      <fill>
        <patternFill>
          <bgColor rgb="FF9FD8B5"/>
        </patternFill>
      </fill>
    </dxf>
    <dxf>
      <border diagonalUp="false" diagonalDown="false">
        <left style="medium">
          <color rgb="FFB42318"/>
        </left>
        <right style="medium">
          <color rgb="FFB42318"/>
        </right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9FD8B5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30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2:C12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true" outlineLevel="0" max="9" min="9" style="0" width="4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4" customFormat="false" ht="27.75" hidden="false" customHeight="tru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1" t="s">
        <v>33</v>
      </c>
      <c r="G4" s="11" t="s">
        <v>13</v>
      </c>
      <c r="H4" s="11" t="s">
        <v>34</v>
      </c>
      <c r="I4" s="11" t="s">
        <v>35</v>
      </c>
    </row>
    <row r="5" customFormat="false" ht="15" hidden="false" customHeight="false" outlineLevel="0" collapsed="false">
      <c r="A5" s="12" t="s">
        <v>36</v>
      </c>
      <c r="B5" s="12" t="s">
        <v>37</v>
      </c>
      <c r="C5" s="13" t="n">
        <v>46293</v>
      </c>
      <c r="D5" s="13" t="n">
        <v>46297</v>
      </c>
      <c r="E5" s="14" t="n">
        <v>1</v>
      </c>
      <c r="F5" s="15" t="n">
        <f aca="false">IF(OR(C5="",D5="",D5&lt;C5),"",D5-C5+1)</f>
        <v>5</v>
      </c>
      <c r="G5" s="16" t="str">
        <f aca="true">IF(A5="","",IF(F5="","Tarih eksik",IF(E5&gt;=1,"Tamamlandı",IF(D5&lt;TODAY(),"Gecikti",IF(C5&gt;TODAY(),"Başlamadı","Sürüyor")))))</f>
        <v>Tamamlandı</v>
      </c>
      <c r="H5" s="15" t="str">
        <f aca="true">IF(OR(F5="",G5="Tamamlandı"),"",D5-TODAY())</f>
        <v/>
      </c>
      <c r="I5" s="17" t="str">
        <f aca="false">IF(G5="Gecikti",D5+ROW()/1000000,"")</f>
        <v/>
      </c>
    </row>
    <row r="6" customFormat="false" ht="15" hidden="false" customHeight="false" outlineLevel="0" collapsed="false">
      <c r="A6" s="12" t="s">
        <v>38</v>
      </c>
      <c r="B6" s="12" t="s">
        <v>37</v>
      </c>
      <c r="C6" s="13" t="n">
        <v>46295</v>
      </c>
      <c r="D6" s="13" t="n">
        <v>46298</v>
      </c>
      <c r="E6" s="14" t="n">
        <v>0.6</v>
      </c>
      <c r="F6" s="15" t="n">
        <f aca="false">IF(OR(C6="",D6="",D6&lt;C6),"",D6-C6+1)</f>
        <v>4</v>
      </c>
      <c r="G6" s="16" t="str">
        <f aca="true">IF(A6="","",IF(F6="","Tarih eksik",IF(E6&gt;=1,"Tamamlandı",IF(D6&lt;TODAY(),"Gecikti",IF(C6&gt;TODAY(),"Başlamadı","Sürüyor")))))</f>
        <v>Gecikti</v>
      </c>
      <c r="H6" s="15" t="n">
        <f aca="true">IF(OR(F6="",G6="Tamamlandı"),"",D6-TODAY())</f>
        <v>-1</v>
      </c>
      <c r="I6" s="18" t="n">
        <f aca="false">IF(G6="Gecikti",D6+ROW()/1000000,"")</f>
        <v>46298.000006</v>
      </c>
    </row>
    <row r="7" customFormat="false" ht="15" hidden="false" customHeight="false" outlineLevel="0" collapsed="false">
      <c r="A7" s="12" t="s">
        <v>39</v>
      </c>
      <c r="B7" s="12" t="s">
        <v>40</v>
      </c>
      <c r="C7" s="13" t="n">
        <v>46300</v>
      </c>
      <c r="D7" s="13" t="n">
        <v>46309</v>
      </c>
      <c r="E7" s="14" t="n">
        <v>0</v>
      </c>
      <c r="F7" s="15" t="n">
        <f aca="false">IF(OR(C7="",D7="",D7&lt;C7),"",D7-C7+1)</f>
        <v>10</v>
      </c>
      <c r="G7" s="16" t="str">
        <f aca="true">IF(A7="","",IF(F7="","Tarih eksik",IF(E7&gt;=1,"Tamamlandı",IF(D7&lt;TODAY(),"Gecikti",IF(C7&gt;TODAY(),"Başlamadı","Sürüyor")))))</f>
        <v>Başlamadı</v>
      </c>
      <c r="H7" s="15" t="n">
        <f aca="true">IF(OR(F7="",G7="Tamamlandı"),"",D7-TODAY())</f>
        <v>10</v>
      </c>
      <c r="I7" s="17" t="str">
        <f aca="false">IF(G7="Gecikti",D7+ROW()/1000000,"")</f>
        <v/>
      </c>
    </row>
    <row r="8" customFormat="false" ht="15" hidden="false" customHeight="false" outlineLevel="0" collapsed="false">
      <c r="A8" s="12" t="s">
        <v>41</v>
      </c>
      <c r="B8" s="12" t="s">
        <v>42</v>
      </c>
      <c r="C8" s="13" t="n">
        <v>46307</v>
      </c>
      <c r="D8" s="13" t="n">
        <v>46320</v>
      </c>
      <c r="E8" s="14" t="n">
        <v>0</v>
      </c>
      <c r="F8" s="15" t="n">
        <f aca="false">IF(OR(C8="",D8="",D8&lt;C8),"",D8-C8+1)</f>
        <v>14</v>
      </c>
      <c r="G8" s="16" t="str">
        <f aca="true">IF(A8="","",IF(F8="","Tarih eksik",IF(E8&gt;=1,"Tamamlandı",IF(D8&lt;TODAY(),"Gecikti",IF(C8&gt;TODAY(),"Başlamadı","Sürüyor")))))</f>
        <v>Başlamadı</v>
      </c>
      <c r="H8" s="15" t="n">
        <f aca="true">IF(OR(F8="",G8="Tamamlandı"),"",D8-TODAY())</f>
        <v>21</v>
      </c>
      <c r="I8" s="17" t="str">
        <f aca="false">IF(G8="Gecikti",D8+ROW()/1000000,"")</f>
        <v/>
      </c>
    </row>
    <row r="9" customFormat="false" ht="15" hidden="false" customHeight="false" outlineLevel="0" collapsed="false">
      <c r="A9" s="12" t="s">
        <v>43</v>
      </c>
      <c r="B9" s="12" t="s">
        <v>44</v>
      </c>
      <c r="C9" s="13" t="n">
        <v>46296</v>
      </c>
      <c r="D9" s="13" t="n">
        <v>46315</v>
      </c>
      <c r="E9" s="14" t="n">
        <v>0.3</v>
      </c>
      <c r="F9" s="15" t="n">
        <f aca="false">IF(OR(C9="",D9="",D9&lt;C9),"",D9-C9+1)</f>
        <v>20</v>
      </c>
      <c r="G9" s="16" t="str">
        <f aca="true">IF(A9="","",IF(F9="","Tarih eksik",IF(E9&gt;=1,"Tamamlandı",IF(D9&lt;TODAY(),"Gecikti",IF(C9&gt;TODAY(),"Başlamadı","Sürüyor")))))</f>
        <v>Sürüyor</v>
      </c>
      <c r="H9" s="15" t="n">
        <f aca="true">IF(OR(F9="",G9="Tamamlandı"),"",D9-TODAY())</f>
        <v>16</v>
      </c>
      <c r="I9" s="17" t="str">
        <f aca="false">IF(G9="Gecikti",D9+ROW()/1000000,"")</f>
        <v/>
      </c>
    </row>
    <row r="10" customFormat="false" ht="15" hidden="false" customHeight="false" outlineLevel="0" collapsed="false">
      <c r="A10" s="12" t="s">
        <v>45</v>
      </c>
      <c r="B10" s="12" t="s">
        <v>42</v>
      </c>
      <c r="C10" s="13" t="n">
        <v>46321</v>
      </c>
      <c r="D10" s="13" t="n">
        <v>46332</v>
      </c>
      <c r="E10" s="14" t="n">
        <v>0</v>
      </c>
      <c r="F10" s="15" t="n">
        <f aca="false">IF(OR(C10="",D10="",D10&lt;C10),"",D10-C10+1)</f>
        <v>12</v>
      </c>
      <c r="G10" s="16" t="str">
        <f aca="true">IF(A10="","",IF(F10="","Tarih eksik",IF(E10&gt;=1,"Tamamlandı",IF(D10&lt;TODAY(),"Gecikti",IF(C10&gt;TODAY(),"Başlamadı","Sürüyor")))))</f>
        <v>Başlamadı</v>
      </c>
      <c r="H10" s="15" t="n">
        <f aca="true">IF(OR(F10="",G10="Tamamlandı"),"",D10-TODAY())</f>
        <v>33</v>
      </c>
      <c r="I10" s="17" t="str">
        <f aca="false">IF(G10="Gecikti",D10+ROW()/1000000,"")</f>
        <v/>
      </c>
    </row>
    <row r="11" customFormat="false" ht="15" hidden="false" customHeight="false" outlineLevel="0" collapsed="false">
      <c r="A11" s="12" t="s">
        <v>46</v>
      </c>
      <c r="B11" s="12" t="s">
        <v>37</v>
      </c>
      <c r="C11" s="13" t="n">
        <v>46335</v>
      </c>
      <c r="D11" s="13" t="n">
        <v>46341</v>
      </c>
      <c r="E11" s="14" t="n">
        <v>0</v>
      </c>
      <c r="F11" s="15" t="n">
        <f aca="false">IF(OR(C11="",D11="",D11&lt;C11),"",D11-C11+1)</f>
        <v>7</v>
      </c>
      <c r="G11" s="16" t="str">
        <f aca="true">IF(A11="","",IF(F11="","Tarih eksik",IF(E11&gt;=1,"Tamamlandı",IF(D11&lt;TODAY(),"Gecikti",IF(C11&gt;TODAY(),"Başlamadı","Sürüyor")))))</f>
        <v>Başlamadı</v>
      </c>
      <c r="H11" s="15" t="n">
        <f aca="true">IF(OR(F11="",G11="Tamamlandı"),"",D11-TODAY())</f>
        <v>42</v>
      </c>
      <c r="I11" s="17" t="str">
        <f aca="false">IF(G11="Gecikti",D11+ROW()/1000000,"")</f>
        <v/>
      </c>
    </row>
    <row r="12" customFormat="false" ht="15" hidden="false" customHeight="false" outlineLevel="0" collapsed="false">
      <c r="A12" s="12"/>
      <c r="B12" s="12"/>
      <c r="C12" s="13"/>
      <c r="D12" s="13"/>
      <c r="E12" s="14"/>
      <c r="F12" s="15" t="str">
        <f aca="false">IF(OR(C12="",D12="",D12&lt;C12),"",D12-C12+1)</f>
        <v/>
      </c>
      <c r="G12" s="16" t="str">
        <f aca="true">IF(A12="","",IF(F12="","Tarih eksik",IF(E12&gt;=1,"Tamamlandı",IF(D12&lt;TODAY(),"Gecikti",IF(C12&gt;TODAY(),"Başlamadı","Sürüyor")))))</f>
        <v/>
      </c>
      <c r="H12" s="15" t="str">
        <f aca="true">IF(OR(F12="",G12="Tamamlandı"),"",D12-TODAY())</f>
        <v/>
      </c>
      <c r="I12" s="17" t="str">
        <f aca="false">IF(G12="Gecikti",D12+ROW()/1000000,"")</f>
        <v/>
      </c>
    </row>
    <row r="13" customFormat="false" ht="15" hidden="false" customHeight="false" outlineLevel="0" collapsed="false">
      <c r="A13" s="12"/>
      <c r="B13" s="12"/>
      <c r="C13" s="13"/>
      <c r="D13" s="13"/>
      <c r="E13" s="14"/>
      <c r="F13" s="15" t="str">
        <f aca="false">IF(OR(C13="",D13="",D13&lt;C13),"",D13-C13+1)</f>
        <v/>
      </c>
      <c r="G13" s="16" t="str">
        <f aca="true">IF(A13="","",IF(F13="","Tarih eksik",IF(E13&gt;=1,"Tamamlandı",IF(D13&lt;TODAY(),"Gecikti",IF(C13&gt;TODAY(),"Başlamadı","Sürüyor")))))</f>
        <v/>
      </c>
      <c r="H13" s="15" t="str">
        <f aca="true">IF(OR(F13="",G13="Tamamlandı"),"",D13-TODAY())</f>
        <v/>
      </c>
      <c r="I13" s="17" t="str">
        <f aca="false">IF(G13="Gecikti",D13+ROW()/1000000,"")</f>
        <v/>
      </c>
    </row>
    <row r="14" customFormat="false" ht="15" hidden="false" customHeight="false" outlineLevel="0" collapsed="false">
      <c r="A14" s="12"/>
      <c r="B14" s="12"/>
      <c r="C14" s="13"/>
      <c r="D14" s="13"/>
      <c r="E14" s="14"/>
      <c r="F14" s="15" t="str">
        <f aca="false">IF(OR(C14="",D14="",D14&lt;C14),"",D14-C14+1)</f>
        <v/>
      </c>
      <c r="G14" s="16" t="str">
        <f aca="true">IF(A14="","",IF(F14="","Tarih eksik",IF(E14&gt;=1,"Tamamlandı",IF(D14&lt;TODAY(),"Gecikti",IF(C14&gt;TODAY(),"Başlamadı","Sürüyor")))))</f>
        <v/>
      </c>
      <c r="H14" s="15" t="str">
        <f aca="true">IF(OR(F14="",G14="Tamamlandı"),"",D14-TODAY())</f>
        <v/>
      </c>
      <c r="I14" s="17" t="str">
        <f aca="false">IF(G14="Gecikti",D14+ROW()/1000000,"")</f>
        <v/>
      </c>
    </row>
    <row r="15" customFormat="false" ht="15" hidden="false" customHeight="false" outlineLevel="0" collapsed="false">
      <c r="A15" s="12"/>
      <c r="B15" s="12"/>
      <c r="C15" s="13"/>
      <c r="D15" s="13"/>
      <c r="E15" s="14"/>
      <c r="F15" s="15" t="str">
        <f aca="false">IF(OR(C15="",D15="",D15&lt;C15),"",D15-C15+1)</f>
        <v/>
      </c>
      <c r="G15" s="16" t="str">
        <f aca="true">IF(A15="","",IF(F15="","Tarih eksik",IF(E15&gt;=1,"Tamamlandı",IF(D15&lt;TODAY(),"Gecikti",IF(C15&gt;TODAY(),"Başlamadı","Sürüyor")))))</f>
        <v/>
      </c>
      <c r="H15" s="15" t="str">
        <f aca="true">IF(OR(F15="",G15="Tamamlandı"),"",D15-TODAY())</f>
        <v/>
      </c>
      <c r="I15" s="17" t="str">
        <f aca="false">IF(G15="Gecikti",D15+ROW()/1000000,"")</f>
        <v/>
      </c>
    </row>
    <row r="16" customFormat="false" ht="15" hidden="false" customHeight="false" outlineLevel="0" collapsed="false">
      <c r="A16" s="12"/>
      <c r="B16" s="12"/>
      <c r="C16" s="13"/>
      <c r="D16" s="13"/>
      <c r="E16" s="14"/>
      <c r="F16" s="15" t="str">
        <f aca="false">IF(OR(C16="",D16="",D16&lt;C16),"",D16-C16+1)</f>
        <v/>
      </c>
      <c r="G16" s="16" t="str">
        <f aca="true">IF(A16="","",IF(F16="","Tarih eksik",IF(E16&gt;=1,"Tamamlandı",IF(D16&lt;TODAY(),"Gecikti",IF(C16&gt;TODAY(),"Başlamadı","Sürüyor")))))</f>
        <v/>
      </c>
      <c r="H16" s="15" t="str">
        <f aca="true">IF(OR(F16="",G16="Tamamlandı"),"",D16-TODAY())</f>
        <v/>
      </c>
      <c r="I16" s="17" t="str">
        <f aca="false">IF(G16="Gecikti",D16+ROW()/1000000,"")</f>
        <v/>
      </c>
    </row>
    <row r="17" customFormat="false" ht="15" hidden="false" customHeight="false" outlineLevel="0" collapsed="false">
      <c r="A17" s="12"/>
      <c r="B17" s="12"/>
      <c r="C17" s="13"/>
      <c r="D17" s="13"/>
      <c r="E17" s="14"/>
      <c r="F17" s="15" t="str">
        <f aca="false">IF(OR(C17="",D17="",D17&lt;C17),"",D17-C17+1)</f>
        <v/>
      </c>
      <c r="G17" s="16" t="str">
        <f aca="true">IF(A17="","",IF(F17="","Tarih eksik",IF(E17&gt;=1,"Tamamlandı",IF(D17&lt;TODAY(),"Gecikti",IF(C17&gt;TODAY(),"Başlamadı","Sürüyor")))))</f>
        <v/>
      </c>
      <c r="H17" s="15" t="str">
        <f aca="true">IF(OR(F17="",G17="Tamamlandı"),"",D17-TODAY())</f>
        <v/>
      </c>
      <c r="I17" s="17" t="str">
        <f aca="false">IF(G17="Gecikti",D17+ROW()/1000000,"")</f>
        <v/>
      </c>
    </row>
    <row r="18" customFormat="false" ht="15" hidden="false" customHeight="false" outlineLevel="0" collapsed="false">
      <c r="A18" s="12"/>
      <c r="B18" s="12"/>
      <c r="C18" s="13"/>
      <c r="D18" s="13"/>
      <c r="E18" s="14"/>
      <c r="F18" s="15" t="str">
        <f aca="false">IF(OR(C18="",D18="",D18&lt;C18),"",D18-C18+1)</f>
        <v/>
      </c>
      <c r="G18" s="16" t="str">
        <f aca="true">IF(A18="","",IF(F18="","Tarih eksik",IF(E18&gt;=1,"Tamamlandı",IF(D18&lt;TODAY(),"Gecikti",IF(C18&gt;TODAY(),"Başlamadı","Sürüyor")))))</f>
        <v/>
      </c>
      <c r="H18" s="15" t="str">
        <f aca="true">IF(OR(F18="",G18="Tamamlandı"),"",D18-TODAY())</f>
        <v/>
      </c>
      <c r="I18" s="17" t="str">
        <f aca="false">IF(G18="Gecikti",D18+ROW()/1000000,"")</f>
        <v/>
      </c>
    </row>
    <row r="19" customFormat="false" ht="15" hidden="false" customHeight="false" outlineLevel="0" collapsed="false">
      <c r="A19" s="12"/>
      <c r="B19" s="12"/>
      <c r="C19" s="13"/>
      <c r="D19" s="13"/>
      <c r="E19" s="14"/>
      <c r="F19" s="15" t="str">
        <f aca="false">IF(OR(C19="",D19="",D19&lt;C19),"",D19-C19+1)</f>
        <v/>
      </c>
      <c r="G19" s="16" t="str">
        <f aca="true">IF(A19="","",IF(F19="","Tarih eksik",IF(E19&gt;=1,"Tamamlandı",IF(D19&lt;TODAY(),"Gecikti",IF(C19&gt;TODAY(),"Başlamadı","Sürüyor")))))</f>
        <v/>
      </c>
      <c r="H19" s="15" t="str">
        <f aca="true">IF(OR(F19="",G19="Tamamlandı"),"",D19-TODAY())</f>
        <v/>
      </c>
      <c r="I19" s="17" t="str">
        <f aca="false">IF(G19="Gecikti",D19+ROW()/1000000,"")</f>
        <v/>
      </c>
    </row>
    <row r="20" customFormat="false" ht="15" hidden="false" customHeight="false" outlineLevel="0" collapsed="false">
      <c r="A20" s="12"/>
      <c r="B20" s="12"/>
      <c r="C20" s="13"/>
      <c r="D20" s="13"/>
      <c r="E20" s="14"/>
      <c r="F20" s="15" t="str">
        <f aca="false">IF(OR(C20="",D20="",D20&lt;C20),"",D20-C20+1)</f>
        <v/>
      </c>
      <c r="G20" s="16" t="str">
        <f aca="true">IF(A20="","",IF(F20="","Tarih eksik",IF(E20&gt;=1,"Tamamlandı",IF(D20&lt;TODAY(),"Gecikti",IF(C20&gt;TODAY(),"Başlamadı","Sürüyor")))))</f>
        <v/>
      </c>
      <c r="H20" s="15" t="str">
        <f aca="true">IF(OR(F20="",G20="Tamamlandı"),"",D20-TODAY())</f>
        <v/>
      </c>
      <c r="I20" s="17" t="str">
        <f aca="false">IF(G20="Gecikti",D20+ROW()/1000000,"")</f>
        <v/>
      </c>
    </row>
    <row r="21" customFormat="false" ht="15" hidden="false" customHeight="false" outlineLevel="0" collapsed="false">
      <c r="A21" s="12"/>
      <c r="B21" s="12"/>
      <c r="C21" s="13"/>
      <c r="D21" s="13"/>
      <c r="E21" s="14"/>
      <c r="F21" s="15" t="str">
        <f aca="false">IF(OR(C21="",D21="",D21&lt;C21),"",D21-C21+1)</f>
        <v/>
      </c>
      <c r="G21" s="16" t="str">
        <f aca="true">IF(A21="","",IF(F21="","Tarih eksik",IF(E21&gt;=1,"Tamamlandı",IF(D21&lt;TODAY(),"Gecikti",IF(C21&gt;TODAY(),"Başlamadı","Sürüyor")))))</f>
        <v/>
      </c>
      <c r="H21" s="15" t="str">
        <f aca="true">IF(OR(F21="",G21="Tamamlandı"),"",D21-TODAY())</f>
        <v/>
      </c>
      <c r="I21" s="17" t="str">
        <f aca="false">IF(G21="Gecikti",D21+ROW()/1000000,"")</f>
        <v/>
      </c>
    </row>
    <row r="22" customFormat="false" ht="15" hidden="false" customHeight="false" outlineLevel="0" collapsed="false">
      <c r="A22" s="12"/>
      <c r="B22" s="12"/>
      <c r="C22" s="13"/>
      <c r="D22" s="13"/>
      <c r="E22" s="14"/>
      <c r="F22" s="15" t="str">
        <f aca="false">IF(OR(C22="",D22="",D22&lt;C22),"",D22-C22+1)</f>
        <v/>
      </c>
      <c r="G22" s="16" t="str">
        <f aca="true">IF(A22="","",IF(F22="","Tarih eksik",IF(E22&gt;=1,"Tamamlandı",IF(D22&lt;TODAY(),"Gecikti",IF(C22&gt;TODAY(),"Başlamadı","Sürüyor")))))</f>
        <v/>
      </c>
      <c r="H22" s="15" t="str">
        <f aca="true">IF(OR(F22="",G22="Tamamlandı"),"",D22-TODAY())</f>
        <v/>
      </c>
      <c r="I22" s="17" t="str">
        <f aca="false">IF(G22="Gecikti",D22+ROW()/1000000,"")</f>
        <v/>
      </c>
    </row>
    <row r="23" customFormat="false" ht="15" hidden="false" customHeight="false" outlineLevel="0" collapsed="false">
      <c r="A23" s="12"/>
      <c r="B23" s="12"/>
      <c r="C23" s="13"/>
      <c r="D23" s="13"/>
      <c r="E23" s="14"/>
      <c r="F23" s="15" t="str">
        <f aca="false">IF(OR(C23="",D23="",D23&lt;C23),"",D23-C23+1)</f>
        <v/>
      </c>
      <c r="G23" s="16" t="str">
        <f aca="true">IF(A23="","",IF(F23="","Tarih eksik",IF(E23&gt;=1,"Tamamlandı",IF(D23&lt;TODAY(),"Gecikti",IF(C23&gt;TODAY(),"Başlamadı","Sürüyor")))))</f>
        <v/>
      </c>
      <c r="H23" s="15" t="str">
        <f aca="true">IF(OR(F23="",G23="Tamamlandı"),"",D23-TODAY())</f>
        <v/>
      </c>
      <c r="I23" s="17" t="str">
        <f aca="false">IF(G23="Gecikti",D23+ROW()/1000000,"")</f>
        <v/>
      </c>
    </row>
    <row r="24" customFormat="false" ht="15" hidden="false" customHeight="false" outlineLevel="0" collapsed="false">
      <c r="A24" s="12"/>
      <c r="B24" s="12"/>
      <c r="C24" s="13"/>
      <c r="D24" s="13"/>
      <c r="E24" s="14"/>
      <c r="F24" s="15" t="str">
        <f aca="false">IF(OR(C24="",D24="",D24&lt;C24),"",D24-C24+1)</f>
        <v/>
      </c>
      <c r="G24" s="16" t="str">
        <f aca="true">IF(A24="","",IF(F24="","Tarih eksik",IF(E24&gt;=1,"Tamamlandı",IF(D24&lt;TODAY(),"Gecikti",IF(C24&gt;TODAY(),"Başlamadı","Sürüyor")))))</f>
        <v/>
      </c>
      <c r="H24" s="15" t="str">
        <f aca="true">IF(OR(F24="",G24="Tamamlandı"),"",D24-TODAY())</f>
        <v/>
      </c>
      <c r="I24" s="17" t="str">
        <f aca="false">IF(G24="Gecikti",D24+ROW()/1000000,"")</f>
        <v/>
      </c>
    </row>
    <row r="25" customFormat="false" ht="15" hidden="false" customHeight="false" outlineLevel="0" collapsed="false">
      <c r="A25" s="12"/>
      <c r="B25" s="12"/>
      <c r="C25" s="13"/>
      <c r="D25" s="13"/>
      <c r="E25" s="14"/>
      <c r="F25" s="15" t="str">
        <f aca="false">IF(OR(C25="",D25="",D25&lt;C25),"",D25-C25+1)</f>
        <v/>
      </c>
      <c r="G25" s="16" t="str">
        <f aca="true">IF(A25="","",IF(F25="","Tarih eksik",IF(E25&gt;=1,"Tamamlandı",IF(D25&lt;TODAY(),"Gecikti",IF(C25&gt;TODAY(),"Başlamadı","Sürüyor")))))</f>
        <v/>
      </c>
      <c r="H25" s="15" t="str">
        <f aca="true">IF(OR(F25="",G25="Tamamlandı"),"",D25-TODAY())</f>
        <v/>
      </c>
      <c r="I25" s="17" t="str">
        <f aca="false">IF(G25="Gecikti",D25+ROW()/1000000,"")</f>
        <v/>
      </c>
    </row>
    <row r="26" customFormat="false" ht="15" hidden="false" customHeight="false" outlineLevel="0" collapsed="false">
      <c r="A26" s="12"/>
      <c r="B26" s="12"/>
      <c r="C26" s="13"/>
      <c r="D26" s="13"/>
      <c r="E26" s="14"/>
      <c r="F26" s="15" t="str">
        <f aca="false">IF(OR(C26="",D26="",D26&lt;C26),"",D26-C26+1)</f>
        <v/>
      </c>
      <c r="G26" s="16" t="str">
        <f aca="true">IF(A26="","",IF(F26="","Tarih eksik",IF(E26&gt;=1,"Tamamlandı",IF(D26&lt;TODAY(),"Gecikti",IF(C26&gt;TODAY(),"Başlamadı","Sürüyor")))))</f>
        <v/>
      </c>
      <c r="H26" s="15" t="str">
        <f aca="true">IF(OR(F26="",G26="Tamamlandı"),"",D26-TODAY())</f>
        <v/>
      </c>
      <c r="I26" s="17" t="str">
        <f aca="false">IF(G26="Gecikti",D26+ROW()/1000000,"")</f>
        <v/>
      </c>
    </row>
    <row r="27" customFormat="false" ht="15" hidden="false" customHeight="false" outlineLevel="0" collapsed="false">
      <c r="A27" s="12"/>
      <c r="B27" s="12"/>
      <c r="C27" s="13"/>
      <c r="D27" s="13"/>
      <c r="E27" s="14"/>
      <c r="F27" s="15" t="str">
        <f aca="false">IF(OR(C27="",D27="",D27&lt;C27),"",D27-C27+1)</f>
        <v/>
      </c>
      <c r="G27" s="16" t="str">
        <f aca="true">IF(A27="","",IF(F27="","Tarih eksik",IF(E27&gt;=1,"Tamamlandı",IF(D27&lt;TODAY(),"Gecikti",IF(C27&gt;TODAY(),"Başlamadı","Sürüyor")))))</f>
        <v/>
      </c>
      <c r="H27" s="15" t="str">
        <f aca="true">IF(OR(F27="",G27="Tamamlandı"),"",D27-TODAY())</f>
        <v/>
      </c>
      <c r="I27" s="17" t="str">
        <f aca="false">IF(G27="Gecikti",D27+ROW()/1000000,"")</f>
        <v/>
      </c>
    </row>
    <row r="28" customFormat="false" ht="15" hidden="false" customHeight="false" outlineLevel="0" collapsed="false">
      <c r="A28" s="12"/>
      <c r="B28" s="12"/>
      <c r="C28" s="13"/>
      <c r="D28" s="13"/>
      <c r="E28" s="14"/>
      <c r="F28" s="15" t="str">
        <f aca="false">IF(OR(C28="",D28="",D28&lt;C28),"",D28-C28+1)</f>
        <v/>
      </c>
      <c r="G28" s="16" t="str">
        <f aca="true">IF(A28="","",IF(F28="","Tarih eksik",IF(E28&gt;=1,"Tamamlandı",IF(D28&lt;TODAY(),"Gecikti",IF(C28&gt;TODAY(),"Başlamadı","Sürüyor")))))</f>
        <v/>
      </c>
      <c r="H28" s="15" t="str">
        <f aca="true">IF(OR(F28="",G28="Tamamlandı"),"",D28-TODAY())</f>
        <v/>
      </c>
      <c r="I28" s="17" t="str">
        <f aca="false">IF(G28="Gecikti",D28+ROW()/1000000,"")</f>
        <v/>
      </c>
    </row>
    <row r="29" customFormat="false" ht="15" hidden="false" customHeight="false" outlineLevel="0" collapsed="false">
      <c r="A29" s="12"/>
      <c r="B29" s="12"/>
      <c r="C29" s="13"/>
      <c r="D29" s="13"/>
      <c r="E29" s="14"/>
      <c r="F29" s="15" t="str">
        <f aca="false">IF(OR(C29="",D29="",D29&lt;C29),"",D29-C29+1)</f>
        <v/>
      </c>
      <c r="G29" s="16" t="str">
        <f aca="true">IF(A29="","",IF(F29="","Tarih eksik",IF(E29&gt;=1,"Tamamlandı",IF(D29&lt;TODAY(),"Gecikti",IF(C29&gt;TODAY(),"Başlamadı","Sürüyor")))))</f>
        <v/>
      </c>
      <c r="H29" s="15" t="str">
        <f aca="true">IF(OR(F29="",G29="Tamamlandı"),"",D29-TODAY())</f>
        <v/>
      </c>
      <c r="I29" s="17" t="str">
        <f aca="false">IF(G29="Gecikti",D29+ROW()/1000000,"")</f>
        <v/>
      </c>
    </row>
    <row r="30" customFormat="false" ht="15" hidden="false" customHeight="false" outlineLevel="0" collapsed="false">
      <c r="A30" s="12"/>
      <c r="B30" s="12"/>
      <c r="C30" s="13"/>
      <c r="D30" s="13"/>
      <c r="E30" s="14"/>
      <c r="F30" s="15" t="str">
        <f aca="false">IF(OR(C30="",D30="",D30&lt;C30),"",D30-C30+1)</f>
        <v/>
      </c>
      <c r="G30" s="16" t="str">
        <f aca="true">IF(A30="","",IF(F30="","Tarih eksik",IF(E30&gt;=1,"Tamamlandı",IF(D30&lt;TODAY(),"Gecikti",IF(C30&gt;TODAY(),"Başlamadı","Sürüyor")))))</f>
        <v/>
      </c>
      <c r="H30" s="15" t="str">
        <f aca="true">IF(OR(F30="",G30="Tamamlandı"),"",D30-TODAY())</f>
        <v/>
      </c>
      <c r="I30" s="17" t="str">
        <f aca="false">IF(G30="Gecikti",D30+ROW()/1000000,"")</f>
        <v/>
      </c>
    </row>
    <row r="31" customFormat="false" ht="15" hidden="false" customHeight="false" outlineLevel="0" collapsed="false">
      <c r="A31" s="12"/>
      <c r="B31" s="12"/>
      <c r="C31" s="13"/>
      <c r="D31" s="13"/>
      <c r="E31" s="14"/>
      <c r="F31" s="15" t="str">
        <f aca="false">IF(OR(C31="",D31="",D31&lt;C31),"",D31-C31+1)</f>
        <v/>
      </c>
      <c r="G31" s="16" t="str">
        <f aca="true">IF(A31="","",IF(F31="","Tarih eksik",IF(E31&gt;=1,"Tamamlandı",IF(D31&lt;TODAY(),"Gecikti",IF(C31&gt;TODAY(),"Başlamadı","Sürüyor")))))</f>
        <v/>
      </c>
      <c r="H31" s="15" t="str">
        <f aca="true">IF(OR(F31="",G31="Tamamlandı"),"",D31-TODAY())</f>
        <v/>
      </c>
      <c r="I31" s="17" t="str">
        <f aca="false">IF(G31="Gecikti",D31+ROW()/1000000,"")</f>
        <v/>
      </c>
    </row>
    <row r="32" customFormat="false" ht="15" hidden="false" customHeight="false" outlineLevel="0" collapsed="false">
      <c r="A32" s="12"/>
      <c r="B32" s="12"/>
      <c r="C32" s="13"/>
      <c r="D32" s="13"/>
      <c r="E32" s="14"/>
      <c r="F32" s="15" t="str">
        <f aca="false">IF(OR(C32="",D32="",D32&lt;C32),"",D32-C32+1)</f>
        <v/>
      </c>
      <c r="G32" s="16" t="str">
        <f aca="true">IF(A32="","",IF(F32="","Tarih eksik",IF(E32&gt;=1,"Tamamlandı",IF(D32&lt;TODAY(),"Gecikti",IF(C32&gt;TODAY(),"Başlamadı","Sürüyor")))))</f>
        <v/>
      </c>
      <c r="H32" s="15" t="str">
        <f aca="true">IF(OR(F32="",G32="Tamamlandı"),"",D32-TODAY())</f>
        <v/>
      </c>
      <c r="I32" s="17" t="str">
        <f aca="false">IF(G32="Gecikti",D32+ROW()/1000000,"")</f>
        <v/>
      </c>
    </row>
    <row r="33" customFormat="false" ht="15" hidden="false" customHeight="false" outlineLevel="0" collapsed="false">
      <c r="A33" s="12"/>
      <c r="B33" s="12"/>
      <c r="C33" s="13"/>
      <c r="D33" s="13"/>
      <c r="E33" s="14"/>
      <c r="F33" s="15" t="str">
        <f aca="false">IF(OR(C33="",D33="",D33&lt;C33),"",D33-C33+1)</f>
        <v/>
      </c>
      <c r="G33" s="16" t="str">
        <f aca="true">IF(A33="","",IF(F33="","Tarih eksik",IF(E33&gt;=1,"Tamamlandı",IF(D33&lt;TODAY(),"Gecikti",IF(C33&gt;TODAY(),"Başlamadı","Sürüyor")))))</f>
        <v/>
      </c>
      <c r="H33" s="15" t="str">
        <f aca="true">IF(OR(F33="",G33="Tamamlandı"),"",D33-TODAY())</f>
        <v/>
      </c>
      <c r="I33" s="17" t="str">
        <f aca="false">IF(G33="Gecikti",D33+ROW()/1000000,"")</f>
        <v/>
      </c>
    </row>
    <row r="34" customFormat="false" ht="15" hidden="false" customHeight="false" outlineLevel="0" collapsed="false">
      <c r="A34" s="12"/>
      <c r="B34" s="12"/>
      <c r="C34" s="13"/>
      <c r="D34" s="13"/>
      <c r="E34" s="14"/>
      <c r="F34" s="15" t="str">
        <f aca="false">IF(OR(C34="",D34="",D34&lt;C34),"",D34-C34+1)</f>
        <v/>
      </c>
      <c r="G34" s="16" t="str">
        <f aca="true">IF(A34="","",IF(F34="","Tarih eksik",IF(E34&gt;=1,"Tamamlandı",IF(D34&lt;TODAY(),"Gecikti",IF(C34&gt;TODAY(),"Başlamadı","Sürüyor")))))</f>
        <v/>
      </c>
      <c r="H34" s="15" t="str">
        <f aca="true">IF(OR(F34="",G34="Tamamlandı"),"",D34-TODAY())</f>
        <v/>
      </c>
      <c r="I34" s="17" t="str">
        <f aca="false">IF(G34="Gecikti",D34+ROW()/1000000,"")</f>
        <v/>
      </c>
    </row>
    <row r="35" customFormat="false" ht="15" hidden="false" customHeight="false" outlineLevel="0" collapsed="false">
      <c r="A35" s="12"/>
      <c r="B35" s="12"/>
      <c r="C35" s="13"/>
      <c r="D35" s="13"/>
      <c r="E35" s="14"/>
      <c r="F35" s="15" t="str">
        <f aca="false">IF(OR(C35="",D35="",D35&lt;C35),"",D35-C35+1)</f>
        <v/>
      </c>
      <c r="G35" s="16" t="str">
        <f aca="true">IF(A35="","",IF(F35="","Tarih eksik",IF(E35&gt;=1,"Tamamlandı",IF(D35&lt;TODAY(),"Gecikti",IF(C35&gt;TODAY(),"Başlamadı","Sürüyor")))))</f>
        <v/>
      </c>
      <c r="H35" s="15" t="str">
        <f aca="true">IF(OR(F35="",G35="Tamamlandı"),"",D35-TODAY())</f>
        <v/>
      </c>
      <c r="I35" s="17" t="str">
        <f aca="false">IF(G35="Gecikti",D35+ROW()/1000000,"")</f>
        <v/>
      </c>
    </row>
    <row r="36" customFormat="false" ht="15" hidden="false" customHeight="false" outlineLevel="0" collapsed="false">
      <c r="A36" s="12"/>
      <c r="B36" s="12"/>
      <c r="C36" s="13"/>
      <c r="D36" s="13"/>
      <c r="E36" s="14"/>
      <c r="F36" s="15" t="str">
        <f aca="false">IF(OR(C36="",D36="",D36&lt;C36),"",D36-C36+1)</f>
        <v/>
      </c>
      <c r="G36" s="16" t="str">
        <f aca="true">IF(A36="","",IF(F36="","Tarih eksik",IF(E36&gt;=1,"Tamamlandı",IF(D36&lt;TODAY(),"Gecikti",IF(C36&gt;TODAY(),"Başlamadı","Sürüyor")))))</f>
        <v/>
      </c>
      <c r="H36" s="15" t="str">
        <f aca="true">IF(OR(F36="",G36="Tamamlandı"),"",D36-TODAY())</f>
        <v/>
      </c>
      <c r="I36" s="17" t="str">
        <f aca="false">IF(G36="Gecikti",D36+ROW()/1000000,"")</f>
        <v/>
      </c>
    </row>
    <row r="37" customFormat="false" ht="15" hidden="false" customHeight="false" outlineLevel="0" collapsed="false">
      <c r="A37" s="12"/>
      <c r="B37" s="12"/>
      <c r="C37" s="13"/>
      <c r="D37" s="13"/>
      <c r="E37" s="14"/>
      <c r="F37" s="15" t="str">
        <f aca="false">IF(OR(C37="",D37="",D37&lt;C37),"",D37-C37+1)</f>
        <v/>
      </c>
      <c r="G37" s="16" t="str">
        <f aca="true">IF(A37="","",IF(F37="","Tarih eksik",IF(E37&gt;=1,"Tamamlandı",IF(D37&lt;TODAY(),"Gecikti",IF(C37&gt;TODAY(),"Başlamadı","Sürüyor")))))</f>
        <v/>
      </c>
      <c r="H37" s="15" t="str">
        <f aca="true">IF(OR(F37="",G37="Tamamlandı"),"",D37-TODAY())</f>
        <v/>
      </c>
      <c r="I37" s="17" t="str">
        <f aca="false">IF(G37="Gecikti",D37+ROW()/1000000,"")</f>
        <v/>
      </c>
    </row>
    <row r="38" customFormat="false" ht="15" hidden="false" customHeight="false" outlineLevel="0" collapsed="false">
      <c r="A38" s="12"/>
      <c r="B38" s="12"/>
      <c r="C38" s="13"/>
      <c r="D38" s="13"/>
      <c r="E38" s="14"/>
      <c r="F38" s="15" t="str">
        <f aca="false">IF(OR(C38="",D38="",D38&lt;C38),"",D38-C38+1)</f>
        <v/>
      </c>
      <c r="G38" s="16" t="str">
        <f aca="true">IF(A38="","",IF(F38="","Tarih eksik",IF(E38&gt;=1,"Tamamlandı",IF(D38&lt;TODAY(),"Gecikti",IF(C38&gt;TODAY(),"Başlamadı","Sürüyor")))))</f>
        <v/>
      </c>
      <c r="H38" s="15" t="str">
        <f aca="true">IF(OR(F38="",G38="Tamamlandı"),"",D38-TODAY())</f>
        <v/>
      </c>
      <c r="I38" s="17" t="str">
        <f aca="false">IF(G38="Gecikti",D38+ROW()/1000000,"")</f>
        <v/>
      </c>
    </row>
    <row r="39" customFormat="false" ht="15" hidden="false" customHeight="false" outlineLevel="0" collapsed="false">
      <c r="A39" s="12"/>
      <c r="B39" s="12"/>
      <c r="C39" s="13"/>
      <c r="D39" s="13"/>
      <c r="E39" s="14"/>
      <c r="F39" s="15" t="str">
        <f aca="false">IF(OR(C39="",D39="",D39&lt;C39),"",D39-C39+1)</f>
        <v/>
      </c>
      <c r="G39" s="16" t="str">
        <f aca="true">IF(A39="","",IF(F39="","Tarih eksik",IF(E39&gt;=1,"Tamamlandı",IF(D39&lt;TODAY(),"Gecikti",IF(C39&gt;TODAY(),"Başlamadı","Sürüyor")))))</f>
        <v/>
      </c>
      <c r="H39" s="15" t="str">
        <f aca="true">IF(OR(F39="",G39="Tamamlandı"),"",D39-TODAY())</f>
        <v/>
      </c>
      <c r="I39" s="17" t="str">
        <f aca="false">IF(G39="Gecikti",D39+ROW()/1000000,"")</f>
        <v/>
      </c>
    </row>
    <row r="40" customFormat="false" ht="15" hidden="false" customHeight="false" outlineLevel="0" collapsed="false">
      <c r="A40" s="12"/>
      <c r="B40" s="12"/>
      <c r="C40" s="13"/>
      <c r="D40" s="13"/>
      <c r="E40" s="14"/>
      <c r="F40" s="15" t="str">
        <f aca="false">IF(OR(C40="",D40="",D40&lt;C40),"",D40-C40+1)</f>
        <v/>
      </c>
      <c r="G40" s="16" t="str">
        <f aca="true">IF(A40="","",IF(F40="","Tarih eksik",IF(E40&gt;=1,"Tamamlandı",IF(D40&lt;TODAY(),"Gecikti",IF(C40&gt;TODAY(),"Başlamadı","Sürüyor")))))</f>
        <v/>
      </c>
      <c r="H40" s="15" t="str">
        <f aca="true">IF(OR(F40="",G40="Tamamlandı"),"",D40-TODAY())</f>
        <v/>
      </c>
      <c r="I40" s="17" t="str">
        <f aca="false">IF(G40="Gecikti",D40+ROW()/1000000,"")</f>
        <v/>
      </c>
    </row>
    <row r="41" customFormat="false" ht="15" hidden="false" customHeight="false" outlineLevel="0" collapsed="false">
      <c r="A41" s="12"/>
      <c r="B41" s="12"/>
      <c r="C41" s="13"/>
      <c r="D41" s="13"/>
      <c r="E41" s="14"/>
      <c r="F41" s="15" t="str">
        <f aca="false">IF(OR(C41="",D41="",D41&lt;C41),"",D41-C41+1)</f>
        <v/>
      </c>
      <c r="G41" s="16" t="str">
        <f aca="true">IF(A41="","",IF(F41="","Tarih eksik",IF(E41&gt;=1,"Tamamlandı",IF(D41&lt;TODAY(),"Gecikti",IF(C41&gt;TODAY(),"Başlamadı","Sürüyor")))))</f>
        <v/>
      </c>
      <c r="H41" s="15" t="str">
        <f aca="true">IF(OR(F41="",G41="Tamamlandı"),"",D41-TODAY())</f>
        <v/>
      </c>
      <c r="I41" s="17" t="str">
        <f aca="false">IF(G41="Gecikti",D41+ROW()/1000000,"")</f>
        <v/>
      </c>
    </row>
    <row r="42" customFormat="false" ht="15" hidden="false" customHeight="false" outlineLevel="0" collapsed="false">
      <c r="A42" s="12"/>
      <c r="B42" s="12"/>
      <c r="C42" s="13"/>
      <c r="D42" s="13"/>
      <c r="E42" s="14"/>
      <c r="F42" s="15" t="str">
        <f aca="false">IF(OR(C42="",D42="",D42&lt;C42),"",D42-C42+1)</f>
        <v/>
      </c>
      <c r="G42" s="16" t="str">
        <f aca="true">IF(A42="","",IF(F42="","Tarih eksik",IF(E42&gt;=1,"Tamamlandı",IF(D42&lt;TODAY(),"Gecikti",IF(C42&gt;TODAY(),"Başlamadı","Sürüyor")))))</f>
        <v/>
      </c>
      <c r="H42" s="15" t="str">
        <f aca="true">IF(OR(F42="",G42="Tamamlandı"),"",D42-TODAY())</f>
        <v/>
      </c>
      <c r="I42" s="17" t="str">
        <f aca="false">IF(G42="Gecikti",D42+ROW()/1000000,"")</f>
        <v/>
      </c>
    </row>
    <row r="43" customFormat="false" ht="15" hidden="false" customHeight="false" outlineLevel="0" collapsed="false">
      <c r="A43" s="12"/>
      <c r="B43" s="12"/>
      <c r="C43" s="13"/>
      <c r="D43" s="13"/>
      <c r="E43" s="14"/>
      <c r="F43" s="15" t="str">
        <f aca="false">IF(OR(C43="",D43="",D43&lt;C43),"",D43-C43+1)</f>
        <v/>
      </c>
      <c r="G43" s="16" t="str">
        <f aca="true">IF(A43="","",IF(F43="","Tarih eksik",IF(E43&gt;=1,"Tamamlandı",IF(D43&lt;TODAY(),"Gecikti",IF(C43&gt;TODAY(),"Başlamadı","Sürüyor")))))</f>
        <v/>
      </c>
      <c r="H43" s="15" t="str">
        <f aca="true">IF(OR(F43="",G43="Tamamlandı"),"",D43-TODAY())</f>
        <v/>
      </c>
      <c r="I43" s="17" t="str">
        <f aca="false">IF(G43="Gecikti",D43+ROW()/1000000,"")</f>
        <v/>
      </c>
    </row>
    <row r="44" customFormat="false" ht="15" hidden="false" customHeight="false" outlineLevel="0" collapsed="false">
      <c r="A44" s="12"/>
      <c r="B44" s="12"/>
      <c r="C44" s="13"/>
      <c r="D44" s="13"/>
      <c r="E44" s="14"/>
      <c r="F44" s="15" t="str">
        <f aca="false">IF(OR(C44="",D44="",D44&lt;C44),"",D44-C44+1)</f>
        <v/>
      </c>
      <c r="G44" s="16" t="str">
        <f aca="true">IF(A44="","",IF(F44="","Tarih eksik",IF(E44&gt;=1,"Tamamlandı",IF(D44&lt;TODAY(),"Gecikti",IF(C44&gt;TODAY(),"Başlamadı","Sürüyor")))))</f>
        <v/>
      </c>
      <c r="H44" s="15" t="str">
        <f aca="true">IF(OR(F44="",G44="Tamamlandı"),"",D44-TODAY())</f>
        <v/>
      </c>
      <c r="I44" s="17" t="str">
        <f aca="false">IF(G44="Gecikti",D44+ROW()/1000000,"")</f>
        <v/>
      </c>
    </row>
    <row r="45" customFormat="false" ht="15" hidden="false" customHeight="false" outlineLevel="0" collapsed="false">
      <c r="A45" s="12"/>
      <c r="B45" s="12"/>
      <c r="C45" s="13"/>
      <c r="D45" s="13"/>
      <c r="E45" s="14"/>
      <c r="F45" s="15" t="str">
        <f aca="false">IF(OR(C45="",D45="",D45&lt;C45),"",D45-C45+1)</f>
        <v/>
      </c>
      <c r="G45" s="16" t="str">
        <f aca="true">IF(A45="","",IF(F45="","Tarih eksik",IF(E45&gt;=1,"Tamamlandı",IF(D45&lt;TODAY(),"Gecikti",IF(C45&gt;TODAY(),"Başlamadı","Sürüyor")))))</f>
        <v/>
      </c>
      <c r="H45" s="15" t="str">
        <f aca="true">IF(OR(F45="",G45="Tamamlandı"),"",D45-TODAY())</f>
        <v/>
      </c>
      <c r="I45" s="17" t="str">
        <f aca="false">IF(G45="Gecikti",D45+ROW()/1000000,"")</f>
        <v/>
      </c>
    </row>
    <row r="46" customFormat="false" ht="15" hidden="false" customHeight="false" outlineLevel="0" collapsed="false">
      <c r="A46" s="12"/>
      <c r="B46" s="12"/>
      <c r="C46" s="13"/>
      <c r="D46" s="13"/>
      <c r="E46" s="14"/>
      <c r="F46" s="15" t="str">
        <f aca="false">IF(OR(C46="",D46="",D46&lt;C46),"",D46-C46+1)</f>
        <v/>
      </c>
      <c r="G46" s="16" t="str">
        <f aca="true">IF(A46="","",IF(F46="","Tarih eksik",IF(E46&gt;=1,"Tamamlandı",IF(D46&lt;TODAY(),"Gecikti",IF(C46&gt;TODAY(),"Başlamadı","Sürüyor")))))</f>
        <v/>
      </c>
      <c r="H46" s="15" t="str">
        <f aca="true">IF(OR(F46="",G46="Tamamlandı"),"",D46-TODAY())</f>
        <v/>
      </c>
      <c r="I46" s="17" t="str">
        <f aca="false">IF(G46="Gecikti",D46+ROW()/1000000,"")</f>
        <v/>
      </c>
    </row>
    <row r="47" customFormat="false" ht="15" hidden="false" customHeight="false" outlineLevel="0" collapsed="false">
      <c r="A47" s="12"/>
      <c r="B47" s="12"/>
      <c r="C47" s="13"/>
      <c r="D47" s="13"/>
      <c r="E47" s="14"/>
      <c r="F47" s="15" t="str">
        <f aca="false">IF(OR(C47="",D47="",D47&lt;C47),"",D47-C47+1)</f>
        <v/>
      </c>
      <c r="G47" s="16" t="str">
        <f aca="true">IF(A47="","",IF(F47="","Tarih eksik",IF(E47&gt;=1,"Tamamlandı",IF(D47&lt;TODAY(),"Gecikti",IF(C47&gt;TODAY(),"Başlamadı","Sürüyor")))))</f>
        <v/>
      </c>
      <c r="H47" s="15" t="str">
        <f aca="true">IF(OR(F47="",G47="Tamamlandı"),"",D47-TODAY())</f>
        <v/>
      </c>
      <c r="I47" s="17" t="str">
        <f aca="false">IF(G47="Gecikti",D47+ROW()/1000000,"")</f>
        <v/>
      </c>
    </row>
    <row r="48" customFormat="false" ht="15" hidden="false" customHeight="false" outlineLevel="0" collapsed="false">
      <c r="A48" s="12"/>
      <c r="B48" s="12"/>
      <c r="C48" s="13"/>
      <c r="D48" s="13"/>
      <c r="E48" s="14"/>
      <c r="F48" s="15" t="str">
        <f aca="false">IF(OR(C48="",D48="",D48&lt;C48),"",D48-C48+1)</f>
        <v/>
      </c>
      <c r="G48" s="16" t="str">
        <f aca="true">IF(A48="","",IF(F48="","Tarih eksik",IF(E48&gt;=1,"Tamamlandı",IF(D48&lt;TODAY(),"Gecikti",IF(C48&gt;TODAY(),"Başlamadı","Sürüyor")))))</f>
        <v/>
      </c>
      <c r="H48" s="15" t="str">
        <f aca="true">IF(OR(F48="",G48="Tamamlandı"),"",D48-TODAY())</f>
        <v/>
      </c>
      <c r="I48" s="17" t="str">
        <f aca="false">IF(G48="Gecikti",D48+ROW()/1000000,"")</f>
        <v/>
      </c>
    </row>
    <row r="49" customFormat="false" ht="15" hidden="false" customHeight="false" outlineLevel="0" collapsed="false">
      <c r="A49" s="12"/>
      <c r="B49" s="12"/>
      <c r="C49" s="13"/>
      <c r="D49" s="13"/>
      <c r="E49" s="14"/>
      <c r="F49" s="15" t="str">
        <f aca="false">IF(OR(C49="",D49="",D49&lt;C49),"",D49-C49+1)</f>
        <v/>
      </c>
      <c r="G49" s="16" t="str">
        <f aca="true">IF(A49="","",IF(F49="","Tarih eksik",IF(E49&gt;=1,"Tamamlandı",IF(D49&lt;TODAY(),"Gecikti",IF(C49&gt;TODAY(),"Başlamadı","Sürüyor")))))</f>
        <v/>
      </c>
      <c r="H49" s="15" t="str">
        <f aca="true">IF(OR(F49="",G49="Tamamlandı"),"",D49-TODAY())</f>
        <v/>
      </c>
      <c r="I49" s="17" t="str">
        <f aca="false">IF(G49="Gecikti",D49+ROW()/1000000,"")</f>
        <v/>
      </c>
    </row>
    <row r="50" customFormat="false" ht="15" hidden="false" customHeight="false" outlineLevel="0" collapsed="false">
      <c r="A50" s="12"/>
      <c r="B50" s="12"/>
      <c r="C50" s="13"/>
      <c r="D50" s="13"/>
      <c r="E50" s="14"/>
      <c r="F50" s="15" t="str">
        <f aca="false">IF(OR(C50="",D50="",D50&lt;C50),"",D50-C50+1)</f>
        <v/>
      </c>
      <c r="G50" s="16" t="str">
        <f aca="true">IF(A50="","",IF(F50="","Tarih eksik",IF(E50&gt;=1,"Tamamlandı",IF(D50&lt;TODAY(),"Gecikti",IF(C50&gt;TODAY(),"Başlamadı","Sürüyor")))))</f>
        <v/>
      </c>
      <c r="H50" s="15" t="str">
        <f aca="true">IF(OR(F50="",G50="Tamamlandı"),"",D50-TODAY())</f>
        <v/>
      </c>
      <c r="I50" s="17" t="str">
        <f aca="false">IF(G50="Gecikti",D50+ROW()/1000000,"")</f>
        <v/>
      </c>
    </row>
    <row r="51" customFormat="false" ht="15" hidden="false" customHeight="false" outlineLevel="0" collapsed="false">
      <c r="A51" s="12"/>
      <c r="B51" s="12"/>
      <c r="C51" s="13"/>
      <c r="D51" s="13"/>
      <c r="E51" s="14"/>
      <c r="F51" s="15" t="str">
        <f aca="false">IF(OR(C51="",D51="",D51&lt;C51),"",D51-C51+1)</f>
        <v/>
      </c>
      <c r="G51" s="16" t="str">
        <f aca="true">IF(A51="","",IF(F51="","Tarih eksik",IF(E51&gt;=1,"Tamamlandı",IF(D51&lt;TODAY(),"Gecikti",IF(C51&gt;TODAY(),"Başlamadı","Sürüyor")))))</f>
        <v/>
      </c>
      <c r="H51" s="15" t="str">
        <f aca="true">IF(OR(F51="",G51="Tamamlandı"),"",D51-TODAY())</f>
        <v/>
      </c>
      <c r="I51" s="17" t="str">
        <f aca="false">IF(G51="Gecikti",D51+ROW()/1000000,"")</f>
        <v/>
      </c>
    </row>
    <row r="52" customFormat="false" ht="15" hidden="false" customHeight="false" outlineLevel="0" collapsed="false">
      <c r="A52" s="12"/>
      <c r="B52" s="12"/>
      <c r="C52" s="13"/>
      <c r="D52" s="13"/>
      <c r="E52" s="14"/>
      <c r="F52" s="15" t="str">
        <f aca="false">IF(OR(C52="",D52="",D52&lt;C52),"",D52-C52+1)</f>
        <v/>
      </c>
      <c r="G52" s="16" t="str">
        <f aca="true">IF(A52="","",IF(F52="","Tarih eksik",IF(E52&gt;=1,"Tamamlandı",IF(D52&lt;TODAY(),"Gecikti",IF(C52&gt;TODAY(),"Başlamadı","Sürüyor")))))</f>
        <v/>
      </c>
      <c r="H52" s="15" t="str">
        <f aca="true">IF(OR(F52="",G52="Tamamlandı"),"",D52-TODAY())</f>
        <v/>
      </c>
      <c r="I52" s="17" t="str">
        <f aca="false">IF(G52="Gecikti",D52+ROW()/1000000,"")</f>
        <v/>
      </c>
    </row>
    <row r="53" customFormat="false" ht="15" hidden="false" customHeight="false" outlineLevel="0" collapsed="false">
      <c r="A53" s="12"/>
      <c r="B53" s="12"/>
      <c r="C53" s="13"/>
      <c r="D53" s="13"/>
      <c r="E53" s="14"/>
      <c r="F53" s="15" t="str">
        <f aca="false">IF(OR(C53="",D53="",D53&lt;C53),"",D53-C53+1)</f>
        <v/>
      </c>
      <c r="G53" s="16" t="str">
        <f aca="true">IF(A53="","",IF(F53="","Tarih eksik",IF(E53&gt;=1,"Tamamlandı",IF(D53&lt;TODAY(),"Gecikti",IF(C53&gt;TODAY(),"Başlamadı","Sürüyor")))))</f>
        <v/>
      </c>
      <c r="H53" s="15" t="str">
        <f aca="true">IF(OR(F53="",G53="Tamamlandı"),"",D53-TODAY())</f>
        <v/>
      </c>
      <c r="I53" s="17" t="str">
        <f aca="false">IF(G53="Gecikti",D53+ROW()/1000000,"")</f>
        <v/>
      </c>
    </row>
    <row r="54" customFormat="false" ht="15" hidden="false" customHeight="false" outlineLevel="0" collapsed="false">
      <c r="A54" s="12"/>
      <c r="B54" s="12"/>
      <c r="C54" s="13"/>
      <c r="D54" s="13"/>
      <c r="E54" s="14"/>
      <c r="F54" s="15" t="str">
        <f aca="false">IF(OR(C54="",D54="",D54&lt;C54),"",D54-C54+1)</f>
        <v/>
      </c>
      <c r="G54" s="16" t="str">
        <f aca="true">IF(A54="","",IF(F54="","Tarih eksik",IF(E54&gt;=1,"Tamamlandı",IF(D54&lt;TODAY(),"Gecikti",IF(C54&gt;TODAY(),"Başlamadı","Sürüyor")))))</f>
        <v/>
      </c>
      <c r="H54" s="15" t="str">
        <f aca="true">IF(OR(F54="",G54="Tamamlandı"),"",D54-TODAY())</f>
        <v/>
      </c>
      <c r="I54" s="17" t="str">
        <f aca="false">IF(G54="Gecikti",D54+ROW()/1000000,"")</f>
        <v/>
      </c>
    </row>
    <row r="55" customFormat="false" ht="15" hidden="false" customHeight="false" outlineLevel="0" collapsed="false">
      <c r="A55" s="12"/>
      <c r="B55" s="12"/>
      <c r="C55" s="13"/>
      <c r="D55" s="13"/>
      <c r="E55" s="14"/>
      <c r="F55" s="15" t="str">
        <f aca="false">IF(OR(C55="",D55="",D55&lt;C55),"",D55-C55+1)</f>
        <v/>
      </c>
      <c r="G55" s="16" t="str">
        <f aca="true">IF(A55="","",IF(F55="","Tarih eksik",IF(E55&gt;=1,"Tamamlandı",IF(D55&lt;TODAY(),"Gecikti",IF(C55&gt;TODAY(),"Başlamadı","Sürüyor")))))</f>
        <v/>
      </c>
      <c r="H55" s="15" t="str">
        <f aca="true">IF(OR(F55="",G55="Tamamlandı"),"",D55-TODAY())</f>
        <v/>
      </c>
      <c r="I55" s="17" t="str">
        <f aca="false">IF(G55="Gecikti",D55+ROW()/1000000,"")</f>
        <v/>
      </c>
    </row>
    <row r="56" customFormat="false" ht="15" hidden="false" customHeight="false" outlineLevel="0" collapsed="false">
      <c r="A56" s="12"/>
      <c r="B56" s="12"/>
      <c r="C56" s="13"/>
      <c r="D56" s="13"/>
      <c r="E56" s="14"/>
      <c r="F56" s="15" t="str">
        <f aca="false">IF(OR(C56="",D56="",D56&lt;C56),"",D56-C56+1)</f>
        <v/>
      </c>
      <c r="G56" s="16" t="str">
        <f aca="true">IF(A56="","",IF(F56="","Tarih eksik",IF(E56&gt;=1,"Tamamlandı",IF(D56&lt;TODAY(),"Gecikti",IF(C56&gt;TODAY(),"Başlamadı","Sürüyor")))))</f>
        <v/>
      </c>
      <c r="H56" s="15" t="str">
        <f aca="true">IF(OR(F56="",G56="Tamamlandı"),"",D56-TODAY())</f>
        <v/>
      </c>
      <c r="I56" s="17" t="str">
        <f aca="false">IF(G56="Gecikti",D56+ROW()/1000000,"")</f>
        <v/>
      </c>
    </row>
    <row r="57" customFormat="false" ht="15" hidden="false" customHeight="false" outlineLevel="0" collapsed="false">
      <c r="A57" s="12"/>
      <c r="B57" s="12"/>
      <c r="C57" s="13"/>
      <c r="D57" s="13"/>
      <c r="E57" s="14"/>
      <c r="F57" s="15" t="str">
        <f aca="false">IF(OR(C57="",D57="",D57&lt;C57),"",D57-C57+1)</f>
        <v/>
      </c>
      <c r="G57" s="16" t="str">
        <f aca="true">IF(A57="","",IF(F57="","Tarih eksik",IF(E57&gt;=1,"Tamamlandı",IF(D57&lt;TODAY(),"Gecikti",IF(C57&gt;TODAY(),"Başlamadı","Sürüyor")))))</f>
        <v/>
      </c>
      <c r="H57" s="15" t="str">
        <f aca="true">IF(OR(F57="",G57="Tamamlandı"),"",D57-TODAY())</f>
        <v/>
      </c>
      <c r="I57" s="17" t="str">
        <f aca="false">IF(G57="Gecikti",D57+ROW()/1000000,"")</f>
        <v/>
      </c>
    </row>
    <row r="58" customFormat="false" ht="15" hidden="false" customHeight="false" outlineLevel="0" collapsed="false">
      <c r="A58" s="12"/>
      <c r="B58" s="12"/>
      <c r="C58" s="13"/>
      <c r="D58" s="13"/>
      <c r="E58" s="14"/>
      <c r="F58" s="15" t="str">
        <f aca="false">IF(OR(C58="",D58="",D58&lt;C58),"",D58-C58+1)</f>
        <v/>
      </c>
      <c r="G58" s="16" t="str">
        <f aca="true">IF(A58="","",IF(F58="","Tarih eksik",IF(E58&gt;=1,"Tamamlandı",IF(D58&lt;TODAY(),"Gecikti",IF(C58&gt;TODAY(),"Başlamadı","Sürüyor")))))</f>
        <v/>
      </c>
      <c r="H58" s="15" t="str">
        <f aca="true">IF(OR(F58="",G58="Tamamlandı"),"",D58-TODAY())</f>
        <v/>
      </c>
      <c r="I58" s="17" t="str">
        <f aca="false">IF(G58="Gecikti",D58+ROW()/1000000,"")</f>
        <v/>
      </c>
    </row>
    <row r="59" customFormat="false" ht="15" hidden="false" customHeight="false" outlineLevel="0" collapsed="false">
      <c r="A59" s="12"/>
      <c r="B59" s="12"/>
      <c r="C59" s="13"/>
      <c r="D59" s="13"/>
      <c r="E59" s="14"/>
      <c r="F59" s="15" t="str">
        <f aca="false">IF(OR(C59="",D59="",D59&lt;C59),"",D59-C59+1)</f>
        <v/>
      </c>
      <c r="G59" s="16" t="str">
        <f aca="true">IF(A59="","",IF(F59="","Tarih eksik",IF(E59&gt;=1,"Tamamlandı",IF(D59&lt;TODAY(),"Gecikti",IF(C59&gt;TODAY(),"Başlamadı","Sürüyor")))))</f>
        <v/>
      </c>
      <c r="H59" s="15" t="str">
        <f aca="true">IF(OR(F59="",G59="Tamamlandı"),"",D59-TODAY())</f>
        <v/>
      </c>
      <c r="I59" s="17" t="str">
        <f aca="false">IF(G59="Gecikti",D59+ROW()/1000000,"")</f>
        <v/>
      </c>
    </row>
    <row r="60" customFormat="false" ht="15" hidden="false" customHeight="false" outlineLevel="0" collapsed="false">
      <c r="A60" s="12"/>
      <c r="B60" s="12"/>
      <c r="C60" s="13"/>
      <c r="D60" s="13"/>
      <c r="E60" s="14"/>
      <c r="F60" s="15" t="str">
        <f aca="false">IF(OR(C60="",D60="",D60&lt;C60),"",D60-C60+1)</f>
        <v/>
      </c>
      <c r="G60" s="16" t="str">
        <f aca="true">IF(A60="","",IF(F60="","Tarih eksik",IF(E60&gt;=1,"Tamamlandı",IF(D60&lt;TODAY(),"Gecikti",IF(C60&gt;TODAY(),"Başlamadı","Sürüyor")))))</f>
        <v/>
      </c>
      <c r="H60" s="15" t="str">
        <f aca="true">IF(OR(F60="",G60="Tamamlandı"),"",D60-TODAY())</f>
        <v/>
      </c>
      <c r="I60" s="17" t="str">
        <f aca="false">IF(G60="Gecikti",D60+ROW()/1000000,"")</f>
        <v/>
      </c>
    </row>
    <row r="61" customFormat="false" ht="15" hidden="false" customHeight="false" outlineLevel="0" collapsed="false">
      <c r="A61" s="12"/>
      <c r="B61" s="12"/>
      <c r="C61" s="13"/>
      <c r="D61" s="13"/>
      <c r="E61" s="14"/>
      <c r="F61" s="15" t="str">
        <f aca="false">IF(OR(C61="",D61="",D61&lt;C61),"",D61-C61+1)</f>
        <v/>
      </c>
      <c r="G61" s="16" t="str">
        <f aca="true">IF(A61="","",IF(F61="","Tarih eksik",IF(E61&gt;=1,"Tamamlandı",IF(D61&lt;TODAY(),"Gecikti",IF(C61&gt;TODAY(),"Başlamadı","Sürüyor")))))</f>
        <v/>
      </c>
      <c r="H61" s="15" t="str">
        <f aca="true">IF(OR(F61="",G61="Tamamlandı"),"",D61-TODAY())</f>
        <v/>
      </c>
      <c r="I61" s="17" t="str">
        <f aca="false">IF(G61="Gecikti",D61+ROW()/1000000,"")</f>
        <v/>
      </c>
    </row>
    <row r="62" customFormat="false" ht="15" hidden="false" customHeight="false" outlineLevel="0" collapsed="false">
      <c r="A62" s="12"/>
      <c r="B62" s="12"/>
      <c r="C62" s="13"/>
      <c r="D62" s="13"/>
      <c r="E62" s="14"/>
      <c r="F62" s="15" t="str">
        <f aca="false">IF(OR(C62="",D62="",D62&lt;C62),"",D62-C62+1)</f>
        <v/>
      </c>
      <c r="G62" s="16" t="str">
        <f aca="true">IF(A62="","",IF(F62="","Tarih eksik",IF(E62&gt;=1,"Tamamlandı",IF(D62&lt;TODAY(),"Gecikti",IF(C62&gt;TODAY(),"Başlamadı","Sürüyor")))))</f>
        <v/>
      </c>
      <c r="H62" s="15" t="str">
        <f aca="true">IF(OR(F62="",G62="Tamamlandı"),"",D62-TODAY())</f>
        <v/>
      </c>
      <c r="I62" s="17" t="str">
        <f aca="false">IF(G62="Gecikti",D62+ROW()/1000000,"")</f>
        <v/>
      </c>
    </row>
    <row r="63" customFormat="false" ht="15" hidden="false" customHeight="false" outlineLevel="0" collapsed="false">
      <c r="A63" s="12"/>
      <c r="B63" s="12"/>
      <c r="C63" s="13"/>
      <c r="D63" s="13"/>
      <c r="E63" s="14"/>
      <c r="F63" s="15" t="str">
        <f aca="false">IF(OR(C63="",D63="",D63&lt;C63),"",D63-C63+1)</f>
        <v/>
      </c>
      <c r="G63" s="16" t="str">
        <f aca="true">IF(A63="","",IF(F63="","Tarih eksik",IF(E63&gt;=1,"Tamamlandı",IF(D63&lt;TODAY(),"Gecikti",IF(C63&gt;TODAY(),"Başlamadı","Sürüyor")))))</f>
        <v/>
      </c>
      <c r="H63" s="15" t="str">
        <f aca="true">IF(OR(F63="",G63="Tamamlandı"),"",D63-TODAY())</f>
        <v/>
      </c>
      <c r="I63" s="17" t="str">
        <f aca="false">IF(G63="Gecikti",D63+ROW()/1000000,"")</f>
        <v/>
      </c>
    </row>
    <row r="64" customFormat="false" ht="15" hidden="false" customHeight="false" outlineLevel="0" collapsed="false">
      <c r="A64" s="12"/>
      <c r="B64" s="12"/>
      <c r="C64" s="13"/>
      <c r="D64" s="13"/>
      <c r="E64" s="14"/>
      <c r="F64" s="15" t="str">
        <f aca="false">IF(OR(C64="",D64="",D64&lt;C64),"",D64-C64+1)</f>
        <v/>
      </c>
      <c r="G64" s="16" t="str">
        <f aca="true">IF(A64="","",IF(F64="","Tarih eksik",IF(E64&gt;=1,"Tamamlandı",IF(D64&lt;TODAY(),"Gecikti",IF(C64&gt;TODAY(),"Başlamadı","Sürüyor")))))</f>
        <v/>
      </c>
      <c r="H64" s="15" t="str">
        <f aca="true">IF(OR(F64="",G64="Tamamlandı"),"",D64-TODAY())</f>
        <v/>
      </c>
      <c r="I64" s="17" t="str">
        <f aca="false">IF(G64="Gecikti",D64+ROW()/1000000,"")</f>
        <v/>
      </c>
    </row>
    <row r="65" customFormat="false" ht="15" hidden="false" customHeight="false" outlineLevel="0" collapsed="false">
      <c r="A65" s="12"/>
      <c r="B65" s="12"/>
      <c r="C65" s="13"/>
      <c r="D65" s="13"/>
      <c r="E65" s="14"/>
      <c r="F65" s="15" t="str">
        <f aca="false">IF(OR(C65="",D65="",D65&lt;C65),"",D65-C65+1)</f>
        <v/>
      </c>
      <c r="G65" s="16" t="str">
        <f aca="true">IF(A65="","",IF(F65="","Tarih eksik",IF(E65&gt;=1,"Tamamlandı",IF(D65&lt;TODAY(),"Gecikti",IF(C65&gt;TODAY(),"Başlamadı","Sürüyor")))))</f>
        <v/>
      </c>
      <c r="H65" s="15" t="str">
        <f aca="true">IF(OR(F65="",G65="Tamamlandı"),"",D65-TODAY())</f>
        <v/>
      </c>
      <c r="I65" s="17" t="str">
        <f aca="false">IF(G65="Gecikti",D65+ROW()/1000000,"")</f>
        <v/>
      </c>
    </row>
    <row r="66" customFormat="false" ht="15" hidden="false" customHeight="false" outlineLevel="0" collapsed="false">
      <c r="A66" s="12"/>
      <c r="B66" s="12"/>
      <c r="C66" s="13"/>
      <c r="D66" s="13"/>
      <c r="E66" s="14"/>
      <c r="F66" s="15" t="str">
        <f aca="false">IF(OR(C66="",D66="",D66&lt;C66),"",D66-C66+1)</f>
        <v/>
      </c>
      <c r="G66" s="16" t="str">
        <f aca="true">IF(A66="","",IF(F66="","Tarih eksik",IF(E66&gt;=1,"Tamamlandı",IF(D66&lt;TODAY(),"Gecikti",IF(C66&gt;TODAY(),"Başlamadı","Sürüyor")))))</f>
        <v/>
      </c>
      <c r="H66" s="15" t="str">
        <f aca="true">IF(OR(F66="",G66="Tamamlandı"),"",D66-TODAY())</f>
        <v/>
      </c>
      <c r="I66" s="17" t="str">
        <f aca="false">IF(G66="Gecikti",D66+ROW()/1000000,"")</f>
        <v/>
      </c>
    </row>
    <row r="67" customFormat="false" ht="15" hidden="false" customHeight="false" outlineLevel="0" collapsed="false">
      <c r="A67" s="12"/>
      <c r="B67" s="12"/>
      <c r="C67" s="13"/>
      <c r="D67" s="13"/>
      <c r="E67" s="14"/>
      <c r="F67" s="15" t="str">
        <f aca="false">IF(OR(C67="",D67="",D67&lt;C67),"",D67-C67+1)</f>
        <v/>
      </c>
      <c r="G67" s="16" t="str">
        <f aca="true">IF(A67="","",IF(F67="","Tarih eksik",IF(E67&gt;=1,"Tamamlandı",IF(D67&lt;TODAY(),"Gecikti",IF(C67&gt;TODAY(),"Başlamadı","Sürüyor")))))</f>
        <v/>
      </c>
      <c r="H67" s="15" t="str">
        <f aca="true">IF(OR(F67="",G67="Tamamlandı"),"",D67-TODAY())</f>
        <v/>
      </c>
      <c r="I67" s="17" t="str">
        <f aca="false">IF(G67="Gecikti",D67+ROW()/1000000,"")</f>
        <v/>
      </c>
    </row>
    <row r="68" customFormat="false" ht="15" hidden="false" customHeight="false" outlineLevel="0" collapsed="false">
      <c r="A68" s="12"/>
      <c r="B68" s="12"/>
      <c r="C68" s="13"/>
      <c r="D68" s="13"/>
      <c r="E68" s="14"/>
      <c r="F68" s="15" t="str">
        <f aca="false">IF(OR(C68="",D68="",D68&lt;C68),"",D68-C68+1)</f>
        <v/>
      </c>
      <c r="G68" s="16" t="str">
        <f aca="true">IF(A68="","",IF(F68="","Tarih eksik",IF(E68&gt;=1,"Tamamlandı",IF(D68&lt;TODAY(),"Gecikti",IF(C68&gt;TODAY(),"Başlamadı","Sürüyor")))))</f>
        <v/>
      </c>
      <c r="H68" s="15" t="str">
        <f aca="true">IF(OR(F68="",G68="Tamamlandı"),"",D68-TODAY())</f>
        <v/>
      </c>
      <c r="I68" s="17" t="str">
        <f aca="false">IF(G68="Gecikti",D68+ROW()/1000000,"")</f>
        <v/>
      </c>
    </row>
    <row r="69" customFormat="false" ht="15" hidden="false" customHeight="false" outlineLevel="0" collapsed="false">
      <c r="A69" s="12"/>
      <c r="B69" s="12"/>
      <c r="C69" s="13"/>
      <c r="D69" s="13"/>
      <c r="E69" s="14"/>
      <c r="F69" s="15" t="str">
        <f aca="false">IF(OR(C69="",D69="",D69&lt;C69),"",D69-C69+1)</f>
        <v/>
      </c>
      <c r="G69" s="16" t="str">
        <f aca="true">IF(A69="","",IF(F69="","Tarih eksik",IF(E69&gt;=1,"Tamamlandı",IF(D69&lt;TODAY(),"Gecikti",IF(C69&gt;TODAY(),"Başlamadı","Sürüyor")))))</f>
        <v/>
      </c>
      <c r="H69" s="15" t="str">
        <f aca="true">IF(OR(F69="",G69="Tamamlandı"),"",D69-TODAY())</f>
        <v/>
      </c>
      <c r="I69" s="17" t="str">
        <f aca="false">IF(G69="Gecikti",D69+ROW()/1000000,"")</f>
        <v/>
      </c>
    </row>
    <row r="70" customFormat="false" ht="15" hidden="false" customHeight="false" outlineLevel="0" collapsed="false">
      <c r="A70" s="12"/>
      <c r="B70" s="12"/>
      <c r="C70" s="13"/>
      <c r="D70" s="13"/>
      <c r="E70" s="14"/>
      <c r="F70" s="15" t="str">
        <f aca="false">IF(OR(C70="",D70="",D70&lt;C70),"",D70-C70+1)</f>
        <v/>
      </c>
      <c r="G70" s="16" t="str">
        <f aca="true">IF(A70="","",IF(F70="","Tarih eksik",IF(E70&gt;=1,"Tamamlandı",IF(D70&lt;TODAY(),"Gecikti",IF(C70&gt;TODAY(),"Başlamadı","Sürüyor")))))</f>
        <v/>
      </c>
      <c r="H70" s="15" t="str">
        <f aca="true">IF(OR(F70="",G70="Tamamlandı"),"",D70-TODAY())</f>
        <v/>
      </c>
      <c r="I70" s="17" t="str">
        <f aca="false">IF(G70="Gecikti",D70+ROW()/1000000,"")</f>
        <v/>
      </c>
    </row>
    <row r="71" customFormat="false" ht="15" hidden="false" customHeight="false" outlineLevel="0" collapsed="false">
      <c r="A71" s="12"/>
      <c r="B71" s="12"/>
      <c r="C71" s="13"/>
      <c r="D71" s="13"/>
      <c r="E71" s="14"/>
      <c r="F71" s="15" t="str">
        <f aca="false">IF(OR(C71="",D71="",D71&lt;C71),"",D71-C71+1)</f>
        <v/>
      </c>
      <c r="G71" s="16" t="str">
        <f aca="true">IF(A71="","",IF(F71="","Tarih eksik",IF(E71&gt;=1,"Tamamlandı",IF(D71&lt;TODAY(),"Gecikti",IF(C71&gt;TODAY(),"Başlamadı","Sürüyor")))))</f>
        <v/>
      </c>
      <c r="H71" s="15" t="str">
        <f aca="true">IF(OR(F71="",G71="Tamamlandı"),"",D71-TODAY())</f>
        <v/>
      </c>
      <c r="I71" s="17" t="str">
        <f aca="false">IF(G71="Gecikti",D71+ROW()/1000000,"")</f>
        <v/>
      </c>
    </row>
    <row r="72" customFormat="false" ht="15" hidden="false" customHeight="false" outlineLevel="0" collapsed="false">
      <c r="A72" s="12"/>
      <c r="B72" s="12"/>
      <c r="C72" s="13"/>
      <c r="D72" s="13"/>
      <c r="E72" s="14"/>
      <c r="F72" s="15" t="str">
        <f aca="false">IF(OR(C72="",D72="",D72&lt;C72),"",D72-C72+1)</f>
        <v/>
      </c>
      <c r="G72" s="16" t="str">
        <f aca="true">IF(A72="","",IF(F72="","Tarih eksik",IF(E72&gt;=1,"Tamamlandı",IF(D72&lt;TODAY(),"Gecikti",IF(C72&gt;TODAY(),"Başlamadı","Sürüyor")))))</f>
        <v/>
      </c>
      <c r="H72" s="15" t="str">
        <f aca="true">IF(OR(F72="",G72="Tamamlandı"),"",D72-TODAY())</f>
        <v/>
      </c>
      <c r="I72" s="17" t="str">
        <f aca="false">IF(G72="Gecikti",D72+ROW()/1000000,"")</f>
        <v/>
      </c>
    </row>
    <row r="73" customFormat="false" ht="15" hidden="false" customHeight="false" outlineLevel="0" collapsed="false">
      <c r="A73" s="12"/>
      <c r="B73" s="12"/>
      <c r="C73" s="13"/>
      <c r="D73" s="13"/>
      <c r="E73" s="14"/>
      <c r="F73" s="15" t="str">
        <f aca="false">IF(OR(C73="",D73="",D73&lt;C73),"",D73-C73+1)</f>
        <v/>
      </c>
      <c r="G73" s="16" t="str">
        <f aca="true">IF(A73="","",IF(F73="","Tarih eksik",IF(E73&gt;=1,"Tamamlandı",IF(D73&lt;TODAY(),"Gecikti",IF(C73&gt;TODAY(),"Başlamadı","Sürüyor")))))</f>
        <v/>
      </c>
      <c r="H73" s="15" t="str">
        <f aca="true">IF(OR(F73="",G73="Tamamlandı"),"",D73-TODAY())</f>
        <v/>
      </c>
      <c r="I73" s="17" t="str">
        <f aca="false">IF(G73="Gecikti",D73+ROW()/1000000,"")</f>
        <v/>
      </c>
    </row>
    <row r="74" customFormat="false" ht="15" hidden="false" customHeight="false" outlineLevel="0" collapsed="false">
      <c r="A74" s="12"/>
      <c r="B74" s="12"/>
      <c r="C74" s="13"/>
      <c r="D74" s="13"/>
      <c r="E74" s="14"/>
      <c r="F74" s="15" t="str">
        <f aca="false">IF(OR(C74="",D74="",D74&lt;C74),"",D74-C74+1)</f>
        <v/>
      </c>
      <c r="G74" s="16" t="str">
        <f aca="true">IF(A74="","",IF(F74="","Tarih eksik",IF(E74&gt;=1,"Tamamlandı",IF(D74&lt;TODAY(),"Gecikti",IF(C74&gt;TODAY(),"Başlamadı","Sürüyor")))))</f>
        <v/>
      </c>
      <c r="H74" s="15" t="str">
        <f aca="true">IF(OR(F74="",G74="Tamamlandı"),"",D74-TODAY())</f>
        <v/>
      </c>
      <c r="I74" s="17" t="str">
        <f aca="false">IF(G74="Gecikti",D74+ROW()/1000000,"")</f>
        <v/>
      </c>
    </row>
    <row r="75" customFormat="false" ht="15" hidden="false" customHeight="false" outlineLevel="0" collapsed="false">
      <c r="A75" s="12"/>
      <c r="B75" s="12"/>
      <c r="C75" s="13"/>
      <c r="D75" s="13"/>
      <c r="E75" s="14"/>
      <c r="F75" s="15" t="str">
        <f aca="false">IF(OR(C75="",D75="",D75&lt;C75),"",D75-C75+1)</f>
        <v/>
      </c>
      <c r="G75" s="16" t="str">
        <f aca="true">IF(A75="","",IF(F75="","Tarih eksik",IF(E75&gt;=1,"Tamamlandı",IF(D75&lt;TODAY(),"Gecikti",IF(C75&gt;TODAY(),"Başlamadı","Sürüyor")))))</f>
        <v/>
      </c>
      <c r="H75" s="15" t="str">
        <f aca="true">IF(OR(F75="",G75="Tamamlandı"),"",D75-TODAY())</f>
        <v/>
      </c>
      <c r="I75" s="17" t="str">
        <f aca="false">IF(G75="Gecikti",D75+ROW()/1000000,"")</f>
        <v/>
      </c>
    </row>
    <row r="76" customFormat="false" ht="15" hidden="false" customHeight="false" outlineLevel="0" collapsed="false">
      <c r="A76" s="12"/>
      <c r="B76" s="12"/>
      <c r="C76" s="13"/>
      <c r="D76" s="13"/>
      <c r="E76" s="14"/>
      <c r="F76" s="15" t="str">
        <f aca="false">IF(OR(C76="",D76="",D76&lt;C76),"",D76-C76+1)</f>
        <v/>
      </c>
      <c r="G76" s="16" t="str">
        <f aca="true">IF(A76="","",IF(F76="","Tarih eksik",IF(E76&gt;=1,"Tamamlandı",IF(D76&lt;TODAY(),"Gecikti",IF(C76&gt;TODAY(),"Başlamadı","Sürüyor")))))</f>
        <v/>
      </c>
      <c r="H76" s="15" t="str">
        <f aca="true">IF(OR(F76="",G76="Tamamlandı"),"",D76-TODAY())</f>
        <v/>
      </c>
      <c r="I76" s="17" t="str">
        <f aca="false">IF(G76="Gecikti",D76+ROW()/1000000,"")</f>
        <v/>
      </c>
    </row>
    <row r="77" customFormat="false" ht="15" hidden="false" customHeight="false" outlineLevel="0" collapsed="false">
      <c r="A77" s="12"/>
      <c r="B77" s="12"/>
      <c r="C77" s="13"/>
      <c r="D77" s="13"/>
      <c r="E77" s="14"/>
      <c r="F77" s="15" t="str">
        <f aca="false">IF(OR(C77="",D77="",D77&lt;C77),"",D77-C77+1)</f>
        <v/>
      </c>
      <c r="G77" s="16" t="str">
        <f aca="true">IF(A77="","",IF(F77="","Tarih eksik",IF(E77&gt;=1,"Tamamlandı",IF(D77&lt;TODAY(),"Gecikti",IF(C77&gt;TODAY(),"Başlamadı","Sürüyor")))))</f>
        <v/>
      </c>
      <c r="H77" s="15" t="str">
        <f aca="true">IF(OR(F77="",G77="Tamamlandı"),"",D77-TODAY())</f>
        <v/>
      </c>
      <c r="I77" s="17" t="str">
        <f aca="false">IF(G77="Gecikti",D77+ROW()/1000000,"")</f>
        <v/>
      </c>
    </row>
    <row r="78" customFormat="false" ht="15" hidden="false" customHeight="false" outlineLevel="0" collapsed="false">
      <c r="A78" s="12"/>
      <c r="B78" s="12"/>
      <c r="C78" s="13"/>
      <c r="D78" s="13"/>
      <c r="E78" s="14"/>
      <c r="F78" s="15" t="str">
        <f aca="false">IF(OR(C78="",D78="",D78&lt;C78),"",D78-C78+1)</f>
        <v/>
      </c>
      <c r="G78" s="16" t="str">
        <f aca="true">IF(A78="","",IF(F78="","Tarih eksik",IF(E78&gt;=1,"Tamamlandı",IF(D78&lt;TODAY(),"Gecikti",IF(C78&gt;TODAY(),"Başlamadı","Sürüyor")))))</f>
        <v/>
      </c>
      <c r="H78" s="15" t="str">
        <f aca="true">IF(OR(F78="",G78="Tamamlandı"),"",D78-TODAY())</f>
        <v/>
      </c>
      <c r="I78" s="17" t="str">
        <f aca="false">IF(G78="Gecikti",D78+ROW()/1000000,"")</f>
        <v/>
      </c>
    </row>
    <row r="79" customFormat="false" ht="15" hidden="false" customHeight="false" outlineLevel="0" collapsed="false">
      <c r="A79" s="12"/>
      <c r="B79" s="12"/>
      <c r="C79" s="13"/>
      <c r="D79" s="13"/>
      <c r="E79" s="14"/>
      <c r="F79" s="15" t="str">
        <f aca="false">IF(OR(C79="",D79="",D79&lt;C79),"",D79-C79+1)</f>
        <v/>
      </c>
      <c r="G79" s="16" t="str">
        <f aca="true">IF(A79="","",IF(F79="","Tarih eksik",IF(E79&gt;=1,"Tamamlandı",IF(D79&lt;TODAY(),"Gecikti",IF(C79&gt;TODAY(),"Başlamadı","Sürüyor")))))</f>
        <v/>
      </c>
      <c r="H79" s="15" t="str">
        <f aca="true">IF(OR(F79="",G79="Tamamlandı"),"",D79-TODAY())</f>
        <v/>
      </c>
      <c r="I79" s="17" t="str">
        <f aca="false">IF(G79="Gecikti",D79+ROW()/1000000,"")</f>
        <v/>
      </c>
    </row>
    <row r="80" customFormat="false" ht="15" hidden="false" customHeight="false" outlineLevel="0" collapsed="false">
      <c r="A80" s="12"/>
      <c r="B80" s="12"/>
      <c r="C80" s="13"/>
      <c r="D80" s="13"/>
      <c r="E80" s="14"/>
      <c r="F80" s="15" t="str">
        <f aca="false">IF(OR(C80="",D80="",D80&lt;C80),"",D80-C80+1)</f>
        <v/>
      </c>
      <c r="G80" s="16" t="str">
        <f aca="true">IF(A80="","",IF(F80="","Tarih eksik",IF(E80&gt;=1,"Tamamlandı",IF(D80&lt;TODAY(),"Gecikti",IF(C80&gt;TODAY(),"Başlamadı","Sürüyor")))))</f>
        <v/>
      </c>
      <c r="H80" s="15" t="str">
        <f aca="true">IF(OR(F80="",G80="Tamamlandı"),"",D80-TODAY())</f>
        <v/>
      </c>
      <c r="I80" s="17" t="str">
        <f aca="false">IF(G80="Gecikti",D80+ROW()/1000000,"")</f>
        <v/>
      </c>
    </row>
    <row r="81" customFormat="false" ht="15" hidden="false" customHeight="false" outlineLevel="0" collapsed="false">
      <c r="A81" s="12"/>
      <c r="B81" s="12"/>
      <c r="C81" s="13"/>
      <c r="D81" s="13"/>
      <c r="E81" s="14"/>
      <c r="F81" s="15" t="str">
        <f aca="false">IF(OR(C81="",D81="",D81&lt;C81),"",D81-C81+1)</f>
        <v/>
      </c>
      <c r="G81" s="16" t="str">
        <f aca="true">IF(A81="","",IF(F81="","Tarih eksik",IF(E81&gt;=1,"Tamamlandı",IF(D81&lt;TODAY(),"Gecikti",IF(C81&gt;TODAY(),"Başlamadı","Sürüyor")))))</f>
        <v/>
      </c>
      <c r="H81" s="15" t="str">
        <f aca="true">IF(OR(F81="",G81="Tamamlandı"),"",D81-TODAY())</f>
        <v/>
      </c>
      <c r="I81" s="17" t="str">
        <f aca="false">IF(G81="Gecikti",D81+ROW()/1000000,"")</f>
        <v/>
      </c>
    </row>
    <row r="82" customFormat="false" ht="15" hidden="false" customHeight="false" outlineLevel="0" collapsed="false">
      <c r="A82" s="12"/>
      <c r="B82" s="12"/>
      <c r="C82" s="13"/>
      <c r="D82" s="13"/>
      <c r="E82" s="14"/>
      <c r="F82" s="15" t="str">
        <f aca="false">IF(OR(C82="",D82="",D82&lt;C82),"",D82-C82+1)</f>
        <v/>
      </c>
      <c r="G82" s="16" t="str">
        <f aca="true">IF(A82="","",IF(F82="","Tarih eksik",IF(E82&gt;=1,"Tamamlandı",IF(D82&lt;TODAY(),"Gecikti",IF(C82&gt;TODAY(),"Başlamadı","Sürüyor")))))</f>
        <v/>
      </c>
      <c r="H82" s="15" t="str">
        <f aca="true">IF(OR(F82="",G82="Tamamlandı"),"",D82-TODAY())</f>
        <v/>
      </c>
      <c r="I82" s="17" t="str">
        <f aca="false">IF(G82="Gecikti",D82+ROW()/1000000,"")</f>
        <v/>
      </c>
    </row>
    <row r="83" customFormat="false" ht="15" hidden="false" customHeight="false" outlineLevel="0" collapsed="false">
      <c r="A83" s="12"/>
      <c r="B83" s="12"/>
      <c r="C83" s="13"/>
      <c r="D83" s="13"/>
      <c r="E83" s="14"/>
      <c r="F83" s="15" t="str">
        <f aca="false">IF(OR(C83="",D83="",D83&lt;C83),"",D83-C83+1)</f>
        <v/>
      </c>
      <c r="G83" s="16" t="str">
        <f aca="true">IF(A83="","",IF(F83="","Tarih eksik",IF(E83&gt;=1,"Tamamlandı",IF(D83&lt;TODAY(),"Gecikti",IF(C83&gt;TODAY(),"Başlamadı","Sürüyor")))))</f>
        <v/>
      </c>
      <c r="H83" s="15" t="str">
        <f aca="true">IF(OR(F83="",G83="Tamamlandı"),"",D83-TODAY())</f>
        <v/>
      </c>
      <c r="I83" s="17" t="str">
        <f aca="false">IF(G83="Gecikti",D83+ROW()/1000000,"")</f>
        <v/>
      </c>
    </row>
    <row r="84" customFormat="false" ht="15" hidden="false" customHeight="false" outlineLevel="0" collapsed="false">
      <c r="A84" s="12"/>
      <c r="B84" s="12"/>
      <c r="C84" s="13"/>
      <c r="D84" s="13"/>
      <c r="E84" s="14"/>
      <c r="F84" s="15" t="str">
        <f aca="false">IF(OR(C84="",D84="",D84&lt;C84),"",D84-C84+1)</f>
        <v/>
      </c>
      <c r="G84" s="16" t="str">
        <f aca="true">IF(A84="","",IF(F84="","Tarih eksik",IF(E84&gt;=1,"Tamamlandı",IF(D84&lt;TODAY(),"Gecikti",IF(C84&gt;TODAY(),"Başlamadı","Sürüyor")))))</f>
        <v/>
      </c>
      <c r="H84" s="15" t="str">
        <f aca="true">IF(OR(F84="",G84="Tamamlandı"),"",D84-TODAY())</f>
        <v/>
      </c>
      <c r="I84" s="17" t="str">
        <f aca="false">IF(G84="Gecikti",D84+ROW()/1000000,"")</f>
        <v/>
      </c>
    </row>
    <row r="85" customFormat="false" ht="15" hidden="false" customHeight="false" outlineLevel="0" collapsed="false">
      <c r="A85" s="12"/>
      <c r="B85" s="12"/>
      <c r="C85" s="13"/>
      <c r="D85" s="13"/>
      <c r="E85" s="14"/>
      <c r="F85" s="15" t="str">
        <f aca="false">IF(OR(C85="",D85="",D85&lt;C85),"",D85-C85+1)</f>
        <v/>
      </c>
      <c r="G85" s="16" t="str">
        <f aca="true">IF(A85="","",IF(F85="","Tarih eksik",IF(E85&gt;=1,"Tamamlandı",IF(D85&lt;TODAY(),"Gecikti",IF(C85&gt;TODAY(),"Başlamadı","Sürüyor")))))</f>
        <v/>
      </c>
      <c r="H85" s="15" t="str">
        <f aca="true">IF(OR(F85="",G85="Tamamlandı"),"",D85-TODAY())</f>
        <v/>
      </c>
      <c r="I85" s="17" t="str">
        <f aca="false">IF(G85="Gecikti",D85+ROW()/1000000,"")</f>
        <v/>
      </c>
    </row>
    <row r="86" customFormat="false" ht="15" hidden="false" customHeight="false" outlineLevel="0" collapsed="false">
      <c r="A86" s="12"/>
      <c r="B86" s="12"/>
      <c r="C86" s="13"/>
      <c r="D86" s="13"/>
      <c r="E86" s="14"/>
      <c r="F86" s="15" t="str">
        <f aca="false">IF(OR(C86="",D86="",D86&lt;C86),"",D86-C86+1)</f>
        <v/>
      </c>
      <c r="G86" s="16" t="str">
        <f aca="true">IF(A86="","",IF(F86="","Tarih eksik",IF(E86&gt;=1,"Tamamlandı",IF(D86&lt;TODAY(),"Gecikti",IF(C86&gt;TODAY(),"Başlamadı","Sürüyor")))))</f>
        <v/>
      </c>
      <c r="H86" s="15" t="str">
        <f aca="true">IF(OR(F86="",G86="Tamamlandı"),"",D86-TODAY())</f>
        <v/>
      </c>
      <c r="I86" s="17" t="str">
        <f aca="false">IF(G86="Gecikti",D86+ROW()/1000000,"")</f>
        <v/>
      </c>
    </row>
    <row r="87" customFormat="false" ht="15" hidden="false" customHeight="false" outlineLevel="0" collapsed="false">
      <c r="A87" s="12"/>
      <c r="B87" s="12"/>
      <c r="C87" s="13"/>
      <c r="D87" s="13"/>
      <c r="E87" s="14"/>
      <c r="F87" s="15" t="str">
        <f aca="false">IF(OR(C87="",D87="",D87&lt;C87),"",D87-C87+1)</f>
        <v/>
      </c>
      <c r="G87" s="16" t="str">
        <f aca="true">IF(A87="","",IF(F87="","Tarih eksik",IF(E87&gt;=1,"Tamamlandı",IF(D87&lt;TODAY(),"Gecikti",IF(C87&gt;TODAY(),"Başlamadı","Sürüyor")))))</f>
        <v/>
      </c>
      <c r="H87" s="15" t="str">
        <f aca="true">IF(OR(F87="",G87="Tamamlandı"),"",D87-TODAY())</f>
        <v/>
      </c>
      <c r="I87" s="17" t="str">
        <f aca="false">IF(G87="Gecikti",D87+ROW()/1000000,"")</f>
        <v/>
      </c>
    </row>
    <row r="88" customFormat="false" ht="15" hidden="false" customHeight="false" outlineLevel="0" collapsed="false">
      <c r="A88" s="12"/>
      <c r="B88" s="12"/>
      <c r="C88" s="13"/>
      <c r="D88" s="13"/>
      <c r="E88" s="14"/>
      <c r="F88" s="15" t="str">
        <f aca="false">IF(OR(C88="",D88="",D88&lt;C88),"",D88-C88+1)</f>
        <v/>
      </c>
      <c r="G88" s="16" t="str">
        <f aca="true">IF(A88="","",IF(F88="","Tarih eksik",IF(E88&gt;=1,"Tamamlandı",IF(D88&lt;TODAY(),"Gecikti",IF(C88&gt;TODAY(),"Başlamadı","Sürüyor")))))</f>
        <v/>
      </c>
      <c r="H88" s="15" t="str">
        <f aca="true">IF(OR(F88="",G88="Tamamlandı"),"",D88-TODAY())</f>
        <v/>
      </c>
      <c r="I88" s="17" t="str">
        <f aca="false">IF(G88="Gecikti",D88+ROW()/1000000,"")</f>
        <v/>
      </c>
    </row>
    <row r="89" customFormat="false" ht="15" hidden="false" customHeight="false" outlineLevel="0" collapsed="false">
      <c r="A89" s="12"/>
      <c r="B89" s="12"/>
      <c r="C89" s="13"/>
      <c r="D89" s="13"/>
      <c r="E89" s="14"/>
      <c r="F89" s="15" t="str">
        <f aca="false">IF(OR(C89="",D89="",D89&lt;C89),"",D89-C89+1)</f>
        <v/>
      </c>
      <c r="G89" s="16" t="str">
        <f aca="true">IF(A89="","",IF(F89="","Tarih eksik",IF(E89&gt;=1,"Tamamlandı",IF(D89&lt;TODAY(),"Gecikti",IF(C89&gt;TODAY(),"Başlamadı","Sürüyor")))))</f>
        <v/>
      </c>
      <c r="H89" s="15" t="str">
        <f aca="true">IF(OR(F89="",G89="Tamamlandı"),"",D89-TODAY())</f>
        <v/>
      </c>
      <c r="I89" s="17" t="str">
        <f aca="false">IF(G89="Gecikti",D89+ROW()/1000000,"")</f>
        <v/>
      </c>
    </row>
    <row r="90" customFormat="false" ht="15" hidden="false" customHeight="false" outlineLevel="0" collapsed="false">
      <c r="A90" s="12"/>
      <c r="B90" s="12"/>
      <c r="C90" s="13"/>
      <c r="D90" s="13"/>
      <c r="E90" s="14"/>
      <c r="F90" s="15" t="str">
        <f aca="false">IF(OR(C90="",D90="",D90&lt;C90),"",D90-C90+1)</f>
        <v/>
      </c>
      <c r="G90" s="16" t="str">
        <f aca="true">IF(A90="","",IF(F90="","Tarih eksik",IF(E90&gt;=1,"Tamamlandı",IF(D90&lt;TODAY(),"Gecikti",IF(C90&gt;TODAY(),"Başlamadı","Sürüyor")))))</f>
        <v/>
      </c>
      <c r="H90" s="15" t="str">
        <f aca="true">IF(OR(F90="",G90="Tamamlandı"),"",D90-TODAY())</f>
        <v/>
      </c>
      <c r="I90" s="17" t="str">
        <f aca="false">IF(G90="Gecikti",D90+ROW()/1000000,"")</f>
        <v/>
      </c>
    </row>
    <row r="91" customFormat="false" ht="15" hidden="false" customHeight="false" outlineLevel="0" collapsed="false">
      <c r="A91" s="12"/>
      <c r="B91" s="12"/>
      <c r="C91" s="13"/>
      <c r="D91" s="13"/>
      <c r="E91" s="14"/>
      <c r="F91" s="15" t="str">
        <f aca="false">IF(OR(C91="",D91="",D91&lt;C91),"",D91-C91+1)</f>
        <v/>
      </c>
      <c r="G91" s="16" t="str">
        <f aca="true">IF(A91="","",IF(F91="","Tarih eksik",IF(E91&gt;=1,"Tamamlandı",IF(D91&lt;TODAY(),"Gecikti",IF(C91&gt;TODAY(),"Başlamadı","Sürüyor")))))</f>
        <v/>
      </c>
      <c r="H91" s="15" t="str">
        <f aca="true">IF(OR(F91="",G91="Tamamlandı"),"",D91-TODAY())</f>
        <v/>
      </c>
      <c r="I91" s="17" t="str">
        <f aca="false">IF(G91="Gecikti",D91+ROW()/1000000,"")</f>
        <v/>
      </c>
    </row>
    <row r="92" customFormat="false" ht="15" hidden="false" customHeight="false" outlineLevel="0" collapsed="false">
      <c r="A92" s="12"/>
      <c r="B92" s="12"/>
      <c r="C92" s="13"/>
      <c r="D92" s="13"/>
      <c r="E92" s="14"/>
      <c r="F92" s="15" t="str">
        <f aca="false">IF(OR(C92="",D92="",D92&lt;C92),"",D92-C92+1)</f>
        <v/>
      </c>
      <c r="G92" s="16" t="str">
        <f aca="true">IF(A92="","",IF(F92="","Tarih eksik",IF(E92&gt;=1,"Tamamlandı",IF(D92&lt;TODAY(),"Gecikti",IF(C92&gt;TODAY(),"Başlamadı","Sürüyor")))))</f>
        <v/>
      </c>
      <c r="H92" s="15" t="str">
        <f aca="true">IF(OR(F92="",G92="Tamamlandı"),"",D92-TODAY())</f>
        <v/>
      </c>
      <c r="I92" s="17" t="str">
        <f aca="false">IF(G92="Gecikti",D92+ROW()/1000000,"")</f>
        <v/>
      </c>
    </row>
    <row r="93" customFormat="false" ht="15" hidden="false" customHeight="false" outlineLevel="0" collapsed="false">
      <c r="A93" s="12"/>
      <c r="B93" s="12"/>
      <c r="C93" s="13"/>
      <c r="D93" s="13"/>
      <c r="E93" s="14"/>
      <c r="F93" s="15" t="str">
        <f aca="false">IF(OR(C93="",D93="",D93&lt;C93),"",D93-C93+1)</f>
        <v/>
      </c>
      <c r="G93" s="16" t="str">
        <f aca="true">IF(A93="","",IF(F93="","Tarih eksik",IF(E93&gt;=1,"Tamamlandı",IF(D93&lt;TODAY(),"Gecikti",IF(C93&gt;TODAY(),"Başlamadı","Sürüyor")))))</f>
        <v/>
      </c>
      <c r="H93" s="15" t="str">
        <f aca="true">IF(OR(F93="",G93="Tamamlandı"),"",D93-TODAY())</f>
        <v/>
      </c>
      <c r="I93" s="17" t="str">
        <f aca="false">IF(G93="Gecikti",D93+ROW()/1000000,"")</f>
        <v/>
      </c>
    </row>
    <row r="94" customFormat="false" ht="15" hidden="false" customHeight="false" outlineLevel="0" collapsed="false">
      <c r="A94" s="12"/>
      <c r="B94" s="12"/>
      <c r="C94" s="13"/>
      <c r="D94" s="13"/>
      <c r="E94" s="14"/>
      <c r="F94" s="15" t="str">
        <f aca="false">IF(OR(C94="",D94="",D94&lt;C94),"",D94-C94+1)</f>
        <v/>
      </c>
      <c r="G94" s="16" t="str">
        <f aca="true">IF(A94="","",IF(F94="","Tarih eksik",IF(E94&gt;=1,"Tamamlandı",IF(D94&lt;TODAY(),"Gecikti",IF(C94&gt;TODAY(),"Başlamadı","Sürüyor")))))</f>
        <v/>
      </c>
      <c r="H94" s="15" t="str">
        <f aca="true">IF(OR(F94="",G94="Tamamlandı"),"",D94-TODAY())</f>
        <v/>
      </c>
      <c r="I94" s="17" t="str">
        <f aca="false">IF(G94="Gecikti",D94+ROW()/1000000,"")</f>
        <v/>
      </c>
    </row>
    <row r="95" customFormat="false" ht="15" hidden="false" customHeight="false" outlineLevel="0" collapsed="false">
      <c r="A95" s="12"/>
      <c r="B95" s="12"/>
      <c r="C95" s="13"/>
      <c r="D95" s="13"/>
      <c r="E95" s="14"/>
      <c r="F95" s="15" t="str">
        <f aca="false">IF(OR(C95="",D95="",D95&lt;C95),"",D95-C95+1)</f>
        <v/>
      </c>
      <c r="G95" s="16" t="str">
        <f aca="true">IF(A95="","",IF(F95="","Tarih eksik",IF(E95&gt;=1,"Tamamlandı",IF(D95&lt;TODAY(),"Gecikti",IF(C95&gt;TODAY(),"Başlamadı","Sürüyor")))))</f>
        <v/>
      </c>
      <c r="H95" s="15" t="str">
        <f aca="true">IF(OR(F95="",G95="Tamamlandı"),"",D95-TODAY())</f>
        <v/>
      </c>
      <c r="I95" s="17" t="str">
        <f aca="false">IF(G95="Gecikti",D95+ROW()/1000000,"")</f>
        <v/>
      </c>
    </row>
    <row r="96" customFormat="false" ht="15" hidden="false" customHeight="false" outlineLevel="0" collapsed="false">
      <c r="A96" s="12"/>
      <c r="B96" s="12"/>
      <c r="C96" s="13"/>
      <c r="D96" s="13"/>
      <c r="E96" s="14"/>
      <c r="F96" s="15" t="str">
        <f aca="false">IF(OR(C96="",D96="",D96&lt;C96),"",D96-C96+1)</f>
        <v/>
      </c>
      <c r="G96" s="16" t="str">
        <f aca="true">IF(A96="","",IF(F96="","Tarih eksik",IF(E96&gt;=1,"Tamamlandı",IF(D96&lt;TODAY(),"Gecikti",IF(C96&gt;TODAY(),"Başlamadı","Sürüyor")))))</f>
        <v/>
      </c>
      <c r="H96" s="15" t="str">
        <f aca="true">IF(OR(F96="",G96="Tamamlandı"),"",D96-TODAY())</f>
        <v/>
      </c>
      <c r="I96" s="17" t="str">
        <f aca="false">IF(G96="Gecikti",D96+ROW()/1000000,"")</f>
        <v/>
      </c>
    </row>
    <row r="97" customFormat="false" ht="15" hidden="false" customHeight="false" outlineLevel="0" collapsed="false">
      <c r="A97" s="12"/>
      <c r="B97" s="12"/>
      <c r="C97" s="13"/>
      <c r="D97" s="13"/>
      <c r="E97" s="14"/>
      <c r="F97" s="15" t="str">
        <f aca="false">IF(OR(C97="",D97="",D97&lt;C97),"",D97-C97+1)</f>
        <v/>
      </c>
      <c r="G97" s="16" t="str">
        <f aca="true">IF(A97="","",IF(F97="","Tarih eksik",IF(E97&gt;=1,"Tamamlandı",IF(D97&lt;TODAY(),"Gecikti",IF(C97&gt;TODAY(),"Başlamadı","Sürüyor")))))</f>
        <v/>
      </c>
      <c r="H97" s="15" t="str">
        <f aca="true">IF(OR(F97="",G97="Tamamlandı"),"",D97-TODAY())</f>
        <v/>
      </c>
      <c r="I97" s="17" t="str">
        <f aca="false">IF(G97="Gecikti",D97+ROW()/1000000,"")</f>
        <v/>
      </c>
    </row>
    <row r="98" customFormat="false" ht="15" hidden="false" customHeight="false" outlineLevel="0" collapsed="false">
      <c r="A98" s="12"/>
      <c r="B98" s="12"/>
      <c r="C98" s="13"/>
      <c r="D98" s="13"/>
      <c r="E98" s="14"/>
      <c r="F98" s="15" t="str">
        <f aca="false">IF(OR(C98="",D98="",D98&lt;C98),"",D98-C98+1)</f>
        <v/>
      </c>
      <c r="G98" s="16" t="str">
        <f aca="true">IF(A98="","",IF(F98="","Tarih eksik",IF(E98&gt;=1,"Tamamlandı",IF(D98&lt;TODAY(),"Gecikti",IF(C98&gt;TODAY(),"Başlamadı","Sürüyor")))))</f>
        <v/>
      </c>
      <c r="H98" s="15" t="str">
        <f aca="true">IF(OR(F98="",G98="Tamamlandı"),"",D98-TODAY())</f>
        <v/>
      </c>
      <c r="I98" s="17" t="str">
        <f aca="false">IF(G98="Gecikti",D98+ROW()/1000000,"")</f>
        <v/>
      </c>
    </row>
    <row r="99" customFormat="false" ht="15" hidden="false" customHeight="false" outlineLevel="0" collapsed="false">
      <c r="A99" s="12"/>
      <c r="B99" s="12"/>
      <c r="C99" s="13"/>
      <c r="D99" s="13"/>
      <c r="E99" s="14"/>
      <c r="F99" s="15" t="str">
        <f aca="false">IF(OR(C99="",D99="",D99&lt;C99),"",D99-C99+1)</f>
        <v/>
      </c>
      <c r="G99" s="16" t="str">
        <f aca="true">IF(A99="","",IF(F99="","Tarih eksik",IF(E99&gt;=1,"Tamamlandı",IF(D99&lt;TODAY(),"Gecikti",IF(C99&gt;TODAY(),"Başlamadı","Sürüyor")))))</f>
        <v/>
      </c>
      <c r="H99" s="15" t="str">
        <f aca="true">IF(OR(F99="",G99="Tamamlandı"),"",D99-TODAY())</f>
        <v/>
      </c>
      <c r="I99" s="17" t="str">
        <f aca="false">IF(G99="Gecikti",D99+ROW()/1000000,"")</f>
        <v/>
      </c>
    </row>
    <row r="100" customFormat="false" ht="15" hidden="false" customHeight="false" outlineLevel="0" collapsed="false">
      <c r="A100" s="12"/>
      <c r="B100" s="12"/>
      <c r="C100" s="13"/>
      <c r="D100" s="13"/>
      <c r="E100" s="14"/>
      <c r="F100" s="15" t="str">
        <f aca="false">IF(OR(C100="",D100="",D100&lt;C100),"",D100-C100+1)</f>
        <v/>
      </c>
      <c r="G100" s="16" t="str">
        <f aca="true">IF(A100="","",IF(F100="","Tarih eksik",IF(E100&gt;=1,"Tamamlandı",IF(D100&lt;TODAY(),"Gecikti",IF(C100&gt;TODAY(),"Başlamadı","Sürüyor")))))</f>
        <v/>
      </c>
      <c r="H100" s="15" t="str">
        <f aca="true">IF(OR(F100="",G100="Tamamlandı"),"",D100-TODAY())</f>
        <v/>
      </c>
      <c r="I100" s="17" t="str">
        <f aca="false">IF(G100="Gecikti",D100+ROW()/1000000,"")</f>
        <v/>
      </c>
    </row>
    <row r="101" customFormat="false" ht="15" hidden="false" customHeight="false" outlineLevel="0" collapsed="false">
      <c r="A101" s="12"/>
      <c r="B101" s="12"/>
      <c r="C101" s="13"/>
      <c r="D101" s="13"/>
      <c r="E101" s="14"/>
      <c r="F101" s="15" t="str">
        <f aca="false">IF(OR(C101="",D101="",D101&lt;C101),"",D101-C101+1)</f>
        <v/>
      </c>
      <c r="G101" s="16" t="str">
        <f aca="true">IF(A101="","",IF(F101="","Tarih eksik",IF(E101&gt;=1,"Tamamlandı",IF(D101&lt;TODAY(),"Gecikti",IF(C101&gt;TODAY(),"Başlamadı","Sürüyor")))))</f>
        <v/>
      </c>
      <c r="H101" s="15" t="str">
        <f aca="true">IF(OR(F101="",G101="Tamamlandı"),"",D101-TODAY())</f>
        <v/>
      </c>
      <c r="I101" s="17" t="str">
        <f aca="false">IF(G101="Gecikti",D101+ROW()/1000000,"")</f>
        <v/>
      </c>
    </row>
    <row r="102" customFormat="false" ht="15" hidden="false" customHeight="false" outlineLevel="0" collapsed="false">
      <c r="A102" s="12"/>
      <c r="B102" s="12"/>
      <c r="C102" s="13"/>
      <c r="D102" s="13"/>
      <c r="E102" s="14"/>
      <c r="F102" s="15" t="str">
        <f aca="false">IF(OR(C102="",D102="",D102&lt;C102),"",D102-C102+1)</f>
        <v/>
      </c>
      <c r="G102" s="16" t="str">
        <f aca="true">IF(A102="","",IF(F102="","Tarih eksik",IF(E102&gt;=1,"Tamamlandı",IF(D102&lt;TODAY(),"Gecikti",IF(C102&gt;TODAY(),"Başlamadı","Sürüyor")))))</f>
        <v/>
      </c>
      <c r="H102" s="15" t="str">
        <f aca="true">IF(OR(F102="",G102="Tamamlandı"),"",D102-TODAY())</f>
        <v/>
      </c>
      <c r="I102" s="17" t="str">
        <f aca="false">IF(G102="Gecikti",D102+ROW()/1000000,"")</f>
        <v/>
      </c>
    </row>
    <row r="103" customFormat="false" ht="15" hidden="false" customHeight="false" outlineLevel="0" collapsed="false">
      <c r="A103" s="12"/>
      <c r="B103" s="12"/>
      <c r="C103" s="13"/>
      <c r="D103" s="13"/>
      <c r="E103" s="14"/>
      <c r="F103" s="15" t="str">
        <f aca="false">IF(OR(C103="",D103="",D103&lt;C103),"",D103-C103+1)</f>
        <v/>
      </c>
      <c r="G103" s="16" t="str">
        <f aca="true">IF(A103="","",IF(F103="","Tarih eksik",IF(E103&gt;=1,"Tamamlandı",IF(D103&lt;TODAY(),"Gecikti",IF(C103&gt;TODAY(),"Başlamadı","Sürüyor")))))</f>
        <v/>
      </c>
      <c r="H103" s="15" t="str">
        <f aca="true">IF(OR(F103="",G103="Tamamlandı"),"",D103-TODAY())</f>
        <v/>
      </c>
      <c r="I103" s="17" t="str">
        <f aca="false">IF(G103="Gecikti",D103+ROW()/1000000,"")</f>
        <v/>
      </c>
    </row>
    <row r="104" customFormat="false" ht="15" hidden="false" customHeight="false" outlineLevel="0" collapsed="false">
      <c r="A104" s="12"/>
      <c r="B104" s="12"/>
      <c r="C104" s="13"/>
      <c r="D104" s="13"/>
      <c r="E104" s="14"/>
      <c r="F104" s="15" t="str">
        <f aca="false">IF(OR(C104="",D104="",D104&lt;C104),"",D104-C104+1)</f>
        <v/>
      </c>
      <c r="G104" s="16" t="str">
        <f aca="true">IF(A104="","",IF(F104="","Tarih eksik",IF(E104&gt;=1,"Tamamlandı",IF(D104&lt;TODAY(),"Gecikti",IF(C104&gt;TODAY(),"Başlamadı","Sürüyor")))))</f>
        <v/>
      </c>
      <c r="H104" s="15" t="str">
        <f aca="true">IF(OR(F104="",G104="Tamamlandı"),"",D104-TODAY())</f>
        <v/>
      </c>
      <c r="I104" s="17" t="str">
        <f aca="false">IF(G104="Gecikti",D104+ROW()/1000000,"")</f>
        <v/>
      </c>
    </row>
  </sheetData>
  <conditionalFormatting sqref="G5:G104">
    <cfRule type="cellIs" priority="2" operator="equal" aboveAverage="0" equalAverage="0" bottom="0" percent="0" rank="0" text="" dxfId="0">
      <formula>"Tamamlandı"</formula>
    </cfRule>
    <cfRule type="cellIs" priority="3" operator="equal" aboveAverage="0" equalAverage="0" bottom="0" percent="0" rank="0" text="" dxfId="1">
      <formula>"Gecikti"</formula>
    </cfRule>
    <cfRule type="cellIs" priority="4" operator="equal" aboveAverage="0" equalAverage="0" bottom="0" percent="0" rank="0" text="" dxfId="2">
      <formula>"Sürüyor"</formula>
    </cfRule>
    <cfRule type="cellIs" priority="5" operator="equal" aboveAverage="0" equalAverage="0" bottom="0" percent="0" rank="0" text="" dxfId="1">
      <formula>"Tarih eksik"</formula>
    </cfRule>
  </conditionalFormatting>
  <dataValidations count="3">
    <dataValidation allowBlank="true" error="Listeden seç." errorStyle="stop" errorTitle="Kontrol" operator="between" showDropDown="false" showErrorMessage="true" showInputMessage="false" sqref="B5:B104" type="list">
      <formula1>Ayarlar!$E$5:$E$19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C5:D104" type="date">
      <formula1>36526</formula1>
      <formula2>0</formula2>
    </dataValidation>
    <dataValidation allowBlank="true" error="0 ile 1 arasında bir oran gir (örnek: yüzde 20 için 0,2)." errorStyle="stop" errorTitle="Kontrol" operator="between" showDropDown="false" showErrorMessage="true" showInputMessage="false" sqref="E5:E10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62" min="3" style="0" width="5"/>
  </cols>
  <sheetData>
    <row r="1" customFormat="false" ht="19.7" hidden="false" customHeight="false" outlineLevel="0" collapsed="false">
      <c r="A1" s="8" t="s">
        <v>47</v>
      </c>
    </row>
    <row r="2" customFormat="false" ht="15" hidden="false" customHeight="false" outlineLevel="0" collapsed="false">
      <c r="A2" s="9" t="s">
        <v>48</v>
      </c>
    </row>
    <row r="3" customFormat="false" ht="15" hidden="false" customHeight="false" outlineLevel="0" collapsed="false">
      <c r="A3" s="19" t="str">
        <f aca="false">Ayarlar!C4</f>
        <v>Dükkân yenileme</v>
      </c>
    </row>
    <row r="4" customFormat="false" ht="30" hidden="false" customHeight="true" outlineLevel="0" collapsed="false">
      <c r="A4" s="11" t="s">
        <v>28</v>
      </c>
      <c r="B4" s="11" t="s">
        <v>29</v>
      </c>
      <c r="C4" s="20" t="n">
        <f aca="false">Ayarlar!$C$5+0*Ayarlar!$C$6</f>
        <v>46293</v>
      </c>
      <c r="D4" s="20" t="n">
        <f aca="false">Ayarlar!$C$5+1*Ayarlar!$C$6</f>
        <v>46300</v>
      </c>
      <c r="E4" s="20" t="n">
        <f aca="false">Ayarlar!$C$5+2*Ayarlar!$C$6</f>
        <v>46307</v>
      </c>
      <c r="F4" s="20" t="n">
        <f aca="false">Ayarlar!$C$5+3*Ayarlar!$C$6</f>
        <v>46314</v>
      </c>
      <c r="G4" s="20" t="n">
        <f aca="false">Ayarlar!$C$5+4*Ayarlar!$C$6</f>
        <v>46321</v>
      </c>
      <c r="H4" s="20" t="n">
        <f aca="false">Ayarlar!$C$5+5*Ayarlar!$C$6</f>
        <v>46328</v>
      </c>
      <c r="I4" s="20" t="n">
        <f aca="false">Ayarlar!$C$5+6*Ayarlar!$C$6</f>
        <v>46335</v>
      </c>
      <c r="J4" s="20" t="n">
        <f aca="false">Ayarlar!$C$5+7*Ayarlar!$C$6</f>
        <v>46342</v>
      </c>
      <c r="K4" s="20" t="n">
        <f aca="false">Ayarlar!$C$5+8*Ayarlar!$C$6</f>
        <v>46349</v>
      </c>
      <c r="L4" s="20" t="n">
        <f aca="false">Ayarlar!$C$5+9*Ayarlar!$C$6</f>
        <v>46356</v>
      </c>
      <c r="M4" s="20" t="n">
        <f aca="false">Ayarlar!$C$5+10*Ayarlar!$C$6</f>
        <v>46363</v>
      </c>
      <c r="N4" s="20" t="n">
        <f aca="false">Ayarlar!$C$5+11*Ayarlar!$C$6</f>
        <v>46370</v>
      </c>
      <c r="O4" s="20" t="n">
        <f aca="false">Ayarlar!$C$5+12*Ayarlar!$C$6</f>
        <v>46377</v>
      </c>
      <c r="P4" s="20" t="n">
        <f aca="false">Ayarlar!$C$5+13*Ayarlar!$C$6</f>
        <v>46384</v>
      </c>
      <c r="Q4" s="20" t="n">
        <f aca="false">Ayarlar!$C$5+14*Ayarlar!$C$6</f>
        <v>46391</v>
      </c>
      <c r="R4" s="20" t="n">
        <f aca="false">Ayarlar!$C$5+15*Ayarlar!$C$6</f>
        <v>46398</v>
      </c>
      <c r="S4" s="20" t="n">
        <f aca="false">Ayarlar!$C$5+16*Ayarlar!$C$6</f>
        <v>46405</v>
      </c>
      <c r="T4" s="20" t="n">
        <f aca="false">Ayarlar!$C$5+17*Ayarlar!$C$6</f>
        <v>46412</v>
      </c>
      <c r="U4" s="20" t="n">
        <f aca="false">Ayarlar!$C$5+18*Ayarlar!$C$6</f>
        <v>46419</v>
      </c>
      <c r="V4" s="20" t="n">
        <f aca="false">Ayarlar!$C$5+19*Ayarlar!$C$6</f>
        <v>46426</v>
      </c>
      <c r="W4" s="20" t="n">
        <f aca="false">Ayarlar!$C$5+20*Ayarlar!$C$6</f>
        <v>46433</v>
      </c>
      <c r="X4" s="20" t="n">
        <f aca="false">Ayarlar!$C$5+21*Ayarlar!$C$6</f>
        <v>46440</v>
      </c>
      <c r="Y4" s="20" t="n">
        <f aca="false">Ayarlar!$C$5+22*Ayarlar!$C$6</f>
        <v>46447</v>
      </c>
      <c r="Z4" s="20" t="n">
        <f aca="false">Ayarlar!$C$5+23*Ayarlar!$C$6</f>
        <v>46454</v>
      </c>
      <c r="AA4" s="20" t="n">
        <f aca="false">Ayarlar!$C$5+24*Ayarlar!$C$6</f>
        <v>46461</v>
      </c>
      <c r="AB4" s="20" t="n">
        <f aca="false">Ayarlar!$C$5+25*Ayarlar!$C$6</f>
        <v>46468</v>
      </c>
      <c r="AC4" s="20" t="n">
        <f aca="false">Ayarlar!$C$5+26*Ayarlar!$C$6</f>
        <v>46475</v>
      </c>
      <c r="AD4" s="20" t="n">
        <f aca="false">Ayarlar!$C$5+27*Ayarlar!$C$6</f>
        <v>46482</v>
      </c>
      <c r="AE4" s="20" t="n">
        <f aca="false">Ayarlar!$C$5+28*Ayarlar!$C$6</f>
        <v>46489</v>
      </c>
      <c r="AF4" s="20" t="n">
        <f aca="false">Ayarlar!$C$5+29*Ayarlar!$C$6</f>
        <v>46496</v>
      </c>
      <c r="AG4" s="20" t="n">
        <f aca="false">Ayarlar!$C$5+30*Ayarlar!$C$6</f>
        <v>46503</v>
      </c>
      <c r="AH4" s="20" t="n">
        <f aca="false">Ayarlar!$C$5+31*Ayarlar!$C$6</f>
        <v>46510</v>
      </c>
      <c r="AI4" s="20" t="n">
        <f aca="false">Ayarlar!$C$5+32*Ayarlar!$C$6</f>
        <v>46517</v>
      </c>
      <c r="AJ4" s="20" t="n">
        <f aca="false">Ayarlar!$C$5+33*Ayarlar!$C$6</f>
        <v>46524</v>
      </c>
      <c r="AK4" s="20" t="n">
        <f aca="false">Ayarlar!$C$5+34*Ayarlar!$C$6</f>
        <v>46531</v>
      </c>
      <c r="AL4" s="20" t="n">
        <f aca="false">Ayarlar!$C$5+35*Ayarlar!$C$6</f>
        <v>46538</v>
      </c>
      <c r="AM4" s="20" t="n">
        <f aca="false">Ayarlar!$C$5+36*Ayarlar!$C$6</f>
        <v>46545</v>
      </c>
      <c r="AN4" s="20" t="n">
        <f aca="false">Ayarlar!$C$5+37*Ayarlar!$C$6</f>
        <v>46552</v>
      </c>
      <c r="AO4" s="20" t="n">
        <f aca="false">Ayarlar!$C$5+38*Ayarlar!$C$6</f>
        <v>46559</v>
      </c>
      <c r="AP4" s="20" t="n">
        <f aca="false">Ayarlar!$C$5+39*Ayarlar!$C$6</f>
        <v>46566</v>
      </c>
      <c r="AQ4" s="20" t="n">
        <f aca="false">Ayarlar!$C$5+40*Ayarlar!$C$6</f>
        <v>46573</v>
      </c>
      <c r="AR4" s="20" t="n">
        <f aca="false">Ayarlar!$C$5+41*Ayarlar!$C$6</f>
        <v>46580</v>
      </c>
      <c r="AS4" s="20" t="n">
        <f aca="false">Ayarlar!$C$5+42*Ayarlar!$C$6</f>
        <v>46587</v>
      </c>
      <c r="AT4" s="20" t="n">
        <f aca="false">Ayarlar!$C$5+43*Ayarlar!$C$6</f>
        <v>46594</v>
      </c>
      <c r="AU4" s="20" t="n">
        <f aca="false">Ayarlar!$C$5+44*Ayarlar!$C$6</f>
        <v>46601</v>
      </c>
      <c r="AV4" s="20" t="n">
        <f aca="false">Ayarlar!$C$5+45*Ayarlar!$C$6</f>
        <v>46608</v>
      </c>
      <c r="AW4" s="20" t="n">
        <f aca="false">Ayarlar!$C$5+46*Ayarlar!$C$6</f>
        <v>46615</v>
      </c>
      <c r="AX4" s="20" t="n">
        <f aca="false">Ayarlar!$C$5+47*Ayarlar!$C$6</f>
        <v>46622</v>
      </c>
      <c r="AY4" s="20" t="n">
        <f aca="false">Ayarlar!$C$5+48*Ayarlar!$C$6</f>
        <v>46629</v>
      </c>
      <c r="AZ4" s="20" t="n">
        <f aca="false">Ayarlar!$C$5+49*Ayarlar!$C$6</f>
        <v>46636</v>
      </c>
      <c r="BA4" s="20" t="n">
        <f aca="false">Ayarlar!$C$5+50*Ayarlar!$C$6</f>
        <v>46643</v>
      </c>
      <c r="BB4" s="20" t="n">
        <f aca="false">Ayarlar!$C$5+51*Ayarlar!$C$6</f>
        <v>46650</v>
      </c>
      <c r="BC4" s="20" t="n">
        <f aca="false">Ayarlar!$C$5+52*Ayarlar!$C$6</f>
        <v>46657</v>
      </c>
      <c r="BD4" s="20" t="n">
        <f aca="false">Ayarlar!$C$5+53*Ayarlar!$C$6</f>
        <v>46664</v>
      </c>
      <c r="BE4" s="20" t="n">
        <f aca="false">Ayarlar!$C$5+54*Ayarlar!$C$6</f>
        <v>46671</v>
      </c>
      <c r="BF4" s="20" t="n">
        <f aca="false">Ayarlar!$C$5+55*Ayarlar!$C$6</f>
        <v>46678</v>
      </c>
      <c r="BG4" s="20" t="n">
        <f aca="false">Ayarlar!$C$5+56*Ayarlar!$C$6</f>
        <v>46685</v>
      </c>
      <c r="BH4" s="20" t="n">
        <f aca="false">Ayarlar!$C$5+57*Ayarlar!$C$6</f>
        <v>46692</v>
      </c>
      <c r="BI4" s="20" t="n">
        <f aca="false">Ayarlar!$C$5+58*Ayarlar!$C$6</f>
        <v>46699</v>
      </c>
      <c r="BJ4" s="20" t="n">
        <f aca="false">Ayarlar!$C$5+59*Ayarlar!$C$6</f>
        <v>46706</v>
      </c>
    </row>
    <row r="5" customFormat="false" ht="15" hidden="false" customHeight="false" outlineLevel="0" collapsed="false">
      <c r="A5" s="21" t="str">
        <f aca="false">IF(Görevler!A5="","",Görevler!A5)</f>
        <v>Plan ve ölçü alma</v>
      </c>
      <c r="B5" s="21" t="str">
        <f aca="false">IF(Görevler!A5="","",Görevler!B5&amp;"")</f>
        <v>Kişi Alfa</v>
      </c>
      <c r="C5" s="22" t="n">
        <f aca="false">IF(Görevler!$F5="","",IF(AND(Görevler!$C5&lt;=(C$4+Ayarlar!$C$6-1),Görevler!$D5&gt;=C$4),IF(C$4&lt;=Görevler!$C5+ROUND(Görevler!$F5*Görevler!$E5,0)-1,2,1),""))</f>
        <v>2</v>
      </c>
      <c r="D5" s="22" t="str">
        <f aca="false">IF(Görevler!$F5="","",IF(AND(Görevler!$C5&lt;=(D$4+Ayarlar!$C$6-1),Görevler!$D5&gt;=D$4),IF(D$4&lt;=Görevler!$C5+ROUND(Görevler!$F5*Görevler!$E5,0)-1,2,1),""))</f>
        <v/>
      </c>
      <c r="E5" s="22" t="str">
        <f aca="false">IF(Görevler!$F5="","",IF(AND(Görevler!$C5&lt;=(E$4+Ayarlar!$C$6-1),Görevler!$D5&gt;=E$4),IF(E$4&lt;=Görevler!$C5+ROUND(Görevler!$F5*Görevler!$E5,0)-1,2,1),""))</f>
        <v/>
      </c>
      <c r="F5" s="22" t="str">
        <f aca="false">IF(Görevler!$F5="","",IF(AND(Görevler!$C5&lt;=(F$4+Ayarlar!$C$6-1),Görevler!$D5&gt;=F$4),IF(F$4&lt;=Görevler!$C5+ROUND(Görevler!$F5*Görevler!$E5,0)-1,2,1),""))</f>
        <v/>
      </c>
      <c r="G5" s="22" t="str">
        <f aca="false">IF(Görevler!$F5="","",IF(AND(Görevler!$C5&lt;=(G$4+Ayarlar!$C$6-1),Görevler!$D5&gt;=G$4),IF(G$4&lt;=Görevler!$C5+ROUND(Görevler!$F5*Görevler!$E5,0)-1,2,1),""))</f>
        <v/>
      </c>
      <c r="H5" s="22" t="str">
        <f aca="false">IF(Görevler!$F5="","",IF(AND(Görevler!$C5&lt;=(H$4+Ayarlar!$C$6-1),Görevler!$D5&gt;=H$4),IF(H$4&lt;=Görevler!$C5+ROUND(Görevler!$F5*Görevler!$E5,0)-1,2,1),""))</f>
        <v/>
      </c>
      <c r="I5" s="22" t="str">
        <f aca="false">IF(Görevler!$F5="","",IF(AND(Görevler!$C5&lt;=(I$4+Ayarlar!$C$6-1),Görevler!$D5&gt;=I$4),IF(I$4&lt;=Görevler!$C5+ROUND(Görevler!$F5*Görevler!$E5,0)-1,2,1),""))</f>
        <v/>
      </c>
      <c r="J5" s="22" t="str">
        <f aca="false">IF(Görevler!$F5="","",IF(AND(Görevler!$C5&lt;=(J$4+Ayarlar!$C$6-1),Görevler!$D5&gt;=J$4),IF(J$4&lt;=Görevler!$C5+ROUND(Görevler!$F5*Görevler!$E5,0)-1,2,1),""))</f>
        <v/>
      </c>
      <c r="K5" s="22" t="str">
        <f aca="false">IF(Görevler!$F5="","",IF(AND(Görevler!$C5&lt;=(K$4+Ayarlar!$C$6-1),Görevler!$D5&gt;=K$4),IF(K$4&lt;=Görevler!$C5+ROUND(Görevler!$F5*Görevler!$E5,0)-1,2,1),""))</f>
        <v/>
      </c>
      <c r="L5" s="22" t="str">
        <f aca="false">IF(Görevler!$F5="","",IF(AND(Görevler!$C5&lt;=(L$4+Ayarlar!$C$6-1),Görevler!$D5&gt;=L$4),IF(L$4&lt;=Görevler!$C5+ROUND(Görevler!$F5*Görevler!$E5,0)-1,2,1),""))</f>
        <v/>
      </c>
      <c r="M5" s="22" t="str">
        <f aca="false">IF(Görevler!$F5="","",IF(AND(Görevler!$C5&lt;=(M$4+Ayarlar!$C$6-1),Görevler!$D5&gt;=M$4),IF(M$4&lt;=Görevler!$C5+ROUND(Görevler!$F5*Görevler!$E5,0)-1,2,1),""))</f>
        <v/>
      </c>
      <c r="N5" s="22" t="str">
        <f aca="false">IF(Görevler!$F5="","",IF(AND(Görevler!$C5&lt;=(N$4+Ayarlar!$C$6-1),Görevler!$D5&gt;=N$4),IF(N$4&lt;=Görevler!$C5+ROUND(Görevler!$F5*Görevler!$E5,0)-1,2,1),""))</f>
        <v/>
      </c>
      <c r="O5" s="22" t="str">
        <f aca="false">IF(Görevler!$F5="","",IF(AND(Görevler!$C5&lt;=(O$4+Ayarlar!$C$6-1),Görevler!$D5&gt;=O$4),IF(O$4&lt;=Görevler!$C5+ROUND(Görevler!$F5*Görevler!$E5,0)-1,2,1),""))</f>
        <v/>
      </c>
      <c r="P5" s="22" t="str">
        <f aca="false">IF(Görevler!$F5="","",IF(AND(Görevler!$C5&lt;=(P$4+Ayarlar!$C$6-1),Görevler!$D5&gt;=P$4),IF(P$4&lt;=Görevler!$C5+ROUND(Görevler!$F5*Görevler!$E5,0)-1,2,1),""))</f>
        <v/>
      </c>
      <c r="Q5" s="22" t="str">
        <f aca="false">IF(Görevler!$F5="","",IF(AND(Görevler!$C5&lt;=(Q$4+Ayarlar!$C$6-1),Görevler!$D5&gt;=Q$4),IF(Q$4&lt;=Görevler!$C5+ROUND(Görevler!$F5*Görevler!$E5,0)-1,2,1),""))</f>
        <v/>
      </c>
      <c r="R5" s="22" t="str">
        <f aca="false">IF(Görevler!$F5="","",IF(AND(Görevler!$C5&lt;=(R$4+Ayarlar!$C$6-1),Görevler!$D5&gt;=R$4),IF(R$4&lt;=Görevler!$C5+ROUND(Görevler!$F5*Görevler!$E5,0)-1,2,1),""))</f>
        <v/>
      </c>
      <c r="S5" s="22" t="str">
        <f aca="false">IF(Görevler!$F5="","",IF(AND(Görevler!$C5&lt;=(S$4+Ayarlar!$C$6-1),Görevler!$D5&gt;=S$4),IF(S$4&lt;=Görevler!$C5+ROUND(Görevler!$F5*Görevler!$E5,0)-1,2,1),""))</f>
        <v/>
      </c>
      <c r="T5" s="22" t="str">
        <f aca="false">IF(Görevler!$F5="","",IF(AND(Görevler!$C5&lt;=(T$4+Ayarlar!$C$6-1),Görevler!$D5&gt;=T$4),IF(T$4&lt;=Görevler!$C5+ROUND(Görevler!$F5*Görevler!$E5,0)-1,2,1),""))</f>
        <v/>
      </c>
      <c r="U5" s="22" t="str">
        <f aca="false">IF(Görevler!$F5="","",IF(AND(Görevler!$C5&lt;=(U$4+Ayarlar!$C$6-1),Görevler!$D5&gt;=U$4),IF(U$4&lt;=Görevler!$C5+ROUND(Görevler!$F5*Görevler!$E5,0)-1,2,1),""))</f>
        <v/>
      </c>
      <c r="V5" s="22" t="str">
        <f aca="false">IF(Görevler!$F5="","",IF(AND(Görevler!$C5&lt;=(V$4+Ayarlar!$C$6-1),Görevler!$D5&gt;=V$4),IF(V$4&lt;=Görevler!$C5+ROUND(Görevler!$F5*Görevler!$E5,0)-1,2,1),""))</f>
        <v/>
      </c>
      <c r="W5" s="22" t="str">
        <f aca="false">IF(Görevler!$F5="","",IF(AND(Görevler!$C5&lt;=(W$4+Ayarlar!$C$6-1),Görevler!$D5&gt;=W$4),IF(W$4&lt;=Görevler!$C5+ROUND(Görevler!$F5*Görevler!$E5,0)-1,2,1),""))</f>
        <v/>
      </c>
      <c r="X5" s="22" t="str">
        <f aca="false">IF(Görevler!$F5="","",IF(AND(Görevler!$C5&lt;=(X$4+Ayarlar!$C$6-1),Görevler!$D5&gt;=X$4),IF(X$4&lt;=Görevler!$C5+ROUND(Görevler!$F5*Görevler!$E5,0)-1,2,1),""))</f>
        <v/>
      </c>
      <c r="Y5" s="22" t="str">
        <f aca="false">IF(Görevler!$F5="","",IF(AND(Görevler!$C5&lt;=(Y$4+Ayarlar!$C$6-1),Görevler!$D5&gt;=Y$4),IF(Y$4&lt;=Görevler!$C5+ROUND(Görevler!$F5*Görevler!$E5,0)-1,2,1),""))</f>
        <v/>
      </c>
      <c r="Z5" s="22" t="str">
        <f aca="false">IF(Görevler!$F5="","",IF(AND(Görevler!$C5&lt;=(Z$4+Ayarlar!$C$6-1),Görevler!$D5&gt;=Z$4),IF(Z$4&lt;=Görevler!$C5+ROUND(Görevler!$F5*Görevler!$E5,0)-1,2,1),""))</f>
        <v/>
      </c>
      <c r="AA5" s="22" t="str">
        <f aca="false">IF(Görevler!$F5="","",IF(AND(Görevler!$C5&lt;=(AA$4+Ayarlar!$C$6-1),Görevler!$D5&gt;=AA$4),IF(AA$4&lt;=Görevler!$C5+ROUND(Görevler!$F5*Görevler!$E5,0)-1,2,1),""))</f>
        <v/>
      </c>
      <c r="AB5" s="22" t="str">
        <f aca="false">IF(Görevler!$F5="","",IF(AND(Görevler!$C5&lt;=(AB$4+Ayarlar!$C$6-1),Görevler!$D5&gt;=AB$4),IF(AB$4&lt;=Görevler!$C5+ROUND(Görevler!$F5*Görevler!$E5,0)-1,2,1),""))</f>
        <v/>
      </c>
      <c r="AC5" s="22" t="str">
        <f aca="false">IF(Görevler!$F5="","",IF(AND(Görevler!$C5&lt;=(AC$4+Ayarlar!$C$6-1),Görevler!$D5&gt;=AC$4),IF(AC$4&lt;=Görevler!$C5+ROUND(Görevler!$F5*Görevler!$E5,0)-1,2,1),""))</f>
        <v/>
      </c>
      <c r="AD5" s="22" t="str">
        <f aca="false">IF(Görevler!$F5="","",IF(AND(Görevler!$C5&lt;=(AD$4+Ayarlar!$C$6-1),Görevler!$D5&gt;=AD$4),IF(AD$4&lt;=Görevler!$C5+ROUND(Görevler!$F5*Görevler!$E5,0)-1,2,1),""))</f>
        <v/>
      </c>
      <c r="AE5" s="22" t="str">
        <f aca="false">IF(Görevler!$F5="","",IF(AND(Görevler!$C5&lt;=(AE$4+Ayarlar!$C$6-1),Görevler!$D5&gt;=AE$4),IF(AE$4&lt;=Görevler!$C5+ROUND(Görevler!$F5*Görevler!$E5,0)-1,2,1),""))</f>
        <v/>
      </c>
      <c r="AF5" s="22" t="str">
        <f aca="false">IF(Görevler!$F5="","",IF(AND(Görevler!$C5&lt;=(AF$4+Ayarlar!$C$6-1),Görevler!$D5&gt;=AF$4),IF(AF$4&lt;=Görevler!$C5+ROUND(Görevler!$F5*Görevler!$E5,0)-1,2,1),""))</f>
        <v/>
      </c>
      <c r="AG5" s="22" t="str">
        <f aca="false">IF(Görevler!$F5="","",IF(AND(Görevler!$C5&lt;=(AG$4+Ayarlar!$C$6-1),Görevler!$D5&gt;=AG$4),IF(AG$4&lt;=Görevler!$C5+ROUND(Görevler!$F5*Görevler!$E5,0)-1,2,1),""))</f>
        <v/>
      </c>
      <c r="AH5" s="22" t="str">
        <f aca="false">IF(Görevler!$F5="","",IF(AND(Görevler!$C5&lt;=(AH$4+Ayarlar!$C$6-1),Görevler!$D5&gt;=AH$4),IF(AH$4&lt;=Görevler!$C5+ROUND(Görevler!$F5*Görevler!$E5,0)-1,2,1),""))</f>
        <v/>
      </c>
      <c r="AI5" s="22" t="str">
        <f aca="false">IF(Görevler!$F5="","",IF(AND(Görevler!$C5&lt;=(AI$4+Ayarlar!$C$6-1),Görevler!$D5&gt;=AI$4),IF(AI$4&lt;=Görevler!$C5+ROUND(Görevler!$F5*Görevler!$E5,0)-1,2,1),""))</f>
        <v/>
      </c>
      <c r="AJ5" s="22" t="str">
        <f aca="false">IF(Görevler!$F5="","",IF(AND(Görevler!$C5&lt;=(AJ$4+Ayarlar!$C$6-1),Görevler!$D5&gt;=AJ$4),IF(AJ$4&lt;=Görevler!$C5+ROUND(Görevler!$F5*Görevler!$E5,0)-1,2,1),""))</f>
        <v/>
      </c>
      <c r="AK5" s="22" t="str">
        <f aca="false">IF(Görevler!$F5="","",IF(AND(Görevler!$C5&lt;=(AK$4+Ayarlar!$C$6-1),Görevler!$D5&gt;=AK$4),IF(AK$4&lt;=Görevler!$C5+ROUND(Görevler!$F5*Görevler!$E5,0)-1,2,1),""))</f>
        <v/>
      </c>
      <c r="AL5" s="22" t="str">
        <f aca="false">IF(Görevler!$F5="","",IF(AND(Görevler!$C5&lt;=(AL$4+Ayarlar!$C$6-1),Görevler!$D5&gt;=AL$4),IF(AL$4&lt;=Görevler!$C5+ROUND(Görevler!$F5*Görevler!$E5,0)-1,2,1),""))</f>
        <v/>
      </c>
      <c r="AM5" s="22" t="str">
        <f aca="false">IF(Görevler!$F5="","",IF(AND(Görevler!$C5&lt;=(AM$4+Ayarlar!$C$6-1),Görevler!$D5&gt;=AM$4),IF(AM$4&lt;=Görevler!$C5+ROUND(Görevler!$F5*Görevler!$E5,0)-1,2,1),""))</f>
        <v/>
      </c>
      <c r="AN5" s="22" t="str">
        <f aca="false">IF(Görevler!$F5="","",IF(AND(Görevler!$C5&lt;=(AN$4+Ayarlar!$C$6-1),Görevler!$D5&gt;=AN$4),IF(AN$4&lt;=Görevler!$C5+ROUND(Görevler!$F5*Görevler!$E5,0)-1,2,1),""))</f>
        <v/>
      </c>
      <c r="AO5" s="22" t="str">
        <f aca="false">IF(Görevler!$F5="","",IF(AND(Görevler!$C5&lt;=(AO$4+Ayarlar!$C$6-1),Görevler!$D5&gt;=AO$4),IF(AO$4&lt;=Görevler!$C5+ROUND(Görevler!$F5*Görevler!$E5,0)-1,2,1),""))</f>
        <v/>
      </c>
      <c r="AP5" s="22" t="str">
        <f aca="false">IF(Görevler!$F5="","",IF(AND(Görevler!$C5&lt;=(AP$4+Ayarlar!$C$6-1),Görevler!$D5&gt;=AP$4),IF(AP$4&lt;=Görevler!$C5+ROUND(Görevler!$F5*Görevler!$E5,0)-1,2,1),""))</f>
        <v/>
      </c>
      <c r="AQ5" s="22" t="str">
        <f aca="false">IF(Görevler!$F5="","",IF(AND(Görevler!$C5&lt;=(AQ$4+Ayarlar!$C$6-1),Görevler!$D5&gt;=AQ$4),IF(AQ$4&lt;=Görevler!$C5+ROUND(Görevler!$F5*Görevler!$E5,0)-1,2,1),""))</f>
        <v/>
      </c>
      <c r="AR5" s="22" t="str">
        <f aca="false">IF(Görevler!$F5="","",IF(AND(Görevler!$C5&lt;=(AR$4+Ayarlar!$C$6-1),Görevler!$D5&gt;=AR$4),IF(AR$4&lt;=Görevler!$C5+ROUND(Görevler!$F5*Görevler!$E5,0)-1,2,1),""))</f>
        <v/>
      </c>
      <c r="AS5" s="22" t="str">
        <f aca="false">IF(Görevler!$F5="","",IF(AND(Görevler!$C5&lt;=(AS$4+Ayarlar!$C$6-1),Görevler!$D5&gt;=AS$4),IF(AS$4&lt;=Görevler!$C5+ROUND(Görevler!$F5*Görevler!$E5,0)-1,2,1),""))</f>
        <v/>
      </c>
      <c r="AT5" s="22" t="str">
        <f aca="false">IF(Görevler!$F5="","",IF(AND(Görevler!$C5&lt;=(AT$4+Ayarlar!$C$6-1),Görevler!$D5&gt;=AT$4),IF(AT$4&lt;=Görevler!$C5+ROUND(Görevler!$F5*Görevler!$E5,0)-1,2,1),""))</f>
        <v/>
      </c>
      <c r="AU5" s="22" t="str">
        <f aca="false">IF(Görevler!$F5="","",IF(AND(Görevler!$C5&lt;=(AU$4+Ayarlar!$C$6-1),Görevler!$D5&gt;=AU$4),IF(AU$4&lt;=Görevler!$C5+ROUND(Görevler!$F5*Görevler!$E5,0)-1,2,1),""))</f>
        <v/>
      </c>
      <c r="AV5" s="22" t="str">
        <f aca="false">IF(Görevler!$F5="","",IF(AND(Görevler!$C5&lt;=(AV$4+Ayarlar!$C$6-1),Görevler!$D5&gt;=AV$4),IF(AV$4&lt;=Görevler!$C5+ROUND(Görevler!$F5*Görevler!$E5,0)-1,2,1),""))</f>
        <v/>
      </c>
      <c r="AW5" s="22" t="str">
        <f aca="false">IF(Görevler!$F5="","",IF(AND(Görevler!$C5&lt;=(AW$4+Ayarlar!$C$6-1),Görevler!$D5&gt;=AW$4),IF(AW$4&lt;=Görevler!$C5+ROUND(Görevler!$F5*Görevler!$E5,0)-1,2,1),""))</f>
        <v/>
      </c>
      <c r="AX5" s="22" t="str">
        <f aca="false">IF(Görevler!$F5="","",IF(AND(Görevler!$C5&lt;=(AX$4+Ayarlar!$C$6-1),Görevler!$D5&gt;=AX$4),IF(AX$4&lt;=Görevler!$C5+ROUND(Görevler!$F5*Görevler!$E5,0)-1,2,1),""))</f>
        <v/>
      </c>
      <c r="AY5" s="22" t="str">
        <f aca="false">IF(Görevler!$F5="","",IF(AND(Görevler!$C5&lt;=(AY$4+Ayarlar!$C$6-1),Görevler!$D5&gt;=AY$4),IF(AY$4&lt;=Görevler!$C5+ROUND(Görevler!$F5*Görevler!$E5,0)-1,2,1),""))</f>
        <v/>
      </c>
      <c r="AZ5" s="22" t="str">
        <f aca="false">IF(Görevler!$F5="","",IF(AND(Görevler!$C5&lt;=(AZ$4+Ayarlar!$C$6-1),Görevler!$D5&gt;=AZ$4),IF(AZ$4&lt;=Görevler!$C5+ROUND(Görevler!$F5*Görevler!$E5,0)-1,2,1),""))</f>
        <v/>
      </c>
      <c r="BA5" s="22" t="str">
        <f aca="false">IF(Görevler!$F5="","",IF(AND(Görevler!$C5&lt;=(BA$4+Ayarlar!$C$6-1),Görevler!$D5&gt;=BA$4),IF(BA$4&lt;=Görevler!$C5+ROUND(Görevler!$F5*Görevler!$E5,0)-1,2,1),""))</f>
        <v/>
      </c>
      <c r="BB5" s="22" t="str">
        <f aca="false">IF(Görevler!$F5="","",IF(AND(Görevler!$C5&lt;=(BB$4+Ayarlar!$C$6-1),Görevler!$D5&gt;=BB$4),IF(BB$4&lt;=Görevler!$C5+ROUND(Görevler!$F5*Görevler!$E5,0)-1,2,1),""))</f>
        <v/>
      </c>
      <c r="BC5" s="22" t="str">
        <f aca="false">IF(Görevler!$F5="","",IF(AND(Görevler!$C5&lt;=(BC$4+Ayarlar!$C$6-1),Görevler!$D5&gt;=BC$4),IF(BC$4&lt;=Görevler!$C5+ROUND(Görevler!$F5*Görevler!$E5,0)-1,2,1),""))</f>
        <v/>
      </c>
      <c r="BD5" s="22" t="str">
        <f aca="false">IF(Görevler!$F5="","",IF(AND(Görevler!$C5&lt;=(BD$4+Ayarlar!$C$6-1),Görevler!$D5&gt;=BD$4),IF(BD$4&lt;=Görevler!$C5+ROUND(Görevler!$F5*Görevler!$E5,0)-1,2,1),""))</f>
        <v/>
      </c>
      <c r="BE5" s="22" t="str">
        <f aca="false">IF(Görevler!$F5="","",IF(AND(Görevler!$C5&lt;=(BE$4+Ayarlar!$C$6-1),Görevler!$D5&gt;=BE$4),IF(BE$4&lt;=Görevler!$C5+ROUND(Görevler!$F5*Görevler!$E5,0)-1,2,1),""))</f>
        <v/>
      </c>
      <c r="BF5" s="22" t="str">
        <f aca="false">IF(Görevler!$F5="","",IF(AND(Görevler!$C5&lt;=(BF$4+Ayarlar!$C$6-1),Görevler!$D5&gt;=BF$4),IF(BF$4&lt;=Görevler!$C5+ROUND(Görevler!$F5*Görevler!$E5,0)-1,2,1),""))</f>
        <v/>
      </c>
      <c r="BG5" s="22" t="str">
        <f aca="false">IF(Görevler!$F5="","",IF(AND(Görevler!$C5&lt;=(BG$4+Ayarlar!$C$6-1),Görevler!$D5&gt;=BG$4),IF(BG$4&lt;=Görevler!$C5+ROUND(Görevler!$F5*Görevler!$E5,0)-1,2,1),""))</f>
        <v/>
      </c>
      <c r="BH5" s="22" t="str">
        <f aca="false">IF(Görevler!$F5="","",IF(AND(Görevler!$C5&lt;=(BH$4+Ayarlar!$C$6-1),Görevler!$D5&gt;=BH$4),IF(BH$4&lt;=Görevler!$C5+ROUND(Görevler!$F5*Görevler!$E5,0)-1,2,1),""))</f>
        <v/>
      </c>
      <c r="BI5" s="22" t="str">
        <f aca="false">IF(Görevler!$F5="","",IF(AND(Görevler!$C5&lt;=(BI$4+Ayarlar!$C$6-1),Görevler!$D5&gt;=BI$4),IF(BI$4&lt;=Görevler!$C5+ROUND(Görevler!$F5*Görevler!$E5,0)-1,2,1),""))</f>
        <v/>
      </c>
      <c r="BJ5" s="22" t="str">
        <f aca="false">IF(Görevler!$F5="","",IF(AND(Görevler!$C5&lt;=(BJ$4+Ayarlar!$C$6-1),Görevler!$D5&gt;=BJ$4),IF(BJ$4&lt;=Görevler!$C5+ROUND(Görevler!$F5*Görevler!$E5,0)-1,2,1),""))</f>
        <v/>
      </c>
    </row>
    <row r="6" customFormat="false" ht="15" hidden="false" customHeight="false" outlineLevel="0" collapsed="false">
      <c r="A6" s="21" t="str">
        <f aca="false">IF(Görevler!A6="","",Görevler!A6)</f>
        <v>Malzeme siparişi</v>
      </c>
      <c r="B6" s="21" t="str">
        <f aca="false">IF(Görevler!A6="","",Görevler!B6&amp;"")</f>
        <v>Kişi Alfa</v>
      </c>
      <c r="C6" s="22" t="n">
        <f aca="false">IF(Görevler!$F6="","",IF(AND(Görevler!$C6&lt;=(C$4+Ayarlar!$C$6-1),Görevler!$D6&gt;=C$4),IF(C$4&lt;=Görevler!$C6+ROUND(Görevler!$F6*Görevler!$E6,0)-1,2,1),""))</f>
        <v>2</v>
      </c>
      <c r="D6" s="22" t="str">
        <f aca="false">IF(Görevler!$F6="","",IF(AND(Görevler!$C6&lt;=(D$4+Ayarlar!$C$6-1),Görevler!$D6&gt;=D$4),IF(D$4&lt;=Görevler!$C6+ROUND(Görevler!$F6*Görevler!$E6,0)-1,2,1),""))</f>
        <v/>
      </c>
      <c r="E6" s="22" t="str">
        <f aca="false">IF(Görevler!$F6="","",IF(AND(Görevler!$C6&lt;=(E$4+Ayarlar!$C$6-1),Görevler!$D6&gt;=E$4),IF(E$4&lt;=Görevler!$C6+ROUND(Görevler!$F6*Görevler!$E6,0)-1,2,1),""))</f>
        <v/>
      </c>
      <c r="F6" s="22" t="str">
        <f aca="false">IF(Görevler!$F6="","",IF(AND(Görevler!$C6&lt;=(F$4+Ayarlar!$C$6-1),Görevler!$D6&gt;=F$4),IF(F$4&lt;=Görevler!$C6+ROUND(Görevler!$F6*Görevler!$E6,0)-1,2,1),""))</f>
        <v/>
      </c>
      <c r="G6" s="22" t="str">
        <f aca="false">IF(Görevler!$F6="","",IF(AND(Görevler!$C6&lt;=(G$4+Ayarlar!$C$6-1),Görevler!$D6&gt;=G$4),IF(G$4&lt;=Görevler!$C6+ROUND(Görevler!$F6*Görevler!$E6,0)-1,2,1),""))</f>
        <v/>
      </c>
      <c r="H6" s="22" t="str">
        <f aca="false">IF(Görevler!$F6="","",IF(AND(Görevler!$C6&lt;=(H$4+Ayarlar!$C$6-1),Görevler!$D6&gt;=H$4),IF(H$4&lt;=Görevler!$C6+ROUND(Görevler!$F6*Görevler!$E6,0)-1,2,1),""))</f>
        <v/>
      </c>
      <c r="I6" s="22" t="str">
        <f aca="false">IF(Görevler!$F6="","",IF(AND(Görevler!$C6&lt;=(I$4+Ayarlar!$C$6-1),Görevler!$D6&gt;=I$4),IF(I$4&lt;=Görevler!$C6+ROUND(Görevler!$F6*Görevler!$E6,0)-1,2,1),""))</f>
        <v/>
      </c>
      <c r="J6" s="22" t="str">
        <f aca="false">IF(Görevler!$F6="","",IF(AND(Görevler!$C6&lt;=(J$4+Ayarlar!$C$6-1),Görevler!$D6&gt;=J$4),IF(J$4&lt;=Görevler!$C6+ROUND(Görevler!$F6*Görevler!$E6,0)-1,2,1),""))</f>
        <v/>
      </c>
      <c r="K6" s="22" t="str">
        <f aca="false">IF(Görevler!$F6="","",IF(AND(Görevler!$C6&lt;=(K$4+Ayarlar!$C$6-1),Görevler!$D6&gt;=K$4),IF(K$4&lt;=Görevler!$C6+ROUND(Görevler!$F6*Görevler!$E6,0)-1,2,1),""))</f>
        <v/>
      </c>
      <c r="L6" s="22" t="str">
        <f aca="false">IF(Görevler!$F6="","",IF(AND(Görevler!$C6&lt;=(L$4+Ayarlar!$C$6-1),Görevler!$D6&gt;=L$4),IF(L$4&lt;=Görevler!$C6+ROUND(Görevler!$F6*Görevler!$E6,0)-1,2,1),""))</f>
        <v/>
      </c>
      <c r="M6" s="22" t="str">
        <f aca="false">IF(Görevler!$F6="","",IF(AND(Görevler!$C6&lt;=(M$4+Ayarlar!$C$6-1),Görevler!$D6&gt;=M$4),IF(M$4&lt;=Görevler!$C6+ROUND(Görevler!$F6*Görevler!$E6,0)-1,2,1),""))</f>
        <v/>
      </c>
      <c r="N6" s="22" t="str">
        <f aca="false">IF(Görevler!$F6="","",IF(AND(Görevler!$C6&lt;=(N$4+Ayarlar!$C$6-1),Görevler!$D6&gt;=N$4),IF(N$4&lt;=Görevler!$C6+ROUND(Görevler!$F6*Görevler!$E6,0)-1,2,1),""))</f>
        <v/>
      </c>
      <c r="O6" s="22" t="str">
        <f aca="false">IF(Görevler!$F6="","",IF(AND(Görevler!$C6&lt;=(O$4+Ayarlar!$C$6-1),Görevler!$D6&gt;=O$4),IF(O$4&lt;=Görevler!$C6+ROUND(Görevler!$F6*Görevler!$E6,0)-1,2,1),""))</f>
        <v/>
      </c>
      <c r="P6" s="22" t="str">
        <f aca="false">IF(Görevler!$F6="","",IF(AND(Görevler!$C6&lt;=(P$4+Ayarlar!$C$6-1),Görevler!$D6&gt;=P$4),IF(P$4&lt;=Görevler!$C6+ROUND(Görevler!$F6*Görevler!$E6,0)-1,2,1),""))</f>
        <v/>
      </c>
      <c r="Q6" s="22" t="str">
        <f aca="false">IF(Görevler!$F6="","",IF(AND(Görevler!$C6&lt;=(Q$4+Ayarlar!$C$6-1),Görevler!$D6&gt;=Q$4),IF(Q$4&lt;=Görevler!$C6+ROUND(Görevler!$F6*Görevler!$E6,0)-1,2,1),""))</f>
        <v/>
      </c>
      <c r="R6" s="22" t="str">
        <f aca="false">IF(Görevler!$F6="","",IF(AND(Görevler!$C6&lt;=(R$4+Ayarlar!$C$6-1),Görevler!$D6&gt;=R$4),IF(R$4&lt;=Görevler!$C6+ROUND(Görevler!$F6*Görevler!$E6,0)-1,2,1),""))</f>
        <v/>
      </c>
      <c r="S6" s="22" t="str">
        <f aca="false">IF(Görevler!$F6="","",IF(AND(Görevler!$C6&lt;=(S$4+Ayarlar!$C$6-1),Görevler!$D6&gt;=S$4),IF(S$4&lt;=Görevler!$C6+ROUND(Görevler!$F6*Görevler!$E6,0)-1,2,1),""))</f>
        <v/>
      </c>
      <c r="T6" s="22" t="str">
        <f aca="false">IF(Görevler!$F6="","",IF(AND(Görevler!$C6&lt;=(T$4+Ayarlar!$C$6-1),Görevler!$D6&gt;=T$4),IF(T$4&lt;=Görevler!$C6+ROUND(Görevler!$F6*Görevler!$E6,0)-1,2,1),""))</f>
        <v/>
      </c>
      <c r="U6" s="22" t="str">
        <f aca="false">IF(Görevler!$F6="","",IF(AND(Görevler!$C6&lt;=(U$4+Ayarlar!$C$6-1),Görevler!$D6&gt;=U$4),IF(U$4&lt;=Görevler!$C6+ROUND(Görevler!$F6*Görevler!$E6,0)-1,2,1),""))</f>
        <v/>
      </c>
      <c r="V6" s="22" t="str">
        <f aca="false">IF(Görevler!$F6="","",IF(AND(Görevler!$C6&lt;=(V$4+Ayarlar!$C$6-1),Görevler!$D6&gt;=V$4),IF(V$4&lt;=Görevler!$C6+ROUND(Görevler!$F6*Görevler!$E6,0)-1,2,1),""))</f>
        <v/>
      </c>
      <c r="W6" s="22" t="str">
        <f aca="false">IF(Görevler!$F6="","",IF(AND(Görevler!$C6&lt;=(W$4+Ayarlar!$C$6-1),Görevler!$D6&gt;=W$4),IF(W$4&lt;=Görevler!$C6+ROUND(Görevler!$F6*Görevler!$E6,0)-1,2,1),""))</f>
        <v/>
      </c>
      <c r="X6" s="22" t="str">
        <f aca="false">IF(Görevler!$F6="","",IF(AND(Görevler!$C6&lt;=(X$4+Ayarlar!$C$6-1),Görevler!$D6&gt;=X$4),IF(X$4&lt;=Görevler!$C6+ROUND(Görevler!$F6*Görevler!$E6,0)-1,2,1),""))</f>
        <v/>
      </c>
      <c r="Y6" s="22" t="str">
        <f aca="false">IF(Görevler!$F6="","",IF(AND(Görevler!$C6&lt;=(Y$4+Ayarlar!$C$6-1),Görevler!$D6&gt;=Y$4),IF(Y$4&lt;=Görevler!$C6+ROUND(Görevler!$F6*Görevler!$E6,0)-1,2,1),""))</f>
        <v/>
      </c>
      <c r="Z6" s="22" t="str">
        <f aca="false">IF(Görevler!$F6="","",IF(AND(Görevler!$C6&lt;=(Z$4+Ayarlar!$C$6-1),Görevler!$D6&gt;=Z$4),IF(Z$4&lt;=Görevler!$C6+ROUND(Görevler!$F6*Görevler!$E6,0)-1,2,1),""))</f>
        <v/>
      </c>
      <c r="AA6" s="22" t="str">
        <f aca="false">IF(Görevler!$F6="","",IF(AND(Görevler!$C6&lt;=(AA$4+Ayarlar!$C$6-1),Görevler!$D6&gt;=AA$4),IF(AA$4&lt;=Görevler!$C6+ROUND(Görevler!$F6*Görevler!$E6,0)-1,2,1),""))</f>
        <v/>
      </c>
      <c r="AB6" s="22" t="str">
        <f aca="false">IF(Görevler!$F6="","",IF(AND(Görevler!$C6&lt;=(AB$4+Ayarlar!$C$6-1),Görevler!$D6&gt;=AB$4),IF(AB$4&lt;=Görevler!$C6+ROUND(Görevler!$F6*Görevler!$E6,0)-1,2,1),""))</f>
        <v/>
      </c>
      <c r="AC6" s="22" t="str">
        <f aca="false">IF(Görevler!$F6="","",IF(AND(Görevler!$C6&lt;=(AC$4+Ayarlar!$C$6-1),Görevler!$D6&gt;=AC$4),IF(AC$4&lt;=Görevler!$C6+ROUND(Görevler!$F6*Görevler!$E6,0)-1,2,1),""))</f>
        <v/>
      </c>
      <c r="AD6" s="22" t="str">
        <f aca="false">IF(Görevler!$F6="","",IF(AND(Görevler!$C6&lt;=(AD$4+Ayarlar!$C$6-1),Görevler!$D6&gt;=AD$4),IF(AD$4&lt;=Görevler!$C6+ROUND(Görevler!$F6*Görevler!$E6,0)-1,2,1),""))</f>
        <v/>
      </c>
      <c r="AE6" s="22" t="str">
        <f aca="false">IF(Görevler!$F6="","",IF(AND(Görevler!$C6&lt;=(AE$4+Ayarlar!$C$6-1),Görevler!$D6&gt;=AE$4),IF(AE$4&lt;=Görevler!$C6+ROUND(Görevler!$F6*Görevler!$E6,0)-1,2,1),""))</f>
        <v/>
      </c>
      <c r="AF6" s="22" t="str">
        <f aca="false">IF(Görevler!$F6="","",IF(AND(Görevler!$C6&lt;=(AF$4+Ayarlar!$C$6-1),Görevler!$D6&gt;=AF$4),IF(AF$4&lt;=Görevler!$C6+ROUND(Görevler!$F6*Görevler!$E6,0)-1,2,1),""))</f>
        <v/>
      </c>
      <c r="AG6" s="22" t="str">
        <f aca="false">IF(Görevler!$F6="","",IF(AND(Görevler!$C6&lt;=(AG$4+Ayarlar!$C$6-1),Görevler!$D6&gt;=AG$4),IF(AG$4&lt;=Görevler!$C6+ROUND(Görevler!$F6*Görevler!$E6,0)-1,2,1),""))</f>
        <v/>
      </c>
      <c r="AH6" s="22" t="str">
        <f aca="false">IF(Görevler!$F6="","",IF(AND(Görevler!$C6&lt;=(AH$4+Ayarlar!$C$6-1),Görevler!$D6&gt;=AH$4),IF(AH$4&lt;=Görevler!$C6+ROUND(Görevler!$F6*Görevler!$E6,0)-1,2,1),""))</f>
        <v/>
      </c>
      <c r="AI6" s="22" t="str">
        <f aca="false">IF(Görevler!$F6="","",IF(AND(Görevler!$C6&lt;=(AI$4+Ayarlar!$C$6-1),Görevler!$D6&gt;=AI$4),IF(AI$4&lt;=Görevler!$C6+ROUND(Görevler!$F6*Görevler!$E6,0)-1,2,1),""))</f>
        <v/>
      </c>
      <c r="AJ6" s="22" t="str">
        <f aca="false">IF(Görevler!$F6="","",IF(AND(Görevler!$C6&lt;=(AJ$4+Ayarlar!$C$6-1),Görevler!$D6&gt;=AJ$4),IF(AJ$4&lt;=Görevler!$C6+ROUND(Görevler!$F6*Görevler!$E6,0)-1,2,1),""))</f>
        <v/>
      </c>
      <c r="AK6" s="22" t="str">
        <f aca="false">IF(Görevler!$F6="","",IF(AND(Görevler!$C6&lt;=(AK$4+Ayarlar!$C$6-1),Görevler!$D6&gt;=AK$4),IF(AK$4&lt;=Görevler!$C6+ROUND(Görevler!$F6*Görevler!$E6,0)-1,2,1),""))</f>
        <v/>
      </c>
      <c r="AL6" s="22" t="str">
        <f aca="false">IF(Görevler!$F6="","",IF(AND(Görevler!$C6&lt;=(AL$4+Ayarlar!$C$6-1),Görevler!$D6&gt;=AL$4),IF(AL$4&lt;=Görevler!$C6+ROUND(Görevler!$F6*Görevler!$E6,0)-1,2,1),""))</f>
        <v/>
      </c>
      <c r="AM6" s="22" t="str">
        <f aca="false">IF(Görevler!$F6="","",IF(AND(Görevler!$C6&lt;=(AM$4+Ayarlar!$C$6-1),Görevler!$D6&gt;=AM$4),IF(AM$4&lt;=Görevler!$C6+ROUND(Görevler!$F6*Görevler!$E6,0)-1,2,1),""))</f>
        <v/>
      </c>
      <c r="AN6" s="22" t="str">
        <f aca="false">IF(Görevler!$F6="","",IF(AND(Görevler!$C6&lt;=(AN$4+Ayarlar!$C$6-1),Görevler!$D6&gt;=AN$4),IF(AN$4&lt;=Görevler!$C6+ROUND(Görevler!$F6*Görevler!$E6,0)-1,2,1),""))</f>
        <v/>
      </c>
      <c r="AO6" s="22" t="str">
        <f aca="false">IF(Görevler!$F6="","",IF(AND(Görevler!$C6&lt;=(AO$4+Ayarlar!$C$6-1),Görevler!$D6&gt;=AO$4),IF(AO$4&lt;=Görevler!$C6+ROUND(Görevler!$F6*Görevler!$E6,0)-1,2,1),""))</f>
        <v/>
      </c>
      <c r="AP6" s="22" t="str">
        <f aca="false">IF(Görevler!$F6="","",IF(AND(Görevler!$C6&lt;=(AP$4+Ayarlar!$C$6-1),Görevler!$D6&gt;=AP$4),IF(AP$4&lt;=Görevler!$C6+ROUND(Görevler!$F6*Görevler!$E6,0)-1,2,1),""))</f>
        <v/>
      </c>
      <c r="AQ6" s="22" t="str">
        <f aca="false">IF(Görevler!$F6="","",IF(AND(Görevler!$C6&lt;=(AQ$4+Ayarlar!$C$6-1),Görevler!$D6&gt;=AQ$4),IF(AQ$4&lt;=Görevler!$C6+ROUND(Görevler!$F6*Görevler!$E6,0)-1,2,1),""))</f>
        <v/>
      </c>
      <c r="AR6" s="22" t="str">
        <f aca="false">IF(Görevler!$F6="","",IF(AND(Görevler!$C6&lt;=(AR$4+Ayarlar!$C$6-1),Görevler!$D6&gt;=AR$4),IF(AR$4&lt;=Görevler!$C6+ROUND(Görevler!$F6*Görevler!$E6,0)-1,2,1),""))</f>
        <v/>
      </c>
      <c r="AS6" s="22" t="str">
        <f aca="false">IF(Görevler!$F6="","",IF(AND(Görevler!$C6&lt;=(AS$4+Ayarlar!$C$6-1),Görevler!$D6&gt;=AS$4),IF(AS$4&lt;=Görevler!$C6+ROUND(Görevler!$F6*Görevler!$E6,0)-1,2,1),""))</f>
        <v/>
      </c>
      <c r="AT6" s="22" t="str">
        <f aca="false">IF(Görevler!$F6="","",IF(AND(Görevler!$C6&lt;=(AT$4+Ayarlar!$C$6-1),Görevler!$D6&gt;=AT$4),IF(AT$4&lt;=Görevler!$C6+ROUND(Görevler!$F6*Görevler!$E6,0)-1,2,1),""))</f>
        <v/>
      </c>
      <c r="AU6" s="22" t="str">
        <f aca="false">IF(Görevler!$F6="","",IF(AND(Görevler!$C6&lt;=(AU$4+Ayarlar!$C$6-1),Görevler!$D6&gt;=AU$4),IF(AU$4&lt;=Görevler!$C6+ROUND(Görevler!$F6*Görevler!$E6,0)-1,2,1),""))</f>
        <v/>
      </c>
      <c r="AV6" s="22" t="str">
        <f aca="false">IF(Görevler!$F6="","",IF(AND(Görevler!$C6&lt;=(AV$4+Ayarlar!$C$6-1),Görevler!$D6&gt;=AV$4),IF(AV$4&lt;=Görevler!$C6+ROUND(Görevler!$F6*Görevler!$E6,0)-1,2,1),""))</f>
        <v/>
      </c>
      <c r="AW6" s="22" t="str">
        <f aca="false">IF(Görevler!$F6="","",IF(AND(Görevler!$C6&lt;=(AW$4+Ayarlar!$C$6-1),Görevler!$D6&gt;=AW$4),IF(AW$4&lt;=Görevler!$C6+ROUND(Görevler!$F6*Görevler!$E6,0)-1,2,1),""))</f>
        <v/>
      </c>
      <c r="AX6" s="22" t="str">
        <f aca="false">IF(Görevler!$F6="","",IF(AND(Görevler!$C6&lt;=(AX$4+Ayarlar!$C$6-1),Görevler!$D6&gt;=AX$4),IF(AX$4&lt;=Görevler!$C6+ROUND(Görevler!$F6*Görevler!$E6,0)-1,2,1),""))</f>
        <v/>
      </c>
      <c r="AY6" s="22" t="str">
        <f aca="false">IF(Görevler!$F6="","",IF(AND(Görevler!$C6&lt;=(AY$4+Ayarlar!$C$6-1),Görevler!$D6&gt;=AY$4),IF(AY$4&lt;=Görevler!$C6+ROUND(Görevler!$F6*Görevler!$E6,0)-1,2,1),""))</f>
        <v/>
      </c>
      <c r="AZ6" s="22" t="str">
        <f aca="false">IF(Görevler!$F6="","",IF(AND(Görevler!$C6&lt;=(AZ$4+Ayarlar!$C$6-1),Görevler!$D6&gt;=AZ$4),IF(AZ$4&lt;=Görevler!$C6+ROUND(Görevler!$F6*Görevler!$E6,0)-1,2,1),""))</f>
        <v/>
      </c>
      <c r="BA6" s="22" t="str">
        <f aca="false">IF(Görevler!$F6="","",IF(AND(Görevler!$C6&lt;=(BA$4+Ayarlar!$C$6-1),Görevler!$D6&gt;=BA$4),IF(BA$4&lt;=Görevler!$C6+ROUND(Görevler!$F6*Görevler!$E6,0)-1,2,1),""))</f>
        <v/>
      </c>
      <c r="BB6" s="22" t="str">
        <f aca="false">IF(Görevler!$F6="","",IF(AND(Görevler!$C6&lt;=(BB$4+Ayarlar!$C$6-1),Görevler!$D6&gt;=BB$4),IF(BB$4&lt;=Görevler!$C6+ROUND(Görevler!$F6*Görevler!$E6,0)-1,2,1),""))</f>
        <v/>
      </c>
      <c r="BC6" s="22" t="str">
        <f aca="false">IF(Görevler!$F6="","",IF(AND(Görevler!$C6&lt;=(BC$4+Ayarlar!$C$6-1),Görevler!$D6&gt;=BC$4),IF(BC$4&lt;=Görevler!$C6+ROUND(Görevler!$F6*Görevler!$E6,0)-1,2,1),""))</f>
        <v/>
      </c>
      <c r="BD6" s="22" t="str">
        <f aca="false">IF(Görevler!$F6="","",IF(AND(Görevler!$C6&lt;=(BD$4+Ayarlar!$C$6-1),Görevler!$D6&gt;=BD$4),IF(BD$4&lt;=Görevler!$C6+ROUND(Görevler!$F6*Görevler!$E6,0)-1,2,1),""))</f>
        <v/>
      </c>
      <c r="BE6" s="22" t="str">
        <f aca="false">IF(Görevler!$F6="","",IF(AND(Görevler!$C6&lt;=(BE$4+Ayarlar!$C$6-1),Görevler!$D6&gt;=BE$4),IF(BE$4&lt;=Görevler!$C6+ROUND(Görevler!$F6*Görevler!$E6,0)-1,2,1),""))</f>
        <v/>
      </c>
      <c r="BF6" s="22" t="str">
        <f aca="false">IF(Görevler!$F6="","",IF(AND(Görevler!$C6&lt;=(BF$4+Ayarlar!$C$6-1),Görevler!$D6&gt;=BF$4),IF(BF$4&lt;=Görevler!$C6+ROUND(Görevler!$F6*Görevler!$E6,0)-1,2,1),""))</f>
        <v/>
      </c>
      <c r="BG6" s="22" t="str">
        <f aca="false">IF(Görevler!$F6="","",IF(AND(Görevler!$C6&lt;=(BG$4+Ayarlar!$C$6-1),Görevler!$D6&gt;=BG$4),IF(BG$4&lt;=Görevler!$C6+ROUND(Görevler!$F6*Görevler!$E6,0)-1,2,1),""))</f>
        <v/>
      </c>
      <c r="BH6" s="22" t="str">
        <f aca="false">IF(Görevler!$F6="","",IF(AND(Görevler!$C6&lt;=(BH$4+Ayarlar!$C$6-1),Görevler!$D6&gt;=BH$4),IF(BH$4&lt;=Görevler!$C6+ROUND(Görevler!$F6*Görevler!$E6,0)-1,2,1),""))</f>
        <v/>
      </c>
      <c r="BI6" s="22" t="str">
        <f aca="false">IF(Görevler!$F6="","",IF(AND(Görevler!$C6&lt;=(BI$4+Ayarlar!$C$6-1),Görevler!$D6&gt;=BI$4),IF(BI$4&lt;=Görevler!$C6+ROUND(Görevler!$F6*Görevler!$E6,0)-1,2,1),""))</f>
        <v/>
      </c>
      <c r="BJ6" s="22" t="str">
        <f aca="false">IF(Görevler!$F6="","",IF(AND(Görevler!$C6&lt;=(BJ$4+Ayarlar!$C$6-1),Görevler!$D6&gt;=BJ$4),IF(BJ$4&lt;=Görevler!$C6+ROUND(Görevler!$F6*Görevler!$E6,0)-1,2,1),""))</f>
        <v/>
      </c>
    </row>
    <row r="7" customFormat="false" ht="15" hidden="false" customHeight="false" outlineLevel="0" collapsed="false">
      <c r="A7" s="21" t="str">
        <f aca="false">IF(Görevler!A7="","",Görevler!A7)</f>
        <v>Elektrik tesisatı</v>
      </c>
      <c r="B7" s="21" t="str">
        <f aca="false">IF(Görevler!A7="","",Görevler!B7&amp;"")</f>
        <v>Elektrikçi</v>
      </c>
      <c r="C7" s="22" t="str">
        <f aca="false">IF(Görevler!$F7="","",IF(AND(Görevler!$C7&lt;=(C$4+Ayarlar!$C$6-1),Görevler!$D7&gt;=C$4),IF(C$4&lt;=Görevler!$C7+ROUND(Görevler!$F7*Görevler!$E7,0)-1,2,1),""))</f>
        <v/>
      </c>
      <c r="D7" s="22" t="n">
        <f aca="false">IF(Görevler!$F7="","",IF(AND(Görevler!$C7&lt;=(D$4+Ayarlar!$C$6-1),Görevler!$D7&gt;=D$4),IF(D$4&lt;=Görevler!$C7+ROUND(Görevler!$F7*Görevler!$E7,0)-1,2,1),""))</f>
        <v>1</v>
      </c>
      <c r="E7" s="22" t="n">
        <f aca="false">IF(Görevler!$F7="","",IF(AND(Görevler!$C7&lt;=(E$4+Ayarlar!$C$6-1),Görevler!$D7&gt;=E$4),IF(E$4&lt;=Görevler!$C7+ROUND(Görevler!$F7*Görevler!$E7,0)-1,2,1),""))</f>
        <v>1</v>
      </c>
      <c r="F7" s="22" t="str">
        <f aca="false">IF(Görevler!$F7="","",IF(AND(Görevler!$C7&lt;=(F$4+Ayarlar!$C$6-1),Görevler!$D7&gt;=F$4),IF(F$4&lt;=Görevler!$C7+ROUND(Görevler!$F7*Görevler!$E7,0)-1,2,1),""))</f>
        <v/>
      </c>
      <c r="G7" s="22" t="str">
        <f aca="false">IF(Görevler!$F7="","",IF(AND(Görevler!$C7&lt;=(G$4+Ayarlar!$C$6-1),Görevler!$D7&gt;=G$4),IF(G$4&lt;=Görevler!$C7+ROUND(Görevler!$F7*Görevler!$E7,0)-1,2,1),""))</f>
        <v/>
      </c>
      <c r="H7" s="22" t="str">
        <f aca="false">IF(Görevler!$F7="","",IF(AND(Görevler!$C7&lt;=(H$4+Ayarlar!$C$6-1),Görevler!$D7&gt;=H$4),IF(H$4&lt;=Görevler!$C7+ROUND(Görevler!$F7*Görevler!$E7,0)-1,2,1),""))</f>
        <v/>
      </c>
      <c r="I7" s="22" t="str">
        <f aca="false">IF(Görevler!$F7="","",IF(AND(Görevler!$C7&lt;=(I$4+Ayarlar!$C$6-1),Görevler!$D7&gt;=I$4),IF(I$4&lt;=Görevler!$C7+ROUND(Görevler!$F7*Görevler!$E7,0)-1,2,1),""))</f>
        <v/>
      </c>
      <c r="J7" s="22" t="str">
        <f aca="false">IF(Görevler!$F7="","",IF(AND(Görevler!$C7&lt;=(J$4+Ayarlar!$C$6-1),Görevler!$D7&gt;=J$4),IF(J$4&lt;=Görevler!$C7+ROUND(Görevler!$F7*Görevler!$E7,0)-1,2,1),""))</f>
        <v/>
      </c>
      <c r="K7" s="22" t="str">
        <f aca="false">IF(Görevler!$F7="","",IF(AND(Görevler!$C7&lt;=(K$4+Ayarlar!$C$6-1),Görevler!$D7&gt;=K$4),IF(K$4&lt;=Görevler!$C7+ROUND(Görevler!$F7*Görevler!$E7,0)-1,2,1),""))</f>
        <v/>
      </c>
      <c r="L7" s="22" t="str">
        <f aca="false">IF(Görevler!$F7="","",IF(AND(Görevler!$C7&lt;=(L$4+Ayarlar!$C$6-1),Görevler!$D7&gt;=L$4),IF(L$4&lt;=Görevler!$C7+ROUND(Görevler!$F7*Görevler!$E7,0)-1,2,1),""))</f>
        <v/>
      </c>
      <c r="M7" s="22" t="str">
        <f aca="false">IF(Görevler!$F7="","",IF(AND(Görevler!$C7&lt;=(M$4+Ayarlar!$C$6-1),Görevler!$D7&gt;=M$4),IF(M$4&lt;=Görevler!$C7+ROUND(Görevler!$F7*Görevler!$E7,0)-1,2,1),""))</f>
        <v/>
      </c>
      <c r="N7" s="22" t="str">
        <f aca="false">IF(Görevler!$F7="","",IF(AND(Görevler!$C7&lt;=(N$4+Ayarlar!$C$6-1),Görevler!$D7&gt;=N$4),IF(N$4&lt;=Görevler!$C7+ROUND(Görevler!$F7*Görevler!$E7,0)-1,2,1),""))</f>
        <v/>
      </c>
      <c r="O7" s="22" t="str">
        <f aca="false">IF(Görevler!$F7="","",IF(AND(Görevler!$C7&lt;=(O$4+Ayarlar!$C$6-1),Görevler!$D7&gt;=O$4),IF(O$4&lt;=Görevler!$C7+ROUND(Görevler!$F7*Görevler!$E7,0)-1,2,1),""))</f>
        <v/>
      </c>
      <c r="P7" s="22" t="str">
        <f aca="false">IF(Görevler!$F7="","",IF(AND(Görevler!$C7&lt;=(P$4+Ayarlar!$C$6-1),Görevler!$D7&gt;=P$4),IF(P$4&lt;=Görevler!$C7+ROUND(Görevler!$F7*Görevler!$E7,0)-1,2,1),""))</f>
        <v/>
      </c>
      <c r="Q7" s="22" t="str">
        <f aca="false">IF(Görevler!$F7="","",IF(AND(Görevler!$C7&lt;=(Q$4+Ayarlar!$C$6-1),Görevler!$D7&gt;=Q$4),IF(Q$4&lt;=Görevler!$C7+ROUND(Görevler!$F7*Görevler!$E7,0)-1,2,1),""))</f>
        <v/>
      </c>
      <c r="R7" s="22" t="str">
        <f aca="false">IF(Görevler!$F7="","",IF(AND(Görevler!$C7&lt;=(R$4+Ayarlar!$C$6-1),Görevler!$D7&gt;=R$4),IF(R$4&lt;=Görevler!$C7+ROUND(Görevler!$F7*Görevler!$E7,0)-1,2,1),""))</f>
        <v/>
      </c>
      <c r="S7" s="22" t="str">
        <f aca="false">IF(Görevler!$F7="","",IF(AND(Görevler!$C7&lt;=(S$4+Ayarlar!$C$6-1),Görevler!$D7&gt;=S$4),IF(S$4&lt;=Görevler!$C7+ROUND(Görevler!$F7*Görevler!$E7,0)-1,2,1),""))</f>
        <v/>
      </c>
      <c r="T7" s="22" t="str">
        <f aca="false">IF(Görevler!$F7="","",IF(AND(Görevler!$C7&lt;=(T$4+Ayarlar!$C$6-1),Görevler!$D7&gt;=T$4),IF(T$4&lt;=Görevler!$C7+ROUND(Görevler!$F7*Görevler!$E7,0)-1,2,1),""))</f>
        <v/>
      </c>
      <c r="U7" s="22" t="str">
        <f aca="false">IF(Görevler!$F7="","",IF(AND(Görevler!$C7&lt;=(U$4+Ayarlar!$C$6-1),Görevler!$D7&gt;=U$4),IF(U$4&lt;=Görevler!$C7+ROUND(Görevler!$F7*Görevler!$E7,0)-1,2,1),""))</f>
        <v/>
      </c>
      <c r="V7" s="22" t="str">
        <f aca="false">IF(Görevler!$F7="","",IF(AND(Görevler!$C7&lt;=(V$4+Ayarlar!$C$6-1),Görevler!$D7&gt;=V$4),IF(V$4&lt;=Görevler!$C7+ROUND(Görevler!$F7*Görevler!$E7,0)-1,2,1),""))</f>
        <v/>
      </c>
      <c r="W7" s="22" t="str">
        <f aca="false">IF(Görevler!$F7="","",IF(AND(Görevler!$C7&lt;=(W$4+Ayarlar!$C$6-1),Görevler!$D7&gt;=W$4),IF(W$4&lt;=Görevler!$C7+ROUND(Görevler!$F7*Görevler!$E7,0)-1,2,1),""))</f>
        <v/>
      </c>
      <c r="X7" s="22" t="str">
        <f aca="false">IF(Görevler!$F7="","",IF(AND(Görevler!$C7&lt;=(X$4+Ayarlar!$C$6-1),Görevler!$D7&gt;=X$4),IF(X$4&lt;=Görevler!$C7+ROUND(Görevler!$F7*Görevler!$E7,0)-1,2,1),""))</f>
        <v/>
      </c>
      <c r="Y7" s="22" t="str">
        <f aca="false">IF(Görevler!$F7="","",IF(AND(Görevler!$C7&lt;=(Y$4+Ayarlar!$C$6-1),Görevler!$D7&gt;=Y$4),IF(Y$4&lt;=Görevler!$C7+ROUND(Görevler!$F7*Görevler!$E7,0)-1,2,1),""))</f>
        <v/>
      </c>
      <c r="Z7" s="22" t="str">
        <f aca="false">IF(Görevler!$F7="","",IF(AND(Görevler!$C7&lt;=(Z$4+Ayarlar!$C$6-1),Görevler!$D7&gt;=Z$4),IF(Z$4&lt;=Görevler!$C7+ROUND(Görevler!$F7*Görevler!$E7,0)-1,2,1),""))</f>
        <v/>
      </c>
      <c r="AA7" s="22" t="str">
        <f aca="false">IF(Görevler!$F7="","",IF(AND(Görevler!$C7&lt;=(AA$4+Ayarlar!$C$6-1),Görevler!$D7&gt;=AA$4),IF(AA$4&lt;=Görevler!$C7+ROUND(Görevler!$F7*Görevler!$E7,0)-1,2,1),""))</f>
        <v/>
      </c>
      <c r="AB7" s="22" t="str">
        <f aca="false">IF(Görevler!$F7="","",IF(AND(Görevler!$C7&lt;=(AB$4+Ayarlar!$C$6-1),Görevler!$D7&gt;=AB$4),IF(AB$4&lt;=Görevler!$C7+ROUND(Görevler!$F7*Görevler!$E7,0)-1,2,1),""))</f>
        <v/>
      </c>
      <c r="AC7" s="22" t="str">
        <f aca="false">IF(Görevler!$F7="","",IF(AND(Görevler!$C7&lt;=(AC$4+Ayarlar!$C$6-1),Görevler!$D7&gt;=AC$4),IF(AC$4&lt;=Görevler!$C7+ROUND(Görevler!$F7*Görevler!$E7,0)-1,2,1),""))</f>
        <v/>
      </c>
      <c r="AD7" s="22" t="str">
        <f aca="false">IF(Görevler!$F7="","",IF(AND(Görevler!$C7&lt;=(AD$4+Ayarlar!$C$6-1),Görevler!$D7&gt;=AD$4),IF(AD$4&lt;=Görevler!$C7+ROUND(Görevler!$F7*Görevler!$E7,0)-1,2,1),""))</f>
        <v/>
      </c>
      <c r="AE7" s="22" t="str">
        <f aca="false">IF(Görevler!$F7="","",IF(AND(Görevler!$C7&lt;=(AE$4+Ayarlar!$C$6-1),Görevler!$D7&gt;=AE$4),IF(AE$4&lt;=Görevler!$C7+ROUND(Görevler!$F7*Görevler!$E7,0)-1,2,1),""))</f>
        <v/>
      </c>
      <c r="AF7" s="22" t="str">
        <f aca="false">IF(Görevler!$F7="","",IF(AND(Görevler!$C7&lt;=(AF$4+Ayarlar!$C$6-1),Görevler!$D7&gt;=AF$4),IF(AF$4&lt;=Görevler!$C7+ROUND(Görevler!$F7*Görevler!$E7,0)-1,2,1),""))</f>
        <v/>
      </c>
      <c r="AG7" s="22" t="str">
        <f aca="false">IF(Görevler!$F7="","",IF(AND(Görevler!$C7&lt;=(AG$4+Ayarlar!$C$6-1),Görevler!$D7&gt;=AG$4),IF(AG$4&lt;=Görevler!$C7+ROUND(Görevler!$F7*Görevler!$E7,0)-1,2,1),""))</f>
        <v/>
      </c>
      <c r="AH7" s="22" t="str">
        <f aca="false">IF(Görevler!$F7="","",IF(AND(Görevler!$C7&lt;=(AH$4+Ayarlar!$C$6-1),Görevler!$D7&gt;=AH$4),IF(AH$4&lt;=Görevler!$C7+ROUND(Görevler!$F7*Görevler!$E7,0)-1,2,1),""))</f>
        <v/>
      </c>
      <c r="AI7" s="22" t="str">
        <f aca="false">IF(Görevler!$F7="","",IF(AND(Görevler!$C7&lt;=(AI$4+Ayarlar!$C$6-1),Görevler!$D7&gt;=AI$4),IF(AI$4&lt;=Görevler!$C7+ROUND(Görevler!$F7*Görevler!$E7,0)-1,2,1),""))</f>
        <v/>
      </c>
      <c r="AJ7" s="22" t="str">
        <f aca="false">IF(Görevler!$F7="","",IF(AND(Görevler!$C7&lt;=(AJ$4+Ayarlar!$C$6-1),Görevler!$D7&gt;=AJ$4),IF(AJ$4&lt;=Görevler!$C7+ROUND(Görevler!$F7*Görevler!$E7,0)-1,2,1),""))</f>
        <v/>
      </c>
      <c r="AK7" s="22" t="str">
        <f aca="false">IF(Görevler!$F7="","",IF(AND(Görevler!$C7&lt;=(AK$4+Ayarlar!$C$6-1),Görevler!$D7&gt;=AK$4),IF(AK$4&lt;=Görevler!$C7+ROUND(Görevler!$F7*Görevler!$E7,0)-1,2,1),""))</f>
        <v/>
      </c>
      <c r="AL7" s="22" t="str">
        <f aca="false">IF(Görevler!$F7="","",IF(AND(Görevler!$C7&lt;=(AL$4+Ayarlar!$C$6-1),Görevler!$D7&gt;=AL$4),IF(AL$4&lt;=Görevler!$C7+ROUND(Görevler!$F7*Görevler!$E7,0)-1,2,1),""))</f>
        <v/>
      </c>
      <c r="AM7" s="22" t="str">
        <f aca="false">IF(Görevler!$F7="","",IF(AND(Görevler!$C7&lt;=(AM$4+Ayarlar!$C$6-1),Görevler!$D7&gt;=AM$4),IF(AM$4&lt;=Görevler!$C7+ROUND(Görevler!$F7*Görevler!$E7,0)-1,2,1),""))</f>
        <v/>
      </c>
      <c r="AN7" s="22" t="str">
        <f aca="false">IF(Görevler!$F7="","",IF(AND(Görevler!$C7&lt;=(AN$4+Ayarlar!$C$6-1),Görevler!$D7&gt;=AN$4),IF(AN$4&lt;=Görevler!$C7+ROUND(Görevler!$F7*Görevler!$E7,0)-1,2,1),""))</f>
        <v/>
      </c>
      <c r="AO7" s="22" t="str">
        <f aca="false">IF(Görevler!$F7="","",IF(AND(Görevler!$C7&lt;=(AO$4+Ayarlar!$C$6-1),Görevler!$D7&gt;=AO$4),IF(AO$4&lt;=Görevler!$C7+ROUND(Görevler!$F7*Görevler!$E7,0)-1,2,1),""))</f>
        <v/>
      </c>
      <c r="AP7" s="22" t="str">
        <f aca="false">IF(Görevler!$F7="","",IF(AND(Görevler!$C7&lt;=(AP$4+Ayarlar!$C$6-1),Görevler!$D7&gt;=AP$4),IF(AP$4&lt;=Görevler!$C7+ROUND(Görevler!$F7*Görevler!$E7,0)-1,2,1),""))</f>
        <v/>
      </c>
      <c r="AQ7" s="22" t="str">
        <f aca="false">IF(Görevler!$F7="","",IF(AND(Görevler!$C7&lt;=(AQ$4+Ayarlar!$C$6-1),Görevler!$D7&gt;=AQ$4),IF(AQ$4&lt;=Görevler!$C7+ROUND(Görevler!$F7*Görevler!$E7,0)-1,2,1),""))</f>
        <v/>
      </c>
      <c r="AR7" s="22" t="str">
        <f aca="false">IF(Görevler!$F7="","",IF(AND(Görevler!$C7&lt;=(AR$4+Ayarlar!$C$6-1),Görevler!$D7&gt;=AR$4),IF(AR$4&lt;=Görevler!$C7+ROUND(Görevler!$F7*Görevler!$E7,0)-1,2,1),""))</f>
        <v/>
      </c>
      <c r="AS7" s="22" t="str">
        <f aca="false">IF(Görevler!$F7="","",IF(AND(Görevler!$C7&lt;=(AS$4+Ayarlar!$C$6-1),Görevler!$D7&gt;=AS$4),IF(AS$4&lt;=Görevler!$C7+ROUND(Görevler!$F7*Görevler!$E7,0)-1,2,1),""))</f>
        <v/>
      </c>
      <c r="AT7" s="22" t="str">
        <f aca="false">IF(Görevler!$F7="","",IF(AND(Görevler!$C7&lt;=(AT$4+Ayarlar!$C$6-1),Görevler!$D7&gt;=AT$4),IF(AT$4&lt;=Görevler!$C7+ROUND(Görevler!$F7*Görevler!$E7,0)-1,2,1),""))</f>
        <v/>
      </c>
      <c r="AU7" s="22" t="str">
        <f aca="false">IF(Görevler!$F7="","",IF(AND(Görevler!$C7&lt;=(AU$4+Ayarlar!$C$6-1),Görevler!$D7&gt;=AU$4),IF(AU$4&lt;=Görevler!$C7+ROUND(Görevler!$F7*Görevler!$E7,0)-1,2,1),""))</f>
        <v/>
      </c>
      <c r="AV7" s="22" t="str">
        <f aca="false">IF(Görevler!$F7="","",IF(AND(Görevler!$C7&lt;=(AV$4+Ayarlar!$C$6-1),Görevler!$D7&gt;=AV$4),IF(AV$4&lt;=Görevler!$C7+ROUND(Görevler!$F7*Görevler!$E7,0)-1,2,1),""))</f>
        <v/>
      </c>
      <c r="AW7" s="22" t="str">
        <f aca="false">IF(Görevler!$F7="","",IF(AND(Görevler!$C7&lt;=(AW$4+Ayarlar!$C$6-1),Görevler!$D7&gt;=AW$4),IF(AW$4&lt;=Görevler!$C7+ROUND(Görevler!$F7*Görevler!$E7,0)-1,2,1),""))</f>
        <v/>
      </c>
      <c r="AX7" s="22" t="str">
        <f aca="false">IF(Görevler!$F7="","",IF(AND(Görevler!$C7&lt;=(AX$4+Ayarlar!$C$6-1),Görevler!$D7&gt;=AX$4),IF(AX$4&lt;=Görevler!$C7+ROUND(Görevler!$F7*Görevler!$E7,0)-1,2,1),""))</f>
        <v/>
      </c>
      <c r="AY7" s="22" t="str">
        <f aca="false">IF(Görevler!$F7="","",IF(AND(Görevler!$C7&lt;=(AY$4+Ayarlar!$C$6-1),Görevler!$D7&gt;=AY$4),IF(AY$4&lt;=Görevler!$C7+ROUND(Görevler!$F7*Görevler!$E7,0)-1,2,1),""))</f>
        <v/>
      </c>
      <c r="AZ7" s="22" t="str">
        <f aca="false">IF(Görevler!$F7="","",IF(AND(Görevler!$C7&lt;=(AZ$4+Ayarlar!$C$6-1),Görevler!$D7&gt;=AZ$4),IF(AZ$4&lt;=Görevler!$C7+ROUND(Görevler!$F7*Görevler!$E7,0)-1,2,1),""))</f>
        <v/>
      </c>
      <c r="BA7" s="22" t="str">
        <f aca="false">IF(Görevler!$F7="","",IF(AND(Görevler!$C7&lt;=(BA$4+Ayarlar!$C$6-1),Görevler!$D7&gt;=BA$4),IF(BA$4&lt;=Görevler!$C7+ROUND(Görevler!$F7*Görevler!$E7,0)-1,2,1),""))</f>
        <v/>
      </c>
      <c r="BB7" s="22" t="str">
        <f aca="false">IF(Görevler!$F7="","",IF(AND(Görevler!$C7&lt;=(BB$4+Ayarlar!$C$6-1),Görevler!$D7&gt;=BB$4),IF(BB$4&lt;=Görevler!$C7+ROUND(Görevler!$F7*Görevler!$E7,0)-1,2,1),""))</f>
        <v/>
      </c>
      <c r="BC7" s="22" t="str">
        <f aca="false">IF(Görevler!$F7="","",IF(AND(Görevler!$C7&lt;=(BC$4+Ayarlar!$C$6-1),Görevler!$D7&gt;=BC$4),IF(BC$4&lt;=Görevler!$C7+ROUND(Görevler!$F7*Görevler!$E7,0)-1,2,1),""))</f>
        <v/>
      </c>
      <c r="BD7" s="22" t="str">
        <f aca="false">IF(Görevler!$F7="","",IF(AND(Görevler!$C7&lt;=(BD$4+Ayarlar!$C$6-1),Görevler!$D7&gt;=BD$4),IF(BD$4&lt;=Görevler!$C7+ROUND(Görevler!$F7*Görevler!$E7,0)-1,2,1),""))</f>
        <v/>
      </c>
      <c r="BE7" s="22" t="str">
        <f aca="false">IF(Görevler!$F7="","",IF(AND(Görevler!$C7&lt;=(BE$4+Ayarlar!$C$6-1),Görevler!$D7&gt;=BE$4),IF(BE$4&lt;=Görevler!$C7+ROUND(Görevler!$F7*Görevler!$E7,0)-1,2,1),""))</f>
        <v/>
      </c>
      <c r="BF7" s="22" t="str">
        <f aca="false">IF(Görevler!$F7="","",IF(AND(Görevler!$C7&lt;=(BF$4+Ayarlar!$C$6-1),Görevler!$D7&gt;=BF$4),IF(BF$4&lt;=Görevler!$C7+ROUND(Görevler!$F7*Görevler!$E7,0)-1,2,1),""))</f>
        <v/>
      </c>
      <c r="BG7" s="22" t="str">
        <f aca="false">IF(Görevler!$F7="","",IF(AND(Görevler!$C7&lt;=(BG$4+Ayarlar!$C$6-1),Görevler!$D7&gt;=BG$4),IF(BG$4&lt;=Görevler!$C7+ROUND(Görevler!$F7*Görevler!$E7,0)-1,2,1),""))</f>
        <v/>
      </c>
      <c r="BH7" s="22" t="str">
        <f aca="false">IF(Görevler!$F7="","",IF(AND(Görevler!$C7&lt;=(BH$4+Ayarlar!$C$6-1),Görevler!$D7&gt;=BH$4),IF(BH$4&lt;=Görevler!$C7+ROUND(Görevler!$F7*Görevler!$E7,0)-1,2,1),""))</f>
        <v/>
      </c>
      <c r="BI7" s="22" t="str">
        <f aca="false">IF(Görevler!$F7="","",IF(AND(Görevler!$C7&lt;=(BI$4+Ayarlar!$C$6-1),Görevler!$D7&gt;=BI$4),IF(BI$4&lt;=Görevler!$C7+ROUND(Görevler!$F7*Görevler!$E7,0)-1,2,1),""))</f>
        <v/>
      </c>
      <c r="BJ7" s="22" t="str">
        <f aca="false">IF(Görevler!$F7="","",IF(AND(Görevler!$C7&lt;=(BJ$4+Ayarlar!$C$6-1),Görevler!$D7&gt;=BJ$4),IF(BJ$4&lt;=Görevler!$C7+ROUND(Görevler!$F7*Görevler!$E7,0)-1,2,1),""))</f>
        <v/>
      </c>
    </row>
    <row r="8" customFormat="false" ht="15" hidden="false" customHeight="false" outlineLevel="0" collapsed="false">
      <c r="A8" s="21" t="str">
        <f aca="false">IF(Görevler!A8="","",Görevler!A8)</f>
        <v>Boya ve zemin</v>
      </c>
      <c r="B8" s="21" t="str">
        <f aca="false">IF(Görevler!A8="","",Görevler!B8&amp;"")</f>
        <v>Usta</v>
      </c>
      <c r="C8" s="22" t="str">
        <f aca="false">IF(Görevler!$F8="","",IF(AND(Görevler!$C8&lt;=(C$4+Ayarlar!$C$6-1),Görevler!$D8&gt;=C$4),IF(C$4&lt;=Görevler!$C8+ROUND(Görevler!$F8*Görevler!$E8,0)-1,2,1),""))</f>
        <v/>
      </c>
      <c r="D8" s="22" t="str">
        <f aca="false">IF(Görevler!$F8="","",IF(AND(Görevler!$C8&lt;=(D$4+Ayarlar!$C$6-1),Görevler!$D8&gt;=D$4),IF(D$4&lt;=Görevler!$C8+ROUND(Görevler!$F8*Görevler!$E8,0)-1,2,1),""))</f>
        <v/>
      </c>
      <c r="E8" s="22" t="n">
        <f aca="false">IF(Görevler!$F8="","",IF(AND(Görevler!$C8&lt;=(E$4+Ayarlar!$C$6-1),Görevler!$D8&gt;=E$4),IF(E$4&lt;=Görevler!$C8+ROUND(Görevler!$F8*Görevler!$E8,0)-1,2,1),""))</f>
        <v>1</v>
      </c>
      <c r="F8" s="22" t="n">
        <f aca="false">IF(Görevler!$F8="","",IF(AND(Görevler!$C8&lt;=(F$4+Ayarlar!$C$6-1),Görevler!$D8&gt;=F$4),IF(F$4&lt;=Görevler!$C8+ROUND(Görevler!$F8*Görevler!$E8,0)-1,2,1),""))</f>
        <v>1</v>
      </c>
      <c r="G8" s="22" t="str">
        <f aca="false">IF(Görevler!$F8="","",IF(AND(Görevler!$C8&lt;=(G$4+Ayarlar!$C$6-1),Görevler!$D8&gt;=G$4),IF(G$4&lt;=Görevler!$C8+ROUND(Görevler!$F8*Görevler!$E8,0)-1,2,1),""))</f>
        <v/>
      </c>
      <c r="H8" s="22" t="str">
        <f aca="false">IF(Görevler!$F8="","",IF(AND(Görevler!$C8&lt;=(H$4+Ayarlar!$C$6-1),Görevler!$D8&gt;=H$4),IF(H$4&lt;=Görevler!$C8+ROUND(Görevler!$F8*Görevler!$E8,0)-1,2,1),""))</f>
        <v/>
      </c>
      <c r="I8" s="22" t="str">
        <f aca="false">IF(Görevler!$F8="","",IF(AND(Görevler!$C8&lt;=(I$4+Ayarlar!$C$6-1),Görevler!$D8&gt;=I$4),IF(I$4&lt;=Görevler!$C8+ROUND(Görevler!$F8*Görevler!$E8,0)-1,2,1),""))</f>
        <v/>
      </c>
      <c r="J8" s="22" t="str">
        <f aca="false">IF(Görevler!$F8="","",IF(AND(Görevler!$C8&lt;=(J$4+Ayarlar!$C$6-1),Görevler!$D8&gt;=J$4),IF(J$4&lt;=Görevler!$C8+ROUND(Görevler!$F8*Görevler!$E8,0)-1,2,1),""))</f>
        <v/>
      </c>
      <c r="K8" s="22" t="str">
        <f aca="false">IF(Görevler!$F8="","",IF(AND(Görevler!$C8&lt;=(K$4+Ayarlar!$C$6-1),Görevler!$D8&gt;=K$4),IF(K$4&lt;=Görevler!$C8+ROUND(Görevler!$F8*Görevler!$E8,0)-1,2,1),""))</f>
        <v/>
      </c>
      <c r="L8" s="22" t="str">
        <f aca="false">IF(Görevler!$F8="","",IF(AND(Görevler!$C8&lt;=(L$4+Ayarlar!$C$6-1),Görevler!$D8&gt;=L$4),IF(L$4&lt;=Görevler!$C8+ROUND(Görevler!$F8*Görevler!$E8,0)-1,2,1),""))</f>
        <v/>
      </c>
      <c r="M8" s="22" t="str">
        <f aca="false">IF(Görevler!$F8="","",IF(AND(Görevler!$C8&lt;=(M$4+Ayarlar!$C$6-1),Görevler!$D8&gt;=M$4),IF(M$4&lt;=Görevler!$C8+ROUND(Görevler!$F8*Görevler!$E8,0)-1,2,1),""))</f>
        <v/>
      </c>
      <c r="N8" s="22" t="str">
        <f aca="false">IF(Görevler!$F8="","",IF(AND(Görevler!$C8&lt;=(N$4+Ayarlar!$C$6-1),Görevler!$D8&gt;=N$4),IF(N$4&lt;=Görevler!$C8+ROUND(Görevler!$F8*Görevler!$E8,0)-1,2,1),""))</f>
        <v/>
      </c>
      <c r="O8" s="22" t="str">
        <f aca="false">IF(Görevler!$F8="","",IF(AND(Görevler!$C8&lt;=(O$4+Ayarlar!$C$6-1),Görevler!$D8&gt;=O$4),IF(O$4&lt;=Görevler!$C8+ROUND(Görevler!$F8*Görevler!$E8,0)-1,2,1),""))</f>
        <v/>
      </c>
      <c r="P8" s="22" t="str">
        <f aca="false">IF(Görevler!$F8="","",IF(AND(Görevler!$C8&lt;=(P$4+Ayarlar!$C$6-1),Görevler!$D8&gt;=P$4),IF(P$4&lt;=Görevler!$C8+ROUND(Görevler!$F8*Görevler!$E8,0)-1,2,1),""))</f>
        <v/>
      </c>
      <c r="Q8" s="22" t="str">
        <f aca="false">IF(Görevler!$F8="","",IF(AND(Görevler!$C8&lt;=(Q$4+Ayarlar!$C$6-1),Görevler!$D8&gt;=Q$4),IF(Q$4&lt;=Görevler!$C8+ROUND(Görevler!$F8*Görevler!$E8,0)-1,2,1),""))</f>
        <v/>
      </c>
      <c r="R8" s="22" t="str">
        <f aca="false">IF(Görevler!$F8="","",IF(AND(Görevler!$C8&lt;=(R$4+Ayarlar!$C$6-1),Görevler!$D8&gt;=R$4),IF(R$4&lt;=Görevler!$C8+ROUND(Görevler!$F8*Görevler!$E8,0)-1,2,1),""))</f>
        <v/>
      </c>
      <c r="S8" s="22" t="str">
        <f aca="false">IF(Görevler!$F8="","",IF(AND(Görevler!$C8&lt;=(S$4+Ayarlar!$C$6-1),Görevler!$D8&gt;=S$4),IF(S$4&lt;=Görevler!$C8+ROUND(Görevler!$F8*Görevler!$E8,0)-1,2,1),""))</f>
        <v/>
      </c>
      <c r="T8" s="22" t="str">
        <f aca="false">IF(Görevler!$F8="","",IF(AND(Görevler!$C8&lt;=(T$4+Ayarlar!$C$6-1),Görevler!$D8&gt;=T$4),IF(T$4&lt;=Görevler!$C8+ROUND(Görevler!$F8*Görevler!$E8,0)-1,2,1),""))</f>
        <v/>
      </c>
      <c r="U8" s="22" t="str">
        <f aca="false">IF(Görevler!$F8="","",IF(AND(Görevler!$C8&lt;=(U$4+Ayarlar!$C$6-1),Görevler!$D8&gt;=U$4),IF(U$4&lt;=Görevler!$C8+ROUND(Görevler!$F8*Görevler!$E8,0)-1,2,1),""))</f>
        <v/>
      </c>
      <c r="V8" s="22" t="str">
        <f aca="false">IF(Görevler!$F8="","",IF(AND(Görevler!$C8&lt;=(V$4+Ayarlar!$C$6-1),Görevler!$D8&gt;=V$4),IF(V$4&lt;=Görevler!$C8+ROUND(Görevler!$F8*Görevler!$E8,0)-1,2,1),""))</f>
        <v/>
      </c>
      <c r="W8" s="22" t="str">
        <f aca="false">IF(Görevler!$F8="","",IF(AND(Görevler!$C8&lt;=(W$4+Ayarlar!$C$6-1),Görevler!$D8&gt;=W$4),IF(W$4&lt;=Görevler!$C8+ROUND(Görevler!$F8*Görevler!$E8,0)-1,2,1),""))</f>
        <v/>
      </c>
      <c r="X8" s="22" t="str">
        <f aca="false">IF(Görevler!$F8="","",IF(AND(Görevler!$C8&lt;=(X$4+Ayarlar!$C$6-1),Görevler!$D8&gt;=X$4),IF(X$4&lt;=Görevler!$C8+ROUND(Görevler!$F8*Görevler!$E8,0)-1,2,1),""))</f>
        <v/>
      </c>
      <c r="Y8" s="22" t="str">
        <f aca="false">IF(Görevler!$F8="","",IF(AND(Görevler!$C8&lt;=(Y$4+Ayarlar!$C$6-1),Görevler!$D8&gt;=Y$4),IF(Y$4&lt;=Görevler!$C8+ROUND(Görevler!$F8*Görevler!$E8,0)-1,2,1),""))</f>
        <v/>
      </c>
      <c r="Z8" s="22" t="str">
        <f aca="false">IF(Görevler!$F8="","",IF(AND(Görevler!$C8&lt;=(Z$4+Ayarlar!$C$6-1),Görevler!$D8&gt;=Z$4),IF(Z$4&lt;=Görevler!$C8+ROUND(Görevler!$F8*Görevler!$E8,0)-1,2,1),""))</f>
        <v/>
      </c>
      <c r="AA8" s="22" t="str">
        <f aca="false">IF(Görevler!$F8="","",IF(AND(Görevler!$C8&lt;=(AA$4+Ayarlar!$C$6-1),Görevler!$D8&gt;=AA$4),IF(AA$4&lt;=Görevler!$C8+ROUND(Görevler!$F8*Görevler!$E8,0)-1,2,1),""))</f>
        <v/>
      </c>
      <c r="AB8" s="22" t="str">
        <f aca="false">IF(Görevler!$F8="","",IF(AND(Görevler!$C8&lt;=(AB$4+Ayarlar!$C$6-1),Görevler!$D8&gt;=AB$4),IF(AB$4&lt;=Görevler!$C8+ROUND(Görevler!$F8*Görevler!$E8,0)-1,2,1),""))</f>
        <v/>
      </c>
      <c r="AC8" s="22" t="str">
        <f aca="false">IF(Görevler!$F8="","",IF(AND(Görevler!$C8&lt;=(AC$4+Ayarlar!$C$6-1),Görevler!$D8&gt;=AC$4),IF(AC$4&lt;=Görevler!$C8+ROUND(Görevler!$F8*Görevler!$E8,0)-1,2,1),""))</f>
        <v/>
      </c>
      <c r="AD8" s="22" t="str">
        <f aca="false">IF(Görevler!$F8="","",IF(AND(Görevler!$C8&lt;=(AD$4+Ayarlar!$C$6-1),Görevler!$D8&gt;=AD$4),IF(AD$4&lt;=Görevler!$C8+ROUND(Görevler!$F8*Görevler!$E8,0)-1,2,1),""))</f>
        <v/>
      </c>
      <c r="AE8" s="22" t="str">
        <f aca="false">IF(Görevler!$F8="","",IF(AND(Görevler!$C8&lt;=(AE$4+Ayarlar!$C$6-1),Görevler!$D8&gt;=AE$4),IF(AE$4&lt;=Görevler!$C8+ROUND(Görevler!$F8*Görevler!$E8,0)-1,2,1),""))</f>
        <v/>
      </c>
      <c r="AF8" s="22" t="str">
        <f aca="false">IF(Görevler!$F8="","",IF(AND(Görevler!$C8&lt;=(AF$4+Ayarlar!$C$6-1),Görevler!$D8&gt;=AF$4),IF(AF$4&lt;=Görevler!$C8+ROUND(Görevler!$F8*Görevler!$E8,0)-1,2,1),""))</f>
        <v/>
      </c>
      <c r="AG8" s="22" t="str">
        <f aca="false">IF(Görevler!$F8="","",IF(AND(Görevler!$C8&lt;=(AG$4+Ayarlar!$C$6-1),Görevler!$D8&gt;=AG$4),IF(AG$4&lt;=Görevler!$C8+ROUND(Görevler!$F8*Görevler!$E8,0)-1,2,1),""))</f>
        <v/>
      </c>
      <c r="AH8" s="22" t="str">
        <f aca="false">IF(Görevler!$F8="","",IF(AND(Görevler!$C8&lt;=(AH$4+Ayarlar!$C$6-1),Görevler!$D8&gt;=AH$4),IF(AH$4&lt;=Görevler!$C8+ROUND(Görevler!$F8*Görevler!$E8,0)-1,2,1),""))</f>
        <v/>
      </c>
      <c r="AI8" s="22" t="str">
        <f aca="false">IF(Görevler!$F8="","",IF(AND(Görevler!$C8&lt;=(AI$4+Ayarlar!$C$6-1),Görevler!$D8&gt;=AI$4),IF(AI$4&lt;=Görevler!$C8+ROUND(Görevler!$F8*Görevler!$E8,0)-1,2,1),""))</f>
        <v/>
      </c>
      <c r="AJ8" s="22" t="str">
        <f aca="false">IF(Görevler!$F8="","",IF(AND(Görevler!$C8&lt;=(AJ$4+Ayarlar!$C$6-1),Görevler!$D8&gt;=AJ$4),IF(AJ$4&lt;=Görevler!$C8+ROUND(Görevler!$F8*Görevler!$E8,0)-1,2,1),""))</f>
        <v/>
      </c>
      <c r="AK8" s="22" t="str">
        <f aca="false">IF(Görevler!$F8="","",IF(AND(Görevler!$C8&lt;=(AK$4+Ayarlar!$C$6-1),Görevler!$D8&gt;=AK$4),IF(AK$4&lt;=Görevler!$C8+ROUND(Görevler!$F8*Görevler!$E8,0)-1,2,1),""))</f>
        <v/>
      </c>
      <c r="AL8" s="22" t="str">
        <f aca="false">IF(Görevler!$F8="","",IF(AND(Görevler!$C8&lt;=(AL$4+Ayarlar!$C$6-1),Görevler!$D8&gt;=AL$4),IF(AL$4&lt;=Görevler!$C8+ROUND(Görevler!$F8*Görevler!$E8,0)-1,2,1),""))</f>
        <v/>
      </c>
      <c r="AM8" s="22" t="str">
        <f aca="false">IF(Görevler!$F8="","",IF(AND(Görevler!$C8&lt;=(AM$4+Ayarlar!$C$6-1),Görevler!$D8&gt;=AM$4),IF(AM$4&lt;=Görevler!$C8+ROUND(Görevler!$F8*Görevler!$E8,0)-1,2,1),""))</f>
        <v/>
      </c>
      <c r="AN8" s="22" t="str">
        <f aca="false">IF(Görevler!$F8="","",IF(AND(Görevler!$C8&lt;=(AN$4+Ayarlar!$C$6-1),Görevler!$D8&gt;=AN$4),IF(AN$4&lt;=Görevler!$C8+ROUND(Görevler!$F8*Görevler!$E8,0)-1,2,1),""))</f>
        <v/>
      </c>
      <c r="AO8" s="22" t="str">
        <f aca="false">IF(Görevler!$F8="","",IF(AND(Görevler!$C8&lt;=(AO$4+Ayarlar!$C$6-1),Görevler!$D8&gt;=AO$4),IF(AO$4&lt;=Görevler!$C8+ROUND(Görevler!$F8*Görevler!$E8,0)-1,2,1),""))</f>
        <v/>
      </c>
      <c r="AP8" s="22" t="str">
        <f aca="false">IF(Görevler!$F8="","",IF(AND(Görevler!$C8&lt;=(AP$4+Ayarlar!$C$6-1),Görevler!$D8&gt;=AP$4),IF(AP$4&lt;=Görevler!$C8+ROUND(Görevler!$F8*Görevler!$E8,0)-1,2,1),""))</f>
        <v/>
      </c>
      <c r="AQ8" s="22" t="str">
        <f aca="false">IF(Görevler!$F8="","",IF(AND(Görevler!$C8&lt;=(AQ$4+Ayarlar!$C$6-1),Görevler!$D8&gt;=AQ$4),IF(AQ$4&lt;=Görevler!$C8+ROUND(Görevler!$F8*Görevler!$E8,0)-1,2,1),""))</f>
        <v/>
      </c>
      <c r="AR8" s="22" t="str">
        <f aca="false">IF(Görevler!$F8="","",IF(AND(Görevler!$C8&lt;=(AR$4+Ayarlar!$C$6-1),Görevler!$D8&gt;=AR$4),IF(AR$4&lt;=Görevler!$C8+ROUND(Görevler!$F8*Görevler!$E8,0)-1,2,1),""))</f>
        <v/>
      </c>
      <c r="AS8" s="22" t="str">
        <f aca="false">IF(Görevler!$F8="","",IF(AND(Görevler!$C8&lt;=(AS$4+Ayarlar!$C$6-1),Görevler!$D8&gt;=AS$4),IF(AS$4&lt;=Görevler!$C8+ROUND(Görevler!$F8*Görevler!$E8,0)-1,2,1),""))</f>
        <v/>
      </c>
      <c r="AT8" s="22" t="str">
        <f aca="false">IF(Görevler!$F8="","",IF(AND(Görevler!$C8&lt;=(AT$4+Ayarlar!$C$6-1),Görevler!$D8&gt;=AT$4),IF(AT$4&lt;=Görevler!$C8+ROUND(Görevler!$F8*Görevler!$E8,0)-1,2,1),""))</f>
        <v/>
      </c>
      <c r="AU8" s="22" t="str">
        <f aca="false">IF(Görevler!$F8="","",IF(AND(Görevler!$C8&lt;=(AU$4+Ayarlar!$C$6-1),Görevler!$D8&gt;=AU$4),IF(AU$4&lt;=Görevler!$C8+ROUND(Görevler!$F8*Görevler!$E8,0)-1,2,1),""))</f>
        <v/>
      </c>
      <c r="AV8" s="22" t="str">
        <f aca="false">IF(Görevler!$F8="","",IF(AND(Görevler!$C8&lt;=(AV$4+Ayarlar!$C$6-1),Görevler!$D8&gt;=AV$4),IF(AV$4&lt;=Görevler!$C8+ROUND(Görevler!$F8*Görevler!$E8,0)-1,2,1),""))</f>
        <v/>
      </c>
      <c r="AW8" s="22" t="str">
        <f aca="false">IF(Görevler!$F8="","",IF(AND(Görevler!$C8&lt;=(AW$4+Ayarlar!$C$6-1),Görevler!$D8&gt;=AW$4),IF(AW$4&lt;=Görevler!$C8+ROUND(Görevler!$F8*Görevler!$E8,0)-1,2,1),""))</f>
        <v/>
      </c>
      <c r="AX8" s="22" t="str">
        <f aca="false">IF(Görevler!$F8="","",IF(AND(Görevler!$C8&lt;=(AX$4+Ayarlar!$C$6-1),Görevler!$D8&gt;=AX$4),IF(AX$4&lt;=Görevler!$C8+ROUND(Görevler!$F8*Görevler!$E8,0)-1,2,1),""))</f>
        <v/>
      </c>
      <c r="AY8" s="22" t="str">
        <f aca="false">IF(Görevler!$F8="","",IF(AND(Görevler!$C8&lt;=(AY$4+Ayarlar!$C$6-1),Görevler!$D8&gt;=AY$4),IF(AY$4&lt;=Görevler!$C8+ROUND(Görevler!$F8*Görevler!$E8,0)-1,2,1),""))</f>
        <v/>
      </c>
      <c r="AZ8" s="22" t="str">
        <f aca="false">IF(Görevler!$F8="","",IF(AND(Görevler!$C8&lt;=(AZ$4+Ayarlar!$C$6-1),Görevler!$D8&gt;=AZ$4),IF(AZ$4&lt;=Görevler!$C8+ROUND(Görevler!$F8*Görevler!$E8,0)-1,2,1),""))</f>
        <v/>
      </c>
      <c r="BA8" s="22" t="str">
        <f aca="false">IF(Görevler!$F8="","",IF(AND(Görevler!$C8&lt;=(BA$4+Ayarlar!$C$6-1),Görevler!$D8&gt;=BA$4),IF(BA$4&lt;=Görevler!$C8+ROUND(Görevler!$F8*Görevler!$E8,0)-1,2,1),""))</f>
        <v/>
      </c>
      <c r="BB8" s="22" t="str">
        <f aca="false">IF(Görevler!$F8="","",IF(AND(Görevler!$C8&lt;=(BB$4+Ayarlar!$C$6-1),Görevler!$D8&gt;=BB$4),IF(BB$4&lt;=Görevler!$C8+ROUND(Görevler!$F8*Görevler!$E8,0)-1,2,1),""))</f>
        <v/>
      </c>
      <c r="BC8" s="22" t="str">
        <f aca="false">IF(Görevler!$F8="","",IF(AND(Görevler!$C8&lt;=(BC$4+Ayarlar!$C$6-1),Görevler!$D8&gt;=BC$4),IF(BC$4&lt;=Görevler!$C8+ROUND(Görevler!$F8*Görevler!$E8,0)-1,2,1),""))</f>
        <v/>
      </c>
      <c r="BD8" s="22" t="str">
        <f aca="false">IF(Görevler!$F8="","",IF(AND(Görevler!$C8&lt;=(BD$4+Ayarlar!$C$6-1),Görevler!$D8&gt;=BD$4),IF(BD$4&lt;=Görevler!$C8+ROUND(Görevler!$F8*Görevler!$E8,0)-1,2,1),""))</f>
        <v/>
      </c>
      <c r="BE8" s="22" t="str">
        <f aca="false">IF(Görevler!$F8="","",IF(AND(Görevler!$C8&lt;=(BE$4+Ayarlar!$C$6-1),Görevler!$D8&gt;=BE$4),IF(BE$4&lt;=Görevler!$C8+ROUND(Görevler!$F8*Görevler!$E8,0)-1,2,1),""))</f>
        <v/>
      </c>
      <c r="BF8" s="22" t="str">
        <f aca="false">IF(Görevler!$F8="","",IF(AND(Görevler!$C8&lt;=(BF$4+Ayarlar!$C$6-1),Görevler!$D8&gt;=BF$4),IF(BF$4&lt;=Görevler!$C8+ROUND(Görevler!$F8*Görevler!$E8,0)-1,2,1),""))</f>
        <v/>
      </c>
      <c r="BG8" s="22" t="str">
        <f aca="false">IF(Görevler!$F8="","",IF(AND(Görevler!$C8&lt;=(BG$4+Ayarlar!$C$6-1),Görevler!$D8&gt;=BG$4),IF(BG$4&lt;=Görevler!$C8+ROUND(Görevler!$F8*Görevler!$E8,0)-1,2,1),""))</f>
        <v/>
      </c>
      <c r="BH8" s="22" t="str">
        <f aca="false">IF(Görevler!$F8="","",IF(AND(Görevler!$C8&lt;=(BH$4+Ayarlar!$C$6-1),Görevler!$D8&gt;=BH$4),IF(BH$4&lt;=Görevler!$C8+ROUND(Görevler!$F8*Görevler!$E8,0)-1,2,1),""))</f>
        <v/>
      </c>
      <c r="BI8" s="22" t="str">
        <f aca="false">IF(Görevler!$F8="","",IF(AND(Görevler!$C8&lt;=(BI$4+Ayarlar!$C$6-1),Görevler!$D8&gt;=BI$4),IF(BI$4&lt;=Görevler!$C8+ROUND(Görevler!$F8*Görevler!$E8,0)-1,2,1),""))</f>
        <v/>
      </c>
      <c r="BJ8" s="22" t="str">
        <f aca="false">IF(Görevler!$F8="","",IF(AND(Görevler!$C8&lt;=(BJ$4+Ayarlar!$C$6-1),Görevler!$D8&gt;=BJ$4),IF(BJ$4&lt;=Görevler!$C8+ROUND(Görevler!$F8*Görevler!$E8,0)-1,2,1),""))</f>
        <v/>
      </c>
    </row>
    <row r="9" customFormat="false" ht="15" hidden="false" customHeight="false" outlineLevel="0" collapsed="false">
      <c r="A9" s="21" t="str">
        <f aca="false">IF(Görevler!A9="","",Görevler!A9)</f>
        <v>Tabela tasarımı</v>
      </c>
      <c r="B9" s="21" t="str">
        <f aca="false">IF(Görevler!A9="","",Görevler!B9&amp;"")</f>
        <v>Tasarımcı</v>
      </c>
      <c r="C9" s="22" t="n">
        <f aca="false">IF(Görevler!$F9="","",IF(AND(Görevler!$C9&lt;=(C$4+Ayarlar!$C$6-1),Görevler!$D9&gt;=C$4),IF(C$4&lt;=Görevler!$C9+ROUND(Görevler!$F9*Görevler!$E9,0)-1,2,1),""))</f>
        <v>2</v>
      </c>
      <c r="D9" s="22" t="n">
        <f aca="false">IF(Görevler!$F9="","",IF(AND(Görevler!$C9&lt;=(D$4+Ayarlar!$C$6-1),Görevler!$D9&gt;=D$4),IF(D$4&lt;=Görevler!$C9+ROUND(Görevler!$F9*Görevler!$E9,0)-1,2,1),""))</f>
        <v>2</v>
      </c>
      <c r="E9" s="22" t="n">
        <f aca="false">IF(Görevler!$F9="","",IF(AND(Görevler!$C9&lt;=(E$4+Ayarlar!$C$6-1),Görevler!$D9&gt;=E$4),IF(E$4&lt;=Görevler!$C9+ROUND(Görevler!$F9*Görevler!$E9,0)-1,2,1),""))</f>
        <v>1</v>
      </c>
      <c r="F9" s="22" t="n">
        <f aca="false">IF(Görevler!$F9="","",IF(AND(Görevler!$C9&lt;=(F$4+Ayarlar!$C$6-1),Görevler!$D9&gt;=F$4),IF(F$4&lt;=Görevler!$C9+ROUND(Görevler!$F9*Görevler!$E9,0)-1,2,1),""))</f>
        <v>1</v>
      </c>
      <c r="G9" s="22" t="str">
        <f aca="false">IF(Görevler!$F9="","",IF(AND(Görevler!$C9&lt;=(G$4+Ayarlar!$C$6-1),Görevler!$D9&gt;=G$4),IF(G$4&lt;=Görevler!$C9+ROUND(Görevler!$F9*Görevler!$E9,0)-1,2,1),""))</f>
        <v/>
      </c>
      <c r="H9" s="22" t="str">
        <f aca="false">IF(Görevler!$F9="","",IF(AND(Görevler!$C9&lt;=(H$4+Ayarlar!$C$6-1),Görevler!$D9&gt;=H$4),IF(H$4&lt;=Görevler!$C9+ROUND(Görevler!$F9*Görevler!$E9,0)-1,2,1),""))</f>
        <v/>
      </c>
      <c r="I9" s="22" t="str">
        <f aca="false">IF(Görevler!$F9="","",IF(AND(Görevler!$C9&lt;=(I$4+Ayarlar!$C$6-1),Görevler!$D9&gt;=I$4),IF(I$4&lt;=Görevler!$C9+ROUND(Görevler!$F9*Görevler!$E9,0)-1,2,1),""))</f>
        <v/>
      </c>
      <c r="J9" s="22" t="str">
        <f aca="false">IF(Görevler!$F9="","",IF(AND(Görevler!$C9&lt;=(J$4+Ayarlar!$C$6-1),Görevler!$D9&gt;=J$4),IF(J$4&lt;=Görevler!$C9+ROUND(Görevler!$F9*Görevler!$E9,0)-1,2,1),""))</f>
        <v/>
      </c>
      <c r="K9" s="22" t="str">
        <f aca="false">IF(Görevler!$F9="","",IF(AND(Görevler!$C9&lt;=(K$4+Ayarlar!$C$6-1),Görevler!$D9&gt;=K$4),IF(K$4&lt;=Görevler!$C9+ROUND(Görevler!$F9*Görevler!$E9,0)-1,2,1),""))</f>
        <v/>
      </c>
      <c r="L9" s="22" t="str">
        <f aca="false">IF(Görevler!$F9="","",IF(AND(Görevler!$C9&lt;=(L$4+Ayarlar!$C$6-1),Görevler!$D9&gt;=L$4),IF(L$4&lt;=Görevler!$C9+ROUND(Görevler!$F9*Görevler!$E9,0)-1,2,1),""))</f>
        <v/>
      </c>
      <c r="M9" s="22" t="str">
        <f aca="false">IF(Görevler!$F9="","",IF(AND(Görevler!$C9&lt;=(M$4+Ayarlar!$C$6-1),Görevler!$D9&gt;=M$4),IF(M$4&lt;=Görevler!$C9+ROUND(Görevler!$F9*Görevler!$E9,0)-1,2,1),""))</f>
        <v/>
      </c>
      <c r="N9" s="22" t="str">
        <f aca="false">IF(Görevler!$F9="","",IF(AND(Görevler!$C9&lt;=(N$4+Ayarlar!$C$6-1),Görevler!$D9&gt;=N$4),IF(N$4&lt;=Görevler!$C9+ROUND(Görevler!$F9*Görevler!$E9,0)-1,2,1),""))</f>
        <v/>
      </c>
      <c r="O9" s="22" t="str">
        <f aca="false">IF(Görevler!$F9="","",IF(AND(Görevler!$C9&lt;=(O$4+Ayarlar!$C$6-1),Görevler!$D9&gt;=O$4),IF(O$4&lt;=Görevler!$C9+ROUND(Görevler!$F9*Görevler!$E9,0)-1,2,1),""))</f>
        <v/>
      </c>
      <c r="P9" s="22" t="str">
        <f aca="false">IF(Görevler!$F9="","",IF(AND(Görevler!$C9&lt;=(P$4+Ayarlar!$C$6-1),Görevler!$D9&gt;=P$4),IF(P$4&lt;=Görevler!$C9+ROUND(Görevler!$F9*Görevler!$E9,0)-1,2,1),""))</f>
        <v/>
      </c>
      <c r="Q9" s="22" t="str">
        <f aca="false">IF(Görevler!$F9="","",IF(AND(Görevler!$C9&lt;=(Q$4+Ayarlar!$C$6-1),Görevler!$D9&gt;=Q$4),IF(Q$4&lt;=Görevler!$C9+ROUND(Görevler!$F9*Görevler!$E9,0)-1,2,1),""))</f>
        <v/>
      </c>
      <c r="R9" s="22" t="str">
        <f aca="false">IF(Görevler!$F9="","",IF(AND(Görevler!$C9&lt;=(R$4+Ayarlar!$C$6-1),Görevler!$D9&gt;=R$4),IF(R$4&lt;=Görevler!$C9+ROUND(Görevler!$F9*Görevler!$E9,0)-1,2,1),""))</f>
        <v/>
      </c>
      <c r="S9" s="22" t="str">
        <f aca="false">IF(Görevler!$F9="","",IF(AND(Görevler!$C9&lt;=(S$4+Ayarlar!$C$6-1),Görevler!$D9&gt;=S$4),IF(S$4&lt;=Görevler!$C9+ROUND(Görevler!$F9*Görevler!$E9,0)-1,2,1),""))</f>
        <v/>
      </c>
      <c r="T9" s="22" t="str">
        <f aca="false">IF(Görevler!$F9="","",IF(AND(Görevler!$C9&lt;=(T$4+Ayarlar!$C$6-1),Görevler!$D9&gt;=T$4),IF(T$4&lt;=Görevler!$C9+ROUND(Görevler!$F9*Görevler!$E9,0)-1,2,1),""))</f>
        <v/>
      </c>
      <c r="U9" s="22" t="str">
        <f aca="false">IF(Görevler!$F9="","",IF(AND(Görevler!$C9&lt;=(U$4+Ayarlar!$C$6-1),Görevler!$D9&gt;=U$4),IF(U$4&lt;=Görevler!$C9+ROUND(Görevler!$F9*Görevler!$E9,0)-1,2,1),""))</f>
        <v/>
      </c>
      <c r="V9" s="22" t="str">
        <f aca="false">IF(Görevler!$F9="","",IF(AND(Görevler!$C9&lt;=(V$4+Ayarlar!$C$6-1),Görevler!$D9&gt;=V$4),IF(V$4&lt;=Görevler!$C9+ROUND(Görevler!$F9*Görevler!$E9,0)-1,2,1),""))</f>
        <v/>
      </c>
      <c r="W9" s="22" t="str">
        <f aca="false">IF(Görevler!$F9="","",IF(AND(Görevler!$C9&lt;=(W$4+Ayarlar!$C$6-1),Görevler!$D9&gt;=W$4),IF(W$4&lt;=Görevler!$C9+ROUND(Görevler!$F9*Görevler!$E9,0)-1,2,1),""))</f>
        <v/>
      </c>
      <c r="X9" s="22" t="str">
        <f aca="false">IF(Görevler!$F9="","",IF(AND(Görevler!$C9&lt;=(X$4+Ayarlar!$C$6-1),Görevler!$D9&gt;=X$4),IF(X$4&lt;=Görevler!$C9+ROUND(Görevler!$F9*Görevler!$E9,0)-1,2,1),""))</f>
        <v/>
      </c>
      <c r="Y9" s="22" t="str">
        <f aca="false">IF(Görevler!$F9="","",IF(AND(Görevler!$C9&lt;=(Y$4+Ayarlar!$C$6-1),Görevler!$D9&gt;=Y$4),IF(Y$4&lt;=Görevler!$C9+ROUND(Görevler!$F9*Görevler!$E9,0)-1,2,1),""))</f>
        <v/>
      </c>
      <c r="Z9" s="22" t="str">
        <f aca="false">IF(Görevler!$F9="","",IF(AND(Görevler!$C9&lt;=(Z$4+Ayarlar!$C$6-1),Görevler!$D9&gt;=Z$4),IF(Z$4&lt;=Görevler!$C9+ROUND(Görevler!$F9*Görevler!$E9,0)-1,2,1),""))</f>
        <v/>
      </c>
      <c r="AA9" s="22" t="str">
        <f aca="false">IF(Görevler!$F9="","",IF(AND(Görevler!$C9&lt;=(AA$4+Ayarlar!$C$6-1),Görevler!$D9&gt;=AA$4),IF(AA$4&lt;=Görevler!$C9+ROUND(Görevler!$F9*Görevler!$E9,0)-1,2,1),""))</f>
        <v/>
      </c>
      <c r="AB9" s="22" t="str">
        <f aca="false">IF(Görevler!$F9="","",IF(AND(Görevler!$C9&lt;=(AB$4+Ayarlar!$C$6-1),Görevler!$D9&gt;=AB$4),IF(AB$4&lt;=Görevler!$C9+ROUND(Görevler!$F9*Görevler!$E9,0)-1,2,1),""))</f>
        <v/>
      </c>
      <c r="AC9" s="22" t="str">
        <f aca="false">IF(Görevler!$F9="","",IF(AND(Görevler!$C9&lt;=(AC$4+Ayarlar!$C$6-1),Görevler!$D9&gt;=AC$4),IF(AC$4&lt;=Görevler!$C9+ROUND(Görevler!$F9*Görevler!$E9,0)-1,2,1),""))</f>
        <v/>
      </c>
      <c r="AD9" s="22" t="str">
        <f aca="false">IF(Görevler!$F9="","",IF(AND(Görevler!$C9&lt;=(AD$4+Ayarlar!$C$6-1),Görevler!$D9&gt;=AD$4),IF(AD$4&lt;=Görevler!$C9+ROUND(Görevler!$F9*Görevler!$E9,0)-1,2,1),""))</f>
        <v/>
      </c>
      <c r="AE9" s="22" t="str">
        <f aca="false">IF(Görevler!$F9="","",IF(AND(Görevler!$C9&lt;=(AE$4+Ayarlar!$C$6-1),Görevler!$D9&gt;=AE$4),IF(AE$4&lt;=Görevler!$C9+ROUND(Görevler!$F9*Görevler!$E9,0)-1,2,1),""))</f>
        <v/>
      </c>
      <c r="AF9" s="22" t="str">
        <f aca="false">IF(Görevler!$F9="","",IF(AND(Görevler!$C9&lt;=(AF$4+Ayarlar!$C$6-1),Görevler!$D9&gt;=AF$4),IF(AF$4&lt;=Görevler!$C9+ROUND(Görevler!$F9*Görevler!$E9,0)-1,2,1),""))</f>
        <v/>
      </c>
      <c r="AG9" s="22" t="str">
        <f aca="false">IF(Görevler!$F9="","",IF(AND(Görevler!$C9&lt;=(AG$4+Ayarlar!$C$6-1),Görevler!$D9&gt;=AG$4),IF(AG$4&lt;=Görevler!$C9+ROUND(Görevler!$F9*Görevler!$E9,0)-1,2,1),""))</f>
        <v/>
      </c>
      <c r="AH9" s="22" t="str">
        <f aca="false">IF(Görevler!$F9="","",IF(AND(Görevler!$C9&lt;=(AH$4+Ayarlar!$C$6-1),Görevler!$D9&gt;=AH$4),IF(AH$4&lt;=Görevler!$C9+ROUND(Görevler!$F9*Görevler!$E9,0)-1,2,1),""))</f>
        <v/>
      </c>
      <c r="AI9" s="22" t="str">
        <f aca="false">IF(Görevler!$F9="","",IF(AND(Görevler!$C9&lt;=(AI$4+Ayarlar!$C$6-1),Görevler!$D9&gt;=AI$4),IF(AI$4&lt;=Görevler!$C9+ROUND(Görevler!$F9*Görevler!$E9,0)-1,2,1),""))</f>
        <v/>
      </c>
      <c r="AJ9" s="22" t="str">
        <f aca="false">IF(Görevler!$F9="","",IF(AND(Görevler!$C9&lt;=(AJ$4+Ayarlar!$C$6-1),Görevler!$D9&gt;=AJ$4),IF(AJ$4&lt;=Görevler!$C9+ROUND(Görevler!$F9*Görevler!$E9,0)-1,2,1),""))</f>
        <v/>
      </c>
      <c r="AK9" s="22" t="str">
        <f aca="false">IF(Görevler!$F9="","",IF(AND(Görevler!$C9&lt;=(AK$4+Ayarlar!$C$6-1),Görevler!$D9&gt;=AK$4),IF(AK$4&lt;=Görevler!$C9+ROUND(Görevler!$F9*Görevler!$E9,0)-1,2,1),""))</f>
        <v/>
      </c>
      <c r="AL9" s="22" t="str">
        <f aca="false">IF(Görevler!$F9="","",IF(AND(Görevler!$C9&lt;=(AL$4+Ayarlar!$C$6-1),Görevler!$D9&gt;=AL$4),IF(AL$4&lt;=Görevler!$C9+ROUND(Görevler!$F9*Görevler!$E9,0)-1,2,1),""))</f>
        <v/>
      </c>
      <c r="AM9" s="22" t="str">
        <f aca="false">IF(Görevler!$F9="","",IF(AND(Görevler!$C9&lt;=(AM$4+Ayarlar!$C$6-1),Görevler!$D9&gt;=AM$4),IF(AM$4&lt;=Görevler!$C9+ROUND(Görevler!$F9*Görevler!$E9,0)-1,2,1),""))</f>
        <v/>
      </c>
      <c r="AN9" s="22" t="str">
        <f aca="false">IF(Görevler!$F9="","",IF(AND(Görevler!$C9&lt;=(AN$4+Ayarlar!$C$6-1),Görevler!$D9&gt;=AN$4),IF(AN$4&lt;=Görevler!$C9+ROUND(Görevler!$F9*Görevler!$E9,0)-1,2,1),""))</f>
        <v/>
      </c>
      <c r="AO9" s="22" t="str">
        <f aca="false">IF(Görevler!$F9="","",IF(AND(Görevler!$C9&lt;=(AO$4+Ayarlar!$C$6-1),Görevler!$D9&gt;=AO$4),IF(AO$4&lt;=Görevler!$C9+ROUND(Görevler!$F9*Görevler!$E9,0)-1,2,1),""))</f>
        <v/>
      </c>
      <c r="AP9" s="22" t="str">
        <f aca="false">IF(Görevler!$F9="","",IF(AND(Görevler!$C9&lt;=(AP$4+Ayarlar!$C$6-1),Görevler!$D9&gt;=AP$4),IF(AP$4&lt;=Görevler!$C9+ROUND(Görevler!$F9*Görevler!$E9,0)-1,2,1),""))</f>
        <v/>
      </c>
      <c r="AQ9" s="22" t="str">
        <f aca="false">IF(Görevler!$F9="","",IF(AND(Görevler!$C9&lt;=(AQ$4+Ayarlar!$C$6-1),Görevler!$D9&gt;=AQ$4),IF(AQ$4&lt;=Görevler!$C9+ROUND(Görevler!$F9*Görevler!$E9,0)-1,2,1),""))</f>
        <v/>
      </c>
      <c r="AR9" s="22" t="str">
        <f aca="false">IF(Görevler!$F9="","",IF(AND(Görevler!$C9&lt;=(AR$4+Ayarlar!$C$6-1),Görevler!$D9&gt;=AR$4),IF(AR$4&lt;=Görevler!$C9+ROUND(Görevler!$F9*Görevler!$E9,0)-1,2,1),""))</f>
        <v/>
      </c>
      <c r="AS9" s="22" t="str">
        <f aca="false">IF(Görevler!$F9="","",IF(AND(Görevler!$C9&lt;=(AS$4+Ayarlar!$C$6-1),Görevler!$D9&gt;=AS$4),IF(AS$4&lt;=Görevler!$C9+ROUND(Görevler!$F9*Görevler!$E9,0)-1,2,1),""))</f>
        <v/>
      </c>
      <c r="AT9" s="22" t="str">
        <f aca="false">IF(Görevler!$F9="","",IF(AND(Görevler!$C9&lt;=(AT$4+Ayarlar!$C$6-1),Görevler!$D9&gt;=AT$4),IF(AT$4&lt;=Görevler!$C9+ROUND(Görevler!$F9*Görevler!$E9,0)-1,2,1),""))</f>
        <v/>
      </c>
      <c r="AU9" s="22" t="str">
        <f aca="false">IF(Görevler!$F9="","",IF(AND(Görevler!$C9&lt;=(AU$4+Ayarlar!$C$6-1),Görevler!$D9&gt;=AU$4),IF(AU$4&lt;=Görevler!$C9+ROUND(Görevler!$F9*Görevler!$E9,0)-1,2,1),""))</f>
        <v/>
      </c>
      <c r="AV9" s="22" t="str">
        <f aca="false">IF(Görevler!$F9="","",IF(AND(Görevler!$C9&lt;=(AV$4+Ayarlar!$C$6-1),Görevler!$D9&gt;=AV$4),IF(AV$4&lt;=Görevler!$C9+ROUND(Görevler!$F9*Görevler!$E9,0)-1,2,1),""))</f>
        <v/>
      </c>
      <c r="AW9" s="22" t="str">
        <f aca="false">IF(Görevler!$F9="","",IF(AND(Görevler!$C9&lt;=(AW$4+Ayarlar!$C$6-1),Görevler!$D9&gt;=AW$4),IF(AW$4&lt;=Görevler!$C9+ROUND(Görevler!$F9*Görevler!$E9,0)-1,2,1),""))</f>
        <v/>
      </c>
      <c r="AX9" s="22" t="str">
        <f aca="false">IF(Görevler!$F9="","",IF(AND(Görevler!$C9&lt;=(AX$4+Ayarlar!$C$6-1),Görevler!$D9&gt;=AX$4),IF(AX$4&lt;=Görevler!$C9+ROUND(Görevler!$F9*Görevler!$E9,0)-1,2,1),""))</f>
        <v/>
      </c>
      <c r="AY9" s="22" t="str">
        <f aca="false">IF(Görevler!$F9="","",IF(AND(Görevler!$C9&lt;=(AY$4+Ayarlar!$C$6-1),Görevler!$D9&gt;=AY$4),IF(AY$4&lt;=Görevler!$C9+ROUND(Görevler!$F9*Görevler!$E9,0)-1,2,1),""))</f>
        <v/>
      </c>
      <c r="AZ9" s="22" t="str">
        <f aca="false">IF(Görevler!$F9="","",IF(AND(Görevler!$C9&lt;=(AZ$4+Ayarlar!$C$6-1),Görevler!$D9&gt;=AZ$4),IF(AZ$4&lt;=Görevler!$C9+ROUND(Görevler!$F9*Görevler!$E9,0)-1,2,1),""))</f>
        <v/>
      </c>
      <c r="BA9" s="22" t="str">
        <f aca="false">IF(Görevler!$F9="","",IF(AND(Görevler!$C9&lt;=(BA$4+Ayarlar!$C$6-1),Görevler!$D9&gt;=BA$4),IF(BA$4&lt;=Görevler!$C9+ROUND(Görevler!$F9*Görevler!$E9,0)-1,2,1),""))</f>
        <v/>
      </c>
      <c r="BB9" s="22" t="str">
        <f aca="false">IF(Görevler!$F9="","",IF(AND(Görevler!$C9&lt;=(BB$4+Ayarlar!$C$6-1),Görevler!$D9&gt;=BB$4),IF(BB$4&lt;=Görevler!$C9+ROUND(Görevler!$F9*Görevler!$E9,0)-1,2,1),""))</f>
        <v/>
      </c>
      <c r="BC9" s="22" t="str">
        <f aca="false">IF(Görevler!$F9="","",IF(AND(Görevler!$C9&lt;=(BC$4+Ayarlar!$C$6-1),Görevler!$D9&gt;=BC$4),IF(BC$4&lt;=Görevler!$C9+ROUND(Görevler!$F9*Görevler!$E9,0)-1,2,1),""))</f>
        <v/>
      </c>
      <c r="BD9" s="22" t="str">
        <f aca="false">IF(Görevler!$F9="","",IF(AND(Görevler!$C9&lt;=(BD$4+Ayarlar!$C$6-1),Görevler!$D9&gt;=BD$4),IF(BD$4&lt;=Görevler!$C9+ROUND(Görevler!$F9*Görevler!$E9,0)-1,2,1),""))</f>
        <v/>
      </c>
      <c r="BE9" s="22" t="str">
        <f aca="false">IF(Görevler!$F9="","",IF(AND(Görevler!$C9&lt;=(BE$4+Ayarlar!$C$6-1),Görevler!$D9&gt;=BE$4),IF(BE$4&lt;=Görevler!$C9+ROUND(Görevler!$F9*Görevler!$E9,0)-1,2,1),""))</f>
        <v/>
      </c>
      <c r="BF9" s="22" t="str">
        <f aca="false">IF(Görevler!$F9="","",IF(AND(Görevler!$C9&lt;=(BF$4+Ayarlar!$C$6-1),Görevler!$D9&gt;=BF$4),IF(BF$4&lt;=Görevler!$C9+ROUND(Görevler!$F9*Görevler!$E9,0)-1,2,1),""))</f>
        <v/>
      </c>
      <c r="BG9" s="22" t="str">
        <f aca="false">IF(Görevler!$F9="","",IF(AND(Görevler!$C9&lt;=(BG$4+Ayarlar!$C$6-1),Görevler!$D9&gt;=BG$4),IF(BG$4&lt;=Görevler!$C9+ROUND(Görevler!$F9*Görevler!$E9,0)-1,2,1),""))</f>
        <v/>
      </c>
      <c r="BH9" s="22" t="str">
        <f aca="false">IF(Görevler!$F9="","",IF(AND(Görevler!$C9&lt;=(BH$4+Ayarlar!$C$6-1),Görevler!$D9&gt;=BH$4),IF(BH$4&lt;=Görevler!$C9+ROUND(Görevler!$F9*Görevler!$E9,0)-1,2,1),""))</f>
        <v/>
      </c>
      <c r="BI9" s="22" t="str">
        <f aca="false">IF(Görevler!$F9="","",IF(AND(Görevler!$C9&lt;=(BI$4+Ayarlar!$C$6-1),Görevler!$D9&gt;=BI$4),IF(BI$4&lt;=Görevler!$C9+ROUND(Görevler!$F9*Görevler!$E9,0)-1,2,1),""))</f>
        <v/>
      </c>
      <c r="BJ9" s="22" t="str">
        <f aca="false">IF(Görevler!$F9="","",IF(AND(Görevler!$C9&lt;=(BJ$4+Ayarlar!$C$6-1),Görevler!$D9&gt;=BJ$4),IF(BJ$4&lt;=Görevler!$C9+ROUND(Görevler!$F9*Görevler!$E9,0)-1,2,1),""))</f>
        <v/>
      </c>
    </row>
    <row r="10" customFormat="false" ht="15" hidden="false" customHeight="false" outlineLevel="0" collapsed="false">
      <c r="A10" s="21" t="str">
        <f aca="false">IF(Görevler!A10="","",Görevler!A10)</f>
        <v>Raf montajı</v>
      </c>
      <c r="B10" s="21" t="str">
        <f aca="false">IF(Görevler!A10="","",Görevler!B10&amp;"")</f>
        <v>Usta</v>
      </c>
      <c r="C10" s="22" t="str">
        <f aca="false">IF(Görevler!$F10="","",IF(AND(Görevler!$C10&lt;=(C$4+Ayarlar!$C$6-1),Görevler!$D10&gt;=C$4),IF(C$4&lt;=Görevler!$C10+ROUND(Görevler!$F10*Görevler!$E10,0)-1,2,1),""))</f>
        <v/>
      </c>
      <c r="D10" s="22" t="str">
        <f aca="false">IF(Görevler!$F10="","",IF(AND(Görevler!$C10&lt;=(D$4+Ayarlar!$C$6-1),Görevler!$D10&gt;=D$4),IF(D$4&lt;=Görevler!$C10+ROUND(Görevler!$F10*Görevler!$E10,0)-1,2,1),""))</f>
        <v/>
      </c>
      <c r="E10" s="22" t="str">
        <f aca="false">IF(Görevler!$F10="","",IF(AND(Görevler!$C10&lt;=(E$4+Ayarlar!$C$6-1),Görevler!$D10&gt;=E$4),IF(E$4&lt;=Görevler!$C10+ROUND(Görevler!$F10*Görevler!$E10,0)-1,2,1),""))</f>
        <v/>
      </c>
      <c r="F10" s="22" t="str">
        <f aca="false">IF(Görevler!$F10="","",IF(AND(Görevler!$C10&lt;=(F$4+Ayarlar!$C$6-1),Görevler!$D10&gt;=F$4),IF(F$4&lt;=Görevler!$C10+ROUND(Görevler!$F10*Görevler!$E10,0)-1,2,1),""))</f>
        <v/>
      </c>
      <c r="G10" s="22" t="n">
        <f aca="false">IF(Görevler!$F10="","",IF(AND(Görevler!$C10&lt;=(G$4+Ayarlar!$C$6-1),Görevler!$D10&gt;=G$4),IF(G$4&lt;=Görevler!$C10+ROUND(Görevler!$F10*Görevler!$E10,0)-1,2,1),""))</f>
        <v>1</v>
      </c>
      <c r="H10" s="22" t="n">
        <f aca="false">IF(Görevler!$F10="","",IF(AND(Görevler!$C10&lt;=(H$4+Ayarlar!$C$6-1),Görevler!$D10&gt;=H$4),IF(H$4&lt;=Görevler!$C10+ROUND(Görevler!$F10*Görevler!$E10,0)-1,2,1),""))</f>
        <v>1</v>
      </c>
      <c r="I10" s="22" t="str">
        <f aca="false">IF(Görevler!$F10="","",IF(AND(Görevler!$C10&lt;=(I$4+Ayarlar!$C$6-1),Görevler!$D10&gt;=I$4),IF(I$4&lt;=Görevler!$C10+ROUND(Görevler!$F10*Görevler!$E10,0)-1,2,1),""))</f>
        <v/>
      </c>
      <c r="J10" s="22" t="str">
        <f aca="false">IF(Görevler!$F10="","",IF(AND(Görevler!$C10&lt;=(J$4+Ayarlar!$C$6-1),Görevler!$D10&gt;=J$4),IF(J$4&lt;=Görevler!$C10+ROUND(Görevler!$F10*Görevler!$E10,0)-1,2,1),""))</f>
        <v/>
      </c>
      <c r="K10" s="22" t="str">
        <f aca="false">IF(Görevler!$F10="","",IF(AND(Görevler!$C10&lt;=(K$4+Ayarlar!$C$6-1),Görevler!$D10&gt;=K$4),IF(K$4&lt;=Görevler!$C10+ROUND(Görevler!$F10*Görevler!$E10,0)-1,2,1),""))</f>
        <v/>
      </c>
      <c r="L10" s="22" t="str">
        <f aca="false">IF(Görevler!$F10="","",IF(AND(Görevler!$C10&lt;=(L$4+Ayarlar!$C$6-1),Görevler!$D10&gt;=L$4),IF(L$4&lt;=Görevler!$C10+ROUND(Görevler!$F10*Görevler!$E10,0)-1,2,1),""))</f>
        <v/>
      </c>
      <c r="M10" s="22" t="str">
        <f aca="false">IF(Görevler!$F10="","",IF(AND(Görevler!$C10&lt;=(M$4+Ayarlar!$C$6-1),Görevler!$D10&gt;=M$4),IF(M$4&lt;=Görevler!$C10+ROUND(Görevler!$F10*Görevler!$E10,0)-1,2,1),""))</f>
        <v/>
      </c>
      <c r="N10" s="22" t="str">
        <f aca="false">IF(Görevler!$F10="","",IF(AND(Görevler!$C10&lt;=(N$4+Ayarlar!$C$6-1),Görevler!$D10&gt;=N$4),IF(N$4&lt;=Görevler!$C10+ROUND(Görevler!$F10*Görevler!$E10,0)-1,2,1),""))</f>
        <v/>
      </c>
      <c r="O10" s="22" t="str">
        <f aca="false">IF(Görevler!$F10="","",IF(AND(Görevler!$C10&lt;=(O$4+Ayarlar!$C$6-1),Görevler!$D10&gt;=O$4),IF(O$4&lt;=Görevler!$C10+ROUND(Görevler!$F10*Görevler!$E10,0)-1,2,1),""))</f>
        <v/>
      </c>
      <c r="P10" s="22" t="str">
        <f aca="false">IF(Görevler!$F10="","",IF(AND(Görevler!$C10&lt;=(P$4+Ayarlar!$C$6-1),Görevler!$D10&gt;=P$4),IF(P$4&lt;=Görevler!$C10+ROUND(Görevler!$F10*Görevler!$E10,0)-1,2,1),""))</f>
        <v/>
      </c>
      <c r="Q10" s="22" t="str">
        <f aca="false">IF(Görevler!$F10="","",IF(AND(Görevler!$C10&lt;=(Q$4+Ayarlar!$C$6-1),Görevler!$D10&gt;=Q$4),IF(Q$4&lt;=Görevler!$C10+ROUND(Görevler!$F10*Görevler!$E10,0)-1,2,1),""))</f>
        <v/>
      </c>
      <c r="R10" s="22" t="str">
        <f aca="false">IF(Görevler!$F10="","",IF(AND(Görevler!$C10&lt;=(R$4+Ayarlar!$C$6-1),Görevler!$D10&gt;=R$4),IF(R$4&lt;=Görevler!$C10+ROUND(Görevler!$F10*Görevler!$E10,0)-1,2,1),""))</f>
        <v/>
      </c>
      <c r="S10" s="22" t="str">
        <f aca="false">IF(Görevler!$F10="","",IF(AND(Görevler!$C10&lt;=(S$4+Ayarlar!$C$6-1),Görevler!$D10&gt;=S$4),IF(S$4&lt;=Görevler!$C10+ROUND(Görevler!$F10*Görevler!$E10,0)-1,2,1),""))</f>
        <v/>
      </c>
      <c r="T10" s="22" t="str">
        <f aca="false">IF(Görevler!$F10="","",IF(AND(Görevler!$C10&lt;=(T$4+Ayarlar!$C$6-1),Görevler!$D10&gt;=T$4),IF(T$4&lt;=Görevler!$C10+ROUND(Görevler!$F10*Görevler!$E10,0)-1,2,1),""))</f>
        <v/>
      </c>
      <c r="U10" s="22" t="str">
        <f aca="false">IF(Görevler!$F10="","",IF(AND(Görevler!$C10&lt;=(U$4+Ayarlar!$C$6-1),Görevler!$D10&gt;=U$4),IF(U$4&lt;=Görevler!$C10+ROUND(Görevler!$F10*Görevler!$E10,0)-1,2,1),""))</f>
        <v/>
      </c>
      <c r="V10" s="22" t="str">
        <f aca="false">IF(Görevler!$F10="","",IF(AND(Görevler!$C10&lt;=(V$4+Ayarlar!$C$6-1),Görevler!$D10&gt;=V$4),IF(V$4&lt;=Görevler!$C10+ROUND(Görevler!$F10*Görevler!$E10,0)-1,2,1),""))</f>
        <v/>
      </c>
      <c r="W10" s="22" t="str">
        <f aca="false">IF(Görevler!$F10="","",IF(AND(Görevler!$C10&lt;=(W$4+Ayarlar!$C$6-1),Görevler!$D10&gt;=W$4),IF(W$4&lt;=Görevler!$C10+ROUND(Görevler!$F10*Görevler!$E10,0)-1,2,1),""))</f>
        <v/>
      </c>
      <c r="X10" s="22" t="str">
        <f aca="false">IF(Görevler!$F10="","",IF(AND(Görevler!$C10&lt;=(X$4+Ayarlar!$C$6-1),Görevler!$D10&gt;=X$4),IF(X$4&lt;=Görevler!$C10+ROUND(Görevler!$F10*Görevler!$E10,0)-1,2,1),""))</f>
        <v/>
      </c>
      <c r="Y10" s="22" t="str">
        <f aca="false">IF(Görevler!$F10="","",IF(AND(Görevler!$C10&lt;=(Y$4+Ayarlar!$C$6-1),Görevler!$D10&gt;=Y$4),IF(Y$4&lt;=Görevler!$C10+ROUND(Görevler!$F10*Görevler!$E10,0)-1,2,1),""))</f>
        <v/>
      </c>
      <c r="Z10" s="22" t="str">
        <f aca="false">IF(Görevler!$F10="","",IF(AND(Görevler!$C10&lt;=(Z$4+Ayarlar!$C$6-1),Görevler!$D10&gt;=Z$4),IF(Z$4&lt;=Görevler!$C10+ROUND(Görevler!$F10*Görevler!$E10,0)-1,2,1),""))</f>
        <v/>
      </c>
      <c r="AA10" s="22" t="str">
        <f aca="false">IF(Görevler!$F10="","",IF(AND(Görevler!$C10&lt;=(AA$4+Ayarlar!$C$6-1),Görevler!$D10&gt;=AA$4),IF(AA$4&lt;=Görevler!$C10+ROUND(Görevler!$F10*Görevler!$E10,0)-1,2,1),""))</f>
        <v/>
      </c>
      <c r="AB10" s="22" t="str">
        <f aca="false">IF(Görevler!$F10="","",IF(AND(Görevler!$C10&lt;=(AB$4+Ayarlar!$C$6-1),Görevler!$D10&gt;=AB$4),IF(AB$4&lt;=Görevler!$C10+ROUND(Görevler!$F10*Görevler!$E10,0)-1,2,1),""))</f>
        <v/>
      </c>
      <c r="AC10" s="22" t="str">
        <f aca="false">IF(Görevler!$F10="","",IF(AND(Görevler!$C10&lt;=(AC$4+Ayarlar!$C$6-1),Görevler!$D10&gt;=AC$4),IF(AC$4&lt;=Görevler!$C10+ROUND(Görevler!$F10*Görevler!$E10,0)-1,2,1),""))</f>
        <v/>
      </c>
      <c r="AD10" s="22" t="str">
        <f aca="false">IF(Görevler!$F10="","",IF(AND(Görevler!$C10&lt;=(AD$4+Ayarlar!$C$6-1),Görevler!$D10&gt;=AD$4),IF(AD$4&lt;=Görevler!$C10+ROUND(Görevler!$F10*Görevler!$E10,0)-1,2,1),""))</f>
        <v/>
      </c>
      <c r="AE10" s="22" t="str">
        <f aca="false">IF(Görevler!$F10="","",IF(AND(Görevler!$C10&lt;=(AE$4+Ayarlar!$C$6-1),Görevler!$D10&gt;=AE$4),IF(AE$4&lt;=Görevler!$C10+ROUND(Görevler!$F10*Görevler!$E10,0)-1,2,1),""))</f>
        <v/>
      </c>
      <c r="AF10" s="22" t="str">
        <f aca="false">IF(Görevler!$F10="","",IF(AND(Görevler!$C10&lt;=(AF$4+Ayarlar!$C$6-1),Görevler!$D10&gt;=AF$4),IF(AF$4&lt;=Görevler!$C10+ROUND(Görevler!$F10*Görevler!$E10,0)-1,2,1),""))</f>
        <v/>
      </c>
      <c r="AG10" s="22" t="str">
        <f aca="false">IF(Görevler!$F10="","",IF(AND(Görevler!$C10&lt;=(AG$4+Ayarlar!$C$6-1),Görevler!$D10&gt;=AG$4),IF(AG$4&lt;=Görevler!$C10+ROUND(Görevler!$F10*Görevler!$E10,0)-1,2,1),""))</f>
        <v/>
      </c>
      <c r="AH10" s="22" t="str">
        <f aca="false">IF(Görevler!$F10="","",IF(AND(Görevler!$C10&lt;=(AH$4+Ayarlar!$C$6-1),Görevler!$D10&gt;=AH$4),IF(AH$4&lt;=Görevler!$C10+ROUND(Görevler!$F10*Görevler!$E10,0)-1,2,1),""))</f>
        <v/>
      </c>
      <c r="AI10" s="22" t="str">
        <f aca="false">IF(Görevler!$F10="","",IF(AND(Görevler!$C10&lt;=(AI$4+Ayarlar!$C$6-1),Görevler!$D10&gt;=AI$4),IF(AI$4&lt;=Görevler!$C10+ROUND(Görevler!$F10*Görevler!$E10,0)-1,2,1),""))</f>
        <v/>
      </c>
      <c r="AJ10" s="22" t="str">
        <f aca="false">IF(Görevler!$F10="","",IF(AND(Görevler!$C10&lt;=(AJ$4+Ayarlar!$C$6-1),Görevler!$D10&gt;=AJ$4),IF(AJ$4&lt;=Görevler!$C10+ROUND(Görevler!$F10*Görevler!$E10,0)-1,2,1),""))</f>
        <v/>
      </c>
      <c r="AK10" s="22" t="str">
        <f aca="false">IF(Görevler!$F10="","",IF(AND(Görevler!$C10&lt;=(AK$4+Ayarlar!$C$6-1),Görevler!$D10&gt;=AK$4),IF(AK$4&lt;=Görevler!$C10+ROUND(Görevler!$F10*Görevler!$E10,0)-1,2,1),""))</f>
        <v/>
      </c>
      <c r="AL10" s="22" t="str">
        <f aca="false">IF(Görevler!$F10="","",IF(AND(Görevler!$C10&lt;=(AL$4+Ayarlar!$C$6-1),Görevler!$D10&gt;=AL$4),IF(AL$4&lt;=Görevler!$C10+ROUND(Görevler!$F10*Görevler!$E10,0)-1,2,1),""))</f>
        <v/>
      </c>
      <c r="AM10" s="22" t="str">
        <f aca="false">IF(Görevler!$F10="","",IF(AND(Görevler!$C10&lt;=(AM$4+Ayarlar!$C$6-1),Görevler!$D10&gt;=AM$4),IF(AM$4&lt;=Görevler!$C10+ROUND(Görevler!$F10*Görevler!$E10,0)-1,2,1),""))</f>
        <v/>
      </c>
      <c r="AN10" s="22" t="str">
        <f aca="false">IF(Görevler!$F10="","",IF(AND(Görevler!$C10&lt;=(AN$4+Ayarlar!$C$6-1),Görevler!$D10&gt;=AN$4),IF(AN$4&lt;=Görevler!$C10+ROUND(Görevler!$F10*Görevler!$E10,0)-1,2,1),""))</f>
        <v/>
      </c>
      <c r="AO10" s="22" t="str">
        <f aca="false">IF(Görevler!$F10="","",IF(AND(Görevler!$C10&lt;=(AO$4+Ayarlar!$C$6-1),Görevler!$D10&gt;=AO$4),IF(AO$4&lt;=Görevler!$C10+ROUND(Görevler!$F10*Görevler!$E10,0)-1,2,1),""))</f>
        <v/>
      </c>
      <c r="AP10" s="22" t="str">
        <f aca="false">IF(Görevler!$F10="","",IF(AND(Görevler!$C10&lt;=(AP$4+Ayarlar!$C$6-1),Görevler!$D10&gt;=AP$4),IF(AP$4&lt;=Görevler!$C10+ROUND(Görevler!$F10*Görevler!$E10,0)-1,2,1),""))</f>
        <v/>
      </c>
      <c r="AQ10" s="22" t="str">
        <f aca="false">IF(Görevler!$F10="","",IF(AND(Görevler!$C10&lt;=(AQ$4+Ayarlar!$C$6-1),Görevler!$D10&gt;=AQ$4),IF(AQ$4&lt;=Görevler!$C10+ROUND(Görevler!$F10*Görevler!$E10,0)-1,2,1),""))</f>
        <v/>
      </c>
      <c r="AR10" s="22" t="str">
        <f aca="false">IF(Görevler!$F10="","",IF(AND(Görevler!$C10&lt;=(AR$4+Ayarlar!$C$6-1),Görevler!$D10&gt;=AR$4),IF(AR$4&lt;=Görevler!$C10+ROUND(Görevler!$F10*Görevler!$E10,0)-1,2,1),""))</f>
        <v/>
      </c>
      <c r="AS10" s="22" t="str">
        <f aca="false">IF(Görevler!$F10="","",IF(AND(Görevler!$C10&lt;=(AS$4+Ayarlar!$C$6-1),Görevler!$D10&gt;=AS$4),IF(AS$4&lt;=Görevler!$C10+ROUND(Görevler!$F10*Görevler!$E10,0)-1,2,1),""))</f>
        <v/>
      </c>
      <c r="AT10" s="22" t="str">
        <f aca="false">IF(Görevler!$F10="","",IF(AND(Görevler!$C10&lt;=(AT$4+Ayarlar!$C$6-1),Görevler!$D10&gt;=AT$4),IF(AT$4&lt;=Görevler!$C10+ROUND(Görevler!$F10*Görevler!$E10,0)-1,2,1),""))</f>
        <v/>
      </c>
      <c r="AU10" s="22" t="str">
        <f aca="false">IF(Görevler!$F10="","",IF(AND(Görevler!$C10&lt;=(AU$4+Ayarlar!$C$6-1),Görevler!$D10&gt;=AU$4),IF(AU$4&lt;=Görevler!$C10+ROUND(Görevler!$F10*Görevler!$E10,0)-1,2,1),""))</f>
        <v/>
      </c>
      <c r="AV10" s="22" t="str">
        <f aca="false">IF(Görevler!$F10="","",IF(AND(Görevler!$C10&lt;=(AV$4+Ayarlar!$C$6-1),Görevler!$D10&gt;=AV$4),IF(AV$4&lt;=Görevler!$C10+ROUND(Görevler!$F10*Görevler!$E10,0)-1,2,1),""))</f>
        <v/>
      </c>
      <c r="AW10" s="22" t="str">
        <f aca="false">IF(Görevler!$F10="","",IF(AND(Görevler!$C10&lt;=(AW$4+Ayarlar!$C$6-1),Görevler!$D10&gt;=AW$4),IF(AW$4&lt;=Görevler!$C10+ROUND(Görevler!$F10*Görevler!$E10,0)-1,2,1),""))</f>
        <v/>
      </c>
      <c r="AX10" s="22" t="str">
        <f aca="false">IF(Görevler!$F10="","",IF(AND(Görevler!$C10&lt;=(AX$4+Ayarlar!$C$6-1),Görevler!$D10&gt;=AX$4),IF(AX$4&lt;=Görevler!$C10+ROUND(Görevler!$F10*Görevler!$E10,0)-1,2,1),""))</f>
        <v/>
      </c>
      <c r="AY10" s="22" t="str">
        <f aca="false">IF(Görevler!$F10="","",IF(AND(Görevler!$C10&lt;=(AY$4+Ayarlar!$C$6-1),Görevler!$D10&gt;=AY$4),IF(AY$4&lt;=Görevler!$C10+ROUND(Görevler!$F10*Görevler!$E10,0)-1,2,1),""))</f>
        <v/>
      </c>
      <c r="AZ10" s="22" t="str">
        <f aca="false">IF(Görevler!$F10="","",IF(AND(Görevler!$C10&lt;=(AZ$4+Ayarlar!$C$6-1),Görevler!$D10&gt;=AZ$4),IF(AZ$4&lt;=Görevler!$C10+ROUND(Görevler!$F10*Görevler!$E10,0)-1,2,1),""))</f>
        <v/>
      </c>
      <c r="BA10" s="22" t="str">
        <f aca="false">IF(Görevler!$F10="","",IF(AND(Görevler!$C10&lt;=(BA$4+Ayarlar!$C$6-1),Görevler!$D10&gt;=BA$4),IF(BA$4&lt;=Görevler!$C10+ROUND(Görevler!$F10*Görevler!$E10,0)-1,2,1),""))</f>
        <v/>
      </c>
      <c r="BB10" s="22" t="str">
        <f aca="false">IF(Görevler!$F10="","",IF(AND(Görevler!$C10&lt;=(BB$4+Ayarlar!$C$6-1),Görevler!$D10&gt;=BB$4),IF(BB$4&lt;=Görevler!$C10+ROUND(Görevler!$F10*Görevler!$E10,0)-1,2,1),""))</f>
        <v/>
      </c>
      <c r="BC10" s="22" t="str">
        <f aca="false">IF(Görevler!$F10="","",IF(AND(Görevler!$C10&lt;=(BC$4+Ayarlar!$C$6-1),Görevler!$D10&gt;=BC$4),IF(BC$4&lt;=Görevler!$C10+ROUND(Görevler!$F10*Görevler!$E10,0)-1,2,1),""))</f>
        <v/>
      </c>
      <c r="BD10" s="22" t="str">
        <f aca="false">IF(Görevler!$F10="","",IF(AND(Görevler!$C10&lt;=(BD$4+Ayarlar!$C$6-1),Görevler!$D10&gt;=BD$4),IF(BD$4&lt;=Görevler!$C10+ROUND(Görevler!$F10*Görevler!$E10,0)-1,2,1),""))</f>
        <v/>
      </c>
      <c r="BE10" s="22" t="str">
        <f aca="false">IF(Görevler!$F10="","",IF(AND(Görevler!$C10&lt;=(BE$4+Ayarlar!$C$6-1),Görevler!$D10&gt;=BE$4),IF(BE$4&lt;=Görevler!$C10+ROUND(Görevler!$F10*Görevler!$E10,0)-1,2,1),""))</f>
        <v/>
      </c>
      <c r="BF10" s="22" t="str">
        <f aca="false">IF(Görevler!$F10="","",IF(AND(Görevler!$C10&lt;=(BF$4+Ayarlar!$C$6-1),Görevler!$D10&gt;=BF$4),IF(BF$4&lt;=Görevler!$C10+ROUND(Görevler!$F10*Görevler!$E10,0)-1,2,1),""))</f>
        <v/>
      </c>
      <c r="BG10" s="22" t="str">
        <f aca="false">IF(Görevler!$F10="","",IF(AND(Görevler!$C10&lt;=(BG$4+Ayarlar!$C$6-1),Görevler!$D10&gt;=BG$4),IF(BG$4&lt;=Görevler!$C10+ROUND(Görevler!$F10*Görevler!$E10,0)-1,2,1),""))</f>
        <v/>
      </c>
      <c r="BH10" s="22" t="str">
        <f aca="false">IF(Görevler!$F10="","",IF(AND(Görevler!$C10&lt;=(BH$4+Ayarlar!$C$6-1),Görevler!$D10&gt;=BH$4),IF(BH$4&lt;=Görevler!$C10+ROUND(Görevler!$F10*Görevler!$E10,0)-1,2,1),""))</f>
        <v/>
      </c>
      <c r="BI10" s="22" t="str">
        <f aca="false">IF(Görevler!$F10="","",IF(AND(Görevler!$C10&lt;=(BI$4+Ayarlar!$C$6-1),Görevler!$D10&gt;=BI$4),IF(BI$4&lt;=Görevler!$C10+ROUND(Görevler!$F10*Görevler!$E10,0)-1,2,1),""))</f>
        <v/>
      </c>
      <c r="BJ10" s="22" t="str">
        <f aca="false">IF(Görevler!$F10="","",IF(AND(Görevler!$C10&lt;=(BJ$4+Ayarlar!$C$6-1),Görevler!$D10&gt;=BJ$4),IF(BJ$4&lt;=Görevler!$C10+ROUND(Görevler!$F10*Görevler!$E10,0)-1,2,1),""))</f>
        <v/>
      </c>
    </row>
    <row r="11" customFormat="false" ht="15" hidden="false" customHeight="false" outlineLevel="0" collapsed="false">
      <c r="A11" s="21" t="str">
        <f aca="false">IF(Görevler!A11="","",Görevler!A11)</f>
        <v>Açılış hazırlığı</v>
      </c>
      <c r="B11" s="21" t="str">
        <f aca="false">IF(Görevler!A11="","",Görevler!B11&amp;"")</f>
        <v>Kişi Alfa</v>
      </c>
      <c r="C11" s="22" t="str">
        <f aca="false">IF(Görevler!$F11="","",IF(AND(Görevler!$C11&lt;=(C$4+Ayarlar!$C$6-1),Görevler!$D11&gt;=C$4),IF(C$4&lt;=Görevler!$C11+ROUND(Görevler!$F11*Görevler!$E11,0)-1,2,1),""))</f>
        <v/>
      </c>
      <c r="D11" s="22" t="str">
        <f aca="false">IF(Görevler!$F11="","",IF(AND(Görevler!$C11&lt;=(D$4+Ayarlar!$C$6-1),Görevler!$D11&gt;=D$4),IF(D$4&lt;=Görevler!$C11+ROUND(Görevler!$F11*Görevler!$E11,0)-1,2,1),""))</f>
        <v/>
      </c>
      <c r="E11" s="22" t="str">
        <f aca="false">IF(Görevler!$F11="","",IF(AND(Görevler!$C11&lt;=(E$4+Ayarlar!$C$6-1),Görevler!$D11&gt;=E$4),IF(E$4&lt;=Görevler!$C11+ROUND(Görevler!$F11*Görevler!$E11,0)-1,2,1),""))</f>
        <v/>
      </c>
      <c r="F11" s="22" t="str">
        <f aca="false">IF(Görevler!$F11="","",IF(AND(Görevler!$C11&lt;=(F$4+Ayarlar!$C$6-1),Görevler!$D11&gt;=F$4),IF(F$4&lt;=Görevler!$C11+ROUND(Görevler!$F11*Görevler!$E11,0)-1,2,1),""))</f>
        <v/>
      </c>
      <c r="G11" s="22" t="str">
        <f aca="false">IF(Görevler!$F11="","",IF(AND(Görevler!$C11&lt;=(G$4+Ayarlar!$C$6-1),Görevler!$D11&gt;=G$4),IF(G$4&lt;=Görevler!$C11+ROUND(Görevler!$F11*Görevler!$E11,0)-1,2,1),""))</f>
        <v/>
      </c>
      <c r="H11" s="22" t="str">
        <f aca="false">IF(Görevler!$F11="","",IF(AND(Görevler!$C11&lt;=(H$4+Ayarlar!$C$6-1),Görevler!$D11&gt;=H$4),IF(H$4&lt;=Görevler!$C11+ROUND(Görevler!$F11*Görevler!$E11,0)-1,2,1),""))</f>
        <v/>
      </c>
      <c r="I11" s="22" t="n">
        <f aca="false">IF(Görevler!$F11="","",IF(AND(Görevler!$C11&lt;=(I$4+Ayarlar!$C$6-1),Görevler!$D11&gt;=I$4),IF(I$4&lt;=Görevler!$C11+ROUND(Görevler!$F11*Görevler!$E11,0)-1,2,1),""))</f>
        <v>1</v>
      </c>
      <c r="J11" s="22" t="str">
        <f aca="false">IF(Görevler!$F11="","",IF(AND(Görevler!$C11&lt;=(J$4+Ayarlar!$C$6-1),Görevler!$D11&gt;=J$4),IF(J$4&lt;=Görevler!$C11+ROUND(Görevler!$F11*Görevler!$E11,0)-1,2,1),""))</f>
        <v/>
      </c>
      <c r="K11" s="22" t="str">
        <f aca="false">IF(Görevler!$F11="","",IF(AND(Görevler!$C11&lt;=(K$4+Ayarlar!$C$6-1),Görevler!$D11&gt;=K$4),IF(K$4&lt;=Görevler!$C11+ROUND(Görevler!$F11*Görevler!$E11,0)-1,2,1),""))</f>
        <v/>
      </c>
      <c r="L11" s="22" t="str">
        <f aca="false">IF(Görevler!$F11="","",IF(AND(Görevler!$C11&lt;=(L$4+Ayarlar!$C$6-1),Görevler!$D11&gt;=L$4),IF(L$4&lt;=Görevler!$C11+ROUND(Görevler!$F11*Görevler!$E11,0)-1,2,1),""))</f>
        <v/>
      </c>
      <c r="M11" s="22" t="str">
        <f aca="false">IF(Görevler!$F11="","",IF(AND(Görevler!$C11&lt;=(M$4+Ayarlar!$C$6-1),Görevler!$D11&gt;=M$4),IF(M$4&lt;=Görevler!$C11+ROUND(Görevler!$F11*Görevler!$E11,0)-1,2,1),""))</f>
        <v/>
      </c>
      <c r="N11" s="22" t="str">
        <f aca="false">IF(Görevler!$F11="","",IF(AND(Görevler!$C11&lt;=(N$4+Ayarlar!$C$6-1),Görevler!$D11&gt;=N$4),IF(N$4&lt;=Görevler!$C11+ROUND(Görevler!$F11*Görevler!$E11,0)-1,2,1),""))</f>
        <v/>
      </c>
      <c r="O11" s="22" t="str">
        <f aca="false">IF(Görevler!$F11="","",IF(AND(Görevler!$C11&lt;=(O$4+Ayarlar!$C$6-1),Görevler!$D11&gt;=O$4),IF(O$4&lt;=Görevler!$C11+ROUND(Görevler!$F11*Görevler!$E11,0)-1,2,1),""))</f>
        <v/>
      </c>
      <c r="P11" s="22" t="str">
        <f aca="false">IF(Görevler!$F11="","",IF(AND(Görevler!$C11&lt;=(P$4+Ayarlar!$C$6-1),Görevler!$D11&gt;=P$4),IF(P$4&lt;=Görevler!$C11+ROUND(Görevler!$F11*Görevler!$E11,0)-1,2,1),""))</f>
        <v/>
      </c>
      <c r="Q11" s="22" t="str">
        <f aca="false">IF(Görevler!$F11="","",IF(AND(Görevler!$C11&lt;=(Q$4+Ayarlar!$C$6-1),Görevler!$D11&gt;=Q$4),IF(Q$4&lt;=Görevler!$C11+ROUND(Görevler!$F11*Görevler!$E11,0)-1,2,1),""))</f>
        <v/>
      </c>
      <c r="R11" s="22" t="str">
        <f aca="false">IF(Görevler!$F11="","",IF(AND(Görevler!$C11&lt;=(R$4+Ayarlar!$C$6-1),Görevler!$D11&gt;=R$4),IF(R$4&lt;=Görevler!$C11+ROUND(Görevler!$F11*Görevler!$E11,0)-1,2,1),""))</f>
        <v/>
      </c>
      <c r="S11" s="22" t="str">
        <f aca="false">IF(Görevler!$F11="","",IF(AND(Görevler!$C11&lt;=(S$4+Ayarlar!$C$6-1),Görevler!$D11&gt;=S$4),IF(S$4&lt;=Görevler!$C11+ROUND(Görevler!$F11*Görevler!$E11,0)-1,2,1),""))</f>
        <v/>
      </c>
      <c r="T11" s="22" t="str">
        <f aca="false">IF(Görevler!$F11="","",IF(AND(Görevler!$C11&lt;=(T$4+Ayarlar!$C$6-1),Görevler!$D11&gt;=T$4),IF(T$4&lt;=Görevler!$C11+ROUND(Görevler!$F11*Görevler!$E11,0)-1,2,1),""))</f>
        <v/>
      </c>
      <c r="U11" s="22" t="str">
        <f aca="false">IF(Görevler!$F11="","",IF(AND(Görevler!$C11&lt;=(U$4+Ayarlar!$C$6-1),Görevler!$D11&gt;=U$4),IF(U$4&lt;=Görevler!$C11+ROUND(Görevler!$F11*Görevler!$E11,0)-1,2,1),""))</f>
        <v/>
      </c>
      <c r="V11" s="22" t="str">
        <f aca="false">IF(Görevler!$F11="","",IF(AND(Görevler!$C11&lt;=(V$4+Ayarlar!$C$6-1),Görevler!$D11&gt;=V$4),IF(V$4&lt;=Görevler!$C11+ROUND(Görevler!$F11*Görevler!$E11,0)-1,2,1),""))</f>
        <v/>
      </c>
      <c r="W11" s="22" t="str">
        <f aca="false">IF(Görevler!$F11="","",IF(AND(Görevler!$C11&lt;=(W$4+Ayarlar!$C$6-1),Görevler!$D11&gt;=W$4),IF(W$4&lt;=Görevler!$C11+ROUND(Görevler!$F11*Görevler!$E11,0)-1,2,1),""))</f>
        <v/>
      </c>
      <c r="X11" s="22" t="str">
        <f aca="false">IF(Görevler!$F11="","",IF(AND(Görevler!$C11&lt;=(X$4+Ayarlar!$C$6-1),Görevler!$D11&gt;=X$4),IF(X$4&lt;=Görevler!$C11+ROUND(Görevler!$F11*Görevler!$E11,0)-1,2,1),""))</f>
        <v/>
      </c>
      <c r="Y11" s="22" t="str">
        <f aca="false">IF(Görevler!$F11="","",IF(AND(Görevler!$C11&lt;=(Y$4+Ayarlar!$C$6-1),Görevler!$D11&gt;=Y$4),IF(Y$4&lt;=Görevler!$C11+ROUND(Görevler!$F11*Görevler!$E11,0)-1,2,1),""))</f>
        <v/>
      </c>
      <c r="Z11" s="22" t="str">
        <f aca="false">IF(Görevler!$F11="","",IF(AND(Görevler!$C11&lt;=(Z$4+Ayarlar!$C$6-1),Görevler!$D11&gt;=Z$4),IF(Z$4&lt;=Görevler!$C11+ROUND(Görevler!$F11*Görevler!$E11,0)-1,2,1),""))</f>
        <v/>
      </c>
      <c r="AA11" s="22" t="str">
        <f aca="false">IF(Görevler!$F11="","",IF(AND(Görevler!$C11&lt;=(AA$4+Ayarlar!$C$6-1),Görevler!$D11&gt;=AA$4),IF(AA$4&lt;=Görevler!$C11+ROUND(Görevler!$F11*Görevler!$E11,0)-1,2,1),""))</f>
        <v/>
      </c>
      <c r="AB11" s="22" t="str">
        <f aca="false">IF(Görevler!$F11="","",IF(AND(Görevler!$C11&lt;=(AB$4+Ayarlar!$C$6-1),Görevler!$D11&gt;=AB$4),IF(AB$4&lt;=Görevler!$C11+ROUND(Görevler!$F11*Görevler!$E11,0)-1,2,1),""))</f>
        <v/>
      </c>
      <c r="AC11" s="22" t="str">
        <f aca="false">IF(Görevler!$F11="","",IF(AND(Görevler!$C11&lt;=(AC$4+Ayarlar!$C$6-1),Görevler!$D11&gt;=AC$4),IF(AC$4&lt;=Görevler!$C11+ROUND(Görevler!$F11*Görevler!$E11,0)-1,2,1),""))</f>
        <v/>
      </c>
      <c r="AD11" s="22" t="str">
        <f aca="false">IF(Görevler!$F11="","",IF(AND(Görevler!$C11&lt;=(AD$4+Ayarlar!$C$6-1),Görevler!$D11&gt;=AD$4),IF(AD$4&lt;=Görevler!$C11+ROUND(Görevler!$F11*Görevler!$E11,0)-1,2,1),""))</f>
        <v/>
      </c>
      <c r="AE11" s="22" t="str">
        <f aca="false">IF(Görevler!$F11="","",IF(AND(Görevler!$C11&lt;=(AE$4+Ayarlar!$C$6-1),Görevler!$D11&gt;=AE$4),IF(AE$4&lt;=Görevler!$C11+ROUND(Görevler!$F11*Görevler!$E11,0)-1,2,1),""))</f>
        <v/>
      </c>
      <c r="AF11" s="22" t="str">
        <f aca="false">IF(Görevler!$F11="","",IF(AND(Görevler!$C11&lt;=(AF$4+Ayarlar!$C$6-1),Görevler!$D11&gt;=AF$4),IF(AF$4&lt;=Görevler!$C11+ROUND(Görevler!$F11*Görevler!$E11,0)-1,2,1),""))</f>
        <v/>
      </c>
      <c r="AG11" s="22" t="str">
        <f aca="false">IF(Görevler!$F11="","",IF(AND(Görevler!$C11&lt;=(AG$4+Ayarlar!$C$6-1),Görevler!$D11&gt;=AG$4),IF(AG$4&lt;=Görevler!$C11+ROUND(Görevler!$F11*Görevler!$E11,0)-1,2,1),""))</f>
        <v/>
      </c>
      <c r="AH11" s="22" t="str">
        <f aca="false">IF(Görevler!$F11="","",IF(AND(Görevler!$C11&lt;=(AH$4+Ayarlar!$C$6-1),Görevler!$D11&gt;=AH$4),IF(AH$4&lt;=Görevler!$C11+ROUND(Görevler!$F11*Görevler!$E11,0)-1,2,1),""))</f>
        <v/>
      </c>
      <c r="AI11" s="22" t="str">
        <f aca="false">IF(Görevler!$F11="","",IF(AND(Görevler!$C11&lt;=(AI$4+Ayarlar!$C$6-1),Görevler!$D11&gt;=AI$4),IF(AI$4&lt;=Görevler!$C11+ROUND(Görevler!$F11*Görevler!$E11,0)-1,2,1),""))</f>
        <v/>
      </c>
      <c r="AJ11" s="22" t="str">
        <f aca="false">IF(Görevler!$F11="","",IF(AND(Görevler!$C11&lt;=(AJ$4+Ayarlar!$C$6-1),Görevler!$D11&gt;=AJ$4),IF(AJ$4&lt;=Görevler!$C11+ROUND(Görevler!$F11*Görevler!$E11,0)-1,2,1),""))</f>
        <v/>
      </c>
      <c r="AK11" s="22" t="str">
        <f aca="false">IF(Görevler!$F11="","",IF(AND(Görevler!$C11&lt;=(AK$4+Ayarlar!$C$6-1),Görevler!$D11&gt;=AK$4),IF(AK$4&lt;=Görevler!$C11+ROUND(Görevler!$F11*Görevler!$E11,0)-1,2,1),""))</f>
        <v/>
      </c>
      <c r="AL11" s="22" t="str">
        <f aca="false">IF(Görevler!$F11="","",IF(AND(Görevler!$C11&lt;=(AL$4+Ayarlar!$C$6-1),Görevler!$D11&gt;=AL$4),IF(AL$4&lt;=Görevler!$C11+ROUND(Görevler!$F11*Görevler!$E11,0)-1,2,1),""))</f>
        <v/>
      </c>
      <c r="AM11" s="22" t="str">
        <f aca="false">IF(Görevler!$F11="","",IF(AND(Görevler!$C11&lt;=(AM$4+Ayarlar!$C$6-1),Görevler!$D11&gt;=AM$4),IF(AM$4&lt;=Görevler!$C11+ROUND(Görevler!$F11*Görevler!$E11,0)-1,2,1),""))</f>
        <v/>
      </c>
      <c r="AN11" s="22" t="str">
        <f aca="false">IF(Görevler!$F11="","",IF(AND(Görevler!$C11&lt;=(AN$4+Ayarlar!$C$6-1),Görevler!$D11&gt;=AN$4),IF(AN$4&lt;=Görevler!$C11+ROUND(Görevler!$F11*Görevler!$E11,0)-1,2,1),""))</f>
        <v/>
      </c>
      <c r="AO11" s="22" t="str">
        <f aca="false">IF(Görevler!$F11="","",IF(AND(Görevler!$C11&lt;=(AO$4+Ayarlar!$C$6-1),Görevler!$D11&gt;=AO$4),IF(AO$4&lt;=Görevler!$C11+ROUND(Görevler!$F11*Görevler!$E11,0)-1,2,1),""))</f>
        <v/>
      </c>
      <c r="AP11" s="22" t="str">
        <f aca="false">IF(Görevler!$F11="","",IF(AND(Görevler!$C11&lt;=(AP$4+Ayarlar!$C$6-1),Görevler!$D11&gt;=AP$4),IF(AP$4&lt;=Görevler!$C11+ROUND(Görevler!$F11*Görevler!$E11,0)-1,2,1),""))</f>
        <v/>
      </c>
      <c r="AQ11" s="22" t="str">
        <f aca="false">IF(Görevler!$F11="","",IF(AND(Görevler!$C11&lt;=(AQ$4+Ayarlar!$C$6-1),Görevler!$D11&gt;=AQ$4),IF(AQ$4&lt;=Görevler!$C11+ROUND(Görevler!$F11*Görevler!$E11,0)-1,2,1),""))</f>
        <v/>
      </c>
      <c r="AR11" s="22" t="str">
        <f aca="false">IF(Görevler!$F11="","",IF(AND(Görevler!$C11&lt;=(AR$4+Ayarlar!$C$6-1),Görevler!$D11&gt;=AR$4),IF(AR$4&lt;=Görevler!$C11+ROUND(Görevler!$F11*Görevler!$E11,0)-1,2,1),""))</f>
        <v/>
      </c>
      <c r="AS11" s="22" t="str">
        <f aca="false">IF(Görevler!$F11="","",IF(AND(Görevler!$C11&lt;=(AS$4+Ayarlar!$C$6-1),Görevler!$D11&gt;=AS$4),IF(AS$4&lt;=Görevler!$C11+ROUND(Görevler!$F11*Görevler!$E11,0)-1,2,1),""))</f>
        <v/>
      </c>
      <c r="AT11" s="22" t="str">
        <f aca="false">IF(Görevler!$F11="","",IF(AND(Görevler!$C11&lt;=(AT$4+Ayarlar!$C$6-1),Görevler!$D11&gt;=AT$4),IF(AT$4&lt;=Görevler!$C11+ROUND(Görevler!$F11*Görevler!$E11,0)-1,2,1),""))</f>
        <v/>
      </c>
      <c r="AU11" s="22" t="str">
        <f aca="false">IF(Görevler!$F11="","",IF(AND(Görevler!$C11&lt;=(AU$4+Ayarlar!$C$6-1),Görevler!$D11&gt;=AU$4),IF(AU$4&lt;=Görevler!$C11+ROUND(Görevler!$F11*Görevler!$E11,0)-1,2,1),""))</f>
        <v/>
      </c>
      <c r="AV11" s="22" t="str">
        <f aca="false">IF(Görevler!$F11="","",IF(AND(Görevler!$C11&lt;=(AV$4+Ayarlar!$C$6-1),Görevler!$D11&gt;=AV$4),IF(AV$4&lt;=Görevler!$C11+ROUND(Görevler!$F11*Görevler!$E11,0)-1,2,1),""))</f>
        <v/>
      </c>
      <c r="AW11" s="22" t="str">
        <f aca="false">IF(Görevler!$F11="","",IF(AND(Görevler!$C11&lt;=(AW$4+Ayarlar!$C$6-1),Görevler!$D11&gt;=AW$4),IF(AW$4&lt;=Görevler!$C11+ROUND(Görevler!$F11*Görevler!$E11,0)-1,2,1),""))</f>
        <v/>
      </c>
      <c r="AX11" s="22" t="str">
        <f aca="false">IF(Görevler!$F11="","",IF(AND(Görevler!$C11&lt;=(AX$4+Ayarlar!$C$6-1),Görevler!$D11&gt;=AX$4),IF(AX$4&lt;=Görevler!$C11+ROUND(Görevler!$F11*Görevler!$E11,0)-1,2,1),""))</f>
        <v/>
      </c>
      <c r="AY11" s="22" t="str">
        <f aca="false">IF(Görevler!$F11="","",IF(AND(Görevler!$C11&lt;=(AY$4+Ayarlar!$C$6-1),Görevler!$D11&gt;=AY$4),IF(AY$4&lt;=Görevler!$C11+ROUND(Görevler!$F11*Görevler!$E11,0)-1,2,1),""))</f>
        <v/>
      </c>
      <c r="AZ11" s="22" t="str">
        <f aca="false">IF(Görevler!$F11="","",IF(AND(Görevler!$C11&lt;=(AZ$4+Ayarlar!$C$6-1),Görevler!$D11&gt;=AZ$4),IF(AZ$4&lt;=Görevler!$C11+ROUND(Görevler!$F11*Görevler!$E11,0)-1,2,1),""))</f>
        <v/>
      </c>
      <c r="BA11" s="22" t="str">
        <f aca="false">IF(Görevler!$F11="","",IF(AND(Görevler!$C11&lt;=(BA$4+Ayarlar!$C$6-1),Görevler!$D11&gt;=BA$4),IF(BA$4&lt;=Görevler!$C11+ROUND(Görevler!$F11*Görevler!$E11,0)-1,2,1),""))</f>
        <v/>
      </c>
      <c r="BB11" s="22" t="str">
        <f aca="false">IF(Görevler!$F11="","",IF(AND(Görevler!$C11&lt;=(BB$4+Ayarlar!$C$6-1),Görevler!$D11&gt;=BB$4),IF(BB$4&lt;=Görevler!$C11+ROUND(Görevler!$F11*Görevler!$E11,0)-1,2,1),""))</f>
        <v/>
      </c>
      <c r="BC11" s="22" t="str">
        <f aca="false">IF(Görevler!$F11="","",IF(AND(Görevler!$C11&lt;=(BC$4+Ayarlar!$C$6-1),Görevler!$D11&gt;=BC$4),IF(BC$4&lt;=Görevler!$C11+ROUND(Görevler!$F11*Görevler!$E11,0)-1,2,1),""))</f>
        <v/>
      </c>
      <c r="BD11" s="22" t="str">
        <f aca="false">IF(Görevler!$F11="","",IF(AND(Görevler!$C11&lt;=(BD$4+Ayarlar!$C$6-1),Görevler!$D11&gt;=BD$4),IF(BD$4&lt;=Görevler!$C11+ROUND(Görevler!$F11*Görevler!$E11,0)-1,2,1),""))</f>
        <v/>
      </c>
      <c r="BE11" s="22" t="str">
        <f aca="false">IF(Görevler!$F11="","",IF(AND(Görevler!$C11&lt;=(BE$4+Ayarlar!$C$6-1),Görevler!$D11&gt;=BE$4),IF(BE$4&lt;=Görevler!$C11+ROUND(Görevler!$F11*Görevler!$E11,0)-1,2,1),""))</f>
        <v/>
      </c>
      <c r="BF11" s="22" t="str">
        <f aca="false">IF(Görevler!$F11="","",IF(AND(Görevler!$C11&lt;=(BF$4+Ayarlar!$C$6-1),Görevler!$D11&gt;=BF$4),IF(BF$4&lt;=Görevler!$C11+ROUND(Görevler!$F11*Görevler!$E11,0)-1,2,1),""))</f>
        <v/>
      </c>
      <c r="BG11" s="22" t="str">
        <f aca="false">IF(Görevler!$F11="","",IF(AND(Görevler!$C11&lt;=(BG$4+Ayarlar!$C$6-1),Görevler!$D11&gt;=BG$4),IF(BG$4&lt;=Görevler!$C11+ROUND(Görevler!$F11*Görevler!$E11,0)-1,2,1),""))</f>
        <v/>
      </c>
      <c r="BH11" s="22" t="str">
        <f aca="false">IF(Görevler!$F11="","",IF(AND(Görevler!$C11&lt;=(BH$4+Ayarlar!$C$6-1),Görevler!$D11&gt;=BH$4),IF(BH$4&lt;=Görevler!$C11+ROUND(Görevler!$F11*Görevler!$E11,0)-1,2,1),""))</f>
        <v/>
      </c>
      <c r="BI11" s="22" t="str">
        <f aca="false">IF(Görevler!$F11="","",IF(AND(Görevler!$C11&lt;=(BI$4+Ayarlar!$C$6-1),Görevler!$D11&gt;=BI$4),IF(BI$4&lt;=Görevler!$C11+ROUND(Görevler!$F11*Görevler!$E11,0)-1,2,1),""))</f>
        <v/>
      </c>
      <c r="BJ11" s="22" t="str">
        <f aca="false">IF(Görevler!$F11="","",IF(AND(Görevler!$C11&lt;=(BJ$4+Ayarlar!$C$6-1),Görevler!$D11&gt;=BJ$4),IF(BJ$4&lt;=Görevler!$C11+ROUND(Görevler!$F11*Görevler!$E11,0)-1,2,1),""))</f>
        <v/>
      </c>
    </row>
    <row r="12" customFormat="false" ht="15" hidden="false" customHeight="false" outlineLevel="0" collapsed="false">
      <c r="A12" s="21" t="str">
        <f aca="false">IF(Görevler!A12="","",Görevler!A12)</f>
        <v/>
      </c>
      <c r="B12" s="21" t="str">
        <f aca="false">IF(Görevler!A12="","",Görevler!B12&amp;"")</f>
        <v/>
      </c>
      <c r="C12" s="22" t="str">
        <f aca="false">IF(Görevler!$F12="","",IF(AND(Görevler!$C12&lt;=(C$4+Ayarlar!$C$6-1),Görevler!$D12&gt;=C$4),IF(C$4&lt;=Görevler!$C12+ROUND(Görevler!$F12*Görevler!$E12,0)-1,2,1),""))</f>
        <v/>
      </c>
      <c r="D12" s="22" t="str">
        <f aca="false">IF(Görevler!$F12="","",IF(AND(Görevler!$C12&lt;=(D$4+Ayarlar!$C$6-1),Görevler!$D12&gt;=D$4),IF(D$4&lt;=Görevler!$C12+ROUND(Görevler!$F12*Görevler!$E12,0)-1,2,1),""))</f>
        <v/>
      </c>
      <c r="E12" s="22" t="str">
        <f aca="false">IF(Görevler!$F12="","",IF(AND(Görevler!$C12&lt;=(E$4+Ayarlar!$C$6-1),Görevler!$D12&gt;=E$4),IF(E$4&lt;=Görevler!$C12+ROUND(Görevler!$F12*Görevler!$E12,0)-1,2,1),""))</f>
        <v/>
      </c>
      <c r="F12" s="22" t="str">
        <f aca="false">IF(Görevler!$F12="","",IF(AND(Görevler!$C12&lt;=(F$4+Ayarlar!$C$6-1),Görevler!$D12&gt;=F$4),IF(F$4&lt;=Görevler!$C12+ROUND(Görevler!$F12*Görevler!$E12,0)-1,2,1),""))</f>
        <v/>
      </c>
      <c r="G12" s="22" t="str">
        <f aca="false">IF(Görevler!$F12="","",IF(AND(Görevler!$C12&lt;=(G$4+Ayarlar!$C$6-1),Görevler!$D12&gt;=G$4),IF(G$4&lt;=Görevler!$C12+ROUND(Görevler!$F12*Görevler!$E12,0)-1,2,1),""))</f>
        <v/>
      </c>
      <c r="H12" s="22" t="str">
        <f aca="false">IF(Görevler!$F12="","",IF(AND(Görevler!$C12&lt;=(H$4+Ayarlar!$C$6-1),Görevler!$D12&gt;=H$4),IF(H$4&lt;=Görevler!$C12+ROUND(Görevler!$F12*Görevler!$E12,0)-1,2,1),""))</f>
        <v/>
      </c>
      <c r="I12" s="22" t="str">
        <f aca="false">IF(Görevler!$F12="","",IF(AND(Görevler!$C12&lt;=(I$4+Ayarlar!$C$6-1),Görevler!$D12&gt;=I$4),IF(I$4&lt;=Görevler!$C12+ROUND(Görevler!$F12*Görevler!$E12,0)-1,2,1),""))</f>
        <v/>
      </c>
      <c r="J12" s="22" t="str">
        <f aca="false">IF(Görevler!$F12="","",IF(AND(Görevler!$C12&lt;=(J$4+Ayarlar!$C$6-1),Görevler!$D12&gt;=J$4),IF(J$4&lt;=Görevler!$C12+ROUND(Görevler!$F12*Görevler!$E12,0)-1,2,1),""))</f>
        <v/>
      </c>
      <c r="K12" s="22" t="str">
        <f aca="false">IF(Görevler!$F12="","",IF(AND(Görevler!$C12&lt;=(K$4+Ayarlar!$C$6-1),Görevler!$D12&gt;=K$4),IF(K$4&lt;=Görevler!$C12+ROUND(Görevler!$F12*Görevler!$E12,0)-1,2,1),""))</f>
        <v/>
      </c>
      <c r="L12" s="22" t="str">
        <f aca="false">IF(Görevler!$F12="","",IF(AND(Görevler!$C12&lt;=(L$4+Ayarlar!$C$6-1),Görevler!$D12&gt;=L$4),IF(L$4&lt;=Görevler!$C12+ROUND(Görevler!$F12*Görevler!$E12,0)-1,2,1),""))</f>
        <v/>
      </c>
      <c r="M12" s="22" t="str">
        <f aca="false">IF(Görevler!$F12="","",IF(AND(Görevler!$C12&lt;=(M$4+Ayarlar!$C$6-1),Görevler!$D12&gt;=M$4),IF(M$4&lt;=Görevler!$C12+ROUND(Görevler!$F12*Görevler!$E12,0)-1,2,1),""))</f>
        <v/>
      </c>
      <c r="N12" s="22" t="str">
        <f aca="false">IF(Görevler!$F12="","",IF(AND(Görevler!$C12&lt;=(N$4+Ayarlar!$C$6-1),Görevler!$D12&gt;=N$4),IF(N$4&lt;=Görevler!$C12+ROUND(Görevler!$F12*Görevler!$E12,0)-1,2,1),""))</f>
        <v/>
      </c>
      <c r="O12" s="22" t="str">
        <f aca="false">IF(Görevler!$F12="","",IF(AND(Görevler!$C12&lt;=(O$4+Ayarlar!$C$6-1),Görevler!$D12&gt;=O$4),IF(O$4&lt;=Görevler!$C12+ROUND(Görevler!$F12*Görevler!$E12,0)-1,2,1),""))</f>
        <v/>
      </c>
      <c r="P12" s="22" t="str">
        <f aca="false">IF(Görevler!$F12="","",IF(AND(Görevler!$C12&lt;=(P$4+Ayarlar!$C$6-1),Görevler!$D12&gt;=P$4),IF(P$4&lt;=Görevler!$C12+ROUND(Görevler!$F12*Görevler!$E12,0)-1,2,1),""))</f>
        <v/>
      </c>
      <c r="Q12" s="22" t="str">
        <f aca="false">IF(Görevler!$F12="","",IF(AND(Görevler!$C12&lt;=(Q$4+Ayarlar!$C$6-1),Görevler!$D12&gt;=Q$4),IF(Q$4&lt;=Görevler!$C12+ROUND(Görevler!$F12*Görevler!$E12,0)-1,2,1),""))</f>
        <v/>
      </c>
      <c r="R12" s="22" t="str">
        <f aca="false">IF(Görevler!$F12="","",IF(AND(Görevler!$C12&lt;=(R$4+Ayarlar!$C$6-1),Görevler!$D12&gt;=R$4),IF(R$4&lt;=Görevler!$C12+ROUND(Görevler!$F12*Görevler!$E12,0)-1,2,1),""))</f>
        <v/>
      </c>
      <c r="S12" s="22" t="str">
        <f aca="false">IF(Görevler!$F12="","",IF(AND(Görevler!$C12&lt;=(S$4+Ayarlar!$C$6-1),Görevler!$D12&gt;=S$4),IF(S$4&lt;=Görevler!$C12+ROUND(Görevler!$F12*Görevler!$E12,0)-1,2,1),""))</f>
        <v/>
      </c>
      <c r="T12" s="22" t="str">
        <f aca="false">IF(Görevler!$F12="","",IF(AND(Görevler!$C12&lt;=(T$4+Ayarlar!$C$6-1),Görevler!$D12&gt;=T$4),IF(T$4&lt;=Görevler!$C12+ROUND(Görevler!$F12*Görevler!$E12,0)-1,2,1),""))</f>
        <v/>
      </c>
      <c r="U12" s="22" t="str">
        <f aca="false">IF(Görevler!$F12="","",IF(AND(Görevler!$C12&lt;=(U$4+Ayarlar!$C$6-1),Görevler!$D12&gt;=U$4),IF(U$4&lt;=Görevler!$C12+ROUND(Görevler!$F12*Görevler!$E12,0)-1,2,1),""))</f>
        <v/>
      </c>
      <c r="V12" s="22" t="str">
        <f aca="false">IF(Görevler!$F12="","",IF(AND(Görevler!$C12&lt;=(V$4+Ayarlar!$C$6-1),Görevler!$D12&gt;=V$4),IF(V$4&lt;=Görevler!$C12+ROUND(Görevler!$F12*Görevler!$E12,0)-1,2,1),""))</f>
        <v/>
      </c>
      <c r="W12" s="22" t="str">
        <f aca="false">IF(Görevler!$F12="","",IF(AND(Görevler!$C12&lt;=(W$4+Ayarlar!$C$6-1),Görevler!$D12&gt;=W$4),IF(W$4&lt;=Görevler!$C12+ROUND(Görevler!$F12*Görevler!$E12,0)-1,2,1),""))</f>
        <v/>
      </c>
      <c r="X12" s="22" t="str">
        <f aca="false">IF(Görevler!$F12="","",IF(AND(Görevler!$C12&lt;=(X$4+Ayarlar!$C$6-1),Görevler!$D12&gt;=X$4),IF(X$4&lt;=Görevler!$C12+ROUND(Görevler!$F12*Görevler!$E12,0)-1,2,1),""))</f>
        <v/>
      </c>
      <c r="Y12" s="22" t="str">
        <f aca="false">IF(Görevler!$F12="","",IF(AND(Görevler!$C12&lt;=(Y$4+Ayarlar!$C$6-1),Görevler!$D12&gt;=Y$4),IF(Y$4&lt;=Görevler!$C12+ROUND(Görevler!$F12*Görevler!$E12,0)-1,2,1),""))</f>
        <v/>
      </c>
      <c r="Z12" s="22" t="str">
        <f aca="false">IF(Görevler!$F12="","",IF(AND(Görevler!$C12&lt;=(Z$4+Ayarlar!$C$6-1),Görevler!$D12&gt;=Z$4),IF(Z$4&lt;=Görevler!$C12+ROUND(Görevler!$F12*Görevler!$E12,0)-1,2,1),""))</f>
        <v/>
      </c>
      <c r="AA12" s="22" t="str">
        <f aca="false">IF(Görevler!$F12="","",IF(AND(Görevler!$C12&lt;=(AA$4+Ayarlar!$C$6-1),Görevler!$D12&gt;=AA$4),IF(AA$4&lt;=Görevler!$C12+ROUND(Görevler!$F12*Görevler!$E12,0)-1,2,1),""))</f>
        <v/>
      </c>
      <c r="AB12" s="22" t="str">
        <f aca="false">IF(Görevler!$F12="","",IF(AND(Görevler!$C12&lt;=(AB$4+Ayarlar!$C$6-1),Görevler!$D12&gt;=AB$4),IF(AB$4&lt;=Görevler!$C12+ROUND(Görevler!$F12*Görevler!$E12,0)-1,2,1),""))</f>
        <v/>
      </c>
      <c r="AC12" s="22" t="str">
        <f aca="false">IF(Görevler!$F12="","",IF(AND(Görevler!$C12&lt;=(AC$4+Ayarlar!$C$6-1),Görevler!$D12&gt;=AC$4),IF(AC$4&lt;=Görevler!$C12+ROUND(Görevler!$F12*Görevler!$E12,0)-1,2,1),""))</f>
        <v/>
      </c>
      <c r="AD12" s="22" t="str">
        <f aca="false">IF(Görevler!$F12="","",IF(AND(Görevler!$C12&lt;=(AD$4+Ayarlar!$C$6-1),Görevler!$D12&gt;=AD$4),IF(AD$4&lt;=Görevler!$C12+ROUND(Görevler!$F12*Görevler!$E12,0)-1,2,1),""))</f>
        <v/>
      </c>
      <c r="AE12" s="22" t="str">
        <f aca="false">IF(Görevler!$F12="","",IF(AND(Görevler!$C12&lt;=(AE$4+Ayarlar!$C$6-1),Görevler!$D12&gt;=AE$4),IF(AE$4&lt;=Görevler!$C12+ROUND(Görevler!$F12*Görevler!$E12,0)-1,2,1),""))</f>
        <v/>
      </c>
      <c r="AF12" s="22" t="str">
        <f aca="false">IF(Görevler!$F12="","",IF(AND(Görevler!$C12&lt;=(AF$4+Ayarlar!$C$6-1),Görevler!$D12&gt;=AF$4),IF(AF$4&lt;=Görevler!$C12+ROUND(Görevler!$F12*Görevler!$E12,0)-1,2,1),""))</f>
        <v/>
      </c>
      <c r="AG12" s="22" t="str">
        <f aca="false">IF(Görevler!$F12="","",IF(AND(Görevler!$C12&lt;=(AG$4+Ayarlar!$C$6-1),Görevler!$D12&gt;=AG$4),IF(AG$4&lt;=Görevler!$C12+ROUND(Görevler!$F12*Görevler!$E12,0)-1,2,1),""))</f>
        <v/>
      </c>
      <c r="AH12" s="22" t="str">
        <f aca="false">IF(Görevler!$F12="","",IF(AND(Görevler!$C12&lt;=(AH$4+Ayarlar!$C$6-1),Görevler!$D12&gt;=AH$4),IF(AH$4&lt;=Görevler!$C12+ROUND(Görevler!$F12*Görevler!$E12,0)-1,2,1),""))</f>
        <v/>
      </c>
      <c r="AI12" s="22" t="str">
        <f aca="false">IF(Görevler!$F12="","",IF(AND(Görevler!$C12&lt;=(AI$4+Ayarlar!$C$6-1),Görevler!$D12&gt;=AI$4),IF(AI$4&lt;=Görevler!$C12+ROUND(Görevler!$F12*Görevler!$E12,0)-1,2,1),""))</f>
        <v/>
      </c>
      <c r="AJ12" s="22" t="str">
        <f aca="false">IF(Görevler!$F12="","",IF(AND(Görevler!$C12&lt;=(AJ$4+Ayarlar!$C$6-1),Görevler!$D12&gt;=AJ$4),IF(AJ$4&lt;=Görevler!$C12+ROUND(Görevler!$F12*Görevler!$E12,0)-1,2,1),""))</f>
        <v/>
      </c>
      <c r="AK12" s="22" t="str">
        <f aca="false">IF(Görevler!$F12="","",IF(AND(Görevler!$C12&lt;=(AK$4+Ayarlar!$C$6-1),Görevler!$D12&gt;=AK$4),IF(AK$4&lt;=Görevler!$C12+ROUND(Görevler!$F12*Görevler!$E12,0)-1,2,1),""))</f>
        <v/>
      </c>
      <c r="AL12" s="22" t="str">
        <f aca="false">IF(Görevler!$F12="","",IF(AND(Görevler!$C12&lt;=(AL$4+Ayarlar!$C$6-1),Görevler!$D12&gt;=AL$4),IF(AL$4&lt;=Görevler!$C12+ROUND(Görevler!$F12*Görevler!$E12,0)-1,2,1),""))</f>
        <v/>
      </c>
      <c r="AM12" s="22" t="str">
        <f aca="false">IF(Görevler!$F12="","",IF(AND(Görevler!$C12&lt;=(AM$4+Ayarlar!$C$6-1),Görevler!$D12&gt;=AM$4),IF(AM$4&lt;=Görevler!$C12+ROUND(Görevler!$F12*Görevler!$E12,0)-1,2,1),""))</f>
        <v/>
      </c>
      <c r="AN12" s="22" t="str">
        <f aca="false">IF(Görevler!$F12="","",IF(AND(Görevler!$C12&lt;=(AN$4+Ayarlar!$C$6-1),Görevler!$D12&gt;=AN$4),IF(AN$4&lt;=Görevler!$C12+ROUND(Görevler!$F12*Görevler!$E12,0)-1,2,1),""))</f>
        <v/>
      </c>
      <c r="AO12" s="22" t="str">
        <f aca="false">IF(Görevler!$F12="","",IF(AND(Görevler!$C12&lt;=(AO$4+Ayarlar!$C$6-1),Görevler!$D12&gt;=AO$4),IF(AO$4&lt;=Görevler!$C12+ROUND(Görevler!$F12*Görevler!$E12,0)-1,2,1),""))</f>
        <v/>
      </c>
      <c r="AP12" s="22" t="str">
        <f aca="false">IF(Görevler!$F12="","",IF(AND(Görevler!$C12&lt;=(AP$4+Ayarlar!$C$6-1),Görevler!$D12&gt;=AP$4),IF(AP$4&lt;=Görevler!$C12+ROUND(Görevler!$F12*Görevler!$E12,0)-1,2,1),""))</f>
        <v/>
      </c>
      <c r="AQ12" s="22" t="str">
        <f aca="false">IF(Görevler!$F12="","",IF(AND(Görevler!$C12&lt;=(AQ$4+Ayarlar!$C$6-1),Görevler!$D12&gt;=AQ$4),IF(AQ$4&lt;=Görevler!$C12+ROUND(Görevler!$F12*Görevler!$E12,0)-1,2,1),""))</f>
        <v/>
      </c>
      <c r="AR12" s="22" t="str">
        <f aca="false">IF(Görevler!$F12="","",IF(AND(Görevler!$C12&lt;=(AR$4+Ayarlar!$C$6-1),Görevler!$D12&gt;=AR$4),IF(AR$4&lt;=Görevler!$C12+ROUND(Görevler!$F12*Görevler!$E12,0)-1,2,1),""))</f>
        <v/>
      </c>
      <c r="AS12" s="22" t="str">
        <f aca="false">IF(Görevler!$F12="","",IF(AND(Görevler!$C12&lt;=(AS$4+Ayarlar!$C$6-1),Görevler!$D12&gt;=AS$4),IF(AS$4&lt;=Görevler!$C12+ROUND(Görevler!$F12*Görevler!$E12,0)-1,2,1),""))</f>
        <v/>
      </c>
      <c r="AT12" s="22" t="str">
        <f aca="false">IF(Görevler!$F12="","",IF(AND(Görevler!$C12&lt;=(AT$4+Ayarlar!$C$6-1),Görevler!$D12&gt;=AT$4),IF(AT$4&lt;=Görevler!$C12+ROUND(Görevler!$F12*Görevler!$E12,0)-1,2,1),""))</f>
        <v/>
      </c>
      <c r="AU12" s="22" t="str">
        <f aca="false">IF(Görevler!$F12="","",IF(AND(Görevler!$C12&lt;=(AU$4+Ayarlar!$C$6-1),Görevler!$D12&gt;=AU$4),IF(AU$4&lt;=Görevler!$C12+ROUND(Görevler!$F12*Görevler!$E12,0)-1,2,1),""))</f>
        <v/>
      </c>
      <c r="AV12" s="22" t="str">
        <f aca="false">IF(Görevler!$F12="","",IF(AND(Görevler!$C12&lt;=(AV$4+Ayarlar!$C$6-1),Görevler!$D12&gt;=AV$4),IF(AV$4&lt;=Görevler!$C12+ROUND(Görevler!$F12*Görevler!$E12,0)-1,2,1),""))</f>
        <v/>
      </c>
      <c r="AW12" s="22" t="str">
        <f aca="false">IF(Görevler!$F12="","",IF(AND(Görevler!$C12&lt;=(AW$4+Ayarlar!$C$6-1),Görevler!$D12&gt;=AW$4),IF(AW$4&lt;=Görevler!$C12+ROUND(Görevler!$F12*Görevler!$E12,0)-1,2,1),""))</f>
        <v/>
      </c>
      <c r="AX12" s="22" t="str">
        <f aca="false">IF(Görevler!$F12="","",IF(AND(Görevler!$C12&lt;=(AX$4+Ayarlar!$C$6-1),Görevler!$D12&gt;=AX$4),IF(AX$4&lt;=Görevler!$C12+ROUND(Görevler!$F12*Görevler!$E12,0)-1,2,1),""))</f>
        <v/>
      </c>
      <c r="AY12" s="22" t="str">
        <f aca="false">IF(Görevler!$F12="","",IF(AND(Görevler!$C12&lt;=(AY$4+Ayarlar!$C$6-1),Görevler!$D12&gt;=AY$4),IF(AY$4&lt;=Görevler!$C12+ROUND(Görevler!$F12*Görevler!$E12,0)-1,2,1),""))</f>
        <v/>
      </c>
      <c r="AZ12" s="22" t="str">
        <f aca="false">IF(Görevler!$F12="","",IF(AND(Görevler!$C12&lt;=(AZ$4+Ayarlar!$C$6-1),Görevler!$D12&gt;=AZ$4),IF(AZ$4&lt;=Görevler!$C12+ROUND(Görevler!$F12*Görevler!$E12,0)-1,2,1),""))</f>
        <v/>
      </c>
      <c r="BA12" s="22" t="str">
        <f aca="false">IF(Görevler!$F12="","",IF(AND(Görevler!$C12&lt;=(BA$4+Ayarlar!$C$6-1),Görevler!$D12&gt;=BA$4),IF(BA$4&lt;=Görevler!$C12+ROUND(Görevler!$F12*Görevler!$E12,0)-1,2,1),""))</f>
        <v/>
      </c>
      <c r="BB12" s="22" t="str">
        <f aca="false">IF(Görevler!$F12="","",IF(AND(Görevler!$C12&lt;=(BB$4+Ayarlar!$C$6-1),Görevler!$D12&gt;=BB$4),IF(BB$4&lt;=Görevler!$C12+ROUND(Görevler!$F12*Görevler!$E12,0)-1,2,1),""))</f>
        <v/>
      </c>
      <c r="BC12" s="22" t="str">
        <f aca="false">IF(Görevler!$F12="","",IF(AND(Görevler!$C12&lt;=(BC$4+Ayarlar!$C$6-1),Görevler!$D12&gt;=BC$4),IF(BC$4&lt;=Görevler!$C12+ROUND(Görevler!$F12*Görevler!$E12,0)-1,2,1),""))</f>
        <v/>
      </c>
      <c r="BD12" s="22" t="str">
        <f aca="false">IF(Görevler!$F12="","",IF(AND(Görevler!$C12&lt;=(BD$4+Ayarlar!$C$6-1),Görevler!$D12&gt;=BD$4),IF(BD$4&lt;=Görevler!$C12+ROUND(Görevler!$F12*Görevler!$E12,0)-1,2,1),""))</f>
        <v/>
      </c>
      <c r="BE12" s="22" t="str">
        <f aca="false">IF(Görevler!$F12="","",IF(AND(Görevler!$C12&lt;=(BE$4+Ayarlar!$C$6-1),Görevler!$D12&gt;=BE$4),IF(BE$4&lt;=Görevler!$C12+ROUND(Görevler!$F12*Görevler!$E12,0)-1,2,1),""))</f>
        <v/>
      </c>
      <c r="BF12" s="22" t="str">
        <f aca="false">IF(Görevler!$F12="","",IF(AND(Görevler!$C12&lt;=(BF$4+Ayarlar!$C$6-1),Görevler!$D12&gt;=BF$4),IF(BF$4&lt;=Görevler!$C12+ROUND(Görevler!$F12*Görevler!$E12,0)-1,2,1),""))</f>
        <v/>
      </c>
      <c r="BG12" s="22" t="str">
        <f aca="false">IF(Görevler!$F12="","",IF(AND(Görevler!$C12&lt;=(BG$4+Ayarlar!$C$6-1),Görevler!$D12&gt;=BG$4),IF(BG$4&lt;=Görevler!$C12+ROUND(Görevler!$F12*Görevler!$E12,0)-1,2,1),""))</f>
        <v/>
      </c>
      <c r="BH12" s="22" t="str">
        <f aca="false">IF(Görevler!$F12="","",IF(AND(Görevler!$C12&lt;=(BH$4+Ayarlar!$C$6-1),Görevler!$D12&gt;=BH$4),IF(BH$4&lt;=Görevler!$C12+ROUND(Görevler!$F12*Görevler!$E12,0)-1,2,1),""))</f>
        <v/>
      </c>
      <c r="BI12" s="22" t="str">
        <f aca="false">IF(Görevler!$F12="","",IF(AND(Görevler!$C12&lt;=(BI$4+Ayarlar!$C$6-1),Görevler!$D12&gt;=BI$4),IF(BI$4&lt;=Görevler!$C12+ROUND(Görevler!$F12*Görevler!$E12,0)-1,2,1),""))</f>
        <v/>
      </c>
      <c r="BJ12" s="22" t="str">
        <f aca="false">IF(Görevler!$F12="","",IF(AND(Görevler!$C12&lt;=(BJ$4+Ayarlar!$C$6-1),Görevler!$D12&gt;=BJ$4),IF(BJ$4&lt;=Görevler!$C12+ROUND(Görevler!$F12*Görevler!$E12,0)-1,2,1),""))</f>
        <v/>
      </c>
    </row>
    <row r="13" customFormat="false" ht="15" hidden="false" customHeight="false" outlineLevel="0" collapsed="false">
      <c r="A13" s="21" t="str">
        <f aca="false">IF(Görevler!A13="","",Görevler!A13)</f>
        <v/>
      </c>
      <c r="B13" s="21" t="str">
        <f aca="false">IF(Görevler!A13="","",Görevler!B13&amp;"")</f>
        <v/>
      </c>
      <c r="C13" s="22" t="str">
        <f aca="false">IF(Görevler!$F13="","",IF(AND(Görevler!$C13&lt;=(C$4+Ayarlar!$C$6-1),Görevler!$D13&gt;=C$4),IF(C$4&lt;=Görevler!$C13+ROUND(Görevler!$F13*Görevler!$E13,0)-1,2,1),""))</f>
        <v/>
      </c>
      <c r="D13" s="22" t="str">
        <f aca="false">IF(Görevler!$F13="","",IF(AND(Görevler!$C13&lt;=(D$4+Ayarlar!$C$6-1),Görevler!$D13&gt;=D$4),IF(D$4&lt;=Görevler!$C13+ROUND(Görevler!$F13*Görevler!$E13,0)-1,2,1),""))</f>
        <v/>
      </c>
      <c r="E13" s="22" t="str">
        <f aca="false">IF(Görevler!$F13="","",IF(AND(Görevler!$C13&lt;=(E$4+Ayarlar!$C$6-1),Görevler!$D13&gt;=E$4),IF(E$4&lt;=Görevler!$C13+ROUND(Görevler!$F13*Görevler!$E13,0)-1,2,1),""))</f>
        <v/>
      </c>
      <c r="F13" s="22" t="str">
        <f aca="false">IF(Görevler!$F13="","",IF(AND(Görevler!$C13&lt;=(F$4+Ayarlar!$C$6-1),Görevler!$D13&gt;=F$4),IF(F$4&lt;=Görevler!$C13+ROUND(Görevler!$F13*Görevler!$E13,0)-1,2,1),""))</f>
        <v/>
      </c>
      <c r="G13" s="22" t="str">
        <f aca="false">IF(Görevler!$F13="","",IF(AND(Görevler!$C13&lt;=(G$4+Ayarlar!$C$6-1),Görevler!$D13&gt;=G$4),IF(G$4&lt;=Görevler!$C13+ROUND(Görevler!$F13*Görevler!$E13,0)-1,2,1),""))</f>
        <v/>
      </c>
      <c r="H13" s="22" t="str">
        <f aca="false">IF(Görevler!$F13="","",IF(AND(Görevler!$C13&lt;=(H$4+Ayarlar!$C$6-1),Görevler!$D13&gt;=H$4),IF(H$4&lt;=Görevler!$C13+ROUND(Görevler!$F13*Görevler!$E13,0)-1,2,1),""))</f>
        <v/>
      </c>
      <c r="I13" s="22" t="str">
        <f aca="false">IF(Görevler!$F13="","",IF(AND(Görevler!$C13&lt;=(I$4+Ayarlar!$C$6-1),Görevler!$D13&gt;=I$4),IF(I$4&lt;=Görevler!$C13+ROUND(Görevler!$F13*Görevler!$E13,0)-1,2,1),""))</f>
        <v/>
      </c>
      <c r="J13" s="22" t="str">
        <f aca="false">IF(Görevler!$F13="","",IF(AND(Görevler!$C13&lt;=(J$4+Ayarlar!$C$6-1),Görevler!$D13&gt;=J$4),IF(J$4&lt;=Görevler!$C13+ROUND(Görevler!$F13*Görevler!$E13,0)-1,2,1),""))</f>
        <v/>
      </c>
      <c r="K13" s="22" t="str">
        <f aca="false">IF(Görevler!$F13="","",IF(AND(Görevler!$C13&lt;=(K$4+Ayarlar!$C$6-1),Görevler!$D13&gt;=K$4),IF(K$4&lt;=Görevler!$C13+ROUND(Görevler!$F13*Görevler!$E13,0)-1,2,1),""))</f>
        <v/>
      </c>
      <c r="L13" s="22" t="str">
        <f aca="false">IF(Görevler!$F13="","",IF(AND(Görevler!$C13&lt;=(L$4+Ayarlar!$C$6-1),Görevler!$D13&gt;=L$4),IF(L$4&lt;=Görevler!$C13+ROUND(Görevler!$F13*Görevler!$E13,0)-1,2,1),""))</f>
        <v/>
      </c>
      <c r="M13" s="22" t="str">
        <f aca="false">IF(Görevler!$F13="","",IF(AND(Görevler!$C13&lt;=(M$4+Ayarlar!$C$6-1),Görevler!$D13&gt;=M$4),IF(M$4&lt;=Görevler!$C13+ROUND(Görevler!$F13*Görevler!$E13,0)-1,2,1),""))</f>
        <v/>
      </c>
      <c r="N13" s="22" t="str">
        <f aca="false">IF(Görevler!$F13="","",IF(AND(Görevler!$C13&lt;=(N$4+Ayarlar!$C$6-1),Görevler!$D13&gt;=N$4),IF(N$4&lt;=Görevler!$C13+ROUND(Görevler!$F13*Görevler!$E13,0)-1,2,1),""))</f>
        <v/>
      </c>
      <c r="O13" s="22" t="str">
        <f aca="false">IF(Görevler!$F13="","",IF(AND(Görevler!$C13&lt;=(O$4+Ayarlar!$C$6-1),Görevler!$D13&gt;=O$4),IF(O$4&lt;=Görevler!$C13+ROUND(Görevler!$F13*Görevler!$E13,0)-1,2,1),""))</f>
        <v/>
      </c>
      <c r="P13" s="22" t="str">
        <f aca="false">IF(Görevler!$F13="","",IF(AND(Görevler!$C13&lt;=(P$4+Ayarlar!$C$6-1),Görevler!$D13&gt;=P$4),IF(P$4&lt;=Görevler!$C13+ROUND(Görevler!$F13*Görevler!$E13,0)-1,2,1),""))</f>
        <v/>
      </c>
      <c r="Q13" s="22" t="str">
        <f aca="false">IF(Görevler!$F13="","",IF(AND(Görevler!$C13&lt;=(Q$4+Ayarlar!$C$6-1),Görevler!$D13&gt;=Q$4),IF(Q$4&lt;=Görevler!$C13+ROUND(Görevler!$F13*Görevler!$E13,0)-1,2,1),""))</f>
        <v/>
      </c>
      <c r="R13" s="22" t="str">
        <f aca="false">IF(Görevler!$F13="","",IF(AND(Görevler!$C13&lt;=(R$4+Ayarlar!$C$6-1),Görevler!$D13&gt;=R$4),IF(R$4&lt;=Görevler!$C13+ROUND(Görevler!$F13*Görevler!$E13,0)-1,2,1),""))</f>
        <v/>
      </c>
      <c r="S13" s="22" t="str">
        <f aca="false">IF(Görevler!$F13="","",IF(AND(Görevler!$C13&lt;=(S$4+Ayarlar!$C$6-1),Görevler!$D13&gt;=S$4),IF(S$4&lt;=Görevler!$C13+ROUND(Görevler!$F13*Görevler!$E13,0)-1,2,1),""))</f>
        <v/>
      </c>
      <c r="T13" s="22" t="str">
        <f aca="false">IF(Görevler!$F13="","",IF(AND(Görevler!$C13&lt;=(T$4+Ayarlar!$C$6-1),Görevler!$D13&gt;=T$4),IF(T$4&lt;=Görevler!$C13+ROUND(Görevler!$F13*Görevler!$E13,0)-1,2,1),""))</f>
        <v/>
      </c>
      <c r="U13" s="22" t="str">
        <f aca="false">IF(Görevler!$F13="","",IF(AND(Görevler!$C13&lt;=(U$4+Ayarlar!$C$6-1),Görevler!$D13&gt;=U$4),IF(U$4&lt;=Görevler!$C13+ROUND(Görevler!$F13*Görevler!$E13,0)-1,2,1),""))</f>
        <v/>
      </c>
      <c r="V13" s="22" t="str">
        <f aca="false">IF(Görevler!$F13="","",IF(AND(Görevler!$C13&lt;=(V$4+Ayarlar!$C$6-1),Görevler!$D13&gt;=V$4),IF(V$4&lt;=Görevler!$C13+ROUND(Görevler!$F13*Görevler!$E13,0)-1,2,1),""))</f>
        <v/>
      </c>
      <c r="W13" s="22" t="str">
        <f aca="false">IF(Görevler!$F13="","",IF(AND(Görevler!$C13&lt;=(W$4+Ayarlar!$C$6-1),Görevler!$D13&gt;=W$4),IF(W$4&lt;=Görevler!$C13+ROUND(Görevler!$F13*Görevler!$E13,0)-1,2,1),""))</f>
        <v/>
      </c>
      <c r="X13" s="22" t="str">
        <f aca="false">IF(Görevler!$F13="","",IF(AND(Görevler!$C13&lt;=(X$4+Ayarlar!$C$6-1),Görevler!$D13&gt;=X$4),IF(X$4&lt;=Görevler!$C13+ROUND(Görevler!$F13*Görevler!$E13,0)-1,2,1),""))</f>
        <v/>
      </c>
      <c r="Y13" s="22" t="str">
        <f aca="false">IF(Görevler!$F13="","",IF(AND(Görevler!$C13&lt;=(Y$4+Ayarlar!$C$6-1),Görevler!$D13&gt;=Y$4),IF(Y$4&lt;=Görevler!$C13+ROUND(Görevler!$F13*Görevler!$E13,0)-1,2,1),""))</f>
        <v/>
      </c>
      <c r="Z13" s="22" t="str">
        <f aca="false">IF(Görevler!$F13="","",IF(AND(Görevler!$C13&lt;=(Z$4+Ayarlar!$C$6-1),Görevler!$D13&gt;=Z$4),IF(Z$4&lt;=Görevler!$C13+ROUND(Görevler!$F13*Görevler!$E13,0)-1,2,1),""))</f>
        <v/>
      </c>
      <c r="AA13" s="22" t="str">
        <f aca="false">IF(Görevler!$F13="","",IF(AND(Görevler!$C13&lt;=(AA$4+Ayarlar!$C$6-1),Görevler!$D13&gt;=AA$4),IF(AA$4&lt;=Görevler!$C13+ROUND(Görevler!$F13*Görevler!$E13,0)-1,2,1),""))</f>
        <v/>
      </c>
      <c r="AB13" s="22" t="str">
        <f aca="false">IF(Görevler!$F13="","",IF(AND(Görevler!$C13&lt;=(AB$4+Ayarlar!$C$6-1),Görevler!$D13&gt;=AB$4),IF(AB$4&lt;=Görevler!$C13+ROUND(Görevler!$F13*Görevler!$E13,0)-1,2,1),""))</f>
        <v/>
      </c>
      <c r="AC13" s="22" t="str">
        <f aca="false">IF(Görevler!$F13="","",IF(AND(Görevler!$C13&lt;=(AC$4+Ayarlar!$C$6-1),Görevler!$D13&gt;=AC$4),IF(AC$4&lt;=Görevler!$C13+ROUND(Görevler!$F13*Görevler!$E13,0)-1,2,1),""))</f>
        <v/>
      </c>
      <c r="AD13" s="22" t="str">
        <f aca="false">IF(Görevler!$F13="","",IF(AND(Görevler!$C13&lt;=(AD$4+Ayarlar!$C$6-1),Görevler!$D13&gt;=AD$4),IF(AD$4&lt;=Görevler!$C13+ROUND(Görevler!$F13*Görevler!$E13,0)-1,2,1),""))</f>
        <v/>
      </c>
      <c r="AE13" s="22" t="str">
        <f aca="false">IF(Görevler!$F13="","",IF(AND(Görevler!$C13&lt;=(AE$4+Ayarlar!$C$6-1),Görevler!$D13&gt;=AE$4),IF(AE$4&lt;=Görevler!$C13+ROUND(Görevler!$F13*Görevler!$E13,0)-1,2,1),""))</f>
        <v/>
      </c>
      <c r="AF13" s="22" t="str">
        <f aca="false">IF(Görevler!$F13="","",IF(AND(Görevler!$C13&lt;=(AF$4+Ayarlar!$C$6-1),Görevler!$D13&gt;=AF$4),IF(AF$4&lt;=Görevler!$C13+ROUND(Görevler!$F13*Görevler!$E13,0)-1,2,1),""))</f>
        <v/>
      </c>
      <c r="AG13" s="22" t="str">
        <f aca="false">IF(Görevler!$F13="","",IF(AND(Görevler!$C13&lt;=(AG$4+Ayarlar!$C$6-1),Görevler!$D13&gt;=AG$4),IF(AG$4&lt;=Görevler!$C13+ROUND(Görevler!$F13*Görevler!$E13,0)-1,2,1),""))</f>
        <v/>
      </c>
      <c r="AH13" s="22" t="str">
        <f aca="false">IF(Görevler!$F13="","",IF(AND(Görevler!$C13&lt;=(AH$4+Ayarlar!$C$6-1),Görevler!$D13&gt;=AH$4),IF(AH$4&lt;=Görevler!$C13+ROUND(Görevler!$F13*Görevler!$E13,0)-1,2,1),""))</f>
        <v/>
      </c>
      <c r="AI13" s="22" t="str">
        <f aca="false">IF(Görevler!$F13="","",IF(AND(Görevler!$C13&lt;=(AI$4+Ayarlar!$C$6-1),Görevler!$D13&gt;=AI$4),IF(AI$4&lt;=Görevler!$C13+ROUND(Görevler!$F13*Görevler!$E13,0)-1,2,1),""))</f>
        <v/>
      </c>
      <c r="AJ13" s="22" t="str">
        <f aca="false">IF(Görevler!$F13="","",IF(AND(Görevler!$C13&lt;=(AJ$4+Ayarlar!$C$6-1),Görevler!$D13&gt;=AJ$4),IF(AJ$4&lt;=Görevler!$C13+ROUND(Görevler!$F13*Görevler!$E13,0)-1,2,1),""))</f>
        <v/>
      </c>
      <c r="AK13" s="22" t="str">
        <f aca="false">IF(Görevler!$F13="","",IF(AND(Görevler!$C13&lt;=(AK$4+Ayarlar!$C$6-1),Görevler!$D13&gt;=AK$4),IF(AK$4&lt;=Görevler!$C13+ROUND(Görevler!$F13*Görevler!$E13,0)-1,2,1),""))</f>
        <v/>
      </c>
      <c r="AL13" s="22" t="str">
        <f aca="false">IF(Görevler!$F13="","",IF(AND(Görevler!$C13&lt;=(AL$4+Ayarlar!$C$6-1),Görevler!$D13&gt;=AL$4),IF(AL$4&lt;=Görevler!$C13+ROUND(Görevler!$F13*Görevler!$E13,0)-1,2,1),""))</f>
        <v/>
      </c>
      <c r="AM13" s="22" t="str">
        <f aca="false">IF(Görevler!$F13="","",IF(AND(Görevler!$C13&lt;=(AM$4+Ayarlar!$C$6-1),Görevler!$D13&gt;=AM$4),IF(AM$4&lt;=Görevler!$C13+ROUND(Görevler!$F13*Görevler!$E13,0)-1,2,1),""))</f>
        <v/>
      </c>
      <c r="AN13" s="22" t="str">
        <f aca="false">IF(Görevler!$F13="","",IF(AND(Görevler!$C13&lt;=(AN$4+Ayarlar!$C$6-1),Görevler!$D13&gt;=AN$4),IF(AN$4&lt;=Görevler!$C13+ROUND(Görevler!$F13*Görevler!$E13,0)-1,2,1),""))</f>
        <v/>
      </c>
      <c r="AO13" s="22" t="str">
        <f aca="false">IF(Görevler!$F13="","",IF(AND(Görevler!$C13&lt;=(AO$4+Ayarlar!$C$6-1),Görevler!$D13&gt;=AO$4),IF(AO$4&lt;=Görevler!$C13+ROUND(Görevler!$F13*Görevler!$E13,0)-1,2,1),""))</f>
        <v/>
      </c>
      <c r="AP13" s="22" t="str">
        <f aca="false">IF(Görevler!$F13="","",IF(AND(Görevler!$C13&lt;=(AP$4+Ayarlar!$C$6-1),Görevler!$D13&gt;=AP$4),IF(AP$4&lt;=Görevler!$C13+ROUND(Görevler!$F13*Görevler!$E13,0)-1,2,1),""))</f>
        <v/>
      </c>
      <c r="AQ13" s="22" t="str">
        <f aca="false">IF(Görevler!$F13="","",IF(AND(Görevler!$C13&lt;=(AQ$4+Ayarlar!$C$6-1),Görevler!$D13&gt;=AQ$4),IF(AQ$4&lt;=Görevler!$C13+ROUND(Görevler!$F13*Görevler!$E13,0)-1,2,1),""))</f>
        <v/>
      </c>
      <c r="AR13" s="22" t="str">
        <f aca="false">IF(Görevler!$F13="","",IF(AND(Görevler!$C13&lt;=(AR$4+Ayarlar!$C$6-1),Görevler!$D13&gt;=AR$4),IF(AR$4&lt;=Görevler!$C13+ROUND(Görevler!$F13*Görevler!$E13,0)-1,2,1),""))</f>
        <v/>
      </c>
      <c r="AS13" s="22" t="str">
        <f aca="false">IF(Görevler!$F13="","",IF(AND(Görevler!$C13&lt;=(AS$4+Ayarlar!$C$6-1),Görevler!$D13&gt;=AS$4),IF(AS$4&lt;=Görevler!$C13+ROUND(Görevler!$F13*Görevler!$E13,0)-1,2,1),""))</f>
        <v/>
      </c>
      <c r="AT13" s="22" t="str">
        <f aca="false">IF(Görevler!$F13="","",IF(AND(Görevler!$C13&lt;=(AT$4+Ayarlar!$C$6-1),Görevler!$D13&gt;=AT$4),IF(AT$4&lt;=Görevler!$C13+ROUND(Görevler!$F13*Görevler!$E13,0)-1,2,1),""))</f>
        <v/>
      </c>
      <c r="AU13" s="22" t="str">
        <f aca="false">IF(Görevler!$F13="","",IF(AND(Görevler!$C13&lt;=(AU$4+Ayarlar!$C$6-1),Görevler!$D13&gt;=AU$4),IF(AU$4&lt;=Görevler!$C13+ROUND(Görevler!$F13*Görevler!$E13,0)-1,2,1),""))</f>
        <v/>
      </c>
      <c r="AV13" s="22" t="str">
        <f aca="false">IF(Görevler!$F13="","",IF(AND(Görevler!$C13&lt;=(AV$4+Ayarlar!$C$6-1),Görevler!$D13&gt;=AV$4),IF(AV$4&lt;=Görevler!$C13+ROUND(Görevler!$F13*Görevler!$E13,0)-1,2,1),""))</f>
        <v/>
      </c>
      <c r="AW13" s="22" t="str">
        <f aca="false">IF(Görevler!$F13="","",IF(AND(Görevler!$C13&lt;=(AW$4+Ayarlar!$C$6-1),Görevler!$D13&gt;=AW$4),IF(AW$4&lt;=Görevler!$C13+ROUND(Görevler!$F13*Görevler!$E13,0)-1,2,1),""))</f>
        <v/>
      </c>
      <c r="AX13" s="22" t="str">
        <f aca="false">IF(Görevler!$F13="","",IF(AND(Görevler!$C13&lt;=(AX$4+Ayarlar!$C$6-1),Görevler!$D13&gt;=AX$4),IF(AX$4&lt;=Görevler!$C13+ROUND(Görevler!$F13*Görevler!$E13,0)-1,2,1),""))</f>
        <v/>
      </c>
      <c r="AY13" s="22" t="str">
        <f aca="false">IF(Görevler!$F13="","",IF(AND(Görevler!$C13&lt;=(AY$4+Ayarlar!$C$6-1),Görevler!$D13&gt;=AY$4),IF(AY$4&lt;=Görevler!$C13+ROUND(Görevler!$F13*Görevler!$E13,0)-1,2,1),""))</f>
        <v/>
      </c>
      <c r="AZ13" s="22" t="str">
        <f aca="false">IF(Görevler!$F13="","",IF(AND(Görevler!$C13&lt;=(AZ$4+Ayarlar!$C$6-1),Görevler!$D13&gt;=AZ$4),IF(AZ$4&lt;=Görevler!$C13+ROUND(Görevler!$F13*Görevler!$E13,0)-1,2,1),""))</f>
        <v/>
      </c>
      <c r="BA13" s="22" t="str">
        <f aca="false">IF(Görevler!$F13="","",IF(AND(Görevler!$C13&lt;=(BA$4+Ayarlar!$C$6-1),Görevler!$D13&gt;=BA$4),IF(BA$4&lt;=Görevler!$C13+ROUND(Görevler!$F13*Görevler!$E13,0)-1,2,1),""))</f>
        <v/>
      </c>
      <c r="BB13" s="22" t="str">
        <f aca="false">IF(Görevler!$F13="","",IF(AND(Görevler!$C13&lt;=(BB$4+Ayarlar!$C$6-1),Görevler!$D13&gt;=BB$4),IF(BB$4&lt;=Görevler!$C13+ROUND(Görevler!$F13*Görevler!$E13,0)-1,2,1),""))</f>
        <v/>
      </c>
      <c r="BC13" s="22" t="str">
        <f aca="false">IF(Görevler!$F13="","",IF(AND(Görevler!$C13&lt;=(BC$4+Ayarlar!$C$6-1),Görevler!$D13&gt;=BC$4),IF(BC$4&lt;=Görevler!$C13+ROUND(Görevler!$F13*Görevler!$E13,0)-1,2,1),""))</f>
        <v/>
      </c>
      <c r="BD13" s="22" t="str">
        <f aca="false">IF(Görevler!$F13="","",IF(AND(Görevler!$C13&lt;=(BD$4+Ayarlar!$C$6-1),Görevler!$D13&gt;=BD$4),IF(BD$4&lt;=Görevler!$C13+ROUND(Görevler!$F13*Görevler!$E13,0)-1,2,1),""))</f>
        <v/>
      </c>
      <c r="BE13" s="22" t="str">
        <f aca="false">IF(Görevler!$F13="","",IF(AND(Görevler!$C13&lt;=(BE$4+Ayarlar!$C$6-1),Görevler!$D13&gt;=BE$4),IF(BE$4&lt;=Görevler!$C13+ROUND(Görevler!$F13*Görevler!$E13,0)-1,2,1),""))</f>
        <v/>
      </c>
      <c r="BF13" s="22" t="str">
        <f aca="false">IF(Görevler!$F13="","",IF(AND(Görevler!$C13&lt;=(BF$4+Ayarlar!$C$6-1),Görevler!$D13&gt;=BF$4),IF(BF$4&lt;=Görevler!$C13+ROUND(Görevler!$F13*Görevler!$E13,0)-1,2,1),""))</f>
        <v/>
      </c>
      <c r="BG13" s="22" t="str">
        <f aca="false">IF(Görevler!$F13="","",IF(AND(Görevler!$C13&lt;=(BG$4+Ayarlar!$C$6-1),Görevler!$D13&gt;=BG$4),IF(BG$4&lt;=Görevler!$C13+ROUND(Görevler!$F13*Görevler!$E13,0)-1,2,1),""))</f>
        <v/>
      </c>
      <c r="BH13" s="22" t="str">
        <f aca="false">IF(Görevler!$F13="","",IF(AND(Görevler!$C13&lt;=(BH$4+Ayarlar!$C$6-1),Görevler!$D13&gt;=BH$4),IF(BH$4&lt;=Görevler!$C13+ROUND(Görevler!$F13*Görevler!$E13,0)-1,2,1),""))</f>
        <v/>
      </c>
      <c r="BI13" s="22" t="str">
        <f aca="false">IF(Görevler!$F13="","",IF(AND(Görevler!$C13&lt;=(BI$4+Ayarlar!$C$6-1),Görevler!$D13&gt;=BI$4),IF(BI$4&lt;=Görevler!$C13+ROUND(Görevler!$F13*Görevler!$E13,0)-1,2,1),""))</f>
        <v/>
      </c>
      <c r="BJ13" s="22" t="str">
        <f aca="false">IF(Görevler!$F13="","",IF(AND(Görevler!$C13&lt;=(BJ$4+Ayarlar!$C$6-1),Görevler!$D13&gt;=BJ$4),IF(BJ$4&lt;=Görevler!$C13+ROUND(Görevler!$F13*Görevler!$E13,0)-1,2,1),""))</f>
        <v/>
      </c>
    </row>
    <row r="14" customFormat="false" ht="15" hidden="false" customHeight="false" outlineLevel="0" collapsed="false">
      <c r="A14" s="21" t="str">
        <f aca="false">IF(Görevler!A14="","",Görevler!A14)</f>
        <v/>
      </c>
      <c r="B14" s="21" t="str">
        <f aca="false">IF(Görevler!A14="","",Görevler!B14&amp;"")</f>
        <v/>
      </c>
      <c r="C14" s="22" t="str">
        <f aca="false">IF(Görevler!$F14="","",IF(AND(Görevler!$C14&lt;=(C$4+Ayarlar!$C$6-1),Görevler!$D14&gt;=C$4),IF(C$4&lt;=Görevler!$C14+ROUND(Görevler!$F14*Görevler!$E14,0)-1,2,1),""))</f>
        <v/>
      </c>
      <c r="D14" s="22" t="str">
        <f aca="false">IF(Görevler!$F14="","",IF(AND(Görevler!$C14&lt;=(D$4+Ayarlar!$C$6-1),Görevler!$D14&gt;=D$4),IF(D$4&lt;=Görevler!$C14+ROUND(Görevler!$F14*Görevler!$E14,0)-1,2,1),""))</f>
        <v/>
      </c>
      <c r="E14" s="22" t="str">
        <f aca="false">IF(Görevler!$F14="","",IF(AND(Görevler!$C14&lt;=(E$4+Ayarlar!$C$6-1),Görevler!$D14&gt;=E$4),IF(E$4&lt;=Görevler!$C14+ROUND(Görevler!$F14*Görevler!$E14,0)-1,2,1),""))</f>
        <v/>
      </c>
      <c r="F14" s="22" t="str">
        <f aca="false">IF(Görevler!$F14="","",IF(AND(Görevler!$C14&lt;=(F$4+Ayarlar!$C$6-1),Görevler!$D14&gt;=F$4),IF(F$4&lt;=Görevler!$C14+ROUND(Görevler!$F14*Görevler!$E14,0)-1,2,1),""))</f>
        <v/>
      </c>
      <c r="G14" s="22" t="str">
        <f aca="false">IF(Görevler!$F14="","",IF(AND(Görevler!$C14&lt;=(G$4+Ayarlar!$C$6-1),Görevler!$D14&gt;=G$4),IF(G$4&lt;=Görevler!$C14+ROUND(Görevler!$F14*Görevler!$E14,0)-1,2,1),""))</f>
        <v/>
      </c>
      <c r="H14" s="22" t="str">
        <f aca="false">IF(Görevler!$F14="","",IF(AND(Görevler!$C14&lt;=(H$4+Ayarlar!$C$6-1),Görevler!$D14&gt;=H$4),IF(H$4&lt;=Görevler!$C14+ROUND(Görevler!$F14*Görevler!$E14,0)-1,2,1),""))</f>
        <v/>
      </c>
      <c r="I14" s="22" t="str">
        <f aca="false">IF(Görevler!$F14="","",IF(AND(Görevler!$C14&lt;=(I$4+Ayarlar!$C$6-1),Görevler!$D14&gt;=I$4),IF(I$4&lt;=Görevler!$C14+ROUND(Görevler!$F14*Görevler!$E14,0)-1,2,1),""))</f>
        <v/>
      </c>
      <c r="J14" s="22" t="str">
        <f aca="false">IF(Görevler!$F14="","",IF(AND(Görevler!$C14&lt;=(J$4+Ayarlar!$C$6-1),Görevler!$D14&gt;=J$4),IF(J$4&lt;=Görevler!$C14+ROUND(Görevler!$F14*Görevler!$E14,0)-1,2,1),""))</f>
        <v/>
      </c>
      <c r="K14" s="22" t="str">
        <f aca="false">IF(Görevler!$F14="","",IF(AND(Görevler!$C14&lt;=(K$4+Ayarlar!$C$6-1),Görevler!$D14&gt;=K$4),IF(K$4&lt;=Görevler!$C14+ROUND(Görevler!$F14*Görevler!$E14,0)-1,2,1),""))</f>
        <v/>
      </c>
      <c r="L14" s="22" t="str">
        <f aca="false">IF(Görevler!$F14="","",IF(AND(Görevler!$C14&lt;=(L$4+Ayarlar!$C$6-1),Görevler!$D14&gt;=L$4),IF(L$4&lt;=Görevler!$C14+ROUND(Görevler!$F14*Görevler!$E14,0)-1,2,1),""))</f>
        <v/>
      </c>
      <c r="M14" s="22" t="str">
        <f aca="false">IF(Görevler!$F14="","",IF(AND(Görevler!$C14&lt;=(M$4+Ayarlar!$C$6-1),Görevler!$D14&gt;=M$4),IF(M$4&lt;=Görevler!$C14+ROUND(Görevler!$F14*Görevler!$E14,0)-1,2,1),""))</f>
        <v/>
      </c>
      <c r="N14" s="22" t="str">
        <f aca="false">IF(Görevler!$F14="","",IF(AND(Görevler!$C14&lt;=(N$4+Ayarlar!$C$6-1),Görevler!$D14&gt;=N$4),IF(N$4&lt;=Görevler!$C14+ROUND(Görevler!$F14*Görevler!$E14,0)-1,2,1),""))</f>
        <v/>
      </c>
      <c r="O14" s="22" t="str">
        <f aca="false">IF(Görevler!$F14="","",IF(AND(Görevler!$C14&lt;=(O$4+Ayarlar!$C$6-1),Görevler!$D14&gt;=O$4),IF(O$4&lt;=Görevler!$C14+ROUND(Görevler!$F14*Görevler!$E14,0)-1,2,1),""))</f>
        <v/>
      </c>
      <c r="P14" s="22" t="str">
        <f aca="false">IF(Görevler!$F14="","",IF(AND(Görevler!$C14&lt;=(P$4+Ayarlar!$C$6-1),Görevler!$D14&gt;=P$4),IF(P$4&lt;=Görevler!$C14+ROUND(Görevler!$F14*Görevler!$E14,0)-1,2,1),""))</f>
        <v/>
      </c>
      <c r="Q14" s="22" t="str">
        <f aca="false">IF(Görevler!$F14="","",IF(AND(Görevler!$C14&lt;=(Q$4+Ayarlar!$C$6-1),Görevler!$D14&gt;=Q$4),IF(Q$4&lt;=Görevler!$C14+ROUND(Görevler!$F14*Görevler!$E14,0)-1,2,1),""))</f>
        <v/>
      </c>
      <c r="R14" s="22" t="str">
        <f aca="false">IF(Görevler!$F14="","",IF(AND(Görevler!$C14&lt;=(R$4+Ayarlar!$C$6-1),Görevler!$D14&gt;=R$4),IF(R$4&lt;=Görevler!$C14+ROUND(Görevler!$F14*Görevler!$E14,0)-1,2,1),""))</f>
        <v/>
      </c>
      <c r="S14" s="22" t="str">
        <f aca="false">IF(Görevler!$F14="","",IF(AND(Görevler!$C14&lt;=(S$4+Ayarlar!$C$6-1),Görevler!$D14&gt;=S$4),IF(S$4&lt;=Görevler!$C14+ROUND(Görevler!$F14*Görevler!$E14,0)-1,2,1),""))</f>
        <v/>
      </c>
      <c r="T14" s="22" t="str">
        <f aca="false">IF(Görevler!$F14="","",IF(AND(Görevler!$C14&lt;=(T$4+Ayarlar!$C$6-1),Görevler!$D14&gt;=T$4),IF(T$4&lt;=Görevler!$C14+ROUND(Görevler!$F14*Görevler!$E14,0)-1,2,1),""))</f>
        <v/>
      </c>
      <c r="U14" s="22" t="str">
        <f aca="false">IF(Görevler!$F14="","",IF(AND(Görevler!$C14&lt;=(U$4+Ayarlar!$C$6-1),Görevler!$D14&gt;=U$4),IF(U$4&lt;=Görevler!$C14+ROUND(Görevler!$F14*Görevler!$E14,0)-1,2,1),""))</f>
        <v/>
      </c>
      <c r="V14" s="22" t="str">
        <f aca="false">IF(Görevler!$F14="","",IF(AND(Görevler!$C14&lt;=(V$4+Ayarlar!$C$6-1),Görevler!$D14&gt;=V$4),IF(V$4&lt;=Görevler!$C14+ROUND(Görevler!$F14*Görevler!$E14,0)-1,2,1),""))</f>
        <v/>
      </c>
      <c r="W14" s="22" t="str">
        <f aca="false">IF(Görevler!$F14="","",IF(AND(Görevler!$C14&lt;=(W$4+Ayarlar!$C$6-1),Görevler!$D14&gt;=W$4),IF(W$4&lt;=Görevler!$C14+ROUND(Görevler!$F14*Görevler!$E14,0)-1,2,1),""))</f>
        <v/>
      </c>
      <c r="X14" s="22" t="str">
        <f aca="false">IF(Görevler!$F14="","",IF(AND(Görevler!$C14&lt;=(X$4+Ayarlar!$C$6-1),Görevler!$D14&gt;=X$4),IF(X$4&lt;=Görevler!$C14+ROUND(Görevler!$F14*Görevler!$E14,0)-1,2,1),""))</f>
        <v/>
      </c>
      <c r="Y14" s="22" t="str">
        <f aca="false">IF(Görevler!$F14="","",IF(AND(Görevler!$C14&lt;=(Y$4+Ayarlar!$C$6-1),Görevler!$D14&gt;=Y$4),IF(Y$4&lt;=Görevler!$C14+ROUND(Görevler!$F14*Görevler!$E14,0)-1,2,1),""))</f>
        <v/>
      </c>
      <c r="Z14" s="22" t="str">
        <f aca="false">IF(Görevler!$F14="","",IF(AND(Görevler!$C14&lt;=(Z$4+Ayarlar!$C$6-1),Görevler!$D14&gt;=Z$4),IF(Z$4&lt;=Görevler!$C14+ROUND(Görevler!$F14*Görevler!$E14,0)-1,2,1),""))</f>
        <v/>
      </c>
      <c r="AA14" s="22" t="str">
        <f aca="false">IF(Görevler!$F14="","",IF(AND(Görevler!$C14&lt;=(AA$4+Ayarlar!$C$6-1),Görevler!$D14&gt;=AA$4),IF(AA$4&lt;=Görevler!$C14+ROUND(Görevler!$F14*Görevler!$E14,0)-1,2,1),""))</f>
        <v/>
      </c>
      <c r="AB14" s="22" t="str">
        <f aca="false">IF(Görevler!$F14="","",IF(AND(Görevler!$C14&lt;=(AB$4+Ayarlar!$C$6-1),Görevler!$D14&gt;=AB$4),IF(AB$4&lt;=Görevler!$C14+ROUND(Görevler!$F14*Görevler!$E14,0)-1,2,1),""))</f>
        <v/>
      </c>
      <c r="AC14" s="22" t="str">
        <f aca="false">IF(Görevler!$F14="","",IF(AND(Görevler!$C14&lt;=(AC$4+Ayarlar!$C$6-1),Görevler!$D14&gt;=AC$4),IF(AC$4&lt;=Görevler!$C14+ROUND(Görevler!$F14*Görevler!$E14,0)-1,2,1),""))</f>
        <v/>
      </c>
      <c r="AD14" s="22" t="str">
        <f aca="false">IF(Görevler!$F14="","",IF(AND(Görevler!$C14&lt;=(AD$4+Ayarlar!$C$6-1),Görevler!$D14&gt;=AD$4),IF(AD$4&lt;=Görevler!$C14+ROUND(Görevler!$F14*Görevler!$E14,0)-1,2,1),""))</f>
        <v/>
      </c>
      <c r="AE14" s="22" t="str">
        <f aca="false">IF(Görevler!$F14="","",IF(AND(Görevler!$C14&lt;=(AE$4+Ayarlar!$C$6-1),Görevler!$D14&gt;=AE$4),IF(AE$4&lt;=Görevler!$C14+ROUND(Görevler!$F14*Görevler!$E14,0)-1,2,1),""))</f>
        <v/>
      </c>
      <c r="AF14" s="22" t="str">
        <f aca="false">IF(Görevler!$F14="","",IF(AND(Görevler!$C14&lt;=(AF$4+Ayarlar!$C$6-1),Görevler!$D14&gt;=AF$4),IF(AF$4&lt;=Görevler!$C14+ROUND(Görevler!$F14*Görevler!$E14,0)-1,2,1),""))</f>
        <v/>
      </c>
      <c r="AG14" s="22" t="str">
        <f aca="false">IF(Görevler!$F14="","",IF(AND(Görevler!$C14&lt;=(AG$4+Ayarlar!$C$6-1),Görevler!$D14&gt;=AG$4),IF(AG$4&lt;=Görevler!$C14+ROUND(Görevler!$F14*Görevler!$E14,0)-1,2,1),""))</f>
        <v/>
      </c>
      <c r="AH14" s="22" t="str">
        <f aca="false">IF(Görevler!$F14="","",IF(AND(Görevler!$C14&lt;=(AH$4+Ayarlar!$C$6-1),Görevler!$D14&gt;=AH$4),IF(AH$4&lt;=Görevler!$C14+ROUND(Görevler!$F14*Görevler!$E14,0)-1,2,1),""))</f>
        <v/>
      </c>
      <c r="AI14" s="22" t="str">
        <f aca="false">IF(Görevler!$F14="","",IF(AND(Görevler!$C14&lt;=(AI$4+Ayarlar!$C$6-1),Görevler!$D14&gt;=AI$4),IF(AI$4&lt;=Görevler!$C14+ROUND(Görevler!$F14*Görevler!$E14,0)-1,2,1),""))</f>
        <v/>
      </c>
      <c r="AJ14" s="22" t="str">
        <f aca="false">IF(Görevler!$F14="","",IF(AND(Görevler!$C14&lt;=(AJ$4+Ayarlar!$C$6-1),Görevler!$D14&gt;=AJ$4),IF(AJ$4&lt;=Görevler!$C14+ROUND(Görevler!$F14*Görevler!$E14,0)-1,2,1),""))</f>
        <v/>
      </c>
      <c r="AK14" s="22" t="str">
        <f aca="false">IF(Görevler!$F14="","",IF(AND(Görevler!$C14&lt;=(AK$4+Ayarlar!$C$6-1),Görevler!$D14&gt;=AK$4),IF(AK$4&lt;=Görevler!$C14+ROUND(Görevler!$F14*Görevler!$E14,0)-1,2,1),""))</f>
        <v/>
      </c>
      <c r="AL14" s="22" t="str">
        <f aca="false">IF(Görevler!$F14="","",IF(AND(Görevler!$C14&lt;=(AL$4+Ayarlar!$C$6-1),Görevler!$D14&gt;=AL$4),IF(AL$4&lt;=Görevler!$C14+ROUND(Görevler!$F14*Görevler!$E14,0)-1,2,1),""))</f>
        <v/>
      </c>
      <c r="AM14" s="22" t="str">
        <f aca="false">IF(Görevler!$F14="","",IF(AND(Görevler!$C14&lt;=(AM$4+Ayarlar!$C$6-1),Görevler!$D14&gt;=AM$4),IF(AM$4&lt;=Görevler!$C14+ROUND(Görevler!$F14*Görevler!$E14,0)-1,2,1),""))</f>
        <v/>
      </c>
      <c r="AN14" s="22" t="str">
        <f aca="false">IF(Görevler!$F14="","",IF(AND(Görevler!$C14&lt;=(AN$4+Ayarlar!$C$6-1),Görevler!$D14&gt;=AN$4),IF(AN$4&lt;=Görevler!$C14+ROUND(Görevler!$F14*Görevler!$E14,0)-1,2,1),""))</f>
        <v/>
      </c>
      <c r="AO14" s="22" t="str">
        <f aca="false">IF(Görevler!$F14="","",IF(AND(Görevler!$C14&lt;=(AO$4+Ayarlar!$C$6-1),Görevler!$D14&gt;=AO$4),IF(AO$4&lt;=Görevler!$C14+ROUND(Görevler!$F14*Görevler!$E14,0)-1,2,1),""))</f>
        <v/>
      </c>
      <c r="AP14" s="22" t="str">
        <f aca="false">IF(Görevler!$F14="","",IF(AND(Görevler!$C14&lt;=(AP$4+Ayarlar!$C$6-1),Görevler!$D14&gt;=AP$4),IF(AP$4&lt;=Görevler!$C14+ROUND(Görevler!$F14*Görevler!$E14,0)-1,2,1),""))</f>
        <v/>
      </c>
      <c r="AQ14" s="22" t="str">
        <f aca="false">IF(Görevler!$F14="","",IF(AND(Görevler!$C14&lt;=(AQ$4+Ayarlar!$C$6-1),Görevler!$D14&gt;=AQ$4),IF(AQ$4&lt;=Görevler!$C14+ROUND(Görevler!$F14*Görevler!$E14,0)-1,2,1),""))</f>
        <v/>
      </c>
      <c r="AR14" s="22" t="str">
        <f aca="false">IF(Görevler!$F14="","",IF(AND(Görevler!$C14&lt;=(AR$4+Ayarlar!$C$6-1),Görevler!$D14&gt;=AR$4),IF(AR$4&lt;=Görevler!$C14+ROUND(Görevler!$F14*Görevler!$E14,0)-1,2,1),""))</f>
        <v/>
      </c>
      <c r="AS14" s="22" t="str">
        <f aca="false">IF(Görevler!$F14="","",IF(AND(Görevler!$C14&lt;=(AS$4+Ayarlar!$C$6-1),Görevler!$D14&gt;=AS$4),IF(AS$4&lt;=Görevler!$C14+ROUND(Görevler!$F14*Görevler!$E14,0)-1,2,1),""))</f>
        <v/>
      </c>
      <c r="AT14" s="22" t="str">
        <f aca="false">IF(Görevler!$F14="","",IF(AND(Görevler!$C14&lt;=(AT$4+Ayarlar!$C$6-1),Görevler!$D14&gt;=AT$4),IF(AT$4&lt;=Görevler!$C14+ROUND(Görevler!$F14*Görevler!$E14,0)-1,2,1),""))</f>
        <v/>
      </c>
      <c r="AU14" s="22" t="str">
        <f aca="false">IF(Görevler!$F14="","",IF(AND(Görevler!$C14&lt;=(AU$4+Ayarlar!$C$6-1),Görevler!$D14&gt;=AU$4),IF(AU$4&lt;=Görevler!$C14+ROUND(Görevler!$F14*Görevler!$E14,0)-1,2,1),""))</f>
        <v/>
      </c>
      <c r="AV14" s="22" t="str">
        <f aca="false">IF(Görevler!$F14="","",IF(AND(Görevler!$C14&lt;=(AV$4+Ayarlar!$C$6-1),Görevler!$D14&gt;=AV$4),IF(AV$4&lt;=Görevler!$C14+ROUND(Görevler!$F14*Görevler!$E14,0)-1,2,1),""))</f>
        <v/>
      </c>
      <c r="AW14" s="22" t="str">
        <f aca="false">IF(Görevler!$F14="","",IF(AND(Görevler!$C14&lt;=(AW$4+Ayarlar!$C$6-1),Görevler!$D14&gt;=AW$4),IF(AW$4&lt;=Görevler!$C14+ROUND(Görevler!$F14*Görevler!$E14,0)-1,2,1),""))</f>
        <v/>
      </c>
      <c r="AX14" s="22" t="str">
        <f aca="false">IF(Görevler!$F14="","",IF(AND(Görevler!$C14&lt;=(AX$4+Ayarlar!$C$6-1),Görevler!$D14&gt;=AX$4),IF(AX$4&lt;=Görevler!$C14+ROUND(Görevler!$F14*Görevler!$E14,0)-1,2,1),""))</f>
        <v/>
      </c>
      <c r="AY14" s="22" t="str">
        <f aca="false">IF(Görevler!$F14="","",IF(AND(Görevler!$C14&lt;=(AY$4+Ayarlar!$C$6-1),Görevler!$D14&gt;=AY$4),IF(AY$4&lt;=Görevler!$C14+ROUND(Görevler!$F14*Görevler!$E14,0)-1,2,1),""))</f>
        <v/>
      </c>
      <c r="AZ14" s="22" t="str">
        <f aca="false">IF(Görevler!$F14="","",IF(AND(Görevler!$C14&lt;=(AZ$4+Ayarlar!$C$6-1),Görevler!$D14&gt;=AZ$4),IF(AZ$4&lt;=Görevler!$C14+ROUND(Görevler!$F14*Görevler!$E14,0)-1,2,1),""))</f>
        <v/>
      </c>
      <c r="BA14" s="22" t="str">
        <f aca="false">IF(Görevler!$F14="","",IF(AND(Görevler!$C14&lt;=(BA$4+Ayarlar!$C$6-1),Görevler!$D14&gt;=BA$4),IF(BA$4&lt;=Görevler!$C14+ROUND(Görevler!$F14*Görevler!$E14,0)-1,2,1),""))</f>
        <v/>
      </c>
      <c r="BB14" s="22" t="str">
        <f aca="false">IF(Görevler!$F14="","",IF(AND(Görevler!$C14&lt;=(BB$4+Ayarlar!$C$6-1),Görevler!$D14&gt;=BB$4),IF(BB$4&lt;=Görevler!$C14+ROUND(Görevler!$F14*Görevler!$E14,0)-1,2,1),""))</f>
        <v/>
      </c>
      <c r="BC14" s="22" t="str">
        <f aca="false">IF(Görevler!$F14="","",IF(AND(Görevler!$C14&lt;=(BC$4+Ayarlar!$C$6-1),Görevler!$D14&gt;=BC$4),IF(BC$4&lt;=Görevler!$C14+ROUND(Görevler!$F14*Görevler!$E14,0)-1,2,1),""))</f>
        <v/>
      </c>
      <c r="BD14" s="22" t="str">
        <f aca="false">IF(Görevler!$F14="","",IF(AND(Görevler!$C14&lt;=(BD$4+Ayarlar!$C$6-1),Görevler!$D14&gt;=BD$4),IF(BD$4&lt;=Görevler!$C14+ROUND(Görevler!$F14*Görevler!$E14,0)-1,2,1),""))</f>
        <v/>
      </c>
      <c r="BE14" s="22" t="str">
        <f aca="false">IF(Görevler!$F14="","",IF(AND(Görevler!$C14&lt;=(BE$4+Ayarlar!$C$6-1),Görevler!$D14&gt;=BE$4),IF(BE$4&lt;=Görevler!$C14+ROUND(Görevler!$F14*Görevler!$E14,0)-1,2,1),""))</f>
        <v/>
      </c>
      <c r="BF14" s="22" t="str">
        <f aca="false">IF(Görevler!$F14="","",IF(AND(Görevler!$C14&lt;=(BF$4+Ayarlar!$C$6-1),Görevler!$D14&gt;=BF$4),IF(BF$4&lt;=Görevler!$C14+ROUND(Görevler!$F14*Görevler!$E14,0)-1,2,1),""))</f>
        <v/>
      </c>
      <c r="BG14" s="22" t="str">
        <f aca="false">IF(Görevler!$F14="","",IF(AND(Görevler!$C14&lt;=(BG$4+Ayarlar!$C$6-1),Görevler!$D14&gt;=BG$4),IF(BG$4&lt;=Görevler!$C14+ROUND(Görevler!$F14*Görevler!$E14,0)-1,2,1),""))</f>
        <v/>
      </c>
      <c r="BH14" s="22" t="str">
        <f aca="false">IF(Görevler!$F14="","",IF(AND(Görevler!$C14&lt;=(BH$4+Ayarlar!$C$6-1),Görevler!$D14&gt;=BH$4),IF(BH$4&lt;=Görevler!$C14+ROUND(Görevler!$F14*Görevler!$E14,0)-1,2,1),""))</f>
        <v/>
      </c>
      <c r="BI14" s="22" t="str">
        <f aca="false">IF(Görevler!$F14="","",IF(AND(Görevler!$C14&lt;=(BI$4+Ayarlar!$C$6-1),Görevler!$D14&gt;=BI$4),IF(BI$4&lt;=Görevler!$C14+ROUND(Görevler!$F14*Görevler!$E14,0)-1,2,1),""))</f>
        <v/>
      </c>
      <c r="BJ14" s="22" t="str">
        <f aca="false">IF(Görevler!$F14="","",IF(AND(Görevler!$C14&lt;=(BJ$4+Ayarlar!$C$6-1),Görevler!$D14&gt;=BJ$4),IF(BJ$4&lt;=Görevler!$C14+ROUND(Görevler!$F14*Görevler!$E14,0)-1,2,1),""))</f>
        <v/>
      </c>
    </row>
    <row r="15" customFormat="false" ht="15" hidden="false" customHeight="false" outlineLevel="0" collapsed="false">
      <c r="A15" s="21" t="str">
        <f aca="false">IF(Görevler!A15="","",Görevler!A15)</f>
        <v/>
      </c>
      <c r="B15" s="21" t="str">
        <f aca="false">IF(Görevler!A15="","",Görevler!B15&amp;"")</f>
        <v/>
      </c>
      <c r="C15" s="22" t="str">
        <f aca="false">IF(Görevler!$F15="","",IF(AND(Görevler!$C15&lt;=(C$4+Ayarlar!$C$6-1),Görevler!$D15&gt;=C$4),IF(C$4&lt;=Görevler!$C15+ROUND(Görevler!$F15*Görevler!$E15,0)-1,2,1),""))</f>
        <v/>
      </c>
      <c r="D15" s="22" t="str">
        <f aca="false">IF(Görevler!$F15="","",IF(AND(Görevler!$C15&lt;=(D$4+Ayarlar!$C$6-1),Görevler!$D15&gt;=D$4),IF(D$4&lt;=Görevler!$C15+ROUND(Görevler!$F15*Görevler!$E15,0)-1,2,1),""))</f>
        <v/>
      </c>
      <c r="E15" s="22" t="str">
        <f aca="false">IF(Görevler!$F15="","",IF(AND(Görevler!$C15&lt;=(E$4+Ayarlar!$C$6-1),Görevler!$D15&gt;=E$4),IF(E$4&lt;=Görevler!$C15+ROUND(Görevler!$F15*Görevler!$E15,0)-1,2,1),""))</f>
        <v/>
      </c>
      <c r="F15" s="22" t="str">
        <f aca="false">IF(Görevler!$F15="","",IF(AND(Görevler!$C15&lt;=(F$4+Ayarlar!$C$6-1),Görevler!$D15&gt;=F$4),IF(F$4&lt;=Görevler!$C15+ROUND(Görevler!$F15*Görevler!$E15,0)-1,2,1),""))</f>
        <v/>
      </c>
      <c r="G15" s="22" t="str">
        <f aca="false">IF(Görevler!$F15="","",IF(AND(Görevler!$C15&lt;=(G$4+Ayarlar!$C$6-1),Görevler!$D15&gt;=G$4),IF(G$4&lt;=Görevler!$C15+ROUND(Görevler!$F15*Görevler!$E15,0)-1,2,1),""))</f>
        <v/>
      </c>
      <c r="H15" s="22" t="str">
        <f aca="false">IF(Görevler!$F15="","",IF(AND(Görevler!$C15&lt;=(H$4+Ayarlar!$C$6-1),Görevler!$D15&gt;=H$4),IF(H$4&lt;=Görevler!$C15+ROUND(Görevler!$F15*Görevler!$E15,0)-1,2,1),""))</f>
        <v/>
      </c>
      <c r="I15" s="22" t="str">
        <f aca="false">IF(Görevler!$F15="","",IF(AND(Görevler!$C15&lt;=(I$4+Ayarlar!$C$6-1),Görevler!$D15&gt;=I$4),IF(I$4&lt;=Görevler!$C15+ROUND(Görevler!$F15*Görevler!$E15,0)-1,2,1),""))</f>
        <v/>
      </c>
      <c r="J15" s="22" t="str">
        <f aca="false">IF(Görevler!$F15="","",IF(AND(Görevler!$C15&lt;=(J$4+Ayarlar!$C$6-1),Görevler!$D15&gt;=J$4),IF(J$4&lt;=Görevler!$C15+ROUND(Görevler!$F15*Görevler!$E15,0)-1,2,1),""))</f>
        <v/>
      </c>
      <c r="K15" s="22" t="str">
        <f aca="false">IF(Görevler!$F15="","",IF(AND(Görevler!$C15&lt;=(K$4+Ayarlar!$C$6-1),Görevler!$D15&gt;=K$4),IF(K$4&lt;=Görevler!$C15+ROUND(Görevler!$F15*Görevler!$E15,0)-1,2,1),""))</f>
        <v/>
      </c>
      <c r="L15" s="22" t="str">
        <f aca="false">IF(Görevler!$F15="","",IF(AND(Görevler!$C15&lt;=(L$4+Ayarlar!$C$6-1),Görevler!$D15&gt;=L$4),IF(L$4&lt;=Görevler!$C15+ROUND(Görevler!$F15*Görevler!$E15,0)-1,2,1),""))</f>
        <v/>
      </c>
      <c r="M15" s="22" t="str">
        <f aca="false">IF(Görevler!$F15="","",IF(AND(Görevler!$C15&lt;=(M$4+Ayarlar!$C$6-1),Görevler!$D15&gt;=M$4),IF(M$4&lt;=Görevler!$C15+ROUND(Görevler!$F15*Görevler!$E15,0)-1,2,1),""))</f>
        <v/>
      </c>
      <c r="N15" s="22" t="str">
        <f aca="false">IF(Görevler!$F15="","",IF(AND(Görevler!$C15&lt;=(N$4+Ayarlar!$C$6-1),Görevler!$D15&gt;=N$4),IF(N$4&lt;=Görevler!$C15+ROUND(Görevler!$F15*Görevler!$E15,0)-1,2,1),""))</f>
        <v/>
      </c>
      <c r="O15" s="22" t="str">
        <f aca="false">IF(Görevler!$F15="","",IF(AND(Görevler!$C15&lt;=(O$4+Ayarlar!$C$6-1),Görevler!$D15&gt;=O$4),IF(O$4&lt;=Görevler!$C15+ROUND(Görevler!$F15*Görevler!$E15,0)-1,2,1),""))</f>
        <v/>
      </c>
      <c r="P15" s="22" t="str">
        <f aca="false">IF(Görevler!$F15="","",IF(AND(Görevler!$C15&lt;=(P$4+Ayarlar!$C$6-1),Görevler!$D15&gt;=P$4),IF(P$4&lt;=Görevler!$C15+ROUND(Görevler!$F15*Görevler!$E15,0)-1,2,1),""))</f>
        <v/>
      </c>
      <c r="Q15" s="22" t="str">
        <f aca="false">IF(Görevler!$F15="","",IF(AND(Görevler!$C15&lt;=(Q$4+Ayarlar!$C$6-1),Görevler!$D15&gt;=Q$4),IF(Q$4&lt;=Görevler!$C15+ROUND(Görevler!$F15*Görevler!$E15,0)-1,2,1),""))</f>
        <v/>
      </c>
      <c r="R15" s="22" t="str">
        <f aca="false">IF(Görevler!$F15="","",IF(AND(Görevler!$C15&lt;=(R$4+Ayarlar!$C$6-1),Görevler!$D15&gt;=R$4),IF(R$4&lt;=Görevler!$C15+ROUND(Görevler!$F15*Görevler!$E15,0)-1,2,1),""))</f>
        <v/>
      </c>
      <c r="S15" s="22" t="str">
        <f aca="false">IF(Görevler!$F15="","",IF(AND(Görevler!$C15&lt;=(S$4+Ayarlar!$C$6-1),Görevler!$D15&gt;=S$4),IF(S$4&lt;=Görevler!$C15+ROUND(Görevler!$F15*Görevler!$E15,0)-1,2,1),""))</f>
        <v/>
      </c>
      <c r="T15" s="22" t="str">
        <f aca="false">IF(Görevler!$F15="","",IF(AND(Görevler!$C15&lt;=(T$4+Ayarlar!$C$6-1),Görevler!$D15&gt;=T$4),IF(T$4&lt;=Görevler!$C15+ROUND(Görevler!$F15*Görevler!$E15,0)-1,2,1),""))</f>
        <v/>
      </c>
      <c r="U15" s="22" t="str">
        <f aca="false">IF(Görevler!$F15="","",IF(AND(Görevler!$C15&lt;=(U$4+Ayarlar!$C$6-1),Görevler!$D15&gt;=U$4),IF(U$4&lt;=Görevler!$C15+ROUND(Görevler!$F15*Görevler!$E15,0)-1,2,1),""))</f>
        <v/>
      </c>
      <c r="V15" s="22" t="str">
        <f aca="false">IF(Görevler!$F15="","",IF(AND(Görevler!$C15&lt;=(V$4+Ayarlar!$C$6-1),Görevler!$D15&gt;=V$4),IF(V$4&lt;=Görevler!$C15+ROUND(Görevler!$F15*Görevler!$E15,0)-1,2,1),""))</f>
        <v/>
      </c>
      <c r="W15" s="22" t="str">
        <f aca="false">IF(Görevler!$F15="","",IF(AND(Görevler!$C15&lt;=(W$4+Ayarlar!$C$6-1),Görevler!$D15&gt;=W$4),IF(W$4&lt;=Görevler!$C15+ROUND(Görevler!$F15*Görevler!$E15,0)-1,2,1),""))</f>
        <v/>
      </c>
      <c r="X15" s="22" t="str">
        <f aca="false">IF(Görevler!$F15="","",IF(AND(Görevler!$C15&lt;=(X$4+Ayarlar!$C$6-1),Görevler!$D15&gt;=X$4),IF(X$4&lt;=Görevler!$C15+ROUND(Görevler!$F15*Görevler!$E15,0)-1,2,1),""))</f>
        <v/>
      </c>
      <c r="Y15" s="22" t="str">
        <f aca="false">IF(Görevler!$F15="","",IF(AND(Görevler!$C15&lt;=(Y$4+Ayarlar!$C$6-1),Görevler!$D15&gt;=Y$4),IF(Y$4&lt;=Görevler!$C15+ROUND(Görevler!$F15*Görevler!$E15,0)-1,2,1),""))</f>
        <v/>
      </c>
      <c r="Z15" s="22" t="str">
        <f aca="false">IF(Görevler!$F15="","",IF(AND(Görevler!$C15&lt;=(Z$4+Ayarlar!$C$6-1),Görevler!$D15&gt;=Z$4),IF(Z$4&lt;=Görevler!$C15+ROUND(Görevler!$F15*Görevler!$E15,0)-1,2,1),""))</f>
        <v/>
      </c>
      <c r="AA15" s="22" t="str">
        <f aca="false">IF(Görevler!$F15="","",IF(AND(Görevler!$C15&lt;=(AA$4+Ayarlar!$C$6-1),Görevler!$D15&gt;=AA$4),IF(AA$4&lt;=Görevler!$C15+ROUND(Görevler!$F15*Görevler!$E15,0)-1,2,1),""))</f>
        <v/>
      </c>
      <c r="AB15" s="22" t="str">
        <f aca="false">IF(Görevler!$F15="","",IF(AND(Görevler!$C15&lt;=(AB$4+Ayarlar!$C$6-1),Görevler!$D15&gt;=AB$4),IF(AB$4&lt;=Görevler!$C15+ROUND(Görevler!$F15*Görevler!$E15,0)-1,2,1),""))</f>
        <v/>
      </c>
      <c r="AC15" s="22" t="str">
        <f aca="false">IF(Görevler!$F15="","",IF(AND(Görevler!$C15&lt;=(AC$4+Ayarlar!$C$6-1),Görevler!$D15&gt;=AC$4),IF(AC$4&lt;=Görevler!$C15+ROUND(Görevler!$F15*Görevler!$E15,0)-1,2,1),""))</f>
        <v/>
      </c>
      <c r="AD15" s="22" t="str">
        <f aca="false">IF(Görevler!$F15="","",IF(AND(Görevler!$C15&lt;=(AD$4+Ayarlar!$C$6-1),Görevler!$D15&gt;=AD$4),IF(AD$4&lt;=Görevler!$C15+ROUND(Görevler!$F15*Görevler!$E15,0)-1,2,1),""))</f>
        <v/>
      </c>
      <c r="AE15" s="22" t="str">
        <f aca="false">IF(Görevler!$F15="","",IF(AND(Görevler!$C15&lt;=(AE$4+Ayarlar!$C$6-1),Görevler!$D15&gt;=AE$4),IF(AE$4&lt;=Görevler!$C15+ROUND(Görevler!$F15*Görevler!$E15,0)-1,2,1),""))</f>
        <v/>
      </c>
      <c r="AF15" s="22" t="str">
        <f aca="false">IF(Görevler!$F15="","",IF(AND(Görevler!$C15&lt;=(AF$4+Ayarlar!$C$6-1),Görevler!$D15&gt;=AF$4),IF(AF$4&lt;=Görevler!$C15+ROUND(Görevler!$F15*Görevler!$E15,0)-1,2,1),""))</f>
        <v/>
      </c>
      <c r="AG15" s="22" t="str">
        <f aca="false">IF(Görevler!$F15="","",IF(AND(Görevler!$C15&lt;=(AG$4+Ayarlar!$C$6-1),Görevler!$D15&gt;=AG$4),IF(AG$4&lt;=Görevler!$C15+ROUND(Görevler!$F15*Görevler!$E15,0)-1,2,1),""))</f>
        <v/>
      </c>
      <c r="AH15" s="22" t="str">
        <f aca="false">IF(Görevler!$F15="","",IF(AND(Görevler!$C15&lt;=(AH$4+Ayarlar!$C$6-1),Görevler!$D15&gt;=AH$4),IF(AH$4&lt;=Görevler!$C15+ROUND(Görevler!$F15*Görevler!$E15,0)-1,2,1),""))</f>
        <v/>
      </c>
      <c r="AI15" s="22" t="str">
        <f aca="false">IF(Görevler!$F15="","",IF(AND(Görevler!$C15&lt;=(AI$4+Ayarlar!$C$6-1),Görevler!$D15&gt;=AI$4),IF(AI$4&lt;=Görevler!$C15+ROUND(Görevler!$F15*Görevler!$E15,0)-1,2,1),""))</f>
        <v/>
      </c>
      <c r="AJ15" s="22" t="str">
        <f aca="false">IF(Görevler!$F15="","",IF(AND(Görevler!$C15&lt;=(AJ$4+Ayarlar!$C$6-1),Görevler!$D15&gt;=AJ$4),IF(AJ$4&lt;=Görevler!$C15+ROUND(Görevler!$F15*Görevler!$E15,0)-1,2,1),""))</f>
        <v/>
      </c>
      <c r="AK15" s="22" t="str">
        <f aca="false">IF(Görevler!$F15="","",IF(AND(Görevler!$C15&lt;=(AK$4+Ayarlar!$C$6-1),Görevler!$D15&gt;=AK$4),IF(AK$4&lt;=Görevler!$C15+ROUND(Görevler!$F15*Görevler!$E15,0)-1,2,1),""))</f>
        <v/>
      </c>
      <c r="AL15" s="22" t="str">
        <f aca="false">IF(Görevler!$F15="","",IF(AND(Görevler!$C15&lt;=(AL$4+Ayarlar!$C$6-1),Görevler!$D15&gt;=AL$4),IF(AL$4&lt;=Görevler!$C15+ROUND(Görevler!$F15*Görevler!$E15,0)-1,2,1),""))</f>
        <v/>
      </c>
      <c r="AM15" s="22" t="str">
        <f aca="false">IF(Görevler!$F15="","",IF(AND(Görevler!$C15&lt;=(AM$4+Ayarlar!$C$6-1),Görevler!$D15&gt;=AM$4),IF(AM$4&lt;=Görevler!$C15+ROUND(Görevler!$F15*Görevler!$E15,0)-1,2,1),""))</f>
        <v/>
      </c>
      <c r="AN15" s="22" t="str">
        <f aca="false">IF(Görevler!$F15="","",IF(AND(Görevler!$C15&lt;=(AN$4+Ayarlar!$C$6-1),Görevler!$D15&gt;=AN$4),IF(AN$4&lt;=Görevler!$C15+ROUND(Görevler!$F15*Görevler!$E15,0)-1,2,1),""))</f>
        <v/>
      </c>
      <c r="AO15" s="22" t="str">
        <f aca="false">IF(Görevler!$F15="","",IF(AND(Görevler!$C15&lt;=(AO$4+Ayarlar!$C$6-1),Görevler!$D15&gt;=AO$4),IF(AO$4&lt;=Görevler!$C15+ROUND(Görevler!$F15*Görevler!$E15,0)-1,2,1),""))</f>
        <v/>
      </c>
      <c r="AP15" s="22" t="str">
        <f aca="false">IF(Görevler!$F15="","",IF(AND(Görevler!$C15&lt;=(AP$4+Ayarlar!$C$6-1),Görevler!$D15&gt;=AP$4),IF(AP$4&lt;=Görevler!$C15+ROUND(Görevler!$F15*Görevler!$E15,0)-1,2,1),""))</f>
        <v/>
      </c>
      <c r="AQ15" s="22" t="str">
        <f aca="false">IF(Görevler!$F15="","",IF(AND(Görevler!$C15&lt;=(AQ$4+Ayarlar!$C$6-1),Görevler!$D15&gt;=AQ$4),IF(AQ$4&lt;=Görevler!$C15+ROUND(Görevler!$F15*Görevler!$E15,0)-1,2,1),""))</f>
        <v/>
      </c>
      <c r="AR15" s="22" t="str">
        <f aca="false">IF(Görevler!$F15="","",IF(AND(Görevler!$C15&lt;=(AR$4+Ayarlar!$C$6-1),Görevler!$D15&gt;=AR$4),IF(AR$4&lt;=Görevler!$C15+ROUND(Görevler!$F15*Görevler!$E15,0)-1,2,1),""))</f>
        <v/>
      </c>
      <c r="AS15" s="22" t="str">
        <f aca="false">IF(Görevler!$F15="","",IF(AND(Görevler!$C15&lt;=(AS$4+Ayarlar!$C$6-1),Görevler!$D15&gt;=AS$4),IF(AS$4&lt;=Görevler!$C15+ROUND(Görevler!$F15*Görevler!$E15,0)-1,2,1),""))</f>
        <v/>
      </c>
      <c r="AT15" s="22" t="str">
        <f aca="false">IF(Görevler!$F15="","",IF(AND(Görevler!$C15&lt;=(AT$4+Ayarlar!$C$6-1),Görevler!$D15&gt;=AT$4),IF(AT$4&lt;=Görevler!$C15+ROUND(Görevler!$F15*Görevler!$E15,0)-1,2,1),""))</f>
        <v/>
      </c>
      <c r="AU15" s="22" t="str">
        <f aca="false">IF(Görevler!$F15="","",IF(AND(Görevler!$C15&lt;=(AU$4+Ayarlar!$C$6-1),Görevler!$D15&gt;=AU$4),IF(AU$4&lt;=Görevler!$C15+ROUND(Görevler!$F15*Görevler!$E15,0)-1,2,1),""))</f>
        <v/>
      </c>
      <c r="AV15" s="22" t="str">
        <f aca="false">IF(Görevler!$F15="","",IF(AND(Görevler!$C15&lt;=(AV$4+Ayarlar!$C$6-1),Görevler!$D15&gt;=AV$4),IF(AV$4&lt;=Görevler!$C15+ROUND(Görevler!$F15*Görevler!$E15,0)-1,2,1),""))</f>
        <v/>
      </c>
      <c r="AW15" s="22" t="str">
        <f aca="false">IF(Görevler!$F15="","",IF(AND(Görevler!$C15&lt;=(AW$4+Ayarlar!$C$6-1),Görevler!$D15&gt;=AW$4),IF(AW$4&lt;=Görevler!$C15+ROUND(Görevler!$F15*Görevler!$E15,0)-1,2,1),""))</f>
        <v/>
      </c>
      <c r="AX15" s="22" t="str">
        <f aca="false">IF(Görevler!$F15="","",IF(AND(Görevler!$C15&lt;=(AX$4+Ayarlar!$C$6-1),Görevler!$D15&gt;=AX$4),IF(AX$4&lt;=Görevler!$C15+ROUND(Görevler!$F15*Görevler!$E15,0)-1,2,1),""))</f>
        <v/>
      </c>
      <c r="AY15" s="22" t="str">
        <f aca="false">IF(Görevler!$F15="","",IF(AND(Görevler!$C15&lt;=(AY$4+Ayarlar!$C$6-1),Görevler!$D15&gt;=AY$4),IF(AY$4&lt;=Görevler!$C15+ROUND(Görevler!$F15*Görevler!$E15,0)-1,2,1),""))</f>
        <v/>
      </c>
      <c r="AZ15" s="22" t="str">
        <f aca="false">IF(Görevler!$F15="","",IF(AND(Görevler!$C15&lt;=(AZ$4+Ayarlar!$C$6-1),Görevler!$D15&gt;=AZ$4),IF(AZ$4&lt;=Görevler!$C15+ROUND(Görevler!$F15*Görevler!$E15,0)-1,2,1),""))</f>
        <v/>
      </c>
      <c r="BA15" s="22" t="str">
        <f aca="false">IF(Görevler!$F15="","",IF(AND(Görevler!$C15&lt;=(BA$4+Ayarlar!$C$6-1),Görevler!$D15&gt;=BA$4),IF(BA$4&lt;=Görevler!$C15+ROUND(Görevler!$F15*Görevler!$E15,0)-1,2,1),""))</f>
        <v/>
      </c>
      <c r="BB15" s="22" t="str">
        <f aca="false">IF(Görevler!$F15="","",IF(AND(Görevler!$C15&lt;=(BB$4+Ayarlar!$C$6-1),Görevler!$D15&gt;=BB$4),IF(BB$4&lt;=Görevler!$C15+ROUND(Görevler!$F15*Görevler!$E15,0)-1,2,1),""))</f>
        <v/>
      </c>
      <c r="BC15" s="22" t="str">
        <f aca="false">IF(Görevler!$F15="","",IF(AND(Görevler!$C15&lt;=(BC$4+Ayarlar!$C$6-1),Görevler!$D15&gt;=BC$4),IF(BC$4&lt;=Görevler!$C15+ROUND(Görevler!$F15*Görevler!$E15,0)-1,2,1),""))</f>
        <v/>
      </c>
      <c r="BD15" s="22" t="str">
        <f aca="false">IF(Görevler!$F15="","",IF(AND(Görevler!$C15&lt;=(BD$4+Ayarlar!$C$6-1),Görevler!$D15&gt;=BD$4),IF(BD$4&lt;=Görevler!$C15+ROUND(Görevler!$F15*Görevler!$E15,0)-1,2,1),""))</f>
        <v/>
      </c>
      <c r="BE15" s="22" t="str">
        <f aca="false">IF(Görevler!$F15="","",IF(AND(Görevler!$C15&lt;=(BE$4+Ayarlar!$C$6-1),Görevler!$D15&gt;=BE$4),IF(BE$4&lt;=Görevler!$C15+ROUND(Görevler!$F15*Görevler!$E15,0)-1,2,1),""))</f>
        <v/>
      </c>
      <c r="BF15" s="22" t="str">
        <f aca="false">IF(Görevler!$F15="","",IF(AND(Görevler!$C15&lt;=(BF$4+Ayarlar!$C$6-1),Görevler!$D15&gt;=BF$4),IF(BF$4&lt;=Görevler!$C15+ROUND(Görevler!$F15*Görevler!$E15,0)-1,2,1),""))</f>
        <v/>
      </c>
      <c r="BG15" s="22" t="str">
        <f aca="false">IF(Görevler!$F15="","",IF(AND(Görevler!$C15&lt;=(BG$4+Ayarlar!$C$6-1),Görevler!$D15&gt;=BG$4),IF(BG$4&lt;=Görevler!$C15+ROUND(Görevler!$F15*Görevler!$E15,0)-1,2,1),""))</f>
        <v/>
      </c>
      <c r="BH15" s="22" t="str">
        <f aca="false">IF(Görevler!$F15="","",IF(AND(Görevler!$C15&lt;=(BH$4+Ayarlar!$C$6-1),Görevler!$D15&gt;=BH$4),IF(BH$4&lt;=Görevler!$C15+ROUND(Görevler!$F15*Görevler!$E15,0)-1,2,1),""))</f>
        <v/>
      </c>
      <c r="BI15" s="22" t="str">
        <f aca="false">IF(Görevler!$F15="","",IF(AND(Görevler!$C15&lt;=(BI$4+Ayarlar!$C$6-1),Görevler!$D15&gt;=BI$4),IF(BI$4&lt;=Görevler!$C15+ROUND(Görevler!$F15*Görevler!$E15,0)-1,2,1),""))</f>
        <v/>
      </c>
      <c r="BJ15" s="22" t="str">
        <f aca="false">IF(Görevler!$F15="","",IF(AND(Görevler!$C15&lt;=(BJ$4+Ayarlar!$C$6-1),Görevler!$D15&gt;=BJ$4),IF(BJ$4&lt;=Görevler!$C15+ROUND(Görevler!$F15*Görevler!$E15,0)-1,2,1),""))</f>
        <v/>
      </c>
    </row>
    <row r="16" customFormat="false" ht="15" hidden="false" customHeight="false" outlineLevel="0" collapsed="false">
      <c r="A16" s="21" t="str">
        <f aca="false">IF(Görevler!A16="","",Görevler!A16)</f>
        <v/>
      </c>
      <c r="B16" s="21" t="str">
        <f aca="false">IF(Görevler!A16="","",Görevler!B16&amp;"")</f>
        <v/>
      </c>
      <c r="C16" s="22" t="str">
        <f aca="false">IF(Görevler!$F16="","",IF(AND(Görevler!$C16&lt;=(C$4+Ayarlar!$C$6-1),Görevler!$D16&gt;=C$4),IF(C$4&lt;=Görevler!$C16+ROUND(Görevler!$F16*Görevler!$E16,0)-1,2,1),""))</f>
        <v/>
      </c>
      <c r="D16" s="22" t="str">
        <f aca="false">IF(Görevler!$F16="","",IF(AND(Görevler!$C16&lt;=(D$4+Ayarlar!$C$6-1),Görevler!$D16&gt;=D$4),IF(D$4&lt;=Görevler!$C16+ROUND(Görevler!$F16*Görevler!$E16,0)-1,2,1),""))</f>
        <v/>
      </c>
      <c r="E16" s="22" t="str">
        <f aca="false">IF(Görevler!$F16="","",IF(AND(Görevler!$C16&lt;=(E$4+Ayarlar!$C$6-1),Görevler!$D16&gt;=E$4),IF(E$4&lt;=Görevler!$C16+ROUND(Görevler!$F16*Görevler!$E16,0)-1,2,1),""))</f>
        <v/>
      </c>
      <c r="F16" s="22" t="str">
        <f aca="false">IF(Görevler!$F16="","",IF(AND(Görevler!$C16&lt;=(F$4+Ayarlar!$C$6-1),Görevler!$D16&gt;=F$4),IF(F$4&lt;=Görevler!$C16+ROUND(Görevler!$F16*Görevler!$E16,0)-1,2,1),""))</f>
        <v/>
      </c>
      <c r="G16" s="22" t="str">
        <f aca="false">IF(Görevler!$F16="","",IF(AND(Görevler!$C16&lt;=(G$4+Ayarlar!$C$6-1),Görevler!$D16&gt;=G$4),IF(G$4&lt;=Görevler!$C16+ROUND(Görevler!$F16*Görevler!$E16,0)-1,2,1),""))</f>
        <v/>
      </c>
      <c r="H16" s="22" t="str">
        <f aca="false">IF(Görevler!$F16="","",IF(AND(Görevler!$C16&lt;=(H$4+Ayarlar!$C$6-1),Görevler!$D16&gt;=H$4),IF(H$4&lt;=Görevler!$C16+ROUND(Görevler!$F16*Görevler!$E16,0)-1,2,1),""))</f>
        <v/>
      </c>
      <c r="I16" s="22" t="str">
        <f aca="false">IF(Görevler!$F16="","",IF(AND(Görevler!$C16&lt;=(I$4+Ayarlar!$C$6-1),Görevler!$D16&gt;=I$4),IF(I$4&lt;=Görevler!$C16+ROUND(Görevler!$F16*Görevler!$E16,0)-1,2,1),""))</f>
        <v/>
      </c>
      <c r="J16" s="22" t="str">
        <f aca="false">IF(Görevler!$F16="","",IF(AND(Görevler!$C16&lt;=(J$4+Ayarlar!$C$6-1),Görevler!$D16&gt;=J$4),IF(J$4&lt;=Görevler!$C16+ROUND(Görevler!$F16*Görevler!$E16,0)-1,2,1),""))</f>
        <v/>
      </c>
      <c r="K16" s="22" t="str">
        <f aca="false">IF(Görevler!$F16="","",IF(AND(Görevler!$C16&lt;=(K$4+Ayarlar!$C$6-1),Görevler!$D16&gt;=K$4),IF(K$4&lt;=Görevler!$C16+ROUND(Görevler!$F16*Görevler!$E16,0)-1,2,1),""))</f>
        <v/>
      </c>
      <c r="L16" s="22" t="str">
        <f aca="false">IF(Görevler!$F16="","",IF(AND(Görevler!$C16&lt;=(L$4+Ayarlar!$C$6-1),Görevler!$D16&gt;=L$4),IF(L$4&lt;=Görevler!$C16+ROUND(Görevler!$F16*Görevler!$E16,0)-1,2,1),""))</f>
        <v/>
      </c>
      <c r="M16" s="22" t="str">
        <f aca="false">IF(Görevler!$F16="","",IF(AND(Görevler!$C16&lt;=(M$4+Ayarlar!$C$6-1),Görevler!$D16&gt;=M$4),IF(M$4&lt;=Görevler!$C16+ROUND(Görevler!$F16*Görevler!$E16,0)-1,2,1),""))</f>
        <v/>
      </c>
      <c r="N16" s="22" t="str">
        <f aca="false">IF(Görevler!$F16="","",IF(AND(Görevler!$C16&lt;=(N$4+Ayarlar!$C$6-1),Görevler!$D16&gt;=N$4),IF(N$4&lt;=Görevler!$C16+ROUND(Görevler!$F16*Görevler!$E16,0)-1,2,1),""))</f>
        <v/>
      </c>
      <c r="O16" s="22" t="str">
        <f aca="false">IF(Görevler!$F16="","",IF(AND(Görevler!$C16&lt;=(O$4+Ayarlar!$C$6-1),Görevler!$D16&gt;=O$4),IF(O$4&lt;=Görevler!$C16+ROUND(Görevler!$F16*Görevler!$E16,0)-1,2,1),""))</f>
        <v/>
      </c>
      <c r="P16" s="22" t="str">
        <f aca="false">IF(Görevler!$F16="","",IF(AND(Görevler!$C16&lt;=(P$4+Ayarlar!$C$6-1),Görevler!$D16&gt;=P$4),IF(P$4&lt;=Görevler!$C16+ROUND(Görevler!$F16*Görevler!$E16,0)-1,2,1),""))</f>
        <v/>
      </c>
      <c r="Q16" s="22" t="str">
        <f aca="false">IF(Görevler!$F16="","",IF(AND(Görevler!$C16&lt;=(Q$4+Ayarlar!$C$6-1),Görevler!$D16&gt;=Q$4),IF(Q$4&lt;=Görevler!$C16+ROUND(Görevler!$F16*Görevler!$E16,0)-1,2,1),""))</f>
        <v/>
      </c>
      <c r="R16" s="22" t="str">
        <f aca="false">IF(Görevler!$F16="","",IF(AND(Görevler!$C16&lt;=(R$4+Ayarlar!$C$6-1),Görevler!$D16&gt;=R$4),IF(R$4&lt;=Görevler!$C16+ROUND(Görevler!$F16*Görevler!$E16,0)-1,2,1),""))</f>
        <v/>
      </c>
      <c r="S16" s="22" t="str">
        <f aca="false">IF(Görevler!$F16="","",IF(AND(Görevler!$C16&lt;=(S$4+Ayarlar!$C$6-1),Görevler!$D16&gt;=S$4),IF(S$4&lt;=Görevler!$C16+ROUND(Görevler!$F16*Görevler!$E16,0)-1,2,1),""))</f>
        <v/>
      </c>
      <c r="T16" s="22" t="str">
        <f aca="false">IF(Görevler!$F16="","",IF(AND(Görevler!$C16&lt;=(T$4+Ayarlar!$C$6-1),Görevler!$D16&gt;=T$4),IF(T$4&lt;=Görevler!$C16+ROUND(Görevler!$F16*Görevler!$E16,0)-1,2,1),""))</f>
        <v/>
      </c>
      <c r="U16" s="22" t="str">
        <f aca="false">IF(Görevler!$F16="","",IF(AND(Görevler!$C16&lt;=(U$4+Ayarlar!$C$6-1),Görevler!$D16&gt;=U$4),IF(U$4&lt;=Görevler!$C16+ROUND(Görevler!$F16*Görevler!$E16,0)-1,2,1),""))</f>
        <v/>
      </c>
      <c r="V16" s="22" t="str">
        <f aca="false">IF(Görevler!$F16="","",IF(AND(Görevler!$C16&lt;=(V$4+Ayarlar!$C$6-1),Görevler!$D16&gt;=V$4),IF(V$4&lt;=Görevler!$C16+ROUND(Görevler!$F16*Görevler!$E16,0)-1,2,1),""))</f>
        <v/>
      </c>
      <c r="W16" s="22" t="str">
        <f aca="false">IF(Görevler!$F16="","",IF(AND(Görevler!$C16&lt;=(W$4+Ayarlar!$C$6-1),Görevler!$D16&gt;=W$4),IF(W$4&lt;=Görevler!$C16+ROUND(Görevler!$F16*Görevler!$E16,0)-1,2,1),""))</f>
        <v/>
      </c>
      <c r="X16" s="22" t="str">
        <f aca="false">IF(Görevler!$F16="","",IF(AND(Görevler!$C16&lt;=(X$4+Ayarlar!$C$6-1),Görevler!$D16&gt;=X$4),IF(X$4&lt;=Görevler!$C16+ROUND(Görevler!$F16*Görevler!$E16,0)-1,2,1),""))</f>
        <v/>
      </c>
      <c r="Y16" s="22" t="str">
        <f aca="false">IF(Görevler!$F16="","",IF(AND(Görevler!$C16&lt;=(Y$4+Ayarlar!$C$6-1),Görevler!$D16&gt;=Y$4),IF(Y$4&lt;=Görevler!$C16+ROUND(Görevler!$F16*Görevler!$E16,0)-1,2,1),""))</f>
        <v/>
      </c>
      <c r="Z16" s="22" t="str">
        <f aca="false">IF(Görevler!$F16="","",IF(AND(Görevler!$C16&lt;=(Z$4+Ayarlar!$C$6-1),Görevler!$D16&gt;=Z$4),IF(Z$4&lt;=Görevler!$C16+ROUND(Görevler!$F16*Görevler!$E16,0)-1,2,1),""))</f>
        <v/>
      </c>
      <c r="AA16" s="22" t="str">
        <f aca="false">IF(Görevler!$F16="","",IF(AND(Görevler!$C16&lt;=(AA$4+Ayarlar!$C$6-1),Görevler!$D16&gt;=AA$4),IF(AA$4&lt;=Görevler!$C16+ROUND(Görevler!$F16*Görevler!$E16,0)-1,2,1),""))</f>
        <v/>
      </c>
      <c r="AB16" s="22" t="str">
        <f aca="false">IF(Görevler!$F16="","",IF(AND(Görevler!$C16&lt;=(AB$4+Ayarlar!$C$6-1),Görevler!$D16&gt;=AB$4),IF(AB$4&lt;=Görevler!$C16+ROUND(Görevler!$F16*Görevler!$E16,0)-1,2,1),""))</f>
        <v/>
      </c>
      <c r="AC16" s="22" t="str">
        <f aca="false">IF(Görevler!$F16="","",IF(AND(Görevler!$C16&lt;=(AC$4+Ayarlar!$C$6-1),Görevler!$D16&gt;=AC$4),IF(AC$4&lt;=Görevler!$C16+ROUND(Görevler!$F16*Görevler!$E16,0)-1,2,1),""))</f>
        <v/>
      </c>
      <c r="AD16" s="22" t="str">
        <f aca="false">IF(Görevler!$F16="","",IF(AND(Görevler!$C16&lt;=(AD$4+Ayarlar!$C$6-1),Görevler!$D16&gt;=AD$4),IF(AD$4&lt;=Görevler!$C16+ROUND(Görevler!$F16*Görevler!$E16,0)-1,2,1),""))</f>
        <v/>
      </c>
      <c r="AE16" s="22" t="str">
        <f aca="false">IF(Görevler!$F16="","",IF(AND(Görevler!$C16&lt;=(AE$4+Ayarlar!$C$6-1),Görevler!$D16&gt;=AE$4),IF(AE$4&lt;=Görevler!$C16+ROUND(Görevler!$F16*Görevler!$E16,0)-1,2,1),""))</f>
        <v/>
      </c>
      <c r="AF16" s="22" t="str">
        <f aca="false">IF(Görevler!$F16="","",IF(AND(Görevler!$C16&lt;=(AF$4+Ayarlar!$C$6-1),Görevler!$D16&gt;=AF$4),IF(AF$4&lt;=Görevler!$C16+ROUND(Görevler!$F16*Görevler!$E16,0)-1,2,1),""))</f>
        <v/>
      </c>
      <c r="AG16" s="22" t="str">
        <f aca="false">IF(Görevler!$F16="","",IF(AND(Görevler!$C16&lt;=(AG$4+Ayarlar!$C$6-1),Görevler!$D16&gt;=AG$4),IF(AG$4&lt;=Görevler!$C16+ROUND(Görevler!$F16*Görevler!$E16,0)-1,2,1),""))</f>
        <v/>
      </c>
      <c r="AH16" s="22" t="str">
        <f aca="false">IF(Görevler!$F16="","",IF(AND(Görevler!$C16&lt;=(AH$4+Ayarlar!$C$6-1),Görevler!$D16&gt;=AH$4),IF(AH$4&lt;=Görevler!$C16+ROUND(Görevler!$F16*Görevler!$E16,0)-1,2,1),""))</f>
        <v/>
      </c>
      <c r="AI16" s="22" t="str">
        <f aca="false">IF(Görevler!$F16="","",IF(AND(Görevler!$C16&lt;=(AI$4+Ayarlar!$C$6-1),Görevler!$D16&gt;=AI$4),IF(AI$4&lt;=Görevler!$C16+ROUND(Görevler!$F16*Görevler!$E16,0)-1,2,1),""))</f>
        <v/>
      </c>
      <c r="AJ16" s="22" t="str">
        <f aca="false">IF(Görevler!$F16="","",IF(AND(Görevler!$C16&lt;=(AJ$4+Ayarlar!$C$6-1),Görevler!$D16&gt;=AJ$4),IF(AJ$4&lt;=Görevler!$C16+ROUND(Görevler!$F16*Görevler!$E16,0)-1,2,1),""))</f>
        <v/>
      </c>
      <c r="AK16" s="22" t="str">
        <f aca="false">IF(Görevler!$F16="","",IF(AND(Görevler!$C16&lt;=(AK$4+Ayarlar!$C$6-1),Görevler!$D16&gt;=AK$4),IF(AK$4&lt;=Görevler!$C16+ROUND(Görevler!$F16*Görevler!$E16,0)-1,2,1),""))</f>
        <v/>
      </c>
      <c r="AL16" s="22" t="str">
        <f aca="false">IF(Görevler!$F16="","",IF(AND(Görevler!$C16&lt;=(AL$4+Ayarlar!$C$6-1),Görevler!$D16&gt;=AL$4),IF(AL$4&lt;=Görevler!$C16+ROUND(Görevler!$F16*Görevler!$E16,0)-1,2,1),""))</f>
        <v/>
      </c>
      <c r="AM16" s="22" t="str">
        <f aca="false">IF(Görevler!$F16="","",IF(AND(Görevler!$C16&lt;=(AM$4+Ayarlar!$C$6-1),Görevler!$D16&gt;=AM$4),IF(AM$4&lt;=Görevler!$C16+ROUND(Görevler!$F16*Görevler!$E16,0)-1,2,1),""))</f>
        <v/>
      </c>
      <c r="AN16" s="22" t="str">
        <f aca="false">IF(Görevler!$F16="","",IF(AND(Görevler!$C16&lt;=(AN$4+Ayarlar!$C$6-1),Görevler!$D16&gt;=AN$4),IF(AN$4&lt;=Görevler!$C16+ROUND(Görevler!$F16*Görevler!$E16,0)-1,2,1),""))</f>
        <v/>
      </c>
      <c r="AO16" s="22" t="str">
        <f aca="false">IF(Görevler!$F16="","",IF(AND(Görevler!$C16&lt;=(AO$4+Ayarlar!$C$6-1),Görevler!$D16&gt;=AO$4),IF(AO$4&lt;=Görevler!$C16+ROUND(Görevler!$F16*Görevler!$E16,0)-1,2,1),""))</f>
        <v/>
      </c>
      <c r="AP16" s="22" t="str">
        <f aca="false">IF(Görevler!$F16="","",IF(AND(Görevler!$C16&lt;=(AP$4+Ayarlar!$C$6-1),Görevler!$D16&gt;=AP$4),IF(AP$4&lt;=Görevler!$C16+ROUND(Görevler!$F16*Görevler!$E16,0)-1,2,1),""))</f>
        <v/>
      </c>
      <c r="AQ16" s="22" t="str">
        <f aca="false">IF(Görevler!$F16="","",IF(AND(Görevler!$C16&lt;=(AQ$4+Ayarlar!$C$6-1),Görevler!$D16&gt;=AQ$4),IF(AQ$4&lt;=Görevler!$C16+ROUND(Görevler!$F16*Görevler!$E16,0)-1,2,1),""))</f>
        <v/>
      </c>
      <c r="AR16" s="22" t="str">
        <f aca="false">IF(Görevler!$F16="","",IF(AND(Görevler!$C16&lt;=(AR$4+Ayarlar!$C$6-1),Görevler!$D16&gt;=AR$4),IF(AR$4&lt;=Görevler!$C16+ROUND(Görevler!$F16*Görevler!$E16,0)-1,2,1),""))</f>
        <v/>
      </c>
      <c r="AS16" s="22" t="str">
        <f aca="false">IF(Görevler!$F16="","",IF(AND(Görevler!$C16&lt;=(AS$4+Ayarlar!$C$6-1),Görevler!$D16&gt;=AS$4),IF(AS$4&lt;=Görevler!$C16+ROUND(Görevler!$F16*Görevler!$E16,0)-1,2,1),""))</f>
        <v/>
      </c>
      <c r="AT16" s="22" t="str">
        <f aca="false">IF(Görevler!$F16="","",IF(AND(Görevler!$C16&lt;=(AT$4+Ayarlar!$C$6-1),Görevler!$D16&gt;=AT$4),IF(AT$4&lt;=Görevler!$C16+ROUND(Görevler!$F16*Görevler!$E16,0)-1,2,1),""))</f>
        <v/>
      </c>
      <c r="AU16" s="22" t="str">
        <f aca="false">IF(Görevler!$F16="","",IF(AND(Görevler!$C16&lt;=(AU$4+Ayarlar!$C$6-1),Görevler!$D16&gt;=AU$4),IF(AU$4&lt;=Görevler!$C16+ROUND(Görevler!$F16*Görevler!$E16,0)-1,2,1),""))</f>
        <v/>
      </c>
      <c r="AV16" s="22" t="str">
        <f aca="false">IF(Görevler!$F16="","",IF(AND(Görevler!$C16&lt;=(AV$4+Ayarlar!$C$6-1),Görevler!$D16&gt;=AV$4),IF(AV$4&lt;=Görevler!$C16+ROUND(Görevler!$F16*Görevler!$E16,0)-1,2,1),""))</f>
        <v/>
      </c>
      <c r="AW16" s="22" t="str">
        <f aca="false">IF(Görevler!$F16="","",IF(AND(Görevler!$C16&lt;=(AW$4+Ayarlar!$C$6-1),Görevler!$D16&gt;=AW$4),IF(AW$4&lt;=Görevler!$C16+ROUND(Görevler!$F16*Görevler!$E16,0)-1,2,1),""))</f>
        <v/>
      </c>
      <c r="AX16" s="22" t="str">
        <f aca="false">IF(Görevler!$F16="","",IF(AND(Görevler!$C16&lt;=(AX$4+Ayarlar!$C$6-1),Görevler!$D16&gt;=AX$4),IF(AX$4&lt;=Görevler!$C16+ROUND(Görevler!$F16*Görevler!$E16,0)-1,2,1),""))</f>
        <v/>
      </c>
      <c r="AY16" s="22" t="str">
        <f aca="false">IF(Görevler!$F16="","",IF(AND(Görevler!$C16&lt;=(AY$4+Ayarlar!$C$6-1),Görevler!$D16&gt;=AY$4),IF(AY$4&lt;=Görevler!$C16+ROUND(Görevler!$F16*Görevler!$E16,0)-1,2,1),""))</f>
        <v/>
      </c>
      <c r="AZ16" s="22" t="str">
        <f aca="false">IF(Görevler!$F16="","",IF(AND(Görevler!$C16&lt;=(AZ$4+Ayarlar!$C$6-1),Görevler!$D16&gt;=AZ$4),IF(AZ$4&lt;=Görevler!$C16+ROUND(Görevler!$F16*Görevler!$E16,0)-1,2,1),""))</f>
        <v/>
      </c>
      <c r="BA16" s="22" t="str">
        <f aca="false">IF(Görevler!$F16="","",IF(AND(Görevler!$C16&lt;=(BA$4+Ayarlar!$C$6-1),Görevler!$D16&gt;=BA$4),IF(BA$4&lt;=Görevler!$C16+ROUND(Görevler!$F16*Görevler!$E16,0)-1,2,1),""))</f>
        <v/>
      </c>
      <c r="BB16" s="22" t="str">
        <f aca="false">IF(Görevler!$F16="","",IF(AND(Görevler!$C16&lt;=(BB$4+Ayarlar!$C$6-1),Görevler!$D16&gt;=BB$4),IF(BB$4&lt;=Görevler!$C16+ROUND(Görevler!$F16*Görevler!$E16,0)-1,2,1),""))</f>
        <v/>
      </c>
      <c r="BC16" s="22" t="str">
        <f aca="false">IF(Görevler!$F16="","",IF(AND(Görevler!$C16&lt;=(BC$4+Ayarlar!$C$6-1),Görevler!$D16&gt;=BC$4),IF(BC$4&lt;=Görevler!$C16+ROUND(Görevler!$F16*Görevler!$E16,0)-1,2,1),""))</f>
        <v/>
      </c>
      <c r="BD16" s="22" t="str">
        <f aca="false">IF(Görevler!$F16="","",IF(AND(Görevler!$C16&lt;=(BD$4+Ayarlar!$C$6-1),Görevler!$D16&gt;=BD$4),IF(BD$4&lt;=Görevler!$C16+ROUND(Görevler!$F16*Görevler!$E16,0)-1,2,1),""))</f>
        <v/>
      </c>
      <c r="BE16" s="22" t="str">
        <f aca="false">IF(Görevler!$F16="","",IF(AND(Görevler!$C16&lt;=(BE$4+Ayarlar!$C$6-1),Görevler!$D16&gt;=BE$4),IF(BE$4&lt;=Görevler!$C16+ROUND(Görevler!$F16*Görevler!$E16,0)-1,2,1),""))</f>
        <v/>
      </c>
      <c r="BF16" s="22" t="str">
        <f aca="false">IF(Görevler!$F16="","",IF(AND(Görevler!$C16&lt;=(BF$4+Ayarlar!$C$6-1),Görevler!$D16&gt;=BF$4),IF(BF$4&lt;=Görevler!$C16+ROUND(Görevler!$F16*Görevler!$E16,0)-1,2,1),""))</f>
        <v/>
      </c>
      <c r="BG16" s="22" t="str">
        <f aca="false">IF(Görevler!$F16="","",IF(AND(Görevler!$C16&lt;=(BG$4+Ayarlar!$C$6-1),Görevler!$D16&gt;=BG$4),IF(BG$4&lt;=Görevler!$C16+ROUND(Görevler!$F16*Görevler!$E16,0)-1,2,1),""))</f>
        <v/>
      </c>
      <c r="BH16" s="22" t="str">
        <f aca="false">IF(Görevler!$F16="","",IF(AND(Görevler!$C16&lt;=(BH$4+Ayarlar!$C$6-1),Görevler!$D16&gt;=BH$4),IF(BH$4&lt;=Görevler!$C16+ROUND(Görevler!$F16*Görevler!$E16,0)-1,2,1),""))</f>
        <v/>
      </c>
      <c r="BI16" s="22" t="str">
        <f aca="false">IF(Görevler!$F16="","",IF(AND(Görevler!$C16&lt;=(BI$4+Ayarlar!$C$6-1),Görevler!$D16&gt;=BI$4),IF(BI$4&lt;=Görevler!$C16+ROUND(Görevler!$F16*Görevler!$E16,0)-1,2,1),""))</f>
        <v/>
      </c>
      <c r="BJ16" s="22" t="str">
        <f aca="false">IF(Görevler!$F16="","",IF(AND(Görevler!$C16&lt;=(BJ$4+Ayarlar!$C$6-1),Görevler!$D16&gt;=BJ$4),IF(BJ$4&lt;=Görevler!$C16+ROUND(Görevler!$F16*Görevler!$E16,0)-1,2,1),""))</f>
        <v/>
      </c>
    </row>
    <row r="17" customFormat="false" ht="15" hidden="false" customHeight="false" outlineLevel="0" collapsed="false">
      <c r="A17" s="21" t="str">
        <f aca="false">IF(Görevler!A17="","",Görevler!A17)</f>
        <v/>
      </c>
      <c r="B17" s="21" t="str">
        <f aca="false">IF(Görevler!A17="","",Görevler!B17&amp;"")</f>
        <v/>
      </c>
      <c r="C17" s="22" t="str">
        <f aca="false">IF(Görevler!$F17="","",IF(AND(Görevler!$C17&lt;=(C$4+Ayarlar!$C$6-1),Görevler!$D17&gt;=C$4),IF(C$4&lt;=Görevler!$C17+ROUND(Görevler!$F17*Görevler!$E17,0)-1,2,1),""))</f>
        <v/>
      </c>
      <c r="D17" s="22" t="str">
        <f aca="false">IF(Görevler!$F17="","",IF(AND(Görevler!$C17&lt;=(D$4+Ayarlar!$C$6-1),Görevler!$D17&gt;=D$4),IF(D$4&lt;=Görevler!$C17+ROUND(Görevler!$F17*Görevler!$E17,0)-1,2,1),""))</f>
        <v/>
      </c>
      <c r="E17" s="22" t="str">
        <f aca="false">IF(Görevler!$F17="","",IF(AND(Görevler!$C17&lt;=(E$4+Ayarlar!$C$6-1),Görevler!$D17&gt;=E$4),IF(E$4&lt;=Görevler!$C17+ROUND(Görevler!$F17*Görevler!$E17,0)-1,2,1),""))</f>
        <v/>
      </c>
      <c r="F17" s="22" t="str">
        <f aca="false">IF(Görevler!$F17="","",IF(AND(Görevler!$C17&lt;=(F$4+Ayarlar!$C$6-1),Görevler!$D17&gt;=F$4),IF(F$4&lt;=Görevler!$C17+ROUND(Görevler!$F17*Görevler!$E17,0)-1,2,1),""))</f>
        <v/>
      </c>
      <c r="G17" s="22" t="str">
        <f aca="false">IF(Görevler!$F17="","",IF(AND(Görevler!$C17&lt;=(G$4+Ayarlar!$C$6-1),Görevler!$D17&gt;=G$4),IF(G$4&lt;=Görevler!$C17+ROUND(Görevler!$F17*Görevler!$E17,0)-1,2,1),""))</f>
        <v/>
      </c>
      <c r="H17" s="22" t="str">
        <f aca="false">IF(Görevler!$F17="","",IF(AND(Görevler!$C17&lt;=(H$4+Ayarlar!$C$6-1),Görevler!$D17&gt;=H$4),IF(H$4&lt;=Görevler!$C17+ROUND(Görevler!$F17*Görevler!$E17,0)-1,2,1),""))</f>
        <v/>
      </c>
      <c r="I17" s="22" t="str">
        <f aca="false">IF(Görevler!$F17="","",IF(AND(Görevler!$C17&lt;=(I$4+Ayarlar!$C$6-1),Görevler!$D17&gt;=I$4),IF(I$4&lt;=Görevler!$C17+ROUND(Görevler!$F17*Görevler!$E17,0)-1,2,1),""))</f>
        <v/>
      </c>
      <c r="J17" s="22" t="str">
        <f aca="false">IF(Görevler!$F17="","",IF(AND(Görevler!$C17&lt;=(J$4+Ayarlar!$C$6-1),Görevler!$D17&gt;=J$4),IF(J$4&lt;=Görevler!$C17+ROUND(Görevler!$F17*Görevler!$E17,0)-1,2,1),""))</f>
        <v/>
      </c>
      <c r="K17" s="22" t="str">
        <f aca="false">IF(Görevler!$F17="","",IF(AND(Görevler!$C17&lt;=(K$4+Ayarlar!$C$6-1),Görevler!$D17&gt;=K$4),IF(K$4&lt;=Görevler!$C17+ROUND(Görevler!$F17*Görevler!$E17,0)-1,2,1),""))</f>
        <v/>
      </c>
      <c r="L17" s="22" t="str">
        <f aca="false">IF(Görevler!$F17="","",IF(AND(Görevler!$C17&lt;=(L$4+Ayarlar!$C$6-1),Görevler!$D17&gt;=L$4),IF(L$4&lt;=Görevler!$C17+ROUND(Görevler!$F17*Görevler!$E17,0)-1,2,1),""))</f>
        <v/>
      </c>
      <c r="M17" s="22" t="str">
        <f aca="false">IF(Görevler!$F17="","",IF(AND(Görevler!$C17&lt;=(M$4+Ayarlar!$C$6-1),Görevler!$D17&gt;=M$4),IF(M$4&lt;=Görevler!$C17+ROUND(Görevler!$F17*Görevler!$E17,0)-1,2,1),""))</f>
        <v/>
      </c>
      <c r="N17" s="22" t="str">
        <f aca="false">IF(Görevler!$F17="","",IF(AND(Görevler!$C17&lt;=(N$4+Ayarlar!$C$6-1),Görevler!$D17&gt;=N$4),IF(N$4&lt;=Görevler!$C17+ROUND(Görevler!$F17*Görevler!$E17,0)-1,2,1),""))</f>
        <v/>
      </c>
      <c r="O17" s="22" t="str">
        <f aca="false">IF(Görevler!$F17="","",IF(AND(Görevler!$C17&lt;=(O$4+Ayarlar!$C$6-1),Görevler!$D17&gt;=O$4),IF(O$4&lt;=Görevler!$C17+ROUND(Görevler!$F17*Görevler!$E17,0)-1,2,1),""))</f>
        <v/>
      </c>
      <c r="P17" s="22" t="str">
        <f aca="false">IF(Görevler!$F17="","",IF(AND(Görevler!$C17&lt;=(P$4+Ayarlar!$C$6-1),Görevler!$D17&gt;=P$4),IF(P$4&lt;=Görevler!$C17+ROUND(Görevler!$F17*Görevler!$E17,0)-1,2,1),""))</f>
        <v/>
      </c>
      <c r="Q17" s="22" t="str">
        <f aca="false">IF(Görevler!$F17="","",IF(AND(Görevler!$C17&lt;=(Q$4+Ayarlar!$C$6-1),Görevler!$D17&gt;=Q$4),IF(Q$4&lt;=Görevler!$C17+ROUND(Görevler!$F17*Görevler!$E17,0)-1,2,1),""))</f>
        <v/>
      </c>
      <c r="R17" s="22" t="str">
        <f aca="false">IF(Görevler!$F17="","",IF(AND(Görevler!$C17&lt;=(R$4+Ayarlar!$C$6-1),Görevler!$D17&gt;=R$4),IF(R$4&lt;=Görevler!$C17+ROUND(Görevler!$F17*Görevler!$E17,0)-1,2,1),""))</f>
        <v/>
      </c>
      <c r="S17" s="22" t="str">
        <f aca="false">IF(Görevler!$F17="","",IF(AND(Görevler!$C17&lt;=(S$4+Ayarlar!$C$6-1),Görevler!$D17&gt;=S$4),IF(S$4&lt;=Görevler!$C17+ROUND(Görevler!$F17*Görevler!$E17,0)-1,2,1),""))</f>
        <v/>
      </c>
      <c r="T17" s="22" t="str">
        <f aca="false">IF(Görevler!$F17="","",IF(AND(Görevler!$C17&lt;=(T$4+Ayarlar!$C$6-1),Görevler!$D17&gt;=T$4),IF(T$4&lt;=Görevler!$C17+ROUND(Görevler!$F17*Görevler!$E17,0)-1,2,1),""))</f>
        <v/>
      </c>
      <c r="U17" s="22" t="str">
        <f aca="false">IF(Görevler!$F17="","",IF(AND(Görevler!$C17&lt;=(U$4+Ayarlar!$C$6-1),Görevler!$D17&gt;=U$4),IF(U$4&lt;=Görevler!$C17+ROUND(Görevler!$F17*Görevler!$E17,0)-1,2,1),""))</f>
        <v/>
      </c>
      <c r="V17" s="22" t="str">
        <f aca="false">IF(Görevler!$F17="","",IF(AND(Görevler!$C17&lt;=(V$4+Ayarlar!$C$6-1),Görevler!$D17&gt;=V$4),IF(V$4&lt;=Görevler!$C17+ROUND(Görevler!$F17*Görevler!$E17,0)-1,2,1),""))</f>
        <v/>
      </c>
      <c r="W17" s="22" t="str">
        <f aca="false">IF(Görevler!$F17="","",IF(AND(Görevler!$C17&lt;=(W$4+Ayarlar!$C$6-1),Görevler!$D17&gt;=W$4),IF(W$4&lt;=Görevler!$C17+ROUND(Görevler!$F17*Görevler!$E17,0)-1,2,1),""))</f>
        <v/>
      </c>
      <c r="X17" s="22" t="str">
        <f aca="false">IF(Görevler!$F17="","",IF(AND(Görevler!$C17&lt;=(X$4+Ayarlar!$C$6-1),Görevler!$D17&gt;=X$4),IF(X$4&lt;=Görevler!$C17+ROUND(Görevler!$F17*Görevler!$E17,0)-1,2,1),""))</f>
        <v/>
      </c>
      <c r="Y17" s="22" t="str">
        <f aca="false">IF(Görevler!$F17="","",IF(AND(Görevler!$C17&lt;=(Y$4+Ayarlar!$C$6-1),Görevler!$D17&gt;=Y$4),IF(Y$4&lt;=Görevler!$C17+ROUND(Görevler!$F17*Görevler!$E17,0)-1,2,1),""))</f>
        <v/>
      </c>
      <c r="Z17" s="22" t="str">
        <f aca="false">IF(Görevler!$F17="","",IF(AND(Görevler!$C17&lt;=(Z$4+Ayarlar!$C$6-1),Görevler!$D17&gt;=Z$4),IF(Z$4&lt;=Görevler!$C17+ROUND(Görevler!$F17*Görevler!$E17,0)-1,2,1),""))</f>
        <v/>
      </c>
      <c r="AA17" s="22" t="str">
        <f aca="false">IF(Görevler!$F17="","",IF(AND(Görevler!$C17&lt;=(AA$4+Ayarlar!$C$6-1),Görevler!$D17&gt;=AA$4),IF(AA$4&lt;=Görevler!$C17+ROUND(Görevler!$F17*Görevler!$E17,0)-1,2,1),""))</f>
        <v/>
      </c>
      <c r="AB17" s="22" t="str">
        <f aca="false">IF(Görevler!$F17="","",IF(AND(Görevler!$C17&lt;=(AB$4+Ayarlar!$C$6-1),Görevler!$D17&gt;=AB$4),IF(AB$4&lt;=Görevler!$C17+ROUND(Görevler!$F17*Görevler!$E17,0)-1,2,1),""))</f>
        <v/>
      </c>
      <c r="AC17" s="22" t="str">
        <f aca="false">IF(Görevler!$F17="","",IF(AND(Görevler!$C17&lt;=(AC$4+Ayarlar!$C$6-1),Görevler!$D17&gt;=AC$4),IF(AC$4&lt;=Görevler!$C17+ROUND(Görevler!$F17*Görevler!$E17,0)-1,2,1),""))</f>
        <v/>
      </c>
      <c r="AD17" s="22" t="str">
        <f aca="false">IF(Görevler!$F17="","",IF(AND(Görevler!$C17&lt;=(AD$4+Ayarlar!$C$6-1),Görevler!$D17&gt;=AD$4),IF(AD$4&lt;=Görevler!$C17+ROUND(Görevler!$F17*Görevler!$E17,0)-1,2,1),""))</f>
        <v/>
      </c>
      <c r="AE17" s="22" t="str">
        <f aca="false">IF(Görevler!$F17="","",IF(AND(Görevler!$C17&lt;=(AE$4+Ayarlar!$C$6-1),Görevler!$D17&gt;=AE$4),IF(AE$4&lt;=Görevler!$C17+ROUND(Görevler!$F17*Görevler!$E17,0)-1,2,1),""))</f>
        <v/>
      </c>
      <c r="AF17" s="22" t="str">
        <f aca="false">IF(Görevler!$F17="","",IF(AND(Görevler!$C17&lt;=(AF$4+Ayarlar!$C$6-1),Görevler!$D17&gt;=AF$4),IF(AF$4&lt;=Görevler!$C17+ROUND(Görevler!$F17*Görevler!$E17,0)-1,2,1),""))</f>
        <v/>
      </c>
      <c r="AG17" s="22" t="str">
        <f aca="false">IF(Görevler!$F17="","",IF(AND(Görevler!$C17&lt;=(AG$4+Ayarlar!$C$6-1),Görevler!$D17&gt;=AG$4),IF(AG$4&lt;=Görevler!$C17+ROUND(Görevler!$F17*Görevler!$E17,0)-1,2,1),""))</f>
        <v/>
      </c>
      <c r="AH17" s="22" t="str">
        <f aca="false">IF(Görevler!$F17="","",IF(AND(Görevler!$C17&lt;=(AH$4+Ayarlar!$C$6-1),Görevler!$D17&gt;=AH$4),IF(AH$4&lt;=Görevler!$C17+ROUND(Görevler!$F17*Görevler!$E17,0)-1,2,1),""))</f>
        <v/>
      </c>
      <c r="AI17" s="22" t="str">
        <f aca="false">IF(Görevler!$F17="","",IF(AND(Görevler!$C17&lt;=(AI$4+Ayarlar!$C$6-1),Görevler!$D17&gt;=AI$4),IF(AI$4&lt;=Görevler!$C17+ROUND(Görevler!$F17*Görevler!$E17,0)-1,2,1),""))</f>
        <v/>
      </c>
      <c r="AJ17" s="22" t="str">
        <f aca="false">IF(Görevler!$F17="","",IF(AND(Görevler!$C17&lt;=(AJ$4+Ayarlar!$C$6-1),Görevler!$D17&gt;=AJ$4),IF(AJ$4&lt;=Görevler!$C17+ROUND(Görevler!$F17*Görevler!$E17,0)-1,2,1),""))</f>
        <v/>
      </c>
      <c r="AK17" s="22" t="str">
        <f aca="false">IF(Görevler!$F17="","",IF(AND(Görevler!$C17&lt;=(AK$4+Ayarlar!$C$6-1),Görevler!$D17&gt;=AK$4),IF(AK$4&lt;=Görevler!$C17+ROUND(Görevler!$F17*Görevler!$E17,0)-1,2,1),""))</f>
        <v/>
      </c>
      <c r="AL17" s="22" t="str">
        <f aca="false">IF(Görevler!$F17="","",IF(AND(Görevler!$C17&lt;=(AL$4+Ayarlar!$C$6-1),Görevler!$D17&gt;=AL$4),IF(AL$4&lt;=Görevler!$C17+ROUND(Görevler!$F17*Görevler!$E17,0)-1,2,1),""))</f>
        <v/>
      </c>
      <c r="AM17" s="22" t="str">
        <f aca="false">IF(Görevler!$F17="","",IF(AND(Görevler!$C17&lt;=(AM$4+Ayarlar!$C$6-1),Görevler!$D17&gt;=AM$4),IF(AM$4&lt;=Görevler!$C17+ROUND(Görevler!$F17*Görevler!$E17,0)-1,2,1),""))</f>
        <v/>
      </c>
      <c r="AN17" s="22" t="str">
        <f aca="false">IF(Görevler!$F17="","",IF(AND(Görevler!$C17&lt;=(AN$4+Ayarlar!$C$6-1),Görevler!$D17&gt;=AN$4),IF(AN$4&lt;=Görevler!$C17+ROUND(Görevler!$F17*Görevler!$E17,0)-1,2,1),""))</f>
        <v/>
      </c>
      <c r="AO17" s="22" t="str">
        <f aca="false">IF(Görevler!$F17="","",IF(AND(Görevler!$C17&lt;=(AO$4+Ayarlar!$C$6-1),Görevler!$D17&gt;=AO$4),IF(AO$4&lt;=Görevler!$C17+ROUND(Görevler!$F17*Görevler!$E17,0)-1,2,1),""))</f>
        <v/>
      </c>
      <c r="AP17" s="22" t="str">
        <f aca="false">IF(Görevler!$F17="","",IF(AND(Görevler!$C17&lt;=(AP$4+Ayarlar!$C$6-1),Görevler!$D17&gt;=AP$4),IF(AP$4&lt;=Görevler!$C17+ROUND(Görevler!$F17*Görevler!$E17,0)-1,2,1),""))</f>
        <v/>
      </c>
      <c r="AQ17" s="22" t="str">
        <f aca="false">IF(Görevler!$F17="","",IF(AND(Görevler!$C17&lt;=(AQ$4+Ayarlar!$C$6-1),Görevler!$D17&gt;=AQ$4),IF(AQ$4&lt;=Görevler!$C17+ROUND(Görevler!$F17*Görevler!$E17,0)-1,2,1),""))</f>
        <v/>
      </c>
      <c r="AR17" s="22" t="str">
        <f aca="false">IF(Görevler!$F17="","",IF(AND(Görevler!$C17&lt;=(AR$4+Ayarlar!$C$6-1),Görevler!$D17&gt;=AR$4),IF(AR$4&lt;=Görevler!$C17+ROUND(Görevler!$F17*Görevler!$E17,0)-1,2,1),""))</f>
        <v/>
      </c>
      <c r="AS17" s="22" t="str">
        <f aca="false">IF(Görevler!$F17="","",IF(AND(Görevler!$C17&lt;=(AS$4+Ayarlar!$C$6-1),Görevler!$D17&gt;=AS$4),IF(AS$4&lt;=Görevler!$C17+ROUND(Görevler!$F17*Görevler!$E17,0)-1,2,1),""))</f>
        <v/>
      </c>
      <c r="AT17" s="22" t="str">
        <f aca="false">IF(Görevler!$F17="","",IF(AND(Görevler!$C17&lt;=(AT$4+Ayarlar!$C$6-1),Görevler!$D17&gt;=AT$4),IF(AT$4&lt;=Görevler!$C17+ROUND(Görevler!$F17*Görevler!$E17,0)-1,2,1),""))</f>
        <v/>
      </c>
      <c r="AU17" s="22" t="str">
        <f aca="false">IF(Görevler!$F17="","",IF(AND(Görevler!$C17&lt;=(AU$4+Ayarlar!$C$6-1),Görevler!$D17&gt;=AU$4),IF(AU$4&lt;=Görevler!$C17+ROUND(Görevler!$F17*Görevler!$E17,0)-1,2,1),""))</f>
        <v/>
      </c>
      <c r="AV17" s="22" t="str">
        <f aca="false">IF(Görevler!$F17="","",IF(AND(Görevler!$C17&lt;=(AV$4+Ayarlar!$C$6-1),Görevler!$D17&gt;=AV$4),IF(AV$4&lt;=Görevler!$C17+ROUND(Görevler!$F17*Görevler!$E17,0)-1,2,1),""))</f>
        <v/>
      </c>
      <c r="AW17" s="22" t="str">
        <f aca="false">IF(Görevler!$F17="","",IF(AND(Görevler!$C17&lt;=(AW$4+Ayarlar!$C$6-1),Görevler!$D17&gt;=AW$4),IF(AW$4&lt;=Görevler!$C17+ROUND(Görevler!$F17*Görevler!$E17,0)-1,2,1),""))</f>
        <v/>
      </c>
      <c r="AX17" s="22" t="str">
        <f aca="false">IF(Görevler!$F17="","",IF(AND(Görevler!$C17&lt;=(AX$4+Ayarlar!$C$6-1),Görevler!$D17&gt;=AX$4),IF(AX$4&lt;=Görevler!$C17+ROUND(Görevler!$F17*Görevler!$E17,0)-1,2,1),""))</f>
        <v/>
      </c>
      <c r="AY17" s="22" t="str">
        <f aca="false">IF(Görevler!$F17="","",IF(AND(Görevler!$C17&lt;=(AY$4+Ayarlar!$C$6-1),Görevler!$D17&gt;=AY$4),IF(AY$4&lt;=Görevler!$C17+ROUND(Görevler!$F17*Görevler!$E17,0)-1,2,1),""))</f>
        <v/>
      </c>
      <c r="AZ17" s="22" t="str">
        <f aca="false">IF(Görevler!$F17="","",IF(AND(Görevler!$C17&lt;=(AZ$4+Ayarlar!$C$6-1),Görevler!$D17&gt;=AZ$4),IF(AZ$4&lt;=Görevler!$C17+ROUND(Görevler!$F17*Görevler!$E17,0)-1,2,1),""))</f>
        <v/>
      </c>
      <c r="BA17" s="22" t="str">
        <f aca="false">IF(Görevler!$F17="","",IF(AND(Görevler!$C17&lt;=(BA$4+Ayarlar!$C$6-1),Görevler!$D17&gt;=BA$4),IF(BA$4&lt;=Görevler!$C17+ROUND(Görevler!$F17*Görevler!$E17,0)-1,2,1),""))</f>
        <v/>
      </c>
      <c r="BB17" s="22" t="str">
        <f aca="false">IF(Görevler!$F17="","",IF(AND(Görevler!$C17&lt;=(BB$4+Ayarlar!$C$6-1),Görevler!$D17&gt;=BB$4),IF(BB$4&lt;=Görevler!$C17+ROUND(Görevler!$F17*Görevler!$E17,0)-1,2,1),""))</f>
        <v/>
      </c>
      <c r="BC17" s="22" t="str">
        <f aca="false">IF(Görevler!$F17="","",IF(AND(Görevler!$C17&lt;=(BC$4+Ayarlar!$C$6-1),Görevler!$D17&gt;=BC$4),IF(BC$4&lt;=Görevler!$C17+ROUND(Görevler!$F17*Görevler!$E17,0)-1,2,1),""))</f>
        <v/>
      </c>
      <c r="BD17" s="22" t="str">
        <f aca="false">IF(Görevler!$F17="","",IF(AND(Görevler!$C17&lt;=(BD$4+Ayarlar!$C$6-1),Görevler!$D17&gt;=BD$4),IF(BD$4&lt;=Görevler!$C17+ROUND(Görevler!$F17*Görevler!$E17,0)-1,2,1),""))</f>
        <v/>
      </c>
      <c r="BE17" s="22" t="str">
        <f aca="false">IF(Görevler!$F17="","",IF(AND(Görevler!$C17&lt;=(BE$4+Ayarlar!$C$6-1),Görevler!$D17&gt;=BE$4),IF(BE$4&lt;=Görevler!$C17+ROUND(Görevler!$F17*Görevler!$E17,0)-1,2,1),""))</f>
        <v/>
      </c>
      <c r="BF17" s="22" t="str">
        <f aca="false">IF(Görevler!$F17="","",IF(AND(Görevler!$C17&lt;=(BF$4+Ayarlar!$C$6-1),Görevler!$D17&gt;=BF$4),IF(BF$4&lt;=Görevler!$C17+ROUND(Görevler!$F17*Görevler!$E17,0)-1,2,1),""))</f>
        <v/>
      </c>
      <c r="BG17" s="22" t="str">
        <f aca="false">IF(Görevler!$F17="","",IF(AND(Görevler!$C17&lt;=(BG$4+Ayarlar!$C$6-1),Görevler!$D17&gt;=BG$4),IF(BG$4&lt;=Görevler!$C17+ROUND(Görevler!$F17*Görevler!$E17,0)-1,2,1),""))</f>
        <v/>
      </c>
      <c r="BH17" s="22" t="str">
        <f aca="false">IF(Görevler!$F17="","",IF(AND(Görevler!$C17&lt;=(BH$4+Ayarlar!$C$6-1),Görevler!$D17&gt;=BH$4),IF(BH$4&lt;=Görevler!$C17+ROUND(Görevler!$F17*Görevler!$E17,0)-1,2,1),""))</f>
        <v/>
      </c>
      <c r="BI17" s="22" t="str">
        <f aca="false">IF(Görevler!$F17="","",IF(AND(Görevler!$C17&lt;=(BI$4+Ayarlar!$C$6-1),Görevler!$D17&gt;=BI$4),IF(BI$4&lt;=Görevler!$C17+ROUND(Görevler!$F17*Görevler!$E17,0)-1,2,1),""))</f>
        <v/>
      </c>
      <c r="BJ17" s="22" t="str">
        <f aca="false">IF(Görevler!$F17="","",IF(AND(Görevler!$C17&lt;=(BJ$4+Ayarlar!$C$6-1),Görevler!$D17&gt;=BJ$4),IF(BJ$4&lt;=Görevler!$C17+ROUND(Görevler!$F17*Görevler!$E17,0)-1,2,1),""))</f>
        <v/>
      </c>
    </row>
    <row r="18" customFormat="false" ht="15" hidden="false" customHeight="false" outlineLevel="0" collapsed="false">
      <c r="A18" s="21" t="str">
        <f aca="false">IF(Görevler!A18="","",Görevler!A18)</f>
        <v/>
      </c>
      <c r="B18" s="21" t="str">
        <f aca="false">IF(Görevler!A18="","",Görevler!B18&amp;"")</f>
        <v/>
      </c>
      <c r="C18" s="22" t="str">
        <f aca="false">IF(Görevler!$F18="","",IF(AND(Görevler!$C18&lt;=(C$4+Ayarlar!$C$6-1),Görevler!$D18&gt;=C$4),IF(C$4&lt;=Görevler!$C18+ROUND(Görevler!$F18*Görevler!$E18,0)-1,2,1),""))</f>
        <v/>
      </c>
      <c r="D18" s="22" t="str">
        <f aca="false">IF(Görevler!$F18="","",IF(AND(Görevler!$C18&lt;=(D$4+Ayarlar!$C$6-1),Görevler!$D18&gt;=D$4),IF(D$4&lt;=Görevler!$C18+ROUND(Görevler!$F18*Görevler!$E18,0)-1,2,1),""))</f>
        <v/>
      </c>
      <c r="E18" s="22" t="str">
        <f aca="false">IF(Görevler!$F18="","",IF(AND(Görevler!$C18&lt;=(E$4+Ayarlar!$C$6-1),Görevler!$D18&gt;=E$4),IF(E$4&lt;=Görevler!$C18+ROUND(Görevler!$F18*Görevler!$E18,0)-1,2,1),""))</f>
        <v/>
      </c>
      <c r="F18" s="22" t="str">
        <f aca="false">IF(Görevler!$F18="","",IF(AND(Görevler!$C18&lt;=(F$4+Ayarlar!$C$6-1),Görevler!$D18&gt;=F$4),IF(F$4&lt;=Görevler!$C18+ROUND(Görevler!$F18*Görevler!$E18,0)-1,2,1),""))</f>
        <v/>
      </c>
      <c r="G18" s="22" t="str">
        <f aca="false">IF(Görevler!$F18="","",IF(AND(Görevler!$C18&lt;=(G$4+Ayarlar!$C$6-1),Görevler!$D18&gt;=G$4),IF(G$4&lt;=Görevler!$C18+ROUND(Görevler!$F18*Görevler!$E18,0)-1,2,1),""))</f>
        <v/>
      </c>
      <c r="H18" s="22" t="str">
        <f aca="false">IF(Görevler!$F18="","",IF(AND(Görevler!$C18&lt;=(H$4+Ayarlar!$C$6-1),Görevler!$D18&gt;=H$4),IF(H$4&lt;=Görevler!$C18+ROUND(Görevler!$F18*Görevler!$E18,0)-1,2,1),""))</f>
        <v/>
      </c>
      <c r="I18" s="22" t="str">
        <f aca="false">IF(Görevler!$F18="","",IF(AND(Görevler!$C18&lt;=(I$4+Ayarlar!$C$6-1),Görevler!$D18&gt;=I$4),IF(I$4&lt;=Görevler!$C18+ROUND(Görevler!$F18*Görevler!$E18,0)-1,2,1),""))</f>
        <v/>
      </c>
      <c r="J18" s="22" t="str">
        <f aca="false">IF(Görevler!$F18="","",IF(AND(Görevler!$C18&lt;=(J$4+Ayarlar!$C$6-1),Görevler!$D18&gt;=J$4),IF(J$4&lt;=Görevler!$C18+ROUND(Görevler!$F18*Görevler!$E18,0)-1,2,1),""))</f>
        <v/>
      </c>
      <c r="K18" s="22" t="str">
        <f aca="false">IF(Görevler!$F18="","",IF(AND(Görevler!$C18&lt;=(K$4+Ayarlar!$C$6-1),Görevler!$D18&gt;=K$4),IF(K$4&lt;=Görevler!$C18+ROUND(Görevler!$F18*Görevler!$E18,0)-1,2,1),""))</f>
        <v/>
      </c>
      <c r="L18" s="22" t="str">
        <f aca="false">IF(Görevler!$F18="","",IF(AND(Görevler!$C18&lt;=(L$4+Ayarlar!$C$6-1),Görevler!$D18&gt;=L$4),IF(L$4&lt;=Görevler!$C18+ROUND(Görevler!$F18*Görevler!$E18,0)-1,2,1),""))</f>
        <v/>
      </c>
      <c r="M18" s="22" t="str">
        <f aca="false">IF(Görevler!$F18="","",IF(AND(Görevler!$C18&lt;=(M$4+Ayarlar!$C$6-1),Görevler!$D18&gt;=M$4),IF(M$4&lt;=Görevler!$C18+ROUND(Görevler!$F18*Görevler!$E18,0)-1,2,1),""))</f>
        <v/>
      </c>
      <c r="N18" s="22" t="str">
        <f aca="false">IF(Görevler!$F18="","",IF(AND(Görevler!$C18&lt;=(N$4+Ayarlar!$C$6-1),Görevler!$D18&gt;=N$4),IF(N$4&lt;=Görevler!$C18+ROUND(Görevler!$F18*Görevler!$E18,0)-1,2,1),""))</f>
        <v/>
      </c>
      <c r="O18" s="22" t="str">
        <f aca="false">IF(Görevler!$F18="","",IF(AND(Görevler!$C18&lt;=(O$4+Ayarlar!$C$6-1),Görevler!$D18&gt;=O$4),IF(O$4&lt;=Görevler!$C18+ROUND(Görevler!$F18*Görevler!$E18,0)-1,2,1),""))</f>
        <v/>
      </c>
      <c r="P18" s="22" t="str">
        <f aca="false">IF(Görevler!$F18="","",IF(AND(Görevler!$C18&lt;=(P$4+Ayarlar!$C$6-1),Görevler!$D18&gt;=P$4),IF(P$4&lt;=Görevler!$C18+ROUND(Görevler!$F18*Görevler!$E18,0)-1,2,1),""))</f>
        <v/>
      </c>
      <c r="Q18" s="22" t="str">
        <f aca="false">IF(Görevler!$F18="","",IF(AND(Görevler!$C18&lt;=(Q$4+Ayarlar!$C$6-1),Görevler!$D18&gt;=Q$4),IF(Q$4&lt;=Görevler!$C18+ROUND(Görevler!$F18*Görevler!$E18,0)-1,2,1),""))</f>
        <v/>
      </c>
      <c r="R18" s="22" t="str">
        <f aca="false">IF(Görevler!$F18="","",IF(AND(Görevler!$C18&lt;=(R$4+Ayarlar!$C$6-1),Görevler!$D18&gt;=R$4),IF(R$4&lt;=Görevler!$C18+ROUND(Görevler!$F18*Görevler!$E18,0)-1,2,1),""))</f>
        <v/>
      </c>
      <c r="S18" s="22" t="str">
        <f aca="false">IF(Görevler!$F18="","",IF(AND(Görevler!$C18&lt;=(S$4+Ayarlar!$C$6-1),Görevler!$D18&gt;=S$4),IF(S$4&lt;=Görevler!$C18+ROUND(Görevler!$F18*Görevler!$E18,0)-1,2,1),""))</f>
        <v/>
      </c>
      <c r="T18" s="22" t="str">
        <f aca="false">IF(Görevler!$F18="","",IF(AND(Görevler!$C18&lt;=(T$4+Ayarlar!$C$6-1),Görevler!$D18&gt;=T$4),IF(T$4&lt;=Görevler!$C18+ROUND(Görevler!$F18*Görevler!$E18,0)-1,2,1),""))</f>
        <v/>
      </c>
      <c r="U18" s="22" t="str">
        <f aca="false">IF(Görevler!$F18="","",IF(AND(Görevler!$C18&lt;=(U$4+Ayarlar!$C$6-1),Görevler!$D18&gt;=U$4),IF(U$4&lt;=Görevler!$C18+ROUND(Görevler!$F18*Görevler!$E18,0)-1,2,1),""))</f>
        <v/>
      </c>
      <c r="V18" s="22" t="str">
        <f aca="false">IF(Görevler!$F18="","",IF(AND(Görevler!$C18&lt;=(V$4+Ayarlar!$C$6-1),Görevler!$D18&gt;=V$4),IF(V$4&lt;=Görevler!$C18+ROUND(Görevler!$F18*Görevler!$E18,0)-1,2,1),""))</f>
        <v/>
      </c>
      <c r="W18" s="22" t="str">
        <f aca="false">IF(Görevler!$F18="","",IF(AND(Görevler!$C18&lt;=(W$4+Ayarlar!$C$6-1),Görevler!$D18&gt;=W$4),IF(W$4&lt;=Görevler!$C18+ROUND(Görevler!$F18*Görevler!$E18,0)-1,2,1),""))</f>
        <v/>
      </c>
      <c r="X18" s="22" t="str">
        <f aca="false">IF(Görevler!$F18="","",IF(AND(Görevler!$C18&lt;=(X$4+Ayarlar!$C$6-1),Görevler!$D18&gt;=X$4),IF(X$4&lt;=Görevler!$C18+ROUND(Görevler!$F18*Görevler!$E18,0)-1,2,1),""))</f>
        <v/>
      </c>
      <c r="Y18" s="22" t="str">
        <f aca="false">IF(Görevler!$F18="","",IF(AND(Görevler!$C18&lt;=(Y$4+Ayarlar!$C$6-1),Görevler!$D18&gt;=Y$4),IF(Y$4&lt;=Görevler!$C18+ROUND(Görevler!$F18*Görevler!$E18,0)-1,2,1),""))</f>
        <v/>
      </c>
      <c r="Z18" s="22" t="str">
        <f aca="false">IF(Görevler!$F18="","",IF(AND(Görevler!$C18&lt;=(Z$4+Ayarlar!$C$6-1),Görevler!$D18&gt;=Z$4),IF(Z$4&lt;=Görevler!$C18+ROUND(Görevler!$F18*Görevler!$E18,0)-1,2,1),""))</f>
        <v/>
      </c>
      <c r="AA18" s="22" t="str">
        <f aca="false">IF(Görevler!$F18="","",IF(AND(Görevler!$C18&lt;=(AA$4+Ayarlar!$C$6-1),Görevler!$D18&gt;=AA$4),IF(AA$4&lt;=Görevler!$C18+ROUND(Görevler!$F18*Görevler!$E18,0)-1,2,1),""))</f>
        <v/>
      </c>
      <c r="AB18" s="22" t="str">
        <f aca="false">IF(Görevler!$F18="","",IF(AND(Görevler!$C18&lt;=(AB$4+Ayarlar!$C$6-1),Görevler!$D18&gt;=AB$4),IF(AB$4&lt;=Görevler!$C18+ROUND(Görevler!$F18*Görevler!$E18,0)-1,2,1),""))</f>
        <v/>
      </c>
      <c r="AC18" s="22" t="str">
        <f aca="false">IF(Görevler!$F18="","",IF(AND(Görevler!$C18&lt;=(AC$4+Ayarlar!$C$6-1),Görevler!$D18&gt;=AC$4),IF(AC$4&lt;=Görevler!$C18+ROUND(Görevler!$F18*Görevler!$E18,0)-1,2,1),""))</f>
        <v/>
      </c>
      <c r="AD18" s="22" t="str">
        <f aca="false">IF(Görevler!$F18="","",IF(AND(Görevler!$C18&lt;=(AD$4+Ayarlar!$C$6-1),Görevler!$D18&gt;=AD$4),IF(AD$4&lt;=Görevler!$C18+ROUND(Görevler!$F18*Görevler!$E18,0)-1,2,1),""))</f>
        <v/>
      </c>
      <c r="AE18" s="22" t="str">
        <f aca="false">IF(Görevler!$F18="","",IF(AND(Görevler!$C18&lt;=(AE$4+Ayarlar!$C$6-1),Görevler!$D18&gt;=AE$4),IF(AE$4&lt;=Görevler!$C18+ROUND(Görevler!$F18*Görevler!$E18,0)-1,2,1),""))</f>
        <v/>
      </c>
      <c r="AF18" s="22" t="str">
        <f aca="false">IF(Görevler!$F18="","",IF(AND(Görevler!$C18&lt;=(AF$4+Ayarlar!$C$6-1),Görevler!$D18&gt;=AF$4),IF(AF$4&lt;=Görevler!$C18+ROUND(Görevler!$F18*Görevler!$E18,0)-1,2,1),""))</f>
        <v/>
      </c>
      <c r="AG18" s="22" t="str">
        <f aca="false">IF(Görevler!$F18="","",IF(AND(Görevler!$C18&lt;=(AG$4+Ayarlar!$C$6-1),Görevler!$D18&gt;=AG$4),IF(AG$4&lt;=Görevler!$C18+ROUND(Görevler!$F18*Görevler!$E18,0)-1,2,1),""))</f>
        <v/>
      </c>
      <c r="AH18" s="22" t="str">
        <f aca="false">IF(Görevler!$F18="","",IF(AND(Görevler!$C18&lt;=(AH$4+Ayarlar!$C$6-1),Görevler!$D18&gt;=AH$4),IF(AH$4&lt;=Görevler!$C18+ROUND(Görevler!$F18*Görevler!$E18,0)-1,2,1),""))</f>
        <v/>
      </c>
      <c r="AI18" s="22" t="str">
        <f aca="false">IF(Görevler!$F18="","",IF(AND(Görevler!$C18&lt;=(AI$4+Ayarlar!$C$6-1),Görevler!$D18&gt;=AI$4),IF(AI$4&lt;=Görevler!$C18+ROUND(Görevler!$F18*Görevler!$E18,0)-1,2,1),""))</f>
        <v/>
      </c>
      <c r="AJ18" s="22" t="str">
        <f aca="false">IF(Görevler!$F18="","",IF(AND(Görevler!$C18&lt;=(AJ$4+Ayarlar!$C$6-1),Görevler!$D18&gt;=AJ$4),IF(AJ$4&lt;=Görevler!$C18+ROUND(Görevler!$F18*Görevler!$E18,0)-1,2,1),""))</f>
        <v/>
      </c>
      <c r="AK18" s="22" t="str">
        <f aca="false">IF(Görevler!$F18="","",IF(AND(Görevler!$C18&lt;=(AK$4+Ayarlar!$C$6-1),Görevler!$D18&gt;=AK$4),IF(AK$4&lt;=Görevler!$C18+ROUND(Görevler!$F18*Görevler!$E18,0)-1,2,1),""))</f>
        <v/>
      </c>
      <c r="AL18" s="22" t="str">
        <f aca="false">IF(Görevler!$F18="","",IF(AND(Görevler!$C18&lt;=(AL$4+Ayarlar!$C$6-1),Görevler!$D18&gt;=AL$4),IF(AL$4&lt;=Görevler!$C18+ROUND(Görevler!$F18*Görevler!$E18,0)-1,2,1),""))</f>
        <v/>
      </c>
      <c r="AM18" s="22" t="str">
        <f aca="false">IF(Görevler!$F18="","",IF(AND(Görevler!$C18&lt;=(AM$4+Ayarlar!$C$6-1),Görevler!$D18&gt;=AM$4),IF(AM$4&lt;=Görevler!$C18+ROUND(Görevler!$F18*Görevler!$E18,0)-1,2,1),""))</f>
        <v/>
      </c>
      <c r="AN18" s="22" t="str">
        <f aca="false">IF(Görevler!$F18="","",IF(AND(Görevler!$C18&lt;=(AN$4+Ayarlar!$C$6-1),Görevler!$D18&gt;=AN$4),IF(AN$4&lt;=Görevler!$C18+ROUND(Görevler!$F18*Görevler!$E18,0)-1,2,1),""))</f>
        <v/>
      </c>
      <c r="AO18" s="22" t="str">
        <f aca="false">IF(Görevler!$F18="","",IF(AND(Görevler!$C18&lt;=(AO$4+Ayarlar!$C$6-1),Görevler!$D18&gt;=AO$4),IF(AO$4&lt;=Görevler!$C18+ROUND(Görevler!$F18*Görevler!$E18,0)-1,2,1),""))</f>
        <v/>
      </c>
      <c r="AP18" s="22" t="str">
        <f aca="false">IF(Görevler!$F18="","",IF(AND(Görevler!$C18&lt;=(AP$4+Ayarlar!$C$6-1),Görevler!$D18&gt;=AP$4),IF(AP$4&lt;=Görevler!$C18+ROUND(Görevler!$F18*Görevler!$E18,0)-1,2,1),""))</f>
        <v/>
      </c>
      <c r="AQ18" s="22" t="str">
        <f aca="false">IF(Görevler!$F18="","",IF(AND(Görevler!$C18&lt;=(AQ$4+Ayarlar!$C$6-1),Görevler!$D18&gt;=AQ$4),IF(AQ$4&lt;=Görevler!$C18+ROUND(Görevler!$F18*Görevler!$E18,0)-1,2,1),""))</f>
        <v/>
      </c>
      <c r="AR18" s="22" t="str">
        <f aca="false">IF(Görevler!$F18="","",IF(AND(Görevler!$C18&lt;=(AR$4+Ayarlar!$C$6-1),Görevler!$D18&gt;=AR$4),IF(AR$4&lt;=Görevler!$C18+ROUND(Görevler!$F18*Görevler!$E18,0)-1,2,1),""))</f>
        <v/>
      </c>
      <c r="AS18" s="22" t="str">
        <f aca="false">IF(Görevler!$F18="","",IF(AND(Görevler!$C18&lt;=(AS$4+Ayarlar!$C$6-1),Görevler!$D18&gt;=AS$4),IF(AS$4&lt;=Görevler!$C18+ROUND(Görevler!$F18*Görevler!$E18,0)-1,2,1),""))</f>
        <v/>
      </c>
      <c r="AT18" s="22" t="str">
        <f aca="false">IF(Görevler!$F18="","",IF(AND(Görevler!$C18&lt;=(AT$4+Ayarlar!$C$6-1),Görevler!$D18&gt;=AT$4),IF(AT$4&lt;=Görevler!$C18+ROUND(Görevler!$F18*Görevler!$E18,0)-1,2,1),""))</f>
        <v/>
      </c>
      <c r="AU18" s="22" t="str">
        <f aca="false">IF(Görevler!$F18="","",IF(AND(Görevler!$C18&lt;=(AU$4+Ayarlar!$C$6-1),Görevler!$D18&gt;=AU$4),IF(AU$4&lt;=Görevler!$C18+ROUND(Görevler!$F18*Görevler!$E18,0)-1,2,1),""))</f>
        <v/>
      </c>
      <c r="AV18" s="22" t="str">
        <f aca="false">IF(Görevler!$F18="","",IF(AND(Görevler!$C18&lt;=(AV$4+Ayarlar!$C$6-1),Görevler!$D18&gt;=AV$4),IF(AV$4&lt;=Görevler!$C18+ROUND(Görevler!$F18*Görevler!$E18,0)-1,2,1),""))</f>
        <v/>
      </c>
      <c r="AW18" s="22" t="str">
        <f aca="false">IF(Görevler!$F18="","",IF(AND(Görevler!$C18&lt;=(AW$4+Ayarlar!$C$6-1),Görevler!$D18&gt;=AW$4),IF(AW$4&lt;=Görevler!$C18+ROUND(Görevler!$F18*Görevler!$E18,0)-1,2,1),""))</f>
        <v/>
      </c>
      <c r="AX18" s="22" t="str">
        <f aca="false">IF(Görevler!$F18="","",IF(AND(Görevler!$C18&lt;=(AX$4+Ayarlar!$C$6-1),Görevler!$D18&gt;=AX$4),IF(AX$4&lt;=Görevler!$C18+ROUND(Görevler!$F18*Görevler!$E18,0)-1,2,1),""))</f>
        <v/>
      </c>
      <c r="AY18" s="22" t="str">
        <f aca="false">IF(Görevler!$F18="","",IF(AND(Görevler!$C18&lt;=(AY$4+Ayarlar!$C$6-1),Görevler!$D18&gt;=AY$4),IF(AY$4&lt;=Görevler!$C18+ROUND(Görevler!$F18*Görevler!$E18,0)-1,2,1),""))</f>
        <v/>
      </c>
      <c r="AZ18" s="22" t="str">
        <f aca="false">IF(Görevler!$F18="","",IF(AND(Görevler!$C18&lt;=(AZ$4+Ayarlar!$C$6-1),Görevler!$D18&gt;=AZ$4),IF(AZ$4&lt;=Görevler!$C18+ROUND(Görevler!$F18*Görevler!$E18,0)-1,2,1),""))</f>
        <v/>
      </c>
      <c r="BA18" s="22" t="str">
        <f aca="false">IF(Görevler!$F18="","",IF(AND(Görevler!$C18&lt;=(BA$4+Ayarlar!$C$6-1),Görevler!$D18&gt;=BA$4),IF(BA$4&lt;=Görevler!$C18+ROUND(Görevler!$F18*Görevler!$E18,0)-1,2,1),""))</f>
        <v/>
      </c>
      <c r="BB18" s="22" t="str">
        <f aca="false">IF(Görevler!$F18="","",IF(AND(Görevler!$C18&lt;=(BB$4+Ayarlar!$C$6-1),Görevler!$D18&gt;=BB$4),IF(BB$4&lt;=Görevler!$C18+ROUND(Görevler!$F18*Görevler!$E18,0)-1,2,1),""))</f>
        <v/>
      </c>
      <c r="BC18" s="22" t="str">
        <f aca="false">IF(Görevler!$F18="","",IF(AND(Görevler!$C18&lt;=(BC$4+Ayarlar!$C$6-1),Görevler!$D18&gt;=BC$4),IF(BC$4&lt;=Görevler!$C18+ROUND(Görevler!$F18*Görevler!$E18,0)-1,2,1),""))</f>
        <v/>
      </c>
      <c r="BD18" s="22" t="str">
        <f aca="false">IF(Görevler!$F18="","",IF(AND(Görevler!$C18&lt;=(BD$4+Ayarlar!$C$6-1),Görevler!$D18&gt;=BD$4),IF(BD$4&lt;=Görevler!$C18+ROUND(Görevler!$F18*Görevler!$E18,0)-1,2,1),""))</f>
        <v/>
      </c>
      <c r="BE18" s="22" t="str">
        <f aca="false">IF(Görevler!$F18="","",IF(AND(Görevler!$C18&lt;=(BE$4+Ayarlar!$C$6-1),Görevler!$D18&gt;=BE$4),IF(BE$4&lt;=Görevler!$C18+ROUND(Görevler!$F18*Görevler!$E18,0)-1,2,1),""))</f>
        <v/>
      </c>
      <c r="BF18" s="22" t="str">
        <f aca="false">IF(Görevler!$F18="","",IF(AND(Görevler!$C18&lt;=(BF$4+Ayarlar!$C$6-1),Görevler!$D18&gt;=BF$4),IF(BF$4&lt;=Görevler!$C18+ROUND(Görevler!$F18*Görevler!$E18,0)-1,2,1),""))</f>
        <v/>
      </c>
      <c r="BG18" s="22" t="str">
        <f aca="false">IF(Görevler!$F18="","",IF(AND(Görevler!$C18&lt;=(BG$4+Ayarlar!$C$6-1),Görevler!$D18&gt;=BG$4),IF(BG$4&lt;=Görevler!$C18+ROUND(Görevler!$F18*Görevler!$E18,0)-1,2,1),""))</f>
        <v/>
      </c>
      <c r="BH18" s="22" t="str">
        <f aca="false">IF(Görevler!$F18="","",IF(AND(Görevler!$C18&lt;=(BH$4+Ayarlar!$C$6-1),Görevler!$D18&gt;=BH$4),IF(BH$4&lt;=Görevler!$C18+ROUND(Görevler!$F18*Görevler!$E18,0)-1,2,1),""))</f>
        <v/>
      </c>
      <c r="BI18" s="22" t="str">
        <f aca="false">IF(Görevler!$F18="","",IF(AND(Görevler!$C18&lt;=(BI$4+Ayarlar!$C$6-1),Görevler!$D18&gt;=BI$4),IF(BI$4&lt;=Görevler!$C18+ROUND(Görevler!$F18*Görevler!$E18,0)-1,2,1),""))</f>
        <v/>
      </c>
      <c r="BJ18" s="22" t="str">
        <f aca="false">IF(Görevler!$F18="","",IF(AND(Görevler!$C18&lt;=(BJ$4+Ayarlar!$C$6-1),Görevler!$D18&gt;=BJ$4),IF(BJ$4&lt;=Görevler!$C18+ROUND(Görevler!$F18*Görevler!$E18,0)-1,2,1),""))</f>
        <v/>
      </c>
    </row>
    <row r="19" customFormat="false" ht="15" hidden="false" customHeight="false" outlineLevel="0" collapsed="false">
      <c r="A19" s="21" t="str">
        <f aca="false">IF(Görevler!A19="","",Görevler!A19)</f>
        <v/>
      </c>
      <c r="B19" s="21" t="str">
        <f aca="false">IF(Görevler!A19="","",Görevler!B19&amp;"")</f>
        <v/>
      </c>
      <c r="C19" s="22" t="str">
        <f aca="false">IF(Görevler!$F19="","",IF(AND(Görevler!$C19&lt;=(C$4+Ayarlar!$C$6-1),Görevler!$D19&gt;=C$4),IF(C$4&lt;=Görevler!$C19+ROUND(Görevler!$F19*Görevler!$E19,0)-1,2,1),""))</f>
        <v/>
      </c>
      <c r="D19" s="22" t="str">
        <f aca="false">IF(Görevler!$F19="","",IF(AND(Görevler!$C19&lt;=(D$4+Ayarlar!$C$6-1),Görevler!$D19&gt;=D$4),IF(D$4&lt;=Görevler!$C19+ROUND(Görevler!$F19*Görevler!$E19,0)-1,2,1),""))</f>
        <v/>
      </c>
      <c r="E19" s="22" t="str">
        <f aca="false">IF(Görevler!$F19="","",IF(AND(Görevler!$C19&lt;=(E$4+Ayarlar!$C$6-1),Görevler!$D19&gt;=E$4),IF(E$4&lt;=Görevler!$C19+ROUND(Görevler!$F19*Görevler!$E19,0)-1,2,1),""))</f>
        <v/>
      </c>
      <c r="F19" s="22" t="str">
        <f aca="false">IF(Görevler!$F19="","",IF(AND(Görevler!$C19&lt;=(F$4+Ayarlar!$C$6-1),Görevler!$D19&gt;=F$4),IF(F$4&lt;=Görevler!$C19+ROUND(Görevler!$F19*Görevler!$E19,0)-1,2,1),""))</f>
        <v/>
      </c>
      <c r="G19" s="22" t="str">
        <f aca="false">IF(Görevler!$F19="","",IF(AND(Görevler!$C19&lt;=(G$4+Ayarlar!$C$6-1),Görevler!$D19&gt;=G$4),IF(G$4&lt;=Görevler!$C19+ROUND(Görevler!$F19*Görevler!$E19,0)-1,2,1),""))</f>
        <v/>
      </c>
      <c r="H19" s="22" t="str">
        <f aca="false">IF(Görevler!$F19="","",IF(AND(Görevler!$C19&lt;=(H$4+Ayarlar!$C$6-1),Görevler!$D19&gt;=H$4),IF(H$4&lt;=Görevler!$C19+ROUND(Görevler!$F19*Görevler!$E19,0)-1,2,1),""))</f>
        <v/>
      </c>
      <c r="I19" s="22" t="str">
        <f aca="false">IF(Görevler!$F19="","",IF(AND(Görevler!$C19&lt;=(I$4+Ayarlar!$C$6-1),Görevler!$D19&gt;=I$4),IF(I$4&lt;=Görevler!$C19+ROUND(Görevler!$F19*Görevler!$E19,0)-1,2,1),""))</f>
        <v/>
      </c>
      <c r="J19" s="22" t="str">
        <f aca="false">IF(Görevler!$F19="","",IF(AND(Görevler!$C19&lt;=(J$4+Ayarlar!$C$6-1),Görevler!$D19&gt;=J$4),IF(J$4&lt;=Görevler!$C19+ROUND(Görevler!$F19*Görevler!$E19,0)-1,2,1),""))</f>
        <v/>
      </c>
      <c r="K19" s="22" t="str">
        <f aca="false">IF(Görevler!$F19="","",IF(AND(Görevler!$C19&lt;=(K$4+Ayarlar!$C$6-1),Görevler!$D19&gt;=K$4),IF(K$4&lt;=Görevler!$C19+ROUND(Görevler!$F19*Görevler!$E19,0)-1,2,1),""))</f>
        <v/>
      </c>
      <c r="L19" s="22" t="str">
        <f aca="false">IF(Görevler!$F19="","",IF(AND(Görevler!$C19&lt;=(L$4+Ayarlar!$C$6-1),Görevler!$D19&gt;=L$4),IF(L$4&lt;=Görevler!$C19+ROUND(Görevler!$F19*Görevler!$E19,0)-1,2,1),""))</f>
        <v/>
      </c>
      <c r="M19" s="22" t="str">
        <f aca="false">IF(Görevler!$F19="","",IF(AND(Görevler!$C19&lt;=(M$4+Ayarlar!$C$6-1),Görevler!$D19&gt;=M$4),IF(M$4&lt;=Görevler!$C19+ROUND(Görevler!$F19*Görevler!$E19,0)-1,2,1),""))</f>
        <v/>
      </c>
      <c r="N19" s="22" t="str">
        <f aca="false">IF(Görevler!$F19="","",IF(AND(Görevler!$C19&lt;=(N$4+Ayarlar!$C$6-1),Görevler!$D19&gt;=N$4),IF(N$4&lt;=Görevler!$C19+ROUND(Görevler!$F19*Görevler!$E19,0)-1,2,1),""))</f>
        <v/>
      </c>
      <c r="O19" s="22" t="str">
        <f aca="false">IF(Görevler!$F19="","",IF(AND(Görevler!$C19&lt;=(O$4+Ayarlar!$C$6-1),Görevler!$D19&gt;=O$4),IF(O$4&lt;=Görevler!$C19+ROUND(Görevler!$F19*Görevler!$E19,0)-1,2,1),""))</f>
        <v/>
      </c>
      <c r="P19" s="22" t="str">
        <f aca="false">IF(Görevler!$F19="","",IF(AND(Görevler!$C19&lt;=(P$4+Ayarlar!$C$6-1),Görevler!$D19&gt;=P$4),IF(P$4&lt;=Görevler!$C19+ROUND(Görevler!$F19*Görevler!$E19,0)-1,2,1),""))</f>
        <v/>
      </c>
      <c r="Q19" s="22" t="str">
        <f aca="false">IF(Görevler!$F19="","",IF(AND(Görevler!$C19&lt;=(Q$4+Ayarlar!$C$6-1),Görevler!$D19&gt;=Q$4),IF(Q$4&lt;=Görevler!$C19+ROUND(Görevler!$F19*Görevler!$E19,0)-1,2,1),""))</f>
        <v/>
      </c>
      <c r="R19" s="22" t="str">
        <f aca="false">IF(Görevler!$F19="","",IF(AND(Görevler!$C19&lt;=(R$4+Ayarlar!$C$6-1),Görevler!$D19&gt;=R$4),IF(R$4&lt;=Görevler!$C19+ROUND(Görevler!$F19*Görevler!$E19,0)-1,2,1),""))</f>
        <v/>
      </c>
      <c r="S19" s="22" t="str">
        <f aca="false">IF(Görevler!$F19="","",IF(AND(Görevler!$C19&lt;=(S$4+Ayarlar!$C$6-1),Görevler!$D19&gt;=S$4),IF(S$4&lt;=Görevler!$C19+ROUND(Görevler!$F19*Görevler!$E19,0)-1,2,1),""))</f>
        <v/>
      </c>
      <c r="T19" s="22" t="str">
        <f aca="false">IF(Görevler!$F19="","",IF(AND(Görevler!$C19&lt;=(T$4+Ayarlar!$C$6-1),Görevler!$D19&gt;=T$4),IF(T$4&lt;=Görevler!$C19+ROUND(Görevler!$F19*Görevler!$E19,0)-1,2,1),""))</f>
        <v/>
      </c>
      <c r="U19" s="22" t="str">
        <f aca="false">IF(Görevler!$F19="","",IF(AND(Görevler!$C19&lt;=(U$4+Ayarlar!$C$6-1),Görevler!$D19&gt;=U$4),IF(U$4&lt;=Görevler!$C19+ROUND(Görevler!$F19*Görevler!$E19,0)-1,2,1),""))</f>
        <v/>
      </c>
      <c r="V19" s="22" t="str">
        <f aca="false">IF(Görevler!$F19="","",IF(AND(Görevler!$C19&lt;=(V$4+Ayarlar!$C$6-1),Görevler!$D19&gt;=V$4),IF(V$4&lt;=Görevler!$C19+ROUND(Görevler!$F19*Görevler!$E19,0)-1,2,1),""))</f>
        <v/>
      </c>
      <c r="W19" s="22" t="str">
        <f aca="false">IF(Görevler!$F19="","",IF(AND(Görevler!$C19&lt;=(W$4+Ayarlar!$C$6-1),Görevler!$D19&gt;=W$4),IF(W$4&lt;=Görevler!$C19+ROUND(Görevler!$F19*Görevler!$E19,0)-1,2,1),""))</f>
        <v/>
      </c>
      <c r="X19" s="22" t="str">
        <f aca="false">IF(Görevler!$F19="","",IF(AND(Görevler!$C19&lt;=(X$4+Ayarlar!$C$6-1),Görevler!$D19&gt;=X$4),IF(X$4&lt;=Görevler!$C19+ROUND(Görevler!$F19*Görevler!$E19,0)-1,2,1),""))</f>
        <v/>
      </c>
      <c r="Y19" s="22" t="str">
        <f aca="false">IF(Görevler!$F19="","",IF(AND(Görevler!$C19&lt;=(Y$4+Ayarlar!$C$6-1),Görevler!$D19&gt;=Y$4),IF(Y$4&lt;=Görevler!$C19+ROUND(Görevler!$F19*Görevler!$E19,0)-1,2,1),""))</f>
        <v/>
      </c>
      <c r="Z19" s="22" t="str">
        <f aca="false">IF(Görevler!$F19="","",IF(AND(Görevler!$C19&lt;=(Z$4+Ayarlar!$C$6-1),Görevler!$D19&gt;=Z$4),IF(Z$4&lt;=Görevler!$C19+ROUND(Görevler!$F19*Görevler!$E19,0)-1,2,1),""))</f>
        <v/>
      </c>
      <c r="AA19" s="22" t="str">
        <f aca="false">IF(Görevler!$F19="","",IF(AND(Görevler!$C19&lt;=(AA$4+Ayarlar!$C$6-1),Görevler!$D19&gt;=AA$4),IF(AA$4&lt;=Görevler!$C19+ROUND(Görevler!$F19*Görevler!$E19,0)-1,2,1),""))</f>
        <v/>
      </c>
      <c r="AB19" s="22" t="str">
        <f aca="false">IF(Görevler!$F19="","",IF(AND(Görevler!$C19&lt;=(AB$4+Ayarlar!$C$6-1),Görevler!$D19&gt;=AB$4),IF(AB$4&lt;=Görevler!$C19+ROUND(Görevler!$F19*Görevler!$E19,0)-1,2,1),""))</f>
        <v/>
      </c>
      <c r="AC19" s="22" t="str">
        <f aca="false">IF(Görevler!$F19="","",IF(AND(Görevler!$C19&lt;=(AC$4+Ayarlar!$C$6-1),Görevler!$D19&gt;=AC$4),IF(AC$4&lt;=Görevler!$C19+ROUND(Görevler!$F19*Görevler!$E19,0)-1,2,1),""))</f>
        <v/>
      </c>
      <c r="AD19" s="22" t="str">
        <f aca="false">IF(Görevler!$F19="","",IF(AND(Görevler!$C19&lt;=(AD$4+Ayarlar!$C$6-1),Görevler!$D19&gt;=AD$4),IF(AD$4&lt;=Görevler!$C19+ROUND(Görevler!$F19*Görevler!$E19,0)-1,2,1),""))</f>
        <v/>
      </c>
      <c r="AE19" s="22" t="str">
        <f aca="false">IF(Görevler!$F19="","",IF(AND(Görevler!$C19&lt;=(AE$4+Ayarlar!$C$6-1),Görevler!$D19&gt;=AE$4),IF(AE$4&lt;=Görevler!$C19+ROUND(Görevler!$F19*Görevler!$E19,0)-1,2,1),""))</f>
        <v/>
      </c>
      <c r="AF19" s="22" t="str">
        <f aca="false">IF(Görevler!$F19="","",IF(AND(Görevler!$C19&lt;=(AF$4+Ayarlar!$C$6-1),Görevler!$D19&gt;=AF$4),IF(AF$4&lt;=Görevler!$C19+ROUND(Görevler!$F19*Görevler!$E19,0)-1,2,1),""))</f>
        <v/>
      </c>
      <c r="AG19" s="22" t="str">
        <f aca="false">IF(Görevler!$F19="","",IF(AND(Görevler!$C19&lt;=(AG$4+Ayarlar!$C$6-1),Görevler!$D19&gt;=AG$4),IF(AG$4&lt;=Görevler!$C19+ROUND(Görevler!$F19*Görevler!$E19,0)-1,2,1),""))</f>
        <v/>
      </c>
      <c r="AH19" s="22" t="str">
        <f aca="false">IF(Görevler!$F19="","",IF(AND(Görevler!$C19&lt;=(AH$4+Ayarlar!$C$6-1),Görevler!$D19&gt;=AH$4),IF(AH$4&lt;=Görevler!$C19+ROUND(Görevler!$F19*Görevler!$E19,0)-1,2,1),""))</f>
        <v/>
      </c>
      <c r="AI19" s="22" t="str">
        <f aca="false">IF(Görevler!$F19="","",IF(AND(Görevler!$C19&lt;=(AI$4+Ayarlar!$C$6-1),Görevler!$D19&gt;=AI$4),IF(AI$4&lt;=Görevler!$C19+ROUND(Görevler!$F19*Görevler!$E19,0)-1,2,1),""))</f>
        <v/>
      </c>
      <c r="AJ19" s="22" t="str">
        <f aca="false">IF(Görevler!$F19="","",IF(AND(Görevler!$C19&lt;=(AJ$4+Ayarlar!$C$6-1),Görevler!$D19&gt;=AJ$4),IF(AJ$4&lt;=Görevler!$C19+ROUND(Görevler!$F19*Görevler!$E19,0)-1,2,1),""))</f>
        <v/>
      </c>
      <c r="AK19" s="22" t="str">
        <f aca="false">IF(Görevler!$F19="","",IF(AND(Görevler!$C19&lt;=(AK$4+Ayarlar!$C$6-1),Görevler!$D19&gt;=AK$4),IF(AK$4&lt;=Görevler!$C19+ROUND(Görevler!$F19*Görevler!$E19,0)-1,2,1),""))</f>
        <v/>
      </c>
      <c r="AL19" s="22" t="str">
        <f aca="false">IF(Görevler!$F19="","",IF(AND(Görevler!$C19&lt;=(AL$4+Ayarlar!$C$6-1),Görevler!$D19&gt;=AL$4),IF(AL$4&lt;=Görevler!$C19+ROUND(Görevler!$F19*Görevler!$E19,0)-1,2,1),""))</f>
        <v/>
      </c>
      <c r="AM19" s="22" t="str">
        <f aca="false">IF(Görevler!$F19="","",IF(AND(Görevler!$C19&lt;=(AM$4+Ayarlar!$C$6-1),Görevler!$D19&gt;=AM$4),IF(AM$4&lt;=Görevler!$C19+ROUND(Görevler!$F19*Görevler!$E19,0)-1,2,1),""))</f>
        <v/>
      </c>
      <c r="AN19" s="22" t="str">
        <f aca="false">IF(Görevler!$F19="","",IF(AND(Görevler!$C19&lt;=(AN$4+Ayarlar!$C$6-1),Görevler!$D19&gt;=AN$4),IF(AN$4&lt;=Görevler!$C19+ROUND(Görevler!$F19*Görevler!$E19,0)-1,2,1),""))</f>
        <v/>
      </c>
      <c r="AO19" s="22" t="str">
        <f aca="false">IF(Görevler!$F19="","",IF(AND(Görevler!$C19&lt;=(AO$4+Ayarlar!$C$6-1),Görevler!$D19&gt;=AO$4),IF(AO$4&lt;=Görevler!$C19+ROUND(Görevler!$F19*Görevler!$E19,0)-1,2,1),""))</f>
        <v/>
      </c>
      <c r="AP19" s="22" t="str">
        <f aca="false">IF(Görevler!$F19="","",IF(AND(Görevler!$C19&lt;=(AP$4+Ayarlar!$C$6-1),Görevler!$D19&gt;=AP$4),IF(AP$4&lt;=Görevler!$C19+ROUND(Görevler!$F19*Görevler!$E19,0)-1,2,1),""))</f>
        <v/>
      </c>
      <c r="AQ19" s="22" t="str">
        <f aca="false">IF(Görevler!$F19="","",IF(AND(Görevler!$C19&lt;=(AQ$4+Ayarlar!$C$6-1),Görevler!$D19&gt;=AQ$4),IF(AQ$4&lt;=Görevler!$C19+ROUND(Görevler!$F19*Görevler!$E19,0)-1,2,1),""))</f>
        <v/>
      </c>
      <c r="AR19" s="22" t="str">
        <f aca="false">IF(Görevler!$F19="","",IF(AND(Görevler!$C19&lt;=(AR$4+Ayarlar!$C$6-1),Görevler!$D19&gt;=AR$4),IF(AR$4&lt;=Görevler!$C19+ROUND(Görevler!$F19*Görevler!$E19,0)-1,2,1),""))</f>
        <v/>
      </c>
      <c r="AS19" s="22" t="str">
        <f aca="false">IF(Görevler!$F19="","",IF(AND(Görevler!$C19&lt;=(AS$4+Ayarlar!$C$6-1),Görevler!$D19&gt;=AS$4),IF(AS$4&lt;=Görevler!$C19+ROUND(Görevler!$F19*Görevler!$E19,0)-1,2,1),""))</f>
        <v/>
      </c>
      <c r="AT19" s="22" t="str">
        <f aca="false">IF(Görevler!$F19="","",IF(AND(Görevler!$C19&lt;=(AT$4+Ayarlar!$C$6-1),Görevler!$D19&gt;=AT$4),IF(AT$4&lt;=Görevler!$C19+ROUND(Görevler!$F19*Görevler!$E19,0)-1,2,1),""))</f>
        <v/>
      </c>
      <c r="AU19" s="22" t="str">
        <f aca="false">IF(Görevler!$F19="","",IF(AND(Görevler!$C19&lt;=(AU$4+Ayarlar!$C$6-1),Görevler!$D19&gt;=AU$4),IF(AU$4&lt;=Görevler!$C19+ROUND(Görevler!$F19*Görevler!$E19,0)-1,2,1),""))</f>
        <v/>
      </c>
      <c r="AV19" s="22" t="str">
        <f aca="false">IF(Görevler!$F19="","",IF(AND(Görevler!$C19&lt;=(AV$4+Ayarlar!$C$6-1),Görevler!$D19&gt;=AV$4),IF(AV$4&lt;=Görevler!$C19+ROUND(Görevler!$F19*Görevler!$E19,0)-1,2,1),""))</f>
        <v/>
      </c>
      <c r="AW19" s="22" t="str">
        <f aca="false">IF(Görevler!$F19="","",IF(AND(Görevler!$C19&lt;=(AW$4+Ayarlar!$C$6-1),Görevler!$D19&gt;=AW$4),IF(AW$4&lt;=Görevler!$C19+ROUND(Görevler!$F19*Görevler!$E19,0)-1,2,1),""))</f>
        <v/>
      </c>
      <c r="AX19" s="22" t="str">
        <f aca="false">IF(Görevler!$F19="","",IF(AND(Görevler!$C19&lt;=(AX$4+Ayarlar!$C$6-1),Görevler!$D19&gt;=AX$4),IF(AX$4&lt;=Görevler!$C19+ROUND(Görevler!$F19*Görevler!$E19,0)-1,2,1),""))</f>
        <v/>
      </c>
      <c r="AY19" s="22" t="str">
        <f aca="false">IF(Görevler!$F19="","",IF(AND(Görevler!$C19&lt;=(AY$4+Ayarlar!$C$6-1),Görevler!$D19&gt;=AY$4),IF(AY$4&lt;=Görevler!$C19+ROUND(Görevler!$F19*Görevler!$E19,0)-1,2,1),""))</f>
        <v/>
      </c>
      <c r="AZ19" s="22" t="str">
        <f aca="false">IF(Görevler!$F19="","",IF(AND(Görevler!$C19&lt;=(AZ$4+Ayarlar!$C$6-1),Görevler!$D19&gt;=AZ$4),IF(AZ$4&lt;=Görevler!$C19+ROUND(Görevler!$F19*Görevler!$E19,0)-1,2,1),""))</f>
        <v/>
      </c>
      <c r="BA19" s="22" t="str">
        <f aca="false">IF(Görevler!$F19="","",IF(AND(Görevler!$C19&lt;=(BA$4+Ayarlar!$C$6-1),Görevler!$D19&gt;=BA$4),IF(BA$4&lt;=Görevler!$C19+ROUND(Görevler!$F19*Görevler!$E19,0)-1,2,1),""))</f>
        <v/>
      </c>
      <c r="BB19" s="22" t="str">
        <f aca="false">IF(Görevler!$F19="","",IF(AND(Görevler!$C19&lt;=(BB$4+Ayarlar!$C$6-1),Görevler!$D19&gt;=BB$4),IF(BB$4&lt;=Görevler!$C19+ROUND(Görevler!$F19*Görevler!$E19,0)-1,2,1),""))</f>
        <v/>
      </c>
      <c r="BC19" s="22" t="str">
        <f aca="false">IF(Görevler!$F19="","",IF(AND(Görevler!$C19&lt;=(BC$4+Ayarlar!$C$6-1),Görevler!$D19&gt;=BC$4),IF(BC$4&lt;=Görevler!$C19+ROUND(Görevler!$F19*Görevler!$E19,0)-1,2,1),""))</f>
        <v/>
      </c>
      <c r="BD19" s="22" t="str">
        <f aca="false">IF(Görevler!$F19="","",IF(AND(Görevler!$C19&lt;=(BD$4+Ayarlar!$C$6-1),Görevler!$D19&gt;=BD$4),IF(BD$4&lt;=Görevler!$C19+ROUND(Görevler!$F19*Görevler!$E19,0)-1,2,1),""))</f>
        <v/>
      </c>
      <c r="BE19" s="22" t="str">
        <f aca="false">IF(Görevler!$F19="","",IF(AND(Görevler!$C19&lt;=(BE$4+Ayarlar!$C$6-1),Görevler!$D19&gt;=BE$4),IF(BE$4&lt;=Görevler!$C19+ROUND(Görevler!$F19*Görevler!$E19,0)-1,2,1),""))</f>
        <v/>
      </c>
      <c r="BF19" s="22" t="str">
        <f aca="false">IF(Görevler!$F19="","",IF(AND(Görevler!$C19&lt;=(BF$4+Ayarlar!$C$6-1),Görevler!$D19&gt;=BF$4),IF(BF$4&lt;=Görevler!$C19+ROUND(Görevler!$F19*Görevler!$E19,0)-1,2,1),""))</f>
        <v/>
      </c>
      <c r="BG19" s="22" t="str">
        <f aca="false">IF(Görevler!$F19="","",IF(AND(Görevler!$C19&lt;=(BG$4+Ayarlar!$C$6-1),Görevler!$D19&gt;=BG$4),IF(BG$4&lt;=Görevler!$C19+ROUND(Görevler!$F19*Görevler!$E19,0)-1,2,1),""))</f>
        <v/>
      </c>
      <c r="BH19" s="22" t="str">
        <f aca="false">IF(Görevler!$F19="","",IF(AND(Görevler!$C19&lt;=(BH$4+Ayarlar!$C$6-1),Görevler!$D19&gt;=BH$4),IF(BH$4&lt;=Görevler!$C19+ROUND(Görevler!$F19*Görevler!$E19,0)-1,2,1),""))</f>
        <v/>
      </c>
      <c r="BI19" s="22" t="str">
        <f aca="false">IF(Görevler!$F19="","",IF(AND(Görevler!$C19&lt;=(BI$4+Ayarlar!$C$6-1),Görevler!$D19&gt;=BI$4),IF(BI$4&lt;=Görevler!$C19+ROUND(Görevler!$F19*Görevler!$E19,0)-1,2,1),""))</f>
        <v/>
      </c>
      <c r="BJ19" s="22" t="str">
        <f aca="false">IF(Görevler!$F19="","",IF(AND(Görevler!$C19&lt;=(BJ$4+Ayarlar!$C$6-1),Görevler!$D19&gt;=BJ$4),IF(BJ$4&lt;=Görevler!$C19+ROUND(Görevler!$F19*Görevler!$E19,0)-1,2,1),""))</f>
        <v/>
      </c>
    </row>
    <row r="20" customFormat="false" ht="15" hidden="false" customHeight="false" outlineLevel="0" collapsed="false">
      <c r="A20" s="21" t="str">
        <f aca="false">IF(Görevler!A20="","",Görevler!A20)</f>
        <v/>
      </c>
      <c r="B20" s="21" t="str">
        <f aca="false">IF(Görevler!A20="","",Görevler!B20&amp;"")</f>
        <v/>
      </c>
      <c r="C20" s="22" t="str">
        <f aca="false">IF(Görevler!$F20="","",IF(AND(Görevler!$C20&lt;=(C$4+Ayarlar!$C$6-1),Görevler!$D20&gt;=C$4),IF(C$4&lt;=Görevler!$C20+ROUND(Görevler!$F20*Görevler!$E20,0)-1,2,1),""))</f>
        <v/>
      </c>
      <c r="D20" s="22" t="str">
        <f aca="false">IF(Görevler!$F20="","",IF(AND(Görevler!$C20&lt;=(D$4+Ayarlar!$C$6-1),Görevler!$D20&gt;=D$4),IF(D$4&lt;=Görevler!$C20+ROUND(Görevler!$F20*Görevler!$E20,0)-1,2,1),""))</f>
        <v/>
      </c>
      <c r="E20" s="22" t="str">
        <f aca="false">IF(Görevler!$F20="","",IF(AND(Görevler!$C20&lt;=(E$4+Ayarlar!$C$6-1),Görevler!$D20&gt;=E$4),IF(E$4&lt;=Görevler!$C20+ROUND(Görevler!$F20*Görevler!$E20,0)-1,2,1),""))</f>
        <v/>
      </c>
      <c r="F20" s="22" t="str">
        <f aca="false">IF(Görevler!$F20="","",IF(AND(Görevler!$C20&lt;=(F$4+Ayarlar!$C$6-1),Görevler!$D20&gt;=F$4),IF(F$4&lt;=Görevler!$C20+ROUND(Görevler!$F20*Görevler!$E20,0)-1,2,1),""))</f>
        <v/>
      </c>
      <c r="G20" s="22" t="str">
        <f aca="false">IF(Görevler!$F20="","",IF(AND(Görevler!$C20&lt;=(G$4+Ayarlar!$C$6-1),Görevler!$D20&gt;=G$4),IF(G$4&lt;=Görevler!$C20+ROUND(Görevler!$F20*Görevler!$E20,0)-1,2,1),""))</f>
        <v/>
      </c>
      <c r="H20" s="22" t="str">
        <f aca="false">IF(Görevler!$F20="","",IF(AND(Görevler!$C20&lt;=(H$4+Ayarlar!$C$6-1),Görevler!$D20&gt;=H$4),IF(H$4&lt;=Görevler!$C20+ROUND(Görevler!$F20*Görevler!$E20,0)-1,2,1),""))</f>
        <v/>
      </c>
      <c r="I20" s="22" t="str">
        <f aca="false">IF(Görevler!$F20="","",IF(AND(Görevler!$C20&lt;=(I$4+Ayarlar!$C$6-1),Görevler!$D20&gt;=I$4),IF(I$4&lt;=Görevler!$C20+ROUND(Görevler!$F20*Görevler!$E20,0)-1,2,1),""))</f>
        <v/>
      </c>
      <c r="J20" s="22" t="str">
        <f aca="false">IF(Görevler!$F20="","",IF(AND(Görevler!$C20&lt;=(J$4+Ayarlar!$C$6-1),Görevler!$D20&gt;=J$4),IF(J$4&lt;=Görevler!$C20+ROUND(Görevler!$F20*Görevler!$E20,0)-1,2,1),""))</f>
        <v/>
      </c>
      <c r="K20" s="22" t="str">
        <f aca="false">IF(Görevler!$F20="","",IF(AND(Görevler!$C20&lt;=(K$4+Ayarlar!$C$6-1),Görevler!$D20&gt;=K$4),IF(K$4&lt;=Görevler!$C20+ROUND(Görevler!$F20*Görevler!$E20,0)-1,2,1),""))</f>
        <v/>
      </c>
      <c r="L20" s="22" t="str">
        <f aca="false">IF(Görevler!$F20="","",IF(AND(Görevler!$C20&lt;=(L$4+Ayarlar!$C$6-1),Görevler!$D20&gt;=L$4),IF(L$4&lt;=Görevler!$C20+ROUND(Görevler!$F20*Görevler!$E20,0)-1,2,1),""))</f>
        <v/>
      </c>
      <c r="M20" s="22" t="str">
        <f aca="false">IF(Görevler!$F20="","",IF(AND(Görevler!$C20&lt;=(M$4+Ayarlar!$C$6-1),Görevler!$D20&gt;=M$4),IF(M$4&lt;=Görevler!$C20+ROUND(Görevler!$F20*Görevler!$E20,0)-1,2,1),""))</f>
        <v/>
      </c>
      <c r="N20" s="22" t="str">
        <f aca="false">IF(Görevler!$F20="","",IF(AND(Görevler!$C20&lt;=(N$4+Ayarlar!$C$6-1),Görevler!$D20&gt;=N$4),IF(N$4&lt;=Görevler!$C20+ROUND(Görevler!$F20*Görevler!$E20,0)-1,2,1),""))</f>
        <v/>
      </c>
      <c r="O20" s="22" t="str">
        <f aca="false">IF(Görevler!$F20="","",IF(AND(Görevler!$C20&lt;=(O$4+Ayarlar!$C$6-1),Görevler!$D20&gt;=O$4),IF(O$4&lt;=Görevler!$C20+ROUND(Görevler!$F20*Görevler!$E20,0)-1,2,1),""))</f>
        <v/>
      </c>
      <c r="P20" s="22" t="str">
        <f aca="false">IF(Görevler!$F20="","",IF(AND(Görevler!$C20&lt;=(P$4+Ayarlar!$C$6-1),Görevler!$D20&gt;=P$4),IF(P$4&lt;=Görevler!$C20+ROUND(Görevler!$F20*Görevler!$E20,0)-1,2,1),""))</f>
        <v/>
      </c>
      <c r="Q20" s="22" t="str">
        <f aca="false">IF(Görevler!$F20="","",IF(AND(Görevler!$C20&lt;=(Q$4+Ayarlar!$C$6-1),Görevler!$D20&gt;=Q$4),IF(Q$4&lt;=Görevler!$C20+ROUND(Görevler!$F20*Görevler!$E20,0)-1,2,1),""))</f>
        <v/>
      </c>
      <c r="R20" s="22" t="str">
        <f aca="false">IF(Görevler!$F20="","",IF(AND(Görevler!$C20&lt;=(R$4+Ayarlar!$C$6-1),Görevler!$D20&gt;=R$4),IF(R$4&lt;=Görevler!$C20+ROUND(Görevler!$F20*Görevler!$E20,0)-1,2,1),""))</f>
        <v/>
      </c>
      <c r="S20" s="22" t="str">
        <f aca="false">IF(Görevler!$F20="","",IF(AND(Görevler!$C20&lt;=(S$4+Ayarlar!$C$6-1),Görevler!$D20&gt;=S$4),IF(S$4&lt;=Görevler!$C20+ROUND(Görevler!$F20*Görevler!$E20,0)-1,2,1),""))</f>
        <v/>
      </c>
      <c r="T20" s="22" t="str">
        <f aca="false">IF(Görevler!$F20="","",IF(AND(Görevler!$C20&lt;=(T$4+Ayarlar!$C$6-1),Görevler!$D20&gt;=T$4),IF(T$4&lt;=Görevler!$C20+ROUND(Görevler!$F20*Görevler!$E20,0)-1,2,1),""))</f>
        <v/>
      </c>
      <c r="U20" s="22" t="str">
        <f aca="false">IF(Görevler!$F20="","",IF(AND(Görevler!$C20&lt;=(U$4+Ayarlar!$C$6-1),Görevler!$D20&gt;=U$4),IF(U$4&lt;=Görevler!$C20+ROUND(Görevler!$F20*Görevler!$E20,0)-1,2,1),""))</f>
        <v/>
      </c>
      <c r="V20" s="22" t="str">
        <f aca="false">IF(Görevler!$F20="","",IF(AND(Görevler!$C20&lt;=(V$4+Ayarlar!$C$6-1),Görevler!$D20&gt;=V$4),IF(V$4&lt;=Görevler!$C20+ROUND(Görevler!$F20*Görevler!$E20,0)-1,2,1),""))</f>
        <v/>
      </c>
      <c r="W20" s="22" t="str">
        <f aca="false">IF(Görevler!$F20="","",IF(AND(Görevler!$C20&lt;=(W$4+Ayarlar!$C$6-1),Görevler!$D20&gt;=W$4),IF(W$4&lt;=Görevler!$C20+ROUND(Görevler!$F20*Görevler!$E20,0)-1,2,1),""))</f>
        <v/>
      </c>
      <c r="X20" s="22" t="str">
        <f aca="false">IF(Görevler!$F20="","",IF(AND(Görevler!$C20&lt;=(X$4+Ayarlar!$C$6-1),Görevler!$D20&gt;=X$4),IF(X$4&lt;=Görevler!$C20+ROUND(Görevler!$F20*Görevler!$E20,0)-1,2,1),""))</f>
        <v/>
      </c>
      <c r="Y20" s="22" t="str">
        <f aca="false">IF(Görevler!$F20="","",IF(AND(Görevler!$C20&lt;=(Y$4+Ayarlar!$C$6-1),Görevler!$D20&gt;=Y$4),IF(Y$4&lt;=Görevler!$C20+ROUND(Görevler!$F20*Görevler!$E20,0)-1,2,1),""))</f>
        <v/>
      </c>
      <c r="Z20" s="22" t="str">
        <f aca="false">IF(Görevler!$F20="","",IF(AND(Görevler!$C20&lt;=(Z$4+Ayarlar!$C$6-1),Görevler!$D20&gt;=Z$4),IF(Z$4&lt;=Görevler!$C20+ROUND(Görevler!$F20*Görevler!$E20,0)-1,2,1),""))</f>
        <v/>
      </c>
      <c r="AA20" s="22" t="str">
        <f aca="false">IF(Görevler!$F20="","",IF(AND(Görevler!$C20&lt;=(AA$4+Ayarlar!$C$6-1),Görevler!$D20&gt;=AA$4),IF(AA$4&lt;=Görevler!$C20+ROUND(Görevler!$F20*Görevler!$E20,0)-1,2,1),""))</f>
        <v/>
      </c>
      <c r="AB20" s="22" t="str">
        <f aca="false">IF(Görevler!$F20="","",IF(AND(Görevler!$C20&lt;=(AB$4+Ayarlar!$C$6-1),Görevler!$D20&gt;=AB$4),IF(AB$4&lt;=Görevler!$C20+ROUND(Görevler!$F20*Görevler!$E20,0)-1,2,1),""))</f>
        <v/>
      </c>
      <c r="AC20" s="22" t="str">
        <f aca="false">IF(Görevler!$F20="","",IF(AND(Görevler!$C20&lt;=(AC$4+Ayarlar!$C$6-1),Görevler!$D20&gt;=AC$4),IF(AC$4&lt;=Görevler!$C20+ROUND(Görevler!$F20*Görevler!$E20,0)-1,2,1),""))</f>
        <v/>
      </c>
      <c r="AD20" s="22" t="str">
        <f aca="false">IF(Görevler!$F20="","",IF(AND(Görevler!$C20&lt;=(AD$4+Ayarlar!$C$6-1),Görevler!$D20&gt;=AD$4),IF(AD$4&lt;=Görevler!$C20+ROUND(Görevler!$F20*Görevler!$E20,0)-1,2,1),""))</f>
        <v/>
      </c>
      <c r="AE20" s="22" t="str">
        <f aca="false">IF(Görevler!$F20="","",IF(AND(Görevler!$C20&lt;=(AE$4+Ayarlar!$C$6-1),Görevler!$D20&gt;=AE$4),IF(AE$4&lt;=Görevler!$C20+ROUND(Görevler!$F20*Görevler!$E20,0)-1,2,1),""))</f>
        <v/>
      </c>
      <c r="AF20" s="22" t="str">
        <f aca="false">IF(Görevler!$F20="","",IF(AND(Görevler!$C20&lt;=(AF$4+Ayarlar!$C$6-1),Görevler!$D20&gt;=AF$4),IF(AF$4&lt;=Görevler!$C20+ROUND(Görevler!$F20*Görevler!$E20,0)-1,2,1),""))</f>
        <v/>
      </c>
      <c r="AG20" s="22" t="str">
        <f aca="false">IF(Görevler!$F20="","",IF(AND(Görevler!$C20&lt;=(AG$4+Ayarlar!$C$6-1),Görevler!$D20&gt;=AG$4),IF(AG$4&lt;=Görevler!$C20+ROUND(Görevler!$F20*Görevler!$E20,0)-1,2,1),""))</f>
        <v/>
      </c>
      <c r="AH20" s="22" t="str">
        <f aca="false">IF(Görevler!$F20="","",IF(AND(Görevler!$C20&lt;=(AH$4+Ayarlar!$C$6-1),Görevler!$D20&gt;=AH$4),IF(AH$4&lt;=Görevler!$C20+ROUND(Görevler!$F20*Görevler!$E20,0)-1,2,1),""))</f>
        <v/>
      </c>
      <c r="AI20" s="22" t="str">
        <f aca="false">IF(Görevler!$F20="","",IF(AND(Görevler!$C20&lt;=(AI$4+Ayarlar!$C$6-1),Görevler!$D20&gt;=AI$4),IF(AI$4&lt;=Görevler!$C20+ROUND(Görevler!$F20*Görevler!$E20,0)-1,2,1),""))</f>
        <v/>
      </c>
      <c r="AJ20" s="22" t="str">
        <f aca="false">IF(Görevler!$F20="","",IF(AND(Görevler!$C20&lt;=(AJ$4+Ayarlar!$C$6-1),Görevler!$D20&gt;=AJ$4),IF(AJ$4&lt;=Görevler!$C20+ROUND(Görevler!$F20*Görevler!$E20,0)-1,2,1),""))</f>
        <v/>
      </c>
      <c r="AK20" s="22" t="str">
        <f aca="false">IF(Görevler!$F20="","",IF(AND(Görevler!$C20&lt;=(AK$4+Ayarlar!$C$6-1),Görevler!$D20&gt;=AK$4),IF(AK$4&lt;=Görevler!$C20+ROUND(Görevler!$F20*Görevler!$E20,0)-1,2,1),""))</f>
        <v/>
      </c>
      <c r="AL20" s="22" t="str">
        <f aca="false">IF(Görevler!$F20="","",IF(AND(Görevler!$C20&lt;=(AL$4+Ayarlar!$C$6-1),Görevler!$D20&gt;=AL$4),IF(AL$4&lt;=Görevler!$C20+ROUND(Görevler!$F20*Görevler!$E20,0)-1,2,1),""))</f>
        <v/>
      </c>
      <c r="AM20" s="22" t="str">
        <f aca="false">IF(Görevler!$F20="","",IF(AND(Görevler!$C20&lt;=(AM$4+Ayarlar!$C$6-1),Görevler!$D20&gt;=AM$4),IF(AM$4&lt;=Görevler!$C20+ROUND(Görevler!$F20*Görevler!$E20,0)-1,2,1),""))</f>
        <v/>
      </c>
      <c r="AN20" s="22" t="str">
        <f aca="false">IF(Görevler!$F20="","",IF(AND(Görevler!$C20&lt;=(AN$4+Ayarlar!$C$6-1),Görevler!$D20&gt;=AN$4),IF(AN$4&lt;=Görevler!$C20+ROUND(Görevler!$F20*Görevler!$E20,0)-1,2,1),""))</f>
        <v/>
      </c>
      <c r="AO20" s="22" t="str">
        <f aca="false">IF(Görevler!$F20="","",IF(AND(Görevler!$C20&lt;=(AO$4+Ayarlar!$C$6-1),Görevler!$D20&gt;=AO$4),IF(AO$4&lt;=Görevler!$C20+ROUND(Görevler!$F20*Görevler!$E20,0)-1,2,1),""))</f>
        <v/>
      </c>
      <c r="AP20" s="22" t="str">
        <f aca="false">IF(Görevler!$F20="","",IF(AND(Görevler!$C20&lt;=(AP$4+Ayarlar!$C$6-1),Görevler!$D20&gt;=AP$4),IF(AP$4&lt;=Görevler!$C20+ROUND(Görevler!$F20*Görevler!$E20,0)-1,2,1),""))</f>
        <v/>
      </c>
      <c r="AQ20" s="22" t="str">
        <f aca="false">IF(Görevler!$F20="","",IF(AND(Görevler!$C20&lt;=(AQ$4+Ayarlar!$C$6-1),Görevler!$D20&gt;=AQ$4),IF(AQ$4&lt;=Görevler!$C20+ROUND(Görevler!$F20*Görevler!$E20,0)-1,2,1),""))</f>
        <v/>
      </c>
      <c r="AR20" s="22" t="str">
        <f aca="false">IF(Görevler!$F20="","",IF(AND(Görevler!$C20&lt;=(AR$4+Ayarlar!$C$6-1),Görevler!$D20&gt;=AR$4),IF(AR$4&lt;=Görevler!$C20+ROUND(Görevler!$F20*Görevler!$E20,0)-1,2,1),""))</f>
        <v/>
      </c>
      <c r="AS20" s="22" t="str">
        <f aca="false">IF(Görevler!$F20="","",IF(AND(Görevler!$C20&lt;=(AS$4+Ayarlar!$C$6-1),Görevler!$D20&gt;=AS$4),IF(AS$4&lt;=Görevler!$C20+ROUND(Görevler!$F20*Görevler!$E20,0)-1,2,1),""))</f>
        <v/>
      </c>
      <c r="AT20" s="22" t="str">
        <f aca="false">IF(Görevler!$F20="","",IF(AND(Görevler!$C20&lt;=(AT$4+Ayarlar!$C$6-1),Görevler!$D20&gt;=AT$4),IF(AT$4&lt;=Görevler!$C20+ROUND(Görevler!$F20*Görevler!$E20,0)-1,2,1),""))</f>
        <v/>
      </c>
      <c r="AU20" s="22" t="str">
        <f aca="false">IF(Görevler!$F20="","",IF(AND(Görevler!$C20&lt;=(AU$4+Ayarlar!$C$6-1),Görevler!$D20&gt;=AU$4),IF(AU$4&lt;=Görevler!$C20+ROUND(Görevler!$F20*Görevler!$E20,0)-1,2,1),""))</f>
        <v/>
      </c>
      <c r="AV20" s="22" t="str">
        <f aca="false">IF(Görevler!$F20="","",IF(AND(Görevler!$C20&lt;=(AV$4+Ayarlar!$C$6-1),Görevler!$D20&gt;=AV$4),IF(AV$4&lt;=Görevler!$C20+ROUND(Görevler!$F20*Görevler!$E20,0)-1,2,1),""))</f>
        <v/>
      </c>
      <c r="AW20" s="22" t="str">
        <f aca="false">IF(Görevler!$F20="","",IF(AND(Görevler!$C20&lt;=(AW$4+Ayarlar!$C$6-1),Görevler!$D20&gt;=AW$4),IF(AW$4&lt;=Görevler!$C20+ROUND(Görevler!$F20*Görevler!$E20,0)-1,2,1),""))</f>
        <v/>
      </c>
      <c r="AX20" s="22" t="str">
        <f aca="false">IF(Görevler!$F20="","",IF(AND(Görevler!$C20&lt;=(AX$4+Ayarlar!$C$6-1),Görevler!$D20&gt;=AX$4),IF(AX$4&lt;=Görevler!$C20+ROUND(Görevler!$F20*Görevler!$E20,0)-1,2,1),""))</f>
        <v/>
      </c>
      <c r="AY20" s="22" t="str">
        <f aca="false">IF(Görevler!$F20="","",IF(AND(Görevler!$C20&lt;=(AY$4+Ayarlar!$C$6-1),Görevler!$D20&gt;=AY$4),IF(AY$4&lt;=Görevler!$C20+ROUND(Görevler!$F20*Görevler!$E20,0)-1,2,1),""))</f>
        <v/>
      </c>
      <c r="AZ20" s="22" t="str">
        <f aca="false">IF(Görevler!$F20="","",IF(AND(Görevler!$C20&lt;=(AZ$4+Ayarlar!$C$6-1),Görevler!$D20&gt;=AZ$4),IF(AZ$4&lt;=Görevler!$C20+ROUND(Görevler!$F20*Görevler!$E20,0)-1,2,1),""))</f>
        <v/>
      </c>
      <c r="BA20" s="22" t="str">
        <f aca="false">IF(Görevler!$F20="","",IF(AND(Görevler!$C20&lt;=(BA$4+Ayarlar!$C$6-1),Görevler!$D20&gt;=BA$4),IF(BA$4&lt;=Görevler!$C20+ROUND(Görevler!$F20*Görevler!$E20,0)-1,2,1),""))</f>
        <v/>
      </c>
      <c r="BB20" s="22" t="str">
        <f aca="false">IF(Görevler!$F20="","",IF(AND(Görevler!$C20&lt;=(BB$4+Ayarlar!$C$6-1),Görevler!$D20&gt;=BB$4),IF(BB$4&lt;=Görevler!$C20+ROUND(Görevler!$F20*Görevler!$E20,0)-1,2,1),""))</f>
        <v/>
      </c>
      <c r="BC20" s="22" t="str">
        <f aca="false">IF(Görevler!$F20="","",IF(AND(Görevler!$C20&lt;=(BC$4+Ayarlar!$C$6-1),Görevler!$D20&gt;=BC$4),IF(BC$4&lt;=Görevler!$C20+ROUND(Görevler!$F20*Görevler!$E20,0)-1,2,1),""))</f>
        <v/>
      </c>
      <c r="BD20" s="22" t="str">
        <f aca="false">IF(Görevler!$F20="","",IF(AND(Görevler!$C20&lt;=(BD$4+Ayarlar!$C$6-1),Görevler!$D20&gt;=BD$4),IF(BD$4&lt;=Görevler!$C20+ROUND(Görevler!$F20*Görevler!$E20,0)-1,2,1),""))</f>
        <v/>
      </c>
      <c r="BE20" s="22" t="str">
        <f aca="false">IF(Görevler!$F20="","",IF(AND(Görevler!$C20&lt;=(BE$4+Ayarlar!$C$6-1),Görevler!$D20&gt;=BE$4),IF(BE$4&lt;=Görevler!$C20+ROUND(Görevler!$F20*Görevler!$E20,0)-1,2,1),""))</f>
        <v/>
      </c>
      <c r="BF20" s="22" t="str">
        <f aca="false">IF(Görevler!$F20="","",IF(AND(Görevler!$C20&lt;=(BF$4+Ayarlar!$C$6-1),Görevler!$D20&gt;=BF$4),IF(BF$4&lt;=Görevler!$C20+ROUND(Görevler!$F20*Görevler!$E20,0)-1,2,1),""))</f>
        <v/>
      </c>
      <c r="BG20" s="22" t="str">
        <f aca="false">IF(Görevler!$F20="","",IF(AND(Görevler!$C20&lt;=(BG$4+Ayarlar!$C$6-1),Görevler!$D20&gt;=BG$4),IF(BG$4&lt;=Görevler!$C20+ROUND(Görevler!$F20*Görevler!$E20,0)-1,2,1),""))</f>
        <v/>
      </c>
      <c r="BH20" s="22" t="str">
        <f aca="false">IF(Görevler!$F20="","",IF(AND(Görevler!$C20&lt;=(BH$4+Ayarlar!$C$6-1),Görevler!$D20&gt;=BH$4),IF(BH$4&lt;=Görevler!$C20+ROUND(Görevler!$F20*Görevler!$E20,0)-1,2,1),""))</f>
        <v/>
      </c>
      <c r="BI20" s="22" t="str">
        <f aca="false">IF(Görevler!$F20="","",IF(AND(Görevler!$C20&lt;=(BI$4+Ayarlar!$C$6-1),Görevler!$D20&gt;=BI$4),IF(BI$4&lt;=Görevler!$C20+ROUND(Görevler!$F20*Görevler!$E20,0)-1,2,1),""))</f>
        <v/>
      </c>
      <c r="BJ20" s="22" t="str">
        <f aca="false">IF(Görevler!$F20="","",IF(AND(Görevler!$C20&lt;=(BJ$4+Ayarlar!$C$6-1),Görevler!$D20&gt;=BJ$4),IF(BJ$4&lt;=Görevler!$C20+ROUND(Görevler!$F20*Görevler!$E20,0)-1,2,1),""))</f>
        <v/>
      </c>
    </row>
    <row r="21" customFormat="false" ht="15" hidden="false" customHeight="false" outlineLevel="0" collapsed="false">
      <c r="A21" s="21" t="str">
        <f aca="false">IF(Görevler!A21="","",Görevler!A21)</f>
        <v/>
      </c>
      <c r="B21" s="21" t="str">
        <f aca="false">IF(Görevler!A21="","",Görevler!B21&amp;"")</f>
        <v/>
      </c>
      <c r="C21" s="22" t="str">
        <f aca="false">IF(Görevler!$F21="","",IF(AND(Görevler!$C21&lt;=(C$4+Ayarlar!$C$6-1),Görevler!$D21&gt;=C$4),IF(C$4&lt;=Görevler!$C21+ROUND(Görevler!$F21*Görevler!$E21,0)-1,2,1),""))</f>
        <v/>
      </c>
      <c r="D21" s="22" t="str">
        <f aca="false">IF(Görevler!$F21="","",IF(AND(Görevler!$C21&lt;=(D$4+Ayarlar!$C$6-1),Görevler!$D21&gt;=D$4),IF(D$4&lt;=Görevler!$C21+ROUND(Görevler!$F21*Görevler!$E21,0)-1,2,1),""))</f>
        <v/>
      </c>
      <c r="E21" s="22" t="str">
        <f aca="false">IF(Görevler!$F21="","",IF(AND(Görevler!$C21&lt;=(E$4+Ayarlar!$C$6-1),Görevler!$D21&gt;=E$4),IF(E$4&lt;=Görevler!$C21+ROUND(Görevler!$F21*Görevler!$E21,0)-1,2,1),""))</f>
        <v/>
      </c>
      <c r="F21" s="22" t="str">
        <f aca="false">IF(Görevler!$F21="","",IF(AND(Görevler!$C21&lt;=(F$4+Ayarlar!$C$6-1),Görevler!$D21&gt;=F$4),IF(F$4&lt;=Görevler!$C21+ROUND(Görevler!$F21*Görevler!$E21,0)-1,2,1),""))</f>
        <v/>
      </c>
      <c r="G21" s="22" t="str">
        <f aca="false">IF(Görevler!$F21="","",IF(AND(Görevler!$C21&lt;=(G$4+Ayarlar!$C$6-1),Görevler!$D21&gt;=G$4),IF(G$4&lt;=Görevler!$C21+ROUND(Görevler!$F21*Görevler!$E21,0)-1,2,1),""))</f>
        <v/>
      </c>
      <c r="H21" s="22" t="str">
        <f aca="false">IF(Görevler!$F21="","",IF(AND(Görevler!$C21&lt;=(H$4+Ayarlar!$C$6-1),Görevler!$D21&gt;=H$4),IF(H$4&lt;=Görevler!$C21+ROUND(Görevler!$F21*Görevler!$E21,0)-1,2,1),""))</f>
        <v/>
      </c>
      <c r="I21" s="22" t="str">
        <f aca="false">IF(Görevler!$F21="","",IF(AND(Görevler!$C21&lt;=(I$4+Ayarlar!$C$6-1),Görevler!$D21&gt;=I$4),IF(I$4&lt;=Görevler!$C21+ROUND(Görevler!$F21*Görevler!$E21,0)-1,2,1),""))</f>
        <v/>
      </c>
      <c r="J21" s="22" t="str">
        <f aca="false">IF(Görevler!$F21="","",IF(AND(Görevler!$C21&lt;=(J$4+Ayarlar!$C$6-1),Görevler!$D21&gt;=J$4),IF(J$4&lt;=Görevler!$C21+ROUND(Görevler!$F21*Görevler!$E21,0)-1,2,1),""))</f>
        <v/>
      </c>
      <c r="K21" s="22" t="str">
        <f aca="false">IF(Görevler!$F21="","",IF(AND(Görevler!$C21&lt;=(K$4+Ayarlar!$C$6-1),Görevler!$D21&gt;=K$4),IF(K$4&lt;=Görevler!$C21+ROUND(Görevler!$F21*Görevler!$E21,0)-1,2,1),""))</f>
        <v/>
      </c>
      <c r="L21" s="22" t="str">
        <f aca="false">IF(Görevler!$F21="","",IF(AND(Görevler!$C21&lt;=(L$4+Ayarlar!$C$6-1),Görevler!$D21&gt;=L$4),IF(L$4&lt;=Görevler!$C21+ROUND(Görevler!$F21*Görevler!$E21,0)-1,2,1),""))</f>
        <v/>
      </c>
      <c r="M21" s="22" t="str">
        <f aca="false">IF(Görevler!$F21="","",IF(AND(Görevler!$C21&lt;=(M$4+Ayarlar!$C$6-1),Görevler!$D21&gt;=M$4),IF(M$4&lt;=Görevler!$C21+ROUND(Görevler!$F21*Görevler!$E21,0)-1,2,1),""))</f>
        <v/>
      </c>
      <c r="N21" s="22" t="str">
        <f aca="false">IF(Görevler!$F21="","",IF(AND(Görevler!$C21&lt;=(N$4+Ayarlar!$C$6-1),Görevler!$D21&gt;=N$4),IF(N$4&lt;=Görevler!$C21+ROUND(Görevler!$F21*Görevler!$E21,0)-1,2,1),""))</f>
        <v/>
      </c>
      <c r="O21" s="22" t="str">
        <f aca="false">IF(Görevler!$F21="","",IF(AND(Görevler!$C21&lt;=(O$4+Ayarlar!$C$6-1),Görevler!$D21&gt;=O$4),IF(O$4&lt;=Görevler!$C21+ROUND(Görevler!$F21*Görevler!$E21,0)-1,2,1),""))</f>
        <v/>
      </c>
      <c r="P21" s="22" t="str">
        <f aca="false">IF(Görevler!$F21="","",IF(AND(Görevler!$C21&lt;=(P$4+Ayarlar!$C$6-1),Görevler!$D21&gt;=P$4),IF(P$4&lt;=Görevler!$C21+ROUND(Görevler!$F21*Görevler!$E21,0)-1,2,1),""))</f>
        <v/>
      </c>
      <c r="Q21" s="22" t="str">
        <f aca="false">IF(Görevler!$F21="","",IF(AND(Görevler!$C21&lt;=(Q$4+Ayarlar!$C$6-1),Görevler!$D21&gt;=Q$4),IF(Q$4&lt;=Görevler!$C21+ROUND(Görevler!$F21*Görevler!$E21,0)-1,2,1),""))</f>
        <v/>
      </c>
      <c r="R21" s="22" t="str">
        <f aca="false">IF(Görevler!$F21="","",IF(AND(Görevler!$C21&lt;=(R$4+Ayarlar!$C$6-1),Görevler!$D21&gt;=R$4),IF(R$4&lt;=Görevler!$C21+ROUND(Görevler!$F21*Görevler!$E21,0)-1,2,1),""))</f>
        <v/>
      </c>
      <c r="S21" s="22" t="str">
        <f aca="false">IF(Görevler!$F21="","",IF(AND(Görevler!$C21&lt;=(S$4+Ayarlar!$C$6-1),Görevler!$D21&gt;=S$4),IF(S$4&lt;=Görevler!$C21+ROUND(Görevler!$F21*Görevler!$E21,0)-1,2,1),""))</f>
        <v/>
      </c>
      <c r="T21" s="22" t="str">
        <f aca="false">IF(Görevler!$F21="","",IF(AND(Görevler!$C21&lt;=(T$4+Ayarlar!$C$6-1),Görevler!$D21&gt;=T$4),IF(T$4&lt;=Görevler!$C21+ROUND(Görevler!$F21*Görevler!$E21,0)-1,2,1),""))</f>
        <v/>
      </c>
      <c r="U21" s="22" t="str">
        <f aca="false">IF(Görevler!$F21="","",IF(AND(Görevler!$C21&lt;=(U$4+Ayarlar!$C$6-1),Görevler!$D21&gt;=U$4),IF(U$4&lt;=Görevler!$C21+ROUND(Görevler!$F21*Görevler!$E21,0)-1,2,1),""))</f>
        <v/>
      </c>
      <c r="V21" s="22" t="str">
        <f aca="false">IF(Görevler!$F21="","",IF(AND(Görevler!$C21&lt;=(V$4+Ayarlar!$C$6-1),Görevler!$D21&gt;=V$4),IF(V$4&lt;=Görevler!$C21+ROUND(Görevler!$F21*Görevler!$E21,0)-1,2,1),""))</f>
        <v/>
      </c>
      <c r="W21" s="22" t="str">
        <f aca="false">IF(Görevler!$F21="","",IF(AND(Görevler!$C21&lt;=(W$4+Ayarlar!$C$6-1),Görevler!$D21&gt;=W$4),IF(W$4&lt;=Görevler!$C21+ROUND(Görevler!$F21*Görevler!$E21,0)-1,2,1),""))</f>
        <v/>
      </c>
      <c r="X21" s="22" t="str">
        <f aca="false">IF(Görevler!$F21="","",IF(AND(Görevler!$C21&lt;=(X$4+Ayarlar!$C$6-1),Görevler!$D21&gt;=X$4),IF(X$4&lt;=Görevler!$C21+ROUND(Görevler!$F21*Görevler!$E21,0)-1,2,1),""))</f>
        <v/>
      </c>
      <c r="Y21" s="22" t="str">
        <f aca="false">IF(Görevler!$F21="","",IF(AND(Görevler!$C21&lt;=(Y$4+Ayarlar!$C$6-1),Görevler!$D21&gt;=Y$4),IF(Y$4&lt;=Görevler!$C21+ROUND(Görevler!$F21*Görevler!$E21,0)-1,2,1),""))</f>
        <v/>
      </c>
      <c r="Z21" s="22" t="str">
        <f aca="false">IF(Görevler!$F21="","",IF(AND(Görevler!$C21&lt;=(Z$4+Ayarlar!$C$6-1),Görevler!$D21&gt;=Z$4),IF(Z$4&lt;=Görevler!$C21+ROUND(Görevler!$F21*Görevler!$E21,0)-1,2,1),""))</f>
        <v/>
      </c>
      <c r="AA21" s="22" t="str">
        <f aca="false">IF(Görevler!$F21="","",IF(AND(Görevler!$C21&lt;=(AA$4+Ayarlar!$C$6-1),Görevler!$D21&gt;=AA$4),IF(AA$4&lt;=Görevler!$C21+ROUND(Görevler!$F21*Görevler!$E21,0)-1,2,1),""))</f>
        <v/>
      </c>
      <c r="AB21" s="22" t="str">
        <f aca="false">IF(Görevler!$F21="","",IF(AND(Görevler!$C21&lt;=(AB$4+Ayarlar!$C$6-1),Görevler!$D21&gt;=AB$4),IF(AB$4&lt;=Görevler!$C21+ROUND(Görevler!$F21*Görevler!$E21,0)-1,2,1),""))</f>
        <v/>
      </c>
      <c r="AC21" s="22" t="str">
        <f aca="false">IF(Görevler!$F21="","",IF(AND(Görevler!$C21&lt;=(AC$4+Ayarlar!$C$6-1),Görevler!$D21&gt;=AC$4),IF(AC$4&lt;=Görevler!$C21+ROUND(Görevler!$F21*Görevler!$E21,0)-1,2,1),""))</f>
        <v/>
      </c>
      <c r="AD21" s="22" t="str">
        <f aca="false">IF(Görevler!$F21="","",IF(AND(Görevler!$C21&lt;=(AD$4+Ayarlar!$C$6-1),Görevler!$D21&gt;=AD$4),IF(AD$4&lt;=Görevler!$C21+ROUND(Görevler!$F21*Görevler!$E21,0)-1,2,1),""))</f>
        <v/>
      </c>
      <c r="AE21" s="22" t="str">
        <f aca="false">IF(Görevler!$F21="","",IF(AND(Görevler!$C21&lt;=(AE$4+Ayarlar!$C$6-1),Görevler!$D21&gt;=AE$4),IF(AE$4&lt;=Görevler!$C21+ROUND(Görevler!$F21*Görevler!$E21,0)-1,2,1),""))</f>
        <v/>
      </c>
      <c r="AF21" s="22" t="str">
        <f aca="false">IF(Görevler!$F21="","",IF(AND(Görevler!$C21&lt;=(AF$4+Ayarlar!$C$6-1),Görevler!$D21&gt;=AF$4),IF(AF$4&lt;=Görevler!$C21+ROUND(Görevler!$F21*Görevler!$E21,0)-1,2,1),""))</f>
        <v/>
      </c>
      <c r="AG21" s="22" t="str">
        <f aca="false">IF(Görevler!$F21="","",IF(AND(Görevler!$C21&lt;=(AG$4+Ayarlar!$C$6-1),Görevler!$D21&gt;=AG$4),IF(AG$4&lt;=Görevler!$C21+ROUND(Görevler!$F21*Görevler!$E21,0)-1,2,1),""))</f>
        <v/>
      </c>
      <c r="AH21" s="22" t="str">
        <f aca="false">IF(Görevler!$F21="","",IF(AND(Görevler!$C21&lt;=(AH$4+Ayarlar!$C$6-1),Görevler!$D21&gt;=AH$4),IF(AH$4&lt;=Görevler!$C21+ROUND(Görevler!$F21*Görevler!$E21,0)-1,2,1),""))</f>
        <v/>
      </c>
      <c r="AI21" s="22" t="str">
        <f aca="false">IF(Görevler!$F21="","",IF(AND(Görevler!$C21&lt;=(AI$4+Ayarlar!$C$6-1),Görevler!$D21&gt;=AI$4),IF(AI$4&lt;=Görevler!$C21+ROUND(Görevler!$F21*Görevler!$E21,0)-1,2,1),""))</f>
        <v/>
      </c>
      <c r="AJ21" s="22" t="str">
        <f aca="false">IF(Görevler!$F21="","",IF(AND(Görevler!$C21&lt;=(AJ$4+Ayarlar!$C$6-1),Görevler!$D21&gt;=AJ$4),IF(AJ$4&lt;=Görevler!$C21+ROUND(Görevler!$F21*Görevler!$E21,0)-1,2,1),""))</f>
        <v/>
      </c>
      <c r="AK21" s="22" t="str">
        <f aca="false">IF(Görevler!$F21="","",IF(AND(Görevler!$C21&lt;=(AK$4+Ayarlar!$C$6-1),Görevler!$D21&gt;=AK$4),IF(AK$4&lt;=Görevler!$C21+ROUND(Görevler!$F21*Görevler!$E21,0)-1,2,1),""))</f>
        <v/>
      </c>
      <c r="AL21" s="22" t="str">
        <f aca="false">IF(Görevler!$F21="","",IF(AND(Görevler!$C21&lt;=(AL$4+Ayarlar!$C$6-1),Görevler!$D21&gt;=AL$4),IF(AL$4&lt;=Görevler!$C21+ROUND(Görevler!$F21*Görevler!$E21,0)-1,2,1),""))</f>
        <v/>
      </c>
      <c r="AM21" s="22" t="str">
        <f aca="false">IF(Görevler!$F21="","",IF(AND(Görevler!$C21&lt;=(AM$4+Ayarlar!$C$6-1),Görevler!$D21&gt;=AM$4),IF(AM$4&lt;=Görevler!$C21+ROUND(Görevler!$F21*Görevler!$E21,0)-1,2,1),""))</f>
        <v/>
      </c>
      <c r="AN21" s="22" t="str">
        <f aca="false">IF(Görevler!$F21="","",IF(AND(Görevler!$C21&lt;=(AN$4+Ayarlar!$C$6-1),Görevler!$D21&gt;=AN$4),IF(AN$4&lt;=Görevler!$C21+ROUND(Görevler!$F21*Görevler!$E21,0)-1,2,1),""))</f>
        <v/>
      </c>
      <c r="AO21" s="22" t="str">
        <f aca="false">IF(Görevler!$F21="","",IF(AND(Görevler!$C21&lt;=(AO$4+Ayarlar!$C$6-1),Görevler!$D21&gt;=AO$4),IF(AO$4&lt;=Görevler!$C21+ROUND(Görevler!$F21*Görevler!$E21,0)-1,2,1),""))</f>
        <v/>
      </c>
      <c r="AP21" s="22" t="str">
        <f aca="false">IF(Görevler!$F21="","",IF(AND(Görevler!$C21&lt;=(AP$4+Ayarlar!$C$6-1),Görevler!$D21&gt;=AP$4),IF(AP$4&lt;=Görevler!$C21+ROUND(Görevler!$F21*Görevler!$E21,0)-1,2,1),""))</f>
        <v/>
      </c>
      <c r="AQ21" s="22" t="str">
        <f aca="false">IF(Görevler!$F21="","",IF(AND(Görevler!$C21&lt;=(AQ$4+Ayarlar!$C$6-1),Görevler!$D21&gt;=AQ$4),IF(AQ$4&lt;=Görevler!$C21+ROUND(Görevler!$F21*Görevler!$E21,0)-1,2,1),""))</f>
        <v/>
      </c>
      <c r="AR21" s="22" t="str">
        <f aca="false">IF(Görevler!$F21="","",IF(AND(Görevler!$C21&lt;=(AR$4+Ayarlar!$C$6-1),Görevler!$D21&gt;=AR$4),IF(AR$4&lt;=Görevler!$C21+ROUND(Görevler!$F21*Görevler!$E21,0)-1,2,1),""))</f>
        <v/>
      </c>
      <c r="AS21" s="22" t="str">
        <f aca="false">IF(Görevler!$F21="","",IF(AND(Görevler!$C21&lt;=(AS$4+Ayarlar!$C$6-1),Görevler!$D21&gt;=AS$4),IF(AS$4&lt;=Görevler!$C21+ROUND(Görevler!$F21*Görevler!$E21,0)-1,2,1),""))</f>
        <v/>
      </c>
      <c r="AT21" s="22" t="str">
        <f aca="false">IF(Görevler!$F21="","",IF(AND(Görevler!$C21&lt;=(AT$4+Ayarlar!$C$6-1),Görevler!$D21&gt;=AT$4),IF(AT$4&lt;=Görevler!$C21+ROUND(Görevler!$F21*Görevler!$E21,0)-1,2,1),""))</f>
        <v/>
      </c>
      <c r="AU21" s="22" t="str">
        <f aca="false">IF(Görevler!$F21="","",IF(AND(Görevler!$C21&lt;=(AU$4+Ayarlar!$C$6-1),Görevler!$D21&gt;=AU$4),IF(AU$4&lt;=Görevler!$C21+ROUND(Görevler!$F21*Görevler!$E21,0)-1,2,1),""))</f>
        <v/>
      </c>
      <c r="AV21" s="22" t="str">
        <f aca="false">IF(Görevler!$F21="","",IF(AND(Görevler!$C21&lt;=(AV$4+Ayarlar!$C$6-1),Görevler!$D21&gt;=AV$4),IF(AV$4&lt;=Görevler!$C21+ROUND(Görevler!$F21*Görevler!$E21,0)-1,2,1),""))</f>
        <v/>
      </c>
      <c r="AW21" s="22" t="str">
        <f aca="false">IF(Görevler!$F21="","",IF(AND(Görevler!$C21&lt;=(AW$4+Ayarlar!$C$6-1),Görevler!$D21&gt;=AW$4),IF(AW$4&lt;=Görevler!$C21+ROUND(Görevler!$F21*Görevler!$E21,0)-1,2,1),""))</f>
        <v/>
      </c>
      <c r="AX21" s="22" t="str">
        <f aca="false">IF(Görevler!$F21="","",IF(AND(Görevler!$C21&lt;=(AX$4+Ayarlar!$C$6-1),Görevler!$D21&gt;=AX$4),IF(AX$4&lt;=Görevler!$C21+ROUND(Görevler!$F21*Görevler!$E21,0)-1,2,1),""))</f>
        <v/>
      </c>
      <c r="AY21" s="22" t="str">
        <f aca="false">IF(Görevler!$F21="","",IF(AND(Görevler!$C21&lt;=(AY$4+Ayarlar!$C$6-1),Görevler!$D21&gt;=AY$4),IF(AY$4&lt;=Görevler!$C21+ROUND(Görevler!$F21*Görevler!$E21,0)-1,2,1),""))</f>
        <v/>
      </c>
      <c r="AZ21" s="22" t="str">
        <f aca="false">IF(Görevler!$F21="","",IF(AND(Görevler!$C21&lt;=(AZ$4+Ayarlar!$C$6-1),Görevler!$D21&gt;=AZ$4),IF(AZ$4&lt;=Görevler!$C21+ROUND(Görevler!$F21*Görevler!$E21,0)-1,2,1),""))</f>
        <v/>
      </c>
      <c r="BA21" s="22" t="str">
        <f aca="false">IF(Görevler!$F21="","",IF(AND(Görevler!$C21&lt;=(BA$4+Ayarlar!$C$6-1),Görevler!$D21&gt;=BA$4),IF(BA$4&lt;=Görevler!$C21+ROUND(Görevler!$F21*Görevler!$E21,0)-1,2,1),""))</f>
        <v/>
      </c>
      <c r="BB21" s="22" t="str">
        <f aca="false">IF(Görevler!$F21="","",IF(AND(Görevler!$C21&lt;=(BB$4+Ayarlar!$C$6-1),Görevler!$D21&gt;=BB$4),IF(BB$4&lt;=Görevler!$C21+ROUND(Görevler!$F21*Görevler!$E21,0)-1,2,1),""))</f>
        <v/>
      </c>
      <c r="BC21" s="22" t="str">
        <f aca="false">IF(Görevler!$F21="","",IF(AND(Görevler!$C21&lt;=(BC$4+Ayarlar!$C$6-1),Görevler!$D21&gt;=BC$4),IF(BC$4&lt;=Görevler!$C21+ROUND(Görevler!$F21*Görevler!$E21,0)-1,2,1),""))</f>
        <v/>
      </c>
      <c r="BD21" s="22" t="str">
        <f aca="false">IF(Görevler!$F21="","",IF(AND(Görevler!$C21&lt;=(BD$4+Ayarlar!$C$6-1),Görevler!$D21&gt;=BD$4),IF(BD$4&lt;=Görevler!$C21+ROUND(Görevler!$F21*Görevler!$E21,0)-1,2,1),""))</f>
        <v/>
      </c>
      <c r="BE21" s="22" t="str">
        <f aca="false">IF(Görevler!$F21="","",IF(AND(Görevler!$C21&lt;=(BE$4+Ayarlar!$C$6-1),Görevler!$D21&gt;=BE$4),IF(BE$4&lt;=Görevler!$C21+ROUND(Görevler!$F21*Görevler!$E21,0)-1,2,1),""))</f>
        <v/>
      </c>
      <c r="BF21" s="22" t="str">
        <f aca="false">IF(Görevler!$F21="","",IF(AND(Görevler!$C21&lt;=(BF$4+Ayarlar!$C$6-1),Görevler!$D21&gt;=BF$4),IF(BF$4&lt;=Görevler!$C21+ROUND(Görevler!$F21*Görevler!$E21,0)-1,2,1),""))</f>
        <v/>
      </c>
      <c r="BG21" s="22" t="str">
        <f aca="false">IF(Görevler!$F21="","",IF(AND(Görevler!$C21&lt;=(BG$4+Ayarlar!$C$6-1),Görevler!$D21&gt;=BG$4),IF(BG$4&lt;=Görevler!$C21+ROUND(Görevler!$F21*Görevler!$E21,0)-1,2,1),""))</f>
        <v/>
      </c>
      <c r="BH21" s="22" t="str">
        <f aca="false">IF(Görevler!$F21="","",IF(AND(Görevler!$C21&lt;=(BH$4+Ayarlar!$C$6-1),Görevler!$D21&gt;=BH$4),IF(BH$4&lt;=Görevler!$C21+ROUND(Görevler!$F21*Görevler!$E21,0)-1,2,1),""))</f>
        <v/>
      </c>
      <c r="BI21" s="22" t="str">
        <f aca="false">IF(Görevler!$F21="","",IF(AND(Görevler!$C21&lt;=(BI$4+Ayarlar!$C$6-1),Görevler!$D21&gt;=BI$4),IF(BI$4&lt;=Görevler!$C21+ROUND(Görevler!$F21*Görevler!$E21,0)-1,2,1),""))</f>
        <v/>
      </c>
      <c r="BJ21" s="22" t="str">
        <f aca="false">IF(Görevler!$F21="","",IF(AND(Görevler!$C21&lt;=(BJ$4+Ayarlar!$C$6-1),Görevler!$D21&gt;=BJ$4),IF(BJ$4&lt;=Görevler!$C21+ROUND(Görevler!$F21*Görevler!$E21,0)-1,2,1),""))</f>
        <v/>
      </c>
    </row>
    <row r="22" customFormat="false" ht="15" hidden="false" customHeight="false" outlineLevel="0" collapsed="false">
      <c r="A22" s="21" t="str">
        <f aca="false">IF(Görevler!A22="","",Görevler!A22)</f>
        <v/>
      </c>
      <c r="B22" s="21" t="str">
        <f aca="false">IF(Görevler!A22="","",Görevler!B22&amp;"")</f>
        <v/>
      </c>
      <c r="C22" s="22" t="str">
        <f aca="false">IF(Görevler!$F22="","",IF(AND(Görevler!$C22&lt;=(C$4+Ayarlar!$C$6-1),Görevler!$D22&gt;=C$4),IF(C$4&lt;=Görevler!$C22+ROUND(Görevler!$F22*Görevler!$E22,0)-1,2,1),""))</f>
        <v/>
      </c>
      <c r="D22" s="22" t="str">
        <f aca="false">IF(Görevler!$F22="","",IF(AND(Görevler!$C22&lt;=(D$4+Ayarlar!$C$6-1),Görevler!$D22&gt;=D$4),IF(D$4&lt;=Görevler!$C22+ROUND(Görevler!$F22*Görevler!$E22,0)-1,2,1),""))</f>
        <v/>
      </c>
      <c r="E22" s="22" t="str">
        <f aca="false">IF(Görevler!$F22="","",IF(AND(Görevler!$C22&lt;=(E$4+Ayarlar!$C$6-1),Görevler!$D22&gt;=E$4),IF(E$4&lt;=Görevler!$C22+ROUND(Görevler!$F22*Görevler!$E22,0)-1,2,1),""))</f>
        <v/>
      </c>
      <c r="F22" s="22" t="str">
        <f aca="false">IF(Görevler!$F22="","",IF(AND(Görevler!$C22&lt;=(F$4+Ayarlar!$C$6-1),Görevler!$D22&gt;=F$4),IF(F$4&lt;=Görevler!$C22+ROUND(Görevler!$F22*Görevler!$E22,0)-1,2,1),""))</f>
        <v/>
      </c>
      <c r="G22" s="22" t="str">
        <f aca="false">IF(Görevler!$F22="","",IF(AND(Görevler!$C22&lt;=(G$4+Ayarlar!$C$6-1),Görevler!$D22&gt;=G$4),IF(G$4&lt;=Görevler!$C22+ROUND(Görevler!$F22*Görevler!$E22,0)-1,2,1),""))</f>
        <v/>
      </c>
      <c r="H22" s="22" t="str">
        <f aca="false">IF(Görevler!$F22="","",IF(AND(Görevler!$C22&lt;=(H$4+Ayarlar!$C$6-1),Görevler!$D22&gt;=H$4),IF(H$4&lt;=Görevler!$C22+ROUND(Görevler!$F22*Görevler!$E22,0)-1,2,1),""))</f>
        <v/>
      </c>
      <c r="I22" s="22" t="str">
        <f aca="false">IF(Görevler!$F22="","",IF(AND(Görevler!$C22&lt;=(I$4+Ayarlar!$C$6-1),Görevler!$D22&gt;=I$4),IF(I$4&lt;=Görevler!$C22+ROUND(Görevler!$F22*Görevler!$E22,0)-1,2,1),""))</f>
        <v/>
      </c>
      <c r="J22" s="22" t="str">
        <f aca="false">IF(Görevler!$F22="","",IF(AND(Görevler!$C22&lt;=(J$4+Ayarlar!$C$6-1),Görevler!$D22&gt;=J$4),IF(J$4&lt;=Görevler!$C22+ROUND(Görevler!$F22*Görevler!$E22,0)-1,2,1),""))</f>
        <v/>
      </c>
      <c r="K22" s="22" t="str">
        <f aca="false">IF(Görevler!$F22="","",IF(AND(Görevler!$C22&lt;=(K$4+Ayarlar!$C$6-1),Görevler!$D22&gt;=K$4),IF(K$4&lt;=Görevler!$C22+ROUND(Görevler!$F22*Görevler!$E22,0)-1,2,1),""))</f>
        <v/>
      </c>
      <c r="L22" s="22" t="str">
        <f aca="false">IF(Görevler!$F22="","",IF(AND(Görevler!$C22&lt;=(L$4+Ayarlar!$C$6-1),Görevler!$D22&gt;=L$4),IF(L$4&lt;=Görevler!$C22+ROUND(Görevler!$F22*Görevler!$E22,0)-1,2,1),""))</f>
        <v/>
      </c>
      <c r="M22" s="22" t="str">
        <f aca="false">IF(Görevler!$F22="","",IF(AND(Görevler!$C22&lt;=(M$4+Ayarlar!$C$6-1),Görevler!$D22&gt;=M$4),IF(M$4&lt;=Görevler!$C22+ROUND(Görevler!$F22*Görevler!$E22,0)-1,2,1),""))</f>
        <v/>
      </c>
      <c r="N22" s="22" t="str">
        <f aca="false">IF(Görevler!$F22="","",IF(AND(Görevler!$C22&lt;=(N$4+Ayarlar!$C$6-1),Görevler!$D22&gt;=N$4),IF(N$4&lt;=Görevler!$C22+ROUND(Görevler!$F22*Görevler!$E22,0)-1,2,1),""))</f>
        <v/>
      </c>
      <c r="O22" s="22" t="str">
        <f aca="false">IF(Görevler!$F22="","",IF(AND(Görevler!$C22&lt;=(O$4+Ayarlar!$C$6-1),Görevler!$D22&gt;=O$4),IF(O$4&lt;=Görevler!$C22+ROUND(Görevler!$F22*Görevler!$E22,0)-1,2,1),""))</f>
        <v/>
      </c>
      <c r="P22" s="22" t="str">
        <f aca="false">IF(Görevler!$F22="","",IF(AND(Görevler!$C22&lt;=(P$4+Ayarlar!$C$6-1),Görevler!$D22&gt;=P$4),IF(P$4&lt;=Görevler!$C22+ROUND(Görevler!$F22*Görevler!$E22,0)-1,2,1),""))</f>
        <v/>
      </c>
      <c r="Q22" s="22" t="str">
        <f aca="false">IF(Görevler!$F22="","",IF(AND(Görevler!$C22&lt;=(Q$4+Ayarlar!$C$6-1),Görevler!$D22&gt;=Q$4),IF(Q$4&lt;=Görevler!$C22+ROUND(Görevler!$F22*Görevler!$E22,0)-1,2,1),""))</f>
        <v/>
      </c>
      <c r="R22" s="22" t="str">
        <f aca="false">IF(Görevler!$F22="","",IF(AND(Görevler!$C22&lt;=(R$4+Ayarlar!$C$6-1),Görevler!$D22&gt;=R$4),IF(R$4&lt;=Görevler!$C22+ROUND(Görevler!$F22*Görevler!$E22,0)-1,2,1),""))</f>
        <v/>
      </c>
      <c r="S22" s="22" t="str">
        <f aca="false">IF(Görevler!$F22="","",IF(AND(Görevler!$C22&lt;=(S$4+Ayarlar!$C$6-1),Görevler!$D22&gt;=S$4),IF(S$4&lt;=Görevler!$C22+ROUND(Görevler!$F22*Görevler!$E22,0)-1,2,1),""))</f>
        <v/>
      </c>
      <c r="T22" s="22" t="str">
        <f aca="false">IF(Görevler!$F22="","",IF(AND(Görevler!$C22&lt;=(T$4+Ayarlar!$C$6-1),Görevler!$D22&gt;=T$4),IF(T$4&lt;=Görevler!$C22+ROUND(Görevler!$F22*Görevler!$E22,0)-1,2,1),""))</f>
        <v/>
      </c>
      <c r="U22" s="22" t="str">
        <f aca="false">IF(Görevler!$F22="","",IF(AND(Görevler!$C22&lt;=(U$4+Ayarlar!$C$6-1),Görevler!$D22&gt;=U$4),IF(U$4&lt;=Görevler!$C22+ROUND(Görevler!$F22*Görevler!$E22,0)-1,2,1),""))</f>
        <v/>
      </c>
      <c r="V22" s="22" t="str">
        <f aca="false">IF(Görevler!$F22="","",IF(AND(Görevler!$C22&lt;=(V$4+Ayarlar!$C$6-1),Görevler!$D22&gt;=V$4),IF(V$4&lt;=Görevler!$C22+ROUND(Görevler!$F22*Görevler!$E22,0)-1,2,1),""))</f>
        <v/>
      </c>
      <c r="W22" s="22" t="str">
        <f aca="false">IF(Görevler!$F22="","",IF(AND(Görevler!$C22&lt;=(W$4+Ayarlar!$C$6-1),Görevler!$D22&gt;=W$4),IF(W$4&lt;=Görevler!$C22+ROUND(Görevler!$F22*Görevler!$E22,0)-1,2,1),""))</f>
        <v/>
      </c>
      <c r="X22" s="22" t="str">
        <f aca="false">IF(Görevler!$F22="","",IF(AND(Görevler!$C22&lt;=(X$4+Ayarlar!$C$6-1),Görevler!$D22&gt;=X$4),IF(X$4&lt;=Görevler!$C22+ROUND(Görevler!$F22*Görevler!$E22,0)-1,2,1),""))</f>
        <v/>
      </c>
      <c r="Y22" s="22" t="str">
        <f aca="false">IF(Görevler!$F22="","",IF(AND(Görevler!$C22&lt;=(Y$4+Ayarlar!$C$6-1),Görevler!$D22&gt;=Y$4),IF(Y$4&lt;=Görevler!$C22+ROUND(Görevler!$F22*Görevler!$E22,0)-1,2,1),""))</f>
        <v/>
      </c>
      <c r="Z22" s="22" t="str">
        <f aca="false">IF(Görevler!$F22="","",IF(AND(Görevler!$C22&lt;=(Z$4+Ayarlar!$C$6-1),Görevler!$D22&gt;=Z$4),IF(Z$4&lt;=Görevler!$C22+ROUND(Görevler!$F22*Görevler!$E22,0)-1,2,1),""))</f>
        <v/>
      </c>
      <c r="AA22" s="22" t="str">
        <f aca="false">IF(Görevler!$F22="","",IF(AND(Görevler!$C22&lt;=(AA$4+Ayarlar!$C$6-1),Görevler!$D22&gt;=AA$4),IF(AA$4&lt;=Görevler!$C22+ROUND(Görevler!$F22*Görevler!$E22,0)-1,2,1),""))</f>
        <v/>
      </c>
      <c r="AB22" s="22" t="str">
        <f aca="false">IF(Görevler!$F22="","",IF(AND(Görevler!$C22&lt;=(AB$4+Ayarlar!$C$6-1),Görevler!$D22&gt;=AB$4),IF(AB$4&lt;=Görevler!$C22+ROUND(Görevler!$F22*Görevler!$E22,0)-1,2,1),""))</f>
        <v/>
      </c>
      <c r="AC22" s="22" t="str">
        <f aca="false">IF(Görevler!$F22="","",IF(AND(Görevler!$C22&lt;=(AC$4+Ayarlar!$C$6-1),Görevler!$D22&gt;=AC$4),IF(AC$4&lt;=Görevler!$C22+ROUND(Görevler!$F22*Görevler!$E22,0)-1,2,1),""))</f>
        <v/>
      </c>
      <c r="AD22" s="22" t="str">
        <f aca="false">IF(Görevler!$F22="","",IF(AND(Görevler!$C22&lt;=(AD$4+Ayarlar!$C$6-1),Görevler!$D22&gt;=AD$4),IF(AD$4&lt;=Görevler!$C22+ROUND(Görevler!$F22*Görevler!$E22,0)-1,2,1),""))</f>
        <v/>
      </c>
      <c r="AE22" s="22" t="str">
        <f aca="false">IF(Görevler!$F22="","",IF(AND(Görevler!$C22&lt;=(AE$4+Ayarlar!$C$6-1),Görevler!$D22&gt;=AE$4),IF(AE$4&lt;=Görevler!$C22+ROUND(Görevler!$F22*Görevler!$E22,0)-1,2,1),""))</f>
        <v/>
      </c>
      <c r="AF22" s="22" t="str">
        <f aca="false">IF(Görevler!$F22="","",IF(AND(Görevler!$C22&lt;=(AF$4+Ayarlar!$C$6-1),Görevler!$D22&gt;=AF$4),IF(AF$4&lt;=Görevler!$C22+ROUND(Görevler!$F22*Görevler!$E22,0)-1,2,1),""))</f>
        <v/>
      </c>
      <c r="AG22" s="22" t="str">
        <f aca="false">IF(Görevler!$F22="","",IF(AND(Görevler!$C22&lt;=(AG$4+Ayarlar!$C$6-1),Görevler!$D22&gt;=AG$4),IF(AG$4&lt;=Görevler!$C22+ROUND(Görevler!$F22*Görevler!$E22,0)-1,2,1),""))</f>
        <v/>
      </c>
      <c r="AH22" s="22" t="str">
        <f aca="false">IF(Görevler!$F22="","",IF(AND(Görevler!$C22&lt;=(AH$4+Ayarlar!$C$6-1),Görevler!$D22&gt;=AH$4),IF(AH$4&lt;=Görevler!$C22+ROUND(Görevler!$F22*Görevler!$E22,0)-1,2,1),""))</f>
        <v/>
      </c>
      <c r="AI22" s="22" t="str">
        <f aca="false">IF(Görevler!$F22="","",IF(AND(Görevler!$C22&lt;=(AI$4+Ayarlar!$C$6-1),Görevler!$D22&gt;=AI$4),IF(AI$4&lt;=Görevler!$C22+ROUND(Görevler!$F22*Görevler!$E22,0)-1,2,1),""))</f>
        <v/>
      </c>
      <c r="AJ22" s="22" t="str">
        <f aca="false">IF(Görevler!$F22="","",IF(AND(Görevler!$C22&lt;=(AJ$4+Ayarlar!$C$6-1),Görevler!$D22&gt;=AJ$4),IF(AJ$4&lt;=Görevler!$C22+ROUND(Görevler!$F22*Görevler!$E22,0)-1,2,1),""))</f>
        <v/>
      </c>
      <c r="AK22" s="22" t="str">
        <f aca="false">IF(Görevler!$F22="","",IF(AND(Görevler!$C22&lt;=(AK$4+Ayarlar!$C$6-1),Görevler!$D22&gt;=AK$4),IF(AK$4&lt;=Görevler!$C22+ROUND(Görevler!$F22*Görevler!$E22,0)-1,2,1),""))</f>
        <v/>
      </c>
      <c r="AL22" s="22" t="str">
        <f aca="false">IF(Görevler!$F22="","",IF(AND(Görevler!$C22&lt;=(AL$4+Ayarlar!$C$6-1),Görevler!$D22&gt;=AL$4),IF(AL$4&lt;=Görevler!$C22+ROUND(Görevler!$F22*Görevler!$E22,0)-1,2,1),""))</f>
        <v/>
      </c>
      <c r="AM22" s="22" t="str">
        <f aca="false">IF(Görevler!$F22="","",IF(AND(Görevler!$C22&lt;=(AM$4+Ayarlar!$C$6-1),Görevler!$D22&gt;=AM$4),IF(AM$4&lt;=Görevler!$C22+ROUND(Görevler!$F22*Görevler!$E22,0)-1,2,1),""))</f>
        <v/>
      </c>
      <c r="AN22" s="22" t="str">
        <f aca="false">IF(Görevler!$F22="","",IF(AND(Görevler!$C22&lt;=(AN$4+Ayarlar!$C$6-1),Görevler!$D22&gt;=AN$4),IF(AN$4&lt;=Görevler!$C22+ROUND(Görevler!$F22*Görevler!$E22,0)-1,2,1),""))</f>
        <v/>
      </c>
      <c r="AO22" s="22" t="str">
        <f aca="false">IF(Görevler!$F22="","",IF(AND(Görevler!$C22&lt;=(AO$4+Ayarlar!$C$6-1),Görevler!$D22&gt;=AO$4),IF(AO$4&lt;=Görevler!$C22+ROUND(Görevler!$F22*Görevler!$E22,0)-1,2,1),""))</f>
        <v/>
      </c>
      <c r="AP22" s="22" t="str">
        <f aca="false">IF(Görevler!$F22="","",IF(AND(Görevler!$C22&lt;=(AP$4+Ayarlar!$C$6-1),Görevler!$D22&gt;=AP$4),IF(AP$4&lt;=Görevler!$C22+ROUND(Görevler!$F22*Görevler!$E22,0)-1,2,1),""))</f>
        <v/>
      </c>
      <c r="AQ22" s="22" t="str">
        <f aca="false">IF(Görevler!$F22="","",IF(AND(Görevler!$C22&lt;=(AQ$4+Ayarlar!$C$6-1),Görevler!$D22&gt;=AQ$4),IF(AQ$4&lt;=Görevler!$C22+ROUND(Görevler!$F22*Görevler!$E22,0)-1,2,1),""))</f>
        <v/>
      </c>
      <c r="AR22" s="22" t="str">
        <f aca="false">IF(Görevler!$F22="","",IF(AND(Görevler!$C22&lt;=(AR$4+Ayarlar!$C$6-1),Görevler!$D22&gt;=AR$4),IF(AR$4&lt;=Görevler!$C22+ROUND(Görevler!$F22*Görevler!$E22,0)-1,2,1),""))</f>
        <v/>
      </c>
      <c r="AS22" s="22" t="str">
        <f aca="false">IF(Görevler!$F22="","",IF(AND(Görevler!$C22&lt;=(AS$4+Ayarlar!$C$6-1),Görevler!$D22&gt;=AS$4),IF(AS$4&lt;=Görevler!$C22+ROUND(Görevler!$F22*Görevler!$E22,0)-1,2,1),""))</f>
        <v/>
      </c>
      <c r="AT22" s="22" t="str">
        <f aca="false">IF(Görevler!$F22="","",IF(AND(Görevler!$C22&lt;=(AT$4+Ayarlar!$C$6-1),Görevler!$D22&gt;=AT$4),IF(AT$4&lt;=Görevler!$C22+ROUND(Görevler!$F22*Görevler!$E22,0)-1,2,1),""))</f>
        <v/>
      </c>
      <c r="AU22" s="22" t="str">
        <f aca="false">IF(Görevler!$F22="","",IF(AND(Görevler!$C22&lt;=(AU$4+Ayarlar!$C$6-1),Görevler!$D22&gt;=AU$4),IF(AU$4&lt;=Görevler!$C22+ROUND(Görevler!$F22*Görevler!$E22,0)-1,2,1),""))</f>
        <v/>
      </c>
      <c r="AV22" s="22" t="str">
        <f aca="false">IF(Görevler!$F22="","",IF(AND(Görevler!$C22&lt;=(AV$4+Ayarlar!$C$6-1),Görevler!$D22&gt;=AV$4),IF(AV$4&lt;=Görevler!$C22+ROUND(Görevler!$F22*Görevler!$E22,0)-1,2,1),""))</f>
        <v/>
      </c>
      <c r="AW22" s="22" t="str">
        <f aca="false">IF(Görevler!$F22="","",IF(AND(Görevler!$C22&lt;=(AW$4+Ayarlar!$C$6-1),Görevler!$D22&gt;=AW$4),IF(AW$4&lt;=Görevler!$C22+ROUND(Görevler!$F22*Görevler!$E22,0)-1,2,1),""))</f>
        <v/>
      </c>
      <c r="AX22" s="22" t="str">
        <f aca="false">IF(Görevler!$F22="","",IF(AND(Görevler!$C22&lt;=(AX$4+Ayarlar!$C$6-1),Görevler!$D22&gt;=AX$4),IF(AX$4&lt;=Görevler!$C22+ROUND(Görevler!$F22*Görevler!$E22,0)-1,2,1),""))</f>
        <v/>
      </c>
      <c r="AY22" s="22" t="str">
        <f aca="false">IF(Görevler!$F22="","",IF(AND(Görevler!$C22&lt;=(AY$4+Ayarlar!$C$6-1),Görevler!$D22&gt;=AY$4),IF(AY$4&lt;=Görevler!$C22+ROUND(Görevler!$F22*Görevler!$E22,0)-1,2,1),""))</f>
        <v/>
      </c>
      <c r="AZ22" s="22" t="str">
        <f aca="false">IF(Görevler!$F22="","",IF(AND(Görevler!$C22&lt;=(AZ$4+Ayarlar!$C$6-1),Görevler!$D22&gt;=AZ$4),IF(AZ$4&lt;=Görevler!$C22+ROUND(Görevler!$F22*Görevler!$E22,0)-1,2,1),""))</f>
        <v/>
      </c>
      <c r="BA22" s="22" t="str">
        <f aca="false">IF(Görevler!$F22="","",IF(AND(Görevler!$C22&lt;=(BA$4+Ayarlar!$C$6-1),Görevler!$D22&gt;=BA$4),IF(BA$4&lt;=Görevler!$C22+ROUND(Görevler!$F22*Görevler!$E22,0)-1,2,1),""))</f>
        <v/>
      </c>
      <c r="BB22" s="22" t="str">
        <f aca="false">IF(Görevler!$F22="","",IF(AND(Görevler!$C22&lt;=(BB$4+Ayarlar!$C$6-1),Görevler!$D22&gt;=BB$4),IF(BB$4&lt;=Görevler!$C22+ROUND(Görevler!$F22*Görevler!$E22,0)-1,2,1),""))</f>
        <v/>
      </c>
      <c r="BC22" s="22" t="str">
        <f aca="false">IF(Görevler!$F22="","",IF(AND(Görevler!$C22&lt;=(BC$4+Ayarlar!$C$6-1),Görevler!$D22&gt;=BC$4),IF(BC$4&lt;=Görevler!$C22+ROUND(Görevler!$F22*Görevler!$E22,0)-1,2,1),""))</f>
        <v/>
      </c>
      <c r="BD22" s="22" t="str">
        <f aca="false">IF(Görevler!$F22="","",IF(AND(Görevler!$C22&lt;=(BD$4+Ayarlar!$C$6-1),Görevler!$D22&gt;=BD$4),IF(BD$4&lt;=Görevler!$C22+ROUND(Görevler!$F22*Görevler!$E22,0)-1,2,1),""))</f>
        <v/>
      </c>
      <c r="BE22" s="22" t="str">
        <f aca="false">IF(Görevler!$F22="","",IF(AND(Görevler!$C22&lt;=(BE$4+Ayarlar!$C$6-1),Görevler!$D22&gt;=BE$4),IF(BE$4&lt;=Görevler!$C22+ROUND(Görevler!$F22*Görevler!$E22,0)-1,2,1),""))</f>
        <v/>
      </c>
      <c r="BF22" s="22" t="str">
        <f aca="false">IF(Görevler!$F22="","",IF(AND(Görevler!$C22&lt;=(BF$4+Ayarlar!$C$6-1),Görevler!$D22&gt;=BF$4),IF(BF$4&lt;=Görevler!$C22+ROUND(Görevler!$F22*Görevler!$E22,0)-1,2,1),""))</f>
        <v/>
      </c>
      <c r="BG22" s="22" t="str">
        <f aca="false">IF(Görevler!$F22="","",IF(AND(Görevler!$C22&lt;=(BG$4+Ayarlar!$C$6-1),Görevler!$D22&gt;=BG$4),IF(BG$4&lt;=Görevler!$C22+ROUND(Görevler!$F22*Görevler!$E22,0)-1,2,1),""))</f>
        <v/>
      </c>
      <c r="BH22" s="22" t="str">
        <f aca="false">IF(Görevler!$F22="","",IF(AND(Görevler!$C22&lt;=(BH$4+Ayarlar!$C$6-1),Görevler!$D22&gt;=BH$4),IF(BH$4&lt;=Görevler!$C22+ROUND(Görevler!$F22*Görevler!$E22,0)-1,2,1),""))</f>
        <v/>
      </c>
      <c r="BI22" s="22" t="str">
        <f aca="false">IF(Görevler!$F22="","",IF(AND(Görevler!$C22&lt;=(BI$4+Ayarlar!$C$6-1),Görevler!$D22&gt;=BI$4),IF(BI$4&lt;=Görevler!$C22+ROUND(Görevler!$F22*Görevler!$E22,0)-1,2,1),""))</f>
        <v/>
      </c>
      <c r="BJ22" s="22" t="str">
        <f aca="false">IF(Görevler!$F22="","",IF(AND(Görevler!$C22&lt;=(BJ$4+Ayarlar!$C$6-1),Görevler!$D22&gt;=BJ$4),IF(BJ$4&lt;=Görevler!$C22+ROUND(Görevler!$F22*Görevler!$E22,0)-1,2,1),""))</f>
        <v/>
      </c>
    </row>
    <row r="23" customFormat="false" ht="15" hidden="false" customHeight="false" outlineLevel="0" collapsed="false">
      <c r="A23" s="21" t="str">
        <f aca="false">IF(Görevler!A23="","",Görevler!A23)</f>
        <v/>
      </c>
      <c r="B23" s="21" t="str">
        <f aca="false">IF(Görevler!A23="","",Görevler!B23&amp;"")</f>
        <v/>
      </c>
      <c r="C23" s="22" t="str">
        <f aca="false">IF(Görevler!$F23="","",IF(AND(Görevler!$C23&lt;=(C$4+Ayarlar!$C$6-1),Görevler!$D23&gt;=C$4),IF(C$4&lt;=Görevler!$C23+ROUND(Görevler!$F23*Görevler!$E23,0)-1,2,1),""))</f>
        <v/>
      </c>
      <c r="D23" s="22" t="str">
        <f aca="false">IF(Görevler!$F23="","",IF(AND(Görevler!$C23&lt;=(D$4+Ayarlar!$C$6-1),Görevler!$D23&gt;=D$4),IF(D$4&lt;=Görevler!$C23+ROUND(Görevler!$F23*Görevler!$E23,0)-1,2,1),""))</f>
        <v/>
      </c>
      <c r="E23" s="22" t="str">
        <f aca="false">IF(Görevler!$F23="","",IF(AND(Görevler!$C23&lt;=(E$4+Ayarlar!$C$6-1),Görevler!$D23&gt;=E$4),IF(E$4&lt;=Görevler!$C23+ROUND(Görevler!$F23*Görevler!$E23,0)-1,2,1),""))</f>
        <v/>
      </c>
      <c r="F23" s="22" t="str">
        <f aca="false">IF(Görevler!$F23="","",IF(AND(Görevler!$C23&lt;=(F$4+Ayarlar!$C$6-1),Görevler!$D23&gt;=F$4),IF(F$4&lt;=Görevler!$C23+ROUND(Görevler!$F23*Görevler!$E23,0)-1,2,1),""))</f>
        <v/>
      </c>
      <c r="G23" s="22" t="str">
        <f aca="false">IF(Görevler!$F23="","",IF(AND(Görevler!$C23&lt;=(G$4+Ayarlar!$C$6-1),Görevler!$D23&gt;=G$4),IF(G$4&lt;=Görevler!$C23+ROUND(Görevler!$F23*Görevler!$E23,0)-1,2,1),""))</f>
        <v/>
      </c>
      <c r="H23" s="22" t="str">
        <f aca="false">IF(Görevler!$F23="","",IF(AND(Görevler!$C23&lt;=(H$4+Ayarlar!$C$6-1),Görevler!$D23&gt;=H$4),IF(H$4&lt;=Görevler!$C23+ROUND(Görevler!$F23*Görevler!$E23,0)-1,2,1),""))</f>
        <v/>
      </c>
      <c r="I23" s="22" t="str">
        <f aca="false">IF(Görevler!$F23="","",IF(AND(Görevler!$C23&lt;=(I$4+Ayarlar!$C$6-1),Görevler!$D23&gt;=I$4),IF(I$4&lt;=Görevler!$C23+ROUND(Görevler!$F23*Görevler!$E23,0)-1,2,1),""))</f>
        <v/>
      </c>
      <c r="J23" s="22" t="str">
        <f aca="false">IF(Görevler!$F23="","",IF(AND(Görevler!$C23&lt;=(J$4+Ayarlar!$C$6-1),Görevler!$D23&gt;=J$4),IF(J$4&lt;=Görevler!$C23+ROUND(Görevler!$F23*Görevler!$E23,0)-1,2,1),""))</f>
        <v/>
      </c>
      <c r="K23" s="22" t="str">
        <f aca="false">IF(Görevler!$F23="","",IF(AND(Görevler!$C23&lt;=(K$4+Ayarlar!$C$6-1),Görevler!$D23&gt;=K$4),IF(K$4&lt;=Görevler!$C23+ROUND(Görevler!$F23*Görevler!$E23,0)-1,2,1),""))</f>
        <v/>
      </c>
      <c r="L23" s="22" t="str">
        <f aca="false">IF(Görevler!$F23="","",IF(AND(Görevler!$C23&lt;=(L$4+Ayarlar!$C$6-1),Görevler!$D23&gt;=L$4),IF(L$4&lt;=Görevler!$C23+ROUND(Görevler!$F23*Görevler!$E23,0)-1,2,1),""))</f>
        <v/>
      </c>
      <c r="M23" s="22" t="str">
        <f aca="false">IF(Görevler!$F23="","",IF(AND(Görevler!$C23&lt;=(M$4+Ayarlar!$C$6-1),Görevler!$D23&gt;=M$4),IF(M$4&lt;=Görevler!$C23+ROUND(Görevler!$F23*Görevler!$E23,0)-1,2,1),""))</f>
        <v/>
      </c>
      <c r="N23" s="22" t="str">
        <f aca="false">IF(Görevler!$F23="","",IF(AND(Görevler!$C23&lt;=(N$4+Ayarlar!$C$6-1),Görevler!$D23&gt;=N$4),IF(N$4&lt;=Görevler!$C23+ROUND(Görevler!$F23*Görevler!$E23,0)-1,2,1),""))</f>
        <v/>
      </c>
      <c r="O23" s="22" t="str">
        <f aca="false">IF(Görevler!$F23="","",IF(AND(Görevler!$C23&lt;=(O$4+Ayarlar!$C$6-1),Görevler!$D23&gt;=O$4),IF(O$4&lt;=Görevler!$C23+ROUND(Görevler!$F23*Görevler!$E23,0)-1,2,1),""))</f>
        <v/>
      </c>
      <c r="P23" s="22" t="str">
        <f aca="false">IF(Görevler!$F23="","",IF(AND(Görevler!$C23&lt;=(P$4+Ayarlar!$C$6-1),Görevler!$D23&gt;=P$4),IF(P$4&lt;=Görevler!$C23+ROUND(Görevler!$F23*Görevler!$E23,0)-1,2,1),""))</f>
        <v/>
      </c>
      <c r="Q23" s="22" t="str">
        <f aca="false">IF(Görevler!$F23="","",IF(AND(Görevler!$C23&lt;=(Q$4+Ayarlar!$C$6-1),Görevler!$D23&gt;=Q$4),IF(Q$4&lt;=Görevler!$C23+ROUND(Görevler!$F23*Görevler!$E23,0)-1,2,1),""))</f>
        <v/>
      </c>
      <c r="R23" s="22" t="str">
        <f aca="false">IF(Görevler!$F23="","",IF(AND(Görevler!$C23&lt;=(R$4+Ayarlar!$C$6-1),Görevler!$D23&gt;=R$4),IF(R$4&lt;=Görevler!$C23+ROUND(Görevler!$F23*Görevler!$E23,0)-1,2,1),""))</f>
        <v/>
      </c>
      <c r="S23" s="22" t="str">
        <f aca="false">IF(Görevler!$F23="","",IF(AND(Görevler!$C23&lt;=(S$4+Ayarlar!$C$6-1),Görevler!$D23&gt;=S$4),IF(S$4&lt;=Görevler!$C23+ROUND(Görevler!$F23*Görevler!$E23,0)-1,2,1),""))</f>
        <v/>
      </c>
      <c r="T23" s="22" t="str">
        <f aca="false">IF(Görevler!$F23="","",IF(AND(Görevler!$C23&lt;=(T$4+Ayarlar!$C$6-1),Görevler!$D23&gt;=T$4),IF(T$4&lt;=Görevler!$C23+ROUND(Görevler!$F23*Görevler!$E23,0)-1,2,1),""))</f>
        <v/>
      </c>
      <c r="U23" s="22" t="str">
        <f aca="false">IF(Görevler!$F23="","",IF(AND(Görevler!$C23&lt;=(U$4+Ayarlar!$C$6-1),Görevler!$D23&gt;=U$4),IF(U$4&lt;=Görevler!$C23+ROUND(Görevler!$F23*Görevler!$E23,0)-1,2,1),""))</f>
        <v/>
      </c>
      <c r="V23" s="22" t="str">
        <f aca="false">IF(Görevler!$F23="","",IF(AND(Görevler!$C23&lt;=(V$4+Ayarlar!$C$6-1),Görevler!$D23&gt;=V$4),IF(V$4&lt;=Görevler!$C23+ROUND(Görevler!$F23*Görevler!$E23,0)-1,2,1),""))</f>
        <v/>
      </c>
      <c r="W23" s="22" t="str">
        <f aca="false">IF(Görevler!$F23="","",IF(AND(Görevler!$C23&lt;=(W$4+Ayarlar!$C$6-1),Görevler!$D23&gt;=W$4),IF(W$4&lt;=Görevler!$C23+ROUND(Görevler!$F23*Görevler!$E23,0)-1,2,1),""))</f>
        <v/>
      </c>
      <c r="X23" s="22" t="str">
        <f aca="false">IF(Görevler!$F23="","",IF(AND(Görevler!$C23&lt;=(X$4+Ayarlar!$C$6-1),Görevler!$D23&gt;=X$4),IF(X$4&lt;=Görevler!$C23+ROUND(Görevler!$F23*Görevler!$E23,0)-1,2,1),""))</f>
        <v/>
      </c>
      <c r="Y23" s="22" t="str">
        <f aca="false">IF(Görevler!$F23="","",IF(AND(Görevler!$C23&lt;=(Y$4+Ayarlar!$C$6-1),Görevler!$D23&gt;=Y$4),IF(Y$4&lt;=Görevler!$C23+ROUND(Görevler!$F23*Görevler!$E23,0)-1,2,1),""))</f>
        <v/>
      </c>
      <c r="Z23" s="22" t="str">
        <f aca="false">IF(Görevler!$F23="","",IF(AND(Görevler!$C23&lt;=(Z$4+Ayarlar!$C$6-1),Görevler!$D23&gt;=Z$4),IF(Z$4&lt;=Görevler!$C23+ROUND(Görevler!$F23*Görevler!$E23,0)-1,2,1),""))</f>
        <v/>
      </c>
      <c r="AA23" s="22" t="str">
        <f aca="false">IF(Görevler!$F23="","",IF(AND(Görevler!$C23&lt;=(AA$4+Ayarlar!$C$6-1),Görevler!$D23&gt;=AA$4),IF(AA$4&lt;=Görevler!$C23+ROUND(Görevler!$F23*Görevler!$E23,0)-1,2,1),""))</f>
        <v/>
      </c>
      <c r="AB23" s="22" t="str">
        <f aca="false">IF(Görevler!$F23="","",IF(AND(Görevler!$C23&lt;=(AB$4+Ayarlar!$C$6-1),Görevler!$D23&gt;=AB$4),IF(AB$4&lt;=Görevler!$C23+ROUND(Görevler!$F23*Görevler!$E23,0)-1,2,1),""))</f>
        <v/>
      </c>
      <c r="AC23" s="22" t="str">
        <f aca="false">IF(Görevler!$F23="","",IF(AND(Görevler!$C23&lt;=(AC$4+Ayarlar!$C$6-1),Görevler!$D23&gt;=AC$4),IF(AC$4&lt;=Görevler!$C23+ROUND(Görevler!$F23*Görevler!$E23,0)-1,2,1),""))</f>
        <v/>
      </c>
      <c r="AD23" s="22" t="str">
        <f aca="false">IF(Görevler!$F23="","",IF(AND(Görevler!$C23&lt;=(AD$4+Ayarlar!$C$6-1),Görevler!$D23&gt;=AD$4),IF(AD$4&lt;=Görevler!$C23+ROUND(Görevler!$F23*Görevler!$E23,0)-1,2,1),""))</f>
        <v/>
      </c>
      <c r="AE23" s="22" t="str">
        <f aca="false">IF(Görevler!$F23="","",IF(AND(Görevler!$C23&lt;=(AE$4+Ayarlar!$C$6-1),Görevler!$D23&gt;=AE$4),IF(AE$4&lt;=Görevler!$C23+ROUND(Görevler!$F23*Görevler!$E23,0)-1,2,1),""))</f>
        <v/>
      </c>
      <c r="AF23" s="22" t="str">
        <f aca="false">IF(Görevler!$F23="","",IF(AND(Görevler!$C23&lt;=(AF$4+Ayarlar!$C$6-1),Görevler!$D23&gt;=AF$4),IF(AF$4&lt;=Görevler!$C23+ROUND(Görevler!$F23*Görevler!$E23,0)-1,2,1),""))</f>
        <v/>
      </c>
      <c r="AG23" s="22" t="str">
        <f aca="false">IF(Görevler!$F23="","",IF(AND(Görevler!$C23&lt;=(AG$4+Ayarlar!$C$6-1),Görevler!$D23&gt;=AG$4),IF(AG$4&lt;=Görevler!$C23+ROUND(Görevler!$F23*Görevler!$E23,0)-1,2,1),""))</f>
        <v/>
      </c>
      <c r="AH23" s="22" t="str">
        <f aca="false">IF(Görevler!$F23="","",IF(AND(Görevler!$C23&lt;=(AH$4+Ayarlar!$C$6-1),Görevler!$D23&gt;=AH$4),IF(AH$4&lt;=Görevler!$C23+ROUND(Görevler!$F23*Görevler!$E23,0)-1,2,1),""))</f>
        <v/>
      </c>
      <c r="AI23" s="22" t="str">
        <f aca="false">IF(Görevler!$F23="","",IF(AND(Görevler!$C23&lt;=(AI$4+Ayarlar!$C$6-1),Görevler!$D23&gt;=AI$4),IF(AI$4&lt;=Görevler!$C23+ROUND(Görevler!$F23*Görevler!$E23,0)-1,2,1),""))</f>
        <v/>
      </c>
      <c r="AJ23" s="22" t="str">
        <f aca="false">IF(Görevler!$F23="","",IF(AND(Görevler!$C23&lt;=(AJ$4+Ayarlar!$C$6-1),Görevler!$D23&gt;=AJ$4),IF(AJ$4&lt;=Görevler!$C23+ROUND(Görevler!$F23*Görevler!$E23,0)-1,2,1),""))</f>
        <v/>
      </c>
      <c r="AK23" s="22" t="str">
        <f aca="false">IF(Görevler!$F23="","",IF(AND(Görevler!$C23&lt;=(AK$4+Ayarlar!$C$6-1),Görevler!$D23&gt;=AK$4),IF(AK$4&lt;=Görevler!$C23+ROUND(Görevler!$F23*Görevler!$E23,0)-1,2,1),""))</f>
        <v/>
      </c>
      <c r="AL23" s="22" t="str">
        <f aca="false">IF(Görevler!$F23="","",IF(AND(Görevler!$C23&lt;=(AL$4+Ayarlar!$C$6-1),Görevler!$D23&gt;=AL$4),IF(AL$4&lt;=Görevler!$C23+ROUND(Görevler!$F23*Görevler!$E23,0)-1,2,1),""))</f>
        <v/>
      </c>
      <c r="AM23" s="22" t="str">
        <f aca="false">IF(Görevler!$F23="","",IF(AND(Görevler!$C23&lt;=(AM$4+Ayarlar!$C$6-1),Görevler!$D23&gt;=AM$4),IF(AM$4&lt;=Görevler!$C23+ROUND(Görevler!$F23*Görevler!$E23,0)-1,2,1),""))</f>
        <v/>
      </c>
      <c r="AN23" s="22" t="str">
        <f aca="false">IF(Görevler!$F23="","",IF(AND(Görevler!$C23&lt;=(AN$4+Ayarlar!$C$6-1),Görevler!$D23&gt;=AN$4),IF(AN$4&lt;=Görevler!$C23+ROUND(Görevler!$F23*Görevler!$E23,0)-1,2,1),""))</f>
        <v/>
      </c>
      <c r="AO23" s="22" t="str">
        <f aca="false">IF(Görevler!$F23="","",IF(AND(Görevler!$C23&lt;=(AO$4+Ayarlar!$C$6-1),Görevler!$D23&gt;=AO$4),IF(AO$4&lt;=Görevler!$C23+ROUND(Görevler!$F23*Görevler!$E23,0)-1,2,1),""))</f>
        <v/>
      </c>
      <c r="AP23" s="22" t="str">
        <f aca="false">IF(Görevler!$F23="","",IF(AND(Görevler!$C23&lt;=(AP$4+Ayarlar!$C$6-1),Görevler!$D23&gt;=AP$4),IF(AP$4&lt;=Görevler!$C23+ROUND(Görevler!$F23*Görevler!$E23,0)-1,2,1),""))</f>
        <v/>
      </c>
      <c r="AQ23" s="22" t="str">
        <f aca="false">IF(Görevler!$F23="","",IF(AND(Görevler!$C23&lt;=(AQ$4+Ayarlar!$C$6-1),Görevler!$D23&gt;=AQ$4),IF(AQ$4&lt;=Görevler!$C23+ROUND(Görevler!$F23*Görevler!$E23,0)-1,2,1),""))</f>
        <v/>
      </c>
      <c r="AR23" s="22" t="str">
        <f aca="false">IF(Görevler!$F23="","",IF(AND(Görevler!$C23&lt;=(AR$4+Ayarlar!$C$6-1),Görevler!$D23&gt;=AR$4),IF(AR$4&lt;=Görevler!$C23+ROUND(Görevler!$F23*Görevler!$E23,0)-1,2,1),""))</f>
        <v/>
      </c>
      <c r="AS23" s="22" t="str">
        <f aca="false">IF(Görevler!$F23="","",IF(AND(Görevler!$C23&lt;=(AS$4+Ayarlar!$C$6-1),Görevler!$D23&gt;=AS$4),IF(AS$4&lt;=Görevler!$C23+ROUND(Görevler!$F23*Görevler!$E23,0)-1,2,1),""))</f>
        <v/>
      </c>
      <c r="AT23" s="22" t="str">
        <f aca="false">IF(Görevler!$F23="","",IF(AND(Görevler!$C23&lt;=(AT$4+Ayarlar!$C$6-1),Görevler!$D23&gt;=AT$4),IF(AT$4&lt;=Görevler!$C23+ROUND(Görevler!$F23*Görevler!$E23,0)-1,2,1),""))</f>
        <v/>
      </c>
      <c r="AU23" s="22" t="str">
        <f aca="false">IF(Görevler!$F23="","",IF(AND(Görevler!$C23&lt;=(AU$4+Ayarlar!$C$6-1),Görevler!$D23&gt;=AU$4),IF(AU$4&lt;=Görevler!$C23+ROUND(Görevler!$F23*Görevler!$E23,0)-1,2,1),""))</f>
        <v/>
      </c>
      <c r="AV23" s="22" t="str">
        <f aca="false">IF(Görevler!$F23="","",IF(AND(Görevler!$C23&lt;=(AV$4+Ayarlar!$C$6-1),Görevler!$D23&gt;=AV$4),IF(AV$4&lt;=Görevler!$C23+ROUND(Görevler!$F23*Görevler!$E23,0)-1,2,1),""))</f>
        <v/>
      </c>
      <c r="AW23" s="22" t="str">
        <f aca="false">IF(Görevler!$F23="","",IF(AND(Görevler!$C23&lt;=(AW$4+Ayarlar!$C$6-1),Görevler!$D23&gt;=AW$4),IF(AW$4&lt;=Görevler!$C23+ROUND(Görevler!$F23*Görevler!$E23,0)-1,2,1),""))</f>
        <v/>
      </c>
      <c r="AX23" s="22" t="str">
        <f aca="false">IF(Görevler!$F23="","",IF(AND(Görevler!$C23&lt;=(AX$4+Ayarlar!$C$6-1),Görevler!$D23&gt;=AX$4),IF(AX$4&lt;=Görevler!$C23+ROUND(Görevler!$F23*Görevler!$E23,0)-1,2,1),""))</f>
        <v/>
      </c>
      <c r="AY23" s="22" t="str">
        <f aca="false">IF(Görevler!$F23="","",IF(AND(Görevler!$C23&lt;=(AY$4+Ayarlar!$C$6-1),Görevler!$D23&gt;=AY$4),IF(AY$4&lt;=Görevler!$C23+ROUND(Görevler!$F23*Görevler!$E23,0)-1,2,1),""))</f>
        <v/>
      </c>
      <c r="AZ23" s="22" t="str">
        <f aca="false">IF(Görevler!$F23="","",IF(AND(Görevler!$C23&lt;=(AZ$4+Ayarlar!$C$6-1),Görevler!$D23&gt;=AZ$4),IF(AZ$4&lt;=Görevler!$C23+ROUND(Görevler!$F23*Görevler!$E23,0)-1,2,1),""))</f>
        <v/>
      </c>
      <c r="BA23" s="22" t="str">
        <f aca="false">IF(Görevler!$F23="","",IF(AND(Görevler!$C23&lt;=(BA$4+Ayarlar!$C$6-1),Görevler!$D23&gt;=BA$4),IF(BA$4&lt;=Görevler!$C23+ROUND(Görevler!$F23*Görevler!$E23,0)-1,2,1),""))</f>
        <v/>
      </c>
      <c r="BB23" s="22" t="str">
        <f aca="false">IF(Görevler!$F23="","",IF(AND(Görevler!$C23&lt;=(BB$4+Ayarlar!$C$6-1),Görevler!$D23&gt;=BB$4),IF(BB$4&lt;=Görevler!$C23+ROUND(Görevler!$F23*Görevler!$E23,0)-1,2,1),""))</f>
        <v/>
      </c>
      <c r="BC23" s="22" t="str">
        <f aca="false">IF(Görevler!$F23="","",IF(AND(Görevler!$C23&lt;=(BC$4+Ayarlar!$C$6-1),Görevler!$D23&gt;=BC$4),IF(BC$4&lt;=Görevler!$C23+ROUND(Görevler!$F23*Görevler!$E23,0)-1,2,1),""))</f>
        <v/>
      </c>
      <c r="BD23" s="22" t="str">
        <f aca="false">IF(Görevler!$F23="","",IF(AND(Görevler!$C23&lt;=(BD$4+Ayarlar!$C$6-1),Görevler!$D23&gt;=BD$4),IF(BD$4&lt;=Görevler!$C23+ROUND(Görevler!$F23*Görevler!$E23,0)-1,2,1),""))</f>
        <v/>
      </c>
      <c r="BE23" s="22" t="str">
        <f aca="false">IF(Görevler!$F23="","",IF(AND(Görevler!$C23&lt;=(BE$4+Ayarlar!$C$6-1),Görevler!$D23&gt;=BE$4),IF(BE$4&lt;=Görevler!$C23+ROUND(Görevler!$F23*Görevler!$E23,0)-1,2,1),""))</f>
        <v/>
      </c>
      <c r="BF23" s="22" t="str">
        <f aca="false">IF(Görevler!$F23="","",IF(AND(Görevler!$C23&lt;=(BF$4+Ayarlar!$C$6-1),Görevler!$D23&gt;=BF$4),IF(BF$4&lt;=Görevler!$C23+ROUND(Görevler!$F23*Görevler!$E23,0)-1,2,1),""))</f>
        <v/>
      </c>
      <c r="BG23" s="22" t="str">
        <f aca="false">IF(Görevler!$F23="","",IF(AND(Görevler!$C23&lt;=(BG$4+Ayarlar!$C$6-1),Görevler!$D23&gt;=BG$4),IF(BG$4&lt;=Görevler!$C23+ROUND(Görevler!$F23*Görevler!$E23,0)-1,2,1),""))</f>
        <v/>
      </c>
      <c r="BH23" s="22" t="str">
        <f aca="false">IF(Görevler!$F23="","",IF(AND(Görevler!$C23&lt;=(BH$4+Ayarlar!$C$6-1),Görevler!$D23&gt;=BH$4),IF(BH$4&lt;=Görevler!$C23+ROUND(Görevler!$F23*Görevler!$E23,0)-1,2,1),""))</f>
        <v/>
      </c>
      <c r="BI23" s="22" t="str">
        <f aca="false">IF(Görevler!$F23="","",IF(AND(Görevler!$C23&lt;=(BI$4+Ayarlar!$C$6-1),Görevler!$D23&gt;=BI$4),IF(BI$4&lt;=Görevler!$C23+ROUND(Görevler!$F23*Görevler!$E23,0)-1,2,1),""))</f>
        <v/>
      </c>
      <c r="BJ23" s="22" t="str">
        <f aca="false">IF(Görevler!$F23="","",IF(AND(Görevler!$C23&lt;=(BJ$4+Ayarlar!$C$6-1),Görevler!$D23&gt;=BJ$4),IF(BJ$4&lt;=Görevler!$C23+ROUND(Görevler!$F23*Görevler!$E23,0)-1,2,1),""))</f>
        <v/>
      </c>
    </row>
    <row r="24" customFormat="false" ht="15" hidden="false" customHeight="false" outlineLevel="0" collapsed="false">
      <c r="A24" s="21" t="str">
        <f aca="false">IF(Görevler!A24="","",Görevler!A24)</f>
        <v/>
      </c>
      <c r="B24" s="21" t="str">
        <f aca="false">IF(Görevler!A24="","",Görevler!B24&amp;"")</f>
        <v/>
      </c>
      <c r="C24" s="22" t="str">
        <f aca="false">IF(Görevler!$F24="","",IF(AND(Görevler!$C24&lt;=(C$4+Ayarlar!$C$6-1),Görevler!$D24&gt;=C$4),IF(C$4&lt;=Görevler!$C24+ROUND(Görevler!$F24*Görevler!$E24,0)-1,2,1),""))</f>
        <v/>
      </c>
      <c r="D24" s="22" t="str">
        <f aca="false">IF(Görevler!$F24="","",IF(AND(Görevler!$C24&lt;=(D$4+Ayarlar!$C$6-1),Görevler!$D24&gt;=D$4),IF(D$4&lt;=Görevler!$C24+ROUND(Görevler!$F24*Görevler!$E24,0)-1,2,1),""))</f>
        <v/>
      </c>
      <c r="E24" s="22" t="str">
        <f aca="false">IF(Görevler!$F24="","",IF(AND(Görevler!$C24&lt;=(E$4+Ayarlar!$C$6-1),Görevler!$D24&gt;=E$4),IF(E$4&lt;=Görevler!$C24+ROUND(Görevler!$F24*Görevler!$E24,0)-1,2,1),""))</f>
        <v/>
      </c>
      <c r="F24" s="22" t="str">
        <f aca="false">IF(Görevler!$F24="","",IF(AND(Görevler!$C24&lt;=(F$4+Ayarlar!$C$6-1),Görevler!$D24&gt;=F$4),IF(F$4&lt;=Görevler!$C24+ROUND(Görevler!$F24*Görevler!$E24,0)-1,2,1),""))</f>
        <v/>
      </c>
      <c r="G24" s="22" t="str">
        <f aca="false">IF(Görevler!$F24="","",IF(AND(Görevler!$C24&lt;=(G$4+Ayarlar!$C$6-1),Görevler!$D24&gt;=G$4),IF(G$4&lt;=Görevler!$C24+ROUND(Görevler!$F24*Görevler!$E24,0)-1,2,1),""))</f>
        <v/>
      </c>
      <c r="H24" s="22" t="str">
        <f aca="false">IF(Görevler!$F24="","",IF(AND(Görevler!$C24&lt;=(H$4+Ayarlar!$C$6-1),Görevler!$D24&gt;=H$4),IF(H$4&lt;=Görevler!$C24+ROUND(Görevler!$F24*Görevler!$E24,0)-1,2,1),""))</f>
        <v/>
      </c>
      <c r="I24" s="22" t="str">
        <f aca="false">IF(Görevler!$F24="","",IF(AND(Görevler!$C24&lt;=(I$4+Ayarlar!$C$6-1),Görevler!$D24&gt;=I$4),IF(I$4&lt;=Görevler!$C24+ROUND(Görevler!$F24*Görevler!$E24,0)-1,2,1),""))</f>
        <v/>
      </c>
      <c r="J24" s="22" t="str">
        <f aca="false">IF(Görevler!$F24="","",IF(AND(Görevler!$C24&lt;=(J$4+Ayarlar!$C$6-1),Görevler!$D24&gt;=J$4),IF(J$4&lt;=Görevler!$C24+ROUND(Görevler!$F24*Görevler!$E24,0)-1,2,1),""))</f>
        <v/>
      </c>
      <c r="K24" s="22" t="str">
        <f aca="false">IF(Görevler!$F24="","",IF(AND(Görevler!$C24&lt;=(K$4+Ayarlar!$C$6-1),Görevler!$D24&gt;=K$4),IF(K$4&lt;=Görevler!$C24+ROUND(Görevler!$F24*Görevler!$E24,0)-1,2,1),""))</f>
        <v/>
      </c>
      <c r="L24" s="22" t="str">
        <f aca="false">IF(Görevler!$F24="","",IF(AND(Görevler!$C24&lt;=(L$4+Ayarlar!$C$6-1),Görevler!$D24&gt;=L$4),IF(L$4&lt;=Görevler!$C24+ROUND(Görevler!$F24*Görevler!$E24,0)-1,2,1),""))</f>
        <v/>
      </c>
      <c r="M24" s="22" t="str">
        <f aca="false">IF(Görevler!$F24="","",IF(AND(Görevler!$C24&lt;=(M$4+Ayarlar!$C$6-1),Görevler!$D24&gt;=M$4),IF(M$4&lt;=Görevler!$C24+ROUND(Görevler!$F24*Görevler!$E24,0)-1,2,1),""))</f>
        <v/>
      </c>
      <c r="N24" s="22" t="str">
        <f aca="false">IF(Görevler!$F24="","",IF(AND(Görevler!$C24&lt;=(N$4+Ayarlar!$C$6-1),Görevler!$D24&gt;=N$4),IF(N$4&lt;=Görevler!$C24+ROUND(Görevler!$F24*Görevler!$E24,0)-1,2,1),""))</f>
        <v/>
      </c>
      <c r="O24" s="22" t="str">
        <f aca="false">IF(Görevler!$F24="","",IF(AND(Görevler!$C24&lt;=(O$4+Ayarlar!$C$6-1),Görevler!$D24&gt;=O$4),IF(O$4&lt;=Görevler!$C24+ROUND(Görevler!$F24*Görevler!$E24,0)-1,2,1),""))</f>
        <v/>
      </c>
      <c r="P24" s="22" t="str">
        <f aca="false">IF(Görevler!$F24="","",IF(AND(Görevler!$C24&lt;=(P$4+Ayarlar!$C$6-1),Görevler!$D24&gt;=P$4),IF(P$4&lt;=Görevler!$C24+ROUND(Görevler!$F24*Görevler!$E24,0)-1,2,1),""))</f>
        <v/>
      </c>
      <c r="Q24" s="22" t="str">
        <f aca="false">IF(Görevler!$F24="","",IF(AND(Görevler!$C24&lt;=(Q$4+Ayarlar!$C$6-1),Görevler!$D24&gt;=Q$4),IF(Q$4&lt;=Görevler!$C24+ROUND(Görevler!$F24*Görevler!$E24,0)-1,2,1),""))</f>
        <v/>
      </c>
      <c r="R24" s="22" t="str">
        <f aca="false">IF(Görevler!$F24="","",IF(AND(Görevler!$C24&lt;=(R$4+Ayarlar!$C$6-1),Görevler!$D24&gt;=R$4),IF(R$4&lt;=Görevler!$C24+ROUND(Görevler!$F24*Görevler!$E24,0)-1,2,1),""))</f>
        <v/>
      </c>
      <c r="S24" s="22" t="str">
        <f aca="false">IF(Görevler!$F24="","",IF(AND(Görevler!$C24&lt;=(S$4+Ayarlar!$C$6-1),Görevler!$D24&gt;=S$4),IF(S$4&lt;=Görevler!$C24+ROUND(Görevler!$F24*Görevler!$E24,0)-1,2,1),""))</f>
        <v/>
      </c>
      <c r="T24" s="22" t="str">
        <f aca="false">IF(Görevler!$F24="","",IF(AND(Görevler!$C24&lt;=(T$4+Ayarlar!$C$6-1),Görevler!$D24&gt;=T$4),IF(T$4&lt;=Görevler!$C24+ROUND(Görevler!$F24*Görevler!$E24,0)-1,2,1),""))</f>
        <v/>
      </c>
      <c r="U24" s="22" t="str">
        <f aca="false">IF(Görevler!$F24="","",IF(AND(Görevler!$C24&lt;=(U$4+Ayarlar!$C$6-1),Görevler!$D24&gt;=U$4),IF(U$4&lt;=Görevler!$C24+ROUND(Görevler!$F24*Görevler!$E24,0)-1,2,1),""))</f>
        <v/>
      </c>
      <c r="V24" s="22" t="str">
        <f aca="false">IF(Görevler!$F24="","",IF(AND(Görevler!$C24&lt;=(V$4+Ayarlar!$C$6-1),Görevler!$D24&gt;=V$4),IF(V$4&lt;=Görevler!$C24+ROUND(Görevler!$F24*Görevler!$E24,0)-1,2,1),""))</f>
        <v/>
      </c>
      <c r="W24" s="22" t="str">
        <f aca="false">IF(Görevler!$F24="","",IF(AND(Görevler!$C24&lt;=(W$4+Ayarlar!$C$6-1),Görevler!$D24&gt;=W$4),IF(W$4&lt;=Görevler!$C24+ROUND(Görevler!$F24*Görevler!$E24,0)-1,2,1),""))</f>
        <v/>
      </c>
      <c r="X24" s="22" t="str">
        <f aca="false">IF(Görevler!$F24="","",IF(AND(Görevler!$C24&lt;=(X$4+Ayarlar!$C$6-1),Görevler!$D24&gt;=X$4),IF(X$4&lt;=Görevler!$C24+ROUND(Görevler!$F24*Görevler!$E24,0)-1,2,1),""))</f>
        <v/>
      </c>
      <c r="Y24" s="22" t="str">
        <f aca="false">IF(Görevler!$F24="","",IF(AND(Görevler!$C24&lt;=(Y$4+Ayarlar!$C$6-1),Görevler!$D24&gt;=Y$4),IF(Y$4&lt;=Görevler!$C24+ROUND(Görevler!$F24*Görevler!$E24,0)-1,2,1),""))</f>
        <v/>
      </c>
      <c r="Z24" s="22" t="str">
        <f aca="false">IF(Görevler!$F24="","",IF(AND(Görevler!$C24&lt;=(Z$4+Ayarlar!$C$6-1),Görevler!$D24&gt;=Z$4),IF(Z$4&lt;=Görevler!$C24+ROUND(Görevler!$F24*Görevler!$E24,0)-1,2,1),""))</f>
        <v/>
      </c>
      <c r="AA24" s="22" t="str">
        <f aca="false">IF(Görevler!$F24="","",IF(AND(Görevler!$C24&lt;=(AA$4+Ayarlar!$C$6-1),Görevler!$D24&gt;=AA$4),IF(AA$4&lt;=Görevler!$C24+ROUND(Görevler!$F24*Görevler!$E24,0)-1,2,1),""))</f>
        <v/>
      </c>
      <c r="AB24" s="22" t="str">
        <f aca="false">IF(Görevler!$F24="","",IF(AND(Görevler!$C24&lt;=(AB$4+Ayarlar!$C$6-1),Görevler!$D24&gt;=AB$4),IF(AB$4&lt;=Görevler!$C24+ROUND(Görevler!$F24*Görevler!$E24,0)-1,2,1),""))</f>
        <v/>
      </c>
      <c r="AC24" s="22" t="str">
        <f aca="false">IF(Görevler!$F24="","",IF(AND(Görevler!$C24&lt;=(AC$4+Ayarlar!$C$6-1),Görevler!$D24&gt;=AC$4),IF(AC$4&lt;=Görevler!$C24+ROUND(Görevler!$F24*Görevler!$E24,0)-1,2,1),""))</f>
        <v/>
      </c>
      <c r="AD24" s="22" t="str">
        <f aca="false">IF(Görevler!$F24="","",IF(AND(Görevler!$C24&lt;=(AD$4+Ayarlar!$C$6-1),Görevler!$D24&gt;=AD$4),IF(AD$4&lt;=Görevler!$C24+ROUND(Görevler!$F24*Görevler!$E24,0)-1,2,1),""))</f>
        <v/>
      </c>
      <c r="AE24" s="22" t="str">
        <f aca="false">IF(Görevler!$F24="","",IF(AND(Görevler!$C24&lt;=(AE$4+Ayarlar!$C$6-1),Görevler!$D24&gt;=AE$4),IF(AE$4&lt;=Görevler!$C24+ROUND(Görevler!$F24*Görevler!$E24,0)-1,2,1),""))</f>
        <v/>
      </c>
      <c r="AF24" s="22" t="str">
        <f aca="false">IF(Görevler!$F24="","",IF(AND(Görevler!$C24&lt;=(AF$4+Ayarlar!$C$6-1),Görevler!$D24&gt;=AF$4),IF(AF$4&lt;=Görevler!$C24+ROUND(Görevler!$F24*Görevler!$E24,0)-1,2,1),""))</f>
        <v/>
      </c>
      <c r="AG24" s="22" t="str">
        <f aca="false">IF(Görevler!$F24="","",IF(AND(Görevler!$C24&lt;=(AG$4+Ayarlar!$C$6-1),Görevler!$D24&gt;=AG$4),IF(AG$4&lt;=Görevler!$C24+ROUND(Görevler!$F24*Görevler!$E24,0)-1,2,1),""))</f>
        <v/>
      </c>
      <c r="AH24" s="22" t="str">
        <f aca="false">IF(Görevler!$F24="","",IF(AND(Görevler!$C24&lt;=(AH$4+Ayarlar!$C$6-1),Görevler!$D24&gt;=AH$4),IF(AH$4&lt;=Görevler!$C24+ROUND(Görevler!$F24*Görevler!$E24,0)-1,2,1),""))</f>
        <v/>
      </c>
      <c r="AI24" s="22" t="str">
        <f aca="false">IF(Görevler!$F24="","",IF(AND(Görevler!$C24&lt;=(AI$4+Ayarlar!$C$6-1),Görevler!$D24&gt;=AI$4),IF(AI$4&lt;=Görevler!$C24+ROUND(Görevler!$F24*Görevler!$E24,0)-1,2,1),""))</f>
        <v/>
      </c>
      <c r="AJ24" s="22" t="str">
        <f aca="false">IF(Görevler!$F24="","",IF(AND(Görevler!$C24&lt;=(AJ$4+Ayarlar!$C$6-1),Görevler!$D24&gt;=AJ$4),IF(AJ$4&lt;=Görevler!$C24+ROUND(Görevler!$F24*Görevler!$E24,0)-1,2,1),""))</f>
        <v/>
      </c>
      <c r="AK24" s="22" t="str">
        <f aca="false">IF(Görevler!$F24="","",IF(AND(Görevler!$C24&lt;=(AK$4+Ayarlar!$C$6-1),Görevler!$D24&gt;=AK$4),IF(AK$4&lt;=Görevler!$C24+ROUND(Görevler!$F24*Görevler!$E24,0)-1,2,1),""))</f>
        <v/>
      </c>
      <c r="AL24" s="22" t="str">
        <f aca="false">IF(Görevler!$F24="","",IF(AND(Görevler!$C24&lt;=(AL$4+Ayarlar!$C$6-1),Görevler!$D24&gt;=AL$4),IF(AL$4&lt;=Görevler!$C24+ROUND(Görevler!$F24*Görevler!$E24,0)-1,2,1),""))</f>
        <v/>
      </c>
      <c r="AM24" s="22" t="str">
        <f aca="false">IF(Görevler!$F24="","",IF(AND(Görevler!$C24&lt;=(AM$4+Ayarlar!$C$6-1),Görevler!$D24&gt;=AM$4),IF(AM$4&lt;=Görevler!$C24+ROUND(Görevler!$F24*Görevler!$E24,0)-1,2,1),""))</f>
        <v/>
      </c>
      <c r="AN24" s="22" t="str">
        <f aca="false">IF(Görevler!$F24="","",IF(AND(Görevler!$C24&lt;=(AN$4+Ayarlar!$C$6-1),Görevler!$D24&gt;=AN$4),IF(AN$4&lt;=Görevler!$C24+ROUND(Görevler!$F24*Görevler!$E24,0)-1,2,1),""))</f>
        <v/>
      </c>
      <c r="AO24" s="22" t="str">
        <f aca="false">IF(Görevler!$F24="","",IF(AND(Görevler!$C24&lt;=(AO$4+Ayarlar!$C$6-1),Görevler!$D24&gt;=AO$4),IF(AO$4&lt;=Görevler!$C24+ROUND(Görevler!$F24*Görevler!$E24,0)-1,2,1),""))</f>
        <v/>
      </c>
      <c r="AP24" s="22" t="str">
        <f aca="false">IF(Görevler!$F24="","",IF(AND(Görevler!$C24&lt;=(AP$4+Ayarlar!$C$6-1),Görevler!$D24&gt;=AP$4),IF(AP$4&lt;=Görevler!$C24+ROUND(Görevler!$F24*Görevler!$E24,0)-1,2,1),""))</f>
        <v/>
      </c>
      <c r="AQ24" s="22" t="str">
        <f aca="false">IF(Görevler!$F24="","",IF(AND(Görevler!$C24&lt;=(AQ$4+Ayarlar!$C$6-1),Görevler!$D24&gt;=AQ$4),IF(AQ$4&lt;=Görevler!$C24+ROUND(Görevler!$F24*Görevler!$E24,0)-1,2,1),""))</f>
        <v/>
      </c>
      <c r="AR24" s="22" t="str">
        <f aca="false">IF(Görevler!$F24="","",IF(AND(Görevler!$C24&lt;=(AR$4+Ayarlar!$C$6-1),Görevler!$D24&gt;=AR$4),IF(AR$4&lt;=Görevler!$C24+ROUND(Görevler!$F24*Görevler!$E24,0)-1,2,1),""))</f>
        <v/>
      </c>
      <c r="AS24" s="22" t="str">
        <f aca="false">IF(Görevler!$F24="","",IF(AND(Görevler!$C24&lt;=(AS$4+Ayarlar!$C$6-1),Görevler!$D24&gt;=AS$4),IF(AS$4&lt;=Görevler!$C24+ROUND(Görevler!$F24*Görevler!$E24,0)-1,2,1),""))</f>
        <v/>
      </c>
      <c r="AT24" s="22" t="str">
        <f aca="false">IF(Görevler!$F24="","",IF(AND(Görevler!$C24&lt;=(AT$4+Ayarlar!$C$6-1),Görevler!$D24&gt;=AT$4),IF(AT$4&lt;=Görevler!$C24+ROUND(Görevler!$F24*Görevler!$E24,0)-1,2,1),""))</f>
        <v/>
      </c>
      <c r="AU24" s="22" t="str">
        <f aca="false">IF(Görevler!$F24="","",IF(AND(Görevler!$C24&lt;=(AU$4+Ayarlar!$C$6-1),Görevler!$D24&gt;=AU$4),IF(AU$4&lt;=Görevler!$C24+ROUND(Görevler!$F24*Görevler!$E24,0)-1,2,1),""))</f>
        <v/>
      </c>
      <c r="AV24" s="22" t="str">
        <f aca="false">IF(Görevler!$F24="","",IF(AND(Görevler!$C24&lt;=(AV$4+Ayarlar!$C$6-1),Görevler!$D24&gt;=AV$4),IF(AV$4&lt;=Görevler!$C24+ROUND(Görevler!$F24*Görevler!$E24,0)-1,2,1),""))</f>
        <v/>
      </c>
      <c r="AW24" s="22" t="str">
        <f aca="false">IF(Görevler!$F24="","",IF(AND(Görevler!$C24&lt;=(AW$4+Ayarlar!$C$6-1),Görevler!$D24&gt;=AW$4),IF(AW$4&lt;=Görevler!$C24+ROUND(Görevler!$F24*Görevler!$E24,0)-1,2,1),""))</f>
        <v/>
      </c>
      <c r="AX24" s="22" t="str">
        <f aca="false">IF(Görevler!$F24="","",IF(AND(Görevler!$C24&lt;=(AX$4+Ayarlar!$C$6-1),Görevler!$D24&gt;=AX$4),IF(AX$4&lt;=Görevler!$C24+ROUND(Görevler!$F24*Görevler!$E24,0)-1,2,1),""))</f>
        <v/>
      </c>
      <c r="AY24" s="22" t="str">
        <f aca="false">IF(Görevler!$F24="","",IF(AND(Görevler!$C24&lt;=(AY$4+Ayarlar!$C$6-1),Görevler!$D24&gt;=AY$4),IF(AY$4&lt;=Görevler!$C24+ROUND(Görevler!$F24*Görevler!$E24,0)-1,2,1),""))</f>
        <v/>
      </c>
      <c r="AZ24" s="22" t="str">
        <f aca="false">IF(Görevler!$F24="","",IF(AND(Görevler!$C24&lt;=(AZ$4+Ayarlar!$C$6-1),Görevler!$D24&gt;=AZ$4),IF(AZ$4&lt;=Görevler!$C24+ROUND(Görevler!$F24*Görevler!$E24,0)-1,2,1),""))</f>
        <v/>
      </c>
      <c r="BA24" s="22" t="str">
        <f aca="false">IF(Görevler!$F24="","",IF(AND(Görevler!$C24&lt;=(BA$4+Ayarlar!$C$6-1),Görevler!$D24&gt;=BA$4),IF(BA$4&lt;=Görevler!$C24+ROUND(Görevler!$F24*Görevler!$E24,0)-1,2,1),""))</f>
        <v/>
      </c>
      <c r="BB24" s="22" t="str">
        <f aca="false">IF(Görevler!$F24="","",IF(AND(Görevler!$C24&lt;=(BB$4+Ayarlar!$C$6-1),Görevler!$D24&gt;=BB$4),IF(BB$4&lt;=Görevler!$C24+ROUND(Görevler!$F24*Görevler!$E24,0)-1,2,1),""))</f>
        <v/>
      </c>
      <c r="BC24" s="22" t="str">
        <f aca="false">IF(Görevler!$F24="","",IF(AND(Görevler!$C24&lt;=(BC$4+Ayarlar!$C$6-1),Görevler!$D24&gt;=BC$4),IF(BC$4&lt;=Görevler!$C24+ROUND(Görevler!$F24*Görevler!$E24,0)-1,2,1),""))</f>
        <v/>
      </c>
      <c r="BD24" s="22" t="str">
        <f aca="false">IF(Görevler!$F24="","",IF(AND(Görevler!$C24&lt;=(BD$4+Ayarlar!$C$6-1),Görevler!$D24&gt;=BD$4),IF(BD$4&lt;=Görevler!$C24+ROUND(Görevler!$F24*Görevler!$E24,0)-1,2,1),""))</f>
        <v/>
      </c>
      <c r="BE24" s="22" t="str">
        <f aca="false">IF(Görevler!$F24="","",IF(AND(Görevler!$C24&lt;=(BE$4+Ayarlar!$C$6-1),Görevler!$D24&gt;=BE$4),IF(BE$4&lt;=Görevler!$C24+ROUND(Görevler!$F24*Görevler!$E24,0)-1,2,1),""))</f>
        <v/>
      </c>
      <c r="BF24" s="22" t="str">
        <f aca="false">IF(Görevler!$F24="","",IF(AND(Görevler!$C24&lt;=(BF$4+Ayarlar!$C$6-1),Görevler!$D24&gt;=BF$4),IF(BF$4&lt;=Görevler!$C24+ROUND(Görevler!$F24*Görevler!$E24,0)-1,2,1),""))</f>
        <v/>
      </c>
      <c r="BG24" s="22" t="str">
        <f aca="false">IF(Görevler!$F24="","",IF(AND(Görevler!$C24&lt;=(BG$4+Ayarlar!$C$6-1),Görevler!$D24&gt;=BG$4),IF(BG$4&lt;=Görevler!$C24+ROUND(Görevler!$F24*Görevler!$E24,0)-1,2,1),""))</f>
        <v/>
      </c>
      <c r="BH24" s="22" t="str">
        <f aca="false">IF(Görevler!$F24="","",IF(AND(Görevler!$C24&lt;=(BH$4+Ayarlar!$C$6-1),Görevler!$D24&gt;=BH$4),IF(BH$4&lt;=Görevler!$C24+ROUND(Görevler!$F24*Görevler!$E24,0)-1,2,1),""))</f>
        <v/>
      </c>
      <c r="BI24" s="22" t="str">
        <f aca="false">IF(Görevler!$F24="","",IF(AND(Görevler!$C24&lt;=(BI$4+Ayarlar!$C$6-1),Görevler!$D24&gt;=BI$4),IF(BI$4&lt;=Görevler!$C24+ROUND(Görevler!$F24*Görevler!$E24,0)-1,2,1),""))</f>
        <v/>
      </c>
      <c r="BJ24" s="22" t="str">
        <f aca="false">IF(Görevler!$F24="","",IF(AND(Görevler!$C24&lt;=(BJ$4+Ayarlar!$C$6-1),Görevler!$D24&gt;=BJ$4),IF(BJ$4&lt;=Görevler!$C24+ROUND(Görevler!$F24*Görevler!$E24,0)-1,2,1),""))</f>
        <v/>
      </c>
    </row>
    <row r="25" customFormat="false" ht="15" hidden="false" customHeight="false" outlineLevel="0" collapsed="false">
      <c r="A25" s="21" t="str">
        <f aca="false">IF(Görevler!A25="","",Görevler!A25)</f>
        <v/>
      </c>
      <c r="B25" s="21" t="str">
        <f aca="false">IF(Görevler!A25="","",Görevler!B25&amp;"")</f>
        <v/>
      </c>
      <c r="C25" s="22" t="str">
        <f aca="false">IF(Görevler!$F25="","",IF(AND(Görevler!$C25&lt;=(C$4+Ayarlar!$C$6-1),Görevler!$D25&gt;=C$4),IF(C$4&lt;=Görevler!$C25+ROUND(Görevler!$F25*Görevler!$E25,0)-1,2,1),""))</f>
        <v/>
      </c>
      <c r="D25" s="22" t="str">
        <f aca="false">IF(Görevler!$F25="","",IF(AND(Görevler!$C25&lt;=(D$4+Ayarlar!$C$6-1),Görevler!$D25&gt;=D$4),IF(D$4&lt;=Görevler!$C25+ROUND(Görevler!$F25*Görevler!$E25,0)-1,2,1),""))</f>
        <v/>
      </c>
      <c r="E25" s="22" t="str">
        <f aca="false">IF(Görevler!$F25="","",IF(AND(Görevler!$C25&lt;=(E$4+Ayarlar!$C$6-1),Görevler!$D25&gt;=E$4),IF(E$4&lt;=Görevler!$C25+ROUND(Görevler!$F25*Görevler!$E25,0)-1,2,1),""))</f>
        <v/>
      </c>
      <c r="F25" s="22" t="str">
        <f aca="false">IF(Görevler!$F25="","",IF(AND(Görevler!$C25&lt;=(F$4+Ayarlar!$C$6-1),Görevler!$D25&gt;=F$4),IF(F$4&lt;=Görevler!$C25+ROUND(Görevler!$F25*Görevler!$E25,0)-1,2,1),""))</f>
        <v/>
      </c>
      <c r="G25" s="22" t="str">
        <f aca="false">IF(Görevler!$F25="","",IF(AND(Görevler!$C25&lt;=(G$4+Ayarlar!$C$6-1),Görevler!$D25&gt;=G$4),IF(G$4&lt;=Görevler!$C25+ROUND(Görevler!$F25*Görevler!$E25,0)-1,2,1),""))</f>
        <v/>
      </c>
      <c r="H25" s="22" t="str">
        <f aca="false">IF(Görevler!$F25="","",IF(AND(Görevler!$C25&lt;=(H$4+Ayarlar!$C$6-1),Görevler!$D25&gt;=H$4),IF(H$4&lt;=Görevler!$C25+ROUND(Görevler!$F25*Görevler!$E25,0)-1,2,1),""))</f>
        <v/>
      </c>
      <c r="I25" s="22" t="str">
        <f aca="false">IF(Görevler!$F25="","",IF(AND(Görevler!$C25&lt;=(I$4+Ayarlar!$C$6-1),Görevler!$D25&gt;=I$4),IF(I$4&lt;=Görevler!$C25+ROUND(Görevler!$F25*Görevler!$E25,0)-1,2,1),""))</f>
        <v/>
      </c>
      <c r="J25" s="22" t="str">
        <f aca="false">IF(Görevler!$F25="","",IF(AND(Görevler!$C25&lt;=(J$4+Ayarlar!$C$6-1),Görevler!$D25&gt;=J$4),IF(J$4&lt;=Görevler!$C25+ROUND(Görevler!$F25*Görevler!$E25,0)-1,2,1),""))</f>
        <v/>
      </c>
      <c r="K25" s="22" t="str">
        <f aca="false">IF(Görevler!$F25="","",IF(AND(Görevler!$C25&lt;=(K$4+Ayarlar!$C$6-1),Görevler!$D25&gt;=K$4),IF(K$4&lt;=Görevler!$C25+ROUND(Görevler!$F25*Görevler!$E25,0)-1,2,1),""))</f>
        <v/>
      </c>
      <c r="L25" s="22" t="str">
        <f aca="false">IF(Görevler!$F25="","",IF(AND(Görevler!$C25&lt;=(L$4+Ayarlar!$C$6-1),Görevler!$D25&gt;=L$4),IF(L$4&lt;=Görevler!$C25+ROUND(Görevler!$F25*Görevler!$E25,0)-1,2,1),""))</f>
        <v/>
      </c>
      <c r="M25" s="22" t="str">
        <f aca="false">IF(Görevler!$F25="","",IF(AND(Görevler!$C25&lt;=(M$4+Ayarlar!$C$6-1),Görevler!$D25&gt;=M$4),IF(M$4&lt;=Görevler!$C25+ROUND(Görevler!$F25*Görevler!$E25,0)-1,2,1),""))</f>
        <v/>
      </c>
      <c r="N25" s="22" t="str">
        <f aca="false">IF(Görevler!$F25="","",IF(AND(Görevler!$C25&lt;=(N$4+Ayarlar!$C$6-1),Görevler!$D25&gt;=N$4),IF(N$4&lt;=Görevler!$C25+ROUND(Görevler!$F25*Görevler!$E25,0)-1,2,1),""))</f>
        <v/>
      </c>
      <c r="O25" s="22" t="str">
        <f aca="false">IF(Görevler!$F25="","",IF(AND(Görevler!$C25&lt;=(O$4+Ayarlar!$C$6-1),Görevler!$D25&gt;=O$4),IF(O$4&lt;=Görevler!$C25+ROUND(Görevler!$F25*Görevler!$E25,0)-1,2,1),""))</f>
        <v/>
      </c>
      <c r="P25" s="22" t="str">
        <f aca="false">IF(Görevler!$F25="","",IF(AND(Görevler!$C25&lt;=(P$4+Ayarlar!$C$6-1),Görevler!$D25&gt;=P$4),IF(P$4&lt;=Görevler!$C25+ROUND(Görevler!$F25*Görevler!$E25,0)-1,2,1),""))</f>
        <v/>
      </c>
      <c r="Q25" s="22" t="str">
        <f aca="false">IF(Görevler!$F25="","",IF(AND(Görevler!$C25&lt;=(Q$4+Ayarlar!$C$6-1),Görevler!$D25&gt;=Q$4),IF(Q$4&lt;=Görevler!$C25+ROUND(Görevler!$F25*Görevler!$E25,0)-1,2,1),""))</f>
        <v/>
      </c>
      <c r="R25" s="22" t="str">
        <f aca="false">IF(Görevler!$F25="","",IF(AND(Görevler!$C25&lt;=(R$4+Ayarlar!$C$6-1),Görevler!$D25&gt;=R$4),IF(R$4&lt;=Görevler!$C25+ROUND(Görevler!$F25*Görevler!$E25,0)-1,2,1),""))</f>
        <v/>
      </c>
      <c r="S25" s="22" t="str">
        <f aca="false">IF(Görevler!$F25="","",IF(AND(Görevler!$C25&lt;=(S$4+Ayarlar!$C$6-1),Görevler!$D25&gt;=S$4),IF(S$4&lt;=Görevler!$C25+ROUND(Görevler!$F25*Görevler!$E25,0)-1,2,1),""))</f>
        <v/>
      </c>
      <c r="T25" s="22" t="str">
        <f aca="false">IF(Görevler!$F25="","",IF(AND(Görevler!$C25&lt;=(T$4+Ayarlar!$C$6-1),Görevler!$D25&gt;=T$4),IF(T$4&lt;=Görevler!$C25+ROUND(Görevler!$F25*Görevler!$E25,0)-1,2,1),""))</f>
        <v/>
      </c>
      <c r="U25" s="22" t="str">
        <f aca="false">IF(Görevler!$F25="","",IF(AND(Görevler!$C25&lt;=(U$4+Ayarlar!$C$6-1),Görevler!$D25&gt;=U$4),IF(U$4&lt;=Görevler!$C25+ROUND(Görevler!$F25*Görevler!$E25,0)-1,2,1),""))</f>
        <v/>
      </c>
      <c r="V25" s="22" t="str">
        <f aca="false">IF(Görevler!$F25="","",IF(AND(Görevler!$C25&lt;=(V$4+Ayarlar!$C$6-1),Görevler!$D25&gt;=V$4),IF(V$4&lt;=Görevler!$C25+ROUND(Görevler!$F25*Görevler!$E25,0)-1,2,1),""))</f>
        <v/>
      </c>
      <c r="W25" s="22" t="str">
        <f aca="false">IF(Görevler!$F25="","",IF(AND(Görevler!$C25&lt;=(W$4+Ayarlar!$C$6-1),Görevler!$D25&gt;=W$4),IF(W$4&lt;=Görevler!$C25+ROUND(Görevler!$F25*Görevler!$E25,0)-1,2,1),""))</f>
        <v/>
      </c>
      <c r="X25" s="22" t="str">
        <f aca="false">IF(Görevler!$F25="","",IF(AND(Görevler!$C25&lt;=(X$4+Ayarlar!$C$6-1),Görevler!$D25&gt;=X$4),IF(X$4&lt;=Görevler!$C25+ROUND(Görevler!$F25*Görevler!$E25,0)-1,2,1),""))</f>
        <v/>
      </c>
      <c r="Y25" s="22" t="str">
        <f aca="false">IF(Görevler!$F25="","",IF(AND(Görevler!$C25&lt;=(Y$4+Ayarlar!$C$6-1),Görevler!$D25&gt;=Y$4),IF(Y$4&lt;=Görevler!$C25+ROUND(Görevler!$F25*Görevler!$E25,0)-1,2,1),""))</f>
        <v/>
      </c>
      <c r="Z25" s="22" t="str">
        <f aca="false">IF(Görevler!$F25="","",IF(AND(Görevler!$C25&lt;=(Z$4+Ayarlar!$C$6-1),Görevler!$D25&gt;=Z$4),IF(Z$4&lt;=Görevler!$C25+ROUND(Görevler!$F25*Görevler!$E25,0)-1,2,1),""))</f>
        <v/>
      </c>
      <c r="AA25" s="22" t="str">
        <f aca="false">IF(Görevler!$F25="","",IF(AND(Görevler!$C25&lt;=(AA$4+Ayarlar!$C$6-1),Görevler!$D25&gt;=AA$4),IF(AA$4&lt;=Görevler!$C25+ROUND(Görevler!$F25*Görevler!$E25,0)-1,2,1),""))</f>
        <v/>
      </c>
      <c r="AB25" s="22" t="str">
        <f aca="false">IF(Görevler!$F25="","",IF(AND(Görevler!$C25&lt;=(AB$4+Ayarlar!$C$6-1),Görevler!$D25&gt;=AB$4),IF(AB$4&lt;=Görevler!$C25+ROUND(Görevler!$F25*Görevler!$E25,0)-1,2,1),""))</f>
        <v/>
      </c>
      <c r="AC25" s="22" t="str">
        <f aca="false">IF(Görevler!$F25="","",IF(AND(Görevler!$C25&lt;=(AC$4+Ayarlar!$C$6-1),Görevler!$D25&gt;=AC$4),IF(AC$4&lt;=Görevler!$C25+ROUND(Görevler!$F25*Görevler!$E25,0)-1,2,1),""))</f>
        <v/>
      </c>
      <c r="AD25" s="22" t="str">
        <f aca="false">IF(Görevler!$F25="","",IF(AND(Görevler!$C25&lt;=(AD$4+Ayarlar!$C$6-1),Görevler!$D25&gt;=AD$4),IF(AD$4&lt;=Görevler!$C25+ROUND(Görevler!$F25*Görevler!$E25,0)-1,2,1),""))</f>
        <v/>
      </c>
      <c r="AE25" s="22" t="str">
        <f aca="false">IF(Görevler!$F25="","",IF(AND(Görevler!$C25&lt;=(AE$4+Ayarlar!$C$6-1),Görevler!$D25&gt;=AE$4),IF(AE$4&lt;=Görevler!$C25+ROUND(Görevler!$F25*Görevler!$E25,0)-1,2,1),""))</f>
        <v/>
      </c>
      <c r="AF25" s="22" t="str">
        <f aca="false">IF(Görevler!$F25="","",IF(AND(Görevler!$C25&lt;=(AF$4+Ayarlar!$C$6-1),Görevler!$D25&gt;=AF$4),IF(AF$4&lt;=Görevler!$C25+ROUND(Görevler!$F25*Görevler!$E25,0)-1,2,1),""))</f>
        <v/>
      </c>
      <c r="AG25" s="22" t="str">
        <f aca="false">IF(Görevler!$F25="","",IF(AND(Görevler!$C25&lt;=(AG$4+Ayarlar!$C$6-1),Görevler!$D25&gt;=AG$4),IF(AG$4&lt;=Görevler!$C25+ROUND(Görevler!$F25*Görevler!$E25,0)-1,2,1),""))</f>
        <v/>
      </c>
      <c r="AH25" s="22" t="str">
        <f aca="false">IF(Görevler!$F25="","",IF(AND(Görevler!$C25&lt;=(AH$4+Ayarlar!$C$6-1),Görevler!$D25&gt;=AH$4),IF(AH$4&lt;=Görevler!$C25+ROUND(Görevler!$F25*Görevler!$E25,0)-1,2,1),""))</f>
        <v/>
      </c>
      <c r="AI25" s="22" t="str">
        <f aca="false">IF(Görevler!$F25="","",IF(AND(Görevler!$C25&lt;=(AI$4+Ayarlar!$C$6-1),Görevler!$D25&gt;=AI$4),IF(AI$4&lt;=Görevler!$C25+ROUND(Görevler!$F25*Görevler!$E25,0)-1,2,1),""))</f>
        <v/>
      </c>
      <c r="AJ25" s="22" t="str">
        <f aca="false">IF(Görevler!$F25="","",IF(AND(Görevler!$C25&lt;=(AJ$4+Ayarlar!$C$6-1),Görevler!$D25&gt;=AJ$4),IF(AJ$4&lt;=Görevler!$C25+ROUND(Görevler!$F25*Görevler!$E25,0)-1,2,1),""))</f>
        <v/>
      </c>
      <c r="AK25" s="22" t="str">
        <f aca="false">IF(Görevler!$F25="","",IF(AND(Görevler!$C25&lt;=(AK$4+Ayarlar!$C$6-1),Görevler!$D25&gt;=AK$4),IF(AK$4&lt;=Görevler!$C25+ROUND(Görevler!$F25*Görevler!$E25,0)-1,2,1),""))</f>
        <v/>
      </c>
      <c r="AL25" s="22" t="str">
        <f aca="false">IF(Görevler!$F25="","",IF(AND(Görevler!$C25&lt;=(AL$4+Ayarlar!$C$6-1),Görevler!$D25&gt;=AL$4),IF(AL$4&lt;=Görevler!$C25+ROUND(Görevler!$F25*Görevler!$E25,0)-1,2,1),""))</f>
        <v/>
      </c>
      <c r="AM25" s="22" t="str">
        <f aca="false">IF(Görevler!$F25="","",IF(AND(Görevler!$C25&lt;=(AM$4+Ayarlar!$C$6-1),Görevler!$D25&gt;=AM$4),IF(AM$4&lt;=Görevler!$C25+ROUND(Görevler!$F25*Görevler!$E25,0)-1,2,1),""))</f>
        <v/>
      </c>
      <c r="AN25" s="22" t="str">
        <f aca="false">IF(Görevler!$F25="","",IF(AND(Görevler!$C25&lt;=(AN$4+Ayarlar!$C$6-1),Görevler!$D25&gt;=AN$4),IF(AN$4&lt;=Görevler!$C25+ROUND(Görevler!$F25*Görevler!$E25,0)-1,2,1),""))</f>
        <v/>
      </c>
      <c r="AO25" s="22" t="str">
        <f aca="false">IF(Görevler!$F25="","",IF(AND(Görevler!$C25&lt;=(AO$4+Ayarlar!$C$6-1),Görevler!$D25&gt;=AO$4),IF(AO$4&lt;=Görevler!$C25+ROUND(Görevler!$F25*Görevler!$E25,0)-1,2,1),""))</f>
        <v/>
      </c>
      <c r="AP25" s="22" t="str">
        <f aca="false">IF(Görevler!$F25="","",IF(AND(Görevler!$C25&lt;=(AP$4+Ayarlar!$C$6-1),Görevler!$D25&gt;=AP$4),IF(AP$4&lt;=Görevler!$C25+ROUND(Görevler!$F25*Görevler!$E25,0)-1,2,1),""))</f>
        <v/>
      </c>
      <c r="AQ25" s="22" t="str">
        <f aca="false">IF(Görevler!$F25="","",IF(AND(Görevler!$C25&lt;=(AQ$4+Ayarlar!$C$6-1),Görevler!$D25&gt;=AQ$4),IF(AQ$4&lt;=Görevler!$C25+ROUND(Görevler!$F25*Görevler!$E25,0)-1,2,1),""))</f>
        <v/>
      </c>
      <c r="AR25" s="22" t="str">
        <f aca="false">IF(Görevler!$F25="","",IF(AND(Görevler!$C25&lt;=(AR$4+Ayarlar!$C$6-1),Görevler!$D25&gt;=AR$4),IF(AR$4&lt;=Görevler!$C25+ROUND(Görevler!$F25*Görevler!$E25,0)-1,2,1),""))</f>
        <v/>
      </c>
      <c r="AS25" s="22" t="str">
        <f aca="false">IF(Görevler!$F25="","",IF(AND(Görevler!$C25&lt;=(AS$4+Ayarlar!$C$6-1),Görevler!$D25&gt;=AS$4),IF(AS$4&lt;=Görevler!$C25+ROUND(Görevler!$F25*Görevler!$E25,0)-1,2,1),""))</f>
        <v/>
      </c>
      <c r="AT25" s="22" t="str">
        <f aca="false">IF(Görevler!$F25="","",IF(AND(Görevler!$C25&lt;=(AT$4+Ayarlar!$C$6-1),Görevler!$D25&gt;=AT$4),IF(AT$4&lt;=Görevler!$C25+ROUND(Görevler!$F25*Görevler!$E25,0)-1,2,1),""))</f>
        <v/>
      </c>
      <c r="AU25" s="22" t="str">
        <f aca="false">IF(Görevler!$F25="","",IF(AND(Görevler!$C25&lt;=(AU$4+Ayarlar!$C$6-1),Görevler!$D25&gt;=AU$4),IF(AU$4&lt;=Görevler!$C25+ROUND(Görevler!$F25*Görevler!$E25,0)-1,2,1),""))</f>
        <v/>
      </c>
      <c r="AV25" s="22" t="str">
        <f aca="false">IF(Görevler!$F25="","",IF(AND(Görevler!$C25&lt;=(AV$4+Ayarlar!$C$6-1),Görevler!$D25&gt;=AV$4),IF(AV$4&lt;=Görevler!$C25+ROUND(Görevler!$F25*Görevler!$E25,0)-1,2,1),""))</f>
        <v/>
      </c>
      <c r="AW25" s="22" t="str">
        <f aca="false">IF(Görevler!$F25="","",IF(AND(Görevler!$C25&lt;=(AW$4+Ayarlar!$C$6-1),Görevler!$D25&gt;=AW$4),IF(AW$4&lt;=Görevler!$C25+ROUND(Görevler!$F25*Görevler!$E25,0)-1,2,1),""))</f>
        <v/>
      </c>
      <c r="AX25" s="22" t="str">
        <f aca="false">IF(Görevler!$F25="","",IF(AND(Görevler!$C25&lt;=(AX$4+Ayarlar!$C$6-1),Görevler!$D25&gt;=AX$4),IF(AX$4&lt;=Görevler!$C25+ROUND(Görevler!$F25*Görevler!$E25,0)-1,2,1),""))</f>
        <v/>
      </c>
      <c r="AY25" s="22" t="str">
        <f aca="false">IF(Görevler!$F25="","",IF(AND(Görevler!$C25&lt;=(AY$4+Ayarlar!$C$6-1),Görevler!$D25&gt;=AY$4),IF(AY$4&lt;=Görevler!$C25+ROUND(Görevler!$F25*Görevler!$E25,0)-1,2,1),""))</f>
        <v/>
      </c>
      <c r="AZ25" s="22" t="str">
        <f aca="false">IF(Görevler!$F25="","",IF(AND(Görevler!$C25&lt;=(AZ$4+Ayarlar!$C$6-1),Görevler!$D25&gt;=AZ$4),IF(AZ$4&lt;=Görevler!$C25+ROUND(Görevler!$F25*Görevler!$E25,0)-1,2,1),""))</f>
        <v/>
      </c>
      <c r="BA25" s="22" t="str">
        <f aca="false">IF(Görevler!$F25="","",IF(AND(Görevler!$C25&lt;=(BA$4+Ayarlar!$C$6-1),Görevler!$D25&gt;=BA$4),IF(BA$4&lt;=Görevler!$C25+ROUND(Görevler!$F25*Görevler!$E25,0)-1,2,1),""))</f>
        <v/>
      </c>
      <c r="BB25" s="22" t="str">
        <f aca="false">IF(Görevler!$F25="","",IF(AND(Görevler!$C25&lt;=(BB$4+Ayarlar!$C$6-1),Görevler!$D25&gt;=BB$4),IF(BB$4&lt;=Görevler!$C25+ROUND(Görevler!$F25*Görevler!$E25,0)-1,2,1),""))</f>
        <v/>
      </c>
      <c r="BC25" s="22" t="str">
        <f aca="false">IF(Görevler!$F25="","",IF(AND(Görevler!$C25&lt;=(BC$4+Ayarlar!$C$6-1),Görevler!$D25&gt;=BC$4),IF(BC$4&lt;=Görevler!$C25+ROUND(Görevler!$F25*Görevler!$E25,0)-1,2,1),""))</f>
        <v/>
      </c>
      <c r="BD25" s="22" t="str">
        <f aca="false">IF(Görevler!$F25="","",IF(AND(Görevler!$C25&lt;=(BD$4+Ayarlar!$C$6-1),Görevler!$D25&gt;=BD$4),IF(BD$4&lt;=Görevler!$C25+ROUND(Görevler!$F25*Görevler!$E25,0)-1,2,1),""))</f>
        <v/>
      </c>
      <c r="BE25" s="22" t="str">
        <f aca="false">IF(Görevler!$F25="","",IF(AND(Görevler!$C25&lt;=(BE$4+Ayarlar!$C$6-1),Görevler!$D25&gt;=BE$4),IF(BE$4&lt;=Görevler!$C25+ROUND(Görevler!$F25*Görevler!$E25,0)-1,2,1),""))</f>
        <v/>
      </c>
      <c r="BF25" s="22" t="str">
        <f aca="false">IF(Görevler!$F25="","",IF(AND(Görevler!$C25&lt;=(BF$4+Ayarlar!$C$6-1),Görevler!$D25&gt;=BF$4),IF(BF$4&lt;=Görevler!$C25+ROUND(Görevler!$F25*Görevler!$E25,0)-1,2,1),""))</f>
        <v/>
      </c>
      <c r="BG25" s="22" t="str">
        <f aca="false">IF(Görevler!$F25="","",IF(AND(Görevler!$C25&lt;=(BG$4+Ayarlar!$C$6-1),Görevler!$D25&gt;=BG$4),IF(BG$4&lt;=Görevler!$C25+ROUND(Görevler!$F25*Görevler!$E25,0)-1,2,1),""))</f>
        <v/>
      </c>
      <c r="BH25" s="22" t="str">
        <f aca="false">IF(Görevler!$F25="","",IF(AND(Görevler!$C25&lt;=(BH$4+Ayarlar!$C$6-1),Görevler!$D25&gt;=BH$4),IF(BH$4&lt;=Görevler!$C25+ROUND(Görevler!$F25*Görevler!$E25,0)-1,2,1),""))</f>
        <v/>
      </c>
      <c r="BI25" s="22" t="str">
        <f aca="false">IF(Görevler!$F25="","",IF(AND(Görevler!$C25&lt;=(BI$4+Ayarlar!$C$6-1),Görevler!$D25&gt;=BI$4),IF(BI$4&lt;=Görevler!$C25+ROUND(Görevler!$F25*Görevler!$E25,0)-1,2,1),""))</f>
        <v/>
      </c>
      <c r="BJ25" s="22" t="str">
        <f aca="false">IF(Görevler!$F25="","",IF(AND(Görevler!$C25&lt;=(BJ$4+Ayarlar!$C$6-1),Görevler!$D25&gt;=BJ$4),IF(BJ$4&lt;=Görevler!$C25+ROUND(Görevler!$F25*Görevler!$E25,0)-1,2,1),""))</f>
        <v/>
      </c>
    </row>
    <row r="26" customFormat="false" ht="15" hidden="false" customHeight="false" outlineLevel="0" collapsed="false">
      <c r="A26" s="21" t="str">
        <f aca="false">IF(Görevler!A26="","",Görevler!A26)</f>
        <v/>
      </c>
      <c r="B26" s="21" t="str">
        <f aca="false">IF(Görevler!A26="","",Görevler!B26&amp;"")</f>
        <v/>
      </c>
      <c r="C26" s="22" t="str">
        <f aca="false">IF(Görevler!$F26="","",IF(AND(Görevler!$C26&lt;=(C$4+Ayarlar!$C$6-1),Görevler!$D26&gt;=C$4),IF(C$4&lt;=Görevler!$C26+ROUND(Görevler!$F26*Görevler!$E26,0)-1,2,1),""))</f>
        <v/>
      </c>
      <c r="D26" s="22" t="str">
        <f aca="false">IF(Görevler!$F26="","",IF(AND(Görevler!$C26&lt;=(D$4+Ayarlar!$C$6-1),Görevler!$D26&gt;=D$4),IF(D$4&lt;=Görevler!$C26+ROUND(Görevler!$F26*Görevler!$E26,0)-1,2,1),""))</f>
        <v/>
      </c>
      <c r="E26" s="22" t="str">
        <f aca="false">IF(Görevler!$F26="","",IF(AND(Görevler!$C26&lt;=(E$4+Ayarlar!$C$6-1),Görevler!$D26&gt;=E$4),IF(E$4&lt;=Görevler!$C26+ROUND(Görevler!$F26*Görevler!$E26,0)-1,2,1),""))</f>
        <v/>
      </c>
      <c r="F26" s="22" t="str">
        <f aca="false">IF(Görevler!$F26="","",IF(AND(Görevler!$C26&lt;=(F$4+Ayarlar!$C$6-1),Görevler!$D26&gt;=F$4),IF(F$4&lt;=Görevler!$C26+ROUND(Görevler!$F26*Görevler!$E26,0)-1,2,1),""))</f>
        <v/>
      </c>
      <c r="G26" s="22" t="str">
        <f aca="false">IF(Görevler!$F26="","",IF(AND(Görevler!$C26&lt;=(G$4+Ayarlar!$C$6-1),Görevler!$D26&gt;=G$4),IF(G$4&lt;=Görevler!$C26+ROUND(Görevler!$F26*Görevler!$E26,0)-1,2,1),""))</f>
        <v/>
      </c>
      <c r="H26" s="22" t="str">
        <f aca="false">IF(Görevler!$F26="","",IF(AND(Görevler!$C26&lt;=(H$4+Ayarlar!$C$6-1),Görevler!$D26&gt;=H$4),IF(H$4&lt;=Görevler!$C26+ROUND(Görevler!$F26*Görevler!$E26,0)-1,2,1),""))</f>
        <v/>
      </c>
      <c r="I26" s="22" t="str">
        <f aca="false">IF(Görevler!$F26="","",IF(AND(Görevler!$C26&lt;=(I$4+Ayarlar!$C$6-1),Görevler!$D26&gt;=I$4),IF(I$4&lt;=Görevler!$C26+ROUND(Görevler!$F26*Görevler!$E26,0)-1,2,1),""))</f>
        <v/>
      </c>
      <c r="J26" s="22" t="str">
        <f aca="false">IF(Görevler!$F26="","",IF(AND(Görevler!$C26&lt;=(J$4+Ayarlar!$C$6-1),Görevler!$D26&gt;=J$4),IF(J$4&lt;=Görevler!$C26+ROUND(Görevler!$F26*Görevler!$E26,0)-1,2,1),""))</f>
        <v/>
      </c>
      <c r="K26" s="22" t="str">
        <f aca="false">IF(Görevler!$F26="","",IF(AND(Görevler!$C26&lt;=(K$4+Ayarlar!$C$6-1),Görevler!$D26&gt;=K$4),IF(K$4&lt;=Görevler!$C26+ROUND(Görevler!$F26*Görevler!$E26,0)-1,2,1),""))</f>
        <v/>
      </c>
      <c r="L26" s="22" t="str">
        <f aca="false">IF(Görevler!$F26="","",IF(AND(Görevler!$C26&lt;=(L$4+Ayarlar!$C$6-1),Görevler!$D26&gt;=L$4),IF(L$4&lt;=Görevler!$C26+ROUND(Görevler!$F26*Görevler!$E26,0)-1,2,1),""))</f>
        <v/>
      </c>
      <c r="M26" s="22" t="str">
        <f aca="false">IF(Görevler!$F26="","",IF(AND(Görevler!$C26&lt;=(M$4+Ayarlar!$C$6-1),Görevler!$D26&gt;=M$4),IF(M$4&lt;=Görevler!$C26+ROUND(Görevler!$F26*Görevler!$E26,0)-1,2,1),""))</f>
        <v/>
      </c>
      <c r="N26" s="22" t="str">
        <f aca="false">IF(Görevler!$F26="","",IF(AND(Görevler!$C26&lt;=(N$4+Ayarlar!$C$6-1),Görevler!$D26&gt;=N$4),IF(N$4&lt;=Görevler!$C26+ROUND(Görevler!$F26*Görevler!$E26,0)-1,2,1),""))</f>
        <v/>
      </c>
      <c r="O26" s="22" t="str">
        <f aca="false">IF(Görevler!$F26="","",IF(AND(Görevler!$C26&lt;=(O$4+Ayarlar!$C$6-1),Görevler!$D26&gt;=O$4),IF(O$4&lt;=Görevler!$C26+ROUND(Görevler!$F26*Görevler!$E26,0)-1,2,1),""))</f>
        <v/>
      </c>
      <c r="P26" s="22" t="str">
        <f aca="false">IF(Görevler!$F26="","",IF(AND(Görevler!$C26&lt;=(P$4+Ayarlar!$C$6-1),Görevler!$D26&gt;=P$4),IF(P$4&lt;=Görevler!$C26+ROUND(Görevler!$F26*Görevler!$E26,0)-1,2,1),""))</f>
        <v/>
      </c>
      <c r="Q26" s="22" t="str">
        <f aca="false">IF(Görevler!$F26="","",IF(AND(Görevler!$C26&lt;=(Q$4+Ayarlar!$C$6-1),Görevler!$D26&gt;=Q$4),IF(Q$4&lt;=Görevler!$C26+ROUND(Görevler!$F26*Görevler!$E26,0)-1,2,1),""))</f>
        <v/>
      </c>
      <c r="R26" s="22" t="str">
        <f aca="false">IF(Görevler!$F26="","",IF(AND(Görevler!$C26&lt;=(R$4+Ayarlar!$C$6-1),Görevler!$D26&gt;=R$4),IF(R$4&lt;=Görevler!$C26+ROUND(Görevler!$F26*Görevler!$E26,0)-1,2,1),""))</f>
        <v/>
      </c>
      <c r="S26" s="22" t="str">
        <f aca="false">IF(Görevler!$F26="","",IF(AND(Görevler!$C26&lt;=(S$4+Ayarlar!$C$6-1),Görevler!$D26&gt;=S$4),IF(S$4&lt;=Görevler!$C26+ROUND(Görevler!$F26*Görevler!$E26,0)-1,2,1),""))</f>
        <v/>
      </c>
      <c r="T26" s="22" t="str">
        <f aca="false">IF(Görevler!$F26="","",IF(AND(Görevler!$C26&lt;=(T$4+Ayarlar!$C$6-1),Görevler!$D26&gt;=T$4),IF(T$4&lt;=Görevler!$C26+ROUND(Görevler!$F26*Görevler!$E26,0)-1,2,1),""))</f>
        <v/>
      </c>
      <c r="U26" s="22" t="str">
        <f aca="false">IF(Görevler!$F26="","",IF(AND(Görevler!$C26&lt;=(U$4+Ayarlar!$C$6-1),Görevler!$D26&gt;=U$4),IF(U$4&lt;=Görevler!$C26+ROUND(Görevler!$F26*Görevler!$E26,0)-1,2,1),""))</f>
        <v/>
      </c>
      <c r="V26" s="22" t="str">
        <f aca="false">IF(Görevler!$F26="","",IF(AND(Görevler!$C26&lt;=(V$4+Ayarlar!$C$6-1),Görevler!$D26&gt;=V$4),IF(V$4&lt;=Görevler!$C26+ROUND(Görevler!$F26*Görevler!$E26,0)-1,2,1),""))</f>
        <v/>
      </c>
      <c r="W26" s="22" t="str">
        <f aca="false">IF(Görevler!$F26="","",IF(AND(Görevler!$C26&lt;=(W$4+Ayarlar!$C$6-1),Görevler!$D26&gt;=W$4),IF(W$4&lt;=Görevler!$C26+ROUND(Görevler!$F26*Görevler!$E26,0)-1,2,1),""))</f>
        <v/>
      </c>
      <c r="X26" s="22" t="str">
        <f aca="false">IF(Görevler!$F26="","",IF(AND(Görevler!$C26&lt;=(X$4+Ayarlar!$C$6-1),Görevler!$D26&gt;=X$4),IF(X$4&lt;=Görevler!$C26+ROUND(Görevler!$F26*Görevler!$E26,0)-1,2,1),""))</f>
        <v/>
      </c>
      <c r="Y26" s="22" t="str">
        <f aca="false">IF(Görevler!$F26="","",IF(AND(Görevler!$C26&lt;=(Y$4+Ayarlar!$C$6-1),Görevler!$D26&gt;=Y$4),IF(Y$4&lt;=Görevler!$C26+ROUND(Görevler!$F26*Görevler!$E26,0)-1,2,1),""))</f>
        <v/>
      </c>
      <c r="Z26" s="22" t="str">
        <f aca="false">IF(Görevler!$F26="","",IF(AND(Görevler!$C26&lt;=(Z$4+Ayarlar!$C$6-1),Görevler!$D26&gt;=Z$4),IF(Z$4&lt;=Görevler!$C26+ROUND(Görevler!$F26*Görevler!$E26,0)-1,2,1),""))</f>
        <v/>
      </c>
      <c r="AA26" s="22" t="str">
        <f aca="false">IF(Görevler!$F26="","",IF(AND(Görevler!$C26&lt;=(AA$4+Ayarlar!$C$6-1),Görevler!$D26&gt;=AA$4),IF(AA$4&lt;=Görevler!$C26+ROUND(Görevler!$F26*Görevler!$E26,0)-1,2,1),""))</f>
        <v/>
      </c>
      <c r="AB26" s="22" t="str">
        <f aca="false">IF(Görevler!$F26="","",IF(AND(Görevler!$C26&lt;=(AB$4+Ayarlar!$C$6-1),Görevler!$D26&gt;=AB$4),IF(AB$4&lt;=Görevler!$C26+ROUND(Görevler!$F26*Görevler!$E26,0)-1,2,1),""))</f>
        <v/>
      </c>
      <c r="AC26" s="22" t="str">
        <f aca="false">IF(Görevler!$F26="","",IF(AND(Görevler!$C26&lt;=(AC$4+Ayarlar!$C$6-1),Görevler!$D26&gt;=AC$4),IF(AC$4&lt;=Görevler!$C26+ROUND(Görevler!$F26*Görevler!$E26,0)-1,2,1),""))</f>
        <v/>
      </c>
      <c r="AD26" s="22" t="str">
        <f aca="false">IF(Görevler!$F26="","",IF(AND(Görevler!$C26&lt;=(AD$4+Ayarlar!$C$6-1),Görevler!$D26&gt;=AD$4),IF(AD$4&lt;=Görevler!$C26+ROUND(Görevler!$F26*Görevler!$E26,0)-1,2,1),""))</f>
        <v/>
      </c>
      <c r="AE26" s="22" t="str">
        <f aca="false">IF(Görevler!$F26="","",IF(AND(Görevler!$C26&lt;=(AE$4+Ayarlar!$C$6-1),Görevler!$D26&gt;=AE$4),IF(AE$4&lt;=Görevler!$C26+ROUND(Görevler!$F26*Görevler!$E26,0)-1,2,1),""))</f>
        <v/>
      </c>
      <c r="AF26" s="22" t="str">
        <f aca="false">IF(Görevler!$F26="","",IF(AND(Görevler!$C26&lt;=(AF$4+Ayarlar!$C$6-1),Görevler!$D26&gt;=AF$4),IF(AF$4&lt;=Görevler!$C26+ROUND(Görevler!$F26*Görevler!$E26,0)-1,2,1),""))</f>
        <v/>
      </c>
      <c r="AG26" s="22" t="str">
        <f aca="false">IF(Görevler!$F26="","",IF(AND(Görevler!$C26&lt;=(AG$4+Ayarlar!$C$6-1),Görevler!$D26&gt;=AG$4),IF(AG$4&lt;=Görevler!$C26+ROUND(Görevler!$F26*Görevler!$E26,0)-1,2,1),""))</f>
        <v/>
      </c>
      <c r="AH26" s="22" t="str">
        <f aca="false">IF(Görevler!$F26="","",IF(AND(Görevler!$C26&lt;=(AH$4+Ayarlar!$C$6-1),Görevler!$D26&gt;=AH$4),IF(AH$4&lt;=Görevler!$C26+ROUND(Görevler!$F26*Görevler!$E26,0)-1,2,1),""))</f>
        <v/>
      </c>
      <c r="AI26" s="22" t="str">
        <f aca="false">IF(Görevler!$F26="","",IF(AND(Görevler!$C26&lt;=(AI$4+Ayarlar!$C$6-1),Görevler!$D26&gt;=AI$4),IF(AI$4&lt;=Görevler!$C26+ROUND(Görevler!$F26*Görevler!$E26,0)-1,2,1),""))</f>
        <v/>
      </c>
      <c r="AJ26" s="22" t="str">
        <f aca="false">IF(Görevler!$F26="","",IF(AND(Görevler!$C26&lt;=(AJ$4+Ayarlar!$C$6-1),Görevler!$D26&gt;=AJ$4),IF(AJ$4&lt;=Görevler!$C26+ROUND(Görevler!$F26*Görevler!$E26,0)-1,2,1),""))</f>
        <v/>
      </c>
      <c r="AK26" s="22" t="str">
        <f aca="false">IF(Görevler!$F26="","",IF(AND(Görevler!$C26&lt;=(AK$4+Ayarlar!$C$6-1),Görevler!$D26&gt;=AK$4),IF(AK$4&lt;=Görevler!$C26+ROUND(Görevler!$F26*Görevler!$E26,0)-1,2,1),""))</f>
        <v/>
      </c>
      <c r="AL26" s="22" t="str">
        <f aca="false">IF(Görevler!$F26="","",IF(AND(Görevler!$C26&lt;=(AL$4+Ayarlar!$C$6-1),Görevler!$D26&gt;=AL$4),IF(AL$4&lt;=Görevler!$C26+ROUND(Görevler!$F26*Görevler!$E26,0)-1,2,1),""))</f>
        <v/>
      </c>
      <c r="AM26" s="22" t="str">
        <f aca="false">IF(Görevler!$F26="","",IF(AND(Görevler!$C26&lt;=(AM$4+Ayarlar!$C$6-1),Görevler!$D26&gt;=AM$4),IF(AM$4&lt;=Görevler!$C26+ROUND(Görevler!$F26*Görevler!$E26,0)-1,2,1),""))</f>
        <v/>
      </c>
      <c r="AN26" s="22" t="str">
        <f aca="false">IF(Görevler!$F26="","",IF(AND(Görevler!$C26&lt;=(AN$4+Ayarlar!$C$6-1),Görevler!$D26&gt;=AN$4),IF(AN$4&lt;=Görevler!$C26+ROUND(Görevler!$F26*Görevler!$E26,0)-1,2,1),""))</f>
        <v/>
      </c>
      <c r="AO26" s="22" t="str">
        <f aca="false">IF(Görevler!$F26="","",IF(AND(Görevler!$C26&lt;=(AO$4+Ayarlar!$C$6-1),Görevler!$D26&gt;=AO$4),IF(AO$4&lt;=Görevler!$C26+ROUND(Görevler!$F26*Görevler!$E26,0)-1,2,1),""))</f>
        <v/>
      </c>
      <c r="AP26" s="22" t="str">
        <f aca="false">IF(Görevler!$F26="","",IF(AND(Görevler!$C26&lt;=(AP$4+Ayarlar!$C$6-1),Görevler!$D26&gt;=AP$4),IF(AP$4&lt;=Görevler!$C26+ROUND(Görevler!$F26*Görevler!$E26,0)-1,2,1),""))</f>
        <v/>
      </c>
      <c r="AQ26" s="22" t="str">
        <f aca="false">IF(Görevler!$F26="","",IF(AND(Görevler!$C26&lt;=(AQ$4+Ayarlar!$C$6-1),Görevler!$D26&gt;=AQ$4),IF(AQ$4&lt;=Görevler!$C26+ROUND(Görevler!$F26*Görevler!$E26,0)-1,2,1),""))</f>
        <v/>
      </c>
      <c r="AR26" s="22" t="str">
        <f aca="false">IF(Görevler!$F26="","",IF(AND(Görevler!$C26&lt;=(AR$4+Ayarlar!$C$6-1),Görevler!$D26&gt;=AR$4),IF(AR$4&lt;=Görevler!$C26+ROUND(Görevler!$F26*Görevler!$E26,0)-1,2,1),""))</f>
        <v/>
      </c>
      <c r="AS26" s="22" t="str">
        <f aca="false">IF(Görevler!$F26="","",IF(AND(Görevler!$C26&lt;=(AS$4+Ayarlar!$C$6-1),Görevler!$D26&gt;=AS$4),IF(AS$4&lt;=Görevler!$C26+ROUND(Görevler!$F26*Görevler!$E26,0)-1,2,1),""))</f>
        <v/>
      </c>
      <c r="AT26" s="22" t="str">
        <f aca="false">IF(Görevler!$F26="","",IF(AND(Görevler!$C26&lt;=(AT$4+Ayarlar!$C$6-1),Görevler!$D26&gt;=AT$4),IF(AT$4&lt;=Görevler!$C26+ROUND(Görevler!$F26*Görevler!$E26,0)-1,2,1),""))</f>
        <v/>
      </c>
      <c r="AU26" s="22" t="str">
        <f aca="false">IF(Görevler!$F26="","",IF(AND(Görevler!$C26&lt;=(AU$4+Ayarlar!$C$6-1),Görevler!$D26&gt;=AU$4),IF(AU$4&lt;=Görevler!$C26+ROUND(Görevler!$F26*Görevler!$E26,0)-1,2,1),""))</f>
        <v/>
      </c>
      <c r="AV26" s="22" t="str">
        <f aca="false">IF(Görevler!$F26="","",IF(AND(Görevler!$C26&lt;=(AV$4+Ayarlar!$C$6-1),Görevler!$D26&gt;=AV$4),IF(AV$4&lt;=Görevler!$C26+ROUND(Görevler!$F26*Görevler!$E26,0)-1,2,1),""))</f>
        <v/>
      </c>
      <c r="AW26" s="22" t="str">
        <f aca="false">IF(Görevler!$F26="","",IF(AND(Görevler!$C26&lt;=(AW$4+Ayarlar!$C$6-1),Görevler!$D26&gt;=AW$4),IF(AW$4&lt;=Görevler!$C26+ROUND(Görevler!$F26*Görevler!$E26,0)-1,2,1),""))</f>
        <v/>
      </c>
      <c r="AX26" s="22" t="str">
        <f aca="false">IF(Görevler!$F26="","",IF(AND(Görevler!$C26&lt;=(AX$4+Ayarlar!$C$6-1),Görevler!$D26&gt;=AX$4),IF(AX$4&lt;=Görevler!$C26+ROUND(Görevler!$F26*Görevler!$E26,0)-1,2,1),""))</f>
        <v/>
      </c>
      <c r="AY26" s="22" t="str">
        <f aca="false">IF(Görevler!$F26="","",IF(AND(Görevler!$C26&lt;=(AY$4+Ayarlar!$C$6-1),Görevler!$D26&gt;=AY$4),IF(AY$4&lt;=Görevler!$C26+ROUND(Görevler!$F26*Görevler!$E26,0)-1,2,1),""))</f>
        <v/>
      </c>
      <c r="AZ26" s="22" t="str">
        <f aca="false">IF(Görevler!$F26="","",IF(AND(Görevler!$C26&lt;=(AZ$4+Ayarlar!$C$6-1),Görevler!$D26&gt;=AZ$4),IF(AZ$4&lt;=Görevler!$C26+ROUND(Görevler!$F26*Görevler!$E26,0)-1,2,1),""))</f>
        <v/>
      </c>
      <c r="BA26" s="22" t="str">
        <f aca="false">IF(Görevler!$F26="","",IF(AND(Görevler!$C26&lt;=(BA$4+Ayarlar!$C$6-1),Görevler!$D26&gt;=BA$4),IF(BA$4&lt;=Görevler!$C26+ROUND(Görevler!$F26*Görevler!$E26,0)-1,2,1),""))</f>
        <v/>
      </c>
      <c r="BB26" s="22" t="str">
        <f aca="false">IF(Görevler!$F26="","",IF(AND(Görevler!$C26&lt;=(BB$4+Ayarlar!$C$6-1),Görevler!$D26&gt;=BB$4),IF(BB$4&lt;=Görevler!$C26+ROUND(Görevler!$F26*Görevler!$E26,0)-1,2,1),""))</f>
        <v/>
      </c>
      <c r="BC26" s="22" t="str">
        <f aca="false">IF(Görevler!$F26="","",IF(AND(Görevler!$C26&lt;=(BC$4+Ayarlar!$C$6-1),Görevler!$D26&gt;=BC$4),IF(BC$4&lt;=Görevler!$C26+ROUND(Görevler!$F26*Görevler!$E26,0)-1,2,1),""))</f>
        <v/>
      </c>
      <c r="BD26" s="22" t="str">
        <f aca="false">IF(Görevler!$F26="","",IF(AND(Görevler!$C26&lt;=(BD$4+Ayarlar!$C$6-1),Görevler!$D26&gt;=BD$4),IF(BD$4&lt;=Görevler!$C26+ROUND(Görevler!$F26*Görevler!$E26,0)-1,2,1),""))</f>
        <v/>
      </c>
      <c r="BE26" s="22" t="str">
        <f aca="false">IF(Görevler!$F26="","",IF(AND(Görevler!$C26&lt;=(BE$4+Ayarlar!$C$6-1),Görevler!$D26&gt;=BE$4),IF(BE$4&lt;=Görevler!$C26+ROUND(Görevler!$F26*Görevler!$E26,0)-1,2,1),""))</f>
        <v/>
      </c>
      <c r="BF26" s="22" t="str">
        <f aca="false">IF(Görevler!$F26="","",IF(AND(Görevler!$C26&lt;=(BF$4+Ayarlar!$C$6-1),Görevler!$D26&gt;=BF$4),IF(BF$4&lt;=Görevler!$C26+ROUND(Görevler!$F26*Görevler!$E26,0)-1,2,1),""))</f>
        <v/>
      </c>
      <c r="BG26" s="22" t="str">
        <f aca="false">IF(Görevler!$F26="","",IF(AND(Görevler!$C26&lt;=(BG$4+Ayarlar!$C$6-1),Görevler!$D26&gt;=BG$4),IF(BG$4&lt;=Görevler!$C26+ROUND(Görevler!$F26*Görevler!$E26,0)-1,2,1),""))</f>
        <v/>
      </c>
      <c r="BH26" s="22" t="str">
        <f aca="false">IF(Görevler!$F26="","",IF(AND(Görevler!$C26&lt;=(BH$4+Ayarlar!$C$6-1),Görevler!$D26&gt;=BH$4),IF(BH$4&lt;=Görevler!$C26+ROUND(Görevler!$F26*Görevler!$E26,0)-1,2,1),""))</f>
        <v/>
      </c>
      <c r="BI26" s="22" t="str">
        <f aca="false">IF(Görevler!$F26="","",IF(AND(Görevler!$C26&lt;=(BI$4+Ayarlar!$C$6-1),Görevler!$D26&gt;=BI$4),IF(BI$4&lt;=Görevler!$C26+ROUND(Görevler!$F26*Görevler!$E26,0)-1,2,1),""))</f>
        <v/>
      </c>
      <c r="BJ26" s="22" t="str">
        <f aca="false">IF(Görevler!$F26="","",IF(AND(Görevler!$C26&lt;=(BJ$4+Ayarlar!$C$6-1),Görevler!$D26&gt;=BJ$4),IF(BJ$4&lt;=Görevler!$C26+ROUND(Görevler!$F26*Görevler!$E26,0)-1,2,1),""))</f>
        <v/>
      </c>
    </row>
    <row r="27" customFormat="false" ht="15" hidden="false" customHeight="false" outlineLevel="0" collapsed="false">
      <c r="A27" s="21" t="str">
        <f aca="false">IF(Görevler!A27="","",Görevler!A27)</f>
        <v/>
      </c>
      <c r="B27" s="21" t="str">
        <f aca="false">IF(Görevler!A27="","",Görevler!B27&amp;"")</f>
        <v/>
      </c>
      <c r="C27" s="22" t="str">
        <f aca="false">IF(Görevler!$F27="","",IF(AND(Görevler!$C27&lt;=(C$4+Ayarlar!$C$6-1),Görevler!$D27&gt;=C$4),IF(C$4&lt;=Görevler!$C27+ROUND(Görevler!$F27*Görevler!$E27,0)-1,2,1),""))</f>
        <v/>
      </c>
      <c r="D27" s="22" t="str">
        <f aca="false">IF(Görevler!$F27="","",IF(AND(Görevler!$C27&lt;=(D$4+Ayarlar!$C$6-1),Görevler!$D27&gt;=D$4),IF(D$4&lt;=Görevler!$C27+ROUND(Görevler!$F27*Görevler!$E27,0)-1,2,1),""))</f>
        <v/>
      </c>
      <c r="E27" s="22" t="str">
        <f aca="false">IF(Görevler!$F27="","",IF(AND(Görevler!$C27&lt;=(E$4+Ayarlar!$C$6-1),Görevler!$D27&gt;=E$4),IF(E$4&lt;=Görevler!$C27+ROUND(Görevler!$F27*Görevler!$E27,0)-1,2,1),""))</f>
        <v/>
      </c>
      <c r="F27" s="22" t="str">
        <f aca="false">IF(Görevler!$F27="","",IF(AND(Görevler!$C27&lt;=(F$4+Ayarlar!$C$6-1),Görevler!$D27&gt;=F$4),IF(F$4&lt;=Görevler!$C27+ROUND(Görevler!$F27*Görevler!$E27,0)-1,2,1),""))</f>
        <v/>
      </c>
      <c r="G27" s="22" t="str">
        <f aca="false">IF(Görevler!$F27="","",IF(AND(Görevler!$C27&lt;=(G$4+Ayarlar!$C$6-1),Görevler!$D27&gt;=G$4),IF(G$4&lt;=Görevler!$C27+ROUND(Görevler!$F27*Görevler!$E27,0)-1,2,1),""))</f>
        <v/>
      </c>
      <c r="H27" s="22" t="str">
        <f aca="false">IF(Görevler!$F27="","",IF(AND(Görevler!$C27&lt;=(H$4+Ayarlar!$C$6-1),Görevler!$D27&gt;=H$4),IF(H$4&lt;=Görevler!$C27+ROUND(Görevler!$F27*Görevler!$E27,0)-1,2,1),""))</f>
        <v/>
      </c>
      <c r="I27" s="22" t="str">
        <f aca="false">IF(Görevler!$F27="","",IF(AND(Görevler!$C27&lt;=(I$4+Ayarlar!$C$6-1),Görevler!$D27&gt;=I$4),IF(I$4&lt;=Görevler!$C27+ROUND(Görevler!$F27*Görevler!$E27,0)-1,2,1),""))</f>
        <v/>
      </c>
      <c r="J27" s="22" t="str">
        <f aca="false">IF(Görevler!$F27="","",IF(AND(Görevler!$C27&lt;=(J$4+Ayarlar!$C$6-1),Görevler!$D27&gt;=J$4),IF(J$4&lt;=Görevler!$C27+ROUND(Görevler!$F27*Görevler!$E27,0)-1,2,1),""))</f>
        <v/>
      </c>
      <c r="K27" s="22" t="str">
        <f aca="false">IF(Görevler!$F27="","",IF(AND(Görevler!$C27&lt;=(K$4+Ayarlar!$C$6-1),Görevler!$D27&gt;=K$4),IF(K$4&lt;=Görevler!$C27+ROUND(Görevler!$F27*Görevler!$E27,0)-1,2,1),""))</f>
        <v/>
      </c>
      <c r="L27" s="22" t="str">
        <f aca="false">IF(Görevler!$F27="","",IF(AND(Görevler!$C27&lt;=(L$4+Ayarlar!$C$6-1),Görevler!$D27&gt;=L$4),IF(L$4&lt;=Görevler!$C27+ROUND(Görevler!$F27*Görevler!$E27,0)-1,2,1),""))</f>
        <v/>
      </c>
      <c r="M27" s="22" t="str">
        <f aca="false">IF(Görevler!$F27="","",IF(AND(Görevler!$C27&lt;=(M$4+Ayarlar!$C$6-1),Görevler!$D27&gt;=M$4),IF(M$4&lt;=Görevler!$C27+ROUND(Görevler!$F27*Görevler!$E27,0)-1,2,1),""))</f>
        <v/>
      </c>
      <c r="N27" s="22" t="str">
        <f aca="false">IF(Görevler!$F27="","",IF(AND(Görevler!$C27&lt;=(N$4+Ayarlar!$C$6-1),Görevler!$D27&gt;=N$4),IF(N$4&lt;=Görevler!$C27+ROUND(Görevler!$F27*Görevler!$E27,0)-1,2,1),""))</f>
        <v/>
      </c>
      <c r="O27" s="22" t="str">
        <f aca="false">IF(Görevler!$F27="","",IF(AND(Görevler!$C27&lt;=(O$4+Ayarlar!$C$6-1),Görevler!$D27&gt;=O$4),IF(O$4&lt;=Görevler!$C27+ROUND(Görevler!$F27*Görevler!$E27,0)-1,2,1),""))</f>
        <v/>
      </c>
      <c r="P27" s="22" t="str">
        <f aca="false">IF(Görevler!$F27="","",IF(AND(Görevler!$C27&lt;=(P$4+Ayarlar!$C$6-1),Görevler!$D27&gt;=P$4),IF(P$4&lt;=Görevler!$C27+ROUND(Görevler!$F27*Görevler!$E27,0)-1,2,1),""))</f>
        <v/>
      </c>
      <c r="Q27" s="22" t="str">
        <f aca="false">IF(Görevler!$F27="","",IF(AND(Görevler!$C27&lt;=(Q$4+Ayarlar!$C$6-1),Görevler!$D27&gt;=Q$4),IF(Q$4&lt;=Görevler!$C27+ROUND(Görevler!$F27*Görevler!$E27,0)-1,2,1),""))</f>
        <v/>
      </c>
      <c r="R27" s="22" t="str">
        <f aca="false">IF(Görevler!$F27="","",IF(AND(Görevler!$C27&lt;=(R$4+Ayarlar!$C$6-1),Görevler!$D27&gt;=R$4),IF(R$4&lt;=Görevler!$C27+ROUND(Görevler!$F27*Görevler!$E27,0)-1,2,1),""))</f>
        <v/>
      </c>
      <c r="S27" s="22" t="str">
        <f aca="false">IF(Görevler!$F27="","",IF(AND(Görevler!$C27&lt;=(S$4+Ayarlar!$C$6-1),Görevler!$D27&gt;=S$4),IF(S$4&lt;=Görevler!$C27+ROUND(Görevler!$F27*Görevler!$E27,0)-1,2,1),""))</f>
        <v/>
      </c>
      <c r="T27" s="22" t="str">
        <f aca="false">IF(Görevler!$F27="","",IF(AND(Görevler!$C27&lt;=(T$4+Ayarlar!$C$6-1),Görevler!$D27&gt;=T$4),IF(T$4&lt;=Görevler!$C27+ROUND(Görevler!$F27*Görevler!$E27,0)-1,2,1),""))</f>
        <v/>
      </c>
      <c r="U27" s="22" t="str">
        <f aca="false">IF(Görevler!$F27="","",IF(AND(Görevler!$C27&lt;=(U$4+Ayarlar!$C$6-1),Görevler!$D27&gt;=U$4),IF(U$4&lt;=Görevler!$C27+ROUND(Görevler!$F27*Görevler!$E27,0)-1,2,1),""))</f>
        <v/>
      </c>
      <c r="V27" s="22" t="str">
        <f aca="false">IF(Görevler!$F27="","",IF(AND(Görevler!$C27&lt;=(V$4+Ayarlar!$C$6-1),Görevler!$D27&gt;=V$4),IF(V$4&lt;=Görevler!$C27+ROUND(Görevler!$F27*Görevler!$E27,0)-1,2,1),""))</f>
        <v/>
      </c>
      <c r="W27" s="22" t="str">
        <f aca="false">IF(Görevler!$F27="","",IF(AND(Görevler!$C27&lt;=(W$4+Ayarlar!$C$6-1),Görevler!$D27&gt;=W$4),IF(W$4&lt;=Görevler!$C27+ROUND(Görevler!$F27*Görevler!$E27,0)-1,2,1),""))</f>
        <v/>
      </c>
      <c r="X27" s="22" t="str">
        <f aca="false">IF(Görevler!$F27="","",IF(AND(Görevler!$C27&lt;=(X$4+Ayarlar!$C$6-1),Görevler!$D27&gt;=X$4),IF(X$4&lt;=Görevler!$C27+ROUND(Görevler!$F27*Görevler!$E27,0)-1,2,1),""))</f>
        <v/>
      </c>
      <c r="Y27" s="22" t="str">
        <f aca="false">IF(Görevler!$F27="","",IF(AND(Görevler!$C27&lt;=(Y$4+Ayarlar!$C$6-1),Görevler!$D27&gt;=Y$4),IF(Y$4&lt;=Görevler!$C27+ROUND(Görevler!$F27*Görevler!$E27,0)-1,2,1),""))</f>
        <v/>
      </c>
      <c r="Z27" s="22" t="str">
        <f aca="false">IF(Görevler!$F27="","",IF(AND(Görevler!$C27&lt;=(Z$4+Ayarlar!$C$6-1),Görevler!$D27&gt;=Z$4),IF(Z$4&lt;=Görevler!$C27+ROUND(Görevler!$F27*Görevler!$E27,0)-1,2,1),""))</f>
        <v/>
      </c>
      <c r="AA27" s="22" t="str">
        <f aca="false">IF(Görevler!$F27="","",IF(AND(Görevler!$C27&lt;=(AA$4+Ayarlar!$C$6-1),Görevler!$D27&gt;=AA$4),IF(AA$4&lt;=Görevler!$C27+ROUND(Görevler!$F27*Görevler!$E27,0)-1,2,1),""))</f>
        <v/>
      </c>
      <c r="AB27" s="22" t="str">
        <f aca="false">IF(Görevler!$F27="","",IF(AND(Görevler!$C27&lt;=(AB$4+Ayarlar!$C$6-1),Görevler!$D27&gt;=AB$4),IF(AB$4&lt;=Görevler!$C27+ROUND(Görevler!$F27*Görevler!$E27,0)-1,2,1),""))</f>
        <v/>
      </c>
      <c r="AC27" s="22" t="str">
        <f aca="false">IF(Görevler!$F27="","",IF(AND(Görevler!$C27&lt;=(AC$4+Ayarlar!$C$6-1),Görevler!$D27&gt;=AC$4),IF(AC$4&lt;=Görevler!$C27+ROUND(Görevler!$F27*Görevler!$E27,0)-1,2,1),""))</f>
        <v/>
      </c>
      <c r="AD27" s="22" t="str">
        <f aca="false">IF(Görevler!$F27="","",IF(AND(Görevler!$C27&lt;=(AD$4+Ayarlar!$C$6-1),Görevler!$D27&gt;=AD$4),IF(AD$4&lt;=Görevler!$C27+ROUND(Görevler!$F27*Görevler!$E27,0)-1,2,1),""))</f>
        <v/>
      </c>
      <c r="AE27" s="22" t="str">
        <f aca="false">IF(Görevler!$F27="","",IF(AND(Görevler!$C27&lt;=(AE$4+Ayarlar!$C$6-1),Görevler!$D27&gt;=AE$4),IF(AE$4&lt;=Görevler!$C27+ROUND(Görevler!$F27*Görevler!$E27,0)-1,2,1),""))</f>
        <v/>
      </c>
      <c r="AF27" s="22" t="str">
        <f aca="false">IF(Görevler!$F27="","",IF(AND(Görevler!$C27&lt;=(AF$4+Ayarlar!$C$6-1),Görevler!$D27&gt;=AF$4),IF(AF$4&lt;=Görevler!$C27+ROUND(Görevler!$F27*Görevler!$E27,0)-1,2,1),""))</f>
        <v/>
      </c>
      <c r="AG27" s="22" t="str">
        <f aca="false">IF(Görevler!$F27="","",IF(AND(Görevler!$C27&lt;=(AG$4+Ayarlar!$C$6-1),Görevler!$D27&gt;=AG$4),IF(AG$4&lt;=Görevler!$C27+ROUND(Görevler!$F27*Görevler!$E27,0)-1,2,1),""))</f>
        <v/>
      </c>
      <c r="AH27" s="22" t="str">
        <f aca="false">IF(Görevler!$F27="","",IF(AND(Görevler!$C27&lt;=(AH$4+Ayarlar!$C$6-1),Görevler!$D27&gt;=AH$4),IF(AH$4&lt;=Görevler!$C27+ROUND(Görevler!$F27*Görevler!$E27,0)-1,2,1),""))</f>
        <v/>
      </c>
      <c r="AI27" s="22" t="str">
        <f aca="false">IF(Görevler!$F27="","",IF(AND(Görevler!$C27&lt;=(AI$4+Ayarlar!$C$6-1),Görevler!$D27&gt;=AI$4),IF(AI$4&lt;=Görevler!$C27+ROUND(Görevler!$F27*Görevler!$E27,0)-1,2,1),""))</f>
        <v/>
      </c>
      <c r="AJ27" s="22" t="str">
        <f aca="false">IF(Görevler!$F27="","",IF(AND(Görevler!$C27&lt;=(AJ$4+Ayarlar!$C$6-1),Görevler!$D27&gt;=AJ$4),IF(AJ$4&lt;=Görevler!$C27+ROUND(Görevler!$F27*Görevler!$E27,0)-1,2,1),""))</f>
        <v/>
      </c>
      <c r="AK27" s="22" t="str">
        <f aca="false">IF(Görevler!$F27="","",IF(AND(Görevler!$C27&lt;=(AK$4+Ayarlar!$C$6-1),Görevler!$D27&gt;=AK$4),IF(AK$4&lt;=Görevler!$C27+ROUND(Görevler!$F27*Görevler!$E27,0)-1,2,1),""))</f>
        <v/>
      </c>
      <c r="AL27" s="22" t="str">
        <f aca="false">IF(Görevler!$F27="","",IF(AND(Görevler!$C27&lt;=(AL$4+Ayarlar!$C$6-1),Görevler!$D27&gt;=AL$4),IF(AL$4&lt;=Görevler!$C27+ROUND(Görevler!$F27*Görevler!$E27,0)-1,2,1),""))</f>
        <v/>
      </c>
      <c r="AM27" s="22" t="str">
        <f aca="false">IF(Görevler!$F27="","",IF(AND(Görevler!$C27&lt;=(AM$4+Ayarlar!$C$6-1),Görevler!$D27&gt;=AM$4),IF(AM$4&lt;=Görevler!$C27+ROUND(Görevler!$F27*Görevler!$E27,0)-1,2,1),""))</f>
        <v/>
      </c>
      <c r="AN27" s="22" t="str">
        <f aca="false">IF(Görevler!$F27="","",IF(AND(Görevler!$C27&lt;=(AN$4+Ayarlar!$C$6-1),Görevler!$D27&gt;=AN$4),IF(AN$4&lt;=Görevler!$C27+ROUND(Görevler!$F27*Görevler!$E27,0)-1,2,1),""))</f>
        <v/>
      </c>
      <c r="AO27" s="22" t="str">
        <f aca="false">IF(Görevler!$F27="","",IF(AND(Görevler!$C27&lt;=(AO$4+Ayarlar!$C$6-1),Görevler!$D27&gt;=AO$4),IF(AO$4&lt;=Görevler!$C27+ROUND(Görevler!$F27*Görevler!$E27,0)-1,2,1),""))</f>
        <v/>
      </c>
      <c r="AP27" s="22" t="str">
        <f aca="false">IF(Görevler!$F27="","",IF(AND(Görevler!$C27&lt;=(AP$4+Ayarlar!$C$6-1),Görevler!$D27&gt;=AP$4),IF(AP$4&lt;=Görevler!$C27+ROUND(Görevler!$F27*Görevler!$E27,0)-1,2,1),""))</f>
        <v/>
      </c>
      <c r="AQ27" s="22" t="str">
        <f aca="false">IF(Görevler!$F27="","",IF(AND(Görevler!$C27&lt;=(AQ$4+Ayarlar!$C$6-1),Görevler!$D27&gt;=AQ$4),IF(AQ$4&lt;=Görevler!$C27+ROUND(Görevler!$F27*Görevler!$E27,0)-1,2,1),""))</f>
        <v/>
      </c>
      <c r="AR27" s="22" t="str">
        <f aca="false">IF(Görevler!$F27="","",IF(AND(Görevler!$C27&lt;=(AR$4+Ayarlar!$C$6-1),Görevler!$D27&gt;=AR$4),IF(AR$4&lt;=Görevler!$C27+ROUND(Görevler!$F27*Görevler!$E27,0)-1,2,1),""))</f>
        <v/>
      </c>
      <c r="AS27" s="22" t="str">
        <f aca="false">IF(Görevler!$F27="","",IF(AND(Görevler!$C27&lt;=(AS$4+Ayarlar!$C$6-1),Görevler!$D27&gt;=AS$4),IF(AS$4&lt;=Görevler!$C27+ROUND(Görevler!$F27*Görevler!$E27,0)-1,2,1),""))</f>
        <v/>
      </c>
      <c r="AT27" s="22" t="str">
        <f aca="false">IF(Görevler!$F27="","",IF(AND(Görevler!$C27&lt;=(AT$4+Ayarlar!$C$6-1),Görevler!$D27&gt;=AT$4),IF(AT$4&lt;=Görevler!$C27+ROUND(Görevler!$F27*Görevler!$E27,0)-1,2,1),""))</f>
        <v/>
      </c>
      <c r="AU27" s="22" t="str">
        <f aca="false">IF(Görevler!$F27="","",IF(AND(Görevler!$C27&lt;=(AU$4+Ayarlar!$C$6-1),Görevler!$D27&gt;=AU$4),IF(AU$4&lt;=Görevler!$C27+ROUND(Görevler!$F27*Görevler!$E27,0)-1,2,1),""))</f>
        <v/>
      </c>
      <c r="AV27" s="22" t="str">
        <f aca="false">IF(Görevler!$F27="","",IF(AND(Görevler!$C27&lt;=(AV$4+Ayarlar!$C$6-1),Görevler!$D27&gt;=AV$4),IF(AV$4&lt;=Görevler!$C27+ROUND(Görevler!$F27*Görevler!$E27,0)-1,2,1),""))</f>
        <v/>
      </c>
      <c r="AW27" s="22" t="str">
        <f aca="false">IF(Görevler!$F27="","",IF(AND(Görevler!$C27&lt;=(AW$4+Ayarlar!$C$6-1),Görevler!$D27&gt;=AW$4),IF(AW$4&lt;=Görevler!$C27+ROUND(Görevler!$F27*Görevler!$E27,0)-1,2,1),""))</f>
        <v/>
      </c>
      <c r="AX27" s="22" t="str">
        <f aca="false">IF(Görevler!$F27="","",IF(AND(Görevler!$C27&lt;=(AX$4+Ayarlar!$C$6-1),Görevler!$D27&gt;=AX$4),IF(AX$4&lt;=Görevler!$C27+ROUND(Görevler!$F27*Görevler!$E27,0)-1,2,1),""))</f>
        <v/>
      </c>
      <c r="AY27" s="22" t="str">
        <f aca="false">IF(Görevler!$F27="","",IF(AND(Görevler!$C27&lt;=(AY$4+Ayarlar!$C$6-1),Görevler!$D27&gt;=AY$4),IF(AY$4&lt;=Görevler!$C27+ROUND(Görevler!$F27*Görevler!$E27,0)-1,2,1),""))</f>
        <v/>
      </c>
      <c r="AZ27" s="22" t="str">
        <f aca="false">IF(Görevler!$F27="","",IF(AND(Görevler!$C27&lt;=(AZ$4+Ayarlar!$C$6-1),Görevler!$D27&gt;=AZ$4),IF(AZ$4&lt;=Görevler!$C27+ROUND(Görevler!$F27*Görevler!$E27,0)-1,2,1),""))</f>
        <v/>
      </c>
      <c r="BA27" s="22" t="str">
        <f aca="false">IF(Görevler!$F27="","",IF(AND(Görevler!$C27&lt;=(BA$4+Ayarlar!$C$6-1),Görevler!$D27&gt;=BA$4),IF(BA$4&lt;=Görevler!$C27+ROUND(Görevler!$F27*Görevler!$E27,0)-1,2,1),""))</f>
        <v/>
      </c>
      <c r="BB27" s="22" t="str">
        <f aca="false">IF(Görevler!$F27="","",IF(AND(Görevler!$C27&lt;=(BB$4+Ayarlar!$C$6-1),Görevler!$D27&gt;=BB$4),IF(BB$4&lt;=Görevler!$C27+ROUND(Görevler!$F27*Görevler!$E27,0)-1,2,1),""))</f>
        <v/>
      </c>
      <c r="BC27" s="22" t="str">
        <f aca="false">IF(Görevler!$F27="","",IF(AND(Görevler!$C27&lt;=(BC$4+Ayarlar!$C$6-1),Görevler!$D27&gt;=BC$4),IF(BC$4&lt;=Görevler!$C27+ROUND(Görevler!$F27*Görevler!$E27,0)-1,2,1),""))</f>
        <v/>
      </c>
      <c r="BD27" s="22" t="str">
        <f aca="false">IF(Görevler!$F27="","",IF(AND(Görevler!$C27&lt;=(BD$4+Ayarlar!$C$6-1),Görevler!$D27&gt;=BD$4),IF(BD$4&lt;=Görevler!$C27+ROUND(Görevler!$F27*Görevler!$E27,0)-1,2,1),""))</f>
        <v/>
      </c>
      <c r="BE27" s="22" t="str">
        <f aca="false">IF(Görevler!$F27="","",IF(AND(Görevler!$C27&lt;=(BE$4+Ayarlar!$C$6-1),Görevler!$D27&gt;=BE$4),IF(BE$4&lt;=Görevler!$C27+ROUND(Görevler!$F27*Görevler!$E27,0)-1,2,1),""))</f>
        <v/>
      </c>
      <c r="BF27" s="22" t="str">
        <f aca="false">IF(Görevler!$F27="","",IF(AND(Görevler!$C27&lt;=(BF$4+Ayarlar!$C$6-1),Görevler!$D27&gt;=BF$4),IF(BF$4&lt;=Görevler!$C27+ROUND(Görevler!$F27*Görevler!$E27,0)-1,2,1),""))</f>
        <v/>
      </c>
      <c r="BG27" s="22" t="str">
        <f aca="false">IF(Görevler!$F27="","",IF(AND(Görevler!$C27&lt;=(BG$4+Ayarlar!$C$6-1),Görevler!$D27&gt;=BG$4),IF(BG$4&lt;=Görevler!$C27+ROUND(Görevler!$F27*Görevler!$E27,0)-1,2,1),""))</f>
        <v/>
      </c>
      <c r="BH27" s="22" t="str">
        <f aca="false">IF(Görevler!$F27="","",IF(AND(Görevler!$C27&lt;=(BH$4+Ayarlar!$C$6-1),Görevler!$D27&gt;=BH$4),IF(BH$4&lt;=Görevler!$C27+ROUND(Görevler!$F27*Görevler!$E27,0)-1,2,1),""))</f>
        <v/>
      </c>
      <c r="BI27" s="22" t="str">
        <f aca="false">IF(Görevler!$F27="","",IF(AND(Görevler!$C27&lt;=(BI$4+Ayarlar!$C$6-1),Görevler!$D27&gt;=BI$4),IF(BI$4&lt;=Görevler!$C27+ROUND(Görevler!$F27*Görevler!$E27,0)-1,2,1),""))</f>
        <v/>
      </c>
      <c r="BJ27" s="22" t="str">
        <f aca="false">IF(Görevler!$F27="","",IF(AND(Görevler!$C27&lt;=(BJ$4+Ayarlar!$C$6-1),Görevler!$D27&gt;=BJ$4),IF(BJ$4&lt;=Görevler!$C27+ROUND(Görevler!$F27*Görevler!$E27,0)-1,2,1),""))</f>
        <v/>
      </c>
    </row>
    <row r="28" customFormat="false" ht="15" hidden="false" customHeight="false" outlineLevel="0" collapsed="false">
      <c r="A28" s="21" t="str">
        <f aca="false">IF(Görevler!A28="","",Görevler!A28)</f>
        <v/>
      </c>
      <c r="B28" s="21" t="str">
        <f aca="false">IF(Görevler!A28="","",Görevler!B28&amp;"")</f>
        <v/>
      </c>
      <c r="C28" s="22" t="str">
        <f aca="false">IF(Görevler!$F28="","",IF(AND(Görevler!$C28&lt;=(C$4+Ayarlar!$C$6-1),Görevler!$D28&gt;=C$4),IF(C$4&lt;=Görevler!$C28+ROUND(Görevler!$F28*Görevler!$E28,0)-1,2,1),""))</f>
        <v/>
      </c>
      <c r="D28" s="22" t="str">
        <f aca="false">IF(Görevler!$F28="","",IF(AND(Görevler!$C28&lt;=(D$4+Ayarlar!$C$6-1),Görevler!$D28&gt;=D$4),IF(D$4&lt;=Görevler!$C28+ROUND(Görevler!$F28*Görevler!$E28,0)-1,2,1),""))</f>
        <v/>
      </c>
      <c r="E28" s="22" t="str">
        <f aca="false">IF(Görevler!$F28="","",IF(AND(Görevler!$C28&lt;=(E$4+Ayarlar!$C$6-1),Görevler!$D28&gt;=E$4),IF(E$4&lt;=Görevler!$C28+ROUND(Görevler!$F28*Görevler!$E28,0)-1,2,1),""))</f>
        <v/>
      </c>
      <c r="F28" s="22" t="str">
        <f aca="false">IF(Görevler!$F28="","",IF(AND(Görevler!$C28&lt;=(F$4+Ayarlar!$C$6-1),Görevler!$D28&gt;=F$4),IF(F$4&lt;=Görevler!$C28+ROUND(Görevler!$F28*Görevler!$E28,0)-1,2,1),""))</f>
        <v/>
      </c>
      <c r="G28" s="22" t="str">
        <f aca="false">IF(Görevler!$F28="","",IF(AND(Görevler!$C28&lt;=(G$4+Ayarlar!$C$6-1),Görevler!$D28&gt;=G$4),IF(G$4&lt;=Görevler!$C28+ROUND(Görevler!$F28*Görevler!$E28,0)-1,2,1),""))</f>
        <v/>
      </c>
      <c r="H28" s="22" t="str">
        <f aca="false">IF(Görevler!$F28="","",IF(AND(Görevler!$C28&lt;=(H$4+Ayarlar!$C$6-1),Görevler!$D28&gt;=H$4),IF(H$4&lt;=Görevler!$C28+ROUND(Görevler!$F28*Görevler!$E28,0)-1,2,1),""))</f>
        <v/>
      </c>
      <c r="I28" s="22" t="str">
        <f aca="false">IF(Görevler!$F28="","",IF(AND(Görevler!$C28&lt;=(I$4+Ayarlar!$C$6-1),Görevler!$D28&gt;=I$4),IF(I$4&lt;=Görevler!$C28+ROUND(Görevler!$F28*Görevler!$E28,0)-1,2,1),""))</f>
        <v/>
      </c>
      <c r="J28" s="22" t="str">
        <f aca="false">IF(Görevler!$F28="","",IF(AND(Görevler!$C28&lt;=(J$4+Ayarlar!$C$6-1),Görevler!$D28&gt;=J$4),IF(J$4&lt;=Görevler!$C28+ROUND(Görevler!$F28*Görevler!$E28,0)-1,2,1),""))</f>
        <v/>
      </c>
      <c r="K28" s="22" t="str">
        <f aca="false">IF(Görevler!$F28="","",IF(AND(Görevler!$C28&lt;=(K$4+Ayarlar!$C$6-1),Görevler!$D28&gt;=K$4),IF(K$4&lt;=Görevler!$C28+ROUND(Görevler!$F28*Görevler!$E28,0)-1,2,1),""))</f>
        <v/>
      </c>
      <c r="L28" s="22" t="str">
        <f aca="false">IF(Görevler!$F28="","",IF(AND(Görevler!$C28&lt;=(L$4+Ayarlar!$C$6-1),Görevler!$D28&gt;=L$4),IF(L$4&lt;=Görevler!$C28+ROUND(Görevler!$F28*Görevler!$E28,0)-1,2,1),""))</f>
        <v/>
      </c>
      <c r="M28" s="22" t="str">
        <f aca="false">IF(Görevler!$F28="","",IF(AND(Görevler!$C28&lt;=(M$4+Ayarlar!$C$6-1),Görevler!$D28&gt;=M$4),IF(M$4&lt;=Görevler!$C28+ROUND(Görevler!$F28*Görevler!$E28,0)-1,2,1),""))</f>
        <v/>
      </c>
      <c r="N28" s="22" t="str">
        <f aca="false">IF(Görevler!$F28="","",IF(AND(Görevler!$C28&lt;=(N$4+Ayarlar!$C$6-1),Görevler!$D28&gt;=N$4),IF(N$4&lt;=Görevler!$C28+ROUND(Görevler!$F28*Görevler!$E28,0)-1,2,1),""))</f>
        <v/>
      </c>
      <c r="O28" s="22" t="str">
        <f aca="false">IF(Görevler!$F28="","",IF(AND(Görevler!$C28&lt;=(O$4+Ayarlar!$C$6-1),Görevler!$D28&gt;=O$4),IF(O$4&lt;=Görevler!$C28+ROUND(Görevler!$F28*Görevler!$E28,0)-1,2,1),""))</f>
        <v/>
      </c>
      <c r="P28" s="22" t="str">
        <f aca="false">IF(Görevler!$F28="","",IF(AND(Görevler!$C28&lt;=(P$4+Ayarlar!$C$6-1),Görevler!$D28&gt;=P$4),IF(P$4&lt;=Görevler!$C28+ROUND(Görevler!$F28*Görevler!$E28,0)-1,2,1),""))</f>
        <v/>
      </c>
      <c r="Q28" s="22" t="str">
        <f aca="false">IF(Görevler!$F28="","",IF(AND(Görevler!$C28&lt;=(Q$4+Ayarlar!$C$6-1),Görevler!$D28&gt;=Q$4),IF(Q$4&lt;=Görevler!$C28+ROUND(Görevler!$F28*Görevler!$E28,0)-1,2,1),""))</f>
        <v/>
      </c>
      <c r="R28" s="22" t="str">
        <f aca="false">IF(Görevler!$F28="","",IF(AND(Görevler!$C28&lt;=(R$4+Ayarlar!$C$6-1),Görevler!$D28&gt;=R$4),IF(R$4&lt;=Görevler!$C28+ROUND(Görevler!$F28*Görevler!$E28,0)-1,2,1),""))</f>
        <v/>
      </c>
      <c r="S28" s="22" t="str">
        <f aca="false">IF(Görevler!$F28="","",IF(AND(Görevler!$C28&lt;=(S$4+Ayarlar!$C$6-1),Görevler!$D28&gt;=S$4),IF(S$4&lt;=Görevler!$C28+ROUND(Görevler!$F28*Görevler!$E28,0)-1,2,1),""))</f>
        <v/>
      </c>
      <c r="T28" s="22" t="str">
        <f aca="false">IF(Görevler!$F28="","",IF(AND(Görevler!$C28&lt;=(T$4+Ayarlar!$C$6-1),Görevler!$D28&gt;=T$4),IF(T$4&lt;=Görevler!$C28+ROUND(Görevler!$F28*Görevler!$E28,0)-1,2,1),""))</f>
        <v/>
      </c>
      <c r="U28" s="22" t="str">
        <f aca="false">IF(Görevler!$F28="","",IF(AND(Görevler!$C28&lt;=(U$4+Ayarlar!$C$6-1),Görevler!$D28&gt;=U$4),IF(U$4&lt;=Görevler!$C28+ROUND(Görevler!$F28*Görevler!$E28,0)-1,2,1),""))</f>
        <v/>
      </c>
      <c r="V28" s="22" t="str">
        <f aca="false">IF(Görevler!$F28="","",IF(AND(Görevler!$C28&lt;=(V$4+Ayarlar!$C$6-1),Görevler!$D28&gt;=V$4),IF(V$4&lt;=Görevler!$C28+ROUND(Görevler!$F28*Görevler!$E28,0)-1,2,1),""))</f>
        <v/>
      </c>
      <c r="W28" s="22" t="str">
        <f aca="false">IF(Görevler!$F28="","",IF(AND(Görevler!$C28&lt;=(W$4+Ayarlar!$C$6-1),Görevler!$D28&gt;=W$4),IF(W$4&lt;=Görevler!$C28+ROUND(Görevler!$F28*Görevler!$E28,0)-1,2,1),""))</f>
        <v/>
      </c>
      <c r="X28" s="22" t="str">
        <f aca="false">IF(Görevler!$F28="","",IF(AND(Görevler!$C28&lt;=(X$4+Ayarlar!$C$6-1),Görevler!$D28&gt;=X$4),IF(X$4&lt;=Görevler!$C28+ROUND(Görevler!$F28*Görevler!$E28,0)-1,2,1),""))</f>
        <v/>
      </c>
      <c r="Y28" s="22" t="str">
        <f aca="false">IF(Görevler!$F28="","",IF(AND(Görevler!$C28&lt;=(Y$4+Ayarlar!$C$6-1),Görevler!$D28&gt;=Y$4),IF(Y$4&lt;=Görevler!$C28+ROUND(Görevler!$F28*Görevler!$E28,0)-1,2,1),""))</f>
        <v/>
      </c>
      <c r="Z28" s="22" t="str">
        <f aca="false">IF(Görevler!$F28="","",IF(AND(Görevler!$C28&lt;=(Z$4+Ayarlar!$C$6-1),Görevler!$D28&gt;=Z$4),IF(Z$4&lt;=Görevler!$C28+ROUND(Görevler!$F28*Görevler!$E28,0)-1,2,1),""))</f>
        <v/>
      </c>
      <c r="AA28" s="22" t="str">
        <f aca="false">IF(Görevler!$F28="","",IF(AND(Görevler!$C28&lt;=(AA$4+Ayarlar!$C$6-1),Görevler!$D28&gt;=AA$4),IF(AA$4&lt;=Görevler!$C28+ROUND(Görevler!$F28*Görevler!$E28,0)-1,2,1),""))</f>
        <v/>
      </c>
      <c r="AB28" s="22" t="str">
        <f aca="false">IF(Görevler!$F28="","",IF(AND(Görevler!$C28&lt;=(AB$4+Ayarlar!$C$6-1),Görevler!$D28&gt;=AB$4),IF(AB$4&lt;=Görevler!$C28+ROUND(Görevler!$F28*Görevler!$E28,0)-1,2,1),""))</f>
        <v/>
      </c>
      <c r="AC28" s="22" t="str">
        <f aca="false">IF(Görevler!$F28="","",IF(AND(Görevler!$C28&lt;=(AC$4+Ayarlar!$C$6-1),Görevler!$D28&gt;=AC$4),IF(AC$4&lt;=Görevler!$C28+ROUND(Görevler!$F28*Görevler!$E28,0)-1,2,1),""))</f>
        <v/>
      </c>
      <c r="AD28" s="22" t="str">
        <f aca="false">IF(Görevler!$F28="","",IF(AND(Görevler!$C28&lt;=(AD$4+Ayarlar!$C$6-1),Görevler!$D28&gt;=AD$4),IF(AD$4&lt;=Görevler!$C28+ROUND(Görevler!$F28*Görevler!$E28,0)-1,2,1),""))</f>
        <v/>
      </c>
      <c r="AE28" s="22" t="str">
        <f aca="false">IF(Görevler!$F28="","",IF(AND(Görevler!$C28&lt;=(AE$4+Ayarlar!$C$6-1),Görevler!$D28&gt;=AE$4),IF(AE$4&lt;=Görevler!$C28+ROUND(Görevler!$F28*Görevler!$E28,0)-1,2,1),""))</f>
        <v/>
      </c>
      <c r="AF28" s="22" t="str">
        <f aca="false">IF(Görevler!$F28="","",IF(AND(Görevler!$C28&lt;=(AF$4+Ayarlar!$C$6-1),Görevler!$D28&gt;=AF$4),IF(AF$4&lt;=Görevler!$C28+ROUND(Görevler!$F28*Görevler!$E28,0)-1,2,1),""))</f>
        <v/>
      </c>
      <c r="AG28" s="22" t="str">
        <f aca="false">IF(Görevler!$F28="","",IF(AND(Görevler!$C28&lt;=(AG$4+Ayarlar!$C$6-1),Görevler!$D28&gt;=AG$4),IF(AG$4&lt;=Görevler!$C28+ROUND(Görevler!$F28*Görevler!$E28,0)-1,2,1),""))</f>
        <v/>
      </c>
      <c r="AH28" s="22" t="str">
        <f aca="false">IF(Görevler!$F28="","",IF(AND(Görevler!$C28&lt;=(AH$4+Ayarlar!$C$6-1),Görevler!$D28&gt;=AH$4),IF(AH$4&lt;=Görevler!$C28+ROUND(Görevler!$F28*Görevler!$E28,0)-1,2,1),""))</f>
        <v/>
      </c>
      <c r="AI28" s="22" t="str">
        <f aca="false">IF(Görevler!$F28="","",IF(AND(Görevler!$C28&lt;=(AI$4+Ayarlar!$C$6-1),Görevler!$D28&gt;=AI$4),IF(AI$4&lt;=Görevler!$C28+ROUND(Görevler!$F28*Görevler!$E28,0)-1,2,1),""))</f>
        <v/>
      </c>
      <c r="AJ28" s="22" t="str">
        <f aca="false">IF(Görevler!$F28="","",IF(AND(Görevler!$C28&lt;=(AJ$4+Ayarlar!$C$6-1),Görevler!$D28&gt;=AJ$4),IF(AJ$4&lt;=Görevler!$C28+ROUND(Görevler!$F28*Görevler!$E28,0)-1,2,1),""))</f>
        <v/>
      </c>
      <c r="AK28" s="22" t="str">
        <f aca="false">IF(Görevler!$F28="","",IF(AND(Görevler!$C28&lt;=(AK$4+Ayarlar!$C$6-1),Görevler!$D28&gt;=AK$4),IF(AK$4&lt;=Görevler!$C28+ROUND(Görevler!$F28*Görevler!$E28,0)-1,2,1),""))</f>
        <v/>
      </c>
      <c r="AL28" s="22" t="str">
        <f aca="false">IF(Görevler!$F28="","",IF(AND(Görevler!$C28&lt;=(AL$4+Ayarlar!$C$6-1),Görevler!$D28&gt;=AL$4),IF(AL$4&lt;=Görevler!$C28+ROUND(Görevler!$F28*Görevler!$E28,0)-1,2,1),""))</f>
        <v/>
      </c>
      <c r="AM28" s="22" t="str">
        <f aca="false">IF(Görevler!$F28="","",IF(AND(Görevler!$C28&lt;=(AM$4+Ayarlar!$C$6-1),Görevler!$D28&gt;=AM$4),IF(AM$4&lt;=Görevler!$C28+ROUND(Görevler!$F28*Görevler!$E28,0)-1,2,1),""))</f>
        <v/>
      </c>
      <c r="AN28" s="22" t="str">
        <f aca="false">IF(Görevler!$F28="","",IF(AND(Görevler!$C28&lt;=(AN$4+Ayarlar!$C$6-1),Görevler!$D28&gt;=AN$4),IF(AN$4&lt;=Görevler!$C28+ROUND(Görevler!$F28*Görevler!$E28,0)-1,2,1),""))</f>
        <v/>
      </c>
      <c r="AO28" s="22" t="str">
        <f aca="false">IF(Görevler!$F28="","",IF(AND(Görevler!$C28&lt;=(AO$4+Ayarlar!$C$6-1),Görevler!$D28&gt;=AO$4),IF(AO$4&lt;=Görevler!$C28+ROUND(Görevler!$F28*Görevler!$E28,0)-1,2,1),""))</f>
        <v/>
      </c>
      <c r="AP28" s="22" t="str">
        <f aca="false">IF(Görevler!$F28="","",IF(AND(Görevler!$C28&lt;=(AP$4+Ayarlar!$C$6-1),Görevler!$D28&gt;=AP$4),IF(AP$4&lt;=Görevler!$C28+ROUND(Görevler!$F28*Görevler!$E28,0)-1,2,1),""))</f>
        <v/>
      </c>
      <c r="AQ28" s="22" t="str">
        <f aca="false">IF(Görevler!$F28="","",IF(AND(Görevler!$C28&lt;=(AQ$4+Ayarlar!$C$6-1),Görevler!$D28&gt;=AQ$4),IF(AQ$4&lt;=Görevler!$C28+ROUND(Görevler!$F28*Görevler!$E28,0)-1,2,1),""))</f>
        <v/>
      </c>
      <c r="AR28" s="22" t="str">
        <f aca="false">IF(Görevler!$F28="","",IF(AND(Görevler!$C28&lt;=(AR$4+Ayarlar!$C$6-1),Görevler!$D28&gt;=AR$4),IF(AR$4&lt;=Görevler!$C28+ROUND(Görevler!$F28*Görevler!$E28,0)-1,2,1),""))</f>
        <v/>
      </c>
      <c r="AS28" s="22" t="str">
        <f aca="false">IF(Görevler!$F28="","",IF(AND(Görevler!$C28&lt;=(AS$4+Ayarlar!$C$6-1),Görevler!$D28&gt;=AS$4),IF(AS$4&lt;=Görevler!$C28+ROUND(Görevler!$F28*Görevler!$E28,0)-1,2,1),""))</f>
        <v/>
      </c>
      <c r="AT28" s="22" t="str">
        <f aca="false">IF(Görevler!$F28="","",IF(AND(Görevler!$C28&lt;=(AT$4+Ayarlar!$C$6-1),Görevler!$D28&gt;=AT$4),IF(AT$4&lt;=Görevler!$C28+ROUND(Görevler!$F28*Görevler!$E28,0)-1,2,1),""))</f>
        <v/>
      </c>
      <c r="AU28" s="22" t="str">
        <f aca="false">IF(Görevler!$F28="","",IF(AND(Görevler!$C28&lt;=(AU$4+Ayarlar!$C$6-1),Görevler!$D28&gt;=AU$4),IF(AU$4&lt;=Görevler!$C28+ROUND(Görevler!$F28*Görevler!$E28,0)-1,2,1),""))</f>
        <v/>
      </c>
      <c r="AV28" s="22" t="str">
        <f aca="false">IF(Görevler!$F28="","",IF(AND(Görevler!$C28&lt;=(AV$4+Ayarlar!$C$6-1),Görevler!$D28&gt;=AV$4),IF(AV$4&lt;=Görevler!$C28+ROUND(Görevler!$F28*Görevler!$E28,0)-1,2,1),""))</f>
        <v/>
      </c>
      <c r="AW28" s="22" t="str">
        <f aca="false">IF(Görevler!$F28="","",IF(AND(Görevler!$C28&lt;=(AW$4+Ayarlar!$C$6-1),Görevler!$D28&gt;=AW$4),IF(AW$4&lt;=Görevler!$C28+ROUND(Görevler!$F28*Görevler!$E28,0)-1,2,1),""))</f>
        <v/>
      </c>
      <c r="AX28" s="22" t="str">
        <f aca="false">IF(Görevler!$F28="","",IF(AND(Görevler!$C28&lt;=(AX$4+Ayarlar!$C$6-1),Görevler!$D28&gt;=AX$4),IF(AX$4&lt;=Görevler!$C28+ROUND(Görevler!$F28*Görevler!$E28,0)-1,2,1),""))</f>
        <v/>
      </c>
      <c r="AY28" s="22" t="str">
        <f aca="false">IF(Görevler!$F28="","",IF(AND(Görevler!$C28&lt;=(AY$4+Ayarlar!$C$6-1),Görevler!$D28&gt;=AY$4),IF(AY$4&lt;=Görevler!$C28+ROUND(Görevler!$F28*Görevler!$E28,0)-1,2,1),""))</f>
        <v/>
      </c>
      <c r="AZ28" s="22" t="str">
        <f aca="false">IF(Görevler!$F28="","",IF(AND(Görevler!$C28&lt;=(AZ$4+Ayarlar!$C$6-1),Görevler!$D28&gt;=AZ$4),IF(AZ$4&lt;=Görevler!$C28+ROUND(Görevler!$F28*Görevler!$E28,0)-1,2,1),""))</f>
        <v/>
      </c>
      <c r="BA28" s="22" t="str">
        <f aca="false">IF(Görevler!$F28="","",IF(AND(Görevler!$C28&lt;=(BA$4+Ayarlar!$C$6-1),Görevler!$D28&gt;=BA$4),IF(BA$4&lt;=Görevler!$C28+ROUND(Görevler!$F28*Görevler!$E28,0)-1,2,1),""))</f>
        <v/>
      </c>
      <c r="BB28" s="22" t="str">
        <f aca="false">IF(Görevler!$F28="","",IF(AND(Görevler!$C28&lt;=(BB$4+Ayarlar!$C$6-1),Görevler!$D28&gt;=BB$4),IF(BB$4&lt;=Görevler!$C28+ROUND(Görevler!$F28*Görevler!$E28,0)-1,2,1),""))</f>
        <v/>
      </c>
      <c r="BC28" s="22" t="str">
        <f aca="false">IF(Görevler!$F28="","",IF(AND(Görevler!$C28&lt;=(BC$4+Ayarlar!$C$6-1),Görevler!$D28&gt;=BC$4),IF(BC$4&lt;=Görevler!$C28+ROUND(Görevler!$F28*Görevler!$E28,0)-1,2,1),""))</f>
        <v/>
      </c>
      <c r="BD28" s="22" t="str">
        <f aca="false">IF(Görevler!$F28="","",IF(AND(Görevler!$C28&lt;=(BD$4+Ayarlar!$C$6-1),Görevler!$D28&gt;=BD$4),IF(BD$4&lt;=Görevler!$C28+ROUND(Görevler!$F28*Görevler!$E28,0)-1,2,1),""))</f>
        <v/>
      </c>
      <c r="BE28" s="22" t="str">
        <f aca="false">IF(Görevler!$F28="","",IF(AND(Görevler!$C28&lt;=(BE$4+Ayarlar!$C$6-1),Görevler!$D28&gt;=BE$4),IF(BE$4&lt;=Görevler!$C28+ROUND(Görevler!$F28*Görevler!$E28,0)-1,2,1),""))</f>
        <v/>
      </c>
      <c r="BF28" s="22" t="str">
        <f aca="false">IF(Görevler!$F28="","",IF(AND(Görevler!$C28&lt;=(BF$4+Ayarlar!$C$6-1),Görevler!$D28&gt;=BF$4),IF(BF$4&lt;=Görevler!$C28+ROUND(Görevler!$F28*Görevler!$E28,0)-1,2,1),""))</f>
        <v/>
      </c>
      <c r="BG28" s="22" t="str">
        <f aca="false">IF(Görevler!$F28="","",IF(AND(Görevler!$C28&lt;=(BG$4+Ayarlar!$C$6-1),Görevler!$D28&gt;=BG$4),IF(BG$4&lt;=Görevler!$C28+ROUND(Görevler!$F28*Görevler!$E28,0)-1,2,1),""))</f>
        <v/>
      </c>
      <c r="BH28" s="22" t="str">
        <f aca="false">IF(Görevler!$F28="","",IF(AND(Görevler!$C28&lt;=(BH$4+Ayarlar!$C$6-1),Görevler!$D28&gt;=BH$4),IF(BH$4&lt;=Görevler!$C28+ROUND(Görevler!$F28*Görevler!$E28,0)-1,2,1),""))</f>
        <v/>
      </c>
      <c r="BI28" s="22" t="str">
        <f aca="false">IF(Görevler!$F28="","",IF(AND(Görevler!$C28&lt;=(BI$4+Ayarlar!$C$6-1),Görevler!$D28&gt;=BI$4),IF(BI$4&lt;=Görevler!$C28+ROUND(Görevler!$F28*Görevler!$E28,0)-1,2,1),""))</f>
        <v/>
      </c>
      <c r="BJ28" s="22" t="str">
        <f aca="false">IF(Görevler!$F28="","",IF(AND(Görevler!$C28&lt;=(BJ$4+Ayarlar!$C$6-1),Görevler!$D28&gt;=BJ$4),IF(BJ$4&lt;=Görevler!$C28+ROUND(Görevler!$F28*Görevler!$E28,0)-1,2,1),""))</f>
        <v/>
      </c>
    </row>
    <row r="29" customFormat="false" ht="15" hidden="false" customHeight="false" outlineLevel="0" collapsed="false">
      <c r="A29" s="21" t="str">
        <f aca="false">IF(Görevler!A29="","",Görevler!A29)</f>
        <v/>
      </c>
      <c r="B29" s="21" t="str">
        <f aca="false">IF(Görevler!A29="","",Görevler!B29&amp;"")</f>
        <v/>
      </c>
      <c r="C29" s="22" t="str">
        <f aca="false">IF(Görevler!$F29="","",IF(AND(Görevler!$C29&lt;=(C$4+Ayarlar!$C$6-1),Görevler!$D29&gt;=C$4),IF(C$4&lt;=Görevler!$C29+ROUND(Görevler!$F29*Görevler!$E29,0)-1,2,1),""))</f>
        <v/>
      </c>
      <c r="D29" s="22" t="str">
        <f aca="false">IF(Görevler!$F29="","",IF(AND(Görevler!$C29&lt;=(D$4+Ayarlar!$C$6-1),Görevler!$D29&gt;=D$4),IF(D$4&lt;=Görevler!$C29+ROUND(Görevler!$F29*Görevler!$E29,0)-1,2,1),""))</f>
        <v/>
      </c>
      <c r="E29" s="22" t="str">
        <f aca="false">IF(Görevler!$F29="","",IF(AND(Görevler!$C29&lt;=(E$4+Ayarlar!$C$6-1),Görevler!$D29&gt;=E$4),IF(E$4&lt;=Görevler!$C29+ROUND(Görevler!$F29*Görevler!$E29,0)-1,2,1),""))</f>
        <v/>
      </c>
      <c r="F29" s="22" t="str">
        <f aca="false">IF(Görevler!$F29="","",IF(AND(Görevler!$C29&lt;=(F$4+Ayarlar!$C$6-1),Görevler!$D29&gt;=F$4),IF(F$4&lt;=Görevler!$C29+ROUND(Görevler!$F29*Görevler!$E29,0)-1,2,1),""))</f>
        <v/>
      </c>
      <c r="G29" s="22" t="str">
        <f aca="false">IF(Görevler!$F29="","",IF(AND(Görevler!$C29&lt;=(G$4+Ayarlar!$C$6-1),Görevler!$D29&gt;=G$4),IF(G$4&lt;=Görevler!$C29+ROUND(Görevler!$F29*Görevler!$E29,0)-1,2,1),""))</f>
        <v/>
      </c>
      <c r="H29" s="22" t="str">
        <f aca="false">IF(Görevler!$F29="","",IF(AND(Görevler!$C29&lt;=(H$4+Ayarlar!$C$6-1),Görevler!$D29&gt;=H$4),IF(H$4&lt;=Görevler!$C29+ROUND(Görevler!$F29*Görevler!$E29,0)-1,2,1),""))</f>
        <v/>
      </c>
      <c r="I29" s="22" t="str">
        <f aca="false">IF(Görevler!$F29="","",IF(AND(Görevler!$C29&lt;=(I$4+Ayarlar!$C$6-1),Görevler!$D29&gt;=I$4),IF(I$4&lt;=Görevler!$C29+ROUND(Görevler!$F29*Görevler!$E29,0)-1,2,1),""))</f>
        <v/>
      </c>
      <c r="J29" s="22" t="str">
        <f aca="false">IF(Görevler!$F29="","",IF(AND(Görevler!$C29&lt;=(J$4+Ayarlar!$C$6-1),Görevler!$D29&gt;=J$4),IF(J$4&lt;=Görevler!$C29+ROUND(Görevler!$F29*Görevler!$E29,0)-1,2,1),""))</f>
        <v/>
      </c>
      <c r="K29" s="22" t="str">
        <f aca="false">IF(Görevler!$F29="","",IF(AND(Görevler!$C29&lt;=(K$4+Ayarlar!$C$6-1),Görevler!$D29&gt;=K$4),IF(K$4&lt;=Görevler!$C29+ROUND(Görevler!$F29*Görevler!$E29,0)-1,2,1),""))</f>
        <v/>
      </c>
      <c r="L29" s="22" t="str">
        <f aca="false">IF(Görevler!$F29="","",IF(AND(Görevler!$C29&lt;=(L$4+Ayarlar!$C$6-1),Görevler!$D29&gt;=L$4),IF(L$4&lt;=Görevler!$C29+ROUND(Görevler!$F29*Görevler!$E29,0)-1,2,1),""))</f>
        <v/>
      </c>
      <c r="M29" s="22" t="str">
        <f aca="false">IF(Görevler!$F29="","",IF(AND(Görevler!$C29&lt;=(M$4+Ayarlar!$C$6-1),Görevler!$D29&gt;=M$4),IF(M$4&lt;=Görevler!$C29+ROUND(Görevler!$F29*Görevler!$E29,0)-1,2,1),""))</f>
        <v/>
      </c>
      <c r="N29" s="22" t="str">
        <f aca="false">IF(Görevler!$F29="","",IF(AND(Görevler!$C29&lt;=(N$4+Ayarlar!$C$6-1),Görevler!$D29&gt;=N$4),IF(N$4&lt;=Görevler!$C29+ROUND(Görevler!$F29*Görevler!$E29,0)-1,2,1),""))</f>
        <v/>
      </c>
      <c r="O29" s="22" t="str">
        <f aca="false">IF(Görevler!$F29="","",IF(AND(Görevler!$C29&lt;=(O$4+Ayarlar!$C$6-1),Görevler!$D29&gt;=O$4),IF(O$4&lt;=Görevler!$C29+ROUND(Görevler!$F29*Görevler!$E29,0)-1,2,1),""))</f>
        <v/>
      </c>
      <c r="P29" s="22" t="str">
        <f aca="false">IF(Görevler!$F29="","",IF(AND(Görevler!$C29&lt;=(P$4+Ayarlar!$C$6-1),Görevler!$D29&gt;=P$4),IF(P$4&lt;=Görevler!$C29+ROUND(Görevler!$F29*Görevler!$E29,0)-1,2,1),""))</f>
        <v/>
      </c>
      <c r="Q29" s="22" t="str">
        <f aca="false">IF(Görevler!$F29="","",IF(AND(Görevler!$C29&lt;=(Q$4+Ayarlar!$C$6-1),Görevler!$D29&gt;=Q$4),IF(Q$4&lt;=Görevler!$C29+ROUND(Görevler!$F29*Görevler!$E29,0)-1,2,1),""))</f>
        <v/>
      </c>
      <c r="R29" s="22" t="str">
        <f aca="false">IF(Görevler!$F29="","",IF(AND(Görevler!$C29&lt;=(R$4+Ayarlar!$C$6-1),Görevler!$D29&gt;=R$4),IF(R$4&lt;=Görevler!$C29+ROUND(Görevler!$F29*Görevler!$E29,0)-1,2,1),""))</f>
        <v/>
      </c>
      <c r="S29" s="22" t="str">
        <f aca="false">IF(Görevler!$F29="","",IF(AND(Görevler!$C29&lt;=(S$4+Ayarlar!$C$6-1),Görevler!$D29&gt;=S$4),IF(S$4&lt;=Görevler!$C29+ROUND(Görevler!$F29*Görevler!$E29,0)-1,2,1),""))</f>
        <v/>
      </c>
      <c r="T29" s="22" t="str">
        <f aca="false">IF(Görevler!$F29="","",IF(AND(Görevler!$C29&lt;=(T$4+Ayarlar!$C$6-1),Görevler!$D29&gt;=T$4),IF(T$4&lt;=Görevler!$C29+ROUND(Görevler!$F29*Görevler!$E29,0)-1,2,1),""))</f>
        <v/>
      </c>
      <c r="U29" s="22" t="str">
        <f aca="false">IF(Görevler!$F29="","",IF(AND(Görevler!$C29&lt;=(U$4+Ayarlar!$C$6-1),Görevler!$D29&gt;=U$4),IF(U$4&lt;=Görevler!$C29+ROUND(Görevler!$F29*Görevler!$E29,0)-1,2,1),""))</f>
        <v/>
      </c>
      <c r="V29" s="22" t="str">
        <f aca="false">IF(Görevler!$F29="","",IF(AND(Görevler!$C29&lt;=(V$4+Ayarlar!$C$6-1),Görevler!$D29&gt;=V$4),IF(V$4&lt;=Görevler!$C29+ROUND(Görevler!$F29*Görevler!$E29,0)-1,2,1),""))</f>
        <v/>
      </c>
      <c r="W29" s="22" t="str">
        <f aca="false">IF(Görevler!$F29="","",IF(AND(Görevler!$C29&lt;=(W$4+Ayarlar!$C$6-1),Görevler!$D29&gt;=W$4),IF(W$4&lt;=Görevler!$C29+ROUND(Görevler!$F29*Görevler!$E29,0)-1,2,1),""))</f>
        <v/>
      </c>
      <c r="X29" s="22" t="str">
        <f aca="false">IF(Görevler!$F29="","",IF(AND(Görevler!$C29&lt;=(X$4+Ayarlar!$C$6-1),Görevler!$D29&gt;=X$4),IF(X$4&lt;=Görevler!$C29+ROUND(Görevler!$F29*Görevler!$E29,0)-1,2,1),""))</f>
        <v/>
      </c>
      <c r="Y29" s="22" t="str">
        <f aca="false">IF(Görevler!$F29="","",IF(AND(Görevler!$C29&lt;=(Y$4+Ayarlar!$C$6-1),Görevler!$D29&gt;=Y$4),IF(Y$4&lt;=Görevler!$C29+ROUND(Görevler!$F29*Görevler!$E29,0)-1,2,1),""))</f>
        <v/>
      </c>
      <c r="Z29" s="22" t="str">
        <f aca="false">IF(Görevler!$F29="","",IF(AND(Görevler!$C29&lt;=(Z$4+Ayarlar!$C$6-1),Görevler!$D29&gt;=Z$4),IF(Z$4&lt;=Görevler!$C29+ROUND(Görevler!$F29*Görevler!$E29,0)-1,2,1),""))</f>
        <v/>
      </c>
      <c r="AA29" s="22" t="str">
        <f aca="false">IF(Görevler!$F29="","",IF(AND(Görevler!$C29&lt;=(AA$4+Ayarlar!$C$6-1),Görevler!$D29&gt;=AA$4),IF(AA$4&lt;=Görevler!$C29+ROUND(Görevler!$F29*Görevler!$E29,0)-1,2,1),""))</f>
        <v/>
      </c>
      <c r="AB29" s="22" t="str">
        <f aca="false">IF(Görevler!$F29="","",IF(AND(Görevler!$C29&lt;=(AB$4+Ayarlar!$C$6-1),Görevler!$D29&gt;=AB$4),IF(AB$4&lt;=Görevler!$C29+ROUND(Görevler!$F29*Görevler!$E29,0)-1,2,1),""))</f>
        <v/>
      </c>
      <c r="AC29" s="22" t="str">
        <f aca="false">IF(Görevler!$F29="","",IF(AND(Görevler!$C29&lt;=(AC$4+Ayarlar!$C$6-1),Görevler!$D29&gt;=AC$4),IF(AC$4&lt;=Görevler!$C29+ROUND(Görevler!$F29*Görevler!$E29,0)-1,2,1),""))</f>
        <v/>
      </c>
      <c r="AD29" s="22" t="str">
        <f aca="false">IF(Görevler!$F29="","",IF(AND(Görevler!$C29&lt;=(AD$4+Ayarlar!$C$6-1),Görevler!$D29&gt;=AD$4),IF(AD$4&lt;=Görevler!$C29+ROUND(Görevler!$F29*Görevler!$E29,0)-1,2,1),""))</f>
        <v/>
      </c>
      <c r="AE29" s="22" t="str">
        <f aca="false">IF(Görevler!$F29="","",IF(AND(Görevler!$C29&lt;=(AE$4+Ayarlar!$C$6-1),Görevler!$D29&gt;=AE$4),IF(AE$4&lt;=Görevler!$C29+ROUND(Görevler!$F29*Görevler!$E29,0)-1,2,1),""))</f>
        <v/>
      </c>
      <c r="AF29" s="22" t="str">
        <f aca="false">IF(Görevler!$F29="","",IF(AND(Görevler!$C29&lt;=(AF$4+Ayarlar!$C$6-1),Görevler!$D29&gt;=AF$4),IF(AF$4&lt;=Görevler!$C29+ROUND(Görevler!$F29*Görevler!$E29,0)-1,2,1),""))</f>
        <v/>
      </c>
      <c r="AG29" s="22" t="str">
        <f aca="false">IF(Görevler!$F29="","",IF(AND(Görevler!$C29&lt;=(AG$4+Ayarlar!$C$6-1),Görevler!$D29&gt;=AG$4),IF(AG$4&lt;=Görevler!$C29+ROUND(Görevler!$F29*Görevler!$E29,0)-1,2,1),""))</f>
        <v/>
      </c>
      <c r="AH29" s="22" t="str">
        <f aca="false">IF(Görevler!$F29="","",IF(AND(Görevler!$C29&lt;=(AH$4+Ayarlar!$C$6-1),Görevler!$D29&gt;=AH$4),IF(AH$4&lt;=Görevler!$C29+ROUND(Görevler!$F29*Görevler!$E29,0)-1,2,1),""))</f>
        <v/>
      </c>
      <c r="AI29" s="22" t="str">
        <f aca="false">IF(Görevler!$F29="","",IF(AND(Görevler!$C29&lt;=(AI$4+Ayarlar!$C$6-1),Görevler!$D29&gt;=AI$4),IF(AI$4&lt;=Görevler!$C29+ROUND(Görevler!$F29*Görevler!$E29,0)-1,2,1),""))</f>
        <v/>
      </c>
      <c r="AJ29" s="22" t="str">
        <f aca="false">IF(Görevler!$F29="","",IF(AND(Görevler!$C29&lt;=(AJ$4+Ayarlar!$C$6-1),Görevler!$D29&gt;=AJ$4),IF(AJ$4&lt;=Görevler!$C29+ROUND(Görevler!$F29*Görevler!$E29,0)-1,2,1),""))</f>
        <v/>
      </c>
      <c r="AK29" s="22" t="str">
        <f aca="false">IF(Görevler!$F29="","",IF(AND(Görevler!$C29&lt;=(AK$4+Ayarlar!$C$6-1),Görevler!$D29&gt;=AK$4),IF(AK$4&lt;=Görevler!$C29+ROUND(Görevler!$F29*Görevler!$E29,0)-1,2,1),""))</f>
        <v/>
      </c>
      <c r="AL29" s="22" t="str">
        <f aca="false">IF(Görevler!$F29="","",IF(AND(Görevler!$C29&lt;=(AL$4+Ayarlar!$C$6-1),Görevler!$D29&gt;=AL$4),IF(AL$4&lt;=Görevler!$C29+ROUND(Görevler!$F29*Görevler!$E29,0)-1,2,1),""))</f>
        <v/>
      </c>
      <c r="AM29" s="22" t="str">
        <f aca="false">IF(Görevler!$F29="","",IF(AND(Görevler!$C29&lt;=(AM$4+Ayarlar!$C$6-1),Görevler!$D29&gt;=AM$4),IF(AM$4&lt;=Görevler!$C29+ROUND(Görevler!$F29*Görevler!$E29,0)-1,2,1),""))</f>
        <v/>
      </c>
      <c r="AN29" s="22" t="str">
        <f aca="false">IF(Görevler!$F29="","",IF(AND(Görevler!$C29&lt;=(AN$4+Ayarlar!$C$6-1),Görevler!$D29&gt;=AN$4),IF(AN$4&lt;=Görevler!$C29+ROUND(Görevler!$F29*Görevler!$E29,0)-1,2,1),""))</f>
        <v/>
      </c>
      <c r="AO29" s="22" t="str">
        <f aca="false">IF(Görevler!$F29="","",IF(AND(Görevler!$C29&lt;=(AO$4+Ayarlar!$C$6-1),Görevler!$D29&gt;=AO$4),IF(AO$4&lt;=Görevler!$C29+ROUND(Görevler!$F29*Görevler!$E29,0)-1,2,1),""))</f>
        <v/>
      </c>
      <c r="AP29" s="22" t="str">
        <f aca="false">IF(Görevler!$F29="","",IF(AND(Görevler!$C29&lt;=(AP$4+Ayarlar!$C$6-1),Görevler!$D29&gt;=AP$4),IF(AP$4&lt;=Görevler!$C29+ROUND(Görevler!$F29*Görevler!$E29,0)-1,2,1),""))</f>
        <v/>
      </c>
      <c r="AQ29" s="22" t="str">
        <f aca="false">IF(Görevler!$F29="","",IF(AND(Görevler!$C29&lt;=(AQ$4+Ayarlar!$C$6-1),Görevler!$D29&gt;=AQ$4),IF(AQ$4&lt;=Görevler!$C29+ROUND(Görevler!$F29*Görevler!$E29,0)-1,2,1),""))</f>
        <v/>
      </c>
      <c r="AR29" s="22" t="str">
        <f aca="false">IF(Görevler!$F29="","",IF(AND(Görevler!$C29&lt;=(AR$4+Ayarlar!$C$6-1),Görevler!$D29&gt;=AR$4),IF(AR$4&lt;=Görevler!$C29+ROUND(Görevler!$F29*Görevler!$E29,0)-1,2,1),""))</f>
        <v/>
      </c>
      <c r="AS29" s="22" t="str">
        <f aca="false">IF(Görevler!$F29="","",IF(AND(Görevler!$C29&lt;=(AS$4+Ayarlar!$C$6-1),Görevler!$D29&gt;=AS$4),IF(AS$4&lt;=Görevler!$C29+ROUND(Görevler!$F29*Görevler!$E29,0)-1,2,1),""))</f>
        <v/>
      </c>
      <c r="AT29" s="22" t="str">
        <f aca="false">IF(Görevler!$F29="","",IF(AND(Görevler!$C29&lt;=(AT$4+Ayarlar!$C$6-1),Görevler!$D29&gt;=AT$4),IF(AT$4&lt;=Görevler!$C29+ROUND(Görevler!$F29*Görevler!$E29,0)-1,2,1),""))</f>
        <v/>
      </c>
      <c r="AU29" s="22" t="str">
        <f aca="false">IF(Görevler!$F29="","",IF(AND(Görevler!$C29&lt;=(AU$4+Ayarlar!$C$6-1),Görevler!$D29&gt;=AU$4),IF(AU$4&lt;=Görevler!$C29+ROUND(Görevler!$F29*Görevler!$E29,0)-1,2,1),""))</f>
        <v/>
      </c>
      <c r="AV29" s="22" t="str">
        <f aca="false">IF(Görevler!$F29="","",IF(AND(Görevler!$C29&lt;=(AV$4+Ayarlar!$C$6-1),Görevler!$D29&gt;=AV$4),IF(AV$4&lt;=Görevler!$C29+ROUND(Görevler!$F29*Görevler!$E29,0)-1,2,1),""))</f>
        <v/>
      </c>
      <c r="AW29" s="22" t="str">
        <f aca="false">IF(Görevler!$F29="","",IF(AND(Görevler!$C29&lt;=(AW$4+Ayarlar!$C$6-1),Görevler!$D29&gt;=AW$4),IF(AW$4&lt;=Görevler!$C29+ROUND(Görevler!$F29*Görevler!$E29,0)-1,2,1),""))</f>
        <v/>
      </c>
      <c r="AX29" s="22" t="str">
        <f aca="false">IF(Görevler!$F29="","",IF(AND(Görevler!$C29&lt;=(AX$4+Ayarlar!$C$6-1),Görevler!$D29&gt;=AX$4),IF(AX$4&lt;=Görevler!$C29+ROUND(Görevler!$F29*Görevler!$E29,0)-1,2,1),""))</f>
        <v/>
      </c>
      <c r="AY29" s="22" t="str">
        <f aca="false">IF(Görevler!$F29="","",IF(AND(Görevler!$C29&lt;=(AY$4+Ayarlar!$C$6-1),Görevler!$D29&gt;=AY$4),IF(AY$4&lt;=Görevler!$C29+ROUND(Görevler!$F29*Görevler!$E29,0)-1,2,1),""))</f>
        <v/>
      </c>
      <c r="AZ29" s="22" t="str">
        <f aca="false">IF(Görevler!$F29="","",IF(AND(Görevler!$C29&lt;=(AZ$4+Ayarlar!$C$6-1),Görevler!$D29&gt;=AZ$4),IF(AZ$4&lt;=Görevler!$C29+ROUND(Görevler!$F29*Görevler!$E29,0)-1,2,1),""))</f>
        <v/>
      </c>
      <c r="BA29" s="22" t="str">
        <f aca="false">IF(Görevler!$F29="","",IF(AND(Görevler!$C29&lt;=(BA$4+Ayarlar!$C$6-1),Görevler!$D29&gt;=BA$4),IF(BA$4&lt;=Görevler!$C29+ROUND(Görevler!$F29*Görevler!$E29,0)-1,2,1),""))</f>
        <v/>
      </c>
      <c r="BB29" s="22" t="str">
        <f aca="false">IF(Görevler!$F29="","",IF(AND(Görevler!$C29&lt;=(BB$4+Ayarlar!$C$6-1),Görevler!$D29&gt;=BB$4),IF(BB$4&lt;=Görevler!$C29+ROUND(Görevler!$F29*Görevler!$E29,0)-1,2,1),""))</f>
        <v/>
      </c>
      <c r="BC29" s="22" t="str">
        <f aca="false">IF(Görevler!$F29="","",IF(AND(Görevler!$C29&lt;=(BC$4+Ayarlar!$C$6-1),Görevler!$D29&gt;=BC$4),IF(BC$4&lt;=Görevler!$C29+ROUND(Görevler!$F29*Görevler!$E29,0)-1,2,1),""))</f>
        <v/>
      </c>
      <c r="BD29" s="22" t="str">
        <f aca="false">IF(Görevler!$F29="","",IF(AND(Görevler!$C29&lt;=(BD$4+Ayarlar!$C$6-1),Görevler!$D29&gt;=BD$4),IF(BD$4&lt;=Görevler!$C29+ROUND(Görevler!$F29*Görevler!$E29,0)-1,2,1),""))</f>
        <v/>
      </c>
      <c r="BE29" s="22" t="str">
        <f aca="false">IF(Görevler!$F29="","",IF(AND(Görevler!$C29&lt;=(BE$4+Ayarlar!$C$6-1),Görevler!$D29&gt;=BE$4),IF(BE$4&lt;=Görevler!$C29+ROUND(Görevler!$F29*Görevler!$E29,0)-1,2,1),""))</f>
        <v/>
      </c>
      <c r="BF29" s="22" t="str">
        <f aca="false">IF(Görevler!$F29="","",IF(AND(Görevler!$C29&lt;=(BF$4+Ayarlar!$C$6-1),Görevler!$D29&gt;=BF$4),IF(BF$4&lt;=Görevler!$C29+ROUND(Görevler!$F29*Görevler!$E29,0)-1,2,1),""))</f>
        <v/>
      </c>
      <c r="BG29" s="22" t="str">
        <f aca="false">IF(Görevler!$F29="","",IF(AND(Görevler!$C29&lt;=(BG$4+Ayarlar!$C$6-1),Görevler!$D29&gt;=BG$4),IF(BG$4&lt;=Görevler!$C29+ROUND(Görevler!$F29*Görevler!$E29,0)-1,2,1),""))</f>
        <v/>
      </c>
      <c r="BH29" s="22" t="str">
        <f aca="false">IF(Görevler!$F29="","",IF(AND(Görevler!$C29&lt;=(BH$4+Ayarlar!$C$6-1),Görevler!$D29&gt;=BH$4),IF(BH$4&lt;=Görevler!$C29+ROUND(Görevler!$F29*Görevler!$E29,0)-1,2,1),""))</f>
        <v/>
      </c>
      <c r="BI29" s="22" t="str">
        <f aca="false">IF(Görevler!$F29="","",IF(AND(Görevler!$C29&lt;=(BI$4+Ayarlar!$C$6-1),Görevler!$D29&gt;=BI$4),IF(BI$4&lt;=Görevler!$C29+ROUND(Görevler!$F29*Görevler!$E29,0)-1,2,1),""))</f>
        <v/>
      </c>
      <c r="BJ29" s="22" t="str">
        <f aca="false">IF(Görevler!$F29="","",IF(AND(Görevler!$C29&lt;=(BJ$4+Ayarlar!$C$6-1),Görevler!$D29&gt;=BJ$4),IF(BJ$4&lt;=Görevler!$C29+ROUND(Görevler!$F29*Görevler!$E29,0)-1,2,1),""))</f>
        <v/>
      </c>
    </row>
    <row r="30" customFormat="false" ht="15" hidden="false" customHeight="false" outlineLevel="0" collapsed="false">
      <c r="A30" s="21" t="str">
        <f aca="false">IF(Görevler!A30="","",Görevler!A30)</f>
        <v/>
      </c>
      <c r="B30" s="21" t="str">
        <f aca="false">IF(Görevler!A30="","",Görevler!B30&amp;"")</f>
        <v/>
      </c>
      <c r="C30" s="22" t="str">
        <f aca="false">IF(Görevler!$F30="","",IF(AND(Görevler!$C30&lt;=(C$4+Ayarlar!$C$6-1),Görevler!$D30&gt;=C$4),IF(C$4&lt;=Görevler!$C30+ROUND(Görevler!$F30*Görevler!$E30,0)-1,2,1),""))</f>
        <v/>
      </c>
      <c r="D30" s="22" t="str">
        <f aca="false">IF(Görevler!$F30="","",IF(AND(Görevler!$C30&lt;=(D$4+Ayarlar!$C$6-1),Görevler!$D30&gt;=D$4),IF(D$4&lt;=Görevler!$C30+ROUND(Görevler!$F30*Görevler!$E30,0)-1,2,1),""))</f>
        <v/>
      </c>
      <c r="E30" s="22" t="str">
        <f aca="false">IF(Görevler!$F30="","",IF(AND(Görevler!$C30&lt;=(E$4+Ayarlar!$C$6-1),Görevler!$D30&gt;=E$4),IF(E$4&lt;=Görevler!$C30+ROUND(Görevler!$F30*Görevler!$E30,0)-1,2,1),""))</f>
        <v/>
      </c>
      <c r="F30" s="22" t="str">
        <f aca="false">IF(Görevler!$F30="","",IF(AND(Görevler!$C30&lt;=(F$4+Ayarlar!$C$6-1),Görevler!$D30&gt;=F$4),IF(F$4&lt;=Görevler!$C30+ROUND(Görevler!$F30*Görevler!$E30,0)-1,2,1),""))</f>
        <v/>
      </c>
      <c r="G30" s="22" t="str">
        <f aca="false">IF(Görevler!$F30="","",IF(AND(Görevler!$C30&lt;=(G$4+Ayarlar!$C$6-1),Görevler!$D30&gt;=G$4),IF(G$4&lt;=Görevler!$C30+ROUND(Görevler!$F30*Görevler!$E30,0)-1,2,1),""))</f>
        <v/>
      </c>
      <c r="H30" s="22" t="str">
        <f aca="false">IF(Görevler!$F30="","",IF(AND(Görevler!$C30&lt;=(H$4+Ayarlar!$C$6-1),Görevler!$D30&gt;=H$4),IF(H$4&lt;=Görevler!$C30+ROUND(Görevler!$F30*Görevler!$E30,0)-1,2,1),""))</f>
        <v/>
      </c>
      <c r="I30" s="22" t="str">
        <f aca="false">IF(Görevler!$F30="","",IF(AND(Görevler!$C30&lt;=(I$4+Ayarlar!$C$6-1),Görevler!$D30&gt;=I$4),IF(I$4&lt;=Görevler!$C30+ROUND(Görevler!$F30*Görevler!$E30,0)-1,2,1),""))</f>
        <v/>
      </c>
      <c r="J30" s="22" t="str">
        <f aca="false">IF(Görevler!$F30="","",IF(AND(Görevler!$C30&lt;=(J$4+Ayarlar!$C$6-1),Görevler!$D30&gt;=J$4),IF(J$4&lt;=Görevler!$C30+ROUND(Görevler!$F30*Görevler!$E30,0)-1,2,1),""))</f>
        <v/>
      </c>
      <c r="K30" s="22" t="str">
        <f aca="false">IF(Görevler!$F30="","",IF(AND(Görevler!$C30&lt;=(K$4+Ayarlar!$C$6-1),Görevler!$D30&gt;=K$4),IF(K$4&lt;=Görevler!$C30+ROUND(Görevler!$F30*Görevler!$E30,0)-1,2,1),""))</f>
        <v/>
      </c>
      <c r="L30" s="22" t="str">
        <f aca="false">IF(Görevler!$F30="","",IF(AND(Görevler!$C30&lt;=(L$4+Ayarlar!$C$6-1),Görevler!$D30&gt;=L$4),IF(L$4&lt;=Görevler!$C30+ROUND(Görevler!$F30*Görevler!$E30,0)-1,2,1),""))</f>
        <v/>
      </c>
      <c r="M30" s="22" t="str">
        <f aca="false">IF(Görevler!$F30="","",IF(AND(Görevler!$C30&lt;=(M$4+Ayarlar!$C$6-1),Görevler!$D30&gt;=M$4),IF(M$4&lt;=Görevler!$C30+ROUND(Görevler!$F30*Görevler!$E30,0)-1,2,1),""))</f>
        <v/>
      </c>
      <c r="N30" s="22" t="str">
        <f aca="false">IF(Görevler!$F30="","",IF(AND(Görevler!$C30&lt;=(N$4+Ayarlar!$C$6-1),Görevler!$D30&gt;=N$4),IF(N$4&lt;=Görevler!$C30+ROUND(Görevler!$F30*Görevler!$E30,0)-1,2,1),""))</f>
        <v/>
      </c>
      <c r="O30" s="22" t="str">
        <f aca="false">IF(Görevler!$F30="","",IF(AND(Görevler!$C30&lt;=(O$4+Ayarlar!$C$6-1),Görevler!$D30&gt;=O$4),IF(O$4&lt;=Görevler!$C30+ROUND(Görevler!$F30*Görevler!$E30,0)-1,2,1),""))</f>
        <v/>
      </c>
      <c r="P30" s="22" t="str">
        <f aca="false">IF(Görevler!$F30="","",IF(AND(Görevler!$C30&lt;=(P$4+Ayarlar!$C$6-1),Görevler!$D30&gt;=P$4),IF(P$4&lt;=Görevler!$C30+ROUND(Görevler!$F30*Görevler!$E30,0)-1,2,1),""))</f>
        <v/>
      </c>
      <c r="Q30" s="22" t="str">
        <f aca="false">IF(Görevler!$F30="","",IF(AND(Görevler!$C30&lt;=(Q$4+Ayarlar!$C$6-1),Görevler!$D30&gt;=Q$4),IF(Q$4&lt;=Görevler!$C30+ROUND(Görevler!$F30*Görevler!$E30,0)-1,2,1),""))</f>
        <v/>
      </c>
      <c r="R30" s="22" t="str">
        <f aca="false">IF(Görevler!$F30="","",IF(AND(Görevler!$C30&lt;=(R$4+Ayarlar!$C$6-1),Görevler!$D30&gt;=R$4),IF(R$4&lt;=Görevler!$C30+ROUND(Görevler!$F30*Görevler!$E30,0)-1,2,1),""))</f>
        <v/>
      </c>
      <c r="S30" s="22" t="str">
        <f aca="false">IF(Görevler!$F30="","",IF(AND(Görevler!$C30&lt;=(S$4+Ayarlar!$C$6-1),Görevler!$D30&gt;=S$4),IF(S$4&lt;=Görevler!$C30+ROUND(Görevler!$F30*Görevler!$E30,0)-1,2,1),""))</f>
        <v/>
      </c>
      <c r="T30" s="22" t="str">
        <f aca="false">IF(Görevler!$F30="","",IF(AND(Görevler!$C30&lt;=(T$4+Ayarlar!$C$6-1),Görevler!$D30&gt;=T$4),IF(T$4&lt;=Görevler!$C30+ROUND(Görevler!$F30*Görevler!$E30,0)-1,2,1),""))</f>
        <v/>
      </c>
      <c r="U30" s="22" t="str">
        <f aca="false">IF(Görevler!$F30="","",IF(AND(Görevler!$C30&lt;=(U$4+Ayarlar!$C$6-1),Görevler!$D30&gt;=U$4),IF(U$4&lt;=Görevler!$C30+ROUND(Görevler!$F30*Görevler!$E30,0)-1,2,1),""))</f>
        <v/>
      </c>
      <c r="V30" s="22" t="str">
        <f aca="false">IF(Görevler!$F30="","",IF(AND(Görevler!$C30&lt;=(V$4+Ayarlar!$C$6-1),Görevler!$D30&gt;=V$4),IF(V$4&lt;=Görevler!$C30+ROUND(Görevler!$F30*Görevler!$E30,0)-1,2,1),""))</f>
        <v/>
      </c>
      <c r="W30" s="22" t="str">
        <f aca="false">IF(Görevler!$F30="","",IF(AND(Görevler!$C30&lt;=(W$4+Ayarlar!$C$6-1),Görevler!$D30&gt;=W$4),IF(W$4&lt;=Görevler!$C30+ROUND(Görevler!$F30*Görevler!$E30,0)-1,2,1),""))</f>
        <v/>
      </c>
      <c r="X30" s="22" t="str">
        <f aca="false">IF(Görevler!$F30="","",IF(AND(Görevler!$C30&lt;=(X$4+Ayarlar!$C$6-1),Görevler!$D30&gt;=X$4),IF(X$4&lt;=Görevler!$C30+ROUND(Görevler!$F30*Görevler!$E30,0)-1,2,1),""))</f>
        <v/>
      </c>
      <c r="Y30" s="22" t="str">
        <f aca="false">IF(Görevler!$F30="","",IF(AND(Görevler!$C30&lt;=(Y$4+Ayarlar!$C$6-1),Görevler!$D30&gt;=Y$4),IF(Y$4&lt;=Görevler!$C30+ROUND(Görevler!$F30*Görevler!$E30,0)-1,2,1),""))</f>
        <v/>
      </c>
      <c r="Z30" s="22" t="str">
        <f aca="false">IF(Görevler!$F30="","",IF(AND(Görevler!$C30&lt;=(Z$4+Ayarlar!$C$6-1),Görevler!$D30&gt;=Z$4),IF(Z$4&lt;=Görevler!$C30+ROUND(Görevler!$F30*Görevler!$E30,0)-1,2,1),""))</f>
        <v/>
      </c>
      <c r="AA30" s="22" t="str">
        <f aca="false">IF(Görevler!$F30="","",IF(AND(Görevler!$C30&lt;=(AA$4+Ayarlar!$C$6-1),Görevler!$D30&gt;=AA$4),IF(AA$4&lt;=Görevler!$C30+ROUND(Görevler!$F30*Görevler!$E30,0)-1,2,1),""))</f>
        <v/>
      </c>
      <c r="AB30" s="22" t="str">
        <f aca="false">IF(Görevler!$F30="","",IF(AND(Görevler!$C30&lt;=(AB$4+Ayarlar!$C$6-1),Görevler!$D30&gt;=AB$4),IF(AB$4&lt;=Görevler!$C30+ROUND(Görevler!$F30*Görevler!$E30,0)-1,2,1),""))</f>
        <v/>
      </c>
      <c r="AC30" s="22" t="str">
        <f aca="false">IF(Görevler!$F30="","",IF(AND(Görevler!$C30&lt;=(AC$4+Ayarlar!$C$6-1),Görevler!$D30&gt;=AC$4),IF(AC$4&lt;=Görevler!$C30+ROUND(Görevler!$F30*Görevler!$E30,0)-1,2,1),""))</f>
        <v/>
      </c>
      <c r="AD30" s="22" t="str">
        <f aca="false">IF(Görevler!$F30="","",IF(AND(Görevler!$C30&lt;=(AD$4+Ayarlar!$C$6-1),Görevler!$D30&gt;=AD$4),IF(AD$4&lt;=Görevler!$C30+ROUND(Görevler!$F30*Görevler!$E30,0)-1,2,1),""))</f>
        <v/>
      </c>
      <c r="AE30" s="22" t="str">
        <f aca="false">IF(Görevler!$F30="","",IF(AND(Görevler!$C30&lt;=(AE$4+Ayarlar!$C$6-1),Görevler!$D30&gt;=AE$4),IF(AE$4&lt;=Görevler!$C30+ROUND(Görevler!$F30*Görevler!$E30,0)-1,2,1),""))</f>
        <v/>
      </c>
      <c r="AF30" s="22" t="str">
        <f aca="false">IF(Görevler!$F30="","",IF(AND(Görevler!$C30&lt;=(AF$4+Ayarlar!$C$6-1),Görevler!$D30&gt;=AF$4),IF(AF$4&lt;=Görevler!$C30+ROUND(Görevler!$F30*Görevler!$E30,0)-1,2,1),""))</f>
        <v/>
      </c>
      <c r="AG30" s="22" t="str">
        <f aca="false">IF(Görevler!$F30="","",IF(AND(Görevler!$C30&lt;=(AG$4+Ayarlar!$C$6-1),Görevler!$D30&gt;=AG$4),IF(AG$4&lt;=Görevler!$C30+ROUND(Görevler!$F30*Görevler!$E30,0)-1,2,1),""))</f>
        <v/>
      </c>
      <c r="AH30" s="22" t="str">
        <f aca="false">IF(Görevler!$F30="","",IF(AND(Görevler!$C30&lt;=(AH$4+Ayarlar!$C$6-1),Görevler!$D30&gt;=AH$4),IF(AH$4&lt;=Görevler!$C30+ROUND(Görevler!$F30*Görevler!$E30,0)-1,2,1),""))</f>
        <v/>
      </c>
      <c r="AI30" s="22" t="str">
        <f aca="false">IF(Görevler!$F30="","",IF(AND(Görevler!$C30&lt;=(AI$4+Ayarlar!$C$6-1),Görevler!$D30&gt;=AI$4),IF(AI$4&lt;=Görevler!$C30+ROUND(Görevler!$F30*Görevler!$E30,0)-1,2,1),""))</f>
        <v/>
      </c>
      <c r="AJ30" s="22" t="str">
        <f aca="false">IF(Görevler!$F30="","",IF(AND(Görevler!$C30&lt;=(AJ$4+Ayarlar!$C$6-1),Görevler!$D30&gt;=AJ$4),IF(AJ$4&lt;=Görevler!$C30+ROUND(Görevler!$F30*Görevler!$E30,0)-1,2,1),""))</f>
        <v/>
      </c>
      <c r="AK30" s="22" t="str">
        <f aca="false">IF(Görevler!$F30="","",IF(AND(Görevler!$C30&lt;=(AK$4+Ayarlar!$C$6-1),Görevler!$D30&gt;=AK$4),IF(AK$4&lt;=Görevler!$C30+ROUND(Görevler!$F30*Görevler!$E30,0)-1,2,1),""))</f>
        <v/>
      </c>
      <c r="AL30" s="22" t="str">
        <f aca="false">IF(Görevler!$F30="","",IF(AND(Görevler!$C30&lt;=(AL$4+Ayarlar!$C$6-1),Görevler!$D30&gt;=AL$4),IF(AL$4&lt;=Görevler!$C30+ROUND(Görevler!$F30*Görevler!$E30,0)-1,2,1),""))</f>
        <v/>
      </c>
      <c r="AM30" s="22" t="str">
        <f aca="false">IF(Görevler!$F30="","",IF(AND(Görevler!$C30&lt;=(AM$4+Ayarlar!$C$6-1),Görevler!$D30&gt;=AM$4),IF(AM$4&lt;=Görevler!$C30+ROUND(Görevler!$F30*Görevler!$E30,0)-1,2,1),""))</f>
        <v/>
      </c>
      <c r="AN30" s="22" t="str">
        <f aca="false">IF(Görevler!$F30="","",IF(AND(Görevler!$C30&lt;=(AN$4+Ayarlar!$C$6-1),Görevler!$D30&gt;=AN$4),IF(AN$4&lt;=Görevler!$C30+ROUND(Görevler!$F30*Görevler!$E30,0)-1,2,1),""))</f>
        <v/>
      </c>
      <c r="AO30" s="22" t="str">
        <f aca="false">IF(Görevler!$F30="","",IF(AND(Görevler!$C30&lt;=(AO$4+Ayarlar!$C$6-1),Görevler!$D30&gt;=AO$4),IF(AO$4&lt;=Görevler!$C30+ROUND(Görevler!$F30*Görevler!$E30,0)-1,2,1),""))</f>
        <v/>
      </c>
      <c r="AP30" s="22" t="str">
        <f aca="false">IF(Görevler!$F30="","",IF(AND(Görevler!$C30&lt;=(AP$4+Ayarlar!$C$6-1),Görevler!$D30&gt;=AP$4),IF(AP$4&lt;=Görevler!$C30+ROUND(Görevler!$F30*Görevler!$E30,0)-1,2,1),""))</f>
        <v/>
      </c>
      <c r="AQ30" s="22" t="str">
        <f aca="false">IF(Görevler!$F30="","",IF(AND(Görevler!$C30&lt;=(AQ$4+Ayarlar!$C$6-1),Görevler!$D30&gt;=AQ$4),IF(AQ$4&lt;=Görevler!$C30+ROUND(Görevler!$F30*Görevler!$E30,0)-1,2,1),""))</f>
        <v/>
      </c>
      <c r="AR30" s="22" t="str">
        <f aca="false">IF(Görevler!$F30="","",IF(AND(Görevler!$C30&lt;=(AR$4+Ayarlar!$C$6-1),Görevler!$D30&gt;=AR$4),IF(AR$4&lt;=Görevler!$C30+ROUND(Görevler!$F30*Görevler!$E30,0)-1,2,1),""))</f>
        <v/>
      </c>
      <c r="AS30" s="22" t="str">
        <f aca="false">IF(Görevler!$F30="","",IF(AND(Görevler!$C30&lt;=(AS$4+Ayarlar!$C$6-1),Görevler!$D30&gt;=AS$4),IF(AS$4&lt;=Görevler!$C30+ROUND(Görevler!$F30*Görevler!$E30,0)-1,2,1),""))</f>
        <v/>
      </c>
      <c r="AT30" s="22" t="str">
        <f aca="false">IF(Görevler!$F30="","",IF(AND(Görevler!$C30&lt;=(AT$4+Ayarlar!$C$6-1),Görevler!$D30&gt;=AT$4),IF(AT$4&lt;=Görevler!$C30+ROUND(Görevler!$F30*Görevler!$E30,0)-1,2,1),""))</f>
        <v/>
      </c>
      <c r="AU30" s="22" t="str">
        <f aca="false">IF(Görevler!$F30="","",IF(AND(Görevler!$C30&lt;=(AU$4+Ayarlar!$C$6-1),Görevler!$D30&gt;=AU$4),IF(AU$4&lt;=Görevler!$C30+ROUND(Görevler!$F30*Görevler!$E30,0)-1,2,1),""))</f>
        <v/>
      </c>
      <c r="AV30" s="22" t="str">
        <f aca="false">IF(Görevler!$F30="","",IF(AND(Görevler!$C30&lt;=(AV$4+Ayarlar!$C$6-1),Görevler!$D30&gt;=AV$4),IF(AV$4&lt;=Görevler!$C30+ROUND(Görevler!$F30*Görevler!$E30,0)-1,2,1),""))</f>
        <v/>
      </c>
      <c r="AW30" s="22" t="str">
        <f aca="false">IF(Görevler!$F30="","",IF(AND(Görevler!$C30&lt;=(AW$4+Ayarlar!$C$6-1),Görevler!$D30&gt;=AW$4),IF(AW$4&lt;=Görevler!$C30+ROUND(Görevler!$F30*Görevler!$E30,0)-1,2,1),""))</f>
        <v/>
      </c>
      <c r="AX30" s="22" t="str">
        <f aca="false">IF(Görevler!$F30="","",IF(AND(Görevler!$C30&lt;=(AX$4+Ayarlar!$C$6-1),Görevler!$D30&gt;=AX$4),IF(AX$4&lt;=Görevler!$C30+ROUND(Görevler!$F30*Görevler!$E30,0)-1,2,1),""))</f>
        <v/>
      </c>
      <c r="AY30" s="22" t="str">
        <f aca="false">IF(Görevler!$F30="","",IF(AND(Görevler!$C30&lt;=(AY$4+Ayarlar!$C$6-1),Görevler!$D30&gt;=AY$4),IF(AY$4&lt;=Görevler!$C30+ROUND(Görevler!$F30*Görevler!$E30,0)-1,2,1),""))</f>
        <v/>
      </c>
      <c r="AZ30" s="22" t="str">
        <f aca="false">IF(Görevler!$F30="","",IF(AND(Görevler!$C30&lt;=(AZ$4+Ayarlar!$C$6-1),Görevler!$D30&gt;=AZ$4),IF(AZ$4&lt;=Görevler!$C30+ROUND(Görevler!$F30*Görevler!$E30,0)-1,2,1),""))</f>
        <v/>
      </c>
      <c r="BA30" s="22" t="str">
        <f aca="false">IF(Görevler!$F30="","",IF(AND(Görevler!$C30&lt;=(BA$4+Ayarlar!$C$6-1),Görevler!$D30&gt;=BA$4),IF(BA$4&lt;=Görevler!$C30+ROUND(Görevler!$F30*Görevler!$E30,0)-1,2,1),""))</f>
        <v/>
      </c>
      <c r="BB30" s="22" t="str">
        <f aca="false">IF(Görevler!$F30="","",IF(AND(Görevler!$C30&lt;=(BB$4+Ayarlar!$C$6-1),Görevler!$D30&gt;=BB$4),IF(BB$4&lt;=Görevler!$C30+ROUND(Görevler!$F30*Görevler!$E30,0)-1,2,1),""))</f>
        <v/>
      </c>
      <c r="BC30" s="22" t="str">
        <f aca="false">IF(Görevler!$F30="","",IF(AND(Görevler!$C30&lt;=(BC$4+Ayarlar!$C$6-1),Görevler!$D30&gt;=BC$4),IF(BC$4&lt;=Görevler!$C30+ROUND(Görevler!$F30*Görevler!$E30,0)-1,2,1),""))</f>
        <v/>
      </c>
      <c r="BD30" s="22" t="str">
        <f aca="false">IF(Görevler!$F30="","",IF(AND(Görevler!$C30&lt;=(BD$4+Ayarlar!$C$6-1),Görevler!$D30&gt;=BD$4),IF(BD$4&lt;=Görevler!$C30+ROUND(Görevler!$F30*Görevler!$E30,0)-1,2,1),""))</f>
        <v/>
      </c>
      <c r="BE30" s="22" t="str">
        <f aca="false">IF(Görevler!$F30="","",IF(AND(Görevler!$C30&lt;=(BE$4+Ayarlar!$C$6-1),Görevler!$D30&gt;=BE$4),IF(BE$4&lt;=Görevler!$C30+ROUND(Görevler!$F30*Görevler!$E30,0)-1,2,1),""))</f>
        <v/>
      </c>
      <c r="BF30" s="22" t="str">
        <f aca="false">IF(Görevler!$F30="","",IF(AND(Görevler!$C30&lt;=(BF$4+Ayarlar!$C$6-1),Görevler!$D30&gt;=BF$4),IF(BF$4&lt;=Görevler!$C30+ROUND(Görevler!$F30*Görevler!$E30,0)-1,2,1),""))</f>
        <v/>
      </c>
      <c r="BG30" s="22" t="str">
        <f aca="false">IF(Görevler!$F30="","",IF(AND(Görevler!$C30&lt;=(BG$4+Ayarlar!$C$6-1),Görevler!$D30&gt;=BG$4),IF(BG$4&lt;=Görevler!$C30+ROUND(Görevler!$F30*Görevler!$E30,0)-1,2,1),""))</f>
        <v/>
      </c>
      <c r="BH30" s="22" t="str">
        <f aca="false">IF(Görevler!$F30="","",IF(AND(Görevler!$C30&lt;=(BH$4+Ayarlar!$C$6-1),Görevler!$D30&gt;=BH$4),IF(BH$4&lt;=Görevler!$C30+ROUND(Görevler!$F30*Görevler!$E30,0)-1,2,1),""))</f>
        <v/>
      </c>
      <c r="BI30" s="22" t="str">
        <f aca="false">IF(Görevler!$F30="","",IF(AND(Görevler!$C30&lt;=(BI$4+Ayarlar!$C$6-1),Görevler!$D30&gt;=BI$4),IF(BI$4&lt;=Görevler!$C30+ROUND(Görevler!$F30*Görevler!$E30,0)-1,2,1),""))</f>
        <v/>
      </c>
      <c r="BJ30" s="22" t="str">
        <f aca="false">IF(Görevler!$F30="","",IF(AND(Görevler!$C30&lt;=(BJ$4+Ayarlar!$C$6-1),Görevler!$D30&gt;=BJ$4),IF(BJ$4&lt;=Görevler!$C30+ROUND(Görevler!$F30*Görevler!$E30,0)-1,2,1),""))</f>
        <v/>
      </c>
    </row>
    <row r="31" customFormat="false" ht="15" hidden="false" customHeight="false" outlineLevel="0" collapsed="false">
      <c r="A31" s="21" t="str">
        <f aca="false">IF(Görevler!A31="","",Görevler!A31)</f>
        <v/>
      </c>
      <c r="B31" s="21" t="str">
        <f aca="false">IF(Görevler!A31="","",Görevler!B31&amp;"")</f>
        <v/>
      </c>
      <c r="C31" s="22" t="str">
        <f aca="false">IF(Görevler!$F31="","",IF(AND(Görevler!$C31&lt;=(C$4+Ayarlar!$C$6-1),Görevler!$D31&gt;=C$4),IF(C$4&lt;=Görevler!$C31+ROUND(Görevler!$F31*Görevler!$E31,0)-1,2,1),""))</f>
        <v/>
      </c>
      <c r="D31" s="22" t="str">
        <f aca="false">IF(Görevler!$F31="","",IF(AND(Görevler!$C31&lt;=(D$4+Ayarlar!$C$6-1),Görevler!$D31&gt;=D$4),IF(D$4&lt;=Görevler!$C31+ROUND(Görevler!$F31*Görevler!$E31,0)-1,2,1),""))</f>
        <v/>
      </c>
      <c r="E31" s="22" t="str">
        <f aca="false">IF(Görevler!$F31="","",IF(AND(Görevler!$C31&lt;=(E$4+Ayarlar!$C$6-1),Görevler!$D31&gt;=E$4),IF(E$4&lt;=Görevler!$C31+ROUND(Görevler!$F31*Görevler!$E31,0)-1,2,1),""))</f>
        <v/>
      </c>
      <c r="F31" s="22" t="str">
        <f aca="false">IF(Görevler!$F31="","",IF(AND(Görevler!$C31&lt;=(F$4+Ayarlar!$C$6-1),Görevler!$D31&gt;=F$4),IF(F$4&lt;=Görevler!$C31+ROUND(Görevler!$F31*Görevler!$E31,0)-1,2,1),""))</f>
        <v/>
      </c>
      <c r="G31" s="22" t="str">
        <f aca="false">IF(Görevler!$F31="","",IF(AND(Görevler!$C31&lt;=(G$4+Ayarlar!$C$6-1),Görevler!$D31&gt;=G$4),IF(G$4&lt;=Görevler!$C31+ROUND(Görevler!$F31*Görevler!$E31,0)-1,2,1),""))</f>
        <v/>
      </c>
      <c r="H31" s="22" t="str">
        <f aca="false">IF(Görevler!$F31="","",IF(AND(Görevler!$C31&lt;=(H$4+Ayarlar!$C$6-1),Görevler!$D31&gt;=H$4),IF(H$4&lt;=Görevler!$C31+ROUND(Görevler!$F31*Görevler!$E31,0)-1,2,1),""))</f>
        <v/>
      </c>
      <c r="I31" s="22" t="str">
        <f aca="false">IF(Görevler!$F31="","",IF(AND(Görevler!$C31&lt;=(I$4+Ayarlar!$C$6-1),Görevler!$D31&gt;=I$4),IF(I$4&lt;=Görevler!$C31+ROUND(Görevler!$F31*Görevler!$E31,0)-1,2,1),""))</f>
        <v/>
      </c>
      <c r="J31" s="22" t="str">
        <f aca="false">IF(Görevler!$F31="","",IF(AND(Görevler!$C31&lt;=(J$4+Ayarlar!$C$6-1),Görevler!$D31&gt;=J$4),IF(J$4&lt;=Görevler!$C31+ROUND(Görevler!$F31*Görevler!$E31,0)-1,2,1),""))</f>
        <v/>
      </c>
      <c r="K31" s="22" t="str">
        <f aca="false">IF(Görevler!$F31="","",IF(AND(Görevler!$C31&lt;=(K$4+Ayarlar!$C$6-1),Görevler!$D31&gt;=K$4),IF(K$4&lt;=Görevler!$C31+ROUND(Görevler!$F31*Görevler!$E31,0)-1,2,1),""))</f>
        <v/>
      </c>
      <c r="L31" s="22" t="str">
        <f aca="false">IF(Görevler!$F31="","",IF(AND(Görevler!$C31&lt;=(L$4+Ayarlar!$C$6-1),Görevler!$D31&gt;=L$4),IF(L$4&lt;=Görevler!$C31+ROUND(Görevler!$F31*Görevler!$E31,0)-1,2,1),""))</f>
        <v/>
      </c>
      <c r="M31" s="22" t="str">
        <f aca="false">IF(Görevler!$F31="","",IF(AND(Görevler!$C31&lt;=(M$4+Ayarlar!$C$6-1),Görevler!$D31&gt;=M$4),IF(M$4&lt;=Görevler!$C31+ROUND(Görevler!$F31*Görevler!$E31,0)-1,2,1),""))</f>
        <v/>
      </c>
      <c r="N31" s="22" t="str">
        <f aca="false">IF(Görevler!$F31="","",IF(AND(Görevler!$C31&lt;=(N$4+Ayarlar!$C$6-1),Görevler!$D31&gt;=N$4),IF(N$4&lt;=Görevler!$C31+ROUND(Görevler!$F31*Görevler!$E31,0)-1,2,1),""))</f>
        <v/>
      </c>
      <c r="O31" s="22" t="str">
        <f aca="false">IF(Görevler!$F31="","",IF(AND(Görevler!$C31&lt;=(O$4+Ayarlar!$C$6-1),Görevler!$D31&gt;=O$4),IF(O$4&lt;=Görevler!$C31+ROUND(Görevler!$F31*Görevler!$E31,0)-1,2,1),""))</f>
        <v/>
      </c>
      <c r="P31" s="22" t="str">
        <f aca="false">IF(Görevler!$F31="","",IF(AND(Görevler!$C31&lt;=(P$4+Ayarlar!$C$6-1),Görevler!$D31&gt;=P$4),IF(P$4&lt;=Görevler!$C31+ROUND(Görevler!$F31*Görevler!$E31,0)-1,2,1),""))</f>
        <v/>
      </c>
      <c r="Q31" s="22" t="str">
        <f aca="false">IF(Görevler!$F31="","",IF(AND(Görevler!$C31&lt;=(Q$4+Ayarlar!$C$6-1),Görevler!$D31&gt;=Q$4),IF(Q$4&lt;=Görevler!$C31+ROUND(Görevler!$F31*Görevler!$E31,0)-1,2,1),""))</f>
        <v/>
      </c>
      <c r="R31" s="22" t="str">
        <f aca="false">IF(Görevler!$F31="","",IF(AND(Görevler!$C31&lt;=(R$4+Ayarlar!$C$6-1),Görevler!$D31&gt;=R$4),IF(R$4&lt;=Görevler!$C31+ROUND(Görevler!$F31*Görevler!$E31,0)-1,2,1),""))</f>
        <v/>
      </c>
      <c r="S31" s="22" t="str">
        <f aca="false">IF(Görevler!$F31="","",IF(AND(Görevler!$C31&lt;=(S$4+Ayarlar!$C$6-1),Görevler!$D31&gt;=S$4),IF(S$4&lt;=Görevler!$C31+ROUND(Görevler!$F31*Görevler!$E31,0)-1,2,1),""))</f>
        <v/>
      </c>
      <c r="T31" s="22" t="str">
        <f aca="false">IF(Görevler!$F31="","",IF(AND(Görevler!$C31&lt;=(T$4+Ayarlar!$C$6-1),Görevler!$D31&gt;=T$4),IF(T$4&lt;=Görevler!$C31+ROUND(Görevler!$F31*Görevler!$E31,0)-1,2,1),""))</f>
        <v/>
      </c>
      <c r="U31" s="22" t="str">
        <f aca="false">IF(Görevler!$F31="","",IF(AND(Görevler!$C31&lt;=(U$4+Ayarlar!$C$6-1),Görevler!$D31&gt;=U$4),IF(U$4&lt;=Görevler!$C31+ROUND(Görevler!$F31*Görevler!$E31,0)-1,2,1),""))</f>
        <v/>
      </c>
      <c r="V31" s="22" t="str">
        <f aca="false">IF(Görevler!$F31="","",IF(AND(Görevler!$C31&lt;=(V$4+Ayarlar!$C$6-1),Görevler!$D31&gt;=V$4),IF(V$4&lt;=Görevler!$C31+ROUND(Görevler!$F31*Görevler!$E31,0)-1,2,1),""))</f>
        <v/>
      </c>
      <c r="W31" s="22" t="str">
        <f aca="false">IF(Görevler!$F31="","",IF(AND(Görevler!$C31&lt;=(W$4+Ayarlar!$C$6-1),Görevler!$D31&gt;=W$4),IF(W$4&lt;=Görevler!$C31+ROUND(Görevler!$F31*Görevler!$E31,0)-1,2,1),""))</f>
        <v/>
      </c>
      <c r="X31" s="22" t="str">
        <f aca="false">IF(Görevler!$F31="","",IF(AND(Görevler!$C31&lt;=(X$4+Ayarlar!$C$6-1),Görevler!$D31&gt;=X$4),IF(X$4&lt;=Görevler!$C31+ROUND(Görevler!$F31*Görevler!$E31,0)-1,2,1),""))</f>
        <v/>
      </c>
      <c r="Y31" s="22" t="str">
        <f aca="false">IF(Görevler!$F31="","",IF(AND(Görevler!$C31&lt;=(Y$4+Ayarlar!$C$6-1),Görevler!$D31&gt;=Y$4),IF(Y$4&lt;=Görevler!$C31+ROUND(Görevler!$F31*Görevler!$E31,0)-1,2,1),""))</f>
        <v/>
      </c>
      <c r="Z31" s="22" t="str">
        <f aca="false">IF(Görevler!$F31="","",IF(AND(Görevler!$C31&lt;=(Z$4+Ayarlar!$C$6-1),Görevler!$D31&gt;=Z$4),IF(Z$4&lt;=Görevler!$C31+ROUND(Görevler!$F31*Görevler!$E31,0)-1,2,1),""))</f>
        <v/>
      </c>
      <c r="AA31" s="22" t="str">
        <f aca="false">IF(Görevler!$F31="","",IF(AND(Görevler!$C31&lt;=(AA$4+Ayarlar!$C$6-1),Görevler!$D31&gt;=AA$4),IF(AA$4&lt;=Görevler!$C31+ROUND(Görevler!$F31*Görevler!$E31,0)-1,2,1),""))</f>
        <v/>
      </c>
      <c r="AB31" s="22" t="str">
        <f aca="false">IF(Görevler!$F31="","",IF(AND(Görevler!$C31&lt;=(AB$4+Ayarlar!$C$6-1),Görevler!$D31&gt;=AB$4),IF(AB$4&lt;=Görevler!$C31+ROUND(Görevler!$F31*Görevler!$E31,0)-1,2,1),""))</f>
        <v/>
      </c>
      <c r="AC31" s="22" t="str">
        <f aca="false">IF(Görevler!$F31="","",IF(AND(Görevler!$C31&lt;=(AC$4+Ayarlar!$C$6-1),Görevler!$D31&gt;=AC$4),IF(AC$4&lt;=Görevler!$C31+ROUND(Görevler!$F31*Görevler!$E31,0)-1,2,1),""))</f>
        <v/>
      </c>
      <c r="AD31" s="22" t="str">
        <f aca="false">IF(Görevler!$F31="","",IF(AND(Görevler!$C31&lt;=(AD$4+Ayarlar!$C$6-1),Görevler!$D31&gt;=AD$4),IF(AD$4&lt;=Görevler!$C31+ROUND(Görevler!$F31*Görevler!$E31,0)-1,2,1),""))</f>
        <v/>
      </c>
      <c r="AE31" s="22" t="str">
        <f aca="false">IF(Görevler!$F31="","",IF(AND(Görevler!$C31&lt;=(AE$4+Ayarlar!$C$6-1),Görevler!$D31&gt;=AE$4),IF(AE$4&lt;=Görevler!$C31+ROUND(Görevler!$F31*Görevler!$E31,0)-1,2,1),""))</f>
        <v/>
      </c>
      <c r="AF31" s="22" t="str">
        <f aca="false">IF(Görevler!$F31="","",IF(AND(Görevler!$C31&lt;=(AF$4+Ayarlar!$C$6-1),Görevler!$D31&gt;=AF$4),IF(AF$4&lt;=Görevler!$C31+ROUND(Görevler!$F31*Görevler!$E31,0)-1,2,1),""))</f>
        <v/>
      </c>
      <c r="AG31" s="22" t="str">
        <f aca="false">IF(Görevler!$F31="","",IF(AND(Görevler!$C31&lt;=(AG$4+Ayarlar!$C$6-1),Görevler!$D31&gt;=AG$4),IF(AG$4&lt;=Görevler!$C31+ROUND(Görevler!$F31*Görevler!$E31,0)-1,2,1),""))</f>
        <v/>
      </c>
      <c r="AH31" s="22" t="str">
        <f aca="false">IF(Görevler!$F31="","",IF(AND(Görevler!$C31&lt;=(AH$4+Ayarlar!$C$6-1),Görevler!$D31&gt;=AH$4),IF(AH$4&lt;=Görevler!$C31+ROUND(Görevler!$F31*Görevler!$E31,0)-1,2,1),""))</f>
        <v/>
      </c>
      <c r="AI31" s="22" t="str">
        <f aca="false">IF(Görevler!$F31="","",IF(AND(Görevler!$C31&lt;=(AI$4+Ayarlar!$C$6-1),Görevler!$D31&gt;=AI$4),IF(AI$4&lt;=Görevler!$C31+ROUND(Görevler!$F31*Görevler!$E31,0)-1,2,1),""))</f>
        <v/>
      </c>
      <c r="AJ31" s="22" t="str">
        <f aca="false">IF(Görevler!$F31="","",IF(AND(Görevler!$C31&lt;=(AJ$4+Ayarlar!$C$6-1),Görevler!$D31&gt;=AJ$4),IF(AJ$4&lt;=Görevler!$C31+ROUND(Görevler!$F31*Görevler!$E31,0)-1,2,1),""))</f>
        <v/>
      </c>
      <c r="AK31" s="22" t="str">
        <f aca="false">IF(Görevler!$F31="","",IF(AND(Görevler!$C31&lt;=(AK$4+Ayarlar!$C$6-1),Görevler!$D31&gt;=AK$4),IF(AK$4&lt;=Görevler!$C31+ROUND(Görevler!$F31*Görevler!$E31,0)-1,2,1),""))</f>
        <v/>
      </c>
      <c r="AL31" s="22" t="str">
        <f aca="false">IF(Görevler!$F31="","",IF(AND(Görevler!$C31&lt;=(AL$4+Ayarlar!$C$6-1),Görevler!$D31&gt;=AL$4),IF(AL$4&lt;=Görevler!$C31+ROUND(Görevler!$F31*Görevler!$E31,0)-1,2,1),""))</f>
        <v/>
      </c>
      <c r="AM31" s="22" t="str">
        <f aca="false">IF(Görevler!$F31="","",IF(AND(Görevler!$C31&lt;=(AM$4+Ayarlar!$C$6-1),Görevler!$D31&gt;=AM$4),IF(AM$4&lt;=Görevler!$C31+ROUND(Görevler!$F31*Görevler!$E31,0)-1,2,1),""))</f>
        <v/>
      </c>
      <c r="AN31" s="22" t="str">
        <f aca="false">IF(Görevler!$F31="","",IF(AND(Görevler!$C31&lt;=(AN$4+Ayarlar!$C$6-1),Görevler!$D31&gt;=AN$4),IF(AN$4&lt;=Görevler!$C31+ROUND(Görevler!$F31*Görevler!$E31,0)-1,2,1),""))</f>
        <v/>
      </c>
      <c r="AO31" s="22" t="str">
        <f aca="false">IF(Görevler!$F31="","",IF(AND(Görevler!$C31&lt;=(AO$4+Ayarlar!$C$6-1),Görevler!$D31&gt;=AO$4),IF(AO$4&lt;=Görevler!$C31+ROUND(Görevler!$F31*Görevler!$E31,0)-1,2,1),""))</f>
        <v/>
      </c>
      <c r="AP31" s="22" t="str">
        <f aca="false">IF(Görevler!$F31="","",IF(AND(Görevler!$C31&lt;=(AP$4+Ayarlar!$C$6-1),Görevler!$D31&gt;=AP$4),IF(AP$4&lt;=Görevler!$C31+ROUND(Görevler!$F31*Görevler!$E31,0)-1,2,1),""))</f>
        <v/>
      </c>
      <c r="AQ31" s="22" t="str">
        <f aca="false">IF(Görevler!$F31="","",IF(AND(Görevler!$C31&lt;=(AQ$4+Ayarlar!$C$6-1),Görevler!$D31&gt;=AQ$4),IF(AQ$4&lt;=Görevler!$C31+ROUND(Görevler!$F31*Görevler!$E31,0)-1,2,1),""))</f>
        <v/>
      </c>
      <c r="AR31" s="22" t="str">
        <f aca="false">IF(Görevler!$F31="","",IF(AND(Görevler!$C31&lt;=(AR$4+Ayarlar!$C$6-1),Görevler!$D31&gt;=AR$4),IF(AR$4&lt;=Görevler!$C31+ROUND(Görevler!$F31*Görevler!$E31,0)-1,2,1),""))</f>
        <v/>
      </c>
      <c r="AS31" s="22" t="str">
        <f aca="false">IF(Görevler!$F31="","",IF(AND(Görevler!$C31&lt;=(AS$4+Ayarlar!$C$6-1),Görevler!$D31&gt;=AS$4),IF(AS$4&lt;=Görevler!$C31+ROUND(Görevler!$F31*Görevler!$E31,0)-1,2,1),""))</f>
        <v/>
      </c>
      <c r="AT31" s="22" t="str">
        <f aca="false">IF(Görevler!$F31="","",IF(AND(Görevler!$C31&lt;=(AT$4+Ayarlar!$C$6-1),Görevler!$D31&gt;=AT$4),IF(AT$4&lt;=Görevler!$C31+ROUND(Görevler!$F31*Görevler!$E31,0)-1,2,1),""))</f>
        <v/>
      </c>
      <c r="AU31" s="22" t="str">
        <f aca="false">IF(Görevler!$F31="","",IF(AND(Görevler!$C31&lt;=(AU$4+Ayarlar!$C$6-1),Görevler!$D31&gt;=AU$4),IF(AU$4&lt;=Görevler!$C31+ROUND(Görevler!$F31*Görevler!$E31,0)-1,2,1),""))</f>
        <v/>
      </c>
      <c r="AV31" s="22" t="str">
        <f aca="false">IF(Görevler!$F31="","",IF(AND(Görevler!$C31&lt;=(AV$4+Ayarlar!$C$6-1),Görevler!$D31&gt;=AV$4),IF(AV$4&lt;=Görevler!$C31+ROUND(Görevler!$F31*Görevler!$E31,0)-1,2,1),""))</f>
        <v/>
      </c>
      <c r="AW31" s="22" t="str">
        <f aca="false">IF(Görevler!$F31="","",IF(AND(Görevler!$C31&lt;=(AW$4+Ayarlar!$C$6-1),Görevler!$D31&gt;=AW$4),IF(AW$4&lt;=Görevler!$C31+ROUND(Görevler!$F31*Görevler!$E31,0)-1,2,1),""))</f>
        <v/>
      </c>
      <c r="AX31" s="22" t="str">
        <f aca="false">IF(Görevler!$F31="","",IF(AND(Görevler!$C31&lt;=(AX$4+Ayarlar!$C$6-1),Görevler!$D31&gt;=AX$4),IF(AX$4&lt;=Görevler!$C31+ROUND(Görevler!$F31*Görevler!$E31,0)-1,2,1),""))</f>
        <v/>
      </c>
      <c r="AY31" s="22" t="str">
        <f aca="false">IF(Görevler!$F31="","",IF(AND(Görevler!$C31&lt;=(AY$4+Ayarlar!$C$6-1),Görevler!$D31&gt;=AY$4),IF(AY$4&lt;=Görevler!$C31+ROUND(Görevler!$F31*Görevler!$E31,0)-1,2,1),""))</f>
        <v/>
      </c>
      <c r="AZ31" s="22" t="str">
        <f aca="false">IF(Görevler!$F31="","",IF(AND(Görevler!$C31&lt;=(AZ$4+Ayarlar!$C$6-1),Görevler!$D31&gt;=AZ$4),IF(AZ$4&lt;=Görevler!$C31+ROUND(Görevler!$F31*Görevler!$E31,0)-1,2,1),""))</f>
        <v/>
      </c>
      <c r="BA31" s="22" t="str">
        <f aca="false">IF(Görevler!$F31="","",IF(AND(Görevler!$C31&lt;=(BA$4+Ayarlar!$C$6-1),Görevler!$D31&gt;=BA$4),IF(BA$4&lt;=Görevler!$C31+ROUND(Görevler!$F31*Görevler!$E31,0)-1,2,1),""))</f>
        <v/>
      </c>
      <c r="BB31" s="22" t="str">
        <f aca="false">IF(Görevler!$F31="","",IF(AND(Görevler!$C31&lt;=(BB$4+Ayarlar!$C$6-1),Görevler!$D31&gt;=BB$4),IF(BB$4&lt;=Görevler!$C31+ROUND(Görevler!$F31*Görevler!$E31,0)-1,2,1),""))</f>
        <v/>
      </c>
      <c r="BC31" s="22" t="str">
        <f aca="false">IF(Görevler!$F31="","",IF(AND(Görevler!$C31&lt;=(BC$4+Ayarlar!$C$6-1),Görevler!$D31&gt;=BC$4),IF(BC$4&lt;=Görevler!$C31+ROUND(Görevler!$F31*Görevler!$E31,0)-1,2,1),""))</f>
        <v/>
      </c>
      <c r="BD31" s="22" t="str">
        <f aca="false">IF(Görevler!$F31="","",IF(AND(Görevler!$C31&lt;=(BD$4+Ayarlar!$C$6-1),Görevler!$D31&gt;=BD$4),IF(BD$4&lt;=Görevler!$C31+ROUND(Görevler!$F31*Görevler!$E31,0)-1,2,1),""))</f>
        <v/>
      </c>
      <c r="BE31" s="22" t="str">
        <f aca="false">IF(Görevler!$F31="","",IF(AND(Görevler!$C31&lt;=(BE$4+Ayarlar!$C$6-1),Görevler!$D31&gt;=BE$4),IF(BE$4&lt;=Görevler!$C31+ROUND(Görevler!$F31*Görevler!$E31,0)-1,2,1),""))</f>
        <v/>
      </c>
      <c r="BF31" s="22" t="str">
        <f aca="false">IF(Görevler!$F31="","",IF(AND(Görevler!$C31&lt;=(BF$4+Ayarlar!$C$6-1),Görevler!$D31&gt;=BF$4),IF(BF$4&lt;=Görevler!$C31+ROUND(Görevler!$F31*Görevler!$E31,0)-1,2,1),""))</f>
        <v/>
      </c>
      <c r="BG31" s="22" t="str">
        <f aca="false">IF(Görevler!$F31="","",IF(AND(Görevler!$C31&lt;=(BG$4+Ayarlar!$C$6-1),Görevler!$D31&gt;=BG$4),IF(BG$4&lt;=Görevler!$C31+ROUND(Görevler!$F31*Görevler!$E31,0)-1,2,1),""))</f>
        <v/>
      </c>
      <c r="BH31" s="22" t="str">
        <f aca="false">IF(Görevler!$F31="","",IF(AND(Görevler!$C31&lt;=(BH$4+Ayarlar!$C$6-1),Görevler!$D31&gt;=BH$4),IF(BH$4&lt;=Görevler!$C31+ROUND(Görevler!$F31*Görevler!$E31,0)-1,2,1),""))</f>
        <v/>
      </c>
      <c r="BI31" s="22" t="str">
        <f aca="false">IF(Görevler!$F31="","",IF(AND(Görevler!$C31&lt;=(BI$4+Ayarlar!$C$6-1),Görevler!$D31&gt;=BI$4),IF(BI$4&lt;=Görevler!$C31+ROUND(Görevler!$F31*Görevler!$E31,0)-1,2,1),""))</f>
        <v/>
      </c>
      <c r="BJ31" s="22" t="str">
        <f aca="false">IF(Görevler!$F31="","",IF(AND(Görevler!$C31&lt;=(BJ$4+Ayarlar!$C$6-1),Görevler!$D31&gt;=BJ$4),IF(BJ$4&lt;=Görevler!$C31+ROUND(Görevler!$F31*Görevler!$E31,0)-1,2,1),""))</f>
        <v/>
      </c>
    </row>
    <row r="32" customFormat="false" ht="15" hidden="false" customHeight="false" outlineLevel="0" collapsed="false">
      <c r="A32" s="21" t="str">
        <f aca="false">IF(Görevler!A32="","",Görevler!A32)</f>
        <v/>
      </c>
      <c r="B32" s="21" t="str">
        <f aca="false">IF(Görevler!A32="","",Görevler!B32&amp;"")</f>
        <v/>
      </c>
      <c r="C32" s="22" t="str">
        <f aca="false">IF(Görevler!$F32="","",IF(AND(Görevler!$C32&lt;=(C$4+Ayarlar!$C$6-1),Görevler!$D32&gt;=C$4),IF(C$4&lt;=Görevler!$C32+ROUND(Görevler!$F32*Görevler!$E32,0)-1,2,1),""))</f>
        <v/>
      </c>
      <c r="D32" s="22" t="str">
        <f aca="false">IF(Görevler!$F32="","",IF(AND(Görevler!$C32&lt;=(D$4+Ayarlar!$C$6-1),Görevler!$D32&gt;=D$4),IF(D$4&lt;=Görevler!$C32+ROUND(Görevler!$F32*Görevler!$E32,0)-1,2,1),""))</f>
        <v/>
      </c>
      <c r="E32" s="22" t="str">
        <f aca="false">IF(Görevler!$F32="","",IF(AND(Görevler!$C32&lt;=(E$4+Ayarlar!$C$6-1),Görevler!$D32&gt;=E$4),IF(E$4&lt;=Görevler!$C32+ROUND(Görevler!$F32*Görevler!$E32,0)-1,2,1),""))</f>
        <v/>
      </c>
      <c r="F32" s="22" t="str">
        <f aca="false">IF(Görevler!$F32="","",IF(AND(Görevler!$C32&lt;=(F$4+Ayarlar!$C$6-1),Görevler!$D32&gt;=F$4),IF(F$4&lt;=Görevler!$C32+ROUND(Görevler!$F32*Görevler!$E32,0)-1,2,1),""))</f>
        <v/>
      </c>
      <c r="G32" s="22" t="str">
        <f aca="false">IF(Görevler!$F32="","",IF(AND(Görevler!$C32&lt;=(G$4+Ayarlar!$C$6-1),Görevler!$D32&gt;=G$4),IF(G$4&lt;=Görevler!$C32+ROUND(Görevler!$F32*Görevler!$E32,0)-1,2,1),""))</f>
        <v/>
      </c>
      <c r="H32" s="22" t="str">
        <f aca="false">IF(Görevler!$F32="","",IF(AND(Görevler!$C32&lt;=(H$4+Ayarlar!$C$6-1),Görevler!$D32&gt;=H$4),IF(H$4&lt;=Görevler!$C32+ROUND(Görevler!$F32*Görevler!$E32,0)-1,2,1),""))</f>
        <v/>
      </c>
      <c r="I32" s="22" t="str">
        <f aca="false">IF(Görevler!$F32="","",IF(AND(Görevler!$C32&lt;=(I$4+Ayarlar!$C$6-1),Görevler!$D32&gt;=I$4),IF(I$4&lt;=Görevler!$C32+ROUND(Görevler!$F32*Görevler!$E32,0)-1,2,1),""))</f>
        <v/>
      </c>
      <c r="J32" s="22" t="str">
        <f aca="false">IF(Görevler!$F32="","",IF(AND(Görevler!$C32&lt;=(J$4+Ayarlar!$C$6-1),Görevler!$D32&gt;=J$4),IF(J$4&lt;=Görevler!$C32+ROUND(Görevler!$F32*Görevler!$E32,0)-1,2,1),""))</f>
        <v/>
      </c>
      <c r="K32" s="22" t="str">
        <f aca="false">IF(Görevler!$F32="","",IF(AND(Görevler!$C32&lt;=(K$4+Ayarlar!$C$6-1),Görevler!$D32&gt;=K$4),IF(K$4&lt;=Görevler!$C32+ROUND(Görevler!$F32*Görevler!$E32,0)-1,2,1),""))</f>
        <v/>
      </c>
      <c r="L32" s="22" t="str">
        <f aca="false">IF(Görevler!$F32="","",IF(AND(Görevler!$C32&lt;=(L$4+Ayarlar!$C$6-1),Görevler!$D32&gt;=L$4),IF(L$4&lt;=Görevler!$C32+ROUND(Görevler!$F32*Görevler!$E32,0)-1,2,1),""))</f>
        <v/>
      </c>
      <c r="M32" s="22" t="str">
        <f aca="false">IF(Görevler!$F32="","",IF(AND(Görevler!$C32&lt;=(M$4+Ayarlar!$C$6-1),Görevler!$D32&gt;=M$4),IF(M$4&lt;=Görevler!$C32+ROUND(Görevler!$F32*Görevler!$E32,0)-1,2,1),""))</f>
        <v/>
      </c>
      <c r="N32" s="22" t="str">
        <f aca="false">IF(Görevler!$F32="","",IF(AND(Görevler!$C32&lt;=(N$4+Ayarlar!$C$6-1),Görevler!$D32&gt;=N$4),IF(N$4&lt;=Görevler!$C32+ROUND(Görevler!$F32*Görevler!$E32,0)-1,2,1),""))</f>
        <v/>
      </c>
      <c r="O32" s="22" t="str">
        <f aca="false">IF(Görevler!$F32="","",IF(AND(Görevler!$C32&lt;=(O$4+Ayarlar!$C$6-1),Görevler!$D32&gt;=O$4),IF(O$4&lt;=Görevler!$C32+ROUND(Görevler!$F32*Görevler!$E32,0)-1,2,1),""))</f>
        <v/>
      </c>
      <c r="P32" s="22" t="str">
        <f aca="false">IF(Görevler!$F32="","",IF(AND(Görevler!$C32&lt;=(P$4+Ayarlar!$C$6-1),Görevler!$D32&gt;=P$4),IF(P$4&lt;=Görevler!$C32+ROUND(Görevler!$F32*Görevler!$E32,0)-1,2,1),""))</f>
        <v/>
      </c>
      <c r="Q32" s="22" t="str">
        <f aca="false">IF(Görevler!$F32="","",IF(AND(Görevler!$C32&lt;=(Q$4+Ayarlar!$C$6-1),Görevler!$D32&gt;=Q$4),IF(Q$4&lt;=Görevler!$C32+ROUND(Görevler!$F32*Görevler!$E32,0)-1,2,1),""))</f>
        <v/>
      </c>
      <c r="R32" s="22" t="str">
        <f aca="false">IF(Görevler!$F32="","",IF(AND(Görevler!$C32&lt;=(R$4+Ayarlar!$C$6-1),Görevler!$D32&gt;=R$4),IF(R$4&lt;=Görevler!$C32+ROUND(Görevler!$F32*Görevler!$E32,0)-1,2,1),""))</f>
        <v/>
      </c>
      <c r="S32" s="22" t="str">
        <f aca="false">IF(Görevler!$F32="","",IF(AND(Görevler!$C32&lt;=(S$4+Ayarlar!$C$6-1),Görevler!$D32&gt;=S$4),IF(S$4&lt;=Görevler!$C32+ROUND(Görevler!$F32*Görevler!$E32,0)-1,2,1),""))</f>
        <v/>
      </c>
      <c r="T32" s="22" t="str">
        <f aca="false">IF(Görevler!$F32="","",IF(AND(Görevler!$C32&lt;=(T$4+Ayarlar!$C$6-1),Görevler!$D32&gt;=T$4),IF(T$4&lt;=Görevler!$C32+ROUND(Görevler!$F32*Görevler!$E32,0)-1,2,1),""))</f>
        <v/>
      </c>
      <c r="U32" s="22" t="str">
        <f aca="false">IF(Görevler!$F32="","",IF(AND(Görevler!$C32&lt;=(U$4+Ayarlar!$C$6-1),Görevler!$D32&gt;=U$4),IF(U$4&lt;=Görevler!$C32+ROUND(Görevler!$F32*Görevler!$E32,0)-1,2,1),""))</f>
        <v/>
      </c>
      <c r="V32" s="22" t="str">
        <f aca="false">IF(Görevler!$F32="","",IF(AND(Görevler!$C32&lt;=(V$4+Ayarlar!$C$6-1),Görevler!$D32&gt;=V$4),IF(V$4&lt;=Görevler!$C32+ROUND(Görevler!$F32*Görevler!$E32,0)-1,2,1),""))</f>
        <v/>
      </c>
      <c r="W32" s="22" t="str">
        <f aca="false">IF(Görevler!$F32="","",IF(AND(Görevler!$C32&lt;=(W$4+Ayarlar!$C$6-1),Görevler!$D32&gt;=W$4),IF(W$4&lt;=Görevler!$C32+ROUND(Görevler!$F32*Görevler!$E32,0)-1,2,1),""))</f>
        <v/>
      </c>
      <c r="X32" s="22" t="str">
        <f aca="false">IF(Görevler!$F32="","",IF(AND(Görevler!$C32&lt;=(X$4+Ayarlar!$C$6-1),Görevler!$D32&gt;=X$4),IF(X$4&lt;=Görevler!$C32+ROUND(Görevler!$F32*Görevler!$E32,0)-1,2,1),""))</f>
        <v/>
      </c>
      <c r="Y32" s="22" t="str">
        <f aca="false">IF(Görevler!$F32="","",IF(AND(Görevler!$C32&lt;=(Y$4+Ayarlar!$C$6-1),Görevler!$D32&gt;=Y$4),IF(Y$4&lt;=Görevler!$C32+ROUND(Görevler!$F32*Görevler!$E32,0)-1,2,1),""))</f>
        <v/>
      </c>
      <c r="Z32" s="22" t="str">
        <f aca="false">IF(Görevler!$F32="","",IF(AND(Görevler!$C32&lt;=(Z$4+Ayarlar!$C$6-1),Görevler!$D32&gt;=Z$4),IF(Z$4&lt;=Görevler!$C32+ROUND(Görevler!$F32*Görevler!$E32,0)-1,2,1),""))</f>
        <v/>
      </c>
      <c r="AA32" s="22" t="str">
        <f aca="false">IF(Görevler!$F32="","",IF(AND(Görevler!$C32&lt;=(AA$4+Ayarlar!$C$6-1),Görevler!$D32&gt;=AA$4),IF(AA$4&lt;=Görevler!$C32+ROUND(Görevler!$F32*Görevler!$E32,0)-1,2,1),""))</f>
        <v/>
      </c>
      <c r="AB32" s="22" t="str">
        <f aca="false">IF(Görevler!$F32="","",IF(AND(Görevler!$C32&lt;=(AB$4+Ayarlar!$C$6-1),Görevler!$D32&gt;=AB$4),IF(AB$4&lt;=Görevler!$C32+ROUND(Görevler!$F32*Görevler!$E32,0)-1,2,1),""))</f>
        <v/>
      </c>
      <c r="AC32" s="22" t="str">
        <f aca="false">IF(Görevler!$F32="","",IF(AND(Görevler!$C32&lt;=(AC$4+Ayarlar!$C$6-1),Görevler!$D32&gt;=AC$4),IF(AC$4&lt;=Görevler!$C32+ROUND(Görevler!$F32*Görevler!$E32,0)-1,2,1),""))</f>
        <v/>
      </c>
      <c r="AD32" s="22" t="str">
        <f aca="false">IF(Görevler!$F32="","",IF(AND(Görevler!$C32&lt;=(AD$4+Ayarlar!$C$6-1),Görevler!$D32&gt;=AD$4),IF(AD$4&lt;=Görevler!$C32+ROUND(Görevler!$F32*Görevler!$E32,0)-1,2,1),""))</f>
        <v/>
      </c>
      <c r="AE32" s="22" t="str">
        <f aca="false">IF(Görevler!$F32="","",IF(AND(Görevler!$C32&lt;=(AE$4+Ayarlar!$C$6-1),Görevler!$D32&gt;=AE$4),IF(AE$4&lt;=Görevler!$C32+ROUND(Görevler!$F32*Görevler!$E32,0)-1,2,1),""))</f>
        <v/>
      </c>
      <c r="AF32" s="22" t="str">
        <f aca="false">IF(Görevler!$F32="","",IF(AND(Görevler!$C32&lt;=(AF$4+Ayarlar!$C$6-1),Görevler!$D32&gt;=AF$4),IF(AF$4&lt;=Görevler!$C32+ROUND(Görevler!$F32*Görevler!$E32,0)-1,2,1),""))</f>
        <v/>
      </c>
      <c r="AG32" s="22" t="str">
        <f aca="false">IF(Görevler!$F32="","",IF(AND(Görevler!$C32&lt;=(AG$4+Ayarlar!$C$6-1),Görevler!$D32&gt;=AG$4),IF(AG$4&lt;=Görevler!$C32+ROUND(Görevler!$F32*Görevler!$E32,0)-1,2,1),""))</f>
        <v/>
      </c>
      <c r="AH32" s="22" t="str">
        <f aca="false">IF(Görevler!$F32="","",IF(AND(Görevler!$C32&lt;=(AH$4+Ayarlar!$C$6-1),Görevler!$D32&gt;=AH$4),IF(AH$4&lt;=Görevler!$C32+ROUND(Görevler!$F32*Görevler!$E32,0)-1,2,1),""))</f>
        <v/>
      </c>
      <c r="AI32" s="22" t="str">
        <f aca="false">IF(Görevler!$F32="","",IF(AND(Görevler!$C32&lt;=(AI$4+Ayarlar!$C$6-1),Görevler!$D32&gt;=AI$4),IF(AI$4&lt;=Görevler!$C32+ROUND(Görevler!$F32*Görevler!$E32,0)-1,2,1),""))</f>
        <v/>
      </c>
      <c r="AJ32" s="22" t="str">
        <f aca="false">IF(Görevler!$F32="","",IF(AND(Görevler!$C32&lt;=(AJ$4+Ayarlar!$C$6-1),Görevler!$D32&gt;=AJ$4),IF(AJ$4&lt;=Görevler!$C32+ROUND(Görevler!$F32*Görevler!$E32,0)-1,2,1),""))</f>
        <v/>
      </c>
      <c r="AK32" s="22" t="str">
        <f aca="false">IF(Görevler!$F32="","",IF(AND(Görevler!$C32&lt;=(AK$4+Ayarlar!$C$6-1),Görevler!$D32&gt;=AK$4),IF(AK$4&lt;=Görevler!$C32+ROUND(Görevler!$F32*Görevler!$E32,0)-1,2,1),""))</f>
        <v/>
      </c>
      <c r="AL32" s="22" t="str">
        <f aca="false">IF(Görevler!$F32="","",IF(AND(Görevler!$C32&lt;=(AL$4+Ayarlar!$C$6-1),Görevler!$D32&gt;=AL$4),IF(AL$4&lt;=Görevler!$C32+ROUND(Görevler!$F32*Görevler!$E32,0)-1,2,1),""))</f>
        <v/>
      </c>
      <c r="AM32" s="22" t="str">
        <f aca="false">IF(Görevler!$F32="","",IF(AND(Görevler!$C32&lt;=(AM$4+Ayarlar!$C$6-1),Görevler!$D32&gt;=AM$4),IF(AM$4&lt;=Görevler!$C32+ROUND(Görevler!$F32*Görevler!$E32,0)-1,2,1),""))</f>
        <v/>
      </c>
      <c r="AN32" s="22" t="str">
        <f aca="false">IF(Görevler!$F32="","",IF(AND(Görevler!$C32&lt;=(AN$4+Ayarlar!$C$6-1),Görevler!$D32&gt;=AN$4),IF(AN$4&lt;=Görevler!$C32+ROUND(Görevler!$F32*Görevler!$E32,0)-1,2,1),""))</f>
        <v/>
      </c>
      <c r="AO32" s="22" t="str">
        <f aca="false">IF(Görevler!$F32="","",IF(AND(Görevler!$C32&lt;=(AO$4+Ayarlar!$C$6-1),Görevler!$D32&gt;=AO$4),IF(AO$4&lt;=Görevler!$C32+ROUND(Görevler!$F32*Görevler!$E32,0)-1,2,1),""))</f>
        <v/>
      </c>
      <c r="AP32" s="22" t="str">
        <f aca="false">IF(Görevler!$F32="","",IF(AND(Görevler!$C32&lt;=(AP$4+Ayarlar!$C$6-1),Görevler!$D32&gt;=AP$4),IF(AP$4&lt;=Görevler!$C32+ROUND(Görevler!$F32*Görevler!$E32,0)-1,2,1),""))</f>
        <v/>
      </c>
      <c r="AQ32" s="22" t="str">
        <f aca="false">IF(Görevler!$F32="","",IF(AND(Görevler!$C32&lt;=(AQ$4+Ayarlar!$C$6-1),Görevler!$D32&gt;=AQ$4),IF(AQ$4&lt;=Görevler!$C32+ROUND(Görevler!$F32*Görevler!$E32,0)-1,2,1),""))</f>
        <v/>
      </c>
      <c r="AR32" s="22" t="str">
        <f aca="false">IF(Görevler!$F32="","",IF(AND(Görevler!$C32&lt;=(AR$4+Ayarlar!$C$6-1),Görevler!$D32&gt;=AR$4),IF(AR$4&lt;=Görevler!$C32+ROUND(Görevler!$F32*Görevler!$E32,0)-1,2,1),""))</f>
        <v/>
      </c>
      <c r="AS32" s="22" t="str">
        <f aca="false">IF(Görevler!$F32="","",IF(AND(Görevler!$C32&lt;=(AS$4+Ayarlar!$C$6-1),Görevler!$D32&gt;=AS$4),IF(AS$4&lt;=Görevler!$C32+ROUND(Görevler!$F32*Görevler!$E32,0)-1,2,1),""))</f>
        <v/>
      </c>
      <c r="AT32" s="22" t="str">
        <f aca="false">IF(Görevler!$F32="","",IF(AND(Görevler!$C32&lt;=(AT$4+Ayarlar!$C$6-1),Görevler!$D32&gt;=AT$4),IF(AT$4&lt;=Görevler!$C32+ROUND(Görevler!$F32*Görevler!$E32,0)-1,2,1),""))</f>
        <v/>
      </c>
      <c r="AU32" s="22" t="str">
        <f aca="false">IF(Görevler!$F32="","",IF(AND(Görevler!$C32&lt;=(AU$4+Ayarlar!$C$6-1),Görevler!$D32&gt;=AU$4),IF(AU$4&lt;=Görevler!$C32+ROUND(Görevler!$F32*Görevler!$E32,0)-1,2,1),""))</f>
        <v/>
      </c>
      <c r="AV32" s="22" t="str">
        <f aca="false">IF(Görevler!$F32="","",IF(AND(Görevler!$C32&lt;=(AV$4+Ayarlar!$C$6-1),Görevler!$D32&gt;=AV$4),IF(AV$4&lt;=Görevler!$C32+ROUND(Görevler!$F32*Görevler!$E32,0)-1,2,1),""))</f>
        <v/>
      </c>
      <c r="AW32" s="22" t="str">
        <f aca="false">IF(Görevler!$F32="","",IF(AND(Görevler!$C32&lt;=(AW$4+Ayarlar!$C$6-1),Görevler!$D32&gt;=AW$4),IF(AW$4&lt;=Görevler!$C32+ROUND(Görevler!$F32*Görevler!$E32,0)-1,2,1),""))</f>
        <v/>
      </c>
      <c r="AX32" s="22" t="str">
        <f aca="false">IF(Görevler!$F32="","",IF(AND(Görevler!$C32&lt;=(AX$4+Ayarlar!$C$6-1),Görevler!$D32&gt;=AX$4),IF(AX$4&lt;=Görevler!$C32+ROUND(Görevler!$F32*Görevler!$E32,0)-1,2,1),""))</f>
        <v/>
      </c>
      <c r="AY32" s="22" t="str">
        <f aca="false">IF(Görevler!$F32="","",IF(AND(Görevler!$C32&lt;=(AY$4+Ayarlar!$C$6-1),Görevler!$D32&gt;=AY$4),IF(AY$4&lt;=Görevler!$C32+ROUND(Görevler!$F32*Görevler!$E32,0)-1,2,1),""))</f>
        <v/>
      </c>
      <c r="AZ32" s="22" t="str">
        <f aca="false">IF(Görevler!$F32="","",IF(AND(Görevler!$C32&lt;=(AZ$4+Ayarlar!$C$6-1),Görevler!$D32&gt;=AZ$4),IF(AZ$4&lt;=Görevler!$C32+ROUND(Görevler!$F32*Görevler!$E32,0)-1,2,1),""))</f>
        <v/>
      </c>
      <c r="BA32" s="22" t="str">
        <f aca="false">IF(Görevler!$F32="","",IF(AND(Görevler!$C32&lt;=(BA$4+Ayarlar!$C$6-1),Görevler!$D32&gt;=BA$4),IF(BA$4&lt;=Görevler!$C32+ROUND(Görevler!$F32*Görevler!$E32,0)-1,2,1),""))</f>
        <v/>
      </c>
      <c r="BB32" s="22" t="str">
        <f aca="false">IF(Görevler!$F32="","",IF(AND(Görevler!$C32&lt;=(BB$4+Ayarlar!$C$6-1),Görevler!$D32&gt;=BB$4),IF(BB$4&lt;=Görevler!$C32+ROUND(Görevler!$F32*Görevler!$E32,0)-1,2,1),""))</f>
        <v/>
      </c>
      <c r="BC32" s="22" t="str">
        <f aca="false">IF(Görevler!$F32="","",IF(AND(Görevler!$C32&lt;=(BC$4+Ayarlar!$C$6-1),Görevler!$D32&gt;=BC$4),IF(BC$4&lt;=Görevler!$C32+ROUND(Görevler!$F32*Görevler!$E32,0)-1,2,1),""))</f>
        <v/>
      </c>
      <c r="BD32" s="22" t="str">
        <f aca="false">IF(Görevler!$F32="","",IF(AND(Görevler!$C32&lt;=(BD$4+Ayarlar!$C$6-1),Görevler!$D32&gt;=BD$4),IF(BD$4&lt;=Görevler!$C32+ROUND(Görevler!$F32*Görevler!$E32,0)-1,2,1),""))</f>
        <v/>
      </c>
      <c r="BE32" s="22" t="str">
        <f aca="false">IF(Görevler!$F32="","",IF(AND(Görevler!$C32&lt;=(BE$4+Ayarlar!$C$6-1),Görevler!$D32&gt;=BE$4),IF(BE$4&lt;=Görevler!$C32+ROUND(Görevler!$F32*Görevler!$E32,0)-1,2,1),""))</f>
        <v/>
      </c>
      <c r="BF32" s="22" t="str">
        <f aca="false">IF(Görevler!$F32="","",IF(AND(Görevler!$C32&lt;=(BF$4+Ayarlar!$C$6-1),Görevler!$D32&gt;=BF$4),IF(BF$4&lt;=Görevler!$C32+ROUND(Görevler!$F32*Görevler!$E32,0)-1,2,1),""))</f>
        <v/>
      </c>
      <c r="BG32" s="22" t="str">
        <f aca="false">IF(Görevler!$F32="","",IF(AND(Görevler!$C32&lt;=(BG$4+Ayarlar!$C$6-1),Görevler!$D32&gt;=BG$4),IF(BG$4&lt;=Görevler!$C32+ROUND(Görevler!$F32*Görevler!$E32,0)-1,2,1),""))</f>
        <v/>
      </c>
      <c r="BH32" s="22" t="str">
        <f aca="false">IF(Görevler!$F32="","",IF(AND(Görevler!$C32&lt;=(BH$4+Ayarlar!$C$6-1),Görevler!$D32&gt;=BH$4),IF(BH$4&lt;=Görevler!$C32+ROUND(Görevler!$F32*Görevler!$E32,0)-1,2,1),""))</f>
        <v/>
      </c>
      <c r="BI32" s="22" t="str">
        <f aca="false">IF(Görevler!$F32="","",IF(AND(Görevler!$C32&lt;=(BI$4+Ayarlar!$C$6-1),Görevler!$D32&gt;=BI$4),IF(BI$4&lt;=Görevler!$C32+ROUND(Görevler!$F32*Görevler!$E32,0)-1,2,1),""))</f>
        <v/>
      </c>
      <c r="BJ32" s="22" t="str">
        <f aca="false">IF(Görevler!$F32="","",IF(AND(Görevler!$C32&lt;=(BJ$4+Ayarlar!$C$6-1),Görevler!$D32&gt;=BJ$4),IF(BJ$4&lt;=Görevler!$C32+ROUND(Görevler!$F32*Görevler!$E32,0)-1,2,1),""))</f>
        <v/>
      </c>
    </row>
    <row r="33" customFormat="false" ht="15" hidden="false" customHeight="false" outlineLevel="0" collapsed="false">
      <c r="A33" s="21" t="str">
        <f aca="false">IF(Görevler!A33="","",Görevler!A33)</f>
        <v/>
      </c>
      <c r="B33" s="21" t="str">
        <f aca="false">IF(Görevler!A33="","",Görevler!B33&amp;"")</f>
        <v/>
      </c>
      <c r="C33" s="22" t="str">
        <f aca="false">IF(Görevler!$F33="","",IF(AND(Görevler!$C33&lt;=(C$4+Ayarlar!$C$6-1),Görevler!$D33&gt;=C$4),IF(C$4&lt;=Görevler!$C33+ROUND(Görevler!$F33*Görevler!$E33,0)-1,2,1),""))</f>
        <v/>
      </c>
      <c r="D33" s="22" t="str">
        <f aca="false">IF(Görevler!$F33="","",IF(AND(Görevler!$C33&lt;=(D$4+Ayarlar!$C$6-1),Görevler!$D33&gt;=D$4),IF(D$4&lt;=Görevler!$C33+ROUND(Görevler!$F33*Görevler!$E33,0)-1,2,1),""))</f>
        <v/>
      </c>
      <c r="E33" s="22" t="str">
        <f aca="false">IF(Görevler!$F33="","",IF(AND(Görevler!$C33&lt;=(E$4+Ayarlar!$C$6-1),Görevler!$D33&gt;=E$4),IF(E$4&lt;=Görevler!$C33+ROUND(Görevler!$F33*Görevler!$E33,0)-1,2,1),""))</f>
        <v/>
      </c>
      <c r="F33" s="22" t="str">
        <f aca="false">IF(Görevler!$F33="","",IF(AND(Görevler!$C33&lt;=(F$4+Ayarlar!$C$6-1),Görevler!$D33&gt;=F$4),IF(F$4&lt;=Görevler!$C33+ROUND(Görevler!$F33*Görevler!$E33,0)-1,2,1),""))</f>
        <v/>
      </c>
      <c r="G33" s="22" t="str">
        <f aca="false">IF(Görevler!$F33="","",IF(AND(Görevler!$C33&lt;=(G$4+Ayarlar!$C$6-1),Görevler!$D33&gt;=G$4),IF(G$4&lt;=Görevler!$C33+ROUND(Görevler!$F33*Görevler!$E33,0)-1,2,1),""))</f>
        <v/>
      </c>
      <c r="H33" s="22" t="str">
        <f aca="false">IF(Görevler!$F33="","",IF(AND(Görevler!$C33&lt;=(H$4+Ayarlar!$C$6-1),Görevler!$D33&gt;=H$4),IF(H$4&lt;=Görevler!$C33+ROUND(Görevler!$F33*Görevler!$E33,0)-1,2,1),""))</f>
        <v/>
      </c>
      <c r="I33" s="22" t="str">
        <f aca="false">IF(Görevler!$F33="","",IF(AND(Görevler!$C33&lt;=(I$4+Ayarlar!$C$6-1),Görevler!$D33&gt;=I$4),IF(I$4&lt;=Görevler!$C33+ROUND(Görevler!$F33*Görevler!$E33,0)-1,2,1),""))</f>
        <v/>
      </c>
      <c r="J33" s="22" t="str">
        <f aca="false">IF(Görevler!$F33="","",IF(AND(Görevler!$C33&lt;=(J$4+Ayarlar!$C$6-1),Görevler!$D33&gt;=J$4),IF(J$4&lt;=Görevler!$C33+ROUND(Görevler!$F33*Görevler!$E33,0)-1,2,1),""))</f>
        <v/>
      </c>
      <c r="K33" s="22" t="str">
        <f aca="false">IF(Görevler!$F33="","",IF(AND(Görevler!$C33&lt;=(K$4+Ayarlar!$C$6-1),Görevler!$D33&gt;=K$4),IF(K$4&lt;=Görevler!$C33+ROUND(Görevler!$F33*Görevler!$E33,0)-1,2,1),""))</f>
        <v/>
      </c>
      <c r="L33" s="22" t="str">
        <f aca="false">IF(Görevler!$F33="","",IF(AND(Görevler!$C33&lt;=(L$4+Ayarlar!$C$6-1),Görevler!$D33&gt;=L$4),IF(L$4&lt;=Görevler!$C33+ROUND(Görevler!$F33*Görevler!$E33,0)-1,2,1),""))</f>
        <v/>
      </c>
      <c r="M33" s="22" t="str">
        <f aca="false">IF(Görevler!$F33="","",IF(AND(Görevler!$C33&lt;=(M$4+Ayarlar!$C$6-1),Görevler!$D33&gt;=M$4),IF(M$4&lt;=Görevler!$C33+ROUND(Görevler!$F33*Görevler!$E33,0)-1,2,1),""))</f>
        <v/>
      </c>
      <c r="N33" s="22" t="str">
        <f aca="false">IF(Görevler!$F33="","",IF(AND(Görevler!$C33&lt;=(N$4+Ayarlar!$C$6-1),Görevler!$D33&gt;=N$4),IF(N$4&lt;=Görevler!$C33+ROUND(Görevler!$F33*Görevler!$E33,0)-1,2,1),""))</f>
        <v/>
      </c>
      <c r="O33" s="22" t="str">
        <f aca="false">IF(Görevler!$F33="","",IF(AND(Görevler!$C33&lt;=(O$4+Ayarlar!$C$6-1),Görevler!$D33&gt;=O$4),IF(O$4&lt;=Görevler!$C33+ROUND(Görevler!$F33*Görevler!$E33,0)-1,2,1),""))</f>
        <v/>
      </c>
      <c r="P33" s="22" t="str">
        <f aca="false">IF(Görevler!$F33="","",IF(AND(Görevler!$C33&lt;=(P$4+Ayarlar!$C$6-1),Görevler!$D33&gt;=P$4),IF(P$4&lt;=Görevler!$C33+ROUND(Görevler!$F33*Görevler!$E33,0)-1,2,1),""))</f>
        <v/>
      </c>
      <c r="Q33" s="22" t="str">
        <f aca="false">IF(Görevler!$F33="","",IF(AND(Görevler!$C33&lt;=(Q$4+Ayarlar!$C$6-1),Görevler!$D33&gt;=Q$4),IF(Q$4&lt;=Görevler!$C33+ROUND(Görevler!$F33*Görevler!$E33,0)-1,2,1),""))</f>
        <v/>
      </c>
      <c r="R33" s="22" t="str">
        <f aca="false">IF(Görevler!$F33="","",IF(AND(Görevler!$C33&lt;=(R$4+Ayarlar!$C$6-1),Görevler!$D33&gt;=R$4),IF(R$4&lt;=Görevler!$C33+ROUND(Görevler!$F33*Görevler!$E33,0)-1,2,1),""))</f>
        <v/>
      </c>
      <c r="S33" s="22" t="str">
        <f aca="false">IF(Görevler!$F33="","",IF(AND(Görevler!$C33&lt;=(S$4+Ayarlar!$C$6-1),Görevler!$D33&gt;=S$4),IF(S$4&lt;=Görevler!$C33+ROUND(Görevler!$F33*Görevler!$E33,0)-1,2,1),""))</f>
        <v/>
      </c>
      <c r="T33" s="22" t="str">
        <f aca="false">IF(Görevler!$F33="","",IF(AND(Görevler!$C33&lt;=(T$4+Ayarlar!$C$6-1),Görevler!$D33&gt;=T$4),IF(T$4&lt;=Görevler!$C33+ROUND(Görevler!$F33*Görevler!$E33,0)-1,2,1),""))</f>
        <v/>
      </c>
      <c r="U33" s="22" t="str">
        <f aca="false">IF(Görevler!$F33="","",IF(AND(Görevler!$C33&lt;=(U$4+Ayarlar!$C$6-1),Görevler!$D33&gt;=U$4),IF(U$4&lt;=Görevler!$C33+ROUND(Görevler!$F33*Görevler!$E33,0)-1,2,1),""))</f>
        <v/>
      </c>
      <c r="V33" s="22" t="str">
        <f aca="false">IF(Görevler!$F33="","",IF(AND(Görevler!$C33&lt;=(V$4+Ayarlar!$C$6-1),Görevler!$D33&gt;=V$4),IF(V$4&lt;=Görevler!$C33+ROUND(Görevler!$F33*Görevler!$E33,0)-1,2,1),""))</f>
        <v/>
      </c>
      <c r="W33" s="22" t="str">
        <f aca="false">IF(Görevler!$F33="","",IF(AND(Görevler!$C33&lt;=(W$4+Ayarlar!$C$6-1),Görevler!$D33&gt;=W$4),IF(W$4&lt;=Görevler!$C33+ROUND(Görevler!$F33*Görevler!$E33,0)-1,2,1),""))</f>
        <v/>
      </c>
      <c r="X33" s="22" t="str">
        <f aca="false">IF(Görevler!$F33="","",IF(AND(Görevler!$C33&lt;=(X$4+Ayarlar!$C$6-1),Görevler!$D33&gt;=X$4),IF(X$4&lt;=Görevler!$C33+ROUND(Görevler!$F33*Görevler!$E33,0)-1,2,1),""))</f>
        <v/>
      </c>
      <c r="Y33" s="22" t="str">
        <f aca="false">IF(Görevler!$F33="","",IF(AND(Görevler!$C33&lt;=(Y$4+Ayarlar!$C$6-1),Görevler!$D33&gt;=Y$4),IF(Y$4&lt;=Görevler!$C33+ROUND(Görevler!$F33*Görevler!$E33,0)-1,2,1),""))</f>
        <v/>
      </c>
      <c r="Z33" s="22" t="str">
        <f aca="false">IF(Görevler!$F33="","",IF(AND(Görevler!$C33&lt;=(Z$4+Ayarlar!$C$6-1),Görevler!$D33&gt;=Z$4),IF(Z$4&lt;=Görevler!$C33+ROUND(Görevler!$F33*Görevler!$E33,0)-1,2,1),""))</f>
        <v/>
      </c>
      <c r="AA33" s="22" t="str">
        <f aca="false">IF(Görevler!$F33="","",IF(AND(Görevler!$C33&lt;=(AA$4+Ayarlar!$C$6-1),Görevler!$D33&gt;=AA$4),IF(AA$4&lt;=Görevler!$C33+ROUND(Görevler!$F33*Görevler!$E33,0)-1,2,1),""))</f>
        <v/>
      </c>
      <c r="AB33" s="22" t="str">
        <f aca="false">IF(Görevler!$F33="","",IF(AND(Görevler!$C33&lt;=(AB$4+Ayarlar!$C$6-1),Görevler!$D33&gt;=AB$4),IF(AB$4&lt;=Görevler!$C33+ROUND(Görevler!$F33*Görevler!$E33,0)-1,2,1),""))</f>
        <v/>
      </c>
      <c r="AC33" s="22" t="str">
        <f aca="false">IF(Görevler!$F33="","",IF(AND(Görevler!$C33&lt;=(AC$4+Ayarlar!$C$6-1),Görevler!$D33&gt;=AC$4),IF(AC$4&lt;=Görevler!$C33+ROUND(Görevler!$F33*Görevler!$E33,0)-1,2,1),""))</f>
        <v/>
      </c>
      <c r="AD33" s="22" t="str">
        <f aca="false">IF(Görevler!$F33="","",IF(AND(Görevler!$C33&lt;=(AD$4+Ayarlar!$C$6-1),Görevler!$D33&gt;=AD$4),IF(AD$4&lt;=Görevler!$C33+ROUND(Görevler!$F33*Görevler!$E33,0)-1,2,1),""))</f>
        <v/>
      </c>
      <c r="AE33" s="22" t="str">
        <f aca="false">IF(Görevler!$F33="","",IF(AND(Görevler!$C33&lt;=(AE$4+Ayarlar!$C$6-1),Görevler!$D33&gt;=AE$4),IF(AE$4&lt;=Görevler!$C33+ROUND(Görevler!$F33*Görevler!$E33,0)-1,2,1),""))</f>
        <v/>
      </c>
      <c r="AF33" s="22" t="str">
        <f aca="false">IF(Görevler!$F33="","",IF(AND(Görevler!$C33&lt;=(AF$4+Ayarlar!$C$6-1),Görevler!$D33&gt;=AF$4),IF(AF$4&lt;=Görevler!$C33+ROUND(Görevler!$F33*Görevler!$E33,0)-1,2,1),""))</f>
        <v/>
      </c>
      <c r="AG33" s="22" t="str">
        <f aca="false">IF(Görevler!$F33="","",IF(AND(Görevler!$C33&lt;=(AG$4+Ayarlar!$C$6-1),Görevler!$D33&gt;=AG$4),IF(AG$4&lt;=Görevler!$C33+ROUND(Görevler!$F33*Görevler!$E33,0)-1,2,1),""))</f>
        <v/>
      </c>
      <c r="AH33" s="22" t="str">
        <f aca="false">IF(Görevler!$F33="","",IF(AND(Görevler!$C33&lt;=(AH$4+Ayarlar!$C$6-1),Görevler!$D33&gt;=AH$4),IF(AH$4&lt;=Görevler!$C33+ROUND(Görevler!$F33*Görevler!$E33,0)-1,2,1),""))</f>
        <v/>
      </c>
      <c r="AI33" s="22" t="str">
        <f aca="false">IF(Görevler!$F33="","",IF(AND(Görevler!$C33&lt;=(AI$4+Ayarlar!$C$6-1),Görevler!$D33&gt;=AI$4),IF(AI$4&lt;=Görevler!$C33+ROUND(Görevler!$F33*Görevler!$E33,0)-1,2,1),""))</f>
        <v/>
      </c>
      <c r="AJ33" s="22" t="str">
        <f aca="false">IF(Görevler!$F33="","",IF(AND(Görevler!$C33&lt;=(AJ$4+Ayarlar!$C$6-1),Görevler!$D33&gt;=AJ$4),IF(AJ$4&lt;=Görevler!$C33+ROUND(Görevler!$F33*Görevler!$E33,0)-1,2,1),""))</f>
        <v/>
      </c>
      <c r="AK33" s="22" t="str">
        <f aca="false">IF(Görevler!$F33="","",IF(AND(Görevler!$C33&lt;=(AK$4+Ayarlar!$C$6-1),Görevler!$D33&gt;=AK$4),IF(AK$4&lt;=Görevler!$C33+ROUND(Görevler!$F33*Görevler!$E33,0)-1,2,1),""))</f>
        <v/>
      </c>
      <c r="AL33" s="22" t="str">
        <f aca="false">IF(Görevler!$F33="","",IF(AND(Görevler!$C33&lt;=(AL$4+Ayarlar!$C$6-1),Görevler!$D33&gt;=AL$4),IF(AL$4&lt;=Görevler!$C33+ROUND(Görevler!$F33*Görevler!$E33,0)-1,2,1),""))</f>
        <v/>
      </c>
      <c r="AM33" s="22" t="str">
        <f aca="false">IF(Görevler!$F33="","",IF(AND(Görevler!$C33&lt;=(AM$4+Ayarlar!$C$6-1),Görevler!$D33&gt;=AM$4),IF(AM$4&lt;=Görevler!$C33+ROUND(Görevler!$F33*Görevler!$E33,0)-1,2,1),""))</f>
        <v/>
      </c>
      <c r="AN33" s="22" t="str">
        <f aca="false">IF(Görevler!$F33="","",IF(AND(Görevler!$C33&lt;=(AN$4+Ayarlar!$C$6-1),Görevler!$D33&gt;=AN$4),IF(AN$4&lt;=Görevler!$C33+ROUND(Görevler!$F33*Görevler!$E33,0)-1,2,1),""))</f>
        <v/>
      </c>
      <c r="AO33" s="22" t="str">
        <f aca="false">IF(Görevler!$F33="","",IF(AND(Görevler!$C33&lt;=(AO$4+Ayarlar!$C$6-1),Görevler!$D33&gt;=AO$4),IF(AO$4&lt;=Görevler!$C33+ROUND(Görevler!$F33*Görevler!$E33,0)-1,2,1),""))</f>
        <v/>
      </c>
      <c r="AP33" s="22" t="str">
        <f aca="false">IF(Görevler!$F33="","",IF(AND(Görevler!$C33&lt;=(AP$4+Ayarlar!$C$6-1),Görevler!$D33&gt;=AP$4),IF(AP$4&lt;=Görevler!$C33+ROUND(Görevler!$F33*Görevler!$E33,0)-1,2,1),""))</f>
        <v/>
      </c>
      <c r="AQ33" s="22" t="str">
        <f aca="false">IF(Görevler!$F33="","",IF(AND(Görevler!$C33&lt;=(AQ$4+Ayarlar!$C$6-1),Görevler!$D33&gt;=AQ$4),IF(AQ$4&lt;=Görevler!$C33+ROUND(Görevler!$F33*Görevler!$E33,0)-1,2,1),""))</f>
        <v/>
      </c>
      <c r="AR33" s="22" t="str">
        <f aca="false">IF(Görevler!$F33="","",IF(AND(Görevler!$C33&lt;=(AR$4+Ayarlar!$C$6-1),Görevler!$D33&gt;=AR$4),IF(AR$4&lt;=Görevler!$C33+ROUND(Görevler!$F33*Görevler!$E33,0)-1,2,1),""))</f>
        <v/>
      </c>
      <c r="AS33" s="22" t="str">
        <f aca="false">IF(Görevler!$F33="","",IF(AND(Görevler!$C33&lt;=(AS$4+Ayarlar!$C$6-1),Görevler!$D33&gt;=AS$4),IF(AS$4&lt;=Görevler!$C33+ROUND(Görevler!$F33*Görevler!$E33,0)-1,2,1),""))</f>
        <v/>
      </c>
      <c r="AT33" s="22" t="str">
        <f aca="false">IF(Görevler!$F33="","",IF(AND(Görevler!$C33&lt;=(AT$4+Ayarlar!$C$6-1),Görevler!$D33&gt;=AT$4),IF(AT$4&lt;=Görevler!$C33+ROUND(Görevler!$F33*Görevler!$E33,0)-1,2,1),""))</f>
        <v/>
      </c>
      <c r="AU33" s="22" t="str">
        <f aca="false">IF(Görevler!$F33="","",IF(AND(Görevler!$C33&lt;=(AU$4+Ayarlar!$C$6-1),Görevler!$D33&gt;=AU$4),IF(AU$4&lt;=Görevler!$C33+ROUND(Görevler!$F33*Görevler!$E33,0)-1,2,1),""))</f>
        <v/>
      </c>
      <c r="AV33" s="22" t="str">
        <f aca="false">IF(Görevler!$F33="","",IF(AND(Görevler!$C33&lt;=(AV$4+Ayarlar!$C$6-1),Görevler!$D33&gt;=AV$4),IF(AV$4&lt;=Görevler!$C33+ROUND(Görevler!$F33*Görevler!$E33,0)-1,2,1),""))</f>
        <v/>
      </c>
      <c r="AW33" s="22" t="str">
        <f aca="false">IF(Görevler!$F33="","",IF(AND(Görevler!$C33&lt;=(AW$4+Ayarlar!$C$6-1),Görevler!$D33&gt;=AW$4),IF(AW$4&lt;=Görevler!$C33+ROUND(Görevler!$F33*Görevler!$E33,0)-1,2,1),""))</f>
        <v/>
      </c>
      <c r="AX33" s="22" t="str">
        <f aca="false">IF(Görevler!$F33="","",IF(AND(Görevler!$C33&lt;=(AX$4+Ayarlar!$C$6-1),Görevler!$D33&gt;=AX$4),IF(AX$4&lt;=Görevler!$C33+ROUND(Görevler!$F33*Görevler!$E33,0)-1,2,1),""))</f>
        <v/>
      </c>
      <c r="AY33" s="22" t="str">
        <f aca="false">IF(Görevler!$F33="","",IF(AND(Görevler!$C33&lt;=(AY$4+Ayarlar!$C$6-1),Görevler!$D33&gt;=AY$4),IF(AY$4&lt;=Görevler!$C33+ROUND(Görevler!$F33*Görevler!$E33,0)-1,2,1),""))</f>
        <v/>
      </c>
      <c r="AZ33" s="22" t="str">
        <f aca="false">IF(Görevler!$F33="","",IF(AND(Görevler!$C33&lt;=(AZ$4+Ayarlar!$C$6-1),Görevler!$D33&gt;=AZ$4),IF(AZ$4&lt;=Görevler!$C33+ROUND(Görevler!$F33*Görevler!$E33,0)-1,2,1),""))</f>
        <v/>
      </c>
      <c r="BA33" s="22" t="str">
        <f aca="false">IF(Görevler!$F33="","",IF(AND(Görevler!$C33&lt;=(BA$4+Ayarlar!$C$6-1),Görevler!$D33&gt;=BA$4),IF(BA$4&lt;=Görevler!$C33+ROUND(Görevler!$F33*Görevler!$E33,0)-1,2,1),""))</f>
        <v/>
      </c>
      <c r="BB33" s="22" t="str">
        <f aca="false">IF(Görevler!$F33="","",IF(AND(Görevler!$C33&lt;=(BB$4+Ayarlar!$C$6-1),Görevler!$D33&gt;=BB$4),IF(BB$4&lt;=Görevler!$C33+ROUND(Görevler!$F33*Görevler!$E33,0)-1,2,1),""))</f>
        <v/>
      </c>
      <c r="BC33" s="22" t="str">
        <f aca="false">IF(Görevler!$F33="","",IF(AND(Görevler!$C33&lt;=(BC$4+Ayarlar!$C$6-1),Görevler!$D33&gt;=BC$4),IF(BC$4&lt;=Görevler!$C33+ROUND(Görevler!$F33*Görevler!$E33,0)-1,2,1),""))</f>
        <v/>
      </c>
      <c r="BD33" s="22" t="str">
        <f aca="false">IF(Görevler!$F33="","",IF(AND(Görevler!$C33&lt;=(BD$4+Ayarlar!$C$6-1),Görevler!$D33&gt;=BD$4),IF(BD$4&lt;=Görevler!$C33+ROUND(Görevler!$F33*Görevler!$E33,0)-1,2,1),""))</f>
        <v/>
      </c>
      <c r="BE33" s="22" t="str">
        <f aca="false">IF(Görevler!$F33="","",IF(AND(Görevler!$C33&lt;=(BE$4+Ayarlar!$C$6-1),Görevler!$D33&gt;=BE$4),IF(BE$4&lt;=Görevler!$C33+ROUND(Görevler!$F33*Görevler!$E33,0)-1,2,1),""))</f>
        <v/>
      </c>
      <c r="BF33" s="22" t="str">
        <f aca="false">IF(Görevler!$F33="","",IF(AND(Görevler!$C33&lt;=(BF$4+Ayarlar!$C$6-1),Görevler!$D33&gt;=BF$4),IF(BF$4&lt;=Görevler!$C33+ROUND(Görevler!$F33*Görevler!$E33,0)-1,2,1),""))</f>
        <v/>
      </c>
      <c r="BG33" s="22" t="str">
        <f aca="false">IF(Görevler!$F33="","",IF(AND(Görevler!$C33&lt;=(BG$4+Ayarlar!$C$6-1),Görevler!$D33&gt;=BG$4),IF(BG$4&lt;=Görevler!$C33+ROUND(Görevler!$F33*Görevler!$E33,0)-1,2,1),""))</f>
        <v/>
      </c>
      <c r="BH33" s="22" t="str">
        <f aca="false">IF(Görevler!$F33="","",IF(AND(Görevler!$C33&lt;=(BH$4+Ayarlar!$C$6-1),Görevler!$D33&gt;=BH$4),IF(BH$4&lt;=Görevler!$C33+ROUND(Görevler!$F33*Görevler!$E33,0)-1,2,1),""))</f>
        <v/>
      </c>
      <c r="BI33" s="22" t="str">
        <f aca="false">IF(Görevler!$F33="","",IF(AND(Görevler!$C33&lt;=(BI$4+Ayarlar!$C$6-1),Görevler!$D33&gt;=BI$4),IF(BI$4&lt;=Görevler!$C33+ROUND(Görevler!$F33*Görevler!$E33,0)-1,2,1),""))</f>
        <v/>
      </c>
      <c r="BJ33" s="22" t="str">
        <f aca="false">IF(Görevler!$F33="","",IF(AND(Görevler!$C33&lt;=(BJ$4+Ayarlar!$C$6-1),Görevler!$D33&gt;=BJ$4),IF(BJ$4&lt;=Görevler!$C33+ROUND(Görevler!$F33*Görevler!$E33,0)-1,2,1),""))</f>
        <v/>
      </c>
    </row>
    <row r="34" customFormat="false" ht="15" hidden="false" customHeight="false" outlineLevel="0" collapsed="false">
      <c r="A34" s="21" t="str">
        <f aca="false">IF(Görevler!A34="","",Görevler!A34)</f>
        <v/>
      </c>
      <c r="B34" s="21" t="str">
        <f aca="false">IF(Görevler!A34="","",Görevler!B34&amp;"")</f>
        <v/>
      </c>
      <c r="C34" s="22" t="str">
        <f aca="false">IF(Görevler!$F34="","",IF(AND(Görevler!$C34&lt;=(C$4+Ayarlar!$C$6-1),Görevler!$D34&gt;=C$4),IF(C$4&lt;=Görevler!$C34+ROUND(Görevler!$F34*Görevler!$E34,0)-1,2,1),""))</f>
        <v/>
      </c>
      <c r="D34" s="22" t="str">
        <f aca="false">IF(Görevler!$F34="","",IF(AND(Görevler!$C34&lt;=(D$4+Ayarlar!$C$6-1),Görevler!$D34&gt;=D$4),IF(D$4&lt;=Görevler!$C34+ROUND(Görevler!$F34*Görevler!$E34,0)-1,2,1),""))</f>
        <v/>
      </c>
      <c r="E34" s="22" t="str">
        <f aca="false">IF(Görevler!$F34="","",IF(AND(Görevler!$C34&lt;=(E$4+Ayarlar!$C$6-1),Görevler!$D34&gt;=E$4),IF(E$4&lt;=Görevler!$C34+ROUND(Görevler!$F34*Görevler!$E34,0)-1,2,1),""))</f>
        <v/>
      </c>
      <c r="F34" s="22" t="str">
        <f aca="false">IF(Görevler!$F34="","",IF(AND(Görevler!$C34&lt;=(F$4+Ayarlar!$C$6-1),Görevler!$D34&gt;=F$4),IF(F$4&lt;=Görevler!$C34+ROUND(Görevler!$F34*Görevler!$E34,0)-1,2,1),""))</f>
        <v/>
      </c>
      <c r="G34" s="22" t="str">
        <f aca="false">IF(Görevler!$F34="","",IF(AND(Görevler!$C34&lt;=(G$4+Ayarlar!$C$6-1),Görevler!$D34&gt;=G$4),IF(G$4&lt;=Görevler!$C34+ROUND(Görevler!$F34*Görevler!$E34,0)-1,2,1),""))</f>
        <v/>
      </c>
      <c r="H34" s="22" t="str">
        <f aca="false">IF(Görevler!$F34="","",IF(AND(Görevler!$C34&lt;=(H$4+Ayarlar!$C$6-1),Görevler!$D34&gt;=H$4),IF(H$4&lt;=Görevler!$C34+ROUND(Görevler!$F34*Görevler!$E34,0)-1,2,1),""))</f>
        <v/>
      </c>
      <c r="I34" s="22" t="str">
        <f aca="false">IF(Görevler!$F34="","",IF(AND(Görevler!$C34&lt;=(I$4+Ayarlar!$C$6-1),Görevler!$D34&gt;=I$4),IF(I$4&lt;=Görevler!$C34+ROUND(Görevler!$F34*Görevler!$E34,0)-1,2,1),""))</f>
        <v/>
      </c>
      <c r="J34" s="22" t="str">
        <f aca="false">IF(Görevler!$F34="","",IF(AND(Görevler!$C34&lt;=(J$4+Ayarlar!$C$6-1),Görevler!$D34&gt;=J$4),IF(J$4&lt;=Görevler!$C34+ROUND(Görevler!$F34*Görevler!$E34,0)-1,2,1),""))</f>
        <v/>
      </c>
      <c r="K34" s="22" t="str">
        <f aca="false">IF(Görevler!$F34="","",IF(AND(Görevler!$C34&lt;=(K$4+Ayarlar!$C$6-1),Görevler!$D34&gt;=K$4),IF(K$4&lt;=Görevler!$C34+ROUND(Görevler!$F34*Görevler!$E34,0)-1,2,1),""))</f>
        <v/>
      </c>
      <c r="L34" s="22" t="str">
        <f aca="false">IF(Görevler!$F34="","",IF(AND(Görevler!$C34&lt;=(L$4+Ayarlar!$C$6-1),Görevler!$D34&gt;=L$4),IF(L$4&lt;=Görevler!$C34+ROUND(Görevler!$F34*Görevler!$E34,0)-1,2,1),""))</f>
        <v/>
      </c>
      <c r="M34" s="22" t="str">
        <f aca="false">IF(Görevler!$F34="","",IF(AND(Görevler!$C34&lt;=(M$4+Ayarlar!$C$6-1),Görevler!$D34&gt;=M$4),IF(M$4&lt;=Görevler!$C34+ROUND(Görevler!$F34*Görevler!$E34,0)-1,2,1),""))</f>
        <v/>
      </c>
      <c r="N34" s="22" t="str">
        <f aca="false">IF(Görevler!$F34="","",IF(AND(Görevler!$C34&lt;=(N$4+Ayarlar!$C$6-1),Görevler!$D34&gt;=N$4),IF(N$4&lt;=Görevler!$C34+ROUND(Görevler!$F34*Görevler!$E34,0)-1,2,1),""))</f>
        <v/>
      </c>
      <c r="O34" s="22" t="str">
        <f aca="false">IF(Görevler!$F34="","",IF(AND(Görevler!$C34&lt;=(O$4+Ayarlar!$C$6-1),Görevler!$D34&gt;=O$4),IF(O$4&lt;=Görevler!$C34+ROUND(Görevler!$F34*Görevler!$E34,0)-1,2,1),""))</f>
        <v/>
      </c>
      <c r="P34" s="22" t="str">
        <f aca="false">IF(Görevler!$F34="","",IF(AND(Görevler!$C34&lt;=(P$4+Ayarlar!$C$6-1),Görevler!$D34&gt;=P$4),IF(P$4&lt;=Görevler!$C34+ROUND(Görevler!$F34*Görevler!$E34,0)-1,2,1),""))</f>
        <v/>
      </c>
      <c r="Q34" s="22" t="str">
        <f aca="false">IF(Görevler!$F34="","",IF(AND(Görevler!$C34&lt;=(Q$4+Ayarlar!$C$6-1),Görevler!$D34&gt;=Q$4),IF(Q$4&lt;=Görevler!$C34+ROUND(Görevler!$F34*Görevler!$E34,0)-1,2,1),""))</f>
        <v/>
      </c>
      <c r="R34" s="22" t="str">
        <f aca="false">IF(Görevler!$F34="","",IF(AND(Görevler!$C34&lt;=(R$4+Ayarlar!$C$6-1),Görevler!$D34&gt;=R$4),IF(R$4&lt;=Görevler!$C34+ROUND(Görevler!$F34*Görevler!$E34,0)-1,2,1),""))</f>
        <v/>
      </c>
      <c r="S34" s="22" t="str">
        <f aca="false">IF(Görevler!$F34="","",IF(AND(Görevler!$C34&lt;=(S$4+Ayarlar!$C$6-1),Görevler!$D34&gt;=S$4),IF(S$4&lt;=Görevler!$C34+ROUND(Görevler!$F34*Görevler!$E34,0)-1,2,1),""))</f>
        <v/>
      </c>
      <c r="T34" s="22" t="str">
        <f aca="false">IF(Görevler!$F34="","",IF(AND(Görevler!$C34&lt;=(T$4+Ayarlar!$C$6-1),Görevler!$D34&gt;=T$4),IF(T$4&lt;=Görevler!$C34+ROUND(Görevler!$F34*Görevler!$E34,0)-1,2,1),""))</f>
        <v/>
      </c>
      <c r="U34" s="22" t="str">
        <f aca="false">IF(Görevler!$F34="","",IF(AND(Görevler!$C34&lt;=(U$4+Ayarlar!$C$6-1),Görevler!$D34&gt;=U$4),IF(U$4&lt;=Görevler!$C34+ROUND(Görevler!$F34*Görevler!$E34,0)-1,2,1),""))</f>
        <v/>
      </c>
      <c r="V34" s="22" t="str">
        <f aca="false">IF(Görevler!$F34="","",IF(AND(Görevler!$C34&lt;=(V$4+Ayarlar!$C$6-1),Görevler!$D34&gt;=V$4),IF(V$4&lt;=Görevler!$C34+ROUND(Görevler!$F34*Görevler!$E34,0)-1,2,1),""))</f>
        <v/>
      </c>
      <c r="W34" s="22" t="str">
        <f aca="false">IF(Görevler!$F34="","",IF(AND(Görevler!$C34&lt;=(W$4+Ayarlar!$C$6-1),Görevler!$D34&gt;=W$4),IF(W$4&lt;=Görevler!$C34+ROUND(Görevler!$F34*Görevler!$E34,0)-1,2,1),""))</f>
        <v/>
      </c>
      <c r="X34" s="22" t="str">
        <f aca="false">IF(Görevler!$F34="","",IF(AND(Görevler!$C34&lt;=(X$4+Ayarlar!$C$6-1),Görevler!$D34&gt;=X$4),IF(X$4&lt;=Görevler!$C34+ROUND(Görevler!$F34*Görevler!$E34,0)-1,2,1),""))</f>
        <v/>
      </c>
      <c r="Y34" s="22" t="str">
        <f aca="false">IF(Görevler!$F34="","",IF(AND(Görevler!$C34&lt;=(Y$4+Ayarlar!$C$6-1),Görevler!$D34&gt;=Y$4),IF(Y$4&lt;=Görevler!$C34+ROUND(Görevler!$F34*Görevler!$E34,0)-1,2,1),""))</f>
        <v/>
      </c>
      <c r="Z34" s="22" t="str">
        <f aca="false">IF(Görevler!$F34="","",IF(AND(Görevler!$C34&lt;=(Z$4+Ayarlar!$C$6-1),Görevler!$D34&gt;=Z$4),IF(Z$4&lt;=Görevler!$C34+ROUND(Görevler!$F34*Görevler!$E34,0)-1,2,1),""))</f>
        <v/>
      </c>
      <c r="AA34" s="22" t="str">
        <f aca="false">IF(Görevler!$F34="","",IF(AND(Görevler!$C34&lt;=(AA$4+Ayarlar!$C$6-1),Görevler!$D34&gt;=AA$4),IF(AA$4&lt;=Görevler!$C34+ROUND(Görevler!$F34*Görevler!$E34,0)-1,2,1),""))</f>
        <v/>
      </c>
      <c r="AB34" s="22" t="str">
        <f aca="false">IF(Görevler!$F34="","",IF(AND(Görevler!$C34&lt;=(AB$4+Ayarlar!$C$6-1),Görevler!$D34&gt;=AB$4),IF(AB$4&lt;=Görevler!$C34+ROUND(Görevler!$F34*Görevler!$E34,0)-1,2,1),""))</f>
        <v/>
      </c>
      <c r="AC34" s="22" t="str">
        <f aca="false">IF(Görevler!$F34="","",IF(AND(Görevler!$C34&lt;=(AC$4+Ayarlar!$C$6-1),Görevler!$D34&gt;=AC$4),IF(AC$4&lt;=Görevler!$C34+ROUND(Görevler!$F34*Görevler!$E34,0)-1,2,1),""))</f>
        <v/>
      </c>
      <c r="AD34" s="22" t="str">
        <f aca="false">IF(Görevler!$F34="","",IF(AND(Görevler!$C34&lt;=(AD$4+Ayarlar!$C$6-1),Görevler!$D34&gt;=AD$4),IF(AD$4&lt;=Görevler!$C34+ROUND(Görevler!$F34*Görevler!$E34,0)-1,2,1),""))</f>
        <v/>
      </c>
      <c r="AE34" s="22" t="str">
        <f aca="false">IF(Görevler!$F34="","",IF(AND(Görevler!$C34&lt;=(AE$4+Ayarlar!$C$6-1),Görevler!$D34&gt;=AE$4),IF(AE$4&lt;=Görevler!$C34+ROUND(Görevler!$F34*Görevler!$E34,0)-1,2,1),""))</f>
        <v/>
      </c>
      <c r="AF34" s="22" t="str">
        <f aca="false">IF(Görevler!$F34="","",IF(AND(Görevler!$C34&lt;=(AF$4+Ayarlar!$C$6-1),Görevler!$D34&gt;=AF$4),IF(AF$4&lt;=Görevler!$C34+ROUND(Görevler!$F34*Görevler!$E34,0)-1,2,1),""))</f>
        <v/>
      </c>
      <c r="AG34" s="22" t="str">
        <f aca="false">IF(Görevler!$F34="","",IF(AND(Görevler!$C34&lt;=(AG$4+Ayarlar!$C$6-1),Görevler!$D34&gt;=AG$4),IF(AG$4&lt;=Görevler!$C34+ROUND(Görevler!$F34*Görevler!$E34,0)-1,2,1),""))</f>
        <v/>
      </c>
      <c r="AH34" s="22" t="str">
        <f aca="false">IF(Görevler!$F34="","",IF(AND(Görevler!$C34&lt;=(AH$4+Ayarlar!$C$6-1),Görevler!$D34&gt;=AH$4),IF(AH$4&lt;=Görevler!$C34+ROUND(Görevler!$F34*Görevler!$E34,0)-1,2,1),""))</f>
        <v/>
      </c>
      <c r="AI34" s="22" t="str">
        <f aca="false">IF(Görevler!$F34="","",IF(AND(Görevler!$C34&lt;=(AI$4+Ayarlar!$C$6-1),Görevler!$D34&gt;=AI$4),IF(AI$4&lt;=Görevler!$C34+ROUND(Görevler!$F34*Görevler!$E34,0)-1,2,1),""))</f>
        <v/>
      </c>
      <c r="AJ34" s="22" t="str">
        <f aca="false">IF(Görevler!$F34="","",IF(AND(Görevler!$C34&lt;=(AJ$4+Ayarlar!$C$6-1),Görevler!$D34&gt;=AJ$4),IF(AJ$4&lt;=Görevler!$C34+ROUND(Görevler!$F34*Görevler!$E34,0)-1,2,1),""))</f>
        <v/>
      </c>
      <c r="AK34" s="22" t="str">
        <f aca="false">IF(Görevler!$F34="","",IF(AND(Görevler!$C34&lt;=(AK$4+Ayarlar!$C$6-1),Görevler!$D34&gt;=AK$4),IF(AK$4&lt;=Görevler!$C34+ROUND(Görevler!$F34*Görevler!$E34,0)-1,2,1),""))</f>
        <v/>
      </c>
      <c r="AL34" s="22" t="str">
        <f aca="false">IF(Görevler!$F34="","",IF(AND(Görevler!$C34&lt;=(AL$4+Ayarlar!$C$6-1),Görevler!$D34&gt;=AL$4),IF(AL$4&lt;=Görevler!$C34+ROUND(Görevler!$F34*Görevler!$E34,0)-1,2,1),""))</f>
        <v/>
      </c>
      <c r="AM34" s="22" t="str">
        <f aca="false">IF(Görevler!$F34="","",IF(AND(Görevler!$C34&lt;=(AM$4+Ayarlar!$C$6-1),Görevler!$D34&gt;=AM$4),IF(AM$4&lt;=Görevler!$C34+ROUND(Görevler!$F34*Görevler!$E34,0)-1,2,1),""))</f>
        <v/>
      </c>
      <c r="AN34" s="22" t="str">
        <f aca="false">IF(Görevler!$F34="","",IF(AND(Görevler!$C34&lt;=(AN$4+Ayarlar!$C$6-1),Görevler!$D34&gt;=AN$4),IF(AN$4&lt;=Görevler!$C34+ROUND(Görevler!$F34*Görevler!$E34,0)-1,2,1),""))</f>
        <v/>
      </c>
      <c r="AO34" s="22" t="str">
        <f aca="false">IF(Görevler!$F34="","",IF(AND(Görevler!$C34&lt;=(AO$4+Ayarlar!$C$6-1),Görevler!$D34&gt;=AO$4),IF(AO$4&lt;=Görevler!$C34+ROUND(Görevler!$F34*Görevler!$E34,0)-1,2,1),""))</f>
        <v/>
      </c>
      <c r="AP34" s="22" t="str">
        <f aca="false">IF(Görevler!$F34="","",IF(AND(Görevler!$C34&lt;=(AP$4+Ayarlar!$C$6-1),Görevler!$D34&gt;=AP$4),IF(AP$4&lt;=Görevler!$C34+ROUND(Görevler!$F34*Görevler!$E34,0)-1,2,1),""))</f>
        <v/>
      </c>
      <c r="AQ34" s="22" t="str">
        <f aca="false">IF(Görevler!$F34="","",IF(AND(Görevler!$C34&lt;=(AQ$4+Ayarlar!$C$6-1),Görevler!$D34&gt;=AQ$4),IF(AQ$4&lt;=Görevler!$C34+ROUND(Görevler!$F34*Görevler!$E34,0)-1,2,1),""))</f>
        <v/>
      </c>
      <c r="AR34" s="22" t="str">
        <f aca="false">IF(Görevler!$F34="","",IF(AND(Görevler!$C34&lt;=(AR$4+Ayarlar!$C$6-1),Görevler!$D34&gt;=AR$4),IF(AR$4&lt;=Görevler!$C34+ROUND(Görevler!$F34*Görevler!$E34,0)-1,2,1),""))</f>
        <v/>
      </c>
      <c r="AS34" s="22" t="str">
        <f aca="false">IF(Görevler!$F34="","",IF(AND(Görevler!$C34&lt;=(AS$4+Ayarlar!$C$6-1),Görevler!$D34&gt;=AS$4),IF(AS$4&lt;=Görevler!$C34+ROUND(Görevler!$F34*Görevler!$E34,0)-1,2,1),""))</f>
        <v/>
      </c>
      <c r="AT34" s="22" t="str">
        <f aca="false">IF(Görevler!$F34="","",IF(AND(Görevler!$C34&lt;=(AT$4+Ayarlar!$C$6-1),Görevler!$D34&gt;=AT$4),IF(AT$4&lt;=Görevler!$C34+ROUND(Görevler!$F34*Görevler!$E34,0)-1,2,1),""))</f>
        <v/>
      </c>
      <c r="AU34" s="22" t="str">
        <f aca="false">IF(Görevler!$F34="","",IF(AND(Görevler!$C34&lt;=(AU$4+Ayarlar!$C$6-1),Görevler!$D34&gt;=AU$4),IF(AU$4&lt;=Görevler!$C34+ROUND(Görevler!$F34*Görevler!$E34,0)-1,2,1),""))</f>
        <v/>
      </c>
      <c r="AV34" s="22" t="str">
        <f aca="false">IF(Görevler!$F34="","",IF(AND(Görevler!$C34&lt;=(AV$4+Ayarlar!$C$6-1),Görevler!$D34&gt;=AV$4),IF(AV$4&lt;=Görevler!$C34+ROUND(Görevler!$F34*Görevler!$E34,0)-1,2,1),""))</f>
        <v/>
      </c>
      <c r="AW34" s="22" t="str">
        <f aca="false">IF(Görevler!$F34="","",IF(AND(Görevler!$C34&lt;=(AW$4+Ayarlar!$C$6-1),Görevler!$D34&gt;=AW$4),IF(AW$4&lt;=Görevler!$C34+ROUND(Görevler!$F34*Görevler!$E34,0)-1,2,1),""))</f>
        <v/>
      </c>
      <c r="AX34" s="22" t="str">
        <f aca="false">IF(Görevler!$F34="","",IF(AND(Görevler!$C34&lt;=(AX$4+Ayarlar!$C$6-1),Görevler!$D34&gt;=AX$4),IF(AX$4&lt;=Görevler!$C34+ROUND(Görevler!$F34*Görevler!$E34,0)-1,2,1),""))</f>
        <v/>
      </c>
      <c r="AY34" s="22" t="str">
        <f aca="false">IF(Görevler!$F34="","",IF(AND(Görevler!$C34&lt;=(AY$4+Ayarlar!$C$6-1),Görevler!$D34&gt;=AY$4),IF(AY$4&lt;=Görevler!$C34+ROUND(Görevler!$F34*Görevler!$E34,0)-1,2,1),""))</f>
        <v/>
      </c>
      <c r="AZ34" s="22" t="str">
        <f aca="false">IF(Görevler!$F34="","",IF(AND(Görevler!$C34&lt;=(AZ$4+Ayarlar!$C$6-1),Görevler!$D34&gt;=AZ$4),IF(AZ$4&lt;=Görevler!$C34+ROUND(Görevler!$F34*Görevler!$E34,0)-1,2,1),""))</f>
        <v/>
      </c>
      <c r="BA34" s="22" t="str">
        <f aca="false">IF(Görevler!$F34="","",IF(AND(Görevler!$C34&lt;=(BA$4+Ayarlar!$C$6-1),Görevler!$D34&gt;=BA$4),IF(BA$4&lt;=Görevler!$C34+ROUND(Görevler!$F34*Görevler!$E34,0)-1,2,1),""))</f>
        <v/>
      </c>
      <c r="BB34" s="22" t="str">
        <f aca="false">IF(Görevler!$F34="","",IF(AND(Görevler!$C34&lt;=(BB$4+Ayarlar!$C$6-1),Görevler!$D34&gt;=BB$4),IF(BB$4&lt;=Görevler!$C34+ROUND(Görevler!$F34*Görevler!$E34,0)-1,2,1),""))</f>
        <v/>
      </c>
      <c r="BC34" s="22" t="str">
        <f aca="false">IF(Görevler!$F34="","",IF(AND(Görevler!$C34&lt;=(BC$4+Ayarlar!$C$6-1),Görevler!$D34&gt;=BC$4),IF(BC$4&lt;=Görevler!$C34+ROUND(Görevler!$F34*Görevler!$E34,0)-1,2,1),""))</f>
        <v/>
      </c>
      <c r="BD34" s="22" t="str">
        <f aca="false">IF(Görevler!$F34="","",IF(AND(Görevler!$C34&lt;=(BD$4+Ayarlar!$C$6-1),Görevler!$D34&gt;=BD$4),IF(BD$4&lt;=Görevler!$C34+ROUND(Görevler!$F34*Görevler!$E34,0)-1,2,1),""))</f>
        <v/>
      </c>
      <c r="BE34" s="22" t="str">
        <f aca="false">IF(Görevler!$F34="","",IF(AND(Görevler!$C34&lt;=(BE$4+Ayarlar!$C$6-1),Görevler!$D34&gt;=BE$4),IF(BE$4&lt;=Görevler!$C34+ROUND(Görevler!$F34*Görevler!$E34,0)-1,2,1),""))</f>
        <v/>
      </c>
      <c r="BF34" s="22" t="str">
        <f aca="false">IF(Görevler!$F34="","",IF(AND(Görevler!$C34&lt;=(BF$4+Ayarlar!$C$6-1),Görevler!$D34&gt;=BF$4),IF(BF$4&lt;=Görevler!$C34+ROUND(Görevler!$F34*Görevler!$E34,0)-1,2,1),""))</f>
        <v/>
      </c>
      <c r="BG34" s="22" t="str">
        <f aca="false">IF(Görevler!$F34="","",IF(AND(Görevler!$C34&lt;=(BG$4+Ayarlar!$C$6-1),Görevler!$D34&gt;=BG$4),IF(BG$4&lt;=Görevler!$C34+ROUND(Görevler!$F34*Görevler!$E34,0)-1,2,1),""))</f>
        <v/>
      </c>
      <c r="BH34" s="22" t="str">
        <f aca="false">IF(Görevler!$F34="","",IF(AND(Görevler!$C34&lt;=(BH$4+Ayarlar!$C$6-1),Görevler!$D34&gt;=BH$4),IF(BH$4&lt;=Görevler!$C34+ROUND(Görevler!$F34*Görevler!$E34,0)-1,2,1),""))</f>
        <v/>
      </c>
      <c r="BI34" s="22" t="str">
        <f aca="false">IF(Görevler!$F34="","",IF(AND(Görevler!$C34&lt;=(BI$4+Ayarlar!$C$6-1),Görevler!$D34&gt;=BI$4),IF(BI$4&lt;=Görevler!$C34+ROUND(Görevler!$F34*Görevler!$E34,0)-1,2,1),""))</f>
        <v/>
      </c>
      <c r="BJ34" s="22" t="str">
        <f aca="false">IF(Görevler!$F34="","",IF(AND(Görevler!$C34&lt;=(BJ$4+Ayarlar!$C$6-1),Görevler!$D34&gt;=BJ$4),IF(BJ$4&lt;=Görevler!$C34+ROUND(Görevler!$F34*Görevler!$E34,0)-1,2,1),""))</f>
        <v/>
      </c>
    </row>
    <row r="35" customFormat="false" ht="15" hidden="false" customHeight="false" outlineLevel="0" collapsed="false">
      <c r="A35" s="21" t="str">
        <f aca="false">IF(Görevler!A35="","",Görevler!A35)</f>
        <v/>
      </c>
      <c r="B35" s="21" t="str">
        <f aca="false">IF(Görevler!A35="","",Görevler!B35&amp;"")</f>
        <v/>
      </c>
      <c r="C35" s="22" t="str">
        <f aca="false">IF(Görevler!$F35="","",IF(AND(Görevler!$C35&lt;=(C$4+Ayarlar!$C$6-1),Görevler!$D35&gt;=C$4),IF(C$4&lt;=Görevler!$C35+ROUND(Görevler!$F35*Görevler!$E35,0)-1,2,1),""))</f>
        <v/>
      </c>
      <c r="D35" s="22" t="str">
        <f aca="false">IF(Görevler!$F35="","",IF(AND(Görevler!$C35&lt;=(D$4+Ayarlar!$C$6-1),Görevler!$D35&gt;=D$4),IF(D$4&lt;=Görevler!$C35+ROUND(Görevler!$F35*Görevler!$E35,0)-1,2,1),""))</f>
        <v/>
      </c>
      <c r="E35" s="22" t="str">
        <f aca="false">IF(Görevler!$F35="","",IF(AND(Görevler!$C35&lt;=(E$4+Ayarlar!$C$6-1),Görevler!$D35&gt;=E$4),IF(E$4&lt;=Görevler!$C35+ROUND(Görevler!$F35*Görevler!$E35,0)-1,2,1),""))</f>
        <v/>
      </c>
      <c r="F35" s="22" t="str">
        <f aca="false">IF(Görevler!$F35="","",IF(AND(Görevler!$C35&lt;=(F$4+Ayarlar!$C$6-1),Görevler!$D35&gt;=F$4),IF(F$4&lt;=Görevler!$C35+ROUND(Görevler!$F35*Görevler!$E35,0)-1,2,1),""))</f>
        <v/>
      </c>
      <c r="G35" s="22" t="str">
        <f aca="false">IF(Görevler!$F35="","",IF(AND(Görevler!$C35&lt;=(G$4+Ayarlar!$C$6-1),Görevler!$D35&gt;=G$4),IF(G$4&lt;=Görevler!$C35+ROUND(Görevler!$F35*Görevler!$E35,0)-1,2,1),""))</f>
        <v/>
      </c>
      <c r="H35" s="22" t="str">
        <f aca="false">IF(Görevler!$F35="","",IF(AND(Görevler!$C35&lt;=(H$4+Ayarlar!$C$6-1),Görevler!$D35&gt;=H$4),IF(H$4&lt;=Görevler!$C35+ROUND(Görevler!$F35*Görevler!$E35,0)-1,2,1),""))</f>
        <v/>
      </c>
      <c r="I35" s="22" t="str">
        <f aca="false">IF(Görevler!$F35="","",IF(AND(Görevler!$C35&lt;=(I$4+Ayarlar!$C$6-1),Görevler!$D35&gt;=I$4),IF(I$4&lt;=Görevler!$C35+ROUND(Görevler!$F35*Görevler!$E35,0)-1,2,1),""))</f>
        <v/>
      </c>
      <c r="J35" s="22" t="str">
        <f aca="false">IF(Görevler!$F35="","",IF(AND(Görevler!$C35&lt;=(J$4+Ayarlar!$C$6-1),Görevler!$D35&gt;=J$4),IF(J$4&lt;=Görevler!$C35+ROUND(Görevler!$F35*Görevler!$E35,0)-1,2,1),""))</f>
        <v/>
      </c>
      <c r="K35" s="22" t="str">
        <f aca="false">IF(Görevler!$F35="","",IF(AND(Görevler!$C35&lt;=(K$4+Ayarlar!$C$6-1),Görevler!$D35&gt;=K$4),IF(K$4&lt;=Görevler!$C35+ROUND(Görevler!$F35*Görevler!$E35,0)-1,2,1),""))</f>
        <v/>
      </c>
      <c r="L35" s="22" t="str">
        <f aca="false">IF(Görevler!$F35="","",IF(AND(Görevler!$C35&lt;=(L$4+Ayarlar!$C$6-1),Görevler!$D35&gt;=L$4),IF(L$4&lt;=Görevler!$C35+ROUND(Görevler!$F35*Görevler!$E35,0)-1,2,1),""))</f>
        <v/>
      </c>
      <c r="M35" s="22" t="str">
        <f aca="false">IF(Görevler!$F35="","",IF(AND(Görevler!$C35&lt;=(M$4+Ayarlar!$C$6-1),Görevler!$D35&gt;=M$4),IF(M$4&lt;=Görevler!$C35+ROUND(Görevler!$F35*Görevler!$E35,0)-1,2,1),""))</f>
        <v/>
      </c>
      <c r="N35" s="22" t="str">
        <f aca="false">IF(Görevler!$F35="","",IF(AND(Görevler!$C35&lt;=(N$4+Ayarlar!$C$6-1),Görevler!$D35&gt;=N$4),IF(N$4&lt;=Görevler!$C35+ROUND(Görevler!$F35*Görevler!$E35,0)-1,2,1),""))</f>
        <v/>
      </c>
      <c r="O35" s="22" t="str">
        <f aca="false">IF(Görevler!$F35="","",IF(AND(Görevler!$C35&lt;=(O$4+Ayarlar!$C$6-1),Görevler!$D35&gt;=O$4),IF(O$4&lt;=Görevler!$C35+ROUND(Görevler!$F35*Görevler!$E35,0)-1,2,1),""))</f>
        <v/>
      </c>
      <c r="P35" s="22" t="str">
        <f aca="false">IF(Görevler!$F35="","",IF(AND(Görevler!$C35&lt;=(P$4+Ayarlar!$C$6-1),Görevler!$D35&gt;=P$4),IF(P$4&lt;=Görevler!$C35+ROUND(Görevler!$F35*Görevler!$E35,0)-1,2,1),""))</f>
        <v/>
      </c>
      <c r="Q35" s="22" t="str">
        <f aca="false">IF(Görevler!$F35="","",IF(AND(Görevler!$C35&lt;=(Q$4+Ayarlar!$C$6-1),Görevler!$D35&gt;=Q$4),IF(Q$4&lt;=Görevler!$C35+ROUND(Görevler!$F35*Görevler!$E35,0)-1,2,1),""))</f>
        <v/>
      </c>
      <c r="R35" s="22" t="str">
        <f aca="false">IF(Görevler!$F35="","",IF(AND(Görevler!$C35&lt;=(R$4+Ayarlar!$C$6-1),Görevler!$D35&gt;=R$4),IF(R$4&lt;=Görevler!$C35+ROUND(Görevler!$F35*Görevler!$E35,0)-1,2,1),""))</f>
        <v/>
      </c>
      <c r="S35" s="22" t="str">
        <f aca="false">IF(Görevler!$F35="","",IF(AND(Görevler!$C35&lt;=(S$4+Ayarlar!$C$6-1),Görevler!$D35&gt;=S$4),IF(S$4&lt;=Görevler!$C35+ROUND(Görevler!$F35*Görevler!$E35,0)-1,2,1),""))</f>
        <v/>
      </c>
      <c r="T35" s="22" t="str">
        <f aca="false">IF(Görevler!$F35="","",IF(AND(Görevler!$C35&lt;=(T$4+Ayarlar!$C$6-1),Görevler!$D35&gt;=T$4),IF(T$4&lt;=Görevler!$C35+ROUND(Görevler!$F35*Görevler!$E35,0)-1,2,1),""))</f>
        <v/>
      </c>
      <c r="U35" s="22" t="str">
        <f aca="false">IF(Görevler!$F35="","",IF(AND(Görevler!$C35&lt;=(U$4+Ayarlar!$C$6-1),Görevler!$D35&gt;=U$4),IF(U$4&lt;=Görevler!$C35+ROUND(Görevler!$F35*Görevler!$E35,0)-1,2,1),""))</f>
        <v/>
      </c>
      <c r="V35" s="22" t="str">
        <f aca="false">IF(Görevler!$F35="","",IF(AND(Görevler!$C35&lt;=(V$4+Ayarlar!$C$6-1),Görevler!$D35&gt;=V$4),IF(V$4&lt;=Görevler!$C35+ROUND(Görevler!$F35*Görevler!$E35,0)-1,2,1),""))</f>
        <v/>
      </c>
      <c r="W35" s="22" t="str">
        <f aca="false">IF(Görevler!$F35="","",IF(AND(Görevler!$C35&lt;=(W$4+Ayarlar!$C$6-1),Görevler!$D35&gt;=W$4),IF(W$4&lt;=Görevler!$C35+ROUND(Görevler!$F35*Görevler!$E35,0)-1,2,1),""))</f>
        <v/>
      </c>
      <c r="X35" s="22" t="str">
        <f aca="false">IF(Görevler!$F35="","",IF(AND(Görevler!$C35&lt;=(X$4+Ayarlar!$C$6-1),Görevler!$D35&gt;=X$4),IF(X$4&lt;=Görevler!$C35+ROUND(Görevler!$F35*Görevler!$E35,0)-1,2,1),""))</f>
        <v/>
      </c>
      <c r="Y35" s="22" t="str">
        <f aca="false">IF(Görevler!$F35="","",IF(AND(Görevler!$C35&lt;=(Y$4+Ayarlar!$C$6-1),Görevler!$D35&gt;=Y$4),IF(Y$4&lt;=Görevler!$C35+ROUND(Görevler!$F35*Görevler!$E35,0)-1,2,1),""))</f>
        <v/>
      </c>
      <c r="Z35" s="22" t="str">
        <f aca="false">IF(Görevler!$F35="","",IF(AND(Görevler!$C35&lt;=(Z$4+Ayarlar!$C$6-1),Görevler!$D35&gt;=Z$4),IF(Z$4&lt;=Görevler!$C35+ROUND(Görevler!$F35*Görevler!$E35,0)-1,2,1),""))</f>
        <v/>
      </c>
      <c r="AA35" s="22" t="str">
        <f aca="false">IF(Görevler!$F35="","",IF(AND(Görevler!$C35&lt;=(AA$4+Ayarlar!$C$6-1),Görevler!$D35&gt;=AA$4),IF(AA$4&lt;=Görevler!$C35+ROUND(Görevler!$F35*Görevler!$E35,0)-1,2,1),""))</f>
        <v/>
      </c>
      <c r="AB35" s="22" t="str">
        <f aca="false">IF(Görevler!$F35="","",IF(AND(Görevler!$C35&lt;=(AB$4+Ayarlar!$C$6-1),Görevler!$D35&gt;=AB$4),IF(AB$4&lt;=Görevler!$C35+ROUND(Görevler!$F35*Görevler!$E35,0)-1,2,1),""))</f>
        <v/>
      </c>
      <c r="AC35" s="22" t="str">
        <f aca="false">IF(Görevler!$F35="","",IF(AND(Görevler!$C35&lt;=(AC$4+Ayarlar!$C$6-1),Görevler!$D35&gt;=AC$4),IF(AC$4&lt;=Görevler!$C35+ROUND(Görevler!$F35*Görevler!$E35,0)-1,2,1),""))</f>
        <v/>
      </c>
      <c r="AD35" s="22" t="str">
        <f aca="false">IF(Görevler!$F35="","",IF(AND(Görevler!$C35&lt;=(AD$4+Ayarlar!$C$6-1),Görevler!$D35&gt;=AD$4),IF(AD$4&lt;=Görevler!$C35+ROUND(Görevler!$F35*Görevler!$E35,0)-1,2,1),""))</f>
        <v/>
      </c>
      <c r="AE35" s="22" t="str">
        <f aca="false">IF(Görevler!$F35="","",IF(AND(Görevler!$C35&lt;=(AE$4+Ayarlar!$C$6-1),Görevler!$D35&gt;=AE$4),IF(AE$4&lt;=Görevler!$C35+ROUND(Görevler!$F35*Görevler!$E35,0)-1,2,1),""))</f>
        <v/>
      </c>
      <c r="AF35" s="22" t="str">
        <f aca="false">IF(Görevler!$F35="","",IF(AND(Görevler!$C35&lt;=(AF$4+Ayarlar!$C$6-1),Görevler!$D35&gt;=AF$4),IF(AF$4&lt;=Görevler!$C35+ROUND(Görevler!$F35*Görevler!$E35,0)-1,2,1),""))</f>
        <v/>
      </c>
      <c r="AG35" s="22" t="str">
        <f aca="false">IF(Görevler!$F35="","",IF(AND(Görevler!$C35&lt;=(AG$4+Ayarlar!$C$6-1),Görevler!$D35&gt;=AG$4),IF(AG$4&lt;=Görevler!$C35+ROUND(Görevler!$F35*Görevler!$E35,0)-1,2,1),""))</f>
        <v/>
      </c>
      <c r="AH35" s="22" t="str">
        <f aca="false">IF(Görevler!$F35="","",IF(AND(Görevler!$C35&lt;=(AH$4+Ayarlar!$C$6-1),Görevler!$D35&gt;=AH$4),IF(AH$4&lt;=Görevler!$C35+ROUND(Görevler!$F35*Görevler!$E35,0)-1,2,1),""))</f>
        <v/>
      </c>
      <c r="AI35" s="22" t="str">
        <f aca="false">IF(Görevler!$F35="","",IF(AND(Görevler!$C35&lt;=(AI$4+Ayarlar!$C$6-1),Görevler!$D35&gt;=AI$4),IF(AI$4&lt;=Görevler!$C35+ROUND(Görevler!$F35*Görevler!$E35,0)-1,2,1),""))</f>
        <v/>
      </c>
      <c r="AJ35" s="22" t="str">
        <f aca="false">IF(Görevler!$F35="","",IF(AND(Görevler!$C35&lt;=(AJ$4+Ayarlar!$C$6-1),Görevler!$D35&gt;=AJ$4),IF(AJ$4&lt;=Görevler!$C35+ROUND(Görevler!$F35*Görevler!$E35,0)-1,2,1),""))</f>
        <v/>
      </c>
      <c r="AK35" s="22" t="str">
        <f aca="false">IF(Görevler!$F35="","",IF(AND(Görevler!$C35&lt;=(AK$4+Ayarlar!$C$6-1),Görevler!$D35&gt;=AK$4),IF(AK$4&lt;=Görevler!$C35+ROUND(Görevler!$F35*Görevler!$E35,0)-1,2,1),""))</f>
        <v/>
      </c>
      <c r="AL35" s="22" t="str">
        <f aca="false">IF(Görevler!$F35="","",IF(AND(Görevler!$C35&lt;=(AL$4+Ayarlar!$C$6-1),Görevler!$D35&gt;=AL$4),IF(AL$4&lt;=Görevler!$C35+ROUND(Görevler!$F35*Görevler!$E35,0)-1,2,1),""))</f>
        <v/>
      </c>
      <c r="AM35" s="22" t="str">
        <f aca="false">IF(Görevler!$F35="","",IF(AND(Görevler!$C35&lt;=(AM$4+Ayarlar!$C$6-1),Görevler!$D35&gt;=AM$4),IF(AM$4&lt;=Görevler!$C35+ROUND(Görevler!$F35*Görevler!$E35,0)-1,2,1),""))</f>
        <v/>
      </c>
      <c r="AN35" s="22" t="str">
        <f aca="false">IF(Görevler!$F35="","",IF(AND(Görevler!$C35&lt;=(AN$4+Ayarlar!$C$6-1),Görevler!$D35&gt;=AN$4),IF(AN$4&lt;=Görevler!$C35+ROUND(Görevler!$F35*Görevler!$E35,0)-1,2,1),""))</f>
        <v/>
      </c>
      <c r="AO35" s="22" t="str">
        <f aca="false">IF(Görevler!$F35="","",IF(AND(Görevler!$C35&lt;=(AO$4+Ayarlar!$C$6-1),Görevler!$D35&gt;=AO$4),IF(AO$4&lt;=Görevler!$C35+ROUND(Görevler!$F35*Görevler!$E35,0)-1,2,1),""))</f>
        <v/>
      </c>
      <c r="AP35" s="22" t="str">
        <f aca="false">IF(Görevler!$F35="","",IF(AND(Görevler!$C35&lt;=(AP$4+Ayarlar!$C$6-1),Görevler!$D35&gt;=AP$4),IF(AP$4&lt;=Görevler!$C35+ROUND(Görevler!$F35*Görevler!$E35,0)-1,2,1),""))</f>
        <v/>
      </c>
      <c r="AQ35" s="22" t="str">
        <f aca="false">IF(Görevler!$F35="","",IF(AND(Görevler!$C35&lt;=(AQ$4+Ayarlar!$C$6-1),Görevler!$D35&gt;=AQ$4),IF(AQ$4&lt;=Görevler!$C35+ROUND(Görevler!$F35*Görevler!$E35,0)-1,2,1),""))</f>
        <v/>
      </c>
      <c r="AR35" s="22" t="str">
        <f aca="false">IF(Görevler!$F35="","",IF(AND(Görevler!$C35&lt;=(AR$4+Ayarlar!$C$6-1),Görevler!$D35&gt;=AR$4),IF(AR$4&lt;=Görevler!$C35+ROUND(Görevler!$F35*Görevler!$E35,0)-1,2,1),""))</f>
        <v/>
      </c>
      <c r="AS35" s="22" t="str">
        <f aca="false">IF(Görevler!$F35="","",IF(AND(Görevler!$C35&lt;=(AS$4+Ayarlar!$C$6-1),Görevler!$D35&gt;=AS$4),IF(AS$4&lt;=Görevler!$C35+ROUND(Görevler!$F35*Görevler!$E35,0)-1,2,1),""))</f>
        <v/>
      </c>
      <c r="AT35" s="22" t="str">
        <f aca="false">IF(Görevler!$F35="","",IF(AND(Görevler!$C35&lt;=(AT$4+Ayarlar!$C$6-1),Görevler!$D35&gt;=AT$4),IF(AT$4&lt;=Görevler!$C35+ROUND(Görevler!$F35*Görevler!$E35,0)-1,2,1),""))</f>
        <v/>
      </c>
      <c r="AU35" s="22" t="str">
        <f aca="false">IF(Görevler!$F35="","",IF(AND(Görevler!$C35&lt;=(AU$4+Ayarlar!$C$6-1),Görevler!$D35&gt;=AU$4),IF(AU$4&lt;=Görevler!$C35+ROUND(Görevler!$F35*Görevler!$E35,0)-1,2,1),""))</f>
        <v/>
      </c>
      <c r="AV35" s="22" t="str">
        <f aca="false">IF(Görevler!$F35="","",IF(AND(Görevler!$C35&lt;=(AV$4+Ayarlar!$C$6-1),Görevler!$D35&gt;=AV$4),IF(AV$4&lt;=Görevler!$C35+ROUND(Görevler!$F35*Görevler!$E35,0)-1,2,1),""))</f>
        <v/>
      </c>
      <c r="AW35" s="22" t="str">
        <f aca="false">IF(Görevler!$F35="","",IF(AND(Görevler!$C35&lt;=(AW$4+Ayarlar!$C$6-1),Görevler!$D35&gt;=AW$4),IF(AW$4&lt;=Görevler!$C35+ROUND(Görevler!$F35*Görevler!$E35,0)-1,2,1),""))</f>
        <v/>
      </c>
      <c r="AX35" s="22" t="str">
        <f aca="false">IF(Görevler!$F35="","",IF(AND(Görevler!$C35&lt;=(AX$4+Ayarlar!$C$6-1),Görevler!$D35&gt;=AX$4),IF(AX$4&lt;=Görevler!$C35+ROUND(Görevler!$F35*Görevler!$E35,0)-1,2,1),""))</f>
        <v/>
      </c>
      <c r="AY35" s="22" t="str">
        <f aca="false">IF(Görevler!$F35="","",IF(AND(Görevler!$C35&lt;=(AY$4+Ayarlar!$C$6-1),Görevler!$D35&gt;=AY$4),IF(AY$4&lt;=Görevler!$C35+ROUND(Görevler!$F35*Görevler!$E35,0)-1,2,1),""))</f>
        <v/>
      </c>
      <c r="AZ35" s="22" t="str">
        <f aca="false">IF(Görevler!$F35="","",IF(AND(Görevler!$C35&lt;=(AZ$4+Ayarlar!$C$6-1),Görevler!$D35&gt;=AZ$4),IF(AZ$4&lt;=Görevler!$C35+ROUND(Görevler!$F35*Görevler!$E35,0)-1,2,1),""))</f>
        <v/>
      </c>
      <c r="BA35" s="22" t="str">
        <f aca="false">IF(Görevler!$F35="","",IF(AND(Görevler!$C35&lt;=(BA$4+Ayarlar!$C$6-1),Görevler!$D35&gt;=BA$4),IF(BA$4&lt;=Görevler!$C35+ROUND(Görevler!$F35*Görevler!$E35,0)-1,2,1),""))</f>
        <v/>
      </c>
      <c r="BB35" s="22" t="str">
        <f aca="false">IF(Görevler!$F35="","",IF(AND(Görevler!$C35&lt;=(BB$4+Ayarlar!$C$6-1),Görevler!$D35&gt;=BB$4),IF(BB$4&lt;=Görevler!$C35+ROUND(Görevler!$F35*Görevler!$E35,0)-1,2,1),""))</f>
        <v/>
      </c>
      <c r="BC35" s="22" t="str">
        <f aca="false">IF(Görevler!$F35="","",IF(AND(Görevler!$C35&lt;=(BC$4+Ayarlar!$C$6-1),Görevler!$D35&gt;=BC$4),IF(BC$4&lt;=Görevler!$C35+ROUND(Görevler!$F35*Görevler!$E35,0)-1,2,1),""))</f>
        <v/>
      </c>
      <c r="BD35" s="22" t="str">
        <f aca="false">IF(Görevler!$F35="","",IF(AND(Görevler!$C35&lt;=(BD$4+Ayarlar!$C$6-1),Görevler!$D35&gt;=BD$4),IF(BD$4&lt;=Görevler!$C35+ROUND(Görevler!$F35*Görevler!$E35,0)-1,2,1),""))</f>
        <v/>
      </c>
      <c r="BE35" s="22" t="str">
        <f aca="false">IF(Görevler!$F35="","",IF(AND(Görevler!$C35&lt;=(BE$4+Ayarlar!$C$6-1),Görevler!$D35&gt;=BE$4),IF(BE$4&lt;=Görevler!$C35+ROUND(Görevler!$F35*Görevler!$E35,0)-1,2,1),""))</f>
        <v/>
      </c>
      <c r="BF35" s="22" t="str">
        <f aca="false">IF(Görevler!$F35="","",IF(AND(Görevler!$C35&lt;=(BF$4+Ayarlar!$C$6-1),Görevler!$D35&gt;=BF$4),IF(BF$4&lt;=Görevler!$C35+ROUND(Görevler!$F35*Görevler!$E35,0)-1,2,1),""))</f>
        <v/>
      </c>
      <c r="BG35" s="22" t="str">
        <f aca="false">IF(Görevler!$F35="","",IF(AND(Görevler!$C35&lt;=(BG$4+Ayarlar!$C$6-1),Görevler!$D35&gt;=BG$4),IF(BG$4&lt;=Görevler!$C35+ROUND(Görevler!$F35*Görevler!$E35,0)-1,2,1),""))</f>
        <v/>
      </c>
      <c r="BH35" s="22" t="str">
        <f aca="false">IF(Görevler!$F35="","",IF(AND(Görevler!$C35&lt;=(BH$4+Ayarlar!$C$6-1),Görevler!$D35&gt;=BH$4),IF(BH$4&lt;=Görevler!$C35+ROUND(Görevler!$F35*Görevler!$E35,0)-1,2,1),""))</f>
        <v/>
      </c>
      <c r="BI35" s="22" t="str">
        <f aca="false">IF(Görevler!$F35="","",IF(AND(Görevler!$C35&lt;=(BI$4+Ayarlar!$C$6-1),Görevler!$D35&gt;=BI$4),IF(BI$4&lt;=Görevler!$C35+ROUND(Görevler!$F35*Görevler!$E35,0)-1,2,1),""))</f>
        <v/>
      </c>
      <c r="BJ35" s="22" t="str">
        <f aca="false">IF(Görevler!$F35="","",IF(AND(Görevler!$C35&lt;=(BJ$4+Ayarlar!$C$6-1),Görevler!$D35&gt;=BJ$4),IF(BJ$4&lt;=Görevler!$C35+ROUND(Görevler!$F35*Görevler!$E35,0)-1,2,1),""))</f>
        <v/>
      </c>
    </row>
    <row r="36" customFormat="false" ht="15" hidden="false" customHeight="false" outlineLevel="0" collapsed="false">
      <c r="A36" s="21" t="str">
        <f aca="false">IF(Görevler!A36="","",Görevler!A36)</f>
        <v/>
      </c>
      <c r="B36" s="21" t="str">
        <f aca="false">IF(Görevler!A36="","",Görevler!B36&amp;"")</f>
        <v/>
      </c>
      <c r="C36" s="22" t="str">
        <f aca="false">IF(Görevler!$F36="","",IF(AND(Görevler!$C36&lt;=(C$4+Ayarlar!$C$6-1),Görevler!$D36&gt;=C$4),IF(C$4&lt;=Görevler!$C36+ROUND(Görevler!$F36*Görevler!$E36,0)-1,2,1),""))</f>
        <v/>
      </c>
      <c r="D36" s="22" t="str">
        <f aca="false">IF(Görevler!$F36="","",IF(AND(Görevler!$C36&lt;=(D$4+Ayarlar!$C$6-1),Görevler!$D36&gt;=D$4),IF(D$4&lt;=Görevler!$C36+ROUND(Görevler!$F36*Görevler!$E36,0)-1,2,1),""))</f>
        <v/>
      </c>
      <c r="E36" s="22" t="str">
        <f aca="false">IF(Görevler!$F36="","",IF(AND(Görevler!$C36&lt;=(E$4+Ayarlar!$C$6-1),Görevler!$D36&gt;=E$4),IF(E$4&lt;=Görevler!$C36+ROUND(Görevler!$F36*Görevler!$E36,0)-1,2,1),""))</f>
        <v/>
      </c>
      <c r="F36" s="22" t="str">
        <f aca="false">IF(Görevler!$F36="","",IF(AND(Görevler!$C36&lt;=(F$4+Ayarlar!$C$6-1),Görevler!$D36&gt;=F$4),IF(F$4&lt;=Görevler!$C36+ROUND(Görevler!$F36*Görevler!$E36,0)-1,2,1),""))</f>
        <v/>
      </c>
      <c r="G36" s="22" t="str">
        <f aca="false">IF(Görevler!$F36="","",IF(AND(Görevler!$C36&lt;=(G$4+Ayarlar!$C$6-1),Görevler!$D36&gt;=G$4),IF(G$4&lt;=Görevler!$C36+ROUND(Görevler!$F36*Görevler!$E36,0)-1,2,1),""))</f>
        <v/>
      </c>
      <c r="H36" s="22" t="str">
        <f aca="false">IF(Görevler!$F36="","",IF(AND(Görevler!$C36&lt;=(H$4+Ayarlar!$C$6-1),Görevler!$D36&gt;=H$4),IF(H$4&lt;=Görevler!$C36+ROUND(Görevler!$F36*Görevler!$E36,0)-1,2,1),""))</f>
        <v/>
      </c>
      <c r="I36" s="22" t="str">
        <f aca="false">IF(Görevler!$F36="","",IF(AND(Görevler!$C36&lt;=(I$4+Ayarlar!$C$6-1),Görevler!$D36&gt;=I$4),IF(I$4&lt;=Görevler!$C36+ROUND(Görevler!$F36*Görevler!$E36,0)-1,2,1),""))</f>
        <v/>
      </c>
      <c r="J36" s="22" t="str">
        <f aca="false">IF(Görevler!$F36="","",IF(AND(Görevler!$C36&lt;=(J$4+Ayarlar!$C$6-1),Görevler!$D36&gt;=J$4),IF(J$4&lt;=Görevler!$C36+ROUND(Görevler!$F36*Görevler!$E36,0)-1,2,1),""))</f>
        <v/>
      </c>
      <c r="K36" s="22" t="str">
        <f aca="false">IF(Görevler!$F36="","",IF(AND(Görevler!$C36&lt;=(K$4+Ayarlar!$C$6-1),Görevler!$D36&gt;=K$4),IF(K$4&lt;=Görevler!$C36+ROUND(Görevler!$F36*Görevler!$E36,0)-1,2,1),""))</f>
        <v/>
      </c>
      <c r="L36" s="22" t="str">
        <f aca="false">IF(Görevler!$F36="","",IF(AND(Görevler!$C36&lt;=(L$4+Ayarlar!$C$6-1),Görevler!$D36&gt;=L$4),IF(L$4&lt;=Görevler!$C36+ROUND(Görevler!$F36*Görevler!$E36,0)-1,2,1),""))</f>
        <v/>
      </c>
      <c r="M36" s="22" t="str">
        <f aca="false">IF(Görevler!$F36="","",IF(AND(Görevler!$C36&lt;=(M$4+Ayarlar!$C$6-1),Görevler!$D36&gt;=M$4),IF(M$4&lt;=Görevler!$C36+ROUND(Görevler!$F36*Görevler!$E36,0)-1,2,1),""))</f>
        <v/>
      </c>
      <c r="N36" s="22" t="str">
        <f aca="false">IF(Görevler!$F36="","",IF(AND(Görevler!$C36&lt;=(N$4+Ayarlar!$C$6-1),Görevler!$D36&gt;=N$4),IF(N$4&lt;=Görevler!$C36+ROUND(Görevler!$F36*Görevler!$E36,0)-1,2,1),""))</f>
        <v/>
      </c>
      <c r="O36" s="22" t="str">
        <f aca="false">IF(Görevler!$F36="","",IF(AND(Görevler!$C36&lt;=(O$4+Ayarlar!$C$6-1),Görevler!$D36&gt;=O$4),IF(O$4&lt;=Görevler!$C36+ROUND(Görevler!$F36*Görevler!$E36,0)-1,2,1),""))</f>
        <v/>
      </c>
      <c r="P36" s="22" t="str">
        <f aca="false">IF(Görevler!$F36="","",IF(AND(Görevler!$C36&lt;=(P$4+Ayarlar!$C$6-1),Görevler!$D36&gt;=P$4),IF(P$4&lt;=Görevler!$C36+ROUND(Görevler!$F36*Görevler!$E36,0)-1,2,1),""))</f>
        <v/>
      </c>
      <c r="Q36" s="22" t="str">
        <f aca="false">IF(Görevler!$F36="","",IF(AND(Görevler!$C36&lt;=(Q$4+Ayarlar!$C$6-1),Görevler!$D36&gt;=Q$4),IF(Q$4&lt;=Görevler!$C36+ROUND(Görevler!$F36*Görevler!$E36,0)-1,2,1),""))</f>
        <v/>
      </c>
      <c r="R36" s="22" t="str">
        <f aca="false">IF(Görevler!$F36="","",IF(AND(Görevler!$C36&lt;=(R$4+Ayarlar!$C$6-1),Görevler!$D36&gt;=R$4),IF(R$4&lt;=Görevler!$C36+ROUND(Görevler!$F36*Görevler!$E36,0)-1,2,1),""))</f>
        <v/>
      </c>
      <c r="S36" s="22" t="str">
        <f aca="false">IF(Görevler!$F36="","",IF(AND(Görevler!$C36&lt;=(S$4+Ayarlar!$C$6-1),Görevler!$D36&gt;=S$4),IF(S$4&lt;=Görevler!$C36+ROUND(Görevler!$F36*Görevler!$E36,0)-1,2,1),""))</f>
        <v/>
      </c>
      <c r="T36" s="22" t="str">
        <f aca="false">IF(Görevler!$F36="","",IF(AND(Görevler!$C36&lt;=(T$4+Ayarlar!$C$6-1),Görevler!$D36&gt;=T$4),IF(T$4&lt;=Görevler!$C36+ROUND(Görevler!$F36*Görevler!$E36,0)-1,2,1),""))</f>
        <v/>
      </c>
      <c r="U36" s="22" t="str">
        <f aca="false">IF(Görevler!$F36="","",IF(AND(Görevler!$C36&lt;=(U$4+Ayarlar!$C$6-1),Görevler!$D36&gt;=U$4),IF(U$4&lt;=Görevler!$C36+ROUND(Görevler!$F36*Görevler!$E36,0)-1,2,1),""))</f>
        <v/>
      </c>
      <c r="V36" s="22" t="str">
        <f aca="false">IF(Görevler!$F36="","",IF(AND(Görevler!$C36&lt;=(V$4+Ayarlar!$C$6-1),Görevler!$D36&gt;=V$4),IF(V$4&lt;=Görevler!$C36+ROUND(Görevler!$F36*Görevler!$E36,0)-1,2,1),""))</f>
        <v/>
      </c>
      <c r="W36" s="22" t="str">
        <f aca="false">IF(Görevler!$F36="","",IF(AND(Görevler!$C36&lt;=(W$4+Ayarlar!$C$6-1),Görevler!$D36&gt;=W$4),IF(W$4&lt;=Görevler!$C36+ROUND(Görevler!$F36*Görevler!$E36,0)-1,2,1),""))</f>
        <v/>
      </c>
      <c r="X36" s="22" t="str">
        <f aca="false">IF(Görevler!$F36="","",IF(AND(Görevler!$C36&lt;=(X$4+Ayarlar!$C$6-1),Görevler!$D36&gt;=X$4),IF(X$4&lt;=Görevler!$C36+ROUND(Görevler!$F36*Görevler!$E36,0)-1,2,1),""))</f>
        <v/>
      </c>
      <c r="Y36" s="22" t="str">
        <f aca="false">IF(Görevler!$F36="","",IF(AND(Görevler!$C36&lt;=(Y$4+Ayarlar!$C$6-1),Görevler!$D36&gt;=Y$4),IF(Y$4&lt;=Görevler!$C36+ROUND(Görevler!$F36*Görevler!$E36,0)-1,2,1),""))</f>
        <v/>
      </c>
      <c r="Z36" s="22" t="str">
        <f aca="false">IF(Görevler!$F36="","",IF(AND(Görevler!$C36&lt;=(Z$4+Ayarlar!$C$6-1),Görevler!$D36&gt;=Z$4),IF(Z$4&lt;=Görevler!$C36+ROUND(Görevler!$F36*Görevler!$E36,0)-1,2,1),""))</f>
        <v/>
      </c>
      <c r="AA36" s="22" t="str">
        <f aca="false">IF(Görevler!$F36="","",IF(AND(Görevler!$C36&lt;=(AA$4+Ayarlar!$C$6-1),Görevler!$D36&gt;=AA$4),IF(AA$4&lt;=Görevler!$C36+ROUND(Görevler!$F36*Görevler!$E36,0)-1,2,1),""))</f>
        <v/>
      </c>
      <c r="AB36" s="22" t="str">
        <f aca="false">IF(Görevler!$F36="","",IF(AND(Görevler!$C36&lt;=(AB$4+Ayarlar!$C$6-1),Görevler!$D36&gt;=AB$4),IF(AB$4&lt;=Görevler!$C36+ROUND(Görevler!$F36*Görevler!$E36,0)-1,2,1),""))</f>
        <v/>
      </c>
      <c r="AC36" s="22" t="str">
        <f aca="false">IF(Görevler!$F36="","",IF(AND(Görevler!$C36&lt;=(AC$4+Ayarlar!$C$6-1),Görevler!$D36&gt;=AC$4),IF(AC$4&lt;=Görevler!$C36+ROUND(Görevler!$F36*Görevler!$E36,0)-1,2,1),""))</f>
        <v/>
      </c>
      <c r="AD36" s="22" t="str">
        <f aca="false">IF(Görevler!$F36="","",IF(AND(Görevler!$C36&lt;=(AD$4+Ayarlar!$C$6-1),Görevler!$D36&gt;=AD$4),IF(AD$4&lt;=Görevler!$C36+ROUND(Görevler!$F36*Görevler!$E36,0)-1,2,1),""))</f>
        <v/>
      </c>
      <c r="AE36" s="22" t="str">
        <f aca="false">IF(Görevler!$F36="","",IF(AND(Görevler!$C36&lt;=(AE$4+Ayarlar!$C$6-1),Görevler!$D36&gt;=AE$4),IF(AE$4&lt;=Görevler!$C36+ROUND(Görevler!$F36*Görevler!$E36,0)-1,2,1),""))</f>
        <v/>
      </c>
      <c r="AF36" s="22" t="str">
        <f aca="false">IF(Görevler!$F36="","",IF(AND(Görevler!$C36&lt;=(AF$4+Ayarlar!$C$6-1),Görevler!$D36&gt;=AF$4),IF(AF$4&lt;=Görevler!$C36+ROUND(Görevler!$F36*Görevler!$E36,0)-1,2,1),""))</f>
        <v/>
      </c>
      <c r="AG36" s="22" t="str">
        <f aca="false">IF(Görevler!$F36="","",IF(AND(Görevler!$C36&lt;=(AG$4+Ayarlar!$C$6-1),Görevler!$D36&gt;=AG$4),IF(AG$4&lt;=Görevler!$C36+ROUND(Görevler!$F36*Görevler!$E36,0)-1,2,1),""))</f>
        <v/>
      </c>
      <c r="AH36" s="22" t="str">
        <f aca="false">IF(Görevler!$F36="","",IF(AND(Görevler!$C36&lt;=(AH$4+Ayarlar!$C$6-1),Görevler!$D36&gt;=AH$4),IF(AH$4&lt;=Görevler!$C36+ROUND(Görevler!$F36*Görevler!$E36,0)-1,2,1),""))</f>
        <v/>
      </c>
      <c r="AI36" s="22" t="str">
        <f aca="false">IF(Görevler!$F36="","",IF(AND(Görevler!$C36&lt;=(AI$4+Ayarlar!$C$6-1),Görevler!$D36&gt;=AI$4),IF(AI$4&lt;=Görevler!$C36+ROUND(Görevler!$F36*Görevler!$E36,0)-1,2,1),""))</f>
        <v/>
      </c>
      <c r="AJ36" s="22" t="str">
        <f aca="false">IF(Görevler!$F36="","",IF(AND(Görevler!$C36&lt;=(AJ$4+Ayarlar!$C$6-1),Görevler!$D36&gt;=AJ$4),IF(AJ$4&lt;=Görevler!$C36+ROUND(Görevler!$F36*Görevler!$E36,0)-1,2,1),""))</f>
        <v/>
      </c>
      <c r="AK36" s="22" t="str">
        <f aca="false">IF(Görevler!$F36="","",IF(AND(Görevler!$C36&lt;=(AK$4+Ayarlar!$C$6-1),Görevler!$D36&gt;=AK$4),IF(AK$4&lt;=Görevler!$C36+ROUND(Görevler!$F36*Görevler!$E36,0)-1,2,1),""))</f>
        <v/>
      </c>
      <c r="AL36" s="22" t="str">
        <f aca="false">IF(Görevler!$F36="","",IF(AND(Görevler!$C36&lt;=(AL$4+Ayarlar!$C$6-1),Görevler!$D36&gt;=AL$4),IF(AL$4&lt;=Görevler!$C36+ROUND(Görevler!$F36*Görevler!$E36,0)-1,2,1),""))</f>
        <v/>
      </c>
      <c r="AM36" s="22" t="str">
        <f aca="false">IF(Görevler!$F36="","",IF(AND(Görevler!$C36&lt;=(AM$4+Ayarlar!$C$6-1),Görevler!$D36&gt;=AM$4),IF(AM$4&lt;=Görevler!$C36+ROUND(Görevler!$F36*Görevler!$E36,0)-1,2,1),""))</f>
        <v/>
      </c>
      <c r="AN36" s="22" t="str">
        <f aca="false">IF(Görevler!$F36="","",IF(AND(Görevler!$C36&lt;=(AN$4+Ayarlar!$C$6-1),Görevler!$D36&gt;=AN$4),IF(AN$4&lt;=Görevler!$C36+ROUND(Görevler!$F36*Görevler!$E36,0)-1,2,1),""))</f>
        <v/>
      </c>
      <c r="AO36" s="22" t="str">
        <f aca="false">IF(Görevler!$F36="","",IF(AND(Görevler!$C36&lt;=(AO$4+Ayarlar!$C$6-1),Görevler!$D36&gt;=AO$4),IF(AO$4&lt;=Görevler!$C36+ROUND(Görevler!$F36*Görevler!$E36,0)-1,2,1),""))</f>
        <v/>
      </c>
      <c r="AP36" s="22" t="str">
        <f aca="false">IF(Görevler!$F36="","",IF(AND(Görevler!$C36&lt;=(AP$4+Ayarlar!$C$6-1),Görevler!$D36&gt;=AP$4),IF(AP$4&lt;=Görevler!$C36+ROUND(Görevler!$F36*Görevler!$E36,0)-1,2,1),""))</f>
        <v/>
      </c>
      <c r="AQ36" s="22" t="str">
        <f aca="false">IF(Görevler!$F36="","",IF(AND(Görevler!$C36&lt;=(AQ$4+Ayarlar!$C$6-1),Görevler!$D36&gt;=AQ$4),IF(AQ$4&lt;=Görevler!$C36+ROUND(Görevler!$F36*Görevler!$E36,0)-1,2,1),""))</f>
        <v/>
      </c>
      <c r="AR36" s="22" t="str">
        <f aca="false">IF(Görevler!$F36="","",IF(AND(Görevler!$C36&lt;=(AR$4+Ayarlar!$C$6-1),Görevler!$D36&gt;=AR$4),IF(AR$4&lt;=Görevler!$C36+ROUND(Görevler!$F36*Görevler!$E36,0)-1,2,1),""))</f>
        <v/>
      </c>
      <c r="AS36" s="22" t="str">
        <f aca="false">IF(Görevler!$F36="","",IF(AND(Görevler!$C36&lt;=(AS$4+Ayarlar!$C$6-1),Görevler!$D36&gt;=AS$4),IF(AS$4&lt;=Görevler!$C36+ROUND(Görevler!$F36*Görevler!$E36,0)-1,2,1),""))</f>
        <v/>
      </c>
      <c r="AT36" s="22" t="str">
        <f aca="false">IF(Görevler!$F36="","",IF(AND(Görevler!$C36&lt;=(AT$4+Ayarlar!$C$6-1),Görevler!$D36&gt;=AT$4),IF(AT$4&lt;=Görevler!$C36+ROUND(Görevler!$F36*Görevler!$E36,0)-1,2,1),""))</f>
        <v/>
      </c>
      <c r="AU36" s="22" t="str">
        <f aca="false">IF(Görevler!$F36="","",IF(AND(Görevler!$C36&lt;=(AU$4+Ayarlar!$C$6-1),Görevler!$D36&gt;=AU$4),IF(AU$4&lt;=Görevler!$C36+ROUND(Görevler!$F36*Görevler!$E36,0)-1,2,1),""))</f>
        <v/>
      </c>
      <c r="AV36" s="22" t="str">
        <f aca="false">IF(Görevler!$F36="","",IF(AND(Görevler!$C36&lt;=(AV$4+Ayarlar!$C$6-1),Görevler!$D36&gt;=AV$4),IF(AV$4&lt;=Görevler!$C36+ROUND(Görevler!$F36*Görevler!$E36,0)-1,2,1),""))</f>
        <v/>
      </c>
      <c r="AW36" s="22" t="str">
        <f aca="false">IF(Görevler!$F36="","",IF(AND(Görevler!$C36&lt;=(AW$4+Ayarlar!$C$6-1),Görevler!$D36&gt;=AW$4),IF(AW$4&lt;=Görevler!$C36+ROUND(Görevler!$F36*Görevler!$E36,0)-1,2,1),""))</f>
        <v/>
      </c>
      <c r="AX36" s="22" t="str">
        <f aca="false">IF(Görevler!$F36="","",IF(AND(Görevler!$C36&lt;=(AX$4+Ayarlar!$C$6-1),Görevler!$D36&gt;=AX$4),IF(AX$4&lt;=Görevler!$C36+ROUND(Görevler!$F36*Görevler!$E36,0)-1,2,1),""))</f>
        <v/>
      </c>
      <c r="AY36" s="22" t="str">
        <f aca="false">IF(Görevler!$F36="","",IF(AND(Görevler!$C36&lt;=(AY$4+Ayarlar!$C$6-1),Görevler!$D36&gt;=AY$4),IF(AY$4&lt;=Görevler!$C36+ROUND(Görevler!$F36*Görevler!$E36,0)-1,2,1),""))</f>
        <v/>
      </c>
      <c r="AZ36" s="22" t="str">
        <f aca="false">IF(Görevler!$F36="","",IF(AND(Görevler!$C36&lt;=(AZ$4+Ayarlar!$C$6-1),Görevler!$D36&gt;=AZ$4),IF(AZ$4&lt;=Görevler!$C36+ROUND(Görevler!$F36*Görevler!$E36,0)-1,2,1),""))</f>
        <v/>
      </c>
      <c r="BA36" s="22" t="str">
        <f aca="false">IF(Görevler!$F36="","",IF(AND(Görevler!$C36&lt;=(BA$4+Ayarlar!$C$6-1),Görevler!$D36&gt;=BA$4),IF(BA$4&lt;=Görevler!$C36+ROUND(Görevler!$F36*Görevler!$E36,0)-1,2,1),""))</f>
        <v/>
      </c>
      <c r="BB36" s="22" t="str">
        <f aca="false">IF(Görevler!$F36="","",IF(AND(Görevler!$C36&lt;=(BB$4+Ayarlar!$C$6-1),Görevler!$D36&gt;=BB$4),IF(BB$4&lt;=Görevler!$C36+ROUND(Görevler!$F36*Görevler!$E36,0)-1,2,1),""))</f>
        <v/>
      </c>
      <c r="BC36" s="22" t="str">
        <f aca="false">IF(Görevler!$F36="","",IF(AND(Görevler!$C36&lt;=(BC$4+Ayarlar!$C$6-1),Görevler!$D36&gt;=BC$4),IF(BC$4&lt;=Görevler!$C36+ROUND(Görevler!$F36*Görevler!$E36,0)-1,2,1),""))</f>
        <v/>
      </c>
      <c r="BD36" s="22" t="str">
        <f aca="false">IF(Görevler!$F36="","",IF(AND(Görevler!$C36&lt;=(BD$4+Ayarlar!$C$6-1),Görevler!$D36&gt;=BD$4),IF(BD$4&lt;=Görevler!$C36+ROUND(Görevler!$F36*Görevler!$E36,0)-1,2,1),""))</f>
        <v/>
      </c>
      <c r="BE36" s="22" t="str">
        <f aca="false">IF(Görevler!$F36="","",IF(AND(Görevler!$C36&lt;=(BE$4+Ayarlar!$C$6-1),Görevler!$D36&gt;=BE$4),IF(BE$4&lt;=Görevler!$C36+ROUND(Görevler!$F36*Görevler!$E36,0)-1,2,1),""))</f>
        <v/>
      </c>
      <c r="BF36" s="22" t="str">
        <f aca="false">IF(Görevler!$F36="","",IF(AND(Görevler!$C36&lt;=(BF$4+Ayarlar!$C$6-1),Görevler!$D36&gt;=BF$4),IF(BF$4&lt;=Görevler!$C36+ROUND(Görevler!$F36*Görevler!$E36,0)-1,2,1),""))</f>
        <v/>
      </c>
      <c r="BG36" s="22" t="str">
        <f aca="false">IF(Görevler!$F36="","",IF(AND(Görevler!$C36&lt;=(BG$4+Ayarlar!$C$6-1),Görevler!$D36&gt;=BG$4),IF(BG$4&lt;=Görevler!$C36+ROUND(Görevler!$F36*Görevler!$E36,0)-1,2,1),""))</f>
        <v/>
      </c>
      <c r="BH36" s="22" t="str">
        <f aca="false">IF(Görevler!$F36="","",IF(AND(Görevler!$C36&lt;=(BH$4+Ayarlar!$C$6-1),Görevler!$D36&gt;=BH$4),IF(BH$4&lt;=Görevler!$C36+ROUND(Görevler!$F36*Görevler!$E36,0)-1,2,1),""))</f>
        <v/>
      </c>
      <c r="BI36" s="22" t="str">
        <f aca="false">IF(Görevler!$F36="","",IF(AND(Görevler!$C36&lt;=(BI$4+Ayarlar!$C$6-1),Görevler!$D36&gt;=BI$4),IF(BI$4&lt;=Görevler!$C36+ROUND(Görevler!$F36*Görevler!$E36,0)-1,2,1),""))</f>
        <v/>
      </c>
      <c r="BJ36" s="22" t="str">
        <f aca="false">IF(Görevler!$F36="","",IF(AND(Görevler!$C36&lt;=(BJ$4+Ayarlar!$C$6-1),Görevler!$D36&gt;=BJ$4),IF(BJ$4&lt;=Görevler!$C36+ROUND(Görevler!$F36*Görevler!$E36,0)-1,2,1),""))</f>
        <v/>
      </c>
    </row>
    <row r="37" customFormat="false" ht="15" hidden="false" customHeight="false" outlineLevel="0" collapsed="false">
      <c r="A37" s="21" t="str">
        <f aca="false">IF(Görevler!A37="","",Görevler!A37)</f>
        <v/>
      </c>
      <c r="B37" s="21" t="str">
        <f aca="false">IF(Görevler!A37="","",Görevler!B37&amp;"")</f>
        <v/>
      </c>
      <c r="C37" s="22" t="str">
        <f aca="false">IF(Görevler!$F37="","",IF(AND(Görevler!$C37&lt;=(C$4+Ayarlar!$C$6-1),Görevler!$D37&gt;=C$4),IF(C$4&lt;=Görevler!$C37+ROUND(Görevler!$F37*Görevler!$E37,0)-1,2,1),""))</f>
        <v/>
      </c>
      <c r="D37" s="22" t="str">
        <f aca="false">IF(Görevler!$F37="","",IF(AND(Görevler!$C37&lt;=(D$4+Ayarlar!$C$6-1),Görevler!$D37&gt;=D$4),IF(D$4&lt;=Görevler!$C37+ROUND(Görevler!$F37*Görevler!$E37,0)-1,2,1),""))</f>
        <v/>
      </c>
      <c r="E37" s="22" t="str">
        <f aca="false">IF(Görevler!$F37="","",IF(AND(Görevler!$C37&lt;=(E$4+Ayarlar!$C$6-1),Görevler!$D37&gt;=E$4),IF(E$4&lt;=Görevler!$C37+ROUND(Görevler!$F37*Görevler!$E37,0)-1,2,1),""))</f>
        <v/>
      </c>
      <c r="F37" s="22" t="str">
        <f aca="false">IF(Görevler!$F37="","",IF(AND(Görevler!$C37&lt;=(F$4+Ayarlar!$C$6-1),Görevler!$D37&gt;=F$4),IF(F$4&lt;=Görevler!$C37+ROUND(Görevler!$F37*Görevler!$E37,0)-1,2,1),""))</f>
        <v/>
      </c>
      <c r="G37" s="22" t="str">
        <f aca="false">IF(Görevler!$F37="","",IF(AND(Görevler!$C37&lt;=(G$4+Ayarlar!$C$6-1),Görevler!$D37&gt;=G$4),IF(G$4&lt;=Görevler!$C37+ROUND(Görevler!$F37*Görevler!$E37,0)-1,2,1),""))</f>
        <v/>
      </c>
      <c r="H37" s="22" t="str">
        <f aca="false">IF(Görevler!$F37="","",IF(AND(Görevler!$C37&lt;=(H$4+Ayarlar!$C$6-1),Görevler!$D37&gt;=H$4),IF(H$4&lt;=Görevler!$C37+ROUND(Görevler!$F37*Görevler!$E37,0)-1,2,1),""))</f>
        <v/>
      </c>
      <c r="I37" s="22" t="str">
        <f aca="false">IF(Görevler!$F37="","",IF(AND(Görevler!$C37&lt;=(I$4+Ayarlar!$C$6-1),Görevler!$D37&gt;=I$4),IF(I$4&lt;=Görevler!$C37+ROUND(Görevler!$F37*Görevler!$E37,0)-1,2,1),""))</f>
        <v/>
      </c>
      <c r="J37" s="22" t="str">
        <f aca="false">IF(Görevler!$F37="","",IF(AND(Görevler!$C37&lt;=(J$4+Ayarlar!$C$6-1),Görevler!$D37&gt;=J$4),IF(J$4&lt;=Görevler!$C37+ROUND(Görevler!$F37*Görevler!$E37,0)-1,2,1),""))</f>
        <v/>
      </c>
      <c r="K37" s="22" t="str">
        <f aca="false">IF(Görevler!$F37="","",IF(AND(Görevler!$C37&lt;=(K$4+Ayarlar!$C$6-1),Görevler!$D37&gt;=K$4),IF(K$4&lt;=Görevler!$C37+ROUND(Görevler!$F37*Görevler!$E37,0)-1,2,1),""))</f>
        <v/>
      </c>
      <c r="L37" s="22" t="str">
        <f aca="false">IF(Görevler!$F37="","",IF(AND(Görevler!$C37&lt;=(L$4+Ayarlar!$C$6-1),Görevler!$D37&gt;=L$4),IF(L$4&lt;=Görevler!$C37+ROUND(Görevler!$F37*Görevler!$E37,0)-1,2,1),""))</f>
        <v/>
      </c>
      <c r="M37" s="22" t="str">
        <f aca="false">IF(Görevler!$F37="","",IF(AND(Görevler!$C37&lt;=(M$4+Ayarlar!$C$6-1),Görevler!$D37&gt;=M$4),IF(M$4&lt;=Görevler!$C37+ROUND(Görevler!$F37*Görevler!$E37,0)-1,2,1),""))</f>
        <v/>
      </c>
      <c r="N37" s="22" t="str">
        <f aca="false">IF(Görevler!$F37="","",IF(AND(Görevler!$C37&lt;=(N$4+Ayarlar!$C$6-1),Görevler!$D37&gt;=N$4),IF(N$4&lt;=Görevler!$C37+ROUND(Görevler!$F37*Görevler!$E37,0)-1,2,1),""))</f>
        <v/>
      </c>
      <c r="O37" s="22" t="str">
        <f aca="false">IF(Görevler!$F37="","",IF(AND(Görevler!$C37&lt;=(O$4+Ayarlar!$C$6-1),Görevler!$D37&gt;=O$4),IF(O$4&lt;=Görevler!$C37+ROUND(Görevler!$F37*Görevler!$E37,0)-1,2,1),""))</f>
        <v/>
      </c>
      <c r="P37" s="22" t="str">
        <f aca="false">IF(Görevler!$F37="","",IF(AND(Görevler!$C37&lt;=(P$4+Ayarlar!$C$6-1),Görevler!$D37&gt;=P$4),IF(P$4&lt;=Görevler!$C37+ROUND(Görevler!$F37*Görevler!$E37,0)-1,2,1),""))</f>
        <v/>
      </c>
      <c r="Q37" s="22" t="str">
        <f aca="false">IF(Görevler!$F37="","",IF(AND(Görevler!$C37&lt;=(Q$4+Ayarlar!$C$6-1),Görevler!$D37&gt;=Q$4),IF(Q$4&lt;=Görevler!$C37+ROUND(Görevler!$F37*Görevler!$E37,0)-1,2,1),""))</f>
        <v/>
      </c>
      <c r="R37" s="22" t="str">
        <f aca="false">IF(Görevler!$F37="","",IF(AND(Görevler!$C37&lt;=(R$4+Ayarlar!$C$6-1),Görevler!$D37&gt;=R$4),IF(R$4&lt;=Görevler!$C37+ROUND(Görevler!$F37*Görevler!$E37,0)-1,2,1),""))</f>
        <v/>
      </c>
      <c r="S37" s="22" t="str">
        <f aca="false">IF(Görevler!$F37="","",IF(AND(Görevler!$C37&lt;=(S$4+Ayarlar!$C$6-1),Görevler!$D37&gt;=S$4),IF(S$4&lt;=Görevler!$C37+ROUND(Görevler!$F37*Görevler!$E37,0)-1,2,1),""))</f>
        <v/>
      </c>
      <c r="T37" s="22" t="str">
        <f aca="false">IF(Görevler!$F37="","",IF(AND(Görevler!$C37&lt;=(T$4+Ayarlar!$C$6-1),Görevler!$D37&gt;=T$4),IF(T$4&lt;=Görevler!$C37+ROUND(Görevler!$F37*Görevler!$E37,0)-1,2,1),""))</f>
        <v/>
      </c>
      <c r="U37" s="22" t="str">
        <f aca="false">IF(Görevler!$F37="","",IF(AND(Görevler!$C37&lt;=(U$4+Ayarlar!$C$6-1),Görevler!$D37&gt;=U$4),IF(U$4&lt;=Görevler!$C37+ROUND(Görevler!$F37*Görevler!$E37,0)-1,2,1),""))</f>
        <v/>
      </c>
      <c r="V37" s="22" t="str">
        <f aca="false">IF(Görevler!$F37="","",IF(AND(Görevler!$C37&lt;=(V$4+Ayarlar!$C$6-1),Görevler!$D37&gt;=V$4),IF(V$4&lt;=Görevler!$C37+ROUND(Görevler!$F37*Görevler!$E37,0)-1,2,1),""))</f>
        <v/>
      </c>
      <c r="W37" s="22" t="str">
        <f aca="false">IF(Görevler!$F37="","",IF(AND(Görevler!$C37&lt;=(W$4+Ayarlar!$C$6-1),Görevler!$D37&gt;=W$4),IF(W$4&lt;=Görevler!$C37+ROUND(Görevler!$F37*Görevler!$E37,0)-1,2,1),""))</f>
        <v/>
      </c>
      <c r="X37" s="22" t="str">
        <f aca="false">IF(Görevler!$F37="","",IF(AND(Görevler!$C37&lt;=(X$4+Ayarlar!$C$6-1),Görevler!$D37&gt;=X$4),IF(X$4&lt;=Görevler!$C37+ROUND(Görevler!$F37*Görevler!$E37,0)-1,2,1),""))</f>
        <v/>
      </c>
      <c r="Y37" s="22" t="str">
        <f aca="false">IF(Görevler!$F37="","",IF(AND(Görevler!$C37&lt;=(Y$4+Ayarlar!$C$6-1),Görevler!$D37&gt;=Y$4),IF(Y$4&lt;=Görevler!$C37+ROUND(Görevler!$F37*Görevler!$E37,0)-1,2,1),""))</f>
        <v/>
      </c>
      <c r="Z37" s="22" t="str">
        <f aca="false">IF(Görevler!$F37="","",IF(AND(Görevler!$C37&lt;=(Z$4+Ayarlar!$C$6-1),Görevler!$D37&gt;=Z$4),IF(Z$4&lt;=Görevler!$C37+ROUND(Görevler!$F37*Görevler!$E37,0)-1,2,1),""))</f>
        <v/>
      </c>
      <c r="AA37" s="22" t="str">
        <f aca="false">IF(Görevler!$F37="","",IF(AND(Görevler!$C37&lt;=(AA$4+Ayarlar!$C$6-1),Görevler!$D37&gt;=AA$4),IF(AA$4&lt;=Görevler!$C37+ROUND(Görevler!$F37*Görevler!$E37,0)-1,2,1),""))</f>
        <v/>
      </c>
      <c r="AB37" s="22" t="str">
        <f aca="false">IF(Görevler!$F37="","",IF(AND(Görevler!$C37&lt;=(AB$4+Ayarlar!$C$6-1),Görevler!$D37&gt;=AB$4),IF(AB$4&lt;=Görevler!$C37+ROUND(Görevler!$F37*Görevler!$E37,0)-1,2,1),""))</f>
        <v/>
      </c>
      <c r="AC37" s="22" t="str">
        <f aca="false">IF(Görevler!$F37="","",IF(AND(Görevler!$C37&lt;=(AC$4+Ayarlar!$C$6-1),Görevler!$D37&gt;=AC$4),IF(AC$4&lt;=Görevler!$C37+ROUND(Görevler!$F37*Görevler!$E37,0)-1,2,1),""))</f>
        <v/>
      </c>
      <c r="AD37" s="22" t="str">
        <f aca="false">IF(Görevler!$F37="","",IF(AND(Görevler!$C37&lt;=(AD$4+Ayarlar!$C$6-1),Görevler!$D37&gt;=AD$4),IF(AD$4&lt;=Görevler!$C37+ROUND(Görevler!$F37*Görevler!$E37,0)-1,2,1),""))</f>
        <v/>
      </c>
      <c r="AE37" s="22" t="str">
        <f aca="false">IF(Görevler!$F37="","",IF(AND(Görevler!$C37&lt;=(AE$4+Ayarlar!$C$6-1),Görevler!$D37&gt;=AE$4),IF(AE$4&lt;=Görevler!$C37+ROUND(Görevler!$F37*Görevler!$E37,0)-1,2,1),""))</f>
        <v/>
      </c>
      <c r="AF37" s="22" t="str">
        <f aca="false">IF(Görevler!$F37="","",IF(AND(Görevler!$C37&lt;=(AF$4+Ayarlar!$C$6-1),Görevler!$D37&gt;=AF$4),IF(AF$4&lt;=Görevler!$C37+ROUND(Görevler!$F37*Görevler!$E37,0)-1,2,1),""))</f>
        <v/>
      </c>
      <c r="AG37" s="22" t="str">
        <f aca="false">IF(Görevler!$F37="","",IF(AND(Görevler!$C37&lt;=(AG$4+Ayarlar!$C$6-1),Görevler!$D37&gt;=AG$4),IF(AG$4&lt;=Görevler!$C37+ROUND(Görevler!$F37*Görevler!$E37,0)-1,2,1),""))</f>
        <v/>
      </c>
      <c r="AH37" s="22" t="str">
        <f aca="false">IF(Görevler!$F37="","",IF(AND(Görevler!$C37&lt;=(AH$4+Ayarlar!$C$6-1),Görevler!$D37&gt;=AH$4),IF(AH$4&lt;=Görevler!$C37+ROUND(Görevler!$F37*Görevler!$E37,0)-1,2,1),""))</f>
        <v/>
      </c>
      <c r="AI37" s="22" t="str">
        <f aca="false">IF(Görevler!$F37="","",IF(AND(Görevler!$C37&lt;=(AI$4+Ayarlar!$C$6-1),Görevler!$D37&gt;=AI$4),IF(AI$4&lt;=Görevler!$C37+ROUND(Görevler!$F37*Görevler!$E37,0)-1,2,1),""))</f>
        <v/>
      </c>
      <c r="AJ37" s="22" t="str">
        <f aca="false">IF(Görevler!$F37="","",IF(AND(Görevler!$C37&lt;=(AJ$4+Ayarlar!$C$6-1),Görevler!$D37&gt;=AJ$4),IF(AJ$4&lt;=Görevler!$C37+ROUND(Görevler!$F37*Görevler!$E37,0)-1,2,1),""))</f>
        <v/>
      </c>
      <c r="AK37" s="22" t="str">
        <f aca="false">IF(Görevler!$F37="","",IF(AND(Görevler!$C37&lt;=(AK$4+Ayarlar!$C$6-1),Görevler!$D37&gt;=AK$4),IF(AK$4&lt;=Görevler!$C37+ROUND(Görevler!$F37*Görevler!$E37,0)-1,2,1),""))</f>
        <v/>
      </c>
      <c r="AL37" s="22" t="str">
        <f aca="false">IF(Görevler!$F37="","",IF(AND(Görevler!$C37&lt;=(AL$4+Ayarlar!$C$6-1),Görevler!$D37&gt;=AL$4),IF(AL$4&lt;=Görevler!$C37+ROUND(Görevler!$F37*Görevler!$E37,0)-1,2,1),""))</f>
        <v/>
      </c>
      <c r="AM37" s="22" t="str">
        <f aca="false">IF(Görevler!$F37="","",IF(AND(Görevler!$C37&lt;=(AM$4+Ayarlar!$C$6-1),Görevler!$D37&gt;=AM$4),IF(AM$4&lt;=Görevler!$C37+ROUND(Görevler!$F37*Görevler!$E37,0)-1,2,1),""))</f>
        <v/>
      </c>
      <c r="AN37" s="22" t="str">
        <f aca="false">IF(Görevler!$F37="","",IF(AND(Görevler!$C37&lt;=(AN$4+Ayarlar!$C$6-1),Görevler!$D37&gt;=AN$4),IF(AN$4&lt;=Görevler!$C37+ROUND(Görevler!$F37*Görevler!$E37,0)-1,2,1),""))</f>
        <v/>
      </c>
      <c r="AO37" s="22" t="str">
        <f aca="false">IF(Görevler!$F37="","",IF(AND(Görevler!$C37&lt;=(AO$4+Ayarlar!$C$6-1),Görevler!$D37&gt;=AO$4),IF(AO$4&lt;=Görevler!$C37+ROUND(Görevler!$F37*Görevler!$E37,0)-1,2,1),""))</f>
        <v/>
      </c>
      <c r="AP37" s="22" t="str">
        <f aca="false">IF(Görevler!$F37="","",IF(AND(Görevler!$C37&lt;=(AP$4+Ayarlar!$C$6-1),Görevler!$D37&gt;=AP$4),IF(AP$4&lt;=Görevler!$C37+ROUND(Görevler!$F37*Görevler!$E37,0)-1,2,1),""))</f>
        <v/>
      </c>
      <c r="AQ37" s="22" t="str">
        <f aca="false">IF(Görevler!$F37="","",IF(AND(Görevler!$C37&lt;=(AQ$4+Ayarlar!$C$6-1),Görevler!$D37&gt;=AQ$4),IF(AQ$4&lt;=Görevler!$C37+ROUND(Görevler!$F37*Görevler!$E37,0)-1,2,1),""))</f>
        <v/>
      </c>
      <c r="AR37" s="22" t="str">
        <f aca="false">IF(Görevler!$F37="","",IF(AND(Görevler!$C37&lt;=(AR$4+Ayarlar!$C$6-1),Görevler!$D37&gt;=AR$4),IF(AR$4&lt;=Görevler!$C37+ROUND(Görevler!$F37*Görevler!$E37,0)-1,2,1),""))</f>
        <v/>
      </c>
      <c r="AS37" s="22" t="str">
        <f aca="false">IF(Görevler!$F37="","",IF(AND(Görevler!$C37&lt;=(AS$4+Ayarlar!$C$6-1),Görevler!$D37&gt;=AS$4),IF(AS$4&lt;=Görevler!$C37+ROUND(Görevler!$F37*Görevler!$E37,0)-1,2,1),""))</f>
        <v/>
      </c>
      <c r="AT37" s="22" t="str">
        <f aca="false">IF(Görevler!$F37="","",IF(AND(Görevler!$C37&lt;=(AT$4+Ayarlar!$C$6-1),Görevler!$D37&gt;=AT$4),IF(AT$4&lt;=Görevler!$C37+ROUND(Görevler!$F37*Görevler!$E37,0)-1,2,1),""))</f>
        <v/>
      </c>
      <c r="AU37" s="22" t="str">
        <f aca="false">IF(Görevler!$F37="","",IF(AND(Görevler!$C37&lt;=(AU$4+Ayarlar!$C$6-1),Görevler!$D37&gt;=AU$4),IF(AU$4&lt;=Görevler!$C37+ROUND(Görevler!$F37*Görevler!$E37,0)-1,2,1),""))</f>
        <v/>
      </c>
      <c r="AV37" s="22" t="str">
        <f aca="false">IF(Görevler!$F37="","",IF(AND(Görevler!$C37&lt;=(AV$4+Ayarlar!$C$6-1),Görevler!$D37&gt;=AV$4),IF(AV$4&lt;=Görevler!$C37+ROUND(Görevler!$F37*Görevler!$E37,0)-1,2,1),""))</f>
        <v/>
      </c>
      <c r="AW37" s="22" t="str">
        <f aca="false">IF(Görevler!$F37="","",IF(AND(Görevler!$C37&lt;=(AW$4+Ayarlar!$C$6-1),Görevler!$D37&gt;=AW$4),IF(AW$4&lt;=Görevler!$C37+ROUND(Görevler!$F37*Görevler!$E37,0)-1,2,1),""))</f>
        <v/>
      </c>
      <c r="AX37" s="22" t="str">
        <f aca="false">IF(Görevler!$F37="","",IF(AND(Görevler!$C37&lt;=(AX$4+Ayarlar!$C$6-1),Görevler!$D37&gt;=AX$4),IF(AX$4&lt;=Görevler!$C37+ROUND(Görevler!$F37*Görevler!$E37,0)-1,2,1),""))</f>
        <v/>
      </c>
      <c r="AY37" s="22" t="str">
        <f aca="false">IF(Görevler!$F37="","",IF(AND(Görevler!$C37&lt;=(AY$4+Ayarlar!$C$6-1),Görevler!$D37&gt;=AY$4),IF(AY$4&lt;=Görevler!$C37+ROUND(Görevler!$F37*Görevler!$E37,0)-1,2,1),""))</f>
        <v/>
      </c>
      <c r="AZ37" s="22" t="str">
        <f aca="false">IF(Görevler!$F37="","",IF(AND(Görevler!$C37&lt;=(AZ$4+Ayarlar!$C$6-1),Görevler!$D37&gt;=AZ$4),IF(AZ$4&lt;=Görevler!$C37+ROUND(Görevler!$F37*Görevler!$E37,0)-1,2,1),""))</f>
        <v/>
      </c>
      <c r="BA37" s="22" t="str">
        <f aca="false">IF(Görevler!$F37="","",IF(AND(Görevler!$C37&lt;=(BA$4+Ayarlar!$C$6-1),Görevler!$D37&gt;=BA$4),IF(BA$4&lt;=Görevler!$C37+ROUND(Görevler!$F37*Görevler!$E37,0)-1,2,1),""))</f>
        <v/>
      </c>
      <c r="BB37" s="22" t="str">
        <f aca="false">IF(Görevler!$F37="","",IF(AND(Görevler!$C37&lt;=(BB$4+Ayarlar!$C$6-1),Görevler!$D37&gt;=BB$4),IF(BB$4&lt;=Görevler!$C37+ROUND(Görevler!$F37*Görevler!$E37,0)-1,2,1),""))</f>
        <v/>
      </c>
      <c r="BC37" s="22" t="str">
        <f aca="false">IF(Görevler!$F37="","",IF(AND(Görevler!$C37&lt;=(BC$4+Ayarlar!$C$6-1),Görevler!$D37&gt;=BC$4),IF(BC$4&lt;=Görevler!$C37+ROUND(Görevler!$F37*Görevler!$E37,0)-1,2,1),""))</f>
        <v/>
      </c>
      <c r="BD37" s="22" t="str">
        <f aca="false">IF(Görevler!$F37="","",IF(AND(Görevler!$C37&lt;=(BD$4+Ayarlar!$C$6-1),Görevler!$D37&gt;=BD$4),IF(BD$4&lt;=Görevler!$C37+ROUND(Görevler!$F37*Görevler!$E37,0)-1,2,1),""))</f>
        <v/>
      </c>
      <c r="BE37" s="22" t="str">
        <f aca="false">IF(Görevler!$F37="","",IF(AND(Görevler!$C37&lt;=(BE$4+Ayarlar!$C$6-1),Görevler!$D37&gt;=BE$4),IF(BE$4&lt;=Görevler!$C37+ROUND(Görevler!$F37*Görevler!$E37,0)-1,2,1),""))</f>
        <v/>
      </c>
      <c r="BF37" s="22" t="str">
        <f aca="false">IF(Görevler!$F37="","",IF(AND(Görevler!$C37&lt;=(BF$4+Ayarlar!$C$6-1),Görevler!$D37&gt;=BF$4),IF(BF$4&lt;=Görevler!$C37+ROUND(Görevler!$F37*Görevler!$E37,0)-1,2,1),""))</f>
        <v/>
      </c>
      <c r="BG37" s="22" t="str">
        <f aca="false">IF(Görevler!$F37="","",IF(AND(Görevler!$C37&lt;=(BG$4+Ayarlar!$C$6-1),Görevler!$D37&gt;=BG$4),IF(BG$4&lt;=Görevler!$C37+ROUND(Görevler!$F37*Görevler!$E37,0)-1,2,1),""))</f>
        <v/>
      </c>
      <c r="BH37" s="22" t="str">
        <f aca="false">IF(Görevler!$F37="","",IF(AND(Görevler!$C37&lt;=(BH$4+Ayarlar!$C$6-1),Görevler!$D37&gt;=BH$4),IF(BH$4&lt;=Görevler!$C37+ROUND(Görevler!$F37*Görevler!$E37,0)-1,2,1),""))</f>
        <v/>
      </c>
      <c r="BI37" s="22" t="str">
        <f aca="false">IF(Görevler!$F37="","",IF(AND(Görevler!$C37&lt;=(BI$4+Ayarlar!$C$6-1),Görevler!$D37&gt;=BI$4),IF(BI$4&lt;=Görevler!$C37+ROUND(Görevler!$F37*Görevler!$E37,0)-1,2,1),""))</f>
        <v/>
      </c>
      <c r="BJ37" s="22" t="str">
        <f aca="false">IF(Görevler!$F37="","",IF(AND(Görevler!$C37&lt;=(BJ$4+Ayarlar!$C$6-1),Görevler!$D37&gt;=BJ$4),IF(BJ$4&lt;=Görevler!$C37+ROUND(Görevler!$F37*Görevler!$E37,0)-1,2,1),""))</f>
        <v/>
      </c>
    </row>
    <row r="38" customFormat="false" ht="15" hidden="false" customHeight="false" outlineLevel="0" collapsed="false">
      <c r="A38" s="21" t="str">
        <f aca="false">IF(Görevler!A38="","",Görevler!A38)</f>
        <v/>
      </c>
      <c r="B38" s="21" t="str">
        <f aca="false">IF(Görevler!A38="","",Görevler!B38&amp;"")</f>
        <v/>
      </c>
      <c r="C38" s="22" t="str">
        <f aca="false">IF(Görevler!$F38="","",IF(AND(Görevler!$C38&lt;=(C$4+Ayarlar!$C$6-1),Görevler!$D38&gt;=C$4),IF(C$4&lt;=Görevler!$C38+ROUND(Görevler!$F38*Görevler!$E38,0)-1,2,1),""))</f>
        <v/>
      </c>
      <c r="D38" s="22" t="str">
        <f aca="false">IF(Görevler!$F38="","",IF(AND(Görevler!$C38&lt;=(D$4+Ayarlar!$C$6-1),Görevler!$D38&gt;=D$4),IF(D$4&lt;=Görevler!$C38+ROUND(Görevler!$F38*Görevler!$E38,0)-1,2,1),""))</f>
        <v/>
      </c>
      <c r="E38" s="22" t="str">
        <f aca="false">IF(Görevler!$F38="","",IF(AND(Görevler!$C38&lt;=(E$4+Ayarlar!$C$6-1),Görevler!$D38&gt;=E$4),IF(E$4&lt;=Görevler!$C38+ROUND(Görevler!$F38*Görevler!$E38,0)-1,2,1),""))</f>
        <v/>
      </c>
      <c r="F38" s="22" t="str">
        <f aca="false">IF(Görevler!$F38="","",IF(AND(Görevler!$C38&lt;=(F$4+Ayarlar!$C$6-1),Görevler!$D38&gt;=F$4),IF(F$4&lt;=Görevler!$C38+ROUND(Görevler!$F38*Görevler!$E38,0)-1,2,1),""))</f>
        <v/>
      </c>
      <c r="G38" s="22" t="str">
        <f aca="false">IF(Görevler!$F38="","",IF(AND(Görevler!$C38&lt;=(G$4+Ayarlar!$C$6-1),Görevler!$D38&gt;=G$4),IF(G$4&lt;=Görevler!$C38+ROUND(Görevler!$F38*Görevler!$E38,0)-1,2,1),""))</f>
        <v/>
      </c>
      <c r="H38" s="22" t="str">
        <f aca="false">IF(Görevler!$F38="","",IF(AND(Görevler!$C38&lt;=(H$4+Ayarlar!$C$6-1),Görevler!$D38&gt;=H$4),IF(H$4&lt;=Görevler!$C38+ROUND(Görevler!$F38*Görevler!$E38,0)-1,2,1),""))</f>
        <v/>
      </c>
      <c r="I38" s="22" t="str">
        <f aca="false">IF(Görevler!$F38="","",IF(AND(Görevler!$C38&lt;=(I$4+Ayarlar!$C$6-1),Görevler!$D38&gt;=I$4),IF(I$4&lt;=Görevler!$C38+ROUND(Görevler!$F38*Görevler!$E38,0)-1,2,1),""))</f>
        <v/>
      </c>
      <c r="J38" s="22" t="str">
        <f aca="false">IF(Görevler!$F38="","",IF(AND(Görevler!$C38&lt;=(J$4+Ayarlar!$C$6-1),Görevler!$D38&gt;=J$4),IF(J$4&lt;=Görevler!$C38+ROUND(Görevler!$F38*Görevler!$E38,0)-1,2,1),""))</f>
        <v/>
      </c>
      <c r="K38" s="22" t="str">
        <f aca="false">IF(Görevler!$F38="","",IF(AND(Görevler!$C38&lt;=(K$4+Ayarlar!$C$6-1),Görevler!$D38&gt;=K$4),IF(K$4&lt;=Görevler!$C38+ROUND(Görevler!$F38*Görevler!$E38,0)-1,2,1),""))</f>
        <v/>
      </c>
      <c r="L38" s="22" t="str">
        <f aca="false">IF(Görevler!$F38="","",IF(AND(Görevler!$C38&lt;=(L$4+Ayarlar!$C$6-1),Görevler!$D38&gt;=L$4),IF(L$4&lt;=Görevler!$C38+ROUND(Görevler!$F38*Görevler!$E38,0)-1,2,1),""))</f>
        <v/>
      </c>
      <c r="M38" s="22" t="str">
        <f aca="false">IF(Görevler!$F38="","",IF(AND(Görevler!$C38&lt;=(M$4+Ayarlar!$C$6-1),Görevler!$D38&gt;=M$4),IF(M$4&lt;=Görevler!$C38+ROUND(Görevler!$F38*Görevler!$E38,0)-1,2,1),""))</f>
        <v/>
      </c>
      <c r="N38" s="22" t="str">
        <f aca="false">IF(Görevler!$F38="","",IF(AND(Görevler!$C38&lt;=(N$4+Ayarlar!$C$6-1),Görevler!$D38&gt;=N$4),IF(N$4&lt;=Görevler!$C38+ROUND(Görevler!$F38*Görevler!$E38,0)-1,2,1),""))</f>
        <v/>
      </c>
      <c r="O38" s="22" t="str">
        <f aca="false">IF(Görevler!$F38="","",IF(AND(Görevler!$C38&lt;=(O$4+Ayarlar!$C$6-1),Görevler!$D38&gt;=O$4),IF(O$4&lt;=Görevler!$C38+ROUND(Görevler!$F38*Görevler!$E38,0)-1,2,1),""))</f>
        <v/>
      </c>
      <c r="P38" s="22" t="str">
        <f aca="false">IF(Görevler!$F38="","",IF(AND(Görevler!$C38&lt;=(P$4+Ayarlar!$C$6-1),Görevler!$D38&gt;=P$4),IF(P$4&lt;=Görevler!$C38+ROUND(Görevler!$F38*Görevler!$E38,0)-1,2,1),""))</f>
        <v/>
      </c>
      <c r="Q38" s="22" t="str">
        <f aca="false">IF(Görevler!$F38="","",IF(AND(Görevler!$C38&lt;=(Q$4+Ayarlar!$C$6-1),Görevler!$D38&gt;=Q$4),IF(Q$4&lt;=Görevler!$C38+ROUND(Görevler!$F38*Görevler!$E38,0)-1,2,1),""))</f>
        <v/>
      </c>
      <c r="R38" s="22" t="str">
        <f aca="false">IF(Görevler!$F38="","",IF(AND(Görevler!$C38&lt;=(R$4+Ayarlar!$C$6-1),Görevler!$D38&gt;=R$4),IF(R$4&lt;=Görevler!$C38+ROUND(Görevler!$F38*Görevler!$E38,0)-1,2,1),""))</f>
        <v/>
      </c>
      <c r="S38" s="22" t="str">
        <f aca="false">IF(Görevler!$F38="","",IF(AND(Görevler!$C38&lt;=(S$4+Ayarlar!$C$6-1),Görevler!$D38&gt;=S$4),IF(S$4&lt;=Görevler!$C38+ROUND(Görevler!$F38*Görevler!$E38,0)-1,2,1),""))</f>
        <v/>
      </c>
      <c r="T38" s="22" t="str">
        <f aca="false">IF(Görevler!$F38="","",IF(AND(Görevler!$C38&lt;=(T$4+Ayarlar!$C$6-1),Görevler!$D38&gt;=T$4),IF(T$4&lt;=Görevler!$C38+ROUND(Görevler!$F38*Görevler!$E38,0)-1,2,1),""))</f>
        <v/>
      </c>
      <c r="U38" s="22" t="str">
        <f aca="false">IF(Görevler!$F38="","",IF(AND(Görevler!$C38&lt;=(U$4+Ayarlar!$C$6-1),Görevler!$D38&gt;=U$4),IF(U$4&lt;=Görevler!$C38+ROUND(Görevler!$F38*Görevler!$E38,0)-1,2,1),""))</f>
        <v/>
      </c>
      <c r="V38" s="22" t="str">
        <f aca="false">IF(Görevler!$F38="","",IF(AND(Görevler!$C38&lt;=(V$4+Ayarlar!$C$6-1),Görevler!$D38&gt;=V$4),IF(V$4&lt;=Görevler!$C38+ROUND(Görevler!$F38*Görevler!$E38,0)-1,2,1),""))</f>
        <v/>
      </c>
      <c r="W38" s="22" t="str">
        <f aca="false">IF(Görevler!$F38="","",IF(AND(Görevler!$C38&lt;=(W$4+Ayarlar!$C$6-1),Görevler!$D38&gt;=W$4),IF(W$4&lt;=Görevler!$C38+ROUND(Görevler!$F38*Görevler!$E38,0)-1,2,1),""))</f>
        <v/>
      </c>
      <c r="X38" s="22" t="str">
        <f aca="false">IF(Görevler!$F38="","",IF(AND(Görevler!$C38&lt;=(X$4+Ayarlar!$C$6-1),Görevler!$D38&gt;=X$4),IF(X$4&lt;=Görevler!$C38+ROUND(Görevler!$F38*Görevler!$E38,0)-1,2,1),""))</f>
        <v/>
      </c>
      <c r="Y38" s="22" t="str">
        <f aca="false">IF(Görevler!$F38="","",IF(AND(Görevler!$C38&lt;=(Y$4+Ayarlar!$C$6-1),Görevler!$D38&gt;=Y$4),IF(Y$4&lt;=Görevler!$C38+ROUND(Görevler!$F38*Görevler!$E38,0)-1,2,1),""))</f>
        <v/>
      </c>
      <c r="Z38" s="22" t="str">
        <f aca="false">IF(Görevler!$F38="","",IF(AND(Görevler!$C38&lt;=(Z$4+Ayarlar!$C$6-1),Görevler!$D38&gt;=Z$4),IF(Z$4&lt;=Görevler!$C38+ROUND(Görevler!$F38*Görevler!$E38,0)-1,2,1),""))</f>
        <v/>
      </c>
      <c r="AA38" s="22" t="str">
        <f aca="false">IF(Görevler!$F38="","",IF(AND(Görevler!$C38&lt;=(AA$4+Ayarlar!$C$6-1),Görevler!$D38&gt;=AA$4),IF(AA$4&lt;=Görevler!$C38+ROUND(Görevler!$F38*Görevler!$E38,0)-1,2,1),""))</f>
        <v/>
      </c>
      <c r="AB38" s="22" t="str">
        <f aca="false">IF(Görevler!$F38="","",IF(AND(Görevler!$C38&lt;=(AB$4+Ayarlar!$C$6-1),Görevler!$D38&gt;=AB$4),IF(AB$4&lt;=Görevler!$C38+ROUND(Görevler!$F38*Görevler!$E38,0)-1,2,1),""))</f>
        <v/>
      </c>
      <c r="AC38" s="22" t="str">
        <f aca="false">IF(Görevler!$F38="","",IF(AND(Görevler!$C38&lt;=(AC$4+Ayarlar!$C$6-1),Görevler!$D38&gt;=AC$4),IF(AC$4&lt;=Görevler!$C38+ROUND(Görevler!$F38*Görevler!$E38,0)-1,2,1),""))</f>
        <v/>
      </c>
      <c r="AD38" s="22" t="str">
        <f aca="false">IF(Görevler!$F38="","",IF(AND(Görevler!$C38&lt;=(AD$4+Ayarlar!$C$6-1),Görevler!$D38&gt;=AD$4),IF(AD$4&lt;=Görevler!$C38+ROUND(Görevler!$F38*Görevler!$E38,0)-1,2,1),""))</f>
        <v/>
      </c>
      <c r="AE38" s="22" t="str">
        <f aca="false">IF(Görevler!$F38="","",IF(AND(Görevler!$C38&lt;=(AE$4+Ayarlar!$C$6-1),Görevler!$D38&gt;=AE$4),IF(AE$4&lt;=Görevler!$C38+ROUND(Görevler!$F38*Görevler!$E38,0)-1,2,1),""))</f>
        <v/>
      </c>
      <c r="AF38" s="22" t="str">
        <f aca="false">IF(Görevler!$F38="","",IF(AND(Görevler!$C38&lt;=(AF$4+Ayarlar!$C$6-1),Görevler!$D38&gt;=AF$4),IF(AF$4&lt;=Görevler!$C38+ROUND(Görevler!$F38*Görevler!$E38,0)-1,2,1),""))</f>
        <v/>
      </c>
      <c r="AG38" s="22" t="str">
        <f aca="false">IF(Görevler!$F38="","",IF(AND(Görevler!$C38&lt;=(AG$4+Ayarlar!$C$6-1),Görevler!$D38&gt;=AG$4),IF(AG$4&lt;=Görevler!$C38+ROUND(Görevler!$F38*Görevler!$E38,0)-1,2,1),""))</f>
        <v/>
      </c>
      <c r="AH38" s="22" t="str">
        <f aca="false">IF(Görevler!$F38="","",IF(AND(Görevler!$C38&lt;=(AH$4+Ayarlar!$C$6-1),Görevler!$D38&gt;=AH$4),IF(AH$4&lt;=Görevler!$C38+ROUND(Görevler!$F38*Görevler!$E38,0)-1,2,1),""))</f>
        <v/>
      </c>
      <c r="AI38" s="22" t="str">
        <f aca="false">IF(Görevler!$F38="","",IF(AND(Görevler!$C38&lt;=(AI$4+Ayarlar!$C$6-1),Görevler!$D38&gt;=AI$4),IF(AI$4&lt;=Görevler!$C38+ROUND(Görevler!$F38*Görevler!$E38,0)-1,2,1),""))</f>
        <v/>
      </c>
      <c r="AJ38" s="22" t="str">
        <f aca="false">IF(Görevler!$F38="","",IF(AND(Görevler!$C38&lt;=(AJ$4+Ayarlar!$C$6-1),Görevler!$D38&gt;=AJ$4),IF(AJ$4&lt;=Görevler!$C38+ROUND(Görevler!$F38*Görevler!$E38,0)-1,2,1),""))</f>
        <v/>
      </c>
      <c r="AK38" s="22" t="str">
        <f aca="false">IF(Görevler!$F38="","",IF(AND(Görevler!$C38&lt;=(AK$4+Ayarlar!$C$6-1),Görevler!$D38&gt;=AK$4),IF(AK$4&lt;=Görevler!$C38+ROUND(Görevler!$F38*Görevler!$E38,0)-1,2,1),""))</f>
        <v/>
      </c>
      <c r="AL38" s="22" t="str">
        <f aca="false">IF(Görevler!$F38="","",IF(AND(Görevler!$C38&lt;=(AL$4+Ayarlar!$C$6-1),Görevler!$D38&gt;=AL$4),IF(AL$4&lt;=Görevler!$C38+ROUND(Görevler!$F38*Görevler!$E38,0)-1,2,1),""))</f>
        <v/>
      </c>
      <c r="AM38" s="22" t="str">
        <f aca="false">IF(Görevler!$F38="","",IF(AND(Görevler!$C38&lt;=(AM$4+Ayarlar!$C$6-1),Görevler!$D38&gt;=AM$4),IF(AM$4&lt;=Görevler!$C38+ROUND(Görevler!$F38*Görevler!$E38,0)-1,2,1),""))</f>
        <v/>
      </c>
      <c r="AN38" s="22" t="str">
        <f aca="false">IF(Görevler!$F38="","",IF(AND(Görevler!$C38&lt;=(AN$4+Ayarlar!$C$6-1),Görevler!$D38&gt;=AN$4),IF(AN$4&lt;=Görevler!$C38+ROUND(Görevler!$F38*Görevler!$E38,0)-1,2,1),""))</f>
        <v/>
      </c>
      <c r="AO38" s="22" t="str">
        <f aca="false">IF(Görevler!$F38="","",IF(AND(Görevler!$C38&lt;=(AO$4+Ayarlar!$C$6-1),Görevler!$D38&gt;=AO$4),IF(AO$4&lt;=Görevler!$C38+ROUND(Görevler!$F38*Görevler!$E38,0)-1,2,1),""))</f>
        <v/>
      </c>
      <c r="AP38" s="22" t="str">
        <f aca="false">IF(Görevler!$F38="","",IF(AND(Görevler!$C38&lt;=(AP$4+Ayarlar!$C$6-1),Görevler!$D38&gt;=AP$4),IF(AP$4&lt;=Görevler!$C38+ROUND(Görevler!$F38*Görevler!$E38,0)-1,2,1),""))</f>
        <v/>
      </c>
      <c r="AQ38" s="22" t="str">
        <f aca="false">IF(Görevler!$F38="","",IF(AND(Görevler!$C38&lt;=(AQ$4+Ayarlar!$C$6-1),Görevler!$D38&gt;=AQ$4),IF(AQ$4&lt;=Görevler!$C38+ROUND(Görevler!$F38*Görevler!$E38,0)-1,2,1),""))</f>
        <v/>
      </c>
      <c r="AR38" s="22" t="str">
        <f aca="false">IF(Görevler!$F38="","",IF(AND(Görevler!$C38&lt;=(AR$4+Ayarlar!$C$6-1),Görevler!$D38&gt;=AR$4),IF(AR$4&lt;=Görevler!$C38+ROUND(Görevler!$F38*Görevler!$E38,0)-1,2,1),""))</f>
        <v/>
      </c>
      <c r="AS38" s="22" t="str">
        <f aca="false">IF(Görevler!$F38="","",IF(AND(Görevler!$C38&lt;=(AS$4+Ayarlar!$C$6-1),Görevler!$D38&gt;=AS$4),IF(AS$4&lt;=Görevler!$C38+ROUND(Görevler!$F38*Görevler!$E38,0)-1,2,1),""))</f>
        <v/>
      </c>
      <c r="AT38" s="22" t="str">
        <f aca="false">IF(Görevler!$F38="","",IF(AND(Görevler!$C38&lt;=(AT$4+Ayarlar!$C$6-1),Görevler!$D38&gt;=AT$4),IF(AT$4&lt;=Görevler!$C38+ROUND(Görevler!$F38*Görevler!$E38,0)-1,2,1),""))</f>
        <v/>
      </c>
      <c r="AU38" s="22" t="str">
        <f aca="false">IF(Görevler!$F38="","",IF(AND(Görevler!$C38&lt;=(AU$4+Ayarlar!$C$6-1),Görevler!$D38&gt;=AU$4),IF(AU$4&lt;=Görevler!$C38+ROUND(Görevler!$F38*Görevler!$E38,0)-1,2,1),""))</f>
        <v/>
      </c>
      <c r="AV38" s="22" t="str">
        <f aca="false">IF(Görevler!$F38="","",IF(AND(Görevler!$C38&lt;=(AV$4+Ayarlar!$C$6-1),Görevler!$D38&gt;=AV$4),IF(AV$4&lt;=Görevler!$C38+ROUND(Görevler!$F38*Görevler!$E38,0)-1,2,1),""))</f>
        <v/>
      </c>
      <c r="AW38" s="22" t="str">
        <f aca="false">IF(Görevler!$F38="","",IF(AND(Görevler!$C38&lt;=(AW$4+Ayarlar!$C$6-1),Görevler!$D38&gt;=AW$4),IF(AW$4&lt;=Görevler!$C38+ROUND(Görevler!$F38*Görevler!$E38,0)-1,2,1),""))</f>
        <v/>
      </c>
      <c r="AX38" s="22" t="str">
        <f aca="false">IF(Görevler!$F38="","",IF(AND(Görevler!$C38&lt;=(AX$4+Ayarlar!$C$6-1),Görevler!$D38&gt;=AX$4),IF(AX$4&lt;=Görevler!$C38+ROUND(Görevler!$F38*Görevler!$E38,0)-1,2,1),""))</f>
        <v/>
      </c>
      <c r="AY38" s="22" t="str">
        <f aca="false">IF(Görevler!$F38="","",IF(AND(Görevler!$C38&lt;=(AY$4+Ayarlar!$C$6-1),Görevler!$D38&gt;=AY$4),IF(AY$4&lt;=Görevler!$C38+ROUND(Görevler!$F38*Görevler!$E38,0)-1,2,1),""))</f>
        <v/>
      </c>
      <c r="AZ38" s="22" t="str">
        <f aca="false">IF(Görevler!$F38="","",IF(AND(Görevler!$C38&lt;=(AZ$4+Ayarlar!$C$6-1),Görevler!$D38&gt;=AZ$4),IF(AZ$4&lt;=Görevler!$C38+ROUND(Görevler!$F38*Görevler!$E38,0)-1,2,1),""))</f>
        <v/>
      </c>
      <c r="BA38" s="22" t="str">
        <f aca="false">IF(Görevler!$F38="","",IF(AND(Görevler!$C38&lt;=(BA$4+Ayarlar!$C$6-1),Görevler!$D38&gt;=BA$4),IF(BA$4&lt;=Görevler!$C38+ROUND(Görevler!$F38*Görevler!$E38,0)-1,2,1),""))</f>
        <v/>
      </c>
      <c r="BB38" s="22" t="str">
        <f aca="false">IF(Görevler!$F38="","",IF(AND(Görevler!$C38&lt;=(BB$4+Ayarlar!$C$6-1),Görevler!$D38&gt;=BB$4),IF(BB$4&lt;=Görevler!$C38+ROUND(Görevler!$F38*Görevler!$E38,0)-1,2,1),""))</f>
        <v/>
      </c>
      <c r="BC38" s="22" t="str">
        <f aca="false">IF(Görevler!$F38="","",IF(AND(Görevler!$C38&lt;=(BC$4+Ayarlar!$C$6-1),Görevler!$D38&gt;=BC$4),IF(BC$4&lt;=Görevler!$C38+ROUND(Görevler!$F38*Görevler!$E38,0)-1,2,1),""))</f>
        <v/>
      </c>
      <c r="BD38" s="22" t="str">
        <f aca="false">IF(Görevler!$F38="","",IF(AND(Görevler!$C38&lt;=(BD$4+Ayarlar!$C$6-1),Görevler!$D38&gt;=BD$4),IF(BD$4&lt;=Görevler!$C38+ROUND(Görevler!$F38*Görevler!$E38,0)-1,2,1),""))</f>
        <v/>
      </c>
      <c r="BE38" s="22" t="str">
        <f aca="false">IF(Görevler!$F38="","",IF(AND(Görevler!$C38&lt;=(BE$4+Ayarlar!$C$6-1),Görevler!$D38&gt;=BE$4),IF(BE$4&lt;=Görevler!$C38+ROUND(Görevler!$F38*Görevler!$E38,0)-1,2,1),""))</f>
        <v/>
      </c>
      <c r="BF38" s="22" t="str">
        <f aca="false">IF(Görevler!$F38="","",IF(AND(Görevler!$C38&lt;=(BF$4+Ayarlar!$C$6-1),Görevler!$D38&gt;=BF$4),IF(BF$4&lt;=Görevler!$C38+ROUND(Görevler!$F38*Görevler!$E38,0)-1,2,1),""))</f>
        <v/>
      </c>
      <c r="BG38" s="22" t="str">
        <f aca="false">IF(Görevler!$F38="","",IF(AND(Görevler!$C38&lt;=(BG$4+Ayarlar!$C$6-1),Görevler!$D38&gt;=BG$4),IF(BG$4&lt;=Görevler!$C38+ROUND(Görevler!$F38*Görevler!$E38,0)-1,2,1),""))</f>
        <v/>
      </c>
      <c r="BH38" s="22" t="str">
        <f aca="false">IF(Görevler!$F38="","",IF(AND(Görevler!$C38&lt;=(BH$4+Ayarlar!$C$6-1),Görevler!$D38&gt;=BH$4),IF(BH$4&lt;=Görevler!$C38+ROUND(Görevler!$F38*Görevler!$E38,0)-1,2,1),""))</f>
        <v/>
      </c>
      <c r="BI38" s="22" t="str">
        <f aca="false">IF(Görevler!$F38="","",IF(AND(Görevler!$C38&lt;=(BI$4+Ayarlar!$C$6-1),Görevler!$D38&gt;=BI$4),IF(BI$4&lt;=Görevler!$C38+ROUND(Görevler!$F38*Görevler!$E38,0)-1,2,1),""))</f>
        <v/>
      </c>
      <c r="BJ38" s="22" t="str">
        <f aca="false">IF(Görevler!$F38="","",IF(AND(Görevler!$C38&lt;=(BJ$4+Ayarlar!$C$6-1),Görevler!$D38&gt;=BJ$4),IF(BJ$4&lt;=Görevler!$C38+ROUND(Görevler!$F38*Görevler!$E38,0)-1,2,1),""))</f>
        <v/>
      </c>
    </row>
    <row r="39" customFormat="false" ht="15" hidden="false" customHeight="false" outlineLevel="0" collapsed="false">
      <c r="A39" s="21" t="str">
        <f aca="false">IF(Görevler!A39="","",Görevler!A39)</f>
        <v/>
      </c>
      <c r="B39" s="21" t="str">
        <f aca="false">IF(Görevler!A39="","",Görevler!B39&amp;"")</f>
        <v/>
      </c>
      <c r="C39" s="22" t="str">
        <f aca="false">IF(Görevler!$F39="","",IF(AND(Görevler!$C39&lt;=(C$4+Ayarlar!$C$6-1),Görevler!$D39&gt;=C$4),IF(C$4&lt;=Görevler!$C39+ROUND(Görevler!$F39*Görevler!$E39,0)-1,2,1),""))</f>
        <v/>
      </c>
      <c r="D39" s="22" t="str">
        <f aca="false">IF(Görevler!$F39="","",IF(AND(Görevler!$C39&lt;=(D$4+Ayarlar!$C$6-1),Görevler!$D39&gt;=D$4),IF(D$4&lt;=Görevler!$C39+ROUND(Görevler!$F39*Görevler!$E39,0)-1,2,1),""))</f>
        <v/>
      </c>
      <c r="E39" s="22" t="str">
        <f aca="false">IF(Görevler!$F39="","",IF(AND(Görevler!$C39&lt;=(E$4+Ayarlar!$C$6-1),Görevler!$D39&gt;=E$4),IF(E$4&lt;=Görevler!$C39+ROUND(Görevler!$F39*Görevler!$E39,0)-1,2,1),""))</f>
        <v/>
      </c>
      <c r="F39" s="22" t="str">
        <f aca="false">IF(Görevler!$F39="","",IF(AND(Görevler!$C39&lt;=(F$4+Ayarlar!$C$6-1),Görevler!$D39&gt;=F$4),IF(F$4&lt;=Görevler!$C39+ROUND(Görevler!$F39*Görevler!$E39,0)-1,2,1),""))</f>
        <v/>
      </c>
      <c r="G39" s="22" t="str">
        <f aca="false">IF(Görevler!$F39="","",IF(AND(Görevler!$C39&lt;=(G$4+Ayarlar!$C$6-1),Görevler!$D39&gt;=G$4),IF(G$4&lt;=Görevler!$C39+ROUND(Görevler!$F39*Görevler!$E39,0)-1,2,1),""))</f>
        <v/>
      </c>
      <c r="H39" s="22" t="str">
        <f aca="false">IF(Görevler!$F39="","",IF(AND(Görevler!$C39&lt;=(H$4+Ayarlar!$C$6-1),Görevler!$D39&gt;=H$4),IF(H$4&lt;=Görevler!$C39+ROUND(Görevler!$F39*Görevler!$E39,0)-1,2,1),""))</f>
        <v/>
      </c>
      <c r="I39" s="22" t="str">
        <f aca="false">IF(Görevler!$F39="","",IF(AND(Görevler!$C39&lt;=(I$4+Ayarlar!$C$6-1),Görevler!$D39&gt;=I$4),IF(I$4&lt;=Görevler!$C39+ROUND(Görevler!$F39*Görevler!$E39,0)-1,2,1),""))</f>
        <v/>
      </c>
      <c r="J39" s="22" t="str">
        <f aca="false">IF(Görevler!$F39="","",IF(AND(Görevler!$C39&lt;=(J$4+Ayarlar!$C$6-1),Görevler!$D39&gt;=J$4),IF(J$4&lt;=Görevler!$C39+ROUND(Görevler!$F39*Görevler!$E39,0)-1,2,1),""))</f>
        <v/>
      </c>
      <c r="K39" s="22" t="str">
        <f aca="false">IF(Görevler!$F39="","",IF(AND(Görevler!$C39&lt;=(K$4+Ayarlar!$C$6-1),Görevler!$D39&gt;=K$4),IF(K$4&lt;=Görevler!$C39+ROUND(Görevler!$F39*Görevler!$E39,0)-1,2,1),""))</f>
        <v/>
      </c>
      <c r="L39" s="22" t="str">
        <f aca="false">IF(Görevler!$F39="","",IF(AND(Görevler!$C39&lt;=(L$4+Ayarlar!$C$6-1),Görevler!$D39&gt;=L$4),IF(L$4&lt;=Görevler!$C39+ROUND(Görevler!$F39*Görevler!$E39,0)-1,2,1),""))</f>
        <v/>
      </c>
      <c r="M39" s="22" t="str">
        <f aca="false">IF(Görevler!$F39="","",IF(AND(Görevler!$C39&lt;=(M$4+Ayarlar!$C$6-1),Görevler!$D39&gt;=M$4),IF(M$4&lt;=Görevler!$C39+ROUND(Görevler!$F39*Görevler!$E39,0)-1,2,1),""))</f>
        <v/>
      </c>
      <c r="N39" s="22" t="str">
        <f aca="false">IF(Görevler!$F39="","",IF(AND(Görevler!$C39&lt;=(N$4+Ayarlar!$C$6-1),Görevler!$D39&gt;=N$4),IF(N$4&lt;=Görevler!$C39+ROUND(Görevler!$F39*Görevler!$E39,0)-1,2,1),""))</f>
        <v/>
      </c>
      <c r="O39" s="22" t="str">
        <f aca="false">IF(Görevler!$F39="","",IF(AND(Görevler!$C39&lt;=(O$4+Ayarlar!$C$6-1),Görevler!$D39&gt;=O$4),IF(O$4&lt;=Görevler!$C39+ROUND(Görevler!$F39*Görevler!$E39,0)-1,2,1),""))</f>
        <v/>
      </c>
      <c r="P39" s="22" t="str">
        <f aca="false">IF(Görevler!$F39="","",IF(AND(Görevler!$C39&lt;=(P$4+Ayarlar!$C$6-1),Görevler!$D39&gt;=P$4),IF(P$4&lt;=Görevler!$C39+ROUND(Görevler!$F39*Görevler!$E39,0)-1,2,1),""))</f>
        <v/>
      </c>
      <c r="Q39" s="22" t="str">
        <f aca="false">IF(Görevler!$F39="","",IF(AND(Görevler!$C39&lt;=(Q$4+Ayarlar!$C$6-1),Görevler!$D39&gt;=Q$4),IF(Q$4&lt;=Görevler!$C39+ROUND(Görevler!$F39*Görevler!$E39,0)-1,2,1),""))</f>
        <v/>
      </c>
      <c r="R39" s="22" t="str">
        <f aca="false">IF(Görevler!$F39="","",IF(AND(Görevler!$C39&lt;=(R$4+Ayarlar!$C$6-1),Görevler!$D39&gt;=R$4),IF(R$4&lt;=Görevler!$C39+ROUND(Görevler!$F39*Görevler!$E39,0)-1,2,1),""))</f>
        <v/>
      </c>
      <c r="S39" s="22" t="str">
        <f aca="false">IF(Görevler!$F39="","",IF(AND(Görevler!$C39&lt;=(S$4+Ayarlar!$C$6-1),Görevler!$D39&gt;=S$4),IF(S$4&lt;=Görevler!$C39+ROUND(Görevler!$F39*Görevler!$E39,0)-1,2,1),""))</f>
        <v/>
      </c>
      <c r="T39" s="22" t="str">
        <f aca="false">IF(Görevler!$F39="","",IF(AND(Görevler!$C39&lt;=(T$4+Ayarlar!$C$6-1),Görevler!$D39&gt;=T$4),IF(T$4&lt;=Görevler!$C39+ROUND(Görevler!$F39*Görevler!$E39,0)-1,2,1),""))</f>
        <v/>
      </c>
      <c r="U39" s="22" t="str">
        <f aca="false">IF(Görevler!$F39="","",IF(AND(Görevler!$C39&lt;=(U$4+Ayarlar!$C$6-1),Görevler!$D39&gt;=U$4),IF(U$4&lt;=Görevler!$C39+ROUND(Görevler!$F39*Görevler!$E39,0)-1,2,1),""))</f>
        <v/>
      </c>
      <c r="V39" s="22" t="str">
        <f aca="false">IF(Görevler!$F39="","",IF(AND(Görevler!$C39&lt;=(V$4+Ayarlar!$C$6-1),Görevler!$D39&gt;=V$4),IF(V$4&lt;=Görevler!$C39+ROUND(Görevler!$F39*Görevler!$E39,0)-1,2,1),""))</f>
        <v/>
      </c>
      <c r="W39" s="22" t="str">
        <f aca="false">IF(Görevler!$F39="","",IF(AND(Görevler!$C39&lt;=(W$4+Ayarlar!$C$6-1),Görevler!$D39&gt;=W$4),IF(W$4&lt;=Görevler!$C39+ROUND(Görevler!$F39*Görevler!$E39,0)-1,2,1),""))</f>
        <v/>
      </c>
      <c r="X39" s="22" t="str">
        <f aca="false">IF(Görevler!$F39="","",IF(AND(Görevler!$C39&lt;=(X$4+Ayarlar!$C$6-1),Görevler!$D39&gt;=X$4),IF(X$4&lt;=Görevler!$C39+ROUND(Görevler!$F39*Görevler!$E39,0)-1,2,1),""))</f>
        <v/>
      </c>
      <c r="Y39" s="22" t="str">
        <f aca="false">IF(Görevler!$F39="","",IF(AND(Görevler!$C39&lt;=(Y$4+Ayarlar!$C$6-1),Görevler!$D39&gt;=Y$4),IF(Y$4&lt;=Görevler!$C39+ROUND(Görevler!$F39*Görevler!$E39,0)-1,2,1),""))</f>
        <v/>
      </c>
      <c r="Z39" s="22" t="str">
        <f aca="false">IF(Görevler!$F39="","",IF(AND(Görevler!$C39&lt;=(Z$4+Ayarlar!$C$6-1),Görevler!$D39&gt;=Z$4),IF(Z$4&lt;=Görevler!$C39+ROUND(Görevler!$F39*Görevler!$E39,0)-1,2,1),""))</f>
        <v/>
      </c>
      <c r="AA39" s="22" t="str">
        <f aca="false">IF(Görevler!$F39="","",IF(AND(Görevler!$C39&lt;=(AA$4+Ayarlar!$C$6-1),Görevler!$D39&gt;=AA$4),IF(AA$4&lt;=Görevler!$C39+ROUND(Görevler!$F39*Görevler!$E39,0)-1,2,1),""))</f>
        <v/>
      </c>
      <c r="AB39" s="22" t="str">
        <f aca="false">IF(Görevler!$F39="","",IF(AND(Görevler!$C39&lt;=(AB$4+Ayarlar!$C$6-1),Görevler!$D39&gt;=AB$4),IF(AB$4&lt;=Görevler!$C39+ROUND(Görevler!$F39*Görevler!$E39,0)-1,2,1),""))</f>
        <v/>
      </c>
      <c r="AC39" s="22" t="str">
        <f aca="false">IF(Görevler!$F39="","",IF(AND(Görevler!$C39&lt;=(AC$4+Ayarlar!$C$6-1),Görevler!$D39&gt;=AC$4),IF(AC$4&lt;=Görevler!$C39+ROUND(Görevler!$F39*Görevler!$E39,0)-1,2,1),""))</f>
        <v/>
      </c>
      <c r="AD39" s="22" t="str">
        <f aca="false">IF(Görevler!$F39="","",IF(AND(Görevler!$C39&lt;=(AD$4+Ayarlar!$C$6-1),Görevler!$D39&gt;=AD$4),IF(AD$4&lt;=Görevler!$C39+ROUND(Görevler!$F39*Görevler!$E39,0)-1,2,1),""))</f>
        <v/>
      </c>
      <c r="AE39" s="22" t="str">
        <f aca="false">IF(Görevler!$F39="","",IF(AND(Görevler!$C39&lt;=(AE$4+Ayarlar!$C$6-1),Görevler!$D39&gt;=AE$4),IF(AE$4&lt;=Görevler!$C39+ROUND(Görevler!$F39*Görevler!$E39,0)-1,2,1),""))</f>
        <v/>
      </c>
      <c r="AF39" s="22" t="str">
        <f aca="false">IF(Görevler!$F39="","",IF(AND(Görevler!$C39&lt;=(AF$4+Ayarlar!$C$6-1),Görevler!$D39&gt;=AF$4),IF(AF$4&lt;=Görevler!$C39+ROUND(Görevler!$F39*Görevler!$E39,0)-1,2,1),""))</f>
        <v/>
      </c>
      <c r="AG39" s="22" t="str">
        <f aca="false">IF(Görevler!$F39="","",IF(AND(Görevler!$C39&lt;=(AG$4+Ayarlar!$C$6-1),Görevler!$D39&gt;=AG$4),IF(AG$4&lt;=Görevler!$C39+ROUND(Görevler!$F39*Görevler!$E39,0)-1,2,1),""))</f>
        <v/>
      </c>
      <c r="AH39" s="22" t="str">
        <f aca="false">IF(Görevler!$F39="","",IF(AND(Görevler!$C39&lt;=(AH$4+Ayarlar!$C$6-1),Görevler!$D39&gt;=AH$4),IF(AH$4&lt;=Görevler!$C39+ROUND(Görevler!$F39*Görevler!$E39,0)-1,2,1),""))</f>
        <v/>
      </c>
      <c r="AI39" s="22" t="str">
        <f aca="false">IF(Görevler!$F39="","",IF(AND(Görevler!$C39&lt;=(AI$4+Ayarlar!$C$6-1),Görevler!$D39&gt;=AI$4),IF(AI$4&lt;=Görevler!$C39+ROUND(Görevler!$F39*Görevler!$E39,0)-1,2,1),""))</f>
        <v/>
      </c>
      <c r="AJ39" s="22" t="str">
        <f aca="false">IF(Görevler!$F39="","",IF(AND(Görevler!$C39&lt;=(AJ$4+Ayarlar!$C$6-1),Görevler!$D39&gt;=AJ$4),IF(AJ$4&lt;=Görevler!$C39+ROUND(Görevler!$F39*Görevler!$E39,0)-1,2,1),""))</f>
        <v/>
      </c>
      <c r="AK39" s="22" t="str">
        <f aca="false">IF(Görevler!$F39="","",IF(AND(Görevler!$C39&lt;=(AK$4+Ayarlar!$C$6-1),Görevler!$D39&gt;=AK$4),IF(AK$4&lt;=Görevler!$C39+ROUND(Görevler!$F39*Görevler!$E39,0)-1,2,1),""))</f>
        <v/>
      </c>
      <c r="AL39" s="22" t="str">
        <f aca="false">IF(Görevler!$F39="","",IF(AND(Görevler!$C39&lt;=(AL$4+Ayarlar!$C$6-1),Görevler!$D39&gt;=AL$4),IF(AL$4&lt;=Görevler!$C39+ROUND(Görevler!$F39*Görevler!$E39,0)-1,2,1),""))</f>
        <v/>
      </c>
      <c r="AM39" s="22" t="str">
        <f aca="false">IF(Görevler!$F39="","",IF(AND(Görevler!$C39&lt;=(AM$4+Ayarlar!$C$6-1),Görevler!$D39&gt;=AM$4),IF(AM$4&lt;=Görevler!$C39+ROUND(Görevler!$F39*Görevler!$E39,0)-1,2,1),""))</f>
        <v/>
      </c>
      <c r="AN39" s="22" t="str">
        <f aca="false">IF(Görevler!$F39="","",IF(AND(Görevler!$C39&lt;=(AN$4+Ayarlar!$C$6-1),Görevler!$D39&gt;=AN$4),IF(AN$4&lt;=Görevler!$C39+ROUND(Görevler!$F39*Görevler!$E39,0)-1,2,1),""))</f>
        <v/>
      </c>
      <c r="AO39" s="22" t="str">
        <f aca="false">IF(Görevler!$F39="","",IF(AND(Görevler!$C39&lt;=(AO$4+Ayarlar!$C$6-1),Görevler!$D39&gt;=AO$4),IF(AO$4&lt;=Görevler!$C39+ROUND(Görevler!$F39*Görevler!$E39,0)-1,2,1),""))</f>
        <v/>
      </c>
      <c r="AP39" s="22" t="str">
        <f aca="false">IF(Görevler!$F39="","",IF(AND(Görevler!$C39&lt;=(AP$4+Ayarlar!$C$6-1),Görevler!$D39&gt;=AP$4),IF(AP$4&lt;=Görevler!$C39+ROUND(Görevler!$F39*Görevler!$E39,0)-1,2,1),""))</f>
        <v/>
      </c>
      <c r="AQ39" s="22" t="str">
        <f aca="false">IF(Görevler!$F39="","",IF(AND(Görevler!$C39&lt;=(AQ$4+Ayarlar!$C$6-1),Görevler!$D39&gt;=AQ$4),IF(AQ$4&lt;=Görevler!$C39+ROUND(Görevler!$F39*Görevler!$E39,0)-1,2,1),""))</f>
        <v/>
      </c>
      <c r="AR39" s="22" t="str">
        <f aca="false">IF(Görevler!$F39="","",IF(AND(Görevler!$C39&lt;=(AR$4+Ayarlar!$C$6-1),Görevler!$D39&gt;=AR$4),IF(AR$4&lt;=Görevler!$C39+ROUND(Görevler!$F39*Görevler!$E39,0)-1,2,1),""))</f>
        <v/>
      </c>
      <c r="AS39" s="22" t="str">
        <f aca="false">IF(Görevler!$F39="","",IF(AND(Görevler!$C39&lt;=(AS$4+Ayarlar!$C$6-1),Görevler!$D39&gt;=AS$4),IF(AS$4&lt;=Görevler!$C39+ROUND(Görevler!$F39*Görevler!$E39,0)-1,2,1),""))</f>
        <v/>
      </c>
      <c r="AT39" s="22" t="str">
        <f aca="false">IF(Görevler!$F39="","",IF(AND(Görevler!$C39&lt;=(AT$4+Ayarlar!$C$6-1),Görevler!$D39&gt;=AT$4),IF(AT$4&lt;=Görevler!$C39+ROUND(Görevler!$F39*Görevler!$E39,0)-1,2,1),""))</f>
        <v/>
      </c>
      <c r="AU39" s="22" t="str">
        <f aca="false">IF(Görevler!$F39="","",IF(AND(Görevler!$C39&lt;=(AU$4+Ayarlar!$C$6-1),Görevler!$D39&gt;=AU$4),IF(AU$4&lt;=Görevler!$C39+ROUND(Görevler!$F39*Görevler!$E39,0)-1,2,1),""))</f>
        <v/>
      </c>
      <c r="AV39" s="22" t="str">
        <f aca="false">IF(Görevler!$F39="","",IF(AND(Görevler!$C39&lt;=(AV$4+Ayarlar!$C$6-1),Görevler!$D39&gt;=AV$4),IF(AV$4&lt;=Görevler!$C39+ROUND(Görevler!$F39*Görevler!$E39,0)-1,2,1),""))</f>
        <v/>
      </c>
      <c r="AW39" s="22" t="str">
        <f aca="false">IF(Görevler!$F39="","",IF(AND(Görevler!$C39&lt;=(AW$4+Ayarlar!$C$6-1),Görevler!$D39&gt;=AW$4),IF(AW$4&lt;=Görevler!$C39+ROUND(Görevler!$F39*Görevler!$E39,0)-1,2,1),""))</f>
        <v/>
      </c>
      <c r="AX39" s="22" t="str">
        <f aca="false">IF(Görevler!$F39="","",IF(AND(Görevler!$C39&lt;=(AX$4+Ayarlar!$C$6-1),Görevler!$D39&gt;=AX$4),IF(AX$4&lt;=Görevler!$C39+ROUND(Görevler!$F39*Görevler!$E39,0)-1,2,1),""))</f>
        <v/>
      </c>
      <c r="AY39" s="22" t="str">
        <f aca="false">IF(Görevler!$F39="","",IF(AND(Görevler!$C39&lt;=(AY$4+Ayarlar!$C$6-1),Görevler!$D39&gt;=AY$4),IF(AY$4&lt;=Görevler!$C39+ROUND(Görevler!$F39*Görevler!$E39,0)-1,2,1),""))</f>
        <v/>
      </c>
      <c r="AZ39" s="22" t="str">
        <f aca="false">IF(Görevler!$F39="","",IF(AND(Görevler!$C39&lt;=(AZ$4+Ayarlar!$C$6-1),Görevler!$D39&gt;=AZ$4),IF(AZ$4&lt;=Görevler!$C39+ROUND(Görevler!$F39*Görevler!$E39,0)-1,2,1),""))</f>
        <v/>
      </c>
      <c r="BA39" s="22" t="str">
        <f aca="false">IF(Görevler!$F39="","",IF(AND(Görevler!$C39&lt;=(BA$4+Ayarlar!$C$6-1),Görevler!$D39&gt;=BA$4),IF(BA$4&lt;=Görevler!$C39+ROUND(Görevler!$F39*Görevler!$E39,0)-1,2,1),""))</f>
        <v/>
      </c>
      <c r="BB39" s="22" t="str">
        <f aca="false">IF(Görevler!$F39="","",IF(AND(Görevler!$C39&lt;=(BB$4+Ayarlar!$C$6-1),Görevler!$D39&gt;=BB$4),IF(BB$4&lt;=Görevler!$C39+ROUND(Görevler!$F39*Görevler!$E39,0)-1,2,1),""))</f>
        <v/>
      </c>
      <c r="BC39" s="22" t="str">
        <f aca="false">IF(Görevler!$F39="","",IF(AND(Görevler!$C39&lt;=(BC$4+Ayarlar!$C$6-1),Görevler!$D39&gt;=BC$4),IF(BC$4&lt;=Görevler!$C39+ROUND(Görevler!$F39*Görevler!$E39,0)-1,2,1),""))</f>
        <v/>
      </c>
      <c r="BD39" s="22" t="str">
        <f aca="false">IF(Görevler!$F39="","",IF(AND(Görevler!$C39&lt;=(BD$4+Ayarlar!$C$6-1),Görevler!$D39&gt;=BD$4),IF(BD$4&lt;=Görevler!$C39+ROUND(Görevler!$F39*Görevler!$E39,0)-1,2,1),""))</f>
        <v/>
      </c>
      <c r="BE39" s="22" t="str">
        <f aca="false">IF(Görevler!$F39="","",IF(AND(Görevler!$C39&lt;=(BE$4+Ayarlar!$C$6-1),Görevler!$D39&gt;=BE$4),IF(BE$4&lt;=Görevler!$C39+ROUND(Görevler!$F39*Görevler!$E39,0)-1,2,1),""))</f>
        <v/>
      </c>
      <c r="BF39" s="22" t="str">
        <f aca="false">IF(Görevler!$F39="","",IF(AND(Görevler!$C39&lt;=(BF$4+Ayarlar!$C$6-1),Görevler!$D39&gt;=BF$4),IF(BF$4&lt;=Görevler!$C39+ROUND(Görevler!$F39*Görevler!$E39,0)-1,2,1),""))</f>
        <v/>
      </c>
      <c r="BG39" s="22" t="str">
        <f aca="false">IF(Görevler!$F39="","",IF(AND(Görevler!$C39&lt;=(BG$4+Ayarlar!$C$6-1),Görevler!$D39&gt;=BG$4),IF(BG$4&lt;=Görevler!$C39+ROUND(Görevler!$F39*Görevler!$E39,0)-1,2,1),""))</f>
        <v/>
      </c>
      <c r="BH39" s="22" t="str">
        <f aca="false">IF(Görevler!$F39="","",IF(AND(Görevler!$C39&lt;=(BH$4+Ayarlar!$C$6-1),Görevler!$D39&gt;=BH$4),IF(BH$4&lt;=Görevler!$C39+ROUND(Görevler!$F39*Görevler!$E39,0)-1,2,1),""))</f>
        <v/>
      </c>
      <c r="BI39" s="22" t="str">
        <f aca="false">IF(Görevler!$F39="","",IF(AND(Görevler!$C39&lt;=(BI$4+Ayarlar!$C$6-1),Görevler!$D39&gt;=BI$4),IF(BI$4&lt;=Görevler!$C39+ROUND(Görevler!$F39*Görevler!$E39,0)-1,2,1),""))</f>
        <v/>
      </c>
      <c r="BJ39" s="22" t="str">
        <f aca="false">IF(Görevler!$F39="","",IF(AND(Görevler!$C39&lt;=(BJ$4+Ayarlar!$C$6-1),Görevler!$D39&gt;=BJ$4),IF(BJ$4&lt;=Görevler!$C39+ROUND(Görevler!$F39*Görevler!$E39,0)-1,2,1),""))</f>
        <v/>
      </c>
    </row>
    <row r="40" customFormat="false" ht="15" hidden="false" customHeight="false" outlineLevel="0" collapsed="false">
      <c r="A40" s="21" t="str">
        <f aca="false">IF(Görevler!A40="","",Görevler!A40)</f>
        <v/>
      </c>
      <c r="B40" s="21" t="str">
        <f aca="false">IF(Görevler!A40="","",Görevler!B40&amp;"")</f>
        <v/>
      </c>
      <c r="C40" s="22" t="str">
        <f aca="false">IF(Görevler!$F40="","",IF(AND(Görevler!$C40&lt;=(C$4+Ayarlar!$C$6-1),Görevler!$D40&gt;=C$4),IF(C$4&lt;=Görevler!$C40+ROUND(Görevler!$F40*Görevler!$E40,0)-1,2,1),""))</f>
        <v/>
      </c>
      <c r="D40" s="22" t="str">
        <f aca="false">IF(Görevler!$F40="","",IF(AND(Görevler!$C40&lt;=(D$4+Ayarlar!$C$6-1),Görevler!$D40&gt;=D$4),IF(D$4&lt;=Görevler!$C40+ROUND(Görevler!$F40*Görevler!$E40,0)-1,2,1),""))</f>
        <v/>
      </c>
      <c r="E40" s="22" t="str">
        <f aca="false">IF(Görevler!$F40="","",IF(AND(Görevler!$C40&lt;=(E$4+Ayarlar!$C$6-1),Görevler!$D40&gt;=E$4),IF(E$4&lt;=Görevler!$C40+ROUND(Görevler!$F40*Görevler!$E40,0)-1,2,1),""))</f>
        <v/>
      </c>
      <c r="F40" s="22" t="str">
        <f aca="false">IF(Görevler!$F40="","",IF(AND(Görevler!$C40&lt;=(F$4+Ayarlar!$C$6-1),Görevler!$D40&gt;=F$4),IF(F$4&lt;=Görevler!$C40+ROUND(Görevler!$F40*Görevler!$E40,0)-1,2,1),""))</f>
        <v/>
      </c>
      <c r="G40" s="22" t="str">
        <f aca="false">IF(Görevler!$F40="","",IF(AND(Görevler!$C40&lt;=(G$4+Ayarlar!$C$6-1),Görevler!$D40&gt;=G$4),IF(G$4&lt;=Görevler!$C40+ROUND(Görevler!$F40*Görevler!$E40,0)-1,2,1),""))</f>
        <v/>
      </c>
      <c r="H40" s="22" t="str">
        <f aca="false">IF(Görevler!$F40="","",IF(AND(Görevler!$C40&lt;=(H$4+Ayarlar!$C$6-1),Görevler!$D40&gt;=H$4),IF(H$4&lt;=Görevler!$C40+ROUND(Görevler!$F40*Görevler!$E40,0)-1,2,1),""))</f>
        <v/>
      </c>
      <c r="I40" s="22" t="str">
        <f aca="false">IF(Görevler!$F40="","",IF(AND(Görevler!$C40&lt;=(I$4+Ayarlar!$C$6-1),Görevler!$D40&gt;=I$4),IF(I$4&lt;=Görevler!$C40+ROUND(Görevler!$F40*Görevler!$E40,0)-1,2,1),""))</f>
        <v/>
      </c>
      <c r="J40" s="22" t="str">
        <f aca="false">IF(Görevler!$F40="","",IF(AND(Görevler!$C40&lt;=(J$4+Ayarlar!$C$6-1),Görevler!$D40&gt;=J$4),IF(J$4&lt;=Görevler!$C40+ROUND(Görevler!$F40*Görevler!$E40,0)-1,2,1),""))</f>
        <v/>
      </c>
      <c r="K40" s="22" t="str">
        <f aca="false">IF(Görevler!$F40="","",IF(AND(Görevler!$C40&lt;=(K$4+Ayarlar!$C$6-1),Görevler!$D40&gt;=K$4),IF(K$4&lt;=Görevler!$C40+ROUND(Görevler!$F40*Görevler!$E40,0)-1,2,1),""))</f>
        <v/>
      </c>
      <c r="L40" s="22" t="str">
        <f aca="false">IF(Görevler!$F40="","",IF(AND(Görevler!$C40&lt;=(L$4+Ayarlar!$C$6-1),Görevler!$D40&gt;=L$4),IF(L$4&lt;=Görevler!$C40+ROUND(Görevler!$F40*Görevler!$E40,0)-1,2,1),""))</f>
        <v/>
      </c>
      <c r="M40" s="22" t="str">
        <f aca="false">IF(Görevler!$F40="","",IF(AND(Görevler!$C40&lt;=(M$4+Ayarlar!$C$6-1),Görevler!$D40&gt;=M$4),IF(M$4&lt;=Görevler!$C40+ROUND(Görevler!$F40*Görevler!$E40,0)-1,2,1),""))</f>
        <v/>
      </c>
      <c r="N40" s="22" t="str">
        <f aca="false">IF(Görevler!$F40="","",IF(AND(Görevler!$C40&lt;=(N$4+Ayarlar!$C$6-1),Görevler!$D40&gt;=N$4),IF(N$4&lt;=Görevler!$C40+ROUND(Görevler!$F40*Görevler!$E40,0)-1,2,1),""))</f>
        <v/>
      </c>
      <c r="O40" s="22" t="str">
        <f aca="false">IF(Görevler!$F40="","",IF(AND(Görevler!$C40&lt;=(O$4+Ayarlar!$C$6-1),Görevler!$D40&gt;=O$4),IF(O$4&lt;=Görevler!$C40+ROUND(Görevler!$F40*Görevler!$E40,0)-1,2,1),""))</f>
        <v/>
      </c>
      <c r="P40" s="22" t="str">
        <f aca="false">IF(Görevler!$F40="","",IF(AND(Görevler!$C40&lt;=(P$4+Ayarlar!$C$6-1),Görevler!$D40&gt;=P$4),IF(P$4&lt;=Görevler!$C40+ROUND(Görevler!$F40*Görevler!$E40,0)-1,2,1),""))</f>
        <v/>
      </c>
      <c r="Q40" s="22" t="str">
        <f aca="false">IF(Görevler!$F40="","",IF(AND(Görevler!$C40&lt;=(Q$4+Ayarlar!$C$6-1),Görevler!$D40&gt;=Q$4),IF(Q$4&lt;=Görevler!$C40+ROUND(Görevler!$F40*Görevler!$E40,0)-1,2,1),""))</f>
        <v/>
      </c>
      <c r="R40" s="22" t="str">
        <f aca="false">IF(Görevler!$F40="","",IF(AND(Görevler!$C40&lt;=(R$4+Ayarlar!$C$6-1),Görevler!$D40&gt;=R$4),IF(R$4&lt;=Görevler!$C40+ROUND(Görevler!$F40*Görevler!$E40,0)-1,2,1),""))</f>
        <v/>
      </c>
      <c r="S40" s="22" t="str">
        <f aca="false">IF(Görevler!$F40="","",IF(AND(Görevler!$C40&lt;=(S$4+Ayarlar!$C$6-1),Görevler!$D40&gt;=S$4),IF(S$4&lt;=Görevler!$C40+ROUND(Görevler!$F40*Görevler!$E40,0)-1,2,1),""))</f>
        <v/>
      </c>
      <c r="T40" s="22" t="str">
        <f aca="false">IF(Görevler!$F40="","",IF(AND(Görevler!$C40&lt;=(T$4+Ayarlar!$C$6-1),Görevler!$D40&gt;=T$4),IF(T$4&lt;=Görevler!$C40+ROUND(Görevler!$F40*Görevler!$E40,0)-1,2,1),""))</f>
        <v/>
      </c>
      <c r="U40" s="22" t="str">
        <f aca="false">IF(Görevler!$F40="","",IF(AND(Görevler!$C40&lt;=(U$4+Ayarlar!$C$6-1),Görevler!$D40&gt;=U$4),IF(U$4&lt;=Görevler!$C40+ROUND(Görevler!$F40*Görevler!$E40,0)-1,2,1),""))</f>
        <v/>
      </c>
      <c r="V40" s="22" t="str">
        <f aca="false">IF(Görevler!$F40="","",IF(AND(Görevler!$C40&lt;=(V$4+Ayarlar!$C$6-1),Görevler!$D40&gt;=V$4),IF(V$4&lt;=Görevler!$C40+ROUND(Görevler!$F40*Görevler!$E40,0)-1,2,1),""))</f>
        <v/>
      </c>
      <c r="W40" s="22" t="str">
        <f aca="false">IF(Görevler!$F40="","",IF(AND(Görevler!$C40&lt;=(W$4+Ayarlar!$C$6-1),Görevler!$D40&gt;=W$4),IF(W$4&lt;=Görevler!$C40+ROUND(Görevler!$F40*Görevler!$E40,0)-1,2,1),""))</f>
        <v/>
      </c>
      <c r="X40" s="22" t="str">
        <f aca="false">IF(Görevler!$F40="","",IF(AND(Görevler!$C40&lt;=(X$4+Ayarlar!$C$6-1),Görevler!$D40&gt;=X$4),IF(X$4&lt;=Görevler!$C40+ROUND(Görevler!$F40*Görevler!$E40,0)-1,2,1),""))</f>
        <v/>
      </c>
      <c r="Y40" s="22" t="str">
        <f aca="false">IF(Görevler!$F40="","",IF(AND(Görevler!$C40&lt;=(Y$4+Ayarlar!$C$6-1),Görevler!$D40&gt;=Y$4),IF(Y$4&lt;=Görevler!$C40+ROUND(Görevler!$F40*Görevler!$E40,0)-1,2,1),""))</f>
        <v/>
      </c>
      <c r="Z40" s="22" t="str">
        <f aca="false">IF(Görevler!$F40="","",IF(AND(Görevler!$C40&lt;=(Z$4+Ayarlar!$C$6-1),Görevler!$D40&gt;=Z$4),IF(Z$4&lt;=Görevler!$C40+ROUND(Görevler!$F40*Görevler!$E40,0)-1,2,1),""))</f>
        <v/>
      </c>
      <c r="AA40" s="22" t="str">
        <f aca="false">IF(Görevler!$F40="","",IF(AND(Görevler!$C40&lt;=(AA$4+Ayarlar!$C$6-1),Görevler!$D40&gt;=AA$4),IF(AA$4&lt;=Görevler!$C40+ROUND(Görevler!$F40*Görevler!$E40,0)-1,2,1),""))</f>
        <v/>
      </c>
      <c r="AB40" s="22" t="str">
        <f aca="false">IF(Görevler!$F40="","",IF(AND(Görevler!$C40&lt;=(AB$4+Ayarlar!$C$6-1),Görevler!$D40&gt;=AB$4),IF(AB$4&lt;=Görevler!$C40+ROUND(Görevler!$F40*Görevler!$E40,0)-1,2,1),""))</f>
        <v/>
      </c>
      <c r="AC40" s="22" t="str">
        <f aca="false">IF(Görevler!$F40="","",IF(AND(Görevler!$C40&lt;=(AC$4+Ayarlar!$C$6-1),Görevler!$D40&gt;=AC$4),IF(AC$4&lt;=Görevler!$C40+ROUND(Görevler!$F40*Görevler!$E40,0)-1,2,1),""))</f>
        <v/>
      </c>
      <c r="AD40" s="22" t="str">
        <f aca="false">IF(Görevler!$F40="","",IF(AND(Görevler!$C40&lt;=(AD$4+Ayarlar!$C$6-1),Görevler!$D40&gt;=AD$4),IF(AD$4&lt;=Görevler!$C40+ROUND(Görevler!$F40*Görevler!$E40,0)-1,2,1),""))</f>
        <v/>
      </c>
      <c r="AE40" s="22" t="str">
        <f aca="false">IF(Görevler!$F40="","",IF(AND(Görevler!$C40&lt;=(AE$4+Ayarlar!$C$6-1),Görevler!$D40&gt;=AE$4),IF(AE$4&lt;=Görevler!$C40+ROUND(Görevler!$F40*Görevler!$E40,0)-1,2,1),""))</f>
        <v/>
      </c>
      <c r="AF40" s="22" t="str">
        <f aca="false">IF(Görevler!$F40="","",IF(AND(Görevler!$C40&lt;=(AF$4+Ayarlar!$C$6-1),Görevler!$D40&gt;=AF$4),IF(AF$4&lt;=Görevler!$C40+ROUND(Görevler!$F40*Görevler!$E40,0)-1,2,1),""))</f>
        <v/>
      </c>
      <c r="AG40" s="22" t="str">
        <f aca="false">IF(Görevler!$F40="","",IF(AND(Görevler!$C40&lt;=(AG$4+Ayarlar!$C$6-1),Görevler!$D40&gt;=AG$4),IF(AG$4&lt;=Görevler!$C40+ROUND(Görevler!$F40*Görevler!$E40,0)-1,2,1),""))</f>
        <v/>
      </c>
      <c r="AH40" s="22" t="str">
        <f aca="false">IF(Görevler!$F40="","",IF(AND(Görevler!$C40&lt;=(AH$4+Ayarlar!$C$6-1),Görevler!$D40&gt;=AH$4),IF(AH$4&lt;=Görevler!$C40+ROUND(Görevler!$F40*Görevler!$E40,0)-1,2,1),""))</f>
        <v/>
      </c>
      <c r="AI40" s="22" t="str">
        <f aca="false">IF(Görevler!$F40="","",IF(AND(Görevler!$C40&lt;=(AI$4+Ayarlar!$C$6-1),Görevler!$D40&gt;=AI$4),IF(AI$4&lt;=Görevler!$C40+ROUND(Görevler!$F40*Görevler!$E40,0)-1,2,1),""))</f>
        <v/>
      </c>
      <c r="AJ40" s="22" t="str">
        <f aca="false">IF(Görevler!$F40="","",IF(AND(Görevler!$C40&lt;=(AJ$4+Ayarlar!$C$6-1),Görevler!$D40&gt;=AJ$4),IF(AJ$4&lt;=Görevler!$C40+ROUND(Görevler!$F40*Görevler!$E40,0)-1,2,1),""))</f>
        <v/>
      </c>
      <c r="AK40" s="22" t="str">
        <f aca="false">IF(Görevler!$F40="","",IF(AND(Görevler!$C40&lt;=(AK$4+Ayarlar!$C$6-1),Görevler!$D40&gt;=AK$4),IF(AK$4&lt;=Görevler!$C40+ROUND(Görevler!$F40*Görevler!$E40,0)-1,2,1),""))</f>
        <v/>
      </c>
      <c r="AL40" s="22" t="str">
        <f aca="false">IF(Görevler!$F40="","",IF(AND(Görevler!$C40&lt;=(AL$4+Ayarlar!$C$6-1),Görevler!$D40&gt;=AL$4),IF(AL$4&lt;=Görevler!$C40+ROUND(Görevler!$F40*Görevler!$E40,0)-1,2,1),""))</f>
        <v/>
      </c>
      <c r="AM40" s="22" t="str">
        <f aca="false">IF(Görevler!$F40="","",IF(AND(Görevler!$C40&lt;=(AM$4+Ayarlar!$C$6-1),Görevler!$D40&gt;=AM$4),IF(AM$4&lt;=Görevler!$C40+ROUND(Görevler!$F40*Görevler!$E40,0)-1,2,1),""))</f>
        <v/>
      </c>
      <c r="AN40" s="22" t="str">
        <f aca="false">IF(Görevler!$F40="","",IF(AND(Görevler!$C40&lt;=(AN$4+Ayarlar!$C$6-1),Görevler!$D40&gt;=AN$4),IF(AN$4&lt;=Görevler!$C40+ROUND(Görevler!$F40*Görevler!$E40,0)-1,2,1),""))</f>
        <v/>
      </c>
      <c r="AO40" s="22" t="str">
        <f aca="false">IF(Görevler!$F40="","",IF(AND(Görevler!$C40&lt;=(AO$4+Ayarlar!$C$6-1),Görevler!$D40&gt;=AO$4),IF(AO$4&lt;=Görevler!$C40+ROUND(Görevler!$F40*Görevler!$E40,0)-1,2,1),""))</f>
        <v/>
      </c>
      <c r="AP40" s="22" t="str">
        <f aca="false">IF(Görevler!$F40="","",IF(AND(Görevler!$C40&lt;=(AP$4+Ayarlar!$C$6-1),Görevler!$D40&gt;=AP$4),IF(AP$4&lt;=Görevler!$C40+ROUND(Görevler!$F40*Görevler!$E40,0)-1,2,1),""))</f>
        <v/>
      </c>
      <c r="AQ40" s="22" t="str">
        <f aca="false">IF(Görevler!$F40="","",IF(AND(Görevler!$C40&lt;=(AQ$4+Ayarlar!$C$6-1),Görevler!$D40&gt;=AQ$4),IF(AQ$4&lt;=Görevler!$C40+ROUND(Görevler!$F40*Görevler!$E40,0)-1,2,1),""))</f>
        <v/>
      </c>
      <c r="AR40" s="22" t="str">
        <f aca="false">IF(Görevler!$F40="","",IF(AND(Görevler!$C40&lt;=(AR$4+Ayarlar!$C$6-1),Görevler!$D40&gt;=AR$4),IF(AR$4&lt;=Görevler!$C40+ROUND(Görevler!$F40*Görevler!$E40,0)-1,2,1),""))</f>
        <v/>
      </c>
      <c r="AS40" s="22" t="str">
        <f aca="false">IF(Görevler!$F40="","",IF(AND(Görevler!$C40&lt;=(AS$4+Ayarlar!$C$6-1),Görevler!$D40&gt;=AS$4),IF(AS$4&lt;=Görevler!$C40+ROUND(Görevler!$F40*Görevler!$E40,0)-1,2,1),""))</f>
        <v/>
      </c>
      <c r="AT40" s="22" t="str">
        <f aca="false">IF(Görevler!$F40="","",IF(AND(Görevler!$C40&lt;=(AT$4+Ayarlar!$C$6-1),Görevler!$D40&gt;=AT$4),IF(AT$4&lt;=Görevler!$C40+ROUND(Görevler!$F40*Görevler!$E40,0)-1,2,1),""))</f>
        <v/>
      </c>
      <c r="AU40" s="22" t="str">
        <f aca="false">IF(Görevler!$F40="","",IF(AND(Görevler!$C40&lt;=(AU$4+Ayarlar!$C$6-1),Görevler!$D40&gt;=AU$4),IF(AU$4&lt;=Görevler!$C40+ROUND(Görevler!$F40*Görevler!$E40,0)-1,2,1),""))</f>
        <v/>
      </c>
      <c r="AV40" s="22" t="str">
        <f aca="false">IF(Görevler!$F40="","",IF(AND(Görevler!$C40&lt;=(AV$4+Ayarlar!$C$6-1),Görevler!$D40&gt;=AV$4),IF(AV$4&lt;=Görevler!$C40+ROUND(Görevler!$F40*Görevler!$E40,0)-1,2,1),""))</f>
        <v/>
      </c>
      <c r="AW40" s="22" t="str">
        <f aca="false">IF(Görevler!$F40="","",IF(AND(Görevler!$C40&lt;=(AW$4+Ayarlar!$C$6-1),Görevler!$D40&gt;=AW$4),IF(AW$4&lt;=Görevler!$C40+ROUND(Görevler!$F40*Görevler!$E40,0)-1,2,1),""))</f>
        <v/>
      </c>
      <c r="AX40" s="22" t="str">
        <f aca="false">IF(Görevler!$F40="","",IF(AND(Görevler!$C40&lt;=(AX$4+Ayarlar!$C$6-1),Görevler!$D40&gt;=AX$4),IF(AX$4&lt;=Görevler!$C40+ROUND(Görevler!$F40*Görevler!$E40,0)-1,2,1),""))</f>
        <v/>
      </c>
      <c r="AY40" s="22" t="str">
        <f aca="false">IF(Görevler!$F40="","",IF(AND(Görevler!$C40&lt;=(AY$4+Ayarlar!$C$6-1),Görevler!$D40&gt;=AY$4),IF(AY$4&lt;=Görevler!$C40+ROUND(Görevler!$F40*Görevler!$E40,0)-1,2,1),""))</f>
        <v/>
      </c>
      <c r="AZ40" s="22" t="str">
        <f aca="false">IF(Görevler!$F40="","",IF(AND(Görevler!$C40&lt;=(AZ$4+Ayarlar!$C$6-1),Görevler!$D40&gt;=AZ$4),IF(AZ$4&lt;=Görevler!$C40+ROUND(Görevler!$F40*Görevler!$E40,0)-1,2,1),""))</f>
        <v/>
      </c>
      <c r="BA40" s="22" t="str">
        <f aca="false">IF(Görevler!$F40="","",IF(AND(Görevler!$C40&lt;=(BA$4+Ayarlar!$C$6-1),Görevler!$D40&gt;=BA$4),IF(BA$4&lt;=Görevler!$C40+ROUND(Görevler!$F40*Görevler!$E40,0)-1,2,1),""))</f>
        <v/>
      </c>
      <c r="BB40" s="22" t="str">
        <f aca="false">IF(Görevler!$F40="","",IF(AND(Görevler!$C40&lt;=(BB$4+Ayarlar!$C$6-1),Görevler!$D40&gt;=BB$4),IF(BB$4&lt;=Görevler!$C40+ROUND(Görevler!$F40*Görevler!$E40,0)-1,2,1),""))</f>
        <v/>
      </c>
      <c r="BC40" s="22" t="str">
        <f aca="false">IF(Görevler!$F40="","",IF(AND(Görevler!$C40&lt;=(BC$4+Ayarlar!$C$6-1),Görevler!$D40&gt;=BC$4),IF(BC$4&lt;=Görevler!$C40+ROUND(Görevler!$F40*Görevler!$E40,0)-1,2,1),""))</f>
        <v/>
      </c>
      <c r="BD40" s="22" t="str">
        <f aca="false">IF(Görevler!$F40="","",IF(AND(Görevler!$C40&lt;=(BD$4+Ayarlar!$C$6-1),Görevler!$D40&gt;=BD$4),IF(BD$4&lt;=Görevler!$C40+ROUND(Görevler!$F40*Görevler!$E40,0)-1,2,1),""))</f>
        <v/>
      </c>
      <c r="BE40" s="22" t="str">
        <f aca="false">IF(Görevler!$F40="","",IF(AND(Görevler!$C40&lt;=(BE$4+Ayarlar!$C$6-1),Görevler!$D40&gt;=BE$4),IF(BE$4&lt;=Görevler!$C40+ROUND(Görevler!$F40*Görevler!$E40,0)-1,2,1),""))</f>
        <v/>
      </c>
      <c r="BF40" s="22" t="str">
        <f aca="false">IF(Görevler!$F40="","",IF(AND(Görevler!$C40&lt;=(BF$4+Ayarlar!$C$6-1),Görevler!$D40&gt;=BF$4),IF(BF$4&lt;=Görevler!$C40+ROUND(Görevler!$F40*Görevler!$E40,0)-1,2,1),""))</f>
        <v/>
      </c>
      <c r="BG40" s="22" t="str">
        <f aca="false">IF(Görevler!$F40="","",IF(AND(Görevler!$C40&lt;=(BG$4+Ayarlar!$C$6-1),Görevler!$D40&gt;=BG$4),IF(BG$4&lt;=Görevler!$C40+ROUND(Görevler!$F40*Görevler!$E40,0)-1,2,1),""))</f>
        <v/>
      </c>
      <c r="BH40" s="22" t="str">
        <f aca="false">IF(Görevler!$F40="","",IF(AND(Görevler!$C40&lt;=(BH$4+Ayarlar!$C$6-1),Görevler!$D40&gt;=BH$4),IF(BH$4&lt;=Görevler!$C40+ROUND(Görevler!$F40*Görevler!$E40,0)-1,2,1),""))</f>
        <v/>
      </c>
      <c r="BI40" s="22" t="str">
        <f aca="false">IF(Görevler!$F40="","",IF(AND(Görevler!$C40&lt;=(BI$4+Ayarlar!$C$6-1),Görevler!$D40&gt;=BI$4),IF(BI$4&lt;=Görevler!$C40+ROUND(Görevler!$F40*Görevler!$E40,0)-1,2,1),""))</f>
        <v/>
      </c>
      <c r="BJ40" s="22" t="str">
        <f aca="false">IF(Görevler!$F40="","",IF(AND(Görevler!$C40&lt;=(BJ$4+Ayarlar!$C$6-1),Görevler!$D40&gt;=BJ$4),IF(BJ$4&lt;=Görevler!$C40+ROUND(Görevler!$F40*Görevler!$E40,0)-1,2,1),""))</f>
        <v/>
      </c>
    </row>
    <row r="41" customFormat="false" ht="15" hidden="false" customHeight="false" outlineLevel="0" collapsed="false">
      <c r="A41" s="21" t="str">
        <f aca="false">IF(Görevler!A41="","",Görevler!A41)</f>
        <v/>
      </c>
      <c r="B41" s="21" t="str">
        <f aca="false">IF(Görevler!A41="","",Görevler!B41&amp;"")</f>
        <v/>
      </c>
      <c r="C41" s="22" t="str">
        <f aca="false">IF(Görevler!$F41="","",IF(AND(Görevler!$C41&lt;=(C$4+Ayarlar!$C$6-1),Görevler!$D41&gt;=C$4),IF(C$4&lt;=Görevler!$C41+ROUND(Görevler!$F41*Görevler!$E41,0)-1,2,1),""))</f>
        <v/>
      </c>
      <c r="D41" s="22" t="str">
        <f aca="false">IF(Görevler!$F41="","",IF(AND(Görevler!$C41&lt;=(D$4+Ayarlar!$C$6-1),Görevler!$D41&gt;=D$4),IF(D$4&lt;=Görevler!$C41+ROUND(Görevler!$F41*Görevler!$E41,0)-1,2,1),""))</f>
        <v/>
      </c>
      <c r="E41" s="22" t="str">
        <f aca="false">IF(Görevler!$F41="","",IF(AND(Görevler!$C41&lt;=(E$4+Ayarlar!$C$6-1),Görevler!$D41&gt;=E$4),IF(E$4&lt;=Görevler!$C41+ROUND(Görevler!$F41*Görevler!$E41,0)-1,2,1),""))</f>
        <v/>
      </c>
      <c r="F41" s="22" t="str">
        <f aca="false">IF(Görevler!$F41="","",IF(AND(Görevler!$C41&lt;=(F$4+Ayarlar!$C$6-1),Görevler!$D41&gt;=F$4),IF(F$4&lt;=Görevler!$C41+ROUND(Görevler!$F41*Görevler!$E41,0)-1,2,1),""))</f>
        <v/>
      </c>
      <c r="G41" s="22" t="str">
        <f aca="false">IF(Görevler!$F41="","",IF(AND(Görevler!$C41&lt;=(G$4+Ayarlar!$C$6-1),Görevler!$D41&gt;=G$4),IF(G$4&lt;=Görevler!$C41+ROUND(Görevler!$F41*Görevler!$E41,0)-1,2,1),""))</f>
        <v/>
      </c>
      <c r="H41" s="22" t="str">
        <f aca="false">IF(Görevler!$F41="","",IF(AND(Görevler!$C41&lt;=(H$4+Ayarlar!$C$6-1),Görevler!$D41&gt;=H$4),IF(H$4&lt;=Görevler!$C41+ROUND(Görevler!$F41*Görevler!$E41,0)-1,2,1),""))</f>
        <v/>
      </c>
      <c r="I41" s="22" t="str">
        <f aca="false">IF(Görevler!$F41="","",IF(AND(Görevler!$C41&lt;=(I$4+Ayarlar!$C$6-1),Görevler!$D41&gt;=I$4),IF(I$4&lt;=Görevler!$C41+ROUND(Görevler!$F41*Görevler!$E41,0)-1,2,1),""))</f>
        <v/>
      </c>
      <c r="J41" s="22" t="str">
        <f aca="false">IF(Görevler!$F41="","",IF(AND(Görevler!$C41&lt;=(J$4+Ayarlar!$C$6-1),Görevler!$D41&gt;=J$4),IF(J$4&lt;=Görevler!$C41+ROUND(Görevler!$F41*Görevler!$E41,0)-1,2,1),""))</f>
        <v/>
      </c>
      <c r="K41" s="22" t="str">
        <f aca="false">IF(Görevler!$F41="","",IF(AND(Görevler!$C41&lt;=(K$4+Ayarlar!$C$6-1),Görevler!$D41&gt;=K$4),IF(K$4&lt;=Görevler!$C41+ROUND(Görevler!$F41*Görevler!$E41,0)-1,2,1),""))</f>
        <v/>
      </c>
      <c r="L41" s="22" t="str">
        <f aca="false">IF(Görevler!$F41="","",IF(AND(Görevler!$C41&lt;=(L$4+Ayarlar!$C$6-1),Görevler!$D41&gt;=L$4),IF(L$4&lt;=Görevler!$C41+ROUND(Görevler!$F41*Görevler!$E41,0)-1,2,1),""))</f>
        <v/>
      </c>
      <c r="M41" s="22" t="str">
        <f aca="false">IF(Görevler!$F41="","",IF(AND(Görevler!$C41&lt;=(M$4+Ayarlar!$C$6-1),Görevler!$D41&gt;=M$4),IF(M$4&lt;=Görevler!$C41+ROUND(Görevler!$F41*Görevler!$E41,0)-1,2,1),""))</f>
        <v/>
      </c>
      <c r="N41" s="22" t="str">
        <f aca="false">IF(Görevler!$F41="","",IF(AND(Görevler!$C41&lt;=(N$4+Ayarlar!$C$6-1),Görevler!$D41&gt;=N$4),IF(N$4&lt;=Görevler!$C41+ROUND(Görevler!$F41*Görevler!$E41,0)-1,2,1),""))</f>
        <v/>
      </c>
      <c r="O41" s="22" t="str">
        <f aca="false">IF(Görevler!$F41="","",IF(AND(Görevler!$C41&lt;=(O$4+Ayarlar!$C$6-1),Görevler!$D41&gt;=O$4),IF(O$4&lt;=Görevler!$C41+ROUND(Görevler!$F41*Görevler!$E41,0)-1,2,1),""))</f>
        <v/>
      </c>
      <c r="P41" s="22" t="str">
        <f aca="false">IF(Görevler!$F41="","",IF(AND(Görevler!$C41&lt;=(P$4+Ayarlar!$C$6-1),Görevler!$D41&gt;=P$4),IF(P$4&lt;=Görevler!$C41+ROUND(Görevler!$F41*Görevler!$E41,0)-1,2,1),""))</f>
        <v/>
      </c>
      <c r="Q41" s="22" t="str">
        <f aca="false">IF(Görevler!$F41="","",IF(AND(Görevler!$C41&lt;=(Q$4+Ayarlar!$C$6-1),Görevler!$D41&gt;=Q$4),IF(Q$4&lt;=Görevler!$C41+ROUND(Görevler!$F41*Görevler!$E41,0)-1,2,1),""))</f>
        <v/>
      </c>
      <c r="R41" s="22" t="str">
        <f aca="false">IF(Görevler!$F41="","",IF(AND(Görevler!$C41&lt;=(R$4+Ayarlar!$C$6-1),Görevler!$D41&gt;=R$4),IF(R$4&lt;=Görevler!$C41+ROUND(Görevler!$F41*Görevler!$E41,0)-1,2,1),""))</f>
        <v/>
      </c>
      <c r="S41" s="22" t="str">
        <f aca="false">IF(Görevler!$F41="","",IF(AND(Görevler!$C41&lt;=(S$4+Ayarlar!$C$6-1),Görevler!$D41&gt;=S$4),IF(S$4&lt;=Görevler!$C41+ROUND(Görevler!$F41*Görevler!$E41,0)-1,2,1),""))</f>
        <v/>
      </c>
      <c r="T41" s="22" t="str">
        <f aca="false">IF(Görevler!$F41="","",IF(AND(Görevler!$C41&lt;=(T$4+Ayarlar!$C$6-1),Görevler!$D41&gt;=T$4),IF(T$4&lt;=Görevler!$C41+ROUND(Görevler!$F41*Görevler!$E41,0)-1,2,1),""))</f>
        <v/>
      </c>
      <c r="U41" s="22" t="str">
        <f aca="false">IF(Görevler!$F41="","",IF(AND(Görevler!$C41&lt;=(U$4+Ayarlar!$C$6-1),Görevler!$D41&gt;=U$4),IF(U$4&lt;=Görevler!$C41+ROUND(Görevler!$F41*Görevler!$E41,0)-1,2,1),""))</f>
        <v/>
      </c>
      <c r="V41" s="22" t="str">
        <f aca="false">IF(Görevler!$F41="","",IF(AND(Görevler!$C41&lt;=(V$4+Ayarlar!$C$6-1),Görevler!$D41&gt;=V$4),IF(V$4&lt;=Görevler!$C41+ROUND(Görevler!$F41*Görevler!$E41,0)-1,2,1),""))</f>
        <v/>
      </c>
      <c r="W41" s="22" t="str">
        <f aca="false">IF(Görevler!$F41="","",IF(AND(Görevler!$C41&lt;=(W$4+Ayarlar!$C$6-1),Görevler!$D41&gt;=W$4),IF(W$4&lt;=Görevler!$C41+ROUND(Görevler!$F41*Görevler!$E41,0)-1,2,1),""))</f>
        <v/>
      </c>
      <c r="X41" s="22" t="str">
        <f aca="false">IF(Görevler!$F41="","",IF(AND(Görevler!$C41&lt;=(X$4+Ayarlar!$C$6-1),Görevler!$D41&gt;=X$4),IF(X$4&lt;=Görevler!$C41+ROUND(Görevler!$F41*Görevler!$E41,0)-1,2,1),""))</f>
        <v/>
      </c>
      <c r="Y41" s="22" t="str">
        <f aca="false">IF(Görevler!$F41="","",IF(AND(Görevler!$C41&lt;=(Y$4+Ayarlar!$C$6-1),Görevler!$D41&gt;=Y$4),IF(Y$4&lt;=Görevler!$C41+ROUND(Görevler!$F41*Görevler!$E41,0)-1,2,1),""))</f>
        <v/>
      </c>
      <c r="Z41" s="22" t="str">
        <f aca="false">IF(Görevler!$F41="","",IF(AND(Görevler!$C41&lt;=(Z$4+Ayarlar!$C$6-1),Görevler!$D41&gt;=Z$4),IF(Z$4&lt;=Görevler!$C41+ROUND(Görevler!$F41*Görevler!$E41,0)-1,2,1),""))</f>
        <v/>
      </c>
      <c r="AA41" s="22" t="str">
        <f aca="false">IF(Görevler!$F41="","",IF(AND(Görevler!$C41&lt;=(AA$4+Ayarlar!$C$6-1),Görevler!$D41&gt;=AA$4),IF(AA$4&lt;=Görevler!$C41+ROUND(Görevler!$F41*Görevler!$E41,0)-1,2,1),""))</f>
        <v/>
      </c>
      <c r="AB41" s="22" t="str">
        <f aca="false">IF(Görevler!$F41="","",IF(AND(Görevler!$C41&lt;=(AB$4+Ayarlar!$C$6-1),Görevler!$D41&gt;=AB$4),IF(AB$4&lt;=Görevler!$C41+ROUND(Görevler!$F41*Görevler!$E41,0)-1,2,1),""))</f>
        <v/>
      </c>
      <c r="AC41" s="22" t="str">
        <f aca="false">IF(Görevler!$F41="","",IF(AND(Görevler!$C41&lt;=(AC$4+Ayarlar!$C$6-1),Görevler!$D41&gt;=AC$4),IF(AC$4&lt;=Görevler!$C41+ROUND(Görevler!$F41*Görevler!$E41,0)-1,2,1),""))</f>
        <v/>
      </c>
      <c r="AD41" s="22" t="str">
        <f aca="false">IF(Görevler!$F41="","",IF(AND(Görevler!$C41&lt;=(AD$4+Ayarlar!$C$6-1),Görevler!$D41&gt;=AD$4),IF(AD$4&lt;=Görevler!$C41+ROUND(Görevler!$F41*Görevler!$E41,0)-1,2,1),""))</f>
        <v/>
      </c>
      <c r="AE41" s="22" t="str">
        <f aca="false">IF(Görevler!$F41="","",IF(AND(Görevler!$C41&lt;=(AE$4+Ayarlar!$C$6-1),Görevler!$D41&gt;=AE$4),IF(AE$4&lt;=Görevler!$C41+ROUND(Görevler!$F41*Görevler!$E41,0)-1,2,1),""))</f>
        <v/>
      </c>
      <c r="AF41" s="22" t="str">
        <f aca="false">IF(Görevler!$F41="","",IF(AND(Görevler!$C41&lt;=(AF$4+Ayarlar!$C$6-1),Görevler!$D41&gt;=AF$4),IF(AF$4&lt;=Görevler!$C41+ROUND(Görevler!$F41*Görevler!$E41,0)-1,2,1),""))</f>
        <v/>
      </c>
      <c r="AG41" s="22" t="str">
        <f aca="false">IF(Görevler!$F41="","",IF(AND(Görevler!$C41&lt;=(AG$4+Ayarlar!$C$6-1),Görevler!$D41&gt;=AG$4),IF(AG$4&lt;=Görevler!$C41+ROUND(Görevler!$F41*Görevler!$E41,0)-1,2,1),""))</f>
        <v/>
      </c>
      <c r="AH41" s="22" t="str">
        <f aca="false">IF(Görevler!$F41="","",IF(AND(Görevler!$C41&lt;=(AH$4+Ayarlar!$C$6-1),Görevler!$D41&gt;=AH$4),IF(AH$4&lt;=Görevler!$C41+ROUND(Görevler!$F41*Görevler!$E41,0)-1,2,1),""))</f>
        <v/>
      </c>
      <c r="AI41" s="22" t="str">
        <f aca="false">IF(Görevler!$F41="","",IF(AND(Görevler!$C41&lt;=(AI$4+Ayarlar!$C$6-1),Görevler!$D41&gt;=AI$4),IF(AI$4&lt;=Görevler!$C41+ROUND(Görevler!$F41*Görevler!$E41,0)-1,2,1),""))</f>
        <v/>
      </c>
      <c r="AJ41" s="22" t="str">
        <f aca="false">IF(Görevler!$F41="","",IF(AND(Görevler!$C41&lt;=(AJ$4+Ayarlar!$C$6-1),Görevler!$D41&gt;=AJ$4),IF(AJ$4&lt;=Görevler!$C41+ROUND(Görevler!$F41*Görevler!$E41,0)-1,2,1),""))</f>
        <v/>
      </c>
      <c r="AK41" s="22" t="str">
        <f aca="false">IF(Görevler!$F41="","",IF(AND(Görevler!$C41&lt;=(AK$4+Ayarlar!$C$6-1),Görevler!$D41&gt;=AK$4),IF(AK$4&lt;=Görevler!$C41+ROUND(Görevler!$F41*Görevler!$E41,0)-1,2,1),""))</f>
        <v/>
      </c>
      <c r="AL41" s="22" t="str">
        <f aca="false">IF(Görevler!$F41="","",IF(AND(Görevler!$C41&lt;=(AL$4+Ayarlar!$C$6-1),Görevler!$D41&gt;=AL$4),IF(AL$4&lt;=Görevler!$C41+ROUND(Görevler!$F41*Görevler!$E41,0)-1,2,1),""))</f>
        <v/>
      </c>
      <c r="AM41" s="22" t="str">
        <f aca="false">IF(Görevler!$F41="","",IF(AND(Görevler!$C41&lt;=(AM$4+Ayarlar!$C$6-1),Görevler!$D41&gt;=AM$4),IF(AM$4&lt;=Görevler!$C41+ROUND(Görevler!$F41*Görevler!$E41,0)-1,2,1),""))</f>
        <v/>
      </c>
      <c r="AN41" s="22" t="str">
        <f aca="false">IF(Görevler!$F41="","",IF(AND(Görevler!$C41&lt;=(AN$4+Ayarlar!$C$6-1),Görevler!$D41&gt;=AN$4),IF(AN$4&lt;=Görevler!$C41+ROUND(Görevler!$F41*Görevler!$E41,0)-1,2,1),""))</f>
        <v/>
      </c>
      <c r="AO41" s="22" t="str">
        <f aca="false">IF(Görevler!$F41="","",IF(AND(Görevler!$C41&lt;=(AO$4+Ayarlar!$C$6-1),Görevler!$D41&gt;=AO$4),IF(AO$4&lt;=Görevler!$C41+ROUND(Görevler!$F41*Görevler!$E41,0)-1,2,1),""))</f>
        <v/>
      </c>
      <c r="AP41" s="22" t="str">
        <f aca="false">IF(Görevler!$F41="","",IF(AND(Görevler!$C41&lt;=(AP$4+Ayarlar!$C$6-1),Görevler!$D41&gt;=AP$4),IF(AP$4&lt;=Görevler!$C41+ROUND(Görevler!$F41*Görevler!$E41,0)-1,2,1),""))</f>
        <v/>
      </c>
      <c r="AQ41" s="22" t="str">
        <f aca="false">IF(Görevler!$F41="","",IF(AND(Görevler!$C41&lt;=(AQ$4+Ayarlar!$C$6-1),Görevler!$D41&gt;=AQ$4),IF(AQ$4&lt;=Görevler!$C41+ROUND(Görevler!$F41*Görevler!$E41,0)-1,2,1),""))</f>
        <v/>
      </c>
      <c r="AR41" s="22" t="str">
        <f aca="false">IF(Görevler!$F41="","",IF(AND(Görevler!$C41&lt;=(AR$4+Ayarlar!$C$6-1),Görevler!$D41&gt;=AR$4),IF(AR$4&lt;=Görevler!$C41+ROUND(Görevler!$F41*Görevler!$E41,0)-1,2,1),""))</f>
        <v/>
      </c>
      <c r="AS41" s="22" t="str">
        <f aca="false">IF(Görevler!$F41="","",IF(AND(Görevler!$C41&lt;=(AS$4+Ayarlar!$C$6-1),Görevler!$D41&gt;=AS$4),IF(AS$4&lt;=Görevler!$C41+ROUND(Görevler!$F41*Görevler!$E41,0)-1,2,1),""))</f>
        <v/>
      </c>
      <c r="AT41" s="22" t="str">
        <f aca="false">IF(Görevler!$F41="","",IF(AND(Görevler!$C41&lt;=(AT$4+Ayarlar!$C$6-1),Görevler!$D41&gt;=AT$4),IF(AT$4&lt;=Görevler!$C41+ROUND(Görevler!$F41*Görevler!$E41,0)-1,2,1),""))</f>
        <v/>
      </c>
      <c r="AU41" s="22" t="str">
        <f aca="false">IF(Görevler!$F41="","",IF(AND(Görevler!$C41&lt;=(AU$4+Ayarlar!$C$6-1),Görevler!$D41&gt;=AU$4),IF(AU$4&lt;=Görevler!$C41+ROUND(Görevler!$F41*Görevler!$E41,0)-1,2,1),""))</f>
        <v/>
      </c>
      <c r="AV41" s="22" t="str">
        <f aca="false">IF(Görevler!$F41="","",IF(AND(Görevler!$C41&lt;=(AV$4+Ayarlar!$C$6-1),Görevler!$D41&gt;=AV$4),IF(AV$4&lt;=Görevler!$C41+ROUND(Görevler!$F41*Görevler!$E41,0)-1,2,1),""))</f>
        <v/>
      </c>
      <c r="AW41" s="22" t="str">
        <f aca="false">IF(Görevler!$F41="","",IF(AND(Görevler!$C41&lt;=(AW$4+Ayarlar!$C$6-1),Görevler!$D41&gt;=AW$4),IF(AW$4&lt;=Görevler!$C41+ROUND(Görevler!$F41*Görevler!$E41,0)-1,2,1),""))</f>
        <v/>
      </c>
      <c r="AX41" s="22" t="str">
        <f aca="false">IF(Görevler!$F41="","",IF(AND(Görevler!$C41&lt;=(AX$4+Ayarlar!$C$6-1),Görevler!$D41&gt;=AX$4),IF(AX$4&lt;=Görevler!$C41+ROUND(Görevler!$F41*Görevler!$E41,0)-1,2,1),""))</f>
        <v/>
      </c>
      <c r="AY41" s="22" t="str">
        <f aca="false">IF(Görevler!$F41="","",IF(AND(Görevler!$C41&lt;=(AY$4+Ayarlar!$C$6-1),Görevler!$D41&gt;=AY$4),IF(AY$4&lt;=Görevler!$C41+ROUND(Görevler!$F41*Görevler!$E41,0)-1,2,1),""))</f>
        <v/>
      </c>
      <c r="AZ41" s="22" t="str">
        <f aca="false">IF(Görevler!$F41="","",IF(AND(Görevler!$C41&lt;=(AZ$4+Ayarlar!$C$6-1),Görevler!$D41&gt;=AZ$4),IF(AZ$4&lt;=Görevler!$C41+ROUND(Görevler!$F41*Görevler!$E41,0)-1,2,1),""))</f>
        <v/>
      </c>
      <c r="BA41" s="22" t="str">
        <f aca="false">IF(Görevler!$F41="","",IF(AND(Görevler!$C41&lt;=(BA$4+Ayarlar!$C$6-1),Görevler!$D41&gt;=BA$4),IF(BA$4&lt;=Görevler!$C41+ROUND(Görevler!$F41*Görevler!$E41,0)-1,2,1),""))</f>
        <v/>
      </c>
      <c r="BB41" s="22" t="str">
        <f aca="false">IF(Görevler!$F41="","",IF(AND(Görevler!$C41&lt;=(BB$4+Ayarlar!$C$6-1),Görevler!$D41&gt;=BB$4),IF(BB$4&lt;=Görevler!$C41+ROUND(Görevler!$F41*Görevler!$E41,0)-1,2,1),""))</f>
        <v/>
      </c>
      <c r="BC41" s="22" t="str">
        <f aca="false">IF(Görevler!$F41="","",IF(AND(Görevler!$C41&lt;=(BC$4+Ayarlar!$C$6-1),Görevler!$D41&gt;=BC$4),IF(BC$4&lt;=Görevler!$C41+ROUND(Görevler!$F41*Görevler!$E41,0)-1,2,1),""))</f>
        <v/>
      </c>
      <c r="BD41" s="22" t="str">
        <f aca="false">IF(Görevler!$F41="","",IF(AND(Görevler!$C41&lt;=(BD$4+Ayarlar!$C$6-1),Görevler!$D41&gt;=BD$4),IF(BD$4&lt;=Görevler!$C41+ROUND(Görevler!$F41*Görevler!$E41,0)-1,2,1),""))</f>
        <v/>
      </c>
      <c r="BE41" s="22" t="str">
        <f aca="false">IF(Görevler!$F41="","",IF(AND(Görevler!$C41&lt;=(BE$4+Ayarlar!$C$6-1),Görevler!$D41&gt;=BE$4),IF(BE$4&lt;=Görevler!$C41+ROUND(Görevler!$F41*Görevler!$E41,0)-1,2,1),""))</f>
        <v/>
      </c>
      <c r="BF41" s="22" t="str">
        <f aca="false">IF(Görevler!$F41="","",IF(AND(Görevler!$C41&lt;=(BF$4+Ayarlar!$C$6-1),Görevler!$D41&gt;=BF$4),IF(BF$4&lt;=Görevler!$C41+ROUND(Görevler!$F41*Görevler!$E41,0)-1,2,1),""))</f>
        <v/>
      </c>
      <c r="BG41" s="22" t="str">
        <f aca="false">IF(Görevler!$F41="","",IF(AND(Görevler!$C41&lt;=(BG$4+Ayarlar!$C$6-1),Görevler!$D41&gt;=BG$4),IF(BG$4&lt;=Görevler!$C41+ROUND(Görevler!$F41*Görevler!$E41,0)-1,2,1),""))</f>
        <v/>
      </c>
      <c r="BH41" s="22" t="str">
        <f aca="false">IF(Görevler!$F41="","",IF(AND(Görevler!$C41&lt;=(BH$4+Ayarlar!$C$6-1),Görevler!$D41&gt;=BH$4),IF(BH$4&lt;=Görevler!$C41+ROUND(Görevler!$F41*Görevler!$E41,0)-1,2,1),""))</f>
        <v/>
      </c>
      <c r="BI41" s="22" t="str">
        <f aca="false">IF(Görevler!$F41="","",IF(AND(Görevler!$C41&lt;=(BI$4+Ayarlar!$C$6-1),Görevler!$D41&gt;=BI$4),IF(BI$4&lt;=Görevler!$C41+ROUND(Görevler!$F41*Görevler!$E41,0)-1,2,1),""))</f>
        <v/>
      </c>
      <c r="BJ41" s="22" t="str">
        <f aca="false">IF(Görevler!$F41="","",IF(AND(Görevler!$C41&lt;=(BJ$4+Ayarlar!$C$6-1),Görevler!$D41&gt;=BJ$4),IF(BJ$4&lt;=Görevler!$C41+ROUND(Görevler!$F41*Görevler!$E41,0)-1,2,1),""))</f>
        <v/>
      </c>
    </row>
    <row r="42" customFormat="false" ht="15" hidden="false" customHeight="false" outlineLevel="0" collapsed="false">
      <c r="A42" s="21" t="str">
        <f aca="false">IF(Görevler!A42="","",Görevler!A42)</f>
        <v/>
      </c>
      <c r="B42" s="21" t="str">
        <f aca="false">IF(Görevler!A42="","",Görevler!B42&amp;"")</f>
        <v/>
      </c>
      <c r="C42" s="22" t="str">
        <f aca="false">IF(Görevler!$F42="","",IF(AND(Görevler!$C42&lt;=(C$4+Ayarlar!$C$6-1),Görevler!$D42&gt;=C$4),IF(C$4&lt;=Görevler!$C42+ROUND(Görevler!$F42*Görevler!$E42,0)-1,2,1),""))</f>
        <v/>
      </c>
      <c r="D42" s="22" t="str">
        <f aca="false">IF(Görevler!$F42="","",IF(AND(Görevler!$C42&lt;=(D$4+Ayarlar!$C$6-1),Görevler!$D42&gt;=D$4),IF(D$4&lt;=Görevler!$C42+ROUND(Görevler!$F42*Görevler!$E42,0)-1,2,1),""))</f>
        <v/>
      </c>
      <c r="E42" s="22" t="str">
        <f aca="false">IF(Görevler!$F42="","",IF(AND(Görevler!$C42&lt;=(E$4+Ayarlar!$C$6-1),Görevler!$D42&gt;=E$4),IF(E$4&lt;=Görevler!$C42+ROUND(Görevler!$F42*Görevler!$E42,0)-1,2,1),""))</f>
        <v/>
      </c>
      <c r="F42" s="22" t="str">
        <f aca="false">IF(Görevler!$F42="","",IF(AND(Görevler!$C42&lt;=(F$4+Ayarlar!$C$6-1),Görevler!$D42&gt;=F$4),IF(F$4&lt;=Görevler!$C42+ROUND(Görevler!$F42*Görevler!$E42,0)-1,2,1),""))</f>
        <v/>
      </c>
      <c r="G42" s="22" t="str">
        <f aca="false">IF(Görevler!$F42="","",IF(AND(Görevler!$C42&lt;=(G$4+Ayarlar!$C$6-1),Görevler!$D42&gt;=G$4),IF(G$4&lt;=Görevler!$C42+ROUND(Görevler!$F42*Görevler!$E42,0)-1,2,1),""))</f>
        <v/>
      </c>
      <c r="H42" s="22" t="str">
        <f aca="false">IF(Görevler!$F42="","",IF(AND(Görevler!$C42&lt;=(H$4+Ayarlar!$C$6-1),Görevler!$D42&gt;=H$4),IF(H$4&lt;=Görevler!$C42+ROUND(Görevler!$F42*Görevler!$E42,0)-1,2,1),""))</f>
        <v/>
      </c>
      <c r="I42" s="22" t="str">
        <f aca="false">IF(Görevler!$F42="","",IF(AND(Görevler!$C42&lt;=(I$4+Ayarlar!$C$6-1),Görevler!$D42&gt;=I$4),IF(I$4&lt;=Görevler!$C42+ROUND(Görevler!$F42*Görevler!$E42,0)-1,2,1),""))</f>
        <v/>
      </c>
      <c r="J42" s="22" t="str">
        <f aca="false">IF(Görevler!$F42="","",IF(AND(Görevler!$C42&lt;=(J$4+Ayarlar!$C$6-1),Görevler!$D42&gt;=J$4),IF(J$4&lt;=Görevler!$C42+ROUND(Görevler!$F42*Görevler!$E42,0)-1,2,1),""))</f>
        <v/>
      </c>
      <c r="K42" s="22" t="str">
        <f aca="false">IF(Görevler!$F42="","",IF(AND(Görevler!$C42&lt;=(K$4+Ayarlar!$C$6-1),Görevler!$D42&gt;=K$4),IF(K$4&lt;=Görevler!$C42+ROUND(Görevler!$F42*Görevler!$E42,0)-1,2,1),""))</f>
        <v/>
      </c>
      <c r="L42" s="22" t="str">
        <f aca="false">IF(Görevler!$F42="","",IF(AND(Görevler!$C42&lt;=(L$4+Ayarlar!$C$6-1),Görevler!$D42&gt;=L$4),IF(L$4&lt;=Görevler!$C42+ROUND(Görevler!$F42*Görevler!$E42,0)-1,2,1),""))</f>
        <v/>
      </c>
      <c r="M42" s="22" t="str">
        <f aca="false">IF(Görevler!$F42="","",IF(AND(Görevler!$C42&lt;=(M$4+Ayarlar!$C$6-1),Görevler!$D42&gt;=M$4),IF(M$4&lt;=Görevler!$C42+ROUND(Görevler!$F42*Görevler!$E42,0)-1,2,1),""))</f>
        <v/>
      </c>
      <c r="N42" s="22" t="str">
        <f aca="false">IF(Görevler!$F42="","",IF(AND(Görevler!$C42&lt;=(N$4+Ayarlar!$C$6-1),Görevler!$D42&gt;=N$4),IF(N$4&lt;=Görevler!$C42+ROUND(Görevler!$F42*Görevler!$E42,0)-1,2,1),""))</f>
        <v/>
      </c>
      <c r="O42" s="22" t="str">
        <f aca="false">IF(Görevler!$F42="","",IF(AND(Görevler!$C42&lt;=(O$4+Ayarlar!$C$6-1),Görevler!$D42&gt;=O$4),IF(O$4&lt;=Görevler!$C42+ROUND(Görevler!$F42*Görevler!$E42,0)-1,2,1),""))</f>
        <v/>
      </c>
      <c r="P42" s="22" t="str">
        <f aca="false">IF(Görevler!$F42="","",IF(AND(Görevler!$C42&lt;=(P$4+Ayarlar!$C$6-1),Görevler!$D42&gt;=P$4),IF(P$4&lt;=Görevler!$C42+ROUND(Görevler!$F42*Görevler!$E42,0)-1,2,1),""))</f>
        <v/>
      </c>
      <c r="Q42" s="22" t="str">
        <f aca="false">IF(Görevler!$F42="","",IF(AND(Görevler!$C42&lt;=(Q$4+Ayarlar!$C$6-1),Görevler!$D42&gt;=Q$4),IF(Q$4&lt;=Görevler!$C42+ROUND(Görevler!$F42*Görevler!$E42,0)-1,2,1),""))</f>
        <v/>
      </c>
      <c r="R42" s="22" t="str">
        <f aca="false">IF(Görevler!$F42="","",IF(AND(Görevler!$C42&lt;=(R$4+Ayarlar!$C$6-1),Görevler!$D42&gt;=R$4),IF(R$4&lt;=Görevler!$C42+ROUND(Görevler!$F42*Görevler!$E42,0)-1,2,1),""))</f>
        <v/>
      </c>
      <c r="S42" s="22" t="str">
        <f aca="false">IF(Görevler!$F42="","",IF(AND(Görevler!$C42&lt;=(S$4+Ayarlar!$C$6-1),Görevler!$D42&gt;=S$4),IF(S$4&lt;=Görevler!$C42+ROUND(Görevler!$F42*Görevler!$E42,0)-1,2,1),""))</f>
        <v/>
      </c>
      <c r="T42" s="22" t="str">
        <f aca="false">IF(Görevler!$F42="","",IF(AND(Görevler!$C42&lt;=(T$4+Ayarlar!$C$6-1),Görevler!$D42&gt;=T$4),IF(T$4&lt;=Görevler!$C42+ROUND(Görevler!$F42*Görevler!$E42,0)-1,2,1),""))</f>
        <v/>
      </c>
      <c r="U42" s="22" t="str">
        <f aca="false">IF(Görevler!$F42="","",IF(AND(Görevler!$C42&lt;=(U$4+Ayarlar!$C$6-1),Görevler!$D42&gt;=U$4),IF(U$4&lt;=Görevler!$C42+ROUND(Görevler!$F42*Görevler!$E42,0)-1,2,1),""))</f>
        <v/>
      </c>
      <c r="V42" s="22" t="str">
        <f aca="false">IF(Görevler!$F42="","",IF(AND(Görevler!$C42&lt;=(V$4+Ayarlar!$C$6-1),Görevler!$D42&gt;=V$4),IF(V$4&lt;=Görevler!$C42+ROUND(Görevler!$F42*Görevler!$E42,0)-1,2,1),""))</f>
        <v/>
      </c>
      <c r="W42" s="22" t="str">
        <f aca="false">IF(Görevler!$F42="","",IF(AND(Görevler!$C42&lt;=(W$4+Ayarlar!$C$6-1),Görevler!$D42&gt;=W$4),IF(W$4&lt;=Görevler!$C42+ROUND(Görevler!$F42*Görevler!$E42,0)-1,2,1),""))</f>
        <v/>
      </c>
      <c r="X42" s="22" t="str">
        <f aca="false">IF(Görevler!$F42="","",IF(AND(Görevler!$C42&lt;=(X$4+Ayarlar!$C$6-1),Görevler!$D42&gt;=X$4),IF(X$4&lt;=Görevler!$C42+ROUND(Görevler!$F42*Görevler!$E42,0)-1,2,1),""))</f>
        <v/>
      </c>
      <c r="Y42" s="22" t="str">
        <f aca="false">IF(Görevler!$F42="","",IF(AND(Görevler!$C42&lt;=(Y$4+Ayarlar!$C$6-1),Görevler!$D42&gt;=Y$4),IF(Y$4&lt;=Görevler!$C42+ROUND(Görevler!$F42*Görevler!$E42,0)-1,2,1),""))</f>
        <v/>
      </c>
      <c r="Z42" s="22" t="str">
        <f aca="false">IF(Görevler!$F42="","",IF(AND(Görevler!$C42&lt;=(Z$4+Ayarlar!$C$6-1),Görevler!$D42&gt;=Z$4),IF(Z$4&lt;=Görevler!$C42+ROUND(Görevler!$F42*Görevler!$E42,0)-1,2,1),""))</f>
        <v/>
      </c>
      <c r="AA42" s="22" t="str">
        <f aca="false">IF(Görevler!$F42="","",IF(AND(Görevler!$C42&lt;=(AA$4+Ayarlar!$C$6-1),Görevler!$D42&gt;=AA$4),IF(AA$4&lt;=Görevler!$C42+ROUND(Görevler!$F42*Görevler!$E42,0)-1,2,1),""))</f>
        <v/>
      </c>
      <c r="AB42" s="22" t="str">
        <f aca="false">IF(Görevler!$F42="","",IF(AND(Görevler!$C42&lt;=(AB$4+Ayarlar!$C$6-1),Görevler!$D42&gt;=AB$4),IF(AB$4&lt;=Görevler!$C42+ROUND(Görevler!$F42*Görevler!$E42,0)-1,2,1),""))</f>
        <v/>
      </c>
      <c r="AC42" s="22" t="str">
        <f aca="false">IF(Görevler!$F42="","",IF(AND(Görevler!$C42&lt;=(AC$4+Ayarlar!$C$6-1),Görevler!$D42&gt;=AC$4),IF(AC$4&lt;=Görevler!$C42+ROUND(Görevler!$F42*Görevler!$E42,0)-1,2,1),""))</f>
        <v/>
      </c>
      <c r="AD42" s="22" t="str">
        <f aca="false">IF(Görevler!$F42="","",IF(AND(Görevler!$C42&lt;=(AD$4+Ayarlar!$C$6-1),Görevler!$D42&gt;=AD$4),IF(AD$4&lt;=Görevler!$C42+ROUND(Görevler!$F42*Görevler!$E42,0)-1,2,1),""))</f>
        <v/>
      </c>
      <c r="AE42" s="22" t="str">
        <f aca="false">IF(Görevler!$F42="","",IF(AND(Görevler!$C42&lt;=(AE$4+Ayarlar!$C$6-1),Görevler!$D42&gt;=AE$4),IF(AE$4&lt;=Görevler!$C42+ROUND(Görevler!$F42*Görevler!$E42,0)-1,2,1),""))</f>
        <v/>
      </c>
      <c r="AF42" s="22" t="str">
        <f aca="false">IF(Görevler!$F42="","",IF(AND(Görevler!$C42&lt;=(AF$4+Ayarlar!$C$6-1),Görevler!$D42&gt;=AF$4),IF(AF$4&lt;=Görevler!$C42+ROUND(Görevler!$F42*Görevler!$E42,0)-1,2,1),""))</f>
        <v/>
      </c>
      <c r="AG42" s="22" t="str">
        <f aca="false">IF(Görevler!$F42="","",IF(AND(Görevler!$C42&lt;=(AG$4+Ayarlar!$C$6-1),Görevler!$D42&gt;=AG$4),IF(AG$4&lt;=Görevler!$C42+ROUND(Görevler!$F42*Görevler!$E42,0)-1,2,1),""))</f>
        <v/>
      </c>
      <c r="AH42" s="22" t="str">
        <f aca="false">IF(Görevler!$F42="","",IF(AND(Görevler!$C42&lt;=(AH$4+Ayarlar!$C$6-1),Görevler!$D42&gt;=AH$4),IF(AH$4&lt;=Görevler!$C42+ROUND(Görevler!$F42*Görevler!$E42,0)-1,2,1),""))</f>
        <v/>
      </c>
      <c r="AI42" s="22" t="str">
        <f aca="false">IF(Görevler!$F42="","",IF(AND(Görevler!$C42&lt;=(AI$4+Ayarlar!$C$6-1),Görevler!$D42&gt;=AI$4),IF(AI$4&lt;=Görevler!$C42+ROUND(Görevler!$F42*Görevler!$E42,0)-1,2,1),""))</f>
        <v/>
      </c>
      <c r="AJ42" s="22" t="str">
        <f aca="false">IF(Görevler!$F42="","",IF(AND(Görevler!$C42&lt;=(AJ$4+Ayarlar!$C$6-1),Görevler!$D42&gt;=AJ$4),IF(AJ$4&lt;=Görevler!$C42+ROUND(Görevler!$F42*Görevler!$E42,0)-1,2,1),""))</f>
        <v/>
      </c>
      <c r="AK42" s="22" t="str">
        <f aca="false">IF(Görevler!$F42="","",IF(AND(Görevler!$C42&lt;=(AK$4+Ayarlar!$C$6-1),Görevler!$D42&gt;=AK$4),IF(AK$4&lt;=Görevler!$C42+ROUND(Görevler!$F42*Görevler!$E42,0)-1,2,1),""))</f>
        <v/>
      </c>
      <c r="AL42" s="22" t="str">
        <f aca="false">IF(Görevler!$F42="","",IF(AND(Görevler!$C42&lt;=(AL$4+Ayarlar!$C$6-1),Görevler!$D42&gt;=AL$4),IF(AL$4&lt;=Görevler!$C42+ROUND(Görevler!$F42*Görevler!$E42,0)-1,2,1),""))</f>
        <v/>
      </c>
      <c r="AM42" s="22" t="str">
        <f aca="false">IF(Görevler!$F42="","",IF(AND(Görevler!$C42&lt;=(AM$4+Ayarlar!$C$6-1),Görevler!$D42&gt;=AM$4),IF(AM$4&lt;=Görevler!$C42+ROUND(Görevler!$F42*Görevler!$E42,0)-1,2,1),""))</f>
        <v/>
      </c>
      <c r="AN42" s="22" t="str">
        <f aca="false">IF(Görevler!$F42="","",IF(AND(Görevler!$C42&lt;=(AN$4+Ayarlar!$C$6-1),Görevler!$D42&gt;=AN$4),IF(AN$4&lt;=Görevler!$C42+ROUND(Görevler!$F42*Görevler!$E42,0)-1,2,1),""))</f>
        <v/>
      </c>
      <c r="AO42" s="22" t="str">
        <f aca="false">IF(Görevler!$F42="","",IF(AND(Görevler!$C42&lt;=(AO$4+Ayarlar!$C$6-1),Görevler!$D42&gt;=AO$4),IF(AO$4&lt;=Görevler!$C42+ROUND(Görevler!$F42*Görevler!$E42,0)-1,2,1),""))</f>
        <v/>
      </c>
      <c r="AP42" s="22" t="str">
        <f aca="false">IF(Görevler!$F42="","",IF(AND(Görevler!$C42&lt;=(AP$4+Ayarlar!$C$6-1),Görevler!$D42&gt;=AP$4),IF(AP$4&lt;=Görevler!$C42+ROUND(Görevler!$F42*Görevler!$E42,0)-1,2,1),""))</f>
        <v/>
      </c>
      <c r="AQ42" s="22" t="str">
        <f aca="false">IF(Görevler!$F42="","",IF(AND(Görevler!$C42&lt;=(AQ$4+Ayarlar!$C$6-1),Görevler!$D42&gt;=AQ$4),IF(AQ$4&lt;=Görevler!$C42+ROUND(Görevler!$F42*Görevler!$E42,0)-1,2,1),""))</f>
        <v/>
      </c>
      <c r="AR42" s="22" t="str">
        <f aca="false">IF(Görevler!$F42="","",IF(AND(Görevler!$C42&lt;=(AR$4+Ayarlar!$C$6-1),Görevler!$D42&gt;=AR$4),IF(AR$4&lt;=Görevler!$C42+ROUND(Görevler!$F42*Görevler!$E42,0)-1,2,1),""))</f>
        <v/>
      </c>
      <c r="AS42" s="22" t="str">
        <f aca="false">IF(Görevler!$F42="","",IF(AND(Görevler!$C42&lt;=(AS$4+Ayarlar!$C$6-1),Görevler!$D42&gt;=AS$4),IF(AS$4&lt;=Görevler!$C42+ROUND(Görevler!$F42*Görevler!$E42,0)-1,2,1),""))</f>
        <v/>
      </c>
      <c r="AT42" s="22" t="str">
        <f aca="false">IF(Görevler!$F42="","",IF(AND(Görevler!$C42&lt;=(AT$4+Ayarlar!$C$6-1),Görevler!$D42&gt;=AT$4),IF(AT$4&lt;=Görevler!$C42+ROUND(Görevler!$F42*Görevler!$E42,0)-1,2,1),""))</f>
        <v/>
      </c>
      <c r="AU42" s="22" t="str">
        <f aca="false">IF(Görevler!$F42="","",IF(AND(Görevler!$C42&lt;=(AU$4+Ayarlar!$C$6-1),Görevler!$D42&gt;=AU$4),IF(AU$4&lt;=Görevler!$C42+ROUND(Görevler!$F42*Görevler!$E42,0)-1,2,1),""))</f>
        <v/>
      </c>
      <c r="AV42" s="22" t="str">
        <f aca="false">IF(Görevler!$F42="","",IF(AND(Görevler!$C42&lt;=(AV$4+Ayarlar!$C$6-1),Görevler!$D42&gt;=AV$4),IF(AV$4&lt;=Görevler!$C42+ROUND(Görevler!$F42*Görevler!$E42,0)-1,2,1),""))</f>
        <v/>
      </c>
      <c r="AW42" s="22" t="str">
        <f aca="false">IF(Görevler!$F42="","",IF(AND(Görevler!$C42&lt;=(AW$4+Ayarlar!$C$6-1),Görevler!$D42&gt;=AW$4),IF(AW$4&lt;=Görevler!$C42+ROUND(Görevler!$F42*Görevler!$E42,0)-1,2,1),""))</f>
        <v/>
      </c>
      <c r="AX42" s="22" t="str">
        <f aca="false">IF(Görevler!$F42="","",IF(AND(Görevler!$C42&lt;=(AX$4+Ayarlar!$C$6-1),Görevler!$D42&gt;=AX$4),IF(AX$4&lt;=Görevler!$C42+ROUND(Görevler!$F42*Görevler!$E42,0)-1,2,1),""))</f>
        <v/>
      </c>
      <c r="AY42" s="22" t="str">
        <f aca="false">IF(Görevler!$F42="","",IF(AND(Görevler!$C42&lt;=(AY$4+Ayarlar!$C$6-1),Görevler!$D42&gt;=AY$4),IF(AY$4&lt;=Görevler!$C42+ROUND(Görevler!$F42*Görevler!$E42,0)-1,2,1),""))</f>
        <v/>
      </c>
      <c r="AZ42" s="22" t="str">
        <f aca="false">IF(Görevler!$F42="","",IF(AND(Görevler!$C42&lt;=(AZ$4+Ayarlar!$C$6-1),Görevler!$D42&gt;=AZ$4),IF(AZ$4&lt;=Görevler!$C42+ROUND(Görevler!$F42*Görevler!$E42,0)-1,2,1),""))</f>
        <v/>
      </c>
      <c r="BA42" s="22" t="str">
        <f aca="false">IF(Görevler!$F42="","",IF(AND(Görevler!$C42&lt;=(BA$4+Ayarlar!$C$6-1),Görevler!$D42&gt;=BA$4),IF(BA$4&lt;=Görevler!$C42+ROUND(Görevler!$F42*Görevler!$E42,0)-1,2,1),""))</f>
        <v/>
      </c>
      <c r="BB42" s="22" t="str">
        <f aca="false">IF(Görevler!$F42="","",IF(AND(Görevler!$C42&lt;=(BB$4+Ayarlar!$C$6-1),Görevler!$D42&gt;=BB$4),IF(BB$4&lt;=Görevler!$C42+ROUND(Görevler!$F42*Görevler!$E42,0)-1,2,1),""))</f>
        <v/>
      </c>
      <c r="BC42" s="22" t="str">
        <f aca="false">IF(Görevler!$F42="","",IF(AND(Görevler!$C42&lt;=(BC$4+Ayarlar!$C$6-1),Görevler!$D42&gt;=BC$4),IF(BC$4&lt;=Görevler!$C42+ROUND(Görevler!$F42*Görevler!$E42,0)-1,2,1),""))</f>
        <v/>
      </c>
      <c r="BD42" s="22" t="str">
        <f aca="false">IF(Görevler!$F42="","",IF(AND(Görevler!$C42&lt;=(BD$4+Ayarlar!$C$6-1),Görevler!$D42&gt;=BD$4),IF(BD$4&lt;=Görevler!$C42+ROUND(Görevler!$F42*Görevler!$E42,0)-1,2,1),""))</f>
        <v/>
      </c>
      <c r="BE42" s="22" t="str">
        <f aca="false">IF(Görevler!$F42="","",IF(AND(Görevler!$C42&lt;=(BE$4+Ayarlar!$C$6-1),Görevler!$D42&gt;=BE$4),IF(BE$4&lt;=Görevler!$C42+ROUND(Görevler!$F42*Görevler!$E42,0)-1,2,1),""))</f>
        <v/>
      </c>
      <c r="BF42" s="22" t="str">
        <f aca="false">IF(Görevler!$F42="","",IF(AND(Görevler!$C42&lt;=(BF$4+Ayarlar!$C$6-1),Görevler!$D42&gt;=BF$4),IF(BF$4&lt;=Görevler!$C42+ROUND(Görevler!$F42*Görevler!$E42,0)-1,2,1),""))</f>
        <v/>
      </c>
      <c r="BG42" s="22" t="str">
        <f aca="false">IF(Görevler!$F42="","",IF(AND(Görevler!$C42&lt;=(BG$4+Ayarlar!$C$6-1),Görevler!$D42&gt;=BG$4),IF(BG$4&lt;=Görevler!$C42+ROUND(Görevler!$F42*Görevler!$E42,0)-1,2,1),""))</f>
        <v/>
      </c>
      <c r="BH42" s="22" t="str">
        <f aca="false">IF(Görevler!$F42="","",IF(AND(Görevler!$C42&lt;=(BH$4+Ayarlar!$C$6-1),Görevler!$D42&gt;=BH$4),IF(BH$4&lt;=Görevler!$C42+ROUND(Görevler!$F42*Görevler!$E42,0)-1,2,1),""))</f>
        <v/>
      </c>
      <c r="BI42" s="22" t="str">
        <f aca="false">IF(Görevler!$F42="","",IF(AND(Görevler!$C42&lt;=(BI$4+Ayarlar!$C$6-1),Görevler!$D42&gt;=BI$4),IF(BI$4&lt;=Görevler!$C42+ROUND(Görevler!$F42*Görevler!$E42,0)-1,2,1),""))</f>
        <v/>
      </c>
      <c r="BJ42" s="22" t="str">
        <f aca="false">IF(Görevler!$F42="","",IF(AND(Görevler!$C42&lt;=(BJ$4+Ayarlar!$C$6-1),Görevler!$D42&gt;=BJ$4),IF(BJ$4&lt;=Görevler!$C42+ROUND(Görevler!$F42*Görevler!$E42,0)-1,2,1),""))</f>
        <v/>
      </c>
    </row>
    <row r="43" customFormat="false" ht="15" hidden="false" customHeight="false" outlineLevel="0" collapsed="false">
      <c r="A43" s="21" t="str">
        <f aca="false">IF(Görevler!A43="","",Görevler!A43)</f>
        <v/>
      </c>
      <c r="B43" s="21" t="str">
        <f aca="false">IF(Görevler!A43="","",Görevler!B43&amp;"")</f>
        <v/>
      </c>
      <c r="C43" s="22" t="str">
        <f aca="false">IF(Görevler!$F43="","",IF(AND(Görevler!$C43&lt;=(C$4+Ayarlar!$C$6-1),Görevler!$D43&gt;=C$4),IF(C$4&lt;=Görevler!$C43+ROUND(Görevler!$F43*Görevler!$E43,0)-1,2,1),""))</f>
        <v/>
      </c>
      <c r="D43" s="22" t="str">
        <f aca="false">IF(Görevler!$F43="","",IF(AND(Görevler!$C43&lt;=(D$4+Ayarlar!$C$6-1),Görevler!$D43&gt;=D$4),IF(D$4&lt;=Görevler!$C43+ROUND(Görevler!$F43*Görevler!$E43,0)-1,2,1),""))</f>
        <v/>
      </c>
      <c r="E43" s="22" t="str">
        <f aca="false">IF(Görevler!$F43="","",IF(AND(Görevler!$C43&lt;=(E$4+Ayarlar!$C$6-1),Görevler!$D43&gt;=E$4),IF(E$4&lt;=Görevler!$C43+ROUND(Görevler!$F43*Görevler!$E43,0)-1,2,1),""))</f>
        <v/>
      </c>
      <c r="F43" s="22" t="str">
        <f aca="false">IF(Görevler!$F43="","",IF(AND(Görevler!$C43&lt;=(F$4+Ayarlar!$C$6-1),Görevler!$D43&gt;=F$4),IF(F$4&lt;=Görevler!$C43+ROUND(Görevler!$F43*Görevler!$E43,0)-1,2,1),""))</f>
        <v/>
      </c>
      <c r="G43" s="22" t="str">
        <f aca="false">IF(Görevler!$F43="","",IF(AND(Görevler!$C43&lt;=(G$4+Ayarlar!$C$6-1),Görevler!$D43&gt;=G$4),IF(G$4&lt;=Görevler!$C43+ROUND(Görevler!$F43*Görevler!$E43,0)-1,2,1),""))</f>
        <v/>
      </c>
      <c r="H43" s="22" t="str">
        <f aca="false">IF(Görevler!$F43="","",IF(AND(Görevler!$C43&lt;=(H$4+Ayarlar!$C$6-1),Görevler!$D43&gt;=H$4),IF(H$4&lt;=Görevler!$C43+ROUND(Görevler!$F43*Görevler!$E43,0)-1,2,1),""))</f>
        <v/>
      </c>
      <c r="I43" s="22" t="str">
        <f aca="false">IF(Görevler!$F43="","",IF(AND(Görevler!$C43&lt;=(I$4+Ayarlar!$C$6-1),Görevler!$D43&gt;=I$4),IF(I$4&lt;=Görevler!$C43+ROUND(Görevler!$F43*Görevler!$E43,0)-1,2,1),""))</f>
        <v/>
      </c>
      <c r="J43" s="22" t="str">
        <f aca="false">IF(Görevler!$F43="","",IF(AND(Görevler!$C43&lt;=(J$4+Ayarlar!$C$6-1),Görevler!$D43&gt;=J$4),IF(J$4&lt;=Görevler!$C43+ROUND(Görevler!$F43*Görevler!$E43,0)-1,2,1),""))</f>
        <v/>
      </c>
      <c r="K43" s="22" t="str">
        <f aca="false">IF(Görevler!$F43="","",IF(AND(Görevler!$C43&lt;=(K$4+Ayarlar!$C$6-1),Görevler!$D43&gt;=K$4),IF(K$4&lt;=Görevler!$C43+ROUND(Görevler!$F43*Görevler!$E43,0)-1,2,1),""))</f>
        <v/>
      </c>
      <c r="L43" s="22" t="str">
        <f aca="false">IF(Görevler!$F43="","",IF(AND(Görevler!$C43&lt;=(L$4+Ayarlar!$C$6-1),Görevler!$D43&gt;=L$4),IF(L$4&lt;=Görevler!$C43+ROUND(Görevler!$F43*Görevler!$E43,0)-1,2,1),""))</f>
        <v/>
      </c>
      <c r="M43" s="22" t="str">
        <f aca="false">IF(Görevler!$F43="","",IF(AND(Görevler!$C43&lt;=(M$4+Ayarlar!$C$6-1),Görevler!$D43&gt;=M$4),IF(M$4&lt;=Görevler!$C43+ROUND(Görevler!$F43*Görevler!$E43,0)-1,2,1),""))</f>
        <v/>
      </c>
      <c r="N43" s="22" t="str">
        <f aca="false">IF(Görevler!$F43="","",IF(AND(Görevler!$C43&lt;=(N$4+Ayarlar!$C$6-1),Görevler!$D43&gt;=N$4),IF(N$4&lt;=Görevler!$C43+ROUND(Görevler!$F43*Görevler!$E43,0)-1,2,1),""))</f>
        <v/>
      </c>
      <c r="O43" s="22" t="str">
        <f aca="false">IF(Görevler!$F43="","",IF(AND(Görevler!$C43&lt;=(O$4+Ayarlar!$C$6-1),Görevler!$D43&gt;=O$4),IF(O$4&lt;=Görevler!$C43+ROUND(Görevler!$F43*Görevler!$E43,0)-1,2,1),""))</f>
        <v/>
      </c>
      <c r="P43" s="22" t="str">
        <f aca="false">IF(Görevler!$F43="","",IF(AND(Görevler!$C43&lt;=(P$4+Ayarlar!$C$6-1),Görevler!$D43&gt;=P$4),IF(P$4&lt;=Görevler!$C43+ROUND(Görevler!$F43*Görevler!$E43,0)-1,2,1),""))</f>
        <v/>
      </c>
      <c r="Q43" s="22" t="str">
        <f aca="false">IF(Görevler!$F43="","",IF(AND(Görevler!$C43&lt;=(Q$4+Ayarlar!$C$6-1),Görevler!$D43&gt;=Q$4),IF(Q$4&lt;=Görevler!$C43+ROUND(Görevler!$F43*Görevler!$E43,0)-1,2,1),""))</f>
        <v/>
      </c>
      <c r="R43" s="22" t="str">
        <f aca="false">IF(Görevler!$F43="","",IF(AND(Görevler!$C43&lt;=(R$4+Ayarlar!$C$6-1),Görevler!$D43&gt;=R$4),IF(R$4&lt;=Görevler!$C43+ROUND(Görevler!$F43*Görevler!$E43,0)-1,2,1),""))</f>
        <v/>
      </c>
      <c r="S43" s="22" t="str">
        <f aca="false">IF(Görevler!$F43="","",IF(AND(Görevler!$C43&lt;=(S$4+Ayarlar!$C$6-1),Görevler!$D43&gt;=S$4),IF(S$4&lt;=Görevler!$C43+ROUND(Görevler!$F43*Görevler!$E43,0)-1,2,1),""))</f>
        <v/>
      </c>
      <c r="T43" s="22" t="str">
        <f aca="false">IF(Görevler!$F43="","",IF(AND(Görevler!$C43&lt;=(T$4+Ayarlar!$C$6-1),Görevler!$D43&gt;=T$4),IF(T$4&lt;=Görevler!$C43+ROUND(Görevler!$F43*Görevler!$E43,0)-1,2,1),""))</f>
        <v/>
      </c>
      <c r="U43" s="22" t="str">
        <f aca="false">IF(Görevler!$F43="","",IF(AND(Görevler!$C43&lt;=(U$4+Ayarlar!$C$6-1),Görevler!$D43&gt;=U$4),IF(U$4&lt;=Görevler!$C43+ROUND(Görevler!$F43*Görevler!$E43,0)-1,2,1),""))</f>
        <v/>
      </c>
      <c r="V43" s="22" t="str">
        <f aca="false">IF(Görevler!$F43="","",IF(AND(Görevler!$C43&lt;=(V$4+Ayarlar!$C$6-1),Görevler!$D43&gt;=V$4),IF(V$4&lt;=Görevler!$C43+ROUND(Görevler!$F43*Görevler!$E43,0)-1,2,1),""))</f>
        <v/>
      </c>
      <c r="W43" s="22" t="str">
        <f aca="false">IF(Görevler!$F43="","",IF(AND(Görevler!$C43&lt;=(W$4+Ayarlar!$C$6-1),Görevler!$D43&gt;=W$4),IF(W$4&lt;=Görevler!$C43+ROUND(Görevler!$F43*Görevler!$E43,0)-1,2,1),""))</f>
        <v/>
      </c>
      <c r="X43" s="22" t="str">
        <f aca="false">IF(Görevler!$F43="","",IF(AND(Görevler!$C43&lt;=(X$4+Ayarlar!$C$6-1),Görevler!$D43&gt;=X$4),IF(X$4&lt;=Görevler!$C43+ROUND(Görevler!$F43*Görevler!$E43,0)-1,2,1),""))</f>
        <v/>
      </c>
      <c r="Y43" s="22" t="str">
        <f aca="false">IF(Görevler!$F43="","",IF(AND(Görevler!$C43&lt;=(Y$4+Ayarlar!$C$6-1),Görevler!$D43&gt;=Y$4),IF(Y$4&lt;=Görevler!$C43+ROUND(Görevler!$F43*Görevler!$E43,0)-1,2,1),""))</f>
        <v/>
      </c>
      <c r="Z43" s="22" t="str">
        <f aca="false">IF(Görevler!$F43="","",IF(AND(Görevler!$C43&lt;=(Z$4+Ayarlar!$C$6-1),Görevler!$D43&gt;=Z$4),IF(Z$4&lt;=Görevler!$C43+ROUND(Görevler!$F43*Görevler!$E43,0)-1,2,1),""))</f>
        <v/>
      </c>
      <c r="AA43" s="22" t="str">
        <f aca="false">IF(Görevler!$F43="","",IF(AND(Görevler!$C43&lt;=(AA$4+Ayarlar!$C$6-1),Görevler!$D43&gt;=AA$4),IF(AA$4&lt;=Görevler!$C43+ROUND(Görevler!$F43*Görevler!$E43,0)-1,2,1),""))</f>
        <v/>
      </c>
      <c r="AB43" s="22" t="str">
        <f aca="false">IF(Görevler!$F43="","",IF(AND(Görevler!$C43&lt;=(AB$4+Ayarlar!$C$6-1),Görevler!$D43&gt;=AB$4),IF(AB$4&lt;=Görevler!$C43+ROUND(Görevler!$F43*Görevler!$E43,0)-1,2,1),""))</f>
        <v/>
      </c>
      <c r="AC43" s="22" t="str">
        <f aca="false">IF(Görevler!$F43="","",IF(AND(Görevler!$C43&lt;=(AC$4+Ayarlar!$C$6-1),Görevler!$D43&gt;=AC$4),IF(AC$4&lt;=Görevler!$C43+ROUND(Görevler!$F43*Görevler!$E43,0)-1,2,1),""))</f>
        <v/>
      </c>
      <c r="AD43" s="22" t="str">
        <f aca="false">IF(Görevler!$F43="","",IF(AND(Görevler!$C43&lt;=(AD$4+Ayarlar!$C$6-1),Görevler!$D43&gt;=AD$4),IF(AD$4&lt;=Görevler!$C43+ROUND(Görevler!$F43*Görevler!$E43,0)-1,2,1),""))</f>
        <v/>
      </c>
      <c r="AE43" s="22" t="str">
        <f aca="false">IF(Görevler!$F43="","",IF(AND(Görevler!$C43&lt;=(AE$4+Ayarlar!$C$6-1),Görevler!$D43&gt;=AE$4),IF(AE$4&lt;=Görevler!$C43+ROUND(Görevler!$F43*Görevler!$E43,0)-1,2,1),""))</f>
        <v/>
      </c>
      <c r="AF43" s="22" t="str">
        <f aca="false">IF(Görevler!$F43="","",IF(AND(Görevler!$C43&lt;=(AF$4+Ayarlar!$C$6-1),Görevler!$D43&gt;=AF$4),IF(AF$4&lt;=Görevler!$C43+ROUND(Görevler!$F43*Görevler!$E43,0)-1,2,1),""))</f>
        <v/>
      </c>
      <c r="AG43" s="22" t="str">
        <f aca="false">IF(Görevler!$F43="","",IF(AND(Görevler!$C43&lt;=(AG$4+Ayarlar!$C$6-1),Görevler!$D43&gt;=AG$4),IF(AG$4&lt;=Görevler!$C43+ROUND(Görevler!$F43*Görevler!$E43,0)-1,2,1),""))</f>
        <v/>
      </c>
      <c r="AH43" s="22" t="str">
        <f aca="false">IF(Görevler!$F43="","",IF(AND(Görevler!$C43&lt;=(AH$4+Ayarlar!$C$6-1),Görevler!$D43&gt;=AH$4),IF(AH$4&lt;=Görevler!$C43+ROUND(Görevler!$F43*Görevler!$E43,0)-1,2,1),""))</f>
        <v/>
      </c>
      <c r="AI43" s="22" t="str">
        <f aca="false">IF(Görevler!$F43="","",IF(AND(Görevler!$C43&lt;=(AI$4+Ayarlar!$C$6-1),Görevler!$D43&gt;=AI$4),IF(AI$4&lt;=Görevler!$C43+ROUND(Görevler!$F43*Görevler!$E43,0)-1,2,1),""))</f>
        <v/>
      </c>
      <c r="AJ43" s="22" t="str">
        <f aca="false">IF(Görevler!$F43="","",IF(AND(Görevler!$C43&lt;=(AJ$4+Ayarlar!$C$6-1),Görevler!$D43&gt;=AJ$4),IF(AJ$4&lt;=Görevler!$C43+ROUND(Görevler!$F43*Görevler!$E43,0)-1,2,1),""))</f>
        <v/>
      </c>
      <c r="AK43" s="22" t="str">
        <f aca="false">IF(Görevler!$F43="","",IF(AND(Görevler!$C43&lt;=(AK$4+Ayarlar!$C$6-1),Görevler!$D43&gt;=AK$4),IF(AK$4&lt;=Görevler!$C43+ROUND(Görevler!$F43*Görevler!$E43,0)-1,2,1),""))</f>
        <v/>
      </c>
      <c r="AL43" s="22" t="str">
        <f aca="false">IF(Görevler!$F43="","",IF(AND(Görevler!$C43&lt;=(AL$4+Ayarlar!$C$6-1),Görevler!$D43&gt;=AL$4),IF(AL$4&lt;=Görevler!$C43+ROUND(Görevler!$F43*Görevler!$E43,0)-1,2,1),""))</f>
        <v/>
      </c>
      <c r="AM43" s="22" t="str">
        <f aca="false">IF(Görevler!$F43="","",IF(AND(Görevler!$C43&lt;=(AM$4+Ayarlar!$C$6-1),Görevler!$D43&gt;=AM$4),IF(AM$4&lt;=Görevler!$C43+ROUND(Görevler!$F43*Görevler!$E43,0)-1,2,1),""))</f>
        <v/>
      </c>
      <c r="AN43" s="22" t="str">
        <f aca="false">IF(Görevler!$F43="","",IF(AND(Görevler!$C43&lt;=(AN$4+Ayarlar!$C$6-1),Görevler!$D43&gt;=AN$4),IF(AN$4&lt;=Görevler!$C43+ROUND(Görevler!$F43*Görevler!$E43,0)-1,2,1),""))</f>
        <v/>
      </c>
      <c r="AO43" s="22" t="str">
        <f aca="false">IF(Görevler!$F43="","",IF(AND(Görevler!$C43&lt;=(AO$4+Ayarlar!$C$6-1),Görevler!$D43&gt;=AO$4),IF(AO$4&lt;=Görevler!$C43+ROUND(Görevler!$F43*Görevler!$E43,0)-1,2,1),""))</f>
        <v/>
      </c>
      <c r="AP43" s="22" t="str">
        <f aca="false">IF(Görevler!$F43="","",IF(AND(Görevler!$C43&lt;=(AP$4+Ayarlar!$C$6-1),Görevler!$D43&gt;=AP$4),IF(AP$4&lt;=Görevler!$C43+ROUND(Görevler!$F43*Görevler!$E43,0)-1,2,1),""))</f>
        <v/>
      </c>
      <c r="AQ43" s="22" t="str">
        <f aca="false">IF(Görevler!$F43="","",IF(AND(Görevler!$C43&lt;=(AQ$4+Ayarlar!$C$6-1),Görevler!$D43&gt;=AQ$4),IF(AQ$4&lt;=Görevler!$C43+ROUND(Görevler!$F43*Görevler!$E43,0)-1,2,1),""))</f>
        <v/>
      </c>
      <c r="AR43" s="22" t="str">
        <f aca="false">IF(Görevler!$F43="","",IF(AND(Görevler!$C43&lt;=(AR$4+Ayarlar!$C$6-1),Görevler!$D43&gt;=AR$4),IF(AR$4&lt;=Görevler!$C43+ROUND(Görevler!$F43*Görevler!$E43,0)-1,2,1),""))</f>
        <v/>
      </c>
      <c r="AS43" s="22" t="str">
        <f aca="false">IF(Görevler!$F43="","",IF(AND(Görevler!$C43&lt;=(AS$4+Ayarlar!$C$6-1),Görevler!$D43&gt;=AS$4),IF(AS$4&lt;=Görevler!$C43+ROUND(Görevler!$F43*Görevler!$E43,0)-1,2,1),""))</f>
        <v/>
      </c>
      <c r="AT43" s="22" t="str">
        <f aca="false">IF(Görevler!$F43="","",IF(AND(Görevler!$C43&lt;=(AT$4+Ayarlar!$C$6-1),Görevler!$D43&gt;=AT$4),IF(AT$4&lt;=Görevler!$C43+ROUND(Görevler!$F43*Görevler!$E43,0)-1,2,1),""))</f>
        <v/>
      </c>
      <c r="AU43" s="22" t="str">
        <f aca="false">IF(Görevler!$F43="","",IF(AND(Görevler!$C43&lt;=(AU$4+Ayarlar!$C$6-1),Görevler!$D43&gt;=AU$4),IF(AU$4&lt;=Görevler!$C43+ROUND(Görevler!$F43*Görevler!$E43,0)-1,2,1),""))</f>
        <v/>
      </c>
      <c r="AV43" s="22" t="str">
        <f aca="false">IF(Görevler!$F43="","",IF(AND(Görevler!$C43&lt;=(AV$4+Ayarlar!$C$6-1),Görevler!$D43&gt;=AV$4),IF(AV$4&lt;=Görevler!$C43+ROUND(Görevler!$F43*Görevler!$E43,0)-1,2,1),""))</f>
        <v/>
      </c>
      <c r="AW43" s="22" t="str">
        <f aca="false">IF(Görevler!$F43="","",IF(AND(Görevler!$C43&lt;=(AW$4+Ayarlar!$C$6-1),Görevler!$D43&gt;=AW$4),IF(AW$4&lt;=Görevler!$C43+ROUND(Görevler!$F43*Görevler!$E43,0)-1,2,1),""))</f>
        <v/>
      </c>
      <c r="AX43" s="22" t="str">
        <f aca="false">IF(Görevler!$F43="","",IF(AND(Görevler!$C43&lt;=(AX$4+Ayarlar!$C$6-1),Görevler!$D43&gt;=AX$4),IF(AX$4&lt;=Görevler!$C43+ROUND(Görevler!$F43*Görevler!$E43,0)-1,2,1),""))</f>
        <v/>
      </c>
      <c r="AY43" s="22" t="str">
        <f aca="false">IF(Görevler!$F43="","",IF(AND(Görevler!$C43&lt;=(AY$4+Ayarlar!$C$6-1),Görevler!$D43&gt;=AY$4),IF(AY$4&lt;=Görevler!$C43+ROUND(Görevler!$F43*Görevler!$E43,0)-1,2,1),""))</f>
        <v/>
      </c>
      <c r="AZ43" s="22" t="str">
        <f aca="false">IF(Görevler!$F43="","",IF(AND(Görevler!$C43&lt;=(AZ$4+Ayarlar!$C$6-1),Görevler!$D43&gt;=AZ$4),IF(AZ$4&lt;=Görevler!$C43+ROUND(Görevler!$F43*Görevler!$E43,0)-1,2,1),""))</f>
        <v/>
      </c>
      <c r="BA43" s="22" t="str">
        <f aca="false">IF(Görevler!$F43="","",IF(AND(Görevler!$C43&lt;=(BA$4+Ayarlar!$C$6-1),Görevler!$D43&gt;=BA$4),IF(BA$4&lt;=Görevler!$C43+ROUND(Görevler!$F43*Görevler!$E43,0)-1,2,1),""))</f>
        <v/>
      </c>
      <c r="BB43" s="22" t="str">
        <f aca="false">IF(Görevler!$F43="","",IF(AND(Görevler!$C43&lt;=(BB$4+Ayarlar!$C$6-1),Görevler!$D43&gt;=BB$4),IF(BB$4&lt;=Görevler!$C43+ROUND(Görevler!$F43*Görevler!$E43,0)-1,2,1),""))</f>
        <v/>
      </c>
      <c r="BC43" s="22" t="str">
        <f aca="false">IF(Görevler!$F43="","",IF(AND(Görevler!$C43&lt;=(BC$4+Ayarlar!$C$6-1),Görevler!$D43&gt;=BC$4),IF(BC$4&lt;=Görevler!$C43+ROUND(Görevler!$F43*Görevler!$E43,0)-1,2,1),""))</f>
        <v/>
      </c>
      <c r="BD43" s="22" t="str">
        <f aca="false">IF(Görevler!$F43="","",IF(AND(Görevler!$C43&lt;=(BD$4+Ayarlar!$C$6-1),Görevler!$D43&gt;=BD$4),IF(BD$4&lt;=Görevler!$C43+ROUND(Görevler!$F43*Görevler!$E43,0)-1,2,1),""))</f>
        <v/>
      </c>
      <c r="BE43" s="22" t="str">
        <f aca="false">IF(Görevler!$F43="","",IF(AND(Görevler!$C43&lt;=(BE$4+Ayarlar!$C$6-1),Görevler!$D43&gt;=BE$4),IF(BE$4&lt;=Görevler!$C43+ROUND(Görevler!$F43*Görevler!$E43,0)-1,2,1),""))</f>
        <v/>
      </c>
      <c r="BF43" s="22" t="str">
        <f aca="false">IF(Görevler!$F43="","",IF(AND(Görevler!$C43&lt;=(BF$4+Ayarlar!$C$6-1),Görevler!$D43&gt;=BF$4),IF(BF$4&lt;=Görevler!$C43+ROUND(Görevler!$F43*Görevler!$E43,0)-1,2,1),""))</f>
        <v/>
      </c>
      <c r="BG43" s="22" t="str">
        <f aca="false">IF(Görevler!$F43="","",IF(AND(Görevler!$C43&lt;=(BG$4+Ayarlar!$C$6-1),Görevler!$D43&gt;=BG$4),IF(BG$4&lt;=Görevler!$C43+ROUND(Görevler!$F43*Görevler!$E43,0)-1,2,1),""))</f>
        <v/>
      </c>
      <c r="BH43" s="22" t="str">
        <f aca="false">IF(Görevler!$F43="","",IF(AND(Görevler!$C43&lt;=(BH$4+Ayarlar!$C$6-1),Görevler!$D43&gt;=BH$4),IF(BH$4&lt;=Görevler!$C43+ROUND(Görevler!$F43*Görevler!$E43,0)-1,2,1),""))</f>
        <v/>
      </c>
      <c r="BI43" s="22" t="str">
        <f aca="false">IF(Görevler!$F43="","",IF(AND(Görevler!$C43&lt;=(BI$4+Ayarlar!$C$6-1),Görevler!$D43&gt;=BI$4),IF(BI$4&lt;=Görevler!$C43+ROUND(Görevler!$F43*Görevler!$E43,0)-1,2,1),""))</f>
        <v/>
      </c>
      <c r="BJ43" s="22" t="str">
        <f aca="false">IF(Görevler!$F43="","",IF(AND(Görevler!$C43&lt;=(BJ$4+Ayarlar!$C$6-1),Görevler!$D43&gt;=BJ$4),IF(BJ$4&lt;=Görevler!$C43+ROUND(Görevler!$F43*Görevler!$E43,0)-1,2,1),""))</f>
        <v/>
      </c>
    </row>
    <row r="44" customFormat="false" ht="15" hidden="false" customHeight="false" outlineLevel="0" collapsed="false">
      <c r="A44" s="21" t="str">
        <f aca="false">IF(Görevler!A44="","",Görevler!A44)</f>
        <v/>
      </c>
      <c r="B44" s="21" t="str">
        <f aca="false">IF(Görevler!A44="","",Görevler!B44&amp;"")</f>
        <v/>
      </c>
      <c r="C44" s="22" t="str">
        <f aca="false">IF(Görevler!$F44="","",IF(AND(Görevler!$C44&lt;=(C$4+Ayarlar!$C$6-1),Görevler!$D44&gt;=C$4),IF(C$4&lt;=Görevler!$C44+ROUND(Görevler!$F44*Görevler!$E44,0)-1,2,1),""))</f>
        <v/>
      </c>
      <c r="D44" s="22" t="str">
        <f aca="false">IF(Görevler!$F44="","",IF(AND(Görevler!$C44&lt;=(D$4+Ayarlar!$C$6-1),Görevler!$D44&gt;=D$4),IF(D$4&lt;=Görevler!$C44+ROUND(Görevler!$F44*Görevler!$E44,0)-1,2,1),""))</f>
        <v/>
      </c>
      <c r="E44" s="22" t="str">
        <f aca="false">IF(Görevler!$F44="","",IF(AND(Görevler!$C44&lt;=(E$4+Ayarlar!$C$6-1),Görevler!$D44&gt;=E$4),IF(E$4&lt;=Görevler!$C44+ROUND(Görevler!$F44*Görevler!$E44,0)-1,2,1),""))</f>
        <v/>
      </c>
      <c r="F44" s="22" t="str">
        <f aca="false">IF(Görevler!$F44="","",IF(AND(Görevler!$C44&lt;=(F$4+Ayarlar!$C$6-1),Görevler!$D44&gt;=F$4),IF(F$4&lt;=Görevler!$C44+ROUND(Görevler!$F44*Görevler!$E44,0)-1,2,1),""))</f>
        <v/>
      </c>
      <c r="G44" s="22" t="str">
        <f aca="false">IF(Görevler!$F44="","",IF(AND(Görevler!$C44&lt;=(G$4+Ayarlar!$C$6-1),Görevler!$D44&gt;=G$4),IF(G$4&lt;=Görevler!$C44+ROUND(Görevler!$F44*Görevler!$E44,0)-1,2,1),""))</f>
        <v/>
      </c>
      <c r="H44" s="22" t="str">
        <f aca="false">IF(Görevler!$F44="","",IF(AND(Görevler!$C44&lt;=(H$4+Ayarlar!$C$6-1),Görevler!$D44&gt;=H$4),IF(H$4&lt;=Görevler!$C44+ROUND(Görevler!$F44*Görevler!$E44,0)-1,2,1),""))</f>
        <v/>
      </c>
      <c r="I44" s="22" t="str">
        <f aca="false">IF(Görevler!$F44="","",IF(AND(Görevler!$C44&lt;=(I$4+Ayarlar!$C$6-1),Görevler!$D44&gt;=I$4),IF(I$4&lt;=Görevler!$C44+ROUND(Görevler!$F44*Görevler!$E44,0)-1,2,1),""))</f>
        <v/>
      </c>
      <c r="J44" s="22" t="str">
        <f aca="false">IF(Görevler!$F44="","",IF(AND(Görevler!$C44&lt;=(J$4+Ayarlar!$C$6-1),Görevler!$D44&gt;=J$4),IF(J$4&lt;=Görevler!$C44+ROUND(Görevler!$F44*Görevler!$E44,0)-1,2,1),""))</f>
        <v/>
      </c>
      <c r="K44" s="22" t="str">
        <f aca="false">IF(Görevler!$F44="","",IF(AND(Görevler!$C44&lt;=(K$4+Ayarlar!$C$6-1),Görevler!$D44&gt;=K$4),IF(K$4&lt;=Görevler!$C44+ROUND(Görevler!$F44*Görevler!$E44,0)-1,2,1),""))</f>
        <v/>
      </c>
      <c r="L44" s="22" t="str">
        <f aca="false">IF(Görevler!$F44="","",IF(AND(Görevler!$C44&lt;=(L$4+Ayarlar!$C$6-1),Görevler!$D44&gt;=L$4),IF(L$4&lt;=Görevler!$C44+ROUND(Görevler!$F44*Görevler!$E44,0)-1,2,1),""))</f>
        <v/>
      </c>
      <c r="M44" s="22" t="str">
        <f aca="false">IF(Görevler!$F44="","",IF(AND(Görevler!$C44&lt;=(M$4+Ayarlar!$C$6-1),Görevler!$D44&gt;=M$4),IF(M$4&lt;=Görevler!$C44+ROUND(Görevler!$F44*Görevler!$E44,0)-1,2,1),""))</f>
        <v/>
      </c>
      <c r="N44" s="22" t="str">
        <f aca="false">IF(Görevler!$F44="","",IF(AND(Görevler!$C44&lt;=(N$4+Ayarlar!$C$6-1),Görevler!$D44&gt;=N$4),IF(N$4&lt;=Görevler!$C44+ROUND(Görevler!$F44*Görevler!$E44,0)-1,2,1),""))</f>
        <v/>
      </c>
      <c r="O44" s="22" t="str">
        <f aca="false">IF(Görevler!$F44="","",IF(AND(Görevler!$C44&lt;=(O$4+Ayarlar!$C$6-1),Görevler!$D44&gt;=O$4),IF(O$4&lt;=Görevler!$C44+ROUND(Görevler!$F44*Görevler!$E44,0)-1,2,1),""))</f>
        <v/>
      </c>
      <c r="P44" s="22" t="str">
        <f aca="false">IF(Görevler!$F44="","",IF(AND(Görevler!$C44&lt;=(P$4+Ayarlar!$C$6-1),Görevler!$D44&gt;=P$4),IF(P$4&lt;=Görevler!$C44+ROUND(Görevler!$F44*Görevler!$E44,0)-1,2,1),""))</f>
        <v/>
      </c>
      <c r="Q44" s="22" t="str">
        <f aca="false">IF(Görevler!$F44="","",IF(AND(Görevler!$C44&lt;=(Q$4+Ayarlar!$C$6-1),Görevler!$D44&gt;=Q$4),IF(Q$4&lt;=Görevler!$C44+ROUND(Görevler!$F44*Görevler!$E44,0)-1,2,1),""))</f>
        <v/>
      </c>
      <c r="R44" s="22" t="str">
        <f aca="false">IF(Görevler!$F44="","",IF(AND(Görevler!$C44&lt;=(R$4+Ayarlar!$C$6-1),Görevler!$D44&gt;=R$4),IF(R$4&lt;=Görevler!$C44+ROUND(Görevler!$F44*Görevler!$E44,0)-1,2,1),""))</f>
        <v/>
      </c>
      <c r="S44" s="22" t="str">
        <f aca="false">IF(Görevler!$F44="","",IF(AND(Görevler!$C44&lt;=(S$4+Ayarlar!$C$6-1),Görevler!$D44&gt;=S$4),IF(S$4&lt;=Görevler!$C44+ROUND(Görevler!$F44*Görevler!$E44,0)-1,2,1),""))</f>
        <v/>
      </c>
      <c r="T44" s="22" t="str">
        <f aca="false">IF(Görevler!$F44="","",IF(AND(Görevler!$C44&lt;=(T$4+Ayarlar!$C$6-1),Görevler!$D44&gt;=T$4),IF(T$4&lt;=Görevler!$C44+ROUND(Görevler!$F44*Görevler!$E44,0)-1,2,1),""))</f>
        <v/>
      </c>
      <c r="U44" s="22" t="str">
        <f aca="false">IF(Görevler!$F44="","",IF(AND(Görevler!$C44&lt;=(U$4+Ayarlar!$C$6-1),Görevler!$D44&gt;=U$4),IF(U$4&lt;=Görevler!$C44+ROUND(Görevler!$F44*Görevler!$E44,0)-1,2,1),""))</f>
        <v/>
      </c>
      <c r="V44" s="22" t="str">
        <f aca="false">IF(Görevler!$F44="","",IF(AND(Görevler!$C44&lt;=(V$4+Ayarlar!$C$6-1),Görevler!$D44&gt;=V$4),IF(V$4&lt;=Görevler!$C44+ROUND(Görevler!$F44*Görevler!$E44,0)-1,2,1),""))</f>
        <v/>
      </c>
      <c r="W44" s="22" t="str">
        <f aca="false">IF(Görevler!$F44="","",IF(AND(Görevler!$C44&lt;=(W$4+Ayarlar!$C$6-1),Görevler!$D44&gt;=W$4),IF(W$4&lt;=Görevler!$C44+ROUND(Görevler!$F44*Görevler!$E44,0)-1,2,1),""))</f>
        <v/>
      </c>
      <c r="X44" s="22" t="str">
        <f aca="false">IF(Görevler!$F44="","",IF(AND(Görevler!$C44&lt;=(X$4+Ayarlar!$C$6-1),Görevler!$D44&gt;=X$4),IF(X$4&lt;=Görevler!$C44+ROUND(Görevler!$F44*Görevler!$E44,0)-1,2,1),""))</f>
        <v/>
      </c>
      <c r="Y44" s="22" t="str">
        <f aca="false">IF(Görevler!$F44="","",IF(AND(Görevler!$C44&lt;=(Y$4+Ayarlar!$C$6-1),Görevler!$D44&gt;=Y$4),IF(Y$4&lt;=Görevler!$C44+ROUND(Görevler!$F44*Görevler!$E44,0)-1,2,1),""))</f>
        <v/>
      </c>
      <c r="Z44" s="22" t="str">
        <f aca="false">IF(Görevler!$F44="","",IF(AND(Görevler!$C44&lt;=(Z$4+Ayarlar!$C$6-1),Görevler!$D44&gt;=Z$4),IF(Z$4&lt;=Görevler!$C44+ROUND(Görevler!$F44*Görevler!$E44,0)-1,2,1),""))</f>
        <v/>
      </c>
      <c r="AA44" s="22" t="str">
        <f aca="false">IF(Görevler!$F44="","",IF(AND(Görevler!$C44&lt;=(AA$4+Ayarlar!$C$6-1),Görevler!$D44&gt;=AA$4),IF(AA$4&lt;=Görevler!$C44+ROUND(Görevler!$F44*Görevler!$E44,0)-1,2,1),""))</f>
        <v/>
      </c>
      <c r="AB44" s="22" t="str">
        <f aca="false">IF(Görevler!$F44="","",IF(AND(Görevler!$C44&lt;=(AB$4+Ayarlar!$C$6-1),Görevler!$D44&gt;=AB$4),IF(AB$4&lt;=Görevler!$C44+ROUND(Görevler!$F44*Görevler!$E44,0)-1,2,1),""))</f>
        <v/>
      </c>
      <c r="AC44" s="22" t="str">
        <f aca="false">IF(Görevler!$F44="","",IF(AND(Görevler!$C44&lt;=(AC$4+Ayarlar!$C$6-1),Görevler!$D44&gt;=AC$4),IF(AC$4&lt;=Görevler!$C44+ROUND(Görevler!$F44*Görevler!$E44,0)-1,2,1),""))</f>
        <v/>
      </c>
      <c r="AD44" s="22" t="str">
        <f aca="false">IF(Görevler!$F44="","",IF(AND(Görevler!$C44&lt;=(AD$4+Ayarlar!$C$6-1),Görevler!$D44&gt;=AD$4),IF(AD$4&lt;=Görevler!$C44+ROUND(Görevler!$F44*Görevler!$E44,0)-1,2,1),""))</f>
        <v/>
      </c>
      <c r="AE44" s="22" t="str">
        <f aca="false">IF(Görevler!$F44="","",IF(AND(Görevler!$C44&lt;=(AE$4+Ayarlar!$C$6-1),Görevler!$D44&gt;=AE$4),IF(AE$4&lt;=Görevler!$C44+ROUND(Görevler!$F44*Görevler!$E44,0)-1,2,1),""))</f>
        <v/>
      </c>
      <c r="AF44" s="22" t="str">
        <f aca="false">IF(Görevler!$F44="","",IF(AND(Görevler!$C44&lt;=(AF$4+Ayarlar!$C$6-1),Görevler!$D44&gt;=AF$4),IF(AF$4&lt;=Görevler!$C44+ROUND(Görevler!$F44*Görevler!$E44,0)-1,2,1),""))</f>
        <v/>
      </c>
      <c r="AG44" s="22" t="str">
        <f aca="false">IF(Görevler!$F44="","",IF(AND(Görevler!$C44&lt;=(AG$4+Ayarlar!$C$6-1),Görevler!$D44&gt;=AG$4),IF(AG$4&lt;=Görevler!$C44+ROUND(Görevler!$F44*Görevler!$E44,0)-1,2,1),""))</f>
        <v/>
      </c>
      <c r="AH44" s="22" t="str">
        <f aca="false">IF(Görevler!$F44="","",IF(AND(Görevler!$C44&lt;=(AH$4+Ayarlar!$C$6-1),Görevler!$D44&gt;=AH$4),IF(AH$4&lt;=Görevler!$C44+ROUND(Görevler!$F44*Görevler!$E44,0)-1,2,1),""))</f>
        <v/>
      </c>
      <c r="AI44" s="22" t="str">
        <f aca="false">IF(Görevler!$F44="","",IF(AND(Görevler!$C44&lt;=(AI$4+Ayarlar!$C$6-1),Görevler!$D44&gt;=AI$4),IF(AI$4&lt;=Görevler!$C44+ROUND(Görevler!$F44*Görevler!$E44,0)-1,2,1),""))</f>
        <v/>
      </c>
      <c r="AJ44" s="22" t="str">
        <f aca="false">IF(Görevler!$F44="","",IF(AND(Görevler!$C44&lt;=(AJ$4+Ayarlar!$C$6-1),Görevler!$D44&gt;=AJ$4),IF(AJ$4&lt;=Görevler!$C44+ROUND(Görevler!$F44*Görevler!$E44,0)-1,2,1),""))</f>
        <v/>
      </c>
      <c r="AK44" s="22" t="str">
        <f aca="false">IF(Görevler!$F44="","",IF(AND(Görevler!$C44&lt;=(AK$4+Ayarlar!$C$6-1),Görevler!$D44&gt;=AK$4),IF(AK$4&lt;=Görevler!$C44+ROUND(Görevler!$F44*Görevler!$E44,0)-1,2,1),""))</f>
        <v/>
      </c>
      <c r="AL44" s="22" t="str">
        <f aca="false">IF(Görevler!$F44="","",IF(AND(Görevler!$C44&lt;=(AL$4+Ayarlar!$C$6-1),Görevler!$D44&gt;=AL$4),IF(AL$4&lt;=Görevler!$C44+ROUND(Görevler!$F44*Görevler!$E44,0)-1,2,1),""))</f>
        <v/>
      </c>
      <c r="AM44" s="22" t="str">
        <f aca="false">IF(Görevler!$F44="","",IF(AND(Görevler!$C44&lt;=(AM$4+Ayarlar!$C$6-1),Görevler!$D44&gt;=AM$4),IF(AM$4&lt;=Görevler!$C44+ROUND(Görevler!$F44*Görevler!$E44,0)-1,2,1),""))</f>
        <v/>
      </c>
      <c r="AN44" s="22" t="str">
        <f aca="false">IF(Görevler!$F44="","",IF(AND(Görevler!$C44&lt;=(AN$4+Ayarlar!$C$6-1),Görevler!$D44&gt;=AN$4),IF(AN$4&lt;=Görevler!$C44+ROUND(Görevler!$F44*Görevler!$E44,0)-1,2,1),""))</f>
        <v/>
      </c>
      <c r="AO44" s="22" t="str">
        <f aca="false">IF(Görevler!$F44="","",IF(AND(Görevler!$C44&lt;=(AO$4+Ayarlar!$C$6-1),Görevler!$D44&gt;=AO$4),IF(AO$4&lt;=Görevler!$C44+ROUND(Görevler!$F44*Görevler!$E44,0)-1,2,1),""))</f>
        <v/>
      </c>
      <c r="AP44" s="22" t="str">
        <f aca="false">IF(Görevler!$F44="","",IF(AND(Görevler!$C44&lt;=(AP$4+Ayarlar!$C$6-1),Görevler!$D44&gt;=AP$4),IF(AP$4&lt;=Görevler!$C44+ROUND(Görevler!$F44*Görevler!$E44,0)-1,2,1),""))</f>
        <v/>
      </c>
      <c r="AQ44" s="22" t="str">
        <f aca="false">IF(Görevler!$F44="","",IF(AND(Görevler!$C44&lt;=(AQ$4+Ayarlar!$C$6-1),Görevler!$D44&gt;=AQ$4),IF(AQ$4&lt;=Görevler!$C44+ROUND(Görevler!$F44*Görevler!$E44,0)-1,2,1),""))</f>
        <v/>
      </c>
      <c r="AR44" s="22" t="str">
        <f aca="false">IF(Görevler!$F44="","",IF(AND(Görevler!$C44&lt;=(AR$4+Ayarlar!$C$6-1),Görevler!$D44&gt;=AR$4),IF(AR$4&lt;=Görevler!$C44+ROUND(Görevler!$F44*Görevler!$E44,0)-1,2,1),""))</f>
        <v/>
      </c>
      <c r="AS44" s="22" t="str">
        <f aca="false">IF(Görevler!$F44="","",IF(AND(Görevler!$C44&lt;=(AS$4+Ayarlar!$C$6-1),Görevler!$D44&gt;=AS$4),IF(AS$4&lt;=Görevler!$C44+ROUND(Görevler!$F44*Görevler!$E44,0)-1,2,1),""))</f>
        <v/>
      </c>
      <c r="AT44" s="22" t="str">
        <f aca="false">IF(Görevler!$F44="","",IF(AND(Görevler!$C44&lt;=(AT$4+Ayarlar!$C$6-1),Görevler!$D44&gt;=AT$4),IF(AT$4&lt;=Görevler!$C44+ROUND(Görevler!$F44*Görevler!$E44,0)-1,2,1),""))</f>
        <v/>
      </c>
      <c r="AU44" s="22" t="str">
        <f aca="false">IF(Görevler!$F44="","",IF(AND(Görevler!$C44&lt;=(AU$4+Ayarlar!$C$6-1),Görevler!$D44&gt;=AU$4),IF(AU$4&lt;=Görevler!$C44+ROUND(Görevler!$F44*Görevler!$E44,0)-1,2,1),""))</f>
        <v/>
      </c>
      <c r="AV44" s="22" t="str">
        <f aca="false">IF(Görevler!$F44="","",IF(AND(Görevler!$C44&lt;=(AV$4+Ayarlar!$C$6-1),Görevler!$D44&gt;=AV$4),IF(AV$4&lt;=Görevler!$C44+ROUND(Görevler!$F44*Görevler!$E44,0)-1,2,1),""))</f>
        <v/>
      </c>
      <c r="AW44" s="22" t="str">
        <f aca="false">IF(Görevler!$F44="","",IF(AND(Görevler!$C44&lt;=(AW$4+Ayarlar!$C$6-1),Görevler!$D44&gt;=AW$4),IF(AW$4&lt;=Görevler!$C44+ROUND(Görevler!$F44*Görevler!$E44,0)-1,2,1),""))</f>
        <v/>
      </c>
      <c r="AX44" s="22" t="str">
        <f aca="false">IF(Görevler!$F44="","",IF(AND(Görevler!$C44&lt;=(AX$4+Ayarlar!$C$6-1),Görevler!$D44&gt;=AX$4),IF(AX$4&lt;=Görevler!$C44+ROUND(Görevler!$F44*Görevler!$E44,0)-1,2,1),""))</f>
        <v/>
      </c>
      <c r="AY44" s="22" t="str">
        <f aca="false">IF(Görevler!$F44="","",IF(AND(Görevler!$C44&lt;=(AY$4+Ayarlar!$C$6-1),Görevler!$D44&gt;=AY$4),IF(AY$4&lt;=Görevler!$C44+ROUND(Görevler!$F44*Görevler!$E44,0)-1,2,1),""))</f>
        <v/>
      </c>
      <c r="AZ44" s="22" t="str">
        <f aca="false">IF(Görevler!$F44="","",IF(AND(Görevler!$C44&lt;=(AZ$4+Ayarlar!$C$6-1),Görevler!$D44&gt;=AZ$4),IF(AZ$4&lt;=Görevler!$C44+ROUND(Görevler!$F44*Görevler!$E44,0)-1,2,1),""))</f>
        <v/>
      </c>
      <c r="BA44" s="22" t="str">
        <f aca="false">IF(Görevler!$F44="","",IF(AND(Görevler!$C44&lt;=(BA$4+Ayarlar!$C$6-1),Görevler!$D44&gt;=BA$4),IF(BA$4&lt;=Görevler!$C44+ROUND(Görevler!$F44*Görevler!$E44,0)-1,2,1),""))</f>
        <v/>
      </c>
      <c r="BB44" s="22" t="str">
        <f aca="false">IF(Görevler!$F44="","",IF(AND(Görevler!$C44&lt;=(BB$4+Ayarlar!$C$6-1),Görevler!$D44&gt;=BB$4),IF(BB$4&lt;=Görevler!$C44+ROUND(Görevler!$F44*Görevler!$E44,0)-1,2,1),""))</f>
        <v/>
      </c>
      <c r="BC44" s="22" t="str">
        <f aca="false">IF(Görevler!$F44="","",IF(AND(Görevler!$C44&lt;=(BC$4+Ayarlar!$C$6-1),Görevler!$D44&gt;=BC$4),IF(BC$4&lt;=Görevler!$C44+ROUND(Görevler!$F44*Görevler!$E44,0)-1,2,1),""))</f>
        <v/>
      </c>
      <c r="BD44" s="22" t="str">
        <f aca="false">IF(Görevler!$F44="","",IF(AND(Görevler!$C44&lt;=(BD$4+Ayarlar!$C$6-1),Görevler!$D44&gt;=BD$4),IF(BD$4&lt;=Görevler!$C44+ROUND(Görevler!$F44*Görevler!$E44,0)-1,2,1),""))</f>
        <v/>
      </c>
      <c r="BE44" s="22" t="str">
        <f aca="false">IF(Görevler!$F44="","",IF(AND(Görevler!$C44&lt;=(BE$4+Ayarlar!$C$6-1),Görevler!$D44&gt;=BE$4),IF(BE$4&lt;=Görevler!$C44+ROUND(Görevler!$F44*Görevler!$E44,0)-1,2,1),""))</f>
        <v/>
      </c>
      <c r="BF44" s="22" t="str">
        <f aca="false">IF(Görevler!$F44="","",IF(AND(Görevler!$C44&lt;=(BF$4+Ayarlar!$C$6-1),Görevler!$D44&gt;=BF$4),IF(BF$4&lt;=Görevler!$C44+ROUND(Görevler!$F44*Görevler!$E44,0)-1,2,1),""))</f>
        <v/>
      </c>
      <c r="BG44" s="22" t="str">
        <f aca="false">IF(Görevler!$F44="","",IF(AND(Görevler!$C44&lt;=(BG$4+Ayarlar!$C$6-1),Görevler!$D44&gt;=BG$4),IF(BG$4&lt;=Görevler!$C44+ROUND(Görevler!$F44*Görevler!$E44,0)-1,2,1),""))</f>
        <v/>
      </c>
      <c r="BH44" s="22" t="str">
        <f aca="false">IF(Görevler!$F44="","",IF(AND(Görevler!$C44&lt;=(BH$4+Ayarlar!$C$6-1),Görevler!$D44&gt;=BH$4),IF(BH$4&lt;=Görevler!$C44+ROUND(Görevler!$F44*Görevler!$E44,0)-1,2,1),""))</f>
        <v/>
      </c>
      <c r="BI44" s="22" t="str">
        <f aca="false">IF(Görevler!$F44="","",IF(AND(Görevler!$C44&lt;=(BI$4+Ayarlar!$C$6-1),Görevler!$D44&gt;=BI$4),IF(BI$4&lt;=Görevler!$C44+ROUND(Görevler!$F44*Görevler!$E44,0)-1,2,1),""))</f>
        <v/>
      </c>
      <c r="BJ44" s="22" t="str">
        <f aca="false">IF(Görevler!$F44="","",IF(AND(Görevler!$C44&lt;=(BJ$4+Ayarlar!$C$6-1),Görevler!$D44&gt;=BJ$4),IF(BJ$4&lt;=Görevler!$C44+ROUND(Görevler!$F44*Görevler!$E44,0)-1,2,1),""))</f>
        <v/>
      </c>
    </row>
    <row r="45" customFormat="false" ht="15" hidden="false" customHeight="false" outlineLevel="0" collapsed="false">
      <c r="A45" s="21" t="str">
        <f aca="false">IF(Görevler!A45="","",Görevler!A45)</f>
        <v/>
      </c>
      <c r="B45" s="21" t="str">
        <f aca="false">IF(Görevler!A45="","",Görevler!B45&amp;"")</f>
        <v/>
      </c>
      <c r="C45" s="22" t="str">
        <f aca="false">IF(Görevler!$F45="","",IF(AND(Görevler!$C45&lt;=(C$4+Ayarlar!$C$6-1),Görevler!$D45&gt;=C$4),IF(C$4&lt;=Görevler!$C45+ROUND(Görevler!$F45*Görevler!$E45,0)-1,2,1),""))</f>
        <v/>
      </c>
      <c r="D45" s="22" t="str">
        <f aca="false">IF(Görevler!$F45="","",IF(AND(Görevler!$C45&lt;=(D$4+Ayarlar!$C$6-1),Görevler!$D45&gt;=D$4),IF(D$4&lt;=Görevler!$C45+ROUND(Görevler!$F45*Görevler!$E45,0)-1,2,1),""))</f>
        <v/>
      </c>
      <c r="E45" s="22" t="str">
        <f aca="false">IF(Görevler!$F45="","",IF(AND(Görevler!$C45&lt;=(E$4+Ayarlar!$C$6-1),Görevler!$D45&gt;=E$4),IF(E$4&lt;=Görevler!$C45+ROUND(Görevler!$F45*Görevler!$E45,0)-1,2,1),""))</f>
        <v/>
      </c>
      <c r="F45" s="22" t="str">
        <f aca="false">IF(Görevler!$F45="","",IF(AND(Görevler!$C45&lt;=(F$4+Ayarlar!$C$6-1),Görevler!$D45&gt;=F$4),IF(F$4&lt;=Görevler!$C45+ROUND(Görevler!$F45*Görevler!$E45,0)-1,2,1),""))</f>
        <v/>
      </c>
      <c r="G45" s="22" t="str">
        <f aca="false">IF(Görevler!$F45="","",IF(AND(Görevler!$C45&lt;=(G$4+Ayarlar!$C$6-1),Görevler!$D45&gt;=G$4),IF(G$4&lt;=Görevler!$C45+ROUND(Görevler!$F45*Görevler!$E45,0)-1,2,1),""))</f>
        <v/>
      </c>
      <c r="H45" s="22" t="str">
        <f aca="false">IF(Görevler!$F45="","",IF(AND(Görevler!$C45&lt;=(H$4+Ayarlar!$C$6-1),Görevler!$D45&gt;=H$4),IF(H$4&lt;=Görevler!$C45+ROUND(Görevler!$F45*Görevler!$E45,0)-1,2,1),""))</f>
        <v/>
      </c>
      <c r="I45" s="22" t="str">
        <f aca="false">IF(Görevler!$F45="","",IF(AND(Görevler!$C45&lt;=(I$4+Ayarlar!$C$6-1),Görevler!$D45&gt;=I$4),IF(I$4&lt;=Görevler!$C45+ROUND(Görevler!$F45*Görevler!$E45,0)-1,2,1),""))</f>
        <v/>
      </c>
      <c r="J45" s="22" t="str">
        <f aca="false">IF(Görevler!$F45="","",IF(AND(Görevler!$C45&lt;=(J$4+Ayarlar!$C$6-1),Görevler!$D45&gt;=J$4),IF(J$4&lt;=Görevler!$C45+ROUND(Görevler!$F45*Görevler!$E45,0)-1,2,1),""))</f>
        <v/>
      </c>
      <c r="K45" s="22" t="str">
        <f aca="false">IF(Görevler!$F45="","",IF(AND(Görevler!$C45&lt;=(K$4+Ayarlar!$C$6-1),Görevler!$D45&gt;=K$4),IF(K$4&lt;=Görevler!$C45+ROUND(Görevler!$F45*Görevler!$E45,0)-1,2,1),""))</f>
        <v/>
      </c>
      <c r="L45" s="22" t="str">
        <f aca="false">IF(Görevler!$F45="","",IF(AND(Görevler!$C45&lt;=(L$4+Ayarlar!$C$6-1),Görevler!$D45&gt;=L$4),IF(L$4&lt;=Görevler!$C45+ROUND(Görevler!$F45*Görevler!$E45,0)-1,2,1),""))</f>
        <v/>
      </c>
      <c r="M45" s="22" t="str">
        <f aca="false">IF(Görevler!$F45="","",IF(AND(Görevler!$C45&lt;=(M$4+Ayarlar!$C$6-1),Görevler!$D45&gt;=M$4),IF(M$4&lt;=Görevler!$C45+ROUND(Görevler!$F45*Görevler!$E45,0)-1,2,1),""))</f>
        <v/>
      </c>
      <c r="N45" s="22" t="str">
        <f aca="false">IF(Görevler!$F45="","",IF(AND(Görevler!$C45&lt;=(N$4+Ayarlar!$C$6-1),Görevler!$D45&gt;=N$4),IF(N$4&lt;=Görevler!$C45+ROUND(Görevler!$F45*Görevler!$E45,0)-1,2,1),""))</f>
        <v/>
      </c>
      <c r="O45" s="22" t="str">
        <f aca="false">IF(Görevler!$F45="","",IF(AND(Görevler!$C45&lt;=(O$4+Ayarlar!$C$6-1),Görevler!$D45&gt;=O$4),IF(O$4&lt;=Görevler!$C45+ROUND(Görevler!$F45*Görevler!$E45,0)-1,2,1),""))</f>
        <v/>
      </c>
      <c r="P45" s="22" t="str">
        <f aca="false">IF(Görevler!$F45="","",IF(AND(Görevler!$C45&lt;=(P$4+Ayarlar!$C$6-1),Görevler!$D45&gt;=P$4),IF(P$4&lt;=Görevler!$C45+ROUND(Görevler!$F45*Görevler!$E45,0)-1,2,1),""))</f>
        <v/>
      </c>
      <c r="Q45" s="22" t="str">
        <f aca="false">IF(Görevler!$F45="","",IF(AND(Görevler!$C45&lt;=(Q$4+Ayarlar!$C$6-1),Görevler!$D45&gt;=Q$4),IF(Q$4&lt;=Görevler!$C45+ROUND(Görevler!$F45*Görevler!$E45,0)-1,2,1),""))</f>
        <v/>
      </c>
      <c r="R45" s="22" t="str">
        <f aca="false">IF(Görevler!$F45="","",IF(AND(Görevler!$C45&lt;=(R$4+Ayarlar!$C$6-1),Görevler!$D45&gt;=R$4),IF(R$4&lt;=Görevler!$C45+ROUND(Görevler!$F45*Görevler!$E45,0)-1,2,1),""))</f>
        <v/>
      </c>
      <c r="S45" s="22" t="str">
        <f aca="false">IF(Görevler!$F45="","",IF(AND(Görevler!$C45&lt;=(S$4+Ayarlar!$C$6-1),Görevler!$D45&gt;=S$4),IF(S$4&lt;=Görevler!$C45+ROUND(Görevler!$F45*Görevler!$E45,0)-1,2,1),""))</f>
        <v/>
      </c>
      <c r="T45" s="22" t="str">
        <f aca="false">IF(Görevler!$F45="","",IF(AND(Görevler!$C45&lt;=(T$4+Ayarlar!$C$6-1),Görevler!$D45&gt;=T$4),IF(T$4&lt;=Görevler!$C45+ROUND(Görevler!$F45*Görevler!$E45,0)-1,2,1),""))</f>
        <v/>
      </c>
      <c r="U45" s="22" t="str">
        <f aca="false">IF(Görevler!$F45="","",IF(AND(Görevler!$C45&lt;=(U$4+Ayarlar!$C$6-1),Görevler!$D45&gt;=U$4),IF(U$4&lt;=Görevler!$C45+ROUND(Görevler!$F45*Görevler!$E45,0)-1,2,1),""))</f>
        <v/>
      </c>
      <c r="V45" s="22" t="str">
        <f aca="false">IF(Görevler!$F45="","",IF(AND(Görevler!$C45&lt;=(V$4+Ayarlar!$C$6-1),Görevler!$D45&gt;=V$4),IF(V$4&lt;=Görevler!$C45+ROUND(Görevler!$F45*Görevler!$E45,0)-1,2,1),""))</f>
        <v/>
      </c>
      <c r="W45" s="22" t="str">
        <f aca="false">IF(Görevler!$F45="","",IF(AND(Görevler!$C45&lt;=(W$4+Ayarlar!$C$6-1),Görevler!$D45&gt;=W$4),IF(W$4&lt;=Görevler!$C45+ROUND(Görevler!$F45*Görevler!$E45,0)-1,2,1),""))</f>
        <v/>
      </c>
      <c r="X45" s="22" t="str">
        <f aca="false">IF(Görevler!$F45="","",IF(AND(Görevler!$C45&lt;=(X$4+Ayarlar!$C$6-1),Görevler!$D45&gt;=X$4),IF(X$4&lt;=Görevler!$C45+ROUND(Görevler!$F45*Görevler!$E45,0)-1,2,1),""))</f>
        <v/>
      </c>
      <c r="Y45" s="22" t="str">
        <f aca="false">IF(Görevler!$F45="","",IF(AND(Görevler!$C45&lt;=(Y$4+Ayarlar!$C$6-1),Görevler!$D45&gt;=Y$4),IF(Y$4&lt;=Görevler!$C45+ROUND(Görevler!$F45*Görevler!$E45,0)-1,2,1),""))</f>
        <v/>
      </c>
      <c r="Z45" s="22" t="str">
        <f aca="false">IF(Görevler!$F45="","",IF(AND(Görevler!$C45&lt;=(Z$4+Ayarlar!$C$6-1),Görevler!$D45&gt;=Z$4),IF(Z$4&lt;=Görevler!$C45+ROUND(Görevler!$F45*Görevler!$E45,0)-1,2,1),""))</f>
        <v/>
      </c>
      <c r="AA45" s="22" t="str">
        <f aca="false">IF(Görevler!$F45="","",IF(AND(Görevler!$C45&lt;=(AA$4+Ayarlar!$C$6-1),Görevler!$D45&gt;=AA$4),IF(AA$4&lt;=Görevler!$C45+ROUND(Görevler!$F45*Görevler!$E45,0)-1,2,1),""))</f>
        <v/>
      </c>
      <c r="AB45" s="22" t="str">
        <f aca="false">IF(Görevler!$F45="","",IF(AND(Görevler!$C45&lt;=(AB$4+Ayarlar!$C$6-1),Görevler!$D45&gt;=AB$4),IF(AB$4&lt;=Görevler!$C45+ROUND(Görevler!$F45*Görevler!$E45,0)-1,2,1),""))</f>
        <v/>
      </c>
      <c r="AC45" s="22" t="str">
        <f aca="false">IF(Görevler!$F45="","",IF(AND(Görevler!$C45&lt;=(AC$4+Ayarlar!$C$6-1),Görevler!$D45&gt;=AC$4),IF(AC$4&lt;=Görevler!$C45+ROUND(Görevler!$F45*Görevler!$E45,0)-1,2,1),""))</f>
        <v/>
      </c>
      <c r="AD45" s="22" t="str">
        <f aca="false">IF(Görevler!$F45="","",IF(AND(Görevler!$C45&lt;=(AD$4+Ayarlar!$C$6-1),Görevler!$D45&gt;=AD$4),IF(AD$4&lt;=Görevler!$C45+ROUND(Görevler!$F45*Görevler!$E45,0)-1,2,1),""))</f>
        <v/>
      </c>
      <c r="AE45" s="22" t="str">
        <f aca="false">IF(Görevler!$F45="","",IF(AND(Görevler!$C45&lt;=(AE$4+Ayarlar!$C$6-1),Görevler!$D45&gt;=AE$4),IF(AE$4&lt;=Görevler!$C45+ROUND(Görevler!$F45*Görevler!$E45,0)-1,2,1),""))</f>
        <v/>
      </c>
      <c r="AF45" s="22" t="str">
        <f aca="false">IF(Görevler!$F45="","",IF(AND(Görevler!$C45&lt;=(AF$4+Ayarlar!$C$6-1),Görevler!$D45&gt;=AF$4),IF(AF$4&lt;=Görevler!$C45+ROUND(Görevler!$F45*Görevler!$E45,0)-1,2,1),""))</f>
        <v/>
      </c>
      <c r="AG45" s="22" t="str">
        <f aca="false">IF(Görevler!$F45="","",IF(AND(Görevler!$C45&lt;=(AG$4+Ayarlar!$C$6-1),Görevler!$D45&gt;=AG$4),IF(AG$4&lt;=Görevler!$C45+ROUND(Görevler!$F45*Görevler!$E45,0)-1,2,1),""))</f>
        <v/>
      </c>
      <c r="AH45" s="22" t="str">
        <f aca="false">IF(Görevler!$F45="","",IF(AND(Görevler!$C45&lt;=(AH$4+Ayarlar!$C$6-1),Görevler!$D45&gt;=AH$4),IF(AH$4&lt;=Görevler!$C45+ROUND(Görevler!$F45*Görevler!$E45,0)-1,2,1),""))</f>
        <v/>
      </c>
      <c r="AI45" s="22" t="str">
        <f aca="false">IF(Görevler!$F45="","",IF(AND(Görevler!$C45&lt;=(AI$4+Ayarlar!$C$6-1),Görevler!$D45&gt;=AI$4),IF(AI$4&lt;=Görevler!$C45+ROUND(Görevler!$F45*Görevler!$E45,0)-1,2,1),""))</f>
        <v/>
      </c>
      <c r="AJ45" s="22" t="str">
        <f aca="false">IF(Görevler!$F45="","",IF(AND(Görevler!$C45&lt;=(AJ$4+Ayarlar!$C$6-1),Görevler!$D45&gt;=AJ$4),IF(AJ$4&lt;=Görevler!$C45+ROUND(Görevler!$F45*Görevler!$E45,0)-1,2,1),""))</f>
        <v/>
      </c>
      <c r="AK45" s="22" t="str">
        <f aca="false">IF(Görevler!$F45="","",IF(AND(Görevler!$C45&lt;=(AK$4+Ayarlar!$C$6-1),Görevler!$D45&gt;=AK$4),IF(AK$4&lt;=Görevler!$C45+ROUND(Görevler!$F45*Görevler!$E45,0)-1,2,1),""))</f>
        <v/>
      </c>
      <c r="AL45" s="22" t="str">
        <f aca="false">IF(Görevler!$F45="","",IF(AND(Görevler!$C45&lt;=(AL$4+Ayarlar!$C$6-1),Görevler!$D45&gt;=AL$4),IF(AL$4&lt;=Görevler!$C45+ROUND(Görevler!$F45*Görevler!$E45,0)-1,2,1),""))</f>
        <v/>
      </c>
      <c r="AM45" s="22" t="str">
        <f aca="false">IF(Görevler!$F45="","",IF(AND(Görevler!$C45&lt;=(AM$4+Ayarlar!$C$6-1),Görevler!$D45&gt;=AM$4),IF(AM$4&lt;=Görevler!$C45+ROUND(Görevler!$F45*Görevler!$E45,0)-1,2,1),""))</f>
        <v/>
      </c>
      <c r="AN45" s="22" t="str">
        <f aca="false">IF(Görevler!$F45="","",IF(AND(Görevler!$C45&lt;=(AN$4+Ayarlar!$C$6-1),Görevler!$D45&gt;=AN$4),IF(AN$4&lt;=Görevler!$C45+ROUND(Görevler!$F45*Görevler!$E45,0)-1,2,1),""))</f>
        <v/>
      </c>
      <c r="AO45" s="22" t="str">
        <f aca="false">IF(Görevler!$F45="","",IF(AND(Görevler!$C45&lt;=(AO$4+Ayarlar!$C$6-1),Görevler!$D45&gt;=AO$4),IF(AO$4&lt;=Görevler!$C45+ROUND(Görevler!$F45*Görevler!$E45,0)-1,2,1),""))</f>
        <v/>
      </c>
      <c r="AP45" s="22" t="str">
        <f aca="false">IF(Görevler!$F45="","",IF(AND(Görevler!$C45&lt;=(AP$4+Ayarlar!$C$6-1),Görevler!$D45&gt;=AP$4),IF(AP$4&lt;=Görevler!$C45+ROUND(Görevler!$F45*Görevler!$E45,0)-1,2,1),""))</f>
        <v/>
      </c>
      <c r="AQ45" s="22" t="str">
        <f aca="false">IF(Görevler!$F45="","",IF(AND(Görevler!$C45&lt;=(AQ$4+Ayarlar!$C$6-1),Görevler!$D45&gt;=AQ$4),IF(AQ$4&lt;=Görevler!$C45+ROUND(Görevler!$F45*Görevler!$E45,0)-1,2,1),""))</f>
        <v/>
      </c>
      <c r="AR45" s="22" t="str">
        <f aca="false">IF(Görevler!$F45="","",IF(AND(Görevler!$C45&lt;=(AR$4+Ayarlar!$C$6-1),Görevler!$D45&gt;=AR$4),IF(AR$4&lt;=Görevler!$C45+ROUND(Görevler!$F45*Görevler!$E45,0)-1,2,1),""))</f>
        <v/>
      </c>
      <c r="AS45" s="22" t="str">
        <f aca="false">IF(Görevler!$F45="","",IF(AND(Görevler!$C45&lt;=(AS$4+Ayarlar!$C$6-1),Görevler!$D45&gt;=AS$4),IF(AS$4&lt;=Görevler!$C45+ROUND(Görevler!$F45*Görevler!$E45,0)-1,2,1),""))</f>
        <v/>
      </c>
      <c r="AT45" s="22" t="str">
        <f aca="false">IF(Görevler!$F45="","",IF(AND(Görevler!$C45&lt;=(AT$4+Ayarlar!$C$6-1),Görevler!$D45&gt;=AT$4),IF(AT$4&lt;=Görevler!$C45+ROUND(Görevler!$F45*Görevler!$E45,0)-1,2,1),""))</f>
        <v/>
      </c>
      <c r="AU45" s="22" t="str">
        <f aca="false">IF(Görevler!$F45="","",IF(AND(Görevler!$C45&lt;=(AU$4+Ayarlar!$C$6-1),Görevler!$D45&gt;=AU$4),IF(AU$4&lt;=Görevler!$C45+ROUND(Görevler!$F45*Görevler!$E45,0)-1,2,1),""))</f>
        <v/>
      </c>
      <c r="AV45" s="22" t="str">
        <f aca="false">IF(Görevler!$F45="","",IF(AND(Görevler!$C45&lt;=(AV$4+Ayarlar!$C$6-1),Görevler!$D45&gt;=AV$4),IF(AV$4&lt;=Görevler!$C45+ROUND(Görevler!$F45*Görevler!$E45,0)-1,2,1),""))</f>
        <v/>
      </c>
      <c r="AW45" s="22" t="str">
        <f aca="false">IF(Görevler!$F45="","",IF(AND(Görevler!$C45&lt;=(AW$4+Ayarlar!$C$6-1),Görevler!$D45&gt;=AW$4),IF(AW$4&lt;=Görevler!$C45+ROUND(Görevler!$F45*Görevler!$E45,0)-1,2,1),""))</f>
        <v/>
      </c>
      <c r="AX45" s="22" t="str">
        <f aca="false">IF(Görevler!$F45="","",IF(AND(Görevler!$C45&lt;=(AX$4+Ayarlar!$C$6-1),Görevler!$D45&gt;=AX$4),IF(AX$4&lt;=Görevler!$C45+ROUND(Görevler!$F45*Görevler!$E45,0)-1,2,1),""))</f>
        <v/>
      </c>
      <c r="AY45" s="22" t="str">
        <f aca="false">IF(Görevler!$F45="","",IF(AND(Görevler!$C45&lt;=(AY$4+Ayarlar!$C$6-1),Görevler!$D45&gt;=AY$4),IF(AY$4&lt;=Görevler!$C45+ROUND(Görevler!$F45*Görevler!$E45,0)-1,2,1),""))</f>
        <v/>
      </c>
      <c r="AZ45" s="22" t="str">
        <f aca="false">IF(Görevler!$F45="","",IF(AND(Görevler!$C45&lt;=(AZ$4+Ayarlar!$C$6-1),Görevler!$D45&gt;=AZ$4),IF(AZ$4&lt;=Görevler!$C45+ROUND(Görevler!$F45*Görevler!$E45,0)-1,2,1),""))</f>
        <v/>
      </c>
      <c r="BA45" s="22" t="str">
        <f aca="false">IF(Görevler!$F45="","",IF(AND(Görevler!$C45&lt;=(BA$4+Ayarlar!$C$6-1),Görevler!$D45&gt;=BA$4),IF(BA$4&lt;=Görevler!$C45+ROUND(Görevler!$F45*Görevler!$E45,0)-1,2,1),""))</f>
        <v/>
      </c>
      <c r="BB45" s="22" t="str">
        <f aca="false">IF(Görevler!$F45="","",IF(AND(Görevler!$C45&lt;=(BB$4+Ayarlar!$C$6-1),Görevler!$D45&gt;=BB$4),IF(BB$4&lt;=Görevler!$C45+ROUND(Görevler!$F45*Görevler!$E45,0)-1,2,1),""))</f>
        <v/>
      </c>
      <c r="BC45" s="22" t="str">
        <f aca="false">IF(Görevler!$F45="","",IF(AND(Görevler!$C45&lt;=(BC$4+Ayarlar!$C$6-1),Görevler!$D45&gt;=BC$4),IF(BC$4&lt;=Görevler!$C45+ROUND(Görevler!$F45*Görevler!$E45,0)-1,2,1),""))</f>
        <v/>
      </c>
      <c r="BD45" s="22" t="str">
        <f aca="false">IF(Görevler!$F45="","",IF(AND(Görevler!$C45&lt;=(BD$4+Ayarlar!$C$6-1),Görevler!$D45&gt;=BD$4),IF(BD$4&lt;=Görevler!$C45+ROUND(Görevler!$F45*Görevler!$E45,0)-1,2,1),""))</f>
        <v/>
      </c>
      <c r="BE45" s="22" t="str">
        <f aca="false">IF(Görevler!$F45="","",IF(AND(Görevler!$C45&lt;=(BE$4+Ayarlar!$C$6-1),Görevler!$D45&gt;=BE$4),IF(BE$4&lt;=Görevler!$C45+ROUND(Görevler!$F45*Görevler!$E45,0)-1,2,1),""))</f>
        <v/>
      </c>
      <c r="BF45" s="22" t="str">
        <f aca="false">IF(Görevler!$F45="","",IF(AND(Görevler!$C45&lt;=(BF$4+Ayarlar!$C$6-1),Görevler!$D45&gt;=BF$4),IF(BF$4&lt;=Görevler!$C45+ROUND(Görevler!$F45*Görevler!$E45,0)-1,2,1),""))</f>
        <v/>
      </c>
      <c r="BG45" s="22" t="str">
        <f aca="false">IF(Görevler!$F45="","",IF(AND(Görevler!$C45&lt;=(BG$4+Ayarlar!$C$6-1),Görevler!$D45&gt;=BG$4),IF(BG$4&lt;=Görevler!$C45+ROUND(Görevler!$F45*Görevler!$E45,0)-1,2,1),""))</f>
        <v/>
      </c>
      <c r="BH45" s="22" t="str">
        <f aca="false">IF(Görevler!$F45="","",IF(AND(Görevler!$C45&lt;=(BH$4+Ayarlar!$C$6-1),Görevler!$D45&gt;=BH$4),IF(BH$4&lt;=Görevler!$C45+ROUND(Görevler!$F45*Görevler!$E45,0)-1,2,1),""))</f>
        <v/>
      </c>
      <c r="BI45" s="22" t="str">
        <f aca="false">IF(Görevler!$F45="","",IF(AND(Görevler!$C45&lt;=(BI$4+Ayarlar!$C$6-1),Görevler!$D45&gt;=BI$4),IF(BI$4&lt;=Görevler!$C45+ROUND(Görevler!$F45*Görevler!$E45,0)-1,2,1),""))</f>
        <v/>
      </c>
      <c r="BJ45" s="22" t="str">
        <f aca="false">IF(Görevler!$F45="","",IF(AND(Görevler!$C45&lt;=(BJ$4+Ayarlar!$C$6-1),Görevler!$D45&gt;=BJ$4),IF(BJ$4&lt;=Görevler!$C45+ROUND(Görevler!$F45*Görevler!$E45,0)-1,2,1),""))</f>
        <v/>
      </c>
    </row>
    <row r="46" customFormat="false" ht="15" hidden="false" customHeight="false" outlineLevel="0" collapsed="false">
      <c r="A46" s="21" t="str">
        <f aca="false">IF(Görevler!A46="","",Görevler!A46)</f>
        <v/>
      </c>
      <c r="B46" s="21" t="str">
        <f aca="false">IF(Görevler!A46="","",Görevler!B46&amp;"")</f>
        <v/>
      </c>
      <c r="C46" s="22" t="str">
        <f aca="false">IF(Görevler!$F46="","",IF(AND(Görevler!$C46&lt;=(C$4+Ayarlar!$C$6-1),Görevler!$D46&gt;=C$4),IF(C$4&lt;=Görevler!$C46+ROUND(Görevler!$F46*Görevler!$E46,0)-1,2,1),""))</f>
        <v/>
      </c>
      <c r="D46" s="22" t="str">
        <f aca="false">IF(Görevler!$F46="","",IF(AND(Görevler!$C46&lt;=(D$4+Ayarlar!$C$6-1),Görevler!$D46&gt;=D$4),IF(D$4&lt;=Görevler!$C46+ROUND(Görevler!$F46*Görevler!$E46,0)-1,2,1),""))</f>
        <v/>
      </c>
      <c r="E46" s="22" t="str">
        <f aca="false">IF(Görevler!$F46="","",IF(AND(Görevler!$C46&lt;=(E$4+Ayarlar!$C$6-1),Görevler!$D46&gt;=E$4),IF(E$4&lt;=Görevler!$C46+ROUND(Görevler!$F46*Görevler!$E46,0)-1,2,1),""))</f>
        <v/>
      </c>
      <c r="F46" s="22" t="str">
        <f aca="false">IF(Görevler!$F46="","",IF(AND(Görevler!$C46&lt;=(F$4+Ayarlar!$C$6-1),Görevler!$D46&gt;=F$4),IF(F$4&lt;=Görevler!$C46+ROUND(Görevler!$F46*Görevler!$E46,0)-1,2,1),""))</f>
        <v/>
      </c>
      <c r="G46" s="22" t="str">
        <f aca="false">IF(Görevler!$F46="","",IF(AND(Görevler!$C46&lt;=(G$4+Ayarlar!$C$6-1),Görevler!$D46&gt;=G$4),IF(G$4&lt;=Görevler!$C46+ROUND(Görevler!$F46*Görevler!$E46,0)-1,2,1),""))</f>
        <v/>
      </c>
      <c r="H46" s="22" t="str">
        <f aca="false">IF(Görevler!$F46="","",IF(AND(Görevler!$C46&lt;=(H$4+Ayarlar!$C$6-1),Görevler!$D46&gt;=H$4),IF(H$4&lt;=Görevler!$C46+ROUND(Görevler!$F46*Görevler!$E46,0)-1,2,1),""))</f>
        <v/>
      </c>
      <c r="I46" s="22" t="str">
        <f aca="false">IF(Görevler!$F46="","",IF(AND(Görevler!$C46&lt;=(I$4+Ayarlar!$C$6-1),Görevler!$D46&gt;=I$4),IF(I$4&lt;=Görevler!$C46+ROUND(Görevler!$F46*Görevler!$E46,0)-1,2,1),""))</f>
        <v/>
      </c>
      <c r="J46" s="22" t="str">
        <f aca="false">IF(Görevler!$F46="","",IF(AND(Görevler!$C46&lt;=(J$4+Ayarlar!$C$6-1),Görevler!$D46&gt;=J$4),IF(J$4&lt;=Görevler!$C46+ROUND(Görevler!$F46*Görevler!$E46,0)-1,2,1),""))</f>
        <v/>
      </c>
      <c r="K46" s="22" t="str">
        <f aca="false">IF(Görevler!$F46="","",IF(AND(Görevler!$C46&lt;=(K$4+Ayarlar!$C$6-1),Görevler!$D46&gt;=K$4),IF(K$4&lt;=Görevler!$C46+ROUND(Görevler!$F46*Görevler!$E46,0)-1,2,1),""))</f>
        <v/>
      </c>
      <c r="L46" s="22" t="str">
        <f aca="false">IF(Görevler!$F46="","",IF(AND(Görevler!$C46&lt;=(L$4+Ayarlar!$C$6-1),Görevler!$D46&gt;=L$4),IF(L$4&lt;=Görevler!$C46+ROUND(Görevler!$F46*Görevler!$E46,0)-1,2,1),""))</f>
        <v/>
      </c>
      <c r="M46" s="22" t="str">
        <f aca="false">IF(Görevler!$F46="","",IF(AND(Görevler!$C46&lt;=(M$4+Ayarlar!$C$6-1),Görevler!$D46&gt;=M$4),IF(M$4&lt;=Görevler!$C46+ROUND(Görevler!$F46*Görevler!$E46,0)-1,2,1),""))</f>
        <v/>
      </c>
      <c r="N46" s="22" t="str">
        <f aca="false">IF(Görevler!$F46="","",IF(AND(Görevler!$C46&lt;=(N$4+Ayarlar!$C$6-1),Görevler!$D46&gt;=N$4),IF(N$4&lt;=Görevler!$C46+ROUND(Görevler!$F46*Görevler!$E46,0)-1,2,1),""))</f>
        <v/>
      </c>
      <c r="O46" s="22" t="str">
        <f aca="false">IF(Görevler!$F46="","",IF(AND(Görevler!$C46&lt;=(O$4+Ayarlar!$C$6-1),Görevler!$D46&gt;=O$4),IF(O$4&lt;=Görevler!$C46+ROUND(Görevler!$F46*Görevler!$E46,0)-1,2,1),""))</f>
        <v/>
      </c>
      <c r="P46" s="22" t="str">
        <f aca="false">IF(Görevler!$F46="","",IF(AND(Görevler!$C46&lt;=(P$4+Ayarlar!$C$6-1),Görevler!$D46&gt;=P$4),IF(P$4&lt;=Görevler!$C46+ROUND(Görevler!$F46*Görevler!$E46,0)-1,2,1),""))</f>
        <v/>
      </c>
      <c r="Q46" s="22" t="str">
        <f aca="false">IF(Görevler!$F46="","",IF(AND(Görevler!$C46&lt;=(Q$4+Ayarlar!$C$6-1),Görevler!$D46&gt;=Q$4),IF(Q$4&lt;=Görevler!$C46+ROUND(Görevler!$F46*Görevler!$E46,0)-1,2,1),""))</f>
        <v/>
      </c>
      <c r="R46" s="22" t="str">
        <f aca="false">IF(Görevler!$F46="","",IF(AND(Görevler!$C46&lt;=(R$4+Ayarlar!$C$6-1),Görevler!$D46&gt;=R$4),IF(R$4&lt;=Görevler!$C46+ROUND(Görevler!$F46*Görevler!$E46,0)-1,2,1),""))</f>
        <v/>
      </c>
      <c r="S46" s="22" t="str">
        <f aca="false">IF(Görevler!$F46="","",IF(AND(Görevler!$C46&lt;=(S$4+Ayarlar!$C$6-1),Görevler!$D46&gt;=S$4),IF(S$4&lt;=Görevler!$C46+ROUND(Görevler!$F46*Görevler!$E46,0)-1,2,1),""))</f>
        <v/>
      </c>
      <c r="T46" s="22" t="str">
        <f aca="false">IF(Görevler!$F46="","",IF(AND(Görevler!$C46&lt;=(T$4+Ayarlar!$C$6-1),Görevler!$D46&gt;=T$4),IF(T$4&lt;=Görevler!$C46+ROUND(Görevler!$F46*Görevler!$E46,0)-1,2,1),""))</f>
        <v/>
      </c>
      <c r="U46" s="22" t="str">
        <f aca="false">IF(Görevler!$F46="","",IF(AND(Görevler!$C46&lt;=(U$4+Ayarlar!$C$6-1),Görevler!$D46&gt;=U$4),IF(U$4&lt;=Görevler!$C46+ROUND(Görevler!$F46*Görevler!$E46,0)-1,2,1),""))</f>
        <v/>
      </c>
      <c r="V46" s="22" t="str">
        <f aca="false">IF(Görevler!$F46="","",IF(AND(Görevler!$C46&lt;=(V$4+Ayarlar!$C$6-1),Görevler!$D46&gt;=V$4),IF(V$4&lt;=Görevler!$C46+ROUND(Görevler!$F46*Görevler!$E46,0)-1,2,1),""))</f>
        <v/>
      </c>
      <c r="W46" s="22" t="str">
        <f aca="false">IF(Görevler!$F46="","",IF(AND(Görevler!$C46&lt;=(W$4+Ayarlar!$C$6-1),Görevler!$D46&gt;=W$4),IF(W$4&lt;=Görevler!$C46+ROUND(Görevler!$F46*Görevler!$E46,0)-1,2,1),""))</f>
        <v/>
      </c>
      <c r="X46" s="22" t="str">
        <f aca="false">IF(Görevler!$F46="","",IF(AND(Görevler!$C46&lt;=(X$4+Ayarlar!$C$6-1),Görevler!$D46&gt;=X$4),IF(X$4&lt;=Görevler!$C46+ROUND(Görevler!$F46*Görevler!$E46,0)-1,2,1),""))</f>
        <v/>
      </c>
      <c r="Y46" s="22" t="str">
        <f aca="false">IF(Görevler!$F46="","",IF(AND(Görevler!$C46&lt;=(Y$4+Ayarlar!$C$6-1),Görevler!$D46&gt;=Y$4),IF(Y$4&lt;=Görevler!$C46+ROUND(Görevler!$F46*Görevler!$E46,0)-1,2,1),""))</f>
        <v/>
      </c>
      <c r="Z46" s="22" t="str">
        <f aca="false">IF(Görevler!$F46="","",IF(AND(Görevler!$C46&lt;=(Z$4+Ayarlar!$C$6-1),Görevler!$D46&gt;=Z$4),IF(Z$4&lt;=Görevler!$C46+ROUND(Görevler!$F46*Görevler!$E46,0)-1,2,1),""))</f>
        <v/>
      </c>
      <c r="AA46" s="22" t="str">
        <f aca="false">IF(Görevler!$F46="","",IF(AND(Görevler!$C46&lt;=(AA$4+Ayarlar!$C$6-1),Görevler!$D46&gt;=AA$4),IF(AA$4&lt;=Görevler!$C46+ROUND(Görevler!$F46*Görevler!$E46,0)-1,2,1),""))</f>
        <v/>
      </c>
      <c r="AB46" s="22" t="str">
        <f aca="false">IF(Görevler!$F46="","",IF(AND(Görevler!$C46&lt;=(AB$4+Ayarlar!$C$6-1),Görevler!$D46&gt;=AB$4),IF(AB$4&lt;=Görevler!$C46+ROUND(Görevler!$F46*Görevler!$E46,0)-1,2,1),""))</f>
        <v/>
      </c>
      <c r="AC46" s="22" t="str">
        <f aca="false">IF(Görevler!$F46="","",IF(AND(Görevler!$C46&lt;=(AC$4+Ayarlar!$C$6-1),Görevler!$D46&gt;=AC$4),IF(AC$4&lt;=Görevler!$C46+ROUND(Görevler!$F46*Görevler!$E46,0)-1,2,1),""))</f>
        <v/>
      </c>
      <c r="AD46" s="22" t="str">
        <f aca="false">IF(Görevler!$F46="","",IF(AND(Görevler!$C46&lt;=(AD$4+Ayarlar!$C$6-1),Görevler!$D46&gt;=AD$4),IF(AD$4&lt;=Görevler!$C46+ROUND(Görevler!$F46*Görevler!$E46,0)-1,2,1),""))</f>
        <v/>
      </c>
      <c r="AE46" s="22" t="str">
        <f aca="false">IF(Görevler!$F46="","",IF(AND(Görevler!$C46&lt;=(AE$4+Ayarlar!$C$6-1),Görevler!$D46&gt;=AE$4),IF(AE$4&lt;=Görevler!$C46+ROUND(Görevler!$F46*Görevler!$E46,0)-1,2,1),""))</f>
        <v/>
      </c>
      <c r="AF46" s="22" t="str">
        <f aca="false">IF(Görevler!$F46="","",IF(AND(Görevler!$C46&lt;=(AF$4+Ayarlar!$C$6-1),Görevler!$D46&gt;=AF$4),IF(AF$4&lt;=Görevler!$C46+ROUND(Görevler!$F46*Görevler!$E46,0)-1,2,1),""))</f>
        <v/>
      </c>
      <c r="AG46" s="22" t="str">
        <f aca="false">IF(Görevler!$F46="","",IF(AND(Görevler!$C46&lt;=(AG$4+Ayarlar!$C$6-1),Görevler!$D46&gt;=AG$4),IF(AG$4&lt;=Görevler!$C46+ROUND(Görevler!$F46*Görevler!$E46,0)-1,2,1),""))</f>
        <v/>
      </c>
      <c r="AH46" s="22" t="str">
        <f aca="false">IF(Görevler!$F46="","",IF(AND(Görevler!$C46&lt;=(AH$4+Ayarlar!$C$6-1),Görevler!$D46&gt;=AH$4),IF(AH$4&lt;=Görevler!$C46+ROUND(Görevler!$F46*Görevler!$E46,0)-1,2,1),""))</f>
        <v/>
      </c>
      <c r="AI46" s="22" t="str">
        <f aca="false">IF(Görevler!$F46="","",IF(AND(Görevler!$C46&lt;=(AI$4+Ayarlar!$C$6-1),Görevler!$D46&gt;=AI$4),IF(AI$4&lt;=Görevler!$C46+ROUND(Görevler!$F46*Görevler!$E46,0)-1,2,1),""))</f>
        <v/>
      </c>
      <c r="AJ46" s="22" t="str">
        <f aca="false">IF(Görevler!$F46="","",IF(AND(Görevler!$C46&lt;=(AJ$4+Ayarlar!$C$6-1),Görevler!$D46&gt;=AJ$4),IF(AJ$4&lt;=Görevler!$C46+ROUND(Görevler!$F46*Görevler!$E46,0)-1,2,1),""))</f>
        <v/>
      </c>
      <c r="AK46" s="22" t="str">
        <f aca="false">IF(Görevler!$F46="","",IF(AND(Görevler!$C46&lt;=(AK$4+Ayarlar!$C$6-1),Görevler!$D46&gt;=AK$4),IF(AK$4&lt;=Görevler!$C46+ROUND(Görevler!$F46*Görevler!$E46,0)-1,2,1),""))</f>
        <v/>
      </c>
      <c r="AL46" s="22" t="str">
        <f aca="false">IF(Görevler!$F46="","",IF(AND(Görevler!$C46&lt;=(AL$4+Ayarlar!$C$6-1),Görevler!$D46&gt;=AL$4),IF(AL$4&lt;=Görevler!$C46+ROUND(Görevler!$F46*Görevler!$E46,0)-1,2,1),""))</f>
        <v/>
      </c>
      <c r="AM46" s="22" t="str">
        <f aca="false">IF(Görevler!$F46="","",IF(AND(Görevler!$C46&lt;=(AM$4+Ayarlar!$C$6-1),Görevler!$D46&gt;=AM$4),IF(AM$4&lt;=Görevler!$C46+ROUND(Görevler!$F46*Görevler!$E46,0)-1,2,1),""))</f>
        <v/>
      </c>
      <c r="AN46" s="22" t="str">
        <f aca="false">IF(Görevler!$F46="","",IF(AND(Görevler!$C46&lt;=(AN$4+Ayarlar!$C$6-1),Görevler!$D46&gt;=AN$4),IF(AN$4&lt;=Görevler!$C46+ROUND(Görevler!$F46*Görevler!$E46,0)-1,2,1),""))</f>
        <v/>
      </c>
      <c r="AO46" s="22" t="str">
        <f aca="false">IF(Görevler!$F46="","",IF(AND(Görevler!$C46&lt;=(AO$4+Ayarlar!$C$6-1),Görevler!$D46&gt;=AO$4),IF(AO$4&lt;=Görevler!$C46+ROUND(Görevler!$F46*Görevler!$E46,0)-1,2,1),""))</f>
        <v/>
      </c>
      <c r="AP46" s="22" t="str">
        <f aca="false">IF(Görevler!$F46="","",IF(AND(Görevler!$C46&lt;=(AP$4+Ayarlar!$C$6-1),Görevler!$D46&gt;=AP$4),IF(AP$4&lt;=Görevler!$C46+ROUND(Görevler!$F46*Görevler!$E46,0)-1,2,1),""))</f>
        <v/>
      </c>
      <c r="AQ46" s="22" t="str">
        <f aca="false">IF(Görevler!$F46="","",IF(AND(Görevler!$C46&lt;=(AQ$4+Ayarlar!$C$6-1),Görevler!$D46&gt;=AQ$4),IF(AQ$4&lt;=Görevler!$C46+ROUND(Görevler!$F46*Görevler!$E46,0)-1,2,1),""))</f>
        <v/>
      </c>
      <c r="AR46" s="22" t="str">
        <f aca="false">IF(Görevler!$F46="","",IF(AND(Görevler!$C46&lt;=(AR$4+Ayarlar!$C$6-1),Görevler!$D46&gt;=AR$4),IF(AR$4&lt;=Görevler!$C46+ROUND(Görevler!$F46*Görevler!$E46,0)-1,2,1),""))</f>
        <v/>
      </c>
      <c r="AS46" s="22" t="str">
        <f aca="false">IF(Görevler!$F46="","",IF(AND(Görevler!$C46&lt;=(AS$4+Ayarlar!$C$6-1),Görevler!$D46&gt;=AS$4),IF(AS$4&lt;=Görevler!$C46+ROUND(Görevler!$F46*Görevler!$E46,0)-1,2,1),""))</f>
        <v/>
      </c>
      <c r="AT46" s="22" t="str">
        <f aca="false">IF(Görevler!$F46="","",IF(AND(Görevler!$C46&lt;=(AT$4+Ayarlar!$C$6-1),Görevler!$D46&gt;=AT$4),IF(AT$4&lt;=Görevler!$C46+ROUND(Görevler!$F46*Görevler!$E46,0)-1,2,1),""))</f>
        <v/>
      </c>
      <c r="AU46" s="22" t="str">
        <f aca="false">IF(Görevler!$F46="","",IF(AND(Görevler!$C46&lt;=(AU$4+Ayarlar!$C$6-1),Görevler!$D46&gt;=AU$4),IF(AU$4&lt;=Görevler!$C46+ROUND(Görevler!$F46*Görevler!$E46,0)-1,2,1),""))</f>
        <v/>
      </c>
      <c r="AV46" s="22" t="str">
        <f aca="false">IF(Görevler!$F46="","",IF(AND(Görevler!$C46&lt;=(AV$4+Ayarlar!$C$6-1),Görevler!$D46&gt;=AV$4),IF(AV$4&lt;=Görevler!$C46+ROUND(Görevler!$F46*Görevler!$E46,0)-1,2,1),""))</f>
        <v/>
      </c>
      <c r="AW46" s="22" t="str">
        <f aca="false">IF(Görevler!$F46="","",IF(AND(Görevler!$C46&lt;=(AW$4+Ayarlar!$C$6-1),Görevler!$D46&gt;=AW$4),IF(AW$4&lt;=Görevler!$C46+ROUND(Görevler!$F46*Görevler!$E46,0)-1,2,1),""))</f>
        <v/>
      </c>
      <c r="AX46" s="22" t="str">
        <f aca="false">IF(Görevler!$F46="","",IF(AND(Görevler!$C46&lt;=(AX$4+Ayarlar!$C$6-1),Görevler!$D46&gt;=AX$4),IF(AX$4&lt;=Görevler!$C46+ROUND(Görevler!$F46*Görevler!$E46,0)-1,2,1),""))</f>
        <v/>
      </c>
      <c r="AY46" s="22" t="str">
        <f aca="false">IF(Görevler!$F46="","",IF(AND(Görevler!$C46&lt;=(AY$4+Ayarlar!$C$6-1),Görevler!$D46&gt;=AY$4),IF(AY$4&lt;=Görevler!$C46+ROUND(Görevler!$F46*Görevler!$E46,0)-1,2,1),""))</f>
        <v/>
      </c>
      <c r="AZ46" s="22" t="str">
        <f aca="false">IF(Görevler!$F46="","",IF(AND(Görevler!$C46&lt;=(AZ$4+Ayarlar!$C$6-1),Görevler!$D46&gt;=AZ$4),IF(AZ$4&lt;=Görevler!$C46+ROUND(Görevler!$F46*Görevler!$E46,0)-1,2,1),""))</f>
        <v/>
      </c>
      <c r="BA46" s="22" t="str">
        <f aca="false">IF(Görevler!$F46="","",IF(AND(Görevler!$C46&lt;=(BA$4+Ayarlar!$C$6-1),Görevler!$D46&gt;=BA$4),IF(BA$4&lt;=Görevler!$C46+ROUND(Görevler!$F46*Görevler!$E46,0)-1,2,1),""))</f>
        <v/>
      </c>
      <c r="BB46" s="22" t="str">
        <f aca="false">IF(Görevler!$F46="","",IF(AND(Görevler!$C46&lt;=(BB$4+Ayarlar!$C$6-1),Görevler!$D46&gt;=BB$4),IF(BB$4&lt;=Görevler!$C46+ROUND(Görevler!$F46*Görevler!$E46,0)-1,2,1),""))</f>
        <v/>
      </c>
      <c r="BC46" s="22" t="str">
        <f aca="false">IF(Görevler!$F46="","",IF(AND(Görevler!$C46&lt;=(BC$4+Ayarlar!$C$6-1),Görevler!$D46&gt;=BC$4),IF(BC$4&lt;=Görevler!$C46+ROUND(Görevler!$F46*Görevler!$E46,0)-1,2,1),""))</f>
        <v/>
      </c>
      <c r="BD46" s="22" t="str">
        <f aca="false">IF(Görevler!$F46="","",IF(AND(Görevler!$C46&lt;=(BD$4+Ayarlar!$C$6-1),Görevler!$D46&gt;=BD$4),IF(BD$4&lt;=Görevler!$C46+ROUND(Görevler!$F46*Görevler!$E46,0)-1,2,1),""))</f>
        <v/>
      </c>
      <c r="BE46" s="22" t="str">
        <f aca="false">IF(Görevler!$F46="","",IF(AND(Görevler!$C46&lt;=(BE$4+Ayarlar!$C$6-1),Görevler!$D46&gt;=BE$4),IF(BE$4&lt;=Görevler!$C46+ROUND(Görevler!$F46*Görevler!$E46,0)-1,2,1),""))</f>
        <v/>
      </c>
      <c r="BF46" s="22" t="str">
        <f aca="false">IF(Görevler!$F46="","",IF(AND(Görevler!$C46&lt;=(BF$4+Ayarlar!$C$6-1),Görevler!$D46&gt;=BF$4),IF(BF$4&lt;=Görevler!$C46+ROUND(Görevler!$F46*Görevler!$E46,0)-1,2,1),""))</f>
        <v/>
      </c>
      <c r="BG46" s="22" t="str">
        <f aca="false">IF(Görevler!$F46="","",IF(AND(Görevler!$C46&lt;=(BG$4+Ayarlar!$C$6-1),Görevler!$D46&gt;=BG$4),IF(BG$4&lt;=Görevler!$C46+ROUND(Görevler!$F46*Görevler!$E46,0)-1,2,1),""))</f>
        <v/>
      </c>
      <c r="BH46" s="22" t="str">
        <f aca="false">IF(Görevler!$F46="","",IF(AND(Görevler!$C46&lt;=(BH$4+Ayarlar!$C$6-1),Görevler!$D46&gt;=BH$4),IF(BH$4&lt;=Görevler!$C46+ROUND(Görevler!$F46*Görevler!$E46,0)-1,2,1),""))</f>
        <v/>
      </c>
      <c r="BI46" s="22" t="str">
        <f aca="false">IF(Görevler!$F46="","",IF(AND(Görevler!$C46&lt;=(BI$4+Ayarlar!$C$6-1),Görevler!$D46&gt;=BI$4),IF(BI$4&lt;=Görevler!$C46+ROUND(Görevler!$F46*Görevler!$E46,0)-1,2,1),""))</f>
        <v/>
      </c>
      <c r="BJ46" s="22" t="str">
        <f aca="false">IF(Görevler!$F46="","",IF(AND(Görevler!$C46&lt;=(BJ$4+Ayarlar!$C$6-1),Görevler!$D46&gt;=BJ$4),IF(BJ$4&lt;=Görevler!$C46+ROUND(Görevler!$F46*Görevler!$E46,0)-1,2,1),""))</f>
        <v/>
      </c>
    </row>
    <row r="47" customFormat="false" ht="15" hidden="false" customHeight="false" outlineLevel="0" collapsed="false">
      <c r="A47" s="21" t="str">
        <f aca="false">IF(Görevler!A47="","",Görevler!A47)</f>
        <v/>
      </c>
      <c r="B47" s="21" t="str">
        <f aca="false">IF(Görevler!A47="","",Görevler!B47&amp;"")</f>
        <v/>
      </c>
      <c r="C47" s="22" t="str">
        <f aca="false">IF(Görevler!$F47="","",IF(AND(Görevler!$C47&lt;=(C$4+Ayarlar!$C$6-1),Görevler!$D47&gt;=C$4),IF(C$4&lt;=Görevler!$C47+ROUND(Görevler!$F47*Görevler!$E47,0)-1,2,1),""))</f>
        <v/>
      </c>
      <c r="D47" s="22" t="str">
        <f aca="false">IF(Görevler!$F47="","",IF(AND(Görevler!$C47&lt;=(D$4+Ayarlar!$C$6-1),Görevler!$D47&gt;=D$4),IF(D$4&lt;=Görevler!$C47+ROUND(Görevler!$F47*Görevler!$E47,0)-1,2,1),""))</f>
        <v/>
      </c>
      <c r="E47" s="22" t="str">
        <f aca="false">IF(Görevler!$F47="","",IF(AND(Görevler!$C47&lt;=(E$4+Ayarlar!$C$6-1),Görevler!$D47&gt;=E$4),IF(E$4&lt;=Görevler!$C47+ROUND(Görevler!$F47*Görevler!$E47,0)-1,2,1),""))</f>
        <v/>
      </c>
      <c r="F47" s="22" t="str">
        <f aca="false">IF(Görevler!$F47="","",IF(AND(Görevler!$C47&lt;=(F$4+Ayarlar!$C$6-1),Görevler!$D47&gt;=F$4),IF(F$4&lt;=Görevler!$C47+ROUND(Görevler!$F47*Görevler!$E47,0)-1,2,1),""))</f>
        <v/>
      </c>
      <c r="G47" s="22" t="str">
        <f aca="false">IF(Görevler!$F47="","",IF(AND(Görevler!$C47&lt;=(G$4+Ayarlar!$C$6-1),Görevler!$D47&gt;=G$4),IF(G$4&lt;=Görevler!$C47+ROUND(Görevler!$F47*Görevler!$E47,0)-1,2,1),""))</f>
        <v/>
      </c>
      <c r="H47" s="22" t="str">
        <f aca="false">IF(Görevler!$F47="","",IF(AND(Görevler!$C47&lt;=(H$4+Ayarlar!$C$6-1),Görevler!$D47&gt;=H$4),IF(H$4&lt;=Görevler!$C47+ROUND(Görevler!$F47*Görevler!$E47,0)-1,2,1),""))</f>
        <v/>
      </c>
      <c r="I47" s="22" t="str">
        <f aca="false">IF(Görevler!$F47="","",IF(AND(Görevler!$C47&lt;=(I$4+Ayarlar!$C$6-1),Görevler!$D47&gt;=I$4),IF(I$4&lt;=Görevler!$C47+ROUND(Görevler!$F47*Görevler!$E47,0)-1,2,1),""))</f>
        <v/>
      </c>
      <c r="J47" s="22" t="str">
        <f aca="false">IF(Görevler!$F47="","",IF(AND(Görevler!$C47&lt;=(J$4+Ayarlar!$C$6-1),Görevler!$D47&gt;=J$4),IF(J$4&lt;=Görevler!$C47+ROUND(Görevler!$F47*Görevler!$E47,0)-1,2,1),""))</f>
        <v/>
      </c>
      <c r="K47" s="22" t="str">
        <f aca="false">IF(Görevler!$F47="","",IF(AND(Görevler!$C47&lt;=(K$4+Ayarlar!$C$6-1),Görevler!$D47&gt;=K$4),IF(K$4&lt;=Görevler!$C47+ROUND(Görevler!$F47*Görevler!$E47,0)-1,2,1),""))</f>
        <v/>
      </c>
      <c r="L47" s="22" t="str">
        <f aca="false">IF(Görevler!$F47="","",IF(AND(Görevler!$C47&lt;=(L$4+Ayarlar!$C$6-1),Görevler!$D47&gt;=L$4),IF(L$4&lt;=Görevler!$C47+ROUND(Görevler!$F47*Görevler!$E47,0)-1,2,1),""))</f>
        <v/>
      </c>
      <c r="M47" s="22" t="str">
        <f aca="false">IF(Görevler!$F47="","",IF(AND(Görevler!$C47&lt;=(M$4+Ayarlar!$C$6-1),Görevler!$D47&gt;=M$4),IF(M$4&lt;=Görevler!$C47+ROUND(Görevler!$F47*Görevler!$E47,0)-1,2,1),""))</f>
        <v/>
      </c>
      <c r="N47" s="22" t="str">
        <f aca="false">IF(Görevler!$F47="","",IF(AND(Görevler!$C47&lt;=(N$4+Ayarlar!$C$6-1),Görevler!$D47&gt;=N$4),IF(N$4&lt;=Görevler!$C47+ROUND(Görevler!$F47*Görevler!$E47,0)-1,2,1),""))</f>
        <v/>
      </c>
      <c r="O47" s="22" t="str">
        <f aca="false">IF(Görevler!$F47="","",IF(AND(Görevler!$C47&lt;=(O$4+Ayarlar!$C$6-1),Görevler!$D47&gt;=O$4),IF(O$4&lt;=Görevler!$C47+ROUND(Görevler!$F47*Görevler!$E47,0)-1,2,1),""))</f>
        <v/>
      </c>
      <c r="P47" s="22" t="str">
        <f aca="false">IF(Görevler!$F47="","",IF(AND(Görevler!$C47&lt;=(P$4+Ayarlar!$C$6-1),Görevler!$D47&gt;=P$4),IF(P$4&lt;=Görevler!$C47+ROUND(Görevler!$F47*Görevler!$E47,0)-1,2,1),""))</f>
        <v/>
      </c>
      <c r="Q47" s="22" t="str">
        <f aca="false">IF(Görevler!$F47="","",IF(AND(Görevler!$C47&lt;=(Q$4+Ayarlar!$C$6-1),Görevler!$D47&gt;=Q$4),IF(Q$4&lt;=Görevler!$C47+ROUND(Görevler!$F47*Görevler!$E47,0)-1,2,1),""))</f>
        <v/>
      </c>
      <c r="R47" s="22" t="str">
        <f aca="false">IF(Görevler!$F47="","",IF(AND(Görevler!$C47&lt;=(R$4+Ayarlar!$C$6-1),Görevler!$D47&gt;=R$4),IF(R$4&lt;=Görevler!$C47+ROUND(Görevler!$F47*Görevler!$E47,0)-1,2,1),""))</f>
        <v/>
      </c>
      <c r="S47" s="22" t="str">
        <f aca="false">IF(Görevler!$F47="","",IF(AND(Görevler!$C47&lt;=(S$4+Ayarlar!$C$6-1),Görevler!$D47&gt;=S$4),IF(S$4&lt;=Görevler!$C47+ROUND(Görevler!$F47*Görevler!$E47,0)-1,2,1),""))</f>
        <v/>
      </c>
      <c r="T47" s="22" t="str">
        <f aca="false">IF(Görevler!$F47="","",IF(AND(Görevler!$C47&lt;=(T$4+Ayarlar!$C$6-1),Görevler!$D47&gt;=T$4),IF(T$4&lt;=Görevler!$C47+ROUND(Görevler!$F47*Görevler!$E47,0)-1,2,1),""))</f>
        <v/>
      </c>
      <c r="U47" s="22" t="str">
        <f aca="false">IF(Görevler!$F47="","",IF(AND(Görevler!$C47&lt;=(U$4+Ayarlar!$C$6-1),Görevler!$D47&gt;=U$4),IF(U$4&lt;=Görevler!$C47+ROUND(Görevler!$F47*Görevler!$E47,0)-1,2,1),""))</f>
        <v/>
      </c>
      <c r="V47" s="22" t="str">
        <f aca="false">IF(Görevler!$F47="","",IF(AND(Görevler!$C47&lt;=(V$4+Ayarlar!$C$6-1),Görevler!$D47&gt;=V$4),IF(V$4&lt;=Görevler!$C47+ROUND(Görevler!$F47*Görevler!$E47,0)-1,2,1),""))</f>
        <v/>
      </c>
      <c r="W47" s="22" t="str">
        <f aca="false">IF(Görevler!$F47="","",IF(AND(Görevler!$C47&lt;=(W$4+Ayarlar!$C$6-1),Görevler!$D47&gt;=W$4),IF(W$4&lt;=Görevler!$C47+ROUND(Görevler!$F47*Görevler!$E47,0)-1,2,1),""))</f>
        <v/>
      </c>
      <c r="X47" s="22" t="str">
        <f aca="false">IF(Görevler!$F47="","",IF(AND(Görevler!$C47&lt;=(X$4+Ayarlar!$C$6-1),Görevler!$D47&gt;=X$4),IF(X$4&lt;=Görevler!$C47+ROUND(Görevler!$F47*Görevler!$E47,0)-1,2,1),""))</f>
        <v/>
      </c>
      <c r="Y47" s="22" t="str">
        <f aca="false">IF(Görevler!$F47="","",IF(AND(Görevler!$C47&lt;=(Y$4+Ayarlar!$C$6-1),Görevler!$D47&gt;=Y$4),IF(Y$4&lt;=Görevler!$C47+ROUND(Görevler!$F47*Görevler!$E47,0)-1,2,1),""))</f>
        <v/>
      </c>
      <c r="Z47" s="22" t="str">
        <f aca="false">IF(Görevler!$F47="","",IF(AND(Görevler!$C47&lt;=(Z$4+Ayarlar!$C$6-1),Görevler!$D47&gt;=Z$4),IF(Z$4&lt;=Görevler!$C47+ROUND(Görevler!$F47*Görevler!$E47,0)-1,2,1),""))</f>
        <v/>
      </c>
      <c r="AA47" s="22" t="str">
        <f aca="false">IF(Görevler!$F47="","",IF(AND(Görevler!$C47&lt;=(AA$4+Ayarlar!$C$6-1),Görevler!$D47&gt;=AA$4),IF(AA$4&lt;=Görevler!$C47+ROUND(Görevler!$F47*Görevler!$E47,0)-1,2,1),""))</f>
        <v/>
      </c>
      <c r="AB47" s="22" t="str">
        <f aca="false">IF(Görevler!$F47="","",IF(AND(Görevler!$C47&lt;=(AB$4+Ayarlar!$C$6-1),Görevler!$D47&gt;=AB$4),IF(AB$4&lt;=Görevler!$C47+ROUND(Görevler!$F47*Görevler!$E47,0)-1,2,1),""))</f>
        <v/>
      </c>
      <c r="AC47" s="22" t="str">
        <f aca="false">IF(Görevler!$F47="","",IF(AND(Görevler!$C47&lt;=(AC$4+Ayarlar!$C$6-1),Görevler!$D47&gt;=AC$4),IF(AC$4&lt;=Görevler!$C47+ROUND(Görevler!$F47*Görevler!$E47,0)-1,2,1),""))</f>
        <v/>
      </c>
      <c r="AD47" s="22" t="str">
        <f aca="false">IF(Görevler!$F47="","",IF(AND(Görevler!$C47&lt;=(AD$4+Ayarlar!$C$6-1),Görevler!$D47&gt;=AD$4),IF(AD$4&lt;=Görevler!$C47+ROUND(Görevler!$F47*Görevler!$E47,0)-1,2,1),""))</f>
        <v/>
      </c>
      <c r="AE47" s="22" t="str">
        <f aca="false">IF(Görevler!$F47="","",IF(AND(Görevler!$C47&lt;=(AE$4+Ayarlar!$C$6-1),Görevler!$D47&gt;=AE$4),IF(AE$4&lt;=Görevler!$C47+ROUND(Görevler!$F47*Görevler!$E47,0)-1,2,1),""))</f>
        <v/>
      </c>
      <c r="AF47" s="22" t="str">
        <f aca="false">IF(Görevler!$F47="","",IF(AND(Görevler!$C47&lt;=(AF$4+Ayarlar!$C$6-1),Görevler!$D47&gt;=AF$4),IF(AF$4&lt;=Görevler!$C47+ROUND(Görevler!$F47*Görevler!$E47,0)-1,2,1),""))</f>
        <v/>
      </c>
      <c r="AG47" s="22" t="str">
        <f aca="false">IF(Görevler!$F47="","",IF(AND(Görevler!$C47&lt;=(AG$4+Ayarlar!$C$6-1),Görevler!$D47&gt;=AG$4),IF(AG$4&lt;=Görevler!$C47+ROUND(Görevler!$F47*Görevler!$E47,0)-1,2,1),""))</f>
        <v/>
      </c>
      <c r="AH47" s="22" t="str">
        <f aca="false">IF(Görevler!$F47="","",IF(AND(Görevler!$C47&lt;=(AH$4+Ayarlar!$C$6-1),Görevler!$D47&gt;=AH$4),IF(AH$4&lt;=Görevler!$C47+ROUND(Görevler!$F47*Görevler!$E47,0)-1,2,1),""))</f>
        <v/>
      </c>
      <c r="AI47" s="22" t="str">
        <f aca="false">IF(Görevler!$F47="","",IF(AND(Görevler!$C47&lt;=(AI$4+Ayarlar!$C$6-1),Görevler!$D47&gt;=AI$4),IF(AI$4&lt;=Görevler!$C47+ROUND(Görevler!$F47*Görevler!$E47,0)-1,2,1),""))</f>
        <v/>
      </c>
      <c r="AJ47" s="22" t="str">
        <f aca="false">IF(Görevler!$F47="","",IF(AND(Görevler!$C47&lt;=(AJ$4+Ayarlar!$C$6-1),Görevler!$D47&gt;=AJ$4),IF(AJ$4&lt;=Görevler!$C47+ROUND(Görevler!$F47*Görevler!$E47,0)-1,2,1),""))</f>
        <v/>
      </c>
      <c r="AK47" s="22" t="str">
        <f aca="false">IF(Görevler!$F47="","",IF(AND(Görevler!$C47&lt;=(AK$4+Ayarlar!$C$6-1),Görevler!$D47&gt;=AK$4),IF(AK$4&lt;=Görevler!$C47+ROUND(Görevler!$F47*Görevler!$E47,0)-1,2,1),""))</f>
        <v/>
      </c>
      <c r="AL47" s="22" t="str">
        <f aca="false">IF(Görevler!$F47="","",IF(AND(Görevler!$C47&lt;=(AL$4+Ayarlar!$C$6-1),Görevler!$D47&gt;=AL$4),IF(AL$4&lt;=Görevler!$C47+ROUND(Görevler!$F47*Görevler!$E47,0)-1,2,1),""))</f>
        <v/>
      </c>
      <c r="AM47" s="22" t="str">
        <f aca="false">IF(Görevler!$F47="","",IF(AND(Görevler!$C47&lt;=(AM$4+Ayarlar!$C$6-1),Görevler!$D47&gt;=AM$4),IF(AM$4&lt;=Görevler!$C47+ROUND(Görevler!$F47*Görevler!$E47,0)-1,2,1),""))</f>
        <v/>
      </c>
      <c r="AN47" s="22" t="str">
        <f aca="false">IF(Görevler!$F47="","",IF(AND(Görevler!$C47&lt;=(AN$4+Ayarlar!$C$6-1),Görevler!$D47&gt;=AN$4),IF(AN$4&lt;=Görevler!$C47+ROUND(Görevler!$F47*Görevler!$E47,0)-1,2,1),""))</f>
        <v/>
      </c>
      <c r="AO47" s="22" t="str">
        <f aca="false">IF(Görevler!$F47="","",IF(AND(Görevler!$C47&lt;=(AO$4+Ayarlar!$C$6-1),Görevler!$D47&gt;=AO$4),IF(AO$4&lt;=Görevler!$C47+ROUND(Görevler!$F47*Görevler!$E47,0)-1,2,1),""))</f>
        <v/>
      </c>
      <c r="AP47" s="22" t="str">
        <f aca="false">IF(Görevler!$F47="","",IF(AND(Görevler!$C47&lt;=(AP$4+Ayarlar!$C$6-1),Görevler!$D47&gt;=AP$4),IF(AP$4&lt;=Görevler!$C47+ROUND(Görevler!$F47*Görevler!$E47,0)-1,2,1),""))</f>
        <v/>
      </c>
      <c r="AQ47" s="22" t="str">
        <f aca="false">IF(Görevler!$F47="","",IF(AND(Görevler!$C47&lt;=(AQ$4+Ayarlar!$C$6-1),Görevler!$D47&gt;=AQ$4),IF(AQ$4&lt;=Görevler!$C47+ROUND(Görevler!$F47*Görevler!$E47,0)-1,2,1),""))</f>
        <v/>
      </c>
      <c r="AR47" s="22" t="str">
        <f aca="false">IF(Görevler!$F47="","",IF(AND(Görevler!$C47&lt;=(AR$4+Ayarlar!$C$6-1),Görevler!$D47&gt;=AR$4),IF(AR$4&lt;=Görevler!$C47+ROUND(Görevler!$F47*Görevler!$E47,0)-1,2,1),""))</f>
        <v/>
      </c>
      <c r="AS47" s="22" t="str">
        <f aca="false">IF(Görevler!$F47="","",IF(AND(Görevler!$C47&lt;=(AS$4+Ayarlar!$C$6-1),Görevler!$D47&gt;=AS$4),IF(AS$4&lt;=Görevler!$C47+ROUND(Görevler!$F47*Görevler!$E47,0)-1,2,1),""))</f>
        <v/>
      </c>
      <c r="AT47" s="22" t="str">
        <f aca="false">IF(Görevler!$F47="","",IF(AND(Görevler!$C47&lt;=(AT$4+Ayarlar!$C$6-1),Görevler!$D47&gt;=AT$4),IF(AT$4&lt;=Görevler!$C47+ROUND(Görevler!$F47*Görevler!$E47,0)-1,2,1),""))</f>
        <v/>
      </c>
      <c r="AU47" s="22" t="str">
        <f aca="false">IF(Görevler!$F47="","",IF(AND(Görevler!$C47&lt;=(AU$4+Ayarlar!$C$6-1),Görevler!$D47&gt;=AU$4),IF(AU$4&lt;=Görevler!$C47+ROUND(Görevler!$F47*Görevler!$E47,0)-1,2,1),""))</f>
        <v/>
      </c>
      <c r="AV47" s="22" t="str">
        <f aca="false">IF(Görevler!$F47="","",IF(AND(Görevler!$C47&lt;=(AV$4+Ayarlar!$C$6-1),Görevler!$D47&gt;=AV$4),IF(AV$4&lt;=Görevler!$C47+ROUND(Görevler!$F47*Görevler!$E47,0)-1,2,1),""))</f>
        <v/>
      </c>
      <c r="AW47" s="22" t="str">
        <f aca="false">IF(Görevler!$F47="","",IF(AND(Görevler!$C47&lt;=(AW$4+Ayarlar!$C$6-1),Görevler!$D47&gt;=AW$4),IF(AW$4&lt;=Görevler!$C47+ROUND(Görevler!$F47*Görevler!$E47,0)-1,2,1),""))</f>
        <v/>
      </c>
      <c r="AX47" s="22" t="str">
        <f aca="false">IF(Görevler!$F47="","",IF(AND(Görevler!$C47&lt;=(AX$4+Ayarlar!$C$6-1),Görevler!$D47&gt;=AX$4),IF(AX$4&lt;=Görevler!$C47+ROUND(Görevler!$F47*Görevler!$E47,0)-1,2,1),""))</f>
        <v/>
      </c>
      <c r="AY47" s="22" t="str">
        <f aca="false">IF(Görevler!$F47="","",IF(AND(Görevler!$C47&lt;=(AY$4+Ayarlar!$C$6-1),Görevler!$D47&gt;=AY$4),IF(AY$4&lt;=Görevler!$C47+ROUND(Görevler!$F47*Görevler!$E47,0)-1,2,1),""))</f>
        <v/>
      </c>
      <c r="AZ47" s="22" t="str">
        <f aca="false">IF(Görevler!$F47="","",IF(AND(Görevler!$C47&lt;=(AZ$4+Ayarlar!$C$6-1),Görevler!$D47&gt;=AZ$4),IF(AZ$4&lt;=Görevler!$C47+ROUND(Görevler!$F47*Görevler!$E47,0)-1,2,1),""))</f>
        <v/>
      </c>
      <c r="BA47" s="22" t="str">
        <f aca="false">IF(Görevler!$F47="","",IF(AND(Görevler!$C47&lt;=(BA$4+Ayarlar!$C$6-1),Görevler!$D47&gt;=BA$4),IF(BA$4&lt;=Görevler!$C47+ROUND(Görevler!$F47*Görevler!$E47,0)-1,2,1),""))</f>
        <v/>
      </c>
      <c r="BB47" s="22" t="str">
        <f aca="false">IF(Görevler!$F47="","",IF(AND(Görevler!$C47&lt;=(BB$4+Ayarlar!$C$6-1),Görevler!$D47&gt;=BB$4),IF(BB$4&lt;=Görevler!$C47+ROUND(Görevler!$F47*Görevler!$E47,0)-1,2,1),""))</f>
        <v/>
      </c>
      <c r="BC47" s="22" t="str">
        <f aca="false">IF(Görevler!$F47="","",IF(AND(Görevler!$C47&lt;=(BC$4+Ayarlar!$C$6-1),Görevler!$D47&gt;=BC$4),IF(BC$4&lt;=Görevler!$C47+ROUND(Görevler!$F47*Görevler!$E47,0)-1,2,1),""))</f>
        <v/>
      </c>
      <c r="BD47" s="22" t="str">
        <f aca="false">IF(Görevler!$F47="","",IF(AND(Görevler!$C47&lt;=(BD$4+Ayarlar!$C$6-1),Görevler!$D47&gt;=BD$4),IF(BD$4&lt;=Görevler!$C47+ROUND(Görevler!$F47*Görevler!$E47,0)-1,2,1),""))</f>
        <v/>
      </c>
      <c r="BE47" s="22" t="str">
        <f aca="false">IF(Görevler!$F47="","",IF(AND(Görevler!$C47&lt;=(BE$4+Ayarlar!$C$6-1),Görevler!$D47&gt;=BE$4),IF(BE$4&lt;=Görevler!$C47+ROUND(Görevler!$F47*Görevler!$E47,0)-1,2,1),""))</f>
        <v/>
      </c>
      <c r="BF47" s="22" t="str">
        <f aca="false">IF(Görevler!$F47="","",IF(AND(Görevler!$C47&lt;=(BF$4+Ayarlar!$C$6-1),Görevler!$D47&gt;=BF$4),IF(BF$4&lt;=Görevler!$C47+ROUND(Görevler!$F47*Görevler!$E47,0)-1,2,1),""))</f>
        <v/>
      </c>
      <c r="BG47" s="22" t="str">
        <f aca="false">IF(Görevler!$F47="","",IF(AND(Görevler!$C47&lt;=(BG$4+Ayarlar!$C$6-1),Görevler!$D47&gt;=BG$4),IF(BG$4&lt;=Görevler!$C47+ROUND(Görevler!$F47*Görevler!$E47,0)-1,2,1),""))</f>
        <v/>
      </c>
      <c r="BH47" s="22" t="str">
        <f aca="false">IF(Görevler!$F47="","",IF(AND(Görevler!$C47&lt;=(BH$4+Ayarlar!$C$6-1),Görevler!$D47&gt;=BH$4),IF(BH$4&lt;=Görevler!$C47+ROUND(Görevler!$F47*Görevler!$E47,0)-1,2,1),""))</f>
        <v/>
      </c>
      <c r="BI47" s="22" t="str">
        <f aca="false">IF(Görevler!$F47="","",IF(AND(Görevler!$C47&lt;=(BI$4+Ayarlar!$C$6-1),Görevler!$D47&gt;=BI$4),IF(BI$4&lt;=Görevler!$C47+ROUND(Görevler!$F47*Görevler!$E47,0)-1,2,1),""))</f>
        <v/>
      </c>
      <c r="BJ47" s="22" t="str">
        <f aca="false">IF(Görevler!$F47="","",IF(AND(Görevler!$C47&lt;=(BJ$4+Ayarlar!$C$6-1),Görevler!$D47&gt;=BJ$4),IF(BJ$4&lt;=Görevler!$C47+ROUND(Görevler!$F47*Görevler!$E47,0)-1,2,1),""))</f>
        <v/>
      </c>
    </row>
    <row r="48" customFormat="false" ht="15" hidden="false" customHeight="false" outlineLevel="0" collapsed="false">
      <c r="A48" s="21" t="str">
        <f aca="false">IF(Görevler!A48="","",Görevler!A48)</f>
        <v/>
      </c>
      <c r="B48" s="21" t="str">
        <f aca="false">IF(Görevler!A48="","",Görevler!B48&amp;"")</f>
        <v/>
      </c>
      <c r="C48" s="22" t="str">
        <f aca="false">IF(Görevler!$F48="","",IF(AND(Görevler!$C48&lt;=(C$4+Ayarlar!$C$6-1),Görevler!$D48&gt;=C$4),IF(C$4&lt;=Görevler!$C48+ROUND(Görevler!$F48*Görevler!$E48,0)-1,2,1),""))</f>
        <v/>
      </c>
      <c r="D48" s="22" t="str">
        <f aca="false">IF(Görevler!$F48="","",IF(AND(Görevler!$C48&lt;=(D$4+Ayarlar!$C$6-1),Görevler!$D48&gt;=D$4),IF(D$4&lt;=Görevler!$C48+ROUND(Görevler!$F48*Görevler!$E48,0)-1,2,1),""))</f>
        <v/>
      </c>
      <c r="E48" s="22" t="str">
        <f aca="false">IF(Görevler!$F48="","",IF(AND(Görevler!$C48&lt;=(E$4+Ayarlar!$C$6-1),Görevler!$D48&gt;=E$4),IF(E$4&lt;=Görevler!$C48+ROUND(Görevler!$F48*Görevler!$E48,0)-1,2,1),""))</f>
        <v/>
      </c>
      <c r="F48" s="22" t="str">
        <f aca="false">IF(Görevler!$F48="","",IF(AND(Görevler!$C48&lt;=(F$4+Ayarlar!$C$6-1),Görevler!$D48&gt;=F$4),IF(F$4&lt;=Görevler!$C48+ROUND(Görevler!$F48*Görevler!$E48,0)-1,2,1),""))</f>
        <v/>
      </c>
      <c r="G48" s="22" t="str">
        <f aca="false">IF(Görevler!$F48="","",IF(AND(Görevler!$C48&lt;=(G$4+Ayarlar!$C$6-1),Görevler!$D48&gt;=G$4),IF(G$4&lt;=Görevler!$C48+ROUND(Görevler!$F48*Görevler!$E48,0)-1,2,1),""))</f>
        <v/>
      </c>
      <c r="H48" s="22" t="str">
        <f aca="false">IF(Görevler!$F48="","",IF(AND(Görevler!$C48&lt;=(H$4+Ayarlar!$C$6-1),Görevler!$D48&gt;=H$4),IF(H$4&lt;=Görevler!$C48+ROUND(Görevler!$F48*Görevler!$E48,0)-1,2,1),""))</f>
        <v/>
      </c>
      <c r="I48" s="22" t="str">
        <f aca="false">IF(Görevler!$F48="","",IF(AND(Görevler!$C48&lt;=(I$4+Ayarlar!$C$6-1),Görevler!$D48&gt;=I$4),IF(I$4&lt;=Görevler!$C48+ROUND(Görevler!$F48*Görevler!$E48,0)-1,2,1),""))</f>
        <v/>
      </c>
      <c r="J48" s="22" t="str">
        <f aca="false">IF(Görevler!$F48="","",IF(AND(Görevler!$C48&lt;=(J$4+Ayarlar!$C$6-1),Görevler!$D48&gt;=J$4),IF(J$4&lt;=Görevler!$C48+ROUND(Görevler!$F48*Görevler!$E48,0)-1,2,1),""))</f>
        <v/>
      </c>
      <c r="K48" s="22" t="str">
        <f aca="false">IF(Görevler!$F48="","",IF(AND(Görevler!$C48&lt;=(K$4+Ayarlar!$C$6-1),Görevler!$D48&gt;=K$4),IF(K$4&lt;=Görevler!$C48+ROUND(Görevler!$F48*Görevler!$E48,0)-1,2,1),""))</f>
        <v/>
      </c>
      <c r="L48" s="22" t="str">
        <f aca="false">IF(Görevler!$F48="","",IF(AND(Görevler!$C48&lt;=(L$4+Ayarlar!$C$6-1),Görevler!$D48&gt;=L$4),IF(L$4&lt;=Görevler!$C48+ROUND(Görevler!$F48*Görevler!$E48,0)-1,2,1),""))</f>
        <v/>
      </c>
      <c r="M48" s="22" t="str">
        <f aca="false">IF(Görevler!$F48="","",IF(AND(Görevler!$C48&lt;=(M$4+Ayarlar!$C$6-1),Görevler!$D48&gt;=M$4),IF(M$4&lt;=Görevler!$C48+ROUND(Görevler!$F48*Görevler!$E48,0)-1,2,1),""))</f>
        <v/>
      </c>
      <c r="N48" s="22" t="str">
        <f aca="false">IF(Görevler!$F48="","",IF(AND(Görevler!$C48&lt;=(N$4+Ayarlar!$C$6-1),Görevler!$D48&gt;=N$4),IF(N$4&lt;=Görevler!$C48+ROUND(Görevler!$F48*Görevler!$E48,0)-1,2,1),""))</f>
        <v/>
      </c>
      <c r="O48" s="22" t="str">
        <f aca="false">IF(Görevler!$F48="","",IF(AND(Görevler!$C48&lt;=(O$4+Ayarlar!$C$6-1),Görevler!$D48&gt;=O$4),IF(O$4&lt;=Görevler!$C48+ROUND(Görevler!$F48*Görevler!$E48,0)-1,2,1),""))</f>
        <v/>
      </c>
      <c r="P48" s="22" t="str">
        <f aca="false">IF(Görevler!$F48="","",IF(AND(Görevler!$C48&lt;=(P$4+Ayarlar!$C$6-1),Görevler!$D48&gt;=P$4),IF(P$4&lt;=Görevler!$C48+ROUND(Görevler!$F48*Görevler!$E48,0)-1,2,1),""))</f>
        <v/>
      </c>
      <c r="Q48" s="22" t="str">
        <f aca="false">IF(Görevler!$F48="","",IF(AND(Görevler!$C48&lt;=(Q$4+Ayarlar!$C$6-1),Görevler!$D48&gt;=Q$4),IF(Q$4&lt;=Görevler!$C48+ROUND(Görevler!$F48*Görevler!$E48,0)-1,2,1),""))</f>
        <v/>
      </c>
      <c r="R48" s="22" t="str">
        <f aca="false">IF(Görevler!$F48="","",IF(AND(Görevler!$C48&lt;=(R$4+Ayarlar!$C$6-1),Görevler!$D48&gt;=R$4),IF(R$4&lt;=Görevler!$C48+ROUND(Görevler!$F48*Görevler!$E48,0)-1,2,1),""))</f>
        <v/>
      </c>
      <c r="S48" s="22" t="str">
        <f aca="false">IF(Görevler!$F48="","",IF(AND(Görevler!$C48&lt;=(S$4+Ayarlar!$C$6-1),Görevler!$D48&gt;=S$4),IF(S$4&lt;=Görevler!$C48+ROUND(Görevler!$F48*Görevler!$E48,0)-1,2,1),""))</f>
        <v/>
      </c>
      <c r="T48" s="22" t="str">
        <f aca="false">IF(Görevler!$F48="","",IF(AND(Görevler!$C48&lt;=(T$4+Ayarlar!$C$6-1),Görevler!$D48&gt;=T$4),IF(T$4&lt;=Görevler!$C48+ROUND(Görevler!$F48*Görevler!$E48,0)-1,2,1),""))</f>
        <v/>
      </c>
      <c r="U48" s="22" t="str">
        <f aca="false">IF(Görevler!$F48="","",IF(AND(Görevler!$C48&lt;=(U$4+Ayarlar!$C$6-1),Görevler!$D48&gt;=U$4),IF(U$4&lt;=Görevler!$C48+ROUND(Görevler!$F48*Görevler!$E48,0)-1,2,1),""))</f>
        <v/>
      </c>
      <c r="V48" s="22" t="str">
        <f aca="false">IF(Görevler!$F48="","",IF(AND(Görevler!$C48&lt;=(V$4+Ayarlar!$C$6-1),Görevler!$D48&gt;=V$4),IF(V$4&lt;=Görevler!$C48+ROUND(Görevler!$F48*Görevler!$E48,0)-1,2,1),""))</f>
        <v/>
      </c>
      <c r="W48" s="22" t="str">
        <f aca="false">IF(Görevler!$F48="","",IF(AND(Görevler!$C48&lt;=(W$4+Ayarlar!$C$6-1),Görevler!$D48&gt;=W$4),IF(W$4&lt;=Görevler!$C48+ROUND(Görevler!$F48*Görevler!$E48,0)-1,2,1),""))</f>
        <v/>
      </c>
      <c r="X48" s="22" t="str">
        <f aca="false">IF(Görevler!$F48="","",IF(AND(Görevler!$C48&lt;=(X$4+Ayarlar!$C$6-1),Görevler!$D48&gt;=X$4),IF(X$4&lt;=Görevler!$C48+ROUND(Görevler!$F48*Görevler!$E48,0)-1,2,1),""))</f>
        <v/>
      </c>
      <c r="Y48" s="22" t="str">
        <f aca="false">IF(Görevler!$F48="","",IF(AND(Görevler!$C48&lt;=(Y$4+Ayarlar!$C$6-1),Görevler!$D48&gt;=Y$4),IF(Y$4&lt;=Görevler!$C48+ROUND(Görevler!$F48*Görevler!$E48,0)-1,2,1),""))</f>
        <v/>
      </c>
      <c r="Z48" s="22" t="str">
        <f aca="false">IF(Görevler!$F48="","",IF(AND(Görevler!$C48&lt;=(Z$4+Ayarlar!$C$6-1),Görevler!$D48&gt;=Z$4),IF(Z$4&lt;=Görevler!$C48+ROUND(Görevler!$F48*Görevler!$E48,0)-1,2,1),""))</f>
        <v/>
      </c>
      <c r="AA48" s="22" t="str">
        <f aca="false">IF(Görevler!$F48="","",IF(AND(Görevler!$C48&lt;=(AA$4+Ayarlar!$C$6-1),Görevler!$D48&gt;=AA$4),IF(AA$4&lt;=Görevler!$C48+ROUND(Görevler!$F48*Görevler!$E48,0)-1,2,1),""))</f>
        <v/>
      </c>
      <c r="AB48" s="22" t="str">
        <f aca="false">IF(Görevler!$F48="","",IF(AND(Görevler!$C48&lt;=(AB$4+Ayarlar!$C$6-1),Görevler!$D48&gt;=AB$4),IF(AB$4&lt;=Görevler!$C48+ROUND(Görevler!$F48*Görevler!$E48,0)-1,2,1),""))</f>
        <v/>
      </c>
      <c r="AC48" s="22" t="str">
        <f aca="false">IF(Görevler!$F48="","",IF(AND(Görevler!$C48&lt;=(AC$4+Ayarlar!$C$6-1),Görevler!$D48&gt;=AC$4),IF(AC$4&lt;=Görevler!$C48+ROUND(Görevler!$F48*Görevler!$E48,0)-1,2,1),""))</f>
        <v/>
      </c>
      <c r="AD48" s="22" t="str">
        <f aca="false">IF(Görevler!$F48="","",IF(AND(Görevler!$C48&lt;=(AD$4+Ayarlar!$C$6-1),Görevler!$D48&gt;=AD$4),IF(AD$4&lt;=Görevler!$C48+ROUND(Görevler!$F48*Görevler!$E48,0)-1,2,1),""))</f>
        <v/>
      </c>
      <c r="AE48" s="22" t="str">
        <f aca="false">IF(Görevler!$F48="","",IF(AND(Görevler!$C48&lt;=(AE$4+Ayarlar!$C$6-1),Görevler!$D48&gt;=AE$4),IF(AE$4&lt;=Görevler!$C48+ROUND(Görevler!$F48*Görevler!$E48,0)-1,2,1),""))</f>
        <v/>
      </c>
      <c r="AF48" s="22" t="str">
        <f aca="false">IF(Görevler!$F48="","",IF(AND(Görevler!$C48&lt;=(AF$4+Ayarlar!$C$6-1),Görevler!$D48&gt;=AF$4),IF(AF$4&lt;=Görevler!$C48+ROUND(Görevler!$F48*Görevler!$E48,0)-1,2,1),""))</f>
        <v/>
      </c>
      <c r="AG48" s="22" t="str">
        <f aca="false">IF(Görevler!$F48="","",IF(AND(Görevler!$C48&lt;=(AG$4+Ayarlar!$C$6-1),Görevler!$D48&gt;=AG$4),IF(AG$4&lt;=Görevler!$C48+ROUND(Görevler!$F48*Görevler!$E48,0)-1,2,1),""))</f>
        <v/>
      </c>
      <c r="AH48" s="22" t="str">
        <f aca="false">IF(Görevler!$F48="","",IF(AND(Görevler!$C48&lt;=(AH$4+Ayarlar!$C$6-1),Görevler!$D48&gt;=AH$4),IF(AH$4&lt;=Görevler!$C48+ROUND(Görevler!$F48*Görevler!$E48,0)-1,2,1),""))</f>
        <v/>
      </c>
      <c r="AI48" s="22" t="str">
        <f aca="false">IF(Görevler!$F48="","",IF(AND(Görevler!$C48&lt;=(AI$4+Ayarlar!$C$6-1),Görevler!$D48&gt;=AI$4),IF(AI$4&lt;=Görevler!$C48+ROUND(Görevler!$F48*Görevler!$E48,0)-1,2,1),""))</f>
        <v/>
      </c>
      <c r="AJ48" s="22" t="str">
        <f aca="false">IF(Görevler!$F48="","",IF(AND(Görevler!$C48&lt;=(AJ$4+Ayarlar!$C$6-1),Görevler!$D48&gt;=AJ$4),IF(AJ$4&lt;=Görevler!$C48+ROUND(Görevler!$F48*Görevler!$E48,0)-1,2,1),""))</f>
        <v/>
      </c>
      <c r="AK48" s="22" t="str">
        <f aca="false">IF(Görevler!$F48="","",IF(AND(Görevler!$C48&lt;=(AK$4+Ayarlar!$C$6-1),Görevler!$D48&gt;=AK$4),IF(AK$4&lt;=Görevler!$C48+ROUND(Görevler!$F48*Görevler!$E48,0)-1,2,1),""))</f>
        <v/>
      </c>
      <c r="AL48" s="22" t="str">
        <f aca="false">IF(Görevler!$F48="","",IF(AND(Görevler!$C48&lt;=(AL$4+Ayarlar!$C$6-1),Görevler!$D48&gt;=AL$4),IF(AL$4&lt;=Görevler!$C48+ROUND(Görevler!$F48*Görevler!$E48,0)-1,2,1),""))</f>
        <v/>
      </c>
      <c r="AM48" s="22" t="str">
        <f aca="false">IF(Görevler!$F48="","",IF(AND(Görevler!$C48&lt;=(AM$4+Ayarlar!$C$6-1),Görevler!$D48&gt;=AM$4),IF(AM$4&lt;=Görevler!$C48+ROUND(Görevler!$F48*Görevler!$E48,0)-1,2,1),""))</f>
        <v/>
      </c>
      <c r="AN48" s="22" t="str">
        <f aca="false">IF(Görevler!$F48="","",IF(AND(Görevler!$C48&lt;=(AN$4+Ayarlar!$C$6-1),Görevler!$D48&gt;=AN$4),IF(AN$4&lt;=Görevler!$C48+ROUND(Görevler!$F48*Görevler!$E48,0)-1,2,1),""))</f>
        <v/>
      </c>
      <c r="AO48" s="22" t="str">
        <f aca="false">IF(Görevler!$F48="","",IF(AND(Görevler!$C48&lt;=(AO$4+Ayarlar!$C$6-1),Görevler!$D48&gt;=AO$4),IF(AO$4&lt;=Görevler!$C48+ROUND(Görevler!$F48*Görevler!$E48,0)-1,2,1),""))</f>
        <v/>
      </c>
      <c r="AP48" s="22" t="str">
        <f aca="false">IF(Görevler!$F48="","",IF(AND(Görevler!$C48&lt;=(AP$4+Ayarlar!$C$6-1),Görevler!$D48&gt;=AP$4),IF(AP$4&lt;=Görevler!$C48+ROUND(Görevler!$F48*Görevler!$E48,0)-1,2,1),""))</f>
        <v/>
      </c>
      <c r="AQ48" s="22" t="str">
        <f aca="false">IF(Görevler!$F48="","",IF(AND(Görevler!$C48&lt;=(AQ$4+Ayarlar!$C$6-1),Görevler!$D48&gt;=AQ$4),IF(AQ$4&lt;=Görevler!$C48+ROUND(Görevler!$F48*Görevler!$E48,0)-1,2,1),""))</f>
        <v/>
      </c>
      <c r="AR48" s="22" t="str">
        <f aca="false">IF(Görevler!$F48="","",IF(AND(Görevler!$C48&lt;=(AR$4+Ayarlar!$C$6-1),Görevler!$D48&gt;=AR$4),IF(AR$4&lt;=Görevler!$C48+ROUND(Görevler!$F48*Görevler!$E48,0)-1,2,1),""))</f>
        <v/>
      </c>
      <c r="AS48" s="22" t="str">
        <f aca="false">IF(Görevler!$F48="","",IF(AND(Görevler!$C48&lt;=(AS$4+Ayarlar!$C$6-1),Görevler!$D48&gt;=AS$4),IF(AS$4&lt;=Görevler!$C48+ROUND(Görevler!$F48*Görevler!$E48,0)-1,2,1),""))</f>
        <v/>
      </c>
      <c r="AT48" s="22" t="str">
        <f aca="false">IF(Görevler!$F48="","",IF(AND(Görevler!$C48&lt;=(AT$4+Ayarlar!$C$6-1),Görevler!$D48&gt;=AT$4),IF(AT$4&lt;=Görevler!$C48+ROUND(Görevler!$F48*Görevler!$E48,0)-1,2,1),""))</f>
        <v/>
      </c>
      <c r="AU48" s="22" t="str">
        <f aca="false">IF(Görevler!$F48="","",IF(AND(Görevler!$C48&lt;=(AU$4+Ayarlar!$C$6-1),Görevler!$D48&gt;=AU$4),IF(AU$4&lt;=Görevler!$C48+ROUND(Görevler!$F48*Görevler!$E48,0)-1,2,1),""))</f>
        <v/>
      </c>
      <c r="AV48" s="22" t="str">
        <f aca="false">IF(Görevler!$F48="","",IF(AND(Görevler!$C48&lt;=(AV$4+Ayarlar!$C$6-1),Görevler!$D48&gt;=AV$4),IF(AV$4&lt;=Görevler!$C48+ROUND(Görevler!$F48*Görevler!$E48,0)-1,2,1),""))</f>
        <v/>
      </c>
      <c r="AW48" s="22" t="str">
        <f aca="false">IF(Görevler!$F48="","",IF(AND(Görevler!$C48&lt;=(AW$4+Ayarlar!$C$6-1),Görevler!$D48&gt;=AW$4),IF(AW$4&lt;=Görevler!$C48+ROUND(Görevler!$F48*Görevler!$E48,0)-1,2,1),""))</f>
        <v/>
      </c>
      <c r="AX48" s="22" t="str">
        <f aca="false">IF(Görevler!$F48="","",IF(AND(Görevler!$C48&lt;=(AX$4+Ayarlar!$C$6-1),Görevler!$D48&gt;=AX$4),IF(AX$4&lt;=Görevler!$C48+ROUND(Görevler!$F48*Görevler!$E48,0)-1,2,1),""))</f>
        <v/>
      </c>
      <c r="AY48" s="22" t="str">
        <f aca="false">IF(Görevler!$F48="","",IF(AND(Görevler!$C48&lt;=(AY$4+Ayarlar!$C$6-1),Görevler!$D48&gt;=AY$4),IF(AY$4&lt;=Görevler!$C48+ROUND(Görevler!$F48*Görevler!$E48,0)-1,2,1),""))</f>
        <v/>
      </c>
      <c r="AZ48" s="22" t="str">
        <f aca="false">IF(Görevler!$F48="","",IF(AND(Görevler!$C48&lt;=(AZ$4+Ayarlar!$C$6-1),Görevler!$D48&gt;=AZ$4),IF(AZ$4&lt;=Görevler!$C48+ROUND(Görevler!$F48*Görevler!$E48,0)-1,2,1),""))</f>
        <v/>
      </c>
      <c r="BA48" s="22" t="str">
        <f aca="false">IF(Görevler!$F48="","",IF(AND(Görevler!$C48&lt;=(BA$4+Ayarlar!$C$6-1),Görevler!$D48&gt;=BA$4),IF(BA$4&lt;=Görevler!$C48+ROUND(Görevler!$F48*Görevler!$E48,0)-1,2,1),""))</f>
        <v/>
      </c>
      <c r="BB48" s="22" t="str">
        <f aca="false">IF(Görevler!$F48="","",IF(AND(Görevler!$C48&lt;=(BB$4+Ayarlar!$C$6-1),Görevler!$D48&gt;=BB$4),IF(BB$4&lt;=Görevler!$C48+ROUND(Görevler!$F48*Görevler!$E48,0)-1,2,1),""))</f>
        <v/>
      </c>
      <c r="BC48" s="22" t="str">
        <f aca="false">IF(Görevler!$F48="","",IF(AND(Görevler!$C48&lt;=(BC$4+Ayarlar!$C$6-1),Görevler!$D48&gt;=BC$4),IF(BC$4&lt;=Görevler!$C48+ROUND(Görevler!$F48*Görevler!$E48,0)-1,2,1),""))</f>
        <v/>
      </c>
      <c r="BD48" s="22" t="str">
        <f aca="false">IF(Görevler!$F48="","",IF(AND(Görevler!$C48&lt;=(BD$4+Ayarlar!$C$6-1),Görevler!$D48&gt;=BD$4),IF(BD$4&lt;=Görevler!$C48+ROUND(Görevler!$F48*Görevler!$E48,0)-1,2,1),""))</f>
        <v/>
      </c>
      <c r="BE48" s="22" t="str">
        <f aca="false">IF(Görevler!$F48="","",IF(AND(Görevler!$C48&lt;=(BE$4+Ayarlar!$C$6-1),Görevler!$D48&gt;=BE$4),IF(BE$4&lt;=Görevler!$C48+ROUND(Görevler!$F48*Görevler!$E48,0)-1,2,1),""))</f>
        <v/>
      </c>
      <c r="BF48" s="22" t="str">
        <f aca="false">IF(Görevler!$F48="","",IF(AND(Görevler!$C48&lt;=(BF$4+Ayarlar!$C$6-1),Görevler!$D48&gt;=BF$4),IF(BF$4&lt;=Görevler!$C48+ROUND(Görevler!$F48*Görevler!$E48,0)-1,2,1),""))</f>
        <v/>
      </c>
      <c r="BG48" s="22" t="str">
        <f aca="false">IF(Görevler!$F48="","",IF(AND(Görevler!$C48&lt;=(BG$4+Ayarlar!$C$6-1),Görevler!$D48&gt;=BG$4),IF(BG$4&lt;=Görevler!$C48+ROUND(Görevler!$F48*Görevler!$E48,0)-1,2,1),""))</f>
        <v/>
      </c>
      <c r="BH48" s="22" t="str">
        <f aca="false">IF(Görevler!$F48="","",IF(AND(Görevler!$C48&lt;=(BH$4+Ayarlar!$C$6-1),Görevler!$D48&gt;=BH$4),IF(BH$4&lt;=Görevler!$C48+ROUND(Görevler!$F48*Görevler!$E48,0)-1,2,1),""))</f>
        <v/>
      </c>
      <c r="BI48" s="22" t="str">
        <f aca="false">IF(Görevler!$F48="","",IF(AND(Görevler!$C48&lt;=(BI$4+Ayarlar!$C$6-1),Görevler!$D48&gt;=BI$4),IF(BI$4&lt;=Görevler!$C48+ROUND(Görevler!$F48*Görevler!$E48,0)-1,2,1),""))</f>
        <v/>
      </c>
      <c r="BJ48" s="22" t="str">
        <f aca="false">IF(Görevler!$F48="","",IF(AND(Görevler!$C48&lt;=(BJ$4+Ayarlar!$C$6-1),Görevler!$D48&gt;=BJ$4),IF(BJ$4&lt;=Görevler!$C48+ROUND(Görevler!$F48*Görevler!$E48,0)-1,2,1),""))</f>
        <v/>
      </c>
    </row>
    <row r="49" customFormat="false" ht="15" hidden="false" customHeight="false" outlineLevel="0" collapsed="false">
      <c r="A49" s="21" t="str">
        <f aca="false">IF(Görevler!A49="","",Görevler!A49)</f>
        <v/>
      </c>
      <c r="B49" s="21" t="str">
        <f aca="false">IF(Görevler!A49="","",Görevler!B49&amp;"")</f>
        <v/>
      </c>
      <c r="C49" s="22" t="str">
        <f aca="false">IF(Görevler!$F49="","",IF(AND(Görevler!$C49&lt;=(C$4+Ayarlar!$C$6-1),Görevler!$D49&gt;=C$4),IF(C$4&lt;=Görevler!$C49+ROUND(Görevler!$F49*Görevler!$E49,0)-1,2,1),""))</f>
        <v/>
      </c>
      <c r="D49" s="22" t="str">
        <f aca="false">IF(Görevler!$F49="","",IF(AND(Görevler!$C49&lt;=(D$4+Ayarlar!$C$6-1),Görevler!$D49&gt;=D$4),IF(D$4&lt;=Görevler!$C49+ROUND(Görevler!$F49*Görevler!$E49,0)-1,2,1),""))</f>
        <v/>
      </c>
      <c r="E49" s="22" t="str">
        <f aca="false">IF(Görevler!$F49="","",IF(AND(Görevler!$C49&lt;=(E$4+Ayarlar!$C$6-1),Görevler!$D49&gt;=E$4),IF(E$4&lt;=Görevler!$C49+ROUND(Görevler!$F49*Görevler!$E49,0)-1,2,1),""))</f>
        <v/>
      </c>
      <c r="F49" s="22" t="str">
        <f aca="false">IF(Görevler!$F49="","",IF(AND(Görevler!$C49&lt;=(F$4+Ayarlar!$C$6-1),Görevler!$D49&gt;=F$4),IF(F$4&lt;=Görevler!$C49+ROUND(Görevler!$F49*Görevler!$E49,0)-1,2,1),""))</f>
        <v/>
      </c>
      <c r="G49" s="22" t="str">
        <f aca="false">IF(Görevler!$F49="","",IF(AND(Görevler!$C49&lt;=(G$4+Ayarlar!$C$6-1),Görevler!$D49&gt;=G$4),IF(G$4&lt;=Görevler!$C49+ROUND(Görevler!$F49*Görevler!$E49,0)-1,2,1),""))</f>
        <v/>
      </c>
      <c r="H49" s="22" t="str">
        <f aca="false">IF(Görevler!$F49="","",IF(AND(Görevler!$C49&lt;=(H$4+Ayarlar!$C$6-1),Görevler!$D49&gt;=H$4),IF(H$4&lt;=Görevler!$C49+ROUND(Görevler!$F49*Görevler!$E49,0)-1,2,1),""))</f>
        <v/>
      </c>
      <c r="I49" s="22" t="str">
        <f aca="false">IF(Görevler!$F49="","",IF(AND(Görevler!$C49&lt;=(I$4+Ayarlar!$C$6-1),Görevler!$D49&gt;=I$4),IF(I$4&lt;=Görevler!$C49+ROUND(Görevler!$F49*Görevler!$E49,0)-1,2,1),""))</f>
        <v/>
      </c>
      <c r="J49" s="22" t="str">
        <f aca="false">IF(Görevler!$F49="","",IF(AND(Görevler!$C49&lt;=(J$4+Ayarlar!$C$6-1),Görevler!$D49&gt;=J$4),IF(J$4&lt;=Görevler!$C49+ROUND(Görevler!$F49*Görevler!$E49,0)-1,2,1),""))</f>
        <v/>
      </c>
      <c r="K49" s="22" t="str">
        <f aca="false">IF(Görevler!$F49="","",IF(AND(Görevler!$C49&lt;=(K$4+Ayarlar!$C$6-1),Görevler!$D49&gt;=K$4),IF(K$4&lt;=Görevler!$C49+ROUND(Görevler!$F49*Görevler!$E49,0)-1,2,1),""))</f>
        <v/>
      </c>
      <c r="L49" s="22" t="str">
        <f aca="false">IF(Görevler!$F49="","",IF(AND(Görevler!$C49&lt;=(L$4+Ayarlar!$C$6-1),Görevler!$D49&gt;=L$4),IF(L$4&lt;=Görevler!$C49+ROUND(Görevler!$F49*Görevler!$E49,0)-1,2,1),""))</f>
        <v/>
      </c>
      <c r="M49" s="22" t="str">
        <f aca="false">IF(Görevler!$F49="","",IF(AND(Görevler!$C49&lt;=(M$4+Ayarlar!$C$6-1),Görevler!$D49&gt;=M$4),IF(M$4&lt;=Görevler!$C49+ROUND(Görevler!$F49*Görevler!$E49,0)-1,2,1),""))</f>
        <v/>
      </c>
      <c r="N49" s="22" t="str">
        <f aca="false">IF(Görevler!$F49="","",IF(AND(Görevler!$C49&lt;=(N$4+Ayarlar!$C$6-1),Görevler!$D49&gt;=N$4),IF(N$4&lt;=Görevler!$C49+ROUND(Görevler!$F49*Görevler!$E49,0)-1,2,1),""))</f>
        <v/>
      </c>
      <c r="O49" s="22" t="str">
        <f aca="false">IF(Görevler!$F49="","",IF(AND(Görevler!$C49&lt;=(O$4+Ayarlar!$C$6-1),Görevler!$D49&gt;=O$4),IF(O$4&lt;=Görevler!$C49+ROUND(Görevler!$F49*Görevler!$E49,0)-1,2,1),""))</f>
        <v/>
      </c>
      <c r="P49" s="22" t="str">
        <f aca="false">IF(Görevler!$F49="","",IF(AND(Görevler!$C49&lt;=(P$4+Ayarlar!$C$6-1),Görevler!$D49&gt;=P$4),IF(P$4&lt;=Görevler!$C49+ROUND(Görevler!$F49*Görevler!$E49,0)-1,2,1),""))</f>
        <v/>
      </c>
      <c r="Q49" s="22" t="str">
        <f aca="false">IF(Görevler!$F49="","",IF(AND(Görevler!$C49&lt;=(Q$4+Ayarlar!$C$6-1),Görevler!$D49&gt;=Q$4),IF(Q$4&lt;=Görevler!$C49+ROUND(Görevler!$F49*Görevler!$E49,0)-1,2,1),""))</f>
        <v/>
      </c>
      <c r="R49" s="22" t="str">
        <f aca="false">IF(Görevler!$F49="","",IF(AND(Görevler!$C49&lt;=(R$4+Ayarlar!$C$6-1),Görevler!$D49&gt;=R$4),IF(R$4&lt;=Görevler!$C49+ROUND(Görevler!$F49*Görevler!$E49,0)-1,2,1),""))</f>
        <v/>
      </c>
      <c r="S49" s="22" t="str">
        <f aca="false">IF(Görevler!$F49="","",IF(AND(Görevler!$C49&lt;=(S$4+Ayarlar!$C$6-1),Görevler!$D49&gt;=S$4),IF(S$4&lt;=Görevler!$C49+ROUND(Görevler!$F49*Görevler!$E49,0)-1,2,1),""))</f>
        <v/>
      </c>
      <c r="T49" s="22" t="str">
        <f aca="false">IF(Görevler!$F49="","",IF(AND(Görevler!$C49&lt;=(T$4+Ayarlar!$C$6-1),Görevler!$D49&gt;=T$4),IF(T$4&lt;=Görevler!$C49+ROUND(Görevler!$F49*Görevler!$E49,0)-1,2,1),""))</f>
        <v/>
      </c>
      <c r="U49" s="22" t="str">
        <f aca="false">IF(Görevler!$F49="","",IF(AND(Görevler!$C49&lt;=(U$4+Ayarlar!$C$6-1),Görevler!$D49&gt;=U$4),IF(U$4&lt;=Görevler!$C49+ROUND(Görevler!$F49*Görevler!$E49,0)-1,2,1),""))</f>
        <v/>
      </c>
      <c r="V49" s="22" t="str">
        <f aca="false">IF(Görevler!$F49="","",IF(AND(Görevler!$C49&lt;=(V$4+Ayarlar!$C$6-1),Görevler!$D49&gt;=V$4),IF(V$4&lt;=Görevler!$C49+ROUND(Görevler!$F49*Görevler!$E49,0)-1,2,1),""))</f>
        <v/>
      </c>
      <c r="W49" s="22" t="str">
        <f aca="false">IF(Görevler!$F49="","",IF(AND(Görevler!$C49&lt;=(W$4+Ayarlar!$C$6-1),Görevler!$D49&gt;=W$4),IF(W$4&lt;=Görevler!$C49+ROUND(Görevler!$F49*Görevler!$E49,0)-1,2,1),""))</f>
        <v/>
      </c>
      <c r="X49" s="22" t="str">
        <f aca="false">IF(Görevler!$F49="","",IF(AND(Görevler!$C49&lt;=(X$4+Ayarlar!$C$6-1),Görevler!$D49&gt;=X$4),IF(X$4&lt;=Görevler!$C49+ROUND(Görevler!$F49*Görevler!$E49,0)-1,2,1),""))</f>
        <v/>
      </c>
      <c r="Y49" s="22" t="str">
        <f aca="false">IF(Görevler!$F49="","",IF(AND(Görevler!$C49&lt;=(Y$4+Ayarlar!$C$6-1),Görevler!$D49&gt;=Y$4),IF(Y$4&lt;=Görevler!$C49+ROUND(Görevler!$F49*Görevler!$E49,0)-1,2,1),""))</f>
        <v/>
      </c>
      <c r="Z49" s="22" t="str">
        <f aca="false">IF(Görevler!$F49="","",IF(AND(Görevler!$C49&lt;=(Z$4+Ayarlar!$C$6-1),Görevler!$D49&gt;=Z$4),IF(Z$4&lt;=Görevler!$C49+ROUND(Görevler!$F49*Görevler!$E49,0)-1,2,1),""))</f>
        <v/>
      </c>
      <c r="AA49" s="22" t="str">
        <f aca="false">IF(Görevler!$F49="","",IF(AND(Görevler!$C49&lt;=(AA$4+Ayarlar!$C$6-1),Görevler!$D49&gt;=AA$4),IF(AA$4&lt;=Görevler!$C49+ROUND(Görevler!$F49*Görevler!$E49,0)-1,2,1),""))</f>
        <v/>
      </c>
      <c r="AB49" s="22" t="str">
        <f aca="false">IF(Görevler!$F49="","",IF(AND(Görevler!$C49&lt;=(AB$4+Ayarlar!$C$6-1),Görevler!$D49&gt;=AB$4),IF(AB$4&lt;=Görevler!$C49+ROUND(Görevler!$F49*Görevler!$E49,0)-1,2,1),""))</f>
        <v/>
      </c>
      <c r="AC49" s="22" t="str">
        <f aca="false">IF(Görevler!$F49="","",IF(AND(Görevler!$C49&lt;=(AC$4+Ayarlar!$C$6-1),Görevler!$D49&gt;=AC$4),IF(AC$4&lt;=Görevler!$C49+ROUND(Görevler!$F49*Görevler!$E49,0)-1,2,1),""))</f>
        <v/>
      </c>
      <c r="AD49" s="22" t="str">
        <f aca="false">IF(Görevler!$F49="","",IF(AND(Görevler!$C49&lt;=(AD$4+Ayarlar!$C$6-1),Görevler!$D49&gt;=AD$4),IF(AD$4&lt;=Görevler!$C49+ROUND(Görevler!$F49*Görevler!$E49,0)-1,2,1),""))</f>
        <v/>
      </c>
      <c r="AE49" s="22" t="str">
        <f aca="false">IF(Görevler!$F49="","",IF(AND(Görevler!$C49&lt;=(AE$4+Ayarlar!$C$6-1),Görevler!$D49&gt;=AE$4),IF(AE$4&lt;=Görevler!$C49+ROUND(Görevler!$F49*Görevler!$E49,0)-1,2,1),""))</f>
        <v/>
      </c>
      <c r="AF49" s="22" t="str">
        <f aca="false">IF(Görevler!$F49="","",IF(AND(Görevler!$C49&lt;=(AF$4+Ayarlar!$C$6-1),Görevler!$D49&gt;=AF$4),IF(AF$4&lt;=Görevler!$C49+ROUND(Görevler!$F49*Görevler!$E49,0)-1,2,1),""))</f>
        <v/>
      </c>
      <c r="AG49" s="22" t="str">
        <f aca="false">IF(Görevler!$F49="","",IF(AND(Görevler!$C49&lt;=(AG$4+Ayarlar!$C$6-1),Görevler!$D49&gt;=AG$4),IF(AG$4&lt;=Görevler!$C49+ROUND(Görevler!$F49*Görevler!$E49,0)-1,2,1),""))</f>
        <v/>
      </c>
      <c r="AH49" s="22" t="str">
        <f aca="false">IF(Görevler!$F49="","",IF(AND(Görevler!$C49&lt;=(AH$4+Ayarlar!$C$6-1),Görevler!$D49&gt;=AH$4),IF(AH$4&lt;=Görevler!$C49+ROUND(Görevler!$F49*Görevler!$E49,0)-1,2,1),""))</f>
        <v/>
      </c>
      <c r="AI49" s="22" t="str">
        <f aca="false">IF(Görevler!$F49="","",IF(AND(Görevler!$C49&lt;=(AI$4+Ayarlar!$C$6-1),Görevler!$D49&gt;=AI$4),IF(AI$4&lt;=Görevler!$C49+ROUND(Görevler!$F49*Görevler!$E49,0)-1,2,1),""))</f>
        <v/>
      </c>
      <c r="AJ49" s="22" t="str">
        <f aca="false">IF(Görevler!$F49="","",IF(AND(Görevler!$C49&lt;=(AJ$4+Ayarlar!$C$6-1),Görevler!$D49&gt;=AJ$4),IF(AJ$4&lt;=Görevler!$C49+ROUND(Görevler!$F49*Görevler!$E49,0)-1,2,1),""))</f>
        <v/>
      </c>
      <c r="AK49" s="22" t="str">
        <f aca="false">IF(Görevler!$F49="","",IF(AND(Görevler!$C49&lt;=(AK$4+Ayarlar!$C$6-1),Görevler!$D49&gt;=AK$4),IF(AK$4&lt;=Görevler!$C49+ROUND(Görevler!$F49*Görevler!$E49,0)-1,2,1),""))</f>
        <v/>
      </c>
      <c r="AL49" s="22" t="str">
        <f aca="false">IF(Görevler!$F49="","",IF(AND(Görevler!$C49&lt;=(AL$4+Ayarlar!$C$6-1),Görevler!$D49&gt;=AL$4),IF(AL$4&lt;=Görevler!$C49+ROUND(Görevler!$F49*Görevler!$E49,0)-1,2,1),""))</f>
        <v/>
      </c>
      <c r="AM49" s="22" t="str">
        <f aca="false">IF(Görevler!$F49="","",IF(AND(Görevler!$C49&lt;=(AM$4+Ayarlar!$C$6-1),Görevler!$D49&gt;=AM$4),IF(AM$4&lt;=Görevler!$C49+ROUND(Görevler!$F49*Görevler!$E49,0)-1,2,1),""))</f>
        <v/>
      </c>
      <c r="AN49" s="22" t="str">
        <f aca="false">IF(Görevler!$F49="","",IF(AND(Görevler!$C49&lt;=(AN$4+Ayarlar!$C$6-1),Görevler!$D49&gt;=AN$4),IF(AN$4&lt;=Görevler!$C49+ROUND(Görevler!$F49*Görevler!$E49,0)-1,2,1),""))</f>
        <v/>
      </c>
      <c r="AO49" s="22" t="str">
        <f aca="false">IF(Görevler!$F49="","",IF(AND(Görevler!$C49&lt;=(AO$4+Ayarlar!$C$6-1),Görevler!$D49&gt;=AO$4),IF(AO$4&lt;=Görevler!$C49+ROUND(Görevler!$F49*Görevler!$E49,0)-1,2,1),""))</f>
        <v/>
      </c>
      <c r="AP49" s="22" t="str">
        <f aca="false">IF(Görevler!$F49="","",IF(AND(Görevler!$C49&lt;=(AP$4+Ayarlar!$C$6-1),Görevler!$D49&gt;=AP$4),IF(AP$4&lt;=Görevler!$C49+ROUND(Görevler!$F49*Görevler!$E49,0)-1,2,1),""))</f>
        <v/>
      </c>
      <c r="AQ49" s="22" t="str">
        <f aca="false">IF(Görevler!$F49="","",IF(AND(Görevler!$C49&lt;=(AQ$4+Ayarlar!$C$6-1),Görevler!$D49&gt;=AQ$4),IF(AQ$4&lt;=Görevler!$C49+ROUND(Görevler!$F49*Görevler!$E49,0)-1,2,1),""))</f>
        <v/>
      </c>
      <c r="AR49" s="22" t="str">
        <f aca="false">IF(Görevler!$F49="","",IF(AND(Görevler!$C49&lt;=(AR$4+Ayarlar!$C$6-1),Görevler!$D49&gt;=AR$4),IF(AR$4&lt;=Görevler!$C49+ROUND(Görevler!$F49*Görevler!$E49,0)-1,2,1),""))</f>
        <v/>
      </c>
      <c r="AS49" s="22" t="str">
        <f aca="false">IF(Görevler!$F49="","",IF(AND(Görevler!$C49&lt;=(AS$4+Ayarlar!$C$6-1),Görevler!$D49&gt;=AS$4),IF(AS$4&lt;=Görevler!$C49+ROUND(Görevler!$F49*Görevler!$E49,0)-1,2,1),""))</f>
        <v/>
      </c>
      <c r="AT49" s="22" t="str">
        <f aca="false">IF(Görevler!$F49="","",IF(AND(Görevler!$C49&lt;=(AT$4+Ayarlar!$C$6-1),Görevler!$D49&gt;=AT$4),IF(AT$4&lt;=Görevler!$C49+ROUND(Görevler!$F49*Görevler!$E49,0)-1,2,1),""))</f>
        <v/>
      </c>
      <c r="AU49" s="22" t="str">
        <f aca="false">IF(Görevler!$F49="","",IF(AND(Görevler!$C49&lt;=(AU$4+Ayarlar!$C$6-1),Görevler!$D49&gt;=AU$4),IF(AU$4&lt;=Görevler!$C49+ROUND(Görevler!$F49*Görevler!$E49,0)-1,2,1),""))</f>
        <v/>
      </c>
      <c r="AV49" s="22" t="str">
        <f aca="false">IF(Görevler!$F49="","",IF(AND(Görevler!$C49&lt;=(AV$4+Ayarlar!$C$6-1),Görevler!$D49&gt;=AV$4),IF(AV$4&lt;=Görevler!$C49+ROUND(Görevler!$F49*Görevler!$E49,0)-1,2,1),""))</f>
        <v/>
      </c>
      <c r="AW49" s="22" t="str">
        <f aca="false">IF(Görevler!$F49="","",IF(AND(Görevler!$C49&lt;=(AW$4+Ayarlar!$C$6-1),Görevler!$D49&gt;=AW$4),IF(AW$4&lt;=Görevler!$C49+ROUND(Görevler!$F49*Görevler!$E49,0)-1,2,1),""))</f>
        <v/>
      </c>
      <c r="AX49" s="22" t="str">
        <f aca="false">IF(Görevler!$F49="","",IF(AND(Görevler!$C49&lt;=(AX$4+Ayarlar!$C$6-1),Görevler!$D49&gt;=AX$4),IF(AX$4&lt;=Görevler!$C49+ROUND(Görevler!$F49*Görevler!$E49,0)-1,2,1),""))</f>
        <v/>
      </c>
      <c r="AY49" s="22" t="str">
        <f aca="false">IF(Görevler!$F49="","",IF(AND(Görevler!$C49&lt;=(AY$4+Ayarlar!$C$6-1),Görevler!$D49&gt;=AY$4),IF(AY$4&lt;=Görevler!$C49+ROUND(Görevler!$F49*Görevler!$E49,0)-1,2,1),""))</f>
        <v/>
      </c>
      <c r="AZ49" s="22" t="str">
        <f aca="false">IF(Görevler!$F49="","",IF(AND(Görevler!$C49&lt;=(AZ$4+Ayarlar!$C$6-1),Görevler!$D49&gt;=AZ$4),IF(AZ$4&lt;=Görevler!$C49+ROUND(Görevler!$F49*Görevler!$E49,0)-1,2,1),""))</f>
        <v/>
      </c>
      <c r="BA49" s="22" t="str">
        <f aca="false">IF(Görevler!$F49="","",IF(AND(Görevler!$C49&lt;=(BA$4+Ayarlar!$C$6-1),Görevler!$D49&gt;=BA$4),IF(BA$4&lt;=Görevler!$C49+ROUND(Görevler!$F49*Görevler!$E49,0)-1,2,1),""))</f>
        <v/>
      </c>
      <c r="BB49" s="22" t="str">
        <f aca="false">IF(Görevler!$F49="","",IF(AND(Görevler!$C49&lt;=(BB$4+Ayarlar!$C$6-1),Görevler!$D49&gt;=BB$4),IF(BB$4&lt;=Görevler!$C49+ROUND(Görevler!$F49*Görevler!$E49,0)-1,2,1),""))</f>
        <v/>
      </c>
      <c r="BC49" s="22" t="str">
        <f aca="false">IF(Görevler!$F49="","",IF(AND(Görevler!$C49&lt;=(BC$4+Ayarlar!$C$6-1),Görevler!$D49&gt;=BC$4),IF(BC$4&lt;=Görevler!$C49+ROUND(Görevler!$F49*Görevler!$E49,0)-1,2,1),""))</f>
        <v/>
      </c>
      <c r="BD49" s="22" t="str">
        <f aca="false">IF(Görevler!$F49="","",IF(AND(Görevler!$C49&lt;=(BD$4+Ayarlar!$C$6-1),Görevler!$D49&gt;=BD$4),IF(BD$4&lt;=Görevler!$C49+ROUND(Görevler!$F49*Görevler!$E49,0)-1,2,1),""))</f>
        <v/>
      </c>
      <c r="BE49" s="22" t="str">
        <f aca="false">IF(Görevler!$F49="","",IF(AND(Görevler!$C49&lt;=(BE$4+Ayarlar!$C$6-1),Görevler!$D49&gt;=BE$4),IF(BE$4&lt;=Görevler!$C49+ROUND(Görevler!$F49*Görevler!$E49,0)-1,2,1),""))</f>
        <v/>
      </c>
      <c r="BF49" s="22" t="str">
        <f aca="false">IF(Görevler!$F49="","",IF(AND(Görevler!$C49&lt;=(BF$4+Ayarlar!$C$6-1),Görevler!$D49&gt;=BF$4),IF(BF$4&lt;=Görevler!$C49+ROUND(Görevler!$F49*Görevler!$E49,0)-1,2,1),""))</f>
        <v/>
      </c>
      <c r="BG49" s="22" t="str">
        <f aca="false">IF(Görevler!$F49="","",IF(AND(Görevler!$C49&lt;=(BG$4+Ayarlar!$C$6-1),Görevler!$D49&gt;=BG$4),IF(BG$4&lt;=Görevler!$C49+ROUND(Görevler!$F49*Görevler!$E49,0)-1,2,1),""))</f>
        <v/>
      </c>
      <c r="BH49" s="22" t="str">
        <f aca="false">IF(Görevler!$F49="","",IF(AND(Görevler!$C49&lt;=(BH$4+Ayarlar!$C$6-1),Görevler!$D49&gt;=BH$4),IF(BH$4&lt;=Görevler!$C49+ROUND(Görevler!$F49*Görevler!$E49,0)-1,2,1),""))</f>
        <v/>
      </c>
      <c r="BI49" s="22" t="str">
        <f aca="false">IF(Görevler!$F49="","",IF(AND(Görevler!$C49&lt;=(BI$4+Ayarlar!$C$6-1),Görevler!$D49&gt;=BI$4),IF(BI$4&lt;=Görevler!$C49+ROUND(Görevler!$F49*Görevler!$E49,0)-1,2,1),""))</f>
        <v/>
      </c>
      <c r="BJ49" s="22" t="str">
        <f aca="false">IF(Görevler!$F49="","",IF(AND(Görevler!$C49&lt;=(BJ$4+Ayarlar!$C$6-1),Görevler!$D49&gt;=BJ$4),IF(BJ$4&lt;=Görevler!$C49+ROUND(Görevler!$F49*Görevler!$E49,0)-1,2,1),""))</f>
        <v/>
      </c>
    </row>
    <row r="50" customFormat="false" ht="15" hidden="false" customHeight="false" outlineLevel="0" collapsed="false">
      <c r="A50" s="21" t="str">
        <f aca="false">IF(Görevler!A50="","",Görevler!A50)</f>
        <v/>
      </c>
      <c r="B50" s="21" t="str">
        <f aca="false">IF(Görevler!A50="","",Görevler!B50&amp;"")</f>
        <v/>
      </c>
      <c r="C50" s="22" t="str">
        <f aca="false">IF(Görevler!$F50="","",IF(AND(Görevler!$C50&lt;=(C$4+Ayarlar!$C$6-1),Görevler!$D50&gt;=C$4),IF(C$4&lt;=Görevler!$C50+ROUND(Görevler!$F50*Görevler!$E50,0)-1,2,1),""))</f>
        <v/>
      </c>
      <c r="D50" s="22" t="str">
        <f aca="false">IF(Görevler!$F50="","",IF(AND(Görevler!$C50&lt;=(D$4+Ayarlar!$C$6-1),Görevler!$D50&gt;=D$4),IF(D$4&lt;=Görevler!$C50+ROUND(Görevler!$F50*Görevler!$E50,0)-1,2,1),""))</f>
        <v/>
      </c>
      <c r="E50" s="22" t="str">
        <f aca="false">IF(Görevler!$F50="","",IF(AND(Görevler!$C50&lt;=(E$4+Ayarlar!$C$6-1),Görevler!$D50&gt;=E$4),IF(E$4&lt;=Görevler!$C50+ROUND(Görevler!$F50*Görevler!$E50,0)-1,2,1),""))</f>
        <v/>
      </c>
      <c r="F50" s="22" t="str">
        <f aca="false">IF(Görevler!$F50="","",IF(AND(Görevler!$C50&lt;=(F$4+Ayarlar!$C$6-1),Görevler!$D50&gt;=F$4),IF(F$4&lt;=Görevler!$C50+ROUND(Görevler!$F50*Görevler!$E50,0)-1,2,1),""))</f>
        <v/>
      </c>
      <c r="G50" s="22" t="str">
        <f aca="false">IF(Görevler!$F50="","",IF(AND(Görevler!$C50&lt;=(G$4+Ayarlar!$C$6-1),Görevler!$D50&gt;=G$4),IF(G$4&lt;=Görevler!$C50+ROUND(Görevler!$F50*Görevler!$E50,0)-1,2,1),""))</f>
        <v/>
      </c>
      <c r="H50" s="22" t="str">
        <f aca="false">IF(Görevler!$F50="","",IF(AND(Görevler!$C50&lt;=(H$4+Ayarlar!$C$6-1),Görevler!$D50&gt;=H$4),IF(H$4&lt;=Görevler!$C50+ROUND(Görevler!$F50*Görevler!$E50,0)-1,2,1),""))</f>
        <v/>
      </c>
      <c r="I50" s="22" t="str">
        <f aca="false">IF(Görevler!$F50="","",IF(AND(Görevler!$C50&lt;=(I$4+Ayarlar!$C$6-1),Görevler!$D50&gt;=I$4),IF(I$4&lt;=Görevler!$C50+ROUND(Görevler!$F50*Görevler!$E50,0)-1,2,1),""))</f>
        <v/>
      </c>
      <c r="J50" s="22" t="str">
        <f aca="false">IF(Görevler!$F50="","",IF(AND(Görevler!$C50&lt;=(J$4+Ayarlar!$C$6-1),Görevler!$D50&gt;=J$4),IF(J$4&lt;=Görevler!$C50+ROUND(Görevler!$F50*Görevler!$E50,0)-1,2,1),""))</f>
        <v/>
      </c>
      <c r="K50" s="22" t="str">
        <f aca="false">IF(Görevler!$F50="","",IF(AND(Görevler!$C50&lt;=(K$4+Ayarlar!$C$6-1),Görevler!$D50&gt;=K$4),IF(K$4&lt;=Görevler!$C50+ROUND(Görevler!$F50*Görevler!$E50,0)-1,2,1),""))</f>
        <v/>
      </c>
      <c r="L50" s="22" t="str">
        <f aca="false">IF(Görevler!$F50="","",IF(AND(Görevler!$C50&lt;=(L$4+Ayarlar!$C$6-1),Görevler!$D50&gt;=L$4),IF(L$4&lt;=Görevler!$C50+ROUND(Görevler!$F50*Görevler!$E50,0)-1,2,1),""))</f>
        <v/>
      </c>
      <c r="M50" s="22" t="str">
        <f aca="false">IF(Görevler!$F50="","",IF(AND(Görevler!$C50&lt;=(M$4+Ayarlar!$C$6-1),Görevler!$D50&gt;=M$4),IF(M$4&lt;=Görevler!$C50+ROUND(Görevler!$F50*Görevler!$E50,0)-1,2,1),""))</f>
        <v/>
      </c>
      <c r="N50" s="22" t="str">
        <f aca="false">IF(Görevler!$F50="","",IF(AND(Görevler!$C50&lt;=(N$4+Ayarlar!$C$6-1),Görevler!$D50&gt;=N$4),IF(N$4&lt;=Görevler!$C50+ROUND(Görevler!$F50*Görevler!$E50,0)-1,2,1),""))</f>
        <v/>
      </c>
      <c r="O50" s="22" t="str">
        <f aca="false">IF(Görevler!$F50="","",IF(AND(Görevler!$C50&lt;=(O$4+Ayarlar!$C$6-1),Görevler!$D50&gt;=O$4),IF(O$4&lt;=Görevler!$C50+ROUND(Görevler!$F50*Görevler!$E50,0)-1,2,1),""))</f>
        <v/>
      </c>
      <c r="P50" s="22" t="str">
        <f aca="false">IF(Görevler!$F50="","",IF(AND(Görevler!$C50&lt;=(P$4+Ayarlar!$C$6-1),Görevler!$D50&gt;=P$4),IF(P$4&lt;=Görevler!$C50+ROUND(Görevler!$F50*Görevler!$E50,0)-1,2,1),""))</f>
        <v/>
      </c>
      <c r="Q50" s="22" t="str">
        <f aca="false">IF(Görevler!$F50="","",IF(AND(Görevler!$C50&lt;=(Q$4+Ayarlar!$C$6-1),Görevler!$D50&gt;=Q$4),IF(Q$4&lt;=Görevler!$C50+ROUND(Görevler!$F50*Görevler!$E50,0)-1,2,1),""))</f>
        <v/>
      </c>
      <c r="R50" s="22" t="str">
        <f aca="false">IF(Görevler!$F50="","",IF(AND(Görevler!$C50&lt;=(R$4+Ayarlar!$C$6-1),Görevler!$D50&gt;=R$4),IF(R$4&lt;=Görevler!$C50+ROUND(Görevler!$F50*Görevler!$E50,0)-1,2,1),""))</f>
        <v/>
      </c>
      <c r="S50" s="22" t="str">
        <f aca="false">IF(Görevler!$F50="","",IF(AND(Görevler!$C50&lt;=(S$4+Ayarlar!$C$6-1),Görevler!$D50&gt;=S$4),IF(S$4&lt;=Görevler!$C50+ROUND(Görevler!$F50*Görevler!$E50,0)-1,2,1),""))</f>
        <v/>
      </c>
      <c r="T50" s="22" t="str">
        <f aca="false">IF(Görevler!$F50="","",IF(AND(Görevler!$C50&lt;=(T$4+Ayarlar!$C$6-1),Görevler!$D50&gt;=T$4),IF(T$4&lt;=Görevler!$C50+ROUND(Görevler!$F50*Görevler!$E50,0)-1,2,1),""))</f>
        <v/>
      </c>
      <c r="U50" s="22" t="str">
        <f aca="false">IF(Görevler!$F50="","",IF(AND(Görevler!$C50&lt;=(U$4+Ayarlar!$C$6-1),Görevler!$D50&gt;=U$4),IF(U$4&lt;=Görevler!$C50+ROUND(Görevler!$F50*Görevler!$E50,0)-1,2,1),""))</f>
        <v/>
      </c>
      <c r="V50" s="22" t="str">
        <f aca="false">IF(Görevler!$F50="","",IF(AND(Görevler!$C50&lt;=(V$4+Ayarlar!$C$6-1),Görevler!$D50&gt;=V$4),IF(V$4&lt;=Görevler!$C50+ROUND(Görevler!$F50*Görevler!$E50,0)-1,2,1),""))</f>
        <v/>
      </c>
      <c r="W50" s="22" t="str">
        <f aca="false">IF(Görevler!$F50="","",IF(AND(Görevler!$C50&lt;=(W$4+Ayarlar!$C$6-1),Görevler!$D50&gt;=W$4),IF(W$4&lt;=Görevler!$C50+ROUND(Görevler!$F50*Görevler!$E50,0)-1,2,1),""))</f>
        <v/>
      </c>
      <c r="X50" s="22" t="str">
        <f aca="false">IF(Görevler!$F50="","",IF(AND(Görevler!$C50&lt;=(X$4+Ayarlar!$C$6-1),Görevler!$D50&gt;=X$4),IF(X$4&lt;=Görevler!$C50+ROUND(Görevler!$F50*Görevler!$E50,0)-1,2,1),""))</f>
        <v/>
      </c>
      <c r="Y50" s="22" t="str">
        <f aca="false">IF(Görevler!$F50="","",IF(AND(Görevler!$C50&lt;=(Y$4+Ayarlar!$C$6-1),Görevler!$D50&gt;=Y$4),IF(Y$4&lt;=Görevler!$C50+ROUND(Görevler!$F50*Görevler!$E50,0)-1,2,1),""))</f>
        <v/>
      </c>
      <c r="Z50" s="22" t="str">
        <f aca="false">IF(Görevler!$F50="","",IF(AND(Görevler!$C50&lt;=(Z$4+Ayarlar!$C$6-1),Görevler!$D50&gt;=Z$4),IF(Z$4&lt;=Görevler!$C50+ROUND(Görevler!$F50*Görevler!$E50,0)-1,2,1),""))</f>
        <v/>
      </c>
      <c r="AA50" s="22" t="str">
        <f aca="false">IF(Görevler!$F50="","",IF(AND(Görevler!$C50&lt;=(AA$4+Ayarlar!$C$6-1),Görevler!$D50&gt;=AA$4),IF(AA$4&lt;=Görevler!$C50+ROUND(Görevler!$F50*Görevler!$E50,0)-1,2,1),""))</f>
        <v/>
      </c>
      <c r="AB50" s="22" t="str">
        <f aca="false">IF(Görevler!$F50="","",IF(AND(Görevler!$C50&lt;=(AB$4+Ayarlar!$C$6-1),Görevler!$D50&gt;=AB$4),IF(AB$4&lt;=Görevler!$C50+ROUND(Görevler!$F50*Görevler!$E50,0)-1,2,1),""))</f>
        <v/>
      </c>
      <c r="AC50" s="22" t="str">
        <f aca="false">IF(Görevler!$F50="","",IF(AND(Görevler!$C50&lt;=(AC$4+Ayarlar!$C$6-1),Görevler!$D50&gt;=AC$4),IF(AC$4&lt;=Görevler!$C50+ROUND(Görevler!$F50*Görevler!$E50,0)-1,2,1),""))</f>
        <v/>
      </c>
      <c r="AD50" s="22" t="str">
        <f aca="false">IF(Görevler!$F50="","",IF(AND(Görevler!$C50&lt;=(AD$4+Ayarlar!$C$6-1),Görevler!$D50&gt;=AD$4),IF(AD$4&lt;=Görevler!$C50+ROUND(Görevler!$F50*Görevler!$E50,0)-1,2,1),""))</f>
        <v/>
      </c>
      <c r="AE50" s="22" t="str">
        <f aca="false">IF(Görevler!$F50="","",IF(AND(Görevler!$C50&lt;=(AE$4+Ayarlar!$C$6-1),Görevler!$D50&gt;=AE$4),IF(AE$4&lt;=Görevler!$C50+ROUND(Görevler!$F50*Görevler!$E50,0)-1,2,1),""))</f>
        <v/>
      </c>
      <c r="AF50" s="22" t="str">
        <f aca="false">IF(Görevler!$F50="","",IF(AND(Görevler!$C50&lt;=(AF$4+Ayarlar!$C$6-1),Görevler!$D50&gt;=AF$4),IF(AF$4&lt;=Görevler!$C50+ROUND(Görevler!$F50*Görevler!$E50,0)-1,2,1),""))</f>
        <v/>
      </c>
      <c r="AG50" s="22" t="str">
        <f aca="false">IF(Görevler!$F50="","",IF(AND(Görevler!$C50&lt;=(AG$4+Ayarlar!$C$6-1),Görevler!$D50&gt;=AG$4),IF(AG$4&lt;=Görevler!$C50+ROUND(Görevler!$F50*Görevler!$E50,0)-1,2,1),""))</f>
        <v/>
      </c>
      <c r="AH50" s="22" t="str">
        <f aca="false">IF(Görevler!$F50="","",IF(AND(Görevler!$C50&lt;=(AH$4+Ayarlar!$C$6-1),Görevler!$D50&gt;=AH$4),IF(AH$4&lt;=Görevler!$C50+ROUND(Görevler!$F50*Görevler!$E50,0)-1,2,1),""))</f>
        <v/>
      </c>
      <c r="AI50" s="22" t="str">
        <f aca="false">IF(Görevler!$F50="","",IF(AND(Görevler!$C50&lt;=(AI$4+Ayarlar!$C$6-1),Görevler!$D50&gt;=AI$4),IF(AI$4&lt;=Görevler!$C50+ROUND(Görevler!$F50*Görevler!$E50,0)-1,2,1),""))</f>
        <v/>
      </c>
      <c r="AJ50" s="22" t="str">
        <f aca="false">IF(Görevler!$F50="","",IF(AND(Görevler!$C50&lt;=(AJ$4+Ayarlar!$C$6-1),Görevler!$D50&gt;=AJ$4),IF(AJ$4&lt;=Görevler!$C50+ROUND(Görevler!$F50*Görevler!$E50,0)-1,2,1),""))</f>
        <v/>
      </c>
      <c r="AK50" s="22" t="str">
        <f aca="false">IF(Görevler!$F50="","",IF(AND(Görevler!$C50&lt;=(AK$4+Ayarlar!$C$6-1),Görevler!$D50&gt;=AK$4),IF(AK$4&lt;=Görevler!$C50+ROUND(Görevler!$F50*Görevler!$E50,0)-1,2,1),""))</f>
        <v/>
      </c>
      <c r="AL50" s="22" t="str">
        <f aca="false">IF(Görevler!$F50="","",IF(AND(Görevler!$C50&lt;=(AL$4+Ayarlar!$C$6-1),Görevler!$D50&gt;=AL$4),IF(AL$4&lt;=Görevler!$C50+ROUND(Görevler!$F50*Görevler!$E50,0)-1,2,1),""))</f>
        <v/>
      </c>
      <c r="AM50" s="22" t="str">
        <f aca="false">IF(Görevler!$F50="","",IF(AND(Görevler!$C50&lt;=(AM$4+Ayarlar!$C$6-1),Görevler!$D50&gt;=AM$4),IF(AM$4&lt;=Görevler!$C50+ROUND(Görevler!$F50*Görevler!$E50,0)-1,2,1),""))</f>
        <v/>
      </c>
      <c r="AN50" s="22" t="str">
        <f aca="false">IF(Görevler!$F50="","",IF(AND(Görevler!$C50&lt;=(AN$4+Ayarlar!$C$6-1),Görevler!$D50&gt;=AN$4),IF(AN$4&lt;=Görevler!$C50+ROUND(Görevler!$F50*Görevler!$E50,0)-1,2,1),""))</f>
        <v/>
      </c>
      <c r="AO50" s="22" t="str">
        <f aca="false">IF(Görevler!$F50="","",IF(AND(Görevler!$C50&lt;=(AO$4+Ayarlar!$C$6-1),Görevler!$D50&gt;=AO$4),IF(AO$4&lt;=Görevler!$C50+ROUND(Görevler!$F50*Görevler!$E50,0)-1,2,1),""))</f>
        <v/>
      </c>
      <c r="AP50" s="22" t="str">
        <f aca="false">IF(Görevler!$F50="","",IF(AND(Görevler!$C50&lt;=(AP$4+Ayarlar!$C$6-1),Görevler!$D50&gt;=AP$4),IF(AP$4&lt;=Görevler!$C50+ROUND(Görevler!$F50*Görevler!$E50,0)-1,2,1),""))</f>
        <v/>
      </c>
      <c r="AQ50" s="22" t="str">
        <f aca="false">IF(Görevler!$F50="","",IF(AND(Görevler!$C50&lt;=(AQ$4+Ayarlar!$C$6-1),Görevler!$D50&gt;=AQ$4),IF(AQ$4&lt;=Görevler!$C50+ROUND(Görevler!$F50*Görevler!$E50,0)-1,2,1),""))</f>
        <v/>
      </c>
      <c r="AR50" s="22" t="str">
        <f aca="false">IF(Görevler!$F50="","",IF(AND(Görevler!$C50&lt;=(AR$4+Ayarlar!$C$6-1),Görevler!$D50&gt;=AR$4),IF(AR$4&lt;=Görevler!$C50+ROUND(Görevler!$F50*Görevler!$E50,0)-1,2,1),""))</f>
        <v/>
      </c>
      <c r="AS50" s="22" t="str">
        <f aca="false">IF(Görevler!$F50="","",IF(AND(Görevler!$C50&lt;=(AS$4+Ayarlar!$C$6-1),Görevler!$D50&gt;=AS$4),IF(AS$4&lt;=Görevler!$C50+ROUND(Görevler!$F50*Görevler!$E50,0)-1,2,1),""))</f>
        <v/>
      </c>
      <c r="AT50" s="22" t="str">
        <f aca="false">IF(Görevler!$F50="","",IF(AND(Görevler!$C50&lt;=(AT$4+Ayarlar!$C$6-1),Görevler!$D50&gt;=AT$4),IF(AT$4&lt;=Görevler!$C50+ROUND(Görevler!$F50*Görevler!$E50,0)-1,2,1),""))</f>
        <v/>
      </c>
      <c r="AU50" s="22" t="str">
        <f aca="false">IF(Görevler!$F50="","",IF(AND(Görevler!$C50&lt;=(AU$4+Ayarlar!$C$6-1),Görevler!$D50&gt;=AU$4),IF(AU$4&lt;=Görevler!$C50+ROUND(Görevler!$F50*Görevler!$E50,0)-1,2,1),""))</f>
        <v/>
      </c>
      <c r="AV50" s="22" t="str">
        <f aca="false">IF(Görevler!$F50="","",IF(AND(Görevler!$C50&lt;=(AV$4+Ayarlar!$C$6-1),Görevler!$D50&gt;=AV$4),IF(AV$4&lt;=Görevler!$C50+ROUND(Görevler!$F50*Görevler!$E50,0)-1,2,1),""))</f>
        <v/>
      </c>
      <c r="AW50" s="22" t="str">
        <f aca="false">IF(Görevler!$F50="","",IF(AND(Görevler!$C50&lt;=(AW$4+Ayarlar!$C$6-1),Görevler!$D50&gt;=AW$4),IF(AW$4&lt;=Görevler!$C50+ROUND(Görevler!$F50*Görevler!$E50,0)-1,2,1),""))</f>
        <v/>
      </c>
      <c r="AX50" s="22" t="str">
        <f aca="false">IF(Görevler!$F50="","",IF(AND(Görevler!$C50&lt;=(AX$4+Ayarlar!$C$6-1),Görevler!$D50&gt;=AX$4),IF(AX$4&lt;=Görevler!$C50+ROUND(Görevler!$F50*Görevler!$E50,0)-1,2,1),""))</f>
        <v/>
      </c>
      <c r="AY50" s="22" t="str">
        <f aca="false">IF(Görevler!$F50="","",IF(AND(Görevler!$C50&lt;=(AY$4+Ayarlar!$C$6-1),Görevler!$D50&gt;=AY$4),IF(AY$4&lt;=Görevler!$C50+ROUND(Görevler!$F50*Görevler!$E50,0)-1,2,1),""))</f>
        <v/>
      </c>
      <c r="AZ50" s="22" t="str">
        <f aca="false">IF(Görevler!$F50="","",IF(AND(Görevler!$C50&lt;=(AZ$4+Ayarlar!$C$6-1),Görevler!$D50&gt;=AZ$4),IF(AZ$4&lt;=Görevler!$C50+ROUND(Görevler!$F50*Görevler!$E50,0)-1,2,1),""))</f>
        <v/>
      </c>
      <c r="BA50" s="22" t="str">
        <f aca="false">IF(Görevler!$F50="","",IF(AND(Görevler!$C50&lt;=(BA$4+Ayarlar!$C$6-1),Görevler!$D50&gt;=BA$4),IF(BA$4&lt;=Görevler!$C50+ROUND(Görevler!$F50*Görevler!$E50,0)-1,2,1),""))</f>
        <v/>
      </c>
      <c r="BB50" s="22" t="str">
        <f aca="false">IF(Görevler!$F50="","",IF(AND(Görevler!$C50&lt;=(BB$4+Ayarlar!$C$6-1),Görevler!$D50&gt;=BB$4),IF(BB$4&lt;=Görevler!$C50+ROUND(Görevler!$F50*Görevler!$E50,0)-1,2,1),""))</f>
        <v/>
      </c>
      <c r="BC50" s="22" t="str">
        <f aca="false">IF(Görevler!$F50="","",IF(AND(Görevler!$C50&lt;=(BC$4+Ayarlar!$C$6-1),Görevler!$D50&gt;=BC$4),IF(BC$4&lt;=Görevler!$C50+ROUND(Görevler!$F50*Görevler!$E50,0)-1,2,1),""))</f>
        <v/>
      </c>
      <c r="BD50" s="22" t="str">
        <f aca="false">IF(Görevler!$F50="","",IF(AND(Görevler!$C50&lt;=(BD$4+Ayarlar!$C$6-1),Görevler!$D50&gt;=BD$4),IF(BD$4&lt;=Görevler!$C50+ROUND(Görevler!$F50*Görevler!$E50,0)-1,2,1),""))</f>
        <v/>
      </c>
      <c r="BE50" s="22" t="str">
        <f aca="false">IF(Görevler!$F50="","",IF(AND(Görevler!$C50&lt;=(BE$4+Ayarlar!$C$6-1),Görevler!$D50&gt;=BE$4),IF(BE$4&lt;=Görevler!$C50+ROUND(Görevler!$F50*Görevler!$E50,0)-1,2,1),""))</f>
        <v/>
      </c>
      <c r="BF50" s="22" t="str">
        <f aca="false">IF(Görevler!$F50="","",IF(AND(Görevler!$C50&lt;=(BF$4+Ayarlar!$C$6-1),Görevler!$D50&gt;=BF$4),IF(BF$4&lt;=Görevler!$C50+ROUND(Görevler!$F50*Görevler!$E50,0)-1,2,1),""))</f>
        <v/>
      </c>
      <c r="BG50" s="22" t="str">
        <f aca="false">IF(Görevler!$F50="","",IF(AND(Görevler!$C50&lt;=(BG$4+Ayarlar!$C$6-1),Görevler!$D50&gt;=BG$4),IF(BG$4&lt;=Görevler!$C50+ROUND(Görevler!$F50*Görevler!$E50,0)-1,2,1),""))</f>
        <v/>
      </c>
      <c r="BH50" s="22" t="str">
        <f aca="false">IF(Görevler!$F50="","",IF(AND(Görevler!$C50&lt;=(BH$4+Ayarlar!$C$6-1),Görevler!$D50&gt;=BH$4),IF(BH$4&lt;=Görevler!$C50+ROUND(Görevler!$F50*Görevler!$E50,0)-1,2,1),""))</f>
        <v/>
      </c>
      <c r="BI50" s="22" t="str">
        <f aca="false">IF(Görevler!$F50="","",IF(AND(Görevler!$C50&lt;=(BI$4+Ayarlar!$C$6-1),Görevler!$D50&gt;=BI$4),IF(BI$4&lt;=Görevler!$C50+ROUND(Görevler!$F50*Görevler!$E50,0)-1,2,1),""))</f>
        <v/>
      </c>
      <c r="BJ50" s="22" t="str">
        <f aca="false">IF(Görevler!$F50="","",IF(AND(Görevler!$C50&lt;=(BJ$4+Ayarlar!$C$6-1),Görevler!$D50&gt;=BJ$4),IF(BJ$4&lt;=Görevler!$C50+ROUND(Görevler!$F50*Görevler!$E50,0)-1,2,1),""))</f>
        <v/>
      </c>
    </row>
    <row r="51" customFormat="false" ht="15" hidden="false" customHeight="false" outlineLevel="0" collapsed="false">
      <c r="A51" s="21" t="str">
        <f aca="false">IF(Görevler!A51="","",Görevler!A51)</f>
        <v/>
      </c>
      <c r="B51" s="21" t="str">
        <f aca="false">IF(Görevler!A51="","",Görevler!B51&amp;"")</f>
        <v/>
      </c>
      <c r="C51" s="22" t="str">
        <f aca="false">IF(Görevler!$F51="","",IF(AND(Görevler!$C51&lt;=(C$4+Ayarlar!$C$6-1),Görevler!$D51&gt;=C$4),IF(C$4&lt;=Görevler!$C51+ROUND(Görevler!$F51*Görevler!$E51,0)-1,2,1),""))</f>
        <v/>
      </c>
      <c r="D51" s="22" t="str">
        <f aca="false">IF(Görevler!$F51="","",IF(AND(Görevler!$C51&lt;=(D$4+Ayarlar!$C$6-1),Görevler!$D51&gt;=D$4),IF(D$4&lt;=Görevler!$C51+ROUND(Görevler!$F51*Görevler!$E51,0)-1,2,1),""))</f>
        <v/>
      </c>
      <c r="E51" s="22" t="str">
        <f aca="false">IF(Görevler!$F51="","",IF(AND(Görevler!$C51&lt;=(E$4+Ayarlar!$C$6-1),Görevler!$D51&gt;=E$4),IF(E$4&lt;=Görevler!$C51+ROUND(Görevler!$F51*Görevler!$E51,0)-1,2,1),""))</f>
        <v/>
      </c>
      <c r="F51" s="22" t="str">
        <f aca="false">IF(Görevler!$F51="","",IF(AND(Görevler!$C51&lt;=(F$4+Ayarlar!$C$6-1),Görevler!$D51&gt;=F$4),IF(F$4&lt;=Görevler!$C51+ROUND(Görevler!$F51*Görevler!$E51,0)-1,2,1),""))</f>
        <v/>
      </c>
      <c r="G51" s="22" t="str">
        <f aca="false">IF(Görevler!$F51="","",IF(AND(Görevler!$C51&lt;=(G$4+Ayarlar!$C$6-1),Görevler!$D51&gt;=G$4),IF(G$4&lt;=Görevler!$C51+ROUND(Görevler!$F51*Görevler!$E51,0)-1,2,1),""))</f>
        <v/>
      </c>
      <c r="H51" s="22" t="str">
        <f aca="false">IF(Görevler!$F51="","",IF(AND(Görevler!$C51&lt;=(H$4+Ayarlar!$C$6-1),Görevler!$D51&gt;=H$4),IF(H$4&lt;=Görevler!$C51+ROUND(Görevler!$F51*Görevler!$E51,0)-1,2,1),""))</f>
        <v/>
      </c>
      <c r="I51" s="22" t="str">
        <f aca="false">IF(Görevler!$F51="","",IF(AND(Görevler!$C51&lt;=(I$4+Ayarlar!$C$6-1),Görevler!$D51&gt;=I$4),IF(I$4&lt;=Görevler!$C51+ROUND(Görevler!$F51*Görevler!$E51,0)-1,2,1),""))</f>
        <v/>
      </c>
      <c r="J51" s="22" t="str">
        <f aca="false">IF(Görevler!$F51="","",IF(AND(Görevler!$C51&lt;=(J$4+Ayarlar!$C$6-1),Görevler!$D51&gt;=J$4),IF(J$4&lt;=Görevler!$C51+ROUND(Görevler!$F51*Görevler!$E51,0)-1,2,1),""))</f>
        <v/>
      </c>
      <c r="K51" s="22" t="str">
        <f aca="false">IF(Görevler!$F51="","",IF(AND(Görevler!$C51&lt;=(K$4+Ayarlar!$C$6-1),Görevler!$D51&gt;=K$4),IF(K$4&lt;=Görevler!$C51+ROUND(Görevler!$F51*Görevler!$E51,0)-1,2,1),""))</f>
        <v/>
      </c>
      <c r="L51" s="22" t="str">
        <f aca="false">IF(Görevler!$F51="","",IF(AND(Görevler!$C51&lt;=(L$4+Ayarlar!$C$6-1),Görevler!$D51&gt;=L$4),IF(L$4&lt;=Görevler!$C51+ROUND(Görevler!$F51*Görevler!$E51,0)-1,2,1),""))</f>
        <v/>
      </c>
      <c r="M51" s="22" t="str">
        <f aca="false">IF(Görevler!$F51="","",IF(AND(Görevler!$C51&lt;=(M$4+Ayarlar!$C$6-1),Görevler!$D51&gt;=M$4),IF(M$4&lt;=Görevler!$C51+ROUND(Görevler!$F51*Görevler!$E51,0)-1,2,1),""))</f>
        <v/>
      </c>
      <c r="N51" s="22" t="str">
        <f aca="false">IF(Görevler!$F51="","",IF(AND(Görevler!$C51&lt;=(N$4+Ayarlar!$C$6-1),Görevler!$D51&gt;=N$4),IF(N$4&lt;=Görevler!$C51+ROUND(Görevler!$F51*Görevler!$E51,0)-1,2,1),""))</f>
        <v/>
      </c>
      <c r="O51" s="22" t="str">
        <f aca="false">IF(Görevler!$F51="","",IF(AND(Görevler!$C51&lt;=(O$4+Ayarlar!$C$6-1),Görevler!$D51&gt;=O$4),IF(O$4&lt;=Görevler!$C51+ROUND(Görevler!$F51*Görevler!$E51,0)-1,2,1),""))</f>
        <v/>
      </c>
      <c r="P51" s="22" t="str">
        <f aca="false">IF(Görevler!$F51="","",IF(AND(Görevler!$C51&lt;=(P$4+Ayarlar!$C$6-1),Görevler!$D51&gt;=P$4),IF(P$4&lt;=Görevler!$C51+ROUND(Görevler!$F51*Görevler!$E51,0)-1,2,1),""))</f>
        <v/>
      </c>
      <c r="Q51" s="22" t="str">
        <f aca="false">IF(Görevler!$F51="","",IF(AND(Görevler!$C51&lt;=(Q$4+Ayarlar!$C$6-1),Görevler!$D51&gt;=Q$4),IF(Q$4&lt;=Görevler!$C51+ROUND(Görevler!$F51*Görevler!$E51,0)-1,2,1),""))</f>
        <v/>
      </c>
      <c r="R51" s="22" t="str">
        <f aca="false">IF(Görevler!$F51="","",IF(AND(Görevler!$C51&lt;=(R$4+Ayarlar!$C$6-1),Görevler!$D51&gt;=R$4),IF(R$4&lt;=Görevler!$C51+ROUND(Görevler!$F51*Görevler!$E51,0)-1,2,1),""))</f>
        <v/>
      </c>
      <c r="S51" s="22" t="str">
        <f aca="false">IF(Görevler!$F51="","",IF(AND(Görevler!$C51&lt;=(S$4+Ayarlar!$C$6-1),Görevler!$D51&gt;=S$4),IF(S$4&lt;=Görevler!$C51+ROUND(Görevler!$F51*Görevler!$E51,0)-1,2,1),""))</f>
        <v/>
      </c>
      <c r="T51" s="22" t="str">
        <f aca="false">IF(Görevler!$F51="","",IF(AND(Görevler!$C51&lt;=(T$4+Ayarlar!$C$6-1),Görevler!$D51&gt;=T$4),IF(T$4&lt;=Görevler!$C51+ROUND(Görevler!$F51*Görevler!$E51,0)-1,2,1),""))</f>
        <v/>
      </c>
      <c r="U51" s="22" t="str">
        <f aca="false">IF(Görevler!$F51="","",IF(AND(Görevler!$C51&lt;=(U$4+Ayarlar!$C$6-1),Görevler!$D51&gt;=U$4),IF(U$4&lt;=Görevler!$C51+ROUND(Görevler!$F51*Görevler!$E51,0)-1,2,1),""))</f>
        <v/>
      </c>
      <c r="V51" s="22" t="str">
        <f aca="false">IF(Görevler!$F51="","",IF(AND(Görevler!$C51&lt;=(V$4+Ayarlar!$C$6-1),Görevler!$D51&gt;=V$4),IF(V$4&lt;=Görevler!$C51+ROUND(Görevler!$F51*Görevler!$E51,0)-1,2,1),""))</f>
        <v/>
      </c>
      <c r="W51" s="22" t="str">
        <f aca="false">IF(Görevler!$F51="","",IF(AND(Görevler!$C51&lt;=(W$4+Ayarlar!$C$6-1),Görevler!$D51&gt;=W$4),IF(W$4&lt;=Görevler!$C51+ROUND(Görevler!$F51*Görevler!$E51,0)-1,2,1),""))</f>
        <v/>
      </c>
      <c r="X51" s="22" t="str">
        <f aca="false">IF(Görevler!$F51="","",IF(AND(Görevler!$C51&lt;=(X$4+Ayarlar!$C$6-1),Görevler!$D51&gt;=X$4),IF(X$4&lt;=Görevler!$C51+ROUND(Görevler!$F51*Görevler!$E51,0)-1,2,1),""))</f>
        <v/>
      </c>
      <c r="Y51" s="22" t="str">
        <f aca="false">IF(Görevler!$F51="","",IF(AND(Görevler!$C51&lt;=(Y$4+Ayarlar!$C$6-1),Görevler!$D51&gt;=Y$4),IF(Y$4&lt;=Görevler!$C51+ROUND(Görevler!$F51*Görevler!$E51,0)-1,2,1),""))</f>
        <v/>
      </c>
      <c r="Z51" s="22" t="str">
        <f aca="false">IF(Görevler!$F51="","",IF(AND(Görevler!$C51&lt;=(Z$4+Ayarlar!$C$6-1),Görevler!$D51&gt;=Z$4),IF(Z$4&lt;=Görevler!$C51+ROUND(Görevler!$F51*Görevler!$E51,0)-1,2,1),""))</f>
        <v/>
      </c>
      <c r="AA51" s="22" t="str">
        <f aca="false">IF(Görevler!$F51="","",IF(AND(Görevler!$C51&lt;=(AA$4+Ayarlar!$C$6-1),Görevler!$D51&gt;=AA$4),IF(AA$4&lt;=Görevler!$C51+ROUND(Görevler!$F51*Görevler!$E51,0)-1,2,1),""))</f>
        <v/>
      </c>
      <c r="AB51" s="22" t="str">
        <f aca="false">IF(Görevler!$F51="","",IF(AND(Görevler!$C51&lt;=(AB$4+Ayarlar!$C$6-1),Görevler!$D51&gt;=AB$4),IF(AB$4&lt;=Görevler!$C51+ROUND(Görevler!$F51*Görevler!$E51,0)-1,2,1),""))</f>
        <v/>
      </c>
      <c r="AC51" s="22" t="str">
        <f aca="false">IF(Görevler!$F51="","",IF(AND(Görevler!$C51&lt;=(AC$4+Ayarlar!$C$6-1),Görevler!$D51&gt;=AC$4),IF(AC$4&lt;=Görevler!$C51+ROUND(Görevler!$F51*Görevler!$E51,0)-1,2,1),""))</f>
        <v/>
      </c>
      <c r="AD51" s="22" t="str">
        <f aca="false">IF(Görevler!$F51="","",IF(AND(Görevler!$C51&lt;=(AD$4+Ayarlar!$C$6-1),Görevler!$D51&gt;=AD$4),IF(AD$4&lt;=Görevler!$C51+ROUND(Görevler!$F51*Görevler!$E51,0)-1,2,1),""))</f>
        <v/>
      </c>
      <c r="AE51" s="22" t="str">
        <f aca="false">IF(Görevler!$F51="","",IF(AND(Görevler!$C51&lt;=(AE$4+Ayarlar!$C$6-1),Görevler!$D51&gt;=AE$4),IF(AE$4&lt;=Görevler!$C51+ROUND(Görevler!$F51*Görevler!$E51,0)-1,2,1),""))</f>
        <v/>
      </c>
      <c r="AF51" s="22" t="str">
        <f aca="false">IF(Görevler!$F51="","",IF(AND(Görevler!$C51&lt;=(AF$4+Ayarlar!$C$6-1),Görevler!$D51&gt;=AF$4),IF(AF$4&lt;=Görevler!$C51+ROUND(Görevler!$F51*Görevler!$E51,0)-1,2,1),""))</f>
        <v/>
      </c>
      <c r="AG51" s="22" t="str">
        <f aca="false">IF(Görevler!$F51="","",IF(AND(Görevler!$C51&lt;=(AG$4+Ayarlar!$C$6-1),Görevler!$D51&gt;=AG$4),IF(AG$4&lt;=Görevler!$C51+ROUND(Görevler!$F51*Görevler!$E51,0)-1,2,1),""))</f>
        <v/>
      </c>
      <c r="AH51" s="22" t="str">
        <f aca="false">IF(Görevler!$F51="","",IF(AND(Görevler!$C51&lt;=(AH$4+Ayarlar!$C$6-1),Görevler!$D51&gt;=AH$4),IF(AH$4&lt;=Görevler!$C51+ROUND(Görevler!$F51*Görevler!$E51,0)-1,2,1),""))</f>
        <v/>
      </c>
      <c r="AI51" s="22" t="str">
        <f aca="false">IF(Görevler!$F51="","",IF(AND(Görevler!$C51&lt;=(AI$4+Ayarlar!$C$6-1),Görevler!$D51&gt;=AI$4),IF(AI$4&lt;=Görevler!$C51+ROUND(Görevler!$F51*Görevler!$E51,0)-1,2,1),""))</f>
        <v/>
      </c>
      <c r="AJ51" s="22" t="str">
        <f aca="false">IF(Görevler!$F51="","",IF(AND(Görevler!$C51&lt;=(AJ$4+Ayarlar!$C$6-1),Görevler!$D51&gt;=AJ$4),IF(AJ$4&lt;=Görevler!$C51+ROUND(Görevler!$F51*Görevler!$E51,0)-1,2,1),""))</f>
        <v/>
      </c>
      <c r="AK51" s="22" t="str">
        <f aca="false">IF(Görevler!$F51="","",IF(AND(Görevler!$C51&lt;=(AK$4+Ayarlar!$C$6-1),Görevler!$D51&gt;=AK$4),IF(AK$4&lt;=Görevler!$C51+ROUND(Görevler!$F51*Görevler!$E51,0)-1,2,1),""))</f>
        <v/>
      </c>
      <c r="AL51" s="22" t="str">
        <f aca="false">IF(Görevler!$F51="","",IF(AND(Görevler!$C51&lt;=(AL$4+Ayarlar!$C$6-1),Görevler!$D51&gt;=AL$4),IF(AL$4&lt;=Görevler!$C51+ROUND(Görevler!$F51*Görevler!$E51,0)-1,2,1),""))</f>
        <v/>
      </c>
      <c r="AM51" s="22" t="str">
        <f aca="false">IF(Görevler!$F51="","",IF(AND(Görevler!$C51&lt;=(AM$4+Ayarlar!$C$6-1),Görevler!$D51&gt;=AM$4),IF(AM$4&lt;=Görevler!$C51+ROUND(Görevler!$F51*Görevler!$E51,0)-1,2,1),""))</f>
        <v/>
      </c>
      <c r="AN51" s="22" t="str">
        <f aca="false">IF(Görevler!$F51="","",IF(AND(Görevler!$C51&lt;=(AN$4+Ayarlar!$C$6-1),Görevler!$D51&gt;=AN$4),IF(AN$4&lt;=Görevler!$C51+ROUND(Görevler!$F51*Görevler!$E51,0)-1,2,1),""))</f>
        <v/>
      </c>
      <c r="AO51" s="22" t="str">
        <f aca="false">IF(Görevler!$F51="","",IF(AND(Görevler!$C51&lt;=(AO$4+Ayarlar!$C$6-1),Görevler!$D51&gt;=AO$4),IF(AO$4&lt;=Görevler!$C51+ROUND(Görevler!$F51*Görevler!$E51,0)-1,2,1),""))</f>
        <v/>
      </c>
      <c r="AP51" s="22" t="str">
        <f aca="false">IF(Görevler!$F51="","",IF(AND(Görevler!$C51&lt;=(AP$4+Ayarlar!$C$6-1),Görevler!$D51&gt;=AP$4),IF(AP$4&lt;=Görevler!$C51+ROUND(Görevler!$F51*Görevler!$E51,0)-1,2,1),""))</f>
        <v/>
      </c>
      <c r="AQ51" s="22" t="str">
        <f aca="false">IF(Görevler!$F51="","",IF(AND(Görevler!$C51&lt;=(AQ$4+Ayarlar!$C$6-1),Görevler!$D51&gt;=AQ$4),IF(AQ$4&lt;=Görevler!$C51+ROUND(Görevler!$F51*Görevler!$E51,0)-1,2,1),""))</f>
        <v/>
      </c>
      <c r="AR51" s="22" t="str">
        <f aca="false">IF(Görevler!$F51="","",IF(AND(Görevler!$C51&lt;=(AR$4+Ayarlar!$C$6-1),Görevler!$D51&gt;=AR$4),IF(AR$4&lt;=Görevler!$C51+ROUND(Görevler!$F51*Görevler!$E51,0)-1,2,1),""))</f>
        <v/>
      </c>
      <c r="AS51" s="22" t="str">
        <f aca="false">IF(Görevler!$F51="","",IF(AND(Görevler!$C51&lt;=(AS$4+Ayarlar!$C$6-1),Görevler!$D51&gt;=AS$4),IF(AS$4&lt;=Görevler!$C51+ROUND(Görevler!$F51*Görevler!$E51,0)-1,2,1),""))</f>
        <v/>
      </c>
      <c r="AT51" s="22" t="str">
        <f aca="false">IF(Görevler!$F51="","",IF(AND(Görevler!$C51&lt;=(AT$4+Ayarlar!$C$6-1),Görevler!$D51&gt;=AT$4),IF(AT$4&lt;=Görevler!$C51+ROUND(Görevler!$F51*Görevler!$E51,0)-1,2,1),""))</f>
        <v/>
      </c>
      <c r="AU51" s="22" t="str">
        <f aca="false">IF(Görevler!$F51="","",IF(AND(Görevler!$C51&lt;=(AU$4+Ayarlar!$C$6-1),Görevler!$D51&gt;=AU$4),IF(AU$4&lt;=Görevler!$C51+ROUND(Görevler!$F51*Görevler!$E51,0)-1,2,1),""))</f>
        <v/>
      </c>
      <c r="AV51" s="22" t="str">
        <f aca="false">IF(Görevler!$F51="","",IF(AND(Görevler!$C51&lt;=(AV$4+Ayarlar!$C$6-1),Görevler!$D51&gt;=AV$4),IF(AV$4&lt;=Görevler!$C51+ROUND(Görevler!$F51*Görevler!$E51,0)-1,2,1),""))</f>
        <v/>
      </c>
      <c r="AW51" s="22" t="str">
        <f aca="false">IF(Görevler!$F51="","",IF(AND(Görevler!$C51&lt;=(AW$4+Ayarlar!$C$6-1),Görevler!$D51&gt;=AW$4),IF(AW$4&lt;=Görevler!$C51+ROUND(Görevler!$F51*Görevler!$E51,0)-1,2,1),""))</f>
        <v/>
      </c>
      <c r="AX51" s="22" t="str">
        <f aca="false">IF(Görevler!$F51="","",IF(AND(Görevler!$C51&lt;=(AX$4+Ayarlar!$C$6-1),Görevler!$D51&gt;=AX$4),IF(AX$4&lt;=Görevler!$C51+ROUND(Görevler!$F51*Görevler!$E51,0)-1,2,1),""))</f>
        <v/>
      </c>
      <c r="AY51" s="22" t="str">
        <f aca="false">IF(Görevler!$F51="","",IF(AND(Görevler!$C51&lt;=(AY$4+Ayarlar!$C$6-1),Görevler!$D51&gt;=AY$4),IF(AY$4&lt;=Görevler!$C51+ROUND(Görevler!$F51*Görevler!$E51,0)-1,2,1),""))</f>
        <v/>
      </c>
      <c r="AZ51" s="22" t="str">
        <f aca="false">IF(Görevler!$F51="","",IF(AND(Görevler!$C51&lt;=(AZ$4+Ayarlar!$C$6-1),Görevler!$D51&gt;=AZ$4),IF(AZ$4&lt;=Görevler!$C51+ROUND(Görevler!$F51*Görevler!$E51,0)-1,2,1),""))</f>
        <v/>
      </c>
      <c r="BA51" s="22" t="str">
        <f aca="false">IF(Görevler!$F51="","",IF(AND(Görevler!$C51&lt;=(BA$4+Ayarlar!$C$6-1),Görevler!$D51&gt;=BA$4),IF(BA$4&lt;=Görevler!$C51+ROUND(Görevler!$F51*Görevler!$E51,0)-1,2,1),""))</f>
        <v/>
      </c>
      <c r="BB51" s="22" t="str">
        <f aca="false">IF(Görevler!$F51="","",IF(AND(Görevler!$C51&lt;=(BB$4+Ayarlar!$C$6-1),Görevler!$D51&gt;=BB$4),IF(BB$4&lt;=Görevler!$C51+ROUND(Görevler!$F51*Görevler!$E51,0)-1,2,1),""))</f>
        <v/>
      </c>
      <c r="BC51" s="22" t="str">
        <f aca="false">IF(Görevler!$F51="","",IF(AND(Görevler!$C51&lt;=(BC$4+Ayarlar!$C$6-1),Görevler!$D51&gt;=BC$4),IF(BC$4&lt;=Görevler!$C51+ROUND(Görevler!$F51*Görevler!$E51,0)-1,2,1),""))</f>
        <v/>
      </c>
      <c r="BD51" s="22" t="str">
        <f aca="false">IF(Görevler!$F51="","",IF(AND(Görevler!$C51&lt;=(BD$4+Ayarlar!$C$6-1),Görevler!$D51&gt;=BD$4),IF(BD$4&lt;=Görevler!$C51+ROUND(Görevler!$F51*Görevler!$E51,0)-1,2,1),""))</f>
        <v/>
      </c>
      <c r="BE51" s="22" t="str">
        <f aca="false">IF(Görevler!$F51="","",IF(AND(Görevler!$C51&lt;=(BE$4+Ayarlar!$C$6-1),Görevler!$D51&gt;=BE$4),IF(BE$4&lt;=Görevler!$C51+ROUND(Görevler!$F51*Görevler!$E51,0)-1,2,1),""))</f>
        <v/>
      </c>
      <c r="BF51" s="22" t="str">
        <f aca="false">IF(Görevler!$F51="","",IF(AND(Görevler!$C51&lt;=(BF$4+Ayarlar!$C$6-1),Görevler!$D51&gt;=BF$4),IF(BF$4&lt;=Görevler!$C51+ROUND(Görevler!$F51*Görevler!$E51,0)-1,2,1),""))</f>
        <v/>
      </c>
      <c r="BG51" s="22" t="str">
        <f aca="false">IF(Görevler!$F51="","",IF(AND(Görevler!$C51&lt;=(BG$4+Ayarlar!$C$6-1),Görevler!$D51&gt;=BG$4),IF(BG$4&lt;=Görevler!$C51+ROUND(Görevler!$F51*Görevler!$E51,0)-1,2,1),""))</f>
        <v/>
      </c>
      <c r="BH51" s="22" t="str">
        <f aca="false">IF(Görevler!$F51="","",IF(AND(Görevler!$C51&lt;=(BH$4+Ayarlar!$C$6-1),Görevler!$D51&gt;=BH$4),IF(BH$4&lt;=Görevler!$C51+ROUND(Görevler!$F51*Görevler!$E51,0)-1,2,1),""))</f>
        <v/>
      </c>
      <c r="BI51" s="22" t="str">
        <f aca="false">IF(Görevler!$F51="","",IF(AND(Görevler!$C51&lt;=(BI$4+Ayarlar!$C$6-1),Görevler!$D51&gt;=BI$4),IF(BI$4&lt;=Görevler!$C51+ROUND(Görevler!$F51*Görevler!$E51,0)-1,2,1),""))</f>
        <v/>
      </c>
      <c r="BJ51" s="22" t="str">
        <f aca="false">IF(Görevler!$F51="","",IF(AND(Görevler!$C51&lt;=(BJ$4+Ayarlar!$C$6-1),Görevler!$D51&gt;=BJ$4),IF(BJ$4&lt;=Görevler!$C51+ROUND(Görevler!$F51*Görevler!$E51,0)-1,2,1),""))</f>
        <v/>
      </c>
    </row>
    <row r="52" customFormat="false" ht="15" hidden="false" customHeight="false" outlineLevel="0" collapsed="false">
      <c r="A52" s="21" t="str">
        <f aca="false">IF(Görevler!A52="","",Görevler!A52)</f>
        <v/>
      </c>
      <c r="B52" s="21" t="str">
        <f aca="false">IF(Görevler!A52="","",Görevler!B52&amp;"")</f>
        <v/>
      </c>
      <c r="C52" s="22" t="str">
        <f aca="false">IF(Görevler!$F52="","",IF(AND(Görevler!$C52&lt;=(C$4+Ayarlar!$C$6-1),Görevler!$D52&gt;=C$4),IF(C$4&lt;=Görevler!$C52+ROUND(Görevler!$F52*Görevler!$E52,0)-1,2,1),""))</f>
        <v/>
      </c>
      <c r="D52" s="22" t="str">
        <f aca="false">IF(Görevler!$F52="","",IF(AND(Görevler!$C52&lt;=(D$4+Ayarlar!$C$6-1),Görevler!$D52&gt;=D$4),IF(D$4&lt;=Görevler!$C52+ROUND(Görevler!$F52*Görevler!$E52,0)-1,2,1),""))</f>
        <v/>
      </c>
      <c r="E52" s="22" t="str">
        <f aca="false">IF(Görevler!$F52="","",IF(AND(Görevler!$C52&lt;=(E$4+Ayarlar!$C$6-1),Görevler!$D52&gt;=E$4),IF(E$4&lt;=Görevler!$C52+ROUND(Görevler!$F52*Görevler!$E52,0)-1,2,1),""))</f>
        <v/>
      </c>
      <c r="F52" s="22" t="str">
        <f aca="false">IF(Görevler!$F52="","",IF(AND(Görevler!$C52&lt;=(F$4+Ayarlar!$C$6-1),Görevler!$D52&gt;=F$4),IF(F$4&lt;=Görevler!$C52+ROUND(Görevler!$F52*Görevler!$E52,0)-1,2,1),""))</f>
        <v/>
      </c>
      <c r="G52" s="22" t="str">
        <f aca="false">IF(Görevler!$F52="","",IF(AND(Görevler!$C52&lt;=(G$4+Ayarlar!$C$6-1),Görevler!$D52&gt;=G$4),IF(G$4&lt;=Görevler!$C52+ROUND(Görevler!$F52*Görevler!$E52,0)-1,2,1),""))</f>
        <v/>
      </c>
      <c r="H52" s="22" t="str">
        <f aca="false">IF(Görevler!$F52="","",IF(AND(Görevler!$C52&lt;=(H$4+Ayarlar!$C$6-1),Görevler!$D52&gt;=H$4),IF(H$4&lt;=Görevler!$C52+ROUND(Görevler!$F52*Görevler!$E52,0)-1,2,1),""))</f>
        <v/>
      </c>
      <c r="I52" s="22" t="str">
        <f aca="false">IF(Görevler!$F52="","",IF(AND(Görevler!$C52&lt;=(I$4+Ayarlar!$C$6-1),Görevler!$D52&gt;=I$4),IF(I$4&lt;=Görevler!$C52+ROUND(Görevler!$F52*Görevler!$E52,0)-1,2,1),""))</f>
        <v/>
      </c>
      <c r="J52" s="22" t="str">
        <f aca="false">IF(Görevler!$F52="","",IF(AND(Görevler!$C52&lt;=(J$4+Ayarlar!$C$6-1),Görevler!$D52&gt;=J$4),IF(J$4&lt;=Görevler!$C52+ROUND(Görevler!$F52*Görevler!$E52,0)-1,2,1),""))</f>
        <v/>
      </c>
      <c r="K52" s="22" t="str">
        <f aca="false">IF(Görevler!$F52="","",IF(AND(Görevler!$C52&lt;=(K$4+Ayarlar!$C$6-1),Görevler!$D52&gt;=K$4),IF(K$4&lt;=Görevler!$C52+ROUND(Görevler!$F52*Görevler!$E52,0)-1,2,1),""))</f>
        <v/>
      </c>
      <c r="L52" s="22" t="str">
        <f aca="false">IF(Görevler!$F52="","",IF(AND(Görevler!$C52&lt;=(L$4+Ayarlar!$C$6-1),Görevler!$D52&gt;=L$4),IF(L$4&lt;=Görevler!$C52+ROUND(Görevler!$F52*Görevler!$E52,0)-1,2,1),""))</f>
        <v/>
      </c>
      <c r="M52" s="22" t="str">
        <f aca="false">IF(Görevler!$F52="","",IF(AND(Görevler!$C52&lt;=(M$4+Ayarlar!$C$6-1),Görevler!$D52&gt;=M$4),IF(M$4&lt;=Görevler!$C52+ROUND(Görevler!$F52*Görevler!$E52,0)-1,2,1),""))</f>
        <v/>
      </c>
      <c r="N52" s="22" t="str">
        <f aca="false">IF(Görevler!$F52="","",IF(AND(Görevler!$C52&lt;=(N$4+Ayarlar!$C$6-1),Görevler!$D52&gt;=N$4),IF(N$4&lt;=Görevler!$C52+ROUND(Görevler!$F52*Görevler!$E52,0)-1,2,1),""))</f>
        <v/>
      </c>
      <c r="O52" s="22" t="str">
        <f aca="false">IF(Görevler!$F52="","",IF(AND(Görevler!$C52&lt;=(O$4+Ayarlar!$C$6-1),Görevler!$D52&gt;=O$4),IF(O$4&lt;=Görevler!$C52+ROUND(Görevler!$F52*Görevler!$E52,0)-1,2,1),""))</f>
        <v/>
      </c>
      <c r="P52" s="22" t="str">
        <f aca="false">IF(Görevler!$F52="","",IF(AND(Görevler!$C52&lt;=(P$4+Ayarlar!$C$6-1),Görevler!$D52&gt;=P$4),IF(P$4&lt;=Görevler!$C52+ROUND(Görevler!$F52*Görevler!$E52,0)-1,2,1),""))</f>
        <v/>
      </c>
      <c r="Q52" s="22" t="str">
        <f aca="false">IF(Görevler!$F52="","",IF(AND(Görevler!$C52&lt;=(Q$4+Ayarlar!$C$6-1),Görevler!$D52&gt;=Q$4),IF(Q$4&lt;=Görevler!$C52+ROUND(Görevler!$F52*Görevler!$E52,0)-1,2,1),""))</f>
        <v/>
      </c>
      <c r="R52" s="22" t="str">
        <f aca="false">IF(Görevler!$F52="","",IF(AND(Görevler!$C52&lt;=(R$4+Ayarlar!$C$6-1),Görevler!$D52&gt;=R$4),IF(R$4&lt;=Görevler!$C52+ROUND(Görevler!$F52*Görevler!$E52,0)-1,2,1),""))</f>
        <v/>
      </c>
      <c r="S52" s="22" t="str">
        <f aca="false">IF(Görevler!$F52="","",IF(AND(Görevler!$C52&lt;=(S$4+Ayarlar!$C$6-1),Görevler!$D52&gt;=S$4),IF(S$4&lt;=Görevler!$C52+ROUND(Görevler!$F52*Görevler!$E52,0)-1,2,1),""))</f>
        <v/>
      </c>
      <c r="T52" s="22" t="str">
        <f aca="false">IF(Görevler!$F52="","",IF(AND(Görevler!$C52&lt;=(T$4+Ayarlar!$C$6-1),Görevler!$D52&gt;=T$4),IF(T$4&lt;=Görevler!$C52+ROUND(Görevler!$F52*Görevler!$E52,0)-1,2,1),""))</f>
        <v/>
      </c>
      <c r="U52" s="22" t="str">
        <f aca="false">IF(Görevler!$F52="","",IF(AND(Görevler!$C52&lt;=(U$4+Ayarlar!$C$6-1),Görevler!$D52&gt;=U$4),IF(U$4&lt;=Görevler!$C52+ROUND(Görevler!$F52*Görevler!$E52,0)-1,2,1),""))</f>
        <v/>
      </c>
      <c r="V52" s="22" t="str">
        <f aca="false">IF(Görevler!$F52="","",IF(AND(Görevler!$C52&lt;=(V$4+Ayarlar!$C$6-1),Görevler!$D52&gt;=V$4),IF(V$4&lt;=Görevler!$C52+ROUND(Görevler!$F52*Görevler!$E52,0)-1,2,1),""))</f>
        <v/>
      </c>
      <c r="W52" s="22" t="str">
        <f aca="false">IF(Görevler!$F52="","",IF(AND(Görevler!$C52&lt;=(W$4+Ayarlar!$C$6-1),Görevler!$D52&gt;=W$4),IF(W$4&lt;=Görevler!$C52+ROUND(Görevler!$F52*Görevler!$E52,0)-1,2,1),""))</f>
        <v/>
      </c>
      <c r="X52" s="22" t="str">
        <f aca="false">IF(Görevler!$F52="","",IF(AND(Görevler!$C52&lt;=(X$4+Ayarlar!$C$6-1),Görevler!$D52&gt;=X$4),IF(X$4&lt;=Görevler!$C52+ROUND(Görevler!$F52*Görevler!$E52,0)-1,2,1),""))</f>
        <v/>
      </c>
      <c r="Y52" s="22" t="str">
        <f aca="false">IF(Görevler!$F52="","",IF(AND(Görevler!$C52&lt;=(Y$4+Ayarlar!$C$6-1),Görevler!$D52&gt;=Y$4),IF(Y$4&lt;=Görevler!$C52+ROUND(Görevler!$F52*Görevler!$E52,0)-1,2,1),""))</f>
        <v/>
      </c>
      <c r="Z52" s="22" t="str">
        <f aca="false">IF(Görevler!$F52="","",IF(AND(Görevler!$C52&lt;=(Z$4+Ayarlar!$C$6-1),Görevler!$D52&gt;=Z$4),IF(Z$4&lt;=Görevler!$C52+ROUND(Görevler!$F52*Görevler!$E52,0)-1,2,1),""))</f>
        <v/>
      </c>
      <c r="AA52" s="22" t="str">
        <f aca="false">IF(Görevler!$F52="","",IF(AND(Görevler!$C52&lt;=(AA$4+Ayarlar!$C$6-1),Görevler!$D52&gt;=AA$4),IF(AA$4&lt;=Görevler!$C52+ROUND(Görevler!$F52*Görevler!$E52,0)-1,2,1),""))</f>
        <v/>
      </c>
      <c r="AB52" s="22" t="str">
        <f aca="false">IF(Görevler!$F52="","",IF(AND(Görevler!$C52&lt;=(AB$4+Ayarlar!$C$6-1),Görevler!$D52&gt;=AB$4),IF(AB$4&lt;=Görevler!$C52+ROUND(Görevler!$F52*Görevler!$E52,0)-1,2,1),""))</f>
        <v/>
      </c>
      <c r="AC52" s="22" t="str">
        <f aca="false">IF(Görevler!$F52="","",IF(AND(Görevler!$C52&lt;=(AC$4+Ayarlar!$C$6-1),Görevler!$D52&gt;=AC$4),IF(AC$4&lt;=Görevler!$C52+ROUND(Görevler!$F52*Görevler!$E52,0)-1,2,1),""))</f>
        <v/>
      </c>
      <c r="AD52" s="22" t="str">
        <f aca="false">IF(Görevler!$F52="","",IF(AND(Görevler!$C52&lt;=(AD$4+Ayarlar!$C$6-1),Görevler!$D52&gt;=AD$4),IF(AD$4&lt;=Görevler!$C52+ROUND(Görevler!$F52*Görevler!$E52,0)-1,2,1),""))</f>
        <v/>
      </c>
      <c r="AE52" s="22" t="str">
        <f aca="false">IF(Görevler!$F52="","",IF(AND(Görevler!$C52&lt;=(AE$4+Ayarlar!$C$6-1),Görevler!$D52&gt;=AE$4),IF(AE$4&lt;=Görevler!$C52+ROUND(Görevler!$F52*Görevler!$E52,0)-1,2,1),""))</f>
        <v/>
      </c>
      <c r="AF52" s="22" t="str">
        <f aca="false">IF(Görevler!$F52="","",IF(AND(Görevler!$C52&lt;=(AF$4+Ayarlar!$C$6-1),Görevler!$D52&gt;=AF$4),IF(AF$4&lt;=Görevler!$C52+ROUND(Görevler!$F52*Görevler!$E52,0)-1,2,1),""))</f>
        <v/>
      </c>
      <c r="AG52" s="22" t="str">
        <f aca="false">IF(Görevler!$F52="","",IF(AND(Görevler!$C52&lt;=(AG$4+Ayarlar!$C$6-1),Görevler!$D52&gt;=AG$4),IF(AG$4&lt;=Görevler!$C52+ROUND(Görevler!$F52*Görevler!$E52,0)-1,2,1),""))</f>
        <v/>
      </c>
      <c r="AH52" s="22" t="str">
        <f aca="false">IF(Görevler!$F52="","",IF(AND(Görevler!$C52&lt;=(AH$4+Ayarlar!$C$6-1),Görevler!$D52&gt;=AH$4),IF(AH$4&lt;=Görevler!$C52+ROUND(Görevler!$F52*Görevler!$E52,0)-1,2,1),""))</f>
        <v/>
      </c>
      <c r="AI52" s="22" t="str">
        <f aca="false">IF(Görevler!$F52="","",IF(AND(Görevler!$C52&lt;=(AI$4+Ayarlar!$C$6-1),Görevler!$D52&gt;=AI$4),IF(AI$4&lt;=Görevler!$C52+ROUND(Görevler!$F52*Görevler!$E52,0)-1,2,1),""))</f>
        <v/>
      </c>
      <c r="AJ52" s="22" t="str">
        <f aca="false">IF(Görevler!$F52="","",IF(AND(Görevler!$C52&lt;=(AJ$4+Ayarlar!$C$6-1),Görevler!$D52&gt;=AJ$4),IF(AJ$4&lt;=Görevler!$C52+ROUND(Görevler!$F52*Görevler!$E52,0)-1,2,1),""))</f>
        <v/>
      </c>
      <c r="AK52" s="22" t="str">
        <f aca="false">IF(Görevler!$F52="","",IF(AND(Görevler!$C52&lt;=(AK$4+Ayarlar!$C$6-1),Görevler!$D52&gt;=AK$4),IF(AK$4&lt;=Görevler!$C52+ROUND(Görevler!$F52*Görevler!$E52,0)-1,2,1),""))</f>
        <v/>
      </c>
      <c r="AL52" s="22" t="str">
        <f aca="false">IF(Görevler!$F52="","",IF(AND(Görevler!$C52&lt;=(AL$4+Ayarlar!$C$6-1),Görevler!$D52&gt;=AL$4),IF(AL$4&lt;=Görevler!$C52+ROUND(Görevler!$F52*Görevler!$E52,0)-1,2,1),""))</f>
        <v/>
      </c>
      <c r="AM52" s="22" t="str">
        <f aca="false">IF(Görevler!$F52="","",IF(AND(Görevler!$C52&lt;=(AM$4+Ayarlar!$C$6-1),Görevler!$D52&gt;=AM$4),IF(AM$4&lt;=Görevler!$C52+ROUND(Görevler!$F52*Görevler!$E52,0)-1,2,1),""))</f>
        <v/>
      </c>
      <c r="AN52" s="22" t="str">
        <f aca="false">IF(Görevler!$F52="","",IF(AND(Görevler!$C52&lt;=(AN$4+Ayarlar!$C$6-1),Görevler!$D52&gt;=AN$4),IF(AN$4&lt;=Görevler!$C52+ROUND(Görevler!$F52*Görevler!$E52,0)-1,2,1),""))</f>
        <v/>
      </c>
      <c r="AO52" s="22" t="str">
        <f aca="false">IF(Görevler!$F52="","",IF(AND(Görevler!$C52&lt;=(AO$4+Ayarlar!$C$6-1),Görevler!$D52&gt;=AO$4),IF(AO$4&lt;=Görevler!$C52+ROUND(Görevler!$F52*Görevler!$E52,0)-1,2,1),""))</f>
        <v/>
      </c>
      <c r="AP52" s="22" t="str">
        <f aca="false">IF(Görevler!$F52="","",IF(AND(Görevler!$C52&lt;=(AP$4+Ayarlar!$C$6-1),Görevler!$D52&gt;=AP$4),IF(AP$4&lt;=Görevler!$C52+ROUND(Görevler!$F52*Görevler!$E52,0)-1,2,1),""))</f>
        <v/>
      </c>
      <c r="AQ52" s="22" t="str">
        <f aca="false">IF(Görevler!$F52="","",IF(AND(Görevler!$C52&lt;=(AQ$4+Ayarlar!$C$6-1),Görevler!$D52&gt;=AQ$4),IF(AQ$4&lt;=Görevler!$C52+ROUND(Görevler!$F52*Görevler!$E52,0)-1,2,1),""))</f>
        <v/>
      </c>
      <c r="AR52" s="22" t="str">
        <f aca="false">IF(Görevler!$F52="","",IF(AND(Görevler!$C52&lt;=(AR$4+Ayarlar!$C$6-1),Görevler!$D52&gt;=AR$4),IF(AR$4&lt;=Görevler!$C52+ROUND(Görevler!$F52*Görevler!$E52,0)-1,2,1),""))</f>
        <v/>
      </c>
      <c r="AS52" s="22" t="str">
        <f aca="false">IF(Görevler!$F52="","",IF(AND(Görevler!$C52&lt;=(AS$4+Ayarlar!$C$6-1),Görevler!$D52&gt;=AS$4),IF(AS$4&lt;=Görevler!$C52+ROUND(Görevler!$F52*Görevler!$E52,0)-1,2,1),""))</f>
        <v/>
      </c>
      <c r="AT52" s="22" t="str">
        <f aca="false">IF(Görevler!$F52="","",IF(AND(Görevler!$C52&lt;=(AT$4+Ayarlar!$C$6-1),Görevler!$D52&gt;=AT$4),IF(AT$4&lt;=Görevler!$C52+ROUND(Görevler!$F52*Görevler!$E52,0)-1,2,1),""))</f>
        <v/>
      </c>
      <c r="AU52" s="22" t="str">
        <f aca="false">IF(Görevler!$F52="","",IF(AND(Görevler!$C52&lt;=(AU$4+Ayarlar!$C$6-1),Görevler!$D52&gt;=AU$4),IF(AU$4&lt;=Görevler!$C52+ROUND(Görevler!$F52*Görevler!$E52,0)-1,2,1),""))</f>
        <v/>
      </c>
      <c r="AV52" s="22" t="str">
        <f aca="false">IF(Görevler!$F52="","",IF(AND(Görevler!$C52&lt;=(AV$4+Ayarlar!$C$6-1),Görevler!$D52&gt;=AV$4),IF(AV$4&lt;=Görevler!$C52+ROUND(Görevler!$F52*Görevler!$E52,0)-1,2,1),""))</f>
        <v/>
      </c>
      <c r="AW52" s="22" t="str">
        <f aca="false">IF(Görevler!$F52="","",IF(AND(Görevler!$C52&lt;=(AW$4+Ayarlar!$C$6-1),Görevler!$D52&gt;=AW$4),IF(AW$4&lt;=Görevler!$C52+ROUND(Görevler!$F52*Görevler!$E52,0)-1,2,1),""))</f>
        <v/>
      </c>
      <c r="AX52" s="22" t="str">
        <f aca="false">IF(Görevler!$F52="","",IF(AND(Görevler!$C52&lt;=(AX$4+Ayarlar!$C$6-1),Görevler!$D52&gt;=AX$4),IF(AX$4&lt;=Görevler!$C52+ROUND(Görevler!$F52*Görevler!$E52,0)-1,2,1),""))</f>
        <v/>
      </c>
      <c r="AY52" s="22" t="str">
        <f aca="false">IF(Görevler!$F52="","",IF(AND(Görevler!$C52&lt;=(AY$4+Ayarlar!$C$6-1),Görevler!$D52&gt;=AY$4),IF(AY$4&lt;=Görevler!$C52+ROUND(Görevler!$F52*Görevler!$E52,0)-1,2,1),""))</f>
        <v/>
      </c>
      <c r="AZ52" s="22" t="str">
        <f aca="false">IF(Görevler!$F52="","",IF(AND(Görevler!$C52&lt;=(AZ$4+Ayarlar!$C$6-1),Görevler!$D52&gt;=AZ$4),IF(AZ$4&lt;=Görevler!$C52+ROUND(Görevler!$F52*Görevler!$E52,0)-1,2,1),""))</f>
        <v/>
      </c>
      <c r="BA52" s="22" t="str">
        <f aca="false">IF(Görevler!$F52="","",IF(AND(Görevler!$C52&lt;=(BA$4+Ayarlar!$C$6-1),Görevler!$D52&gt;=BA$4),IF(BA$4&lt;=Görevler!$C52+ROUND(Görevler!$F52*Görevler!$E52,0)-1,2,1),""))</f>
        <v/>
      </c>
      <c r="BB52" s="22" t="str">
        <f aca="false">IF(Görevler!$F52="","",IF(AND(Görevler!$C52&lt;=(BB$4+Ayarlar!$C$6-1),Görevler!$D52&gt;=BB$4),IF(BB$4&lt;=Görevler!$C52+ROUND(Görevler!$F52*Görevler!$E52,0)-1,2,1),""))</f>
        <v/>
      </c>
      <c r="BC52" s="22" t="str">
        <f aca="false">IF(Görevler!$F52="","",IF(AND(Görevler!$C52&lt;=(BC$4+Ayarlar!$C$6-1),Görevler!$D52&gt;=BC$4),IF(BC$4&lt;=Görevler!$C52+ROUND(Görevler!$F52*Görevler!$E52,0)-1,2,1),""))</f>
        <v/>
      </c>
      <c r="BD52" s="22" t="str">
        <f aca="false">IF(Görevler!$F52="","",IF(AND(Görevler!$C52&lt;=(BD$4+Ayarlar!$C$6-1),Görevler!$D52&gt;=BD$4),IF(BD$4&lt;=Görevler!$C52+ROUND(Görevler!$F52*Görevler!$E52,0)-1,2,1),""))</f>
        <v/>
      </c>
      <c r="BE52" s="22" t="str">
        <f aca="false">IF(Görevler!$F52="","",IF(AND(Görevler!$C52&lt;=(BE$4+Ayarlar!$C$6-1),Görevler!$D52&gt;=BE$4),IF(BE$4&lt;=Görevler!$C52+ROUND(Görevler!$F52*Görevler!$E52,0)-1,2,1),""))</f>
        <v/>
      </c>
      <c r="BF52" s="22" t="str">
        <f aca="false">IF(Görevler!$F52="","",IF(AND(Görevler!$C52&lt;=(BF$4+Ayarlar!$C$6-1),Görevler!$D52&gt;=BF$4),IF(BF$4&lt;=Görevler!$C52+ROUND(Görevler!$F52*Görevler!$E52,0)-1,2,1),""))</f>
        <v/>
      </c>
      <c r="BG52" s="22" t="str">
        <f aca="false">IF(Görevler!$F52="","",IF(AND(Görevler!$C52&lt;=(BG$4+Ayarlar!$C$6-1),Görevler!$D52&gt;=BG$4),IF(BG$4&lt;=Görevler!$C52+ROUND(Görevler!$F52*Görevler!$E52,0)-1,2,1),""))</f>
        <v/>
      </c>
      <c r="BH52" s="22" t="str">
        <f aca="false">IF(Görevler!$F52="","",IF(AND(Görevler!$C52&lt;=(BH$4+Ayarlar!$C$6-1),Görevler!$D52&gt;=BH$4),IF(BH$4&lt;=Görevler!$C52+ROUND(Görevler!$F52*Görevler!$E52,0)-1,2,1),""))</f>
        <v/>
      </c>
      <c r="BI52" s="22" t="str">
        <f aca="false">IF(Görevler!$F52="","",IF(AND(Görevler!$C52&lt;=(BI$4+Ayarlar!$C$6-1),Görevler!$D52&gt;=BI$4),IF(BI$4&lt;=Görevler!$C52+ROUND(Görevler!$F52*Görevler!$E52,0)-1,2,1),""))</f>
        <v/>
      </c>
      <c r="BJ52" s="22" t="str">
        <f aca="false">IF(Görevler!$F52="","",IF(AND(Görevler!$C52&lt;=(BJ$4+Ayarlar!$C$6-1),Görevler!$D52&gt;=BJ$4),IF(BJ$4&lt;=Görevler!$C52+ROUND(Görevler!$F52*Görevler!$E52,0)-1,2,1),""))</f>
        <v/>
      </c>
    </row>
    <row r="53" customFormat="false" ht="15" hidden="false" customHeight="false" outlineLevel="0" collapsed="false">
      <c r="A53" s="21" t="str">
        <f aca="false">IF(Görevler!A53="","",Görevler!A53)</f>
        <v/>
      </c>
      <c r="B53" s="21" t="str">
        <f aca="false">IF(Görevler!A53="","",Görevler!B53&amp;"")</f>
        <v/>
      </c>
      <c r="C53" s="22" t="str">
        <f aca="false">IF(Görevler!$F53="","",IF(AND(Görevler!$C53&lt;=(C$4+Ayarlar!$C$6-1),Görevler!$D53&gt;=C$4),IF(C$4&lt;=Görevler!$C53+ROUND(Görevler!$F53*Görevler!$E53,0)-1,2,1),""))</f>
        <v/>
      </c>
      <c r="D53" s="22" t="str">
        <f aca="false">IF(Görevler!$F53="","",IF(AND(Görevler!$C53&lt;=(D$4+Ayarlar!$C$6-1),Görevler!$D53&gt;=D$4),IF(D$4&lt;=Görevler!$C53+ROUND(Görevler!$F53*Görevler!$E53,0)-1,2,1),""))</f>
        <v/>
      </c>
      <c r="E53" s="22" t="str">
        <f aca="false">IF(Görevler!$F53="","",IF(AND(Görevler!$C53&lt;=(E$4+Ayarlar!$C$6-1),Görevler!$D53&gt;=E$4),IF(E$4&lt;=Görevler!$C53+ROUND(Görevler!$F53*Görevler!$E53,0)-1,2,1),""))</f>
        <v/>
      </c>
      <c r="F53" s="22" t="str">
        <f aca="false">IF(Görevler!$F53="","",IF(AND(Görevler!$C53&lt;=(F$4+Ayarlar!$C$6-1),Görevler!$D53&gt;=F$4),IF(F$4&lt;=Görevler!$C53+ROUND(Görevler!$F53*Görevler!$E53,0)-1,2,1),""))</f>
        <v/>
      </c>
      <c r="G53" s="22" t="str">
        <f aca="false">IF(Görevler!$F53="","",IF(AND(Görevler!$C53&lt;=(G$4+Ayarlar!$C$6-1),Görevler!$D53&gt;=G$4),IF(G$4&lt;=Görevler!$C53+ROUND(Görevler!$F53*Görevler!$E53,0)-1,2,1),""))</f>
        <v/>
      </c>
      <c r="H53" s="22" t="str">
        <f aca="false">IF(Görevler!$F53="","",IF(AND(Görevler!$C53&lt;=(H$4+Ayarlar!$C$6-1),Görevler!$D53&gt;=H$4),IF(H$4&lt;=Görevler!$C53+ROUND(Görevler!$F53*Görevler!$E53,0)-1,2,1),""))</f>
        <v/>
      </c>
      <c r="I53" s="22" t="str">
        <f aca="false">IF(Görevler!$F53="","",IF(AND(Görevler!$C53&lt;=(I$4+Ayarlar!$C$6-1),Görevler!$D53&gt;=I$4),IF(I$4&lt;=Görevler!$C53+ROUND(Görevler!$F53*Görevler!$E53,0)-1,2,1),""))</f>
        <v/>
      </c>
      <c r="J53" s="22" t="str">
        <f aca="false">IF(Görevler!$F53="","",IF(AND(Görevler!$C53&lt;=(J$4+Ayarlar!$C$6-1),Görevler!$D53&gt;=J$4),IF(J$4&lt;=Görevler!$C53+ROUND(Görevler!$F53*Görevler!$E53,0)-1,2,1),""))</f>
        <v/>
      </c>
      <c r="K53" s="22" t="str">
        <f aca="false">IF(Görevler!$F53="","",IF(AND(Görevler!$C53&lt;=(K$4+Ayarlar!$C$6-1),Görevler!$D53&gt;=K$4),IF(K$4&lt;=Görevler!$C53+ROUND(Görevler!$F53*Görevler!$E53,0)-1,2,1),""))</f>
        <v/>
      </c>
      <c r="L53" s="22" t="str">
        <f aca="false">IF(Görevler!$F53="","",IF(AND(Görevler!$C53&lt;=(L$4+Ayarlar!$C$6-1),Görevler!$D53&gt;=L$4),IF(L$4&lt;=Görevler!$C53+ROUND(Görevler!$F53*Görevler!$E53,0)-1,2,1),""))</f>
        <v/>
      </c>
      <c r="M53" s="22" t="str">
        <f aca="false">IF(Görevler!$F53="","",IF(AND(Görevler!$C53&lt;=(M$4+Ayarlar!$C$6-1),Görevler!$D53&gt;=M$4),IF(M$4&lt;=Görevler!$C53+ROUND(Görevler!$F53*Görevler!$E53,0)-1,2,1),""))</f>
        <v/>
      </c>
      <c r="N53" s="22" t="str">
        <f aca="false">IF(Görevler!$F53="","",IF(AND(Görevler!$C53&lt;=(N$4+Ayarlar!$C$6-1),Görevler!$D53&gt;=N$4),IF(N$4&lt;=Görevler!$C53+ROUND(Görevler!$F53*Görevler!$E53,0)-1,2,1),""))</f>
        <v/>
      </c>
      <c r="O53" s="22" t="str">
        <f aca="false">IF(Görevler!$F53="","",IF(AND(Görevler!$C53&lt;=(O$4+Ayarlar!$C$6-1),Görevler!$D53&gt;=O$4),IF(O$4&lt;=Görevler!$C53+ROUND(Görevler!$F53*Görevler!$E53,0)-1,2,1),""))</f>
        <v/>
      </c>
      <c r="P53" s="22" t="str">
        <f aca="false">IF(Görevler!$F53="","",IF(AND(Görevler!$C53&lt;=(P$4+Ayarlar!$C$6-1),Görevler!$D53&gt;=P$4),IF(P$4&lt;=Görevler!$C53+ROUND(Görevler!$F53*Görevler!$E53,0)-1,2,1),""))</f>
        <v/>
      </c>
      <c r="Q53" s="22" t="str">
        <f aca="false">IF(Görevler!$F53="","",IF(AND(Görevler!$C53&lt;=(Q$4+Ayarlar!$C$6-1),Görevler!$D53&gt;=Q$4),IF(Q$4&lt;=Görevler!$C53+ROUND(Görevler!$F53*Görevler!$E53,0)-1,2,1),""))</f>
        <v/>
      </c>
      <c r="R53" s="22" t="str">
        <f aca="false">IF(Görevler!$F53="","",IF(AND(Görevler!$C53&lt;=(R$4+Ayarlar!$C$6-1),Görevler!$D53&gt;=R$4),IF(R$4&lt;=Görevler!$C53+ROUND(Görevler!$F53*Görevler!$E53,0)-1,2,1),""))</f>
        <v/>
      </c>
      <c r="S53" s="22" t="str">
        <f aca="false">IF(Görevler!$F53="","",IF(AND(Görevler!$C53&lt;=(S$4+Ayarlar!$C$6-1),Görevler!$D53&gt;=S$4),IF(S$4&lt;=Görevler!$C53+ROUND(Görevler!$F53*Görevler!$E53,0)-1,2,1),""))</f>
        <v/>
      </c>
      <c r="T53" s="22" t="str">
        <f aca="false">IF(Görevler!$F53="","",IF(AND(Görevler!$C53&lt;=(T$4+Ayarlar!$C$6-1),Görevler!$D53&gt;=T$4),IF(T$4&lt;=Görevler!$C53+ROUND(Görevler!$F53*Görevler!$E53,0)-1,2,1),""))</f>
        <v/>
      </c>
      <c r="U53" s="22" t="str">
        <f aca="false">IF(Görevler!$F53="","",IF(AND(Görevler!$C53&lt;=(U$4+Ayarlar!$C$6-1),Görevler!$D53&gt;=U$4),IF(U$4&lt;=Görevler!$C53+ROUND(Görevler!$F53*Görevler!$E53,0)-1,2,1),""))</f>
        <v/>
      </c>
      <c r="V53" s="22" t="str">
        <f aca="false">IF(Görevler!$F53="","",IF(AND(Görevler!$C53&lt;=(V$4+Ayarlar!$C$6-1),Görevler!$D53&gt;=V$4),IF(V$4&lt;=Görevler!$C53+ROUND(Görevler!$F53*Görevler!$E53,0)-1,2,1),""))</f>
        <v/>
      </c>
      <c r="W53" s="22" t="str">
        <f aca="false">IF(Görevler!$F53="","",IF(AND(Görevler!$C53&lt;=(W$4+Ayarlar!$C$6-1),Görevler!$D53&gt;=W$4),IF(W$4&lt;=Görevler!$C53+ROUND(Görevler!$F53*Görevler!$E53,0)-1,2,1),""))</f>
        <v/>
      </c>
      <c r="X53" s="22" t="str">
        <f aca="false">IF(Görevler!$F53="","",IF(AND(Görevler!$C53&lt;=(X$4+Ayarlar!$C$6-1),Görevler!$D53&gt;=X$4),IF(X$4&lt;=Görevler!$C53+ROUND(Görevler!$F53*Görevler!$E53,0)-1,2,1),""))</f>
        <v/>
      </c>
      <c r="Y53" s="22" t="str">
        <f aca="false">IF(Görevler!$F53="","",IF(AND(Görevler!$C53&lt;=(Y$4+Ayarlar!$C$6-1),Görevler!$D53&gt;=Y$4),IF(Y$4&lt;=Görevler!$C53+ROUND(Görevler!$F53*Görevler!$E53,0)-1,2,1),""))</f>
        <v/>
      </c>
      <c r="Z53" s="22" t="str">
        <f aca="false">IF(Görevler!$F53="","",IF(AND(Görevler!$C53&lt;=(Z$4+Ayarlar!$C$6-1),Görevler!$D53&gt;=Z$4),IF(Z$4&lt;=Görevler!$C53+ROUND(Görevler!$F53*Görevler!$E53,0)-1,2,1),""))</f>
        <v/>
      </c>
      <c r="AA53" s="22" t="str">
        <f aca="false">IF(Görevler!$F53="","",IF(AND(Görevler!$C53&lt;=(AA$4+Ayarlar!$C$6-1),Görevler!$D53&gt;=AA$4),IF(AA$4&lt;=Görevler!$C53+ROUND(Görevler!$F53*Görevler!$E53,0)-1,2,1),""))</f>
        <v/>
      </c>
      <c r="AB53" s="22" t="str">
        <f aca="false">IF(Görevler!$F53="","",IF(AND(Görevler!$C53&lt;=(AB$4+Ayarlar!$C$6-1),Görevler!$D53&gt;=AB$4),IF(AB$4&lt;=Görevler!$C53+ROUND(Görevler!$F53*Görevler!$E53,0)-1,2,1),""))</f>
        <v/>
      </c>
      <c r="AC53" s="22" t="str">
        <f aca="false">IF(Görevler!$F53="","",IF(AND(Görevler!$C53&lt;=(AC$4+Ayarlar!$C$6-1),Görevler!$D53&gt;=AC$4),IF(AC$4&lt;=Görevler!$C53+ROUND(Görevler!$F53*Görevler!$E53,0)-1,2,1),""))</f>
        <v/>
      </c>
      <c r="AD53" s="22" t="str">
        <f aca="false">IF(Görevler!$F53="","",IF(AND(Görevler!$C53&lt;=(AD$4+Ayarlar!$C$6-1),Görevler!$D53&gt;=AD$4),IF(AD$4&lt;=Görevler!$C53+ROUND(Görevler!$F53*Görevler!$E53,0)-1,2,1),""))</f>
        <v/>
      </c>
      <c r="AE53" s="22" t="str">
        <f aca="false">IF(Görevler!$F53="","",IF(AND(Görevler!$C53&lt;=(AE$4+Ayarlar!$C$6-1),Görevler!$D53&gt;=AE$4),IF(AE$4&lt;=Görevler!$C53+ROUND(Görevler!$F53*Görevler!$E53,0)-1,2,1),""))</f>
        <v/>
      </c>
      <c r="AF53" s="22" t="str">
        <f aca="false">IF(Görevler!$F53="","",IF(AND(Görevler!$C53&lt;=(AF$4+Ayarlar!$C$6-1),Görevler!$D53&gt;=AF$4),IF(AF$4&lt;=Görevler!$C53+ROUND(Görevler!$F53*Görevler!$E53,0)-1,2,1),""))</f>
        <v/>
      </c>
      <c r="AG53" s="22" t="str">
        <f aca="false">IF(Görevler!$F53="","",IF(AND(Görevler!$C53&lt;=(AG$4+Ayarlar!$C$6-1),Görevler!$D53&gt;=AG$4),IF(AG$4&lt;=Görevler!$C53+ROUND(Görevler!$F53*Görevler!$E53,0)-1,2,1),""))</f>
        <v/>
      </c>
      <c r="AH53" s="22" t="str">
        <f aca="false">IF(Görevler!$F53="","",IF(AND(Görevler!$C53&lt;=(AH$4+Ayarlar!$C$6-1),Görevler!$D53&gt;=AH$4),IF(AH$4&lt;=Görevler!$C53+ROUND(Görevler!$F53*Görevler!$E53,0)-1,2,1),""))</f>
        <v/>
      </c>
      <c r="AI53" s="22" t="str">
        <f aca="false">IF(Görevler!$F53="","",IF(AND(Görevler!$C53&lt;=(AI$4+Ayarlar!$C$6-1),Görevler!$D53&gt;=AI$4),IF(AI$4&lt;=Görevler!$C53+ROUND(Görevler!$F53*Görevler!$E53,0)-1,2,1),""))</f>
        <v/>
      </c>
      <c r="AJ53" s="22" t="str">
        <f aca="false">IF(Görevler!$F53="","",IF(AND(Görevler!$C53&lt;=(AJ$4+Ayarlar!$C$6-1),Görevler!$D53&gt;=AJ$4),IF(AJ$4&lt;=Görevler!$C53+ROUND(Görevler!$F53*Görevler!$E53,0)-1,2,1),""))</f>
        <v/>
      </c>
      <c r="AK53" s="22" t="str">
        <f aca="false">IF(Görevler!$F53="","",IF(AND(Görevler!$C53&lt;=(AK$4+Ayarlar!$C$6-1),Görevler!$D53&gt;=AK$4),IF(AK$4&lt;=Görevler!$C53+ROUND(Görevler!$F53*Görevler!$E53,0)-1,2,1),""))</f>
        <v/>
      </c>
      <c r="AL53" s="22" t="str">
        <f aca="false">IF(Görevler!$F53="","",IF(AND(Görevler!$C53&lt;=(AL$4+Ayarlar!$C$6-1),Görevler!$D53&gt;=AL$4),IF(AL$4&lt;=Görevler!$C53+ROUND(Görevler!$F53*Görevler!$E53,0)-1,2,1),""))</f>
        <v/>
      </c>
      <c r="AM53" s="22" t="str">
        <f aca="false">IF(Görevler!$F53="","",IF(AND(Görevler!$C53&lt;=(AM$4+Ayarlar!$C$6-1),Görevler!$D53&gt;=AM$4),IF(AM$4&lt;=Görevler!$C53+ROUND(Görevler!$F53*Görevler!$E53,0)-1,2,1),""))</f>
        <v/>
      </c>
      <c r="AN53" s="22" t="str">
        <f aca="false">IF(Görevler!$F53="","",IF(AND(Görevler!$C53&lt;=(AN$4+Ayarlar!$C$6-1),Görevler!$D53&gt;=AN$4),IF(AN$4&lt;=Görevler!$C53+ROUND(Görevler!$F53*Görevler!$E53,0)-1,2,1),""))</f>
        <v/>
      </c>
      <c r="AO53" s="22" t="str">
        <f aca="false">IF(Görevler!$F53="","",IF(AND(Görevler!$C53&lt;=(AO$4+Ayarlar!$C$6-1),Görevler!$D53&gt;=AO$4),IF(AO$4&lt;=Görevler!$C53+ROUND(Görevler!$F53*Görevler!$E53,0)-1,2,1),""))</f>
        <v/>
      </c>
      <c r="AP53" s="22" t="str">
        <f aca="false">IF(Görevler!$F53="","",IF(AND(Görevler!$C53&lt;=(AP$4+Ayarlar!$C$6-1),Görevler!$D53&gt;=AP$4),IF(AP$4&lt;=Görevler!$C53+ROUND(Görevler!$F53*Görevler!$E53,0)-1,2,1),""))</f>
        <v/>
      </c>
      <c r="AQ53" s="22" t="str">
        <f aca="false">IF(Görevler!$F53="","",IF(AND(Görevler!$C53&lt;=(AQ$4+Ayarlar!$C$6-1),Görevler!$D53&gt;=AQ$4),IF(AQ$4&lt;=Görevler!$C53+ROUND(Görevler!$F53*Görevler!$E53,0)-1,2,1),""))</f>
        <v/>
      </c>
      <c r="AR53" s="22" t="str">
        <f aca="false">IF(Görevler!$F53="","",IF(AND(Görevler!$C53&lt;=(AR$4+Ayarlar!$C$6-1),Görevler!$D53&gt;=AR$4),IF(AR$4&lt;=Görevler!$C53+ROUND(Görevler!$F53*Görevler!$E53,0)-1,2,1),""))</f>
        <v/>
      </c>
      <c r="AS53" s="22" t="str">
        <f aca="false">IF(Görevler!$F53="","",IF(AND(Görevler!$C53&lt;=(AS$4+Ayarlar!$C$6-1),Görevler!$D53&gt;=AS$4),IF(AS$4&lt;=Görevler!$C53+ROUND(Görevler!$F53*Görevler!$E53,0)-1,2,1),""))</f>
        <v/>
      </c>
      <c r="AT53" s="22" t="str">
        <f aca="false">IF(Görevler!$F53="","",IF(AND(Görevler!$C53&lt;=(AT$4+Ayarlar!$C$6-1),Görevler!$D53&gt;=AT$4),IF(AT$4&lt;=Görevler!$C53+ROUND(Görevler!$F53*Görevler!$E53,0)-1,2,1),""))</f>
        <v/>
      </c>
      <c r="AU53" s="22" t="str">
        <f aca="false">IF(Görevler!$F53="","",IF(AND(Görevler!$C53&lt;=(AU$4+Ayarlar!$C$6-1),Görevler!$D53&gt;=AU$4),IF(AU$4&lt;=Görevler!$C53+ROUND(Görevler!$F53*Görevler!$E53,0)-1,2,1),""))</f>
        <v/>
      </c>
      <c r="AV53" s="22" t="str">
        <f aca="false">IF(Görevler!$F53="","",IF(AND(Görevler!$C53&lt;=(AV$4+Ayarlar!$C$6-1),Görevler!$D53&gt;=AV$4),IF(AV$4&lt;=Görevler!$C53+ROUND(Görevler!$F53*Görevler!$E53,0)-1,2,1),""))</f>
        <v/>
      </c>
      <c r="AW53" s="22" t="str">
        <f aca="false">IF(Görevler!$F53="","",IF(AND(Görevler!$C53&lt;=(AW$4+Ayarlar!$C$6-1),Görevler!$D53&gt;=AW$4),IF(AW$4&lt;=Görevler!$C53+ROUND(Görevler!$F53*Görevler!$E53,0)-1,2,1),""))</f>
        <v/>
      </c>
      <c r="AX53" s="22" t="str">
        <f aca="false">IF(Görevler!$F53="","",IF(AND(Görevler!$C53&lt;=(AX$4+Ayarlar!$C$6-1),Görevler!$D53&gt;=AX$4),IF(AX$4&lt;=Görevler!$C53+ROUND(Görevler!$F53*Görevler!$E53,0)-1,2,1),""))</f>
        <v/>
      </c>
      <c r="AY53" s="22" t="str">
        <f aca="false">IF(Görevler!$F53="","",IF(AND(Görevler!$C53&lt;=(AY$4+Ayarlar!$C$6-1),Görevler!$D53&gt;=AY$4),IF(AY$4&lt;=Görevler!$C53+ROUND(Görevler!$F53*Görevler!$E53,0)-1,2,1),""))</f>
        <v/>
      </c>
      <c r="AZ53" s="22" t="str">
        <f aca="false">IF(Görevler!$F53="","",IF(AND(Görevler!$C53&lt;=(AZ$4+Ayarlar!$C$6-1),Görevler!$D53&gt;=AZ$4),IF(AZ$4&lt;=Görevler!$C53+ROUND(Görevler!$F53*Görevler!$E53,0)-1,2,1),""))</f>
        <v/>
      </c>
      <c r="BA53" s="22" t="str">
        <f aca="false">IF(Görevler!$F53="","",IF(AND(Görevler!$C53&lt;=(BA$4+Ayarlar!$C$6-1),Görevler!$D53&gt;=BA$4),IF(BA$4&lt;=Görevler!$C53+ROUND(Görevler!$F53*Görevler!$E53,0)-1,2,1),""))</f>
        <v/>
      </c>
      <c r="BB53" s="22" t="str">
        <f aca="false">IF(Görevler!$F53="","",IF(AND(Görevler!$C53&lt;=(BB$4+Ayarlar!$C$6-1),Görevler!$D53&gt;=BB$4),IF(BB$4&lt;=Görevler!$C53+ROUND(Görevler!$F53*Görevler!$E53,0)-1,2,1),""))</f>
        <v/>
      </c>
      <c r="BC53" s="22" t="str">
        <f aca="false">IF(Görevler!$F53="","",IF(AND(Görevler!$C53&lt;=(BC$4+Ayarlar!$C$6-1),Görevler!$D53&gt;=BC$4),IF(BC$4&lt;=Görevler!$C53+ROUND(Görevler!$F53*Görevler!$E53,0)-1,2,1),""))</f>
        <v/>
      </c>
      <c r="BD53" s="22" t="str">
        <f aca="false">IF(Görevler!$F53="","",IF(AND(Görevler!$C53&lt;=(BD$4+Ayarlar!$C$6-1),Görevler!$D53&gt;=BD$4),IF(BD$4&lt;=Görevler!$C53+ROUND(Görevler!$F53*Görevler!$E53,0)-1,2,1),""))</f>
        <v/>
      </c>
      <c r="BE53" s="22" t="str">
        <f aca="false">IF(Görevler!$F53="","",IF(AND(Görevler!$C53&lt;=(BE$4+Ayarlar!$C$6-1),Görevler!$D53&gt;=BE$4),IF(BE$4&lt;=Görevler!$C53+ROUND(Görevler!$F53*Görevler!$E53,0)-1,2,1),""))</f>
        <v/>
      </c>
      <c r="BF53" s="22" t="str">
        <f aca="false">IF(Görevler!$F53="","",IF(AND(Görevler!$C53&lt;=(BF$4+Ayarlar!$C$6-1),Görevler!$D53&gt;=BF$4),IF(BF$4&lt;=Görevler!$C53+ROUND(Görevler!$F53*Görevler!$E53,0)-1,2,1),""))</f>
        <v/>
      </c>
      <c r="BG53" s="22" t="str">
        <f aca="false">IF(Görevler!$F53="","",IF(AND(Görevler!$C53&lt;=(BG$4+Ayarlar!$C$6-1),Görevler!$D53&gt;=BG$4),IF(BG$4&lt;=Görevler!$C53+ROUND(Görevler!$F53*Görevler!$E53,0)-1,2,1),""))</f>
        <v/>
      </c>
      <c r="BH53" s="22" t="str">
        <f aca="false">IF(Görevler!$F53="","",IF(AND(Görevler!$C53&lt;=(BH$4+Ayarlar!$C$6-1),Görevler!$D53&gt;=BH$4),IF(BH$4&lt;=Görevler!$C53+ROUND(Görevler!$F53*Görevler!$E53,0)-1,2,1),""))</f>
        <v/>
      </c>
      <c r="BI53" s="22" t="str">
        <f aca="false">IF(Görevler!$F53="","",IF(AND(Görevler!$C53&lt;=(BI$4+Ayarlar!$C$6-1),Görevler!$D53&gt;=BI$4),IF(BI$4&lt;=Görevler!$C53+ROUND(Görevler!$F53*Görevler!$E53,0)-1,2,1),""))</f>
        <v/>
      </c>
      <c r="BJ53" s="22" t="str">
        <f aca="false">IF(Görevler!$F53="","",IF(AND(Görevler!$C53&lt;=(BJ$4+Ayarlar!$C$6-1),Görevler!$D53&gt;=BJ$4),IF(BJ$4&lt;=Görevler!$C53+ROUND(Görevler!$F53*Görevler!$E53,0)-1,2,1),""))</f>
        <v/>
      </c>
    </row>
    <row r="54" customFormat="false" ht="15" hidden="false" customHeight="false" outlineLevel="0" collapsed="false">
      <c r="A54" s="21" t="str">
        <f aca="false">IF(Görevler!A54="","",Görevler!A54)</f>
        <v/>
      </c>
      <c r="B54" s="21" t="str">
        <f aca="false">IF(Görevler!A54="","",Görevler!B54&amp;"")</f>
        <v/>
      </c>
      <c r="C54" s="22" t="str">
        <f aca="false">IF(Görevler!$F54="","",IF(AND(Görevler!$C54&lt;=(C$4+Ayarlar!$C$6-1),Görevler!$D54&gt;=C$4),IF(C$4&lt;=Görevler!$C54+ROUND(Görevler!$F54*Görevler!$E54,0)-1,2,1),""))</f>
        <v/>
      </c>
      <c r="D54" s="22" t="str">
        <f aca="false">IF(Görevler!$F54="","",IF(AND(Görevler!$C54&lt;=(D$4+Ayarlar!$C$6-1),Görevler!$D54&gt;=D$4),IF(D$4&lt;=Görevler!$C54+ROUND(Görevler!$F54*Görevler!$E54,0)-1,2,1),""))</f>
        <v/>
      </c>
      <c r="E54" s="22" t="str">
        <f aca="false">IF(Görevler!$F54="","",IF(AND(Görevler!$C54&lt;=(E$4+Ayarlar!$C$6-1),Görevler!$D54&gt;=E$4),IF(E$4&lt;=Görevler!$C54+ROUND(Görevler!$F54*Görevler!$E54,0)-1,2,1),""))</f>
        <v/>
      </c>
      <c r="F54" s="22" t="str">
        <f aca="false">IF(Görevler!$F54="","",IF(AND(Görevler!$C54&lt;=(F$4+Ayarlar!$C$6-1),Görevler!$D54&gt;=F$4),IF(F$4&lt;=Görevler!$C54+ROUND(Görevler!$F54*Görevler!$E54,0)-1,2,1),""))</f>
        <v/>
      </c>
      <c r="G54" s="22" t="str">
        <f aca="false">IF(Görevler!$F54="","",IF(AND(Görevler!$C54&lt;=(G$4+Ayarlar!$C$6-1),Görevler!$D54&gt;=G$4),IF(G$4&lt;=Görevler!$C54+ROUND(Görevler!$F54*Görevler!$E54,0)-1,2,1),""))</f>
        <v/>
      </c>
      <c r="H54" s="22" t="str">
        <f aca="false">IF(Görevler!$F54="","",IF(AND(Görevler!$C54&lt;=(H$4+Ayarlar!$C$6-1),Görevler!$D54&gt;=H$4),IF(H$4&lt;=Görevler!$C54+ROUND(Görevler!$F54*Görevler!$E54,0)-1,2,1),""))</f>
        <v/>
      </c>
      <c r="I54" s="22" t="str">
        <f aca="false">IF(Görevler!$F54="","",IF(AND(Görevler!$C54&lt;=(I$4+Ayarlar!$C$6-1),Görevler!$D54&gt;=I$4),IF(I$4&lt;=Görevler!$C54+ROUND(Görevler!$F54*Görevler!$E54,0)-1,2,1),""))</f>
        <v/>
      </c>
      <c r="J54" s="22" t="str">
        <f aca="false">IF(Görevler!$F54="","",IF(AND(Görevler!$C54&lt;=(J$4+Ayarlar!$C$6-1),Görevler!$D54&gt;=J$4),IF(J$4&lt;=Görevler!$C54+ROUND(Görevler!$F54*Görevler!$E54,0)-1,2,1),""))</f>
        <v/>
      </c>
      <c r="K54" s="22" t="str">
        <f aca="false">IF(Görevler!$F54="","",IF(AND(Görevler!$C54&lt;=(K$4+Ayarlar!$C$6-1),Görevler!$D54&gt;=K$4),IF(K$4&lt;=Görevler!$C54+ROUND(Görevler!$F54*Görevler!$E54,0)-1,2,1),""))</f>
        <v/>
      </c>
      <c r="L54" s="22" t="str">
        <f aca="false">IF(Görevler!$F54="","",IF(AND(Görevler!$C54&lt;=(L$4+Ayarlar!$C$6-1),Görevler!$D54&gt;=L$4),IF(L$4&lt;=Görevler!$C54+ROUND(Görevler!$F54*Görevler!$E54,0)-1,2,1),""))</f>
        <v/>
      </c>
      <c r="M54" s="22" t="str">
        <f aca="false">IF(Görevler!$F54="","",IF(AND(Görevler!$C54&lt;=(M$4+Ayarlar!$C$6-1),Görevler!$D54&gt;=M$4),IF(M$4&lt;=Görevler!$C54+ROUND(Görevler!$F54*Görevler!$E54,0)-1,2,1),""))</f>
        <v/>
      </c>
      <c r="N54" s="22" t="str">
        <f aca="false">IF(Görevler!$F54="","",IF(AND(Görevler!$C54&lt;=(N$4+Ayarlar!$C$6-1),Görevler!$D54&gt;=N$4),IF(N$4&lt;=Görevler!$C54+ROUND(Görevler!$F54*Görevler!$E54,0)-1,2,1),""))</f>
        <v/>
      </c>
      <c r="O54" s="22" t="str">
        <f aca="false">IF(Görevler!$F54="","",IF(AND(Görevler!$C54&lt;=(O$4+Ayarlar!$C$6-1),Görevler!$D54&gt;=O$4),IF(O$4&lt;=Görevler!$C54+ROUND(Görevler!$F54*Görevler!$E54,0)-1,2,1),""))</f>
        <v/>
      </c>
      <c r="P54" s="22" t="str">
        <f aca="false">IF(Görevler!$F54="","",IF(AND(Görevler!$C54&lt;=(P$4+Ayarlar!$C$6-1),Görevler!$D54&gt;=P$4),IF(P$4&lt;=Görevler!$C54+ROUND(Görevler!$F54*Görevler!$E54,0)-1,2,1),""))</f>
        <v/>
      </c>
      <c r="Q54" s="22" t="str">
        <f aca="false">IF(Görevler!$F54="","",IF(AND(Görevler!$C54&lt;=(Q$4+Ayarlar!$C$6-1),Görevler!$D54&gt;=Q$4),IF(Q$4&lt;=Görevler!$C54+ROUND(Görevler!$F54*Görevler!$E54,0)-1,2,1),""))</f>
        <v/>
      </c>
      <c r="R54" s="22" t="str">
        <f aca="false">IF(Görevler!$F54="","",IF(AND(Görevler!$C54&lt;=(R$4+Ayarlar!$C$6-1),Görevler!$D54&gt;=R$4),IF(R$4&lt;=Görevler!$C54+ROUND(Görevler!$F54*Görevler!$E54,0)-1,2,1),""))</f>
        <v/>
      </c>
      <c r="S54" s="22" t="str">
        <f aca="false">IF(Görevler!$F54="","",IF(AND(Görevler!$C54&lt;=(S$4+Ayarlar!$C$6-1),Görevler!$D54&gt;=S$4),IF(S$4&lt;=Görevler!$C54+ROUND(Görevler!$F54*Görevler!$E54,0)-1,2,1),""))</f>
        <v/>
      </c>
      <c r="T54" s="22" t="str">
        <f aca="false">IF(Görevler!$F54="","",IF(AND(Görevler!$C54&lt;=(T$4+Ayarlar!$C$6-1),Görevler!$D54&gt;=T$4),IF(T$4&lt;=Görevler!$C54+ROUND(Görevler!$F54*Görevler!$E54,0)-1,2,1),""))</f>
        <v/>
      </c>
      <c r="U54" s="22" t="str">
        <f aca="false">IF(Görevler!$F54="","",IF(AND(Görevler!$C54&lt;=(U$4+Ayarlar!$C$6-1),Görevler!$D54&gt;=U$4),IF(U$4&lt;=Görevler!$C54+ROUND(Görevler!$F54*Görevler!$E54,0)-1,2,1),""))</f>
        <v/>
      </c>
      <c r="V54" s="22" t="str">
        <f aca="false">IF(Görevler!$F54="","",IF(AND(Görevler!$C54&lt;=(V$4+Ayarlar!$C$6-1),Görevler!$D54&gt;=V$4),IF(V$4&lt;=Görevler!$C54+ROUND(Görevler!$F54*Görevler!$E54,0)-1,2,1),""))</f>
        <v/>
      </c>
      <c r="W54" s="22" t="str">
        <f aca="false">IF(Görevler!$F54="","",IF(AND(Görevler!$C54&lt;=(W$4+Ayarlar!$C$6-1),Görevler!$D54&gt;=W$4),IF(W$4&lt;=Görevler!$C54+ROUND(Görevler!$F54*Görevler!$E54,0)-1,2,1),""))</f>
        <v/>
      </c>
      <c r="X54" s="22" t="str">
        <f aca="false">IF(Görevler!$F54="","",IF(AND(Görevler!$C54&lt;=(X$4+Ayarlar!$C$6-1),Görevler!$D54&gt;=X$4),IF(X$4&lt;=Görevler!$C54+ROUND(Görevler!$F54*Görevler!$E54,0)-1,2,1),""))</f>
        <v/>
      </c>
      <c r="Y54" s="22" t="str">
        <f aca="false">IF(Görevler!$F54="","",IF(AND(Görevler!$C54&lt;=(Y$4+Ayarlar!$C$6-1),Görevler!$D54&gt;=Y$4),IF(Y$4&lt;=Görevler!$C54+ROUND(Görevler!$F54*Görevler!$E54,0)-1,2,1),""))</f>
        <v/>
      </c>
      <c r="Z54" s="22" t="str">
        <f aca="false">IF(Görevler!$F54="","",IF(AND(Görevler!$C54&lt;=(Z$4+Ayarlar!$C$6-1),Görevler!$D54&gt;=Z$4),IF(Z$4&lt;=Görevler!$C54+ROUND(Görevler!$F54*Görevler!$E54,0)-1,2,1),""))</f>
        <v/>
      </c>
      <c r="AA54" s="22" t="str">
        <f aca="false">IF(Görevler!$F54="","",IF(AND(Görevler!$C54&lt;=(AA$4+Ayarlar!$C$6-1),Görevler!$D54&gt;=AA$4),IF(AA$4&lt;=Görevler!$C54+ROUND(Görevler!$F54*Görevler!$E54,0)-1,2,1),""))</f>
        <v/>
      </c>
      <c r="AB54" s="22" t="str">
        <f aca="false">IF(Görevler!$F54="","",IF(AND(Görevler!$C54&lt;=(AB$4+Ayarlar!$C$6-1),Görevler!$D54&gt;=AB$4),IF(AB$4&lt;=Görevler!$C54+ROUND(Görevler!$F54*Görevler!$E54,0)-1,2,1),""))</f>
        <v/>
      </c>
      <c r="AC54" s="22" t="str">
        <f aca="false">IF(Görevler!$F54="","",IF(AND(Görevler!$C54&lt;=(AC$4+Ayarlar!$C$6-1),Görevler!$D54&gt;=AC$4),IF(AC$4&lt;=Görevler!$C54+ROUND(Görevler!$F54*Görevler!$E54,0)-1,2,1),""))</f>
        <v/>
      </c>
      <c r="AD54" s="22" t="str">
        <f aca="false">IF(Görevler!$F54="","",IF(AND(Görevler!$C54&lt;=(AD$4+Ayarlar!$C$6-1),Görevler!$D54&gt;=AD$4),IF(AD$4&lt;=Görevler!$C54+ROUND(Görevler!$F54*Görevler!$E54,0)-1,2,1),""))</f>
        <v/>
      </c>
      <c r="AE54" s="22" t="str">
        <f aca="false">IF(Görevler!$F54="","",IF(AND(Görevler!$C54&lt;=(AE$4+Ayarlar!$C$6-1),Görevler!$D54&gt;=AE$4),IF(AE$4&lt;=Görevler!$C54+ROUND(Görevler!$F54*Görevler!$E54,0)-1,2,1),""))</f>
        <v/>
      </c>
      <c r="AF54" s="22" t="str">
        <f aca="false">IF(Görevler!$F54="","",IF(AND(Görevler!$C54&lt;=(AF$4+Ayarlar!$C$6-1),Görevler!$D54&gt;=AF$4),IF(AF$4&lt;=Görevler!$C54+ROUND(Görevler!$F54*Görevler!$E54,0)-1,2,1),""))</f>
        <v/>
      </c>
      <c r="AG54" s="22" t="str">
        <f aca="false">IF(Görevler!$F54="","",IF(AND(Görevler!$C54&lt;=(AG$4+Ayarlar!$C$6-1),Görevler!$D54&gt;=AG$4),IF(AG$4&lt;=Görevler!$C54+ROUND(Görevler!$F54*Görevler!$E54,0)-1,2,1),""))</f>
        <v/>
      </c>
      <c r="AH54" s="22" t="str">
        <f aca="false">IF(Görevler!$F54="","",IF(AND(Görevler!$C54&lt;=(AH$4+Ayarlar!$C$6-1),Görevler!$D54&gt;=AH$4),IF(AH$4&lt;=Görevler!$C54+ROUND(Görevler!$F54*Görevler!$E54,0)-1,2,1),""))</f>
        <v/>
      </c>
      <c r="AI54" s="22" t="str">
        <f aca="false">IF(Görevler!$F54="","",IF(AND(Görevler!$C54&lt;=(AI$4+Ayarlar!$C$6-1),Görevler!$D54&gt;=AI$4),IF(AI$4&lt;=Görevler!$C54+ROUND(Görevler!$F54*Görevler!$E54,0)-1,2,1),""))</f>
        <v/>
      </c>
      <c r="AJ54" s="22" t="str">
        <f aca="false">IF(Görevler!$F54="","",IF(AND(Görevler!$C54&lt;=(AJ$4+Ayarlar!$C$6-1),Görevler!$D54&gt;=AJ$4),IF(AJ$4&lt;=Görevler!$C54+ROUND(Görevler!$F54*Görevler!$E54,0)-1,2,1),""))</f>
        <v/>
      </c>
      <c r="AK54" s="22" t="str">
        <f aca="false">IF(Görevler!$F54="","",IF(AND(Görevler!$C54&lt;=(AK$4+Ayarlar!$C$6-1),Görevler!$D54&gt;=AK$4),IF(AK$4&lt;=Görevler!$C54+ROUND(Görevler!$F54*Görevler!$E54,0)-1,2,1),""))</f>
        <v/>
      </c>
      <c r="AL54" s="22" t="str">
        <f aca="false">IF(Görevler!$F54="","",IF(AND(Görevler!$C54&lt;=(AL$4+Ayarlar!$C$6-1),Görevler!$D54&gt;=AL$4),IF(AL$4&lt;=Görevler!$C54+ROUND(Görevler!$F54*Görevler!$E54,0)-1,2,1),""))</f>
        <v/>
      </c>
      <c r="AM54" s="22" t="str">
        <f aca="false">IF(Görevler!$F54="","",IF(AND(Görevler!$C54&lt;=(AM$4+Ayarlar!$C$6-1),Görevler!$D54&gt;=AM$4),IF(AM$4&lt;=Görevler!$C54+ROUND(Görevler!$F54*Görevler!$E54,0)-1,2,1),""))</f>
        <v/>
      </c>
      <c r="AN54" s="22" t="str">
        <f aca="false">IF(Görevler!$F54="","",IF(AND(Görevler!$C54&lt;=(AN$4+Ayarlar!$C$6-1),Görevler!$D54&gt;=AN$4),IF(AN$4&lt;=Görevler!$C54+ROUND(Görevler!$F54*Görevler!$E54,0)-1,2,1),""))</f>
        <v/>
      </c>
      <c r="AO54" s="22" t="str">
        <f aca="false">IF(Görevler!$F54="","",IF(AND(Görevler!$C54&lt;=(AO$4+Ayarlar!$C$6-1),Görevler!$D54&gt;=AO$4),IF(AO$4&lt;=Görevler!$C54+ROUND(Görevler!$F54*Görevler!$E54,0)-1,2,1),""))</f>
        <v/>
      </c>
      <c r="AP54" s="22" t="str">
        <f aca="false">IF(Görevler!$F54="","",IF(AND(Görevler!$C54&lt;=(AP$4+Ayarlar!$C$6-1),Görevler!$D54&gt;=AP$4),IF(AP$4&lt;=Görevler!$C54+ROUND(Görevler!$F54*Görevler!$E54,0)-1,2,1),""))</f>
        <v/>
      </c>
      <c r="AQ54" s="22" t="str">
        <f aca="false">IF(Görevler!$F54="","",IF(AND(Görevler!$C54&lt;=(AQ$4+Ayarlar!$C$6-1),Görevler!$D54&gt;=AQ$4),IF(AQ$4&lt;=Görevler!$C54+ROUND(Görevler!$F54*Görevler!$E54,0)-1,2,1),""))</f>
        <v/>
      </c>
      <c r="AR54" s="22" t="str">
        <f aca="false">IF(Görevler!$F54="","",IF(AND(Görevler!$C54&lt;=(AR$4+Ayarlar!$C$6-1),Görevler!$D54&gt;=AR$4),IF(AR$4&lt;=Görevler!$C54+ROUND(Görevler!$F54*Görevler!$E54,0)-1,2,1),""))</f>
        <v/>
      </c>
      <c r="AS54" s="22" t="str">
        <f aca="false">IF(Görevler!$F54="","",IF(AND(Görevler!$C54&lt;=(AS$4+Ayarlar!$C$6-1),Görevler!$D54&gt;=AS$4),IF(AS$4&lt;=Görevler!$C54+ROUND(Görevler!$F54*Görevler!$E54,0)-1,2,1),""))</f>
        <v/>
      </c>
      <c r="AT54" s="22" t="str">
        <f aca="false">IF(Görevler!$F54="","",IF(AND(Görevler!$C54&lt;=(AT$4+Ayarlar!$C$6-1),Görevler!$D54&gt;=AT$4),IF(AT$4&lt;=Görevler!$C54+ROUND(Görevler!$F54*Görevler!$E54,0)-1,2,1),""))</f>
        <v/>
      </c>
      <c r="AU54" s="22" t="str">
        <f aca="false">IF(Görevler!$F54="","",IF(AND(Görevler!$C54&lt;=(AU$4+Ayarlar!$C$6-1),Görevler!$D54&gt;=AU$4),IF(AU$4&lt;=Görevler!$C54+ROUND(Görevler!$F54*Görevler!$E54,0)-1,2,1),""))</f>
        <v/>
      </c>
      <c r="AV54" s="22" t="str">
        <f aca="false">IF(Görevler!$F54="","",IF(AND(Görevler!$C54&lt;=(AV$4+Ayarlar!$C$6-1),Görevler!$D54&gt;=AV$4),IF(AV$4&lt;=Görevler!$C54+ROUND(Görevler!$F54*Görevler!$E54,0)-1,2,1),""))</f>
        <v/>
      </c>
      <c r="AW54" s="22" t="str">
        <f aca="false">IF(Görevler!$F54="","",IF(AND(Görevler!$C54&lt;=(AW$4+Ayarlar!$C$6-1),Görevler!$D54&gt;=AW$4),IF(AW$4&lt;=Görevler!$C54+ROUND(Görevler!$F54*Görevler!$E54,0)-1,2,1),""))</f>
        <v/>
      </c>
      <c r="AX54" s="22" t="str">
        <f aca="false">IF(Görevler!$F54="","",IF(AND(Görevler!$C54&lt;=(AX$4+Ayarlar!$C$6-1),Görevler!$D54&gt;=AX$4),IF(AX$4&lt;=Görevler!$C54+ROUND(Görevler!$F54*Görevler!$E54,0)-1,2,1),""))</f>
        <v/>
      </c>
      <c r="AY54" s="22" t="str">
        <f aca="false">IF(Görevler!$F54="","",IF(AND(Görevler!$C54&lt;=(AY$4+Ayarlar!$C$6-1),Görevler!$D54&gt;=AY$4),IF(AY$4&lt;=Görevler!$C54+ROUND(Görevler!$F54*Görevler!$E54,0)-1,2,1),""))</f>
        <v/>
      </c>
      <c r="AZ54" s="22" t="str">
        <f aca="false">IF(Görevler!$F54="","",IF(AND(Görevler!$C54&lt;=(AZ$4+Ayarlar!$C$6-1),Görevler!$D54&gt;=AZ$4),IF(AZ$4&lt;=Görevler!$C54+ROUND(Görevler!$F54*Görevler!$E54,0)-1,2,1),""))</f>
        <v/>
      </c>
      <c r="BA54" s="22" t="str">
        <f aca="false">IF(Görevler!$F54="","",IF(AND(Görevler!$C54&lt;=(BA$4+Ayarlar!$C$6-1),Görevler!$D54&gt;=BA$4),IF(BA$4&lt;=Görevler!$C54+ROUND(Görevler!$F54*Görevler!$E54,0)-1,2,1),""))</f>
        <v/>
      </c>
      <c r="BB54" s="22" t="str">
        <f aca="false">IF(Görevler!$F54="","",IF(AND(Görevler!$C54&lt;=(BB$4+Ayarlar!$C$6-1),Görevler!$D54&gt;=BB$4),IF(BB$4&lt;=Görevler!$C54+ROUND(Görevler!$F54*Görevler!$E54,0)-1,2,1),""))</f>
        <v/>
      </c>
      <c r="BC54" s="22" t="str">
        <f aca="false">IF(Görevler!$F54="","",IF(AND(Görevler!$C54&lt;=(BC$4+Ayarlar!$C$6-1),Görevler!$D54&gt;=BC$4),IF(BC$4&lt;=Görevler!$C54+ROUND(Görevler!$F54*Görevler!$E54,0)-1,2,1),""))</f>
        <v/>
      </c>
      <c r="BD54" s="22" t="str">
        <f aca="false">IF(Görevler!$F54="","",IF(AND(Görevler!$C54&lt;=(BD$4+Ayarlar!$C$6-1),Görevler!$D54&gt;=BD$4),IF(BD$4&lt;=Görevler!$C54+ROUND(Görevler!$F54*Görevler!$E54,0)-1,2,1),""))</f>
        <v/>
      </c>
      <c r="BE54" s="22" t="str">
        <f aca="false">IF(Görevler!$F54="","",IF(AND(Görevler!$C54&lt;=(BE$4+Ayarlar!$C$6-1),Görevler!$D54&gt;=BE$4),IF(BE$4&lt;=Görevler!$C54+ROUND(Görevler!$F54*Görevler!$E54,0)-1,2,1),""))</f>
        <v/>
      </c>
      <c r="BF54" s="22" t="str">
        <f aca="false">IF(Görevler!$F54="","",IF(AND(Görevler!$C54&lt;=(BF$4+Ayarlar!$C$6-1),Görevler!$D54&gt;=BF$4),IF(BF$4&lt;=Görevler!$C54+ROUND(Görevler!$F54*Görevler!$E54,0)-1,2,1),""))</f>
        <v/>
      </c>
      <c r="BG54" s="22" t="str">
        <f aca="false">IF(Görevler!$F54="","",IF(AND(Görevler!$C54&lt;=(BG$4+Ayarlar!$C$6-1),Görevler!$D54&gt;=BG$4),IF(BG$4&lt;=Görevler!$C54+ROUND(Görevler!$F54*Görevler!$E54,0)-1,2,1),""))</f>
        <v/>
      </c>
      <c r="BH54" s="22" t="str">
        <f aca="false">IF(Görevler!$F54="","",IF(AND(Görevler!$C54&lt;=(BH$4+Ayarlar!$C$6-1),Görevler!$D54&gt;=BH$4),IF(BH$4&lt;=Görevler!$C54+ROUND(Görevler!$F54*Görevler!$E54,0)-1,2,1),""))</f>
        <v/>
      </c>
      <c r="BI54" s="22" t="str">
        <f aca="false">IF(Görevler!$F54="","",IF(AND(Görevler!$C54&lt;=(BI$4+Ayarlar!$C$6-1),Görevler!$D54&gt;=BI$4),IF(BI$4&lt;=Görevler!$C54+ROUND(Görevler!$F54*Görevler!$E54,0)-1,2,1),""))</f>
        <v/>
      </c>
      <c r="BJ54" s="22" t="str">
        <f aca="false">IF(Görevler!$F54="","",IF(AND(Görevler!$C54&lt;=(BJ$4+Ayarlar!$C$6-1),Görevler!$D54&gt;=BJ$4),IF(BJ$4&lt;=Görevler!$C54+ROUND(Görevler!$F54*Görevler!$E54,0)-1,2,1),""))</f>
        <v/>
      </c>
    </row>
    <row r="55" customFormat="false" ht="15" hidden="false" customHeight="false" outlineLevel="0" collapsed="false">
      <c r="A55" s="21" t="str">
        <f aca="false">IF(Görevler!A55="","",Görevler!A55)</f>
        <v/>
      </c>
      <c r="B55" s="21" t="str">
        <f aca="false">IF(Görevler!A55="","",Görevler!B55&amp;"")</f>
        <v/>
      </c>
      <c r="C55" s="22" t="str">
        <f aca="false">IF(Görevler!$F55="","",IF(AND(Görevler!$C55&lt;=(C$4+Ayarlar!$C$6-1),Görevler!$D55&gt;=C$4),IF(C$4&lt;=Görevler!$C55+ROUND(Görevler!$F55*Görevler!$E55,0)-1,2,1),""))</f>
        <v/>
      </c>
      <c r="D55" s="22" t="str">
        <f aca="false">IF(Görevler!$F55="","",IF(AND(Görevler!$C55&lt;=(D$4+Ayarlar!$C$6-1),Görevler!$D55&gt;=D$4),IF(D$4&lt;=Görevler!$C55+ROUND(Görevler!$F55*Görevler!$E55,0)-1,2,1),""))</f>
        <v/>
      </c>
      <c r="E55" s="22" t="str">
        <f aca="false">IF(Görevler!$F55="","",IF(AND(Görevler!$C55&lt;=(E$4+Ayarlar!$C$6-1),Görevler!$D55&gt;=E$4),IF(E$4&lt;=Görevler!$C55+ROUND(Görevler!$F55*Görevler!$E55,0)-1,2,1),""))</f>
        <v/>
      </c>
      <c r="F55" s="22" t="str">
        <f aca="false">IF(Görevler!$F55="","",IF(AND(Görevler!$C55&lt;=(F$4+Ayarlar!$C$6-1),Görevler!$D55&gt;=F$4),IF(F$4&lt;=Görevler!$C55+ROUND(Görevler!$F55*Görevler!$E55,0)-1,2,1),""))</f>
        <v/>
      </c>
      <c r="G55" s="22" t="str">
        <f aca="false">IF(Görevler!$F55="","",IF(AND(Görevler!$C55&lt;=(G$4+Ayarlar!$C$6-1),Görevler!$D55&gt;=G$4),IF(G$4&lt;=Görevler!$C55+ROUND(Görevler!$F55*Görevler!$E55,0)-1,2,1),""))</f>
        <v/>
      </c>
      <c r="H55" s="22" t="str">
        <f aca="false">IF(Görevler!$F55="","",IF(AND(Görevler!$C55&lt;=(H$4+Ayarlar!$C$6-1),Görevler!$D55&gt;=H$4),IF(H$4&lt;=Görevler!$C55+ROUND(Görevler!$F55*Görevler!$E55,0)-1,2,1),""))</f>
        <v/>
      </c>
      <c r="I55" s="22" t="str">
        <f aca="false">IF(Görevler!$F55="","",IF(AND(Görevler!$C55&lt;=(I$4+Ayarlar!$C$6-1),Görevler!$D55&gt;=I$4),IF(I$4&lt;=Görevler!$C55+ROUND(Görevler!$F55*Görevler!$E55,0)-1,2,1),""))</f>
        <v/>
      </c>
      <c r="J55" s="22" t="str">
        <f aca="false">IF(Görevler!$F55="","",IF(AND(Görevler!$C55&lt;=(J$4+Ayarlar!$C$6-1),Görevler!$D55&gt;=J$4),IF(J$4&lt;=Görevler!$C55+ROUND(Görevler!$F55*Görevler!$E55,0)-1,2,1),""))</f>
        <v/>
      </c>
      <c r="K55" s="22" t="str">
        <f aca="false">IF(Görevler!$F55="","",IF(AND(Görevler!$C55&lt;=(K$4+Ayarlar!$C$6-1),Görevler!$D55&gt;=K$4),IF(K$4&lt;=Görevler!$C55+ROUND(Görevler!$F55*Görevler!$E55,0)-1,2,1),""))</f>
        <v/>
      </c>
      <c r="L55" s="22" t="str">
        <f aca="false">IF(Görevler!$F55="","",IF(AND(Görevler!$C55&lt;=(L$4+Ayarlar!$C$6-1),Görevler!$D55&gt;=L$4),IF(L$4&lt;=Görevler!$C55+ROUND(Görevler!$F55*Görevler!$E55,0)-1,2,1),""))</f>
        <v/>
      </c>
      <c r="M55" s="22" t="str">
        <f aca="false">IF(Görevler!$F55="","",IF(AND(Görevler!$C55&lt;=(M$4+Ayarlar!$C$6-1),Görevler!$D55&gt;=M$4),IF(M$4&lt;=Görevler!$C55+ROUND(Görevler!$F55*Görevler!$E55,0)-1,2,1),""))</f>
        <v/>
      </c>
      <c r="N55" s="22" t="str">
        <f aca="false">IF(Görevler!$F55="","",IF(AND(Görevler!$C55&lt;=(N$4+Ayarlar!$C$6-1),Görevler!$D55&gt;=N$4),IF(N$4&lt;=Görevler!$C55+ROUND(Görevler!$F55*Görevler!$E55,0)-1,2,1),""))</f>
        <v/>
      </c>
      <c r="O55" s="22" t="str">
        <f aca="false">IF(Görevler!$F55="","",IF(AND(Görevler!$C55&lt;=(O$4+Ayarlar!$C$6-1),Görevler!$D55&gt;=O$4),IF(O$4&lt;=Görevler!$C55+ROUND(Görevler!$F55*Görevler!$E55,0)-1,2,1),""))</f>
        <v/>
      </c>
      <c r="P55" s="22" t="str">
        <f aca="false">IF(Görevler!$F55="","",IF(AND(Görevler!$C55&lt;=(P$4+Ayarlar!$C$6-1),Görevler!$D55&gt;=P$4),IF(P$4&lt;=Görevler!$C55+ROUND(Görevler!$F55*Görevler!$E55,0)-1,2,1),""))</f>
        <v/>
      </c>
      <c r="Q55" s="22" t="str">
        <f aca="false">IF(Görevler!$F55="","",IF(AND(Görevler!$C55&lt;=(Q$4+Ayarlar!$C$6-1),Görevler!$D55&gt;=Q$4),IF(Q$4&lt;=Görevler!$C55+ROUND(Görevler!$F55*Görevler!$E55,0)-1,2,1),""))</f>
        <v/>
      </c>
      <c r="R55" s="22" t="str">
        <f aca="false">IF(Görevler!$F55="","",IF(AND(Görevler!$C55&lt;=(R$4+Ayarlar!$C$6-1),Görevler!$D55&gt;=R$4),IF(R$4&lt;=Görevler!$C55+ROUND(Görevler!$F55*Görevler!$E55,0)-1,2,1),""))</f>
        <v/>
      </c>
      <c r="S55" s="22" t="str">
        <f aca="false">IF(Görevler!$F55="","",IF(AND(Görevler!$C55&lt;=(S$4+Ayarlar!$C$6-1),Görevler!$D55&gt;=S$4),IF(S$4&lt;=Görevler!$C55+ROUND(Görevler!$F55*Görevler!$E55,0)-1,2,1),""))</f>
        <v/>
      </c>
      <c r="T55" s="22" t="str">
        <f aca="false">IF(Görevler!$F55="","",IF(AND(Görevler!$C55&lt;=(T$4+Ayarlar!$C$6-1),Görevler!$D55&gt;=T$4),IF(T$4&lt;=Görevler!$C55+ROUND(Görevler!$F55*Görevler!$E55,0)-1,2,1),""))</f>
        <v/>
      </c>
      <c r="U55" s="22" t="str">
        <f aca="false">IF(Görevler!$F55="","",IF(AND(Görevler!$C55&lt;=(U$4+Ayarlar!$C$6-1),Görevler!$D55&gt;=U$4),IF(U$4&lt;=Görevler!$C55+ROUND(Görevler!$F55*Görevler!$E55,0)-1,2,1),""))</f>
        <v/>
      </c>
      <c r="V55" s="22" t="str">
        <f aca="false">IF(Görevler!$F55="","",IF(AND(Görevler!$C55&lt;=(V$4+Ayarlar!$C$6-1),Görevler!$D55&gt;=V$4),IF(V$4&lt;=Görevler!$C55+ROUND(Görevler!$F55*Görevler!$E55,0)-1,2,1),""))</f>
        <v/>
      </c>
      <c r="W55" s="22" t="str">
        <f aca="false">IF(Görevler!$F55="","",IF(AND(Görevler!$C55&lt;=(W$4+Ayarlar!$C$6-1),Görevler!$D55&gt;=W$4),IF(W$4&lt;=Görevler!$C55+ROUND(Görevler!$F55*Görevler!$E55,0)-1,2,1),""))</f>
        <v/>
      </c>
      <c r="X55" s="22" t="str">
        <f aca="false">IF(Görevler!$F55="","",IF(AND(Görevler!$C55&lt;=(X$4+Ayarlar!$C$6-1),Görevler!$D55&gt;=X$4),IF(X$4&lt;=Görevler!$C55+ROUND(Görevler!$F55*Görevler!$E55,0)-1,2,1),""))</f>
        <v/>
      </c>
      <c r="Y55" s="22" t="str">
        <f aca="false">IF(Görevler!$F55="","",IF(AND(Görevler!$C55&lt;=(Y$4+Ayarlar!$C$6-1),Görevler!$D55&gt;=Y$4),IF(Y$4&lt;=Görevler!$C55+ROUND(Görevler!$F55*Görevler!$E55,0)-1,2,1),""))</f>
        <v/>
      </c>
      <c r="Z55" s="22" t="str">
        <f aca="false">IF(Görevler!$F55="","",IF(AND(Görevler!$C55&lt;=(Z$4+Ayarlar!$C$6-1),Görevler!$D55&gt;=Z$4),IF(Z$4&lt;=Görevler!$C55+ROUND(Görevler!$F55*Görevler!$E55,0)-1,2,1),""))</f>
        <v/>
      </c>
      <c r="AA55" s="22" t="str">
        <f aca="false">IF(Görevler!$F55="","",IF(AND(Görevler!$C55&lt;=(AA$4+Ayarlar!$C$6-1),Görevler!$D55&gt;=AA$4),IF(AA$4&lt;=Görevler!$C55+ROUND(Görevler!$F55*Görevler!$E55,0)-1,2,1),""))</f>
        <v/>
      </c>
      <c r="AB55" s="22" t="str">
        <f aca="false">IF(Görevler!$F55="","",IF(AND(Görevler!$C55&lt;=(AB$4+Ayarlar!$C$6-1),Görevler!$D55&gt;=AB$4),IF(AB$4&lt;=Görevler!$C55+ROUND(Görevler!$F55*Görevler!$E55,0)-1,2,1),""))</f>
        <v/>
      </c>
      <c r="AC55" s="22" t="str">
        <f aca="false">IF(Görevler!$F55="","",IF(AND(Görevler!$C55&lt;=(AC$4+Ayarlar!$C$6-1),Görevler!$D55&gt;=AC$4),IF(AC$4&lt;=Görevler!$C55+ROUND(Görevler!$F55*Görevler!$E55,0)-1,2,1),""))</f>
        <v/>
      </c>
      <c r="AD55" s="22" t="str">
        <f aca="false">IF(Görevler!$F55="","",IF(AND(Görevler!$C55&lt;=(AD$4+Ayarlar!$C$6-1),Görevler!$D55&gt;=AD$4),IF(AD$4&lt;=Görevler!$C55+ROUND(Görevler!$F55*Görevler!$E55,0)-1,2,1),""))</f>
        <v/>
      </c>
      <c r="AE55" s="22" t="str">
        <f aca="false">IF(Görevler!$F55="","",IF(AND(Görevler!$C55&lt;=(AE$4+Ayarlar!$C$6-1),Görevler!$D55&gt;=AE$4),IF(AE$4&lt;=Görevler!$C55+ROUND(Görevler!$F55*Görevler!$E55,0)-1,2,1),""))</f>
        <v/>
      </c>
      <c r="AF55" s="22" t="str">
        <f aca="false">IF(Görevler!$F55="","",IF(AND(Görevler!$C55&lt;=(AF$4+Ayarlar!$C$6-1),Görevler!$D55&gt;=AF$4),IF(AF$4&lt;=Görevler!$C55+ROUND(Görevler!$F55*Görevler!$E55,0)-1,2,1),""))</f>
        <v/>
      </c>
      <c r="AG55" s="22" t="str">
        <f aca="false">IF(Görevler!$F55="","",IF(AND(Görevler!$C55&lt;=(AG$4+Ayarlar!$C$6-1),Görevler!$D55&gt;=AG$4),IF(AG$4&lt;=Görevler!$C55+ROUND(Görevler!$F55*Görevler!$E55,0)-1,2,1),""))</f>
        <v/>
      </c>
      <c r="AH55" s="22" t="str">
        <f aca="false">IF(Görevler!$F55="","",IF(AND(Görevler!$C55&lt;=(AH$4+Ayarlar!$C$6-1),Görevler!$D55&gt;=AH$4),IF(AH$4&lt;=Görevler!$C55+ROUND(Görevler!$F55*Görevler!$E55,0)-1,2,1),""))</f>
        <v/>
      </c>
      <c r="AI55" s="22" t="str">
        <f aca="false">IF(Görevler!$F55="","",IF(AND(Görevler!$C55&lt;=(AI$4+Ayarlar!$C$6-1),Görevler!$D55&gt;=AI$4),IF(AI$4&lt;=Görevler!$C55+ROUND(Görevler!$F55*Görevler!$E55,0)-1,2,1),""))</f>
        <v/>
      </c>
      <c r="AJ55" s="22" t="str">
        <f aca="false">IF(Görevler!$F55="","",IF(AND(Görevler!$C55&lt;=(AJ$4+Ayarlar!$C$6-1),Görevler!$D55&gt;=AJ$4),IF(AJ$4&lt;=Görevler!$C55+ROUND(Görevler!$F55*Görevler!$E55,0)-1,2,1),""))</f>
        <v/>
      </c>
      <c r="AK55" s="22" t="str">
        <f aca="false">IF(Görevler!$F55="","",IF(AND(Görevler!$C55&lt;=(AK$4+Ayarlar!$C$6-1),Görevler!$D55&gt;=AK$4),IF(AK$4&lt;=Görevler!$C55+ROUND(Görevler!$F55*Görevler!$E55,0)-1,2,1),""))</f>
        <v/>
      </c>
      <c r="AL55" s="22" t="str">
        <f aca="false">IF(Görevler!$F55="","",IF(AND(Görevler!$C55&lt;=(AL$4+Ayarlar!$C$6-1),Görevler!$D55&gt;=AL$4),IF(AL$4&lt;=Görevler!$C55+ROUND(Görevler!$F55*Görevler!$E55,0)-1,2,1),""))</f>
        <v/>
      </c>
      <c r="AM55" s="22" t="str">
        <f aca="false">IF(Görevler!$F55="","",IF(AND(Görevler!$C55&lt;=(AM$4+Ayarlar!$C$6-1),Görevler!$D55&gt;=AM$4),IF(AM$4&lt;=Görevler!$C55+ROUND(Görevler!$F55*Görevler!$E55,0)-1,2,1),""))</f>
        <v/>
      </c>
      <c r="AN55" s="22" t="str">
        <f aca="false">IF(Görevler!$F55="","",IF(AND(Görevler!$C55&lt;=(AN$4+Ayarlar!$C$6-1),Görevler!$D55&gt;=AN$4),IF(AN$4&lt;=Görevler!$C55+ROUND(Görevler!$F55*Görevler!$E55,0)-1,2,1),""))</f>
        <v/>
      </c>
      <c r="AO55" s="22" t="str">
        <f aca="false">IF(Görevler!$F55="","",IF(AND(Görevler!$C55&lt;=(AO$4+Ayarlar!$C$6-1),Görevler!$D55&gt;=AO$4),IF(AO$4&lt;=Görevler!$C55+ROUND(Görevler!$F55*Görevler!$E55,0)-1,2,1),""))</f>
        <v/>
      </c>
      <c r="AP55" s="22" t="str">
        <f aca="false">IF(Görevler!$F55="","",IF(AND(Görevler!$C55&lt;=(AP$4+Ayarlar!$C$6-1),Görevler!$D55&gt;=AP$4),IF(AP$4&lt;=Görevler!$C55+ROUND(Görevler!$F55*Görevler!$E55,0)-1,2,1),""))</f>
        <v/>
      </c>
      <c r="AQ55" s="22" t="str">
        <f aca="false">IF(Görevler!$F55="","",IF(AND(Görevler!$C55&lt;=(AQ$4+Ayarlar!$C$6-1),Görevler!$D55&gt;=AQ$4),IF(AQ$4&lt;=Görevler!$C55+ROUND(Görevler!$F55*Görevler!$E55,0)-1,2,1),""))</f>
        <v/>
      </c>
      <c r="AR55" s="22" t="str">
        <f aca="false">IF(Görevler!$F55="","",IF(AND(Görevler!$C55&lt;=(AR$4+Ayarlar!$C$6-1),Görevler!$D55&gt;=AR$4),IF(AR$4&lt;=Görevler!$C55+ROUND(Görevler!$F55*Görevler!$E55,0)-1,2,1),""))</f>
        <v/>
      </c>
      <c r="AS55" s="22" t="str">
        <f aca="false">IF(Görevler!$F55="","",IF(AND(Görevler!$C55&lt;=(AS$4+Ayarlar!$C$6-1),Görevler!$D55&gt;=AS$4),IF(AS$4&lt;=Görevler!$C55+ROUND(Görevler!$F55*Görevler!$E55,0)-1,2,1),""))</f>
        <v/>
      </c>
      <c r="AT55" s="22" t="str">
        <f aca="false">IF(Görevler!$F55="","",IF(AND(Görevler!$C55&lt;=(AT$4+Ayarlar!$C$6-1),Görevler!$D55&gt;=AT$4),IF(AT$4&lt;=Görevler!$C55+ROUND(Görevler!$F55*Görevler!$E55,0)-1,2,1),""))</f>
        <v/>
      </c>
      <c r="AU55" s="22" t="str">
        <f aca="false">IF(Görevler!$F55="","",IF(AND(Görevler!$C55&lt;=(AU$4+Ayarlar!$C$6-1),Görevler!$D55&gt;=AU$4),IF(AU$4&lt;=Görevler!$C55+ROUND(Görevler!$F55*Görevler!$E55,0)-1,2,1),""))</f>
        <v/>
      </c>
      <c r="AV55" s="22" t="str">
        <f aca="false">IF(Görevler!$F55="","",IF(AND(Görevler!$C55&lt;=(AV$4+Ayarlar!$C$6-1),Görevler!$D55&gt;=AV$4),IF(AV$4&lt;=Görevler!$C55+ROUND(Görevler!$F55*Görevler!$E55,0)-1,2,1),""))</f>
        <v/>
      </c>
      <c r="AW55" s="22" t="str">
        <f aca="false">IF(Görevler!$F55="","",IF(AND(Görevler!$C55&lt;=(AW$4+Ayarlar!$C$6-1),Görevler!$D55&gt;=AW$4),IF(AW$4&lt;=Görevler!$C55+ROUND(Görevler!$F55*Görevler!$E55,0)-1,2,1),""))</f>
        <v/>
      </c>
      <c r="AX55" s="22" t="str">
        <f aca="false">IF(Görevler!$F55="","",IF(AND(Görevler!$C55&lt;=(AX$4+Ayarlar!$C$6-1),Görevler!$D55&gt;=AX$4),IF(AX$4&lt;=Görevler!$C55+ROUND(Görevler!$F55*Görevler!$E55,0)-1,2,1),""))</f>
        <v/>
      </c>
      <c r="AY55" s="22" t="str">
        <f aca="false">IF(Görevler!$F55="","",IF(AND(Görevler!$C55&lt;=(AY$4+Ayarlar!$C$6-1),Görevler!$D55&gt;=AY$4),IF(AY$4&lt;=Görevler!$C55+ROUND(Görevler!$F55*Görevler!$E55,0)-1,2,1),""))</f>
        <v/>
      </c>
      <c r="AZ55" s="22" t="str">
        <f aca="false">IF(Görevler!$F55="","",IF(AND(Görevler!$C55&lt;=(AZ$4+Ayarlar!$C$6-1),Görevler!$D55&gt;=AZ$4),IF(AZ$4&lt;=Görevler!$C55+ROUND(Görevler!$F55*Görevler!$E55,0)-1,2,1),""))</f>
        <v/>
      </c>
      <c r="BA55" s="22" t="str">
        <f aca="false">IF(Görevler!$F55="","",IF(AND(Görevler!$C55&lt;=(BA$4+Ayarlar!$C$6-1),Görevler!$D55&gt;=BA$4),IF(BA$4&lt;=Görevler!$C55+ROUND(Görevler!$F55*Görevler!$E55,0)-1,2,1),""))</f>
        <v/>
      </c>
      <c r="BB55" s="22" t="str">
        <f aca="false">IF(Görevler!$F55="","",IF(AND(Görevler!$C55&lt;=(BB$4+Ayarlar!$C$6-1),Görevler!$D55&gt;=BB$4),IF(BB$4&lt;=Görevler!$C55+ROUND(Görevler!$F55*Görevler!$E55,0)-1,2,1),""))</f>
        <v/>
      </c>
      <c r="BC55" s="22" t="str">
        <f aca="false">IF(Görevler!$F55="","",IF(AND(Görevler!$C55&lt;=(BC$4+Ayarlar!$C$6-1),Görevler!$D55&gt;=BC$4),IF(BC$4&lt;=Görevler!$C55+ROUND(Görevler!$F55*Görevler!$E55,0)-1,2,1),""))</f>
        <v/>
      </c>
      <c r="BD55" s="22" t="str">
        <f aca="false">IF(Görevler!$F55="","",IF(AND(Görevler!$C55&lt;=(BD$4+Ayarlar!$C$6-1),Görevler!$D55&gt;=BD$4),IF(BD$4&lt;=Görevler!$C55+ROUND(Görevler!$F55*Görevler!$E55,0)-1,2,1),""))</f>
        <v/>
      </c>
      <c r="BE55" s="22" t="str">
        <f aca="false">IF(Görevler!$F55="","",IF(AND(Görevler!$C55&lt;=(BE$4+Ayarlar!$C$6-1),Görevler!$D55&gt;=BE$4),IF(BE$4&lt;=Görevler!$C55+ROUND(Görevler!$F55*Görevler!$E55,0)-1,2,1),""))</f>
        <v/>
      </c>
      <c r="BF55" s="22" t="str">
        <f aca="false">IF(Görevler!$F55="","",IF(AND(Görevler!$C55&lt;=(BF$4+Ayarlar!$C$6-1),Görevler!$D55&gt;=BF$4),IF(BF$4&lt;=Görevler!$C55+ROUND(Görevler!$F55*Görevler!$E55,0)-1,2,1),""))</f>
        <v/>
      </c>
      <c r="BG55" s="22" t="str">
        <f aca="false">IF(Görevler!$F55="","",IF(AND(Görevler!$C55&lt;=(BG$4+Ayarlar!$C$6-1),Görevler!$D55&gt;=BG$4),IF(BG$4&lt;=Görevler!$C55+ROUND(Görevler!$F55*Görevler!$E55,0)-1,2,1),""))</f>
        <v/>
      </c>
      <c r="BH55" s="22" t="str">
        <f aca="false">IF(Görevler!$F55="","",IF(AND(Görevler!$C55&lt;=(BH$4+Ayarlar!$C$6-1),Görevler!$D55&gt;=BH$4),IF(BH$4&lt;=Görevler!$C55+ROUND(Görevler!$F55*Görevler!$E55,0)-1,2,1),""))</f>
        <v/>
      </c>
      <c r="BI55" s="22" t="str">
        <f aca="false">IF(Görevler!$F55="","",IF(AND(Görevler!$C55&lt;=(BI$4+Ayarlar!$C$6-1),Görevler!$D55&gt;=BI$4),IF(BI$4&lt;=Görevler!$C55+ROUND(Görevler!$F55*Görevler!$E55,0)-1,2,1),""))</f>
        <v/>
      </c>
      <c r="BJ55" s="22" t="str">
        <f aca="false">IF(Görevler!$F55="","",IF(AND(Görevler!$C55&lt;=(BJ$4+Ayarlar!$C$6-1),Görevler!$D55&gt;=BJ$4),IF(BJ$4&lt;=Görevler!$C55+ROUND(Görevler!$F55*Görevler!$E55,0)-1,2,1),""))</f>
        <v/>
      </c>
    </row>
    <row r="56" customFormat="false" ht="15" hidden="false" customHeight="false" outlineLevel="0" collapsed="false">
      <c r="A56" s="21" t="str">
        <f aca="false">IF(Görevler!A56="","",Görevler!A56)</f>
        <v/>
      </c>
      <c r="B56" s="21" t="str">
        <f aca="false">IF(Görevler!A56="","",Görevler!B56&amp;"")</f>
        <v/>
      </c>
      <c r="C56" s="22" t="str">
        <f aca="false">IF(Görevler!$F56="","",IF(AND(Görevler!$C56&lt;=(C$4+Ayarlar!$C$6-1),Görevler!$D56&gt;=C$4),IF(C$4&lt;=Görevler!$C56+ROUND(Görevler!$F56*Görevler!$E56,0)-1,2,1),""))</f>
        <v/>
      </c>
      <c r="D56" s="22" t="str">
        <f aca="false">IF(Görevler!$F56="","",IF(AND(Görevler!$C56&lt;=(D$4+Ayarlar!$C$6-1),Görevler!$D56&gt;=D$4),IF(D$4&lt;=Görevler!$C56+ROUND(Görevler!$F56*Görevler!$E56,0)-1,2,1),""))</f>
        <v/>
      </c>
      <c r="E56" s="22" t="str">
        <f aca="false">IF(Görevler!$F56="","",IF(AND(Görevler!$C56&lt;=(E$4+Ayarlar!$C$6-1),Görevler!$D56&gt;=E$4),IF(E$4&lt;=Görevler!$C56+ROUND(Görevler!$F56*Görevler!$E56,0)-1,2,1),""))</f>
        <v/>
      </c>
      <c r="F56" s="22" t="str">
        <f aca="false">IF(Görevler!$F56="","",IF(AND(Görevler!$C56&lt;=(F$4+Ayarlar!$C$6-1),Görevler!$D56&gt;=F$4),IF(F$4&lt;=Görevler!$C56+ROUND(Görevler!$F56*Görevler!$E56,0)-1,2,1),""))</f>
        <v/>
      </c>
      <c r="G56" s="22" t="str">
        <f aca="false">IF(Görevler!$F56="","",IF(AND(Görevler!$C56&lt;=(G$4+Ayarlar!$C$6-1),Görevler!$D56&gt;=G$4),IF(G$4&lt;=Görevler!$C56+ROUND(Görevler!$F56*Görevler!$E56,0)-1,2,1),""))</f>
        <v/>
      </c>
      <c r="H56" s="22" t="str">
        <f aca="false">IF(Görevler!$F56="","",IF(AND(Görevler!$C56&lt;=(H$4+Ayarlar!$C$6-1),Görevler!$D56&gt;=H$4),IF(H$4&lt;=Görevler!$C56+ROUND(Görevler!$F56*Görevler!$E56,0)-1,2,1),""))</f>
        <v/>
      </c>
      <c r="I56" s="22" t="str">
        <f aca="false">IF(Görevler!$F56="","",IF(AND(Görevler!$C56&lt;=(I$4+Ayarlar!$C$6-1),Görevler!$D56&gt;=I$4),IF(I$4&lt;=Görevler!$C56+ROUND(Görevler!$F56*Görevler!$E56,0)-1,2,1),""))</f>
        <v/>
      </c>
      <c r="J56" s="22" t="str">
        <f aca="false">IF(Görevler!$F56="","",IF(AND(Görevler!$C56&lt;=(J$4+Ayarlar!$C$6-1),Görevler!$D56&gt;=J$4),IF(J$4&lt;=Görevler!$C56+ROUND(Görevler!$F56*Görevler!$E56,0)-1,2,1),""))</f>
        <v/>
      </c>
      <c r="K56" s="22" t="str">
        <f aca="false">IF(Görevler!$F56="","",IF(AND(Görevler!$C56&lt;=(K$4+Ayarlar!$C$6-1),Görevler!$D56&gt;=K$4),IF(K$4&lt;=Görevler!$C56+ROUND(Görevler!$F56*Görevler!$E56,0)-1,2,1),""))</f>
        <v/>
      </c>
      <c r="L56" s="22" t="str">
        <f aca="false">IF(Görevler!$F56="","",IF(AND(Görevler!$C56&lt;=(L$4+Ayarlar!$C$6-1),Görevler!$D56&gt;=L$4),IF(L$4&lt;=Görevler!$C56+ROUND(Görevler!$F56*Görevler!$E56,0)-1,2,1),""))</f>
        <v/>
      </c>
      <c r="M56" s="22" t="str">
        <f aca="false">IF(Görevler!$F56="","",IF(AND(Görevler!$C56&lt;=(M$4+Ayarlar!$C$6-1),Görevler!$D56&gt;=M$4),IF(M$4&lt;=Görevler!$C56+ROUND(Görevler!$F56*Görevler!$E56,0)-1,2,1),""))</f>
        <v/>
      </c>
      <c r="N56" s="22" t="str">
        <f aca="false">IF(Görevler!$F56="","",IF(AND(Görevler!$C56&lt;=(N$4+Ayarlar!$C$6-1),Görevler!$D56&gt;=N$4),IF(N$4&lt;=Görevler!$C56+ROUND(Görevler!$F56*Görevler!$E56,0)-1,2,1),""))</f>
        <v/>
      </c>
      <c r="O56" s="22" t="str">
        <f aca="false">IF(Görevler!$F56="","",IF(AND(Görevler!$C56&lt;=(O$4+Ayarlar!$C$6-1),Görevler!$D56&gt;=O$4),IF(O$4&lt;=Görevler!$C56+ROUND(Görevler!$F56*Görevler!$E56,0)-1,2,1),""))</f>
        <v/>
      </c>
      <c r="P56" s="22" t="str">
        <f aca="false">IF(Görevler!$F56="","",IF(AND(Görevler!$C56&lt;=(P$4+Ayarlar!$C$6-1),Görevler!$D56&gt;=P$4),IF(P$4&lt;=Görevler!$C56+ROUND(Görevler!$F56*Görevler!$E56,0)-1,2,1),""))</f>
        <v/>
      </c>
      <c r="Q56" s="22" t="str">
        <f aca="false">IF(Görevler!$F56="","",IF(AND(Görevler!$C56&lt;=(Q$4+Ayarlar!$C$6-1),Görevler!$D56&gt;=Q$4),IF(Q$4&lt;=Görevler!$C56+ROUND(Görevler!$F56*Görevler!$E56,0)-1,2,1),""))</f>
        <v/>
      </c>
      <c r="R56" s="22" t="str">
        <f aca="false">IF(Görevler!$F56="","",IF(AND(Görevler!$C56&lt;=(R$4+Ayarlar!$C$6-1),Görevler!$D56&gt;=R$4),IF(R$4&lt;=Görevler!$C56+ROUND(Görevler!$F56*Görevler!$E56,0)-1,2,1),""))</f>
        <v/>
      </c>
      <c r="S56" s="22" t="str">
        <f aca="false">IF(Görevler!$F56="","",IF(AND(Görevler!$C56&lt;=(S$4+Ayarlar!$C$6-1),Görevler!$D56&gt;=S$4),IF(S$4&lt;=Görevler!$C56+ROUND(Görevler!$F56*Görevler!$E56,0)-1,2,1),""))</f>
        <v/>
      </c>
      <c r="T56" s="22" t="str">
        <f aca="false">IF(Görevler!$F56="","",IF(AND(Görevler!$C56&lt;=(T$4+Ayarlar!$C$6-1),Görevler!$D56&gt;=T$4),IF(T$4&lt;=Görevler!$C56+ROUND(Görevler!$F56*Görevler!$E56,0)-1,2,1),""))</f>
        <v/>
      </c>
      <c r="U56" s="22" t="str">
        <f aca="false">IF(Görevler!$F56="","",IF(AND(Görevler!$C56&lt;=(U$4+Ayarlar!$C$6-1),Görevler!$D56&gt;=U$4),IF(U$4&lt;=Görevler!$C56+ROUND(Görevler!$F56*Görevler!$E56,0)-1,2,1),""))</f>
        <v/>
      </c>
      <c r="V56" s="22" t="str">
        <f aca="false">IF(Görevler!$F56="","",IF(AND(Görevler!$C56&lt;=(V$4+Ayarlar!$C$6-1),Görevler!$D56&gt;=V$4),IF(V$4&lt;=Görevler!$C56+ROUND(Görevler!$F56*Görevler!$E56,0)-1,2,1),""))</f>
        <v/>
      </c>
      <c r="W56" s="22" t="str">
        <f aca="false">IF(Görevler!$F56="","",IF(AND(Görevler!$C56&lt;=(W$4+Ayarlar!$C$6-1),Görevler!$D56&gt;=W$4),IF(W$4&lt;=Görevler!$C56+ROUND(Görevler!$F56*Görevler!$E56,0)-1,2,1),""))</f>
        <v/>
      </c>
      <c r="X56" s="22" t="str">
        <f aca="false">IF(Görevler!$F56="","",IF(AND(Görevler!$C56&lt;=(X$4+Ayarlar!$C$6-1),Görevler!$D56&gt;=X$4),IF(X$4&lt;=Görevler!$C56+ROUND(Görevler!$F56*Görevler!$E56,0)-1,2,1),""))</f>
        <v/>
      </c>
      <c r="Y56" s="22" t="str">
        <f aca="false">IF(Görevler!$F56="","",IF(AND(Görevler!$C56&lt;=(Y$4+Ayarlar!$C$6-1),Görevler!$D56&gt;=Y$4),IF(Y$4&lt;=Görevler!$C56+ROUND(Görevler!$F56*Görevler!$E56,0)-1,2,1),""))</f>
        <v/>
      </c>
      <c r="Z56" s="22" t="str">
        <f aca="false">IF(Görevler!$F56="","",IF(AND(Görevler!$C56&lt;=(Z$4+Ayarlar!$C$6-1),Görevler!$D56&gt;=Z$4),IF(Z$4&lt;=Görevler!$C56+ROUND(Görevler!$F56*Görevler!$E56,0)-1,2,1),""))</f>
        <v/>
      </c>
      <c r="AA56" s="22" t="str">
        <f aca="false">IF(Görevler!$F56="","",IF(AND(Görevler!$C56&lt;=(AA$4+Ayarlar!$C$6-1),Görevler!$D56&gt;=AA$4),IF(AA$4&lt;=Görevler!$C56+ROUND(Görevler!$F56*Görevler!$E56,0)-1,2,1),""))</f>
        <v/>
      </c>
      <c r="AB56" s="22" t="str">
        <f aca="false">IF(Görevler!$F56="","",IF(AND(Görevler!$C56&lt;=(AB$4+Ayarlar!$C$6-1),Görevler!$D56&gt;=AB$4),IF(AB$4&lt;=Görevler!$C56+ROUND(Görevler!$F56*Görevler!$E56,0)-1,2,1),""))</f>
        <v/>
      </c>
      <c r="AC56" s="22" t="str">
        <f aca="false">IF(Görevler!$F56="","",IF(AND(Görevler!$C56&lt;=(AC$4+Ayarlar!$C$6-1),Görevler!$D56&gt;=AC$4),IF(AC$4&lt;=Görevler!$C56+ROUND(Görevler!$F56*Görevler!$E56,0)-1,2,1),""))</f>
        <v/>
      </c>
      <c r="AD56" s="22" t="str">
        <f aca="false">IF(Görevler!$F56="","",IF(AND(Görevler!$C56&lt;=(AD$4+Ayarlar!$C$6-1),Görevler!$D56&gt;=AD$4),IF(AD$4&lt;=Görevler!$C56+ROUND(Görevler!$F56*Görevler!$E56,0)-1,2,1),""))</f>
        <v/>
      </c>
      <c r="AE56" s="22" t="str">
        <f aca="false">IF(Görevler!$F56="","",IF(AND(Görevler!$C56&lt;=(AE$4+Ayarlar!$C$6-1),Görevler!$D56&gt;=AE$4),IF(AE$4&lt;=Görevler!$C56+ROUND(Görevler!$F56*Görevler!$E56,0)-1,2,1),""))</f>
        <v/>
      </c>
      <c r="AF56" s="22" t="str">
        <f aca="false">IF(Görevler!$F56="","",IF(AND(Görevler!$C56&lt;=(AF$4+Ayarlar!$C$6-1),Görevler!$D56&gt;=AF$4),IF(AF$4&lt;=Görevler!$C56+ROUND(Görevler!$F56*Görevler!$E56,0)-1,2,1),""))</f>
        <v/>
      </c>
      <c r="AG56" s="22" t="str">
        <f aca="false">IF(Görevler!$F56="","",IF(AND(Görevler!$C56&lt;=(AG$4+Ayarlar!$C$6-1),Görevler!$D56&gt;=AG$4),IF(AG$4&lt;=Görevler!$C56+ROUND(Görevler!$F56*Görevler!$E56,0)-1,2,1),""))</f>
        <v/>
      </c>
      <c r="AH56" s="22" t="str">
        <f aca="false">IF(Görevler!$F56="","",IF(AND(Görevler!$C56&lt;=(AH$4+Ayarlar!$C$6-1),Görevler!$D56&gt;=AH$4),IF(AH$4&lt;=Görevler!$C56+ROUND(Görevler!$F56*Görevler!$E56,0)-1,2,1),""))</f>
        <v/>
      </c>
      <c r="AI56" s="22" t="str">
        <f aca="false">IF(Görevler!$F56="","",IF(AND(Görevler!$C56&lt;=(AI$4+Ayarlar!$C$6-1),Görevler!$D56&gt;=AI$4),IF(AI$4&lt;=Görevler!$C56+ROUND(Görevler!$F56*Görevler!$E56,0)-1,2,1),""))</f>
        <v/>
      </c>
      <c r="AJ56" s="22" t="str">
        <f aca="false">IF(Görevler!$F56="","",IF(AND(Görevler!$C56&lt;=(AJ$4+Ayarlar!$C$6-1),Görevler!$D56&gt;=AJ$4),IF(AJ$4&lt;=Görevler!$C56+ROUND(Görevler!$F56*Görevler!$E56,0)-1,2,1),""))</f>
        <v/>
      </c>
      <c r="AK56" s="22" t="str">
        <f aca="false">IF(Görevler!$F56="","",IF(AND(Görevler!$C56&lt;=(AK$4+Ayarlar!$C$6-1),Görevler!$D56&gt;=AK$4),IF(AK$4&lt;=Görevler!$C56+ROUND(Görevler!$F56*Görevler!$E56,0)-1,2,1),""))</f>
        <v/>
      </c>
      <c r="AL56" s="22" t="str">
        <f aca="false">IF(Görevler!$F56="","",IF(AND(Görevler!$C56&lt;=(AL$4+Ayarlar!$C$6-1),Görevler!$D56&gt;=AL$4),IF(AL$4&lt;=Görevler!$C56+ROUND(Görevler!$F56*Görevler!$E56,0)-1,2,1),""))</f>
        <v/>
      </c>
      <c r="AM56" s="22" t="str">
        <f aca="false">IF(Görevler!$F56="","",IF(AND(Görevler!$C56&lt;=(AM$4+Ayarlar!$C$6-1),Görevler!$D56&gt;=AM$4),IF(AM$4&lt;=Görevler!$C56+ROUND(Görevler!$F56*Görevler!$E56,0)-1,2,1),""))</f>
        <v/>
      </c>
      <c r="AN56" s="22" t="str">
        <f aca="false">IF(Görevler!$F56="","",IF(AND(Görevler!$C56&lt;=(AN$4+Ayarlar!$C$6-1),Görevler!$D56&gt;=AN$4),IF(AN$4&lt;=Görevler!$C56+ROUND(Görevler!$F56*Görevler!$E56,0)-1,2,1),""))</f>
        <v/>
      </c>
      <c r="AO56" s="22" t="str">
        <f aca="false">IF(Görevler!$F56="","",IF(AND(Görevler!$C56&lt;=(AO$4+Ayarlar!$C$6-1),Görevler!$D56&gt;=AO$4),IF(AO$4&lt;=Görevler!$C56+ROUND(Görevler!$F56*Görevler!$E56,0)-1,2,1),""))</f>
        <v/>
      </c>
      <c r="AP56" s="22" t="str">
        <f aca="false">IF(Görevler!$F56="","",IF(AND(Görevler!$C56&lt;=(AP$4+Ayarlar!$C$6-1),Görevler!$D56&gt;=AP$4),IF(AP$4&lt;=Görevler!$C56+ROUND(Görevler!$F56*Görevler!$E56,0)-1,2,1),""))</f>
        <v/>
      </c>
      <c r="AQ56" s="22" t="str">
        <f aca="false">IF(Görevler!$F56="","",IF(AND(Görevler!$C56&lt;=(AQ$4+Ayarlar!$C$6-1),Görevler!$D56&gt;=AQ$4),IF(AQ$4&lt;=Görevler!$C56+ROUND(Görevler!$F56*Görevler!$E56,0)-1,2,1),""))</f>
        <v/>
      </c>
      <c r="AR56" s="22" t="str">
        <f aca="false">IF(Görevler!$F56="","",IF(AND(Görevler!$C56&lt;=(AR$4+Ayarlar!$C$6-1),Görevler!$D56&gt;=AR$4),IF(AR$4&lt;=Görevler!$C56+ROUND(Görevler!$F56*Görevler!$E56,0)-1,2,1),""))</f>
        <v/>
      </c>
      <c r="AS56" s="22" t="str">
        <f aca="false">IF(Görevler!$F56="","",IF(AND(Görevler!$C56&lt;=(AS$4+Ayarlar!$C$6-1),Görevler!$D56&gt;=AS$4),IF(AS$4&lt;=Görevler!$C56+ROUND(Görevler!$F56*Görevler!$E56,0)-1,2,1),""))</f>
        <v/>
      </c>
      <c r="AT56" s="22" t="str">
        <f aca="false">IF(Görevler!$F56="","",IF(AND(Görevler!$C56&lt;=(AT$4+Ayarlar!$C$6-1),Görevler!$D56&gt;=AT$4),IF(AT$4&lt;=Görevler!$C56+ROUND(Görevler!$F56*Görevler!$E56,0)-1,2,1),""))</f>
        <v/>
      </c>
      <c r="AU56" s="22" t="str">
        <f aca="false">IF(Görevler!$F56="","",IF(AND(Görevler!$C56&lt;=(AU$4+Ayarlar!$C$6-1),Görevler!$D56&gt;=AU$4),IF(AU$4&lt;=Görevler!$C56+ROUND(Görevler!$F56*Görevler!$E56,0)-1,2,1),""))</f>
        <v/>
      </c>
      <c r="AV56" s="22" t="str">
        <f aca="false">IF(Görevler!$F56="","",IF(AND(Görevler!$C56&lt;=(AV$4+Ayarlar!$C$6-1),Görevler!$D56&gt;=AV$4),IF(AV$4&lt;=Görevler!$C56+ROUND(Görevler!$F56*Görevler!$E56,0)-1,2,1),""))</f>
        <v/>
      </c>
      <c r="AW56" s="22" t="str">
        <f aca="false">IF(Görevler!$F56="","",IF(AND(Görevler!$C56&lt;=(AW$4+Ayarlar!$C$6-1),Görevler!$D56&gt;=AW$4),IF(AW$4&lt;=Görevler!$C56+ROUND(Görevler!$F56*Görevler!$E56,0)-1,2,1),""))</f>
        <v/>
      </c>
      <c r="AX56" s="22" t="str">
        <f aca="false">IF(Görevler!$F56="","",IF(AND(Görevler!$C56&lt;=(AX$4+Ayarlar!$C$6-1),Görevler!$D56&gt;=AX$4),IF(AX$4&lt;=Görevler!$C56+ROUND(Görevler!$F56*Görevler!$E56,0)-1,2,1),""))</f>
        <v/>
      </c>
      <c r="AY56" s="22" t="str">
        <f aca="false">IF(Görevler!$F56="","",IF(AND(Görevler!$C56&lt;=(AY$4+Ayarlar!$C$6-1),Görevler!$D56&gt;=AY$4),IF(AY$4&lt;=Görevler!$C56+ROUND(Görevler!$F56*Görevler!$E56,0)-1,2,1),""))</f>
        <v/>
      </c>
      <c r="AZ56" s="22" t="str">
        <f aca="false">IF(Görevler!$F56="","",IF(AND(Görevler!$C56&lt;=(AZ$4+Ayarlar!$C$6-1),Görevler!$D56&gt;=AZ$4),IF(AZ$4&lt;=Görevler!$C56+ROUND(Görevler!$F56*Görevler!$E56,0)-1,2,1),""))</f>
        <v/>
      </c>
      <c r="BA56" s="22" t="str">
        <f aca="false">IF(Görevler!$F56="","",IF(AND(Görevler!$C56&lt;=(BA$4+Ayarlar!$C$6-1),Görevler!$D56&gt;=BA$4),IF(BA$4&lt;=Görevler!$C56+ROUND(Görevler!$F56*Görevler!$E56,0)-1,2,1),""))</f>
        <v/>
      </c>
      <c r="BB56" s="22" t="str">
        <f aca="false">IF(Görevler!$F56="","",IF(AND(Görevler!$C56&lt;=(BB$4+Ayarlar!$C$6-1),Görevler!$D56&gt;=BB$4),IF(BB$4&lt;=Görevler!$C56+ROUND(Görevler!$F56*Görevler!$E56,0)-1,2,1),""))</f>
        <v/>
      </c>
      <c r="BC56" s="22" t="str">
        <f aca="false">IF(Görevler!$F56="","",IF(AND(Görevler!$C56&lt;=(BC$4+Ayarlar!$C$6-1),Görevler!$D56&gt;=BC$4),IF(BC$4&lt;=Görevler!$C56+ROUND(Görevler!$F56*Görevler!$E56,0)-1,2,1),""))</f>
        <v/>
      </c>
      <c r="BD56" s="22" t="str">
        <f aca="false">IF(Görevler!$F56="","",IF(AND(Görevler!$C56&lt;=(BD$4+Ayarlar!$C$6-1),Görevler!$D56&gt;=BD$4),IF(BD$4&lt;=Görevler!$C56+ROUND(Görevler!$F56*Görevler!$E56,0)-1,2,1),""))</f>
        <v/>
      </c>
      <c r="BE56" s="22" t="str">
        <f aca="false">IF(Görevler!$F56="","",IF(AND(Görevler!$C56&lt;=(BE$4+Ayarlar!$C$6-1),Görevler!$D56&gt;=BE$4),IF(BE$4&lt;=Görevler!$C56+ROUND(Görevler!$F56*Görevler!$E56,0)-1,2,1),""))</f>
        <v/>
      </c>
      <c r="BF56" s="22" t="str">
        <f aca="false">IF(Görevler!$F56="","",IF(AND(Görevler!$C56&lt;=(BF$4+Ayarlar!$C$6-1),Görevler!$D56&gt;=BF$4),IF(BF$4&lt;=Görevler!$C56+ROUND(Görevler!$F56*Görevler!$E56,0)-1,2,1),""))</f>
        <v/>
      </c>
      <c r="BG56" s="22" t="str">
        <f aca="false">IF(Görevler!$F56="","",IF(AND(Görevler!$C56&lt;=(BG$4+Ayarlar!$C$6-1),Görevler!$D56&gt;=BG$4),IF(BG$4&lt;=Görevler!$C56+ROUND(Görevler!$F56*Görevler!$E56,0)-1,2,1),""))</f>
        <v/>
      </c>
      <c r="BH56" s="22" t="str">
        <f aca="false">IF(Görevler!$F56="","",IF(AND(Görevler!$C56&lt;=(BH$4+Ayarlar!$C$6-1),Görevler!$D56&gt;=BH$4),IF(BH$4&lt;=Görevler!$C56+ROUND(Görevler!$F56*Görevler!$E56,0)-1,2,1),""))</f>
        <v/>
      </c>
      <c r="BI56" s="22" t="str">
        <f aca="false">IF(Görevler!$F56="","",IF(AND(Görevler!$C56&lt;=(BI$4+Ayarlar!$C$6-1),Görevler!$D56&gt;=BI$4),IF(BI$4&lt;=Görevler!$C56+ROUND(Görevler!$F56*Görevler!$E56,0)-1,2,1),""))</f>
        <v/>
      </c>
      <c r="BJ56" s="22" t="str">
        <f aca="false">IF(Görevler!$F56="","",IF(AND(Görevler!$C56&lt;=(BJ$4+Ayarlar!$C$6-1),Görevler!$D56&gt;=BJ$4),IF(BJ$4&lt;=Görevler!$C56+ROUND(Görevler!$F56*Görevler!$E56,0)-1,2,1),""))</f>
        <v/>
      </c>
    </row>
    <row r="57" customFormat="false" ht="15" hidden="false" customHeight="false" outlineLevel="0" collapsed="false">
      <c r="A57" s="21" t="str">
        <f aca="false">IF(Görevler!A57="","",Görevler!A57)</f>
        <v/>
      </c>
      <c r="B57" s="21" t="str">
        <f aca="false">IF(Görevler!A57="","",Görevler!B57&amp;"")</f>
        <v/>
      </c>
      <c r="C57" s="22" t="str">
        <f aca="false">IF(Görevler!$F57="","",IF(AND(Görevler!$C57&lt;=(C$4+Ayarlar!$C$6-1),Görevler!$D57&gt;=C$4),IF(C$4&lt;=Görevler!$C57+ROUND(Görevler!$F57*Görevler!$E57,0)-1,2,1),""))</f>
        <v/>
      </c>
      <c r="D57" s="22" t="str">
        <f aca="false">IF(Görevler!$F57="","",IF(AND(Görevler!$C57&lt;=(D$4+Ayarlar!$C$6-1),Görevler!$D57&gt;=D$4),IF(D$4&lt;=Görevler!$C57+ROUND(Görevler!$F57*Görevler!$E57,0)-1,2,1),""))</f>
        <v/>
      </c>
      <c r="E57" s="22" t="str">
        <f aca="false">IF(Görevler!$F57="","",IF(AND(Görevler!$C57&lt;=(E$4+Ayarlar!$C$6-1),Görevler!$D57&gt;=E$4),IF(E$4&lt;=Görevler!$C57+ROUND(Görevler!$F57*Görevler!$E57,0)-1,2,1),""))</f>
        <v/>
      </c>
      <c r="F57" s="22" t="str">
        <f aca="false">IF(Görevler!$F57="","",IF(AND(Görevler!$C57&lt;=(F$4+Ayarlar!$C$6-1),Görevler!$D57&gt;=F$4),IF(F$4&lt;=Görevler!$C57+ROUND(Görevler!$F57*Görevler!$E57,0)-1,2,1),""))</f>
        <v/>
      </c>
      <c r="G57" s="22" t="str">
        <f aca="false">IF(Görevler!$F57="","",IF(AND(Görevler!$C57&lt;=(G$4+Ayarlar!$C$6-1),Görevler!$D57&gt;=G$4),IF(G$4&lt;=Görevler!$C57+ROUND(Görevler!$F57*Görevler!$E57,0)-1,2,1),""))</f>
        <v/>
      </c>
      <c r="H57" s="22" t="str">
        <f aca="false">IF(Görevler!$F57="","",IF(AND(Görevler!$C57&lt;=(H$4+Ayarlar!$C$6-1),Görevler!$D57&gt;=H$4),IF(H$4&lt;=Görevler!$C57+ROUND(Görevler!$F57*Görevler!$E57,0)-1,2,1),""))</f>
        <v/>
      </c>
      <c r="I57" s="22" t="str">
        <f aca="false">IF(Görevler!$F57="","",IF(AND(Görevler!$C57&lt;=(I$4+Ayarlar!$C$6-1),Görevler!$D57&gt;=I$4),IF(I$4&lt;=Görevler!$C57+ROUND(Görevler!$F57*Görevler!$E57,0)-1,2,1),""))</f>
        <v/>
      </c>
      <c r="J57" s="22" t="str">
        <f aca="false">IF(Görevler!$F57="","",IF(AND(Görevler!$C57&lt;=(J$4+Ayarlar!$C$6-1),Görevler!$D57&gt;=J$4),IF(J$4&lt;=Görevler!$C57+ROUND(Görevler!$F57*Görevler!$E57,0)-1,2,1),""))</f>
        <v/>
      </c>
      <c r="K57" s="22" t="str">
        <f aca="false">IF(Görevler!$F57="","",IF(AND(Görevler!$C57&lt;=(K$4+Ayarlar!$C$6-1),Görevler!$D57&gt;=K$4),IF(K$4&lt;=Görevler!$C57+ROUND(Görevler!$F57*Görevler!$E57,0)-1,2,1),""))</f>
        <v/>
      </c>
      <c r="L57" s="22" t="str">
        <f aca="false">IF(Görevler!$F57="","",IF(AND(Görevler!$C57&lt;=(L$4+Ayarlar!$C$6-1),Görevler!$D57&gt;=L$4),IF(L$4&lt;=Görevler!$C57+ROUND(Görevler!$F57*Görevler!$E57,0)-1,2,1),""))</f>
        <v/>
      </c>
      <c r="M57" s="22" t="str">
        <f aca="false">IF(Görevler!$F57="","",IF(AND(Görevler!$C57&lt;=(M$4+Ayarlar!$C$6-1),Görevler!$D57&gt;=M$4),IF(M$4&lt;=Görevler!$C57+ROUND(Görevler!$F57*Görevler!$E57,0)-1,2,1),""))</f>
        <v/>
      </c>
      <c r="N57" s="22" t="str">
        <f aca="false">IF(Görevler!$F57="","",IF(AND(Görevler!$C57&lt;=(N$4+Ayarlar!$C$6-1),Görevler!$D57&gt;=N$4),IF(N$4&lt;=Görevler!$C57+ROUND(Görevler!$F57*Görevler!$E57,0)-1,2,1),""))</f>
        <v/>
      </c>
      <c r="O57" s="22" t="str">
        <f aca="false">IF(Görevler!$F57="","",IF(AND(Görevler!$C57&lt;=(O$4+Ayarlar!$C$6-1),Görevler!$D57&gt;=O$4),IF(O$4&lt;=Görevler!$C57+ROUND(Görevler!$F57*Görevler!$E57,0)-1,2,1),""))</f>
        <v/>
      </c>
      <c r="P57" s="22" t="str">
        <f aca="false">IF(Görevler!$F57="","",IF(AND(Görevler!$C57&lt;=(P$4+Ayarlar!$C$6-1),Görevler!$D57&gt;=P$4),IF(P$4&lt;=Görevler!$C57+ROUND(Görevler!$F57*Görevler!$E57,0)-1,2,1),""))</f>
        <v/>
      </c>
      <c r="Q57" s="22" t="str">
        <f aca="false">IF(Görevler!$F57="","",IF(AND(Görevler!$C57&lt;=(Q$4+Ayarlar!$C$6-1),Görevler!$D57&gt;=Q$4),IF(Q$4&lt;=Görevler!$C57+ROUND(Görevler!$F57*Görevler!$E57,0)-1,2,1),""))</f>
        <v/>
      </c>
      <c r="R57" s="22" t="str">
        <f aca="false">IF(Görevler!$F57="","",IF(AND(Görevler!$C57&lt;=(R$4+Ayarlar!$C$6-1),Görevler!$D57&gt;=R$4),IF(R$4&lt;=Görevler!$C57+ROUND(Görevler!$F57*Görevler!$E57,0)-1,2,1),""))</f>
        <v/>
      </c>
      <c r="S57" s="22" t="str">
        <f aca="false">IF(Görevler!$F57="","",IF(AND(Görevler!$C57&lt;=(S$4+Ayarlar!$C$6-1),Görevler!$D57&gt;=S$4),IF(S$4&lt;=Görevler!$C57+ROUND(Görevler!$F57*Görevler!$E57,0)-1,2,1),""))</f>
        <v/>
      </c>
      <c r="T57" s="22" t="str">
        <f aca="false">IF(Görevler!$F57="","",IF(AND(Görevler!$C57&lt;=(T$4+Ayarlar!$C$6-1),Görevler!$D57&gt;=T$4),IF(T$4&lt;=Görevler!$C57+ROUND(Görevler!$F57*Görevler!$E57,0)-1,2,1),""))</f>
        <v/>
      </c>
      <c r="U57" s="22" t="str">
        <f aca="false">IF(Görevler!$F57="","",IF(AND(Görevler!$C57&lt;=(U$4+Ayarlar!$C$6-1),Görevler!$D57&gt;=U$4),IF(U$4&lt;=Görevler!$C57+ROUND(Görevler!$F57*Görevler!$E57,0)-1,2,1),""))</f>
        <v/>
      </c>
      <c r="V57" s="22" t="str">
        <f aca="false">IF(Görevler!$F57="","",IF(AND(Görevler!$C57&lt;=(V$4+Ayarlar!$C$6-1),Görevler!$D57&gt;=V$4),IF(V$4&lt;=Görevler!$C57+ROUND(Görevler!$F57*Görevler!$E57,0)-1,2,1),""))</f>
        <v/>
      </c>
      <c r="W57" s="22" t="str">
        <f aca="false">IF(Görevler!$F57="","",IF(AND(Görevler!$C57&lt;=(W$4+Ayarlar!$C$6-1),Görevler!$D57&gt;=W$4),IF(W$4&lt;=Görevler!$C57+ROUND(Görevler!$F57*Görevler!$E57,0)-1,2,1),""))</f>
        <v/>
      </c>
      <c r="X57" s="22" t="str">
        <f aca="false">IF(Görevler!$F57="","",IF(AND(Görevler!$C57&lt;=(X$4+Ayarlar!$C$6-1),Görevler!$D57&gt;=X$4),IF(X$4&lt;=Görevler!$C57+ROUND(Görevler!$F57*Görevler!$E57,0)-1,2,1),""))</f>
        <v/>
      </c>
      <c r="Y57" s="22" t="str">
        <f aca="false">IF(Görevler!$F57="","",IF(AND(Görevler!$C57&lt;=(Y$4+Ayarlar!$C$6-1),Görevler!$D57&gt;=Y$4),IF(Y$4&lt;=Görevler!$C57+ROUND(Görevler!$F57*Görevler!$E57,0)-1,2,1),""))</f>
        <v/>
      </c>
      <c r="Z57" s="22" t="str">
        <f aca="false">IF(Görevler!$F57="","",IF(AND(Görevler!$C57&lt;=(Z$4+Ayarlar!$C$6-1),Görevler!$D57&gt;=Z$4),IF(Z$4&lt;=Görevler!$C57+ROUND(Görevler!$F57*Görevler!$E57,0)-1,2,1),""))</f>
        <v/>
      </c>
      <c r="AA57" s="22" t="str">
        <f aca="false">IF(Görevler!$F57="","",IF(AND(Görevler!$C57&lt;=(AA$4+Ayarlar!$C$6-1),Görevler!$D57&gt;=AA$4),IF(AA$4&lt;=Görevler!$C57+ROUND(Görevler!$F57*Görevler!$E57,0)-1,2,1),""))</f>
        <v/>
      </c>
      <c r="AB57" s="22" t="str">
        <f aca="false">IF(Görevler!$F57="","",IF(AND(Görevler!$C57&lt;=(AB$4+Ayarlar!$C$6-1),Görevler!$D57&gt;=AB$4),IF(AB$4&lt;=Görevler!$C57+ROUND(Görevler!$F57*Görevler!$E57,0)-1,2,1),""))</f>
        <v/>
      </c>
      <c r="AC57" s="22" t="str">
        <f aca="false">IF(Görevler!$F57="","",IF(AND(Görevler!$C57&lt;=(AC$4+Ayarlar!$C$6-1),Görevler!$D57&gt;=AC$4),IF(AC$4&lt;=Görevler!$C57+ROUND(Görevler!$F57*Görevler!$E57,0)-1,2,1),""))</f>
        <v/>
      </c>
      <c r="AD57" s="22" t="str">
        <f aca="false">IF(Görevler!$F57="","",IF(AND(Görevler!$C57&lt;=(AD$4+Ayarlar!$C$6-1),Görevler!$D57&gt;=AD$4),IF(AD$4&lt;=Görevler!$C57+ROUND(Görevler!$F57*Görevler!$E57,0)-1,2,1),""))</f>
        <v/>
      </c>
      <c r="AE57" s="22" t="str">
        <f aca="false">IF(Görevler!$F57="","",IF(AND(Görevler!$C57&lt;=(AE$4+Ayarlar!$C$6-1),Görevler!$D57&gt;=AE$4),IF(AE$4&lt;=Görevler!$C57+ROUND(Görevler!$F57*Görevler!$E57,0)-1,2,1),""))</f>
        <v/>
      </c>
      <c r="AF57" s="22" t="str">
        <f aca="false">IF(Görevler!$F57="","",IF(AND(Görevler!$C57&lt;=(AF$4+Ayarlar!$C$6-1),Görevler!$D57&gt;=AF$4),IF(AF$4&lt;=Görevler!$C57+ROUND(Görevler!$F57*Görevler!$E57,0)-1,2,1),""))</f>
        <v/>
      </c>
      <c r="AG57" s="22" t="str">
        <f aca="false">IF(Görevler!$F57="","",IF(AND(Görevler!$C57&lt;=(AG$4+Ayarlar!$C$6-1),Görevler!$D57&gt;=AG$4),IF(AG$4&lt;=Görevler!$C57+ROUND(Görevler!$F57*Görevler!$E57,0)-1,2,1),""))</f>
        <v/>
      </c>
      <c r="AH57" s="22" t="str">
        <f aca="false">IF(Görevler!$F57="","",IF(AND(Görevler!$C57&lt;=(AH$4+Ayarlar!$C$6-1),Görevler!$D57&gt;=AH$4),IF(AH$4&lt;=Görevler!$C57+ROUND(Görevler!$F57*Görevler!$E57,0)-1,2,1),""))</f>
        <v/>
      </c>
      <c r="AI57" s="22" t="str">
        <f aca="false">IF(Görevler!$F57="","",IF(AND(Görevler!$C57&lt;=(AI$4+Ayarlar!$C$6-1),Görevler!$D57&gt;=AI$4),IF(AI$4&lt;=Görevler!$C57+ROUND(Görevler!$F57*Görevler!$E57,0)-1,2,1),""))</f>
        <v/>
      </c>
      <c r="AJ57" s="22" t="str">
        <f aca="false">IF(Görevler!$F57="","",IF(AND(Görevler!$C57&lt;=(AJ$4+Ayarlar!$C$6-1),Görevler!$D57&gt;=AJ$4),IF(AJ$4&lt;=Görevler!$C57+ROUND(Görevler!$F57*Görevler!$E57,0)-1,2,1),""))</f>
        <v/>
      </c>
      <c r="AK57" s="22" t="str">
        <f aca="false">IF(Görevler!$F57="","",IF(AND(Görevler!$C57&lt;=(AK$4+Ayarlar!$C$6-1),Görevler!$D57&gt;=AK$4),IF(AK$4&lt;=Görevler!$C57+ROUND(Görevler!$F57*Görevler!$E57,0)-1,2,1),""))</f>
        <v/>
      </c>
      <c r="AL57" s="22" t="str">
        <f aca="false">IF(Görevler!$F57="","",IF(AND(Görevler!$C57&lt;=(AL$4+Ayarlar!$C$6-1),Görevler!$D57&gt;=AL$4),IF(AL$4&lt;=Görevler!$C57+ROUND(Görevler!$F57*Görevler!$E57,0)-1,2,1),""))</f>
        <v/>
      </c>
      <c r="AM57" s="22" t="str">
        <f aca="false">IF(Görevler!$F57="","",IF(AND(Görevler!$C57&lt;=(AM$4+Ayarlar!$C$6-1),Görevler!$D57&gt;=AM$4),IF(AM$4&lt;=Görevler!$C57+ROUND(Görevler!$F57*Görevler!$E57,0)-1,2,1),""))</f>
        <v/>
      </c>
      <c r="AN57" s="22" t="str">
        <f aca="false">IF(Görevler!$F57="","",IF(AND(Görevler!$C57&lt;=(AN$4+Ayarlar!$C$6-1),Görevler!$D57&gt;=AN$4),IF(AN$4&lt;=Görevler!$C57+ROUND(Görevler!$F57*Görevler!$E57,0)-1,2,1),""))</f>
        <v/>
      </c>
      <c r="AO57" s="22" t="str">
        <f aca="false">IF(Görevler!$F57="","",IF(AND(Görevler!$C57&lt;=(AO$4+Ayarlar!$C$6-1),Görevler!$D57&gt;=AO$4),IF(AO$4&lt;=Görevler!$C57+ROUND(Görevler!$F57*Görevler!$E57,0)-1,2,1),""))</f>
        <v/>
      </c>
      <c r="AP57" s="22" t="str">
        <f aca="false">IF(Görevler!$F57="","",IF(AND(Görevler!$C57&lt;=(AP$4+Ayarlar!$C$6-1),Görevler!$D57&gt;=AP$4),IF(AP$4&lt;=Görevler!$C57+ROUND(Görevler!$F57*Görevler!$E57,0)-1,2,1),""))</f>
        <v/>
      </c>
      <c r="AQ57" s="22" t="str">
        <f aca="false">IF(Görevler!$F57="","",IF(AND(Görevler!$C57&lt;=(AQ$4+Ayarlar!$C$6-1),Görevler!$D57&gt;=AQ$4),IF(AQ$4&lt;=Görevler!$C57+ROUND(Görevler!$F57*Görevler!$E57,0)-1,2,1),""))</f>
        <v/>
      </c>
      <c r="AR57" s="22" t="str">
        <f aca="false">IF(Görevler!$F57="","",IF(AND(Görevler!$C57&lt;=(AR$4+Ayarlar!$C$6-1),Görevler!$D57&gt;=AR$4),IF(AR$4&lt;=Görevler!$C57+ROUND(Görevler!$F57*Görevler!$E57,0)-1,2,1),""))</f>
        <v/>
      </c>
      <c r="AS57" s="22" t="str">
        <f aca="false">IF(Görevler!$F57="","",IF(AND(Görevler!$C57&lt;=(AS$4+Ayarlar!$C$6-1),Görevler!$D57&gt;=AS$4),IF(AS$4&lt;=Görevler!$C57+ROUND(Görevler!$F57*Görevler!$E57,0)-1,2,1),""))</f>
        <v/>
      </c>
      <c r="AT57" s="22" t="str">
        <f aca="false">IF(Görevler!$F57="","",IF(AND(Görevler!$C57&lt;=(AT$4+Ayarlar!$C$6-1),Görevler!$D57&gt;=AT$4),IF(AT$4&lt;=Görevler!$C57+ROUND(Görevler!$F57*Görevler!$E57,0)-1,2,1),""))</f>
        <v/>
      </c>
      <c r="AU57" s="22" t="str">
        <f aca="false">IF(Görevler!$F57="","",IF(AND(Görevler!$C57&lt;=(AU$4+Ayarlar!$C$6-1),Görevler!$D57&gt;=AU$4),IF(AU$4&lt;=Görevler!$C57+ROUND(Görevler!$F57*Görevler!$E57,0)-1,2,1),""))</f>
        <v/>
      </c>
      <c r="AV57" s="22" t="str">
        <f aca="false">IF(Görevler!$F57="","",IF(AND(Görevler!$C57&lt;=(AV$4+Ayarlar!$C$6-1),Görevler!$D57&gt;=AV$4),IF(AV$4&lt;=Görevler!$C57+ROUND(Görevler!$F57*Görevler!$E57,0)-1,2,1),""))</f>
        <v/>
      </c>
      <c r="AW57" s="22" t="str">
        <f aca="false">IF(Görevler!$F57="","",IF(AND(Görevler!$C57&lt;=(AW$4+Ayarlar!$C$6-1),Görevler!$D57&gt;=AW$4),IF(AW$4&lt;=Görevler!$C57+ROUND(Görevler!$F57*Görevler!$E57,0)-1,2,1),""))</f>
        <v/>
      </c>
      <c r="AX57" s="22" t="str">
        <f aca="false">IF(Görevler!$F57="","",IF(AND(Görevler!$C57&lt;=(AX$4+Ayarlar!$C$6-1),Görevler!$D57&gt;=AX$4),IF(AX$4&lt;=Görevler!$C57+ROUND(Görevler!$F57*Görevler!$E57,0)-1,2,1),""))</f>
        <v/>
      </c>
      <c r="AY57" s="22" t="str">
        <f aca="false">IF(Görevler!$F57="","",IF(AND(Görevler!$C57&lt;=(AY$4+Ayarlar!$C$6-1),Görevler!$D57&gt;=AY$4),IF(AY$4&lt;=Görevler!$C57+ROUND(Görevler!$F57*Görevler!$E57,0)-1,2,1),""))</f>
        <v/>
      </c>
      <c r="AZ57" s="22" t="str">
        <f aca="false">IF(Görevler!$F57="","",IF(AND(Görevler!$C57&lt;=(AZ$4+Ayarlar!$C$6-1),Görevler!$D57&gt;=AZ$4),IF(AZ$4&lt;=Görevler!$C57+ROUND(Görevler!$F57*Görevler!$E57,0)-1,2,1),""))</f>
        <v/>
      </c>
      <c r="BA57" s="22" t="str">
        <f aca="false">IF(Görevler!$F57="","",IF(AND(Görevler!$C57&lt;=(BA$4+Ayarlar!$C$6-1),Görevler!$D57&gt;=BA$4),IF(BA$4&lt;=Görevler!$C57+ROUND(Görevler!$F57*Görevler!$E57,0)-1,2,1),""))</f>
        <v/>
      </c>
      <c r="BB57" s="22" t="str">
        <f aca="false">IF(Görevler!$F57="","",IF(AND(Görevler!$C57&lt;=(BB$4+Ayarlar!$C$6-1),Görevler!$D57&gt;=BB$4),IF(BB$4&lt;=Görevler!$C57+ROUND(Görevler!$F57*Görevler!$E57,0)-1,2,1),""))</f>
        <v/>
      </c>
      <c r="BC57" s="22" t="str">
        <f aca="false">IF(Görevler!$F57="","",IF(AND(Görevler!$C57&lt;=(BC$4+Ayarlar!$C$6-1),Görevler!$D57&gt;=BC$4),IF(BC$4&lt;=Görevler!$C57+ROUND(Görevler!$F57*Görevler!$E57,0)-1,2,1),""))</f>
        <v/>
      </c>
      <c r="BD57" s="22" t="str">
        <f aca="false">IF(Görevler!$F57="","",IF(AND(Görevler!$C57&lt;=(BD$4+Ayarlar!$C$6-1),Görevler!$D57&gt;=BD$4),IF(BD$4&lt;=Görevler!$C57+ROUND(Görevler!$F57*Görevler!$E57,0)-1,2,1),""))</f>
        <v/>
      </c>
      <c r="BE57" s="22" t="str">
        <f aca="false">IF(Görevler!$F57="","",IF(AND(Görevler!$C57&lt;=(BE$4+Ayarlar!$C$6-1),Görevler!$D57&gt;=BE$4),IF(BE$4&lt;=Görevler!$C57+ROUND(Görevler!$F57*Görevler!$E57,0)-1,2,1),""))</f>
        <v/>
      </c>
      <c r="BF57" s="22" t="str">
        <f aca="false">IF(Görevler!$F57="","",IF(AND(Görevler!$C57&lt;=(BF$4+Ayarlar!$C$6-1),Görevler!$D57&gt;=BF$4),IF(BF$4&lt;=Görevler!$C57+ROUND(Görevler!$F57*Görevler!$E57,0)-1,2,1),""))</f>
        <v/>
      </c>
      <c r="BG57" s="22" t="str">
        <f aca="false">IF(Görevler!$F57="","",IF(AND(Görevler!$C57&lt;=(BG$4+Ayarlar!$C$6-1),Görevler!$D57&gt;=BG$4),IF(BG$4&lt;=Görevler!$C57+ROUND(Görevler!$F57*Görevler!$E57,0)-1,2,1),""))</f>
        <v/>
      </c>
      <c r="BH57" s="22" t="str">
        <f aca="false">IF(Görevler!$F57="","",IF(AND(Görevler!$C57&lt;=(BH$4+Ayarlar!$C$6-1),Görevler!$D57&gt;=BH$4),IF(BH$4&lt;=Görevler!$C57+ROUND(Görevler!$F57*Görevler!$E57,0)-1,2,1),""))</f>
        <v/>
      </c>
      <c r="BI57" s="22" t="str">
        <f aca="false">IF(Görevler!$F57="","",IF(AND(Görevler!$C57&lt;=(BI$4+Ayarlar!$C$6-1),Görevler!$D57&gt;=BI$4),IF(BI$4&lt;=Görevler!$C57+ROUND(Görevler!$F57*Görevler!$E57,0)-1,2,1),""))</f>
        <v/>
      </c>
      <c r="BJ57" s="22" t="str">
        <f aca="false">IF(Görevler!$F57="","",IF(AND(Görevler!$C57&lt;=(BJ$4+Ayarlar!$C$6-1),Görevler!$D57&gt;=BJ$4),IF(BJ$4&lt;=Görevler!$C57+ROUND(Görevler!$F57*Görevler!$E57,0)-1,2,1),""))</f>
        <v/>
      </c>
    </row>
    <row r="58" customFormat="false" ht="15" hidden="false" customHeight="false" outlineLevel="0" collapsed="false">
      <c r="A58" s="21" t="str">
        <f aca="false">IF(Görevler!A58="","",Görevler!A58)</f>
        <v/>
      </c>
      <c r="B58" s="21" t="str">
        <f aca="false">IF(Görevler!A58="","",Görevler!B58&amp;"")</f>
        <v/>
      </c>
      <c r="C58" s="22" t="str">
        <f aca="false">IF(Görevler!$F58="","",IF(AND(Görevler!$C58&lt;=(C$4+Ayarlar!$C$6-1),Görevler!$D58&gt;=C$4),IF(C$4&lt;=Görevler!$C58+ROUND(Görevler!$F58*Görevler!$E58,0)-1,2,1),""))</f>
        <v/>
      </c>
      <c r="D58" s="22" t="str">
        <f aca="false">IF(Görevler!$F58="","",IF(AND(Görevler!$C58&lt;=(D$4+Ayarlar!$C$6-1),Görevler!$D58&gt;=D$4),IF(D$4&lt;=Görevler!$C58+ROUND(Görevler!$F58*Görevler!$E58,0)-1,2,1),""))</f>
        <v/>
      </c>
      <c r="E58" s="22" t="str">
        <f aca="false">IF(Görevler!$F58="","",IF(AND(Görevler!$C58&lt;=(E$4+Ayarlar!$C$6-1),Görevler!$D58&gt;=E$4),IF(E$4&lt;=Görevler!$C58+ROUND(Görevler!$F58*Görevler!$E58,0)-1,2,1),""))</f>
        <v/>
      </c>
      <c r="F58" s="22" t="str">
        <f aca="false">IF(Görevler!$F58="","",IF(AND(Görevler!$C58&lt;=(F$4+Ayarlar!$C$6-1),Görevler!$D58&gt;=F$4),IF(F$4&lt;=Görevler!$C58+ROUND(Görevler!$F58*Görevler!$E58,0)-1,2,1),""))</f>
        <v/>
      </c>
      <c r="G58" s="22" t="str">
        <f aca="false">IF(Görevler!$F58="","",IF(AND(Görevler!$C58&lt;=(G$4+Ayarlar!$C$6-1),Görevler!$D58&gt;=G$4),IF(G$4&lt;=Görevler!$C58+ROUND(Görevler!$F58*Görevler!$E58,0)-1,2,1),""))</f>
        <v/>
      </c>
      <c r="H58" s="22" t="str">
        <f aca="false">IF(Görevler!$F58="","",IF(AND(Görevler!$C58&lt;=(H$4+Ayarlar!$C$6-1),Görevler!$D58&gt;=H$4),IF(H$4&lt;=Görevler!$C58+ROUND(Görevler!$F58*Görevler!$E58,0)-1,2,1),""))</f>
        <v/>
      </c>
      <c r="I58" s="22" t="str">
        <f aca="false">IF(Görevler!$F58="","",IF(AND(Görevler!$C58&lt;=(I$4+Ayarlar!$C$6-1),Görevler!$D58&gt;=I$4),IF(I$4&lt;=Görevler!$C58+ROUND(Görevler!$F58*Görevler!$E58,0)-1,2,1),""))</f>
        <v/>
      </c>
      <c r="J58" s="22" t="str">
        <f aca="false">IF(Görevler!$F58="","",IF(AND(Görevler!$C58&lt;=(J$4+Ayarlar!$C$6-1),Görevler!$D58&gt;=J$4),IF(J$4&lt;=Görevler!$C58+ROUND(Görevler!$F58*Görevler!$E58,0)-1,2,1),""))</f>
        <v/>
      </c>
      <c r="K58" s="22" t="str">
        <f aca="false">IF(Görevler!$F58="","",IF(AND(Görevler!$C58&lt;=(K$4+Ayarlar!$C$6-1),Görevler!$D58&gt;=K$4),IF(K$4&lt;=Görevler!$C58+ROUND(Görevler!$F58*Görevler!$E58,0)-1,2,1),""))</f>
        <v/>
      </c>
      <c r="L58" s="22" t="str">
        <f aca="false">IF(Görevler!$F58="","",IF(AND(Görevler!$C58&lt;=(L$4+Ayarlar!$C$6-1),Görevler!$D58&gt;=L$4),IF(L$4&lt;=Görevler!$C58+ROUND(Görevler!$F58*Görevler!$E58,0)-1,2,1),""))</f>
        <v/>
      </c>
      <c r="M58" s="22" t="str">
        <f aca="false">IF(Görevler!$F58="","",IF(AND(Görevler!$C58&lt;=(M$4+Ayarlar!$C$6-1),Görevler!$D58&gt;=M$4),IF(M$4&lt;=Görevler!$C58+ROUND(Görevler!$F58*Görevler!$E58,0)-1,2,1),""))</f>
        <v/>
      </c>
      <c r="N58" s="22" t="str">
        <f aca="false">IF(Görevler!$F58="","",IF(AND(Görevler!$C58&lt;=(N$4+Ayarlar!$C$6-1),Görevler!$D58&gt;=N$4),IF(N$4&lt;=Görevler!$C58+ROUND(Görevler!$F58*Görevler!$E58,0)-1,2,1),""))</f>
        <v/>
      </c>
      <c r="O58" s="22" t="str">
        <f aca="false">IF(Görevler!$F58="","",IF(AND(Görevler!$C58&lt;=(O$4+Ayarlar!$C$6-1),Görevler!$D58&gt;=O$4),IF(O$4&lt;=Görevler!$C58+ROUND(Görevler!$F58*Görevler!$E58,0)-1,2,1),""))</f>
        <v/>
      </c>
      <c r="P58" s="22" t="str">
        <f aca="false">IF(Görevler!$F58="","",IF(AND(Görevler!$C58&lt;=(P$4+Ayarlar!$C$6-1),Görevler!$D58&gt;=P$4),IF(P$4&lt;=Görevler!$C58+ROUND(Görevler!$F58*Görevler!$E58,0)-1,2,1),""))</f>
        <v/>
      </c>
      <c r="Q58" s="22" t="str">
        <f aca="false">IF(Görevler!$F58="","",IF(AND(Görevler!$C58&lt;=(Q$4+Ayarlar!$C$6-1),Görevler!$D58&gt;=Q$4),IF(Q$4&lt;=Görevler!$C58+ROUND(Görevler!$F58*Görevler!$E58,0)-1,2,1),""))</f>
        <v/>
      </c>
      <c r="R58" s="22" t="str">
        <f aca="false">IF(Görevler!$F58="","",IF(AND(Görevler!$C58&lt;=(R$4+Ayarlar!$C$6-1),Görevler!$D58&gt;=R$4),IF(R$4&lt;=Görevler!$C58+ROUND(Görevler!$F58*Görevler!$E58,0)-1,2,1),""))</f>
        <v/>
      </c>
      <c r="S58" s="22" t="str">
        <f aca="false">IF(Görevler!$F58="","",IF(AND(Görevler!$C58&lt;=(S$4+Ayarlar!$C$6-1),Görevler!$D58&gt;=S$4),IF(S$4&lt;=Görevler!$C58+ROUND(Görevler!$F58*Görevler!$E58,0)-1,2,1),""))</f>
        <v/>
      </c>
      <c r="T58" s="22" t="str">
        <f aca="false">IF(Görevler!$F58="","",IF(AND(Görevler!$C58&lt;=(T$4+Ayarlar!$C$6-1),Görevler!$D58&gt;=T$4),IF(T$4&lt;=Görevler!$C58+ROUND(Görevler!$F58*Görevler!$E58,0)-1,2,1),""))</f>
        <v/>
      </c>
      <c r="U58" s="22" t="str">
        <f aca="false">IF(Görevler!$F58="","",IF(AND(Görevler!$C58&lt;=(U$4+Ayarlar!$C$6-1),Görevler!$D58&gt;=U$4),IF(U$4&lt;=Görevler!$C58+ROUND(Görevler!$F58*Görevler!$E58,0)-1,2,1),""))</f>
        <v/>
      </c>
      <c r="V58" s="22" t="str">
        <f aca="false">IF(Görevler!$F58="","",IF(AND(Görevler!$C58&lt;=(V$4+Ayarlar!$C$6-1),Görevler!$D58&gt;=V$4),IF(V$4&lt;=Görevler!$C58+ROUND(Görevler!$F58*Görevler!$E58,0)-1,2,1),""))</f>
        <v/>
      </c>
      <c r="W58" s="22" t="str">
        <f aca="false">IF(Görevler!$F58="","",IF(AND(Görevler!$C58&lt;=(W$4+Ayarlar!$C$6-1),Görevler!$D58&gt;=W$4),IF(W$4&lt;=Görevler!$C58+ROUND(Görevler!$F58*Görevler!$E58,0)-1,2,1),""))</f>
        <v/>
      </c>
      <c r="X58" s="22" t="str">
        <f aca="false">IF(Görevler!$F58="","",IF(AND(Görevler!$C58&lt;=(X$4+Ayarlar!$C$6-1),Görevler!$D58&gt;=X$4),IF(X$4&lt;=Görevler!$C58+ROUND(Görevler!$F58*Görevler!$E58,0)-1,2,1),""))</f>
        <v/>
      </c>
      <c r="Y58" s="22" t="str">
        <f aca="false">IF(Görevler!$F58="","",IF(AND(Görevler!$C58&lt;=(Y$4+Ayarlar!$C$6-1),Görevler!$D58&gt;=Y$4),IF(Y$4&lt;=Görevler!$C58+ROUND(Görevler!$F58*Görevler!$E58,0)-1,2,1),""))</f>
        <v/>
      </c>
      <c r="Z58" s="22" t="str">
        <f aca="false">IF(Görevler!$F58="","",IF(AND(Görevler!$C58&lt;=(Z$4+Ayarlar!$C$6-1),Görevler!$D58&gt;=Z$4),IF(Z$4&lt;=Görevler!$C58+ROUND(Görevler!$F58*Görevler!$E58,0)-1,2,1),""))</f>
        <v/>
      </c>
      <c r="AA58" s="22" t="str">
        <f aca="false">IF(Görevler!$F58="","",IF(AND(Görevler!$C58&lt;=(AA$4+Ayarlar!$C$6-1),Görevler!$D58&gt;=AA$4),IF(AA$4&lt;=Görevler!$C58+ROUND(Görevler!$F58*Görevler!$E58,0)-1,2,1),""))</f>
        <v/>
      </c>
      <c r="AB58" s="22" t="str">
        <f aca="false">IF(Görevler!$F58="","",IF(AND(Görevler!$C58&lt;=(AB$4+Ayarlar!$C$6-1),Görevler!$D58&gt;=AB$4),IF(AB$4&lt;=Görevler!$C58+ROUND(Görevler!$F58*Görevler!$E58,0)-1,2,1),""))</f>
        <v/>
      </c>
      <c r="AC58" s="22" t="str">
        <f aca="false">IF(Görevler!$F58="","",IF(AND(Görevler!$C58&lt;=(AC$4+Ayarlar!$C$6-1),Görevler!$D58&gt;=AC$4),IF(AC$4&lt;=Görevler!$C58+ROUND(Görevler!$F58*Görevler!$E58,0)-1,2,1),""))</f>
        <v/>
      </c>
      <c r="AD58" s="22" t="str">
        <f aca="false">IF(Görevler!$F58="","",IF(AND(Görevler!$C58&lt;=(AD$4+Ayarlar!$C$6-1),Görevler!$D58&gt;=AD$4),IF(AD$4&lt;=Görevler!$C58+ROUND(Görevler!$F58*Görevler!$E58,0)-1,2,1),""))</f>
        <v/>
      </c>
      <c r="AE58" s="22" t="str">
        <f aca="false">IF(Görevler!$F58="","",IF(AND(Görevler!$C58&lt;=(AE$4+Ayarlar!$C$6-1),Görevler!$D58&gt;=AE$4),IF(AE$4&lt;=Görevler!$C58+ROUND(Görevler!$F58*Görevler!$E58,0)-1,2,1),""))</f>
        <v/>
      </c>
      <c r="AF58" s="22" t="str">
        <f aca="false">IF(Görevler!$F58="","",IF(AND(Görevler!$C58&lt;=(AF$4+Ayarlar!$C$6-1),Görevler!$D58&gt;=AF$4),IF(AF$4&lt;=Görevler!$C58+ROUND(Görevler!$F58*Görevler!$E58,0)-1,2,1),""))</f>
        <v/>
      </c>
      <c r="AG58" s="22" t="str">
        <f aca="false">IF(Görevler!$F58="","",IF(AND(Görevler!$C58&lt;=(AG$4+Ayarlar!$C$6-1),Görevler!$D58&gt;=AG$4),IF(AG$4&lt;=Görevler!$C58+ROUND(Görevler!$F58*Görevler!$E58,0)-1,2,1),""))</f>
        <v/>
      </c>
      <c r="AH58" s="22" t="str">
        <f aca="false">IF(Görevler!$F58="","",IF(AND(Görevler!$C58&lt;=(AH$4+Ayarlar!$C$6-1),Görevler!$D58&gt;=AH$4),IF(AH$4&lt;=Görevler!$C58+ROUND(Görevler!$F58*Görevler!$E58,0)-1,2,1),""))</f>
        <v/>
      </c>
      <c r="AI58" s="22" t="str">
        <f aca="false">IF(Görevler!$F58="","",IF(AND(Görevler!$C58&lt;=(AI$4+Ayarlar!$C$6-1),Görevler!$D58&gt;=AI$4),IF(AI$4&lt;=Görevler!$C58+ROUND(Görevler!$F58*Görevler!$E58,0)-1,2,1),""))</f>
        <v/>
      </c>
      <c r="AJ58" s="22" t="str">
        <f aca="false">IF(Görevler!$F58="","",IF(AND(Görevler!$C58&lt;=(AJ$4+Ayarlar!$C$6-1),Görevler!$D58&gt;=AJ$4),IF(AJ$4&lt;=Görevler!$C58+ROUND(Görevler!$F58*Görevler!$E58,0)-1,2,1),""))</f>
        <v/>
      </c>
      <c r="AK58" s="22" t="str">
        <f aca="false">IF(Görevler!$F58="","",IF(AND(Görevler!$C58&lt;=(AK$4+Ayarlar!$C$6-1),Görevler!$D58&gt;=AK$4),IF(AK$4&lt;=Görevler!$C58+ROUND(Görevler!$F58*Görevler!$E58,0)-1,2,1),""))</f>
        <v/>
      </c>
      <c r="AL58" s="22" t="str">
        <f aca="false">IF(Görevler!$F58="","",IF(AND(Görevler!$C58&lt;=(AL$4+Ayarlar!$C$6-1),Görevler!$D58&gt;=AL$4),IF(AL$4&lt;=Görevler!$C58+ROUND(Görevler!$F58*Görevler!$E58,0)-1,2,1),""))</f>
        <v/>
      </c>
      <c r="AM58" s="22" t="str">
        <f aca="false">IF(Görevler!$F58="","",IF(AND(Görevler!$C58&lt;=(AM$4+Ayarlar!$C$6-1),Görevler!$D58&gt;=AM$4),IF(AM$4&lt;=Görevler!$C58+ROUND(Görevler!$F58*Görevler!$E58,0)-1,2,1),""))</f>
        <v/>
      </c>
      <c r="AN58" s="22" t="str">
        <f aca="false">IF(Görevler!$F58="","",IF(AND(Görevler!$C58&lt;=(AN$4+Ayarlar!$C$6-1),Görevler!$D58&gt;=AN$4),IF(AN$4&lt;=Görevler!$C58+ROUND(Görevler!$F58*Görevler!$E58,0)-1,2,1),""))</f>
        <v/>
      </c>
      <c r="AO58" s="22" t="str">
        <f aca="false">IF(Görevler!$F58="","",IF(AND(Görevler!$C58&lt;=(AO$4+Ayarlar!$C$6-1),Görevler!$D58&gt;=AO$4),IF(AO$4&lt;=Görevler!$C58+ROUND(Görevler!$F58*Görevler!$E58,0)-1,2,1),""))</f>
        <v/>
      </c>
      <c r="AP58" s="22" t="str">
        <f aca="false">IF(Görevler!$F58="","",IF(AND(Görevler!$C58&lt;=(AP$4+Ayarlar!$C$6-1),Görevler!$D58&gt;=AP$4),IF(AP$4&lt;=Görevler!$C58+ROUND(Görevler!$F58*Görevler!$E58,0)-1,2,1),""))</f>
        <v/>
      </c>
      <c r="AQ58" s="22" t="str">
        <f aca="false">IF(Görevler!$F58="","",IF(AND(Görevler!$C58&lt;=(AQ$4+Ayarlar!$C$6-1),Görevler!$D58&gt;=AQ$4),IF(AQ$4&lt;=Görevler!$C58+ROUND(Görevler!$F58*Görevler!$E58,0)-1,2,1),""))</f>
        <v/>
      </c>
      <c r="AR58" s="22" t="str">
        <f aca="false">IF(Görevler!$F58="","",IF(AND(Görevler!$C58&lt;=(AR$4+Ayarlar!$C$6-1),Görevler!$D58&gt;=AR$4),IF(AR$4&lt;=Görevler!$C58+ROUND(Görevler!$F58*Görevler!$E58,0)-1,2,1),""))</f>
        <v/>
      </c>
      <c r="AS58" s="22" t="str">
        <f aca="false">IF(Görevler!$F58="","",IF(AND(Görevler!$C58&lt;=(AS$4+Ayarlar!$C$6-1),Görevler!$D58&gt;=AS$4),IF(AS$4&lt;=Görevler!$C58+ROUND(Görevler!$F58*Görevler!$E58,0)-1,2,1),""))</f>
        <v/>
      </c>
      <c r="AT58" s="22" t="str">
        <f aca="false">IF(Görevler!$F58="","",IF(AND(Görevler!$C58&lt;=(AT$4+Ayarlar!$C$6-1),Görevler!$D58&gt;=AT$4),IF(AT$4&lt;=Görevler!$C58+ROUND(Görevler!$F58*Görevler!$E58,0)-1,2,1),""))</f>
        <v/>
      </c>
      <c r="AU58" s="22" t="str">
        <f aca="false">IF(Görevler!$F58="","",IF(AND(Görevler!$C58&lt;=(AU$4+Ayarlar!$C$6-1),Görevler!$D58&gt;=AU$4),IF(AU$4&lt;=Görevler!$C58+ROUND(Görevler!$F58*Görevler!$E58,0)-1,2,1),""))</f>
        <v/>
      </c>
      <c r="AV58" s="22" t="str">
        <f aca="false">IF(Görevler!$F58="","",IF(AND(Görevler!$C58&lt;=(AV$4+Ayarlar!$C$6-1),Görevler!$D58&gt;=AV$4),IF(AV$4&lt;=Görevler!$C58+ROUND(Görevler!$F58*Görevler!$E58,0)-1,2,1),""))</f>
        <v/>
      </c>
      <c r="AW58" s="22" t="str">
        <f aca="false">IF(Görevler!$F58="","",IF(AND(Görevler!$C58&lt;=(AW$4+Ayarlar!$C$6-1),Görevler!$D58&gt;=AW$4),IF(AW$4&lt;=Görevler!$C58+ROUND(Görevler!$F58*Görevler!$E58,0)-1,2,1),""))</f>
        <v/>
      </c>
      <c r="AX58" s="22" t="str">
        <f aca="false">IF(Görevler!$F58="","",IF(AND(Görevler!$C58&lt;=(AX$4+Ayarlar!$C$6-1),Görevler!$D58&gt;=AX$4),IF(AX$4&lt;=Görevler!$C58+ROUND(Görevler!$F58*Görevler!$E58,0)-1,2,1),""))</f>
        <v/>
      </c>
      <c r="AY58" s="22" t="str">
        <f aca="false">IF(Görevler!$F58="","",IF(AND(Görevler!$C58&lt;=(AY$4+Ayarlar!$C$6-1),Görevler!$D58&gt;=AY$4),IF(AY$4&lt;=Görevler!$C58+ROUND(Görevler!$F58*Görevler!$E58,0)-1,2,1),""))</f>
        <v/>
      </c>
      <c r="AZ58" s="22" t="str">
        <f aca="false">IF(Görevler!$F58="","",IF(AND(Görevler!$C58&lt;=(AZ$4+Ayarlar!$C$6-1),Görevler!$D58&gt;=AZ$4),IF(AZ$4&lt;=Görevler!$C58+ROUND(Görevler!$F58*Görevler!$E58,0)-1,2,1),""))</f>
        <v/>
      </c>
      <c r="BA58" s="22" t="str">
        <f aca="false">IF(Görevler!$F58="","",IF(AND(Görevler!$C58&lt;=(BA$4+Ayarlar!$C$6-1),Görevler!$D58&gt;=BA$4),IF(BA$4&lt;=Görevler!$C58+ROUND(Görevler!$F58*Görevler!$E58,0)-1,2,1),""))</f>
        <v/>
      </c>
      <c r="BB58" s="22" t="str">
        <f aca="false">IF(Görevler!$F58="","",IF(AND(Görevler!$C58&lt;=(BB$4+Ayarlar!$C$6-1),Görevler!$D58&gt;=BB$4),IF(BB$4&lt;=Görevler!$C58+ROUND(Görevler!$F58*Görevler!$E58,0)-1,2,1),""))</f>
        <v/>
      </c>
      <c r="BC58" s="22" t="str">
        <f aca="false">IF(Görevler!$F58="","",IF(AND(Görevler!$C58&lt;=(BC$4+Ayarlar!$C$6-1),Görevler!$D58&gt;=BC$4),IF(BC$4&lt;=Görevler!$C58+ROUND(Görevler!$F58*Görevler!$E58,0)-1,2,1),""))</f>
        <v/>
      </c>
      <c r="BD58" s="22" t="str">
        <f aca="false">IF(Görevler!$F58="","",IF(AND(Görevler!$C58&lt;=(BD$4+Ayarlar!$C$6-1),Görevler!$D58&gt;=BD$4),IF(BD$4&lt;=Görevler!$C58+ROUND(Görevler!$F58*Görevler!$E58,0)-1,2,1),""))</f>
        <v/>
      </c>
      <c r="BE58" s="22" t="str">
        <f aca="false">IF(Görevler!$F58="","",IF(AND(Görevler!$C58&lt;=(BE$4+Ayarlar!$C$6-1),Görevler!$D58&gt;=BE$4),IF(BE$4&lt;=Görevler!$C58+ROUND(Görevler!$F58*Görevler!$E58,0)-1,2,1),""))</f>
        <v/>
      </c>
      <c r="BF58" s="22" t="str">
        <f aca="false">IF(Görevler!$F58="","",IF(AND(Görevler!$C58&lt;=(BF$4+Ayarlar!$C$6-1),Görevler!$D58&gt;=BF$4),IF(BF$4&lt;=Görevler!$C58+ROUND(Görevler!$F58*Görevler!$E58,0)-1,2,1),""))</f>
        <v/>
      </c>
      <c r="BG58" s="22" t="str">
        <f aca="false">IF(Görevler!$F58="","",IF(AND(Görevler!$C58&lt;=(BG$4+Ayarlar!$C$6-1),Görevler!$D58&gt;=BG$4),IF(BG$4&lt;=Görevler!$C58+ROUND(Görevler!$F58*Görevler!$E58,0)-1,2,1),""))</f>
        <v/>
      </c>
      <c r="BH58" s="22" t="str">
        <f aca="false">IF(Görevler!$F58="","",IF(AND(Görevler!$C58&lt;=(BH$4+Ayarlar!$C$6-1),Görevler!$D58&gt;=BH$4),IF(BH$4&lt;=Görevler!$C58+ROUND(Görevler!$F58*Görevler!$E58,0)-1,2,1),""))</f>
        <v/>
      </c>
      <c r="BI58" s="22" t="str">
        <f aca="false">IF(Görevler!$F58="","",IF(AND(Görevler!$C58&lt;=(BI$4+Ayarlar!$C$6-1),Görevler!$D58&gt;=BI$4),IF(BI$4&lt;=Görevler!$C58+ROUND(Görevler!$F58*Görevler!$E58,0)-1,2,1),""))</f>
        <v/>
      </c>
      <c r="BJ58" s="22" t="str">
        <f aca="false">IF(Görevler!$F58="","",IF(AND(Görevler!$C58&lt;=(BJ$4+Ayarlar!$C$6-1),Görevler!$D58&gt;=BJ$4),IF(BJ$4&lt;=Görevler!$C58+ROUND(Görevler!$F58*Görevler!$E58,0)-1,2,1),""))</f>
        <v/>
      </c>
    </row>
    <row r="59" customFormat="false" ht="15" hidden="false" customHeight="false" outlineLevel="0" collapsed="false">
      <c r="A59" s="21" t="str">
        <f aca="false">IF(Görevler!A59="","",Görevler!A59)</f>
        <v/>
      </c>
      <c r="B59" s="21" t="str">
        <f aca="false">IF(Görevler!A59="","",Görevler!B59&amp;"")</f>
        <v/>
      </c>
      <c r="C59" s="22" t="str">
        <f aca="false">IF(Görevler!$F59="","",IF(AND(Görevler!$C59&lt;=(C$4+Ayarlar!$C$6-1),Görevler!$D59&gt;=C$4),IF(C$4&lt;=Görevler!$C59+ROUND(Görevler!$F59*Görevler!$E59,0)-1,2,1),""))</f>
        <v/>
      </c>
      <c r="D59" s="22" t="str">
        <f aca="false">IF(Görevler!$F59="","",IF(AND(Görevler!$C59&lt;=(D$4+Ayarlar!$C$6-1),Görevler!$D59&gt;=D$4),IF(D$4&lt;=Görevler!$C59+ROUND(Görevler!$F59*Görevler!$E59,0)-1,2,1),""))</f>
        <v/>
      </c>
      <c r="E59" s="22" t="str">
        <f aca="false">IF(Görevler!$F59="","",IF(AND(Görevler!$C59&lt;=(E$4+Ayarlar!$C$6-1),Görevler!$D59&gt;=E$4),IF(E$4&lt;=Görevler!$C59+ROUND(Görevler!$F59*Görevler!$E59,0)-1,2,1),""))</f>
        <v/>
      </c>
      <c r="F59" s="22" t="str">
        <f aca="false">IF(Görevler!$F59="","",IF(AND(Görevler!$C59&lt;=(F$4+Ayarlar!$C$6-1),Görevler!$D59&gt;=F$4),IF(F$4&lt;=Görevler!$C59+ROUND(Görevler!$F59*Görevler!$E59,0)-1,2,1),""))</f>
        <v/>
      </c>
      <c r="G59" s="22" t="str">
        <f aca="false">IF(Görevler!$F59="","",IF(AND(Görevler!$C59&lt;=(G$4+Ayarlar!$C$6-1),Görevler!$D59&gt;=G$4),IF(G$4&lt;=Görevler!$C59+ROUND(Görevler!$F59*Görevler!$E59,0)-1,2,1),""))</f>
        <v/>
      </c>
      <c r="H59" s="22" t="str">
        <f aca="false">IF(Görevler!$F59="","",IF(AND(Görevler!$C59&lt;=(H$4+Ayarlar!$C$6-1),Görevler!$D59&gt;=H$4),IF(H$4&lt;=Görevler!$C59+ROUND(Görevler!$F59*Görevler!$E59,0)-1,2,1),""))</f>
        <v/>
      </c>
      <c r="I59" s="22" t="str">
        <f aca="false">IF(Görevler!$F59="","",IF(AND(Görevler!$C59&lt;=(I$4+Ayarlar!$C$6-1),Görevler!$D59&gt;=I$4),IF(I$4&lt;=Görevler!$C59+ROUND(Görevler!$F59*Görevler!$E59,0)-1,2,1),""))</f>
        <v/>
      </c>
      <c r="J59" s="22" t="str">
        <f aca="false">IF(Görevler!$F59="","",IF(AND(Görevler!$C59&lt;=(J$4+Ayarlar!$C$6-1),Görevler!$D59&gt;=J$4),IF(J$4&lt;=Görevler!$C59+ROUND(Görevler!$F59*Görevler!$E59,0)-1,2,1),""))</f>
        <v/>
      </c>
      <c r="K59" s="22" t="str">
        <f aca="false">IF(Görevler!$F59="","",IF(AND(Görevler!$C59&lt;=(K$4+Ayarlar!$C$6-1),Görevler!$D59&gt;=K$4),IF(K$4&lt;=Görevler!$C59+ROUND(Görevler!$F59*Görevler!$E59,0)-1,2,1),""))</f>
        <v/>
      </c>
      <c r="L59" s="22" t="str">
        <f aca="false">IF(Görevler!$F59="","",IF(AND(Görevler!$C59&lt;=(L$4+Ayarlar!$C$6-1),Görevler!$D59&gt;=L$4),IF(L$4&lt;=Görevler!$C59+ROUND(Görevler!$F59*Görevler!$E59,0)-1,2,1),""))</f>
        <v/>
      </c>
      <c r="M59" s="22" t="str">
        <f aca="false">IF(Görevler!$F59="","",IF(AND(Görevler!$C59&lt;=(M$4+Ayarlar!$C$6-1),Görevler!$D59&gt;=M$4),IF(M$4&lt;=Görevler!$C59+ROUND(Görevler!$F59*Görevler!$E59,0)-1,2,1),""))</f>
        <v/>
      </c>
      <c r="N59" s="22" t="str">
        <f aca="false">IF(Görevler!$F59="","",IF(AND(Görevler!$C59&lt;=(N$4+Ayarlar!$C$6-1),Görevler!$D59&gt;=N$4),IF(N$4&lt;=Görevler!$C59+ROUND(Görevler!$F59*Görevler!$E59,0)-1,2,1),""))</f>
        <v/>
      </c>
      <c r="O59" s="22" t="str">
        <f aca="false">IF(Görevler!$F59="","",IF(AND(Görevler!$C59&lt;=(O$4+Ayarlar!$C$6-1),Görevler!$D59&gt;=O$4),IF(O$4&lt;=Görevler!$C59+ROUND(Görevler!$F59*Görevler!$E59,0)-1,2,1),""))</f>
        <v/>
      </c>
      <c r="P59" s="22" t="str">
        <f aca="false">IF(Görevler!$F59="","",IF(AND(Görevler!$C59&lt;=(P$4+Ayarlar!$C$6-1),Görevler!$D59&gt;=P$4),IF(P$4&lt;=Görevler!$C59+ROUND(Görevler!$F59*Görevler!$E59,0)-1,2,1),""))</f>
        <v/>
      </c>
      <c r="Q59" s="22" t="str">
        <f aca="false">IF(Görevler!$F59="","",IF(AND(Görevler!$C59&lt;=(Q$4+Ayarlar!$C$6-1),Görevler!$D59&gt;=Q$4),IF(Q$4&lt;=Görevler!$C59+ROUND(Görevler!$F59*Görevler!$E59,0)-1,2,1),""))</f>
        <v/>
      </c>
      <c r="R59" s="22" t="str">
        <f aca="false">IF(Görevler!$F59="","",IF(AND(Görevler!$C59&lt;=(R$4+Ayarlar!$C$6-1),Görevler!$D59&gt;=R$4),IF(R$4&lt;=Görevler!$C59+ROUND(Görevler!$F59*Görevler!$E59,0)-1,2,1),""))</f>
        <v/>
      </c>
      <c r="S59" s="22" t="str">
        <f aca="false">IF(Görevler!$F59="","",IF(AND(Görevler!$C59&lt;=(S$4+Ayarlar!$C$6-1),Görevler!$D59&gt;=S$4),IF(S$4&lt;=Görevler!$C59+ROUND(Görevler!$F59*Görevler!$E59,0)-1,2,1),""))</f>
        <v/>
      </c>
      <c r="T59" s="22" t="str">
        <f aca="false">IF(Görevler!$F59="","",IF(AND(Görevler!$C59&lt;=(T$4+Ayarlar!$C$6-1),Görevler!$D59&gt;=T$4),IF(T$4&lt;=Görevler!$C59+ROUND(Görevler!$F59*Görevler!$E59,0)-1,2,1),""))</f>
        <v/>
      </c>
      <c r="U59" s="22" t="str">
        <f aca="false">IF(Görevler!$F59="","",IF(AND(Görevler!$C59&lt;=(U$4+Ayarlar!$C$6-1),Görevler!$D59&gt;=U$4),IF(U$4&lt;=Görevler!$C59+ROUND(Görevler!$F59*Görevler!$E59,0)-1,2,1),""))</f>
        <v/>
      </c>
      <c r="V59" s="22" t="str">
        <f aca="false">IF(Görevler!$F59="","",IF(AND(Görevler!$C59&lt;=(V$4+Ayarlar!$C$6-1),Görevler!$D59&gt;=V$4),IF(V$4&lt;=Görevler!$C59+ROUND(Görevler!$F59*Görevler!$E59,0)-1,2,1),""))</f>
        <v/>
      </c>
      <c r="W59" s="22" t="str">
        <f aca="false">IF(Görevler!$F59="","",IF(AND(Görevler!$C59&lt;=(W$4+Ayarlar!$C$6-1),Görevler!$D59&gt;=W$4),IF(W$4&lt;=Görevler!$C59+ROUND(Görevler!$F59*Görevler!$E59,0)-1,2,1),""))</f>
        <v/>
      </c>
      <c r="X59" s="22" t="str">
        <f aca="false">IF(Görevler!$F59="","",IF(AND(Görevler!$C59&lt;=(X$4+Ayarlar!$C$6-1),Görevler!$D59&gt;=X$4),IF(X$4&lt;=Görevler!$C59+ROUND(Görevler!$F59*Görevler!$E59,0)-1,2,1),""))</f>
        <v/>
      </c>
      <c r="Y59" s="22" t="str">
        <f aca="false">IF(Görevler!$F59="","",IF(AND(Görevler!$C59&lt;=(Y$4+Ayarlar!$C$6-1),Görevler!$D59&gt;=Y$4),IF(Y$4&lt;=Görevler!$C59+ROUND(Görevler!$F59*Görevler!$E59,0)-1,2,1),""))</f>
        <v/>
      </c>
      <c r="Z59" s="22" t="str">
        <f aca="false">IF(Görevler!$F59="","",IF(AND(Görevler!$C59&lt;=(Z$4+Ayarlar!$C$6-1),Görevler!$D59&gt;=Z$4),IF(Z$4&lt;=Görevler!$C59+ROUND(Görevler!$F59*Görevler!$E59,0)-1,2,1),""))</f>
        <v/>
      </c>
      <c r="AA59" s="22" t="str">
        <f aca="false">IF(Görevler!$F59="","",IF(AND(Görevler!$C59&lt;=(AA$4+Ayarlar!$C$6-1),Görevler!$D59&gt;=AA$4),IF(AA$4&lt;=Görevler!$C59+ROUND(Görevler!$F59*Görevler!$E59,0)-1,2,1),""))</f>
        <v/>
      </c>
      <c r="AB59" s="22" t="str">
        <f aca="false">IF(Görevler!$F59="","",IF(AND(Görevler!$C59&lt;=(AB$4+Ayarlar!$C$6-1),Görevler!$D59&gt;=AB$4),IF(AB$4&lt;=Görevler!$C59+ROUND(Görevler!$F59*Görevler!$E59,0)-1,2,1),""))</f>
        <v/>
      </c>
      <c r="AC59" s="22" t="str">
        <f aca="false">IF(Görevler!$F59="","",IF(AND(Görevler!$C59&lt;=(AC$4+Ayarlar!$C$6-1),Görevler!$D59&gt;=AC$4),IF(AC$4&lt;=Görevler!$C59+ROUND(Görevler!$F59*Görevler!$E59,0)-1,2,1),""))</f>
        <v/>
      </c>
      <c r="AD59" s="22" t="str">
        <f aca="false">IF(Görevler!$F59="","",IF(AND(Görevler!$C59&lt;=(AD$4+Ayarlar!$C$6-1),Görevler!$D59&gt;=AD$4),IF(AD$4&lt;=Görevler!$C59+ROUND(Görevler!$F59*Görevler!$E59,0)-1,2,1),""))</f>
        <v/>
      </c>
      <c r="AE59" s="22" t="str">
        <f aca="false">IF(Görevler!$F59="","",IF(AND(Görevler!$C59&lt;=(AE$4+Ayarlar!$C$6-1),Görevler!$D59&gt;=AE$4),IF(AE$4&lt;=Görevler!$C59+ROUND(Görevler!$F59*Görevler!$E59,0)-1,2,1),""))</f>
        <v/>
      </c>
      <c r="AF59" s="22" t="str">
        <f aca="false">IF(Görevler!$F59="","",IF(AND(Görevler!$C59&lt;=(AF$4+Ayarlar!$C$6-1),Görevler!$D59&gt;=AF$4),IF(AF$4&lt;=Görevler!$C59+ROUND(Görevler!$F59*Görevler!$E59,0)-1,2,1),""))</f>
        <v/>
      </c>
      <c r="AG59" s="22" t="str">
        <f aca="false">IF(Görevler!$F59="","",IF(AND(Görevler!$C59&lt;=(AG$4+Ayarlar!$C$6-1),Görevler!$D59&gt;=AG$4),IF(AG$4&lt;=Görevler!$C59+ROUND(Görevler!$F59*Görevler!$E59,0)-1,2,1),""))</f>
        <v/>
      </c>
      <c r="AH59" s="22" t="str">
        <f aca="false">IF(Görevler!$F59="","",IF(AND(Görevler!$C59&lt;=(AH$4+Ayarlar!$C$6-1),Görevler!$D59&gt;=AH$4),IF(AH$4&lt;=Görevler!$C59+ROUND(Görevler!$F59*Görevler!$E59,0)-1,2,1),""))</f>
        <v/>
      </c>
      <c r="AI59" s="22" t="str">
        <f aca="false">IF(Görevler!$F59="","",IF(AND(Görevler!$C59&lt;=(AI$4+Ayarlar!$C$6-1),Görevler!$D59&gt;=AI$4),IF(AI$4&lt;=Görevler!$C59+ROUND(Görevler!$F59*Görevler!$E59,0)-1,2,1),""))</f>
        <v/>
      </c>
      <c r="AJ59" s="22" t="str">
        <f aca="false">IF(Görevler!$F59="","",IF(AND(Görevler!$C59&lt;=(AJ$4+Ayarlar!$C$6-1),Görevler!$D59&gt;=AJ$4),IF(AJ$4&lt;=Görevler!$C59+ROUND(Görevler!$F59*Görevler!$E59,0)-1,2,1),""))</f>
        <v/>
      </c>
      <c r="AK59" s="22" t="str">
        <f aca="false">IF(Görevler!$F59="","",IF(AND(Görevler!$C59&lt;=(AK$4+Ayarlar!$C$6-1),Görevler!$D59&gt;=AK$4),IF(AK$4&lt;=Görevler!$C59+ROUND(Görevler!$F59*Görevler!$E59,0)-1,2,1),""))</f>
        <v/>
      </c>
      <c r="AL59" s="22" t="str">
        <f aca="false">IF(Görevler!$F59="","",IF(AND(Görevler!$C59&lt;=(AL$4+Ayarlar!$C$6-1),Görevler!$D59&gt;=AL$4),IF(AL$4&lt;=Görevler!$C59+ROUND(Görevler!$F59*Görevler!$E59,0)-1,2,1),""))</f>
        <v/>
      </c>
      <c r="AM59" s="22" t="str">
        <f aca="false">IF(Görevler!$F59="","",IF(AND(Görevler!$C59&lt;=(AM$4+Ayarlar!$C$6-1),Görevler!$D59&gt;=AM$4),IF(AM$4&lt;=Görevler!$C59+ROUND(Görevler!$F59*Görevler!$E59,0)-1,2,1),""))</f>
        <v/>
      </c>
      <c r="AN59" s="22" t="str">
        <f aca="false">IF(Görevler!$F59="","",IF(AND(Görevler!$C59&lt;=(AN$4+Ayarlar!$C$6-1),Görevler!$D59&gt;=AN$4),IF(AN$4&lt;=Görevler!$C59+ROUND(Görevler!$F59*Görevler!$E59,0)-1,2,1),""))</f>
        <v/>
      </c>
      <c r="AO59" s="22" t="str">
        <f aca="false">IF(Görevler!$F59="","",IF(AND(Görevler!$C59&lt;=(AO$4+Ayarlar!$C$6-1),Görevler!$D59&gt;=AO$4),IF(AO$4&lt;=Görevler!$C59+ROUND(Görevler!$F59*Görevler!$E59,0)-1,2,1),""))</f>
        <v/>
      </c>
      <c r="AP59" s="22" t="str">
        <f aca="false">IF(Görevler!$F59="","",IF(AND(Görevler!$C59&lt;=(AP$4+Ayarlar!$C$6-1),Görevler!$D59&gt;=AP$4),IF(AP$4&lt;=Görevler!$C59+ROUND(Görevler!$F59*Görevler!$E59,0)-1,2,1),""))</f>
        <v/>
      </c>
      <c r="AQ59" s="22" t="str">
        <f aca="false">IF(Görevler!$F59="","",IF(AND(Görevler!$C59&lt;=(AQ$4+Ayarlar!$C$6-1),Görevler!$D59&gt;=AQ$4),IF(AQ$4&lt;=Görevler!$C59+ROUND(Görevler!$F59*Görevler!$E59,0)-1,2,1),""))</f>
        <v/>
      </c>
      <c r="AR59" s="22" t="str">
        <f aca="false">IF(Görevler!$F59="","",IF(AND(Görevler!$C59&lt;=(AR$4+Ayarlar!$C$6-1),Görevler!$D59&gt;=AR$4),IF(AR$4&lt;=Görevler!$C59+ROUND(Görevler!$F59*Görevler!$E59,0)-1,2,1),""))</f>
        <v/>
      </c>
      <c r="AS59" s="22" t="str">
        <f aca="false">IF(Görevler!$F59="","",IF(AND(Görevler!$C59&lt;=(AS$4+Ayarlar!$C$6-1),Görevler!$D59&gt;=AS$4),IF(AS$4&lt;=Görevler!$C59+ROUND(Görevler!$F59*Görevler!$E59,0)-1,2,1),""))</f>
        <v/>
      </c>
      <c r="AT59" s="22" t="str">
        <f aca="false">IF(Görevler!$F59="","",IF(AND(Görevler!$C59&lt;=(AT$4+Ayarlar!$C$6-1),Görevler!$D59&gt;=AT$4),IF(AT$4&lt;=Görevler!$C59+ROUND(Görevler!$F59*Görevler!$E59,0)-1,2,1),""))</f>
        <v/>
      </c>
      <c r="AU59" s="22" t="str">
        <f aca="false">IF(Görevler!$F59="","",IF(AND(Görevler!$C59&lt;=(AU$4+Ayarlar!$C$6-1),Görevler!$D59&gt;=AU$4),IF(AU$4&lt;=Görevler!$C59+ROUND(Görevler!$F59*Görevler!$E59,0)-1,2,1),""))</f>
        <v/>
      </c>
      <c r="AV59" s="22" t="str">
        <f aca="false">IF(Görevler!$F59="","",IF(AND(Görevler!$C59&lt;=(AV$4+Ayarlar!$C$6-1),Görevler!$D59&gt;=AV$4),IF(AV$4&lt;=Görevler!$C59+ROUND(Görevler!$F59*Görevler!$E59,0)-1,2,1),""))</f>
        <v/>
      </c>
      <c r="AW59" s="22" t="str">
        <f aca="false">IF(Görevler!$F59="","",IF(AND(Görevler!$C59&lt;=(AW$4+Ayarlar!$C$6-1),Görevler!$D59&gt;=AW$4),IF(AW$4&lt;=Görevler!$C59+ROUND(Görevler!$F59*Görevler!$E59,0)-1,2,1),""))</f>
        <v/>
      </c>
      <c r="AX59" s="22" t="str">
        <f aca="false">IF(Görevler!$F59="","",IF(AND(Görevler!$C59&lt;=(AX$4+Ayarlar!$C$6-1),Görevler!$D59&gt;=AX$4),IF(AX$4&lt;=Görevler!$C59+ROUND(Görevler!$F59*Görevler!$E59,0)-1,2,1),""))</f>
        <v/>
      </c>
      <c r="AY59" s="22" t="str">
        <f aca="false">IF(Görevler!$F59="","",IF(AND(Görevler!$C59&lt;=(AY$4+Ayarlar!$C$6-1),Görevler!$D59&gt;=AY$4),IF(AY$4&lt;=Görevler!$C59+ROUND(Görevler!$F59*Görevler!$E59,0)-1,2,1),""))</f>
        <v/>
      </c>
      <c r="AZ59" s="22" t="str">
        <f aca="false">IF(Görevler!$F59="","",IF(AND(Görevler!$C59&lt;=(AZ$4+Ayarlar!$C$6-1),Görevler!$D59&gt;=AZ$4),IF(AZ$4&lt;=Görevler!$C59+ROUND(Görevler!$F59*Görevler!$E59,0)-1,2,1),""))</f>
        <v/>
      </c>
      <c r="BA59" s="22" t="str">
        <f aca="false">IF(Görevler!$F59="","",IF(AND(Görevler!$C59&lt;=(BA$4+Ayarlar!$C$6-1),Görevler!$D59&gt;=BA$4),IF(BA$4&lt;=Görevler!$C59+ROUND(Görevler!$F59*Görevler!$E59,0)-1,2,1),""))</f>
        <v/>
      </c>
      <c r="BB59" s="22" t="str">
        <f aca="false">IF(Görevler!$F59="","",IF(AND(Görevler!$C59&lt;=(BB$4+Ayarlar!$C$6-1),Görevler!$D59&gt;=BB$4),IF(BB$4&lt;=Görevler!$C59+ROUND(Görevler!$F59*Görevler!$E59,0)-1,2,1),""))</f>
        <v/>
      </c>
      <c r="BC59" s="22" t="str">
        <f aca="false">IF(Görevler!$F59="","",IF(AND(Görevler!$C59&lt;=(BC$4+Ayarlar!$C$6-1),Görevler!$D59&gt;=BC$4),IF(BC$4&lt;=Görevler!$C59+ROUND(Görevler!$F59*Görevler!$E59,0)-1,2,1),""))</f>
        <v/>
      </c>
      <c r="BD59" s="22" t="str">
        <f aca="false">IF(Görevler!$F59="","",IF(AND(Görevler!$C59&lt;=(BD$4+Ayarlar!$C$6-1),Görevler!$D59&gt;=BD$4),IF(BD$4&lt;=Görevler!$C59+ROUND(Görevler!$F59*Görevler!$E59,0)-1,2,1),""))</f>
        <v/>
      </c>
      <c r="BE59" s="22" t="str">
        <f aca="false">IF(Görevler!$F59="","",IF(AND(Görevler!$C59&lt;=(BE$4+Ayarlar!$C$6-1),Görevler!$D59&gt;=BE$4),IF(BE$4&lt;=Görevler!$C59+ROUND(Görevler!$F59*Görevler!$E59,0)-1,2,1),""))</f>
        <v/>
      </c>
      <c r="BF59" s="22" t="str">
        <f aca="false">IF(Görevler!$F59="","",IF(AND(Görevler!$C59&lt;=(BF$4+Ayarlar!$C$6-1),Görevler!$D59&gt;=BF$4),IF(BF$4&lt;=Görevler!$C59+ROUND(Görevler!$F59*Görevler!$E59,0)-1,2,1),""))</f>
        <v/>
      </c>
      <c r="BG59" s="22" t="str">
        <f aca="false">IF(Görevler!$F59="","",IF(AND(Görevler!$C59&lt;=(BG$4+Ayarlar!$C$6-1),Görevler!$D59&gt;=BG$4),IF(BG$4&lt;=Görevler!$C59+ROUND(Görevler!$F59*Görevler!$E59,0)-1,2,1),""))</f>
        <v/>
      </c>
      <c r="BH59" s="22" t="str">
        <f aca="false">IF(Görevler!$F59="","",IF(AND(Görevler!$C59&lt;=(BH$4+Ayarlar!$C$6-1),Görevler!$D59&gt;=BH$4),IF(BH$4&lt;=Görevler!$C59+ROUND(Görevler!$F59*Görevler!$E59,0)-1,2,1),""))</f>
        <v/>
      </c>
      <c r="BI59" s="22" t="str">
        <f aca="false">IF(Görevler!$F59="","",IF(AND(Görevler!$C59&lt;=(BI$4+Ayarlar!$C$6-1),Görevler!$D59&gt;=BI$4),IF(BI$4&lt;=Görevler!$C59+ROUND(Görevler!$F59*Görevler!$E59,0)-1,2,1),""))</f>
        <v/>
      </c>
      <c r="BJ59" s="22" t="str">
        <f aca="false">IF(Görevler!$F59="","",IF(AND(Görevler!$C59&lt;=(BJ$4+Ayarlar!$C$6-1),Görevler!$D59&gt;=BJ$4),IF(BJ$4&lt;=Görevler!$C59+ROUND(Görevler!$F59*Görevler!$E59,0)-1,2,1),""))</f>
        <v/>
      </c>
    </row>
    <row r="60" customFormat="false" ht="15" hidden="false" customHeight="false" outlineLevel="0" collapsed="false">
      <c r="A60" s="21" t="str">
        <f aca="false">IF(Görevler!A60="","",Görevler!A60)</f>
        <v/>
      </c>
      <c r="B60" s="21" t="str">
        <f aca="false">IF(Görevler!A60="","",Görevler!B60&amp;"")</f>
        <v/>
      </c>
      <c r="C60" s="22" t="str">
        <f aca="false">IF(Görevler!$F60="","",IF(AND(Görevler!$C60&lt;=(C$4+Ayarlar!$C$6-1),Görevler!$D60&gt;=C$4),IF(C$4&lt;=Görevler!$C60+ROUND(Görevler!$F60*Görevler!$E60,0)-1,2,1),""))</f>
        <v/>
      </c>
      <c r="D60" s="22" t="str">
        <f aca="false">IF(Görevler!$F60="","",IF(AND(Görevler!$C60&lt;=(D$4+Ayarlar!$C$6-1),Görevler!$D60&gt;=D$4),IF(D$4&lt;=Görevler!$C60+ROUND(Görevler!$F60*Görevler!$E60,0)-1,2,1),""))</f>
        <v/>
      </c>
      <c r="E60" s="22" t="str">
        <f aca="false">IF(Görevler!$F60="","",IF(AND(Görevler!$C60&lt;=(E$4+Ayarlar!$C$6-1),Görevler!$D60&gt;=E$4),IF(E$4&lt;=Görevler!$C60+ROUND(Görevler!$F60*Görevler!$E60,0)-1,2,1),""))</f>
        <v/>
      </c>
      <c r="F60" s="22" t="str">
        <f aca="false">IF(Görevler!$F60="","",IF(AND(Görevler!$C60&lt;=(F$4+Ayarlar!$C$6-1),Görevler!$D60&gt;=F$4),IF(F$4&lt;=Görevler!$C60+ROUND(Görevler!$F60*Görevler!$E60,0)-1,2,1),""))</f>
        <v/>
      </c>
      <c r="G60" s="22" t="str">
        <f aca="false">IF(Görevler!$F60="","",IF(AND(Görevler!$C60&lt;=(G$4+Ayarlar!$C$6-1),Görevler!$D60&gt;=G$4),IF(G$4&lt;=Görevler!$C60+ROUND(Görevler!$F60*Görevler!$E60,0)-1,2,1),""))</f>
        <v/>
      </c>
      <c r="H60" s="22" t="str">
        <f aca="false">IF(Görevler!$F60="","",IF(AND(Görevler!$C60&lt;=(H$4+Ayarlar!$C$6-1),Görevler!$D60&gt;=H$4),IF(H$4&lt;=Görevler!$C60+ROUND(Görevler!$F60*Görevler!$E60,0)-1,2,1),""))</f>
        <v/>
      </c>
      <c r="I60" s="22" t="str">
        <f aca="false">IF(Görevler!$F60="","",IF(AND(Görevler!$C60&lt;=(I$4+Ayarlar!$C$6-1),Görevler!$D60&gt;=I$4),IF(I$4&lt;=Görevler!$C60+ROUND(Görevler!$F60*Görevler!$E60,0)-1,2,1),""))</f>
        <v/>
      </c>
      <c r="J60" s="22" t="str">
        <f aca="false">IF(Görevler!$F60="","",IF(AND(Görevler!$C60&lt;=(J$4+Ayarlar!$C$6-1),Görevler!$D60&gt;=J$4),IF(J$4&lt;=Görevler!$C60+ROUND(Görevler!$F60*Görevler!$E60,0)-1,2,1),""))</f>
        <v/>
      </c>
      <c r="K60" s="22" t="str">
        <f aca="false">IF(Görevler!$F60="","",IF(AND(Görevler!$C60&lt;=(K$4+Ayarlar!$C$6-1),Görevler!$D60&gt;=K$4),IF(K$4&lt;=Görevler!$C60+ROUND(Görevler!$F60*Görevler!$E60,0)-1,2,1),""))</f>
        <v/>
      </c>
      <c r="L60" s="22" t="str">
        <f aca="false">IF(Görevler!$F60="","",IF(AND(Görevler!$C60&lt;=(L$4+Ayarlar!$C$6-1),Görevler!$D60&gt;=L$4),IF(L$4&lt;=Görevler!$C60+ROUND(Görevler!$F60*Görevler!$E60,0)-1,2,1),""))</f>
        <v/>
      </c>
      <c r="M60" s="22" t="str">
        <f aca="false">IF(Görevler!$F60="","",IF(AND(Görevler!$C60&lt;=(M$4+Ayarlar!$C$6-1),Görevler!$D60&gt;=M$4),IF(M$4&lt;=Görevler!$C60+ROUND(Görevler!$F60*Görevler!$E60,0)-1,2,1),""))</f>
        <v/>
      </c>
      <c r="N60" s="22" t="str">
        <f aca="false">IF(Görevler!$F60="","",IF(AND(Görevler!$C60&lt;=(N$4+Ayarlar!$C$6-1),Görevler!$D60&gt;=N$4),IF(N$4&lt;=Görevler!$C60+ROUND(Görevler!$F60*Görevler!$E60,0)-1,2,1),""))</f>
        <v/>
      </c>
      <c r="O60" s="22" t="str">
        <f aca="false">IF(Görevler!$F60="","",IF(AND(Görevler!$C60&lt;=(O$4+Ayarlar!$C$6-1),Görevler!$D60&gt;=O$4),IF(O$4&lt;=Görevler!$C60+ROUND(Görevler!$F60*Görevler!$E60,0)-1,2,1),""))</f>
        <v/>
      </c>
      <c r="P60" s="22" t="str">
        <f aca="false">IF(Görevler!$F60="","",IF(AND(Görevler!$C60&lt;=(P$4+Ayarlar!$C$6-1),Görevler!$D60&gt;=P$4),IF(P$4&lt;=Görevler!$C60+ROUND(Görevler!$F60*Görevler!$E60,0)-1,2,1),""))</f>
        <v/>
      </c>
      <c r="Q60" s="22" t="str">
        <f aca="false">IF(Görevler!$F60="","",IF(AND(Görevler!$C60&lt;=(Q$4+Ayarlar!$C$6-1),Görevler!$D60&gt;=Q$4),IF(Q$4&lt;=Görevler!$C60+ROUND(Görevler!$F60*Görevler!$E60,0)-1,2,1),""))</f>
        <v/>
      </c>
      <c r="R60" s="22" t="str">
        <f aca="false">IF(Görevler!$F60="","",IF(AND(Görevler!$C60&lt;=(R$4+Ayarlar!$C$6-1),Görevler!$D60&gt;=R$4),IF(R$4&lt;=Görevler!$C60+ROUND(Görevler!$F60*Görevler!$E60,0)-1,2,1),""))</f>
        <v/>
      </c>
      <c r="S60" s="22" t="str">
        <f aca="false">IF(Görevler!$F60="","",IF(AND(Görevler!$C60&lt;=(S$4+Ayarlar!$C$6-1),Görevler!$D60&gt;=S$4),IF(S$4&lt;=Görevler!$C60+ROUND(Görevler!$F60*Görevler!$E60,0)-1,2,1),""))</f>
        <v/>
      </c>
      <c r="T60" s="22" t="str">
        <f aca="false">IF(Görevler!$F60="","",IF(AND(Görevler!$C60&lt;=(T$4+Ayarlar!$C$6-1),Görevler!$D60&gt;=T$4),IF(T$4&lt;=Görevler!$C60+ROUND(Görevler!$F60*Görevler!$E60,0)-1,2,1),""))</f>
        <v/>
      </c>
      <c r="U60" s="22" t="str">
        <f aca="false">IF(Görevler!$F60="","",IF(AND(Görevler!$C60&lt;=(U$4+Ayarlar!$C$6-1),Görevler!$D60&gt;=U$4),IF(U$4&lt;=Görevler!$C60+ROUND(Görevler!$F60*Görevler!$E60,0)-1,2,1),""))</f>
        <v/>
      </c>
      <c r="V60" s="22" t="str">
        <f aca="false">IF(Görevler!$F60="","",IF(AND(Görevler!$C60&lt;=(V$4+Ayarlar!$C$6-1),Görevler!$D60&gt;=V$4),IF(V$4&lt;=Görevler!$C60+ROUND(Görevler!$F60*Görevler!$E60,0)-1,2,1),""))</f>
        <v/>
      </c>
      <c r="W60" s="22" t="str">
        <f aca="false">IF(Görevler!$F60="","",IF(AND(Görevler!$C60&lt;=(W$4+Ayarlar!$C$6-1),Görevler!$D60&gt;=W$4),IF(W$4&lt;=Görevler!$C60+ROUND(Görevler!$F60*Görevler!$E60,0)-1,2,1),""))</f>
        <v/>
      </c>
      <c r="X60" s="22" t="str">
        <f aca="false">IF(Görevler!$F60="","",IF(AND(Görevler!$C60&lt;=(X$4+Ayarlar!$C$6-1),Görevler!$D60&gt;=X$4),IF(X$4&lt;=Görevler!$C60+ROUND(Görevler!$F60*Görevler!$E60,0)-1,2,1),""))</f>
        <v/>
      </c>
      <c r="Y60" s="22" t="str">
        <f aca="false">IF(Görevler!$F60="","",IF(AND(Görevler!$C60&lt;=(Y$4+Ayarlar!$C$6-1),Görevler!$D60&gt;=Y$4),IF(Y$4&lt;=Görevler!$C60+ROUND(Görevler!$F60*Görevler!$E60,0)-1,2,1),""))</f>
        <v/>
      </c>
      <c r="Z60" s="22" t="str">
        <f aca="false">IF(Görevler!$F60="","",IF(AND(Görevler!$C60&lt;=(Z$4+Ayarlar!$C$6-1),Görevler!$D60&gt;=Z$4),IF(Z$4&lt;=Görevler!$C60+ROUND(Görevler!$F60*Görevler!$E60,0)-1,2,1),""))</f>
        <v/>
      </c>
      <c r="AA60" s="22" t="str">
        <f aca="false">IF(Görevler!$F60="","",IF(AND(Görevler!$C60&lt;=(AA$4+Ayarlar!$C$6-1),Görevler!$D60&gt;=AA$4),IF(AA$4&lt;=Görevler!$C60+ROUND(Görevler!$F60*Görevler!$E60,0)-1,2,1),""))</f>
        <v/>
      </c>
      <c r="AB60" s="22" t="str">
        <f aca="false">IF(Görevler!$F60="","",IF(AND(Görevler!$C60&lt;=(AB$4+Ayarlar!$C$6-1),Görevler!$D60&gt;=AB$4),IF(AB$4&lt;=Görevler!$C60+ROUND(Görevler!$F60*Görevler!$E60,0)-1,2,1),""))</f>
        <v/>
      </c>
      <c r="AC60" s="22" t="str">
        <f aca="false">IF(Görevler!$F60="","",IF(AND(Görevler!$C60&lt;=(AC$4+Ayarlar!$C$6-1),Görevler!$D60&gt;=AC$4),IF(AC$4&lt;=Görevler!$C60+ROUND(Görevler!$F60*Görevler!$E60,0)-1,2,1),""))</f>
        <v/>
      </c>
      <c r="AD60" s="22" t="str">
        <f aca="false">IF(Görevler!$F60="","",IF(AND(Görevler!$C60&lt;=(AD$4+Ayarlar!$C$6-1),Görevler!$D60&gt;=AD$4),IF(AD$4&lt;=Görevler!$C60+ROUND(Görevler!$F60*Görevler!$E60,0)-1,2,1),""))</f>
        <v/>
      </c>
      <c r="AE60" s="22" t="str">
        <f aca="false">IF(Görevler!$F60="","",IF(AND(Görevler!$C60&lt;=(AE$4+Ayarlar!$C$6-1),Görevler!$D60&gt;=AE$4),IF(AE$4&lt;=Görevler!$C60+ROUND(Görevler!$F60*Görevler!$E60,0)-1,2,1),""))</f>
        <v/>
      </c>
      <c r="AF60" s="22" t="str">
        <f aca="false">IF(Görevler!$F60="","",IF(AND(Görevler!$C60&lt;=(AF$4+Ayarlar!$C$6-1),Görevler!$D60&gt;=AF$4),IF(AF$4&lt;=Görevler!$C60+ROUND(Görevler!$F60*Görevler!$E60,0)-1,2,1),""))</f>
        <v/>
      </c>
      <c r="AG60" s="22" t="str">
        <f aca="false">IF(Görevler!$F60="","",IF(AND(Görevler!$C60&lt;=(AG$4+Ayarlar!$C$6-1),Görevler!$D60&gt;=AG$4),IF(AG$4&lt;=Görevler!$C60+ROUND(Görevler!$F60*Görevler!$E60,0)-1,2,1),""))</f>
        <v/>
      </c>
      <c r="AH60" s="22" t="str">
        <f aca="false">IF(Görevler!$F60="","",IF(AND(Görevler!$C60&lt;=(AH$4+Ayarlar!$C$6-1),Görevler!$D60&gt;=AH$4),IF(AH$4&lt;=Görevler!$C60+ROUND(Görevler!$F60*Görevler!$E60,0)-1,2,1),""))</f>
        <v/>
      </c>
      <c r="AI60" s="22" t="str">
        <f aca="false">IF(Görevler!$F60="","",IF(AND(Görevler!$C60&lt;=(AI$4+Ayarlar!$C$6-1),Görevler!$D60&gt;=AI$4),IF(AI$4&lt;=Görevler!$C60+ROUND(Görevler!$F60*Görevler!$E60,0)-1,2,1),""))</f>
        <v/>
      </c>
      <c r="AJ60" s="22" t="str">
        <f aca="false">IF(Görevler!$F60="","",IF(AND(Görevler!$C60&lt;=(AJ$4+Ayarlar!$C$6-1),Görevler!$D60&gt;=AJ$4),IF(AJ$4&lt;=Görevler!$C60+ROUND(Görevler!$F60*Görevler!$E60,0)-1,2,1),""))</f>
        <v/>
      </c>
      <c r="AK60" s="22" t="str">
        <f aca="false">IF(Görevler!$F60="","",IF(AND(Görevler!$C60&lt;=(AK$4+Ayarlar!$C$6-1),Görevler!$D60&gt;=AK$4),IF(AK$4&lt;=Görevler!$C60+ROUND(Görevler!$F60*Görevler!$E60,0)-1,2,1),""))</f>
        <v/>
      </c>
      <c r="AL60" s="22" t="str">
        <f aca="false">IF(Görevler!$F60="","",IF(AND(Görevler!$C60&lt;=(AL$4+Ayarlar!$C$6-1),Görevler!$D60&gt;=AL$4),IF(AL$4&lt;=Görevler!$C60+ROUND(Görevler!$F60*Görevler!$E60,0)-1,2,1),""))</f>
        <v/>
      </c>
      <c r="AM60" s="22" t="str">
        <f aca="false">IF(Görevler!$F60="","",IF(AND(Görevler!$C60&lt;=(AM$4+Ayarlar!$C$6-1),Görevler!$D60&gt;=AM$4),IF(AM$4&lt;=Görevler!$C60+ROUND(Görevler!$F60*Görevler!$E60,0)-1,2,1),""))</f>
        <v/>
      </c>
      <c r="AN60" s="22" t="str">
        <f aca="false">IF(Görevler!$F60="","",IF(AND(Görevler!$C60&lt;=(AN$4+Ayarlar!$C$6-1),Görevler!$D60&gt;=AN$4),IF(AN$4&lt;=Görevler!$C60+ROUND(Görevler!$F60*Görevler!$E60,0)-1,2,1),""))</f>
        <v/>
      </c>
      <c r="AO60" s="22" t="str">
        <f aca="false">IF(Görevler!$F60="","",IF(AND(Görevler!$C60&lt;=(AO$4+Ayarlar!$C$6-1),Görevler!$D60&gt;=AO$4),IF(AO$4&lt;=Görevler!$C60+ROUND(Görevler!$F60*Görevler!$E60,0)-1,2,1),""))</f>
        <v/>
      </c>
      <c r="AP60" s="22" t="str">
        <f aca="false">IF(Görevler!$F60="","",IF(AND(Görevler!$C60&lt;=(AP$4+Ayarlar!$C$6-1),Görevler!$D60&gt;=AP$4),IF(AP$4&lt;=Görevler!$C60+ROUND(Görevler!$F60*Görevler!$E60,0)-1,2,1),""))</f>
        <v/>
      </c>
      <c r="AQ60" s="22" t="str">
        <f aca="false">IF(Görevler!$F60="","",IF(AND(Görevler!$C60&lt;=(AQ$4+Ayarlar!$C$6-1),Görevler!$D60&gt;=AQ$4),IF(AQ$4&lt;=Görevler!$C60+ROUND(Görevler!$F60*Görevler!$E60,0)-1,2,1),""))</f>
        <v/>
      </c>
      <c r="AR60" s="22" t="str">
        <f aca="false">IF(Görevler!$F60="","",IF(AND(Görevler!$C60&lt;=(AR$4+Ayarlar!$C$6-1),Görevler!$D60&gt;=AR$4),IF(AR$4&lt;=Görevler!$C60+ROUND(Görevler!$F60*Görevler!$E60,0)-1,2,1),""))</f>
        <v/>
      </c>
      <c r="AS60" s="22" t="str">
        <f aca="false">IF(Görevler!$F60="","",IF(AND(Görevler!$C60&lt;=(AS$4+Ayarlar!$C$6-1),Görevler!$D60&gt;=AS$4),IF(AS$4&lt;=Görevler!$C60+ROUND(Görevler!$F60*Görevler!$E60,0)-1,2,1),""))</f>
        <v/>
      </c>
      <c r="AT60" s="22" t="str">
        <f aca="false">IF(Görevler!$F60="","",IF(AND(Görevler!$C60&lt;=(AT$4+Ayarlar!$C$6-1),Görevler!$D60&gt;=AT$4),IF(AT$4&lt;=Görevler!$C60+ROUND(Görevler!$F60*Görevler!$E60,0)-1,2,1),""))</f>
        <v/>
      </c>
      <c r="AU60" s="22" t="str">
        <f aca="false">IF(Görevler!$F60="","",IF(AND(Görevler!$C60&lt;=(AU$4+Ayarlar!$C$6-1),Görevler!$D60&gt;=AU$4),IF(AU$4&lt;=Görevler!$C60+ROUND(Görevler!$F60*Görevler!$E60,0)-1,2,1),""))</f>
        <v/>
      </c>
      <c r="AV60" s="22" t="str">
        <f aca="false">IF(Görevler!$F60="","",IF(AND(Görevler!$C60&lt;=(AV$4+Ayarlar!$C$6-1),Görevler!$D60&gt;=AV$4),IF(AV$4&lt;=Görevler!$C60+ROUND(Görevler!$F60*Görevler!$E60,0)-1,2,1),""))</f>
        <v/>
      </c>
      <c r="AW60" s="22" t="str">
        <f aca="false">IF(Görevler!$F60="","",IF(AND(Görevler!$C60&lt;=(AW$4+Ayarlar!$C$6-1),Görevler!$D60&gt;=AW$4),IF(AW$4&lt;=Görevler!$C60+ROUND(Görevler!$F60*Görevler!$E60,0)-1,2,1),""))</f>
        <v/>
      </c>
      <c r="AX60" s="22" t="str">
        <f aca="false">IF(Görevler!$F60="","",IF(AND(Görevler!$C60&lt;=(AX$4+Ayarlar!$C$6-1),Görevler!$D60&gt;=AX$4),IF(AX$4&lt;=Görevler!$C60+ROUND(Görevler!$F60*Görevler!$E60,0)-1,2,1),""))</f>
        <v/>
      </c>
      <c r="AY60" s="22" t="str">
        <f aca="false">IF(Görevler!$F60="","",IF(AND(Görevler!$C60&lt;=(AY$4+Ayarlar!$C$6-1),Görevler!$D60&gt;=AY$4),IF(AY$4&lt;=Görevler!$C60+ROUND(Görevler!$F60*Görevler!$E60,0)-1,2,1),""))</f>
        <v/>
      </c>
      <c r="AZ60" s="22" t="str">
        <f aca="false">IF(Görevler!$F60="","",IF(AND(Görevler!$C60&lt;=(AZ$4+Ayarlar!$C$6-1),Görevler!$D60&gt;=AZ$4),IF(AZ$4&lt;=Görevler!$C60+ROUND(Görevler!$F60*Görevler!$E60,0)-1,2,1),""))</f>
        <v/>
      </c>
      <c r="BA60" s="22" t="str">
        <f aca="false">IF(Görevler!$F60="","",IF(AND(Görevler!$C60&lt;=(BA$4+Ayarlar!$C$6-1),Görevler!$D60&gt;=BA$4),IF(BA$4&lt;=Görevler!$C60+ROUND(Görevler!$F60*Görevler!$E60,0)-1,2,1),""))</f>
        <v/>
      </c>
      <c r="BB60" s="22" t="str">
        <f aca="false">IF(Görevler!$F60="","",IF(AND(Görevler!$C60&lt;=(BB$4+Ayarlar!$C$6-1),Görevler!$D60&gt;=BB$4),IF(BB$4&lt;=Görevler!$C60+ROUND(Görevler!$F60*Görevler!$E60,0)-1,2,1),""))</f>
        <v/>
      </c>
      <c r="BC60" s="22" t="str">
        <f aca="false">IF(Görevler!$F60="","",IF(AND(Görevler!$C60&lt;=(BC$4+Ayarlar!$C$6-1),Görevler!$D60&gt;=BC$4),IF(BC$4&lt;=Görevler!$C60+ROUND(Görevler!$F60*Görevler!$E60,0)-1,2,1),""))</f>
        <v/>
      </c>
      <c r="BD60" s="22" t="str">
        <f aca="false">IF(Görevler!$F60="","",IF(AND(Görevler!$C60&lt;=(BD$4+Ayarlar!$C$6-1),Görevler!$D60&gt;=BD$4),IF(BD$4&lt;=Görevler!$C60+ROUND(Görevler!$F60*Görevler!$E60,0)-1,2,1),""))</f>
        <v/>
      </c>
      <c r="BE60" s="22" t="str">
        <f aca="false">IF(Görevler!$F60="","",IF(AND(Görevler!$C60&lt;=(BE$4+Ayarlar!$C$6-1),Görevler!$D60&gt;=BE$4),IF(BE$4&lt;=Görevler!$C60+ROUND(Görevler!$F60*Görevler!$E60,0)-1,2,1),""))</f>
        <v/>
      </c>
      <c r="BF60" s="22" t="str">
        <f aca="false">IF(Görevler!$F60="","",IF(AND(Görevler!$C60&lt;=(BF$4+Ayarlar!$C$6-1),Görevler!$D60&gt;=BF$4),IF(BF$4&lt;=Görevler!$C60+ROUND(Görevler!$F60*Görevler!$E60,0)-1,2,1),""))</f>
        <v/>
      </c>
      <c r="BG60" s="22" t="str">
        <f aca="false">IF(Görevler!$F60="","",IF(AND(Görevler!$C60&lt;=(BG$4+Ayarlar!$C$6-1),Görevler!$D60&gt;=BG$4),IF(BG$4&lt;=Görevler!$C60+ROUND(Görevler!$F60*Görevler!$E60,0)-1,2,1),""))</f>
        <v/>
      </c>
      <c r="BH60" s="22" t="str">
        <f aca="false">IF(Görevler!$F60="","",IF(AND(Görevler!$C60&lt;=(BH$4+Ayarlar!$C$6-1),Görevler!$D60&gt;=BH$4),IF(BH$4&lt;=Görevler!$C60+ROUND(Görevler!$F60*Görevler!$E60,0)-1,2,1),""))</f>
        <v/>
      </c>
      <c r="BI60" s="22" t="str">
        <f aca="false">IF(Görevler!$F60="","",IF(AND(Görevler!$C60&lt;=(BI$4+Ayarlar!$C$6-1),Görevler!$D60&gt;=BI$4),IF(BI$4&lt;=Görevler!$C60+ROUND(Görevler!$F60*Görevler!$E60,0)-1,2,1),""))</f>
        <v/>
      </c>
      <c r="BJ60" s="22" t="str">
        <f aca="false">IF(Görevler!$F60="","",IF(AND(Görevler!$C60&lt;=(BJ$4+Ayarlar!$C$6-1),Görevler!$D60&gt;=BJ$4),IF(BJ$4&lt;=Görevler!$C60+ROUND(Görevler!$F60*Görevler!$E60,0)-1,2,1),""))</f>
        <v/>
      </c>
    </row>
    <row r="61" customFormat="false" ht="15" hidden="false" customHeight="false" outlineLevel="0" collapsed="false">
      <c r="A61" s="21" t="str">
        <f aca="false">IF(Görevler!A61="","",Görevler!A61)</f>
        <v/>
      </c>
      <c r="B61" s="21" t="str">
        <f aca="false">IF(Görevler!A61="","",Görevler!B61&amp;"")</f>
        <v/>
      </c>
      <c r="C61" s="22" t="str">
        <f aca="false">IF(Görevler!$F61="","",IF(AND(Görevler!$C61&lt;=(C$4+Ayarlar!$C$6-1),Görevler!$D61&gt;=C$4),IF(C$4&lt;=Görevler!$C61+ROUND(Görevler!$F61*Görevler!$E61,0)-1,2,1),""))</f>
        <v/>
      </c>
      <c r="D61" s="22" t="str">
        <f aca="false">IF(Görevler!$F61="","",IF(AND(Görevler!$C61&lt;=(D$4+Ayarlar!$C$6-1),Görevler!$D61&gt;=D$4),IF(D$4&lt;=Görevler!$C61+ROUND(Görevler!$F61*Görevler!$E61,0)-1,2,1),""))</f>
        <v/>
      </c>
      <c r="E61" s="22" t="str">
        <f aca="false">IF(Görevler!$F61="","",IF(AND(Görevler!$C61&lt;=(E$4+Ayarlar!$C$6-1),Görevler!$D61&gt;=E$4),IF(E$4&lt;=Görevler!$C61+ROUND(Görevler!$F61*Görevler!$E61,0)-1,2,1),""))</f>
        <v/>
      </c>
      <c r="F61" s="22" t="str">
        <f aca="false">IF(Görevler!$F61="","",IF(AND(Görevler!$C61&lt;=(F$4+Ayarlar!$C$6-1),Görevler!$D61&gt;=F$4),IF(F$4&lt;=Görevler!$C61+ROUND(Görevler!$F61*Görevler!$E61,0)-1,2,1),""))</f>
        <v/>
      </c>
      <c r="G61" s="22" t="str">
        <f aca="false">IF(Görevler!$F61="","",IF(AND(Görevler!$C61&lt;=(G$4+Ayarlar!$C$6-1),Görevler!$D61&gt;=G$4),IF(G$4&lt;=Görevler!$C61+ROUND(Görevler!$F61*Görevler!$E61,0)-1,2,1),""))</f>
        <v/>
      </c>
      <c r="H61" s="22" t="str">
        <f aca="false">IF(Görevler!$F61="","",IF(AND(Görevler!$C61&lt;=(H$4+Ayarlar!$C$6-1),Görevler!$D61&gt;=H$4),IF(H$4&lt;=Görevler!$C61+ROUND(Görevler!$F61*Görevler!$E61,0)-1,2,1),""))</f>
        <v/>
      </c>
      <c r="I61" s="22" t="str">
        <f aca="false">IF(Görevler!$F61="","",IF(AND(Görevler!$C61&lt;=(I$4+Ayarlar!$C$6-1),Görevler!$D61&gt;=I$4),IF(I$4&lt;=Görevler!$C61+ROUND(Görevler!$F61*Görevler!$E61,0)-1,2,1),""))</f>
        <v/>
      </c>
      <c r="J61" s="22" t="str">
        <f aca="false">IF(Görevler!$F61="","",IF(AND(Görevler!$C61&lt;=(J$4+Ayarlar!$C$6-1),Görevler!$D61&gt;=J$4),IF(J$4&lt;=Görevler!$C61+ROUND(Görevler!$F61*Görevler!$E61,0)-1,2,1),""))</f>
        <v/>
      </c>
      <c r="K61" s="22" t="str">
        <f aca="false">IF(Görevler!$F61="","",IF(AND(Görevler!$C61&lt;=(K$4+Ayarlar!$C$6-1),Görevler!$D61&gt;=K$4),IF(K$4&lt;=Görevler!$C61+ROUND(Görevler!$F61*Görevler!$E61,0)-1,2,1),""))</f>
        <v/>
      </c>
      <c r="L61" s="22" t="str">
        <f aca="false">IF(Görevler!$F61="","",IF(AND(Görevler!$C61&lt;=(L$4+Ayarlar!$C$6-1),Görevler!$D61&gt;=L$4),IF(L$4&lt;=Görevler!$C61+ROUND(Görevler!$F61*Görevler!$E61,0)-1,2,1),""))</f>
        <v/>
      </c>
      <c r="M61" s="22" t="str">
        <f aca="false">IF(Görevler!$F61="","",IF(AND(Görevler!$C61&lt;=(M$4+Ayarlar!$C$6-1),Görevler!$D61&gt;=M$4),IF(M$4&lt;=Görevler!$C61+ROUND(Görevler!$F61*Görevler!$E61,0)-1,2,1),""))</f>
        <v/>
      </c>
      <c r="N61" s="22" t="str">
        <f aca="false">IF(Görevler!$F61="","",IF(AND(Görevler!$C61&lt;=(N$4+Ayarlar!$C$6-1),Görevler!$D61&gt;=N$4),IF(N$4&lt;=Görevler!$C61+ROUND(Görevler!$F61*Görevler!$E61,0)-1,2,1),""))</f>
        <v/>
      </c>
      <c r="O61" s="22" t="str">
        <f aca="false">IF(Görevler!$F61="","",IF(AND(Görevler!$C61&lt;=(O$4+Ayarlar!$C$6-1),Görevler!$D61&gt;=O$4),IF(O$4&lt;=Görevler!$C61+ROUND(Görevler!$F61*Görevler!$E61,0)-1,2,1),""))</f>
        <v/>
      </c>
      <c r="P61" s="22" t="str">
        <f aca="false">IF(Görevler!$F61="","",IF(AND(Görevler!$C61&lt;=(P$4+Ayarlar!$C$6-1),Görevler!$D61&gt;=P$4),IF(P$4&lt;=Görevler!$C61+ROUND(Görevler!$F61*Görevler!$E61,0)-1,2,1),""))</f>
        <v/>
      </c>
      <c r="Q61" s="22" t="str">
        <f aca="false">IF(Görevler!$F61="","",IF(AND(Görevler!$C61&lt;=(Q$4+Ayarlar!$C$6-1),Görevler!$D61&gt;=Q$4),IF(Q$4&lt;=Görevler!$C61+ROUND(Görevler!$F61*Görevler!$E61,0)-1,2,1),""))</f>
        <v/>
      </c>
      <c r="R61" s="22" t="str">
        <f aca="false">IF(Görevler!$F61="","",IF(AND(Görevler!$C61&lt;=(R$4+Ayarlar!$C$6-1),Görevler!$D61&gt;=R$4),IF(R$4&lt;=Görevler!$C61+ROUND(Görevler!$F61*Görevler!$E61,0)-1,2,1),""))</f>
        <v/>
      </c>
      <c r="S61" s="22" t="str">
        <f aca="false">IF(Görevler!$F61="","",IF(AND(Görevler!$C61&lt;=(S$4+Ayarlar!$C$6-1),Görevler!$D61&gt;=S$4),IF(S$4&lt;=Görevler!$C61+ROUND(Görevler!$F61*Görevler!$E61,0)-1,2,1),""))</f>
        <v/>
      </c>
      <c r="T61" s="22" t="str">
        <f aca="false">IF(Görevler!$F61="","",IF(AND(Görevler!$C61&lt;=(T$4+Ayarlar!$C$6-1),Görevler!$D61&gt;=T$4),IF(T$4&lt;=Görevler!$C61+ROUND(Görevler!$F61*Görevler!$E61,0)-1,2,1),""))</f>
        <v/>
      </c>
      <c r="U61" s="22" t="str">
        <f aca="false">IF(Görevler!$F61="","",IF(AND(Görevler!$C61&lt;=(U$4+Ayarlar!$C$6-1),Görevler!$D61&gt;=U$4),IF(U$4&lt;=Görevler!$C61+ROUND(Görevler!$F61*Görevler!$E61,0)-1,2,1),""))</f>
        <v/>
      </c>
      <c r="V61" s="22" t="str">
        <f aca="false">IF(Görevler!$F61="","",IF(AND(Görevler!$C61&lt;=(V$4+Ayarlar!$C$6-1),Görevler!$D61&gt;=V$4),IF(V$4&lt;=Görevler!$C61+ROUND(Görevler!$F61*Görevler!$E61,0)-1,2,1),""))</f>
        <v/>
      </c>
      <c r="W61" s="22" t="str">
        <f aca="false">IF(Görevler!$F61="","",IF(AND(Görevler!$C61&lt;=(W$4+Ayarlar!$C$6-1),Görevler!$D61&gt;=W$4),IF(W$4&lt;=Görevler!$C61+ROUND(Görevler!$F61*Görevler!$E61,0)-1,2,1),""))</f>
        <v/>
      </c>
      <c r="X61" s="22" t="str">
        <f aca="false">IF(Görevler!$F61="","",IF(AND(Görevler!$C61&lt;=(X$4+Ayarlar!$C$6-1),Görevler!$D61&gt;=X$4),IF(X$4&lt;=Görevler!$C61+ROUND(Görevler!$F61*Görevler!$E61,0)-1,2,1),""))</f>
        <v/>
      </c>
      <c r="Y61" s="22" t="str">
        <f aca="false">IF(Görevler!$F61="","",IF(AND(Görevler!$C61&lt;=(Y$4+Ayarlar!$C$6-1),Görevler!$D61&gt;=Y$4),IF(Y$4&lt;=Görevler!$C61+ROUND(Görevler!$F61*Görevler!$E61,0)-1,2,1),""))</f>
        <v/>
      </c>
      <c r="Z61" s="22" t="str">
        <f aca="false">IF(Görevler!$F61="","",IF(AND(Görevler!$C61&lt;=(Z$4+Ayarlar!$C$6-1),Görevler!$D61&gt;=Z$4),IF(Z$4&lt;=Görevler!$C61+ROUND(Görevler!$F61*Görevler!$E61,0)-1,2,1),""))</f>
        <v/>
      </c>
      <c r="AA61" s="22" t="str">
        <f aca="false">IF(Görevler!$F61="","",IF(AND(Görevler!$C61&lt;=(AA$4+Ayarlar!$C$6-1),Görevler!$D61&gt;=AA$4),IF(AA$4&lt;=Görevler!$C61+ROUND(Görevler!$F61*Görevler!$E61,0)-1,2,1),""))</f>
        <v/>
      </c>
      <c r="AB61" s="22" t="str">
        <f aca="false">IF(Görevler!$F61="","",IF(AND(Görevler!$C61&lt;=(AB$4+Ayarlar!$C$6-1),Görevler!$D61&gt;=AB$4),IF(AB$4&lt;=Görevler!$C61+ROUND(Görevler!$F61*Görevler!$E61,0)-1,2,1),""))</f>
        <v/>
      </c>
      <c r="AC61" s="22" t="str">
        <f aca="false">IF(Görevler!$F61="","",IF(AND(Görevler!$C61&lt;=(AC$4+Ayarlar!$C$6-1),Görevler!$D61&gt;=AC$4),IF(AC$4&lt;=Görevler!$C61+ROUND(Görevler!$F61*Görevler!$E61,0)-1,2,1),""))</f>
        <v/>
      </c>
      <c r="AD61" s="22" t="str">
        <f aca="false">IF(Görevler!$F61="","",IF(AND(Görevler!$C61&lt;=(AD$4+Ayarlar!$C$6-1),Görevler!$D61&gt;=AD$4),IF(AD$4&lt;=Görevler!$C61+ROUND(Görevler!$F61*Görevler!$E61,0)-1,2,1),""))</f>
        <v/>
      </c>
      <c r="AE61" s="22" t="str">
        <f aca="false">IF(Görevler!$F61="","",IF(AND(Görevler!$C61&lt;=(AE$4+Ayarlar!$C$6-1),Görevler!$D61&gt;=AE$4),IF(AE$4&lt;=Görevler!$C61+ROUND(Görevler!$F61*Görevler!$E61,0)-1,2,1),""))</f>
        <v/>
      </c>
      <c r="AF61" s="22" t="str">
        <f aca="false">IF(Görevler!$F61="","",IF(AND(Görevler!$C61&lt;=(AF$4+Ayarlar!$C$6-1),Görevler!$D61&gt;=AF$4),IF(AF$4&lt;=Görevler!$C61+ROUND(Görevler!$F61*Görevler!$E61,0)-1,2,1),""))</f>
        <v/>
      </c>
      <c r="AG61" s="22" t="str">
        <f aca="false">IF(Görevler!$F61="","",IF(AND(Görevler!$C61&lt;=(AG$4+Ayarlar!$C$6-1),Görevler!$D61&gt;=AG$4),IF(AG$4&lt;=Görevler!$C61+ROUND(Görevler!$F61*Görevler!$E61,0)-1,2,1),""))</f>
        <v/>
      </c>
      <c r="AH61" s="22" t="str">
        <f aca="false">IF(Görevler!$F61="","",IF(AND(Görevler!$C61&lt;=(AH$4+Ayarlar!$C$6-1),Görevler!$D61&gt;=AH$4),IF(AH$4&lt;=Görevler!$C61+ROUND(Görevler!$F61*Görevler!$E61,0)-1,2,1),""))</f>
        <v/>
      </c>
      <c r="AI61" s="22" t="str">
        <f aca="false">IF(Görevler!$F61="","",IF(AND(Görevler!$C61&lt;=(AI$4+Ayarlar!$C$6-1),Görevler!$D61&gt;=AI$4),IF(AI$4&lt;=Görevler!$C61+ROUND(Görevler!$F61*Görevler!$E61,0)-1,2,1),""))</f>
        <v/>
      </c>
      <c r="AJ61" s="22" t="str">
        <f aca="false">IF(Görevler!$F61="","",IF(AND(Görevler!$C61&lt;=(AJ$4+Ayarlar!$C$6-1),Görevler!$D61&gt;=AJ$4),IF(AJ$4&lt;=Görevler!$C61+ROUND(Görevler!$F61*Görevler!$E61,0)-1,2,1),""))</f>
        <v/>
      </c>
      <c r="AK61" s="22" t="str">
        <f aca="false">IF(Görevler!$F61="","",IF(AND(Görevler!$C61&lt;=(AK$4+Ayarlar!$C$6-1),Görevler!$D61&gt;=AK$4),IF(AK$4&lt;=Görevler!$C61+ROUND(Görevler!$F61*Görevler!$E61,0)-1,2,1),""))</f>
        <v/>
      </c>
      <c r="AL61" s="22" t="str">
        <f aca="false">IF(Görevler!$F61="","",IF(AND(Görevler!$C61&lt;=(AL$4+Ayarlar!$C$6-1),Görevler!$D61&gt;=AL$4),IF(AL$4&lt;=Görevler!$C61+ROUND(Görevler!$F61*Görevler!$E61,0)-1,2,1),""))</f>
        <v/>
      </c>
      <c r="AM61" s="22" t="str">
        <f aca="false">IF(Görevler!$F61="","",IF(AND(Görevler!$C61&lt;=(AM$4+Ayarlar!$C$6-1),Görevler!$D61&gt;=AM$4),IF(AM$4&lt;=Görevler!$C61+ROUND(Görevler!$F61*Görevler!$E61,0)-1,2,1),""))</f>
        <v/>
      </c>
      <c r="AN61" s="22" t="str">
        <f aca="false">IF(Görevler!$F61="","",IF(AND(Görevler!$C61&lt;=(AN$4+Ayarlar!$C$6-1),Görevler!$D61&gt;=AN$4),IF(AN$4&lt;=Görevler!$C61+ROUND(Görevler!$F61*Görevler!$E61,0)-1,2,1),""))</f>
        <v/>
      </c>
      <c r="AO61" s="22" t="str">
        <f aca="false">IF(Görevler!$F61="","",IF(AND(Görevler!$C61&lt;=(AO$4+Ayarlar!$C$6-1),Görevler!$D61&gt;=AO$4),IF(AO$4&lt;=Görevler!$C61+ROUND(Görevler!$F61*Görevler!$E61,0)-1,2,1),""))</f>
        <v/>
      </c>
      <c r="AP61" s="22" t="str">
        <f aca="false">IF(Görevler!$F61="","",IF(AND(Görevler!$C61&lt;=(AP$4+Ayarlar!$C$6-1),Görevler!$D61&gt;=AP$4),IF(AP$4&lt;=Görevler!$C61+ROUND(Görevler!$F61*Görevler!$E61,0)-1,2,1),""))</f>
        <v/>
      </c>
      <c r="AQ61" s="22" t="str">
        <f aca="false">IF(Görevler!$F61="","",IF(AND(Görevler!$C61&lt;=(AQ$4+Ayarlar!$C$6-1),Görevler!$D61&gt;=AQ$4),IF(AQ$4&lt;=Görevler!$C61+ROUND(Görevler!$F61*Görevler!$E61,0)-1,2,1),""))</f>
        <v/>
      </c>
      <c r="AR61" s="22" t="str">
        <f aca="false">IF(Görevler!$F61="","",IF(AND(Görevler!$C61&lt;=(AR$4+Ayarlar!$C$6-1),Görevler!$D61&gt;=AR$4),IF(AR$4&lt;=Görevler!$C61+ROUND(Görevler!$F61*Görevler!$E61,0)-1,2,1),""))</f>
        <v/>
      </c>
      <c r="AS61" s="22" t="str">
        <f aca="false">IF(Görevler!$F61="","",IF(AND(Görevler!$C61&lt;=(AS$4+Ayarlar!$C$6-1),Görevler!$D61&gt;=AS$4),IF(AS$4&lt;=Görevler!$C61+ROUND(Görevler!$F61*Görevler!$E61,0)-1,2,1),""))</f>
        <v/>
      </c>
      <c r="AT61" s="22" t="str">
        <f aca="false">IF(Görevler!$F61="","",IF(AND(Görevler!$C61&lt;=(AT$4+Ayarlar!$C$6-1),Görevler!$D61&gt;=AT$4),IF(AT$4&lt;=Görevler!$C61+ROUND(Görevler!$F61*Görevler!$E61,0)-1,2,1),""))</f>
        <v/>
      </c>
      <c r="AU61" s="22" t="str">
        <f aca="false">IF(Görevler!$F61="","",IF(AND(Görevler!$C61&lt;=(AU$4+Ayarlar!$C$6-1),Görevler!$D61&gt;=AU$4),IF(AU$4&lt;=Görevler!$C61+ROUND(Görevler!$F61*Görevler!$E61,0)-1,2,1),""))</f>
        <v/>
      </c>
      <c r="AV61" s="22" t="str">
        <f aca="false">IF(Görevler!$F61="","",IF(AND(Görevler!$C61&lt;=(AV$4+Ayarlar!$C$6-1),Görevler!$D61&gt;=AV$4),IF(AV$4&lt;=Görevler!$C61+ROUND(Görevler!$F61*Görevler!$E61,0)-1,2,1),""))</f>
        <v/>
      </c>
      <c r="AW61" s="22" t="str">
        <f aca="false">IF(Görevler!$F61="","",IF(AND(Görevler!$C61&lt;=(AW$4+Ayarlar!$C$6-1),Görevler!$D61&gt;=AW$4),IF(AW$4&lt;=Görevler!$C61+ROUND(Görevler!$F61*Görevler!$E61,0)-1,2,1),""))</f>
        <v/>
      </c>
      <c r="AX61" s="22" t="str">
        <f aca="false">IF(Görevler!$F61="","",IF(AND(Görevler!$C61&lt;=(AX$4+Ayarlar!$C$6-1),Görevler!$D61&gt;=AX$4),IF(AX$4&lt;=Görevler!$C61+ROUND(Görevler!$F61*Görevler!$E61,0)-1,2,1),""))</f>
        <v/>
      </c>
      <c r="AY61" s="22" t="str">
        <f aca="false">IF(Görevler!$F61="","",IF(AND(Görevler!$C61&lt;=(AY$4+Ayarlar!$C$6-1),Görevler!$D61&gt;=AY$4),IF(AY$4&lt;=Görevler!$C61+ROUND(Görevler!$F61*Görevler!$E61,0)-1,2,1),""))</f>
        <v/>
      </c>
      <c r="AZ61" s="22" t="str">
        <f aca="false">IF(Görevler!$F61="","",IF(AND(Görevler!$C61&lt;=(AZ$4+Ayarlar!$C$6-1),Görevler!$D61&gt;=AZ$4),IF(AZ$4&lt;=Görevler!$C61+ROUND(Görevler!$F61*Görevler!$E61,0)-1,2,1),""))</f>
        <v/>
      </c>
      <c r="BA61" s="22" t="str">
        <f aca="false">IF(Görevler!$F61="","",IF(AND(Görevler!$C61&lt;=(BA$4+Ayarlar!$C$6-1),Görevler!$D61&gt;=BA$4),IF(BA$4&lt;=Görevler!$C61+ROUND(Görevler!$F61*Görevler!$E61,0)-1,2,1),""))</f>
        <v/>
      </c>
      <c r="BB61" s="22" t="str">
        <f aca="false">IF(Görevler!$F61="","",IF(AND(Görevler!$C61&lt;=(BB$4+Ayarlar!$C$6-1),Görevler!$D61&gt;=BB$4),IF(BB$4&lt;=Görevler!$C61+ROUND(Görevler!$F61*Görevler!$E61,0)-1,2,1),""))</f>
        <v/>
      </c>
      <c r="BC61" s="22" t="str">
        <f aca="false">IF(Görevler!$F61="","",IF(AND(Görevler!$C61&lt;=(BC$4+Ayarlar!$C$6-1),Görevler!$D61&gt;=BC$4),IF(BC$4&lt;=Görevler!$C61+ROUND(Görevler!$F61*Görevler!$E61,0)-1,2,1),""))</f>
        <v/>
      </c>
      <c r="BD61" s="22" t="str">
        <f aca="false">IF(Görevler!$F61="","",IF(AND(Görevler!$C61&lt;=(BD$4+Ayarlar!$C$6-1),Görevler!$D61&gt;=BD$4),IF(BD$4&lt;=Görevler!$C61+ROUND(Görevler!$F61*Görevler!$E61,0)-1,2,1),""))</f>
        <v/>
      </c>
      <c r="BE61" s="22" t="str">
        <f aca="false">IF(Görevler!$F61="","",IF(AND(Görevler!$C61&lt;=(BE$4+Ayarlar!$C$6-1),Görevler!$D61&gt;=BE$4),IF(BE$4&lt;=Görevler!$C61+ROUND(Görevler!$F61*Görevler!$E61,0)-1,2,1),""))</f>
        <v/>
      </c>
      <c r="BF61" s="22" t="str">
        <f aca="false">IF(Görevler!$F61="","",IF(AND(Görevler!$C61&lt;=(BF$4+Ayarlar!$C$6-1),Görevler!$D61&gt;=BF$4),IF(BF$4&lt;=Görevler!$C61+ROUND(Görevler!$F61*Görevler!$E61,0)-1,2,1),""))</f>
        <v/>
      </c>
      <c r="BG61" s="22" t="str">
        <f aca="false">IF(Görevler!$F61="","",IF(AND(Görevler!$C61&lt;=(BG$4+Ayarlar!$C$6-1),Görevler!$D61&gt;=BG$4),IF(BG$4&lt;=Görevler!$C61+ROUND(Görevler!$F61*Görevler!$E61,0)-1,2,1),""))</f>
        <v/>
      </c>
      <c r="BH61" s="22" t="str">
        <f aca="false">IF(Görevler!$F61="","",IF(AND(Görevler!$C61&lt;=(BH$4+Ayarlar!$C$6-1),Görevler!$D61&gt;=BH$4),IF(BH$4&lt;=Görevler!$C61+ROUND(Görevler!$F61*Görevler!$E61,0)-1,2,1),""))</f>
        <v/>
      </c>
      <c r="BI61" s="22" t="str">
        <f aca="false">IF(Görevler!$F61="","",IF(AND(Görevler!$C61&lt;=(BI$4+Ayarlar!$C$6-1),Görevler!$D61&gt;=BI$4),IF(BI$4&lt;=Görevler!$C61+ROUND(Görevler!$F61*Görevler!$E61,0)-1,2,1),""))</f>
        <v/>
      </c>
      <c r="BJ61" s="22" t="str">
        <f aca="false">IF(Görevler!$F61="","",IF(AND(Görevler!$C61&lt;=(BJ$4+Ayarlar!$C$6-1),Görevler!$D61&gt;=BJ$4),IF(BJ$4&lt;=Görevler!$C61+ROUND(Görevler!$F61*Görevler!$E61,0)-1,2,1),""))</f>
        <v/>
      </c>
    </row>
    <row r="62" customFormat="false" ht="15" hidden="false" customHeight="false" outlineLevel="0" collapsed="false">
      <c r="A62" s="21" t="str">
        <f aca="false">IF(Görevler!A62="","",Görevler!A62)</f>
        <v/>
      </c>
      <c r="B62" s="21" t="str">
        <f aca="false">IF(Görevler!A62="","",Görevler!B62&amp;"")</f>
        <v/>
      </c>
      <c r="C62" s="22" t="str">
        <f aca="false">IF(Görevler!$F62="","",IF(AND(Görevler!$C62&lt;=(C$4+Ayarlar!$C$6-1),Görevler!$D62&gt;=C$4),IF(C$4&lt;=Görevler!$C62+ROUND(Görevler!$F62*Görevler!$E62,0)-1,2,1),""))</f>
        <v/>
      </c>
      <c r="D62" s="22" t="str">
        <f aca="false">IF(Görevler!$F62="","",IF(AND(Görevler!$C62&lt;=(D$4+Ayarlar!$C$6-1),Görevler!$D62&gt;=D$4),IF(D$4&lt;=Görevler!$C62+ROUND(Görevler!$F62*Görevler!$E62,0)-1,2,1),""))</f>
        <v/>
      </c>
      <c r="E62" s="22" t="str">
        <f aca="false">IF(Görevler!$F62="","",IF(AND(Görevler!$C62&lt;=(E$4+Ayarlar!$C$6-1),Görevler!$D62&gt;=E$4),IF(E$4&lt;=Görevler!$C62+ROUND(Görevler!$F62*Görevler!$E62,0)-1,2,1),""))</f>
        <v/>
      </c>
      <c r="F62" s="22" t="str">
        <f aca="false">IF(Görevler!$F62="","",IF(AND(Görevler!$C62&lt;=(F$4+Ayarlar!$C$6-1),Görevler!$D62&gt;=F$4),IF(F$4&lt;=Görevler!$C62+ROUND(Görevler!$F62*Görevler!$E62,0)-1,2,1),""))</f>
        <v/>
      </c>
      <c r="G62" s="22" t="str">
        <f aca="false">IF(Görevler!$F62="","",IF(AND(Görevler!$C62&lt;=(G$4+Ayarlar!$C$6-1),Görevler!$D62&gt;=G$4),IF(G$4&lt;=Görevler!$C62+ROUND(Görevler!$F62*Görevler!$E62,0)-1,2,1),""))</f>
        <v/>
      </c>
      <c r="H62" s="22" t="str">
        <f aca="false">IF(Görevler!$F62="","",IF(AND(Görevler!$C62&lt;=(H$4+Ayarlar!$C$6-1),Görevler!$D62&gt;=H$4),IF(H$4&lt;=Görevler!$C62+ROUND(Görevler!$F62*Görevler!$E62,0)-1,2,1),""))</f>
        <v/>
      </c>
      <c r="I62" s="22" t="str">
        <f aca="false">IF(Görevler!$F62="","",IF(AND(Görevler!$C62&lt;=(I$4+Ayarlar!$C$6-1),Görevler!$D62&gt;=I$4),IF(I$4&lt;=Görevler!$C62+ROUND(Görevler!$F62*Görevler!$E62,0)-1,2,1),""))</f>
        <v/>
      </c>
      <c r="J62" s="22" t="str">
        <f aca="false">IF(Görevler!$F62="","",IF(AND(Görevler!$C62&lt;=(J$4+Ayarlar!$C$6-1),Görevler!$D62&gt;=J$4),IF(J$4&lt;=Görevler!$C62+ROUND(Görevler!$F62*Görevler!$E62,0)-1,2,1),""))</f>
        <v/>
      </c>
      <c r="K62" s="22" t="str">
        <f aca="false">IF(Görevler!$F62="","",IF(AND(Görevler!$C62&lt;=(K$4+Ayarlar!$C$6-1),Görevler!$D62&gt;=K$4),IF(K$4&lt;=Görevler!$C62+ROUND(Görevler!$F62*Görevler!$E62,0)-1,2,1),""))</f>
        <v/>
      </c>
      <c r="L62" s="22" t="str">
        <f aca="false">IF(Görevler!$F62="","",IF(AND(Görevler!$C62&lt;=(L$4+Ayarlar!$C$6-1),Görevler!$D62&gt;=L$4),IF(L$4&lt;=Görevler!$C62+ROUND(Görevler!$F62*Görevler!$E62,0)-1,2,1),""))</f>
        <v/>
      </c>
      <c r="M62" s="22" t="str">
        <f aca="false">IF(Görevler!$F62="","",IF(AND(Görevler!$C62&lt;=(M$4+Ayarlar!$C$6-1),Görevler!$D62&gt;=M$4),IF(M$4&lt;=Görevler!$C62+ROUND(Görevler!$F62*Görevler!$E62,0)-1,2,1),""))</f>
        <v/>
      </c>
      <c r="N62" s="22" t="str">
        <f aca="false">IF(Görevler!$F62="","",IF(AND(Görevler!$C62&lt;=(N$4+Ayarlar!$C$6-1),Görevler!$D62&gt;=N$4),IF(N$4&lt;=Görevler!$C62+ROUND(Görevler!$F62*Görevler!$E62,0)-1,2,1),""))</f>
        <v/>
      </c>
      <c r="O62" s="22" t="str">
        <f aca="false">IF(Görevler!$F62="","",IF(AND(Görevler!$C62&lt;=(O$4+Ayarlar!$C$6-1),Görevler!$D62&gt;=O$4),IF(O$4&lt;=Görevler!$C62+ROUND(Görevler!$F62*Görevler!$E62,0)-1,2,1),""))</f>
        <v/>
      </c>
      <c r="P62" s="22" t="str">
        <f aca="false">IF(Görevler!$F62="","",IF(AND(Görevler!$C62&lt;=(P$4+Ayarlar!$C$6-1),Görevler!$D62&gt;=P$4),IF(P$4&lt;=Görevler!$C62+ROUND(Görevler!$F62*Görevler!$E62,0)-1,2,1),""))</f>
        <v/>
      </c>
      <c r="Q62" s="22" t="str">
        <f aca="false">IF(Görevler!$F62="","",IF(AND(Görevler!$C62&lt;=(Q$4+Ayarlar!$C$6-1),Görevler!$D62&gt;=Q$4),IF(Q$4&lt;=Görevler!$C62+ROUND(Görevler!$F62*Görevler!$E62,0)-1,2,1),""))</f>
        <v/>
      </c>
      <c r="R62" s="22" t="str">
        <f aca="false">IF(Görevler!$F62="","",IF(AND(Görevler!$C62&lt;=(R$4+Ayarlar!$C$6-1),Görevler!$D62&gt;=R$4),IF(R$4&lt;=Görevler!$C62+ROUND(Görevler!$F62*Görevler!$E62,0)-1,2,1),""))</f>
        <v/>
      </c>
      <c r="S62" s="22" t="str">
        <f aca="false">IF(Görevler!$F62="","",IF(AND(Görevler!$C62&lt;=(S$4+Ayarlar!$C$6-1),Görevler!$D62&gt;=S$4),IF(S$4&lt;=Görevler!$C62+ROUND(Görevler!$F62*Görevler!$E62,0)-1,2,1),""))</f>
        <v/>
      </c>
      <c r="T62" s="22" t="str">
        <f aca="false">IF(Görevler!$F62="","",IF(AND(Görevler!$C62&lt;=(T$4+Ayarlar!$C$6-1),Görevler!$D62&gt;=T$4),IF(T$4&lt;=Görevler!$C62+ROUND(Görevler!$F62*Görevler!$E62,0)-1,2,1),""))</f>
        <v/>
      </c>
      <c r="U62" s="22" t="str">
        <f aca="false">IF(Görevler!$F62="","",IF(AND(Görevler!$C62&lt;=(U$4+Ayarlar!$C$6-1),Görevler!$D62&gt;=U$4),IF(U$4&lt;=Görevler!$C62+ROUND(Görevler!$F62*Görevler!$E62,0)-1,2,1),""))</f>
        <v/>
      </c>
      <c r="V62" s="22" t="str">
        <f aca="false">IF(Görevler!$F62="","",IF(AND(Görevler!$C62&lt;=(V$4+Ayarlar!$C$6-1),Görevler!$D62&gt;=V$4),IF(V$4&lt;=Görevler!$C62+ROUND(Görevler!$F62*Görevler!$E62,0)-1,2,1),""))</f>
        <v/>
      </c>
      <c r="W62" s="22" t="str">
        <f aca="false">IF(Görevler!$F62="","",IF(AND(Görevler!$C62&lt;=(W$4+Ayarlar!$C$6-1),Görevler!$D62&gt;=W$4),IF(W$4&lt;=Görevler!$C62+ROUND(Görevler!$F62*Görevler!$E62,0)-1,2,1),""))</f>
        <v/>
      </c>
      <c r="X62" s="22" t="str">
        <f aca="false">IF(Görevler!$F62="","",IF(AND(Görevler!$C62&lt;=(X$4+Ayarlar!$C$6-1),Görevler!$D62&gt;=X$4),IF(X$4&lt;=Görevler!$C62+ROUND(Görevler!$F62*Görevler!$E62,0)-1,2,1),""))</f>
        <v/>
      </c>
      <c r="Y62" s="22" t="str">
        <f aca="false">IF(Görevler!$F62="","",IF(AND(Görevler!$C62&lt;=(Y$4+Ayarlar!$C$6-1),Görevler!$D62&gt;=Y$4),IF(Y$4&lt;=Görevler!$C62+ROUND(Görevler!$F62*Görevler!$E62,0)-1,2,1),""))</f>
        <v/>
      </c>
      <c r="Z62" s="22" t="str">
        <f aca="false">IF(Görevler!$F62="","",IF(AND(Görevler!$C62&lt;=(Z$4+Ayarlar!$C$6-1),Görevler!$D62&gt;=Z$4),IF(Z$4&lt;=Görevler!$C62+ROUND(Görevler!$F62*Görevler!$E62,0)-1,2,1),""))</f>
        <v/>
      </c>
      <c r="AA62" s="22" t="str">
        <f aca="false">IF(Görevler!$F62="","",IF(AND(Görevler!$C62&lt;=(AA$4+Ayarlar!$C$6-1),Görevler!$D62&gt;=AA$4),IF(AA$4&lt;=Görevler!$C62+ROUND(Görevler!$F62*Görevler!$E62,0)-1,2,1),""))</f>
        <v/>
      </c>
      <c r="AB62" s="22" t="str">
        <f aca="false">IF(Görevler!$F62="","",IF(AND(Görevler!$C62&lt;=(AB$4+Ayarlar!$C$6-1),Görevler!$D62&gt;=AB$4),IF(AB$4&lt;=Görevler!$C62+ROUND(Görevler!$F62*Görevler!$E62,0)-1,2,1),""))</f>
        <v/>
      </c>
      <c r="AC62" s="22" t="str">
        <f aca="false">IF(Görevler!$F62="","",IF(AND(Görevler!$C62&lt;=(AC$4+Ayarlar!$C$6-1),Görevler!$D62&gt;=AC$4),IF(AC$4&lt;=Görevler!$C62+ROUND(Görevler!$F62*Görevler!$E62,0)-1,2,1),""))</f>
        <v/>
      </c>
      <c r="AD62" s="22" t="str">
        <f aca="false">IF(Görevler!$F62="","",IF(AND(Görevler!$C62&lt;=(AD$4+Ayarlar!$C$6-1),Görevler!$D62&gt;=AD$4),IF(AD$4&lt;=Görevler!$C62+ROUND(Görevler!$F62*Görevler!$E62,0)-1,2,1),""))</f>
        <v/>
      </c>
      <c r="AE62" s="22" t="str">
        <f aca="false">IF(Görevler!$F62="","",IF(AND(Görevler!$C62&lt;=(AE$4+Ayarlar!$C$6-1),Görevler!$D62&gt;=AE$4),IF(AE$4&lt;=Görevler!$C62+ROUND(Görevler!$F62*Görevler!$E62,0)-1,2,1),""))</f>
        <v/>
      </c>
      <c r="AF62" s="22" t="str">
        <f aca="false">IF(Görevler!$F62="","",IF(AND(Görevler!$C62&lt;=(AF$4+Ayarlar!$C$6-1),Görevler!$D62&gt;=AF$4),IF(AF$4&lt;=Görevler!$C62+ROUND(Görevler!$F62*Görevler!$E62,0)-1,2,1),""))</f>
        <v/>
      </c>
      <c r="AG62" s="22" t="str">
        <f aca="false">IF(Görevler!$F62="","",IF(AND(Görevler!$C62&lt;=(AG$4+Ayarlar!$C$6-1),Görevler!$D62&gt;=AG$4),IF(AG$4&lt;=Görevler!$C62+ROUND(Görevler!$F62*Görevler!$E62,0)-1,2,1),""))</f>
        <v/>
      </c>
      <c r="AH62" s="22" t="str">
        <f aca="false">IF(Görevler!$F62="","",IF(AND(Görevler!$C62&lt;=(AH$4+Ayarlar!$C$6-1),Görevler!$D62&gt;=AH$4),IF(AH$4&lt;=Görevler!$C62+ROUND(Görevler!$F62*Görevler!$E62,0)-1,2,1),""))</f>
        <v/>
      </c>
      <c r="AI62" s="22" t="str">
        <f aca="false">IF(Görevler!$F62="","",IF(AND(Görevler!$C62&lt;=(AI$4+Ayarlar!$C$6-1),Görevler!$D62&gt;=AI$4),IF(AI$4&lt;=Görevler!$C62+ROUND(Görevler!$F62*Görevler!$E62,0)-1,2,1),""))</f>
        <v/>
      </c>
      <c r="AJ62" s="22" t="str">
        <f aca="false">IF(Görevler!$F62="","",IF(AND(Görevler!$C62&lt;=(AJ$4+Ayarlar!$C$6-1),Görevler!$D62&gt;=AJ$4),IF(AJ$4&lt;=Görevler!$C62+ROUND(Görevler!$F62*Görevler!$E62,0)-1,2,1),""))</f>
        <v/>
      </c>
      <c r="AK62" s="22" t="str">
        <f aca="false">IF(Görevler!$F62="","",IF(AND(Görevler!$C62&lt;=(AK$4+Ayarlar!$C$6-1),Görevler!$D62&gt;=AK$4),IF(AK$4&lt;=Görevler!$C62+ROUND(Görevler!$F62*Görevler!$E62,0)-1,2,1),""))</f>
        <v/>
      </c>
      <c r="AL62" s="22" t="str">
        <f aca="false">IF(Görevler!$F62="","",IF(AND(Görevler!$C62&lt;=(AL$4+Ayarlar!$C$6-1),Görevler!$D62&gt;=AL$4),IF(AL$4&lt;=Görevler!$C62+ROUND(Görevler!$F62*Görevler!$E62,0)-1,2,1),""))</f>
        <v/>
      </c>
      <c r="AM62" s="22" t="str">
        <f aca="false">IF(Görevler!$F62="","",IF(AND(Görevler!$C62&lt;=(AM$4+Ayarlar!$C$6-1),Görevler!$D62&gt;=AM$4),IF(AM$4&lt;=Görevler!$C62+ROUND(Görevler!$F62*Görevler!$E62,0)-1,2,1),""))</f>
        <v/>
      </c>
      <c r="AN62" s="22" t="str">
        <f aca="false">IF(Görevler!$F62="","",IF(AND(Görevler!$C62&lt;=(AN$4+Ayarlar!$C$6-1),Görevler!$D62&gt;=AN$4),IF(AN$4&lt;=Görevler!$C62+ROUND(Görevler!$F62*Görevler!$E62,0)-1,2,1),""))</f>
        <v/>
      </c>
      <c r="AO62" s="22" t="str">
        <f aca="false">IF(Görevler!$F62="","",IF(AND(Görevler!$C62&lt;=(AO$4+Ayarlar!$C$6-1),Görevler!$D62&gt;=AO$4),IF(AO$4&lt;=Görevler!$C62+ROUND(Görevler!$F62*Görevler!$E62,0)-1,2,1),""))</f>
        <v/>
      </c>
      <c r="AP62" s="22" t="str">
        <f aca="false">IF(Görevler!$F62="","",IF(AND(Görevler!$C62&lt;=(AP$4+Ayarlar!$C$6-1),Görevler!$D62&gt;=AP$4),IF(AP$4&lt;=Görevler!$C62+ROUND(Görevler!$F62*Görevler!$E62,0)-1,2,1),""))</f>
        <v/>
      </c>
      <c r="AQ62" s="22" t="str">
        <f aca="false">IF(Görevler!$F62="","",IF(AND(Görevler!$C62&lt;=(AQ$4+Ayarlar!$C$6-1),Görevler!$D62&gt;=AQ$4),IF(AQ$4&lt;=Görevler!$C62+ROUND(Görevler!$F62*Görevler!$E62,0)-1,2,1),""))</f>
        <v/>
      </c>
      <c r="AR62" s="22" t="str">
        <f aca="false">IF(Görevler!$F62="","",IF(AND(Görevler!$C62&lt;=(AR$4+Ayarlar!$C$6-1),Görevler!$D62&gt;=AR$4),IF(AR$4&lt;=Görevler!$C62+ROUND(Görevler!$F62*Görevler!$E62,0)-1,2,1),""))</f>
        <v/>
      </c>
      <c r="AS62" s="22" t="str">
        <f aca="false">IF(Görevler!$F62="","",IF(AND(Görevler!$C62&lt;=(AS$4+Ayarlar!$C$6-1),Görevler!$D62&gt;=AS$4),IF(AS$4&lt;=Görevler!$C62+ROUND(Görevler!$F62*Görevler!$E62,0)-1,2,1),""))</f>
        <v/>
      </c>
      <c r="AT62" s="22" t="str">
        <f aca="false">IF(Görevler!$F62="","",IF(AND(Görevler!$C62&lt;=(AT$4+Ayarlar!$C$6-1),Görevler!$D62&gt;=AT$4),IF(AT$4&lt;=Görevler!$C62+ROUND(Görevler!$F62*Görevler!$E62,0)-1,2,1),""))</f>
        <v/>
      </c>
      <c r="AU62" s="22" t="str">
        <f aca="false">IF(Görevler!$F62="","",IF(AND(Görevler!$C62&lt;=(AU$4+Ayarlar!$C$6-1),Görevler!$D62&gt;=AU$4),IF(AU$4&lt;=Görevler!$C62+ROUND(Görevler!$F62*Görevler!$E62,0)-1,2,1),""))</f>
        <v/>
      </c>
      <c r="AV62" s="22" t="str">
        <f aca="false">IF(Görevler!$F62="","",IF(AND(Görevler!$C62&lt;=(AV$4+Ayarlar!$C$6-1),Görevler!$D62&gt;=AV$4),IF(AV$4&lt;=Görevler!$C62+ROUND(Görevler!$F62*Görevler!$E62,0)-1,2,1),""))</f>
        <v/>
      </c>
      <c r="AW62" s="22" t="str">
        <f aca="false">IF(Görevler!$F62="","",IF(AND(Görevler!$C62&lt;=(AW$4+Ayarlar!$C$6-1),Görevler!$D62&gt;=AW$4),IF(AW$4&lt;=Görevler!$C62+ROUND(Görevler!$F62*Görevler!$E62,0)-1,2,1),""))</f>
        <v/>
      </c>
      <c r="AX62" s="22" t="str">
        <f aca="false">IF(Görevler!$F62="","",IF(AND(Görevler!$C62&lt;=(AX$4+Ayarlar!$C$6-1),Görevler!$D62&gt;=AX$4),IF(AX$4&lt;=Görevler!$C62+ROUND(Görevler!$F62*Görevler!$E62,0)-1,2,1),""))</f>
        <v/>
      </c>
      <c r="AY62" s="22" t="str">
        <f aca="false">IF(Görevler!$F62="","",IF(AND(Görevler!$C62&lt;=(AY$4+Ayarlar!$C$6-1),Görevler!$D62&gt;=AY$4),IF(AY$4&lt;=Görevler!$C62+ROUND(Görevler!$F62*Görevler!$E62,0)-1,2,1),""))</f>
        <v/>
      </c>
      <c r="AZ62" s="22" t="str">
        <f aca="false">IF(Görevler!$F62="","",IF(AND(Görevler!$C62&lt;=(AZ$4+Ayarlar!$C$6-1),Görevler!$D62&gt;=AZ$4),IF(AZ$4&lt;=Görevler!$C62+ROUND(Görevler!$F62*Görevler!$E62,0)-1,2,1),""))</f>
        <v/>
      </c>
      <c r="BA62" s="22" t="str">
        <f aca="false">IF(Görevler!$F62="","",IF(AND(Görevler!$C62&lt;=(BA$4+Ayarlar!$C$6-1),Görevler!$D62&gt;=BA$4),IF(BA$4&lt;=Görevler!$C62+ROUND(Görevler!$F62*Görevler!$E62,0)-1,2,1),""))</f>
        <v/>
      </c>
      <c r="BB62" s="22" t="str">
        <f aca="false">IF(Görevler!$F62="","",IF(AND(Görevler!$C62&lt;=(BB$4+Ayarlar!$C$6-1),Görevler!$D62&gt;=BB$4),IF(BB$4&lt;=Görevler!$C62+ROUND(Görevler!$F62*Görevler!$E62,0)-1,2,1),""))</f>
        <v/>
      </c>
      <c r="BC62" s="22" t="str">
        <f aca="false">IF(Görevler!$F62="","",IF(AND(Görevler!$C62&lt;=(BC$4+Ayarlar!$C$6-1),Görevler!$D62&gt;=BC$4),IF(BC$4&lt;=Görevler!$C62+ROUND(Görevler!$F62*Görevler!$E62,0)-1,2,1),""))</f>
        <v/>
      </c>
      <c r="BD62" s="22" t="str">
        <f aca="false">IF(Görevler!$F62="","",IF(AND(Görevler!$C62&lt;=(BD$4+Ayarlar!$C$6-1),Görevler!$D62&gt;=BD$4),IF(BD$4&lt;=Görevler!$C62+ROUND(Görevler!$F62*Görevler!$E62,0)-1,2,1),""))</f>
        <v/>
      </c>
      <c r="BE62" s="22" t="str">
        <f aca="false">IF(Görevler!$F62="","",IF(AND(Görevler!$C62&lt;=(BE$4+Ayarlar!$C$6-1),Görevler!$D62&gt;=BE$4),IF(BE$4&lt;=Görevler!$C62+ROUND(Görevler!$F62*Görevler!$E62,0)-1,2,1),""))</f>
        <v/>
      </c>
      <c r="BF62" s="22" t="str">
        <f aca="false">IF(Görevler!$F62="","",IF(AND(Görevler!$C62&lt;=(BF$4+Ayarlar!$C$6-1),Görevler!$D62&gt;=BF$4),IF(BF$4&lt;=Görevler!$C62+ROUND(Görevler!$F62*Görevler!$E62,0)-1,2,1),""))</f>
        <v/>
      </c>
      <c r="BG62" s="22" t="str">
        <f aca="false">IF(Görevler!$F62="","",IF(AND(Görevler!$C62&lt;=(BG$4+Ayarlar!$C$6-1),Görevler!$D62&gt;=BG$4),IF(BG$4&lt;=Görevler!$C62+ROUND(Görevler!$F62*Görevler!$E62,0)-1,2,1),""))</f>
        <v/>
      </c>
      <c r="BH62" s="22" t="str">
        <f aca="false">IF(Görevler!$F62="","",IF(AND(Görevler!$C62&lt;=(BH$4+Ayarlar!$C$6-1),Görevler!$D62&gt;=BH$4),IF(BH$4&lt;=Görevler!$C62+ROUND(Görevler!$F62*Görevler!$E62,0)-1,2,1),""))</f>
        <v/>
      </c>
      <c r="BI62" s="22" t="str">
        <f aca="false">IF(Görevler!$F62="","",IF(AND(Görevler!$C62&lt;=(BI$4+Ayarlar!$C$6-1),Görevler!$D62&gt;=BI$4),IF(BI$4&lt;=Görevler!$C62+ROUND(Görevler!$F62*Görevler!$E62,0)-1,2,1),""))</f>
        <v/>
      </c>
      <c r="BJ62" s="22" t="str">
        <f aca="false">IF(Görevler!$F62="","",IF(AND(Görevler!$C62&lt;=(BJ$4+Ayarlar!$C$6-1),Görevler!$D62&gt;=BJ$4),IF(BJ$4&lt;=Görevler!$C62+ROUND(Görevler!$F62*Görevler!$E62,0)-1,2,1),""))</f>
        <v/>
      </c>
    </row>
    <row r="63" customFormat="false" ht="15" hidden="false" customHeight="false" outlineLevel="0" collapsed="false">
      <c r="A63" s="21" t="str">
        <f aca="false">IF(Görevler!A63="","",Görevler!A63)</f>
        <v/>
      </c>
      <c r="B63" s="21" t="str">
        <f aca="false">IF(Görevler!A63="","",Görevler!B63&amp;"")</f>
        <v/>
      </c>
      <c r="C63" s="22" t="str">
        <f aca="false">IF(Görevler!$F63="","",IF(AND(Görevler!$C63&lt;=(C$4+Ayarlar!$C$6-1),Görevler!$D63&gt;=C$4),IF(C$4&lt;=Görevler!$C63+ROUND(Görevler!$F63*Görevler!$E63,0)-1,2,1),""))</f>
        <v/>
      </c>
      <c r="D63" s="22" t="str">
        <f aca="false">IF(Görevler!$F63="","",IF(AND(Görevler!$C63&lt;=(D$4+Ayarlar!$C$6-1),Görevler!$D63&gt;=D$4),IF(D$4&lt;=Görevler!$C63+ROUND(Görevler!$F63*Görevler!$E63,0)-1,2,1),""))</f>
        <v/>
      </c>
      <c r="E63" s="22" t="str">
        <f aca="false">IF(Görevler!$F63="","",IF(AND(Görevler!$C63&lt;=(E$4+Ayarlar!$C$6-1),Görevler!$D63&gt;=E$4),IF(E$4&lt;=Görevler!$C63+ROUND(Görevler!$F63*Görevler!$E63,0)-1,2,1),""))</f>
        <v/>
      </c>
      <c r="F63" s="22" t="str">
        <f aca="false">IF(Görevler!$F63="","",IF(AND(Görevler!$C63&lt;=(F$4+Ayarlar!$C$6-1),Görevler!$D63&gt;=F$4),IF(F$4&lt;=Görevler!$C63+ROUND(Görevler!$F63*Görevler!$E63,0)-1,2,1),""))</f>
        <v/>
      </c>
      <c r="G63" s="22" t="str">
        <f aca="false">IF(Görevler!$F63="","",IF(AND(Görevler!$C63&lt;=(G$4+Ayarlar!$C$6-1),Görevler!$D63&gt;=G$4),IF(G$4&lt;=Görevler!$C63+ROUND(Görevler!$F63*Görevler!$E63,0)-1,2,1),""))</f>
        <v/>
      </c>
      <c r="H63" s="22" t="str">
        <f aca="false">IF(Görevler!$F63="","",IF(AND(Görevler!$C63&lt;=(H$4+Ayarlar!$C$6-1),Görevler!$D63&gt;=H$4),IF(H$4&lt;=Görevler!$C63+ROUND(Görevler!$F63*Görevler!$E63,0)-1,2,1),""))</f>
        <v/>
      </c>
      <c r="I63" s="22" t="str">
        <f aca="false">IF(Görevler!$F63="","",IF(AND(Görevler!$C63&lt;=(I$4+Ayarlar!$C$6-1),Görevler!$D63&gt;=I$4),IF(I$4&lt;=Görevler!$C63+ROUND(Görevler!$F63*Görevler!$E63,0)-1,2,1),""))</f>
        <v/>
      </c>
      <c r="J63" s="22" t="str">
        <f aca="false">IF(Görevler!$F63="","",IF(AND(Görevler!$C63&lt;=(J$4+Ayarlar!$C$6-1),Görevler!$D63&gt;=J$4),IF(J$4&lt;=Görevler!$C63+ROUND(Görevler!$F63*Görevler!$E63,0)-1,2,1),""))</f>
        <v/>
      </c>
      <c r="K63" s="22" t="str">
        <f aca="false">IF(Görevler!$F63="","",IF(AND(Görevler!$C63&lt;=(K$4+Ayarlar!$C$6-1),Görevler!$D63&gt;=K$4),IF(K$4&lt;=Görevler!$C63+ROUND(Görevler!$F63*Görevler!$E63,0)-1,2,1),""))</f>
        <v/>
      </c>
      <c r="L63" s="22" t="str">
        <f aca="false">IF(Görevler!$F63="","",IF(AND(Görevler!$C63&lt;=(L$4+Ayarlar!$C$6-1),Görevler!$D63&gt;=L$4),IF(L$4&lt;=Görevler!$C63+ROUND(Görevler!$F63*Görevler!$E63,0)-1,2,1),""))</f>
        <v/>
      </c>
      <c r="M63" s="22" t="str">
        <f aca="false">IF(Görevler!$F63="","",IF(AND(Görevler!$C63&lt;=(M$4+Ayarlar!$C$6-1),Görevler!$D63&gt;=M$4),IF(M$4&lt;=Görevler!$C63+ROUND(Görevler!$F63*Görevler!$E63,0)-1,2,1),""))</f>
        <v/>
      </c>
      <c r="N63" s="22" t="str">
        <f aca="false">IF(Görevler!$F63="","",IF(AND(Görevler!$C63&lt;=(N$4+Ayarlar!$C$6-1),Görevler!$D63&gt;=N$4),IF(N$4&lt;=Görevler!$C63+ROUND(Görevler!$F63*Görevler!$E63,0)-1,2,1),""))</f>
        <v/>
      </c>
      <c r="O63" s="22" t="str">
        <f aca="false">IF(Görevler!$F63="","",IF(AND(Görevler!$C63&lt;=(O$4+Ayarlar!$C$6-1),Görevler!$D63&gt;=O$4),IF(O$4&lt;=Görevler!$C63+ROUND(Görevler!$F63*Görevler!$E63,0)-1,2,1),""))</f>
        <v/>
      </c>
      <c r="P63" s="22" t="str">
        <f aca="false">IF(Görevler!$F63="","",IF(AND(Görevler!$C63&lt;=(P$4+Ayarlar!$C$6-1),Görevler!$D63&gt;=P$4),IF(P$4&lt;=Görevler!$C63+ROUND(Görevler!$F63*Görevler!$E63,0)-1,2,1),""))</f>
        <v/>
      </c>
      <c r="Q63" s="22" t="str">
        <f aca="false">IF(Görevler!$F63="","",IF(AND(Görevler!$C63&lt;=(Q$4+Ayarlar!$C$6-1),Görevler!$D63&gt;=Q$4),IF(Q$4&lt;=Görevler!$C63+ROUND(Görevler!$F63*Görevler!$E63,0)-1,2,1),""))</f>
        <v/>
      </c>
      <c r="R63" s="22" t="str">
        <f aca="false">IF(Görevler!$F63="","",IF(AND(Görevler!$C63&lt;=(R$4+Ayarlar!$C$6-1),Görevler!$D63&gt;=R$4),IF(R$4&lt;=Görevler!$C63+ROUND(Görevler!$F63*Görevler!$E63,0)-1,2,1),""))</f>
        <v/>
      </c>
      <c r="S63" s="22" t="str">
        <f aca="false">IF(Görevler!$F63="","",IF(AND(Görevler!$C63&lt;=(S$4+Ayarlar!$C$6-1),Görevler!$D63&gt;=S$4),IF(S$4&lt;=Görevler!$C63+ROUND(Görevler!$F63*Görevler!$E63,0)-1,2,1),""))</f>
        <v/>
      </c>
      <c r="T63" s="22" t="str">
        <f aca="false">IF(Görevler!$F63="","",IF(AND(Görevler!$C63&lt;=(T$4+Ayarlar!$C$6-1),Görevler!$D63&gt;=T$4),IF(T$4&lt;=Görevler!$C63+ROUND(Görevler!$F63*Görevler!$E63,0)-1,2,1),""))</f>
        <v/>
      </c>
      <c r="U63" s="22" t="str">
        <f aca="false">IF(Görevler!$F63="","",IF(AND(Görevler!$C63&lt;=(U$4+Ayarlar!$C$6-1),Görevler!$D63&gt;=U$4),IF(U$4&lt;=Görevler!$C63+ROUND(Görevler!$F63*Görevler!$E63,0)-1,2,1),""))</f>
        <v/>
      </c>
      <c r="V63" s="22" t="str">
        <f aca="false">IF(Görevler!$F63="","",IF(AND(Görevler!$C63&lt;=(V$4+Ayarlar!$C$6-1),Görevler!$D63&gt;=V$4),IF(V$4&lt;=Görevler!$C63+ROUND(Görevler!$F63*Görevler!$E63,0)-1,2,1),""))</f>
        <v/>
      </c>
      <c r="W63" s="22" t="str">
        <f aca="false">IF(Görevler!$F63="","",IF(AND(Görevler!$C63&lt;=(W$4+Ayarlar!$C$6-1),Görevler!$D63&gt;=W$4),IF(W$4&lt;=Görevler!$C63+ROUND(Görevler!$F63*Görevler!$E63,0)-1,2,1),""))</f>
        <v/>
      </c>
      <c r="X63" s="22" t="str">
        <f aca="false">IF(Görevler!$F63="","",IF(AND(Görevler!$C63&lt;=(X$4+Ayarlar!$C$6-1),Görevler!$D63&gt;=X$4),IF(X$4&lt;=Görevler!$C63+ROUND(Görevler!$F63*Görevler!$E63,0)-1,2,1),""))</f>
        <v/>
      </c>
      <c r="Y63" s="22" t="str">
        <f aca="false">IF(Görevler!$F63="","",IF(AND(Görevler!$C63&lt;=(Y$4+Ayarlar!$C$6-1),Görevler!$D63&gt;=Y$4),IF(Y$4&lt;=Görevler!$C63+ROUND(Görevler!$F63*Görevler!$E63,0)-1,2,1),""))</f>
        <v/>
      </c>
      <c r="Z63" s="22" t="str">
        <f aca="false">IF(Görevler!$F63="","",IF(AND(Görevler!$C63&lt;=(Z$4+Ayarlar!$C$6-1),Görevler!$D63&gt;=Z$4),IF(Z$4&lt;=Görevler!$C63+ROUND(Görevler!$F63*Görevler!$E63,0)-1,2,1),""))</f>
        <v/>
      </c>
      <c r="AA63" s="22" t="str">
        <f aca="false">IF(Görevler!$F63="","",IF(AND(Görevler!$C63&lt;=(AA$4+Ayarlar!$C$6-1),Görevler!$D63&gt;=AA$4),IF(AA$4&lt;=Görevler!$C63+ROUND(Görevler!$F63*Görevler!$E63,0)-1,2,1),""))</f>
        <v/>
      </c>
      <c r="AB63" s="22" t="str">
        <f aca="false">IF(Görevler!$F63="","",IF(AND(Görevler!$C63&lt;=(AB$4+Ayarlar!$C$6-1),Görevler!$D63&gt;=AB$4),IF(AB$4&lt;=Görevler!$C63+ROUND(Görevler!$F63*Görevler!$E63,0)-1,2,1),""))</f>
        <v/>
      </c>
      <c r="AC63" s="22" t="str">
        <f aca="false">IF(Görevler!$F63="","",IF(AND(Görevler!$C63&lt;=(AC$4+Ayarlar!$C$6-1),Görevler!$D63&gt;=AC$4),IF(AC$4&lt;=Görevler!$C63+ROUND(Görevler!$F63*Görevler!$E63,0)-1,2,1),""))</f>
        <v/>
      </c>
      <c r="AD63" s="22" t="str">
        <f aca="false">IF(Görevler!$F63="","",IF(AND(Görevler!$C63&lt;=(AD$4+Ayarlar!$C$6-1),Görevler!$D63&gt;=AD$4),IF(AD$4&lt;=Görevler!$C63+ROUND(Görevler!$F63*Görevler!$E63,0)-1,2,1),""))</f>
        <v/>
      </c>
      <c r="AE63" s="22" t="str">
        <f aca="false">IF(Görevler!$F63="","",IF(AND(Görevler!$C63&lt;=(AE$4+Ayarlar!$C$6-1),Görevler!$D63&gt;=AE$4),IF(AE$4&lt;=Görevler!$C63+ROUND(Görevler!$F63*Görevler!$E63,0)-1,2,1),""))</f>
        <v/>
      </c>
      <c r="AF63" s="22" t="str">
        <f aca="false">IF(Görevler!$F63="","",IF(AND(Görevler!$C63&lt;=(AF$4+Ayarlar!$C$6-1),Görevler!$D63&gt;=AF$4),IF(AF$4&lt;=Görevler!$C63+ROUND(Görevler!$F63*Görevler!$E63,0)-1,2,1),""))</f>
        <v/>
      </c>
      <c r="AG63" s="22" t="str">
        <f aca="false">IF(Görevler!$F63="","",IF(AND(Görevler!$C63&lt;=(AG$4+Ayarlar!$C$6-1),Görevler!$D63&gt;=AG$4),IF(AG$4&lt;=Görevler!$C63+ROUND(Görevler!$F63*Görevler!$E63,0)-1,2,1),""))</f>
        <v/>
      </c>
      <c r="AH63" s="22" t="str">
        <f aca="false">IF(Görevler!$F63="","",IF(AND(Görevler!$C63&lt;=(AH$4+Ayarlar!$C$6-1),Görevler!$D63&gt;=AH$4),IF(AH$4&lt;=Görevler!$C63+ROUND(Görevler!$F63*Görevler!$E63,0)-1,2,1),""))</f>
        <v/>
      </c>
      <c r="AI63" s="22" t="str">
        <f aca="false">IF(Görevler!$F63="","",IF(AND(Görevler!$C63&lt;=(AI$4+Ayarlar!$C$6-1),Görevler!$D63&gt;=AI$4),IF(AI$4&lt;=Görevler!$C63+ROUND(Görevler!$F63*Görevler!$E63,0)-1,2,1),""))</f>
        <v/>
      </c>
      <c r="AJ63" s="22" t="str">
        <f aca="false">IF(Görevler!$F63="","",IF(AND(Görevler!$C63&lt;=(AJ$4+Ayarlar!$C$6-1),Görevler!$D63&gt;=AJ$4),IF(AJ$4&lt;=Görevler!$C63+ROUND(Görevler!$F63*Görevler!$E63,0)-1,2,1),""))</f>
        <v/>
      </c>
      <c r="AK63" s="22" t="str">
        <f aca="false">IF(Görevler!$F63="","",IF(AND(Görevler!$C63&lt;=(AK$4+Ayarlar!$C$6-1),Görevler!$D63&gt;=AK$4),IF(AK$4&lt;=Görevler!$C63+ROUND(Görevler!$F63*Görevler!$E63,0)-1,2,1),""))</f>
        <v/>
      </c>
      <c r="AL63" s="22" t="str">
        <f aca="false">IF(Görevler!$F63="","",IF(AND(Görevler!$C63&lt;=(AL$4+Ayarlar!$C$6-1),Görevler!$D63&gt;=AL$4),IF(AL$4&lt;=Görevler!$C63+ROUND(Görevler!$F63*Görevler!$E63,0)-1,2,1),""))</f>
        <v/>
      </c>
      <c r="AM63" s="22" t="str">
        <f aca="false">IF(Görevler!$F63="","",IF(AND(Görevler!$C63&lt;=(AM$4+Ayarlar!$C$6-1),Görevler!$D63&gt;=AM$4),IF(AM$4&lt;=Görevler!$C63+ROUND(Görevler!$F63*Görevler!$E63,0)-1,2,1),""))</f>
        <v/>
      </c>
      <c r="AN63" s="22" t="str">
        <f aca="false">IF(Görevler!$F63="","",IF(AND(Görevler!$C63&lt;=(AN$4+Ayarlar!$C$6-1),Görevler!$D63&gt;=AN$4),IF(AN$4&lt;=Görevler!$C63+ROUND(Görevler!$F63*Görevler!$E63,0)-1,2,1),""))</f>
        <v/>
      </c>
      <c r="AO63" s="22" t="str">
        <f aca="false">IF(Görevler!$F63="","",IF(AND(Görevler!$C63&lt;=(AO$4+Ayarlar!$C$6-1),Görevler!$D63&gt;=AO$4),IF(AO$4&lt;=Görevler!$C63+ROUND(Görevler!$F63*Görevler!$E63,0)-1,2,1),""))</f>
        <v/>
      </c>
      <c r="AP63" s="22" t="str">
        <f aca="false">IF(Görevler!$F63="","",IF(AND(Görevler!$C63&lt;=(AP$4+Ayarlar!$C$6-1),Görevler!$D63&gt;=AP$4),IF(AP$4&lt;=Görevler!$C63+ROUND(Görevler!$F63*Görevler!$E63,0)-1,2,1),""))</f>
        <v/>
      </c>
      <c r="AQ63" s="22" t="str">
        <f aca="false">IF(Görevler!$F63="","",IF(AND(Görevler!$C63&lt;=(AQ$4+Ayarlar!$C$6-1),Görevler!$D63&gt;=AQ$4),IF(AQ$4&lt;=Görevler!$C63+ROUND(Görevler!$F63*Görevler!$E63,0)-1,2,1),""))</f>
        <v/>
      </c>
      <c r="AR63" s="22" t="str">
        <f aca="false">IF(Görevler!$F63="","",IF(AND(Görevler!$C63&lt;=(AR$4+Ayarlar!$C$6-1),Görevler!$D63&gt;=AR$4),IF(AR$4&lt;=Görevler!$C63+ROUND(Görevler!$F63*Görevler!$E63,0)-1,2,1),""))</f>
        <v/>
      </c>
      <c r="AS63" s="22" t="str">
        <f aca="false">IF(Görevler!$F63="","",IF(AND(Görevler!$C63&lt;=(AS$4+Ayarlar!$C$6-1),Görevler!$D63&gt;=AS$4),IF(AS$4&lt;=Görevler!$C63+ROUND(Görevler!$F63*Görevler!$E63,0)-1,2,1),""))</f>
        <v/>
      </c>
      <c r="AT63" s="22" t="str">
        <f aca="false">IF(Görevler!$F63="","",IF(AND(Görevler!$C63&lt;=(AT$4+Ayarlar!$C$6-1),Görevler!$D63&gt;=AT$4),IF(AT$4&lt;=Görevler!$C63+ROUND(Görevler!$F63*Görevler!$E63,0)-1,2,1),""))</f>
        <v/>
      </c>
      <c r="AU63" s="22" t="str">
        <f aca="false">IF(Görevler!$F63="","",IF(AND(Görevler!$C63&lt;=(AU$4+Ayarlar!$C$6-1),Görevler!$D63&gt;=AU$4),IF(AU$4&lt;=Görevler!$C63+ROUND(Görevler!$F63*Görevler!$E63,0)-1,2,1),""))</f>
        <v/>
      </c>
      <c r="AV63" s="22" t="str">
        <f aca="false">IF(Görevler!$F63="","",IF(AND(Görevler!$C63&lt;=(AV$4+Ayarlar!$C$6-1),Görevler!$D63&gt;=AV$4),IF(AV$4&lt;=Görevler!$C63+ROUND(Görevler!$F63*Görevler!$E63,0)-1,2,1),""))</f>
        <v/>
      </c>
      <c r="AW63" s="22" t="str">
        <f aca="false">IF(Görevler!$F63="","",IF(AND(Görevler!$C63&lt;=(AW$4+Ayarlar!$C$6-1),Görevler!$D63&gt;=AW$4),IF(AW$4&lt;=Görevler!$C63+ROUND(Görevler!$F63*Görevler!$E63,0)-1,2,1),""))</f>
        <v/>
      </c>
      <c r="AX63" s="22" t="str">
        <f aca="false">IF(Görevler!$F63="","",IF(AND(Görevler!$C63&lt;=(AX$4+Ayarlar!$C$6-1),Görevler!$D63&gt;=AX$4),IF(AX$4&lt;=Görevler!$C63+ROUND(Görevler!$F63*Görevler!$E63,0)-1,2,1),""))</f>
        <v/>
      </c>
      <c r="AY63" s="22" t="str">
        <f aca="false">IF(Görevler!$F63="","",IF(AND(Görevler!$C63&lt;=(AY$4+Ayarlar!$C$6-1),Görevler!$D63&gt;=AY$4),IF(AY$4&lt;=Görevler!$C63+ROUND(Görevler!$F63*Görevler!$E63,0)-1,2,1),""))</f>
        <v/>
      </c>
      <c r="AZ63" s="22" t="str">
        <f aca="false">IF(Görevler!$F63="","",IF(AND(Görevler!$C63&lt;=(AZ$4+Ayarlar!$C$6-1),Görevler!$D63&gt;=AZ$4),IF(AZ$4&lt;=Görevler!$C63+ROUND(Görevler!$F63*Görevler!$E63,0)-1,2,1),""))</f>
        <v/>
      </c>
      <c r="BA63" s="22" t="str">
        <f aca="false">IF(Görevler!$F63="","",IF(AND(Görevler!$C63&lt;=(BA$4+Ayarlar!$C$6-1),Görevler!$D63&gt;=BA$4),IF(BA$4&lt;=Görevler!$C63+ROUND(Görevler!$F63*Görevler!$E63,0)-1,2,1),""))</f>
        <v/>
      </c>
      <c r="BB63" s="22" t="str">
        <f aca="false">IF(Görevler!$F63="","",IF(AND(Görevler!$C63&lt;=(BB$4+Ayarlar!$C$6-1),Görevler!$D63&gt;=BB$4),IF(BB$4&lt;=Görevler!$C63+ROUND(Görevler!$F63*Görevler!$E63,0)-1,2,1),""))</f>
        <v/>
      </c>
      <c r="BC63" s="22" t="str">
        <f aca="false">IF(Görevler!$F63="","",IF(AND(Görevler!$C63&lt;=(BC$4+Ayarlar!$C$6-1),Görevler!$D63&gt;=BC$4),IF(BC$4&lt;=Görevler!$C63+ROUND(Görevler!$F63*Görevler!$E63,0)-1,2,1),""))</f>
        <v/>
      </c>
      <c r="BD63" s="22" t="str">
        <f aca="false">IF(Görevler!$F63="","",IF(AND(Görevler!$C63&lt;=(BD$4+Ayarlar!$C$6-1),Görevler!$D63&gt;=BD$4),IF(BD$4&lt;=Görevler!$C63+ROUND(Görevler!$F63*Görevler!$E63,0)-1,2,1),""))</f>
        <v/>
      </c>
      <c r="BE63" s="22" t="str">
        <f aca="false">IF(Görevler!$F63="","",IF(AND(Görevler!$C63&lt;=(BE$4+Ayarlar!$C$6-1),Görevler!$D63&gt;=BE$4),IF(BE$4&lt;=Görevler!$C63+ROUND(Görevler!$F63*Görevler!$E63,0)-1,2,1),""))</f>
        <v/>
      </c>
      <c r="BF63" s="22" t="str">
        <f aca="false">IF(Görevler!$F63="","",IF(AND(Görevler!$C63&lt;=(BF$4+Ayarlar!$C$6-1),Görevler!$D63&gt;=BF$4),IF(BF$4&lt;=Görevler!$C63+ROUND(Görevler!$F63*Görevler!$E63,0)-1,2,1),""))</f>
        <v/>
      </c>
      <c r="BG63" s="22" t="str">
        <f aca="false">IF(Görevler!$F63="","",IF(AND(Görevler!$C63&lt;=(BG$4+Ayarlar!$C$6-1),Görevler!$D63&gt;=BG$4),IF(BG$4&lt;=Görevler!$C63+ROUND(Görevler!$F63*Görevler!$E63,0)-1,2,1),""))</f>
        <v/>
      </c>
      <c r="BH63" s="22" t="str">
        <f aca="false">IF(Görevler!$F63="","",IF(AND(Görevler!$C63&lt;=(BH$4+Ayarlar!$C$6-1),Görevler!$D63&gt;=BH$4),IF(BH$4&lt;=Görevler!$C63+ROUND(Görevler!$F63*Görevler!$E63,0)-1,2,1),""))</f>
        <v/>
      </c>
      <c r="BI63" s="22" t="str">
        <f aca="false">IF(Görevler!$F63="","",IF(AND(Görevler!$C63&lt;=(BI$4+Ayarlar!$C$6-1),Görevler!$D63&gt;=BI$4),IF(BI$4&lt;=Görevler!$C63+ROUND(Görevler!$F63*Görevler!$E63,0)-1,2,1),""))</f>
        <v/>
      </c>
      <c r="BJ63" s="22" t="str">
        <f aca="false">IF(Görevler!$F63="","",IF(AND(Görevler!$C63&lt;=(BJ$4+Ayarlar!$C$6-1),Görevler!$D63&gt;=BJ$4),IF(BJ$4&lt;=Görevler!$C63+ROUND(Görevler!$F63*Görevler!$E63,0)-1,2,1),""))</f>
        <v/>
      </c>
    </row>
    <row r="64" customFormat="false" ht="15" hidden="false" customHeight="false" outlineLevel="0" collapsed="false">
      <c r="A64" s="21" t="str">
        <f aca="false">IF(Görevler!A64="","",Görevler!A64)</f>
        <v/>
      </c>
      <c r="B64" s="21" t="str">
        <f aca="false">IF(Görevler!A64="","",Görevler!B64&amp;"")</f>
        <v/>
      </c>
      <c r="C64" s="22" t="str">
        <f aca="false">IF(Görevler!$F64="","",IF(AND(Görevler!$C64&lt;=(C$4+Ayarlar!$C$6-1),Görevler!$D64&gt;=C$4),IF(C$4&lt;=Görevler!$C64+ROUND(Görevler!$F64*Görevler!$E64,0)-1,2,1),""))</f>
        <v/>
      </c>
      <c r="D64" s="22" t="str">
        <f aca="false">IF(Görevler!$F64="","",IF(AND(Görevler!$C64&lt;=(D$4+Ayarlar!$C$6-1),Görevler!$D64&gt;=D$4),IF(D$4&lt;=Görevler!$C64+ROUND(Görevler!$F64*Görevler!$E64,0)-1,2,1),""))</f>
        <v/>
      </c>
      <c r="E64" s="22" t="str">
        <f aca="false">IF(Görevler!$F64="","",IF(AND(Görevler!$C64&lt;=(E$4+Ayarlar!$C$6-1),Görevler!$D64&gt;=E$4),IF(E$4&lt;=Görevler!$C64+ROUND(Görevler!$F64*Görevler!$E64,0)-1,2,1),""))</f>
        <v/>
      </c>
      <c r="F64" s="22" t="str">
        <f aca="false">IF(Görevler!$F64="","",IF(AND(Görevler!$C64&lt;=(F$4+Ayarlar!$C$6-1),Görevler!$D64&gt;=F$4),IF(F$4&lt;=Görevler!$C64+ROUND(Görevler!$F64*Görevler!$E64,0)-1,2,1),""))</f>
        <v/>
      </c>
      <c r="G64" s="22" t="str">
        <f aca="false">IF(Görevler!$F64="","",IF(AND(Görevler!$C64&lt;=(G$4+Ayarlar!$C$6-1),Görevler!$D64&gt;=G$4),IF(G$4&lt;=Görevler!$C64+ROUND(Görevler!$F64*Görevler!$E64,0)-1,2,1),""))</f>
        <v/>
      </c>
      <c r="H64" s="22" t="str">
        <f aca="false">IF(Görevler!$F64="","",IF(AND(Görevler!$C64&lt;=(H$4+Ayarlar!$C$6-1),Görevler!$D64&gt;=H$4),IF(H$4&lt;=Görevler!$C64+ROUND(Görevler!$F64*Görevler!$E64,0)-1,2,1),""))</f>
        <v/>
      </c>
      <c r="I64" s="22" t="str">
        <f aca="false">IF(Görevler!$F64="","",IF(AND(Görevler!$C64&lt;=(I$4+Ayarlar!$C$6-1),Görevler!$D64&gt;=I$4),IF(I$4&lt;=Görevler!$C64+ROUND(Görevler!$F64*Görevler!$E64,0)-1,2,1),""))</f>
        <v/>
      </c>
      <c r="J64" s="22" t="str">
        <f aca="false">IF(Görevler!$F64="","",IF(AND(Görevler!$C64&lt;=(J$4+Ayarlar!$C$6-1),Görevler!$D64&gt;=J$4),IF(J$4&lt;=Görevler!$C64+ROUND(Görevler!$F64*Görevler!$E64,0)-1,2,1),""))</f>
        <v/>
      </c>
      <c r="K64" s="22" t="str">
        <f aca="false">IF(Görevler!$F64="","",IF(AND(Görevler!$C64&lt;=(K$4+Ayarlar!$C$6-1),Görevler!$D64&gt;=K$4),IF(K$4&lt;=Görevler!$C64+ROUND(Görevler!$F64*Görevler!$E64,0)-1,2,1),""))</f>
        <v/>
      </c>
      <c r="L64" s="22" t="str">
        <f aca="false">IF(Görevler!$F64="","",IF(AND(Görevler!$C64&lt;=(L$4+Ayarlar!$C$6-1),Görevler!$D64&gt;=L$4),IF(L$4&lt;=Görevler!$C64+ROUND(Görevler!$F64*Görevler!$E64,0)-1,2,1),""))</f>
        <v/>
      </c>
      <c r="M64" s="22" t="str">
        <f aca="false">IF(Görevler!$F64="","",IF(AND(Görevler!$C64&lt;=(M$4+Ayarlar!$C$6-1),Görevler!$D64&gt;=M$4),IF(M$4&lt;=Görevler!$C64+ROUND(Görevler!$F64*Görevler!$E64,0)-1,2,1),""))</f>
        <v/>
      </c>
      <c r="N64" s="22" t="str">
        <f aca="false">IF(Görevler!$F64="","",IF(AND(Görevler!$C64&lt;=(N$4+Ayarlar!$C$6-1),Görevler!$D64&gt;=N$4),IF(N$4&lt;=Görevler!$C64+ROUND(Görevler!$F64*Görevler!$E64,0)-1,2,1),""))</f>
        <v/>
      </c>
      <c r="O64" s="22" t="str">
        <f aca="false">IF(Görevler!$F64="","",IF(AND(Görevler!$C64&lt;=(O$4+Ayarlar!$C$6-1),Görevler!$D64&gt;=O$4),IF(O$4&lt;=Görevler!$C64+ROUND(Görevler!$F64*Görevler!$E64,0)-1,2,1),""))</f>
        <v/>
      </c>
      <c r="P64" s="22" t="str">
        <f aca="false">IF(Görevler!$F64="","",IF(AND(Görevler!$C64&lt;=(P$4+Ayarlar!$C$6-1),Görevler!$D64&gt;=P$4),IF(P$4&lt;=Görevler!$C64+ROUND(Görevler!$F64*Görevler!$E64,0)-1,2,1),""))</f>
        <v/>
      </c>
      <c r="Q64" s="22" t="str">
        <f aca="false">IF(Görevler!$F64="","",IF(AND(Görevler!$C64&lt;=(Q$4+Ayarlar!$C$6-1),Görevler!$D64&gt;=Q$4),IF(Q$4&lt;=Görevler!$C64+ROUND(Görevler!$F64*Görevler!$E64,0)-1,2,1),""))</f>
        <v/>
      </c>
      <c r="R64" s="22" t="str">
        <f aca="false">IF(Görevler!$F64="","",IF(AND(Görevler!$C64&lt;=(R$4+Ayarlar!$C$6-1),Görevler!$D64&gt;=R$4),IF(R$4&lt;=Görevler!$C64+ROUND(Görevler!$F64*Görevler!$E64,0)-1,2,1),""))</f>
        <v/>
      </c>
      <c r="S64" s="22" t="str">
        <f aca="false">IF(Görevler!$F64="","",IF(AND(Görevler!$C64&lt;=(S$4+Ayarlar!$C$6-1),Görevler!$D64&gt;=S$4),IF(S$4&lt;=Görevler!$C64+ROUND(Görevler!$F64*Görevler!$E64,0)-1,2,1),""))</f>
        <v/>
      </c>
      <c r="T64" s="22" t="str">
        <f aca="false">IF(Görevler!$F64="","",IF(AND(Görevler!$C64&lt;=(T$4+Ayarlar!$C$6-1),Görevler!$D64&gt;=T$4),IF(T$4&lt;=Görevler!$C64+ROUND(Görevler!$F64*Görevler!$E64,0)-1,2,1),""))</f>
        <v/>
      </c>
      <c r="U64" s="22" t="str">
        <f aca="false">IF(Görevler!$F64="","",IF(AND(Görevler!$C64&lt;=(U$4+Ayarlar!$C$6-1),Görevler!$D64&gt;=U$4),IF(U$4&lt;=Görevler!$C64+ROUND(Görevler!$F64*Görevler!$E64,0)-1,2,1),""))</f>
        <v/>
      </c>
      <c r="V64" s="22" t="str">
        <f aca="false">IF(Görevler!$F64="","",IF(AND(Görevler!$C64&lt;=(V$4+Ayarlar!$C$6-1),Görevler!$D64&gt;=V$4),IF(V$4&lt;=Görevler!$C64+ROUND(Görevler!$F64*Görevler!$E64,0)-1,2,1),""))</f>
        <v/>
      </c>
      <c r="W64" s="22" t="str">
        <f aca="false">IF(Görevler!$F64="","",IF(AND(Görevler!$C64&lt;=(W$4+Ayarlar!$C$6-1),Görevler!$D64&gt;=W$4),IF(W$4&lt;=Görevler!$C64+ROUND(Görevler!$F64*Görevler!$E64,0)-1,2,1),""))</f>
        <v/>
      </c>
      <c r="X64" s="22" t="str">
        <f aca="false">IF(Görevler!$F64="","",IF(AND(Görevler!$C64&lt;=(X$4+Ayarlar!$C$6-1),Görevler!$D64&gt;=X$4),IF(X$4&lt;=Görevler!$C64+ROUND(Görevler!$F64*Görevler!$E64,0)-1,2,1),""))</f>
        <v/>
      </c>
      <c r="Y64" s="22" t="str">
        <f aca="false">IF(Görevler!$F64="","",IF(AND(Görevler!$C64&lt;=(Y$4+Ayarlar!$C$6-1),Görevler!$D64&gt;=Y$4),IF(Y$4&lt;=Görevler!$C64+ROUND(Görevler!$F64*Görevler!$E64,0)-1,2,1),""))</f>
        <v/>
      </c>
      <c r="Z64" s="22" t="str">
        <f aca="false">IF(Görevler!$F64="","",IF(AND(Görevler!$C64&lt;=(Z$4+Ayarlar!$C$6-1),Görevler!$D64&gt;=Z$4),IF(Z$4&lt;=Görevler!$C64+ROUND(Görevler!$F64*Görevler!$E64,0)-1,2,1),""))</f>
        <v/>
      </c>
      <c r="AA64" s="22" t="str">
        <f aca="false">IF(Görevler!$F64="","",IF(AND(Görevler!$C64&lt;=(AA$4+Ayarlar!$C$6-1),Görevler!$D64&gt;=AA$4),IF(AA$4&lt;=Görevler!$C64+ROUND(Görevler!$F64*Görevler!$E64,0)-1,2,1),""))</f>
        <v/>
      </c>
      <c r="AB64" s="22" t="str">
        <f aca="false">IF(Görevler!$F64="","",IF(AND(Görevler!$C64&lt;=(AB$4+Ayarlar!$C$6-1),Görevler!$D64&gt;=AB$4),IF(AB$4&lt;=Görevler!$C64+ROUND(Görevler!$F64*Görevler!$E64,0)-1,2,1),""))</f>
        <v/>
      </c>
      <c r="AC64" s="22" t="str">
        <f aca="false">IF(Görevler!$F64="","",IF(AND(Görevler!$C64&lt;=(AC$4+Ayarlar!$C$6-1),Görevler!$D64&gt;=AC$4),IF(AC$4&lt;=Görevler!$C64+ROUND(Görevler!$F64*Görevler!$E64,0)-1,2,1),""))</f>
        <v/>
      </c>
      <c r="AD64" s="22" t="str">
        <f aca="false">IF(Görevler!$F64="","",IF(AND(Görevler!$C64&lt;=(AD$4+Ayarlar!$C$6-1),Görevler!$D64&gt;=AD$4),IF(AD$4&lt;=Görevler!$C64+ROUND(Görevler!$F64*Görevler!$E64,0)-1,2,1),""))</f>
        <v/>
      </c>
      <c r="AE64" s="22" t="str">
        <f aca="false">IF(Görevler!$F64="","",IF(AND(Görevler!$C64&lt;=(AE$4+Ayarlar!$C$6-1),Görevler!$D64&gt;=AE$4),IF(AE$4&lt;=Görevler!$C64+ROUND(Görevler!$F64*Görevler!$E64,0)-1,2,1),""))</f>
        <v/>
      </c>
      <c r="AF64" s="22" t="str">
        <f aca="false">IF(Görevler!$F64="","",IF(AND(Görevler!$C64&lt;=(AF$4+Ayarlar!$C$6-1),Görevler!$D64&gt;=AF$4),IF(AF$4&lt;=Görevler!$C64+ROUND(Görevler!$F64*Görevler!$E64,0)-1,2,1),""))</f>
        <v/>
      </c>
      <c r="AG64" s="22" t="str">
        <f aca="false">IF(Görevler!$F64="","",IF(AND(Görevler!$C64&lt;=(AG$4+Ayarlar!$C$6-1),Görevler!$D64&gt;=AG$4),IF(AG$4&lt;=Görevler!$C64+ROUND(Görevler!$F64*Görevler!$E64,0)-1,2,1),""))</f>
        <v/>
      </c>
      <c r="AH64" s="22" t="str">
        <f aca="false">IF(Görevler!$F64="","",IF(AND(Görevler!$C64&lt;=(AH$4+Ayarlar!$C$6-1),Görevler!$D64&gt;=AH$4),IF(AH$4&lt;=Görevler!$C64+ROUND(Görevler!$F64*Görevler!$E64,0)-1,2,1),""))</f>
        <v/>
      </c>
      <c r="AI64" s="22" t="str">
        <f aca="false">IF(Görevler!$F64="","",IF(AND(Görevler!$C64&lt;=(AI$4+Ayarlar!$C$6-1),Görevler!$D64&gt;=AI$4),IF(AI$4&lt;=Görevler!$C64+ROUND(Görevler!$F64*Görevler!$E64,0)-1,2,1),""))</f>
        <v/>
      </c>
      <c r="AJ64" s="22" t="str">
        <f aca="false">IF(Görevler!$F64="","",IF(AND(Görevler!$C64&lt;=(AJ$4+Ayarlar!$C$6-1),Görevler!$D64&gt;=AJ$4),IF(AJ$4&lt;=Görevler!$C64+ROUND(Görevler!$F64*Görevler!$E64,0)-1,2,1),""))</f>
        <v/>
      </c>
      <c r="AK64" s="22" t="str">
        <f aca="false">IF(Görevler!$F64="","",IF(AND(Görevler!$C64&lt;=(AK$4+Ayarlar!$C$6-1),Görevler!$D64&gt;=AK$4),IF(AK$4&lt;=Görevler!$C64+ROUND(Görevler!$F64*Görevler!$E64,0)-1,2,1),""))</f>
        <v/>
      </c>
      <c r="AL64" s="22" t="str">
        <f aca="false">IF(Görevler!$F64="","",IF(AND(Görevler!$C64&lt;=(AL$4+Ayarlar!$C$6-1),Görevler!$D64&gt;=AL$4),IF(AL$4&lt;=Görevler!$C64+ROUND(Görevler!$F64*Görevler!$E64,0)-1,2,1),""))</f>
        <v/>
      </c>
      <c r="AM64" s="22" t="str">
        <f aca="false">IF(Görevler!$F64="","",IF(AND(Görevler!$C64&lt;=(AM$4+Ayarlar!$C$6-1),Görevler!$D64&gt;=AM$4),IF(AM$4&lt;=Görevler!$C64+ROUND(Görevler!$F64*Görevler!$E64,0)-1,2,1),""))</f>
        <v/>
      </c>
      <c r="AN64" s="22" t="str">
        <f aca="false">IF(Görevler!$F64="","",IF(AND(Görevler!$C64&lt;=(AN$4+Ayarlar!$C$6-1),Görevler!$D64&gt;=AN$4),IF(AN$4&lt;=Görevler!$C64+ROUND(Görevler!$F64*Görevler!$E64,0)-1,2,1),""))</f>
        <v/>
      </c>
      <c r="AO64" s="22" t="str">
        <f aca="false">IF(Görevler!$F64="","",IF(AND(Görevler!$C64&lt;=(AO$4+Ayarlar!$C$6-1),Görevler!$D64&gt;=AO$4),IF(AO$4&lt;=Görevler!$C64+ROUND(Görevler!$F64*Görevler!$E64,0)-1,2,1),""))</f>
        <v/>
      </c>
      <c r="AP64" s="22" t="str">
        <f aca="false">IF(Görevler!$F64="","",IF(AND(Görevler!$C64&lt;=(AP$4+Ayarlar!$C$6-1),Görevler!$D64&gt;=AP$4),IF(AP$4&lt;=Görevler!$C64+ROUND(Görevler!$F64*Görevler!$E64,0)-1,2,1),""))</f>
        <v/>
      </c>
      <c r="AQ64" s="22" t="str">
        <f aca="false">IF(Görevler!$F64="","",IF(AND(Görevler!$C64&lt;=(AQ$4+Ayarlar!$C$6-1),Görevler!$D64&gt;=AQ$4),IF(AQ$4&lt;=Görevler!$C64+ROUND(Görevler!$F64*Görevler!$E64,0)-1,2,1),""))</f>
        <v/>
      </c>
      <c r="AR64" s="22" t="str">
        <f aca="false">IF(Görevler!$F64="","",IF(AND(Görevler!$C64&lt;=(AR$4+Ayarlar!$C$6-1),Görevler!$D64&gt;=AR$4),IF(AR$4&lt;=Görevler!$C64+ROUND(Görevler!$F64*Görevler!$E64,0)-1,2,1),""))</f>
        <v/>
      </c>
      <c r="AS64" s="22" t="str">
        <f aca="false">IF(Görevler!$F64="","",IF(AND(Görevler!$C64&lt;=(AS$4+Ayarlar!$C$6-1),Görevler!$D64&gt;=AS$4),IF(AS$4&lt;=Görevler!$C64+ROUND(Görevler!$F64*Görevler!$E64,0)-1,2,1),""))</f>
        <v/>
      </c>
      <c r="AT64" s="22" t="str">
        <f aca="false">IF(Görevler!$F64="","",IF(AND(Görevler!$C64&lt;=(AT$4+Ayarlar!$C$6-1),Görevler!$D64&gt;=AT$4),IF(AT$4&lt;=Görevler!$C64+ROUND(Görevler!$F64*Görevler!$E64,0)-1,2,1),""))</f>
        <v/>
      </c>
      <c r="AU64" s="22" t="str">
        <f aca="false">IF(Görevler!$F64="","",IF(AND(Görevler!$C64&lt;=(AU$4+Ayarlar!$C$6-1),Görevler!$D64&gt;=AU$4),IF(AU$4&lt;=Görevler!$C64+ROUND(Görevler!$F64*Görevler!$E64,0)-1,2,1),""))</f>
        <v/>
      </c>
      <c r="AV64" s="22" t="str">
        <f aca="false">IF(Görevler!$F64="","",IF(AND(Görevler!$C64&lt;=(AV$4+Ayarlar!$C$6-1),Görevler!$D64&gt;=AV$4),IF(AV$4&lt;=Görevler!$C64+ROUND(Görevler!$F64*Görevler!$E64,0)-1,2,1),""))</f>
        <v/>
      </c>
      <c r="AW64" s="22" t="str">
        <f aca="false">IF(Görevler!$F64="","",IF(AND(Görevler!$C64&lt;=(AW$4+Ayarlar!$C$6-1),Görevler!$D64&gt;=AW$4),IF(AW$4&lt;=Görevler!$C64+ROUND(Görevler!$F64*Görevler!$E64,0)-1,2,1),""))</f>
        <v/>
      </c>
      <c r="AX64" s="22" t="str">
        <f aca="false">IF(Görevler!$F64="","",IF(AND(Görevler!$C64&lt;=(AX$4+Ayarlar!$C$6-1),Görevler!$D64&gt;=AX$4),IF(AX$4&lt;=Görevler!$C64+ROUND(Görevler!$F64*Görevler!$E64,0)-1,2,1),""))</f>
        <v/>
      </c>
      <c r="AY64" s="22" t="str">
        <f aca="false">IF(Görevler!$F64="","",IF(AND(Görevler!$C64&lt;=(AY$4+Ayarlar!$C$6-1),Görevler!$D64&gt;=AY$4),IF(AY$4&lt;=Görevler!$C64+ROUND(Görevler!$F64*Görevler!$E64,0)-1,2,1),""))</f>
        <v/>
      </c>
      <c r="AZ64" s="22" t="str">
        <f aca="false">IF(Görevler!$F64="","",IF(AND(Görevler!$C64&lt;=(AZ$4+Ayarlar!$C$6-1),Görevler!$D64&gt;=AZ$4),IF(AZ$4&lt;=Görevler!$C64+ROUND(Görevler!$F64*Görevler!$E64,0)-1,2,1),""))</f>
        <v/>
      </c>
      <c r="BA64" s="22" t="str">
        <f aca="false">IF(Görevler!$F64="","",IF(AND(Görevler!$C64&lt;=(BA$4+Ayarlar!$C$6-1),Görevler!$D64&gt;=BA$4),IF(BA$4&lt;=Görevler!$C64+ROUND(Görevler!$F64*Görevler!$E64,0)-1,2,1),""))</f>
        <v/>
      </c>
      <c r="BB64" s="22" t="str">
        <f aca="false">IF(Görevler!$F64="","",IF(AND(Görevler!$C64&lt;=(BB$4+Ayarlar!$C$6-1),Görevler!$D64&gt;=BB$4),IF(BB$4&lt;=Görevler!$C64+ROUND(Görevler!$F64*Görevler!$E64,0)-1,2,1),""))</f>
        <v/>
      </c>
      <c r="BC64" s="22" t="str">
        <f aca="false">IF(Görevler!$F64="","",IF(AND(Görevler!$C64&lt;=(BC$4+Ayarlar!$C$6-1),Görevler!$D64&gt;=BC$4),IF(BC$4&lt;=Görevler!$C64+ROUND(Görevler!$F64*Görevler!$E64,0)-1,2,1),""))</f>
        <v/>
      </c>
      <c r="BD64" s="22" t="str">
        <f aca="false">IF(Görevler!$F64="","",IF(AND(Görevler!$C64&lt;=(BD$4+Ayarlar!$C$6-1),Görevler!$D64&gt;=BD$4),IF(BD$4&lt;=Görevler!$C64+ROUND(Görevler!$F64*Görevler!$E64,0)-1,2,1),""))</f>
        <v/>
      </c>
      <c r="BE64" s="22" t="str">
        <f aca="false">IF(Görevler!$F64="","",IF(AND(Görevler!$C64&lt;=(BE$4+Ayarlar!$C$6-1),Görevler!$D64&gt;=BE$4),IF(BE$4&lt;=Görevler!$C64+ROUND(Görevler!$F64*Görevler!$E64,0)-1,2,1),""))</f>
        <v/>
      </c>
      <c r="BF64" s="22" t="str">
        <f aca="false">IF(Görevler!$F64="","",IF(AND(Görevler!$C64&lt;=(BF$4+Ayarlar!$C$6-1),Görevler!$D64&gt;=BF$4),IF(BF$4&lt;=Görevler!$C64+ROUND(Görevler!$F64*Görevler!$E64,0)-1,2,1),""))</f>
        <v/>
      </c>
      <c r="BG64" s="22" t="str">
        <f aca="false">IF(Görevler!$F64="","",IF(AND(Görevler!$C64&lt;=(BG$4+Ayarlar!$C$6-1),Görevler!$D64&gt;=BG$4),IF(BG$4&lt;=Görevler!$C64+ROUND(Görevler!$F64*Görevler!$E64,0)-1,2,1),""))</f>
        <v/>
      </c>
      <c r="BH64" s="22" t="str">
        <f aca="false">IF(Görevler!$F64="","",IF(AND(Görevler!$C64&lt;=(BH$4+Ayarlar!$C$6-1),Görevler!$D64&gt;=BH$4),IF(BH$4&lt;=Görevler!$C64+ROUND(Görevler!$F64*Görevler!$E64,0)-1,2,1),""))</f>
        <v/>
      </c>
      <c r="BI64" s="22" t="str">
        <f aca="false">IF(Görevler!$F64="","",IF(AND(Görevler!$C64&lt;=(BI$4+Ayarlar!$C$6-1),Görevler!$D64&gt;=BI$4),IF(BI$4&lt;=Görevler!$C64+ROUND(Görevler!$F64*Görevler!$E64,0)-1,2,1),""))</f>
        <v/>
      </c>
      <c r="BJ64" s="22" t="str">
        <f aca="false">IF(Görevler!$F64="","",IF(AND(Görevler!$C64&lt;=(BJ$4+Ayarlar!$C$6-1),Görevler!$D64&gt;=BJ$4),IF(BJ$4&lt;=Görevler!$C64+ROUND(Görevler!$F64*Görevler!$E64,0)-1,2,1),""))</f>
        <v/>
      </c>
    </row>
    <row r="65" customFormat="false" ht="15" hidden="false" customHeight="false" outlineLevel="0" collapsed="false">
      <c r="A65" s="21" t="str">
        <f aca="false">IF(Görevler!A65="","",Görevler!A65)</f>
        <v/>
      </c>
      <c r="B65" s="21" t="str">
        <f aca="false">IF(Görevler!A65="","",Görevler!B65&amp;"")</f>
        <v/>
      </c>
      <c r="C65" s="22" t="str">
        <f aca="false">IF(Görevler!$F65="","",IF(AND(Görevler!$C65&lt;=(C$4+Ayarlar!$C$6-1),Görevler!$D65&gt;=C$4),IF(C$4&lt;=Görevler!$C65+ROUND(Görevler!$F65*Görevler!$E65,0)-1,2,1),""))</f>
        <v/>
      </c>
      <c r="D65" s="22" t="str">
        <f aca="false">IF(Görevler!$F65="","",IF(AND(Görevler!$C65&lt;=(D$4+Ayarlar!$C$6-1),Görevler!$D65&gt;=D$4),IF(D$4&lt;=Görevler!$C65+ROUND(Görevler!$F65*Görevler!$E65,0)-1,2,1),""))</f>
        <v/>
      </c>
      <c r="E65" s="22" t="str">
        <f aca="false">IF(Görevler!$F65="","",IF(AND(Görevler!$C65&lt;=(E$4+Ayarlar!$C$6-1),Görevler!$D65&gt;=E$4),IF(E$4&lt;=Görevler!$C65+ROUND(Görevler!$F65*Görevler!$E65,0)-1,2,1),""))</f>
        <v/>
      </c>
      <c r="F65" s="22" t="str">
        <f aca="false">IF(Görevler!$F65="","",IF(AND(Görevler!$C65&lt;=(F$4+Ayarlar!$C$6-1),Görevler!$D65&gt;=F$4),IF(F$4&lt;=Görevler!$C65+ROUND(Görevler!$F65*Görevler!$E65,0)-1,2,1),""))</f>
        <v/>
      </c>
      <c r="G65" s="22" t="str">
        <f aca="false">IF(Görevler!$F65="","",IF(AND(Görevler!$C65&lt;=(G$4+Ayarlar!$C$6-1),Görevler!$D65&gt;=G$4),IF(G$4&lt;=Görevler!$C65+ROUND(Görevler!$F65*Görevler!$E65,0)-1,2,1),""))</f>
        <v/>
      </c>
      <c r="H65" s="22" t="str">
        <f aca="false">IF(Görevler!$F65="","",IF(AND(Görevler!$C65&lt;=(H$4+Ayarlar!$C$6-1),Görevler!$D65&gt;=H$4),IF(H$4&lt;=Görevler!$C65+ROUND(Görevler!$F65*Görevler!$E65,0)-1,2,1),""))</f>
        <v/>
      </c>
      <c r="I65" s="22" t="str">
        <f aca="false">IF(Görevler!$F65="","",IF(AND(Görevler!$C65&lt;=(I$4+Ayarlar!$C$6-1),Görevler!$D65&gt;=I$4),IF(I$4&lt;=Görevler!$C65+ROUND(Görevler!$F65*Görevler!$E65,0)-1,2,1),""))</f>
        <v/>
      </c>
      <c r="J65" s="22" t="str">
        <f aca="false">IF(Görevler!$F65="","",IF(AND(Görevler!$C65&lt;=(J$4+Ayarlar!$C$6-1),Görevler!$D65&gt;=J$4),IF(J$4&lt;=Görevler!$C65+ROUND(Görevler!$F65*Görevler!$E65,0)-1,2,1),""))</f>
        <v/>
      </c>
      <c r="K65" s="22" t="str">
        <f aca="false">IF(Görevler!$F65="","",IF(AND(Görevler!$C65&lt;=(K$4+Ayarlar!$C$6-1),Görevler!$D65&gt;=K$4),IF(K$4&lt;=Görevler!$C65+ROUND(Görevler!$F65*Görevler!$E65,0)-1,2,1),""))</f>
        <v/>
      </c>
      <c r="L65" s="22" t="str">
        <f aca="false">IF(Görevler!$F65="","",IF(AND(Görevler!$C65&lt;=(L$4+Ayarlar!$C$6-1),Görevler!$D65&gt;=L$4),IF(L$4&lt;=Görevler!$C65+ROUND(Görevler!$F65*Görevler!$E65,0)-1,2,1),""))</f>
        <v/>
      </c>
      <c r="M65" s="22" t="str">
        <f aca="false">IF(Görevler!$F65="","",IF(AND(Görevler!$C65&lt;=(M$4+Ayarlar!$C$6-1),Görevler!$D65&gt;=M$4),IF(M$4&lt;=Görevler!$C65+ROUND(Görevler!$F65*Görevler!$E65,0)-1,2,1),""))</f>
        <v/>
      </c>
      <c r="N65" s="22" t="str">
        <f aca="false">IF(Görevler!$F65="","",IF(AND(Görevler!$C65&lt;=(N$4+Ayarlar!$C$6-1),Görevler!$D65&gt;=N$4),IF(N$4&lt;=Görevler!$C65+ROUND(Görevler!$F65*Görevler!$E65,0)-1,2,1),""))</f>
        <v/>
      </c>
      <c r="O65" s="22" t="str">
        <f aca="false">IF(Görevler!$F65="","",IF(AND(Görevler!$C65&lt;=(O$4+Ayarlar!$C$6-1),Görevler!$D65&gt;=O$4),IF(O$4&lt;=Görevler!$C65+ROUND(Görevler!$F65*Görevler!$E65,0)-1,2,1),""))</f>
        <v/>
      </c>
      <c r="P65" s="22" t="str">
        <f aca="false">IF(Görevler!$F65="","",IF(AND(Görevler!$C65&lt;=(P$4+Ayarlar!$C$6-1),Görevler!$D65&gt;=P$4),IF(P$4&lt;=Görevler!$C65+ROUND(Görevler!$F65*Görevler!$E65,0)-1,2,1),""))</f>
        <v/>
      </c>
      <c r="Q65" s="22" t="str">
        <f aca="false">IF(Görevler!$F65="","",IF(AND(Görevler!$C65&lt;=(Q$4+Ayarlar!$C$6-1),Görevler!$D65&gt;=Q$4),IF(Q$4&lt;=Görevler!$C65+ROUND(Görevler!$F65*Görevler!$E65,0)-1,2,1),""))</f>
        <v/>
      </c>
      <c r="R65" s="22" t="str">
        <f aca="false">IF(Görevler!$F65="","",IF(AND(Görevler!$C65&lt;=(R$4+Ayarlar!$C$6-1),Görevler!$D65&gt;=R$4),IF(R$4&lt;=Görevler!$C65+ROUND(Görevler!$F65*Görevler!$E65,0)-1,2,1),""))</f>
        <v/>
      </c>
      <c r="S65" s="22" t="str">
        <f aca="false">IF(Görevler!$F65="","",IF(AND(Görevler!$C65&lt;=(S$4+Ayarlar!$C$6-1),Görevler!$D65&gt;=S$4),IF(S$4&lt;=Görevler!$C65+ROUND(Görevler!$F65*Görevler!$E65,0)-1,2,1),""))</f>
        <v/>
      </c>
      <c r="T65" s="22" t="str">
        <f aca="false">IF(Görevler!$F65="","",IF(AND(Görevler!$C65&lt;=(T$4+Ayarlar!$C$6-1),Görevler!$D65&gt;=T$4),IF(T$4&lt;=Görevler!$C65+ROUND(Görevler!$F65*Görevler!$E65,0)-1,2,1),""))</f>
        <v/>
      </c>
      <c r="U65" s="22" t="str">
        <f aca="false">IF(Görevler!$F65="","",IF(AND(Görevler!$C65&lt;=(U$4+Ayarlar!$C$6-1),Görevler!$D65&gt;=U$4),IF(U$4&lt;=Görevler!$C65+ROUND(Görevler!$F65*Görevler!$E65,0)-1,2,1),""))</f>
        <v/>
      </c>
      <c r="V65" s="22" t="str">
        <f aca="false">IF(Görevler!$F65="","",IF(AND(Görevler!$C65&lt;=(V$4+Ayarlar!$C$6-1),Görevler!$D65&gt;=V$4),IF(V$4&lt;=Görevler!$C65+ROUND(Görevler!$F65*Görevler!$E65,0)-1,2,1),""))</f>
        <v/>
      </c>
      <c r="W65" s="22" t="str">
        <f aca="false">IF(Görevler!$F65="","",IF(AND(Görevler!$C65&lt;=(W$4+Ayarlar!$C$6-1),Görevler!$D65&gt;=W$4),IF(W$4&lt;=Görevler!$C65+ROUND(Görevler!$F65*Görevler!$E65,0)-1,2,1),""))</f>
        <v/>
      </c>
      <c r="X65" s="22" t="str">
        <f aca="false">IF(Görevler!$F65="","",IF(AND(Görevler!$C65&lt;=(X$4+Ayarlar!$C$6-1),Görevler!$D65&gt;=X$4),IF(X$4&lt;=Görevler!$C65+ROUND(Görevler!$F65*Görevler!$E65,0)-1,2,1),""))</f>
        <v/>
      </c>
      <c r="Y65" s="22" t="str">
        <f aca="false">IF(Görevler!$F65="","",IF(AND(Görevler!$C65&lt;=(Y$4+Ayarlar!$C$6-1),Görevler!$D65&gt;=Y$4),IF(Y$4&lt;=Görevler!$C65+ROUND(Görevler!$F65*Görevler!$E65,0)-1,2,1),""))</f>
        <v/>
      </c>
      <c r="Z65" s="22" t="str">
        <f aca="false">IF(Görevler!$F65="","",IF(AND(Görevler!$C65&lt;=(Z$4+Ayarlar!$C$6-1),Görevler!$D65&gt;=Z$4),IF(Z$4&lt;=Görevler!$C65+ROUND(Görevler!$F65*Görevler!$E65,0)-1,2,1),""))</f>
        <v/>
      </c>
      <c r="AA65" s="22" t="str">
        <f aca="false">IF(Görevler!$F65="","",IF(AND(Görevler!$C65&lt;=(AA$4+Ayarlar!$C$6-1),Görevler!$D65&gt;=AA$4),IF(AA$4&lt;=Görevler!$C65+ROUND(Görevler!$F65*Görevler!$E65,0)-1,2,1),""))</f>
        <v/>
      </c>
      <c r="AB65" s="22" t="str">
        <f aca="false">IF(Görevler!$F65="","",IF(AND(Görevler!$C65&lt;=(AB$4+Ayarlar!$C$6-1),Görevler!$D65&gt;=AB$4),IF(AB$4&lt;=Görevler!$C65+ROUND(Görevler!$F65*Görevler!$E65,0)-1,2,1),""))</f>
        <v/>
      </c>
      <c r="AC65" s="22" t="str">
        <f aca="false">IF(Görevler!$F65="","",IF(AND(Görevler!$C65&lt;=(AC$4+Ayarlar!$C$6-1),Görevler!$D65&gt;=AC$4),IF(AC$4&lt;=Görevler!$C65+ROUND(Görevler!$F65*Görevler!$E65,0)-1,2,1),""))</f>
        <v/>
      </c>
      <c r="AD65" s="22" t="str">
        <f aca="false">IF(Görevler!$F65="","",IF(AND(Görevler!$C65&lt;=(AD$4+Ayarlar!$C$6-1),Görevler!$D65&gt;=AD$4),IF(AD$4&lt;=Görevler!$C65+ROUND(Görevler!$F65*Görevler!$E65,0)-1,2,1),""))</f>
        <v/>
      </c>
      <c r="AE65" s="22" t="str">
        <f aca="false">IF(Görevler!$F65="","",IF(AND(Görevler!$C65&lt;=(AE$4+Ayarlar!$C$6-1),Görevler!$D65&gt;=AE$4),IF(AE$4&lt;=Görevler!$C65+ROUND(Görevler!$F65*Görevler!$E65,0)-1,2,1),""))</f>
        <v/>
      </c>
      <c r="AF65" s="22" t="str">
        <f aca="false">IF(Görevler!$F65="","",IF(AND(Görevler!$C65&lt;=(AF$4+Ayarlar!$C$6-1),Görevler!$D65&gt;=AF$4),IF(AF$4&lt;=Görevler!$C65+ROUND(Görevler!$F65*Görevler!$E65,0)-1,2,1),""))</f>
        <v/>
      </c>
      <c r="AG65" s="22" t="str">
        <f aca="false">IF(Görevler!$F65="","",IF(AND(Görevler!$C65&lt;=(AG$4+Ayarlar!$C$6-1),Görevler!$D65&gt;=AG$4),IF(AG$4&lt;=Görevler!$C65+ROUND(Görevler!$F65*Görevler!$E65,0)-1,2,1),""))</f>
        <v/>
      </c>
      <c r="AH65" s="22" t="str">
        <f aca="false">IF(Görevler!$F65="","",IF(AND(Görevler!$C65&lt;=(AH$4+Ayarlar!$C$6-1),Görevler!$D65&gt;=AH$4),IF(AH$4&lt;=Görevler!$C65+ROUND(Görevler!$F65*Görevler!$E65,0)-1,2,1),""))</f>
        <v/>
      </c>
      <c r="AI65" s="22" t="str">
        <f aca="false">IF(Görevler!$F65="","",IF(AND(Görevler!$C65&lt;=(AI$4+Ayarlar!$C$6-1),Görevler!$D65&gt;=AI$4),IF(AI$4&lt;=Görevler!$C65+ROUND(Görevler!$F65*Görevler!$E65,0)-1,2,1),""))</f>
        <v/>
      </c>
      <c r="AJ65" s="22" t="str">
        <f aca="false">IF(Görevler!$F65="","",IF(AND(Görevler!$C65&lt;=(AJ$4+Ayarlar!$C$6-1),Görevler!$D65&gt;=AJ$4),IF(AJ$4&lt;=Görevler!$C65+ROUND(Görevler!$F65*Görevler!$E65,0)-1,2,1),""))</f>
        <v/>
      </c>
      <c r="AK65" s="22" t="str">
        <f aca="false">IF(Görevler!$F65="","",IF(AND(Görevler!$C65&lt;=(AK$4+Ayarlar!$C$6-1),Görevler!$D65&gt;=AK$4),IF(AK$4&lt;=Görevler!$C65+ROUND(Görevler!$F65*Görevler!$E65,0)-1,2,1),""))</f>
        <v/>
      </c>
      <c r="AL65" s="22" t="str">
        <f aca="false">IF(Görevler!$F65="","",IF(AND(Görevler!$C65&lt;=(AL$4+Ayarlar!$C$6-1),Görevler!$D65&gt;=AL$4),IF(AL$4&lt;=Görevler!$C65+ROUND(Görevler!$F65*Görevler!$E65,0)-1,2,1),""))</f>
        <v/>
      </c>
      <c r="AM65" s="22" t="str">
        <f aca="false">IF(Görevler!$F65="","",IF(AND(Görevler!$C65&lt;=(AM$4+Ayarlar!$C$6-1),Görevler!$D65&gt;=AM$4),IF(AM$4&lt;=Görevler!$C65+ROUND(Görevler!$F65*Görevler!$E65,0)-1,2,1),""))</f>
        <v/>
      </c>
      <c r="AN65" s="22" t="str">
        <f aca="false">IF(Görevler!$F65="","",IF(AND(Görevler!$C65&lt;=(AN$4+Ayarlar!$C$6-1),Görevler!$D65&gt;=AN$4),IF(AN$4&lt;=Görevler!$C65+ROUND(Görevler!$F65*Görevler!$E65,0)-1,2,1),""))</f>
        <v/>
      </c>
      <c r="AO65" s="22" t="str">
        <f aca="false">IF(Görevler!$F65="","",IF(AND(Görevler!$C65&lt;=(AO$4+Ayarlar!$C$6-1),Görevler!$D65&gt;=AO$4),IF(AO$4&lt;=Görevler!$C65+ROUND(Görevler!$F65*Görevler!$E65,0)-1,2,1),""))</f>
        <v/>
      </c>
      <c r="AP65" s="22" t="str">
        <f aca="false">IF(Görevler!$F65="","",IF(AND(Görevler!$C65&lt;=(AP$4+Ayarlar!$C$6-1),Görevler!$D65&gt;=AP$4),IF(AP$4&lt;=Görevler!$C65+ROUND(Görevler!$F65*Görevler!$E65,0)-1,2,1),""))</f>
        <v/>
      </c>
      <c r="AQ65" s="22" t="str">
        <f aca="false">IF(Görevler!$F65="","",IF(AND(Görevler!$C65&lt;=(AQ$4+Ayarlar!$C$6-1),Görevler!$D65&gt;=AQ$4),IF(AQ$4&lt;=Görevler!$C65+ROUND(Görevler!$F65*Görevler!$E65,0)-1,2,1),""))</f>
        <v/>
      </c>
      <c r="AR65" s="22" t="str">
        <f aca="false">IF(Görevler!$F65="","",IF(AND(Görevler!$C65&lt;=(AR$4+Ayarlar!$C$6-1),Görevler!$D65&gt;=AR$4),IF(AR$4&lt;=Görevler!$C65+ROUND(Görevler!$F65*Görevler!$E65,0)-1,2,1),""))</f>
        <v/>
      </c>
      <c r="AS65" s="22" t="str">
        <f aca="false">IF(Görevler!$F65="","",IF(AND(Görevler!$C65&lt;=(AS$4+Ayarlar!$C$6-1),Görevler!$D65&gt;=AS$4),IF(AS$4&lt;=Görevler!$C65+ROUND(Görevler!$F65*Görevler!$E65,0)-1,2,1),""))</f>
        <v/>
      </c>
      <c r="AT65" s="22" t="str">
        <f aca="false">IF(Görevler!$F65="","",IF(AND(Görevler!$C65&lt;=(AT$4+Ayarlar!$C$6-1),Görevler!$D65&gt;=AT$4),IF(AT$4&lt;=Görevler!$C65+ROUND(Görevler!$F65*Görevler!$E65,0)-1,2,1),""))</f>
        <v/>
      </c>
      <c r="AU65" s="22" t="str">
        <f aca="false">IF(Görevler!$F65="","",IF(AND(Görevler!$C65&lt;=(AU$4+Ayarlar!$C$6-1),Görevler!$D65&gt;=AU$4),IF(AU$4&lt;=Görevler!$C65+ROUND(Görevler!$F65*Görevler!$E65,0)-1,2,1),""))</f>
        <v/>
      </c>
      <c r="AV65" s="22" t="str">
        <f aca="false">IF(Görevler!$F65="","",IF(AND(Görevler!$C65&lt;=(AV$4+Ayarlar!$C$6-1),Görevler!$D65&gt;=AV$4),IF(AV$4&lt;=Görevler!$C65+ROUND(Görevler!$F65*Görevler!$E65,0)-1,2,1),""))</f>
        <v/>
      </c>
      <c r="AW65" s="22" t="str">
        <f aca="false">IF(Görevler!$F65="","",IF(AND(Görevler!$C65&lt;=(AW$4+Ayarlar!$C$6-1),Görevler!$D65&gt;=AW$4),IF(AW$4&lt;=Görevler!$C65+ROUND(Görevler!$F65*Görevler!$E65,0)-1,2,1),""))</f>
        <v/>
      </c>
      <c r="AX65" s="22" t="str">
        <f aca="false">IF(Görevler!$F65="","",IF(AND(Görevler!$C65&lt;=(AX$4+Ayarlar!$C$6-1),Görevler!$D65&gt;=AX$4),IF(AX$4&lt;=Görevler!$C65+ROUND(Görevler!$F65*Görevler!$E65,0)-1,2,1),""))</f>
        <v/>
      </c>
      <c r="AY65" s="22" t="str">
        <f aca="false">IF(Görevler!$F65="","",IF(AND(Görevler!$C65&lt;=(AY$4+Ayarlar!$C$6-1),Görevler!$D65&gt;=AY$4),IF(AY$4&lt;=Görevler!$C65+ROUND(Görevler!$F65*Görevler!$E65,0)-1,2,1),""))</f>
        <v/>
      </c>
      <c r="AZ65" s="22" t="str">
        <f aca="false">IF(Görevler!$F65="","",IF(AND(Görevler!$C65&lt;=(AZ$4+Ayarlar!$C$6-1),Görevler!$D65&gt;=AZ$4),IF(AZ$4&lt;=Görevler!$C65+ROUND(Görevler!$F65*Görevler!$E65,0)-1,2,1),""))</f>
        <v/>
      </c>
      <c r="BA65" s="22" t="str">
        <f aca="false">IF(Görevler!$F65="","",IF(AND(Görevler!$C65&lt;=(BA$4+Ayarlar!$C$6-1),Görevler!$D65&gt;=BA$4),IF(BA$4&lt;=Görevler!$C65+ROUND(Görevler!$F65*Görevler!$E65,0)-1,2,1),""))</f>
        <v/>
      </c>
      <c r="BB65" s="22" t="str">
        <f aca="false">IF(Görevler!$F65="","",IF(AND(Görevler!$C65&lt;=(BB$4+Ayarlar!$C$6-1),Görevler!$D65&gt;=BB$4),IF(BB$4&lt;=Görevler!$C65+ROUND(Görevler!$F65*Görevler!$E65,0)-1,2,1),""))</f>
        <v/>
      </c>
      <c r="BC65" s="22" t="str">
        <f aca="false">IF(Görevler!$F65="","",IF(AND(Görevler!$C65&lt;=(BC$4+Ayarlar!$C$6-1),Görevler!$D65&gt;=BC$4),IF(BC$4&lt;=Görevler!$C65+ROUND(Görevler!$F65*Görevler!$E65,0)-1,2,1),""))</f>
        <v/>
      </c>
      <c r="BD65" s="22" t="str">
        <f aca="false">IF(Görevler!$F65="","",IF(AND(Görevler!$C65&lt;=(BD$4+Ayarlar!$C$6-1),Görevler!$D65&gt;=BD$4),IF(BD$4&lt;=Görevler!$C65+ROUND(Görevler!$F65*Görevler!$E65,0)-1,2,1),""))</f>
        <v/>
      </c>
      <c r="BE65" s="22" t="str">
        <f aca="false">IF(Görevler!$F65="","",IF(AND(Görevler!$C65&lt;=(BE$4+Ayarlar!$C$6-1),Görevler!$D65&gt;=BE$4),IF(BE$4&lt;=Görevler!$C65+ROUND(Görevler!$F65*Görevler!$E65,0)-1,2,1),""))</f>
        <v/>
      </c>
      <c r="BF65" s="22" t="str">
        <f aca="false">IF(Görevler!$F65="","",IF(AND(Görevler!$C65&lt;=(BF$4+Ayarlar!$C$6-1),Görevler!$D65&gt;=BF$4),IF(BF$4&lt;=Görevler!$C65+ROUND(Görevler!$F65*Görevler!$E65,0)-1,2,1),""))</f>
        <v/>
      </c>
      <c r="BG65" s="22" t="str">
        <f aca="false">IF(Görevler!$F65="","",IF(AND(Görevler!$C65&lt;=(BG$4+Ayarlar!$C$6-1),Görevler!$D65&gt;=BG$4),IF(BG$4&lt;=Görevler!$C65+ROUND(Görevler!$F65*Görevler!$E65,0)-1,2,1),""))</f>
        <v/>
      </c>
      <c r="BH65" s="22" t="str">
        <f aca="false">IF(Görevler!$F65="","",IF(AND(Görevler!$C65&lt;=(BH$4+Ayarlar!$C$6-1),Görevler!$D65&gt;=BH$4),IF(BH$4&lt;=Görevler!$C65+ROUND(Görevler!$F65*Görevler!$E65,0)-1,2,1),""))</f>
        <v/>
      </c>
      <c r="BI65" s="22" t="str">
        <f aca="false">IF(Görevler!$F65="","",IF(AND(Görevler!$C65&lt;=(BI$4+Ayarlar!$C$6-1),Görevler!$D65&gt;=BI$4),IF(BI$4&lt;=Görevler!$C65+ROUND(Görevler!$F65*Görevler!$E65,0)-1,2,1),""))</f>
        <v/>
      </c>
      <c r="BJ65" s="22" t="str">
        <f aca="false">IF(Görevler!$F65="","",IF(AND(Görevler!$C65&lt;=(BJ$4+Ayarlar!$C$6-1),Görevler!$D65&gt;=BJ$4),IF(BJ$4&lt;=Görevler!$C65+ROUND(Görevler!$F65*Görevler!$E65,0)-1,2,1),""))</f>
        <v/>
      </c>
    </row>
    <row r="66" customFormat="false" ht="15" hidden="false" customHeight="false" outlineLevel="0" collapsed="false">
      <c r="A66" s="21" t="str">
        <f aca="false">IF(Görevler!A66="","",Görevler!A66)</f>
        <v/>
      </c>
      <c r="B66" s="21" t="str">
        <f aca="false">IF(Görevler!A66="","",Görevler!B66&amp;"")</f>
        <v/>
      </c>
      <c r="C66" s="22" t="str">
        <f aca="false">IF(Görevler!$F66="","",IF(AND(Görevler!$C66&lt;=(C$4+Ayarlar!$C$6-1),Görevler!$D66&gt;=C$4),IF(C$4&lt;=Görevler!$C66+ROUND(Görevler!$F66*Görevler!$E66,0)-1,2,1),""))</f>
        <v/>
      </c>
      <c r="D66" s="22" t="str">
        <f aca="false">IF(Görevler!$F66="","",IF(AND(Görevler!$C66&lt;=(D$4+Ayarlar!$C$6-1),Görevler!$D66&gt;=D$4),IF(D$4&lt;=Görevler!$C66+ROUND(Görevler!$F66*Görevler!$E66,0)-1,2,1),""))</f>
        <v/>
      </c>
      <c r="E66" s="22" t="str">
        <f aca="false">IF(Görevler!$F66="","",IF(AND(Görevler!$C66&lt;=(E$4+Ayarlar!$C$6-1),Görevler!$D66&gt;=E$4),IF(E$4&lt;=Görevler!$C66+ROUND(Görevler!$F66*Görevler!$E66,0)-1,2,1),""))</f>
        <v/>
      </c>
      <c r="F66" s="22" t="str">
        <f aca="false">IF(Görevler!$F66="","",IF(AND(Görevler!$C66&lt;=(F$4+Ayarlar!$C$6-1),Görevler!$D66&gt;=F$4),IF(F$4&lt;=Görevler!$C66+ROUND(Görevler!$F66*Görevler!$E66,0)-1,2,1),""))</f>
        <v/>
      </c>
      <c r="G66" s="22" t="str">
        <f aca="false">IF(Görevler!$F66="","",IF(AND(Görevler!$C66&lt;=(G$4+Ayarlar!$C$6-1),Görevler!$D66&gt;=G$4),IF(G$4&lt;=Görevler!$C66+ROUND(Görevler!$F66*Görevler!$E66,0)-1,2,1),""))</f>
        <v/>
      </c>
      <c r="H66" s="22" t="str">
        <f aca="false">IF(Görevler!$F66="","",IF(AND(Görevler!$C66&lt;=(H$4+Ayarlar!$C$6-1),Görevler!$D66&gt;=H$4),IF(H$4&lt;=Görevler!$C66+ROUND(Görevler!$F66*Görevler!$E66,0)-1,2,1),""))</f>
        <v/>
      </c>
      <c r="I66" s="22" t="str">
        <f aca="false">IF(Görevler!$F66="","",IF(AND(Görevler!$C66&lt;=(I$4+Ayarlar!$C$6-1),Görevler!$D66&gt;=I$4),IF(I$4&lt;=Görevler!$C66+ROUND(Görevler!$F66*Görevler!$E66,0)-1,2,1),""))</f>
        <v/>
      </c>
      <c r="J66" s="22" t="str">
        <f aca="false">IF(Görevler!$F66="","",IF(AND(Görevler!$C66&lt;=(J$4+Ayarlar!$C$6-1),Görevler!$D66&gt;=J$4),IF(J$4&lt;=Görevler!$C66+ROUND(Görevler!$F66*Görevler!$E66,0)-1,2,1),""))</f>
        <v/>
      </c>
      <c r="K66" s="22" t="str">
        <f aca="false">IF(Görevler!$F66="","",IF(AND(Görevler!$C66&lt;=(K$4+Ayarlar!$C$6-1),Görevler!$D66&gt;=K$4),IF(K$4&lt;=Görevler!$C66+ROUND(Görevler!$F66*Görevler!$E66,0)-1,2,1),""))</f>
        <v/>
      </c>
      <c r="L66" s="22" t="str">
        <f aca="false">IF(Görevler!$F66="","",IF(AND(Görevler!$C66&lt;=(L$4+Ayarlar!$C$6-1),Görevler!$D66&gt;=L$4),IF(L$4&lt;=Görevler!$C66+ROUND(Görevler!$F66*Görevler!$E66,0)-1,2,1),""))</f>
        <v/>
      </c>
      <c r="M66" s="22" t="str">
        <f aca="false">IF(Görevler!$F66="","",IF(AND(Görevler!$C66&lt;=(M$4+Ayarlar!$C$6-1),Görevler!$D66&gt;=M$4),IF(M$4&lt;=Görevler!$C66+ROUND(Görevler!$F66*Görevler!$E66,0)-1,2,1),""))</f>
        <v/>
      </c>
      <c r="N66" s="22" t="str">
        <f aca="false">IF(Görevler!$F66="","",IF(AND(Görevler!$C66&lt;=(N$4+Ayarlar!$C$6-1),Görevler!$D66&gt;=N$4),IF(N$4&lt;=Görevler!$C66+ROUND(Görevler!$F66*Görevler!$E66,0)-1,2,1),""))</f>
        <v/>
      </c>
      <c r="O66" s="22" t="str">
        <f aca="false">IF(Görevler!$F66="","",IF(AND(Görevler!$C66&lt;=(O$4+Ayarlar!$C$6-1),Görevler!$D66&gt;=O$4),IF(O$4&lt;=Görevler!$C66+ROUND(Görevler!$F66*Görevler!$E66,0)-1,2,1),""))</f>
        <v/>
      </c>
      <c r="P66" s="22" t="str">
        <f aca="false">IF(Görevler!$F66="","",IF(AND(Görevler!$C66&lt;=(P$4+Ayarlar!$C$6-1),Görevler!$D66&gt;=P$4),IF(P$4&lt;=Görevler!$C66+ROUND(Görevler!$F66*Görevler!$E66,0)-1,2,1),""))</f>
        <v/>
      </c>
      <c r="Q66" s="22" t="str">
        <f aca="false">IF(Görevler!$F66="","",IF(AND(Görevler!$C66&lt;=(Q$4+Ayarlar!$C$6-1),Görevler!$D66&gt;=Q$4),IF(Q$4&lt;=Görevler!$C66+ROUND(Görevler!$F66*Görevler!$E66,0)-1,2,1),""))</f>
        <v/>
      </c>
      <c r="R66" s="22" t="str">
        <f aca="false">IF(Görevler!$F66="","",IF(AND(Görevler!$C66&lt;=(R$4+Ayarlar!$C$6-1),Görevler!$D66&gt;=R$4),IF(R$4&lt;=Görevler!$C66+ROUND(Görevler!$F66*Görevler!$E66,0)-1,2,1),""))</f>
        <v/>
      </c>
      <c r="S66" s="22" t="str">
        <f aca="false">IF(Görevler!$F66="","",IF(AND(Görevler!$C66&lt;=(S$4+Ayarlar!$C$6-1),Görevler!$D66&gt;=S$4),IF(S$4&lt;=Görevler!$C66+ROUND(Görevler!$F66*Görevler!$E66,0)-1,2,1),""))</f>
        <v/>
      </c>
      <c r="T66" s="22" t="str">
        <f aca="false">IF(Görevler!$F66="","",IF(AND(Görevler!$C66&lt;=(T$4+Ayarlar!$C$6-1),Görevler!$D66&gt;=T$4),IF(T$4&lt;=Görevler!$C66+ROUND(Görevler!$F66*Görevler!$E66,0)-1,2,1),""))</f>
        <v/>
      </c>
      <c r="U66" s="22" t="str">
        <f aca="false">IF(Görevler!$F66="","",IF(AND(Görevler!$C66&lt;=(U$4+Ayarlar!$C$6-1),Görevler!$D66&gt;=U$4),IF(U$4&lt;=Görevler!$C66+ROUND(Görevler!$F66*Görevler!$E66,0)-1,2,1),""))</f>
        <v/>
      </c>
      <c r="V66" s="22" t="str">
        <f aca="false">IF(Görevler!$F66="","",IF(AND(Görevler!$C66&lt;=(V$4+Ayarlar!$C$6-1),Görevler!$D66&gt;=V$4),IF(V$4&lt;=Görevler!$C66+ROUND(Görevler!$F66*Görevler!$E66,0)-1,2,1),""))</f>
        <v/>
      </c>
      <c r="W66" s="22" t="str">
        <f aca="false">IF(Görevler!$F66="","",IF(AND(Görevler!$C66&lt;=(W$4+Ayarlar!$C$6-1),Görevler!$D66&gt;=W$4),IF(W$4&lt;=Görevler!$C66+ROUND(Görevler!$F66*Görevler!$E66,0)-1,2,1),""))</f>
        <v/>
      </c>
      <c r="X66" s="22" t="str">
        <f aca="false">IF(Görevler!$F66="","",IF(AND(Görevler!$C66&lt;=(X$4+Ayarlar!$C$6-1),Görevler!$D66&gt;=X$4),IF(X$4&lt;=Görevler!$C66+ROUND(Görevler!$F66*Görevler!$E66,0)-1,2,1),""))</f>
        <v/>
      </c>
      <c r="Y66" s="22" t="str">
        <f aca="false">IF(Görevler!$F66="","",IF(AND(Görevler!$C66&lt;=(Y$4+Ayarlar!$C$6-1),Görevler!$D66&gt;=Y$4),IF(Y$4&lt;=Görevler!$C66+ROUND(Görevler!$F66*Görevler!$E66,0)-1,2,1),""))</f>
        <v/>
      </c>
      <c r="Z66" s="22" t="str">
        <f aca="false">IF(Görevler!$F66="","",IF(AND(Görevler!$C66&lt;=(Z$4+Ayarlar!$C$6-1),Görevler!$D66&gt;=Z$4),IF(Z$4&lt;=Görevler!$C66+ROUND(Görevler!$F66*Görevler!$E66,0)-1,2,1),""))</f>
        <v/>
      </c>
      <c r="AA66" s="22" t="str">
        <f aca="false">IF(Görevler!$F66="","",IF(AND(Görevler!$C66&lt;=(AA$4+Ayarlar!$C$6-1),Görevler!$D66&gt;=AA$4),IF(AA$4&lt;=Görevler!$C66+ROUND(Görevler!$F66*Görevler!$E66,0)-1,2,1),""))</f>
        <v/>
      </c>
      <c r="AB66" s="22" t="str">
        <f aca="false">IF(Görevler!$F66="","",IF(AND(Görevler!$C66&lt;=(AB$4+Ayarlar!$C$6-1),Görevler!$D66&gt;=AB$4),IF(AB$4&lt;=Görevler!$C66+ROUND(Görevler!$F66*Görevler!$E66,0)-1,2,1),""))</f>
        <v/>
      </c>
      <c r="AC66" s="22" t="str">
        <f aca="false">IF(Görevler!$F66="","",IF(AND(Görevler!$C66&lt;=(AC$4+Ayarlar!$C$6-1),Görevler!$D66&gt;=AC$4),IF(AC$4&lt;=Görevler!$C66+ROUND(Görevler!$F66*Görevler!$E66,0)-1,2,1),""))</f>
        <v/>
      </c>
      <c r="AD66" s="22" t="str">
        <f aca="false">IF(Görevler!$F66="","",IF(AND(Görevler!$C66&lt;=(AD$4+Ayarlar!$C$6-1),Görevler!$D66&gt;=AD$4),IF(AD$4&lt;=Görevler!$C66+ROUND(Görevler!$F66*Görevler!$E66,0)-1,2,1),""))</f>
        <v/>
      </c>
      <c r="AE66" s="22" t="str">
        <f aca="false">IF(Görevler!$F66="","",IF(AND(Görevler!$C66&lt;=(AE$4+Ayarlar!$C$6-1),Görevler!$D66&gt;=AE$4),IF(AE$4&lt;=Görevler!$C66+ROUND(Görevler!$F66*Görevler!$E66,0)-1,2,1),""))</f>
        <v/>
      </c>
      <c r="AF66" s="22" t="str">
        <f aca="false">IF(Görevler!$F66="","",IF(AND(Görevler!$C66&lt;=(AF$4+Ayarlar!$C$6-1),Görevler!$D66&gt;=AF$4),IF(AF$4&lt;=Görevler!$C66+ROUND(Görevler!$F66*Görevler!$E66,0)-1,2,1),""))</f>
        <v/>
      </c>
      <c r="AG66" s="22" t="str">
        <f aca="false">IF(Görevler!$F66="","",IF(AND(Görevler!$C66&lt;=(AG$4+Ayarlar!$C$6-1),Görevler!$D66&gt;=AG$4),IF(AG$4&lt;=Görevler!$C66+ROUND(Görevler!$F66*Görevler!$E66,0)-1,2,1),""))</f>
        <v/>
      </c>
      <c r="AH66" s="22" t="str">
        <f aca="false">IF(Görevler!$F66="","",IF(AND(Görevler!$C66&lt;=(AH$4+Ayarlar!$C$6-1),Görevler!$D66&gt;=AH$4),IF(AH$4&lt;=Görevler!$C66+ROUND(Görevler!$F66*Görevler!$E66,0)-1,2,1),""))</f>
        <v/>
      </c>
      <c r="AI66" s="22" t="str">
        <f aca="false">IF(Görevler!$F66="","",IF(AND(Görevler!$C66&lt;=(AI$4+Ayarlar!$C$6-1),Görevler!$D66&gt;=AI$4),IF(AI$4&lt;=Görevler!$C66+ROUND(Görevler!$F66*Görevler!$E66,0)-1,2,1),""))</f>
        <v/>
      </c>
      <c r="AJ66" s="22" t="str">
        <f aca="false">IF(Görevler!$F66="","",IF(AND(Görevler!$C66&lt;=(AJ$4+Ayarlar!$C$6-1),Görevler!$D66&gt;=AJ$4),IF(AJ$4&lt;=Görevler!$C66+ROUND(Görevler!$F66*Görevler!$E66,0)-1,2,1),""))</f>
        <v/>
      </c>
      <c r="AK66" s="22" t="str">
        <f aca="false">IF(Görevler!$F66="","",IF(AND(Görevler!$C66&lt;=(AK$4+Ayarlar!$C$6-1),Görevler!$D66&gt;=AK$4),IF(AK$4&lt;=Görevler!$C66+ROUND(Görevler!$F66*Görevler!$E66,0)-1,2,1),""))</f>
        <v/>
      </c>
      <c r="AL66" s="22" t="str">
        <f aca="false">IF(Görevler!$F66="","",IF(AND(Görevler!$C66&lt;=(AL$4+Ayarlar!$C$6-1),Görevler!$D66&gt;=AL$4),IF(AL$4&lt;=Görevler!$C66+ROUND(Görevler!$F66*Görevler!$E66,0)-1,2,1),""))</f>
        <v/>
      </c>
      <c r="AM66" s="22" t="str">
        <f aca="false">IF(Görevler!$F66="","",IF(AND(Görevler!$C66&lt;=(AM$4+Ayarlar!$C$6-1),Görevler!$D66&gt;=AM$4),IF(AM$4&lt;=Görevler!$C66+ROUND(Görevler!$F66*Görevler!$E66,0)-1,2,1),""))</f>
        <v/>
      </c>
      <c r="AN66" s="22" t="str">
        <f aca="false">IF(Görevler!$F66="","",IF(AND(Görevler!$C66&lt;=(AN$4+Ayarlar!$C$6-1),Görevler!$D66&gt;=AN$4),IF(AN$4&lt;=Görevler!$C66+ROUND(Görevler!$F66*Görevler!$E66,0)-1,2,1),""))</f>
        <v/>
      </c>
      <c r="AO66" s="22" t="str">
        <f aca="false">IF(Görevler!$F66="","",IF(AND(Görevler!$C66&lt;=(AO$4+Ayarlar!$C$6-1),Görevler!$D66&gt;=AO$4),IF(AO$4&lt;=Görevler!$C66+ROUND(Görevler!$F66*Görevler!$E66,0)-1,2,1),""))</f>
        <v/>
      </c>
      <c r="AP66" s="22" t="str">
        <f aca="false">IF(Görevler!$F66="","",IF(AND(Görevler!$C66&lt;=(AP$4+Ayarlar!$C$6-1),Görevler!$D66&gt;=AP$4),IF(AP$4&lt;=Görevler!$C66+ROUND(Görevler!$F66*Görevler!$E66,0)-1,2,1),""))</f>
        <v/>
      </c>
      <c r="AQ66" s="22" t="str">
        <f aca="false">IF(Görevler!$F66="","",IF(AND(Görevler!$C66&lt;=(AQ$4+Ayarlar!$C$6-1),Görevler!$D66&gt;=AQ$4),IF(AQ$4&lt;=Görevler!$C66+ROUND(Görevler!$F66*Görevler!$E66,0)-1,2,1),""))</f>
        <v/>
      </c>
      <c r="AR66" s="22" t="str">
        <f aca="false">IF(Görevler!$F66="","",IF(AND(Görevler!$C66&lt;=(AR$4+Ayarlar!$C$6-1),Görevler!$D66&gt;=AR$4),IF(AR$4&lt;=Görevler!$C66+ROUND(Görevler!$F66*Görevler!$E66,0)-1,2,1),""))</f>
        <v/>
      </c>
      <c r="AS66" s="22" t="str">
        <f aca="false">IF(Görevler!$F66="","",IF(AND(Görevler!$C66&lt;=(AS$4+Ayarlar!$C$6-1),Görevler!$D66&gt;=AS$4),IF(AS$4&lt;=Görevler!$C66+ROUND(Görevler!$F66*Görevler!$E66,0)-1,2,1),""))</f>
        <v/>
      </c>
      <c r="AT66" s="22" t="str">
        <f aca="false">IF(Görevler!$F66="","",IF(AND(Görevler!$C66&lt;=(AT$4+Ayarlar!$C$6-1),Görevler!$D66&gt;=AT$4),IF(AT$4&lt;=Görevler!$C66+ROUND(Görevler!$F66*Görevler!$E66,0)-1,2,1),""))</f>
        <v/>
      </c>
      <c r="AU66" s="22" t="str">
        <f aca="false">IF(Görevler!$F66="","",IF(AND(Görevler!$C66&lt;=(AU$4+Ayarlar!$C$6-1),Görevler!$D66&gt;=AU$4),IF(AU$4&lt;=Görevler!$C66+ROUND(Görevler!$F66*Görevler!$E66,0)-1,2,1),""))</f>
        <v/>
      </c>
      <c r="AV66" s="22" t="str">
        <f aca="false">IF(Görevler!$F66="","",IF(AND(Görevler!$C66&lt;=(AV$4+Ayarlar!$C$6-1),Görevler!$D66&gt;=AV$4),IF(AV$4&lt;=Görevler!$C66+ROUND(Görevler!$F66*Görevler!$E66,0)-1,2,1),""))</f>
        <v/>
      </c>
      <c r="AW66" s="22" t="str">
        <f aca="false">IF(Görevler!$F66="","",IF(AND(Görevler!$C66&lt;=(AW$4+Ayarlar!$C$6-1),Görevler!$D66&gt;=AW$4),IF(AW$4&lt;=Görevler!$C66+ROUND(Görevler!$F66*Görevler!$E66,0)-1,2,1),""))</f>
        <v/>
      </c>
      <c r="AX66" s="22" t="str">
        <f aca="false">IF(Görevler!$F66="","",IF(AND(Görevler!$C66&lt;=(AX$4+Ayarlar!$C$6-1),Görevler!$D66&gt;=AX$4),IF(AX$4&lt;=Görevler!$C66+ROUND(Görevler!$F66*Görevler!$E66,0)-1,2,1),""))</f>
        <v/>
      </c>
      <c r="AY66" s="22" t="str">
        <f aca="false">IF(Görevler!$F66="","",IF(AND(Görevler!$C66&lt;=(AY$4+Ayarlar!$C$6-1),Görevler!$D66&gt;=AY$4),IF(AY$4&lt;=Görevler!$C66+ROUND(Görevler!$F66*Görevler!$E66,0)-1,2,1),""))</f>
        <v/>
      </c>
      <c r="AZ66" s="22" t="str">
        <f aca="false">IF(Görevler!$F66="","",IF(AND(Görevler!$C66&lt;=(AZ$4+Ayarlar!$C$6-1),Görevler!$D66&gt;=AZ$4),IF(AZ$4&lt;=Görevler!$C66+ROUND(Görevler!$F66*Görevler!$E66,0)-1,2,1),""))</f>
        <v/>
      </c>
      <c r="BA66" s="22" t="str">
        <f aca="false">IF(Görevler!$F66="","",IF(AND(Görevler!$C66&lt;=(BA$4+Ayarlar!$C$6-1),Görevler!$D66&gt;=BA$4),IF(BA$4&lt;=Görevler!$C66+ROUND(Görevler!$F66*Görevler!$E66,0)-1,2,1),""))</f>
        <v/>
      </c>
      <c r="BB66" s="22" t="str">
        <f aca="false">IF(Görevler!$F66="","",IF(AND(Görevler!$C66&lt;=(BB$4+Ayarlar!$C$6-1),Görevler!$D66&gt;=BB$4),IF(BB$4&lt;=Görevler!$C66+ROUND(Görevler!$F66*Görevler!$E66,0)-1,2,1),""))</f>
        <v/>
      </c>
      <c r="BC66" s="22" t="str">
        <f aca="false">IF(Görevler!$F66="","",IF(AND(Görevler!$C66&lt;=(BC$4+Ayarlar!$C$6-1),Görevler!$D66&gt;=BC$4),IF(BC$4&lt;=Görevler!$C66+ROUND(Görevler!$F66*Görevler!$E66,0)-1,2,1),""))</f>
        <v/>
      </c>
      <c r="BD66" s="22" t="str">
        <f aca="false">IF(Görevler!$F66="","",IF(AND(Görevler!$C66&lt;=(BD$4+Ayarlar!$C$6-1),Görevler!$D66&gt;=BD$4),IF(BD$4&lt;=Görevler!$C66+ROUND(Görevler!$F66*Görevler!$E66,0)-1,2,1),""))</f>
        <v/>
      </c>
      <c r="BE66" s="22" t="str">
        <f aca="false">IF(Görevler!$F66="","",IF(AND(Görevler!$C66&lt;=(BE$4+Ayarlar!$C$6-1),Görevler!$D66&gt;=BE$4),IF(BE$4&lt;=Görevler!$C66+ROUND(Görevler!$F66*Görevler!$E66,0)-1,2,1),""))</f>
        <v/>
      </c>
      <c r="BF66" s="22" t="str">
        <f aca="false">IF(Görevler!$F66="","",IF(AND(Görevler!$C66&lt;=(BF$4+Ayarlar!$C$6-1),Görevler!$D66&gt;=BF$4),IF(BF$4&lt;=Görevler!$C66+ROUND(Görevler!$F66*Görevler!$E66,0)-1,2,1),""))</f>
        <v/>
      </c>
      <c r="BG66" s="22" t="str">
        <f aca="false">IF(Görevler!$F66="","",IF(AND(Görevler!$C66&lt;=(BG$4+Ayarlar!$C$6-1),Görevler!$D66&gt;=BG$4),IF(BG$4&lt;=Görevler!$C66+ROUND(Görevler!$F66*Görevler!$E66,0)-1,2,1),""))</f>
        <v/>
      </c>
      <c r="BH66" s="22" t="str">
        <f aca="false">IF(Görevler!$F66="","",IF(AND(Görevler!$C66&lt;=(BH$4+Ayarlar!$C$6-1),Görevler!$D66&gt;=BH$4),IF(BH$4&lt;=Görevler!$C66+ROUND(Görevler!$F66*Görevler!$E66,0)-1,2,1),""))</f>
        <v/>
      </c>
      <c r="BI66" s="22" t="str">
        <f aca="false">IF(Görevler!$F66="","",IF(AND(Görevler!$C66&lt;=(BI$4+Ayarlar!$C$6-1),Görevler!$D66&gt;=BI$4),IF(BI$4&lt;=Görevler!$C66+ROUND(Görevler!$F66*Görevler!$E66,0)-1,2,1),""))</f>
        <v/>
      </c>
      <c r="BJ66" s="22" t="str">
        <f aca="false">IF(Görevler!$F66="","",IF(AND(Görevler!$C66&lt;=(BJ$4+Ayarlar!$C$6-1),Görevler!$D66&gt;=BJ$4),IF(BJ$4&lt;=Görevler!$C66+ROUND(Görevler!$F66*Görevler!$E66,0)-1,2,1),""))</f>
        <v/>
      </c>
    </row>
    <row r="67" customFormat="false" ht="15" hidden="false" customHeight="false" outlineLevel="0" collapsed="false">
      <c r="A67" s="21" t="str">
        <f aca="false">IF(Görevler!A67="","",Görevler!A67)</f>
        <v/>
      </c>
      <c r="B67" s="21" t="str">
        <f aca="false">IF(Görevler!A67="","",Görevler!B67&amp;"")</f>
        <v/>
      </c>
      <c r="C67" s="22" t="str">
        <f aca="false">IF(Görevler!$F67="","",IF(AND(Görevler!$C67&lt;=(C$4+Ayarlar!$C$6-1),Görevler!$D67&gt;=C$4),IF(C$4&lt;=Görevler!$C67+ROUND(Görevler!$F67*Görevler!$E67,0)-1,2,1),""))</f>
        <v/>
      </c>
      <c r="D67" s="22" t="str">
        <f aca="false">IF(Görevler!$F67="","",IF(AND(Görevler!$C67&lt;=(D$4+Ayarlar!$C$6-1),Görevler!$D67&gt;=D$4),IF(D$4&lt;=Görevler!$C67+ROUND(Görevler!$F67*Görevler!$E67,0)-1,2,1),""))</f>
        <v/>
      </c>
      <c r="E67" s="22" t="str">
        <f aca="false">IF(Görevler!$F67="","",IF(AND(Görevler!$C67&lt;=(E$4+Ayarlar!$C$6-1),Görevler!$D67&gt;=E$4),IF(E$4&lt;=Görevler!$C67+ROUND(Görevler!$F67*Görevler!$E67,0)-1,2,1),""))</f>
        <v/>
      </c>
      <c r="F67" s="22" t="str">
        <f aca="false">IF(Görevler!$F67="","",IF(AND(Görevler!$C67&lt;=(F$4+Ayarlar!$C$6-1),Görevler!$D67&gt;=F$4),IF(F$4&lt;=Görevler!$C67+ROUND(Görevler!$F67*Görevler!$E67,0)-1,2,1),""))</f>
        <v/>
      </c>
      <c r="G67" s="22" t="str">
        <f aca="false">IF(Görevler!$F67="","",IF(AND(Görevler!$C67&lt;=(G$4+Ayarlar!$C$6-1),Görevler!$D67&gt;=G$4),IF(G$4&lt;=Görevler!$C67+ROUND(Görevler!$F67*Görevler!$E67,0)-1,2,1),""))</f>
        <v/>
      </c>
      <c r="H67" s="22" t="str">
        <f aca="false">IF(Görevler!$F67="","",IF(AND(Görevler!$C67&lt;=(H$4+Ayarlar!$C$6-1),Görevler!$D67&gt;=H$4),IF(H$4&lt;=Görevler!$C67+ROUND(Görevler!$F67*Görevler!$E67,0)-1,2,1),""))</f>
        <v/>
      </c>
      <c r="I67" s="22" t="str">
        <f aca="false">IF(Görevler!$F67="","",IF(AND(Görevler!$C67&lt;=(I$4+Ayarlar!$C$6-1),Görevler!$D67&gt;=I$4),IF(I$4&lt;=Görevler!$C67+ROUND(Görevler!$F67*Görevler!$E67,0)-1,2,1),""))</f>
        <v/>
      </c>
      <c r="J67" s="22" t="str">
        <f aca="false">IF(Görevler!$F67="","",IF(AND(Görevler!$C67&lt;=(J$4+Ayarlar!$C$6-1),Görevler!$D67&gt;=J$4),IF(J$4&lt;=Görevler!$C67+ROUND(Görevler!$F67*Görevler!$E67,0)-1,2,1),""))</f>
        <v/>
      </c>
      <c r="K67" s="22" t="str">
        <f aca="false">IF(Görevler!$F67="","",IF(AND(Görevler!$C67&lt;=(K$4+Ayarlar!$C$6-1),Görevler!$D67&gt;=K$4),IF(K$4&lt;=Görevler!$C67+ROUND(Görevler!$F67*Görevler!$E67,0)-1,2,1),""))</f>
        <v/>
      </c>
      <c r="L67" s="22" t="str">
        <f aca="false">IF(Görevler!$F67="","",IF(AND(Görevler!$C67&lt;=(L$4+Ayarlar!$C$6-1),Görevler!$D67&gt;=L$4),IF(L$4&lt;=Görevler!$C67+ROUND(Görevler!$F67*Görevler!$E67,0)-1,2,1),""))</f>
        <v/>
      </c>
      <c r="M67" s="22" t="str">
        <f aca="false">IF(Görevler!$F67="","",IF(AND(Görevler!$C67&lt;=(M$4+Ayarlar!$C$6-1),Görevler!$D67&gt;=M$4),IF(M$4&lt;=Görevler!$C67+ROUND(Görevler!$F67*Görevler!$E67,0)-1,2,1),""))</f>
        <v/>
      </c>
      <c r="N67" s="22" t="str">
        <f aca="false">IF(Görevler!$F67="","",IF(AND(Görevler!$C67&lt;=(N$4+Ayarlar!$C$6-1),Görevler!$D67&gt;=N$4),IF(N$4&lt;=Görevler!$C67+ROUND(Görevler!$F67*Görevler!$E67,0)-1,2,1),""))</f>
        <v/>
      </c>
      <c r="O67" s="22" t="str">
        <f aca="false">IF(Görevler!$F67="","",IF(AND(Görevler!$C67&lt;=(O$4+Ayarlar!$C$6-1),Görevler!$D67&gt;=O$4),IF(O$4&lt;=Görevler!$C67+ROUND(Görevler!$F67*Görevler!$E67,0)-1,2,1),""))</f>
        <v/>
      </c>
      <c r="P67" s="22" t="str">
        <f aca="false">IF(Görevler!$F67="","",IF(AND(Görevler!$C67&lt;=(P$4+Ayarlar!$C$6-1),Görevler!$D67&gt;=P$4),IF(P$4&lt;=Görevler!$C67+ROUND(Görevler!$F67*Görevler!$E67,0)-1,2,1),""))</f>
        <v/>
      </c>
      <c r="Q67" s="22" t="str">
        <f aca="false">IF(Görevler!$F67="","",IF(AND(Görevler!$C67&lt;=(Q$4+Ayarlar!$C$6-1),Görevler!$D67&gt;=Q$4),IF(Q$4&lt;=Görevler!$C67+ROUND(Görevler!$F67*Görevler!$E67,0)-1,2,1),""))</f>
        <v/>
      </c>
      <c r="R67" s="22" t="str">
        <f aca="false">IF(Görevler!$F67="","",IF(AND(Görevler!$C67&lt;=(R$4+Ayarlar!$C$6-1),Görevler!$D67&gt;=R$4),IF(R$4&lt;=Görevler!$C67+ROUND(Görevler!$F67*Görevler!$E67,0)-1,2,1),""))</f>
        <v/>
      </c>
      <c r="S67" s="22" t="str">
        <f aca="false">IF(Görevler!$F67="","",IF(AND(Görevler!$C67&lt;=(S$4+Ayarlar!$C$6-1),Görevler!$D67&gt;=S$4),IF(S$4&lt;=Görevler!$C67+ROUND(Görevler!$F67*Görevler!$E67,0)-1,2,1),""))</f>
        <v/>
      </c>
      <c r="T67" s="22" t="str">
        <f aca="false">IF(Görevler!$F67="","",IF(AND(Görevler!$C67&lt;=(T$4+Ayarlar!$C$6-1),Görevler!$D67&gt;=T$4),IF(T$4&lt;=Görevler!$C67+ROUND(Görevler!$F67*Görevler!$E67,0)-1,2,1),""))</f>
        <v/>
      </c>
      <c r="U67" s="22" t="str">
        <f aca="false">IF(Görevler!$F67="","",IF(AND(Görevler!$C67&lt;=(U$4+Ayarlar!$C$6-1),Görevler!$D67&gt;=U$4),IF(U$4&lt;=Görevler!$C67+ROUND(Görevler!$F67*Görevler!$E67,0)-1,2,1),""))</f>
        <v/>
      </c>
      <c r="V67" s="22" t="str">
        <f aca="false">IF(Görevler!$F67="","",IF(AND(Görevler!$C67&lt;=(V$4+Ayarlar!$C$6-1),Görevler!$D67&gt;=V$4),IF(V$4&lt;=Görevler!$C67+ROUND(Görevler!$F67*Görevler!$E67,0)-1,2,1),""))</f>
        <v/>
      </c>
      <c r="W67" s="22" t="str">
        <f aca="false">IF(Görevler!$F67="","",IF(AND(Görevler!$C67&lt;=(W$4+Ayarlar!$C$6-1),Görevler!$D67&gt;=W$4),IF(W$4&lt;=Görevler!$C67+ROUND(Görevler!$F67*Görevler!$E67,0)-1,2,1),""))</f>
        <v/>
      </c>
      <c r="X67" s="22" t="str">
        <f aca="false">IF(Görevler!$F67="","",IF(AND(Görevler!$C67&lt;=(X$4+Ayarlar!$C$6-1),Görevler!$D67&gt;=X$4),IF(X$4&lt;=Görevler!$C67+ROUND(Görevler!$F67*Görevler!$E67,0)-1,2,1),""))</f>
        <v/>
      </c>
      <c r="Y67" s="22" t="str">
        <f aca="false">IF(Görevler!$F67="","",IF(AND(Görevler!$C67&lt;=(Y$4+Ayarlar!$C$6-1),Görevler!$D67&gt;=Y$4),IF(Y$4&lt;=Görevler!$C67+ROUND(Görevler!$F67*Görevler!$E67,0)-1,2,1),""))</f>
        <v/>
      </c>
      <c r="Z67" s="22" t="str">
        <f aca="false">IF(Görevler!$F67="","",IF(AND(Görevler!$C67&lt;=(Z$4+Ayarlar!$C$6-1),Görevler!$D67&gt;=Z$4),IF(Z$4&lt;=Görevler!$C67+ROUND(Görevler!$F67*Görevler!$E67,0)-1,2,1),""))</f>
        <v/>
      </c>
      <c r="AA67" s="22" t="str">
        <f aca="false">IF(Görevler!$F67="","",IF(AND(Görevler!$C67&lt;=(AA$4+Ayarlar!$C$6-1),Görevler!$D67&gt;=AA$4),IF(AA$4&lt;=Görevler!$C67+ROUND(Görevler!$F67*Görevler!$E67,0)-1,2,1),""))</f>
        <v/>
      </c>
      <c r="AB67" s="22" t="str">
        <f aca="false">IF(Görevler!$F67="","",IF(AND(Görevler!$C67&lt;=(AB$4+Ayarlar!$C$6-1),Görevler!$D67&gt;=AB$4),IF(AB$4&lt;=Görevler!$C67+ROUND(Görevler!$F67*Görevler!$E67,0)-1,2,1),""))</f>
        <v/>
      </c>
      <c r="AC67" s="22" t="str">
        <f aca="false">IF(Görevler!$F67="","",IF(AND(Görevler!$C67&lt;=(AC$4+Ayarlar!$C$6-1),Görevler!$D67&gt;=AC$4),IF(AC$4&lt;=Görevler!$C67+ROUND(Görevler!$F67*Görevler!$E67,0)-1,2,1),""))</f>
        <v/>
      </c>
      <c r="AD67" s="22" t="str">
        <f aca="false">IF(Görevler!$F67="","",IF(AND(Görevler!$C67&lt;=(AD$4+Ayarlar!$C$6-1),Görevler!$D67&gt;=AD$4),IF(AD$4&lt;=Görevler!$C67+ROUND(Görevler!$F67*Görevler!$E67,0)-1,2,1),""))</f>
        <v/>
      </c>
      <c r="AE67" s="22" t="str">
        <f aca="false">IF(Görevler!$F67="","",IF(AND(Görevler!$C67&lt;=(AE$4+Ayarlar!$C$6-1),Görevler!$D67&gt;=AE$4),IF(AE$4&lt;=Görevler!$C67+ROUND(Görevler!$F67*Görevler!$E67,0)-1,2,1),""))</f>
        <v/>
      </c>
      <c r="AF67" s="22" t="str">
        <f aca="false">IF(Görevler!$F67="","",IF(AND(Görevler!$C67&lt;=(AF$4+Ayarlar!$C$6-1),Görevler!$D67&gt;=AF$4),IF(AF$4&lt;=Görevler!$C67+ROUND(Görevler!$F67*Görevler!$E67,0)-1,2,1),""))</f>
        <v/>
      </c>
      <c r="AG67" s="22" t="str">
        <f aca="false">IF(Görevler!$F67="","",IF(AND(Görevler!$C67&lt;=(AG$4+Ayarlar!$C$6-1),Görevler!$D67&gt;=AG$4),IF(AG$4&lt;=Görevler!$C67+ROUND(Görevler!$F67*Görevler!$E67,0)-1,2,1),""))</f>
        <v/>
      </c>
      <c r="AH67" s="22" t="str">
        <f aca="false">IF(Görevler!$F67="","",IF(AND(Görevler!$C67&lt;=(AH$4+Ayarlar!$C$6-1),Görevler!$D67&gt;=AH$4),IF(AH$4&lt;=Görevler!$C67+ROUND(Görevler!$F67*Görevler!$E67,0)-1,2,1),""))</f>
        <v/>
      </c>
      <c r="AI67" s="22" t="str">
        <f aca="false">IF(Görevler!$F67="","",IF(AND(Görevler!$C67&lt;=(AI$4+Ayarlar!$C$6-1),Görevler!$D67&gt;=AI$4),IF(AI$4&lt;=Görevler!$C67+ROUND(Görevler!$F67*Görevler!$E67,0)-1,2,1),""))</f>
        <v/>
      </c>
      <c r="AJ67" s="22" t="str">
        <f aca="false">IF(Görevler!$F67="","",IF(AND(Görevler!$C67&lt;=(AJ$4+Ayarlar!$C$6-1),Görevler!$D67&gt;=AJ$4),IF(AJ$4&lt;=Görevler!$C67+ROUND(Görevler!$F67*Görevler!$E67,0)-1,2,1),""))</f>
        <v/>
      </c>
      <c r="AK67" s="22" t="str">
        <f aca="false">IF(Görevler!$F67="","",IF(AND(Görevler!$C67&lt;=(AK$4+Ayarlar!$C$6-1),Görevler!$D67&gt;=AK$4),IF(AK$4&lt;=Görevler!$C67+ROUND(Görevler!$F67*Görevler!$E67,0)-1,2,1),""))</f>
        <v/>
      </c>
      <c r="AL67" s="22" t="str">
        <f aca="false">IF(Görevler!$F67="","",IF(AND(Görevler!$C67&lt;=(AL$4+Ayarlar!$C$6-1),Görevler!$D67&gt;=AL$4),IF(AL$4&lt;=Görevler!$C67+ROUND(Görevler!$F67*Görevler!$E67,0)-1,2,1),""))</f>
        <v/>
      </c>
      <c r="AM67" s="22" t="str">
        <f aca="false">IF(Görevler!$F67="","",IF(AND(Görevler!$C67&lt;=(AM$4+Ayarlar!$C$6-1),Görevler!$D67&gt;=AM$4),IF(AM$4&lt;=Görevler!$C67+ROUND(Görevler!$F67*Görevler!$E67,0)-1,2,1),""))</f>
        <v/>
      </c>
      <c r="AN67" s="22" t="str">
        <f aca="false">IF(Görevler!$F67="","",IF(AND(Görevler!$C67&lt;=(AN$4+Ayarlar!$C$6-1),Görevler!$D67&gt;=AN$4),IF(AN$4&lt;=Görevler!$C67+ROUND(Görevler!$F67*Görevler!$E67,0)-1,2,1),""))</f>
        <v/>
      </c>
      <c r="AO67" s="22" t="str">
        <f aca="false">IF(Görevler!$F67="","",IF(AND(Görevler!$C67&lt;=(AO$4+Ayarlar!$C$6-1),Görevler!$D67&gt;=AO$4),IF(AO$4&lt;=Görevler!$C67+ROUND(Görevler!$F67*Görevler!$E67,0)-1,2,1),""))</f>
        <v/>
      </c>
      <c r="AP67" s="22" t="str">
        <f aca="false">IF(Görevler!$F67="","",IF(AND(Görevler!$C67&lt;=(AP$4+Ayarlar!$C$6-1),Görevler!$D67&gt;=AP$4),IF(AP$4&lt;=Görevler!$C67+ROUND(Görevler!$F67*Görevler!$E67,0)-1,2,1),""))</f>
        <v/>
      </c>
      <c r="AQ67" s="22" t="str">
        <f aca="false">IF(Görevler!$F67="","",IF(AND(Görevler!$C67&lt;=(AQ$4+Ayarlar!$C$6-1),Görevler!$D67&gt;=AQ$4),IF(AQ$4&lt;=Görevler!$C67+ROUND(Görevler!$F67*Görevler!$E67,0)-1,2,1),""))</f>
        <v/>
      </c>
      <c r="AR67" s="22" t="str">
        <f aca="false">IF(Görevler!$F67="","",IF(AND(Görevler!$C67&lt;=(AR$4+Ayarlar!$C$6-1),Görevler!$D67&gt;=AR$4),IF(AR$4&lt;=Görevler!$C67+ROUND(Görevler!$F67*Görevler!$E67,0)-1,2,1),""))</f>
        <v/>
      </c>
      <c r="AS67" s="22" t="str">
        <f aca="false">IF(Görevler!$F67="","",IF(AND(Görevler!$C67&lt;=(AS$4+Ayarlar!$C$6-1),Görevler!$D67&gt;=AS$4),IF(AS$4&lt;=Görevler!$C67+ROUND(Görevler!$F67*Görevler!$E67,0)-1,2,1),""))</f>
        <v/>
      </c>
      <c r="AT67" s="22" t="str">
        <f aca="false">IF(Görevler!$F67="","",IF(AND(Görevler!$C67&lt;=(AT$4+Ayarlar!$C$6-1),Görevler!$D67&gt;=AT$4),IF(AT$4&lt;=Görevler!$C67+ROUND(Görevler!$F67*Görevler!$E67,0)-1,2,1),""))</f>
        <v/>
      </c>
      <c r="AU67" s="22" t="str">
        <f aca="false">IF(Görevler!$F67="","",IF(AND(Görevler!$C67&lt;=(AU$4+Ayarlar!$C$6-1),Görevler!$D67&gt;=AU$4),IF(AU$4&lt;=Görevler!$C67+ROUND(Görevler!$F67*Görevler!$E67,0)-1,2,1),""))</f>
        <v/>
      </c>
      <c r="AV67" s="22" t="str">
        <f aca="false">IF(Görevler!$F67="","",IF(AND(Görevler!$C67&lt;=(AV$4+Ayarlar!$C$6-1),Görevler!$D67&gt;=AV$4),IF(AV$4&lt;=Görevler!$C67+ROUND(Görevler!$F67*Görevler!$E67,0)-1,2,1),""))</f>
        <v/>
      </c>
      <c r="AW67" s="22" t="str">
        <f aca="false">IF(Görevler!$F67="","",IF(AND(Görevler!$C67&lt;=(AW$4+Ayarlar!$C$6-1),Görevler!$D67&gt;=AW$4),IF(AW$4&lt;=Görevler!$C67+ROUND(Görevler!$F67*Görevler!$E67,0)-1,2,1),""))</f>
        <v/>
      </c>
      <c r="AX67" s="22" t="str">
        <f aca="false">IF(Görevler!$F67="","",IF(AND(Görevler!$C67&lt;=(AX$4+Ayarlar!$C$6-1),Görevler!$D67&gt;=AX$4),IF(AX$4&lt;=Görevler!$C67+ROUND(Görevler!$F67*Görevler!$E67,0)-1,2,1),""))</f>
        <v/>
      </c>
      <c r="AY67" s="22" t="str">
        <f aca="false">IF(Görevler!$F67="","",IF(AND(Görevler!$C67&lt;=(AY$4+Ayarlar!$C$6-1),Görevler!$D67&gt;=AY$4),IF(AY$4&lt;=Görevler!$C67+ROUND(Görevler!$F67*Görevler!$E67,0)-1,2,1),""))</f>
        <v/>
      </c>
      <c r="AZ67" s="22" t="str">
        <f aca="false">IF(Görevler!$F67="","",IF(AND(Görevler!$C67&lt;=(AZ$4+Ayarlar!$C$6-1),Görevler!$D67&gt;=AZ$4),IF(AZ$4&lt;=Görevler!$C67+ROUND(Görevler!$F67*Görevler!$E67,0)-1,2,1),""))</f>
        <v/>
      </c>
      <c r="BA67" s="22" t="str">
        <f aca="false">IF(Görevler!$F67="","",IF(AND(Görevler!$C67&lt;=(BA$4+Ayarlar!$C$6-1),Görevler!$D67&gt;=BA$4),IF(BA$4&lt;=Görevler!$C67+ROUND(Görevler!$F67*Görevler!$E67,0)-1,2,1),""))</f>
        <v/>
      </c>
      <c r="BB67" s="22" t="str">
        <f aca="false">IF(Görevler!$F67="","",IF(AND(Görevler!$C67&lt;=(BB$4+Ayarlar!$C$6-1),Görevler!$D67&gt;=BB$4),IF(BB$4&lt;=Görevler!$C67+ROUND(Görevler!$F67*Görevler!$E67,0)-1,2,1),""))</f>
        <v/>
      </c>
      <c r="BC67" s="22" t="str">
        <f aca="false">IF(Görevler!$F67="","",IF(AND(Görevler!$C67&lt;=(BC$4+Ayarlar!$C$6-1),Görevler!$D67&gt;=BC$4),IF(BC$4&lt;=Görevler!$C67+ROUND(Görevler!$F67*Görevler!$E67,0)-1,2,1),""))</f>
        <v/>
      </c>
      <c r="BD67" s="22" t="str">
        <f aca="false">IF(Görevler!$F67="","",IF(AND(Görevler!$C67&lt;=(BD$4+Ayarlar!$C$6-1),Görevler!$D67&gt;=BD$4),IF(BD$4&lt;=Görevler!$C67+ROUND(Görevler!$F67*Görevler!$E67,0)-1,2,1),""))</f>
        <v/>
      </c>
      <c r="BE67" s="22" t="str">
        <f aca="false">IF(Görevler!$F67="","",IF(AND(Görevler!$C67&lt;=(BE$4+Ayarlar!$C$6-1),Görevler!$D67&gt;=BE$4),IF(BE$4&lt;=Görevler!$C67+ROUND(Görevler!$F67*Görevler!$E67,0)-1,2,1),""))</f>
        <v/>
      </c>
      <c r="BF67" s="22" t="str">
        <f aca="false">IF(Görevler!$F67="","",IF(AND(Görevler!$C67&lt;=(BF$4+Ayarlar!$C$6-1),Görevler!$D67&gt;=BF$4),IF(BF$4&lt;=Görevler!$C67+ROUND(Görevler!$F67*Görevler!$E67,0)-1,2,1),""))</f>
        <v/>
      </c>
      <c r="BG67" s="22" t="str">
        <f aca="false">IF(Görevler!$F67="","",IF(AND(Görevler!$C67&lt;=(BG$4+Ayarlar!$C$6-1),Görevler!$D67&gt;=BG$4),IF(BG$4&lt;=Görevler!$C67+ROUND(Görevler!$F67*Görevler!$E67,0)-1,2,1),""))</f>
        <v/>
      </c>
      <c r="BH67" s="22" t="str">
        <f aca="false">IF(Görevler!$F67="","",IF(AND(Görevler!$C67&lt;=(BH$4+Ayarlar!$C$6-1),Görevler!$D67&gt;=BH$4),IF(BH$4&lt;=Görevler!$C67+ROUND(Görevler!$F67*Görevler!$E67,0)-1,2,1),""))</f>
        <v/>
      </c>
      <c r="BI67" s="22" t="str">
        <f aca="false">IF(Görevler!$F67="","",IF(AND(Görevler!$C67&lt;=(BI$4+Ayarlar!$C$6-1),Görevler!$D67&gt;=BI$4),IF(BI$4&lt;=Görevler!$C67+ROUND(Görevler!$F67*Görevler!$E67,0)-1,2,1),""))</f>
        <v/>
      </c>
      <c r="BJ67" s="22" t="str">
        <f aca="false">IF(Görevler!$F67="","",IF(AND(Görevler!$C67&lt;=(BJ$4+Ayarlar!$C$6-1),Görevler!$D67&gt;=BJ$4),IF(BJ$4&lt;=Görevler!$C67+ROUND(Görevler!$F67*Görevler!$E67,0)-1,2,1),""))</f>
        <v/>
      </c>
    </row>
    <row r="68" customFormat="false" ht="15" hidden="false" customHeight="false" outlineLevel="0" collapsed="false">
      <c r="A68" s="21" t="str">
        <f aca="false">IF(Görevler!A68="","",Görevler!A68)</f>
        <v/>
      </c>
      <c r="B68" s="21" t="str">
        <f aca="false">IF(Görevler!A68="","",Görevler!B68&amp;"")</f>
        <v/>
      </c>
      <c r="C68" s="22" t="str">
        <f aca="false">IF(Görevler!$F68="","",IF(AND(Görevler!$C68&lt;=(C$4+Ayarlar!$C$6-1),Görevler!$D68&gt;=C$4),IF(C$4&lt;=Görevler!$C68+ROUND(Görevler!$F68*Görevler!$E68,0)-1,2,1),""))</f>
        <v/>
      </c>
      <c r="D68" s="22" t="str">
        <f aca="false">IF(Görevler!$F68="","",IF(AND(Görevler!$C68&lt;=(D$4+Ayarlar!$C$6-1),Görevler!$D68&gt;=D$4),IF(D$4&lt;=Görevler!$C68+ROUND(Görevler!$F68*Görevler!$E68,0)-1,2,1),""))</f>
        <v/>
      </c>
      <c r="E68" s="22" t="str">
        <f aca="false">IF(Görevler!$F68="","",IF(AND(Görevler!$C68&lt;=(E$4+Ayarlar!$C$6-1),Görevler!$D68&gt;=E$4),IF(E$4&lt;=Görevler!$C68+ROUND(Görevler!$F68*Görevler!$E68,0)-1,2,1),""))</f>
        <v/>
      </c>
      <c r="F68" s="22" t="str">
        <f aca="false">IF(Görevler!$F68="","",IF(AND(Görevler!$C68&lt;=(F$4+Ayarlar!$C$6-1),Görevler!$D68&gt;=F$4),IF(F$4&lt;=Görevler!$C68+ROUND(Görevler!$F68*Görevler!$E68,0)-1,2,1),""))</f>
        <v/>
      </c>
      <c r="G68" s="22" t="str">
        <f aca="false">IF(Görevler!$F68="","",IF(AND(Görevler!$C68&lt;=(G$4+Ayarlar!$C$6-1),Görevler!$D68&gt;=G$4),IF(G$4&lt;=Görevler!$C68+ROUND(Görevler!$F68*Görevler!$E68,0)-1,2,1),""))</f>
        <v/>
      </c>
      <c r="H68" s="22" t="str">
        <f aca="false">IF(Görevler!$F68="","",IF(AND(Görevler!$C68&lt;=(H$4+Ayarlar!$C$6-1),Görevler!$D68&gt;=H$4),IF(H$4&lt;=Görevler!$C68+ROUND(Görevler!$F68*Görevler!$E68,0)-1,2,1),""))</f>
        <v/>
      </c>
      <c r="I68" s="22" t="str">
        <f aca="false">IF(Görevler!$F68="","",IF(AND(Görevler!$C68&lt;=(I$4+Ayarlar!$C$6-1),Görevler!$D68&gt;=I$4),IF(I$4&lt;=Görevler!$C68+ROUND(Görevler!$F68*Görevler!$E68,0)-1,2,1),""))</f>
        <v/>
      </c>
      <c r="J68" s="22" t="str">
        <f aca="false">IF(Görevler!$F68="","",IF(AND(Görevler!$C68&lt;=(J$4+Ayarlar!$C$6-1),Görevler!$D68&gt;=J$4),IF(J$4&lt;=Görevler!$C68+ROUND(Görevler!$F68*Görevler!$E68,0)-1,2,1),""))</f>
        <v/>
      </c>
      <c r="K68" s="22" t="str">
        <f aca="false">IF(Görevler!$F68="","",IF(AND(Görevler!$C68&lt;=(K$4+Ayarlar!$C$6-1),Görevler!$D68&gt;=K$4),IF(K$4&lt;=Görevler!$C68+ROUND(Görevler!$F68*Görevler!$E68,0)-1,2,1),""))</f>
        <v/>
      </c>
      <c r="L68" s="22" t="str">
        <f aca="false">IF(Görevler!$F68="","",IF(AND(Görevler!$C68&lt;=(L$4+Ayarlar!$C$6-1),Görevler!$D68&gt;=L$4),IF(L$4&lt;=Görevler!$C68+ROUND(Görevler!$F68*Görevler!$E68,0)-1,2,1),""))</f>
        <v/>
      </c>
      <c r="M68" s="22" t="str">
        <f aca="false">IF(Görevler!$F68="","",IF(AND(Görevler!$C68&lt;=(M$4+Ayarlar!$C$6-1),Görevler!$D68&gt;=M$4),IF(M$4&lt;=Görevler!$C68+ROUND(Görevler!$F68*Görevler!$E68,0)-1,2,1),""))</f>
        <v/>
      </c>
      <c r="N68" s="22" t="str">
        <f aca="false">IF(Görevler!$F68="","",IF(AND(Görevler!$C68&lt;=(N$4+Ayarlar!$C$6-1),Görevler!$D68&gt;=N$4),IF(N$4&lt;=Görevler!$C68+ROUND(Görevler!$F68*Görevler!$E68,0)-1,2,1),""))</f>
        <v/>
      </c>
      <c r="O68" s="22" t="str">
        <f aca="false">IF(Görevler!$F68="","",IF(AND(Görevler!$C68&lt;=(O$4+Ayarlar!$C$6-1),Görevler!$D68&gt;=O$4),IF(O$4&lt;=Görevler!$C68+ROUND(Görevler!$F68*Görevler!$E68,0)-1,2,1),""))</f>
        <v/>
      </c>
      <c r="P68" s="22" t="str">
        <f aca="false">IF(Görevler!$F68="","",IF(AND(Görevler!$C68&lt;=(P$4+Ayarlar!$C$6-1),Görevler!$D68&gt;=P$4),IF(P$4&lt;=Görevler!$C68+ROUND(Görevler!$F68*Görevler!$E68,0)-1,2,1),""))</f>
        <v/>
      </c>
      <c r="Q68" s="22" t="str">
        <f aca="false">IF(Görevler!$F68="","",IF(AND(Görevler!$C68&lt;=(Q$4+Ayarlar!$C$6-1),Görevler!$D68&gt;=Q$4),IF(Q$4&lt;=Görevler!$C68+ROUND(Görevler!$F68*Görevler!$E68,0)-1,2,1),""))</f>
        <v/>
      </c>
      <c r="R68" s="22" t="str">
        <f aca="false">IF(Görevler!$F68="","",IF(AND(Görevler!$C68&lt;=(R$4+Ayarlar!$C$6-1),Görevler!$D68&gt;=R$4),IF(R$4&lt;=Görevler!$C68+ROUND(Görevler!$F68*Görevler!$E68,0)-1,2,1),""))</f>
        <v/>
      </c>
      <c r="S68" s="22" t="str">
        <f aca="false">IF(Görevler!$F68="","",IF(AND(Görevler!$C68&lt;=(S$4+Ayarlar!$C$6-1),Görevler!$D68&gt;=S$4),IF(S$4&lt;=Görevler!$C68+ROUND(Görevler!$F68*Görevler!$E68,0)-1,2,1),""))</f>
        <v/>
      </c>
      <c r="T68" s="22" t="str">
        <f aca="false">IF(Görevler!$F68="","",IF(AND(Görevler!$C68&lt;=(T$4+Ayarlar!$C$6-1),Görevler!$D68&gt;=T$4),IF(T$4&lt;=Görevler!$C68+ROUND(Görevler!$F68*Görevler!$E68,0)-1,2,1),""))</f>
        <v/>
      </c>
      <c r="U68" s="22" t="str">
        <f aca="false">IF(Görevler!$F68="","",IF(AND(Görevler!$C68&lt;=(U$4+Ayarlar!$C$6-1),Görevler!$D68&gt;=U$4),IF(U$4&lt;=Görevler!$C68+ROUND(Görevler!$F68*Görevler!$E68,0)-1,2,1),""))</f>
        <v/>
      </c>
      <c r="V68" s="22" t="str">
        <f aca="false">IF(Görevler!$F68="","",IF(AND(Görevler!$C68&lt;=(V$4+Ayarlar!$C$6-1),Görevler!$D68&gt;=V$4),IF(V$4&lt;=Görevler!$C68+ROUND(Görevler!$F68*Görevler!$E68,0)-1,2,1),""))</f>
        <v/>
      </c>
      <c r="W68" s="22" t="str">
        <f aca="false">IF(Görevler!$F68="","",IF(AND(Görevler!$C68&lt;=(W$4+Ayarlar!$C$6-1),Görevler!$D68&gt;=W$4),IF(W$4&lt;=Görevler!$C68+ROUND(Görevler!$F68*Görevler!$E68,0)-1,2,1),""))</f>
        <v/>
      </c>
      <c r="X68" s="22" t="str">
        <f aca="false">IF(Görevler!$F68="","",IF(AND(Görevler!$C68&lt;=(X$4+Ayarlar!$C$6-1),Görevler!$D68&gt;=X$4),IF(X$4&lt;=Görevler!$C68+ROUND(Görevler!$F68*Görevler!$E68,0)-1,2,1),""))</f>
        <v/>
      </c>
      <c r="Y68" s="22" t="str">
        <f aca="false">IF(Görevler!$F68="","",IF(AND(Görevler!$C68&lt;=(Y$4+Ayarlar!$C$6-1),Görevler!$D68&gt;=Y$4),IF(Y$4&lt;=Görevler!$C68+ROUND(Görevler!$F68*Görevler!$E68,0)-1,2,1),""))</f>
        <v/>
      </c>
      <c r="Z68" s="22" t="str">
        <f aca="false">IF(Görevler!$F68="","",IF(AND(Görevler!$C68&lt;=(Z$4+Ayarlar!$C$6-1),Görevler!$D68&gt;=Z$4),IF(Z$4&lt;=Görevler!$C68+ROUND(Görevler!$F68*Görevler!$E68,0)-1,2,1),""))</f>
        <v/>
      </c>
      <c r="AA68" s="22" t="str">
        <f aca="false">IF(Görevler!$F68="","",IF(AND(Görevler!$C68&lt;=(AA$4+Ayarlar!$C$6-1),Görevler!$D68&gt;=AA$4),IF(AA$4&lt;=Görevler!$C68+ROUND(Görevler!$F68*Görevler!$E68,0)-1,2,1),""))</f>
        <v/>
      </c>
      <c r="AB68" s="22" t="str">
        <f aca="false">IF(Görevler!$F68="","",IF(AND(Görevler!$C68&lt;=(AB$4+Ayarlar!$C$6-1),Görevler!$D68&gt;=AB$4),IF(AB$4&lt;=Görevler!$C68+ROUND(Görevler!$F68*Görevler!$E68,0)-1,2,1),""))</f>
        <v/>
      </c>
      <c r="AC68" s="22" t="str">
        <f aca="false">IF(Görevler!$F68="","",IF(AND(Görevler!$C68&lt;=(AC$4+Ayarlar!$C$6-1),Görevler!$D68&gt;=AC$4),IF(AC$4&lt;=Görevler!$C68+ROUND(Görevler!$F68*Görevler!$E68,0)-1,2,1),""))</f>
        <v/>
      </c>
      <c r="AD68" s="22" t="str">
        <f aca="false">IF(Görevler!$F68="","",IF(AND(Görevler!$C68&lt;=(AD$4+Ayarlar!$C$6-1),Görevler!$D68&gt;=AD$4),IF(AD$4&lt;=Görevler!$C68+ROUND(Görevler!$F68*Görevler!$E68,0)-1,2,1),""))</f>
        <v/>
      </c>
      <c r="AE68" s="22" t="str">
        <f aca="false">IF(Görevler!$F68="","",IF(AND(Görevler!$C68&lt;=(AE$4+Ayarlar!$C$6-1),Görevler!$D68&gt;=AE$4),IF(AE$4&lt;=Görevler!$C68+ROUND(Görevler!$F68*Görevler!$E68,0)-1,2,1),""))</f>
        <v/>
      </c>
      <c r="AF68" s="22" t="str">
        <f aca="false">IF(Görevler!$F68="","",IF(AND(Görevler!$C68&lt;=(AF$4+Ayarlar!$C$6-1),Görevler!$D68&gt;=AF$4),IF(AF$4&lt;=Görevler!$C68+ROUND(Görevler!$F68*Görevler!$E68,0)-1,2,1),""))</f>
        <v/>
      </c>
      <c r="AG68" s="22" t="str">
        <f aca="false">IF(Görevler!$F68="","",IF(AND(Görevler!$C68&lt;=(AG$4+Ayarlar!$C$6-1),Görevler!$D68&gt;=AG$4),IF(AG$4&lt;=Görevler!$C68+ROUND(Görevler!$F68*Görevler!$E68,0)-1,2,1),""))</f>
        <v/>
      </c>
      <c r="AH68" s="22" t="str">
        <f aca="false">IF(Görevler!$F68="","",IF(AND(Görevler!$C68&lt;=(AH$4+Ayarlar!$C$6-1),Görevler!$D68&gt;=AH$4),IF(AH$4&lt;=Görevler!$C68+ROUND(Görevler!$F68*Görevler!$E68,0)-1,2,1),""))</f>
        <v/>
      </c>
      <c r="AI68" s="22" t="str">
        <f aca="false">IF(Görevler!$F68="","",IF(AND(Görevler!$C68&lt;=(AI$4+Ayarlar!$C$6-1),Görevler!$D68&gt;=AI$4),IF(AI$4&lt;=Görevler!$C68+ROUND(Görevler!$F68*Görevler!$E68,0)-1,2,1),""))</f>
        <v/>
      </c>
      <c r="AJ68" s="22" t="str">
        <f aca="false">IF(Görevler!$F68="","",IF(AND(Görevler!$C68&lt;=(AJ$4+Ayarlar!$C$6-1),Görevler!$D68&gt;=AJ$4),IF(AJ$4&lt;=Görevler!$C68+ROUND(Görevler!$F68*Görevler!$E68,0)-1,2,1),""))</f>
        <v/>
      </c>
      <c r="AK68" s="22" t="str">
        <f aca="false">IF(Görevler!$F68="","",IF(AND(Görevler!$C68&lt;=(AK$4+Ayarlar!$C$6-1),Görevler!$D68&gt;=AK$4),IF(AK$4&lt;=Görevler!$C68+ROUND(Görevler!$F68*Görevler!$E68,0)-1,2,1),""))</f>
        <v/>
      </c>
      <c r="AL68" s="22" t="str">
        <f aca="false">IF(Görevler!$F68="","",IF(AND(Görevler!$C68&lt;=(AL$4+Ayarlar!$C$6-1),Görevler!$D68&gt;=AL$4),IF(AL$4&lt;=Görevler!$C68+ROUND(Görevler!$F68*Görevler!$E68,0)-1,2,1),""))</f>
        <v/>
      </c>
      <c r="AM68" s="22" t="str">
        <f aca="false">IF(Görevler!$F68="","",IF(AND(Görevler!$C68&lt;=(AM$4+Ayarlar!$C$6-1),Görevler!$D68&gt;=AM$4),IF(AM$4&lt;=Görevler!$C68+ROUND(Görevler!$F68*Görevler!$E68,0)-1,2,1),""))</f>
        <v/>
      </c>
      <c r="AN68" s="22" t="str">
        <f aca="false">IF(Görevler!$F68="","",IF(AND(Görevler!$C68&lt;=(AN$4+Ayarlar!$C$6-1),Görevler!$D68&gt;=AN$4),IF(AN$4&lt;=Görevler!$C68+ROUND(Görevler!$F68*Görevler!$E68,0)-1,2,1),""))</f>
        <v/>
      </c>
      <c r="AO68" s="22" t="str">
        <f aca="false">IF(Görevler!$F68="","",IF(AND(Görevler!$C68&lt;=(AO$4+Ayarlar!$C$6-1),Görevler!$D68&gt;=AO$4),IF(AO$4&lt;=Görevler!$C68+ROUND(Görevler!$F68*Görevler!$E68,0)-1,2,1),""))</f>
        <v/>
      </c>
      <c r="AP68" s="22" t="str">
        <f aca="false">IF(Görevler!$F68="","",IF(AND(Görevler!$C68&lt;=(AP$4+Ayarlar!$C$6-1),Görevler!$D68&gt;=AP$4),IF(AP$4&lt;=Görevler!$C68+ROUND(Görevler!$F68*Görevler!$E68,0)-1,2,1),""))</f>
        <v/>
      </c>
      <c r="AQ68" s="22" t="str">
        <f aca="false">IF(Görevler!$F68="","",IF(AND(Görevler!$C68&lt;=(AQ$4+Ayarlar!$C$6-1),Görevler!$D68&gt;=AQ$4),IF(AQ$4&lt;=Görevler!$C68+ROUND(Görevler!$F68*Görevler!$E68,0)-1,2,1),""))</f>
        <v/>
      </c>
      <c r="AR68" s="22" t="str">
        <f aca="false">IF(Görevler!$F68="","",IF(AND(Görevler!$C68&lt;=(AR$4+Ayarlar!$C$6-1),Görevler!$D68&gt;=AR$4),IF(AR$4&lt;=Görevler!$C68+ROUND(Görevler!$F68*Görevler!$E68,0)-1,2,1),""))</f>
        <v/>
      </c>
      <c r="AS68" s="22" t="str">
        <f aca="false">IF(Görevler!$F68="","",IF(AND(Görevler!$C68&lt;=(AS$4+Ayarlar!$C$6-1),Görevler!$D68&gt;=AS$4),IF(AS$4&lt;=Görevler!$C68+ROUND(Görevler!$F68*Görevler!$E68,0)-1,2,1),""))</f>
        <v/>
      </c>
      <c r="AT68" s="22" t="str">
        <f aca="false">IF(Görevler!$F68="","",IF(AND(Görevler!$C68&lt;=(AT$4+Ayarlar!$C$6-1),Görevler!$D68&gt;=AT$4),IF(AT$4&lt;=Görevler!$C68+ROUND(Görevler!$F68*Görevler!$E68,0)-1,2,1),""))</f>
        <v/>
      </c>
      <c r="AU68" s="22" t="str">
        <f aca="false">IF(Görevler!$F68="","",IF(AND(Görevler!$C68&lt;=(AU$4+Ayarlar!$C$6-1),Görevler!$D68&gt;=AU$4),IF(AU$4&lt;=Görevler!$C68+ROUND(Görevler!$F68*Görevler!$E68,0)-1,2,1),""))</f>
        <v/>
      </c>
      <c r="AV68" s="22" t="str">
        <f aca="false">IF(Görevler!$F68="","",IF(AND(Görevler!$C68&lt;=(AV$4+Ayarlar!$C$6-1),Görevler!$D68&gt;=AV$4),IF(AV$4&lt;=Görevler!$C68+ROUND(Görevler!$F68*Görevler!$E68,0)-1,2,1),""))</f>
        <v/>
      </c>
      <c r="AW68" s="22" t="str">
        <f aca="false">IF(Görevler!$F68="","",IF(AND(Görevler!$C68&lt;=(AW$4+Ayarlar!$C$6-1),Görevler!$D68&gt;=AW$4),IF(AW$4&lt;=Görevler!$C68+ROUND(Görevler!$F68*Görevler!$E68,0)-1,2,1),""))</f>
        <v/>
      </c>
      <c r="AX68" s="22" t="str">
        <f aca="false">IF(Görevler!$F68="","",IF(AND(Görevler!$C68&lt;=(AX$4+Ayarlar!$C$6-1),Görevler!$D68&gt;=AX$4),IF(AX$4&lt;=Görevler!$C68+ROUND(Görevler!$F68*Görevler!$E68,0)-1,2,1),""))</f>
        <v/>
      </c>
      <c r="AY68" s="22" t="str">
        <f aca="false">IF(Görevler!$F68="","",IF(AND(Görevler!$C68&lt;=(AY$4+Ayarlar!$C$6-1),Görevler!$D68&gt;=AY$4),IF(AY$4&lt;=Görevler!$C68+ROUND(Görevler!$F68*Görevler!$E68,0)-1,2,1),""))</f>
        <v/>
      </c>
      <c r="AZ68" s="22" t="str">
        <f aca="false">IF(Görevler!$F68="","",IF(AND(Görevler!$C68&lt;=(AZ$4+Ayarlar!$C$6-1),Görevler!$D68&gt;=AZ$4),IF(AZ$4&lt;=Görevler!$C68+ROUND(Görevler!$F68*Görevler!$E68,0)-1,2,1),""))</f>
        <v/>
      </c>
      <c r="BA68" s="22" t="str">
        <f aca="false">IF(Görevler!$F68="","",IF(AND(Görevler!$C68&lt;=(BA$4+Ayarlar!$C$6-1),Görevler!$D68&gt;=BA$4),IF(BA$4&lt;=Görevler!$C68+ROUND(Görevler!$F68*Görevler!$E68,0)-1,2,1),""))</f>
        <v/>
      </c>
      <c r="BB68" s="22" t="str">
        <f aca="false">IF(Görevler!$F68="","",IF(AND(Görevler!$C68&lt;=(BB$4+Ayarlar!$C$6-1),Görevler!$D68&gt;=BB$4),IF(BB$4&lt;=Görevler!$C68+ROUND(Görevler!$F68*Görevler!$E68,0)-1,2,1),""))</f>
        <v/>
      </c>
      <c r="BC68" s="22" t="str">
        <f aca="false">IF(Görevler!$F68="","",IF(AND(Görevler!$C68&lt;=(BC$4+Ayarlar!$C$6-1),Görevler!$D68&gt;=BC$4),IF(BC$4&lt;=Görevler!$C68+ROUND(Görevler!$F68*Görevler!$E68,0)-1,2,1),""))</f>
        <v/>
      </c>
      <c r="BD68" s="22" t="str">
        <f aca="false">IF(Görevler!$F68="","",IF(AND(Görevler!$C68&lt;=(BD$4+Ayarlar!$C$6-1),Görevler!$D68&gt;=BD$4),IF(BD$4&lt;=Görevler!$C68+ROUND(Görevler!$F68*Görevler!$E68,0)-1,2,1),""))</f>
        <v/>
      </c>
      <c r="BE68" s="22" t="str">
        <f aca="false">IF(Görevler!$F68="","",IF(AND(Görevler!$C68&lt;=(BE$4+Ayarlar!$C$6-1),Görevler!$D68&gt;=BE$4),IF(BE$4&lt;=Görevler!$C68+ROUND(Görevler!$F68*Görevler!$E68,0)-1,2,1),""))</f>
        <v/>
      </c>
      <c r="BF68" s="22" t="str">
        <f aca="false">IF(Görevler!$F68="","",IF(AND(Görevler!$C68&lt;=(BF$4+Ayarlar!$C$6-1),Görevler!$D68&gt;=BF$4),IF(BF$4&lt;=Görevler!$C68+ROUND(Görevler!$F68*Görevler!$E68,0)-1,2,1),""))</f>
        <v/>
      </c>
      <c r="BG68" s="22" t="str">
        <f aca="false">IF(Görevler!$F68="","",IF(AND(Görevler!$C68&lt;=(BG$4+Ayarlar!$C$6-1),Görevler!$D68&gt;=BG$4),IF(BG$4&lt;=Görevler!$C68+ROUND(Görevler!$F68*Görevler!$E68,0)-1,2,1),""))</f>
        <v/>
      </c>
      <c r="BH68" s="22" t="str">
        <f aca="false">IF(Görevler!$F68="","",IF(AND(Görevler!$C68&lt;=(BH$4+Ayarlar!$C$6-1),Görevler!$D68&gt;=BH$4),IF(BH$4&lt;=Görevler!$C68+ROUND(Görevler!$F68*Görevler!$E68,0)-1,2,1),""))</f>
        <v/>
      </c>
      <c r="BI68" s="22" t="str">
        <f aca="false">IF(Görevler!$F68="","",IF(AND(Görevler!$C68&lt;=(BI$4+Ayarlar!$C$6-1),Görevler!$D68&gt;=BI$4),IF(BI$4&lt;=Görevler!$C68+ROUND(Görevler!$F68*Görevler!$E68,0)-1,2,1),""))</f>
        <v/>
      </c>
      <c r="BJ68" s="22" t="str">
        <f aca="false">IF(Görevler!$F68="","",IF(AND(Görevler!$C68&lt;=(BJ$4+Ayarlar!$C$6-1),Görevler!$D68&gt;=BJ$4),IF(BJ$4&lt;=Görevler!$C68+ROUND(Görevler!$F68*Görevler!$E68,0)-1,2,1),""))</f>
        <v/>
      </c>
    </row>
    <row r="69" customFormat="false" ht="15" hidden="false" customHeight="false" outlineLevel="0" collapsed="false">
      <c r="A69" s="21" t="str">
        <f aca="false">IF(Görevler!A69="","",Görevler!A69)</f>
        <v/>
      </c>
      <c r="B69" s="21" t="str">
        <f aca="false">IF(Görevler!A69="","",Görevler!B69&amp;"")</f>
        <v/>
      </c>
      <c r="C69" s="22" t="str">
        <f aca="false">IF(Görevler!$F69="","",IF(AND(Görevler!$C69&lt;=(C$4+Ayarlar!$C$6-1),Görevler!$D69&gt;=C$4),IF(C$4&lt;=Görevler!$C69+ROUND(Görevler!$F69*Görevler!$E69,0)-1,2,1),""))</f>
        <v/>
      </c>
      <c r="D69" s="22" t="str">
        <f aca="false">IF(Görevler!$F69="","",IF(AND(Görevler!$C69&lt;=(D$4+Ayarlar!$C$6-1),Görevler!$D69&gt;=D$4),IF(D$4&lt;=Görevler!$C69+ROUND(Görevler!$F69*Görevler!$E69,0)-1,2,1),""))</f>
        <v/>
      </c>
      <c r="E69" s="22" t="str">
        <f aca="false">IF(Görevler!$F69="","",IF(AND(Görevler!$C69&lt;=(E$4+Ayarlar!$C$6-1),Görevler!$D69&gt;=E$4),IF(E$4&lt;=Görevler!$C69+ROUND(Görevler!$F69*Görevler!$E69,0)-1,2,1),""))</f>
        <v/>
      </c>
      <c r="F69" s="22" t="str">
        <f aca="false">IF(Görevler!$F69="","",IF(AND(Görevler!$C69&lt;=(F$4+Ayarlar!$C$6-1),Görevler!$D69&gt;=F$4),IF(F$4&lt;=Görevler!$C69+ROUND(Görevler!$F69*Görevler!$E69,0)-1,2,1),""))</f>
        <v/>
      </c>
      <c r="G69" s="22" t="str">
        <f aca="false">IF(Görevler!$F69="","",IF(AND(Görevler!$C69&lt;=(G$4+Ayarlar!$C$6-1),Görevler!$D69&gt;=G$4),IF(G$4&lt;=Görevler!$C69+ROUND(Görevler!$F69*Görevler!$E69,0)-1,2,1),""))</f>
        <v/>
      </c>
      <c r="H69" s="22" t="str">
        <f aca="false">IF(Görevler!$F69="","",IF(AND(Görevler!$C69&lt;=(H$4+Ayarlar!$C$6-1),Görevler!$D69&gt;=H$4),IF(H$4&lt;=Görevler!$C69+ROUND(Görevler!$F69*Görevler!$E69,0)-1,2,1),""))</f>
        <v/>
      </c>
      <c r="I69" s="22" t="str">
        <f aca="false">IF(Görevler!$F69="","",IF(AND(Görevler!$C69&lt;=(I$4+Ayarlar!$C$6-1),Görevler!$D69&gt;=I$4),IF(I$4&lt;=Görevler!$C69+ROUND(Görevler!$F69*Görevler!$E69,0)-1,2,1),""))</f>
        <v/>
      </c>
      <c r="J69" s="22" t="str">
        <f aca="false">IF(Görevler!$F69="","",IF(AND(Görevler!$C69&lt;=(J$4+Ayarlar!$C$6-1),Görevler!$D69&gt;=J$4),IF(J$4&lt;=Görevler!$C69+ROUND(Görevler!$F69*Görevler!$E69,0)-1,2,1),""))</f>
        <v/>
      </c>
      <c r="K69" s="22" t="str">
        <f aca="false">IF(Görevler!$F69="","",IF(AND(Görevler!$C69&lt;=(K$4+Ayarlar!$C$6-1),Görevler!$D69&gt;=K$4),IF(K$4&lt;=Görevler!$C69+ROUND(Görevler!$F69*Görevler!$E69,0)-1,2,1),""))</f>
        <v/>
      </c>
      <c r="L69" s="22" t="str">
        <f aca="false">IF(Görevler!$F69="","",IF(AND(Görevler!$C69&lt;=(L$4+Ayarlar!$C$6-1),Görevler!$D69&gt;=L$4),IF(L$4&lt;=Görevler!$C69+ROUND(Görevler!$F69*Görevler!$E69,0)-1,2,1),""))</f>
        <v/>
      </c>
      <c r="M69" s="22" t="str">
        <f aca="false">IF(Görevler!$F69="","",IF(AND(Görevler!$C69&lt;=(M$4+Ayarlar!$C$6-1),Görevler!$D69&gt;=M$4),IF(M$4&lt;=Görevler!$C69+ROUND(Görevler!$F69*Görevler!$E69,0)-1,2,1),""))</f>
        <v/>
      </c>
      <c r="N69" s="22" t="str">
        <f aca="false">IF(Görevler!$F69="","",IF(AND(Görevler!$C69&lt;=(N$4+Ayarlar!$C$6-1),Görevler!$D69&gt;=N$4),IF(N$4&lt;=Görevler!$C69+ROUND(Görevler!$F69*Görevler!$E69,0)-1,2,1),""))</f>
        <v/>
      </c>
      <c r="O69" s="22" t="str">
        <f aca="false">IF(Görevler!$F69="","",IF(AND(Görevler!$C69&lt;=(O$4+Ayarlar!$C$6-1),Görevler!$D69&gt;=O$4),IF(O$4&lt;=Görevler!$C69+ROUND(Görevler!$F69*Görevler!$E69,0)-1,2,1),""))</f>
        <v/>
      </c>
      <c r="P69" s="22" t="str">
        <f aca="false">IF(Görevler!$F69="","",IF(AND(Görevler!$C69&lt;=(P$4+Ayarlar!$C$6-1),Görevler!$D69&gt;=P$4),IF(P$4&lt;=Görevler!$C69+ROUND(Görevler!$F69*Görevler!$E69,0)-1,2,1),""))</f>
        <v/>
      </c>
      <c r="Q69" s="22" t="str">
        <f aca="false">IF(Görevler!$F69="","",IF(AND(Görevler!$C69&lt;=(Q$4+Ayarlar!$C$6-1),Görevler!$D69&gt;=Q$4),IF(Q$4&lt;=Görevler!$C69+ROUND(Görevler!$F69*Görevler!$E69,0)-1,2,1),""))</f>
        <v/>
      </c>
      <c r="R69" s="22" t="str">
        <f aca="false">IF(Görevler!$F69="","",IF(AND(Görevler!$C69&lt;=(R$4+Ayarlar!$C$6-1),Görevler!$D69&gt;=R$4),IF(R$4&lt;=Görevler!$C69+ROUND(Görevler!$F69*Görevler!$E69,0)-1,2,1),""))</f>
        <v/>
      </c>
      <c r="S69" s="22" t="str">
        <f aca="false">IF(Görevler!$F69="","",IF(AND(Görevler!$C69&lt;=(S$4+Ayarlar!$C$6-1),Görevler!$D69&gt;=S$4),IF(S$4&lt;=Görevler!$C69+ROUND(Görevler!$F69*Görevler!$E69,0)-1,2,1),""))</f>
        <v/>
      </c>
      <c r="T69" s="22" t="str">
        <f aca="false">IF(Görevler!$F69="","",IF(AND(Görevler!$C69&lt;=(T$4+Ayarlar!$C$6-1),Görevler!$D69&gt;=T$4),IF(T$4&lt;=Görevler!$C69+ROUND(Görevler!$F69*Görevler!$E69,0)-1,2,1),""))</f>
        <v/>
      </c>
      <c r="U69" s="22" t="str">
        <f aca="false">IF(Görevler!$F69="","",IF(AND(Görevler!$C69&lt;=(U$4+Ayarlar!$C$6-1),Görevler!$D69&gt;=U$4),IF(U$4&lt;=Görevler!$C69+ROUND(Görevler!$F69*Görevler!$E69,0)-1,2,1),""))</f>
        <v/>
      </c>
      <c r="V69" s="22" t="str">
        <f aca="false">IF(Görevler!$F69="","",IF(AND(Görevler!$C69&lt;=(V$4+Ayarlar!$C$6-1),Görevler!$D69&gt;=V$4),IF(V$4&lt;=Görevler!$C69+ROUND(Görevler!$F69*Görevler!$E69,0)-1,2,1),""))</f>
        <v/>
      </c>
      <c r="W69" s="22" t="str">
        <f aca="false">IF(Görevler!$F69="","",IF(AND(Görevler!$C69&lt;=(W$4+Ayarlar!$C$6-1),Görevler!$D69&gt;=W$4),IF(W$4&lt;=Görevler!$C69+ROUND(Görevler!$F69*Görevler!$E69,0)-1,2,1),""))</f>
        <v/>
      </c>
      <c r="X69" s="22" t="str">
        <f aca="false">IF(Görevler!$F69="","",IF(AND(Görevler!$C69&lt;=(X$4+Ayarlar!$C$6-1),Görevler!$D69&gt;=X$4),IF(X$4&lt;=Görevler!$C69+ROUND(Görevler!$F69*Görevler!$E69,0)-1,2,1),""))</f>
        <v/>
      </c>
      <c r="Y69" s="22" t="str">
        <f aca="false">IF(Görevler!$F69="","",IF(AND(Görevler!$C69&lt;=(Y$4+Ayarlar!$C$6-1),Görevler!$D69&gt;=Y$4),IF(Y$4&lt;=Görevler!$C69+ROUND(Görevler!$F69*Görevler!$E69,0)-1,2,1),""))</f>
        <v/>
      </c>
      <c r="Z69" s="22" t="str">
        <f aca="false">IF(Görevler!$F69="","",IF(AND(Görevler!$C69&lt;=(Z$4+Ayarlar!$C$6-1),Görevler!$D69&gt;=Z$4),IF(Z$4&lt;=Görevler!$C69+ROUND(Görevler!$F69*Görevler!$E69,0)-1,2,1),""))</f>
        <v/>
      </c>
      <c r="AA69" s="22" t="str">
        <f aca="false">IF(Görevler!$F69="","",IF(AND(Görevler!$C69&lt;=(AA$4+Ayarlar!$C$6-1),Görevler!$D69&gt;=AA$4),IF(AA$4&lt;=Görevler!$C69+ROUND(Görevler!$F69*Görevler!$E69,0)-1,2,1),""))</f>
        <v/>
      </c>
      <c r="AB69" s="22" t="str">
        <f aca="false">IF(Görevler!$F69="","",IF(AND(Görevler!$C69&lt;=(AB$4+Ayarlar!$C$6-1),Görevler!$D69&gt;=AB$4),IF(AB$4&lt;=Görevler!$C69+ROUND(Görevler!$F69*Görevler!$E69,0)-1,2,1),""))</f>
        <v/>
      </c>
      <c r="AC69" s="22" t="str">
        <f aca="false">IF(Görevler!$F69="","",IF(AND(Görevler!$C69&lt;=(AC$4+Ayarlar!$C$6-1),Görevler!$D69&gt;=AC$4),IF(AC$4&lt;=Görevler!$C69+ROUND(Görevler!$F69*Görevler!$E69,0)-1,2,1),""))</f>
        <v/>
      </c>
      <c r="AD69" s="22" t="str">
        <f aca="false">IF(Görevler!$F69="","",IF(AND(Görevler!$C69&lt;=(AD$4+Ayarlar!$C$6-1),Görevler!$D69&gt;=AD$4),IF(AD$4&lt;=Görevler!$C69+ROUND(Görevler!$F69*Görevler!$E69,0)-1,2,1),""))</f>
        <v/>
      </c>
      <c r="AE69" s="22" t="str">
        <f aca="false">IF(Görevler!$F69="","",IF(AND(Görevler!$C69&lt;=(AE$4+Ayarlar!$C$6-1),Görevler!$D69&gt;=AE$4),IF(AE$4&lt;=Görevler!$C69+ROUND(Görevler!$F69*Görevler!$E69,0)-1,2,1),""))</f>
        <v/>
      </c>
      <c r="AF69" s="22" t="str">
        <f aca="false">IF(Görevler!$F69="","",IF(AND(Görevler!$C69&lt;=(AF$4+Ayarlar!$C$6-1),Görevler!$D69&gt;=AF$4),IF(AF$4&lt;=Görevler!$C69+ROUND(Görevler!$F69*Görevler!$E69,0)-1,2,1),""))</f>
        <v/>
      </c>
      <c r="AG69" s="22" t="str">
        <f aca="false">IF(Görevler!$F69="","",IF(AND(Görevler!$C69&lt;=(AG$4+Ayarlar!$C$6-1),Görevler!$D69&gt;=AG$4),IF(AG$4&lt;=Görevler!$C69+ROUND(Görevler!$F69*Görevler!$E69,0)-1,2,1),""))</f>
        <v/>
      </c>
      <c r="AH69" s="22" t="str">
        <f aca="false">IF(Görevler!$F69="","",IF(AND(Görevler!$C69&lt;=(AH$4+Ayarlar!$C$6-1),Görevler!$D69&gt;=AH$4),IF(AH$4&lt;=Görevler!$C69+ROUND(Görevler!$F69*Görevler!$E69,0)-1,2,1),""))</f>
        <v/>
      </c>
      <c r="AI69" s="22" t="str">
        <f aca="false">IF(Görevler!$F69="","",IF(AND(Görevler!$C69&lt;=(AI$4+Ayarlar!$C$6-1),Görevler!$D69&gt;=AI$4),IF(AI$4&lt;=Görevler!$C69+ROUND(Görevler!$F69*Görevler!$E69,0)-1,2,1),""))</f>
        <v/>
      </c>
      <c r="AJ69" s="22" t="str">
        <f aca="false">IF(Görevler!$F69="","",IF(AND(Görevler!$C69&lt;=(AJ$4+Ayarlar!$C$6-1),Görevler!$D69&gt;=AJ$4),IF(AJ$4&lt;=Görevler!$C69+ROUND(Görevler!$F69*Görevler!$E69,0)-1,2,1),""))</f>
        <v/>
      </c>
      <c r="AK69" s="22" t="str">
        <f aca="false">IF(Görevler!$F69="","",IF(AND(Görevler!$C69&lt;=(AK$4+Ayarlar!$C$6-1),Görevler!$D69&gt;=AK$4),IF(AK$4&lt;=Görevler!$C69+ROUND(Görevler!$F69*Görevler!$E69,0)-1,2,1),""))</f>
        <v/>
      </c>
      <c r="AL69" s="22" t="str">
        <f aca="false">IF(Görevler!$F69="","",IF(AND(Görevler!$C69&lt;=(AL$4+Ayarlar!$C$6-1),Görevler!$D69&gt;=AL$4),IF(AL$4&lt;=Görevler!$C69+ROUND(Görevler!$F69*Görevler!$E69,0)-1,2,1),""))</f>
        <v/>
      </c>
      <c r="AM69" s="22" t="str">
        <f aca="false">IF(Görevler!$F69="","",IF(AND(Görevler!$C69&lt;=(AM$4+Ayarlar!$C$6-1),Görevler!$D69&gt;=AM$4),IF(AM$4&lt;=Görevler!$C69+ROUND(Görevler!$F69*Görevler!$E69,0)-1,2,1),""))</f>
        <v/>
      </c>
      <c r="AN69" s="22" t="str">
        <f aca="false">IF(Görevler!$F69="","",IF(AND(Görevler!$C69&lt;=(AN$4+Ayarlar!$C$6-1),Görevler!$D69&gt;=AN$4),IF(AN$4&lt;=Görevler!$C69+ROUND(Görevler!$F69*Görevler!$E69,0)-1,2,1),""))</f>
        <v/>
      </c>
      <c r="AO69" s="22" t="str">
        <f aca="false">IF(Görevler!$F69="","",IF(AND(Görevler!$C69&lt;=(AO$4+Ayarlar!$C$6-1),Görevler!$D69&gt;=AO$4),IF(AO$4&lt;=Görevler!$C69+ROUND(Görevler!$F69*Görevler!$E69,0)-1,2,1),""))</f>
        <v/>
      </c>
      <c r="AP69" s="22" t="str">
        <f aca="false">IF(Görevler!$F69="","",IF(AND(Görevler!$C69&lt;=(AP$4+Ayarlar!$C$6-1),Görevler!$D69&gt;=AP$4),IF(AP$4&lt;=Görevler!$C69+ROUND(Görevler!$F69*Görevler!$E69,0)-1,2,1),""))</f>
        <v/>
      </c>
      <c r="AQ69" s="22" t="str">
        <f aca="false">IF(Görevler!$F69="","",IF(AND(Görevler!$C69&lt;=(AQ$4+Ayarlar!$C$6-1),Görevler!$D69&gt;=AQ$4),IF(AQ$4&lt;=Görevler!$C69+ROUND(Görevler!$F69*Görevler!$E69,0)-1,2,1),""))</f>
        <v/>
      </c>
      <c r="AR69" s="22" t="str">
        <f aca="false">IF(Görevler!$F69="","",IF(AND(Görevler!$C69&lt;=(AR$4+Ayarlar!$C$6-1),Görevler!$D69&gt;=AR$4),IF(AR$4&lt;=Görevler!$C69+ROUND(Görevler!$F69*Görevler!$E69,0)-1,2,1),""))</f>
        <v/>
      </c>
      <c r="AS69" s="22" t="str">
        <f aca="false">IF(Görevler!$F69="","",IF(AND(Görevler!$C69&lt;=(AS$4+Ayarlar!$C$6-1),Görevler!$D69&gt;=AS$4),IF(AS$4&lt;=Görevler!$C69+ROUND(Görevler!$F69*Görevler!$E69,0)-1,2,1),""))</f>
        <v/>
      </c>
      <c r="AT69" s="22" t="str">
        <f aca="false">IF(Görevler!$F69="","",IF(AND(Görevler!$C69&lt;=(AT$4+Ayarlar!$C$6-1),Görevler!$D69&gt;=AT$4),IF(AT$4&lt;=Görevler!$C69+ROUND(Görevler!$F69*Görevler!$E69,0)-1,2,1),""))</f>
        <v/>
      </c>
      <c r="AU69" s="22" t="str">
        <f aca="false">IF(Görevler!$F69="","",IF(AND(Görevler!$C69&lt;=(AU$4+Ayarlar!$C$6-1),Görevler!$D69&gt;=AU$4),IF(AU$4&lt;=Görevler!$C69+ROUND(Görevler!$F69*Görevler!$E69,0)-1,2,1),""))</f>
        <v/>
      </c>
      <c r="AV69" s="22" t="str">
        <f aca="false">IF(Görevler!$F69="","",IF(AND(Görevler!$C69&lt;=(AV$4+Ayarlar!$C$6-1),Görevler!$D69&gt;=AV$4),IF(AV$4&lt;=Görevler!$C69+ROUND(Görevler!$F69*Görevler!$E69,0)-1,2,1),""))</f>
        <v/>
      </c>
      <c r="AW69" s="22" t="str">
        <f aca="false">IF(Görevler!$F69="","",IF(AND(Görevler!$C69&lt;=(AW$4+Ayarlar!$C$6-1),Görevler!$D69&gt;=AW$4),IF(AW$4&lt;=Görevler!$C69+ROUND(Görevler!$F69*Görevler!$E69,0)-1,2,1),""))</f>
        <v/>
      </c>
      <c r="AX69" s="22" t="str">
        <f aca="false">IF(Görevler!$F69="","",IF(AND(Görevler!$C69&lt;=(AX$4+Ayarlar!$C$6-1),Görevler!$D69&gt;=AX$4),IF(AX$4&lt;=Görevler!$C69+ROUND(Görevler!$F69*Görevler!$E69,0)-1,2,1),""))</f>
        <v/>
      </c>
      <c r="AY69" s="22" t="str">
        <f aca="false">IF(Görevler!$F69="","",IF(AND(Görevler!$C69&lt;=(AY$4+Ayarlar!$C$6-1),Görevler!$D69&gt;=AY$4),IF(AY$4&lt;=Görevler!$C69+ROUND(Görevler!$F69*Görevler!$E69,0)-1,2,1),""))</f>
        <v/>
      </c>
      <c r="AZ69" s="22" t="str">
        <f aca="false">IF(Görevler!$F69="","",IF(AND(Görevler!$C69&lt;=(AZ$4+Ayarlar!$C$6-1),Görevler!$D69&gt;=AZ$4),IF(AZ$4&lt;=Görevler!$C69+ROUND(Görevler!$F69*Görevler!$E69,0)-1,2,1),""))</f>
        <v/>
      </c>
      <c r="BA69" s="22" t="str">
        <f aca="false">IF(Görevler!$F69="","",IF(AND(Görevler!$C69&lt;=(BA$4+Ayarlar!$C$6-1),Görevler!$D69&gt;=BA$4),IF(BA$4&lt;=Görevler!$C69+ROUND(Görevler!$F69*Görevler!$E69,0)-1,2,1),""))</f>
        <v/>
      </c>
      <c r="BB69" s="22" t="str">
        <f aca="false">IF(Görevler!$F69="","",IF(AND(Görevler!$C69&lt;=(BB$4+Ayarlar!$C$6-1),Görevler!$D69&gt;=BB$4),IF(BB$4&lt;=Görevler!$C69+ROUND(Görevler!$F69*Görevler!$E69,0)-1,2,1),""))</f>
        <v/>
      </c>
      <c r="BC69" s="22" t="str">
        <f aca="false">IF(Görevler!$F69="","",IF(AND(Görevler!$C69&lt;=(BC$4+Ayarlar!$C$6-1),Görevler!$D69&gt;=BC$4),IF(BC$4&lt;=Görevler!$C69+ROUND(Görevler!$F69*Görevler!$E69,0)-1,2,1),""))</f>
        <v/>
      </c>
      <c r="BD69" s="22" t="str">
        <f aca="false">IF(Görevler!$F69="","",IF(AND(Görevler!$C69&lt;=(BD$4+Ayarlar!$C$6-1),Görevler!$D69&gt;=BD$4),IF(BD$4&lt;=Görevler!$C69+ROUND(Görevler!$F69*Görevler!$E69,0)-1,2,1),""))</f>
        <v/>
      </c>
      <c r="BE69" s="22" t="str">
        <f aca="false">IF(Görevler!$F69="","",IF(AND(Görevler!$C69&lt;=(BE$4+Ayarlar!$C$6-1),Görevler!$D69&gt;=BE$4),IF(BE$4&lt;=Görevler!$C69+ROUND(Görevler!$F69*Görevler!$E69,0)-1,2,1),""))</f>
        <v/>
      </c>
      <c r="BF69" s="22" t="str">
        <f aca="false">IF(Görevler!$F69="","",IF(AND(Görevler!$C69&lt;=(BF$4+Ayarlar!$C$6-1),Görevler!$D69&gt;=BF$4),IF(BF$4&lt;=Görevler!$C69+ROUND(Görevler!$F69*Görevler!$E69,0)-1,2,1),""))</f>
        <v/>
      </c>
      <c r="BG69" s="22" t="str">
        <f aca="false">IF(Görevler!$F69="","",IF(AND(Görevler!$C69&lt;=(BG$4+Ayarlar!$C$6-1),Görevler!$D69&gt;=BG$4),IF(BG$4&lt;=Görevler!$C69+ROUND(Görevler!$F69*Görevler!$E69,0)-1,2,1),""))</f>
        <v/>
      </c>
      <c r="BH69" s="22" t="str">
        <f aca="false">IF(Görevler!$F69="","",IF(AND(Görevler!$C69&lt;=(BH$4+Ayarlar!$C$6-1),Görevler!$D69&gt;=BH$4),IF(BH$4&lt;=Görevler!$C69+ROUND(Görevler!$F69*Görevler!$E69,0)-1,2,1),""))</f>
        <v/>
      </c>
      <c r="BI69" s="22" t="str">
        <f aca="false">IF(Görevler!$F69="","",IF(AND(Görevler!$C69&lt;=(BI$4+Ayarlar!$C$6-1),Görevler!$D69&gt;=BI$4),IF(BI$4&lt;=Görevler!$C69+ROUND(Görevler!$F69*Görevler!$E69,0)-1,2,1),""))</f>
        <v/>
      </c>
      <c r="BJ69" s="22" t="str">
        <f aca="false">IF(Görevler!$F69="","",IF(AND(Görevler!$C69&lt;=(BJ$4+Ayarlar!$C$6-1),Görevler!$D69&gt;=BJ$4),IF(BJ$4&lt;=Görevler!$C69+ROUND(Görevler!$F69*Görevler!$E69,0)-1,2,1),""))</f>
        <v/>
      </c>
    </row>
    <row r="70" customFormat="false" ht="15" hidden="false" customHeight="false" outlineLevel="0" collapsed="false">
      <c r="A70" s="21" t="str">
        <f aca="false">IF(Görevler!A70="","",Görevler!A70)</f>
        <v/>
      </c>
      <c r="B70" s="21" t="str">
        <f aca="false">IF(Görevler!A70="","",Görevler!B70&amp;"")</f>
        <v/>
      </c>
      <c r="C70" s="22" t="str">
        <f aca="false">IF(Görevler!$F70="","",IF(AND(Görevler!$C70&lt;=(C$4+Ayarlar!$C$6-1),Görevler!$D70&gt;=C$4),IF(C$4&lt;=Görevler!$C70+ROUND(Görevler!$F70*Görevler!$E70,0)-1,2,1),""))</f>
        <v/>
      </c>
      <c r="D70" s="22" t="str">
        <f aca="false">IF(Görevler!$F70="","",IF(AND(Görevler!$C70&lt;=(D$4+Ayarlar!$C$6-1),Görevler!$D70&gt;=D$4),IF(D$4&lt;=Görevler!$C70+ROUND(Görevler!$F70*Görevler!$E70,0)-1,2,1),""))</f>
        <v/>
      </c>
      <c r="E70" s="22" t="str">
        <f aca="false">IF(Görevler!$F70="","",IF(AND(Görevler!$C70&lt;=(E$4+Ayarlar!$C$6-1),Görevler!$D70&gt;=E$4),IF(E$4&lt;=Görevler!$C70+ROUND(Görevler!$F70*Görevler!$E70,0)-1,2,1),""))</f>
        <v/>
      </c>
      <c r="F70" s="22" t="str">
        <f aca="false">IF(Görevler!$F70="","",IF(AND(Görevler!$C70&lt;=(F$4+Ayarlar!$C$6-1),Görevler!$D70&gt;=F$4),IF(F$4&lt;=Görevler!$C70+ROUND(Görevler!$F70*Görevler!$E70,0)-1,2,1),""))</f>
        <v/>
      </c>
      <c r="G70" s="22" t="str">
        <f aca="false">IF(Görevler!$F70="","",IF(AND(Görevler!$C70&lt;=(G$4+Ayarlar!$C$6-1),Görevler!$D70&gt;=G$4),IF(G$4&lt;=Görevler!$C70+ROUND(Görevler!$F70*Görevler!$E70,0)-1,2,1),""))</f>
        <v/>
      </c>
      <c r="H70" s="22" t="str">
        <f aca="false">IF(Görevler!$F70="","",IF(AND(Görevler!$C70&lt;=(H$4+Ayarlar!$C$6-1),Görevler!$D70&gt;=H$4),IF(H$4&lt;=Görevler!$C70+ROUND(Görevler!$F70*Görevler!$E70,0)-1,2,1),""))</f>
        <v/>
      </c>
      <c r="I70" s="22" t="str">
        <f aca="false">IF(Görevler!$F70="","",IF(AND(Görevler!$C70&lt;=(I$4+Ayarlar!$C$6-1),Görevler!$D70&gt;=I$4),IF(I$4&lt;=Görevler!$C70+ROUND(Görevler!$F70*Görevler!$E70,0)-1,2,1),""))</f>
        <v/>
      </c>
      <c r="J70" s="22" t="str">
        <f aca="false">IF(Görevler!$F70="","",IF(AND(Görevler!$C70&lt;=(J$4+Ayarlar!$C$6-1),Görevler!$D70&gt;=J$4),IF(J$4&lt;=Görevler!$C70+ROUND(Görevler!$F70*Görevler!$E70,0)-1,2,1),""))</f>
        <v/>
      </c>
      <c r="K70" s="22" t="str">
        <f aca="false">IF(Görevler!$F70="","",IF(AND(Görevler!$C70&lt;=(K$4+Ayarlar!$C$6-1),Görevler!$D70&gt;=K$4),IF(K$4&lt;=Görevler!$C70+ROUND(Görevler!$F70*Görevler!$E70,0)-1,2,1),""))</f>
        <v/>
      </c>
      <c r="L70" s="22" t="str">
        <f aca="false">IF(Görevler!$F70="","",IF(AND(Görevler!$C70&lt;=(L$4+Ayarlar!$C$6-1),Görevler!$D70&gt;=L$4),IF(L$4&lt;=Görevler!$C70+ROUND(Görevler!$F70*Görevler!$E70,0)-1,2,1),""))</f>
        <v/>
      </c>
      <c r="M70" s="22" t="str">
        <f aca="false">IF(Görevler!$F70="","",IF(AND(Görevler!$C70&lt;=(M$4+Ayarlar!$C$6-1),Görevler!$D70&gt;=M$4),IF(M$4&lt;=Görevler!$C70+ROUND(Görevler!$F70*Görevler!$E70,0)-1,2,1),""))</f>
        <v/>
      </c>
      <c r="N70" s="22" t="str">
        <f aca="false">IF(Görevler!$F70="","",IF(AND(Görevler!$C70&lt;=(N$4+Ayarlar!$C$6-1),Görevler!$D70&gt;=N$4),IF(N$4&lt;=Görevler!$C70+ROUND(Görevler!$F70*Görevler!$E70,0)-1,2,1),""))</f>
        <v/>
      </c>
      <c r="O70" s="22" t="str">
        <f aca="false">IF(Görevler!$F70="","",IF(AND(Görevler!$C70&lt;=(O$4+Ayarlar!$C$6-1),Görevler!$D70&gt;=O$4),IF(O$4&lt;=Görevler!$C70+ROUND(Görevler!$F70*Görevler!$E70,0)-1,2,1),""))</f>
        <v/>
      </c>
      <c r="P70" s="22" t="str">
        <f aca="false">IF(Görevler!$F70="","",IF(AND(Görevler!$C70&lt;=(P$4+Ayarlar!$C$6-1),Görevler!$D70&gt;=P$4),IF(P$4&lt;=Görevler!$C70+ROUND(Görevler!$F70*Görevler!$E70,0)-1,2,1),""))</f>
        <v/>
      </c>
      <c r="Q70" s="22" t="str">
        <f aca="false">IF(Görevler!$F70="","",IF(AND(Görevler!$C70&lt;=(Q$4+Ayarlar!$C$6-1),Görevler!$D70&gt;=Q$4),IF(Q$4&lt;=Görevler!$C70+ROUND(Görevler!$F70*Görevler!$E70,0)-1,2,1),""))</f>
        <v/>
      </c>
      <c r="R70" s="22" t="str">
        <f aca="false">IF(Görevler!$F70="","",IF(AND(Görevler!$C70&lt;=(R$4+Ayarlar!$C$6-1),Görevler!$D70&gt;=R$4),IF(R$4&lt;=Görevler!$C70+ROUND(Görevler!$F70*Görevler!$E70,0)-1,2,1),""))</f>
        <v/>
      </c>
      <c r="S70" s="22" t="str">
        <f aca="false">IF(Görevler!$F70="","",IF(AND(Görevler!$C70&lt;=(S$4+Ayarlar!$C$6-1),Görevler!$D70&gt;=S$4),IF(S$4&lt;=Görevler!$C70+ROUND(Görevler!$F70*Görevler!$E70,0)-1,2,1),""))</f>
        <v/>
      </c>
      <c r="T70" s="22" t="str">
        <f aca="false">IF(Görevler!$F70="","",IF(AND(Görevler!$C70&lt;=(T$4+Ayarlar!$C$6-1),Görevler!$D70&gt;=T$4),IF(T$4&lt;=Görevler!$C70+ROUND(Görevler!$F70*Görevler!$E70,0)-1,2,1),""))</f>
        <v/>
      </c>
      <c r="U70" s="22" t="str">
        <f aca="false">IF(Görevler!$F70="","",IF(AND(Görevler!$C70&lt;=(U$4+Ayarlar!$C$6-1),Görevler!$D70&gt;=U$4),IF(U$4&lt;=Görevler!$C70+ROUND(Görevler!$F70*Görevler!$E70,0)-1,2,1),""))</f>
        <v/>
      </c>
      <c r="V70" s="22" t="str">
        <f aca="false">IF(Görevler!$F70="","",IF(AND(Görevler!$C70&lt;=(V$4+Ayarlar!$C$6-1),Görevler!$D70&gt;=V$4),IF(V$4&lt;=Görevler!$C70+ROUND(Görevler!$F70*Görevler!$E70,0)-1,2,1),""))</f>
        <v/>
      </c>
      <c r="W70" s="22" t="str">
        <f aca="false">IF(Görevler!$F70="","",IF(AND(Görevler!$C70&lt;=(W$4+Ayarlar!$C$6-1),Görevler!$D70&gt;=W$4),IF(W$4&lt;=Görevler!$C70+ROUND(Görevler!$F70*Görevler!$E70,0)-1,2,1),""))</f>
        <v/>
      </c>
      <c r="X70" s="22" t="str">
        <f aca="false">IF(Görevler!$F70="","",IF(AND(Görevler!$C70&lt;=(X$4+Ayarlar!$C$6-1),Görevler!$D70&gt;=X$4),IF(X$4&lt;=Görevler!$C70+ROUND(Görevler!$F70*Görevler!$E70,0)-1,2,1),""))</f>
        <v/>
      </c>
      <c r="Y70" s="22" t="str">
        <f aca="false">IF(Görevler!$F70="","",IF(AND(Görevler!$C70&lt;=(Y$4+Ayarlar!$C$6-1),Görevler!$D70&gt;=Y$4),IF(Y$4&lt;=Görevler!$C70+ROUND(Görevler!$F70*Görevler!$E70,0)-1,2,1),""))</f>
        <v/>
      </c>
      <c r="Z70" s="22" t="str">
        <f aca="false">IF(Görevler!$F70="","",IF(AND(Görevler!$C70&lt;=(Z$4+Ayarlar!$C$6-1),Görevler!$D70&gt;=Z$4),IF(Z$4&lt;=Görevler!$C70+ROUND(Görevler!$F70*Görevler!$E70,0)-1,2,1),""))</f>
        <v/>
      </c>
      <c r="AA70" s="22" t="str">
        <f aca="false">IF(Görevler!$F70="","",IF(AND(Görevler!$C70&lt;=(AA$4+Ayarlar!$C$6-1),Görevler!$D70&gt;=AA$4),IF(AA$4&lt;=Görevler!$C70+ROUND(Görevler!$F70*Görevler!$E70,0)-1,2,1),""))</f>
        <v/>
      </c>
      <c r="AB70" s="22" t="str">
        <f aca="false">IF(Görevler!$F70="","",IF(AND(Görevler!$C70&lt;=(AB$4+Ayarlar!$C$6-1),Görevler!$D70&gt;=AB$4),IF(AB$4&lt;=Görevler!$C70+ROUND(Görevler!$F70*Görevler!$E70,0)-1,2,1),""))</f>
        <v/>
      </c>
      <c r="AC70" s="22" t="str">
        <f aca="false">IF(Görevler!$F70="","",IF(AND(Görevler!$C70&lt;=(AC$4+Ayarlar!$C$6-1),Görevler!$D70&gt;=AC$4),IF(AC$4&lt;=Görevler!$C70+ROUND(Görevler!$F70*Görevler!$E70,0)-1,2,1),""))</f>
        <v/>
      </c>
      <c r="AD70" s="22" t="str">
        <f aca="false">IF(Görevler!$F70="","",IF(AND(Görevler!$C70&lt;=(AD$4+Ayarlar!$C$6-1),Görevler!$D70&gt;=AD$4),IF(AD$4&lt;=Görevler!$C70+ROUND(Görevler!$F70*Görevler!$E70,0)-1,2,1),""))</f>
        <v/>
      </c>
      <c r="AE70" s="22" t="str">
        <f aca="false">IF(Görevler!$F70="","",IF(AND(Görevler!$C70&lt;=(AE$4+Ayarlar!$C$6-1),Görevler!$D70&gt;=AE$4),IF(AE$4&lt;=Görevler!$C70+ROUND(Görevler!$F70*Görevler!$E70,0)-1,2,1),""))</f>
        <v/>
      </c>
      <c r="AF70" s="22" t="str">
        <f aca="false">IF(Görevler!$F70="","",IF(AND(Görevler!$C70&lt;=(AF$4+Ayarlar!$C$6-1),Görevler!$D70&gt;=AF$4),IF(AF$4&lt;=Görevler!$C70+ROUND(Görevler!$F70*Görevler!$E70,0)-1,2,1),""))</f>
        <v/>
      </c>
      <c r="AG70" s="22" t="str">
        <f aca="false">IF(Görevler!$F70="","",IF(AND(Görevler!$C70&lt;=(AG$4+Ayarlar!$C$6-1),Görevler!$D70&gt;=AG$4),IF(AG$4&lt;=Görevler!$C70+ROUND(Görevler!$F70*Görevler!$E70,0)-1,2,1),""))</f>
        <v/>
      </c>
      <c r="AH70" s="22" t="str">
        <f aca="false">IF(Görevler!$F70="","",IF(AND(Görevler!$C70&lt;=(AH$4+Ayarlar!$C$6-1),Görevler!$D70&gt;=AH$4),IF(AH$4&lt;=Görevler!$C70+ROUND(Görevler!$F70*Görevler!$E70,0)-1,2,1),""))</f>
        <v/>
      </c>
      <c r="AI70" s="22" t="str">
        <f aca="false">IF(Görevler!$F70="","",IF(AND(Görevler!$C70&lt;=(AI$4+Ayarlar!$C$6-1),Görevler!$D70&gt;=AI$4),IF(AI$4&lt;=Görevler!$C70+ROUND(Görevler!$F70*Görevler!$E70,0)-1,2,1),""))</f>
        <v/>
      </c>
      <c r="AJ70" s="22" t="str">
        <f aca="false">IF(Görevler!$F70="","",IF(AND(Görevler!$C70&lt;=(AJ$4+Ayarlar!$C$6-1),Görevler!$D70&gt;=AJ$4),IF(AJ$4&lt;=Görevler!$C70+ROUND(Görevler!$F70*Görevler!$E70,0)-1,2,1),""))</f>
        <v/>
      </c>
      <c r="AK70" s="22" t="str">
        <f aca="false">IF(Görevler!$F70="","",IF(AND(Görevler!$C70&lt;=(AK$4+Ayarlar!$C$6-1),Görevler!$D70&gt;=AK$4),IF(AK$4&lt;=Görevler!$C70+ROUND(Görevler!$F70*Görevler!$E70,0)-1,2,1),""))</f>
        <v/>
      </c>
      <c r="AL70" s="22" t="str">
        <f aca="false">IF(Görevler!$F70="","",IF(AND(Görevler!$C70&lt;=(AL$4+Ayarlar!$C$6-1),Görevler!$D70&gt;=AL$4),IF(AL$4&lt;=Görevler!$C70+ROUND(Görevler!$F70*Görevler!$E70,0)-1,2,1),""))</f>
        <v/>
      </c>
      <c r="AM70" s="22" t="str">
        <f aca="false">IF(Görevler!$F70="","",IF(AND(Görevler!$C70&lt;=(AM$4+Ayarlar!$C$6-1),Görevler!$D70&gt;=AM$4),IF(AM$4&lt;=Görevler!$C70+ROUND(Görevler!$F70*Görevler!$E70,0)-1,2,1),""))</f>
        <v/>
      </c>
      <c r="AN70" s="22" t="str">
        <f aca="false">IF(Görevler!$F70="","",IF(AND(Görevler!$C70&lt;=(AN$4+Ayarlar!$C$6-1),Görevler!$D70&gt;=AN$4),IF(AN$4&lt;=Görevler!$C70+ROUND(Görevler!$F70*Görevler!$E70,0)-1,2,1),""))</f>
        <v/>
      </c>
      <c r="AO70" s="22" t="str">
        <f aca="false">IF(Görevler!$F70="","",IF(AND(Görevler!$C70&lt;=(AO$4+Ayarlar!$C$6-1),Görevler!$D70&gt;=AO$4),IF(AO$4&lt;=Görevler!$C70+ROUND(Görevler!$F70*Görevler!$E70,0)-1,2,1),""))</f>
        <v/>
      </c>
      <c r="AP70" s="22" t="str">
        <f aca="false">IF(Görevler!$F70="","",IF(AND(Görevler!$C70&lt;=(AP$4+Ayarlar!$C$6-1),Görevler!$D70&gt;=AP$4),IF(AP$4&lt;=Görevler!$C70+ROUND(Görevler!$F70*Görevler!$E70,0)-1,2,1),""))</f>
        <v/>
      </c>
      <c r="AQ70" s="22" t="str">
        <f aca="false">IF(Görevler!$F70="","",IF(AND(Görevler!$C70&lt;=(AQ$4+Ayarlar!$C$6-1),Görevler!$D70&gt;=AQ$4),IF(AQ$4&lt;=Görevler!$C70+ROUND(Görevler!$F70*Görevler!$E70,0)-1,2,1),""))</f>
        <v/>
      </c>
      <c r="AR70" s="22" t="str">
        <f aca="false">IF(Görevler!$F70="","",IF(AND(Görevler!$C70&lt;=(AR$4+Ayarlar!$C$6-1),Görevler!$D70&gt;=AR$4),IF(AR$4&lt;=Görevler!$C70+ROUND(Görevler!$F70*Görevler!$E70,0)-1,2,1),""))</f>
        <v/>
      </c>
      <c r="AS70" s="22" t="str">
        <f aca="false">IF(Görevler!$F70="","",IF(AND(Görevler!$C70&lt;=(AS$4+Ayarlar!$C$6-1),Görevler!$D70&gt;=AS$4),IF(AS$4&lt;=Görevler!$C70+ROUND(Görevler!$F70*Görevler!$E70,0)-1,2,1),""))</f>
        <v/>
      </c>
      <c r="AT70" s="22" t="str">
        <f aca="false">IF(Görevler!$F70="","",IF(AND(Görevler!$C70&lt;=(AT$4+Ayarlar!$C$6-1),Görevler!$D70&gt;=AT$4),IF(AT$4&lt;=Görevler!$C70+ROUND(Görevler!$F70*Görevler!$E70,0)-1,2,1),""))</f>
        <v/>
      </c>
      <c r="AU70" s="22" t="str">
        <f aca="false">IF(Görevler!$F70="","",IF(AND(Görevler!$C70&lt;=(AU$4+Ayarlar!$C$6-1),Görevler!$D70&gt;=AU$4),IF(AU$4&lt;=Görevler!$C70+ROUND(Görevler!$F70*Görevler!$E70,0)-1,2,1),""))</f>
        <v/>
      </c>
      <c r="AV70" s="22" t="str">
        <f aca="false">IF(Görevler!$F70="","",IF(AND(Görevler!$C70&lt;=(AV$4+Ayarlar!$C$6-1),Görevler!$D70&gt;=AV$4),IF(AV$4&lt;=Görevler!$C70+ROUND(Görevler!$F70*Görevler!$E70,0)-1,2,1),""))</f>
        <v/>
      </c>
      <c r="AW70" s="22" t="str">
        <f aca="false">IF(Görevler!$F70="","",IF(AND(Görevler!$C70&lt;=(AW$4+Ayarlar!$C$6-1),Görevler!$D70&gt;=AW$4),IF(AW$4&lt;=Görevler!$C70+ROUND(Görevler!$F70*Görevler!$E70,0)-1,2,1),""))</f>
        <v/>
      </c>
      <c r="AX70" s="22" t="str">
        <f aca="false">IF(Görevler!$F70="","",IF(AND(Görevler!$C70&lt;=(AX$4+Ayarlar!$C$6-1),Görevler!$D70&gt;=AX$4),IF(AX$4&lt;=Görevler!$C70+ROUND(Görevler!$F70*Görevler!$E70,0)-1,2,1),""))</f>
        <v/>
      </c>
      <c r="AY70" s="22" t="str">
        <f aca="false">IF(Görevler!$F70="","",IF(AND(Görevler!$C70&lt;=(AY$4+Ayarlar!$C$6-1),Görevler!$D70&gt;=AY$4),IF(AY$4&lt;=Görevler!$C70+ROUND(Görevler!$F70*Görevler!$E70,0)-1,2,1),""))</f>
        <v/>
      </c>
      <c r="AZ70" s="22" t="str">
        <f aca="false">IF(Görevler!$F70="","",IF(AND(Görevler!$C70&lt;=(AZ$4+Ayarlar!$C$6-1),Görevler!$D70&gt;=AZ$4),IF(AZ$4&lt;=Görevler!$C70+ROUND(Görevler!$F70*Görevler!$E70,0)-1,2,1),""))</f>
        <v/>
      </c>
      <c r="BA70" s="22" t="str">
        <f aca="false">IF(Görevler!$F70="","",IF(AND(Görevler!$C70&lt;=(BA$4+Ayarlar!$C$6-1),Görevler!$D70&gt;=BA$4),IF(BA$4&lt;=Görevler!$C70+ROUND(Görevler!$F70*Görevler!$E70,0)-1,2,1),""))</f>
        <v/>
      </c>
      <c r="BB70" s="22" t="str">
        <f aca="false">IF(Görevler!$F70="","",IF(AND(Görevler!$C70&lt;=(BB$4+Ayarlar!$C$6-1),Görevler!$D70&gt;=BB$4),IF(BB$4&lt;=Görevler!$C70+ROUND(Görevler!$F70*Görevler!$E70,0)-1,2,1),""))</f>
        <v/>
      </c>
      <c r="BC70" s="22" t="str">
        <f aca="false">IF(Görevler!$F70="","",IF(AND(Görevler!$C70&lt;=(BC$4+Ayarlar!$C$6-1),Görevler!$D70&gt;=BC$4),IF(BC$4&lt;=Görevler!$C70+ROUND(Görevler!$F70*Görevler!$E70,0)-1,2,1),""))</f>
        <v/>
      </c>
      <c r="BD70" s="22" t="str">
        <f aca="false">IF(Görevler!$F70="","",IF(AND(Görevler!$C70&lt;=(BD$4+Ayarlar!$C$6-1),Görevler!$D70&gt;=BD$4),IF(BD$4&lt;=Görevler!$C70+ROUND(Görevler!$F70*Görevler!$E70,0)-1,2,1),""))</f>
        <v/>
      </c>
      <c r="BE70" s="22" t="str">
        <f aca="false">IF(Görevler!$F70="","",IF(AND(Görevler!$C70&lt;=(BE$4+Ayarlar!$C$6-1),Görevler!$D70&gt;=BE$4),IF(BE$4&lt;=Görevler!$C70+ROUND(Görevler!$F70*Görevler!$E70,0)-1,2,1),""))</f>
        <v/>
      </c>
      <c r="BF70" s="22" t="str">
        <f aca="false">IF(Görevler!$F70="","",IF(AND(Görevler!$C70&lt;=(BF$4+Ayarlar!$C$6-1),Görevler!$D70&gt;=BF$4),IF(BF$4&lt;=Görevler!$C70+ROUND(Görevler!$F70*Görevler!$E70,0)-1,2,1),""))</f>
        <v/>
      </c>
      <c r="BG70" s="22" t="str">
        <f aca="false">IF(Görevler!$F70="","",IF(AND(Görevler!$C70&lt;=(BG$4+Ayarlar!$C$6-1),Görevler!$D70&gt;=BG$4),IF(BG$4&lt;=Görevler!$C70+ROUND(Görevler!$F70*Görevler!$E70,0)-1,2,1),""))</f>
        <v/>
      </c>
      <c r="BH70" s="22" t="str">
        <f aca="false">IF(Görevler!$F70="","",IF(AND(Görevler!$C70&lt;=(BH$4+Ayarlar!$C$6-1),Görevler!$D70&gt;=BH$4),IF(BH$4&lt;=Görevler!$C70+ROUND(Görevler!$F70*Görevler!$E70,0)-1,2,1),""))</f>
        <v/>
      </c>
      <c r="BI70" s="22" t="str">
        <f aca="false">IF(Görevler!$F70="","",IF(AND(Görevler!$C70&lt;=(BI$4+Ayarlar!$C$6-1),Görevler!$D70&gt;=BI$4),IF(BI$4&lt;=Görevler!$C70+ROUND(Görevler!$F70*Görevler!$E70,0)-1,2,1),""))</f>
        <v/>
      </c>
      <c r="BJ70" s="22" t="str">
        <f aca="false">IF(Görevler!$F70="","",IF(AND(Görevler!$C70&lt;=(BJ$4+Ayarlar!$C$6-1),Görevler!$D70&gt;=BJ$4),IF(BJ$4&lt;=Görevler!$C70+ROUND(Görevler!$F70*Görevler!$E70,0)-1,2,1),""))</f>
        <v/>
      </c>
    </row>
    <row r="71" customFormat="false" ht="15" hidden="false" customHeight="false" outlineLevel="0" collapsed="false">
      <c r="A71" s="21" t="str">
        <f aca="false">IF(Görevler!A71="","",Görevler!A71)</f>
        <v/>
      </c>
      <c r="B71" s="21" t="str">
        <f aca="false">IF(Görevler!A71="","",Görevler!B71&amp;"")</f>
        <v/>
      </c>
      <c r="C71" s="22" t="str">
        <f aca="false">IF(Görevler!$F71="","",IF(AND(Görevler!$C71&lt;=(C$4+Ayarlar!$C$6-1),Görevler!$D71&gt;=C$4),IF(C$4&lt;=Görevler!$C71+ROUND(Görevler!$F71*Görevler!$E71,0)-1,2,1),""))</f>
        <v/>
      </c>
      <c r="D71" s="22" t="str">
        <f aca="false">IF(Görevler!$F71="","",IF(AND(Görevler!$C71&lt;=(D$4+Ayarlar!$C$6-1),Görevler!$D71&gt;=D$4),IF(D$4&lt;=Görevler!$C71+ROUND(Görevler!$F71*Görevler!$E71,0)-1,2,1),""))</f>
        <v/>
      </c>
      <c r="E71" s="22" t="str">
        <f aca="false">IF(Görevler!$F71="","",IF(AND(Görevler!$C71&lt;=(E$4+Ayarlar!$C$6-1),Görevler!$D71&gt;=E$4),IF(E$4&lt;=Görevler!$C71+ROUND(Görevler!$F71*Görevler!$E71,0)-1,2,1),""))</f>
        <v/>
      </c>
      <c r="F71" s="22" t="str">
        <f aca="false">IF(Görevler!$F71="","",IF(AND(Görevler!$C71&lt;=(F$4+Ayarlar!$C$6-1),Görevler!$D71&gt;=F$4),IF(F$4&lt;=Görevler!$C71+ROUND(Görevler!$F71*Görevler!$E71,0)-1,2,1),""))</f>
        <v/>
      </c>
      <c r="G71" s="22" t="str">
        <f aca="false">IF(Görevler!$F71="","",IF(AND(Görevler!$C71&lt;=(G$4+Ayarlar!$C$6-1),Görevler!$D71&gt;=G$4),IF(G$4&lt;=Görevler!$C71+ROUND(Görevler!$F71*Görevler!$E71,0)-1,2,1),""))</f>
        <v/>
      </c>
      <c r="H71" s="22" t="str">
        <f aca="false">IF(Görevler!$F71="","",IF(AND(Görevler!$C71&lt;=(H$4+Ayarlar!$C$6-1),Görevler!$D71&gt;=H$4),IF(H$4&lt;=Görevler!$C71+ROUND(Görevler!$F71*Görevler!$E71,0)-1,2,1),""))</f>
        <v/>
      </c>
      <c r="I71" s="22" t="str">
        <f aca="false">IF(Görevler!$F71="","",IF(AND(Görevler!$C71&lt;=(I$4+Ayarlar!$C$6-1),Görevler!$D71&gt;=I$4),IF(I$4&lt;=Görevler!$C71+ROUND(Görevler!$F71*Görevler!$E71,0)-1,2,1),""))</f>
        <v/>
      </c>
      <c r="J71" s="22" t="str">
        <f aca="false">IF(Görevler!$F71="","",IF(AND(Görevler!$C71&lt;=(J$4+Ayarlar!$C$6-1),Görevler!$D71&gt;=J$4),IF(J$4&lt;=Görevler!$C71+ROUND(Görevler!$F71*Görevler!$E71,0)-1,2,1),""))</f>
        <v/>
      </c>
      <c r="K71" s="22" t="str">
        <f aca="false">IF(Görevler!$F71="","",IF(AND(Görevler!$C71&lt;=(K$4+Ayarlar!$C$6-1),Görevler!$D71&gt;=K$4),IF(K$4&lt;=Görevler!$C71+ROUND(Görevler!$F71*Görevler!$E71,0)-1,2,1),""))</f>
        <v/>
      </c>
      <c r="L71" s="22" t="str">
        <f aca="false">IF(Görevler!$F71="","",IF(AND(Görevler!$C71&lt;=(L$4+Ayarlar!$C$6-1),Görevler!$D71&gt;=L$4),IF(L$4&lt;=Görevler!$C71+ROUND(Görevler!$F71*Görevler!$E71,0)-1,2,1),""))</f>
        <v/>
      </c>
      <c r="M71" s="22" t="str">
        <f aca="false">IF(Görevler!$F71="","",IF(AND(Görevler!$C71&lt;=(M$4+Ayarlar!$C$6-1),Görevler!$D71&gt;=M$4),IF(M$4&lt;=Görevler!$C71+ROUND(Görevler!$F71*Görevler!$E71,0)-1,2,1),""))</f>
        <v/>
      </c>
      <c r="N71" s="22" t="str">
        <f aca="false">IF(Görevler!$F71="","",IF(AND(Görevler!$C71&lt;=(N$4+Ayarlar!$C$6-1),Görevler!$D71&gt;=N$4),IF(N$4&lt;=Görevler!$C71+ROUND(Görevler!$F71*Görevler!$E71,0)-1,2,1),""))</f>
        <v/>
      </c>
      <c r="O71" s="22" t="str">
        <f aca="false">IF(Görevler!$F71="","",IF(AND(Görevler!$C71&lt;=(O$4+Ayarlar!$C$6-1),Görevler!$D71&gt;=O$4),IF(O$4&lt;=Görevler!$C71+ROUND(Görevler!$F71*Görevler!$E71,0)-1,2,1),""))</f>
        <v/>
      </c>
      <c r="P71" s="22" t="str">
        <f aca="false">IF(Görevler!$F71="","",IF(AND(Görevler!$C71&lt;=(P$4+Ayarlar!$C$6-1),Görevler!$D71&gt;=P$4),IF(P$4&lt;=Görevler!$C71+ROUND(Görevler!$F71*Görevler!$E71,0)-1,2,1),""))</f>
        <v/>
      </c>
      <c r="Q71" s="22" t="str">
        <f aca="false">IF(Görevler!$F71="","",IF(AND(Görevler!$C71&lt;=(Q$4+Ayarlar!$C$6-1),Görevler!$D71&gt;=Q$4),IF(Q$4&lt;=Görevler!$C71+ROUND(Görevler!$F71*Görevler!$E71,0)-1,2,1),""))</f>
        <v/>
      </c>
      <c r="R71" s="22" t="str">
        <f aca="false">IF(Görevler!$F71="","",IF(AND(Görevler!$C71&lt;=(R$4+Ayarlar!$C$6-1),Görevler!$D71&gt;=R$4),IF(R$4&lt;=Görevler!$C71+ROUND(Görevler!$F71*Görevler!$E71,0)-1,2,1),""))</f>
        <v/>
      </c>
      <c r="S71" s="22" t="str">
        <f aca="false">IF(Görevler!$F71="","",IF(AND(Görevler!$C71&lt;=(S$4+Ayarlar!$C$6-1),Görevler!$D71&gt;=S$4),IF(S$4&lt;=Görevler!$C71+ROUND(Görevler!$F71*Görevler!$E71,0)-1,2,1),""))</f>
        <v/>
      </c>
      <c r="T71" s="22" t="str">
        <f aca="false">IF(Görevler!$F71="","",IF(AND(Görevler!$C71&lt;=(T$4+Ayarlar!$C$6-1),Görevler!$D71&gt;=T$4),IF(T$4&lt;=Görevler!$C71+ROUND(Görevler!$F71*Görevler!$E71,0)-1,2,1),""))</f>
        <v/>
      </c>
      <c r="U71" s="22" t="str">
        <f aca="false">IF(Görevler!$F71="","",IF(AND(Görevler!$C71&lt;=(U$4+Ayarlar!$C$6-1),Görevler!$D71&gt;=U$4),IF(U$4&lt;=Görevler!$C71+ROUND(Görevler!$F71*Görevler!$E71,0)-1,2,1),""))</f>
        <v/>
      </c>
      <c r="V71" s="22" t="str">
        <f aca="false">IF(Görevler!$F71="","",IF(AND(Görevler!$C71&lt;=(V$4+Ayarlar!$C$6-1),Görevler!$D71&gt;=V$4),IF(V$4&lt;=Görevler!$C71+ROUND(Görevler!$F71*Görevler!$E71,0)-1,2,1),""))</f>
        <v/>
      </c>
      <c r="W71" s="22" t="str">
        <f aca="false">IF(Görevler!$F71="","",IF(AND(Görevler!$C71&lt;=(W$4+Ayarlar!$C$6-1),Görevler!$D71&gt;=W$4),IF(W$4&lt;=Görevler!$C71+ROUND(Görevler!$F71*Görevler!$E71,0)-1,2,1),""))</f>
        <v/>
      </c>
      <c r="X71" s="22" t="str">
        <f aca="false">IF(Görevler!$F71="","",IF(AND(Görevler!$C71&lt;=(X$4+Ayarlar!$C$6-1),Görevler!$D71&gt;=X$4),IF(X$4&lt;=Görevler!$C71+ROUND(Görevler!$F71*Görevler!$E71,0)-1,2,1),""))</f>
        <v/>
      </c>
      <c r="Y71" s="22" t="str">
        <f aca="false">IF(Görevler!$F71="","",IF(AND(Görevler!$C71&lt;=(Y$4+Ayarlar!$C$6-1),Görevler!$D71&gt;=Y$4),IF(Y$4&lt;=Görevler!$C71+ROUND(Görevler!$F71*Görevler!$E71,0)-1,2,1),""))</f>
        <v/>
      </c>
      <c r="Z71" s="22" t="str">
        <f aca="false">IF(Görevler!$F71="","",IF(AND(Görevler!$C71&lt;=(Z$4+Ayarlar!$C$6-1),Görevler!$D71&gt;=Z$4),IF(Z$4&lt;=Görevler!$C71+ROUND(Görevler!$F71*Görevler!$E71,0)-1,2,1),""))</f>
        <v/>
      </c>
      <c r="AA71" s="22" t="str">
        <f aca="false">IF(Görevler!$F71="","",IF(AND(Görevler!$C71&lt;=(AA$4+Ayarlar!$C$6-1),Görevler!$D71&gt;=AA$4),IF(AA$4&lt;=Görevler!$C71+ROUND(Görevler!$F71*Görevler!$E71,0)-1,2,1),""))</f>
        <v/>
      </c>
      <c r="AB71" s="22" t="str">
        <f aca="false">IF(Görevler!$F71="","",IF(AND(Görevler!$C71&lt;=(AB$4+Ayarlar!$C$6-1),Görevler!$D71&gt;=AB$4),IF(AB$4&lt;=Görevler!$C71+ROUND(Görevler!$F71*Görevler!$E71,0)-1,2,1),""))</f>
        <v/>
      </c>
      <c r="AC71" s="22" t="str">
        <f aca="false">IF(Görevler!$F71="","",IF(AND(Görevler!$C71&lt;=(AC$4+Ayarlar!$C$6-1),Görevler!$D71&gt;=AC$4),IF(AC$4&lt;=Görevler!$C71+ROUND(Görevler!$F71*Görevler!$E71,0)-1,2,1),""))</f>
        <v/>
      </c>
      <c r="AD71" s="22" t="str">
        <f aca="false">IF(Görevler!$F71="","",IF(AND(Görevler!$C71&lt;=(AD$4+Ayarlar!$C$6-1),Görevler!$D71&gt;=AD$4),IF(AD$4&lt;=Görevler!$C71+ROUND(Görevler!$F71*Görevler!$E71,0)-1,2,1),""))</f>
        <v/>
      </c>
      <c r="AE71" s="22" t="str">
        <f aca="false">IF(Görevler!$F71="","",IF(AND(Görevler!$C71&lt;=(AE$4+Ayarlar!$C$6-1),Görevler!$D71&gt;=AE$4),IF(AE$4&lt;=Görevler!$C71+ROUND(Görevler!$F71*Görevler!$E71,0)-1,2,1),""))</f>
        <v/>
      </c>
      <c r="AF71" s="22" t="str">
        <f aca="false">IF(Görevler!$F71="","",IF(AND(Görevler!$C71&lt;=(AF$4+Ayarlar!$C$6-1),Görevler!$D71&gt;=AF$4),IF(AF$4&lt;=Görevler!$C71+ROUND(Görevler!$F71*Görevler!$E71,0)-1,2,1),""))</f>
        <v/>
      </c>
      <c r="AG71" s="22" t="str">
        <f aca="false">IF(Görevler!$F71="","",IF(AND(Görevler!$C71&lt;=(AG$4+Ayarlar!$C$6-1),Görevler!$D71&gt;=AG$4),IF(AG$4&lt;=Görevler!$C71+ROUND(Görevler!$F71*Görevler!$E71,0)-1,2,1),""))</f>
        <v/>
      </c>
      <c r="AH71" s="22" t="str">
        <f aca="false">IF(Görevler!$F71="","",IF(AND(Görevler!$C71&lt;=(AH$4+Ayarlar!$C$6-1),Görevler!$D71&gt;=AH$4),IF(AH$4&lt;=Görevler!$C71+ROUND(Görevler!$F71*Görevler!$E71,0)-1,2,1),""))</f>
        <v/>
      </c>
      <c r="AI71" s="22" t="str">
        <f aca="false">IF(Görevler!$F71="","",IF(AND(Görevler!$C71&lt;=(AI$4+Ayarlar!$C$6-1),Görevler!$D71&gt;=AI$4),IF(AI$4&lt;=Görevler!$C71+ROUND(Görevler!$F71*Görevler!$E71,0)-1,2,1),""))</f>
        <v/>
      </c>
      <c r="AJ71" s="22" t="str">
        <f aca="false">IF(Görevler!$F71="","",IF(AND(Görevler!$C71&lt;=(AJ$4+Ayarlar!$C$6-1),Görevler!$D71&gt;=AJ$4),IF(AJ$4&lt;=Görevler!$C71+ROUND(Görevler!$F71*Görevler!$E71,0)-1,2,1),""))</f>
        <v/>
      </c>
      <c r="AK71" s="22" t="str">
        <f aca="false">IF(Görevler!$F71="","",IF(AND(Görevler!$C71&lt;=(AK$4+Ayarlar!$C$6-1),Görevler!$D71&gt;=AK$4),IF(AK$4&lt;=Görevler!$C71+ROUND(Görevler!$F71*Görevler!$E71,0)-1,2,1),""))</f>
        <v/>
      </c>
      <c r="AL71" s="22" t="str">
        <f aca="false">IF(Görevler!$F71="","",IF(AND(Görevler!$C71&lt;=(AL$4+Ayarlar!$C$6-1),Görevler!$D71&gt;=AL$4),IF(AL$4&lt;=Görevler!$C71+ROUND(Görevler!$F71*Görevler!$E71,0)-1,2,1),""))</f>
        <v/>
      </c>
      <c r="AM71" s="22" t="str">
        <f aca="false">IF(Görevler!$F71="","",IF(AND(Görevler!$C71&lt;=(AM$4+Ayarlar!$C$6-1),Görevler!$D71&gt;=AM$4),IF(AM$4&lt;=Görevler!$C71+ROUND(Görevler!$F71*Görevler!$E71,0)-1,2,1),""))</f>
        <v/>
      </c>
      <c r="AN71" s="22" t="str">
        <f aca="false">IF(Görevler!$F71="","",IF(AND(Görevler!$C71&lt;=(AN$4+Ayarlar!$C$6-1),Görevler!$D71&gt;=AN$4),IF(AN$4&lt;=Görevler!$C71+ROUND(Görevler!$F71*Görevler!$E71,0)-1,2,1),""))</f>
        <v/>
      </c>
      <c r="AO71" s="22" t="str">
        <f aca="false">IF(Görevler!$F71="","",IF(AND(Görevler!$C71&lt;=(AO$4+Ayarlar!$C$6-1),Görevler!$D71&gt;=AO$4),IF(AO$4&lt;=Görevler!$C71+ROUND(Görevler!$F71*Görevler!$E71,0)-1,2,1),""))</f>
        <v/>
      </c>
      <c r="AP71" s="22" t="str">
        <f aca="false">IF(Görevler!$F71="","",IF(AND(Görevler!$C71&lt;=(AP$4+Ayarlar!$C$6-1),Görevler!$D71&gt;=AP$4),IF(AP$4&lt;=Görevler!$C71+ROUND(Görevler!$F71*Görevler!$E71,0)-1,2,1),""))</f>
        <v/>
      </c>
      <c r="AQ71" s="22" t="str">
        <f aca="false">IF(Görevler!$F71="","",IF(AND(Görevler!$C71&lt;=(AQ$4+Ayarlar!$C$6-1),Görevler!$D71&gt;=AQ$4),IF(AQ$4&lt;=Görevler!$C71+ROUND(Görevler!$F71*Görevler!$E71,0)-1,2,1),""))</f>
        <v/>
      </c>
      <c r="AR71" s="22" t="str">
        <f aca="false">IF(Görevler!$F71="","",IF(AND(Görevler!$C71&lt;=(AR$4+Ayarlar!$C$6-1),Görevler!$D71&gt;=AR$4),IF(AR$4&lt;=Görevler!$C71+ROUND(Görevler!$F71*Görevler!$E71,0)-1,2,1),""))</f>
        <v/>
      </c>
      <c r="AS71" s="22" t="str">
        <f aca="false">IF(Görevler!$F71="","",IF(AND(Görevler!$C71&lt;=(AS$4+Ayarlar!$C$6-1),Görevler!$D71&gt;=AS$4),IF(AS$4&lt;=Görevler!$C71+ROUND(Görevler!$F71*Görevler!$E71,0)-1,2,1),""))</f>
        <v/>
      </c>
      <c r="AT71" s="22" t="str">
        <f aca="false">IF(Görevler!$F71="","",IF(AND(Görevler!$C71&lt;=(AT$4+Ayarlar!$C$6-1),Görevler!$D71&gt;=AT$4),IF(AT$4&lt;=Görevler!$C71+ROUND(Görevler!$F71*Görevler!$E71,0)-1,2,1),""))</f>
        <v/>
      </c>
      <c r="AU71" s="22" t="str">
        <f aca="false">IF(Görevler!$F71="","",IF(AND(Görevler!$C71&lt;=(AU$4+Ayarlar!$C$6-1),Görevler!$D71&gt;=AU$4),IF(AU$4&lt;=Görevler!$C71+ROUND(Görevler!$F71*Görevler!$E71,0)-1,2,1),""))</f>
        <v/>
      </c>
      <c r="AV71" s="22" t="str">
        <f aca="false">IF(Görevler!$F71="","",IF(AND(Görevler!$C71&lt;=(AV$4+Ayarlar!$C$6-1),Görevler!$D71&gt;=AV$4),IF(AV$4&lt;=Görevler!$C71+ROUND(Görevler!$F71*Görevler!$E71,0)-1,2,1),""))</f>
        <v/>
      </c>
      <c r="AW71" s="22" t="str">
        <f aca="false">IF(Görevler!$F71="","",IF(AND(Görevler!$C71&lt;=(AW$4+Ayarlar!$C$6-1),Görevler!$D71&gt;=AW$4),IF(AW$4&lt;=Görevler!$C71+ROUND(Görevler!$F71*Görevler!$E71,0)-1,2,1),""))</f>
        <v/>
      </c>
      <c r="AX71" s="22" t="str">
        <f aca="false">IF(Görevler!$F71="","",IF(AND(Görevler!$C71&lt;=(AX$4+Ayarlar!$C$6-1),Görevler!$D71&gt;=AX$4),IF(AX$4&lt;=Görevler!$C71+ROUND(Görevler!$F71*Görevler!$E71,0)-1,2,1),""))</f>
        <v/>
      </c>
      <c r="AY71" s="22" t="str">
        <f aca="false">IF(Görevler!$F71="","",IF(AND(Görevler!$C71&lt;=(AY$4+Ayarlar!$C$6-1),Görevler!$D71&gt;=AY$4),IF(AY$4&lt;=Görevler!$C71+ROUND(Görevler!$F71*Görevler!$E71,0)-1,2,1),""))</f>
        <v/>
      </c>
      <c r="AZ71" s="22" t="str">
        <f aca="false">IF(Görevler!$F71="","",IF(AND(Görevler!$C71&lt;=(AZ$4+Ayarlar!$C$6-1),Görevler!$D71&gt;=AZ$4),IF(AZ$4&lt;=Görevler!$C71+ROUND(Görevler!$F71*Görevler!$E71,0)-1,2,1),""))</f>
        <v/>
      </c>
      <c r="BA71" s="22" t="str">
        <f aca="false">IF(Görevler!$F71="","",IF(AND(Görevler!$C71&lt;=(BA$4+Ayarlar!$C$6-1),Görevler!$D71&gt;=BA$4),IF(BA$4&lt;=Görevler!$C71+ROUND(Görevler!$F71*Görevler!$E71,0)-1,2,1),""))</f>
        <v/>
      </c>
      <c r="BB71" s="22" t="str">
        <f aca="false">IF(Görevler!$F71="","",IF(AND(Görevler!$C71&lt;=(BB$4+Ayarlar!$C$6-1),Görevler!$D71&gt;=BB$4),IF(BB$4&lt;=Görevler!$C71+ROUND(Görevler!$F71*Görevler!$E71,0)-1,2,1),""))</f>
        <v/>
      </c>
      <c r="BC71" s="22" t="str">
        <f aca="false">IF(Görevler!$F71="","",IF(AND(Görevler!$C71&lt;=(BC$4+Ayarlar!$C$6-1),Görevler!$D71&gt;=BC$4),IF(BC$4&lt;=Görevler!$C71+ROUND(Görevler!$F71*Görevler!$E71,0)-1,2,1),""))</f>
        <v/>
      </c>
      <c r="BD71" s="22" t="str">
        <f aca="false">IF(Görevler!$F71="","",IF(AND(Görevler!$C71&lt;=(BD$4+Ayarlar!$C$6-1),Görevler!$D71&gt;=BD$4),IF(BD$4&lt;=Görevler!$C71+ROUND(Görevler!$F71*Görevler!$E71,0)-1,2,1),""))</f>
        <v/>
      </c>
      <c r="BE71" s="22" t="str">
        <f aca="false">IF(Görevler!$F71="","",IF(AND(Görevler!$C71&lt;=(BE$4+Ayarlar!$C$6-1),Görevler!$D71&gt;=BE$4),IF(BE$4&lt;=Görevler!$C71+ROUND(Görevler!$F71*Görevler!$E71,0)-1,2,1),""))</f>
        <v/>
      </c>
      <c r="BF71" s="22" t="str">
        <f aca="false">IF(Görevler!$F71="","",IF(AND(Görevler!$C71&lt;=(BF$4+Ayarlar!$C$6-1),Görevler!$D71&gt;=BF$4),IF(BF$4&lt;=Görevler!$C71+ROUND(Görevler!$F71*Görevler!$E71,0)-1,2,1),""))</f>
        <v/>
      </c>
      <c r="BG71" s="22" t="str">
        <f aca="false">IF(Görevler!$F71="","",IF(AND(Görevler!$C71&lt;=(BG$4+Ayarlar!$C$6-1),Görevler!$D71&gt;=BG$4),IF(BG$4&lt;=Görevler!$C71+ROUND(Görevler!$F71*Görevler!$E71,0)-1,2,1),""))</f>
        <v/>
      </c>
      <c r="BH71" s="22" t="str">
        <f aca="false">IF(Görevler!$F71="","",IF(AND(Görevler!$C71&lt;=(BH$4+Ayarlar!$C$6-1),Görevler!$D71&gt;=BH$4),IF(BH$4&lt;=Görevler!$C71+ROUND(Görevler!$F71*Görevler!$E71,0)-1,2,1),""))</f>
        <v/>
      </c>
      <c r="BI71" s="22" t="str">
        <f aca="false">IF(Görevler!$F71="","",IF(AND(Görevler!$C71&lt;=(BI$4+Ayarlar!$C$6-1),Görevler!$D71&gt;=BI$4),IF(BI$4&lt;=Görevler!$C71+ROUND(Görevler!$F71*Görevler!$E71,0)-1,2,1),""))</f>
        <v/>
      </c>
      <c r="BJ71" s="22" t="str">
        <f aca="false">IF(Görevler!$F71="","",IF(AND(Görevler!$C71&lt;=(BJ$4+Ayarlar!$C$6-1),Görevler!$D71&gt;=BJ$4),IF(BJ$4&lt;=Görevler!$C71+ROUND(Görevler!$F71*Görevler!$E71,0)-1,2,1),""))</f>
        <v/>
      </c>
    </row>
    <row r="72" customFormat="false" ht="15" hidden="false" customHeight="false" outlineLevel="0" collapsed="false">
      <c r="A72" s="21" t="str">
        <f aca="false">IF(Görevler!A72="","",Görevler!A72)</f>
        <v/>
      </c>
      <c r="B72" s="21" t="str">
        <f aca="false">IF(Görevler!A72="","",Görevler!B72&amp;"")</f>
        <v/>
      </c>
      <c r="C72" s="22" t="str">
        <f aca="false">IF(Görevler!$F72="","",IF(AND(Görevler!$C72&lt;=(C$4+Ayarlar!$C$6-1),Görevler!$D72&gt;=C$4),IF(C$4&lt;=Görevler!$C72+ROUND(Görevler!$F72*Görevler!$E72,0)-1,2,1),""))</f>
        <v/>
      </c>
      <c r="D72" s="22" t="str">
        <f aca="false">IF(Görevler!$F72="","",IF(AND(Görevler!$C72&lt;=(D$4+Ayarlar!$C$6-1),Görevler!$D72&gt;=D$4),IF(D$4&lt;=Görevler!$C72+ROUND(Görevler!$F72*Görevler!$E72,0)-1,2,1),""))</f>
        <v/>
      </c>
      <c r="E72" s="22" t="str">
        <f aca="false">IF(Görevler!$F72="","",IF(AND(Görevler!$C72&lt;=(E$4+Ayarlar!$C$6-1),Görevler!$D72&gt;=E$4),IF(E$4&lt;=Görevler!$C72+ROUND(Görevler!$F72*Görevler!$E72,0)-1,2,1),""))</f>
        <v/>
      </c>
      <c r="F72" s="22" t="str">
        <f aca="false">IF(Görevler!$F72="","",IF(AND(Görevler!$C72&lt;=(F$4+Ayarlar!$C$6-1),Görevler!$D72&gt;=F$4),IF(F$4&lt;=Görevler!$C72+ROUND(Görevler!$F72*Görevler!$E72,0)-1,2,1),""))</f>
        <v/>
      </c>
      <c r="G72" s="22" t="str">
        <f aca="false">IF(Görevler!$F72="","",IF(AND(Görevler!$C72&lt;=(G$4+Ayarlar!$C$6-1),Görevler!$D72&gt;=G$4),IF(G$4&lt;=Görevler!$C72+ROUND(Görevler!$F72*Görevler!$E72,0)-1,2,1),""))</f>
        <v/>
      </c>
      <c r="H72" s="22" t="str">
        <f aca="false">IF(Görevler!$F72="","",IF(AND(Görevler!$C72&lt;=(H$4+Ayarlar!$C$6-1),Görevler!$D72&gt;=H$4),IF(H$4&lt;=Görevler!$C72+ROUND(Görevler!$F72*Görevler!$E72,0)-1,2,1),""))</f>
        <v/>
      </c>
      <c r="I72" s="22" t="str">
        <f aca="false">IF(Görevler!$F72="","",IF(AND(Görevler!$C72&lt;=(I$4+Ayarlar!$C$6-1),Görevler!$D72&gt;=I$4),IF(I$4&lt;=Görevler!$C72+ROUND(Görevler!$F72*Görevler!$E72,0)-1,2,1),""))</f>
        <v/>
      </c>
      <c r="J72" s="22" t="str">
        <f aca="false">IF(Görevler!$F72="","",IF(AND(Görevler!$C72&lt;=(J$4+Ayarlar!$C$6-1),Görevler!$D72&gt;=J$4),IF(J$4&lt;=Görevler!$C72+ROUND(Görevler!$F72*Görevler!$E72,0)-1,2,1),""))</f>
        <v/>
      </c>
      <c r="K72" s="22" t="str">
        <f aca="false">IF(Görevler!$F72="","",IF(AND(Görevler!$C72&lt;=(K$4+Ayarlar!$C$6-1),Görevler!$D72&gt;=K$4),IF(K$4&lt;=Görevler!$C72+ROUND(Görevler!$F72*Görevler!$E72,0)-1,2,1),""))</f>
        <v/>
      </c>
      <c r="L72" s="22" t="str">
        <f aca="false">IF(Görevler!$F72="","",IF(AND(Görevler!$C72&lt;=(L$4+Ayarlar!$C$6-1),Görevler!$D72&gt;=L$4),IF(L$4&lt;=Görevler!$C72+ROUND(Görevler!$F72*Görevler!$E72,0)-1,2,1),""))</f>
        <v/>
      </c>
      <c r="M72" s="22" t="str">
        <f aca="false">IF(Görevler!$F72="","",IF(AND(Görevler!$C72&lt;=(M$4+Ayarlar!$C$6-1),Görevler!$D72&gt;=M$4),IF(M$4&lt;=Görevler!$C72+ROUND(Görevler!$F72*Görevler!$E72,0)-1,2,1),""))</f>
        <v/>
      </c>
      <c r="N72" s="22" t="str">
        <f aca="false">IF(Görevler!$F72="","",IF(AND(Görevler!$C72&lt;=(N$4+Ayarlar!$C$6-1),Görevler!$D72&gt;=N$4),IF(N$4&lt;=Görevler!$C72+ROUND(Görevler!$F72*Görevler!$E72,0)-1,2,1),""))</f>
        <v/>
      </c>
      <c r="O72" s="22" t="str">
        <f aca="false">IF(Görevler!$F72="","",IF(AND(Görevler!$C72&lt;=(O$4+Ayarlar!$C$6-1),Görevler!$D72&gt;=O$4),IF(O$4&lt;=Görevler!$C72+ROUND(Görevler!$F72*Görevler!$E72,0)-1,2,1),""))</f>
        <v/>
      </c>
      <c r="P72" s="22" t="str">
        <f aca="false">IF(Görevler!$F72="","",IF(AND(Görevler!$C72&lt;=(P$4+Ayarlar!$C$6-1),Görevler!$D72&gt;=P$4),IF(P$4&lt;=Görevler!$C72+ROUND(Görevler!$F72*Görevler!$E72,0)-1,2,1),""))</f>
        <v/>
      </c>
      <c r="Q72" s="22" t="str">
        <f aca="false">IF(Görevler!$F72="","",IF(AND(Görevler!$C72&lt;=(Q$4+Ayarlar!$C$6-1),Görevler!$D72&gt;=Q$4),IF(Q$4&lt;=Görevler!$C72+ROUND(Görevler!$F72*Görevler!$E72,0)-1,2,1),""))</f>
        <v/>
      </c>
      <c r="R72" s="22" t="str">
        <f aca="false">IF(Görevler!$F72="","",IF(AND(Görevler!$C72&lt;=(R$4+Ayarlar!$C$6-1),Görevler!$D72&gt;=R$4),IF(R$4&lt;=Görevler!$C72+ROUND(Görevler!$F72*Görevler!$E72,0)-1,2,1),""))</f>
        <v/>
      </c>
      <c r="S72" s="22" t="str">
        <f aca="false">IF(Görevler!$F72="","",IF(AND(Görevler!$C72&lt;=(S$4+Ayarlar!$C$6-1),Görevler!$D72&gt;=S$4),IF(S$4&lt;=Görevler!$C72+ROUND(Görevler!$F72*Görevler!$E72,0)-1,2,1),""))</f>
        <v/>
      </c>
      <c r="T72" s="22" t="str">
        <f aca="false">IF(Görevler!$F72="","",IF(AND(Görevler!$C72&lt;=(T$4+Ayarlar!$C$6-1),Görevler!$D72&gt;=T$4),IF(T$4&lt;=Görevler!$C72+ROUND(Görevler!$F72*Görevler!$E72,0)-1,2,1),""))</f>
        <v/>
      </c>
      <c r="U72" s="22" t="str">
        <f aca="false">IF(Görevler!$F72="","",IF(AND(Görevler!$C72&lt;=(U$4+Ayarlar!$C$6-1),Görevler!$D72&gt;=U$4),IF(U$4&lt;=Görevler!$C72+ROUND(Görevler!$F72*Görevler!$E72,0)-1,2,1),""))</f>
        <v/>
      </c>
      <c r="V72" s="22" t="str">
        <f aca="false">IF(Görevler!$F72="","",IF(AND(Görevler!$C72&lt;=(V$4+Ayarlar!$C$6-1),Görevler!$D72&gt;=V$4),IF(V$4&lt;=Görevler!$C72+ROUND(Görevler!$F72*Görevler!$E72,0)-1,2,1),""))</f>
        <v/>
      </c>
      <c r="W72" s="22" t="str">
        <f aca="false">IF(Görevler!$F72="","",IF(AND(Görevler!$C72&lt;=(W$4+Ayarlar!$C$6-1),Görevler!$D72&gt;=W$4),IF(W$4&lt;=Görevler!$C72+ROUND(Görevler!$F72*Görevler!$E72,0)-1,2,1),""))</f>
        <v/>
      </c>
      <c r="X72" s="22" t="str">
        <f aca="false">IF(Görevler!$F72="","",IF(AND(Görevler!$C72&lt;=(X$4+Ayarlar!$C$6-1),Görevler!$D72&gt;=X$4),IF(X$4&lt;=Görevler!$C72+ROUND(Görevler!$F72*Görevler!$E72,0)-1,2,1),""))</f>
        <v/>
      </c>
      <c r="Y72" s="22" t="str">
        <f aca="false">IF(Görevler!$F72="","",IF(AND(Görevler!$C72&lt;=(Y$4+Ayarlar!$C$6-1),Görevler!$D72&gt;=Y$4),IF(Y$4&lt;=Görevler!$C72+ROUND(Görevler!$F72*Görevler!$E72,0)-1,2,1),""))</f>
        <v/>
      </c>
      <c r="Z72" s="22" t="str">
        <f aca="false">IF(Görevler!$F72="","",IF(AND(Görevler!$C72&lt;=(Z$4+Ayarlar!$C$6-1),Görevler!$D72&gt;=Z$4),IF(Z$4&lt;=Görevler!$C72+ROUND(Görevler!$F72*Görevler!$E72,0)-1,2,1),""))</f>
        <v/>
      </c>
      <c r="AA72" s="22" t="str">
        <f aca="false">IF(Görevler!$F72="","",IF(AND(Görevler!$C72&lt;=(AA$4+Ayarlar!$C$6-1),Görevler!$D72&gt;=AA$4),IF(AA$4&lt;=Görevler!$C72+ROUND(Görevler!$F72*Görevler!$E72,0)-1,2,1),""))</f>
        <v/>
      </c>
      <c r="AB72" s="22" t="str">
        <f aca="false">IF(Görevler!$F72="","",IF(AND(Görevler!$C72&lt;=(AB$4+Ayarlar!$C$6-1),Görevler!$D72&gt;=AB$4),IF(AB$4&lt;=Görevler!$C72+ROUND(Görevler!$F72*Görevler!$E72,0)-1,2,1),""))</f>
        <v/>
      </c>
      <c r="AC72" s="22" t="str">
        <f aca="false">IF(Görevler!$F72="","",IF(AND(Görevler!$C72&lt;=(AC$4+Ayarlar!$C$6-1),Görevler!$D72&gt;=AC$4),IF(AC$4&lt;=Görevler!$C72+ROUND(Görevler!$F72*Görevler!$E72,0)-1,2,1),""))</f>
        <v/>
      </c>
      <c r="AD72" s="22" t="str">
        <f aca="false">IF(Görevler!$F72="","",IF(AND(Görevler!$C72&lt;=(AD$4+Ayarlar!$C$6-1),Görevler!$D72&gt;=AD$4),IF(AD$4&lt;=Görevler!$C72+ROUND(Görevler!$F72*Görevler!$E72,0)-1,2,1),""))</f>
        <v/>
      </c>
      <c r="AE72" s="22" t="str">
        <f aca="false">IF(Görevler!$F72="","",IF(AND(Görevler!$C72&lt;=(AE$4+Ayarlar!$C$6-1),Görevler!$D72&gt;=AE$4),IF(AE$4&lt;=Görevler!$C72+ROUND(Görevler!$F72*Görevler!$E72,0)-1,2,1),""))</f>
        <v/>
      </c>
      <c r="AF72" s="22" t="str">
        <f aca="false">IF(Görevler!$F72="","",IF(AND(Görevler!$C72&lt;=(AF$4+Ayarlar!$C$6-1),Görevler!$D72&gt;=AF$4),IF(AF$4&lt;=Görevler!$C72+ROUND(Görevler!$F72*Görevler!$E72,0)-1,2,1),""))</f>
        <v/>
      </c>
      <c r="AG72" s="22" t="str">
        <f aca="false">IF(Görevler!$F72="","",IF(AND(Görevler!$C72&lt;=(AG$4+Ayarlar!$C$6-1),Görevler!$D72&gt;=AG$4),IF(AG$4&lt;=Görevler!$C72+ROUND(Görevler!$F72*Görevler!$E72,0)-1,2,1),""))</f>
        <v/>
      </c>
      <c r="AH72" s="22" t="str">
        <f aca="false">IF(Görevler!$F72="","",IF(AND(Görevler!$C72&lt;=(AH$4+Ayarlar!$C$6-1),Görevler!$D72&gt;=AH$4),IF(AH$4&lt;=Görevler!$C72+ROUND(Görevler!$F72*Görevler!$E72,0)-1,2,1),""))</f>
        <v/>
      </c>
      <c r="AI72" s="22" t="str">
        <f aca="false">IF(Görevler!$F72="","",IF(AND(Görevler!$C72&lt;=(AI$4+Ayarlar!$C$6-1),Görevler!$D72&gt;=AI$4),IF(AI$4&lt;=Görevler!$C72+ROUND(Görevler!$F72*Görevler!$E72,0)-1,2,1),""))</f>
        <v/>
      </c>
      <c r="AJ72" s="22" t="str">
        <f aca="false">IF(Görevler!$F72="","",IF(AND(Görevler!$C72&lt;=(AJ$4+Ayarlar!$C$6-1),Görevler!$D72&gt;=AJ$4),IF(AJ$4&lt;=Görevler!$C72+ROUND(Görevler!$F72*Görevler!$E72,0)-1,2,1),""))</f>
        <v/>
      </c>
      <c r="AK72" s="22" t="str">
        <f aca="false">IF(Görevler!$F72="","",IF(AND(Görevler!$C72&lt;=(AK$4+Ayarlar!$C$6-1),Görevler!$D72&gt;=AK$4),IF(AK$4&lt;=Görevler!$C72+ROUND(Görevler!$F72*Görevler!$E72,0)-1,2,1),""))</f>
        <v/>
      </c>
      <c r="AL72" s="22" t="str">
        <f aca="false">IF(Görevler!$F72="","",IF(AND(Görevler!$C72&lt;=(AL$4+Ayarlar!$C$6-1),Görevler!$D72&gt;=AL$4),IF(AL$4&lt;=Görevler!$C72+ROUND(Görevler!$F72*Görevler!$E72,0)-1,2,1),""))</f>
        <v/>
      </c>
      <c r="AM72" s="22" t="str">
        <f aca="false">IF(Görevler!$F72="","",IF(AND(Görevler!$C72&lt;=(AM$4+Ayarlar!$C$6-1),Görevler!$D72&gt;=AM$4),IF(AM$4&lt;=Görevler!$C72+ROUND(Görevler!$F72*Görevler!$E72,0)-1,2,1),""))</f>
        <v/>
      </c>
      <c r="AN72" s="22" t="str">
        <f aca="false">IF(Görevler!$F72="","",IF(AND(Görevler!$C72&lt;=(AN$4+Ayarlar!$C$6-1),Görevler!$D72&gt;=AN$4),IF(AN$4&lt;=Görevler!$C72+ROUND(Görevler!$F72*Görevler!$E72,0)-1,2,1),""))</f>
        <v/>
      </c>
      <c r="AO72" s="22" t="str">
        <f aca="false">IF(Görevler!$F72="","",IF(AND(Görevler!$C72&lt;=(AO$4+Ayarlar!$C$6-1),Görevler!$D72&gt;=AO$4),IF(AO$4&lt;=Görevler!$C72+ROUND(Görevler!$F72*Görevler!$E72,0)-1,2,1),""))</f>
        <v/>
      </c>
      <c r="AP72" s="22" t="str">
        <f aca="false">IF(Görevler!$F72="","",IF(AND(Görevler!$C72&lt;=(AP$4+Ayarlar!$C$6-1),Görevler!$D72&gt;=AP$4),IF(AP$4&lt;=Görevler!$C72+ROUND(Görevler!$F72*Görevler!$E72,0)-1,2,1),""))</f>
        <v/>
      </c>
      <c r="AQ72" s="22" t="str">
        <f aca="false">IF(Görevler!$F72="","",IF(AND(Görevler!$C72&lt;=(AQ$4+Ayarlar!$C$6-1),Görevler!$D72&gt;=AQ$4),IF(AQ$4&lt;=Görevler!$C72+ROUND(Görevler!$F72*Görevler!$E72,0)-1,2,1),""))</f>
        <v/>
      </c>
      <c r="AR72" s="22" t="str">
        <f aca="false">IF(Görevler!$F72="","",IF(AND(Görevler!$C72&lt;=(AR$4+Ayarlar!$C$6-1),Görevler!$D72&gt;=AR$4),IF(AR$4&lt;=Görevler!$C72+ROUND(Görevler!$F72*Görevler!$E72,0)-1,2,1),""))</f>
        <v/>
      </c>
      <c r="AS72" s="22" t="str">
        <f aca="false">IF(Görevler!$F72="","",IF(AND(Görevler!$C72&lt;=(AS$4+Ayarlar!$C$6-1),Görevler!$D72&gt;=AS$4),IF(AS$4&lt;=Görevler!$C72+ROUND(Görevler!$F72*Görevler!$E72,0)-1,2,1),""))</f>
        <v/>
      </c>
      <c r="AT72" s="22" t="str">
        <f aca="false">IF(Görevler!$F72="","",IF(AND(Görevler!$C72&lt;=(AT$4+Ayarlar!$C$6-1),Görevler!$D72&gt;=AT$4),IF(AT$4&lt;=Görevler!$C72+ROUND(Görevler!$F72*Görevler!$E72,0)-1,2,1),""))</f>
        <v/>
      </c>
      <c r="AU72" s="22" t="str">
        <f aca="false">IF(Görevler!$F72="","",IF(AND(Görevler!$C72&lt;=(AU$4+Ayarlar!$C$6-1),Görevler!$D72&gt;=AU$4),IF(AU$4&lt;=Görevler!$C72+ROUND(Görevler!$F72*Görevler!$E72,0)-1,2,1),""))</f>
        <v/>
      </c>
      <c r="AV72" s="22" t="str">
        <f aca="false">IF(Görevler!$F72="","",IF(AND(Görevler!$C72&lt;=(AV$4+Ayarlar!$C$6-1),Görevler!$D72&gt;=AV$4),IF(AV$4&lt;=Görevler!$C72+ROUND(Görevler!$F72*Görevler!$E72,0)-1,2,1),""))</f>
        <v/>
      </c>
      <c r="AW72" s="22" t="str">
        <f aca="false">IF(Görevler!$F72="","",IF(AND(Görevler!$C72&lt;=(AW$4+Ayarlar!$C$6-1),Görevler!$D72&gt;=AW$4),IF(AW$4&lt;=Görevler!$C72+ROUND(Görevler!$F72*Görevler!$E72,0)-1,2,1),""))</f>
        <v/>
      </c>
      <c r="AX72" s="22" t="str">
        <f aca="false">IF(Görevler!$F72="","",IF(AND(Görevler!$C72&lt;=(AX$4+Ayarlar!$C$6-1),Görevler!$D72&gt;=AX$4),IF(AX$4&lt;=Görevler!$C72+ROUND(Görevler!$F72*Görevler!$E72,0)-1,2,1),""))</f>
        <v/>
      </c>
      <c r="AY72" s="22" t="str">
        <f aca="false">IF(Görevler!$F72="","",IF(AND(Görevler!$C72&lt;=(AY$4+Ayarlar!$C$6-1),Görevler!$D72&gt;=AY$4),IF(AY$4&lt;=Görevler!$C72+ROUND(Görevler!$F72*Görevler!$E72,0)-1,2,1),""))</f>
        <v/>
      </c>
      <c r="AZ72" s="22" t="str">
        <f aca="false">IF(Görevler!$F72="","",IF(AND(Görevler!$C72&lt;=(AZ$4+Ayarlar!$C$6-1),Görevler!$D72&gt;=AZ$4),IF(AZ$4&lt;=Görevler!$C72+ROUND(Görevler!$F72*Görevler!$E72,0)-1,2,1),""))</f>
        <v/>
      </c>
      <c r="BA72" s="22" t="str">
        <f aca="false">IF(Görevler!$F72="","",IF(AND(Görevler!$C72&lt;=(BA$4+Ayarlar!$C$6-1),Görevler!$D72&gt;=BA$4),IF(BA$4&lt;=Görevler!$C72+ROUND(Görevler!$F72*Görevler!$E72,0)-1,2,1),""))</f>
        <v/>
      </c>
      <c r="BB72" s="22" t="str">
        <f aca="false">IF(Görevler!$F72="","",IF(AND(Görevler!$C72&lt;=(BB$4+Ayarlar!$C$6-1),Görevler!$D72&gt;=BB$4),IF(BB$4&lt;=Görevler!$C72+ROUND(Görevler!$F72*Görevler!$E72,0)-1,2,1),""))</f>
        <v/>
      </c>
      <c r="BC72" s="22" t="str">
        <f aca="false">IF(Görevler!$F72="","",IF(AND(Görevler!$C72&lt;=(BC$4+Ayarlar!$C$6-1),Görevler!$D72&gt;=BC$4),IF(BC$4&lt;=Görevler!$C72+ROUND(Görevler!$F72*Görevler!$E72,0)-1,2,1),""))</f>
        <v/>
      </c>
      <c r="BD72" s="22" t="str">
        <f aca="false">IF(Görevler!$F72="","",IF(AND(Görevler!$C72&lt;=(BD$4+Ayarlar!$C$6-1),Görevler!$D72&gt;=BD$4),IF(BD$4&lt;=Görevler!$C72+ROUND(Görevler!$F72*Görevler!$E72,0)-1,2,1),""))</f>
        <v/>
      </c>
      <c r="BE72" s="22" t="str">
        <f aca="false">IF(Görevler!$F72="","",IF(AND(Görevler!$C72&lt;=(BE$4+Ayarlar!$C$6-1),Görevler!$D72&gt;=BE$4),IF(BE$4&lt;=Görevler!$C72+ROUND(Görevler!$F72*Görevler!$E72,0)-1,2,1),""))</f>
        <v/>
      </c>
      <c r="BF72" s="22" t="str">
        <f aca="false">IF(Görevler!$F72="","",IF(AND(Görevler!$C72&lt;=(BF$4+Ayarlar!$C$6-1),Görevler!$D72&gt;=BF$4),IF(BF$4&lt;=Görevler!$C72+ROUND(Görevler!$F72*Görevler!$E72,0)-1,2,1),""))</f>
        <v/>
      </c>
      <c r="BG72" s="22" t="str">
        <f aca="false">IF(Görevler!$F72="","",IF(AND(Görevler!$C72&lt;=(BG$4+Ayarlar!$C$6-1),Görevler!$D72&gt;=BG$4),IF(BG$4&lt;=Görevler!$C72+ROUND(Görevler!$F72*Görevler!$E72,0)-1,2,1),""))</f>
        <v/>
      </c>
      <c r="BH72" s="22" t="str">
        <f aca="false">IF(Görevler!$F72="","",IF(AND(Görevler!$C72&lt;=(BH$4+Ayarlar!$C$6-1),Görevler!$D72&gt;=BH$4),IF(BH$4&lt;=Görevler!$C72+ROUND(Görevler!$F72*Görevler!$E72,0)-1,2,1),""))</f>
        <v/>
      </c>
      <c r="BI72" s="22" t="str">
        <f aca="false">IF(Görevler!$F72="","",IF(AND(Görevler!$C72&lt;=(BI$4+Ayarlar!$C$6-1),Görevler!$D72&gt;=BI$4),IF(BI$4&lt;=Görevler!$C72+ROUND(Görevler!$F72*Görevler!$E72,0)-1,2,1),""))</f>
        <v/>
      </c>
      <c r="BJ72" s="22" t="str">
        <f aca="false">IF(Görevler!$F72="","",IF(AND(Görevler!$C72&lt;=(BJ$4+Ayarlar!$C$6-1),Görevler!$D72&gt;=BJ$4),IF(BJ$4&lt;=Görevler!$C72+ROUND(Görevler!$F72*Görevler!$E72,0)-1,2,1),""))</f>
        <v/>
      </c>
    </row>
    <row r="73" customFormat="false" ht="15" hidden="false" customHeight="false" outlineLevel="0" collapsed="false">
      <c r="A73" s="21" t="str">
        <f aca="false">IF(Görevler!A73="","",Görevler!A73)</f>
        <v/>
      </c>
      <c r="B73" s="21" t="str">
        <f aca="false">IF(Görevler!A73="","",Görevler!B73&amp;"")</f>
        <v/>
      </c>
      <c r="C73" s="22" t="str">
        <f aca="false">IF(Görevler!$F73="","",IF(AND(Görevler!$C73&lt;=(C$4+Ayarlar!$C$6-1),Görevler!$D73&gt;=C$4),IF(C$4&lt;=Görevler!$C73+ROUND(Görevler!$F73*Görevler!$E73,0)-1,2,1),""))</f>
        <v/>
      </c>
      <c r="D73" s="22" t="str">
        <f aca="false">IF(Görevler!$F73="","",IF(AND(Görevler!$C73&lt;=(D$4+Ayarlar!$C$6-1),Görevler!$D73&gt;=D$4),IF(D$4&lt;=Görevler!$C73+ROUND(Görevler!$F73*Görevler!$E73,0)-1,2,1),""))</f>
        <v/>
      </c>
      <c r="E73" s="22" t="str">
        <f aca="false">IF(Görevler!$F73="","",IF(AND(Görevler!$C73&lt;=(E$4+Ayarlar!$C$6-1),Görevler!$D73&gt;=E$4),IF(E$4&lt;=Görevler!$C73+ROUND(Görevler!$F73*Görevler!$E73,0)-1,2,1),""))</f>
        <v/>
      </c>
      <c r="F73" s="22" t="str">
        <f aca="false">IF(Görevler!$F73="","",IF(AND(Görevler!$C73&lt;=(F$4+Ayarlar!$C$6-1),Görevler!$D73&gt;=F$4),IF(F$4&lt;=Görevler!$C73+ROUND(Görevler!$F73*Görevler!$E73,0)-1,2,1),""))</f>
        <v/>
      </c>
      <c r="G73" s="22" t="str">
        <f aca="false">IF(Görevler!$F73="","",IF(AND(Görevler!$C73&lt;=(G$4+Ayarlar!$C$6-1),Görevler!$D73&gt;=G$4),IF(G$4&lt;=Görevler!$C73+ROUND(Görevler!$F73*Görevler!$E73,0)-1,2,1),""))</f>
        <v/>
      </c>
      <c r="H73" s="22" t="str">
        <f aca="false">IF(Görevler!$F73="","",IF(AND(Görevler!$C73&lt;=(H$4+Ayarlar!$C$6-1),Görevler!$D73&gt;=H$4),IF(H$4&lt;=Görevler!$C73+ROUND(Görevler!$F73*Görevler!$E73,0)-1,2,1),""))</f>
        <v/>
      </c>
      <c r="I73" s="22" t="str">
        <f aca="false">IF(Görevler!$F73="","",IF(AND(Görevler!$C73&lt;=(I$4+Ayarlar!$C$6-1),Görevler!$D73&gt;=I$4),IF(I$4&lt;=Görevler!$C73+ROUND(Görevler!$F73*Görevler!$E73,0)-1,2,1),""))</f>
        <v/>
      </c>
      <c r="J73" s="22" t="str">
        <f aca="false">IF(Görevler!$F73="","",IF(AND(Görevler!$C73&lt;=(J$4+Ayarlar!$C$6-1),Görevler!$D73&gt;=J$4),IF(J$4&lt;=Görevler!$C73+ROUND(Görevler!$F73*Görevler!$E73,0)-1,2,1),""))</f>
        <v/>
      </c>
      <c r="K73" s="22" t="str">
        <f aca="false">IF(Görevler!$F73="","",IF(AND(Görevler!$C73&lt;=(K$4+Ayarlar!$C$6-1),Görevler!$D73&gt;=K$4),IF(K$4&lt;=Görevler!$C73+ROUND(Görevler!$F73*Görevler!$E73,0)-1,2,1),""))</f>
        <v/>
      </c>
      <c r="L73" s="22" t="str">
        <f aca="false">IF(Görevler!$F73="","",IF(AND(Görevler!$C73&lt;=(L$4+Ayarlar!$C$6-1),Görevler!$D73&gt;=L$4),IF(L$4&lt;=Görevler!$C73+ROUND(Görevler!$F73*Görevler!$E73,0)-1,2,1),""))</f>
        <v/>
      </c>
      <c r="M73" s="22" t="str">
        <f aca="false">IF(Görevler!$F73="","",IF(AND(Görevler!$C73&lt;=(M$4+Ayarlar!$C$6-1),Görevler!$D73&gt;=M$4),IF(M$4&lt;=Görevler!$C73+ROUND(Görevler!$F73*Görevler!$E73,0)-1,2,1),""))</f>
        <v/>
      </c>
      <c r="N73" s="22" t="str">
        <f aca="false">IF(Görevler!$F73="","",IF(AND(Görevler!$C73&lt;=(N$4+Ayarlar!$C$6-1),Görevler!$D73&gt;=N$4),IF(N$4&lt;=Görevler!$C73+ROUND(Görevler!$F73*Görevler!$E73,0)-1,2,1),""))</f>
        <v/>
      </c>
      <c r="O73" s="22" t="str">
        <f aca="false">IF(Görevler!$F73="","",IF(AND(Görevler!$C73&lt;=(O$4+Ayarlar!$C$6-1),Görevler!$D73&gt;=O$4),IF(O$4&lt;=Görevler!$C73+ROUND(Görevler!$F73*Görevler!$E73,0)-1,2,1),""))</f>
        <v/>
      </c>
      <c r="P73" s="22" t="str">
        <f aca="false">IF(Görevler!$F73="","",IF(AND(Görevler!$C73&lt;=(P$4+Ayarlar!$C$6-1),Görevler!$D73&gt;=P$4),IF(P$4&lt;=Görevler!$C73+ROUND(Görevler!$F73*Görevler!$E73,0)-1,2,1),""))</f>
        <v/>
      </c>
      <c r="Q73" s="22" t="str">
        <f aca="false">IF(Görevler!$F73="","",IF(AND(Görevler!$C73&lt;=(Q$4+Ayarlar!$C$6-1),Görevler!$D73&gt;=Q$4),IF(Q$4&lt;=Görevler!$C73+ROUND(Görevler!$F73*Görevler!$E73,0)-1,2,1),""))</f>
        <v/>
      </c>
      <c r="R73" s="22" t="str">
        <f aca="false">IF(Görevler!$F73="","",IF(AND(Görevler!$C73&lt;=(R$4+Ayarlar!$C$6-1),Görevler!$D73&gt;=R$4),IF(R$4&lt;=Görevler!$C73+ROUND(Görevler!$F73*Görevler!$E73,0)-1,2,1),""))</f>
        <v/>
      </c>
      <c r="S73" s="22" t="str">
        <f aca="false">IF(Görevler!$F73="","",IF(AND(Görevler!$C73&lt;=(S$4+Ayarlar!$C$6-1),Görevler!$D73&gt;=S$4),IF(S$4&lt;=Görevler!$C73+ROUND(Görevler!$F73*Görevler!$E73,0)-1,2,1),""))</f>
        <v/>
      </c>
      <c r="T73" s="22" t="str">
        <f aca="false">IF(Görevler!$F73="","",IF(AND(Görevler!$C73&lt;=(T$4+Ayarlar!$C$6-1),Görevler!$D73&gt;=T$4),IF(T$4&lt;=Görevler!$C73+ROUND(Görevler!$F73*Görevler!$E73,0)-1,2,1),""))</f>
        <v/>
      </c>
      <c r="U73" s="22" t="str">
        <f aca="false">IF(Görevler!$F73="","",IF(AND(Görevler!$C73&lt;=(U$4+Ayarlar!$C$6-1),Görevler!$D73&gt;=U$4),IF(U$4&lt;=Görevler!$C73+ROUND(Görevler!$F73*Görevler!$E73,0)-1,2,1),""))</f>
        <v/>
      </c>
      <c r="V73" s="22" t="str">
        <f aca="false">IF(Görevler!$F73="","",IF(AND(Görevler!$C73&lt;=(V$4+Ayarlar!$C$6-1),Görevler!$D73&gt;=V$4),IF(V$4&lt;=Görevler!$C73+ROUND(Görevler!$F73*Görevler!$E73,0)-1,2,1),""))</f>
        <v/>
      </c>
      <c r="W73" s="22" t="str">
        <f aca="false">IF(Görevler!$F73="","",IF(AND(Görevler!$C73&lt;=(W$4+Ayarlar!$C$6-1),Görevler!$D73&gt;=W$4),IF(W$4&lt;=Görevler!$C73+ROUND(Görevler!$F73*Görevler!$E73,0)-1,2,1),""))</f>
        <v/>
      </c>
      <c r="X73" s="22" t="str">
        <f aca="false">IF(Görevler!$F73="","",IF(AND(Görevler!$C73&lt;=(X$4+Ayarlar!$C$6-1),Görevler!$D73&gt;=X$4),IF(X$4&lt;=Görevler!$C73+ROUND(Görevler!$F73*Görevler!$E73,0)-1,2,1),""))</f>
        <v/>
      </c>
      <c r="Y73" s="22" t="str">
        <f aca="false">IF(Görevler!$F73="","",IF(AND(Görevler!$C73&lt;=(Y$4+Ayarlar!$C$6-1),Görevler!$D73&gt;=Y$4),IF(Y$4&lt;=Görevler!$C73+ROUND(Görevler!$F73*Görevler!$E73,0)-1,2,1),""))</f>
        <v/>
      </c>
      <c r="Z73" s="22" t="str">
        <f aca="false">IF(Görevler!$F73="","",IF(AND(Görevler!$C73&lt;=(Z$4+Ayarlar!$C$6-1),Görevler!$D73&gt;=Z$4),IF(Z$4&lt;=Görevler!$C73+ROUND(Görevler!$F73*Görevler!$E73,0)-1,2,1),""))</f>
        <v/>
      </c>
      <c r="AA73" s="22" t="str">
        <f aca="false">IF(Görevler!$F73="","",IF(AND(Görevler!$C73&lt;=(AA$4+Ayarlar!$C$6-1),Görevler!$D73&gt;=AA$4),IF(AA$4&lt;=Görevler!$C73+ROUND(Görevler!$F73*Görevler!$E73,0)-1,2,1),""))</f>
        <v/>
      </c>
      <c r="AB73" s="22" t="str">
        <f aca="false">IF(Görevler!$F73="","",IF(AND(Görevler!$C73&lt;=(AB$4+Ayarlar!$C$6-1),Görevler!$D73&gt;=AB$4),IF(AB$4&lt;=Görevler!$C73+ROUND(Görevler!$F73*Görevler!$E73,0)-1,2,1),""))</f>
        <v/>
      </c>
      <c r="AC73" s="22" t="str">
        <f aca="false">IF(Görevler!$F73="","",IF(AND(Görevler!$C73&lt;=(AC$4+Ayarlar!$C$6-1),Görevler!$D73&gt;=AC$4),IF(AC$4&lt;=Görevler!$C73+ROUND(Görevler!$F73*Görevler!$E73,0)-1,2,1),""))</f>
        <v/>
      </c>
      <c r="AD73" s="22" t="str">
        <f aca="false">IF(Görevler!$F73="","",IF(AND(Görevler!$C73&lt;=(AD$4+Ayarlar!$C$6-1),Görevler!$D73&gt;=AD$4),IF(AD$4&lt;=Görevler!$C73+ROUND(Görevler!$F73*Görevler!$E73,0)-1,2,1),""))</f>
        <v/>
      </c>
      <c r="AE73" s="22" t="str">
        <f aca="false">IF(Görevler!$F73="","",IF(AND(Görevler!$C73&lt;=(AE$4+Ayarlar!$C$6-1),Görevler!$D73&gt;=AE$4),IF(AE$4&lt;=Görevler!$C73+ROUND(Görevler!$F73*Görevler!$E73,0)-1,2,1),""))</f>
        <v/>
      </c>
      <c r="AF73" s="22" t="str">
        <f aca="false">IF(Görevler!$F73="","",IF(AND(Görevler!$C73&lt;=(AF$4+Ayarlar!$C$6-1),Görevler!$D73&gt;=AF$4),IF(AF$4&lt;=Görevler!$C73+ROUND(Görevler!$F73*Görevler!$E73,0)-1,2,1),""))</f>
        <v/>
      </c>
      <c r="AG73" s="22" t="str">
        <f aca="false">IF(Görevler!$F73="","",IF(AND(Görevler!$C73&lt;=(AG$4+Ayarlar!$C$6-1),Görevler!$D73&gt;=AG$4),IF(AG$4&lt;=Görevler!$C73+ROUND(Görevler!$F73*Görevler!$E73,0)-1,2,1),""))</f>
        <v/>
      </c>
      <c r="AH73" s="22" t="str">
        <f aca="false">IF(Görevler!$F73="","",IF(AND(Görevler!$C73&lt;=(AH$4+Ayarlar!$C$6-1),Görevler!$D73&gt;=AH$4),IF(AH$4&lt;=Görevler!$C73+ROUND(Görevler!$F73*Görevler!$E73,0)-1,2,1),""))</f>
        <v/>
      </c>
      <c r="AI73" s="22" t="str">
        <f aca="false">IF(Görevler!$F73="","",IF(AND(Görevler!$C73&lt;=(AI$4+Ayarlar!$C$6-1),Görevler!$D73&gt;=AI$4),IF(AI$4&lt;=Görevler!$C73+ROUND(Görevler!$F73*Görevler!$E73,0)-1,2,1),""))</f>
        <v/>
      </c>
      <c r="AJ73" s="22" t="str">
        <f aca="false">IF(Görevler!$F73="","",IF(AND(Görevler!$C73&lt;=(AJ$4+Ayarlar!$C$6-1),Görevler!$D73&gt;=AJ$4),IF(AJ$4&lt;=Görevler!$C73+ROUND(Görevler!$F73*Görevler!$E73,0)-1,2,1),""))</f>
        <v/>
      </c>
      <c r="AK73" s="22" t="str">
        <f aca="false">IF(Görevler!$F73="","",IF(AND(Görevler!$C73&lt;=(AK$4+Ayarlar!$C$6-1),Görevler!$D73&gt;=AK$4),IF(AK$4&lt;=Görevler!$C73+ROUND(Görevler!$F73*Görevler!$E73,0)-1,2,1),""))</f>
        <v/>
      </c>
      <c r="AL73" s="22" t="str">
        <f aca="false">IF(Görevler!$F73="","",IF(AND(Görevler!$C73&lt;=(AL$4+Ayarlar!$C$6-1),Görevler!$D73&gt;=AL$4),IF(AL$4&lt;=Görevler!$C73+ROUND(Görevler!$F73*Görevler!$E73,0)-1,2,1),""))</f>
        <v/>
      </c>
      <c r="AM73" s="22" t="str">
        <f aca="false">IF(Görevler!$F73="","",IF(AND(Görevler!$C73&lt;=(AM$4+Ayarlar!$C$6-1),Görevler!$D73&gt;=AM$4),IF(AM$4&lt;=Görevler!$C73+ROUND(Görevler!$F73*Görevler!$E73,0)-1,2,1),""))</f>
        <v/>
      </c>
      <c r="AN73" s="22" t="str">
        <f aca="false">IF(Görevler!$F73="","",IF(AND(Görevler!$C73&lt;=(AN$4+Ayarlar!$C$6-1),Görevler!$D73&gt;=AN$4),IF(AN$4&lt;=Görevler!$C73+ROUND(Görevler!$F73*Görevler!$E73,0)-1,2,1),""))</f>
        <v/>
      </c>
      <c r="AO73" s="22" t="str">
        <f aca="false">IF(Görevler!$F73="","",IF(AND(Görevler!$C73&lt;=(AO$4+Ayarlar!$C$6-1),Görevler!$D73&gt;=AO$4),IF(AO$4&lt;=Görevler!$C73+ROUND(Görevler!$F73*Görevler!$E73,0)-1,2,1),""))</f>
        <v/>
      </c>
      <c r="AP73" s="22" t="str">
        <f aca="false">IF(Görevler!$F73="","",IF(AND(Görevler!$C73&lt;=(AP$4+Ayarlar!$C$6-1),Görevler!$D73&gt;=AP$4),IF(AP$4&lt;=Görevler!$C73+ROUND(Görevler!$F73*Görevler!$E73,0)-1,2,1),""))</f>
        <v/>
      </c>
      <c r="AQ73" s="22" t="str">
        <f aca="false">IF(Görevler!$F73="","",IF(AND(Görevler!$C73&lt;=(AQ$4+Ayarlar!$C$6-1),Görevler!$D73&gt;=AQ$4),IF(AQ$4&lt;=Görevler!$C73+ROUND(Görevler!$F73*Görevler!$E73,0)-1,2,1),""))</f>
        <v/>
      </c>
      <c r="AR73" s="22" t="str">
        <f aca="false">IF(Görevler!$F73="","",IF(AND(Görevler!$C73&lt;=(AR$4+Ayarlar!$C$6-1),Görevler!$D73&gt;=AR$4),IF(AR$4&lt;=Görevler!$C73+ROUND(Görevler!$F73*Görevler!$E73,0)-1,2,1),""))</f>
        <v/>
      </c>
      <c r="AS73" s="22" t="str">
        <f aca="false">IF(Görevler!$F73="","",IF(AND(Görevler!$C73&lt;=(AS$4+Ayarlar!$C$6-1),Görevler!$D73&gt;=AS$4),IF(AS$4&lt;=Görevler!$C73+ROUND(Görevler!$F73*Görevler!$E73,0)-1,2,1),""))</f>
        <v/>
      </c>
      <c r="AT73" s="22" t="str">
        <f aca="false">IF(Görevler!$F73="","",IF(AND(Görevler!$C73&lt;=(AT$4+Ayarlar!$C$6-1),Görevler!$D73&gt;=AT$4),IF(AT$4&lt;=Görevler!$C73+ROUND(Görevler!$F73*Görevler!$E73,0)-1,2,1),""))</f>
        <v/>
      </c>
      <c r="AU73" s="22" t="str">
        <f aca="false">IF(Görevler!$F73="","",IF(AND(Görevler!$C73&lt;=(AU$4+Ayarlar!$C$6-1),Görevler!$D73&gt;=AU$4),IF(AU$4&lt;=Görevler!$C73+ROUND(Görevler!$F73*Görevler!$E73,0)-1,2,1),""))</f>
        <v/>
      </c>
      <c r="AV73" s="22" t="str">
        <f aca="false">IF(Görevler!$F73="","",IF(AND(Görevler!$C73&lt;=(AV$4+Ayarlar!$C$6-1),Görevler!$D73&gt;=AV$4),IF(AV$4&lt;=Görevler!$C73+ROUND(Görevler!$F73*Görevler!$E73,0)-1,2,1),""))</f>
        <v/>
      </c>
      <c r="AW73" s="22" t="str">
        <f aca="false">IF(Görevler!$F73="","",IF(AND(Görevler!$C73&lt;=(AW$4+Ayarlar!$C$6-1),Görevler!$D73&gt;=AW$4),IF(AW$4&lt;=Görevler!$C73+ROUND(Görevler!$F73*Görevler!$E73,0)-1,2,1),""))</f>
        <v/>
      </c>
      <c r="AX73" s="22" t="str">
        <f aca="false">IF(Görevler!$F73="","",IF(AND(Görevler!$C73&lt;=(AX$4+Ayarlar!$C$6-1),Görevler!$D73&gt;=AX$4),IF(AX$4&lt;=Görevler!$C73+ROUND(Görevler!$F73*Görevler!$E73,0)-1,2,1),""))</f>
        <v/>
      </c>
      <c r="AY73" s="22" t="str">
        <f aca="false">IF(Görevler!$F73="","",IF(AND(Görevler!$C73&lt;=(AY$4+Ayarlar!$C$6-1),Görevler!$D73&gt;=AY$4),IF(AY$4&lt;=Görevler!$C73+ROUND(Görevler!$F73*Görevler!$E73,0)-1,2,1),""))</f>
        <v/>
      </c>
      <c r="AZ73" s="22" t="str">
        <f aca="false">IF(Görevler!$F73="","",IF(AND(Görevler!$C73&lt;=(AZ$4+Ayarlar!$C$6-1),Görevler!$D73&gt;=AZ$4),IF(AZ$4&lt;=Görevler!$C73+ROUND(Görevler!$F73*Görevler!$E73,0)-1,2,1),""))</f>
        <v/>
      </c>
      <c r="BA73" s="22" t="str">
        <f aca="false">IF(Görevler!$F73="","",IF(AND(Görevler!$C73&lt;=(BA$4+Ayarlar!$C$6-1),Görevler!$D73&gt;=BA$4),IF(BA$4&lt;=Görevler!$C73+ROUND(Görevler!$F73*Görevler!$E73,0)-1,2,1),""))</f>
        <v/>
      </c>
      <c r="BB73" s="22" t="str">
        <f aca="false">IF(Görevler!$F73="","",IF(AND(Görevler!$C73&lt;=(BB$4+Ayarlar!$C$6-1),Görevler!$D73&gt;=BB$4),IF(BB$4&lt;=Görevler!$C73+ROUND(Görevler!$F73*Görevler!$E73,0)-1,2,1),""))</f>
        <v/>
      </c>
      <c r="BC73" s="22" t="str">
        <f aca="false">IF(Görevler!$F73="","",IF(AND(Görevler!$C73&lt;=(BC$4+Ayarlar!$C$6-1),Görevler!$D73&gt;=BC$4),IF(BC$4&lt;=Görevler!$C73+ROUND(Görevler!$F73*Görevler!$E73,0)-1,2,1),""))</f>
        <v/>
      </c>
      <c r="BD73" s="22" t="str">
        <f aca="false">IF(Görevler!$F73="","",IF(AND(Görevler!$C73&lt;=(BD$4+Ayarlar!$C$6-1),Görevler!$D73&gt;=BD$4),IF(BD$4&lt;=Görevler!$C73+ROUND(Görevler!$F73*Görevler!$E73,0)-1,2,1),""))</f>
        <v/>
      </c>
      <c r="BE73" s="22" t="str">
        <f aca="false">IF(Görevler!$F73="","",IF(AND(Görevler!$C73&lt;=(BE$4+Ayarlar!$C$6-1),Görevler!$D73&gt;=BE$4),IF(BE$4&lt;=Görevler!$C73+ROUND(Görevler!$F73*Görevler!$E73,0)-1,2,1),""))</f>
        <v/>
      </c>
      <c r="BF73" s="22" t="str">
        <f aca="false">IF(Görevler!$F73="","",IF(AND(Görevler!$C73&lt;=(BF$4+Ayarlar!$C$6-1),Görevler!$D73&gt;=BF$4),IF(BF$4&lt;=Görevler!$C73+ROUND(Görevler!$F73*Görevler!$E73,0)-1,2,1),""))</f>
        <v/>
      </c>
      <c r="BG73" s="22" t="str">
        <f aca="false">IF(Görevler!$F73="","",IF(AND(Görevler!$C73&lt;=(BG$4+Ayarlar!$C$6-1),Görevler!$D73&gt;=BG$4),IF(BG$4&lt;=Görevler!$C73+ROUND(Görevler!$F73*Görevler!$E73,0)-1,2,1),""))</f>
        <v/>
      </c>
      <c r="BH73" s="22" t="str">
        <f aca="false">IF(Görevler!$F73="","",IF(AND(Görevler!$C73&lt;=(BH$4+Ayarlar!$C$6-1),Görevler!$D73&gt;=BH$4),IF(BH$4&lt;=Görevler!$C73+ROUND(Görevler!$F73*Görevler!$E73,0)-1,2,1),""))</f>
        <v/>
      </c>
      <c r="BI73" s="22" t="str">
        <f aca="false">IF(Görevler!$F73="","",IF(AND(Görevler!$C73&lt;=(BI$4+Ayarlar!$C$6-1),Görevler!$D73&gt;=BI$4),IF(BI$4&lt;=Görevler!$C73+ROUND(Görevler!$F73*Görevler!$E73,0)-1,2,1),""))</f>
        <v/>
      </c>
      <c r="BJ73" s="22" t="str">
        <f aca="false">IF(Görevler!$F73="","",IF(AND(Görevler!$C73&lt;=(BJ$4+Ayarlar!$C$6-1),Görevler!$D73&gt;=BJ$4),IF(BJ$4&lt;=Görevler!$C73+ROUND(Görevler!$F73*Görevler!$E73,0)-1,2,1),""))</f>
        <v/>
      </c>
    </row>
    <row r="74" customFormat="false" ht="15" hidden="false" customHeight="false" outlineLevel="0" collapsed="false">
      <c r="A74" s="21" t="str">
        <f aca="false">IF(Görevler!A74="","",Görevler!A74)</f>
        <v/>
      </c>
      <c r="B74" s="21" t="str">
        <f aca="false">IF(Görevler!A74="","",Görevler!B74&amp;"")</f>
        <v/>
      </c>
      <c r="C74" s="22" t="str">
        <f aca="false">IF(Görevler!$F74="","",IF(AND(Görevler!$C74&lt;=(C$4+Ayarlar!$C$6-1),Görevler!$D74&gt;=C$4),IF(C$4&lt;=Görevler!$C74+ROUND(Görevler!$F74*Görevler!$E74,0)-1,2,1),""))</f>
        <v/>
      </c>
      <c r="D74" s="22" t="str">
        <f aca="false">IF(Görevler!$F74="","",IF(AND(Görevler!$C74&lt;=(D$4+Ayarlar!$C$6-1),Görevler!$D74&gt;=D$4),IF(D$4&lt;=Görevler!$C74+ROUND(Görevler!$F74*Görevler!$E74,0)-1,2,1),""))</f>
        <v/>
      </c>
      <c r="E74" s="22" t="str">
        <f aca="false">IF(Görevler!$F74="","",IF(AND(Görevler!$C74&lt;=(E$4+Ayarlar!$C$6-1),Görevler!$D74&gt;=E$4),IF(E$4&lt;=Görevler!$C74+ROUND(Görevler!$F74*Görevler!$E74,0)-1,2,1),""))</f>
        <v/>
      </c>
      <c r="F74" s="22" t="str">
        <f aca="false">IF(Görevler!$F74="","",IF(AND(Görevler!$C74&lt;=(F$4+Ayarlar!$C$6-1),Görevler!$D74&gt;=F$4),IF(F$4&lt;=Görevler!$C74+ROUND(Görevler!$F74*Görevler!$E74,0)-1,2,1),""))</f>
        <v/>
      </c>
      <c r="G74" s="22" t="str">
        <f aca="false">IF(Görevler!$F74="","",IF(AND(Görevler!$C74&lt;=(G$4+Ayarlar!$C$6-1),Görevler!$D74&gt;=G$4),IF(G$4&lt;=Görevler!$C74+ROUND(Görevler!$F74*Görevler!$E74,0)-1,2,1),""))</f>
        <v/>
      </c>
      <c r="H74" s="22" t="str">
        <f aca="false">IF(Görevler!$F74="","",IF(AND(Görevler!$C74&lt;=(H$4+Ayarlar!$C$6-1),Görevler!$D74&gt;=H$4),IF(H$4&lt;=Görevler!$C74+ROUND(Görevler!$F74*Görevler!$E74,0)-1,2,1),""))</f>
        <v/>
      </c>
      <c r="I74" s="22" t="str">
        <f aca="false">IF(Görevler!$F74="","",IF(AND(Görevler!$C74&lt;=(I$4+Ayarlar!$C$6-1),Görevler!$D74&gt;=I$4),IF(I$4&lt;=Görevler!$C74+ROUND(Görevler!$F74*Görevler!$E74,0)-1,2,1),""))</f>
        <v/>
      </c>
      <c r="J74" s="22" t="str">
        <f aca="false">IF(Görevler!$F74="","",IF(AND(Görevler!$C74&lt;=(J$4+Ayarlar!$C$6-1),Görevler!$D74&gt;=J$4),IF(J$4&lt;=Görevler!$C74+ROUND(Görevler!$F74*Görevler!$E74,0)-1,2,1),""))</f>
        <v/>
      </c>
      <c r="K74" s="22" t="str">
        <f aca="false">IF(Görevler!$F74="","",IF(AND(Görevler!$C74&lt;=(K$4+Ayarlar!$C$6-1),Görevler!$D74&gt;=K$4),IF(K$4&lt;=Görevler!$C74+ROUND(Görevler!$F74*Görevler!$E74,0)-1,2,1),""))</f>
        <v/>
      </c>
      <c r="L74" s="22" t="str">
        <f aca="false">IF(Görevler!$F74="","",IF(AND(Görevler!$C74&lt;=(L$4+Ayarlar!$C$6-1),Görevler!$D74&gt;=L$4),IF(L$4&lt;=Görevler!$C74+ROUND(Görevler!$F74*Görevler!$E74,0)-1,2,1),""))</f>
        <v/>
      </c>
      <c r="M74" s="22" t="str">
        <f aca="false">IF(Görevler!$F74="","",IF(AND(Görevler!$C74&lt;=(M$4+Ayarlar!$C$6-1),Görevler!$D74&gt;=M$4),IF(M$4&lt;=Görevler!$C74+ROUND(Görevler!$F74*Görevler!$E74,0)-1,2,1),""))</f>
        <v/>
      </c>
      <c r="N74" s="22" t="str">
        <f aca="false">IF(Görevler!$F74="","",IF(AND(Görevler!$C74&lt;=(N$4+Ayarlar!$C$6-1),Görevler!$D74&gt;=N$4),IF(N$4&lt;=Görevler!$C74+ROUND(Görevler!$F74*Görevler!$E74,0)-1,2,1),""))</f>
        <v/>
      </c>
      <c r="O74" s="22" t="str">
        <f aca="false">IF(Görevler!$F74="","",IF(AND(Görevler!$C74&lt;=(O$4+Ayarlar!$C$6-1),Görevler!$D74&gt;=O$4),IF(O$4&lt;=Görevler!$C74+ROUND(Görevler!$F74*Görevler!$E74,0)-1,2,1),""))</f>
        <v/>
      </c>
      <c r="P74" s="22" t="str">
        <f aca="false">IF(Görevler!$F74="","",IF(AND(Görevler!$C74&lt;=(P$4+Ayarlar!$C$6-1),Görevler!$D74&gt;=P$4),IF(P$4&lt;=Görevler!$C74+ROUND(Görevler!$F74*Görevler!$E74,0)-1,2,1),""))</f>
        <v/>
      </c>
      <c r="Q74" s="22" t="str">
        <f aca="false">IF(Görevler!$F74="","",IF(AND(Görevler!$C74&lt;=(Q$4+Ayarlar!$C$6-1),Görevler!$D74&gt;=Q$4),IF(Q$4&lt;=Görevler!$C74+ROUND(Görevler!$F74*Görevler!$E74,0)-1,2,1),""))</f>
        <v/>
      </c>
      <c r="R74" s="22" t="str">
        <f aca="false">IF(Görevler!$F74="","",IF(AND(Görevler!$C74&lt;=(R$4+Ayarlar!$C$6-1),Görevler!$D74&gt;=R$4),IF(R$4&lt;=Görevler!$C74+ROUND(Görevler!$F74*Görevler!$E74,0)-1,2,1),""))</f>
        <v/>
      </c>
      <c r="S74" s="22" t="str">
        <f aca="false">IF(Görevler!$F74="","",IF(AND(Görevler!$C74&lt;=(S$4+Ayarlar!$C$6-1),Görevler!$D74&gt;=S$4),IF(S$4&lt;=Görevler!$C74+ROUND(Görevler!$F74*Görevler!$E74,0)-1,2,1),""))</f>
        <v/>
      </c>
      <c r="T74" s="22" t="str">
        <f aca="false">IF(Görevler!$F74="","",IF(AND(Görevler!$C74&lt;=(T$4+Ayarlar!$C$6-1),Görevler!$D74&gt;=T$4),IF(T$4&lt;=Görevler!$C74+ROUND(Görevler!$F74*Görevler!$E74,0)-1,2,1),""))</f>
        <v/>
      </c>
      <c r="U74" s="22" t="str">
        <f aca="false">IF(Görevler!$F74="","",IF(AND(Görevler!$C74&lt;=(U$4+Ayarlar!$C$6-1),Görevler!$D74&gt;=U$4),IF(U$4&lt;=Görevler!$C74+ROUND(Görevler!$F74*Görevler!$E74,0)-1,2,1),""))</f>
        <v/>
      </c>
      <c r="V74" s="22" t="str">
        <f aca="false">IF(Görevler!$F74="","",IF(AND(Görevler!$C74&lt;=(V$4+Ayarlar!$C$6-1),Görevler!$D74&gt;=V$4),IF(V$4&lt;=Görevler!$C74+ROUND(Görevler!$F74*Görevler!$E74,0)-1,2,1),""))</f>
        <v/>
      </c>
      <c r="W74" s="22" t="str">
        <f aca="false">IF(Görevler!$F74="","",IF(AND(Görevler!$C74&lt;=(W$4+Ayarlar!$C$6-1),Görevler!$D74&gt;=W$4),IF(W$4&lt;=Görevler!$C74+ROUND(Görevler!$F74*Görevler!$E74,0)-1,2,1),""))</f>
        <v/>
      </c>
      <c r="X74" s="22" t="str">
        <f aca="false">IF(Görevler!$F74="","",IF(AND(Görevler!$C74&lt;=(X$4+Ayarlar!$C$6-1),Görevler!$D74&gt;=X$4),IF(X$4&lt;=Görevler!$C74+ROUND(Görevler!$F74*Görevler!$E74,0)-1,2,1),""))</f>
        <v/>
      </c>
      <c r="Y74" s="22" t="str">
        <f aca="false">IF(Görevler!$F74="","",IF(AND(Görevler!$C74&lt;=(Y$4+Ayarlar!$C$6-1),Görevler!$D74&gt;=Y$4),IF(Y$4&lt;=Görevler!$C74+ROUND(Görevler!$F74*Görevler!$E74,0)-1,2,1),""))</f>
        <v/>
      </c>
      <c r="Z74" s="22" t="str">
        <f aca="false">IF(Görevler!$F74="","",IF(AND(Görevler!$C74&lt;=(Z$4+Ayarlar!$C$6-1),Görevler!$D74&gt;=Z$4),IF(Z$4&lt;=Görevler!$C74+ROUND(Görevler!$F74*Görevler!$E74,0)-1,2,1),""))</f>
        <v/>
      </c>
      <c r="AA74" s="22" t="str">
        <f aca="false">IF(Görevler!$F74="","",IF(AND(Görevler!$C74&lt;=(AA$4+Ayarlar!$C$6-1),Görevler!$D74&gt;=AA$4),IF(AA$4&lt;=Görevler!$C74+ROUND(Görevler!$F74*Görevler!$E74,0)-1,2,1),""))</f>
        <v/>
      </c>
      <c r="AB74" s="22" t="str">
        <f aca="false">IF(Görevler!$F74="","",IF(AND(Görevler!$C74&lt;=(AB$4+Ayarlar!$C$6-1),Görevler!$D74&gt;=AB$4),IF(AB$4&lt;=Görevler!$C74+ROUND(Görevler!$F74*Görevler!$E74,0)-1,2,1),""))</f>
        <v/>
      </c>
      <c r="AC74" s="22" t="str">
        <f aca="false">IF(Görevler!$F74="","",IF(AND(Görevler!$C74&lt;=(AC$4+Ayarlar!$C$6-1),Görevler!$D74&gt;=AC$4),IF(AC$4&lt;=Görevler!$C74+ROUND(Görevler!$F74*Görevler!$E74,0)-1,2,1),""))</f>
        <v/>
      </c>
      <c r="AD74" s="22" t="str">
        <f aca="false">IF(Görevler!$F74="","",IF(AND(Görevler!$C74&lt;=(AD$4+Ayarlar!$C$6-1),Görevler!$D74&gt;=AD$4),IF(AD$4&lt;=Görevler!$C74+ROUND(Görevler!$F74*Görevler!$E74,0)-1,2,1),""))</f>
        <v/>
      </c>
      <c r="AE74" s="22" t="str">
        <f aca="false">IF(Görevler!$F74="","",IF(AND(Görevler!$C74&lt;=(AE$4+Ayarlar!$C$6-1),Görevler!$D74&gt;=AE$4),IF(AE$4&lt;=Görevler!$C74+ROUND(Görevler!$F74*Görevler!$E74,0)-1,2,1),""))</f>
        <v/>
      </c>
      <c r="AF74" s="22" t="str">
        <f aca="false">IF(Görevler!$F74="","",IF(AND(Görevler!$C74&lt;=(AF$4+Ayarlar!$C$6-1),Görevler!$D74&gt;=AF$4),IF(AF$4&lt;=Görevler!$C74+ROUND(Görevler!$F74*Görevler!$E74,0)-1,2,1),""))</f>
        <v/>
      </c>
      <c r="AG74" s="22" t="str">
        <f aca="false">IF(Görevler!$F74="","",IF(AND(Görevler!$C74&lt;=(AG$4+Ayarlar!$C$6-1),Görevler!$D74&gt;=AG$4),IF(AG$4&lt;=Görevler!$C74+ROUND(Görevler!$F74*Görevler!$E74,0)-1,2,1),""))</f>
        <v/>
      </c>
      <c r="AH74" s="22" t="str">
        <f aca="false">IF(Görevler!$F74="","",IF(AND(Görevler!$C74&lt;=(AH$4+Ayarlar!$C$6-1),Görevler!$D74&gt;=AH$4),IF(AH$4&lt;=Görevler!$C74+ROUND(Görevler!$F74*Görevler!$E74,0)-1,2,1),""))</f>
        <v/>
      </c>
      <c r="AI74" s="22" t="str">
        <f aca="false">IF(Görevler!$F74="","",IF(AND(Görevler!$C74&lt;=(AI$4+Ayarlar!$C$6-1),Görevler!$D74&gt;=AI$4),IF(AI$4&lt;=Görevler!$C74+ROUND(Görevler!$F74*Görevler!$E74,0)-1,2,1),""))</f>
        <v/>
      </c>
      <c r="AJ74" s="22" t="str">
        <f aca="false">IF(Görevler!$F74="","",IF(AND(Görevler!$C74&lt;=(AJ$4+Ayarlar!$C$6-1),Görevler!$D74&gt;=AJ$4),IF(AJ$4&lt;=Görevler!$C74+ROUND(Görevler!$F74*Görevler!$E74,0)-1,2,1),""))</f>
        <v/>
      </c>
      <c r="AK74" s="22" t="str">
        <f aca="false">IF(Görevler!$F74="","",IF(AND(Görevler!$C74&lt;=(AK$4+Ayarlar!$C$6-1),Görevler!$D74&gt;=AK$4),IF(AK$4&lt;=Görevler!$C74+ROUND(Görevler!$F74*Görevler!$E74,0)-1,2,1),""))</f>
        <v/>
      </c>
      <c r="AL74" s="22" t="str">
        <f aca="false">IF(Görevler!$F74="","",IF(AND(Görevler!$C74&lt;=(AL$4+Ayarlar!$C$6-1),Görevler!$D74&gt;=AL$4),IF(AL$4&lt;=Görevler!$C74+ROUND(Görevler!$F74*Görevler!$E74,0)-1,2,1),""))</f>
        <v/>
      </c>
      <c r="AM74" s="22" t="str">
        <f aca="false">IF(Görevler!$F74="","",IF(AND(Görevler!$C74&lt;=(AM$4+Ayarlar!$C$6-1),Görevler!$D74&gt;=AM$4),IF(AM$4&lt;=Görevler!$C74+ROUND(Görevler!$F74*Görevler!$E74,0)-1,2,1),""))</f>
        <v/>
      </c>
      <c r="AN74" s="22" t="str">
        <f aca="false">IF(Görevler!$F74="","",IF(AND(Görevler!$C74&lt;=(AN$4+Ayarlar!$C$6-1),Görevler!$D74&gt;=AN$4),IF(AN$4&lt;=Görevler!$C74+ROUND(Görevler!$F74*Görevler!$E74,0)-1,2,1),""))</f>
        <v/>
      </c>
      <c r="AO74" s="22" t="str">
        <f aca="false">IF(Görevler!$F74="","",IF(AND(Görevler!$C74&lt;=(AO$4+Ayarlar!$C$6-1),Görevler!$D74&gt;=AO$4),IF(AO$4&lt;=Görevler!$C74+ROUND(Görevler!$F74*Görevler!$E74,0)-1,2,1),""))</f>
        <v/>
      </c>
      <c r="AP74" s="22" t="str">
        <f aca="false">IF(Görevler!$F74="","",IF(AND(Görevler!$C74&lt;=(AP$4+Ayarlar!$C$6-1),Görevler!$D74&gt;=AP$4),IF(AP$4&lt;=Görevler!$C74+ROUND(Görevler!$F74*Görevler!$E74,0)-1,2,1),""))</f>
        <v/>
      </c>
      <c r="AQ74" s="22" t="str">
        <f aca="false">IF(Görevler!$F74="","",IF(AND(Görevler!$C74&lt;=(AQ$4+Ayarlar!$C$6-1),Görevler!$D74&gt;=AQ$4),IF(AQ$4&lt;=Görevler!$C74+ROUND(Görevler!$F74*Görevler!$E74,0)-1,2,1),""))</f>
        <v/>
      </c>
      <c r="AR74" s="22" t="str">
        <f aca="false">IF(Görevler!$F74="","",IF(AND(Görevler!$C74&lt;=(AR$4+Ayarlar!$C$6-1),Görevler!$D74&gt;=AR$4),IF(AR$4&lt;=Görevler!$C74+ROUND(Görevler!$F74*Görevler!$E74,0)-1,2,1),""))</f>
        <v/>
      </c>
      <c r="AS74" s="22" t="str">
        <f aca="false">IF(Görevler!$F74="","",IF(AND(Görevler!$C74&lt;=(AS$4+Ayarlar!$C$6-1),Görevler!$D74&gt;=AS$4),IF(AS$4&lt;=Görevler!$C74+ROUND(Görevler!$F74*Görevler!$E74,0)-1,2,1),""))</f>
        <v/>
      </c>
      <c r="AT74" s="22" t="str">
        <f aca="false">IF(Görevler!$F74="","",IF(AND(Görevler!$C74&lt;=(AT$4+Ayarlar!$C$6-1),Görevler!$D74&gt;=AT$4),IF(AT$4&lt;=Görevler!$C74+ROUND(Görevler!$F74*Görevler!$E74,0)-1,2,1),""))</f>
        <v/>
      </c>
      <c r="AU74" s="22" t="str">
        <f aca="false">IF(Görevler!$F74="","",IF(AND(Görevler!$C74&lt;=(AU$4+Ayarlar!$C$6-1),Görevler!$D74&gt;=AU$4),IF(AU$4&lt;=Görevler!$C74+ROUND(Görevler!$F74*Görevler!$E74,0)-1,2,1),""))</f>
        <v/>
      </c>
      <c r="AV74" s="22" t="str">
        <f aca="false">IF(Görevler!$F74="","",IF(AND(Görevler!$C74&lt;=(AV$4+Ayarlar!$C$6-1),Görevler!$D74&gt;=AV$4),IF(AV$4&lt;=Görevler!$C74+ROUND(Görevler!$F74*Görevler!$E74,0)-1,2,1),""))</f>
        <v/>
      </c>
      <c r="AW74" s="22" t="str">
        <f aca="false">IF(Görevler!$F74="","",IF(AND(Görevler!$C74&lt;=(AW$4+Ayarlar!$C$6-1),Görevler!$D74&gt;=AW$4),IF(AW$4&lt;=Görevler!$C74+ROUND(Görevler!$F74*Görevler!$E74,0)-1,2,1),""))</f>
        <v/>
      </c>
      <c r="AX74" s="22" t="str">
        <f aca="false">IF(Görevler!$F74="","",IF(AND(Görevler!$C74&lt;=(AX$4+Ayarlar!$C$6-1),Görevler!$D74&gt;=AX$4),IF(AX$4&lt;=Görevler!$C74+ROUND(Görevler!$F74*Görevler!$E74,0)-1,2,1),""))</f>
        <v/>
      </c>
      <c r="AY74" s="22" t="str">
        <f aca="false">IF(Görevler!$F74="","",IF(AND(Görevler!$C74&lt;=(AY$4+Ayarlar!$C$6-1),Görevler!$D74&gt;=AY$4),IF(AY$4&lt;=Görevler!$C74+ROUND(Görevler!$F74*Görevler!$E74,0)-1,2,1),""))</f>
        <v/>
      </c>
      <c r="AZ74" s="22" t="str">
        <f aca="false">IF(Görevler!$F74="","",IF(AND(Görevler!$C74&lt;=(AZ$4+Ayarlar!$C$6-1),Görevler!$D74&gt;=AZ$4),IF(AZ$4&lt;=Görevler!$C74+ROUND(Görevler!$F74*Görevler!$E74,0)-1,2,1),""))</f>
        <v/>
      </c>
      <c r="BA74" s="22" t="str">
        <f aca="false">IF(Görevler!$F74="","",IF(AND(Görevler!$C74&lt;=(BA$4+Ayarlar!$C$6-1),Görevler!$D74&gt;=BA$4),IF(BA$4&lt;=Görevler!$C74+ROUND(Görevler!$F74*Görevler!$E74,0)-1,2,1),""))</f>
        <v/>
      </c>
      <c r="BB74" s="22" t="str">
        <f aca="false">IF(Görevler!$F74="","",IF(AND(Görevler!$C74&lt;=(BB$4+Ayarlar!$C$6-1),Görevler!$D74&gt;=BB$4),IF(BB$4&lt;=Görevler!$C74+ROUND(Görevler!$F74*Görevler!$E74,0)-1,2,1),""))</f>
        <v/>
      </c>
      <c r="BC74" s="22" t="str">
        <f aca="false">IF(Görevler!$F74="","",IF(AND(Görevler!$C74&lt;=(BC$4+Ayarlar!$C$6-1),Görevler!$D74&gt;=BC$4),IF(BC$4&lt;=Görevler!$C74+ROUND(Görevler!$F74*Görevler!$E74,0)-1,2,1),""))</f>
        <v/>
      </c>
      <c r="BD74" s="22" t="str">
        <f aca="false">IF(Görevler!$F74="","",IF(AND(Görevler!$C74&lt;=(BD$4+Ayarlar!$C$6-1),Görevler!$D74&gt;=BD$4),IF(BD$4&lt;=Görevler!$C74+ROUND(Görevler!$F74*Görevler!$E74,0)-1,2,1),""))</f>
        <v/>
      </c>
      <c r="BE74" s="22" t="str">
        <f aca="false">IF(Görevler!$F74="","",IF(AND(Görevler!$C74&lt;=(BE$4+Ayarlar!$C$6-1),Görevler!$D74&gt;=BE$4),IF(BE$4&lt;=Görevler!$C74+ROUND(Görevler!$F74*Görevler!$E74,0)-1,2,1),""))</f>
        <v/>
      </c>
      <c r="BF74" s="22" t="str">
        <f aca="false">IF(Görevler!$F74="","",IF(AND(Görevler!$C74&lt;=(BF$4+Ayarlar!$C$6-1),Görevler!$D74&gt;=BF$4),IF(BF$4&lt;=Görevler!$C74+ROUND(Görevler!$F74*Görevler!$E74,0)-1,2,1),""))</f>
        <v/>
      </c>
      <c r="BG74" s="22" t="str">
        <f aca="false">IF(Görevler!$F74="","",IF(AND(Görevler!$C74&lt;=(BG$4+Ayarlar!$C$6-1),Görevler!$D74&gt;=BG$4),IF(BG$4&lt;=Görevler!$C74+ROUND(Görevler!$F74*Görevler!$E74,0)-1,2,1),""))</f>
        <v/>
      </c>
      <c r="BH74" s="22" t="str">
        <f aca="false">IF(Görevler!$F74="","",IF(AND(Görevler!$C74&lt;=(BH$4+Ayarlar!$C$6-1),Görevler!$D74&gt;=BH$4),IF(BH$4&lt;=Görevler!$C74+ROUND(Görevler!$F74*Görevler!$E74,0)-1,2,1),""))</f>
        <v/>
      </c>
      <c r="BI74" s="22" t="str">
        <f aca="false">IF(Görevler!$F74="","",IF(AND(Görevler!$C74&lt;=(BI$4+Ayarlar!$C$6-1),Görevler!$D74&gt;=BI$4),IF(BI$4&lt;=Görevler!$C74+ROUND(Görevler!$F74*Görevler!$E74,0)-1,2,1),""))</f>
        <v/>
      </c>
      <c r="BJ74" s="22" t="str">
        <f aca="false">IF(Görevler!$F74="","",IF(AND(Görevler!$C74&lt;=(BJ$4+Ayarlar!$C$6-1),Görevler!$D74&gt;=BJ$4),IF(BJ$4&lt;=Görevler!$C74+ROUND(Görevler!$F74*Görevler!$E74,0)-1,2,1),""))</f>
        <v/>
      </c>
    </row>
    <row r="75" customFormat="false" ht="15" hidden="false" customHeight="false" outlineLevel="0" collapsed="false">
      <c r="A75" s="21" t="str">
        <f aca="false">IF(Görevler!A75="","",Görevler!A75)</f>
        <v/>
      </c>
      <c r="B75" s="21" t="str">
        <f aca="false">IF(Görevler!A75="","",Görevler!B75&amp;"")</f>
        <v/>
      </c>
      <c r="C75" s="22" t="str">
        <f aca="false">IF(Görevler!$F75="","",IF(AND(Görevler!$C75&lt;=(C$4+Ayarlar!$C$6-1),Görevler!$D75&gt;=C$4),IF(C$4&lt;=Görevler!$C75+ROUND(Görevler!$F75*Görevler!$E75,0)-1,2,1),""))</f>
        <v/>
      </c>
      <c r="D75" s="22" t="str">
        <f aca="false">IF(Görevler!$F75="","",IF(AND(Görevler!$C75&lt;=(D$4+Ayarlar!$C$6-1),Görevler!$D75&gt;=D$4),IF(D$4&lt;=Görevler!$C75+ROUND(Görevler!$F75*Görevler!$E75,0)-1,2,1),""))</f>
        <v/>
      </c>
      <c r="E75" s="22" t="str">
        <f aca="false">IF(Görevler!$F75="","",IF(AND(Görevler!$C75&lt;=(E$4+Ayarlar!$C$6-1),Görevler!$D75&gt;=E$4),IF(E$4&lt;=Görevler!$C75+ROUND(Görevler!$F75*Görevler!$E75,0)-1,2,1),""))</f>
        <v/>
      </c>
      <c r="F75" s="22" t="str">
        <f aca="false">IF(Görevler!$F75="","",IF(AND(Görevler!$C75&lt;=(F$4+Ayarlar!$C$6-1),Görevler!$D75&gt;=F$4),IF(F$4&lt;=Görevler!$C75+ROUND(Görevler!$F75*Görevler!$E75,0)-1,2,1),""))</f>
        <v/>
      </c>
      <c r="G75" s="22" t="str">
        <f aca="false">IF(Görevler!$F75="","",IF(AND(Görevler!$C75&lt;=(G$4+Ayarlar!$C$6-1),Görevler!$D75&gt;=G$4),IF(G$4&lt;=Görevler!$C75+ROUND(Görevler!$F75*Görevler!$E75,0)-1,2,1),""))</f>
        <v/>
      </c>
      <c r="H75" s="22" t="str">
        <f aca="false">IF(Görevler!$F75="","",IF(AND(Görevler!$C75&lt;=(H$4+Ayarlar!$C$6-1),Görevler!$D75&gt;=H$4),IF(H$4&lt;=Görevler!$C75+ROUND(Görevler!$F75*Görevler!$E75,0)-1,2,1),""))</f>
        <v/>
      </c>
      <c r="I75" s="22" t="str">
        <f aca="false">IF(Görevler!$F75="","",IF(AND(Görevler!$C75&lt;=(I$4+Ayarlar!$C$6-1),Görevler!$D75&gt;=I$4),IF(I$4&lt;=Görevler!$C75+ROUND(Görevler!$F75*Görevler!$E75,0)-1,2,1),""))</f>
        <v/>
      </c>
      <c r="J75" s="22" t="str">
        <f aca="false">IF(Görevler!$F75="","",IF(AND(Görevler!$C75&lt;=(J$4+Ayarlar!$C$6-1),Görevler!$D75&gt;=J$4),IF(J$4&lt;=Görevler!$C75+ROUND(Görevler!$F75*Görevler!$E75,0)-1,2,1),""))</f>
        <v/>
      </c>
      <c r="K75" s="22" t="str">
        <f aca="false">IF(Görevler!$F75="","",IF(AND(Görevler!$C75&lt;=(K$4+Ayarlar!$C$6-1),Görevler!$D75&gt;=K$4),IF(K$4&lt;=Görevler!$C75+ROUND(Görevler!$F75*Görevler!$E75,0)-1,2,1),""))</f>
        <v/>
      </c>
      <c r="L75" s="22" t="str">
        <f aca="false">IF(Görevler!$F75="","",IF(AND(Görevler!$C75&lt;=(L$4+Ayarlar!$C$6-1),Görevler!$D75&gt;=L$4),IF(L$4&lt;=Görevler!$C75+ROUND(Görevler!$F75*Görevler!$E75,0)-1,2,1),""))</f>
        <v/>
      </c>
      <c r="M75" s="22" t="str">
        <f aca="false">IF(Görevler!$F75="","",IF(AND(Görevler!$C75&lt;=(M$4+Ayarlar!$C$6-1),Görevler!$D75&gt;=M$4),IF(M$4&lt;=Görevler!$C75+ROUND(Görevler!$F75*Görevler!$E75,0)-1,2,1),""))</f>
        <v/>
      </c>
      <c r="N75" s="22" t="str">
        <f aca="false">IF(Görevler!$F75="","",IF(AND(Görevler!$C75&lt;=(N$4+Ayarlar!$C$6-1),Görevler!$D75&gt;=N$4),IF(N$4&lt;=Görevler!$C75+ROUND(Görevler!$F75*Görevler!$E75,0)-1,2,1),""))</f>
        <v/>
      </c>
      <c r="O75" s="22" t="str">
        <f aca="false">IF(Görevler!$F75="","",IF(AND(Görevler!$C75&lt;=(O$4+Ayarlar!$C$6-1),Görevler!$D75&gt;=O$4),IF(O$4&lt;=Görevler!$C75+ROUND(Görevler!$F75*Görevler!$E75,0)-1,2,1),""))</f>
        <v/>
      </c>
      <c r="P75" s="22" t="str">
        <f aca="false">IF(Görevler!$F75="","",IF(AND(Görevler!$C75&lt;=(P$4+Ayarlar!$C$6-1),Görevler!$D75&gt;=P$4),IF(P$4&lt;=Görevler!$C75+ROUND(Görevler!$F75*Görevler!$E75,0)-1,2,1),""))</f>
        <v/>
      </c>
      <c r="Q75" s="22" t="str">
        <f aca="false">IF(Görevler!$F75="","",IF(AND(Görevler!$C75&lt;=(Q$4+Ayarlar!$C$6-1),Görevler!$D75&gt;=Q$4),IF(Q$4&lt;=Görevler!$C75+ROUND(Görevler!$F75*Görevler!$E75,0)-1,2,1),""))</f>
        <v/>
      </c>
      <c r="R75" s="22" t="str">
        <f aca="false">IF(Görevler!$F75="","",IF(AND(Görevler!$C75&lt;=(R$4+Ayarlar!$C$6-1),Görevler!$D75&gt;=R$4),IF(R$4&lt;=Görevler!$C75+ROUND(Görevler!$F75*Görevler!$E75,0)-1,2,1),""))</f>
        <v/>
      </c>
      <c r="S75" s="22" t="str">
        <f aca="false">IF(Görevler!$F75="","",IF(AND(Görevler!$C75&lt;=(S$4+Ayarlar!$C$6-1),Görevler!$D75&gt;=S$4),IF(S$4&lt;=Görevler!$C75+ROUND(Görevler!$F75*Görevler!$E75,0)-1,2,1),""))</f>
        <v/>
      </c>
      <c r="T75" s="22" t="str">
        <f aca="false">IF(Görevler!$F75="","",IF(AND(Görevler!$C75&lt;=(T$4+Ayarlar!$C$6-1),Görevler!$D75&gt;=T$4),IF(T$4&lt;=Görevler!$C75+ROUND(Görevler!$F75*Görevler!$E75,0)-1,2,1),""))</f>
        <v/>
      </c>
      <c r="U75" s="22" t="str">
        <f aca="false">IF(Görevler!$F75="","",IF(AND(Görevler!$C75&lt;=(U$4+Ayarlar!$C$6-1),Görevler!$D75&gt;=U$4),IF(U$4&lt;=Görevler!$C75+ROUND(Görevler!$F75*Görevler!$E75,0)-1,2,1),""))</f>
        <v/>
      </c>
      <c r="V75" s="22" t="str">
        <f aca="false">IF(Görevler!$F75="","",IF(AND(Görevler!$C75&lt;=(V$4+Ayarlar!$C$6-1),Görevler!$D75&gt;=V$4),IF(V$4&lt;=Görevler!$C75+ROUND(Görevler!$F75*Görevler!$E75,0)-1,2,1),""))</f>
        <v/>
      </c>
      <c r="W75" s="22" t="str">
        <f aca="false">IF(Görevler!$F75="","",IF(AND(Görevler!$C75&lt;=(W$4+Ayarlar!$C$6-1),Görevler!$D75&gt;=W$4),IF(W$4&lt;=Görevler!$C75+ROUND(Görevler!$F75*Görevler!$E75,0)-1,2,1),""))</f>
        <v/>
      </c>
      <c r="X75" s="22" t="str">
        <f aca="false">IF(Görevler!$F75="","",IF(AND(Görevler!$C75&lt;=(X$4+Ayarlar!$C$6-1),Görevler!$D75&gt;=X$4),IF(X$4&lt;=Görevler!$C75+ROUND(Görevler!$F75*Görevler!$E75,0)-1,2,1),""))</f>
        <v/>
      </c>
      <c r="Y75" s="22" t="str">
        <f aca="false">IF(Görevler!$F75="","",IF(AND(Görevler!$C75&lt;=(Y$4+Ayarlar!$C$6-1),Görevler!$D75&gt;=Y$4),IF(Y$4&lt;=Görevler!$C75+ROUND(Görevler!$F75*Görevler!$E75,0)-1,2,1),""))</f>
        <v/>
      </c>
      <c r="Z75" s="22" t="str">
        <f aca="false">IF(Görevler!$F75="","",IF(AND(Görevler!$C75&lt;=(Z$4+Ayarlar!$C$6-1),Görevler!$D75&gt;=Z$4),IF(Z$4&lt;=Görevler!$C75+ROUND(Görevler!$F75*Görevler!$E75,0)-1,2,1),""))</f>
        <v/>
      </c>
      <c r="AA75" s="22" t="str">
        <f aca="false">IF(Görevler!$F75="","",IF(AND(Görevler!$C75&lt;=(AA$4+Ayarlar!$C$6-1),Görevler!$D75&gt;=AA$4),IF(AA$4&lt;=Görevler!$C75+ROUND(Görevler!$F75*Görevler!$E75,0)-1,2,1),""))</f>
        <v/>
      </c>
      <c r="AB75" s="22" t="str">
        <f aca="false">IF(Görevler!$F75="","",IF(AND(Görevler!$C75&lt;=(AB$4+Ayarlar!$C$6-1),Görevler!$D75&gt;=AB$4),IF(AB$4&lt;=Görevler!$C75+ROUND(Görevler!$F75*Görevler!$E75,0)-1,2,1),""))</f>
        <v/>
      </c>
      <c r="AC75" s="22" t="str">
        <f aca="false">IF(Görevler!$F75="","",IF(AND(Görevler!$C75&lt;=(AC$4+Ayarlar!$C$6-1),Görevler!$D75&gt;=AC$4),IF(AC$4&lt;=Görevler!$C75+ROUND(Görevler!$F75*Görevler!$E75,0)-1,2,1),""))</f>
        <v/>
      </c>
      <c r="AD75" s="22" t="str">
        <f aca="false">IF(Görevler!$F75="","",IF(AND(Görevler!$C75&lt;=(AD$4+Ayarlar!$C$6-1),Görevler!$D75&gt;=AD$4),IF(AD$4&lt;=Görevler!$C75+ROUND(Görevler!$F75*Görevler!$E75,0)-1,2,1),""))</f>
        <v/>
      </c>
      <c r="AE75" s="22" t="str">
        <f aca="false">IF(Görevler!$F75="","",IF(AND(Görevler!$C75&lt;=(AE$4+Ayarlar!$C$6-1),Görevler!$D75&gt;=AE$4),IF(AE$4&lt;=Görevler!$C75+ROUND(Görevler!$F75*Görevler!$E75,0)-1,2,1),""))</f>
        <v/>
      </c>
      <c r="AF75" s="22" t="str">
        <f aca="false">IF(Görevler!$F75="","",IF(AND(Görevler!$C75&lt;=(AF$4+Ayarlar!$C$6-1),Görevler!$D75&gt;=AF$4),IF(AF$4&lt;=Görevler!$C75+ROUND(Görevler!$F75*Görevler!$E75,0)-1,2,1),""))</f>
        <v/>
      </c>
      <c r="AG75" s="22" t="str">
        <f aca="false">IF(Görevler!$F75="","",IF(AND(Görevler!$C75&lt;=(AG$4+Ayarlar!$C$6-1),Görevler!$D75&gt;=AG$4),IF(AG$4&lt;=Görevler!$C75+ROUND(Görevler!$F75*Görevler!$E75,0)-1,2,1),""))</f>
        <v/>
      </c>
      <c r="AH75" s="22" t="str">
        <f aca="false">IF(Görevler!$F75="","",IF(AND(Görevler!$C75&lt;=(AH$4+Ayarlar!$C$6-1),Görevler!$D75&gt;=AH$4),IF(AH$4&lt;=Görevler!$C75+ROUND(Görevler!$F75*Görevler!$E75,0)-1,2,1),""))</f>
        <v/>
      </c>
      <c r="AI75" s="22" t="str">
        <f aca="false">IF(Görevler!$F75="","",IF(AND(Görevler!$C75&lt;=(AI$4+Ayarlar!$C$6-1),Görevler!$D75&gt;=AI$4),IF(AI$4&lt;=Görevler!$C75+ROUND(Görevler!$F75*Görevler!$E75,0)-1,2,1),""))</f>
        <v/>
      </c>
      <c r="AJ75" s="22" t="str">
        <f aca="false">IF(Görevler!$F75="","",IF(AND(Görevler!$C75&lt;=(AJ$4+Ayarlar!$C$6-1),Görevler!$D75&gt;=AJ$4),IF(AJ$4&lt;=Görevler!$C75+ROUND(Görevler!$F75*Görevler!$E75,0)-1,2,1),""))</f>
        <v/>
      </c>
      <c r="AK75" s="22" t="str">
        <f aca="false">IF(Görevler!$F75="","",IF(AND(Görevler!$C75&lt;=(AK$4+Ayarlar!$C$6-1),Görevler!$D75&gt;=AK$4),IF(AK$4&lt;=Görevler!$C75+ROUND(Görevler!$F75*Görevler!$E75,0)-1,2,1),""))</f>
        <v/>
      </c>
      <c r="AL75" s="22" t="str">
        <f aca="false">IF(Görevler!$F75="","",IF(AND(Görevler!$C75&lt;=(AL$4+Ayarlar!$C$6-1),Görevler!$D75&gt;=AL$4),IF(AL$4&lt;=Görevler!$C75+ROUND(Görevler!$F75*Görevler!$E75,0)-1,2,1),""))</f>
        <v/>
      </c>
      <c r="AM75" s="22" t="str">
        <f aca="false">IF(Görevler!$F75="","",IF(AND(Görevler!$C75&lt;=(AM$4+Ayarlar!$C$6-1),Görevler!$D75&gt;=AM$4),IF(AM$4&lt;=Görevler!$C75+ROUND(Görevler!$F75*Görevler!$E75,0)-1,2,1),""))</f>
        <v/>
      </c>
      <c r="AN75" s="22" t="str">
        <f aca="false">IF(Görevler!$F75="","",IF(AND(Görevler!$C75&lt;=(AN$4+Ayarlar!$C$6-1),Görevler!$D75&gt;=AN$4),IF(AN$4&lt;=Görevler!$C75+ROUND(Görevler!$F75*Görevler!$E75,0)-1,2,1),""))</f>
        <v/>
      </c>
      <c r="AO75" s="22" t="str">
        <f aca="false">IF(Görevler!$F75="","",IF(AND(Görevler!$C75&lt;=(AO$4+Ayarlar!$C$6-1),Görevler!$D75&gt;=AO$4),IF(AO$4&lt;=Görevler!$C75+ROUND(Görevler!$F75*Görevler!$E75,0)-1,2,1),""))</f>
        <v/>
      </c>
      <c r="AP75" s="22" t="str">
        <f aca="false">IF(Görevler!$F75="","",IF(AND(Görevler!$C75&lt;=(AP$4+Ayarlar!$C$6-1),Görevler!$D75&gt;=AP$4),IF(AP$4&lt;=Görevler!$C75+ROUND(Görevler!$F75*Görevler!$E75,0)-1,2,1),""))</f>
        <v/>
      </c>
      <c r="AQ75" s="22" t="str">
        <f aca="false">IF(Görevler!$F75="","",IF(AND(Görevler!$C75&lt;=(AQ$4+Ayarlar!$C$6-1),Görevler!$D75&gt;=AQ$4),IF(AQ$4&lt;=Görevler!$C75+ROUND(Görevler!$F75*Görevler!$E75,0)-1,2,1),""))</f>
        <v/>
      </c>
      <c r="AR75" s="22" t="str">
        <f aca="false">IF(Görevler!$F75="","",IF(AND(Görevler!$C75&lt;=(AR$4+Ayarlar!$C$6-1),Görevler!$D75&gt;=AR$4),IF(AR$4&lt;=Görevler!$C75+ROUND(Görevler!$F75*Görevler!$E75,0)-1,2,1),""))</f>
        <v/>
      </c>
      <c r="AS75" s="22" t="str">
        <f aca="false">IF(Görevler!$F75="","",IF(AND(Görevler!$C75&lt;=(AS$4+Ayarlar!$C$6-1),Görevler!$D75&gt;=AS$4),IF(AS$4&lt;=Görevler!$C75+ROUND(Görevler!$F75*Görevler!$E75,0)-1,2,1),""))</f>
        <v/>
      </c>
      <c r="AT75" s="22" t="str">
        <f aca="false">IF(Görevler!$F75="","",IF(AND(Görevler!$C75&lt;=(AT$4+Ayarlar!$C$6-1),Görevler!$D75&gt;=AT$4),IF(AT$4&lt;=Görevler!$C75+ROUND(Görevler!$F75*Görevler!$E75,0)-1,2,1),""))</f>
        <v/>
      </c>
      <c r="AU75" s="22" t="str">
        <f aca="false">IF(Görevler!$F75="","",IF(AND(Görevler!$C75&lt;=(AU$4+Ayarlar!$C$6-1),Görevler!$D75&gt;=AU$4),IF(AU$4&lt;=Görevler!$C75+ROUND(Görevler!$F75*Görevler!$E75,0)-1,2,1),""))</f>
        <v/>
      </c>
      <c r="AV75" s="22" t="str">
        <f aca="false">IF(Görevler!$F75="","",IF(AND(Görevler!$C75&lt;=(AV$4+Ayarlar!$C$6-1),Görevler!$D75&gt;=AV$4),IF(AV$4&lt;=Görevler!$C75+ROUND(Görevler!$F75*Görevler!$E75,0)-1,2,1),""))</f>
        <v/>
      </c>
      <c r="AW75" s="22" t="str">
        <f aca="false">IF(Görevler!$F75="","",IF(AND(Görevler!$C75&lt;=(AW$4+Ayarlar!$C$6-1),Görevler!$D75&gt;=AW$4),IF(AW$4&lt;=Görevler!$C75+ROUND(Görevler!$F75*Görevler!$E75,0)-1,2,1),""))</f>
        <v/>
      </c>
      <c r="AX75" s="22" t="str">
        <f aca="false">IF(Görevler!$F75="","",IF(AND(Görevler!$C75&lt;=(AX$4+Ayarlar!$C$6-1),Görevler!$D75&gt;=AX$4),IF(AX$4&lt;=Görevler!$C75+ROUND(Görevler!$F75*Görevler!$E75,0)-1,2,1),""))</f>
        <v/>
      </c>
      <c r="AY75" s="22" t="str">
        <f aca="false">IF(Görevler!$F75="","",IF(AND(Görevler!$C75&lt;=(AY$4+Ayarlar!$C$6-1),Görevler!$D75&gt;=AY$4),IF(AY$4&lt;=Görevler!$C75+ROUND(Görevler!$F75*Görevler!$E75,0)-1,2,1),""))</f>
        <v/>
      </c>
      <c r="AZ75" s="22" t="str">
        <f aca="false">IF(Görevler!$F75="","",IF(AND(Görevler!$C75&lt;=(AZ$4+Ayarlar!$C$6-1),Görevler!$D75&gt;=AZ$4),IF(AZ$4&lt;=Görevler!$C75+ROUND(Görevler!$F75*Görevler!$E75,0)-1,2,1),""))</f>
        <v/>
      </c>
      <c r="BA75" s="22" t="str">
        <f aca="false">IF(Görevler!$F75="","",IF(AND(Görevler!$C75&lt;=(BA$4+Ayarlar!$C$6-1),Görevler!$D75&gt;=BA$4),IF(BA$4&lt;=Görevler!$C75+ROUND(Görevler!$F75*Görevler!$E75,0)-1,2,1),""))</f>
        <v/>
      </c>
      <c r="BB75" s="22" t="str">
        <f aca="false">IF(Görevler!$F75="","",IF(AND(Görevler!$C75&lt;=(BB$4+Ayarlar!$C$6-1),Görevler!$D75&gt;=BB$4),IF(BB$4&lt;=Görevler!$C75+ROUND(Görevler!$F75*Görevler!$E75,0)-1,2,1),""))</f>
        <v/>
      </c>
      <c r="BC75" s="22" t="str">
        <f aca="false">IF(Görevler!$F75="","",IF(AND(Görevler!$C75&lt;=(BC$4+Ayarlar!$C$6-1),Görevler!$D75&gt;=BC$4),IF(BC$4&lt;=Görevler!$C75+ROUND(Görevler!$F75*Görevler!$E75,0)-1,2,1),""))</f>
        <v/>
      </c>
      <c r="BD75" s="22" t="str">
        <f aca="false">IF(Görevler!$F75="","",IF(AND(Görevler!$C75&lt;=(BD$4+Ayarlar!$C$6-1),Görevler!$D75&gt;=BD$4),IF(BD$4&lt;=Görevler!$C75+ROUND(Görevler!$F75*Görevler!$E75,0)-1,2,1),""))</f>
        <v/>
      </c>
      <c r="BE75" s="22" t="str">
        <f aca="false">IF(Görevler!$F75="","",IF(AND(Görevler!$C75&lt;=(BE$4+Ayarlar!$C$6-1),Görevler!$D75&gt;=BE$4),IF(BE$4&lt;=Görevler!$C75+ROUND(Görevler!$F75*Görevler!$E75,0)-1,2,1),""))</f>
        <v/>
      </c>
      <c r="BF75" s="22" t="str">
        <f aca="false">IF(Görevler!$F75="","",IF(AND(Görevler!$C75&lt;=(BF$4+Ayarlar!$C$6-1),Görevler!$D75&gt;=BF$4),IF(BF$4&lt;=Görevler!$C75+ROUND(Görevler!$F75*Görevler!$E75,0)-1,2,1),""))</f>
        <v/>
      </c>
      <c r="BG75" s="22" t="str">
        <f aca="false">IF(Görevler!$F75="","",IF(AND(Görevler!$C75&lt;=(BG$4+Ayarlar!$C$6-1),Görevler!$D75&gt;=BG$4),IF(BG$4&lt;=Görevler!$C75+ROUND(Görevler!$F75*Görevler!$E75,0)-1,2,1),""))</f>
        <v/>
      </c>
      <c r="BH75" s="22" t="str">
        <f aca="false">IF(Görevler!$F75="","",IF(AND(Görevler!$C75&lt;=(BH$4+Ayarlar!$C$6-1),Görevler!$D75&gt;=BH$4),IF(BH$4&lt;=Görevler!$C75+ROUND(Görevler!$F75*Görevler!$E75,0)-1,2,1),""))</f>
        <v/>
      </c>
      <c r="BI75" s="22" t="str">
        <f aca="false">IF(Görevler!$F75="","",IF(AND(Görevler!$C75&lt;=(BI$4+Ayarlar!$C$6-1),Görevler!$D75&gt;=BI$4),IF(BI$4&lt;=Görevler!$C75+ROUND(Görevler!$F75*Görevler!$E75,0)-1,2,1),""))</f>
        <v/>
      </c>
      <c r="BJ75" s="22" t="str">
        <f aca="false">IF(Görevler!$F75="","",IF(AND(Görevler!$C75&lt;=(BJ$4+Ayarlar!$C$6-1),Görevler!$D75&gt;=BJ$4),IF(BJ$4&lt;=Görevler!$C75+ROUND(Görevler!$F75*Görevler!$E75,0)-1,2,1),""))</f>
        <v/>
      </c>
    </row>
    <row r="76" customFormat="false" ht="15" hidden="false" customHeight="false" outlineLevel="0" collapsed="false">
      <c r="A76" s="21" t="str">
        <f aca="false">IF(Görevler!A76="","",Görevler!A76)</f>
        <v/>
      </c>
      <c r="B76" s="21" t="str">
        <f aca="false">IF(Görevler!A76="","",Görevler!B76&amp;"")</f>
        <v/>
      </c>
      <c r="C76" s="22" t="str">
        <f aca="false">IF(Görevler!$F76="","",IF(AND(Görevler!$C76&lt;=(C$4+Ayarlar!$C$6-1),Görevler!$D76&gt;=C$4),IF(C$4&lt;=Görevler!$C76+ROUND(Görevler!$F76*Görevler!$E76,0)-1,2,1),""))</f>
        <v/>
      </c>
      <c r="D76" s="22" t="str">
        <f aca="false">IF(Görevler!$F76="","",IF(AND(Görevler!$C76&lt;=(D$4+Ayarlar!$C$6-1),Görevler!$D76&gt;=D$4),IF(D$4&lt;=Görevler!$C76+ROUND(Görevler!$F76*Görevler!$E76,0)-1,2,1),""))</f>
        <v/>
      </c>
      <c r="E76" s="22" t="str">
        <f aca="false">IF(Görevler!$F76="","",IF(AND(Görevler!$C76&lt;=(E$4+Ayarlar!$C$6-1),Görevler!$D76&gt;=E$4),IF(E$4&lt;=Görevler!$C76+ROUND(Görevler!$F76*Görevler!$E76,0)-1,2,1),""))</f>
        <v/>
      </c>
      <c r="F76" s="22" t="str">
        <f aca="false">IF(Görevler!$F76="","",IF(AND(Görevler!$C76&lt;=(F$4+Ayarlar!$C$6-1),Görevler!$D76&gt;=F$4),IF(F$4&lt;=Görevler!$C76+ROUND(Görevler!$F76*Görevler!$E76,0)-1,2,1),""))</f>
        <v/>
      </c>
      <c r="G76" s="22" t="str">
        <f aca="false">IF(Görevler!$F76="","",IF(AND(Görevler!$C76&lt;=(G$4+Ayarlar!$C$6-1),Görevler!$D76&gt;=G$4),IF(G$4&lt;=Görevler!$C76+ROUND(Görevler!$F76*Görevler!$E76,0)-1,2,1),""))</f>
        <v/>
      </c>
      <c r="H76" s="22" t="str">
        <f aca="false">IF(Görevler!$F76="","",IF(AND(Görevler!$C76&lt;=(H$4+Ayarlar!$C$6-1),Görevler!$D76&gt;=H$4),IF(H$4&lt;=Görevler!$C76+ROUND(Görevler!$F76*Görevler!$E76,0)-1,2,1),""))</f>
        <v/>
      </c>
      <c r="I76" s="22" t="str">
        <f aca="false">IF(Görevler!$F76="","",IF(AND(Görevler!$C76&lt;=(I$4+Ayarlar!$C$6-1),Görevler!$D76&gt;=I$4),IF(I$4&lt;=Görevler!$C76+ROUND(Görevler!$F76*Görevler!$E76,0)-1,2,1),""))</f>
        <v/>
      </c>
      <c r="J76" s="22" t="str">
        <f aca="false">IF(Görevler!$F76="","",IF(AND(Görevler!$C76&lt;=(J$4+Ayarlar!$C$6-1),Görevler!$D76&gt;=J$4),IF(J$4&lt;=Görevler!$C76+ROUND(Görevler!$F76*Görevler!$E76,0)-1,2,1),""))</f>
        <v/>
      </c>
      <c r="K76" s="22" t="str">
        <f aca="false">IF(Görevler!$F76="","",IF(AND(Görevler!$C76&lt;=(K$4+Ayarlar!$C$6-1),Görevler!$D76&gt;=K$4),IF(K$4&lt;=Görevler!$C76+ROUND(Görevler!$F76*Görevler!$E76,0)-1,2,1),""))</f>
        <v/>
      </c>
      <c r="L76" s="22" t="str">
        <f aca="false">IF(Görevler!$F76="","",IF(AND(Görevler!$C76&lt;=(L$4+Ayarlar!$C$6-1),Görevler!$D76&gt;=L$4),IF(L$4&lt;=Görevler!$C76+ROUND(Görevler!$F76*Görevler!$E76,0)-1,2,1),""))</f>
        <v/>
      </c>
      <c r="M76" s="22" t="str">
        <f aca="false">IF(Görevler!$F76="","",IF(AND(Görevler!$C76&lt;=(M$4+Ayarlar!$C$6-1),Görevler!$D76&gt;=M$4),IF(M$4&lt;=Görevler!$C76+ROUND(Görevler!$F76*Görevler!$E76,0)-1,2,1),""))</f>
        <v/>
      </c>
      <c r="N76" s="22" t="str">
        <f aca="false">IF(Görevler!$F76="","",IF(AND(Görevler!$C76&lt;=(N$4+Ayarlar!$C$6-1),Görevler!$D76&gt;=N$4),IF(N$4&lt;=Görevler!$C76+ROUND(Görevler!$F76*Görevler!$E76,0)-1,2,1),""))</f>
        <v/>
      </c>
      <c r="O76" s="22" t="str">
        <f aca="false">IF(Görevler!$F76="","",IF(AND(Görevler!$C76&lt;=(O$4+Ayarlar!$C$6-1),Görevler!$D76&gt;=O$4),IF(O$4&lt;=Görevler!$C76+ROUND(Görevler!$F76*Görevler!$E76,0)-1,2,1),""))</f>
        <v/>
      </c>
      <c r="P76" s="22" t="str">
        <f aca="false">IF(Görevler!$F76="","",IF(AND(Görevler!$C76&lt;=(P$4+Ayarlar!$C$6-1),Görevler!$D76&gt;=P$4),IF(P$4&lt;=Görevler!$C76+ROUND(Görevler!$F76*Görevler!$E76,0)-1,2,1),""))</f>
        <v/>
      </c>
      <c r="Q76" s="22" t="str">
        <f aca="false">IF(Görevler!$F76="","",IF(AND(Görevler!$C76&lt;=(Q$4+Ayarlar!$C$6-1),Görevler!$D76&gt;=Q$4),IF(Q$4&lt;=Görevler!$C76+ROUND(Görevler!$F76*Görevler!$E76,0)-1,2,1),""))</f>
        <v/>
      </c>
      <c r="R76" s="22" t="str">
        <f aca="false">IF(Görevler!$F76="","",IF(AND(Görevler!$C76&lt;=(R$4+Ayarlar!$C$6-1),Görevler!$D76&gt;=R$4),IF(R$4&lt;=Görevler!$C76+ROUND(Görevler!$F76*Görevler!$E76,0)-1,2,1),""))</f>
        <v/>
      </c>
      <c r="S76" s="22" t="str">
        <f aca="false">IF(Görevler!$F76="","",IF(AND(Görevler!$C76&lt;=(S$4+Ayarlar!$C$6-1),Görevler!$D76&gt;=S$4),IF(S$4&lt;=Görevler!$C76+ROUND(Görevler!$F76*Görevler!$E76,0)-1,2,1),""))</f>
        <v/>
      </c>
      <c r="T76" s="22" t="str">
        <f aca="false">IF(Görevler!$F76="","",IF(AND(Görevler!$C76&lt;=(T$4+Ayarlar!$C$6-1),Görevler!$D76&gt;=T$4),IF(T$4&lt;=Görevler!$C76+ROUND(Görevler!$F76*Görevler!$E76,0)-1,2,1),""))</f>
        <v/>
      </c>
      <c r="U76" s="22" t="str">
        <f aca="false">IF(Görevler!$F76="","",IF(AND(Görevler!$C76&lt;=(U$4+Ayarlar!$C$6-1),Görevler!$D76&gt;=U$4),IF(U$4&lt;=Görevler!$C76+ROUND(Görevler!$F76*Görevler!$E76,0)-1,2,1),""))</f>
        <v/>
      </c>
      <c r="V76" s="22" t="str">
        <f aca="false">IF(Görevler!$F76="","",IF(AND(Görevler!$C76&lt;=(V$4+Ayarlar!$C$6-1),Görevler!$D76&gt;=V$4),IF(V$4&lt;=Görevler!$C76+ROUND(Görevler!$F76*Görevler!$E76,0)-1,2,1),""))</f>
        <v/>
      </c>
      <c r="W76" s="22" t="str">
        <f aca="false">IF(Görevler!$F76="","",IF(AND(Görevler!$C76&lt;=(W$4+Ayarlar!$C$6-1),Görevler!$D76&gt;=W$4),IF(W$4&lt;=Görevler!$C76+ROUND(Görevler!$F76*Görevler!$E76,0)-1,2,1),""))</f>
        <v/>
      </c>
      <c r="X76" s="22" t="str">
        <f aca="false">IF(Görevler!$F76="","",IF(AND(Görevler!$C76&lt;=(X$4+Ayarlar!$C$6-1),Görevler!$D76&gt;=X$4),IF(X$4&lt;=Görevler!$C76+ROUND(Görevler!$F76*Görevler!$E76,0)-1,2,1),""))</f>
        <v/>
      </c>
      <c r="Y76" s="22" t="str">
        <f aca="false">IF(Görevler!$F76="","",IF(AND(Görevler!$C76&lt;=(Y$4+Ayarlar!$C$6-1),Görevler!$D76&gt;=Y$4),IF(Y$4&lt;=Görevler!$C76+ROUND(Görevler!$F76*Görevler!$E76,0)-1,2,1),""))</f>
        <v/>
      </c>
      <c r="Z76" s="22" t="str">
        <f aca="false">IF(Görevler!$F76="","",IF(AND(Görevler!$C76&lt;=(Z$4+Ayarlar!$C$6-1),Görevler!$D76&gt;=Z$4),IF(Z$4&lt;=Görevler!$C76+ROUND(Görevler!$F76*Görevler!$E76,0)-1,2,1),""))</f>
        <v/>
      </c>
      <c r="AA76" s="22" t="str">
        <f aca="false">IF(Görevler!$F76="","",IF(AND(Görevler!$C76&lt;=(AA$4+Ayarlar!$C$6-1),Görevler!$D76&gt;=AA$4),IF(AA$4&lt;=Görevler!$C76+ROUND(Görevler!$F76*Görevler!$E76,0)-1,2,1),""))</f>
        <v/>
      </c>
      <c r="AB76" s="22" t="str">
        <f aca="false">IF(Görevler!$F76="","",IF(AND(Görevler!$C76&lt;=(AB$4+Ayarlar!$C$6-1),Görevler!$D76&gt;=AB$4),IF(AB$4&lt;=Görevler!$C76+ROUND(Görevler!$F76*Görevler!$E76,0)-1,2,1),""))</f>
        <v/>
      </c>
      <c r="AC76" s="22" t="str">
        <f aca="false">IF(Görevler!$F76="","",IF(AND(Görevler!$C76&lt;=(AC$4+Ayarlar!$C$6-1),Görevler!$D76&gt;=AC$4),IF(AC$4&lt;=Görevler!$C76+ROUND(Görevler!$F76*Görevler!$E76,0)-1,2,1),""))</f>
        <v/>
      </c>
      <c r="AD76" s="22" t="str">
        <f aca="false">IF(Görevler!$F76="","",IF(AND(Görevler!$C76&lt;=(AD$4+Ayarlar!$C$6-1),Görevler!$D76&gt;=AD$4),IF(AD$4&lt;=Görevler!$C76+ROUND(Görevler!$F76*Görevler!$E76,0)-1,2,1),""))</f>
        <v/>
      </c>
      <c r="AE76" s="22" t="str">
        <f aca="false">IF(Görevler!$F76="","",IF(AND(Görevler!$C76&lt;=(AE$4+Ayarlar!$C$6-1),Görevler!$D76&gt;=AE$4),IF(AE$4&lt;=Görevler!$C76+ROUND(Görevler!$F76*Görevler!$E76,0)-1,2,1),""))</f>
        <v/>
      </c>
      <c r="AF76" s="22" t="str">
        <f aca="false">IF(Görevler!$F76="","",IF(AND(Görevler!$C76&lt;=(AF$4+Ayarlar!$C$6-1),Görevler!$D76&gt;=AF$4),IF(AF$4&lt;=Görevler!$C76+ROUND(Görevler!$F76*Görevler!$E76,0)-1,2,1),""))</f>
        <v/>
      </c>
      <c r="AG76" s="22" t="str">
        <f aca="false">IF(Görevler!$F76="","",IF(AND(Görevler!$C76&lt;=(AG$4+Ayarlar!$C$6-1),Görevler!$D76&gt;=AG$4),IF(AG$4&lt;=Görevler!$C76+ROUND(Görevler!$F76*Görevler!$E76,0)-1,2,1),""))</f>
        <v/>
      </c>
      <c r="AH76" s="22" t="str">
        <f aca="false">IF(Görevler!$F76="","",IF(AND(Görevler!$C76&lt;=(AH$4+Ayarlar!$C$6-1),Görevler!$D76&gt;=AH$4),IF(AH$4&lt;=Görevler!$C76+ROUND(Görevler!$F76*Görevler!$E76,0)-1,2,1),""))</f>
        <v/>
      </c>
      <c r="AI76" s="22" t="str">
        <f aca="false">IF(Görevler!$F76="","",IF(AND(Görevler!$C76&lt;=(AI$4+Ayarlar!$C$6-1),Görevler!$D76&gt;=AI$4),IF(AI$4&lt;=Görevler!$C76+ROUND(Görevler!$F76*Görevler!$E76,0)-1,2,1),""))</f>
        <v/>
      </c>
      <c r="AJ76" s="22" t="str">
        <f aca="false">IF(Görevler!$F76="","",IF(AND(Görevler!$C76&lt;=(AJ$4+Ayarlar!$C$6-1),Görevler!$D76&gt;=AJ$4),IF(AJ$4&lt;=Görevler!$C76+ROUND(Görevler!$F76*Görevler!$E76,0)-1,2,1),""))</f>
        <v/>
      </c>
      <c r="AK76" s="22" t="str">
        <f aca="false">IF(Görevler!$F76="","",IF(AND(Görevler!$C76&lt;=(AK$4+Ayarlar!$C$6-1),Görevler!$D76&gt;=AK$4),IF(AK$4&lt;=Görevler!$C76+ROUND(Görevler!$F76*Görevler!$E76,0)-1,2,1),""))</f>
        <v/>
      </c>
      <c r="AL76" s="22" t="str">
        <f aca="false">IF(Görevler!$F76="","",IF(AND(Görevler!$C76&lt;=(AL$4+Ayarlar!$C$6-1),Görevler!$D76&gt;=AL$4),IF(AL$4&lt;=Görevler!$C76+ROUND(Görevler!$F76*Görevler!$E76,0)-1,2,1),""))</f>
        <v/>
      </c>
      <c r="AM76" s="22" t="str">
        <f aca="false">IF(Görevler!$F76="","",IF(AND(Görevler!$C76&lt;=(AM$4+Ayarlar!$C$6-1),Görevler!$D76&gt;=AM$4),IF(AM$4&lt;=Görevler!$C76+ROUND(Görevler!$F76*Görevler!$E76,0)-1,2,1),""))</f>
        <v/>
      </c>
      <c r="AN76" s="22" t="str">
        <f aca="false">IF(Görevler!$F76="","",IF(AND(Görevler!$C76&lt;=(AN$4+Ayarlar!$C$6-1),Görevler!$D76&gt;=AN$4),IF(AN$4&lt;=Görevler!$C76+ROUND(Görevler!$F76*Görevler!$E76,0)-1,2,1),""))</f>
        <v/>
      </c>
      <c r="AO76" s="22" t="str">
        <f aca="false">IF(Görevler!$F76="","",IF(AND(Görevler!$C76&lt;=(AO$4+Ayarlar!$C$6-1),Görevler!$D76&gt;=AO$4),IF(AO$4&lt;=Görevler!$C76+ROUND(Görevler!$F76*Görevler!$E76,0)-1,2,1),""))</f>
        <v/>
      </c>
      <c r="AP76" s="22" t="str">
        <f aca="false">IF(Görevler!$F76="","",IF(AND(Görevler!$C76&lt;=(AP$4+Ayarlar!$C$6-1),Görevler!$D76&gt;=AP$4),IF(AP$4&lt;=Görevler!$C76+ROUND(Görevler!$F76*Görevler!$E76,0)-1,2,1),""))</f>
        <v/>
      </c>
      <c r="AQ76" s="22" t="str">
        <f aca="false">IF(Görevler!$F76="","",IF(AND(Görevler!$C76&lt;=(AQ$4+Ayarlar!$C$6-1),Görevler!$D76&gt;=AQ$4),IF(AQ$4&lt;=Görevler!$C76+ROUND(Görevler!$F76*Görevler!$E76,0)-1,2,1),""))</f>
        <v/>
      </c>
      <c r="AR76" s="22" t="str">
        <f aca="false">IF(Görevler!$F76="","",IF(AND(Görevler!$C76&lt;=(AR$4+Ayarlar!$C$6-1),Görevler!$D76&gt;=AR$4),IF(AR$4&lt;=Görevler!$C76+ROUND(Görevler!$F76*Görevler!$E76,0)-1,2,1),""))</f>
        <v/>
      </c>
      <c r="AS76" s="22" t="str">
        <f aca="false">IF(Görevler!$F76="","",IF(AND(Görevler!$C76&lt;=(AS$4+Ayarlar!$C$6-1),Görevler!$D76&gt;=AS$4),IF(AS$4&lt;=Görevler!$C76+ROUND(Görevler!$F76*Görevler!$E76,0)-1,2,1),""))</f>
        <v/>
      </c>
      <c r="AT76" s="22" t="str">
        <f aca="false">IF(Görevler!$F76="","",IF(AND(Görevler!$C76&lt;=(AT$4+Ayarlar!$C$6-1),Görevler!$D76&gt;=AT$4),IF(AT$4&lt;=Görevler!$C76+ROUND(Görevler!$F76*Görevler!$E76,0)-1,2,1),""))</f>
        <v/>
      </c>
      <c r="AU76" s="22" t="str">
        <f aca="false">IF(Görevler!$F76="","",IF(AND(Görevler!$C76&lt;=(AU$4+Ayarlar!$C$6-1),Görevler!$D76&gt;=AU$4),IF(AU$4&lt;=Görevler!$C76+ROUND(Görevler!$F76*Görevler!$E76,0)-1,2,1),""))</f>
        <v/>
      </c>
      <c r="AV76" s="22" t="str">
        <f aca="false">IF(Görevler!$F76="","",IF(AND(Görevler!$C76&lt;=(AV$4+Ayarlar!$C$6-1),Görevler!$D76&gt;=AV$4),IF(AV$4&lt;=Görevler!$C76+ROUND(Görevler!$F76*Görevler!$E76,0)-1,2,1),""))</f>
        <v/>
      </c>
      <c r="AW76" s="22" t="str">
        <f aca="false">IF(Görevler!$F76="","",IF(AND(Görevler!$C76&lt;=(AW$4+Ayarlar!$C$6-1),Görevler!$D76&gt;=AW$4),IF(AW$4&lt;=Görevler!$C76+ROUND(Görevler!$F76*Görevler!$E76,0)-1,2,1),""))</f>
        <v/>
      </c>
      <c r="AX76" s="22" t="str">
        <f aca="false">IF(Görevler!$F76="","",IF(AND(Görevler!$C76&lt;=(AX$4+Ayarlar!$C$6-1),Görevler!$D76&gt;=AX$4),IF(AX$4&lt;=Görevler!$C76+ROUND(Görevler!$F76*Görevler!$E76,0)-1,2,1),""))</f>
        <v/>
      </c>
      <c r="AY76" s="22" t="str">
        <f aca="false">IF(Görevler!$F76="","",IF(AND(Görevler!$C76&lt;=(AY$4+Ayarlar!$C$6-1),Görevler!$D76&gt;=AY$4),IF(AY$4&lt;=Görevler!$C76+ROUND(Görevler!$F76*Görevler!$E76,0)-1,2,1),""))</f>
        <v/>
      </c>
      <c r="AZ76" s="22" t="str">
        <f aca="false">IF(Görevler!$F76="","",IF(AND(Görevler!$C76&lt;=(AZ$4+Ayarlar!$C$6-1),Görevler!$D76&gt;=AZ$4),IF(AZ$4&lt;=Görevler!$C76+ROUND(Görevler!$F76*Görevler!$E76,0)-1,2,1),""))</f>
        <v/>
      </c>
      <c r="BA76" s="22" t="str">
        <f aca="false">IF(Görevler!$F76="","",IF(AND(Görevler!$C76&lt;=(BA$4+Ayarlar!$C$6-1),Görevler!$D76&gt;=BA$4),IF(BA$4&lt;=Görevler!$C76+ROUND(Görevler!$F76*Görevler!$E76,0)-1,2,1),""))</f>
        <v/>
      </c>
      <c r="BB76" s="22" t="str">
        <f aca="false">IF(Görevler!$F76="","",IF(AND(Görevler!$C76&lt;=(BB$4+Ayarlar!$C$6-1),Görevler!$D76&gt;=BB$4),IF(BB$4&lt;=Görevler!$C76+ROUND(Görevler!$F76*Görevler!$E76,0)-1,2,1),""))</f>
        <v/>
      </c>
      <c r="BC76" s="22" t="str">
        <f aca="false">IF(Görevler!$F76="","",IF(AND(Görevler!$C76&lt;=(BC$4+Ayarlar!$C$6-1),Görevler!$D76&gt;=BC$4),IF(BC$4&lt;=Görevler!$C76+ROUND(Görevler!$F76*Görevler!$E76,0)-1,2,1),""))</f>
        <v/>
      </c>
      <c r="BD76" s="22" t="str">
        <f aca="false">IF(Görevler!$F76="","",IF(AND(Görevler!$C76&lt;=(BD$4+Ayarlar!$C$6-1),Görevler!$D76&gt;=BD$4),IF(BD$4&lt;=Görevler!$C76+ROUND(Görevler!$F76*Görevler!$E76,0)-1,2,1),""))</f>
        <v/>
      </c>
      <c r="BE76" s="22" t="str">
        <f aca="false">IF(Görevler!$F76="","",IF(AND(Görevler!$C76&lt;=(BE$4+Ayarlar!$C$6-1),Görevler!$D76&gt;=BE$4),IF(BE$4&lt;=Görevler!$C76+ROUND(Görevler!$F76*Görevler!$E76,0)-1,2,1),""))</f>
        <v/>
      </c>
      <c r="BF76" s="22" t="str">
        <f aca="false">IF(Görevler!$F76="","",IF(AND(Görevler!$C76&lt;=(BF$4+Ayarlar!$C$6-1),Görevler!$D76&gt;=BF$4),IF(BF$4&lt;=Görevler!$C76+ROUND(Görevler!$F76*Görevler!$E76,0)-1,2,1),""))</f>
        <v/>
      </c>
      <c r="BG76" s="22" t="str">
        <f aca="false">IF(Görevler!$F76="","",IF(AND(Görevler!$C76&lt;=(BG$4+Ayarlar!$C$6-1),Görevler!$D76&gt;=BG$4),IF(BG$4&lt;=Görevler!$C76+ROUND(Görevler!$F76*Görevler!$E76,0)-1,2,1),""))</f>
        <v/>
      </c>
      <c r="BH76" s="22" t="str">
        <f aca="false">IF(Görevler!$F76="","",IF(AND(Görevler!$C76&lt;=(BH$4+Ayarlar!$C$6-1),Görevler!$D76&gt;=BH$4),IF(BH$4&lt;=Görevler!$C76+ROUND(Görevler!$F76*Görevler!$E76,0)-1,2,1),""))</f>
        <v/>
      </c>
      <c r="BI76" s="22" t="str">
        <f aca="false">IF(Görevler!$F76="","",IF(AND(Görevler!$C76&lt;=(BI$4+Ayarlar!$C$6-1),Görevler!$D76&gt;=BI$4),IF(BI$4&lt;=Görevler!$C76+ROUND(Görevler!$F76*Görevler!$E76,0)-1,2,1),""))</f>
        <v/>
      </c>
      <c r="BJ76" s="22" t="str">
        <f aca="false">IF(Görevler!$F76="","",IF(AND(Görevler!$C76&lt;=(BJ$4+Ayarlar!$C$6-1),Görevler!$D76&gt;=BJ$4),IF(BJ$4&lt;=Görevler!$C76+ROUND(Görevler!$F76*Görevler!$E76,0)-1,2,1),""))</f>
        <v/>
      </c>
    </row>
    <row r="77" customFormat="false" ht="15" hidden="false" customHeight="false" outlineLevel="0" collapsed="false">
      <c r="A77" s="21" t="str">
        <f aca="false">IF(Görevler!A77="","",Görevler!A77)</f>
        <v/>
      </c>
      <c r="B77" s="21" t="str">
        <f aca="false">IF(Görevler!A77="","",Görevler!B77&amp;"")</f>
        <v/>
      </c>
      <c r="C77" s="22" t="str">
        <f aca="false">IF(Görevler!$F77="","",IF(AND(Görevler!$C77&lt;=(C$4+Ayarlar!$C$6-1),Görevler!$D77&gt;=C$4),IF(C$4&lt;=Görevler!$C77+ROUND(Görevler!$F77*Görevler!$E77,0)-1,2,1),""))</f>
        <v/>
      </c>
      <c r="D77" s="22" t="str">
        <f aca="false">IF(Görevler!$F77="","",IF(AND(Görevler!$C77&lt;=(D$4+Ayarlar!$C$6-1),Görevler!$D77&gt;=D$4),IF(D$4&lt;=Görevler!$C77+ROUND(Görevler!$F77*Görevler!$E77,0)-1,2,1),""))</f>
        <v/>
      </c>
      <c r="E77" s="22" t="str">
        <f aca="false">IF(Görevler!$F77="","",IF(AND(Görevler!$C77&lt;=(E$4+Ayarlar!$C$6-1),Görevler!$D77&gt;=E$4),IF(E$4&lt;=Görevler!$C77+ROUND(Görevler!$F77*Görevler!$E77,0)-1,2,1),""))</f>
        <v/>
      </c>
      <c r="F77" s="22" t="str">
        <f aca="false">IF(Görevler!$F77="","",IF(AND(Görevler!$C77&lt;=(F$4+Ayarlar!$C$6-1),Görevler!$D77&gt;=F$4),IF(F$4&lt;=Görevler!$C77+ROUND(Görevler!$F77*Görevler!$E77,0)-1,2,1),""))</f>
        <v/>
      </c>
      <c r="G77" s="22" t="str">
        <f aca="false">IF(Görevler!$F77="","",IF(AND(Görevler!$C77&lt;=(G$4+Ayarlar!$C$6-1),Görevler!$D77&gt;=G$4),IF(G$4&lt;=Görevler!$C77+ROUND(Görevler!$F77*Görevler!$E77,0)-1,2,1),""))</f>
        <v/>
      </c>
      <c r="H77" s="22" t="str">
        <f aca="false">IF(Görevler!$F77="","",IF(AND(Görevler!$C77&lt;=(H$4+Ayarlar!$C$6-1),Görevler!$D77&gt;=H$4),IF(H$4&lt;=Görevler!$C77+ROUND(Görevler!$F77*Görevler!$E77,0)-1,2,1),""))</f>
        <v/>
      </c>
      <c r="I77" s="22" t="str">
        <f aca="false">IF(Görevler!$F77="","",IF(AND(Görevler!$C77&lt;=(I$4+Ayarlar!$C$6-1),Görevler!$D77&gt;=I$4),IF(I$4&lt;=Görevler!$C77+ROUND(Görevler!$F77*Görevler!$E77,0)-1,2,1),""))</f>
        <v/>
      </c>
      <c r="J77" s="22" t="str">
        <f aca="false">IF(Görevler!$F77="","",IF(AND(Görevler!$C77&lt;=(J$4+Ayarlar!$C$6-1),Görevler!$D77&gt;=J$4),IF(J$4&lt;=Görevler!$C77+ROUND(Görevler!$F77*Görevler!$E77,0)-1,2,1),""))</f>
        <v/>
      </c>
      <c r="K77" s="22" t="str">
        <f aca="false">IF(Görevler!$F77="","",IF(AND(Görevler!$C77&lt;=(K$4+Ayarlar!$C$6-1),Görevler!$D77&gt;=K$4),IF(K$4&lt;=Görevler!$C77+ROUND(Görevler!$F77*Görevler!$E77,0)-1,2,1),""))</f>
        <v/>
      </c>
      <c r="L77" s="22" t="str">
        <f aca="false">IF(Görevler!$F77="","",IF(AND(Görevler!$C77&lt;=(L$4+Ayarlar!$C$6-1),Görevler!$D77&gt;=L$4),IF(L$4&lt;=Görevler!$C77+ROUND(Görevler!$F77*Görevler!$E77,0)-1,2,1),""))</f>
        <v/>
      </c>
      <c r="M77" s="22" t="str">
        <f aca="false">IF(Görevler!$F77="","",IF(AND(Görevler!$C77&lt;=(M$4+Ayarlar!$C$6-1),Görevler!$D77&gt;=M$4),IF(M$4&lt;=Görevler!$C77+ROUND(Görevler!$F77*Görevler!$E77,0)-1,2,1),""))</f>
        <v/>
      </c>
      <c r="N77" s="22" t="str">
        <f aca="false">IF(Görevler!$F77="","",IF(AND(Görevler!$C77&lt;=(N$4+Ayarlar!$C$6-1),Görevler!$D77&gt;=N$4),IF(N$4&lt;=Görevler!$C77+ROUND(Görevler!$F77*Görevler!$E77,0)-1,2,1),""))</f>
        <v/>
      </c>
      <c r="O77" s="22" t="str">
        <f aca="false">IF(Görevler!$F77="","",IF(AND(Görevler!$C77&lt;=(O$4+Ayarlar!$C$6-1),Görevler!$D77&gt;=O$4),IF(O$4&lt;=Görevler!$C77+ROUND(Görevler!$F77*Görevler!$E77,0)-1,2,1),""))</f>
        <v/>
      </c>
      <c r="P77" s="22" t="str">
        <f aca="false">IF(Görevler!$F77="","",IF(AND(Görevler!$C77&lt;=(P$4+Ayarlar!$C$6-1),Görevler!$D77&gt;=P$4),IF(P$4&lt;=Görevler!$C77+ROUND(Görevler!$F77*Görevler!$E77,0)-1,2,1),""))</f>
        <v/>
      </c>
      <c r="Q77" s="22" t="str">
        <f aca="false">IF(Görevler!$F77="","",IF(AND(Görevler!$C77&lt;=(Q$4+Ayarlar!$C$6-1),Görevler!$D77&gt;=Q$4),IF(Q$4&lt;=Görevler!$C77+ROUND(Görevler!$F77*Görevler!$E77,0)-1,2,1),""))</f>
        <v/>
      </c>
      <c r="R77" s="22" t="str">
        <f aca="false">IF(Görevler!$F77="","",IF(AND(Görevler!$C77&lt;=(R$4+Ayarlar!$C$6-1),Görevler!$D77&gt;=R$4),IF(R$4&lt;=Görevler!$C77+ROUND(Görevler!$F77*Görevler!$E77,0)-1,2,1),""))</f>
        <v/>
      </c>
      <c r="S77" s="22" t="str">
        <f aca="false">IF(Görevler!$F77="","",IF(AND(Görevler!$C77&lt;=(S$4+Ayarlar!$C$6-1),Görevler!$D77&gt;=S$4),IF(S$4&lt;=Görevler!$C77+ROUND(Görevler!$F77*Görevler!$E77,0)-1,2,1),""))</f>
        <v/>
      </c>
      <c r="T77" s="22" t="str">
        <f aca="false">IF(Görevler!$F77="","",IF(AND(Görevler!$C77&lt;=(T$4+Ayarlar!$C$6-1),Görevler!$D77&gt;=T$4),IF(T$4&lt;=Görevler!$C77+ROUND(Görevler!$F77*Görevler!$E77,0)-1,2,1),""))</f>
        <v/>
      </c>
      <c r="U77" s="22" t="str">
        <f aca="false">IF(Görevler!$F77="","",IF(AND(Görevler!$C77&lt;=(U$4+Ayarlar!$C$6-1),Görevler!$D77&gt;=U$4),IF(U$4&lt;=Görevler!$C77+ROUND(Görevler!$F77*Görevler!$E77,0)-1,2,1),""))</f>
        <v/>
      </c>
      <c r="V77" s="22" t="str">
        <f aca="false">IF(Görevler!$F77="","",IF(AND(Görevler!$C77&lt;=(V$4+Ayarlar!$C$6-1),Görevler!$D77&gt;=V$4),IF(V$4&lt;=Görevler!$C77+ROUND(Görevler!$F77*Görevler!$E77,0)-1,2,1),""))</f>
        <v/>
      </c>
      <c r="W77" s="22" t="str">
        <f aca="false">IF(Görevler!$F77="","",IF(AND(Görevler!$C77&lt;=(W$4+Ayarlar!$C$6-1),Görevler!$D77&gt;=W$4),IF(W$4&lt;=Görevler!$C77+ROUND(Görevler!$F77*Görevler!$E77,0)-1,2,1),""))</f>
        <v/>
      </c>
      <c r="X77" s="22" t="str">
        <f aca="false">IF(Görevler!$F77="","",IF(AND(Görevler!$C77&lt;=(X$4+Ayarlar!$C$6-1),Görevler!$D77&gt;=X$4),IF(X$4&lt;=Görevler!$C77+ROUND(Görevler!$F77*Görevler!$E77,0)-1,2,1),""))</f>
        <v/>
      </c>
      <c r="Y77" s="22" t="str">
        <f aca="false">IF(Görevler!$F77="","",IF(AND(Görevler!$C77&lt;=(Y$4+Ayarlar!$C$6-1),Görevler!$D77&gt;=Y$4),IF(Y$4&lt;=Görevler!$C77+ROUND(Görevler!$F77*Görevler!$E77,0)-1,2,1),""))</f>
        <v/>
      </c>
      <c r="Z77" s="22" t="str">
        <f aca="false">IF(Görevler!$F77="","",IF(AND(Görevler!$C77&lt;=(Z$4+Ayarlar!$C$6-1),Görevler!$D77&gt;=Z$4),IF(Z$4&lt;=Görevler!$C77+ROUND(Görevler!$F77*Görevler!$E77,0)-1,2,1),""))</f>
        <v/>
      </c>
      <c r="AA77" s="22" t="str">
        <f aca="false">IF(Görevler!$F77="","",IF(AND(Görevler!$C77&lt;=(AA$4+Ayarlar!$C$6-1),Görevler!$D77&gt;=AA$4),IF(AA$4&lt;=Görevler!$C77+ROUND(Görevler!$F77*Görevler!$E77,0)-1,2,1),""))</f>
        <v/>
      </c>
      <c r="AB77" s="22" t="str">
        <f aca="false">IF(Görevler!$F77="","",IF(AND(Görevler!$C77&lt;=(AB$4+Ayarlar!$C$6-1),Görevler!$D77&gt;=AB$4),IF(AB$4&lt;=Görevler!$C77+ROUND(Görevler!$F77*Görevler!$E77,0)-1,2,1),""))</f>
        <v/>
      </c>
      <c r="AC77" s="22" t="str">
        <f aca="false">IF(Görevler!$F77="","",IF(AND(Görevler!$C77&lt;=(AC$4+Ayarlar!$C$6-1),Görevler!$D77&gt;=AC$4),IF(AC$4&lt;=Görevler!$C77+ROUND(Görevler!$F77*Görevler!$E77,0)-1,2,1),""))</f>
        <v/>
      </c>
      <c r="AD77" s="22" t="str">
        <f aca="false">IF(Görevler!$F77="","",IF(AND(Görevler!$C77&lt;=(AD$4+Ayarlar!$C$6-1),Görevler!$D77&gt;=AD$4),IF(AD$4&lt;=Görevler!$C77+ROUND(Görevler!$F77*Görevler!$E77,0)-1,2,1),""))</f>
        <v/>
      </c>
      <c r="AE77" s="22" t="str">
        <f aca="false">IF(Görevler!$F77="","",IF(AND(Görevler!$C77&lt;=(AE$4+Ayarlar!$C$6-1),Görevler!$D77&gt;=AE$4),IF(AE$4&lt;=Görevler!$C77+ROUND(Görevler!$F77*Görevler!$E77,0)-1,2,1),""))</f>
        <v/>
      </c>
      <c r="AF77" s="22" t="str">
        <f aca="false">IF(Görevler!$F77="","",IF(AND(Görevler!$C77&lt;=(AF$4+Ayarlar!$C$6-1),Görevler!$D77&gt;=AF$4),IF(AF$4&lt;=Görevler!$C77+ROUND(Görevler!$F77*Görevler!$E77,0)-1,2,1),""))</f>
        <v/>
      </c>
      <c r="AG77" s="22" t="str">
        <f aca="false">IF(Görevler!$F77="","",IF(AND(Görevler!$C77&lt;=(AG$4+Ayarlar!$C$6-1),Görevler!$D77&gt;=AG$4),IF(AG$4&lt;=Görevler!$C77+ROUND(Görevler!$F77*Görevler!$E77,0)-1,2,1),""))</f>
        <v/>
      </c>
      <c r="AH77" s="22" t="str">
        <f aca="false">IF(Görevler!$F77="","",IF(AND(Görevler!$C77&lt;=(AH$4+Ayarlar!$C$6-1),Görevler!$D77&gt;=AH$4),IF(AH$4&lt;=Görevler!$C77+ROUND(Görevler!$F77*Görevler!$E77,0)-1,2,1),""))</f>
        <v/>
      </c>
      <c r="AI77" s="22" t="str">
        <f aca="false">IF(Görevler!$F77="","",IF(AND(Görevler!$C77&lt;=(AI$4+Ayarlar!$C$6-1),Görevler!$D77&gt;=AI$4),IF(AI$4&lt;=Görevler!$C77+ROUND(Görevler!$F77*Görevler!$E77,0)-1,2,1),""))</f>
        <v/>
      </c>
      <c r="AJ77" s="22" t="str">
        <f aca="false">IF(Görevler!$F77="","",IF(AND(Görevler!$C77&lt;=(AJ$4+Ayarlar!$C$6-1),Görevler!$D77&gt;=AJ$4),IF(AJ$4&lt;=Görevler!$C77+ROUND(Görevler!$F77*Görevler!$E77,0)-1,2,1),""))</f>
        <v/>
      </c>
      <c r="AK77" s="22" t="str">
        <f aca="false">IF(Görevler!$F77="","",IF(AND(Görevler!$C77&lt;=(AK$4+Ayarlar!$C$6-1),Görevler!$D77&gt;=AK$4),IF(AK$4&lt;=Görevler!$C77+ROUND(Görevler!$F77*Görevler!$E77,0)-1,2,1),""))</f>
        <v/>
      </c>
      <c r="AL77" s="22" t="str">
        <f aca="false">IF(Görevler!$F77="","",IF(AND(Görevler!$C77&lt;=(AL$4+Ayarlar!$C$6-1),Görevler!$D77&gt;=AL$4),IF(AL$4&lt;=Görevler!$C77+ROUND(Görevler!$F77*Görevler!$E77,0)-1,2,1),""))</f>
        <v/>
      </c>
      <c r="AM77" s="22" t="str">
        <f aca="false">IF(Görevler!$F77="","",IF(AND(Görevler!$C77&lt;=(AM$4+Ayarlar!$C$6-1),Görevler!$D77&gt;=AM$4),IF(AM$4&lt;=Görevler!$C77+ROUND(Görevler!$F77*Görevler!$E77,0)-1,2,1),""))</f>
        <v/>
      </c>
      <c r="AN77" s="22" t="str">
        <f aca="false">IF(Görevler!$F77="","",IF(AND(Görevler!$C77&lt;=(AN$4+Ayarlar!$C$6-1),Görevler!$D77&gt;=AN$4),IF(AN$4&lt;=Görevler!$C77+ROUND(Görevler!$F77*Görevler!$E77,0)-1,2,1),""))</f>
        <v/>
      </c>
      <c r="AO77" s="22" t="str">
        <f aca="false">IF(Görevler!$F77="","",IF(AND(Görevler!$C77&lt;=(AO$4+Ayarlar!$C$6-1),Görevler!$D77&gt;=AO$4),IF(AO$4&lt;=Görevler!$C77+ROUND(Görevler!$F77*Görevler!$E77,0)-1,2,1),""))</f>
        <v/>
      </c>
      <c r="AP77" s="22" t="str">
        <f aca="false">IF(Görevler!$F77="","",IF(AND(Görevler!$C77&lt;=(AP$4+Ayarlar!$C$6-1),Görevler!$D77&gt;=AP$4),IF(AP$4&lt;=Görevler!$C77+ROUND(Görevler!$F77*Görevler!$E77,0)-1,2,1),""))</f>
        <v/>
      </c>
      <c r="AQ77" s="22" t="str">
        <f aca="false">IF(Görevler!$F77="","",IF(AND(Görevler!$C77&lt;=(AQ$4+Ayarlar!$C$6-1),Görevler!$D77&gt;=AQ$4),IF(AQ$4&lt;=Görevler!$C77+ROUND(Görevler!$F77*Görevler!$E77,0)-1,2,1),""))</f>
        <v/>
      </c>
      <c r="AR77" s="22" t="str">
        <f aca="false">IF(Görevler!$F77="","",IF(AND(Görevler!$C77&lt;=(AR$4+Ayarlar!$C$6-1),Görevler!$D77&gt;=AR$4),IF(AR$4&lt;=Görevler!$C77+ROUND(Görevler!$F77*Görevler!$E77,0)-1,2,1),""))</f>
        <v/>
      </c>
      <c r="AS77" s="22" t="str">
        <f aca="false">IF(Görevler!$F77="","",IF(AND(Görevler!$C77&lt;=(AS$4+Ayarlar!$C$6-1),Görevler!$D77&gt;=AS$4),IF(AS$4&lt;=Görevler!$C77+ROUND(Görevler!$F77*Görevler!$E77,0)-1,2,1),""))</f>
        <v/>
      </c>
      <c r="AT77" s="22" t="str">
        <f aca="false">IF(Görevler!$F77="","",IF(AND(Görevler!$C77&lt;=(AT$4+Ayarlar!$C$6-1),Görevler!$D77&gt;=AT$4),IF(AT$4&lt;=Görevler!$C77+ROUND(Görevler!$F77*Görevler!$E77,0)-1,2,1),""))</f>
        <v/>
      </c>
      <c r="AU77" s="22" t="str">
        <f aca="false">IF(Görevler!$F77="","",IF(AND(Görevler!$C77&lt;=(AU$4+Ayarlar!$C$6-1),Görevler!$D77&gt;=AU$4),IF(AU$4&lt;=Görevler!$C77+ROUND(Görevler!$F77*Görevler!$E77,0)-1,2,1),""))</f>
        <v/>
      </c>
      <c r="AV77" s="22" t="str">
        <f aca="false">IF(Görevler!$F77="","",IF(AND(Görevler!$C77&lt;=(AV$4+Ayarlar!$C$6-1),Görevler!$D77&gt;=AV$4),IF(AV$4&lt;=Görevler!$C77+ROUND(Görevler!$F77*Görevler!$E77,0)-1,2,1),""))</f>
        <v/>
      </c>
      <c r="AW77" s="22" t="str">
        <f aca="false">IF(Görevler!$F77="","",IF(AND(Görevler!$C77&lt;=(AW$4+Ayarlar!$C$6-1),Görevler!$D77&gt;=AW$4),IF(AW$4&lt;=Görevler!$C77+ROUND(Görevler!$F77*Görevler!$E77,0)-1,2,1),""))</f>
        <v/>
      </c>
      <c r="AX77" s="22" t="str">
        <f aca="false">IF(Görevler!$F77="","",IF(AND(Görevler!$C77&lt;=(AX$4+Ayarlar!$C$6-1),Görevler!$D77&gt;=AX$4),IF(AX$4&lt;=Görevler!$C77+ROUND(Görevler!$F77*Görevler!$E77,0)-1,2,1),""))</f>
        <v/>
      </c>
      <c r="AY77" s="22" t="str">
        <f aca="false">IF(Görevler!$F77="","",IF(AND(Görevler!$C77&lt;=(AY$4+Ayarlar!$C$6-1),Görevler!$D77&gt;=AY$4),IF(AY$4&lt;=Görevler!$C77+ROUND(Görevler!$F77*Görevler!$E77,0)-1,2,1),""))</f>
        <v/>
      </c>
      <c r="AZ77" s="22" t="str">
        <f aca="false">IF(Görevler!$F77="","",IF(AND(Görevler!$C77&lt;=(AZ$4+Ayarlar!$C$6-1),Görevler!$D77&gt;=AZ$4),IF(AZ$4&lt;=Görevler!$C77+ROUND(Görevler!$F77*Görevler!$E77,0)-1,2,1),""))</f>
        <v/>
      </c>
      <c r="BA77" s="22" t="str">
        <f aca="false">IF(Görevler!$F77="","",IF(AND(Görevler!$C77&lt;=(BA$4+Ayarlar!$C$6-1),Görevler!$D77&gt;=BA$4),IF(BA$4&lt;=Görevler!$C77+ROUND(Görevler!$F77*Görevler!$E77,0)-1,2,1),""))</f>
        <v/>
      </c>
      <c r="BB77" s="22" t="str">
        <f aca="false">IF(Görevler!$F77="","",IF(AND(Görevler!$C77&lt;=(BB$4+Ayarlar!$C$6-1),Görevler!$D77&gt;=BB$4),IF(BB$4&lt;=Görevler!$C77+ROUND(Görevler!$F77*Görevler!$E77,0)-1,2,1),""))</f>
        <v/>
      </c>
      <c r="BC77" s="22" t="str">
        <f aca="false">IF(Görevler!$F77="","",IF(AND(Görevler!$C77&lt;=(BC$4+Ayarlar!$C$6-1),Görevler!$D77&gt;=BC$4),IF(BC$4&lt;=Görevler!$C77+ROUND(Görevler!$F77*Görevler!$E77,0)-1,2,1),""))</f>
        <v/>
      </c>
      <c r="BD77" s="22" t="str">
        <f aca="false">IF(Görevler!$F77="","",IF(AND(Görevler!$C77&lt;=(BD$4+Ayarlar!$C$6-1),Görevler!$D77&gt;=BD$4),IF(BD$4&lt;=Görevler!$C77+ROUND(Görevler!$F77*Görevler!$E77,0)-1,2,1),""))</f>
        <v/>
      </c>
      <c r="BE77" s="22" t="str">
        <f aca="false">IF(Görevler!$F77="","",IF(AND(Görevler!$C77&lt;=(BE$4+Ayarlar!$C$6-1),Görevler!$D77&gt;=BE$4),IF(BE$4&lt;=Görevler!$C77+ROUND(Görevler!$F77*Görevler!$E77,0)-1,2,1),""))</f>
        <v/>
      </c>
      <c r="BF77" s="22" t="str">
        <f aca="false">IF(Görevler!$F77="","",IF(AND(Görevler!$C77&lt;=(BF$4+Ayarlar!$C$6-1),Görevler!$D77&gt;=BF$4),IF(BF$4&lt;=Görevler!$C77+ROUND(Görevler!$F77*Görevler!$E77,0)-1,2,1),""))</f>
        <v/>
      </c>
      <c r="BG77" s="22" t="str">
        <f aca="false">IF(Görevler!$F77="","",IF(AND(Görevler!$C77&lt;=(BG$4+Ayarlar!$C$6-1),Görevler!$D77&gt;=BG$4),IF(BG$4&lt;=Görevler!$C77+ROUND(Görevler!$F77*Görevler!$E77,0)-1,2,1),""))</f>
        <v/>
      </c>
      <c r="BH77" s="22" t="str">
        <f aca="false">IF(Görevler!$F77="","",IF(AND(Görevler!$C77&lt;=(BH$4+Ayarlar!$C$6-1),Görevler!$D77&gt;=BH$4),IF(BH$4&lt;=Görevler!$C77+ROUND(Görevler!$F77*Görevler!$E77,0)-1,2,1),""))</f>
        <v/>
      </c>
      <c r="BI77" s="22" t="str">
        <f aca="false">IF(Görevler!$F77="","",IF(AND(Görevler!$C77&lt;=(BI$4+Ayarlar!$C$6-1),Görevler!$D77&gt;=BI$4),IF(BI$4&lt;=Görevler!$C77+ROUND(Görevler!$F77*Görevler!$E77,0)-1,2,1),""))</f>
        <v/>
      </c>
      <c r="BJ77" s="22" t="str">
        <f aca="false">IF(Görevler!$F77="","",IF(AND(Görevler!$C77&lt;=(BJ$4+Ayarlar!$C$6-1),Görevler!$D77&gt;=BJ$4),IF(BJ$4&lt;=Görevler!$C77+ROUND(Görevler!$F77*Görevler!$E77,0)-1,2,1),""))</f>
        <v/>
      </c>
    </row>
    <row r="78" customFormat="false" ht="15" hidden="false" customHeight="false" outlineLevel="0" collapsed="false">
      <c r="A78" s="21" t="str">
        <f aca="false">IF(Görevler!A78="","",Görevler!A78)</f>
        <v/>
      </c>
      <c r="B78" s="21" t="str">
        <f aca="false">IF(Görevler!A78="","",Görevler!B78&amp;"")</f>
        <v/>
      </c>
      <c r="C78" s="22" t="str">
        <f aca="false">IF(Görevler!$F78="","",IF(AND(Görevler!$C78&lt;=(C$4+Ayarlar!$C$6-1),Görevler!$D78&gt;=C$4),IF(C$4&lt;=Görevler!$C78+ROUND(Görevler!$F78*Görevler!$E78,0)-1,2,1),""))</f>
        <v/>
      </c>
      <c r="D78" s="22" t="str">
        <f aca="false">IF(Görevler!$F78="","",IF(AND(Görevler!$C78&lt;=(D$4+Ayarlar!$C$6-1),Görevler!$D78&gt;=D$4),IF(D$4&lt;=Görevler!$C78+ROUND(Görevler!$F78*Görevler!$E78,0)-1,2,1),""))</f>
        <v/>
      </c>
      <c r="E78" s="22" t="str">
        <f aca="false">IF(Görevler!$F78="","",IF(AND(Görevler!$C78&lt;=(E$4+Ayarlar!$C$6-1),Görevler!$D78&gt;=E$4),IF(E$4&lt;=Görevler!$C78+ROUND(Görevler!$F78*Görevler!$E78,0)-1,2,1),""))</f>
        <v/>
      </c>
      <c r="F78" s="22" t="str">
        <f aca="false">IF(Görevler!$F78="","",IF(AND(Görevler!$C78&lt;=(F$4+Ayarlar!$C$6-1),Görevler!$D78&gt;=F$4),IF(F$4&lt;=Görevler!$C78+ROUND(Görevler!$F78*Görevler!$E78,0)-1,2,1),""))</f>
        <v/>
      </c>
      <c r="G78" s="22" t="str">
        <f aca="false">IF(Görevler!$F78="","",IF(AND(Görevler!$C78&lt;=(G$4+Ayarlar!$C$6-1),Görevler!$D78&gt;=G$4),IF(G$4&lt;=Görevler!$C78+ROUND(Görevler!$F78*Görevler!$E78,0)-1,2,1),""))</f>
        <v/>
      </c>
      <c r="H78" s="22" t="str">
        <f aca="false">IF(Görevler!$F78="","",IF(AND(Görevler!$C78&lt;=(H$4+Ayarlar!$C$6-1),Görevler!$D78&gt;=H$4),IF(H$4&lt;=Görevler!$C78+ROUND(Görevler!$F78*Görevler!$E78,0)-1,2,1),""))</f>
        <v/>
      </c>
      <c r="I78" s="22" t="str">
        <f aca="false">IF(Görevler!$F78="","",IF(AND(Görevler!$C78&lt;=(I$4+Ayarlar!$C$6-1),Görevler!$D78&gt;=I$4),IF(I$4&lt;=Görevler!$C78+ROUND(Görevler!$F78*Görevler!$E78,0)-1,2,1),""))</f>
        <v/>
      </c>
      <c r="J78" s="22" t="str">
        <f aca="false">IF(Görevler!$F78="","",IF(AND(Görevler!$C78&lt;=(J$4+Ayarlar!$C$6-1),Görevler!$D78&gt;=J$4),IF(J$4&lt;=Görevler!$C78+ROUND(Görevler!$F78*Görevler!$E78,0)-1,2,1),""))</f>
        <v/>
      </c>
      <c r="K78" s="22" t="str">
        <f aca="false">IF(Görevler!$F78="","",IF(AND(Görevler!$C78&lt;=(K$4+Ayarlar!$C$6-1),Görevler!$D78&gt;=K$4),IF(K$4&lt;=Görevler!$C78+ROUND(Görevler!$F78*Görevler!$E78,0)-1,2,1),""))</f>
        <v/>
      </c>
      <c r="L78" s="22" t="str">
        <f aca="false">IF(Görevler!$F78="","",IF(AND(Görevler!$C78&lt;=(L$4+Ayarlar!$C$6-1),Görevler!$D78&gt;=L$4),IF(L$4&lt;=Görevler!$C78+ROUND(Görevler!$F78*Görevler!$E78,0)-1,2,1),""))</f>
        <v/>
      </c>
      <c r="M78" s="22" t="str">
        <f aca="false">IF(Görevler!$F78="","",IF(AND(Görevler!$C78&lt;=(M$4+Ayarlar!$C$6-1),Görevler!$D78&gt;=M$4),IF(M$4&lt;=Görevler!$C78+ROUND(Görevler!$F78*Görevler!$E78,0)-1,2,1),""))</f>
        <v/>
      </c>
      <c r="N78" s="22" t="str">
        <f aca="false">IF(Görevler!$F78="","",IF(AND(Görevler!$C78&lt;=(N$4+Ayarlar!$C$6-1),Görevler!$D78&gt;=N$4),IF(N$4&lt;=Görevler!$C78+ROUND(Görevler!$F78*Görevler!$E78,0)-1,2,1),""))</f>
        <v/>
      </c>
      <c r="O78" s="22" t="str">
        <f aca="false">IF(Görevler!$F78="","",IF(AND(Görevler!$C78&lt;=(O$4+Ayarlar!$C$6-1),Görevler!$D78&gt;=O$4),IF(O$4&lt;=Görevler!$C78+ROUND(Görevler!$F78*Görevler!$E78,0)-1,2,1),""))</f>
        <v/>
      </c>
      <c r="P78" s="22" t="str">
        <f aca="false">IF(Görevler!$F78="","",IF(AND(Görevler!$C78&lt;=(P$4+Ayarlar!$C$6-1),Görevler!$D78&gt;=P$4),IF(P$4&lt;=Görevler!$C78+ROUND(Görevler!$F78*Görevler!$E78,0)-1,2,1),""))</f>
        <v/>
      </c>
      <c r="Q78" s="22" t="str">
        <f aca="false">IF(Görevler!$F78="","",IF(AND(Görevler!$C78&lt;=(Q$4+Ayarlar!$C$6-1),Görevler!$D78&gt;=Q$4),IF(Q$4&lt;=Görevler!$C78+ROUND(Görevler!$F78*Görevler!$E78,0)-1,2,1),""))</f>
        <v/>
      </c>
      <c r="R78" s="22" t="str">
        <f aca="false">IF(Görevler!$F78="","",IF(AND(Görevler!$C78&lt;=(R$4+Ayarlar!$C$6-1),Görevler!$D78&gt;=R$4),IF(R$4&lt;=Görevler!$C78+ROUND(Görevler!$F78*Görevler!$E78,0)-1,2,1),""))</f>
        <v/>
      </c>
      <c r="S78" s="22" t="str">
        <f aca="false">IF(Görevler!$F78="","",IF(AND(Görevler!$C78&lt;=(S$4+Ayarlar!$C$6-1),Görevler!$D78&gt;=S$4),IF(S$4&lt;=Görevler!$C78+ROUND(Görevler!$F78*Görevler!$E78,0)-1,2,1),""))</f>
        <v/>
      </c>
      <c r="T78" s="22" t="str">
        <f aca="false">IF(Görevler!$F78="","",IF(AND(Görevler!$C78&lt;=(T$4+Ayarlar!$C$6-1),Görevler!$D78&gt;=T$4),IF(T$4&lt;=Görevler!$C78+ROUND(Görevler!$F78*Görevler!$E78,0)-1,2,1),""))</f>
        <v/>
      </c>
      <c r="U78" s="22" t="str">
        <f aca="false">IF(Görevler!$F78="","",IF(AND(Görevler!$C78&lt;=(U$4+Ayarlar!$C$6-1),Görevler!$D78&gt;=U$4),IF(U$4&lt;=Görevler!$C78+ROUND(Görevler!$F78*Görevler!$E78,0)-1,2,1),""))</f>
        <v/>
      </c>
      <c r="V78" s="22" t="str">
        <f aca="false">IF(Görevler!$F78="","",IF(AND(Görevler!$C78&lt;=(V$4+Ayarlar!$C$6-1),Görevler!$D78&gt;=V$4),IF(V$4&lt;=Görevler!$C78+ROUND(Görevler!$F78*Görevler!$E78,0)-1,2,1),""))</f>
        <v/>
      </c>
      <c r="W78" s="22" t="str">
        <f aca="false">IF(Görevler!$F78="","",IF(AND(Görevler!$C78&lt;=(W$4+Ayarlar!$C$6-1),Görevler!$D78&gt;=W$4),IF(W$4&lt;=Görevler!$C78+ROUND(Görevler!$F78*Görevler!$E78,0)-1,2,1),""))</f>
        <v/>
      </c>
      <c r="X78" s="22" t="str">
        <f aca="false">IF(Görevler!$F78="","",IF(AND(Görevler!$C78&lt;=(X$4+Ayarlar!$C$6-1),Görevler!$D78&gt;=X$4),IF(X$4&lt;=Görevler!$C78+ROUND(Görevler!$F78*Görevler!$E78,0)-1,2,1),""))</f>
        <v/>
      </c>
      <c r="Y78" s="22" t="str">
        <f aca="false">IF(Görevler!$F78="","",IF(AND(Görevler!$C78&lt;=(Y$4+Ayarlar!$C$6-1),Görevler!$D78&gt;=Y$4),IF(Y$4&lt;=Görevler!$C78+ROUND(Görevler!$F78*Görevler!$E78,0)-1,2,1),""))</f>
        <v/>
      </c>
      <c r="Z78" s="22" t="str">
        <f aca="false">IF(Görevler!$F78="","",IF(AND(Görevler!$C78&lt;=(Z$4+Ayarlar!$C$6-1),Görevler!$D78&gt;=Z$4),IF(Z$4&lt;=Görevler!$C78+ROUND(Görevler!$F78*Görevler!$E78,0)-1,2,1),""))</f>
        <v/>
      </c>
      <c r="AA78" s="22" t="str">
        <f aca="false">IF(Görevler!$F78="","",IF(AND(Görevler!$C78&lt;=(AA$4+Ayarlar!$C$6-1),Görevler!$D78&gt;=AA$4),IF(AA$4&lt;=Görevler!$C78+ROUND(Görevler!$F78*Görevler!$E78,0)-1,2,1),""))</f>
        <v/>
      </c>
      <c r="AB78" s="22" t="str">
        <f aca="false">IF(Görevler!$F78="","",IF(AND(Görevler!$C78&lt;=(AB$4+Ayarlar!$C$6-1),Görevler!$D78&gt;=AB$4),IF(AB$4&lt;=Görevler!$C78+ROUND(Görevler!$F78*Görevler!$E78,0)-1,2,1),""))</f>
        <v/>
      </c>
      <c r="AC78" s="22" t="str">
        <f aca="false">IF(Görevler!$F78="","",IF(AND(Görevler!$C78&lt;=(AC$4+Ayarlar!$C$6-1),Görevler!$D78&gt;=AC$4),IF(AC$4&lt;=Görevler!$C78+ROUND(Görevler!$F78*Görevler!$E78,0)-1,2,1),""))</f>
        <v/>
      </c>
      <c r="AD78" s="22" t="str">
        <f aca="false">IF(Görevler!$F78="","",IF(AND(Görevler!$C78&lt;=(AD$4+Ayarlar!$C$6-1),Görevler!$D78&gt;=AD$4),IF(AD$4&lt;=Görevler!$C78+ROUND(Görevler!$F78*Görevler!$E78,0)-1,2,1),""))</f>
        <v/>
      </c>
      <c r="AE78" s="22" t="str">
        <f aca="false">IF(Görevler!$F78="","",IF(AND(Görevler!$C78&lt;=(AE$4+Ayarlar!$C$6-1),Görevler!$D78&gt;=AE$4),IF(AE$4&lt;=Görevler!$C78+ROUND(Görevler!$F78*Görevler!$E78,0)-1,2,1),""))</f>
        <v/>
      </c>
      <c r="AF78" s="22" t="str">
        <f aca="false">IF(Görevler!$F78="","",IF(AND(Görevler!$C78&lt;=(AF$4+Ayarlar!$C$6-1),Görevler!$D78&gt;=AF$4),IF(AF$4&lt;=Görevler!$C78+ROUND(Görevler!$F78*Görevler!$E78,0)-1,2,1),""))</f>
        <v/>
      </c>
      <c r="AG78" s="22" t="str">
        <f aca="false">IF(Görevler!$F78="","",IF(AND(Görevler!$C78&lt;=(AG$4+Ayarlar!$C$6-1),Görevler!$D78&gt;=AG$4),IF(AG$4&lt;=Görevler!$C78+ROUND(Görevler!$F78*Görevler!$E78,0)-1,2,1),""))</f>
        <v/>
      </c>
      <c r="AH78" s="22" t="str">
        <f aca="false">IF(Görevler!$F78="","",IF(AND(Görevler!$C78&lt;=(AH$4+Ayarlar!$C$6-1),Görevler!$D78&gt;=AH$4),IF(AH$4&lt;=Görevler!$C78+ROUND(Görevler!$F78*Görevler!$E78,0)-1,2,1),""))</f>
        <v/>
      </c>
      <c r="AI78" s="22" t="str">
        <f aca="false">IF(Görevler!$F78="","",IF(AND(Görevler!$C78&lt;=(AI$4+Ayarlar!$C$6-1),Görevler!$D78&gt;=AI$4),IF(AI$4&lt;=Görevler!$C78+ROUND(Görevler!$F78*Görevler!$E78,0)-1,2,1),""))</f>
        <v/>
      </c>
      <c r="AJ78" s="22" t="str">
        <f aca="false">IF(Görevler!$F78="","",IF(AND(Görevler!$C78&lt;=(AJ$4+Ayarlar!$C$6-1),Görevler!$D78&gt;=AJ$4),IF(AJ$4&lt;=Görevler!$C78+ROUND(Görevler!$F78*Görevler!$E78,0)-1,2,1),""))</f>
        <v/>
      </c>
      <c r="AK78" s="22" t="str">
        <f aca="false">IF(Görevler!$F78="","",IF(AND(Görevler!$C78&lt;=(AK$4+Ayarlar!$C$6-1),Görevler!$D78&gt;=AK$4),IF(AK$4&lt;=Görevler!$C78+ROUND(Görevler!$F78*Görevler!$E78,0)-1,2,1),""))</f>
        <v/>
      </c>
      <c r="AL78" s="22" t="str">
        <f aca="false">IF(Görevler!$F78="","",IF(AND(Görevler!$C78&lt;=(AL$4+Ayarlar!$C$6-1),Görevler!$D78&gt;=AL$4),IF(AL$4&lt;=Görevler!$C78+ROUND(Görevler!$F78*Görevler!$E78,0)-1,2,1),""))</f>
        <v/>
      </c>
      <c r="AM78" s="22" t="str">
        <f aca="false">IF(Görevler!$F78="","",IF(AND(Görevler!$C78&lt;=(AM$4+Ayarlar!$C$6-1),Görevler!$D78&gt;=AM$4),IF(AM$4&lt;=Görevler!$C78+ROUND(Görevler!$F78*Görevler!$E78,0)-1,2,1),""))</f>
        <v/>
      </c>
      <c r="AN78" s="22" t="str">
        <f aca="false">IF(Görevler!$F78="","",IF(AND(Görevler!$C78&lt;=(AN$4+Ayarlar!$C$6-1),Görevler!$D78&gt;=AN$4),IF(AN$4&lt;=Görevler!$C78+ROUND(Görevler!$F78*Görevler!$E78,0)-1,2,1),""))</f>
        <v/>
      </c>
      <c r="AO78" s="22" t="str">
        <f aca="false">IF(Görevler!$F78="","",IF(AND(Görevler!$C78&lt;=(AO$4+Ayarlar!$C$6-1),Görevler!$D78&gt;=AO$4),IF(AO$4&lt;=Görevler!$C78+ROUND(Görevler!$F78*Görevler!$E78,0)-1,2,1),""))</f>
        <v/>
      </c>
      <c r="AP78" s="22" t="str">
        <f aca="false">IF(Görevler!$F78="","",IF(AND(Görevler!$C78&lt;=(AP$4+Ayarlar!$C$6-1),Görevler!$D78&gt;=AP$4),IF(AP$4&lt;=Görevler!$C78+ROUND(Görevler!$F78*Görevler!$E78,0)-1,2,1),""))</f>
        <v/>
      </c>
      <c r="AQ78" s="22" t="str">
        <f aca="false">IF(Görevler!$F78="","",IF(AND(Görevler!$C78&lt;=(AQ$4+Ayarlar!$C$6-1),Görevler!$D78&gt;=AQ$4),IF(AQ$4&lt;=Görevler!$C78+ROUND(Görevler!$F78*Görevler!$E78,0)-1,2,1),""))</f>
        <v/>
      </c>
      <c r="AR78" s="22" t="str">
        <f aca="false">IF(Görevler!$F78="","",IF(AND(Görevler!$C78&lt;=(AR$4+Ayarlar!$C$6-1),Görevler!$D78&gt;=AR$4),IF(AR$4&lt;=Görevler!$C78+ROUND(Görevler!$F78*Görevler!$E78,0)-1,2,1),""))</f>
        <v/>
      </c>
      <c r="AS78" s="22" t="str">
        <f aca="false">IF(Görevler!$F78="","",IF(AND(Görevler!$C78&lt;=(AS$4+Ayarlar!$C$6-1),Görevler!$D78&gt;=AS$4),IF(AS$4&lt;=Görevler!$C78+ROUND(Görevler!$F78*Görevler!$E78,0)-1,2,1),""))</f>
        <v/>
      </c>
      <c r="AT78" s="22" t="str">
        <f aca="false">IF(Görevler!$F78="","",IF(AND(Görevler!$C78&lt;=(AT$4+Ayarlar!$C$6-1),Görevler!$D78&gt;=AT$4),IF(AT$4&lt;=Görevler!$C78+ROUND(Görevler!$F78*Görevler!$E78,0)-1,2,1),""))</f>
        <v/>
      </c>
      <c r="AU78" s="22" t="str">
        <f aca="false">IF(Görevler!$F78="","",IF(AND(Görevler!$C78&lt;=(AU$4+Ayarlar!$C$6-1),Görevler!$D78&gt;=AU$4),IF(AU$4&lt;=Görevler!$C78+ROUND(Görevler!$F78*Görevler!$E78,0)-1,2,1),""))</f>
        <v/>
      </c>
      <c r="AV78" s="22" t="str">
        <f aca="false">IF(Görevler!$F78="","",IF(AND(Görevler!$C78&lt;=(AV$4+Ayarlar!$C$6-1),Görevler!$D78&gt;=AV$4),IF(AV$4&lt;=Görevler!$C78+ROUND(Görevler!$F78*Görevler!$E78,0)-1,2,1),""))</f>
        <v/>
      </c>
      <c r="AW78" s="22" t="str">
        <f aca="false">IF(Görevler!$F78="","",IF(AND(Görevler!$C78&lt;=(AW$4+Ayarlar!$C$6-1),Görevler!$D78&gt;=AW$4),IF(AW$4&lt;=Görevler!$C78+ROUND(Görevler!$F78*Görevler!$E78,0)-1,2,1),""))</f>
        <v/>
      </c>
      <c r="AX78" s="22" t="str">
        <f aca="false">IF(Görevler!$F78="","",IF(AND(Görevler!$C78&lt;=(AX$4+Ayarlar!$C$6-1),Görevler!$D78&gt;=AX$4),IF(AX$4&lt;=Görevler!$C78+ROUND(Görevler!$F78*Görevler!$E78,0)-1,2,1),""))</f>
        <v/>
      </c>
      <c r="AY78" s="22" t="str">
        <f aca="false">IF(Görevler!$F78="","",IF(AND(Görevler!$C78&lt;=(AY$4+Ayarlar!$C$6-1),Görevler!$D78&gt;=AY$4),IF(AY$4&lt;=Görevler!$C78+ROUND(Görevler!$F78*Görevler!$E78,0)-1,2,1),""))</f>
        <v/>
      </c>
      <c r="AZ78" s="22" t="str">
        <f aca="false">IF(Görevler!$F78="","",IF(AND(Görevler!$C78&lt;=(AZ$4+Ayarlar!$C$6-1),Görevler!$D78&gt;=AZ$4),IF(AZ$4&lt;=Görevler!$C78+ROUND(Görevler!$F78*Görevler!$E78,0)-1,2,1),""))</f>
        <v/>
      </c>
      <c r="BA78" s="22" t="str">
        <f aca="false">IF(Görevler!$F78="","",IF(AND(Görevler!$C78&lt;=(BA$4+Ayarlar!$C$6-1),Görevler!$D78&gt;=BA$4),IF(BA$4&lt;=Görevler!$C78+ROUND(Görevler!$F78*Görevler!$E78,0)-1,2,1),""))</f>
        <v/>
      </c>
      <c r="BB78" s="22" t="str">
        <f aca="false">IF(Görevler!$F78="","",IF(AND(Görevler!$C78&lt;=(BB$4+Ayarlar!$C$6-1),Görevler!$D78&gt;=BB$4),IF(BB$4&lt;=Görevler!$C78+ROUND(Görevler!$F78*Görevler!$E78,0)-1,2,1),""))</f>
        <v/>
      </c>
      <c r="BC78" s="22" t="str">
        <f aca="false">IF(Görevler!$F78="","",IF(AND(Görevler!$C78&lt;=(BC$4+Ayarlar!$C$6-1),Görevler!$D78&gt;=BC$4),IF(BC$4&lt;=Görevler!$C78+ROUND(Görevler!$F78*Görevler!$E78,0)-1,2,1),""))</f>
        <v/>
      </c>
      <c r="BD78" s="22" t="str">
        <f aca="false">IF(Görevler!$F78="","",IF(AND(Görevler!$C78&lt;=(BD$4+Ayarlar!$C$6-1),Görevler!$D78&gt;=BD$4),IF(BD$4&lt;=Görevler!$C78+ROUND(Görevler!$F78*Görevler!$E78,0)-1,2,1),""))</f>
        <v/>
      </c>
      <c r="BE78" s="22" t="str">
        <f aca="false">IF(Görevler!$F78="","",IF(AND(Görevler!$C78&lt;=(BE$4+Ayarlar!$C$6-1),Görevler!$D78&gt;=BE$4),IF(BE$4&lt;=Görevler!$C78+ROUND(Görevler!$F78*Görevler!$E78,0)-1,2,1),""))</f>
        <v/>
      </c>
      <c r="BF78" s="22" t="str">
        <f aca="false">IF(Görevler!$F78="","",IF(AND(Görevler!$C78&lt;=(BF$4+Ayarlar!$C$6-1),Görevler!$D78&gt;=BF$4),IF(BF$4&lt;=Görevler!$C78+ROUND(Görevler!$F78*Görevler!$E78,0)-1,2,1),""))</f>
        <v/>
      </c>
      <c r="BG78" s="22" t="str">
        <f aca="false">IF(Görevler!$F78="","",IF(AND(Görevler!$C78&lt;=(BG$4+Ayarlar!$C$6-1),Görevler!$D78&gt;=BG$4),IF(BG$4&lt;=Görevler!$C78+ROUND(Görevler!$F78*Görevler!$E78,0)-1,2,1),""))</f>
        <v/>
      </c>
      <c r="BH78" s="22" t="str">
        <f aca="false">IF(Görevler!$F78="","",IF(AND(Görevler!$C78&lt;=(BH$4+Ayarlar!$C$6-1),Görevler!$D78&gt;=BH$4),IF(BH$4&lt;=Görevler!$C78+ROUND(Görevler!$F78*Görevler!$E78,0)-1,2,1),""))</f>
        <v/>
      </c>
      <c r="BI78" s="22" t="str">
        <f aca="false">IF(Görevler!$F78="","",IF(AND(Görevler!$C78&lt;=(BI$4+Ayarlar!$C$6-1),Görevler!$D78&gt;=BI$4),IF(BI$4&lt;=Görevler!$C78+ROUND(Görevler!$F78*Görevler!$E78,0)-1,2,1),""))</f>
        <v/>
      </c>
      <c r="BJ78" s="22" t="str">
        <f aca="false">IF(Görevler!$F78="","",IF(AND(Görevler!$C78&lt;=(BJ$4+Ayarlar!$C$6-1),Görevler!$D78&gt;=BJ$4),IF(BJ$4&lt;=Görevler!$C78+ROUND(Görevler!$F78*Görevler!$E78,0)-1,2,1),""))</f>
        <v/>
      </c>
    </row>
    <row r="79" customFormat="false" ht="15" hidden="false" customHeight="false" outlineLevel="0" collapsed="false">
      <c r="A79" s="21" t="str">
        <f aca="false">IF(Görevler!A79="","",Görevler!A79)</f>
        <v/>
      </c>
      <c r="B79" s="21" t="str">
        <f aca="false">IF(Görevler!A79="","",Görevler!B79&amp;"")</f>
        <v/>
      </c>
      <c r="C79" s="22" t="str">
        <f aca="false">IF(Görevler!$F79="","",IF(AND(Görevler!$C79&lt;=(C$4+Ayarlar!$C$6-1),Görevler!$D79&gt;=C$4),IF(C$4&lt;=Görevler!$C79+ROUND(Görevler!$F79*Görevler!$E79,0)-1,2,1),""))</f>
        <v/>
      </c>
      <c r="D79" s="22" t="str">
        <f aca="false">IF(Görevler!$F79="","",IF(AND(Görevler!$C79&lt;=(D$4+Ayarlar!$C$6-1),Görevler!$D79&gt;=D$4),IF(D$4&lt;=Görevler!$C79+ROUND(Görevler!$F79*Görevler!$E79,0)-1,2,1),""))</f>
        <v/>
      </c>
      <c r="E79" s="22" t="str">
        <f aca="false">IF(Görevler!$F79="","",IF(AND(Görevler!$C79&lt;=(E$4+Ayarlar!$C$6-1),Görevler!$D79&gt;=E$4),IF(E$4&lt;=Görevler!$C79+ROUND(Görevler!$F79*Görevler!$E79,0)-1,2,1),""))</f>
        <v/>
      </c>
      <c r="F79" s="22" t="str">
        <f aca="false">IF(Görevler!$F79="","",IF(AND(Görevler!$C79&lt;=(F$4+Ayarlar!$C$6-1),Görevler!$D79&gt;=F$4),IF(F$4&lt;=Görevler!$C79+ROUND(Görevler!$F79*Görevler!$E79,0)-1,2,1),""))</f>
        <v/>
      </c>
      <c r="G79" s="22" t="str">
        <f aca="false">IF(Görevler!$F79="","",IF(AND(Görevler!$C79&lt;=(G$4+Ayarlar!$C$6-1),Görevler!$D79&gt;=G$4),IF(G$4&lt;=Görevler!$C79+ROUND(Görevler!$F79*Görevler!$E79,0)-1,2,1),""))</f>
        <v/>
      </c>
      <c r="H79" s="22" t="str">
        <f aca="false">IF(Görevler!$F79="","",IF(AND(Görevler!$C79&lt;=(H$4+Ayarlar!$C$6-1),Görevler!$D79&gt;=H$4),IF(H$4&lt;=Görevler!$C79+ROUND(Görevler!$F79*Görevler!$E79,0)-1,2,1),""))</f>
        <v/>
      </c>
      <c r="I79" s="22" t="str">
        <f aca="false">IF(Görevler!$F79="","",IF(AND(Görevler!$C79&lt;=(I$4+Ayarlar!$C$6-1),Görevler!$D79&gt;=I$4),IF(I$4&lt;=Görevler!$C79+ROUND(Görevler!$F79*Görevler!$E79,0)-1,2,1),""))</f>
        <v/>
      </c>
      <c r="J79" s="22" t="str">
        <f aca="false">IF(Görevler!$F79="","",IF(AND(Görevler!$C79&lt;=(J$4+Ayarlar!$C$6-1),Görevler!$D79&gt;=J$4),IF(J$4&lt;=Görevler!$C79+ROUND(Görevler!$F79*Görevler!$E79,0)-1,2,1),""))</f>
        <v/>
      </c>
      <c r="K79" s="22" t="str">
        <f aca="false">IF(Görevler!$F79="","",IF(AND(Görevler!$C79&lt;=(K$4+Ayarlar!$C$6-1),Görevler!$D79&gt;=K$4),IF(K$4&lt;=Görevler!$C79+ROUND(Görevler!$F79*Görevler!$E79,0)-1,2,1),""))</f>
        <v/>
      </c>
      <c r="L79" s="22" t="str">
        <f aca="false">IF(Görevler!$F79="","",IF(AND(Görevler!$C79&lt;=(L$4+Ayarlar!$C$6-1),Görevler!$D79&gt;=L$4),IF(L$4&lt;=Görevler!$C79+ROUND(Görevler!$F79*Görevler!$E79,0)-1,2,1),""))</f>
        <v/>
      </c>
      <c r="M79" s="22" t="str">
        <f aca="false">IF(Görevler!$F79="","",IF(AND(Görevler!$C79&lt;=(M$4+Ayarlar!$C$6-1),Görevler!$D79&gt;=M$4),IF(M$4&lt;=Görevler!$C79+ROUND(Görevler!$F79*Görevler!$E79,0)-1,2,1),""))</f>
        <v/>
      </c>
      <c r="N79" s="22" t="str">
        <f aca="false">IF(Görevler!$F79="","",IF(AND(Görevler!$C79&lt;=(N$4+Ayarlar!$C$6-1),Görevler!$D79&gt;=N$4),IF(N$4&lt;=Görevler!$C79+ROUND(Görevler!$F79*Görevler!$E79,0)-1,2,1),""))</f>
        <v/>
      </c>
      <c r="O79" s="22" t="str">
        <f aca="false">IF(Görevler!$F79="","",IF(AND(Görevler!$C79&lt;=(O$4+Ayarlar!$C$6-1),Görevler!$D79&gt;=O$4),IF(O$4&lt;=Görevler!$C79+ROUND(Görevler!$F79*Görevler!$E79,0)-1,2,1),""))</f>
        <v/>
      </c>
      <c r="P79" s="22" t="str">
        <f aca="false">IF(Görevler!$F79="","",IF(AND(Görevler!$C79&lt;=(P$4+Ayarlar!$C$6-1),Görevler!$D79&gt;=P$4),IF(P$4&lt;=Görevler!$C79+ROUND(Görevler!$F79*Görevler!$E79,0)-1,2,1),""))</f>
        <v/>
      </c>
      <c r="Q79" s="22" t="str">
        <f aca="false">IF(Görevler!$F79="","",IF(AND(Görevler!$C79&lt;=(Q$4+Ayarlar!$C$6-1),Görevler!$D79&gt;=Q$4),IF(Q$4&lt;=Görevler!$C79+ROUND(Görevler!$F79*Görevler!$E79,0)-1,2,1),""))</f>
        <v/>
      </c>
      <c r="R79" s="22" t="str">
        <f aca="false">IF(Görevler!$F79="","",IF(AND(Görevler!$C79&lt;=(R$4+Ayarlar!$C$6-1),Görevler!$D79&gt;=R$4),IF(R$4&lt;=Görevler!$C79+ROUND(Görevler!$F79*Görevler!$E79,0)-1,2,1),""))</f>
        <v/>
      </c>
      <c r="S79" s="22" t="str">
        <f aca="false">IF(Görevler!$F79="","",IF(AND(Görevler!$C79&lt;=(S$4+Ayarlar!$C$6-1),Görevler!$D79&gt;=S$4),IF(S$4&lt;=Görevler!$C79+ROUND(Görevler!$F79*Görevler!$E79,0)-1,2,1),""))</f>
        <v/>
      </c>
      <c r="T79" s="22" t="str">
        <f aca="false">IF(Görevler!$F79="","",IF(AND(Görevler!$C79&lt;=(T$4+Ayarlar!$C$6-1),Görevler!$D79&gt;=T$4),IF(T$4&lt;=Görevler!$C79+ROUND(Görevler!$F79*Görevler!$E79,0)-1,2,1),""))</f>
        <v/>
      </c>
      <c r="U79" s="22" t="str">
        <f aca="false">IF(Görevler!$F79="","",IF(AND(Görevler!$C79&lt;=(U$4+Ayarlar!$C$6-1),Görevler!$D79&gt;=U$4),IF(U$4&lt;=Görevler!$C79+ROUND(Görevler!$F79*Görevler!$E79,0)-1,2,1),""))</f>
        <v/>
      </c>
      <c r="V79" s="22" t="str">
        <f aca="false">IF(Görevler!$F79="","",IF(AND(Görevler!$C79&lt;=(V$4+Ayarlar!$C$6-1),Görevler!$D79&gt;=V$4),IF(V$4&lt;=Görevler!$C79+ROUND(Görevler!$F79*Görevler!$E79,0)-1,2,1),""))</f>
        <v/>
      </c>
      <c r="W79" s="22" t="str">
        <f aca="false">IF(Görevler!$F79="","",IF(AND(Görevler!$C79&lt;=(W$4+Ayarlar!$C$6-1),Görevler!$D79&gt;=W$4),IF(W$4&lt;=Görevler!$C79+ROUND(Görevler!$F79*Görevler!$E79,0)-1,2,1),""))</f>
        <v/>
      </c>
      <c r="X79" s="22" t="str">
        <f aca="false">IF(Görevler!$F79="","",IF(AND(Görevler!$C79&lt;=(X$4+Ayarlar!$C$6-1),Görevler!$D79&gt;=X$4),IF(X$4&lt;=Görevler!$C79+ROUND(Görevler!$F79*Görevler!$E79,0)-1,2,1),""))</f>
        <v/>
      </c>
      <c r="Y79" s="22" t="str">
        <f aca="false">IF(Görevler!$F79="","",IF(AND(Görevler!$C79&lt;=(Y$4+Ayarlar!$C$6-1),Görevler!$D79&gt;=Y$4),IF(Y$4&lt;=Görevler!$C79+ROUND(Görevler!$F79*Görevler!$E79,0)-1,2,1),""))</f>
        <v/>
      </c>
      <c r="Z79" s="22" t="str">
        <f aca="false">IF(Görevler!$F79="","",IF(AND(Görevler!$C79&lt;=(Z$4+Ayarlar!$C$6-1),Görevler!$D79&gt;=Z$4),IF(Z$4&lt;=Görevler!$C79+ROUND(Görevler!$F79*Görevler!$E79,0)-1,2,1),""))</f>
        <v/>
      </c>
      <c r="AA79" s="22" t="str">
        <f aca="false">IF(Görevler!$F79="","",IF(AND(Görevler!$C79&lt;=(AA$4+Ayarlar!$C$6-1),Görevler!$D79&gt;=AA$4),IF(AA$4&lt;=Görevler!$C79+ROUND(Görevler!$F79*Görevler!$E79,0)-1,2,1),""))</f>
        <v/>
      </c>
      <c r="AB79" s="22" t="str">
        <f aca="false">IF(Görevler!$F79="","",IF(AND(Görevler!$C79&lt;=(AB$4+Ayarlar!$C$6-1),Görevler!$D79&gt;=AB$4),IF(AB$4&lt;=Görevler!$C79+ROUND(Görevler!$F79*Görevler!$E79,0)-1,2,1),""))</f>
        <v/>
      </c>
      <c r="AC79" s="22" t="str">
        <f aca="false">IF(Görevler!$F79="","",IF(AND(Görevler!$C79&lt;=(AC$4+Ayarlar!$C$6-1),Görevler!$D79&gt;=AC$4),IF(AC$4&lt;=Görevler!$C79+ROUND(Görevler!$F79*Görevler!$E79,0)-1,2,1),""))</f>
        <v/>
      </c>
      <c r="AD79" s="22" t="str">
        <f aca="false">IF(Görevler!$F79="","",IF(AND(Görevler!$C79&lt;=(AD$4+Ayarlar!$C$6-1),Görevler!$D79&gt;=AD$4),IF(AD$4&lt;=Görevler!$C79+ROUND(Görevler!$F79*Görevler!$E79,0)-1,2,1),""))</f>
        <v/>
      </c>
      <c r="AE79" s="22" t="str">
        <f aca="false">IF(Görevler!$F79="","",IF(AND(Görevler!$C79&lt;=(AE$4+Ayarlar!$C$6-1),Görevler!$D79&gt;=AE$4),IF(AE$4&lt;=Görevler!$C79+ROUND(Görevler!$F79*Görevler!$E79,0)-1,2,1),""))</f>
        <v/>
      </c>
      <c r="AF79" s="22" t="str">
        <f aca="false">IF(Görevler!$F79="","",IF(AND(Görevler!$C79&lt;=(AF$4+Ayarlar!$C$6-1),Görevler!$D79&gt;=AF$4),IF(AF$4&lt;=Görevler!$C79+ROUND(Görevler!$F79*Görevler!$E79,0)-1,2,1),""))</f>
        <v/>
      </c>
      <c r="AG79" s="22" t="str">
        <f aca="false">IF(Görevler!$F79="","",IF(AND(Görevler!$C79&lt;=(AG$4+Ayarlar!$C$6-1),Görevler!$D79&gt;=AG$4),IF(AG$4&lt;=Görevler!$C79+ROUND(Görevler!$F79*Görevler!$E79,0)-1,2,1),""))</f>
        <v/>
      </c>
      <c r="AH79" s="22" t="str">
        <f aca="false">IF(Görevler!$F79="","",IF(AND(Görevler!$C79&lt;=(AH$4+Ayarlar!$C$6-1),Görevler!$D79&gt;=AH$4),IF(AH$4&lt;=Görevler!$C79+ROUND(Görevler!$F79*Görevler!$E79,0)-1,2,1),""))</f>
        <v/>
      </c>
      <c r="AI79" s="22" t="str">
        <f aca="false">IF(Görevler!$F79="","",IF(AND(Görevler!$C79&lt;=(AI$4+Ayarlar!$C$6-1),Görevler!$D79&gt;=AI$4),IF(AI$4&lt;=Görevler!$C79+ROUND(Görevler!$F79*Görevler!$E79,0)-1,2,1),""))</f>
        <v/>
      </c>
      <c r="AJ79" s="22" t="str">
        <f aca="false">IF(Görevler!$F79="","",IF(AND(Görevler!$C79&lt;=(AJ$4+Ayarlar!$C$6-1),Görevler!$D79&gt;=AJ$4),IF(AJ$4&lt;=Görevler!$C79+ROUND(Görevler!$F79*Görevler!$E79,0)-1,2,1),""))</f>
        <v/>
      </c>
      <c r="AK79" s="22" t="str">
        <f aca="false">IF(Görevler!$F79="","",IF(AND(Görevler!$C79&lt;=(AK$4+Ayarlar!$C$6-1),Görevler!$D79&gt;=AK$4),IF(AK$4&lt;=Görevler!$C79+ROUND(Görevler!$F79*Görevler!$E79,0)-1,2,1),""))</f>
        <v/>
      </c>
      <c r="AL79" s="22" t="str">
        <f aca="false">IF(Görevler!$F79="","",IF(AND(Görevler!$C79&lt;=(AL$4+Ayarlar!$C$6-1),Görevler!$D79&gt;=AL$4),IF(AL$4&lt;=Görevler!$C79+ROUND(Görevler!$F79*Görevler!$E79,0)-1,2,1),""))</f>
        <v/>
      </c>
      <c r="AM79" s="22" t="str">
        <f aca="false">IF(Görevler!$F79="","",IF(AND(Görevler!$C79&lt;=(AM$4+Ayarlar!$C$6-1),Görevler!$D79&gt;=AM$4),IF(AM$4&lt;=Görevler!$C79+ROUND(Görevler!$F79*Görevler!$E79,0)-1,2,1),""))</f>
        <v/>
      </c>
      <c r="AN79" s="22" t="str">
        <f aca="false">IF(Görevler!$F79="","",IF(AND(Görevler!$C79&lt;=(AN$4+Ayarlar!$C$6-1),Görevler!$D79&gt;=AN$4),IF(AN$4&lt;=Görevler!$C79+ROUND(Görevler!$F79*Görevler!$E79,0)-1,2,1),""))</f>
        <v/>
      </c>
      <c r="AO79" s="22" t="str">
        <f aca="false">IF(Görevler!$F79="","",IF(AND(Görevler!$C79&lt;=(AO$4+Ayarlar!$C$6-1),Görevler!$D79&gt;=AO$4),IF(AO$4&lt;=Görevler!$C79+ROUND(Görevler!$F79*Görevler!$E79,0)-1,2,1),""))</f>
        <v/>
      </c>
      <c r="AP79" s="22" t="str">
        <f aca="false">IF(Görevler!$F79="","",IF(AND(Görevler!$C79&lt;=(AP$4+Ayarlar!$C$6-1),Görevler!$D79&gt;=AP$4),IF(AP$4&lt;=Görevler!$C79+ROUND(Görevler!$F79*Görevler!$E79,0)-1,2,1),""))</f>
        <v/>
      </c>
      <c r="AQ79" s="22" t="str">
        <f aca="false">IF(Görevler!$F79="","",IF(AND(Görevler!$C79&lt;=(AQ$4+Ayarlar!$C$6-1),Görevler!$D79&gt;=AQ$4),IF(AQ$4&lt;=Görevler!$C79+ROUND(Görevler!$F79*Görevler!$E79,0)-1,2,1),""))</f>
        <v/>
      </c>
      <c r="AR79" s="22" t="str">
        <f aca="false">IF(Görevler!$F79="","",IF(AND(Görevler!$C79&lt;=(AR$4+Ayarlar!$C$6-1),Görevler!$D79&gt;=AR$4),IF(AR$4&lt;=Görevler!$C79+ROUND(Görevler!$F79*Görevler!$E79,0)-1,2,1),""))</f>
        <v/>
      </c>
      <c r="AS79" s="22" t="str">
        <f aca="false">IF(Görevler!$F79="","",IF(AND(Görevler!$C79&lt;=(AS$4+Ayarlar!$C$6-1),Görevler!$D79&gt;=AS$4),IF(AS$4&lt;=Görevler!$C79+ROUND(Görevler!$F79*Görevler!$E79,0)-1,2,1),""))</f>
        <v/>
      </c>
      <c r="AT79" s="22" t="str">
        <f aca="false">IF(Görevler!$F79="","",IF(AND(Görevler!$C79&lt;=(AT$4+Ayarlar!$C$6-1),Görevler!$D79&gt;=AT$4),IF(AT$4&lt;=Görevler!$C79+ROUND(Görevler!$F79*Görevler!$E79,0)-1,2,1),""))</f>
        <v/>
      </c>
      <c r="AU79" s="22" t="str">
        <f aca="false">IF(Görevler!$F79="","",IF(AND(Görevler!$C79&lt;=(AU$4+Ayarlar!$C$6-1),Görevler!$D79&gt;=AU$4),IF(AU$4&lt;=Görevler!$C79+ROUND(Görevler!$F79*Görevler!$E79,0)-1,2,1),""))</f>
        <v/>
      </c>
      <c r="AV79" s="22" t="str">
        <f aca="false">IF(Görevler!$F79="","",IF(AND(Görevler!$C79&lt;=(AV$4+Ayarlar!$C$6-1),Görevler!$D79&gt;=AV$4),IF(AV$4&lt;=Görevler!$C79+ROUND(Görevler!$F79*Görevler!$E79,0)-1,2,1),""))</f>
        <v/>
      </c>
      <c r="AW79" s="22" t="str">
        <f aca="false">IF(Görevler!$F79="","",IF(AND(Görevler!$C79&lt;=(AW$4+Ayarlar!$C$6-1),Görevler!$D79&gt;=AW$4),IF(AW$4&lt;=Görevler!$C79+ROUND(Görevler!$F79*Görevler!$E79,0)-1,2,1),""))</f>
        <v/>
      </c>
      <c r="AX79" s="22" t="str">
        <f aca="false">IF(Görevler!$F79="","",IF(AND(Görevler!$C79&lt;=(AX$4+Ayarlar!$C$6-1),Görevler!$D79&gt;=AX$4),IF(AX$4&lt;=Görevler!$C79+ROUND(Görevler!$F79*Görevler!$E79,0)-1,2,1),""))</f>
        <v/>
      </c>
      <c r="AY79" s="22" t="str">
        <f aca="false">IF(Görevler!$F79="","",IF(AND(Görevler!$C79&lt;=(AY$4+Ayarlar!$C$6-1),Görevler!$D79&gt;=AY$4),IF(AY$4&lt;=Görevler!$C79+ROUND(Görevler!$F79*Görevler!$E79,0)-1,2,1),""))</f>
        <v/>
      </c>
      <c r="AZ79" s="22" t="str">
        <f aca="false">IF(Görevler!$F79="","",IF(AND(Görevler!$C79&lt;=(AZ$4+Ayarlar!$C$6-1),Görevler!$D79&gt;=AZ$4),IF(AZ$4&lt;=Görevler!$C79+ROUND(Görevler!$F79*Görevler!$E79,0)-1,2,1),""))</f>
        <v/>
      </c>
      <c r="BA79" s="22" t="str">
        <f aca="false">IF(Görevler!$F79="","",IF(AND(Görevler!$C79&lt;=(BA$4+Ayarlar!$C$6-1),Görevler!$D79&gt;=BA$4),IF(BA$4&lt;=Görevler!$C79+ROUND(Görevler!$F79*Görevler!$E79,0)-1,2,1),""))</f>
        <v/>
      </c>
      <c r="BB79" s="22" t="str">
        <f aca="false">IF(Görevler!$F79="","",IF(AND(Görevler!$C79&lt;=(BB$4+Ayarlar!$C$6-1),Görevler!$D79&gt;=BB$4),IF(BB$4&lt;=Görevler!$C79+ROUND(Görevler!$F79*Görevler!$E79,0)-1,2,1),""))</f>
        <v/>
      </c>
      <c r="BC79" s="22" t="str">
        <f aca="false">IF(Görevler!$F79="","",IF(AND(Görevler!$C79&lt;=(BC$4+Ayarlar!$C$6-1),Görevler!$D79&gt;=BC$4),IF(BC$4&lt;=Görevler!$C79+ROUND(Görevler!$F79*Görevler!$E79,0)-1,2,1),""))</f>
        <v/>
      </c>
      <c r="BD79" s="22" t="str">
        <f aca="false">IF(Görevler!$F79="","",IF(AND(Görevler!$C79&lt;=(BD$4+Ayarlar!$C$6-1),Görevler!$D79&gt;=BD$4),IF(BD$4&lt;=Görevler!$C79+ROUND(Görevler!$F79*Görevler!$E79,0)-1,2,1),""))</f>
        <v/>
      </c>
      <c r="BE79" s="22" t="str">
        <f aca="false">IF(Görevler!$F79="","",IF(AND(Görevler!$C79&lt;=(BE$4+Ayarlar!$C$6-1),Görevler!$D79&gt;=BE$4),IF(BE$4&lt;=Görevler!$C79+ROUND(Görevler!$F79*Görevler!$E79,0)-1,2,1),""))</f>
        <v/>
      </c>
      <c r="BF79" s="22" t="str">
        <f aca="false">IF(Görevler!$F79="","",IF(AND(Görevler!$C79&lt;=(BF$4+Ayarlar!$C$6-1),Görevler!$D79&gt;=BF$4),IF(BF$4&lt;=Görevler!$C79+ROUND(Görevler!$F79*Görevler!$E79,0)-1,2,1),""))</f>
        <v/>
      </c>
      <c r="BG79" s="22" t="str">
        <f aca="false">IF(Görevler!$F79="","",IF(AND(Görevler!$C79&lt;=(BG$4+Ayarlar!$C$6-1),Görevler!$D79&gt;=BG$4),IF(BG$4&lt;=Görevler!$C79+ROUND(Görevler!$F79*Görevler!$E79,0)-1,2,1),""))</f>
        <v/>
      </c>
      <c r="BH79" s="22" t="str">
        <f aca="false">IF(Görevler!$F79="","",IF(AND(Görevler!$C79&lt;=(BH$4+Ayarlar!$C$6-1),Görevler!$D79&gt;=BH$4),IF(BH$4&lt;=Görevler!$C79+ROUND(Görevler!$F79*Görevler!$E79,0)-1,2,1),""))</f>
        <v/>
      </c>
      <c r="BI79" s="22" t="str">
        <f aca="false">IF(Görevler!$F79="","",IF(AND(Görevler!$C79&lt;=(BI$4+Ayarlar!$C$6-1),Görevler!$D79&gt;=BI$4),IF(BI$4&lt;=Görevler!$C79+ROUND(Görevler!$F79*Görevler!$E79,0)-1,2,1),""))</f>
        <v/>
      </c>
      <c r="BJ79" s="22" t="str">
        <f aca="false">IF(Görevler!$F79="","",IF(AND(Görevler!$C79&lt;=(BJ$4+Ayarlar!$C$6-1),Görevler!$D79&gt;=BJ$4),IF(BJ$4&lt;=Görevler!$C79+ROUND(Görevler!$F79*Görevler!$E79,0)-1,2,1),""))</f>
        <v/>
      </c>
    </row>
    <row r="80" customFormat="false" ht="15" hidden="false" customHeight="false" outlineLevel="0" collapsed="false">
      <c r="A80" s="21" t="str">
        <f aca="false">IF(Görevler!A80="","",Görevler!A80)</f>
        <v/>
      </c>
      <c r="B80" s="21" t="str">
        <f aca="false">IF(Görevler!A80="","",Görevler!B80&amp;"")</f>
        <v/>
      </c>
      <c r="C80" s="22" t="str">
        <f aca="false">IF(Görevler!$F80="","",IF(AND(Görevler!$C80&lt;=(C$4+Ayarlar!$C$6-1),Görevler!$D80&gt;=C$4),IF(C$4&lt;=Görevler!$C80+ROUND(Görevler!$F80*Görevler!$E80,0)-1,2,1),""))</f>
        <v/>
      </c>
      <c r="D80" s="22" t="str">
        <f aca="false">IF(Görevler!$F80="","",IF(AND(Görevler!$C80&lt;=(D$4+Ayarlar!$C$6-1),Görevler!$D80&gt;=D$4),IF(D$4&lt;=Görevler!$C80+ROUND(Görevler!$F80*Görevler!$E80,0)-1,2,1),""))</f>
        <v/>
      </c>
      <c r="E80" s="22" t="str">
        <f aca="false">IF(Görevler!$F80="","",IF(AND(Görevler!$C80&lt;=(E$4+Ayarlar!$C$6-1),Görevler!$D80&gt;=E$4),IF(E$4&lt;=Görevler!$C80+ROUND(Görevler!$F80*Görevler!$E80,0)-1,2,1),""))</f>
        <v/>
      </c>
      <c r="F80" s="22" t="str">
        <f aca="false">IF(Görevler!$F80="","",IF(AND(Görevler!$C80&lt;=(F$4+Ayarlar!$C$6-1),Görevler!$D80&gt;=F$4),IF(F$4&lt;=Görevler!$C80+ROUND(Görevler!$F80*Görevler!$E80,0)-1,2,1),""))</f>
        <v/>
      </c>
      <c r="G80" s="22" t="str">
        <f aca="false">IF(Görevler!$F80="","",IF(AND(Görevler!$C80&lt;=(G$4+Ayarlar!$C$6-1),Görevler!$D80&gt;=G$4),IF(G$4&lt;=Görevler!$C80+ROUND(Görevler!$F80*Görevler!$E80,0)-1,2,1),""))</f>
        <v/>
      </c>
      <c r="H80" s="22" t="str">
        <f aca="false">IF(Görevler!$F80="","",IF(AND(Görevler!$C80&lt;=(H$4+Ayarlar!$C$6-1),Görevler!$D80&gt;=H$4),IF(H$4&lt;=Görevler!$C80+ROUND(Görevler!$F80*Görevler!$E80,0)-1,2,1),""))</f>
        <v/>
      </c>
      <c r="I80" s="22" t="str">
        <f aca="false">IF(Görevler!$F80="","",IF(AND(Görevler!$C80&lt;=(I$4+Ayarlar!$C$6-1),Görevler!$D80&gt;=I$4),IF(I$4&lt;=Görevler!$C80+ROUND(Görevler!$F80*Görevler!$E80,0)-1,2,1),""))</f>
        <v/>
      </c>
      <c r="J80" s="22" t="str">
        <f aca="false">IF(Görevler!$F80="","",IF(AND(Görevler!$C80&lt;=(J$4+Ayarlar!$C$6-1),Görevler!$D80&gt;=J$4),IF(J$4&lt;=Görevler!$C80+ROUND(Görevler!$F80*Görevler!$E80,0)-1,2,1),""))</f>
        <v/>
      </c>
      <c r="K80" s="22" t="str">
        <f aca="false">IF(Görevler!$F80="","",IF(AND(Görevler!$C80&lt;=(K$4+Ayarlar!$C$6-1),Görevler!$D80&gt;=K$4),IF(K$4&lt;=Görevler!$C80+ROUND(Görevler!$F80*Görevler!$E80,0)-1,2,1),""))</f>
        <v/>
      </c>
      <c r="L80" s="22" t="str">
        <f aca="false">IF(Görevler!$F80="","",IF(AND(Görevler!$C80&lt;=(L$4+Ayarlar!$C$6-1),Görevler!$D80&gt;=L$4),IF(L$4&lt;=Görevler!$C80+ROUND(Görevler!$F80*Görevler!$E80,0)-1,2,1),""))</f>
        <v/>
      </c>
      <c r="M80" s="22" t="str">
        <f aca="false">IF(Görevler!$F80="","",IF(AND(Görevler!$C80&lt;=(M$4+Ayarlar!$C$6-1),Görevler!$D80&gt;=M$4),IF(M$4&lt;=Görevler!$C80+ROUND(Görevler!$F80*Görevler!$E80,0)-1,2,1),""))</f>
        <v/>
      </c>
      <c r="N80" s="22" t="str">
        <f aca="false">IF(Görevler!$F80="","",IF(AND(Görevler!$C80&lt;=(N$4+Ayarlar!$C$6-1),Görevler!$D80&gt;=N$4),IF(N$4&lt;=Görevler!$C80+ROUND(Görevler!$F80*Görevler!$E80,0)-1,2,1),""))</f>
        <v/>
      </c>
      <c r="O80" s="22" t="str">
        <f aca="false">IF(Görevler!$F80="","",IF(AND(Görevler!$C80&lt;=(O$4+Ayarlar!$C$6-1),Görevler!$D80&gt;=O$4),IF(O$4&lt;=Görevler!$C80+ROUND(Görevler!$F80*Görevler!$E80,0)-1,2,1),""))</f>
        <v/>
      </c>
      <c r="P80" s="22" t="str">
        <f aca="false">IF(Görevler!$F80="","",IF(AND(Görevler!$C80&lt;=(P$4+Ayarlar!$C$6-1),Görevler!$D80&gt;=P$4),IF(P$4&lt;=Görevler!$C80+ROUND(Görevler!$F80*Görevler!$E80,0)-1,2,1),""))</f>
        <v/>
      </c>
      <c r="Q80" s="22" t="str">
        <f aca="false">IF(Görevler!$F80="","",IF(AND(Görevler!$C80&lt;=(Q$4+Ayarlar!$C$6-1),Görevler!$D80&gt;=Q$4),IF(Q$4&lt;=Görevler!$C80+ROUND(Görevler!$F80*Görevler!$E80,0)-1,2,1),""))</f>
        <v/>
      </c>
      <c r="R80" s="22" t="str">
        <f aca="false">IF(Görevler!$F80="","",IF(AND(Görevler!$C80&lt;=(R$4+Ayarlar!$C$6-1),Görevler!$D80&gt;=R$4),IF(R$4&lt;=Görevler!$C80+ROUND(Görevler!$F80*Görevler!$E80,0)-1,2,1),""))</f>
        <v/>
      </c>
      <c r="S80" s="22" t="str">
        <f aca="false">IF(Görevler!$F80="","",IF(AND(Görevler!$C80&lt;=(S$4+Ayarlar!$C$6-1),Görevler!$D80&gt;=S$4),IF(S$4&lt;=Görevler!$C80+ROUND(Görevler!$F80*Görevler!$E80,0)-1,2,1),""))</f>
        <v/>
      </c>
      <c r="T80" s="22" t="str">
        <f aca="false">IF(Görevler!$F80="","",IF(AND(Görevler!$C80&lt;=(T$4+Ayarlar!$C$6-1),Görevler!$D80&gt;=T$4),IF(T$4&lt;=Görevler!$C80+ROUND(Görevler!$F80*Görevler!$E80,0)-1,2,1),""))</f>
        <v/>
      </c>
      <c r="U80" s="22" t="str">
        <f aca="false">IF(Görevler!$F80="","",IF(AND(Görevler!$C80&lt;=(U$4+Ayarlar!$C$6-1),Görevler!$D80&gt;=U$4),IF(U$4&lt;=Görevler!$C80+ROUND(Görevler!$F80*Görevler!$E80,0)-1,2,1),""))</f>
        <v/>
      </c>
      <c r="V80" s="22" t="str">
        <f aca="false">IF(Görevler!$F80="","",IF(AND(Görevler!$C80&lt;=(V$4+Ayarlar!$C$6-1),Görevler!$D80&gt;=V$4),IF(V$4&lt;=Görevler!$C80+ROUND(Görevler!$F80*Görevler!$E80,0)-1,2,1),""))</f>
        <v/>
      </c>
      <c r="W80" s="22" t="str">
        <f aca="false">IF(Görevler!$F80="","",IF(AND(Görevler!$C80&lt;=(W$4+Ayarlar!$C$6-1),Görevler!$D80&gt;=W$4),IF(W$4&lt;=Görevler!$C80+ROUND(Görevler!$F80*Görevler!$E80,0)-1,2,1),""))</f>
        <v/>
      </c>
      <c r="X80" s="22" t="str">
        <f aca="false">IF(Görevler!$F80="","",IF(AND(Görevler!$C80&lt;=(X$4+Ayarlar!$C$6-1),Görevler!$D80&gt;=X$4),IF(X$4&lt;=Görevler!$C80+ROUND(Görevler!$F80*Görevler!$E80,0)-1,2,1),""))</f>
        <v/>
      </c>
      <c r="Y80" s="22" t="str">
        <f aca="false">IF(Görevler!$F80="","",IF(AND(Görevler!$C80&lt;=(Y$4+Ayarlar!$C$6-1),Görevler!$D80&gt;=Y$4),IF(Y$4&lt;=Görevler!$C80+ROUND(Görevler!$F80*Görevler!$E80,0)-1,2,1),""))</f>
        <v/>
      </c>
      <c r="Z80" s="22" t="str">
        <f aca="false">IF(Görevler!$F80="","",IF(AND(Görevler!$C80&lt;=(Z$4+Ayarlar!$C$6-1),Görevler!$D80&gt;=Z$4),IF(Z$4&lt;=Görevler!$C80+ROUND(Görevler!$F80*Görevler!$E80,0)-1,2,1),""))</f>
        <v/>
      </c>
      <c r="AA80" s="22" t="str">
        <f aca="false">IF(Görevler!$F80="","",IF(AND(Görevler!$C80&lt;=(AA$4+Ayarlar!$C$6-1),Görevler!$D80&gt;=AA$4),IF(AA$4&lt;=Görevler!$C80+ROUND(Görevler!$F80*Görevler!$E80,0)-1,2,1),""))</f>
        <v/>
      </c>
      <c r="AB80" s="22" t="str">
        <f aca="false">IF(Görevler!$F80="","",IF(AND(Görevler!$C80&lt;=(AB$4+Ayarlar!$C$6-1),Görevler!$D80&gt;=AB$4),IF(AB$4&lt;=Görevler!$C80+ROUND(Görevler!$F80*Görevler!$E80,0)-1,2,1),""))</f>
        <v/>
      </c>
      <c r="AC80" s="22" t="str">
        <f aca="false">IF(Görevler!$F80="","",IF(AND(Görevler!$C80&lt;=(AC$4+Ayarlar!$C$6-1),Görevler!$D80&gt;=AC$4),IF(AC$4&lt;=Görevler!$C80+ROUND(Görevler!$F80*Görevler!$E80,0)-1,2,1),""))</f>
        <v/>
      </c>
      <c r="AD80" s="22" t="str">
        <f aca="false">IF(Görevler!$F80="","",IF(AND(Görevler!$C80&lt;=(AD$4+Ayarlar!$C$6-1),Görevler!$D80&gt;=AD$4),IF(AD$4&lt;=Görevler!$C80+ROUND(Görevler!$F80*Görevler!$E80,0)-1,2,1),""))</f>
        <v/>
      </c>
      <c r="AE80" s="22" t="str">
        <f aca="false">IF(Görevler!$F80="","",IF(AND(Görevler!$C80&lt;=(AE$4+Ayarlar!$C$6-1),Görevler!$D80&gt;=AE$4),IF(AE$4&lt;=Görevler!$C80+ROUND(Görevler!$F80*Görevler!$E80,0)-1,2,1),""))</f>
        <v/>
      </c>
      <c r="AF80" s="22" t="str">
        <f aca="false">IF(Görevler!$F80="","",IF(AND(Görevler!$C80&lt;=(AF$4+Ayarlar!$C$6-1),Görevler!$D80&gt;=AF$4),IF(AF$4&lt;=Görevler!$C80+ROUND(Görevler!$F80*Görevler!$E80,0)-1,2,1),""))</f>
        <v/>
      </c>
      <c r="AG80" s="22" t="str">
        <f aca="false">IF(Görevler!$F80="","",IF(AND(Görevler!$C80&lt;=(AG$4+Ayarlar!$C$6-1),Görevler!$D80&gt;=AG$4),IF(AG$4&lt;=Görevler!$C80+ROUND(Görevler!$F80*Görevler!$E80,0)-1,2,1),""))</f>
        <v/>
      </c>
      <c r="AH80" s="22" t="str">
        <f aca="false">IF(Görevler!$F80="","",IF(AND(Görevler!$C80&lt;=(AH$4+Ayarlar!$C$6-1),Görevler!$D80&gt;=AH$4),IF(AH$4&lt;=Görevler!$C80+ROUND(Görevler!$F80*Görevler!$E80,0)-1,2,1),""))</f>
        <v/>
      </c>
      <c r="AI80" s="22" t="str">
        <f aca="false">IF(Görevler!$F80="","",IF(AND(Görevler!$C80&lt;=(AI$4+Ayarlar!$C$6-1),Görevler!$D80&gt;=AI$4),IF(AI$4&lt;=Görevler!$C80+ROUND(Görevler!$F80*Görevler!$E80,0)-1,2,1),""))</f>
        <v/>
      </c>
      <c r="AJ80" s="22" t="str">
        <f aca="false">IF(Görevler!$F80="","",IF(AND(Görevler!$C80&lt;=(AJ$4+Ayarlar!$C$6-1),Görevler!$D80&gt;=AJ$4),IF(AJ$4&lt;=Görevler!$C80+ROUND(Görevler!$F80*Görevler!$E80,0)-1,2,1),""))</f>
        <v/>
      </c>
      <c r="AK80" s="22" t="str">
        <f aca="false">IF(Görevler!$F80="","",IF(AND(Görevler!$C80&lt;=(AK$4+Ayarlar!$C$6-1),Görevler!$D80&gt;=AK$4),IF(AK$4&lt;=Görevler!$C80+ROUND(Görevler!$F80*Görevler!$E80,0)-1,2,1),""))</f>
        <v/>
      </c>
      <c r="AL80" s="22" t="str">
        <f aca="false">IF(Görevler!$F80="","",IF(AND(Görevler!$C80&lt;=(AL$4+Ayarlar!$C$6-1),Görevler!$D80&gt;=AL$4),IF(AL$4&lt;=Görevler!$C80+ROUND(Görevler!$F80*Görevler!$E80,0)-1,2,1),""))</f>
        <v/>
      </c>
      <c r="AM80" s="22" t="str">
        <f aca="false">IF(Görevler!$F80="","",IF(AND(Görevler!$C80&lt;=(AM$4+Ayarlar!$C$6-1),Görevler!$D80&gt;=AM$4),IF(AM$4&lt;=Görevler!$C80+ROUND(Görevler!$F80*Görevler!$E80,0)-1,2,1),""))</f>
        <v/>
      </c>
      <c r="AN80" s="22" t="str">
        <f aca="false">IF(Görevler!$F80="","",IF(AND(Görevler!$C80&lt;=(AN$4+Ayarlar!$C$6-1),Görevler!$D80&gt;=AN$4),IF(AN$4&lt;=Görevler!$C80+ROUND(Görevler!$F80*Görevler!$E80,0)-1,2,1),""))</f>
        <v/>
      </c>
      <c r="AO80" s="22" t="str">
        <f aca="false">IF(Görevler!$F80="","",IF(AND(Görevler!$C80&lt;=(AO$4+Ayarlar!$C$6-1),Görevler!$D80&gt;=AO$4),IF(AO$4&lt;=Görevler!$C80+ROUND(Görevler!$F80*Görevler!$E80,0)-1,2,1),""))</f>
        <v/>
      </c>
      <c r="AP80" s="22" t="str">
        <f aca="false">IF(Görevler!$F80="","",IF(AND(Görevler!$C80&lt;=(AP$4+Ayarlar!$C$6-1),Görevler!$D80&gt;=AP$4),IF(AP$4&lt;=Görevler!$C80+ROUND(Görevler!$F80*Görevler!$E80,0)-1,2,1),""))</f>
        <v/>
      </c>
      <c r="AQ80" s="22" t="str">
        <f aca="false">IF(Görevler!$F80="","",IF(AND(Görevler!$C80&lt;=(AQ$4+Ayarlar!$C$6-1),Görevler!$D80&gt;=AQ$4),IF(AQ$4&lt;=Görevler!$C80+ROUND(Görevler!$F80*Görevler!$E80,0)-1,2,1),""))</f>
        <v/>
      </c>
      <c r="AR80" s="22" t="str">
        <f aca="false">IF(Görevler!$F80="","",IF(AND(Görevler!$C80&lt;=(AR$4+Ayarlar!$C$6-1),Görevler!$D80&gt;=AR$4),IF(AR$4&lt;=Görevler!$C80+ROUND(Görevler!$F80*Görevler!$E80,0)-1,2,1),""))</f>
        <v/>
      </c>
      <c r="AS80" s="22" t="str">
        <f aca="false">IF(Görevler!$F80="","",IF(AND(Görevler!$C80&lt;=(AS$4+Ayarlar!$C$6-1),Görevler!$D80&gt;=AS$4),IF(AS$4&lt;=Görevler!$C80+ROUND(Görevler!$F80*Görevler!$E80,0)-1,2,1),""))</f>
        <v/>
      </c>
      <c r="AT80" s="22" t="str">
        <f aca="false">IF(Görevler!$F80="","",IF(AND(Görevler!$C80&lt;=(AT$4+Ayarlar!$C$6-1),Görevler!$D80&gt;=AT$4),IF(AT$4&lt;=Görevler!$C80+ROUND(Görevler!$F80*Görevler!$E80,0)-1,2,1),""))</f>
        <v/>
      </c>
      <c r="AU80" s="22" t="str">
        <f aca="false">IF(Görevler!$F80="","",IF(AND(Görevler!$C80&lt;=(AU$4+Ayarlar!$C$6-1),Görevler!$D80&gt;=AU$4),IF(AU$4&lt;=Görevler!$C80+ROUND(Görevler!$F80*Görevler!$E80,0)-1,2,1),""))</f>
        <v/>
      </c>
      <c r="AV80" s="22" t="str">
        <f aca="false">IF(Görevler!$F80="","",IF(AND(Görevler!$C80&lt;=(AV$4+Ayarlar!$C$6-1),Görevler!$D80&gt;=AV$4),IF(AV$4&lt;=Görevler!$C80+ROUND(Görevler!$F80*Görevler!$E80,0)-1,2,1),""))</f>
        <v/>
      </c>
      <c r="AW80" s="22" t="str">
        <f aca="false">IF(Görevler!$F80="","",IF(AND(Görevler!$C80&lt;=(AW$4+Ayarlar!$C$6-1),Görevler!$D80&gt;=AW$4),IF(AW$4&lt;=Görevler!$C80+ROUND(Görevler!$F80*Görevler!$E80,0)-1,2,1),""))</f>
        <v/>
      </c>
      <c r="AX80" s="22" t="str">
        <f aca="false">IF(Görevler!$F80="","",IF(AND(Görevler!$C80&lt;=(AX$4+Ayarlar!$C$6-1),Görevler!$D80&gt;=AX$4),IF(AX$4&lt;=Görevler!$C80+ROUND(Görevler!$F80*Görevler!$E80,0)-1,2,1),""))</f>
        <v/>
      </c>
      <c r="AY80" s="22" t="str">
        <f aca="false">IF(Görevler!$F80="","",IF(AND(Görevler!$C80&lt;=(AY$4+Ayarlar!$C$6-1),Görevler!$D80&gt;=AY$4),IF(AY$4&lt;=Görevler!$C80+ROUND(Görevler!$F80*Görevler!$E80,0)-1,2,1),""))</f>
        <v/>
      </c>
      <c r="AZ80" s="22" t="str">
        <f aca="false">IF(Görevler!$F80="","",IF(AND(Görevler!$C80&lt;=(AZ$4+Ayarlar!$C$6-1),Görevler!$D80&gt;=AZ$4),IF(AZ$4&lt;=Görevler!$C80+ROUND(Görevler!$F80*Görevler!$E80,0)-1,2,1),""))</f>
        <v/>
      </c>
      <c r="BA80" s="22" t="str">
        <f aca="false">IF(Görevler!$F80="","",IF(AND(Görevler!$C80&lt;=(BA$4+Ayarlar!$C$6-1),Görevler!$D80&gt;=BA$4),IF(BA$4&lt;=Görevler!$C80+ROUND(Görevler!$F80*Görevler!$E80,0)-1,2,1),""))</f>
        <v/>
      </c>
      <c r="BB80" s="22" t="str">
        <f aca="false">IF(Görevler!$F80="","",IF(AND(Görevler!$C80&lt;=(BB$4+Ayarlar!$C$6-1),Görevler!$D80&gt;=BB$4),IF(BB$4&lt;=Görevler!$C80+ROUND(Görevler!$F80*Görevler!$E80,0)-1,2,1),""))</f>
        <v/>
      </c>
      <c r="BC80" s="22" t="str">
        <f aca="false">IF(Görevler!$F80="","",IF(AND(Görevler!$C80&lt;=(BC$4+Ayarlar!$C$6-1),Görevler!$D80&gt;=BC$4),IF(BC$4&lt;=Görevler!$C80+ROUND(Görevler!$F80*Görevler!$E80,0)-1,2,1),""))</f>
        <v/>
      </c>
      <c r="BD80" s="22" t="str">
        <f aca="false">IF(Görevler!$F80="","",IF(AND(Görevler!$C80&lt;=(BD$4+Ayarlar!$C$6-1),Görevler!$D80&gt;=BD$4),IF(BD$4&lt;=Görevler!$C80+ROUND(Görevler!$F80*Görevler!$E80,0)-1,2,1),""))</f>
        <v/>
      </c>
      <c r="BE80" s="22" t="str">
        <f aca="false">IF(Görevler!$F80="","",IF(AND(Görevler!$C80&lt;=(BE$4+Ayarlar!$C$6-1),Görevler!$D80&gt;=BE$4),IF(BE$4&lt;=Görevler!$C80+ROUND(Görevler!$F80*Görevler!$E80,0)-1,2,1),""))</f>
        <v/>
      </c>
      <c r="BF80" s="22" t="str">
        <f aca="false">IF(Görevler!$F80="","",IF(AND(Görevler!$C80&lt;=(BF$4+Ayarlar!$C$6-1),Görevler!$D80&gt;=BF$4),IF(BF$4&lt;=Görevler!$C80+ROUND(Görevler!$F80*Görevler!$E80,0)-1,2,1),""))</f>
        <v/>
      </c>
      <c r="BG80" s="22" t="str">
        <f aca="false">IF(Görevler!$F80="","",IF(AND(Görevler!$C80&lt;=(BG$4+Ayarlar!$C$6-1),Görevler!$D80&gt;=BG$4),IF(BG$4&lt;=Görevler!$C80+ROUND(Görevler!$F80*Görevler!$E80,0)-1,2,1),""))</f>
        <v/>
      </c>
      <c r="BH80" s="22" t="str">
        <f aca="false">IF(Görevler!$F80="","",IF(AND(Görevler!$C80&lt;=(BH$4+Ayarlar!$C$6-1),Görevler!$D80&gt;=BH$4),IF(BH$4&lt;=Görevler!$C80+ROUND(Görevler!$F80*Görevler!$E80,0)-1,2,1),""))</f>
        <v/>
      </c>
      <c r="BI80" s="22" t="str">
        <f aca="false">IF(Görevler!$F80="","",IF(AND(Görevler!$C80&lt;=(BI$4+Ayarlar!$C$6-1),Görevler!$D80&gt;=BI$4),IF(BI$4&lt;=Görevler!$C80+ROUND(Görevler!$F80*Görevler!$E80,0)-1,2,1),""))</f>
        <v/>
      </c>
      <c r="BJ80" s="22" t="str">
        <f aca="false">IF(Görevler!$F80="","",IF(AND(Görevler!$C80&lt;=(BJ$4+Ayarlar!$C$6-1),Görevler!$D80&gt;=BJ$4),IF(BJ$4&lt;=Görevler!$C80+ROUND(Görevler!$F80*Görevler!$E80,0)-1,2,1),""))</f>
        <v/>
      </c>
    </row>
    <row r="81" customFormat="false" ht="15" hidden="false" customHeight="false" outlineLevel="0" collapsed="false">
      <c r="A81" s="21" t="str">
        <f aca="false">IF(Görevler!A81="","",Görevler!A81)</f>
        <v/>
      </c>
      <c r="B81" s="21" t="str">
        <f aca="false">IF(Görevler!A81="","",Görevler!B81&amp;"")</f>
        <v/>
      </c>
      <c r="C81" s="22" t="str">
        <f aca="false">IF(Görevler!$F81="","",IF(AND(Görevler!$C81&lt;=(C$4+Ayarlar!$C$6-1),Görevler!$D81&gt;=C$4),IF(C$4&lt;=Görevler!$C81+ROUND(Görevler!$F81*Görevler!$E81,0)-1,2,1),""))</f>
        <v/>
      </c>
      <c r="D81" s="22" t="str">
        <f aca="false">IF(Görevler!$F81="","",IF(AND(Görevler!$C81&lt;=(D$4+Ayarlar!$C$6-1),Görevler!$D81&gt;=D$4),IF(D$4&lt;=Görevler!$C81+ROUND(Görevler!$F81*Görevler!$E81,0)-1,2,1),""))</f>
        <v/>
      </c>
      <c r="E81" s="22" t="str">
        <f aca="false">IF(Görevler!$F81="","",IF(AND(Görevler!$C81&lt;=(E$4+Ayarlar!$C$6-1),Görevler!$D81&gt;=E$4),IF(E$4&lt;=Görevler!$C81+ROUND(Görevler!$F81*Görevler!$E81,0)-1,2,1),""))</f>
        <v/>
      </c>
      <c r="F81" s="22" t="str">
        <f aca="false">IF(Görevler!$F81="","",IF(AND(Görevler!$C81&lt;=(F$4+Ayarlar!$C$6-1),Görevler!$D81&gt;=F$4),IF(F$4&lt;=Görevler!$C81+ROUND(Görevler!$F81*Görevler!$E81,0)-1,2,1),""))</f>
        <v/>
      </c>
      <c r="G81" s="22" t="str">
        <f aca="false">IF(Görevler!$F81="","",IF(AND(Görevler!$C81&lt;=(G$4+Ayarlar!$C$6-1),Görevler!$D81&gt;=G$4),IF(G$4&lt;=Görevler!$C81+ROUND(Görevler!$F81*Görevler!$E81,0)-1,2,1),""))</f>
        <v/>
      </c>
      <c r="H81" s="22" t="str">
        <f aca="false">IF(Görevler!$F81="","",IF(AND(Görevler!$C81&lt;=(H$4+Ayarlar!$C$6-1),Görevler!$D81&gt;=H$4),IF(H$4&lt;=Görevler!$C81+ROUND(Görevler!$F81*Görevler!$E81,0)-1,2,1),""))</f>
        <v/>
      </c>
      <c r="I81" s="22" t="str">
        <f aca="false">IF(Görevler!$F81="","",IF(AND(Görevler!$C81&lt;=(I$4+Ayarlar!$C$6-1),Görevler!$D81&gt;=I$4),IF(I$4&lt;=Görevler!$C81+ROUND(Görevler!$F81*Görevler!$E81,0)-1,2,1),""))</f>
        <v/>
      </c>
      <c r="J81" s="22" t="str">
        <f aca="false">IF(Görevler!$F81="","",IF(AND(Görevler!$C81&lt;=(J$4+Ayarlar!$C$6-1),Görevler!$D81&gt;=J$4),IF(J$4&lt;=Görevler!$C81+ROUND(Görevler!$F81*Görevler!$E81,0)-1,2,1),""))</f>
        <v/>
      </c>
      <c r="K81" s="22" t="str">
        <f aca="false">IF(Görevler!$F81="","",IF(AND(Görevler!$C81&lt;=(K$4+Ayarlar!$C$6-1),Görevler!$D81&gt;=K$4),IF(K$4&lt;=Görevler!$C81+ROUND(Görevler!$F81*Görevler!$E81,0)-1,2,1),""))</f>
        <v/>
      </c>
      <c r="L81" s="22" t="str">
        <f aca="false">IF(Görevler!$F81="","",IF(AND(Görevler!$C81&lt;=(L$4+Ayarlar!$C$6-1),Görevler!$D81&gt;=L$4),IF(L$4&lt;=Görevler!$C81+ROUND(Görevler!$F81*Görevler!$E81,0)-1,2,1),""))</f>
        <v/>
      </c>
      <c r="M81" s="22" t="str">
        <f aca="false">IF(Görevler!$F81="","",IF(AND(Görevler!$C81&lt;=(M$4+Ayarlar!$C$6-1),Görevler!$D81&gt;=M$4),IF(M$4&lt;=Görevler!$C81+ROUND(Görevler!$F81*Görevler!$E81,0)-1,2,1),""))</f>
        <v/>
      </c>
      <c r="N81" s="22" t="str">
        <f aca="false">IF(Görevler!$F81="","",IF(AND(Görevler!$C81&lt;=(N$4+Ayarlar!$C$6-1),Görevler!$D81&gt;=N$4),IF(N$4&lt;=Görevler!$C81+ROUND(Görevler!$F81*Görevler!$E81,0)-1,2,1),""))</f>
        <v/>
      </c>
      <c r="O81" s="22" t="str">
        <f aca="false">IF(Görevler!$F81="","",IF(AND(Görevler!$C81&lt;=(O$4+Ayarlar!$C$6-1),Görevler!$D81&gt;=O$4),IF(O$4&lt;=Görevler!$C81+ROUND(Görevler!$F81*Görevler!$E81,0)-1,2,1),""))</f>
        <v/>
      </c>
      <c r="P81" s="22" t="str">
        <f aca="false">IF(Görevler!$F81="","",IF(AND(Görevler!$C81&lt;=(P$4+Ayarlar!$C$6-1),Görevler!$D81&gt;=P$4),IF(P$4&lt;=Görevler!$C81+ROUND(Görevler!$F81*Görevler!$E81,0)-1,2,1),""))</f>
        <v/>
      </c>
      <c r="Q81" s="22" t="str">
        <f aca="false">IF(Görevler!$F81="","",IF(AND(Görevler!$C81&lt;=(Q$4+Ayarlar!$C$6-1),Görevler!$D81&gt;=Q$4),IF(Q$4&lt;=Görevler!$C81+ROUND(Görevler!$F81*Görevler!$E81,0)-1,2,1),""))</f>
        <v/>
      </c>
      <c r="R81" s="22" t="str">
        <f aca="false">IF(Görevler!$F81="","",IF(AND(Görevler!$C81&lt;=(R$4+Ayarlar!$C$6-1),Görevler!$D81&gt;=R$4),IF(R$4&lt;=Görevler!$C81+ROUND(Görevler!$F81*Görevler!$E81,0)-1,2,1),""))</f>
        <v/>
      </c>
      <c r="S81" s="22" t="str">
        <f aca="false">IF(Görevler!$F81="","",IF(AND(Görevler!$C81&lt;=(S$4+Ayarlar!$C$6-1),Görevler!$D81&gt;=S$4),IF(S$4&lt;=Görevler!$C81+ROUND(Görevler!$F81*Görevler!$E81,0)-1,2,1),""))</f>
        <v/>
      </c>
      <c r="T81" s="22" t="str">
        <f aca="false">IF(Görevler!$F81="","",IF(AND(Görevler!$C81&lt;=(T$4+Ayarlar!$C$6-1),Görevler!$D81&gt;=T$4),IF(T$4&lt;=Görevler!$C81+ROUND(Görevler!$F81*Görevler!$E81,0)-1,2,1),""))</f>
        <v/>
      </c>
      <c r="U81" s="22" t="str">
        <f aca="false">IF(Görevler!$F81="","",IF(AND(Görevler!$C81&lt;=(U$4+Ayarlar!$C$6-1),Görevler!$D81&gt;=U$4),IF(U$4&lt;=Görevler!$C81+ROUND(Görevler!$F81*Görevler!$E81,0)-1,2,1),""))</f>
        <v/>
      </c>
      <c r="V81" s="22" t="str">
        <f aca="false">IF(Görevler!$F81="","",IF(AND(Görevler!$C81&lt;=(V$4+Ayarlar!$C$6-1),Görevler!$D81&gt;=V$4),IF(V$4&lt;=Görevler!$C81+ROUND(Görevler!$F81*Görevler!$E81,0)-1,2,1),""))</f>
        <v/>
      </c>
      <c r="W81" s="22" t="str">
        <f aca="false">IF(Görevler!$F81="","",IF(AND(Görevler!$C81&lt;=(W$4+Ayarlar!$C$6-1),Görevler!$D81&gt;=W$4),IF(W$4&lt;=Görevler!$C81+ROUND(Görevler!$F81*Görevler!$E81,0)-1,2,1),""))</f>
        <v/>
      </c>
      <c r="X81" s="22" t="str">
        <f aca="false">IF(Görevler!$F81="","",IF(AND(Görevler!$C81&lt;=(X$4+Ayarlar!$C$6-1),Görevler!$D81&gt;=X$4),IF(X$4&lt;=Görevler!$C81+ROUND(Görevler!$F81*Görevler!$E81,0)-1,2,1),""))</f>
        <v/>
      </c>
      <c r="Y81" s="22" t="str">
        <f aca="false">IF(Görevler!$F81="","",IF(AND(Görevler!$C81&lt;=(Y$4+Ayarlar!$C$6-1),Görevler!$D81&gt;=Y$4),IF(Y$4&lt;=Görevler!$C81+ROUND(Görevler!$F81*Görevler!$E81,0)-1,2,1),""))</f>
        <v/>
      </c>
      <c r="Z81" s="22" t="str">
        <f aca="false">IF(Görevler!$F81="","",IF(AND(Görevler!$C81&lt;=(Z$4+Ayarlar!$C$6-1),Görevler!$D81&gt;=Z$4),IF(Z$4&lt;=Görevler!$C81+ROUND(Görevler!$F81*Görevler!$E81,0)-1,2,1),""))</f>
        <v/>
      </c>
      <c r="AA81" s="22" t="str">
        <f aca="false">IF(Görevler!$F81="","",IF(AND(Görevler!$C81&lt;=(AA$4+Ayarlar!$C$6-1),Görevler!$D81&gt;=AA$4),IF(AA$4&lt;=Görevler!$C81+ROUND(Görevler!$F81*Görevler!$E81,0)-1,2,1),""))</f>
        <v/>
      </c>
      <c r="AB81" s="22" t="str">
        <f aca="false">IF(Görevler!$F81="","",IF(AND(Görevler!$C81&lt;=(AB$4+Ayarlar!$C$6-1),Görevler!$D81&gt;=AB$4),IF(AB$4&lt;=Görevler!$C81+ROUND(Görevler!$F81*Görevler!$E81,0)-1,2,1),""))</f>
        <v/>
      </c>
      <c r="AC81" s="22" t="str">
        <f aca="false">IF(Görevler!$F81="","",IF(AND(Görevler!$C81&lt;=(AC$4+Ayarlar!$C$6-1),Görevler!$D81&gt;=AC$4),IF(AC$4&lt;=Görevler!$C81+ROUND(Görevler!$F81*Görevler!$E81,0)-1,2,1),""))</f>
        <v/>
      </c>
      <c r="AD81" s="22" t="str">
        <f aca="false">IF(Görevler!$F81="","",IF(AND(Görevler!$C81&lt;=(AD$4+Ayarlar!$C$6-1),Görevler!$D81&gt;=AD$4),IF(AD$4&lt;=Görevler!$C81+ROUND(Görevler!$F81*Görevler!$E81,0)-1,2,1),""))</f>
        <v/>
      </c>
      <c r="AE81" s="22" t="str">
        <f aca="false">IF(Görevler!$F81="","",IF(AND(Görevler!$C81&lt;=(AE$4+Ayarlar!$C$6-1),Görevler!$D81&gt;=AE$4),IF(AE$4&lt;=Görevler!$C81+ROUND(Görevler!$F81*Görevler!$E81,0)-1,2,1),""))</f>
        <v/>
      </c>
      <c r="AF81" s="22" t="str">
        <f aca="false">IF(Görevler!$F81="","",IF(AND(Görevler!$C81&lt;=(AF$4+Ayarlar!$C$6-1),Görevler!$D81&gt;=AF$4),IF(AF$4&lt;=Görevler!$C81+ROUND(Görevler!$F81*Görevler!$E81,0)-1,2,1),""))</f>
        <v/>
      </c>
      <c r="AG81" s="22" t="str">
        <f aca="false">IF(Görevler!$F81="","",IF(AND(Görevler!$C81&lt;=(AG$4+Ayarlar!$C$6-1),Görevler!$D81&gt;=AG$4),IF(AG$4&lt;=Görevler!$C81+ROUND(Görevler!$F81*Görevler!$E81,0)-1,2,1),""))</f>
        <v/>
      </c>
      <c r="AH81" s="22" t="str">
        <f aca="false">IF(Görevler!$F81="","",IF(AND(Görevler!$C81&lt;=(AH$4+Ayarlar!$C$6-1),Görevler!$D81&gt;=AH$4),IF(AH$4&lt;=Görevler!$C81+ROUND(Görevler!$F81*Görevler!$E81,0)-1,2,1),""))</f>
        <v/>
      </c>
      <c r="AI81" s="22" t="str">
        <f aca="false">IF(Görevler!$F81="","",IF(AND(Görevler!$C81&lt;=(AI$4+Ayarlar!$C$6-1),Görevler!$D81&gt;=AI$4),IF(AI$4&lt;=Görevler!$C81+ROUND(Görevler!$F81*Görevler!$E81,0)-1,2,1),""))</f>
        <v/>
      </c>
      <c r="AJ81" s="22" t="str">
        <f aca="false">IF(Görevler!$F81="","",IF(AND(Görevler!$C81&lt;=(AJ$4+Ayarlar!$C$6-1),Görevler!$D81&gt;=AJ$4),IF(AJ$4&lt;=Görevler!$C81+ROUND(Görevler!$F81*Görevler!$E81,0)-1,2,1),""))</f>
        <v/>
      </c>
      <c r="AK81" s="22" t="str">
        <f aca="false">IF(Görevler!$F81="","",IF(AND(Görevler!$C81&lt;=(AK$4+Ayarlar!$C$6-1),Görevler!$D81&gt;=AK$4),IF(AK$4&lt;=Görevler!$C81+ROUND(Görevler!$F81*Görevler!$E81,0)-1,2,1),""))</f>
        <v/>
      </c>
      <c r="AL81" s="22" t="str">
        <f aca="false">IF(Görevler!$F81="","",IF(AND(Görevler!$C81&lt;=(AL$4+Ayarlar!$C$6-1),Görevler!$D81&gt;=AL$4),IF(AL$4&lt;=Görevler!$C81+ROUND(Görevler!$F81*Görevler!$E81,0)-1,2,1),""))</f>
        <v/>
      </c>
      <c r="AM81" s="22" t="str">
        <f aca="false">IF(Görevler!$F81="","",IF(AND(Görevler!$C81&lt;=(AM$4+Ayarlar!$C$6-1),Görevler!$D81&gt;=AM$4),IF(AM$4&lt;=Görevler!$C81+ROUND(Görevler!$F81*Görevler!$E81,0)-1,2,1),""))</f>
        <v/>
      </c>
      <c r="AN81" s="22" t="str">
        <f aca="false">IF(Görevler!$F81="","",IF(AND(Görevler!$C81&lt;=(AN$4+Ayarlar!$C$6-1),Görevler!$D81&gt;=AN$4),IF(AN$4&lt;=Görevler!$C81+ROUND(Görevler!$F81*Görevler!$E81,0)-1,2,1),""))</f>
        <v/>
      </c>
      <c r="AO81" s="22" t="str">
        <f aca="false">IF(Görevler!$F81="","",IF(AND(Görevler!$C81&lt;=(AO$4+Ayarlar!$C$6-1),Görevler!$D81&gt;=AO$4),IF(AO$4&lt;=Görevler!$C81+ROUND(Görevler!$F81*Görevler!$E81,0)-1,2,1),""))</f>
        <v/>
      </c>
      <c r="AP81" s="22" t="str">
        <f aca="false">IF(Görevler!$F81="","",IF(AND(Görevler!$C81&lt;=(AP$4+Ayarlar!$C$6-1),Görevler!$D81&gt;=AP$4),IF(AP$4&lt;=Görevler!$C81+ROUND(Görevler!$F81*Görevler!$E81,0)-1,2,1),""))</f>
        <v/>
      </c>
      <c r="AQ81" s="22" t="str">
        <f aca="false">IF(Görevler!$F81="","",IF(AND(Görevler!$C81&lt;=(AQ$4+Ayarlar!$C$6-1),Görevler!$D81&gt;=AQ$4),IF(AQ$4&lt;=Görevler!$C81+ROUND(Görevler!$F81*Görevler!$E81,0)-1,2,1),""))</f>
        <v/>
      </c>
      <c r="AR81" s="22" t="str">
        <f aca="false">IF(Görevler!$F81="","",IF(AND(Görevler!$C81&lt;=(AR$4+Ayarlar!$C$6-1),Görevler!$D81&gt;=AR$4),IF(AR$4&lt;=Görevler!$C81+ROUND(Görevler!$F81*Görevler!$E81,0)-1,2,1),""))</f>
        <v/>
      </c>
      <c r="AS81" s="22" t="str">
        <f aca="false">IF(Görevler!$F81="","",IF(AND(Görevler!$C81&lt;=(AS$4+Ayarlar!$C$6-1),Görevler!$D81&gt;=AS$4),IF(AS$4&lt;=Görevler!$C81+ROUND(Görevler!$F81*Görevler!$E81,0)-1,2,1),""))</f>
        <v/>
      </c>
      <c r="AT81" s="22" t="str">
        <f aca="false">IF(Görevler!$F81="","",IF(AND(Görevler!$C81&lt;=(AT$4+Ayarlar!$C$6-1),Görevler!$D81&gt;=AT$4),IF(AT$4&lt;=Görevler!$C81+ROUND(Görevler!$F81*Görevler!$E81,0)-1,2,1),""))</f>
        <v/>
      </c>
      <c r="AU81" s="22" t="str">
        <f aca="false">IF(Görevler!$F81="","",IF(AND(Görevler!$C81&lt;=(AU$4+Ayarlar!$C$6-1),Görevler!$D81&gt;=AU$4),IF(AU$4&lt;=Görevler!$C81+ROUND(Görevler!$F81*Görevler!$E81,0)-1,2,1),""))</f>
        <v/>
      </c>
      <c r="AV81" s="22" t="str">
        <f aca="false">IF(Görevler!$F81="","",IF(AND(Görevler!$C81&lt;=(AV$4+Ayarlar!$C$6-1),Görevler!$D81&gt;=AV$4),IF(AV$4&lt;=Görevler!$C81+ROUND(Görevler!$F81*Görevler!$E81,0)-1,2,1),""))</f>
        <v/>
      </c>
      <c r="AW81" s="22" t="str">
        <f aca="false">IF(Görevler!$F81="","",IF(AND(Görevler!$C81&lt;=(AW$4+Ayarlar!$C$6-1),Görevler!$D81&gt;=AW$4),IF(AW$4&lt;=Görevler!$C81+ROUND(Görevler!$F81*Görevler!$E81,0)-1,2,1),""))</f>
        <v/>
      </c>
      <c r="AX81" s="22" t="str">
        <f aca="false">IF(Görevler!$F81="","",IF(AND(Görevler!$C81&lt;=(AX$4+Ayarlar!$C$6-1),Görevler!$D81&gt;=AX$4),IF(AX$4&lt;=Görevler!$C81+ROUND(Görevler!$F81*Görevler!$E81,0)-1,2,1),""))</f>
        <v/>
      </c>
      <c r="AY81" s="22" t="str">
        <f aca="false">IF(Görevler!$F81="","",IF(AND(Görevler!$C81&lt;=(AY$4+Ayarlar!$C$6-1),Görevler!$D81&gt;=AY$4),IF(AY$4&lt;=Görevler!$C81+ROUND(Görevler!$F81*Görevler!$E81,0)-1,2,1),""))</f>
        <v/>
      </c>
      <c r="AZ81" s="22" t="str">
        <f aca="false">IF(Görevler!$F81="","",IF(AND(Görevler!$C81&lt;=(AZ$4+Ayarlar!$C$6-1),Görevler!$D81&gt;=AZ$4),IF(AZ$4&lt;=Görevler!$C81+ROUND(Görevler!$F81*Görevler!$E81,0)-1,2,1),""))</f>
        <v/>
      </c>
      <c r="BA81" s="22" t="str">
        <f aca="false">IF(Görevler!$F81="","",IF(AND(Görevler!$C81&lt;=(BA$4+Ayarlar!$C$6-1),Görevler!$D81&gt;=BA$4),IF(BA$4&lt;=Görevler!$C81+ROUND(Görevler!$F81*Görevler!$E81,0)-1,2,1),""))</f>
        <v/>
      </c>
      <c r="BB81" s="22" t="str">
        <f aca="false">IF(Görevler!$F81="","",IF(AND(Görevler!$C81&lt;=(BB$4+Ayarlar!$C$6-1),Görevler!$D81&gt;=BB$4),IF(BB$4&lt;=Görevler!$C81+ROUND(Görevler!$F81*Görevler!$E81,0)-1,2,1),""))</f>
        <v/>
      </c>
      <c r="BC81" s="22" t="str">
        <f aca="false">IF(Görevler!$F81="","",IF(AND(Görevler!$C81&lt;=(BC$4+Ayarlar!$C$6-1),Görevler!$D81&gt;=BC$4),IF(BC$4&lt;=Görevler!$C81+ROUND(Görevler!$F81*Görevler!$E81,0)-1,2,1),""))</f>
        <v/>
      </c>
      <c r="BD81" s="22" t="str">
        <f aca="false">IF(Görevler!$F81="","",IF(AND(Görevler!$C81&lt;=(BD$4+Ayarlar!$C$6-1),Görevler!$D81&gt;=BD$4),IF(BD$4&lt;=Görevler!$C81+ROUND(Görevler!$F81*Görevler!$E81,0)-1,2,1),""))</f>
        <v/>
      </c>
      <c r="BE81" s="22" t="str">
        <f aca="false">IF(Görevler!$F81="","",IF(AND(Görevler!$C81&lt;=(BE$4+Ayarlar!$C$6-1),Görevler!$D81&gt;=BE$4),IF(BE$4&lt;=Görevler!$C81+ROUND(Görevler!$F81*Görevler!$E81,0)-1,2,1),""))</f>
        <v/>
      </c>
      <c r="BF81" s="22" t="str">
        <f aca="false">IF(Görevler!$F81="","",IF(AND(Görevler!$C81&lt;=(BF$4+Ayarlar!$C$6-1),Görevler!$D81&gt;=BF$4),IF(BF$4&lt;=Görevler!$C81+ROUND(Görevler!$F81*Görevler!$E81,0)-1,2,1),""))</f>
        <v/>
      </c>
      <c r="BG81" s="22" t="str">
        <f aca="false">IF(Görevler!$F81="","",IF(AND(Görevler!$C81&lt;=(BG$4+Ayarlar!$C$6-1),Görevler!$D81&gt;=BG$4),IF(BG$4&lt;=Görevler!$C81+ROUND(Görevler!$F81*Görevler!$E81,0)-1,2,1),""))</f>
        <v/>
      </c>
      <c r="BH81" s="22" t="str">
        <f aca="false">IF(Görevler!$F81="","",IF(AND(Görevler!$C81&lt;=(BH$4+Ayarlar!$C$6-1),Görevler!$D81&gt;=BH$4),IF(BH$4&lt;=Görevler!$C81+ROUND(Görevler!$F81*Görevler!$E81,0)-1,2,1),""))</f>
        <v/>
      </c>
      <c r="BI81" s="22" t="str">
        <f aca="false">IF(Görevler!$F81="","",IF(AND(Görevler!$C81&lt;=(BI$4+Ayarlar!$C$6-1),Görevler!$D81&gt;=BI$4),IF(BI$4&lt;=Görevler!$C81+ROUND(Görevler!$F81*Görevler!$E81,0)-1,2,1),""))</f>
        <v/>
      </c>
      <c r="BJ81" s="22" t="str">
        <f aca="false">IF(Görevler!$F81="","",IF(AND(Görevler!$C81&lt;=(BJ$4+Ayarlar!$C$6-1),Görevler!$D81&gt;=BJ$4),IF(BJ$4&lt;=Görevler!$C81+ROUND(Görevler!$F81*Görevler!$E81,0)-1,2,1),""))</f>
        <v/>
      </c>
    </row>
    <row r="82" customFormat="false" ht="15" hidden="false" customHeight="false" outlineLevel="0" collapsed="false">
      <c r="A82" s="21" t="str">
        <f aca="false">IF(Görevler!A82="","",Görevler!A82)</f>
        <v/>
      </c>
      <c r="B82" s="21" t="str">
        <f aca="false">IF(Görevler!A82="","",Görevler!B82&amp;"")</f>
        <v/>
      </c>
      <c r="C82" s="22" t="str">
        <f aca="false">IF(Görevler!$F82="","",IF(AND(Görevler!$C82&lt;=(C$4+Ayarlar!$C$6-1),Görevler!$D82&gt;=C$4),IF(C$4&lt;=Görevler!$C82+ROUND(Görevler!$F82*Görevler!$E82,0)-1,2,1),""))</f>
        <v/>
      </c>
      <c r="D82" s="22" t="str">
        <f aca="false">IF(Görevler!$F82="","",IF(AND(Görevler!$C82&lt;=(D$4+Ayarlar!$C$6-1),Görevler!$D82&gt;=D$4),IF(D$4&lt;=Görevler!$C82+ROUND(Görevler!$F82*Görevler!$E82,0)-1,2,1),""))</f>
        <v/>
      </c>
      <c r="E82" s="22" t="str">
        <f aca="false">IF(Görevler!$F82="","",IF(AND(Görevler!$C82&lt;=(E$4+Ayarlar!$C$6-1),Görevler!$D82&gt;=E$4),IF(E$4&lt;=Görevler!$C82+ROUND(Görevler!$F82*Görevler!$E82,0)-1,2,1),""))</f>
        <v/>
      </c>
      <c r="F82" s="22" t="str">
        <f aca="false">IF(Görevler!$F82="","",IF(AND(Görevler!$C82&lt;=(F$4+Ayarlar!$C$6-1),Görevler!$D82&gt;=F$4),IF(F$4&lt;=Görevler!$C82+ROUND(Görevler!$F82*Görevler!$E82,0)-1,2,1),""))</f>
        <v/>
      </c>
      <c r="G82" s="22" t="str">
        <f aca="false">IF(Görevler!$F82="","",IF(AND(Görevler!$C82&lt;=(G$4+Ayarlar!$C$6-1),Görevler!$D82&gt;=G$4),IF(G$4&lt;=Görevler!$C82+ROUND(Görevler!$F82*Görevler!$E82,0)-1,2,1),""))</f>
        <v/>
      </c>
      <c r="H82" s="22" t="str">
        <f aca="false">IF(Görevler!$F82="","",IF(AND(Görevler!$C82&lt;=(H$4+Ayarlar!$C$6-1),Görevler!$D82&gt;=H$4),IF(H$4&lt;=Görevler!$C82+ROUND(Görevler!$F82*Görevler!$E82,0)-1,2,1),""))</f>
        <v/>
      </c>
      <c r="I82" s="22" t="str">
        <f aca="false">IF(Görevler!$F82="","",IF(AND(Görevler!$C82&lt;=(I$4+Ayarlar!$C$6-1),Görevler!$D82&gt;=I$4),IF(I$4&lt;=Görevler!$C82+ROUND(Görevler!$F82*Görevler!$E82,0)-1,2,1),""))</f>
        <v/>
      </c>
      <c r="J82" s="22" t="str">
        <f aca="false">IF(Görevler!$F82="","",IF(AND(Görevler!$C82&lt;=(J$4+Ayarlar!$C$6-1),Görevler!$D82&gt;=J$4),IF(J$4&lt;=Görevler!$C82+ROUND(Görevler!$F82*Görevler!$E82,0)-1,2,1),""))</f>
        <v/>
      </c>
      <c r="K82" s="22" t="str">
        <f aca="false">IF(Görevler!$F82="","",IF(AND(Görevler!$C82&lt;=(K$4+Ayarlar!$C$6-1),Görevler!$D82&gt;=K$4),IF(K$4&lt;=Görevler!$C82+ROUND(Görevler!$F82*Görevler!$E82,0)-1,2,1),""))</f>
        <v/>
      </c>
      <c r="L82" s="22" t="str">
        <f aca="false">IF(Görevler!$F82="","",IF(AND(Görevler!$C82&lt;=(L$4+Ayarlar!$C$6-1),Görevler!$D82&gt;=L$4),IF(L$4&lt;=Görevler!$C82+ROUND(Görevler!$F82*Görevler!$E82,0)-1,2,1),""))</f>
        <v/>
      </c>
      <c r="M82" s="22" t="str">
        <f aca="false">IF(Görevler!$F82="","",IF(AND(Görevler!$C82&lt;=(M$4+Ayarlar!$C$6-1),Görevler!$D82&gt;=M$4),IF(M$4&lt;=Görevler!$C82+ROUND(Görevler!$F82*Görevler!$E82,0)-1,2,1),""))</f>
        <v/>
      </c>
      <c r="N82" s="22" t="str">
        <f aca="false">IF(Görevler!$F82="","",IF(AND(Görevler!$C82&lt;=(N$4+Ayarlar!$C$6-1),Görevler!$D82&gt;=N$4),IF(N$4&lt;=Görevler!$C82+ROUND(Görevler!$F82*Görevler!$E82,0)-1,2,1),""))</f>
        <v/>
      </c>
      <c r="O82" s="22" t="str">
        <f aca="false">IF(Görevler!$F82="","",IF(AND(Görevler!$C82&lt;=(O$4+Ayarlar!$C$6-1),Görevler!$D82&gt;=O$4),IF(O$4&lt;=Görevler!$C82+ROUND(Görevler!$F82*Görevler!$E82,0)-1,2,1),""))</f>
        <v/>
      </c>
      <c r="P82" s="22" t="str">
        <f aca="false">IF(Görevler!$F82="","",IF(AND(Görevler!$C82&lt;=(P$4+Ayarlar!$C$6-1),Görevler!$D82&gt;=P$4),IF(P$4&lt;=Görevler!$C82+ROUND(Görevler!$F82*Görevler!$E82,0)-1,2,1),""))</f>
        <v/>
      </c>
      <c r="Q82" s="22" t="str">
        <f aca="false">IF(Görevler!$F82="","",IF(AND(Görevler!$C82&lt;=(Q$4+Ayarlar!$C$6-1),Görevler!$D82&gt;=Q$4),IF(Q$4&lt;=Görevler!$C82+ROUND(Görevler!$F82*Görevler!$E82,0)-1,2,1),""))</f>
        <v/>
      </c>
      <c r="R82" s="22" t="str">
        <f aca="false">IF(Görevler!$F82="","",IF(AND(Görevler!$C82&lt;=(R$4+Ayarlar!$C$6-1),Görevler!$D82&gt;=R$4),IF(R$4&lt;=Görevler!$C82+ROUND(Görevler!$F82*Görevler!$E82,0)-1,2,1),""))</f>
        <v/>
      </c>
      <c r="S82" s="22" t="str">
        <f aca="false">IF(Görevler!$F82="","",IF(AND(Görevler!$C82&lt;=(S$4+Ayarlar!$C$6-1),Görevler!$D82&gt;=S$4),IF(S$4&lt;=Görevler!$C82+ROUND(Görevler!$F82*Görevler!$E82,0)-1,2,1),""))</f>
        <v/>
      </c>
      <c r="T82" s="22" t="str">
        <f aca="false">IF(Görevler!$F82="","",IF(AND(Görevler!$C82&lt;=(T$4+Ayarlar!$C$6-1),Görevler!$D82&gt;=T$4),IF(T$4&lt;=Görevler!$C82+ROUND(Görevler!$F82*Görevler!$E82,0)-1,2,1),""))</f>
        <v/>
      </c>
      <c r="U82" s="22" t="str">
        <f aca="false">IF(Görevler!$F82="","",IF(AND(Görevler!$C82&lt;=(U$4+Ayarlar!$C$6-1),Görevler!$D82&gt;=U$4),IF(U$4&lt;=Görevler!$C82+ROUND(Görevler!$F82*Görevler!$E82,0)-1,2,1),""))</f>
        <v/>
      </c>
      <c r="V82" s="22" t="str">
        <f aca="false">IF(Görevler!$F82="","",IF(AND(Görevler!$C82&lt;=(V$4+Ayarlar!$C$6-1),Görevler!$D82&gt;=V$4),IF(V$4&lt;=Görevler!$C82+ROUND(Görevler!$F82*Görevler!$E82,0)-1,2,1),""))</f>
        <v/>
      </c>
      <c r="W82" s="22" t="str">
        <f aca="false">IF(Görevler!$F82="","",IF(AND(Görevler!$C82&lt;=(W$4+Ayarlar!$C$6-1),Görevler!$D82&gt;=W$4),IF(W$4&lt;=Görevler!$C82+ROUND(Görevler!$F82*Görevler!$E82,0)-1,2,1),""))</f>
        <v/>
      </c>
      <c r="X82" s="22" t="str">
        <f aca="false">IF(Görevler!$F82="","",IF(AND(Görevler!$C82&lt;=(X$4+Ayarlar!$C$6-1),Görevler!$D82&gt;=X$4),IF(X$4&lt;=Görevler!$C82+ROUND(Görevler!$F82*Görevler!$E82,0)-1,2,1),""))</f>
        <v/>
      </c>
      <c r="Y82" s="22" t="str">
        <f aca="false">IF(Görevler!$F82="","",IF(AND(Görevler!$C82&lt;=(Y$4+Ayarlar!$C$6-1),Görevler!$D82&gt;=Y$4),IF(Y$4&lt;=Görevler!$C82+ROUND(Görevler!$F82*Görevler!$E82,0)-1,2,1),""))</f>
        <v/>
      </c>
      <c r="Z82" s="22" t="str">
        <f aca="false">IF(Görevler!$F82="","",IF(AND(Görevler!$C82&lt;=(Z$4+Ayarlar!$C$6-1),Görevler!$D82&gt;=Z$4),IF(Z$4&lt;=Görevler!$C82+ROUND(Görevler!$F82*Görevler!$E82,0)-1,2,1),""))</f>
        <v/>
      </c>
      <c r="AA82" s="22" t="str">
        <f aca="false">IF(Görevler!$F82="","",IF(AND(Görevler!$C82&lt;=(AA$4+Ayarlar!$C$6-1),Görevler!$D82&gt;=AA$4),IF(AA$4&lt;=Görevler!$C82+ROUND(Görevler!$F82*Görevler!$E82,0)-1,2,1),""))</f>
        <v/>
      </c>
      <c r="AB82" s="22" t="str">
        <f aca="false">IF(Görevler!$F82="","",IF(AND(Görevler!$C82&lt;=(AB$4+Ayarlar!$C$6-1),Görevler!$D82&gt;=AB$4),IF(AB$4&lt;=Görevler!$C82+ROUND(Görevler!$F82*Görevler!$E82,0)-1,2,1),""))</f>
        <v/>
      </c>
      <c r="AC82" s="22" t="str">
        <f aca="false">IF(Görevler!$F82="","",IF(AND(Görevler!$C82&lt;=(AC$4+Ayarlar!$C$6-1),Görevler!$D82&gt;=AC$4),IF(AC$4&lt;=Görevler!$C82+ROUND(Görevler!$F82*Görevler!$E82,0)-1,2,1),""))</f>
        <v/>
      </c>
      <c r="AD82" s="22" t="str">
        <f aca="false">IF(Görevler!$F82="","",IF(AND(Görevler!$C82&lt;=(AD$4+Ayarlar!$C$6-1),Görevler!$D82&gt;=AD$4),IF(AD$4&lt;=Görevler!$C82+ROUND(Görevler!$F82*Görevler!$E82,0)-1,2,1),""))</f>
        <v/>
      </c>
      <c r="AE82" s="22" t="str">
        <f aca="false">IF(Görevler!$F82="","",IF(AND(Görevler!$C82&lt;=(AE$4+Ayarlar!$C$6-1),Görevler!$D82&gt;=AE$4),IF(AE$4&lt;=Görevler!$C82+ROUND(Görevler!$F82*Görevler!$E82,0)-1,2,1),""))</f>
        <v/>
      </c>
      <c r="AF82" s="22" t="str">
        <f aca="false">IF(Görevler!$F82="","",IF(AND(Görevler!$C82&lt;=(AF$4+Ayarlar!$C$6-1),Görevler!$D82&gt;=AF$4),IF(AF$4&lt;=Görevler!$C82+ROUND(Görevler!$F82*Görevler!$E82,0)-1,2,1),""))</f>
        <v/>
      </c>
      <c r="AG82" s="22" t="str">
        <f aca="false">IF(Görevler!$F82="","",IF(AND(Görevler!$C82&lt;=(AG$4+Ayarlar!$C$6-1),Görevler!$D82&gt;=AG$4),IF(AG$4&lt;=Görevler!$C82+ROUND(Görevler!$F82*Görevler!$E82,0)-1,2,1),""))</f>
        <v/>
      </c>
      <c r="AH82" s="22" t="str">
        <f aca="false">IF(Görevler!$F82="","",IF(AND(Görevler!$C82&lt;=(AH$4+Ayarlar!$C$6-1),Görevler!$D82&gt;=AH$4),IF(AH$4&lt;=Görevler!$C82+ROUND(Görevler!$F82*Görevler!$E82,0)-1,2,1),""))</f>
        <v/>
      </c>
      <c r="AI82" s="22" t="str">
        <f aca="false">IF(Görevler!$F82="","",IF(AND(Görevler!$C82&lt;=(AI$4+Ayarlar!$C$6-1),Görevler!$D82&gt;=AI$4),IF(AI$4&lt;=Görevler!$C82+ROUND(Görevler!$F82*Görevler!$E82,0)-1,2,1),""))</f>
        <v/>
      </c>
      <c r="AJ82" s="22" t="str">
        <f aca="false">IF(Görevler!$F82="","",IF(AND(Görevler!$C82&lt;=(AJ$4+Ayarlar!$C$6-1),Görevler!$D82&gt;=AJ$4),IF(AJ$4&lt;=Görevler!$C82+ROUND(Görevler!$F82*Görevler!$E82,0)-1,2,1),""))</f>
        <v/>
      </c>
      <c r="AK82" s="22" t="str">
        <f aca="false">IF(Görevler!$F82="","",IF(AND(Görevler!$C82&lt;=(AK$4+Ayarlar!$C$6-1),Görevler!$D82&gt;=AK$4),IF(AK$4&lt;=Görevler!$C82+ROUND(Görevler!$F82*Görevler!$E82,0)-1,2,1),""))</f>
        <v/>
      </c>
      <c r="AL82" s="22" t="str">
        <f aca="false">IF(Görevler!$F82="","",IF(AND(Görevler!$C82&lt;=(AL$4+Ayarlar!$C$6-1),Görevler!$D82&gt;=AL$4),IF(AL$4&lt;=Görevler!$C82+ROUND(Görevler!$F82*Görevler!$E82,0)-1,2,1),""))</f>
        <v/>
      </c>
      <c r="AM82" s="22" t="str">
        <f aca="false">IF(Görevler!$F82="","",IF(AND(Görevler!$C82&lt;=(AM$4+Ayarlar!$C$6-1),Görevler!$D82&gt;=AM$4),IF(AM$4&lt;=Görevler!$C82+ROUND(Görevler!$F82*Görevler!$E82,0)-1,2,1),""))</f>
        <v/>
      </c>
      <c r="AN82" s="22" t="str">
        <f aca="false">IF(Görevler!$F82="","",IF(AND(Görevler!$C82&lt;=(AN$4+Ayarlar!$C$6-1),Görevler!$D82&gt;=AN$4),IF(AN$4&lt;=Görevler!$C82+ROUND(Görevler!$F82*Görevler!$E82,0)-1,2,1),""))</f>
        <v/>
      </c>
      <c r="AO82" s="22" t="str">
        <f aca="false">IF(Görevler!$F82="","",IF(AND(Görevler!$C82&lt;=(AO$4+Ayarlar!$C$6-1),Görevler!$D82&gt;=AO$4),IF(AO$4&lt;=Görevler!$C82+ROUND(Görevler!$F82*Görevler!$E82,0)-1,2,1),""))</f>
        <v/>
      </c>
      <c r="AP82" s="22" t="str">
        <f aca="false">IF(Görevler!$F82="","",IF(AND(Görevler!$C82&lt;=(AP$4+Ayarlar!$C$6-1),Görevler!$D82&gt;=AP$4),IF(AP$4&lt;=Görevler!$C82+ROUND(Görevler!$F82*Görevler!$E82,0)-1,2,1),""))</f>
        <v/>
      </c>
      <c r="AQ82" s="22" t="str">
        <f aca="false">IF(Görevler!$F82="","",IF(AND(Görevler!$C82&lt;=(AQ$4+Ayarlar!$C$6-1),Görevler!$D82&gt;=AQ$4),IF(AQ$4&lt;=Görevler!$C82+ROUND(Görevler!$F82*Görevler!$E82,0)-1,2,1),""))</f>
        <v/>
      </c>
      <c r="AR82" s="22" t="str">
        <f aca="false">IF(Görevler!$F82="","",IF(AND(Görevler!$C82&lt;=(AR$4+Ayarlar!$C$6-1),Görevler!$D82&gt;=AR$4),IF(AR$4&lt;=Görevler!$C82+ROUND(Görevler!$F82*Görevler!$E82,0)-1,2,1),""))</f>
        <v/>
      </c>
      <c r="AS82" s="22" t="str">
        <f aca="false">IF(Görevler!$F82="","",IF(AND(Görevler!$C82&lt;=(AS$4+Ayarlar!$C$6-1),Görevler!$D82&gt;=AS$4),IF(AS$4&lt;=Görevler!$C82+ROUND(Görevler!$F82*Görevler!$E82,0)-1,2,1),""))</f>
        <v/>
      </c>
      <c r="AT82" s="22" t="str">
        <f aca="false">IF(Görevler!$F82="","",IF(AND(Görevler!$C82&lt;=(AT$4+Ayarlar!$C$6-1),Görevler!$D82&gt;=AT$4),IF(AT$4&lt;=Görevler!$C82+ROUND(Görevler!$F82*Görevler!$E82,0)-1,2,1),""))</f>
        <v/>
      </c>
      <c r="AU82" s="22" t="str">
        <f aca="false">IF(Görevler!$F82="","",IF(AND(Görevler!$C82&lt;=(AU$4+Ayarlar!$C$6-1),Görevler!$D82&gt;=AU$4),IF(AU$4&lt;=Görevler!$C82+ROUND(Görevler!$F82*Görevler!$E82,0)-1,2,1),""))</f>
        <v/>
      </c>
      <c r="AV82" s="22" t="str">
        <f aca="false">IF(Görevler!$F82="","",IF(AND(Görevler!$C82&lt;=(AV$4+Ayarlar!$C$6-1),Görevler!$D82&gt;=AV$4),IF(AV$4&lt;=Görevler!$C82+ROUND(Görevler!$F82*Görevler!$E82,0)-1,2,1),""))</f>
        <v/>
      </c>
      <c r="AW82" s="22" t="str">
        <f aca="false">IF(Görevler!$F82="","",IF(AND(Görevler!$C82&lt;=(AW$4+Ayarlar!$C$6-1),Görevler!$D82&gt;=AW$4),IF(AW$4&lt;=Görevler!$C82+ROUND(Görevler!$F82*Görevler!$E82,0)-1,2,1),""))</f>
        <v/>
      </c>
      <c r="AX82" s="22" t="str">
        <f aca="false">IF(Görevler!$F82="","",IF(AND(Görevler!$C82&lt;=(AX$4+Ayarlar!$C$6-1),Görevler!$D82&gt;=AX$4),IF(AX$4&lt;=Görevler!$C82+ROUND(Görevler!$F82*Görevler!$E82,0)-1,2,1),""))</f>
        <v/>
      </c>
      <c r="AY82" s="22" t="str">
        <f aca="false">IF(Görevler!$F82="","",IF(AND(Görevler!$C82&lt;=(AY$4+Ayarlar!$C$6-1),Görevler!$D82&gt;=AY$4),IF(AY$4&lt;=Görevler!$C82+ROUND(Görevler!$F82*Görevler!$E82,0)-1,2,1),""))</f>
        <v/>
      </c>
      <c r="AZ82" s="22" t="str">
        <f aca="false">IF(Görevler!$F82="","",IF(AND(Görevler!$C82&lt;=(AZ$4+Ayarlar!$C$6-1),Görevler!$D82&gt;=AZ$4),IF(AZ$4&lt;=Görevler!$C82+ROUND(Görevler!$F82*Görevler!$E82,0)-1,2,1),""))</f>
        <v/>
      </c>
      <c r="BA82" s="22" t="str">
        <f aca="false">IF(Görevler!$F82="","",IF(AND(Görevler!$C82&lt;=(BA$4+Ayarlar!$C$6-1),Görevler!$D82&gt;=BA$4),IF(BA$4&lt;=Görevler!$C82+ROUND(Görevler!$F82*Görevler!$E82,0)-1,2,1),""))</f>
        <v/>
      </c>
      <c r="BB82" s="22" t="str">
        <f aca="false">IF(Görevler!$F82="","",IF(AND(Görevler!$C82&lt;=(BB$4+Ayarlar!$C$6-1),Görevler!$D82&gt;=BB$4),IF(BB$4&lt;=Görevler!$C82+ROUND(Görevler!$F82*Görevler!$E82,0)-1,2,1),""))</f>
        <v/>
      </c>
      <c r="BC82" s="22" t="str">
        <f aca="false">IF(Görevler!$F82="","",IF(AND(Görevler!$C82&lt;=(BC$4+Ayarlar!$C$6-1),Görevler!$D82&gt;=BC$4),IF(BC$4&lt;=Görevler!$C82+ROUND(Görevler!$F82*Görevler!$E82,0)-1,2,1),""))</f>
        <v/>
      </c>
      <c r="BD82" s="22" t="str">
        <f aca="false">IF(Görevler!$F82="","",IF(AND(Görevler!$C82&lt;=(BD$4+Ayarlar!$C$6-1),Görevler!$D82&gt;=BD$4),IF(BD$4&lt;=Görevler!$C82+ROUND(Görevler!$F82*Görevler!$E82,0)-1,2,1),""))</f>
        <v/>
      </c>
      <c r="BE82" s="22" t="str">
        <f aca="false">IF(Görevler!$F82="","",IF(AND(Görevler!$C82&lt;=(BE$4+Ayarlar!$C$6-1),Görevler!$D82&gt;=BE$4),IF(BE$4&lt;=Görevler!$C82+ROUND(Görevler!$F82*Görevler!$E82,0)-1,2,1),""))</f>
        <v/>
      </c>
      <c r="BF82" s="22" t="str">
        <f aca="false">IF(Görevler!$F82="","",IF(AND(Görevler!$C82&lt;=(BF$4+Ayarlar!$C$6-1),Görevler!$D82&gt;=BF$4),IF(BF$4&lt;=Görevler!$C82+ROUND(Görevler!$F82*Görevler!$E82,0)-1,2,1),""))</f>
        <v/>
      </c>
      <c r="BG82" s="22" t="str">
        <f aca="false">IF(Görevler!$F82="","",IF(AND(Görevler!$C82&lt;=(BG$4+Ayarlar!$C$6-1),Görevler!$D82&gt;=BG$4),IF(BG$4&lt;=Görevler!$C82+ROUND(Görevler!$F82*Görevler!$E82,0)-1,2,1),""))</f>
        <v/>
      </c>
      <c r="BH82" s="22" t="str">
        <f aca="false">IF(Görevler!$F82="","",IF(AND(Görevler!$C82&lt;=(BH$4+Ayarlar!$C$6-1),Görevler!$D82&gt;=BH$4),IF(BH$4&lt;=Görevler!$C82+ROUND(Görevler!$F82*Görevler!$E82,0)-1,2,1),""))</f>
        <v/>
      </c>
      <c r="BI82" s="22" t="str">
        <f aca="false">IF(Görevler!$F82="","",IF(AND(Görevler!$C82&lt;=(BI$4+Ayarlar!$C$6-1),Görevler!$D82&gt;=BI$4),IF(BI$4&lt;=Görevler!$C82+ROUND(Görevler!$F82*Görevler!$E82,0)-1,2,1),""))</f>
        <v/>
      </c>
      <c r="BJ82" s="22" t="str">
        <f aca="false">IF(Görevler!$F82="","",IF(AND(Görevler!$C82&lt;=(BJ$4+Ayarlar!$C$6-1),Görevler!$D82&gt;=BJ$4),IF(BJ$4&lt;=Görevler!$C82+ROUND(Görevler!$F82*Görevler!$E82,0)-1,2,1),""))</f>
        <v/>
      </c>
    </row>
    <row r="83" customFormat="false" ht="15" hidden="false" customHeight="false" outlineLevel="0" collapsed="false">
      <c r="A83" s="21" t="str">
        <f aca="false">IF(Görevler!A83="","",Görevler!A83)</f>
        <v/>
      </c>
      <c r="B83" s="21" t="str">
        <f aca="false">IF(Görevler!A83="","",Görevler!B83&amp;"")</f>
        <v/>
      </c>
      <c r="C83" s="22" t="str">
        <f aca="false">IF(Görevler!$F83="","",IF(AND(Görevler!$C83&lt;=(C$4+Ayarlar!$C$6-1),Görevler!$D83&gt;=C$4),IF(C$4&lt;=Görevler!$C83+ROUND(Görevler!$F83*Görevler!$E83,0)-1,2,1),""))</f>
        <v/>
      </c>
      <c r="D83" s="22" t="str">
        <f aca="false">IF(Görevler!$F83="","",IF(AND(Görevler!$C83&lt;=(D$4+Ayarlar!$C$6-1),Görevler!$D83&gt;=D$4),IF(D$4&lt;=Görevler!$C83+ROUND(Görevler!$F83*Görevler!$E83,0)-1,2,1),""))</f>
        <v/>
      </c>
      <c r="E83" s="22" t="str">
        <f aca="false">IF(Görevler!$F83="","",IF(AND(Görevler!$C83&lt;=(E$4+Ayarlar!$C$6-1),Görevler!$D83&gt;=E$4),IF(E$4&lt;=Görevler!$C83+ROUND(Görevler!$F83*Görevler!$E83,0)-1,2,1),""))</f>
        <v/>
      </c>
      <c r="F83" s="22" t="str">
        <f aca="false">IF(Görevler!$F83="","",IF(AND(Görevler!$C83&lt;=(F$4+Ayarlar!$C$6-1),Görevler!$D83&gt;=F$4),IF(F$4&lt;=Görevler!$C83+ROUND(Görevler!$F83*Görevler!$E83,0)-1,2,1),""))</f>
        <v/>
      </c>
      <c r="G83" s="22" t="str">
        <f aca="false">IF(Görevler!$F83="","",IF(AND(Görevler!$C83&lt;=(G$4+Ayarlar!$C$6-1),Görevler!$D83&gt;=G$4),IF(G$4&lt;=Görevler!$C83+ROUND(Görevler!$F83*Görevler!$E83,0)-1,2,1),""))</f>
        <v/>
      </c>
      <c r="H83" s="22" t="str">
        <f aca="false">IF(Görevler!$F83="","",IF(AND(Görevler!$C83&lt;=(H$4+Ayarlar!$C$6-1),Görevler!$D83&gt;=H$4),IF(H$4&lt;=Görevler!$C83+ROUND(Görevler!$F83*Görevler!$E83,0)-1,2,1),""))</f>
        <v/>
      </c>
      <c r="I83" s="22" t="str">
        <f aca="false">IF(Görevler!$F83="","",IF(AND(Görevler!$C83&lt;=(I$4+Ayarlar!$C$6-1),Görevler!$D83&gt;=I$4),IF(I$4&lt;=Görevler!$C83+ROUND(Görevler!$F83*Görevler!$E83,0)-1,2,1),""))</f>
        <v/>
      </c>
      <c r="J83" s="22" t="str">
        <f aca="false">IF(Görevler!$F83="","",IF(AND(Görevler!$C83&lt;=(J$4+Ayarlar!$C$6-1),Görevler!$D83&gt;=J$4),IF(J$4&lt;=Görevler!$C83+ROUND(Görevler!$F83*Görevler!$E83,0)-1,2,1),""))</f>
        <v/>
      </c>
      <c r="K83" s="22" t="str">
        <f aca="false">IF(Görevler!$F83="","",IF(AND(Görevler!$C83&lt;=(K$4+Ayarlar!$C$6-1),Görevler!$D83&gt;=K$4),IF(K$4&lt;=Görevler!$C83+ROUND(Görevler!$F83*Görevler!$E83,0)-1,2,1),""))</f>
        <v/>
      </c>
      <c r="L83" s="22" t="str">
        <f aca="false">IF(Görevler!$F83="","",IF(AND(Görevler!$C83&lt;=(L$4+Ayarlar!$C$6-1),Görevler!$D83&gt;=L$4),IF(L$4&lt;=Görevler!$C83+ROUND(Görevler!$F83*Görevler!$E83,0)-1,2,1),""))</f>
        <v/>
      </c>
      <c r="M83" s="22" t="str">
        <f aca="false">IF(Görevler!$F83="","",IF(AND(Görevler!$C83&lt;=(M$4+Ayarlar!$C$6-1),Görevler!$D83&gt;=M$4),IF(M$4&lt;=Görevler!$C83+ROUND(Görevler!$F83*Görevler!$E83,0)-1,2,1),""))</f>
        <v/>
      </c>
      <c r="N83" s="22" t="str">
        <f aca="false">IF(Görevler!$F83="","",IF(AND(Görevler!$C83&lt;=(N$4+Ayarlar!$C$6-1),Görevler!$D83&gt;=N$4),IF(N$4&lt;=Görevler!$C83+ROUND(Görevler!$F83*Görevler!$E83,0)-1,2,1),""))</f>
        <v/>
      </c>
      <c r="O83" s="22" t="str">
        <f aca="false">IF(Görevler!$F83="","",IF(AND(Görevler!$C83&lt;=(O$4+Ayarlar!$C$6-1),Görevler!$D83&gt;=O$4),IF(O$4&lt;=Görevler!$C83+ROUND(Görevler!$F83*Görevler!$E83,0)-1,2,1),""))</f>
        <v/>
      </c>
      <c r="P83" s="22" t="str">
        <f aca="false">IF(Görevler!$F83="","",IF(AND(Görevler!$C83&lt;=(P$4+Ayarlar!$C$6-1),Görevler!$D83&gt;=P$4),IF(P$4&lt;=Görevler!$C83+ROUND(Görevler!$F83*Görevler!$E83,0)-1,2,1),""))</f>
        <v/>
      </c>
      <c r="Q83" s="22" t="str">
        <f aca="false">IF(Görevler!$F83="","",IF(AND(Görevler!$C83&lt;=(Q$4+Ayarlar!$C$6-1),Görevler!$D83&gt;=Q$4),IF(Q$4&lt;=Görevler!$C83+ROUND(Görevler!$F83*Görevler!$E83,0)-1,2,1),""))</f>
        <v/>
      </c>
      <c r="R83" s="22" t="str">
        <f aca="false">IF(Görevler!$F83="","",IF(AND(Görevler!$C83&lt;=(R$4+Ayarlar!$C$6-1),Görevler!$D83&gt;=R$4),IF(R$4&lt;=Görevler!$C83+ROUND(Görevler!$F83*Görevler!$E83,0)-1,2,1),""))</f>
        <v/>
      </c>
      <c r="S83" s="22" t="str">
        <f aca="false">IF(Görevler!$F83="","",IF(AND(Görevler!$C83&lt;=(S$4+Ayarlar!$C$6-1),Görevler!$D83&gt;=S$4),IF(S$4&lt;=Görevler!$C83+ROUND(Görevler!$F83*Görevler!$E83,0)-1,2,1),""))</f>
        <v/>
      </c>
      <c r="T83" s="22" t="str">
        <f aca="false">IF(Görevler!$F83="","",IF(AND(Görevler!$C83&lt;=(T$4+Ayarlar!$C$6-1),Görevler!$D83&gt;=T$4),IF(T$4&lt;=Görevler!$C83+ROUND(Görevler!$F83*Görevler!$E83,0)-1,2,1),""))</f>
        <v/>
      </c>
      <c r="U83" s="22" t="str">
        <f aca="false">IF(Görevler!$F83="","",IF(AND(Görevler!$C83&lt;=(U$4+Ayarlar!$C$6-1),Görevler!$D83&gt;=U$4),IF(U$4&lt;=Görevler!$C83+ROUND(Görevler!$F83*Görevler!$E83,0)-1,2,1),""))</f>
        <v/>
      </c>
      <c r="V83" s="22" t="str">
        <f aca="false">IF(Görevler!$F83="","",IF(AND(Görevler!$C83&lt;=(V$4+Ayarlar!$C$6-1),Görevler!$D83&gt;=V$4),IF(V$4&lt;=Görevler!$C83+ROUND(Görevler!$F83*Görevler!$E83,0)-1,2,1),""))</f>
        <v/>
      </c>
      <c r="W83" s="22" t="str">
        <f aca="false">IF(Görevler!$F83="","",IF(AND(Görevler!$C83&lt;=(W$4+Ayarlar!$C$6-1),Görevler!$D83&gt;=W$4),IF(W$4&lt;=Görevler!$C83+ROUND(Görevler!$F83*Görevler!$E83,0)-1,2,1),""))</f>
        <v/>
      </c>
      <c r="X83" s="22" t="str">
        <f aca="false">IF(Görevler!$F83="","",IF(AND(Görevler!$C83&lt;=(X$4+Ayarlar!$C$6-1),Görevler!$D83&gt;=X$4),IF(X$4&lt;=Görevler!$C83+ROUND(Görevler!$F83*Görevler!$E83,0)-1,2,1),""))</f>
        <v/>
      </c>
      <c r="Y83" s="22" t="str">
        <f aca="false">IF(Görevler!$F83="","",IF(AND(Görevler!$C83&lt;=(Y$4+Ayarlar!$C$6-1),Görevler!$D83&gt;=Y$4),IF(Y$4&lt;=Görevler!$C83+ROUND(Görevler!$F83*Görevler!$E83,0)-1,2,1),""))</f>
        <v/>
      </c>
      <c r="Z83" s="22" t="str">
        <f aca="false">IF(Görevler!$F83="","",IF(AND(Görevler!$C83&lt;=(Z$4+Ayarlar!$C$6-1),Görevler!$D83&gt;=Z$4),IF(Z$4&lt;=Görevler!$C83+ROUND(Görevler!$F83*Görevler!$E83,0)-1,2,1),""))</f>
        <v/>
      </c>
      <c r="AA83" s="22" t="str">
        <f aca="false">IF(Görevler!$F83="","",IF(AND(Görevler!$C83&lt;=(AA$4+Ayarlar!$C$6-1),Görevler!$D83&gt;=AA$4),IF(AA$4&lt;=Görevler!$C83+ROUND(Görevler!$F83*Görevler!$E83,0)-1,2,1),""))</f>
        <v/>
      </c>
      <c r="AB83" s="22" t="str">
        <f aca="false">IF(Görevler!$F83="","",IF(AND(Görevler!$C83&lt;=(AB$4+Ayarlar!$C$6-1),Görevler!$D83&gt;=AB$4),IF(AB$4&lt;=Görevler!$C83+ROUND(Görevler!$F83*Görevler!$E83,0)-1,2,1),""))</f>
        <v/>
      </c>
      <c r="AC83" s="22" t="str">
        <f aca="false">IF(Görevler!$F83="","",IF(AND(Görevler!$C83&lt;=(AC$4+Ayarlar!$C$6-1),Görevler!$D83&gt;=AC$4),IF(AC$4&lt;=Görevler!$C83+ROUND(Görevler!$F83*Görevler!$E83,0)-1,2,1),""))</f>
        <v/>
      </c>
      <c r="AD83" s="22" t="str">
        <f aca="false">IF(Görevler!$F83="","",IF(AND(Görevler!$C83&lt;=(AD$4+Ayarlar!$C$6-1),Görevler!$D83&gt;=AD$4),IF(AD$4&lt;=Görevler!$C83+ROUND(Görevler!$F83*Görevler!$E83,0)-1,2,1),""))</f>
        <v/>
      </c>
      <c r="AE83" s="22" t="str">
        <f aca="false">IF(Görevler!$F83="","",IF(AND(Görevler!$C83&lt;=(AE$4+Ayarlar!$C$6-1),Görevler!$D83&gt;=AE$4),IF(AE$4&lt;=Görevler!$C83+ROUND(Görevler!$F83*Görevler!$E83,0)-1,2,1),""))</f>
        <v/>
      </c>
      <c r="AF83" s="22" t="str">
        <f aca="false">IF(Görevler!$F83="","",IF(AND(Görevler!$C83&lt;=(AF$4+Ayarlar!$C$6-1),Görevler!$D83&gt;=AF$4),IF(AF$4&lt;=Görevler!$C83+ROUND(Görevler!$F83*Görevler!$E83,0)-1,2,1),""))</f>
        <v/>
      </c>
      <c r="AG83" s="22" t="str">
        <f aca="false">IF(Görevler!$F83="","",IF(AND(Görevler!$C83&lt;=(AG$4+Ayarlar!$C$6-1),Görevler!$D83&gt;=AG$4),IF(AG$4&lt;=Görevler!$C83+ROUND(Görevler!$F83*Görevler!$E83,0)-1,2,1),""))</f>
        <v/>
      </c>
      <c r="AH83" s="22" t="str">
        <f aca="false">IF(Görevler!$F83="","",IF(AND(Görevler!$C83&lt;=(AH$4+Ayarlar!$C$6-1),Görevler!$D83&gt;=AH$4),IF(AH$4&lt;=Görevler!$C83+ROUND(Görevler!$F83*Görevler!$E83,0)-1,2,1),""))</f>
        <v/>
      </c>
      <c r="AI83" s="22" t="str">
        <f aca="false">IF(Görevler!$F83="","",IF(AND(Görevler!$C83&lt;=(AI$4+Ayarlar!$C$6-1),Görevler!$D83&gt;=AI$4),IF(AI$4&lt;=Görevler!$C83+ROUND(Görevler!$F83*Görevler!$E83,0)-1,2,1),""))</f>
        <v/>
      </c>
      <c r="AJ83" s="22" t="str">
        <f aca="false">IF(Görevler!$F83="","",IF(AND(Görevler!$C83&lt;=(AJ$4+Ayarlar!$C$6-1),Görevler!$D83&gt;=AJ$4),IF(AJ$4&lt;=Görevler!$C83+ROUND(Görevler!$F83*Görevler!$E83,0)-1,2,1),""))</f>
        <v/>
      </c>
      <c r="AK83" s="22" t="str">
        <f aca="false">IF(Görevler!$F83="","",IF(AND(Görevler!$C83&lt;=(AK$4+Ayarlar!$C$6-1),Görevler!$D83&gt;=AK$4),IF(AK$4&lt;=Görevler!$C83+ROUND(Görevler!$F83*Görevler!$E83,0)-1,2,1),""))</f>
        <v/>
      </c>
      <c r="AL83" s="22" t="str">
        <f aca="false">IF(Görevler!$F83="","",IF(AND(Görevler!$C83&lt;=(AL$4+Ayarlar!$C$6-1),Görevler!$D83&gt;=AL$4),IF(AL$4&lt;=Görevler!$C83+ROUND(Görevler!$F83*Görevler!$E83,0)-1,2,1),""))</f>
        <v/>
      </c>
      <c r="AM83" s="22" t="str">
        <f aca="false">IF(Görevler!$F83="","",IF(AND(Görevler!$C83&lt;=(AM$4+Ayarlar!$C$6-1),Görevler!$D83&gt;=AM$4),IF(AM$4&lt;=Görevler!$C83+ROUND(Görevler!$F83*Görevler!$E83,0)-1,2,1),""))</f>
        <v/>
      </c>
      <c r="AN83" s="22" t="str">
        <f aca="false">IF(Görevler!$F83="","",IF(AND(Görevler!$C83&lt;=(AN$4+Ayarlar!$C$6-1),Görevler!$D83&gt;=AN$4),IF(AN$4&lt;=Görevler!$C83+ROUND(Görevler!$F83*Görevler!$E83,0)-1,2,1),""))</f>
        <v/>
      </c>
      <c r="AO83" s="22" t="str">
        <f aca="false">IF(Görevler!$F83="","",IF(AND(Görevler!$C83&lt;=(AO$4+Ayarlar!$C$6-1),Görevler!$D83&gt;=AO$4),IF(AO$4&lt;=Görevler!$C83+ROUND(Görevler!$F83*Görevler!$E83,0)-1,2,1),""))</f>
        <v/>
      </c>
      <c r="AP83" s="22" t="str">
        <f aca="false">IF(Görevler!$F83="","",IF(AND(Görevler!$C83&lt;=(AP$4+Ayarlar!$C$6-1),Görevler!$D83&gt;=AP$4),IF(AP$4&lt;=Görevler!$C83+ROUND(Görevler!$F83*Görevler!$E83,0)-1,2,1),""))</f>
        <v/>
      </c>
      <c r="AQ83" s="22" t="str">
        <f aca="false">IF(Görevler!$F83="","",IF(AND(Görevler!$C83&lt;=(AQ$4+Ayarlar!$C$6-1),Görevler!$D83&gt;=AQ$4),IF(AQ$4&lt;=Görevler!$C83+ROUND(Görevler!$F83*Görevler!$E83,0)-1,2,1),""))</f>
        <v/>
      </c>
      <c r="AR83" s="22" t="str">
        <f aca="false">IF(Görevler!$F83="","",IF(AND(Görevler!$C83&lt;=(AR$4+Ayarlar!$C$6-1),Görevler!$D83&gt;=AR$4),IF(AR$4&lt;=Görevler!$C83+ROUND(Görevler!$F83*Görevler!$E83,0)-1,2,1),""))</f>
        <v/>
      </c>
      <c r="AS83" s="22" t="str">
        <f aca="false">IF(Görevler!$F83="","",IF(AND(Görevler!$C83&lt;=(AS$4+Ayarlar!$C$6-1),Görevler!$D83&gt;=AS$4),IF(AS$4&lt;=Görevler!$C83+ROUND(Görevler!$F83*Görevler!$E83,0)-1,2,1),""))</f>
        <v/>
      </c>
      <c r="AT83" s="22" t="str">
        <f aca="false">IF(Görevler!$F83="","",IF(AND(Görevler!$C83&lt;=(AT$4+Ayarlar!$C$6-1),Görevler!$D83&gt;=AT$4),IF(AT$4&lt;=Görevler!$C83+ROUND(Görevler!$F83*Görevler!$E83,0)-1,2,1),""))</f>
        <v/>
      </c>
      <c r="AU83" s="22" t="str">
        <f aca="false">IF(Görevler!$F83="","",IF(AND(Görevler!$C83&lt;=(AU$4+Ayarlar!$C$6-1),Görevler!$D83&gt;=AU$4),IF(AU$4&lt;=Görevler!$C83+ROUND(Görevler!$F83*Görevler!$E83,0)-1,2,1),""))</f>
        <v/>
      </c>
      <c r="AV83" s="22" t="str">
        <f aca="false">IF(Görevler!$F83="","",IF(AND(Görevler!$C83&lt;=(AV$4+Ayarlar!$C$6-1),Görevler!$D83&gt;=AV$4),IF(AV$4&lt;=Görevler!$C83+ROUND(Görevler!$F83*Görevler!$E83,0)-1,2,1),""))</f>
        <v/>
      </c>
      <c r="AW83" s="22" t="str">
        <f aca="false">IF(Görevler!$F83="","",IF(AND(Görevler!$C83&lt;=(AW$4+Ayarlar!$C$6-1),Görevler!$D83&gt;=AW$4),IF(AW$4&lt;=Görevler!$C83+ROUND(Görevler!$F83*Görevler!$E83,0)-1,2,1),""))</f>
        <v/>
      </c>
      <c r="AX83" s="22" t="str">
        <f aca="false">IF(Görevler!$F83="","",IF(AND(Görevler!$C83&lt;=(AX$4+Ayarlar!$C$6-1),Görevler!$D83&gt;=AX$4),IF(AX$4&lt;=Görevler!$C83+ROUND(Görevler!$F83*Görevler!$E83,0)-1,2,1),""))</f>
        <v/>
      </c>
      <c r="AY83" s="22" t="str">
        <f aca="false">IF(Görevler!$F83="","",IF(AND(Görevler!$C83&lt;=(AY$4+Ayarlar!$C$6-1),Görevler!$D83&gt;=AY$4),IF(AY$4&lt;=Görevler!$C83+ROUND(Görevler!$F83*Görevler!$E83,0)-1,2,1),""))</f>
        <v/>
      </c>
      <c r="AZ83" s="22" t="str">
        <f aca="false">IF(Görevler!$F83="","",IF(AND(Görevler!$C83&lt;=(AZ$4+Ayarlar!$C$6-1),Görevler!$D83&gt;=AZ$4),IF(AZ$4&lt;=Görevler!$C83+ROUND(Görevler!$F83*Görevler!$E83,0)-1,2,1),""))</f>
        <v/>
      </c>
      <c r="BA83" s="22" t="str">
        <f aca="false">IF(Görevler!$F83="","",IF(AND(Görevler!$C83&lt;=(BA$4+Ayarlar!$C$6-1),Görevler!$D83&gt;=BA$4),IF(BA$4&lt;=Görevler!$C83+ROUND(Görevler!$F83*Görevler!$E83,0)-1,2,1),""))</f>
        <v/>
      </c>
      <c r="BB83" s="22" t="str">
        <f aca="false">IF(Görevler!$F83="","",IF(AND(Görevler!$C83&lt;=(BB$4+Ayarlar!$C$6-1),Görevler!$D83&gt;=BB$4),IF(BB$4&lt;=Görevler!$C83+ROUND(Görevler!$F83*Görevler!$E83,0)-1,2,1),""))</f>
        <v/>
      </c>
      <c r="BC83" s="22" t="str">
        <f aca="false">IF(Görevler!$F83="","",IF(AND(Görevler!$C83&lt;=(BC$4+Ayarlar!$C$6-1),Görevler!$D83&gt;=BC$4),IF(BC$4&lt;=Görevler!$C83+ROUND(Görevler!$F83*Görevler!$E83,0)-1,2,1),""))</f>
        <v/>
      </c>
      <c r="BD83" s="22" t="str">
        <f aca="false">IF(Görevler!$F83="","",IF(AND(Görevler!$C83&lt;=(BD$4+Ayarlar!$C$6-1),Görevler!$D83&gt;=BD$4),IF(BD$4&lt;=Görevler!$C83+ROUND(Görevler!$F83*Görevler!$E83,0)-1,2,1),""))</f>
        <v/>
      </c>
      <c r="BE83" s="22" t="str">
        <f aca="false">IF(Görevler!$F83="","",IF(AND(Görevler!$C83&lt;=(BE$4+Ayarlar!$C$6-1),Görevler!$D83&gt;=BE$4),IF(BE$4&lt;=Görevler!$C83+ROUND(Görevler!$F83*Görevler!$E83,0)-1,2,1),""))</f>
        <v/>
      </c>
      <c r="BF83" s="22" t="str">
        <f aca="false">IF(Görevler!$F83="","",IF(AND(Görevler!$C83&lt;=(BF$4+Ayarlar!$C$6-1),Görevler!$D83&gt;=BF$4),IF(BF$4&lt;=Görevler!$C83+ROUND(Görevler!$F83*Görevler!$E83,0)-1,2,1),""))</f>
        <v/>
      </c>
      <c r="BG83" s="22" t="str">
        <f aca="false">IF(Görevler!$F83="","",IF(AND(Görevler!$C83&lt;=(BG$4+Ayarlar!$C$6-1),Görevler!$D83&gt;=BG$4),IF(BG$4&lt;=Görevler!$C83+ROUND(Görevler!$F83*Görevler!$E83,0)-1,2,1),""))</f>
        <v/>
      </c>
      <c r="BH83" s="22" t="str">
        <f aca="false">IF(Görevler!$F83="","",IF(AND(Görevler!$C83&lt;=(BH$4+Ayarlar!$C$6-1),Görevler!$D83&gt;=BH$4),IF(BH$4&lt;=Görevler!$C83+ROUND(Görevler!$F83*Görevler!$E83,0)-1,2,1),""))</f>
        <v/>
      </c>
      <c r="BI83" s="22" t="str">
        <f aca="false">IF(Görevler!$F83="","",IF(AND(Görevler!$C83&lt;=(BI$4+Ayarlar!$C$6-1),Görevler!$D83&gt;=BI$4),IF(BI$4&lt;=Görevler!$C83+ROUND(Görevler!$F83*Görevler!$E83,0)-1,2,1),""))</f>
        <v/>
      </c>
      <c r="BJ83" s="22" t="str">
        <f aca="false">IF(Görevler!$F83="","",IF(AND(Görevler!$C83&lt;=(BJ$4+Ayarlar!$C$6-1),Görevler!$D83&gt;=BJ$4),IF(BJ$4&lt;=Görevler!$C83+ROUND(Görevler!$F83*Görevler!$E83,0)-1,2,1),""))</f>
        <v/>
      </c>
    </row>
    <row r="84" customFormat="false" ht="15" hidden="false" customHeight="false" outlineLevel="0" collapsed="false">
      <c r="A84" s="21" t="str">
        <f aca="false">IF(Görevler!A84="","",Görevler!A84)</f>
        <v/>
      </c>
      <c r="B84" s="21" t="str">
        <f aca="false">IF(Görevler!A84="","",Görevler!B84&amp;"")</f>
        <v/>
      </c>
      <c r="C84" s="22" t="str">
        <f aca="false">IF(Görevler!$F84="","",IF(AND(Görevler!$C84&lt;=(C$4+Ayarlar!$C$6-1),Görevler!$D84&gt;=C$4),IF(C$4&lt;=Görevler!$C84+ROUND(Görevler!$F84*Görevler!$E84,0)-1,2,1),""))</f>
        <v/>
      </c>
      <c r="D84" s="22" t="str">
        <f aca="false">IF(Görevler!$F84="","",IF(AND(Görevler!$C84&lt;=(D$4+Ayarlar!$C$6-1),Görevler!$D84&gt;=D$4),IF(D$4&lt;=Görevler!$C84+ROUND(Görevler!$F84*Görevler!$E84,0)-1,2,1),""))</f>
        <v/>
      </c>
      <c r="E84" s="22" t="str">
        <f aca="false">IF(Görevler!$F84="","",IF(AND(Görevler!$C84&lt;=(E$4+Ayarlar!$C$6-1),Görevler!$D84&gt;=E$4),IF(E$4&lt;=Görevler!$C84+ROUND(Görevler!$F84*Görevler!$E84,0)-1,2,1),""))</f>
        <v/>
      </c>
      <c r="F84" s="22" t="str">
        <f aca="false">IF(Görevler!$F84="","",IF(AND(Görevler!$C84&lt;=(F$4+Ayarlar!$C$6-1),Görevler!$D84&gt;=F$4),IF(F$4&lt;=Görevler!$C84+ROUND(Görevler!$F84*Görevler!$E84,0)-1,2,1),""))</f>
        <v/>
      </c>
      <c r="G84" s="22" t="str">
        <f aca="false">IF(Görevler!$F84="","",IF(AND(Görevler!$C84&lt;=(G$4+Ayarlar!$C$6-1),Görevler!$D84&gt;=G$4),IF(G$4&lt;=Görevler!$C84+ROUND(Görevler!$F84*Görevler!$E84,0)-1,2,1),""))</f>
        <v/>
      </c>
      <c r="H84" s="22" t="str">
        <f aca="false">IF(Görevler!$F84="","",IF(AND(Görevler!$C84&lt;=(H$4+Ayarlar!$C$6-1),Görevler!$D84&gt;=H$4),IF(H$4&lt;=Görevler!$C84+ROUND(Görevler!$F84*Görevler!$E84,0)-1,2,1),""))</f>
        <v/>
      </c>
      <c r="I84" s="22" t="str">
        <f aca="false">IF(Görevler!$F84="","",IF(AND(Görevler!$C84&lt;=(I$4+Ayarlar!$C$6-1),Görevler!$D84&gt;=I$4),IF(I$4&lt;=Görevler!$C84+ROUND(Görevler!$F84*Görevler!$E84,0)-1,2,1),""))</f>
        <v/>
      </c>
      <c r="J84" s="22" t="str">
        <f aca="false">IF(Görevler!$F84="","",IF(AND(Görevler!$C84&lt;=(J$4+Ayarlar!$C$6-1),Görevler!$D84&gt;=J$4),IF(J$4&lt;=Görevler!$C84+ROUND(Görevler!$F84*Görevler!$E84,0)-1,2,1),""))</f>
        <v/>
      </c>
      <c r="K84" s="22" t="str">
        <f aca="false">IF(Görevler!$F84="","",IF(AND(Görevler!$C84&lt;=(K$4+Ayarlar!$C$6-1),Görevler!$D84&gt;=K$4),IF(K$4&lt;=Görevler!$C84+ROUND(Görevler!$F84*Görevler!$E84,0)-1,2,1),""))</f>
        <v/>
      </c>
      <c r="L84" s="22" t="str">
        <f aca="false">IF(Görevler!$F84="","",IF(AND(Görevler!$C84&lt;=(L$4+Ayarlar!$C$6-1),Görevler!$D84&gt;=L$4),IF(L$4&lt;=Görevler!$C84+ROUND(Görevler!$F84*Görevler!$E84,0)-1,2,1),""))</f>
        <v/>
      </c>
      <c r="M84" s="22" t="str">
        <f aca="false">IF(Görevler!$F84="","",IF(AND(Görevler!$C84&lt;=(M$4+Ayarlar!$C$6-1),Görevler!$D84&gt;=M$4),IF(M$4&lt;=Görevler!$C84+ROUND(Görevler!$F84*Görevler!$E84,0)-1,2,1),""))</f>
        <v/>
      </c>
      <c r="N84" s="22" t="str">
        <f aca="false">IF(Görevler!$F84="","",IF(AND(Görevler!$C84&lt;=(N$4+Ayarlar!$C$6-1),Görevler!$D84&gt;=N$4),IF(N$4&lt;=Görevler!$C84+ROUND(Görevler!$F84*Görevler!$E84,0)-1,2,1),""))</f>
        <v/>
      </c>
      <c r="O84" s="22" t="str">
        <f aca="false">IF(Görevler!$F84="","",IF(AND(Görevler!$C84&lt;=(O$4+Ayarlar!$C$6-1),Görevler!$D84&gt;=O$4),IF(O$4&lt;=Görevler!$C84+ROUND(Görevler!$F84*Görevler!$E84,0)-1,2,1),""))</f>
        <v/>
      </c>
      <c r="P84" s="22" t="str">
        <f aca="false">IF(Görevler!$F84="","",IF(AND(Görevler!$C84&lt;=(P$4+Ayarlar!$C$6-1),Görevler!$D84&gt;=P$4),IF(P$4&lt;=Görevler!$C84+ROUND(Görevler!$F84*Görevler!$E84,0)-1,2,1),""))</f>
        <v/>
      </c>
      <c r="Q84" s="22" t="str">
        <f aca="false">IF(Görevler!$F84="","",IF(AND(Görevler!$C84&lt;=(Q$4+Ayarlar!$C$6-1),Görevler!$D84&gt;=Q$4),IF(Q$4&lt;=Görevler!$C84+ROUND(Görevler!$F84*Görevler!$E84,0)-1,2,1),""))</f>
        <v/>
      </c>
      <c r="R84" s="22" t="str">
        <f aca="false">IF(Görevler!$F84="","",IF(AND(Görevler!$C84&lt;=(R$4+Ayarlar!$C$6-1),Görevler!$D84&gt;=R$4),IF(R$4&lt;=Görevler!$C84+ROUND(Görevler!$F84*Görevler!$E84,0)-1,2,1),""))</f>
        <v/>
      </c>
      <c r="S84" s="22" t="str">
        <f aca="false">IF(Görevler!$F84="","",IF(AND(Görevler!$C84&lt;=(S$4+Ayarlar!$C$6-1),Görevler!$D84&gt;=S$4),IF(S$4&lt;=Görevler!$C84+ROUND(Görevler!$F84*Görevler!$E84,0)-1,2,1),""))</f>
        <v/>
      </c>
      <c r="T84" s="22" t="str">
        <f aca="false">IF(Görevler!$F84="","",IF(AND(Görevler!$C84&lt;=(T$4+Ayarlar!$C$6-1),Görevler!$D84&gt;=T$4),IF(T$4&lt;=Görevler!$C84+ROUND(Görevler!$F84*Görevler!$E84,0)-1,2,1),""))</f>
        <v/>
      </c>
      <c r="U84" s="22" t="str">
        <f aca="false">IF(Görevler!$F84="","",IF(AND(Görevler!$C84&lt;=(U$4+Ayarlar!$C$6-1),Görevler!$D84&gt;=U$4),IF(U$4&lt;=Görevler!$C84+ROUND(Görevler!$F84*Görevler!$E84,0)-1,2,1),""))</f>
        <v/>
      </c>
      <c r="V84" s="22" t="str">
        <f aca="false">IF(Görevler!$F84="","",IF(AND(Görevler!$C84&lt;=(V$4+Ayarlar!$C$6-1),Görevler!$D84&gt;=V$4),IF(V$4&lt;=Görevler!$C84+ROUND(Görevler!$F84*Görevler!$E84,0)-1,2,1),""))</f>
        <v/>
      </c>
      <c r="W84" s="22" t="str">
        <f aca="false">IF(Görevler!$F84="","",IF(AND(Görevler!$C84&lt;=(W$4+Ayarlar!$C$6-1),Görevler!$D84&gt;=W$4),IF(W$4&lt;=Görevler!$C84+ROUND(Görevler!$F84*Görevler!$E84,0)-1,2,1),""))</f>
        <v/>
      </c>
      <c r="X84" s="22" t="str">
        <f aca="false">IF(Görevler!$F84="","",IF(AND(Görevler!$C84&lt;=(X$4+Ayarlar!$C$6-1),Görevler!$D84&gt;=X$4),IF(X$4&lt;=Görevler!$C84+ROUND(Görevler!$F84*Görevler!$E84,0)-1,2,1),""))</f>
        <v/>
      </c>
      <c r="Y84" s="22" t="str">
        <f aca="false">IF(Görevler!$F84="","",IF(AND(Görevler!$C84&lt;=(Y$4+Ayarlar!$C$6-1),Görevler!$D84&gt;=Y$4),IF(Y$4&lt;=Görevler!$C84+ROUND(Görevler!$F84*Görevler!$E84,0)-1,2,1),""))</f>
        <v/>
      </c>
      <c r="Z84" s="22" t="str">
        <f aca="false">IF(Görevler!$F84="","",IF(AND(Görevler!$C84&lt;=(Z$4+Ayarlar!$C$6-1),Görevler!$D84&gt;=Z$4),IF(Z$4&lt;=Görevler!$C84+ROUND(Görevler!$F84*Görevler!$E84,0)-1,2,1),""))</f>
        <v/>
      </c>
      <c r="AA84" s="22" t="str">
        <f aca="false">IF(Görevler!$F84="","",IF(AND(Görevler!$C84&lt;=(AA$4+Ayarlar!$C$6-1),Görevler!$D84&gt;=AA$4),IF(AA$4&lt;=Görevler!$C84+ROUND(Görevler!$F84*Görevler!$E84,0)-1,2,1),""))</f>
        <v/>
      </c>
      <c r="AB84" s="22" t="str">
        <f aca="false">IF(Görevler!$F84="","",IF(AND(Görevler!$C84&lt;=(AB$4+Ayarlar!$C$6-1),Görevler!$D84&gt;=AB$4),IF(AB$4&lt;=Görevler!$C84+ROUND(Görevler!$F84*Görevler!$E84,0)-1,2,1),""))</f>
        <v/>
      </c>
      <c r="AC84" s="22" t="str">
        <f aca="false">IF(Görevler!$F84="","",IF(AND(Görevler!$C84&lt;=(AC$4+Ayarlar!$C$6-1),Görevler!$D84&gt;=AC$4),IF(AC$4&lt;=Görevler!$C84+ROUND(Görevler!$F84*Görevler!$E84,0)-1,2,1),""))</f>
        <v/>
      </c>
      <c r="AD84" s="22" t="str">
        <f aca="false">IF(Görevler!$F84="","",IF(AND(Görevler!$C84&lt;=(AD$4+Ayarlar!$C$6-1),Görevler!$D84&gt;=AD$4),IF(AD$4&lt;=Görevler!$C84+ROUND(Görevler!$F84*Görevler!$E84,0)-1,2,1),""))</f>
        <v/>
      </c>
      <c r="AE84" s="22" t="str">
        <f aca="false">IF(Görevler!$F84="","",IF(AND(Görevler!$C84&lt;=(AE$4+Ayarlar!$C$6-1),Görevler!$D84&gt;=AE$4),IF(AE$4&lt;=Görevler!$C84+ROUND(Görevler!$F84*Görevler!$E84,0)-1,2,1),""))</f>
        <v/>
      </c>
      <c r="AF84" s="22" t="str">
        <f aca="false">IF(Görevler!$F84="","",IF(AND(Görevler!$C84&lt;=(AF$4+Ayarlar!$C$6-1),Görevler!$D84&gt;=AF$4),IF(AF$4&lt;=Görevler!$C84+ROUND(Görevler!$F84*Görevler!$E84,0)-1,2,1),""))</f>
        <v/>
      </c>
      <c r="AG84" s="22" t="str">
        <f aca="false">IF(Görevler!$F84="","",IF(AND(Görevler!$C84&lt;=(AG$4+Ayarlar!$C$6-1),Görevler!$D84&gt;=AG$4),IF(AG$4&lt;=Görevler!$C84+ROUND(Görevler!$F84*Görevler!$E84,0)-1,2,1),""))</f>
        <v/>
      </c>
      <c r="AH84" s="22" t="str">
        <f aca="false">IF(Görevler!$F84="","",IF(AND(Görevler!$C84&lt;=(AH$4+Ayarlar!$C$6-1),Görevler!$D84&gt;=AH$4),IF(AH$4&lt;=Görevler!$C84+ROUND(Görevler!$F84*Görevler!$E84,0)-1,2,1),""))</f>
        <v/>
      </c>
      <c r="AI84" s="22" t="str">
        <f aca="false">IF(Görevler!$F84="","",IF(AND(Görevler!$C84&lt;=(AI$4+Ayarlar!$C$6-1),Görevler!$D84&gt;=AI$4),IF(AI$4&lt;=Görevler!$C84+ROUND(Görevler!$F84*Görevler!$E84,0)-1,2,1),""))</f>
        <v/>
      </c>
      <c r="AJ84" s="22" t="str">
        <f aca="false">IF(Görevler!$F84="","",IF(AND(Görevler!$C84&lt;=(AJ$4+Ayarlar!$C$6-1),Görevler!$D84&gt;=AJ$4),IF(AJ$4&lt;=Görevler!$C84+ROUND(Görevler!$F84*Görevler!$E84,0)-1,2,1),""))</f>
        <v/>
      </c>
      <c r="AK84" s="22" t="str">
        <f aca="false">IF(Görevler!$F84="","",IF(AND(Görevler!$C84&lt;=(AK$4+Ayarlar!$C$6-1),Görevler!$D84&gt;=AK$4),IF(AK$4&lt;=Görevler!$C84+ROUND(Görevler!$F84*Görevler!$E84,0)-1,2,1),""))</f>
        <v/>
      </c>
      <c r="AL84" s="22" t="str">
        <f aca="false">IF(Görevler!$F84="","",IF(AND(Görevler!$C84&lt;=(AL$4+Ayarlar!$C$6-1),Görevler!$D84&gt;=AL$4),IF(AL$4&lt;=Görevler!$C84+ROUND(Görevler!$F84*Görevler!$E84,0)-1,2,1),""))</f>
        <v/>
      </c>
      <c r="AM84" s="22" t="str">
        <f aca="false">IF(Görevler!$F84="","",IF(AND(Görevler!$C84&lt;=(AM$4+Ayarlar!$C$6-1),Görevler!$D84&gt;=AM$4),IF(AM$4&lt;=Görevler!$C84+ROUND(Görevler!$F84*Görevler!$E84,0)-1,2,1),""))</f>
        <v/>
      </c>
      <c r="AN84" s="22" t="str">
        <f aca="false">IF(Görevler!$F84="","",IF(AND(Görevler!$C84&lt;=(AN$4+Ayarlar!$C$6-1),Görevler!$D84&gt;=AN$4),IF(AN$4&lt;=Görevler!$C84+ROUND(Görevler!$F84*Görevler!$E84,0)-1,2,1),""))</f>
        <v/>
      </c>
      <c r="AO84" s="22" t="str">
        <f aca="false">IF(Görevler!$F84="","",IF(AND(Görevler!$C84&lt;=(AO$4+Ayarlar!$C$6-1),Görevler!$D84&gt;=AO$4),IF(AO$4&lt;=Görevler!$C84+ROUND(Görevler!$F84*Görevler!$E84,0)-1,2,1),""))</f>
        <v/>
      </c>
      <c r="AP84" s="22" t="str">
        <f aca="false">IF(Görevler!$F84="","",IF(AND(Görevler!$C84&lt;=(AP$4+Ayarlar!$C$6-1),Görevler!$D84&gt;=AP$4),IF(AP$4&lt;=Görevler!$C84+ROUND(Görevler!$F84*Görevler!$E84,0)-1,2,1),""))</f>
        <v/>
      </c>
      <c r="AQ84" s="22" t="str">
        <f aca="false">IF(Görevler!$F84="","",IF(AND(Görevler!$C84&lt;=(AQ$4+Ayarlar!$C$6-1),Görevler!$D84&gt;=AQ$4),IF(AQ$4&lt;=Görevler!$C84+ROUND(Görevler!$F84*Görevler!$E84,0)-1,2,1),""))</f>
        <v/>
      </c>
      <c r="AR84" s="22" t="str">
        <f aca="false">IF(Görevler!$F84="","",IF(AND(Görevler!$C84&lt;=(AR$4+Ayarlar!$C$6-1),Görevler!$D84&gt;=AR$4),IF(AR$4&lt;=Görevler!$C84+ROUND(Görevler!$F84*Görevler!$E84,0)-1,2,1),""))</f>
        <v/>
      </c>
      <c r="AS84" s="22" t="str">
        <f aca="false">IF(Görevler!$F84="","",IF(AND(Görevler!$C84&lt;=(AS$4+Ayarlar!$C$6-1),Görevler!$D84&gt;=AS$4),IF(AS$4&lt;=Görevler!$C84+ROUND(Görevler!$F84*Görevler!$E84,0)-1,2,1),""))</f>
        <v/>
      </c>
      <c r="AT84" s="22" t="str">
        <f aca="false">IF(Görevler!$F84="","",IF(AND(Görevler!$C84&lt;=(AT$4+Ayarlar!$C$6-1),Görevler!$D84&gt;=AT$4),IF(AT$4&lt;=Görevler!$C84+ROUND(Görevler!$F84*Görevler!$E84,0)-1,2,1),""))</f>
        <v/>
      </c>
      <c r="AU84" s="22" t="str">
        <f aca="false">IF(Görevler!$F84="","",IF(AND(Görevler!$C84&lt;=(AU$4+Ayarlar!$C$6-1),Görevler!$D84&gt;=AU$4),IF(AU$4&lt;=Görevler!$C84+ROUND(Görevler!$F84*Görevler!$E84,0)-1,2,1),""))</f>
        <v/>
      </c>
      <c r="AV84" s="22" t="str">
        <f aca="false">IF(Görevler!$F84="","",IF(AND(Görevler!$C84&lt;=(AV$4+Ayarlar!$C$6-1),Görevler!$D84&gt;=AV$4),IF(AV$4&lt;=Görevler!$C84+ROUND(Görevler!$F84*Görevler!$E84,0)-1,2,1),""))</f>
        <v/>
      </c>
      <c r="AW84" s="22" t="str">
        <f aca="false">IF(Görevler!$F84="","",IF(AND(Görevler!$C84&lt;=(AW$4+Ayarlar!$C$6-1),Görevler!$D84&gt;=AW$4),IF(AW$4&lt;=Görevler!$C84+ROUND(Görevler!$F84*Görevler!$E84,0)-1,2,1),""))</f>
        <v/>
      </c>
      <c r="AX84" s="22" t="str">
        <f aca="false">IF(Görevler!$F84="","",IF(AND(Görevler!$C84&lt;=(AX$4+Ayarlar!$C$6-1),Görevler!$D84&gt;=AX$4),IF(AX$4&lt;=Görevler!$C84+ROUND(Görevler!$F84*Görevler!$E84,0)-1,2,1),""))</f>
        <v/>
      </c>
      <c r="AY84" s="22" t="str">
        <f aca="false">IF(Görevler!$F84="","",IF(AND(Görevler!$C84&lt;=(AY$4+Ayarlar!$C$6-1),Görevler!$D84&gt;=AY$4),IF(AY$4&lt;=Görevler!$C84+ROUND(Görevler!$F84*Görevler!$E84,0)-1,2,1),""))</f>
        <v/>
      </c>
      <c r="AZ84" s="22" t="str">
        <f aca="false">IF(Görevler!$F84="","",IF(AND(Görevler!$C84&lt;=(AZ$4+Ayarlar!$C$6-1),Görevler!$D84&gt;=AZ$4),IF(AZ$4&lt;=Görevler!$C84+ROUND(Görevler!$F84*Görevler!$E84,0)-1,2,1),""))</f>
        <v/>
      </c>
      <c r="BA84" s="22" t="str">
        <f aca="false">IF(Görevler!$F84="","",IF(AND(Görevler!$C84&lt;=(BA$4+Ayarlar!$C$6-1),Görevler!$D84&gt;=BA$4),IF(BA$4&lt;=Görevler!$C84+ROUND(Görevler!$F84*Görevler!$E84,0)-1,2,1),""))</f>
        <v/>
      </c>
      <c r="BB84" s="22" t="str">
        <f aca="false">IF(Görevler!$F84="","",IF(AND(Görevler!$C84&lt;=(BB$4+Ayarlar!$C$6-1),Görevler!$D84&gt;=BB$4),IF(BB$4&lt;=Görevler!$C84+ROUND(Görevler!$F84*Görevler!$E84,0)-1,2,1),""))</f>
        <v/>
      </c>
      <c r="BC84" s="22" t="str">
        <f aca="false">IF(Görevler!$F84="","",IF(AND(Görevler!$C84&lt;=(BC$4+Ayarlar!$C$6-1),Görevler!$D84&gt;=BC$4),IF(BC$4&lt;=Görevler!$C84+ROUND(Görevler!$F84*Görevler!$E84,0)-1,2,1),""))</f>
        <v/>
      </c>
      <c r="BD84" s="22" t="str">
        <f aca="false">IF(Görevler!$F84="","",IF(AND(Görevler!$C84&lt;=(BD$4+Ayarlar!$C$6-1),Görevler!$D84&gt;=BD$4),IF(BD$4&lt;=Görevler!$C84+ROUND(Görevler!$F84*Görevler!$E84,0)-1,2,1),""))</f>
        <v/>
      </c>
      <c r="BE84" s="22" t="str">
        <f aca="false">IF(Görevler!$F84="","",IF(AND(Görevler!$C84&lt;=(BE$4+Ayarlar!$C$6-1),Görevler!$D84&gt;=BE$4),IF(BE$4&lt;=Görevler!$C84+ROUND(Görevler!$F84*Görevler!$E84,0)-1,2,1),""))</f>
        <v/>
      </c>
      <c r="BF84" s="22" t="str">
        <f aca="false">IF(Görevler!$F84="","",IF(AND(Görevler!$C84&lt;=(BF$4+Ayarlar!$C$6-1),Görevler!$D84&gt;=BF$4),IF(BF$4&lt;=Görevler!$C84+ROUND(Görevler!$F84*Görevler!$E84,0)-1,2,1),""))</f>
        <v/>
      </c>
      <c r="BG84" s="22" t="str">
        <f aca="false">IF(Görevler!$F84="","",IF(AND(Görevler!$C84&lt;=(BG$4+Ayarlar!$C$6-1),Görevler!$D84&gt;=BG$4),IF(BG$4&lt;=Görevler!$C84+ROUND(Görevler!$F84*Görevler!$E84,0)-1,2,1),""))</f>
        <v/>
      </c>
      <c r="BH84" s="22" t="str">
        <f aca="false">IF(Görevler!$F84="","",IF(AND(Görevler!$C84&lt;=(BH$4+Ayarlar!$C$6-1),Görevler!$D84&gt;=BH$4),IF(BH$4&lt;=Görevler!$C84+ROUND(Görevler!$F84*Görevler!$E84,0)-1,2,1),""))</f>
        <v/>
      </c>
      <c r="BI84" s="22" t="str">
        <f aca="false">IF(Görevler!$F84="","",IF(AND(Görevler!$C84&lt;=(BI$4+Ayarlar!$C$6-1),Görevler!$D84&gt;=BI$4),IF(BI$4&lt;=Görevler!$C84+ROUND(Görevler!$F84*Görevler!$E84,0)-1,2,1),""))</f>
        <v/>
      </c>
      <c r="BJ84" s="22" t="str">
        <f aca="false">IF(Görevler!$F84="","",IF(AND(Görevler!$C84&lt;=(BJ$4+Ayarlar!$C$6-1),Görevler!$D84&gt;=BJ$4),IF(BJ$4&lt;=Görevler!$C84+ROUND(Görevler!$F84*Görevler!$E84,0)-1,2,1),""))</f>
        <v/>
      </c>
    </row>
    <row r="85" customFormat="false" ht="15" hidden="false" customHeight="false" outlineLevel="0" collapsed="false">
      <c r="A85" s="21" t="str">
        <f aca="false">IF(Görevler!A85="","",Görevler!A85)</f>
        <v/>
      </c>
      <c r="B85" s="21" t="str">
        <f aca="false">IF(Görevler!A85="","",Görevler!B85&amp;"")</f>
        <v/>
      </c>
      <c r="C85" s="22" t="str">
        <f aca="false">IF(Görevler!$F85="","",IF(AND(Görevler!$C85&lt;=(C$4+Ayarlar!$C$6-1),Görevler!$D85&gt;=C$4),IF(C$4&lt;=Görevler!$C85+ROUND(Görevler!$F85*Görevler!$E85,0)-1,2,1),""))</f>
        <v/>
      </c>
      <c r="D85" s="22" t="str">
        <f aca="false">IF(Görevler!$F85="","",IF(AND(Görevler!$C85&lt;=(D$4+Ayarlar!$C$6-1),Görevler!$D85&gt;=D$4),IF(D$4&lt;=Görevler!$C85+ROUND(Görevler!$F85*Görevler!$E85,0)-1,2,1),""))</f>
        <v/>
      </c>
      <c r="E85" s="22" t="str">
        <f aca="false">IF(Görevler!$F85="","",IF(AND(Görevler!$C85&lt;=(E$4+Ayarlar!$C$6-1),Görevler!$D85&gt;=E$4),IF(E$4&lt;=Görevler!$C85+ROUND(Görevler!$F85*Görevler!$E85,0)-1,2,1),""))</f>
        <v/>
      </c>
      <c r="F85" s="22" t="str">
        <f aca="false">IF(Görevler!$F85="","",IF(AND(Görevler!$C85&lt;=(F$4+Ayarlar!$C$6-1),Görevler!$D85&gt;=F$4),IF(F$4&lt;=Görevler!$C85+ROUND(Görevler!$F85*Görevler!$E85,0)-1,2,1),""))</f>
        <v/>
      </c>
      <c r="G85" s="22" t="str">
        <f aca="false">IF(Görevler!$F85="","",IF(AND(Görevler!$C85&lt;=(G$4+Ayarlar!$C$6-1),Görevler!$D85&gt;=G$4),IF(G$4&lt;=Görevler!$C85+ROUND(Görevler!$F85*Görevler!$E85,0)-1,2,1),""))</f>
        <v/>
      </c>
      <c r="H85" s="22" t="str">
        <f aca="false">IF(Görevler!$F85="","",IF(AND(Görevler!$C85&lt;=(H$4+Ayarlar!$C$6-1),Görevler!$D85&gt;=H$4),IF(H$4&lt;=Görevler!$C85+ROUND(Görevler!$F85*Görevler!$E85,0)-1,2,1),""))</f>
        <v/>
      </c>
      <c r="I85" s="22" t="str">
        <f aca="false">IF(Görevler!$F85="","",IF(AND(Görevler!$C85&lt;=(I$4+Ayarlar!$C$6-1),Görevler!$D85&gt;=I$4),IF(I$4&lt;=Görevler!$C85+ROUND(Görevler!$F85*Görevler!$E85,0)-1,2,1),""))</f>
        <v/>
      </c>
      <c r="J85" s="22" t="str">
        <f aca="false">IF(Görevler!$F85="","",IF(AND(Görevler!$C85&lt;=(J$4+Ayarlar!$C$6-1),Görevler!$D85&gt;=J$4),IF(J$4&lt;=Görevler!$C85+ROUND(Görevler!$F85*Görevler!$E85,0)-1,2,1),""))</f>
        <v/>
      </c>
      <c r="K85" s="22" t="str">
        <f aca="false">IF(Görevler!$F85="","",IF(AND(Görevler!$C85&lt;=(K$4+Ayarlar!$C$6-1),Görevler!$D85&gt;=K$4),IF(K$4&lt;=Görevler!$C85+ROUND(Görevler!$F85*Görevler!$E85,0)-1,2,1),""))</f>
        <v/>
      </c>
      <c r="L85" s="22" t="str">
        <f aca="false">IF(Görevler!$F85="","",IF(AND(Görevler!$C85&lt;=(L$4+Ayarlar!$C$6-1),Görevler!$D85&gt;=L$4),IF(L$4&lt;=Görevler!$C85+ROUND(Görevler!$F85*Görevler!$E85,0)-1,2,1),""))</f>
        <v/>
      </c>
      <c r="M85" s="22" t="str">
        <f aca="false">IF(Görevler!$F85="","",IF(AND(Görevler!$C85&lt;=(M$4+Ayarlar!$C$6-1),Görevler!$D85&gt;=M$4),IF(M$4&lt;=Görevler!$C85+ROUND(Görevler!$F85*Görevler!$E85,0)-1,2,1),""))</f>
        <v/>
      </c>
      <c r="N85" s="22" t="str">
        <f aca="false">IF(Görevler!$F85="","",IF(AND(Görevler!$C85&lt;=(N$4+Ayarlar!$C$6-1),Görevler!$D85&gt;=N$4),IF(N$4&lt;=Görevler!$C85+ROUND(Görevler!$F85*Görevler!$E85,0)-1,2,1),""))</f>
        <v/>
      </c>
      <c r="O85" s="22" t="str">
        <f aca="false">IF(Görevler!$F85="","",IF(AND(Görevler!$C85&lt;=(O$4+Ayarlar!$C$6-1),Görevler!$D85&gt;=O$4),IF(O$4&lt;=Görevler!$C85+ROUND(Görevler!$F85*Görevler!$E85,0)-1,2,1),""))</f>
        <v/>
      </c>
      <c r="P85" s="22" t="str">
        <f aca="false">IF(Görevler!$F85="","",IF(AND(Görevler!$C85&lt;=(P$4+Ayarlar!$C$6-1),Görevler!$D85&gt;=P$4),IF(P$4&lt;=Görevler!$C85+ROUND(Görevler!$F85*Görevler!$E85,0)-1,2,1),""))</f>
        <v/>
      </c>
      <c r="Q85" s="22" t="str">
        <f aca="false">IF(Görevler!$F85="","",IF(AND(Görevler!$C85&lt;=(Q$4+Ayarlar!$C$6-1),Görevler!$D85&gt;=Q$4),IF(Q$4&lt;=Görevler!$C85+ROUND(Görevler!$F85*Görevler!$E85,0)-1,2,1),""))</f>
        <v/>
      </c>
      <c r="R85" s="22" t="str">
        <f aca="false">IF(Görevler!$F85="","",IF(AND(Görevler!$C85&lt;=(R$4+Ayarlar!$C$6-1),Görevler!$D85&gt;=R$4),IF(R$4&lt;=Görevler!$C85+ROUND(Görevler!$F85*Görevler!$E85,0)-1,2,1),""))</f>
        <v/>
      </c>
      <c r="S85" s="22" t="str">
        <f aca="false">IF(Görevler!$F85="","",IF(AND(Görevler!$C85&lt;=(S$4+Ayarlar!$C$6-1),Görevler!$D85&gt;=S$4),IF(S$4&lt;=Görevler!$C85+ROUND(Görevler!$F85*Görevler!$E85,0)-1,2,1),""))</f>
        <v/>
      </c>
      <c r="T85" s="22" t="str">
        <f aca="false">IF(Görevler!$F85="","",IF(AND(Görevler!$C85&lt;=(T$4+Ayarlar!$C$6-1),Görevler!$D85&gt;=T$4),IF(T$4&lt;=Görevler!$C85+ROUND(Görevler!$F85*Görevler!$E85,0)-1,2,1),""))</f>
        <v/>
      </c>
      <c r="U85" s="22" t="str">
        <f aca="false">IF(Görevler!$F85="","",IF(AND(Görevler!$C85&lt;=(U$4+Ayarlar!$C$6-1),Görevler!$D85&gt;=U$4),IF(U$4&lt;=Görevler!$C85+ROUND(Görevler!$F85*Görevler!$E85,0)-1,2,1),""))</f>
        <v/>
      </c>
      <c r="V85" s="22" t="str">
        <f aca="false">IF(Görevler!$F85="","",IF(AND(Görevler!$C85&lt;=(V$4+Ayarlar!$C$6-1),Görevler!$D85&gt;=V$4),IF(V$4&lt;=Görevler!$C85+ROUND(Görevler!$F85*Görevler!$E85,0)-1,2,1),""))</f>
        <v/>
      </c>
      <c r="W85" s="22" t="str">
        <f aca="false">IF(Görevler!$F85="","",IF(AND(Görevler!$C85&lt;=(W$4+Ayarlar!$C$6-1),Görevler!$D85&gt;=W$4),IF(W$4&lt;=Görevler!$C85+ROUND(Görevler!$F85*Görevler!$E85,0)-1,2,1),""))</f>
        <v/>
      </c>
      <c r="X85" s="22" t="str">
        <f aca="false">IF(Görevler!$F85="","",IF(AND(Görevler!$C85&lt;=(X$4+Ayarlar!$C$6-1),Görevler!$D85&gt;=X$4),IF(X$4&lt;=Görevler!$C85+ROUND(Görevler!$F85*Görevler!$E85,0)-1,2,1),""))</f>
        <v/>
      </c>
      <c r="Y85" s="22" t="str">
        <f aca="false">IF(Görevler!$F85="","",IF(AND(Görevler!$C85&lt;=(Y$4+Ayarlar!$C$6-1),Görevler!$D85&gt;=Y$4),IF(Y$4&lt;=Görevler!$C85+ROUND(Görevler!$F85*Görevler!$E85,0)-1,2,1),""))</f>
        <v/>
      </c>
      <c r="Z85" s="22" t="str">
        <f aca="false">IF(Görevler!$F85="","",IF(AND(Görevler!$C85&lt;=(Z$4+Ayarlar!$C$6-1),Görevler!$D85&gt;=Z$4),IF(Z$4&lt;=Görevler!$C85+ROUND(Görevler!$F85*Görevler!$E85,0)-1,2,1),""))</f>
        <v/>
      </c>
      <c r="AA85" s="22" t="str">
        <f aca="false">IF(Görevler!$F85="","",IF(AND(Görevler!$C85&lt;=(AA$4+Ayarlar!$C$6-1),Görevler!$D85&gt;=AA$4),IF(AA$4&lt;=Görevler!$C85+ROUND(Görevler!$F85*Görevler!$E85,0)-1,2,1),""))</f>
        <v/>
      </c>
      <c r="AB85" s="22" t="str">
        <f aca="false">IF(Görevler!$F85="","",IF(AND(Görevler!$C85&lt;=(AB$4+Ayarlar!$C$6-1),Görevler!$D85&gt;=AB$4),IF(AB$4&lt;=Görevler!$C85+ROUND(Görevler!$F85*Görevler!$E85,0)-1,2,1),""))</f>
        <v/>
      </c>
      <c r="AC85" s="22" t="str">
        <f aca="false">IF(Görevler!$F85="","",IF(AND(Görevler!$C85&lt;=(AC$4+Ayarlar!$C$6-1),Görevler!$D85&gt;=AC$4),IF(AC$4&lt;=Görevler!$C85+ROUND(Görevler!$F85*Görevler!$E85,0)-1,2,1),""))</f>
        <v/>
      </c>
      <c r="AD85" s="22" t="str">
        <f aca="false">IF(Görevler!$F85="","",IF(AND(Görevler!$C85&lt;=(AD$4+Ayarlar!$C$6-1),Görevler!$D85&gt;=AD$4),IF(AD$4&lt;=Görevler!$C85+ROUND(Görevler!$F85*Görevler!$E85,0)-1,2,1),""))</f>
        <v/>
      </c>
      <c r="AE85" s="22" t="str">
        <f aca="false">IF(Görevler!$F85="","",IF(AND(Görevler!$C85&lt;=(AE$4+Ayarlar!$C$6-1),Görevler!$D85&gt;=AE$4),IF(AE$4&lt;=Görevler!$C85+ROUND(Görevler!$F85*Görevler!$E85,0)-1,2,1),""))</f>
        <v/>
      </c>
      <c r="AF85" s="22" t="str">
        <f aca="false">IF(Görevler!$F85="","",IF(AND(Görevler!$C85&lt;=(AF$4+Ayarlar!$C$6-1),Görevler!$D85&gt;=AF$4),IF(AF$4&lt;=Görevler!$C85+ROUND(Görevler!$F85*Görevler!$E85,0)-1,2,1),""))</f>
        <v/>
      </c>
      <c r="AG85" s="22" t="str">
        <f aca="false">IF(Görevler!$F85="","",IF(AND(Görevler!$C85&lt;=(AG$4+Ayarlar!$C$6-1),Görevler!$D85&gt;=AG$4),IF(AG$4&lt;=Görevler!$C85+ROUND(Görevler!$F85*Görevler!$E85,0)-1,2,1),""))</f>
        <v/>
      </c>
      <c r="AH85" s="22" t="str">
        <f aca="false">IF(Görevler!$F85="","",IF(AND(Görevler!$C85&lt;=(AH$4+Ayarlar!$C$6-1),Görevler!$D85&gt;=AH$4),IF(AH$4&lt;=Görevler!$C85+ROUND(Görevler!$F85*Görevler!$E85,0)-1,2,1),""))</f>
        <v/>
      </c>
      <c r="AI85" s="22" t="str">
        <f aca="false">IF(Görevler!$F85="","",IF(AND(Görevler!$C85&lt;=(AI$4+Ayarlar!$C$6-1),Görevler!$D85&gt;=AI$4),IF(AI$4&lt;=Görevler!$C85+ROUND(Görevler!$F85*Görevler!$E85,0)-1,2,1),""))</f>
        <v/>
      </c>
      <c r="AJ85" s="22" t="str">
        <f aca="false">IF(Görevler!$F85="","",IF(AND(Görevler!$C85&lt;=(AJ$4+Ayarlar!$C$6-1),Görevler!$D85&gt;=AJ$4),IF(AJ$4&lt;=Görevler!$C85+ROUND(Görevler!$F85*Görevler!$E85,0)-1,2,1),""))</f>
        <v/>
      </c>
      <c r="AK85" s="22" t="str">
        <f aca="false">IF(Görevler!$F85="","",IF(AND(Görevler!$C85&lt;=(AK$4+Ayarlar!$C$6-1),Görevler!$D85&gt;=AK$4),IF(AK$4&lt;=Görevler!$C85+ROUND(Görevler!$F85*Görevler!$E85,0)-1,2,1),""))</f>
        <v/>
      </c>
      <c r="AL85" s="22" t="str">
        <f aca="false">IF(Görevler!$F85="","",IF(AND(Görevler!$C85&lt;=(AL$4+Ayarlar!$C$6-1),Görevler!$D85&gt;=AL$4),IF(AL$4&lt;=Görevler!$C85+ROUND(Görevler!$F85*Görevler!$E85,0)-1,2,1),""))</f>
        <v/>
      </c>
      <c r="AM85" s="22" t="str">
        <f aca="false">IF(Görevler!$F85="","",IF(AND(Görevler!$C85&lt;=(AM$4+Ayarlar!$C$6-1),Görevler!$D85&gt;=AM$4),IF(AM$4&lt;=Görevler!$C85+ROUND(Görevler!$F85*Görevler!$E85,0)-1,2,1),""))</f>
        <v/>
      </c>
      <c r="AN85" s="22" t="str">
        <f aca="false">IF(Görevler!$F85="","",IF(AND(Görevler!$C85&lt;=(AN$4+Ayarlar!$C$6-1),Görevler!$D85&gt;=AN$4),IF(AN$4&lt;=Görevler!$C85+ROUND(Görevler!$F85*Görevler!$E85,0)-1,2,1),""))</f>
        <v/>
      </c>
      <c r="AO85" s="22" t="str">
        <f aca="false">IF(Görevler!$F85="","",IF(AND(Görevler!$C85&lt;=(AO$4+Ayarlar!$C$6-1),Görevler!$D85&gt;=AO$4),IF(AO$4&lt;=Görevler!$C85+ROUND(Görevler!$F85*Görevler!$E85,0)-1,2,1),""))</f>
        <v/>
      </c>
      <c r="AP85" s="22" t="str">
        <f aca="false">IF(Görevler!$F85="","",IF(AND(Görevler!$C85&lt;=(AP$4+Ayarlar!$C$6-1),Görevler!$D85&gt;=AP$4),IF(AP$4&lt;=Görevler!$C85+ROUND(Görevler!$F85*Görevler!$E85,0)-1,2,1),""))</f>
        <v/>
      </c>
      <c r="AQ85" s="22" t="str">
        <f aca="false">IF(Görevler!$F85="","",IF(AND(Görevler!$C85&lt;=(AQ$4+Ayarlar!$C$6-1),Görevler!$D85&gt;=AQ$4),IF(AQ$4&lt;=Görevler!$C85+ROUND(Görevler!$F85*Görevler!$E85,0)-1,2,1),""))</f>
        <v/>
      </c>
      <c r="AR85" s="22" t="str">
        <f aca="false">IF(Görevler!$F85="","",IF(AND(Görevler!$C85&lt;=(AR$4+Ayarlar!$C$6-1),Görevler!$D85&gt;=AR$4),IF(AR$4&lt;=Görevler!$C85+ROUND(Görevler!$F85*Görevler!$E85,0)-1,2,1),""))</f>
        <v/>
      </c>
      <c r="AS85" s="22" t="str">
        <f aca="false">IF(Görevler!$F85="","",IF(AND(Görevler!$C85&lt;=(AS$4+Ayarlar!$C$6-1),Görevler!$D85&gt;=AS$4),IF(AS$4&lt;=Görevler!$C85+ROUND(Görevler!$F85*Görevler!$E85,0)-1,2,1),""))</f>
        <v/>
      </c>
      <c r="AT85" s="22" t="str">
        <f aca="false">IF(Görevler!$F85="","",IF(AND(Görevler!$C85&lt;=(AT$4+Ayarlar!$C$6-1),Görevler!$D85&gt;=AT$4),IF(AT$4&lt;=Görevler!$C85+ROUND(Görevler!$F85*Görevler!$E85,0)-1,2,1),""))</f>
        <v/>
      </c>
      <c r="AU85" s="22" t="str">
        <f aca="false">IF(Görevler!$F85="","",IF(AND(Görevler!$C85&lt;=(AU$4+Ayarlar!$C$6-1),Görevler!$D85&gt;=AU$4),IF(AU$4&lt;=Görevler!$C85+ROUND(Görevler!$F85*Görevler!$E85,0)-1,2,1),""))</f>
        <v/>
      </c>
      <c r="AV85" s="22" t="str">
        <f aca="false">IF(Görevler!$F85="","",IF(AND(Görevler!$C85&lt;=(AV$4+Ayarlar!$C$6-1),Görevler!$D85&gt;=AV$4),IF(AV$4&lt;=Görevler!$C85+ROUND(Görevler!$F85*Görevler!$E85,0)-1,2,1),""))</f>
        <v/>
      </c>
      <c r="AW85" s="22" t="str">
        <f aca="false">IF(Görevler!$F85="","",IF(AND(Görevler!$C85&lt;=(AW$4+Ayarlar!$C$6-1),Görevler!$D85&gt;=AW$4),IF(AW$4&lt;=Görevler!$C85+ROUND(Görevler!$F85*Görevler!$E85,0)-1,2,1),""))</f>
        <v/>
      </c>
      <c r="AX85" s="22" t="str">
        <f aca="false">IF(Görevler!$F85="","",IF(AND(Görevler!$C85&lt;=(AX$4+Ayarlar!$C$6-1),Görevler!$D85&gt;=AX$4),IF(AX$4&lt;=Görevler!$C85+ROUND(Görevler!$F85*Görevler!$E85,0)-1,2,1),""))</f>
        <v/>
      </c>
      <c r="AY85" s="22" t="str">
        <f aca="false">IF(Görevler!$F85="","",IF(AND(Görevler!$C85&lt;=(AY$4+Ayarlar!$C$6-1),Görevler!$D85&gt;=AY$4),IF(AY$4&lt;=Görevler!$C85+ROUND(Görevler!$F85*Görevler!$E85,0)-1,2,1),""))</f>
        <v/>
      </c>
      <c r="AZ85" s="22" t="str">
        <f aca="false">IF(Görevler!$F85="","",IF(AND(Görevler!$C85&lt;=(AZ$4+Ayarlar!$C$6-1),Görevler!$D85&gt;=AZ$4),IF(AZ$4&lt;=Görevler!$C85+ROUND(Görevler!$F85*Görevler!$E85,0)-1,2,1),""))</f>
        <v/>
      </c>
      <c r="BA85" s="22" t="str">
        <f aca="false">IF(Görevler!$F85="","",IF(AND(Görevler!$C85&lt;=(BA$4+Ayarlar!$C$6-1),Görevler!$D85&gt;=BA$4),IF(BA$4&lt;=Görevler!$C85+ROUND(Görevler!$F85*Görevler!$E85,0)-1,2,1),""))</f>
        <v/>
      </c>
      <c r="BB85" s="22" t="str">
        <f aca="false">IF(Görevler!$F85="","",IF(AND(Görevler!$C85&lt;=(BB$4+Ayarlar!$C$6-1),Görevler!$D85&gt;=BB$4),IF(BB$4&lt;=Görevler!$C85+ROUND(Görevler!$F85*Görevler!$E85,0)-1,2,1),""))</f>
        <v/>
      </c>
      <c r="BC85" s="22" t="str">
        <f aca="false">IF(Görevler!$F85="","",IF(AND(Görevler!$C85&lt;=(BC$4+Ayarlar!$C$6-1),Görevler!$D85&gt;=BC$4),IF(BC$4&lt;=Görevler!$C85+ROUND(Görevler!$F85*Görevler!$E85,0)-1,2,1),""))</f>
        <v/>
      </c>
      <c r="BD85" s="22" t="str">
        <f aca="false">IF(Görevler!$F85="","",IF(AND(Görevler!$C85&lt;=(BD$4+Ayarlar!$C$6-1),Görevler!$D85&gt;=BD$4),IF(BD$4&lt;=Görevler!$C85+ROUND(Görevler!$F85*Görevler!$E85,0)-1,2,1),""))</f>
        <v/>
      </c>
      <c r="BE85" s="22" t="str">
        <f aca="false">IF(Görevler!$F85="","",IF(AND(Görevler!$C85&lt;=(BE$4+Ayarlar!$C$6-1),Görevler!$D85&gt;=BE$4),IF(BE$4&lt;=Görevler!$C85+ROUND(Görevler!$F85*Görevler!$E85,0)-1,2,1),""))</f>
        <v/>
      </c>
      <c r="BF85" s="22" t="str">
        <f aca="false">IF(Görevler!$F85="","",IF(AND(Görevler!$C85&lt;=(BF$4+Ayarlar!$C$6-1),Görevler!$D85&gt;=BF$4),IF(BF$4&lt;=Görevler!$C85+ROUND(Görevler!$F85*Görevler!$E85,0)-1,2,1),""))</f>
        <v/>
      </c>
      <c r="BG85" s="22" t="str">
        <f aca="false">IF(Görevler!$F85="","",IF(AND(Görevler!$C85&lt;=(BG$4+Ayarlar!$C$6-1),Görevler!$D85&gt;=BG$4),IF(BG$4&lt;=Görevler!$C85+ROUND(Görevler!$F85*Görevler!$E85,0)-1,2,1),""))</f>
        <v/>
      </c>
      <c r="BH85" s="22" t="str">
        <f aca="false">IF(Görevler!$F85="","",IF(AND(Görevler!$C85&lt;=(BH$4+Ayarlar!$C$6-1),Görevler!$D85&gt;=BH$4),IF(BH$4&lt;=Görevler!$C85+ROUND(Görevler!$F85*Görevler!$E85,0)-1,2,1),""))</f>
        <v/>
      </c>
      <c r="BI85" s="22" t="str">
        <f aca="false">IF(Görevler!$F85="","",IF(AND(Görevler!$C85&lt;=(BI$4+Ayarlar!$C$6-1),Görevler!$D85&gt;=BI$4),IF(BI$4&lt;=Görevler!$C85+ROUND(Görevler!$F85*Görevler!$E85,0)-1,2,1),""))</f>
        <v/>
      </c>
      <c r="BJ85" s="22" t="str">
        <f aca="false">IF(Görevler!$F85="","",IF(AND(Görevler!$C85&lt;=(BJ$4+Ayarlar!$C$6-1),Görevler!$D85&gt;=BJ$4),IF(BJ$4&lt;=Görevler!$C85+ROUND(Görevler!$F85*Görevler!$E85,0)-1,2,1),""))</f>
        <v/>
      </c>
    </row>
    <row r="86" customFormat="false" ht="15" hidden="false" customHeight="false" outlineLevel="0" collapsed="false">
      <c r="A86" s="21" t="str">
        <f aca="false">IF(Görevler!A86="","",Görevler!A86)</f>
        <v/>
      </c>
      <c r="B86" s="21" t="str">
        <f aca="false">IF(Görevler!A86="","",Görevler!B86&amp;"")</f>
        <v/>
      </c>
      <c r="C86" s="22" t="str">
        <f aca="false">IF(Görevler!$F86="","",IF(AND(Görevler!$C86&lt;=(C$4+Ayarlar!$C$6-1),Görevler!$D86&gt;=C$4),IF(C$4&lt;=Görevler!$C86+ROUND(Görevler!$F86*Görevler!$E86,0)-1,2,1),""))</f>
        <v/>
      </c>
      <c r="D86" s="22" t="str">
        <f aca="false">IF(Görevler!$F86="","",IF(AND(Görevler!$C86&lt;=(D$4+Ayarlar!$C$6-1),Görevler!$D86&gt;=D$4),IF(D$4&lt;=Görevler!$C86+ROUND(Görevler!$F86*Görevler!$E86,0)-1,2,1),""))</f>
        <v/>
      </c>
      <c r="E86" s="22" t="str">
        <f aca="false">IF(Görevler!$F86="","",IF(AND(Görevler!$C86&lt;=(E$4+Ayarlar!$C$6-1),Görevler!$D86&gt;=E$4),IF(E$4&lt;=Görevler!$C86+ROUND(Görevler!$F86*Görevler!$E86,0)-1,2,1),""))</f>
        <v/>
      </c>
      <c r="F86" s="22" t="str">
        <f aca="false">IF(Görevler!$F86="","",IF(AND(Görevler!$C86&lt;=(F$4+Ayarlar!$C$6-1),Görevler!$D86&gt;=F$4),IF(F$4&lt;=Görevler!$C86+ROUND(Görevler!$F86*Görevler!$E86,0)-1,2,1),""))</f>
        <v/>
      </c>
      <c r="G86" s="22" t="str">
        <f aca="false">IF(Görevler!$F86="","",IF(AND(Görevler!$C86&lt;=(G$4+Ayarlar!$C$6-1),Görevler!$D86&gt;=G$4),IF(G$4&lt;=Görevler!$C86+ROUND(Görevler!$F86*Görevler!$E86,0)-1,2,1),""))</f>
        <v/>
      </c>
      <c r="H86" s="22" t="str">
        <f aca="false">IF(Görevler!$F86="","",IF(AND(Görevler!$C86&lt;=(H$4+Ayarlar!$C$6-1),Görevler!$D86&gt;=H$4),IF(H$4&lt;=Görevler!$C86+ROUND(Görevler!$F86*Görevler!$E86,0)-1,2,1),""))</f>
        <v/>
      </c>
      <c r="I86" s="22" t="str">
        <f aca="false">IF(Görevler!$F86="","",IF(AND(Görevler!$C86&lt;=(I$4+Ayarlar!$C$6-1),Görevler!$D86&gt;=I$4),IF(I$4&lt;=Görevler!$C86+ROUND(Görevler!$F86*Görevler!$E86,0)-1,2,1),""))</f>
        <v/>
      </c>
      <c r="J86" s="22" t="str">
        <f aca="false">IF(Görevler!$F86="","",IF(AND(Görevler!$C86&lt;=(J$4+Ayarlar!$C$6-1),Görevler!$D86&gt;=J$4),IF(J$4&lt;=Görevler!$C86+ROUND(Görevler!$F86*Görevler!$E86,0)-1,2,1),""))</f>
        <v/>
      </c>
      <c r="K86" s="22" t="str">
        <f aca="false">IF(Görevler!$F86="","",IF(AND(Görevler!$C86&lt;=(K$4+Ayarlar!$C$6-1),Görevler!$D86&gt;=K$4),IF(K$4&lt;=Görevler!$C86+ROUND(Görevler!$F86*Görevler!$E86,0)-1,2,1),""))</f>
        <v/>
      </c>
      <c r="L86" s="22" t="str">
        <f aca="false">IF(Görevler!$F86="","",IF(AND(Görevler!$C86&lt;=(L$4+Ayarlar!$C$6-1),Görevler!$D86&gt;=L$4),IF(L$4&lt;=Görevler!$C86+ROUND(Görevler!$F86*Görevler!$E86,0)-1,2,1),""))</f>
        <v/>
      </c>
      <c r="M86" s="22" t="str">
        <f aca="false">IF(Görevler!$F86="","",IF(AND(Görevler!$C86&lt;=(M$4+Ayarlar!$C$6-1),Görevler!$D86&gt;=M$4),IF(M$4&lt;=Görevler!$C86+ROUND(Görevler!$F86*Görevler!$E86,0)-1,2,1),""))</f>
        <v/>
      </c>
      <c r="N86" s="22" t="str">
        <f aca="false">IF(Görevler!$F86="","",IF(AND(Görevler!$C86&lt;=(N$4+Ayarlar!$C$6-1),Görevler!$D86&gt;=N$4),IF(N$4&lt;=Görevler!$C86+ROUND(Görevler!$F86*Görevler!$E86,0)-1,2,1),""))</f>
        <v/>
      </c>
      <c r="O86" s="22" t="str">
        <f aca="false">IF(Görevler!$F86="","",IF(AND(Görevler!$C86&lt;=(O$4+Ayarlar!$C$6-1),Görevler!$D86&gt;=O$4),IF(O$4&lt;=Görevler!$C86+ROUND(Görevler!$F86*Görevler!$E86,0)-1,2,1),""))</f>
        <v/>
      </c>
      <c r="P86" s="22" t="str">
        <f aca="false">IF(Görevler!$F86="","",IF(AND(Görevler!$C86&lt;=(P$4+Ayarlar!$C$6-1),Görevler!$D86&gt;=P$4),IF(P$4&lt;=Görevler!$C86+ROUND(Görevler!$F86*Görevler!$E86,0)-1,2,1),""))</f>
        <v/>
      </c>
      <c r="Q86" s="22" t="str">
        <f aca="false">IF(Görevler!$F86="","",IF(AND(Görevler!$C86&lt;=(Q$4+Ayarlar!$C$6-1),Görevler!$D86&gt;=Q$4),IF(Q$4&lt;=Görevler!$C86+ROUND(Görevler!$F86*Görevler!$E86,0)-1,2,1),""))</f>
        <v/>
      </c>
      <c r="R86" s="22" t="str">
        <f aca="false">IF(Görevler!$F86="","",IF(AND(Görevler!$C86&lt;=(R$4+Ayarlar!$C$6-1),Görevler!$D86&gt;=R$4),IF(R$4&lt;=Görevler!$C86+ROUND(Görevler!$F86*Görevler!$E86,0)-1,2,1),""))</f>
        <v/>
      </c>
      <c r="S86" s="22" t="str">
        <f aca="false">IF(Görevler!$F86="","",IF(AND(Görevler!$C86&lt;=(S$4+Ayarlar!$C$6-1),Görevler!$D86&gt;=S$4),IF(S$4&lt;=Görevler!$C86+ROUND(Görevler!$F86*Görevler!$E86,0)-1,2,1),""))</f>
        <v/>
      </c>
      <c r="T86" s="22" t="str">
        <f aca="false">IF(Görevler!$F86="","",IF(AND(Görevler!$C86&lt;=(T$4+Ayarlar!$C$6-1),Görevler!$D86&gt;=T$4),IF(T$4&lt;=Görevler!$C86+ROUND(Görevler!$F86*Görevler!$E86,0)-1,2,1),""))</f>
        <v/>
      </c>
      <c r="U86" s="22" t="str">
        <f aca="false">IF(Görevler!$F86="","",IF(AND(Görevler!$C86&lt;=(U$4+Ayarlar!$C$6-1),Görevler!$D86&gt;=U$4),IF(U$4&lt;=Görevler!$C86+ROUND(Görevler!$F86*Görevler!$E86,0)-1,2,1),""))</f>
        <v/>
      </c>
      <c r="V86" s="22" t="str">
        <f aca="false">IF(Görevler!$F86="","",IF(AND(Görevler!$C86&lt;=(V$4+Ayarlar!$C$6-1),Görevler!$D86&gt;=V$4),IF(V$4&lt;=Görevler!$C86+ROUND(Görevler!$F86*Görevler!$E86,0)-1,2,1),""))</f>
        <v/>
      </c>
      <c r="W86" s="22" t="str">
        <f aca="false">IF(Görevler!$F86="","",IF(AND(Görevler!$C86&lt;=(W$4+Ayarlar!$C$6-1),Görevler!$D86&gt;=W$4),IF(W$4&lt;=Görevler!$C86+ROUND(Görevler!$F86*Görevler!$E86,0)-1,2,1),""))</f>
        <v/>
      </c>
      <c r="X86" s="22" t="str">
        <f aca="false">IF(Görevler!$F86="","",IF(AND(Görevler!$C86&lt;=(X$4+Ayarlar!$C$6-1),Görevler!$D86&gt;=X$4),IF(X$4&lt;=Görevler!$C86+ROUND(Görevler!$F86*Görevler!$E86,0)-1,2,1),""))</f>
        <v/>
      </c>
      <c r="Y86" s="22" t="str">
        <f aca="false">IF(Görevler!$F86="","",IF(AND(Görevler!$C86&lt;=(Y$4+Ayarlar!$C$6-1),Görevler!$D86&gt;=Y$4),IF(Y$4&lt;=Görevler!$C86+ROUND(Görevler!$F86*Görevler!$E86,0)-1,2,1),""))</f>
        <v/>
      </c>
      <c r="Z86" s="22" t="str">
        <f aca="false">IF(Görevler!$F86="","",IF(AND(Görevler!$C86&lt;=(Z$4+Ayarlar!$C$6-1),Görevler!$D86&gt;=Z$4),IF(Z$4&lt;=Görevler!$C86+ROUND(Görevler!$F86*Görevler!$E86,0)-1,2,1),""))</f>
        <v/>
      </c>
      <c r="AA86" s="22" t="str">
        <f aca="false">IF(Görevler!$F86="","",IF(AND(Görevler!$C86&lt;=(AA$4+Ayarlar!$C$6-1),Görevler!$D86&gt;=AA$4),IF(AA$4&lt;=Görevler!$C86+ROUND(Görevler!$F86*Görevler!$E86,0)-1,2,1),""))</f>
        <v/>
      </c>
      <c r="AB86" s="22" t="str">
        <f aca="false">IF(Görevler!$F86="","",IF(AND(Görevler!$C86&lt;=(AB$4+Ayarlar!$C$6-1),Görevler!$D86&gt;=AB$4),IF(AB$4&lt;=Görevler!$C86+ROUND(Görevler!$F86*Görevler!$E86,0)-1,2,1),""))</f>
        <v/>
      </c>
      <c r="AC86" s="22" t="str">
        <f aca="false">IF(Görevler!$F86="","",IF(AND(Görevler!$C86&lt;=(AC$4+Ayarlar!$C$6-1),Görevler!$D86&gt;=AC$4),IF(AC$4&lt;=Görevler!$C86+ROUND(Görevler!$F86*Görevler!$E86,0)-1,2,1),""))</f>
        <v/>
      </c>
      <c r="AD86" s="22" t="str">
        <f aca="false">IF(Görevler!$F86="","",IF(AND(Görevler!$C86&lt;=(AD$4+Ayarlar!$C$6-1),Görevler!$D86&gt;=AD$4),IF(AD$4&lt;=Görevler!$C86+ROUND(Görevler!$F86*Görevler!$E86,0)-1,2,1),""))</f>
        <v/>
      </c>
      <c r="AE86" s="22" t="str">
        <f aca="false">IF(Görevler!$F86="","",IF(AND(Görevler!$C86&lt;=(AE$4+Ayarlar!$C$6-1),Görevler!$D86&gt;=AE$4),IF(AE$4&lt;=Görevler!$C86+ROUND(Görevler!$F86*Görevler!$E86,0)-1,2,1),""))</f>
        <v/>
      </c>
      <c r="AF86" s="22" t="str">
        <f aca="false">IF(Görevler!$F86="","",IF(AND(Görevler!$C86&lt;=(AF$4+Ayarlar!$C$6-1),Görevler!$D86&gt;=AF$4),IF(AF$4&lt;=Görevler!$C86+ROUND(Görevler!$F86*Görevler!$E86,0)-1,2,1),""))</f>
        <v/>
      </c>
      <c r="AG86" s="22" t="str">
        <f aca="false">IF(Görevler!$F86="","",IF(AND(Görevler!$C86&lt;=(AG$4+Ayarlar!$C$6-1),Görevler!$D86&gt;=AG$4),IF(AG$4&lt;=Görevler!$C86+ROUND(Görevler!$F86*Görevler!$E86,0)-1,2,1),""))</f>
        <v/>
      </c>
      <c r="AH86" s="22" t="str">
        <f aca="false">IF(Görevler!$F86="","",IF(AND(Görevler!$C86&lt;=(AH$4+Ayarlar!$C$6-1),Görevler!$D86&gt;=AH$4),IF(AH$4&lt;=Görevler!$C86+ROUND(Görevler!$F86*Görevler!$E86,0)-1,2,1),""))</f>
        <v/>
      </c>
      <c r="AI86" s="22" t="str">
        <f aca="false">IF(Görevler!$F86="","",IF(AND(Görevler!$C86&lt;=(AI$4+Ayarlar!$C$6-1),Görevler!$D86&gt;=AI$4),IF(AI$4&lt;=Görevler!$C86+ROUND(Görevler!$F86*Görevler!$E86,0)-1,2,1),""))</f>
        <v/>
      </c>
      <c r="AJ86" s="22" t="str">
        <f aca="false">IF(Görevler!$F86="","",IF(AND(Görevler!$C86&lt;=(AJ$4+Ayarlar!$C$6-1),Görevler!$D86&gt;=AJ$4),IF(AJ$4&lt;=Görevler!$C86+ROUND(Görevler!$F86*Görevler!$E86,0)-1,2,1),""))</f>
        <v/>
      </c>
      <c r="AK86" s="22" t="str">
        <f aca="false">IF(Görevler!$F86="","",IF(AND(Görevler!$C86&lt;=(AK$4+Ayarlar!$C$6-1),Görevler!$D86&gt;=AK$4),IF(AK$4&lt;=Görevler!$C86+ROUND(Görevler!$F86*Görevler!$E86,0)-1,2,1),""))</f>
        <v/>
      </c>
      <c r="AL86" s="22" t="str">
        <f aca="false">IF(Görevler!$F86="","",IF(AND(Görevler!$C86&lt;=(AL$4+Ayarlar!$C$6-1),Görevler!$D86&gt;=AL$4),IF(AL$4&lt;=Görevler!$C86+ROUND(Görevler!$F86*Görevler!$E86,0)-1,2,1),""))</f>
        <v/>
      </c>
      <c r="AM86" s="22" t="str">
        <f aca="false">IF(Görevler!$F86="","",IF(AND(Görevler!$C86&lt;=(AM$4+Ayarlar!$C$6-1),Görevler!$D86&gt;=AM$4),IF(AM$4&lt;=Görevler!$C86+ROUND(Görevler!$F86*Görevler!$E86,0)-1,2,1),""))</f>
        <v/>
      </c>
      <c r="AN86" s="22" t="str">
        <f aca="false">IF(Görevler!$F86="","",IF(AND(Görevler!$C86&lt;=(AN$4+Ayarlar!$C$6-1),Görevler!$D86&gt;=AN$4),IF(AN$4&lt;=Görevler!$C86+ROUND(Görevler!$F86*Görevler!$E86,0)-1,2,1),""))</f>
        <v/>
      </c>
      <c r="AO86" s="22" t="str">
        <f aca="false">IF(Görevler!$F86="","",IF(AND(Görevler!$C86&lt;=(AO$4+Ayarlar!$C$6-1),Görevler!$D86&gt;=AO$4),IF(AO$4&lt;=Görevler!$C86+ROUND(Görevler!$F86*Görevler!$E86,0)-1,2,1),""))</f>
        <v/>
      </c>
      <c r="AP86" s="22" t="str">
        <f aca="false">IF(Görevler!$F86="","",IF(AND(Görevler!$C86&lt;=(AP$4+Ayarlar!$C$6-1),Görevler!$D86&gt;=AP$4),IF(AP$4&lt;=Görevler!$C86+ROUND(Görevler!$F86*Görevler!$E86,0)-1,2,1),""))</f>
        <v/>
      </c>
      <c r="AQ86" s="22" t="str">
        <f aca="false">IF(Görevler!$F86="","",IF(AND(Görevler!$C86&lt;=(AQ$4+Ayarlar!$C$6-1),Görevler!$D86&gt;=AQ$4),IF(AQ$4&lt;=Görevler!$C86+ROUND(Görevler!$F86*Görevler!$E86,0)-1,2,1),""))</f>
        <v/>
      </c>
      <c r="AR86" s="22" t="str">
        <f aca="false">IF(Görevler!$F86="","",IF(AND(Görevler!$C86&lt;=(AR$4+Ayarlar!$C$6-1),Görevler!$D86&gt;=AR$4),IF(AR$4&lt;=Görevler!$C86+ROUND(Görevler!$F86*Görevler!$E86,0)-1,2,1),""))</f>
        <v/>
      </c>
      <c r="AS86" s="22" t="str">
        <f aca="false">IF(Görevler!$F86="","",IF(AND(Görevler!$C86&lt;=(AS$4+Ayarlar!$C$6-1),Görevler!$D86&gt;=AS$4),IF(AS$4&lt;=Görevler!$C86+ROUND(Görevler!$F86*Görevler!$E86,0)-1,2,1),""))</f>
        <v/>
      </c>
      <c r="AT86" s="22" t="str">
        <f aca="false">IF(Görevler!$F86="","",IF(AND(Görevler!$C86&lt;=(AT$4+Ayarlar!$C$6-1),Görevler!$D86&gt;=AT$4),IF(AT$4&lt;=Görevler!$C86+ROUND(Görevler!$F86*Görevler!$E86,0)-1,2,1),""))</f>
        <v/>
      </c>
      <c r="AU86" s="22" t="str">
        <f aca="false">IF(Görevler!$F86="","",IF(AND(Görevler!$C86&lt;=(AU$4+Ayarlar!$C$6-1),Görevler!$D86&gt;=AU$4),IF(AU$4&lt;=Görevler!$C86+ROUND(Görevler!$F86*Görevler!$E86,0)-1,2,1),""))</f>
        <v/>
      </c>
      <c r="AV86" s="22" t="str">
        <f aca="false">IF(Görevler!$F86="","",IF(AND(Görevler!$C86&lt;=(AV$4+Ayarlar!$C$6-1),Görevler!$D86&gt;=AV$4),IF(AV$4&lt;=Görevler!$C86+ROUND(Görevler!$F86*Görevler!$E86,0)-1,2,1),""))</f>
        <v/>
      </c>
      <c r="AW86" s="22" t="str">
        <f aca="false">IF(Görevler!$F86="","",IF(AND(Görevler!$C86&lt;=(AW$4+Ayarlar!$C$6-1),Görevler!$D86&gt;=AW$4),IF(AW$4&lt;=Görevler!$C86+ROUND(Görevler!$F86*Görevler!$E86,0)-1,2,1),""))</f>
        <v/>
      </c>
      <c r="AX86" s="22" t="str">
        <f aca="false">IF(Görevler!$F86="","",IF(AND(Görevler!$C86&lt;=(AX$4+Ayarlar!$C$6-1),Görevler!$D86&gt;=AX$4),IF(AX$4&lt;=Görevler!$C86+ROUND(Görevler!$F86*Görevler!$E86,0)-1,2,1),""))</f>
        <v/>
      </c>
      <c r="AY86" s="22" t="str">
        <f aca="false">IF(Görevler!$F86="","",IF(AND(Görevler!$C86&lt;=(AY$4+Ayarlar!$C$6-1),Görevler!$D86&gt;=AY$4),IF(AY$4&lt;=Görevler!$C86+ROUND(Görevler!$F86*Görevler!$E86,0)-1,2,1),""))</f>
        <v/>
      </c>
      <c r="AZ86" s="22" t="str">
        <f aca="false">IF(Görevler!$F86="","",IF(AND(Görevler!$C86&lt;=(AZ$4+Ayarlar!$C$6-1),Görevler!$D86&gt;=AZ$4),IF(AZ$4&lt;=Görevler!$C86+ROUND(Görevler!$F86*Görevler!$E86,0)-1,2,1),""))</f>
        <v/>
      </c>
      <c r="BA86" s="22" t="str">
        <f aca="false">IF(Görevler!$F86="","",IF(AND(Görevler!$C86&lt;=(BA$4+Ayarlar!$C$6-1),Görevler!$D86&gt;=BA$4),IF(BA$4&lt;=Görevler!$C86+ROUND(Görevler!$F86*Görevler!$E86,0)-1,2,1),""))</f>
        <v/>
      </c>
      <c r="BB86" s="22" t="str">
        <f aca="false">IF(Görevler!$F86="","",IF(AND(Görevler!$C86&lt;=(BB$4+Ayarlar!$C$6-1),Görevler!$D86&gt;=BB$4),IF(BB$4&lt;=Görevler!$C86+ROUND(Görevler!$F86*Görevler!$E86,0)-1,2,1),""))</f>
        <v/>
      </c>
      <c r="BC86" s="22" t="str">
        <f aca="false">IF(Görevler!$F86="","",IF(AND(Görevler!$C86&lt;=(BC$4+Ayarlar!$C$6-1),Görevler!$D86&gt;=BC$4),IF(BC$4&lt;=Görevler!$C86+ROUND(Görevler!$F86*Görevler!$E86,0)-1,2,1),""))</f>
        <v/>
      </c>
      <c r="BD86" s="22" t="str">
        <f aca="false">IF(Görevler!$F86="","",IF(AND(Görevler!$C86&lt;=(BD$4+Ayarlar!$C$6-1),Görevler!$D86&gt;=BD$4),IF(BD$4&lt;=Görevler!$C86+ROUND(Görevler!$F86*Görevler!$E86,0)-1,2,1),""))</f>
        <v/>
      </c>
      <c r="BE86" s="22" t="str">
        <f aca="false">IF(Görevler!$F86="","",IF(AND(Görevler!$C86&lt;=(BE$4+Ayarlar!$C$6-1),Görevler!$D86&gt;=BE$4),IF(BE$4&lt;=Görevler!$C86+ROUND(Görevler!$F86*Görevler!$E86,0)-1,2,1),""))</f>
        <v/>
      </c>
      <c r="BF86" s="22" t="str">
        <f aca="false">IF(Görevler!$F86="","",IF(AND(Görevler!$C86&lt;=(BF$4+Ayarlar!$C$6-1),Görevler!$D86&gt;=BF$4),IF(BF$4&lt;=Görevler!$C86+ROUND(Görevler!$F86*Görevler!$E86,0)-1,2,1),""))</f>
        <v/>
      </c>
      <c r="BG86" s="22" t="str">
        <f aca="false">IF(Görevler!$F86="","",IF(AND(Görevler!$C86&lt;=(BG$4+Ayarlar!$C$6-1),Görevler!$D86&gt;=BG$4),IF(BG$4&lt;=Görevler!$C86+ROUND(Görevler!$F86*Görevler!$E86,0)-1,2,1),""))</f>
        <v/>
      </c>
      <c r="BH86" s="22" t="str">
        <f aca="false">IF(Görevler!$F86="","",IF(AND(Görevler!$C86&lt;=(BH$4+Ayarlar!$C$6-1),Görevler!$D86&gt;=BH$4),IF(BH$4&lt;=Görevler!$C86+ROUND(Görevler!$F86*Görevler!$E86,0)-1,2,1),""))</f>
        <v/>
      </c>
      <c r="BI86" s="22" t="str">
        <f aca="false">IF(Görevler!$F86="","",IF(AND(Görevler!$C86&lt;=(BI$4+Ayarlar!$C$6-1),Görevler!$D86&gt;=BI$4),IF(BI$4&lt;=Görevler!$C86+ROUND(Görevler!$F86*Görevler!$E86,0)-1,2,1),""))</f>
        <v/>
      </c>
      <c r="BJ86" s="22" t="str">
        <f aca="false">IF(Görevler!$F86="","",IF(AND(Görevler!$C86&lt;=(BJ$4+Ayarlar!$C$6-1),Görevler!$D86&gt;=BJ$4),IF(BJ$4&lt;=Görevler!$C86+ROUND(Görevler!$F86*Görevler!$E86,0)-1,2,1),""))</f>
        <v/>
      </c>
    </row>
    <row r="87" customFormat="false" ht="15" hidden="false" customHeight="false" outlineLevel="0" collapsed="false">
      <c r="A87" s="21" t="str">
        <f aca="false">IF(Görevler!A87="","",Görevler!A87)</f>
        <v/>
      </c>
      <c r="B87" s="21" t="str">
        <f aca="false">IF(Görevler!A87="","",Görevler!B87&amp;"")</f>
        <v/>
      </c>
      <c r="C87" s="22" t="str">
        <f aca="false">IF(Görevler!$F87="","",IF(AND(Görevler!$C87&lt;=(C$4+Ayarlar!$C$6-1),Görevler!$D87&gt;=C$4),IF(C$4&lt;=Görevler!$C87+ROUND(Görevler!$F87*Görevler!$E87,0)-1,2,1),""))</f>
        <v/>
      </c>
      <c r="D87" s="22" t="str">
        <f aca="false">IF(Görevler!$F87="","",IF(AND(Görevler!$C87&lt;=(D$4+Ayarlar!$C$6-1),Görevler!$D87&gt;=D$4),IF(D$4&lt;=Görevler!$C87+ROUND(Görevler!$F87*Görevler!$E87,0)-1,2,1),""))</f>
        <v/>
      </c>
      <c r="E87" s="22" t="str">
        <f aca="false">IF(Görevler!$F87="","",IF(AND(Görevler!$C87&lt;=(E$4+Ayarlar!$C$6-1),Görevler!$D87&gt;=E$4),IF(E$4&lt;=Görevler!$C87+ROUND(Görevler!$F87*Görevler!$E87,0)-1,2,1),""))</f>
        <v/>
      </c>
      <c r="F87" s="22" t="str">
        <f aca="false">IF(Görevler!$F87="","",IF(AND(Görevler!$C87&lt;=(F$4+Ayarlar!$C$6-1),Görevler!$D87&gt;=F$4),IF(F$4&lt;=Görevler!$C87+ROUND(Görevler!$F87*Görevler!$E87,0)-1,2,1),""))</f>
        <v/>
      </c>
      <c r="G87" s="22" t="str">
        <f aca="false">IF(Görevler!$F87="","",IF(AND(Görevler!$C87&lt;=(G$4+Ayarlar!$C$6-1),Görevler!$D87&gt;=G$4),IF(G$4&lt;=Görevler!$C87+ROUND(Görevler!$F87*Görevler!$E87,0)-1,2,1),""))</f>
        <v/>
      </c>
      <c r="H87" s="22" t="str">
        <f aca="false">IF(Görevler!$F87="","",IF(AND(Görevler!$C87&lt;=(H$4+Ayarlar!$C$6-1),Görevler!$D87&gt;=H$4),IF(H$4&lt;=Görevler!$C87+ROUND(Görevler!$F87*Görevler!$E87,0)-1,2,1),""))</f>
        <v/>
      </c>
      <c r="I87" s="22" t="str">
        <f aca="false">IF(Görevler!$F87="","",IF(AND(Görevler!$C87&lt;=(I$4+Ayarlar!$C$6-1),Görevler!$D87&gt;=I$4),IF(I$4&lt;=Görevler!$C87+ROUND(Görevler!$F87*Görevler!$E87,0)-1,2,1),""))</f>
        <v/>
      </c>
      <c r="J87" s="22" t="str">
        <f aca="false">IF(Görevler!$F87="","",IF(AND(Görevler!$C87&lt;=(J$4+Ayarlar!$C$6-1),Görevler!$D87&gt;=J$4),IF(J$4&lt;=Görevler!$C87+ROUND(Görevler!$F87*Görevler!$E87,0)-1,2,1),""))</f>
        <v/>
      </c>
      <c r="K87" s="22" t="str">
        <f aca="false">IF(Görevler!$F87="","",IF(AND(Görevler!$C87&lt;=(K$4+Ayarlar!$C$6-1),Görevler!$D87&gt;=K$4),IF(K$4&lt;=Görevler!$C87+ROUND(Görevler!$F87*Görevler!$E87,0)-1,2,1),""))</f>
        <v/>
      </c>
      <c r="L87" s="22" t="str">
        <f aca="false">IF(Görevler!$F87="","",IF(AND(Görevler!$C87&lt;=(L$4+Ayarlar!$C$6-1),Görevler!$D87&gt;=L$4),IF(L$4&lt;=Görevler!$C87+ROUND(Görevler!$F87*Görevler!$E87,0)-1,2,1),""))</f>
        <v/>
      </c>
      <c r="M87" s="22" t="str">
        <f aca="false">IF(Görevler!$F87="","",IF(AND(Görevler!$C87&lt;=(M$4+Ayarlar!$C$6-1),Görevler!$D87&gt;=M$4),IF(M$4&lt;=Görevler!$C87+ROUND(Görevler!$F87*Görevler!$E87,0)-1,2,1),""))</f>
        <v/>
      </c>
      <c r="N87" s="22" t="str">
        <f aca="false">IF(Görevler!$F87="","",IF(AND(Görevler!$C87&lt;=(N$4+Ayarlar!$C$6-1),Görevler!$D87&gt;=N$4),IF(N$4&lt;=Görevler!$C87+ROUND(Görevler!$F87*Görevler!$E87,0)-1,2,1),""))</f>
        <v/>
      </c>
      <c r="O87" s="22" t="str">
        <f aca="false">IF(Görevler!$F87="","",IF(AND(Görevler!$C87&lt;=(O$4+Ayarlar!$C$6-1),Görevler!$D87&gt;=O$4),IF(O$4&lt;=Görevler!$C87+ROUND(Görevler!$F87*Görevler!$E87,0)-1,2,1),""))</f>
        <v/>
      </c>
      <c r="P87" s="22" t="str">
        <f aca="false">IF(Görevler!$F87="","",IF(AND(Görevler!$C87&lt;=(P$4+Ayarlar!$C$6-1),Görevler!$D87&gt;=P$4),IF(P$4&lt;=Görevler!$C87+ROUND(Görevler!$F87*Görevler!$E87,0)-1,2,1),""))</f>
        <v/>
      </c>
      <c r="Q87" s="22" t="str">
        <f aca="false">IF(Görevler!$F87="","",IF(AND(Görevler!$C87&lt;=(Q$4+Ayarlar!$C$6-1),Görevler!$D87&gt;=Q$4),IF(Q$4&lt;=Görevler!$C87+ROUND(Görevler!$F87*Görevler!$E87,0)-1,2,1),""))</f>
        <v/>
      </c>
      <c r="R87" s="22" t="str">
        <f aca="false">IF(Görevler!$F87="","",IF(AND(Görevler!$C87&lt;=(R$4+Ayarlar!$C$6-1),Görevler!$D87&gt;=R$4),IF(R$4&lt;=Görevler!$C87+ROUND(Görevler!$F87*Görevler!$E87,0)-1,2,1),""))</f>
        <v/>
      </c>
      <c r="S87" s="22" t="str">
        <f aca="false">IF(Görevler!$F87="","",IF(AND(Görevler!$C87&lt;=(S$4+Ayarlar!$C$6-1),Görevler!$D87&gt;=S$4),IF(S$4&lt;=Görevler!$C87+ROUND(Görevler!$F87*Görevler!$E87,0)-1,2,1),""))</f>
        <v/>
      </c>
      <c r="T87" s="22" t="str">
        <f aca="false">IF(Görevler!$F87="","",IF(AND(Görevler!$C87&lt;=(T$4+Ayarlar!$C$6-1),Görevler!$D87&gt;=T$4),IF(T$4&lt;=Görevler!$C87+ROUND(Görevler!$F87*Görevler!$E87,0)-1,2,1),""))</f>
        <v/>
      </c>
      <c r="U87" s="22" t="str">
        <f aca="false">IF(Görevler!$F87="","",IF(AND(Görevler!$C87&lt;=(U$4+Ayarlar!$C$6-1),Görevler!$D87&gt;=U$4),IF(U$4&lt;=Görevler!$C87+ROUND(Görevler!$F87*Görevler!$E87,0)-1,2,1),""))</f>
        <v/>
      </c>
      <c r="V87" s="22" t="str">
        <f aca="false">IF(Görevler!$F87="","",IF(AND(Görevler!$C87&lt;=(V$4+Ayarlar!$C$6-1),Görevler!$D87&gt;=V$4),IF(V$4&lt;=Görevler!$C87+ROUND(Görevler!$F87*Görevler!$E87,0)-1,2,1),""))</f>
        <v/>
      </c>
      <c r="W87" s="22" t="str">
        <f aca="false">IF(Görevler!$F87="","",IF(AND(Görevler!$C87&lt;=(W$4+Ayarlar!$C$6-1),Görevler!$D87&gt;=W$4),IF(W$4&lt;=Görevler!$C87+ROUND(Görevler!$F87*Görevler!$E87,0)-1,2,1),""))</f>
        <v/>
      </c>
      <c r="X87" s="22" t="str">
        <f aca="false">IF(Görevler!$F87="","",IF(AND(Görevler!$C87&lt;=(X$4+Ayarlar!$C$6-1),Görevler!$D87&gt;=X$4),IF(X$4&lt;=Görevler!$C87+ROUND(Görevler!$F87*Görevler!$E87,0)-1,2,1),""))</f>
        <v/>
      </c>
      <c r="Y87" s="22" t="str">
        <f aca="false">IF(Görevler!$F87="","",IF(AND(Görevler!$C87&lt;=(Y$4+Ayarlar!$C$6-1),Görevler!$D87&gt;=Y$4),IF(Y$4&lt;=Görevler!$C87+ROUND(Görevler!$F87*Görevler!$E87,0)-1,2,1),""))</f>
        <v/>
      </c>
      <c r="Z87" s="22" t="str">
        <f aca="false">IF(Görevler!$F87="","",IF(AND(Görevler!$C87&lt;=(Z$4+Ayarlar!$C$6-1),Görevler!$D87&gt;=Z$4),IF(Z$4&lt;=Görevler!$C87+ROUND(Görevler!$F87*Görevler!$E87,0)-1,2,1),""))</f>
        <v/>
      </c>
      <c r="AA87" s="22" t="str">
        <f aca="false">IF(Görevler!$F87="","",IF(AND(Görevler!$C87&lt;=(AA$4+Ayarlar!$C$6-1),Görevler!$D87&gt;=AA$4),IF(AA$4&lt;=Görevler!$C87+ROUND(Görevler!$F87*Görevler!$E87,0)-1,2,1),""))</f>
        <v/>
      </c>
      <c r="AB87" s="22" t="str">
        <f aca="false">IF(Görevler!$F87="","",IF(AND(Görevler!$C87&lt;=(AB$4+Ayarlar!$C$6-1),Görevler!$D87&gt;=AB$4),IF(AB$4&lt;=Görevler!$C87+ROUND(Görevler!$F87*Görevler!$E87,0)-1,2,1),""))</f>
        <v/>
      </c>
      <c r="AC87" s="22" t="str">
        <f aca="false">IF(Görevler!$F87="","",IF(AND(Görevler!$C87&lt;=(AC$4+Ayarlar!$C$6-1),Görevler!$D87&gt;=AC$4),IF(AC$4&lt;=Görevler!$C87+ROUND(Görevler!$F87*Görevler!$E87,0)-1,2,1),""))</f>
        <v/>
      </c>
      <c r="AD87" s="22" t="str">
        <f aca="false">IF(Görevler!$F87="","",IF(AND(Görevler!$C87&lt;=(AD$4+Ayarlar!$C$6-1),Görevler!$D87&gt;=AD$4),IF(AD$4&lt;=Görevler!$C87+ROUND(Görevler!$F87*Görevler!$E87,0)-1,2,1),""))</f>
        <v/>
      </c>
      <c r="AE87" s="22" t="str">
        <f aca="false">IF(Görevler!$F87="","",IF(AND(Görevler!$C87&lt;=(AE$4+Ayarlar!$C$6-1),Görevler!$D87&gt;=AE$4),IF(AE$4&lt;=Görevler!$C87+ROUND(Görevler!$F87*Görevler!$E87,0)-1,2,1),""))</f>
        <v/>
      </c>
      <c r="AF87" s="22" t="str">
        <f aca="false">IF(Görevler!$F87="","",IF(AND(Görevler!$C87&lt;=(AF$4+Ayarlar!$C$6-1),Görevler!$D87&gt;=AF$4),IF(AF$4&lt;=Görevler!$C87+ROUND(Görevler!$F87*Görevler!$E87,0)-1,2,1),""))</f>
        <v/>
      </c>
      <c r="AG87" s="22" t="str">
        <f aca="false">IF(Görevler!$F87="","",IF(AND(Görevler!$C87&lt;=(AG$4+Ayarlar!$C$6-1),Görevler!$D87&gt;=AG$4),IF(AG$4&lt;=Görevler!$C87+ROUND(Görevler!$F87*Görevler!$E87,0)-1,2,1),""))</f>
        <v/>
      </c>
      <c r="AH87" s="22" t="str">
        <f aca="false">IF(Görevler!$F87="","",IF(AND(Görevler!$C87&lt;=(AH$4+Ayarlar!$C$6-1),Görevler!$D87&gt;=AH$4),IF(AH$4&lt;=Görevler!$C87+ROUND(Görevler!$F87*Görevler!$E87,0)-1,2,1),""))</f>
        <v/>
      </c>
      <c r="AI87" s="22" t="str">
        <f aca="false">IF(Görevler!$F87="","",IF(AND(Görevler!$C87&lt;=(AI$4+Ayarlar!$C$6-1),Görevler!$D87&gt;=AI$4),IF(AI$4&lt;=Görevler!$C87+ROUND(Görevler!$F87*Görevler!$E87,0)-1,2,1),""))</f>
        <v/>
      </c>
      <c r="AJ87" s="22" t="str">
        <f aca="false">IF(Görevler!$F87="","",IF(AND(Görevler!$C87&lt;=(AJ$4+Ayarlar!$C$6-1),Görevler!$D87&gt;=AJ$4),IF(AJ$4&lt;=Görevler!$C87+ROUND(Görevler!$F87*Görevler!$E87,0)-1,2,1),""))</f>
        <v/>
      </c>
      <c r="AK87" s="22" t="str">
        <f aca="false">IF(Görevler!$F87="","",IF(AND(Görevler!$C87&lt;=(AK$4+Ayarlar!$C$6-1),Görevler!$D87&gt;=AK$4),IF(AK$4&lt;=Görevler!$C87+ROUND(Görevler!$F87*Görevler!$E87,0)-1,2,1),""))</f>
        <v/>
      </c>
      <c r="AL87" s="22" t="str">
        <f aca="false">IF(Görevler!$F87="","",IF(AND(Görevler!$C87&lt;=(AL$4+Ayarlar!$C$6-1),Görevler!$D87&gt;=AL$4),IF(AL$4&lt;=Görevler!$C87+ROUND(Görevler!$F87*Görevler!$E87,0)-1,2,1),""))</f>
        <v/>
      </c>
      <c r="AM87" s="22" t="str">
        <f aca="false">IF(Görevler!$F87="","",IF(AND(Görevler!$C87&lt;=(AM$4+Ayarlar!$C$6-1),Görevler!$D87&gt;=AM$4),IF(AM$4&lt;=Görevler!$C87+ROUND(Görevler!$F87*Görevler!$E87,0)-1,2,1),""))</f>
        <v/>
      </c>
      <c r="AN87" s="22" t="str">
        <f aca="false">IF(Görevler!$F87="","",IF(AND(Görevler!$C87&lt;=(AN$4+Ayarlar!$C$6-1),Görevler!$D87&gt;=AN$4),IF(AN$4&lt;=Görevler!$C87+ROUND(Görevler!$F87*Görevler!$E87,0)-1,2,1),""))</f>
        <v/>
      </c>
      <c r="AO87" s="22" t="str">
        <f aca="false">IF(Görevler!$F87="","",IF(AND(Görevler!$C87&lt;=(AO$4+Ayarlar!$C$6-1),Görevler!$D87&gt;=AO$4),IF(AO$4&lt;=Görevler!$C87+ROUND(Görevler!$F87*Görevler!$E87,0)-1,2,1),""))</f>
        <v/>
      </c>
      <c r="AP87" s="22" t="str">
        <f aca="false">IF(Görevler!$F87="","",IF(AND(Görevler!$C87&lt;=(AP$4+Ayarlar!$C$6-1),Görevler!$D87&gt;=AP$4),IF(AP$4&lt;=Görevler!$C87+ROUND(Görevler!$F87*Görevler!$E87,0)-1,2,1),""))</f>
        <v/>
      </c>
      <c r="AQ87" s="22" t="str">
        <f aca="false">IF(Görevler!$F87="","",IF(AND(Görevler!$C87&lt;=(AQ$4+Ayarlar!$C$6-1),Görevler!$D87&gt;=AQ$4),IF(AQ$4&lt;=Görevler!$C87+ROUND(Görevler!$F87*Görevler!$E87,0)-1,2,1),""))</f>
        <v/>
      </c>
      <c r="AR87" s="22" t="str">
        <f aca="false">IF(Görevler!$F87="","",IF(AND(Görevler!$C87&lt;=(AR$4+Ayarlar!$C$6-1),Görevler!$D87&gt;=AR$4),IF(AR$4&lt;=Görevler!$C87+ROUND(Görevler!$F87*Görevler!$E87,0)-1,2,1),""))</f>
        <v/>
      </c>
      <c r="AS87" s="22" t="str">
        <f aca="false">IF(Görevler!$F87="","",IF(AND(Görevler!$C87&lt;=(AS$4+Ayarlar!$C$6-1),Görevler!$D87&gt;=AS$4),IF(AS$4&lt;=Görevler!$C87+ROUND(Görevler!$F87*Görevler!$E87,0)-1,2,1),""))</f>
        <v/>
      </c>
      <c r="AT87" s="22" t="str">
        <f aca="false">IF(Görevler!$F87="","",IF(AND(Görevler!$C87&lt;=(AT$4+Ayarlar!$C$6-1),Görevler!$D87&gt;=AT$4),IF(AT$4&lt;=Görevler!$C87+ROUND(Görevler!$F87*Görevler!$E87,0)-1,2,1),""))</f>
        <v/>
      </c>
      <c r="AU87" s="22" t="str">
        <f aca="false">IF(Görevler!$F87="","",IF(AND(Görevler!$C87&lt;=(AU$4+Ayarlar!$C$6-1),Görevler!$D87&gt;=AU$4),IF(AU$4&lt;=Görevler!$C87+ROUND(Görevler!$F87*Görevler!$E87,0)-1,2,1),""))</f>
        <v/>
      </c>
      <c r="AV87" s="22" t="str">
        <f aca="false">IF(Görevler!$F87="","",IF(AND(Görevler!$C87&lt;=(AV$4+Ayarlar!$C$6-1),Görevler!$D87&gt;=AV$4),IF(AV$4&lt;=Görevler!$C87+ROUND(Görevler!$F87*Görevler!$E87,0)-1,2,1),""))</f>
        <v/>
      </c>
      <c r="AW87" s="22" t="str">
        <f aca="false">IF(Görevler!$F87="","",IF(AND(Görevler!$C87&lt;=(AW$4+Ayarlar!$C$6-1),Görevler!$D87&gt;=AW$4),IF(AW$4&lt;=Görevler!$C87+ROUND(Görevler!$F87*Görevler!$E87,0)-1,2,1),""))</f>
        <v/>
      </c>
      <c r="AX87" s="22" t="str">
        <f aca="false">IF(Görevler!$F87="","",IF(AND(Görevler!$C87&lt;=(AX$4+Ayarlar!$C$6-1),Görevler!$D87&gt;=AX$4),IF(AX$4&lt;=Görevler!$C87+ROUND(Görevler!$F87*Görevler!$E87,0)-1,2,1),""))</f>
        <v/>
      </c>
      <c r="AY87" s="22" t="str">
        <f aca="false">IF(Görevler!$F87="","",IF(AND(Görevler!$C87&lt;=(AY$4+Ayarlar!$C$6-1),Görevler!$D87&gt;=AY$4),IF(AY$4&lt;=Görevler!$C87+ROUND(Görevler!$F87*Görevler!$E87,0)-1,2,1),""))</f>
        <v/>
      </c>
      <c r="AZ87" s="22" t="str">
        <f aca="false">IF(Görevler!$F87="","",IF(AND(Görevler!$C87&lt;=(AZ$4+Ayarlar!$C$6-1),Görevler!$D87&gt;=AZ$4),IF(AZ$4&lt;=Görevler!$C87+ROUND(Görevler!$F87*Görevler!$E87,0)-1,2,1),""))</f>
        <v/>
      </c>
      <c r="BA87" s="22" t="str">
        <f aca="false">IF(Görevler!$F87="","",IF(AND(Görevler!$C87&lt;=(BA$4+Ayarlar!$C$6-1),Görevler!$D87&gt;=BA$4),IF(BA$4&lt;=Görevler!$C87+ROUND(Görevler!$F87*Görevler!$E87,0)-1,2,1),""))</f>
        <v/>
      </c>
      <c r="BB87" s="22" t="str">
        <f aca="false">IF(Görevler!$F87="","",IF(AND(Görevler!$C87&lt;=(BB$4+Ayarlar!$C$6-1),Görevler!$D87&gt;=BB$4),IF(BB$4&lt;=Görevler!$C87+ROUND(Görevler!$F87*Görevler!$E87,0)-1,2,1),""))</f>
        <v/>
      </c>
      <c r="BC87" s="22" t="str">
        <f aca="false">IF(Görevler!$F87="","",IF(AND(Görevler!$C87&lt;=(BC$4+Ayarlar!$C$6-1),Görevler!$D87&gt;=BC$4),IF(BC$4&lt;=Görevler!$C87+ROUND(Görevler!$F87*Görevler!$E87,0)-1,2,1),""))</f>
        <v/>
      </c>
      <c r="BD87" s="22" t="str">
        <f aca="false">IF(Görevler!$F87="","",IF(AND(Görevler!$C87&lt;=(BD$4+Ayarlar!$C$6-1),Görevler!$D87&gt;=BD$4),IF(BD$4&lt;=Görevler!$C87+ROUND(Görevler!$F87*Görevler!$E87,0)-1,2,1),""))</f>
        <v/>
      </c>
      <c r="BE87" s="22" t="str">
        <f aca="false">IF(Görevler!$F87="","",IF(AND(Görevler!$C87&lt;=(BE$4+Ayarlar!$C$6-1),Görevler!$D87&gt;=BE$4),IF(BE$4&lt;=Görevler!$C87+ROUND(Görevler!$F87*Görevler!$E87,0)-1,2,1),""))</f>
        <v/>
      </c>
      <c r="BF87" s="22" t="str">
        <f aca="false">IF(Görevler!$F87="","",IF(AND(Görevler!$C87&lt;=(BF$4+Ayarlar!$C$6-1),Görevler!$D87&gt;=BF$4),IF(BF$4&lt;=Görevler!$C87+ROUND(Görevler!$F87*Görevler!$E87,0)-1,2,1),""))</f>
        <v/>
      </c>
      <c r="BG87" s="22" t="str">
        <f aca="false">IF(Görevler!$F87="","",IF(AND(Görevler!$C87&lt;=(BG$4+Ayarlar!$C$6-1),Görevler!$D87&gt;=BG$4),IF(BG$4&lt;=Görevler!$C87+ROUND(Görevler!$F87*Görevler!$E87,0)-1,2,1),""))</f>
        <v/>
      </c>
      <c r="BH87" s="22" t="str">
        <f aca="false">IF(Görevler!$F87="","",IF(AND(Görevler!$C87&lt;=(BH$4+Ayarlar!$C$6-1),Görevler!$D87&gt;=BH$4),IF(BH$4&lt;=Görevler!$C87+ROUND(Görevler!$F87*Görevler!$E87,0)-1,2,1),""))</f>
        <v/>
      </c>
      <c r="BI87" s="22" t="str">
        <f aca="false">IF(Görevler!$F87="","",IF(AND(Görevler!$C87&lt;=(BI$4+Ayarlar!$C$6-1),Görevler!$D87&gt;=BI$4),IF(BI$4&lt;=Görevler!$C87+ROUND(Görevler!$F87*Görevler!$E87,0)-1,2,1),""))</f>
        <v/>
      </c>
      <c r="BJ87" s="22" t="str">
        <f aca="false">IF(Görevler!$F87="","",IF(AND(Görevler!$C87&lt;=(BJ$4+Ayarlar!$C$6-1),Görevler!$D87&gt;=BJ$4),IF(BJ$4&lt;=Görevler!$C87+ROUND(Görevler!$F87*Görevler!$E87,0)-1,2,1),""))</f>
        <v/>
      </c>
    </row>
    <row r="88" customFormat="false" ht="15" hidden="false" customHeight="false" outlineLevel="0" collapsed="false">
      <c r="A88" s="21" t="str">
        <f aca="false">IF(Görevler!A88="","",Görevler!A88)</f>
        <v/>
      </c>
      <c r="B88" s="21" t="str">
        <f aca="false">IF(Görevler!A88="","",Görevler!B88&amp;"")</f>
        <v/>
      </c>
      <c r="C88" s="22" t="str">
        <f aca="false">IF(Görevler!$F88="","",IF(AND(Görevler!$C88&lt;=(C$4+Ayarlar!$C$6-1),Görevler!$D88&gt;=C$4),IF(C$4&lt;=Görevler!$C88+ROUND(Görevler!$F88*Görevler!$E88,0)-1,2,1),""))</f>
        <v/>
      </c>
      <c r="D88" s="22" t="str">
        <f aca="false">IF(Görevler!$F88="","",IF(AND(Görevler!$C88&lt;=(D$4+Ayarlar!$C$6-1),Görevler!$D88&gt;=D$4),IF(D$4&lt;=Görevler!$C88+ROUND(Görevler!$F88*Görevler!$E88,0)-1,2,1),""))</f>
        <v/>
      </c>
      <c r="E88" s="22" t="str">
        <f aca="false">IF(Görevler!$F88="","",IF(AND(Görevler!$C88&lt;=(E$4+Ayarlar!$C$6-1),Görevler!$D88&gt;=E$4),IF(E$4&lt;=Görevler!$C88+ROUND(Görevler!$F88*Görevler!$E88,0)-1,2,1),""))</f>
        <v/>
      </c>
      <c r="F88" s="22" t="str">
        <f aca="false">IF(Görevler!$F88="","",IF(AND(Görevler!$C88&lt;=(F$4+Ayarlar!$C$6-1),Görevler!$D88&gt;=F$4),IF(F$4&lt;=Görevler!$C88+ROUND(Görevler!$F88*Görevler!$E88,0)-1,2,1),""))</f>
        <v/>
      </c>
      <c r="G88" s="22" t="str">
        <f aca="false">IF(Görevler!$F88="","",IF(AND(Görevler!$C88&lt;=(G$4+Ayarlar!$C$6-1),Görevler!$D88&gt;=G$4),IF(G$4&lt;=Görevler!$C88+ROUND(Görevler!$F88*Görevler!$E88,0)-1,2,1),""))</f>
        <v/>
      </c>
      <c r="H88" s="22" t="str">
        <f aca="false">IF(Görevler!$F88="","",IF(AND(Görevler!$C88&lt;=(H$4+Ayarlar!$C$6-1),Görevler!$D88&gt;=H$4),IF(H$4&lt;=Görevler!$C88+ROUND(Görevler!$F88*Görevler!$E88,0)-1,2,1),""))</f>
        <v/>
      </c>
      <c r="I88" s="22" t="str">
        <f aca="false">IF(Görevler!$F88="","",IF(AND(Görevler!$C88&lt;=(I$4+Ayarlar!$C$6-1),Görevler!$D88&gt;=I$4),IF(I$4&lt;=Görevler!$C88+ROUND(Görevler!$F88*Görevler!$E88,0)-1,2,1),""))</f>
        <v/>
      </c>
      <c r="J88" s="22" t="str">
        <f aca="false">IF(Görevler!$F88="","",IF(AND(Görevler!$C88&lt;=(J$4+Ayarlar!$C$6-1),Görevler!$D88&gt;=J$4),IF(J$4&lt;=Görevler!$C88+ROUND(Görevler!$F88*Görevler!$E88,0)-1,2,1),""))</f>
        <v/>
      </c>
      <c r="K88" s="22" t="str">
        <f aca="false">IF(Görevler!$F88="","",IF(AND(Görevler!$C88&lt;=(K$4+Ayarlar!$C$6-1),Görevler!$D88&gt;=K$4),IF(K$4&lt;=Görevler!$C88+ROUND(Görevler!$F88*Görevler!$E88,0)-1,2,1),""))</f>
        <v/>
      </c>
      <c r="L88" s="22" t="str">
        <f aca="false">IF(Görevler!$F88="","",IF(AND(Görevler!$C88&lt;=(L$4+Ayarlar!$C$6-1),Görevler!$D88&gt;=L$4),IF(L$4&lt;=Görevler!$C88+ROUND(Görevler!$F88*Görevler!$E88,0)-1,2,1),""))</f>
        <v/>
      </c>
      <c r="M88" s="22" t="str">
        <f aca="false">IF(Görevler!$F88="","",IF(AND(Görevler!$C88&lt;=(M$4+Ayarlar!$C$6-1),Görevler!$D88&gt;=M$4),IF(M$4&lt;=Görevler!$C88+ROUND(Görevler!$F88*Görevler!$E88,0)-1,2,1),""))</f>
        <v/>
      </c>
      <c r="N88" s="22" t="str">
        <f aca="false">IF(Görevler!$F88="","",IF(AND(Görevler!$C88&lt;=(N$4+Ayarlar!$C$6-1),Görevler!$D88&gt;=N$4),IF(N$4&lt;=Görevler!$C88+ROUND(Görevler!$F88*Görevler!$E88,0)-1,2,1),""))</f>
        <v/>
      </c>
      <c r="O88" s="22" t="str">
        <f aca="false">IF(Görevler!$F88="","",IF(AND(Görevler!$C88&lt;=(O$4+Ayarlar!$C$6-1),Görevler!$D88&gt;=O$4),IF(O$4&lt;=Görevler!$C88+ROUND(Görevler!$F88*Görevler!$E88,0)-1,2,1),""))</f>
        <v/>
      </c>
      <c r="P88" s="22" t="str">
        <f aca="false">IF(Görevler!$F88="","",IF(AND(Görevler!$C88&lt;=(P$4+Ayarlar!$C$6-1),Görevler!$D88&gt;=P$4),IF(P$4&lt;=Görevler!$C88+ROUND(Görevler!$F88*Görevler!$E88,0)-1,2,1),""))</f>
        <v/>
      </c>
      <c r="Q88" s="22" t="str">
        <f aca="false">IF(Görevler!$F88="","",IF(AND(Görevler!$C88&lt;=(Q$4+Ayarlar!$C$6-1),Görevler!$D88&gt;=Q$4),IF(Q$4&lt;=Görevler!$C88+ROUND(Görevler!$F88*Görevler!$E88,0)-1,2,1),""))</f>
        <v/>
      </c>
      <c r="R88" s="22" t="str">
        <f aca="false">IF(Görevler!$F88="","",IF(AND(Görevler!$C88&lt;=(R$4+Ayarlar!$C$6-1),Görevler!$D88&gt;=R$4),IF(R$4&lt;=Görevler!$C88+ROUND(Görevler!$F88*Görevler!$E88,0)-1,2,1),""))</f>
        <v/>
      </c>
      <c r="S88" s="22" t="str">
        <f aca="false">IF(Görevler!$F88="","",IF(AND(Görevler!$C88&lt;=(S$4+Ayarlar!$C$6-1),Görevler!$D88&gt;=S$4),IF(S$4&lt;=Görevler!$C88+ROUND(Görevler!$F88*Görevler!$E88,0)-1,2,1),""))</f>
        <v/>
      </c>
      <c r="T88" s="22" t="str">
        <f aca="false">IF(Görevler!$F88="","",IF(AND(Görevler!$C88&lt;=(T$4+Ayarlar!$C$6-1),Görevler!$D88&gt;=T$4),IF(T$4&lt;=Görevler!$C88+ROUND(Görevler!$F88*Görevler!$E88,0)-1,2,1),""))</f>
        <v/>
      </c>
      <c r="U88" s="22" t="str">
        <f aca="false">IF(Görevler!$F88="","",IF(AND(Görevler!$C88&lt;=(U$4+Ayarlar!$C$6-1),Görevler!$D88&gt;=U$4),IF(U$4&lt;=Görevler!$C88+ROUND(Görevler!$F88*Görevler!$E88,0)-1,2,1),""))</f>
        <v/>
      </c>
      <c r="V88" s="22" t="str">
        <f aca="false">IF(Görevler!$F88="","",IF(AND(Görevler!$C88&lt;=(V$4+Ayarlar!$C$6-1),Görevler!$D88&gt;=V$4),IF(V$4&lt;=Görevler!$C88+ROUND(Görevler!$F88*Görevler!$E88,0)-1,2,1),""))</f>
        <v/>
      </c>
      <c r="W88" s="22" t="str">
        <f aca="false">IF(Görevler!$F88="","",IF(AND(Görevler!$C88&lt;=(W$4+Ayarlar!$C$6-1),Görevler!$D88&gt;=W$4),IF(W$4&lt;=Görevler!$C88+ROUND(Görevler!$F88*Görevler!$E88,0)-1,2,1),""))</f>
        <v/>
      </c>
      <c r="X88" s="22" t="str">
        <f aca="false">IF(Görevler!$F88="","",IF(AND(Görevler!$C88&lt;=(X$4+Ayarlar!$C$6-1),Görevler!$D88&gt;=X$4),IF(X$4&lt;=Görevler!$C88+ROUND(Görevler!$F88*Görevler!$E88,0)-1,2,1),""))</f>
        <v/>
      </c>
      <c r="Y88" s="22" t="str">
        <f aca="false">IF(Görevler!$F88="","",IF(AND(Görevler!$C88&lt;=(Y$4+Ayarlar!$C$6-1),Görevler!$D88&gt;=Y$4),IF(Y$4&lt;=Görevler!$C88+ROUND(Görevler!$F88*Görevler!$E88,0)-1,2,1),""))</f>
        <v/>
      </c>
      <c r="Z88" s="22" t="str">
        <f aca="false">IF(Görevler!$F88="","",IF(AND(Görevler!$C88&lt;=(Z$4+Ayarlar!$C$6-1),Görevler!$D88&gt;=Z$4),IF(Z$4&lt;=Görevler!$C88+ROUND(Görevler!$F88*Görevler!$E88,0)-1,2,1),""))</f>
        <v/>
      </c>
      <c r="AA88" s="22" t="str">
        <f aca="false">IF(Görevler!$F88="","",IF(AND(Görevler!$C88&lt;=(AA$4+Ayarlar!$C$6-1),Görevler!$D88&gt;=AA$4),IF(AA$4&lt;=Görevler!$C88+ROUND(Görevler!$F88*Görevler!$E88,0)-1,2,1),""))</f>
        <v/>
      </c>
      <c r="AB88" s="22" t="str">
        <f aca="false">IF(Görevler!$F88="","",IF(AND(Görevler!$C88&lt;=(AB$4+Ayarlar!$C$6-1),Görevler!$D88&gt;=AB$4),IF(AB$4&lt;=Görevler!$C88+ROUND(Görevler!$F88*Görevler!$E88,0)-1,2,1),""))</f>
        <v/>
      </c>
      <c r="AC88" s="22" t="str">
        <f aca="false">IF(Görevler!$F88="","",IF(AND(Görevler!$C88&lt;=(AC$4+Ayarlar!$C$6-1),Görevler!$D88&gt;=AC$4),IF(AC$4&lt;=Görevler!$C88+ROUND(Görevler!$F88*Görevler!$E88,0)-1,2,1),""))</f>
        <v/>
      </c>
      <c r="AD88" s="22" t="str">
        <f aca="false">IF(Görevler!$F88="","",IF(AND(Görevler!$C88&lt;=(AD$4+Ayarlar!$C$6-1),Görevler!$D88&gt;=AD$4),IF(AD$4&lt;=Görevler!$C88+ROUND(Görevler!$F88*Görevler!$E88,0)-1,2,1),""))</f>
        <v/>
      </c>
      <c r="AE88" s="22" t="str">
        <f aca="false">IF(Görevler!$F88="","",IF(AND(Görevler!$C88&lt;=(AE$4+Ayarlar!$C$6-1),Görevler!$D88&gt;=AE$4),IF(AE$4&lt;=Görevler!$C88+ROUND(Görevler!$F88*Görevler!$E88,0)-1,2,1),""))</f>
        <v/>
      </c>
      <c r="AF88" s="22" t="str">
        <f aca="false">IF(Görevler!$F88="","",IF(AND(Görevler!$C88&lt;=(AF$4+Ayarlar!$C$6-1),Görevler!$D88&gt;=AF$4),IF(AF$4&lt;=Görevler!$C88+ROUND(Görevler!$F88*Görevler!$E88,0)-1,2,1),""))</f>
        <v/>
      </c>
      <c r="AG88" s="22" t="str">
        <f aca="false">IF(Görevler!$F88="","",IF(AND(Görevler!$C88&lt;=(AG$4+Ayarlar!$C$6-1),Görevler!$D88&gt;=AG$4),IF(AG$4&lt;=Görevler!$C88+ROUND(Görevler!$F88*Görevler!$E88,0)-1,2,1),""))</f>
        <v/>
      </c>
      <c r="AH88" s="22" t="str">
        <f aca="false">IF(Görevler!$F88="","",IF(AND(Görevler!$C88&lt;=(AH$4+Ayarlar!$C$6-1),Görevler!$D88&gt;=AH$4),IF(AH$4&lt;=Görevler!$C88+ROUND(Görevler!$F88*Görevler!$E88,0)-1,2,1),""))</f>
        <v/>
      </c>
      <c r="AI88" s="22" t="str">
        <f aca="false">IF(Görevler!$F88="","",IF(AND(Görevler!$C88&lt;=(AI$4+Ayarlar!$C$6-1),Görevler!$D88&gt;=AI$4),IF(AI$4&lt;=Görevler!$C88+ROUND(Görevler!$F88*Görevler!$E88,0)-1,2,1),""))</f>
        <v/>
      </c>
      <c r="AJ88" s="22" t="str">
        <f aca="false">IF(Görevler!$F88="","",IF(AND(Görevler!$C88&lt;=(AJ$4+Ayarlar!$C$6-1),Görevler!$D88&gt;=AJ$4),IF(AJ$4&lt;=Görevler!$C88+ROUND(Görevler!$F88*Görevler!$E88,0)-1,2,1),""))</f>
        <v/>
      </c>
      <c r="AK88" s="22" t="str">
        <f aca="false">IF(Görevler!$F88="","",IF(AND(Görevler!$C88&lt;=(AK$4+Ayarlar!$C$6-1),Görevler!$D88&gt;=AK$4),IF(AK$4&lt;=Görevler!$C88+ROUND(Görevler!$F88*Görevler!$E88,0)-1,2,1),""))</f>
        <v/>
      </c>
      <c r="AL88" s="22" t="str">
        <f aca="false">IF(Görevler!$F88="","",IF(AND(Görevler!$C88&lt;=(AL$4+Ayarlar!$C$6-1),Görevler!$D88&gt;=AL$4),IF(AL$4&lt;=Görevler!$C88+ROUND(Görevler!$F88*Görevler!$E88,0)-1,2,1),""))</f>
        <v/>
      </c>
      <c r="AM88" s="22" t="str">
        <f aca="false">IF(Görevler!$F88="","",IF(AND(Görevler!$C88&lt;=(AM$4+Ayarlar!$C$6-1),Görevler!$D88&gt;=AM$4),IF(AM$4&lt;=Görevler!$C88+ROUND(Görevler!$F88*Görevler!$E88,0)-1,2,1),""))</f>
        <v/>
      </c>
      <c r="AN88" s="22" t="str">
        <f aca="false">IF(Görevler!$F88="","",IF(AND(Görevler!$C88&lt;=(AN$4+Ayarlar!$C$6-1),Görevler!$D88&gt;=AN$4),IF(AN$4&lt;=Görevler!$C88+ROUND(Görevler!$F88*Görevler!$E88,0)-1,2,1),""))</f>
        <v/>
      </c>
      <c r="AO88" s="22" t="str">
        <f aca="false">IF(Görevler!$F88="","",IF(AND(Görevler!$C88&lt;=(AO$4+Ayarlar!$C$6-1),Görevler!$D88&gt;=AO$4),IF(AO$4&lt;=Görevler!$C88+ROUND(Görevler!$F88*Görevler!$E88,0)-1,2,1),""))</f>
        <v/>
      </c>
      <c r="AP88" s="22" t="str">
        <f aca="false">IF(Görevler!$F88="","",IF(AND(Görevler!$C88&lt;=(AP$4+Ayarlar!$C$6-1),Görevler!$D88&gt;=AP$4),IF(AP$4&lt;=Görevler!$C88+ROUND(Görevler!$F88*Görevler!$E88,0)-1,2,1),""))</f>
        <v/>
      </c>
      <c r="AQ88" s="22" t="str">
        <f aca="false">IF(Görevler!$F88="","",IF(AND(Görevler!$C88&lt;=(AQ$4+Ayarlar!$C$6-1),Görevler!$D88&gt;=AQ$4),IF(AQ$4&lt;=Görevler!$C88+ROUND(Görevler!$F88*Görevler!$E88,0)-1,2,1),""))</f>
        <v/>
      </c>
      <c r="AR88" s="22" t="str">
        <f aca="false">IF(Görevler!$F88="","",IF(AND(Görevler!$C88&lt;=(AR$4+Ayarlar!$C$6-1),Görevler!$D88&gt;=AR$4),IF(AR$4&lt;=Görevler!$C88+ROUND(Görevler!$F88*Görevler!$E88,0)-1,2,1),""))</f>
        <v/>
      </c>
      <c r="AS88" s="22" t="str">
        <f aca="false">IF(Görevler!$F88="","",IF(AND(Görevler!$C88&lt;=(AS$4+Ayarlar!$C$6-1),Görevler!$D88&gt;=AS$4),IF(AS$4&lt;=Görevler!$C88+ROUND(Görevler!$F88*Görevler!$E88,0)-1,2,1),""))</f>
        <v/>
      </c>
      <c r="AT88" s="22" t="str">
        <f aca="false">IF(Görevler!$F88="","",IF(AND(Görevler!$C88&lt;=(AT$4+Ayarlar!$C$6-1),Görevler!$D88&gt;=AT$4),IF(AT$4&lt;=Görevler!$C88+ROUND(Görevler!$F88*Görevler!$E88,0)-1,2,1),""))</f>
        <v/>
      </c>
      <c r="AU88" s="22" t="str">
        <f aca="false">IF(Görevler!$F88="","",IF(AND(Görevler!$C88&lt;=(AU$4+Ayarlar!$C$6-1),Görevler!$D88&gt;=AU$4),IF(AU$4&lt;=Görevler!$C88+ROUND(Görevler!$F88*Görevler!$E88,0)-1,2,1),""))</f>
        <v/>
      </c>
      <c r="AV88" s="22" t="str">
        <f aca="false">IF(Görevler!$F88="","",IF(AND(Görevler!$C88&lt;=(AV$4+Ayarlar!$C$6-1),Görevler!$D88&gt;=AV$4),IF(AV$4&lt;=Görevler!$C88+ROUND(Görevler!$F88*Görevler!$E88,0)-1,2,1),""))</f>
        <v/>
      </c>
      <c r="AW88" s="22" t="str">
        <f aca="false">IF(Görevler!$F88="","",IF(AND(Görevler!$C88&lt;=(AW$4+Ayarlar!$C$6-1),Görevler!$D88&gt;=AW$4),IF(AW$4&lt;=Görevler!$C88+ROUND(Görevler!$F88*Görevler!$E88,0)-1,2,1),""))</f>
        <v/>
      </c>
      <c r="AX88" s="22" t="str">
        <f aca="false">IF(Görevler!$F88="","",IF(AND(Görevler!$C88&lt;=(AX$4+Ayarlar!$C$6-1),Görevler!$D88&gt;=AX$4),IF(AX$4&lt;=Görevler!$C88+ROUND(Görevler!$F88*Görevler!$E88,0)-1,2,1),""))</f>
        <v/>
      </c>
      <c r="AY88" s="22" t="str">
        <f aca="false">IF(Görevler!$F88="","",IF(AND(Görevler!$C88&lt;=(AY$4+Ayarlar!$C$6-1),Görevler!$D88&gt;=AY$4),IF(AY$4&lt;=Görevler!$C88+ROUND(Görevler!$F88*Görevler!$E88,0)-1,2,1),""))</f>
        <v/>
      </c>
      <c r="AZ88" s="22" t="str">
        <f aca="false">IF(Görevler!$F88="","",IF(AND(Görevler!$C88&lt;=(AZ$4+Ayarlar!$C$6-1),Görevler!$D88&gt;=AZ$4),IF(AZ$4&lt;=Görevler!$C88+ROUND(Görevler!$F88*Görevler!$E88,0)-1,2,1),""))</f>
        <v/>
      </c>
      <c r="BA88" s="22" t="str">
        <f aca="false">IF(Görevler!$F88="","",IF(AND(Görevler!$C88&lt;=(BA$4+Ayarlar!$C$6-1),Görevler!$D88&gt;=BA$4),IF(BA$4&lt;=Görevler!$C88+ROUND(Görevler!$F88*Görevler!$E88,0)-1,2,1),""))</f>
        <v/>
      </c>
      <c r="BB88" s="22" t="str">
        <f aca="false">IF(Görevler!$F88="","",IF(AND(Görevler!$C88&lt;=(BB$4+Ayarlar!$C$6-1),Görevler!$D88&gt;=BB$4),IF(BB$4&lt;=Görevler!$C88+ROUND(Görevler!$F88*Görevler!$E88,0)-1,2,1),""))</f>
        <v/>
      </c>
      <c r="BC88" s="22" t="str">
        <f aca="false">IF(Görevler!$F88="","",IF(AND(Görevler!$C88&lt;=(BC$4+Ayarlar!$C$6-1),Görevler!$D88&gt;=BC$4),IF(BC$4&lt;=Görevler!$C88+ROUND(Görevler!$F88*Görevler!$E88,0)-1,2,1),""))</f>
        <v/>
      </c>
      <c r="BD88" s="22" t="str">
        <f aca="false">IF(Görevler!$F88="","",IF(AND(Görevler!$C88&lt;=(BD$4+Ayarlar!$C$6-1),Görevler!$D88&gt;=BD$4),IF(BD$4&lt;=Görevler!$C88+ROUND(Görevler!$F88*Görevler!$E88,0)-1,2,1),""))</f>
        <v/>
      </c>
      <c r="BE88" s="22" t="str">
        <f aca="false">IF(Görevler!$F88="","",IF(AND(Görevler!$C88&lt;=(BE$4+Ayarlar!$C$6-1),Görevler!$D88&gt;=BE$4),IF(BE$4&lt;=Görevler!$C88+ROUND(Görevler!$F88*Görevler!$E88,0)-1,2,1),""))</f>
        <v/>
      </c>
      <c r="BF88" s="22" t="str">
        <f aca="false">IF(Görevler!$F88="","",IF(AND(Görevler!$C88&lt;=(BF$4+Ayarlar!$C$6-1),Görevler!$D88&gt;=BF$4),IF(BF$4&lt;=Görevler!$C88+ROUND(Görevler!$F88*Görevler!$E88,0)-1,2,1),""))</f>
        <v/>
      </c>
      <c r="BG88" s="22" t="str">
        <f aca="false">IF(Görevler!$F88="","",IF(AND(Görevler!$C88&lt;=(BG$4+Ayarlar!$C$6-1),Görevler!$D88&gt;=BG$4),IF(BG$4&lt;=Görevler!$C88+ROUND(Görevler!$F88*Görevler!$E88,0)-1,2,1),""))</f>
        <v/>
      </c>
      <c r="BH88" s="22" t="str">
        <f aca="false">IF(Görevler!$F88="","",IF(AND(Görevler!$C88&lt;=(BH$4+Ayarlar!$C$6-1),Görevler!$D88&gt;=BH$4),IF(BH$4&lt;=Görevler!$C88+ROUND(Görevler!$F88*Görevler!$E88,0)-1,2,1),""))</f>
        <v/>
      </c>
      <c r="BI88" s="22" t="str">
        <f aca="false">IF(Görevler!$F88="","",IF(AND(Görevler!$C88&lt;=(BI$4+Ayarlar!$C$6-1),Görevler!$D88&gt;=BI$4),IF(BI$4&lt;=Görevler!$C88+ROUND(Görevler!$F88*Görevler!$E88,0)-1,2,1),""))</f>
        <v/>
      </c>
      <c r="BJ88" s="22" t="str">
        <f aca="false">IF(Görevler!$F88="","",IF(AND(Görevler!$C88&lt;=(BJ$4+Ayarlar!$C$6-1),Görevler!$D88&gt;=BJ$4),IF(BJ$4&lt;=Görevler!$C88+ROUND(Görevler!$F88*Görevler!$E88,0)-1,2,1),""))</f>
        <v/>
      </c>
    </row>
    <row r="89" customFormat="false" ht="15" hidden="false" customHeight="false" outlineLevel="0" collapsed="false">
      <c r="A89" s="21" t="str">
        <f aca="false">IF(Görevler!A89="","",Görevler!A89)</f>
        <v/>
      </c>
      <c r="B89" s="21" t="str">
        <f aca="false">IF(Görevler!A89="","",Görevler!B89&amp;"")</f>
        <v/>
      </c>
      <c r="C89" s="22" t="str">
        <f aca="false">IF(Görevler!$F89="","",IF(AND(Görevler!$C89&lt;=(C$4+Ayarlar!$C$6-1),Görevler!$D89&gt;=C$4),IF(C$4&lt;=Görevler!$C89+ROUND(Görevler!$F89*Görevler!$E89,0)-1,2,1),""))</f>
        <v/>
      </c>
      <c r="D89" s="22" t="str">
        <f aca="false">IF(Görevler!$F89="","",IF(AND(Görevler!$C89&lt;=(D$4+Ayarlar!$C$6-1),Görevler!$D89&gt;=D$4),IF(D$4&lt;=Görevler!$C89+ROUND(Görevler!$F89*Görevler!$E89,0)-1,2,1),""))</f>
        <v/>
      </c>
      <c r="E89" s="22" t="str">
        <f aca="false">IF(Görevler!$F89="","",IF(AND(Görevler!$C89&lt;=(E$4+Ayarlar!$C$6-1),Görevler!$D89&gt;=E$4),IF(E$4&lt;=Görevler!$C89+ROUND(Görevler!$F89*Görevler!$E89,0)-1,2,1),""))</f>
        <v/>
      </c>
      <c r="F89" s="22" t="str">
        <f aca="false">IF(Görevler!$F89="","",IF(AND(Görevler!$C89&lt;=(F$4+Ayarlar!$C$6-1),Görevler!$D89&gt;=F$4),IF(F$4&lt;=Görevler!$C89+ROUND(Görevler!$F89*Görevler!$E89,0)-1,2,1),""))</f>
        <v/>
      </c>
      <c r="G89" s="22" t="str">
        <f aca="false">IF(Görevler!$F89="","",IF(AND(Görevler!$C89&lt;=(G$4+Ayarlar!$C$6-1),Görevler!$D89&gt;=G$4),IF(G$4&lt;=Görevler!$C89+ROUND(Görevler!$F89*Görevler!$E89,0)-1,2,1),""))</f>
        <v/>
      </c>
      <c r="H89" s="22" t="str">
        <f aca="false">IF(Görevler!$F89="","",IF(AND(Görevler!$C89&lt;=(H$4+Ayarlar!$C$6-1),Görevler!$D89&gt;=H$4),IF(H$4&lt;=Görevler!$C89+ROUND(Görevler!$F89*Görevler!$E89,0)-1,2,1),""))</f>
        <v/>
      </c>
      <c r="I89" s="22" t="str">
        <f aca="false">IF(Görevler!$F89="","",IF(AND(Görevler!$C89&lt;=(I$4+Ayarlar!$C$6-1),Görevler!$D89&gt;=I$4),IF(I$4&lt;=Görevler!$C89+ROUND(Görevler!$F89*Görevler!$E89,0)-1,2,1),""))</f>
        <v/>
      </c>
      <c r="J89" s="22" t="str">
        <f aca="false">IF(Görevler!$F89="","",IF(AND(Görevler!$C89&lt;=(J$4+Ayarlar!$C$6-1),Görevler!$D89&gt;=J$4),IF(J$4&lt;=Görevler!$C89+ROUND(Görevler!$F89*Görevler!$E89,0)-1,2,1),""))</f>
        <v/>
      </c>
      <c r="K89" s="22" t="str">
        <f aca="false">IF(Görevler!$F89="","",IF(AND(Görevler!$C89&lt;=(K$4+Ayarlar!$C$6-1),Görevler!$D89&gt;=K$4),IF(K$4&lt;=Görevler!$C89+ROUND(Görevler!$F89*Görevler!$E89,0)-1,2,1),""))</f>
        <v/>
      </c>
      <c r="L89" s="22" t="str">
        <f aca="false">IF(Görevler!$F89="","",IF(AND(Görevler!$C89&lt;=(L$4+Ayarlar!$C$6-1),Görevler!$D89&gt;=L$4),IF(L$4&lt;=Görevler!$C89+ROUND(Görevler!$F89*Görevler!$E89,0)-1,2,1),""))</f>
        <v/>
      </c>
      <c r="M89" s="22" t="str">
        <f aca="false">IF(Görevler!$F89="","",IF(AND(Görevler!$C89&lt;=(M$4+Ayarlar!$C$6-1),Görevler!$D89&gt;=M$4),IF(M$4&lt;=Görevler!$C89+ROUND(Görevler!$F89*Görevler!$E89,0)-1,2,1),""))</f>
        <v/>
      </c>
      <c r="N89" s="22" t="str">
        <f aca="false">IF(Görevler!$F89="","",IF(AND(Görevler!$C89&lt;=(N$4+Ayarlar!$C$6-1),Görevler!$D89&gt;=N$4),IF(N$4&lt;=Görevler!$C89+ROUND(Görevler!$F89*Görevler!$E89,0)-1,2,1),""))</f>
        <v/>
      </c>
      <c r="O89" s="22" t="str">
        <f aca="false">IF(Görevler!$F89="","",IF(AND(Görevler!$C89&lt;=(O$4+Ayarlar!$C$6-1),Görevler!$D89&gt;=O$4),IF(O$4&lt;=Görevler!$C89+ROUND(Görevler!$F89*Görevler!$E89,0)-1,2,1),""))</f>
        <v/>
      </c>
      <c r="P89" s="22" t="str">
        <f aca="false">IF(Görevler!$F89="","",IF(AND(Görevler!$C89&lt;=(P$4+Ayarlar!$C$6-1),Görevler!$D89&gt;=P$4),IF(P$4&lt;=Görevler!$C89+ROUND(Görevler!$F89*Görevler!$E89,0)-1,2,1),""))</f>
        <v/>
      </c>
      <c r="Q89" s="22" t="str">
        <f aca="false">IF(Görevler!$F89="","",IF(AND(Görevler!$C89&lt;=(Q$4+Ayarlar!$C$6-1),Görevler!$D89&gt;=Q$4),IF(Q$4&lt;=Görevler!$C89+ROUND(Görevler!$F89*Görevler!$E89,0)-1,2,1),""))</f>
        <v/>
      </c>
      <c r="R89" s="22" t="str">
        <f aca="false">IF(Görevler!$F89="","",IF(AND(Görevler!$C89&lt;=(R$4+Ayarlar!$C$6-1),Görevler!$D89&gt;=R$4),IF(R$4&lt;=Görevler!$C89+ROUND(Görevler!$F89*Görevler!$E89,0)-1,2,1),""))</f>
        <v/>
      </c>
      <c r="S89" s="22" t="str">
        <f aca="false">IF(Görevler!$F89="","",IF(AND(Görevler!$C89&lt;=(S$4+Ayarlar!$C$6-1),Görevler!$D89&gt;=S$4),IF(S$4&lt;=Görevler!$C89+ROUND(Görevler!$F89*Görevler!$E89,0)-1,2,1),""))</f>
        <v/>
      </c>
      <c r="T89" s="22" t="str">
        <f aca="false">IF(Görevler!$F89="","",IF(AND(Görevler!$C89&lt;=(T$4+Ayarlar!$C$6-1),Görevler!$D89&gt;=T$4),IF(T$4&lt;=Görevler!$C89+ROUND(Görevler!$F89*Görevler!$E89,0)-1,2,1),""))</f>
        <v/>
      </c>
      <c r="U89" s="22" t="str">
        <f aca="false">IF(Görevler!$F89="","",IF(AND(Görevler!$C89&lt;=(U$4+Ayarlar!$C$6-1),Görevler!$D89&gt;=U$4),IF(U$4&lt;=Görevler!$C89+ROUND(Görevler!$F89*Görevler!$E89,0)-1,2,1),""))</f>
        <v/>
      </c>
      <c r="V89" s="22" t="str">
        <f aca="false">IF(Görevler!$F89="","",IF(AND(Görevler!$C89&lt;=(V$4+Ayarlar!$C$6-1),Görevler!$D89&gt;=V$4),IF(V$4&lt;=Görevler!$C89+ROUND(Görevler!$F89*Görevler!$E89,0)-1,2,1),""))</f>
        <v/>
      </c>
      <c r="W89" s="22" t="str">
        <f aca="false">IF(Görevler!$F89="","",IF(AND(Görevler!$C89&lt;=(W$4+Ayarlar!$C$6-1),Görevler!$D89&gt;=W$4),IF(W$4&lt;=Görevler!$C89+ROUND(Görevler!$F89*Görevler!$E89,0)-1,2,1),""))</f>
        <v/>
      </c>
      <c r="X89" s="22" t="str">
        <f aca="false">IF(Görevler!$F89="","",IF(AND(Görevler!$C89&lt;=(X$4+Ayarlar!$C$6-1),Görevler!$D89&gt;=X$4),IF(X$4&lt;=Görevler!$C89+ROUND(Görevler!$F89*Görevler!$E89,0)-1,2,1),""))</f>
        <v/>
      </c>
      <c r="Y89" s="22" t="str">
        <f aca="false">IF(Görevler!$F89="","",IF(AND(Görevler!$C89&lt;=(Y$4+Ayarlar!$C$6-1),Görevler!$D89&gt;=Y$4),IF(Y$4&lt;=Görevler!$C89+ROUND(Görevler!$F89*Görevler!$E89,0)-1,2,1),""))</f>
        <v/>
      </c>
      <c r="Z89" s="22" t="str">
        <f aca="false">IF(Görevler!$F89="","",IF(AND(Görevler!$C89&lt;=(Z$4+Ayarlar!$C$6-1),Görevler!$D89&gt;=Z$4),IF(Z$4&lt;=Görevler!$C89+ROUND(Görevler!$F89*Görevler!$E89,0)-1,2,1),""))</f>
        <v/>
      </c>
      <c r="AA89" s="22" t="str">
        <f aca="false">IF(Görevler!$F89="","",IF(AND(Görevler!$C89&lt;=(AA$4+Ayarlar!$C$6-1),Görevler!$D89&gt;=AA$4),IF(AA$4&lt;=Görevler!$C89+ROUND(Görevler!$F89*Görevler!$E89,0)-1,2,1),""))</f>
        <v/>
      </c>
      <c r="AB89" s="22" t="str">
        <f aca="false">IF(Görevler!$F89="","",IF(AND(Görevler!$C89&lt;=(AB$4+Ayarlar!$C$6-1),Görevler!$D89&gt;=AB$4),IF(AB$4&lt;=Görevler!$C89+ROUND(Görevler!$F89*Görevler!$E89,0)-1,2,1),""))</f>
        <v/>
      </c>
      <c r="AC89" s="22" t="str">
        <f aca="false">IF(Görevler!$F89="","",IF(AND(Görevler!$C89&lt;=(AC$4+Ayarlar!$C$6-1),Görevler!$D89&gt;=AC$4),IF(AC$4&lt;=Görevler!$C89+ROUND(Görevler!$F89*Görevler!$E89,0)-1,2,1),""))</f>
        <v/>
      </c>
      <c r="AD89" s="22" t="str">
        <f aca="false">IF(Görevler!$F89="","",IF(AND(Görevler!$C89&lt;=(AD$4+Ayarlar!$C$6-1),Görevler!$D89&gt;=AD$4),IF(AD$4&lt;=Görevler!$C89+ROUND(Görevler!$F89*Görevler!$E89,0)-1,2,1),""))</f>
        <v/>
      </c>
      <c r="AE89" s="22" t="str">
        <f aca="false">IF(Görevler!$F89="","",IF(AND(Görevler!$C89&lt;=(AE$4+Ayarlar!$C$6-1),Görevler!$D89&gt;=AE$4),IF(AE$4&lt;=Görevler!$C89+ROUND(Görevler!$F89*Görevler!$E89,0)-1,2,1),""))</f>
        <v/>
      </c>
      <c r="AF89" s="22" t="str">
        <f aca="false">IF(Görevler!$F89="","",IF(AND(Görevler!$C89&lt;=(AF$4+Ayarlar!$C$6-1),Görevler!$D89&gt;=AF$4),IF(AF$4&lt;=Görevler!$C89+ROUND(Görevler!$F89*Görevler!$E89,0)-1,2,1),""))</f>
        <v/>
      </c>
      <c r="AG89" s="22" t="str">
        <f aca="false">IF(Görevler!$F89="","",IF(AND(Görevler!$C89&lt;=(AG$4+Ayarlar!$C$6-1),Görevler!$D89&gt;=AG$4),IF(AG$4&lt;=Görevler!$C89+ROUND(Görevler!$F89*Görevler!$E89,0)-1,2,1),""))</f>
        <v/>
      </c>
      <c r="AH89" s="22" t="str">
        <f aca="false">IF(Görevler!$F89="","",IF(AND(Görevler!$C89&lt;=(AH$4+Ayarlar!$C$6-1),Görevler!$D89&gt;=AH$4),IF(AH$4&lt;=Görevler!$C89+ROUND(Görevler!$F89*Görevler!$E89,0)-1,2,1),""))</f>
        <v/>
      </c>
      <c r="AI89" s="22" t="str">
        <f aca="false">IF(Görevler!$F89="","",IF(AND(Görevler!$C89&lt;=(AI$4+Ayarlar!$C$6-1),Görevler!$D89&gt;=AI$4),IF(AI$4&lt;=Görevler!$C89+ROUND(Görevler!$F89*Görevler!$E89,0)-1,2,1),""))</f>
        <v/>
      </c>
      <c r="AJ89" s="22" t="str">
        <f aca="false">IF(Görevler!$F89="","",IF(AND(Görevler!$C89&lt;=(AJ$4+Ayarlar!$C$6-1),Görevler!$D89&gt;=AJ$4),IF(AJ$4&lt;=Görevler!$C89+ROUND(Görevler!$F89*Görevler!$E89,0)-1,2,1),""))</f>
        <v/>
      </c>
      <c r="AK89" s="22" t="str">
        <f aca="false">IF(Görevler!$F89="","",IF(AND(Görevler!$C89&lt;=(AK$4+Ayarlar!$C$6-1),Görevler!$D89&gt;=AK$4),IF(AK$4&lt;=Görevler!$C89+ROUND(Görevler!$F89*Görevler!$E89,0)-1,2,1),""))</f>
        <v/>
      </c>
      <c r="AL89" s="22" t="str">
        <f aca="false">IF(Görevler!$F89="","",IF(AND(Görevler!$C89&lt;=(AL$4+Ayarlar!$C$6-1),Görevler!$D89&gt;=AL$4),IF(AL$4&lt;=Görevler!$C89+ROUND(Görevler!$F89*Görevler!$E89,0)-1,2,1),""))</f>
        <v/>
      </c>
      <c r="AM89" s="22" t="str">
        <f aca="false">IF(Görevler!$F89="","",IF(AND(Görevler!$C89&lt;=(AM$4+Ayarlar!$C$6-1),Görevler!$D89&gt;=AM$4),IF(AM$4&lt;=Görevler!$C89+ROUND(Görevler!$F89*Görevler!$E89,0)-1,2,1),""))</f>
        <v/>
      </c>
      <c r="AN89" s="22" t="str">
        <f aca="false">IF(Görevler!$F89="","",IF(AND(Görevler!$C89&lt;=(AN$4+Ayarlar!$C$6-1),Görevler!$D89&gt;=AN$4),IF(AN$4&lt;=Görevler!$C89+ROUND(Görevler!$F89*Görevler!$E89,0)-1,2,1),""))</f>
        <v/>
      </c>
      <c r="AO89" s="22" t="str">
        <f aca="false">IF(Görevler!$F89="","",IF(AND(Görevler!$C89&lt;=(AO$4+Ayarlar!$C$6-1),Görevler!$D89&gt;=AO$4),IF(AO$4&lt;=Görevler!$C89+ROUND(Görevler!$F89*Görevler!$E89,0)-1,2,1),""))</f>
        <v/>
      </c>
      <c r="AP89" s="22" t="str">
        <f aca="false">IF(Görevler!$F89="","",IF(AND(Görevler!$C89&lt;=(AP$4+Ayarlar!$C$6-1),Görevler!$D89&gt;=AP$4),IF(AP$4&lt;=Görevler!$C89+ROUND(Görevler!$F89*Görevler!$E89,0)-1,2,1),""))</f>
        <v/>
      </c>
      <c r="AQ89" s="22" t="str">
        <f aca="false">IF(Görevler!$F89="","",IF(AND(Görevler!$C89&lt;=(AQ$4+Ayarlar!$C$6-1),Görevler!$D89&gt;=AQ$4),IF(AQ$4&lt;=Görevler!$C89+ROUND(Görevler!$F89*Görevler!$E89,0)-1,2,1),""))</f>
        <v/>
      </c>
      <c r="AR89" s="22" t="str">
        <f aca="false">IF(Görevler!$F89="","",IF(AND(Görevler!$C89&lt;=(AR$4+Ayarlar!$C$6-1),Görevler!$D89&gt;=AR$4),IF(AR$4&lt;=Görevler!$C89+ROUND(Görevler!$F89*Görevler!$E89,0)-1,2,1),""))</f>
        <v/>
      </c>
      <c r="AS89" s="22" t="str">
        <f aca="false">IF(Görevler!$F89="","",IF(AND(Görevler!$C89&lt;=(AS$4+Ayarlar!$C$6-1),Görevler!$D89&gt;=AS$4),IF(AS$4&lt;=Görevler!$C89+ROUND(Görevler!$F89*Görevler!$E89,0)-1,2,1),""))</f>
        <v/>
      </c>
      <c r="AT89" s="22" t="str">
        <f aca="false">IF(Görevler!$F89="","",IF(AND(Görevler!$C89&lt;=(AT$4+Ayarlar!$C$6-1),Görevler!$D89&gt;=AT$4),IF(AT$4&lt;=Görevler!$C89+ROUND(Görevler!$F89*Görevler!$E89,0)-1,2,1),""))</f>
        <v/>
      </c>
      <c r="AU89" s="22" t="str">
        <f aca="false">IF(Görevler!$F89="","",IF(AND(Görevler!$C89&lt;=(AU$4+Ayarlar!$C$6-1),Görevler!$D89&gt;=AU$4),IF(AU$4&lt;=Görevler!$C89+ROUND(Görevler!$F89*Görevler!$E89,0)-1,2,1),""))</f>
        <v/>
      </c>
      <c r="AV89" s="22" t="str">
        <f aca="false">IF(Görevler!$F89="","",IF(AND(Görevler!$C89&lt;=(AV$4+Ayarlar!$C$6-1),Görevler!$D89&gt;=AV$4),IF(AV$4&lt;=Görevler!$C89+ROUND(Görevler!$F89*Görevler!$E89,0)-1,2,1),""))</f>
        <v/>
      </c>
      <c r="AW89" s="22" t="str">
        <f aca="false">IF(Görevler!$F89="","",IF(AND(Görevler!$C89&lt;=(AW$4+Ayarlar!$C$6-1),Görevler!$D89&gt;=AW$4),IF(AW$4&lt;=Görevler!$C89+ROUND(Görevler!$F89*Görevler!$E89,0)-1,2,1),""))</f>
        <v/>
      </c>
      <c r="AX89" s="22" t="str">
        <f aca="false">IF(Görevler!$F89="","",IF(AND(Görevler!$C89&lt;=(AX$4+Ayarlar!$C$6-1),Görevler!$D89&gt;=AX$4),IF(AX$4&lt;=Görevler!$C89+ROUND(Görevler!$F89*Görevler!$E89,0)-1,2,1),""))</f>
        <v/>
      </c>
      <c r="AY89" s="22" t="str">
        <f aca="false">IF(Görevler!$F89="","",IF(AND(Görevler!$C89&lt;=(AY$4+Ayarlar!$C$6-1),Görevler!$D89&gt;=AY$4),IF(AY$4&lt;=Görevler!$C89+ROUND(Görevler!$F89*Görevler!$E89,0)-1,2,1),""))</f>
        <v/>
      </c>
      <c r="AZ89" s="22" t="str">
        <f aca="false">IF(Görevler!$F89="","",IF(AND(Görevler!$C89&lt;=(AZ$4+Ayarlar!$C$6-1),Görevler!$D89&gt;=AZ$4),IF(AZ$4&lt;=Görevler!$C89+ROUND(Görevler!$F89*Görevler!$E89,0)-1,2,1),""))</f>
        <v/>
      </c>
      <c r="BA89" s="22" t="str">
        <f aca="false">IF(Görevler!$F89="","",IF(AND(Görevler!$C89&lt;=(BA$4+Ayarlar!$C$6-1),Görevler!$D89&gt;=BA$4),IF(BA$4&lt;=Görevler!$C89+ROUND(Görevler!$F89*Görevler!$E89,0)-1,2,1),""))</f>
        <v/>
      </c>
      <c r="BB89" s="22" t="str">
        <f aca="false">IF(Görevler!$F89="","",IF(AND(Görevler!$C89&lt;=(BB$4+Ayarlar!$C$6-1),Görevler!$D89&gt;=BB$4),IF(BB$4&lt;=Görevler!$C89+ROUND(Görevler!$F89*Görevler!$E89,0)-1,2,1),""))</f>
        <v/>
      </c>
      <c r="BC89" s="22" t="str">
        <f aca="false">IF(Görevler!$F89="","",IF(AND(Görevler!$C89&lt;=(BC$4+Ayarlar!$C$6-1),Görevler!$D89&gt;=BC$4),IF(BC$4&lt;=Görevler!$C89+ROUND(Görevler!$F89*Görevler!$E89,0)-1,2,1),""))</f>
        <v/>
      </c>
      <c r="BD89" s="22" t="str">
        <f aca="false">IF(Görevler!$F89="","",IF(AND(Görevler!$C89&lt;=(BD$4+Ayarlar!$C$6-1),Görevler!$D89&gt;=BD$4),IF(BD$4&lt;=Görevler!$C89+ROUND(Görevler!$F89*Görevler!$E89,0)-1,2,1),""))</f>
        <v/>
      </c>
      <c r="BE89" s="22" t="str">
        <f aca="false">IF(Görevler!$F89="","",IF(AND(Görevler!$C89&lt;=(BE$4+Ayarlar!$C$6-1),Görevler!$D89&gt;=BE$4),IF(BE$4&lt;=Görevler!$C89+ROUND(Görevler!$F89*Görevler!$E89,0)-1,2,1),""))</f>
        <v/>
      </c>
      <c r="BF89" s="22" t="str">
        <f aca="false">IF(Görevler!$F89="","",IF(AND(Görevler!$C89&lt;=(BF$4+Ayarlar!$C$6-1),Görevler!$D89&gt;=BF$4),IF(BF$4&lt;=Görevler!$C89+ROUND(Görevler!$F89*Görevler!$E89,0)-1,2,1),""))</f>
        <v/>
      </c>
      <c r="BG89" s="22" t="str">
        <f aca="false">IF(Görevler!$F89="","",IF(AND(Görevler!$C89&lt;=(BG$4+Ayarlar!$C$6-1),Görevler!$D89&gt;=BG$4),IF(BG$4&lt;=Görevler!$C89+ROUND(Görevler!$F89*Görevler!$E89,0)-1,2,1),""))</f>
        <v/>
      </c>
      <c r="BH89" s="22" t="str">
        <f aca="false">IF(Görevler!$F89="","",IF(AND(Görevler!$C89&lt;=(BH$4+Ayarlar!$C$6-1),Görevler!$D89&gt;=BH$4),IF(BH$4&lt;=Görevler!$C89+ROUND(Görevler!$F89*Görevler!$E89,0)-1,2,1),""))</f>
        <v/>
      </c>
      <c r="BI89" s="22" t="str">
        <f aca="false">IF(Görevler!$F89="","",IF(AND(Görevler!$C89&lt;=(BI$4+Ayarlar!$C$6-1),Görevler!$D89&gt;=BI$4),IF(BI$4&lt;=Görevler!$C89+ROUND(Görevler!$F89*Görevler!$E89,0)-1,2,1),""))</f>
        <v/>
      </c>
      <c r="BJ89" s="22" t="str">
        <f aca="false">IF(Görevler!$F89="","",IF(AND(Görevler!$C89&lt;=(BJ$4+Ayarlar!$C$6-1),Görevler!$D89&gt;=BJ$4),IF(BJ$4&lt;=Görevler!$C89+ROUND(Görevler!$F89*Görevler!$E89,0)-1,2,1),""))</f>
        <v/>
      </c>
    </row>
    <row r="90" customFormat="false" ht="15" hidden="false" customHeight="false" outlineLevel="0" collapsed="false">
      <c r="A90" s="21" t="str">
        <f aca="false">IF(Görevler!A90="","",Görevler!A90)</f>
        <v/>
      </c>
      <c r="B90" s="21" t="str">
        <f aca="false">IF(Görevler!A90="","",Görevler!B90&amp;"")</f>
        <v/>
      </c>
      <c r="C90" s="22" t="str">
        <f aca="false">IF(Görevler!$F90="","",IF(AND(Görevler!$C90&lt;=(C$4+Ayarlar!$C$6-1),Görevler!$D90&gt;=C$4),IF(C$4&lt;=Görevler!$C90+ROUND(Görevler!$F90*Görevler!$E90,0)-1,2,1),""))</f>
        <v/>
      </c>
      <c r="D90" s="22" t="str">
        <f aca="false">IF(Görevler!$F90="","",IF(AND(Görevler!$C90&lt;=(D$4+Ayarlar!$C$6-1),Görevler!$D90&gt;=D$4),IF(D$4&lt;=Görevler!$C90+ROUND(Görevler!$F90*Görevler!$E90,0)-1,2,1),""))</f>
        <v/>
      </c>
      <c r="E90" s="22" t="str">
        <f aca="false">IF(Görevler!$F90="","",IF(AND(Görevler!$C90&lt;=(E$4+Ayarlar!$C$6-1),Görevler!$D90&gt;=E$4),IF(E$4&lt;=Görevler!$C90+ROUND(Görevler!$F90*Görevler!$E90,0)-1,2,1),""))</f>
        <v/>
      </c>
      <c r="F90" s="22" t="str">
        <f aca="false">IF(Görevler!$F90="","",IF(AND(Görevler!$C90&lt;=(F$4+Ayarlar!$C$6-1),Görevler!$D90&gt;=F$4),IF(F$4&lt;=Görevler!$C90+ROUND(Görevler!$F90*Görevler!$E90,0)-1,2,1),""))</f>
        <v/>
      </c>
      <c r="G90" s="22" t="str">
        <f aca="false">IF(Görevler!$F90="","",IF(AND(Görevler!$C90&lt;=(G$4+Ayarlar!$C$6-1),Görevler!$D90&gt;=G$4),IF(G$4&lt;=Görevler!$C90+ROUND(Görevler!$F90*Görevler!$E90,0)-1,2,1),""))</f>
        <v/>
      </c>
      <c r="H90" s="22" t="str">
        <f aca="false">IF(Görevler!$F90="","",IF(AND(Görevler!$C90&lt;=(H$4+Ayarlar!$C$6-1),Görevler!$D90&gt;=H$4),IF(H$4&lt;=Görevler!$C90+ROUND(Görevler!$F90*Görevler!$E90,0)-1,2,1),""))</f>
        <v/>
      </c>
      <c r="I90" s="22" t="str">
        <f aca="false">IF(Görevler!$F90="","",IF(AND(Görevler!$C90&lt;=(I$4+Ayarlar!$C$6-1),Görevler!$D90&gt;=I$4),IF(I$4&lt;=Görevler!$C90+ROUND(Görevler!$F90*Görevler!$E90,0)-1,2,1),""))</f>
        <v/>
      </c>
      <c r="J90" s="22" t="str">
        <f aca="false">IF(Görevler!$F90="","",IF(AND(Görevler!$C90&lt;=(J$4+Ayarlar!$C$6-1),Görevler!$D90&gt;=J$4),IF(J$4&lt;=Görevler!$C90+ROUND(Görevler!$F90*Görevler!$E90,0)-1,2,1),""))</f>
        <v/>
      </c>
      <c r="K90" s="22" t="str">
        <f aca="false">IF(Görevler!$F90="","",IF(AND(Görevler!$C90&lt;=(K$4+Ayarlar!$C$6-1),Görevler!$D90&gt;=K$4),IF(K$4&lt;=Görevler!$C90+ROUND(Görevler!$F90*Görevler!$E90,0)-1,2,1),""))</f>
        <v/>
      </c>
      <c r="L90" s="22" t="str">
        <f aca="false">IF(Görevler!$F90="","",IF(AND(Görevler!$C90&lt;=(L$4+Ayarlar!$C$6-1),Görevler!$D90&gt;=L$4),IF(L$4&lt;=Görevler!$C90+ROUND(Görevler!$F90*Görevler!$E90,0)-1,2,1),""))</f>
        <v/>
      </c>
      <c r="M90" s="22" t="str">
        <f aca="false">IF(Görevler!$F90="","",IF(AND(Görevler!$C90&lt;=(M$4+Ayarlar!$C$6-1),Görevler!$D90&gt;=M$4),IF(M$4&lt;=Görevler!$C90+ROUND(Görevler!$F90*Görevler!$E90,0)-1,2,1),""))</f>
        <v/>
      </c>
      <c r="N90" s="22" t="str">
        <f aca="false">IF(Görevler!$F90="","",IF(AND(Görevler!$C90&lt;=(N$4+Ayarlar!$C$6-1),Görevler!$D90&gt;=N$4),IF(N$4&lt;=Görevler!$C90+ROUND(Görevler!$F90*Görevler!$E90,0)-1,2,1),""))</f>
        <v/>
      </c>
      <c r="O90" s="22" t="str">
        <f aca="false">IF(Görevler!$F90="","",IF(AND(Görevler!$C90&lt;=(O$4+Ayarlar!$C$6-1),Görevler!$D90&gt;=O$4),IF(O$4&lt;=Görevler!$C90+ROUND(Görevler!$F90*Görevler!$E90,0)-1,2,1),""))</f>
        <v/>
      </c>
      <c r="P90" s="22" t="str">
        <f aca="false">IF(Görevler!$F90="","",IF(AND(Görevler!$C90&lt;=(P$4+Ayarlar!$C$6-1),Görevler!$D90&gt;=P$4),IF(P$4&lt;=Görevler!$C90+ROUND(Görevler!$F90*Görevler!$E90,0)-1,2,1),""))</f>
        <v/>
      </c>
      <c r="Q90" s="22" t="str">
        <f aca="false">IF(Görevler!$F90="","",IF(AND(Görevler!$C90&lt;=(Q$4+Ayarlar!$C$6-1),Görevler!$D90&gt;=Q$4),IF(Q$4&lt;=Görevler!$C90+ROUND(Görevler!$F90*Görevler!$E90,0)-1,2,1),""))</f>
        <v/>
      </c>
      <c r="R90" s="22" t="str">
        <f aca="false">IF(Görevler!$F90="","",IF(AND(Görevler!$C90&lt;=(R$4+Ayarlar!$C$6-1),Görevler!$D90&gt;=R$4),IF(R$4&lt;=Görevler!$C90+ROUND(Görevler!$F90*Görevler!$E90,0)-1,2,1),""))</f>
        <v/>
      </c>
      <c r="S90" s="22" t="str">
        <f aca="false">IF(Görevler!$F90="","",IF(AND(Görevler!$C90&lt;=(S$4+Ayarlar!$C$6-1),Görevler!$D90&gt;=S$4),IF(S$4&lt;=Görevler!$C90+ROUND(Görevler!$F90*Görevler!$E90,0)-1,2,1),""))</f>
        <v/>
      </c>
      <c r="T90" s="22" t="str">
        <f aca="false">IF(Görevler!$F90="","",IF(AND(Görevler!$C90&lt;=(T$4+Ayarlar!$C$6-1),Görevler!$D90&gt;=T$4),IF(T$4&lt;=Görevler!$C90+ROUND(Görevler!$F90*Görevler!$E90,0)-1,2,1),""))</f>
        <v/>
      </c>
      <c r="U90" s="22" t="str">
        <f aca="false">IF(Görevler!$F90="","",IF(AND(Görevler!$C90&lt;=(U$4+Ayarlar!$C$6-1),Görevler!$D90&gt;=U$4),IF(U$4&lt;=Görevler!$C90+ROUND(Görevler!$F90*Görevler!$E90,0)-1,2,1),""))</f>
        <v/>
      </c>
      <c r="V90" s="22" t="str">
        <f aca="false">IF(Görevler!$F90="","",IF(AND(Görevler!$C90&lt;=(V$4+Ayarlar!$C$6-1),Görevler!$D90&gt;=V$4),IF(V$4&lt;=Görevler!$C90+ROUND(Görevler!$F90*Görevler!$E90,0)-1,2,1),""))</f>
        <v/>
      </c>
      <c r="W90" s="22" t="str">
        <f aca="false">IF(Görevler!$F90="","",IF(AND(Görevler!$C90&lt;=(W$4+Ayarlar!$C$6-1),Görevler!$D90&gt;=W$4),IF(W$4&lt;=Görevler!$C90+ROUND(Görevler!$F90*Görevler!$E90,0)-1,2,1),""))</f>
        <v/>
      </c>
      <c r="X90" s="22" t="str">
        <f aca="false">IF(Görevler!$F90="","",IF(AND(Görevler!$C90&lt;=(X$4+Ayarlar!$C$6-1),Görevler!$D90&gt;=X$4),IF(X$4&lt;=Görevler!$C90+ROUND(Görevler!$F90*Görevler!$E90,0)-1,2,1),""))</f>
        <v/>
      </c>
      <c r="Y90" s="22" t="str">
        <f aca="false">IF(Görevler!$F90="","",IF(AND(Görevler!$C90&lt;=(Y$4+Ayarlar!$C$6-1),Görevler!$D90&gt;=Y$4),IF(Y$4&lt;=Görevler!$C90+ROUND(Görevler!$F90*Görevler!$E90,0)-1,2,1),""))</f>
        <v/>
      </c>
      <c r="Z90" s="22" t="str">
        <f aca="false">IF(Görevler!$F90="","",IF(AND(Görevler!$C90&lt;=(Z$4+Ayarlar!$C$6-1),Görevler!$D90&gt;=Z$4),IF(Z$4&lt;=Görevler!$C90+ROUND(Görevler!$F90*Görevler!$E90,0)-1,2,1),""))</f>
        <v/>
      </c>
      <c r="AA90" s="22" t="str">
        <f aca="false">IF(Görevler!$F90="","",IF(AND(Görevler!$C90&lt;=(AA$4+Ayarlar!$C$6-1),Görevler!$D90&gt;=AA$4),IF(AA$4&lt;=Görevler!$C90+ROUND(Görevler!$F90*Görevler!$E90,0)-1,2,1),""))</f>
        <v/>
      </c>
      <c r="AB90" s="22" t="str">
        <f aca="false">IF(Görevler!$F90="","",IF(AND(Görevler!$C90&lt;=(AB$4+Ayarlar!$C$6-1),Görevler!$D90&gt;=AB$4),IF(AB$4&lt;=Görevler!$C90+ROUND(Görevler!$F90*Görevler!$E90,0)-1,2,1),""))</f>
        <v/>
      </c>
      <c r="AC90" s="22" t="str">
        <f aca="false">IF(Görevler!$F90="","",IF(AND(Görevler!$C90&lt;=(AC$4+Ayarlar!$C$6-1),Görevler!$D90&gt;=AC$4),IF(AC$4&lt;=Görevler!$C90+ROUND(Görevler!$F90*Görevler!$E90,0)-1,2,1),""))</f>
        <v/>
      </c>
      <c r="AD90" s="22" t="str">
        <f aca="false">IF(Görevler!$F90="","",IF(AND(Görevler!$C90&lt;=(AD$4+Ayarlar!$C$6-1),Görevler!$D90&gt;=AD$4),IF(AD$4&lt;=Görevler!$C90+ROUND(Görevler!$F90*Görevler!$E90,0)-1,2,1),""))</f>
        <v/>
      </c>
      <c r="AE90" s="22" t="str">
        <f aca="false">IF(Görevler!$F90="","",IF(AND(Görevler!$C90&lt;=(AE$4+Ayarlar!$C$6-1),Görevler!$D90&gt;=AE$4),IF(AE$4&lt;=Görevler!$C90+ROUND(Görevler!$F90*Görevler!$E90,0)-1,2,1),""))</f>
        <v/>
      </c>
      <c r="AF90" s="22" t="str">
        <f aca="false">IF(Görevler!$F90="","",IF(AND(Görevler!$C90&lt;=(AF$4+Ayarlar!$C$6-1),Görevler!$D90&gt;=AF$4),IF(AF$4&lt;=Görevler!$C90+ROUND(Görevler!$F90*Görevler!$E90,0)-1,2,1),""))</f>
        <v/>
      </c>
      <c r="AG90" s="22" t="str">
        <f aca="false">IF(Görevler!$F90="","",IF(AND(Görevler!$C90&lt;=(AG$4+Ayarlar!$C$6-1),Görevler!$D90&gt;=AG$4),IF(AG$4&lt;=Görevler!$C90+ROUND(Görevler!$F90*Görevler!$E90,0)-1,2,1),""))</f>
        <v/>
      </c>
      <c r="AH90" s="22" t="str">
        <f aca="false">IF(Görevler!$F90="","",IF(AND(Görevler!$C90&lt;=(AH$4+Ayarlar!$C$6-1),Görevler!$D90&gt;=AH$4),IF(AH$4&lt;=Görevler!$C90+ROUND(Görevler!$F90*Görevler!$E90,0)-1,2,1),""))</f>
        <v/>
      </c>
      <c r="AI90" s="22" t="str">
        <f aca="false">IF(Görevler!$F90="","",IF(AND(Görevler!$C90&lt;=(AI$4+Ayarlar!$C$6-1),Görevler!$D90&gt;=AI$4),IF(AI$4&lt;=Görevler!$C90+ROUND(Görevler!$F90*Görevler!$E90,0)-1,2,1),""))</f>
        <v/>
      </c>
      <c r="AJ90" s="22" t="str">
        <f aca="false">IF(Görevler!$F90="","",IF(AND(Görevler!$C90&lt;=(AJ$4+Ayarlar!$C$6-1),Görevler!$D90&gt;=AJ$4),IF(AJ$4&lt;=Görevler!$C90+ROUND(Görevler!$F90*Görevler!$E90,0)-1,2,1),""))</f>
        <v/>
      </c>
      <c r="AK90" s="22" t="str">
        <f aca="false">IF(Görevler!$F90="","",IF(AND(Görevler!$C90&lt;=(AK$4+Ayarlar!$C$6-1),Görevler!$D90&gt;=AK$4),IF(AK$4&lt;=Görevler!$C90+ROUND(Görevler!$F90*Görevler!$E90,0)-1,2,1),""))</f>
        <v/>
      </c>
      <c r="AL90" s="22" t="str">
        <f aca="false">IF(Görevler!$F90="","",IF(AND(Görevler!$C90&lt;=(AL$4+Ayarlar!$C$6-1),Görevler!$D90&gt;=AL$4),IF(AL$4&lt;=Görevler!$C90+ROUND(Görevler!$F90*Görevler!$E90,0)-1,2,1),""))</f>
        <v/>
      </c>
      <c r="AM90" s="22" t="str">
        <f aca="false">IF(Görevler!$F90="","",IF(AND(Görevler!$C90&lt;=(AM$4+Ayarlar!$C$6-1),Görevler!$D90&gt;=AM$4),IF(AM$4&lt;=Görevler!$C90+ROUND(Görevler!$F90*Görevler!$E90,0)-1,2,1),""))</f>
        <v/>
      </c>
      <c r="AN90" s="22" t="str">
        <f aca="false">IF(Görevler!$F90="","",IF(AND(Görevler!$C90&lt;=(AN$4+Ayarlar!$C$6-1),Görevler!$D90&gt;=AN$4),IF(AN$4&lt;=Görevler!$C90+ROUND(Görevler!$F90*Görevler!$E90,0)-1,2,1),""))</f>
        <v/>
      </c>
      <c r="AO90" s="22" t="str">
        <f aca="false">IF(Görevler!$F90="","",IF(AND(Görevler!$C90&lt;=(AO$4+Ayarlar!$C$6-1),Görevler!$D90&gt;=AO$4),IF(AO$4&lt;=Görevler!$C90+ROUND(Görevler!$F90*Görevler!$E90,0)-1,2,1),""))</f>
        <v/>
      </c>
      <c r="AP90" s="22" t="str">
        <f aca="false">IF(Görevler!$F90="","",IF(AND(Görevler!$C90&lt;=(AP$4+Ayarlar!$C$6-1),Görevler!$D90&gt;=AP$4),IF(AP$4&lt;=Görevler!$C90+ROUND(Görevler!$F90*Görevler!$E90,0)-1,2,1),""))</f>
        <v/>
      </c>
      <c r="AQ90" s="22" t="str">
        <f aca="false">IF(Görevler!$F90="","",IF(AND(Görevler!$C90&lt;=(AQ$4+Ayarlar!$C$6-1),Görevler!$D90&gt;=AQ$4),IF(AQ$4&lt;=Görevler!$C90+ROUND(Görevler!$F90*Görevler!$E90,0)-1,2,1),""))</f>
        <v/>
      </c>
      <c r="AR90" s="22" t="str">
        <f aca="false">IF(Görevler!$F90="","",IF(AND(Görevler!$C90&lt;=(AR$4+Ayarlar!$C$6-1),Görevler!$D90&gt;=AR$4),IF(AR$4&lt;=Görevler!$C90+ROUND(Görevler!$F90*Görevler!$E90,0)-1,2,1),""))</f>
        <v/>
      </c>
      <c r="AS90" s="22" t="str">
        <f aca="false">IF(Görevler!$F90="","",IF(AND(Görevler!$C90&lt;=(AS$4+Ayarlar!$C$6-1),Görevler!$D90&gt;=AS$4),IF(AS$4&lt;=Görevler!$C90+ROUND(Görevler!$F90*Görevler!$E90,0)-1,2,1),""))</f>
        <v/>
      </c>
      <c r="AT90" s="22" t="str">
        <f aca="false">IF(Görevler!$F90="","",IF(AND(Görevler!$C90&lt;=(AT$4+Ayarlar!$C$6-1),Görevler!$D90&gt;=AT$4),IF(AT$4&lt;=Görevler!$C90+ROUND(Görevler!$F90*Görevler!$E90,0)-1,2,1),""))</f>
        <v/>
      </c>
      <c r="AU90" s="22" t="str">
        <f aca="false">IF(Görevler!$F90="","",IF(AND(Görevler!$C90&lt;=(AU$4+Ayarlar!$C$6-1),Görevler!$D90&gt;=AU$4),IF(AU$4&lt;=Görevler!$C90+ROUND(Görevler!$F90*Görevler!$E90,0)-1,2,1),""))</f>
        <v/>
      </c>
      <c r="AV90" s="22" t="str">
        <f aca="false">IF(Görevler!$F90="","",IF(AND(Görevler!$C90&lt;=(AV$4+Ayarlar!$C$6-1),Görevler!$D90&gt;=AV$4),IF(AV$4&lt;=Görevler!$C90+ROUND(Görevler!$F90*Görevler!$E90,0)-1,2,1),""))</f>
        <v/>
      </c>
      <c r="AW90" s="22" t="str">
        <f aca="false">IF(Görevler!$F90="","",IF(AND(Görevler!$C90&lt;=(AW$4+Ayarlar!$C$6-1),Görevler!$D90&gt;=AW$4),IF(AW$4&lt;=Görevler!$C90+ROUND(Görevler!$F90*Görevler!$E90,0)-1,2,1),""))</f>
        <v/>
      </c>
      <c r="AX90" s="22" t="str">
        <f aca="false">IF(Görevler!$F90="","",IF(AND(Görevler!$C90&lt;=(AX$4+Ayarlar!$C$6-1),Görevler!$D90&gt;=AX$4),IF(AX$4&lt;=Görevler!$C90+ROUND(Görevler!$F90*Görevler!$E90,0)-1,2,1),""))</f>
        <v/>
      </c>
      <c r="AY90" s="22" t="str">
        <f aca="false">IF(Görevler!$F90="","",IF(AND(Görevler!$C90&lt;=(AY$4+Ayarlar!$C$6-1),Görevler!$D90&gt;=AY$4),IF(AY$4&lt;=Görevler!$C90+ROUND(Görevler!$F90*Görevler!$E90,0)-1,2,1),""))</f>
        <v/>
      </c>
      <c r="AZ90" s="22" t="str">
        <f aca="false">IF(Görevler!$F90="","",IF(AND(Görevler!$C90&lt;=(AZ$4+Ayarlar!$C$6-1),Görevler!$D90&gt;=AZ$4),IF(AZ$4&lt;=Görevler!$C90+ROUND(Görevler!$F90*Görevler!$E90,0)-1,2,1),""))</f>
        <v/>
      </c>
      <c r="BA90" s="22" t="str">
        <f aca="false">IF(Görevler!$F90="","",IF(AND(Görevler!$C90&lt;=(BA$4+Ayarlar!$C$6-1),Görevler!$D90&gt;=BA$4),IF(BA$4&lt;=Görevler!$C90+ROUND(Görevler!$F90*Görevler!$E90,0)-1,2,1),""))</f>
        <v/>
      </c>
      <c r="BB90" s="22" t="str">
        <f aca="false">IF(Görevler!$F90="","",IF(AND(Görevler!$C90&lt;=(BB$4+Ayarlar!$C$6-1),Görevler!$D90&gt;=BB$4),IF(BB$4&lt;=Görevler!$C90+ROUND(Görevler!$F90*Görevler!$E90,0)-1,2,1),""))</f>
        <v/>
      </c>
      <c r="BC90" s="22" t="str">
        <f aca="false">IF(Görevler!$F90="","",IF(AND(Görevler!$C90&lt;=(BC$4+Ayarlar!$C$6-1),Görevler!$D90&gt;=BC$4),IF(BC$4&lt;=Görevler!$C90+ROUND(Görevler!$F90*Görevler!$E90,0)-1,2,1),""))</f>
        <v/>
      </c>
      <c r="BD90" s="22" t="str">
        <f aca="false">IF(Görevler!$F90="","",IF(AND(Görevler!$C90&lt;=(BD$4+Ayarlar!$C$6-1),Görevler!$D90&gt;=BD$4),IF(BD$4&lt;=Görevler!$C90+ROUND(Görevler!$F90*Görevler!$E90,0)-1,2,1),""))</f>
        <v/>
      </c>
      <c r="BE90" s="22" t="str">
        <f aca="false">IF(Görevler!$F90="","",IF(AND(Görevler!$C90&lt;=(BE$4+Ayarlar!$C$6-1),Görevler!$D90&gt;=BE$4),IF(BE$4&lt;=Görevler!$C90+ROUND(Görevler!$F90*Görevler!$E90,0)-1,2,1),""))</f>
        <v/>
      </c>
      <c r="BF90" s="22" t="str">
        <f aca="false">IF(Görevler!$F90="","",IF(AND(Görevler!$C90&lt;=(BF$4+Ayarlar!$C$6-1),Görevler!$D90&gt;=BF$4),IF(BF$4&lt;=Görevler!$C90+ROUND(Görevler!$F90*Görevler!$E90,0)-1,2,1),""))</f>
        <v/>
      </c>
      <c r="BG90" s="22" t="str">
        <f aca="false">IF(Görevler!$F90="","",IF(AND(Görevler!$C90&lt;=(BG$4+Ayarlar!$C$6-1),Görevler!$D90&gt;=BG$4),IF(BG$4&lt;=Görevler!$C90+ROUND(Görevler!$F90*Görevler!$E90,0)-1,2,1),""))</f>
        <v/>
      </c>
      <c r="BH90" s="22" t="str">
        <f aca="false">IF(Görevler!$F90="","",IF(AND(Görevler!$C90&lt;=(BH$4+Ayarlar!$C$6-1),Görevler!$D90&gt;=BH$4),IF(BH$4&lt;=Görevler!$C90+ROUND(Görevler!$F90*Görevler!$E90,0)-1,2,1),""))</f>
        <v/>
      </c>
      <c r="BI90" s="22" t="str">
        <f aca="false">IF(Görevler!$F90="","",IF(AND(Görevler!$C90&lt;=(BI$4+Ayarlar!$C$6-1),Görevler!$D90&gt;=BI$4),IF(BI$4&lt;=Görevler!$C90+ROUND(Görevler!$F90*Görevler!$E90,0)-1,2,1),""))</f>
        <v/>
      </c>
      <c r="BJ90" s="22" t="str">
        <f aca="false">IF(Görevler!$F90="","",IF(AND(Görevler!$C90&lt;=(BJ$4+Ayarlar!$C$6-1),Görevler!$D90&gt;=BJ$4),IF(BJ$4&lt;=Görevler!$C90+ROUND(Görevler!$F90*Görevler!$E90,0)-1,2,1),""))</f>
        <v/>
      </c>
    </row>
    <row r="91" customFormat="false" ht="15" hidden="false" customHeight="false" outlineLevel="0" collapsed="false">
      <c r="A91" s="21" t="str">
        <f aca="false">IF(Görevler!A91="","",Görevler!A91)</f>
        <v/>
      </c>
      <c r="B91" s="21" t="str">
        <f aca="false">IF(Görevler!A91="","",Görevler!B91&amp;"")</f>
        <v/>
      </c>
      <c r="C91" s="22" t="str">
        <f aca="false">IF(Görevler!$F91="","",IF(AND(Görevler!$C91&lt;=(C$4+Ayarlar!$C$6-1),Görevler!$D91&gt;=C$4),IF(C$4&lt;=Görevler!$C91+ROUND(Görevler!$F91*Görevler!$E91,0)-1,2,1),""))</f>
        <v/>
      </c>
      <c r="D91" s="22" t="str">
        <f aca="false">IF(Görevler!$F91="","",IF(AND(Görevler!$C91&lt;=(D$4+Ayarlar!$C$6-1),Görevler!$D91&gt;=D$4),IF(D$4&lt;=Görevler!$C91+ROUND(Görevler!$F91*Görevler!$E91,0)-1,2,1),""))</f>
        <v/>
      </c>
      <c r="E91" s="22" t="str">
        <f aca="false">IF(Görevler!$F91="","",IF(AND(Görevler!$C91&lt;=(E$4+Ayarlar!$C$6-1),Görevler!$D91&gt;=E$4),IF(E$4&lt;=Görevler!$C91+ROUND(Görevler!$F91*Görevler!$E91,0)-1,2,1),""))</f>
        <v/>
      </c>
      <c r="F91" s="22" t="str">
        <f aca="false">IF(Görevler!$F91="","",IF(AND(Görevler!$C91&lt;=(F$4+Ayarlar!$C$6-1),Görevler!$D91&gt;=F$4),IF(F$4&lt;=Görevler!$C91+ROUND(Görevler!$F91*Görevler!$E91,0)-1,2,1),""))</f>
        <v/>
      </c>
      <c r="G91" s="22" t="str">
        <f aca="false">IF(Görevler!$F91="","",IF(AND(Görevler!$C91&lt;=(G$4+Ayarlar!$C$6-1),Görevler!$D91&gt;=G$4),IF(G$4&lt;=Görevler!$C91+ROUND(Görevler!$F91*Görevler!$E91,0)-1,2,1),""))</f>
        <v/>
      </c>
      <c r="H91" s="22" t="str">
        <f aca="false">IF(Görevler!$F91="","",IF(AND(Görevler!$C91&lt;=(H$4+Ayarlar!$C$6-1),Görevler!$D91&gt;=H$4),IF(H$4&lt;=Görevler!$C91+ROUND(Görevler!$F91*Görevler!$E91,0)-1,2,1),""))</f>
        <v/>
      </c>
      <c r="I91" s="22" t="str">
        <f aca="false">IF(Görevler!$F91="","",IF(AND(Görevler!$C91&lt;=(I$4+Ayarlar!$C$6-1),Görevler!$D91&gt;=I$4),IF(I$4&lt;=Görevler!$C91+ROUND(Görevler!$F91*Görevler!$E91,0)-1,2,1),""))</f>
        <v/>
      </c>
      <c r="J91" s="22" t="str">
        <f aca="false">IF(Görevler!$F91="","",IF(AND(Görevler!$C91&lt;=(J$4+Ayarlar!$C$6-1),Görevler!$D91&gt;=J$4),IF(J$4&lt;=Görevler!$C91+ROUND(Görevler!$F91*Görevler!$E91,0)-1,2,1),""))</f>
        <v/>
      </c>
      <c r="K91" s="22" t="str">
        <f aca="false">IF(Görevler!$F91="","",IF(AND(Görevler!$C91&lt;=(K$4+Ayarlar!$C$6-1),Görevler!$D91&gt;=K$4),IF(K$4&lt;=Görevler!$C91+ROUND(Görevler!$F91*Görevler!$E91,0)-1,2,1),""))</f>
        <v/>
      </c>
      <c r="L91" s="22" t="str">
        <f aca="false">IF(Görevler!$F91="","",IF(AND(Görevler!$C91&lt;=(L$4+Ayarlar!$C$6-1),Görevler!$D91&gt;=L$4),IF(L$4&lt;=Görevler!$C91+ROUND(Görevler!$F91*Görevler!$E91,0)-1,2,1),""))</f>
        <v/>
      </c>
      <c r="M91" s="22" t="str">
        <f aca="false">IF(Görevler!$F91="","",IF(AND(Görevler!$C91&lt;=(M$4+Ayarlar!$C$6-1),Görevler!$D91&gt;=M$4),IF(M$4&lt;=Görevler!$C91+ROUND(Görevler!$F91*Görevler!$E91,0)-1,2,1),""))</f>
        <v/>
      </c>
      <c r="N91" s="22" t="str">
        <f aca="false">IF(Görevler!$F91="","",IF(AND(Görevler!$C91&lt;=(N$4+Ayarlar!$C$6-1),Görevler!$D91&gt;=N$4),IF(N$4&lt;=Görevler!$C91+ROUND(Görevler!$F91*Görevler!$E91,0)-1,2,1),""))</f>
        <v/>
      </c>
      <c r="O91" s="22" t="str">
        <f aca="false">IF(Görevler!$F91="","",IF(AND(Görevler!$C91&lt;=(O$4+Ayarlar!$C$6-1),Görevler!$D91&gt;=O$4),IF(O$4&lt;=Görevler!$C91+ROUND(Görevler!$F91*Görevler!$E91,0)-1,2,1),""))</f>
        <v/>
      </c>
      <c r="P91" s="22" t="str">
        <f aca="false">IF(Görevler!$F91="","",IF(AND(Görevler!$C91&lt;=(P$4+Ayarlar!$C$6-1),Görevler!$D91&gt;=P$4),IF(P$4&lt;=Görevler!$C91+ROUND(Görevler!$F91*Görevler!$E91,0)-1,2,1),""))</f>
        <v/>
      </c>
      <c r="Q91" s="22" t="str">
        <f aca="false">IF(Görevler!$F91="","",IF(AND(Görevler!$C91&lt;=(Q$4+Ayarlar!$C$6-1),Görevler!$D91&gt;=Q$4),IF(Q$4&lt;=Görevler!$C91+ROUND(Görevler!$F91*Görevler!$E91,0)-1,2,1),""))</f>
        <v/>
      </c>
      <c r="R91" s="22" t="str">
        <f aca="false">IF(Görevler!$F91="","",IF(AND(Görevler!$C91&lt;=(R$4+Ayarlar!$C$6-1),Görevler!$D91&gt;=R$4),IF(R$4&lt;=Görevler!$C91+ROUND(Görevler!$F91*Görevler!$E91,0)-1,2,1),""))</f>
        <v/>
      </c>
      <c r="S91" s="22" t="str">
        <f aca="false">IF(Görevler!$F91="","",IF(AND(Görevler!$C91&lt;=(S$4+Ayarlar!$C$6-1),Görevler!$D91&gt;=S$4),IF(S$4&lt;=Görevler!$C91+ROUND(Görevler!$F91*Görevler!$E91,0)-1,2,1),""))</f>
        <v/>
      </c>
      <c r="T91" s="22" t="str">
        <f aca="false">IF(Görevler!$F91="","",IF(AND(Görevler!$C91&lt;=(T$4+Ayarlar!$C$6-1),Görevler!$D91&gt;=T$4),IF(T$4&lt;=Görevler!$C91+ROUND(Görevler!$F91*Görevler!$E91,0)-1,2,1),""))</f>
        <v/>
      </c>
      <c r="U91" s="22" t="str">
        <f aca="false">IF(Görevler!$F91="","",IF(AND(Görevler!$C91&lt;=(U$4+Ayarlar!$C$6-1),Görevler!$D91&gt;=U$4),IF(U$4&lt;=Görevler!$C91+ROUND(Görevler!$F91*Görevler!$E91,0)-1,2,1),""))</f>
        <v/>
      </c>
      <c r="V91" s="22" t="str">
        <f aca="false">IF(Görevler!$F91="","",IF(AND(Görevler!$C91&lt;=(V$4+Ayarlar!$C$6-1),Görevler!$D91&gt;=V$4),IF(V$4&lt;=Görevler!$C91+ROUND(Görevler!$F91*Görevler!$E91,0)-1,2,1),""))</f>
        <v/>
      </c>
      <c r="W91" s="22" t="str">
        <f aca="false">IF(Görevler!$F91="","",IF(AND(Görevler!$C91&lt;=(W$4+Ayarlar!$C$6-1),Görevler!$D91&gt;=W$4),IF(W$4&lt;=Görevler!$C91+ROUND(Görevler!$F91*Görevler!$E91,0)-1,2,1),""))</f>
        <v/>
      </c>
      <c r="X91" s="22" t="str">
        <f aca="false">IF(Görevler!$F91="","",IF(AND(Görevler!$C91&lt;=(X$4+Ayarlar!$C$6-1),Görevler!$D91&gt;=X$4),IF(X$4&lt;=Görevler!$C91+ROUND(Görevler!$F91*Görevler!$E91,0)-1,2,1),""))</f>
        <v/>
      </c>
      <c r="Y91" s="22" t="str">
        <f aca="false">IF(Görevler!$F91="","",IF(AND(Görevler!$C91&lt;=(Y$4+Ayarlar!$C$6-1),Görevler!$D91&gt;=Y$4),IF(Y$4&lt;=Görevler!$C91+ROUND(Görevler!$F91*Görevler!$E91,0)-1,2,1),""))</f>
        <v/>
      </c>
      <c r="Z91" s="22" t="str">
        <f aca="false">IF(Görevler!$F91="","",IF(AND(Görevler!$C91&lt;=(Z$4+Ayarlar!$C$6-1),Görevler!$D91&gt;=Z$4),IF(Z$4&lt;=Görevler!$C91+ROUND(Görevler!$F91*Görevler!$E91,0)-1,2,1),""))</f>
        <v/>
      </c>
      <c r="AA91" s="22" t="str">
        <f aca="false">IF(Görevler!$F91="","",IF(AND(Görevler!$C91&lt;=(AA$4+Ayarlar!$C$6-1),Görevler!$D91&gt;=AA$4),IF(AA$4&lt;=Görevler!$C91+ROUND(Görevler!$F91*Görevler!$E91,0)-1,2,1),""))</f>
        <v/>
      </c>
      <c r="AB91" s="22" t="str">
        <f aca="false">IF(Görevler!$F91="","",IF(AND(Görevler!$C91&lt;=(AB$4+Ayarlar!$C$6-1),Görevler!$D91&gt;=AB$4),IF(AB$4&lt;=Görevler!$C91+ROUND(Görevler!$F91*Görevler!$E91,0)-1,2,1),""))</f>
        <v/>
      </c>
      <c r="AC91" s="22" t="str">
        <f aca="false">IF(Görevler!$F91="","",IF(AND(Görevler!$C91&lt;=(AC$4+Ayarlar!$C$6-1),Görevler!$D91&gt;=AC$4),IF(AC$4&lt;=Görevler!$C91+ROUND(Görevler!$F91*Görevler!$E91,0)-1,2,1),""))</f>
        <v/>
      </c>
      <c r="AD91" s="22" t="str">
        <f aca="false">IF(Görevler!$F91="","",IF(AND(Görevler!$C91&lt;=(AD$4+Ayarlar!$C$6-1),Görevler!$D91&gt;=AD$4),IF(AD$4&lt;=Görevler!$C91+ROUND(Görevler!$F91*Görevler!$E91,0)-1,2,1),""))</f>
        <v/>
      </c>
      <c r="AE91" s="22" t="str">
        <f aca="false">IF(Görevler!$F91="","",IF(AND(Görevler!$C91&lt;=(AE$4+Ayarlar!$C$6-1),Görevler!$D91&gt;=AE$4),IF(AE$4&lt;=Görevler!$C91+ROUND(Görevler!$F91*Görevler!$E91,0)-1,2,1),""))</f>
        <v/>
      </c>
      <c r="AF91" s="22" t="str">
        <f aca="false">IF(Görevler!$F91="","",IF(AND(Görevler!$C91&lt;=(AF$4+Ayarlar!$C$6-1),Görevler!$D91&gt;=AF$4),IF(AF$4&lt;=Görevler!$C91+ROUND(Görevler!$F91*Görevler!$E91,0)-1,2,1),""))</f>
        <v/>
      </c>
      <c r="AG91" s="22" t="str">
        <f aca="false">IF(Görevler!$F91="","",IF(AND(Görevler!$C91&lt;=(AG$4+Ayarlar!$C$6-1),Görevler!$D91&gt;=AG$4),IF(AG$4&lt;=Görevler!$C91+ROUND(Görevler!$F91*Görevler!$E91,0)-1,2,1),""))</f>
        <v/>
      </c>
      <c r="AH91" s="22" t="str">
        <f aca="false">IF(Görevler!$F91="","",IF(AND(Görevler!$C91&lt;=(AH$4+Ayarlar!$C$6-1),Görevler!$D91&gt;=AH$4),IF(AH$4&lt;=Görevler!$C91+ROUND(Görevler!$F91*Görevler!$E91,0)-1,2,1),""))</f>
        <v/>
      </c>
      <c r="AI91" s="22" t="str">
        <f aca="false">IF(Görevler!$F91="","",IF(AND(Görevler!$C91&lt;=(AI$4+Ayarlar!$C$6-1),Görevler!$D91&gt;=AI$4),IF(AI$4&lt;=Görevler!$C91+ROUND(Görevler!$F91*Görevler!$E91,0)-1,2,1),""))</f>
        <v/>
      </c>
      <c r="AJ91" s="22" t="str">
        <f aca="false">IF(Görevler!$F91="","",IF(AND(Görevler!$C91&lt;=(AJ$4+Ayarlar!$C$6-1),Görevler!$D91&gt;=AJ$4),IF(AJ$4&lt;=Görevler!$C91+ROUND(Görevler!$F91*Görevler!$E91,0)-1,2,1),""))</f>
        <v/>
      </c>
      <c r="AK91" s="22" t="str">
        <f aca="false">IF(Görevler!$F91="","",IF(AND(Görevler!$C91&lt;=(AK$4+Ayarlar!$C$6-1),Görevler!$D91&gt;=AK$4),IF(AK$4&lt;=Görevler!$C91+ROUND(Görevler!$F91*Görevler!$E91,0)-1,2,1),""))</f>
        <v/>
      </c>
      <c r="AL91" s="22" t="str">
        <f aca="false">IF(Görevler!$F91="","",IF(AND(Görevler!$C91&lt;=(AL$4+Ayarlar!$C$6-1),Görevler!$D91&gt;=AL$4),IF(AL$4&lt;=Görevler!$C91+ROUND(Görevler!$F91*Görevler!$E91,0)-1,2,1),""))</f>
        <v/>
      </c>
      <c r="AM91" s="22" t="str">
        <f aca="false">IF(Görevler!$F91="","",IF(AND(Görevler!$C91&lt;=(AM$4+Ayarlar!$C$6-1),Görevler!$D91&gt;=AM$4),IF(AM$4&lt;=Görevler!$C91+ROUND(Görevler!$F91*Görevler!$E91,0)-1,2,1),""))</f>
        <v/>
      </c>
      <c r="AN91" s="22" t="str">
        <f aca="false">IF(Görevler!$F91="","",IF(AND(Görevler!$C91&lt;=(AN$4+Ayarlar!$C$6-1),Görevler!$D91&gt;=AN$4),IF(AN$4&lt;=Görevler!$C91+ROUND(Görevler!$F91*Görevler!$E91,0)-1,2,1),""))</f>
        <v/>
      </c>
      <c r="AO91" s="22" t="str">
        <f aca="false">IF(Görevler!$F91="","",IF(AND(Görevler!$C91&lt;=(AO$4+Ayarlar!$C$6-1),Görevler!$D91&gt;=AO$4),IF(AO$4&lt;=Görevler!$C91+ROUND(Görevler!$F91*Görevler!$E91,0)-1,2,1),""))</f>
        <v/>
      </c>
      <c r="AP91" s="22" t="str">
        <f aca="false">IF(Görevler!$F91="","",IF(AND(Görevler!$C91&lt;=(AP$4+Ayarlar!$C$6-1),Görevler!$D91&gt;=AP$4),IF(AP$4&lt;=Görevler!$C91+ROUND(Görevler!$F91*Görevler!$E91,0)-1,2,1),""))</f>
        <v/>
      </c>
      <c r="AQ91" s="22" t="str">
        <f aca="false">IF(Görevler!$F91="","",IF(AND(Görevler!$C91&lt;=(AQ$4+Ayarlar!$C$6-1),Görevler!$D91&gt;=AQ$4),IF(AQ$4&lt;=Görevler!$C91+ROUND(Görevler!$F91*Görevler!$E91,0)-1,2,1),""))</f>
        <v/>
      </c>
      <c r="AR91" s="22" t="str">
        <f aca="false">IF(Görevler!$F91="","",IF(AND(Görevler!$C91&lt;=(AR$4+Ayarlar!$C$6-1),Görevler!$D91&gt;=AR$4),IF(AR$4&lt;=Görevler!$C91+ROUND(Görevler!$F91*Görevler!$E91,0)-1,2,1),""))</f>
        <v/>
      </c>
      <c r="AS91" s="22" t="str">
        <f aca="false">IF(Görevler!$F91="","",IF(AND(Görevler!$C91&lt;=(AS$4+Ayarlar!$C$6-1),Görevler!$D91&gt;=AS$4),IF(AS$4&lt;=Görevler!$C91+ROUND(Görevler!$F91*Görevler!$E91,0)-1,2,1),""))</f>
        <v/>
      </c>
      <c r="AT91" s="22" t="str">
        <f aca="false">IF(Görevler!$F91="","",IF(AND(Görevler!$C91&lt;=(AT$4+Ayarlar!$C$6-1),Görevler!$D91&gt;=AT$4),IF(AT$4&lt;=Görevler!$C91+ROUND(Görevler!$F91*Görevler!$E91,0)-1,2,1),""))</f>
        <v/>
      </c>
      <c r="AU91" s="22" t="str">
        <f aca="false">IF(Görevler!$F91="","",IF(AND(Görevler!$C91&lt;=(AU$4+Ayarlar!$C$6-1),Görevler!$D91&gt;=AU$4),IF(AU$4&lt;=Görevler!$C91+ROUND(Görevler!$F91*Görevler!$E91,0)-1,2,1),""))</f>
        <v/>
      </c>
      <c r="AV91" s="22" t="str">
        <f aca="false">IF(Görevler!$F91="","",IF(AND(Görevler!$C91&lt;=(AV$4+Ayarlar!$C$6-1),Görevler!$D91&gt;=AV$4),IF(AV$4&lt;=Görevler!$C91+ROUND(Görevler!$F91*Görevler!$E91,0)-1,2,1),""))</f>
        <v/>
      </c>
      <c r="AW91" s="22" t="str">
        <f aca="false">IF(Görevler!$F91="","",IF(AND(Görevler!$C91&lt;=(AW$4+Ayarlar!$C$6-1),Görevler!$D91&gt;=AW$4),IF(AW$4&lt;=Görevler!$C91+ROUND(Görevler!$F91*Görevler!$E91,0)-1,2,1),""))</f>
        <v/>
      </c>
      <c r="AX91" s="22" t="str">
        <f aca="false">IF(Görevler!$F91="","",IF(AND(Görevler!$C91&lt;=(AX$4+Ayarlar!$C$6-1),Görevler!$D91&gt;=AX$4),IF(AX$4&lt;=Görevler!$C91+ROUND(Görevler!$F91*Görevler!$E91,0)-1,2,1),""))</f>
        <v/>
      </c>
      <c r="AY91" s="22" t="str">
        <f aca="false">IF(Görevler!$F91="","",IF(AND(Görevler!$C91&lt;=(AY$4+Ayarlar!$C$6-1),Görevler!$D91&gt;=AY$4),IF(AY$4&lt;=Görevler!$C91+ROUND(Görevler!$F91*Görevler!$E91,0)-1,2,1),""))</f>
        <v/>
      </c>
      <c r="AZ91" s="22" t="str">
        <f aca="false">IF(Görevler!$F91="","",IF(AND(Görevler!$C91&lt;=(AZ$4+Ayarlar!$C$6-1),Görevler!$D91&gt;=AZ$4),IF(AZ$4&lt;=Görevler!$C91+ROUND(Görevler!$F91*Görevler!$E91,0)-1,2,1),""))</f>
        <v/>
      </c>
      <c r="BA91" s="22" t="str">
        <f aca="false">IF(Görevler!$F91="","",IF(AND(Görevler!$C91&lt;=(BA$4+Ayarlar!$C$6-1),Görevler!$D91&gt;=BA$4),IF(BA$4&lt;=Görevler!$C91+ROUND(Görevler!$F91*Görevler!$E91,0)-1,2,1),""))</f>
        <v/>
      </c>
      <c r="BB91" s="22" t="str">
        <f aca="false">IF(Görevler!$F91="","",IF(AND(Görevler!$C91&lt;=(BB$4+Ayarlar!$C$6-1),Görevler!$D91&gt;=BB$4),IF(BB$4&lt;=Görevler!$C91+ROUND(Görevler!$F91*Görevler!$E91,0)-1,2,1),""))</f>
        <v/>
      </c>
      <c r="BC91" s="22" t="str">
        <f aca="false">IF(Görevler!$F91="","",IF(AND(Görevler!$C91&lt;=(BC$4+Ayarlar!$C$6-1),Görevler!$D91&gt;=BC$4),IF(BC$4&lt;=Görevler!$C91+ROUND(Görevler!$F91*Görevler!$E91,0)-1,2,1),""))</f>
        <v/>
      </c>
      <c r="BD91" s="22" t="str">
        <f aca="false">IF(Görevler!$F91="","",IF(AND(Görevler!$C91&lt;=(BD$4+Ayarlar!$C$6-1),Görevler!$D91&gt;=BD$4),IF(BD$4&lt;=Görevler!$C91+ROUND(Görevler!$F91*Görevler!$E91,0)-1,2,1),""))</f>
        <v/>
      </c>
      <c r="BE91" s="22" t="str">
        <f aca="false">IF(Görevler!$F91="","",IF(AND(Görevler!$C91&lt;=(BE$4+Ayarlar!$C$6-1),Görevler!$D91&gt;=BE$4),IF(BE$4&lt;=Görevler!$C91+ROUND(Görevler!$F91*Görevler!$E91,0)-1,2,1),""))</f>
        <v/>
      </c>
      <c r="BF91" s="22" t="str">
        <f aca="false">IF(Görevler!$F91="","",IF(AND(Görevler!$C91&lt;=(BF$4+Ayarlar!$C$6-1),Görevler!$D91&gt;=BF$4),IF(BF$4&lt;=Görevler!$C91+ROUND(Görevler!$F91*Görevler!$E91,0)-1,2,1),""))</f>
        <v/>
      </c>
      <c r="BG91" s="22" t="str">
        <f aca="false">IF(Görevler!$F91="","",IF(AND(Görevler!$C91&lt;=(BG$4+Ayarlar!$C$6-1),Görevler!$D91&gt;=BG$4),IF(BG$4&lt;=Görevler!$C91+ROUND(Görevler!$F91*Görevler!$E91,0)-1,2,1),""))</f>
        <v/>
      </c>
      <c r="BH91" s="22" t="str">
        <f aca="false">IF(Görevler!$F91="","",IF(AND(Görevler!$C91&lt;=(BH$4+Ayarlar!$C$6-1),Görevler!$D91&gt;=BH$4),IF(BH$4&lt;=Görevler!$C91+ROUND(Görevler!$F91*Görevler!$E91,0)-1,2,1),""))</f>
        <v/>
      </c>
      <c r="BI91" s="22" t="str">
        <f aca="false">IF(Görevler!$F91="","",IF(AND(Görevler!$C91&lt;=(BI$4+Ayarlar!$C$6-1),Görevler!$D91&gt;=BI$4),IF(BI$4&lt;=Görevler!$C91+ROUND(Görevler!$F91*Görevler!$E91,0)-1,2,1),""))</f>
        <v/>
      </c>
      <c r="BJ91" s="22" t="str">
        <f aca="false">IF(Görevler!$F91="","",IF(AND(Görevler!$C91&lt;=(BJ$4+Ayarlar!$C$6-1),Görevler!$D91&gt;=BJ$4),IF(BJ$4&lt;=Görevler!$C91+ROUND(Görevler!$F91*Görevler!$E91,0)-1,2,1),""))</f>
        <v/>
      </c>
    </row>
    <row r="92" customFormat="false" ht="15" hidden="false" customHeight="false" outlineLevel="0" collapsed="false">
      <c r="A92" s="21" t="str">
        <f aca="false">IF(Görevler!A92="","",Görevler!A92)</f>
        <v/>
      </c>
      <c r="B92" s="21" t="str">
        <f aca="false">IF(Görevler!A92="","",Görevler!B92&amp;"")</f>
        <v/>
      </c>
      <c r="C92" s="22" t="str">
        <f aca="false">IF(Görevler!$F92="","",IF(AND(Görevler!$C92&lt;=(C$4+Ayarlar!$C$6-1),Görevler!$D92&gt;=C$4),IF(C$4&lt;=Görevler!$C92+ROUND(Görevler!$F92*Görevler!$E92,0)-1,2,1),""))</f>
        <v/>
      </c>
      <c r="D92" s="22" t="str">
        <f aca="false">IF(Görevler!$F92="","",IF(AND(Görevler!$C92&lt;=(D$4+Ayarlar!$C$6-1),Görevler!$D92&gt;=D$4),IF(D$4&lt;=Görevler!$C92+ROUND(Görevler!$F92*Görevler!$E92,0)-1,2,1),""))</f>
        <v/>
      </c>
      <c r="E92" s="22" t="str">
        <f aca="false">IF(Görevler!$F92="","",IF(AND(Görevler!$C92&lt;=(E$4+Ayarlar!$C$6-1),Görevler!$D92&gt;=E$4),IF(E$4&lt;=Görevler!$C92+ROUND(Görevler!$F92*Görevler!$E92,0)-1,2,1),""))</f>
        <v/>
      </c>
      <c r="F92" s="22" t="str">
        <f aca="false">IF(Görevler!$F92="","",IF(AND(Görevler!$C92&lt;=(F$4+Ayarlar!$C$6-1),Görevler!$D92&gt;=F$4),IF(F$4&lt;=Görevler!$C92+ROUND(Görevler!$F92*Görevler!$E92,0)-1,2,1),""))</f>
        <v/>
      </c>
      <c r="G92" s="22" t="str">
        <f aca="false">IF(Görevler!$F92="","",IF(AND(Görevler!$C92&lt;=(G$4+Ayarlar!$C$6-1),Görevler!$D92&gt;=G$4),IF(G$4&lt;=Görevler!$C92+ROUND(Görevler!$F92*Görevler!$E92,0)-1,2,1),""))</f>
        <v/>
      </c>
      <c r="H92" s="22" t="str">
        <f aca="false">IF(Görevler!$F92="","",IF(AND(Görevler!$C92&lt;=(H$4+Ayarlar!$C$6-1),Görevler!$D92&gt;=H$4),IF(H$4&lt;=Görevler!$C92+ROUND(Görevler!$F92*Görevler!$E92,0)-1,2,1),""))</f>
        <v/>
      </c>
      <c r="I92" s="22" t="str">
        <f aca="false">IF(Görevler!$F92="","",IF(AND(Görevler!$C92&lt;=(I$4+Ayarlar!$C$6-1),Görevler!$D92&gt;=I$4),IF(I$4&lt;=Görevler!$C92+ROUND(Görevler!$F92*Görevler!$E92,0)-1,2,1),""))</f>
        <v/>
      </c>
      <c r="J92" s="22" t="str">
        <f aca="false">IF(Görevler!$F92="","",IF(AND(Görevler!$C92&lt;=(J$4+Ayarlar!$C$6-1),Görevler!$D92&gt;=J$4),IF(J$4&lt;=Görevler!$C92+ROUND(Görevler!$F92*Görevler!$E92,0)-1,2,1),""))</f>
        <v/>
      </c>
      <c r="K92" s="22" t="str">
        <f aca="false">IF(Görevler!$F92="","",IF(AND(Görevler!$C92&lt;=(K$4+Ayarlar!$C$6-1),Görevler!$D92&gt;=K$4),IF(K$4&lt;=Görevler!$C92+ROUND(Görevler!$F92*Görevler!$E92,0)-1,2,1),""))</f>
        <v/>
      </c>
      <c r="L92" s="22" t="str">
        <f aca="false">IF(Görevler!$F92="","",IF(AND(Görevler!$C92&lt;=(L$4+Ayarlar!$C$6-1),Görevler!$D92&gt;=L$4),IF(L$4&lt;=Görevler!$C92+ROUND(Görevler!$F92*Görevler!$E92,0)-1,2,1),""))</f>
        <v/>
      </c>
      <c r="M92" s="22" t="str">
        <f aca="false">IF(Görevler!$F92="","",IF(AND(Görevler!$C92&lt;=(M$4+Ayarlar!$C$6-1),Görevler!$D92&gt;=M$4),IF(M$4&lt;=Görevler!$C92+ROUND(Görevler!$F92*Görevler!$E92,0)-1,2,1),""))</f>
        <v/>
      </c>
      <c r="N92" s="22" t="str">
        <f aca="false">IF(Görevler!$F92="","",IF(AND(Görevler!$C92&lt;=(N$4+Ayarlar!$C$6-1),Görevler!$D92&gt;=N$4),IF(N$4&lt;=Görevler!$C92+ROUND(Görevler!$F92*Görevler!$E92,0)-1,2,1),""))</f>
        <v/>
      </c>
      <c r="O92" s="22" t="str">
        <f aca="false">IF(Görevler!$F92="","",IF(AND(Görevler!$C92&lt;=(O$4+Ayarlar!$C$6-1),Görevler!$D92&gt;=O$4),IF(O$4&lt;=Görevler!$C92+ROUND(Görevler!$F92*Görevler!$E92,0)-1,2,1),""))</f>
        <v/>
      </c>
      <c r="P92" s="22" t="str">
        <f aca="false">IF(Görevler!$F92="","",IF(AND(Görevler!$C92&lt;=(P$4+Ayarlar!$C$6-1),Görevler!$D92&gt;=P$4),IF(P$4&lt;=Görevler!$C92+ROUND(Görevler!$F92*Görevler!$E92,0)-1,2,1),""))</f>
        <v/>
      </c>
      <c r="Q92" s="22" t="str">
        <f aca="false">IF(Görevler!$F92="","",IF(AND(Görevler!$C92&lt;=(Q$4+Ayarlar!$C$6-1),Görevler!$D92&gt;=Q$4),IF(Q$4&lt;=Görevler!$C92+ROUND(Görevler!$F92*Görevler!$E92,0)-1,2,1),""))</f>
        <v/>
      </c>
      <c r="R92" s="22" t="str">
        <f aca="false">IF(Görevler!$F92="","",IF(AND(Görevler!$C92&lt;=(R$4+Ayarlar!$C$6-1),Görevler!$D92&gt;=R$4),IF(R$4&lt;=Görevler!$C92+ROUND(Görevler!$F92*Görevler!$E92,0)-1,2,1),""))</f>
        <v/>
      </c>
      <c r="S92" s="22" t="str">
        <f aca="false">IF(Görevler!$F92="","",IF(AND(Görevler!$C92&lt;=(S$4+Ayarlar!$C$6-1),Görevler!$D92&gt;=S$4),IF(S$4&lt;=Görevler!$C92+ROUND(Görevler!$F92*Görevler!$E92,0)-1,2,1),""))</f>
        <v/>
      </c>
      <c r="T92" s="22" t="str">
        <f aca="false">IF(Görevler!$F92="","",IF(AND(Görevler!$C92&lt;=(T$4+Ayarlar!$C$6-1),Görevler!$D92&gt;=T$4),IF(T$4&lt;=Görevler!$C92+ROUND(Görevler!$F92*Görevler!$E92,0)-1,2,1),""))</f>
        <v/>
      </c>
      <c r="U92" s="22" t="str">
        <f aca="false">IF(Görevler!$F92="","",IF(AND(Görevler!$C92&lt;=(U$4+Ayarlar!$C$6-1),Görevler!$D92&gt;=U$4),IF(U$4&lt;=Görevler!$C92+ROUND(Görevler!$F92*Görevler!$E92,0)-1,2,1),""))</f>
        <v/>
      </c>
      <c r="V92" s="22" t="str">
        <f aca="false">IF(Görevler!$F92="","",IF(AND(Görevler!$C92&lt;=(V$4+Ayarlar!$C$6-1),Görevler!$D92&gt;=V$4),IF(V$4&lt;=Görevler!$C92+ROUND(Görevler!$F92*Görevler!$E92,0)-1,2,1),""))</f>
        <v/>
      </c>
      <c r="W92" s="22" t="str">
        <f aca="false">IF(Görevler!$F92="","",IF(AND(Görevler!$C92&lt;=(W$4+Ayarlar!$C$6-1),Görevler!$D92&gt;=W$4),IF(W$4&lt;=Görevler!$C92+ROUND(Görevler!$F92*Görevler!$E92,0)-1,2,1),""))</f>
        <v/>
      </c>
      <c r="X92" s="22" t="str">
        <f aca="false">IF(Görevler!$F92="","",IF(AND(Görevler!$C92&lt;=(X$4+Ayarlar!$C$6-1),Görevler!$D92&gt;=X$4),IF(X$4&lt;=Görevler!$C92+ROUND(Görevler!$F92*Görevler!$E92,0)-1,2,1),""))</f>
        <v/>
      </c>
      <c r="Y92" s="22" t="str">
        <f aca="false">IF(Görevler!$F92="","",IF(AND(Görevler!$C92&lt;=(Y$4+Ayarlar!$C$6-1),Görevler!$D92&gt;=Y$4),IF(Y$4&lt;=Görevler!$C92+ROUND(Görevler!$F92*Görevler!$E92,0)-1,2,1),""))</f>
        <v/>
      </c>
      <c r="Z92" s="22" t="str">
        <f aca="false">IF(Görevler!$F92="","",IF(AND(Görevler!$C92&lt;=(Z$4+Ayarlar!$C$6-1),Görevler!$D92&gt;=Z$4),IF(Z$4&lt;=Görevler!$C92+ROUND(Görevler!$F92*Görevler!$E92,0)-1,2,1),""))</f>
        <v/>
      </c>
      <c r="AA92" s="22" t="str">
        <f aca="false">IF(Görevler!$F92="","",IF(AND(Görevler!$C92&lt;=(AA$4+Ayarlar!$C$6-1),Görevler!$D92&gt;=AA$4),IF(AA$4&lt;=Görevler!$C92+ROUND(Görevler!$F92*Görevler!$E92,0)-1,2,1),""))</f>
        <v/>
      </c>
      <c r="AB92" s="22" t="str">
        <f aca="false">IF(Görevler!$F92="","",IF(AND(Görevler!$C92&lt;=(AB$4+Ayarlar!$C$6-1),Görevler!$D92&gt;=AB$4),IF(AB$4&lt;=Görevler!$C92+ROUND(Görevler!$F92*Görevler!$E92,0)-1,2,1),""))</f>
        <v/>
      </c>
      <c r="AC92" s="22" t="str">
        <f aca="false">IF(Görevler!$F92="","",IF(AND(Görevler!$C92&lt;=(AC$4+Ayarlar!$C$6-1),Görevler!$D92&gt;=AC$4),IF(AC$4&lt;=Görevler!$C92+ROUND(Görevler!$F92*Görevler!$E92,0)-1,2,1),""))</f>
        <v/>
      </c>
      <c r="AD92" s="22" t="str">
        <f aca="false">IF(Görevler!$F92="","",IF(AND(Görevler!$C92&lt;=(AD$4+Ayarlar!$C$6-1),Görevler!$D92&gt;=AD$4),IF(AD$4&lt;=Görevler!$C92+ROUND(Görevler!$F92*Görevler!$E92,0)-1,2,1),""))</f>
        <v/>
      </c>
      <c r="AE92" s="22" t="str">
        <f aca="false">IF(Görevler!$F92="","",IF(AND(Görevler!$C92&lt;=(AE$4+Ayarlar!$C$6-1),Görevler!$D92&gt;=AE$4),IF(AE$4&lt;=Görevler!$C92+ROUND(Görevler!$F92*Görevler!$E92,0)-1,2,1),""))</f>
        <v/>
      </c>
      <c r="AF92" s="22" t="str">
        <f aca="false">IF(Görevler!$F92="","",IF(AND(Görevler!$C92&lt;=(AF$4+Ayarlar!$C$6-1),Görevler!$D92&gt;=AF$4),IF(AF$4&lt;=Görevler!$C92+ROUND(Görevler!$F92*Görevler!$E92,0)-1,2,1),""))</f>
        <v/>
      </c>
      <c r="AG92" s="22" t="str">
        <f aca="false">IF(Görevler!$F92="","",IF(AND(Görevler!$C92&lt;=(AG$4+Ayarlar!$C$6-1),Görevler!$D92&gt;=AG$4),IF(AG$4&lt;=Görevler!$C92+ROUND(Görevler!$F92*Görevler!$E92,0)-1,2,1),""))</f>
        <v/>
      </c>
      <c r="AH92" s="22" t="str">
        <f aca="false">IF(Görevler!$F92="","",IF(AND(Görevler!$C92&lt;=(AH$4+Ayarlar!$C$6-1),Görevler!$D92&gt;=AH$4),IF(AH$4&lt;=Görevler!$C92+ROUND(Görevler!$F92*Görevler!$E92,0)-1,2,1),""))</f>
        <v/>
      </c>
      <c r="AI92" s="22" t="str">
        <f aca="false">IF(Görevler!$F92="","",IF(AND(Görevler!$C92&lt;=(AI$4+Ayarlar!$C$6-1),Görevler!$D92&gt;=AI$4),IF(AI$4&lt;=Görevler!$C92+ROUND(Görevler!$F92*Görevler!$E92,0)-1,2,1),""))</f>
        <v/>
      </c>
      <c r="AJ92" s="22" t="str">
        <f aca="false">IF(Görevler!$F92="","",IF(AND(Görevler!$C92&lt;=(AJ$4+Ayarlar!$C$6-1),Görevler!$D92&gt;=AJ$4),IF(AJ$4&lt;=Görevler!$C92+ROUND(Görevler!$F92*Görevler!$E92,0)-1,2,1),""))</f>
        <v/>
      </c>
      <c r="AK92" s="22" t="str">
        <f aca="false">IF(Görevler!$F92="","",IF(AND(Görevler!$C92&lt;=(AK$4+Ayarlar!$C$6-1),Görevler!$D92&gt;=AK$4),IF(AK$4&lt;=Görevler!$C92+ROUND(Görevler!$F92*Görevler!$E92,0)-1,2,1),""))</f>
        <v/>
      </c>
      <c r="AL92" s="22" t="str">
        <f aca="false">IF(Görevler!$F92="","",IF(AND(Görevler!$C92&lt;=(AL$4+Ayarlar!$C$6-1),Görevler!$D92&gt;=AL$4),IF(AL$4&lt;=Görevler!$C92+ROUND(Görevler!$F92*Görevler!$E92,0)-1,2,1),""))</f>
        <v/>
      </c>
      <c r="AM92" s="22" t="str">
        <f aca="false">IF(Görevler!$F92="","",IF(AND(Görevler!$C92&lt;=(AM$4+Ayarlar!$C$6-1),Görevler!$D92&gt;=AM$4),IF(AM$4&lt;=Görevler!$C92+ROUND(Görevler!$F92*Görevler!$E92,0)-1,2,1),""))</f>
        <v/>
      </c>
      <c r="AN92" s="22" t="str">
        <f aca="false">IF(Görevler!$F92="","",IF(AND(Görevler!$C92&lt;=(AN$4+Ayarlar!$C$6-1),Görevler!$D92&gt;=AN$4),IF(AN$4&lt;=Görevler!$C92+ROUND(Görevler!$F92*Görevler!$E92,0)-1,2,1),""))</f>
        <v/>
      </c>
      <c r="AO92" s="22" t="str">
        <f aca="false">IF(Görevler!$F92="","",IF(AND(Görevler!$C92&lt;=(AO$4+Ayarlar!$C$6-1),Görevler!$D92&gt;=AO$4),IF(AO$4&lt;=Görevler!$C92+ROUND(Görevler!$F92*Görevler!$E92,0)-1,2,1),""))</f>
        <v/>
      </c>
      <c r="AP92" s="22" t="str">
        <f aca="false">IF(Görevler!$F92="","",IF(AND(Görevler!$C92&lt;=(AP$4+Ayarlar!$C$6-1),Görevler!$D92&gt;=AP$4),IF(AP$4&lt;=Görevler!$C92+ROUND(Görevler!$F92*Görevler!$E92,0)-1,2,1),""))</f>
        <v/>
      </c>
      <c r="AQ92" s="22" t="str">
        <f aca="false">IF(Görevler!$F92="","",IF(AND(Görevler!$C92&lt;=(AQ$4+Ayarlar!$C$6-1),Görevler!$D92&gt;=AQ$4),IF(AQ$4&lt;=Görevler!$C92+ROUND(Görevler!$F92*Görevler!$E92,0)-1,2,1),""))</f>
        <v/>
      </c>
      <c r="AR92" s="22" t="str">
        <f aca="false">IF(Görevler!$F92="","",IF(AND(Görevler!$C92&lt;=(AR$4+Ayarlar!$C$6-1),Görevler!$D92&gt;=AR$4),IF(AR$4&lt;=Görevler!$C92+ROUND(Görevler!$F92*Görevler!$E92,0)-1,2,1),""))</f>
        <v/>
      </c>
      <c r="AS92" s="22" t="str">
        <f aca="false">IF(Görevler!$F92="","",IF(AND(Görevler!$C92&lt;=(AS$4+Ayarlar!$C$6-1),Görevler!$D92&gt;=AS$4),IF(AS$4&lt;=Görevler!$C92+ROUND(Görevler!$F92*Görevler!$E92,0)-1,2,1),""))</f>
        <v/>
      </c>
      <c r="AT92" s="22" t="str">
        <f aca="false">IF(Görevler!$F92="","",IF(AND(Görevler!$C92&lt;=(AT$4+Ayarlar!$C$6-1),Görevler!$D92&gt;=AT$4),IF(AT$4&lt;=Görevler!$C92+ROUND(Görevler!$F92*Görevler!$E92,0)-1,2,1),""))</f>
        <v/>
      </c>
      <c r="AU92" s="22" t="str">
        <f aca="false">IF(Görevler!$F92="","",IF(AND(Görevler!$C92&lt;=(AU$4+Ayarlar!$C$6-1),Görevler!$D92&gt;=AU$4),IF(AU$4&lt;=Görevler!$C92+ROUND(Görevler!$F92*Görevler!$E92,0)-1,2,1),""))</f>
        <v/>
      </c>
      <c r="AV92" s="22" t="str">
        <f aca="false">IF(Görevler!$F92="","",IF(AND(Görevler!$C92&lt;=(AV$4+Ayarlar!$C$6-1),Görevler!$D92&gt;=AV$4),IF(AV$4&lt;=Görevler!$C92+ROUND(Görevler!$F92*Görevler!$E92,0)-1,2,1),""))</f>
        <v/>
      </c>
      <c r="AW92" s="22" t="str">
        <f aca="false">IF(Görevler!$F92="","",IF(AND(Görevler!$C92&lt;=(AW$4+Ayarlar!$C$6-1),Görevler!$D92&gt;=AW$4),IF(AW$4&lt;=Görevler!$C92+ROUND(Görevler!$F92*Görevler!$E92,0)-1,2,1),""))</f>
        <v/>
      </c>
      <c r="AX92" s="22" t="str">
        <f aca="false">IF(Görevler!$F92="","",IF(AND(Görevler!$C92&lt;=(AX$4+Ayarlar!$C$6-1),Görevler!$D92&gt;=AX$4),IF(AX$4&lt;=Görevler!$C92+ROUND(Görevler!$F92*Görevler!$E92,0)-1,2,1),""))</f>
        <v/>
      </c>
      <c r="AY92" s="22" t="str">
        <f aca="false">IF(Görevler!$F92="","",IF(AND(Görevler!$C92&lt;=(AY$4+Ayarlar!$C$6-1),Görevler!$D92&gt;=AY$4),IF(AY$4&lt;=Görevler!$C92+ROUND(Görevler!$F92*Görevler!$E92,0)-1,2,1),""))</f>
        <v/>
      </c>
      <c r="AZ92" s="22" t="str">
        <f aca="false">IF(Görevler!$F92="","",IF(AND(Görevler!$C92&lt;=(AZ$4+Ayarlar!$C$6-1),Görevler!$D92&gt;=AZ$4),IF(AZ$4&lt;=Görevler!$C92+ROUND(Görevler!$F92*Görevler!$E92,0)-1,2,1),""))</f>
        <v/>
      </c>
      <c r="BA92" s="22" t="str">
        <f aca="false">IF(Görevler!$F92="","",IF(AND(Görevler!$C92&lt;=(BA$4+Ayarlar!$C$6-1),Görevler!$D92&gt;=BA$4),IF(BA$4&lt;=Görevler!$C92+ROUND(Görevler!$F92*Görevler!$E92,0)-1,2,1),""))</f>
        <v/>
      </c>
      <c r="BB92" s="22" t="str">
        <f aca="false">IF(Görevler!$F92="","",IF(AND(Görevler!$C92&lt;=(BB$4+Ayarlar!$C$6-1),Görevler!$D92&gt;=BB$4),IF(BB$4&lt;=Görevler!$C92+ROUND(Görevler!$F92*Görevler!$E92,0)-1,2,1),""))</f>
        <v/>
      </c>
      <c r="BC92" s="22" t="str">
        <f aca="false">IF(Görevler!$F92="","",IF(AND(Görevler!$C92&lt;=(BC$4+Ayarlar!$C$6-1),Görevler!$D92&gt;=BC$4),IF(BC$4&lt;=Görevler!$C92+ROUND(Görevler!$F92*Görevler!$E92,0)-1,2,1),""))</f>
        <v/>
      </c>
      <c r="BD92" s="22" t="str">
        <f aca="false">IF(Görevler!$F92="","",IF(AND(Görevler!$C92&lt;=(BD$4+Ayarlar!$C$6-1),Görevler!$D92&gt;=BD$4),IF(BD$4&lt;=Görevler!$C92+ROUND(Görevler!$F92*Görevler!$E92,0)-1,2,1),""))</f>
        <v/>
      </c>
      <c r="BE92" s="22" t="str">
        <f aca="false">IF(Görevler!$F92="","",IF(AND(Görevler!$C92&lt;=(BE$4+Ayarlar!$C$6-1),Görevler!$D92&gt;=BE$4),IF(BE$4&lt;=Görevler!$C92+ROUND(Görevler!$F92*Görevler!$E92,0)-1,2,1),""))</f>
        <v/>
      </c>
      <c r="BF92" s="22" t="str">
        <f aca="false">IF(Görevler!$F92="","",IF(AND(Görevler!$C92&lt;=(BF$4+Ayarlar!$C$6-1),Görevler!$D92&gt;=BF$4),IF(BF$4&lt;=Görevler!$C92+ROUND(Görevler!$F92*Görevler!$E92,0)-1,2,1),""))</f>
        <v/>
      </c>
      <c r="BG92" s="22" t="str">
        <f aca="false">IF(Görevler!$F92="","",IF(AND(Görevler!$C92&lt;=(BG$4+Ayarlar!$C$6-1),Görevler!$D92&gt;=BG$4),IF(BG$4&lt;=Görevler!$C92+ROUND(Görevler!$F92*Görevler!$E92,0)-1,2,1),""))</f>
        <v/>
      </c>
      <c r="BH92" s="22" t="str">
        <f aca="false">IF(Görevler!$F92="","",IF(AND(Görevler!$C92&lt;=(BH$4+Ayarlar!$C$6-1),Görevler!$D92&gt;=BH$4),IF(BH$4&lt;=Görevler!$C92+ROUND(Görevler!$F92*Görevler!$E92,0)-1,2,1),""))</f>
        <v/>
      </c>
      <c r="BI92" s="22" t="str">
        <f aca="false">IF(Görevler!$F92="","",IF(AND(Görevler!$C92&lt;=(BI$4+Ayarlar!$C$6-1),Görevler!$D92&gt;=BI$4),IF(BI$4&lt;=Görevler!$C92+ROUND(Görevler!$F92*Görevler!$E92,0)-1,2,1),""))</f>
        <v/>
      </c>
      <c r="BJ92" s="22" t="str">
        <f aca="false">IF(Görevler!$F92="","",IF(AND(Görevler!$C92&lt;=(BJ$4+Ayarlar!$C$6-1),Görevler!$D92&gt;=BJ$4),IF(BJ$4&lt;=Görevler!$C92+ROUND(Görevler!$F92*Görevler!$E92,0)-1,2,1),""))</f>
        <v/>
      </c>
    </row>
    <row r="93" customFormat="false" ht="15" hidden="false" customHeight="false" outlineLevel="0" collapsed="false">
      <c r="A93" s="21" t="str">
        <f aca="false">IF(Görevler!A93="","",Görevler!A93)</f>
        <v/>
      </c>
      <c r="B93" s="21" t="str">
        <f aca="false">IF(Görevler!A93="","",Görevler!B93&amp;"")</f>
        <v/>
      </c>
      <c r="C93" s="22" t="str">
        <f aca="false">IF(Görevler!$F93="","",IF(AND(Görevler!$C93&lt;=(C$4+Ayarlar!$C$6-1),Görevler!$D93&gt;=C$4),IF(C$4&lt;=Görevler!$C93+ROUND(Görevler!$F93*Görevler!$E93,0)-1,2,1),""))</f>
        <v/>
      </c>
      <c r="D93" s="22" t="str">
        <f aca="false">IF(Görevler!$F93="","",IF(AND(Görevler!$C93&lt;=(D$4+Ayarlar!$C$6-1),Görevler!$D93&gt;=D$4),IF(D$4&lt;=Görevler!$C93+ROUND(Görevler!$F93*Görevler!$E93,0)-1,2,1),""))</f>
        <v/>
      </c>
      <c r="E93" s="22" t="str">
        <f aca="false">IF(Görevler!$F93="","",IF(AND(Görevler!$C93&lt;=(E$4+Ayarlar!$C$6-1),Görevler!$D93&gt;=E$4),IF(E$4&lt;=Görevler!$C93+ROUND(Görevler!$F93*Görevler!$E93,0)-1,2,1),""))</f>
        <v/>
      </c>
      <c r="F93" s="22" t="str">
        <f aca="false">IF(Görevler!$F93="","",IF(AND(Görevler!$C93&lt;=(F$4+Ayarlar!$C$6-1),Görevler!$D93&gt;=F$4),IF(F$4&lt;=Görevler!$C93+ROUND(Görevler!$F93*Görevler!$E93,0)-1,2,1),""))</f>
        <v/>
      </c>
      <c r="G93" s="22" t="str">
        <f aca="false">IF(Görevler!$F93="","",IF(AND(Görevler!$C93&lt;=(G$4+Ayarlar!$C$6-1),Görevler!$D93&gt;=G$4),IF(G$4&lt;=Görevler!$C93+ROUND(Görevler!$F93*Görevler!$E93,0)-1,2,1),""))</f>
        <v/>
      </c>
      <c r="H93" s="22" t="str">
        <f aca="false">IF(Görevler!$F93="","",IF(AND(Görevler!$C93&lt;=(H$4+Ayarlar!$C$6-1),Görevler!$D93&gt;=H$4),IF(H$4&lt;=Görevler!$C93+ROUND(Görevler!$F93*Görevler!$E93,0)-1,2,1),""))</f>
        <v/>
      </c>
      <c r="I93" s="22" t="str">
        <f aca="false">IF(Görevler!$F93="","",IF(AND(Görevler!$C93&lt;=(I$4+Ayarlar!$C$6-1),Görevler!$D93&gt;=I$4),IF(I$4&lt;=Görevler!$C93+ROUND(Görevler!$F93*Görevler!$E93,0)-1,2,1),""))</f>
        <v/>
      </c>
      <c r="J93" s="22" t="str">
        <f aca="false">IF(Görevler!$F93="","",IF(AND(Görevler!$C93&lt;=(J$4+Ayarlar!$C$6-1),Görevler!$D93&gt;=J$4),IF(J$4&lt;=Görevler!$C93+ROUND(Görevler!$F93*Görevler!$E93,0)-1,2,1),""))</f>
        <v/>
      </c>
      <c r="K93" s="22" t="str">
        <f aca="false">IF(Görevler!$F93="","",IF(AND(Görevler!$C93&lt;=(K$4+Ayarlar!$C$6-1),Görevler!$D93&gt;=K$4),IF(K$4&lt;=Görevler!$C93+ROUND(Görevler!$F93*Görevler!$E93,0)-1,2,1),""))</f>
        <v/>
      </c>
      <c r="L93" s="22" t="str">
        <f aca="false">IF(Görevler!$F93="","",IF(AND(Görevler!$C93&lt;=(L$4+Ayarlar!$C$6-1),Görevler!$D93&gt;=L$4),IF(L$4&lt;=Görevler!$C93+ROUND(Görevler!$F93*Görevler!$E93,0)-1,2,1),""))</f>
        <v/>
      </c>
      <c r="M93" s="22" t="str">
        <f aca="false">IF(Görevler!$F93="","",IF(AND(Görevler!$C93&lt;=(M$4+Ayarlar!$C$6-1),Görevler!$D93&gt;=M$4),IF(M$4&lt;=Görevler!$C93+ROUND(Görevler!$F93*Görevler!$E93,0)-1,2,1),""))</f>
        <v/>
      </c>
      <c r="N93" s="22" t="str">
        <f aca="false">IF(Görevler!$F93="","",IF(AND(Görevler!$C93&lt;=(N$4+Ayarlar!$C$6-1),Görevler!$D93&gt;=N$4),IF(N$4&lt;=Görevler!$C93+ROUND(Görevler!$F93*Görevler!$E93,0)-1,2,1),""))</f>
        <v/>
      </c>
      <c r="O93" s="22" t="str">
        <f aca="false">IF(Görevler!$F93="","",IF(AND(Görevler!$C93&lt;=(O$4+Ayarlar!$C$6-1),Görevler!$D93&gt;=O$4),IF(O$4&lt;=Görevler!$C93+ROUND(Görevler!$F93*Görevler!$E93,0)-1,2,1),""))</f>
        <v/>
      </c>
      <c r="P93" s="22" t="str">
        <f aca="false">IF(Görevler!$F93="","",IF(AND(Görevler!$C93&lt;=(P$4+Ayarlar!$C$6-1),Görevler!$D93&gt;=P$4),IF(P$4&lt;=Görevler!$C93+ROUND(Görevler!$F93*Görevler!$E93,0)-1,2,1),""))</f>
        <v/>
      </c>
      <c r="Q93" s="22" t="str">
        <f aca="false">IF(Görevler!$F93="","",IF(AND(Görevler!$C93&lt;=(Q$4+Ayarlar!$C$6-1),Görevler!$D93&gt;=Q$4),IF(Q$4&lt;=Görevler!$C93+ROUND(Görevler!$F93*Görevler!$E93,0)-1,2,1),""))</f>
        <v/>
      </c>
      <c r="R93" s="22" t="str">
        <f aca="false">IF(Görevler!$F93="","",IF(AND(Görevler!$C93&lt;=(R$4+Ayarlar!$C$6-1),Görevler!$D93&gt;=R$4),IF(R$4&lt;=Görevler!$C93+ROUND(Görevler!$F93*Görevler!$E93,0)-1,2,1),""))</f>
        <v/>
      </c>
      <c r="S93" s="22" t="str">
        <f aca="false">IF(Görevler!$F93="","",IF(AND(Görevler!$C93&lt;=(S$4+Ayarlar!$C$6-1),Görevler!$D93&gt;=S$4),IF(S$4&lt;=Görevler!$C93+ROUND(Görevler!$F93*Görevler!$E93,0)-1,2,1),""))</f>
        <v/>
      </c>
      <c r="T93" s="22" t="str">
        <f aca="false">IF(Görevler!$F93="","",IF(AND(Görevler!$C93&lt;=(T$4+Ayarlar!$C$6-1),Görevler!$D93&gt;=T$4),IF(T$4&lt;=Görevler!$C93+ROUND(Görevler!$F93*Görevler!$E93,0)-1,2,1),""))</f>
        <v/>
      </c>
      <c r="U93" s="22" t="str">
        <f aca="false">IF(Görevler!$F93="","",IF(AND(Görevler!$C93&lt;=(U$4+Ayarlar!$C$6-1),Görevler!$D93&gt;=U$4),IF(U$4&lt;=Görevler!$C93+ROUND(Görevler!$F93*Görevler!$E93,0)-1,2,1),""))</f>
        <v/>
      </c>
      <c r="V93" s="22" t="str">
        <f aca="false">IF(Görevler!$F93="","",IF(AND(Görevler!$C93&lt;=(V$4+Ayarlar!$C$6-1),Görevler!$D93&gt;=V$4),IF(V$4&lt;=Görevler!$C93+ROUND(Görevler!$F93*Görevler!$E93,0)-1,2,1),""))</f>
        <v/>
      </c>
      <c r="W93" s="22" t="str">
        <f aca="false">IF(Görevler!$F93="","",IF(AND(Görevler!$C93&lt;=(W$4+Ayarlar!$C$6-1),Görevler!$D93&gt;=W$4),IF(W$4&lt;=Görevler!$C93+ROUND(Görevler!$F93*Görevler!$E93,0)-1,2,1),""))</f>
        <v/>
      </c>
      <c r="X93" s="22" t="str">
        <f aca="false">IF(Görevler!$F93="","",IF(AND(Görevler!$C93&lt;=(X$4+Ayarlar!$C$6-1),Görevler!$D93&gt;=X$4),IF(X$4&lt;=Görevler!$C93+ROUND(Görevler!$F93*Görevler!$E93,0)-1,2,1),""))</f>
        <v/>
      </c>
      <c r="Y93" s="22" t="str">
        <f aca="false">IF(Görevler!$F93="","",IF(AND(Görevler!$C93&lt;=(Y$4+Ayarlar!$C$6-1),Görevler!$D93&gt;=Y$4),IF(Y$4&lt;=Görevler!$C93+ROUND(Görevler!$F93*Görevler!$E93,0)-1,2,1),""))</f>
        <v/>
      </c>
      <c r="Z93" s="22" t="str">
        <f aca="false">IF(Görevler!$F93="","",IF(AND(Görevler!$C93&lt;=(Z$4+Ayarlar!$C$6-1),Görevler!$D93&gt;=Z$4),IF(Z$4&lt;=Görevler!$C93+ROUND(Görevler!$F93*Görevler!$E93,0)-1,2,1),""))</f>
        <v/>
      </c>
      <c r="AA93" s="22" t="str">
        <f aca="false">IF(Görevler!$F93="","",IF(AND(Görevler!$C93&lt;=(AA$4+Ayarlar!$C$6-1),Görevler!$D93&gt;=AA$4),IF(AA$4&lt;=Görevler!$C93+ROUND(Görevler!$F93*Görevler!$E93,0)-1,2,1),""))</f>
        <v/>
      </c>
      <c r="AB93" s="22" t="str">
        <f aca="false">IF(Görevler!$F93="","",IF(AND(Görevler!$C93&lt;=(AB$4+Ayarlar!$C$6-1),Görevler!$D93&gt;=AB$4),IF(AB$4&lt;=Görevler!$C93+ROUND(Görevler!$F93*Görevler!$E93,0)-1,2,1),""))</f>
        <v/>
      </c>
      <c r="AC93" s="22" t="str">
        <f aca="false">IF(Görevler!$F93="","",IF(AND(Görevler!$C93&lt;=(AC$4+Ayarlar!$C$6-1),Görevler!$D93&gt;=AC$4),IF(AC$4&lt;=Görevler!$C93+ROUND(Görevler!$F93*Görevler!$E93,0)-1,2,1),""))</f>
        <v/>
      </c>
      <c r="AD93" s="22" t="str">
        <f aca="false">IF(Görevler!$F93="","",IF(AND(Görevler!$C93&lt;=(AD$4+Ayarlar!$C$6-1),Görevler!$D93&gt;=AD$4),IF(AD$4&lt;=Görevler!$C93+ROUND(Görevler!$F93*Görevler!$E93,0)-1,2,1),""))</f>
        <v/>
      </c>
      <c r="AE93" s="22" t="str">
        <f aca="false">IF(Görevler!$F93="","",IF(AND(Görevler!$C93&lt;=(AE$4+Ayarlar!$C$6-1),Görevler!$D93&gt;=AE$4),IF(AE$4&lt;=Görevler!$C93+ROUND(Görevler!$F93*Görevler!$E93,0)-1,2,1),""))</f>
        <v/>
      </c>
      <c r="AF93" s="22" t="str">
        <f aca="false">IF(Görevler!$F93="","",IF(AND(Görevler!$C93&lt;=(AF$4+Ayarlar!$C$6-1),Görevler!$D93&gt;=AF$4),IF(AF$4&lt;=Görevler!$C93+ROUND(Görevler!$F93*Görevler!$E93,0)-1,2,1),""))</f>
        <v/>
      </c>
      <c r="AG93" s="22" t="str">
        <f aca="false">IF(Görevler!$F93="","",IF(AND(Görevler!$C93&lt;=(AG$4+Ayarlar!$C$6-1),Görevler!$D93&gt;=AG$4),IF(AG$4&lt;=Görevler!$C93+ROUND(Görevler!$F93*Görevler!$E93,0)-1,2,1),""))</f>
        <v/>
      </c>
      <c r="AH93" s="22" t="str">
        <f aca="false">IF(Görevler!$F93="","",IF(AND(Görevler!$C93&lt;=(AH$4+Ayarlar!$C$6-1),Görevler!$D93&gt;=AH$4),IF(AH$4&lt;=Görevler!$C93+ROUND(Görevler!$F93*Görevler!$E93,0)-1,2,1),""))</f>
        <v/>
      </c>
      <c r="AI93" s="22" t="str">
        <f aca="false">IF(Görevler!$F93="","",IF(AND(Görevler!$C93&lt;=(AI$4+Ayarlar!$C$6-1),Görevler!$D93&gt;=AI$4),IF(AI$4&lt;=Görevler!$C93+ROUND(Görevler!$F93*Görevler!$E93,0)-1,2,1),""))</f>
        <v/>
      </c>
      <c r="AJ93" s="22" t="str">
        <f aca="false">IF(Görevler!$F93="","",IF(AND(Görevler!$C93&lt;=(AJ$4+Ayarlar!$C$6-1),Görevler!$D93&gt;=AJ$4),IF(AJ$4&lt;=Görevler!$C93+ROUND(Görevler!$F93*Görevler!$E93,0)-1,2,1),""))</f>
        <v/>
      </c>
      <c r="AK93" s="22" t="str">
        <f aca="false">IF(Görevler!$F93="","",IF(AND(Görevler!$C93&lt;=(AK$4+Ayarlar!$C$6-1),Görevler!$D93&gt;=AK$4),IF(AK$4&lt;=Görevler!$C93+ROUND(Görevler!$F93*Görevler!$E93,0)-1,2,1),""))</f>
        <v/>
      </c>
      <c r="AL93" s="22" t="str">
        <f aca="false">IF(Görevler!$F93="","",IF(AND(Görevler!$C93&lt;=(AL$4+Ayarlar!$C$6-1),Görevler!$D93&gt;=AL$4),IF(AL$4&lt;=Görevler!$C93+ROUND(Görevler!$F93*Görevler!$E93,0)-1,2,1),""))</f>
        <v/>
      </c>
      <c r="AM93" s="22" t="str">
        <f aca="false">IF(Görevler!$F93="","",IF(AND(Görevler!$C93&lt;=(AM$4+Ayarlar!$C$6-1),Görevler!$D93&gt;=AM$4),IF(AM$4&lt;=Görevler!$C93+ROUND(Görevler!$F93*Görevler!$E93,0)-1,2,1),""))</f>
        <v/>
      </c>
      <c r="AN93" s="22" t="str">
        <f aca="false">IF(Görevler!$F93="","",IF(AND(Görevler!$C93&lt;=(AN$4+Ayarlar!$C$6-1),Görevler!$D93&gt;=AN$4),IF(AN$4&lt;=Görevler!$C93+ROUND(Görevler!$F93*Görevler!$E93,0)-1,2,1),""))</f>
        <v/>
      </c>
      <c r="AO93" s="22" t="str">
        <f aca="false">IF(Görevler!$F93="","",IF(AND(Görevler!$C93&lt;=(AO$4+Ayarlar!$C$6-1),Görevler!$D93&gt;=AO$4),IF(AO$4&lt;=Görevler!$C93+ROUND(Görevler!$F93*Görevler!$E93,0)-1,2,1),""))</f>
        <v/>
      </c>
      <c r="AP93" s="22" t="str">
        <f aca="false">IF(Görevler!$F93="","",IF(AND(Görevler!$C93&lt;=(AP$4+Ayarlar!$C$6-1),Görevler!$D93&gt;=AP$4),IF(AP$4&lt;=Görevler!$C93+ROUND(Görevler!$F93*Görevler!$E93,0)-1,2,1),""))</f>
        <v/>
      </c>
      <c r="AQ93" s="22" t="str">
        <f aca="false">IF(Görevler!$F93="","",IF(AND(Görevler!$C93&lt;=(AQ$4+Ayarlar!$C$6-1),Görevler!$D93&gt;=AQ$4),IF(AQ$4&lt;=Görevler!$C93+ROUND(Görevler!$F93*Görevler!$E93,0)-1,2,1),""))</f>
        <v/>
      </c>
      <c r="AR93" s="22" t="str">
        <f aca="false">IF(Görevler!$F93="","",IF(AND(Görevler!$C93&lt;=(AR$4+Ayarlar!$C$6-1),Görevler!$D93&gt;=AR$4),IF(AR$4&lt;=Görevler!$C93+ROUND(Görevler!$F93*Görevler!$E93,0)-1,2,1),""))</f>
        <v/>
      </c>
      <c r="AS93" s="22" t="str">
        <f aca="false">IF(Görevler!$F93="","",IF(AND(Görevler!$C93&lt;=(AS$4+Ayarlar!$C$6-1),Görevler!$D93&gt;=AS$4),IF(AS$4&lt;=Görevler!$C93+ROUND(Görevler!$F93*Görevler!$E93,0)-1,2,1),""))</f>
        <v/>
      </c>
      <c r="AT93" s="22" t="str">
        <f aca="false">IF(Görevler!$F93="","",IF(AND(Görevler!$C93&lt;=(AT$4+Ayarlar!$C$6-1),Görevler!$D93&gt;=AT$4),IF(AT$4&lt;=Görevler!$C93+ROUND(Görevler!$F93*Görevler!$E93,0)-1,2,1),""))</f>
        <v/>
      </c>
      <c r="AU93" s="22" t="str">
        <f aca="false">IF(Görevler!$F93="","",IF(AND(Görevler!$C93&lt;=(AU$4+Ayarlar!$C$6-1),Görevler!$D93&gt;=AU$4),IF(AU$4&lt;=Görevler!$C93+ROUND(Görevler!$F93*Görevler!$E93,0)-1,2,1),""))</f>
        <v/>
      </c>
      <c r="AV93" s="22" t="str">
        <f aca="false">IF(Görevler!$F93="","",IF(AND(Görevler!$C93&lt;=(AV$4+Ayarlar!$C$6-1),Görevler!$D93&gt;=AV$4),IF(AV$4&lt;=Görevler!$C93+ROUND(Görevler!$F93*Görevler!$E93,0)-1,2,1),""))</f>
        <v/>
      </c>
      <c r="AW93" s="22" t="str">
        <f aca="false">IF(Görevler!$F93="","",IF(AND(Görevler!$C93&lt;=(AW$4+Ayarlar!$C$6-1),Görevler!$D93&gt;=AW$4),IF(AW$4&lt;=Görevler!$C93+ROUND(Görevler!$F93*Görevler!$E93,0)-1,2,1),""))</f>
        <v/>
      </c>
      <c r="AX93" s="22" t="str">
        <f aca="false">IF(Görevler!$F93="","",IF(AND(Görevler!$C93&lt;=(AX$4+Ayarlar!$C$6-1),Görevler!$D93&gt;=AX$4),IF(AX$4&lt;=Görevler!$C93+ROUND(Görevler!$F93*Görevler!$E93,0)-1,2,1),""))</f>
        <v/>
      </c>
      <c r="AY93" s="22" t="str">
        <f aca="false">IF(Görevler!$F93="","",IF(AND(Görevler!$C93&lt;=(AY$4+Ayarlar!$C$6-1),Görevler!$D93&gt;=AY$4),IF(AY$4&lt;=Görevler!$C93+ROUND(Görevler!$F93*Görevler!$E93,0)-1,2,1),""))</f>
        <v/>
      </c>
      <c r="AZ93" s="22" t="str">
        <f aca="false">IF(Görevler!$F93="","",IF(AND(Görevler!$C93&lt;=(AZ$4+Ayarlar!$C$6-1),Görevler!$D93&gt;=AZ$4),IF(AZ$4&lt;=Görevler!$C93+ROUND(Görevler!$F93*Görevler!$E93,0)-1,2,1),""))</f>
        <v/>
      </c>
      <c r="BA93" s="22" t="str">
        <f aca="false">IF(Görevler!$F93="","",IF(AND(Görevler!$C93&lt;=(BA$4+Ayarlar!$C$6-1),Görevler!$D93&gt;=BA$4),IF(BA$4&lt;=Görevler!$C93+ROUND(Görevler!$F93*Görevler!$E93,0)-1,2,1),""))</f>
        <v/>
      </c>
      <c r="BB93" s="22" t="str">
        <f aca="false">IF(Görevler!$F93="","",IF(AND(Görevler!$C93&lt;=(BB$4+Ayarlar!$C$6-1),Görevler!$D93&gt;=BB$4),IF(BB$4&lt;=Görevler!$C93+ROUND(Görevler!$F93*Görevler!$E93,0)-1,2,1),""))</f>
        <v/>
      </c>
      <c r="BC93" s="22" t="str">
        <f aca="false">IF(Görevler!$F93="","",IF(AND(Görevler!$C93&lt;=(BC$4+Ayarlar!$C$6-1),Görevler!$D93&gt;=BC$4),IF(BC$4&lt;=Görevler!$C93+ROUND(Görevler!$F93*Görevler!$E93,0)-1,2,1),""))</f>
        <v/>
      </c>
      <c r="BD93" s="22" t="str">
        <f aca="false">IF(Görevler!$F93="","",IF(AND(Görevler!$C93&lt;=(BD$4+Ayarlar!$C$6-1),Görevler!$D93&gt;=BD$4),IF(BD$4&lt;=Görevler!$C93+ROUND(Görevler!$F93*Görevler!$E93,0)-1,2,1),""))</f>
        <v/>
      </c>
      <c r="BE93" s="22" t="str">
        <f aca="false">IF(Görevler!$F93="","",IF(AND(Görevler!$C93&lt;=(BE$4+Ayarlar!$C$6-1),Görevler!$D93&gt;=BE$4),IF(BE$4&lt;=Görevler!$C93+ROUND(Görevler!$F93*Görevler!$E93,0)-1,2,1),""))</f>
        <v/>
      </c>
      <c r="BF93" s="22" t="str">
        <f aca="false">IF(Görevler!$F93="","",IF(AND(Görevler!$C93&lt;=(BF$4+Ayarlar!$C$6-1),Görevler!$D93&gt;=BF$4),IF(BF$4&lt;=Görevler!$C93+ROUND(Görevler!$F93*Görevler!$E93,0)-1,2,1),""))</f>
        <v/>
      </c>
      <c r="BG93" s="22" t="str">
        <f aca="false">IF(Görevler!$F93="","",IF(AND(Görevler!$C93&lt;=(BG$4+Ayarlar!$C$6-1),Görevler!$D93&gt;=BG$4),IF(BG$4&lt;=Görevler!$C93+ROUND(Görevler!$F93*Görevler!$E93,0)-1,2,1),""))</f>
        <v/>
      </c>
      <c r="BH93" s="22" t="str">
        <f aca="false">IF(Görevler!$F93="","",IF(AND(Görevler!$C93&lt;=(BH$4+Ayarlar!$C$6-1),Görevler!$D93&gt;=BH$4),IF(BH$4&lt;=Görevler!$C93+ROUND(Görevler!$F93*Görevler!$E93,0)-1,2,1),""))</f>
        <v/>
      </c>
      <c r="BI93" s="22" t="str">
        <f aca="false">IF(Görevler!$F93="","",IF(AND(Görevler!$C93&lt;=(BI$4+Ayarlar!$C$6-1),Görevler!$D93&gt;=BI$4),IF(BI$4&lt;=Görevler!$C93+ROUND(Görevler!$F93*Görevler!$E93,0)-1,2,1),""))</f>
        <v/>
      </c>
      <c r="BJ93" s="22" t="str">
        <f aca="false">IF(Görevler!$F93="","",IF(AND(Görevler!$C93&lt;=(BJ$4+Ayarlar!$C$6-1),Görevler!$D93&gt;=BJ$4),IF(BJ$4&lt;=Görevler!$C93+ROUND(Görevler!$F93*Görevler!$E93,0)-1,2,1),""))</f>
        <v/>
      </c>
    </row>
    <row r="94" customFormat="false" ht="15" hidden="false" customHeight="false" outlineLevel="0" collapsed="false">
      <c r="A94" s="21" t="str">
        <f aca="false">IF(Görevler!A94="","",Görevler!A94)</f>
        <v/>
      </c>
      <c r="B94" s="21" t="str">
        <f aca="false">IF(Görevler!A94="","",Görevler!B94&amp;"")</f>
        <v/>
      </c>
      <c r="C94" s="22" t="str">
        <f aca="false">IF(Görevler!$F94="","",IF(AND(Görevler!$C94&lt;=(C$4+Ayarlar!$C$6-1),Görevler!$D94&gt;=C$4),IF(C$4&lt;=Görevler!$C94+ROUND(Görevler!$F94*Görevler!$E94,0)-1,2,1),""))</f>
        <v/>
      </c>
      <c r="D94" s="22" t="str">
        <f aca="false">IF(Görevler!$F94="","",IF(AND(Görevler!$C94&lt;=(D$4+Ayarlar!$C$6-1),Görevler!$D94&gt;=D$4),IF(D$4&lt;=Görevler!$C94+ROUND(Görevler!$F94*Görevler!$E94,0)-1,2,1),""))</f>
        <v/>
      </c>
      <c r="E94" s="22" t="str">
        <f aca="false">IF(Görevler!$F94="","",IF(AND(Görevler!$C94&lt;=(E$4+Ayarlar!$C$6-1),Görevler!$D94&gt;=E$4),IF(E$4&lt;=Görevler!$C94+ROUND(Görevler!$F94*Görevler!$E94,0)-1,2,1),""))</f>
        <v/>
      </c>
      <c r="F94" s="22" t="str">
        <f aca="false">IF(Görevler!$F94="","",IF(AND(Görevler!$C94&lt;=(F$4+Ayarlar!$C$6-1),Görevler!$D94&gt;=F$4),IF(F$4&lt;=Görevler!$C94+ROUND(Görevler!$F94*Görevler!$E94,0)-1,2,1),""))</f>
        <v/>
      </c>
      <c r="G94" s="22" t="str">
        <f aca="false">IF(Görevler!$F94="","",IF(AND(Görevler!$C94&lt;=(G$4+Ayarlar!$C$6-1),Görevler!$D94&gt;=G$4),IF(G$4&lt;=Görevler!$C94+ROUND(Görevler!$F94*Görevler!$E94,0)-1,2,1),""))</f>
        <v/>
      </c>
      <c r="H94" s="22" t="str">
        <f aca="false">IF(Görevler!$F94="","",IF(AND(Görevler!$C94&lt;=(H$4+Ayarlar!$C$6-1),Görevler!$D94&gt;=H$4),IF(H$4&lt;=Görevler!$C94+ROUND(Görevler!$F94*Görevler!$E94,0)-1,2,1),""))</f>
        <v/>
      </c>
      <c r="I94" s="22" t="str">
        <f aca="false">IF(Görevler!$F94="","",IF(AND(Görevler!$C94&lt;=(I$4+Ayarlar!$C$6-1),Görevler!$D94&gt;=I$4),IF(I$4&lt;=Görevler!$C94+ROUND(Görevler!$F94*Görevler!$E94,0)-1,2,1),""))</f>
        <v/>
      </c>
      <c r="J94" s="22" t="str">
        <f aca="false">IF(Görevler!$F94="","",IF(AND(Görevler!$C94&lt;=(J$4+Ayarlar!$C$6-1),Görevler!$D94&gt;=J$4),IF(J$4&lt;=Görevler!$C94+ROUND(Görevler!$F94*Görevler!$E94,0)-1,2,1),""))</f>
        <v/>
      </c>
      <c r="K94" s="22" t="str">
        <f aca="false">IF(Görevler!$F94="","",IF(AND(Görevler!$C94&lt;=(K$4+Ayarlar!$C$6-1),Görevler!$D94&gt;=K$4),IF(K$4&lt;=Görevler!$C94+ROUND(Görevler!$F94*Görevler!$E94,0)-1,2,1),""))</f>
        <v/>
      </c>
      <c r="L94" s="22" t="str">
        <f aca="false">IF(Görevler!$F94="","",IF(AND(Görevler!$C94&lt;=(L$4+Ayarlar!$C$6-1),Görevler!$D94&gt;=L$4),IF(L$4&lt;=Görevler!$C94+ROUND(Görevler!$F94*Görevler!$E94,0)-1,2,1),""))</f>
        <v/>
      </c>
      <c r="M94" s="22" t="str">
        <f aca="false">IF(Görevler!$F94="","",IF(AND(Görevler!$C94&lt;=(M$4+Ayarlar!$C$6-1),Görevler!$D94&gt;=M$4),IF(M$4&lt;=Görevler!$C94+ROUND(Görevler!$F94*Görevler!$E94,0)-1,2,1),""))</f>
        <v/>
      </c>
      <c r="N94" s="22" t="str">
        <f aca="false">IF(Görevler!$F94="","",IF(AND(Görevler!$C94&lt;=(N$4+Ayarlar!$C$6-1),Görevler!$D94&gt;=N$4),IF(N$4&lt;=Görevler!$C94+ROUND(Görevler!$F94*Görevler!$E94,0)-1,2,1),""))</f>
        <v/>
      </c>
      <c r="O94" s="22" t="str">
        <f aca="false">IF(Görevler!$F94="","",IF(AND(Görevler!$C94&lt;=(O$4+Ayarlar!$C$6-1),Görevler!$D94&gt;=O$4),IF(O$4&lt;=Görevler!$C94+ROUND(Görevler!$F94*Görevler!$E94,0)-1,2,1),""))</f>
        <v/>
      </c>
      <c r="P94" s="22" t="str">
        <f aca="false">IF(Görevler!$F94="","",IF(AND(Görevler!$C94&lt;=(P$4+Ayarlar!$C$6-1),Görevler!$D94&gt;=P$4),IF(P$4&lt;=Görevler!$C94+ROUND(Görevler!$F94*Görevler!$E94,0)-1,2,1),""))</f>
        <v/>
      </c>
      <c r="Q94" s="22" t="str">
        <f aca="false">IF(Görevler!$F94="","",IF(AND(Görevler!$C94&lt;=(Q$4+Ayarlar!$C$6-1),Görevler!$D94&gt;=Q$4),IF(Q$4&lt;=Görevler!$C94+ROUND(Görevler!$F94*Görevler!$E94,0)-1,2,1),""))</f>
        <v/>
      </c>
      <c r="R94" s="22" t="str">
        <f aca="false">IF(Görevler!$F94="","",IF(AND(Görevler!$C94&lt;=(R$4+Ayarlar!$C$6-1),Görevler!$D94&gt;=R$4),IF(R$4&lt;=Görevler!$C94+ROUND(Görevler!$F94*Görevler!$E94,0)-1,2,1),""))</f>
        <v/>
      </c>
      <c r="S94" s="22" t="str">
        <f aca="false">IF(Görevler!$F94="","",IF(AND(Görevler!$C94&lt;=(S$4+Ayarlar!$C$6-1),Görevler!$D94&gt;=S$4),IF(S$4&lt;=Görevler!$C94+ROUND(Görevler!$F94*Görevler!$E94,0)-1,2,1),""))</f>
        <v/>
      </c>
      <c r="T94" s="22" t="str">
        <f aca="false">IF(Görevler!$F94="","",IF(AND(Görevler!$C94&lt;=(T$4+Ayarlar!$C$6-1),Görevler!$D94&gt;=T$4),IF(T$4&lt;=Görevler!$C94+ROUND(Görevler!$F94*Görevler!$E94,0)-1,2,1),""))</f>
        <v/>
      </c>
      <c r="U94" s="22" t="str">
        <f aca="false">IF(Görevler!$F94="","",IF(AND(Görevler!$C94&lt;=(U$4+Ayarlar!$C$6-1),Görevler!$D94&gt;=U$4),IF(U$4&lt;=Görevler!$C94+ROUND(Görevler!$F94*Görevler!$E94,0)-1,2,1),""))</f>
        <v/>
      </c>
      <c r="V94" s="22" t="str">
        <f aca="false">IF(Görevler!$F94="","",IF(AND(Görevler!$C94&lt;=(V$4+Ayarlar!$C$6-1),Görevler!$D94&gt;=V$4),IF(V$4&lt;=Görevler!$C94+ROUND(Görevler!$F94*Görevler!$E94,0)-1,2,1),""))</f>
        <v/>
      </c>
      <c r="W94" s="22" t="str">
        <f aca="false">IF(Görevler!$F94="","",IF(AND(Görevler!$C94&lt;=(W$4+Ayarlar!$C$6-1),Görevler!$D94&gt;=W$4),IF(W$4&lt;=Görevler!$C94+ROUND(Görevler!$F94*Görevler!$E94,0)-1,2,1),""))</f>
        <v/>
      </c>
      <c r="X94" s="22" t="str">
        <f aca="false">IF(Görevler!$F94="","",IF(AND(Görevler!$C94&lt;=(X$4+Ayarlar!$C$6-1),Görevler!$D94&gt;=X$4),IF(X$4&lt;=Görevler!$C94+ROUND(Görevler!$F94*Görevler!$E94,0)-1,2,1),""))</f>
        <v/>
      </c>
      <c r="Y94" s="22" t="str">
        <f aca="false">IF(Görevler!$F94="","",IF(AND(Görevler!$C94&lt;=(Y$4+Ayarlar!$C$6-1),Görevler!$D94&gt;=Y$4),IF(Y$4&lt;=Görevler!$C94+ROUND(Görevler!$F94*Görevler!$E94,0)-1,2,1),""))</f>
        <v/>
      </c>
      <c r="Z94" s="22" t="str">
        <f aca="false">IF(Görevler!$F94="","",IF(AND(Görevler!$C94&lt;=(Z$4+Ayarlar!$C$6-1),Görevler!$D94&gt;=Z$4),IF(Z$4&lt;=Görevler!$C94+ROUND(Görevler!$F94*Görevler!$E94,0)-1,2,1),""))</f>
        <v/>
      </c>
      <c r="AA94" s="22" t="str">
        <f aca="false">IF(Görevler!$F94="","",IF(AND(Görevler!$C94&lt;=(AA$4+Ayarlar!$C$6-1),Görevler!$D94&gt;=AA$4),IF(AA$4&lt;=Görevler!$C94+ROUND(Görevler!$F94*Görevler!$E94,0)-1,2,1),""))</f>
        <v/>
      </c>
      <c r="AB94" s="22" t="str">
        <f aca="false">IF(Görevler!$F94="","",IF(AND(Görevler!$C94&lt;=(AB$4+Ayarlar!$C$6-1),Görevler!$D94&gt;=AB$4),IF(AB$4&lt;=Görevler!$C94+ROUND(Görevler!$F94*Görevler!$E94,0)-1,2,1),""))</f>
        <v/>
      </c>
      <c r="AC94" s="22" t="str">
        <f aca="false">IF(Görevler!$F94="","",IF(AND(Görevler!$C94&lt;=(AC$4+Ayarlar!$C$6-1),Görevler!$D94&gt;=AC$4),IF(AC$4&lt;=Görevler!$C94+ROUND(Görevler!$F94*Görevler!$E94,0)-1,2,1),""))</f>
        <v/>
      </c>
      <c r="AD94" s="22" t="str">
        <f aca="false">IF(Görevler!$F94="","",IF(AND(Görevler!$C94&lt;=(AD$4+Ayarlar!$C$6-1),Görevler!$D94&gt;=AD$4),IF(AD$4&lt;=Görevler!$C94+ROUND(Görevler!$F94*Görevler!$E94,0)-1,2,1),""))</f>
        <v/>
      </c>
      <c r="AE94" s="22" t="str">
        <f aca="false">IF(Görevler!$F94="","",IF(AND(Görevler!$C94&lt;=(AE$4+Ayarlar!$C$6-1),Görevler!$D94&gt;=AE$4),IF(AE$4&lt;=Görevler!$C94+ROUND(Görevler!$F94*Görevler!$E94,0)-1,2,1),""))</f>
        <v/>
      </c>
      <c r="AF94" s="22" t="str">
        <f aca="false">IF(Görevler!$F94="","",IF(AND(Görevler!$C94&lt;=(AF$4+Ayarlar!$C$6-1),Görevler!$D94&gt;=AF$4),IF(AF$4&lt;=Görevler!$C94+ROUND(Görevler!$F94*Görevler!$E94,0)-1,2,1),""))</f>
        <v/>
      </c>
      <c r="AG94" s="22" t="str">
        <f aca="false">IF(Görevler!$F94="","",IF(AND(Görevler!$C94&lt;=(AG$4+Ayarlar!$C$6-1),Görevler!$D94&gt;=AG$4),IF(AG$4&lt;=Görevler!$C94+ROUND(Görevler!$F94*Görevler!$E94,0)-1,2,1),""))</f>
        <v/>
      </c>
      <c r="AH94" s="22" t="str">
        <f aca="false">IF(Görevler!$F94="","",IF(AND(Görevler!$C94&lt;=(AH$4+Ayarlar!$C$6-1),Görevler!$D94&gt;=AH$4),IF(AH$4&lt;=Görevler!$C94+ROUND(Görevler!$F94*Görevler!$E94,0)-1,2,1),""))</f>
        <v/>
      </c>
      <c r="AI94" s="22" t="str">
        <f aca="false">IF(Görevler!$F94="","",IF(AND(Görevler!$C94&lt;=(AI$4+Ayarlar!$C$6-1),Görevler!$D94&gt;=AI$4),IF(AI$4&lt;=Görevler!$C94+ROUND(Görevler!$F94*Görevler!$E94,0)-1,2,1),""))</f>
        <v/>
      </c>
      <c r="AJ94" s="22" t="str">
        <f aca="false">IF(Görevler!$F94="","",IF(AND(Görevler!$C94&lt;=(AJ$4+Ayarlar!$C$6-1),Görevler!$D94&gt;=AJ$4),IF(AJ$4&lt;=Görevler!$C94+ROUND(Görevler!$F94*Görevler!$E94,0)-1,2,1),""))</f>
        <v/>
      </c>
      <c r="AK94" s="22" t="str">
        <f aca="false">IF(Görevler!$F94="","",IF(AND(Görevler!$C94&lt;=(AK$4+Ayarlar!$C$6-1),Görevler!$D94&gt;=AK$4),IF(AK$4&lt;=Görevler!$C94+ROUND(Görevler!$F94*Görevler!$E94,0)-1,2,1),""))</f>
        <v/>
      </c>
      <c r="AL94" s="22" t="str">
        <f aca="false">IF(Görevler!$F94="","",IF(AND(Görevler!$C94&lt;=(AL$4+Ayarlar!$C$6-1),Görevler!$D94&gt;=AL$4),IF(AL$4&lt;=Görevler!$C94+ROUND(Görevler!$F94*Görevler!$E94,0)-1,2,1),""))</f>
        <v/>
      </c>
      <c r="AM94" s="22" t="str">
        <f aca="false">IF(Görevler!$F94="","",IF(AND(Görevler!$C94&lt;=(AM$4+Ayarlar!$C$6-1),Görevler!$D94&gt;=AM$4),IF(AM$4&lt;=Görevler!$C94+ROUND(Görevler!$F94*Görevler!$E94,0)-1,2,1),""))</f>
        <v/>
      </c>
      <c r="AN94" s="22" t="str">
        <f aca="false">IF(Görevler!$F94="","",IF(AND(Görevler!$C94&lt;=(AN$4+Ayarlar!$C$6-1),Görevler!$D94&gt;=AN$4),IF(AN$4&lt;=Görevler!$C94+ROUND(Görevler!$F94*Görevler!$E94,0)-1,2,1),""))</f>
        <v/>
      </c>
      <c r="AO94" s="22" t="str">
        <f aca="false">IF(Görevler!$F94="","",IF(AND(Görevler!$C94&lt;=(AO$4+Ayarlar!$C$6-1),Görevler!$D94&gt;=AO$4),IF(AO$4&lt;=Görevler!$C94+ROUND(Görevler!$F94*Görevler!$E94,0)-1,2,1),""))</f>
        <v/>
      </c>
      <c r="AP94" s="22" t="str">
        <f aca="false">IF(Görevler!$F94="","",IF(AND(Görevler!$C94&lt;=(AP$4+Ayarlar!$C$6-1),Görevler!$D94&gt;=AP$4),IF(AP$4&lt;=Görevler!$C94+ROUND(Görevler!$F94*Görevler!$E94,0)-1,2,1),""))</f>
        <v/>
      </c>
      <c r="AQ94" s="22" t="str">
        <f aca="false">IF(Görevler!$F94="","",IF(AND(Görevler!$C94&lt;=(AQ$4+Ayarlar!$C$6-1),Görevler!$D94&gt;=AQ$4),IF(AQ$4&lt;=Görevler!$C94+ROUND(Görevler!$F94*Görevler!$E94,0)-1,2,1),""))</f>
        <v/>
      </c>
      <c r="AR94" s="22" t="str">
        <f aca="false">IF(Görevler!$F94="","",IF(AND(Görevler!$C94&lt;=(AR$4+Ayarlar!$C$6-1),Görevler!$D94&gt;=AR$4),IF(AR$4&lt;=Görevler!$C94+ROUND(Görevler!$F94*Görevler!$E94,0)-1,2,1),""))</f>
        <v/>
      </c>
      <c r="AS94" s="22" t="str">
        <f aca="false">IF(Görevler!$F94="","",IF(AND(Görevler!$C94&lt;=(AS$4+Ayarlar!$C$6-1),Görevler!$D94&gt;=AS$4),IF(AS$4&lt;=Görevler!$C94+ROUND(Görevler!$F94*Görevler!$E94,0)-1,2,1),""))</f>
        <v/>
      </c>
      <c r="AT94" s="22" t="str">
        <f aca="false">IF(Görevler!$F94="","",IF(AND(Görevler!$C94&lt;=(AT$4+Ayarlar!$C$6-1),Görevler!$D94&gt;=AT$4),IF(AT$4&lt;=Görevler!$C94+ROUND(Görevler!$F94*Görevler!$E94,0)-1,2,1),""))</f>
        <v/>
      </c>
      <c r="AU94" s="22" t="str">
        <f aca="false">IF(Görevler!$F94="","",IF(AND(Görevler!$C94&lt;=(AU$4+Ayarlar!$C$6-1),Görevler!$D94&gt;=AU$4),IF(AU$4&lt;=Görevler!$C94+ROUND(Görevler!$F94*Görevler!$E94,0)-1,2,1),""))</f>
        <v/>
      </c>
      <c r="AV94" s="22" t="str">
        <f aca="false">IF(Görevler!$F94="","",IF(AND(Görevler!$C94&lt;=(AV$4+Ayarlar!$C$6-1),Görevler!$D94&gt;=AV$4),IF(AV$4&lt;=Görevler!$C94+ROUND(Görevler!$F94*Görevler!$E94,0)-1,2,1),""))</f>
        <v/>
      </c>
      <c r="AW94" s="22" t="str">
        <f aca="false">IF(Görevler!$F94="","",IF(AND(Görevler!$C94&lt;=(AW$4+Ayarlar!$C$6-1),Görevler!$D94&gt;=AW$4),IF(AW$4&lt;=Görevler!$C94+ROUND(Görevler!$F94*Görevler!$E94,0)-1,2,1),""))</f>
        <v/>
      </c>
      <c r="AX94" s="22" t="str">
        <f aca="false">IF(Görevler!$F94="","",IF(AND(Görevler!$C94&lt;=(AX$4+Ayarlar!$C$6-1),Görevler!$D94&gt;=AX$4),IF(AX$4&lt;=Görevler!$C94+ROUND(Görevler!$F94*Görevler!$E94,0)-1,2,1),""))</f>
        <v/>
      </c>
      <c r="AY94" s="22" t="str">
        <f aca="false">IF(Görevler!$F94="","",IF(AND(Görevler!$C94&lt;=(AY$4+Ayarlar!$C$6-1),Görevler!$D94&gt;=AY$4),IF(AY$4&lt;=Görevler!$C94+ROUND(Görevler!$F94*Görevler!$E94,0)-1,2,1),""))</f>
        <v/>
      </c>
      <c r="AZ94" s="22" t="str">
        <f aca="false">IF(Görevler!$F94="","",IF(AND(Görevler!$C94&lt;=(AZ$4+Ayarlar!$C$6-1),Görevler!$D94&gt;=AZ$4),IF(AZ$4&lt;=Görevler!$C94+ROUND(Görevler!$F94*Görevler!$E94,0)-1,2,1),""))</f>
        <v/>
      </c>
      <c r="BA94" s="22" t="str">
        <f aca="false">IF(Görevler!$F94="","",IF(AND(Görevler!$C94&lt;=(BA$4+Ayarlar!$C$6-1),Görevler!$D94&gt;=BA$4),IF(BA$4&lt;=Görevler!$C94+ROUND(Görevler!$F94*Görevler!$E94,0)-1,2,1),""))</f>
        <v/>
      </c>
      <c r="BB94" s="22" t="str">
        <f aca="false">IF(Görevler!$F94="","",IF(AND(Görevler!$C94&lt;=(BB$4+Ayarlar!$C$6-1),Görevler!$D94&gt;=BB$4),IF(BB$4&lt;=Görevler!$C94+ROUND(Görevler!$F94*Görevler!$E94,0)-1,2,1),""))</f>
        <v/>
      </c>
      <c r="BC94" s="22" t="str">
        <f aca="false">IF(Görevler!$F94="","",IF(AND(Görevler!$C94&lt;=(BC$4+Ayarlar!$C$6-1),Görevler!$D94&gt;=BC$4),IF(BC$4&lt;=Görevler!$C94+ROUND(Görevler!$F94*Görevler!$E94,0)-1,2,1),""))</f>
        <v/>
      </c>
      <c r="BD94" s="22" t="str">
        <f aca="false">IF(Görevler!$F94="","",IF(AND(Görevler!$C94&lt;=(BD$4+Ayarlar!$C$6-1),Görevler!$D94&gt;=BD$4),IF(BD$4&lt;=Görevler!$C94+ROUND(Görevler!$F94*Görevler!$E94,0)-1,2,1),""))</f>
        <v/>
      </c>
      <c r="BE94" s="22" t="str">
        <f aca="false">IF(Görevler!$F94="","",IF(AND(Görevler!$C94&lt;=(BE$4+Ayarlar!$C$6-1),Görevler!$D94&gt;=BE$4),IF(BE$4&lt;=Görevler!$C94+ROUND(Görevler!$F94*Görevler!$E94,0)-1,2,1),""))</f>
        <v/>
      </c>
      <c r="BF94" s="22" t="str">
        <f aca="false">IF(Görevler!$F94="","",IF(AND(Görevler!$C94&lt;=(BF$4+Ayarlar!$C$6-1),Görevler!$D94&gt;=BF$4),IF(BF$4&lt;=Görevler!$C94+ROUND(Görevler!$F94*Görevler!$E94,0)-1,2,1),""))</f>
        <v/>
      </c>
      <c r="BG94" s="22" t="str">
        <f aca="false">IF(Görevler!$F94="","",IF(AND(Görevler!$C94&lt;=(BG$4+Ayarlar!$C$6-1),Görevler!$D94&gt;=BG$4),IF(BG$4&lt;=Görevler!$C94+ROUND(Görevler!$F94*Görevler!$E94,0)-1,2,1),""))</f>
        <v/>
      </c>
      <c r="BH94" s="22" t="str">
        <f aca="false">IF(Görevler!$F94="","",IF(AND(Görevler!$C94&lt;=(BH$4+Ayarlar!$C$6-1),Görevler!$D94&gt;=BH$4),IF(BH$4&lt;=Görevler!$C94+ROUND(Görevler!$F94*Görevler!$E94,0)-1,2,1),""))</f>
        <v/>
      </c>
      <c r="BI94" s="22" t="str">
        <f aca="false">IF(Görevler!$F94="","",IF(AND(Görevler!$C94&lt;=(BI$4+Ayarlar!$C$6-1),Görevler!$D94&gt;=BI$4),IF(BI$4&lt;=Görevler!$C94+ROUND(Görevler!$F94*Görevler!$E94,0)-1,2,1),""))</f>
        <v/>
      </c>
      <c r="BJ94" s="22" t="str">
        <f aca="false">IF(Görevler!$F94="","",IF(AND(Görevler!$C94&lt;=(BJ$4+Ayarlar!$C$6-1),Görevler!$D94&gt;=BJ$4),IF(BJ$4&lt;=Görevler!$C94+ROUND(Görevler!$F94*Görevler!$E94,0)-1,2,1),""))</f>
        <v/>
      </c>
    </row>
    <row r="95" customFormat="false" ht="15" hidden="false" customHeight="false" outlineLevel="0" collapsed="false">
      <c r="A95" s="21" t="str">
        <f aca="false">IF(Görevler!A95="","",Görevler!A95)</f>
        <v/>
      </c>
      <c r="B95" s="21" t="str">
        <f aca="false">IF(Görevler!A95="","",Görevler!B95&amp;"")</f>
        <v/>
      </c>
      <c r="C95" s="22" t="str">
        <f aca="false">IF(Görevler!$F95="","",IF(AND(Görevler!$C95&lt;=(C$4+Ayarlar!$C$6-1),Görevler!$D95&gt;=C$4),IF(C$4&lt;=Görevler!$C95+ROUND(Görevler!$F95*Görevler!$E95,0)-1,2,1),""))</f>
        <v/>
      </c>
      <c r="D95" s="22" t="str">
        <f aca="false">IF(Görevler!$F95="","",IF(AND(Görevler!$C95&lt;=(D$4+Ayarlar!$C$6-1),Görevler!$D95&gt;=D$4),IF(D$4&lt;=Görevler!$C95+ROUND(Görevler!$F95*Görevler!$E95,0)-1,2,1),""))</f>
        <v/>
      </c>
      <c r="E95" s="22" t="str">
        <f aca="false">IF(Görevler!$F95="","",IF(AND(Görevler!$C95&lt;=(E$4+Ayarlar!$C$6-1),Görevler!$D95&gt;=E$4),IF(E$4&lt;=Görevler!$C95+ROUND(Görevler!$F95*Görevler!$E95,0)-1,2,1),""))</f>
        <v/>
      </c>
      <c r="F95" s="22" t="str">
        <f aca="false">IF(Görevler!$F95="","",IF(AND(Görevler!$C95&lt;=(F$4+Ayarlar!$C$6-1),Görevler!$D95&gt;=F$4),IF(F$4&lt;=Görevler!$C95+ROUND(Görevler!$F95*Görevler!$E95,0)-1,2,1),""))</f>
        <v/>
      </c>
      <c r="G95" s="22" t="str">
        <f aca="false">IF(Görevler!$F95="","",IF(AND(Görevler!$C95&lt;=(G$4+Ayarlar!$C$6-1),Görevler!$D95&gt;=G$4),IF(G$4&lt;=Görevler!$C95+ROUND(Görevler!$F95*Görevler!$E95,0)-1,2,1),""))</f>
        <v/>
      </c>
      <c r="H95" s="22" t="str">
        <f aca="false">IF(Görevler!$F95="","",IF(AND(Görevler!$C95&lt;=(H$4+Ayarlar!$C$6-1),Görevler!$D95&gt;=H$4),IF(H$4&lt;=Görevler!$C95+ROUND(Görevler!$F95*Görevler!$E95,0)-1,2,1),""))</f>
        <v/>
      </c>
      <c r="I95" s="22" t="str">
        <f aca="false">IF(Görevler!$F95="","",IF(AND(Görevler!$C95&lt;=(I$4+Ayarlar!$C$6-1),Görevler!$D95&gt;=I$4),IF(I$4&lt;=Görevler!$C95+ROUND(Görevler!$F95*Görevler!$E95,0)-1,2,1),""))</f>
        <v/>
      </c>
      <c r="J95" s="22" t="str">
        <f aca="false">IF(Görevler!$F95="","",IF(AND(Görevler!$C95&lt;=(J$4+Ayarlar!$C$6-1),Görevler!$D95&gt;=J$4),IF(J$4&lt;=Görevler!$C95+ROUND(Görevler!$F95*Görevler!$E95,0)-1,2,1),""))</f>
        <v/>
      </c>
      <c r="K95" s="22" t="str">
        <f aca="false">IF(Görevler!$F95="","",IF(AND(Görevler!$C95&lt;=(K$4+Ayarlar!$C$6-1),Görevler!$D95&gt;=K$4),IF(K$4&lt;=Görevler!$C95+ROUND(Görevler!$F95*Görevler!$E95,0)-1,2,1),""))</f>
        <v/>
      </c>
      <c r="L95" s="22" t="str">
        <f aca="false">IF(Görevler!$F95="","",IF(AND(Görevler!$C95&lt;=(L$4+Ayarlar!$C$6-1),Görevler!$D95&gt;=L$4),IF(L$4&lt;=Görevler!$C95+ROUND(Görevler!$F95*Görevler!$E95,0)-1,2,1),""))</f>
        <v/>
      </c>
      <c r="M95" s="22" t="str">
        <f aca="false">IF(Görevler!$F95="","",IF(AND(Görevler!$C95&lt;=(M$4+Ayarlar!$C$6-1),Görevler!$D95&gt;=M$4),IF(M$4&lt;=Görevler!$C95+ROUND(Görevler!$F95*Görevler!$E95,0)-1,2,1),""))</f>
        <v/>
      </c>
      <c r="N95" s="22" t="str">
        <f aca="false">IF(Görevler!$F95="","",IF(AND(Görevler!$C95&lt;=(N$4+Ayarlar!$C$6-1),Görevler!$D95&gt;=N$4),IF(N$4&lt;=Görevler!$C95+ROUND(Görevler!$F95*Görevler!$E95,0)-1,2,1),""))</f>
        <v/>
      </c>
      <c r="O95" s="22" t="str">
        <f aca="false">IF(Görevler!$F95="","",IF(AND(Görevler!$C95&lt;=(O$4+Ayarlar!$C$6-1),Görevler!$D95&gt;=O$4),IF(O$4&lt;=Görevler!$C95+ROUND(Görevler!$F95*Görevler!$E95,0)-1,2,1),""))</f>
        <v/>
      </c>
      <c r="P95" s="22" t="str">
        <f aca="false">IF(Görevler!$F95="","",IF(AND(Görevler!$C95&lt;=(P$4+Ayarlar!$C$6-1),Görevler!$D95&gt;=P$4),IF(P$4&lt;=Görevler!$C95+ROUND(Görevler!$F95*Görevler!$E95,0)-1,2,1),""))</f>
        <v/>
      </c>
      <c r="Q95" s="22" t="str">
        <f aca="false">IF(Görevler!$F95="","",IF(AND(Görevler!$C95&lt;=(Q$4+Ayarlar!$C$6-1),Görevler!$D95&gt;=Q$4),IF(Q$4&lt;=Görevler!$C95+ROUND(Görevler!$F95*Görevler!$E95,0)-1,2,1),""))</f>
        <v/>
      </c>
      <c r="R95" s="22" t="str">
        <f aca="false">IF(Görevler!$F95="","",IF(AND(Görevler!$C95&lt;=(R$4+Ayarlar!$C$6-1),Görevler!$D95&gt;=R$4),IF(R$4&lt;=Görevler!$C95+ROUND(Görevler!$F95*Görevler!$E95,0)-1,2,1),""))</f>
        <v/>
      </c>
      <c r="S95" s="22" t="str">
        <f aca="false">IF(Görevler!$F95="","",IF(AND(Görevler!$C95&lt;=(S$4+Ayarlar!$C$6-1),Görevler!$D95&gt;=S$4),IF(S$4&lt;=Görevler!$C95+ROUND(Görevler!$F95*Görevler!$E95,0)-1,2,1),""))</f>
        <v/>
      </c>
      <c r="T95" s="22" t="str">
        <f aca="false">IF(Görevler!$F95="","",IF(AND(Görevler!$C95&lt;=(T$4+Ayarlar!$C$6-1),Görevler!$D95&gt;=T$4),IF(T$4&lt;=Görevler!$C95+ROUND(Görevler!$F95*Görevler!$E95,0)-1,2,1),""))</f>
        <v/>
      </c>
      <c r="U95" s="22" t="str">
        <f aca="false">IF(Görevler!$F95="","",IF(AND(Görevler!$C95&lt;=(U$4+Ayarlar!$C$6-1),Görevler!$D95&gt;=U$4),IF(U$4&lt;=Görevler!$C95+ROUND(Görevler!$F95*Görevler!$E95,0)-1,2,1),""))</f>
        <v/>
      </c>
      <c r="V95" s="22" t="str">
        <f aca="false">IF(Görevler!$F95="","",IF(AND(Görevler!$C95&lt;=(V$4+Ayarlar!$C$6-1),Görevler!$D95&gt;=V$4),IF(V$4&lt;=Görevler!$C95+ROUND(Görevler!$F95*Görevler!$E95,0)-1,2,1),""))</f>
        <v/>
      </c>
      <c r="W95" s="22" t="str">
        <f aca="false">IF(Görevler!$F95="","",IF(AND(Görevler!$C95&lt;=(W$4+Ayarlar!$C$6-1),Görevler!$D95&gt;=W$4),IF(W$4&lt;=Görevler!$C95+ROUND(Görevler!$F95*Görevler!$E95,0)-1,2,1),""))</f>
        <v/>
      </c>
      <c r="X95" s="22" t="str">
        <f aca="false">IF(Görevler!$F95="","",IF(AND(Görevler!$C95&lt;=(X$4+Ayarlar!$C$6-1),Görevler!$D95&gt;=X$4),IF(X$4&lt;=Görevler!$C95+ROUND(Görevler!$F95*Görevler!$E95,0)-1,2,1),""))</f>
        <v/>
      </c>
      <c r="Y95" s="22" t="str">
        <f aca="false">IF(Görevler!$F95="","",IF(AND(Görevler!$C95&lt;=(Y$4+Ayarlar!$C$6-1),Görevler!$D95&gt;=Y$4),IF(Y$4&lt;=Görevler!$C95+ROUND(Görevler!$F95*Görevler!$E95,0)-1,2,1),""))</f>
        <v/>
      </c>
      <c r="Z95" s="22" t="str">
        <f aca="false">IF(Görevler!$F95="","",IF(AND(Görevler!$C95&lt;=(Z$4+Ayarlar!$C$6-1),Görevler!$D95&gt;=Z$4),IF(Z$4&lt;=Görevler!$C95+ROUND(Görevler!$F95*Görevler!$E95,0)-1,2,1),""))</f>
        <v/>
      </c>
      <c r="AA95" s="22" t="str">
        <f aca="false">IF(Görevler!$F95="","",IF(AND(Görevler!$C95&lt;=(AA$4+Ayarlar!$C$6-1),Görevler!$D95&gt;=AA$4),IF(AA$4&lt;=Görevler!$C95+ROUND(Görevler!$F95*Görevler!$E95,0)-1,2,1),""))</f>
        <v/>
      </c>
      <c r="AB95" s="22" t="str">
        <f aca="false">IF(Görevler!$F95="","",IF(AND(Görevler!$C95&lt;=(AB$4+Ayarlar!$C$6-1),Görevler!$D95&gt;=AB$4),IF(AB$4&lt;=Görevler!$C95+ROUND(Görevler!$F95*Görevler!$E95,0)-1,2,1),""))</f>
        <v/>
      </c>
      <c r="AC95" s="22" t="str">
        <f aca="false">IF(Görevler!$F95="","",IF(AND(Görevler!$C95&lt;=(AC$4+Ayarlar!$C$6-1),Görevler!$D95&gt;=AC$4),IF(AC$4&lt;=Görevler!$C95+ROUND(Görevler!$F95*Görevler!$E95,0)-1,2,1),""))</f>
        <v/>
      </c>
      <c r="AD95" s="22" t="str">
        <f aca="false">IF(Görevler!$F95="","",IF(AND(Görevler!$C95&lt;=(AD$4+Ayarlar!$C$6-1),Görevler!$D95&gt;=AD$4),IF(AD$4&lt;=Görevler!$C95+ROUND(Görevler!$F95*Görevler!$E95,0)-1,2,1),""))</f>
        <v/>
      </c>
      <c r="AE95" s="22" t="str">
        <f aca="false">IF(Görevler!$F95="","",IF(AND(Görevler!$C95&lt;=(AE$4+Ayarlar!$C$6-1),Görevler!$D95&gt;=AE$4),IF(AE$4&lt;=Görevler!$C95+ROUND(Görevler!$F95*Görevler!$E95,0)-1,2,1),""))</f>
        <v/>
      </c>
      <c r="AF95" s="22" t="str">
        <f aca="false">IF(Görevler!$F95="","",IF(AND(Görevler!$C95&lt;=(AF$4+Ayarlar!$C$6-1),Görevler!$D95&gt;=AF$4),IF(AF$4&lt;=Görevler!$C95+ROUND(Görevler!$F95*Görevler!$E95,0)-1,2,1),""))</f>
        <v/>
      </c>
      <c r="AG95" s="22" t="str">
        <f aca="false">IF(Görevler!$F95="","",IF(AND(Görevler!$C95&lt;=(AG$4+Ayarlar!$C$6-1),Görevler!$D95&gt;=AG$4),IF(AG$4&lt;=Görevler!$C95+ROUND(Görevler!$F95*Görevler!$E95,0)-1,2,1),""))</f>
        <v/>
      </c>
      <c r="AH95" s="22" t="str">
        <f aca="false">IF(Görevler!$F95="","",IF(AND(Görevler!$C95&lt;=(AH$4+Ayarlar!$C$6-1),Görevler!$D95&gt;=AH$4),IF(AH$4&lt;=Görevler!$C95+ROUND(Görevler!$F95*Görevler!$E95,0)-1,2,1),""))</f>
        <v/>
      </c>
      <c r="AI95" s="22" t="str">
        <f aca="false">IF(Görevler!$F95="","",IF(AND(Görevler!$C95&lt;=(AI$4+Ayarlar!$C$6-1),Görevler!$D95&gt;=AI$4),IF(AI$4&lt;=Görevler!$C95+ROUND(Görevler!$F95*Görevler!$E95,0)-1,2,1),""))</f>
        <v/>
      </c>
      <c r="AJ95" s="22" t="str">
        <f aca="false">IF(Görevler!$F95="","",IF(AND(Görevler!$C95&lt;=(AJ$4+Ayarlar!$C$6-1),Görevler!$D95&gt;=AJ$4),IF(AJ$4&lt;=Görevler!$C95+ROUND(Görevler!$F95*Görevler!$E95,0)-1,2,1),""))</f>
        <v/>
      </c>
      <c r="AK95" s="22" t="str">
        <f aca="false">IF(Görevler!$F95="","",IF(AND(Görevler!$C95&lt;=(AK$4+Ayarlar!$C$6-1),Görevler!$D95&gt;=AK$4),IF(AK$4&lt;=Görevler!$C95+ROUND(Görevler!$F95*Görevler!$E95,0)-1,2,1),""))</f>
        <v/>
      </c>
      <c r="AL95" s="22" t="str">
        <f aca="false">IF(Görevler!$F95="","",IF(AND(Görevler!$C95&lt;=(AL$4+Ayarlar!$C$6-1),Görevler!$D95&gt;=AL$4),IF(AL$4&lt;=Görevler!$C95+ROUND(Görevler!$F95*Görevler!$E95,0)-1,2,1),""))</f>
        <v/>
      </c>
      <c r="AM95" s="22" t="str">
        <f aca="false">IF(Görevler!$F95="","",IF(AND(Görevler!$C95&lt;=(AM$4+Ayarlar!$C$6-1),Görevler!$D95&gt;=AM$4),IF(AM$4&lt;=Görevler!$C95+ROUND(Görevler!$F95*Görevler!$E95,0)-1,2,1),""))</f>
        <v/>
      </c>
      <c r="AN95" s="22" t="str">
        <f aca="false">IF(Görevler!$F95="","",IF(AND(Görevler!$C95&lt;=(AN$4+Ayarlar!$C$6-1),Görevler!$D95&gt;=AN$4),IF(AN$4&lt;=Görevler!$C95+ROUND(Görevler!$F95*Görevler!$E95,0)-1,2,1),""))</f>
        <v/>
      </c>
      <c r="AO95" s="22" t="str">
        <f aca="false">IF(Görevler!$F95="","",IF(AND(Görevler!$C95&lt;=(AO$4+Ayarlar!$C$6-1),Görevler!$D95&gt;=AO$4),IF(AO$4&lt;=Görevler!$C95+ROUND(Görevler!$F95*Görevler!$E95,0)-1,2,1),""))</f>
        <v/>
      </c>
      <c r="AP95" s="22" t="str">
        <f aca="false">IF(Görevler!$F95="","",IF(AND(Görevler!$C95&lt;=(AP$4+Ayarlar!$C$6-1),Görevler!$D95&gt;=AP$4),IF(AP$4&lt;=Görevler!$C95+ROUND(Görevler!$F95*Görevler!$E95,0)-1,2,1),""))</f>
        <v/>
      </c>
      <c r="AQ95" s="22" t="str">
        <f aca="false">IF(Görevler!$F95="","",IF(AND(Görevler!$C95&lt;=(AQ$4+Ayarlar!$C$6-1),Görevler!$D95&gt;=AQ$4),IF(AQ$4&lt;=Görevler!$C95+ROUND(Görevler!$F95*Görevler!$E95,0)-1,2,1),""))</f>
        <v/>
      </c>
      <c r="AR95" s="22" t="str">
        <f aca="false">IF(Görevler!$F95="","",IF(AND(Görevler!$C95&lt;=(AR$4+Ayarlar!$C$6-1),Görevler!$D95&gt;=AR$4),IF(AR$4&lt;=Görevler!$C95+ROUND(Görevler!$F95*Görevler!$E95,0)-1,2,1),""))</f>
        <v/>
      </c>
      <c r="AS95" s="22" t="str">
        <f aca="false">IF(Görevler!$F95="","",IF(AND(Görevler!$C95&lt;=(AS$4+Ayarlar!$C$6-1),Görevler!$D95&gt;=AS$4),IF(AS$4&lt;=Görevler!$C95+ROUND(Görevler!$F95*Görevler!$E95,0)-1,2,1),""))</f>
        <v/>
      </c>
      <c r="AT95" s="22" t="str">
        <f aca="false">IF(Görevler!$F95="","",IF(AND(Görevler!$C95&lt;=(AT$4+Ayarlar!$C$6-1),Görevler!$D95&gt;=AT$4),IF(AT$4&lt;=Görevler!$C95+ROUND(Görevler!$F95*Görevler!$E95,0)-1,2,1),""))</f>
        <v/>
      </c>
      <c r="AU95" s="22" t="str">
        <f aca="false">IF(Görevler!$F95="","",IF(AND(Görevler!$C95&lt;=(AU$4+Ayarlar!$C$6-1),Görevler!$D95&gt;=AU$4),IF(AU$4&lt;=Görevler!$C95+ROUND(Görevler!$F95*Görevler!$E95,0)-1,2,1),""))</f>
        <v/>
      </c>
      <c r="AV95" s="22" t="str">
        <f aca="false">IF(Görevler!$F95="","",IF(AND(Görevler!$C95&lt;=(AV$4+Ayarlar!$C$6-1),Görevler!$D95&gt;=AV$4),IF(AV$4&lt;=Görevler!$C95+ROUND(Görevler!$F95*Görevler!$E95,0)-1,2,1),""))</f>
        <v/>
      </c>
      <c r="AW95" s="22" t="str">
        <f aca="false">IF(Görevler!$F95="","",IF(AND(Görevler!$C95&lt;=(AW$4+Ayarlar!$C$6-1),Görevler!$D95&gt;=AW$4),IF(AW$4&lt;=Görevler!$C95+ROUND(Görevler!$F95*Görevler!$E95,0)-1,2,1),""))</f>
        <v/>
      </c>
      <c r="AX95" s="22" t="str">
        <f aca="false">IF(Görevler!$F95="","",IF(AND(Görevler!$C95&lt;=(AX$4+Ayarlar!$C$6-1),Görevler!$D95&gt;=AX$4),IF(AX$4&lt;=Görevler!$C95+ROUND(Görevler!$F95*Görevler!$E95,0)-1,2,1),""))</f>
        <v/>
      </c>
      <c r="AY95" s="22" t="str">
        <f aca="false">IF(Görevler!$F95="","",IF(AND(Görevler!$C95&lt;=(AY$4+Ayarlar!$C$6-1),Görevler!$D95&gt;=AY$4),IF(AY$4&lt;=Görevler!$C95+ROUND(Görevler!$F95*Görevler!$E95,0)-1,2,1),""))</f>
        <v/>
      </c>
      <c r="AZ95" s="22" t="str">
        <f aca="false">IF(Görevler!$F95="","",IF(AND(Görevler!$C95&lt;=(AZ$4+Ayarlar!$C$6-1),Görevler!$D95&gt;=AZ$4),IF(AZ$4&lt;=Görevler!$C95+ROUND(Görevler!$F95*Görevler!$E95,0)-1,2,1),""))</f>
        <v/>
      </c>
      <c r="BA95" s="22" t="str">
        <f aca="false">IF(Görevler!$F95="","",IF(AND(Görevler!$C95&lt;=(BA$4+Ayarlar!$C$6-1),Görevler!$D95&gt;=BA$4),IF(BA$4&lt;=Görevler!$C95+ROUND(Görevler!$F95*Görevler!$E95,0)-1,2,1),""))</f>
        <v/>
      </c>
      <c r="BB95" s="22" t="str">
        <f aca="false">IF(Görevler!$F95="","",IF(AND(Görevler!$C95&lt;=(BB$4+Ayarlar!$C$6-1),Görevler!$D95&gt;=BB$4),IF(BB$4&lt;=Görevler!$C95+ROUND(Görevler!$F95*Görevler!$E95,0)-1,2,1),""))</f>
        <v/>
      </c>
      <c r="BC95" s="22" t="str">
        <f aca="false">IF(Görevler!$F95="","",IF(AND(Görevler!$C95&lt;=(BC$4+Ayarlar!$C$6-1),Görevler!$D95&gt;=BC$4),IF(BC$4&lt;=Görevler!$C95+ROUND(Görevler!$F95*Görevler!$E95,0)-1,2,1),""))</f>
        <v/>
      </c>
      <c r="BD95" s="22" t="str">
        <f aca="false">IF(Görevler!$F95="","",IF(AND(Görevler!$C95&lt;=(BD$4+Ayarlar!$C$6-1),Görevler!$D95&gt;=BD$4),IF(BD$4&lt;=Görevler!$C95+ROUND(Görevler!$F95*Görevler!$E95,0)-1,2,1),""))</f>
        <v/>
      </c>
      <c r="BE95" s="22" t="str">
        <f aca="false">IF(Görevler!$F95="","",IF(AND(Görevler!$C95&lt;=(BE$4+Ayarlar!$C$6-1),Görevler!$D95&gt;=BE$4),IF(BE$4&lt;=Görevler!$C95+ROUND(Görevler!$F95*Görevler!$E95,0)-1,2,1),""))</f>
        <v/>
      </c>
      <c r="BF95" s="22" t="str">
        <f aca="false">IF(Görevler!$F95="","",IF(AND(Görevler!$C95&lt;=(BF$4+Ayarlar!$C$6-1),Görevler!$D95&gt;=BF$4),IF(BF$4&lt;=Görevler!$C95+ROUND(Görevler!$F95*Görevler!$E95,0)-1,2,1),""))</f>
        <v/>
      </c>
      <c r="BG95" s="22" t="str">
        <f aca="false">IF(Görevler!$F95="","",IF(AND(Görevler!$C95&lt;=(BG$4+Ayarlar!$C$6-1),Görevler!$D95&gt;=BG$4),IF(BG$4&lt;=Görevler!$C95+ROUND(Görevler!$F95*Görevler!$E95,0)-1,2,1),""))</f>
        <v/>
      </c>
      <c r="BH95" s="22" t="str">
        <f aca="false">IF(Görevler!$F95="","",IF(AND(Görevler!$C95&lt;=(BH$4+Ayarlar!$C$6-1),Görevler!$D95&gt;=BH$4),IF(BH$4&lt;=Görevler!$C95+ROUND(Görevler!$F95*Görevler!$E95,0)-1,2,1),""))</f>
        <v/>
      </c>
      <c r="BI95" s="22" t="str">
        <f aca="false">IF(Görevler!$F95="","",IF(AND(Görevler!$C95&lt;=(BI$4+Ayarlar!$C$6-1),Görevler!$D95&gt;=BI$4),IF(BI$4&lt;=Görevler!$C95+ROUND(Görevler!$F95*Görevler!$E95,0)-1,2,1),""))</f>
        <v/>
      </c>
      <c r="BJ95" s="22" t="str">
        <f aca="false">IF(Görevler!$F95="","",IF(AND(Görevler!$C95&lt;=(BJ$4+Ayarlar!$C$6-1),Görevler!$D95&gt;=BJ$4),IF(BJ$4&lt;=Görevler!$C95+ROUND(Görevler!$F95*Görevler!$E95,0)-1,2,1),""))</f>
        <v/>
      </c>
    </row>
    <row r="96" customFormat="false" ht="15" hidden="false" customHeight="false" outlineLevel="0" collapsed="false">
      <c r="A96" s="21" t="str">
        <f aca="false">IF(Görevler!A96="","",Görevler!A96)</f>
        <v/>
      </c>
      <c r="B96" s="21" t="str">
        <f aca="false">IF(Görevler!A96="","",Görevler!B96&amp;"")</f>
        <v/>
      </c>
      <c r="C96" s="22" t="str">
        <f aca="false">IF(Görevler!$F96="","",IF(AND(Görevler!$C96&lt;=(C$4+Ayarlar!$C$6-1),Görevler!$D96&gt;=C$4),IF(C$4&lt;=Görevler!$C96+ROUND(Görevler!$F96*Görevler!$E96,0)-1,2,1),""))</f>
        <v/>
      </c>
      <c r="D96" s="22" t="str">
        <f aca="false">IF(Görevler!$F96="","",IF(AND(Görevler!$C96&lt;=(D$4+Ayarlar!$C$6-1),Görevler!$D96&gt;=D$4),IF(D$4&lt;=Görevler!$C96+ROUND(Görevler!$F96*Görevler!$E96,0)-1,2,1),""))</f>
        <v/>
      </c>
      <c r="E96" s="22" t="str">
        <f aca="false">IF(Görevler!$F96="","",IF(AND(Görevler!$C96&lt;=(E$4+Ayarlar!$C$6-1),Görevler!$D96&gt;=E$4),IF(E$4&lt;=Görevler!$C96+ROUND(Görevler!$F96*Görevler!$E96,0)-1,2,1),""))</f>
        <v/>
      </c>
      <c r="F96" s="22" t="str">
        <f aca="false">IF(Görevler!$F96="","",IF(AND(Görevler!$C96&lt;=(F$4+Ayarlar!$C$6-1),Görevler!$D96&gt;=F$4),IF(F$4&lt;=Görevler!$C96+ROUND(Görevler!$F96*Görevler!$E96,0)-1,2,1),""))</f>
        <v/>
      </c>
      <c r="G96" s="22" t="str">
        <f aca="false">IF(Görevler!$F96="","",IF(AND(Görevler!$C96&lt;=(G$4+Ayarlar!$C$6-1),Görevler!$D96&gt;=G$4),IF(G$4&lt;=Görevler!$C96+ROUND(Görevler!$F96*Görevler!$E96,0)-1,2,1),""))</f>
        <v/>
      </c>
      <c r="H96" s="22" t="str">
        <f aca="false">IF(Görevler!$F96="","",IF(AND(Görevler!$C96&lt;=(H$4+Ayarlar!$C$6-1),Görevler!$D96&gt;=H$4),IF(H$4&lt;=Görevler!$C96+ROUND(Görevler!$F96*Görevler!$E96,0)-1,2,1),""))</f>
        <v/>
      </c>
      <c r="I96" s="22" t="str">
        <f aca="false">IF(Görevler!$F96="","",IF(AND(Görevler!$C96&lt;=(I$4+Ayarlar!$C$6-1),Görevler!$D96&gt;=I$4),IF(I$4&lt;=Görevler!$C96+ROUND(Görevler!$F96*Görevler!$E96,0)-1,2,1),""))</f>
        <v/>
      </c>
      <c r="J96" s="22" t="str">
        <f aca="false">IF(Görevler!$F96="","",IF(AND(Görevler!$C96&lt;=(J$4+Ayarlar!$C$6-1),Görevler!$D96&gt;=J$4),IF(J$4&lt;=Görevler!$C96+ROUND(Görevler!$F96*Görevler!$E96,0)-1,2,1),""))</f>
        <v/>
      </c>
      <c r="K96" s="22" t="str">
        <f aca="false">IF(Görevler!$F96="","",IF(AND(Görevler!$C96&lt;=(K$4+Ayarlar!$C$6-1),Görevler!$D96&gt;=K$4),IF(K$4&lt;=Görevler!$C96+ROUND(Görevler!$F96*Görevler!$E96,0)-1,2,1),""))</f>
        <v/>
      </c>
      <c r="L96" s="22" t="str">
        <f aca="false">IF(Görevler!$F96="","",IF(AND(Görevler!$C96&lt;=(L$4+Ayarlar!$C$6-1),Görevler!$D96&gt;=L$4),IF(L$4&lt;=Görevler!$C96+ROUND(Görevler!$F96*Görevler!$E96,0)-1,2,1),""))</f>
        <v/>
      </c>
      <c r="M96" s="22" t="str">
        <f aca="false">IF(Görevler!$F96="","",IF(AND(Görevler!$C96&lt;=(M$4+Ayarlar!$C$6-1),Görevler!$D96&gt;=M$4),IF(M$4&lt;=Görevler!$C96+ROUND(Görevler!$F96*Görevler!$E96,0)-1,2,1),""))</f>
        <v/>
      </c>
      <c r="N96" s="22" t="str">
        <f aca="false">IF(Görevler!$F96="","",IF(AND(Görevler!$C96&lt;=(N$4+Ayarlar!$C$6-1),Görevler!$D96&gt;=N$4),IF(N$4&lt;=Görevler!$C96+ROUND(Görevler!$F96*Görevler!$E96,0)-1,2,1),""))</f>
        <v/>
      </c>
      <c r="O96" s="22" t="str">
        <f aca="false">IF(Görevler!$F96="","",IF(AND(Görevler!$C96&lt;=(O$4+Ayarlar!$C$6-1),Görevler!$D96&gt;=O$4),IF(O$4&lt;=Görevler!$C96+ROUND(Görevler!$F96*Görevler!$E96,0)-1,2,1),""))</f>
        <v/>
      </c>
      <c r="P96" s="22" t="str">
        <f aca="false">IF(Görevler!$F96="","",IF(AND(Görevler!$C96&lt;=(P$4+Ayarlar!$C$6-1),Görevler!$D96&gt;=P$4),IF(P$4&lt;=Görevler!$C96+ROUND(Görevler!$F96*Görevler!$E96,0)-1,2,1),""))</f>
        <v/>
      </c>
      <c r="Q96" s="22" t="str">
        <f aca="false">IF(Görevler!$F96="","",IF(AND(Görevler!$C96&lt;=(Q$4+Ayarlar!$C$6-1),Görevler!$D96&gt;=Q$4),IF(Q$4&lt;=Görevler!$C96+ROUND(Görevler!$F96*Görevler!$E96,0)-1,2,1),""))</f>
        <v/>
      </c>
      <c r="R96" s="22" t="str">
        <f aca="false">IF(Görevler!$F96="","",IF(AND(Görevler!$C96&lt;=(R$4+Ayarlar!$C$6-1),Görevler!$D96&gt;=R$4),IF(R$4&lt;=Görevler!$C96+ROUND(Görevler!$F96*Görevler!$E96,0)-1,2,1),""))</f>
        <v/>
      </c>
      <c r="S96" s="22" t="str">
        <f aca="false">IF(Görevler!$F96="","",IF(AND(Görevler!$C96&lt;=(S$4+Ayarlar!$C$6-1),Görevler!$D96&gt;=S$4),IF(S$4&lt;=Görevler!$C96+ROUND(Görevler!$F96*Görevler!$E96,0)-1,2,1),""))</f>
        <v/>
      </c>
      <c r="T96" s="22" t="str">
        <f aca="false">IF(Görevler!$F96="","",IF(AND(Görevler!$C96&lt;=(T$4+Ayarlar!$C$6-1),Görevler!$D96&gt;=T$4),IF(T$4&lt;=Görevler!$C96+ROUND(Görevler!$F96*Görevler!$E96,0)-1,2,1),""))</f>
        <v/>
      </c>
      <c r="U96" s="22" t="str">
        <f aca="false">IF(Görevler!$F96="","",IF(AND(Görevler!$C96&lt;=(U$4+Ayarlar!$C$6-1),Görevler!$D96&gt;=U$4),IF(U$4&lt;=Görevler!$C96+ROUND(Görevler!$F96*Görevler!$E96,0)-1,2,1),""))</f>
        <v/>
      </c>
      <c r="V96" s="22" t="str">
        <f aca="false">IF(Görevler!$F96="","",IF(AND(Görevler!$C96&lt;=(V$4+Ayarlar!$C$6-1),Görevler!$D96&gt;=V$4),IF(V$4&lt;=Görevler!$C96+ROUND(Görevler!$F96*Görevler!$E96,0)-1,2,1),""))</f>
        <v/>
      </c>
      <c r="W96" s="22" t="str">
        <f aca="false">IF(Görevler!$F96="","",IF(AND(Görevler!$C96&lt;=(W$4+Ayarlar!$C$6-1),Görevler!$D96&gt;=W$4),IF(W$4&lt;=Görevler!$C96+ROUND(Görevler!$F96*Görevler!$E96,0)-1,2,1),""))</f>
        <v/>
      </c>
      <c r="X96" s="22" t="str">
        <f aca="false">IF(Görevler!$F96="","",IF(AND(Görevler!$C96&lt;=(X$4+Ayarlar!$C$6-1),Görevler!$D96&gt;=X$4),IF(X$4&lt;=Görevler!$C96+ROUND(Görevler!$F96*Görevler!$E96,0)-1,2,1),""))</f>
        <v/>
      </c>
      <c r="Y96" s="22" t="str">
        <f aca="false">IF(Görevler!$F96="","",IF(AND(Görevler!$C96&lt;=(Y$4+Ayarlar!$C$6-1),Görevler!$D96&gt;=Y$4),IF(Y$4&lt;=Görevler!$C96+ROUND(Görevler!$F96*Görevler!$E96,0)-1,2,1),""))</f>
        <v/>
      </c>
      <c r="Z96" s="22" t="str">
        <f aca="false">IF(Görevler!$F96="","",IF(AND(Görevler!$C96&lt;=(Z$4+Ayarlar!$C$6-1),Görevler!$D96&gt;=Z$4),IF(Z$4&lt;=Görevler!$C96+ROUND(Görevler!$F96*Görevler!$E96,0)-1,2,1),""))</f>
        <v/>
      </c>
      <c r="AA96" s="22" t="str">
        <f aca="false">IF(Görevler!$F96="","",IF(AND(Görevler!$C96&lt;=(AA$4+Ayarlar!$C$6-1),Görevler!$D96&gt;=AA$4),IF(AA$4&lt;=Görevler!$C96+ROUND(Görevler!$F96*Görevler!$E96,0)-1,2,1),""))</f>
        <v/>
      </c>
      <c r="AB96" s="22" t="str">
        <f aca="false">IF(Görevler!$F96="","",IF(AND(Görevler!$C96&lt;=(AB$4+Ayarlar!$C$6-1),Görevler!$D96&gt;=AB$4),IF(AB$4&lt;=Görevler!$C96+ROUND(Görevler!$F96*Görevler!$E96,0)-1,2,1),""))</f>
        <v/>
      </c>
      <c r="AC96" s="22" t="str">
        <f aca="false">IF(Görevler!$F96="","",IF(AND(Görevler!$C96&lt;=(AC$4+Ayarlar!$C$6-1),Görevler!$D96&gt;=AC$4),IF(AC$4&lt;=Görevler!$C96+ROUND(Görevler!$F96*Görevler!$E96,0)-1,2,1),""))</f>
        <v/>
      </c>
      <c r="AD96" s="22" t="str">
        <f aca="false">IF(Görevler!$F96="","",IF(AND(Görevler!$C96&lt;=(AD$4+Ayarlar!$C$6-1),Görevler!$D96&gt;=AD$4),IF(AD$4&lt;=Görevler!$C96+ROUND(Görevler!$F96*Görevler!$E96,0)-1,2,1),""))</f>
        <v/>
      </c>
      <c r="AE96" s="22" t="str">
        <f aca="false">IF(Görevler!$F96="","",IF(AND(Görevler!$C96&lt;=(AE$4+Ayarlar!$C$6-1),Görevler!$D96&gt;=AE$4),IF(AE$4&lt;=Görevler!$C96+ROUND(Görevler!$F96*Görevler!$E96,0)-1,2,1),""))</f>
        <v/>
      </c>
      <c r="AF96" s="22" t="str">
        <f aca="false">IF(Görevler!$F96="","",IF(AND(Görevler!$C96&lt;=(AF$4+Ayarlar!$C$6-1),Görevler!$D96&gt;=AF$4),IF(AF$4&lt;=Görevler!$C96+ROUND(Görevler!$F96*Görevler!$E96,0)-1,2,1),""))</f>
        <v/>
      </c>
      <c r="AG96" s="22" t="str">
        <f aca="false">IF(Görevler!$F96="","",IF(AND(Görevler!$C96&lt;=(AG$4+Ayarlar!$C$6-1),Görevler!$D96&gt;=AG$4),IF(AG$4&lt;=Görevler!$C96+ROUND(Görevler!$F96*Görevler!$E96,0)-1,2,1),""))</f>
        <v/>
      </c>
      <c r="AH96" s="22" t="str">
        <f aca="false">IF(Görevler!$F96="","",IF(AND(Görevler!$C96&lt;=(AH$4+Ayarlar!$C$6-1),Görevler!$D96&gt;=AH$4),IF(AH$4&lt;=Görevler!$C96+ROUND(Görevler!$F96*Görevler!$E96,0)-1,2,1),""))</f>
        <v/>
      </c>
      <c r="AI96" s="22" t="str">
        <f aca="false">IF(Görevler!$F96="","",IF(AND(Görevler!$C96&lt;=(AI$4+Ayarlar!$C$6-1),Görevler!$D96&gt;=AI$4),IF(AI$4&lt;=Görevler!$C96+ROUND(Görevler!$F96*Görevler!$E96,0)-1,2,1),""))</f>
        <v/>
      </c>
      <c r="AJ96" s="22" t="str">
        <f aca="false">IF(Görevler!$F96="","",IF(AND(Görevler!$C96&lt;=(AJ$4+Ayarlar!$C$6-1),Görevler!$D96&gt;=AJ$4),IF(AJ$4&lt;=Görevler!$C96+ROUND(Görevler!$F96*Görevler!$E96,0)-1,2,1),""))</f>
        <v/>
      </c>
      <c r="AK96" s="22" t="str">
        <f aca="false">IF(Görevler!$F96="","",IF(AND(Görevler!$C96&lt;=(AK$4+Ayarlar!$C$6-1),Görevler!$D96&gt;=AK$4),IF(AK$4&lt;=Görevler!$C96+ROUND(Görevler!$F96*Görevler!$E96,0)-1,2,1),""))</f>
        <v/>
      </c>
      <c r="AL96" s="22" t="str">
        <f aca="false">IF(Görevler!$F96="","",IF(AND(Görevler!$C96&lt;=(AL$4+Ayarlar!$C$6-1),Görevler!$D96&gt;=AL$4),IF(AL$4&lt;=Görevler!$C96+ROUND(Görevler!$F96*Görevler!$E96,0)-1,2,1),""))</f>
        <v/>
      </c>
      <c r="AM96" s="22" t="str">
        <f aca="false">IF(Görevler!$F96="","",IF(AND(Görevler!$C96&lt;=(AM$4+Ayarlar!$C$6-1),Görevler!$D96&gt;=AM$4),IF(AM$4&lt;=Görevler!$C96+ROUND(Görevler!$F96*Görevler!$E96,0)-1,2,1),""))</f>
        <v/>
      </c>
      <c r="AN96" s="22" t="str">
        <f aca="false">IF(Görevler!$F96="","",IF(AND(Görevler!$C96&lt;=(AN$4+Ayarlar!$C$6-1),Görevler!$D96&gt;=AN$4),IF(AN$4&lt;=Görevler!$C96+ROUND(Görevler!$F96*Görevler!$E96,0)-1,2,1),""))</f>
        <v/>
      </c>
      <c r="AO96" s="22" t="str">
        <f aca="false">IF(Görevler!$F96="","",IF(AND(Görevler!$C96&lt;=(AO$4+Ayarlar!$C$6-1),Görevler!$D96&gt;=AO$4),IF(AO$4&lt;=Görevler!$C96+ROUND(Görevler!$F96*Görevler!$E96,0)-1,2,1),""))</f>
        <v/>
      </c>
      <c r="AP96" s="22" t="str">
        <f aca="false">IF(Görevler!$F96="","",IF(AND(Görevler!$C96&lt;=(AP$4+Ayarlar!$C$6-1),Görevler!$D96&gt;=AP$4),IF(AP$4&lt;=Görevler!$C96+ROUND(Görevler!$F96*Görevler!$E96,0)-1,2,1),""))</f>
        <v/>
      </c>
      <c r="AQ96" s="22" t="str">
        <f aca="false">IF(Görevler!$F96="","",IF(AND(Görevler!$C96&lt;=(AQ$4+Ayarlar!$C$6-1),Görevler!$D96&gt;=AQ$4),IF(AQ$4&lt;=Görevler!$C96+ROUND(Görevler!$F96*Görevler!$E96,0)-1,2,1),""))</f>
        <v/>
      </c>
      <c r="AR96" s="22" t="str">
        <f aca="false">IF(Görevler!$F96="","",IF(AND(Görevler!$C96&lt;=(AR$4+Ayarlar!$C$6-1),Görevler!$D96&gt;=AR$4),IF(AR$4&lt;=Görevler!$C96+ROUND(Görevler!$F96*Görevler!$E96,0)-1,2,1),""))</f>
        <v/>
      </c>
      <c r="AS96" s="22" t="str">
        <f aca="false">IF(Görevler!$F96="","",IF(AND(Görevler!$C96&lt;=(AS$4+Ayarlar!$C$6-1),Görevler!$D96&gt;=AS$4),IF(AS$4&lt;=Görevler!$C96+ROUND(Görevler!$F96*Görevler!$E96,0)-1,2,1),""))</f>
        <v/>
      </c>
      <c r="AT96" s="22" t="str">
        <f aca="false">IF(Görevler!$F96="","",IF(AND(Görevler!$C96&lt;=(AT$4+Ayarlar!$C$6-1),Görevler!$D96&gt;=AT$4),IF(AT$4&lt;=Görevler!$C96+ROUND(Görevler!$F96*Görevler!$E96,0)-1,2,1),""))</f>
        <v/>
      </c>
      <c r="AU96" s="22" t="str">
        <f aca="false">IF(Görevler!$F96="","",IF(AND(Görevler!$C96&lt;=(AU$4+Ayarlar!$C$6-1),Görevler!$D96&gt;=AU$4),IF(AU$4&lt;=Görevler!$C96+ROUND(Görevler!$F96*Görevler!$E96,0)-1,2,1),""))</f>
        <v/>
      </c>
      <c r="AV96" s="22" t="str">
        <f aca="false">IF(Görevler!$F96="","",IF(AND(Görevler!$C96&lt;=(AV$4+Ayarlar!$C$6-1),Görevler!$D96&gt;=AV$4),IF(AV$4&lt;=Görevler!$C96+ROUND(Görevler!$F96*Görevler!$E96,0)-1,2,1),""))</f>
        <v/>
      </c>
      <c r="AW96" s="22" t="str">
        <f aca="false">IF(Görevler!$F96="","",IF(AND(Görevler!$C96&lt;=(AW$4+Ayarlar!$C$6-1),Görevler!$D96&gt;=AW$4),IF(AW$4&lt;=Görevler!$C96+ROUND(Görevler!$F96*Görevler!$E96,0)-1,2,1),""))</f>
        <v/>
      </c>
      <c r="AX96" s="22" t="str">
        <f aca="false">IF(Görevler!$F96="","",IF(AND(Görevler!$C96&lt;=(AX$4+Ayarlar!$C$6-1),Görevler!$D96&gt;=AX$4),IF(AX$4&lt;=Görevler!$C96+ROUND(Görevler!$F96*Görevler!$E96,0)-1,2,1),""))</f>
        <v/>
      </c>
      <c r="AY96" s="22" t="str">
        <f aca="false">IF(Görevler!$F96="","",IF(AND(Görevler!$C96&lt;=(AY$4+Ayarlar!$C$6-1),Görevler!$D96&gt;=AY$4),IF(AY$4&lt;=Görevler!$C96+ROUND(Görevler!$F96*Görevler!$E96,0)-1,2,1),""))</f>
        <v/>
      </c>
      <c r="AZ96" s="22" t="str">
        <f aca="false">IF(Görevler!$F96="","",IF(AND(Görevler!$C96&lt;=(AZ$4+Ayarlar!$C$6-1),Görevler!$D96&gt;=AZ$4),IF(AZ$4&lt;=Görevler!$C96+ROUND(Görevler!$F96*Görevler!$E96,0)-1,2,1),""))</f>
        <v/>
      </c>
      <c r="BA96" s="22" t="str">
        <f aca="false">IF(Görevler!$F96="","",IF(AND(Görevler!$C96&lt;=(BA$4+Ayarlar!$C$6-1),Görevler!$D96&gt;=BA$4),IF(BA$4&lt;=Görevler!$C96+ROUND(Görevler!$F96*Görevler!$E96,0)-1,2,1),""))</f>
        <v/>
      </c>
      <c r="BB96" s="22" t="str">
        <f aca="false">IF(Görevler!$F96="","",IF(AND(Görevler!$C96&lt;=(BB$4+Ayarlar!$C$6-1),Görevler!$D96&gt;=BB$4),IF(BB$4&lt;=Görevler!$C96+ROUND(Görevler!$F96*Görevler!$E96,0)-1,2,1),""))</f>
        <v/>
      </c>
      <c r="BC96" s="22" t="str">
        <f aca="false">IF(Görevler!$F96="","",IF(AND(Görevler!$C96&lt;=(BC$4+Ayarlar!$C$6-1),Görevler!$D96&gt;=BC$4),IF(BC$4&lt;=Görevler!$C96+ROUND(Görevler!$F96*Görevler!$E96,0)-1,2,1),""))</f>
        <v/>
      </c>
      <c r="BD96" s="22" t="str">
        <f aca="false">IF(Görevler!$F96="","",IF(AND(Görevler!$C96&lt;=(BD$4+Ayarlar!$C$6-1),Görevler!$D96&gt;=BD$4),IF(BD$4&lt;=Görevler!$C96+ROUND(Görevler!$F96*Görevler!$E96,0)-1,2,1),""))</f>
        <v/>
      </c>
      <c r="BE96" s="22" t="str">
        <f aca="false">IF(Görevler!$F96="","",IF(AND(Görevler!$C96&lt;=(BE$4+Ayarlar!$C$6-1),Görevler!$D96&gt;=BE$4),IF(BE$4&lt;=Görevler!$C96+ROUND(Görevler!$F96*Görevler!$E96,0)-1,2,1),""))</f>
        <v/>
      </c>
      <c r="BF96" s="22" t="str">
        <f aca="false">IF(Görevler!$F96="","",IF(AND(Görevler!$C96&lt;=(BF$4+Ayarlar!$C$6-1),Görevler!$D96&gt;=BF$4),IF(BF$4&lt;=Görevler!$C96+ROUND(Görevler!$F96*Görevler!$E96,0)-1,2,1),""))</f>
        <v/>
      </c>
      <c r="BG96" s="22" t="str">
        <f aca="false">IF(Görevler!$F96="","",IF(AND(Görevler!$C96&lt;=(BG$4+Ayarlar!$C$6-1),Görevler!$D96&gt;=BG$4),IF(BG$4&lt;=Görevler!$C96+ROUND(Görevler!$F96*Görevler!$E96,0)-1,2,1),""))</f>
        <v/>
      </c>
      <c r="BH96" s="22" t="str">
        <f aca="false">IF(Görevler!$F96="","",IF(AND(Görevler!$C96&lt;=(BH$4+Ayarlar!$C$6-1),Görevler!$D96&gt;=BH$4),IF(BH$4&lt;=Görevler!$C96+ROUND(Görevler!$F96*Görevler!$E96,0)-1,2,1),""))</f>
        <v/>
      </c>
      <c r="BI96" s="22" t="str">
        <f aca="false">IF(Görevler!$F96="","",IF(AND(Görevler!$C96&lt;=(BI$4+Ayarlar!$C$6-1),Görevler!$D96&gt;=BI$4),IF(BI$4&lt;=Görevler!$C96+ROUND(Görevler!$F96*Görevler!$E96,0)-1,2,1),""))</f>
        <v/>
      </c>
      <c r="BJ96" s="22" t="str">
        <f aca="false">IF(Görevler!$F96="","",IF(AND(Görevler!$C96&lt;=(BJ$4+Ayarlar!$C$6-1),Görevler!$D96&gt;=BJ$4),IF(BJ$4&lt;=Görevler!$C96+ROUND(Görevler!$F96*Görevler!$E96,0)-1,2,1),""))</f>
        <v/>
      </c>
    </row>
    <row r="97" customFormat="false" ht="15" hidden="false" customHeight="false" outlineLevel="0" collapsed="false">
      <c r="A97" s="21" t="str">
        <f aca="false">IF(Görevler!A97="","",Görevler!A97)</f>
        <v/>
      </c>
      <c r="B97" s="21" t="str">
        <f aca="false">IF(Görevler!A97="","",Görevler!B97&amp;"")</f>
        <v/>
      </c>
      <c r="C97" s="22" t="str">
        <f aca="false">IF(Görevler!$F97="","",IF(AND(Görevler!$C97&lt;=(C$4+Ayarlar!$C$6-1),Görevler!$D97&gt;=C$4),IF(C$4&lt;=Görevler!$C97+ROUND(Görevler!$F97*Görevler!$E97,0)-1,2,1),""))</f>
        <v/>
      </c>
      <c r="D97" s="22" t="str">
        <f aca="false">IF(Görevler!$F97="","",IF(AND(Görevler!$C97&lt;=(D$4+Ayarlar!$C$6-1),Görevler!$D97&gt;=D$4),IF(D$4&lt;=Görevler!$C97+ROUND(Görevler!$F97*Görevler!$E97,0)-1,2,1),""))</f>
        <v/>
      </c>
      <c r="E97" s="22" t="str">
        <f aca="false">IF(Görevler!$F97="","",IF(AND(Görevler!$C97&lt;=(E$4+Ayarlar!$C$6-1),Görevler!$D97&gt;=E$4),IF(E$4&lt;=Görevler!$C97+ROUND(Görevler!$F97*Görevler!$E97,0)-1,2,1),""))</f>
        <v/>
      </c>
      <c r="F97" s="22" t="str">
        <f aca="false">IF(Görevler!$F97="","",IF(AND(Görevler!$C97&lt;=(F$4+Ayarlar!$C$6-1),Görevler!$D97&gt;=F$4),IF(F$4&lt;=Görevler!$C97+ROUND(Görevler!$F97*Görevler!$E97,0)-1,2,1),""))</f>
        <v/>
      </c>
      <c r="G97" s="22" t="str">
        <f aca="false">IF(Görevler!$F97="","",IF(AND(Görevler!$C97&lt;=(G$4+Ayarlar!$C$6-1),Görevler!$D97&gt;=G$4),IF(G$4&lt;=Görevler!$C97+ROUND(Görevler!$F97*Görevler!$E97,0)-1,2,1),""))</f>
        <v/>
      </c>
      <c r="H97" s="22" t="str">
        <f aca="false">IF(Görevler!$F97="","",IF(AND(Görevler!$C97&lt;=(H$4+Ayarlar!$C$6-1),Görevler!$D97&gt;=H$4),IF(H$4&lt;=Görevler!$C97+ROUND(Görevler!$F97*Görevler!$E97,0)-1,2,1),""))</f>
        <v/>
      </c>
      <c r="I97" s="22" t="str">
        <f aca="false">IF(Görevler!$F97="","",IF(AND(Görevler!$C97&lt;=(I$4+Ayarlar!$C$6-1),Görevler!$D97&gt;=I$4),IF(I$4&lt;=Görevler!$C97+ROUND(Görevler!$F97*Görevler!$E97,0)-1,2,1),""))</f>
        <v/>
      </c>
      <c r="J97" s="22" t="str">
        <f aca="false">IF(Görevler!$F97="","",IF(AND(Görevler!$C97&lt;=(J$4+Ayarlar!$C$6-1),Görevler!$D97&gt;=J$4),IF(J$4&lt;=Görevler!$C97+ROUND(Görevler!$F97*Görevler!$E97,0)-1,2,1),""))</f>
        <v/>
      </c>
      <c r="K97" s="22" t="str">
        <f aca="false">IF(Görevler!$F97="","",IF(AND(Görevler!$C97&lt;=(K$4+Ayarlar!$C$6-1),Görevler!$D97&gt;=K$4),IF(K$4&lt;=Görevler!$C97+ROUND(Görevler!$F97*Görevler!$E97,0)-1,2,1),""))</f>
        <v/>
      </c>
      <c r="L97" s="22" t="str">
        <f aca="false">IF(Görevler!$F97="","",IF(AND(Görevler!$C97&lt;=(L$4+Ayarlar!$C$6-1),Görevler!$D97&gt;=L$4),IF(L$4&lt;=Görevler!$C97+ROUND(Görevler!$F97*Görevler!$E97,0)-1,2,1),""))</f>
        <v/>
      </c>
      <c r="M97" s="22" t="str">
        <f aca="false">IF(Görevler!$F97="","",IF(AND(Görevler!$C97&lt;=(M$4+Ayarlar!$C$6-1),Görevler!$D97&gt;=M$4),IF(M$4&lt;=Görevler!$C97+ROUND(Görevler!$F97*Görevler!$E97,0)-1,2,1),""))</f>
        <v/>
      </c>
      <c r="N97" s="22" t="str">
        <f aca="false">IF(Görevler!$F97="","",IF(AND(Görevler!$C97&lt;=(N$4+Ayarlar!$C$6-1),Görevler!$D97&gt;=N$4),IF(N$4&lt;=Görevler!$C97+ROUND(Görevler!$F97*Görevler!$E97,0)-1,2,1),""))</f>
        <v/>
      </c>
      <c r="O97" s="22" t="str">
        <f aca="false">IF(Görevler!$F97="","",IF(AND(Görevler!$C97&lt;=(O$4+Ayarlar!$C$6-1),Görevler!$D97&gt;=O$4),IF(O$4&lt;=Görevler!$C97+ROUND(Görevler!$F97*Görevler!$E97,0)-1,2,1),""))</f>
        <v/>
      </c>
      <c r="P97" s="22" t="str">
        <f aca="false">IF(Görevler!$F97="","",IF(AND(Görevler!$C97&lt;=(P$4+Ayarlar!$C$6-1),Görevler!$D97&gt;=P$4),IF(P$4&lt;=Görevler!$C97+ROUND(Görevler!$F97*Görevler!$E97,0)-1,2,1),""))</f>
        <v/>
      </c>
      <c r="Q97" s="22" t="str">
        <f aca="false">IF(Görevler!$F97="","",IF(AND(Görevler!$C97&lt;=(Q$4+Ayarlar!$C$6-1),Görevler!$D97&gt;=Q$4),IF(Q$4&lt;=Görevler!$C97+ROUND(Görevler!$F97*Görevler!$E97,0)-1,2,1),""))</f>
        <v/>
      </c>
      <c r="R97" s="22" t="str">
        <f aca="false">IF(Görevler!$F97="","",IF(AND(Görevler!$C97&lt;=(R$4+Ayarlar!$C$6-1),Görevler!$D97&gt;=R$4),IF(R$4&lt;=Görevler!$C97+ROUND(Görevler!$F97*Görevler!$E97,0)-1,2,1),""))</f>
        <v/>
      </c>
      <c r="S97" s="22" t="str">
        <f aca="false">IF(Görevler!$F97="","",IF(AND(Görevler!$C97&lt;=(S$4+Ayarlar!$C$6-1),Görevler!$D97&gt;=S$4),IF(S$4&lt;=Görevler!$C97+ROUND(Görevler!$F97*Görevler!$E97,0)-1,2,1),""))</f>
        <v/>
      </c>
      <c r="T97" s="22" t="str">
        <f aca="false">IF(Görevler!$F97="","",IF(AND(Görevler!$C97&lt;=(T$4+Ayarlar!$C$6-1),Görevler!$D97&gt;=T$4),IF(T$4&lt;=Görevler!$C97+ROUND(Görevler!$F97*Görevler!$E97,0)-1,2,1),""))</f>
        <v/>
      </c>
      <c r="U97" s="22" t="str">
        <f aca="false">IF(Görevler!$F97="","",IF(AND(Görevler!$C97&lt;=(U$4+Ayarlar!$C$6-1),Görevler!$D97&gt;=U$4),IF(U$4&lt;=Görevler!$C97+ROUND(Görevler!$F97*Görevler!$E97,0)-1,2,1),""))</f>
        <v/>
      </c>
      <c r="V97" s="22" t="str">
        <f aca="false">IF(Görevler!$F97="","",IF(AND(Görevler!$C97&lt;=(V$4+Ayarlar!$C$6-1),Görevler!$D97&gt;=V$4),IF(V$4&lt;=Görevler!$C97+ROUND(Görevler!$F97*Görevler!$E97,0)-1,2,1),""))</f>
        <v/>
      </c>
      <c r="W97" s="22" t="str">
        <f aca="false">IF(Görevler!$F97="","",IF(AND(Görevler!$C97&lt;=(W$4+Ayarlar!$C$6-1),Görevler!$D97&gt;=W$4),IF(W$4&lt;=Görevler!$C97+ROUND(Görevler!$F97*Görevler!$E97,0)-1,2,1),""))</f>
        <v/>
      </c>
      <c r="X97" s="22" t="str">
        <f aca="false">IF(Görevler!$F97="","",IF(AND(Görevler!$C97&lt;=(X$4+Ayarlar!$C$6-1),Görevler!$D97&gt;=X$4),IF(X$4&lt;=Görevler!$C97+ROUND(Görevler!$F97*Görevler!$E97,0)-1,2,1),""))</f>
        <v/>
      </c>
      <c r="Y97" s="22" t="str">
        <f aca="false">IF(Görevler!$F97="","",IF(AND(Görevler!$C97&lt;=(Y$4+Ayarlar!$C$6-1),Görevler!$D97&gt;=Y$4),IF(Y$4&lt;=Görevler!$C97+ROUND(Görevler!$F97*Görevler!$E97,0)-1,2,1),""))</f>
        <v/>
      </c>
      <c r="Z97" s="22" t="str">
        <f aca="false">IF(Görevler!$F97="","",IF(AND(Görevler!$C97&lt;=(Z$4+Ayarlar!$C$6-1),Görevler!$D97&gt;=Z$4),IF(Z$4&lt;=Görevler!$C97+ROUND(Görevler!$F97*Görevler!$E97,0)-1,2,1),""))</f>
        <v/>
      </c>
      <c r="AA97" s="22" t="str">
        <f aca="false">IF(Görevler!$F97="","",IF(AND(Görevler!$C97&lt;=(AA$4+Ayarlar!$C$6-1),Görevler!$D97&gt;=AA$4),IF(AA$4&lt;=Görevler!$C97+ROUND(Görevler!$F97*Görevler!$E97,0)-1,2,1),""))</f>
        <v/>
      </c>
      <c r="AB97" s="22" t="str">
        <f aca="false">IF(Görevler!$F97="","",IF(AND(Görevler!$C97&lt;=(AB$4+Ayarlar!$C$6-1),Görevler!$D97&gt;=AB$4),IF(AB$4&lt;=Görevler!$C97+ROUND(Görevler!$F97*Görevler!$E97,0)-1,2,1),""))</f>
        <v/>
      </c>
      <c r="AC97" s="22" t="str">
        <f aca="false">IF(Görevler!$F97="","",IF(AND(Görevler!$C97&lt;=(AC$4+Ayarlar!$C$6-1),Görevler!$D97&gt;=AC$4),IF(AC$4&lt;=Görevler!$C97+ROUND(Görevler!$F97*Görevler!$E97,0)-1,2,1),""))</f>
        <v/>
      </c>
      <c r="AD97" s="22" t="str">
        <f aca="false">IF(Görevler!$F97="","",IF(AND(Görevler!$C97&lt;=(AD$4+Ayarlar!$C$6-1),Görevler!$D97&gt;=AD$4),IF(AD$4&lt;=Görevler!$C97+ROUND(Görevler!$F97*Görevler!$E97,0)-1,2,1),""))</f>
        <v/>
      </c>
      <c r="AE97" s="22" t="str">
        <f aca="false">IF(Görevler!$F97="","",IF(AND(Görevler!$C97&lt;=(AE$4+Ayarlar!$C$6-1),Görevler!$D97&gt;=AE$4),IF(AE$4&lt;=Görevler!$C97+ROUND(Görevler!$F97*Görevler!$E97,0)-1,2,1),""))</f>
        <v/>
      </c>
      <c r="AF97" s="22" t="str">
        <f aca="false">IF(Görevler!$F97="","",IF(AND(Görevler!$C97&lt;=(AF$4+Ayarlar!$C$6-1),Görevler!$D97&gt;=AF$4),IF(AF$4&lt;=Görevler!$C97+ROUND(Görevler!$F97*Görevler!$E97,0)-1,2,1),""))</f>
        <v/>
      </c>
      <c r="AG97" s="22" t="str">
        <f aca="false">IF(Görevler!$F97="","",IF(AND(Görevler!$C97&lt;=(AG$4+Ayarlar!$C$6-1),Görevler!$D97&gt;=AG$4),IF(AG$4&lt;=Görevler!$C97+ROUND(Görevler!$F97*Görevler!$E97,0)-1,2,1),""))</f>
        <v/>
      </c>
      <c r="AH97" s="22" t="str">
        <f aca="false">IF(Görevler!$F97="","",IF(AND(Görevler!$C97&lt;=(AH$4+Ayarlar!$C$6-1),Görevler!$D97&gt;=AH$4),IF(AH$4&lt;=Görevler!$C97+ROUND(Görevler!$F97*Görevler!$E97,0)-1,2,1),""))</f>
        <v/>
      </c>
      <c r="AI97" s="22" t="str">
        <f aca="false">IF(Görevler!$F97="","",IF(AND(Görevler!$C97&lt;=(AI$4+Ayarlar!$C$6-1),Görevler!$D97&gt;=AI$4),IF(AI$4&lt;=Görevler!$C97+ROUND(Görevler!$F97*Görevler!$E97,0)-1,2,1),""))</f>
        <v/>
      </c>
      <c r="AJ97" s="22" t="str">
        <f aca="false">IF(Görevler!$F97="","",IF(AND(Görevler!$C97&lt;=(AJ$4+Ayarlar!$C$6-1),Görevler!$D97&gt;=AJ$4),IF(AJ$4&lt;=Görevler!$C97+ROUND(Görevler!$F97*Görevler!$E97,0)-1,2,1),""))</f>
        <v/>
      </c>
      <c r="AK97" s="22" t="str">
        <f aca="false">IF(Görevler!$F97="","",IF(AND(Görevler!$C97&lt;=(AK$4+Ayarlar!$C$6-1),Görevler!$D97&gt;=AK$4),IF(AK$4&lt;=Görevler!$C97+ROUND(Görevler!$F97*Görevler!$E97,0)-1,2,1),""))</f>
        <v/>
      </c>
      <c r="AL97" s="22" t="str">
        <f aca="false">IF(Görevler!$F97="","",IF(AND(Görevler!$C97&lt;=(AL$4+Ayarlar!$C$6-1),Görevler!$D97&gt;=AL$4),IF(AL$4&lt;=Görevler!$C97+ROUND(Görevler!$F97*Görevler!$E97,0)-1,2,1),""))</f>
        <v/>
      </c>
      <c r="AM97" s="22" t="str">
        <f aca="false">IF(Görevler!$F97="","",IF(AND(Görevler!$C97&lt;=(AM$4+Ayarlar!$C$6-1),Görevler!$D97&gt;=AM$4),IF(AM$4&lt;=Görevler!$C97+ROUND(Görevler!$F97*Görevler!$E97,0)-1,2,1),""))</f>
        <v/>
      </c>
      <c r="AN97" s="22" t="str">
        <f aca="false">IF(Görevler!$F97="","",IF(AND(Görevler!$C97&lt;=(AN$4+Ayarlar!$C$6-1),Görevler!$D97&gt;=AN$4),IF(AN$4&lt;=Görevler!$C97+ROUND(Görevler!$F97*Görevler!$E97,0)-1,2,1),""))</f>
        <v/>
      </c>
      <c r="AO97" s="22" t="str">
        <f aca="false">IF(Görevler!$F97="","",IF(AND(Görevler!$C97&lt;=(AO$4+Ayarlar!$C$6-1),Görevler!$D97&gt;=AO$4),IF(AO$4&lt;=Görevler!$C97+ROUND(Görevler!$F97*Görevler!$E97,0)-1,2,1),""))</f>
        <v/>
      </c>
      <c r="AP97" s="22" t="str">
        <f aca="false">IF(Görevler!$F97="","",IF(AND(Görevler!$C97&lt;=(AP$4+Ayarlar!$C$6-1),Görevler!$D97&gt;=AP$4),IF(AP$4&lt;=Görevler!$C97+ROUND(Görevler!$F97*Görevler!$E97,0)-1,2,1),""))</f>
        <v/>
      </c>
      <c r="AQ97" s="22" t="str">
        <f aca="false">IF(Görevler!$F97="","",IF(AND(Görevler!$C97&lt;=(AQ$4+Ayarlar!$C$6-1),Görevler!$D97&gt;=AQ$4),IF(AQ$4&lt;=Görevler!$C97+ROUND(Görevler!$F97*Görevler!$E97,0)-1,2,1),""))</f>
        <v/>
      </c>
      <c r="AR97" s="22" t="str">
        <f aca="false">IF(Görevler!$F97="","",IF(AND(Görevler!$C97&lt;=(AR$4+Ayarlar!$C$6-1),Görevler!$D97&gt;=AR$4),IF(AR$4&lt;=Görevler!$C97+ROUND(Görevler!$F97*Görevler!$E97,0)-1,2,1),""))</f>
        <v/>
      </c>
      <c r="AS97" s="22" t="str">
        <f aca="false">IF(Görevler!$F97="","",IF(AND(Görevler!$C97&lt;=(AS$4+Ayarlar!$C$6-1),Görevler!$D97&gt;=AS$4),IF(AS$4&lt;=Görevler!$C97+ROUND(Görevler!$F97*Görevler!$E97,0)-1,2,1),""))</f>
        <v/>
      </c>
      <c r="AT97" s="22" t="str">
        <f aca="false">IF(Görevler!$F97="","",IF(AND(Görevler!$C97&lt;=(AT$4+Ayarlar!$C$6-1),Görevler!$D97&gt;=AT$4),IF(AT$4&lt;=Görevler!$C97+ROUND(Görevler!$F97*Görevler!$E97,0)-1,2,1),""))</f>
        <v/>
      </c>
      <c r="AU97" s="22" t="str">
        <f aca="false">IF(Görevler!$F97="","",IF(AND(Görevler!$C97&lt;=(AU$4+Ayarlar!$C$6-1),Görevler!$D97&gt;=AU$4),IF(AU$4&lt;=Görevler!$C97+ROUND(Görevler!$F97*Görevler!$E97,0)-1,2,1),""))</f>
        <v/>
      </c>
      <c r="AV97" s="22" t="str">
        <f aca="false">IF(Görevler!$F97="","",IF(AND(Görevler!$C97&lt;=(AV$4+Ayarlar!$C$6-1),Görevler!$D97&gt;=AV$4),IF(AV$4&lt;=Görevler!$C97+ROUND(Görevler!$F97*Görevler!$E97,0)-1,2,1),""))</f>
        <v/>
      </c>
      <c r="AW97" s="22" t="str">
        <f aca="false">IF(Görevler!$F97="","",IF(AND(Görevler!$C97&lt;=(AW$4+Ayarlar!$C$6-1),Görevler!$D97&gt;=AW$4),IF(AW$4&lt;=Görevler!$C97+ROUND(Görevler!$F97*Görevler!$E97,0)-1,2,1),""))</f>
        <v/>
      </c>
      <c r="AX97" s="22" t="str">
        <f aca="false">IF(Görevler!$F97="","",IF(AND(Görevler!$C97&lt;=(AX$4+Ayarlar!$C$6-1),Görevler!$D97&gt;=AX$4),IF(AX$4&lt;=Görevler!$C97+ROUND(Görevler!$F97*Görevler!$E97,0)-1,2,1),""))</f>
        <v/>
      </c>
      <c r="AY97" s="22" t="str">
        <f aca="false">IF(Görevler!$F97="","",IF(AND(Görevler!$C97&lt;=(AY$4+Ayarlar!$C$6-1),Görevler!$D97&gt;=AY$4),IF(AY$4&lt;=Görevler!$C97+ROUND(Görevler!$F97*Görevler!$E97,0)-1,2,1),""))</f>
        <v/>
      </c>
      <c r="AZ97" s="22" t="str">
        <f aca="false">IF(Görevler!$F97="","",IF(AND(Görevler!$C97&lt;=(AZ$4+Ayarlar!$C$6-1),Görevler!$D97&gt;=AZ$4),IF(AZ$4&lt;=Görevler!$C97+ROUND(Görevler!$F97*Görevler!$E97,0)-1,2,1),""))</f>
        <v/>
      </c>
      <c r="BA97" s="22" t="str">
        <f aca="false">IF(Görevler!$F97="","",IF(AND(Görevler!$C97&lt;=(BA$4+Ayarlar!$C$6-1),Görevler!$D97&gt;=BA$4),IF(BA$4&lt;=Görevler!$C97+ROUND(Görevler!$F97*Görevler!$E97,0)-1,2,1),""))</f>
        <v/>
      </c>
      <c r="BB97" s="22" t="str">
        <f aca="false">IF(Görevler!$F97="","",IF(AND(Görevler!$C97&lt;=(BB$4+Ayarlar!$C$6-1),Görevler!$D97&gt;=BB$4),IF(BB$4&lt;=Görevler!$C97+ROUND(Görevler!$F97*Görevler!$E97,0)-1,2,1),""))</f>
        <v/>
      </c>
      <c r="BC97" s="22" t="str">
        <f aca="false">IF(Görevler!$F97="","",IF(AND(Görevler!$C97&lt;=(BC$4+Ayarlar!$C$6-1),Görevler!$D97&gt;=BC$4),IF(BC$4&lt;=Görevler!$C97+ROUND(Görevler!$F97*Görevler!$E97,0)-1,2,1),""))</f>
        <v/>
      </c>
      <c r="BD97" s="22" t="str">
        <f aca="false">IF(Görevler!$F97="","",IF(AND(Görevler!$C97&lt;=(BD$4+Ayarlar!$C$6-1),Görevler!$D97&gt;=BD$4),IF(BD$4&lt;=Görevler!$C97+ROUND(Görevler!$F97*Görevler!$E97,0)-1,2,1),""))</f>
        <v/>
      </c>
      <c r="BE97" s="22" t="str">
        <f aca="false">IF(Görevler!$F97="","",IF(AND(Görevler!$C97&lt;=(BE$4+Ayarlar!$C$6-1),Görevler!$D97&gt;=BE$4),IF(BE$4&lt;=Görevler!$C97+ROUND(Görevler!$F97*Görevler!$E97,0)-1,2,1),""))</f>
        <v/>
      </c>
      <c r="BF97" s="22" t="str">
        <f aca="false">IF(Görevler!$F97="","",IF(AND(Görevler!$C97&lt;=(BF$4+Ayarlar!$C$6-1),Görevler!$D97&gt;=BF$4),IF(BF$4&lt;=Görevler!$C97+ROUND(Görevler!$F97*Görevler!$E97,0)-1,2,1),""))</f>
        <v/>
      </c>
      <c r="BG97" s="22" t="str">
        <f aca="false">IF(Görevler!$F97="","",IF(AND(Görevler!$C97&lt;=(BG$4+Ayarlar!$C$6-1),Görevler!$D97&gt;=BG$4),IF(BG$4&lt;=Görevler!$C97+ROUND(Görevler!$F97*Görevler!$E97,0)-1,2,1),""))</f>
        <v/>
      </c>
      <c r="BH97" s="22" t="str">
        <f aca="false">IF(Görevler!$F97="","",IF(AND(Görevler!$C97&lt;=(BH$4+Ayarlar!$C$6-1),Görevler!$D97&gt;=BH$4),IF(BH$4&lt;=Görevler!$C97+ROUND(Görevler!$F97*Görevler!$E97,0)-1,2,1),""))</f>
        <v/>
      </c>
      <c r="BI97" s="22" t="str">
        <f aca="false">IF(Görevler!$F97="","",IF(AND(Görevler!$C97&lt;=(BI$4+Ayarlar!$C$6-1),Görevler!$D97&gt;=BI$4),IF(BI$4&lt;=Görevler!$C97+ROUND(Görevler!$F97*Görevler!$E97,0)-1,2,1),""))</f>
        <v/>
      </c>
      <c r="BJ97" s="22" t="str">
        <f aca="false">IF(Görevler!$F97="","",IF(AND(Görevler!$C97&lt;=(BJ$4+Ayarlar!$C$6-1),Görevler!$D97&gt;=BJ$4),IF(BJ$4&lt;=Görevler!$C97+ROUND(Görevler!$F97*Görevler!$E97,0)-1,2,1),""))</f>
        <v/>
      </c>
    </row>
    <row r="98" customFormat="false" ht="15" hidden="false" customHeight="false" outlineLevel="0" collapsed="false">
      <c r="A98" s="21" t="str">
        <f aca="false">IF(Görevler!A98="","",Görevler!A98)</f>
        <v/>
      </c>
      <c r="B98" s="21" t="str">
        <f aca="false">IF(Görevler!A98="","",Görevler!B98&amp;"")</f>
        <v/>
      </c>
      <c r="C98" s="22" t="str">
        <f aca="false">IF(Görevler!$F98="","",IF(AND(Görevler!$C98&lt;=(C$4+Ayarlar!$C$6-1),Görevler!$D98&gt;=C$4),IF(C$4&lt;=Görevler!$C98+ROUND(Görevler!$F98*Görevler!$E98,0)-1,2,1),""))</f>
        <v/>
      </c>
      <c r="D98" s="22" t="str">
        <f aca="false">IF(Görevler!$F98="","",IF(AND(Görevler!$C98&lt;=(D$4+Ayarlar!$C$6-1),Görevler!$D98&gt;=D$4),IF(D$4&lt;=Görevler!$C98+ROUND(Görevler!$F98*Görevler!$E98,0)-1,2,1),""))</f>
        <v/>
      </c>
      <c r="E98" s="22" t="str">
        <f aca="false">IF(Görevler!$F98="","",IF(AND(Görevler!$C98&lt;=(E$4+Ayarlar!$C$6-1),Görevler!$D98&gt;=E$4),IF(E$4&lt;=Görevler!$C98+ROUND(Görevler!$F98*Görevler!$E98,0)-1,2,1),""))</f>
        <v/>
      </c>
      <c r="F98" s="22" t="str">
        <f aca="false">IF(Görevler!$F98="","",IF(AND(Görevler!$C98&lt;=(F$4+Ayarlar!$C$6-1),Görevler!$D98&gt;=F$4),IF(F$4&lt;=Görevler!$C98+ROUND(Görevler!$F98*Görevler!$E98,0)-1,2,1),""))</f>
        <v/>
      </c>
      <c r="G98" s="22" t="str">
        <f aca="false">IF(Görevler!$F98="","",IF(AND(Görevler!$C98&lt;=(G$4+Ayarlar!$C$6-1),Görevler!$D98&gt;=G$4),IF(G$4&lt;=Görevler!$C98+ROUND(Görevler!$F98*Görevler!$E98,0)-1,2,1),""))</f>
        <v/>
      </c>
      <c r="H98" s="22" t="str">
        <f aca="false">IF(Görevler!$F98="","",IF(AND(Görevler!$C98&lt;=(H$4+Ayarlar!$C$6-1),Görevler!$D98&gt;=H$4),IF(H$4&lt;=Görevler!$C98+ROUND(Görevler!$F98*Görevler!$E98,0)-1,2,1),""))</f>
        <v/>
      </c>
      <c r="I98" s="22" t="str">
        <f aca="false">IF(Görevler!$F98="","",IF(AND(Görevler!$C98&lt;=(I$4+Ayarlar!$C$6-1),Görevler!$D98&gt;=I$4),IF(I$4&lt;=Görevler!$C98+ROUND(Görevler!$F98*Görevler!$E98,0)-1,2,1),""))</f>
        <v/>
      </c>
      <c r="J98" s="22" t="str">
        <f aca="false">IF(Görevler!$F98="","",IF(AND(Görevler!$C98&lt;=(J$4+Ayarlar!$C$6-1),Görevler!$D98&gt;=J$4),IF(J$4&lt;=Görevler!$C98+ROUND(Görevler!$F98*Görevler!$E98,0)-1,2,1),""))</f>
        <v/>
      </c>
      <c r="K98" s="22" t="str">
        <f aca="false">IF(Görevler!$F98="","",IF(AND(Görevler!$C98&lt;=(K$4+Ayarlar!$C$6-1),Görevler!$D98&gt;=K$4),IF(K$4&lt;=Görevler!$C98+ROUND(Görevler!$F98*Görevler!$E98,0)-1,2,1),""))</f>
        <v/>
      </c>
      <c r="L98" s="22" t="str">
        <f aca="false">IF(Görevler!$F98="","",IF(AND(Görevler!$C98&lt;=(L$4+Ayarlar!$C$6-1),Görevler!$D98&gt;=L$4),IF(L$4&lt;=Görevler!$C98+ROUND(Görevler!$F98*Görevler!$E98,0)-1,2,1),""))</f>
        <v/>
      </c>
      <c r="M98" s="22" t="str">
        <f aca="false">IF(Görevler!$F98="","",IF(AND(Görevler!$C98&lt;=(M$4+Ayarlar!$C$6-1),Görevler!$D98&gt;=M$4),IF(M$4&lt;=Görevler!$C98+ROUND(Görevler!$F98*Görevler!$E98,0)-1,2,1),""))</f>
        <v/>
      </c>
      <c r="N98" s="22" t="str">
        <f aca="false">IF(Görevler!$F98="","",IF(AND(Görevler!$C98&lt;=(N$4+Ayarlar!$C$6-1),Görevler!$D98&gt;=N$4),IF(N$4&lt;=Görevler!$C98+ROUND(Görevler!$F98*Görevler!$E98,0)-1,2,1),""))</f>
        <v/>
      </c>
      <c r="O98" s="22" t="str">
        <f aca="false">IF(Görevler!$F98="","",IF(AND(Görevler!$C98&lt;=(O$4+Ayarlar!$C$6-1),Görevler!$D98&gt;=O$4),IF(O$4&lt;=Görevler!$C98+ROUND(Görevler!$F98*Görevler!$E98,0)-1,2,1),""))</f>
        <v/>
      </c>
      <c r="P98" s="22" t="str">
        <f aca="false">IF(Görevler!$F98="","",IF(AND(Görevler!$C98&lt;=(P$4+Ayarlar!$C$6-1),Görevler!$D98&gt;=P$4),IF(P$4&lt;=Görevler!$C98+ROUND(Görevler!$F98*Görevler!$E98,0)-1,2,1),""))</f>
        <v/>
      </c>
      <c r="Q98" s="22" t="str">
        <f aca="false">IF(Görevler!$F98="","",IF(AND(Görevler!$C98&lt;=(Q$4+Ayarlar!$C$6-1),Görevler!$D98&gt;=Q$4),IF(Q$4&lt;=Görevler!$C98+ROUND(Görevler!$F98*Görevler!$E98,0)-1,2,1),""))</f>
        <v/>
      </c>
      <c r="R98" s="22" t="str">
        <f aca="false">IF(Görevler!$F98="","",IF(AND(Görevler!$C98&lt;=(R$4+Ayarlar!$C$6-1),Görevler!$D98&gt;=R$4),IF(R$4&lt;=Görevler!$C98+ROUND(Görevler!$F98*Görevler!$E98,0)-1,2,1),""))</f>
        <v/>
      </c>
      <c r="S98" s="22" t="str">
        <f aca="false">IF(Görevler!$F98="","",IF(AND(Görevler!$C98&lt;=(S$4+Ayarlar!$C$6-1),Görevler!$D98&gt;=S$4),IF(S$4&lt;=Görevler!$C98+ROUND(Görevler!$F98*Görevler!$E98,0)-1,2,1),""))</f>
        <v/>
      </c>
      <c r="T98" s="22" t="str">
        <f aca="false">IF(Görevler!$F98="","",IF(AND(Görevler!$C98&lt;=(T$4+Ayarlar!$C$6-1),Görevler!$D98&gt;=T$4),IF(T$4&lt;=Görevler!$C98+ROUND(Görevler!$F98*Görevler!$E98,0)-1,2,1),""))</f>
        <v/>
      </c>
      <c r="U98" s="22" t="str">
        <f aca="false">IF(Görevler!$F98="","",IF(AND(Görevler!$C98&lt;=(U$4+Ayarlar!$C$6-1),Görevler!$D98&gt;=U$4),IF(U$4&lt;=Görevler!$C98+ROUND(Görevler!$F98*Görevler!$E98,0)-1,2,1),""))</f>
        <v/>
      </c>
      <c r="V98" s="22" t="str">
        <f aca="false">IF(Görevler!$F98="","",IF(AND(Görevler!$C98&lt;=(V$4+Ayarlar!$C$6-1),Görevler!$D98&gt;=V$4),IF(V$4&lt;=Görevler!$C98+ROUND(Görevler!$F98*Görevler!$E98,0)-1,2,1),""))</f>
        <v/>
      </c>
      <c r="W98" s="22" t="str">
        <f aca="false">IF(Görevler!$F98="","",IF(AND(Görevler!$C98&lt;=(W$4+Ayarlar!$C$6-1),Görevler!$D98&gt;=W$4),IF(W$4&lt;=Görevler!$C98+ROUND(Görevler!$F98*Görevler!$E98,0)-1,2,1),""))</f>
        <v/>
      </c>
      <c r="X98" s="22" t="str">
        <f aca="false">IF(Görevler!$F98="","",IF(AND(Görevler!$C98&lt;=(X$4+Ayarlar!$C$6-1),Görevler!$D98&gt;=X$4),IF(X$4&lt;=Görevler!$C98+ROUND(Görevler!$F98*Görevler!$E98,0)-1,2,1),""))</f>
        <v/>
      </c>
      <c r="Y98" s="22" t="str">
        <f aca="false">IF(Görevler!$F98="","",IF(AND(Görevler!$C98&lt;=(Y$4+Ayarlar!$C$6-1),Görevler!$D98&gt;=Y$4),IF(Y$4&lt;=Görevler!$C98+ROUND(Görevler!$F98*Görevler!$E98,0)-1,2,1),""))</f>
        <v/>
      </c>
      <c r="Z98" s="22" t="str">
        <f aca="false">IF(Görevler!$F98="","",IF(AND(Görevler!$C98&lt;=(Z$4+Ayarlar!$C$6-1),Görevler!$D98&gt;=Z$4),IF(Z$4&lt;=Görevler!$C98+ROUND(Görevler!$F98*Görevler!$E98,0)-1,2,1),""))</f>
        <v/>
      </c>
      <c r="AA98" s="22" t="str">
        <f aca="false">IF(Görevler!$F98="","",IF(AND(Görevler!$C98&lt;=(AA$4+Ayarlar!$C$6-1),Görevler!$D98&gt;=AA$4),IF(AA$4&lt;=Görevler!$C98+ROUND(Görevler!$F98*Görevler!$E98,0)-1,2,1),""))</f>
        <v/>
      </c>
      <c r="AB98" s="22" t="str">
        <f aca="false">IF(Görevler!$F98="","",IF(AND(Görevler!$C98&lt;=(AB$4+Ayarlar!$C$6-1),Görevler!$D98&gt;=AB$4),IF(AB$4&lt;=Görevler!$C98+ROUND(Görevler!$F98*Görevler!$E98,0)-1,2,1),""))</f>
        <v/>
      </c>
      <c r="AC98" s="22" t="str">
        <f aca="false">IF(Görevler!$F98="","",IF(AND(Görevler!$C98&lt;=(AC$4+Ayarlar!$C$6-1),Görevler!$D98&gt;=AC$4),IF(AC$4&lt;=Görevler!$C98+ROUND(Görevler!$F98*Görevler!$E98,0)-1,2,1),""))</f>
        <v/>
      </c>
      <c r="AD98" s="22" t="str">
        <f aca="false">IF(Görevler!$F98="","",IF(AND(Görevler!$C98&lt;=(AD$4+Ayarlar!$C$6-1),Görevler!$D98&gt;=AD$4),IF(AD$4&lt;=Görevler!$C98+ROUND(Görevler!$F98*Görevler!$E98,0)-1,2,1),""))</f>
        <v/>
      </c>
      <c r="AE98" s="22" t="str">
        <f aca="false">IF(Görevler!$F98="","",IF(AND(Görevler!$C98&lt;=(AE$4+Ayarlar!$C$6-1),Görevler!$D98&gt;=AE$4),IF(AE$4&lt;=Görevler!$C98+ROUND(Görevler!$F98*Görevler!$E98,0)-1,2,1),""))</f>
        <v/>
      </c>
      <c r="AF98" s="22" t="str">
        <f aca="false">IF(Görevler!$F98="","",IF(AND(Görevler!$C98&lt;=(AF$4+Ayarlar!$C$6-1),Görevler!$D98&gt;=AF$4),IF(AF$4&lt;=Görevler!$C98+ROUND(Görevler!$F98*Görevler!$E98,0)-1,2,1),""))</f>
        <v/>
      </c>
      <c r="AG98" s="22" t="str">
        <f aca="false">IF(Görevler!$F98="","",IF(AND(Görevler!$C98&lt;=(AG$4+Ayarlar!$C$6-1),Görevler!$D98&gt;=AG$4),IF(AG$4&lt;=Görevler!$C98+ROUND(Görevler!$F98*Görevler!$E98,0)-1,2,1),""))</f>
        <v/>
      </c>
      <c r="AH98" s="22" t="str">
        <f aca="false">IF(Görevler!$F98="","",IF(AND(Görevler!$C98&lt;=(AH$4+Ayarlar!$C$6-1),Görevler!$D98&gt;=AH$4),IF(AH$4&lt;=Görevler!$C98+ROUND(Görevler!$F98*Görevler!$E98,0)-1,2,1),""))</f>
        <v/>
      </c>
      <c r="AI98" s="22" t="str">
        <f aca="false">IF(Görevler!$F98="","",IF(AND(Görevler!$C98&lt;=(AI$4+Ayarlar!$C$6-1),Görevler!$D98&gt;=AI$4),IF(AI$4&lt;=Görevler!$C98+ROUND(Görevler!$F98*Görevler!$E98,0)-1,2,1),""))</f>
        <v/>
      </c>
      <c r="AJ98" s="22" t="str">
        <f aca="false">IF(Görevler!$F98="","",IF(AND(Görevler!$C98&lt;=(AJ$4+Ayarlar!$C$6-1),Görevler!$D98&gt;=AJ$4),IF(AJ$4&lt;=Görevler!$C98+ROUND(Görevler!$F98*Görevler!$E98,0)-1,2,1),""))</f>
        <v/>
      </c>
      <c r="AK98" s="22" t="str">
        <f aca="false">IF(Görevler!$F98="","",IF(AND(Görevler!$C98&lt;=(AK$4+Ayarlar!$C$6-1),Görevler!$D98&gt;=AK$4),IF(AK$4&lt;=Görevler!$C98+ROUND(Görevler!$F98*Görevler!$E98,0)-1,2,1),""))</f>
        <v/>
      </c>
      <c r="AL98" s="22" t="str">
        <f aca="false">IF(Görevler!$F98="","",IF(AND(Görevler!$C98&lt;=(AL$4+Ayarlar!$C$6-1),Görevler!$D98&gt;=AL$4),IF(AL$4&lt;=Görevler!$C98+ROUND(Görevler!$F98*Görevler!$E98,0)-1,2,1),""))</f>
        <v/>
      </c>
      <c r="AM98" s="22" t="str">
        <f aca="false">IF(Görevler!$F98="","",IF(AND(Görevler!$C98&lt;=(AM$4+Ayarlar!$C$6-1),Görevler!$D98&gt;=AM$4),IF(AM$4&lt;=Görevler!$C98+ROUND(Görevler!$F98*Görevler!$E98,0)-1,2,1),""))</f>
        <v/>
      </c>
      <c r="AN98" s="22" t="str">
        <f aca="false">IF(Görevler!$F98="","",IF(AND(Görevler!$C98&lt;=(AN$4+Ayarlar!$C$6-1),Görevler!$D98&gt;=AN$4),IF(AN$4&lt;=Görevler!$C98+ROUND(Görevler!$F98*Görevler!$E98,0)-1,2,1),""))</f>
        <v/>
      </c>
      <c r="AO98" s="22" t="str">
        <f aca="false">IF(Görevler!$F98="","",IF(AND(Görevler!$C98&lt;=(AO$4+Ayarlar!$C$6-1),Görevler!$D98&gt;=AO$4),IF(AO$4&lt;=Görevler!$C98+ROUND(Görevler!$F98*Görevler!$E98,0)-1,2,1),""))</f>
        <v/>
      </c>
      <c r="AP98" s="22" t="str">
        <f aca="false">IF(Görevler!$F98="","",IF(AND(Görevler!$C98&lt;=(AP$4+Ayarlar!$C$6-1),Görevler!$D98&gt;=AP$4),IF(AP$4&lt;=Görevler!$C98+ROUND(Görevler!$F98*Görevler!$E98,0)-1,2,1),""))</f>
        <v/>
      </c>
      <c r="AQ98" s="22" t="str">
        <f aca="false">IF(Görevler!$F98="","",IF(AND(Görevler!$C98&lt;=(AQ$4+Ayarlar!$C$6-1),Görevler!$D98&gt;=AQ$4),IF(AQ$4&lt;=Görevler!$C98+ROUND(Görevler!$F98*Görevler!$E98,0)-1,2,1),""))</f>
        <v/>
      </c>
      <c r="AR98" s="22" t="str">
        <f aca="false">IF(Görevler!$F98="","",IF(AND(Görevler!$C98&lt;=(AR$4+Ayarlar!$C$6-1),Görevler!$D98&gt;=AR$4),IF(AR$4&lt;=Görevler!$C98+ROUND(Görevler!$F98*Görevler!$E98,0)-1,2,1),""))</f>
        <v/>
      </c>
      <c r="AS98" s="22" t="str">
        <f aca="false">IF(Görevler!$F98="","",IF(AND(Görevler!$C98&lt;=(AS$4+Ayarlar!$C$6-1),Görevler!$D98&gt;=AS$4),IF(AS$4&lt;=Görevler!$C98+ROUND(Görevler!$F98*Görevler!$E98,0)-1,2,1),""))</f>
        <v/>
      </c>
      <c r="AT98" s="22" t="str">
        <f aca="false">IF(Görevler!$F98="","",IF(AND(Görevler!$C98&lt;=(AT$4+Ayarlar!$C$6-1),Görevler!$D98&gt;=AT$4),IF(AT$4&lt;=Görevler!$C98+ROUND(Görevler!$F98*Görevler!$E98,0)-1,2,1),""))</f>
        <v/>
      </c>
      <c r="AU98" s="22" t="str">
        <f aca="false">IF(Görevler!$F98="","",IF(AND(Görevler!$C98&lt;=(AU$4+Ayarlar!$C$6-1),Görevler!$D98&gt;=AU$4),IF(AU$4&lt;=Görevler!$C98+ROUND(Görevler!$F98*Görevler!$E98,0)-1,2,1),""))</f>
        <v/>
      </c>
      <c r="AV98" s="22" t="str">
        <f aca="false">IF(Görevler!$F98="","",IF(AND(Görevler!$C98&lt;=(AV$4+Ayarlar!$C$6-1),Görevler!$D98&gt;=AV$4),IF(AV$4&lt;=Görevler!$C98+ROUND(Görevler!$F98*Görevler!$E98,0)-1,2,1),""))</f>
        <v/>
      </c>
      <c r="AW98" s="22" t="str">
        <f aca="false">IF(Görevler!$F98="","",IF(AND(Görevler!$C98&lt;=(AW$4+Ayarlar!$C$6-1),Görevler!$D98&gt;=AW$4),IF(AW$4&lt;=Görevler!$C98+ROUND(Görevler!$F98*Görevler!$E98,0)-1,2,1),""))</f>
        <v/>
      </c>
      <c r="AX98" s="22" t="str">
        <f aca="false">IF(Görevler!$F98="","",IF(AND(Görevler!$C98&lt;=(AX$4+Ayarlar!$C$6-1),Görevler!$D98&gt;=AX$4),IF(AX$4&lt;=Görevler!$C98+ROUND(Görevler!$F98*Görevler!$E98,0)-1,2,1),""))</f>
        <v/>
      </c>
      <c r="AY98" s="22" t="str">
        <f aca="false">IF(Görevler!$F98="","",IF(AND(Görevler!$C98&lt;=(AY$4+Ayarlar!$C$6-1),Görevler!$D98&gt;=AY$4),IF(AY$4&lt;=Görevler!$C98+ROUND(Görevler!$F98*Görevler!$E98,0)-1,2,1),""))</f>
        <v/>
      </c>
      <c r="AZ98" s="22" t="str">
        <f aca="false">IF(Görevler!$F98="","",IF(AND(Görevler!$C98&lt;=(AZ$4+Ayarlar!$C$6-1),Görevler!$D98&gt;=AZ$4),IF(AZ$4&lt;=Görevler!$C98+ROUND(Görevler!$F98*Görevler!$E98,0)-1,2,1),""))</f>
        <v/>
      </c>
      <c r="BA98" s="22" t="str">
        <f aca="false">IF(Görevler!$F98="","",IF(AND(Görevler!$C98&lt;=(BA$4+Ayarlar!$C$6-1),Görevler!$D98&gt;=BA$4),IF(BA$4&lt;=Görevler!$C98+ROUND(Görevler!$F98*Görevler!$E98,0)-1,2,1),""))</f>
        <v/>
      </c>
      <c r="BB98" s="22" t="str">
        <f aca="false">IF(Görevler!$F98="","",IF(AND(Görevler!$C98&lt;=(BB$4+Ayarlar!$C$6-1),Görevler!$D98&gt;=BB$4),IF(BB$4&lt;=Görevler!$C98+ROUND(Görevler!$F98*Görevler!$E98,0)-1,2,1),""))</f>
        <v/>
      </c>
      <c r="BC98" s="22" t="str">
        <f aca="false">IF(Görevler!$F98="","",IF(AND(Görevler!$C98&lt;=(BC$4+Ayarlar!$C$6-1),Görevler!$D98&gt;=BC$4),IF(BC$4&lt;=Görevler!$C98+ROUND(Görevler!$F98*Görevler!$E98,0)-1,2,1),""))</f>
        <v/>
      </c>
      <c r="BD98" s="22" t="str">
        <f aca="false">IF(Görevler!$F98="","",IF(AND(Görevler!$C98&lt;=(BD$4+Ayarlar!$C$6-1),Görevler!$D98&gt;=BD$4),IF(BD$4&lt;=Görevler!$C98+ROUND(Görevler!$F98*Görevler!$E98,0)-1,2,1),""))</f>
        <v/>
      </c>
      <c r="BE98" s="22" t="str">
        <f aca="false">IF(Görevler!$F98="","",IF(AND(Görevler!$C98&lt;=(BE$4+Ayarlar!$C$6-1),Görevler!$D98&gt;=BE$4),IF(BE$4&lt;=Görevler!$C98+ROUND(Görevler!$F98*Görevler!$E98,0)-1,2,1),""))</f>
        <v/>
      </c>
      <c r="BF98" s="22" t="str">
        <f aca="false">IF(Görevler!$F98="","",IF(AND(Görevler!$C98&lt;=(BF$4+Ayarlar!$C$6-1),Görevler!$D98&gt;=BF$4),IF(BF$4&lt;=Görevler!$C98+ROUND(Görevler!$F98*Görevler!$E98,0)-1,2,1),""))</f>
        <v/>
      </c>
      <c r="BG98" s="22" t="str">
        <f aca="false">IF(Görevler!$F98="","",IF(AND(Görevler!$C98&lt;=(BG$4+Ayarlar!$C$6-1),Görevler!$D98&gt;=BG$4),IF(BG$4&lt;=Görevler!$C98+ROUND(Görevler!$F98*Görevler!$E98,0)-1,2,1),""))</f>
        <v/>
      </c>
      <c r="BH98" s="22" t="str">
        <f aca="false">IF(Görevler!$F98="","",IF(AND(Görevler!$C98&lt;=(BH$4+Ayarlar!$C$6-1),Görevler!$D98&gt;=BH$4),IF(BH$4&lt;=Görevler!$C98+ROUND(Görevler!$F98*Görevler!$E98,0)-1,2,1),""))</f>
        <v/>
      </c>
      <c r="BI98" s="22" t="str">
        <f aca="false">IF(Görevler!$F98="","",IF(AND(Görevler!$C98&lt;=(BI$4+Ayarlar!$C$6-1),Görevler!$D98&gt;=BI$4),IF(BI$4&lt;=Görevler!$C98+ROUND(Görevler!$F98*Görevler!$E98,0)-1,2,1),""))</f>
        <v/>
      </c>
      <c r="BJ98" s="22" t="str">
        <f aca="false">IF(Görevler!$F98="","",IF(AND(Görevler!$C98&lt;=(BJ$4+Ayarlar!$C$6-1),Görevler!$D98&gt;=BJ$4),IF(BJ$4&lt;=Görevler!$C98+ROUND(Görevler!$F98*Görevler!$E98,0)-1,2,1),""))</f>
        <v/>
      </c>
    </row>
    <row r="99" customFormat="false" ht="15" hidden="false" customHeight="false" outlineLevel="0" collapsed="false">
      <c r="A99" s="21" t="str">
        <f aca="false">IF(Görevler!A99="","",Görevler!A99)</f>
        <v/>
      </c>
      <c r="B99" s="21" t="str">
        <f aca="false">IF(Görevler!A99="","",Görevler!B99&amp;"")</f>
        <v/>
      </c>
      <c r="C99" s="22" t="str">
        <f aca="false">IF(Görevler!$F99="","",IF(AND(Görevler!$C99&lt;=(C$4+Ayarlar!$C$6-1),Görevler!$D99&gt;=C$4),IF(C$4&lt;=Görevler!$C99+ROUND(Görevler!$F99*Görevler!$E99,0)-1,2,1),""))</f>
        <v/>
      </c>
      <c r="D99" s="22" t="str">
        <f aca="false">IF(Görevler!$F99="","",IF(AND(Görevler!$C99&lt;=(D$4+Ayarlar!$C$6-1),Görevler!$D99&gt;=D$4),IF(D$4&lt;=Görevler!$C99+ROUND(Görevler!$F99*Görevler!$E99,0)-1,2,1),""))</f>
        <v/>
      </c>
      <c r="E99" s="22" t="str">
        <f aca="false">IF(Görevler!$F99="","",IF(AND(Görevler!$C99&lt;=(E$4+Ayarlar!$C$6-1),Görevler!$D99&gt;=E$4),IF(E$4&lt;=Görevler!$C99+ROUND(Görevler!$F99*Görevler!$E99,0)-1,2,1),""))</f>
        <v/>
      </c>
      <c r="F99" s="22" t="str">
        <f aca="false">IF(Görevler!$F99="","",IF(AND(Görevler!$C99&lt;=(F$4+Ayarlar!$C$6-1),Görevler!$D99&gt;=F$4),IF(F$4&lt;=Görevler!$C99+ROUND(Görevler!$F99*Görevler!$E99,0)-1,2,1),""))</f>
        <v/>
      </c>
      <c r="G99" s="22" t="str">
        <f aca="false">IF(Görevler!$F99="","",IF(AND(Görevler!$C99&lt;=(G$4+Ayarlar!$C$6-1),Görevler!$D99&gt;=G$4),IF(G$4&lt;=Görevler!$C99+ROUND(Görevler!$F99*Görevler!$E99,0)-1,2,1),""))</f>
        <v/>
      </c>
      <c r="H99" s="22" t="str">
        <f aca="false">IF(Görevler!$F99="","",IF(AND(Görevler!$C99&lt;=(H$4+Ayarlar!$C$6-1),Görevler!$D99&gt;=H$4),IF(H$4&lt;=Görevler!$C99+ROUND(Görevler!$F99*Görevler!$E99,0)-1,2,1),""))</f>
        <v/>
      </c>
      <c r="I99" s="22" t="str">
        <f aca="false">IF(Görevler!$F99="","",IF(AND(Görevler!$C99&lt;=(I$4+Ayarlar!$C$6-1),Görevler!$D99&gt;=I$4),IF(I$4&lt;=Görevler!$C99+ROUND(Görevler!$F99*Görevler!$E99,0)-1,2,1),""))</f>
        <v/>
      </c>
      <c r="J99" s="22" t="str">
        <f aca="false">IF(Görevler!$F99="","",IF(AND(Görevler!$C99&lt;=(J$4+Ayarlar!$C$6-1),Görevler!$D99&gt;=J$4),IF(J$4&lt;=Görevler!$C99+ROUND(Görevler!$F99*Görevler!$E99,0)-1,2,1),""))</f>
        <v/>
      </c>
      <c r="K99" s="22" t="str">
        <f aca="false">IF(Görevler!$F99="","",IF(AND(Görevler!$C99&lt;=(K$4+Ayarlar!$C$6-1),Görevler!$D99&gt;=K$4),IF(K$4&lt;=Görevler!$C99+ROUND(Görevler!$F99*Görevler!$E99,0)-1,2,1),""))</f>
        <v/>
      </c>
      <c r="L99" s="22" t="str">
        <f aca="false">IF(Görevler!$F99="","",IF(AND(Görevler!$C99&lt;=(L$4+Ayarlar!$C$6-1),Görevler!$D99&gt;=L$4),IF(L$4&lt;=Görevler!$C99+ROUND(Görevler!$F99*Görevler!$E99,0)-1,2,1),""))</f>
        <v/>
      </c>
      <c r="M99" s="22" t="str">
        <f aca="false">IF(Görevler!$F99="","",IF(AND(Görevler!$C99&lt;=(M$4+Ayarlar!$C$6-1),Görevler!$D99&gt;=M$4),IF(M$4&lt;=Görevler!$C99+ROUND(Görevler!$F99*Görevler!$E99,0)-1,2,1),""))</f>
        <v/>
      </c>
      <c r="N99" s="22" t="str">
        <f aca="false">IF(Görevler!$F99="","",IF(AND(Görevler!$C99&lt;=(N$4+Ayarlar!$C$6-1),Görevler!$D99&gt;=N$4),IF(N$4&lt;=Görevler!$C99+ROUND(Görevler!$F99*Görevler!$E99,0)-1,2,1),""))</f>
        <v/>
      </c>
      <c r="O99" s="22" t="str">
        <f aca="false">IF(Görevler!$F99="","",IF(AND(Görevler!$C99&lt;=(O$4+Ayarlar!$C$6-1),Görevler!$D99&gt;=O$4),IF(O$4&lt;=Görevler!$C99+ROUND(Görevler!$F99*Görevler!$E99,0)-1,2,1),""))</f>
        <v/>
      </c>
      <c r="P99" s="22" t="str">
        <f aca="false">IF(Görevler!$F99="","",IF(AND(Görevler!$C99&lt;=(P$4+Ayarlar!$C$6-1),Görevler!$D99&gt;=P$4),IF(P$4&lt;=Görevler!$C99+ROUND(Görevler!$F99*Görevler!$E99,0)-1,2,1),""))</f>
        <v/>
      </c>
      <c r="Q99" s="22" t="str">
        <f aca="false">IF(Görevler!$F99="","",IF(AND(Görevler!$C99&lt;=(Q$4+Ayarlar!$C$6-1),Görevler!$D99&gt;=Q$4),IF(Q$4&lt;=Görevler!$C99+ROUND(Görevler!$F99*Görevler!$E99,0)-1,2,1),""))</f>
        <v/>
      </c>
      <c r="R99" s="22" t="str">
        <f aca="false">IF(Görevler!$F99="","",IF(AND(Görevler!$C99&lt;=(R$4+Ayarlar!$C$6-1),Görevler!$D99&gt;=R$4),IF(R$4&lt;=Görevler!$C99+ROUND(Görevler!$F99*Görevler!$E99,0)-1,2,1),""))</f>
        <v/>
      </c>
      <c r="S99" s="22" t="str">
        <f aca="false">IF(Görevler!$F99="","",IF(AND(Görevler!$C99&lt;=(S$4+Ayarlar!$C$6-1),Görevler!$D99&gt;=S$4),IF(S$4&lt;=Görevler!$C99+ROUND(Görevler!$F99*Görevler!$E99,0)-1,2,1),""))</f>
        <v/>
      </c>
      <c r="T99" s="22" t="str">
        <f aca="false">IF(Görevler!$F99="","",IF(AND(Görevler!$C99&lt;=(T$4+Ayarlar!$C$6-1),Görevler!$D99&gt;=T$4),IF(T$4&lt;=Görevler!$C99+ROUND(Görevler!$F99*Görevler!$E99,0)-1,2,1),""))</f>
        <v/>
      </c>
      <c r="U99" s="22" t="str">
        <f aca="false">IF(Görevler!$F99="","",IF(AND(Görevler!$C99&lt;=(U$4+Ayarlar!$C$6-1),Görevler!$D99&gt;=U$4),IF(U$4&lt;=Görevler!$C99+ROUND(Görevler!$F99*Görevler!$E99,0)-1,2,1),""))</f>
        <v/>
      </c>
      <c r="V99" s="22" t="str">
        <f aca="false">IF(Görevler!$F99="","",IF(AND(Görevler!$C99&lt;=(V$4+Ayarlar!$C$6-1),Görevler!$D99&gt;=V$4),IF(V$4&lt;=Görevler!$C99+ROUND(Görevler!$F99*Görevler!$E99,0)-1,2,1),""))</f>
        <v/>
      </c>
      <c r="W99" s="22" t="str">
        <f aca="false">IF(Görevler!$F99="","",IF(AND(Görevler!$C99&lt;=(W$4+Ayarlar!$C$6-1),Görevler!$D99&gt;=W$4),IF(W$4&lt;=Görevler!$C99+ROUND(Görevler!$F99*Görevler!$E99,0)-1,2,1),""))</f>
        <v/>
      </c>
      <c r="X99" s="22" t="str">
        <f aca="false">IF(Görevler!$F99="","",IF(AND(Görevler!$C99&lt;=(X$4+Ayarlar!$C$6-1),Görevler!$D99&gt;=X$4),IF(X$4&lt;=Görevler!$C99+ROUND(Görevler!$F99*Görevler!$E99,0)-1,2,1),""))</f>
        <v/>
      </c>
      <c r="Y99" s="22" t="str">
        <f aca="false">IF(Görevler!$F99="","",IF(AND(Görevler!$C99&lt;=(Y$4+Ayarlar!$C$6-1),Görevler!$D99&gt;=Y$4),IF(Y$4&lt;=Görevler!$C99+ROUND(Görevler!$F99*Görevler!$E99,0)-1,2,1),""))</f>
        <v/>
      </c>
      <c r="Z99" s="22" t="str">
        <f aca="false">IF(Görevler!$F99="","",IF(AND(Görevler!$C99&lt;=(Z$4+Ayarlar!$C$6-1),Görevler!$D99&gt;=Z$4),IF(Z$4&lt;=Görevler!$C99+ROUND(Görevler!$F99*Görevler!$E99,0)-1,2,1),""))</f>
        <v/>
      </c>
      <c r="AA99" s="22" t="str">
        <f aca="false">IF(Görevler!$F99="","",IF(AND(Görevler!$C99&lt;=(AA$4+Ayarlar!$C$6-1),Görevler!$D99&gt;=AA$4),IF(AA$4&lt;=Görevler!$C99+ROUND(Görevler!$F99*Görevler!$E99,0)-1,2,1),""))</f>
        <v/>
      </c>
      <c r="AB99" s="22" t="str">
        <f aca="false">IF(Görevler!$F99="","",IF(AND(Görevler!$C99&lt;=(AB$4+Ayarlar!$C$6-1),Görevler!$D99&gt;=AB$4),IF(AB$4&lt;=Görevler!$C99+ROUND(Görevler!$F99*Görevler!$E99,0)-1,2,1),""))</f>
        <v/>
      </c>
      <c r="AC99" s="22" t="str">
        <f aca="false">IF(Görevler!$F99="","",IF(AND(Görevler!$C99&lt;=(AC$4+Ayarlar!$C$6-1),Görevler!$D99&gt;=AC$4),IF(AC$4&lt;=Görevler!$C99+ROUND(Görevler!$F99*Görevler!$E99,0)-1,2,1),""))</f>
        <v/>
      </c>
      <c r="AD99" s="22" t="str">
        <f aca="false">IF(Görevler!$F99="","",IF(AND(Görevler!$C99&lt;=(AD$4+Ayarlar!$C$6-1),Görevler!$D99&gt;=AD$4),IF(AD$4&lt;=Görevler!$C99+ROUND(Görevler!$F99*Görevler!$E99,0)-1,2,1),""))</f>
        <v/>
      </c>
      <c r="AE99" s="22" t="str">
        <f aca="false">IF(Görevler!$F99="","",IF(AND(Görevler!$C99&lt;=(AE$4+Ayarlar!$C$6-1),Görevler!$D99&gt;=AE$4),IF(AE$4&lt;=Görevler!$C99+ROUND(Görevler!$F99*Görevler!$E99,0)-1,2,1),""))</f>
        <v/>
      </c>
      <c r="AF99" s="22" t="str">
        <f aca="false">IF(Görevler!$F99="","",IF(AND(Görevler!$C99&lt;=(AF$4+Ayarlar!$C$6-1),Görevler!$D99&gt;=AF$4),IF(AF$4&lt;=Görevler!$C99+ROUND(Görevler!$F99*Görevler!$E99,0)-1,2,1),""))</f>
        <v/>
      </c>
      <c r="AG99" s="22" t="str">
        <f aca="false">IF(Görevler!$F99="","",IF(AND(Görevler!$C99&lt;=(AG$4+Ayarlar!$C$6-1),Görevler!$D99&gt;=AG$4),IF(AG$4&lt;=Görevler!$C99+ROUND(Görevler!$F99*Görevler!$E99,0)-1,2,1),""))</f>
        <v/>
      </c>
      <c r="AH99" s="22" t="str">
        <f aca="false">IF(Görevler!$F99="","",IF(AND(Görevler!$C99&lt;=(AH$4+Ayarlar!$C$6-1),Görevler!$D99&gt;=AH$4),IF(AH$4&lt;=Görevler!$C99+ROUND(Görevler!$F99*Görevler!$E99,0)-1,2,1),""))</f>
        <v/>
      </c>
      <c r="AI99" s="22" t="str">
        <f aca="false">IF(Görevler!$F99="","",IF(AND(Görevler!$C99&lt;=(AI$4+Ayarlar!$C$6-1),Görevler!$D99&gt;=AI$4),IF(AI$4&lt;=Görevler!$C99+ROUND(Görevler!$F99*Görevler!$E99,0)-1,2,1),""))</f>
        <v/>
      </c>
      <c r="AJ99" s="22" t="str">
        <f aca="false">IF(Görevler!$F99="","",IF(AND(Görevler!$C99&lt;=(AJ$4+Ayarlar!$C$6-1),Görevler!$D99&gt;=AJ$4),IF(AJ$4&lt;=Görevler!$C99+ROUND(Görevler!$F99*Görevler!$E99,0)-1,2,1),""))</f>
        <v/>
      </c>
      <c r="AK99" s="22" t="str">
        <f aca="false">IF(Görevler!$F99="","",IF(AND(Görevler!$C99&lt;=(AK$4+Ayarlar!$C$6-1),Görevler!$D99&gt;=AK$4),IF(AK$4&lt;=Görevler!$C99+ROUND(Görevler!$F99*Görevler!$E99,0)-1,2,1),""))</f>
        <v/>
      </c>
      <c r="AL99" s="22" t="str">
        <f aca="false">IF(Görevler!$F99="","",IF(AND(Görevler!$C99&lt;=(AL$4+Ayarlar!$C$6-1),Görevler!$D99&gt;=AL$4),IF(AL$4&lt;=Görevler!$C99+ROUND(Görevler!$F99*Görevler!$E99,0)-1,2,1),""))</f>
        <v/>
      </c>
      <c r="AM99" s="22" t="str">
        <f aca="false">IF(Görevler!$F99="","",IF(AND(Görevler!$C99&lt;=(AM$4+Ayarlar!$C$6-1),Görevler!$D99&gt;=AM$4),IF(AM$4&lt;=Görevler!$C99+ROUND(Görevler!$F99*Görevler!$E99,0)-1,2,1),""))</f>
        <v/>
      </c>
      <c r="AN99" s="22" t="str">
        <f aca="false">IF(Görevler!$F99="","",IF(AND(Görevler!$C99&lt;=(AN$4+Ayarlar!$C$6-1),Görevler!$D99&gt;=AN$4),IF(AN$4&lt;=Görevler!$C99+ROUND(Görevler!$F99*Görevler!$E99,0)-1,2,1),""))</f>
        <v/>
      </c>
      <c r="AO99" s="22" t="str">
        <f aca="false">IF(Görevler!$F99="","",IF(AND(Görevler!$C99&lt;=(AO$4+Ayarlar!$C$6-1),Görevler!$D99&gt;=AO$4),IF(AO$4&lt;=Görevler!$C99+ROUND(Görevler!$F99*Görevler!$E99,0)-1,2,1),""))</f>
        <v/>
      </c>
      <c r="AP99" s="22" t="str">
        <f aca="false">IF(Görevler!$F99="","",IF(AND(Görevler!$C99&lt;=(AP$4+Ayarlar!$C$6-1),Görevler!$D99&gt;=AP$4),IF(AP$4&lt;=Görevler!$C99+ROUND(Görevler!$F99*Görevler!$E99,0)-1,2,1),""))</f>
        <v/>
      </c>
      <c r="AQ99" s="22" t="str">
        <f aca="false">IF(Görevler!$F99="","",IF(AND(Görevler!$C99&lt;=(AQ$4+Ayarlar!$C$6-1),Görevler!$D99&gt;=AQ$4),IF(AQ$4&lt;=Görevler!$C99+ROUND(Görevler!$F99*Görevler!$E99,0)-1,2,1),""))</f>
        <v/>
      </c>
      <c r="AR99" s="22" t="str">
        <f aca="false">IF(Görevler!$F99="","",IF(AND(Görevler!$C99&lt;=(AR$4+Ayarlar!$C$6-1),Görevler!$D99&gt;=AR$4),IF(AR$4&lt;=Görevler!$C99+ROUND(Görevler!$F99*Görevler!$E99,0)-1,2,1),""))</f>
        <v/>
      </c>
      <c r="AS99" s="22" t="str">
        <f aca="false">IF(Görevler!$F99="","",IF(AND(Görevler!$C99&lt;=(AS$4+Ayarlar!$C$6-1),Görevler!$D99&gt;=AS$4),IF(AS$4&lt;=Görevler!$C99+ROUND(Görevler!$F99*Görevler!$E99,0)-1,2,1),""))</f>
        <v/>
      </c>
      <c r="AT99" s="22" t="str">
        <f aca="false">IF(Görevler!$F99="","",IF(AND(Görevler!$C99&lt;=(AT$4+Ayarlar!$C$6-1),Görevler!$D99&gt;=AT$4),IF(AT$4&lt;=Görevler!$C99+ROUND(Görevler!$F99*Görevler!$E99,0)-1,2,1),""))</f>
        <v/>
      </c>
      <c r="AU99" s="22" t="str">
        <f aca="false">IF(Görevler!$F99="","",IF(AND(Görevler!$C99&lt;=(AU$4+Ayarlar!$C$6-1),Görevler!$D99&gt;=AU$4),IF(AU$4&lt;=Görevler!$C99+ROUND(Görevler!$F99*Görevler!$E99,0)-1,2,1),""))</f>
        <v/>
      </c>
      <c r="AV99" s="22" t="str">
        <f aca="false">IF(Görevler!$F99="","",IF(AND(Görevler!$C99&lt;=(AV$4+Ayarlar!$C$6-1),Görevler!$D99&gt;=AV$4),IF(AV$4&lt;=Görevler!$C99+ROUND(Görevler!$F99*Görevler!$E99,0)-1,2,1),""))</f>
        <v/>
      </c>
      <c r="AW99" s="22" t="str">
        <f aca="false">IF(Görevler!$F99="","",IF(AND(Görevler!$C99&lt;=(AW$4+Ayarlar!$C$6-1),Görevler!$D99&gt;=AW$4),IF(AW$4&lt;=Görevler!$C99+ROUND(Görevler!$F99*Görevler!$E99,0)-1,2,1),""))</f>
        <v/>
      </c>
      <c r="AX99" s="22" t="str">
        <f aca="false">IF(Görevler!$F99="","",IF(AND(Görevler!$C99&lt;=(AX$4+Ayarlar!$C$6-1),Görevler!$D99&gt;=AX$4),IF(AX$4&lt;=Görevler!$C99+ROUND(Görevler!$F99*Görevler!$E99,0)-1,2,1),""))</f>
        <v/>
      </c>
      <c r="AY99" s="22" t="str">
        <f aca="false">IF(Görevler!$F99="","",IF(AND(Görevler!$C99&lt;=(AY$4+Ayarlar!$C$6-1),Görevler!$D99&gt;=AY$4),IF(AY$4&lt;=Görevler!$C99+ROUND(Görevler!$F99*Görevler!$E99,0)-1,2,1),""))</f>
        <v/>
      </c>
      <c r="AZ99" s="22" t="str">
        <f aca="false">IF(Görevler!$F99="","",IF(AND(Görevler!$C99&lt;=(AZ$4+Ayarlar!$C$6-1),Görevler!$D99&gt;=AZ$4),IF(AZ$4&lt;=Görevler!$C99+ROUND(Görevler!$F99*Görevler!$E99,0)-1,2,1),""))</f>
        <v/>
      </c>
      <c r="BA99" s="22" t="str">
        <f aca="false">IF(Görevler!$F99="","",IF(AND(Görevler!$C99&lt;=(BA$4+Ayarlar!$C$6-1),Görevler!$D99&gt;=BA$4),IF(BA$4&lt;=Görevler!$C99+ROUND(Görevler!$F99*Görevler!$E99,0)-1,2,1),""))</f>
        <v/>
      </c>
      <c r="BB99" s="22" t="str">
        <f aca="false">IF(Görevler!$F99="","",IF(AND(Görevler!$C99&lt;=(BB$4+Ayarlar!$C$6-1),Görevler!$D99&gt;=BB$4),IF(BB$4&lt;=Görevler!$C99+ROUND(Görevler!$F99*Görevler!$E99,0)-1,2,1),""))</f>
        <v/>
      </c>
      <c r="BC99" s="22" t="str">
        <f aca="false">IF(Görevler!$F99="","",IF(AND(Görevler!$C99&lt;=(BC$4+Ayarlar!$C$6-1),Görevler!$D99&gt;=BC$4),IF(BC$4&lt;=Görevler!$C99+ROUND(Görevler!$F99*Görevler!$E99,0)-1,2,1),""))</f>
        <v/>
      </c>
      <c r="BD99" s="22" t="str">
        <f aca="false">IF(Görevler!$F99="","",IF(AND(Görevler!$C99&lt;=(BD$4+Ayarlar!$C$6-1),Görevler!$D99&gt;=BD$4),IF(BD$4&lt;=Görevler!$C99+ROUND(Görevler!$F99*Görevler!$E99,0)-1,2,1),""))</f>
        <v/>
      </c>
      <c r="BE99" s="22" t="str">
        <f aca="false">IF(Görevler!$F99="","",IF(AND(Görevler!$C99&lt;=(BE$4+Ayarlar!$C$6-1),Görevler!$D99&gt;=BE$4),IF(BE$4&lt;=Görevler!$C99+ROUND(Görevler!$F99*Görevler!$E99,0)-1,2,1),""))</f>
        <v/>
      </c>
      <c r="BF99" s="22" t="str">
        <f aca="false">IF(Görevler!$F99="","",IF(AND(Görevler!$C99&lt;=(BF$4+Ayarlar!$C$6-1),Görevler!$D99&gt;=BF$4),IF(BF$4&lt;=Görevler!$C99+ROUND(Görevler!$F99*Görevler!$E99,0)-1,2,1),""))</f>
        <v/>
      </c>
      <c r="BG99" s="22" t="str">
        <f aca="false">IF(Görevler!$F99="","",IF(AND(Görevler!$C99&lt;=(BG$4+Ayarlar!$C$6-1),Görevler!$D99&gt;=BG$4),IF(BG$4&lt;=Görevler!$C99+ROUND(Görevler!$F99*Görevler!$E99,0)-1,2,1),""))</f>
        <v/>
      </c>
      <c r="BH99" s="22" t="str">
        <f aca="false">IF(Görevler!$F99="","",IF(AND(Görevler!$C99&lt;=(BH$4+Ayarlar!$C$6-1),Görevler!$D99&gt;=BH$4),IF(BH$4&lt;=Görevler!$C99+ROUND(Görevler!$F99*Görevler!$E99,0)-1,2,1),""))</f>
        <v/>
      </c>
      <c r="BI99" s="22" t="str">
        <f aca="false">IF(Görevler!$F99="","",IF(AND(Görevler!$C99&lt;=(BI$4+Ayarlar!$C$6-1),Görevler!$D99&gt;=BI$4),IF(BI$4&lt;=Görevler!$C99+ROUND(Görevler!$F99*Görevler!$E99,0)-1,2,1),""))</f>
        <v/>
      </c>
      <c r="BJ99" s="22" t="str">
        <f aca="false">IF(Görevler!$F99="","",IF(AND(Görevler!$C99&lt;=(BJ$4+Ayarlar!$C$6-1),Görevler!$D99&gt;=BJ$4),IF(BJ$4&lt;=Görevler!$C99+ROUND(Görevler!$F99*Görevler!$E99,0)-1,2,1),""))</f>
        <v/>
      </c>
    </row>
    <row r="100" customFormat="false" ht="15" hidden="false" customHeight="false" outlineLevel="0" collapsed="false">
      <c r="A100" s="21" t="str">
        <f aca="false">IF(Görevler!A100="","",Görevler!A100)</f>
        <v/>
      </c>
      <c r="B100" s="21" t="str">
        <f aca="false">IF(Görevler!A100="","",Görevler!B100&amp;"")</f>
        <v/>
      </c>
      <c r="C100" s="22" t="str">
        <f aca="false">IF(Görevler!$F100="","",IF(AND(Görevler!$C100&lt;=(C$4+Ayarlar!$C$6-1),Görevler!$D100&gt;=C$4),IF(C$4&lt;=Görevler!$C100+ROUND(Görevler!$F100*Görevler!$E100,0)-1,2,1),""))</f>
        <v/>
      </c>
      <c r="D100" s="22" t="str">
        <f aca="false">IF(Görevler!$F100="","",IF(AND(Görevler!$C100&lt;=(D$4+Ayarlar!$C$6-1),Görevler!$D100&gt;=D$4),IF(D$4&lt;=Görevler!$C100+ROUND(Görevler!$F100*Görevler!$E100,0)-1,2,1),""))</f>
        <v/>
      </c>
      <c r="E100" s="22" t="str">
        <f aca="false">IF(Görevler!$F100="","",IF(AND(Görevler!$C100&lt;=(E$4+Ayarlar!$C$6-1),Görevler!$D100&gt;=E$4),IF(E$4&lt;=Görevler!$C100+ROUND(Görevler!$F100*Görevler!$E100,0)-1,2,1),""))</f>
        <v/>
      </c>
      <c r="F100" s="22" t="str">
        <f aca="false">IF(Görevler!$F100="","",IF(AND(Görevler!$C100&lt;=(F$4+Ayarlar!$C$6-1),Görevler!$D100&gt;=F$4),IF(F$4&lt;=Görevler!$C100+ROUND(Görevler!$F100*Görevler!$E100,0)-1,2,1),""))</f>
        <v/>
      </c>
      <c r="G100" s="22" t="str">
        <f aca="false">IF(Görevler!$F100="","",IF(AND(Görevler!$C100&lt;=(G$4+Ayarlar!$C$6-1),Görevler!$D100&gt;=G$4),IF(G$4&lt;=Görevler!$C100+ROUND(Görevler!$F100*Görevler!$E100,0)-1,2,1),""))</f>
        <v/>
      </c>
      <c r="H100" s="22" t="str">
        <f aca="false">IF(Görevler!$F100="","",IF(AND(Görevler!$C100&lt;=(H$4+Ayarlar!$C$6-1),Görevler!$D100&gt;=H$4),IF(H$4&lt;=Görevler!$C100+ROUND(Görevler!$F100*Görevler!$E100,0)-1,2,1),""))</f>
        <v/>
      </c>
      <c r="I100" s="22" t="str">
        <f aca="false">IF(Görevler!$F100="","",IF(AND(Görevler!$C100&lt;=(I$4+Ayarlar!$C$6-1),Görevler!$D100&gt;=I$4),IF(I$4&lt;=Görevler!$C100+ROUND(Görevler!$F100*Görevler!$E100,0)-1,2,1),""))</f>
        <v/>
      </c>
      <c r="J100" s="22" t="str">
        <f aca="false">IF(Görevler!$F100="","",IF(AND(Görevler!$C100&lt;=(J$4+Ayarlar!$C$6-1),Görevler!$D100&gt;=J$4),IF(J$4&lt;=Görevler!$C100+ROUND(Görevler!$F100*Görevler!$E100,0)-1,2,1),""))</f>
        <v/>
      </c>
      <c r="K100" s="22" t="str">
        <f aca="false">IF(Görevler!$F100="","",IF(AND(Görevler!$C100&lt;=(K$4+Ayarlar!$C$6-1),Görevler!$D100&gt;=K$4),IF(K$4&lt;=Görevler!$C100+ROUND(Görevler!$F100*Görevler!$E100,0)-1,2,1),""))</f>
        <v/>
      </c>
      <c r="L100" s="22" t="str">
        <f aca="false">IF(Görevler!$F100="","",IF(AND(Görevler!$C100&lt;=(L$4+Ayarlar!$C$6-1),Görevler!$D100&gt;=L$4),IF(L$4&lt;=Görevler!$C100+ROUND(Görevler!$F100*Görevler!$E100,0)-1,2,1),""))</f>
        <v/>
      </c>
      <c r="M100" s="22" t="str">
        <f aca="false">IF(Görevler!$F100="","",IF(AND(Görevler!$C100&lt;=(M$4+Ayarlar!$C$6-1),Görevler!$D100&gt;=M$4),IF(M$4&lt;=Görevler!$C100+ROUND(Görevler!$F100*Görevler!$E100,0)-1,2,1),""))</f>
        <v/>
      </c>
      <c r="N100" s="22" t="str">
        <f aca="false">IF(Görevler!$F100="","",IF(AND(Görevler!$C100&lt;=(N$4+Ayarlar!$C$6-1),Görevler!$D100&gt;=N$4),IF(N$4&lt;=Görevler!$C100+ROUND(Görevler!$F100*Görevler!$E100,0)-1,2,1),""))</f>
        <v/>
      </c>
      <c r="O100" s="22" t="str">
        <f aca="false">IF(Görevler!$F100="","",IF(AND(Görevler!$C100&lt;=(O$4+Ayarlar!$C$6-1),Görevler!$D100&gt;=O$4),IF(O$4&lt;=Görevler!$C100+ROUND(Görevler!$F100*Görevler!$E100,0)-1,2,1),""))</f>
        <v/>
      </c>
      <c r="P100" s="22" t="str">
        <f aca="false">IF(Görevler!$F100="","",IF(AND(Görevler!$C100&lt;=(P$4+Ayarlar!$C$6-1),Görevler!$D100&gt;=P$4),IF(P$4&lt;=Görevler!$C100+ROUND(Görevler!$F100*Görevler!$E100,0)-1,2,1),""))</f>
        <v/>
      </c>
      <c r="Q100" s="22" t="str">
        <f aca="false">IF(Görevler!$F100="","",IF(AND(Görevler!$C100&lt;=(Q$4+Ayarlar!$C$6-1),Görevler!$D100&gt;=Q$4),IF(Q$4&lt;=Görevler!$C100+ROUND(Görevler!$F100*Görevler!$E100,0)-1,2,1),""))</f>
        <v/>
      </c>
      <c r="R100" s="22" t="str">
        <f aca="false">IF(Görevler!$F100="","",IF(AND(Görevler!$C100&lt;=(R$4+Ayarlar!$C$6-1),Görevler!$D100&gt;=R$4),IF(R$4&lt;=Görevler!$C100+ROUND(Görevler!$F100*Görevler!$E100,0)-1,2,1),""))</f>
        <v/>
      </c>
      <c r="S100" s="22" t="str">
        <f aca="false">IF(Görevler!$F100="","",IF(AND(Görevler!$C100&lt;=(S$4+Ayarlar!$C$6-1),Görevler!$D100&gt;=S$4),IF(S$4&lt;=Görevler!$C100+ROUND(Görevler!$F100*Görevler!$E100,0)-1,2,1),""))</f>
        <v/>
      </c>
      <c r="T100" s="22" t="str">
        <f aca="false">IF(Görevler!$F100="","",IF(AND(Görevler!$C100&lt;=(T$4+Ayarlar!$C$6-1),Görevler!$D100&gt;=T$4),IF(T$4&lt;=Görevler!$C100+ROUND(Görevler!$F100*Görevler!$E100,0)-1,2,1),""))</f>
        <v/>
      </c>
      <c r="U100" s="22" t="str">
        <f aca="false">IF(Görevler!$F100="","",IF(AND(Görevler!$C100&lt;=(U$4+Ayarlar!$C$6-1),Görevler!$D100&gt;=U$4),IF(U$4&lt;=Görevler!$C100+ROUND(Görevler!$F100*Görevler!$E100,0)-1,2,1),""))</f>
        <v/>
      </c>
      <c r="V100" s="22" t="str">
        <f aca="false">IF(Görevler!$F100="","",IF(AND(Görevler!$C100&lt;=(V$4+Ayarlar!$C$6-1),Görevler!$D100&gt;=V$4),IF(V$4&lt;=Görevler!$C100+ROUND(Görevler!$F100*Görevler!$E100,0)-1,2,1),""))</f>
        <v/>
      </c>
      <c r="W100" s="22" t="str">
        <f aca="false">IF(Görevler!$F100="","",IF(AND(Görevler!$C100&lt;=(W$4+Ayarlar!$C$6-1),Görevler!$D100&gt;=W$4),IF(W$4&lt;=Görevler!$C100+ROUND(Görevler!$F100*Görevler!$E100,0)-1,2,1),""))</f>
        <v/>
      </c>
      <c r="X100" s="22" t="str">
        <f aca="false">IF(Görevler!$F100="","",IF(AND(Görevler!$C100&lt;=(X$4+Ayarlar!$C$6-1),Görevler!$D100&gt;=X$4),IF(X$4&lt;=Görevler!$C100+ROUND(Görevler!$F100*Görevler!$E100,0)-1,2,1),""))</f>
        <v/>
      </c>
      <c r="Y100" s="22" t="str">
        <f aca="false">IF(Görevler!$F100="","",IF(AND(Görevler!$C100&lt;=(Y$4+Ayarlar!$C$6-1),Görevler!$D100&gt;=Y$4),IF(Y$4&lt;=Görevler!$C100+ROUND(Görevler!$F100*Görevler!$E100,0)-1,2,1),""))</f>
        <v/>
      </c>
      <c r="Z100" s="22" t="str">
        <f aca="false">IF(Görevler!$F100="","",IF(AND(Görevler!$C100&lt;=(Z$4+Ayarlar!$C$6-1),Görevler!$D100&gt;=Z$4),IF(Z$4&lt;=Görevler!$C100+ROUND(Görevler!$F100*Görevler!$E100,0)-1,2,1),""))</f>
        <v/>
      </c>
      <c r="AA100" s="22" t="str">
        <f aca="false">IF(Görevler!$F100="","",IF(AND(Görevler!$C100&lt;=(AA$4+Ayarlar!$C$6-1),Görevler!$D100&gt;=AA$4),IF(AA$4&lt;=Görevler!$C100+ROUND(Görevler!$F100*Görevler!$E100,0)-1,2,1),""))</f>
        <v/>
      </c>
      <c r="AB100" s="22" t="str">
        <f aca="false">IF(Görevler!$F100="","",IF(AND(Görevler!$C100&lt;=(AB$4+Ayarlar!$C$6-1),Görevler!$D100&gt;=AB$4),IF(AB$4&lt;=Görevler!$C100+ROUND(Görevler!$F100*Görevler!$E100,0)-1,2,1),""))</f>
        <v/>
      </c>
      <c r="AC100" s="22" t="str">
        <f aca="false">IF(Görevler!$F100="","",IF(AND(Görevler!$C100&lt;=(AC$4+Ayarlar!$C$6-1),Görevler!$D100&gt;=AC$4),IF(AC$4&lt;=Görevler!$C100+ROUND(Görevler!$F100*Görevler!$E100,0)-1,2,1),""))</f>
        <v/>
      </c>
      <c r="AD100" s="22" t="str">
        <f aca="false">IF(Görevler!$F100="","",IF(AND(Görevler!$C100&lt;=(AD$4+Ayarlar!$C$6-1),Görevler!$D100&gt;=AD$4),IF(AD$4&lt;=Görevler!$C100+ROUND(Görevler!$F100*Görevler!$E100,0)-1,2,1),""))</f>
        <v/>
      </c>
      <c r="AE100" s="22" t="str">
        <f aca="false">IF(Görevler!$F100="","",IF(AND(Görevler!$C100&lt;=(AE$4+Ayarlar!$C$6-1),Görevler!$D100&gt;=AE$4),IF(AE$4&lt;=Görevler!$C100+ROUND(Görevler!$F100*Görevler!$E100,0)-1,2,1),""))</f>
        <v/>
      </c>
      <c r="AF100" s="22" t="str">
        <f aca="false">IF(Görevler!$F100="","",IF(AND(Görevler!$C100&lt;=(AF$4+Ayarlar!$C$6-1),Görevler!$D100&gt;=AF$4),IF(AF$4&lt;=Görevler!$C100+ROUND(Görevler!$F100*Görevler!$E100,0)-1,2,1),""))</f>
        <v/>
      </c>
      <c r="AG100" s="22" t="str">
        <f aca="false">IF(Görevler!$F100="","",IF(AND(Görevler!$C100&lt;=(AG$4+Ayarlar!$C$6-1),Görevler!$D100&gt;=AG$4),IF(AG$4&lt;=Görevler!$C100+ROUND(Görevler!$F100*Görevler!$E100,0)-1,2,1),""))</f>
        <v/>
      </c>
      <c r="AH100" s="22" t="str">
        <f aca="false">IF(Görevler!$F100="","",IF(AND(Görevler!$C100&lt;=(AH$4+Ayarlar!$C$6-1),Görevler!$D100&gt;=AH$4),IF(AH$4&lt;=Görevler!$C100+ROUND(Görevler!$F100*Görevler!$E100,0)-1,2,1),""))</f>
        <v/>
      </c>
      <c r="AI100" s="22" t="str">
        <f aca="false">IF(Görevler!$F100="","",IF(AND(Görevler!$C100&lt;=(AI$4+Ayarlar!$C$6-1),Görevler!$D100&gt;=AI$4),IF(AI$4&lt;=Görevler!$C100+ROUND(Görevler!$F100*Görevler!$E100,0)-1,2,1),""))</f>
        <v/>
      </c>
      <c r="AJ100" s="22" t="str">
        <f aca="false">IF(Görevler!$F100="","",IF(AND(Görevler!$C100&lt;=(AJ$4+Ayarlar!$C$6-1),Görevler!$D100&gt;=AJ$4),IF(AJ$4&lt;=Görevler!$C100+ROUND(Görevler!$F100*Görevler!$E100,0)-1,2,1),""))</f>
        <v/>
      </c>
      <c r="AK100" s="22" t="str">
        <f aca="false">IF(Görevler!$F100="","",IF(AND(Görevler!$C100&lt;=(AK$4+Ayarlar!$C$6-1),Görevler!$D100&gt;=AK$4),IF(AK$4&lt;=Görevler!$C100+ROUND(Görevler!$F100*Görevler!$E100,0)-1,2,1),""))</f>
        <v/>
      </c>
      <c r="AL100" s="22" t="str">
        <f aca="false">IF(Görevler!$F100="","",IF(AND(Görevler!$C100&lt;=(AL$4+Ayarlar!$C$6-1),Görevler!$D100&gt;=AL$4),IF(AL$4&lt;=Görevler!$C100+ROUND(Görevler!$F100*Görevler!$E100,0)-1,2,1),""))</f>
        <v/>
      </c>
      <c r="AM100" s="22" t="str">
        <f aca="false">IF(Görevler!$F100="","",IF(AND(Görevler!$C100&lt;=(AM$4+Ayarlar!$C$6-1),Görevler!$D100&gt;=AM$4),IF(AM$4&lt;=Görevler!$C100+ROUND(Görevler!$F100*Görevler!$E100,0)-1,2,1),""))</f>
        <v/>
      </c>
      <c r="AN100" s="22" t="str">
        <f aca="false">IF(Görevler!$F100="","",IF(AND(Görevler!$C100&lt;=(AN$4+Ayarlar!$C$6-1),Görevler!$D100&gt;=AN$4),IF(AN$4&lt;=Görevler!$C100+ROUND(Görevler!$F100*Görevler!$E100,0)-1,2,1),""))</f>
        <v/>
      </c>
      <c r="AO100" s="22" t="str">
        <f aca="false">IF(Görevler!$F100="","",IF(AND(Görevler!$C100&lt;=(AO$4+Ayarlar!$C$6-1),Görevler!$D100&gt;=AO$4),IF(AO$4&lt;=Görevler!$C100+ROUND(Görevler!$F100*Görevler!$E100,0)-1,2,1),""))</f>
        <v/>
      </c>
      <c r="AP100" s="22" t="str">
        <f aca="false">IF(Görevler!$F100="","",IF(AND(Görevler!$C100&lt;=(AP$4+Ayarlar!$C$6-1),Görevler!$D100&gt;=AP$4),IF(AP$4&lt;=Görevler!$C100+ROUND(Görevler!$F100*Görevler!$E100,0)-1,2,1),""))</f>
        <v/>
      </c>
      <c r="AQ100" s="22" t="str">
        <f aca="false">IF(Görevler!$F100="","",IF(AND(Görevler!$C100&lt;=(AQ$4+Ayarlar!$C$6-1),Görevler!$D100&gt;=AQ$4),IF(AQ$4&lt;=Görevler!$C100+ROUND(Görevler!$F100*Görevler!$E100,0)-1,2,1),""))</f>
        <v/>
      </c>
      <c r="AR100" s="22" t="str">
        <f aca="false">IF(Görevler!$F100="","",IF(AND(Görevler!$C100&lt;=(AR$4+Ayarlar!$C$6-1),Görevler!$D100&gt;=AR$4),IF(AR$4&lt;=Görevler!$C100+ROUND(Görevler!$F100*Görevler!$E100,0)-1,2,1),""))</f>
        <v/>
      </c>
      <c r="AS100" s="22" t="str">
        <f aca="false">IF(Görevler!$F100="","",IF(AND(Görevler!$C100&lt;=(AS$4+Ayarlar!$C$6-1),Görevler!$D100&gt;=AS$4),IF(AS$4&lt;=Görevler!$C100+ROUND(Görevler!$F100*Görevler!$E100,0)-1,2,1),""))</f>
        <v/>
      </c>
      <c r="AT100" s="22" t="str">
        <f aca="false">IF(Görevler!$F100="","",IF(AND(Görevler!$C100&lt;=(AT$4+Ayarlar!$C$6-1),Görevler!$D100&gt;=AT$4),IF(AT$4&lt;=Görevler!$C100+ROUND(Görevler!$F100*Görevler!$E100,0)-1,2,1),""))</f>
        <v/>
      </c>
      <c r="AU100" s="22" t="str">
        <f aca="false">IF(Görevler!$F100="","",IF(AND(Görevler!$C100&lt;=(AU$4+Ayarlar!$C$6-1),Görevler!$D100&gt;=AU$4),IF(AU$4&lt;=Görevler!$C100+ROUND(Görevler!$F100*Görevler!$E100,0)-1,2,1),""))</f>
        <v/>
      </c>
      <c r="AV100" s="22" t="str">
        <f aca="false">IF(Görevler!$F100="","",IF(AND(Görevler!$C100&lt;=(AV$4+Ayarlar!$C$6-1),Görevler!$D100&gt;=AV$4),IF(AV$4&lt;=Görevler!$C100+ROUND(Görevler!$F100*Görevler!$E100,0)-1,2,1),""))</f>
        <v/>
      </c>
      <c r="AW100" s="22" t="str">
        <f aca="false">IF(Görevler!$F100="","",IF(AND(Görevler!$C100&lt;=(AW$4+Ayarlar!$C$6-1),Görevler!$D100&gt;=AW$4),IF(AW$4&lt;=Görevler!$C100+ROUND(Görevler!$F100*Görevler!$E100,0)-1,2,1),""))</f>
        <v/>
      </c>
      <c r="AX100" s="22" t="str">
        <f aca="false">IF(Görevler!$F100="","",IF(AND(Görevler!$C100&lt;=(AX$4+Ayarlar!$C$6-1),Görevler!$D100&gt;=AX$4),IF(AX$4&lt;=Görevler!$C100+ROUND(Görevler!$F100*Görevler!$E100,0)-1,2,1),""))</f>
        <v/>
      </c>
      <c r="AY100" s="22" t="str">
        <f aca="false">IF(Görevler!$F100="","",IF(AND(Görevler!$C100&lt;=(AY$4+Ayarlar!$C$6-1),Görevler!$D100&gt;=AY$4),IF(AY$4&lt;=Görevler!$C100+ROUND(Görevler!$F100*Görevler!$E100,0)-1,2,1),""))</f>
        <v/>
      </c>
      <c r="AZ100" s="22" t="str">
        <f aca="false">IF(Görevler!$F100="","",IF(AND(Görevler!$C100&lt;=(AZ$4+Ayarlar!$C$6-1),Görevler!$D100&gt;=AZ$4),IF(AZ$4&lt;=Görevler!$C100+ROUND(Görevler!$F100*Görevler!$E100,0)-1,2,1),""))</f>
        <v/>
      </c>
      <c r="BA100" s="22" t="str">
        <f aca="false">IF(Görevler!$F100="","",IF(AND(Görevler!$C100&lt;=(BA$4+Ayarlar!$C$6-1),Görevler!$D100&gt;=BA$4),IF(BA$4&lt;=Görevler!$C100+ROUND(Görevler!$F100*Görevler!$E100,0)-1,2,1),""))</f>
        <v/>
      </c>
      <c r="BB100" s="22" t="str">
        <f aca="false">IF(Görevler!$F100="","",IF(AND(Görevler!$C100&lt;=(BB$4+Ayarlar!$C$6-1),Görevler!$D100&gt;=BB$4),IF(BB$4&lt;=Görevler!$C100+ROUND(Görevler!$F100*Görevler!$E100,0)-1,2,1),""))</f>
        <v/>
      </c>
      <c r="BC100" s="22" t="str">
        <f aca="false">IF(Görevler!$F100="","",IF(AND(Görevler!$C100&lt;=(BC$4+Ayarlar!$C$6-1),Görevler!$D100&gt;=BC$4),IF(BC$4&lt;=Görevler!$C100+ROUND(Görevler!$F100*Görevler!$E100,0)-1,2,1),""))</f>
        <v/>
      </c>
      <c r="BD100" s="22" t="str">
        <f aca="false">IF(Görevler!$F100="","",IF(AND(Görevler!$C100&lt;=(BD$4+Ayarlar!$C$6-1),Görevler!$D100&gt;=BD$4),IF(BD$4&lt;=Görevler!$C100+ROUND(Görevler!$F100*Görevler!$E100,0)-1,2,1),""))</f>
        <v/>
      </c>
      <c r="BE100" s="22" t="str">
        <f aca="false">IF(Görevler!$F100="","",IF(AND(Görevler!$C100&lt;=(BE$4+Ayarlar!$C$6-1),Görevler!$D100&gt;=BE$4),IF(BE$4&lt;=Görevler!$C100+ROUND(Görevler!$F100*Görevler!$E100,0)-1,2,1),""))</f>
        <v/>
      </c>
      <c r="BF100" s="22" t="str">
        <f aca="false">IF(Görevler!$F100="","",IF(AND(Görevler!$C100&lt;=(BF$4+Ayarlar!$C$6-1),Görevler!$D100&gt;=BF$4),IF(BF$4&lt;=Görevler!$C100+ROUND(Görevler!$F100*Görevler!$E100,0)-1,2,1),""))</f>
        <v/>
      </c>
      <c r="BG100" s="22" t="str">
        <f aca="false">IF(Görevler!$F100="","",IF(AND(Görevler!$C100&lt;=(BG$4+Ayarlar!$C$6-1),Görevler!$D100&gt;=BG$4),IF(BG$4&lt;=Görevler!$C100+ROUND(Görevler!$F100*Görevler!$E100,0)-1,2,1),""))</f>
        <v/>
      </c>
      <c r="BH100" s="22" t="str">
        <f aca="false">IF(Görevler!$F100="","",IF(AND(Görevler!$C100&lt;=(BH$4+Ayarlar!$C$6-1),Görevler!$D100&gt;=BH$4),IF(BH$4&lt;=Görevler!$C100+ROUND(Görevler!$F100*Görevler!$E100,0)-1,2,1),""))</f>
        <v/>
      </c>
      <c r="BI100" s="22" t="str">
        <f aca="false">IF(Görevler!$F100="","",IF(AND(Görevler!$C100&lt;=(BI$4+Ayarlar!$C$6-1),Görevler!$D100&gt;=BI$4),IF(BI$4&lt;=Görevler!$C100+ROUND(Görevler!$F100*Görevler!$E100,0)-1,2,1),""))</f>
        <v/>
      </c>
      <c r="BJ100" s="22" t="str">
        <f aca="false">IF(Görevler!$F100="","",IF(AND(Görevler!$C100&lt;=(BJ$4+Ayarlar!$C$6-1),Görevler!$D100&gt;=BJ$4),IF(BJ$4&lt;=Görevler!$C100+ROUND(Görevler!$F100*Görevler!$E100,0)-1,2,1),""))</f>
        <v/>
      </c>
    </row>
    <row r="101" customFormat="false" ht="15" hidden="false" customHeight="false" outlineLevel="0" collapsed="false">
      <c r="A101" s="21" t="str">
        <f aca="false">IF(Görevler!A101="","",Görevler!A101)</f>
        <v/>
      </c>
      <c r="B101" s="21" t="str">
        <f aca="false">IF(Görevler!A101="","",Görevler!B101&amp;"")</f>
        <v/>
      </c>
      <c r="C101" s="22" t="str">
        <f aca="false">IF(Görevler!$F101="","",IF(AND(Görevler!$C101&lt;=(C$4+Ayarlar!$C$6-1),Görevler!$D101&gt;=C$4),IF(C$4&lt;=Görevler!$C101+ROUND(Görevler!$F101*Görevler!$E101,0)-1,2,1),""))</f>
        <v/>
      </c>
      <c r="D101" s="22" t="str">
        <f aca="false">IF(Görevler!$F101="","",IF(AND(Görevler!$C101&lt;=(D$4+Ayarlar!$C$6-1),Görevler!$D101&gt;=D$4),IF(D$4&lt;=Görevler!$C101+ROUND(Görevler!$F101*Görevler!$E101,0)-1,2,1),""))</f>
        <v/>
      </c>
      <c r="E101" s="22" t="str">
        <f aca="false">IF(Görevler!$F101="","",IF(AND(Görevler!$C101&lt;=(E$4+Ayarlar!$C$6-1),Görevler!$D101&gt;=E$4),IF(E$4&lt;=Görevler!$C101+ROUND(Görevler!$F101*Görevler!$E101,0)-1,2,1),""))</f>
        <v/>
      </c>
      <c r="F101" s="22" t="str">
        <f aca="false">IF(Görevler!$F101="","",IF(AND(Görevler!$C101&lt;=(F$4+Ayarlar!$C$6-1),Görevler!$D101&gt;=F$4),IF(F$4&lt;=Görevler!$C101+ROUND(Görevler!$F101*Görevler!$E101,0)-1,2,1),""))</f>
        <v/>
      </c>
      <c r="G101" s="22" t="str">
        <f aca="false">IF(Görevler!$F101="","",IF(AND(Görevler!$C101&lt;=(G$4+Ayarlar!$C$6-1),Görevler!$D101&gt;=G$4),IF(G$4&lt;=Görevler!$C101+ROUND(Görevler!$F101*Görevler!$E101,0)-1,2,1),""))</f>
        <v/>
      </c>
      <c r="H101" s="22" t="str">
        <f aca="false">IF(Görevler!$F101="","",IF(AND(Görevler!$C101&lt;=(H$4+Ayarlar!$C$6-1),Görevler!$D101&gt;=H$4),IF(H$4&lt;=Görevler!$C101+ROUND(Görevler!$F101*Görevler!$E101,0)-1,2,1),""))</f>
        <v/>
      </c>
      <c r="I101" s="22" t="str">
        <f aca="false">IF(Görevler!$F101="","",IF(AND(Görevler!$C101&lt;=(I$4+Ayarlar!$C$6-1),Görevler!$D101&gt;=I$4),IF(I$4&lt;=Görevler!$C101+ROUND(Görevler!$F101*Görevler!$E101,0)-1,2,1),""))</f>
        <v/>
      </c>
      <c r="J101" s="22" t="str">
        <f aca="false">IF(Görevler!$F101="","",IF(AND(Görevler!$C101&lt;=(J$4+Ayarlar!$C$6-1),Görevler!$D101&gt;=J$4),IF(J$4&lt;=Görevler!$C101+ROUND(Görevler!$F101*Görevler!$E101,0)-1,2,1),""))</f>
        <v/>
      </c>
      <c r="K101" s="22" t="str">
        <f aca="false">IF(Görevler!$F101="","",IF(AND(Görevler!$C101&lt;=(K$4+Ayarlar!$C$6-1),Görevler!$D101&gt;=K$4),IF(K$4&lt;=Görevler!$C101+ROUND(Görevler!$F101*Görevler!$E101,0)-1,2,1),""))</f>
        <v/>
      </c>
      <c r="L101" s="22" t="str">
        <f aca="false">IF(Görevler!$F101="","",IF(AND(Görevler!$C101&lt;=(L$4+Ayarlar!$C$6-1),Görevler!$D101&gt;=L$4),IF(L$4&lt;=Görevler!$C101+ROUND(Görevler!$F101*Görevler!$E101,0)-1,2,1),""))</f>
        <v/>
      </c>
      <c r="M101" s="22" t="str">
        <f aca="false">IF(Görevler!$F101="","",IF(AND(Görevler!$C101&lt;=(M$4+Ayarlar!$C$6-1),Görevler!$D101&gt;=M$4),IF(M$4&lt;=Görevler!$C101+ROUND(Görevler!$F101*Görevler!$E101,0)-1,2,1),""))</f>
        <v/>
      </c>
      <c r="N101" s="22" t="str">
        <f aca="false">IF(Görevler!$F101="","",IF(AND(Görevler!$C101&lt;=(N$4+Ayarlar!$C$6-1),Görevler!$D101&gt;=N$4),IF(N$4&lt;=Görevler!$C101+ROUND(Görevler!$F101*Görevler!$E101,0)-1,2,1),""))</f>
        <v/>
      </c>
      <c r="O101" s="22" t="str">
        <f aca="false">IF(Görevler!$F101="","",IF(AND(Görevler!$C101&lt;=(O$4+Ayarlar!$C$6-1),Görevler!$D101&gt;=O$4),IF(O$4&lt;=Görevler!$C101+ROUND(Görevler!$F101*Görevler!$E101,0)-1,2,1),""))</f>
        <v/>
      </c>
      <c r="P101" s="22" t="str">
        <f aca="false">IF(Görevler!$F101="","",IF(AND(Görevler!$C101&lt;=(P$4+Ayarlar!$C$6-1),Görevler!$D101&gt;=P$4),IF(P$4&lt;=Görevler!$C101+ROUND(Görevler!$F101*Görevler!$E101,0)-1,2,1),""))</f>
        <v/>
      </c>
      <c r="Q101" s="22" t="str">
        <f aca="false">IF(Görevler!$F101="","",IF(AND(Görevler!$C101&lt;=(Q$4+Ayarlar!$C$6-1),Görevler!$D101&gt;=Q$4),IF(Q$4&lt;=Görevler!$C101+ROUND(Görevler!$F101*Görevler!$E101,0)-1,2,1),""))</f>
        <v/>
      </c>
      <c r="R101" s="22" t="str">
        <f aca="false">IF(Görevler!$F101="","",IF(AND(Görevler!$C101&lt;=(R$4+Ayarlar!$C$6-1),Görevler!$D101&gt;=R$4),IF(R$4&lt;=Görevler!$C101+ROUND(Görevler!$F101*Görevler!$E101,0)-1,2,1),""))</f>
        <v/>
      </c>
      <c r="S101" s="22" t="str">
        <f aca="false">IF(Görevler!$F101="","",IF(AND(Görevler!$C101&lt;=(S$4+Ayarlar!$C$6-1),Görevler!$D101&gt;=S$4),IF(S$4&lt;=Görevler!$C101+ROUND(Görevler!$F101*Görevler!$E101,0)-1,2,1),""))</f>
        <v/>
      </c>
      <c r="T101" s="22" t="str">
        <f aca="false">IF(Görevler!$F101="","",IF(AND(Görevler!$C101&lt;=(T$4+Ayarlar!$C$6-1),Görevler!$D101&gt;=T$4),IF(T$4&lt;=Görevler!$C101+ROUND(Görevler!$F101*Görevler!$E101,0)-1,2,1),""))</f>
        <v/>
      </c>
      <c r="U101" s="22" t="str">
        <f aca="false">IF(Görevler!$F101="","",IF(AND(Görevler!$C101&lt;=(U$4+Ayarlar!$C$6-1),Görevler!$D101&gt;=U$4),IF(U$4&lt;=Görevler!$C101+ROUND(Görevler!$F101*Görevler!$E101,0)-1,2,1),""))</f>
        <v/>
      </c>
      <c r="V101" s="22" t="str">
        <f aca="false">IF(Görevler!$F101="","",IF(AND(Görevler!$C101&lt;=(V$4+Ayarlar!$C$6-1),Görevler!$D101&gt;=V$4),IF(V$4&lt;=Görevler!$C101+ROUND(Görevler!$F101*Görevler!$E101,0)-1,2,1),""))</f>
        <v/>
      </c>
      <c r="W101" s="22" t="str">
        <f aca="false">IF(Görevler!$F101="","",IF(AND(Görevler!$C101&lt;=(W$4+Ayarlar!$C$6-1),Görevler!$D101&gt;=W$4),IF(W$4&lt;=Görevler!$C101+ROUND(Görevler!$F101*Görevler!$E101,0)-1,2,1),""))</f>
        <v/>
      </c>
      <c r="X101" s="22" t="str">
        <f aca="false">IF(Görevler!$F101="","",IF(AND(Görevler!$C101&lt;=(X$4+Ayarlar!$C$6-1),Görevler!$D101&gt;=X$4),IF(X$4&lt;=Görevler!$C101+ROUND(Görevler!$F101*Görevler!$E101,0)-1,2,1),""))</f>
        <v/>
      </c>
      <c r="Y101" s="22" t="str">
        <f aca="false">IF(Görevler!$F101="","",IF(AND(Görevler!$C101&lt;=(Y$4+Ayarlar!$C$6-1),Görevler!$D101&gt;=Y$4),IF(Y$4&lt;=Görevler!$C101+ROUND(Görevler!$F101*Görevler!$E101,0)-1,2,1),""))</f>
        <v/>
      </c>
      <c r="Z101" s="22" t="str">
        <f aca="false">IF(Görevler!$F101="","",IF(AND(Görevler!$C101&lt;=(Z$4+Ayarlar!$C$6-1),Görevler!$D101&gt;=Z$4),IF(Z$4&lt;=Görevler!$C101+ROUND(Görevler!$F101*Görevler!$E101,0)-1,2,1),""))</f>
        <v/>
      </c>
      <c r="AA101" s="22" t="str">
        <f aca="false">IF(Görevler!$F101="","",IF(AND(Görevler!$C101&lt;=(AA$4+Ayarlar!$C$6-1),Görevler!$D101&gt;=AA$4),IF(AA$4&lt;=Görevler!$C101+ROUND(Görevler!$F101*Görevler!$E101,0)-1,2,1),""))</f>
        <v/>
      </c>
      <c r="AB101" s="22" t="str">
        <f aca="false">IF(Görevler!$F101="","",IF(AND(Görevler!$C101&lt;=(AB$4+Ayarlar!$C$6-1),Görevler!$D101&gt;=AB$4),IF(AB$4&lt;=Görevler!$C101+ROUND(Görevler!$F101*Görevler!$E101,0)-1,2,1),""))</f>
        <v/>
      </c>
      <c r="AC101" s="22" t="str">
        <f aca="false">IF(Görevler!$F101="","",IF(AND(Görevler!$C101&lt;=(AC$4+Ayarlar!$C$6-1),Görevler!$D101&gt;=AC$4),IF(AC$4&lt;=Görevler!$C101+ROUND(Görevler!$F101*Görevler!$E101,0)-1,2,1),""))</f>
        <v/>
      </c>
      <c r="AD101" s="22" t="str">
        <f aca="false">IF(Görevler!$F101="","",IF(AND(Görevler!$C101&lt;=(AD$4+Ayarlar!$C$6-1),Görevler!$D101&gt;=AD$4),IF(AD$4&lt;=Görevler!$C101+ROUND(Görevler!$F101*Görevler!$E101,0)-1,2,1),""))</f>
        <v/>
      </c>
      <c r="AE101" s="22" t="str">
        <f aca="false">IF(Görevler!$F101="","",IF(AND(Görevler!$C101&lt;=(AE$4+Ayarlar!$C$6-1),Görevler!$D101&gt;=AE$4),IF(AE$4&lt;=Görevler!$C101+ROUND(Görevler!$F101*Görevler!$E101,0)-1,2,1),""))</f>
        <v/>
      </c>
      <c r="AF101" s="22" t="str">
        <f aca="false">IF(Görevler!$F101="","",IF(AND(Görevler!$C101&lt;=(AF$4+Ayarlar!$C$6-1),Görevler!$D101&gt;=AF$4),IF(AF$4&lt;=Görevler!$C101+ROUND(Görevler!$F101*Görevler!$E101,0)-1,2,1),""))</f>
        <v/>
      </c>
      <c r="AG101" s="22" t="str">
        <f aca="false">IF(Görevler!$F101="","",IF(AND(Görevler!$C101&lt;=(AG$4+Ayarlar!$C$6-1),Görevler!$D101&gt;=AG$4),IF(AG$4&lt;=Görevler!$C101+ROUND(Görevler!$F101*Görevler!$E101,0)-1,2,1),""))</f>
        <v/>
      </c>
      <c r="AH101" s="22" t="str">
        <f aca="false">IF(Görevler!$F101="","",IF(AND(Görevler!$C101&lt;=(AH$4+Ayarlar!$C$6-1),Görevler!$D101&gt;=AH$4),IF(AH$4&lt;=Görevler!$C101+ROUND(Görevler!$F101*Görevler!$E101,0)-1,2,1),""))</f>
        <v/>
      </c>
      <c r="AI101" s="22" t="str">
        <f aca="false">IF(Görevler!$F101="","",IF(AND(Görevler!$C101&lt;=(AI$4+Ayarlar!$C$6-1),Görevler!$D101&gt;=AI$4),IF(AI$4&lt;=Görevler!$C101+ROUND(Görevler!$F101*Görevler!$E101,0)-1,2,1),""))</f>
        <v/>
      </c>
      <c r="AJ101" s="22" t="str">
        <f aca="false">IF(Görevler!$F101="","",IF(AND(Görevler!$C101&lt;=(AJ$4+Ayarlar!$C$6-1),Görevler!$D101&gt;=AJ$4),IF(AJ$4&lt;=Görevler!$C101+ROUND(Görevler!$F101*Görevler!$E101,0)-1,2,1),""))</f>
        <v/>
      </c>
      <c r="AK101" s="22" t="str">
        <f aca="false">IF(Görevler!$F101="","",IF(AND(Görevler!$C101&lt;=(AK$4+Ayarlar!$C$6-1),Görevler!$D101&gt;=AK$4),IF(AK$4&lt;=Görevler!$C101+ROUND(Görevler!$F101*Görevler!$E101,0)-1,2,1),""))</f>
        <v/>
      </c>
      <c r="AL101" s="22" t="str">
        <f aca="false">IF(Görevler!$F101="","",IF(AND(Görevler!$C101&lt;=(AL$4+Ayarlar!$C$6-1),Görevler!$D101&gt;=AL$4),IF(AL$4&lt;=Görevler!$C101+ROUND(Görevler!$F101*Görevler!$E101,0)-1,2,1),""))</f>
        <v/>
      </c>
      <c r="AM101" s="22" t="str">
        <f aca="false">IF(Görevler!$F101="","",IF(AND(Görevler!$C101&lt;=(AM$4+Ayarlar!$C$6-1),Görevler!$D101&gt;=AM$4),IF(AM$4&lt;=Görevler!$C101+ROUND(Görevler!$F101*Görevler!$E101,0)-1,2,1),""))</f>
        <v/>
      </c>
      <c r="AN101" s="22" t="str">
        <f aca="false">IF(Görevler!$F101="","",IF(AND(Görevler!$C101&lt;=(AN$4+Ayarlar!$C$6-1),Görevler!$D101&gt;=AN$4),IF(AN$4&lt;=Görevler!$C101+ROUND(Görevler!$F101*Görevler!$E101,0)-1,2,1),""))</f>
        <v/>
      </c>
      <c r="AO101" s="22" t="str">
        <f aca="false">IF(Görevler!$F101="","",IF(AND(Görevler!$C101&lt;=(AO$4+Ayarlar!$C$6-1),Görevler!$D101&gt;=AO$4),IF(AO$4&lt;=Görevler!$C101+ROUND(Görevler!$F101*Görevler!$E101,0)-1,2,1),""))</f>
        <v/>
      </c>
      <c r="AP101" s="22" t="str">
        <f aca="false">IF(Görevler!$F101="","",IF(AND(Görevler!$C101&lt;=(AP$4+Ayarlar!$C$6-1),Görevler!$D101&gt;=AP$4),IF(AP$4&lt;=Görevler!$C101+ROUND(Görevler!$F101*Görevler!$E101,0)-1,2,1),""))</f>
        <v/>
      </c>
      <c r="AQ101" s="22" t="str">
        <f aca="false">IF(Görevler!$F101="","",IF(AND(Görevler!$C101&lt;=(AQ$4+Ayarlar!$C$6-1),Görevler!$D101&gt;=AQ$4),IF(AQ$4&lt;=Görevler!$C101+ROUND(Görevler!$F101*Görevler!$E101,0)-1,2,1),""))</f>
        <v/>
      </c>
      <c r="AR101" s="22" t="str">
        <f aca="false">IF(Görevler!$F101="","",IF(AND(Görevler!$C101&lt;=(AR$4+Ayarlar!$C$6-1),Görevler!$D101&gt;=AR$4),IF(AR$4&lt;=Görevler!$C101+ROUND(Görevler!$F101*Görevler!$E101,0)-1,2,1),""))</f>
        <v/>
      </c>
      <c r="AS101" s="22" t="str">
        <f aca="false">IF(Görevler!$F101="","",IF(AND(Görevler!$C101&lt;=(AS$4+Ayarlar!$C$6-1),Görevler!$D101&gt;=AS$4),IF(AS$4&lt;=Görevler!$C101+ROUND(Görevler!$F101*Görevler!$E101,0)-1,2,1),""))</f>
        <v/>
      </c>
      <c r="AT101" s="22" t="str">
        <f aca="false">IF(Görevler!$F101="","",IF(AND(Görevler!$C101&lt;=(AT$4+Ayarlar!$C$6-1),Görevler!$D101&gt;=AT$4),IF(AT$4&lt;=Görevler!$C101+ROUND(Görevler!$F101*Görevler!$E101,0)-1,2,1),""))</f>
        <v/>
      </c>
      <c r="AU101" s="22" t="str">
        <f aca="false">IF(Görevler!$F101="","",IF(AND(Görevler!$C101&lt;=(AU$4+Ayarlar!$C$6-1),Görevler!$D101&gt;=AU$4),IF(AU$4&lt;=Görevler!$C101+ROUND(Görevler!$F101*Görevler!$E101,0)-1,2,1),""))</f>
        <v/>
      </c>
      <c r="AV101" s="22" t="str">
        <f aca="false">IF(Görevler!$F101="","",IF(AND(Görevler!$C101&lt;=(AV$4+Ayarlar!$C$6-1),Görevler!$D101&gt;=AV$4),IF(AV$4&lt;=Görevler!$C101+ROUND(Görevler!$F101*Görevler!$E101,0)-1,2,1),""))</f>
        <v/>
      </c>
      <c r="AW101" s="22" t="str">
        <f aca="false">IF(Görevler!$F101="","",IF(AND(Görevler!$C101&lt;=(AW$4+Ayarlar!$C$6-1),Görevler!$D101&gt;=AW$4),IF(AW$4&lt;=Görevler!$C101+ROUND(Görevler!$F101*Görevler!$E101,0)-1,2,1),""))</f>
        <v/>
      </c>
      <c r="AX101" s="22" t="str">
        <f aca="false">IF(Görevler!$F101="","",IF(AND(Görevler!$C101&lt;=(AX$4+Ayarlar!$C$6-1),Görevler!$D101&gt;=AX$4),IF(AX$4&lt;=Görevler!$C101+ROUND(Görevler!$F101*Görevler!$E101,0)-1,2,1),""))</f>
        <v/>
      </c>
      <c r="AY101" s="22" t="str">
        <f aca="false">IF(Görevler!$F101="","",IF(AND(Görevler!$C101&lt;=(AY$4+Ayarlar!$C$6-1),Görevler!$D101&gt;=AY$4),IF(AY$4&lt;=Görevler!$C101+ROUND(Görevler!$F101*Görevler!$E101,0)-1,2,1),""))</f>
        <v/>
      </c>
      <c r="AZ101" s="22" t="str">
        <f aca="false">IF(Görevler!$F101="","",IF(AND(Görevler!$C101&lt;=(AZ$4+Ayarlar!$C$6-1),Görevler!$D101&gt;=AZ$4),IF(AZ$4&lt;=Görevler!$C101+ROUND(Görevler!$F101*Görevler!$E101,0)-1,2,1),""))</f>
        <v/>
      </c>
      <c r="BA101" s="22" t="str">
        <f aca="false">IF(Görevler!$F101="","",IF(AND(Görevler!$C101&lt;=(BA$4+Ayarlar!$C$6-1),Görevler!$D101&gt;=BA$4),IF(BA$4&lt;=Görevler!$C101+ROUND(Görevler!$F101*Görevler!$E101,0)-1,2,1),""))</f>
        <v/>
      </c>
      <c r="BB101" s="22" t="str">
        <f aca="false">IF(Görevler!$F101="","",IF(AND(Görevler!$C101&lt;=(BB$4+Ayarlar!$C$6-1),Görevler!$D101&gt;=BB$4),IF(BB$4&lt;=Görevler!$C101+ROUND(Görevler!$F101*Görevler!$E101,0)-1,2,1),""))</f>
        <v/>
      </c>
      <c r="BC101" s="22" t="str">
        <f aca="false">IF(Görevler!$F101="","",IF(AND(Görevler!$C101&lt;=(BC$4+Ayarlar!$C$6-1),Görevler!$D101&gt;=BC$4),IF(BC$4&lt;=Görevler!$C101+ROUND(Görevler!$F101*Görevler!$E101,0)-1,2,1),""))</f>
        <v/>
      </c>
      <c r="BD101" s="22" t="str">
        <f aca="false">IF(Görevler!$F101="","",IF(AND(Görevler!$C101&lt;=(BD$4+Ayarlar!$C$6-1),Görevler!$D101&gt;=BD$4),IF(BD$4&lt;=Görevler!$C101+ROUND(Görevler!$F101*Görevler!$E101,0)-1,2,1),""))</f>
        <v/>
      </c>
      <c r="BE101" s="22" t="str">
        <f aca="false">IF(Görevler!$F101="","",IF(AND(Görevler!$C101&lt;=(BE$4+Ayarlar!$C$6-1),Görevler!$D101&gt;=BE$4),IF(BE$4&lt;=Görevler!$C101+ROUND(Görevler!$F101*Görevler!$E101,0)-1,2,1),""))</f>
        <v/>
      </c>
      <c r="BF101" s="22" t="str">
        <f aca="false">IF(Görevler!$F101="","",IF(AND(Görevler!$C101&lt;=(BF$4+Ayarlar!$C$6-1),Görevler!$D101&gt;=BF$4),IF(BF$4&lt;=Görevler!$C101+ROUND(Görevler!$F101*Görevler!$E101,0)-1,2,1),""))</f>
        <v/>
      </c>
      <c r="BG101" s="22" t="str">
        <f aca="false">IF(Görevler!$F101="","",IF(AND(Görevler!$C101&lt;=(BG$4+Ayarlar!$C$6-1),Görevler!$D101&gt;=BG$4),IF(BG$4&lt;=Görevler!$C101+ROUND(Görevler!$F101*Görevler!$E101,0)-1,2,1),""))</f>
        <v/>
      </c>
      <c r="BH101" s="22" t="str">
        <f aca="false">IF(Görevler!$F101="","",IF(AND(Görevler!$C101&lt;=(BH$4+Ayarlar!$C$6-1),Görevler!$D101&gt;=BH$4),IF(BH$4&lt;=Görevler!$C101+ROUND(Görevler!$F101*Görevler!$E101,0)-1,2,1),""))</f>
        <v/>
      </c>
      <c r="BI101" s="22" t="str">
        <f aca="false">IF(Görevler!$F101="","",IF(AND(Görevler!$C101&lt;=(BI$4+Ayarlar!$C$6-1),Görevler!$D101&gt;=BI$4),IF(BI$4&lt;=Görevler!$C101+ROUND(Görevler!$F101*Görevler!$E101,0)-1,2,1),""))</f>
        <v/>
      </c>
      <c r="BJ101" s="22" t="str">
        <f aca="false">IF(Görevler!$F101="","",IF(AND(Görevler!$C101&lt;=(BJ$4+Ayarlar!$C$6-1),Görevler!$D101&gt;=BJ$4),IF(BJ$4&lt;=Görevler!$C101+ROUND(Görevler!$F101*Görevler!$E101,0)-1,2,1),""))</f>
        <v/>
      </c>
    </row>
    <row r="102" customFormat="false" ht="15" hidden="false" customHeight="false" outlineLevel="0" collapsed="false">
      <c r="A102" s="21" t="str">
        <f aca="false">IF(Görevler!A102="","",Görevler!A102)</f>
        <v/>
      </c>
      <c r="B102" s="21" t="str">
        <f aca="false">IF(Görevler!A102="","",Görevler!B102&amp;"")</f>
        <v/>
      </c>
      <c r="C102" s="22" t="str">
        <f aca="false">IF(Görevler!$F102="","",IF(AND(Görevler!$C102&lt;=(C$4+Ayarlar!$C$6-1),Görevler!$D102&gt;=C$4),IF(C$4&lt;=Görevler!$C102+ROUND(Görevler!$F102*Görevler!$E102,0)-1,2,1),""))</f>
        <v/>
      </c>
      <c r="D102" s="22" t="str">
        <f aca="false">IF(Görevler!$F102="","",IF(AND(Görevler!$C102&lt;=(D$4+Ayarlar!$C$6-1),Görevler!$D102&gt;=D$4),IF(D$4&lt;=Görevler!$C102+ROUND(Görevler!$F102*Görevler!$E102,0)-1,2,1),""))</f>
        <v/>
      </c>
      <c r="E102" s="22" t="str">
        <f aca="false">IF(Görevler!$F102="","",IF(AND(Görevler!$C102&lt;=(E$4+Ayarlar!$C$6-1),Görevler!$D102&gt;=E$4),IF(E$4&lt;=Görevler!$C102+ROUND(Görevler!$F102*Görevler!$E102,0)-1,2,1),""))</f>
        <v/>
      </c>
      <c r="F102" s="22" t="str">
        <f aca="false">IF(Görevler!$F102="","",IF(AND(Görevler!$C102&lt;=(F$4+Ayarlar!$C$6-1),Görevler!$D102&gt;=F$4),IF(F$4&lt;=Görevler!$C102+ROUND(Görevler!$F102*Görevler!$E102,0)-1,2,1),""))</f>
        <v/>
      </c>
      <c r="G102" s="22" t="str">
        <f aca="false">IF(Görevler!$F102="","",IF(AND(Görevler!$C102&lt;=(G$4+Ayarlar!$C$6-1),Görevler!$D102&gt;=G$4),IF(G$4&lt;=Görevler!$C102+ROUND(Görevler!$F102*Görevler!$E102,0)-1,2,1),""))</f>
        <v/>
      </c>
      <c r="H102" s="22" t="str">
        <f aca="false">IF(Görevler!$F102="","",IF(AND(Görevler!$C102&lt;=(H$4+Ayarlar!$C$6-1),Görevler!$D102&gt;=H$4),IF(H$4&lt;=Görevler!$C102+ROUND(Görevler!$F102*Görevler!$E102,0)-1,2,1),""))</f>
        <v/>
      </c>
      <c r="I102" s="22" t="str">
        <f aca="false">IF(Görevler!$F102="","",IF(AND(Görevler!$C102&lt;=(I$4+Ayarlar!$C$6-1),Görevler!$D102&gt;=I$4),IF(I$4&lt;=Görevler!$C102+ROUND(Görevler!$F102*Görevler!$E102,0)-1,2,1),""))</f>
        <v/>
      </c>
      <c r="J102" s="22" t="str">
        <f aca="false">IF(Görevler!$F102="","",IF(AND(Görevler!$C102&lt;=(J$4+Ayarlar!$C$6-1),Görevler!$D102&gt;=J$4),IF(J$4&lt;=Görevler!$C102+ROUND(Görevler!$F102*Görevler!$E102,0)-1,2,1),""))</f>
        <v/>
      </c>
      <c r="K102" s="22" t="str">
        <f aca="false">IF(Görevler!$F102="","",IF(AND(Görevler!$C102&lt;=(K$4+Ayarlar!$C$6-1),Görevler!$D102&gt;=K$4),IF(K$4&lt;=Görevler!$C102+ROUND(Görevler!$F102*Görevler!$E102,0)-1,2,1),""))</f>
        <v/>
      </c>
      <c r="L102" s="22" t="str">
        <f aca="false">IF(Görevler!$F102="","",IF(AND(Görevler!$C102&lt;=(L$4+Ayarlar!$C$6-1),Görevler!$D102&gt;=L$4),IF(L$4&lt;=Görevler!$C102+ROUND(Görevler!$F102*Görevler!$E102,0)-1,2,1),""))</f>
        <v/>
      </c>
      <c r="M102" s="22" t="str">
        <f aca="false">IF(Görevler!$F102="","",IF(AND(Görevler!$C102&lt;=(M$4+Ayarlar!$C$6-1),Görevler!$D102&gt;=M$4),IF(M$4&lt;=Görevler!$C102+ROUND(Görevler!$F102*Görevler!$E102,0)-1,2,1),""))</f>
        <v/>
      </c>
      <c r="N102" s="22" t="str">
        <f aca="false">IF(Görevler!$F102="","",IF(AND(Görevler!$C102&lt;=(N$4+Ayarlar!$C$6-1),Görevler!$D102&gt;=N$4),IF(N$4&lt;=Görevler!$C102+ROUND(Görevler!$F102*Görevler!$E102,0)-1,2,1),""))</f>
        <v/>
      </c>
      <c r="O102" s="22" t="str">
        <f aca="false">IF(Görevler!$F102="","",IF(AND(Görevler!$C102&lt;=(O$4+Ayarlar!$C$6-1),Görevler!$D102&gt;=O$4),IF(O$4&lt;=Görevler!$C102+ROUND(Görevler!$F102*Görevler!$E102,0)-1,2,1),""))</f>
        <v/>
      </c>
      <c r="P102" s="22" t="str">
        <f aca="false">IF(Görevler!$F102="","",IF(AND(Görevler!$C102&lt;=(P$4+Ayarlar!$C$6-1),Görevler!$D102&gt;=P$4),IF(P$4&lt;=Görevler!$C102+ROUND(Görevler!$F102*Görevler!$E102,0)-1,2,1),""))</f>
        <v/>
      </c>
      <c r="Q102" s="22" t="str">
        <f aca="false">IF(Görevler!$F102="","",IF(AND(Görevler!$C102&lt;=(Q$4+Ayarlar!$C$6-1),Görevler!$D102&gt;=Q$4),IF(Q$4&lt;=Görevler!$C102+ROUND(Görevler!$F102*Görevler!$E102,0)-1,2,1),""))</f>
        <v/>
      </c>
      <c r="R102" s="22" t="str">
        <f aca="false">IF(Görevler!$F102="","",IF(AND(Görevler!$C102&lt;=(R$4+Ayarlar!$C$6-1),Görevler!$D102&gt;=R$4),IF(R$4&lt;=Görevler!$C102+ROUND(Görevler!$F102*Görevler!$E102,0)-1,2,1),""))</f>
        <v/>
      </c>
      <c r="S102" s="22" t="str">
        <f aca="false">IF(Görevler!$F102="","",IF(AND(Görevler!$C102&lt;=(S$4+Ayarlar!$C$6-1),Görevler!$D102&gt;=S$4),IF(S$4&lt;=Görevler!$C102+ROUND(Görevler!$F102*Görevler!$E102,0)-1,2,1),""))</f>
        <v/>
      </c>
      <c r="T102" s="22" t="str">
        <f aca="false">IF(Görevler!$F102="","",IF(AND(Görevler!$C102&lt;=(T$4+Ayarlar!$C$6-1),Görevler!$D102&gt;=T$4),IF(T$4&lt;=Görevler!$C102+ROUND(Görevler!$F102*Görevler!$E102,0)-1,2,1),""))</f>
        <v/>
      </c>
      <c r="U102" s="22" t="str">
        <f aca="false">IF(Görevler!$F102="","",IF(AND(Görevler!$C102&lt;=(U$4+Ayarlar!$C$6-1),Görevler!$D102&gt;=U$4),IF(U$4&lt;=Görevler!$C102+ROUND(Görevler!$F102*Görevler!$E102,0)-1,2,1),""))</f>
        <v/>
      </c>
      <c r="V102" s="22" t="str">
        <f aca="false">IF(Görevler!$F102="","",IF(AND(Görevler!$C102&lt;=(V$4+Ayarlar!$C$6-1),Görevler!$D102&gt;=V$4),IF(V$4&lt;=Görevler!$C102+ROUND(Görevler!$F102*Görevler!$E102,0)-1,2,1),""))</f>
        <v/>
      </c>
      <c r="W102" s="22" t="str">
        <f aca="false">IF(Görevler!$F102="","",IF(AND(Görevler!$C102&lt;=(W$4+Ayarlar!$C$6-1),Görevler!$D102&gt;=W$4),IF(W$4&lt;=Görevler!$C102+ROUND(Görevler!$F102*Görevler!$E102,0)-1,2,1),""))</f>
        <v/>
      </c>
      <c r="X102" s="22" t="str">
        <f aca="false">IF(Görevler!$F102="","",IF(AND(Görevler!$C102&lt;=(X$4+Ayarlar!$C$6-1),Görevler!$D102&gt;=X$4),IF(X$4&lt;=Görevler!$C102+ROUND(Görevler!$F102*Görevler!$E102,0)-1,2,1),""))</f>
        <v/>
      </c>
      <c r="Y102" s="22" t="str">
        <f aca="false">IF(Görevler!$F102="","",IF(AND(Görevler!$C102&lt;=(Y$4+Ayarlar!$C$6-1),Görevler!$D102&gt;=Y$4),IF(Y$4&lt;=Görevler!$C102+ROUND(Görevler!$F102*Görevler!$E102,0)-1,2,1),""))</f>
        <v/>
      </c>
      <c r="Z102" s="22" t="str">
        <f aca="false">IF(Görevler!$F102="","",IF(AND(Görevler!$C102&lt;=(Z$4+Ayarlar!$C$6-1),Görevler!$D102&gt;=Z$4),IF(Z$4&lt;=Görevler!$C102+ROUND(Görevler!$F102*Görevler!$E102,0)-1,2,1),""))</f>
        <v/>
      </c>
      <c r="AA102" s="22" t="str">
        <f aca="false">IF(Görevler!$F102="","",IF(AND(Görevler!$C102&lt;=(AA$4+Ayarlar!$C$6-1),Görevler!$D102&gt;=AA$4),IF(AA$4&lt;=Görevler!$C102+ROUND(Görevler!$F102*Görevler!$E102,0)-1,2,1),""))</f>
        <v/>
      </c>
      <c r="AB102" s="22" t="str">
        <f aca="false">IF(Görevler!$F102="","",IF(AND(Görevler!$C102&lt;=(AB$4+Ayarlar!$C$6-1),Görevler!$D102&gt;=AB$4),IF(AB$4&lt;=Görevler!$C102+ROUND(Görevler!$F102*Görevler!$E102,0)-1,2,1),""))</f>
        <v/>
      </c>
      <c r="AC102" s="22" t="str">
        <f aca="false">IF(Görevler!$F102="","",IF(AND(Görevler!$C102&lt;=(AC$4+Ayarlar!$C$6-1),Görevler!$D102&gt;=AC$4),IF(AC$4&lt;=Görevler!$C102+ROUND(Görevler!$F102*Görevler!$E102,0)-1,2,1),""))</f>
        <v/>
      </c>
      <c r="AD102" s="22" t="str">
        <f aca="false">IF(Görevler!$F102="","",IF(AND(Görevler!$C102&lt;=(AD$4+Ayarlar!$C$6-1),Görevler!$D102&gt;=AD$4),IF(AD$4&lt;=Görevler!$C102+ROUND(Görevler!$F102*Görevler!$E102,0)-1,2,1),""))</f>
        <v/>
      </c>
      <c r="AE102" s="22" t="str">
        <f aca="false">IF(Görevler!$F102="","",IF(AND(Görevler!$C102&lt;=(AE$4+Ayarlar!$C$6-1),Görevler!$D102&gt;=AE$4),IF(AE$4&lt;=Görevler!$C102+ROUND(Görevler!$F102*Görevler!$E102,0)-1,2,1),""))</f>
        <v/>
      </c>
      <c r="AF102" s="22" t="str">
        <f aca="false">IF(Görevler!$F102="","",IF(AND(Görevler!$C102&lt;=(AF$4+Ayarlar!$C$6-1),Görevler!$D102&gt;=AF$4),IF(AF$4&lt;=Görevler!$C102+ROUND(Görevler!$F102*Görevler!$E102,0)-1,2,1),""))</f>
        <v/>
      </c>
      <c r="AG102" s="22" t="str">
        <f aca="false">IF(Görevler!$F102="","",IF(AND(Görevler!$C102&lt;=(AG$4+Ayarlar!$C$6-1),Görevler!$D102&gt;=AG$4),IF(AG$4&lt;=Görevler!$C102+ROUND(Görevler!$F102*Görevler!$E102,0)-1,2,1),""))</f>
        <v/>
      </c>
      <c r="AH102" s="22" t="str">
        <f aca="false">IF(Görevler!$F102="","",IF(AND(Görevler!$C102&lt;=(AH$4+Ayarlar!$C$6-1),Görevler!$D102&gt;=AH$4),IF(AH$4&lt;=Görevler!$C102+ROUND(Görevler!$F102*Görevler!$E102,0)-1,2,1),""))</f>
        <v/>
      </c>
      <c r="AI102" s="22" t="str">
        <f aca="false">IF(Görevler!$F102="","",IF(AND(Görevler!$C102&lt;=(AI$4+Ayarlar!$C$6-1),Görevler!$D102&gt;=AI$4),IF(AI$4&lt;=Görevler!$C102+ROUND(Görevler!$F102*Görevler!$E102,0)-1,2,1),""))</f>
        <v/>
      </c>
      <c r="AJ102" s="22" t="str">
        <f aca="false">IF(Görevler!$F102="","",IF(AND(Görevler!$C102&lt;=(AJ$4+Ayarlar!$C$6-1),Görevler!$D102&gt;=AJ$4),IF(AJ$4&lt;=Görevler!$C102+ROUND(Görevler!$F102*Görevler!$E102,0)-1,2,1),""))</f>
        <v/>
      </c>
      <c r="AK102" s="22" t="str">
        <f aca="false">IF(Görevler!$F102="","",IF(AND(Görevler!$C102&lt;=(AK$4+Ayarlar!$C$6-1),Görevler!$D102&gt;=AK$4),IF(AK$4&lt;=Görevler!$C102+ROUND(Görevler!$F102*Görevler!$E102,0)-1,2,1),""))</f>
        <v/>
      </c>
      <c r="AL102" s="22" t="str">
        <f aca="false">IF(Görevler!$F102="","",IF(AND(Görevler!$C102&lt;=(AL$4+Ayarlar!$C$6-1),Görevler!$D102&gt;=AL$4),IF(AL$4&lt;=Görevler!$C102+ROUND(Görevler!$F102*Görevler!$E102,0)-1,2,1),""))</f>
        <v/>
      </c>
      <c r="AM102" s="22" t="str">
        <f aca="false">IF(Görevler!$F102="","",IF(AND(Görevler!$C102&lt;=(AM$4+Ayarlar!$C$6-1),Görevler!$D102&gt;=AM$4),IF(AM$4&lt;=Görevler!$C102+ROUND(Görevler!$F102*Görevler!$E102,0)-1,2,1),""))</f>
        <v/>
      </c>
      <c r="AN102" s="22" t="str">
        <f aca="false">IF(Görevler!$F102="","",IF(AND(Görevler!$C102&lt;=(AN$4+Ayarlar!$C$6-1),Görevler!$D102&gt;=AN$4),IF(AN$4&lt;=Görevler!$C102+ROUND(Görevler!$F102*Görevler!$E102,0)-1,2,1),""))</f>
        <v/>
      </c>
      <c r="AO102" s="22" t="str">
        <f aca="false">IF(Görevler!$F102="","",IF(AND(Görevler!$C102&lt;=(AO$4+Ayarlar!$C$6-1),Görevler!$D102&gt;=AO$4),IF(AO$4&lt;=Görevler!$C102+ROUND(Görevler!$F102*Görevler!$E102,0)-1,2,1),""))</f>
        <v/>
      </c>
      <c r="AP102" s="22" t="str">
        <f aca="false">IF(Görevler!$F102="","",IF(AND(Görevler!$C102&lt;=(AP$4+Ayarlar!$C$6-1),Görevler!$D102&gt;=AP$4),IF(AP$4&lt;=Görevler!$C102+ROUND(Görevler!$F102*Görevler!$E102,0)-1,2,1),""))</f>
        <v/>
      </c>
      <c r="AQ102" s="22" t="str">
        <f aca="false">IF(Görevler!$F102="","",IF(AND(Görevler!$C102&lt;=(AQ$4+Ayarlar!$C$6-1),Görevler!$D102&gt;=AQ$4),IF(AQ$4&lt;=Görevler!$C102+ROUND(Görevler!$F102*Görevler!$E102,0)-1,2,1),""))</f>
        <v/>
      </c>
      <c r="AR102" s="22" t="str">
        <f aca="false">IF(Görevler!$F102="","",IF(AND(Görevler!$C102&lt;=(AR$4+Ayarlar!$C$6-1),Görevler!$D102&gt;=AR$4),IF(AR$4&lt;=Görevler!$C102+ROUND(Görevler!$F102*Görevler!$E102,0)-1,2,1),""))</f>
        <v/>
      </c>
      <c r="AS102" s="22" t="str">
        <f aca="false">IF(Görevler!$F102="","",IF(AND(Görevler!$C102&lt;=(AS$4+Ayarlar!$C$6-1),Görevler!$D102&gt;=AS$4),IF(AS$4&lt;=Görevler!$C102+ROUND(Görevler!$F102*Görevler!$E102,0)-1,2,1),""))</f>
        <v/>
      </c>
      <c r="AT102" s="22" t="str">
        <f aca="false">IF(Görevler!$F102="","",IF(AND(Görevler!$C102&lt;=(AT$4+Ayarlar!$C$6-1),Görevler!$D102&gt;=AT$4),IF(AT$4&lt;=Görevler!$C102+ROUND(Görevler!$F102*Görevler!$E102,0)-1,2,1),""))</f>
        <v/>
      </c>
      <c r="AU102" s="22" t="str">
        <f aca="false">IF(Görevler!$F102="","",IF(AND(Görevler!$C102&lt;=(AU$4+Ayarlar!$C$6-1),Görevler!$D102&gt;=AU$4),IF(AU$4&lt;=Görevler!$C102+ROUND(Görevler!$F102*Görevler!$E102,0)-1,2,1),""))</f>
        <v/>
      </c>
      <c r="AV102" s="22" t="str">
        <f aca="false">IF(Görevler!$F102="","",IF(AND(Görevler!$C102&lt;=(AV$4+Ayarlar!$C$6-1),Görevler!$D102&gt;=AV$4),IF(AV$4&lt;=Görevler!$C102+ROUND(Görevler!$F102*Görevler!$E102,0)-1,2,1),""))</f>
        <v/>
      </c>
      <c r="AW102" s="22" t="str">
        <f aca="false">IF(Görevler!$F102="","",IF(AND(Görevler!$C102&lt;=(AW$4+Ayarlar!$C$6-1),Görevler!$D102&gt;=AW$4),IF(AW$4&lt;=Görevler!$C102+ROUND(Görevler!$F102*Görevler!$E102,0)-1,2,1),""))</f>
        <v/>
      </c>
      <c r="AX102" s="22" t="str">
        <f aca="false">IF(Görevler!$F102="","",IF(AND(Görevler!$C102&lt;=(AX$4+Ayarlar!$C$6-1),Görevler!$D102&gt;=AX$4),IF(AX$4&lt;=Görevler!$C102+ROUND(Görevler!$F102*Görevler!$E102,0)-1,2,1),""))</f>
        <v/>
      </c>
      <c r="AY102" s="22" t="str">
        <f aca="false">IF(Görevler!$F102="","",IF(AND(Görevler!$C102&lt;=(AY$4+Ayarlar!$C$6-1),Görevler!$D102&gt;=AY$4),IF(AY$4&lt;=Görevler!$C102+ROUND(Görevler!$F102*Görevler!$E102,0)-1,2,1),""))</f>
        <v/>
      </c>
      <c r="AZ102" s="22" t="str">
        <f aca="false">IF(Görevler!$F102="","",IF(AND(Görevler!$C102&lt;=(AZ$4+Ayarlar!$C$6-1),Görevler!$D102&gt;=AZ$4),IF(AZ$4&lt;=Görevler!$C102+ROUND(Görevler!$F102*Görevler!$E102,0)-1,2,1),""))</f>
        <v/>
      </c>
      <c r="BA102" s="22" t="str">
        <f aca="false">IF(Görevler!$F102="","",IF(AND(Görevler!$C102&lt;=(BA$4+Ayarlar!$C$6-1),Görevler!$D102&gt;=BA$4),IF(BA$4&lt;=Görevler!$C102+ROUND(Görevler!$F102*Görevler!$E102,0)-1,2,1),""))</f>
        <v/>
      </c>
      <c r="BB102" s="22" t="str">
        <f aca="false">IF(Görevler!$F102="","",IF(AND(Görevler!$C102&lt;=(BB$4+Ayarlar!$C$6-1),Görevler!$D102&gt;=BB$4),IF(BB$4&lt;=Görevler!$C102+ROUND(Görevler!$F102*Görevler!$E102,0)-1,2,1),""))</f>
        <v/>
      </c>
      <c r="BC102" s="22" t="str">
        <f aca="false">IF(Görevler!$F102="","",IF(AND(Görevler!$C102&lt;=(BC$4+Ayarlar!$C$6-1),Görevler!$D102&gt;=BC$4),IF(BC$4&lt;=Görevler!$C102+ROUND(Görevler!$F102*Görevler!$E102,0)-1,2,1),""))</f>
        <v/>
      </c>
      <c r="BD102" s="22" t="str">
        <f aca="false">IF(Görevler!$F102="","",IF(AND(Görevler!$C102&lt;=(BD$4+Ayarlar!$C$6-1),Görevler!$D102&gt;=BD$4),IF(BD$4&lt;=Görevler!$C102+ROUND(Görevler!$F102*Görevler!$E102,0)-1,2,1),""))</f>
        <v/>
      </c>
      <c r="BE102" s="22" t="str">
        <f aca="false">IF(Görevler!$F102="","",IF(AND(Görevler!$C102&lt;=(BE$4+Ayarlar!$C$6-1),Görevler!$D102&gt;=BE$4),IF(BE$4&lt;=Görevler!$C102+ROUND(Görevler!$F102*Görevler!$E102,0)-1,2,1),""))</f>
        <v/>
      </c>
      <c r="BF102" s="22" t="str">
        <f aca="false">IF(Görevler!$F102="","",IF(AND(Görevler!$C102&lt;=(BF$4+Ayarlar!$C$6-1),Görevler!$D102&gt;=BF$4),IF(BF$4&lt;=Görevler!$C102+ROUND(Görevler!$F102*Görevler!$E102,0)-1,2,1),""))</f>
        <v/>
      </c>
      <c r="BG102" s="22" t="str">
        <f aca="false">IF(Görevler!$F102="","",IF(AND(Görevler!$C102&lt;=(BG$4+Ayarlar!$C$6-1),Görevler!$D102&gt;=BG$4),IF(BG$4&lt;=Görevler!$C102+ROUND(Görevler!$F102*Görevler!$E102,0)-1,2,1),""))</f>
        <v/>
      </c>
      <c r="BH102" s="22" t="str">
        <f aca="false">IF(Görevler!$F102="","",IF(AND(Görevler!$C102&lt;=(BH$4+Ayarlar!$C$6-1),Görevler!$D102&gt;=BH$4),IF(BH$4&lt;=Görevler!$C102+ROUND(Görevler!$F102*Görevler!$E102,0)-1,2,1),""))</f>
        <v/>
      </c>
      <c r="BI102" s="22" t="str">
        <f aca="false">IF(Görevler!$F102="","",IF(AND(Görevler!$C102&lt;=(BI$4+Ayarlar!$C$6-1),Görevler!$D102&gt;=BI$4),IF(BI$4&lt;=Görevler!$C102+ROUND(Görevler!$F102*Görevler!$E102,0)-1,2,1),""))</f>
        <v/>
      </c>
      <c r="BJ102" s="22" t="str">
        <f aca="false">IF(Görevler!$F102="","",IF(AND(Görevler!$C102&lt;=(BJ$4+Ayarlar!$C$6-1),Görevler!$D102&gt;=BJ$4),IF(BJ$4&lt;=Görevler!$C102+ROUND(Görevler!$F102*Görevler!$E102,0)-1,2,1),""))</f>
        <v/>
      </c>
    </row>
    <row r="103" customFormat="false" ht="15" hidden="false" customHeight="false" outlineLevel="0" collapsed="false">
      <c r="A103" s="21" t="str">
        <f aca="false">IF(Görevler!A103="","",Görevler!A103)</f>
        <v/>
      </c>
      <c r="B103" s="21" t="str">
        <f aca="false">IF(Görevler!A103="","",Görevler!B103&amp;"")</f>
        <v/>
      </c>
      <c r="C103" s="22" t="str">
        <f aca="false">IF(Görevler!$F103="","",IF(AND(Görevler!$C103&lt;=(C$4+Ayarlar!$C$6-1),Görevler!$D103&gt;=C$4),IF(C$4&lt;=Görevler!$C103+ROUND(Görevler!$F103*Görevler!$E103,0)-1,2,1),""))</f>
        <v/>
      </c>
      <c r="D103" s="22" t="str">
        <f aca="false">IF(Görevler!$F103="","",IF(AND(Görevler!$C103&lt;=(D$4+Ayarlar!$C$6-1),Görevler!$D103&gt;=D$4),IF(D$4&lt;=Görevler!$C103+ROUND(Görevler!$F103*Görevler!$E103,0)-1,2,1),""))</f>
        <v/>
      </c>
      <c r="E103" s="22" t="str">
        <f aca="false">IF(Görevler!$F103="","",IF(AND(Görevler!$C103&lt;=(E$4+Ayarlar!$C$6-1),Görevler!$D103&gt;=E$4),IF(E$4&lt;=Görevler!$C103+ROUND(Görevler!$F103*Görevler!$E103,0)-1,2,1),""))</f>
        <v/>
      </c>
      <c r="F103" s="22" t="str">
        <f aca="false">IF(Görevler!$F103="","",IF(AND(Görevler!$C103&lt;=(F$4+Ayarlar!$C$6-1),Görevler!$D103&gt;=F$4),IF(F$4&lt;=Görevler!$C103+ROUND(Görevler!$F103*Görevler!$E103,0)-1,2,1),""))</f>
        <v/>
      </c>
      <c r="G103" s="22" t="str">
        <f aca="false">IF(Görevler!$F103="","",IF(AND(Görevler!$C103&lt;=(G$4+Ayarlar!$C$6-1),Görevler!$D103&gt;=G$4),IF(G$4&lt;=Görevler!$C103+ROUND(Görevler!$F103*Görevler!$E103,0)-1,2,1),""))</f>
        <v/>
      </c>
      <c r="H103" s="22" t="str">
        <f aca="false">IF(Görevler!$F103="","",IF(AND(Görevler!$C103&lt;=(H$4+Ayarlar!$C$6-1),Görevler!$D103&gt;=H$4),IF(H$4&lt;=Görevler!$C103+ROUND(Görevler!$F103*Görevler!$E103,0)-1,2,1),""))</f>
        <v/>
      </c>
      <c r="I103" s="22" t="str">
        <f aca="false">IF(Görevler!$F103="","",IF(AND(Görevler!$C103&lt;=(I$4+Ayarlar!$C$6-1),Görevler!$D103&gt;=I$4),IF(I$4&lt;=Görevler!$C103+ROUND(Görevler!$F103*Görevler!$E103,0)-1,2,1),""))</f>
        <v/>
      </c>
      <c r="J103" s="22" t="str">
        <f aca="false">IF(Görevler!$F103="","",IF(AND(Görevler!$C103&lt;=(J$4+Ayarlar!$C$6-1),Görevler!$D103&gt;=J$4),IF(J$4&lt;=Görevler!$C103+ROUND(Görevler!$F103*Görevler!$E103,0)-1,2,1),""))</f>
        <v/>
      </c>
      <c r="K103" s="22" t="str">
        <f aca="false">IF(Görevler!$F103="","",IF(AND(Görevler!$C103&lt;=(K$4+Ayarlar!$C$6-1),Görevler!$D103&gt;=K$4),IF(K$4&lt;=Görevler!$C103+ROUND(Görevler!$F103*Görevler!$E103,0)-1,2,1),""))</f>
        <v/>
      </c>
      <c r="L103" s="22" t="str">
        <f aca="false">IF(Görevler!$F103="","",IF(AND(Görevler!$C103&lt;=(L$4+Ayarlar!$C$6-1),Görevler!$D103&gt;=L$4),IF(L$4&lt;=Görevler!$C103+ROUND(Görevler!$F103*Görevler!$E103,0)-1,2,1),""))</f>
        <v/>
      </c>
      <c r="M103" s="22" t="str">
        <f aca="false">IF(Görevler!$F103="","",IF(AND(Görevler!$C103&lt;=(M$4+Ayarlar!$C$6-1),Görevler!$D103&gt;=M$4),IF(M$4&lt;=Görevler!$C103+ROUND(Görevler!$F103*Görevler!$E103,0)-1,2,1),""))</f>
        <v/>
      </c>
      <c r="N103" s="22" t="str">
        <f aca="false">IF(Görevler!$F103="","",IF(AND(Görevler!$C103&lt;=(N$4+Ayarlar!$C$6-1),Görevler!$D103&gt;=N$4),IF(N$4&lt;=Görevler!$C103+ROUND(Görevler!$F103*Görevler!$E103,0)-1,2,1),""))</f>
        <v/>
      </c>
      <c r="O103" s="22" t="str">
        <f aca="false">IF(Görevler!$F103="","",IF(AND(Görevler!$C103&lt;=(O$4+Ayarlar!$C$6-1),Görevler!$D103&gt;=O$4),IF(O$4&lt;=Görevler!$C103+ROUND(Görevler!$F103*Görevler!$E103,0)-1,2,1),""))</f>
        <v/>
      </c>
      <c r="P103" s="22" t="str">
        <f aca="false">IF(Görevler!$F103="","",IF(AND(Görevler!$C103&lt;=(P$4+Ayarlar!$C$6-1),Görevler!$D103&gt;=P$4),IF(P$4&lt;=Görevler!$C103+ROUND(Görevler!$F103*Görevler!$E103,0)-1,2,1),""))</f>
        <v/>
      </c>
      <c r="Q103" s="22" t="str">
        <f aca="false">IF(Görevler!$F103="","",IF(AND(Görevler!$C103&lt;=(Q$4+Ayarlar!$C$6-1),Görevler!$D103&gt;=Q$4),IF(Q$4&lt;=Görevler!$C103+ROUND(Görevler!$F103*Görevler!$E103,0)-1,2,1),""))</f>
        <v/>
      </c>
      <c r="R103" s="22" t="str">
        <f aca="false">IF(Görevler!$F103="","",IF(AND(Görevler!$C103&lt;=(R$4+Ayarlar!$C$6-1),Görevler!$D103&gt;=R$4),IF(R$4&lt;=Görevler!$C103+ROUND(Görevler!$F103*Görevler!$E103,0)-1,2,1),""))</f>
        <v/>
      </c>
      <c r="S103" s="22" t="str">
        <f aca="false">IF(Görevler!$F103="","",IF(AND(Görevler!$C103&lt;=(S$4+Ayarlar!$C$6-1),Görevler!$D103&gt;=S$4),IF(S$4&lt;=Görevler!$C103+ROUND(Görevler!$F103*Görevler!$E103,0)-1,2,1),""))</f>
        <v/>
      </c>
      <c r="T103" s="22" t="str">
        <f aca="false">IF(Görevler!$F103="","",IF(AND(Görevler!$C103&lt;=(T$4+Ayarlar!$C$6-1),Görevler!$D103&gt;=T$4),IF(T$4&lt;=Görevler!$C103+ROUND(Görevler!$F103*Görevler!$E103,0)-1,2,1),""))</f>
        <v/>
      </c>
      <c r="U103" s="22" t="str">
        <f aca="false">IF(Görevler!$F103="","",IF(AND(Görevler!$C103&lt;=(U$4+Ayarlar!$C$6-1),Görevler!$D103&gt;=U$4),IF(U$4&lt;=Görevler!$C103+ROUND(Görevler!$F103*Görevler!$E103,0)-1,2,1),""))</f>
        <v/>
      </c>
      <c r="V103" s="22" t="str">
        <f aca="false">IF(Görevler!$F103="","",IF(AND(Görevler!$C103&lt;=(V$4+Ayarlar!$C$6-1),Görevler!$D103&gt;=V$4),IF(V$4&lt;=Görevler!$C103+ROUND(Görevler!$F103*Görevler!$E103,0)-1,2,1),""))</f>
        <v/>
      </c>
      <c r="W103" s="22" t="str">
        <f aca="false">IF(Görevler!$F103="","",IF(AND(Görevler!$C103&lt;=(W$4+Ayarlar!$C$6-1),Görevler!$D103&gt;=W$4),IF(W$4&lt;=Görevler!$C103+ROUND(Görevler!$F103*Görevler!$E103,0)-1,2,1),""))</f>
        <v/>
      </c>
      <c r="X103" s="22" t="str">
        <f aca="false">IF(Görevler!$F103="","",IF(AND(Görevler!$C103&lt;=(X$4+Ayarlar!$C$6-1),Görevler!$D103&gt;=X$4),IF(X$4&lt;=Görevler!$C103+ROUND(Görevler!$F103*Görevler!$E103,0)-1,2,1),""))</f>
        <v/>
      </c>
      <c r="Y103" s="22" t="str">
        <f aca="false">IF(Görevler!$F103="","",IF(AND(Görevler!$C103&lt;=(Y$4+Ayarlar!$C$6-1),Görevler!$D103&gt;=Y$4),IF(Y$4&lt;=Görevler!$C103+ROUND(Görevler!$F103*Görevler!$E103,0)-1,2,1),""))</f>
        <v/>
      </c>
      <c r="Z103" s="22" t="str">
        <f aca="false">IF(Görevler!$F103="","",IF(AND(Görevler!$C103&lt;=(Z$4+Ayarlar!$C$6-1),Görevler!$D103&gt;=Z$4),IF(Z$4&lt;=Görevler!$C103+ROUND(Görevler!$F103*Görevler!$E103,0)-1,2,1),""))</f>
        <v/>
      </c>
      <c r="AA103" s="22" t="str">
        <f aca="false">IF(Görevler!$F103="","",IF(AND(Görevler!$C103&lt;=(AA$4+Ayarlar!$C$6-1),Görevler!$D103&gt;=AA$4),IF(AA$4&lt;=Görevler!$C103+ROUND(Görevler!$F103*Görevler!$E103,0)-1,2,1),""))</f>
        <v/>
      </c>
      <c r="AB103" s="22" t="str">
        <f aca="false">IF(Görevler!$F103="","",IF(AND(Görevler!$C103&lt;=(AB$4+Ayarlar!$C$6-1),Görevler!$D103&gt;=AB$4),IF(AB$4&lt;=Görevler!$C103+ROUND(Görevler!$F103*Görevler!$E103,0)-1,2,1),""))</f>
        <v/>
      </c>
      <c r="AC103" s="22" t="str">
        <f aca="false">IF(Görevler!$F103="","",IF(AND(Görevler!$C103&lt;=(AC$4+Ayarlar!$C$6-1),Görevler!$D103&gt;=AC$4),IF(AC$4&lt;=Görevler!$C103+ROUND(Görevler!$F103*Görevler!$E103,0)-1,2,1),""))</f>
        <v/>
      </c>
      <c r="AD103" s="22" t="str">
        <f aca="false">IF(Görevler!$F103="","",IF(AND(Görevler!$C103&lt;=(AD$4+Ayarlar!$C$6-1),Görevler!$D103&gt;=AD$4),IF(AD$4&lt;=Görevler!$C103+ROUND(Görevler!$F103*Görevler!$E103,0)-1,2,1),""))</f>
        <v/>
      </c>
      <c r="AE103" s="22" t="str">
        <f aca="false">IF(Görevler!$F103="","",IF(AND(Görevler!$C103&lt;=(AE$4+Ayarlar!$C$6-1),Görevler!$D103&gt;=AE$4),IF(AE$4&lt;=Görevler!$C103+ROUND(Görevler!$F103*Görevler!$E103,0)-1,2,1),""))</f>
        <v/>
      </c>
      <c r="AF103" s="22" t="str">
        <f aca="false">IF(Görevler!$F103="","",IF(AND(Görevler!$C103&lt;=(AF$4+Ayarlar!$C$6-1),Görevler!$D103&gt;=AF$4),IF(AF$4&lt;=Görevler!$C103+ROUND(Görevler!$F103*Görevler!$E103,0)-1,2,1),""))</f>
        <v/>
      </c>
      <c r="AG103" s="22" t="str">
        <f aca="false">IF(Görevler!$F103="","",IF(AND(Görevler!$C103&lt;=(AG$4+Ayarlar!$C$6-1),Görevler!$D103&gt;=AG$4),IF(AG$4&lt;=Görevler!$C103+ROUND(Görevler!$F103*Görevler!$E103,0)-1,2,1),""))</f>
        <v/>
      </c>
      <c r="AH103" s="22" t="str">
        <f aca="false">IF(Görevler!$F103="","",IF(AND(Görevler!$C103&lt;=(AH$4+Ayarlar!$C$6-1),Görevler!$D103&gt;=AH$4),IF(AH$4&lt;=Görevler!$C103+ROUND(Görevler!$F103*Görevler!$E103,0)-1,2,1),""))</f>
        <v/>
      </c>
      <c r="AI103" s="22" t="str">
        <f aca="false">IF(Görevler!$F103="","",IF(AND(Görevler!$C103&lt;=(AI$4+Ayarlar!$C$6-1),Görevler!$D103&gt;=AI$4),IF(AI$4&lt;=Görevler!$C103+ROUND(Görevler!$F103*Görevler!$E103,0)-1,2,1),""))</f>
        <v/>
      </c>
      <c r="AJ103" s="22" t="str">
        <f aca="false">IF(Görevler!$F103="","",IF(AND(Görevler!$C103&lt;=(AJ$4+Ayarlar!$C$6-1),Görevler!$D103&gt;=AJ$4),IF(AJ$4&lt;=Görevler!$C103+ROUND(Görevler!$F103*Görevler!$E103,0)-1,2,1),""))</f>
        <v/>
      </c>
      <c r="AK103" s="22" t="str">
        <f aca="false">IF(Görevler!$F103="","",IF(AND(Görevler!$C103&lt;=(AK$4+Ayarlar!$C$6-1),Görevler!$D103&gt;=AK$4),IF(AK$4&lt;=Görevler!$C103+ROUND(Görevler!$F103*Görevler!$E103,0)-1,2,1),""))</f>
        <v/>
      </c>
      <c r="AL103" s="22" t="str">
        <f aca="false">IF(Görevler!$F103="","",IF(AND(Görevler!$C103&lt;=(AL$4+Ayarlar!$C$6-1),Görevler!$D103&gt;=AL$4),IF(AL$4&lt;=Görevler!$C103+ROUND(Görevler!$F103*Görevler!$E103,0)-1,2,1),""))</f>
        <v/>
      </c>
      <c r="AM103" s="22" t="str">
        <f aca="false">IF(Görevler!$F103="","",IF(AND(Görevler!$C103&lt;=(AM$4+Ayarlar!$C$6-1),Görevler!$D103&gt;=AM$4),IF(AM$4&lt;=Görevler!$C103+ROUND(Görevler!$F103*Görevler!$E103,0)-1,2,1),""))</f>
        <v/>
      </c>
      <c r="AN103" s="22" t="str">
        <f aca="false">IF(Görevler!$F103="","",IF(AND(Görevler!$C103&lt;=(AN$4+Ayarlar!$C$6-1),Görevler!$D103&gt;=AN$4),IF(AN$4&lt;=Görevler!$C103+ROUND(Görevler!$F103*Görevler!$E103,0)-1,2,1),""))</f>
        <v/>
      </c>
      <c r="AO103" s="22" t="str">
        <f aca="false">IF(Görevler!$F103="","",IF(AND(Görevler!$C103&lt;=(AO$4+Ayarlar!$C$6-1),Görevler!$D103&gt;=AO$4),IF(AO$4&lt;=Görevler!$C103+ROUND(Görevler!$F103*Görevler!$E103,0)-1,2,1),""))</f>
        <v/>
      </c>
      <c r="AP103" s="22" t="str">
        <f aca="false">IF(Görevler!$F103="","",IF(AND(Görevler!$C103&lt;=(AP$4+Ayarlar!$C$6-1),Görevler!$D103&gt;=AP$4),IF(AP$4&lt;=Görevler!$C103+ROUND(Görevler!$F103*Görevler!$E103,0)-1,2,1),""))</f>
        <v/>
      </c>
      <c r="AQ103" s="22" t="str">
        <f aca="false">IF(Görevler!$F103="","",IF(AND(Görevler!$C103&lt;=(AQ$4+Ayarlar!$C$6-1),Görevler!$D103&gt;=AQ$4),IF(AQ$4&lt;=Görevler!$C103+ROUND(Görevler!$F103*Görevler!$E103,0)-1,2,1),""))</f>
        <v/>
      </c>
      <c r="AR103" s="22" t="str">
        <f aca="false">IF(Görevler!$F103="","",IF(AND(Görevler!$C103&lt;=(AR$4+Ayarlar!$C$6-1),Görevler!$D103&gt;=AR$4),IF(AR$4&lt;=Görevler!$C103+ROUND(Görevler!$F103*Görevler!$E103,0)-1,2,1),""))</f>
        <v/>
      </c>
      <c r="AS103" s="22" t="str">
        <f aca="false">IF(Görevler!$F103="","",IF(AND(Görevler!$C103&lt;=(AS$4+Ayarlar!$C$6-1),Görevler!$D103&gt;=AS$4),IF(AS$4&lt;=Görevler!$C103+ROUND(Görevler!$F103*Görevler!$E103,0)-1,2,1),""))</f>
        <v/>
      </c>
      <c r="AT103" s="22" t="str">
        <f aca="false">IF(Görevler!$F103="","",IF(AND(Görevler!$C103&lt;=(AT$4+Ayarlar!$C$6-1),Görevler!$D103&gt;=AT$4),IF(AT$4&lt;=Görevler!$C103+ROUND(Görevler!$F103*Görevler!$E103,0)-1,2,1),""))</f>
        <v/>
      </c>
      <c r="AU103" s="22" t="str">
        <f aca="false">IF(Görevler!$F103="","",IF(AND(Görevler!$C103&lt;=(AU$4+Ayarlar!$C$6-1),Görevler!$D103&gt;=AU$4),IF(AU$4&lt;=Görevler!$C103+ROUND(Görevler!$F103*Görevler!$E103,0)-1,2,1),""))</f>
        <v/>
      </c>
      <c r="AV103" s="22" t="str">
        <f aca="false">IF(Görevler!$F103="","",IF(AND(Görevler!$C103&lt;=(AV$4+Ayarlar!$C$6-1),Görevler!$D103&gt;=AV$4),IF(AV$4&lt;=Görevler!$C103+ROUND(Görevler!$F103*Görevler!$E103,0)-1,2,1),""))</f>
        <v/>
      </c>
      <c r="AW103" s="22" t="str">
        <f aca="false">IF(Görevler!$F103="","",IF(AND(Görevler!$C103&lt;=(AW$4+Ayarlar!$C$6-1),Görevler!$D103&gt;=AW$4),IF(AW$4&lt;=Görevler!$C103+ROUND(Görevler!$F103*Görevler!$E103,0)-1,2,1),""))</f>
        <v/>
      </c>
      <c r="AX103" s="22" t="str">
        <f aca="false">IF(Görevler!$F103="","",IF(AND(Görevler!$C103&lt;=(AX$4+Ayarlar!$C$6-1),Görevler!$D103&gt;=AX$4),IF(AX$4&lt;=Görevler!$C103+ROUND(Görevler!$F103*Görevler!$E103,0)-1,2,1),""))</f>
        <v/>
      </c>
      <c r="AY103" s="22" t="str">
        <f aca="false">IF(Görevler!$F103="","",IF(AND(Görevler!$C103&lt;=(AY$4+Ayarlar!$C$6-1),Görevler!$D103&gt;=AY$4),IF(AY$4&lt;=Görevler!$C103+ROUND(Görevler!$F103*Görevler!$E103,0)-1,2,1),""))</f>
        <v/>
      </c>
      <c r="AZ103" s="22" t="str">
        <f aca="false">IF(Görevler!$F103="","",IF(AND(Görevler!$C103&lt;=(AZ$4+Ayarlar!$C$6-1),Görevler!$D103&gt;=AZ$4),IF(AZ$4&lt;=Görevler!$C103+ROUND(Görevler!$F103*Görevler!$E103,0)-1,2,1),""))</f>
        <v/>
      </c>
      <c r="BA103" s="22" t="str">
        <f aca="false">IF(Görevler!$F103="","",IF(AND(Görevler!$C103&lt;=(BA$4+Ayarlar!$C$6-1),Görevler!$D103&gt;=BA$4),IF(BA$4&lt;=Görevler!$C103+ROUND(Görevler!$F103*Görevler!$E103,0)-1,2,1),""))</f>
        <v/>
      </c>
      <c r="BB103" s="22" t="str">
        <f aca="false">IF(Görevler!$F103="","",IF(AND(Görevler!$C103&lt;=(BB$4+Ayarlar!$C$6-1),Görevler!$D103&gt;=BB$4),IF(BB$4&lt;=Görevler!$C103+ROUND(Görevler!$F103*Görevler!$E103,0)-1,2,1),""))</f>
        <v/>
      </c>
      <c r="BC103" s="22" t="str">
        <f aca="false">IF(Görevler!$F103="","",IF(AND(Görevler!$C103&lt;=(BC$4+Ayarlar!$C$6-1),Görevler!$D103&gt;=BC$4),IF(BC$4&lt;=Görevler!$C103+ROUND(Görevler!$F103*Görevler!$E103,0)-1,2,1),""))</f>
        <v/>
      </c>
      <c r="BD103" s="22" t="str">
        <f aca="false">IF(Görevler!$F103="","",IF(AND(Görevler!$C103&lt;=(BD$4+Ayarlar!$C$6-1),Görevler!$D103&gt;=BD$4),IF(BD$4&lt;=Görevler!$C103+ROUND(Görevler!$F103*Görevler!$E103,0)-1,2,1),""))</f>
        <v/>
      </c>
      <c r="BE103" s="22" t="str">
        <f aca="false">IF(Görevler!$F103="","",IF(AND(Görevler!$C103&lt;=(BE$4+Ayarlar!$C$6-1),Görevler!$D103&gt;=BE$4),IF(BE$4&lt;=Görevler!$C103+ROUND(Görevler!$F103*Görevler!$E103,0)-1,2,1),""))</f>
        <v/>
      </c>
      <c r="BF103" s="22" t="str">
        <f aca="false">IF(Görevler!$F103="","",IF(AND(Görevler!$C103&lt;=(BF$4+Ayarlar!$C$6-1),Görevler!$D103&gt;=BF$4),IF(BF$4&lt;=Görevler!$C103+ROUND(Görevler!$F103*Görevler!$E103,0)-1,2,1),""))</f>
        <v/>
      </c>
      <c r="BG103" s="22" t="str">
        <f aca="false">IF(Görevler!$F103="","",IF(AND(Görevler!$C103&lt;=(BG$4+Ayarlar!$C$6-1),Görevler!$D103&gt;=BG$4),IF(BG$4&lt;=Görevler!$C103+ROUND(Görevler!$F103*Görevler!$E103,0)-1,2,1),""))</f>
        <v/>
      </c>
      <c r="BH103" s="22" t="str">
        <f aca="false">IF(Görevler!$F103="","",IF(AND(Görevler!$C103&lt;=(BH$4+Ayarlar!$C$6-1),Görevler!$D103&gt;=BH$4),IF(BH$4&lt;=Görevler!$C103+ROUND(Görevler!$F103*Görevler!$E103,0)-1,2,1),""))</f>
        <v/>
      </c>
      <c r="BI103" s="22" t="str">
        <f aca="false">IF(Görevler!$F103="","",IF(AND(Görevler!$C103&lt;=(BI$4+Ayarlar!$C$6-1),Görevler!$D103&gt;=BI$4),IF(BI$4&lt;=Görevler!$C103+ROUND(Görevler!$F103*Görevler!$E103,0)-1,2,1),""))</f>
        <v/>
      </c>
      <c r="BJ103" s="22" t="str">
        <f aca="false">IF(Görevler!$F103="","",IF(AND(Görevler!$C103&lt;=(BJ$4+Ayarlar!$C$6-1),Görevler!$D103&gt;=BJ$4),IF(BJ$4&lt;=Görevler!$C103+ROUND(Görevler!$F103*Görevler!$E103,0)-1,2,1),""))</f>
        <v/>
      </c>
    </row>
    <row r="104" customFormat="false" ht="15" hidden="false" customHeight="false" outlineLevel="0" collapsed="false">
      <c r="A104" s="21" t="str">
        <f aca="false">IF(Görevler!A104="","",Görevler!A104)</f>
        <v/>
      </c>
      <c r="B104" s="21" t="str">
        <f aca="false">IF(Görevler!A104="","",Görevler!B104&amp;"")</f>
        <v/>
      </c>
      <c r="C104" s="22" t="str">
        <f aca="false">IF(Görevler!$F104="","",IF(AND(Görevler!$C104&lt;=(C$4+Ayarlar!$C$6-1),Görevler!$D104&gt;=C$4),IF(C$4&lt;=Görevler!$C104+ROUND(Görevler!$F104*Görevler!$E104,0)-1,2,1),""))</f>
        <v/>
      </c>
      <c r="D104" s="22" t="str">
        <f aca="false">IF(Görevler!$F104="","",IF(AND(Görevler!$C104&lt;=(D$4+Ayarlar!$C$6-1),Görevler!$D104&gt;=D$4),IF(D$4&lt;=Görevler!$C104+ROUND(Görevler!$F104*Görevler!$E104,0)-1,2,1),""))</f>
        <v/>
      </c>
      <c r="E104" s="22" t="str">
        <f aca="false">IF(Görevler!$F104="","",IF(AND(Görevler!$C104&lt;=(E$4+Ayarlar!$C$6-1),Görevler!$D104&gt;=E$4),IF(E$4&lt;=Görevler!$C104+ROUND(Görevler!$F104*Görevler!$E104,0)-1,2,1),""))</f>
        <v/>
      </c>
      <c r="F104" s="22" t="str">
        <f aca="false">IF(Görevler!$F104="","",IF(AND(Görevler!$C104&lt;=(F$4+Ayarlar!$C$6-1),Görevler!$D104&gt;=F$4),IF(F$4&lt;=Görevler!$C104+ROUND(Görevler!$F104*Görevler!$E104,0)-1,2,1),""))</f>
        <v/>
      </c>
      <c r="G104" s="22" t="str">
        <f aca="false">IF(Görevler!$F104="","",IF(AND(Görevler!$C104&lt;=(G$4+Ayarlar!$C$6-1),Görevler!$D104&gt;=G$4),IF(G$4&lt;=Görevler!$C104+ROUND(Görevler!$F104*Görevler!$E104,0)-1,2,1),""))</f>
        <v/>
      </c>
      <c r="H104" s="22" t="str">
        <f aca="false">IF(Görevler!$F104="","",IF(AND(Görevler!$C104&lt;=(H$4+Ayarlar!$C$6-1),Görevler!$D104&gt;=H$4),IF(H$4&lt;=Görevler!$C104+ROUND(Görevler!$F104*Görevler!$E104,0)-1,2,1),""))</f>
        <v/>
      </c>
      <c r="I104" s="22" t="str">
        <f aca="false">IF(Görevler!$F104="","",IF(AND(Görevler!$C104&lt;=(I$4+Ayarlar!$C$6-1),Görevler!$D104&gt;=I$4),IF(I$4&lt;=Görevler!$C104+ROUND(Görevler!$F104*Görevler!$E104,0)-1,2,1),""))</f>
        <v/>
      </c>
      <c r="J104" s="22" t="str">
        <f aca="false">IF(Görevler!$F104="","",IF(AND(Görevler!$C104&lt;=(J$4+Ayarlar!$C$6-1),Görevler!$D104&gt;=J$4),IF(J$4&lt;=Görevler!$C104+ROUND(Görevler!$F104*Görevler!$E104,0)-1,2,1),""))</f>
        <v/>
      </c>
      <c r="K104" s="22" t="str">
        <f aca="false">IF(Görevler!$F104="","",IF(AND(Görevler!$C104&lt;=(K$4+Ayarlar!$C$6-1),Görevler!$D104&gt;=K$4),IF(K$4&lt;=Görevler!$C104+ROUND(Görevler!$F104*Görevler!$E104,0)-1,2,1),""))</f>
        <v/>
      </c>
      <c r="L104" s="22" t="str">
        <f aca="false">IF(Görevler!$F104="","",IF(AND(Görevler!$C104&lt;=(L$4+Ayarlar!$C$6-1),Görevler!$D104&gt;=L$4),IF(L$4&lt;=Görevler!$C104+ROUND(Görevler!$F104*Görevler!$E104,0)-1,2,1),""))</f>
        <v/>
      </c>
      <c r="M104" s="22" t="str">
        <f aca="false">IF(Görevler!$F104="","",IF(AND(Görevler!$C104&lt;=(M$4+Ayarlar!$C$6-1),Görevler!$D104&gt;=M$4),IF(M$4&lt;=Görevler!$C104+ROUND(Görevler!$F104*Görevler!$E104,0)-1,2,1),""))</f>
        <v/>
      </c>
      <c r="N104" s="22" t="str">
        <f aca="false">IF(Görevler!$F104="","",IF(AND(Görevler!$C104&lt;=(N$4+Ayarlar!$C$6-1),Görevler!$D104&gt;=N$4),IF(N$4&lt;=Görevler!$C104+ROUND(Görevler!$F104*Görevler!$E104,0)-1,2,1),""))</f>
        <v/>
      </c>
      <c r="O104" s="22" t="str">
        <f aca="false">IF(Görevler!$F104="","",IF(AND(Görevler!$C104&lt;=(O$4+Ayarlar!$C$6-1),Görevler!$D104&gt;=O$4),IF(O$4&lt;=Görevler!$C104+ROUND(Görevler!$F104*Görevler!$E104,0)-1,2,1),""))</f>
        <v/>
      </c>
      <c r="P104" s="22" t="str">
        <f aca="false">IF(Görevler!$F104="","",IF(AND(Görevler!$C104&lt;=(P$4+Ayarlar!$C$6-1),Görevler!$D104&gt;=P$4),IF(P$4&lt;=Görevler!$C104+ROUND(Görevler!$F104*Görevler!$E104,0)-1,2,1),""))</f>
        <v/>
      </c>
      <c r="Q104" s="22" t="str">
        <f aca="false">IF(Görevler!$F104="","",IF(AND(Görevler!$C104&lt;=(Q$4+Ayarlar!$C$6-1),Görevler!$D104&gt;=Q$4),IF(Q$4&lt;=Görevler!$C104+ROUND(Görevler!$F104*Görevler!$E104,0)-1,2,1),""))</f>
        <v/>
      </c>
      <c r="R104" s="22" t="str">
        <f aca="false">IF(Görevler!$F104="","",IF(AND(Görevler!$C104&lt;=(R$4+Ayarlar!$C$6-1),Görevler!$D104&gt;=R$4),IF(R$4&lt;=Görevler!$C104+ROUND(Görevler!$F104*Görevler!$E104,0)-1,2,1),""))</f>
        <v/>
      </c>
      <c r="S104" s="22" t="str">
        <f aca="false">IF(Görevler!$F104="","",IF(AND(Görevler!$C104&lt;=(S$4+Ayarlar!$C$6-1),Görevler!$D104&gt;=S$4),IF(S$4&lt;=Görevler!$C104+ROUND(Görevler!$F104*Görevler!$E104,0)-1,2,1),""))</f>
        <v/>
      </c>
      <c r="T104" s="22" t="str">
        <f aca="false">IF(Görevler!$F104="","",IF(AND(Görevler!$C104&lt;=(T$4+Ayarlar!$C$6-1),Görevler!$D104&gt;=T$4),IF(T$4&lt;=Görevler!$C104+ROUND(Görevler!$F104*Görevler!$E104,0)-1,2,1),""))</f>
        <v/>
      </c>
      <c r="U104" s="22" t="str">
        <f aca="false">IF(Görevler!$F104="","",IF(AND(Görevler!$C104&lt;=(U$4+Ayarlar!$C$6-1),Görevler!$D104&gt;=U$4),IF(U$4&lt;=Görevler!$C104+ROUND(Görevler!$F104*Görevler!$E104,0)-1,2,1),""))</f>
        <v/>
      </c>
      <c r="V104" s="22" t="str">
        <f aca="false">IF(Görevler!$F104="","",IF(AND(Görevler!$C104&lt;=(V$4+Ayarlar!$C$6-1),Görevler!$D104&gt;=V$4),IF(V$4&lt;=Görevler!$C104+ROUND(Görevler!$F104*Görevler!$E104,0)-1,2,1),""))</f>
        <v/>
      </c>
      <c r="W104" s="22" t="str">
        <f aca="false">IF(Görevler!$F104="","",IF(AND(Görevler!$C104&lt;=(W$4+Ayarlar!$C$6-1),Görevler!$D104&gt;=W$4),IF(W$4&lt;=Görevler!$C104+ROUND(Görevler!$F104*Görevler!$E104,0)-1,2,1),""))</f>
        <v/>
      </c>
      <c r="X104" s="22" t="str">
        <f aca="false">IF(Görevler!$F104="","",IF(AND(Görevler!$C104&lt;=(X$4+Ayarlar!$C$6-1),Görevler!$D104&gt;=X$4),IF(X$4&lt;=Görevler!$C104+ROUND(Görevler!$F104*Görevler!$E104,0)-1,2,1),""))</f>
        <v/>
      </c>
      <c r="Y104" s="22" t="str">
        <f aca="false">IF(Görevler!$F104="","",IF(AND(Görevler!$C104&lt;=(Y$4+Ayarlar!$C$6-1),Görevler!$D104&gt;=Y$4),IF(Y$4&lt;=Görevler!$C104+ROUND(Görevler!$F104*Görevler!$E104,0)-1,2,1),""))</f>
        <v/>
      </c>
      <c r="Z104" s="22" t="str">
        <f aca="false">IF(Görevler!$F104="","",IF(AND(Görevler!$C104&lt;=(Z$4+Ayarlar!$C$6-1),Görevler!$D104&gt;=Z$4),IF(Z$4&lt;=Görevler!$C104+ROUND(Görevler!$F104*Görevler!$E104,0)-1,2,1),""))</f>
        <v/>
      </c>
      <c r="AA104" s="22" t="str">
        <f aca="false">IF(Görevler!$F104="","",IF(AND(Görevler!$C104&lt;=(AA$4+Ayarlar!$C$6-1),Görevler!$D104&gt;=AA$4),IF(AA$4&lt;=Görevler!$C104+ROUND(Görevler!$F104*Görevler!$E104,0)-1,2,1),""))</f>
        <v/>
      </c>
      <c r="AB104" s="22" t="str">
        <f aca="false">IF(Görevler!$F104="","",IF(AND(Görevler!$C104&lt;=(AB$4+Ayarlar!$C$6-1),Görevler!$D104&gt;=AB$4),IF(AB$4&lt;=Görevler!$C104+ROUND(Görevler!$F104*Görevler!$E104,0)-1,2,1),""))</f>
        <v/>
      </c>
      <c r="AC104" s="22" t="str">
        <f aca="false">IF(Görevler!$F104="","",IF(AND(Görevler!$C104&lt;=(AC$4+Ayarlar!$C$6-1),Görevler!$D104&gt;=AC$4),IF(AC$4&lt;=Görevler!$C104+ROUND(Görevler!$F104*Görevler!$E104,0)-1,2,1),""))</f>
        <v/>
      </c>
      <c r="AD104" s="22" t="str">
        <f aca="false">IF(Görevler!$F104="","",IF(AND(Görevler!$C104&lt;=(AD$4+Ayarlar!$C$6-1),Görevler!$D104&gt;=AD$4),IF(AD$4&lt;=Görevler!$C104+ROUND(Görevler!$F104*Görevler!$E104,0)-1,2,1),""))</f>
        <v/>
      </c>
      <c r="AE104" s="22" t="str">
        <f aca="false">IF(Görevler!$F104="","",IF(AND(Görevler!$C104&lt;=(AE$4+Ayarlar!$C$6-1),Görevler!$D104&gt;=AE$4),IF(AE$4&lt;=Görevler!$C104+ROUND(Görevler!$F104*Görevler!$E104,0)-1,2,1),""))</f>
        <v/>
      </c>
      <c r="AF104" s="22" t="str">
        <f aca="false">IF(Görevler!$F104="","",IF(AND(Görevler!$C104&lt;=(AF$4+Ayarlar!$C$6-1),Görevler!$D104&gt;=AF$4),IF(AF$4&lt;=Görevler!$C104+ROUND(Görevler!$F104*Görevler!$E104,0)-1,2,1),""))</f>
        <v/>
      </c>
      <c r="AG104" s="22" t="str">
        <f aca="false">IF(Görevler!$F104="","",IF(AND(Görevler!$C104&lt;=(AG$4+Ayarlar!$C$6-1),Görevler!$D104&gt;=AG$4),IF(AG$4&lt;=Görevler!$C104+ROUND(Görevler!$F104*Görevler!$E104,0)-1,2,1),""))</f>
        <v/>
      </c>
      <c r="AH104" s="22" t="str">
        <f aca="false">IF(Görevler!$F104="","",IF(AND(Görevler!$C104&lt;=(AH$4+Ayarlar!$C$6-1),Görevler!$D104&gt;=AH$4),IF(AH$4&lt;=Görevler!$C104+ROUND(Görevler!$F104*Görevler!$E104,0)-1,2,1),""))</f>
        <v/>
      </c>
      <c r="AI104" s="22" t="str">
        <f aca="false">IF(Görevler!$F104="","",IF(AND(Görevler!$C104&lt;=(AI$4+Ayarlar!$C$6-1),Görevler!$D104&gt;=AI$4),IF(AI$4&lt;=Görevler!$C104+ROUND(Görevler!$F104*Görevler!$E104,0)-1,2,1),""))</f>
        <v/>
      </c>
      <c r="AJ104" s="22" t="str">
        <f aca="false">IF(Görevler!$F104="","",IF(AND(Görevler!$C104&lt;=(AJ$4+Ayarlar!$C$6-1),Görevler!$D104&gt;=AJ$4),IF(AJ$4&lt;=Görevler!$C104+ROUND(Görevler!$F104*Görevler!$E104,0)-1,2,1),""))</f>
        <v/>
      </c>
      <c r="AK104" s="22" t="str">
        <f aca="false">IF(Görevler!$F104="","",IF(AND(Görevler!$C104&lt;=(AK$4+Ayarlar!$C$6-1),Görevler!$D104&gt;=AK$4),IF(AK$4&lt;=Görevler!$C104+ROUND(Görevler!$F104*Görevler!$E104,0)-1,2,1),""))</f>
        <v/>
      </c>
      <c r="AL104" s="22" t="str">
        <f aca="false">IF(Görevler!$F104="","",IF(AND(Görevler!$C104&lt;=(AL$4+Ayarlar!$C$6-1),Görevler!$D104&gt;=AL$4),IF(AL$4&lt;=Görevler!$C104+ROUND(Görevler!$F104*Görevler!$E104,0)-1,2,1),""))</f>
        <v/>
      </c>
      <c r="AM104" s="22" t="str">
        <f aca="false">IF(Görevler!$F104="","",IF(AND(Görevler!$C104&lt;=(AM$4+Ayarlar!$C$6-1),Görevler!$D104&gt;=AM$4),IF(AM$4&lt;=Görevler!$C104+ROUND(Görevler!$F104*Görevler!$E104,0)-1,2,1),""))</f>
        <v/>
      </c>
      <c r="AN104" s="22" t="str">
        <f aca="false">IF(Görevler!$F104="","",IF(AND(Görevler!$C104&lt;=(AN$4+Ayarlar!$C$6-1),Görevler!$D104&gt;=AN$4),IF(AN$4&lt;=Görevler!$C104+ROUND(Görevler!$F104*Görevler!$E104,0)-1,2,1),""))</f>
        <v/>
      </c>
      <c r="AO104" s="22" t="str">
        <f aca="false">IF(Görevler!$F104="","",IF(AND(Görevler!$C104&lt;=(AO$4+Ayarlar!$C$6-1),Görevler!$D104&gt;=AO$4),IF(AO$4&lt;=Görevler!$C104+ROUND(Görevler!$F104*Görevler!$E104,0)-1,2,1),""))</f>
        <v/>
      </c>
      <c r="AP104" s="22" t="str">
        <f aca="false">IF(Görevler!$F104="","",IF(AND(Görevler!$C104&lt;=(AP$4+Ayarlar!$C$6-1),Görevler!$D104&gt;=AP$4),IF(AP$4&lt;=Görevler!$C104+ROUND(Görevler!$F104*Görevler!$E104,0)-1,2,1),""))</f>
        <v/>
      </c>
      <c r="AQ104" s="22" t="str">
        <f aca="false">IF(Görevler!$F104="","",IF(AND(Görevler!$C104&lt;=(AQ$4+Ayarlar!$C$6-1),Görevler!$D104&gt;=AQ$4),IF(AQ$4&lt;=Görevler!$C104+ROUND(Görevler!$F104*Görevler!$E104,0)-1,2,1),""))</f>
        <v/>
      </c>
      <c r="AR104" s="22" t="str">
        <f aca="false">IF(Görevler!$F104="","",IF(AND(Görevler!$C104&lt;=(AR$4+Ayarlar!$C$6-1),Görevler!$D104&gt;=AR$4),IF(AR$4&lt;=Görevler!$C104+ROUND(Görevler!$F104*Görevler!$E104,0)-1,2,1),""))</f>
        <v/>
      </c>
      <c r="AS104" s="22" t="str">
        <f aca="false">IF(Görevler!$F104="","",IF(AND(Görevler!$C104&lt;=(AS$4+Ayarlar!$C$6-1),Görevler!$D104&gt;=AS$4),IF(AS$4&lt;=Görevler!$C104+ROUND(Görevler!$F104*Görevler!$E104,0)-1,2,1),""))</f>
        <v/>
      </c>
      <c r="AT104" s="22" t="str">
        <f aca="false">IF(Görevler!$F104="","",IF(AND(Görevler!$C104&lt;=(AT$4+Ayarlar!$C$6-1),Görevler!$D104&gt;=AT$4),IF(AT$4&lt;=Görevler!$C104+ROUND(Görevler!$F104*Görevler!$E104,0)-1,2,1),""))</f>
        <v/>
      </c>
      <c r="AU104" s="22" t="str">
        <f aca="false">IF(Görevler!$F104="","",IF(AND(Görevler!$C104&lt;=(AU$4+Ayarlar!$C$6-1),Görevler!$D104&gt;=AU$4),IF(AU$4&lt;=Görevler!$C104+ROUND(Görevler!$F104*Görevler!$E104,0)-1,2,1),""))</f>
        <v/>
      </c>
      <c r="AV104" s="22" t="str">
        <f aca="false">IF(Görevler!$F104="","",IF(AND(Görevler!$C104&lt;=(AV$4+Ayarlar!$C$6-1),Görevler!$D104&gt;=AV$4),IF(AV$4&lt;=Görevler!$C104+ROUND(Görevler!$F104*Görevler!$E104,0)-1,2,1),""))</f>
        <v/>
      </c>
      <c r="AW104" s="22" t="str">
        <f aca="false">IF(Görevler!$F104="","",IF(AND(Görevler!$C104&lt;=(AW$4+Ayarlar!$C$6-1),Görevler!$D104&gt;=AW$4),IF(AW$4&lt;=Görevler!$C104+ROUND(Görevler!$F104*Görevler!$E104,0)-1,2,1),""))</f>
        <v/>
      </c>
      <c r="AX104" s="22" t="str">
        <f aca="false">IF(Görevler!$F104="","",IF(AND(Görevler!$C104&lt;=(AX$4+Ayarlar!$C$6-1),Görevler!$D104&gt;=AX$4),IF(AX$4&lt;=Görevler!$C104+ROUND(Görevler!$F104*Görevler!$E104,0)-1,2,1),""))</f>
        <v/>
      </c>
      <c r="AY104" s="22" t="str">
        <f aca="false">IF(Görevler!$F104="","",IF(AND(Görevler!$C104&lt;=(AY$4+Ayarlar!$C$6-1),Görevler!$D104&gt;=AY$4),IF(AY$4&lt;=Görevler!$C104+ROUND(Görevler!$F104*Görevler!$E104,0)-1,2,1),""))</f>
        <v/>
      </c>
      <c r="AZ104" s="22" t="str">
        <f aca="false">IF(Görevler!$F104="","",IF(AND(Görevler!$C104&lt;=(AZ$4+Ayarlar!$C$6-1),Görevler!$D104&gt;=AZ$4),IF(AZ$4&lt;=Görevler!$C104+ROUND(Görevler!$F104*Görevler!$E104,0)-1,2,1),""))</f>
        <v/>
      </c>
      <c r="BA104" s="22" t="str">
        <f aca="false">IF(Görevler!$F104="","",IF(AND(Görevler!$C104&lt;=(BA$4+Ayarlar!$C$6-1),Görevler!$D104&gt;=BA$4),IF(BA$4&lt;=Görevler!$C104+ROUND(Görevler!$F104*Görevler!$E104,0)-1,2,1),""))</f>
        <v/>
      </c>
      <c r="BB104" s="22" t="str">
        <f aca="false">IF(Görevler!$F104="","",IF(AND(Görevler!$C104&lt;=(BB$4+Ayarlar!$C$6-1),Görevler!$D104&gt;=BB$4),IF(BB$4&lt;=Görevler!$C104+ROUND(Görevler!$F104*Görevler!$E104,0)-1,2,1),""))</f>
        <v/>
      </c>
      <c r="BC104" s="22" t="str">
        <f aca="false">IF(Görevler!$F104="","",IF(AND(Görevler!$C104&lt;=(BC$4+Ayarlar!$C$6-1),Görevler!$D104&gt;=BC$4),IF(BC$4&lt;=Görevler!$C104+ROUND(Görevler!$F104*Görevler!$E104,0)-1,2,1),""))</f>
        <v/>
      </c>
      <c r="BD104" s="22" t="str">
        <f aca="false">IF(Görevler!$F104="","",IF(AND(Görevler!$C104&lt;=(BD$4+Ayarlar!$C$6-1),Görevler!$D104&gt;=BD$4),IF(BD$4&lt;=Görevler!$C104+ROUND(Görevler!$F104*Görevler!$E104,0)-1,2,1),""))</f>
        <v/>
      </c>
      <c r="BE104" s="22" t="str">
        <f aca="false">IF(Görevler!$F104="","",IF(AND(Görevler!$C104&lt;=(BE$4+Ayarlar!$C$6-1),Görevler!$D104&gt;=BE$4),IF(BE$4&lt;=Görevler!$C104+ROUND(Görevler!$F104*Görevler!$E104,0)-1,2,1),""))</f>
        <v/>
      </c>
      <c r="BF104" s="22" t="str">
        <f aca="false">IF(Görevler!$F104="","",IF(AND(Görevler!$C104&lt;=(BF$4+Ayarlar!$C$6-1),Görevler!$D104&gt;=BF$4),IF(BF$4&lt;=Görevler!$C104+ROUND(Görevler!$F104*Görevler!$E104,0)-1,2,1),""))</f>
        <v/>
      </c>
      <c r="BG104" s="22" t="str">
        <f aca="false">IF(Görevler!$F104="","",IF(AND(Görevler!$C104&lt;=(BG$4+Ayarlar!$C$6-1),Görevler!$D104&gt;=BG$4),IF(BG$4&lt;=Görevler!$C104+ROUND(Görevler!$F104*Görevler!$E104,0)-1,2,1),""))</f>
        <v/>
      </c>
      <c r="BH104" s="22" t="str">
        <f aca="false">IF(Görevler!$F104="","",IF(AND(Görevler!$C104&lt;=(BH$4+Ayarlar!$C$6-1),Görevler!$D104&gt;=BH$4),IF(BH$4&lt;=Görevler!$C104+ROUND(Görevler!$F104*Görevler!$E104,0)-1,2,1),""))</f>
        <v/>
      </c>
      <c r="BI104" s="22" t="str">
        <f aca="false">IF(Görevler!$F104="","",IF(AND(Görevler!$C104&lt;=(BI$4+Ayarlar!$C$6-1),Görevler!$D104&gt;=BI$4),IF(BI$4&lt;=Görevler!$C104+ROUND(Görevler!$F104*Görevler!$E104,0)-1,2,1),""))</f>
        <v/>
      </c>
      <c r="BJ104" s="22" t="str">
        <f aca="false">IF(Görevler!$F104="","",IF(AND(Görevler!$C104&lt;=(BJ$4+Ayarlar!$C$6-1),Görevler!$D104&gt;=BJ$4),IF(BJ$4&lt;=Görevler!$C104+ROUND(Görevler!$F104*Görevler!$E104,0)-1,2,1),""))</f>
        <v/>
      </c>
    </row>
  </sheetData>
  <conditionalFormatting sqref="C5:BJ104">
    <cfRule type="cellIs" priority="2" operator="equal" aboveAverage="0" equalAverage="0" bottom="0" percent="0" rank="0" text="" dxfId="3">
      <formula>2</formula>
    </cfRule>
    <cfRule type="cellIs" priority="3" operator="equal" aboveAverage="0" equalAverage="0" bottom="0" percent="0" rank="0" text="" dxfId="4">
      <formula>1</formula>
    </cfRule>
  </conditionalFormatting>
  <conditionalFormatting sqref="C4:BJ104">
    <cfRule type="expression" priority="4" aboveAverage="0" equalAverage="0" bottom="0" percent="0" rank="0" text="" dxfId="5">
      <formula>AND(TODAY()&gt;=C$4,TODAY()&lt;C$4+Ayarlar!$C$6)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32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8" t="s">
        <v>49</v>
      </c>
    </row>
    <row r="2" customFormat="false" ht="15" hidden="false" customHeight="false" outlineLevel="0" collapsed="false">
      <c r="A2" s="9" t="s">
        <v>50</v>
      </c>
    </row>
    <row r="3" customFormat="false" ht="15" hidden="false" customHeight="false" outlineLevel="0" collapsed="false">
      <c r="B3" s="23" t="str">
        <f aca="false">Ayarlar!C4</f>
        <v>Dükkân yenileme</v>
      </c>
    </row>
    <row r="5" customFormat="false" ht="30" hidden="false" customHeight="true" outlineLevel="0" collapsed="false">
      <c r="B5" s="24" t="s">
        <v>28</v>
      </c>
      <c r="C5" s="24" t="s">
        <v>51</v>
      </c>
      <c r="D5" s="24" t="s">
        <v>52</v>
      </c>
      <c r="E5" s="24" t="s">
        <v>53</v>
      </c>
      <c r="F5" s="24" t="s">
        <v>54</v>
      </c>
    </row>
    <row r="6" customFormat="false" ht="27.75" hidden="false" customHeight="true" outlineLevel="0" collapsed="false">
      <c r="B6" s="25" t="n">
        <f aca="false">COUNTA(Görevler!$A$5:$A$104)</f>
        <v>7</v>
      </c>
      <c r="C6" s="25" t="n">
        <f aca="false">COUNTIF(Görevler!$G$5:$G$104,"Tamamlandı")</f>
        <v>1</v>
      </c>
      <c r="D6" s="26" t="n">
        <f aca="false">COUNTIF(Görevler!$G$5:$G$104,"Gecikti")</f>
        <v>1</v>
      </c>
      <c r="E6" s="25" t="n">
        <f aca="true">COUNTIFS(Görevler!$D$5:$D$104,"&gt;="&amp;TODAY(),Görevler!$D$5:$D$104,"&lt;="&amp;TODAY()+7,Görevler!$G$5:$G$104,"&lt;&gt;Tamamlandı",Görevler!$G$5:$G$104,"&lt;&gt;")</f>
        <v>0</v>
      </c>
      <c r="F6" s="27" t="n">
        <f aca="false">IF(SUM(Görevler!$F$5:$F$104)=0,0,SUMPRODUCT(Görevler!$F$5:$F$104,Görevler!$E$5:$E$104)/SUM(Görevler!$F$5:$F$104))</f>
        <v>0.186111111111111</v>
      </c>
    </row>
    <row r="8" customFormat="false" ht="15" hidden="false" customHeight="false" outlineLevel="0" collapsed="false">
      <c r="B8" s="9" t="s">
        <v>55</v>
      </c>
    </row>
    <row r="10" customFormat="false" ht="15" hidden="false" customHeight="false" outlineLevel="0" collapsed="false">
      <c r="B10" s="28" t="s">
        <v>56</v>
      </c>
      <c r="H10" s="28" t="s">
        <v>57</v>
      </c>
    </row>
    <row r="11" customFormat="false" ht="21.75" hidden="false" customHeight="true" outlineLevel="0" collapsed="false">
      <c r="B11" s="10" t="s">
        <v>29</v>
      </c>
      <c r="C11" s="10" t="s">
        <v>28</v>
      </c>
      <c r="D11" s="10" t="s">
        <v>51</v>
      </c>
      <c r="E11" s="10" t="s">
        <v>52</v>
      </c>
      <c r="F11" s="10" t="s">
        <v>58</v>
      </c>
      <c r="H11" s="10" t="s">
        <v>28</v>
      </c>
      <c r="I11" s="10" t="s">
        <v>31</v>
      </c>
      <c r="J11" s="10" t="s">
        <v>59</v>
      </c>
    </row>
    <row r="12" customFormat="false" ht="15" hidden="false" customHeight="false" outlineLevel="0" collapsed="false">
      <c r="B12" s="17" t="str">
        <f aca="false">IF(Ayarlar!E5="","",Ayarlar!E5)</f>
        <v>Kişi Alfa</v>
      </c>
      <c r="C12" s="29" t="n">
        <f aca="false">IF(B12="","",COUNTIF(Görevler!$B$5:$B$104,B12))</f>
        <v>3</v>
      </c>
      <c r="D12" s="29" t="n">
        <f aca="false">IF(B12="","",COUNTIFS(Görevler!$B$5:$B$104,B12,Görevler!$G$5:$G$104,"Tamamlandı"))</f>
        <v>1</v>
      </c>
      <c r="E12" s="29" t="n">
        <f aca="false">IF(B12="","",COUNTIFS(Görevler!$B$5:$B$104,B12,Görevler!$G$5:$G$104,"Gecikti"))</f>
        <v>1</v>
      </c>
      <c r="F12" s="29" t="n">
        <f aca="false">IF(B12="","",SUMPRODUCT((Görevler!$B$5:$B$104=B12)*1,Görevler!$F$5:$F$104,1-Görevler!$E$5:$E$104))</f>
        <v>8.6</v>
      </c>
      <c r="H12" s="17" t="str">
        <f aca="false">IFERROR(INDEX(Görevler!$A$5:$A$104,MATCH(SMALL(Görevler!$I$5:$I$104,1),Görevler!$I$5:$I$104,0)),"")</f>
        <v>Malzeme siparişi</v>
      </c>
      <c r="I12" s="30" t="n">
        <f aca="false">IF(H12="","",INDEX(Görevler!$D$5:$D$104,MATCH(SMALL(Görevler!$I$5:$I$104,1),Görevler!$I$5:$I$104,0)))</f>
        <v>46298</v>
      </c>
      <c r="J12" s="15" t="n">
        <f aca="true">IF(H12="","",TODAY()-I12)</f>
        <v>1</v>
      </c>
    </row>
    <row r="13" customFormat="false" ht="15" hidden="false" customHeight="false" outlineLevel="0" collapsed="false">
      <c r="B13" s="31" t="str">
        <f aca="false">IF(Ayarlar!E6="","",Ayarlar!E6)</f>
        <v>Usta</v>
      </c>
      <c r="C13" s="32" t="n">
        <f aca="false">IF(B13="","",COUNTIF(Görevler!$B$5:$B$104,B13))</f>
        <v>2</v>
      </c>
      <c r="D13" s="32" t="n">
        <f aca="false">IF(B13="","",COUNTIFS(Görevler!$B$5:$B$104,B13,Görevler!$G$5:$G$104,"Tamamlandı"))</f>
        <v>0</v>
      </c>
      <c r="E13" s="32" t="n">
        <f aca="false">IF(B13="","",COUNTIFS(Görevler!$B$5:$B$104,B13,Görevler!$G$5:$G$104,"Gecikti"))</f>
        <v>0</v>
      </c>
      <c r="F13" s="32" t="n">
        <f aca="false">IF(B13="","",SUMPRODUCT((Görevler!$B$5:$B$104=B13)*1,Görevler!$F$5:$F$104,1-Görevler!$E$5:$E$104))</f>
        <v>26</v>
      </c>
      <c r="H13" s="31" t="str">
        <f aca="false">IFERROR(INDEX(Görevler!$A$5:$A$104,MATCH(SMALL(Görevler!$I$5:$I$104,2),Görevler!$I$5:$I$104,0)),"")</f>
        <v/>
      </c>
      <c r="I13" s="33" t="str">
        <f aca="false">IF(H13="","",INDEX(Görevler!$D$5:$D$104,MATCH(SMALL(Görevler!$I$5:$I$104,2),Görevler!$I$5:$I$104,0)))</f>
        <v/>
      </c>
      <c r="J13" s="34" t="str">
        <f aca="true">IF(H13="","",TODAY()-I13)</f>
        <v/>
      </c>
    </row>
    <row r="14" customFormat="false" ht="15" hidden="false" customHeight="false" outlineLevel="0" collapsed="false">
      <c r="B14" s="17" t="str">
        <f aca="false">IF(Ayarlar!E7="","",Ayarlar!E7)</f>
        <v>Elektrikçi</v>
      </c>
      <c r="C14" s="29" t="n">
        <f aca="false">IF(B14="","",COUNTIF(Görevler!$B$5:$B$104,B14))</f>
        <v>1</v>
      </c>
      <c r="D14" s="29" t="n">
        <f aca="false">IF(B14="","",COUNTIFS(Görevler!$B$5:$B$104,B14,Görevler!$G$5:$G$104,"Tamamlandı"))</f>
        <v>0</v>
      </c>
      <c r="E14" s="29" t="n">
        <f aca="false">IF(B14="","",COUNTIFS(Görevler!$B$5:$B$104,B14,Görevler!$G$5:$G$104,"Gecikti"))</f>
        <v>0</v>
      </c>
      <c r="F14" s="29" t="n">
        <f aca="false">IF(B14="","",SUMPRODUCT((Görevler!$B$5:$B$104=B14)*1,Görevler!$F$5:$F$104,1-Görevler!$E$5:$E$104))</f>
        <v>10</v>
      </c>
      <c r="H14" s="17" t="str">
        <f aca="false">IFERROR(INDEX(Görevler!$A$5:$A$104,MATCH(SMALL(Görevler!$I$5:$I$104,3),Görevler!$I$5:$I$104,0)),"")</f>
        <v/>
      </c>
      <c r="I14" s="30" t="str">
        <f aca="false">IF(H14="","",INDEX(Görevler!$D$5:$D$104,MATCH(SMALL(Görevler!$I$5:$I$104,3),Görevler!$I$5:$I$104,0)))</f>
        <v/>
      </c>
      <c r="J14" s="15" t="str">
        <f aca="true">IF(H14="","",TODAY()-I14)</f>
        <v/>
      </c>
    </row>
    <row r="15" customFormat="false" ht="15" hidden="false" customHeight="false" outlineLevel="0" collapsed="false">
      <c r="B15" s="31" t="str">
        <f aca="false">IF(Ayarlar!E8="","",Ayarlar!E8)</f>
        <v>Tasarımcı</v>
      </c>
      <c r="C15" s="32" t="n">
        <f aca="false">IF(B15="","",COUNTIF(Görevler!$B$5:$B$104,B15))</f>
        <v>1</v>
      </c>
      <c r="D15" s="32" t="n">
        <f aca="false">IF(B15="","",COUNTIFS(Görevler!$B$5:$B$104,B15,Görevler!$G$5:$G$104,"Tamamlandı"))</f>
        <v>0</v>
      </c>
      <c r="E15" s="32" t="n">
        <f aca="false">IF(B15="","",COUNTIFS(Görevler!$B$5:$B$104,B15,Görevler!$G$5:$G$104,"Gecikti"))</f>
        <v>0</v>
      </c>
      <c r="F15" s="32" t="n">
        <f aca="false">IF(B15="","",SUMPRODUCT((Görevler!$B$5:$B$104=B15)*1,Görevler!$F$5:$F$104,1-Görevler!$E$5:$E$104))</f>
        <v>14</v>
      </c>
      <c r="H15" s="31" t="str">
        <f aca="false">IFERROR(INDEX(Görevler!$A$5:$A$104,MATCH(SMALL(Görevler!$I$5:$I$104,4),Görevler!$I$5:$I$104,0)),"")</f>
        <v/>
      </c>
      <c r="I15" s="33" t="str">
        <f aca="false">IF(H15="","",INDEX(Görevler!$D$5:$D$104,MATCH(SMALL(Görevler!$I$5:$I$104,4),Görevler!$I$5:$I$104,0)))</f>
        <v/>
      </c>
      <c r="J15" s="34" t="str">
        <f aca="true">IF(H15="","",TODAY()-I15)</f>
        <v/>
      </c>
    </row>
    <row r="16" customFormat="false" ht="15" hidden="false" customHeight="false" outlineLevel="0" collapsed="false">
      <c r="B16" s="17" t="str">
        <f aca="false">IF(Ayarlar!E9="","",Ayarlar!E9)</f>
        <v/>
      </c>
      <c r="C16" s="29" t="str">
        <f aca="false">IF(B16="","",COUNTIF(Görevler!$B$5:$B$104,B16))</f>
        <v/>
      </c>
      <c r="D16" s="29" t="str">
        <f aca="false">IF(B16="","",COUNTIFS(Görevler!$B$5:$B$104,B16,Görevler!$G$5:$G$104,"Tamamlandı"))</f>
        <v/>
      </c>
      <c r="E16" s="29" t="str">
        <f aca="false">IF(B16="","",COUNTIFS(Görevler!$B$5:$B$104,B16,Görevler!$G$5:$G$104,"Gecikti"))</f>
        <v/>
      </c>
      <c r="F16" s="29" t="str">
        <f aca="false">IF(B16="","",SUMPRODUCT((Görevler!$B$5:$B$104=B16)*1,Görevler!$F$5:$F$104,1-Görevler!$E$5:$E$104))</f>
        <v/>
      </c>
      <c r="H16" s="17" t="str">
        <f aca="false">IFERROR(INDEX(Görevler!$A$5:$A$104,MATCH(SMALL(Görevler!$I$5:$I$104,5),Görevler!$I$5:$I$104,0)),"")</f>
        <v/>
      </c>
      <c r="I16" s="30" t="str">
        <f aca="false">IF(H16="","",INDEX(Görevler!$D$5:$D$104,MATCH(SMALL(Görevler!$I$5:$I$104,5),Görevler!$I$5:$I$104,0)))</f>
        <v/>
      </c>
      <c r="J16" s="15" t="str">
        <f aca="true">IF(H16="","",TODAY()-I16)</f>
        <v/>
      </c>
    </row>
    <row r="17" customFormat="false" ht="15" hidden="false" customHeight="false" outlineLevel="0" collapsed="false">
      <c r="B17" s="31" t="str">
        <f aca="false">IF(Ayarlar!E10="","",Ayarlar!E10)</f>
        <v/>
      </c>
      <c r="C17" s="32" t="str">
        <f aca="false">IF(B17="","",COUNTIF(Görevler!$B$5:$B$104,B17))</f>
        <v/>
      </c>
      <c r="D17" s="32" t="str">
        <f aca="false">IF(B17="","",COUNTIFS(Görevler!$B$5:$B$104,B17,Görevler!$G$5:$G$104,"Tamamlandı"))</f>
        <v/>
      </c>
      <c r="E17" s="32" t="str">
        <f aca="false">IF(B17="","",COUNTIFS(Görevler!$B$5:$B$104,B17,Görevler!$G$5:$G$104,"Gecikti"))</f>
        <v/>
      </c>
      <c r="F17" s="32" t="str">
        <f aca="false">IF(B17="","",SUMPRODUCT((Görevler!$B$5:$B$104=B17)*1,Görevler!$F$5:$F$104,1-Görevler!$E$5:$E$104))</f>
        <v/>
      </c>
      <c r="H17" s="31" t="str">
        <f aca="false">IFERROR(INDEX(Görevler!$A$5:$A$104,MATCH(SMALL(Görevler!$I$5:$I$104,6),Görevler!$I$5:$I$104,0)),"")</f>
        <v/>
      </c>
      <c r="I17" s="33" t="str">
        <f aca="false">IF(H17="","",INDEX(Görevler!$D$5:$D$104,MATCH(SMALL(Görevler!$I$5:$I$104,6),Görevler!$I$5:$I$104,0)))</f>
        <v/>
      </c>
      <c r="J17" s="34" t="str">
        <f aca="true">IF(H17="","",TODAY()-I17)</f>
        <v/>
      </c>
    </row>
    <row r="18" customFormat="false" ht="15" hidden="false" customHeight="false" outlineLevel="0" collapsed="false">
      <c r="B18" s="17" t="str">
        <f aca="false">IF(Ayarlar!E11="","",Ayarlar!E11)</f>
        <v/>
      </c>
      <c r="C18" s="29" t="str">
        <f aca="false">IF(B18="","",COUNTIF(Görevler!$B$5:$B$104,B18))</f>
        <v/>
      </c>
      <c r="D18" s="29" t="str">
        <f aca="false">IF(B18="","",COUNTIFS(Görevler!$B$5:$B$104,B18,Görevler!$G$5:$G$104,"Tamamlandı"))</f>
        <v/>
      </c>
      <c r="E18" s="29" t="str">
        <f aca="false">IF(B18="","",COUNTIFS(Görevler!$B$5:$B$104,B18,Görevler!$G$5:$G$104,"Gecikti"))</f>
        <v/>
      </c>
      <c r="F18" s="29" t="str">
        <f aca="false">IF(B18="","",SUMPRODUCT((Görevler!$B$5:$B$104=B18)*1,Görevler!$F$5:$F$104,1-Görevler!$E$5:$E$104))</f>
        <v/>
      </c>
      <c r="H18" s="17" t="str">
        <f aca="false">IFERROR(INDEX(Görevler!$A$5:$A$104,MATCH(SMALL(Görevler!$I$5:$I$104,7),Görevler!$I$5:$I$104,0)),"")</f>
        <v/>
      </c>
      <c r="I18" s="30" t="str">
        <f aca="false">IF(H18="","",INDEX(Görevler!$D$5:$D$104,MATCH(SMALL(Görevler!$I$5:$I$104,7),Görevler!$I$5:$I$104,0)))</f>
        <v/>
      </c>
      <c r="J18" s="15" t="str">
        <f aca="true">IF(H18="","",TODAY()-I18)</f>
        <v/>
      </c>
    </row>
    <row r="19" customFormat="false" ht="15" hidden="false" customHeight="false" outlineLevel="0" collapsed="false">
      <c r="B19" s="31" t="str">
        <f aca="false">IF(Ayarlar!E12="","",Ayarlar!E12)</f>
        <v/>
      </c>
      <c r="C19" s="32" t="str">
        <f aca="false">IF(B19="","",COUNTIF(Görevler!$B$5:$B$104,B19))</f>
        <v/>
      </c>
      <c r="D19" s="32" t="str">
        <f aca="false">IF(B19="","",COUNTIFS(Görevler!$B$5:$B$104,B19,Görevler!$G$5:$G$104,"Tamamlandı"))</f>
        <v/>
      </c>
      <c r="E19" s="32" t="str">
        <f aca="false">IF(B19="","",COUNTIFS(Görevler!$B$5:$B$104,B19,Görevler!$G$5:$G$104,"Gecikti"))</f>
        <v/>
      </c>
      <c r="F19" s="32" t="str">
        <f aca="false">IF(B19="","",SUMPRODUCT((Görevler!$B$5:$B$104=B19)*1,Görevler!$F$5:$F$104,1-Görevler!$E$5:$E$104))</f>
        <v/>
      </c>
      <c r="H19" s="31" t="str">
        <f aca="false">IFERROR(INDEX(Görevler!$A$5:$A$104,MATCH(SMALL(Görevler!$I$5:$I$104,8),Görevler!$I$5:$I$104,0)),"")</f>
        <v/>
      </c>
      <c r="I19" s="33" t="str">
        <f aca="false">IF(H19="","",INDEX(Görevler!$D$5:$D$104,MATCH(SMALL(Görevler!$I$5:$I$104,8),Görevler!$I$5:$I$104,0)))</f>
        <v/>
      </c>
      <c r="J19" s="34" t="str">
        <f aca="true">IF(H19="","",TODAY()-I19)</f>
        <v/>
      </c>
    </row>
    <row r="20" customFormat="false" ht="15" hidden="false" customHeight="false" outlineLevel="0" collapsed="false">
      <c r="B20" s="17" t="str">
        <f aca="false">IF(Ayarlar!E13="","",Ayarlar!E13)</f>
        <v/>
      </c>
      <c r="C20" s="29" t="str">
        <f aca="false">IF(B20="","",COUNTIF(Görevler!$B$5:$B$104,B20))</f>
        <v/>
      </c>
      <c r="D20" s="29" t="str">
        <f aca="false">IF(B20="","",COUNTIFS(Görevler!$B$5:$B$104,B20,Görevler!$G$5:$G$104,"Tamamlandı"))</f>
        <v/>
      </c>
      <c r="E20" s="29" t="str">
        <f aca="false">IF(B20="","",COUNTIFS(Görevler!$B$5:$B$104,B20,Görevler!$G$5:$G$104,"Gecikti"))</f>
        <v/>
      </c>
      <c r="F20" s="29" t="str">
        <f aca="false">IF(B20="","",SUMPRODUCT((Görevler!$B$5:$B$104=B20)*1,Görevler!$F$5:$F$104,1-Görevler!$E$5:$E$104))</f>
        <v/>
      </c>
      <c r="H20" s="17" t="str">
        <f aca="false">IFERROR(INDEX(Görevler!$A$5:$A$104,MATCH(SMALL(Görevler!$I$5:$I$104,9),Görevler!$I$5:$I$104,0)),"")</f>
        <v/>
      </c>
      <c r="I20" s="30" t="str">
        <f aca="false">IF(H20="","",INDEX(Görevler!$D$5:$D$104,MATCH(SMALL(Görevler!$I$5:$I$104,9),Görevler!$I$5:$I$104,0)))</f>
        <v/>
      </c>
      <c r="J20" s="15" t="str">
        <f aca="true">IF(H20="","",TODAY()-I20)</f>
        <v/>
      </c>
    </row>
    <row r="21" customFormat="false" ht="15" hidden="false" customHeight="false" outlineLevel="0" collapsed="false">
      <c r="B21" s="31" t="str">
        <f aca="false">IF(Ayarlar!E14="","",Ayarlar!E14)</f>
        <v/>
      </c>
      <c r="C21" s="32" t="str">
        <f aca="false">IF(B21="","",COUNTIF(Görevler!$B$5:$B$104,B21))</f>
        <v/>
      </c>
      <c r="D21" s="32" t="str">
        <f aca="false">IF(B21="","",COUNTIFS(Görevler!$B$5:$B$104,B21,Görevler!$G$5:$G$104,"Tamamlandı"))</f>
        <v/>
      </c>
      <c r="E21" s="32" t="str">
        <f aca="false">IF(B21="","",COUNTIFS(Görevler!$B$5:$B$104,B21,Görevler!$G$5:$G$104,"Gecikti"))</f>
        <v/>
      </c>
      <c r="F21" s="32" t="str">
        <f aca="false">IF(B21="","",SUMPRODUCT((Görevler!$B$5:$B$104=B21)*1,Görevler!$F$5:$F$104,1-Görevler!$E$5:$E$104))</f>
        <v/>
      </c>
      <c r="H21" s="31" t="str">
        <f aca="false">IFERROR(INDEX(Görevler!$A$5:$A$104,MATCH(SMALL(Görevler!$I$5:$I$104,10),Görevler!$I$5:$I$104,0)),"")</f>
        <v/>
      </c>
      <c r="I21" s="33" t="str">
        <f aca="false">IF(H21="","",INDEX(Görevler!$D$5:$D$104,MATCH(SMALL(Görevler!$I$5:$I$104,10),Görevler!$I$5:$I$104,0)))</f>
        <v/>
      </c>
      <c r="J21" s="34" t="str">
        <f aca="true">IF(H21="","",TODAY()-I21)</f>
        <v/>
      </c>
    </row>
    <row r="22" customFormat="false" ht="15" hidden="false" customHeight="false" outlineLevel="0" collapsed="false">
      <c r="B22" s="17" t="str">
        <f aca="false">IF(Ayarlar!E15="","",Ayarlar!E15)</f>
        <v/>
      </c>
      <c r="C22" s="29" t="str">
        <f aca="false">IF(B22="","",COUNTIF(Görevler!$B$5:$B$104,B22))</f>
        <v/>
      </c>
      <c r="D22" s="29" t="str">
        <f aca="false">IF(B22="","",COUNTIFS(Görevler!$B$5:$B$104,B22,Görevler!$G$5:$G$104,"Tamamlandı"))</f>
        <v/>
      </c>
      <c r="E22" s="29" t="str">
        <f aca="false">IF(B22="","",COUNTIFS(Görevler!$B$5:$B$104,B22,Görevler!$G$5:$G$104,"Gecikti"))</f>
        <v/>
      </c>
      <c r="F22" s="29" t="str">
        <f aca="false">IF(B22="","",SUMPRODUCT((Görevler!$B$5:$B$104=B22)*1,Görevler!$F$5:$F$104,1-Görevler!$E$5:$E$104))</f>
        <v/>
      </c>
    </row>
    <row r="23" customFormat="false" ht="15" hidden="false" customHeight="false" outlineLevel="0" collapsed="false">
      <c r="B23" s="31" t="str">
        <f aca="false">IF(Ayarlar!E16="","",Ayarlar!E16)</f>
        <v/>
      </c>
      <c r="C23" s="32" t="str">
        <f aca="false">IF(B23="","",COUNTIF(Görevler!$B$5:$B$104,B23))</f>
        <v/>
      </c>
      <c r="D23" s="32" t="str">
        <f aca="false">IF(B23="","",COUNTIFS(Görevler!$B$5:$B$104,B23,Görevler!$G$5:$G$104,"Tamamlandı"))</f>
        <v/>
      </c>
      <c r="E23" s="32" t="str">
        <f aca="false">IF(B23="","",COUNTIFS(Görevler!$B$5:$B$104,B23,Görevler!$G$5:$G$104,"Gecikti"))</f>
        <v/>
      </c>
      <c r="F23" s="32" t="str">
        <f aca="false">IF(B23="","",SUMPRODUCT((Görevler!$B$5:$B$104=B23)*1,Görevler!$F$5:$F$104,1-Görevler!$E$5:$E$104))</f>
        <v/>
      </c>
    </row>
    <row r="24" customFormat="false" ht="15" hidden="false" customHeight="false" outlineLevel="0" collapsed="false">
      <c r="B24" s="17" t="str">
        <f aca="false">IF(Ayarlar!E17="","",Ayarlar!E17)</f>
        <v/>
      </c>
      <c r="C24" s="29" t="str">
        <f aca="false">IF(B24="","",COUNTIF(Görevler!$B$5:$B$104,B24))</f>
        <v/>
      </c>
      <c r="D24" s="29" t="str">
        <f aca="false">IF(B24="","",COUNTIFS(Görevler!$B$5:$B$104,B24,Görevler!$G$5:$G$104,"Tamamlandı"))</f>
        <v/>
      </c>
      <c r="E24" s="29" t="str">
        <f aca="false">IF(B24="","",COUNTIFS(Görevler!$B$5:$B$104,B24,Görevler!$G$5:$G$104,"Gecikti"))</f>
        <v/>
      </c>
      <c r="F24" s="29" t="str">
        <f aca="false">IF(B24="","",SUMPRODUCT((Görevler!$B$5:$B$104=B24)*1,Görevler!$F$5:$F$104,1-Görevler!$E$5:$E$104))</f>
        <v/>
      </c>
    </row>
    <row r="25" customFormat="false" ht="15" hidden="false" customHeight="false" outlineLevel="0" collapsed="false">
      <c r="B25" s="31" t="str">
        <f aca="false">IF(Ayarlar!E18="","",Ayarlar!E18)</f>
        <v/>
      </c>
      <c r="C25" s="32" t="str">
        <f aca="false">IF(B25="","",COUNTIF(Görevler!$B$5:$B$104,B25))</f>
        <v/>
      </c>
      <c r="D25" s="32" t="str">
        <f aca="false">IF(B25="","",COUNTIFS(Görevler!$B$5:$B$104,B25,Görevler!$G$5:$G$104,"Tamamlandı"))</f>
        <v/>
      </c>
      <c r="E25" s="32" t="str">
        <f aca="false">IF(B25="","",COUNTIFS(Görevler!$B$5:$B$104,B25,Görevler!$G$5:$G$104,"Gecikti"))</f>
        <v/>
      </c>
      <c r="F25" s="32" t="str">
        <f aca="false">IF(B25="","",SUMPRODUCT((Görevler!$B$5:$B$104=B25)*1,Görevler!$F$5:$F$104,1-Görevler!$E$5:$E$104))</f>
        <v/>
      </c>
    </row>
    <row r="26" customFormat="false" ht="15" hidden="false" customHeight="false" outlineLevel="0" collapsed="false">
      <c r="B26" s="17" t="str">
        <f aca="false">IF(Ayarlar!E19="","",Ayarlar!E19)</f>
        <v/>
      </c>
      <c r="C26" s="29" t="str">
        <f aca="false">IF(B26="","",COUNTIF(Görevler!$B$5:$B$104,B26))</f>
        <v/>
      </c>
      <c r="D26" s="29" t="str">
        <f aca="false">IF(B26="","",COUNTIFS(Görevler!$B$5:$B$104,B26,Görevler!$G$5:$G$104,"Tamamlandı"))</f>
        <v/>
      </c>
      <c r="E26" s="29" t="str">
        <f aca="false">IF(B26="","",COUNTIFS(Görevler!$B$5:$B$104,B26,Görevler!$G$5:$G$104,"Gecikti"))</f>
        <v/>
      </c>
      <c r="F26" s="29" t="str">
        <f aca="false">IF(B26="","",SUMPRODUCT((Görevler!$B$5:$B$104=B26)*1,Görevler!$F$5:$F$104,1-Görevler!$E$5:$E$104))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24"/>
  </cols>
  <sheetData>
    <row r="1" customFormat="false" ht="19.7" hidden="false" customHeight="false" outlineLevel="0" collapsed="false">
      <c r="A1" s="8" t="s">
        <v>60</v>
      </c>
    </row>
    <row r="2" customFormat="false" ht="15" hidden="false" customHeight="false" outlineLevel="0" collapsed="false">
      <c r="A2" s="9" t="s">
        <v>61</v>
      </c>
    </row>
    <row r="4" customFormat="false" ht="21.75" hidden="false" customHeight="true" outlineLevel="0" collapsed="false">
      <c r="B4" s="35" t="s">
        <v>62</v>
      </c>
      <c r="C4" s="36" t="s">
        <v>63</v>
      </c>
      <c r="E4" s="10" t="s">
        <v>64</v>
      </c>
    </row>
    <row r="5" customFormat="false" ht="15" hidden="false" customHeight="false" outlineLevel="0" collapsed="false">
      <c r="B5" s="35" t="s">
        <v>65</v>
      </c>
      <c r="C5" s="37" t="n">
        <v>46293</v>
      </c>
      <c r="E5" s="12" t="s">
        <v>37</v>
      </c>
    </row>
    <row r="6" customFormat="false" ht="15" hidden="false" customHeight="false" outlineLevel="0" collapsed="false">
      <c r="B6" s="35" t="s">
        <v>66</v>
      </c>
      <c r="C6" s="38" t="n">
        <v>7</v>
      </c>
      <c r="E6" s="12" t="s">
        <v>42</v>
      </c>
    </row>
    <row r="7" customFormat="false" ht="15" hidden="false" customHeight="false" outlineLevel="0" collapsed="false">
      <c r="E7" s="12" t="s">
        <v>40</v>
      </c>
    </row>
    <row r="8" customFormat="false" ht="15" hidden="false" customHeight="false" outlineLevel="0" collapsed="false">
      <c r="E8" s="12" t="s">
        <v>44</v>
      </c>
    </row>
    <row r="9" customFormat="false" ht="15" hidden="false" customHeight="false" outlineLevel="0" collapsed="false">
      <c r="E9" s="12"/>
    </row>
    <row r="10" customFormat="false" ht="15" hidden="false" customHeight="false" outlineLevel="0" collapsed="false">
      <c r="E10" s="12"/>
    </row>
    <row r="11" customFormat="false" ht="15" hidden="false" customHeight="false" outlineLevel="0" collapsed="false">
      <c r="E11" s="12"/>
    </row>
    <row r="12" customFormat="false" ht="15" hidden="false" customHeight="false" outlineLevel="0" collapsed="false">
      <c r="E12" s="12"/>
    </row>
    <row r="13" customFormat="false" ht="15" hidden="false" customHeight="false" outlineLevel="0" collapsed="false">
      <c r="E13" s="12"/>
    </row>
    <row r="14" customFormat="false" ht="15" hidden="false" customHeight="false" outlineLevel="0" collapsed="false">
      <c r="E14" s="12"/>
    </row>
    <row r="15" customFormat="false" ht="15" hidden="false" customHeight="false" outlineLevel="0" collapsed="false">
      <c r="E15" s="12"/>
    </row>
    <row r="16" customFormat="false" ht="15" hidden="false" customHeight="false" outlineLevel="0" collapsed="false">
      <c r="E16" s="12"/>
    </row>
    <row r="17" customFormat="false" ht="15" hidden="false" customHeight="false" outlineLevel="0" collapsed="false">
      <c r="E17" s="12"/>
    </row>
    <row r="18" customFormat="false" ht="15" hidden="false" customHeight="false" outlineLevel="0" collapsed="false">
      <c r="E18" s="12"/>
    </row>
    <row r="19" customFormat="false" ht="15" hidden="false" customHeight="false" outlineLevel="0" collapsed="false">
      <c r="E19" s="12"/>
    </row>
  </sheetData>
  <dataValidations count="2">
    <dataValidation allowBlank="true" error="Geçerli bir tarih gir (örnek: 05.10.2026)." errorStyle="stop" errorTitle="Kontrol" operator="greaterThan" showDropDown="false" showErrorMessage="true" showInputMessage="false" sqref="C5" type="date">
      <formula1>36526</formula1>
      <formula2>0</formula2>
    </dataValidation>
    <dataValidation allowBlank="true" error="1 ile 31 arasında bir tam sayı gir." errorStyle="stop" errorTitle="Kontrol" operator="between" showDropDown="false" showErrorMessage="true" showInputMessage="false" sqref="C6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67</v>
      </c>
    </row>
    <row r="2" customFormat="false" ht="30" hidden="false" customHeight="true" outlineLevel="0" collapsed="false">
      <c r="B2" s="39" t="s">
        <v>68</v>
      </c>
      <c r="C2" s="39"/>
    </row>
    <row r="3" customFormat="false" ht="31.5" hidden="false" customHeight="true" outlineLevel="0" collapsed="false">
      <c r="B3" s="40" t="s">
        <v>69</v>
      </c>
      <c r="C3" s="40"/>
    </row>
    <row r="5" customFormat="false" ht="15" hidden="false" customHeight="false" outlineLevel="0" collapsed="false">
      <c r="B5" s="41" t="s">
        <v>70</v>
      </c>
      <c r="C5" s="41" t="s">
        <v>71</v>
      </c>
    </row>
    <row r="6" customFormat="false" ht="31.5" hidden="false" customHeight="true" outlineLevel="0" collapsed="false">
      <c r="B6" s="42" t="s">
        <v>72</v>
      </c>
      <c r="C6" s="43" t="s">
        <v>73</v>
      </c>
    </row>
    <row r="7" customFormat="false" ht="31.5" hidden="false" customHeight="true" outlineLevel="0" collapsed="false">
      <c r="B7" s="44" t="s">
        <v>74</v>
      </c>
      <c r="C7" s="45" t="s">
        <v>75</v>
      </c>
    </row>
    <row r="8" customFormat="false" ht="31.5" hidden="false" customHeight="true" outlineLevel="0" collapsed="false">
      <c r="B8" s="42" t="s">
        <v>76</v>
      </c>
      <c r="C8" s="43" t="s">
        <v>77</v>
      </c>
    </row>
    <row r="9" customFormat="false" ht="31.5" hidden="false" customHeight="true" outlineLevel="0" collapsed="false">
      <c r="B9" s="44" t="s">
        <v>78</v>
      </c>
      <c r="C9" s="45" t="s">
        <v>79</v>
      </c>
    </row>
    <row r="10" customFormat="false" ht="31.5" hidden="false" customHeight="true" outlineLevel="0" collapsed="false">
      <c r="B10" s="42" t="s">
        <v>80</v>
      </c>
      <c r="C10" s="43" t="s">
        <v>81</v>
      </c>
    </row>
    <row r="11" customFormat="false" ht="31.5" hidden="false" customHeight="true" outlineLevel="0" collapsed="false">
      <c r="B11" s="44" t="s">
        <v>82</v>
      </c>
      <c r="C11" s="45" t="s">
        <v>83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